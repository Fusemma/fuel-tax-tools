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xr:revisionPtr revIDLastSave="0" documentId="13_ncr:1_{ADF1492D-5283-4024-A50B-958CF3AA32D0}" xr6:coauthVersionLast="47" xr6:coauthVersionMax="47" xr10:uidLastSave="{00000000-0000-0000-0000-000000000000}"/>
  <bookViews>
    <workbookView xWindow="390" yWindow="390" windowWidth="21600" windowHeight="11295" xr2:uid="{00000000-000D-0000-FFFF-FFFF00000000}"/>
  </bookViews>
  <sheets>
    <sheet name="State" sheetId="1" r:id="rId1"/>
    <sheet name="States" sheetId="2" r:id="rId2"/>
    <sheet name="Returns" sheetId="3" r:id="rId3"/>
    <sheet name="Licenses" sheetId="4" r:id="rId4"/>
    <sheet name="Rates" sheetId="5" r:id="rId5"/>
    <sheet name="Contacts" sheetId="6" r:id="rId6"/>
    <sheet name="Setups" sheetId="7" r:id="rId7"/>
    <sheet name="How to use" sheetId="8" r:id="rId8"/>
  </sheets>
  <definedNames>
    <definedName name="_xlnm.Print_Area" localSheetId="0">State!$B$1:$H$67</definedName>
    <definedName name="_xlnm.Print_Titles" localSheetId="0">State!$1:$3</definedName>
    <definedName name="StateList">States!$A$2:$A$52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7" i="1" l="1"/>
  <c r="A66" i="1"/>
  <c r="A65" i="1"/>
  <c r="A64" i="1"/>
  <c r="H63" i="1"/>
  <c r="E63" i="1"/>
  <c r="A63" i="1"/>
  <c r="A62" i="1"/>
  <c r="A61" i="1"/>
  <c r="B59" i="1"/>
  <c r="B57" i="1"/>
  <c r="F56" i="1"/>
  <c r="A56" i="1"/>
  <c r="A55" i="1"/>
  <c r="A54" i="1"/>
  <c r="A53" i="1"/>
  <c r="A52" i="1"/>
  <c r="F52" i="1" s="1"/>
  <c r="B50" i="1"/>
  <c r="B48" i="1"/>
  <c r="A47" i="1"/>
  <c r="H46" i="1"/>
  <c r="G46" i="1"/>
  <c r="A46" i="1"/>
  <c r="A45" i="1"/>
  <c r="A44" i="1"/>
  <c r="A43" i="1"/>
  <c r="A42" i="1"/>
  <c r="A41" i="1"/>
  <c r="H40" i="1"/>
  <c r="A40" i="1"/>
  <c r="B38" i="1"/>
  <c r="B36" i="1"/>
  <c r="A35" i="1"/>
  <c r="H34" i="1"/>
  <c r="F34" i="1"/>
  <c r="A34" i="1"/>
  <c r="A33" i="1"/>
  <c r="A32" i="1"/>
  <c r="A31" i="1"/>
  <c r="A30" i="1"/>
  <c r="B28" i="1"/>
  <c r="B26" i="1"/>
  <c r="A25" i="1"/>
  <c r="A24" i="1"/>
  <c r="A23" i="1"/>
  <c r="A22" i="1"/>
  <c r="A21" i="1"/>
  <c r="H21" i="1" s="1"/>
  <c r="A20" i="1"/>
  <c r="A19" i="1"/>
  <c r="A18" i="1"/>
  <c r="B16" i="1"/>
  <c r="A4" i="1"/>
  <c r="D3" i="1" s="1"/>
  <c r="E56" i="1" l="1"/>
  <c r="D56" i="1"/>
  <c r="B46" i="1"/>
  <c r="F46" i="1"/>
  <c r="E46" i="1"/>
  <c r="D46" i="1"/>
  <c r="C46" i="1"/>
  <c r="B34" i="1"/>
  <c r="E34" i="1"/>
  <c r="D34" i="1"/>
  <c r="C34" i="1"/>
  <c r="H31" i="1"/>
  <c r="F31" i="1"/>
  <c r="E31" i="1"/>
  <c r="D31" i="1"/>
  <c r="C31" i="1"/>
  <c r="B31" i="1"/>
  <c r="H24" i="1"/>
  <c r="G24" i="1"/>
  <c r="F24" i="1"/>
  <c r="H66" i="1"/>
  <c r="E66" i="1"/>
  <c r="D66" i="1"/>
  <c r="C66" i="1"/>
  <c r="B66" i="1"/>
  <c r="H65" i="1"/>
  <c r="E65" i="1"/>
  <c r="D65" i="1"/>
  <c r="C65" i="1"/>
  <c r="B65" i="1"/>
  <c r="H64" i="1"/>
  <c r="E64" i="1"/>
  <c r="D64" i="1"/>
  <c r="C64" i="1"/>
  <c r="B64" i="1"/>
  <c r="D63" i="1"/>
  <c r="C63" i="1"/>
  <c r="B63" i="1"/>
  <c r="H62" i="1"/>
  <c r="E62" i="1"/>
  <c r="D62" i="1"/>
  <c r="C62" i="1"/>
  <c r="B62" i="1"/>
  <c r="H61" i="1"/>
  <c r="E61" i="1"/>
  <c r="D61" i="1"/>
  <c r="C61" i="1"/>
  <c r="B61" i="1"/>
  <c r="C56" i="1"/>
  <c r="B56" i="1"/>
  <c r="F55" i="1"/>
  <c r="E55" i="1"/>
  <c r="D55" i="1"/>
  <c r="C55" i="1"/>
  <c r="B55" i="1"/>
  <c r="F54" i="1"/>
  <c r="E54" i="1"/>
  <c r="D54" i="1"/>
  <c r="C54" i="1"/>
  <c r="B54" i="1"/>
  <c r="F53" i="1"/>
  <c r="E53" i="1"/>
  <c r="D53" i="1"/>
  <c r="C53" i="1"/>
  <c r="B53" i="1"/>
  <c r="D52" i="1"/>
  <c r="C52" i="1"/>
  <c r="B52" i="1"/>
  <c r="E52" i="1"/>
  <c r="H47" i="1"/>
  <c r="G47" i="1"/>
  <c r="F47" i="1"/>
  <c r="E47" i="1"/>
  <c r="D47" i="1"/>
  <c r="C47" i="1"/>
  <c r="B47" i="1"/>
  <c r="H45" i="1"/>
  <c r="G45" i="1"/>
  <c r="F45" i="1"/>
  <c r="E45" i="1"/>
  <c r="D45" i="1"/>
  <c r="C45" i="1"/>
  <c r="B45" i="1"/>
  <c r="H44" i="1"/>
  <c r="B44" i="1"/>
  <c r="G44" i="1"/>
  <c r="F44" i="1"/>
  <c r="E44" i="1"/>
  <c r="D44" i="1"/>
  <c r="C44" i="1"/>
  <c r="H43" i="1"/>
  <c r="G43" i="1"/>
  <c r="F43" i="1"/>
  <c r="E43" i="1"/>
  <c r="D43" i="1"/>
  <c r="C43" i="1"/>
  <c r="B43" i="1"/>
  <c r="H42" i="1"/>
  <c r="G42" i="1"/>
  <c r="E42" i="1"/>
  <c r="D42" i="1"/>
  <c r="C42" i="1"/>
  <c r="B42" i="1"/>
  <c r="F42" i="1"/>
  <c r="C41" i="1"/>
  <c r="B41" i="1"/>
  <c r="H41" i="1"/>
  <c r="G41" i="1"/>
  <c r="F41" i="1"/>
  <c r="E41" i="1"/>
  <c r="D41" i="1"/>
  <c r="F40" i="1"/>
  <c r="E40" i="1"/>
  <c r="D40" i="1"/>
  <c r="C40" i="1"/>
  <c r="B40" i="1"/>
  <c r="G40" i="1"/>
  <c r="F35" i="1"/>
  <c r="E35" i="1"/>
  <c r="D35" i="1"/>
  <c r="C35" i="1"/>
  <c r="B35" i="1"/>
  <c r="H35" i="1"/>
  <c r="E33" i="1"/>
  <c r="D33" i="1"/>
  <c r="C33" i="1"/>
  <c r="B33" i="1"/>
  <c r="H33" i="1"/>
  <c r="F33" i="1"/>
  <c r="C32" i="1"/>
  <c r="D32" i="1"/>
  <c r="E32" i="1"/>
  <c r="H32" i="1"/>
  <c r="F32" i="1"/>
  <c r="B32" i="1"/>
  <c r="F30" i="1"/>
  <c r="E30" i="1"/>
  <c r="D30" i="1"/>
  <c r="C30" i="1"/>
  <c r="B30" i="1"/>
  <c r="H30" i="1"/>
  <c r="G25" i="1"/>
  <c r="F25" i="1"/>
  <c r="E25" i="1"/>
  <c r="D25" i="1"/>
  <c r="C25" i="1"/>
  <c r="B25" i="1"/>
  <c r="H25" i="1"/>
  <c r="E24" i="1"/>
  <c r="D24" i="1"/>
  <c r="C24" i="1"/>
  <c r="B24" i="1"/>
  <c r="B23" i="1"/>
  <c r="C23" i="1"/>
  <c r="D23" i="1"/>
  <c r="H23" i="1"/>
  <c r="E23" i="1"/>
  <c r="F23" i="1"/>
  <c r="G23" i="1"/>
  <c r="H22" i="1"/>
  <c r="G22" i="1"/>
  <c r="F22" i="1"/>
  <c r="D22" i="1"/>
  <c r="C22" i="1"/>
  <c r="B22" i="1"/>
  <c r="E22" i="1"/>
  <c r="G21" i="1"/>
  <c r="F21" i="1"/>
  <c r="D21" i="1"/>
  <c r="C21" i="1"/>
  <c r="B21" i="1"/>
  <c r="E21" i="1"/>
  <c r="H20" i="1"/>
  <c r="G20" i="1"/>
  <c r="F20" i="1"/>
  <c r="E20" i="1"/>
  <c r="D20" i="1"/>
  <c r="C20" i="1"/>
  <c r="B20" i="1"/>
  <c r="B19" i="1"/>
  <c r="G19" i="1"/>
  <c r="F19" i="1"/>
  <c r="E19" i="1"/>
  <c r="D19" i="1"/>
  <c r="C19" i="1"/>
  <c r="H19" i="1"/>
  <c r="G18" i="1"/>
  <c r="F18" i="1"/>
  <c r="E18" i="1"/>
  <c r="D18" i="1"/>
  <c r="C18" i="1"/>
  <c r="B18" i="1"/>
  <c r="H18" i="1"/>
  <c r="C14" i="1"/>
  <c r="C13" i="1"/>
  <c r="C12" i="1"/>
  <c r="C11" i="1"/>
  <c r="C10" i="1"/>
  <c r="C9" i="1"/>
  <c r="C8" i="1"/>
  <c r="C6" i="1"/>
  <c r="C7" i="1"/>
</calcChain>
</file>

<file path=xl/sharedStrings.xml><?xml version="1.0" encoding="utf-8"?>
<sst xmlns="http://schemas.openxmlformats.org/spreadsheetml/2006/main" count="290" uniqueCount="202">
  <si>
    <t>State info</t>
  </si>
  <si>
    <t>Pick a state in the yellow box. Everything below comes from the other tabs; make changes there.</t>
  </si>
  <si>
    <t>State</t>
  </si>
  <si>
    <t>GA</t>
  </si>
  <si>
    <t>Basics</t>
  </si>
  <si>
    <t>Tax agency</t>
  </si>
  <si>
    <t>Website</t>
  </si>
  <si>
    <t>Filing site</t>
  </si>
  <si>
    <t>Main phone</t>
  </si>
  <si>
    <t>Bond required</t>
  </si>
  <si>
    <t>Where the files live</t>
  </si>
  <si>
    <t>Quirks</t>
  </si>
  <si>
    <t>Source</t>
  </si>
  <si>
    <t>Last checked</t>
  </si>
  <si>
    <t>Return</t>
  </si>
  <si>
    <t>Form</t>
  </si>
  <si>
    <t>Tax</t>
  </si>
  <si>
    <t>How often</t>
  </si>
  <si>
    <t>How to file</t>
  </si>
  <si>
    <t>How to pay</t>
  </si>
  <si>
    <t>Notes</t>
  </si>
  <si>
    <t>License</t>
  </si>
  <si>
    <t>Number</t>
  </si>
  <si>
    <t>Expires</t>
  </si>
  <si>
    <t>Bond amount</t>
  </si>
  <si>
    <t>Renew how</t>
  </si>
  <si>
    <t>Product</t>
  </si>
  <si>
    <t>Rate</t>
  </si>
  <si>
    <t>Per</t>
  </si>
  <si>
    <t>From</t>
  </si>
  <si>
    <t>To</t>
  </si>
  <si>
    <t>Who</t>
  </si>
  <si>
    <t>Phone</t>
  </si>
  <si>
    <t>Email</t>
  </si>
  <si>
    <t>Hours</t>
  </si>
  <si>
    <t>What for</t>
  </si>
  <si>
    <t>Setup</t>
  </si>
  <si>
    <t>What it charges</t>
  </si>
  <si>
    <t>Code in the system</t>
  </si>
  <si>
    <t>Name</t>
  </si>
  <si>
    <t>AL</t>
  </si>
  <si>
    <t>Alabama</t>
  </si>
  <si>
    <t>AK</t>
  </si>
  <si>
    <t>Alaska</t>
  </si>
  <si>
    <t>AZ</t>
  </si>
  <si>
    <t>Arizona</t>
  </si>
  <si>
    <t>AR</t>
  </si>
  <si>
    <t>Arkansas</t>
  </si>
  <si>
    <t>CA</t>
  </si>
  <si>
    <t>California</t>
  </si>
  <si>
    <t>CO</t>
  </si>
  <si>
    <t>Colorado</t>
  </si>
  <si>
    <t>CT</t>
  </si>
  <si>
    <t>Connecticut</t>
  </si>
  <si>
    <t>DE</t>
  </si>
  <si>
    <t>Delaware</t>
  </si>
  <si>
    <t>DC</t>
  </si>
  <si>
    <t>District of Columbia</t>
  </si>
  <si>
    <t>FL</t>
  </si>
  <si>
    <t>Florida</t>
  </si>
  <si>
    <t>Georgia</t>
  </si>
  <si>
    <t>Georgia Department of Revenue</t>
  </si>
  <si>
    <t>https://dor.georgia.gov</t>
  </si>
  <si>
    <t>https://gtc.dor.ga.gov</t>
  </si>
  <si>
    <t>(877) 423-6711</t>
  </si>
  <si>
    <t>Two sales tax returns, on-road and off-road, both laid out like the ST-3. On-road is gallons by county, two lines per county, and Fulton County splits by rate. State excise suspended Sept 29 to Nov 5, 2026, and state penalties for dyed diesel on the road waived Oct 6 to Nov 5.</t>
  </si>
  <si>
    <t>https://dor.georgia.gov/find-contact-information-topic</t>
  </si>
  <si>
    <t>HI</t>
  </si>
  <si>
    <t>Hawaii</t>
  </si>
  <si>
    <t>ID</t>
  </si>
  <si>
    <t>Idaho</t>
  </si>
  <si>
    <t>IL</t>
  </si>
  <si>
    <t>Illinois</t>
  </si>
  <si>
    <t>IN</t>
  </si>
  <si>
    <t>Indiana</t>
  </si>
  <si>
    <t>IA</t>
  </si>
  <si>
    <t>Iowa</t>
  </si>
  <si>
    <t>KS</t>
  </si>
  <si>
    <t>Kansas</t>
  </si>
  <si>
    <t>KY</t>
  </si>
  <si>
    <t>Kentucky</t>
  </si>
  <si>
    <t>LA</t>
  </si>
  <si>
    <t>Louisiana</t>
  </si>
  <si>
    <t>ME</t>
  </si>
  <si>
    <t>Maine</t>
  </si>
  <si>
    <t>MD</t>
  </si>
  <si>
    <t>Maryland</t>
  </si>
  <si>
    <t>MA</t>
  </si>
  <si>
    <t>Massachusetts</t>
  </si>
  <si>
    <t>MI</t>
  </si>
  <si>
    <t>Michigan</t>
  </si>
  <si>
    <t>MN</t>
  </si>
  <si>
    <t>Minnesota</t>
  </si>
  <si>
    <t>MS</t>
  </si>
  <si>
    <t>Mississippi</t>
  </si>
  <si>
    <t>MO</t>
  </si>
  <si>
    <t>Missouri</t>
  </si>
  <si>
    <t>MT</t>
  </si>
  <si>
    <t>Montana</t>
  </si>
  <si>
    <t>NE</t>
  </si>
  <si>
    <t>Nebraska</t>
  </si>
  <si>
    <t>NV</t>
  </si>
  <si>
    <t>Nevada</t>
  </si>
  <si>
    <t>NH</t>
  </si>
  <si>
    <t>New Hampshire</t>
  </si>
  <si>
    <t>NJ</t>
  </si>
  <si>
    <t>New Jersey</t>
  </si>
  <si>
    <t>NM</t>
  </si>
  <si>
    <t>New Mexico</t>
  </si>
  <si>
    <t>NY</t>
  </si>
  <si>
    <t>New York</t>
  </si>
  <si>
    <t>NC</t>
  </si>
  <si>
    <t>North Carolina</t>
  </si>
  <si>
    <t>ND</t>
  </si>
  <si>
    <t>North Dakota</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</si>
  <si>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</si>
  <si>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</si>
  <si>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</si>
  <si>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</si>
  <si>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</si>
  <si>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</si>
  <si>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</si>
  <si>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</si>
  <si>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</si>
  <si>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</si>
  <si>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</si>
  <si>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</si>
  <si>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</si>
  <si>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</si>
  <si>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</si>
  <si>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</si>
  <si>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</si>
  <si>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</si>
  <si>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</si>
  <si>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</si>
  <si>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VT</t>
  </si>
  <si>
    <t>Vermont</t>
  </si>
  <si>
    <t>VA</t>
  </si>
  <si>
    <t>Virginia</t>
  </si>
  <si>
    <t>WA</t>
  </si>
  <si>
    <t>Washington</t>
  </si>
  <si>
    <t>WV</t>
  </si>
  <si>
    <t>West Virginia</t>
  </si>
  <si>
    <t>WI</t>
  </si>
  <si>
    <t>Wisconsin</t>
  </si>
  <si>
    <t>WY</t>
  </si>
  <si>
    <t>Wyoming</t>
  </si>
  <si>
    <t>Sales and use tax, on-road</t>
  </si>
  <si>
    <t>ST-3 layout</t>
  </si>
  <si>
    <t>Sales tax, mostly prepaid local</t>
  </si>
  <si>
    <t>Monthly</t>
  </si>
  <si>
    <t>Georgia Tax Center</t>
  </si>
  <si>
    <t>Gallons by county and product, two lines per county. College Park goes on line 4, every other county on line 6. Fulton County splits by rate.</t>
  </si>
  <si>
    <t>DOR ST-3 instructions, rev 07/25/22</t>
  </si>
  <si>
    <t>Sales and use tax, off-road</t>
  </si>
  <si>
    <t>Sales and use tax</t>
  </si>
  <si>
    <t>Dyed fuel. Georgia taxes the small per-gallon fees too, so taxable sales are product cost plus fees.</t>
  </si>
  <si>
    <t>Motor fuel excise, distributor return</t>
  </si>
  <si>
    <t>State motor fuel excise</t>
  </si>
  <si>
    <t>Schedules of Receipts and Disbursements. Sept 29 to Nov 5, 2026: report the gallons on both schedules, don't remit the excise.</t>
  </si>
  <si>
    <t>https://dor.georgia.gov/2026-suspension-georgia-motor-fuel-taxes-faqs</t>
  </si>
  <si>
    <t>Refund claim</t>
  </si>
  <si>
    <t>MFD-33, with MF-12 waivers</t>
  </si>
  <si>
    <t>Motor fuel excise refunds</t>
  </si>
  <si>
    <t>As needed</t>
  </si>
  <si>
    <t>Georgia Tax Center, as refund attachments</t>
  </si>
  <si>
    <t>One MF-12 per supplier per refund type, signed by the supplier before a notary. Each load's invoice copies go in merged into one PDF.</t>
  </si>
  <si>
    <t>DOR form MF-12, rev 06/01/17</t>
  </si>
  <si>
    <t>Motor fuel distributor</t>
  </si>
  <si>
    <t>Type the number and bond in at work.</t>
  </si>
  <si>
    <t>Gasoline</t>
  </si>
  <si>
    <t>State excise</t>
  </si>
  <si>
    <t>$ a gallon</t>
  </si>
  <si>
    <t>The rate at the Sept 2026 suspension. Georgia resets it every Jan 1.</t>
  </si>
  <si>
    <t>Diesel</t>
  </si>
  <si>
    <t>Gasoline and diesel</t>
  </si>
  <si>
    <t>State excise, suspended</t>
  </si>
  <si>
    <t>Governor's order EO 09.28.26.01, extended to Nov 5 by EO 10.06.26.01. Gallons still get reported. Prepaid local tax isn't suspended.</t>
  </si>
  <si>
    <t>Prepaid local sales tax</t>
  </si>
  <si>
    <t>see notes</t>
  </si>
  <si>
    <t>The local rate times a state-set price per gallon, reset each Jan 1 and July 1 and never over $3.00. $3.00 for gas and diesel from July 1, 2026.</t>
  </si>
  <si>
    <t>https://dor.georgia.gov/prepaid-local-tax-motor-fuel-sales-effective-july-1-2026</t>
  </si>
  <si>
    <t>Dyed diesel, road use</t>
  </si>
  <si>
    <t>State penalties waived</t>
  </si>
  <si>
    <t>EO 10.06.26.01 and Bulletin MFT-2026-04 waive the 48-9-16(e) penalties for dyed fuel on the road. The $100 a month notice penalty in (f) still applies.</t>
  </si>
  <si>
    <t>https://dor.georgia.gov/mft-2026-04-temporary-waiver-state-dyed-fuel-penalties</t>
  </si>
  <si>
    <t>Taxpayer Services, motor fuel</t>
  </si>
  <si>
    <t>8 to 5, weekdays</t>
  </si>
  <si>
    <t>Motor fuel tax questions</t>
  </si>
  <si>
    <t>How this workbook works</t>
  </si>
  <si>
    <t>The State tab shows one state at a time. Pick the state in its yellow box and everything about that state shows up, pulled from the other tabs.</t>
  </si>
  <si>
    <t>Only the yellow box on the State tab takes typing. Type everything else on the tab it belongs to: States, Returns, Licenses, Rates, Contacts or Setups.</t>
  </si>
  <si>
    <t>Every row starts with the state's two-letter code. The State column only takes codes from the list, so spellings can't drift apart.</t>
  </si>
  <si>
    <t>A state with more of something just gets more rows. Four Georgia returns are four rows on Returns.</t>
  </si>
  <si>
    <t>To add a row, type in the first empty row right under a list, and the list grows to take it.</t>
  </si>
  <si>
    <t>A new kind of info is a new column at the right end of that tab's list. It shows on the State tab once someone adds it there too.</t>
  </si>
  <si>
    <t>Rates keep their history. When a rate changes, give the old row a To date and add a new row with its From date. The State tab shows only current rates: no To date, or a To date still ahead. Old ones stay on the Rates tab.</t>
  </si>
  <si>
    <t>Source and Last checked: put the page you checked and the date, so anyone can recheck it in seconds.</t>
  </si>
  <si>
    <t>The State tab has room for 8 returns, 6 licenses, 8 current rates, 5 contacts and 6 tax setups per state, and says so when a state has more. It shows two lines of each note; the whole note is on its tab.</t>
  </si>
  <si>
    <t>The State tab is locked so nobody types over it by accident. No password: Review, then Unprotect Sheet, if it ever needs changing.</t>
  </si>
  <si>
    <t>Company numbers, like license and account numbers and bond amounts, get typed in here at work.</t>
  </si>
  <si>
    <t>Never put passwords or logins in this workbook.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</si>
</sst>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
  </numFmts>
  <fonts count="8" x14ac:knownFonts="1">
    <font>
      <sz val="11"/>
      <color theme="1"/>
      <name val="Calibri"/>
      <family val="2"/>
      <scheme val="minor"/>
    </font>
    <font>
      <b/>
      <sz val="10"/>
      <name val="Arial"/>
    </font>
    <font>
      <sz val="10"/>
      <name val="Arial"/>
    </font>
    <font>
      <u/>
      <sz val="10"/>
      <color rgb="FF0563C1"/>
      <name val="Arial"/>
    </font>
    <font>
      <b/>
      <sz val="16"/>
      <name val="Arial"/>
    </font>
    <font>
      <i/>
      <sz val="10"/>
      <color rgb="FF808080"/>
      <name val="Arial"/>
    </font>
    <font>
      <b/>
      <sz val="14"/>
      <color rgb="FF0000FF"/>
      <name val="Arial"/>
    </font>
    <font>
      <b/>
      <sz val="11"/>
      <color rgb="FFFFFFFF"/>
      <name val="Arial"/>
    </font>
  </fonts>
  <fills count="5">
    <fill>
      <patternFill patternType="none"/>
    </fill>
    <fill>
      <patternFill patternType="gray125"/>
    </fill>
    <fill>
      <patternFill patternType="solid">
        <fgColor rgb="FFFFFF00"/>
      </patternFill>
    </fill>
    <fill>
      <patternFill patternType="solid">
        <fgColor rgb="FF44546A"/>
      </patternFill>
    </fill>
    <fill>
      <patternFill patternType="solid">
        <fgColor rgb="FFDDDDDD"/>
      </patternFill>
    </fill>
  </fills>
  <borders count="1">
    <border>
      <left/>
      <right/>
      <top/>
      <bottom/>
      <diagonal/>
    </border>
  </borders>
  <cellStyleXfs count="1">
    <xf numFmtId="0" fontId="0" fillId="0" borderId="0"/>
  </cellStyleXfs>
  <cellXfs count="22">
    <xf numFmtId="0" fontId="0" fillId="0" borderId="0" xfId="0"/>
    <xf numFmtId="0" fontId="4" fillId="0" borderId="0" xfId="0" applyFont="1"/>
    <xf numFmtId="0" fontId="5" fillId="0" borderId="0" xfId="0" applyFont="1"/>
    <xf numFmtId="0" fontId="1" fillId="0" borderId="0" xfId="0" applyFont="1" applyAlignment="1">
      <alignment vertical="center"/>
    </xf>
    <xf numFmtId="0" fontId="6" fillId="2" borderId="0" xfId="0" applyFont="1" applyFill="1" applyAlignment="1" applyProtection="1">
      <alignment horizontal="center" vertical="center"/>
      <protection locked="0"/>
    </xf>
    <xf numFmtId="0" fontId="4" fillId="0" borderId="0" xfId="0" applyFont="1" applyAlignment="1">
      <alignment vertical="center"/>
    </xf>
    <xf numFmtId="0" fontId="7" fillId="3" borderId="0" xfId="0" applyFont="1" applyFill="1"/>
    <xf numFmtId="0" fontId="0" fillId="3" borderId="0" xfId="0" applyFill="1"/>
    <xf numFmtId="0" fontId="1" fillId="4" borderId="0" xfId="0" applyFont="1" applyFill="1" applyAlignment="1">
      <alignment vertical="top"/>
    </xf>
    <xf numFmtId="0" fontId="1" fillId="4" borderId="0" xfId="0" applyFont="1" applyFill="1"/>
    <xf numFmtId="0" fontId="2" fillId="0" borderId="0" xfId="0" applyFont="1" applyAlignment="1">
      <alignment vertical="top" wrapText="1"/>
    </xf>
    <xf numFmtId="0" fontId="2" fillId="0" borderId="0" xfId="0" applyFont="1" applyAlignment="1">
      <alignment vertical="top"/>
    </xf>
    <xf numFmtId="0" fontId="0" fillId="4" borderId="0" xfId="0" applyFill="1"/>
    <xf numFmtId="14" fontId="2" fillId="0" borderId="0" xfId="0" applyNumberFormat="1" applyFont="1" applyAlignment="1">
      <alignment vertical="top"/>
    </xf>
    <xf numFmtId="165" fontId="2" fillId="0" borderId="0" xfId="0" applyNumberFormat="1" applyFont="1" applyAlignment="1">
      <alignment vertical="top"/>
    </xf>
    <xf numFmtId="0" fontId="1" fillId="0" borderId="0" xfId="0" applyFont="1"/>
    <xf numFmtId="0" fontId="3" fillId="0" borderId="0" xfId="0" applyFont="1" applyAlignment="1">
      <alignment vertical="top"/>
    </xf>
    <xf numFmtId="0" fontId="4" fillId="0" borderId="0" xfId="0" applyFont="1" applyAlignment="1">
      <alignment vertical="top" wrapText="1"/>
    </xf>
    <xf numFmtId="0" fontId="3" fillId="0" borderId="0" xfId="0" applyFont="1" applyAlignment="1">
      <alignment horizontal="left" vertical="top" wrapText="1"/>
    </xf>
    <xf numFmtId="0" fontId="0" fillId="0" borderId="0" xfId="0"/>
    <xf numFmtId="0" fontId="2" fillId="0" borderId="0" xfId="0" applyFont="1" applyAlignment="1">
      <alignment horizontal="left" vertical="top" wrapText="1"/>
    </xf>
    <xf numFmtId="14" fontId="2" fillId="0" borderId="0" xfId="0" applyNumberFormat="1" applyFont="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tatesList" displayName="StatesList" ref="A1:K52">
  <autoFilter ref="A1:K52" xr:uid="{00000000-0009-0000-0100-000001000000}"/>
  <tableColumns count="11">
    <tableColumn id="1" xr3:uid="{00000000-0010-0000-0000-000001000000}" name="State"/>
    <tableColumn id="2" xr3:uid="{00000000-0010-0000-0000-000002000000}" name="Name"/>
    <tableColumn id="3" xr3:uid="{00000000-0010-0000-0000-000003000000}" name="Tax agency"/>
    <tableColumn id="4" xr3:uid="{00000000-0010-0000-0000-000004000000}" name="Website"/>
    <tableColumn id="5" xr3:uid="{00000000-0010-0000-0000-000005000000}" name="Filing site"/>
    <tableColumn id="6" xr3:uid="{00000000-0010-0000-0000-000006000000}" name="Main phone"/>
    <tableColumn id="7" xr3:uid="{00000000-0010-0000-0000-000007000000}" name="Bond required"/>
    <tableColumn id="8" xr3:uid="{00000000-0010-0000-0000-000008000000}" name="Where the files live"/>
    <tableColumn id="9" xr3:uid="{00000000-0010-0000-0000-000009000000}" name="Quirks"/>
    <tableColumn id="10" xr3:uid="{00000000-0010-0000-0000-00000A000000}" name="Source"/>
    <tableColumn id="11" xr3:uid="{00000000-0010-0000-0000-00000B000000}" name="Last checke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eturnsList" displayName="ReturnsList" ref="A1:J5">
  <autoFilter ref="A1:J5" xr:uid="{00000000-0009-0000-0100-000002000000}"/>
  <tableColumns count="10">
    <tableColumn id="1" xr3:uid="{00000000-0010-0000-0100-000001000000}" name="State"/>
    <tableColumn id="2" xr3:uid="{00000000-0010-0000-0100-000002000000}" name="Return"/>
    <tableColumn id="3" xr3:uid="{00000000-0010-0000-0100-000003000000}" name="Form"/>
    <tableColumn id="4" xr3:uid="{00000000-0010-0000-0100-000004000000}" name="Tax"/>
    <tableColumn id="5" xr3:uid="{00000000-0010-0000-0100-000005000000}" name="How often"/>
    <tableColumn id="6" xr3:uid="{00000000-0010-0000-0100-000006000000}" name="How to file"/>
    <tableColumn id="7" xr3:uid="{00000000-0010-0000-0100-000007000000}" name="How to pay"/>
    <tableColumn id="8" xr3:uid="{00000000-0010-0000-0100-000008000000}" name="Notes"/>
    <tableColumn id="9" xr3:uid="{00000000-0010-0000-0100-000009000000}" name="Source"/>
    <tableColumn id="10" xr3:uid="{00000000-0010-0000-0100-00000A000000}" name="Last checke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LicensesList" displayName="LicensesList" ref="A1:I2">
  <autoFilter ref="A1:I2" xr:uid="{00000000-0009-0000-0100-000003000000}"/>
  <tableColumns count="9">
    <tableColumn id="1" xr3:uid="{00000000-0010-0000-0200-000001000000}" name="State"/>
    <tableColumn id="2" xr3:uid="{00000000-0010-0000-0200-000002000000}" name="License"/>
    <tableColumn id="3" xr3:uid="{00000000-0010-0000-0200-000003000000}" name="Number"/>
    <tableColumn id="4" xr3:uid="{00000000-0010-0000-0200-000004000000}" name="Expires"/>
    <tableColumn id="5" xr3:uid="{00000000-0010-0000-0200-000005000000}" name="Bond amount"/>
    <tableColumn id="6" xr3:uid="{00000000-0010-0000-0200-000006000000}" name="Renew how"/>
    <tableColumn id="7" xr3:uid="{00000000-0010-0000-0200-000007000000}" name="Notes"/>
    <tableColumn id="8" xr3:uid="{00000000-0010-0000-0200-000008000000}" name="Source"/>
    <tableColumn id="9" xr3:uid="{00000000-0010-0000-0200-000009000000}" name="Last checked"/>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RatesList" displayName="RatesList" ref="A1:J6">
  <autoFilter ref="A1:J6" xr:uid="{00000000-0009-0000-0100-000004000000}"/>
  <tableColumns count="10">
    <tableColumn id="1" xr3:uid="{00000000-0010-0000-0300-000001000000}" name="State"/>
    <tableColumn id="2" xr3:uid="{00000000-0010-0000-0300-000002000000}" name="Product"/>
    <tableColumn id="3" xr3:uid="{00000000-0010-0000-0300-000003000000}" name="Tax"/>
    <tableColumn id="4" xr3:uid="{00000000-0010-0000-0300-000004000000}" name="Rate"/>
    <tableColumn id="5" xr3:uid="{00000000-0010-0000-0300-000005000000}" name="Per"/>
    <tableColumn id="6" xr3:uid="{00000000-0010-0000-0300-000006000000}" name="From"/>
    <tableColumn id="7" xr3:uid="{00000000-0010-0000-0300-000007000000}" name="To"/>
    <tableColumn id="8" xr3:uid="{00000000-0010-0000-0300-000008000000}" name="Notes"/>
    <tableColumn id="9" xr3:uid="{00000000-0010-0000-0300-000009000000}" name="Source"/>
    <tableColumn id="10" xr3:uid="{00000000-0010-0000-0300-00000A000000}" name="Last checked"/>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ContactsList" displayName="ContactsList" ref="A1:H2">
  <autoFilter ref="A1:H2" xr:uid="{00000000-0009-0000-0100-000005000000}"/>
  <tableColumns count="8">
    <tableColumn id="1" xr3:uid="{00000000-0010-0000-0400-000001000000}" name="State"/>
    <tableColumn id="2" xr3:uid="{00000000-0010-0000-0400-000002000000}" name="Who"/>
    <tableColumn id="3" xr3:uid="{00000000-0010-0000-0400-000003000000}" name="Phone"/>
    <tableColumn id="4" xr3:uid="{00000000-0010-0000-0400-000004000000}" name="Email"/>
    <tableColumn id="5" xr3:uid="{00000000-0010-0000-0400-000005000000}" name="Hours"/>
    <tableColumn id="6" xr3:uid="{00000000-0010-0000-0400-000006000000}" name="What for"/>
    <tableColumn id="7" xr3:uid="{00000000-0010-0000-0400-000007000000}" name="Source"/>
    <tableColumn id="8" xr3:uid="{00000000-0010-0000-0400-000008000000}" name="Last checked"/>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SetupsList" displayName="SetupsList" ref="A1:G2">
  <autoFilter ref="A1:G2" xr:uid="{00000000-0009-0000-0100-000006000000}"/>
  <tableColumns count="7">
    <tableColumn id="1" xr3:uid="{00000000-0010-0000-0500-000001000000}" name="State"/>
    <tableColumn id="2" xr3:uid="{00000000-0010-0000-0500-000002000000}" name="Setup"/>
    <tableColumn id="3" xr3:uid="{00000000-0010-0000-0500-000003000000}" name="Product"/>
    <tableColumn id="4" xr3:uid="{00000000-0010-0000-0500-000004000000}" name="What it charges"/>
    <tableColumn id="5" xr3:uid="{00000000-0010-0000-0500-000005000000}" name="Code in the system"/>
    <tableColumn id="6" xr3:uid="{00000000-0010-0000-0500-000006000000}" name="Notes"/>
    <tableColumn id="7" xr3:uid="{00000000-0010-0000-0500-000007000000}" name="Last check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dor.georgia.gov/find-contact-information-topic" TargetMode="External"/><Relationship Id="rId2" Type="http://schemas.openxmlformats.org/officeDocument/2006/relationships/hyperlink" Target="https://gtc.dor.ga.gov/" TargetMode="External"/><Relationship Id="rId1" Type="http://schemas.openxmlformats.org/officeDocument/2006/relationships/hyperlink" Target="https://dor.georgia.gov/" TargetMode="Externa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s://dor.georgia.gov/2026-suspension-georgia-motor-fuel-taxes-faqs"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hyperlink" Target="https://dor.georgia.gov/2026-suspension-georgia-motor-fuel-taxes-faqs" TargetMode="External"/><Relationship Id="rId2" Type="http://schemas.openxmlformats.org/officeDocument/2006/relationships/hyperlink" Target="https://dor.georgia.gov/2026-suspension-georgia-motor-fuel-taxes-faqs" TargetMode="External"/><Relationship Id="rId1" Type="http://schemas.openxmlformats.org/officeDocument/2006/relationships/hyperlink" Target="https://dor.georgia.gov/2026-suspension-georgia-motor-fuel-taxes-faqs" TargetMode="External"/><Relationship Id="rId6" Type="http://schemas.openxmlformats.org/officeDocument/2006/relationships/table" Target="../tables/table4.xml"/><Relationship Id="rId5" Type="http://schemas.openxmlformats.org/officeDocument/2006/relationships/hyperlink" Target="https://dor.georgia.gov/mft-2026-04-temporary-waiver-state-dyed-fuel-penalties" TargetMode="External"/><Relationship Id="rId4" Type="http://schemas.openxmlformats.org/officeDocument/2006/relationships/hyperlink" Target="https://dor.georgia.gov/prepaid-local-tax-motor-fuel-sales-effective-july-1-2026" TargetMode="Externa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hyperlink" Target="https://dor.georgia.gov/find-contact-information-topic" TargetMode="Externa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0AD47"/>
    <pageSetUpPr fitToPage="1"/>
  </sheetPr>
  <dimension ref="A1:H67"/>
  <sheetViews>
    <sheetView tabSelected="1" workbookViewId="0">
      <pane ySplit="4" topLeftCell="A5" activePane="bottomLeft" state="frozen"/>
      <selection pane="bottomLeft"/>
    </sheetView>
  </sheetViews>
  <sheetFormatPr defaultRowHeight="15" x14ac:dyDescent="0.25"/>
  <cols>
    <col min="1" max="1" width="4" hidden="1" customWidth="1"/>
    <col min="2" max="2" width="30" customWidth="1"/>
    <col min="3" max="3" width="20" customWidth="1"/>
    <col min="4" max="4" width="24" customWidth="1"/>
    <col min="5" max="5" width="14" customWidth="1"/>
    <col min="6" max="6" width="22" customWidth="1"/>
    <col min="7" max="7" width="14" customWidth="1"/>
    <col min="8" max="8" width="70" customWidth="1"/>
  </cols>
  <sheetData>
    <row r="1" spans="1:8" ht="20.25" x14ac:dyDescent="0.3">
      <c r="B1" s="1" t="s">
        <v>0</v>
      </c>
    </row>
    <row r="2" spans="1:8" x14ac:dyDescent="0.25">
      <c r="B2" s="2" t="s">
        <v>1</v>
      </c>
    </row>
    <row r="3" spans="1:8" ht="24" customHeight="1" x14ac:dyDescent="0.25">
      <c r="B3" s="3" t="s">
        <v>2</v>
      </c>
      <c r="C3" s="4" t="s">
        <v>3</v>
      </c>
      <c r="D3" s="5" t="str">
        <f>IF($A$4="","",INDEX(States!$B$2:$B$1000,$A$4))</f>
        <v>Georgia</v>
      </c>
    </row>
    <row r="4" spans="1:8" x14ac:dyDescent="0.25">
      <c r="A4">
        <f>IFERROR(MATCH($C$3,States!$A$2:$A$1000,0),"")</f>
        <v>11</v>
      </c>
    </row>
    <row r="5" spans="1:8" x14ac:dyDescent="0.25">
      <c r="B5" s="6" t="s">
        <v>4</v>
      </c>
      <c r="C5" s="7"/>
      <c r="D5" s="7"/>
      <c r="E5" s="7"/>
      <c r="F5" s="7"/>
      <c r="G5" s="7"/>
      <c r="H5" s="7"/>
    </row>
    <row r="6" spans="1:8" x14ac:dyDescent="0.25">
      <c r="B6" s="8" t="s">
        <v>5</v>
      </c>
      <c r="C6" s="20" t="str">
        <f>IF($A$4="","",IF(INDEX(States!C$2:C$1000,$A$4)="","",INDEX(States!C$2:C$1000,$A$4)))</f>
        <v>Georgia Department of Revenue</v>
      </c>
      <c r="D6" s="19"/>
      <c r="E6" s="19"/>
      <c r="F6" s="19"/>
      <c r="G6" s="19"/>
      <c r="H6" s="19"/>
    </row>
    <row r="7" spans="1:8" x14ac:dyDescent="0.25">
      <c r="B7" s="8" t="s">
        <v>6</v>
      </c>
      <c r="C7" s="18" t="str">
        <f>IF($A$4="","",IF(INDEX(States!D$2:D$1000,$A$4)="","",IF(OR(LEFT(INDEX(States!D$2:D$1000,$A$4),4)="http",LEFT(INDEX(States!D$2:D$1000,$A$4),2)="\\",MID(INDEX(States!D$2:D$1000,$A$4),2,1)=":"),HYPERLINK(INDEX(States!D$2:D$1000,$A$4),INDEX(States!D$2:D$1000,$A$4)),INDEX(States!D$2:D$1000,$A$4))))</f>
        <v>https://dor.georgia.gov</v>
      </c>
      <c r="D7" s="19"/>
      <c r="E7" s="19"/>
      <c r="F7" s="19"/>
      <c r="G7" s="19"/>
      <c r="H7" s="19"/>
    </row>
    <row r="8" spans="1:8" x14ac:dyDescent="0.25">
      <c r="B8" s="8" t="s">
        <v>7</v>
      </c>
      <c r="C8" s="18" t="str">
        <f>IF($A$4="","",IF(INDEX(States!E$2:E$1000,$A$4)="","",IF(OR(LEFT(INDEX(States!E$2:E$1000,$A$4),4)="http",LEFT(INDEX(States!E$2:E$1000,$A$4),2)="\\",MID(INDEX(States!E$2:E$1000,$A$4),2,1)=":"),HYPERLINK(INDEX(States!E$2:E$1000,$A$4),INDEX(States!E$2:E$1000,$A$4)),INDEX(States!E$2:E$1000,$A$4))))</f>
        <v>https://gtc.dor.ga.gov</v>
      </c>
      <c r="D8" s="19"/>
      <c r="E8" s="19"/>
      <c r="F8" s="19"/>
      <c r="G8" s="19"/>
      <c r="H8" s="19"/>
    </row>
    <row r="9" spans="1:8" x14ac:dyDescent="0.25">
      <c r="B9" s="8" t="s">
        <v>8</v>
      </c>
      <c r="C9" s="20" t="str">
        <f>IF($A$4="","",IF(INDEX(States!F$2:F$1000,$A$4)="","",INDEX(States!F$2:F$1000,$A$4)))</f>
        <v>(877) 423-6711</v>
      </c>
      <c r="D9" s="19"/>
      <c r="E9" s="19"/>
      <c r="F9" s="19"/>
      <c r="G9" s="19"/>
      <c r="H9" s="19"/>
    </row>
    <row r="10" spans="1:8" x14ac:dyDescent="0.25">
      <c r="B10" s="8" t="s">
        <v>9</v>
      </c>
      <c r="C10" s="20" t="str">
        <f>IF($A$4="","",IF(INDEX(States!G$2:G$1000,$A$4)="","",INDEX(States!G$2:G$1000,$A$4)))</f>
        <v/>
      </c>
      <c r="D10" s="19"/>
      <c r="E10" s="19"/>
      <c r="F10" s="19"/>
      <c r="G10" s="19"/>
      <c r="H10" s="19"/>
    </row>
    <row r="11" spans="1:8" x14ac:dyDescent="0.25">
      <c r="B11" s="8" t="s">
        <v>10</v>
      </c>
      <c r="C11" s="18" t="str">
        <f>IF($A$4="","",IF(INDEX(States!H$2:H$1000,$A$4)="","",IF(OR(LEFT(INDEX(States!H$2:H$1000,$A$4),4)="http",LEFT(INDEX(States!H$2:H$1000,$A$4),2)="\\",MID(INDEX(States!H$2:H$1000,$A$4),2,1)=":"),HYPERLINK(INDEX(States!H$2:H$1000,$A$4),INDEX(States!H$2:H$1000,$A$4)),INDEX(States!H$2:H$1000,$A$4))))</f>
        <v/>
      </c>
      <c r="D11" s="19"/>
      <c r="E11" s="19"/>
      <c r="F11" s="19"/>
      <c r="G11" s="19"/>
      <c r="H11" s="19"/>
    </row>
    <row r="12" spans="1:8" ht="27" customHeight="1" x14ac:dyDescent="0.25">
      <c r="B12" s="8" t="s">
        <v>11</v>
      </c>
      <c r="C12" s="20" t="str">
        <f>IF($A$4="","",IF(INDEX(States!I$2:I$1000,$A$4)="","",INDEX(States!I$2:I$1000,$A$4)))</f>
        <v>Two sales tax returns, on-road and off-road, both laid out like the ST-3. On-road is gallons by county, two lines per county, and Fulton County splits by rate. State excise suspended Sept 29 to Nov 5, 2026, and state penalties for dyed diesel on the road waived Oct 6 to Nov 5.</v>
      </c>
      <c r="D12" s="19"/>
      <c r="E12" s="19"/>
      <c r="F12" s="19"/>
      <c r="G12" s="19"/>
      <c r="H12" s="19"/>
    </row>
    <row r="13" spans="1:8" x14ac:dyDescent="0.25">
      <c r="B13" s="8" t="s">
        <v>12</v>
      </c>
      <c r="C13" s="18" t="str">
        <f>IF($A$4="","",IF(INDEX(States!J$2:J$1000,$A$4)="","",IF(OR(LEFT(INDEX(States!J$2:J$1000,$A$4),4)="http",LEFT(INDEX(States!J$2:J$1000,$A$4),2)="\\",MID(INDEX(States!J$2:J$1000,$A$4),2,1)=":"),HYPERLINK(INDEX(States!J$2:J$1000,$A$4),INDEX(States!J$2:J$1000,$A$4)),INDEX(States!J$2:J$1000,$A$4))))</f>
        <v>https://dor.georgia.gov/find-contact-information-topic</v>
      </c>
      <c r="D13" s="19"/>
      <c r="E13" s="19"/>
      <c r="F13" s="19"/>
      <c r="G13" s="19"/>
      <c r="H13" s="19"/>
    </row>
    <row r="14" spans="1:8" x14ac:dyDescent="0.25">
      <c r="B14" s="8" t="s">
        <v>13</v>
      </c>
      <c r="C14" s="21">
        <f>IF($A$4="","",IF(INDEX(States!K$2:K$1000,$A$4)="","",INDEX(States!K$2:K$1000,$A$4)))</f>
        <v>46305</v>
      </c>
      <c r="D14" s="19"/>
      <c r="E14" s="19"/>
      <c r="F14" s="19"/>
      <c r="G14" s="19"/>
      <c r="H14" s="19"/>
    </row>
    <row r="16" spans="1:8" x14ac:dyDescent="0.25">
      <c r="B16" s="6" t="str">
        <f>"Returns ("&amp;COUNTIF(Returns!$A$2:$A$1000,$C$3)&amp;")"</f>
        <v>Returns (4)</v>
      </c>
      <c r="C16" s="7"/>
      <c r="D16" s="7"/>
      <c r="E16" s="7"/>
      <c r="F16" s="7"/>
      <c r="G16" s="7"/>
      <c r="H16" s="7"/>
    </row>
    <row r="17" spans="1:8" x14ac:dyDescent="0.25">
      <c r="B17" s="9" t="s">
        <v>14</v>
      </c>
      <c r="C17" s="9" t="s">
        <v>15</v>
      </c>
      <c r="D17" s="9" t="s">
        <v>16</v>
      </c>
      <c r="E17" s="9" t="s">
        <v>17</v>
      </c>
      <c r="F17" s="9" t="s">
        <v>18</v>
      </c>
      <c r="G17" s="9" t="s">
        <v>19</v>
      </c>
      <c r="H17" s="9" t="s">
        <v>20</v>
      </c>
    </row>
    <row r="18" spans="1:8" ht="27" customHeight="1" x14ac:dyDescent="0.25">
      <c r="A18">
        <f>IFERROR(_xlfn.AGGREGATE(15,6,(ROW(Returns!$A$2:$A$1000)-1)/(Returns!$A$2:$A$1000=$C$3),1),"")</f>
        <v>1</v>
      </c>
      <c r="B18" s="10" t="str">
        <f>IF($A18="","",IF(INDEX(Returns!B$2:B$1000,$A18)="","",INDEX(Returns!B$2:B$1000,$A18)))</f>
        <v>Sales and use tax, on-road</v>
      </c>
      <c r="C18" s="10" t="str">
        <f>IF($A18="","",IF(INDEX(Returns!C$2:C$1000,$A18)="","",INDEX(Returns!C$2:C$1000,$A18)))</f>
        <v>ST-3 layout</v>
      </c>
      <c r="D18" s="10" t="str">
        <f>IF($A18="","",IF(INDEX(Returns!D$2:D$1000,$A18)="","",INDEX(Returns!D$2:D$1000,$A18)))</f>
        <v>Sales tax, mostly prepaid local</v>
      </c>
      <c r="E18" s="11" t="str">
        <f>IF($A18="","",IF(INDEX(Returns!E$2:E$1000,$A18)="","",INDEX(Returns!E$2:E$1000,$A18)))</f>
        <v>Monthly</v>
      </c>
      <c r="F18" s="10" t="str">
        <f>IF($A18="","",IF(INDEX(Returns!F$2:F$1000,$A18)="","",INDEX(Returns!F$2:F$1000,$A18)))</f>
        <v>Georgia Tax Center</v>
      </c>
      <c r="G18" s="11" t="str">
        <f>IF($A18="","",IF(INDEX(Returns!G$2:G$1000,$A18)="","",INDEX(Returns!G$2:G$1000,$A18)))</f>
        <v/>
      </c>
      <c r="H18" s="10" t="str">
        <f>IF($A18="","",IF(INDEX(Returns!H$2:H$1000,$A18)="","",INDEX(Returns!H$2:H$1000,$A18)))</f>
        <v>Gallons by county and product, two lines per county. College Park goes on line 4, every other county on line 6. Fulton County splits by rate.</v>
      </c>
    </row>
    <row r="19" spans="1:8" ht="27" customHeight="1" x14ac:dyDescent="0.25">
      <c r="A19">
        <f>IFERROR(_xlfn.AGGREGATE(15,6,(ROW(Returns!$A$2:$A$1000)-1)/(Returns!$A$2:$A$1000=$C$3),2),"")</f>
        <v>2</v>
      </c>
      <c r="B19" s="10" t="str">
        <f>IF($A19="","",IF(INDEX(Returns!B$2:B$1000,$A19)="","",INDEX(Returns!B$2:B$1000,$A19)))</f>
        <v>Sales and use tax, off-road</v>
      </c>
      <c r="C19" s="10" t="str">
        <f>IF($A19="","",IF(INDEX(Returns!C$2:C$1000,$A19)="","",INDEX(Returns!C$2:C$1000,$A19)))</f>
        <v>ST-3 layout</v>
      </c>
      <c r="D19" s="10" t="str">
        <f>IF($A19="","",IF(INDEX(Returns!D$2:D$1000,$A19)="","",INDEX(Returns!D$2:D$1000,$A19)))</f>
        <v>Sales and use tax</v>
      </c>
      <c r="E19" s="11" t="str">
        <f>IF($A19="","",IF(INDEX(Returns!E$2:E$1000,$A19)="","",INDEX(Returns!E$2:E$1000,$A19)))</f>
        <v>Monthly</v>
      </c>
      <c r="F19" s="10" t="str">
        <f>IF($A19="","",IF(INDEX(Returns!F$2:F$1000,$A19)="","",INDEX(Returns!F$2:F$1000,$A19)))</f>
        <v>Georgia Tax Center</v>
      </c>
      <c r="G19" s="11" t="str">
        <f>IF($A19="","",IF(INDEX(Returns!G$2:G$1000,$A19)="","",INDEX(Returns!G$2:G$1000,$A19)))</f>
        <v/>
      </c>
      <c r="H19" s="10" t="str">
        <f>IF($A19="","",IF(INDEX(Returns!H$2:H$1000,$A19)="","",INDEX(Returns!H$2:H$1000,$A19)))</f>
        <v>Dyed fuel. Georgia taxes the small per-gallon fees too, so taxable sales are product cost plus fees.</v>
      </c>
    </row>
    <row r="20" spans="1:8" ht="27" customHeight="1" x14ac:dyDescent="0.25">
      <c r="A20">
        <f>IFERROR(_xlfn.AGGREGATE(15,6,(ROW(Returns!$A$2:$A$1000)-1)/(Returns!$A$2:$A$1000=$C$3),3),"")</f>
        <v>3</v>
      </c>
      <c r="B20" s="10" t="str">
        <f>IF($A20="","",IF(INDEX(Returns!B$2:B$1000,$A20)="","",INDEX(Returns!B$2:B$1000,$A20)))</f>
        <v>Motor fuel excise, distributor return</v>
      </c>
      <c r="C20" s="10" t="str">
        <f>IF($A20="","",IF(INDEX(Returns!C$2:C$1000,$A20)="","",INDEX(Returns!C$2:C$1000,$A20)))</f>
        <v/>
      </c>
      <c r="D20" s="10" t="str">
        <f>IF($A20="","",IF(INDEX(Returns!D$2:D$1000,$A20)="","",INDEX(Returns!D$2:D$1000,$A20)))</f>
        <v>State motor fuel excise</v>
      </c>
      <c r="E20" s="11" t="str">
        <f>IF($A20="","",IF(INDEX(Returns!E$2:E$1000,$A20)="","",INDEX(Returns!E$2:E$1000,$A20)))</f>
        <v>Monthly</v>
      </c>
      <c r="F20" s="10" t="str">
        <f>IF($A20="","",IF(INDEX(Returns!F$2:F$1000,$A20)="","",INDEX(Returns!F$2:F$1000,$A20)))</f>
        <v>Georgia Tax Center</v>
      </c>
      <c r="G20" s="11" t="str">
        <f>IF($A20="","",IF(INDEX(Returns!G$2:G$1000,$A20)="","",INDEX(Returns!G$2:G$1000,$A20)))</f>
        <v/>
      </c>
      <c r="H20" s="10" t="str">
        <f>IF($A20="","",IF(INDEX(Returns!H$2:H$1000,$A20)="","",INDEX(Returns!H$2:H$1000,$A20)))</f>
        <v>Schedules of Receipts and Disbursements. Sept 29 to Nov 5, 2026: report the gallons on both schedules, don't remit the excise.</v>
      </c>
    </row>
    <row r="21" spans="1:8" ht="27" customHeight="1" x14ac:dyDescent="0.25">
      <c r="A21">
        <f>IFERROR(_xlfn.AGGREGATE(15,6,(ROW(Returns!$A$2:$A$1000)-1)/(Returns!$A$2:$A$1000=$C$3),4),"")</f>
        <v>4</v>
      </c>
      <c r="B21" s="10" t="str">
        <f>IF($A21="","",IF(INDEX(Returns!B$2:B$1000,$A21)="","",INDEX(Returns!B$2:B$1000,$A21)))</f>
        <v>Refund claim</v>
      </c>
      <c r="C21" s="10" t="str">
        <f>IF($A21="","",IF(INDEX(Returns!C$2:C$1000,$A21)="","",INDEX(Returns!C$2:C$1000,$A21)))</f>
        <v>MFD-33, with MF-12 waivers</v>
      </c>
      <c r="D21" s="10" t="str">
        <f>IF($A21="","",IF(INDEX(Returns!D$2:D$1000,$A21)="","",INDEX(Returns!D$2:D$1000,$A21)))</f>
        <v>Motor fuel excise refunds</v>
      </c>
      <c r="E21" s="11" t="str">
        <f>IF($A21="","",IF(INDEX(Returns!E$2:E$1000,$A21)="","",INDEX(Returns!E$2:E$1000,$A21)))</f>
        <v>As needed</v>
      </c>
      <c r="F21" s="10" t="str">
        <f>IF($A21="","",IF(INDEX(Returns!F$2:F$1000,$A21)="","",INDEX(Returns!F$2:F$1000,$A21)))</f>
        <v>Georgia Tax Center, as refund attachments</v>
      </c>
      <c r="G21" s="11" t="str">
        <f>IF($A21="","",IF(INDEX(Returns!G$2:G$1000,$A21)="","",INDEX(Returns!G$2:G$1000,$A21)))</f>
        <v/>
      </c>
      <c r="H21" s="10" t="str">
        <f>IF($A21="","",IF(INDEX(Returns!H$2:H$1000,$A21)="","",INDEX(Returns!H$2:H$1000,$A21)))</f>
        <v>One MF-12 per supplier per refund type, signed by the supplier before a notary. Each load's invoice copies go in merged into one PDF.</v>
      </c>
    </row>
    <row r="22" spans="1:8" ht="27" customHeight="1" x14ac:dyDescent="0.25">
      <c r="A22" t="str">
        <f>IFERROR(_xlfn.AGGREGATE(15,6,(ROW(Returns!$A$2:$A$1000)-1)/(Returns!$A$2:$A$1000=$C$3),5),"")</f>
        <v/>
      </c>
      <c r="B22" s="10" t="str">
        <f>IF($A22="","",IF(INDEX(Returns!B$2:B$1000,$A22)="","",INDEX(Returns!B$2:B$1000,$A22)))</f>
        <v/>
      </c>
      <c r="C22" s="10" t="str">
        <f>IF($A22="","",IF(INDEX(Returns!C$2:C$1000,$A22)="","",INDEX(Returns!C$2:C$1000,$A22)))</f>
        <v/>
      </c>
      <c r="D22" s="10" t="str">
        <f>IF($A22="","",IF(INDEX(Returns!D$2:D$1000,$A22)="","",INDEX(Returns!D$2:D$1000,$A22)))</f>
        <v/>
      </c>
      <c r="E22" s="11" t="str">
        <f>IF($A22="","",IF(INDEX(Returns!E$2:E$1000,$A22)="","",INDEX(Returns!E$2:E$1000,$A22)))</f>
        <v/>
      </c>
      <c r="F22" s="10" t="str">
        <f>IF($A22="","",IF(INDEX(Returns!F$2:F$1000,$A22)="","",INDEX(Returns!F$2:F$1000,$A22)))</f>
        <v/>
      </c>
      <c r="G22" s="11" t="str">
        <f>IF($A22="","",IF(INDEX(Returns!G$2:G$1000,$A22)="","",INDEX(Returns!G$2:G$1000,$A22)))</f>
        <v/>
      </c>
      <c r="H22" s="10" t="str">
        <f>IF($A22="","",IF(INDEX(Returns!H$2:H$1000,$A22)="","",INDEX(Returns!H$2:H$1000,$A22)))</f>
        <v/>
      </c>
    </row>
    <row r="23" spans="1:8" ht="27" customHeight="1" x14ac:dyDescent="0.25">
      <c r="A23" t="str">
        <f>IFERROR(_xlfn.AGGREGATE(15,6,(ROW(Returns!$A$2:$A$1000)-1)/(Returns!$A$2:$A$1000=$C$3),6),"")</f>
        <v/>
      </c>
      <c r="B23" s="10" t="str">
        <f>IF($A23="","",IF(INDEX(Returns!B$2:B$1000,$A23)="","",INDEX(Returns!B$2:B$1000,$A23)))</f>
        <v/>
      </c>
      <c r="C23" s="10" t="str">
        <f>IF($A23="","",IF(INDEX(Returns!C$2:C$1000,$A23)="","",INDEX(Returns!C$2:C$1000,$A23)))</f>
        <v/>
      </c>
      <c r="D23" s="10" t="str">
        <f>IF($A23="","",IF(INDEX(Returns!D$2:D$1000,$A23)="","",INDEX(Returns!D$2:D$1000,$A23)))</f>
        <v/>
      </c>
      <c r="E23" s="11" t="str">
        <f>IF($A23="","",IF(INDEX(Returns!E$2:E$1000,$A23)="","",INDEX(Returns!E$2:E$1000,$A23)))</f>
        <v/>
      </c>
      <c r="F23" s="10" t="str">
        <f>IF($A23="","",IF(INDEX(Returns!F$2:F$1000,$A23)="","",INDEX(Returns!F$2:F$1000,$A23)))</f>
        <v/>
      </c>
      <c r="G23" s="11" t="str">
        <f>IF($A23="","",IF(INDEX(Returns!G$2:G$1000,$A23)="","",INDEX(Returns!G$2:G$1000,$A23)))</f>
        <v/>
      </c>
      <c r="H23" s="10" t="str">
        <f>IF($A23="","",IF(INDEX(Returns!H$2:H$1000,$A23)="","",INDEX(Returns!H$2:H$1000,$A23)))</f>
        <v/>
      </c>
    </row>
    <row r="24" spans="1:8" ht="27" customHeight="1" x14ac:dyDescent="0.25">
      <c r="A24" t="str">
        <f>IFERROR(_xlfn.AGGREGATE(15,6,(ROW(Returns!$A$2:$A$1000)-1)/(Returns!$A$2:$A$1000=$C$3),7),"")</f>
        <v/>
      </c>
      <c r="B24" s="10" t="str">
        <f>IF($A24="","",IF(INDEX(Returns!B$2:B$1000,$A24)="","",INDEX(Returns!B$2:B$1000,$A24)))</f>
        <v/>
      </c>
      <c r="C24" s="10" t="str">
        <f>IF($A24="","",IF(INDEX(Returns!C$2:C$1000,$A24)="","",INDEX(Returns!C$2:C$1000,$A24)))</f>
        <v/>
      </c>
      <c r="D24" s="10" t="str">
        <f>IF($A24="","",IF(INDEX(Returns!D$2:D$1000,$A24)="","",INDEX(Returns!D$2:D$1000,$A24)))</f>
        <v/>
      </c>
      <c r="E24" s="11" t="str">
        <f>IF($A24="","",IF(INDEX(Returns!E$2:E$1000,$A24)="","",INDEX(Returns!E$2:E$1000,$A24)))</f>
        <v/>
      </c>
      <c r="F24" s="10" t="str">
        <f>IF($A24="","",IF(INDEX(Returns!F$2:F$1000,$A24)="","",INDEX(Returns!F$2:F$1000,$A24)))</f>
        <v/>
      </c>
      <c r="G24" s="11" t="str">
        <f>IF($A24="","",IF(INDEX(Returns!G$2:G$1000,$A24)="","",INDEX(Returns!G$2:G$1000,$A24)))</f>
        <v/>
      </c>
      <c r="H24" s="10" t="str">
        <f>IF($A24="","",IF(INDEX(Returns!H$2:H$1000,$A24)="","",INDEX(Returns!H$2:H$1000,$A24)))</f>
        <v/>
      </c>
    </row>
    <row r="25" spans="1:8" ht="27" customHeight="1" x14ac:dyDescent="0.25">
      <c r="A25" t="str">
        <f>IFERROR(_xlfn.AGGREGATE(15,6,(ROW(Returns!$A$2:$A$1000)-1)/(Returns!$A$2:$A$1000=$C$3),8),"")</f>
        <v/>
      </c>
      <c r="B25" s="10" t="str">
        <f>IF($A25="","",IF(INDEX(Returns!B$2:B$1000,$A25)="","",INDEX(Returns!B$2:B$1000,$A25)))</f>
        <v/>
      </c>
      <c r="C25" s="10" t="str">
        <f>IF($A25="","",IF(INDEX(Returns!C$2:C$1000,$A25)="","",INDEX(Returns!C$2:C$1000,$A25)))</f>
        <v/>
      </c>
      <c r="D25" s="10" t="str">
        <f>IF($A25="","",IF(INDEX(Returns!D$2:D$1000,$A25)="","",INDEX(Returns!D$2:D$1000,$A25)))</f>
        <v/>
      </c>
      <c r="E25" s="11" t="str">
        <f>IF($A25="","",IF(INDEX(Returns!E$2:E$1000,$A25)="","",INDEX(Returns!E$2:E$1000,$A25)))</f>
        <v/>
      </c>
      <c r="F25" s="10" t="str">
        <f>IF($A25="","",IF(INDEX(Returns!F$2:F$1000,$A25)="","",INDEX(Returns!F$2:F$1000,$A25)))</f>
        <v/>
      </c>
      <c r="G25" s="11" t="str">
        <f>IF($A25="","",IF(INDEX(Returns!G$2:G$1000,$A25)="","",INDEX(Returns!G$2:G$1000,$A25)))</f>
        <v/>
      </c>
      <c r="H25" s="10" t="str">
        <f>IF($A25="","",IF(INDEX(Returns!H$2:H$1000,$A25)="","",INDEX(Returns!H$2:H$1000,$A25)))</f>
        <v/>
      </c>
    </row>
    <row r="26" spans="1:8" x14ac:dyDescent="0.25">
      <c r="B26" s="2" t="str">
        <f>IF(COUNTIF(Returns!$A$2:$A$1000,$C$3)&gt;8,"Plus "&amp;(COUNTIF(Returns!$A$2:$A$1000,$C$3)-8)&amp;" more on the Returns tab","")</f>
        <v/>
      </c>
    </row>
    <row r="28" spans="1:8" x14ac:dyDescent="0.25">
      <c r="B28" s="6" t="str">
        <f>"Licenses ("&amp;COUNTIF(Licenses!$A$2:$A$1000,$C$3)&amp;")"</f>
        <v>Licenses (1)</v>
      </c>
      <c r="C28" s="7"/>
      <c r="D28" s="7"/>
      <c r="E28" s="7"/>
      <c r="F28" s="7"/>
      <c r="G28" s="7"/>
      <c r="H28" s="7"/>
    </row>
    <row r="29" spans="1:8" x14ac:dyDescent="0.25">
      <c r="B29" s="9" t="s">
        <v>21</v>
      </c>
      <c r="C29" s="9" t="s">
        <v>22</v>
      </c>
      <c r="D29" s="9" t="s">
        <v>23</v>
      </c>
      <c r="E29" s="9" t="s">
        <v>24</v>
      </c>
      <c r="F29" s="9" t="s">
        <v>25</v>
      </c>
      <c r="G29" s="12"/>
      <c r="H29" s="9" t="s">
        <v>20</v>
      </c>
    </row>
    <row r="30" spans="1:8" ht="27" customHeight="1" x14ac:dyDescent="0.25">
      <c r="A30">
        <f>IFERROR(_xlfn.AGGREGATE(15,6,(ROW(Licenses!$A$2:$A$1000)-1)/(Licenses!$A$2:$A$1000=$C$3),1),"")</f>
        <v>1</v>
      </c>
      <c r="B30" s="11" t="str">
        <f>IF($A30="","",IF(INDEX(Licenses!B$2:B$1000,$A30)="","",INDEX(Licenses!B$2:B$1000,$A30)))</f>
        <v>Motor fuel distributor</v>
      </c>
      <c r="C30" s="11" t="str">
        <f>IF($A30="","",IF(INDEX(Licenses!C$2:C$1000,$A30)="","",INDEX(Licenses!C$2:C$1000,$A30)))</f>
        <v/>
      </c>
      <c r="D30" s="13" t="str">
        <f>IF($A30="","",IF(INDEX(Licenses!D$2:D$1000,$A30)="","",INDEX(Licenses!D$2:D$1000,$A30)))</f>
        <v/>
      </c>
      <c r="E30" s="14" t="str">
        <f>IF($A30="","",IF(INDEX(Licenses!E$2:E$1000,$A30)="","",INDEX(Licenses!E$2:E$1000,$A30)))</f>
        <v/>
      </c>
      <c r="F30" s="11" t="str">
        <f>IF($A30="","",IF(INDEX(Licenses!F$2:F$1000,$A30)="","",INDEX(Licenses!F$2:F$1000,$A30)))</f>
        <v/>
      </c>
      <c r="H30" s="10" t="str">
        <f>IF($A30="","",IF(INDEX(Licenses!G$2:G$1000,$A30)="","",INDEX(Licenses!G$2:G$1000,$A30)))</f>
        <v>Type the number and bond in at work.</v>
      </c>
    </row>
    <row r="31" spans="1:8" ht="27" customHeight="1" x14ac:dyDescent="0.25">
      <c r="A31" t="str">
        <f>IFERROR(_xlfn.AGGREGATE(15,6,(ROW(Licenses!$A$2:$A$1000)-1)/(Licenses!$A$2:$A$1000=$C$3),2),"")</f>
        <v/>
      </c>
      <c r="B31" s="11" t="str">
        <f>IF($A31="","",IF(INDEX(Licenses!B$2:B$1000,$A31)="","",INDEX(Licenses!B$2:B$1000,$A31)))</f>
        <v/>
      </c>
      <c r="C31" s="11" t="str">
        <f>IF($A31="","",IF(INDEX(Licenses!C$2:C$1000,$A31)="","",INDEX(Licenses!C$2:C$1000,$A31)))</f>
        <v/>
      </c>
      <c r="D31" s="13" t="str">
        <f>IF($A31="","",IF(INDEX(Licenses!D$2:D$1000,$A31)="","",INDEX(Licenses!D$2:D$1000,$A31)))</f>
        <v/>
      </c>
      <c r="E31" s="14" t="str">
        <f>IF($A31="","",IF(INDEX(Licenses!E$2:E$1000,$A31)="","",INDEX(Licenses!E$2:E$1000,$A31)))</f>
        <v/>
      </c>
      <c r="F31" s="11" t="str">
        <f>IF($A31="","",IF(INDEX(Licenses!F$2:F$1000,$A31)="","",INDEX(Licenses!F$2:F$1000,$A31)))</f>
        <v/>
      </c>
      <c r="H31" s="10" t="str">
        <f>IF($A31="","",IF(INDEX(Licenses!G$2:G$1000,$A31)="","",INDEX(Licenses!G$2:G$1000,$A31)))</f>
        <v/>
      </c>
    </row>
    <row r="32" spans="1:8" ht="27" customHeight="1" x14ac:dyDescent="0.25">
      <c r="A32" t="str">
        <f>IFERROR(_xlfn.AGGREGATE(15,6,(ROW(Licenses!$A$2:$A$1000)-1)/(Licenses!$A$2:$A$1000=$C$3),3),"")</f>
        <v/>
      </c>
      <c r="B32" s="11" t="str">
        <f>IF($A32="","",IF(INDEX(Licenses!B$2:B$1000,$A32)="","",INDEX(Licenses!B$2:B$1000,$A32)))</f>
        <v/>
      </c>
      <c r="C32" s="11" t="str">
        <f>IF($A32="","",IF(INDEX(Licenses!C$2:C$1000,$A32)="","",INDEX(Licenses!C$2:C$1000,$A32)))</f>
        <v/>
      </c>
      <c r="D32" s="13" t="str">
        <f>IF($A32="","",IF(INDEX(Licenses!D$2:D$1000,$A32)="","",INDEX(Licenses!D$2:D$1000,$A32)))</f>
        <v/>
      </c>
      <c r="E32" s="14" t="str">
        <f>IF($A32="","",IF(INDEX(Licenses!E$2:E$1000,$A32)="","",INDEX(Licenses!E$2:E$1000,$A32)))</f>
        <v/>
      </c>
      <c r="F32" s="11" t="str">
        <f>IF($A32="","",IF(INDEX(Licenses!F$2:F$1000,$A32)="","",INDEX(Licenses!F$2:F$1000,$A32)))</f>
        <v/>
      </c>
      <c r="H32" s="10" t="str">
        <f>IF($A32="","",IF(INDEX(Licenses!G$2:G$1000,$A32)="","",INDEX(Licenses!G$2:G$1000,$A32)))</f>
        <v/>
      </c>
    </row>
    <row r="33" spans="1:8" ht="27" customHeight="1" x14ac:dyDescent="0.25">
      <c r="A33" t="str">
        <f>IFERROR(_xlfn.AGGREGATE(15,6,(ROW(Licenses!$A$2:$A$1000)-1)/(Licenses!$A$2:$A$1000=$C$3),4),"")</f>
        <v/>
      </c>
      <c r="B33" s="11" t="str">
        <f>IF($A33="","",IF(INDEX(Licenses!B$2:B$1000,$A33)="","",INDEX(Licenses!B$2:B$1000,$A33)))</f>
        <v/>
      </c>
      <c r="C33" s="11" t="str">
        <f>IF($A33="","",IF(INDEX(Licenses!C$2:C$1000,$A33)="","",INDEX(Licenses!C$2:C$1000,$A33)))</f>
        <v/>
      </c>
      <c r="D33" s="13" t="str">
        <f>IF($A33="","",IF(INDEX(Licenses!D$2:D$1000,$A33)="","",INDEX(Licenses!D$2:D$1000,$A33)))</f>
        <v/>
      </c>
      <c r="E33" s="14" t="str">
        <f>IF($A33="","",IF(INDEX(Licenses!E$2:E$1000,$A33)="","",INDEX(Licenses!E$2:E$1000,$A33)))</f>
        <v/>
      </c>
      <c r="F33" s="11" t="str">
        <f>IF($A33="","",IF(INDEX(Licenses!F$2:F$1000,$A33)="","",INDEX(Licenses!F$2:F$1000,$A33)))</f>
        <v/>
      </c>
      <c r="H33" s="10" t="str">
        <f>IF($A33="","",IF(INDEX(Licenses!G$2:G$1000,$A33)="","",INDEX(Licenses!G$2:G$1000,$A33)))</f>
        <v/>
      </c>
    </row>
    <row r="34" spans="1:8" ht="27" customHeight="1" x14ac:dyDescent="0.25">
      <c r="A34" t="str">
        <f>IFERROR(_xlfn.AGGREGATE(15,6,(ROW(Licenses!$A$2:$A$1000)-1)/(Licenses!$A$2:$A$1000=$C$3),5),"")</f>
        <v/>
      </c>
      <c r="B34" s="11" t="str">
        <f>IF($A34="","",IF(INDEX(Licenses!B$2:B$1000,$A34)="","",INDEX(Licenses!B$2:B$1000,$A34)))</f>
        <v/>
      </c>
      <c r="C34" s="11" t="str">
        <f>IF($A34="","",IF(INDEX(Licenses!C$2:C$1000,$A34)="","",INDEX(Licenses!C$2:C$1000,$A34)))</f>
        <v/>
      </c>
      <c r="D34" s="13" t="str">
        <f>IF($A34="","",IF(INDEX(Licenses!D$2:D$1000,$A34)="","",INDEX(Licenses!D$2:D$1000,$A34)))</f>
        <v/>
      </c>
      <c r="E34" s="14" t="str">
        <f>IF($A34="","",IF(INDEX(Licenses!E$2:E$1000,$A34)="","",INDEX(Licenses!E$2:E$1000,$A34)))</f>
        <v/>
      </c>
      <c r="F34" s="11" t="str">
        <f>IF($A34="","",IF(INDEX(Licenses!F$2:F$1000,$A34)="","",INDEX(Licenses!F$2:F$1000,$A34)))</f>
        <v/>
      </c>
      <c r="H34" s="10" t="str">
        <f>IF($A34="","",IF(INDEX(Licenses!G$2:G$1000,$A34)="","",INDEX(Licenses!G$2:G$1000,$A34)))</f>
        <v/>
      </c>
    </row>
    <row r="35" spans="1:8" ht="27" customHeight="1" x14ac:dyDescent="0.25">
      <c r="A35" t="str">
        <f>IFERROR(_xlfn.AGGREGATE(15,6,(ROW(Licenses!$A$2:$A$1000)-1)/(Licenses!$A$2:$A$1000=$C$3),6),"")</f>
        <v/>
      </c>
      <c r="B35" s="11" t="str">
        <f>IF($A35="","",IF(INDEX(Licenses!B$2:B$1000,$A35)="","",INDEX(Licenses!B$2:B$1000,$A35)))</f>
        <v/>
      </c>
      <c r="C35" s="11" t="str">
        <f>IF($A35="","",IF(INDEX(Licenses!C$2:C$1000,$A35)="","",INDEX(Licenses!C$2:C$1000,$A35)))</f>
        <v/>
      </c>
      <c r="D35" s="13" t="str">
        <f>IF($A35="","",IF(INDEX(Licenses!D$2:D$1000,$A35)="","",INDEX(Licenses!D$2:D$1000,$A35)))</f>
        <v/>
      </c>
      <c r="E35" s="14" t="str">
        <f>IF($A35="","",IF(INDEX(Licenses!E$2:E$1000,$A35)="","",INDEX(Licenses!E$2:E$1000,$A35)))</f>
        <v/>
      </c>
      <c r="F35" s="11" t="str">
        <f>IF($A35="","",IF(INDEX(Licenses!F$2:F$1000,$A35)="","",INDEX(Licenses!F$2:F$1000,$A35)))</f>
        <v/>
      </c>
      <c r="H35" s="10" t="str">
        <f>IF($A35="","",IF(INDEX(Licenses!G$2:G$1000,$A35)="","",INDEX(Licenses!G$2:G$1000,$A35)))</f>
        <v/>
      </c>
    </row>
    <row r="36" spans="1:8" x14ac:dyDescent="0.25">
      <c r="B36" s="2" t="str">
        <f>IF(COUNTIF(Licenses!$A$2:$A$1000,$C$3)&gt;6,"Plus "&amp;(COUNTIF(Licenses!$A$2:$A$1000,$C$3)-6)&amp;" more on the Licenses tab","")</f>
        <v/>
      </c>
    </row>
    <row r="38" spans="1:8" x14ac:dyDescent="0.25">
      <c r="B38" s="6" t="str">
        <f ca="1">"Current rates ("&amp;SUMPRODUCT(((Rates!$A$2:$A$1000=$C$3)*((Rates!$G$2:$G$1000="")+(Rates!$G$2:$G$1000&gt;=TODAY()))))&amp;")"</f>
        <v>Current rates (5)</v>
      </c>
      <c r="C38" s="7"/>
      <c r="D38" s="7"/>
      <c r="E38" s="7"/>
      <c r="F38" s="7"/>
      <c r="G38" s="7"/>
      <c r="H38" s="7"/>
    </row>
    <row r="39" spans="1:8" x14ac:dyDescent="0.25">
      <c r="B39" s="9" t="s">
        <v>26</v>
      </c>
      <c r="C39" s="9" t="s">
        <v>16</v>
      </c>
      <c r="D39" s="9" t="s">
        <v>27</v>
      </c>
      <c r="E39" s="9" t="s">
        <v>28</v>
      </c>
      <c r="F39" s="9" t="s">
        <v>29</v>
      </c>
      <c r="G39" s="9" t="s">
        <v>30</v>
      </c>
      <c r="H39" s="9" t="s">
        <v>20</v>
      </c>
    </row>
    <row r="40" spans="1:8" ht="27" customHeight="1" x14ac:dyDescent="0.25">
      <c r="A40">
        <f ca="1">IFERROR(_xlfn.AGGREGATE(15,6,(ROW(Rates!$A$2:$A$1000)-1)/((Rates!$A$2:$A$1000=$C$3)*((Rates!$G$2:$G$1000="")+(Rates!$G$2:$G$1000&gt;=TODAY()))),1),"")</f>
        <v>1</v>
      </c>
      <c r="B40" s="11" t="str">
        <f ca="1">IF($A40="","",IF(INDEX(Rates!B$2:B$1000,$A40)="","",INDEX(Rates!B$2:B$1000,$A40)))</f>
        <v>Gasoline</v>
      </c>
      <c r="C40" s="10" t="str">
        <f ca="1">IF($A40="","",IF(INDEX(Rates!C$2:C$1000,$A40)="","",INDEX(Rates!C$2:C$1000,$A40)))</f>
        <v>State excise</v>
      </c>
      <c r="D40" s="11">
        <f ca="1">IF($A40="","",IF(INDEX(Rates!D$2:D$1000,$A40)="","",INDEX(Rates!D$2:D$1000,$A40)))</f>
        <v>0.33300000000000002</v>
      </c>
      <c r="E40" s="10" t="str">
        <f ca="1">IF($A40="","",IF(INDEX(Rates!E$2:E$1000,$A40)="","",INDEX(Rates!E$2:E$1000,$A40)))</f>
        <v>$ a gallon</v>
      </c>
      <c r="F40" s="13" t="str">
        <f ca="1">IF($A40="","",IF(INDEX(Rates!F$2:F$1000,$A40)="","",INDEX(Rates!F$2:F$1000,$A40)))</f>
        <v/>
      </c>
      <c r="G40" s="13" t="str">
        <f ca="1">IF($A40="","",IF(INDEX(Rates!G$2:G$1000,$A40)="","",INDEX(Rates!G$2:G$1000,$A40)))</f>
        <v/>
      </c>
      <c r="H40" s="10" t="str">
        <f ca="1">IF($A40="","",IF(INDEX(Rates!H$2:H$1000,$A40)="","",INDEX(Rates!H$2:H$1000,$A40)))</f>
        <v>The rate at the Sept 2026 suspension. Georgia resets it every Jan 1.</v>
      </c>
    </row>
    <row r="41" spans="1:8" ht="27" customHeight="1" x14ac:dyDescent="0.25">
      <c r="A41">
        <f ca="1">IFERROR(_xlfn.AGGREGATE(15,6,(ROW(Rates!$A$2:$A$1000)-1)/((Rates!$A$2:$A$1000=$C$3)*((Rates!$G$2:$G$1000="")+(Rates!$G$2:$G$1000&gt;=TODAY()))),2),"")</f>
        <v>2</v>
      </c>
      <c r="B41" s="11" t="str">
        <f ca="1">IF($A41="","",IF(INDEX(Rates!B$2:B$1000,$A41)="","",INDEX(Rates!B$2:B$1000,$A41)))</f>
        <v>Diesel</v>
      </c>
      <c r="C41" s="10" t="str">
        <f ca="1">IF($A41="","",IF(INDEX(Rates!C$2:C$1000,$A41)="","",INDEX(Rates!C$2:C$1000,$A41)))</f>
        <v>State excise</v>
      </c>
      <c r="D41" s="11">
        <f ca="1">IF($A41="","",IF(INDEX(Rates!D$2:D$1000,$A41)="","",INDEX(Rates!D$2:D$1000,$A41)))</f>
        <v>0.373</v>
      </c>
      <c r="E41" s="10" t="str">
        <f ca="1">IF($A41="","",IF(INDEX(Rates!E$2:E$1000,$A41)="","",INDEX(Rates!E$2:E$1000,$A41)))</f>
        <v>$ a gallon</v>
      </c>
      <c r="F41" s="13" t="str">
        <f ca="1">IF($A41="","",IF(INDEX(Rates!F$2:F$1000,$A41)="","",INDEX(Rates!F$2:F$1000,$A41)))</f>
        <v/>
      </c>
      <c r="G41" s="13" t="str">
        <f ca="1">IF($A41="","",IF(INDEX(Rates!G$2:G$1000,$A41)="","",INDEX(Rates!G$2:G$1000,$A41)))</f>
        <v/>
      </c>
      <c r="H41" s="10" t="str">
        <f ca="1">IF($A41="","",IF(INDEX(Rates!H$2:H$1000,$A41)="","",INDEX(Rates!H$2:H$1000,$A41)))</f>
        <v>The rate at the Sept 2026 suspension. Georgia resets it every Jan 1.</v>
      </c>
    </row>
    <row r="42" spans="1:8" ht="27" customHeight="1" x14ac:dyDescent="0.25">
      <c r="A42">
        <f ca="1">IFERROR(_xlfn.AGGREGATE(15,6,(ROW(Rates!$A$2:$A$1000)-1)/((Rates!$A$2:$A$1000=$C$3)*((Rates!$G$2:$G$1000="")+(Rates!$G$2:$G$1000&gt;=TODAY()))),3),"")</f>
        <v>3</v>
      </c>
      <c r="B42" s="11" t="str">
        <f ca="1">IF($A42="","",IF(INDEX(Rates!B$2:B$1000,$A42)="","",INDEX(Rates!B$2:B$1000,$A42)))</f>
        <v>Gasoline and diesel</v>
      </c>
      <c r="C42" s="10" t="str">
        <f ca="1">IF($A42="","",IF(INDEX(Rates!C$2:C$1000,$A42)="","",INDEX(Rates!C$2:C$1000,$A42)))</f>
        <v>State excise, suspended</v>
      </c>
      <c r="D42" s="11">
        <f ca="1">IF($A42="","",IF(INDEX(Rates!D$2:D$1000,$A42)="","",INDEX(Rates!D$2:D$1000,$A42)))</f>
        <v>0</v>
      </c>
      <c r="E42" s="10" t="str">
        <f ca="1">IF($A42="","",IF(INDEX(Rates!E$2:E$1000,$A42)="","",INDEX(Rates!E$2:E$1000,$A42)))</f>
        <v>$ a gallon</v>
      </c>
      <c r="F42" s="13">
        <f ca="1">IF($A42="","",IF(INDEX(Rates!F$2:F$1000,$A42)="","",INDEX(Rates!F$2:F$1000,$A42)))</f>
        <v>46294</v>
      </c>
      <c r="G42" s="13">
        <f ca="1">IF($A42="","",IF(INDEX(Rates!G$2:G$1000,$A42)="","",INDEX(Rates!G$2:G$1000,$A42)))</f>
        <v>46331</v>
      </c>
      <c r="H42" s="10" t="str">
        <f ca="1">IF($A42="","",IF(INDEX(Rates!H$2:H$1000,$A42)="","",INDEX(Rates!H$2:H$1000,$A42)))</f>
        <v>Governor's order EO 09.28.26.01, extended to Nov 5 by EO 10.06.26.01. Gallons still get reported. Prepaid local tax isn't suspended.</v>
      </c>
    </row>
    <row r="43" spans="1:8" ht="27" customHeight="1" x14ac:dyDescent="0.25">
      <c r="A43">
        <f ca="1">IFERROR(_xlfn.AGGREGATE(15,6,(ROW(Rates!$A$2:$A$1000)-1)/((Rates!$A$2:$A$1000=$C$3)*((Rates!$G$2:$G$1000="")+(Rates!$G$2:$G$1000&gt;=TODAY()))),4),"")</f>
        <v>4</v>
      </c>
      <c r="B43" s="11" t="str">
        <f ca="1">IF($A43="","",IF(INDEX(Rates!B$2:B$1000,$A43)="","",INDEX(Rates!B$2:B$1000,$A43)))</f>
        <v>Gasoline and diesel</v>
      </c>
      <c r="C43" s="10" t="str">
        <f ca="1">IF($A43="","",IF(INDEX(Rates!C$2:C$1000,$A43)="","",INDEX(Rates!C$2:C$1000,$A43)))</f>
        <v>Prepaid local sales tax</v>
      </c>
      <c r="D43" s="11" t="str">
        <f ca="1">IF($A43="","",IF(INDEX(Rates!D$2:D$1000,$A43)="","",INDEX(Rates!D$2:D$1000,$A43)))</f>
        <v/>
      </c>
      <c r="E43" s="10" t="str">
        <f ca="1">IF($A43="","",IF(INDEX(Rates!E$2:E$1000,$A43)="","",INDEX(Rates!E$2:E$1000,$A43)))</f>
        <v>see notes</v>
      </c>
      <c r="F43" s="13" t="str">
        <f ca="1">IF($A43="","",IF(INDEX(Rates!F$2:F$1000,$A43)="","",INDEX(Rates!F$2:F$1000,$A43)))</f>
        <v/>
      </c>
      <c r="G43" s="13" t="str">
        <f ca="1">IF($A43="","",IF(INDEX(Rates!G$2:G$1000,$A43)="","",INDEX(Rates!G$2:G$1000,$A43)))</f>
        <v/>
      </c>
      <c r="H43" s="10" t="str">
        <f ca="1">IF($A43="","",IF(INDEX(Rates!H$2:H$1000,$A43)="","",INDEX(Rates!H$2:H$1000,$A43)))</f>
        <v>The local rate times a state-set price per gallon, reset each Jan 1 and July 1 and never over $3.00. $3.00 for gas and diesel from July 1, 2026.</v>
      </c>
    </row>
    <row r="44" spans="1:8" ht="27" customHeight="1" x14ac:dyDescent="0.25">
      <c r="A44">
        <f ca="1">IFERROR(_xlfn.AGGREGATE(15,6,(ROW(Rates!$A$2:$A$1000)-1)/((Rates!$A$2:$A$1000=$C$3)*((Rates!$G$2:$G$1000="")+(Rates!$G$2:$G$1000&gt;=TODAY()))),5),"")</f>
        <v>5</v>
      </c>
      <c r="B44" s="11" t="str">
        <f ca="1">IF($A44="","",IF(INDEX(Rates!B$2:B$1000,$A44)="","",INDEX(Rates!B$2:B$1000,$A44)))</f>
        <v>Dyed diesel, road use</v>
      </c>
      <c r="C44" s="10" t="str">
        <f ca="1">IF($A44="","",IF(INDEX(Rates!C$2:C$1000,$A44)="","",INDEX(Rates!C$2:C$1000,$A44)))</f>
        <v>State penalties waived</v>
      </c>
      <c r="D44" s="11" t="str">
        <f ca="1">IF($A44="","",IF(INDEX(Rates!D$2:D$1000,$A44)="","",INDEX(Rates!D$2:D$1000,$A44)))</f>
        <v/>
      </c>
      <c r="E44" s="10" t="str">
        <f ca="1">IF($A44="","",IF(INDEX(Rates!E$2:E$1000,$A44)="","",INDEX(Rates!E$2:E$1000,$A44)))</f>
        <v>see notes</v>
      </c>
      <c r="F44" s="13">
        <f ca="1">IF($A44="","",IF(INDEX(Rates!F$2:F$1000,$A44)="","",INDEX(Rates!F$2:F$1000,$A44)))</f>
        <v>46301</v>
      </c>
      <c r="G44" s="13">
        <f ca="1">IF($A44="","",IF(INDEX(Rates!G$2:G$1000,$A44)="","",INDEX(Rates!G$2:G$1000,$A44)))</f>
        <v>46331</v>
      </c>
      <c r="H44" s="10" t="str">
        <f ca="1">IF($A44="","",IF(INDEX(Rates!H$2:H$1000,$A44)="","",INDEX(Rates!H$2:H$1000,$A44)))</f>
        <v>EO 10.06.26.01 and Bulletin MFT-2026-04 waive the 48-9-16(e) penalties for dyed fuel on the road. The $100 a month notice penalty in (f) still applies.</v>
      </c>
    </row>
    <row r="45" spans="1:8" ht="27" customHeight="1" x14ac:dyDescent="0.25">
      <c r="A45" t="str">
        <f ca="1">IFERROR(_xlfn.AGGREGATE(15,6,(ROW(Rates!$A$2:$A$1000)-1)/((Rates!$A$2:$A$1000=$C$3)*((Rates!$G$2:$G$1000="")+(Rates!$G$2:$G$1000&gt;=TODAY()))),6),"")</f>
        <v/>
      </c>
      <c r="B45" s="11" t="str">
        <f ca="1">IF($A45="","",IF(INDEX(Rates!B$2:B$1000,$A45)="","",INDEX(Rates!B$2:B$1000,$A45)))</f>
        <v/>
      </c>
      <c r="C45" s="10" t="str">
        <f ca="1">IF($A45="","",IF(INDEX(Rates!C$2:C$1000,$A45)="","",INDEX(Rates!C$2:C$1000,$A45)))</f>
        <v/>
      </c>
      <c r="D45" s="11" t="str">
        <f ca="1">IF($A45="","",IF(INDEX(Rates!D$2:D$1000,$A45)="","",INDEX(Rates!D$2:D$1000,$A45)))</f>
        <v/>
      </c>
      <c r="E45" s="10" t="str">
        <f ca="1">IF($A45="","",IF(INDEX(Rates!E$2:E$1000,$A45)="","",INDEX(Rates!E$2:E$1000,$A45)))</f>
        <v/>
      </c>
      <c r="F45" s="13" t="str">
        <f ca="1">IF($A45="","",IF(INDEX(Rates!F$2:F$1000,$A45)="","",INDEX(Rates!F$2:F$1000,$A45)))</f>
        <v/>
      </c>
      <c r="G45" s="13" t="str">
        <f ca="1">IF($A45="","",IF(INDEX(Rates!G$2:G$1000,$A45)="","",INDEX(Rates!G$2:G$1000,$A45)))</f>
        <v/>
      </c>
      <c r="H45" s="10" t="str">
        <f ca="1">IF($A45="","",IF(INDEX(Rates!H$2:H$1000,$A45)="","",INDEX(Rates!H$2:H$1000,$A45)))</f>
        <v/>
      </c>
    </row>
    <row r="46" spans="1:8" ht="27" customHeight="1" x14ac:dyDescent="0.25">
      <c r="A46" t="str">
        <f ca="1">IFERROR(_xlfn.AGGREGATE(15,6,(ROW(Rates!$A$2:$A$1000)-1)/((Rates!$A$2:$A$1000=$C$3)*((Rates!$G$2:$G$1000="")+(Rates!$G$2:$G$1000&gt;=TODAY()))),7),"")</f>
        <v/>
      </c>
      <c r="B46" s="11" t="str">
        <f ca="1">IF($A46="","",IF(INDEX(Rates!B$2:B$1000,$A46)="","",INDEX(Rates!B$2:B$1000,$A46)))</f>
        <v/>
      </c>
      <c r="C46" s="10" t="str">
        <f ca="1">IF($A46="","",IF(INDEX(Rates!C$2:C$1000,$A46)="","",INDEX(Rates!C$2:C$1000,$A46)))</f>
        <v/>
      </c>
      <c r="D46" s="11" t="str">
        <f ca="1">IF($A46="","",IF(INDEX(Rates!D$2:D$1000,$A46)="","",INDEX(Rates!D$2:D$1000,$A46)))</f>
        <v/>
      </c>
      <c r="E46" s="10" t="str">
        <f ca="1">IF($A46="","",IF(INDEX(Rates!E$2:E$1000,$A46)="","",INDEX(Rates!E$2:E$1000,$A46)))</f>
        <v/>
      </c>
      <c r="F46" s="13" t="str">
        <f ca="1">IF($A46="","",IF(INDEX(Rates!F$2:F$1000,$A46)="","",INDEX(Rates!F$2:F$1000,$A46)))</f>
        <v/>
      </c>
      <c r="G46" s="13" t="str">
        <f ca="1">IF($A46="","",IF(INDEX(Rates!G$2:G$1000,$A46)="","",INDEX(Rates!G$2:G$1000,$A46)))</f>
        <v/>
      </c>
      <c r="H46" s="10" t="str">
        <f ca="1">IF($A46="","",IF(INDEX(Rates!H$2:H$1000,$A46)="","",INDEX(Rates!H$2:H$1000,$A46)))</f>
        <v/>
      </c>
    </row>
    <row r="47" spans="1:8" ht="27" customHeight="1" x14ac:dyDescent="0.25">
      <c r="A47" t="str">
        <f ca="1">IFERROR(_xlfn.AGGREGATE(15,6,(ROW(Rates!$A$2:$A$1000)-1)/((Rates!$A$2:$A$1000=$C$3)*((Rates!$G$2:$G$1000="")+(Rates!$G$2:$G$1000&gt;=TODAY()))),8),"")</f>
        <v/>
      </c>
      <c r="B47" s="11" t="str">
        <f ca="1">IF($A47="","",IF(INDEX(Rates!B$2:B$1000,$A47)="","",INDEX(Rates!B$2:B$1000,$A47)))</f>
        <v/>
      </c>
      <c r="C47" s="10" t="str">
        <f ca="1">IF($A47="","",IF(INDEX(Rates!C$2:C$1000,$A47)="","",INDEX(Rates!C$2:C$1000,$A47)))</f>
        <v/>
      </c>
      <c r="D47" s="11" t="str">
        <f ca="1">IF($A47="","",IF(INDEX(Rates!D$2:D$1000,$A47)="","",INDEX(Rates!D$2:D$1000,$A47)))</f>
        <v/>
      </c>
      <c r="E47" s="10" t="str">
        <f ca="1">IF($A47="","",IF(INDEX(Rates!E$2:E$1000,$A47)="","",INDEX(Rates!E$2:E$1000,$A47)))</f>
        <v/>
      </c>
      <c r="F47" s="13" t="str">
        <f ca="1">IF($A47="","",IF(INDEX(Rates!F$2:F$1000,$A47)="","",INDEX(Rates!F$2:F$1000,$A47)))</f>
        <v/>
      </c>
      <c r="G47" s="13" t="str">
        <f ca="1">IF($A47="","",IF(INDEX(Rates!G$2:G$1000,$A47)="","",INDEX(Rates!G$2:G$1000,$A47)))</f>
        <v/>
      </c>
      <c r="H47" s="10" t="str">
        <f ca="1">IF($A47="","",IF(INDEX(Rates!H$2:H$1000,$A47)="","",INDEX(Rates!H$2:H$1000,$A47)))</f>
        <v/>
      </c>
    </row>
    <row r="48" spans="1:8" x14ac:dyDescent="0.25">
      <c r="B48" s="2" t="str">
        <f ca="1">IF(SUMPRODUCT(((Rates!$A$2:$A$1000=$C$3)*((Rates!$G$2:$G$1000="")+(Rates!$G$2:$G$1000&gt;=TODAY()))))&gt;8,"Plus "&amp;(SUMPRODUCT(((Rates!$A$2:$A$1000=$C$3)*((Rates!$G$2:$G$1000="")+(Rates!$G$2:$G$1000&gt;=TODAY()))))-8)&amp;" more on the Rates tab","")</f>
        <v/>
      </c>
    </row>
    <row r="50" spans="1:8" x14ac:dyDescent="0.25">
      <c r="B50" s="6" t="str">
        <f>"Contacts ("&amp;COUNTIF(Contacts!$A$2:$A$1000,$C$3)&amp;")"</f>
        <v>Contacts (1)</v>
      </c>
      <c r="C50" s="7"/>
      <c r="D50" s="7"/>
      <c r="E50" s="7"/>
      <c r="F50" s="7"/>
      <c r="G50" s="7"/>
      <c r="H50" s="7"/>
    </row>
    <row r="51" spans="1:8" x14ac:dyDescent="0.25">
      <c r="B51" s="9" t="s">
        <v>31</v>
      </c>
      <c r="C51" s="9" t="s">
        <v>32</v>
      </c>
      <c r="D51" s="9" t="s">
        <v>33</v>
      </c>
      <c r="E51" s="9" t="s">
        <v>34</v>
      </c>
      <c r="F51" s="9" t="s">
        <v>35</v>
      </c>
      <c r="G51" s="12"/>
      <c r="H51" s="12"/>
    </row>
    <row r="52" spans="1:8" ht="15" customHeight="1" x14ac:dyDescent="0.25">
      <c r="A52">
        <f>IFERROR(_xlfn.AGGREGATE(15,6,(ROW(Contacts!$A$2:$A$1000)-1)/(Contacts!$A$2:$A$1000=$C$3),1),"")</f>
        <v>1</v>
      </c>
      <c r="B52" s="11" t="str">
        <f>IF($A52="","",IF(INDEX(Contacts!B$2:B$1000,$A52)="","",INDEX(Contacts!B$2:B$1000,$A52)))</f>
        <v>Taxpayer Services, motor fuel</v>
      </c>
      <c r="C52" s="11" t="str">
        <f>IF($A52="","",IF(INDEX(Contacts!C$2:C$1000,$A52)="","",INDEX(Contacts!C$2:C$1000,$A52)))</f>
        <v>(877) 423-6711</v>
      </c>
      <c r="D52" s="11" t="str">
        <f>IF($A52="","",IF(INDEX(Contacts!D$2:D$1000,$A52)="","",INDEX(Contacts!D$2:D$1000,$A52)))</f>
        <v/>
      </c>
      <c r="E52" s="11" t="str">
        <f>IF($A52="","",IF(INDEX(Contacts!E$2:E$1000,$A52)="","",INDEX(Contacts!E$2:E$1000,$A52)))</f>
        <v>8 to 5, weekdays</v>
      </c>
      <c r="F52" s="10" t="str">
        <f>IF($A52="","",IF(INDEX(Contacts!F$2:F$1000,$A52)="","",INDEX(Contacts!F$2:F$1000,$A52)))</f>
        <v>Motor fuel tax questions</v>
      </c>
    </row>
    <row r="53" spans="1:8" ht="15" customHeight="1" x14ac:dyDescent="0.25">
      <c r="A53" t="str">
        <f>IFERROR(_xlfn.AGGREGATE(15,6,(ROW(Contacts!$A$2:$A$1000)-1)/(Contacts!$A$2:$A$1000=$C$3),2),"")</f>
        <v/>
      </c>
      <c r="B53" s="11" t="str">
        <f>IF($A53="","",IF(INDEX(Contacts!B$2:B$1000,$A53)="","",INDEX(Contacts!B$2:B$1000,$A53)))</f>
        <v/>
      </c>
      <c r="C53" s="11" t="str">
        <f>IF($A53="","",IF(INDEX(Contacts!C$2:C$1000,$A53)="","",INDEX(Contacts!C$2:C$1000,$A53)))</f>
        <v/>
      </c>
      <c r="D53" s="11" t="str">
        <f>IF($A53="","",IF(INDEX(Contacts!D$2:D$1000,$A53)="","",INDEX(Contacts!D$2:D$1000,$A53)))</f>
        <v/>
      </c>
      <c r="E53" s="11" t="str">
        <f>IF($A53="","",IF(INDEX(Contacts!E$2:E$1000,$A53)="","",INDEX(Contacts!E$2:E$1000,$A53)))</f>
        <v/>
      </c>
      <c r="F53" s="10" t="str">
        <f>IF($A53="","",IF(INDEX(Contacts!F$2:F$1000,$A53)="","",INDEX(Contacts!F$2:F$1000,$A53)))</f>
        <v/>
      </c>
    </row>
    <row r="54" spans="1:8" ht="15" customHeight="1" x14ac:dyDescent="0.25">
      <c r="A54" t="str">
        <f>IFERROR(_xlfn.AGGREGATE(15,6,(ROW(Contacts!$A$2:$A$1000)-1)/(Contacts!$A$2:$A$1000=$C$3),3),"")</f>
        <v/>
      </c>
      <c r="B54" s="11" t="str">
        <f>IF($A54="","",IF(INDEX(Contacts!B$2:B$1000,$A54)="","",INDEX(Contacts!B$2:B$1000,$A54)))</f>
        <v/>
      </c>
      <c r="C54" s="11" t="str">
        <f>IF($A54="","",IF(INDEX(Contacts!C$2:C$1000,$A54)="","",INDEX(Contacts!C$2:C$1000,$A54)))</f>
        <v/>
      </c>
      <c r="D54" s="11" t="str">
        <f>IF($A54="","",IF(INDEX(Contacts!D$2:D$1000,$A54)="","",INDEX(Contacts!D$2:D$1000,$A54)))</f>
        <v/>
      </c>
      <c r="E54" s="11" t="str">
        <f>IF($A54="","",IF(INDEX(Contacts!E$2:E$1000,$A54)="","",INDEX(Contacts!E$2:E$1000,$A54)))</f>
        <v/>
      </c>
      <c r="F54" s="10" t="str">
        <f>IF($A54="","",IF(INDEX(Contacts!F$2:F$1000,$A54)="","",INDEX(Contacts!F$2:F$1000,$A54)))</f>
        <v/>
      </c>
    </row>
    <row r="55" spans="1:8" ht="15" customHeight="1" x14ac:dyDescent="0.25">
      <c r="A55" t="str">
        <f>IFERROR(_xlfn.AGGREGATE(15,6,(ROW(Contacts!$A$2:$A$1000)-1)/(Contacts!$A$2:$A$1000=$C$3),4),"")</f>
        <v/>
      </c>
      <c r="B55" s="11" t="str">
        <f>IF($A55="","",IF(INDEX(Contacts!B$2:B$1000,$A55)="","",INDEX(Contacts!B$2:B$1000,$A55)))</f>
        <v/>
      </c>
      <c r="C55" s="11" t="str">
        <f>IF($A55="","",IF(INDEX(Contacts!C$2:C$1000,$A55)="","",INDEX(Contacts!C$2:C$1000,$A55)))</f>
        <v/>
      </c>
      <c r="D55" s="11" t="str">
        <f>IF($A55="","",IF(INDEX(Contacts!D$2:D$1000,$A55)="","",INDEX(Contacts!D$2:D$1000,$A55)))</f>
        <v/>
      </c>
      <c r="E55" s="11" t="str">
        <f>IF($A55="","",IF(INDEX(Contacts!E$2:E$1000,$A55)="","",INDEX(Contacts!E$2:E$1000,$A55)))</f>
        <v/>
      </c>
      <c r="F55" s="10" t="str">
        <f>IF($A55="","",IF(INDEX(Contacts!F$2:F$1000,$A55)="","",INDEX(Contacts!F$2:F$1000,$A55)))</f>
        <v/>
      </c>
    </row>
    <row r="56" spans="1:8" ht="15" customHeight="1" x14ac:dyDescent="0.25">
      <c r="A56" t="str">
        <f>IFERROR(_xlfn.AGGREGATE(15,6,(ROW(Contacts!$A$2:$A$1000)-1)/(Contacts!$A$2:$A$1000=$C$3),5),"")</f>
        <v/>
      </c>
      <c r="B56" s="11" t="str">
        <f>IF($A56="","",IF(INDEX(Contacts!B$2:B$1000,$A56)="","",INDEX(Contacts!B$2:B$1000,$A56)))</f>
        <v/>
      </c>
      <c r="C56" s="11" t="str">
        <f>IF($A56="","",IF(INDEX(Contacts!C$2:C$1000,$A56)="","",INDEX(Contacts!C$2:C$1000,$A56)))</f>
        <v/>
      </c>
      <c r="D56" s="11" t="str">
        <f>IF($A56="","",IF(INDEX(Contacts!D$2:D$1000,$A56)="","",INDEX(Contacts!D$2:D$1000,$A56)))</f>
        <v/>
      </c>
      <c r="E56" s="11" t="str">
        <f>IF($A56="","",IF(INDEX(Contacts!E$2:E$1000,$A56)="","",INDEX(Contacts!E$2:E$1000,$A56)))</f>
        <v/>
      </c>
      <c r="F56" s="10" t="str">
        <f>IF($A56="","",IF(INDEX(Contacts!F$2:F$1000,$A56)="","",INDEX(Contacts!F$2:F$1000,$A56)))</f>
        <v/>
      </c>
    </row>
    <row r="57" spans="1:8" x14ac:dyDescent="0.25">
      <c r="B57" s="2" t="str">
        <f>IF(COUNTIF(Contacts!$A$2:$A$1000,$C$3)&gt;5,"Plus "&amp;(COUNTIF(Contacts!$A$2:$A$1000,$C$3)-5)&amp;" more on the Contacts tab","")</f>
        <v/>
      </c>
    </row>
    <row r="59" spans="1:8" x14ac:dyDescent="0.25">
      <c r="B59" s="6" t="str">
        <f>"Tax setups ("&amp;COUNTIF(Setups!$A$2:$A$1000,$C$3)&amp;")"</f>
        <v>Tax setups (0)</v>
      </c>
      <c r="C59" s="7"/>
      <c r="D59" s="7"/>
      <c r="E59" s="7"/>
      <c r="F59" s="7"/>
      <c r="G59" s="7"/>
      <c r="H59" s="7"/>
    </row>
    <row r="60" spans="1:8" x14ac:dyDescent="0.25">
      <c r="B60" s="9" t="s">
        <v>36</v>
      </c>
      <c r="C60" s="9" t="s">
        <v>26</v>
      </c>
      <c r="D60" s="9" t="s">
        <v>37</v>
      </c>
      <c r="E60" s="9" t="s">
        <v>38</v>
      </c>
      <c r="F60" s="12"/>
      <c r="G60" s="12"/>
      <c r="H60" s="9" t="s">
        <v>20</v>
      </c>
    </row>
    <row r="61" spans="1:8" ht="27" customHeight="1" x14ac:dyDescent="0.25">
      <c r="A61" t="str">
        <f>IFERROR(_xlfn.AGGREGATE(15,6,(ROW(Setups!$A$2:$A$1000)-1)/(Setups!$A$2:$A$1000=$C$3),1),"")</f>
        <v/>
      </c>
      <c r="B61" s="11" t="str">
        <f>IF($A61="","",IF(INDEX(Setups!B$2:B$1000,$A61)="","",INDEX(Setups!B$2:B$1000,$A61)))</f>
        <v/>
      </c>
      <c r="C61" s="11" t="str">
        <f>IF($A61="","",IF(INDEX(Setups!C$2:C$1000,$A61)="","",INDEX(Setups!C$2:C$1000,$A61)))</f>
        <v/>
      </c>
      <c r="D61" s="11" t="str">
        <f>IF($A61="","",IF(INDEX(Setups!D$2:D$1000,$A61)="","",INDEX(Setups!D$2:D$1000,$A61)))</f>
        <v/>
      </c>
      <c r="E61" s="11" t="str">
        <f>IF($A61="","",IF(INDEX(Setups!E$2:E$1000,$A61)="","",INDEX(Setups!E$2:E$1000,$A61)))</f>
        <v/>
      </c>
      <c r="H61" s="10" t="str">
        <f>IF($A61="","",IF(INDEX(Setups!F$2:F$1000,$A61)="","",INDEX(Setups!F$2:F$1000,$A61)))</f>
        <v/>
      </c>
    </row>
    <row r="62" spans="1:8" ht="27" customHeight="1" x14ac:dyDescent="0.25">
      <c r="A62" t="str">
        <f>IFERROR(_xlfn.AGGREGATE(15,6,(ROW(Setups!$A$2:$A$1000)-1)/(Setups!$A$2:$A$1000=$C$3),2),"")</f>
        <v/>
      </c>
      <c r="B62" s="11" t="str">
        <f>IF($A62="","",IF(INDEX(Setups!B$2:B$1000,$A62)="","",INDEX(Setups!B$2:B$1000,$A62)))</f>
        <v/>
      </c>
      <c r="C62" s="11" t="str">
        <f>IF($A62="","",IF(INDEX(Setups!C$2:C$1000,$A62)="","",INDEX(Setups!C$2:C$1000,$A62)))</f>
        <v/>
      </c>
      <c r="D62" s="11" t="str">
        <f>IF($A62="","",IF(INDEX(Setups!D$2:D$1000,$A62)="","",INDEX(Setups!D$2:D$1000,$A62)))</f>
        <v/>
      </c>
      <c r="E62" s="11" t="str">
        <f>IF($A62="","",IF(INDEX(Setups!E$2:E$1000,$A62)="","",INDEX(Setups!E$2:E$1000,$A62)))</f>
        <v/>
      </c>
      <c r="H62" s="10" t="str">
        <f>IF($A62="","",IF(INDEX(Setups!F$2:F$1000,$A62)="","",INDEX(Setups!F$2:F$1000,$A62)))</f>
        <v/>
      </c>
    </row>
    <row r="63" spans="1:8" ht="27" customHeight="1" x14ac:dyDescent="0.25">
      <c r="A63" t="str">
        <f>IFERROR(_xlfn.AGGREGATE(15,6,(ROW(Setups!$A$2:$A$1000)-1)/(Setups!$A$2:$A$1000=$C$3),3),"")</f>
        <v/>
      </c>
      <c r="B63" s="11" t="str">
        <f>IF($A63="","",IF(INDEX(Setups!B$2:B$1000,$A63)="","",INDEX(Setups!B$2:B$1000,$A63)))</f>
        <v/>
      </c>
      <c r="C63" s="11" t="str">
        <f>IF($A63="","",IF(INDEX(Setups!C$2:C$1000,$A63)="","",INDEX(Setups!C$2:C$1000,$A63)))</f>
        <v/>
      </c>
      <c r="D63" s="11" t="str">
        <f>IF($A63="","",IF(INDEX(Setups!D$2:D$1000,$A63)="","",INDEX(Setups!D$2:D$1000,$A63)))</f>
        <v/>
      </c>
      <c r="E63" s="11" t="str">
        <f>IF($A63="","",IF(INDEX(Setups!E$2:E$1000,$A63)="","",INDEX(Setups!E$2:E$1000,$A63)))</f>
        <v/>
      </c>
      <c r="H63" s="10" t="str">
        <f>IF($A63="","",IF(INDEX(Setups!F$2:F$1000,$A63)="","",INDEX(Setups!F$2:F$1000,$A63)))</f>
        <v/>
      </c>
    </row>
    <row r="64" spans="1:8" ht="27" customHeight="1" x14ac:dyDescent="0.25">
      <c r="A64" t="str">
        <f>IFERROR(_xlfn.AGGREGATE(15,6,(ROW(Setups!$A$2:$A$1000)-1)/(Setups!$A$2:$A$1000=$C$3),4),"")</f>
        <v/>
      </c>
      <c r="B64" s="11" t="str">
        <f>IF($A64="","",IF(INDEX(Setups!B$2:B$1000,$A64)="","",INDEX(Setups!B$2:B$1000,$A64)))</f>
        <v/>
      </c>
      <c r="C64" s="11" t="str">
        <f>IF($A64="","",IF(INDEX(Setups!C$2:C$1000,$A64)="","",INDEX(Setups!C$2:C$1000,$A64)))</f>
        <v/>
      </c>
      <c r="D64" s="11" t="str">
        <f>IF($A64="","",IF(INDEX(Setups!D$2:D$1000,$A64)="","",INDEX(Setups!D$2:D$1000,$A64)))</f>
        <v/>
      </c>
      <c r="E64" s="11" t="str">
        <f>IF($A64="","",IF(INDEX(Setups!E$2:E$1000,$A64)="","",INDEX(Setups!E$2:E$1000,$A64)))</f>
        <v/>
      </c>
      <c r="H64" s="10" t="str">
        <f>IF($A64="","",IF(INDEX(Setups!F$2:F$1000,$A64)="","",INDEX(Setups!F$2:F$1000,$A64)))</f>
        <v/>
      </c>
    </row>
    <row r="65" spans="1:8" ht="27" customHeight="1" x14ac:dyDescent="0.25">
      <c r="A65" t="str">
        <f>IFERROR(_xlfn.AGGREGATE(15,6,(ROW(Setups!$A$2:$A$1000)-1)/(Setups!$A$2:$A$1000=$C$3),5),"")</f>
        <v/>
      </c>
      <c r="B65" s="11" t="str">
        <f>IF($A65="","",IF(INDEX(Setups!B$2:B$1000,$A65)="","",INDEX(Setups!B$2:B$1000,$A65)))</f>
        <v/>
      </c>
      <c r="C65" s="11" t="str">
        <f>IF($A65="","",IF(INDEX(Setups!C$2:C$1000,$A65)="","",INDEX(Setups!C$2:C$1000,$A65)))</f>
        <v/>
      </c>
      <c r="D65" s="11" t="str">
        <f>IF($A65="","",IF(INDEX(Setups!D$2:D$1000,$A65)="","",INDEX(Setups!D$2:D$1000,$A65)))</f>
        <v/>
      </c>
      <c r="E65" s="11" t="str">
        <f>IF($A65="","",IF(INDEX(Setups!E$2:E$1000,$A65)="","",INDEX(Setups!E$2:E$1000,$A65)))</f>
        <v/>
      </c>
      <c r="H65" s="10" t="str">
        <f>IF($A65="","",IF(INDEX(Setups!F$2:F$1000,$A65)="","",INDEX(Setups!F$2:F$1000,$A65)))</f>
        <v/>
      </c>
    </row>
    <row r="66" spans="1:8" ht="27" customHeight="1" x14ac:dyDescent="0.25">
      <c r="A66" t="str">
        <f>IFERROR(_xlfn.AGGREGATE(15,6,(ROW(Setups!$A$2:$A$1000)-1)/(Setups!$A$2:$A$1000=$C$3),6),"")</f>
        <v/>
      </c>
      <c r="B66" s="11" t="str">
        <f>IF($A66="","",IF(INDEX(Setups!B$2:B$1000,$A66)="","",INDEX(Setups!B$2:B$1000,$A66)))</f>
        <v/>
      </c>
      <c r="C66" s="11" t="str">
        <f>IF($A66="","",IF(INDEX(Setups!C$2:C$1000,$A66)="","",INDEX(Setups!C$2:C$1000,$A66)))</f>
        <v/>
      </c>
      <c r="D66" s="11" t="str">
        <f>IF($A66="","",IF(INDEX(Setups!D$2:D$1000,$A66)="","",INDEX(Setups!D$2:D$1000,$A66)))</f>
        <v/>
      </c>
      <c r="E66" s="11" t="str">
        <f>IF($A66="","",IF(INDEX(Setups!E$2:E$1000,$A66)="","",INDEX(Setups!E$2:E$1000,$A66)))</f>
        <v/>
      </c>
      <c r="H66" s="10" t="str">
        <f>IF($A66="","",IF(INDEX(Setups!F$2:F$1000,$A66)="","",INDEX(Setups!F$2:F$1000,$A66)))</f>
        <v/>
      </c>
    </row>
    <row r="67" spans="1:8" x14ac:dyDescent="0.25">
      <c r="B67" s="2" t="str">
        <f>IF(COUNTIF(Setups!$A$2:$A$1000,$C$3)&gt;6,"Plus "&amp;(COUNTIF(Setups!$A$2:$A$1000,$C$3)-6)&amp;" more on the Setups tab","")</f>
        <v/>
      </c>
    </row>
  </sheetData>
  <sheetProtection sheet="1" formatColumns="0" formatRows="0"/>
  <mergeCells count="9">
    <mergeCell ref="C11:H11"/>
    <mergeCell ref="C6:H6"/>
    <mergeCell ref="C10:H10"/>
    <mergeCell ref="C14:H14"/>
    <mergeCell ref="C13:H13"/>
    <mergeCell ref="C9:H9"/>
    <mergeCell ref="C8:H8"/>
    <mergeCell ref="C12:H12"/>
    <mergeCell ref="C7:H7"/>
  </mergeCells>
  <dataValidations count="1">
    <dataValidation type="list" showErrorMessage="1" errorTitle="State code" error="Pick a two-letter state code from the list." sqref="C3" xr:uid="{00000000-0002-0000-0000-000000000000}">
      <formula1>StateList</formula1>
    </dataValidation>
  </dataValidations>
  <pageMargins left="0.75" right="0.75" top="1" bottom="1" header="0.5" footer="0.5"/>
  <pageSetup fitToHeight="0" orientation="landscape"/>
  <rowBreaks count="1" manualBreakCount="1">
    <brk id="37"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2"/>
  <sheetViews>
    <sheetView workbookViewId="0">
      <pane xSplit="1" ySplit="1" topLeftCell="B2" activePane="bottomRight" state="frozen"/>
      <selection pane="topRight"/>
      <selection pane="bottomLeft"/>
      <selection pane="bottomRight"/>
    </sheetView>
  </sheetViews>
  <sheetFormatPr defaultRowHeight="15" x14ac:dyDescent="0.25"/>
  <cols>
    <col min="1" max="1" width="7" customWidth="1"/>
    <col min="2" max="2" width="18" customWidth="1"/>
    <col min="3" max="3" width="30" customWidth="1"/>
    <col min="4" max="4" width="28" customWidth="1"/>
    <col min="5" max="5" width="26" customWidth="1"/>
    <col min="6" max="6" width="16" customWidth="1"/>
    <col min="7" max="7" width="14" customWidth="1"/>
    <col min="8" max="8" width="32" customWidth="1"/>
    <col min="9" max="9" width="60" customWidth="1"/>
    <col min="10" max="10" width="44" customWidth="1"/>
    <col min="11" max="11" width="13" customWidth="1"/>
  </cols>
  <sheetData>
    <row r="1" spans="1:11" x14ac:dyDescent="0.25">
      <c r="A1" s="15" t="s">
        <v>2</v>
      </c>
      <c r="B1" s="15" t="s">
        <v>39</v>
      </c>
      <c r="C1" s="15" t="s">
        <v>5</v>
      </c>
      <c r="D1" s="15" t="s">
        <v>6</v>
      </c>
      <c r="E1" s="15" t="s">
        <v>7</v>
      </c>
      <c r="F1" s="15" t="s">
        <v>8</v>
      </c>
      <c r="G1" s="15" t="s">
        <v>9</v>
      </c>
      <c r="H1" s="15" t="s">
        <v>10</v>
      </c>
      <c r="I1" s="15" t="s">
        <v>11</v>
      </c>
      <c r="J1" s="15" t="s">
        <v>12</v>
      </c>
      <c r="K1" s="15" t="s">
        <v>13</v>
      </c>
    </row>
    <row r="2" spans="1:11" x14ac:dyDescent="0.25">
      <c r="A2" s="11" t="s">
        <v>40</v>
      </c>
      <c r="B2" s="11" t="s">
        <v>41</v>
      </c>
      <c r="C2" s="11"/>
      <c r="D2" s="11"/>
      <c r="E2" s="11"/>
      <c r="F2" s="11"/>
      <c r="G2" s="11"/>
      <c r="H2" s="11"/>
      <c r="I2" s="10"/>
      <c r="J2" s="11"/>
      <c r="K2" s="13"/>
    </row>
    <row r="3" spans="1:11" x14ac:dyDescent="0.25">
      <c r="A3" s="11" t="s">
        <v>42</v>
      </c>
      <c r="B3" s="11" t="s">
        <v>43</v>
      </c>
      <c r="C3" s="11"/>
      <c r="D3" s="11"/>
      <c r="E3" s="11"/>
      <c r="F3" s="11"/>
      <c r="G3" s="11"/>
      <c r="H3" s="11"/>
      <c r="I3" s="10"/>
      <c r="J3" s="11"/>
      <c r="K3" s="13"/>
    </row>
    <row r="4" spans="1:11" x14ac:dyDescent="0.25">
      <c r="A4" s="11" t="s">
        <v>44</v>
      </c>
      <c r="B4" s="11" t="s">
        <v>45</v>
      </c>
      <c r="C4" s="11"/>
      <c r="D4" s="11"/>
      <c r="E4" s="11"/>
      <c r="F4" s="11"/>
      <c r="G4" s="11"/>
      <c r="H4" s="11"/>
      <c r="I4" s="10"/>
      <c r="J4" s="11"/>
      <c r="K4" s="13"/>
    </row>
    <row r="5" spans="1:11" x14ac:dyDescent="0.25">
      <c r="A5" s="11" t="s">
        <v>46</v>
      </c>
      <c r="B5" s="11" t="s">
        <v>47</v>
      </c>
      <c r="C5" s="11"/>
      <c r="D5" s="11"/>
      <c r="E5" s="11"/>
      <c r="F5" s="11"/>
      <c r="G5" s="11"/>
      <c r="H5" s="11"/>
      <c r="I5" s="10"/>
      <c r="J5" s="11"/>
      <c r="K5" s="13"/>
    </row>
    <row r="6" spans="1:11" x14ac:dyDescent="0.25">
      <c r="A6" s="11" t="s">
        <v>48</v>
      </c>
      <c r="B6" s="11" t="s">
        <v>49</v>
      </c>
      <c r="C6" s="11"/>
      <c r="D6" s="11"/>
      <c r="E6" s="11"/>
      <c r="F6" s="11"/>
      <c r="G6" s="11"/>
      <c r="H6" s="11"/>
      <c r="I6" s="10"/>
      <c r="J6" s="11"/>
      <c r="K6" s="13"/>
    </row>
    <row r="7" spans="1:11" x14ac:dyDescent="0.25">
      <c r="A7" s="11" t="s">
        <v>50</v>
      </c>
      <c r="B7" s="11" t="s">
        <v>51</v>
      </c>
      <c r="C7" s="11"/>
      <c r="D7" s="11"/>
      <c r="E7" s="11"/>
      <c r="F7" s="11"/>
      <c r="G7" s="11"/>
      <c r="H7" s="11"/>
      <c r="I7" s="10"/>
      <c r="J7" s="11"/>
      <c r="K7" s="13"/>
    </row>
    <row r="8" spans="1:11" x14ac:dyDescent="0.25">
      <c r="A8" s="11" t="s">
        <v>52</v>
      </c>
      <c r="B8" s="11" t="s">
        <v>53</v>
      </c>
      <c r="C8" s="11"/>
      <c r="D8" s="11"/>
      <c r="E8" s="11"/>
      <c r="F8" s="11"/>
      <c r="G8" s="11"/>
      <c r="H8" s="11"/>
      <c r="I8" s="10"/>
      <c r="J8" s="11"/>
      <c r="K8" s="13"/>
    </row>
    <row r="9" spans="1:11" x14ac:dyDescent="0.25">
      <c r="A9" s="11" t="s">
        <v>54</v>
      </c>
      <c r="B9" s="11" t="s">
        <v>55</v>
      </c>
      <c r="C9" s="11"/>
      <c r="D9" s="11"/>
      <c r="E9" s="11"/>
      <c r="F9" s="11"/>
      <c r="G9" s="11"/>
      <c r="H9" s="11"/>
      <c r="I9" s="10"/>
      <c r="J9" s="11"/>
      <c r="K9" s="13"/>
    </row>
    <row r="10" spans="1:11" x14ac:dyDescent="0.25">
      <c r="A10" s="11" t="s">
        <v>56</v>
      </c>
      <c r="B10" s="11" t="s">
        <v>57</v>
      </c>
      <c r="C10" s="11"/>
      <c r="D10" s="11"/>
      <c r="E10" s="11"/>
      <c r="F10" s="11"/>
      <c r="G10" s="11"/>
      <c r="H10" s="11"/>
      <c r="I10" s="10"/>
      <c r="J10" s="11"/>
      <c r="K10" s="13"/>
    </row>
    <row r="11" spans="1:11" x14ac:dyDescent="0.25">
      <c r="A11" s="11" t="s">
        <v>58</v>
      </c>
      <c r="B11" s="11" t="s">
        <v>59</v>
      </c>
      <c r="C11" s="11"/>
      <c r="D11" s="11"/>
      <c r="E11" s="11"/>
      <c r="F11" s="11"/>
      <c r="G11" s="11"/>
      <c r="H11" s="11"/>
      <c r="I11" s="10"/>
      <c r="J11" s="11"/>
      <c r="K11" s="13"/>
    </row>
    <row r="12" spans="1:11" ht="63.75" x14ac:dyDescent="0.25">
      <c r="A12" s="11" t="s">
        <v>3</v>
      </c>
      <c r="B12" s="11" t="s">
        <v>60</v>
      </c>
      <c r="C12" s="11" t="s">
        <v>61</v>
      </c>
      <c r="D12" s="16" t="s">
        <v>62</v>
      </c>
      <c r="E12" s="16" t="s">
        <v>63</v>
      </c>
      <c r="F12" s="11" t="s">
        <v>64</v>
      </c>
      <c r="G12" s="11"/>
      <c r="H12" s="11"/>
      <c r="I12" s="10" t="s">
        <v>65</v>
      </c>
      <c r="J12" s="16" t="s">
        <v>66</v>
      </c>
      <c r="K12" s="13">
        <v>46305</v>
      </c>
    </row>
    <row r="13" spans="1:11" x14ac:dyDescent="0.25">
      <c r="A13" s="11" t="s">
        <v>67</v>
      </c>
      <c r="B13" s="11" t="s">
        <v>68</v>
      </c>
      <c r="C13" s="11"/>
      <c r="D13" s="11"/>
      <c r="E13" s="11"/>
      <c r="F13" s="11"/>
      <c r="G13" s="11"/>
      <c r="H13" s="11"/>
      <c r="I13" s="10"/>
      <c r="J13" s="11"/>
      <c r="K13" s="13"/>
    </row>
    <row r="14" spans="1:11" x14ac:dyDescent="0.25">
      <c r="A14" s="11" t="s">
        <v>69</v>
      </c>
      <c r="B14" s="11" t="s">
        <v>70</v>
      </c>
      <c r="C14" s="11"/>
      <c r="D14" s="11"/>
      <c r="E14" s="11"/>
      <c r="F14" s="11"/>
      <c r="G14" s="11"/>
      <c r="H14" s="11"/>
      <c r="I14" s="10"/>
      <c r="J14" s="11"/>
      <c r="K14" s="13"/>
    </row>
    <row r="15" spans="1:11" x14ac:dyDescent="0.25">
      <c r="A15" s="11" t="s">
        <v>71</v>
      </c>
      <c r="B15" s="11" t="s">
        <v>72</v>
      </c>
      <c r="C15" s="11"/>
      <c r="D15" s="11"/>
      <c r="E15" s="11"/>
      <c r="F15" s="11"/>
      <c r="G15" s="11"/>
      <c r="H15" s="11"/>
      <c r="I15" s="10"/>
      <c r="J15" s="11"/>
      <c r="K15" s="13"/>
    </row>
    <row r="16" spans="1:11" x14ac:dyDescent="0.25">
      <c r="A16" s="11" t="s">
        <v>73</v>
      </c>
      <c r="B16" s="11" t="s">
        <v>74</v>
      </c>
      <c r="C16" s="11"/>
      <c r="D16" s="11"/>
      <c r="E16" s="11"/>
      <c r="F16" s="11"/>
      <c r="G16" s="11"/>
      <c r="H16" s="11"/>
      <c r="I16" s="10"/>
      <c r="J16" s="11"/>
      <c r="K16" s="13"/>
    </row>
    <row r="17" spans="1:11" x14ac:dyDescent="0.25">
      <c r="A17" s="11" t="s">
        <v>75</v>
      </c>
      <c r="B17" s="11" t="s">
        <v>76</v>
      </c>
      <c r="C17" s="11"/>
      <c r="D17" s="11"/>
      <c r="E17" s="11"/>
      <c r="F17" s="11"/>
      <c r="G17" s="11"/>
      <c r="H17" s="11"/>
      <c r="I17" s="10"/>
      <c r="J17" s="11"/>
      <c r="K17" s="13"/>
    </row>
    <row r="18" spans="1:11" x14ac:dyDescent="0.25">
      <c r="A18" s="11" t="s">
        <v>77</v>
      </c>
      <c r="B18" s="11" t="s">
        <v>78</v>
      </c>
      <c r="C18" s="11"/>
      <c r="D18" s="11"/>
      <c r="E18" s="11"/>
      <c r="F18" s="11"/>
      <c r="G18" s="11"/>
      <c r="H18" s="11"/>
      <c r="I18" s="10"/>
      <c r="J18" s="11"/>
      <c r="K18" s="13"/>
    </row>
    <row r="19" spans="1:11" x14ac:dyDescent="0.25">
      <c r="A19" s="11" t="s">
        <v>79</v>
      </c>
      <c r="B19" s="11" t="s">
        <v>80</v>
      </c>
      <c r="C19" s="11"/>
      <c r="D19" s="11"/>
      <c r="E19" s="11"/>
      <c r="F19" s="11"/>
      <c r="G19" s="11"/>
      <c r="H19" s="11"/>
      <c r="I19" s="10"/>
      <c r="J19" s="11"/>
      <c r="K19" s="13"/>
    </row>
    <row r="20" spans="1:11" x14ac:dyDescent="0.25">
      <c r="A20" s="11" t="s">
        <v>81</v>
      </c>
      <c r="B20" s="11" t="s">
        <v>82</v>
      </c>
      <c r="C20" s="11"/>
      <c r="D20" s="11"/>
      <c r="E20" s="11"/>
      <c r="F20" s="11"/>
      <c r="G20" s="11"/>
      <c r="H20" s="11"/>
      <c r="I20" s="10"/>
      <c r="J20" s="11"/>
      <c r="K20" s="13"/>
    </row>
    <row r="21" spans="1:11" x14ac:dyDescent="0.25">
      <c r="A21" s="11" t="s">
        <v>83</v>
      </c>
      <c r="B21" s="11" t="s">
        <v>84</v>
      </c>
      <c r="C21" s="11"/>
      <c r="D21" s="11"/>
      <c r="E21" s="11"/>
      <c r="F21" s="11"/>
      <c r="G21" s="11"/>
      <c r="H21" s="11"/>
      <c r="I21" s="10"/>
      <c r="J21" s="11"/>
      <c r="K21" s="13"/>
    </row>
    <row r="22" spans="1:11" x14ac:dyDescent="0.25">
      <c r="A22" s="11" t="s">
        <v>85</v>
      </c>
      <c r="B22" s="11" t="s">
        <v>86</v>
      </c>
      <c r="C22" s="11"/>
      <c r="D22" s="11"/>
      <c r="E22" s="11"/>
      <c r="F22" s="11"/>
      <c r="G22" s="11"/>
      <c r="H22" s="11"/>
      <c r="I22" s="10"/>
      <c r="J22" s="11"/>
      <c r="K22" s="13"/>
    </row>
    <row r="23" spans="1:11" x14ac:dyDescent="0.25">
      <c r="A23" s="11" t="s">
        <v>87</v>
      </c>
      <c r="B23" s="11" t="s">
        <v>88</v>
      </c>
      <c r="C23" s="11"/>
      <c r="D23" s="11"/>
      <c r="E23" s="11"/>
      <c r="F23" s="11"/>
      <c r="G23" s="11"/>
      <c r="H23" s="11"/>
      <c r="I23" s="10"/>
      <c r="J23" s="11"/>
      <c r="K23" s="13"/>
    </row>
    <row r="24" spans="1:11" x14ac:dyDescent="0.25">
      <c r="A24" s="11" t="s">
        <v>89</v>
      </c>
      <c r="B24" s="11" t="s">
        <v>90</v>
      </c>
      <c r="C24" s="11"/>
      <c r="D24" s="11"/>
      <c r="E24" s="11"/>
      <c r="F24" s="11"/>
      <c r="G24" s="11"/>
      <c r="H24" s="11"/>
      <c r="I24" s="10"/>
      <c r="J24" s="11"/>
      <c r="K24" s="13"/>
    </row>
    <row r="25" spans="1:11" x14ac:dyDescent="0.25">
      <c r="A25" s="11" t="s">
        <v>91</v>
      </c>
      <c r="B25" s="11" t="s">
        <v>92</v>
      </c>
      <c r="C25" s="11"/>
      <c r="D25" s="11"/>
      <c r="E25" s="11"/>
      <c r="F25" s="11"/>
      <c r="G25" s="11"/>
      <c r="H25" s="11"/>
      <c r="I25" s="10"/>
      <c r="J25" s="11"/>
      <c r="K25" s="13"/>
    </row>
    <row r="26" spans="1:11" x14ac:dyDescent="0.25">
      <c r="A26" s="11" t="s">
        <v>93</v>
      </c>
      <c r="B26" s="11" t="s">
        <v>94</v>
      </c>
      <c r="C26" s="11"/>
      <c r="D26" s="11"/>
      <c r="E26" s="11"/>
      <c r="F26" s="11"/>
      <c r="G26" s="11"/>
      <c r="H26" s="11"/>
      <c r="I26" s="10"/>
      <c r="J26" s="11"/>
      <c r="K26" s="13"/>
    </row>
    <row r="27" spans="1:11" x14ac:dyDescent="0.25">
      <c r="A27" s="11" t="s">
        <v>95</v>
      </c>
      <c r="B27" s="11" t="s">
        <v>96</v>
      </c>
      <c r="C27" s="11"/>
      <c r="D27" s="11"/>
      <c r="E27" s="11"/>
      <c r="F27" s="11"/>
      <c r="G27" s="11"/>
      <c r="H27" s="11"/>
      <c r="I27" s="10"/>
      <c r="J27" s="11"/>
      <c r="K27" s="13"/>
    </row>
    <row r="28" spans="1:11" x14ac:dyDescent="0.25">
      <c r="A28" s="11" t="s">
        <v>97</v>
      </c>
      <c r="B28" s="11" t="s">
        <v>98</v>
      </c>
      <c r="C28" s="11"/>
      <c r="D28" s="11"/>
      <c r="E28" s="11"/>
      <c r="F28" s="11"/>
      <c r="G28" s="11"/>
      <c r="H28" s="11"/>
      <c r="I28" s="10"/>
      <c r="J28" s="11"/>
      <c r="K28" s="13"/>
    </row>
    <row r="29" spans="1:11" x14ac:dyDescent="0.25">
      <c r="A29" s="11" t="s">
        <v>99</v>
      </c>
      <c r="B29" s="11" t="s">
        <v>100</v>
      </c>
      <c r="C29" s="11"/>
      <c r="D29" s="11"/>
      <c r="E29" s="11"/>
      <c r="F29" s="11"/>
      <c r="G29" s="11"/>
      <c r="H29" s="11"/>
      <c r="I29" s="10"/>
      <c r="J29" s="11"/>
      <c r="K29" s="13"/>
    </row>
    <row r="30" spans="1:11" x14ac:dyDescent="0.25">
      <c r="A30" s="11" t="s">
        <v>101</v>
      </c>
      <c r="B30" s="11" t="s">
        <v>102</v>
      </c>
      <c r="C30" s="11"/>
      <c r="D30" s="11"/>
      <c r="E30" s="11"/>
      <c r="F30" s="11"/>
      <c r="G30" s="11"/>
      <c r="H30" s="11"/>
      <c r="I30" s="10"/>
      <c r="J30" s="11"/>
      <c r="K30" s="13"/>
    </row>
    <row r="31" spans="1:11" x14ac:dyDescent="0.25">
      <c r="A31" s="11" t="s">
        <v>103</v>
      </c>
      <c r="B31" s="11" t="s">
        <v>104</v>
      </c>
      <c r="C31" s="11"/>
      <c r="D31" s="11"/>
      <c r="E31" s="11"/>
      <c r="F31" s="11"/>
      <c r="G31" s="11"/>
      <c r="H31" s="11"/>
      <c r="I31" s="10"/>
      <c r="J31" s="11"/>
      <c r="K31" s="13"/>
    </row>
    <row r="32" spans="1:11" x14ac:dyDescent="0.25">
      <c r="A32" s="11" t="s">
        <v>105</v>
      </c>
      <c r="B32" s="11" t="s">
        <v>106</v>
      </c>
      <c r="C32" s="11"/>
      <c r="D32" s="11"/>
      <c r="E32" s="11"/>
      <c r="F32" s="11"/>
      <c r="G32" s="11"/>
      <c r="H32" s="11"/>
      <c r="I32" s="10"/>
      <c r="J32" s="11"/>
      <c r="K32" s="13"/>
    </row>
    <row r="33" spans="1:11" x14ac:dyDescent="0.25">
      <c r="A33" s="11" t="s">
        <v>107</v>
      </c>
      <c r="B33" s="11" t="s">
        <v>108</v>
      </c>
      <c r="C33" s="11"/>
      <c r="D33" s="11"/>
      <c r="E33" s="11"/>
      <c r="F33" s="11"/>
      <c r="G33" s="11"/>
      <c r="H33" s="11"/>
      <c r="I33" s="10"/>
      <c r="J33" s="11"/>
      <c r="K33" s="13"/>
    </row>
    <row r="34" spans="1:11" x14ac:dyDescent="0.25">
      <c r="A34" s="11" t="s">
        <v>109</v>
      </c>
      <c r="B34" s="11" t="s">
        <v>110</v>
      </c>
      <c r="C34" s="11"/>
      <c r="D34" s="11"/>
      <c r="E34" s="11"/>
      <c r="F34" s="11"/>
      <c r="G34" s="11"/>
      <c r="H34" s="11"/>
      <c r="I34" s="10"/>
      <c r="J34" s="11"/>
      <c r="K34" s="13"/>
    </row>
    <row r="35" spans="1:11" x14ac:dyDescent="0.25">
      <c r="A35" s="11" t="s">
        <v>111</v>
      </c>
      <c r="B35" s="11" t="s">
        <v>112</v>
      </c>
      <c r="C35" s="11"/>
      <c r="D35" s="11"/>
      <c r="E35" s="11"/>
      <c r="F35" s="11"/>
      <c r="G35" s="11"/>
      <c r="H35" s="11"/>
      <c r="I35" s="10"/>
      <c r="J35" s="11"/>
      <c r="K35" s="13"/>
    </row>
    <row r="36" spans="1:11" x14ac:dyDescent="0.25">
      <c r="A36" s="11" t="s">
        <v>113</v>
      </c>
      <c r="B36" s="11" t="s">
        <v>114</v>
      </c>
      <c r="C36" s="11"/>
      <c r="D36" s="11"/>
      <c r="E36" s="11"/>
      <c r="F36" s="11"/>
      <c r="G36" s="11"/>
      <c r="H36" s="11"/>
      <c r="I36" s="10"/>
      <c r="J36" s="11"/>
      <c r="K36" s="13"/>
    </row>
    <row r="37" spans="1:11" x14ac:dyDescent="0.25">
      <c r="A37" s="11" t="s">
        <v>115</v>
      </c>
      <c r="B37" s="11" t="s">
        <v>116</v>
      </c>
      <c r="C37" s="11"/>
      <c r="D37" s="11"/>
      <c r="E37" s="11"/>
      <c r="F37" s="11"/>
      <c r="G37" s="11"/>
      <c r="H37" s="11"/>
      <c r="I37" s="10"/>
      <c r="J37" s="11"/>
      <c r="K37" s="13"/>
    </row>
    <row r="38" spans="1:11" x14ac:dyDescent="0.25">
      <c r="A38" s="11" t="s">
        <v>117</v>
      </c>
      <c r="B38" s="11" t="s">
        <v>118</v>
      </c>
      <c r="C38" s="11"/>
      <c r="D38" s="11"/>
      <c r="E38" s="11"/>
      <c r="F38" s="11"/>
      <c r="G38" s="11"/>
      <c r="H38" s="11"/>
      <c r="I38" s="10"/>
      <c r="J38" s="11"/>
      <c r="K38" s="13"/>
    </row>
    <row r="39" spans="1:11" x14ac:dyDescent="0.25">
      <c r="A39" s="11" t="s">
        <v>119</v>
      </c>
      <c r="B39" s="11" t="s">
        <v>120</v>
      </c>
      <c r="C39" s="11"/>
      <c r="D39" s="11"/>
      <c r="E39" s="11"/>
      <c r="F39" s="11"/>
      <c r="G39" s="11"/>
      <c r="H39" s="11"/>
      <c r="I39" s="10"/>
      <c r="J39" s="11"/>
      <c r="K39" s="13"/>
    </row>
    <row r="40" spans="1:11" x14ac:dyDescent="0.25">
      <c r="A40" s="11" t="s">
        <v>121</v>
      </c>
      <c r="B40" s="11" t="s">
        <v>122</v>
      </c>
      <c r="C40" s="11"/>
      <c r="D40" s="11"/>
      <c r="E40" s="11"/>
      <c r="F40" s="11"/>
      <c r="G40" s="11"/>
      <c r="H40" s="11"/>
      <c r="I40" s="10"/>
      <c r="J40" s="11"/>
      <c r="K40" s="13"/>
    </row>
    <row r="41" spans="1:11" x14ac:dyDescent="0.25">
      <c r="A41" s="11" t="s">
        <v>123</v>
      </c>
      <c r="B41" s="11" t="s">
        <v>124</v>
      </c>
      <c r="C41" s="11"/>
      <c r="D41" s="11"/>
      <c r="E41" s="11"/>
      <c r="F41" s="11"/>
      <c r="G41" s="11"/>
      <c r="H41" s="11"/>
      <c r="I41" s="10"/>
      <c r="J41" s="11"/>
      <c r="K41" s="13"/>
    </row>
    <row r="42" spans="1:11" x14ac:dyDescent="0.25">
      <c r="A42" s="11" t="s">
        <v>125</v>
      </c>
      <c r="B42" s="11" t="s">
        <v>126</v>
      </c>
      <c r="C42" s="11"/>
      <c r="D42" s="11"/>
      <c r="E42" s="11"/>
      <c r="F42" s="11"/>
      <c r="G42" s="11"/>
      <c r="H42" s="11"/>
      <c r="I42" s="10"/>
      <c r="J42" s="11"/>
      <c r="K42" s="13"/>
    </row>
    <row r="43" spans="1:11" x14ac:dyDescent="0.25">
      <c r="A43" s="11" t="s">
        <v>127</v>
      </c>
      <c r="B43" s="11" t="s">
        <v>128</v>
      </c>
      <c r="C43" s="11"/>
      <c r="D43" s="11"/>
      <c r="E43" s="11"/>
      <c r="F43" s="11"/>
      <c r="G43" s="11"/>
      <c r="H43" s="11"/>
      <c r="I43" s="10"/>
      <c r="J43" s="11"/>
      <c r="K43" s="13"/>
    </row>
    <row r="44" spans="1:11" x14ac:dyDescent="0.25">
      <c r="A44" s="11" t="s">
        <v>129</v>
      </c>
      <c r="B44" s="11" t="s">
        <v>130</v>
      </c>
      <c r="C44" s="11"/>
      <c r="D44" s="11"/>
      <c r="E44" s="11"/>
      <c r="F44" s="11"/>
      <c r="G44" s="11"/>
      <c r="H44" s="11"/>
      <c r="I44" s="10"/>
      <c r="J44" s="11"/>
      <c r="K44" s="13"/>
    </row>
    <row r="45" spans="1:11" x14ac:dyDescent="0.25">
      <c r="A45" s="11" t="s">
        <v>131</v>
      </c>
      <c r="B45" s="11" t="s">
        <v>132</v>
      </c>
      <c r="C45" s="11"/>
      <c r="D45" s="11"/>
      <c r="E45" s="11"/>
      <c r="F45" s="11"/>
      <c r="G45" s="11"/>
      <c r="H45" s="11"/>
      <c r="I45" s="10"/>
      <c r="J45" s="11"/>
      <c r="K45" s="13"/>
    </row>
    <row r="46" spans="1:11" x14ac:dyDescent="0.25">
      <c r="A46" s="11" t="s">
        <v>133</v>
      </c>
      <c r="B46" s="11" t="s">
        <v>134</v>
      </c>
      <c r="C46" s="11"/>
      <c r="D46" s="11"/>
      <c r="E46" s="11"/>
      <c r="F46" s="11"/>
      <c r="G46" s="11"/>
      <c r="H46" s="11"/>
      <c r="I46" s="10"/>
      <c r="J46" s="11"/>
      <c r="K46" s="13"/>
    </row>
    <row r="47" spans="1:11" x14ac:dyDescent="0.25">
      <c r="A47" s="11" t="s">
        <v>135</v>
      </c>
      <c r="B47" s="11" t="s">
        <v>136</v>
      </c>
      <c r="C47" s="11"/>
      <c r="D47" s="11"/>
      <c r="E47" s="11"/>
      <c r="F47" s="11"/>
      <c r="G47" s="11"/>
      <c r="H47" s="11"/>
      <c r="I47" s="10"/>
      <c r="J47" s="11"/>
      <c r="K47" s="13"/>
    </row>
    <row r="48" spans="1:11" x14ac:dyDescent="0.25">
      <c r="A48" s="11" t="s">
        <v>137</v>
      </c>
      <c r="B48" s="11" t="s">
        <v>138</v>
      </c>
      <c r="C48" s="11"/>
      <c r="D48" s="11"/>
      <c r="E48" s="11"/>
      <c r="F48" s="11"/>
      <c r="G48" s="11"/>
      <c r="H48" s="11"/>
      <c r="I48" s="10"/>
      <c r="J48" s="11"/>
      <c r="K48" s="13"/>
    </row>
    <row r="49" spans="1:11" x14ac:dyDescent="0.25">
      <c r="A49" s="11" t="s">
        <v>139</v>
      </c>
      <c r="B49" s="11" t="s">
        <v>140</v>
      </c>
      <c r="C49" s="11"/>
      <c r="D49" s="11"/>
      <c r="E49" s="11"/>
      <c r="F49" s="11"/>
      <c r="G49" s="11"/>
      <c r="H49" s="11"/>
      <c r="I49" s="10"/>
      <c r="J49" s="11"/>
      <c r="K49" s="13"/>
    </row>
    <row r="50" spans="1:11" x14ac:dyDescent="0.25">
      <c r="A50" s="11" t="s">
        <v>141</v>
      </c>
      <c r="B50" s="11" t="s">
        <v>142</v>
      </c>
      <c r="C50" s="11"/>
      <c r="D50" s="11"/>
      <c r="E50" s="11"/>
      <c r="F50" s="11"/>
      <c r="G50" s="11"/>
      <c r="H50" s="11"/>
      <c r="I50" s="10"/>
      <c r="J50" s="11"/>
      <c r="K50" s="13"/>
    </row>
    <row r="51" spans="1:11" x14ac:dyDescent="0.25">
      <c r="A51" s="11" t="s">
        <v>143</v>
      </c>
      <c r="B51" s="11" t="s">
        <v>144</v>
      </c>
      <c r="C51" s="11"/>
      <c r="D51" s="11"/>
      <c r="E51" s="11"/>
      <c r="F51" s="11"/>
      <c r="G51" s="11"/>
      <c r="H51" s="11"/>
      <c r="I51" s="10"/>
      <c r="J51" s="11"/>
      <c r="K51" s="13"/>
    </row>
    <row r="52" spans="1:11" x14ac:dyDescent="0.25">
      <c r="A52" s="11" t="s">
        <v>145</v>
      </c>
      <c r="B52" s="11" t="s">
        <v>146</v>
      </c>
      <c r="C52" s="11"/>
      <c r="D52" s="11"/>
      <c r="E52" s="11"/>
      <c r="F52" s="11"/>
      <c r="G52" s="11"/>
      <c r="H52" s="11"/>
      <c r="I52" s="10"/>
      <c r="J52" s="11"/>
      <c r="K52" s="13"/>
    </row>
  </sheetData>
  <hyperlinks>
    <hyperlink ref="D12" r:id="rId1" xr:uid="{00000000-0004-0000-0100-000000000000}"/>
    <hyperlink ref="E12" r:id="rId2" xr:uid="{00000000-0004-0000-0100-000001000000}"/>
    <hyperlink ref="J12" r:id="rId3" xr:uid="{00000000-0004-0000-0100-000002000000}"/>
  </hyperlinks>
  <pageMargins left="0.75" right="0.75" top="1" bottom="1" header="0.5" footer="0.5"/>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5"/>
  <sheetViews>
    <sheetView workbookViewId="0">
      <pane xSplit="1" ySplit="1" topLeftCell="B2" activePane="bottomRight" state="frozen"/>
      <selection pane="topRight"/>
      <selection pane="bottomLeft"/>
      <selection pane="bottomRight"/>
    </sheetView>
  </sheetViews>
  <sheetFormatPr defaultRowHeight="15" x14ac:dyDescent="0.25"/>
  <cols>
    <col min="1" max="1" width="7" customWidth="1"/>
    <col min="2" max="2" width="30" customWidth="1"/>
    <col min="3" max="3" width="22" customWidth="1"/>
    <col min="4" max="4" width="28" customWidth="1"/>
    <col min="5" max="5" width="12" customWidth="1"/>
    <col min="6" max="6" width="26" customWidth="1"/>
    <col min="7" max="7" width="18" customWidth="1"/>
    <col min="8" max="8" width="60" customWidth="1"/>
    <col min="9" max="9" width="44" customWidth="1"/>
    <col min="10" max="10" width="13" customWidth="1"/>
  </cols>
  <sheetData>
    <row r="1" spans="1:10" x14ac:dyDescent="0.25">
      <c r="A1" s="15" t="s">
        <v>2</v>
      </c>
      <c r="B1" s="15" t="s">
        <v>14</v>
      </c>
      <c r="C1" s="15" t="s">
        <v>15</v>
      </c>
      <c r="D1" s="15" t="s">
        <v>16</v>
      </c>
      <c r="E1" s="15" t="s">
        <v>17</v>
      </c>
      <c r="F1" s="15" t="s">
        <v>18</v>
      </c>
      <c r="G1" s="15" t="s">
        <v>19</v>
      </c>
      <c r="H1" s="15" t="s">
        <v>20</v>
      </c>
      <c r="I1" s="15" t="s">
        <v>12</v>
      </c>
      <c r="J1" s="15" t="s">
        <v>13</v>
      </c>
    </row>
    <row r="2" spans="1:10" ht="38.25" x14ac:dyDescent="0.25">
      <c r="A2" s="11" t="s">
        <v>3</v>
      </c>
      <c r="B2" s="10" t="s">
        <v>147</v>
      </c>
      <c r="C2" s="10" t="s">
        <v>148</v>
      </c>
      <c r="D2" s="10" t="s">
        <v>149</v>
      </c>
      <c r="E2" s="11" t="s">
        <v>150</v>
      </c>
      <c r="F2" s="10" t="s">
        <v>151</v>
      </c>
      <c r="G2" s="11"/>
      <c r="H2" s="10" t="s">
        <v>152</v>
      </c>
      <c r="I2" s="11" t="s">
        <v>153</v>
      </c>
      <c r="J2" s="13">
        <v>46305</v>
      </c>
    </row>
    <row r="3" spans="1:10" ht="25.5" x14ac:dyDescent="0.25">
      <c r="A3" s="11" t="s">
        <v>3</v>
      </c>
      <c r="B3" s="10" t="s">
        <v>154</v>
      </c>
      <c r="C3" s="10" t="s">
        <v>148</v>
      </c>
      <c r="D3" s="10" t="s">
        <v>155</v>
      </c>
      <c r="E3" s="11" t="s">
        <v>150</v>
      </c>
      <c r="F3" s="10" t="s">
        <v>151</v>
      </c>
      <c r="G3" s="11"/>
      <c r="H3" s="10" t="s">
        <v>156</v>
      </c>
      <c r="I3" s="11" t="s">
        <v>153</v>
      </c>
      <c r="J3" s="13">
        <v>46305</v>
      </c>
    </row>
    <row r="4" spans="1:10" ht="25.5" x14ac:dyDescent="0.25">
      <c r="A4" s="11" t="s">
        <v>3</v>
      </c>
      <c r="B4" s="10" t="s">
        <v>157</v>
      </c>
      <c r="C4" s="10"/>
      <c r="D4" s="10" t="s">
        <v>158</v>
      </c>
      <c r="E4" s="11" t="s">
        <v>150</v>
      </c>
      <c r="F4" s="10" t="s">
        <v>151</v>
      </c>
      <c r="G4" s="11"/>
      <c r="H4" s="10" t="s">
        <v>159</v>
      </c>
      <c r="I4" s="16" t="s">
        <v>160</v>
      </c>
      <c r="J4" s="13">
        <v>46305</v>
      </c>
    </row>
    <row r="5" spans="1:10" ht="25.5" x14ac:dyDescent="0.25">
      <c r="A5" s="11" t="s">
        <v>3</v>
      </c>
      <c r="B5" s="10" t="s">
        <v>161</v>
      </c>
      <c r="C5" s="10" t="s">
        <v>162</v>
      </c>
      <c r="D5" s="10" t="s">
        <v>163</v>
      </c>
      <c r="E5" s="11" t="s">
        <v>164</v>
      </c>
      <c r="F5" s="10" t="s">
        <v>165</v>
      </c>
      <c r="G5" s="11"/>
      <c r="H5" s="10" t="s">
        <v>166</v>
      </c>
      <c r="I5" s="11" t="s">
        <v>167</v>
      </c>
      <c r="J5" s="13">
        <v>46305</v>
      </c>
    </row>
  </sheetData>
  <dataValidations count="1">
    <dataValidation type="list" allowBlank="1" showErrorMessage="1" errorTitle="State code" error="Pick a two-letter state code from the list." sqref="A2:A1000" xr:uid="{00000000-0002-0000-0200-000000000000}">
      <formula1>StateList</formula1>
    </dataValidation>
  </dataValidations>
  <hyperlinks>
    <hyperlink ref="I4" r:id="rId1" xr:uid="{00000000-0004-0000-0200-000000000000}"/>
  </hyperlinks>
  <pageMargins left="0.75" right="0.75" top="1" bottom="1" header="0.5" footer="0.5"/>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
  <sheetViews>
    <sheetView workbookViewId="0">
      <pane xSplit="1" ySplit="1" topLeftCell="B2" activePane="bottomRight" state="frozen"/>
      <selection pane="topRight"/>
      <selection pane="bottomLeft"/>
      <selection pane="bottomRight"/>
    </sheetView>
  </sheetViews>
  <sheetFormatPr defaultRowHeight="15" x14ac:dyDescent="0.25"/>
  <cols>
    <col min="1" max="1" width="7" customWidth="1"/>
    <col min="2" max="2" width="30" customWidth="1"/>
    <col min="3" max="3" width="18" customWidth="1"/>
    <col min="4" max="4" width="12" customWidth="1"/>
    <col min="5" max="5" width="14" customWidth="1"/>
    <col min="6" max="6" width="24" customWidth="1"/>
    <col min="7" max="7" width="50" customWidth="1"/>
    <col min="8" max="8" width="30" customWidth="1"/>
    <col min="9" max="9" width="13" customWidth="1"/>
  </cols>
  <sheetData>
    <row r="1" spans="1:9" x14ac:dyDescent="0.25">
      <c r="A1" s="15" t="s">
        <v>2</v>
      </c>
      <c r="B1" s="15" t="s">
        <v>21</v>
      </c>
      <c r="C1" s="15" t="s">
        <v>22</v>
      </c>
      <c r="D1" s="15" t="s">
        <v>23</v>
      </c>
      <c r="E1" s="15" t="s">
        <v>24</v>
      </c>
      <c r="F1" s="15" t="s">
        <v>25</v>
      </c>
      <c r="G1" s="15" t="s">
        <v>20</v>
      </c>
      <c r="H1" s="15" t="s">
        <v>12</v>
      </c>
      <c r="I1" s="15" t="s">
        <v>13</v>
      </c>
    </row>
    <row r="2" spans="1:9" x14ac:dyDescent="0.25">
      <c r="A2" s="11" t="s">
        <v>3</v>
      </c>
      <c r="B2" s="11" t="s">
        <v>168</v>
      </c>
      <c r="C2" s="11"/>
      <c r="D2" s="13"/>
      <c r="E2" s="14"/>
      <c r="F2" s="11"/>
      <c r="G2" s="10" t="s">
        <v>169</v>
      </c>
      <c r="H2" s="11"/>
      <c r="I2" s="13"/>
    </row>
  </sheetData>
  <dataValidations count="1">
    <dataValidation type="list" allowBlank="1" showErrorMessage="1" errorTitle="State code" error="Pick a two-letter state code from the list." sqref="A2:A1000" xr:uid="{00000000-0002-0000-0300-000000000000}">
      <formula1>StateList</formula1>
    </dataValidation>
  </dataValidations>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6"/>
  <sheetViews>
    <sheetView workbookViewId="0">
      <pane xSplit="1" ySplit="1" topLeftCell="B2" activePane="bottomRight" state="frozen"/>
      <selection pane="topRight"/>
      <selection pane="bottomLeft"/>
      <selection pane="bottomRight"/>
    </sheetView>
  </sheetViews>
  <sheetFormatPr defaultRowHeight="15" x14ac:dyDescent="0.25"/>
  <cols>
    <col min="1" max="1" width="7" customWidth="1"/>
    <col min="2" max="2" width="20" customWidth="1"/>
    <col min="3" max="3" width="26" customWidth="1"/>
    <col min="4" max="4" width="10" customWidth="1"/>
    <col min="5" max="5" width="20" customWidth="1"/>
    <col min="6" max="7" width="12" customWidth="1"/>
    <col min="8" max="8" width="56" customWidth="1"/>
    <col min="9" max="9" width="44" customWidth="1"/>
    <col min="10" max="10" width="13" customWidth="1"/>
  </cols>
  <sheetData>
    <row r="1" spans="1:10" x14ac:dyDescent="0.25">
      <c r="A1" s="15" t="s">
        <v>2</v>
      </c>
      <c r="B1" s="15" t="s">
        <v>26</v>
      </c>
      <c r="C1" s="15" t="s">
        <v>16</v>
      </c>
      <c r="D1" s="15" t="s">
        <v>27</v>
      </c>
      <c r="E1" s="15" t="s">
        <v>28</v>
      </c>
      <c r="F1" s="15" t="s">
        <v>29</v>
      </c>
      <c r="G1" s="15" t="s">
        <v>30</v>
      </c>
      <c r="H1" s="15" t="s">
        <v>20</v>
      </c>
      <c r="I1" s="15" t="s">
        <v>12</v>
      </c>
      <c r="J1" s="15" t="s">
        <v>13</v>
      </c>
    </row>
    <row r="2" spans="1:10" ht="25.5" x14ac:dyDescent="0.25">
      <c r="A2" s="11" t="s">
        <v>3</v>
      </c>
      <c r="B2" s="11" t="s">
        <v>170</v>
      </c>
      <c r="C2" s="10" t="s">
        <v>171</v>
      </c>
      <c r="D2" s="11">
        <v>0.33300000000000002</v>
      </c>
      <c r="E2" s="10" t="s">
        <v>172</v>
      </c>
      <c r="F2" s="13"/>
      <c r="G2" s="13"/>
      <c r="H2" s="10" t="s">
        <v>173</v>
      </c>
      <c r="I2" s="16" t="s">
        <v>160</v>
      </c>
      <c r="J2" s="13">
        <v>46305</v>
      </c>
    </row>
    <row r="3" spans="1:10" ht="25.5" x14ac:dyDescent="0.25">
      <c r="A3" s="11" t="s">
        <v>3</v>
      </c>
      <c r="B3" s="11" t="s">
        <v>174</v>
      </c>
      <c r="C3" s="10" t="s">
        <v>171</v>
      </c>
      <c r="D3" s="11">
        <v>0.373</v>
      </c>
      <c r="E3" s="10" t="s">
        <v>172</v>
      </c>
      <c r="F3" s="13"/>
      <c r="G3" s="13"/>
      <c r="H3" s="10" t="s">
        <v>173</v>
      </c>
      <c r="I3" s="16" t="s">
        <v>160</v>
      </c>
      <c r="J3" s="13">
        <v>46305</v>
      </c>
    </row>
    <row r="4" spans="1:10" ht="38.25" x14ac:dyDescent="0.25">
      <c r="A4" s="11" t="s">
        <v>3</v>
      </c>
      <c r="B4" s="11" t="s">
        <v>175</v>
      </c>
      <c r="C4" s="10" t="s">
        <v>176</v>
      </c>
      <c r="D4" s="11">
        <v>0</v>
      </c>
      <c r="E4" s="10" t="s">
        <v>172</v>
      </c>
      <c r="F4" s="13">
        <v>46294</v>
      </c>
      <c r="G4" s="13">
        <v>46331</v>
      </c>
      <c r="H4" s="10" t="s">
        <v>177</v>
      </c>
      <c r="I4" s="16" t="s">
        <v>160</v>
      </c>
      <c r="J4" s="13">
        <v>46305</v>
      </c>
    </row>
    <row r="5" spans="1:10" ht="38.25" x14ac:dyDescent="0.25">
      <c r="A5" s="11" t="s">
        <v>3</v>
      </c>
      <c r="B5" s="11" t="s">
        <v>175</v>
      </c>
      <c r="C5" s="10" t="s">
        <v>178</v>
      </c>
      <c r="D5" s="11"/>
      <c r="E5" s="10" t="s">
        <v>179</v>
      </c>
      <c r="F5" s="13"/>
      <c r="G5" s="13"/>
      <c r="H5" s="10" t="s">
        <v>180</v>
      </c>
      <c r="I5" s="16" t="s">
        <v>181</v>
      </c>
      <c r="J5" s="13">
        <v>46305</v>
      </c>
    </row>
    <row r="6" spans="1:10" ht="38.25" x14ac:dyDescent="0.25">
      <c r="A6" s="11" t="s">
        <v>3</v>
      </c>
      <c r="B6" s="11" t="s">
        <v>182</v>
      </c>
      <c r="C6" s="10" t="s">
        <v>183</v>
      </c>
      <c r="D6" s="11"/>
      <c r="E6" s="10" t="s">
        <v>179</v>
      </c>
      <c r="F6" s="13">
        <v>46301</v>
      </c>
      <c r="G6" s="13">
        <v>46331</v>
      </c>
      <c r="H6" s="10" t="s">
        <v>184</v>
      </c>
      <c r="I6" s="16" t="s">
        <v>185</v>
      </c>
      <c r="J6" s="13">
        <v>46305</v>
      </c>
    </row>
  </sheetData>
  <dataValidations count="1">
    <dataValidation type="list" allowBlank="1" showErrorMessage="1" errorTitle="State code" error="Pick a two-letter state code from the list." sqref="A2:A1000" xr:uid="{00000000-0002-0000-0400-000000000000}">
      <formula1>StateList</formula1>
    </dataValidation>
  </dataValidations>
  <hyperlinks>
    <hyperlink ref="I2" r:id="rId1" xr:uid="{00000000-0004-0000-0400-000000000000}"/>
    <hyperlink ref="I3" r:id="rId2" xr:uid="{00000000-0004-0000-0400-000001000000}"/>
    <hyperlink ref="I4" r:id="rId3" xr:uid="{00000000-0004-0000-0400-000002000000}"/>
    <hyperlink ref="I5" r:id="rId4" xr:uid="{00000000-0004-0000-0400-000003000000}"/>
    <hyperlink ref="I6" r:id="rId5" xr:uid="{00000000-0004-0000-0400-000004000000}"/>
  </hyperlinks>
  <pageMargins left="0.75" right="0.75" top="1" bottom="1" header="0.5" footer="0.5"/>
  <tableParts count="1">
    <tablePart r:id="rId6"/>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
  <sheetViews>
    <sheetView workbookViewId="0">
      <pane xSplit="1" ySplit="1" topLeftCell="B2" activePane="bottomRight" state="frozen"/>
      <selection pane="topRight"/>
      <selection pane="bottomLeft"/>
      <selection pane="bottomRight"/>
    </sheetView>
  </sheetViews>
  <sheetFormatPr defaultRowHeight="15" x14ac:dyDescent="0.25"/>
  <cols>
    <col min="1" max="1" width="7" customWidth="1"/>
    <col min="2" max="2" width="30" customWidth="1"/>
    <col min="3" max="3" width="16" customWidth="1"/>
    <col min="4" max="4" width="28" customWidth="1"/>
    <col min="5" max="5" width="18" customWidth="1"/>
    <col min="6" max="6" width="40" customWidth="1"/>
    <col min="7" max="7" width="44" customWidth="1"/>
    <col min="8" max="8" width="13" customWidth="1"/>
  </cols>
  <sheetData>
    <row r="1" spans="1:8" x14ac:dyDescent="0.25">
      <c r="A1" s="15" t="s">
        <v>2</v>
      </c>
      <c r="B1" s="15" t="s">
        <v>31</v>
      </c>
      <c r="C1" s="15" t="s">
        <v>32</v>
      </c>
      <c r="D1" s="15" t="s">
        <v>33</v>
      </c>
      <c r="E1" s="15" t="s">
        <v>34</v>
      </c>
      <c r="F1" s="15" t="s">
        <v>35</v>
      </c>
      <c r="G1" s="15" t="s">
        <v>12</v>
      </c>
      <c r="H1" s="15" t="s">
        <v>13</v>
      </c>
    </row>
    <row r="2" spans="1:8" x14ac:dyDescent="0.25">
      <c r="A2" s="11" t="s">
        <v>3</v>
      </c>
      <c r="B2" s="11" t="s">
        <v>186</v>
      </c>
      <c r="C2" s="11" t="s">
        <v>64</v>
      </c>
      <c r="D2" s="11"/>
      <c r="E2" s="11" t="s">
        <v>187</v>
      </c>
      <c r="F2" s="10" t="s">
        <v>188</v>
      </c>
      <c r="G2" s="16" t="s">
        <v>66</v>
      </c>
      <c r="H2" s="13">
        <v>46305</v>
      </c>
    </row>
  </sheetData>
  <dataValidations count="1">
    <dataValidation type="list" allowBlank="1" showErrorMessage="1" errorTitle="State code" error="Pick a two-letter state code from the list." sqref="A2:A1000" xr:uid="{00000000-0002-0000-0500-000000000000}">
      <formula1>StateList</formula1>
    </dataValidation>
  </dataValidations>
  <hyperlinks>
    <hyperlink ref="G2" r:id="rId1" xr:uid="{00000000-0004-0000-0500-000000000000}"/>
  </hyperlinks>
  <pageMargins left="0.75" right="0.75" top="1" bottom="1" header="0.5" footer="0.5"/>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
  <sheetViews>
    <sheetView workbookViewId="0">
      <pane xSplit="1" ySplit="1" topLeftCell="B2" activePane="bottomRight" state="frozen"/>
      <selection pane="topRight"/>
      <selection pane="bottomLeft"/>
      <selection pane="bottomRight"/>
    </sheetView>
  </sheetViews>
  <sheetFormatPr defaultRowHeight="15" x14ac:dyDescent="0.25"/>
  <cols>
    <col min="1" max="1" width="7" customWidth="1"/>
    <col min="2" max="2" width="28" customWidth="1"/>
    <col min="3" max="3" width="20" customWidth="1"/>
    <col min="4" max="4" width="30" customWidth="1"/>
    <col min="5" max="5" width="20" customWidth="1"/>
    <col min="6" max="6" width="50" customWidth="1"/>
    <col min="7" max="7" width="13" customWidth="1"/>
  </cols>
  <sheetData>
    <row r="1" spans="1:7" x14ac:dyDescent="0.25">
      <c r="A1" s="15" t="s">
        <v>2</v>
      </c>
      <c r="B1" s="15" t="s">
        <v>36</v>
      </c>
      <c r="C1" s="15" t="s">
        <v>26</v>
      </c>
      <c r="D1" s="15" t="s">
        <v>37</v>
      </c>
      <c r="E1" s="15" t="s">
        <v>38</v>
      </c>
      <c r="F1" s="15" t="s">
        <v>20</v>
      </c>
      <c r="G1" s="15" t="s">
        <v>13</v>
      </c>
    </row>
    <row r="2" spans="1:7" x14ac:dyDescent="0.25">
      <c r="A2" s="11"/>
      <c r="B2" s="11"/>
      <c r="C2" s="11"/>
      <c r="D2" s="11"/>
      <c r="E2" s="11"/>
      <c r="F2" s="10"/>
      <c r="G2" s="13"/>
    </row>
  </sheetData>
  <dataValidations count="1">
    <dataValidation type="list" allowBlank="1" showErrorMessage="1" errorTitle="State code" error="Pick a two-letter state code from the list." sqref="A2:A1000" xr:uid="{00000000-0002-0000-0600-000000000000}">
      <formula1>StateList</formula1>
    </dataValidation>
  </dataValidations>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B25"/>
  <sheetViews>
    <sheetView workbookViewId="0"/>
  </sheetViews>
  <sheetFormatPr defaultRowHeight="15" x14ac:dyDescent="0.25"/>
  <cols>
    <col min="2" max="2" width="100" customWidth="1"/>
  </cols>
  <sheetData>
    <row r="1" spans="2:2" ht="20.25" x14ac:dyDescent="0.25">
      <c r="B1" s="17" t="s">
        <v>189</v>
      </c>
    </row>
    <row r="3" spans="2:2" ht="25.5" x14ac:dyDescent="0.25">
      <c r="B3" s="10" t="s">
        <v>190</v>
      </c>
    </row>
    <row r="5" spans="2:2" ht="25.5" x14ac:dyDescent="0.25">
      <c r="B5" s="10" t="s">
        <v>191</v>
      </c>
    </row>
    <row r="7" spans="2:2" ht="25.5" x14ac:dyDescent="0.25">
      <c r="B7" s="10" t="s">
        <v>192</v>
      </c>
    </row>
    <row r="9" spans="2:2" x14ac:dyDescent="0.25">
      <c r="B9" s="10" t="s">
        <v>193</v>
      </c>
    </row>
    <row r="11" spans="2:2" x14ac:dyDescent="0.25">
      <c r="B11" s="10" t="s">
        <v>194</v>
      </c>
    </row>
    <row r="13" spans="2:2" ht="25.5" x14ac:dyDescent="0.25">
      <c r="B13" s="10" t="s">
        <v>195</v>
      </c>
    </row>
    <row r="15" spans="2:2" ht="25.5" x14ac:dyDescent="0.25">
      <c r="B15" s="10" t="s">
        <v>196</v>
      </c>
    </row>
    <row r="17" spans="2:2" x14ac:dyDescent="0.25">
      <c r="B17" s="10" t="s">
        <v>197</v>
      </c>
    </row>
    <row r="19" spans="2:2" ht="25.5" x14ac:dyDescent="0.25">
      <c r="B19" s="10" t="s">
        <v>198</v>
      </c>
    </row>
    <row r="21" spans="2:2" ht="25.5" x14ac:dyDescent="0.25">
      <c r="B21" s="10" t="s">
        <v>199</v>
      </c>
    </row>
    <row r="23" spans="2:2" x14ac:dyDescent="0.25">
      <c r="B23" s="10" t="s">
        <v>200</v>
      </c>
    </row>
    <row r="25" spans="2:2" x14ac:dyDescent="0.25">
      <c r="B25" s="10" t="s">
        <v>201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State</vt:lpstr>
      <vt:lpstr>States</vt:lpstr>
      <vt:lpstr>Returns</vt:lpstr>
      <vt:lpstr>Licenses</vt:lpstr>
      <vt:lpstr>Rates</vt:lpstr>
      <vt:lpstr>Contacts</vt:lpstr>
      <vt:lpstr>Setups</vt:lpstr>
      <vt:lpstr>How to use</vt:lpstr>
      <vt:lpstr>State!Print_Area</vt:lpstr>
      <vt:lpstr>State!Print_Titles</vt:lpstr>
      <vt:lpstr>StateList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terms:created xsi:type="dcterms:W3CDTF">2026-10-12T11:31:38Z</dcterms:created>
  <dcterms:modified xsi:type="dcterms:W3CDTF">2026-10-12T11:31:40Z</dcterms:modified>
</cp:coreProperties>
</file>