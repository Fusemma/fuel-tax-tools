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BA69FBB3-129A-4C7C-9851-59DD95C227CE}" xr6:coauthVersionLast="47" xr6:coauthVersionMax="47" xr10:uidLastSave="{00000000-0000-0000-0000-000000000000}"/>
  <bookViews>
    <workbookView xWindow="-120" yWindow="-120" windowWidth="38640" windowHeight="21120" xr2:uid="{00000000-000D-0000-FFFF-FFFF00000000}"/>
  </bookViews>
  <sheets>
    <sheet name="Dyed diesel" sheetId="1" r:id="rId1"/>
    <sheet name="No order found" sheetId="2" r:id="rId2"/>
  </sheets>
  <definedNames>
    <definedName name="_xlnm._FilterDatabase" localSheetId="0" hidden="1">'Dyed diesel'!$A$5:$I$35</definedName>
    <definedName name="_xlnm._FilterDatabase" localSheetId="1" hidden="1">'No order found'!$A$3:$D$11</definedName>
    <definedName name="_xlnm.Print_Titles" localSheetId="0">'Dyed diesel'!$5:$5</definedName>
    <definedName name="_xlnm.Print_Titles" localSheetId="1">'No order found'!$3:$3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 l="1"/>
  <c r="B34" i="1"/>
  <c r="B33" i="1"/>
  <c r="B32" i="1"/>
  <c r="B31" i="1"/>
  <c r="B30" i="1"/>
  <c r="B29" i="1"/>
  <c r="B28" i="1"/>
  <c r="B27" i="1"/>
  <c r="B26" i="1"/>
  <c r="B25" i="1"/>
  <c r="B24" i="1"/>
  <c r="B23" i="1"/>
  <c r="B22" i="1"/>
  <c r="B21" i="1"/>
  <c r="B20" i="1"/>
  <c r="B19" i="1"/>
  <c r="B18" i="1"/>
  <c r="B17" i="1"/>
  <c r="B16" i="1"/>
  <c r="B15" i="1"/>
  <c r="B14" i="1"/>
  <c r="B13" i="1"/>
  <c r="B12" i="1"/>
  <c r="B11" i="1"/>
  <c r="B10" i="1"/>
  <c r="B9" i="1"/>
  <c r="B8" i="1"/>
  <c r="A2" i="1" s="1"/>
  <c r="B7" i="1"/>
  <c r="B6" i="1"/>
</calcChain>
</file>

<file path=xl/sharedStrings.xml><?xml version="1.0" encoding="utf-8"?>
<sst xmlns="http://schemas.openxmlformats.org/spreadsheetml/2006/main" count="207" uniqueCount="110">
  <si>
    <t>Dyed diesel on the road, as of Oct 15, 2026</t>
  </si>
  <si>
    <t>Colors</t>
  </si>
  <si>
    <t>In effect</t>
  </si>
  <si>
    <t>Ends within 14 days</t>
  </si>
  <si>
    <t>Ended</t>
  </si>
  <si>
    <t>No color: not started yet, no relief, or press only.</t>
  </si>
  <si>
    <t>Dates</t>
  </si>
  <si>
    <t>Each row's Starts and Ends come from that state's own order, not the federal one, and who is covered differs by order. Today and the colors follow today's date.</t>
  </si>
  <si>
    <t>State</t>
  </si>
  <si>
    <t>Today</t>
  </si>
  <si>
    <t>Dyed on the road</t>
  </si>
  <si>
    <t>Tax on those gallons</t>
  </si>
  <si>
    <t>Seller covered</t>
  </si>
  <si>
    <t>Starts</t>
  </si>
  <si>
    <t>Ends</t>
  </si>
  <si>
    <t>Authority</t>
  </si>
  <si>
    <t>Checked</t>
  </si>
  <si>
    <t>Federal</t>
  </si>
  <si>
    <t>Waived</t>
  </si>
  <si>
    <t>Owed</t>
  </si>
  <si>
    <t>Yes</t>
  </si>
  <si>
    <t>Executive Order 14435, 'Emergency Tax Relief on Diesel Fuel', Oct 5, 2026, 91 FR 64747; IRS news release IR-2026-122, Oct 14, 2026. Treasury's 7508A answer on the tax not posted as of Oct 14.</t>
  </si>
  <si>
    <t>Alabama</t>
  </si>
  <si>
    <t>Enforcement paused</t>
  </si>
  <si>
    <t>No</t>
  </si>
  <si>
    <t>Governor's letter to the ALEA Secretary, Sept 24, 2026</t>
  </si>
  <si>
    <t>Arizona</t>
  </si>
  <si>
    <t>Unclear</t>
  </si>
  <si>
    <t>Executive Order 2026-03, dated Oct 13, 2026, in effect Oct 16; agricultural vehicles only</t>
  </si>
  <si>
    <t>Arkansas</t>
  </si>
  <si>
    <t>Executive Order 26-15, signed Sept 29, 2026</t>
  </si>
  <si>
    <t>California</t>
  </si>
  <si>
    <t>None</t>
  </si>
  <si>
    <t>n/a</t>
  </si>
  <si>
    <t>No order or notice</t>
  </si>
  <si>
    <t>Colorado</t>
  </si>
  <si>
    <t>Executive Order D 2026 020, signed Oct 9, 2026</t>
  </si>
  <si>
    <t>Florida</t>
  </si>
  <si>
    <t>Revenue's Order of Emergency Waiver/Deviation 26-33-DOR-001, approved Oct 6, 2026, under the Governor's EO 26-201; TIP 26B05-03</t>
  </si>
  <si>
    <t>Georgia</t>
  </si>
  <si>
    <t>Not owed</t>
  </si>
  <si>
    <t>Executive Order 10.06.26.01 (Oct 6) and DOR Bulletin MFT-2026-04</t>
  </si>
  <si>
    <t>Idaho</t>
  </si>
  <si>
    <t>Executive Order 2026-07, signed Oct 9, 2026; it stays in effect thirty calendar days unless a later order of the Governor rescinds or extends it. Day one is Oct 9, the day it was signed, so day thirty is Nov 7.</t>
  </si>
  <si>
    <t>Illinois</t>
  </si>
  <si>
    <t>Executive Order 2026-08, signed and filed Oct 6, 2026; Revenue's Informational Bulletin FY 2027-07, October 2026</t>
  </si>
  <si>
    <t>Indiana</t>
  </si>
  <si>
    <t>Executive Order 26-34, signed Sept 30, 2026, under the EO 26-33 energy emergency</t>
  </si>
  <si>
    <t>Iowa</t>
  </si>
  <si>
    <t>Governor's Proclamation of Disaster Emergency of Oct 7, 2026 (expands the Oct 5 one)</t>
  </si>
  <si>
    <t>Kentucky</t>
  </si>
  <si>
    <t>Executive Order 2026-667, Oct 7, 2026, approved by Attorney General EO 2026-07 the same day</t>
  </si>
  <si>
    <t>Louisiana</t>
  </si>
  <si>
    <t>Waived if tax paid</t>
  </si>
  <si>
    <t>JML 26-090 (Sept 22) and Revenue Information Bulletin 26-018 (Sept 24)</t>
  </si>
  <si>
    <t>Maryland</t>
  </si>
  <si>
    <t>Executive Order 01.01.2026.19, signed Oct 9, 2026</t>
  </si>
  <si>
    <t>Michigan</t>
  </si>
  <si>
    <t>Executive Order 2026-15, Declaration of State of Energy Emergency, signed Oct 12, 2026</t>
  </si>
  <si>
    <t>Minnesota</t>
  </si>
  <si>
    <t>Department of Revenue, What's New for Petroleum Tax, read Oct 13, 2026. No relief: state law unchanged. Emergency Executive Order 26-11 (Oct 1) raises harvest weight limits and eases hours of service for fuel haulers; it names no tax.</t>
  </si>
  <si>
    <t>Mississippi</t>
  </si>
  <si>
    <t>Press only: Agriculture Commissioner's press statement of Oct 6, 2026; the Governor's own notice not found</t>
  </si>
  <si>
    <t>Missouri</t>
  </si>
  <si>
    <t>Executive Order 26-20, signed Oct 9, 2026; it rescinds 26-19</t>
  </si>
  <si>
    <t>Montana</t>
  </si>
  <si>
    <t>Executive Order 11-2026, Oct 9, 2026; agricultural and timber commercial vehicles only</t>
  </si>
  <si>
    <t>Nebraska</t>
  </si>
  <si>
    <t>Refundable</t>
  </si>
  <si>
    <t>Executive Order 26-21, signed Sept 24, 2026</t>
  </si>
  <si>
    <t>Nevada</t>
  </si>
  <si>
    <t>Governor's direction to the Highway Patrol, announced Oct 9, 2026; no order number or text posted</t>
  </si>
  <si>
    <t>North Carolina</t>
  </si>
  <si>
    <t>Session Law 2026-62 (House Bill 3), approved Oct 9, 2026; the Department of Revenue Important Notice of Oct 12, 2026, which overrides earlier guidance where they conflict. The dates are the penalty relief, for farm use or whoever dispenses the dyed. The tax is zero for everyone only Oct 10 to Nov 30; a holder of a Department exemption certificate owes none Oct 1 to Dec 31.</t>
  </si>
  <si>
    <t>North Dakota</t>
  </si>
  <si>
    <t>Executive Order 2026-08, signed Sept 29, 2026</t>
  </si>
  <si>
    <t>Ohio</t>
  </si>
  <si>
    <t>Oklahoma</t>
  </si>
  <si>
    <t>Governor's letter of Oct 5, 2026 (not an executive order)</t>
  </si>
  <si>
    <t>South Dakota</t>
  </si>
  <si>
    <t>Governor's letter to the Secretary of Public Safety, Oct 6, 2026; Revenue's Dyed Diesel Clarification, Oct 8, 2026</t>
  </si>
  <si>
    <t>Tennessee</t>
  </si>
  <si>
    <t>Department of Revenue notice on its home page, under the Governor's directive of Oct 2, 2026 (the directive itself not posted)</t>
  </si>
  <si>
    <t>Texas</t>
  </si>
  <si>
    <t>Disaster proclamation of Sept 28, 2026, and the Comptroller's diesel page notice</t>
  </si>
  <si>
    <t>Washington</t>
  </si>
  <si>
    <t>Department of Licensing, Important notice: Dyed diesel, Oct 7, 2026. No relief: state law unchanged.</t>
  </si>
  <si>
    <t>No order found, as of Oct 15, 2026</t>
  </si>
  <si>
    <t>These states are in the press only. No official page backs any line on this tab.</t>
  </si>
  <si>
    <t>What the press said</t>
  </si>
  <si>
    <t>Press source</t>
  </si>
  <si>
    <t>Official page</t>
  </si>
  <si>
    <t>Kansas</t>
  </si>
  <si>
    <t>Said no. The Governor said in a statement that the federal order can't legally be carried out as drafted.</t>
  </si>
  <si>
    <t>Press only: a WIBW story run by KCTV5, Oct 8, 2026</t>
  </si>
  <si>
    <t>None found</t>
  </si>
  <si>
    <t>New Mexico</t>
  </si>
  <si>
    <t>Nothing done.</t>
  </si>
  <si>
    <t>Press only, as of Oct 9, 2026</t>
  </si>
  <si>
    <t>New York</t>
  </si>
  <si>
    <t>Pennsylvania</t>
  </si>
  <si>
    <t>Said no. State law bars it; the administration is reviewing.</t>
  </si>
  <si>
    <t>South Carolina</t>
  </si>
  <si>
    <t>Virginia</t>
  </si>
  <si>
    <t>West Virginia</t>
  </si>
  <si>
    <t>Wisconsin</t>
  </si>
  <si>
    <t>Said no. The Farm Bureau says it needs the legislature.</t>
  </si>
  <si>
    <t>Press only: the Farm Bureau, as of Oct 9, 2026</t>
  </si>
  <si>
    <t>Not listed yet</t>
  </si>
  <si>
    <t>On neither tab: Alaska, Connecticut, Delaware, District of Columbia, Hawaii, Maine, Massachusetts, New Hampshire, New Jersey, Oregon, Rhode Island, Utah, Vermont, 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</si>
</sst>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m\ d\,\ yyyy"/>
  </numFmts>
  <fonts count="6" x14ac:knownFonts="1">
    <font>
      <sz val="11"/>
      <color theme="1"/>
      <name val="Calibri"/>
      <family val="2"/>
      <scheme val="minor"/>
    </font>
    <font>
      <b/>
      <sz val="18"/>
      <color rgb="FF000000"/>
      <name val="Arial"/>
    </font>
    <font>
      <b/>
      <sz val="14"/>
      <color rgb="FF000000"/>
      <name val="Arial"/>
    </font>
    <font>
      <b/>
      <sz val="12"/>
      <color rgb="FF000000"/>
      <name val="Arial"/>
    </font>
    <font>
      <sz val="12"/>
      <color rgb="FF000000"/>
      <name val="Arial"/>
    </font>
    <font>
      <b/>
      <sz val="12"/>
      <color rgb="FFFFFFFF"/>
      <name val="Arial"/>
    </font>
  </fonts>
  <fills count="6">
    <fill>
      <patternFill patternType="none"/>
    </fill>
    <fill>
      <patternFill patternType="gray125"/>
    </fill>
    <fill>
      <patternFill patternType="solid">
        <fgColor rgb="FFC6EFCE"/>
        <bgColor rgb="FFC6EFCE"/>
      </patternFill>
    </fill>
    <fill>
      <patternFill patternType="solid">
        <fgColor rgb="FFFFE08A"/>
        <bgColor rgb="FFFFE08A"/>
      </patternFill>
    </fill>
    <fill>
      <patternFill patternType="solid">
        <fgColor rgb="FFD9D9D9"/>
        <bgColor rgb="FFD9D9D9"/>
      </patternFill>
    </fill>
    <fill>
      <patternFill patternType="solid">
        <fgColor rgb="FF1F3864"/>
        <bgColor rgb="FF1F3864"/>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4" fillId="3" borderId="1" xfId="0" applyFont="1" applyFill="1" applyBorder="1"/>
    <xf numFmtId="0" fontId="4" fillId="4" borderId="1" xfId="0" applyFont="1" applyFill="1" applyBorder="1"/>
    <xf numFmtId="0" fontId="4" fillId="0" borderId="0" xfId="0" applyFont="1"/>
    <xf numFmtId="0" fontId="5" fillId="5" borderId="1" xfId="0" applyFont="1" applyFill="1" applyBorder="1" applyAlignment="1">
      <alignment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165" fontId="4" fillId="0" borderId="1" xfId="0" applyNumberFormat="1" applyFont="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3">
    <dxf>
      <fill>
        <patternFill patternType="solid">
          <fgColor rgb="FFD9D9D9"/>
          <bgColor rgb="FFD9D9D9"/>
        </patternFill>
      </fill>
    </dxf>
    <dxf>
      <fill>
        <patternFill patternType="solid">
          <fgColor rgb="FFFFE08A"/>
          <bgColor rgb="FFFFE08A"/>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5"/>
  <sheetViews>
    <sheetView tabSelected="1" workbookViewId="0">
      <pane ySplit="5" topLeftCell="A6" activePane="bottomLeft" state="frozen"/>
      <selection pane="bottomLeft"/>
    </sheetView>
  </sheetViews>
  <sheetFormatPr defaultRowHeight="15" x14ac:dyDescent="0.25"/>
  <cols>
    <col min="1" max="1" width="18" customWidth="1"/>
    <col min="2" max="3" width="23" customWidth="1"/>
    <col min="4" max="4" width="16" customWidth="1"/>
    <col min="5" max="5" width="12" customWidth="1"/>
    <col min="6" max="7" width="16" customWidth="1"/>
    <col min="8" max="8" width="62" customWidth="1"/>
    <col min="9" max="9" width="15" customWidth="1"/>
  </cols>
  <sheetData>
    <row r="1" spans="1:9" ht="23.25" x14ac:dyDescent="0.35">
      <c r="A1" s="1" t="s">
        <v>0</v>
      </c>
    </row>
    <row r="2" spans="1:9" ht="18" x14ac:dyDescent="0.25">
      <c r="A2" s="2" t="str">
        <f ca="1">"In effect today in "&amp;(COUNTIFS($A$6:$A$35,"&lt;&gt;Federal",$B$6:$B$35,"In effect*")+COUNTIFS($A$6:$A$35,"&lt;&gt;Federal",$B$6:$B$35,"Ends*"))&amp;IF((COUNTIFS($A$6:$A$35,"&lt;&gt;Federal",$B$6:$B$35,"In effect*")+COUNTIFS($A$6:$A$35,"&lt;&gt;Federal",$B$6:$B$35,"Ends*"))=1," state, "," states, ")&amp;COUNTIFS($A$6:$A$35,"&lt;&gt;Federal",$B$6:$B$35,"Ends*")&amp;" of them ending within 14 days. Federal: "&amp;TEXT(INDEX($F$6:$F$35,MATCH("Federal",$A$6:$A$35,0)),"mmm d")&amp;" to "&amp;TEXT(INDEX($G$6:$G$35,MATCH("Federal",$A$6:$A$35,0)),"mmm d, yyyy")&amp;", "&amp;LOWER(INDEX($B$6:$B$35,MATCH("Federal",$A$6:$A$35,0)))&amp;"."</f>
        <v>In effect today in 23 states, 2 of them ending within 14 days. Federal: Oct 1 to Dec 31, 2026, in effect.</v>
      </c>
    </row>
    <row r="3" spans="1:9" ht="15.75" x14ac:dyDescent="0.25">
      <c r="A3" s="3" t="s">
        <v>1</v>
      </c>
      <c r="B3" s="4" t="s">
        <v>2</v>
      </c>
      <c r="C3" s="5" t="s">
        <v>3</v>
      </c>
      <c r="D3" s="6" t="s">
        <v>4</v>
      </c>
      <c r="E3" s="7" t="s">
        <v>5</v>
      </c>
    </row>
    <row r="4" spans="1:9" ht="15.75" x14ac:dyDescent="0.25">
      <c r="A4" s="3" t="s">
        <v>6</v>
      </c>
      <c r="B4" s="7" t="s">
        <v>7</v>
      </c>
    </row>
    <row r="5" spans="1:9" ht="31.5" x14ac:dyDescent="0.25">
      <c r="A5" s="8" t="s">
        <v>8</v>
      </c>
      <c r="B5" s="8" t="s">
        <v>9</v>
      </c>
      <c r="C5" s="8" t="s">
        <v>10</v>
      </c>
      <c r="D5" s="8" t="s">
        <v>11</v>
      </c>
      <c r="E5" s="8" t="s">
        <v>12</v>
      </c>
      <c r="F5" s="8" t="s">
        <v>13</v>
      </c>
      <c r="G5" s="8" t="s">
        <v>14</v>
      </c>
      <c r="H5" s="8" t="s">
        <v>15</v>
      </c>
      <c r="I5" s="8" t="s">
        <v>16</v>
      </c>
    </row>
    <row r="6" spans="1:9" ht="60" x14ac:dyDescent="0.25">
      <c r="A6" s="9" t="s">
        <v>17</v>
      </c>
      <c r="B6" s="10" t="str">
        <f t="shared" ref="B6:B35" ca="1" si="0">IF($C6="None","No relief",IF(LEFT($H6,10)="Press only","Press only",IF($F6="","No start date",IF($F6&gt;TODAY(),"Starts "&amp;TEXT($F6,"mmm d, yyyy"),IF($G6="","In effect, no end date",IF($G6&lt;TODAY(),"Ended",IF($G6=TODAY(),"Ends today",IF(($G6-TODAY())&lt;=14,"Ends in "&amp;($G6-TODAY())&amp;IF(($G6-TODAY())=1," day"," days"),"In effect"))))))))</f>
        <v>In effect</v>
      </c>
      <c r="C6" s="10" t="s">
        <v>18</v>
      </c>
      <c r="D6" s="10" t="s">
        <v>19</v>
      </c>
      <c r="E6" s="10" t="s">
        <v>20</v>
      </c>
      <c r="F6" s="11">
        <v>46296</v>
      </c>
      <c r="G6" s="11">
        <v>46387</v>
      </c>
      <c r="H6" s="10" t="s">
        <v>21</v>
      </c>
      <c r="I6" s="11">
        <v>46310</v>
      </c>
    </row>
    <row r="7" spans="1:9" ht="15.75" x14ac:dyDescent="0.25">
      <c r="A7" s="9" t="s">
        <v>22</v>
      </c>
      <c r="B7" s="10" t="str">
        <f t="shared" ca="1" si="0"/>
        <v>In effect</v>
      </c>
      <c r="C7" s="10" t="s">
        <v>23</v>
      </c>
      <c r="D7" s="10" t="s">
        <v>19</v>
      </c>
      <c r="E7" s="10" t="s">
        <v>24</v>
      </c>
      <c r="F7" s="11">
        <v>46289</v>
      </c>
      <c r="G7" s="11">
        <v>46409</v>
      </c>
      <c r="H7" s="10" t="s">
        <v>25</v>
      </c>
      <c r="I7" s="11">
        <v>46310</v>
      </c>
    </row>
    <row r="8" spans="1:9" ht="30" x14ac:dyDescent="0.25">
      <c r="A8" s="9" t="s">
        <v>26</v>
      </c>
      <c r="B8" s="10" t="str">
        <f t="shared" ca="1" si="0"/>
        <v>Starts Oct 16, 2026</v>
      </c>
      <c r="C8" s="10" t="s">
        <v>23</v>
      </c>
      <c r="D8" s="10" t="s">
        <v>27</v>
      </c>
      <c r="E8" s="10" t="s">
        <v>24</v>
      </c>
      <c r="F8" s="11">
        <v>46311</v>
      </c>
      <c r="G8" s="11">
        <v>46387</v>
      </c>
      <c r="H8" s="10" t="s">
        <v>28</v>
      </c>
      <c r="I8" s="11">
        <v>46309</v>
      </c>
    </row>
    <row r="9" spans="1:9" ht="15.75" x14ac:dyDescent="0.25">
      <c r="A9" s="9" t="s">
        <v>29</v>
      </c>
      <c r="B9" s="10" t="str">
        <f t="shared" ca="1" si="0"/>
        <v>In effect</v>
      </c>
      <c r="C9" s="10" t="s">
        <v>18</v>
      </c>
      <c r="D9" s="10" t="s">
        <v>27</v>
      </c>
      <c r="E9" s="10" t="s">
        <v>24</v>
      </c>
      <c r="F9" s="11">
        <v>46295</v>
      </c>
      <c r="G9" s="11">
        <v>46325</v>
      </c>
      <c r="H9" s="10" t="s">
        <v>30</v>
      </c>
      <c r="I9" s="11">
        <v>46307</v>
      </c>
    </row>
    <row r="10" spans="1:9" ht="15.75" x14ac:dyDescent="0.25">
      <c r="A10" s="9" t="s">
        <v>31</v>
      </c>
      <c r="B10" s="10" t="str">
        <f t="shared" ca="1" si="0"/>
        <v>No relief</v>
      </c>
      <c r="C10" s="10" t="s">
        <v>32</v>
      </c>
      <c r="D10" s="10" t="s">
        <v>33</v>
      </c>
      <c r="E10" s="10" t="s">
        <v>33</v>
      </c>
      <c r="F10" s="11"/>
      <c r="G10" s="11"/>
      <c r="H10" s="10" t="s">
        <v>34</v>
      </c>
      <c r="I10" s="11">
        <v>46308</v>
      </c>
    </row>
    <row r="11" spans="1:9" ht="15.75" x14ac:dyDescent="0.25">
      <c r="A11" s="9" t="s">
        <v>35</v>
      </c>
      <c r="B11" s="10" t="str">
        <f t="shared" ca="1" si="0"/>
        <v>In effect</v>
      </c>
      <c r="C11" s="10" t="s">
        <v>23</v>
      </c>
      <c r="D11" s="10" t="s">
        <v>27</v>
      </c>
      <c r="E11" s="10" t="s">
        <v>24</v>
      </c>
      <c r="F11" s="11">
        <v>46304</v>
      </c>
      <c r="G11" s="11">
        <v>46387</v>
      </c>
      <c r="H11" s="10" t="s">
        <v>36</v>
      </c>
      <c r="I11" s="11">
        <v>46310</v>
      </c>
    </row>
    <row r="12" spans="1:9" ht="45" x14ac:dyDescent="0.25">
      <c r="A12" s="9" t="s">
        <v>37</v>
      </c>
      <c r="B12" s="10" t="str">
        <f t="shared" ca="1" si="0"/>
        <v>In effect</v>
      </c>
      <c r="C12" s="10" t="s">
        <v>23</v>
      </c>
      <c r="D12" s="10" t="s">
        <v>27</v>
      </c>
      <c r="E12" s="10" t="s">
        <v>20</v>
      </c>
      <c r="F12" s="11">
        <v>46301</v>
      </c>
      <c r="G12" s="11">
        <v>46361</v>
      </c>
      <c r="H12" s="10" t="s">
        <v>38</v>
      </c>
      <c r="I12" s="11">
        <v>46310</v>
      </c>
    </row>
    <row r="13" spans="1:9" ht="30" x14ac:dyDescent="0.25">
      <c r="A13" s="9" t="s">
        <v>39</v>
      </c>
      <c r="B13" s="10" t="str">
        <f t="shared" ca="1" si="0"/>
        <v>In effect</v>
      </c>
      <c r="C13" s="10" t="s">
        <v>18</v>
      </c>
      <c r="D13" s="10" t="s">
        <v>40</v>
      </c>
      <c r="E13" s="10" t="s">
        <v>20</v>
      </c>
      <c r="F13" s="11">
        <v>46301</v>
      </c>
      <c r="G13" s="11">
        <v>46331</v>
      </c>
      <c r="H13" s="10" t="s">
        <v>41</v>
      </c>
      <c r="I13" s="11">
        <v>46310</v>
      </c>
    </row>
    <row r="14" spans="1:9" ht="60" x14ac:dyDescent="0.25">
      <c r="A14" s="9" t="s">
        <v>42</v>
      </c>
      <c r="B14" s="10" t="str">
        <f t="shared" ca="1" si="0"/>
        <v>In effect</v>
      </c>
      <c r="C14" s="10" t="s">
        <v>23</v>
      </c>
      <c r="D14" s="10" t="s">
        <v>27</v>
      </c>
      <c r="E14" s="10" t="s">
        <v>24</v>
      </c>
      <c r="F14" s="11">
        <v>46304</v>
      </c>
      <c r="G14" s="11">
        <v>46333</v>
      </c>
      <c r="H14" s="10" t="s">
        <v>43</v>
      </c>
      <c r="I14" s="11">
        <v>46310</v>
      </c>
    </row>
    <row r="15" spans="1:9" ht="30" x14ac:dyDescent="0.25">
      <c r="A15" s="9" t="s">
        <v>44</v>
      </c>
      <c r="B15" s="10" t="str">
        <f t="shared" ca="1" si="0"/>
        <v>In effect</v>
      </c>
      <c r="C15" s="10" t="s">
        <v>23</v>
      </c>
      <c r="D15" s="10" t="s">
        <v>27</v>
      </c>
      <c r="E15" s="10" t="s">
        <v>20</v>
      </c>
      <c r="F15" s="11">
        <v>46301</v>
      </c>
      <c r="G15" s="11">
        <v>46387</v>
      </c>
      <c r="H15" s="10" t="s">
        <v>45</v>
      </c>
      <c r="I15" s="11">
        <v>46310</v>
      </c>
    </row>
    <row r="16" spans="1:9" ht="30" x14ac:dyDescent="0.25">
      <c r="A16" s="9" t="s">
        <v>46</v>
      </c>
      <c r="B16" s="10" t="str">
        <f t="shared" ca="1" si="0"/>
        <v>In effect</v>
      </c>
      <c r="C16" s="10" t="s">
        <v>18</v>
      </c>
      <c r="D16" s="10" t="s">
        <v>19</v>
      </c>
      <c r="E16" s="10" t="s">
        <v>24</v>
      </c>
      <c r="F16" s="11">
        <v>46295</v>
      </c>
      <c r="G16" s="11">
        <v>46330</v>
      </c>
      <c r="H16" s="10" t="s">
        <v>47</v>
      </c>
      <c r="I16" s="11">
        <v>46310</v>
      </c>
    </row>
    <row r="17" spans="1:9" ht="30" x14ac:dyDescent="0.25">
      <c r="A17" s="9" t="s">
        <v>48</v>
      </c>
      <c r="B17" s="10" t="str">
        <f t="shared" ca="1" si="0"/>
        <v>In effect</v>
      </c>
      <c r="C17" s="10" t="s">
        <v>18</v>
      </c>
      <c r="D17" s="10" t="s">
        <v>40</v>
      </c>
      <c r="E17" s="10" t="s">
        <v>20</v>
      </c>
      <c r="F17" s="11">
        <v>46300</v>
      </c>
      <c r="G17" s="11">
        <v>46422</v>
      </c>
      <c r="H17" s="10" t="s">
        <v>49</v>
      </c>
      <c r="I17" s="11">
        <v>46310</v>
      </c>
    </row>
    <row r="18" spans="1:9" ht="30" x14ac:dyDescent="0.25">
      <c r="A18" s="9" t="s">
        <v>50</v>
      </c>
      <c r="B18" s="10" t="str">
        <f t="shared" ca="1" si="0"/>
        <v>In effect</v>
      </c>
      <c r="C18" s="10" t="s">
        <v>18</v>
      </c>
      <c r="D18" s="10" t="s">
        <v>27</v>
      </c>
      <c r="E18" s="10" t="s">
        <v>20</v>
      </c>
      <c r="F18" s="11">
        <v>46303</v>
      </c>
      <c r="G18" s="11">
        <v>46332</v>
      </c>
      <c r="H18" s="10" t="s">
        <v>51</v>
      </c>
      <c r="I18" s="11">
        <v>46310</v>
      </c>
    </row>
    <row r="19" spans="1:9" ht="30" x14ac:dyDescent="0.25">
      <c r="A19" s="9" t="s">
        <v>52</v>
      </c>
      <c r="B19" s="10" t="str">
        <f t="shared" ca="1" si="0"/>
        <v>Ends in 7 days</v>
      </c>
      <c r="C19" s="10" t="s">
        <v>53</v>
      </c>
      <c r="D19" s="10" t="s">
        <v>19</v>
      </c>
      <c r="E19" s="10" t="s">
        <v>20</v>
      </c>
      <c r="F19" s="11">
        <v>46288</v>
      </c>
      <c r="G19" s="11">
        <v>46317</v>
      </c>
      <c r="H19" s="10" t="s">
        <v>54</v>
      </c>
      <c r="I19" s="11">
        <v>46307</v>
      </c>
    </row>
    <row r="20" spans="1:9" ht="15.75" x14ac:dyDescent="0.25">
      <c r="A20" s="9" t="s">
        <v>55</v>
      </c>
      <c r="B20" s="10" t="str">
        <f t="shared" ca="1" si="0"/>
        <v>In effect</v>
      </c>
      <c r="C20" s="10" t="s">
        <v>23</v>
      </c>
      <c r="D20" s="10" t="s">
        <v>27</v>
      </c>
      <c r="E20" s="10" t="s">
        <v>20</v>
      </c>
      <c r="F20" s="11">
        <v>46304</v>
      </c>
      <c r="G20" s="11">
        <v>46333</v>
      </c>
      <c r="H20" s="10" t="s">
        <v>56</v>
      </c>
      <c r="I20" s="11">
        <v>46310</v>
      </c>
    </row>
    <row r="21" spans="1:9" ht="30" x14ac:dyDescent="0.25">
      <c r="A21" s="9" t="s">
        <v>57</v>
      </c>
      <c r="B21" s="10" t="str">
        <f t="shared" ca="1" si="0"/>
        <v>In effect</v>
      </c>
      <c r="C21" s="10" t="s">
        <v>23</v>
      </c>
      <c r="D21" s="10" t="s">
        <v>19</v>
      </c>
      <c r="E21" s="10" t="s">
        <v>27</v>
      </c>
      <c r="F21" s="11">
        <v>46307</v>
      </c>
      <c r="G21" s="11">
        <v>46387</v>
      </c>
      <c r="H21" s="10" t="s">
        <v>58</v>
      </c>
      <c r="I21" s="11">
        <v>46308</v>
      </c>
    </row>
    <row r="22" spans="1:9" ht="75" x14ac:dyDescent="0.25">
      <c r="A22" s="9" t="s">
        <v>59</v>
      </c>
      <c r="B22" s="10" t="str">
        <f t="shared" ca="1" si="0"/>
        <v>No relief</v>
      </c>
      <c r="C22" s="10" t="s">
        <v>32</v>
      </c>
      <c r="D22" s="10" t="s">
        <v>19</v>
      </c>
      <c r="E22" s="10" t="s">
        <v>24</v>
      </c>
      <c r="F22" s="11"/>
      <c r="G22" s="11"/>
      <c r="H22" s="10" t="s">
        <v>60</v>
      </c>
      <c r="I22" s="11">
        <v>46308</v>
      </c>
    </row>
    <row r="23" spans="1:9" ht="30" x14ac:dyDescent="0.25">
      <c r="A23" s="9" t="s">
        <v>61</v>
      </c>
      <c r="B23" s="10" t="str">
        <f t="shared" ca="1" si="0"/>
        <v>Press only</v>
      </c>
      <c r="C23" s="10" t="s">
        <v>23</v>
      </c>
      <c r="D23" s="10" t="s">
        <v>27</v>
      </c>
      <c r="E23" s="10" t="s">
        <v>27</v>
      </c>
      <c r="F23" s="11"/>
      <c r="G23" s="11"/>
      <c r="H23" s="10" t="s">
        <v>62</v>
      </c>
      <c r="I23" s="11">
        <v>46307</v>
      </c>
    </row>
    <row r="24" spans="1:9" ht="30" x14ac:dyDescent="0.25">
      <c r="A24" s="9" t="s">
        <v>63</v>
      </c>
      <c r="B24" s="10" t="str">
        <f t="shared" ca="1" si="0"/>
        <v>In effect</v>
      </c>
      <c r="C24" s="10" t="s">
        <v>23</v>
      </c>
      <c r="D24" s="10" t="s">
        <v>19</v>
      </c>
      <c r="E24" s="10" t="s">
        <v>27</v>
      </c>
      <c r="F24" s="11">
        <v>46304</v>
      </c>
      <c r="G24" s="11">
        <v>46387</v>
      </c>
      <c r="H24" s="10" t="s">
        <v>64</v>
      </c>
      <c r="I24" s="11">
        <v>46310</v>
      </c>
    </row>
    <row r="25" spans="1:9" ht="30" x14ac:dyDescent="0.25">
      <c r="A25" s="9" t="s">
        <v>65</v>
      </c>
      <c r="B25" s="10" t="str">
        <f t="shared" ca="1" si="0"/>
        <v>In effect</v>
      </c>
      <c r="C25" s="10" t="s">
        <v>23</v>
      </c>
      <c r="D25" s="10" t="s">
        <v>27</v>
      </c>
      <c r="E25" s="10" t="s">
        <v>27</v>
      </c>
      <c r="F25" s="11">
        <v>46304</v>
      </c>
      <c r="G25" s="11">
        <v>46349</v>
      </c>
      <c r="H25" s="10" t="s">
        <v>66</v>
      </c>
      <c r="I25" s="11">
        <v>46310</v>
      </c>
    </row>
    <row r="26" spans="1:9" ht="15.75" x14ac:dyDescent="0.25">
      <c r="A26" s="9" t="s">
        <v>67</v>
      </c>
      <c r="B26" s="10" t="str">
        <f t="shared" ca="1" si="0"/>
        <v>In effect</v>
      </c>
      <c r="C26" s="10" t="s">
        <v>18</v>
      </c>
      <c r="D26" s="10" t="s">
        <v>68</v>
      </c>
      <c r="E26" s="10" t="s">
        <v>20</v>
      </c>
      <c r="F26" s="11">
        <v>46289</v>
      </c>
      <c r="G26" s="11">
        <v>46379</v>
      </c>
      <c r="H26" s="10" t="s">
        <v>69</v>
      </c>
      <c r="I26" s="11">
        <v>46307</v>
      </c>
    </row>
    <row r="27" spans="1:9" ht="30" x14ac:dyDescent="0.25">
      <c r="A27" s="9" t="s">
        <v>70</v>
      </c>
      <c r="B27" s="10" t="str">
        <f t="shared" ca="1" si="0"/>
        <v>In effect, no end date</v>
      </c>
      <c r="C27" s="10" t="s">
        <v>18</v>
      </c>
      <c r="D27" s="10" t="s">
        <v>27</v>
      </c>
      <c r="E27" s="10" t="s">
        <v>27</v>
      </c>
      <c r="F27" s="11">
        <v>46304</v>
      </c>
      <c r="G27" s="11"/>
      <c r="H27" s="10" t="s">
        <v>71</v>
      </c>
      <c r="I27" s="11">
        <v>46308</v>
      </c>
    </row>
    <row r="28" spans="1:9" ht="105" x14ac:dyDescent="0.25">
      <c r="A28" s="9" t="s">
        <v>72</v>
      </c>
      <c r="B28" s="10" t="str">
        <f t="shared" ca="1" si="0"/>
        <v>In effect</v>
      </c>
      <c r="C28" s="10" t="s">
        <v>18</v>
      </c>
      <c r="D28" s="10" t="s">
        <v>40</v>
      </c>
      <c r="E28" s="10" t="s">
        <v>20</v>
      </c>
      <c r="F28" s="11">
        <v>46304</v>
      </c>
      <c r="G28" s="11">
        <v>46387</v>
      </c>
      <c r="H28" s="10" t="s">
        <v>73</v>
      </c>
      <c r="I28" s="11">
        <v>46310</v>
      </c>
    </row>
    <row r="29" spans="1:9" ht="15.75" x14ac:dyDescent="0.25">
      <c r="A29" s="9" t="s">
        <v>74</v>
      </c>
      <c r="B29" s="10" t="str">
        <f t="shared" ca="1" si="0"/>
        <v>In effect</v>
      </c>
      <c r="C29" s="10" t="s">
        <v>18</v>
      </c>
      <c r="D29" s="10" t="s">
        <v>19</v>
      </c>
      <c r="E29" s="10" t="s">
        <v>24</v>
      </c>
      <c r="F29" s="11">
        <v>46294</v>
      </c>
      <c r="G29" s="11">
        <v>46356</v>
      </c>
      <c r="H29" s="10" t="s">
        <v>75</v>
      </c>
      <c r="I29" s="11">
        <v>46310</v>
      </c>
    </row>
    <row r="30" spans="1:9" ht="15.75" x14ac:dyDescent="0.25">
      <c r="A30" s="9" t="s">
        <v>76</v>
      </c>
      <c r="B30" s="10" t="str">
        <f t="shared" ca="1" si="0"/>
        <v>No relief</v>
      </c>
      <c r="C30" s="10" t="s">
        <v>32</v>
      </c>
      <c r="D30" s="10" t="s">
        <v>33</v>
      </c>
      <c r="E30" s="10" t="s">
        <v>33</v>
      </c>
      <c r="F30" s="11"/>
      <c r="G30" s="11"/>
      <c r="H30" s="10" t="s">
        <v>34</v>
      </c>
      <c r="I30" s="11">
        <v>46310</v>
      </c>
    </row>
    <row r="31" spans="1:9" ht="15.75" x14ac:dyDescent="0.25">
      <c r="A31" s="9" t="s">
        <v>77</v>
      </c>
      <c r="B31" s="10" t="str">
        <f t="shared" ca="1" si="0"/>
        <v>In effect</v>
      </c>
      <c r="C31" s="10" t="s">
        <v>23</v>
      </c>
      <c r="D31" s="10" t="s">
        <v>19</v>
      </c>
      <c r="E31" s="10" t="s">
        <v>24</v>
      </c>
      <c r="F31" s="11">
        <v>46300</v>
      </c>
      <c r="G31" s="11">
        <v>46420</v>
      </c>
      <c r="H31" s="10" t="s">
        <v>78</v>
      </c>
      <c r="I31" s="11">
        <v>46307</v>
      </c>
    </row>
    <row r="32" spans="1:9" ht="30" x14ac:dyDescent="0.25">
      <c r="A32" s="9" t="s">
        <v>79</v>
      </c>
      <c r="B32" s="10" t="str">
        <f t="shared" ca="1" si="0"/>
        <v>In effect, no end date</v>
      </c>
      <c r="C32" s="10" t="s">
        <v>23</v>
      </c>
      <c r="D32" s="10" t="s">
        <v>27</v>
      </c>
      <c r="E32" s="10" t="s">
        <v>27</v>
      </c>
      <c r="F32" s="11">
        <v>46301</v>
      </c>
      <c r="G32" s="11"/>
      <c r="H32" s="10" t="s">
        <v>80</v>
      </c>
      <c r="I32" s="11">
        <v>46308</v>
      </c>
    </row>
    <row r="33" spans="1:9" ht="45" x14ac:dyDescent="0.25">
      <c r="A33" s="9" t="s">
        <v>81</v>
      </c>
      <c r="B33" s="10" t="str">
        <f t="shared" ca="1" si="0"/>
        <v>In effect</v>
      </c>
      <c r="C33" s="10" t="s">
        <v>23</v>
      </c>
      <c r="D33" s="10" t="s">
        <v>27</v>
      </c>
      <c r="E33" s="10" t="s">
        <v>24</v>
      </c>
      <c r="F33" s="11">
        <v>46297</v>
      </c>
      <c r="G33" s="11">
        <v>46326</v>
      </c>
      <c r="H33" s="10" t="s">
        <v>82</v>
      </c>
      <c r="I33" s="11">
        <v>46309</v>
      </c>
    </row>
    <row r="34" spans="1:9" ht="30" x14ac:dyDescent="0.25">
      <c r="A34" s="9" t="s">
        <v>83</v>
      </c>
      <c r="B34" s="10" t="str">
        <f t="shared" ca="1" si="0"/>
        <v>Ends in 13 days</v>
      </c>
      <c r="C34" s="10" t="s">
        <v>18</v>
      </c>
      <c r="D34" s="10" t="s">
        <v>19</v>
      </c>
      <c r="E34" s="10" t="s">
        <v>20</v>
      </c>
      <c r="F34" s="11">
        <v>46293</v>
      </c>
      <c r="G34" s="11">
        <v>46323</v>
      </c>
      <c r="H34" s="10" t="s">
        <v>84</v>
      </c>
      <c r="I34" s="11">
        <v>46310</v>
      </c>
    </row>
    <row r="35" spans="1:9" ht="30" x14ac:dyDescent="0.25">
      <c r="A35" s="9" t="s">
        <v>85</v>
      </c>
      <c r="B35" s="10" t="str">
        <f t="shared" ca="1" si="0"/>
        <v>No relief</v>
      </c>
      <c r="C35" s="10" t="s">
        <v>32</v>
      </c>
      <c r="D35" s="10" t="s">
        <v>19</v>
      </c>
      <c r="E35" s="10" t="s">
        <v>24</v>
      </c>
      <c r="F35" s="11"/>
      <c r="G35" s="11"/>
      <c r="H35" s="10" t="s">
        <v>86</v>
      </c>
      <c r="I35" s="11">
        <v>46308</v>
      </c>
    </row>
  </sheetData>
  <autoFilter ref="A5:I35" xr:uid="{00000000-0009-0000-0000-000000000000}"/>
  <conditionalFormatting sqref="A6:I35">
    <cfRule type="expression" dxfId="2" priority="1">
      <formula>LEFT($B6,9)="In effect"</formula>
    </cfRule>
    <cfRule type="expression" dxfId="1" priority="2">
      <formula>LEFT($B6,4)="Ends"</formula>
    </cfRule>
    <cfRule type="expression" dxfId="0" priority="3">
      <formula>$B6="Ended"</formula>
    </cfRule>
  </conditionalFormatting>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3"/>
  <sheetViews>
    <sheetView workbookViewId="0">
      <pane ySplit="3" topLeftCell="A4" activePane="bottomLeft" state="frozen"/>
      <selection pane="bottomLeft"/>
    </sheetView>
  </sheetViews>
  <sheetFormatPr defaultRowHeight="15" x14ac:dyDescent="0.25"/>
  <cols>
    <col min="1" max="1" width="19" customWidth="1"/>
    <col min="2" max="2" width="60" customWidth="1"/>
    <col min="3" max="3" width="50" customWidth="1"/>
    <col min="4" max="4" width="18" customWidth="1"/>
  </cols>
  <sheetData>
    <row r="1" spans="1:4" ht="23.25" x14ac:dyDescent="0.35">
      <c r="A1" s="1" t="s">
        <v>87</v>
      </c>
    </row>
    <row r="2" spans="1:4" ht="18" x14ac:dyDescent="0.25">
      <c r="A2" s="2" t="s">
        <v>88</v>
      </c>
    </row>
    <row r="3" spans="1:4" ht="15.75" x14ac:dyDescent="0.25">
      <c r="A3" s="8" t="s">
        <v>8</v>
      </c>
      <c r="B3" s="8" t="s">
        <v>89</v>
      </c>
      <c r="C3" s="8" t="s">
        <v>90</v>
      </c>
      <c r="D3" s="8" t="s">
        <v>91</v>
      </c>
    </row>
    <row r="4" spans="1:4" ht="30" x14ac:dyDescent="0.25">
      <c r="A4" s="9" t="s">
        <v>92</v>
      </c>
      <c r="B4" s="10" t="s">
        <v>93</v>
      </c>
      <c r="C4" s="10" t="s">
        <v>94</v>
      </c>
      <c r="D4" s="10" t="s">
        <v>95</v>
      </c>
    </row>
    <row r="5" spans="1:4" ht="15.75" x14ac:dyDescent="0.25">
      <c r="A5" s="9" t="s">
        <v>96</v>
      </c>
      <c r="B5" s="10" t="s">
        <v>97</v>
      </c>
      <c r="C5" s="10" t="s">
        <v>98</v>
      </c>
      <c r="D5" s="10" t="s">
        <v>95</v>
      </c>
    </row>
    <row r="6" spans="1:4" ht="15.75" x14ac:dyDescent="0.25">
      <c r="A6" s="9" t="s">
        <v>99</v>
      </c>
      <c r="B6" s="10" t="s">
        <v>97</v>
      </c>
      <c r="C6" s="10" t="s">
        <v>98</v>
      </c>
      <c r="D6" s="10" t="s">
        <v>95</v>
      </c>
    </row>
    <row r="7" spans="1:4" ht="15.75" x14ac:dyDescent="0.25">
      <c r="A7" s="9" t="s">
        <v>100</v>
      </c>
      <c r="B7" s="10" t="s">
        <v>101</v>
      </c>
      <c r="C7" s="10" t="s">
        <v>98</v>
      </c>
      <c r="D7" s="10" t="s">
        <v>95</v>
      </c>
    </row>
    <row r="8" spans="1:4" ht="15.75" x14ac:dyDescent="0.25">
      <c r="A8" s="9" t="s">
        <v>102</v>
      </c>
      <c r="B8" s="10" t="s">
        <v>97</v>
      </c>
      <c r="C8" s="10" t="s">
        <v>98</v>
      </c>
      <c r="D8" s="10" t="s">
        <v>95</v>
      </c>
    </row>
    <row r="9" spans="1:4" ht="15.75" x14ac:dyDescent="0.25">
      <c r="A9" s="9" t="s">
        <v>103</v>
      </c>
      <c r="B9" s="10" t="s">
        <v>97</v>
      </c>
      <c r="C9" s="10" t="s">
        <v>98</v>
      </c>
      <c r="D9" s="10" t="s">
        <v>95</v>
      </c>
    </row>
    <row r="10" spans="1:4" ht="15.75" x14ac:dyDescent="0.25">
      <c r="A10" s="9" t="s">
        <v>104</v>
      </c>
      <c r="B10" s="10" t="s">
        <v>97</v>
      </c>
      <c r="C10" s="10" t="s">
        <v>98</v>
      </c>
      <c r="D10" s="10" t="s">
        <v>95</v>
      </c>
    </row>
    <row r="11" spans="1:4" ht="15.75" x14ac:dyDescent="0.25">
      <c r="A11" s="9" t="s">
        <v>105</v>
      </c>
      <c r="B11" s="10" t="s">
        <v>106</v>
      </c>
      <c r="C11" s="10" t="s">
        <v>107</v>
      </c>
      <c r="D11" s="10" t="s">
        <v>95</v>
      </c>
    </row>
    <row r="13" spans="1:4" ht="60" x14ac:dyDescent="0.25">
      <c r="A13" s="12" t="s">
        <v>108</v>
      </c>
      <c r="B13" s="13" t="s">
        <v>109</v>
      </c>
    </row>
  </sheetData>
  <autoFilter ref="A3:D11" xr:uid="{00000000-0009-0000-0000-000001000000}"/>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Dyed diesel</vt:lpstr>
      <vt:lpstr>No order found</vt:lpstr>
      <vt:lpstr>'Dyed diesel'!Print_Titles</vt:lpstr>
      <vt:lpstr>'No order found'!Print_Titles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2026-10-16T00:38:27Z</dcterms:created>
  <dcterms:modified xsi:type="dcterms:W3CDTF">2026-10-16T00:38:28Z</dcterms:modified>
</cp:coreProperties>
</file>