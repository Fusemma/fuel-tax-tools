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/>
  <xr:revisionPtr revIDLastSave="0" documentId="13_ncr:1_{2AECD9F3-DD99-48F0-9543-B013BD7391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yed diesel" sheetId="1" r:id="rId1"/>
    <sheet name="No order found" sheetId="2" r:id="rId2"/>
  </sheets>
  <definedNames>
    <definedName name="_xlnm._FilterDatabase" localSheetId="0" hidden="1">'Dyed diesel'!$A$5:$I$35</definedName>
    <definedName name="_xlnm._FilterDatabase" localSheetId="1" hidden="1">'No order found'!$A$3:$D$11</definedName>
    <definedName name="_xlnm.Print_Titles" localSheetId="0">'Dyed diesel'!$5:$5</definedName>
    <definedName name="_xlnm.Print_Titles" localSheetId="1">'No order found'!$3:$3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" l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A2" i="1" l="1"/>
</calcChain>
</file>

<file path=xl/sharedStrings.xml><?xml version="1.0" encoding="utf-8"?>
<sst xmlns="http://schemas.openxmlformats.org/spreadsheetml/2006/main" count="207" uniqueCount="110">
  <si>
    <t>Dyed diesel on the road, as of Oct 15, 2026</t>
  </si>
  <si>
    <t>Colors</t>
  </si>
  <si>
    <t>In effect</t>
  </si>
  <si>
    <t>Ends within 14 days</t>
  </si>
  <si>
    <t>Ended</t>
  </si>
  <si>
    <t>No color: not started yet, no relief, or press only.</t>
  </si>
  <si>
    <t>Dates</t>
  </si>
  <si>
    <t>Each row's Starts and Ends come from that state's own order, not the federal one, and who is covered differs by order. Today and the colors follow today's date.</t>
  </si>
  <si>
    <t>State</t>
  </si>
  <si>
    <t>Today</t>
  </si>
  <si>
    <t>Dyed on the road</t>
  </si>
  <si>
    <t>Tax on those gallons</t>
  </si>
  <si>
    <t>Seller covered</t>
  </si>
  <si>
    <t>Starts</t>
  </si>
  <si>
    <t>Ends</t>
  </si>
  <si>
    <t>Authority</t>
  </si>
  <si>
    <t>Checked</t>
  </si>
  <si>
    <t>Federal</t>
  </si>
  <si>
    <t>Waived</t>
  </si>
  <si>
    <t>Owed</t>
  </si>
  <si>
    <t>Yes</t>
  </si>
  <si>
    <t>Executive Order 14435, 'Emergency Tax Relief on Diesel Fuel', Oct 5, 2026, 91 FR 64747; IRS news release IR-2026-122, Oct 14, 2026. Treasury's 7508A answer on the tax not posted as of Oct 14.</t>
  </si>
  <si>
    <t>Alabama</t>
  </si>
  <si>
    <t>Enforcement paused</t>
  </si>
  <si>
    <t>No</t>
  </si>
  <si>
    <t>Governor's letter to the ALEA Secretary, Sept 24, 2026</t>
  </si>
  <si>
    <t>Arizona</t>
  </si>
  <si>
    <t>Unclear</t>
  </si>
  <si>
    <t>Executive Order 2026-03, dated Oct 13, 2026, in effect Oct 16; agricultural vehicles only</t>
  </si>
  <si>
    <t>Arkansas</t>
  </si>
  <si>
    <t>Executive Order 26-15, signed Sept 29, 2026</t>
  </si>
  <si>
    <t>California</t>
  </si>
  <si>
    <t>None</t>
  </si>
  <si>
    <t>n/a</t>
  </si>
  <si>
    <t>No order or notice</t>
  </si>
  <si>
    <t>Colorado</t>
  </si>
  <si>
    <t>Executive Order D 2026 020, signed Oct 9, 2026</t>
  </si>
  <si>
    <t>Florida</t>
  </si>
  <si>
    <t>Revenue's Order of Emergency Waiver/Deviation 26-33-DOR-001, approved Oct 6, 2026, under the Governor's EO 26-201; TIP 26B05-03</t>
  </si>
  <si>
    <t>Georgia</t>
  </si>
  <si>
    <t>Not owed</t>
  </si>
  <si>
    <t>Executive Order 10.06.26.01 (Oct 6) and DOR Bulletin MFT-2026-04</t>
  </si>
  <si>
    <t>Idaho</t>
  </si>
  <si>
    <t>Executive Order 2026-07, signed Oct 9, 2026; thirty calendar days unless rescinded or extended, so to about Nov 7 or 8</t>
  </si>
  <si>
    <t>Illinois</t>
  </si>
  <si>
    <t>Executive Order 2026-08, signed and filed Oct 6, 2026; Revenue's Informational Bulletin FY 2027-07, October 2026</t>
  </si>
  <si>
    <t>Indiana</t>
  </si>
  <si>
    <t>Executive Order 26-34, signed Sept 30, 2026, under the EO 26-33 energy emergency</t>
  </si>
  <si>
    <t>Iowa</t>
  </si>
  <si>
    <t>Governor's Proclamation of Disaster Emergency of Oct 7, 2026 (expands the Oct 5 one)</t>
  </si>
  <si>
    <t>Kentucky</t>
  </si>
  <si>
    <t>Executive Order 2026-667, Oct 7, 2026, approved by Attorney General EO 2026-07 the same day</t>
  </si>
  <si>
    <t>Louisiana</t>
  </si>
  <si>
    <t>Waived if tax paid</t>
  </si>
  <si>
    <t>JML 26-090 (Sept 22) and Revenue Information Bulletin 26-018 (Sept 24)</t>
  </si>
  <si>
    <t>Maryland</t>
  </si>
  <si>
    <t>Executive Order 01.01.2026.19, signed Oct 9, 2026</t>
  </si>
  <si>
    <t>Michigan</t>
  </si>
  <si>
    <t>Executive Order 2026-15, Declaration of State of Energy Emergency, signed Oct 12, 2026</t>
  </si>
  <si>
    <t>Minnesota</t>
  </si>
  <si>
    <t>Department of Revenue, What's New for Petroleum Tax, read Oct 13, 2026. No relief: state law unchanged. Emergency Executive Order 26-11 (Oct 1) raises harvest weight limits and eases hours of service for fuel haulers; it names no tax.</t>
  </si>
  <si>
    <t>Mississippi</t>
  </si>
  <si>
    <t>Press only: Agriculture Commissioner's press statement of Oct 6, 2026; the Governor's own notice not found</t>
  </si>
  <si>
    <t>Missouri</t>
  </si>
  <si>
    <t>Executive Order 26-20, signed Oct 9, 2026; it rescinds 26-19</t>
  </si>
  <si>
    <t>Montana</t>
  </si>
  <si>
    <t>Executive Order 11-2026, Oct 9, 2026; agricultural and timber commercial vehicles only</t>
  </si>
  <si>
    <t>Nebraska</t>
  </si>
  <si>
    <t>Refundable</t>
  </si>
  <si>
    <t>Executive Order 26-21, signed Sept 24, 2026</t>
  </si>
  <si>
    <t>Nevada</t>
  </si>
  <si>
    <t>Governor's direction to the Highway Patrol, announced Oct 9, 2026; no order number or text posted</t>
  </si>
  <si>
    <t>North Carolina</t>
  </si>
  <si>
    <t>Session Law 2026-62 (House Bill 3), approved Oct 9, 2026; the Department of Revenue Important Notice of Oct 12, 2026, which overrides earlier guidance where they conflict. The dates are the weeks the tax is zero; no state penalty on farm use, or on whoever dispenses the dyed, Oct 9 through Dec 31</t>
  </si>
  <si>
    <t>North Dakota</t>
  </si>
  <si>
    <t>Executive Order 2026-08, signed Sept 29, 2026</t>
  </si>
  <si>
    <t>Ohio</t>
  </si>
  <si>
    <t>Oklahoma</t>
  </si>
  <si>
    <t>Governor's letter of Oct 5, 2026 (not an executive order)</t>
  </si>
  <si>
    <t>South Dakota</t>
  </si>
  <si>
    <t>Governor's letter to the Secretary of Public Safety, Oct 6, 2026; Revenue's Dyed Diesel Clarification, Oct 8, 2026</t>
  </si>
  <si>
    <t>Tennessee</t>
  </si>
  <si>
    <t>Department of Revenue notice on its home page, under the Governor's directive of Oct 2, 2026 (the directive itself not posted)</t>
  </si>
  <si>
    <t>Texas</t>
  </si>
  <si>
    <t>Disaster proclamation of Sept 28, 2026, and the Comptroller's diesel page notice</t>
  </si>
  <si>
    <t>Washington</t>
  </si>
  <si>
    <t>Department of Licensing, Important notice: Dyed diesel, Oct 7, 2026. No relief: state law unchanged.</t>
  </si>
  <si>
    <t>No order found, as of Oct 15, 2026</t>
  </si>
  <si>
    <t>These states are in the press only. No official page backs any line on this tab.</t>
  </si>
  <si>
    <t>What the press said</t>
  </si>
  <si>
    <t>Press source</t>
  </si>
  <si>
    <t>Official page</t>
  </si>
  <si>
    <t>Kansas</t>
  </si>
  <si>
    <t>Said no. The Governor said in a statement that the federal order can't legally be carried out as drafted.</t>
  </si>
  <si>
    <t>Press only: a WIBW story run by KCTV5, Oct 8, 2026</t>
  </si>
  <si>
    <t>None found</t>
  </si>
  <si>
    <t>New Mexico</t>
  </si>
  <si>
    <t>Nothing done.</t>
  </si>
  <si>
    <t>Press only, as of Oct 9, 2026</t>
  </si>
  <si>
    <t>New York</t>
  </si>
  <si>
    <t>Pennsylvania</t>
  </si>
  <si>
    <t>Said no. State law bars it; the administration is reviewing.</t>
  </si>
  <si>
    <t>South Carolina</t>
  </si>
  <si>
    <t>Virginia</t>
  </si>
  <si>
    <t>West Virginia</t>
  </si>
  <si>
    <t>Wisconsin</t>
  </si>
  <si>
    <t>Said no. The Farm Bureau says it needs the legislature.</t>
  </si>
  <si>
    <t>Press only: the Farm Bureau, as of Oct 9, 2026</t>
  </si>
  <si>
    <t>Not listed yet</t>
  </si>
  <si>
    <t>On neither tab: Alaska, Connecticut, Delaware, District of Columbia, Hawaii, Maine, Massachusetts, New Hampshire, New Jersey, Oregon, Rhode Island, Utah, Vermont, Wyoming.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</si>
</sst>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mmm\ d\,\ yyyy"/>
  </numFmts>
  <fonts count="6" x14ac:knownFonts="1">
    <font>
      <sz val="11"/>
      <color theme="1"/>
      <name val="Calibri"/>
      <family val="2"/>
      <scheme val="minor"/>
    </font>
    <font>
      <b/>
      <sz val="18"/>
      <color rgb="FF000000"/>
      <name val="Arial"/>
    </font>
    <font>
      <b/>
      <sz val="14"/>
      <color rgb="FF000000"/>
      <name val="Arial"/>
    </font>
    <font>
      <b/>
      <sz val="12"/>
      <color rgb="FF000000"/>
      <name val="Arial"/>
    </font>
    <font>
      <sz val="12"/>
      <color rgb="FF000000"/>
      <name val="Arial"/>
    </font>
    <font>
      <b/>
      <sz val="12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08A"/>
        <bgColor rgb="FFFFE08A"/>
      </patternFill>
    </fill>
    <fill>
      <patternFill patternType="solid">
        <fgColor rgb="FFD9D9D9"/>
        <bgColor rgb="FFD9D9D9"/>
      </patternFill>
    </fill>
    <fill>
      <patternFill patternType="solid">
        <fgColor rgb="FF1F3864"/>
        <bgColor rgb="FF1F3864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4" fillId="3" borderId="1" xfId="0" applyFont="1" applyFill="1" applyBorder="1"/>
    <xf numFmtId="0" fontId="4" fillId="4" borderId="1" xfId="0" applyFont="1" applyFill="1" applyBorder="1"/>
    <xf numFmtId="0" fontId="4" fillId="0" borderId="0" xfId="0" applyFont="1"/>
    <xf numFmtId="0" fontId="5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3"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E08A"/>
          <bgColor rgb="FFFFE08A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5"/>
  <sheetViews>
    <sheetView tabSelected="1" workbookViewId="0">
      <pane ySplit="5" topLeftCell="A6" activePane="bottomLeft" state="frozen"/>
      <selection pane="bottomLeft"/>
    </sheetView>
  </sheetViews>
  <sheetFormatPr defaultRowHeight="15" x14ac:dyDescent="0.25"/>
  <cols>
    <col min="1" max="1" width="18" customWidth="1"/>
    <col min="2" max="3" width="23" customWidth="1"/>
    <col min="4" max="4" width="16" customWidth="1"/>
    <col min="5" max="5" width="12" customWidth="1"/>
    <col min="6" max="7" width="16" customWidth="1"/>
    <col min="8" max="8" width="62" customWidth="1"/>
    <col min="9" max="9" width="15" customWidth="1"/>
  </cols>
  <sheetData>
    <row r="1" spans="1:9" ht="23.25" x14ac:dyDescent="0.35">
      <c r="A1" s="1" t="s">
        <v>0</v>
      </c>
    </row>
    <row r="2" spans="1:9" ht="18" x14ac:dyDescent="0.25">
      <c r="A2" s="2" t="str">
        <f ca="1">"In effect today in "&amp;(COUNTIFS($A$6:$A$35,"&lt;&gt;Federal",$B$6:$B$35,"In effect*")+COUNTIFS($A$6:$A$35,"&lt;&gt;Federal",$B$6:$B$35,"Ends*"))&amp;IF((COUNTIFS($A$6:$A$35,"&lt;&gt;Federal",$B$6:$B$35,"In effect*")+COUNTIFS($A$6:$A$35,"&lt;&gt;Federal",$B$6:$B$35,"Ends*"))=1," state, "," states, ")&amp;COUNTIFS($A$6:$A$35,"&lt;&gt;Federal",$B$6:$B$35,"Ends*")&amp;" of them ending within 14 days. Federal: "&amp;TEXT(INDEX($F$6:$F$35,MATCH("Federal",$A$6:$A$35,0)),"mmm d")&amp;" to "&amp;TEXT(INDEX($G$6:$G$35,MATCH("Federal",$A$6:$A$35,0)),"mmm d, yyyy")&amp;", "&amp;LOWER(INDEX($B$6:$B$35,MATCH("Federal",$A$6:$A$35,0)))&amp;"."</f>
        <v>In effect today in 23 states, 2 of them ending within 14 days. Federal: Oct 1 to Dec 31, 2026, in effect.</v>
      </c>
    </row>
    <row r="3" spans="1:9" ht="15.75" x14ac:dyDescent="0.25">
      <c r="A3" s="3" t="s">
        <v>1</v>
      </c>
      <c r="B3" s="4" t="s">
        <v>2</v>
      </c>
      <c r="C3" s="5" t="s">
        <v>3</v>
      </c>
      <c r="D3" s="6" t="s">
        <v>4</v>
      </c>
      <c r="E3" s="7" t="s">
        <v>5</v>
      </c>
    </row>
    <row r="4" spans="1:9" ht="15.75" x14ac:dyDescent="0.25">
      <c r="A4" s="3" t="s">
        <v>6</v>
      </c>
      <c r="B4" s="7" t="s">
        <v>7</v>
      </c>
    </row>
    <row r="5" spans="1:9" ht="31.5" x14ac:dyDescent="0.25">
      <c r="A5" s="8" t="s">
        <v>8</v>
      </c>
      <c r="B5" s="8" t="s">
        <v>9</v>
      </c>
      <c r="C5" s="8" t="s">
        <v>10</v>
      </c>
      <c r="D5" s="8" t="s">
        <v>11</v>
      </c>
      <c r="E5" s="8" t="s">
        <v>12</v>
      </c>
      <c r="F5" s="8" t="s">
        <v>13</v>
      </c>
      <c r="G5" s="8" t="s">
        <v>14</v>
      </c>
      <c r="H5" s="8" t="s">
        <v>15</v>
      </c>
      <c r="I5" s="8" t="s">
        <v>16</v>
      </c>
    </row>
    <row r="6" spans="1:9" ht="60" x14ac:dyDescent="0.25">
      <c r="A6" s="9" t="s">
        <v>17</v>
      </c>
      <c r="B6" s="10" t="str">
        <f t="shared" ref="B6:B35" ca="1" si="0">IF($C6="None","No relief",IF(LEFT($H6,10)="Press only","Press only",IF($F6="","No start date",IF($F6&gt;TODAY(),"Starts "&amp;TEXT($F6,"mmm d, yyyy"),IF($G6="","In effect, no end date",IF($G6&lt;TODAY(),"Ended",IF($G6=TODAY(),"Ends today",IF(($G6-TODAY())&lt;=14,"Ends in "&amp;($G6-TODAY())&amp;IF(($G6-TODAY())=1," day"," days"),"In effect"))))))))</f>
        <v>In effect</v>
      </c>
      <c r="C6" s="10" t="s">
        <v>18</v>
      </c>
      <c r="D6" s="10" t="s">
        <v>19</v>
      </c>
      <c r="E6" s="10" t="s">
        <v>20</v>
      </c>
      <c r="F6" s="11">
        <v>46296</v>
      </c>
      <c r="G6" s="11">
        <v>46387</v>
      </c>
      <c r="H6" s="10" t="s">
        <v>21</v>
      </c>
      <c r="I6" s="11">
        <v>46310</v>
      </c>
    </row>
    <row r="7" spans="1:9" ht="15.75" x14ac:dyDescent="0.25">
      <c r="A7" s="9" t="s">
        <v>22</v>
      </c>
      <c r="B7" s="10" t="str">
        <f t="shared" ca="1" si="0"/>
        <v>In effect</v>
      </c>
      <c r="C7" s="10" t="s">
        <v>23</v>
      </c>
      <c r="D7" s="10" t="s">
        <v>19</v>
      </c>
      <c r="E7" s="10" t="s">
        <v>24</v>
      </c>
      <c r="F7" s="11">
        <v>46289</v>
      </c>
      <c r="G7" s="11">
        <v>46409</v>
      </c>
      <c r="H7" s="10" t="s">
        <v>25</v>
      </c>
      <c r="I7" s="11">
        <v>46310</v>
      </c>
    </row>
    <row r="8" spans="1:9" ht="30" x14ac:dyDescent="0.25">
      <c r="A8" s="9" t="s">
        <v>26</v>
      </c>
      <c r="B8" s="10" t="str">
        <f t="shared" ca="1" si="0"/>
        <v>Starts Oct 16, 2026</v>
      </c>
      <c r="C8" s="10" t="s">
        <v>23</v>
      </c>
      <c r="D8" s="10" t="s">
        <v>27</v>
      </c>
      <c r="E8" s="10" t="s">
        <v>24</v>
      </c>
      <c r="F8" s="11">
        <v>46311</v>
      </c>
      <c r="G8" s="11">
        <v>46387</v>
      </c>
      <c r="H8" s="10" t="s">
        <v>28</v>
      </c>
      <c r="I8" s="11">
        <v>46309</v>
      </c>
    </row>
    <row r="9" spans="1:9" ht="15.75" x14ac:dyDescent="0.25">
      <c r="A9" s="9" t="s">
        <v>29</v>
      </c>
      <c r="B9" s="10" t="str">
        <f t="shared" ca="1" si="0"/>
        <v>In effect</v>
      </c>
      <c r="C9" s="10" t="s">
        <v>18</v>
      </c>
      <c r="D9" s="10" t="s">
        <v>27</v>
      </c>
      <c r="E9" s="10" t="s">
        <v>24</v>
      </c>
      <c r="F9" s="11">
        <v>46295</v>
      </c>
      <c r="G9" s="11">
        <v>46325</v>
      </c>
      <c r="H9" s="10" t="s">
        <v>30</v>
      </c>
      <c r="I9" s="11">
        <v>46307</v>
      </c>
    </row>
    <row r="10" spans="1:9" ht="15.75" x14ac:dyDescent="0.25">
      <c r="A10" s="9" t="s">
        <v>31</v>
      </c>
      <c r="B10" s="10" t="str">
        <f t="shared" ca="1" si="0"/>
        <v>No relief</v>
      </c>
      <c r="C10" s="10" t="s">
        <v>32</v>
      </c>
      <c r="D10" s="10" t="s">
        <v>33</v>
      </c>
      <c r="E10" s="10" t="s">
        <v>33</v>
      </c>
      <c r="F10" s="11"/>
      <c r="G10" s="11"/>
      <c r="H10" s="10" t="s">
        <v>34</v>
      </c>
      <c r="I10" s="11">
        <v>46308</v>
      </c>
    </row>
    <row r="11" spans="1:9" ht="15.75" x14ac:dyDescent="0.25">
      <c r="A11" s="9" t="s">
        <v>35</v>
      </c>
      <c r="B11" s="10" t="str">
        <f t="shared" ca="1" si="0"/>
        <v>In effect</v>
      </c>
      <c r="C11" s="10" t="s">
        <v>23</v>
      </c>
      <c r="D11" s="10" t="s">
        <v>27</v>
      </c>
      <c r="E11" s="10" t="s">
        <v>24</v>
      </c>
      <c r="F11" s="11">
        <v>46304</v>
      </c>
      <c r="G11" s="11">
        <v>46387</v>
      </c>
      <c r="H11" s="10" t="s">
        <v>36</v>
      </c>
      <c r="I11" s="11">
        <v>46310</v>
      </c>
    </row>
    <row r="12" spans="1:9" ht="45" x14ac:dyDescent="0.25">
      <c r="A12" s="9" t="s">
        <v>37</v>
      </c>
      <c r="B12" s="10" t="str">
        <f t="shared" ca="1" si="0"/>
        <v>In effect</v>
      </c>
      <c r="C12" s="10" t="s">
        <v>23</v>
      </c>
      <c r="D12" s="10" t="s">
        <v>27</v>
      </c>
      <c r="E12" s="10" t="s">
        <v>20</v>
      </c>
      <c r="F12" s="11">
        <v>46301</v>
      </c>
      <c r="G12" s="11">
        <v>46361</v>
      </c>
      <c r="H12" s="10" t="s">
        <v>38</v>
      </c>
      <c r="I12" s="11">
        <v>46310</v>
      </c>
    </row>
    <row r="13" spans="1:9" ht="30" x14ac:dyDescent="0.25">
      <c r="A13" s="9" t="s">
        <v>39</v>
      </c>
      <c r="B13" s="10" t="str">
        <f t="shared" ca="1" si="0"/>
        <v>In effect</v>
      </c>
      <c r="C13" s="10" t="s">
        <v>18</v>
      </c>
      <c r="D13" s="10" t="s">
        <v>40</v>
      </c>
      <c r="E13" s="10" t="s">
        <v>20</v>
      </c>
      <c r="F13" s="11">
        <v>46301</v>
      </c>
      <c r="G13" s="11">
        <v>46331</v>
      </c>
      <c r="H13" s="10" t="s">
        <v>41</v>
      </c>
      <c r="I13" s="11">
        <v>46310</v>
      </c>
    </row>
    <row r="14" spans="1:9" ht="45" x14ac:dyDescent="0.25">
      <c r="A14" s="9" t="s">
        <v>42</v>
      </c>
      <c r="B14" s="10" t="str">
        <f t="shared" ca="1" si="0"/>
        <v>In effect, no end date</v>
      </c>
      <c r="C14" s="10" t="s">
        <v>23</v>
      </c>
      <c r="D14" s="10" t="s">
        <v>27</v>
      </c>
      <c r="E14" s="10" t="s">
        <v>24</v>
      </c>
      <c r="F14" s="11">
        <v>46304</v>
      </c>
      <c r="G14" s="11"/>
      <c r="H14" s="10" t="s">
        <v>43</v>
      </c>
      <c r="I14" s="11">
        <v>46308</v>
      </c>
    </row>
    <row r="15" spans="1:9" ht="30" x14ac:dyDescent="0.25">
      <c r="A15" s="9" t="s">
        <v>44</v>
      </c>
      <c r="B15" s="10" t="str">
        <f t="shared" ca="1" si="0"/>
        <v>In effect</v>
      </c>
      <c r="C15" s="10" t="s">
        <v>23</v>
      </c>
      <c r="D15" s="10" t="s">
        <v>27</v>
      </c>
      <c r="E15" s="10" t="s">
        <v>20</v>
      </c>
      <c r="F15" s="11">
        <v>46301</v>
      </c>
      <c r="G15" s="11">
        <v>46387</v>
      </c>
      <c r="H15" s="10" t="s">
        <v>45</v>
      </c>
      <c r="I15" s="11">
        <v>46310</v>
      </c>
    </row>
    <row r="16" spans="1:9" ht="30" x14ac:dyDescent="0.25">
      <c r="A16" s="9" t="s">
        <v>46</v>
      </c>
      <c r="B16" s="10" t="str">
        <f t="shared" ca="1" si="0"/>
        <v>In effect</v>
      </c>
      <c r="C16" s="10" t="s">
        <v>18</v>
      </c>
      <c r="D16" s="10" t="s">
        <v>19</v>
      </c>
      <c r="E16" s="10" t="s">
        <v>24</v>
      </c>
      <c r="F16" s="11">
        <v>46295</v>
      </c>
      <c r="G16" s="11">
        <v>46330</v>
      </c>
      <c r="H16" s="10" t="s">
        <v>47</v>
      </c>
      <c r="I16" s="11">
        <v>46310</v>
      </c>
    </row>
    <row r="17" spans="1:9" ht="30" x14ac:dyDescent="0.25">
      <c r="A17" s="9" t="s">
        <v>48</v>
      </c>
      <c r="B17" s="10" t="str">
        <f t="shared" ca="1" si="0"/>
        <v>In effect</v>
      </c>
      <c r="C17" s="10" t="s">
        <v>18</v>
      </c>
      <c r="D17" s="10" t="s">
        <v>40</v>
      </c>
      <c r="E17" s="10" t="s">
        <v>20</v>
      </c>
      <c r="F17" s="11">
        <v>46300</v>
      </c>
      <c r="G17" s="11">
        <v>46422</v>
      </c>
      <c r="H17" s="10" t="s">
        <v>49</v>
      </c>
      <c r="I17" s="11">
        <v>46310</v>
      </c>
    </row>
    <row r="18" spans="1:9" ht="30" x14ac:dyDescent="0.25">
      <c r="A18" s="9" t="s">
        <v>50</v>
      </c>
      <c r="B18" s="10" t="str">
        <f t="shared" ca="1" si="0"/>
        <v>In effect</v>
      </c>
      <c r="C18" s="10" t="s">
        <v>18</v>
      </c>
      <c r="D18" s="10" t="s">
        <v>27</v>
      </c>
      <c r="E18" s="10" t="s">
        <v>20</v>
      </c>
      <c r="F18" s="11">
        <v>46303</v>
      </c>
      <c r="G18" s="11">
        <v>46332</v>
      </c>
      <c r="H18" s="10" t="s">
        <v>51</v>
      </c>
      <c r="I18" s="11">
        <v>46310</v>
      </c>
    </row>
    <row r="19" spans="1:9" ht="30" x14ac:dyDescent="0.25">
      <c r="A19" s="9" t="s">
        <v>52</v>
      </c>
      <c r="B19" s="10" t="str">
        <f t="shared" ca="1" si="0"/>
        <v>Ends in 7 days</v>
      </c>
      <c r="C19" s="10" t="s">
        <v>53</v>
      </c>
      <c r="D19" s="10" t="s">
        <v>19</v>
      </c>
      <c r="E19" s="10" t="s">
        <v>20</v>
      </c>
      <c r="F19" s="11">
        <v>46288</v>
      </c>
      <c r="G19" s="11">
        <v>46317</v>
      </c>
      <c r="H19" s="10" t="s">
        <v>54</v>
      </c>
      <c r="I19" s="11">
        <v>46307</v>
      </c>
    </row>
    <row r="20" spans="1:9" ht="15.75" x14ac:dyDescent="0.25">
      <c r="A20" s="9" t="s">
        <v>55</v>
      </c>
      <c r="B20" s="10" t="str">
        <f t="shared" ca="1" si="0"/>
        <v>In effect</v>
      </c>
      <c r="C20" s="10" t="s">
        <v>23</v>
      </c>
      <c r="D20" s="10" t="s">
        <v>27</v>
      </c>
      <c r="E20" s="10" t="s">
        <v>20</v>
      </c>
      <c r="F20" s="11">
        <v>46304</v>
      </c>
      <c r="G20" s="11">
        <v>46333</v>
      </c>
      <c r="H20" s="10" t="s">
        <v>56</v>
      </c>
      <c r="I20" s="11">
        <v>46310</v>
      </c>
    </row>
    <row r="21" spans="1:9" ht="30" x14ac:dyDescent="0.25">
      <c r="A21" s="9" t="s">
        <v>57</v>
      </c>
      <c r="B21" s="10" t="str">
        <f t="shared" ca="1" si="0"/>
        <v>In effect</v>
      </c>
      <c r="C21" s="10" t="s">
        <v>23</v>
      </c>
      <c r="D21" s="10" t="s">
        <v>19</v>
      </c>
      <c r="E21" s="10" t="s">
        <v>27</v>
      </c>
      <c r="F21" s="11">
        <v>46307</v>
      </c>
      <c r="G21" s="11">
        <v>46387</v>
      </c>
      <c r="H21" s="10" t="s">
        <v>58</v>
      </c>
      <c r="I21" s="11">
        <v>46308</v>
      </c>
    </row>
    <row r="22" spans="1:9" ht="75" x14ac:dyDescent="0.25">
      <c r="A22" s="9" t="s">
        <v>59</v>
      </c>
      <c r="B22" s="10" t="str">
        <f t="shared" ca="1" si="0"/>
        <v>No relief</v>
      </c>
      <c r="C22" s="10" t="s">
        <v>32</v>
      </c>
      <c r="D22" s="10" t="s">
        <v>19</v>
      </c>
      <c r="E22" s="10" t="s">
        <v>24</v>
      </c>
      <c r="F22" s="11"/>
      <c r="G22" s="11"/>
      <c r="H22" s="10" t="s">
        <v>60</v>
      </c>
      <c r="I22" s="11">
        <v>46308</v>
      </c>
    </row>
    <row r="23" spans="1:9" ht="30" x14ac:dyDescent="0.25">
      <c r="A23" s="9" t="s">
        <v>61</v>
      </c>
      <c r="B23" s="10" t="str">
        <f t="shared" ca="1" si="0"/>
        <v>Press only</v>
      </c>
      <c r="C23" s="10" t="s">
        <v>23</v>
      </c>
      <c r="D23" s="10" t="s">
        <v>27</v>
      </c>
      <c r="E23" s="10" t="s">
        <v>27</v>
      </c>
      <c r="F23" s="11"/>
      <c r="G23" s="11"/>
      <c r="H23" s="10" t="s">
        <v>62</v>
      </c>
      <c r="I23" s="11">
        <v>46307</v>
      </c>
    </row>
    <row r="24" spans="1:9" ht="30" x14ac:dyDescent="0.25">
      <c r="A24" s="9" t="s">
        <v>63</v>
      </c>
      <c r="B24" s="10" t="str">
        <f t="shared" ca="1" si="0"/>
        <v>In effect</v>
      </c>
      <c r="C24" s="10" t="s">
        <v>23</v>
      </c>
      <c r="D24" s="10" t="s">
        <v>19</v>
      </c>
      <c r="E24" s="10" t="s">
        <v>27</v>
      </c>
      <c r="F24" s="11">
        <v>46304</v>
      </c>
      <c r="G24" s="11">
        <v>46387</v>
      </c>
      <c r="H24" s="10" t="s">
        <v>64</v>
      </c>
      <c r="I24" s="11">
        <v>46310</v>
      </c>
    </row>
    <row r="25" spans="1:9" ht="30" x14ac:dyDescent="0.25">
      <c r="A25" s="9" t="s">
        <v>65</v>
      </c>
      <c r="B25" s="10" t="str">
        <f t="shared" ca="1" si="0"/>
        <v>In effect</v>
      </c>
      <c r="C25" s="10" t="s">
        <v>23</v>
      </c>
      <c r="D25" s="10" t="s">
        <v>27</v>
      </c>
      <c r="E25" s="10" t="s">
        <v>27</v>
      </c>
      <c r="F25" s="11">
        <v>46304</v>
      </c>
      <c r="G25" s="11">
        <v>46349</v>
      </c>
      <c r="H25" s="10" t="s">
        <v>66</v>
      </c>
      <c r="I25" s="11">
        <v>46310</v>
      </c>
    </row>
    <row r="26" spans="1:9" ht="15.75" x14ac:dyDescent="0.25">
      <c r="A26" s="9" t="s">
        <v>67</v>
      </c>
      <c r="B26" s="10" t="str">
        <f t="shared" ca="1" si="0"/>
        <v>In effect</v>
      </c>
      <c r="C26" s="10" t="s">
        <v>18</v>
      </c>
      <c r="D26" s="10" t="s">
        <v>68</v>
      </c>
      <c r="E26" s="10" t="s">
        <v>20</v>
      </c>
      <c r="F26" s="11">
        <v>46289</v>
      </c>
      <c r="G26" s="11">
        <v>46379</v>
      </c>
      <c r="H26" s="10" t="s">
        <v>69</v>
      </c>
      <c r="I26" s="11">
        <v>46307</v>
      </c>
    </row>
    <row r="27" spans="1:9" ht="30" x14ac:dyDescent="0.25">
      <c r="A27" s="9" t="s">
        <v>70</v>
      </c>
      <c r="B27" s="10" t="str">
        <f t="shared" ca="1" si="0"/>
        <v>In effect, no end date</v>
      </c>
      <c r="C27" s="10" t="s">
        <v>18</v>
      </c>
      <c r="D27" s="10" t="s">
        <v>27</v>
      </c>
      <c r="E27" s="10" t="s">
        <v>27</v>
      </c>
      <c r="F27" s="11">
        <v>46304</v>
      </c>
      <c r="G27" s="11"/>
      <c r="H27" s="10" t="s">
        <v>71</v>
      </c>
      <c r="I27" s="11">
        <v>46308</v>
      </c>
    </row>
    <row r="28" spans="1:9" ht="90" x14ac:dyDescent="0.25">
      <c r="A28" s="9" t="s">
        <v>72</v>
      </c>
      <c r="B28" s="10" t="str">
        <f t="shared" ca="1" si="0"/>
        <v>In effect</v>
      </c>
      <c r="C28" s="10" t="s">
        <v>18</v>
      </c>
      <c r="D28" s="10" t="s">
        <v>40</v>
      </c>
      <c r="E28" s="10" t="s">
        <v>20</v>
      </c>
      <c r="F28" s="11">
        <v>46305</v>
      </c>
      <c r="G28" s="11">
        <v>46356</v>
      </c>
      <c r="H28" s="10" t="s">
        <v>73</v>
      </c>
      <c r="I28" s="11">
        <v>46310</v>
      </c>
    </row>
    <row r="29" spans="1:9" ht="15.75" x14ac:dyDescent="0.25">
      <c r="A29" s="9" t="s">
        <v>74</v>
      </c>
      <c r="B29" s="10" t="str">
        <f t="shared" ca="1" si="0"/>
        <v>In effect</v>
      </c>
      <c r="C29" s="10" t="s">
        <v>18</v>
      </c>
      <c r="D29" s="10" t="s">
        <v>19</v>
      </c>
      <c r="E29" s="10" t="s">
        <v>24</v>
      </c>
      <c r="F29" s="11">
        <v>46294</v>
      </c>
      <c r="G29" s="11">
        <v>46356</v>
      </c>
      <c r="H29" s="10" t="s">
        <v>75</v>
      </c>
      <c r="I29" s="11">
        <v>46310</v>
      </c>
    </row>
    <row r="30" spans="1:9" ht="15.75" x14ac:dyDescent="0.25">
      <c r="A30" s="9" t="s">
        <v>76</v>
      </c>
      <c r="B30" s="10" t="str">
        <f t="shared" ca="1" si="0"/>
        <v>No relief</v>
      </c>
      <c r="C30" s="10" t="s">
        <v>32</v>
      </c>
      <c r="D30" s="10" t="s">
        <v>33</v>
      </c>
      <c r="E30" s="10" t="s">
        <v>33</v>
      </c>
      <c r="F30" s="11"/>
      <c r="G30" s="11"/>
      <c r="H30" s="10" t="s">
        <v>34</v>
      </c>
      <c r="I30" s="11">
        <v>46310</v>
      </c>
    </row>
    <row r="31" spans="1:9" ht="15.75" x14ac:dyDescent="0.25">
      <c r="A31" s="9" t="s">
        <v>77</v>
      </c>
      <c r="B31" s="10" t="str">
        <f t="shared" ca="1" si="0"/>
        <v>In effect</v>
      </c>
      <c r="C31" s="10" t="s">
        <v>23</v>
      </c>
      <c r="D31" s="10" t="s">
        <v>19</v>
      </c>
      <c r="E31" s="10" t="s">
        <v>24</v>
      </c>
      <c r="F31" s="11">
        <v>46300</v>
      </c>
      <c r="G31" s="11">
        <v>46420</v>
      </c>
      <c r="H31" s="10" t="s">
        <v>78</v>
      </c>
      <c r="I31" s="11">
        <v>46307</v>
      </c>
    </row>
    <row r="32" spans="1:9" ht="30" x14ac:dyDescent="0.25">
      <c r="A32" s="9" t="s">
        <v>79</v>
      </c>
      <c r="B32" s="10" t="str">
        <f t="shared" ca="1" si="0"/>
        <v>In effect, no end date</v>
      </c>
      <c r="C32" s="10" t="s">
        <v>23</v>
      </c>
      <c r="D32" s="10" t="s">
        <v>27</v>
      </c>
      <c r="E32" s="10" t="s">
        <v>27</v>
      </c>
      <c r="F32" s="11">
        <v>46301</v>
      </c>
      <c r="G32" s="11"/>
      <c r="H32" s="10" t="s">
        <v>80</v>
      </c>
      <c r="I32" s="11">
        <v>46308</v>
      </c>
    </row>
    <row r="33" spans="1:9" ht="45" x14ac:dyDescent="0.25">
      <c r="A33" s="9" t="s">
        <v>81</v>
      </c>
      <c r="B33" s="10" t="str">
        <f t="shared" ca="1" si="0"/>
        <v>In effect</v>
      </c>
      <c r="C33" s="10" t="s">
        <v>23</v>
      </c>
      <c r="D33" s="10" t="s">
        <v>27</v>
      </c>
      <c r="E33" s="10" t="s">
        <v>24</v>
      </c>
      <c r="F33" s="11">
        <v>46297</v>
      </c>
      <c r="G33" s="11">
        <v>46326</v>
      </c>
      <c r="H33" s="10" t="s">
        <v>82</v>
      </c>
      <c r="I33" s="11">
        <v>46309</v>
      </c>
    </row>
    <row r="34" spans="1:9" ht="30" x14ac:dyDescent="0.25">
      <c r="A34" s="9" t="s">
        <v>83</v>
      </c>
      <c r="B34" s="10" t="str">
        <f t="shared" ca="1" si="0"/>
        <v>Ends in 13 days</v>
      </c>
      <c r="C34" s="10" t="s">
        <v>18</v>
      </c>
      <c r="D34" s="10" t="s">
        <v>19</v>
      </c>
      <c r="E34" s="10" t="s">
        <v>20</v>
      </c>
      <c r="F34" s="11">
        <v>46293</v>
      </c>
      <c r="G34" s="11">
        <v>46323</v>
      </c>
      <c r="H34" s="10" t="s">
        <v>84</v>
      </c>
      <c r="I34" s="11">
        <v>46310</v>
      </c>
    </row>
    <row r="35" spans="1:9" ht="30" x14ac:dyDescent="0.25">
      <c r="A35" s="9" t="s">
        <v>85</v>
      </c>
      <c r="B35" s="10" t="str">
        <f t="shared" ca="1" si="0"/>
        <v>No relief</v>
      </c>
      <c r="C35" s="10" t="s">
        <v>32</v>
      </c>
      <c r="D35" s="10" t="s">
        <v>19</v>
      </c>
      <c r="E35" s="10" t="s">
        <v>24</v>
      </c>
      <c r="F35" s="11"/>
      <c r="G35" s="11"/>
      <c r="H35" s="10" t="s">
        <v>86</v>
      </c>
      <c r="I35" s="11">
        <v>46308</v>
      </c>
    </row>
  </sheetData>
  <autoFilter ref="A5:I35" xr:uid="{00000000-0009-0000-0000-000000000000}"/>
  <conditionalFormatting sqref="A6:I35">
    <cfRule type="expression" dxfId="2" priority="1">
      <formula>LEFT($B6,9)="In effect"</formula>
    </cfRule>
    <cfRule type="expression" dxfId="1" priority="2">
      <formula>LEFT($B6,4)="Ends"</formula>
    </cfRule>
    <cfRule type="expression" dxfId="0" priority="3">
      <formula>$B6="Ended"</formula>
    </cfRule>
  </conditionalFormatting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13"/>
  <sheetViews>
    <sheetView workbookViewId="0">
      <pane ySplit="3" topLeftCell="A4" activePane="bottomLeft" state="frozen"/>
      <selection pane="bottomLeft"/>
    </sheetView>
  </sheetViews>
  <sheetFormatPr defaultRowHeight="15" x14ac:dyDescent="0.25"/>
  <cols>
    <col min="1" max="1" width="19" customWidth="1"/>
    <col min="2" max="2" width="60" customWidth="1"/>
    <col min="3" max="3" width="50" customWidth="1"/>
    <col min="4" max="4" width="18" customWidth="1"/>
  </cols>
  <sheetData>
    <row r="1" spans="1:4" ht="23.25" x14ac:dyDescent="0.35">
      <c r="A1" s="1" t="s">
        <v>87</v>
      </c>
    </row>
    <row r="2" spans="1:4" ht="18" x14ac:dyDescent="0.25">
      <c r="A2" s="2" t="s">
        <v>88</v>
      </c>
    </row>
    <row r="3" spans="1:4" ht="15.75" x14ac:dyDescent="0.25">
      <c r="A3" s="8" t="s">
        <v>8</v>
      </c>
      <c r="B3" s="8" t="s">
        <v>89</v>
      </c>
      <c r="C3" s="8" t="s">
        <v>90</v>
      </c>
      <c r="D3" s="8" t="s">
        <v>91</v>
      </c>
    </row>
    <row r="4" spans="1:4" ht="30" x14ac:dyDescent="0.25">
      <c r="A4" s="9" t="s">
        <v>92</v>
      </c>
      <c r="B4" s="10" t="s">
        <v>93</v>
      </c>
      <c r="C4" s="10" t="s">
        <v>94</v>
      </c>
      <c r="D4" s="10" t="s">
        <v>95</v>
      </c>
    </row>
    <row r="5" spans="1:4" ht="15.75" x14ac:dyDescent="0.25">
      <c r="A5" s="9" t="s">
        <v>96</v>
      </c>
      <c r="B5" s="10" t="s">
        <v>97</v>
      </c>
      <c r="C5" s="10" t="s">
        <v>98</v>
      </c>
      <c r="D5" s="10" t="s">
        <v>95</v>
      </c>
    </row>
    <row r="6" spans="1:4" ht="15.75" x14ac:dyDescent="0.25">
      <c r="A6" s="9" t="s">
        <v>99</v>
      </c>
      <c r="B6" s="10" t="s">
        <v>97</v>
      </c>
      <c r="C6" s="10" t="s">
        <v>98</v>
      </c>
      <c r="D6" s="10" t="s">
        <v>95</v>
      </c>
    </row>
    <row r="7" spans="1:4" ht="15.75" x14ac:dyDescent="0.25">
      <c r="A7" s="9" t="s">
        <v>100</v>
      </c>
      <c r="B7" s="10" t="s">
        <v>101</v>
      </c>
      <c r="C7" s="10" t="s">
        <v>98</v>
      </c>
      <c r="D7" s="10" t="s">
        <v>95</v>
      </c>
    </row>
    <row r="8" spans="1:4" ht="15.75" x14ac:dyDescent="0.25">
      <c r="A8" s="9" t="s">
        <v>102</v>
      </c>
      <c r="B8" s="10" t="s">
        <v>97</v>
      </c>
      <c r="C8" s="10" t="s">
        <v>98</v>
      </c>
      <c r="D8" s="10" t="s">
        <v>95</v>
      </c>
    </row>
    <row r="9" spans="1:4" ht="15.75" x14ac:dyDescent="0.25">
      <c r="A9" s="9" t="s">
        <v>103</v>
      </c>
      <c r="B9" s="10" t="s">
        <v>97</v>
      </c>
      <c r="C9" s="10" t="s">
        <v>98</v>
      </c>
      <c r="D9" s="10" t="s">
        <v>95</v>
      </c>
    </row>
    <row r="10" spans="1:4" ht="15.75" x14ac:dyDescent="0.25">
      <c r="A10" s="9" t="s">
        <v>104</v>
      </c>
      <c r="B10" s="10" t="s">
        <v>97</v>
      </c>
      <c r="C10" s="10" t="s">
        <v>98</v>
      </c>
      <c r="D10" s="10" t="s">
        <v>95</v>
      </c>
    </row>
    <row r="11" spans="1:4" ht="15.75" x14ac:dyDescent="0.25">
      <c r="A11" s="9" t="s">
        <v>105</v>
      </c>
      <c r="B11" s="10" t="s">
        <v>106</v>
      </c>
      <c r="C11" s="10" t="s">
        <v>107</v>
      </c>
      <c r="D11" s="10" t="s">
        <v>95</v>
      </c>
    </row>
    <row r="13" spans="1:4" ht="60" x14ac:dyDescent="0.25">
      <c r="A13" s="12" t="s">
        <v>108</v>
      </c>
      <c r="B13" s="13" t="s">
        <v>109</v>
      </c>
    </row>
  </sheetData>
  <autoFilter ref="A3:D11" xr:uid="{00000000-0009-0000-0000-000001000000}"/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Dyed diesel</vt:lpstr>
      <vt:lpstr>No order found</vt:lpstr>
      <vt:lpstr>'Dyed diesel'!Print_Titles</vt:lpstr>
      <vt:lpstr>'No order found'!Print_Titles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2026-10-15T18:13:00Z</dcterms:created>
  <dcterms:modified xsi:type="dcterms:W3CDTF">2026-10-15T18:13:01Z</dcterms:modified>
</cp:coreProperties>
</file>