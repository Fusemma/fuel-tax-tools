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filterPrivacy="1"/>
  <xr:revisionPtr revIDLastSave="0" documentId="13_ncr:1_{62492F5A-709A-4E52-AF7B-69AEA9CDE0E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READ ME" sheetId="1" r:id="rId1"/>
    <sheet name="RECAP" sheetId="2" r:id="rId2"/>
    <sheet name="OFF ROAD RETURN" sheetId="3" r:id="rId3"/>
    <sheet name="ON ROAD RETURN" sheetId="4" r:id="rId4"/>
    <sheet name="OFF ROAD UPLOAD" sheetId="5" r:id="rId5"/>
    <sheet name="ON ROAD UPLOAD" sheetId="6" r:id="rId6"/>
    <sheet name="REVIEW" sheetId="7" r:id="rId7"/>
    <sheet name="AR SALES" sheetId="8" r:id="rId8"/>
    <sheet name="TERSE" sheetId="9" r:id="rId9"/>
    <sheet name="LIST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4001" i="9" l="1"/>
  <c r="BA4001" i="9"/>
  <c r="AV4001" i="9"/>
  <c r="AU4001" i="9"/>
  <c r="AT4001" i="9"/>
  <c r="BB4000" i="9"/>
  <c r="BA4000" i="9"/>
  <c r="AV4000" i="9"/>
  <c r="AU4000" i="9"/>
  <c r="AT4000" i="9"/>
  <c r="BB3999" i="9"/>
  <c r="BA3999" i="9"/>
  <c r="AV3999" i="9"/>
  <c r="AU3999" i="9"/>
  <c r="AT3999" i="9"/>
  <c r="BB3998" i="9"/>
  <c r="BA3998" i="9"/>
  <c r="AV3998" i="9"/>
  <c r="AU3998" i="9"/>
  <c r="AT3998" i="9"/>
  <c r="BB3997" i="9"/>
  <c r="BA3997" i="9"/>
  <c r="AV3997" i="9"/>
  <c r="AU3997" i="9"/>
  <c r="AT3997" i="9"/>
  <c r="BB3996" i="9"/>
  <c r="BA3996" i="9"/>
  <c r="AV3996" i="9"/>
  <c r="AU3996" i="9"/>
  <c r="AT3996" i="9"/>
  <c r="BB3995" i="9"/>
  <c r="BA3995" i="9"/>
  <c r="AV3995" i="9"/>
  <c r="AU3995" i="9"/>
  <c r="AT3995" i="9"/>
  <c r="BB3994" i="9"/>
  <c r="BA3994" i="9"/>
  <c r="AV3994" i="9"/>
  <c r="AU3994" i="9"/>
  <c r="AT3994" i="9"/>
  <c r="BB3993" i="9"/>
  <c r="BA3993" i="9"/>
  <c r="AV3993" i="9"/>
  <c r="AU3993" i="9"/>
  <c r="AT3993" i="9"/>
  <c r="BB3992" i="9"/>
  <c r="BA3992" i="9"/>
  <c r="AV3992" i="9"/>
  <c r="AU3992" i="9"/>
  <c r="AT3992" i="9"/>
  <c r="BB3991" i="9"/>
  <c r="BA3991" i="9"/>
  <c r="AV3991" i="9"/>
  <c r="AU3991" i="9"/>
  <c r="AT3991" i="9"/>
  <c r="BB3990" i="9"/>
  <c r="BA3990" i="9"/>
  <c r="AV3990" i="9"/>
  <c r="AU3990" i="9"/>
  <c r="AT3990" i="9"/>
  <c r="BB3989" i="9"/>
  <c r="BA3989" i="9"/>
  <c r="AV3989" i="9"/>
  <c r="AU3989" i="9"/>
  <c r="AT3989" i="9"/>
  <c r="BB3988" i="9"/>
  <c r="BA3988" i="9"/>
  <c r="AV3988" i="9"/>
  <c r="AU3988" i="9"/>
  <c r="AT3988" i="9"/>
  <c r="BB3987" i="9"/>
  <c r="BA3987" i="9"/>
  <c r="AV3987" i="9"/>
  <c r="AU3987" i="9"/>
  <c r="AT3987" i="9"/>
  <c r="BB3986" i="9"/>
  <c r="BA3986" i="9"/>
  <c r="AV3986" i="9"/>
  <c r="AU3986" i="9"/>
  <c r="AT3986" i="9"/>
  <c r="BB3985" i="9"/>
  <c r="BA3985" i="9"/>
  <c r="AV3985" i="9"/>
  <c r="AU3985" i="9"/>
  <c r="AT3985" i="9"/>
  <c r="BB3984" i="9"/>
  <c r="BA3984" i="9"/>
  <c r="AV3984" i="9"/>
  <c r="AU3984" i="9"/>
  <c r="AT3984" i="9"/>
  <c r="BB3983" i="9"/>
  <c r="BA3983" i="9"/>
  <c r="AV3983" i="9"/>
  <c r="AU3983" i="9"/>
  <c r="AT3983" i="9"/>
  <c r="BB3982" i="9"/>
  <c r="BA3982" i="9"/>
  <c r="AV3982" i="9"/>
  <c r="AU3982" i="9"/>
  <c r="AT3982" i="9"/>
  <c r="BB3981" i="9"/>
  <c r="BA3981" i="9"/>
  <c r="AV3981" i="9"/>
  <c r="AU3981" i="9"/>
  <c r="AT3981" i="9"/>
  <c r="BB3980" i="9"/>
  <c r="BA3980" i="9"/>
  <c r="AV3980" i="9"/>
  <c r="AU3980" i="9"/>
  <c r="AT3980" i="9"/>
  <c r="BB3979" i="9"/>
  <c r="BA3979" i="9"/>
  <c r="AV3979" i="9"/>
  <c r="AU3979" i="9"/>
  <c r="AT3979" i="9"/>
  <c r="BB3978" i="9"/>
  <c r="BA3978" i="9"/>
  <c r="AV3978" i="9"/>
  <c r="AU3978" i="9"/>
  <c r="AT3978" i="9"/>
  <c r="BB3977" i="9"/>
  <c r="BA3977" i="9"/>
  <c r="AV3977" i="9"/>
  <c r="AU3977" i="9"/>
  <c r="AT3977" i="9"/>
  <c r="BB3976" i="9"/>
  <c r="BA3976" i="9"/>
  <c r="AV3976" i="9"/>
  <c r="AU3976" i="9"/>
  <c r="AT3976" i="9"/>
  <c r="BB3975" i="9"/>
  <c r="BA3975" i="9"/>
  <c r="AV3975" i="9"/>
  <c r="AU3975" i="9"/>
  <c r="AT3975" i="9"/>
  <c r="BB3974" i="9"/>
  <c r="BA3974" i="9"/>
  <c r="AV3974" i="9"/>
  <c r="AU3974" i="9"/>
  <c r="AT3974" i="9"/>
  <c r="BB3973" i="9"/>
  <c r="BA3973" i="9"/>
  <c r="AV3973" i="9"/>
  <c r="AU3973" i="9"/>
  <c r="AT3973" i="9"/>
  <c r="BB3972" i="9"/>
  <c r="BA3972" i="9"/>
  <c r="AV3972" i="9"/>
  <c r="AU3972" i="9"/>
  <c r="AT3972" i="9"/>
  <c r="BB3971" i="9"/>
  <c r="BA3971" i="9"/>
  <c r="AV3971" i="9"/>
  <c r="AU3971" i="9"/>
  <c r="AT3971" i="9"/>
  <c r="BB3970" i="9"/>
  <c r="BA3970" i="9"/>
  <c r="AV3970" i="9"/>
  <c r="AU3970" i="9"/>
  <c r="AT3970" i="9"/>
  <c r="BB3969" i="9"/>
  <c r="BA3969" i="9"/>
  <c r="AV3969" i="9"/>
  <c r="AU3969" i="9"/>
  <c r="AT3969" i="9"/>
  <c r="BB3968" i="9"/>
  <c r="BA3968" i="9"/>
  <c r="AV3968" i="9"/>
  <c r="AU3968" i="9"/>
  <c r="AT3968" i="9"/>
  <c r="BB3967" i="9"/>
  <c r="BA3967" i="9"/>
  <c r="AV3967" i="9"/>
  <c r="AU3967" i="9"/>
  <c r="AT3967" i="9"/>
  <c r="BB3966" i="9"/>
  <c r="BA3966" i="9"/>
  <c r="AV3966" i="9"/>
  <c r="AU3966" i="9"/>
  <c r="AT3966" i="9"/>
  <c r="BB3965" i="9"/>
  <c r="BA3965" i="9"/>
  <c r="AV3965" i="9"/>
  <c r="AU3965" i="9"/>
  <c r="AT3965" i="9"/>
  <c r="BB3964" i="9"/>
  <c r="BA3964" i="9"/>
  <c r="AV3964" i="9"/>
  <c r="AU3964" i="9"/>
  <c r="AT3964" i="9"/>
  <c r="BB3963" i="9"/>
  <c r="BA3963" i="9"/>
  <c r="AV3963" i="9"/>
  <c r="AU3963" i="9"/>
  <c r="AT3963" i="9"/>
  <c r="BB3962" i="9"/>
  <c r="BA3962" i="9"/>
  <c r="AV3962" i="9"/>
  <c r="AU3962" i="9"/>
  <c r="AT3962" i="9"/>
  <c r="BB3961" i="9"/>
  <c r="BA3961" i="9"/>
  <c r="AV3961" i="9"/>
  <c r="AU3961" i="9"/>
  <c r="AT3961" i="9"/>
  <c r="BB3960" i="9"/>
  <c r="BA3960" i="9"/>
  <c r="AV3960" i="9"/>
  <c r="AU3960" i="9"/>
  <c r="AT3960" i="9"/>
  <c r="BB3959" i="9"/>
  <c r="BA3959" i="9"/>
  <c r="AV3959" i="9"/>
  <c r="AU3959" i="9"/>
  <c r="AT3959" i="9"/>
  <c r="BB3958" i="9"/>
  <c r="BA3958" i="9"/>
  <c r="AV3958" i="9"/>
  <c r="AU3958" i="9"/>
  <c r="AT3958" i="9"/>
  <c r="BB3957" i="9"/>
  <c r="BA3957" i="9"/>
  <c r="AV3957" i="9"/>
  <c r="AU3957" i="9"/>
  <c r="AT3957" i="9"/>
  <c r="BB3956" i="9"/>
  <c r="BA3956" i="9"/>
  <c r="AV3956" i="9"/>
  <c r="AU3956" i="9"/>
  <c r="AT3956" i="9"/>
  <c r="BB3955" i="9"/>
  <c r="BA3955" i="9"/>
  <c r="AV3955" i="9"/>
  <c r="AU3955" i="9"/>
  <c r="AT3955" i="9"/>
  <c r="BB3954" i="9"/>
  <c r="BA3954" i="9"/>
  <c r="AV3954" i="9"/>
  <c r="AU3954" i="9"/>
  <c r="AT3954" i="9"/>
  <c r="BB3953" i="9"/>
  <c r="BA3953" i="9"/>
  <c r="AV3953" i="9"/>
  <c r="AU3953" i="9"/>
  <c r="AT3953" i="9"/>
  <c r="BB3952" i="9"/>
  <c r="BA3952" i="9"/>
  <c r="AV3952" i="9"/>
  <c r="AU3952" i="9"/>
  <c r="AT3952" i="9"/>
  <c r="BB3951" i="9"/>
  <c r="BA3951" i="9"/>
  <c r="AV3951" i="9"/>
  <c r="AU3951" i="9"/>
  <c r="AT3951" i="9"/>
  <c r="BB3950" i="9"/>
  <c r="BA3950" i="9"/>
  <c r="AV3950" i="9"/>
  <c r="AU3950" i="9"/>
  <c r="AT3950" i="9"/>
  <c r="BB3949" i="9"/>
  <c r="BA3949" i="9"/>
  <c r="AV3949" i="9"/>
  <c r="AU3949" i="9"/>
  <c r="AT3949" i="9"/>
  <c r="BB3948" i="9"/>
  <c r="BA3948" i="9"/>
  <c r="AV3948" i="9"/>
  <c r="AU3948" i="9"/>
  <c r="AT3948" i="9"/>
  <c r="BB3947" i="9"/>
  <c r="BA3947" i="9"/>
  <c r="AV3947" i="9"/>
  <c r="AU3947" i="9"/>
  <c r="AT3947" i="9"/>
  <c r="BB3946" i="9"/>
  <c r="BA3946" i="9"/>
  <c r="AV3946" i="9"/>
  <c r="AU3946" i="9"/>
  <c r="AT3946" i="9"/>
  <c r="BB3945" i="9"/>
  <c r="BA3945" i="9"/>
  <c r="AV3945" i="9"/>
  <c r="AU3945" i="9"/>
  <c r="AT3945" i="9"/>
  <c r="BB3944" i="9"/>
  <c r="BA3944" i="9"/>
  <c r="AV3944" i="9"/>
  <c r="AU3944" i="9"/>
  <c r="AT3944" i="9"/>
  <c r="BB3943" i="9"/>
  <c r="BA3943" i="9"/>
  <c r="AV3943" i="9"/>
  <c r="AU3943" i="9"/>
  <c r="AT3943" i="9"/>
  <c r="BB3942" i="9"/>
  <c r="BA3942" i="9"/>
  <c r="AV3942" i="9"/>
  <c r="AU3942" i="9"/>
  <c r="AT3942" i="9"/>
  <c r="BB3941" i="9"/>
  <c r="BA3941" i="9"/>
  <c r="AV3941" i="9"/>
  <c r="AU3941" i="9"/>
  <c r="AT3941" i="9"/>
  <c r="BB3940" i="9"/>
  <c r="BA3940" i="9"/>
  <c r="AV3940" i="9"/>
  <c r="AU3940" i="9"/>
  <c r="AT3940" i="9"/>
  <c r="BB3939" i="9"/>
  <c r="BA3939" i="9"/>
  <c r="AV3939" i="9"/>
  <c r="AU3939" i="9"/>
  <c r="AT3939" i="9"/>
  <c r="BB3938" i="9"/>
  <c r="BA3938" i="9"/>
  <c r="AV3938" i="9"/>
  <c r="AU3938" i="9"/>
  <c r="AT3938" i="9"/>
  <c r="BB3937" i="9"/>
  <c r="BA3937" i="9"/>
  <c r="AV3937" i="9"/>
  <c r="AU3937" i="9"/>
  <c r="AT3937" i="9"/>
  <c r="BB3936" i="9"/>
  <c r="BA3936" i="9"/>
  <c r="AV3936" i="9"/>
  <c r="AU3936" i="9"/>
  <c r="AT3936" i="9"/>
  <c r="BB3935" i="9"/>
  <c r="BA3935" i="9"/>
  <c r="AV3935" i="9"/>
  <c r="AU3935" i="9"/>
  <c r="AT3935" i="9"/>
  <c r="BB3934" i="9"/>
  <c r="BA3934" i="9"/>
  <c r="AV3934" i="9"/>
  <c r="AU3934" i="9"/>
  <c r="AT3934" i="9"/>
  <c r="BB3933" i="9"/>
  <c r="BA3933" i="9"/>
  <c r="AV3933" i="9"/>
  <c r="AU3933" i="9"/>
  <c r="AT3933" i="9"/>
  <c r="BB3932" i="9"/>
  <c r="BA3932" i="9"/>
  <c r="AV3932" i="9"/>
  <c r="AU3932" i="9"/>
  <c r="AT3932" i="9"/>
  <c r="BB3931" i="9"/>
  <c r="BA3931" i="9"/>
  <c r="AV3931" i="9"/>
  <c r="AU3931" i="9"/>
  <c r="AT3931" i="9"/>
  <c r="BB3930" i="9"/>
  <c r="BA3930" i="9"/>
  <c r="AV3930" i="9"/>
  <c r="AU3930" i="9"/>
  <c r="AT3930" i="9"/>
  <c r="BB3929" i="9"/>
  <c r="BA3929" i="9"/>
  <c r="AV3929" i="9"/>
  <c r="AU3929" i="9"/>
  <c r="AT3929" i="9"/>
  <c r="BB3928" i="9"/>
  <c r="BA3928" i="9"/>
  <c r="AV3928" i="9"/>
  <c r="AU3928" i="9"/>
  <c r="AT3928" i="9"/>
  <c r="BB3927" i="9"/>
  <c r="BA3927" i="9"/>
  <c r="AV3927" i="9"/>
  <c r="AU3927" i="9"/>
  <c r="AT3927" i="9"/>
  <c r="BB3926" i="9"/>
  <c r="BA3926" i="9"/>
  <c r="AV3926" i="9"/>
  <c r="AU3926" i="9"/>
  <c r="AT3926" i="9"/>
  <c r="BB3925" i="9"/>
  <c r="BA3925" i="9"/>
  <c r="AV3925" i="9"/>
  <c r="AU3925" i="9"/>
  <c r="AT3925" i="9"/>
  <c r="BB3924" i="9"/>
  <c r="BA3924" i="9"/>
  <c r="AV3924" i="9"/>
  <c r="AU3924" i="9"/>
  <c r="AT3924" i="9"/>
  <c r="BB3923" i="9"/>
  <c r="BA3923" i="9"/>
  <c r="AV3923" i="9"/>
  <c r="AU3923" i="9"/>
  <c r="AT3923" i="9"/>
  <c r="BB3922" i="9"/>
  <c r="BA3922" i="9"/>
  <c r="AV3922" i="9"/>
  <c r="AU3922" i="9"/>
  <c r="AT3922" i="9"/>
  <c r="BB3921" i="9"/>
  <c r="BA3921" i="9"/>
  <c r="AV3921" i="9"/>
  <c r="AU3921" i="9"/>
  <c r="AT3921" i="9"/>
  <c r="BB3920" i="9"/>
  <c r="BA3920" i="9"/>
  <c r="AV3920" i="9"/>
  <c r="AU3920" i="9"/>
  <c r="AT3920" i="9"/>
  <c r="BB3919" i="9"/>
  <c r="BA3919" i="9"/>
  <c r="AV3919" i="9"/>
  <c r="AU3919" i="9"/>
  <c r="AT3919" i="9"/>
  <c r="BB3918" i="9"/>
  <c r="BA3918" i="9"/>
  <c r="AV3918" i="9"/>
  <c r="AU3918" i="9"/>
  <c r="AT3918" i="9"/>
  <c r="BB3917" i="9"/>
  <c r="BA3917" i="9"/>
  <c r="AV3917" i="9"/>
  <c r="AU3917" i="9"/>
  <c r="AT3917" i="9"/>
  <c r="BB3916" i="9"/>
  <c r="BA3916" i="9"/>
  <c r="AV3916" i="9"/>
  <c r="AU3916" i="9"/>
  <c r="AT3916" i="9"/>
  <c r="BB3915" i="9"/>
  <c r="BA3915" i="9"/>
  <c r="AV3915" i="9"/>
  <c r="AU3915" i="9"/>
  <c r="AT3915" i="9"/>
  <c r="BB3914" i="9"/>
  <c r="BA3914" i="9"/>
  <c r="AV3914" i="9"/>
  <c r="AU3914" i="9"/>
  <c r="AT3914" i="9"/>
  <c r="BB3913" i="9"/>
  <c r="BA3913" i="9"/>
  <c r="AV3913" i="9"/>
  <c r="AU3913" i="9"/>
  <c r="AT3913" i="9"/>
  <c r="BB3912" i="9"/>
  <c r="BA3912" i="9"/>
  <c r="AV3912" i="9"/>
  <c r="AU3912" i="9"/>
  <c r="AT3912" i="9"/>
  <c r="BB3911" i="9"/>
  <c r="BA3911" i="9"/>
  <c r="AV3911" i="9"/>
  <c r="AU3911" i="9"/>
  <c r="AT3911" i="9"/>
  <c r="BB3910" i="9"/>
  <c r="BA3910" i="9"/>
  <c r="AV3910" i="9"/>
  <c r="AU3910" i="9"/>
  <c r="AT3910" i="9"/>
  <c r="BB3909" i="9"/>
  <c r="BA3909" i="9"/>
  <c r="AV3909" i="9"/>
  <c r="AU3909" i="9"/>
  <c r="AT3909" i="9"/>
  <c r="BB3908" i="9"/>
  <c r="BA3908" i="9"/>
  <c r="AV3908" i="9"/>
  <c r="AU3908" i="9"/>
  <c r="AT3908" i="9"/>
  <c r="BB3907" i="9"/>
  <c r="BA3907" i="9"/>
  <c r="AV3907" i="9"/>
  <c r="AU3907" i="9"/>
  <c r="AT3907" i="9"/>
  <c r="BB3906" i="9"/>
  <c r="BA3906" i="9"/>
  <c r="AV3906" i="9"/>
  <c r="AU3906" i="9"/>
  <c r="AT3906" i="9"/>
  <c r="BB3905" i="9"/>
  <c r="BA3905" i="9"/>
  <c r="AV3905" i="9"/>
  <c r="AU3905" i="9"/>
  <c r="AT3905" i="9"/>
  <c r="BB3904" i="9"/>
  <c r="BA3904" i="9"/>
  <c r="AV3904" i="9"/>
  <c r="AU3904" i="9"/>
  <c r="AT3904" i="9"/>
  <c r="BB3903" i="9"/>
  <c r="BA3903" i="9"/>
  <c r="AV3903" i="9"/>
  <c r="AU3903" i="9"/>
  <c r="AT3903" i="9"/>
  <c r="BB3902" i="9"/>
  <c r="BA3902" i="9"/>
  <c r="AV3902" i="9"/>
  <c r="AU3902" i="9"/>
  <c r="AT3902" i="9"/>
  <c r="BB3901" i="9"/>
  <c r="BA3901" i="9"/>
  <c r="AV3901" i="9"/>
  <c r="AU3901" i="9"/>
  <c r="AT3901" i="9"/>
  <c r="BB3900" i="9"/>
  <c r="BA3900" i="9"/>
  <c r="AV3900" i="9"/>
  <c r="AU3900" i="9"/>
  <c r="AT3900" i="9"/>
  <c r="BB3899" i="9"/>
  <c r="BA3899" i="9"/>
  <c r="AV3899" i="9"/>
  <c r="AU3899" i="9"/>
  <c r="AT3899" i="9"/>
  <c r="BB3898" i="9"/>
  <c r="BA3898" i="9"/>
  <c r="AV3898" i="9"/>
  <c r="AU3898" i="9"/>
  <c r="AT3898" i="9"/>
  <c r="BB3897" i="9"/>
  <c r="BA3897" i="9"/>
  <c r="AV3897" i="9"/>
  <c r="AU3897" i="9"/>
  <c r="AT3897" i="9"/>
  <c r="BB3896" i="9"/>
  <c r="BA3896" i="9"/>
  <c r="AV3896" i="9"/>
  <c r="AU3896" i="9"/>
  <c r="AT3896" i="9"/>
  <c r="BB3895" i="9"/>
  <c r="BA3895" i="9"/>
  <c r="AV3895" i="9"/>
  <c r="AU3895" i="9"/>
  <c r="AT3895" i="9"/>
  <c r="BB3894" i="9"/>
  <c r="BA3894" i="9"/>
  <c r="AV3894" i="9"/>
  <c r="AU3894" i="9"/>
  <c r="AT3894" i="9"/>
  <c r="BB3893" i="9"/>
  <c r="BA3893" i="9"/>
  <c r="AV3893" i="9"/>
  <c r="AU3893" i="9"/>
  <c r="AT3893" i="9"/>
  <c r="BB3892" i="9"/>
  <c r="BA3892" i="9"/>
  <c r="AV3892" i="9"/>
  <c r="AU3892" i="9"/>
  <c r="AT3892" i="9"/>
  <c r="BB3891" i="9"/>
  <c r="BA3891" i="9"/>
  <c r="AV3891" i="9"/>
  <c r="AU3891" i="9"/>
  <c r="AT3891" i="9"/>
  <c r="BB3890" i="9"/>
  <c r="BA3890" i="9"/>
  <c r="AV3890" i="9"/>
  <c r="AU3890" i="9"/>
  <c r="AT3890" i="9"/>
  <c r="BB3889" i="9"/>
  <c r="BA3889" i="9"/>
  <c r="AV3889" i="9"/>
  <c r="AU3889" i="9"/>
  <c r="AT3889" i="9"/>
  <c r="BB3888" i="9"/>
  <c r="BA3888" i="9"/>
  <c r="AV3888" i="9"/>
  <c r="AU3888" i="9"/>
  <c r="AT3888" i="9"/>
  <c r="BB3887" i="9"/>
  <c r="BA3887" i="9"/>
  <c r="AV3887" i="9"/>
  <c r="AU3887" i="9"/>
  <c r="AT3887" i="9"/>
  <c r="BB3886" i="9"/>
  <c r="BA3886" i="9"/>
  <c r="AV3886" i="9"/>
  <c r="AU3886" i="9"/>
  <c r="AT3886" i="9"/>
  <c r="BB3885" i="9"/>
  <c r="BA3885" i="9"/>
  <c r="AV3885" i="9"/>
  <c r="AU3885" i="9"/>
  <c r="AT3885" i="9"/>
  <c r="BB3884" i="9"/>
  <c r="BA3884" i="9"/>
  <c r="AV3884" i="9"/>
  <c r="AU3884" i="9"/>
  <c r="AT3884" i="9"/>
  <c r="BB3883" i="9"/>
  <c r="BA3883" i="9"/>
  <c r="AV3883" i="9"/>
  <c r="AU3883" i="9"/>
  <c r="AT3883" i="9"/>
  <c r="BB3882" i="9"/>
  <c r="BA3882" i="9"/>
  <c r="AV3882" i="9"/>
  <c r="AU3882" i="9"/>
  <c r="AT3882" i="9"/>
  <c r="BB3881" i="9"/>
  <c r="BA3881" i="9"/>
  <c r="AV3881" i="9"/>
  <c r="AU3881" i="9"/>
  <c r="AT3881" i="9"/>
  <c r="BB3880" i="9"/>
  <c r="BA3880" i="9"/>
  <c r="AV3880" i="9"/>
  <c r="AU3880" i="9"/>
  <c r="AT3880" i="9"/>
  <c r="BB3879" i="9"/>
  <c r="BA3879" i="9"/>
  <c r="AV3879" i="9"/>
  <c r="AU3879" i="9"/>
  <c r="AT3879" i="9"/>
  <c r="BB3878" i="9"/>
  <c r="BA3878" i="9"/>
  <c r="AV3878" i="9"/>
  <c r="AU3878" i="9"/>
  <c r="AT3878" i="9"/>
  <c r="BB3877" i="9"/>
  <c r="BA3877" i="9"/>
  <c r="AV3877" i="9"/>
  <c r="AU3877" i="9"/>
  <c r="AT3877" i="9"/>
  <c r="BB3876" i="9"/>
  <c r="BA3876" i="9"/>
  <c r="AV3876" i="9"/>
  <c r="AU3876" i="9"/>
  <c r="AT3876" i="9"/>
  <c r="BB3875" i="9"/>
  <c r="BA3875" i="9"/>
  <c r="AV3875" i="9"/>
  <c r="AU3875" i="9"/>
  <c r="AT3875" i="9"/>
  <c r="BB3874" i="9"/>
  <c r="BA3874" i="9"/>
  <c r="AV3874" i="9"/>
  <c r="AU3874" i="9"/>
  <c r="AT3874" i="9"/>
  <c r="BB3873" i="9"/>
  <c r="BA3873" i="9"/>
  <c r="AV3873" i="9"/>
  <c r="AU3873" i="9"/>
  <c r="AT3873" i="9"/>
  <c r="BB3872" i="9"/>
  <c r="BA3872" i="9"/>
  <c r="AV3872" i="9"/>
  <c r="AU3872" i="9"/>
  <c r="AT3872" i="9"/>
  <c r="BB3871" i="9"/>
  <c r="BA3871" i="9"/>
  <c r="AV3871" i="9"/>
  <c r="AU3871" i="9"/>
  <c r="AT3871" i="9"/>
  <c r="BB3870" i="9"/>
  <c r="BA3870" i="9"/>
  <c r="AV3870" i="9"/>
  <c r="AU3870" i="9"/>
  <c r="AT3870" i="9"/>
  <c r="BB3869" i="9"/>
  <c r="BA3869" i="9"/>
  <c r="AV3869" i="9"/>
  <c r="AU3869" i="9"/>
  <c r="AT3869" i="9"/>
  <c r="BB3868" i="9"/>
  <c r="BA3868" i="9"/>
  <c r="AV3868" i="9"/>
  <c r="AU3868" i="9"/>
  <c r="AT3868" i="9"/>
  <c r="BB3867" i="9"/>
  <c r="BA3867" i="9"/>
  <c r="AV3867" i="9"/>
  <c r="AU3867" i="9"/>
  <c r="AT3867" i="9"/>
  <c r="BB3866" i="9"/>
  <c r="BA3866" i="9"/>
  <c r="AV3866" i="9"/>
  <c r="AU3866" i="9"/>
  <c r="AT3866" i="9"/>
  <c r="BB3865" i="9"/>
  <c r="BA3865" i="9"/>
  <c r="AV3865" i="9"/>
  <c r="AU3865" i="9"/>
  <c r="AT3865" i="9"/>
  <c r="BB3864" i="9"/>
  <c r="BA3864" i="9"/>
  <c r="AV3864" i="9"/>
  <c r="AU3864" i="9"/>
  <c r="AT3864" i="9"/>
  <c r="BB3863" i="9"/>
  <c r="BA3863" i="9"/>
  <c r="AV3863" i="9"/>
  <c r="AU3863" i="9"/>
  <c r="AT3863" i="9"/>
  <c r="BB3862" i="9"/>
  <c r="BA3862" i="9"/>
  <c r="AV3862" i="9"/>
  <c r="AU3862" i="9"/>
  <c r="AT3862" i="9"/>
  <c r="BB3861" i="9"/>
  <c r="BA3861" i="9"/>
  <c r="AV3861" i="9"/>
  <c r="AU3861" i="9"/>
  <c r="AT3861" i="9"/>
  <c r="BB3860" i="9"/>
  <c r="BA3860" i="9"/>
  <c r="AV3860" i="9"/>
  <c r="AU3860" i="9"/>
  <c r="AT3860" i="9"/>
  <c r="BB3859" i="9"/>
  <c r="BA3859" i="9"/>
  <c r="AV3859" i="9"/>
  <c r="AU3859" i="9"/>
  <c r="AT3859" i="9"/>
  <c r="BB3858" i="9"/>
  <c r="BA3858" i="9"/>
  <c r="AV3858" i="9"/>
  <c r="AU3858" i="9"/>
  <c r="AT3858" i="9"/>
  <c r="BB3857" i="9"/>
  <c r="BA3857" i="9"/>
  <c r="AV3857" i="9"/>
  <c r="AU3857" i="9"/>
  <c r="AT3857" i="9"/>
  <c r="BB3856" i="9"/>
  <c r="BA3856" i="9"/>
  <c r="AV3856" i="9"/>
  <c r="AU3856" i="9"/>
  <c r="AT3856" i="9"/>
  <c r="BB3855" i="9"/>
  <c r="BA3855" i="9"/>
  <c r="AV3855" i="9"/>
  <c r="AU3855" i="9"/>
  <c r="AT3855" i="9"/>
  <c r="BB3854" i="9"/>
  <c r="BA3854" i="9"/>
  <c r="AV3854" i="9"/>
  <c r="AU3854" i="9"/>
  <c r="AT3854" i="9"/>
  <c r="BB3853" i="9"/>
  <c r="BA3853" i="9"/>
  <c r="AV3853" i="9"/>
  <c r="AU3853" i="9"/>
  <c r="AT3853" i="9"/>
  <c r="BB3852" i="9"/>
  <c r="BA3852" i="9"/>
  <c r="AV3852" i="9"/>
  <c r="AU3852" i="9"/>
  <c r="AT3852" i="9"/>
  <c r="BB3851" i="9"/>
  <c r="BA3851" i="9"/>
  <c r="AV3851" i="9"/>
  <c r="AU3851" i="9"/>
  <c r="AT3851" i="9"/>
  <c r="BB3850" i="9"/>
  <c r="BA3850" i="9"/>
  <c r="AV3850" i="9"/>
  <c r="AU3850" i="9"/>
  <c r="AT3850" i="9"/>
  <c r="BB3849" i="9"/>
  <c r="BA3849" i="9"/>
  <c r="AV3849" i="9"/>
  <c r="AU3849" i="9"/>
  <c r="AT3849" i="9"/>
  <c r="BB3848" i="9"/>
  <c r="BA3848" i="9"/>
  <c r="AV3848" i="9"/>
  <c r="AU3848" i="9"/>
  <c r="AT3848" i="9"/>
  <c r="BB3847" i="9"/>
  <c r="BA3847" i="9"/>
  <c r="AV3847" i="9"/>
  <c r="AU3847" i="9"/>
  <c r="AT3847" i="9"/>
  <c r="BB3846" i="9"/>
  <c r="BA3846" i="9"/>
  <c r="AV3846" i="9"/>
  <c r="AU3846" i="9"/>
  <c r="AT3846" i="9"/>
  <c r="BB3845" i="9"/>
  <c r="BA3845" i="9"/>
  <c r="AV3845" i="9"/>
  <c r="AU3845" i="9"/>
  <c r="AT3845" i="9"/>
  <c r="BB3844" i="9"/>
  <c r="BA3844" i="9"/>
  <c r="AV3844" i="9"/>
  <c r="AU3844" i="9"/>
  <c r="AT3844" i="9"/>
  <c r="BB3843" i="9"/>
  <c r="BA3843" i="9"/>
  <c r="AV3843" i="9"/>
  <c r="AU3843" i="9"/>
  <c r="AT3843" i="9"/>
  <c r="BB3842" i="9"/>
  <c r="BA3842" i="9"/>
  <c r="AV3842" i="9"/>
  <c r="AU3842" i="9"/>
  <c r="AT3842" i="9"/>
  <c r="BB3841" i="9"/>
  <c r="BA3841" i="9"/>
  <c r="AV3841" i="9"/>
  <c r="AU3841" i="9"/>
  <c r="AT3841" i="9"/>
  <c r="BB3840" i="9"/>
  <c r="BA3840" i="9"/>
  <c r="AV3840" i="9"/>
  <c r="AU3840" i="9"/>
  <c r="AT3840" i="9"/>
  <c r="BB3839" i="9"/>
  <c r="BA3839" i="9"/>
  <c r="AV3839" i="9"/>
  <c r="AU3839" i="9"/>
  <c r="AT3839" i="9"/>
  <c r="BB3838" i="9"/>
  <c r="BA3838" i="9"/>
  <c r="AV3838" i="9"/>
  <c r="AU3838" i="9"/>
  <c r="AT3838" i="9"/>
  <c r="BB3837" i="9"/>
  <c r="BA3837" i="9"/>
  <c r="AV3837" i="9"/>
  <c r="AU3837" i="9"/>
  <c r="AT3837" i="9"/>
  <c r="BB3836" i="9"/>
  <c r="BA3836" i="9"/>
  <c r="AV3836" i="9"/>
  <c r="AU3836" i="9"/>
  <c r="AT3836" i="9"/>
  <c r="BB3835" i="9"/>
  <c r="BA3835" i="9"/>
  <c r="AV3835" i="9"/>
  <c r="AU3835" i="9"/>
  <c r="AT3835" i="9"/>
  <c r="BB3834" i="9"/>
  <c r="BA3834" i="9"/>
  <c r="AV3834" i="9"/>
  <c r="AU3834" i="9"/>
  <c r="AT3834" i="9"/>
  <c r="BB3833" i="9"/>
  <c r="BA3833" i="9"/>
  <c r="AV3833" i="9"/>
  <c r="AU3833" i="9"/>
  <c r="AT3833" i="9"/>
  <c r="BB3832" i="9"/>
  <c r="BA3832" i="9"/>
  <c r="AV3832" i="9"/>
  <c r="AU3832" i="9"/>
  <c r="AT3832" i="9"/>
  <c r="BB3831" i="9"/>
  <c r="BA3831" i="9"/>
  <c r="AV3831" i="9"/>
  <c r="AU3831" i="9"/>
  <c r="AT3831" i="9"/>
  <c r="BB3830" i="9"/>
  <c r="BA3830" i="9"/>
  <c r="AV3830" i="9"/>
  <c r="AU3830" i="9"/>
  <c r="AT3830" i="9"/>
  <c r="BB3829" i="9"/>
  <c r="BA3829" i="9"/>
  <c r="AV3829" i="9"/>
  <c r="AU3829" i="9"/>
  <c r="AT3829" i="9"/>
  <c r="BB3828" i="9"/>
  <c r="BA3828" i="9"/>
  <c r="AV3828" i="9"/>
  <c r="AU3828" i="9"/>
  <c r="AT3828" i="9"/>
  <c r="BB3827" i="9"/>
  <c r="BA3827" i="9"/>
  <c r="AV3827" i="9"/>
  <c r="AU3827" i="9"/>
  <c r="AT3827" i="9"/>
  <c r="BB3826" i="9"/>
  <c r="BA3826" i="9"/>
  <c r="AV3826" i="9"/>
  <c r="AU3826" i="9"/>
  <c r="AT3826" i="9"/>
  <c r="BB3825" i="9"/>
  <c r="BA3825" i="9"/>
  <c r="AV3825" i="9"/>
  <c r="AU3825" i="9"/>
  <c r="AT3825" i="9"/>
  <c r="BB3824" i="9"/>
  <c r="BA3824" i="9"/>
  <c r="AV3824" i="9"/>
  <c r="AU3824" i="9"/>
  <c r="AT3824" i="9"/>
  <c r="BB3823" i="9"/>
  <c r="BA3823" i="9"/>
  <c r="AV3823" i="9"/>
  <c r="AU3823" i="9"/>
  <c r="AT3823" i="9"/>
  <c r="BB3822" i="9"/>
  <c r="BA3822" i="9"/>
  <c r="AV3822" i="9"/>
  <c r="AU3822" i="9"/>
  <c r="AT3822" i="9"/>
  <c r="BB3821" i="9"/>
  <c r="BA3821" i="9"/>
  <c r="AV3821" i="9"/>
  <c r="AU3821" i="9"/>
  <c r="AT3821" i="9"/>
  <c r="BB3820" i="9"/>
  <c r="BA3820" i="9"/>
  <c r="AV3820" i="9"/>
  <c r="AU3820" i="9"/>
  <c r="AT3820" i="9"/>
  <c r="BB3819" i="9"/>
  <c r="BA3819" i="9"/>
  <c r="AV3819" i="9"/>
  <c r="AU3819" i="9"/>
  <c r="AT3819" i="9"/>
  <c r="BB3818" i="9"/>
  <c r="BA3818" i="9"/>
  <c r="AV3818" i="9"/>
  <c r="AU3818" i="9"/>
  <c r="AT3818" i="9"/>
  <c r="BB3817" i="9"/>
  <c r="BA3817" i="9"/>
  <c r="AV3817" i="9"/>
  <c r="AU3817" i="9"/>
  <c r="AT3817" i="9"/>
  <c r="BB3816" i="9"/>
  <c r="BA3816" i="9"/>
  <c r="AV3816" i="9"/>
  <c r="AU3816" i="9"/>
  <c r="AT3816" i="9"/>
  <c r="BB3815" i="9"/>
  <c r="BA3815" i="9"/>
  <c r="AV3815" i="9"/>
  <c r="AU3815" i="9"/>
  <c r="AT3815" i="9"/>
  <c r="BB3814" i="9"/>
  <c r="BA3814" i="9"/>
  <c r="AV3814" i="9"/>
  <c r="AU3814" i="9"/>
  <c r="AT3814" i="9"/>
  <c r="BB3813" i="9"/>
  <c r="BA3813" i="9"/>
  <c r="AV3813" i="9"/>
  <c r="AU3813" i="9"/>
  <c r="AT3813" i="9"/>
  <c r="BB3812" i="9"/>
  <c r="BA3812" i="9"/>
  <c r="AV3812" i="9"/>
  <c r="AU3812" i="9"/>
  <c r="AT3812" i="9"/>
  <c r="BB3811" i="9"/>
  <c r="BA3811" i="9"/>
  <c r="AV3811" i="9"/>
  <c r="AU3811" i="9"/>
  <c r="AT3811" i="9"/>
  <c r="BB3810" i="9"/>
  <c r="BA3810" i="9"/>
  <c r="AV3810" i="9"/>
  <c r="AU3810" i="9"/>
  <c r="AT3810" i="9"/>
  <c r="BB3809" i="9"/>
  <c r="BA3809" i="9"/>
  <c r="AV3809" i="9"/>
  <c r="AU3809" i="9"/>
  <c r="AT3809" i="9"/>
  <c r="BB3808" i="9"/>
  <c r="BA3808" i="9"/>
  <c r="AV3808" i="9"/>
  <c r="AU3808" i="9"/>
  <c r="AT3808" i="9"/>
  <c r="BB3807" i="9"/>
  <c r="BA3807" i="9"/>
  <c r="AV3807" i="9"/>
  <c r="AU3807" i="9"/>
  <c r="AT3807" i="9"/>
  <c r="BB3806" i="9"/>
  <c r="BA3806" i="9"/>
  <c r="AV3806" i="9"/>
  <c r="AU3806" i="9"/>
  <c r="AT3806" i="9"/>
  <c r="BB3805" i="9"/>
  <c r="BA3805" i="9"/>
  <c r="AV3805" i="9"/>
  <c r="AU3805" i="9"/>
  <c r="AT3805" i="9"/>
  <c r="BB3804" i="9"/>
  <c r="BA3804" i="9"/>
  <c r="AV3804" i="9"/>
  <c r="AU3804" i="9"/>
  <c r="AT3804" i="9"/>
  <c r="BB3803" i="9"/>
  <c r="BA3803" i="9"/>
  <c r="AV3803" i="9"/>
  <c r="AU3803" i="9"/>
  <c r="AT3803" i="9"/>
  <c r="BB3802" i="9"/>
  <c r="BA3802" i="9"/>
  <c r="AV3802" i="9"/>
  <c r="AU3802" i="9"/>
  <c r="AT3802" i="9"/>
  <c r="BB3801" i="9"/>
  <c r="BA3801" i="9"/>
  <c r="AV3801" i="9"/>
  <c r="AU3801" i="9"/>
  <c r="AT3801" i="9"/>
  <c r="BB3800" i="9"/>
  <c r="BA3800" i="9"/>
  <c r="AV3800" i="9"/>
  <c r="AU3800" i="9"/>
  <c r="AT3800" i="9"/>
  <c r="BB3799" i="9"/>
  <c r="BA3799" i="9"/>
  <c r="AV3799" i="9"/>
  <c r="AU3799" i="9"/>
  <c r="AT3799" i="9"/>
  <c r="BB3798" i="9"/>
  <c r="BA3798" i="9"/>
  <c r="AV3798" i="9"/>
  <c r="AU3798" i="9"/>
  <c r="AT3798" i="9"/>
  <c r="BB3797" i="9"/>
  <c r="BA3797" i="9"/>
  <c r="AV3797" i="9"/>
  <c r="AU3797" i="9"/>
  <c r="AT3797" i="9"/>
  <c r="BB3796" i="9"/>
  <c r="BA3796" i="9"/>
  <c r="AV3796" i="9"/>
  <c r="AU3796" i="9"/>
  <c r="AT3796" i="9"/>
  <c r="BB3795" i="9"/>
  <c r="BA3795" i="9"/>
  <c r="AV3795" i="9"/>
  <c r="AU3795" i="9"/>
  <c r="AT3795" i="9"/>
  <c r="BB3794" i="9"/>
  <c r="BA3794" i="9"/>
  <c r="AV3794" i="9"/>
  <c r="AU3794" i="9"/>
  <c r="AT3794" i="9"/>
  <c r="BB3793" i="9"/>
  <c r="BA3793" i="9"/>
  <c r="AV3793" i="9"/>
  <c r="AU3793" i="9"/>
  <c r="AT3793" i="9"/>
  <c r="BB3792" i="9"/>
  <c r="BA3792" i="9"/>
  <c r="AV3792" i="9"/>
  <c r="AU3792" i="9"/>
  <c r="AT3792" i="9"/>
  <c r="BB3791" i="9"/>
  <c r="BA3791" i="9"/>
  <c r="AV3791" i="9"/>
  <c r="AU3791" i="9"/>
  <c r="AT3791" i="9"/>
  <c r="BB3790" i="9"/>
  <c r="BA3790" i="9"/>
  <c r="AV3790" i="9"/>
  <c r="AU3790" i="9"/>
  <c r="AT3790" i="9"/>
  <c r="BB3789" i="9"/>
  <c r="BA3789" i="9"/>
  <c r="AV3789" i="9"/>
  <c r="AU3789" i="9"/>
  <c r="AT3789" i="9"/>
  <c r="BB3788" i="9"/>
  <c r="BA3788" i="9"/>
  <c r="AV3788" i="9"/>
  <c r="AU3788" i="9"/>
  <c r="AT3788" i="9"/>
  <c r="BB3787" i="9"/>
  <c r="BA3787" i="9"/>
  <c r="AV3787" i="9"/>
  <c r="AU3787" i="9"/>
  <c r="AT3787" i="9"/>
  <c r="BB3786" i="9"/>
  <c r="BA3786" i="9"/>
  <c r="AV3786" i="9"/>
  <c r="AU3786" i="9"/>
  <c r="AT3786" i="9"/>
  <c r="BB3785" i="9"/>
  <c r="BA3785" i="9"/>
  <c r="AV3785" i="9"/>
  <c r="AU3785" i="9"/>
  <c r="AT3785" i="9"/>
  <c r="BB3784" i="9"/>
  <c r="BA3784" i="9"/>
  <c r="AV3784" i="9"/>
  <c r="AU3784" i="9"/>
  <c r="AT3784" i="9"/>
  <c r="BB3783" i="9"/>
  <c r="BA3783" i="9"/>
  <c r="AV3783" i="9"/>
  <c r="AU3783" i="9"/>
  <c r="AT3783" i="9"/>
  <c r="BB3782" i="9"/>
  <c r="BA3782" i="9"/>
  <c r="AV3782" i="9"/>
  <c r="AU3782" i="9"/>
  <c r="AT3782" i="9"/>
  <c r="BB3781" i="9"/>
  <c r="BA3781" i="9"/>
  <c r="AV3781" i="9"/>
  <c r="AU3781" i="9"/>
  <c r="AT3781" i="9"/>
  <c r="BB3780" i="9"/>
  <c r="BA3780" i="9"/>
  <c r="AV3780" i="9"/>
  <c r="AU3780" i="9"/>
  <c r="AT3780" i="9"/>
  <c r="BB3779" i="9"/>
  <c r="BA3779" i="9"/>
  <c r="AV3779" i="9"/>
  <c r="AU3779" i="9"/>
  <c r="AT3779" i="9"/>
  <c r="BB3778" i="9"/>
  <c r="BA3778" i="9"/>
  <c r="AV3778" i="9"/>
  <c r="AU3778" i="9"/>
  <c r="AT3778" i="9"/>
  <c r="BB3777" i="9"/>
  <c r="BA3777" i="9"/>
  <c r="AV3777" i="9"/>
  <c r="AU3777" i="9"/>
  <c r="AT3777" i="9"/>
  <c r="BB3776" i="9"/>
  <c r="BA3776" i="9"/>
  <c r="AV3776" i="9"/>
  <c r="AU3776" i="9"/>
  <c r="AT3776" i="9"/>
  <c r="BB3775" i="9"/>
  <c r="BA3775" i="9"/>
  <c r="AV3775" i="9"/>
  <c r="AU3775" i="9"/>
  <c r="AT3775" i="9"/>
  <c r="BB3774" i="9"/>
  <c r="BA3774" i="9"/>
  <c r="AV3774" i="9"/>
  <c r="AU3774" i="9"/>
  <c r="AT3774" i="9"/>
  <c r="BB3773" i="9"/>
  <c r="BA3773" i="9"/>
  <c r="AV3773" i="9"/>
  <c r="AU3773" i="9"/>
  <c r="AT3773" i="9"/>
  <c r="BB3772" i="9"/>
  <c r="BA3772" i="9"/>
  <c r="AV3772" i="9"/>
  <c r="AU3772" i="9"/>
  <c r="AT3772" i="9"/>
  <c r="BB3771" i="9"/>
  <c r="BA3771" i="9"/>
  <c r="AV3771" i="9"/>
  <c r="AU3771" i="9"/>
  <c r="AT3771" i="9"/>
  <c r="BB3770" i="9"/>
  <c r="BA3770" i="9"/>
  <c r="AV3770" i="9"/>
  <c r="AU3770" i="9"/>
  <c r="AT3770" i="9"/>
  <c r="BB3769" i="9"/>
  <c r="BA3769" i="9"/>
  <c r="AV3769" i="9"/>
  <c r="AU3769" i="9"/>
  <c r="AT3769" i="9"/>
  <c r="BB3768" i="9"/>
  <c r="BA3768" i="9"/>
  <c r="AV3768" i="9"/>
  <c r="AU3768" i="9"/>
  <c r="AT3768" i="9"/>
  <c r="BB3767" i="9"/>
  <c r="BA3767" i="9"/>
  <c r="AV3767" i="9"/>
  <c r="AU3767" i="9"/>
  <c r="AT3767" i="9"/>
  <c r="BB3766" i="9"/>
  <c r="BA3766" i="9"/>
  <c r="AV3766" i="9"/>
  <c r="AU3766" i="9"/>
  <c r="AT3766" i="9"/>
  <c r="BB3765" i="9"/>
  <c r="BA3765" i="9"/>
  <c r="AV3765" i="9"/>
  <c r="AU3765" i="9"/>
  <c r="AT3765" i="9"/>
  <c r="BB3764" i="9"/>
  <c r="BA3764" i="9"/>
  <c r="AV3764" i="9"/>
  <c r="AU3764" i="9"/>
  <c r="AT3764" i="9"/>
  <c r="BB3763" i="9"/>
  <c r="BA3763" i="9"/>
  <c r="AV3763" i="9"/>
  <c r="AU3763" i="9"/>
  <c r="AT3763" i="9"/>
  <c r="BB3762" i="9"/>
  <c r="BA3762" i="9"/>
  <c r="AV3762" i="9"/>
  <c r="AU3762" i="9"/>
  <c r="AT3762" i="9"/>
  <c r="BB3761" i="9"/>
  <c r="BA3761" i="9"/>
  <c r="AV3761" i="9"/>
  <c r="AU3761" i="9"/>
  <c r="AT3761" i="9"/>
  <c r="BB3760" i="9"/>
  <c r="BA3760" i="9"/>
  <c r="AV3760" i="9"/>
  <c r="AU3760" i="9"/>
  <c r="AT3760" i="9"/>
  <c r="BB3759" i="9"/>
  <c r="BA3759" i="9"/>
  <c r="AV3759" i="9"/>
  <c r="AU3759" i="9"/>
  <c r="AT3759" i="9"/>
  <c r="BB3758" i="9"/>
  <c r="BA3758" i="9"/>
  <c r="AV3758" i="9"/>
  <c r="AU3758" i="9"/>
  <c r="AT3758" i="9"/>
  <c r="BB3757" i="9"/>
  <c r="BA3757" i="9"/>
  <c r="AV3757" i="9"/>
  <c r="AU3757" i="9"/>
  <c r="AT3757" i="9"/>
  <c r="BB3756" i="9"/>
  <c r="BA3756" i="9"/>
  <c r="AV3756" i="9"/>
  <c r="AU3756" i="9"/>
  <c r="AT3756" i="9"/>
  <c r="BB3755" i="9"/>
  <c r="BA3755" i="9"/>
  <c r="AV3755" i="9"/>
  <c r="AU3755" i="9"/>
  <c r="AT3755" i="9"/>
  <c r="BB3754" i="9"/>
  <c r="BA3754" i="9"/>
  <c r="AV3754" i="9"/>
  <c r="AU3754" i="9"/>
  <c r="AT3754" i="9"/>
  <c r="BB3753" i="9"/>
  <c r="BA3753" i="9"/>
  <c r="AV3753" i="9"/>
  <c r="AU3753" i="9"/>
  <c r="AT3753" i="9"/>
  <c r="BB3752" i="9"/>
  <c r="BA3752" i="9"/>
  <c r="AV3752" i="9"/>
  <c r="AU3752" i="9"/>
  <c r="AT3752" i="9"/>
  <c r="BB3751" i="9"/>
  <c r="BA3751" i="9"/>
  <c r="AV3751" i="9"/>
  <c r="AU3751" i="9"/>
  <c r="AT3751" i="9"/>
  <c r="BB3750" i="9"/>
  <c r="BA3750" i="9"/>
  <c r="AV3750" i="9"/>
  <c r="AU3750" i="9"/>
  <c r="AT3750" i="9"/>
  <c r="BB3749" i="9"/>
  <c r="BA3749" i="9"/>
  <c r="AV3749" i="9"/>
  <c r="AU3749" i="9"/>
  <c r="AT3749" i="9"/>
  <c r="BB3748" i="9"/>
  <c r="BA3748" i="9"/>
  <c r="AV3748" i="9"/>
  <c r="AU3748" i="9"/>
  <c r="AT3748" i="9"/>
  <c r="BB3747" i="9"/>
  <c r="BA3747" i="9"/>
  <c r="AV3747" i="9"/>
  <c r="AU3747" i="9"/>
  <c r="AT3747" i="9"/>
  <c r="BB3746" i="9"/>
  <c r="BA3746" i="9"/>
  <c r="AV3746" i="9"/>
  <c r="AU3746" i="9"/>
  <c r="AT3746" i="9"/>
  <c r="BB3745" i="9"/>
  <c r="BA3745" i="9"/>
  <c r="AV3745" i="9"/>
  <c r="AU3745" i="9"/>
  <c r="AT3745" i="9"/>
  <c r="BB3744" i="9"/>
  <c r="BA3744" i="9"/>
  <c r="AV3744" i="9"/>
  <c r="AU3744" i="9"/>
  <c r="AT3744" i="9"/>
  <c r="BB3743" i="9"/>
  <c r="BA3743" i="9"/>
  <c r="AV3743" i="9"/>
  <c r="AU3743" i="9"/>
  <c r="AT3743" i="9"/>
  <c r="BB3742" i="9"/>
  <c r="BA3742" i="9"/>
  <c r="AV3742" i="9"/>
  <c r="AU3742" i="9"/>
  <c r="AT3742" i="9"/>
  <c r="BB3741" i="9"/>
  <c r="BA3741" i="9"/>
  <c r="AV3741" i="9"/>
  <c r="AU3741" i="9"/>
  <c r="AT3741" i="9"/>
  <c r="BB3740" i="9"/>
  <c r="BA3740" i="9"/>
  <c r="AV3740" i="9"/>
  <c r="AU3740" i="9"/>
  <c r="AT3740" i="9"/>
  <c r="BB3739" i="9"/>
  <c r="BA3739" i="9"/>
  <c r="AV3739" i="9"/>
  <c r="AU3739" i="9"/>
  <c r="AT3739" i="9"/>
  <c r="BB3738" i="9"/>
  <c r="BA3738" i="9"/>
  <c r="AV3738" i="9"/>
  <c r="AU3738" i="9"/>
  <c r="AT3738" i="9"/>
  <c r="BB3737" i="9"/>
  <c r="BA3737" i="9"/>
  <c r="AV3737" i="9"/>
  <c r="AU3737" i="9"/>
  <c r="AT3737" i="9"/>
  <c r="BB3736" i="9"/>
  <c r="BA3736" i="9"/>
  <c r="AV3736" i="9"/>
  <c r="AU3736" i="9"/>
  <c r="AT3736" i="9"/>
  <c r="BB3735" i="9"/>
  <c r="BA3735" i="9"/>
  <c r="AV3735" i="9"/>
  <c r="AU3735" i="9"/>
  <c r="AT3735" i="9"/>
  <c r="BB3734" i="9"/>
  <c r="BA3734" i="9"/>
  <c r="AV3734" i="9"/>
  <c r="AU3734" i="9"/>
  <c r="AT3734" i="9"/>
  <c r="BB3733" i="9"/>
  <c r="BA3733" i="9"/>
  <c r="AV3733" i="9"/>
  <c r="AU3733" i="9"/>
  <c r="AT3733" i="9"/>
  <c r="BB3732" i="9"/>
  <c r="BA3732" i="9"/>
  <c r="AV3732" i="9"/>
  <c r="AU3732" i="9"/>
  <c r="AT3732" i="9"/>
  <c r="BB3731" i="9"/>
  <c r="BA3731" i="9"/>
  <c r="AV3731" i="9"/>
  <c r="AU3731" i="9"/>
  <c r="AT3731" i="9"/>
  <c r="BB3730" i="9"/>
  <c r="BA3730" i="9"/>
  <c r="AV3730" i="9"/>
  <c r="AU3730" i="9"/>
  <c r="AT3730" i="9"/>
  <c r="BB3729" i="9"/>
  <c r="BA3729" i="9"/>
  <c r="AV3729" i="9"/>
  <c r="AU3729" i="9"/>
  <c r="AT3729" i="9"/>
  <c r="BB3728" i="9"/>
  <c r="BA3728" i="9"/>
  <c r="AV3728" i="9"/>
  <c r="AU3728" i="9"/>
  <c r="AT3728" i="9"/>
  <c r="BB3727" i="9"/>
  <c r="BA3727" i="9"/>
  <c r="AV3727" i="9"/>
  <c r="AU3727" i="9"/>
  <c r="AT3727" i="9"/>
  <c r="BB3726" i="9"/>
  <c r="BA3726" i="9"/>
  <c r="AV3726" i="9"/>
  <c r="AU3726" i="9"/>
  <c r="AT3726" i="9"/>
  <c r="BB3725" i="9"/>
  <c r="BA3725" i="9"/>
  <c r="AV3725" i="9"/>
  <c r="AU3725" i="9"/>
  <c r="AT3725" i="9"/>
  <c r="BB3724" i="9"/>
  <c r="BA3724" i="9"/>
  <c r="AV3724" i="9"/>
  <c r="AU3724" i="9"/>
  <c r="AT3724" i="9"/>
  <c r="BB3723" i="9"/>
  <c r="BA3723" i="9"/>
  <c r="AV3723" i="9"/>
  <c r="AU3723" i="9"/>
  <c r="AT3723" i="9"/>
  <c r="BB3722" i="9"/>
  <c r="BA3722" i="9"/>
  <c r="AV3722" i="9"/>
  <c r="AU3722" i="9"/>
  <c r="AT3722" i="9"/>
  <c r="BB3721" i="9"/>
  <c r="BA3721" i="9"/>
  <c r="AV3721" i="9"/>
  <c r="AU3721" i="9"/>
  <c r="AT3721" i="9"/>
  <c r="BB3720" i="9"/>
  <c r="BA3720" i="9"/>
  <c r="AV3720" i="9"/>
  <c r="AU3720" i="9"/>
  <c r="AT3720" i="9"/>
  <c r="BB3719" i="9"/>
  <c r="BA3719" i="9"/>
  <c r="AV3719" i="9"/>
  <c r="AU3719" i="9"/>
  <c r="AT3719" i="9"/>
  <c r="BB3718" i="9"/>
  <c r="BA3718" i="9"/>
  <c r="AV3718" i="9"/>
  <c r="AU3718" i="9"/>
  <c r="AT3718" i="9"/>
  <c r="BB3717" i="9"/>
  <c r="BA3717" i="9"/>
  <c r="AV3717" i="9"/>
  <c r="AU3717" i="9"/>
  <c r="AT3717" i="9"/>
  <c r="BB3716" i="9"/>
  <c r="BA3716" i="9"/>
  <c r="AV3716" i="9"/>
  <c r="AU3716" i="9"/>
  <c r="AT3716" i="9"/>
  <c r="BB3715" i="9"/>
  <c r="BA3715" i="9"/>
  <c r="AV3715" i="9"/>
  <c r="AU3715" i="9"/>
  <c r="AT3715" i="9"/>
  <c r="BB3714" i="9"/>
  <c r="BA3714" i="9"/>
  <c r="AV3714" i="9"/>
  <c r="AU3714" i="9"/>
  <c r="AT3714" i="9"/>
  <c r="BB3713" i="9"/>
  <c r="BA3713" i="9"/>
  <c r="AV3713" i="9"/>
  <c r="AU3713" i="9"/>
  <c r="AT3713" i="9"/>
  <c r="BB3712" i="9"/>
  <c r="BA3712" i="9"/>
  <c r="AV3712" i="9"/>
  <c r="AU3712" i="9"/>
  <c r="AT3712" i="9"/>
  <c r="BB3711" i="9"/>
  <c r="BA3711" i="9"/>
  <c r="AV3711" i="9"/>
  <c r="AU3711" i="9"/>
  <c r="AT3711" i="9"/>
  <c r="BB3710" i="9"/>
  <c r="BA3710" i="9"/>
  <c r="AV3710" i="9"/>
  <c r="AU3710" i="9"/>
  <c r="AT3710" i="9"/>
  <c r="BB3709" i="9"/>
  <c r="BA3709" i="9"/>
  <c r="AV3709" i="9"/>
  <c r="AU3709" i="9"/>
  <c r="AT3709" i="9"/>
  <c r="BB3708" i="9"/>
  <c r="BA3708" i="9"/>
  <c r="AV3708" i="9"/>
  <c r="AU3708" i="9"/>
  <c r="AT3708" i="9"/>
  <c r="BB3707" i="9"/>
  <c r="BA3707" i="9"/>
  <c r="AV3707" i="9"/>
  <c r="AU3707" i="9"/>
  <c r="AT3707" i="9"/>
  <c r="BB3706" i="9"/>
  <c r="BA3706" i="9"/>
  <c r="AV3706" i="9"/>
  <c r="AU3706" i="9"/>
  <c r="AT3706" i="9"/>
  <c r="BB3705" i="9"/>
  <c r="BA3705" i="9"/>
  <c r="AV3705" i="9"/>
  <c r="AU3705" i="9"/>
  <c r="AT3705" i="9"/>
  <c r="BB3704" i="9"/>
  <c r="BA3704" i="9"/>
  <c r="AV3704" i="9"/>
  <c r="AU3704" i="9"/>
  <c r="AT3704" i="9"/>
  <c r="BB3703" i="9"/>
  <c r="BA3703" i="9"/>
  <c r="AV3703" i="9"/>
  <c r="AU3703" i="9"/>
  <c r="AT3703" i="9"/>
  <c r="BB3702" i="9"/>
  <c r="BA3702" i="9"/>
  <c r="AV3702" i="9"/>
  <c r="AU3702" i="9"/>
  <c r="AT3702" i="9"/>
  <c r="BB3701" i="9"/>
  <c r="BA3701" i="9"/>
  <c r="AV3701" i="9"/>
  <c r="AU3701" i="9"/>
  <c r="AT3701" i="9"/>
  <c r="BB3700" i="9"/>
  <c r="BA3700" i="9"/>
  <c r="AV3700" i="9"/>
  <c r="AU3700" i="9"/>
  <c r="AT3700" i="9"/>
  <c r="BB3699" i="9"/>
  <c r="BA3699" i="9"/>
  <c r="AV3699" i="9"/>
  <c r="AU3699" i="9"/>
  <c r="AT3699" i="9"/>
  <c r="BB3698" i="9"/>
  <c r="BA3698" i="9"/>
  <c r="AV3698" i="9"/>
  <c r="AU3698" i="9"/>
  <c r="AT3698" i="9"/>
  <c r="BB3697" i="9"/>
  <c r="BA3697" i="9"/>
  <c r="AV3697" i="9"/>
  <c r="AU3697" i="9"/>
  <c r="AT3697" i="9"/>
  <c r="BB3696" i="9"/>
  <c r="BA3696" i="9"/>
  <c r="AV3696" i="9"/>
  <c r="AU3696" i="9"/>
  <c r="AT3696" i="9"/>
  <c r="BB3695" i="9"/>
  <c r="BA3695" i="9"/>
  <c r="AV3695" i="9"/>
  <c r="AU3695" i="9"/>
  <c r="AT3695" i="9"/>
  <c r="BB3694" i="9"/>
  <c r="BA3694" i="9"/>
  <c r="AV3694" i="9"/>
  <c r="AU3694" i="9"/>
  <c r="AT3694" i="9"/>
  <c r="BB3693" i="9"/>
  <c r="BA3693" i="9"/>
  <c r="AV3693" i="9"/>
  <c r="AU3693" i="9"/>
  <c r="AT3693" i="9"/>
  <c r="BB3692" i="9"/>
  <c r="BA3692" i="9"/>
  <c r="AV3692" i="9"/>
  <c r="AU3692" i="9"/>
  <c r="AT3692" i="9"/>
  <c r="BB3691" i="9"/>
  <c r="BA3691" i="9"/>
  <c r="AV3691" i="9"/>
  <c r="AU3691" i="9"/>
  <c r="AT3691" i="9"/>
  <c r="BB3690" i="9"/>
  <c r="BA3690" i="9"/>
  <c r="AV3690" i="9"/>
  <c r="AU3690" i="9"/>
  <c r="AT3690" i="9"/>
  <c r="BB3689" i="9"/>
  <c r="BA3689" i="9"/>
  <c r="AV3689" i="9"/>
  <c r="AU3689" i="9"/>
  <c r="AT3689" i="9"/>
  <c r="BB3688" i="9"/>
  <c r="BA3688" i="9"/>
  <c r="AV3688" i="9"/>
  <c r="AU3688" i="9"/>
  <c r="AT3688" i="9"/>
  <c r="BB3687" i="9"/>
  <c r="BA3687" i="9"/>
  <c r="AV3687" i="9"/>
  <c r="AU3687" i="9"/>
  <c r="AT3687" i="9"/>
  <c r="BB3686" i="9"/>
  <c r="BA3686" i="9"/>
  <c r="AV3686" i="9"/>
  <c r="AU3686" i="9"/>
  <c r="AT3686" i="9"/>
  <c r="BB3685" i="9"/>
  <c r="BA3685" i="9"/>
  <c r="AV3685" i="9"/>
  <c r="AU3685" i="9"/>
  <c r="AT3685" i="9"/>
  <c r="BB3684" i="9"/>
  <c r="BA3684" i="9"/>
  <c r="AV3684" i="9"/>
  <c r="AU3684" i="9"/>
  <c r="AT3684" i="9"/>
  <c r="BB3683" i="9"/>
  <c r="BA3683" i="9"/>
  <c r="AV3683" i="9"/>
  <c r="AU3683" i="9"/>
  <c r="AT3683" i="9"/>
  <c r="BB3682" i="9"/>
  <c r="BA3682" i="9"/>
  <c r="AV3682" i="9"/>
  <c r="AU3682" i="9"/>
  <c r="AT3682" i="9"/>
  <c r="BB3681" i="9"/>
  <c r="BA3681" i="9"/>
  <c r="AV3681" i="9"/>
  <c r="AU3681" i="9"/>
  <c r="AT3681" i="9"/>
  <c r="BB3680" i="9"/>
  <c r="BA3680" i="9"/>
  <c r="AV3680" i="9"/>
  <c r="AU3680" i="9"/>
  <c r="AT3680" i="9"/>
  <c r="BB3679" i="9"/>
  <c r="BA3679" i="9"/>
  <c r="AV3679" i="9"/>
  <c r="AU3679" i="9"/>
  <c r="AT3679" i="9"/>
  <c r="BB3678" i="9"/>
  <c r="BA3678" i="9"/>
  <c r="AV3678" i="9"/>
  <c r="AU3678" i="9"/>
  <c r="AT3678" i="9"/>
  <c r="BB3677" i="9"/>
  <c r="BA3677" i="9"/>
  <c r="AV3677" i="9"/>
  <c r="AU3677" i="9"/>
  <c r="AT3677" i="9"/>
  <c r="BB3676" i="9"/>
  <c r="BA3676" i="9"/>
  <c r="AV3676" i="9"/>
  <c r="AU3676" i="9"/>
  <c r="AT3676" i="9"/>
  <c r="BB3675" i="9"/>
  <c r="BA3675" i="9"/>
  <c r="AV3675" i="9"/>
  <c r="AU3675" i="9"/>
  <c r="AT3675" i="9"/>
  <c r="BB3674" i="9"/>
  <c r="BA3674" i="9"/>
  <c r="AV3674" i="9"/>
  <c r="AU3674" i="9"/>
  <c r="AT3674" i="9"/>
  <c r="BB3673" i="9"/>
  <c r="BA3673" i="9"/>
  <c r="AV3673" i="9"/>
  <c r="AU3673" i="9"/>
  <c r="AT3673" i="9"/>
  <c r="BB3672" i="9"/>
  <c r="BA3672" i="9"/>
  <c r="AV3672" i="9"/>
  <c r="AU3672" i="9"/>
  <c r="AT3672" i="9"/>
  <c r="BB3671" i="9"/>
  <c r="BA3671" i="9"/>
  <c r="AV3671" i="9"/>
  <c r="AU3671" i="9"/>
  <c r="AT3671" i="9"/>
  <c r="BB3670" i="9"/>
  <c r="BA3670" i="9"/>
  <c r="AV3670" i="9"/>
  <c r="AU3670" i="9"/>
  <c r="AT3670" i="9"/>
  <c r="BB3669" i="9"/>
  <c r="BA3669" i="9"/>
  <c r="AV3669" i="9"/>
  <c r="AU3669" i="9"/>
  <c r="AT3669" i="9"/>
  <c r="BB3668" i="9"/>
  <c r="BA3668" i="9"/>
  <c r="AV3668" i="9"/>
  <c r="AU3668" i="9"/>
  <c r="AT3668" i="9"/>
  <c r="BB3667" i="9"/>
  <c r="BA3667" i="9"/>
  <c r="AV3667" i="9"/>
  <c r="AU3667" i="9"/>
  <c r="AT3667" i="9"/>
  <c r="BB3666" i="9"/>
  <c r="BA3666" i="9"/>
  <c r="AV3666" i="9"/>
  <c r="AU3666" i="9"/>
  <c r="AT3666" i="9"/>
  <c r="BB3665" i="9"/>
  <c r="BA3665" i="9"/>
  <c r="AV3665" i="9"/>
  <c r="AU3665" i="9"/>
  <c r="AT3665" i="9"/>
  <c r="BB3664" i="9"/>
  <c r="BA3664" i="9"/>
  <c r="AV3664" i="9"/>
  <c r="AU3664" i="9"/>
  <c r="AT3664" i="9"/>
  <c r="BB3663" i="9"/>
  <c r="BA3663" i="9"/>
  <c r="AV3663" i="9"/>
  <c r="AU3663" i="9"/>
  <c r="AT3663" i="9"/>
  <c r="BB3662" i="9"/>
  <c r="BA3662" i="9"/>
  <c r="AV3662" i="9"/>
  <c r="AU3662" i="9"/>
  <c r="AT3662" i="9"/>
  <c r="BB3661" i="9"/>
  <c r="BA3661" i="9"/>
  <c r="AV3661" i="9"/>
  <c r="AU3661" i="9"/>
  <c r="AT3661" i="9"/>
  <c r="BB3660" i="9"/>
  <c r="BA3660" i="9"/>
  <c r="AV3660" i="9"/>
  <c r="AU3660" i="9"/>
  <c r="AT3660" i="9"/>
  <c r="BB3659" i="9"/>
  <c r="BA3659" i="9"/>
  <c r="AV3659" i="9"/>
  <c r="AU3659" i="9"/>
  <c r="AT3659" i="9"/>
  <c r="BB3658" i="9"/>
  <c r="BA3658" i="9"/>
  <c r="AV3658" i="9"/>
  <c r="AU3658" i="9"/>
  <c r="AT3658" i="9"/>
  <c r="BB3657" i="9"/>
  <c r="BA3657" i="9"/>
  <c r="AV3657" i="9"/>
  <c r="AU3657" i="9"/>
  <c r="AT3657" i="9"/>
  <c r="BB3656" i="9"/>
  <c r="BA3656" i="9"/>
  <c r="AV3656" i="9"/>
  <c r="AU3656" i="9"/>
  <c r="AT3656" i="9"/>
  <c r="BB3655" i="9"/>
  <c r="BA3655" i="9"/>
  <c r="AV3655" i="9"/>
  <c r="AU3655" i="9"/>
  <c r="AT3655" i="9"/>
  <c r="BB3654" i="9"/>
  <c r="BA3654" i="9"/>
  <c r="AV3654" i="9"/>
  <c r="AU3654" i="9"/>
  <c r="AT3654" i="9"/>
  <c r="BB3653" i="9"/>
  <c r="BA3653" i="9"/>
  <c r="AV3653" i="9"/>
  <c r="AU3653" i="9"/>
  <c r="AT3653" i="9"/>
  <c r="BB3652" i="9"/>
  <c r="BA3652" i="9"/>
  <c r="AV3652" i="9"/>
  <c r="AU3652" i="9"/>
  <c r="AT3652" i="9"/>
  <c r="BB3651" i="9"/>
  <c r="BA3651" i="9"/>
  <c r="AV3651" i="9"/>
  <c r="AU3651" i="9"/>
  <c r="AT3651" i="9"/>
  <c r="BB3650" i="9"/>
  <c r="BA3650" i="9"/>
  <c r="AV3650" i="9"/>
  <c r="AU3650" i="9"/>
  <c r="AT3650" i="9"/>
  <c r="BB3649" i="9"/>
  <c r="BA3649" i="9"/>
  <c r="AV3649" i="9"/>
  <c r="AU3649" i="9"/>
  <c r="AT3649" i="9"/>
  <c r="BB3648" i="9"/>
  <c r="BA3648" i="9"/>
  <c r="AV3648" i="9"/>
  <c r="AU3648" i="9"/>
  <c r="AT3648" i="9"/>
  <c r="BB3647" i="9"/>
  <c r="BA3647" i="9"/>
  <c r="AV3647" i="9"/>
  <c r="AU3647" i="9"/>
  <c r="AT3647" i="9"/>
  <c r="BB3646" i="9"/>
  <c r="BA3646" i="9"/>
  <c r="AV3646" i="9"/>
  <c r="AU3646" i="9"/>
  <c r="AT3646" i="9"/>
  <c r="BB3645" i="9"/>
  <c r="BA3645" i="9"/>
  <c r="AV3645" i="9"/>
  <c r="AU3645" i="9"/>
  <c r="AT3645" i="9"/>
  <c r="BB3644" i="9"/>
  <c r="BA3644" i="9"/>
  <c r="AV3644" i="9"/>
  <c r="AU3644" i="9"/>
  <c r="AT3644" i="9"/>
  <c r="BB3643" i="9"/>
  <c r="BA3643" i="9"/>
  <c r="AV3643" i="9"/>
  <c r="AU3643" i="9"/>
  <c r="AT3643" i="9"/>
  <c r="BB3642" i="9"/>
  <c r="BA3642" i="9"/>
  <c r="AV3642" i="9"/>
  <c r="AU3642" i="9"/>
  <c r="AT3642" i="9"/>
  <c r="BB3641" i="9"/>
  <c r="BA3641" i="9"/>
  <c r="AV3641" i="9"/>
  <c r="AU3641" i="9"/>
  <c r="AT3641" i="9"/>
  <c r="BB3640" i="9"/>
  <c r="BA3640" i="9"/>
  <c r="AV3640" i="9"/>
  <c r="AU3640" i="9"/>
  <c r="AT3640" i="9"/>
  <c r="BB3639" i="9"/>
  <c r="BA3639" i="9"/>
  <c r="AV3639" i="9"/>
  <c r="AU3639" i="9"/>
  <c r="AT3639" i="9"/>
  <c r="BB3638" i="9"/>
  <c r="BA3638" i="9"/>
  <c r="AV3638" i="9"/>
  <c r="AU3638" i="9"/>
  <c r="AT3638" i="9"/>
  <c r="BB3637" i="9"/>
  <c r="BA3637" i="9"/>
  <c r="AV3637" i="9"/>
  <c r="AU3637" i="9"/>
  <c r="AT3637" i="9"/>
  <c r="BB3636" i="9"/>
  <c r="BA3636" i="9"/>
  <c r="AV3636" i="9"/>
  <c r="AU3636" i="9"/>
  <c r="AT3636" i="9"/>
  <c r="BB3635" i="9"/>
  <c r="BA3635" i="9"/>
  <c r="AV3635" i="9"/>
  <c r="AU3635" i="9"/>
  <c r="AT3635" i="9"/>
  <c r="BB3634" i="9"/>
  <c r="BA3634" i="9"/>
  <c r="AV3634" i="9"/>
  <c r="AU3634" i="9"/>
  <c r="AT3634" i="9"/>
  <c r="BB3633" i="9"/>
  <c r="BA3633" i="9"/>
  <c r="AV3633" i="9"/>
  <c r="AU3633" i="9"/>
  <c r="AT3633" i="9"/>
  <c r="BB3632" i="9"/>
  <c r="BA3632" i="9"/>
  <c r="AV3632" i="9"/>
  <c r="AU3632" i="9"/>
  <c r="AT3632" i="9"/>
  <c r="BB3631" i="9"/>
  <c r="BA3631" i="9"/>
  <c r="AV3631" i="9"/>
  <c r="AU3631" i="9"/>
  <c r="AT3631" i="9"/>
  <c r="BB3630" i="9"/>
  <c r="BA3630" i="9"/>
  <c r="AV3630" i="9"/>
  <c r="AU3630" i="9"/>
  <c r="AT3630" i="9"/>
  <c r="BB3629" i="9"/>
  <c r="BA3629" i="9"/>
  <c r="AV3629" i="9"/>
  <c r="AU3629" i="9"/>
  <c r="AT3629" i="9"/>
  <c r="BB3628" i="9"/>
  <c r="BA3628" i="9"/>
  <c r="AV3628" i="9"/>
  <c r="AU3628" i="9"/>
  <c r="AT3628" i="9"/>
  <c r="BB3627" i="9"/>
  <c r="BA3627" i="9"/>
  <c r="AV3627" i="9"/>
  <c r="AU3627" i="9"/>
  <c r="AT3627" i="9"/>
  <c r="BB3626" i="9"/>
  <c r="BA3626" i="9"/>
  <c r="AV3626" i="9"/>
  <c r="AU3626" i="9"/>
  <c r="AT3626" i="9"/>
  <c r="BB3625" i="9"/>
  <c r="BA3625" i="9"/>
  <c r="AV3625" i="9"/>
  <c r="AU3625" i="9"/>
  <c r="AT3625" i="9"/>
  <c r="BB3624" i="9"/>
  <c r="BA3624" i="9"/>
  <c r="AV3624" i="9"/>
  <c r="AU3624" i="9"/>
  <c r="AT3624" i="9"/>
  <c r="BB3623" i="9"/>
  <c r="BA3623" i="9"/>
  <c r="AV3623" i="9"/>
  <c r="AU3623" i="9"/>
  <c r="AT3623" i="9"/>
  <c r="BB3622" i="9"/>
  <c r="BA3622" i="9"/>
  <c r="AV3622" i="9"/>
  <c r="AU3622" i="9"/>
  <c r="AT3622" i="9"/>
  <c r="BB3621" i="9"/>
  <c r="BA3621" i="9"/>
  <c r="AV3621" i="9"/>
  <c r="AU3621" i="9"/>
  <c r="AT3621" i="9"/>
  <c r="BB3620" i="9"/>
  <c r="BA3620" i="9"/>
  <c r="AV3620" i="9"/>
  <c r="AU3620" i="9"/>
  <c r="AT3620" i="9"/>
  <c r="BB3619" i="9"/>
  <c r="BA3619" i="9"/>
  <c r="AV3619" i="9"/>
  <c r="AU3619" i="9"/>
  <c r="AT3619" i="9"/>
  <c r="BB3618" i="9"/>
  <c r="BA3618" i="9"/>
  <c r="AV3618" i="9"/>
  <c r="AU3618" i="9"/>
  <c r="AT3618" i="9"/>
  <c r="BB3617" i="9"/>
  <c r="BA3617" i="9"/>
  <c r="AV3617" i="9"/>
  <c r="AU3617" i="9"/>
  <c r="AT3617" i="9"/>
  <c r="BB3616" i="9"/>
  <c r="BA3616" i="9"/>
  <c r="AV3616" i="9"/>
  <c r="AU3616" i="9"/>
  <c r="AT3616" i="9"/>
  <c r="BB3615" i="9"/>
  <c r="BA3615" i="9"/>
  <c r="AV3615" i="9"/>
  <c r="AU3615" i="9"/>
  <c r="AT3615" i="9"/>
  <c r="BB3614" i="9"/>
  <c r="BA3614" i="9"/>
  <c r="AV3614" i="9"/>
  <c r="AU3614" i="9"/>
  <c r="AT3614" i="9"/>
  <c r="BB3613" i="9"/>
  <c r="BA3613" i="9"/>
  <c r="AV3613" i="9"/>
  <c r="AU3613" i="9"/>
  <c r="AT3613" i="9"/>
  <c r="BB3612" i="9"/>
  <c r="BA3612" i="9"/>
  <c r="AV3612" i="9"/>
  <c r="AU3612" i="9"/>
  <c r="AT3612" i="9"/>
  <c r="BB3611" i="9"/>
  <c r="BA3611" i="9"/>
  <c r="AV3611" i="9"/>
  <c r="AU3611" i="9"/>
  <c r="AT3611" i="9"/>
  <c r="BB3610" i="9"/>
  <c r="BA3610" i="9"/>
  <c r="AV3610" i="9"/>
  <c r="AU3610" i="9"/>
  <c r="AT3610" i="9"/>
  <c r="BB3609" i="9"/>
  <c r="BA3609" i="9"/>
  <c r="AV3609" i="9"/>
  <c r="AU3609" i="9"/>
  <c r="AT3609" i="9"/>
  <c r="BB3608" i="9"/>
  <c r="BA3608" i="9"/>
  <c r="AV3608" i="9"/>
  <c r="AU3608" i="9"/>
  <c r="AT3608" i="9"/>
  <c r="BB3607" i="9"/>
  <c r="BA3607" i="9"/>
  <c r="AV3607" i="9"/>
  <c r="AU3607" i="9"/>
  <c r="AT3607" i="9"/>
  <c r="BB3606" i="9"/>
  <c r="BA3606" i="9"/>
  <c r="AV3606" i="9"/>
  <c r="AU3606" i="9"/>
  <c r="AT3606" i="9"/>
  <c r="BB3605" i="9"/>
  <c r="BA3605" i="9"/>
  <c r="AV3605" i="9"/>
  <c r="AU3605" i="9"/>
  <c r="AT3605" i="9"/>
  <c r="BB3604" i="9"/>
  <c r="BA3604" i="9"/>
  <c r="AV3604" i="9"/>
  <c r="AU3604" i="9"/>
  <c r="AT3604" i="9"/>
  <c r="BB3603" i="9"/>
  <c r="BA3603" i="9"/>
  <c r="AV3603" i="9"/>
  <c r="AU3603" i="9"/>
  <c r="AT3603" i="9"/>
  <c r="BB3602" i="9"/>
  <c r="BA3602" i="9"/>
  <c r="AV3602" i="9"/>
  <c r="AU3602" i="9"/>
  <c r="AT3602" i="9"/>
  <c r="BB3601" i="9"/>
  <c r="BA3601" i="9"/>
  <c r="AV3601" i="9"/>
  <c r="AU3601" i="9"/>
  <c r="AT3601" i="9"/>
  <c r="BB3600" i="9"/>
  <c r="BA3600" i="9"/>
  <c r="AV3600" i="9"/>
  <c r="AU3600" i="9"/>
  <c r="AT3600" i="9"/>
  <c r="BB3599" i="9"/>
  <c r="BA3599" i="9"/>
  <c r="AV3599" i="9"/>
  <c r="AU3599" i="9"/>
  <c r="AT3599" i="9"/>
  <c r="BB3598" i="9"/>
  <c r="BA3598" i="9"/>
  <c r="AV3598" i="9"/>
  <c r="AU3598" i="9"/>
  <c r="AT3598" i="9"/>
  <c r="BB3597" i="9"/>
  <c r="BA3597" i="9"/>
  <c r="AV3597" i="9"/>
  <c r="AU3597" i="9"/>
  <c r="AT3597" i="9"/>
  <c r="BB3596" i="9"/>
  <c r="BA3596" i="9"/>
  <c r="AV3596" i="9"/>
  <c r="AU3596" i="9"/>
  <c r="AT3596" i="9"/>
  <c r="BB3595" i="9"/>
  <c r="BA3595" i="9"/>
  <c r="AV3595" i="9"/>
  <c r="AU3595" i="9"/>
  <c r="AT3595" i="9"/>
  <c r="BB3594" i="9"/>
  <c r="BA3594" i="9"/>
  <c r="AV3594" i="9"/>
  <c r="AU3594" i="9"/>
  <c r="AT3594" i="9"/>
  <c r="BB3593" i="9"/>
  <c r="BA3593" i="9"/>
  <c r="AV3593" i="9"/>
  <c r="AU3593" i="9"/>
  <c r="AT3593" i="9"/>
  <c r="BB3592" i="9"/>
  <c r="BA3592" i="9"/>
  <c r="AV3592" i="9"/>
  <c r="AU3592" i="9"/>
  <c r="AT3592" i="9"/>
  <c r="BB3591" i="9"/>
  <c r="BA3591" i="9"/>
  <c r="AV3591" i="9"/>
  <c r="AU3591" i="9"/>
  <c r="AT3591" i="9"/>
  <c r="BB3590" i="9"/>
  <c r="BA3590" i="9"/>
  <c r="AV3590" i="9"/>
  <c r="AU3590" i="9"/>
  <c r="AT3590" i="9"/>
  <c r="BB3589" i="9"/>
  <c r="BA3589" i="9"/>
  <c r="AV3589" i="9"/>
  <c r="AU3589" i="9"/>
  <c r="AT3589" i="9"/>
  <c r="BB3588" i="9"/>
  <c r="BA3588" i="9"/>
  <c r="AV3588" i="9"/>
  <c r="AU3588" i="9"/>
  <c r="AT3588" i="9"/>
  <c r="BB3587" i="9"/>
  <c r="BA3587" i="9"/>
  <c r="AV3587" i="9"/>
  <c r="AU3587" i="9"/>
  <c r="AT3587" i="9"/>
  <c r="BB3586" i="9"/>
  <c r="BA3586" i="9"/>
  <c r="AV3586" i="9"/>
  <c r="AU3586" i="9"/>
  <c r="AT3586" i="9"/>
  <c r="BB3585" i="9"/>
  <c r="BA3585" i="9"/>
  <c r="AV3585" i="9"/>
  <c r="AU3585" i="9"/>
  <c r="AT3585" i="9"/>
  <c r="BB3584" i="9"/>
  <c r="BA3584" i="9"/>
  <c r="AV3584" i="9"/>
  <c r="AU3584" i="9"/>
  <c r="AT3584" i="9"/>
  <c r="BB3583" i="9"/>
  <c r="BA3583" i="9"/>
  <c r="AV3583" i="9"/>
  <c r="AU3583" i="9"/>
  <c r="AT3583" i="9"/>
  <c r="BB3582" i="9"/>
  <c r="BA3582" i="9"/>
  <c r="AV3582" i="9"/>
  <c r="AU3582" i="9"/>
  <c r="AT3582" i="9"/>
  <c r="BB3581" i="9"/>
  <c r="BA3581" i="9"/>
  <c r="AV3581" i="9"/>
  <c r="AU3581" i="9"/>
  <c r="AT3581" i="9"/>
  <c r="BB3580" i="9"/>
  <c r="BA3580" i="9"/>
  <c r="AV3580" i="9"/>
  <c r="AU3580" i="9"/>
  <c r="AT3580" i="9"/>
  <c r="BB3579" i="9"/>
  <c r="BA3579" i="9"/>
  <c r="AV3579" i="9"/>
  <c r="AU3579" i="9"/>
  <c r="AT3579" i="9"/>
  <c r="BB3578" i="9"/>
  <c r="BA3578" i="9"/>
  <c r="AV3578" i="9"/>
  <c r="AU3578" i="9"/>
  <c r="AT3578" i="9"/>
  <c r="BB3577" i="9"/>
  <c r="BA3577" i="9"/>
  <c r="AV3577" i="9"/>
  <c r="AU3577" i="9"/>
  <c r="AT3577" i="9"/>
  <c r="BB3576" i="9"/>
  <c r="BA3576" i="9"/>
  <c r="AV3576" i="9"/>
  <c r="AU3576" i="9"/>
  <c r="AT3576" i="9"/>
  <c r="BB3575" i="9"/>
  <c r="BA3575" i="9"/>
  <c r="AV3575" i="9"/>
  <c r="AU3575" i="9"/>
  <c r="AT3575" i="9"/>
  <c r="BB3574" i="9"/>
  <c r="BA3574" i="9"/>
  <c r="AV3574" i="9"/>
  <c r="AU3574" i="9"/>
  <c r="AT3574" i="9"/>
  <c r="BB3573" i="9"/>
  <c r="BA3573" i="9"/>
  <c r="AV3573" i="9"/>
  <c r="AU3573" i="9"/>
  <c r="AT3573" i="9"/>
  <c r="BB3572" i="9"/>
  <c r="BA3572" i="9"/>
  <c r="AV3572" i="9"/>
  <c r="AU3572" i="9"/>
  <c r="AT3572" i="9"/>
  <c r="BB3571" i="9"/>
  <c r="BA3571" i="9"/>
  <c r="AV3571" i="9"/>
  <c r="AU3571" i="9"/>
  <c r="AT3571" i="9"/>
  <c r="BB3570" i="9"/>
  <c r="BA3570" i="9"/>
  <c r="AV3570" i="9"/>
  <c r="AU3570" i="9"/>
  <c r="AT3570" i="9"/>
  <c r="BB3569" i="9"/>
  <c r="BA3569" i="9"/>
  <c r="AV3569" i="9"/>
  <c r="AU3569" i="9"/>
  <c r="AT3569" i="9"/>
  <c r="BB3568" i="9"/>
  <c r="BA3568" i="9"/>
  <c r="AV3568" i="9"/>
  <c r="AU3568" i="9"/>
  <c r="AT3568" i="9"/>
  <c r="BB3567" i="9"/>
  <c r="BA3567" i="9"/>
  <c r="AV3567" i="9"/>
  <c r="AU3567" i="9"/>
  <c r="AT3567" i="9"/>
  <c r="BB3566" i="9"/>
  <c r="BA3566" i="9"/>
  <c r="AV3566" i="9"/>
  <c r="AU3566" i="9"/>
  <c r="AT3566" i="9"/>
  <c r="BB3565" i="9"/>
  <c r="BA3565" i="9"/>
  <c r="AV3565" i="9"/>
  <c r="AU3565" i="9"/>
  <c r="AT3565" i="9"/>
  <c r="BB3564" i="9"/>
  <c r="BA3564" i="9"/>
  <c r="AV3564" i="9"/>
  <c r="AU3564" i="9"/>
  <c r="AT3564" i="9"/>
  <c r="BB3563" i="9"/>
  <c r="BA3563" i="9"/>
  <c r="AV3563" i="9"/>
  <c r="AU3563" i="9"/>
  <c r="AT3563" i="9"/>
  <c r="BB3562" i="9"/>
  <c r="BA3562" i="9"/>
  <c r="AV3562" i="9"/>
  <c r="AU3562" i="9"/>
  <c r="AT3562" i="9"/>
  <c r="BB3561" i="9"/>
  <c r="BA3561" i="9"/>
  <c r="AV3561" i="9"/>
  <c r="AU3561" i="9"/>
  <c r="AT3561" i="9"/>
  <c r="BB3560" i="9"/>
  <c r="BA3560" i="9"/>
  <c r="AV3560" i="9"/>
  <c r="AU3560" i="9"/>
  <c r="AT3560" i="9"/>
  <c r="BB3559" i="9"/>
  <c r="BA3559" i="9"/>
  <c r="AV3559" i="9"/>
  <c r="AU3559" i="9"/>
  <c r="AT3559" i="9"/>
  <c r="BB3558" i="9"/>
  <c r="BA3558" i="9"/>
  <c r="AV3558" i="9"/>
  <c r="AU3558" i="9"/>
  <c r="AT3558" i="9"/>
  <c r="BB3557" i="9"/>
  <c r="BA3557" i="9"/>
  <c r="AV3557" i="9"/>
  <c r="AU3557" i="9"/>
  <c r="AT3557" i="9"/>
  <c r="BB3556" i="9"/>
  <c r="BA3556" i="9"/>
  <c r="AV3556" i="9"/>
  <c r="AU3556" i="9"/>
  <c r="AT3556" i="9"/>
  <c r="BB3555" i="9"/>
  <c r="BA3555" i="9"/>
  <c r="AV3555" i="9"/>
  <c r="AU3555" i="9"/>
  <c r="AT3555" i="9"/>
  <c r="BB3554" i="9"/>
  <c r="BA3554" i="9"/>
  <c r="AV3554" i="9"/>
  <c r="AU3554" i="9"/>
  <c r="AT3554" i="9"/>
  <c r="BB3553" i="9"/>
  <c r="BA3553" i="9"/>
  <c r="AV3553" i="9"/>
  <c r="AU3553" i="9"/>
  <c r="AT3553" i="9"/>
  <c r="BB3552" i="9"/>
  <c r="BA3552" i="9"/>
  <c r="AV3552" i="9"/>
  <c r="AU3552" i="9"/>
  <c r="AT3552" i="9"/>
  <c r="BB3551" i="9"/>
  <c r="BA3551" i="9"/>
  <c r="AV3551" i="9"/>
  <c r="AU3551" i="9"/>
  <c r="AT3551" i="9"/>
  <c r="BB3550" i="9"/>
  <c r="BA3550" i="9"/>
  <c r="AV3550" i="9"/>
  <c r="AU3550" i="9"/>
  <c r="AT3550" i="9"/>
  <c r="BB3549" i="9"/>
  <c r="BA3549" i="9"/>
  <c r="AV3549" i="9"/>
  <c r="AU3549" i="9"/>
  <c r="AT3549" i="9"/>
  <c r="BB3548" i="9"/>
  <c r="BA3548" i="9"/>
  <c r="AV3548" i="9"/>
  <c r="AU3548" i="9"/>
  <c r="AT3548" i="9"/>
  <c r="BB3547" i="9"/>
  <c r="BA3547" i="9"/>
  <c r="AV3547" i="9"/>
  <c r="AU3547" i="9"/>
  <c r="AT3547" i="9"/>
  <c r="BB3546" i="9"/>
  <c r="BA3546" i="9"/>
  <c r="AV3546" i="9"/>
  <c r="AU3546" i="9"/>
  <c r="AT3546" i="9"/>
  <c r="BB3545" i="9"/>
  <c r="BA3545" i="9"/>
  <c r="AV3545" i="9"/>
  <c r="AU3545" i="9"/>
  <c r="AT3545" i="9"/>
  <c r="BB3544" i="9"/>
  <c r="BA3544" i="9"/>
  <c r="AV3544" i="9"/>
  <c r="AU3544" i="9"/>
  <c r="AT3544" i="9"/>
  <c r="BB3543" i="9"/>
  <c r="BA3543" i="9"/>
  <c r="AV3543" i="9"/>
  <c r="AU3543" i="9"/>
  <c r="AT3543" i="9"/>
  <c r="BB3542" i="9"/>
  <c r="BA3542" i="9"/>
  <c r="AV3542" i="9"/>
  <c r="AU3542" i="9"/>
  <c r="AT3542" i="9"/>
  <c r="BB3541" i="9"/>
  <c r="BA3541" i="9"/>
  <c r="AV3541" i="9"/>
  <c r="AU3541" i="9"/>
  <c r="AT3541" i="9"/>
  <c r="BB3540" i="9"/>
  <c r="BA3540" i="9"/>
  <c r="AV3540" i="9"/>
  <c r="AU3540" i="9"/>
  <c r="AT3540" i="9"/>
  <c r="BB3539" i="9"/>
  <c r="BA3539" i="9"/>
  <c r="AV3539" i="9"/>
  <c r="AU3539" i="9"/>
  <c r="AT3539" i="9"/>
  <c r="BB3538" i="9"/>
  <c r="BA3538" i="9"/>
  <c r="AV3538" i="9"/>
  <c r="AU3538" i="9"/>
  <c r="AT3538" i="9"/>
  <c r="BB3537" i="9"/>
  <c r="BA3537" i="9"/>
  <c r="AV3537" i="9"/>
  <c r="AU3537" i="9"/>
  <c r="AT3537" i="9"/>
  <c r="BB3536" i="9"/>
  <c r="BA3536" i="9"/>
  <c r="AV3536" i="9"/>
  <c r="AU3536" i="9"/>
  <c r="AT3536" i="9"/>
  <c r="BB3535" i="9"/>
  <c r="BA3535" i="9"/>
  <c r="AV3535" i="9"/>
  <c r="AU3535" i="9"/>
  <c r="AT3535" i="9"/>
  <c r="BB3534" i="9"/>
  <c r="BA3534" i="9"/>
  <c r="AV3534" i="9"/>
  <c r="AU3534" i="9"/>
  <c r="AT3534" i="9"/>
  <c r="BB3533" i="9"/>
  <c r="BA3533" i="9"/>
  <c r="AV3533" i="9"/>
  <c r="AU3533" i="9"/>
  <c r="AT3533" i="9"/>
  <c r="BB3532" i="9"/>
  <c r="BA3532" i="9"/>
  <c r="AV3532" i="9"/>
  <c r="AU3532" i="9"/>
  <c r="AT3532" i="9"/>
  <c r="BB3531" i="9"/>
  <c r="BA3531" i="9"/>
  <c r="AV3531" i="9"/>
  <c r="AU3531" i="9"/>
  <c r="AT3531" i="9"/>
  <c r="BB3530" i="9"/>
  <c r="BA3530" i="9"/>
  <c r="AV3530" i="9"/>
  <c r="AU3530" i="9"/>
  <c r="AT3530" i="9"/>
  <c r="BB3529" i="9"/>
  <c r="BA3529" i="9"/>
  <c r="AV3529" i="9"/>
  <c r="AU3529" i="9"/>
  <c r="AT3529" i="9"/>
  <c r="BB3528" i="9"/>
  <c r="BA3528" i="9"/>
  <c r="AV3528" i="9"/>
  <c r="AU3528" i="9"/>
  <c r="AT3528" i="9"/>
  <c r="BB3527" i="9"/>
  <c r="BA3527" i="9"/>
  <c r="AV3527" i="9"/>
  <c r="AU3527" i="9"/>
  <c r="AT3527" i="9"/>
  <c r="BB3526" i="9"/>
  <c r="BA3526" i="9"/>
  <c r="AV3526" i="9"/>
  <c r="AU3526" i="9"/>
  <c r="AT3526" i="9"/>
  <c r="BB3525" i="9"/>
  <c r="BA3525" i="9"/>
  <c r="AV3525" i="9"/>
  <c r="AU3525" i="9"/>
  <c r="AT3525" i="9"/>
  <c r="BB3524" i="9"/>
  <c r="BA3524" i="9"/>
  <c r="AV3524" i="9"/>
  <c r="AU3524" i="9"/>
  <c r="AT3524" i="9"/>
  <c r="BB3523" i="9"/>
  <c r="BA3523" i="9"/>
  <c r="AV3523" i="9"/>
  <c r="AU3523" i="9"/>
  <c r="AT3523" i="9"/>
  <c r="BB3522" i="9"/>
  <c r="BA3522" i="9"/>
  <c r="AV3522" i="9"/>
  <c r="AU3522" i="9"/>
  <c r="AT3522" i="9"/>
  <c r="BB3521" i="9"/>
  <c r="BA3521" i="9"/>
  <c r="AV3521" i="9"/>
  <c r="AU3521" i="9"/>
  <c r="AT3521" i="9"/>
  <c r="BB3520" i="9"/>
  <c r="BA3520" i="9"/>
  <c r="AV3520" i="9"/>
  <c r="AU3520" i="9"/>
  <c r="AT3520" i="9"/>
  <c r="BB3519" i="9"/>
  <c r="BA3519" i="9"/>
  <c r="AV3519" i="9"/>
  <c r="AU3519" i="9"/>
  <c r="AT3519" i="9"/>
  <c r="BB3518" i="9"/>
  <c r="BA3518" i="9"/>
  <c r="AV3518" i="9"/>
  <c r="AU3518" i="9"/>
  <c r="AT3518" i="9"/>
  <c r="BB3517" i="9"/>
  <c r="BA3517" i="9"/>
  <c r="AV3517" i="9"/>
  <c r="AU3517" i="9"/>
  <c r="AT3517" i="9"/>
  <c r="BB3516" i="9"/>
  <c r="BA3516" i="9"/>
  <c r="AV3516" i="9"/>
  <c r="AU3516" i="9"/>
  <c r="AT3516" i="9"/>
  <c r="BB3515" i="9"/>
  <c r="BA3515" i="9"/>
  <c r="AV3515" i="9"/>
  <c r="AU3515" i="9"/>
  <c r="AT3515" i="9"/>
  <c r="BB3514" i="9"/>
  <c r="BA3514" i="9"/>
  <c r="AV3514" i="9"/>
  <c r="AU3514" i="9"/>
  <c r="AT3514" i="9"/>
  <c r="BB3513" i="9"/>
  <c r="BA3513" i="9"/>
  <c r="AV3513" i="9"/>
  <c r="AU3513" i="9"/>
  <c r="AT3513" i="9"/>
  <c r="BB3512" i="9"/>
  <c r="BA3512" i="9"/>
  <c r="AV3512" i="9"/>
  <c r="AU3512" i="9"/>
  <c r="AT3512" i="9"/>
  <c r="BB3511" i="9"/>
  <c r="BA3511" i="9"/>
  <c r="AV3511" i="9"/>
  <c r="AU3511" i="9"/>
  <c r="AT3511" i="9"/>
  <c r="BB3510" i="9"/>
  <c r="BA3510" i="9"/>
  <c r="AV3510" i="9"/>
  <c r="AU3510" i="9"/>
  <c r="AT3510" i="9"/>
  <c r="BB3509" i="9"/>
  <c r="BA3509" i="9"/>
  <c r="AV3509" i="9"/>
  <c r="AU3509" i="9"/>
  <c r="AT3509" i="9"/>
  <c r="BB3508" i="9"/>
  <c r="BA3508" i="9"/>
  <c r="AV3508" i="9"/>
  <c r="AU3508" i="9"/>
  <c r="AT3508" i="9"/>
  <c r="BB3507" i="9"/>
  <c r="BA3507" i="9"/>
  <c r="AV3507" i="9"/>
  <c r="AU3507" i="9"/>
  <c r="AT3507" i="9"/>
  <c r="BB3506" i="9"/>
  <c r="BA3506" i="9"/>
  <c r="AV3506" i="9"/>
  <c r="AU3506" i="9"/>
  <c r="AT3506" i="9"/>
  <c r="BB3505" i="9"/>
  <c r="BA3505" i="9"/>
  <c r="AV3505" i="9"/>
  <c r="AU3505" i="9"/>
  <c r="AT3505" i="9"/>
  <c r="BB3504" i="9"/>
  <c r="BA3504" i="9"/>
  <c r="AV3504" i="9"/>
  <c r="AU3504" i="9"/>
  <c r="AT3504" i="9"/>
  <c r="BB3503" i="9"/>
  <c r="BA3503" i="9"/>
  <c r="AV3503" i="9"/>
  <c r="AU3503" i="9"/>
  <c r="AT3503" i="9"/>
  <c r="BB3502" i="9"/>
  <c r="BA3502" i="9"/>
  <c r="AV3502" i="9"/>
  <c r="AU3502" i="9"/>
  <c r="AT3502" i="9"/>
  <c r="BB3501" i="9"/>
  <c r="BA3501" i="9"/>
  <c r="AV3501" i="9"/>
  <c r="AU3501" i="9"/>
  <c r="AT3501" i="9"/>
  <c r="BB3500" i="9"/>
  <c r="BA3500" i="9"/>
  <c r="AV3500" i="9"/>
  <c r="AU3500" i="9"/>
  <c r="AT3500" i="9"/>
  <c r="BB3499" i="9"/>
  <c r="BA3499" i="9"/>
  <c r="AV3499" i="9"/>
  <c r="AU3499" i="9"/>
  <c r="AT3499" i="9"/>
  <c r="BB3498" i="9"/>
  <c r="BA3498" i="9"/>
  <c r="AV3498" i="9"/>
  <c r="AU3498" i="9"/>
  <c r="AT3498" i="9"/>
  <c r="BB3497" i="9"/>
  <c r="BA3497" i="9"/>
  <c r="AV3497" i="9"/>
  <c r="AU3497" i="9"/>
  <c r="AT3497" i="9"/>
  <c r="BB3496" i="9"/>
  <c r="BA3496" i="9"/>
  <c r="AV3496" i="9"/>
  <c r="AU3496" i="9"/>
  <c r="AT3496" i="9"/>
  <c r="BB3495" i="9"/>
  <c r="BA3495" i="9"/>
  <c r="AV3495" i="9"/>
  <c r="AU3495" i="9"/>
  <c r="AT3495" i="9"/>
  <c r="BB3494" i="9"/>
  <c r="BA3494" i="9"/>
  <c r="AV3494" i="9"/>
  <c r="AU3494" i="9"/>
  <c r="AT3494" i="9"/>
  <c r="BB3493" i="9"/>
  <c r="BA3493" i="9"/>
  <c r="AV3493" i="9"/>
  <c r="AU3493" i="9"/>
  <c r="AT3493" i="9"/>
  <c r="BB3492" i="9"/>
  <c r="BA3492" i="9"/>
  <c r="AV3492" i="9"/>
  <c r="AU3492" i="9"/>
  <c r="AT3492" i="9"/>
  <c r="BB3491" i="9"/>
  <c r="BA3491" i="9"/>
  <c r="AV3491" i="9"/>
  <c r="AU3491" i="9"/>
  <c r="AT3491" i="9"/>
  <c r="BB3490" i="9"/>
  <c r="BA3490" i="9"/>
  <c r="AV3490" i="9"/>
  <c r="AU3490" i="9"/>
  <c r="AT3490" i="9"/>
  <c r="BB3489" i="9"/>
  <c r="BA3489" i="9"/>
  <c r="AV3489" i="9"/>
  <c r="AU3489" i="9"/>
  <c r="AT3489" i="9"/>
  <c r="BB3488" i="9"/>
  <c r="BA3488" i="9"/>
  <c r="AV3488" i="9"/>
  <c r="AU3488" i="9"/>
  <c r="AT3488" i="9"/>
  <c r="BB3487" i="9"/>
  <c r="BA3487" i="9"/>
  <c r="AV3487" i="9"/>
  <c r="AU3487" i="9"/>
  <c r="AT3487" i="9"/>
  <c r="BB3486" i="9"/>
  <c r="BA3486" i="9"/>
  <c r="AV3486" i="9"/>
  <c r="AU3486" i="9"/>
  <c r="AT3486" i="9"/>
  <c r="BB3485" i="9"/>
  <c r="BA3485" i="9"/>
  <c r="AV3485" i="9"/>
  <c r="AU3485" i="9"/>
  <c r="AT3485" i="9"/>
  <c r="BB3484" i="9"/>
  <c r="BA3484" i="9"/>
  <c r="AV3484" i="9"/>
  <c r="AU3484" i="9"/>
  <c r="AT3484" i="9"/>
  <c r="BB3483" i="9"/>
  <c r="BA3483" i="9"/>
  <c r="AV3483" i="9"/>
  <c r="AU3483" i="9"/>
  <c r="AT3483" i="9"/>
  <c r="BB3482" i="9"/>
  <c r="BA3482" i="9"/>
  <c r="AV3482" i="9"/>
  <c r="AU3482" i="9"/>
  <c r="AT3482" i="9"/>
  <c r="BB3481" i="9"/>
  <c r="BA3481" i="9"/>
  <c r="AV3481" i="9"/>
  <c r="AU3481" i="9"/>
  <c r="AT3481" i="9"/>
  <c r="BB3480" i="9"/>
  <c r="BA3480" i="9"/>
  <c r="AV3480" i="9"/>
  <c r="AU3480" i="9"/>
  <c r="AT3480" i="9"/>
  <c r="BB3479" i="9"/>
  <c r="BA3479" i="9"/>
  <c r="AV3479" i="9"/>
  <c r="AU3479" i="9"/>
  <c r="AT3479" i="9"/>
  <c r="BB3478" i="9"/>
  <c r="BA3478" i="9"/>
  <c r="AV3478" i="9"/>
  <c r="AU3478" i="9"/>
  <c r="AT3478" i="9"/>
  <c r="BB3477" i="9"/>
  <c r="BA3477" i="9"/>
  <c r="AV3477" i="9"/>
  <c r="AU3477" i="9"/>
  <c r="AT3477" i="9"/>
  <c r="BB3476" i="9"/>
  <c r="BA3476" i="9"/>
  <c r="AV3476" i="9"/>
  <c r="AU3476" i="9"/>
  <c r="AT3476" i="9"/>
  <c r="BB3475" i="9"/>
  <c r="BA3475" i="9"/>
  <c r="AV3475" i="9"/>
  <c r="AU3475" i="9"/>
  <c r="AT3475" i="9"/>
  <c r="BB3474" i="9"/>
  <c r="BA3474" i="9"/>
  <c r="AV3474" i="9"/>
  <c r="AU3474" i="9"/>
  <c r="AT3474" i="9"/>
  <c r="BB3473" i="9"/>
  <c r="BA3473" i="9"/>
  <c r="AV3473" i="9"/>
  <c r="AU3473" i="9"/>
  <c r="AT3473" i="9"/>
  <c r="BB3472" i="9"/>
  <c r="BA3472" i="9"/>
  <c r="AV3472" i="9"/>
  <c r="AU3472" i="9"/>
  <c r="AT3472" i="9"/>
  <c r="BB3471" i="9"/>
  <c r="BA3471" i="9"/>
  <c r="AV3471" i="9"/>
  <c r="AU3471" i="9"/>
  <c r="AT3471" i="9"/>
  <c r="BB3470" i="9"/>
  <c r="BA3470" i="9"/>
  <c r="AV3470" i="9"/>
  <c r="AU3470" i="9"/>
  <c r="AT3470" i="9"/>
  <c r="BB3469" i="9"/>
  <c r="BA3469" i="9"/>
  <c r="AV3469" i="9"/>
  <c r="AU3469" i="9"/>
  <c r="AT3469" i="9"/>
  <c r="BB3468" i="9"/>
  <c r="BA3468" i="9"/>
  <c r="AV3468" i="9"/>
  <c r="AU3468" i="9"/>
  <c r="AT3468" i="9"/>
  <c r="BB3467" i="9"/>
  <c r="BA3467" i="9"/>
  <c r="AV3467" i="9"/>
  <c r="AU3467" i="9"/>
  <c r="AT3467" i="9"/>
  <c r="BB3466" i="9"/>
  <c r="BA3466" i="9"/>
  <c r="AV3466" i="9"/>
  <c r="AU3466" i="9"/>
  <c r="AT3466" i="9"/>
  <c r="BB3465" i="9"/>
  <c r="BA3465" i="9"/>
  <c r="AV3465" i="9"/>
  <c r="AU3465" i="9"/>
  <c r="AT3465" i="9"/>
  <c r="BB3464" i="9"/>
  <c r="BA3464" i="9"/>
  <c r="AV3464" i="9"/>
  <c r="AU3464" i="9"/>
  <c r="AT3464" i="9"/>
  <c r="BB3463" i="9"/>
  <c r="BA3463" i="9"/>
  <c r="AV3463" i="9"/>
  <c r="AU3463" i="9"/>
  <c r="AT3463" i="9"/>
  <c r="BB3462" i="9"/>
  <c r="BA3462" i="9"/>
  <c r="AV3462" i="9"/>
  <c r="AU3462" i="9"/>
  <c r="AT3462" i="9"/>
  <c r="BB3461" i="9"/>
  <c r="BA3461" i="9"/>
  <c r="AV3461" i="9"/>
  <c r="AU3461" i="9"/>
  <c r="AT3461" i="9"/>
  <c r="BB3460" i="9"/>
  <c r="BA3460" i="9"/>
  <c r="AV3460" i="9"/>
  <c r="AU3460" i="9"/>
  <c r="AT3460" i="9"/>
  <c r="BB3459" i="9"/>
  <c r="BA3459" i="9"/>
  <c r="AV3459" i="9"/>
  <c r="AU3459" i="9"/>
  <c r="AT3459" i="9"/>
  <c r="BB3458" i="9"/>
  <c r="BA3458" i="9"/>
  <c r="AV3458" i="9"/>
  <c r="AU3458" i="9"/>
  <c r="AT3458" i="9"/>
  <c r="BB3457" i="9"/>
  <c r="BA3457" i="9"/>
  <c r="AV3457" i="9"/>
  <c r="AU3457" i="9"/>
  <c r="AT3457" i="9"/>
  <c r="BB3456" i="9"/>
  <c r="BA3456" i="9"/>
  <c r="AV3456" i="9"/>
  <c r="AU3456" i="9"/>
  <c r="AT3456" i="9"/>
  <c r="BB3455" i="9"/>
  <c r="BA3455" i="9"/>
  <c r="AV3455" i="9"/>
  <c r="AU3455" i="9"/>
  <c r="AT3455" i="9"/>
  <c r="BB3454" i="9"/>
  <c r="BA3454" i="9"/>
  <c r="AV3454" i="9"/>
  <c r="AU3454" i="9"/>
  <c r="AT3454" i="9"/>
  <c r="BB3453" i="9"/>
  <c r="BA3453" i="9"/>
  <c r="AV3453" i="9"/>
  <c r="AU3453" i="9"/>
  <c r="AT3453" i="9"/>
  <c r="BB3452" i="9"/>
  <c r="BA3452" i="9"/>
  <c r="AV3452" i="9"/>
  <c r="AU3452" i="9"/>
  <c r="AT3452" i="9"/>
  <c r="BB3451" i="9"/>
  <c r="BA3451" i="9"/>
  <c r="AV3451" i="9"/>
  <c r="AU3451" i="9"/>
  <c r="AT3451" i="9"/>
  <c r="BB3450" i="9"/>
  <c r="BA3450" i="9"/>
  <c r="AV3450" i="9"/>
  <c r="AU3450" i="9"/>
  <c r="AT3450" i="9"/>
  <c r="BB3449" i="9"/>
  <c r="BA3449" i="9"/>
  <c r="AV3449" i="9"/>
  <c r="AU3449" i="9"/>
  <c r="AT3449" i="9"/>
  <c r="BB3448" i="9"/>
  <c r="BA3448" i="9"/>
  <c r="AV3448" i="9"/>
  <c r="AU3448" i="9"/>
  <c r="AT3448" i="9"/>
  <c r="BB3447" i="9"/>
  <c r="BA3447" i="9"/>
  <c r="AV3447" i="9"/>
  <c r="AU3447" i="9"/>
  <c r="AT3447" i="9"/>
  <c r="BB3446" i="9"/>
  <c r="BA3446" i="9"/>
  <c r="AV3446" i="9"/>
  <c r="AU3446" i="9"/>
  <c r="AT3446" i="9"/>
  <c r="BB3445" i="9"/>
  <c r="BA3445" i="9"/>
  <c r="AV3445" i="9"/>
  <c r="AU3445" i="9"/>
  <c r="AT3445" i="9"/>
  <c r="BB3444" i="9"/>
  <c r="BA3444" i="9"/>
  <c r="AV3444" i="9"/>
  <c r="AU3444" i="9"/>
  <c r="AT3444" i="9"/>
  <c r="BB3443" i="9"/>
  <c r="BA3443" i="9"/>
  <c r="AV3443" i="9"/>
  <c r="AU3443" i="9"/>
  <c r="AT3443" i="9"/>
  <c r="BB3442" i="9"/>
  <c r="BA3442" i="9"/>
  <c r="AV3442" i="9"/>
  <c r="AU3442" i="9"/>
  <c r="AT3442" i="9"/>
  <c r="BB3441" i="9"/>
  <c r="BA3441" i="9"/>
  <c r="AV3441" i="9"/>
  <c r="AU3441" i="9"/>
  <c r="AT3441" i="9"/>
  <c r="BB3440" i="9"/>
  <c r="BA3440" i="9"/>
  <c r="AV3440" i="9"/>
  <c r="AU3440" i="9"/>
  <c r="AT3440" i="9"/>
  <c r="BB3439" i="9"/>
  <c r="BA3439" i="9"/>
  <c r="AV3439" i="9"/>
  <c r="AU3439" i="9"/>
  <c r="AT3439" i="9"/>
  <c r="BB3438" i="9"/>
  <c r="BA3438" i="9"/>
  <c r="AV3438" i="9"/>
  <c r="AU3438" i="9"/>
  <c r="AT3438" i="9"/>
  <c r="BB3437" i="9"/>
  <c r="BA3437" i="9"/>
  <c r="AV3437" i="9"/>
  <c r="AU3437" i="9"/>
  <c r="AT3437" i="9"/>
  <c r="BB3436" i="9"/>
  <c r="BA3436" i="9"/>
  <c r="AV3436" i="9"/>
  <c r="AU3436" i="9"/>
  <c r="AT3436" i="9"/>
  <c r="BB3435" i="9"/>
  <c r="BA3435" i="9"/>
  <c r="AV3435" i="9"/>
  <c r="AU3435" i="9"/>
  <c r="AT3435" i="9"/>
  <c r="BB3434" i="9"/>
  <c r="BA3434" i="9"/>
  <c r="AV3434" i="9"/>
  <c r="AU3434" i="9"/>
  <c r="AT3434" i="9"/>
  <c r="BB3433" i="9"/>
  <c r="BA3433" i="9"/>
  <c r="AV3433" i="9"/>
  <c r="AU3433" i="9"/>
  <c r="AT3433" i="9"/>
  <c r="BB3432" i="9"/>
  <c r="BA3432" i="9"/>
  <c r="AV3432" i="9"/>
  <c r="AU3432" i="9"/>
  <c r="AT3432" i="9"/>
  <c r="BB3431" i="9"/>
  <c r="BA3431" i="9"/>
  <c r="AV3431" i="9"/>
  <c r="AU3431" i="9"/>
  <c r="AT3431" i="9"/>
  <c r="BB3430" i="9"/>
  <c r="BA3430" i="9"/>
  <c r="AV3430" i="9"/>
  <c r="AU3430" i="9"/>
  <c r="AT3430" i="9"/>
  <c r="BB3429" i="9"/>
  <c r="BA3429" i="9"/>
  <c r="AV3429" i="9"/>
  <c r="AU3429" i="9"/>
  <c r="AT3429" i="9"/>
  <c r="BB3428" i="9"/>
  <c r="BA3428" i="9"/>
  <c r="AV3428" i="9"/>
  <c r="AU3428" i="9"/>
  <c r="AT3428" i="9"/>
  <c r="BB3427" i="9"/>
  <c r="BA3427" i="9"/>
  <c r="AV3427" i="9"/>
  <c r="AU3427" i="9"/>
  <c r="AT3427" i="9"/>
  <c r="BB3426" i="9"/>
  <c r="BA3426" i="9"/>
  <c r="AV3426" i="9"/>
  <c r="AU3426" i="9"/>
  <c r="AT3426" i="9"/>
  <c r="BB3425" i="9"/>
  <c r="BA3425" i="9"/>
  <c r="AV3425" i="9"/>
  <c r="AU3425" i="9"/>
  <c r="AT3425" i="9"/>
  <c r="BB3424" i="9"/>
  <c r="BA3424" i="9"/>
  <c r="AV3424" i="9"/>
  <c r="AU3424" i="9"/>
  <c r="AT3424" i="9"/>
  <c r="BB3423" i="9"/>
  <c r="BA3423" i="9"/>
  <c r="AV3423" i="9"/>
  <c r="AU3423" i="9"/>
  <c r="AT3423" i="9"/>
  <c r="BB3422" i="9"/>
  <c r="BA3422" i="9"/>
  <c r="AV3422" i="9"/>
  <c r="AU3422" i="9"/>
  <c r="AT3422" i="9"/>
  <c r="BB3421" i="9"/>
  <c r="BA3421" i="9"/>
  <c r="AV3421" i="9"/>
  <c r="AU3421" i="9"/>
  <c r="AT3421" i="9"/>
  <c r="BB3420" i="9"/>
  <c r="BA3420" i="9"/>
  <c r="AV3420" i="9"/>
  <c r="AU3420" i="9"/>
  <c r="AT3420" i="9"/>
  <c r="BB3419" i="9"/>
  <c r="BA3419" i="9"/>
  <c r="AV3419" i="9"/>
  <c r="AU3419" i="9"/>
  <c r="AT3419" i="9"/>
  <c r="BB3418" i="9"/>
  <c r="BA3418" i="9"/>
  <c r="AV3418" i="9"/>
  <c r="AU3418" i="9"/>
  <c r="AT3418" i="9"/>
  <c r="BB3417" i="9"/>
  <c r="BA3417" i="9"/>
  <c r="AV3417" i="9"/>
  <c r="AU3417" i="9"/>
  <c r="AT3417" i="9"/>
  <c r="BB3416" i="9"/>
  <c r="BA3416" i="9"/>
  <c r="AV3416" i="9"/>
  <c r="AU3416" i="9"/>
  <c r="AT3416" i="9"/>
  <c r="BB3415" i="9"/>
  <c r="BA3415" i="9"/>
  <c r="AV3415" i="9"/>
  <c r="AU3415" i="9"/>
  <c r="AT3415" i="9"/>
  <c r="BB3414" i="9"/>
  <c r="BA3414" i="9"/>
  <c r="AV3414" i="9"/>
  <c r="AU3414" i="9"/>
  <c r="AT3414" i="9"/>
  <c r="BB3413" i="9"/>
  <c r="BA3413" i="9"/>
  <c r="AV3413" i="9"/>
  <c r="AU3413" i="9"/>
  <c r="AT3413" i="9"/>
  <c r="BB3412" i="9"/>
  <c r="BA3412" i="9"/>
  <c r="AV3412" i="9"/>
  <c r="AU3412" i="9"/>
  <c r="AT3412" i="9"/>
  <c r="BB3411" i="9"/>
  <c r="BA3411" i="9"/>
  <c r="AV3411" i="9"/>
  <c r="AU3411" i="9"/>
  <c r="AT3411" i="9"/>
  <c r="BB3410" i="9"/>
  <c r="BA3410" i="9"/>
  <c r="AV3410" i="9"/>
  <c r="AU3410" i="9"/>
  <c r="AT3410" i="9"/>
  <c r="BB3409" i="9"/>
  <c r="BA3409" i="9"/>
  <c r="AV3409" i="9"/>
  <c r="AU3409" i="9"/>
  <c r="AT3409" i="9"/>
  <c r="BB3408" i="9"/>
  <c r="BA3408" i="9"/>
  <c r="AV3408" i="9"/>
  <c r="AU3408" i="9"/>
  <c r="AT3408" i="9"/>
  <c r="BB3407" i="9"/>
  <c r="BA3407" i="9"/>
  <c r="AV3407" i="9"/>
  <c r="AU3407" i="9"/>
  <c r="AT3407" i="9"/>
  <c r="BB3406" i="9"/>
  <c r="BA3406" i="9"/>
  <c r="AV3406" i="9"/>
  <c r="AU3406" i="9"/>
  <c r="AT3406" i="9"/>
  <c r="BB3405" i="9"/>
  <c r="BA3405" i="9"/>
  <c r="AV3405" i="9"/>
  <c r="AU3405" i="9"/>
  <c r="AT3405" i="9"/>
  <c r="BB3404" i="9"/>
  <c r="BA3404" i="9"/>
  <c r="AV3404" i="9"/>
  <c r="AU3404" i="9"/>
  <c r="AT3404" i="9"/>
  <c r="BB3403" i="9"/>
  <c r="BA3403" i="9"/>
  <c r="AV3403" i="9"/>
  <c r="AU3403" i="9"/>
  <c r="AT3403" i="9"/>
  <c r="BB3402" i="9"/>
  <c r="BA3402" i="9"/>
  <c r="AV3402" i="9"/>
  <c r="AU3402" i="9"/>
  <c r="AT3402" i="9"/>
  <c r="BB3401" i="9"/>
  <c r="BA3401" i="9"/>
  <c r="AV3401" i="9"/>
  <c r="AU3401" i="9"/>
  <c r="AT3401" i="9"/>
  <c r="BB3400" i="9"/>
  <c r="BA3400" i="9"/>
  <c r="AV3400" i="9"/>
  <c r="AU3400" i="9"/>
  <c r="AT3400" i="9"/>
  <c r="BB3399" i="9"/>
  <c r="BA3399" i="9"/>
  <c r="AV3399" i="9"/>
  <c r="AU3399" i="9"/>
  <c r="AT3399" i="9"/>
  <c r="BB3398" i="9"/>
  <c r="BA3398" i="9"/>
  <c r="AV3398" i="9"/>
  <c r="AU3398" i="9"/>
  <c r="AT3398" i="9"/>
  <c r="BB3397" i="9"/>
  <c r="BA3397" i="9"/>
  <c r="AV3397" i="9"/>
  <c r="AU3397" i="9"/>
  <c r="AT3397" i="9"/>
  <c r="BB3396" i="9"/>
  <c r="BA3396" i="9"/>
  <c r="AV3396" i="9"/>
  <c r="AU3396" i="9"/>
  <c r="AT3396" i="9"/>
  <c r="BB3395" i="9"/>
  <c r="BA3395" i="9"/>
  <c r="AV3395" i="9"/>
  <c r="AU3395" i="9"/>
  <c r="AT3395" i="9"/>
  <c r="BB3394" i="9"/>
  <c r="BA3394" i="9"/>
  <c r="AV3394" i="9"/>
  <c r="AU3394" i="9"/>
  <c r="AT3394" i="9"/>
  <c r="BB3393" i="9"/>
  <c r="BA3393" i="9"/>
  <c r="AV3393" i="9"/>
  <c r="AU3393" i="9"/>
  <c r="AT3393" i="9"/>
  <c r="BB3392" i="9"/>
  <c r="BA3392" i="9"/>
  <c r="AV3392" i="9"/>
  <c r="AU3392" i="9"/>
  <c r="AT3392" i="9"/>
  <c r="BB3391" i="9"/>
  <c r="BA3391" i="9"/>
  <c r="AV3391" i="9"/>
  <c r="AU3391" i="9"/>
  <c r="AT3391" i="9"/>
  <c r="BB3390" i="9"/>
  <c r="BA3390" i="9"/>
  <c r="AV3390" i="9"/>
  <c r="AU3390" i="9"/>
  <c r="AT3390" i="9"/>
  <c r="BB3389" i="9"/>
  <c r="BA3389" i="9"/>
  <c r="AV3389" i="9"/>
  <c r="AU3389" i="9"/>
  <c r="AT3389" i="9"/>
  <c r="BB3388" i="9"/>
  <c r="BA3388" i="9"/>
  <c r="AV3388" i="9"/>
  <c r="AU3388" i="9"/>
  <c r="AT3388" i="9"/>
  <c r="BB3387" i="9"/>
  <c r="BA3387" i="9"/>
  <c r="AV3387" i="9"/>
  <c r="AU3387" i="9"/>
  <c r="AT3387" i="9"/>
  <c r="BB3386" i="9"/>
  <c r="BA3386" i="9"/>
  <c r="AV3386" i="9"/>
  <c r="AU3386" i="9"/>
  <c r="AT3386" i="9"/>
  <c r="BB3385" i="9"/>
  <c r="BA3385" i="9"/>
  <c r="AV3385" i="9"/>
  <c r="AU3385" i="9"/>
  <c r="AT3385" i="9"/>
  <c r="BB3384" i="9"/>
  <c r="BA3384" i="9"/>
  <c r="AV3384" i="9"/>
  <c r="AU3384" i="9"/>
  <c r="AT3384" i="9"/>
  <c r="BB3383" i="9"/>
  <c r="BA3383" i="9"/>
  <c r="AV3383" i="9"/>
  <c r="AU3383" i="9"/>
  <c r="AT3383" i="9"/>
  <c r="BB3382" i="9"/>
  <c r="BA3382" i="9"/>
  <c r="AV3382" i="9"/>
  <c r="AU3382" i="9"/>
  <c r="AT3382" i="9"/>
  <c r="BB3381" i="9"/>
  <c r="BA3381" i="9"/>
  <c r="AV3381" i="9"/>
  <c r="AU3381" i="9"/>
  <c r="AT3381" i="9"/>
  <c r="BB3380" i="9"/>
  <c r="BA3380" i="9"/>
  <c r="AV3380" i="9"/>
  <c r="AU3380" i="9"/>
  <c r="AT3380" i="9"/>
  <c r="BB3379" i="9"/>
  <c r="BA3379" i="9"/>
  <c r="AV3379" i="9"/>
  <c r="AU3379" i="9"/>
  <c r="AT3379" i="9"/>
  <c r="BB3378" i="9"/>
  <c r="BA3378" i="9"/>
  <c r="AV3378" i="9"/>
  <c r="AU3378" i="9"/>
  <c r="AT3378" i="9"/>
  <c r="BB3377" i="9"/>
  <c r="BA3377" i="9"/>
  <c r="AV3377" i="9"/>
  <c r="AU3377" i="9"/>
  <c r="AT3377" i="9"/>
  <c r="BB3376" i="9"/>
  <c r="BA3376" i="9"/>
  <c r="AV3376" i="9"/>
  <c r="AU3376" i="9"/>
  <c r="AT3376" i="9"/>
  <c r="BB3375" i="9"/>
  <c r="BA3375" i="9"/>
  <c r="AV3375" i="9"/>
  <c r="AU3375" i="9"/>
  <c r="AT3375" i="9"/>
  <c r="BB3374" i="9"/>
  <c r="BA3374" i="9"/>
  <c r="AV3374" i="9"/>
  <c r="AU3374" i="9"/>
  <c r="AT3374" i="9"/>
  <c r="BB3373" i="9"/>
  <c r="BA3373" i="9"/>
  <c r="AV3373" i="9"/>
  <c r="AU3373" i="9"/>
  <c r="AT3373" i="9"/>
  <c r="BB3372" i="9"/>
  <c r="BA3372" i="9"/>
  <c r="AV3372" i="9"/>
  <c r="AU3372" i="9"/>
  <c r="AT3372" i="9"/>
  <c r="BB3371" i="9"/>
  <c r="BA3371" i="9"/>
  <c r="AV3371" i="9"/>
  <c r="AU3371" i="9"/>
  <c r="AT3371" i="9"/>
  <c r="BB3370" i="9"/>
  <c r="BA3370" i="9"/>
  <c r="AV3370" i="9"/>
  <c r="AU3370" i="9"/>
  <c r="AT3370" i="9"/>
  <c r="BB3369" i="9"/>
  <c r="BA3369" i="9"/>
  <c r="AV3369" i="9"/>
  <c r="AU3369" i="9"/>
  <c r="AT3369" i="9"/>
  <c r="BB3368" i="9"/>
  <c r="BA3368" i="9"/>
  <c r="AV3368" i="9"/>
  <c r="AU3368" i="9"/>
  <c r="AT3368" i="9"/>
  <c r="BB3367" i="9"/>
  <c r="BA3367" i="9"/>
  <c r="AV3367" i="9"/>
  <c r="AU3367" i="9"/>
  <c r="AT3367" i="9"/>
  <c r="BB3366" i="9"/>
  <c r="BA3366" i="9"/>
  <c r="AV3366" i="9"/>
  <c r="AU3366" i="9"/>
  <c r="AT3366" i="9"/>
  <c r="BB3365" i="9"/>
  <c r="BA3365" i="9"/>
  <c r="AV3365" i="9"/>
  <c r="AU3365" i="9"/>
  <c r="AT3365" i="9"/>
  <c r="BB3364" i="9"/>
  <c r="BA3364" i="9"/>
  <c r="AV3364" i="9"/>
  <c r="AU3364" i="9"/>
  <c r="AT3364" i="9"/>
  <c r="BB3363" i="9"/>
  <c r="BA3363" i="9"/>
  <c r="AV3363" i="9"/>
  <c r="AU3363" i="9"/>
  <c r="AT3363" i="9"/>
  <c r="BB3362" i="9"/>
  <c r="BA3362" i="9"/>
  <c r="AV3362" i="9"/>
  <c r="AU3362" i="9"/>
  <c r="AT3362" i="9"/>
  <c r="BB3361" i="9"/>
  <c r="BA3361" i="9"/>
  <c r="AV3361" i="9"/>
  <c r="AU3361" i="9"/>
  <c r="AT3361" i="9"/>
  <c r="BB3360" i="9"/>
  <c r="BA3360" i="9"/>
  <c r="AV3360" i="9"/>
  <c r="AU3360" i="9"/>
  <c r="AT3360" i="9"/>
  <c r="BB3359" i="9"/>
  <c r="BA3359" i="9"/>
  <c r="AV3359" i="9"/>
  <c r="AU3359" i="9"/>
  <c r="AT3359" i="9"/>
  <c r="BB3358" i="9"/>
  <c r="BA3358" i="9"/>
  <c r="AV3358" i="9"/>
  <c r="AU3358" i="9"/>
  <c r="AT3358" i="9"/>
  <c r="BB3357" i="9"/>
  <c r="BA3357" i="9"/>
  <c r="AV3357" i="9"/>
  <c r="AU3357" i="9"/>
  <c r="AT3357" i="9"/>
  <c r="BB3356" i="9"/>
  <c r="BA3356" i="9"/>
  <c r="AV3356" i="9"/>
  <c r="AU3356" i="9"/>
  <c r="AT3356" i="9"/>
  <c r="BB3355" i="9"/>
  <c r="BA3355" i="9"/>
  <c r="AV3355" i="9"/>
  <c r="AU3355" i="9"/>
  <c r="AT3355" i="9"/>
  <c r="BB3354" i="9"/>
  <c r="BA3354" i="9"/>
  <c r="AV3354" i="9"/>
  <c r="AU3354" i="9"/>
  <c r="AT3354" i="9"/>
  <c r="BB3353" i="9"/>
  <c r="BA3353" i="9"/>
  <c r="AV3353" i="9"/>
  <c r="AU3353" i="9"/>
  <c r="AT3353" i="9"/>
  <c r="BB3352" i="9"/>
  <c r="BA3352" i="9"/>
  <c r="AV3352" i="9"/>
  <c r="AU3352" i="9"/>
  <c r="AT3352" i="9"/>
  <c r="BB3351" i="9"/>
  <c r="BA3351" i="9"/>
  <c r="AV3351" i="9"/>
  <c r="AU3351" i="9"/>
  <c r="AT3351" i="9"/>
  <c r="BB3350" i="9"/>
  <c r="BA3350" i="9"/>
  <c r="AV3350" i="9"/>
  <c r="AU3350" i="9"/>
  <c r="AT3350" i="9"/>
  <c r="BB3349" i="9"/>
  <c r="BA3349" i="9"/>
  <c r="AV3349" i="9"/>
  <c r="AU3349" i="9"/>
  <c r="AT3349" i="9"/>
  <c r="BB3348" i="9"/>
  <c r="BA3348" i="9"/>
  <c r="AV3348" i="9"/>
  <c r="AU3348" i="9"/>
  <c r="AT3348" i="9"/>
  <c r="BB3347" i="9"/>
  <c r="BA3347" i="9"/>
  <c r="AV3347" i="9"/>
  <c r="AU3347" i="9"/>
  <c r="AT3347" i="9"/>
  <c r="BB3346" i="9"/>
  <c r="BA3346" i="9"/>
  <c r="AV3346" i="9"/>
  <c r="AU3346" i="9"/>
  <c r="AT3346" i="9"/>
  <c r="BB3345" i="9"/>
  <c r="BA3345" i="9"/>
  <c r="AV3345" i="9"/>
  <c r="AU3345" i="9"/>
  <c r="AT3345" i="9"/>
  <c r="BB3344" i="9"/>
  <c r="BA3344" i="9"/>
  <c r="AV3344" i="9"/>
  <c r="AU3344" i="9"/>
  <c r="AT3344" i="9"/>
  <c r="BB3343" i="9"/>
  <c r="BA3343" i="9"/>
  <c r="AV3343" i="9"/>
  <c r="AU3343" i="9"/>
  <c r="AT3343" i="9"/>
  <c r="BB3342" i="9"/>
  <c r="BA3342" i="9"/>
  <c r="AV3342" i="9"/>
  <c r="AU3342" i="9"/>
  <c r="AT3342" i="9"/>
  <c r="BB3341" i="9"/>
  <c r="BA3341" i="9"/>
  <c r="AV3341" i="9"/>
  <c r="AU3341" i="9"/>
  <c r="AT3341" i="9"/>
  <c r="BB3340" i="9"/>
  <c r="BA3340" i="9"/>
  <c r="AV3340" i="9"/>
  <c r="AU3340" i="9"/>
  <c r="AT3340" i="9"/>
  <c r="BB3339" i="9"/>
  <c r="BA3339" i="9"/>
  <c r="AV3339" i="9"/>
  <c r="AU3339" i="9"/>
  <c r="AT3339" i="9"/>
  <c r="BB3338" i="9"/>
  <c r="BA3338" i="9"/>
  <c r="AV3338" i="9"/>
  <c r="AU3338" i="9"/>
  <c r="AT3338" i="9"/>
  <c r="BB3337" i="9"/>
  <c r="BA3337" i="9"/>
  <c r="AV3337" i="9"/>
  <c r="AU3337" i="9"/>
  <c r="AT3337" i="9"/>
  <c r="BB3336" i="9"/>
  <c r="BA3336" i="9"/>
  <c r="AV3336" i="9"/>
  <c r="AU3336" i="9"/>
  <c r="AT3336" i="9"/>
  <c r="BB3335" i="9"/>
  <c r="BA3335" i="9"/>
  <c r="AV3335" i="9"/>
  <c r="AU3335" i="9"/>
  <c r="AT3335" i="9"/>
  <c r="BB3334" i="9"/>
  <c r="BA3334" i="9"/>
  <c r="AV3334" i="9"/>
  <c r="AU3334" i="9"/>
  <c r="AT3334" i="9"/>
  <c r="BB3333" i="9"/>
  <c r="BA3333" i="9"/>
  <c r="AV3333" i="9"/>
  <c r="AU3333" i="9"/>
  <c r="AT3333" i="9"/>
  <c r="BB3332" i="9"/>
  <c r="BA3332" i="9"/>
  <c r="AV3332" i="9"/>
  <c r="AU3332" i="9"/>
  <c r="AT3332" i="9"/>
  <c r="BB3331" i="9"/>
  <c r="BA3331" i="9"/>
  <c r="AV3331" i="9"/>
  <c r="AU3331" i="9"/>
  <c r="AT3331" i="9"/>
  <c r="BB3330" i="9"/>
  <c r="BA3330" i="9"/>
  <c r="AV3330" i="9"/>
  <c r="AU3330" i="9"/>
  <c r="AT3330" i="9"/>
  <c r="BB3329" i="9"/>
  <c r="BA3329" i="9"/>
  <c r="AV3329" i="9"/>
  <c r="AU3329" i="9"/>
  <c r="AT3329" i="9"/>
  <c r="BB3328" i="9"/>
  <c r="BA3328" i="9"/>
  <c r="AV3328" i="9"/>
  <c r="AU3328" i="9"/>
  <c r="AT3328" i="9"/>
  <c r="BB3327" i="9"/>
  <c r="BA3327" i="9"/>
  <c r="AV3327" i="9"/>
  <c r="AU3327" i="9"/>
  <c r="AT3327" i="9"/>
  <c r="BB3326" i="9"/>
  <c r="BA3326" i="9"/>
  <c r="AV3326" i="9"/>
  <c r="AU3326" i="9"/>
  <c r="AT3326" i="9"/>
  <c r="BB3325" i="9"/>
  <c r="BA3325" i="9"/>
  <c r="AV3325" i="9"/>
  <c r="AU3325" i="9"/>
  <c r="AT3325" i="9"/>
  <c r="BB3324" i="9"/>
  <c r="BA3324" i="9"/>
  <c r="AV3324" i="9"/>
  <c r="AU3324" i="9"/>
  <c r="AT3324" i="9"/>
  <c r="BB3323" i="9"/>
  <c r="BA3323" i="9"/>
  <c r="AV3323" i="9"/>
  <c r="AU3323" i="9"/>
  <c r="AT3323" i="9"/>
  <c r="BB3322" i="9"/>
  <c r="BA3322" i="9"/>
  <c r="AV3322" i="9"/>
  <c r="AU3322" i="9"/>
  <c r="AT3322" i="9"/>
  <c r="BB3321" i="9"/>
  <c r="BA3321" i="9"/>
  <c r="AV3321" i="9"/>
  <c r="AU3321" i="9"/>
  <c r="AT3321" i="9"/>
  <c r="BB3320" i="9"/>
  <c r="BA3320" i="9"/>
  <c r="AV3320" i="9"/>
  <c r="AU3320" i="9"/>
  <c r="AT3320" i="9"/>
  <c r="BB3319" i="9"/>
  <c r="BA3319" i="9"/>
  <c r="AV3319" i="9"/>
  <c r="AU3319" i="9"/>
  <c r="AT3319" i="9"/>
  <c r="BB3318" i="9"/>
  <c r="BA3318" i="9"/>
  <c r="AV3318" i="9"/>
  <c r="AU3318" i="9"/>
  <c r="AT3318" i="9"/>
  <c r="BB3317" i="9"/>
  <c r="BA3317" i="9"/>
  <c r="AV3317" i="9"/>
  <c r="AU3317" i="9"/>
  <c r="AT3317" i="9"/>
  <c r="BB3316" i="9"/>
  <c r="BA3316" i="9"/>
  <c r="AV3316" i="9"/>
  <c r="AU3316" i="9"/>
  <c r="AT3316" i="9"/>
  <c r="BB3315" i="9"/>
  <c r="BA3315" i="9"/>
  <c r="AV3315" i="9"/>
  <c r="AU3315" i="9"/>
  <c r="AT3315" i="9"/>
  <c r="BB3314" i="9"/>
  <c r="BA3314" i="9"/>
  <c r="AV3314" i="9"/>
  <c r="AU3314" i="9"/>
  <c r="AT3314" i="9"/>
  <c r="BB3313" i="9"/>
  <c r="BA3313" i="9"/>
  <c r="AV3313" i="9"/>
  <c r="AU3313" i="9"/>
  <c r="AT3313" i="9"/>
  <c r="BB3312" i="9"/>
  <c r="BA3312" i="9"/>
  <c r="AV3312" i="9"/>
  <c r="AU3312" i="9"/>
  <c r="AT3312" i="9"/>
  <c r="BB3311" i="9"/>
  <c r="BA3311" i="9"/>
  <c r="AV3311" i="9"/>
  <c r="AU3311" i="9"/>
  <c r="AT3311" i="9"/>
  <c r="BB3310" i="9"/>
  <c r="BA3310" i="9"/>
  <c r="AV3310" i="9"/>
  <c r="AU3310" i="9"/>
  <c r="AT3310" i="9"/>
  <c r="BB3309" i="9"/>
  <c r="BA3309" i="9"/>
  <c r="AV3309" i="9"/>
  <c r="AU3309" i="9"/>
  <c r="AT3309" i="9"/>
  <c r="BB3308" i="9"/>
  <c r="BA3308" i="9"/>
  <c r="AV3308" i="9"/>
  <c r="AU3308" i="9"/>
  <c r="AT3308" i="9"/>
  <c r="BB3307" i="9"/>
  <c r="BA3307" i="9"/>
  <c r="AV3307" i="9"/>
  <c r="AU3307" i="9"/>
  <c r="AT3307" i="9"/>
  <c r="BB3306" i="9"/>
  <c r="BA3306" i="9"/>
  <c r="AV3306" i="9"/>
  <c r="AU3306" i="9"/>
  <c r="AT3306" i="9"/>
  <c r="BB3305" i="9"/>
  <c r="BA3305" i="9"/>
  <c r="AV3305" i="9"/>
  <c r="AU3305" i="9"/>
  <c r="AT3305" i="9"/>
  <c r="BB3304" i="9"/>
  <c r="BA3304" i="9"/>
  <c r="AV3304" i="9"/>
  <c r="AU3304" i="9"/>
  <c r="AT3304" i="9"/>
  <c r="BB3303" i="9"/>
  <c r="BA3303" i="9"/>
  <c r="AV3303" i="9"/>
  <c r="AU3303" i="9"/>
  <c r="AT3303" i="9"/>
  <c r="BB3302" i="9"/>
  <c r="BA3302" i="9"/>
  <c r="AV3302" i="9"/>
  <c r="AU3302" i="9"/>
  <c r="AT3302" i="9"/>
  <c r="BB3301" i="9"/>
  <c r="BA3301" i="9"/>
  <c r="AV3301" i="9"/>
  <c r="AU3301" i="9"/>
  <c r="AT3301" i="9"/>
  <c r="BB3300" i="9"/>
  <c r="BA3300" i="9"/>
  <c r="AV3300" i="9"/>
  <c r="AU3300" i="9"/>
  <c r="AT3300" i="9"/>
  <c r="BB3299" i="9"/>
  <c r="BA3299" i="9"/>
  <c r="AV3299" i="9"/>
  <c r="AU3299" i="9"/>
  <c r="AT3299" i="9"/>
  <c r="BB3298" i="9"/>
  <c r="BA3298" i="9"/>
  <c r="AV3298" i="9"/>
  <c r="AU3298" i="9"/>
  <c r="AT3298" i="9"/>
  <c r="BB3297" i="9"/>
  <c r="BA3297" i="9"/>
  <c r="AV3297" i="9"/>
  <c r="AU3297" i="9"/>
  <c r="AT3297" i="9"/>
  <c r="BB3296" i="9"/>
  <c r="BA3296" i="9"/>
  <c r="AV3296" i="9"/>
  <c r="AU3296" i="9"/>
  <c r="AT3296" i="9"/>
  <c r="BB3295" i="9"/>
  <c r="BA3295" i="9"/>
  <c r="AV3295" i="9"/>
  <c r="AU3295" i="9"/>
  <c r="AT3295" i="9"/>
  <c r="BB3294" i="9"/>
  <c r="BA3294" i="9"/>
  <c r="AV3294" i="9"/>
  <c r="AU3294" i="9"/>
  <c r="AT3294" i="9"/>
  <c r="BB3293" i="9"/>
  <c r="BA3293" i="9"/>
  <c r="AV3293" i="9"/>
  <c r="AU3293" i="9"/>
  <c r="AT3293" i="9"/>
  <c r="BB3292" i="9"/>
  <c r="BA3292" i="9"/>
  <c r="AV3292" i="9"/>
  <c r="AU3292" i="9"/>
  <c r="AT3292" i="9"/>
  <c r="BB3291" i="9"/>
  <c r="BA3291" i="9"/>
  <c r="AV3291" i="9"/>
  <c r="AU3291" i="9"/>
  <c r="AT3291" i="9"/>
  <c r="BB3290" i="9"/>
  <c r="BA3290" i="9"/>
  <c r="AV3290" i="9"/>
  <c r="AU3290" i="9"/>
  <c r="AT3290" i="9"/>
  <c r="BB3289" i="9"/>
  <c r="BA3289" i="9"/>
  <c r="AV3289" i="9"/>
  <c r="AU3289" i="9"/>
  <c r="AT3289" i="9"/>
  <c r="BB3288" i="9"/>
  <c r="BA3288" i="9"/>
  <c r="AV3288" i="9"/>
  <c r="AU3288" i="9"/>
  <c r="AT3288" i="9"/>
  <c r="BB3287" i="9"/>
  <c r="BA3287" i="9"/>
  <c r="AV3287" i="9"/>
  <c r="AU3287" i="9"/>
  <c r="AT3287" i="9"/>
  <c r="BB3286" i="9"/>
  <c r="BA3286" i="9"/>
  <c r="AV3286" i="9"/>
  <c r="AU3286" i="9"/>
  <c r="AT3286" i="9"/>
  <c r="BB3285" i="9"/>
  <c r="BA3285" i="9"/>
  <c r="AV3285" i="9"/>
  <c r="AU3285" i="9"/>
  <c r="AT3285" i="9"/>
  <c r="BB3284" i="9"/>
  <c r="BA3284" i="9"/>
  <c r="AV3284" i="9"/>
  <c r="AU3284" i="9"/>
  <c r="AT3284" i="9"/>
  <c r="BB3283" i="9"/>
  <c r="BA3283" i="9"/>
  <c r="AV3283" i="9"/>
  <c r="AU3283" i="9"/>
  <c r="AT3283" i="9"/>
  <c r="BB3282" i="9"/>
  <c r="BA3282" i="9"/>
  <c r="AV3282" i="9"/>
  <c r="AU3282" i="9"/>
  <c r="AT3282" i="9"/>
  <c r="BB3281" i="9"/>
  <c r="BA3281" i="9"/>
  <c r="AV3281" i="9"/>
  <c r="AU3281" i="9"/>
  <c r="AT3281" i="9"/>
  <c r="BB3280" i="9"/>
  <c r="BA3280" i="9"/>
  <c r="AV3280" i="9"/>
  <c r="AU3280" i="9"/>
  <c r="AT3280" i="9"/>
  <c r="BB3279" i="9"/>
  <c r="BA3279" i="9"/>
  <c r="AV3279" i="9"/>
  <c r="AU3279" i="9"/>
  <c r="AT3279" i="9"/>
  <c r="BB3278" i="9"/>
  <c r="BA3278" i="9"/>
  <c r="AV3278" i="9"/>
  <c r="AU3278" i="9"/>
  <c r="AT3278" i="9"/>
  <c r="BB3277" i="9"/>
  <c r="BA3277" i="9"/>
  <c r="AV3277" i="9"/>
  <c r="AU3277" i="9"/>
  <c r="AT3277" i="9"/>
  <c r="BB3276" i="9"/>
  <c r="BA3276" i="9"/>
  <c r="AV3276" i="9"/>
  <c r="AU3276" i="9"/>
  <c r="AT3276" i="9"/>
  <c r="BB3275" i="9"/>
  <c r="BA3275" i="9"/>
  <c r="AV3275" i="9"/>
  <c r="AU3275" i="9"/>
  <c r="AT3275" i="9"/>
  <c r="BB3274" i="9"/>
  <c r="BA3274" i="9"/>
  <c r="AV3274" i="9"/>
  <c r="AU3274" i="9"/>
  <c r="AT3274" i="9"/>
  <c r="BB3273" i="9"/>
  <c r="BA3273" i="9"/>
  <c r="AV3273" i="9"/>
  <c r="AU3273" i="9"/>
  <c r="AT3273" i="9"/>
  <c r="BB3272" i="9"/>
  <c r="BA3272" i="9"/>
  <c r="AV3272" i="9"/>
  <c r="AU3272" i="9"/>
  <c r="AT3272" i="9"/>
  <c r="BB3271" i="9"/>
  <c r="BA3271" i="9"/>
  <c r="AV3271" i="9"/>
  <c r="AU3271" i="9"/>
  <c r="AT3271" i="9"/>
  <c r="BB3270" i="9"/>
  <c r="BA3270" i="9"/>
  <c r="AV3270" i="9"/>
  <c r="AU3270" i="9"/>
  <c r="AT3270" i="9"/>
  <c r="BB3269" i="9"/>
  <c r="BA3269" i="9"/>
  <c r="AV3269" i="9"/>
  <c r="AU3269" i="9"/>
  <c r="AT3269" i="9"/>
  <c r="BB3268" i="9"/>
  <c r="BA3268" i="9"/>
  <c r="AV3268" i="9"/>
  <c r="AU3268" i="9"/>
  <c r="AT3268" i="9"/>
  <c r="BB3267" i="9"/>
  <c r="BA3267" i="9"/>
  <c r="AV3267" i="9"/>
  <c r="AU3267" i="9"/>
  <c r="AT3267" i="9"/>
  <c r="BB3266" i="9"/>
  <c r="BA3266" i="9"/>
  <c r="AV3266" i="9"/>
  <c r="AU3266" i="9"/>
  <c r="AT3266" i="9"/>
  <c r="BB3265" i="9"/>
  <c r="BA3265" i="9"/>
  <c r="AV3265" i="9"/>
  <c r="AU3265" i="9"/>
  <c r="AT3265" i="9"/>
  <c r="BB3264" i="9"/>
  <c r="BA3264" i="9"/>
  <c r="AV3264" i="9"/>
  <c r="AU3264" i="9"/>
  <c r="AT3264" i="9"/>
  <c r="BB3263" i="9"/>
  <c r="BA3263" i="9"/>
  <c r="AV3263" i="9"/>
  <c r="AU3263" i="9"/>
  <c r="AT3263" i="9"/>
  <c r="BB3262" i="9"/>
  <c r="BA3262" i="9"/>
  <c r="AV3262" i="9"/>
  <c r="AU3262" i="9"/>
  <c r="AT3262" i="9"/>
  <c r="BB3261" i="9"/>
  <c r="BA3261" i="9"/>
  <c r="AV3261" i="9"/>
  <c r="AU3261" i="9"/>
  <c r="AT3261" i="9"/>
  <c r="BB3260" i="9"/>
  <c r="BA3260" i="9"/>
  <c r="AV3260" i="9"/>
  <c r="AU3260" i="9"/>
  <c r="AT3260" i="9"/>
  <c r="BB3259" i="9"/>
  <c r="BA3259" i="9"/>
  <c r="AV3259" i="9"/>
  <c r="AU3259" i="9"/>
  <c r="AT3259" i="9"/>
  <c r="BB3258" i="9"/>
  <c r="BA3258" i="9"/>
  <c r="AV3258" i="9"/>
  <c r="AU3258" i="9"/>
  <c r="AT3258" i="9"/>
  <c r="BB3257" i="9"/>
  <c r="BA3257" i="9"/>
  <c r="AV3257" i="9"/>
  <c r="AU3257" i="9"/>
  <c r="AT3257" i="9"/>
  <c r="BB3256" i="9"/>
  <c r="BA3256" i="9"/>
  <c r="AV3256" i="9"/>
  <c r="AU3256" i="9"/>
  <c r="AT3256" i="9"/>
  <c r="BB3255" i="9"/>
  <c r="BA3255" i="9"/>
  <c r="AV3255" i="9"/>
  <c r="AU3255" i="9"/>
  <c r="AT3255" i="9"/>
  <c r="BB3254" i="9"/>
  <c r="BA3254" i="9"/>
  <c r="AV3254" i="9"/>
  <c r="AU3254" i="9"/>
  <c r="AT3254" i="9"/>
  <c r="BB3253" i="9"/>
  <c r="BA3253" i="9"/>
  <c r="AV3253" i="9"/>
  <c r="AU3253" i="9"/>
  <c r="AT3253" i="9"/>
  <c r="BB3252" i="9"/>
  <c r="BA3252" i="9"/>
  <c r="AV3252" i="9"/>
  <c r="AU3252" i="9"/>
  <c r="AT3252" i="9"/>
  <c r="BB3251" i="9"/>
  <c r="BA3251" i="9"/>
  <c r="AV3251" i="9"/>
  <c r="AU3251" i="9"/>
  <c r="AT3251" i="9"/>
  <c r="BB3250" i="9"/>
  <c r="BA3250" i="9"/>
  <c r="AV3250" i="9"/>
  <c r="AU3250" i="9"/>
  <c r="AT3250" i="9"/>
  <c r="BB3249" i="9"/>
  <c r="BA3249" i="9"/>
  <c r="AV3249" i="9"/>
  <c r="AU3249" i="9"/>
  <c r="AT3249" i="9"/>
  <c r="BB3248" i="9"/>
  <c r="BA3248" i="9"/>
  <c r="AV3248" i="9"/>
  <c r="AU3248" i="9"/>
  <c r="AT3248" i="9"/>
  <c r="BB3247" i="9"/>
  <c r="BA3247" i="9"/>
  <c r="AV3247" i="9"/>
  <c r="AU3247" i="9"/>
  <c r="AT3247" i="9"/>
  <c r="BB3246" i="9"/>
  <c r="BA3246" i="9"/>
  <c r="AV3246" i="9"/>
  <c r="AU3246" i="9"/>
  <c r="AT3246" i="9"/>
  <c r="BB3245" i="9"/>
  <c r="BA3245" i="9"/>
  <c r="AV3245" i="9"/>
  <c r="AU3245" i="9"/>
  <c r="AT3245" i="9"/>
  <c r="BB3244" i="9"/>
  <c r="BA3244" i="9"/>
  <c r="AV3244" i="9"/>
  <c r="AU3244" i="9"/>
  <c r="AT3244" i="9"/>
  <c r="BB3243" i="9"/>
  <c r="BA3243" i="9"/>
  <c r="AV3243" i="9"/>
  <c r="AU3243" i="9"/>
  <c r="AT3243" i="9"/>
  <c r="BB3242" i="9"/>
  <c r="BA3242" i="9"/>
  <c r="AV3242" i="9"/>
  <c r="AU3242" i="9"/>
  <c r="AT3242" i="9"/>
  <c r="BB3241" i="9"/>
  <c r="BA3241" i="9"/>
  <c r="AV3241" i="9"/>
  <c r="AU3241" i="9"/>
  <c r="AT3241" i="9"/>
  <c r="BB3240" i="9"/>
  <c r="BA3240" i="9"/>
  <c r="AV3240" i="9"/>
  <c r="AU3240" i="9"/>
  <c r="AT3240" i="9"/>
  <c r="BB3239" i="9"/>
  <c r="BA3239" i="9"/>
  <c r="AV3239" i="9"/>
  <c r="AU3239" i="9"/>
  <c r="AT3239" i="9"/>
  <c r="BB3238" i="9"/>
  <c r="BA3238" i="9"/>
  <c r="AV3238" i="9"/>
  <c r="AU3238" i="9"/>
  <c r="AT3238" i="9"/>
  <c r="BB3237" i="9"/>
  <c r="BA3237" i="9"/>
  <c r="AV3237" i="9"/>
  <c r="AU3237" i="9"/>
  <c r="AT3237" i="9"/>
  <c r="BB3236" i="9"/>
  <c r="BA3236" i="9"/>
  <c r="AV3236" i="9"/>
  <c r="AU3236" i="9"/>
  <c r="AT3236" i="9"/>
  <c r="BB3235" i="9"/>
  <c r="BA3235" i="9"/>
  <c r="AV3235" i="9"/>
  <c r="AU3235" i="9"/>
  <c r="AT3235" i="9"/>
  <c r="BB3234" i="9"/>
  <c r="BA3234" i="9"/>
  <c r="AV3234" i="9"/>
  <c r="AU3234" i="9"/>
  <c r="AT3234" i="9"/>
  <c r="BB3233" i="9"/>
  <c r="BA3233" i="9"/>
  <c r="AV3233" i="9"/>
  <c r="AU3233" i="9"/>
  <c r="AT3233" i="9"/>
  <c r="BB3232" i="9"/>
  <c r="BA3232" i="9"/>
  <c r="AV3232" i="9"/>
  <c r="AU3232" i="9"/>
  <c r="AT3232" i="9"/>
  <c r="BB3231" i="9"/>
  <c r="BA3231" i="9"/>
  <c r="AV3231" i="9"/>
  <c r="AU3231" i="9"/>
  <c r="AT3231" i="9"/>
  <c r="BB3230" i="9"/>
  <c r="BA3230" i="9"/>
  <c r="AV3230" i="9"/>
  <c r="AU3230" i="9"/>
  <c r="AT3230" i="9"/>
  <c r="BB3229" i="9"/>
  <c r="BA3229" i="9"/>
  <c r="AV3229" i="9"/>
  <c r="AU3229" i="9"/>
  <c r="AT3229" i="9"/>
  <c r="BB3228" i="9"/>
  <c r="BA3228" i="9"/>
  <c r="AV3228" i="9"/>
  <c r="AU3228" i="9"/>
  <c r="AT3228" i="9"/>
  <c r="BB3227" i="9"/>
  <c r="BA3227" i="9"/>
  <c r="AV3227" i="9"/>
  <c r="AU3227" i="9"/>
  <c r="AT3227" i="9"/>
  <c r="BB3226" i="9"/>
  <c r="BA3226" i="9"/>
  <c r="AV3226" i="9"/>
  <c r="AU3226" i="9"/>
  <c r="AT3226" i="9"/>
  <c r="BB3225" i="9"/>
  <c r="BA3225" i="9"/>
  <c r="AV3225" i="9"/>
  <c r="AU3225" i="9"/>
  <c r="AT3225" i="9"/>
  <c r="BB3224" i="9"/>
  <c r="BA3224" i="9"/>
  <c r="AV3224" i="9"/>
  <c r="AU3224" i="9"/>
  <c r="AT3224" i="9"/>
  <c r="BB3223" i="9"/>
  <c r="BA3223" i="9"/>
  <c r="AV3223" i="9"/>
  <c r="AU3223" i="9"/>
  <c r="AT3223" i="9"/>
  <c r="BB3222" i="9"/>
  <c r="BA3222" i="9"/>
  <c r="AV3222" i="9"/>
  <c r="AU3222" i="9"/>
  <c r="AT3222" i="9"/>
  <c r="BB3221" i="9"/>
  <c r="BA3221" i="9"/>
  <c r="AV3221" i="9"/>
  <c r="AU3221" i="9"/>
  <c r="AT3221" i="9"/>
  <c r="BB3220" i="9"/>
  <c r="BA3220" i="9"/>
  <c r="AV3220" i="9"/>
  <c r="AU3220" i="9"/>
  <c r="AT3220" i="9"/>
  <c r="BB3219" i="9"/>
  <c r="BA3219" i="9"/>
  <c r="AV3219" i="9"/>
  <c r="AU3219" i="9"/>
  <c r="AT3219" i="9"/>
  <c r="BB3218" i="9"/>
  <c r="BA3218" i="9"/>
  <c r="AV3218" i="9"/>
  <c r="AU3218" i="9"/>
  <c r="AT3218" i="9"/>
  <c r="BB3217" i="9"/>
  <c r="BA3217" i="9"/>
  <c r="AV3217" i="9"/>
  <c r="AU3217" i="9"/>
  <c r="AT3217" i="9"/>
  <c r="BB3216" i="9"/>
  <c r="BA3216" i="9"/>
  <c r="AV3216" i="9"/>
  <c r="AU3216" i="9"/>
  <c r="AT3216" i="9"/>
  <c r="BB3215" i="9"/>
  <c r="BA3215" i="9"/>
  <c r="AV3215" i="9"/>
  <c r="AU3215" i="9"/>
  <c r="AT3215" i="9"/>
  <c r="BB3214" i="9"/>
  <c r="BA3214" i="9"/>
  <c r="AV3214" i="9"/>
  <c r="AU3214" i="9"/>
  <c r="AT3214" i="9"/>
  <c r="BB3213" i="9"/>
  <c r="BA3213" i="9"/>
  <c r="AV3213" i="9"/>
  <c r="AU3213" i="9"/>
  <c r="AT3213" i="9"/>
  <c r="BB3212" i="9"/>
  <c r="BA3212" i="9"/>
  <c r="AV3212" i="9"/>
  <c r="AU3212" i="9"/>
  <c r="AT3212" i="9"/>
  <c r="BB3211" i="9"/>
  <c r="BA3211" i="9"/>
  <c r="AV3211" i="9"/>
  <c r="AU3211" i="9"/>
  <c r="AT3211" i="9"/>
  <c r="BB3210" i="9"/>
  <c r="BA3210" i="9"/>
  <c r="AV3210" i="9"/>
  <c r="AU3210" i="9"/>
  <c r="AT3210" i="9"/>
  <c r="BB3209" i="9"/>
  <c r="BA3209" i="9"/>
  <c r="AV3209" i="9"/>
  <c r="AU3209" i="9"/>
  <c r="AT3209" i="9"/>
  <c r="BB3208" i="9"/>
  <c r="BA3208" i="9"/>
  <c r="AV3208" i="9"/>
  <c r="AU3208" i="9"/>
  <c r="AT3208" i="9"/>
  <c r="BB3207" i="9"/>
  <c r="BA3207" i="9"/>
  <c r="AV3207" i="9"/>
  <c r="AU3207" i="9"/>
  <c r="AT3207" i="9"/>
  <c r="BB3206" i="9"/>
  <c r="BA3206" i="9"/>
  <c r="AV3206" i="9"/>
  <c r="AU3206" i="9"/>
  <c r="AT3206" i="9"/>
  <c r="BB3205" i="9"/>
  <c r="BA3205" i="9"/>
  <c r="AV3205" i="9"/>
  <c r="AU3205" i="9"/>
  <c r="AT3205" i="9"/>
  <c r="BB3204" i="9"/>
  <c r="BA3204" i="9"/>
  <c r="AV3204" i="9"/>
  <c r="AU3204" i="9"/>
  <c r="AT3204" i="9"/>
  <c r="BB3203" i="9"/>
  <c r="BA3203" i="9"/>
  <c r="AV3203" i="9"/>
  <c r="AU3203" i="9"/>
  <c r="AT3203" i="9"/>
  <c r="BB3202" i="9"/>
  <c r="BA3202" i="9"/>
  <c r="AV3202" i="9"/>
  <c r="AU3202" i="9"/>
  <c r="AT3202" i="9"/>
  <c r="BB3201" i="9"/>
  <c r="BA3201" i="9"/>
  <c r="AV3201" i="9"/>
  <c r="AU3201" i="9"/>
  <c r="AT3201" i="9"/>
  <c r="BB3200" i="9"/>
  <c r="BA3200" i="9"/>
  <c r="AV3200" i="9"/>
  <c r="AU3200" i="9"/>
  <c r="AT3200" i="9"/>
  <c r="BB3199" i="9"/>
  <c r="BA3199" i="9"/>
  <c r="AV3199" i="9"/>
  <c r="AU3199" i="9"/>
  <c r="AT3199" i="9"/>
  <c r="BB3198" i="9"/>
  <c r="BA3198" i="9"/>
  <c r="AV3198" i="9"/>
  <c r="AU3198" i="9"/>
  <c r="AT3198" i="9"/>
  <c r="BB3197" i="9"/>
  <c r="BA3197" i="9"/>
  <c r="AV3197" i="9"/>
  <c r="AU3197" i="9"/>
  <c r="AT3197" i="9"/>
  <c r="BB3196" i="9"/>
  <c r="BA3196" i="9"/>
  <c r="AV3196" i="9"/>
  <c r="AU3196" i="9"/>
  <c r="AT3196" i="9"/>
  <c r="BB3195" i="9"/>
  <c r="BA3195" i="9"/>
  <c r="AV3195" i="9"/>
  <c r="AU3195" i="9"/>
  <c r="AT3195" i="9"/>
  <c r="BB3194" i="9"/>
  <c r="BA3194" i="9"/>
  <c r="AV3194" i="9"/>
  <c r="AU3194" i="9"/>
  <c r="AT3194" i="9"/>
  <c r="BB3193" i="9"/>
  <c r="BA3193" i="9"/>
  <c r="AV3193" i="9"/>
  <c r="AU3193" i="9"/>
  <c r="AT3193" i="9"/>
  <c r="BB3192" i="9"/>
  <c r="BA3192" i="9"/>
  <c r="AV3192" i="9"/>
  <c r="AU3192" i="9"/>
  <c r="AT3192" i="9"/>
  <c r="BB3191" i="9"/>
  <c r="BA3191" i="9"/>
  <c r="AV3191" i="9"/>
  <c r="AU3191" i="9"/>
  <c r="AT3191" i="9"/>
  <c r="BB3190" i="9"/>
  <c r="BA3190" i="9"/>
  <c r="AV3190" i="9"/>
  <c r="AU3190" i="9"/>
  <c r="AT3190" i="9"/>
  <c r="BB3189" i="9"/>
  <c r="BA3189" i="9"/>
  <c r="AV3189" i="9"/>
  <c r="AU3189" i="9"/>
  <c r="AT3189" i="9"/>
  <c r="BB3188" i="9"/>
  <c r="BA3188" i="9"/>
  <c r="AV3188" i="9"/>
  <c r="AU3188" i="9"/>
  <c r="AT3188" i="9"/>
  <c r="BB3187" i="9"/>
  <c r="BA3187" i="9"/>
  <c r="AV3187" i="9"/>
  <c r="AU3187" i="9"/>
  <c r="AT3187" i="9"/>
  <c r="BB3186" i="9"/>
  <c r="BA3186" i="9"/>
  <c r="AV3186" i="9"/>
  <c r="AU3186" i="9"/>
  <c r="AT3186" i="9"/>
  <c r="BB3185" i="9"/>
  <c r="BA3185" i="9"/>
  <c r="AV3185" i="9"/>
  <c r="AU3185" i="9"/>
  <c r="AT3185" i="9"/>
  <c r="BB3184" i="9"/>
  <c r="BA3184" i="9"/>
  <c r="AV3184" i="9"/>
  <c r="AU3184" i="9"/>
  <c r="AT3184" i="9"/>
  <c r="BB3183" i="9"/>
  <c r="BA3183" i="9"/>
  <c r="AV3183" i="9"/>
  <c r="AU3183" i="9"/>
  <c r="AT3183" i="9"/>
  <c r="BB3182" i="9"/>
  <c r="BA3182" i="9"/>
  <c r="AV3182" i="9"/>
  <c r="AU3182" i="9"/>
  <c r="AT3182" i="9"/>
  <c r="BB3181" i="9"/>
  <c r="BA3181" i="9"/>
  <c r="AV3181" i="9"/>
  <c r="AU3181" i="9"/>
  <c r="AT3181" i="9"/>
  <c r="BB3180" i="9"/>
  <c r="BA3180" i="9"/>
  <c r="AV3180" i="9"/>
  <c r="AU3180" i="9"/>
  <c r="AT3180" i="9"/>
  <c r="BB3179" i="9"/>
  <c r="BA3179" i="9"/>
  <c r="AV3179" i="9"/>
  <c r="AU3179" i="9"/>
  <c r="AT3179" i="9"/>
  <c r="BB3178" i="9"/>
  <c r="BA3178" i="9"/>
  <c r="AV3178" i="9"/>
  <c r="AU3178" i="9"/>
  <c r="AT3178" i="9"/>
  <c r="BB3177" i="9"/>
  <c r="BA3177" i="9"/>
  <c r="AV3177" i="9"/>
  <c r="AU3177" i="9"/>
  <c r="AT3177" i="9"/>
  <c r="BB3176" i="9"/>
  <c r="BA3176" i="9"/>
  <c r="AV3176" i="9"/>
  <c r="AU3176" i="9"/>
  <c r="AT3176" i="9"/>
  <c r="BB3175" i="9"/>
  <c r="BA3175" i="9"/>
  <c r="AV3175" i="9"/>
  <c r="AU3175" i="9"/>
  <c r="AT3175" i="9"/>
  <c r="BB3174" i="9"/>
  <c r="BA3174" i="9"/>
  <c r="AV3174" i="9"/>
  <c r="AU3174" i="9"/>
  <c r="AT3174" i="9"/>
  <c r="BB3173" i="9"/>
  <c r="BA3173" i="9"/>
  <c r="AV3173" i="9"/>
  <c r="AU3173" i="9"/>
  <c r="AT3173" i="9"/>
  <c r="BB3172" i="9"/>
  <c r="BA3172" i="9"/>
  <c r="AV3172" i="9"/>
  <c r="AU3172" i="9"/>
  <c r="AT3172" i="9"/>
  <c r="BB3171" i="9"/>
  <c r="BA3171" i="9"/>
  <c r="AV3171" i="9"/>
  <c r="AU3171" i="9"/>
  <c r="AT3171" i="9"/>
  <c r="BB3170" i="9"/>
  <c r="BA3170" i="9"/>
  <c r="AV3170" i="9"/>
  <c r="AU3170" i="9"/>
  <c r="AT3170" i="9"/>
  <c r="BB3169" i="9"/>
  <c r="BA3169" i="9"/>
  <c r="AV3169" i="9"/>
  <c r="AU3169" i="9"/>
  <c r="AT3169" i="9"/>
  <c r="BB3168" i="9"/>
  <c r="BA3168" i="9"/>
  <c r="AV3168" i="9"/>
  <c r="AU3168" i="9"/>
  <c r="AT3168" i="9"/>
  <c r="BB3167" i="9"/>
  <c r="BA3167" i="9"/>
  <c r="AV3167" i="9"/>
  <c r="AU3167" i="9"/>
  <c r="AT3167" i="9"/>
  <c r="BB3166" i="9"/>
  <c r="BA3166" i="9"/>
  <c r="AV3166" i="9"/>
  <c r="AU3166" i="9"/>
  <c r="AT3166" i="9"/>
  <c r="BB3165" i="9"/>
  <c r="BA3165" i="9"/>
  <c r="AV3165" i="9"/>
  <c r="AU3165" i="9"/>
  <c r="AT3165" i="9"/>
  <c r="BB3164" i="9"/>
  <c r="BA3164" i="9"/>
  <c r="AV3164" i="9"/>
  <c r="AU3164" i="9"/>
  <c r="AT3164" i="9"/>
  <c r="BB3163" i="9"/>
  <c r="BA3163" i="9"/>
  <c r="AV3163" i="9"/>
  <c r="AU3163" i="9"/>
  <c r="AT3163" i="9"/>
  <c r="BB3162" i="9"/>
  <c r="BA3162" i="9"/>
  <c r="AV3162" i="9"/>
  <c r="AU3162" i="9"/>
  <c r="AT3162" i="9"/>
  <c r="BB3161" i="9"/>
  <c r="BA3161" i="9"/>
  <c r="AV3161" i="9"/>
  <c r="AU3161" i="9"/>
  <c r="AT3161" i="9"/>
  <c r="BB3160" i="9"/>
  <c r="BA3160" i="9"/>
  <c r="AV3160" i="9"/>
  <c r="AU3160" i="9"/>
  <c r="AT3160" i="9"/>
  <c r="BB3159" i="9"/>
  <c r="BA3159" i="9"/>
  <c r="AV3159" i="9"/>
  <c r="AU3159" i="9"/>
  <c r="AT3159" i="9"/>
  <c r="BB3158" i="9"/>
  <c r="BA3158" i="9"/>
  <c r="AV3158" i="9"/>
  <c r="AU3158" i="9"/>
  <c r="AT3158" i="9"/>
  <c r="BB3157" i="9"/>
  <c r="BA3157" i="9"/>
  <c r="AV3157" i="9"/>
  <c r="AU3157" i="9"/>
  <c r="AT3157" i="9"/>
  <c r="BB3156" i="9"/>
  <c r="BA3156" i="9"/>
  <c r="AV3156" i="9"/>
  <c r="AU3156" i="9"/>
  <c r="AT3156" i="9"/>
  <c r="BB3155" i="9"/>
  <c r="BA3155" i="9"/>
  <c r="AV3155" i="9"/>
  <c r="AU3155" i="9"/>
  <c r="AT3155" i="9"/>
  <c r="BB3154" i="9"/>
  <c r="BA3154" i="9"/>
  <c r="AV3154" i="9"/>
  <c r="AU3154" i="9"/>
  <c r="AT3154" i="9"/>
  <c r="BB3153" i="9"/>
  <c r="BA3153" i="9"/>
  <c r="AV3153" i="9"/>
  <c r="AU3153" i="9"/>
  <c r="AT3153" i="9"/>
  <c r="BB3152" i="9"/>
  <c r="BA3152" i="9"/>
  <c r="AV3152" i="9"/>
  <c r="AU3152" i="9"/>
  <c r="AT3152" i="9"/>
  <c r="BB3151" i="9"/>
  <c r="BA3151" i="9"/>
  <c r="AV3151" i="9"/>
  <c r="AU3151" i="9"/>
  <c r="AT3151" i="9"/>
  <c r="BB3150" i="9"/>
  <c r="BA3150" i="9"/>
  <c r="AV3150" i="9"/>
  <c r="AU3150" i="9"/>
  <c r="AT3150" i="9"/>
  <c r="BB3149" i="9"/>
  <c r="BA3149" i="9"/>
  <c r="AV3149" i="9"/>
  <c r="AU3149" i="9"/>
  <c r="AT3149" i="9"/>
  <c r="BB3148" i="9"/>
  <c r="BA3148" i="9"/>
  <c r="AV3148" i="9"/>
  <c r="AU3148" i="9"/>
  <c r="AT3148" i="9"/>
  <c r="BB3147" i="9"/>
  <c r="BA3147" i="9"/>
  <c r="AV3147" i="9"/>
  <c r="AU3147" i="9"/>
  <c r="AT3147" i="9"/>
  <c r="BB3146" i="9"/>
  <c r="BA3146" i="9"/>
  <c r="AV3146" i="9"/>
  <c r="AU3146" i="9"/>
  <c r="AT3146" i="9"/>
  <c r="BB3145" i="9"/>
  <c r="BA3145" i="9"/>
  <c r="AV3145" i="9"/>
  <c r="AU3145" i="9"/>
  <c r="AT3145" i="9"/>
  <c r="BB3144" i="9"/>
  <c r="BA3144" i="9"/>
  <c r="AV3144" i="9"/>
  <c r="AU3144" i="9"/>
  <c r="AT3144" i="9"/>
  <c r="BB3143" i="9"/>
  <c r="BA3143" i="9"/>
  <c r="AV3143" i="9"/>
  <c r="AU3143" i="9"/>
  <c r="AT3143" i="9"/>
  <c r="BB3142" i="9"/>
  <c r="BA3142" i="9"/>
  <c r="AV3142" i="9"/>
  <c r="AU3142" i="9"/>
  <c r="AT3142" i="9"/>
  <c r="BB3141" i="9"/>
  <c r="BA3141" i="9"/>
  <c r="AV3141" i="9"/>
  <c r="AU3141" i="9"/>
  <c r="AT3141" i="9"/>
  <c r="BB3140" i="9"/>
  <c r="BA3140" i="9"/>
  <c r="AV3140" i="9"/>
  <c r="AU3140" i="9"/>
  <c r="AT3140" i="9"/>
  <c r="BB3139" i="9"/>
  <c r="BA3139" i="9"/>
  <c r="AV3139" i="9"/>
  <c r="AU3139" i="9"/>
  <c r="AT3139" i="9"/>
  <c r="BB3138" i="9"/>
  <c r="BA3138" i="9"/>
  <c r="AV3138" i="9"/>
  <c r="AU3138" i="9"/>
  <c r="AT3138" i="9"/>
  <c r="BB3137" i="9"/>
  <c r="BA3137" i="9"/>
  <c r="AV3137" i="9"/>
  <c r="AU3137" i="9"/>
  <c r="AT3137" i="9"/>
  <c r="BB3136" i="9"/>
  <c r="BA3136" i="9"/>
  <c r="AV3136" i="9"/>
  <c r="AU3136" i="9"/>
  <c r="AT3136" i="9"/>
  <c r="BB3135" i="9"/>
  <c r="BA3135" i="9"/>
  <c r="AV3135" i="9"/>
  <c r="AU3135" i="9"/>
  <c r="AT3135" i="9"/>
  <c r="BB3134" i="9"/>
  <c r="BA3134" i="9"/>
  <c r="AV3134" i="9"/>
  <c r="AU3134" i="9"/>
  <c r="AT3134" i="9"/>
  <c r="BB3133" i="9"/>
  <c r="BA3133" i="9"/>
  <c r="AV3133" i="9"/>
  <c r="AU3133" i="9"/>
  <c r="AT3133" i="9"/>
  <c r="BB3132" i="9"/>
  <c r="BA3132" i="9"/>
  <c r="AV3132" i="9"/>
  <c r="AU3132" i="9"/>
  <c r="AT3132" i="9"/>
  <c r="BB3131" i="9"/>
  <c r="BA3131" i="9"/>
  <c r="AV3131" i="9"/>
  <c r="AU3131" i="9"/>
  <c r="AT3131" i="9"/>
  <c r="BB3130" i="9"/>
  <c r="BA3130" i="9"/>
  <c r="AV3130" i="9"/>
  <c r="AU3130" i="9"/>
  <c r="AT3130" i="9"/>
  <c r="BB3129" i="9"/>
  <c r="BA3129" i="9"/>
  <c r="AV3129" i="9"/>
  <c r="AU3129" i="9"/>
  <c r="AT3129" i="9"/>
  <c r="BB3128" i="9"/>
  <c r="BA3128" i="9"/>
  <c r="AV3128" i="9"/>
  <c r="AU3128" i="9"/>
  <c r="AT3128" i="9"/>
  <c r="BB3127" i="9"/>
  <c r="BA3127" i="9"/>
  <c r="AV3127" i="9"/>
  <c r="AU3127" i="9"/>
  <c r="AT3127" i="9"/>
  <c r="BB3126" i="9"/>
  <c r="BA3126" i="9"/>
  <c r="AV3126" i="9"/>
  <c r="AU3126" i="9"/>
  <c r="AT3126" i="9"/>
  <c r="BB3125" i="9"/>
  <c r="BA3125" i="9"/>
  <c r="AV3125" i="9"/>
  <c r="AU3125" i="9"/>
  <c r="AT3125" i="9"/>
  <c r="BB3124" i="9"/>
  <c r="BA3124" i="9"/>
  <c r="AV3124" i="9"/>
  <c r="AU3124" i="9"/>
  <c r="AT3124" i="9"/>
  <c r="BB3123" i="9"/>
  <c r="BA3123" i="9"/>
  <c r="AV3123" i="9"/>
  <c r="AU3123" i="9"/>
  <c r="AT3123" i="9"/>
  <c r="BB3122" i="9"/>
  <c r="BA3122" i="9"/>
  <c r="AV3122" i="9"/>
  <c r="AU3122" i="9"/>
  <c r="AT3122" i="9"/>
  <c r="BB3121" i="9"/>
  <c r="BA3121" i="9"/>
  <c r="AV3121" i="9"/>
  <c r="AU3121" i="9"/>
  <c r="AT3121" i="9"/>
  <c r="BB3120" i="9"/>
  <c r="BA3120" i="9"/>
  <c r="AV3120" i="9"/>
  <c r="AU3120" i="9"/>
  <c r="AT3120" i="9"/>
  <c r="BB3119" i="9"/>
  <c r="BA3119" i="9"/>
  <c r="AV3119" i="9"/>
  <c r="AU3119" i="9"/>
  <c r="AT3119" i="9"/>
  <c r="BB3118" i="9"/>
  <c r="BA3118" i="9"/>
  <c r="AV3118" i="9"/>
  <c r="AU3118" i="9"/>
  <c r="AT3118" i="9"/>
  <c r="BB3117" i="9"/>
  <c r="BA3117" i="9"/>
  <c r="AV3117" i="9"/>
  <c r="AU3117" i="9"/>
  <c r="AT3117" i="9"/>
  <c r="BB3116" i="9"/>
  <c r="BA3116" i="9"/>
  <c r="AV3116" i="9"/>
  <c r="AU3116" i="9"/>
  <c r="AT3116" i="9"/>
  <c r="BB3115" i="9"/>
  <c r="BA3115" i="9"/>
  <c r="AV3115" i="9"/>
  <c r="AU3115" i="9"/>
  <c r="AT3115" i="9"/>
  <c r="BB3114" i="9"/>
  <c r="BA3114" i="9"/>
  <c r="AV3114" i="9"/>
  <c r="AU3114" i="9"/>
  <c r="AT3114" i="9"/>
  <c r="BB3113" i="9"/>
  <c r="BA3113" i="9"/>
  <c r="AV3113" i="9"/>
  <c r="AU3113" i="9"/>
  <c r="AT3113" i="9"/>
  <c r="BB3112" i="9"/>
  <c r="BA3112" i="9"/>
  <c r="AV3112" i="9"/>
  <c r="AU3112" i="9"/>
  <c r="AT3112" i="9"/>
  <c r="BB3111" i="9"/>
  <c r="BA3111" i="9"/>
  <c r="AV3111" i="9"/>
  <c r="AU3111" i="9"/>
  <c r="AT3111" i="9"/>
  <c r="BB3110" i="9"/>
  <c r="BA3110" i="9"/>
  <c r="AV3110" i="9"/>
  <c r="AU3110" i="9"/>
  <c r="AT3110" i="9"/>
  <c r="BB3109" i="9"/>
  <c r="BA3109" i="9"/>
  <c r="AV3109" i="9"/>
  <c r="AU3109" i="9"/>
  <c r="AT3109" i="9"/>
  <c r="BB3108" i="9"/>
  <c r="BA3108" i="9"/>
  <c r="AV3108" i="9"/>
  <c r="AU3108" i="9"/>
  <c r="AT3108" i="9"/>
  <c r="BB3107" i="9"/>
  <c r="BA3107" i="9"/>
  <c r="AV3107" i="9"/>
  <c r="AU3107" i="9"/>
  <c r="AT3107" i="9"/>
  <c r="BB3106" i="9"/>
  <c r="BA3106" i="9"/>
  <c r="AV3106" i="9"/>
  <c r="AU3106" i="9"/>
  <c r="AT3106" i="9"/>
  <c r="BB3105" i="9"/>
  <c r="BA3105" i="9"/>
  <c r="AV3105" i="9"/>
  <c r="AU3105" i="9"/>
  <c r="AT3105" i="9"/>
  <c r="BB3104" i="9"/>
  <c r="BA3104" i="9"/>
  <c r="AV3104" i="9"/>
  <c r="AU3104" i="9"/>
  <c r="AT3104" i="9"/>
  <c r="BB3103" i="9"/>
  <c r="BA3103" i="9"/>
  <c r="AV3103" i="9"/>
  <c r="AU3103" i="9"/>
  <c r="AT3103" i="9"/>
  <c r="BB3102" i="9"/>
  <c r="BA3102" i="9"/>
  <c r="AV3102" i="9"/>
  <c r="AU3102" i="9"/>
  <c r="AT3102" i="9"/>
  <c r="BB3101" i="9"/>
  <c r="BA3101" i="9"/>
  <c r="AV3101" i="9"/>
  <c r="AU3101" i="9"/>
  <c r="AT3101" i="9"/>
  <c r="BB3100" i="9"/>
  <c r="BA3100" i="9"/>
  <c r="AV3100" i="9"/>
  <c r="AU3100" i="9"/>
  <c r="AT3100" i="9"/>
  <c r="BB3099" i="9"/>
  <c r="BA3099" i="9"/>
  <c r="AV3099" i="9"/>
  <c r="AU3099" i="9"/>
  <c r="AT3099" i="9"/>
  <c r="BB3098" i="9"/>
  <c r="BA3098" i="9"/>
  <c r="AV3098" i="9"/>
  <c r="AU3098" i="9"/>
  <c r="AT3098" i="9"/>
  <c r="BB3097" i="9"/>
  <c r="BA3097" i="9"/>
  <c r="AV3097" i="9"/>
  <c r="AU3097" i="9"/>
  <c r="AT3097" i="9"/>
  <c r="BB3096" i="9"/>
  <c r="BA3096" i="9"/>
  <c r="AV3096" i="9"/>
  <c r="AU3096" i="9"/>
  <c r="AT3096" i="9"/>
  <c r="BB3095" i="9"/>
  <c r="BA3095" i="9"/>
  <c r="AV3095" i="9"/>
  <c r="AU3095" i="9"/>
  <c r="AT3095" i="9"/>
  <c r="BB3094" i="9"/>
  <c r="BA3094" i="9"/>
  <c r="AV3094" i="9"/>
  <c r="AU3094" i="9"/>
  <c r="AT3094" i="9"/>
  <c r="BB3093" i="9"/>
  <c r="BA3093" i="9"/>
  <c r="AV3093" i="9"/>
  <c r="AU3093" i="9"/>
  <c r="AT3093" i="9"/>
  <c r="BB3092" i="9"/>
  <c r="BA3092" i="9"/>
  <c r="AV3092" i="9"/>
  <c r="AU3092" i="9"/>
  <c r="AT3092" i="9"/>
  <c r="BB3091" i="9"/>
  <c r="BA3091" i="9"/>
  <c r="AV3091" i="9"/>
  <c r="AU3091" i="9"/>
  <c r="AT3091" i="9"/>
  <c r="BB3090" i="9"/>
  <c r="BA3090" i="9"/>
  <c r="AV3090" i="9"/>
  <c r="AU3090" i="9"/>
  <c r="AT3090" i="9"/>
  <c r="BB3089" i="9"/>
  <c r="BA3089" i="9"/>
  <c r="AV3089" i="9"/>
  <c r="AU3089" i="9"/>
  <c r="AT3089" i="9"/>
  <c r="BB3088" i="9"/>
  <c r="BA3088" i="9"/>
  <c r="AV3088" i="9"/>
  <c r="AU3088" i="9"/>
  <c r="AT3088" i="9"/>
  <c r="BB3087" i="9"/>
  <c r="BA3087" i="9"/>
  <c r="AV3087" i="9"/>
  <c r="AU3087" i="9"/>
  <c r="AT3087" i="9"/>
  <c r="BB3086" i="9"/>
  <c r="BA3086" i="9"/>
  <c r="AV3086" i="9"/>
  <c r="AU3086" i="9"/>
  <c r="AT3086" i="9"/>
  <c r="BB3085" i="9"/>
  <c r="BA3085" i="9"/>
  <c r="AV3085" i="9"/>
  <c r="AU3085" i="9"/>
  <c r="AT3085" i="9"/>
  <c r="BB3084" i="9"/>
  <c r="BA3084" i="9"/>
  <c r="AV3084" i="9"/>
  <c r="AU3084" i="9"/>
  <c r="AT3084" i="9"/>
  <c r="BB3083" i="9"/>
  <c r="BA3083" i="9"/>
  <c r="AV3083" i="9"/>
  <c r="AU3083" i="9"/>
  <c r="AT3083" i="9"/>
  <c r="BB3082" i="9"/>
  <c r="BA3082" i="9"/>
  <c r="AV3082" i="9"/>
  <c r="AU3082" i="9"/>
  <c r="AT3082" i="9"/>
  <c r="BB3081" i="9"/>
  <c r="BA3081" i="9"/>
  <c r="AV3081" i="9"/>
  <c r="AU3081" i="9"/>
  <c r="AT3081" i="9"/>
  <c r="BB3080" i="9"/>
  <c r="BA3080" i="9"/>
  <c r="AV3080" i="9"/>
  <c r="AU3080" i="9"/>
  <c r="AT3080" i="9"/>
  <c r="BB3079" i="9"/>
  <c r="BA3079" i="9"/>
  <c r="AV3079" i="9"/>
  <c r="AU3079" i="9"/>
  <c r="AT3079" i="9"/>
  <c r="BB3078" i="9"/>
  <c r="BA3078" i="9"/>
  <c r="AV3078" i="9"/>
  <c r="AU3078" i="9"/>
  <c r="AT3078" i="9"/>
  <c r="BB3077" i="9"/>
  <c r="BA3077" i="9"/>
  <c r="AV3077" i="9"/>
  <c r="AU3077" i="9"/>
  <c r="AT3077" i="9"/>
  <c r="BB3076" i="9"/>
  <c r="BA3076" i="9"/>
  <c r="AV3076" i="9"/>
  <c r="AU3076" i="9"/>
  <c r="AT3076" i="9"/>
  <c r="BB3075" i="9"/>
  <c r="BA3075" i="9"/>
  <c r="AV3075" i="9"/>
  <c r="AU3075" i="9"/>
  <c r="AT3075" i="9"/>
  <c r="BB3074" i="9"/>
  <c r="BA3074" i="9"/>
  <c r="AV3074" i="9"/>
  <c r="AU3074" i="9"/>
  <c r="AT3074" i="9"/>
  <c r="BB3073" i="9"/>
  <c r="BA3073" i="9"/>
  <c r="AV3073" i="9"/>
  <c r="AU3073" i="9"/>
  <c r="AT3073" i="9"/>
  <c r="BB3072" i="9"/>
  <c r="BA3072" i="9"/>
  <c r="AV3072" i="9"/>
  <c r="AU3072" i="9"/>
  <c r="AT3072" i="9"/>
  <c r="BB3071" i="9"/>
  <c r="BA3071" i="9"/>
  <c r="AV3071" i="9"/>
  <c r="AU3071" i="9"/>
  <c r="AT3071" i="9"/>
  <c r="BB3070" i="9"/>
  <c r="BA3070" i="9"/>
  <c r="AV3070" i="9"/>
  <c r="AU3070" i="9"/>
  <c r="AT3070" i="9"/>
  <c r="BB3069" i="9"/>
  <c r="BA3069" i="9"/>
  <c r="AV3069" i="9"/>
  <c r="AU3069" i="9"/>
  <c r="AT3069" i="9"/>
  <c r="BB3068" i="9"/>
  <c r="BA3068" i="9"/>
  <c r="AV3068" i="9"/>
  <c r="AU3068" i="9"/>
  <c r="AT3068" i="9"/>
  <c r="BB3067" i="9"/>
  <c r="BA3067" i="9"/>
  <c r="AV3067" i="9"/>
  <c r="AU3067" i="9"/>
  <c r="AT3067" i="9"/>
  <c r="BB3066" i="9"/>
  <c r="BA3066" i="9"/>
  <c r="AV3066" i="9"/>
  <c r="AU3066" i="9"/>
  <c r="AT3066" i="9"/>
  <c r="BB3065" i="9"/>
  <c r="BA3065" i="9"/>
  <c r="AV3065" i="9"/>
  <c r="AU3065" i="9"/>
  <c r="AT3065" i="9"/>
  <c r="BB3064" i="9"/>
  <c r="BA3064" i="9"/>
  <c r="AV3064" i="9"/>
  <c r="AU3064" i="9"/>
  <c r="AT3064" i="9"/>
  <c r="BB3063" i="9"/>
  <c r="BA3063" i="9"/>
  <c r="AV3063" i="9"/>
  <c r="AU3063" i="9"/>
  <c r="AT3063" i="9"/>
  <c r="BB3062" i="9"/>
  <c r="BA3062" i="9"/>
  <c r="AV3062" i="9"/>
  <c r="AU3062" i="9"/>
  <c r="AT3062" i="9"/>
  <c r="BB3061" i="9"/>
  <c r="BA3061" i="9"/>
  <c r="AV3061" i="9"/>
  <c r="AU3061" i="9"/>
  <c r="AT3061" i="9"/>
  <c r="BB3060" i="9"/>
  <c r="BA3060" i="9"/>
  <c r="AV3060" i="9"/>
  <c r="AU3060" i="9"/>
  <c r="AT3060" i="9"/>
  <c r="BB3059" i="9"/>
  <c r="BA3059" i="9"/>
  <c r="AV3059" i="9"/>
  <c r="AU3059" i="9"/>
  <c r="AT3059" i="9"/>
  <c r="BB3058" i="9"/>
  <c r="BA3058" i="9"/>
  <c r="AV3058" i="9"/>
  <c r="AU3058" i="9"/>
  <c r="AT3058" i="9"/>
  <c r="BB3057" i="9"/>
  <c r="BA3057" i="9"/>
  <c r="AV3057" i="9"/>
  <c r="AU3057" i="9"/>
  <c r="AT3057" i="9"/>
  <c r="BB3056" i="9"/>
  <c r="BA3056" i="9"/>
  <c r="AV3056" i="9"/>
  <c r="AU3056" i="9"/>
  <c r="AT3056" i="9"/>
  <c r="BB3055" i="9"/>
  <c r="BA3055" i="9"/>
  <c r="AV3055" i="9"/>
  <c r="AU3055" i="9"/>
  <c r="AT3055" i="9"/>
  <c r="BB3054" i="9"/>
  <c r="BA3054" i="9"/>
  <c r="AV3054" i="9"/>
  <c r="AU3054" i="9"/>
  <c r="AT3054" i="9"/>
  <c r="BB3053" i="9"/>
  <c r="BA3053" i="9"/>
  <c r="AV3053" i="9"/>
  <c r="AU3053" i="9"/>
  <c r="AT3053" i="9"/>
  <c r="BB3052" i="9"/>
  <c r="BA3052" i="9"/>
  <c r="AV3052" i="9"/>
  <c r="AU3052" i="9"/>
  <c r="AT3052" i="9"/>
  <c r="BB3051" i="9"/>
  <c r="BA3051" i="9"/>
  <c r="AV3051" i="9"/>
  <c r="AU3051" i="9"/>
  <c r="AT3051" i="9"/>
  <c r="BB3050" i="9"/>
  <c r="BA3050" i="9"/>
  <c r="AV3050" i="9"/>
  <c r="AU3050" i="9"/>
  <c r="AT3050" i="9"/>
  <c r="BB3049" i="9"/>
  <c r="BA3049" i="9"/>
  <c r="AV3049" i="9"/>
  <c r="AU3049" i="9"/>
  <c r="AT3049" i="9"/>
  <c r="BB3048" i="9"/>
  <c r="BA3048" i="9"/>
  <c r="AV3048" i="9"/>
  <c r="AU3048" i="9"/>
  <c r="AT3048" i="9"/>
  <c r="BB3047" i="9"/>
  <c r="BA3047" i="9"/>
  <c r="AV3047" i="9"/>
  <c r="AU3047" i="9"/>
  <c r="AT3047" i="9"/>
  <c r="BB3046" i="9"/>
  <c r="BA3046" i="9"/>
  <c r="AV3046" i="9"/>
  <c r="AU3046" i="9"/>
  <c r="AT3046" i="9"/>
  <c r="BB3045" i="9"/>
  <c r="BA3045" i="9"/>
  <c r="AV3045" i="9"/>
  <c r="AU3045" i="9"/>
  <c r="AT3045" i="9"/>
  <c r="BB3044" i="9"/>
  <c r="BA3044" i="9"/>
  <c r="AV3044" i="9"/>
  <c r="AU3044" i="9"/>
  <c r="AT3044" i="9"/>
  <c r="BB3043" i="9"/>
  <c r="BA3043" i="9"/>
  <c r="AV3043" i="9"/>
  <c r="AU3043" i="9"/>
  <c r="AT3043" i="9"/>
  <c r="BB3042" i="9"/>
  <c r="BA3042" i="9"/>
  <c r="AV3042" i="9"/>
  <c r="AU3042" i="9"/>
  <c r="AT3042" i="9"/>
  <c r="BB3041" i="9"/>
  <c r="BA3041" i="9"/>
  <c r="AV3041" i="9"/>
  <c r="AU3041" i="9"/>
  <c r="AT3041" i="9"/>
  <c r="BB3040" i="9"/>
  <c r="BA3040" i="9"/>
  <c r="AV3040" i="9"/>
  <c r="AU3040" i="9"/>
  <c r="AT3040" i="9"/>
  <c r="BB3039" i="9"/>
  <c r="BA3039" i="9"/>
  <c r="AV3039" i="9"/>
  <c r="AU3039" i="9"/>
  <c r="AT3039" i="9"/>
  <c r="BB3038" i="9"/>
  <c r="BA3038" i="9"/>
  <c r="AV3038" i="9"/>
  <c r="AU3038" i="9"/>
  <c r="AT3038" i="9"/>
  <c r="BB3037" i="9"/>
  <c r="BA3037" i="9"/>
  <c r="AV3037" i="9"/>
  <c r="AU3037" i="9"/>
  <c r="AT3037" i="9"/>
  <c r="BB3036" i="9"/>
  <c r="BA3036" i="9"/>
  <c r="AV3036" i="9"/>
  <c r="AU3036" i="9"/>
  <c r="AT3036" i="9"/>
  <c r="BB3035" i="9"/>
  <c r="BA3035" i="9"/>
  <c r="AV3035" i="9"/>
  <c r="AU3035" i="9"/>
  <c r="AT3035" i="9"/>
  <c r="BB3034" i="9"/>
  <c r="BA3034" i="9"/>
  <c r="AV3034" i="9"/>
  <c r="AU3034" i="9"/>
  <c r="AT3034" i="9"/>
  <c r="BB3033" i="9"/>
  <c r="BA3033" i="9"/>
  <c r="AV3033" i="9"/>
  <c r="AU3033" i="9"/>
  <c r="AT3033" i="9"/>
  <c r="BB3032" i="9"/>
  <c r="BA3032" i="9"/>
  <c r="AV3032" i="9"/>
  <c r="AU3032" i="9"/>
  <c r="AT3032" i="9"/>
  <c r="BB3031" i="9"/>
  <c r="BA3031" i="9"/>
  <c r="AV3031" i="9"/>
  <c r="AU3031" i="9"/>
  <c r="AT3031" i="9"/>
  <c r="BB3030" i="9"/>
  <c r="BA3030" i="9"/>
  <c r="AV3030" i="9"/>
  <c r="AU3030" i="9"/>
  <c r="AT3030" i="9"/>
  <c r="BB3029" i="9"/>
  <c r="BA3029" i="9"/>
  <c r="AV3029" i="9"/>
  <c r="AU3029" i="9"/>
  <c r="AT3029" i="9"/>
  <c r="BB3028" i="9"/>
  <c r="BA3028" i="9"/>
  <c r="AV3028" i="9"/>
  <c r="AU3028" i="9"/>
  <c r="AT3028" i="9"/>
  <c r="BB3027" i="9"/>
  <c r="BA3027" i="9"/>
  <c r="AV3027" i="9"/>
  <c r="AU3027" i="9"/>
  <c r="AT3027" i="9"/>
  <c r="BB3026" i="9"/>
  <c r="BA3026" i="9"/>
  <c r="AV3026" i="9"/>
  <c r="AU3026" i="9"/>
  <c r="AT3026" i="9"/>
  <c r="BB3025" i="9"/>
  <c r="BA3025" i="9"/>
  <c r="AV3025" i="9"/>
  <c r="AU3025" i="9"/>
  <c r="AT3025" i="9"/>
  <c r="BB3024" i="9"/>
  <c r="BA3024" i="9"/>
  <c r="AV3024" i="9"/>
  <c r="AU3024" i="9"/>
  <c r="AT3024" i="9"/>
  <c r="BB3023" i="9"/>
  <c r="BA3023" i="9"/>
  <c r="AV3023" i="9"/>
  <c r="AU3023" i="9"/>
  <c r="AT3023" i="9"/>
  <c r="BB3022" i="9"/>
  <c r="BA3022" i="9"/>
  <c r="AV3022" i="9"/>
  <c r="AU3022" i="9"/>
  <c r="AT3022" i="9"/>
  <c r="BB3021" i="9"/>
  <c r="BA3021" i="9"/>
  <c r="AV3021" i="9"/>
  <c r="AU3021" i="9"/>
  <c r="AT3021" i="9"/>
  <c r="BB3020" i="9"/>
  <c r="BA3020" i="9"/>
  <c r="AV3020" i="9"/>
  <c r="AU3020" i="9"/>
  <c r="AT3020" i="9"/>
  <c r="BB3019" i="9"/>
  <c r="BA3019" i="9"/>
  <c r="AV3019" i="9"/>
  <c r="AU3019" i="9"/>
  <c r="AT3019" i="9"/>
  <c r="BB3018" i="9"/>
  <c r="BA3018" i="9"/>
  <c r="AV3018" i="9"/>
  <c r="AU3018" i="9"/>
  <c r="AT3018" i="9"/>
  <c r="BB3017" i="9"/>
  <c r="BA3017" i="9"/>
  <c r="AV3017" i="9"/>
  <c r="AU3017" i="9"/>
  <c r="AT3017" i="9"/>
  <c r="BB3016" i="9"/>
  <c r="BA3016" i="9"/>
  <c r="AV3016" i="9"/>
  <c r="AU3016" i="9"/>
  <c r="AT3016" i="9"/>
  <c r="BB3015" i="9"/>
  <c r="BA3015" i="9"/>
  <c r="AV3015" i="9"/>
  <c r="AU3015" i="9"/>
  <c r="AT3015" i="9"/>
  <c r="BB3014" i="9"/>
  <c r="BA3014" i="9"/>
  <c r="AV3014" i="9"/>
  <c r="AU3014" i="9"/>
  <c r="AT3014" i="9"/>
  <c r="BB3013" i="9"/>
  <c r="BA3013" i="9"/>
  <c r="AV3013" i="9"/>
  <c r="AU3013" i="9"/>
  <c r="AT3013" i="9"/>
  <c r="BB3012" i="9"/>
  <c r="BA3012" i="9"/>
  <c r="AV3012" i="9"/>
  <c r="AU3012" i="9"/>
  <c r="AT3012" i="9"/>
  <c r="BB3011" i="9"/>
  <c r="BA3011" i="9"/>
  <c r="AV3011" i="9"/>
  <c r="AU3011" i="9"/>
  <c r="AT3011" i="9"/>
  <c r="BB3010" i="9"/>
  <c r="BA3010" i="9"/>
  <c r="AV3010" i="9"/>
  <c r="AU3010" i="9"/>
  <c r="AT3010" i="9"/>
  <c r="BB3009" i="9"/>
  <c r="BA3009" i="9"/>
  <c r="AV3009" i="9"/>
  <c r="AU3009" i="9"/>
  <c r="AT3009" i="9"/>
  <c r="BB3008" i="9"/>
  <c r="BA3008" i="9"/>
  <c r="AV3008" i="9"/>
  <c r="AU3008" i="9"/>
  <c r="AT3008" i="9"/>
  <c r="BB3007" i="9"/>
  <c r="BA3007" i="9"/>
  <c r="AV3007" i="9"/>
  <c r="AU3007" i="9"/>
  <c r="AT3007" i="9"/>
  <c r="BB3006" i="9"/>
  <c r="BA3006" i="9"/>
  <c r="AV3006" i="9"/>
  <c r="AU3006" i="9"/>
  <c r="AT3006" i="9"/>
  <c r="BB3005" i="9"/>
  <c r="BA3005" i="9"/>
  <c r="AV3005" i="9"/>
  <c r="AU3005" i="9"/>
  <c r="AT3005" i="9"/>
  <c r="BB3004" i="9"/>
  <c r="BA3004" i="9"/>
  <c r="AV3004" i="9"/>
  <c r="AU3004" i="9"/>
  <c r="AT3004" i="9"/>
  <c r="BB3003" i="9"/>
  <c r="BA3003" i="9"/>
  <c r="AV3003" i="9"/>
  <c r="AU3003" i="9"/>
  <c r="AT3003" i="9"/>
  <c r="BB3002" i="9"/>
  <c r="BA3002" i="9"/>
  <c r="AV3002" i="9"/>
  <c r="AU3002" i="9"/>
  <c r="AT3002" i="9"/>
  <c r="BB3001" i="9"/>
  <c r="BA3001" i="9"/>
  <c r="AV3001" i="9"/>
  <c r="AU3001" i="9"/>
  <c r="AT3001" i="9"/>
  <c r="BB3000" i="9"/>
  <c r="BA3000" i="9"/>
  <c r="AV3000" i="9"/>
  <c r="AU3000" i="9"/>
  <c r="AT3000" i="9"/>
  <c r="BB2999" i="9"/>
  <c r="BA2999" i="9"/>
  <c r="AV2999" i="9"/>
  <c r="AU2999" i="9"/>
  <c r="AT2999" i="9"/>
  <c r="BB2998" i="9"/>
  <c r="BA2998" i="9"/>
  <c r="AV2998" i="9"/>
  <c r="AU2998" i="9"/>
  <c r="AT2998" i="9"/>
  <c r="BB2997" i="9"/>
  <c r="BA2997" i="9"/>
  <c r="AV2997" i="9"/>
  <c r="AU2997" i="9"/>
  <c r="AT2997" i="9"/>
  <c r="BB2996" i="9"/>
  <c r="BA2996" i="9"/>
  <c r="AV2996" i="9"/>
  <c r="AU2996" i="9"/>
  <c r="AT2996" i="9"/>
  <c r="BB2995" i="9"/>
  <c r="BA2995" i="9"/>
  <c r="AV2995" i="9"/>
  <c r="AU2995" i="9"/>
  <c r="AT2995" i="9"/>
  <c r="BB2994" i="9"/>
  <c r="BA2994" i="9"/>
  <c r="AV2994" i="9"/>
  <c r="AU2994" i="9"/>
  <c r="AT2994" i="9"/>
  <c r="BB2993" i="9"/>
  <c r="BA2993" i="9"/>
  <c r="AV2993" i="9"/>
  <c r="AU2993" i="9"/>
  <c r="AT2993" i="9"/>
  <c r="BB2992" i="9"/>
  <c r="BA2992" i="9"/>
  <c r="AV2992" i="9"/>
  <c r="AU2992" i="9"/>
  <c r="AT2992" i="9"/>
  <c r="BB2991" i="9"/>
  <c r="BA2991" i="9"/>
  <c r="AV2991" i="9"/>
  <c r="AU2991" i="9"/>
  <c r="AT2991" i="9"/>
  <c r="BB2990" i="9"/>
  <c r="BA2990" i="9"/>
  <c r="AV2990" i="9"/>
  <c r="AU2990" i="9"/>
  <c r="AT2990" i="9"/>
  <c r="BB2989" i="9"/>
  <c r="BA2989" i="9"/>
  <c r="AV2989" i="9"/>
  <c r="AU2989" i="9"/>
  <c r="AT2989" i="9"/>
  <c r="BB2988" i="9"/>
  <c r="BA2988" i="9"/>
  <c r="AV2988" i="9"/>
  <c r="AU2988" i="9"/>
  <c r="AT2988" i="9"/>
  <c r="BB2987" i="9"/>
  <c r="BA2987" i="9"/>
  <c r="AV2987" i="9"/>
  <c r="AU2987" i="9"/>
  <c r="AT2987" i="9"/>
  <c r="BB2986" i="9"/>
  <c r="BA2986" i="9"/>
  <c r="AV2986" i="9"/>
  <c r="AU2986" i="9"/>
  <c r="AT2986" i="9"/>
  <c r="BB2985" i="9"/>
  <c r="BA2985" i="9"/>
  <c r="AV2985" i="9"/>
  <c r="AU2985" i="9"/>
  <c r="AT2985" i="9"/>
  <c r="BB2984" i="9"/>
  <c r="BA2984" i="9"/>
  <c r="AV2984" i="9"/>
  <c r="AU2984" i="9"/>
  <c r="AT2984" i="9"/>
  <c r="BB2983" i="9"/>
  <c r="BA2983" i="9"/>
  <c r="AV2983" i="9"/>
  <c r="AU2983" i="9"/>
  <c r="AT2983" i="9"/>
  <c r="BB2982" i="9"/>
  <c r="BA2982" i="9"/>
  <c r="AV2982" i="9"/>
  <c r="AU2982" i="9"/>
  <c r="AT2982" i="9"/>
  <c r="BB2981" i="9"/>
  <c r="BA2981" i="9"/>
  <c r="AV2981" i="9"/>
  <c r="AU2981" i="9"/>
  <c r="AT2981" i="9"/>
  <c r="BB2980" i="9"/>
  <c r="BA2980" i="9"/>
  <c r="AV2980" i="9"/>
  <c r="AU2980" i="9"/>
  <c r="AT2980" i="9"/>
  <c r="BB2979" i="9"/>
  <c r="BA2979" i="9"/>
  <c r="AV2979" i="9"/>
  <c r="AU2979" i="9"/>
  <c r="AT2979" i="9"/>
  <c r="BB2978" i="9"/>
  <c r="BA2978" i="9"/>
  <c r="AV2978" i="9"/>
  <c r="AU2978" i="9"/>
  <c r="AT2978" i="9"/>
  <c r="BB2977" i="9"/>
  <c r="BA2977" i="9"/>
  <c r="AV2977" i="9"/>
  <c r="AU2977" i="9"/>
  <c r="AT2977" i="9"/>
  <c r="BB2976" i="9"/>
  <c r="BA2976" i="9"/>
  <c r="AV2976" i="9"/>
  <c r="AU2976" i="9"/>
  <c r="AT2976" i="9"/>
  <c r="BB2975" i="9"/>
  <c r="BA2975" i="9"/>
  <c r="AV2975" i="9"/>
  <c r="AU2975" i="9"/>
  <c r="AT2975" i="9"/>
  <c r="BB2974" i="9"/>
  <c r="BA2974" i="9"/>
  <c r="AV2974" i="9"/>
  <c r="AU2974" i="9"/>
  <c r="AT2974" i="9"/>
  <c r="BB2973" i="9"/>
  <c r="BA2973" i="9"/>
  <c r="AV2973" i="9"/>
  <c r="AU2973" i="9"/>
  <c r="AT2973" i="9"/>
  <c r="BB2972" i="9"/>
  <c r="BA2972" i="9"/>
  <c r="AV2972" i="9"/>
  <c r="AU2972" i="9"/>
  <c r="AT2972" i="9"/>
  <c r="BB2971" i="9"/>
  <c r="BA2971" i="9"/>
  <c r="AV2971" i="9"/>
  <c r="AU2971" i="9"/>
  <c r="AT2971" i="9"/>
  <c r="BB2970" i="9"/>
  <c r="BA2970" i="9"/>
  <c r="AV2970" i="9"/>
  <c r="AU2970" i="9"/>
  <c r="AT2970" i="9"/>
  <c r="BB2969" i="9"/>
  <c r="BA2969" i="9"/>
  <c r="AV2969" i="9"/>
  <c r="AU2969" i="9"/>
  <c r="AT2969" i="9"/>
  <c r="BB2968" i="9"/>
  <c r="BA2968" i="9"/>
  <c r="AV2968" i="9"/>
  <c r="AU2968" i="9"/>
  <c r="AT2968" i="9"/>
  <c r="BB2967" i="9"/>
  <c r="BA2967" i="9"/>
  <c r="AV2967" i="9"/>
  <c r="AU2967" i="9"/>
  <c r="AT2967" i="9"/>
  <c r="BB2966" i="9"/>
  <c r="BA2966" i="9"/>
  <c r="AV2966" i="9"/>
  <c r="AU2966" i="9"/>
  <c r="AT2966" i="9"/>
  <c r="BB2965" i="9"/>
  <c r="BA2965" i="9"/>
  <c r="AV2965" i="9"/>
  <c r="AU2965" i="9"/>
  <c r="AT2965" i="9"/>
  <c r="BB2964" i="9"/>
  <c r="BA2964" i="9"/>
  <c r="AV2964" i="9"/>
  <c r="AU2964" i="9"/>
  <c r="AT2964" i="9"/>
  <c r="BB2963" i="9"/>
  <c r="BA2963" i="9"/>
  <c r="AV2963" i="9"/>
  <c r="AU2963" i="9"/>
  <c r="AT2963" i="9"/>
  <c r="BB2962" i="9"/>
  <c r="BA2962" i="9"/>
  <c r="AV2962" i="9"/>
  <c r="AU2962" i="9"/>
  <c r="AT2962" i="9"/>
  <c r="BB2961" i="9"/>
  <c r="BA2961" i="9"/>
  <c r="AV2961" i="9"/>
  <c r="AU2961" i="9"/>
  <c r="AT2961" i="9"/>
  <c r="BB2960" i="9"/>
  <c r="BA2960" i="9"/>
  <c r="AV2960" i="9"/>
  <c r="AU2960" i="9"/>
  <c r="AT2960" i="9"/>
  <c r="BB2959" i="9"/>
  <c r="BA2959" i="9"/>
  <c r="AV2959" i="9"/>
  <c r="AU2959" i="9"/>
  <c r="AT2959" i="9"/>
  <c r="BB2958" i="9"/>
  <c r="BA2958" i="9"/>
  <c r="AV2958" i="9"/>
  <c r="AU2958" i="9"/>
  <c r="AT2958" i="9"/>
  <c r="BB2957" i="9"/>
  <c r="BA2957" i="9"/>
  <c r="AV2957" i="9"/>
  <c r="AU2957" i="9"/>
  <c r="AT2957" i="9"/>
  <c r="BB2956" i="9"/>
  <c r="BA2956" i="9"/>
  <c r="AV2956" i="9"/>
  <c r="AU2956" i="9"/>
  <c r="AT2956" i="9"/>
  <c r="BB2955" i="9"/>
  <c r="BA2955" i="9"/>
  <c r="AV2955" i="9"/>
  <c r="AU2955" i="9"/>
  <c r="AT2955" i="9"/>
  <c r="BB2954" i="9"/>
  <c r="BA2954" i="9"/>
  <c r="AV2954" i="9"/>
  <c r="AU2954" i="9"/>
  <c r="AT2954" i="9"/>
  <c r="BB2953" i="9"/>
  <c r="BA2953" i="9"/>
  <c r="AV2953" i="9"/>
  <c r="AU2953" i="9"/>
  <c r="AT2953" i="9"/>
  <c r="BB2952" i="9"/>
  <c r="BA2952" i="9"/>
  <c r="AV2952" i="9"/>
  <c r="AU2952" i="9"/>
  <c r="AT2952" i="9"/>
  <c r="BB2951" i="9"/>
  <c r="BA2951" i="9"/>
  <c r="AV2951" i="9"/>
  <c r="AU2951" i="9"/>
  <c r="AT2951" i="9"/>
  <c r="BB2950" i="9"/>
  <c r="BA2950" i="9"/>
  <c r="AV2950" i="9"/>
  <c r="AU2950" i="9"/>
  <c r="AT2950" i="9"/>
  <c r="BB2949" i="9"/>
  <c r="BA2949" i="9"/>
  <c r="AV2949" i="9"/>
  <c r="AU2949" i="9"/>
  <c r="AT2949" i="9"/>
  <c r="BB2948" i="9"/>
  <c r="BA2948" i="9"/>
  <c r="AV2948" i="9"/>
  <c r="AU2948" i="9"/>
  <c r="AT2948" i="9"/>
  <c r="BB2947" i="9"/>
  <c r="BA2947" i="9"/>
  <c r="AV2947" i="9"/>
  <c r="AU2947" i="9"/>
  <c r="AT2947" i="9"/>
  <c r="BB2946" i="9"/>
  <c r="BA2946" i="9"/>
  <c r="AV2946" i="9"/>
  <c r="AU2946" i="9"/>
  <c r="AT2946" i="9"/>
  <c r="BB2945" i="9"/>
  <c r="BA2945" i="9"/>
  <c r="AV2945" i="9"/>
  <c r="AU2945" i="9"/>
  <c r="AT2945" i="9"/>
  <c r="BB2944" i="9"/>
  <c r="BA2944" i="9"/>
  <c r="AV2944" i="9"/>
  <c r="AU2944" i="9"/>
  <c r="AT2944" i="9"/>
  <c r="BB2943" i="9"/>
  <c r="BA2943" i="9"/>
  <c r="AV2943" i="9"/>
  <c r="AU2943" i="9"/>
  <c r="AT2943" i="9"/>
  <c r="BB2942" i="9"/>
  <c r="BA2942" i="9"/>
  <c r="AV2942" i="9"/>
  <c r="AU2942" i="9"/>
  <c r="AT2942" i="9"/>
  <c r="BB2941" i="9"/>
  <c r="BA2941" i="9"/>
  <c r="AV2941" i="9"/>
  <c r="AU2941" i="9"/>
  <c r="AT2941" i="9"/>
  <c r="BB2940" i="9"/>
  <c r="BA2940" i="9"/>
  <c r="AV2940" i="9"/>
  <c r="AU2940" i="9"/>
  <c r="AT2940" i="9"/>
  <c r="BB2939" i="9"/>
  <c r="BA2939" i="9"/>
  <c r="AV2939" i="9"/>
  <c r="AU2939" i="9"/>
  <c r="AT2939" i="9"/>
  <c r="BB2938" i="9"/>
  <c r="BA2938" i="9"/>
  <c r="AV2938" i="9"/>
  <c r="AU2938" i="9"/>
  <c r="AT2938" i="9"/>
  <c r="BB2937" i="9"/>
  <c r="BA2937" i="9"/>
  <c r="AV2937" i="9"/>
  <c r="AU2937" i="9"/>
  <c r="AT2937" i="9"/>
  <c r="BB2936" i="9"/>
  <c r="BA2936" i="9"/>
  <c r="AV2936" i="9"/>
  <c r="AU2936" i="9"/>
  <c r="AT2936" i="9"/>
  <c r="BB2935" i="9"/>
  <c r="BA2935" i="9"/>
  <c r="AV2935" i="9"/>
  <c r="AU2935" i="9"/>
  <c r="AT2935" i="9"/>
  <c r="BB2934" i="9"/>
  <c r="BA2934" i="9"/>
  <c r="AV2934" i="9"/>
  <c r="AU2934" i="9"/>
  <c r="AT2934" i="9"/>
  <c r="BB2933" i="9"/>
  <c r="BA2933" i="9"/>
  <c r="AV2933" i="9"/>
  <c r="AU2933" i="9"/>
  <c r="AT2933" i="9"/>
  <c r="BB2932" i="9"/>
  <c r="BA2932" i="9"/>
  <c r="AV2932" i="9"/>
  <c r="AU2932" i="9"/>
  <c r="AT2932" i="9"/>
  <c r="BB2931" i="9"/>
  <c r="BA2931" i="9"/>
  <c r="AV2931" i="9"/>
  <c r="AU2931" i="9"/>
  <c r="AT2931" i="9"/>
  <c r="BB2930" i="9"/>
  <c r="BA2930" i="9"/>
  <c r="AV2930" i="9"/>
  <c r="AU2930" i="9"/>
  <c r="AT2930" i="9"/>
  <c r="BB2929" i="9"/>
  <c r="BA2929" i="9"/>
  <c r="AV2929" i="9"/>
  <c r="AU2929" i="9"/>
  <c r="AT2929" i="9"/>
  <c r="BB2928" i="9"/>
  <c r="BA2928" i="9"/>
  <c r="AV2928" i="9"/>
  <c r="AU2928" i="9"/>
  <c r="AT2928" i="9"/>
  <c r="BB2927" i="9"/>
  <c r="BA2927" i="9"/>
  <c r="AV2927" i="9"/>
  <c r="AU2927" i="9"/>
  <c r="AT2927" i="9"/>
  <c r="BB2926" i="9"/>
  <c r="BA2926" i="9"/>
  <c r="AV2926" i="9"/>
  <c r="AU2926" i="9"/>
  <c r="AT2926" i="9"/>
  <c r="BB2925" i="9"/>
  <c r="BA2925" i="9"/>
  <c r="AV2925" i="9"/>
  <c r="AU2925" i="9"/>
  <c r="AT2925" i="9"/>
  <c r="BB2924" i="9"/>
  <c r="BA2924" i="9"/>
  <c r="AV2924" i="9"/>
  <c r="AU2924" i="9"/>
  <c r="AT2924" i="9"/>
  <c r="BB2923" i="9"/>
  <c r="BA2923" i="9"/>
  <c r="AV2923" i="9"/>
  <c r="AU2923" i="9"/>
  <c r="AT2923" i="9"/>
  <c r="BB2922" i="9"/>
  <c r="BA2922" i="9"/>
  <c r="AV2922" i="9"/>
  <c r="AU2922" i="9"/>
  <c r="AT2922" i="9"/>
  <c r="BB2921" i="9"/>
  <c r="BA2921" i="9"/>
  <c r="AV2921" i="9"/>
  <c r="AU2921" i="9"/>
  <c r="AT2921" i="9"/>
  <c r="BB2920" i="9"/>
  <c r="BA2920" i="9"/>
  <c r="AV2920" i="9"/>
  <c r="AU2920" i="9"/>
  <c r="AT2920" i="9"/>
  <c r="BB2919" i="9"/>
  <c r="BA2919" i="9"/>
  <c r="AV2919" i="9"/>
  <c r="AU2919" i="9"/>
  <c r="AT2919" i="9"/>
  <c r="BB2918" i="9"/>
  <c r="BA2918" i="9"/>
  <c r="AV2918" i="9"/>
  <c r="AU2918" i="9"/>
  <c r="AT2918" i="9"/>
  <c r="BB2917" i="9"/>
  <c r="BA2917" i="9"/>
  <c r="AV2917" i="9"/>
  <c r="AU2917" i="9"/>
  <c r="AT2917" i="9"/>
  <c r="BB2916" i="9"/>
  <c r="BA2916" i="9"/>
  <c r="AV2916" i="9"/>
  <c r="AU2916" i="9"/>
  <c r="AT2916" i="9"/>
  <c r="BB2915" i="9"/>
  <c r="BA2915" i="9"/>
  <c r="AV2915" i="9"/>
  <c r="AU2915" i="9"/>
  <c r="AT2915" i="9"/>
  <c r="BB2914" i="9"/>
  <c r="BA2914" i="9"/>
  <c r="AV2914" i="9"/>
  <c r="AU2914" i="9"/>
  <c r="AT2914" i="9"/>
  <c r="BB2913" i="9"/>
  <c r="BA2913" i="9"/>
  <c r="AV2913" i="9"/>
  <c r="AU2913" i="9"/>
  <c r="AT2913" i="9"/>
  <c r="BB2912" i="9"/>
  <c r="BA2912" i="9"/>
  <c r="AV2912" i="9"/>
  <c r="AU2912" i="9"/>
  <c r="AT2912" i="9"/>
  <c r="BB2911" i="9"/>
  <c r="BA2911" i="9"/>
  <c r="AV2911" i="9"/>
  <c r="AU2911" i="9"/>
  <c r="AT2911" i="9"/>
  <c r="BB2910" i="9"/>
  <c r="BA2910" i="9"/>
  <c r="AV2910" i="9"/>
  <c r="AU2910" i="9"/>
  <c r="AT2910" i="9"/>
  <c r="BB2909" i="9"/>
  <c r="BA2909" i="9"/>
  <c r="AV2909" i="9"/>
  <c r="AU2909" i="9"/>
  <c r="AT2909" i="9"/>
  <c r="BB2908" i="9"/>
  <c r="BA2908" i="9"/>
  <c r="AV2908" i="9"/>
  <c r="AU2908" i="9"/>
  <c r="AT2908" i="9"/>
  <c r="BB2907" i="9"/>
  <c r="BA2907" i="9"/>
  <c r="AV2907" i="9"/>
  <c r="AU2907" i="9"/>
  <c r="AT2907" i="9"/>
  <c r="BB2906" i="9"/>
  <c r="BA2906" i="9"/>
  <c r="AV2906" i="9"/>
  <c r="AU2906" i="9"/>
  <c r="AT2906" i="9"/>
  <c r="BB2905" i="9"/>
  <c r="BA2905" i="9"/>
  <c r="AV2905" i="9"/>
  <c r="AU2905" i="9"/>
  <c r="AT2905" i="9"/>
  <c r="BB2904" i="9"/>
  <c r="BA2904" i="9"/>
  <c r="AV2904" i="9"/>
  <c r="AU2904" i="9"/>
  <c r="AT2904" i="9"/>
  <c r="BB2903" i="9"/>
  <c r="BA2903" i="9"/>
  <c r="AV2903" i="9"/>
  <c r="AU2903" i="9"/>
  <c r="AT2903" i="9"/>
  <c r="BB2902" i="9"/>
  <c r="BA2902" i="9"/>
  <c r="AV2902" i="9"/>
  <c r="AU2902" i="9"/>
  <c r="AT2902" i="9"/>
  <c r="BB2901" i="9"/>
  <c r="BA2901" i="9"/>
  <c r="AV2901" i="9"/>
  <c r="AU2901" i="9"/>
  <c r="AT2901" i="9"/>
  <c r="BB2900" i="9"/>
  <c r="BA2900" i="9"/>
  <c r="AV2900" i="9"/>
  <c r="AU2900" i="9"/>
  <c r="AT2900" i="9"/>
  <c r="BB2899" i="9"/>
  <c r="BA2899" i="9"/>
  <c r="AV2899" i="9"/>
  <c r="AU2899" i="9"/>
  <c r="AT2899" i="9"/>
  <c r="BB2898" i="9"/>
  <c r="BA2898" i="9"/>
  <c r="AV2898" i="9"/>
  <c r="AU2898" i="9"/>
  <c r="AT2898" i="9"/>
  <c r="BB2897" i="9"/>
  <c r="BA2897" i="9"/>
  <c r="AV2897" i="9"/>
  <c r="AU2897" i="9"/>
  <c r="AT2897" i="9"/>
  <c r="BB2896" i="9"/>
  <c r="BA2896" i="9"/>
  <c r="AV2896" i="9"/>
  <c r="AU2896" i="9"/>
  <c r="AT2896" i="9"/>
  <c r="BB2895" i="9"/>
  <c r="BA2895" i="9"/>
  <c r="AV2895" i="9"/>
  <c r="AU2895" i="9"/>
  <c r="AT2895" i="9"/>
  <c r="BB2894" i="9"/>
  <c r="BA2894" i="9"/>
  <c r="AV2894" i="9"/>
  <c r="AU2894" i="9"/>
  <c r="AT2894" i="9"/>
  <c r="BB2893" i="9"/>
  <c r="BA2893" i="9"/>
  <c r="AV2893" i="9"/>
  <c r="AU2893" i="9"/>
  <c r="AT2893" i="9"/>
  <c r="BB2892" i="9"/>
  <c r="BA2892" i="9"/>
  <c r="AV2892" i="9"/>
  <c r="AU2892" i="9"/>
  <c r="AT2892" i="9"/>
  <c r="BB2891" i="9"/>
  <c r="BA2891" i="9"/>
  <c r="AV2891" i="9"/>
  <c r="AU2891" i="9"/>
  <c r="AT2891" i="9"/>
  <c r="BB2890" i="9"/>
  <c r="BA2890" i="9"/>
  <c r="AV2890" i="9"/>
  <c r="AU2890" i="9"/>
  <c r="AT2890" i="9"/>
  <c r="BB2889" i="9"/>
  <c r="BA2889" i="9"/>
  <c r="AV2889" i="9"/>
  <c r="AU2889" i="9"/>
  <c r="AT2889" i="9"/>
  <c r="BB2888" i="9"/>
  <c r="BA2888" i="9"/>
  <c r="AV2888" i="9"/>
  <c r="AU2888" i="9"/>
  <c r="AT2888" i="9"/>
  <c r="BB2887" i="9"/>
  <c r="BA2887" i="9"/>
  <c r="AV2887" i="9"/>
  <c r="AU2887" i="9"/>
  <c r="AT2887" i="9"/>
  <c r="BB2886" i="9"/>
  <c r="BA2886" i="9"/>
  <c r="AV2886" i="9"/>
  <c r="AU2886" i="9"/>
  <c r="AT2886" i="9"/>
  <c r="BB2885" i="9"/>
  <c r="BA2885" i="9"/>
  <c r="AV2885" i="9"/>
  <c r="AU2885" i="9"/>
  <c r="AT2885" i="9"/>
  <c r="BB2884" i="9"/>
  <c r="BA2884" i="9"/>
  <c r="AV2884" i="9"/>
  <c r="AU2884" i="9"/>
  <c r="AT2884" i="9"/>
  <c r="BB2883" i="9"/>
  <c r="BA2883" i="9"/>
  <c r="AV2883" i="9"/>
  <c r="AU2883" i="9"/>
  <c r="AT2883" i="9"/>
  <c r="BB2882" i="9"/>
  <c r="BA2882" i="9"/>
  <c r="AV2882" i="9"/>
  <c r="AU2882" i="9"/>
  <c r="AT2882" i="9"/>
  <c r="BB2881" i="9"/>
  <c r="BA2881" i="9"/>
  <c r="AV2881" i="9"/>
  <c r="AU2881" i="9"/>
  <c r="AT2881" i="9"/>
  <c r="BB2880" i="9"/>
  <c r="BA2880" i="9"/>
  <c r="AV2880" i="9"/>
  <c r="AU2880" i="9"/>
  <c r="AT2880" i="9"/>
  <c r="BB2879" i="9"/>
  <c r="BA2879" i="9"/>
  <c r="AV2879" i="9"/>
  <c r="AU2879" i="9"/>
  <c r="AT2879" i="9"/>
  <c r="BB2878" i="9"/>
  <c r="BA2878" i="9"/>
  <c r="AV2878" i="9"/>
  <c r="AU2878" i="9"/>
  <c r="AT2878" i="9"/>
  <c r="BB2877" i="9"/>
  <c r="BA2877" i="9"/>
  <c r="AV2877" i="9"/>
  <c r="AU2877" i="9"/>
  <c r="AT2877" i="9"/>
  <c r="BB2876" i="9"/>
  <c r="BA2876" i="9"/>
  <c r="AV2876" i="9"/>
  <c r="AU2876" i="9"/>
  <c r="AT2876" i="9"/>
  <c r="BB2875" i="9"/>
  <c r="BA2875" i="9"/>
  <c r="AV2875" i="9"/>
  <c r="AU2875" i="9"/>
  <c r="AT2875" i="9"/>
  <c r="BB2874" i="9"/>
  <c r="BA2874" i="9"/>
  <c r="AV2874" i="9"/>
  <c r="AU2874" i="9"/>
  <c r="AT2874" i="9"/>
  <c r="BB2873" i="9"/>
  <c r="BA2873" i="9"/>
  <c r="AV2873" i="9"/>
  <c r="AU2873" i="9"/>
  <c r="AT2873" i="9"/>
  <c r="BB2872" i="9"/>
  <c r="BA2872" i="9"/>
  <c r="AV2872" i="9"/>
  <c r="AU2872" i="9"/>
  <c r="AT2872" i="9"/>
  <c r="BB2871" i="9"/>
  <c r="BA2871" i="9"/>
  <c r="AV2871" i="9"/>
  <c r="AU2871" i="9"/>
  <c r="AT2871" i="9"/>
  <c r="BB2870" i="9"/>
  <c r="BA2870" i="9"/>
  <c r="AV2870" i="9"/>
  <c r="AU2870" i="9"/>
  <c r="AT2870" i="9"/>
  <c r="BB2869" i="9"/>
  <c r="BA2869" i="9"/>
  <c r="AV2869" i="9"/>
  <c r="AU2869" i="9"/>
  <c r="AT2869" i="9"/>
  <c r="BB2868" i="9"/>
  <c r="BA2868" i="9"/>
  <c r="AV2868" i="9"/>
  <c r="AU2868" i="9"/>
  <c r="AT2868" i="9"/>
  <c r="BB2867" i="9"/>
  <c r="BA2867" i="9"/>
  <c r="AV2867" i="9"/>
  <c r="AU2867" i="9"/>
  <c r="AT2867" i="9"/>
  <c r="BB2866" i="9"/>
  <c r="BA2866" i="9"/>
  <c r="AV2866" i="9"/>
  <c r="AU2866" i="9"/>
  <c r="AT2866" i="9"/>
  <c r="BB2865" i="9"/>
  <c r="BA2865" i="9"/>
  <c r="AV2865" i="9"/>
  <c r="AU2865" i="9"/>
  <c r="AT2865" i="9"/>
  <c r="BB2864" i="9"/>
  <c r="BA2864" i="9"/>
  <c r="AV2864" i="9"/>
  <c r="AU2864" i="9"/>
  <c r="AT2864" i="9"/>
  <c r="BB2863" i="9"/>
  <c r="BA2863" i="9"/>
  <c r="AV2863" i="9"/>
  <c r="AU2863" i="9"/>
  <c r="AT2863" i="9"/>
  <c r="BB2862" i="9"/>
  <c r="BA2862" i="9"/>
  <c r="AV2862" i="9"/>
  <c r="AU2862" i="9"/>
  <c r="AT2862" i="9"/>
  <c r="BB2861" i="9"/>
  <c r="BA2861" i="9"/>
  <c r="AV2861" i="9"/>
  <c r="AU2861" i="9"/>
  <c r="AT2861" i="9"/>
  <c r="BB2860" i="9"/>
  <c r="BA2860" i="9"/>
  <c r="AV2860" i="9"/>
  <c r="AU2860" i="9"/>
  <c r="AT2860" i="9"/>
  <c r="BB2859" i="9"/>
  <c r="BA2859" i="9"/>
  <c r="AV2859" i="9"/>
  <c r="AU2859" i="9"/>
  <c r="AT2859" i="9"/>
  <c r="BB2858" i="9"/>
  <c r="BA2858" i="9"/>
  <c r="AV2858" i="9"/>
  <c r="AU2858" i="9"/>
  <c r="AT2858" i="9"/>
  <c r="BB2857" i="9"/>
  <c r="BA2857" i="9"/>
  <c r="AV2857" i="9"/>
  <c r="AU2857" i="9"/>
  <c r="AT2857" i="9"/>
  <c r="BB2856" i="9"/>
  <c r="BA2856" i="9"/>
  <c r="AV2856" i="9"/>
  <c r="AU2856" i="9"/>
  <c r="AT2856" i="9"/>
  <c r="BB2855" i="9"/>
  <c r="BA2855" i="9"/>
  <c r="AV2855" i="9"/>
  <c r="AU2855" i="9"/>
  <c r="AT2855" i="9"/>
  <c r="BB2854" i="9"/>
  <c r="BA2854" i="9"/>
  <c r="AV2854" i="9"/>
  <c r="AU2854" i="9"/>
  <c r="AT2854" i="9"/>
  <c r="BB2853" i="9"/>
  <c r="BA2853" i="9"/>
  <c r="AV2853" i="9"/>
  <c r="AU2853" i="9"/>
  <c r="AT2853" i="9"/>
  <c r="BB2852" i="9"/>
  <c r="BA2852" i="9"/>
  <c r="AV2852" i="9"/>
  <c r="AU2852" i="9"/>
  <c r="AT2852" i="9"/>
  <c r="BB2851" i="9"/>
  <c r="BA2851" i="9"/>
  <c r="AV2851" i="9"/>
  <c r="AU2851" i="9"/>
  <c r="AT2851" i="9"/>
  <c r="BB2850" i="9"/>
  <c r="BA2850" i="9"/>
  <c r="AV2850" i="9"/>
  <c r="AU2850" i="9"/>
  <c r="AT2850" i="9"/>
  <c r="BB2849" i="9"/>
  <c r="BA2849" i="9"/>
  <c r="AV2849" i="9"/>
  <c r="AU2849" i="9"/>
  <c r="AT2849" i="9"/>
  <c r="BB2848" i="9"/>
  <c r="BA2848" i="9"/>
  <c r="AV2848" i="9"/>
  <c r="AU2848" i="9"/>
  <c r="AT2848" i="9"/>
  <c r="BB2847" i="9"/>
  <c r="BA2847" i="9"/>
  <c r="AV2847" i="9"/>
  <c r="AU2847" i="9"/>
  <c r="AT2847" i="9"/>
  <c r="BB2846" i="9"/>
  <c r="BA2846" i="9"/>
  <c r="AV2846" i="9"/>
  <c r="AU2846" i="9"/>
  <c r="AT2846" i="9"/>
  <c r="BB2845" i="9"/>
  <c r="BA2845" i="9"/>
  <c r="AV2845" i="9"/>
  <c r="AU2845" i="9"/>
  <c r="AT2845" i="9"/>
  <c r="BB2844" i="9"/>
  <c r="BA2844" i="9"/>
  <c r="AV2844" i="9"/>
  <c r="AU2844" i="9"/>
  <c r="AT2844" i="9"/>
  <c r="BB2843" i="9"/>
  <c r="BA2843" i="9"/>
  <c r="AV2843" i="9"/>
  <c r="AU2843" i="9"/>
  <c r="AT2843" i="9"/>
  <c r="BB2842" i="9"/>
  <c r="BA2842" i="9"/>
  <c r="AV2842" i="9"/>
  <c r="AU2842" i="9"/>
  <c r="AT2842" i="9"/>
  <c r="BB2841" i="9"/>
  <c r="BA2841" i="9"/>
  <c r="AV2841" i="9"/>
  <c r="AU2841" i="9"/>
  <c r="AT2841" i="9"/>
  <c r="BB2840" i="9"/>
  <c r="BA2840" i="9"/>
  <c r="AV2840" i="9"/>
  <c r="AU2840" i="9"/>
  <c r="AT2840" i="9"/>
  <c r="BB2839" i="9"/>
  <c r="BA2839" i="9"/>
  <c r="AV2839" i="9"/>
  <c r="AU2839" i="9"/>
  <c r="AT2839" i="9"/>
  <c r="BB2838" i="9"/>
  <c r="BA2838" i="9"/>
  <c r="AV2838" i="9"/>
  <c r="AU2838" i="9"/>
  <c r="AT2838" i="9"/>
  <c r="BB2837" i="9"/>
  <c r="BA2837" i="9"/>
  <c r="AV2837" i="9"/>
  <c r="AU2837" i="9"/>
  <c r="AT2837" i="9"/>
  <c r="BB2836" i="9"/>
  <c r="BA2836" i="9"/>
  <c r="AV2836" i="9"/>
  <c r="AU2836" i="9"/>
  <c r="AT2836" i="9"/>
  <c r="BB2835" i="9"/>
  <c r="BA2835" i="9"/>
  <c r="AV2835" i="9"/>
  <c r="AU2835" i="9"/>
  <c r="AT2835" i="9"/>
  <c r="BB2834" i="9"/>
  <c r="BA2834" i="9"/>
  <c r="AV2834" i="9"/>
  <c r="AU2834" i="9"/>
  <c r="AT2834" i="9"/>
  <c r="BB2833" i="9"/>
  <c r="BA2833" i="9"/>
  <c r="AV2833" i="9"/>
  <c r="AU2833" i="9"/>
  <c r="AT2833" i="9"/>
  <c r="BB2832" i="9"/>
  <c r="BA2832" i="9"/>
  <c r="AV2832" i="9"/>
  <c r="AU2832" i="9"/>
  <c r="AT2832" i="9"/>
  <c r="BB2831" i="9"/>
  <c r="BA2831" i="9"/>
  <c r="AV2831" i="9"/>
  <c r="AU2831" i="9"/>
  <c r="AT2831" i="9"/>
  <c r="BB2830" i="9"/>
  <c r="BA2830" i="9"/>
  <c r="AV2830" i="9"/>
  <c r="AU2830" i="9"/>
  <c r="AT2830" i="9"/>
  <c r="BB2829" i="9"/>
  <c r="BA2829" i="9"/>
  <c r="AV2829" i="9"/>
  <c r="AU2829" i="9"/>
  <c r="AT2829" i="9"/>
  <c r="BB2828" i="9"/>
  <c r="BA2828" i="9"/>
  <c r="AV2828" i="9"/>
  <c r="AU2828" i="9"/>
  <c r="AT2828" i="9"/>
  <c r="BB2827" i="9"/>
  <c r="BA2827" i="9"/>
  <c r="AV2827" i="9"/>
  <c r="AU2827" i="9"/>
  <c r="AT2827" i="9"/>
  <c r="BB2826" i="9"/>
  <c r="BA2826" i="9"/>
  <c r="AV2826" i="9"/>
  <c r="AU2826" i="9"/>
  <c r="AT2826" i="9"/>
  <c r="BB2825" i="9"/>
  <c r="BA2825" i="9"/>
  <c r="AV2825" i="9"/>
  <c r="AU2825" i="9"/>
  <c r="AT2825" i="9"/>
  <c r="BB2824" i="9"/>
  <c r="BA2824" i="9"/>
  <c r="AV2824" i="9"/>
  <c r="AU2824" i="9"/>
  <c r="AT2824" i="9"/>
  <c r="BB2823" i="9"/>
  <c r="BA2823" i="9"/>
  <c r="AV2823" i="9"/>
  <c r="AU2823" i="9"/>
  <c r="AT2823" i="9"/>
  <c r="BB2822" i="9"/>
  <c r="BA2822" i="9"/>
  <c r="AV2822" i="9"/>
  <c r="AU2822" i="9"/>
  <c r="AT2822" i="9"/>
  <c r="BB2821" i="9"/>
  <c r="BA2821" i="9"/>
  <c r="AV2821" i="9"/>
  <c r="AU2821" i="9"/>
  <c r="AT2821" i="9"/>
  <c r="BB2820" i="9"/>
  <c r="BA2820" i="9"/>
  <c r="AV2820" i="9"/>
  <c r="AU2820" i="9"/>
  <c r="AT2820" i="9"/>
  <c r="BB2819" i="9"/>
  <c r="BA2819" i="9"/>
  <c r="AV2819" i="9"/>
  <c r="AU2819" i="9"/>
  <c r="AT2819" i="9"/>
  <c r="BB2818" i="9"/>
  <c r="BA2818" i="9"/>
  <c r="AV2818" i="9"/>
  <c r="AU2818" i="9"/>
  <c r="AT2818" i="9"/>
  <c r="BB2817" i="9"/>
  <c r="BA2817" i="9"/>
  <c r="AV2817" i="9"/>
  <c r="AU2817" i="9"/>
  <c r="AT2817" i="9"/>
  <c r="BB2816" i="9"/>
  <c r="BA2816" i="9"/>
  <c r="AV2816" i="9"/>
  <c r="AU2816" i="9"/>
  <c r="AT2816" i="9"/>
  <c r="BB2815" i="9"/>
  <c r="BA2815" i="9"/>
  <c r="AV2815" i="9"/>
  <c r="AU2815" i="9"/>
  <c r="AT2815" i="9"/>
  <c r="BB2814" i="9"/>
  <c r="BA2814" i="9"/>
  <c r="AV2814" i="9"/>
  <c r="AU2814" i="9"/>
  <c r="AT2814" i="9"/>
  <c r="BB2813" i="9"/>
  <c r="BA2813" i="9"/>
  <c r="AV2813" i="9"/>
  <c r="AU2813" i="9"/>
  <c r="AT2813" i="9"/>
  <c r="BB2812" i="9"/>
  <c r="BA2812" i="9"/>
  <c r="AV2812" i="9"/>
  <c r="AU2812" i="9"/>
  <c r="AT2812" i="9"/>
  <c r="BB2811" i="9"/>
  <c r="BA2811" i="9"/>
  <c r="AV2811" i="9"/>
  <c r="AU2811" i="9"/>
  <c r="AT2811" i="9"/>
  <c r="BB2810" i="9"/>
  <c r="BA2810" i="9"/>
  <c r="AV2810" i="9"/>
  <c r="AU2810" i="9"/>
  <c r="AT2810" i="9"/>
  <c r="BB2809" i="9"/>
  <c r="BA2809" i="9"/>
  <c r="AV2809" i="9"/>
  <c r="AU2809" i="9"/>
  <c r="AT2809" i="9"/>
  <c r="BB2808" i="9"/>
  <c r="BA2808" i="9"/>
  <c r="AV2808" i="9"/>
  <c r="AU2808" i="9"/>
  <c r="AT2808" i="9"/>
  <c r="BB2807" i="9"/>
  <c r="BA2807" i="9"/>
  <c r="AV2807" i="9"/>
  <c r="AU2807" i="9"/>
  <c r="AT2807" i="9"/>
  <c r="BB2806" i="9"/>
  <c r="BA2806" i="9"/>
  <c r="AV2806" i="9"/>
  <c r="AU2806" i="9"/>
  <c r="AT2806" i="9"/>
  <c r="BB2805" i="9"/>
  <c r="BA2805" i="9"/>
  <c r="AV2805" i="9"/>
  <c r="AU2805" i="9"/>
  <c r="AT2805" i="9"/>
  <c r="BB2804" i="9"/>
  <c r="BA2804" i="9"/>
  <c r="AV2804" i="9"/>
  <c r="AU2804" i="9"/>
  <c r="AT2804" i="9"/>
  <c r="BB2803" i="9"/>
  <c r="BA2803" i="9"/>
  <c r="AV2803" i="9"/>
  <c r="AU2803" i="9"/>
  <c r="AT2803" i="9"/>
  <c r="BB2802" i="9"/>
  <c r="BA2802" i="9"/>
  <c r="AV2802" i="9"/>
  <c r="AU2802" i="9"/>
  <c r="AT2802" i="9"/>
  <c r="BB2801" i="9"/>
  <c r="BA2801" i="9"/>
  <c r="AV2801" i="9"/>
  <c r="AU2801" i="9"/>
  <c r="AT2801" i="9"/>
  <c r="BB2800" i="9"/>
  <c r="BA2800" i="9"/>
  <c r="AV2800" i="9"/>
  <c r="AU2800" i="9"/>
  <c r="AT2800" i="9"/>
  <c r="BB2799" i="9"/>
  <c r="BA2799" i="9"/>
  <c r="AV2799" i="9"/>
  <c r="AU2799" i="9"/>
  <c r="AT2799" i="9"/>
  <c r="BB2798" i="9"/>
  <c r="BA2798" i="9"/>
  <c r="AV2798" i="9"/>
  <c r="AU2798" i="9"/>
  <c r="AT2798" i="9"/>
  <c r="BB2797" i="9"/>
  <c r="BA2797" i="9"/>
  <c r="AV2797" i="9"/>
  <c r="AU2797" i="9"/>
  <c r="AT2797" i="9"/>
  <c r="BB2796" i="9"/>
  <c r="BA2796" i="9"/>
  <c r="AV2796" i="9"/>
  <c r="AU2796" i="9"/>
  <c r="AT2796" i="9"/>
  <c r="BB2795" i="9"/>
  <c r="BA2795" i="9"/>
  <c r="AV2795" i="9"/>
  <c r="AU2795" i="9"/>
  <c r="AT2795" i="9"/>
  <c r="BB2794" i="9"/>
  <c r="BA2794" i="9"/>
  <c r="AV2794" i="9"/>
  <c r="AU2794" i="9"/>
  <c r="AT2794" i="9"/>
  <c r="BB2793" i="9"/>
  <c r="BA2793" i="9"/>
  <c r="AV2793" i="9"/>
  <c r="AU2793" i="9"/>
  <c r="AT2793" i="9"/>
  <c r="BB2792" i="9"/>
  <c r="BA2792" i="9"/>
  <c r="AV2792" i="9"/>
  <c r="AU2792" i="9"/>
  <c r="AT2792" i="9"/>
  <c r="BB2791" i="9"/>
  <c r="BA2791" i="9"/>
  <c r="AV2791" i="9"/>
  <c r="AU2791" i="9"/>
  <c r="AT2791" i="9"/>
  <c r="BB2790" i="9"/>
  <c r="BA2790" i="9"/>
  <c r="AV2790" i="9"/>
  <c r="AU2790" i="9"/>
  <c r="AT2790" i="9"/>
  <c r="BB2789" i="9"/>
  <c r="BA2789" i="9"/>
  <c r="AV2789" i="9"/>
  <c r="AU2789" i="9"/>
  <c r="AT2789" i="9"/>
  <c r="BB2788" i="9"/>
  <c r="BA2788" i="9"/>
  <c r="AV2788" i="9"/>
  <c r="AU2788" i="9"/>
  <c r="AT2788" i="9"/>
  <c r="BB2787" i="9"/>
  <c r="BA2787" i="9"/>
  <c r="AV2787" i="9"/>
  <c r="AU2787" i="9"/>
  <c r="AT2787" i="9"/>
  <c r="BB2786" i="9"/>
  <c r="BA2786" i="9"/>
  <c r="AV2786" i="9"/>
  <c r="AU2786" i="9"/>
  <c r="AT2786" i="9"/>
  <c r="BB2785" i="9"/>
  <c r="BA2785" i="9"/>
  <c r="AV2785" i="9"/>
  <c r="AU2785" i="9"/>
  <c r="AT2785" i="9"/>
  <c r="BB2784" i="9"/>
  <c r="BA2784" i="9"/>
  <c r="AV2784" i="9"/>
  <c r="AU2784" i="9"/>
  <c r="AT2784" i="9"/>
  <c r="BB2783" i="9"/>
  <c r="BA2783" i="9"/>
  <c r="AV2783" i="9"/>
  <c r="AU2783" i="9"/>
  <c r="AT2783" i="9"/>
  <c r="BB2782" i="9"/>
  <c r="BA2782" i="9"/>
  <c r="AV2782" i="9"/>
  <c r="AU2782" i="9"/>
  <c r="AT2782" i="9"/>
  <c r="BB2781" i="9"/>
  <c r="BA2781" i="9"/>
  <c r="AV2781" i="9"/>
  <c r="AU2781" i="9"/>
  <c r="AT2781" i="9"/>
  <c r="BB2780" i="9"/>
  <c r="BA2780" i="9"/>
  <c r="AV2780" i="9"/>
  <c r="AU2780" i="9"/>
  <c r="AT2780" i="9"/>
  <c r="BB2779" i="9"/>
  <c r="BA2779" i="9"/>
  <c r="AV2779" i="9"/>
  <c r="AU2779" i="9"/>
  <c r="AT2779" i="9"/>
  <c r="BB2778" i="9"/>
  <c r="BA2778" i="9"/>
  <c r="AV2778" i="9"/>
  <c r="AU2778" i="9"/>
  <c r="AT2778" i="9"/>
  <c r="BB2777" i="9"/>
  <c r="BA2777" i="9"/>
  <c r="AV2777" i="9"/>
  <c r="AU2777" i="9"/>
  <c r="AT2777" i="9"/>
  <c r="BB2776" i="9"/>
  <c r="BA2776" i="9"/>
  <c r="AV2776" i="9"/>
  <c r="AU2776" i="9"/>
  <c r="AT2776" i="9"/>
  <c r="BB2775" i="9"/>
  <c r="BA2775" i="9"/>
  <c r="AV2775" i="9"/>
  <c r="AU2775" i="9"/>
  <c r="AT2775" i="9"/>
  <c r="BB2774" i="9"/>
  <c r="BA2774" i="9"/>
  <c r="AV2774" i="9"/>
  <c r="AU2774" i="9"/>
  <c r="AT2774" i="9"/>
  <c r="BB2773" i="9"/>
  <c r="BA2773" i="9"/>
  <c r="AV2773" i="9"/>
  <c r="AU2773" i="9"/>
  <c r="AT2773" i="9"/>
  <c r="BB2772" i="9"/>
  <c r="BA2772" i="9"/>
  <c r="AV2772" i="9"/>
  <c r="AU2772" i="9"/>
  <c r="AT2772" i="9"/>
  <c r="BB2771" i="9"/>
  <c r="BA2771" i="9"/>
  <c r="AV2771" i="9"/>
  <c r="AU2771" i="9"/>
  <c r="AT2771" i="9"/>
  <c r="BB2770" i="9"/>
  <c r="BA2770" i="9"/>
  <c r="AV2770" i="9"/>
  <c r="AU2770" i="9"/>
  <c r="AT2770" i="9"/>
  <c r="BB2769" i="9"/>
  <c r="BA2769" i="9"/>
  <c r="AV2769" i="9"/>
  <c r="AU2769" i="9"/>
  <c r="AT2769" i="9"/>
  <c r="BB2768" i="9"/>
  <c r="BA2768" i="9"/>
  <c r="AV2768" i="9"/>
  <c r="AU2768" i="9"/>
  <c r="AT2768" i="9"/>
  <c r="BB2767" i="9"/>
  <c r="BA2767" i="9"/>
  <c r="AV2767" i="9"/>
  <c r="AU2767" i="9"/>
  <c r="AT2767" i="9"/>
  <c r="BB2766" i="9"/>
  <c r="BA2766" i="9"/>
  <c r="AV2766" i="9"/>
  <c r="AU2766" i="9"/>
  <c r="AT2766" i="9"/>
  <c r="BB2765" i="9"/>
  <c r="BA2765" i="9"/>
  <c r="AV2765" i="9"/>
  <c r="AU2765" i="9"/>
  <c r="AT2765" i="9"/>
  <c r="BB2764" i="9"/>
  <c r="BA2764" i="9"/>
  <c r="AV2764" i="9"/>
  <c r="AU2764" i="9"/>
  <c r="AT2764" i="9"/>
  <c r="BB2763" i="9"/>
  <c r="BA2763" i="9"/>
  <c r="AV2763" i="9"/>
  <c r="AU2763" i="9"/>
  <c r="AT2763" i="9"/>
  <c r="BB2762" i="9"/>
  <c r="BA2762" i="9"/>
  <c r="AV2762" i="9"/>
  <c r="AU2762" i="9"/>
  <c r="AT2762" i="9"/>
  <c r="BB2761" i="9"/>
  <c r="BA2761" i="9"/>
  <c r="AV2761" i="9"/>
  <c r="AU2761" i="9"/>
  <c r="AT2761" i="9"/>
  <c r="BB2760" i="9"/>
  <c r="BA2760" i="9"/>
  <c r="AV2760" i="9"/>
  <c r="AU2760" i="9"/>
  <c r="AT2760" i="9"/>
  <c r="BB2759" i="9"/>
  <c r="BA2759" i="9"/>
  <c r="AV2759" i="9"/>
  <c r="AU2759" i="9"/>
  <c r="AT2759" i="9"/>
  <c r="BB2758" i="9"/>
  <c r="BA2758" i="9"/>
  <c r="AV2758" i="9"/>
  <c r="AU2758" i="9"/>
  <c r="AT2758" i="9"/>
  <c r="BB2757" i="9"/>
  <c r="BA2757" i="9"/>
  <c r="AV2757" i="9"/>
  <c r="AU2757" i="9"/>
  <c r="AT2757" i="9"/>
  <c r="BB2756" i="9"/>
  <c r="BA2756" i="9"/>
  <c r="AV2756" i="9"/>
  <c r="AU2756" i="9"/>
  <c r="AT2756" i="9"/>
  <c r="BB2755" i="9"/>
  <c r="BA2755" i="9"/>
  <c r="AV2755" i="9"/>
  <c r="AU2755" i="9"/>
  <c r="AT2755" i="9"/>
  <c r="BB2754" i="9"/>
  <c r="BA2754" i="9"/>
  <c r="AV2754" i="9"/>
  <c r="AU2754" i="9"/>
  <c r="AT2754" i="9"/>
  <c r="BB2753" i="9"/>
  <c r="BA2753" i="9"/>
  <c r="AV2753" i="9"/>
  <c r="AU2753" i="9"/>
  <c r="AT2753" i="9"/>
  <c r="BB2752" i="9"/>
  <c r="BA2752" i="9"/>
  <c r="AV2752" i="9"/>
  <c r="AU2752" i="9"/>
  <c r="AT2752" i="9"/>
  <c r="BB2751" i="9"/>
  <c r="BA2751" i="9"/>
  <c r="AV2751" i="9"/>
  <c r="AU2751" i="9"/>
  <c r="AT2751" i="9"/>
  <c r="BB2750" i="9"/>
  <c r="BA2750" i="9"/>
  <c r="AV2750" i="9"/>
  <c r="AU2750" i="9"/>
  <c r="AT2750" i="9"/>
  <c r="BB2749" i="9"/>
  <c r="BA2749" i="9"/>
  <c r="AV2749" i="9"/>
  <c r="AU2749" i="9"/>
  <c r="AT2749" i="9"/>
  <c r="BB2748" i="9"/>
  <c r="BA2748" i="9"/>
  <c r="AV2748" i="9"/>
  <c r="AU2748" i="9"/>
  <c r="AT2748" i="9"/>
  <c r="BB2747" i="9"/>
  <c r="BA2747" i="9"/>
  <c r="AV2747" i="9"/>
  <c r="AU2747" i="9"/>
  <c r="AT2747" i="9"/>
  <c r="BB2746" i="9"/>
  <c r="BA2746" i="9"/>
  <c r="AV2746" i="9"/>
  <c r="AU2746" i="9"/>
  <c r="AT2746" i="9"/>
  <c r="BB2745" i="9"/>
  <c r="BA2745" i="9"/>
  <c r="AV2745" i="9"/>
  <c r="AU2745" i="9"/>
  <c r="AT2745" i="9"/>
  <c r="BB2744" i="9"/>
  <c r="BA2744" i="9"/>
  <c r="AV2744" i="9"/>
  <c r="AU2744" i="9"/>
  <c r="AT2744" i="9"/>
  <c r="BB2743" i="9"/>
  <c r="BA2743" i="9"/>
  <c r="AV2743" i="9"/>
  <c r="AU2743" i="9"/>
  <c r="AT2743" i="9"/>
  <c r="BB2742" i="9"/>
  <c r="BA2742" i="9"/>
  <c r="AV2742" i="9"/>
  <c r="AU2742" i="9"/>
  <c r="AT2742" i="9"/>
  <c r="BB2741" i="9"/>
  <c r="BA2741" i="9"/>
  <c r="AV2741" i="9"/>
  <c r="AU2741" i="9"/>
  <c r="AT2741" i="9"/>
  <c r="BB2740" i="9"/>
  <c r="BA2740" i="9"/>
  <c r="AV2740" i="9"/>
  <c r="AU2740" i="9"/>
  <c r="AT2740" i="9"/>
  <c r="BB2739" i="9"/>
  <c r="BA2739" i="9"/>
  <c r="AV2739" i="9"/>
  <c r="AU2739" i="9"/>
  <c r="AT2739" i="9"/>
  <c r="BB2738" i="9"/>
  <c r="BA2738" i="9"/>
  <c r="AV2738" i="9"/>
  <c r="AU2738" i="9"/>
  <c r="AT2738" i="9"/>
  <c r="BB2737" i="9"/>
  <c r="BA2737" i="9"/>
  <c r="AV2737" i="9"/>
  <c r="AU2737" i="9"/>
  <c r="AT2737" i="9"/>
  <c r="BB2736" i="9"/>
  <c r="BA2736" i="9"/>
  <c r="AV2736" i="9"/>
  <c r="AU2736" i="9"/>
  <c r="AT2736" i="9"/>
  <c r="BB2735" i="9"/>
  <c r="BA2735" i="9"/>
  <c r="AV2735" i="9"/>
  <c r="AU2735" i="9"/>
  <c r="AT2735" i="9"/>
  <c r="BB2734" i="9"/>
  <c r="BA2734" i="9"/>
  <c r="AV2734" i="9"/>
  <c r="AU2734" i="9"/>
  <c r="AT2734" i="9"/>
  <c r="BB2733" i="9"/>
  <c r="BA2733" i="9"/>
  <c r="AV2733" i="9"/>
  <c r="AU2733" i="9"/>
  <c r="AT2733" i="9"/>
  <c r="BB2732" i="9"/>
  <c r="BA2732" i="9"/>
  <c r="AV2732" i="9"/>
  <c r="AU2732" i="9"/>
  <c r="AT2732" i="9"/>
  <c r="BB2731" i="9"/>
  <c r="BA2731" i="9"/>
  <c r="AV2731" i="9"/>
  <c r="AU2731" i="9"/>
  <c r="AT2731" i="9"/>
  <c r="BB2730" i="9"/>
  <c r="BA2730" i="9"/>
  <c r="AV2730" i="9"/>
  <c r="AU2730" i="9"/>
  <c r="AT2730" i="9"/>
  <c r="BB2729" i="9"/>
  <c r="BA2729" i="9"/>
  <c r="AV2729" i="9"/>
  <c r="AU2729" i="9"/>
  <c r="AT2729" i="9"/>
  <c r="BB2728" i="9"/>
  <c r="BA2728" i="9"/>
  <c r="AV2728" i="9"/>
  <c r="AU2728" i="9"/>
  <c r="AT2728" i="9"/>
  <c r="BB2727" i="9"/>
  <c r="BA2727" i="9"/>
  <c r="AV2727" i="9"/>
  <c r="AU2727" i="9"/>
  <c r="AT2727" i="9"/>
  <c r="BB2726" i="9"/>
  <c r="BA2726" i="9"/>
  <c r="AV2726" i="9"/>
  <c r="AU2726" i="9"/>
  <c r="AT2726" i="9"/>
  <c r="BB2725" i="9"/>
  <c r="BA2725" i="9"/>
  <c r="AV2725" i="9"/>
  <c r="AU2725" i="9"/>
  <c r="AT2725" i="9"/>
  <c r="BB2724" i="9"/>
  <c r="BA2724" i="9"/>
  <c r="AV2724" i="9"/>
  <c r="AU2724" i="9"/>
  <c r="AT2724" i="9"/>
  <c r="BB2723" i="9"/>
  <c r="BA2723" i="9"/>
  <c r="AV2723" i="9"/>
  <c r="AU2723" i="9"/>
  <c r="AT2723" i="9"/>
  <c r="BB2722" i="9"/>
  <c r="BA2722" i="9"/>
  <c r="AV2722" i="9"/>
  <c r="AU2722" i="9"/>
  <c r="AT2722" i="9"/>
  <c r="BB2721" i="9"/>
  <c r="BA2721" i="9"/>
  <c r="AV2721" i="9"/>
  <c r="AU2721" i="9"/>
  <c r="AT2721" i="9"/>
  <c r="BB2720" i="9"/>
  <c r="BA2720" i="9"/>
  <c r="AV2720" i="9"/>
  <c r="AU2720" i="9"/>
  <c r="AT2720" i="9"/>
  <c r="BB2719" i="9"/>
  <c r="BA2719" i="9"/>
  <c r="AV2719" i="9"/>
  <c r="AU2719" i="9"/>
  <c r="AT2719" i="9"/>
  <c r="BB2718" i="9"/>
  <c r="BA2718" i="9"/>
  <c r="AV2718" i="9"/>
  <c r="AU2718" i="9"/>
  <c r="AT2718" i="9"/>
  <c r="BB2717" i="9"/>
  <c r="BA2717" i="9"/>
  <c r="AV2717" i="9"/>
  <c r="AU2717" i="9"/>
  <c r="AT2717" i="9"/>
  <c r="BB2716" i="9"/>
  <c r="BA2716" i="9"/>
  <c r="AV2716" i="9"/>
  <c r="AU2716" i="9"/>
  <c r="AT2716" i="9"/>
  <c r="BB2715" i="9"/>
  <c r="BA2715" i="9"/>
  <c r="AV2715" i="9"/>
  <c r="AU2715" i="9"/>
  <c r="AT2715" i="9"/>
  <c r="BB2714" i="9"/>
  <c r="BA2714" i="9"/>
  <c r="AV2714" i="9"/>
  <c r="AU2714" i="9"/>
  <c r="AT2714" i="9"/>
  <c r="BB2713" i="9"/>
  <c r="BA2713" i="9"/>
  <c r="AV2713" i="9"/>
  <c r="AU2713" i="9"/>
  <c r="AT2713" i="9"/>
  <c r="BB2712" i="9"/>
  <c r="BA2712" i="9"/>
  <c r="AV2712" i="9"/>
  <c r="AU2712" i="9"/>
  <c r="AT2712" i="9"/>
  <c r="BB2711" i="9"/>
  <c r="BA2711" i="9"/>
  <c r="AV2711" i="9"/>
  <c r="AU2711" i="9"/>
  <c r="AT2711" i="9"/>
  <c r="BB2710" i="9"/>
  <c r="BA2710" i="9"/>
  <c r="AV2710" i="9"/>
  <c r="AU2710" i="9"/>
  <c r="AT2710" i="9"/>
  <c r="BB2709" i="9"/>
  <c r="BA2709" i="9"/>
  <c r="AV2709" i="9"/>
  <c r="AU2709" i="9"/>
  <c r="AT2709" i="9"/>
  <c r="BB2708" i="9"/>
  <c r="BA2708" i="9"/>
  <c r="AV2708" i="9"/>
  <c r="AU2708" i="9"/>
  <c r="AT2708" i="9"/>
  <c r="BB2707" i="9"/>
  <c r="BA2707" i="9"/>
  <c r="AV2707" i="9"/>
  <c r="AU2707" i="9"/>
  <c r="AT2707" i="9"/>
  <c r="BB2706" i="9"/>
  <c r="BA2706" i="9"/>
  <c r="AV2706" i="9"/>
  <c r="AU2706" i="9"/>
  <c r="AT2706" i="9"/>
  <c r="BB2705" i="9"/>
  <c r="BA2705" i="9"/>
  <c r="AV2705" i="9"/>
  <c r="AU2705" i="9"/>
  <c r="AT2705" i="9"/>
  <c r="BB2704" i="9"/>
  <c r="BA2704" i="9"/>
  <c r="AV2704" i="9"/>
  <c r="AU2704" i="9"/>
  <c r="AT2704" i="9"/>
  <c r="BB2703" i="9"/>
  <c r="BA2703" i="9"/>
  <c r="AV2703" i="9"/>
  <c r="AU2703" i="9"/>
  <c r="AT2703" i="9"/>
  <c r="BB2702" i="9"/>
  <c r="BA2702" i="9"/>
  <c r="AV2702" i="9"/>
  <c r="AU2702" i="9"/>
  <c r="AT2702" i="9"/>
  <c r="BB2701" i="9"/>
  <c r="BA2701" i="9"/>
  <c r="AV2701" i="9"/>
  <c r="AU2701" i="9"/>
  <c r="AT2701" i="9"/>
  <c r="BB2700" i="9"/>
  <c r="BA2700" i="9"/>
  <c r="AV2700" i="9"/>
  <c r="AU2700" i="9"/>
  <c r="AT2700" i="9"/>
  <c r="BB2699" i="9"/>
  <c r="BA2699" i="9"/>
  <c r="AV2699" i="9"/>
  <c r="AU2699" i="9"/>
  <c r="AT2699" i="9"/>
  <c r="BB2698" i="9"/>
  <c r="BA2698" i="9"/>
  <c r="AV2698" i="9"/>
  <c r="AU2698" i="9"/>
  <c r="AT2698" i="9"/>
  <c r="BB2697" i="9"/>
  <c r="BA2697" i="9"/>
  <c r="AV2697" i="9"/>
  <c r="AU2697" i="9"/>
  <c r="AT2697" i="9"/>
  <c r="BB2696" i="9"/>
  <c r="BA2696" i="9"/>
  <c r="AV2696" i="9"/>
  <c r="AU2696" i="9"/>
  <c r="AT2696" i="9"/>
  <c r="BB2695" i="9"/>
  <c r="BA2695" i="9"/>
  <c r="AV2695" i="9"/>
  <c r="AU2695" i="9"/>
  <c r="AT2695" i="9"/>
  <c r="BB2694" i="9"/>
  <c r="BA2694" i="9"/>
  <c r="AV2694" i="9"/>
  <c r="AU2694" i="9"/>
  <c r="AT2694" i="9"/>
  <c r="BB2693" i="9"/>
  <c r="BA2693" i="9"/>
  <c r="AV2693" i="9"/>
  <c r="AU2693" i="9"/>
  <c r="AT2693" i="9"/>
  <c r="BB2692" i="9"/>
  <c r="BA2692" i="9"/>
  <c r="AV2692" i="9"/>
  <c r="AU2692" i="9"/>
  <c r="AT2692" i="9"/>
  <c r="BB2691" i="9"/>
  <c r="BA2691" i="9"/>
  <c r="AV2691" i="9"/>
  <c r="AU2691" i="9"/>
  <c r="AT2691" i="9"/>
  <c r="BB2690" i="9"/>
  <c r="BA2690" i="9"/>
  <c r="AV2690" i="9"/>
  <c r="AU2690" i="9"/>
  <c r="AT2690" i="9"/>
  <c r="BB2689" i="9"/>
  <c r="BA2689" i="9"/>
  <c r="AV2689" i="9"/>
  <c r="AU2689" i="9"/>
  <c r="AT2689" i="9"/>
  <c r="BB2688" i="9"/>
  <c r="BA2688" i="9"/>
  <c r="AV2688" i="9"/>
  <c r="AU2688" i="9"/>
  <c r="AT2688" i="9"/>
  <c r="BB2687" i="9"/>
  <c r="BA2687" i="9"/>
  <c r="AV2687" i="9"/>
  <c r="AU2687" i="9"/>
  <c r="AT2687" i="9"/>
  <c r="BB2686" i="9"/>
  <c r="BA2686" i="9"/>
  <c r="AV2686" i="9"/>
  <c r="AU2686" i="9"/>
  <c r="AT2686" i="9"/>
  <c r="BB2685" i="9"/>
  <c r="BA2685" i="9"/>
  <c r="AV2685" i="9"/>
  <c r="AU2685" i="9"/>
  <c r="AT2685" i="9"/>
  <c r="BB2684" i="9"/>
  <c r="BA2684" i="9"/>
  <c r="AV2684" i="9"/>
  <c r="AU2684" i="9"/>
  <c r="AT2684" i="9"/>
  <c r="BB2683" i="9"/>
  <c r="BA2683" i="9"/>
  <c r="AV2683" i="9"/>
  <c r="AU2683" i="9"/>
  <c r="AT2683" i="9"/>
  <c r="BB2682" i="9"/>
  <c r="BA2682" i="9"/>
  <c r="AV2682" i="9"/>
  <c r="AU2682" i="9"/>
  <c r="AT2682" i="9"/>
  <c r="BB2681" i="9"/>
  <c r="BA2681" i="9"/>
  <c r="AV2681" i="9"/>
  <c r="AU2681" i="9"/>
  <c r="AT2681" i="9"/>
  <c r="BB2680" i="9"/>
  <c r="BA2680" i="9"/>
  <c r="AV2680" i="9"/>
  <c r="AU2680" i="9"/>
  <c r="AT2680" i="9"/>
  <c r="BB2679" i="9"/>
  <c r="BA2679" i="9"/>
  <c r="AV2679" i="9"/>
  <c r="AU2679" i="9"/>
  <c r="AT2679" i="9"/>
  <c r="BB2678" i="9"/>
  <c r="BA2678" i="9"/>
  <c r="AV2678" i="9"/>
  <c r="AU2678" i="9"/>
  <c r="AT2678" i="9"/>
  <c r="BB2677" i="9"/>
  <c r="BA2677" i="9"/>
  <c r="AV2677" i="9"/>
  <c r="AU2677" i="9"/>
  <c r="AT2677" i="9"/>
  <c r="BB2676" i="9"/>
  <c r="BA2676" i="9"/>
  <c r="AV2676" i="9"/>
  <c r="AU2676" i="9"/>
  <c r="AT2676" i="9"/>
  <c r="BB2675" i="9"/>
  <c r="BA2675" i="9"/>
  <c r="AV2675" i="9"/>
  <c r="AU2675" i="9"/>
  <c r="AT2675" i="9"/>
  <c r="BB2674" i="9"/>
  <c r="BA2674" i="9"/>
  <c r="AV2674" i="9"/>
  <c r="AU2674" i="9"/>
  <c r="AT2674" i="9"/>
  <c r="BB2673" i="9"/>
  <c r="BA2673" i="9"/>
  <c r="AV2673" i="9"/>
  <c r="AU2673" i="9"/>
  <c r="AT2673" i="9"/>
  <c r="BB2672" i="9"/>
  <c r="BA2672" i="9"/>
  <c r="AV2672" i="9"/>
  <c r="AU2672" i="9"/>
  <c r="AT2672" i="9"/>
  <c r="BB2671" i="9"/>
  <c r="BA2671" i="9"/>
  <c r="AV2671" i="9"/>
  <c r="AU2671" i="9"/>
  <c r="AT2671" i="9"/>
  <c r="BB2670" i="9"/>
  <c r="BA2670" i="9"/>
  <c r="AV2670" i="9"/>
  <c r="AU2670" i="9"/>
  <c r="AT2670" i="9"/>
  <c r="BB2669" i="9"/>
  <c r="BA2669" i="9"/>
  <c r="AV2669" i="9"/>
  <c r="AU2669" i="9"/>
  <c r="AT2669" i="9"/>
  <c r="BB2668" i="9"/>
  <c r="BA2668" i="9"/>
  <c r="AV2668" i="9"/>
  <c r="AU2668" i="9"/>
  <c r="AT2668" i="9"/>
  <c r="BB2667" i="9"/>
  <c r="BA2667" i="9"/>
  <c r="AV2667" i="9"/>
  <c r="AU2667" i="9"/>
  <c r="AT2667" i="9"/>
  <c r="BB2666" i="9"/>
  <c r="BA2666" i="9"/>
  <c r="AV2666" i="9"/>
  <c r="AU2666" i="9"/>
  <c r="AT2666" i="9"/>
  <c r="BB2665" i="9"/>
  <c r="BA2665" i="9"/>
  <c r="AV2665" i="9"/>
  <c r="AU2665" i="9"/>
  <c r="AT2665" i="9"/>
  <c r="BB2664" i="9"/>
  <c r="BA2664" i="9"/>
  <c r="AV2664" i="9"/>
  <c r="AU2664" i="9"/>
  <c r="AT2664" i="9"/>
  <c r="BB2663" i="9"/>
  <c r="BA2663" i="9"/>
  <c r="AV2663" i="9"/>
  <c r="AU2663" i="9"/>
  <c r="AT2663" i="9"/>
  <c r="BB2662" i="9"/>
  <c r="BA2662" i="9"/>
  <c r="AV2662" i="9"/>
  <c r="AU2662" i="9"/>
  <c r="AT2662" i="9"/>
  <c r="BB2661" i="9"/>
  <c r="BA2661" i="9"/>
  <c r="AV2661" i="9"/>
  <c r="AU2661" i="9"/>
  <c r="AT2661" i="9"/>
  <c r="BB2660" i="9"/>
  <c r="BA2660" i="9"/>
  <c r="AV2660" i="9"/>
  <c r="AU2660" i="9"/>
  <c r="AT2660" i="9"/>
  <c r="BB2659" i="9"/>
  <c r="BA2659" i="9"/>
  <c r="AV2659" i="9"/>
  <c r="AU2659" i="9"/>
  <c r="AT2659" i="9"/>
  <c r="BB2658" i="9"/>
  <c r="BA2658" i="9"/>
  <c r="AV2658" i="9"/>
  <c r="AU2658" i="9"/>
  <c r="AT2658" i="9"/>
  <c r="BB2657" i="9"/>
  <c r="BA2657" i="9"/>
  <c r="AV2657" i="9"/>
  <c r="AU2657" i="9"/>
  <c r="AT2657" i="9"/>
  <c r="BB2656" i="9"/>
  <c r="BA2656" i="9"/>
  <c r="AV2656" i="9"/>
  <c r="AU2656" i="9"/>
  <c r="AT2656" i="9"/>
  <c r="BB2655" i="9"/>
  <c r="BA2655" i="9"/>
  <c r="AV2655" i="9"/>
  <c r="AU2655" i="9"/>
  <c r="AT2655" i="9"/>
  <c r="BB2654" i="9"/>
  <c r="BA2654" i="9"/>
  <c r="AV2654" i="9"/>
  <c r="AU2654" i="9"/>
  <c r="AT2654" i="9"/>
  <c r="BB2653" i="9"/>
  <c r="BA2653" i="9"/>
  <c r="AV2653" i="9"/>
  <c r="AU2653" i="9"/>
  <c r="AT2653" i="9"/>
  <c r="BB2652" i="9"/>
  <c r="BA2652" i="9"/>
  <c r="AV2652" i="9"/>
  <c r="AU2652" i="9"/>
  <c r="AT2652" i="9"/>
  <c r="BB2651" i="9"/>
  <c r="BA2651" i="9"/>
  <c r="AV2651" i="9"/>
  <c r="AU2651" i="9"/>
  <c r="AT2651" i="9"/>
  <c r="BB2650" i="9"/>
  <c r="BA2650" i="9"/>
  <c r="AV2650" i="9"/>
  <c r="AU2650" i="9"/>
  <c r="AT2650" i="9"/>
  <c r="BB2649" i="9"/>
  <c r="BA2649" i="9"/>
  <c r="AV2649" i="9"/>
  <c r="AU2649" i="9"/>
  <c r="AT2649" i="9"/>
  <c r="BB2648" i="9"/>
  <c r="BA2648" i="9"/>
  <c r="AV2648" i="9"/>
  <c r="AU2648" i="9"/>
  <c r="AT2648" i="9"/>
  <c r="BB2647" i="9"/>
  <c r="BA2647" i="9"/>
  <c r="AV2647" i="9"/>
  <c r="AU2647" i="9"/>
  <c r="AT2647" i="9"/>
  <c r="BB2646" i="9"/>
  <c r="BA2646" i="9"/>
  <c r="AV2646" i="9"/>
  <c r="AU2646" i="9"/>
  <c r="AT2646" i="9"/>
  <c r="BB2645" i="9"/>
  <c r="BA2645" i="9"/>
  <c r="AV2645" i="9"/>
  <c r="AU2645" i="9"/>
  <c r="AT2645" i="9"/>
  <c r="BB2644" i="9"/>
  <c r="BA2644" i="9"/>
  <c r="AV2644" i="9"/>
  <c r="AU2644" i="9"/>
  <c r="AT2644" i="9"/>
  <c r="BB2643" i="9"/>
  <c r="BA2643" i="9"/>
  <c r="AV2643" i="9"/>
  <c r="AU2643" i="9"/>
  <c r="AT2643" i="9"/>
  <c r="BB2642" i="9"/>
  <c r="BA2642" i="9"/>
  <c r="AV2642" i="9"/>
  <c r="AU2642" i="9"/>
  <c r="AT2642" i="9"/>
  <c r="BB2641" i="9"/>
  <c r="BA2641" i="9"/>
  <c r="AV2641" i="9"/>
  <c r="AU2641" i="9"/>
  <c r="AT2641" i="9"/>
  <c r="BB2640" i="9"/>
  <c r="BA2640" i="9"/>
  <c r="AV2640" i="9"/>
  <c r="AU2640" i="9"/>
  <c r="AT2640" i="9"/>
  <c r="BB2639" i="9"/>
  <c r="BA2639" i="9"/>
  <c r="AV2639" i="9"/>
  <c r="AU2639" i="9"/>
  <c r="AT2639" i="9"/>
  <c r="BB2638" i="9"/>
  <c r="BA2638" i="9"/>
  <c r="AV2638" i="9"/>
  <c r="AU2638" i="9"/>
  <c r="AT2638" i="9"/>
  <c r="BB2637" i="9"/>
  <c r="BA2637" i="9"/>
  <c r="AV2637" i="9"/>
  <c r="AU2637" i="9"/>
  <c r="AT2637" i="9"/>
  <c r="BB2636" i="9"/>
  <c r="BA2636" i="9"/>
  <c r="AV2636" i="9"/>
  <c r="AU2636" i="9"/>
  <c r="AT2636" i="9"/>
  <c r="BB2635" i="9"/>
  <c r="BA2635" i="9"/>
  <c r="AV2635" i="9"/>
  <c r="AU2635" i="9"/>
  <c r="AT2635" i="9"/>
  <c r="BB2634" i="9"/>
  <c r="BA2634" i="9"/>
  <c r="AV2634" i="9"/>
  <c r="AU2634" i="9"/>
  <c r="AT2634" i="9"/>
  <c r="BB2633" i="9"/>
  <c r="BA2633" i="9"/>
  <c r="AV2633" i="9"/>
  <c r="AU2633" i="9"/>
  <c r="AT2633" i="9"/>
  <c r="BB2632" i="9"/>
  <c r="BA2632" i="9"/>
  <c r="AV2632" i="9"/>
  <c r="AU2632" i="9"/>
  <c r="AT2632" i="9"/>
  <c r="BB2631" i="9"/>
  <c r="BA2631" i="9"/>
  <c r="AV2631" i="9"/>
  <c r="AU2631" i="9"/>
  <c r="AT2631" i="9"/>
  <c r="BB2630" i="9"/>
  <c r="BA2630" i="9"/>
  <c r="AV2630" i="9"/>
  <c r="AU2630" i="9"/>
  <c r="AT2630" i="9"/>
  <c r="BB2629" i="9"/>
  <c r="BA2629" i="9"/>
  <c r="AV2629" i="9"/>
  <c r="AU2629" i="9"/>
  <c r="AT2629" i="9"/>
  <c r="BB2628" i="9"/>
  <c r="BA2628" i="9"/>
  <c r="AV2628" i="9"/>
  <c r="AU2628" i="9"/>
  <c r="AT2628" i="9"/>
  <c r="BB2627" i="9"/>
  <c r="BA2627" i="9"/>
  <c r="AV2627" i="9"/>
  <c r="AU2627" i="9"/>
  <c r="AT2627" i="9"/>
  <c r="BB2626" i="9"/>
  <c r="BA2626" i="9"/>
  <c r="AV2626" i="9"/>
  <c r="AU2626" i="9"/>
  <c r="AT2626" i="9"/>
  <c r="BB2625" i="9"/>
  <c r="BA2625" i="9"/>
  <c r="AV2625" i="9"/>
  <c r="AU2625" i="9"/>
  <c r="AT2625" i="9"/>
  <c r="BB2624" i="9"/>
  <c r="BA2624" i="9"/>
  <c r="AV2624" i="9"/>
  <c r="AU2624" i="9"/>
  <c r="AT2624" i="9"/>
  <c r="BB2623" i="9"/>
  <c r="BA2623" i="9"/>
  <c r="AV2623" i="9"/>
  <c r="AU2623" i="9"/>
  <c r="AT2623" i="9"/>
  <c r="BB2622" i="9"/>
  <c r="BA2622" i="9"/>
  <c r="AV2622" i="9"/>
  <c r="AU2622" i="9"/>
  <c r="AT2622" i="9"/>
  <c r="BB2621" i="9"/>
  <c r="BA2621" i="9"/>
  <c r="AV2621" i="9"/>
  <c r="AU2621" i="9"/>
  <c r="AT2621" i="9"/>
  <c r="BB2620" i="9"/>
  <c r="BA2620" i="9"/>
  <c r="AV2620" i="9"/>
  <c r="AU2620" i="9"/>
  <c r="AT2620" i="9"/>
  <c r="BB2619" i="9"/>
  <c r="BA2619" i="9"/>
  <c r="AV2619" i="9"/>
  <c r="AU2619" i="9"/>
  <c r="AT2619" i="9"/>
  <c r="BB2618" i="9"/>
  <c r="BA2618" i="9"/>
  <c r="AV2618" i="9"/>
  <c r="AU2618" i="9"/>
  <c r="AT2618" i="9"/>
  <c r="BB2617" i="9"/>
  <c r="BA2617" i="9"/>
  <c r="AV2617" i="9"/>
  <c r="AU2617" i="9"/>
  <c r="AT2617" i="9"/>
  <c r="BB2616" i="9"/>
  <c r="BA2616" i="9"/>
  <c r="AV2616" i="9"/>
  <c r="AU2616" i="9"/>
  <c r="AT2616" i="9"/>
  <c r="BB2615" i="9"/>
  <c r="BA2615" i="9"/>
  <c r="AV2615" i="9"/>
  <c r="AU2615" i="9"/>
  <c r="AT2615" i="9"/>
  <c r="BB2614" i="9"/>
  <c r="BA2614" i="9"/>
  <c r="AV2614" i="9"/>
  <c r="AU2614" i="9"/>
  <c r="AT2614" i="9"/>
  <c r="BB2613" i="9"/>
  <c r="BA2613" i="9"/>
  <c r="AV2613" i="9"/>
  <c r="AU2613" i="9"/>
  <c r="AT2613" i="9"/>
  <c r="BB2612" i="9"/>
  <c r="BA2612" i="9"/>
  <c r="AV2612" i="9"/>
  <c r="AU2612" i="9"/>
  <c r="AT2612" i="9"/>
  <c r="BB2611" i="9"/>
  <c r="BA2611" i="9"/>
  <c r="AV2611" i="9"/>
  <c r="AU2611" i="9"/>
  <c r="AT2611" i="9"/>
  <c r="BB2610" i="9"/>
  <c r="BA2610" i="9"/>
  <c r="AV2610" i="9"/>
  <c r="AU2610" i="9"/>
  <c r="AT2610" i="9"/>
  <c r="BB2609" i="9"/>
  <c r="BA2609" i="9"/>
  <c r="AV2609" i="9"/>
  <c r="AU2609" i="9"/>
  <c r="AT2609" i="9"/>
  <c r="BB2608" i="9"/>
  <c r="BA2608" i="9"/>
  <c r="AV2608" i="9"/>
  <c r="AU2608" i="9"/>
  <c r="AT2608" i="9"/>
  <c r="BB2607" i="9"/>
  <c r="BA2607" i="9"/>
  <c r="AV2607" i="9"/>
  <c r="AU2607" i="9"/>
  <c r="AT2607" i="9"/>
  <c r="BB2606" i="9"/>
  <c r="BA2606" i="9"/>
  <c r="AV2606" i="9"/>
  <c r="AU2606" i="9"/>
  <c r="AT2606" i="9"/>
  <c r="BB2605" i="9"/>
  <c r="BA2605" i="9"/>
  <c r="AV2605" i="9"/>
  <c r="AU2605" i="9"/>
  <c r="AT2605" i="9"/>
  <c r="BB2604" i="9"/>
  <c r="BA2604" i="9"/>
  <c r="AV2604" i="9"/>
  <c r="AU2604" i="9"/>
  <c r="AT2604" i="9"/>
  <c r="BB2603" i="9"/>
  <c r="BA2603" i="9"/>
  <c r="AV2603" i="9"/>
  <c r="AU2603" i="9"/>
  <c r="AT2603" i="9"/>
  <c r="BB2602" i="9"/>
  <c r="BA2602" i="9"/>
  <c r="AV2602" i="9"/>
  <c r="AU2602" i="9"/>
  <c r="AT2602" i="9"/>
  <c r="BB2601" i="9"/>
  <c r="BA2601" i="9"/>
  <c r="AV2601" i="9"/>
  <c r="AU2601" i="9"/>
  <c r="AT2601" i="9"/>
  <c r="BB2600" i="9"/>
  <c r="BA2600" i="9"/>
  <c r="AV2600" i="9"/>
  <c r="AU2600" i="9"/>
  <c r="AT2600" i="9"/>
  <c r="BB2599" i="9"/>
  <c r="BA2599" i="9"/>
  <c r="AV2599" i="9"/>
  <c r="AU2599" i="9"/>
  <c r="AT2599" i="9"/>
  <c r="BB2598" i="9"/>
  <c r="BA2598" i="9"/>
  <c r="AV2598" i="9"/>
  <c r="AU2598" i="9"/>
  <c r="AT2598" i="9"/>
  <c r="BB2597" i="9"/>
  <c r="BA2597" i="9"/>
  <c r="AV2597" i="9"/>
  <c r="AU2597" i="9"/>
  <c r="AT2597" i="9"/>
  <c r="BB2596" i="9"/>
  <c r="BA2596" i="9"/>
  <c r="AV2596" i="9"/>
  <c r="AU2596" i="9"/>
  <c r="AT2596" i="9"/>
  <c r="BB2595" i="9"/>
  <c r="BA2595" i="9"/>
  <c r="AV2595" i="9"/>
  <c r="AU2595" i="9"/>
  <c r="AT2595" i="9"/>
  <c r="BB2594" i="9"/>
  <c r="BA2594" i="9"/>
  <c r="AV2594" i="9"/>
  <c r="AU2594" i="9"/>
  <c r="AT2594" i="9"/>
  <c r="BB2593" i="9"/>
  <c r="BA2593" i="9"/>
  <c r="AV2593" i="9"/>
  <c r="AU2593" i="9"/>
  <c r="AT2593" i="9"/>
  <c r="BB2592" i="9"/>
  <c r="BA2592" i="9"/>
  <c r="AV2592" i="9"/>
  <c r="AU2592" i="9"/>
  <c r="AT2592" i="9"/>
  <c r="BB2591" i="9"/>
  <c r="BA2591" i="9"/>
  <c r="AV2591" i="9"/>
  <c r="AU2591" i="9"/>
  <c r="AT2591" i="9"/>
  <c r="BB2590" i="9"/>
  <c r="BA2590" i="9"/>
  <c r="AV2590" i="9"/>
  <c r="AU2590" i="9"/>
  <c r="AT2590" i="9"/>
  <c r="BB2589" i="9"/>
  <c r="BA2589" i="9"/>
  <c r="AV2589" i="9"/>
  <c r="AU2589" i="9"/>
  <c r="AT2589" i="9"/>
  <c r="BB2588" i="9"/>
  <c r="BA2588" i="9"/>
  <c r="AV2588" i="9"/>
  <c r="AU2588" i="9"/>
  <c r="AT2588" i="9"/>
  <c r="BB2587" i="9"/>
  <c r="BA2587" i="9"/>
  <c r="AV2587" i="9"/>
  <c r="AU2587" i="9"/>
  <c r="AT2587" i="9"/>
  <c r="BB2586" i="9"/>
  <c r="BA2586" i="9"/>
  <c r="AV2586" i="9"/>
  <c r="AU2586" i="9"/>
  <c r="AT2586" i="9"/>
  <c r="BB2585" i="9"/>
  <c r="BA2585" i="9"/>
  <c r="AV2585" i="9"/>
  <c r="AU2585" i="9"/>
  <c r="AT2585" i="9"/>
  <c r="BB2584" i="9"/>
  <c r="BA2584" i="9"/>
  <c r="AV2584" i="9"/>
  <c r="AU2584" i="9"/>
  <c r="AT2584" i="9"/>
  <c r="BB2583" i="9"/>
  <c r="BA2583" i="9"/>
  <c r="AV2583" i="9"/>
  <c r="AU2583" i="9"/>
  <c r="AT2583" i="9"/>
  <c r="BB2582" i="9"/>
  <c r="BA2582" i="9"/>
  <c r="AV2582" i="9"/>
  <c r="AU2582" i="9"/>
  <c r="AT2582" i="9"/>
  <c r="BB2581" i="9"/>
  <c r="BA2581" i="9"/>
  <c r="AV2581" i="9"/>
  <c r="AU2581" i="9"/>
  <c r="AT2581" i="9"/>
  <c r="BB2580" i="9"/>
  <c r="BA2580" i="9"/>
  <c r="AV2580" i="9"/>
  <c r="AU2580" i="9"/>
  <c r="AT2580" i="9"/>
  <c r="BB2579" i="9"/>
  <c r="BA2579" i="9"/>
  <c r="AV2579" i="9"/>
  <c r="AU2579" i="9"/>
  <c r="AT2579" i="9"/>
  <c r="BB2578" i="9"/>
  <c r="BA2578" i="9"/>
  <c r="AV2578" i="9"/>
  <c r="AU2578" i="9"/>
  <c r="AT2578" i="9"/>
  <c r="BB2577" i="9"/>
  <c r="BA2577" i="9"/>
  <c r="AV2577" i="9"/>
  <c r="AU2577" i="9"/>
  <c r="AT2577" i="9"/>
  <c r="BB2576" i="9"/>
  <c r="BA2576" i="9"/>
  <c r="AV2576" i="9"/>
  <c r="AU2576" i="9"/>
  <c r="AT2576" i="9"/>
  <c r="BB2575" i="9"/>
  <c r="BA2575" i="9"/>
  <c r="AV2575" i="9"/>
  <c r="AU2575" i="9"/>
  <c r="AT2575" i="9"/>
  <c r="BB2574" i="9"/>
  <c r="BA2574" i="9"/>
  <c r="AV2574" i="9"/>
  <c r="AU2574" i="9"/>
  <c r="AT2574" i="9"/>
  <c r="BB2573" i="9"/>
  <c r="BA2573" i="9"/>
  <c r="AV2573" i="9"/>
  <c r="AU2573" i="9"/>
  <c r="AT2573" i="9"/>
  <c r="BB2572" i="9"/>
  <c r="BA2572" i="9"/>
  <c r="AV2572" i="9"/>
  <c r="AU2572" i="9"/>
  <c r="AT2572" i="9"/>
  <c r="BB2571" i="9"/>
  <c r="BA2571" i="9"/>
  <c r="AV2571" i="9"/>
  <c r="AU2571" i="9"/>
  <c r="AT2571" i="9"/>
  <c r="BB2570" i="9"/>
  <c r="BA2570" i="9"/>
  <c r="AV2570" i="9"/>
  <c r="AU2570" i="9"/>
  <c r="AT2570" i="9"/>
  <c r="BB2569" i="9"/>
  <c r="BA2569" i="9"/>
  <c r="AV2569" i="9"/>
  <c r="AU2569" i="9"/>
  <c r="AT2569" i="9"/>
  <c r="BB2568" i="9"/>
  <c r="BA2568" i="9"/>
  <c r="AV2568" i="9"/>
  <c r="AU2568" i="9"/>
  <c r="AT2568" i="9"/>
  <c r="BB2567" i="9"/>
  <c r="BA2567" i="9"/>
  <c r="AV2567" i="9"/>
  <c r="AU2567" i="9"/>
  <c r="AT2567" i="9"/>
  <c r="BB2566" i="9"/>
  <c r="BA2566" i="9"/>
  <c r="AV2566" i="9"/>
  <c r="AU2566" i="9"/>
  <c r="AT2566" i="9"/>
  <c r="BB2565" i="9"/>
  <c r="BA2565" i="9"/>
  <c r="AV2565" i="9"/>
  <c r="AU2565" i="9"/>
  <c r="AT2565" i="9"/>
  <c r="BB2564" i="9"/>
  <c r="BA2564" i="9"/>
  <c r="AV2564" i="9"/>
  <c r="AU2564" i="9"/>
  <c r="AT2564" i="9"/>
  <c r="BB2563" i="9"/>
  <c r="BA2563" i="9"/>
  <c r="AV2563" i="9"/>
  <c r="AU2563" i="9"/>
  <c r="AT2563" i="9"/>
  <c r="BB2562" i="9"/>
  <c r="BA2562" i="9"/>
  <c r="AV2562" i="9"/>
  <c r="AU2562" i="9"/>
  <c r="AT2562" i="9"/>
  <c r="BB2561" i="9"/>
  <c r="BA2561" i="9"/>
  <c r="AV2561" i="9"/>
  <c r="AU2561" i="9"/>
  <c r="AT2561" i="9"/>
  <c r="BB2560" i="9"/>
  <c r="BA2560" i="9"/>
  <c r="AV2560" i="9"/>
  <c r="AU2560" i="9"/>
  <c r="AT2560" i="9"/>
  <c r="BB2559" i="9"/>
  <c r="BA2559" i="9"/>
  <c r="AV2559" i="9"/>
  <c r="AU2559" i="9"/>
  <c r="AT2559" i="9"/>
  <c r="BB2558" i="9"/>
  <c r="BA2558" i="9"/>
  <c r="AV2558" i="9"/>
  <c r="AU2558" i="9"/>
  <c r="AT2558" i="9"/>
  <c r="BB2557" i="9"/>
  <c r="BA2557" i="9"/>
  <c r="AV2557" i="9"/>
  <c r="AU2557" i="9"/>
  <c r="AT2557" i="9"/>
  <c r="BB2556" i="9"/>
  <c r="BA2556" i="9"/>
  <c r="AV2556" i="9"/>
  <c r="AU2556" i="9"/>
  <c r="AT2556" i="9"/>
  <c r="BB2555" i="9"/>
  <c r="BA2555" i="9"/>
  <c r="AV2555" i="9"/>
  <c r="AU2555" i="9"/>
  <c r="AT2555" i="9"/>
  <c r="BB2554" i="9"/>
  <c r="BA2554" i="9"/>
  <c r="AV2554" i="9"/>
  <c r="AU2554" i="9"/>
  <c r="AT2554" i="9"/>
  <c r="BB2553" i="9"/>
  <c r="BA2553" i="9"/>
  <c r="AV2553" i="9"/>
  <c r="AU2553" i="9"/>
  <c r="AT2553" i="9"/>
  <c r="BB2552" i="9"/>
  <c r="BA2552" i="9"/>
  <c r="AV2552" i="9"/>
  <c r="AU2552" i="9"/>
  <c r="AT2552" i="9"/>
  <c r="BB2551" i="9"/>
  <c r="BA2551" i="9"/>
  <c r="AV2551" i="9"/>
  <c r="AU2551" i="9"/>
  <c r="AT2551" i="9"/>
  <c r="BB2550" i="9"/>
  <c r="BA2550" i="9"/>
  <c r="AV2550" i="9"/>
  <c r="AU2550" i="9"/>
  <c r="AT2550" i="9"/>
  <c r="BB2549" i="9"/>
  <c r="BA2549" i="9"/>
  <c r="AV2549" i="9"/>
  <c r="AU2549" i="9"/>
  <c r="AT2549" i="9"/>
  <c r="BB2548" i="9"/>
  <c r="BA2548" i="9"/>
  <c r="AV2548" i="9"/>
  <c r="AU2548" i="9"/>
  <c r="AT2548" i="9"/>
  <c r="BB2547" i="9"/>
  <c r="BA2547" i="9"/>
  <c r="AV2547" i="9"/>
  <c r="AU2547" i="9"/>
  <c r="AT2547" i="9"/>
  <c r="BB2546" i="9"/>
  <c r="BA2546" i="9"/>
  <c r="AV2546" i="9"/>
  <c r="AU2546" i="9"/>
  <c r="AT2546" i="9"/>
  <c r="BB2545" i="9"/>
  <c r="BA2545" i="9"/>
  <c r="AV2545" i="9"/>
  <c r="AU2545" i="9"/>
  <c r="AT2545" i="9"/>
  <c r="BB2544" i="9"/>
  <c r="BA2544" i="9"/>
  <c r="AV2544" i="9"/>
  <c r="AU2544" i="9"/>
  <c r="AT2544" i="9"/>
  <c r="BB2543" i="9"/>
  <c r="BA2543" i="9"/>
  <c r="AV2543" i="9"/>
  <c r="AU2543" i="9"/>
  <c r="AT2543" i="9"/>
  <c r="BB2542" i="9"/>
  <c r="BA2542" i="9"/>
  <c r="AV2542" i="9"/>
  <c r="AU2542" i="9"/>
  <c r="AT2542" i="9"/>
  <c r="BB2541" i="9"/>
  <c r="BA2541" i="9"/>
  <c r="AV2541" i="9"/>
  <c r="AU2541" i="9"/>
  <c r="AT2541" i="9"/>
  <c r="BB2540" i="9"/>
  <c r="BA2540" i="9"/>
  <c r="AV2540" i="9"/>
  <c r="AU2540" i="9"/>
  <c r="AT2540" i="9"/>
  <c r="BB2539" i="9"/>
  <c r="BA2539" i="9"/>
  <c r="AV2539" i="9"/>
  <c r="AU2539" i="9"/>
  <c r="AT2539" i="9"/>
  <c r="BB2538" i="9"/>
  <c r="BA2538" i="9"/>
  <c r="AV2538" i="9"/>
  <c r="AU2538" i="9"/>
  <c r="AT2538" i="9"/>
  <c r="BB2537" i="9"/>
  <c r="BA2537" i="9"/>
  <c r="AV2537" i="9"/>
  <c r="AU2537" i="9"/>
  <c r="AT2537" i="9"/>
  <c r="BB2536" i="9"/>
  <c r="BA2536" i="9"/>
  <c r="AV2536" i="9"/>
  <c r="AU2536" i="9"/>
  <c r="AT2536" i="9"/>
  <c r="BB2535" i="9"/>
  <c r="BA2535" i="9"/>
  <c r="AV2535" i="9"/>
  <c r="AU2535" i="9"/>
  <c r="AT2535" i="9"/>
  <c r="BB2534" i="9"/>
  <c r="BA2534" i="9"/>
  <c r="AV2534" i="9"/>
  <c r="AU2534" i="9"/>
  <c r="AT2534" i="9"/>
  <c r="BB2533" i="9"/>
  <c r="BA2533" i="9"/>
  <c r="AV2533" i="9"/>
  <c r="AU2533" i="9"/>
  <c r="AT2533" i="9"/>
  <c r="BB2532" i="9"/>
  <c r="BA2532" i="9"/>
  <c r="AV2532" i="9"/>
  <c r="AU2532" i="9"/>
  <c r="AT2532" i="9"/>
  <c r="BB2531" i="9"/>
  <c r="BA2531" i="9"/>
  <c r="AV2531" i="9"/>
  <c r="AU2531" i="9"/>
  <c r="AT2531" i="9"/>
  <c r="BB2530" i="9"/>
  <c r="BA2530" i="9"/>
  <c r="AV2530" i="9"/>
  <c r="AU2530" i="9"/>
  <c r="AT2530" i="9"/>
  <c r="BB2529" i="9"/>
  <c r="BA2529" i="9"/>
  <c r="AV2529" i="9"/>
  <c r="AU2529" i="9"/>
  <c r="AT2529" i="9"/>
  <c r="BB2528" i="9"/>
  <c r="BA2528" i="9"/>
  <c r="AV2528" i="9"/>
  <c r="AU2528" i="9"/>
  <c r="AT2528" i="9"/>
  <c r="BB2527" i="9"/>
  <c r="BA2527" i="9"/>
  <c r="AV2527" i="9"/>
  <c r="AU2527" i="9"/>
  <c r="AT2527" i="9"/>
  <c r="BB2526" i="9"/>
  <c r="BA2526" i="9"/>
  <c r="AV2526" i="9"/>
  <c r="AU2526" i="9"/>
  <c r="AT2526" i="9"/>
  <c r="BB2525" i="9"/>
  <c r="BA2525" i="9"/>
  <c r="AV2525" i="9"/>
  <c r="AU2525" i="9"/>
  <c r="AT2525" i="9"/>
  <c r="BB2524" i="9"/>
  <c r="BA2524" i="9"/>
  <c r="AV2524" i="9"/>
  <c r="AU2524" i="9"/>
  <c r="AT2524" i="9"/>
  <c r="BB2523" i="9"/>
  <c r="BA2523" i="9"/>
  <c r="AV2523" i="9"/>
  <c r="AU2523" i="9"/>
  <c r="AT2523" i="9"/>
  <c r="BB2522" i="9"/>
  <c r="BA2522" i="9"/>
  <c r="AV2522" i="9"/>
  <c r="AU2522" i="9"/>
  <c r="AT2522" i="9"/>
  <c r="BB2521" i="9"/>
  <c r="BA2521" i="9"/>
  <c r="AV2521" i="9"/>
  <c r="AU2521" i="9"/>
  <c r="AT2521" i="9"/>
  <c r="BB2520" i="9"/>
  <c r="BA2520" i="9"/>
  <c r="AV2520" i="9"/>
  <c r="AU2520" i="9"/>
  <c r="AT2520" i="9"/>
  <c r="BB2519" i="9"/>
  <c r="BA2519" i="9"/>
  <c r="AV2519" i="9"/>
  <c r="AU2519" i="9"/>
  <c r="AT2519" i="9"/>
  <c r="BB2518" i="9"/>
  <c r="BA2518" i="9"/>
  <c r="AV2518" i="9"/>
  <c r="AU2518" i="9"/>
  <c r="AT2518" i="9"/>
  <c r="BB2517" i="9"/>
  <c r="BA2517" i="9"/>
  <c r="AV2517" i="9"/>
  <c r="AU2517" i="9"/>
  <c r="AT2517" i="9"/>
  <c r="BB2516" i="9"/>
  <c r="BA2516" i="9"/>
  <c r="AV2516" i="9"/>
  <c r="AU2516" i="9"/>
  <c r="AT2516" i="9"/>
  <c r="BB2515" i="9"/>
  <c r="BA2515" i="9"/>
  <c r="AV2515" i="9"/>
  <c r="AU2515" i="9"/>
  <c r="AT2515" i="9"/>
  <c r="BB2514" i="9"/>
  <c r="BA2514" i="9"/>
  <c r="AV2514" i="9"/>
  <c r="AU2514" i="9"/>
  <c r="AT2514" i="9"/>
  <c r="BB2513" i="9"/>
  <c r="BA2513" i="9"/>
  <c r="AV2513" i="9"/>
  <c r="AU2513" i="9"/>
  <c r="AT2513" i="9"/>
  <c r="BB2512" i="9"/>
  <c r="BA2512" i="9"/>
  <c r="AV2512" i="9"/>
  <c r="AU2512" i="9"/>
  <c r="AT2512" i="9"/>
  <c r="BB2511" i="9"/>
  <c r="BA2511" i="9"/>
  <c r="AV2511" i="9"/>
  <c r="AU2511" i="9"/>
  <c r="AT2511" i="9"/>
  <c r="BB2510" i="9"/>
  <c r="BA2510" i="9"/>
  <c r="AV2510" i="9"/>
  <c r="AU2510" i="9"/>
  <c r="AT2510" i="9"/>
  <c r="BB2509" i="9"/>
  <c r="BA2509" i="9"/>
  <c r="AV2509" i="9"/>
  <c r="AU2509" i="9"/>
  <c r="AT2509" i="9"/>
  <c r="BB2508" i="9"/>
  <c r="BA2508" i="9"/>
  <c r="AV2508" i="9"/>
  <c r="AU2508" i="9"/>
  <c r="AT2508" i="9"/>
  <c r="BB2507" i="9"/>
  <c r="BA2507" i="9"/>
  <c r="AV2507" i="9"/>
  <c r="AU2507" i="9"/>
  <c r="AT2507" i="9"/>
  <c r="BB2506" i="9"/>
  <c r="BA2506" i="9"/>
  <c r="AV2506" i="9"/>
  <c r="AU2506" i="9"/>
  <c r="AT2506" i="9"/>
  <c r="BB2505" i="9"/>
  <c r="BA2505" i="9"/>
  <c r="AV2505" i="9"/>
  <c r="AU2505" i="9"/>
  <c r="AT2505" i="9"/>
  <c r="BB2504" i="9"/>
  <c r="BA2504" i="9"/>
  <c r="AV2504" i="9"/>
  <c r="AU2504" i="9"/>
  <c r="AT2504" i="9"/>
  <c r="BB2503" i="9"/>
  <c r="BA2503" i="9"/>
  <c r="AV2503" i="9"/>
  <c r="AU2503" i="9"/>
  <c r="AT2503" i="9"/>
  <c r="BB2502" i="9"/>
  <c r="BA2502" i="9"/>
  <c r="AV2502" i="9"/>
  <c r="AU2502" i="9"/>
  <c r="AT2502" i="9"/>
  <c r="BB2501" i="9"/>
  <c r="BA2501" i="9"/>
  <c r="AV2501" i="9"/>
  <c r="AU2501" i="9"/>
  <c r="AT2501" i="9"/>
  <c r="BB2500" i="9"/>
  <c r="BA2500" i="9"/>
  <c r="AV2500" i="9"/>
  <c r="AU2500" i="9"/>
  <c r="AT2500" i="9"/>
  <c r="BB2499" i="9"/>
  <c r="BA2499" i="9"/>
  <c r="AV2499" i="9"/>
  <c r="AU2499" i="9"/>
  <c r="AT2499" i="9"/>
  <c r="BB2498" i="9"/>
  <c r="BA2498" i="9"/>
  <c r="AV2498" i="9"/>
  <c r="AU2498" i="9"/>
  <c r="AT2498" i="9"/>
  <c r="BB2497" i="9"/>
  <c r="BA2497" i="9"/>
  <c r="AV2497" i="9"/>
  <c r="AU2497" i="9"/>
  <c r="AT2497" i="9"/>
  <c r="BB2496" i="9"/>
  <c r="BA2496" i="9"/>
  <c r="AV2496" i="9"/>
  <c r="AU2496" i="9"/>
  <c r="AT2496" i="9"/>
  <c r="BB2495" i="9"/>
  <c r="BA2495" i="9"/>
  <c r="AV2495" i="9"/>
  <c r="AU2495" i="9"/>
  <c r="AT2495" i="9"/>
  <c r="BB2494" i="9"/>
  <c r="BA2494" i="9"/>
  <c r="AV2494" i="9"/>
  <c r="AU2494" i="9"/>
  <c r="AT2494" i="9"/>
  <c r="BB2493" i="9"/>
  <c r="BA2493" i="9"/>
  <c r="AV2493" i="9"/>
  <c r="AU2493" i="9"/>
  <c r="AT2493" i="9"/>
  <c r="BB2492" i="9"/>
  <c r="BA2492" i="9"/>
  <c r="AV2492" i="9"/>
  <c r="AU2492" i="9"/>
  <c r="AT2492" i="9"/>
  <c r="BB2491" i="9"/>
  <c r="BA2491" i="9"/>
  <c r="AV2491" i="9"/>
  <c r="AU2491" i="9"/>
  <c r="AT2491" i="9"/>
  <c r="BB2490" i="9"/>
  <c r="BA2490" i="9"/>
  <c r="AV2490" i="9"/>
  <c r="AU2490" i="9"/>
  <c r="AT2490" i="9"/>
  <c r="BB2489" i="9"/>
  <c r="BA2489" i="9"/>
  <c r="AV2489" i="9"/>
  <c r="AU2489" i="9"/>
  <c r="AT2489" i="9"/>
  <c r="BB2488" i="9"/>
  <c r="BA2488" i="9"/>
  <c r="AV2488" i="9"/>
  <c r="AU2488" i="9"/>
  <c r="AT2488" i="9"/>
  <c r="BB2487" i="9"/>
  <c r="BA2487" i="9"/>
  <c r="AV2487" i="9"/>
  <c r="AU2487" i="9"/>
  <c r="AT2487" i="9"/>
  <c r="BB2486" i="9"/>
  <c r="BA2486" i="9"/>
  <c r="AV2486" i="9"/>
  <c r="AU2486" i="9"/>
  <c r="AT2486" i="9"/>
  <c r="BB2485" i="9"/>
  <c r="BA2485" i="9"/>
  <c r="AV2485" i="9"/>
  <c r="AU2485" i="9"/>
  <c r="AT2485" i="9"/>
  <c r="BB2484" i="9"/>
  <c r="BA2484" i="9"/>
  <c r="AV2484" i="9"/>
  <c r="AU2484" i="9"/>
  <c r="AT2484" i="9"/>
  <c r="BB2483" i="9"/>
  <c r="BA2483" i="9"/>
  <c r="AV2483" i="9"/>
  <c r="AU2483" i="9"/>
  <c r="AT2483" i="9"/>
  <c r="BB2482" i="9"/>
  <c r="BA2482" i="9"/>
  <c r="AV2482" i="9"/>
  <c r="AU2482" i="9"/>
  <c r="AT2482" i="9"/>
  <c r="BB2481" i="9"/>
  <c r="BA2481" i="9"/>
  <c r="AV2481" i="9"/>
  <c r="AU2481" i="9"/>
  <c r="AT2481" i="9"/>
  <c r="BB2480" i="9"/>
  <c r="BA2480" i="9"/>
  <c r="AV2480" i="9"/>
  <c r="AU2480" i="9"/>
  <c r="AT2480" i="9"/>
  <c r="BB2479" i="9"/>
  <c r="BA2479" i="9"/>
  <c r="AV2479" i="9"/>
  <c r="AU2479" i="9"/>
  <c r="AT2479" i="9"/>
  <c r="BB2478" i="9"/>
  <c r="BA2478" i="9"/>
  <c r="AV2478" i="9"/>
  <c r="AU2478" i="9"/>
  <c r="AT2478" i="9"/>
  <c r="BB2477" i="9"/>
  <c r="BA2477" i="9"/>
  <c r="AV2477" i="9"/>
  <c r="AU2477" i="9"/>
  <c r="AT2477" i="9"/>
  <c r="BB2476" i="9"/>
  <c r="BA2476" i="9"/>
  <c r="AV2476" i="9"/>
  <c r="AU2476" i="9"/>
  <c r="AT2476" i="9"/>
  <c r="BB2475" i="9"/>
  <c r="BA2475" i="9"/>
  <c r="AV2475" i="9"/>
  <c r="AU2475" i="9"/>
  <c r="AT2475" i="9"/>
  <c r="BB2474" i="9"/>
  <c r="BA2474" i="9"/>
  <c r="AV2474" i="9"/>
  <c r="AU2474" i="9"/>
  <c r="AT2474" i="9"/>
  <c r="BB2473" i="9"/>
  <c r="BA2473" i="9"/>
  <c r="AV2473" i="9"/>
  <c r="AU2473" i="9"/>
  <c r="AT2473" i="9"/>
  <c r="BB2472" i="9"/>
  <c r="BA2472" i="9"/>
  <c r="AV2472" i="9"/>
  <c r="AU2472" i="9"/>
  <c r="AT2472" i="9"/>
  <c r="BB2471" i="9"/>
  <c r="BA2471" i="9"/>
  <c r="AV2471" i="9"/>
  <c r="AU2471" i="9"/>
  <c r="AT2471" i="9"/>
  <c r="BB2470" i="9"/>
  <c r="BA2470" i="9"/>
  <c r="AV2470" i="9"/>
  <c r="AU2470" i="9"/>
  <c r="AT2470" i="9"/>
  <c r="BB2469" i="9"/>
  <c r="BA2469" i="9"/>
  <c r="AV2469" i="9"/>
  <c r="AU2469" i="9"/>
  <c r="AT2469" i="9"/>
  <c r="BB2468" i="9"/>
  <c r="BA2468" i="9"/>
  <c r="AV2468" i="9"/>
  <c r="AU2468" i="9"/>
  <c r="AT2468" i="9"/>
  <c r="BB2467" i="9"/>
  <c r="BA2467" i="9"/>
  <c r="AV2467" i="9"/>
  <c r="AU2467" i="9"/>
  <c r="AT2467" i="9"/>
  <c r="BB2466" i="9"/>
  <c r="BA2466" i="9"/>
  <c r="AV2466" i="9"/>
  <c r="AU2466" i="9"/>
  <c r="AT2466" i="9"/>
  <c r="BB2465" i="9"/>
  <c r="BA2465" i="9"/>
  <c r="AV2465" i="9"/>
  <c r="AU2465" i="9"/>
  <c r="AT2465" i="9"/>
  <c r="BB2464" i="9"/>
  <c r="BA2464" i="9"/>
  <c r="AV2464" i="9"/>
  <c r="AU2464" i="9"/>
  <c r="AT2464" i="9"/>
  <c r="BB2463" i="9"/>
  <c r="BA2463" i="9"/>
  <c r="AV2463" i="9"/>
  <c r="AU2463" i="9"/>
  <c r="AT2463" i="9"/>
  <c r="BB2462" i="9"/>
  <c r="BA2462" i="9"/>
  <c r="AV2462" i="9"/>
  <c r="AU2462" i="9"/>
  <c r="AT2462" i="9"/>
  <c r="BB2461" i="9"/>
  <c r="BA2461" i="9"/>
  <c r="AV2461" i="9"/>
  <c r="AU2461" i="9"/>
  <c r="AT2461" i="9"/>
  <c r="BB2460" i="9"/>
  <c r="BA2460" i="9"/>
  <c r="AV2460" i="9"/>
  <c r="AU2460" i="9"/>
  <c r="AT2460" i="9"/>
  <c r="BB2459" i="9"/>
  <c r="BA2459" i="9"/>
  <c r="AV2459" i="9"/>
  <c r="AU2459" i="9"/>
  <c r="AT2459" i="9"/>
  <c r="BB2458" i="9"/>
  <c r="BA2458" i="9"/>
  <c r="AV2458" i="9"/>
  <c r="AU2458" i="9"/>
  <c r="AT2458" i="9"/>
  <c r="BB2457" i="9"/>
  <c r="BA2457" i="9"/>
  <c r="AV2457" i="9"/>
  <c r="AU2457" i="9"/>
  <c r="AT2457" i="9"/>
  <c r="BB2456" i="9"/>
  <c r="BA2456" i="9"/>
  <c r="AV2456" i="9"/>
  <c r="AU2456" i="9"/>
  <c r="AT2456" i="9"/>
  <c r="BB2455" i="9"/>
  <c r="BA2455" i="9"/>
  <c r="AV2455" i="9"/>
  <c r="AU2455" i="9"/>
  <c r="AT2455" i="9"/>
  <c r="BB2454" i="9"/>
  <c r="BA2454" i="9"/>
  <c r="AV2454" i="9"/>
  <c r="AU2454" i="9"/>
  <c r="AT2454" i="9"/>
  <c r="BB2453" i="9"/>
  <c r="BA2453" i="9"/>
  <c r="AV2453" i="9"/>
  <c r="AU2453" i="9"/>
  <c r="AT2453" i="9"/>
  <c r="BB2452" i="9"/>
  <c r="BA2452" i="9"/>
  <c r="AV2452" i="9"/>
  <c r="AU2452" i="9"/>
  <c r="AT2452" i="9"/>
  <c r="BB2451" i="9"/>
  <c r="BA2451" i="9"/>
  <c r="AV2451" i="9"/>
  <c r="AU2451" i="9"/>
  <c r="AT2451" i="9"/>
  <c r="BB2450" i="9"/>
  <c r="BA2450" i="9"/>
  <c r="AV2450" i="9"/>
  <c r="AU2450" i="9"/>
  <c r="AT2450" i="9"/>
  <c r="BB2449" i="9"/>
  <c r="BA2449" i="9"/>
  <c r="AV2449" i="9"/>
  <c r="AU2449" i="9"/>
  <c r="AT2449" i="9"/>
  <c r="BB2448" i="9"/>
  <c r="BA2448" i="9"/>
  <c r="AV2448" i="9"/>
  <c r="AU2448" i="9"/>
  <c r="AT2448" i="9"/>
  <c r="BB2447" i="9"/>
  <c r="BA2447" i="9"/>
  <c r="AV2447" i="9"/>
  <c r="AU2447" i="9"/>
  <c r="AT2447" i="9"/>
  <c r="BB2446" i="9"/>
  <c r="BA2446" i="9"/>
  <c r="AV2446" i="9"/>
  <c r="AU2446" i="9"/>
  <c r="AT2446" i="9"/>
  <c r="BB2445" i="9"/>
  <c r="BA2445" i="9"/>
  <c r="AV2445" i="9"/>
  <c r="AU2445" i="9"/>
  <c r="AT2445" i="9"/>
  <c r="BB2444" i="9"/>
  <c r="BA2444" i="9"/>
  <c r="AV2444" i="9"/>
  <c r="AU2444" i="9"/>
  <c r="AT2444" i="9"/>
  <c r="BB2443" i="9"/>
  <c r="BA2443" i="9"/>
  <c r="AV2443" i="9"/>
  <c r="AU2443" i="9"/>
  <c r="AT2443" i="9"/>
  <c r="BB2442" i="9"/>
  <c r="BA2442" i="9"/>
  <c r="AV2442" i="9"/>
  <c r="AU2442" i="9"/>
  <c r="AT2442" i="9"/>
  <c r="BB2441" i="9"/>
  <c r="BA2441" i="9"/>
  <c r="AV2441" i="9"/>
  <c r="AU2441" i="9"/>
  <c r="AT2441" i="9"/>
  <c r="BB2440" i="9"/>
  <c r="BA2440" i="9"/>
  <c r="AV2440" i="9"/>
  <c r="AU2440" i="9"/>
  <c r="AT2440" i="9"/>
  <c r="BB2439" i="9"/>
  <c r="BA2439" i="9"/>
  <c r="AV2439" i="9"/>
  <c r="AU2439" i="9"/>
  <c r="AT2439" i="9"/>
  <c r="BB2438" i="9"/>
  <c r="BA2438" i="9"/>
  <c r="AV2438" i="9"/>
  <c r="AU2438" i="9"/>
  <c r="AT2438" i="9"/>
  <c r="BB2437" i="9"/>
  <c r="BA2437" i="9"/>
  <c r="AV2437" i="9"/>
  <c r="AU2437" i="9"/>
  <c r="AT2437" i="9"/>
  <c r="BB2436" i="9"/>
  <c r="BA2436" i="9"/>
  <c r="AV2436" i="9"/>
  <c r="AU2436" i="9"/>
  <c r="AT2436" i="9"/>
  <c r="BB2435" i="9"/>
  <c r="BA2435" i="9"/>
  <c r="AV2435" i="9"/>
  <c r="AU2435" i="9"/>
  <c r="AT2435" i="9"/>
  <c r="BB2434" i="9"/>
  <c r="BA2434" i="9"/>
  <c r="AV2434" i="9"/>
  <c r="AU2434" i="9"/>
  <c r="AT2434" i="9"/>
  <c r="BB2433" i="9"/>
  <c r="BA2433" i="9"/>
  <c r="AV2433" i="9"/>
  <c r="AU2433" i="9"/>
  <c r="AT2433" i="9"/>
  <c r="BB2432" i="9"/>
  <c r="BA2432" i="9"/>
  <c r="AV2432" i="9"/>
  <c r="AU2432" i="9"/>
  <c r="AT2432" i="9"/>
  <c r="BB2431" i="9"/>
  <c r="BA2431" i="9"/>
  <c r="AV2431" i="9"/>
  <c r="AU2431" i="9"/>
  <c r="AT2431" i="9"/>
  <c r="BB2430" i="9"/>
  <c r="BA2430" i="9"/>
  <c r="AV2430" i="9"/>
  <c r="AU2430" i="9"/>
  <c r="AT2430" i="9"/>
  <c r="BB2429" i="9"/>
  <c r="BA2429" i="9"/>
  <c r="AV2429" i="9"/>
  <c r="AU2429" i="9"/>
  <c r="AT2429" i="9"/>
  <c r="BB2428" i="9"/>
  <c r="BA2428" i="9"/>
  <c r="AV2428" i="9"/>
  <c r="AU2428" i="9"/>
  <c r="AT2428" i="9"/>
  <c r="BB2427" i="9"/>
  <c r="BA2427" i="9"/>
  <c r="AV2427" i="9"/>
  <c r="AU2427" i="9"/>
  <c r="AT2427" i="9"/>
  <c r="BB2426" i="9"/>
  <c r="BA2426" i="9"/>
  <c r="AV2426" i="9"/>
  <c r="AU2426" i="9"/>
  <c r="AT2426" i="9"/>
  <c r="BB2425" i="9"/>
  <c r="BA2425" i="9"/>
  <c r="AV2425" i="9"/>
  <c r="AU2425" i="9"/>
  <c r="AT2425" i="9"/>
  <c r="BB2424" i="9"/>
  <c r="BA2424" i="9"/>
  <c r="AV2424" i="9"/>
  <c r="AU2424" i="9"/>
  <c r="AT2424" i="9"/>
  <c r="BB2423" i="9"/>
  <c r="BA2423" i="9"/>
  <c r="AV2423" i="9"/>
  <c r="AU2423" i="9"/>
  <c r="AT2423" i="9"/>
  <c r="BB2422" i="9"/>
  <c r="BA2422" i="9"/>
  <c r="AV2422" i="9"/>
  <c r="AU2422" i="9"/>
  <c r="AT2422" i="9"/>
  <c r="BB2421" i="9"/>
  <c r="BA2421" i="9"/>
  <c r="AV2421" i="9"/>
  <c r="AU2421" i="9"/>
  <c r="AT2421" i="9"/>
  <c r="BB2420" i="9"/>
  <c r="BA2420" i="9"/>
  <c r="AV2420" i="9"/>
  <c r="AU2420" i="9"/>
  <c r="AT2420" i="9"/>
  <c r="BB2419" i="9"/>
  <c r="BA2419" i="9"/>
  <c r="AV2419" i="9"/>
  <c r="AU2419" i="9"/>
  <c r="AT2419" i="9"/>
  <c r="BB2418" i="9"/>
  <c r="BA2418" i="9"/>
  <c r="AV2418" i="9"/>
  <c r="AU2418" i="9"/>
  <c r="AT2418" i="9"/>
  <c r="BB2417" i="9"/>
  <c r="BA2417" i="9"/>
  <c r="AV2417" i="9"/>
  <c r="AU2417" i="9"/>
  <c r="AT2417" i="9"/>
  <c r="BB2416" i="9"/>
  <c r="BA2416" i="9"/>
  <c r="AV2416" i="9"/>
  <c r="AU2416" i="9"/>
  <c r="AT2416" i="9"/>
  <c r="BB2415" i="9"/>
  <c r="BA2415" i="9"/>
  <c r="AV2415" i="9"/>
  <c r="AU2415" i="9"/>
  <c r="AT2415" i="9"/>
  <c r="BB2414" i="9"/>
  <c r="BA2414" i="9"/>
  <c r="AV2414" i="9"/>
  <c r="AU2414" i="9"/>
  <c r="AT2414" i="9"/>
  <c r="BB2413" i="9"/>
  <c r="BA2413" i="9"/>
  <c r="AV2413" i="9"/>
  <c r="AU2413" i="9"/>
  <c r="AT2413" i="9"/>
  <c r="BB2412" i="9"/>
  <c r="BA2412" i="9"/>
  <c r="AV2412" i="9"/>
  <c r="AU2412" i="9"/>
  <c r="AT2412" i="9"/>
  <c r="BB2411" i="9"/>
  <c r="BA2411" i="9"/>
  <c r="AV2411" i="9"/>
  <c r="AU2411" i="9"/>
  <c r="AT2411" i="9"/>
  <c r="BB2410" i="9"/>
  <c r="BA2410" i="9"/>
  <c r="AV2410" i="9"/>
  <c r="AU2410" i="9"/>
  <c r="AT2410" i="9"/>
  <c r="BB2409" i="9"/>
  <c r="BA2409" i="9"/>
  <c r="AV2409" i="9"/>
  <c r="AU2409" i="9"/>
  <c r="AT2409" i="9"/>
  <c r="BB2408" i="9"/>
  <c r="BA2408" i="9"/>
  <c r="AV2408" i="9"/>
  <c r="AU2408" i="9"/>
  <c r="AT2408" i="9"/>
  <c r="BB2407" i="9"/>
  <c r="BA2407" i="9"/>
  <c r="AV2407" i="9"/>
  <c r="AU2407" i="9"/>
  <c r="AT2407" i="9"/>
  <c r="BB2406" i="9"/>
  <c r="BA2406" i="9"/>
  <c r="AV2406" i="9"/>
  <c r="AU2406" i="9"/>
  <c r="AT2406" i="9"/>
  <c r="BB2405" i="9"/>
  <c r="BA2405" i="9"/>
  <c r="AV2405" i="9"/>
  <c r="AU2405" i="9"/>
  <c r="AT2405" i="9"/>
  <c r="BB2404" i="9"/>
  <c r="BA2404" i="9"/>
  <c r="AV2404" i="9"/>
  <c r="AU2404" i="9"/>
  <c r="AT2404" i="9"/>
  <c r="BB2403" i="9"/>
  <c r="BA2403" i="9"/>
  <c r="AV2403" i="9"/>
  <c r="AU2403" i="9"/>
  <c r="AT2403" i="9"/>
  <c r="BB2402" i="9"/>
  <c r="BA2402" i="9"/>
  <c r="AV2402" i="9"/>
  <c r="AU2402" i="9"/>
  <c r="AT2402" i="9"/>
  <c r="BB2401" i="9"/>
  <c r="BA2401" i="9"/>
  <c r="AV2401" i="9"/>
  <c r="AU2401" i="9"/>
  <c r="AT2401" i="9"/>
  <c r="BB2400" i="9"/>
  <c r="BA2400" i="9"/>
  <c r="AV2400" i="9"/>
  <c r="AU2400" i="9"/>
  <c r="AT2400" i="9"/>
  <c r="BB2399" i="9"/>
  <c r="BA2399" i="9"/>
  <c r="AV2399" i="9"/>
  <c r="AU2399" i="9"/>
  <c r="AT2399" i="9"/>
  <c r="BB2398" i="9"/>
  <c r="BA2398" i="9"/>
  <c r="AV2398" i="9"/>
  <c r="AU2398" i="9"/>
  <c r="AT2398" i="9"/>
  <c r="BB2397" i="9"/>
  <c r="BA2397" i="9"/>
  <c r="AV2397" i="9"/>
  <c r="AU2397" i="9"/>
  <c r="AT2397" i="9"/>
  <c r="BB2396" i="9"/>
  <c r="BA2396" i="9"/>
  <c r="AV2396" i="9"/>
  <c r="AU2396" i="9"/>
  <c r="AT2396" i="9"/>
  <c r="BB2395" i="9"/>
  <c r="BA2395" i="9"/>
  <c r="AV2395" i="9"/>
  <c r="AU2395" i="9"/>
  <c r="AT2395" i="9"/>
  <c r="BB2394" i="9"/>
  <c r="BA2394" i="9"/>
  <c r="AV2394" i="9"/>
  <c r="AU2394" i="9"/>
  <c r="AT2394" i="9"/>
  <c r="BB2393" i="9"/>
  <c r="BA2393" i="9"/>
  <c r="AV2393" i="9"/>
  <c r="AU2393" i="9"/>
  <c r="AT2393" i="9"/>
  <c r="BB2392" i="9"/>
  <c r="BA2392" i="9"/>
  <c r="AV2392" i="9"/>
  <c r="AU2392" i="9"/>
  <c r="AT2392" i="9"/>
  <c r="BB2391" i="9"/>
  <c r="BA2391" i="9"/>
  <c r="AV2391" i="9"/>
  <c r="AU2391" i="9"/>
  <c r="AT2391" i="9"/>
  <c r="BB2390" i="9"/>
  <c r="BA2390" i="9"/>
  <c r="AV2390" i="9"/>
  <c r="AU2390" i="9"/>
  <c r="AT2390" i="9"/>
  <c r="BB2389" i="9"/>
  <c r="BA2389" i="9"/>
  <c r="AV2389" i="9"/>
  <c r="AU2389" i="9"/>
  <c r="AT2389" i="9"/>
  <c r="BB2388" i="9"/>
  <c r="BA2388" i="9"/>
  <c r="AV2388" i="9"/>
  <c r="AU2388" i="9"/>
  <c r="AT2388" i="9"/>
  <c r="BB2387" i="9"/>
  <c r="BA2387" i="9"/>
  <c r="AV2387" i="9"/>
  <c r="AU2387" i="9"/>
  <c r="AT2387" i="9"/>
  <c r="BB2386" i="9"/>
  <c r="BA2386" i="9"/>
  <c r="AV2386" i="9"/>
  <c r="AU2386" i="9"/>
  <c r="AT2386" i="9"/>
  <c r="BB2385" i="9"/>
  <c r="BA2385" i="9"/>
  <c r="AV2385" i="9"/>
  <c r="AU2385" i="9"/>
  <c r="AT2385" i="9"/>
  <c r="BB2384" i="9"/>
  <c r="BA2384" i="9"/>
  <c r="AV2384" i="9"/>
  <c r="AU2384" i="9"/>
  <c r="AT2384" i="9"/>
  <c r="BB2383" i="9"/>
  <c r="BA2383" i="9"/>
  <c r="AV2383" i="9"/>
  <c r="AU2383" i="9"/>
  <c r="AT2383" i="9"/>
  <c r="BB2382" i="9"/>
  <c r="BA2382" i="9"/>
  <c r="AV2382" i="9"/>
  <c r="AU2382" i="9"/>
  <c r="AT2382" i="9"/>
  <c r="BB2381" i="9"/>
  <c r="BA2381" i="9"/>
  <c r="AV2381" i="9"/>
  <c r="AU2381" i="9"/>
  <c r="AT2381" i="9"/>
  <c r="BB2380" i="9"/>
  <c r="BA2380" i="9"/>
  <c r="AV2380" i="9"/>
  <c r="AU2380" i="9"/>
  <c r="AT2380" i="9"/>
  <c r="BB2379" i="9"/>
  <c r="BA2379" i="9"/>
  <c r="AV2379" i="9"/>
  <c r="AU2379" i="9"/>
  <c r="AT2379" i="9"/>
  <c r="BB2378" i="9"/>
  <c r="BA2378" i="9"/>
  <c r="AV2378" i="9"/>
  <c r="AU2378" i="9"/>
  <c r="AT2378" i="9"/>
  <c r="BB2377" i="9"/>
  <c r="BA2377" i="9"/>
  <c r="AV2377" i="9"/>
  <c r="AU2377" i="9"/>
  <c r="AT2377" i="9"/>
  <c r="BB2376" i="9"/>
  <c r="BA2376" i="9"/>
  <c r="AV2376" i="9"/>
  <c r="AU2376" i="9"/>
  <c r="AT2376" i="9"/>
  <c r="BB2375" i="9"/>
  <c r="BA2375" i="9"/>
  <c r="AV2375" i="9"/>
  <c r="AU2375" i="9"/>
  <c r="AT2375" i="9"/>
  <c r="BB2374" i="9"/>
  <c r="BA2374" i="9"/>
  <c r="AV2374" i="9"/>
  <c r="AU2374" i="9"/>
  <c r="AT2374" i="9"/>
  <c r="BB2373" i="9"/>
  <c r="BA2373" i="9"/>
  <c r="AV2373" i="9"/>
  <c r="AU2373" i="9"/>
  <c r="AT2373" i="9"/>
  <c r="BB2372" i="9"/>
  <c r="BA2372" i="9"/>
  <c r="AV2372" i="9"/>
  <c r="AU2372" i="9"/>
  <c r="AT2372" i="9"/>
  <c r="BB2371" i="9"/>
  <c r="BA2371" i="9"/>
  <c r="AV2371" i="9"/>
  <c r="AU2371" i="9"/>
  <c r="AT2371" i="9"/>
  <c r="BB2370" i="9"/>
  <c r="BA2370" i="9"/>
  <c r="AV2370" i="9"/>
  <c r="AU2370" i="9"/>
  <c r="AT2370" i="9"/>
  <c r="BB2369" i="9"/>
  <c r="BA2369" i="9"/>
  <c r="AV2369" i="9"/>
  <c r="AU2369" i="9"/>
  <c r="AT2369" i="9"/>
  <c r="BB2368" i="9"/>
  <c r="BA2368" i="9"/>
  <c r="AV2368" i="9"/>
  <c r="AU2368" i="9"/>
  <c r="AT2368" i="9"/>
  <c r="BB2367" i="9"/>
  <c r="BA2367" i="9"/>
  <c r="AV2367" i="9"/>
  <c r="AU2367" i="9"/>
  <c r="AT2367" i="9"/>
  <c r="BB2366" i="9"/>
  <c r="BA2366" i="9"/>
  <c r="AV2366" i="9"/>
  <c r="AU2366" i="9"/>
  <c r="AT2366" i="9"/>
  <c r="BB2365" i="9"/>
  <c r="BA2365" i="9"/>
  <c r="AV2365" i="9"/>
  <c r="AU2365" i="9"/>
  <c r="AT2365" i="9"/>
  <c r="BB2364" i="9"/>
  <c r="BA2364" i="9"/>
  <c r="AV2364" i="9"/>
  <c r="AU2364" i="9"/>
  <c r="AT2364" i="9"/>
  <c r="BB2363" i="9"/>
  <c r="BA2363" i="9"/>
  <c r="AV2363" i="9"/>
  <c r="AU2363" i="9"/>
  <c r="AT2363" i="9"/>
  <c r="BB2362" i="9"/>
  <c r="BA2362" i="9"/>
  <c r="AV2362" i="9"/>
  <c r="AU2362" i="9"/>
  <c r="AT2362" i="9"/>
  <c r="BB2361" i="9"/>
  <c r="BA2361" i="9"/>
  <c r="AV2361" i="9"/>
  <c r="AU2361" i="9"/>
  <c r="AT2361" i="9"/>
  <c r="BB2360" i="9"/>
  <c r="BA2360" i="9"/>
  <c r="AV2360" i="9"/>
  <c r="AU2360" i="9"/>
  <c r="AT2360" i="9"/>
  <c r="BB2359" i="9"/>
  <c r="BA2359" i="9"/>
  <c r="AV2359" i="9"/>
  <c r="AU2359" i="9"/>
  <c r="AT2359" i="9"/>
  <c r="BB2358" i="9"/>
  <c r="BA2358" i="9"/>
  <c r="AV2358" i="9"/>
  <c r="AU2358" i="9"/>
  <c r="AT2358" i="9"/>
  <c r="BB2357" i="9"/>
  <c r="BA2357" i="9"/>
  <c r="AV2357" i="9"/>
  <c r="AU2357" i="9"/>
  <c r="AT2357" i="9"/>
  <c r="BB2356" i="9"/>
  <c r="BA2356" i="9"/>
  <c r="AV2356" i="9"/>
  <c r="AU2356" i="9"/>
  <c r="AT2356" i="9"/>
  <c r="BB2355" i="9"/>
  <c r="BA2355" i="9"/>
  <c r="AV2355" i="9"/>
  <c r="AU2355" i="9"/>
  <c r="AT2355" i="9"/>
  <c r="BB2354" i="9"/>
  <c r="BA2354" i="9"/>
  <c r="AV2354" i="9"/>
  <c r="AU2354" i="9"/>
  <c r="AT2354" i="9"/>
  <c r="BB2353" i="9"/>
  <c r="BA2353" i="9"/>
  <c r="AV2353" i="9"/>
  <c r="AU2353" i="9"/>
  <c r="AT2353" i="9"/>
  <c r="BB2352" i="9"/>
  <c r="BA2352" i="9"/>
  <c r="AV2352" i="9"/>
  <c r="AU2352" i="9"/>
  <c r="AT2352" i="9"/>
  <c r="BB2351" i="9"/>
  <c r="BA2351" i="9"/>
  <c r="AV2351" i="9"/>
  <c r="AU2351" i="9"/>
  <c r="AT2351" i="9"/>
  <c r="BB2350" i="9"/>
  <c r="BA2350" i="9"/>
  <c r="AV2350" i="9"/>
  <c r="AU2350" i="9"/>
  <c r="AT2350" i="9"/>
  <c r="BB2349" i="9"/>
  <c r="BA2349" i="9"/>
  <c r="AV2349" i="9"/>
  <c r="AU2349" i="9"/>
  <c r="AT2349" i="9"/>
  <c r="BB2348" i="9"/>
  <c r="BA2348" i="9"/>
  <c r="AV2348" i="9"/>
  <c r="AU2348" i="9"/>
  <c r="AT2348" i="9"/>
  <c r="BB2347" i="9"/>
  <c r="BA2347" i="9"/>
  <c r="AV2347" i="9"/>
  <c r="AU2347" i="9"/>
  <c r="AT2347" i="9"/>
  <c r="BB2346" i="9"/>
  <c r="BA2346" i="9"/>
  <c r="AV2346" i="9"/>
  <c r="AU2346" i="9"/>
  <c r="AT2346" i="9"/>
  <c r="BB2345" i="9"/>
  <c r="BA2345" i="9"/>
  <c r="AV2345" i="9"/>
  <c r="AU2345" i="9"/>
  <c r="AT2345" i="9"/>
  <c r="BB2344" i="9"/>
  <c r="BA2344" i="9"/>
  <c r="AV2344" i="9"/>
  <c r="AU2344" i="9"/>
  <c r="AT2344" i="9"/>
  <c r="BB2343" i="9"/>
  <c r="BA2343" i="9"/>
  <c r="AV2343" i="9"/>
  <c r="AU2343" i="9"/>
  <c r="AT2343" i="9"/>
  <c r="BB2342" i="9"/>
  <c r="BA2342" i="9"/>
  <c r="AV2342" i="9"/>
  <c r="AU2342" i="9"/>
  <c r="AT2342" i="9"/>
  <c r="BB2341" i="9"/>
  <c r="BA2341" i="9"/>
  <c r="AV2341" i="9"/>
  <c r="AU2341" i="9"/>
  <c r="AT2341" i="9"/>
  <c r="BB2340" i="9"/>
  <c r="BA2340" i="9"/>
  <c r="AV2340" i="9"/>
  <c r="AU2340" i="9"/>
  <c r="AT2340" i="9"/>
  <c r="BB2339" i="9"/>
  <c r="BA2339" i="9"/>
  <c r="AV2339" i="9"/>
  <c r="AU2339" i="9"/>
  <c r="AT2339" i="9"/>
  <c r="BB2338" i="9"/>
  <c r="BA2338" i="9"/>
  <c r="AV2338" i="9"/>
  <c r="AU2338" i="9"/>
  <c r="AT2338" i="9"/>
  <c r="BB2337" i="9"/>
  <c r="BA2337" i="9"/>
  <c r="AV2337" i="9"/>
  <c r="AU2337" i="9"/>
  <c r="AT2337" i="9"/>
  <c r="BB2336" i="9"/>
  <c r="BA2336" i="9"/>
  <c r="AV2336" i="9"/>
  <c r="AU2336" i="9"/>
  <c r="AT2336" i="9"/>
  <c r="BB2335" i="9"/>
  <c r="BA2335" i="9"/>
  <c r="AV2335" i="9"/>
  <c r="AU2335" i="9"/>
  <c r="AT2335" i="9"/>
  <c r="BB2334" i="9"/>
  <c r="BA2334" i="9"/>
  <c r="AV2334" i="9"/>
  <c r="AU2334" i="9"/>
  <c r="AT2334" i="9"/>
  <c r="BB2333" i="9"/>
  <c r="BA2333" i="9"/>
  <c r="AV2333" i="9"/>
  <c r="AU2333" i="9"/>
  <c r="AT2333" i="9"/>
  <c r="BB2332" i="9"/>
  <c r="BA2332" i="9"/>
  <c r="AV2332" i="9"/>
  <c r="AU2332" i="9"/>
  <c r="AT2332" i="9"/>
  <c r="BB2331" i="9"/>
  <c r="BA2331" i="9"/>
  <c r="AV2331" i="9"/>
  <c r="AU2331" i="9"/>
  <c r="AT2331" i="9"/>
  <c r="BB2330" i="9"/>
  <c r="BA2330" i="9"/>
  <c r="AV2330" i="9"/>
  <c r="AU2330" i="9"/>
  <c r="AT2330" i="9"/>
  <c r="BB2329" i="9"/>
  <c r="BA2329" i="9"/>
  <c r="AV2329" i="9"/>
  <c r="AU2329" i="9"/>
  <c r="AT2329" i="9"/>
  <c r="BB2328" i="9"/>
  <c r="BA2328" i="9"/>
  <c r="AV2328" i="9"/>
  <c r="AU2328" i="9"/>
  <c r="AT2328" i="9"/>
  <c r="BB2327" i="9"/>
  <c r="BA2327" i="9"/>
  <c r="AV2327" i="9"/>
  <c r="AU2327" i="9"/>
  <c r="AT2327" i="9"/>
  <c r="BB2326" i="9"/>
  <c r="BA2326" i="9"/>
  <c r="AV2326" i="9"/>
  <c r="AU2326" i="9"/>
  <c r="AT2326" i="9"/>
  <c r="BB2325" i="9"/>
  <c r="BA2325" i="9"/>
  <c r="AV2325" i="9"/>
  <c r="AU2325" i="9"/>
  <c r="AT2325" i="9"/>
  <c r="BB2324" i="9"/>
  <c r="BA2324" i="9"/>
  <c r="AV2324" i="9"/>
  <c r="AU2324" i="9"/>
  <c r="AT2324" i="9"/>
  <c r="BB2323" i="9"/>
  <c r="BA2323" i="9"/>
  <c r="AV2323" i="9"/>
  <c r="AU2323" i="9"/>
  <c r="AT2323" i="9"/>
  <c r="BB2322" i="9"/>
  <c r="BA2322" i="9"/>
  <c r="AV2322" i="9"/>
  <c r="AU2322" i="9"/>
  <c r="AT2322" i="9"/>
  <c r="BB2321" i="9"/>
  <c r="BA2321" i="9"/>
  <c r="AV2321" i="9"/>
  <c r="AU2321" i="9"/>
  <c r="AT2321" i="9"/>
  <c r="BB2320" i="9"/>
  <c r="BA2320" i="9"/>
  <c r="AV2320" i="9"/>
  <c r="AU2320" i="9"/>
  <c r="AT2320" i="9"/>
  <c r="BB2319" i="9"/>
  <c r="BA2319" i="9"/>
  <c r="AV2319" i="9"/>
  <c r="AU2319" i="9"/>
  <c r="AT2319" i="9"/>
  <c r="BB2318" i="9"/>
  <c r="BA2318" i="9"/>
  <c r="AV2318" i="9"/>
  <c r="AU2318" i="9"/>
  <c r="AT2318" i="9"/>
  <c r="BB2317" i="9"/>
  <c r="BA2317" i="9"/>
  <c r="AV2317" i="9"/>
  <c r="AU2317" i="9"/>
  <c r="AT2317" i="9"/>
  <c r="BB2316" i="9"/>
  <c r="BA2316" i="9"/>
  <c r="AV2316" i="9"/>
  <c r="AU2316" i="9"/>
  <c r="AT2316" i="9"/>
  <c r="BB2315" i="9"/>
  <c r="BA2315" i="9"/>
  <c r="AV2315" i="9"/>
  <c r="AU2315" i="9"/>
  <c r="AT2315" i="9"/>
  <c r="BB2314" i="9"/>
  <c r="BA2314" i="9"/>
  <c r="AV2314" i="9"/>
  <c r="AU2314" i="9"/>
  <c r="AT2314" i="9"/>
  <c r="BB2313" i="9"/>
  <c r="BA2313" i="9"/>
  <c r="AV2313" i="9"/>
  <c r="AU2313" i="9"/>
  <c r="AT2313" i="9"/>
  <c r="BB2312" i="9"/>
  <c r="BA2312" i="9"/>
  <c r="AV2312" i="9"/>
  <c r="AU2312" i="9"/>
  <c r="AT2312" i="9"/>
  <c r="BB2311" i="9"/>
  <c r="BA2311" i="9"/>
  <c r="AV2311" i="9"/>
  <c r="AU2311" i="9"/>
  <c r="AT2311" i="9"/>
  <c r="BB2310" i="9"/>
  <c r="BA2310" i="9"/>
  <c r="AV2310" i="9"/>
  <c r="AU2310" i="9"/>
  <c r="AT2310" i="9"/>
  <c r="BB2309" i="9"/>
  <c r="BA2309" i="9"/>
  <c r="AV2309" i="9"/>
  <c r="AU2309" i="9"/>
  <c r="AT2309" i="9"/>
  <c r="BB2308" i="9"/>
  <c r="BA2308" i="9"/>
  <c r="AV2308" i="9"/>
  <c r="AU2308" i="9"/>
  <c r="AT2308" i="9"/>
  <c r="BB2307" i="9"/>
  <c r="BA2307" i="9"/>
  <c r="AV2307" i="9"/>
  <c r="AU2307" i="9"/>
  <c r="AT2307" i="9"/>
  <c r="BB2306" i="9"/>
  <c r="BA2306" i="9"/>
  <c r="AV2306" i="9"/>
  <c r="AU2306" i="9"/>
  <c r="AT2306" i="9"/>
  <c r="BB2305" i="9"/>
  <c r="BA2305" i="9"/>
  <c r="AV2305" i="9"/>
  <c r="AU2305" i="9"/>
  <c r="AT2305" i="9"/>
  <c r="BB2304" i="9"/>
  <c r="BA2304" i="9"/>
  <c r="AV2304" i="9"/>
  <c r="AU2304" i="9"/>
  <c r="AT2304" i="9"/>
  <c r="BB2303" i="9"/>
  <c r="BA2303" i="9"/>
  <c r="AV2303" i="9"/>
  <c r="AU2303" i="9"/>
  <c r="AT2303" i="9"/>
  <c r="BB2302" i="9"/>
  <c r="BA2302" i="9"/>
  <c r="AV2302" i="9"/>
  <c r="AU2302" i="9"/>
  <c r="AT2302" i="9"/>
  <c r="BB2301" i="9"/>
  <c r="BA2301" i="9"/>
  <c r="AV2301" i="9"/>
  <c r="AU2301" i="9"/>
  <c r="AT2301" i="9"/>
  <c r="BB2300" i="9"/>
  <c r="BA2300" i="9"/>
  <c r="AV2300" i="9"/>
  <c r="AU2300" i="9"/>
  <c r="AT2300" i="9"/>
  <c r="BB2299" i="9"/>
  <c r="BA2299" i="9"/>
  <c r="AV2299" i="9"/>
  <c r="AU2299" i="9"/>
  <c r="AT2299" i="9"/>
  <c r="BB2298" i="9"/>
  <c r="BA2298" i="9"/>
  <c r="AV2298" i="9"/>
  <c r="AU2298" i="9"/>
  <c r="AT2298" i="9"/>
  <c r="BB2297" i="9"/>
  <c r="BA2297" i="9"/>
  <c r="AV2297" i="9"/>
  <c r="AU2297" i="9"/>
  <c r="AT2297" i="9"/>
  <c r="BB2296" i="9"/>
  <c r="BA2296" i="9"/>
  <c r="AV2296" i="9"/>
  <c r="AU2296" i="9"/>
  <c r="AT2296" i="9"/>
  <c r="BB2295" i="9"/>
  <c r="BA2295" i="9"/>
  <c r="AV2295" i="9"/>
  <c r="AU2295" i="9"/>
  <c r="AT2295" i="9"/>
  <c r="BB2294" i="9"/>
  <c r="BA2294" i="9"/>
  <c r="AV2294" i="9"/>
  <c r="AU2294" i="9"/>
  <c r="AT2294" i="9"/>
  <c r="BB2293" i="9"/>
  <c r="BA2293" i="9"/>
  <c r="AV2293" i="9"/>
  <c r="AU2293" i="9"/>
  <c r="AT2293" i="9"/>
  <c r="BB2292" i="9"/>
  <c r="BA2292" i="9"/>
  <c r="AV2292" i="9"/>
  <c r="AU2292" i="9"/>
  <c r="AT2292" i="9"/>
  <c r="BB2291" i="9"/>
  <c r="BA2291" i="9"/>
  <c r="AV2291" i="9"/>
  <c r="AU2291" i="9"/>
  <c r="AT2291" i="9"/>
  <c r="BB2290" i="9"/>
  <c r="BA2290" i="9"/>
  <c r="AV2290" i="9"/>
  <c r="AU2290" i="9"/>
  <c r="AT2290" i="9"/>
  <c r="BB2289" i="9"/>
  <c r="BA2289" i="9"/>
  <c r="AV2289" i="9"/>
  <c r="AU2289" i="9"/>
  <c r="AT2289" i="9"/>
  <c r="BB2288" i="9"/>
  <c r="BA2288" i="9"/>
  <c r="AV2288" i="9"/>
  <c r="AU2288" i="9"/>
  <c r="AT2288" i="9"/>
  <c r="BB2287" i="9"/>
  <c r="BA2287" i="9"/>
  <c r="AV2287" i="9"/>
  <c r="AU2287" i="9"/>
  <c r="AT2287" i="9"/>
  <c r="BB2286" i="9"/>
  <c r="BA2286" i="9"/>
  <c r="AV2286" i="9"/>
  <c r="AU2286" i="9"/>
  <c r="AT2286" i="9"/>
  <c r="BB2285" i="9"/>
  <c r="BA2285" i="9"/>
  <c r="AV2285" i="9"/>
  <c r="AU2285" i="9"/>
  <c r="AT2285" i="9"/>
  <c r="BB2284" i="9"/>
  <c r="BA2284" i="9"/>
  <c r="AV2284" i="9"/>
  <c r="AU2284" i="9"/>
  <c r="AT2284" i="9"/>
  <c r="BB2283" i="9"/>
  <c r="BA2283" i="9"/>
  <c r="AV2283" i="9"/>
  <c r="AU2283" i="9"/>
  <c r="AT2283" i="9"/>
  <c r="BB2282" i="9"/>
  <c r="BA2282" i="9"/>
  <c r="AV2282" i="9"/>
  <c r="AU2282" i="9"/>
  <c r="AT2282" i="9"/>
  <c r="BB2281" i="9"/>
  <c r="BA2281" i="9"/>
  <c r="AV2281" i="9"/>
  <c r="AU2281" i="9"/>
  <c r="AT2281" i="9"/>
  <c r="BB2280" i="9"/>
  <c r="BA2280" i="9"/>
  <c r="AV2280" i="9"/>
  <c r="AU2280" i="9"/>
  <c r="AT2280" i="9"/>
  <c r="BB2279" i="9"/>
  <c r="BA2279" i="9"/>
  <c r="AV2279" i="9"/>
  <c r="AU2279" i="9"/>
  <c r="AT2279" i="9"/>
  <c r="BB2278" i="9"/>
  <c r="BA2278" i="9"/>
  <c r="AV2278" i="9"/>
  <c r="AU2278" i="9"/>
  <c r="AT2278" i="9"/>
  <c r="BB2277" i="9"/>
  <c r="BA2277" i="9"/>
  <c r="AV2277" i="9"/>
  <c r="AU2277" i="9"/>
  <c r="AT2277" i="9"/>
  <c r="BB2276" i="9"/>
  <c r="BA2276" i="9"/>
  <c r="AV2276" i="9"/>
  <c r="AU2276" i="9"/>
  <c r="AT2276" i="9"/>
  <c r="BB2275" i="9"/>
  <c r="BA2275" i="9"/>
  <c r="AV2275" i="9"/>
  <c r="AU2275" i="9"/>
  <c r="AT2275" i="9"/>
  <c r="BB2274" i="9"/>
  <c r="BA2274" i="9"/>
  <c r="AV2274" i="9"/>
  <c r="AU2274" i="9"/>
  <c r="AT2274" i="9"/>
  <c r="BB2273" i="9"/>
  <c r="BA2273" i="9"/>
  <c r="AV2273" i="9"/>
  <c r="AU2273" i="9"/>
  <c r="AT2273" i="9"/>
  <c r="BB2272" i="9"/>
  <c r="BA2272" i="9"/>
  <c r="AV2272" i="9"/>
  <c r="AU2272" i="9"/>
  <c r="AT2272" i="9"/>
  <c r="BB2271" i="9"/>
  <c r="BA2271" i="9"/>
  <c r="AV2271" i="9"/>
  <c r="AU2271" i="9"/>
  <c r="AT2271" i="9"/>
  <c r="BB2270" i="9"/>
  <c r="BA2270" i="9"/>
  <c r="AV2270" i="9"/>
  <c r="AU2270" i="9"/>
  <c r="AT2270" i="9"/>
  <c r="BB2269" i="9"/>
  <c r="BA2269" i="9"/>
  <c r="AV2269" i="9"/>
  <c r="AU2269" i="9"/>
  <c r="AT2269" i="9"/>
  <c r="BB2268" i="9"/>
  <c r="BA2268" i="9"/>
  <c r="AV2268" i="9"/>
  <c r="AU2268" i="9"/>
  <c r="AT2268" i="9"/>
  <c r="BB2267" i="9"/>
  <c r="BA2267" i="9"/>
  <c r="AV2267" i="9"/>
  <c r="AU2267" i="9"/>
  <c r="AT2267" i="9"/>
  <c r="BB2266" i="9"/>
  <c r="BA2266" i="9"/>
  <c r="AV2266" i="9"/>
  <c r="AU2266" i="9"/>
  <c r="AT2266" i="9"/>
  <c r="BB2265" i="9"/>
  <c r="BA2265" i="9"/>
  <c r="AV2265" i="9"/>
  <c r="AU2265" i="9"/>
  <c r="AT2265" i="9"/>
  <c r="BB2264" i="9"/>
  <c r="BA2264" i="9"/>
  <c r="AV2264" i="9"/>
  <c r="AU2264" i="9"/>
  <c r="AT2264" i="9"/>
  <c r="BB2263" i="9"/>
  <c r="BA2263" i="9"/>
  <c r="AV2263" i="9"/>
  <c r="AU2263" i="9"/>
  <c r="AT2263" i="9"/>
  <c r="BB2262" i="9"/>
  <c r="BA2262" i="9"/>
  <c r="AV2262" i="9"/>
  <c r="AU2262" i="9"/>
  <c r="AT2262" i="9"/>
  <c r="BB2261" i="9"/>
  <c r="BA2261" i="9"/>
  <c r="AV2261" i="9"/>
  <c r="AU2261" i="9"/>
  <c r="AT2261" i="9"/>
  <c r="BB2260" i="9"/>
  <c r="BA2260" i="9"/>
  <c r="AV2260" i="9"/>
  <c r="AU2260" i="9"/>
  <c r="AT2260" i="9"/>
  <c r="BB2259" i="9"/>
  <c r="BA2259" i="9"/>
  <c r="AV2259" i="9"/>
  <c r="AU2259" i="9"/>
  <c r="AT2259" i="9"/>
  <c r="BB2258" i="9"/>
  <c r="BA2258" i="9"/>
  <c r="AV2258" i="9"/>
  <c r="AU2258" i="9"/>
  <c r="AT2258" i="9"/>
  <c r="BB2257" i="9"/>
  <c r="BA2257" i="9"/>
  <c r="AV2257" i="9"/>
  <c r="AU2257" i="9"/>
  <c r="AT2257" i="9"/>
  <c r="BB2256" i="9"/>
  <c r="BA2256" i="9"/>
  <c r="AV2256" i="9"/>
  <c r="AU2256" i="9"/>
  <c r="AT2256" i="9"/>
  <c r="BB2255" i="9"/>
  <c r="BA2255" i="9"/>
  <c r="AV2255" i="9"/>
  <c r="AU2255" i="9"/>
  <c r="AT2255" i="9"/>
  <c r="BB2254" i="9"/>
  <c r="BA2254" i="9"/>
  <c r="AV2254" i="9"/>
  <c r="AU2254" i="9"/>
  <c r="AT2254" i="9"/>
  <c r="BB2253" i="9"/>
  <c r="BA2253" i="9"/>
  <c r="AV2253" i="9"/>
  <c r="AU2253" i="9"/>
  <c r="AT2253" i="9"/>
  <c r="BB2252" i="9"/>
  <c r="BA2252" i="9"/>
  <c r="AV2252" i="9"/>
  <c r="AU2252" i="9"/>
  <c r="AT2252" i="9"/>
  <c r="BB2251" i="9"/>
  <c r="BA2251" i="9"/>
  <c r="AV2251" i="9"/>
  <c r="AU2251" i="9"/>
  <c r="AT2251" i="9"/>
  <c r="BB2250" i="9"/>
  <c r="BA2250" i="9"/>
  <c r="AV2250" i="9"/>
  <c r="AU2250" i="9"/>
  <c r="AT2250" i="9"/>
  <c r="BB2249" i="9"/>
  <c r="BA2249" i="9"/>
  <c r="AV2249" i="9"/>
  <c r="AU2249" i="9"/>
  <c r="AT2249" i="9"/>
  <c r="BB2248" i="9"/>
  <c r="BA2248" i="9"/>
  <c r="AV2248" i="9"/>
  <c r="AU2248" i="9"/>
  <c r="AT2248" i="9"/>
  <c r="BB2247" i="9"/>
  <c r="BA2247" i="9"/>
  <c r="AV2247" i="9"/>
  <c r="AU2247" i="9"/>
  <c r="AT2247" i="9"/>
  <c r="BB2246" i="9"/>
  <c r="BA2246" i="9"/>
  <c r="AV2246" i="9"/>
  <c r="AU2246" i="9"/>
  <c r="AT2246" i="9"/>
  <c r="BB2245" i="9"/>
  <c r="BA2245" i="9"/>
  <c r="AV2245" i="9"/>
  <c r="AU2245" i="9"/>
  <c r="AT2245" i="9"/>
  <c r="BB2244" i="9"/>
  <c r="BA2244" i="9"/>
  <c r="AV2244" i="9"/>
  <c r="AU2244" i="9"/>
  <c r="AT2244" i="9"/>
  <c r="BB2243" i="9"/>
  <c r="BA2243" i="9"/>
  <c r="AV2243" i="9"/>
  <c r="AU2243" i="9"/>
  <c r="AT2243" i="9"/>
  <c r="BB2242" i="9"/>
  <c r="BA2242" i="9"/>
  <c r="AV2242" i="9"/>
  <c r="AU2242" i="9"/>
  <c r="AT2242" i="9"/>
  <c r="BB2241" i="9"/>
  <c r="BA2241" i="9"/>
  <c r="AV2241" i="9"/>
  <c r="AU2241" i="9"/>
  <c r="AT2241" i="9"/>
  <c r="BB2240" i="9"/>
  <c r="BA2240" i="9"/>
  <c r="AV2240" i="9"/>
  <c r="AU2240" i="9"/>
  <c r="AT2240" i="9"/>
  <c r="BB2239" i="9"/>
  <c r="BA2239" i="9"/>
  <c r="AV2239" i="9"/>
  <c r="AU2239" i="9"/>
  <c r="AT2239" i="9"/>
  <c r="BB2238" i="9"/>
  <c r="BA2238" i="9"/>
  <c r="AV2238" i="9"/>
  <c r="AU2238" i="9"/>
  <c r="AT2238" i="9"/>
  <c r="BB2237" i="9"/>
  <c r="BA2237" i="9"/>
  <c r="AV2237" i="9"/>
  <c r="AU2237" i="9"/>
  <c r="AT2237" i="9"/>
  <c r="BB2236" i="9"/>
  <c r="BA2236" i="9"/>
  <c r="AV2236" i="9"/>
  <c r="AU2236" i="9"/>
  <c r="AT2236" i="9"/>
  <c r="BB2235" i="9"/>
  <c r="BA2235" i="9"/>
  <c r="AV2235" i="9"/>
  <c r="AU2235" i="9"/>
  <c r="AT2235" i="9"/>
  <c r="BB2234" i="9"/>
  <c r="BA2234" i="9"/>
  <c r="AV2234" i="9"/>
  <c r="AU2234" i="9"/>
  <c r="AT2234" i="9"/>
  <c r="BB2233" i="9"/>
  <c r="BA2233" i="9"/>
  <c r="AV2233" i="9"/>
  <c r="AU2233" i="9"/>
  <c r="AT2233" i="9"/>
  <c r="BB2232" i="9"/>
  <c r="BA2232" i="9"/>
  <c r="AV2232" i="9"/>
  <c r="AU2232" i="9"/>
  <c r="AT2232" i="9"/>
  <c r="BB2231" i="9"/>
  <c r="BA2231" i="9"/>
  <c r="AV2231" i="9"/>
  <c r="AU2231" i="9"/>
  <c r="AT2231" i="9"/>
  <c r="BB2230" i="9"/>
  <c r="BA2230" i="9"/>
  <c r="AV2230" i="9"/>
  <c r="AU2230" i="9"/>
  <c r="AT2230" i="9"/>
  <c r="BB2229" i="9"/>
  <c r="BA2229" i="9"/>
  <c r="AV2229" i="9"/>
  <c r="AU2229" i="9"/>
  <c r="AT2229" i="9"/>
  <c r="BB2228" i="9"/>
  <c r="BA2228" i="9"/>
  <c r="AV2228" i="9"/>
  <c r="AU2228" i="9"/>
  <c r="AT2228" i="9"/>
  <c r="BB2227" i="9"/>
  <c r="BA2227" i="9"/>
  <c r="AV2227" i="9"/>
  <c r="AU2227" i="9"/>
  <c r="AT2227" i="9"/>
  <c r="BB2226" i="9"/>
  <c r="BA2226" i="9"/>
  <c r="AV2226" i="9"/>
  <c r="AU2226" i="9"/>
  <c r="AT2226" i="9"/>
  <c r="BB2225" i="9"/>
  <c r="BA2225" i="9"/>
  <c r="AV2225" i="9"/>
  <c r="AU2225" i="9"/>
  <c r="AT2225" i="9"/>
  <c r="BB2224" i="9"/>
  <c r="BA2224" i="9"/>
  <c r="AV2224" i="9"/>
  <c r="AU2224" i="9"/>
  <c r="AT2224" i="9"/>
  <c r="BB2223" i="9"/>
  <c r="BA2223" i="9"/>
  <c r="AV2223" i="9"/>
  <c r="AU2223" i="9"/>
  <c r="AT2223" i="9"/>
  <c r="BB2222" i="9"/>
  <c r="BA2222" i="9"/>
  <c r="AV2222" i="9"/>
  <c r="AU2222" i="9"/>
  <c r="AT2222" i="9"/>
  <c r="BB2221" i="9"/>
  <c r="BA2221" i="9"/>
  <c r="AV2221" i="9"/>
  <c r="AU2221" i="9"/>
  <c r="AT2221" i="9"/>
  <c r="BB2220" i="9"/>
  <c r="BA2220" i="9"/>
  <c r="AV2220" i="9"/>
  <c r="AU2220" i="9"/>
  <c r="AT2220" i="9"/>
  <c r="BB2219" i="9"/>
  <c r="BA2219" i="9"/>
  <c r="AV2219" i="9"/>
  <c r="AU2219" i="9"/>
  <c r="AT2219" i="9"/>
  <c r="BB2218" i="9"/>
  <c r="BA2218" i="9"/>
  <c r="AV2218" i="9"/>
  <c r="AU2218" i="9"/>
  <c r="AT2218" i="9"/>
  <c r="BB2217" i="9"/>
  <c r="BA2217" i="9"/>
  <c r="AV2217" i="9"/>
  <c r="AU2217" i="9"/>
  <c r="AT2217" i="9"/>
  <c r="BB2216" i="9"/>
  <c r="BA2216" i="9"/>
  <c r="AV2216" i="9"/>
  <c r="AU2216" i="9"/>
  <c r="AT2216" i="9"/>
  <c r="BB2215" i="9"/>
  <c r="BA2215" i="9"/>
  <c r="AV2215" i="9"/>
  <c r="AU2215" i="9"/>
  <c r="AT2215" i="9"/>
  <c r="BB2214" i="9"/>
  <c r="BA2214" i="9"/>
  <c r="AV2214" i="9"/>
  <c r="AU2214" i="9"/>
  <c r="AT2214" i="9"/>
  <c r="BB2213" i="9"/>
  <c r="BA2213" i="9"/>
  <c r="AV2213" i="9"/>
  <c r="AU2213" i="9"/>
  <c r="AT2213" i="9"/>
  <c r="BB2212" i="9"/>
  <c r="BA2212" i="9"/>
  <c r="AV2212" i="9"/>
  <c r="AU2212" i="9"/>
  <c r="AT2212" i="9"/>
  <c r="BB2211" i="9"/>
  <c r="BA2211" i="9"/>
  <c r="AV2211" i="9"/>
  <c r="AU2211" i="9"/>
  <c r="AT2211" i="9"/>
  <c r="BB2210" i="9"/>
  <c r="BA2210" i="9"/>
  <c r="AV2210" i="9"/>
  <c r="AU2210" i="9"/>
  <c r="AT2210" i="9"/>
  <c r="BB2209" i="9"/>
  <c r="BA2209" i="9"/>
  <c r="AV2209" i="9"/>
  <c r="AU2209" i="9"/>
  <c r="AT2209" i="9"/>
  <c r="BB2208" i="9"/>
  <c r="BA2208" i="9"/>
  <c r="AV2208" i="9"/>
  <c r="AU2208" i="9"/>
  <c r="AT2208" i="9"/>
  <c r="BB2207" i="9"/>
  <c r="BA2207" i="9"/>
  <c r="AV2207" i="9"/>
  <c r="AU2207" i="9"/>
  <c r="AT2207" i="9"/>
  <c r="BB2206" i="9"/>
  <c r="BA2206" i="9"/>
  <c r="AV2206" i="9"/>
  <c r="AU2206" i="9"/>
  <c r="AT2206" i="9"/>
  <c r="BB2205" i="9"/>
  <c r="BA2205" i="9"/>
  <c r="AV2205" i="9"/>
  <c r="AU2205" i="9"/>
  <c r="AT2205" i="9"/>
  <c r="BB2204" i="9"/>
  <c r="BA2204" i="9"/>
  <c r="AV2204" i="9"/>
  <c r="AU2204" i="9"/>
  <c r="AT2204" i="9"/>
  <c r="BB2203" i="9"/>
  <c r="BA2203" i="9"/>
  <c r="AV2203" i="9"/>
  <c r="AU2203" i="9"/>
  <c r="AT2203" i="9"/>
  <c r="BB2202" i="9"/>
  <c r="BA2202" i="9"/>
  <c r="AV2202" i="9"/>
  <c r="AU2202" i="9"/>
  <c r="AT2202" i="9"/>
  <c r="BB2201" i="9"/>
  <c r="BA2201" i="9"/>
  <c r="AV2201" i="9"/>
  <c r="AU2201" i="9"/>
  <c r="AT2201" i="9"/>
  <c r="BB2200" i="9"/>
  <c r="BA2200" i="9"/>
  <c r="AV2200" i="9"/>
  <c r="AU2200" i="9"/>
  <c r="AT2200" i="9"/>
  <c r="BB2199" i="9"/>
  <c r="BA2199" i="9"/>
  <c r="AV2199" i="9"/>
  <c r="AU2199" i="9"/>
  <c r="AT2199" i="9"/>
  <c r="BB2198" i="9"/>
  <c r="BA2198" i="9"/>
  <c r="AV2198" i="9"/>
  <c r="AU2198" i="9"/>
  <c r="AT2198" i="9"/>
  <c r="BB2197" i="9"/>
  <c r="BA2197" i="9"/>
  <c r="AV2197" i="9"/>
  <c r="AU2197" i="9"/>
  <c r="AT2197" i="9"/>
  <c r="BB2196" i="9"/>
  <c r="BA2196" i="9"/>
  <c r="AV2196" i="9"/>
  <c r="AU2196" i="9"/>
  <c r="AT2196" i="9"/>
  <c r="BB2195" i="9"/>
  <c r="BA2195" i="9"/>
  <c r="AV2195" i="9"/>
  <c r="AU2195" i="9"/>
  <c r="AT2195" i="9"/>
  <c r="BB2194" i="9"/>
  <c r="BA2194" i="9"/>
  <c r="AV2194" i="9"/>
  <c r="AU2194" i="9"/>
  <c r="AT2194" i="9"/>
  <c r="BB2193" i="9"/>
  <c r="BA2193" i="9"/>
  <c r="AV2193" i="9"/>
  <c r="AU2193" i="9"/>
  <c r="AT2193" i="9"/>
  <c r="BB2192" i="9"/>
  <c r="BA2192" i="9"/>
  <c r="AV2192" i="9"/>
  <c r="AU2192" i="9"/>
  <c r="AT2192" i="9"/>
  <c r="BB2191" i="9"/>
  <c r="BA2191" i="9"/>
  <c r="AV2191" i="9"/>
  <c r="AU2191" i="9"/>
  <c r="AT2191" i="9"/>
  <c r="BB2190" i="9"/>
  <c r="BA2190" i="9"/>
  <c r="AV2190" i="9"/>
  <c r="AU2190" i="9"/>
  <c r="AT2190" i="9"/>
  <c r="BB2189" i="9"/>
  <c r="BA2189" i="9"/>
  <c r="AV2189" i="9"/>
  <c r="AU2189" i="9"/>
  <c r="AT2189" i="9"/>
  <c r="BB2188" i="9"/>
  <c r="BA2188" i="9"/>
  <c r="AV2188" i="9"/>
  <c r="AU2188" i="9"/>
  <c r="AT2188" i="9"/>
  <c r="BB2187" i="9"/>
  <c r="BA2187" i="9"/>
  <c r="AV2187" i="9"/>
  <c r="AU2187" i="9"/>
  <c r="AT2187" i="9"/>
  <c r="BB2186" i="9"/>
  <c r="BA2186" i="9"/>
  <c r="AV2186" i="9"/>
  <c r="AU2186" i="9"/>
  <c r="AT2186" i="9"/>
  <c r="BB2185" i="9"/>
  <c r="BA2185" i="9"/>
  <c r="AV2185" i="9"/>
  <c r="AU2185" i="9"/>
  <c r="AT2185" i="9"/>
  <c r="BB2184" i="9"/>
  <c r="BA2184" i="9"/>
  <c r="AV2184" i="9"/>
  <c r="AU2184" i="9"/>
  <c r="AT2184" i="9"/>
  <c r="BB2183" i="9"/>
  <c r="BA2183" i="9"/>
  <c r="AV2183" i="9"/>
  <c r="AU2183" i="9"/>
  <c r="AT2183" i="9"/>
  <c r="BB2182" i="9"/>
  <c r="BA2182" i="9"/>
  <c r="AV2182" i="9"/>
  <c r="AU2182" i="9"/>
  <c r="AT2182" i="9"/>
  <c r="BB2181" i="9"/>
  <c r="BA2181" i="9"/>
  <c r="AV2181" i="9"/>
  <c r="AU2181" i="9"/>
  <c r="AT2181" i="9"/>
  <c r="BB2180" i="9"/>
  <c r="BA2180" i="9"/>
  <c r="AV2180" i="9"/>
  <c r="AU2180" i="9"/>
  <c r="AT2180" i="9"/>
  <c r="BB2179" i="9"/>
  <c r="BA2179" i="9"/>
  <c r="AV2179" i="9"/>
  <c r="AU2179" i="9"/>
  <c r="AT2179" i="9"/>
  <c r="BB2178" i="9"/>
  <c r="BA2178" i="9"/>
  <c r="AV2178" i="9"/>
  <c r="AU2178" i="9"/>
  <c r="AT2178" i="9"/>
  <c r="BB2177" i="9"/>
  <c r="BA2177" i="9"/>
  <c r="AV2177" i="9"/>
  <c r="AU2177" i="9"/>
  <c r="AT2177" i="9"/>
  <c r="BB2176" i="9"/>
  <c r="BA2176" i="9"/>
  <c r="AV2176" i="9"/>
  <c r="AU2176" i="9"/>
  <c r="AT2176" i="9"/>
  <c r="BB2175" i="9"/>
  <c r="BA2175" i="9"/>
  <c r="AV2175" i="9"/>
  <c r="AU2175" i="9"/>
  <c r="AT2175" i="9"/>
  <c r="BB2174" i="9"/>
  <c r="BA2174" i="9"/>
  <c r="AV2174" i="9"/>
  <c r="AU2174" i="9"/>
  <c r="AT2174" i="9"/>
  <c r="BB2173" i="9"/>
  <c r="BA2173" i="9"/>
  <c r="AV2173" i="9"/>
  <c r="AU2173" i="9"/>
  <c r="AT2173" i="9"/>
  <c r="BB2172" i="9"/>
  <c r="BA2172" i="9"/>
  <c r="AV2172" i="9"/>
  <c r="AU2172" i="9"/>
  <c r="AT2172" i="9"/>
  <c r="BB2171" i="9"/>
  <c r="BA2171" i="9"/>
  <c r="AV2171" i="9"/>
  <c r="AU2171" i="9"/>
  <c r="AT2171" i="9"/>
  <c r="BB2170" i="9"/>
  <c r="BA2170" i="9"/>
  <c r="AV2170" i="9"/>
  <c r="AU2170" i="9"/>
  <c r="AT2170" i="9"/>
  <c r="BB2169" i="9"/>
  <c r="BA2169" i="9"/>
  <c r="AV2169" i="9"/>
  <c r="AU2169" i="9"/>
  <c r="AT2169" i="9"/>
  <c r="BB2168" i="9"/>
  <c r="BA2168" i="9"/>
  <c r="AV2168" i="9"/>
  <c r="AU2168" i="9"/>
  <c r="AT2168" i="9"/>
  <c r="BB2167" i="9"/>
  <c r="BA2167" i="9"/>
  <c r="AV2167" i="9"/>
  <c r="AU2167" i="9"/>
  <c r="AT2167" i="9"/>
  <c r="BB2166" i="9"/>
  <c r="BA2166" i="9"/>
  <c r="AV2166" i="9"/>
  <c r="AU2166" i="9"/>
  <c r="AT2166" i="9"/>
  <c r="BB2165" i="9"/>
  <c r="BA2165" i="9"/>
  <c r="AV2165" i="9"/>
  <c r="AU2165" i="9"/>
  <c r="AT2165" i="9"/>
  <c r="BB2164" i="9"/>
  <c r="BA2164" i="9"/>
  <c r="AV2164" i="9"/>
  <c r="AU2164" i="9"/>
  <c r="AT2164" i="9"/>
  <c r="BB2163" i="9"/>
  <c r="BA2163" i="9"/>
  <c r="AV2163" i="9"/>
  <c r="AU2163" i="9"/>
  <c r="AT2163" i="9"/>
  <c r="BB2162" i="9"/>
  <c r="BA2162" i="9"/>
  <c r="AV2162" i="9"/>
  <c r="AU2162" i="9"/>
  <c r="AT2162" i="9"/>
  <c r="BB2161" i="9"/>
  <c r="BA2161" i="9"/>
  <c r="AV2161" i="9"/>
  <c r="AU2161" i="9"/>
  <c r="AT2161" i="9"/>
  <c r="BB2160" i="9"/>
  <c r="BA2160" i="9"/>
  <c r="AV2160" i="9"/>
  <c r="AU2160" i="9"/>
  <c r="AT2160" i="9"/>
  <c r="BB2159" i="9"/>
  <c r="BA2159" i="9"/>
  <c r="AV2159" i="9"/>
  <c r="AU2159" i="9"/>
  <c r="AT2159" i="9"/>
  <c r="BB2158" i="9"/>
  <c r="BA2158" i="9"/>
  <c r="AV2158" i="9"/>
  <c r="AU2158" i="9"/>
  <c r="AT2158" i="9"/>
  <c r="BB2157" i="9"/>
  <c r="BA2157" i="9"/>
  <c r="AV2157" i="9"/>
  <c r="AU2157" i="9"/>
  <c r="AT2157" i="9"/>
  <c r="BB2156" i="9"/>
  <c r="BA2156" i="9"/>
  <c r="AV2156" i="9"/>
  <c r="AU2156" i="9"/>
  <c r="AT2156" i="9"/>
  <c r="BB2155" i="9"/>
  <c r="BA2155" i="9"/>
  <c r="AV2155" i="9"/>
  <c r="AU2155" i="9"/>
  <c r="AT2155" i="9"/>
  <c r="BB2154" i="9"/>
  <c r="BA2154" i="9"/>
  <c r="AV2154" i="9"/>
  <c r="AU2154" i="9"/>
  <c r="AT2154" i="9"/>
  <c r="BB2153" i="9"/>
  <c r="BA2153" i="9"/>
  <c r="AV2153" i="9"/>
  <c r="AU2153" i="9"/>
  <c r="AT2153" i="9"/>
  <c r="BB2152" i="9"/>
  <c r="BA2152" i="9"/>
  <c r="AV2152" i="9"/>
  <c r="AU2152" i="9"/>
  <c r="AT2152" i="9"/>
  <c r="BB2151" i="9"/>
  <c r="BA2151" i="9"/>
  <c r="AV2151" i="9"/>
  <c r="AU2151" i="9"/>
  <c r="AT2151" i="9"/>
  <c r="BB2150" i="9"/>
  <c r="BA2150" i="9"/>
  <c r="AV2150" i="9"/>
  <c r="AU2150" i="9"/>
  <c r="AT2150" i="9"/>
  <c r="BB2149" i="9"/>
  <c r="BA2149" i="9"/>
  <c r="AV2149" i="9"/>
  <c r="AU2149" i="9"/>
  <c r="AT2149" i="9"/>
  <c r="BB2148" i="9"/>
  <c r="BA2148" i="9"/>
  <c r="AV2148" i="9"/>
  <c r="AU2148" i="9"/>
  <c r="AT2148" i="9"/>
  <c r="BB2147" i="9"/>
  <c r="BA2147" i="9"/>
  <c r="AV2147" i="9"/>
  <c r="AU2147" i="9"/>
  <c r="AT2147" i="9"/>
  <c r="BB2146" i="9"/>
  <c r="BA2146" i="9"/>
  <c r="AV2146" i="9"/>
  <c r="AU2146" i="9"/>
  <c r="AT2146" i="9"/>
  <c r="BB2145" i="9"/>
  <c r="BA2145" i="9"/>
  <c r="AV2145" i="9"/>
  <c r="AU2145" i="9"/>
  <c r="AT2145" i="9"/>
  <c r="BB2144" i="9"/>
  <c r="BA2144" i="9"/>
  <c r="AV2144" i="9"/>
  <c r="AU2144" i="9"/>
  <c r="AT2144" i="9"/>
  <c r="BB2143" i="9"/>
  <c r="BA2143" i="9"/>
  <c r="AV2143" i="9"/>
  <c r="AU2143" i="9"/>
  <c r="AT2143" i="9"/>
  <c r="BB2142" i="9"/>
  <c r="BA2142" i="9"/>
  <c r="AV2142" i="9"/>
  <c r="AU2142" i="9"/>
  <c r="AT2142" i="9"/>
  <c r="BB2141" i="9"/>
  <c r="BA2141" i="9"/>
  <c r="AV2141" i="9"/>
  <c r="AU2141" i="9"/>
  <c r="AT2141" i="9"/>
  <c r="BB2140" i="9"/>
  <c r="BA2140" i="9"/>
  <c r="AV2140" i="9"/>
  <c r="AU2140" i="9"/>
  <c r="AT2140" i="9"/>
  <c r="BB2139" i="9"/>
  <c r="BA2139" i="9"/>
  <c r="AV2139" i="9"/>
  <c r="AU2139" i="9"/>
  <c r="AT2139" i="9"/>
  <c r="BB2138" i="9"/>
  <c r="BA2138" i="9"/>
  <c r="AV2138" i="9"/>
  <c r="AU2138" i="9"/>
  <c r="AT2138" i="9"/>
  <c r="BB2137" i="9"/>
  <c r="BA2137" i="9"/>
  <c r="AV2137" i="9"/>
  <c r="AU2137" i="9"/>
  <c r="AT2137" i="9"/>
  <c r="BB2136" i="9"/>
  <c r="BA2136" i="9"/>
  <c r="AV2136" i="9"/>
  <c r="AU2136" i="9"/>
  <c r="AT2136" i="9"/>
  <c r="BB2135" i="9"/>
  <c r="BA2135" i="9"/>
  <c r="AV2135" i="9"/>
  <c r="AU2135" i="9"/>
  <c r="AT2135" i="9"/>
  <c r="BB2134" i="9"/>
  <c r="BA2134" i="9"/>
  <c r="AV2134" i="9"/>
  <c r="AU2134" i="9"/>
  <c r="AT2134" i="9"/>
  <c r="BB2133" i="9"/>
  <c r="BA2133" i="9"/>
  <c r="AV2133" i="9"/>
  <c r="AU2133" i="9"/>
  <c r="AT2133" i="9"/>
  <c r="BB2132" i="9"/>
  <c r="BA2132" i="9"/>
  <c r="AV2132" i="9"/>
  <c r="AU2132" i="9"/>
  <c r="AT2132" i="9"/>
  <c r="BB2131" i="9"/>
  <c r="BA2131" i="9"/>
  <c r="AV2131" i="9"/>
  <c r="AU2131" i="9"/>
  <c r="AT2131" i="9"/>
  <c r="BB2130" i="9"/>
  <c r="BA2130" i="9"/>
  <c r="AV2130" i="9"/>
  <c r="AU2130" i="9"/>
  <c r="AT2130" i="9"/>
  <c r="BB2129" i="9"/>
  <c r="BA2129" i="9"/>
  <c r="AV2129" i="9"/>
  <c r="AU2129" i="9"/>
  <c r="AT2129" i="9"/>
  <c r="BB2128" i="9"/>
  <c r="BA2128" i="9"/>
  <c r="AV2128" i="9"/>
  <c r="AU2128" i="9"/>
  <c r="AT2128" i="9"/>
  <c r="BB2127" i="9"/>
  <c r="BA2127" i="9"/>
  <c r="AV2127" i="9"/>
  <c r="AU2127" i="9"/>
  <c r="AT2127" i="9"/>
  <c r="BB2126" i="9"/>
  <c r="BA2126" i="9"/>
  <c r="AV2126" i="9"/>
  <c r="AU2126" i="9"/>
  <c r="AT2126" i="9"/>
  <c r="BB2125" i="9"/>
  <c r="BA2125" i="9"/>
  <c r="AV2125" i="9"/>
  <c r="AU2125" i="9"/>
  <c r="AT2125" i="9"/>
  <c r="BB2124" i="9"/>
  <c r="BA2124" i="9"/>
  <c r="AV2124" i="9"/>
  <c r="AU2124" i="9"/>
  <c r="AT2124" i="9"/>
  <c r="BB2123" i="9"/>
  <c r="BA2123" i="9"/>
  <c r="AV2123" i="9"/>
  <c r="AU2123" i="9"/>
  <c r="AT2123" i="9"/>
  <c r="BB2122" i="9"/>
  <c r="BA2122" i="9"/>
  <c r="AV2122" i="9"/>
  <c r="AU2122" i="9"/>
  <c r="AT2122" i="9"/>
  <c r="BB2121" i="9"/>
  <c r="BA2121" i="9"/>
  <c r="AV2121" i="9"/>
  <c r="AU2121" i="9"/>
  <c r="AT2121" i="9"/>
  <c r="BB2120" i="9"/>
  <c r="BA2120" i="9"/>
  <c r="AV2120" i="9"/>
  <c r="AU2120" i="9"/>
  <c r="AT2120" i="9"/>
  <c r="BB2119" i="9"/>
  <c r="BA2119" i="9"/>
  <c r="AV2119" i="9"/>
  <c r="AU2119" i="9"/>
  <c r="AT2119" i="9"/>
  <c r="BB2118" i="9"/>
  <c r="BA2118" i="9"/>
  <c r="AV2118" i="9"/>
  <c r="AU2118" i="9"/>
  <c r="AT2118" i="9"/>
  <c r="BB2117" i="9"/>
  <c r="BA2117" i="9"/>
  <c r="AV2117" i="9"/>
  <c r="AU2117" i="9"/>
  <c r="AT2117" i="9"/>
  <c r="BB2116" i="9"/>
  <c r="BA2116" i="9"/>
  <c r="AV2116" i="9"/>
  <c r="AU2116" i="9"/>
  <c r="AT2116" i="9"/>
  <c r="BB2115" i="9"/>
  <c r="BA2115" i="9"/>
  <c r="AV2115" i="9"/>
  <c r="AU2115" i="9"/>
  <c r="AT2115" i="9"/>
  <c r="BB2114" i="9"/>
  <c r="BA2114" i="9"/>
  <c r="AV2114" i="9"/>
  <c r="AU2114" i="9"/>
  <c r="AT2114" i="9"/>
  <c r="BB2113" i="9"/>
  <c r="BA2113" i="9"/>
  <c r="AV2113" i="9"/>
  <c r="AU2113" i="9"/>
  <c r="AT2113" i="9"/>
  <c r="BB2112" i="9"/>
  <c r="BA2112" i="9"/>
  <c r="AV2112" i="9"/>
  <c r="AU2112" i="9"/>
  <c r="AT2112" i="9"/>
  <c r="BB2111" i="9"/>
  <c r="BA2111" i="9"/>
  <c r="AV2111" i="9"/>
  <c r="AU2111" i="9"/>
  <c r="AT2111" i="9"/>
  <c r="BB2110" i="9"/>
  <c r="BA2110" i="9"/>
  <c r="AV2110" i="9"/>
  <c r="AU2110" i="9"/>
  <c r="AT2110" i="9"/>
  <c r="BB2109" i="9"/>
  <c r="BA2109" i="9"/>
  <c r="AV2109" i="9"/>
  <c r="AU2109" i="9"/>
  <c r="AT2109" i="9"/>
  <c r="BB2108" i="9"/>
  <c r="BA2108" i="9"/>
  <c r="AV2108" i="9"/>
  <c r="AU2108" i="9"/>
  <c r="AT2108" i="9"/>
  <c r="BB2107" i="9"/>
  <c r="BA2107" i="9"/>
  <c r="AV2107" i="9"/>
  <c r="AU2107" i="9"/>
  <c r="AT2107" i="9"/>
  <c r="BB2106" i="9"/>
  <c r="BA2106" i="9"/>
  <c r="AV2106" i="9"/>
  <c r="AU2106" i="9"/>
  <c r="AT2106" i="9"/>
  <c r="BB2105" i="9"/>
  <c r="BA2105" i="9"/>
  <c r="AV2105" i="9"/>
  <c r="AU2105" i="9"/>
  <c r="AT2105" i="9"/>
  <c r="BB2104" i="9"/>
  <c r="BA2104" i="9"/>
  <c r="AV2104" i="9"/>
  <c r="AU2104" i="9"/>
  <c r="AT2104" i="9"/>
  <c r="BB2103" i="9"/>
  <c r="BA2103" i="9"/>
  <c r="AV2103" i="9"/>
  <c r="AU2103" i="9"/>
  <c r="AT2103" i="9"/>
  <c r="BB2102" i="9"/>
  <c r="BA2102" i="9"/>
  <c r="AV2102" i="9"/>
  <c r="AU2102" i="9"/>
  <c r="AT2102" i="9"/>
  <c r="BB2101" i="9"/>
  <c r="BA2101" i="9"/>
  <c r="AV2101" i="9"/>
  <c r="AU2101" i="9"/>
  <c r="AT2101" i="9"/>
  <c r="BB2100" i="9"/>
  <c r="BA2100" i="9"/>
  <c r="AV2100" i="9"/>
  <c r="AU2100" i="9"/>
  <c r="AT2100" i="9"/>
  <c r="BB2099" i="9"/>
  <c r="BA2099" i="9"/>
  <c r="AV2099" i="9"/>
  <c r="AU2099" i="9"/>
  <c r="AT2099" i="9"/>
  <c r="BB2098" i="9"/>
  <c r="BA2098" i="9"/>
  <c r="AV2098" i="9"/>
  <c r="AU2098" i="9"/>
  <c r="AT2098" i="9"/>
  <c r="BB2097" i="9"/>
  <c r="BA2097" i="9"/>
  <c r="AV2097" i="9"/>
  <c r="AU2097" i="9"/>
  <c r="AT2097" i="9"/>
  <c r="BB2096" i="9"/>
  <c r="BA2096" i="9"/>
  <c r="AV2096" i="9"/>
  <c r="AU2096" i="9"/>
  <c r="AT2096" i="9"/>
  <c r="BB2095" i="9"/>
  <c r="BA2095" i="9"/>
  <c r="AV2095" i="9"/>
  <c r="AU2095" i="9"/>
  <c r="AT2095" i="9"/>
  <c r="BB2094" i="9"/>
  <c r="BA2094" i="9"/>
  <c r="AV2094" i="9"/>
  <c r="AU2094" i="9"/>
  <c r="AT2094" i="9"/>
  <c r="BB2093" i="9"/>
  <c r="BA2093" i="9"/>
  <c r="AV2093" i="9"/>
  <c r="AU2093" i="9"/>
  <c r="AT2093" i="9"/>
  <c r="BB2092" i="9"/>
  <c r="BA2092" i="9"/>
  <c r="AV2092" i="9"/>
  <c r="AU2092" i="9"/>
  <c r="AT2092" i="9"/>
  <c r="BB2091" i="9"/>
  <c r="BA2091" i="9"/>
  <c r="AV2091" i="9"/>
  <c r="AU2091" i="9"/>
  <c r="AT2091" i="9"/>
  <c r="BB2090" i="9"/>
  <c r="BA2090" i="9"/>
  <c r="AV2090" i="9"/>
  <c r="AU2090" i="9"/>
  <c r="AT2090" i="9"/>
  <c r="BB2089" i="9"/>
  <c r="BA2089" i="9"/>
  <c r="AV2089" i="9"/>
  <c r="AU2089" i="9"/>
  <c r="AT2089" i="9"/>
  <c r="BB2088" i="9"/>
  <c r="BA2088" i="9"/>
  <c r="AV2088" i="9"/>
  <c r="AU2088" i="9"/>
  <c r="AT2088" i="9"/>
  <c r="BB2087" i="9"/>
  <c r="BA2087" i="9"/>
  <c r="AV2087" i="9"/>
  <c r="AU2087" i="9"/>
  <c r="AT2087" i="9"/>
  <c r="BB2086" i="9"/>
  <c r="BA2086" i="9"/>
  <c r="AV2086" i="9"/>
  <c r="AU2086" i="9"/>
  <c r="AT2086" i="9"/>
  <c r="BB2085" i="9"/>
  <c r="BA2085" i="9"/>
  <c r="AV2085" i="9"/>
  <c r="AU2085" i="9"/>
  <c r="AT2085" i="9"/>
  <c r="BB2084" i="9"/>
  <c r="BA2084" i="9"/>
  <c r="AV2084" i="9"/>
  <c r="AU2084" i="9"/>
  <c r="AT2084" i="9"/>
  <c r="BB2083" i="9"/>
  <c r="BA2083" i="9"/>
  <c r="AV2083" i="9"/>
  <c r="AU2083" i="9"/>
  <c r="AT2083" i="9"/>
  <c r="BB2082" i="9"/>
  <c r="BA2082" i="9"/>
  <c r="AV2082" i="9"/>
  <c r="AU2082" i="9"/>
  <c r="AT2082" i="9"/>
  <c r="BB2081" i="9"/>
  <c r="BA2081" i="9"/>
  <c r="AV2081" i="9"/>
  <c r="AU2081" i="9"/>
  <c r="AT2081" i="9"/>
  <c r="BB2080" i="9"/>
  <c r="BA2080" i="9"/>
  <c r="AV2080" i="9"/>
  <c r="AU2080" i="9"/>
  <c r="AT2080" i="9"/>
  <c r="BB2079" i="9"/>
  <c r="BA2079" i="9"/>
  <c r="AV2079" i="9"/>
  <c r="AU2079" i="9"/>
  <c r="AT2079" i="9"/>
  <c r="BB2078" i="9"/>
  <c r="BA2078" i="9"/>
  <c r="AV2078" i="9"/>
  <c r="AU2078" i="9"/>
  <c r="AT2078" i="9"/>
  <c r="BB2077" i="9"/>
  <c r="BA2077" i="9"/>
  <c r="AV2077" i="9"/>
  <c r="AU2077" i="9"/>
  <c r="AT2077" i="9"/>
  <c r="BB2076" i="9"/>
  <c r="BA2076" i="9"/>
  <c r="AV2076" i="9"/>
  <c r="AU2076" i="9"/>
  <c r="AT2076" i="9"/>
  <c r="BB2075" i="9"/>
  <c r="BA2075" i="9"/>
  <c r="AV2075" i="9"/>
  <c r="AU2075" i="9"/>
  <c r="AT2075" i="9"/>
  <c r="BB2074" i="9"/>
  <c r="BA2074" i="9"/>
  <c r="AV2074" i="9"/>
  <c r="AU2074" i="9"/>
  <c r="AT2074" i="9"/>
  <c r="BB2073" i="9"/>
  <c r="BA2073" i="9"/>
  <c r="AV2073" i="9"/>
  <c r="AU2073" i="9"/>
  <c r="AT2073" i="9"/>
  <c r="BB2072" i="9"/>
  <c r="BA2072" i="9"/>
  <c r="AV2072" i="9"/>
  <c r="AU2072" i="9"/>
  <c r="AT2072" i="9"/>
  <c r="BB2071" i="9"/>
  <c r="BA2071" i="9"/>
  <c r="AV2071" i="9"/>
  <c r="AU2071" i="9"/>
  <c r="AT2071" i="9"/>
  <c r="BB2070" i="9"/>
  <c r="BA2070" i="9"/>
  <c r="AV2070" i="9"/>
  <c r="AU2070" i="9"/>
  <c r="AT2070" i="9"/>
  <c r="BB2069" i="9"/>
  <c r="BA2069" i="9"/>
  <c r="AV2069" i="9"/>
  <c r="AU2069" i="9"/>
  <c r="AT2069" i="9"/>
  <c r="BB2068" i="9"/>
  <c r="BA2068" i="9"/>
  <c r="AV2068" i="9"/>
  <c r="AU2068" i="9"/>
  <c r="AT2068" i="9"/>
  <c r="BB2067" i="9"/>
  <c r="BA2067" i="9"/>
  <c r="AV2067" i="9"/>
  <c r="AU2067" i="9"/>
  <c r="AT2067" i="9"/>
  <c r="BB2066" i="9"/>
  <c r="BA2066" i="9"/>
  <c r="AV2066" i="9"/>
  <c r="AU2066" i="9"/>
  <c r="AT2066" i="9"/>
  <c r="BB2065" i="9"/>
  <c r="BA2065" i="9"/>
  <c r="AV2065" i="9"/>
  <c r="AU2065" i="9"/>
  <c r="AT2065" i="9"/>
  <c r="BB2064" i="9"/>
  <c r="BA2064" i="9"/>
  <c r="AV2064" i="9"/>
  <c r="AU2064" i="9"/>
  <c r="AT2064" i="9"/>
  <c r="BB2063" i="9"/>
  <c r="BA2063" i="9"/>
  <c r="AV2063" i="9"/>
  <c r="AU2063" i="9"/>
  <c r="AT2063" i="9"/>
  <c r="BB2062" i="9"/>
  <c r="BA2062" i="9"/>
  <c r="AV2062" i="9"/>
  <c r="AU2062" i="9"/>
  <c r="AT2062" i="9"/>
  <c r="BB2061" i="9"/>
  <c r="BA2061" i="9"/>
  <c r="AV2061" i="9"/>
  <c r="AU2061" i="9"/>
  <c r="AT2061" i="9"/>
  <c r="BB2060" i="9"/>
  <c r="BA2060" i="9"/>
  <c r="AV2060" i="9"/>
  <c r="AU2060" i="9"/>
  <c r="AT2060" i="9"/>
  <c r="BB2059" i="9"/>
  <c r="BA2059" i="9"/>
  <c r="AV2059" i="9"/>
  <c r="AU2059" i="9"/>
  <c r="AT2059" i="9"/>
  <c r="BB2058" i="9"/>
  <c r="BA2058" i="9"/>
  <c r="AV2058" i="9"/>
  <c r="AU2058" i="9"/>
  <c r="AT2058" i="9"/>
  <c r="BB2057" i="9"/>
  <c r="BA2057" i="9"/>
  <c r="AV2057" i="9"/>
  <c r="AU2057" i="9"/>
  <c r="AT2057" i="9"/>
  <c r="BB2056" i="9"/>
  <c r="BA2056" i="9"/>
  <c r="AV2056" i="9"/>
  <c r="AU2056" i="9"/>
  <c r="AT2056" i="9"/>
  <c r="BB2055" i="9"/>
  <c r="BA2055" i="9"/>
  <c r="AV2055" i="9"/>
  <c r="AU2055" i="9"/>
  <c r="AT2055" i="9"/>
  <c r="BB2054" i="9"/>
  <c r="BA2054" i="9"/>
  <c r="AV2054" i="9"/>
  <c r="AU2054" i="9"/>
  <c r="AT2054" i="9"/>
  <c r="BB2053" i="9"/>
  <c r="BA2053" i="9"/>
  <c r="AV2053" i="9"/>
  <c r="AU2053" i="9"/>
  <c r="AT2053" i="9"/>
  <c r="BB2052" i="9"/>
  <c r="BA2052" i="9"/>
  <c r="AV2052" i="9"/>
  <c r="AU2052" i="9"/>
  <c r="AT2052" i="9"/>
  <c r="BB2051" i="9"/>
  <c r="BA2051" i="9"/>
  <c r="AV2051" i="9"/>
  <c r="AU2051" i="9"/>
  <c r="AT2051" i="9"/>
  <c r="BB2050" i="9"/>
  <c r="BA2050" i="9"/>
  <c r="AV2050" i="9"/>
  <c r="AU2050" i="9"/>
  <c r="AT2050" i="9"/>
  <c r="BB2049" i="9"/>
  <c r="BA2049" i="9"/>
  <c r="AV2049" i="9"/>
  <c r="AU2049" i="9"/>
  <c r="AT2049" i="9"/>
  <c r="BB2048" i="9"/>
  <c r="BA2048" i="9"/>
  <c r="AV2048" i="9"/>
  <c r="AU2048" i="9"/>
  <c r="AT2048" i="9"/>
  <c r="BB2047" i="9"/>
  <c r="BA2047" i="9"/>
  <c r="AV2047" i="9"/>
  <c r="AU2047" i="9"/>
  <c r="AT2047" i="9"/>
  <c r="BB2046" i="9"/>
  <c r="BA2046" i="9"/>
  <c r="AV2046" i="9"/>
  <c r="AU2046" i="9"/>
  <c r="AT2046" i="9"/>
  <c r="BB2045" i="9"/>
  <c r="BA2045" i="9"/>
  <c r="AV2045" i="9"/>
  <c r="AU2045" i="9"/>
  <c r="AT2045" i="9"/>
  <c r="BB2044" i="9"/>
  <c r="BA2044" i="9"/>
  <c r="AV2044" i="9"/>
  <c r="AU2044" i="9"/>
  <c r="AT2044" i="9"/>
  <c r="BB2043" i="9"/>
  <c r="BA2043" i="9"/>
  <c r="AV2043" i="9"/>
  <c r="AU2043" i="9"/>
  <c r="AT2043" i="9"/>
  <c r="BB2042" i="9"/>
  <c r="BA2042" i="9"/>
  <c r="AV2042" i="9"/>
  <c r="AU2042" i="9"/>
  <c r="AT2042" i="9"/>
  <c r="BB2041" i="9"/>
  <c r="BA2041" i="9"/>
  <c r="AV2041" i="9"/>
  <c r="AU2041" i="9"/>
  <c r="AT2041" i="9"/>
  <c r="BB2040" i="9"/>
  <c r="BA2040" i="9"/>
  <c r="AV2040" i="9"/>
  <c r="AU2040" i="9"/>
  <c r="AT2040" i="9"/>
  <c r="BB2039" i="9"/>
  <c r="BA2039" i="9"/>
  <c r="AV2039" i="9"/>
  <c r="AU2039" i="9"/>
  <c r="AT2039" i="9"/>
  <c r="BB2038" i="9"/>
  <c r="BA2038" i="9"/>
  <c r="AV2038" i="9"/>
  <c r="AU2038" i="9"/>
  <c r="AT2038" i="9"/>
  <c r="BB2037" i="9"/>
  <c r="BA2037" i="9"/>
  <c r="AV2037" i="9"/>
  <c r="AU2037" i="9"/>
  <c r="AT2037" i="9"/>
  <c r="BB2036" i="9"/>
  <c r="BA2036" i="9"/>
  <c r="AV2036" i="9"/>
  <c r="AU2036" i="9"/>
  <c r="AT2036" i="9"/>
  <c r="BB2035" i="9"/>
  <c r="BA2035" i="9"/>
  <c r="AV2035" i="9"/>
  <c r="AU2035" i="9"/>
  <c r="AT2035" i="9"/>
  <c r="BB2034" i="9"/>
  <c r="BA2034" i="9"/>
  <c r="AV2034" i="9"/>
  <c r="AU2034" i="9"/>
  <c r="AT2034" i="9"/>
  <c r="BB2033" i="9"/>
  <c r="BA2033" i="9"/>
  <c r="AV2033" i="9"/>
  <c r="AU2033" i="9"/>
  <c r="AT2033" i="9"/>
  <c r="BB2032" i="9"/>
  <c r="BA2032" i="9"/>
  <c r="AV2032" i="9"/>
  <c r="AU2032" i="9"/>
  <c r="AT2032" i="9"/>
  <c r="BB2031" i="9"/>
  <c r="BA2031" i="9"/>
  <c r="AV2031" i="9"/>
  <c r="AU2031" i="9"/>
  <c r="AT2031" i="9"/>
  <c r="BB2030" i="9"/>
  <c r="BA2030" i="9"/>
  <c r="AV2030" i="9"/>
  <c r="AU2030" i="9"/>
  <c r="AT2030" i="9"/>
  <c r="BB2029" i="9"/>
  <c r="BA2029" i="9"/>
  <c r="AV2029" i="9"/>
  <c r="AU2029" i="9"/>
  <c r="AT2029" i="9"/>
  <c r="BB2028" i="9"/>
  <c r="BA2028" i="9"/>
  <c r="AV2028" i="9"/>
  <c r="AU2028" i="9"/>
  <c r="AT2028" i="9"/>
  <c r="BB2027" i="9"/>
  <c r="BA2027" i="9"/>
  <c r="AV2027" i="9"/>
  <c r="AU2027" i="9"/>
  <c r="AT2027" i="9"/>
  <c r="BB2026" i="9"/>
  <c r="BA2026" i="9"/>
  <c r="AV2026" i="9"/>
  <c r="AU2026" i="9"/>
  <c r="AT2026" i="9"/>
  <c r="BB2025" i="9"/>
  <c r="BA2025" i="9"/>
  <c r="AV2025" i="9"/>
  <c r="AU2025" i="9"/>
  <c r="AT2025" i="9"/>
  <c r="BB2024" i="9"/>
  <c r="BA2024" i="9"/>
  <c r="AV2024" i="9"/>
  <c r="AU2024" i="9"/>
  <c r="AT2024" i="9"/>
  <c r="BB2023" i="9"/>
  <c r="BA2023" i="9"/>
  <c r="AV2023" i="9"/>
  <c r="AU2023" i="9"/>
  <c r="AT2023" i="9"/>
  <c r="BB2022" i="9"/>
  <c r="BA2022" i="9"/>
  <c r="AV2022" i="9"/>
  <c r="AU2022" i="9"/>
  <c r="AT2022" i="9"/>
  <c r="BB2021" i="9"/>
  <c r="BA2021" i="9"/>
  <c r="AV2021" i="9"/>
  <c r="AU2021" i="9"/>
  <c r="AT2021" i="9"/>
  <c r="BB2020" i="9"/>
  <c r="BA2020" i="9"/>
  <c r="AV2020" i="9"/>
  <c r="AU2020" i="9"/>
  <c r="AT2020" i="9"/>
  <c r="BB2019" i="9"/>
  <c r="BA2019" i="9"/>
  <c r="AV2019" i="9"/>
  <c r="AU2019" i="9"/>
  <c r="AT2019" i="9"/>
  <c r="BB2018" i="9"/>
  <c r="BA2018" i="9"/>
  <c r="AV2018" i="9"/>
  <c r="AU2018" i="9"/>
  <c r="AT2018" i="9"/>
  <c r="BB2017" i="9"/>
  <c r="BA2017" i="9"/>
  <c r="AV2017" i="9"/>
  <c r="AU2017" i="9"/>
  <c r="AT2017" i="9"/>
  <c r="BB2016" i="9"/>
  <c r="BA2016" i="9"/>
  <c r="AV2016" i="9"/>
  <c r="AU2016" i="9"/>
  <c r="AT2016" i="9"/>
  <c r="BB2015" i="9"/>
  <c r="BA2015" i="9"/>
  <c r="AV2015" i="9"/>
  <c r="AU2015" i="9"/>
  <c r="AT2015" i="9"/>
  <c r="BB2014" i="9"/>
  <c r="BA2014" i="9"/>
  <c r="AV2014" i="9"/>
  <c r="AU2014" i="9"/>
  <c r="AT2014" i="9"/>
  <c r="BB2013" i="9"/>
  <c r="BA2013" i="9"/>
  <c r="AV2013" i="9"/>
  <c r="AU2013" i="9"/>
  <c r="AT2013" i="9"/>
  <c r="BB2012" i="9"/>
  <c r="BA2012" i="9"/>
  <c r="AV2012" i="9"/>
  <c r="AU2012" i="9"/>
  <c r="AT2012" i="9"/>
  <c r="BB2011" i="9"/>
  <c r="BA2011" i="9"/>
  <c r="AV2011" i="9"/>
  <c r="AU2011" i="9"/>
  <c r="AT2011" i="9"/>
  <c r="BB2010" i="9"/>
  <c r="BA2010" i="9"/>
  <c r="AV2010" i="9"/>
  <c r="AU2010" i="9"/>
  <c r="AT2010" i="9"/>
  <c r="BB2009" i="9"/>
  <c r="BA2009" i="9"/>
  <c r="AV2009" i="9"/>
  <c r="AU2009" i="9"/>
  <c r="AT2009" i="9"/>
  <c r="BB2008" i="9"/>
  <c r="BA2008" i="9"/>
  <c r="AV2008" i="9"/>
  <c r="AU2008" i="9"/>
  <c r="AT2008" i="9"/>
  <c r="BB2007" i="9"/>
  <c r="BA2007" i="9"/>
  <c r="AV2007" i="9"/>
  <c r="AU2007" i="9"/>
  <c r="AT2007" i="9"/>
  <c r="BB2006" i="9"/>
  <c r="BA2006" i="9"/>
  <c r="AV2006" i="9"/>
  <c r="AU2006" i="9"/>
  <c r="AT2006" i="9"/>
  <c r="BB2005" i="9"/>
  <c r="BA2005" i="9"/>
  <c r="AV2005" i="9"/>
  <c r="AU2005" i="9"/>
  <c r="AT2005" i="9"/>
  <c r="BB2004" i="9"/>
  <c r="BA2004" i="9"/>
  <c r="AV2004" i="9"/>
  <c r="AU2004" i="9"/>
  <c r="AT2004" i="9"/>
  <c r="BB2003" i="9"/>
  <c r="BA2003" i="9"/>
  <c r="AV2003" i="9"/>
  <c r="AU2003" i="9"/>
  <c r="AT2003" i="9"/>
  <c r="BB2002" i="9"/>
  <c r="BA2002" i="9"/>
  <c r="AV2002" i="9"/>
  <c r="AU2002" i="9"/>
  <c r="AT2002" i="9"/>
  <c r="BB2001" i="9"/>
  <c r="BA2001" i="9"/>
  <c r="AV2001" i="9"/>
  <c r="AU2001" i="9"/>
  <c r="AT2001" i="9"/>
  <c r="BB2000" i="9"/>
  <c r="BA2000" i="9"/>
  <c r="AV2000" i="9"/>
  <c r="AU2000" i="9"/>
  <c r="AT2000" i="9"/>
  <c r="BB1999" i="9"/>
  <c r="BA1999" i="9"/>
  <c r="AV1999" i="9"/>
  <c r="AU1999" i="9"/>
  <c r="AT1999" i="9"/>
  <c r="BB1998" i="9"/>
  <c r="BA1998" i="9"/>
  <c r="AV1998" i="9"/>
  <c r="AU1998" i="9"/>
  <c r="AT1998" i="9"/>
  <c r="BB1997" i="9"/>
  <c r="BA1997" i="9"/>
  <c r="AV1997" i="9"/>
  <c r="AU1997" i="9"/>
  <c r="AT1997" i="9"/>
  <c r="BB1996" i="9"/>
  <c r="BA1996" i="9"/>
  <c r="AV1996" i="9"/>
  <c r="AU1996" i="9"/>
  <c r="AT1996" i="9"/>
  <c r="BB1995" i="9"/>
  <c r="BA1995" i="9"/>
  <c r="AV1995" i="9"/>
  <c r="AU1995" i="9"/>
  <c r="AT1995" i="9"/>
  <c r="BB1994" i="9"/>
  <c r="BA1994" i="9"/>
  <c r="AV1994" i="9"/>
  <c r="AU1994" i="9"/>
  <c r="AT1994" i="9"/>
  <c r="BB1993" i="9"/>
  <c r="BA1993" i="9"/>
  <c r="AV1993" i="9"/>
  <c r="AU1993" i="9"/>
  <c r="AT1993" i="9"/>
  <c r="BB1992" i="9"/>
  <c r="BA1992" i="9"/>
  <c r="AV1992" i="9"/>
  <c r="AU1992" i="9"/>
  <c r="AT1992" i="9"/>
  <c r="BB1991" i="9"/>
  <c r="BA1991" i="9"/>
  <c r="AV1991" i="9"/>
  <c r="AU1991" i="9"/>
  <c r="AT1991" i="9"/>
  <c r="BB1990" i="9"/>
  <c r="BA1990" i="9"/>
  <c r="AV1990" i="9"/>
  <c r="AU1990" i="9"/>
  <c r="AT1990" i="9"/>
  <c r="BB1989" i="9"/>
  <c r="BA1989" i="9"/>
  <c r="AV1989" i="9"/>
  <c r="AU1989" i="9"/>
  <c r="AT1989" i="9"/>
  <c r="BB1988" i="9"/>
  <c r="BA1988" i="9"/>
  <c r="AV1988" i="9"/>
  <c r="AU1988" i="9"/>
  <c r="AT1988" i="9"/>
  <c r="BB1987" i="9"/>
  <c r="BA1987" i="9"/>
  <c r="AV1987" i="9"/>
  <c r="AU1987" i="9"/>
  <c r="AT1987" i="9"/>
  <c r="BB1986" i="9"/>
  <c r="BA1986" i="9"/>
  <c r="AV1986" i="9"/>
  <c r="AU1986" i="9"/>
  <c r="AT1986" i="9"/>
  <c r="BB1985" i="9"/>
  <c r="BA1985" i="9"/>
  <c r="AV1985" i="9"/>
  <c r="AU1985" i="9"/>
  <c r="AT1985" i="9"/>
  <c r="BB1984" i="9"/>
  <c r="BA1984" i="9"/>
  <c r="AV1984" i="9"/>
  <c r="AU1984" i="9"/>
  <c r="AT1984" i="9"/>
  <c r="BB1983" i="9"/>
  <c r="BA1983" i="9"/>
  <c r="AV1983" i="9"/>
  <c r="AU1983" i="9"/>
  <c r="AT1983" i="9"/>
  <c r="BB1982" i="9"/>
  <c r="BA1982" i="9"/>
  <c r="AV1982" i="9"/>
  <c r="AU1982" i="9"/>
  <c r="AT1982" i="9"/>
  <c r="BB1981" i="9"/>
  <c r="BA1981" i="9"/>
  <c r="AV1981" i="9"/>
  <c r="AU1981" i="9"/>
  <c r="AT1981" i="9"/>
  <c r="BB1980" i="9"/>
  <c r="BA1980" i="9"/>
  <c r="AV1980" i="9"/>
  <c r="AU1980" i="9"/>
  <c r="AT1980" i="9"/>
  <c r="BB1979" i="9"/>
  <c r="BA1979" i="9"/>
  <c r="AV1979" i="9"/>
  <c r="AU1979" i="9"/>
  <c r="AT1979" i="9"/>
  <c r="BB1978" i="9"/>
  <c r="BA1978" i="9"/>
  <c r="AV1978" i="9"/>
  <c r="AU1978" i="9"/>
  <c r="AT1978" i="9"/>
  <c r="BB1977" i="9"/>
  <c r="BA1977" i="9"/>
  <c r="AV1977" i="9"/>
  <c r="AU1977" i="9"/>
  <c r="AT1977" i="9"/>
  <c r="BB1976" i="9"/>
  <c r="BA1976" i="9"/>
  <c r="AV1976" i="9"/>
  <c r="AU1976" i="9"/>
  <c r="AT1976" i="9"/>
  <c r="BB1975" i="9"/>
  <c r="BA1975" i="9"/>
  <c r="AV1975" i="9"/>
  <c r="AU1975" i="9"/>
  <c r="AT1975" i="9"/>
  <c r="BB1974" i="9"/>
  <c r="BA1974" i="9"/>
  <c r="AV1974" i="9"/>
  <c r="AU1974" i="9"/>
  <c r="AT1974" i="9"/>
  <c r="BB1973" i="9"/>
  <c r="BA1973" i="9"/>
  <c r="AV1973" i="9"/>
  <c r="AU1973" i="9"/>
  <c r="AT1973" i="9"/>
  <c r="BB1972" i="9"/>
  <c r="BA1972" i="9"/>
  <c r="AV1972" i="9"/>
  <c r="AU1972" i="9"/>
  <c r="AT1972" i="9"/>
  <c r="BB1971" i="9"/>
  <c r="BA1971" i="9"/>
  <c r="AV1971" i="9"/>
  <c r="AU1971" i="9"/>
  <c r="AT1971" i="9"/>
  <c r="BB1970" i="9"/>
  <c r="BA1970" i="9"/>
  <c r="AV1970" i="9"/>
  <c r="AU1970" i="9"/>
  <c r="AT1970" i="9"/>
  <c r="BB1969" i="9"/>
  <c r="BA1969" i="9"/>
  <c r="AV1969" i="9"/>
  <c r="AU1969" i="9"/>
  <c r="AT1969" i="9"/>
  <c r="BB1968" i="9"/>
  <c r="BA1968" i="9"/>
  <c r="AV1968" i="9"/>
  <c r="AU1968" i="9"/>
  <c r="AT1968" i="9"/>
  <c r="BB1967" i="9"/>
  <c r="BA1967" i="9"/>
  <c r="AV1967" i="9"/>
  <c r="AU1967" i="9"/>
  <c r="AT1967" i="9"/>
  <c r="BB1966" i="9"/>
  <c r="BA1966" i="9"/>
  <c r="AV1966" i="9"/>
  <c r="AU1966" i="9"/>
  <c r="AT1966" i="9"/>
  <c r="BB1965" i="9"/>
  <c r="BA1965" i="9"/>
  <c r="AV1965" i="9"/>
  <c r="AU1965" i="9"/>
  <c r="AT1965" i="9"/>
  <c r="BB1964" i="9"/>
  <c r="BA1964" i="9"/>
  <c r="AV1964" i="9"/>
  <c r="AU1964" i="9"/>
  <c r="AT1964" i="9"/>
  <c r="BB1963" i="9"/>
  <c r="BA1963" i="9"/>
  <c r="AV1963" i="9"/>
  <c r="AU1963" i="9"/>
  <c r="AT1963" i="9"/>
  <c r="BB1962" i="9"/>
  <c r="BA1962" i="9"/>
  <c r="AV1962" i="9"/>
  <c r="AU1962" i="9"/>
  <c r="AT1962" i="9"/>
  <c r="BB1961" i="9"/>
  <c r="BA1961" i="9"/>
  <c r="AV1961" i="9"/>
  <c r="AU1961" i="9"/>
  <c r="AT1961" i="9"/>
  <c r="BB1960" i="9"/>
  <c r="BA1960" i="9"/>
  <c r="AV1960" i="9"/>
  <c r="AU1960" i="9"/>
  <c r="AT1960" i="9"/>
  <c r="BB1959" i="9"/>
  <c r="BA1959" i="9"/>
  <c r="AV1959" i="9"/>
  <c r="AU1959" i="9"/>
  <c r="AT1959" i="9"/>
  <c r="BB1958" i="9"/>
  <c r="BA1958" i="9"/>
  <c r="AV1958" i="9"/>
  <c r="AU1958" i="9"/>
  <c r="AT1958" i="9"/>
  <c r="BB1957" i="9"/>
  <c r="BA1957" i="9"/>
  <c r="AV1957" i="9"/>
  <c r="AU1957" i="9"/>
  <c r="AT1957" i="9"/>
  <c r="BB1956" i="9"/>
  <c r="BA1956" i="9"/>
  <c r="AV1956" i="9"/>
  <c r="AU1956" i="9"/>
  <c r="AT1956" i="9"/>
  <c r="BB1955" i="9"/>
  <c r="BA1955" i="9"/>
  <c r="AV1955" i="9"/>
  <c r="AU1955" i="9"/>
  <c r="AT1955" i="9"/>
  <c r="BB1954" i="9"/>
  <c r="BA1954" i="9"/>
  <c r="AV1954" i="9"/>
  <c r="AU1954" i="9"/>
  <c r="AT1954" i="9"/>
  <c r="BB1953" i="9"/>
  <c r="BA1953" i="9"/>
  <c r="AV1953" i="9"/>
  <c r="AU1953" i="9"/>
  <c r="AT1953" i="9"/>
  <c r="BB1952" i="9"/>
  <c r="BA1952" i="9"/>
  <c r="AV1952" i="9"/>
  <c r="AU1952" i="9"/>
  <c r="AT1952" i="9"/>
  <c r="BB1951" i="9"/>
  <c r="BA1951" i="9"/>
  <c r="AV1951" i="9"/>
  <c r="AU1951" i="9"/>
  <c r="AT1951" i="9"/>
  <c r="BB1950" i="9"/>
  <c r="BA1950" i="9"/>
  <c r="AV1950" i="9"/>
  <c r="AU1950" i="9"/>
  <c r="AT1950" i="9"/>
  <c r="BB1949" i="9"/>
  <c r="BA1949" i="9"/>
  <c r="AV1949" i="9"/>
  <c r="AU1949" i="9"/>
  <c r="AT1949" i="9"/>
  <c r="BB1948" i="9"/>
  <c r="BA1948" i="9"/>
  <c r="AV1948" i="9"/>
  <c r="AU1948" i="9"/>
  <c r="AT1948" i="9"/>
  <c r="BB1947" i="9"/>
  <c r="BA1947" i="9"/>
  <c r="AV1947" i="9"/>
  <c r="AU1947" i="9"/>
  <c r="AT1947" i="9"/>
  <c r="BB1946" i="9"/>
  <c r="BA1946" i="9"/>
  <c r="AV1946" i="9"/>
  <c r="AU1946" i="9"/>
  <c r="AT1946" i="9"/>
  <c r="BB1945" i="9"/>
  <c r="BA1945" i="9"/>
  <c r="AV1945" i="9"/>
  <c r="AU1945" i="9"/>
  <c r="AT1945" i="9"/>
  <c r="BB1944" i="9"/>
  <c r="BA1944" i="9"/>
  <c r="AV1944" i="9"/>
  <c r="AU1944" i="9"/>
  <c r="AT1944" i="9"/>
  <c r="BB1943" i="9"/>
  <c r="BA1943" i="9"/>
  <c r="AV1943" i="9"/>
  <c r="AU1943" i="9"/>
  <c r="AT1943" i="9"/>
  <c r="BB1942" i="9"/>
  <c r="BA1942" i="9"/>
  <c r="AV1942" i="9"/>
  <c r="AU1942" i="9"/>
  <c r="AT1942" i="9"/>
  <c r="BB1941" i="9"/>
  <c r="BA1941" i="9"/>
  <c r="AV1941" i="9"/>
  <c r="AU1941" i="9"/>
  <c r="AT1941" i="9"/>
  <c r="BB1940" i="9"/>
  <c r="BA1940" i="9"/>
  <c r="AV1940" i="9"/>
  <c r="AU1940" i="9"/>
  <c r="AT1940" i="9"/>
  <c r="BB1939" i="9"/>
  <c r="BA1939" i="9"/>
  <c r="AV1939" i="9"/>
  <c r="AU1939" i="9"/>
  <c r="AT1939" i="9"/>
  <c r="BB1938" i="9"/>
  <c r="BA1938" i="9"/>
  <c r="AV1938" i="9"/>
  <c r="AU1938" i="9"/>
  <c r="AT1938" i="9"/>
  <c r="BB1937" i="9"/>
  <c r="BA1937" i="9"/>
  <c r="AV1937" i="9"/>
  <c r="AU1937" i="9"/>
  <c r="AT1937" i="9"/>
  <c r="BB1936" i="9"/>
  <c r="BA1936" i="9"/>
  <c r="AV1936" i="9"/>
  <c r="AU1936" i="9"/>
  <c r="AT1936" i="9"/>
  <c r="BB1935" i="9"/>
  <c r="BA1935" i="9"/>
  <c r="AV1935" i="9"/>
  <c r="AU1935" i="9"/>
  <c r="AT1935" i="9"/>
  <c r="BB1934" i="9"/>
  <c r="BA1934" i="9"/>
  <c r="AV1934" i="9"/>
  <c r="AU1934" i="9"/>
  <c r="AT1934" i="9"/>
  <c r="BB1933" i="9"/>
  <c r="BA1933" i="9"/>
  <c r="AV1933" i="9"/>
  <c r="AU1933" i="9"/>
  <c r="AT1933" i="9"/>
  <c r="BB1932" i="9"/>
  <c r="BA1932" i="9"/>
  <c r="AV1932" i="9"/>
  <c r="AU1932" i="9"/>
  <c r="AT1932" i="9"/>
  <c r="BB1931" i="9"/>
  <c r="BA1931" i="9"/>
  <c r="AV1931" i="9"/>
  <c r="AU1931" i="9"/>
  <c r="AT1931" i="9"/>
  <c r="BB1930" i="9"/>
  <c r="BA1930" i="9"/>
  <c r="AV1930" i="9"/>
  <c r="AU1930" i="9"/>
  <c r="AT1930" i="9"/>
  <c r="BB1929" i="9"/>
  <c r="BA1929" i="9"/>
  <c r="AV1929" i="9"/>
  <c r="AU1929" i="9"/>
  <c r="AT1929" i="9"/>
  <c r="BB1928" i="9"/>
  <c r="BA1928" i="9"/>
  <c r="AV1928" i="9"/>
  <c r="AU1928" i="9"/>
  <c r="AT1928" i="9"/>
  <c r="BB1927" i="9"/>
  <c r="BA1927" i="9"/>
  <c r="AV1927" i="9"/>
  <c r="AU1927" i="9"/>
  <c r="AT1927" i="9"/>
  <c r="BB1926" i="9"/>
  <c r="BA1926" i="9"/>
  <c r="AV1926" i="9"/>
  <c r="AU1926" i="9"/>
  <c r="AT1926" i="9"/>
  <c r="BB1925" i="9"/>
  <c r="BA1925" i="9"/>
  <c r="AV1925" i="9"/>
  <c r="AU1925" i="9"/>
  <c r="AT1925" i="9"/>
  <c r="BB1924" i="9"/>
  <c r="BA1924" i="9"/>
  <c r="AV1924" i="9"/>
  <c r="AU1924" i="9"/>
  <c r="AT1924" i="9"/>
  <c r="BB1923" i="9"/>
  <c r="BA1923" i="9"/>
  <c r="AV1923" i="9"/>
  <c r="AU1923" i="9"/>
  <c r="AT1923" i="9"/>
  <c r="BB1922" i="9"/>
  <c r="BA1922" i="9"/>
  <c r="AV1922" i="9"/>
  <c r="AU1922" i="9"/>
  <c r="AT1922" i="9"/>
  <c r="BB1921" i="9"/>
  <c r="BA1921" i="9"/>
  <c r="AV1921" i="9"/>
  <c r="AU1921" i="9"/>
  <c r="AT1921" i="9"/>
  <c r="BB1920" i="9"/>
  <c r="BA1920" i="9"/>
  <c r="AV1920" i="9"/>
  <c r="AU1920" i="9"/>
  <c r="AT1920" i="9"/>
  <c r="BB1919" i="9"/>
  <c r="BA1919" i="9"/>
  <c r="AV1919" i="9"/>
  <c r="AU1919" i="9"/>
  <c r="AT1919" i="9"/>
  <c r="BB1918" i="9"/>
  <c r="BA1918" i="9"/>
  <c r="AV1918" i="9"/>
  <c r="AU1918" i="9"/>
  <c r="AT1918" i="9"/>
  <c r="BB1917" i="9"/>
  <c r="BA1917" i="9"/>
  <c r="AV1917" i="9"/>
  <c r="AU1917" i="9"/>
  <c r="AT1917" i="9"/>
  <c r="BB1916" i="9"/>
  <c r="BA1916" i="9"/>
  <c r="AV1916" i="9"/>
  <c r="AU1916" i="9"/>
  <c r="AT1916" i="9"/>
  <c r="BB1915" i="9"/>
  <c r="BA1915" i="9"/>
  <c r="AV1915" i="9"/>
  <c r="AU1915" i="9"/>
  <c r="AT1915" i="9"/>
  <c r="BB1914" i="9"/>
  <c r="BA1914" i="9"/>
  <c r="AV1914" i="9"/>
  <c r="AU1914" i="9"/>
  <c r="AT1914" i="9"/>
  <c r="BB1913" i="9"/>
  <c r="BA1913" i="9"/>
  <c r="AV1913" i="9"/>
  <c r="AU1913" i="9"/>
  <c r="AT1913" i="9"/>
  <c r="BB1912" i="9"/>
  <c r="BA1912" i="9"/>
  <c r="AV1912" i="9"/>
  <c r="AU1912" i="9"/>
  <c r="AT1912" i="9"/>
  <c r="BB1911" i="9"/>
  <c r="BA1911" i="9"/>
  <c r="AV1911" i="9"/>
  <c r="AU1911" i="9"/>
  <c r="AT1911" i="9"/>
  <c r="BB1910" i="9"/>
  <c r="BA1910" i="9"/>
  <c r="AV1910" i="9"/>
  <c r="AU1910" i="9"/>
  <c r="AT1910" i="9"/>
  <c r="BB1909" i="9"/>
  <c r="BA1909" i="9"/>
  <c r="AV1909" i="9"/>
  <c r="AU1909" i="9"/>
  <c r="AT1909" i="9"/>
  <c r="BB1908" i="9"/>
  <c r="BA1908" i="9"/>
  <c r="AV1908" i="9"/>
  <c r="AU1908" i="9"/>
  <c r="AT1908" i="9"/>
  <c r="BB1907" i="9"/>
  <c r="BA1907" i="9"/>
  <c r="AV1907" i="9"/>
  <c r="AU1907" i="9"/>
  <c r="AT1907" i="9"/>
  <c r="BB1906" i="9"/>
  <c r="BA1906" i="9"/>
  <c r="AV1906" i="9"/>
  <c r="AU1906" i="9"/>
  <c r="AT1906" i="9"/>
  <c r="BB1905" i="9"/>
  <c r="BA1905" i="9"/>
  <c r="AV1905" i="9"/>
  <c r="AU1905" i="9"/>
  <c r="AT1905" i="9"/>
  <c r="BB1904" i="9"/>
  <c r="BA1904" i="9"/>
  <c r="AV1904" i="9"/>
  <c r="AU1904" i="9"/>
  <c r="AT1904" i="9"/>
  <c r="BB1903" i="9"/>
  <c r="BA1903" i="9"/>
  <c r="AV1903" i="9"/>
  <c r="AU1903" i="9"/>
  <c r="AT1903" i="9"/>
  <c r="BB1902" i="9"/>
  <c r="BA1902" i="9"/>
  <c r="AV1902" i="9"/>
  <c r="AU1902" i="9"/>
  <c r="AT1902" i="9"/>
  <c r="BB1901" i="9"/>
  <c r="BA1901" i="9"/>
  <c r="AV1901" i="9"/>
  <c r="AU1901" i="9"/>
  <c r="AT1901" i="9"/>
  <c r="BB1900" i="9"/>
  <c r="BA1900" i="9"/>
  <c r="AV1900" i="9"/>
  <c r="AU1900" i="9"/>
  <c r="AT1900" i="9"/>
  <c r="BB1899" i="9"/>
  <c r="BA1899" i="9"/>
  <c r="AV1899" i="9"/>
  <c r="AU1899" i="9"/>
  <c r="AT1899" i="9"/>
  <c r="BB1898" i="9"/>
  <c r="BA1898" i="9"/>
  <c r="AV1898" i="9"/>
  <c r="AU1898" i="9"/>
  <c r="AT1898" i="9"/>
  <c r="BB1897" i="9"/>
  <c r="BA1897" i="9"/>
  <c r="AV1897" i="9"/>
  <c r="AU1897" i="9"/>
  <c r="AT1897" i="9"/>
  <c r="BB1896" i="9"/>
  <c r="BA1896" i="9"/>
  <c r="AV1896" i="9"/>
  <c r="AU1896" i="9"/>
  <c r="AT1896" i="9"/>
  <c r="BB1895" i="9"/>
  <c r="BA1895" i="9"/>
  <c r="AV1895" i="9"/>
  <c r="AU1895" i="9"/>
  <c r="AT1895" i="9"/>
  <c r="BB1894" i="9"/>
  <c r="BA1894" i="9"/>
  <c r="AV1894" i="9"/>
  <c r="AU1894" i="9"/>
  <c r="AT1894" i="9"/>
  <c r="BB1893" i="9"/>
  <c r="BA1893" i="9"/>
  <c r="AV1893" i="9"/>
  <c r="AU1893" i="9"/>
  <c r="AT1893" i="9"/>
  <c r="BB1892" i="9"/>
  <c r="BA1892" i="9"/>
  <c r="AV1892" i="9"/>
  <c r="AU1892" i="9"/>
  <c r="AT1892" i="9"/>
  <c r="BB1891" i="9"/>
  <c r="BA1891" i="9"/>
  <c r="AV1891" i="9"/>
  <c r="AU1891" i="9"/>
  <c r="AT1891" i="9"/>
  <c r="BB1890" i="9"/>
  <c r="BA1890" i="9"/>
  <c r="AV1890" i="9"/>
  <c r="AU1890" i="9"/>
  <c r="AT1890" i="9"/>
  <c r="BB1889" i="9"/>
  <c r="BA1889" i="9"/>
  <c r="AV1889" i="9"/>
  <c r="AU1889" i="9"/>
  <c r="AT1889" i="9"/>
  <c r="BB1888" i="9"/>
  <c r="BA1888" i="9"/>
  <c r="AV1888" i="9"/>
  <c r="AU1888" i="9"/>
  <c r="AT1888" i="9"/>
  <c r="BB1887" i="9"/>
  <c r="BA1887" i="9"/>
  <c r="AV1887" i="9"/>
  <c r="AU1887" i="9"/>
  <c r="AT1887" i="9"/>
  <c r="BB1886" i="9"/>
  <c r="BA1886" i="9"/>
  <c r="AV1886" i="9"/>
  <c r="AU1886" i="9"/>
  <c r="AT1886" i="9"/>
  <c r="BB1885" i="9"/>
  <c r="BA1885" i="9"/>
  <c r="AV1885" i="9"/>
  <c r="AU1885" i="9"/>
  <c r="AT1885" i="9"/>
  <c r="BB1884" i="9"/>
  <c r="BA1884" i="9"/>
  <c r="AV1884" i="9"/>
  <c r="AU1884" i="9"/>
  <c r="AT1884" i="9"/>
  <c r="BB1883" i="9"/>
  <c r="BA1883" i="9"/>
  <c r="AV1883" i="9"/>
  <c r="AU1883" i="9"/>
  <c r="AT1883" i="9"/>
  <c r="BB1882" i="9"/>
  <c r="BA1882" i="9"/>
  <c r="AV1882" i="9"/>
  <c r="AU1882" i="9"/>
  <c r="AT1882" i="9"/>
  <c r="BB1881" i="9"/>
  <c r="BA1881" i="9"/>
  <c r="AV1881" i="9"/>
  <c r="AU1881" i="9"/>
  <c r="AT1881" i="9"/>
  <c r="BB1880" i="9"/>
  <c r="BA1880" i="9"/>
  <c r="AV1880" i="9"/>
  <c r="AU1880" i="9"/>
  <c r="AT1880" i="9"/>
  <c r="BB1879" i="9"/>
  <c r="BA1879" i="9"/>
  <c r="AV1879" i="9"/>
  <c r="AU1879" i="9"/>
  <c r="AT1879" i="9"/>
  <c r="BB1878" i="9"/>
  <c r="BA1878" i="9"/>
  <c r="AV1878" i="9"/>
  <c r="AU1878" i="9"/>
  <c r="AT1878" i="9"/>
  <c r="BB1877" i="9"/>
  <c r="BA1877" i="9"/>
  <c r="AV1877" i="9"/>
  <c r="AU1877" i="9"/>
  <c r="AT1877" i="9"/>
  <c r="BB1876" i="9"/>
  <c r="BA1876" i="9"/>
  <c r="AV1876" i="9"/>
  <c r="AU1876" i="9"/>
  <c r="AT1876" i="9"/>
  <c r="BB1875" i="9"/>
  <c r="BA1875" i="9"/>
  <c r="AV1875" i="9"/>
  <c r="AU1875" i="9"/>
  <c r="AT1875" i="9"/>
  <c r="BB1874" i="9"/>
  <c r="BA1874" i="9"/>
  <c r="AV1874" i="9"/>
  <c r="AU1874" i="9"/>
  <c r="AT1874" i="9"/>
  <c r="BB1873" i="9"/>
  <c r="BA1873" i="9"/>
  <c r="AV1873" i="9"/>
  <c r="AU1873" i="9"/>
  <c r="AT1873" i="9"/>
  <c r="BB1872" i="9"/>
  <c r="BA1872" i="9"/>
  <c r="AV1872" i="9"/>
  <c r="AU1872" i="9"/>
  <c r="AT1872" i="9"/>
  <c r="BB1871" i="9"/>
  <c r="BA1871" i="9"/>
  <c r="AV1871" i="9"/>
  <c r="AU1871" i="9"/>
  <c r="AT1871" i="9"/>
  <c r="BB1870" i="9"/>
  <c r="BA1870" i="9"/>
  <c r="AV1870" i="9"/>
  <c r="AU1870" i="9"/>
  <c r="AT1870" i="9"/>
  <c r="BB1869" i="9"/>
  <c r="BA1869" i="9"/>
  <c r="AV1869" i="9"/>
  <c r="AU1869" i="9"/>
  <c r="AT1869" i="9"/>
  <c r="BB1868" i="9"/>
  <c r="BA1868" i="9"/>
  <c r="AV1868" i="9"/>
  <c r="AU1868" i="9"/>
  <c r="AT1868" i="9"/>
  <c r="BB1867" i="9"/>
  <c r="BA1867" i="9"/>
  <c r="AV1867" i="9"/>
  <c r="AU1867" i="9"/>
  <c r="AT1867" i="9"/>
  <c r="BB1866" i="9"/>
  <c r="BA1866" i="9"/>
  <c r="AV1866" i="9"/>
  <c r="AU1866" i="9"/>
  <c r="AT1866" i="9"/>
  <c r="BB1865" i="9"/>
  <c r="BA1865" i="9"/>
  <c r="AV1865" i="9"/>
  <c r="AU1865" i="9"/>
  <c r="AT1865" i="9"/>
  <c r="BB1864" i="9"/>
  <c r="BA1864" i="9"/>
  <c r="AV1864" i="9"/>
  <c r="AU1864" i="9"/>
  <c r="AT1864" i="9"/>
  <c r="BB1863" i="9"/>
  <c r="BA1863" i="9"/>
  <c r="AV1863" i="9"/>
  <c r="AU1863" i="9"/>
  <c r="AT1863" i="9"/>
  <c r="BB1862" i="9"/>
  <c r="BA1862" i="9"/>
  <c r="AV1862" i="9"/>
  <c r="AU1862" i="9"/>
  <c r="AT1862" i="9"/>
  <c r="BB1861" i="9"/>
  <c r="BA1861" i="9"/>
  <c r="AV1861" i="9"/>
  <c r="AU1861" i="9"/>
  <c r="AT1861" i="9"/>
  <c r="BB1860" i="9"/>
  <c r="BA1860" i="9"/>
  <c r="AV1860" i="9"/>
  <c r="AU1860" i="9"/>
  <c r="AT1860" i="9"/>
  <c r="BB1859" i="9"/>
  <c r="BA1859" i="9"/>
  <c r="AV1859" i="9"/>
  <c r="AU1859" i="9"/>
  <c r="AT1859" i="9"/>
  <c r="BB1858" i="9"/>
  <c r="BA1858" i="9"/>
  <c r="AV1858" i="9"/>
  <c r="AU1858" i="9"/>
  <c r="AT1858" i="9"/>
  <c r="BB1857" i="9"/>
  <c r="BA1857" i="9"/>
  <c r="AV1857" i="9"/>
  <c r="AU1857" i="9"/>
  <c r="AT1857" i="9"/>
  <c r="BB1856" i="9"/>
  <c r="BA1856" i="9"/>
  <c r="AV1856" i="9"/>
  <c r="AU1856" i="9"/>
  <c r="AT1856" i="9"/>
  <c r="BB1855" i="9"/>
  <c r="BA1855" i="9"/>
  <c r="AV1855" i="9"/>
  <c r="AU1855" i="9"/>
  <c r="AT1855" i="9"/>
  <c r="BB1854" i="9"/>
  <c r="BA1854" i="9"/>
  <c r="AV1854" i="9"/>
  <c r="AU1854" i="9"/>
  <c r="AT1854" i="9"/>
  <c r="BB1853" i="9"/>
  <c r="BA1853" i="9"/>
  <c r="AV1853" i="9"/>
  <c r="AU1853" i="9"/>
  <c r="AT1853" i="9"/>
  <c r="BB1852" i="9"/>
  <c r="BA1852" i="9"/>
  <c r="AV1852" i="9"/>
  <c r="AU1852" i="9"/>
  <c r="AT1852" i="9"/>
  <c r="BB1851" i="9"/>
  <c r="BA1851" i="9"/>
  <c r="AV1851" i="9"/>
  <c r="AU1851" i="9"/>
  <c r="AT1851" i="9"/>
  <c r="BB1850" i="9"/>
  <c r="BA1850" i="9"/>
  <c r="AV1850" i="9"/>
  <c r="AU1850" i="9"/>
  <c r="AT1850" i="9"/>
  <c r="BB1849" i="9"/>
  <c r="BA1849" i="9"/>
  <c r="AV1849" i="9"/>
  <c r="AU1849" i="9"/>
  <c r="AT1849" i="9"/>
  <c r="BB1848" i="9"/>
  <c r="BA1848" i="9"/>
  <c r="AV1848" i="9"/>
  <c r="AU1848" i="9"/>
  <c r="AT1848" i="9"/>
  <c r="BB1847" i="9"/>
  <c r="BA1847" i="9"/>
  <c r="AV1847" i="9"/>
  <c r="AU1847" i="9"/>
  <c r="AT1847" i="9"/>
  <c r="BB1846" i="9"/>
  <c r="BA1846" i="9"/>
  <c r="AV1846" i="9"/>
  <c r="AU1846" i="9"/>
  <c r="AT1846" i="9"/>
  <c r="BB1845" i="9"/>
  <c r="BA1845" i="9"/>
  <c r="AV1845" i="9"/>
  <c r="AU1845" i="9"/>
  <c r="AT1845" i="9"/>
  <c r="BB1844" i="9"/>
  <c r="BA1844" i="9"/>
  <c r="AV1844" i="9"/>
  <c r="AU1844" i="9"/>
  <c r="AT1844" i="9"/>
  <c r="BB1843" i="9"/>
  <c r="BA1843" i="9"/>
  <c r="AV1843" i="9"/>
  <c r="AU1843" i="9"/>
  <c r="AT1843" i="9"/>
  <c r="BB1842" i="9"/>
  <c r="BA1842" i="9"/>
  <c r="AV1842" i="9"/>
  <c r="AU1842" i="9"/>
  <c r="AT1842" i="9"/>
  <c r="BB1841" i="9"/>
  <c r="BA1841" i="9"/>
  <c r="AV1841" i="9"/>
  <c r="AU1841" i="9"/>
  <c r="AT1841" i="9"/>
  <c r="BB1840" i="9"/>
  <c r="BA1840" i="9"/>
  <c r="AV1840" i="9"/>
  <c r="AU1840" i="9"/>
  <c r="AT1840" i="9"/>
  <c r="BB1839" i="9"/>
  <c r="BA1839" i="9"/>
  <c r="AV1839" i="9"/>
  <c r="AU1839" i="9"/>
  <c r="AT1839" i="9"/>
  <c r="BB1838" i="9"/>
  <c r="BA1838" i="9"/>
  <c r="AV1838" i="9"/>
  <c r="AU1838" i="9"/>
  <c r="AT1838" i="9"/>
  <c r="BB1837" i="9"/>
  <c r="BA1837" i="9"/>
  <c r="AV1837" i="9"/>
  <c r="AU1837" i="9"/>
  <c r="AT1837" i="9"/>
  <c r="BB1836" i="9"/>
  <c r="BA1836" i="9"/>
  <c r="AV1836" i="9"/>
  <c r="AU1836" i="9"/>
  <c r="AT1836" i="9"/>
  <c r="BB1835" i="9"/>
  <c r="BA1835" i="9"/>
  <c r="AV1835" i="9"/>
  <c r="AU1835" i="9"/>
  <c r="AT1835" i="9"/>
  <c r="BB1834" i="9"/>
  <c r="BA1834" i="9"/>
  <c r="AV1834" i="9"/>
  <c r="AU1834" i="9"/>
  <c r="AT1834" i="9"/>
  <c r="BB1833" i="9"/>
  <c r="BA1833" i="9"/>
  <c r="AV1833" i="9"/>
  <c r="AU1833" i="9"/>
  <c r="AT1833" i="9"/>
  <c r="BB1832" i="9"/>
  <c r="BA1832" i="9"/>
  <c r="AV1832" i="9"/>
  <c r="AU1832" i="9"/>
  <c r="AT1832" i="9"/>
  <c r="BB1831" i="9"/>
  <c r="BA1831" i="9"/>
  <c r="AV1831" i="9"/>
  <c r="AU1831" i="9"/>
  <c r="AT1831" i="9"/>
  <c r="BB1830" i="9"/>
  <c r="BA1830" i="9"/>
  <c r="AV1830" i="9"/>
  <c r="AU1830" i="9"/>
  <c r="AT1830" i="9"/>
  <c r="BB1829" i="9"/>
  <c r="BA1829" i="9"/>
  <c r="AV1829" i="9"/>
  <c r="AU1829" i="9"/>
  <c r="AT1829" i="9"/>
  <c r="BB1828" i="9"/>
  <c r="BA1828" i="9"/>
  <c r="AV1828" i="9"/>
  <c r="AU1828" i="9"/>
  <c r="AT1828" i="9"/>
  <c r="BB1827" i="9"/>
  <c r="BA1827" i="9"/>
  <c r="AV1827" i="9"/>
  <c r="AU1827" i="9"/>
  <c r="AT1827" i="9"/>
  <c r="BB1826" i="9"/>
  <c r="BA1826" i="9"/>
  <c r="AV1826" i="9"/>
  <c r="AU1826" i="9"/>
  <c r="AT1826" i="9"/>
  <c r="BB1825" i="9"/>
  <c r="BA1825" i="9"/>
  <c r="AV1825" i="9"/>
  <c r="AU1825" i="9"/>
  <c r="AT1825" i="9"/>
  <c r="BB1824" i="9"/>
  <c r="BA1824" i="9"/>
  <c r="AV1824" i="9"/>
  <c r="AU1824" i="9"/>
  <c r="AT1824" i="9"/>
  <c r="BB1823" i="9"/>
  <c r="BA1823" i="9"/>
  <c r="AV1823" i="9"/>
  <c r="AU1823" i="9"/>
  <c r="AT1823" i="9"/>
  <c r="BB1822" i="9"/>
  <c r="BA1822" i="9"/>
  <c r="AV1822" i="9"/>
  <c r="AU1822" i="9"/>
  <c r="AT1822" i="9"/>
  <c r="BB1821" i="9"/>
  <c r="BA1821" i="9"/>
  <c r="AV1821" i="9"/>
  <c r="AU1821" i="9"/>
  <c r="AT1821" i="9"/>
  <c r="BB1820" i="9"/>
  <c r="BA1820" i="9"/>
  <c r="AV1820" i="9"/>
  <c r="AU1820" i="9"/>
  <c r="AT1820" i="9"/>
  <c r="BB1819" i="9"/>
  <c r="BA1819" i="9"/>
  <c r="AV1819" i="9"/>
  <c r="AU1819" i="9"/>
  <c r="AT1819" i="9"/>
  <c r="BB1818" i="9"/>
  <c r="BA1818" i="9"/>
  <c r="AV1818" i="9"/>
  <c r="AU1818" i="9"/>
  <c r="AT1818" i="9"/>
  <c r="BB1817" i="9"/>
  <c r="BA1817" i="9"/>
  <c r="AV1817" i="9"/>
  <c r="AU1817" i="9"/>
  <c r="AT1817" i="9"/>
  <c r="BB1816" i="9"/>
  <c r="BA1816" i="9"/>
  <c r="AV1816" i="9"/>
  <c r="AU1816" i="9"/>
  <c r="AT1816" i="9"/>
  <c r="BB1815" i="9"/>
  <c r="BA1815" i="9"/>
  <c r="AV1815" i="9"/>
  <c r="AU1815" i="9"/>
  <c r="AT1815" i="9"/>
  <c r="BB1814" i="9"/>
  <c r="BA1814" i="9"/>
  <c r="AV1814" i="9"/>
  <c r="AU1814" i="9"/>
  <c r="AT1814" i="9"/>
  <c r="BB1813" i="9"/>
  <c r="BA1813" i="9"/>
  <c r="AV1813" i="9"/>
  <c r="AU1813" i="9"/>
  <c r="AT1813" i="9"/>
  <c r="BB1812" i="9"/>
  <c r="BA1812" i="9"/>
  <c r="AV1812" i="9"/>
  <c r="AU1812" i="9"/>
  <c r="AT1812" i="9"/>
  <c r="BB1811" i="9"/>
  <c r="BA1811" i="9"/>
  <c r="AV1811" i="9"/>
  <c r="AU1811" i="9"/>
  <c r="AT1811" i="9"/>
  <c r="BB1810" i="9"/>
  <c r="BA1810" i="9"/>
  <c r="AV1810" i="9"/>
  <c r="AU1810" i="9"/>
  <c r="AT1810" i="9"/>
  <c r="BB1809" i="9"/>
  <c r="BA1809" i="9"/>
  <c r="AV1809" i="9"/>
  <c r="AU1809" i="9"/>
  <c r="AT1809" i="9"/>
  <c r="BB1808" i="9"/>
  <c r="BA1808" i="9"/>
  <c r="AV1808" i="9"/>
  <c r="AU1808" i="9"/>
  <c r="AT1808" i="9"/>
  <c r="BB1807" i="9"/>
  <c r="BA1807" i="9"/>
  <c r="AV1807" i="9"/>
  <c r="AU1807" i="9"/>
  <c r="AT1807" i="9"/>
  <c r="BB1806" i="9"/>
  <c r="BA1806" i="9"/>
  <c r="AV1806" i="9"/>
  <c r="AU1806" i="9"/>
  <c r="AT1806" i="9"/>
  <c r="BB1805" i="9"/>
  <c r="BA1805" i="9"/>
  <c r="AV1805" i="9"/>
  <c r="AU1805" i="9"/>
  <c r="AT1805" i="9"/>
  <c r="BB1804" i="9"/>
  <c r="BA1804" i="9"/>
  <c r="AV1804" i="9"/>
  <c r="AU1804" i="9"/>
  <c r="AT1804" i="9"/>
  <c r="BB1803" i="9"/>
  <c r="BA1803" i="9"/>
  <c r="AV1803" i="9"/>
  <c r="AU1803" i="9"/>
  <c r="AT1803" i="9"/>
  <c r="BB1802" i="9"/>
  <c r="BA1802" i="9"/>
  <c r="AV1802" i="9"/>
  <c r="AU1802" i="9"/>
  <c r="AT1802" i="9"/>
  <c r="BB1801" i="9"/>
  <c r="BA1801" i="9"/>
  <c r="AV1801" i="9"/>
  <c r="AU1801" i="9"/>
  <c r="AT1801" i="9"/>
  <c r="BB1800" i="9"/>
  <c r="BA1800" i="9"/>
  <c r="AV1800" i="9"/>
  <c r="AU1800" i="9"/>
  <c r="AT1800" i="9"/>
  <c r="BB1799" i="9"/>
  <c r="BA1799" i="9"/>
  <c r="AV1799" i="9"/>
  <c r="AU1799" i="9"/>
  <c r="AT1799" i="9"/>
  <c r="BB1798" i="9"/>
  <c r="BA1798" i="9"/>
  <c r="AV1798" i="9"/>
  <c r="AU1798" i="9"/>
  <c r="AT1798" i="9"/>
  <c r="BB1797" i="9"/>
  <c r="BA1797" i="9"/>
  <c r="AV1797" i="9"/>
  <c r="AU1797" i="9"/>
  <c r="AT1797" i="9"/>
  <c r="BB1796" i="9"/>
  <c r="BA1796" i="9"/>
  <c r="AV1796" i="9"/>
  <c r="AU1796" i="9"/>
  <c r="AT1796" i="9"/>
  <c r="BB1795" i="9"/>
  <c r="BA1795" i="9"/>
  <c r="AV1795" i="9"/>
  <c r="AU1795" i="9"/>
  <c r="AT1795" i="9"/>
  <c r="BB1794" i="9"/>
  <c r="BA1794" i="9"/>
  <c r="AV1794" i="9"/>
  <c r="AU1794" i="9"/>
  <c r="AT1794" i="9"/>
  <c r="BB1793" i="9"/>
  <c r="BA1793" i="9"/>
  <c r="AV1793" i="9"/>
  <c r="AU1793" i="9"/>
  <c r="AT1793" i="9"/>
  <c r="BB1792" i="9"/>
  <c r="BA1792" i="9"/>
  <c r="AV1792" i="9"/>
  <c r="AU1792" i="9"/>
  <c r="AT1792" i="9"/>
  <c r="BB1791" i="9"/>
  <c r="BA1791" i="9"/>
  <c r="AV1791" i="9"/>
  <c r="AZ1791" i="9" s="1"/>
  <c r="AU1791" i="9"/>
  <c r="AT1791" i="9"/>
  <c r="BB1790" i="9"/>
  <c r="BA1790" i="9"/>
  <c r="AV1790" i="9"/>
  <c r="AU1790" i="9"/>
  <c r="AT1790" i="9"/>
  <c r="BB1789" i="9"/>
  <c r="BA1789" i="9"/>
  <c r="AV1789" i="9"/>
  <c r="AU1789" i="9"/>
  <c r="AT1789" i="9"/>
  <c r="BB1788" i="9"/>
  <c r="BA1788" i="9"/>
  <c r="AV1788" i="9"/>
  <c r="AU1788" i="9"/>
  <c r="AT1788" i="9"/>
  <c r="BB1787" i="9"/>
  <c r="BA1787" i="9"/>
  <c r="AV1787" i="9"/>
  <c r="AU1787" i="9"/>
  <c r="AT1787" i="9"/>
  <c r="BB1786" i="9"/>
  <c r="BA1786" i="9"/>
  <c r="AV1786" i="9"/>
  <c r="AU1786" i="9"/>
  <c r="AT1786" i="9"/>
  <c r="BB1785" i="9"/>
  <c r="BA1785" i="9"/>
  <c r="AV1785" i="9"/>
  <c r="AU1785" i="9"/>
  <c r="AT1785" i="9"/>
  <c r="BB1784" i="9"/>
  <c r="BA1784" i="9"/>
  <c r="AV1784" i="9"/>
  <c r="AU1784" i="9"/>
  <c r="AT1784" i="9"/>
  <c r="BB1783" i="9"/>
  <c r="BA1783" i="9"/>
  <c r="AV1783" i="9"/>
  <c r="AU1783" i="9"/>
  <c r="AT1783" i="9"/>
  <c r="BB1782" i="9"/>
  <c r="BA1782" i="9"/>
  <c r="AV1782" i="9"/>
  <c r="AU1782" i="9"/>
  <c r="AT1782" i="9"/>
  <c r="BB1781" i="9"/>
  <c r="BA1781" i="9"/>
  <c r="AV1781" i="9"/>
  <c r="AU1781" i="9"/>
  <c r="AT1781" i="9"/>
  <c r="BB1780" i="9"/>
  <c r="BA1780" i="9"/>
  <c r="AV1780" i="9"/>
  <c r="AU1780" i="9"/>
  <c r="AT1780" i="9"/>
  <c r="BB1779" i="9"/>
  <c r="BA1779" i="9"/>
  <c r="AV1779" i="9"/>
  <c r="AU1779" i="9"/>
  <c r="AT1779" i="9"/>
  <c r="BB1778" i="9"/>
  <c r="BA1778" i="9"/>
  <c r="AV1778" i="9"/>
  <c r="AU1778" i="9"/>
  <c r="AT1778" i="9"/>
  <c r="BB1777" i="9"/>
  <c r="BA1777" i="9"/>
  <c r="AV1777" i="9"/>
  <c r="AU1777" i="9"/>
  <c r="AT1777" i="9"/>
  <c r="BB1776" i="9"/>
  <c r="BA1776" i="9"/>
  <c r="AV1776" i="9"/>
  <c r="AU1776" i="9"/>
  <c r="AT1776" i="9"/>
  <c r="BB1775" i="9"/>
  <c r="BA1775" i="9"/>
  <c r="AV1775" i="9"/>
  <c r="AU1775" i="9"/>
  <c r="AT1775" i="9"/>
  <c r="BB1774" i="9"/>
  <c r="BA1774" i="9"/>
  <c r="AV1774" i="9"/>
  <c r="AU1774" i="9"/>
  <c r="AT1774" i="9"/>
  <c r="BB1773" i="9"/>
  <c r="BA1773" i="9"/>
  <c r="AV1773" i="9"/>
  <c r="AU1773" i="9"/>
  <c r="AT1773" i="9"/>
  <c r="BB1772" i="9"/>
  <c r="BA1772" i="9"/>
  <c r="AV1772" i="9"/>
  <c r="AU1772" i="9"/>
  <c r="AT1772" i="9"/>
  <c r="BB1771" i="9"/>
  <c r="BA1771" i="9"/>
  <c r="AV1771" i="9"/>
  <c r="AU1771" i="9"/>
  <c r="AT1771" i="9"/>
  <c r="BB1770" i="9"/>
  <c r="BA1770" i="9"/>
  <c r="AV1770" i="9"/>
  <c r="AU1770" i="9"/>
  <c r="AT1770" i="9"/>
  <c r="BB1769" i="9"/>
  <c r="BA1769" i="9"/>
  <c r="AV1769" i="9"/>
  <c r="AU1769" i="9"/>
  <c r="AT1769" i="9"/>
  <c r="BB1768" i="9"/>
  <c r="BA1768" i="9"/>
  <c r="AV1768" i="9"/>
  <c r="AU1768" i="9"/>
  <c r="AT1768" i="9"/>
  <c r="BB1767" i="9"/>
  <c r="BA1767" i="9"/>
  <c r="AV1767" i="9"/>
  <c r="AU1767" i="9"/>
  <c r="AT1767" i="9"/>
  <c r="BB1766" i="9"/>
  <c r="BA1766" i="9"/>
  <c r="AV1766" i="9"/>
  <c r="AU1766" i="9"/>
  <c r="AT1766" i="9"/>
  <c r="BB1765" i="9"/>
  <c r="BA1765" i="9"/>
  <c r="AV1765" i="9"/>
  <c r="AU1765" i="9"/>
  <c r="AT1765" i="9"/>
  <c r="BB1764" i="9"/>
  <c r="BA1764" i="9"/>
  <c r="AV1764" i="9"/>
  <c r="AU1764" i="9"/>
  <c r="AT1764" i="9"/>
  <c r="BB1763" i="9"/>
  <c r="BA1763" i="9"/>
  <c r="AV1763" i="9"/>
  <c r="AU1763" i="9"/>
  <c r="AT1763" i="9"/>
  <c r="BB1762" i="9"/>
  <c r="BA1762" i="9"/>
  <c r="AV1762" i="9"/>
  <c r="AU1762" i="9"/>
  <c r="AT1762" i="9"/>
  <c r="BB1761" i="9"/>
  <c r="BA1761" i="9"/>
  <c r="AV1761" i="9"/>
  <c r="AU1761" i="9"/>
  <c r="AT1761" i="9"/>
  <c r="BB1760" i="9"/>
  <c r="BA1760" i="9"/>
  <c r="AV1760" i="9"/>
  <c r="AU1760" i="9"/>
  <c r="AT1760" i="9"/>
  <c r="BB1759" i="9"/>
  <c r="BA1759" i="9"/>
  <c r="AV1759" i="9"/>
  <c r="AU1759" i="9"/>
  <c r="AT1759" i="9"/>
  <c r="BB1758" i="9"/>
  <c r="BA1758" i="9"/>
  <c r="AV1758" i="9"/>
  <c r="AU1758" i="9"/>
  <c r="AT1758" i="9"/>
  <c r="BB1757" i="9"/>
  <c r="BA1757" i="9"/>
  <c r="AV1757" i="9"/>
  <c r="AU1757" i="9"/>
  <c r="AT1757" i="9"/>
  <c r="BB1756" i="9"/>
  <c r="BA1756" i="9"/>
  <c r="AV1756" i="9"/>
  <c r="AU1756" i="9"/>
  <c r="AT1756" i="9"/>
  <c r="BB1755" i="9"/>
  <c r="BA1755" i="9"/>
  <c r="AV1755" i="9"/>
  <c r="AU1755" i="9"/>
  <c r="AT1755" i="9"/>
  <c r="BB1754" i="9"/>
  <c r="BA1754" i="9"/>
  <c r="AV1754" i="9"/>
  <c r="AU1754" i="9"/>
  <c r="AT1754" i="9"/>
  <c r="BB1753" i="9"/>
  <c r="BA1753" i="9"/>
  <c r="AV1753" i="9"/>
  <c r="AU1753" i="9"/>
  <c r="AT1753" i="9"/>
  <c r="BB1752" i="9"/>
  <c r="BA1752" i="9"/>
  <c r="AV1752" i="9"/>
  <c r="AU1752" i="9"/>
  <c r="AT1752" i="9"/>
  <c r="BB1751" i="9"/>
  <c r="BA1751" i="9"/>
  <c r="AV1751" i="9"/>
  <c r="AU1751" i="9"/>
  <c r="AT1751" i="9"/>
  <c r="BB1750" i="9"/>
  <c r="BA1750" i="9"/>
  <c r="AV1750" i="9"/>
  <c r="AU1750" i="9"/>
  <c r="AT1750" i="9"/>
  <c r="BB1749" i="9"/>
  <c r="BA1749" i="9"/>
  <c r="AV1749" i="9"/>
  <c r="AU1749" i="9"/>
  <c r="AT1749" i="9"/>
  <c r="BB1748" i="9"/>
  <c r="BA1748" i="9"/>
  <c r="AV1748" i="9"/>
  <c r="AU1748" i="9"/>
  <c r="AT1748" i="9"/>
  <c r="BB1747" i="9"/>
  <c r="BA1747" i="9"/>
  <c r="AV1747" i="9"/>
  <c r="AU1747" i="9"/>
  <c r="AT1747" i="9"/>
  <c r="BB1746" i="9"/>
  <c r="BA1746" i="9"/>
  <c r="AV1746" i="9"/>
  <c r="AU1746" i="9"/>
  <c r="AT1746" i="9"/>
  <c r="BB1745" i="9"/>
  <c r="BA1745" i="9"/>
  <c r="AV1745" i="9"/>
  <c r="AU1745" i="9"/>
  <c r="AT1745" i="9"/>
  <c r="BB1744" i="9"/>
  <c r="BA1744" i="9"/>
  <c r="AV1744" i="9"/>
  <c r="AU1744" i="9"/>
  <c r="AT1744" i="9"/>
  <c r="BB1743" i="9"/>
  <c r="BA1743" i="9"/>
  <c r="AV1743" i="9"/>
  <c r="AU1743" i="9"/>
  <c r="AT1743" i="9"/>
  <c r="BB1742" i="9"/>
  <c r="BA1742" i="9"/>
  <c r="AV1742" i="9"/>
  <c r="AU1742" i="9"/>
  <c r="AT1742" i="9"/>
  <c r="BB1741" i="9"/>
  <c r="BA1741" i="9"/>
  <c r="AV1741" i="9"/>
  <c r="AU1741" i="9"/>
  <c r="AT1741" i="9"/>
  <c r="BB1740" i="9"/>
  <c r="BA1740" i="9"/>
  <c r="AV1740" i="9"/>
  <c r="AU1740" i="9"/>
  <c r="AT1740" i="9"/>
  <c r="BB1739" i="9"/>
  <c r="BA1739" i="9"/>
  <c r="AV1739" i="9"/>
  <c r="AU1739" i="9"/>
  <c r="AT1739" i="9"/>
  <c r="BB1738" i="9"/>
  <c r="BA1738" i="9"/>
  <c r="AV1738" i="9"/>
  <c r="AU1738" i="9"/>
  <c r="AT1738" i="9"/>
  <c r="BB1737" i="9"/>
  <c r="BA1737" i="9"/>
  <c r="AV1737" i="9"/>
  <c r="AU1737" i="9"/>
  <c r="AT1737" i="9"/>
  <c r="BB1736" i="9"/>
  <c r="BA1736" i="9"/>
  <c r="AV1736" i="9"/>
  <c r="AU1736" i="9"/>
  <c r="AT1736" i="9"/>
  <c r="BB1735" i="9"/>
  <c r="BA1735" i="9"/>
  <c r="AV1735" i="9"/>
  <c r="AU1735" i="9"/>
  <c r="AT1735" i="9"/>
  <c r="BB1734" i="9"/>
  <c r="BA1734" i="9"/>
  <c r="AV1734" i="9"/>
  <c r="AU1734" i="9"/>
  <c r="AT1734" i="9"/>
  <c r="BB1733" i="9"/>
  <c r="BA1733" i="9"/>
  <c r="AV1733" i="9"/>
  <c r="AU1733" i="9"/>
  <c r="AT1733" i="9"/>
  <c r="BB1732" i="9"/>
  <c r="BA1732" i="9"/>
  <c r="AV1732" i="9"/>
  <c r="AU1732" i="9"/>
  <c r="AT1732" i="9"/>
  <c r="BB1731" i="9"/>
  <c r="BA1731" i="9"/>
  <c r="AV1731" i="9"/>
  <c r="AU1731" i="9"/>
  <c r="AT1731" i="9"/>
  <c r="BB1730" i="9"/>
  <c r="BA1730" i="9"/>
  <c r="AV1730" i="9"/>
  <c r="AU1730" i="9"/>
  <c r="AT1730" i="9"/>
  <c r="BB1729" i="9"/>
  <c r="BA1729" i="9"/>
  <c r="AV1729" i="9"/>
  <c r="AU1729" i="9"/>
  <c r="AT1729" i="9"/>
  <c r="BB1728" i="9"/>
  <c r="BA1728" i="9"/>
  <c r="AV1728" i="9"/>
  <c r="AU1728" i="9"/>
  <c r="AT1728" i="9"/>
  <c r="BB1727" i="9"/>
  <c r="BA1727" i="9"/>
  <c r="AV1727" i="9"/>
  <c r="AU1727" i="9"/>
  <c r="AT1727" i="9"/>
  <c r="BB1726" i="9"/>
  <c r="BA1726" i="9"/>
  <c r="AV1726" i="9"/>
  <c r="AU1726" i="9"/>
  <c r="AT1726" i="9"/>
  <c r="BB1725" i="9"/>
  <c r="BA1725" i="9"/>
  <c r="AV1725" i="9"/>
  <c r="AU1725" i="9"/>
  <c r="AT1725" i="9"/>
  <c r="BB1724" i="9"/>
  <c r="BA1724" i="9"/>
  <c r="AV1724" i="9"/>
  <c r="AU1724" i="9"/>
  <c r="AT1724" i="9"/>
  <c r="BB1723" i="9"/>
  <c r="BA1723" i="9"/>
  <c r="AV1723" i="9"/>
  <c r="AU1723" i="9"/>
  <c r="AT1723" i="9"/>
  <c r="BB1722" i="9"/>
  <c r="BA1722" i="9"/>
  <c r="AV1722" i="9"/>
  <c r="AU1722" i="9"/>
  <c r="AT1722" i="9"/>
  <c r="BB1721" i="9"/>
  <c r="BA1721" i="9"/>
  <c r="AV1721" i="9"/>
  <c r="AU1721" i="9"/>
  <c r="AT1721" i="9"/>
  <c r="BB1720" i="9"/>
  <c r="BA1720" i="9"/>
  <c r="AV1720" i="9"/>
  <c r="AU1720" i="9"/>
  <c r="AT1720" i="9"/>
  <c r="BB1719" i="9"/>
  <c r="BA1719" i="9"/>
  <c r="AV1719" i="9"/>
  <c r="AU1719" i="9"/>
  <c r="AT1719" i="9"/>
  <c r="BB1718" i="9"/>
  <c r="BA1718" i="9"/>
  <c r="AV1718" i="9"/>
  <c r="AU1718" i="9"/>
  <c r="AT1718" i="9"/>
  <c r="BB1717" i="9"/>
  <c r="BA1717" i="9"/>
  <c r="AV1717" i="9"/>
  <c r="AU1717" i="9"/>
  <c r="AT1717" i="9"/>
  <c r="BB1716" i="9"/>
  <c r="BA1716" i="9"/>
  <c r="AV1716" i="9"/>
  <c r="AU1716" i="9"/>
  <c r="AT1716" i="9"/>
  <c r="BB1715" i="9"/>
  <c r="BA1715" i="9"/>
  <c r="AV1715" i="9"/>
  <c r="AU1715" i="9"/>
  <c r="AT1715" i="9"/>
  <c r="BB1714" i="9"/>
  <c r="BA1714" i="9"/>
  <c r="AV1714" i="9"/>
  <c r="AU1714" i="9"/>
  <c r="AT1714" i="9"/>
  <c r="BB1713" i="9"/>
  <c r="BA1713" i="9"/>
  <c r="AV1713" i="9"/>
  <c r="AU1713" i="9"/>
  <c r="AT1713" i="9"/>
  <c r="BB1712" i="9"/>
  <c r="BA1712" i="9"/>
  <c r="AV1712" i="9"/>
  <c r="AU1712" i="9"/>
  <c r="AT1712" i="9"/>
  <c r="BB1711" i="9"/>
  <c r="BA1711" i="9"/>
  <c r="AV1711" i="9"/>
  <c r="AU1711" i="9"/>
  <c r="AT1711" i="9"/>
  <c r="BB1710" i="9"/>
  <c r="BA1710" i="9"/>
  <c r="AV1710" i="9"/>
  <c r="AU1710" i="9"/>
  <c r="AT1710" i="9"/>
  <c r="BB1709" i="9"/>
  <c r="BA1709" i="9"/>
  <c r="AV1709" i="9"/>
  <c r="AU1709" i="9"/>
  <c r="AT1709" i="9"/>
  <c r="BB1708" i="9"/>
  <c r="BA1708" i="9"/>
  <c r="AV1708" i="9"/>
  <c r="AU1708" i="9"/>
  <c r="AT1708" i="9"/>
  <c r="BB1707" i="9"/>
  <c r="BA1707" i="9"/>
  <c r="AV1707" i="9"/>
  <c r="AU1707" i="9"/>
  <c r="AT1707" i="9"/>
  <c r="BB1706" i="9"/>
  <c r="BA1706" i="9"/>
  <c r="AV1706" i="9"/>
  <c r="AU1706" i="9"/>
  <c r="AT1706" i="9"/>
  <c r="BB1705" i="9"/>
  <c r="BA1705" i="9"/>
  <c r="AV1705" i="9"/>
  <c r="AU1705" i="9"/>
  <c r="AT1705" i="9"/>
  <c r="BB1704" i="9"/>
  <c r="BA1704" i="9"/>
  <c r="AV1704" i="9"/>
  <c r="AU1704" i="9"/>
  <c r="AT1704" i="9"/>
  <c r="BB1703" i="9"/>
  <c r="BA1703" i="9"/>
  <c r="AV1703" i="9"/>
  <c r="AU1703" i="9"/>
  <c r="AT1703" i="9"/>
  <c r="BB1702" i="9"/>
  <c r="BA1702" i="9"/>
  <c r="AV1702" i="9"/>
  <c r="AU1702" i="9"/>
  <c r="AT1702" i="9"/>
  <c r="BB1701" i="9"/>
  <c r="BA1701" i="9"/>
  <c r="AV1701" i="9"/>
  <c r="AU1701" i="9"/>
  <c r="AT1701" i="9"/>
  <c r="BB1700" i="9"/>
  <c r="BA1700" i="9"/>
  <c r="AV1700" i="9"/>
  <c r="AU1700" i="9"/>
  <c r="AT1700" i="9"/>
  <c r="BB1699" i="9"/>
  <c r="BA1699" i="9"/>
  <c r="AV1699" i="9"/>
  <c r="AU1699" i="9"/>
  <c r="AT1699" i="9"/>
  <c r="BB1698" i="9"/>
  <c r="BA1698" i="9"/>
  <c r="AV1698" i="9"/>
  <c r="AU1698" i="9"/>
  <c r="AT1698" i="9"/>
  <c r="BB1697" i="9"/>
  <c r="BA1697" i="9"/>
  <c r="AV1697" i="9"/>
  <c r="AU1697" i="9"/>
  <c r="AT1697" i="9"/>
  <c r="BB1696" i="9"/>
  <c r="BA1696" i="9"/>
  <c r="AV1696" i="9"/>
  <c r="AU1696" i="9"/>
  <c r="AT1696" i="9"/>
  <c r="BB1695" i="9"/>
  <c r="BA1695" i="9"/>
  <c r="AV1695" i="9"/>
  <c r="AU1695" i="9"/>
  <c r="AT1695" i="9"/>
  <c r="BB1694" i="9"/>
  <c r="BA1694" i="9"/>
  <c r="AV1694" i="9"/>
  <c r="AU1694" i="9"/>
  <c r="AT1694" i="9"/>
  <c r="BB1693" i="9"/>
  <c r="BA1693" i="9"/>
  <c r="AV1693" i="9"/>
  <c r="AU1693" i="9"/>
  <c r="AT1693" i="9"/>
  <c r="BB1692" i="9"/>
  <c r="BA1692" i="9"/>
  <c r="AV1692" i="9"/>
  <c r="AU1692" i="9"/>
  <c r="AT1692" i="9"/>
  <c r="BB1691" i="9"/>
  <c r="BA1691" i="9"/>
  <c r="AV1691" i="9"/>
  <c r="AU1691" i="9"/>
  <c r="AT1691" i="9"/>
  <c r="BB1690" i="9"/>
  <c r="BA1690" i="9"/>
  <c r="AV1690" i="9"/>
  <c r="AU1690" i="9"/>
  <c r="AT1690" i="9"/>
  <c r="BB1689" i="9"/>
  <c r="BA1689" i="9"/>
  <c r="AV1689" i="9"/>
  <c r="AU1689" i="9"/>
  <c r="AT1689" i="9"/>
  <c r="BB1688" i="9"/>
  <c r="BA1688" i="9"/>
  <c r="AV1688" i="9"/>
  <c r="AU1688" i="9"/>
  <c r="AT1688" i="9"/>
  <c r="BB1687" i="9"/>
  <c r="BA1687" i="9"/>
  <c r="AV1687" i="9"/>
  <c r="AU1687" i="9"/>
  <c r="AT1687" i="9"/>
  <c r="BB1686" i="9"/>
  <c r="BA1686" i="9"/>
  <c r="AV1686" i="9"/>
  <c r="AU1686" i="9"/>
  <c r="AT1686" i="9"/>
  <c r="BB1685" i="9"/>
  <c r="BA1685" i="9"/>
  <c r="AV1685" i="9"/>
  <c r="AU1685" i="9"/>
  <c r="AT1685" i="9"/>
  <c r="BB1684" i="9"/>
  <c r="BA1684" i="9"/>
  <c r="AV1684" i="9"/>
  <c r="AU1684" i="9"/>
  <c r="AT1684" i="9"/>
  <c r="BB1683" i="9"/>
  <c r="BA1683" i="9"/>
  <c r="AV1683" i="9"/>
  <c r="AU1683" i="9"/>
  <c r="AT1683" i="9"/>
  <c r="BB1682" i="9"/>
  <c r="BA1682" i="9"/>
  <c r="AV1682" i="9"/>
  <c r="AU1682" i="9"/>
  <c r="AT1682" i="9"/>
  <c r="BB1681" i="9"/>
  <c r="BA1681" i="9"/>
  <c r="AV1681" i="9"/>
  <c r="AU1681" i="9"/>
  <c r="AT1681" i="9"/>
  <c r="BB1680" i="9"/>
  <c r="BA1680" i="9"/>
  <c r="AV1680" i="9"/>
  <c r="AU1680" i="9"/>
  <c r="AT1680" i="9"/>
  <c r="BB1679" i="9"/>
  <c r="BA1679" i="9"/>
  <c r="AV1679" i="9"/>
  <c r="AU1679" i="9"/>
  <c r="AT1679" i="9"/>
  <c r="BB1678" i="9"/>
  <c r="BA1678" i="9"/>
  <c r="AV1678" i="9"/>
  <c r="AU1678" i="9"/>
  <c r="AT1678" i="9"/>
  <c r="BB1677" i="9"/>
  <c r="BA1677" i="9"/>
  <c r="AV1677" i="9"/>
  <c r="AU1677" i="9"/>
  <c r="AT1677" i="9"/>
  <c r="BB1676" i="9"/>
  <c r="BA1676" i="9"/>
  <c r="AV1676" i="9"/>
  <c r="AU1676" i="9"/>
  <c r="AT1676" i="9"/>
  <c r="BB1675" i="9"/>
  <c r="BA1675" i="9"/>
  <c r="AV1675" i="9"/>
  <c r="AU1675" i="9"/>
  <c r="AT1675" i="9"/>
  <c r="BB1674" i="9"/>
  <c r="BA1674" i="9"/>
  <c r="AV1674" i="9"/>
  <c r="AU1674" i="9"/>
  <c r="AT1674" i="9"/>
  <c r="BB1673" i="9"/>
  <c r="BA1673" i="9"/>
  <c r="AV1673" i="9"/>
  <c r="AU1673" i="9"/>
  <c r="AT1673" i="9"/>
  <c r="BB1672" i="9"/>
  <c r="BA1672" i="9"/>
  <c r="AV1672" i="9"/>
  <c r="AU1672" i="9"/>
  <c r="AT1672" i="9"/>
  <c r="BB1671" i="9"/>
  <c r="BA1671" i="9"/>
  <c r="AV1671" i="9"/>
  <c r="AU1671" i="9"/>
  <c r="AT1671" i="9"/>
  <c r="BB1670" i="9"/>
  <c r="BA1670" i="9"/>
  <c r="AV1670" i="9"/>
  <c r="AU1670" i="9"/>
  <c r="AT1670" i="9"/>
  <c r="BB1669" i="9"/>
  <c r="BA1669" i="9"/>
  <c r="AV1669" i="9"/>
  <c r="AU1669" i="9"/>
  <c r="AT1669" i="9"/>
  <c r="BB1668" i="9"/>
  <c r="BA1668" i="9"/>
  <c r="AV1668" i="9"/>
  <c r="AU1668" i="9"/>
  <c r="AT1668" i="9"/>
  <c r="BB1667" i="9"/>
  <c r="BA1667" i="9"/>
  <c r="AV1667" i="9"/>
  <c r="AU1667" i="9"/>
  <c r="AT1667" i="9"/>
  <c r="BB1666" i="9"/>
  <c r="BA1666" i="9"/>
  <c r="AV1666" i="9"/>
  <c r="AU1666" i="9"/>
  <c r="AT1666" i="9"/>
  <c r="BB1665" i="9"/>
  <c r="BA1665" i="9"/>
  <c r="AV1665" i="9"/>
  <c r="AU1665" i="9"/>
  <c r="AT1665" i="9"/>
  <c r="BB1664" i="9"/>
  <c r="BA1664" i="9"/>
  <c r="AV1664" i="9"/>
  <c r="AU1664" i="9"/>
  <c r="AT1664" i="9"/>
  <c r="BB1663" i="9"/>
  <c r="BA1663" i="9"/>
  <c r="AV1663" i="9"/>
  <c r="AU1663" i="9"/>
  <c r="AT1663" i="9"/>
  <c r="BB1662" i="9"/>
  <c r="BA1662" i="9"/>
  <c r="AV1662" i="9"/>
  <c r="AU1662" i="9"/>
  <c r="AT1662" i="9"/>
  <c r="BB1661" i="9"/>
  <c r="BA1661" i="9"/>
  <c r="AV1661" i="9"/>
  <c r="AU1661" i="9"/>
  <c r="AT1661" i="9"/>
  <c r="BB1660" i="9"/>
  <c r="BA1660" i="9"/>
  <c r="AV1660" i="9"/>
  <c r="AU1660" i="9"/>
  <c r="AT1660" i="9"/>
  <c r="BB1659" i="9"/>
  <c r="BA1659" i="9"/>
  <c r="AV1659" i="9"/>
  <c r="AU1659" i="9"/>
  <c r="AT1659" i="9"/>
  <c r="BB1658" i="9"/>
  <c r="BA1658" i="9"/>
  <c r="AV1658" i="9"/>
  <c r="AU1658" i="9"/>
  <c r="AT1658" i="9"/>
  <c r="BB1657" i="9"/>
  <c r="BA1657" i="9"/>
  <c r="AV1657" i="9"/>
  <c r="AU1657" i="9"/>
  <c r="AT1657" i="9"/>
  <c r="BB1656" i="9"/>
  <c r="BA1656" i="9"/>
  <c r="AV1656" i="9"/>
  <c r="AU1656" i="9"/>
  <c r="AT1656" i="9"/>
  <c r="BB1655" i="9"/>
  <c r="BA1655" i="9"/>
  <c r="AV1655" i="9"/>
  <c r="AU1655" i="9"/>
  <c r="AT1655" i="9"/>
  <c r="BB1654" i="9"/>
  <c r="BA1654" i="9"/>
  <c r="AV1654" i="9"/>
  <c r="AU1654" i="9"/>
  <c r="AT1654" i="9"/>
  <c r="BB1653" i="9"/>
  <c r="BA1653" i="9"/>
  <c r="AV1653" i="9"/>
  <c r="AU1653" i="9"/>
  <c r="AT1653" i="9"/>
  <c r="BB1652" i="9"/>
  <c r="BA1652" i="9"/>
  <c r="AV1652" i="9"/>
  <c r="AU1652" i="9"/>
  <c r="AT1652" i="9"/>
  <c r="BB1651" i="9"/>
  <c r="BA1651" i="9"/>
  <c r="AV1651" i="9"/>
  <c r="AU1651" i="9"/>
  <c r="AT1651" i="9"/>
  <c r="BB1650" i="9"/>
  <c r="BA1650" i="9"/>
  <c r="AV1650" i="9"/>
  <c r="AU1650" i="9"/>
  <c r="AT1650" i="9"/>
  <c r="BB1649" i="9"/>
  <c r="BA1649" i="9"/>
  <c r="AV1649" i="9"/>
  <c r="AU1649" i="9"/>
  <c r="AT1649" i="9"/>
  <c r="BB1648" i="9"/>
  <c r="BA1648" i="9"/>
  <c r="AV1648" i="9"/>
  <c r="AU1648" i="9"/>
  <c r="AT1648" i="9"/>
  <c r="BB1647" i="9"/>
  <c r="BA1647" i="9"/>
  <c r="AV1647" i="9"/>
  <c r="AU1647" i="9"/>
  <c r="AT1647" i="9"/>
  <c r="BB1646" i="9"/>
  <c r="BA1646" i="9"/>
  <c r="AV1646" i="9"/>
  <c r="AU1646" i="9"/>
  <c r="AT1646" i="9"/>
  <c r="BB1645" i="9"/>
  <c r="BA1645" i="9"/>
  <c r="AV1645" i="9"/>
  <c r="AU1645" i="9"/>
  <c r="AT1645" i="9"/>
  <c r="BB1644" i="9"/>
  <c r="BA1644" i="9"/>
  <c r="AV1644" i="9"/>
  <c r="AU1644" i="9"/>
  <c r="AT1644" i="9"/>
  <c r="BB1643" i="9"/>
  <c r="BA1643" i="9"/>
  <c r="AV1643" i="9"/>
  <c r="AU1643" i="9"/>
  <c r="AT1643" i="9"/>
  <c r="BB1642" i="9"/>
  <c r="BA1642" i="9"/>
  <c r="AV1642" i="9"/>
  <c r="AU1642" i="9"/>
  <c r="AT1642" i="9"/>
  <c r="BB1641" i="9"/>
  <c r="BA1641" i="9"/>
  <c r="AV1641" i="9"/>
  <c r="AU1641" i="9"/>
  <c r="AT1641" i="9"/>
  <c r="BB1640" i="9"/>
  <c r="BA1640" i="9"/>
  <c r="AV1640" i="9"/>
  <c r="AU1640" i="9"/>
  <c r="AT1640" i="9"/>
  <c r="BB1639" i="9"/>
  <c r="BA1639" i="9"/>
  <c r="AV1639" i="9"/>
  <c r="AU1639" i="9"/>
  <c r="AT1639" i="9"/>
  <c r="BB1638" i="9"/>
  <c r="BA1638" i="9"/>
  <c r="AV1638" i="9"/>
  <c r="AU1638" i="9"/>
  <c r="AT1638" i="9"/>
  <c r="BB1637" i="9"/>
  <c r="BA1637" i="9"/>
  <c r="AV1637" i="9"/>
  <c r="AU1637" i="9"/>
  <c r="AT1637" i="9"/>
  <c r="BB1636" i="9"/>
  <c r="BA1636" i="9"/>
  <c r="AV1636" i="9"/>
  <c r="AU1636" i="9"/>
  <c r="AT1636" i="9"/>
  <c r="BB1635" i="9"/>
  <c r="BA1635" i="9"/>
  <c r="AV1635" i="9"/>
  <c r="AU1635" i="9"/>
  <c r="AT1635" i="9"/>
  <c r="BB1634" i="9"/>
  <c r="BA1634" i="9"/>
  <c r="AV1634" i="9"/>
  <c r="AU1634" i="9"/>
  <c r="AT1634" i="9"/>
  <c r="BB1633" i="9"/>
  <c r="BA1633" i="9"/>
  <c r="AV1633" i="9"/>
  <c r="AU1633" i="9"/>
  <c r="AT1633" i="9"/>
  <c r="BB1632" i="9"/>
  <c r="BA1632" i="9"/>
  <c r="AV1632" i="9"/>
  <c r="AU1632" i="9"/>
  <c r="AT1632" i="9"/>
  <c r="BB1631" i="9"/>
  <c r="BA1631" i="9"/>
  <c r="AV1631" i="9"/>
  <c r="AU1631" i="9"/>
  <c r="AT1631" i="9"/>
  <c r="BB1630" i="9"/>
  <c r="BA1630" i="9"/>
  <c r="AV1630" i="9"/>
  <c r="AU1630" i="9"/>
  <c r="AT1630" i="9"/>
  <c r="BB1629" i="9"/>
  <c r="BA1629" i="9"/>
  <c r="AV1629" i="9"/>
  <c r="AU1629" i="9"/>
  <c r="AT1629" i="9"/>
  <c r="BB1628" i="9"/>
  <c r="BA1628" i="9"/>
  <c r="AV1628" i="9"/>
  <c r="AU1628" i="9"/>
  <c r="AT1628" i="9"/>
  <c r="BB1627" i="9"/>
  <c r="BA1627" i="9"/>
  <c r="AV1627" i="9"/>
  <c r="AU1627" i="9"/>
  <c r="AT1627" i="9"/>
  <c r="BB1626" i="9"/>
  <c r="BA1626" i="9"/>
  <c r="AV1626" i="9"/>
  <c r="AU1626" i="9"/>
  <c r="AT1626" i="9"/>
  <c r="BB1625" i="9"/>
  <c r="BA1625" i="9"/>
  <c r="AV1625" i="9"/>
  <c r="AU1625" i="9"/>
  <c r="AT1625" i="9"/>
  <c r="BB1624" i="9"/>
  <c r="BA1624" i="9"/>
  <c r="AV1624" i="9"/>
  <c r="AU1624" i="9"/>
  <c r="AT1624" i="9"/>
  <c r="BB1623" i="9"/>
  <c r="BA1623" i="9"/>
  <c r="AV1623" i="9"/>
  <c r="AU1623" i="9"/>
  <c r="AT1623" i="9"/>
  <c r="BB1622" i="9"/>
  <c r="BA1622" i="9"/>
  <c r="AV1622" i="9"/>
  <c r="AU1622" i="9"/>
  <c r="AT1622" i="9"/>
  <c r="BB1621" i="9"/>
  <c r="BA1621" i="9"/>
  <c r="AV1621" i="9"/>
  <c r="AU1621" i="9"/>
  <c r="AT1621" i="9"/>
  <c r="BB1620" i="9"/>
  <c r="BA1620" i="9"/>
  <c r="AV1620" i="9"/>
  <c r="AU1620" i="9"/>
  <c r="AT1620" i="9"/>
  <c r="BB1619" i="9"/>
  <c r="BA1619" i="9"/>
  <c r="AV1619" i="9"/>
  <c r="AU1619" i="9"/>
  <c r="AT1619" i="9"/>
  <c r="BB1618" i="9"/>
  <c r="BA1618" i="9"/>
  <c r="AV1618" i="9"/>
  <c r="AU1618" i="9"/>
  <c r="AT1618" i="9"/>
  <c r="BB1617" i="9"/>
  <c r="BA1617" i="9"/>
  <c r="AV1617" i="9"/>
  <c r="AU1617" i="9"/>
  <c r="AT1617" i="9"/>
  <c r="BB1616" i="9"/>
  <c r="BA1616" i="9"/>
  <c r="AV1616" i="9"/>
  <c r="AU1616" i="9"/>
  <c r="AT1616" i="9"/>
  <c r="BB1615" i="9"/>
  <c r="BA1615" i="9"/>
  <c r="AV1615" i="9"/>
  <c r="AU1615" i="9"/>
  <c r="AT1615" i="9"/>
  <c r="BB1614" i="9"/>
  <c r="BA1614" i="9"/>
  <c r="AV1614" i="9"/>
  <c r="AU1614" i="9"/>
  <c r="AT1614" i="9"/>
  <c r="BB1613" i="9"/>
  <c r="BA1613" i="9"/>
  <c r="AV1613" i="9"/>
  <c r="AU1613" i="9"/>
  <c r="AT1613" i="9"/>
  <c r="BB1612" i="9"/>
  <c r="BA1612" i="9"/>
  <c r="AV1612" i="9"/>
  <c r="AU1612" i="9"/>
  <c r="AT1612" i="9"/>
  <c r="BB1611" i="9"/>
  <c r="BA1611" i="9"/>
  <c r="AV1611" i="9"/>
  <c r="AU1611" i="9"/>
  <c r="AT1611" i="9"/>
  <c r="BB1610" i="9"/>
  <c r="BA1610" i="9"/>
  <c r="AV1610" i="9"/>
  <c r="AU1610" i="9"/>
  <c r="AT1610" i="9"/>
  <c r="BB1609" i="9"/>
  <c r="BA1609" i="9"/>
  <c r="AV1609" i="9"/>
  <c r="AU1609" i="9"/>
  <c r="AT1609" i="9"/>
  <c r="BB1608" i="9"/>
  <c r="BA1608" i="9"/>
  <c r="AV1608" i="9"/>
  <c r="AU1608" i="9"/>
  <c r="AT1608" i="9"/>
  <c r="BB1607" i="9"/>
  <c r="BA1607" i="9"/>
  <c r="AV1607" i="9"/>
  <c r="AU1607" i="9"/>
  <c r="AT1607" i="9"/>
  <c r="BB1606" i="9"/>
  <c r="BA1606" i="9"/>
  <c r="AV1606" i="9"/>
  <c r="AU1606" i="9"/>
  <c r="AT1606" i="9"/>
  <c r="BB1605" i="9"/>
  <c r="BA1605" i="9"/>
  <c r="AV1605" i="9"/>
  <c r="AU1605" i="9"/>
  <c r="AT1605" i="9"/>
  <c r="BB1604" i="9"/>
  <c r="BA1604" i="9"/>
  <c r="AV1604" i="9"/>
  <c r="AU1604" i="9"/>
  <c r="AT1604" i="9"/>
  <c r="BB1603" i="9"/>
  <c r="BA1603" i="9"/>
  <c r="AV1603" i="9"/>
  <c r="AU1603" i="9"/>
  <c r="AT1603" i="9"/>
  <c r="BB1602" i="9"/>
  <c r="BA1602" i="9"/>
  <c r="AV1602" i="9"/>
  <c r="AU1602" i="9"/>
  <c r="AT1602" i="9"/>
  <c r="BB1601" i="9"/>
  <c r="BA1601" i="9"/>
  <c r="AV1601" i="9"/>
  <c r="AU1601" i="9"/>
  <c r="AT1601" i="9"/>
  <c r="BB1600" i="9"/>
  <c r="BA1600" i="9"/>
  <c r="AV1600" i="9"/>
  <c r="AU1600" i="9"/>
  <c r="AT1600" i="9"/>
  <c r="BB1599" i="9"/>
  <c r="BA1599" i="9"/>
  <c r="AV1599" i="9"/>
  <c r="AU1599" i="9"/>
  <c r="AT1599" i="9"/>
  <c r="BB1598" i="9"/>
  <c r="BA1598" i="9"/>
  <c r="AV1598" i="9"/>
  <c r="AU1598" i="9"/>
  <c r="AT1598" i="9"/>
  <c r="BB1597" i="9"/>
  <c r="BA1597" i="9"/>
  <c r="AV1597" i="9"/>
  <c r="AU1597" i="9"/>
  <c r="AT1597" i="9"/>
  <c r="BB1596" i="9"/>
  <c r="BA1596" i="9"/>
  <c r="AV1596" i="9"/>
  <c r="AU1596" i="9"/>
  <c r="AT1596" i="9"/>
  <c r="BB1595" i="9"/>
  <c r="BA1595" i="9"/>
  <c r="AV1595" i="9"/>
  <c r="AU1595" i="9"/>
  <c r="AT1595" i="9"/>
  <c r="BB1594" i="9"/>
  <c r="BA1594" i="9"/>
  <c r="AV1594" i="9"/>
  <c r="AU1594" i="9"/>
  <c r="AT1594" i="9"/>
  <c r="BB1593" i="9"/>
  <c r="BA1593" i="9"/>
  <c r="AV1593" i="9"/>
  <c r="AU1593" i="9"/>
  <c r="AT1593" i="9"/>
  <c r="BB1592" i="9"/>
  <c r="BA1592" i="9"/>
  <c r="AV1592" i="9"/>
  <c r="AU1592" i="9"/>
  <c r="AT1592" i="9"/>
  <c r="BB1591" i="9"/>
  <c r="BA1591" i="9"/>
  <c r="AV1591" i="9"/>
  <c r="AU1591" i="9"/>
  <c r="AT1591" i="9"/>
  <c r="BB1590" i="9"/>
  <c r="BA1590" i="9"/>
  <c r="AV1590" i="9"/>
  <c r="AU1590" i="9"/>
  <c r="AT1590" i="9"/>
  <c r="BB1589" i="9"/>
  <c r="BA1589" i="9"/>
  <c r="AV1589" i="9"/>
  <c r="AU1589" i="9"/>
  <c r="AT1589" i="9"/>
  <c r="BB1588" i="9"/>
  <c r="BA1588" i="9"/>
  <c r="AV1588" i="9"/>
  <c r="AU1588" i="9"/>
  <c r="AT1588" i="9"/>
  <c r="BB1587" i="9"/>
  <c r="BA1587" i="9"/>
  <c r="AV1587" i="9"/>
  <c r="AU1587" i="9"/>
  <c r="AT1587" i="9"/>
  <c r="BB1586" i="9"/>
  <c r="BA1586" i="9"/>
  <c r="AV1586" i="9"/>
  <c r="AU1586" i="9"/>
  <c r="AT1586" i="9"/>
  <c r="BB1585" i="9"/>
  <c r="BA1585" i="9"/>
  <c r="AV1585" i="9"/>
  <c r="AU1585" i="9"/>
  <c r="AT1585" i="9"/>
  <c r="BB1584" i="9"/>
  <c r="BA1584" i="9"/>
  <c r="AV1584" i="9"/>
  <c r="AU1584" i="9"/>
  <c r="AT1584" i="9"/>
  <c r="BB1583" i="9"/>
  <c r="BA1583" i="9"/>
  <c r="AV1583" i="9"/>
  <c r="AU1583" i="9"/>
  <c r="AT1583" i="9"/>
  <c r="BB1582" i="9"/>
  <c r="BA1582" i="9"/>
  <c r="AV1582" i="9"/>
  <c r="AU1582" i="9"/>
  <c r="AT1582" i="9"/>
  <c r="BB1581" i="9"/>
  <c r="BA1581" i="9"/>
  <c r="AV1581" i="9"/>
  <c r="AU1581" i="9"/>
  <c r="AT1581" i="9"/>
  <c r="BB1580" i="9"/>
  <c r="BA1580" i="9"/>
  <c r="AV1580" i="9"/>
  <c r="AU1580" i="9"/>
  <c r="AT1580" i="9"/>
  <c r="BB1579" i="9"/>
  <c r="BA1579" i="9"/>
  <c r="AV1579" i="9"/>
  <c r="AU1579" i="9"/>
  <c r="AT1579" i="9"/>
  <c r="BB1578" i="9"/>
  <c r="BA1578" i="9"/>
  <c r="AV1578" i="9"/>
  <c r="AU1578" i="9"/>
  <c r="AT1578" i="9"/>
  <c r="BB1577" i="9"/>
  <c r="BA1577" i="9"/>
  <c r="AV1577" i="9"/>
  <c r="AU1577" i="9"/>
  <c r="AT1577" i="9"/>
  <c r="BB1576" i="9"/>
  <c r="BA1576" i="9"/>
  <c r="AV1576" i="9"/>
  <c r="AU1576" i="9"/>
  <c r="AT1576" i="9"/>
  <c r="BB1575" i="9"/>
  <c r="BA1575" i="9"/>
  <c r="AV1575" i="9"/>
  <c r="AU1575" i="9"/>
  <c r="AT1575" i="9"/>
  <c r="BB1574" i="9"/>
  <c r="BA1574" i="9"/>
  <c r="AV1574" i="9"/>
  <c r="AU1574" i="9"/>
  <c r="AT1574" i="9"/>
  <c r="BB1573" i="9"/>
  <c r="BA1573" i="9"/>
  <c r="AV1573" i="9"/>
  <c r="AU1573" i="9"/>
  <c r="AT1573" i="9"/>
  <c r="BB1572" i="9"/>
  <c r="BA1572" i="9"/>
  <c r="AV1572" i="9"/>
  <c r="AU1572" i="9"/>
  <c r="AT1572" i="9"/>
  <c r="BB1571" i="9"/>
  <c r="BA1571" i="9"/>
  <c r="AV1571" i="9"/>
  <c r="AU1571" i="9"/>
  <c r="AT1571" i="9"/>
  <c r="BB1570" i="9"/>
  <c r="BA1570" i="9"/>
  <c r="AV1570" i="9"/>
  <c r="AU1570" i="9"/>
  <c r="AT1570" i="9"/>
  <c r="BB1569" i="9"/>
  <c r="BA1569" i="9"/>
  <c r="AV1569" i="9"/>
  <c r="AU1569" i="9"/>
  <c r="AT1569" i="9"/>
  <c r="BB1568" i="9"/>
  <c r="BA1568" i="9"/>
  <c r="AV1568" i="9"/>
  <c r="AU1568" i="9"/>
  <c r="AT1568" i="9"/>
  <c r="BB1567" i="9"/>
  <c r="BA1567" i="9"/>
  <c r="AV1567" i="9"/>
  <c r="AU1567" i="9"/>
  <c r="AT1567" i="9"/>
  <c r="BB1566" i="9"/>
  <c r="BA1566" i="9"/>
  <c r="AV1566" i="9"/>
  <c r="AU1566" i="9"/>
  <c r="AT1566" i="9"/>
  <c r="BB1565" i="9"/>
  <c r="BA1565" i="9"/>
  <c r="AV1565" i="9"/>
  <c r="AU1565" i="9"/>
  <c r="AT1565" i="9"/>
  <c r="BB1564" i="9"/>
  <c r="BA1564" i="9"/>
  <c r="AV1564" i="9"/>
  <c r="AU1564" i="9"/>
  <c r="AT1564" i="9"/>
  <c r="BB1563" i="9"/>
  <c r="BA1563" i="9"/>
  <c r="AV1563" i="9"/>
  <c r="AU1563" i="9"/>
  <c r="AT1563" i="9"/>
  <c r="BB1562" i="9"/>
  <c r="BA1562" i="9"/>
  <c r="AV1562" i="9"/>
  <c r="AU1562" i="9"/>
  <c r="AT1562" i="9"/>
  <c r="BB1561" i="9"/>
  <c r="BA1561" i="9"/>
  <c r="AV1561" i="9"/>
  <c r="AU1561" i="9"/>
  <c r="AT1561" i="9"/>
  <c r="BB1560" i="9"/>
  <c r="BA1560" i="9"/>
  <c r="AV1560" i="9"/>
  <c r="AU1560" i="9"/>
  <c r="AT1560" i="9"/>
  <c r="BB1559" i="9"/>
  <c r="BA1559" i="9"/>
  <c r="AV1559" i="9"/>
  <c r="AU1559" i="9"/>
  <c r="AT1559" i="9"/>
  <c r="BB1558" i="9"/>
  <c r="BA1558" i="9"/>
  <c r="AV1558" i="9"/>
  <c r="AU1558" i="9"/>
  <c r="AT1558" i="9"/>
  <c r="BB1557" i="9"/>
  <c r="BA1557" i="9"/>
  <c r="AV1557" i="9"/>
  <c r="AU1557" i="9"/>
  <c r="AT1557" i="9"/>
  <c r="BB1556" i="9"/>
  <c r="BA1556" i="9"/>
  <c r="AV1556" i="9"/>
  <c r="AU1556" i="9"/>
  <c r="AT1556" i="9"/>
  <c r="BB1555" i="9"/>
  <c r="BA1555" i="9"/>
  <c r="AV1555" i="9"/>
  <c r="AU1555" i="9"/>
  <c r="AT1555" i="9"/>
  <c r="BB1554" i="9"/>
  <c r="BA1554" i="9"/>
  <c r="AV1554" i="9"/>
  <c r="AU1554" i="9"/>
  <c r="AT1554" i="9"/>
  <c r="BB1553" i="9"/>
  <c r="BA1553" i="9"/>
  <c r="AV1553" i="9"/>
  <c r="AU1553" i="9"/>
  <c r="AT1553" i="9"/>
  <c r="BB1552" i="9"/>
  <c r="BA1552" i="9"/>
  <c r="AV1552" i="9"/>
  <c r="AU1552" i="9"/>
  <c r="AT1552" i="9"/>
  <c r="BB1551" i="9"/>
  <c r="BA1551" i="9"/>
  <c r="AV1551" i="9"/>
  <c r="AU1551" i="9"/>
  <c r="AT1551" i="9"/>
  <c r="BB1550" i="9"/>
  <c r="BA1550" i="9"/>
  <c r="AV1550" i="9"/>
  <c r="AU1550" i="9"/>
  <c r="AT1550" i="9"/>
  <c r="BB1549" i="9"/>
  <c r="BA1549" i="9"/>
  <c r="AV1549" i="9"/>
  <c r="AU1549" i="9"/>
  <c r="AT1549" i="9"/>
  <c r="BB1548" i="9"/>
  <c r="BA1548" i="9"/>
  <c r="AV1548" i="9"/>
  <c r="AU1548" i="9"/>
  <c r="AT1548" i="9"/>
  <c r="BB1547" i="9"/>
  <c r="BA1547" i="9"/>
  <c r="AV1547" i="9"/>
  <c r="AU1547" i="9"/>
  <c r="AT1547" i="9"/>
  <c r="BB1546" i="9"/>
  <c r="BA1546" i="9"/>
  <c r="AV1546" i="9"/>
  <c r="AU1546" i="9"/>
  <c r="AT1546" i="9"/>
  <c r="BB1545" i="9"/>
  <c r="BA1545" i="9"/>
  <c r="AV1545" i="9"/>
  <c r="AU1545" i="9"/>
  <c r="AT1545" i="9"/>
  <c r="BB1544" i="9"/>
  <c r="BA1544" i="9"/>
  <c r="AV1544" i="9"/>
  <c r="AU1544" i="9"/>
  <c r="AT1544" i="9"/>
  <c r="BB1543" i="9"/>
  <c r="BA1543" i="9"/>
  <c r="AV1543" i="9"/>
  <c r="AU1543" i="9"/>
  <c r="AT1543" i="9"/>
  <c r="BB1542" i="9"/>
  <c r="BA1542" i="9"/>
  <c r="AV1542" i="9"/>
  <c r="AU1542" i="9"/>
  <c r="AT1542" i="9"/>
  <c r="BB1541" i="9"/>
  <c r="BA1541" i="9"/>
  <c r="AV1541" i="9"/>
  <c r="AU1541" i="9"/>
  <c r="AT1541" i="9"/>
  <c r="BB1540" i="9"/>
  <c r="BA1540" i="9"/>
  <c r="AV1540" i="9"/>
  <c r="AU1540" i="9"/>
  <c r="AT1540" i="9"/>
  <c r="BB1539" i="9"/>
  <c r="BA1539" i="9"/>
  <c r="AV1539" i="9"/>
  <c r="AU1539" i="9"/>
  <c r="AT1539" i="9"/>
  <c r="BB1538" i="9"/>
  <c r="BA1538" i="9"/>
  <c r="AV1538" i="9"/>
  <c r="AU1538" i="9"/>
  <c r="AT1538" i="9"/>
  <c r="BB1537" i="9"/>
  <c r="BA1537" i="9"/>
  <c r="AV1537" i="9"/>
  <c r="AU1537" i="9"/>
  <c r="AT1537" i="9"/>
  <c r="BB1536" i="9"/>
  <c r="BA1536" i="9"/>
  <c r="AV1536" i="9"/>
  <c r="AU1536" i="9"/>
  <c r="AT1536" i="9"/>
  <c r="BB1535" i="9"/>
  <c r="BA1535" i="9"/>
  <c r="AV1535" i="9"/>
  <c r="AU1535" i="9"/>
  <c r="AT1535" i="9"/>
  <c r="BB1534" i="9"/>
  <c r="BA1534" i="9"/>
  <c r="AV1534" i="9"/>
  <c r="AU1534" i="9"/>
  <c r="AT1534" i="9"/>
  <c r="BB1533" i="9"/>
  <c r="BA1533" i="9"/>
  <c r="AV1533" i="9"/>
  <c r="AU1533" i="9"/>
  <c r="AT1533" i="9"/>
  <c r="BB1532" i="9"/>
  <c r="BA1532" i="9"/>
  <c r="AV1532" i="9"/>
  <c r="AU1532" i="9"/>
  <c r="AT1532" i="9"/>
  <c r="BB1531" i="9"/>
  <c r="BA1531" i="9"/>
  <c r="AV1531" i="9"/>
  <c r="AU1531" i="9"/>
  <c r="AT1531" i="9"/>
  <c r="BB1530" i="9"/>
  <c r="BA1530" i="9"/>
  <c r="AV1530" i="9"/>
  <c r="AU1530" i="9"/>
  <c r="AT1530" i="9"/>
  <c r="BB1529" i="9"/>
  <c r="BA1529" i="9"/>
  <c r="AV1529" i="9"/>
  <c r="AU1529" i="9"/>
  <c r="AT1529" i="9"/>
  <c r="BB1528" i="9"/>
  <c r="BA1528" i="9"/>
  <c r="AV1528" i="9"/>
  <c r="AU1528" i="9"/>
  <c r="AT1528" i="9"/>
  <c r="BB1527" i="9"/>
  <c r="BA1527" i="9"/>
  <c r="AV1527" i="9"/>
  <c r="AU1527" i="9"/>
  <c r="AT1527" i="9"/>
  <c r="BB1526" i="9"/>
  <c r="BA1526" i="9"/>
  <c r="AV1526" i="9"/>
  <c r="AU1526" i="9"/>
  <c r="AT1526" i="9"/>
  <c r="BB1525" i="9"/>
  <c r="BA1525" i="9"/>
  <c r="AV1525" i="9"/>
  <c r="AU1525" i="9"/>
  <c r="AT1525" i="9"/>
  <c r="BB1524" i="9"/>
  <c r="BA1524" i="9"/>
  <c r="AV1524" i="9"/>
  <c r="AU1524" i="9"/>
  <c r="AT1524" i="9"/>
  <c r="BB1523" i="9"/>
  <c r="BA1523" i="9"/>
  <c r="AV1523" i="9"/>
  <c r="AU1523" i="9"/>
  <c r="AT1523" i="9"/>
  <c r="BB1522" i="9"/>
  <c r="BA1522" i="9"/>
  <c r="AV1522" i="9"/>
  <c r="AU1522" i="9"/>
  <c r="AT1522" i="9"/>
  <c r="BB1521" i="9"/>
  <c r="BA1521" i="9"/>
  <c r="AV1521" i="9"/>
  <c r="AU1521" i="9"/>
  <c r="AT1521" i="9"/>
  <c r="BB1520" i="9"/>
  <c r="BA1520" i="9"/>
  <c r="AV1520" i="9"/>
  <c r="AU1520" i="9"/>
  <c r="AT1520" i="9"/>
  <c r="BB1519" i="9"/>
  <c r="BA1519" i="9"/>
  <c r="AV1519" i="9"/>
  <c r="AU1519" i="9"/>
  <c r="AT1519" i="9"/>
  <c r="BB1518" i="9"/>
  <c r="BA1518" i="9"/>
  <c r="AV1518" i="9"/>
  <c r="AU1518" i="9"/>
  <c r="AT1518" i="9"/>
  <c r="BB1517" i="9"/>
  <c r="BA1517" i="9"/>
  <c r="AV1517" i="9"/>
  <c r="AU1517" i="9"/>
  <c r="AT1517" i="9"/>
  <c r="BB1516" i="9"/>
  <c r="BA1516" i="9"/>
  <c r="AV1516" i="9"/>
  <c r="AU1516" i="9"/>
  <c r="AT1516" i="9"/>
  <c r="BB1515" i="9"/>
  <c r="BA1515" i="9"/>
  <c r="AV1515" i="9"/>
  <c r="AU1515" i="9"/>
  <c r="AT1515" i="9"/>
  <c r="BB1514" i="9"/>
  <c r="BA1514" i="9"/>
  <c r="AV1514" i="9"/>
  <c r="AU1514" i="9"/>
  <c r="AT1514" i="9"/>
  <c r="BB1513" i="9"/>
  <c r="BA1513" i="9"/>
  <c r="AV1513" i="9"/>
  <c r="AU1513" i="9"/>
  <c r="AT1513" i="9"/>
  <c r="BB1512" i="9"/>
  <c r="BA1512" i="9"/>
  <c r="AV1512" i="9"/>
  <c r="AU1512" i="9"/>
  <c r="AT1512" i="9"/>
  <c r="BB1511" i="9"/>
  <c r="BA1511" i="9"/>
  <c r="AV1511" i="9"/>
  <c r="AU1511" i="9"/>
  <c r="AT1511" i="9"/>
  <c r="BB1510" i="9"/>
  <c r="BA1510" i="9"/>
  <c r="AV1510" i="9"/>
  <c r="AU1510" i="9"/>
  <c r="AT1510" i="9"/>
  <c r="BB1509" i="9"/>
  <c r="BA1509" i="9"/>
  <c r="AV1509" i="9"/>
  <c r="AU1509" i="9"/>
  <c r="AT1509" i="9"/>
  <c r="BB1508" i="9"/>
  <c r="BA1508" i="9"/>
  <c r="AV1508" i="9"/>
  <c r="AU1508" i="9"/>
  <c r="AT1508" i="9"/>
  <c r="BB1507" i="9"/>
  <c r="BA1507" i="9"/>
  <c r="AV1507" i="9"/>
  <c r="AU1507" i="9"/>
  <c r="AT1507" i="9"/>
  <c r="BB1506" i="9"/>
  <c r="BA1506" i="9"/>
  <c r="AV1506" i="9"/>
  <c r="AU1506" i="9"/>
  <c r="AT1506" i="9"/>
  <c r="BB1505" i="9"/>
  <c r="BA1505" i="9"/>
  <c r="AV1505" i="9"/>
  <c r="AU1505" i="9"/>
  <c r="AT1505" i="9"/>
  <c r="BB1504" i="9"/>
  <c r="BA1504" i="9"/>
  <c r="AV1504" i="9"/>
  <c r="AU1504" i="9"/>
  <c r="AT1504" i="9"/>
  <c r="BB1503" i="9"/>
  <c r="BA1503" i="9"/>
  <c r="AV1503" i="9"/>
  <c r="AU1503" i="9"/>
  <c r="AT1503" i="9"/>
  <c r="BB1502" i="9"/>
  <c r="BA1502" i="9"/>
  <c r="AV1502" i="9"/>
  <c r="AU1502" i="9"/>
  <c r="AT1502" i="9"/>
  <c r="BB1501" i="9"/>
  <c r="BA1501" i="9"/>
  <c r="AV1501" i="9"/>
  <c r="AU1501" i="9"/>
  <c r="AT1501" i="9"/>
  <c r="BB1500" i="9"/>
  <c r="BA1500" i="9"/>
  <c r="AV1500" i="9"/>
  <c r="AU1500" i="9"/>
  <c r="AT1500" i="9"/>
  <c r="BB1499" i="9"/>
  <c r="BA1499" i="9"/>
  <c r="AV1499" i="9"/>
  <c r="AU1499" i="9"/>
  <c r="AT1499" i="9"/>
  <c r="BB1498" i="9"/>
  <c r="BA1498" i="9"/>
  <c r="AV1498" i="9"/>
  <c r="AU1498" i="9"/>
  <c r="AT1498" i="9"/>
  <c r="BB1497" i="9"/>
  <c r="BA1497" i="9"/>
  <c r="AV1497" i="9"/>
  <c r="AU1497" i="9"/>
  <c r="AT1497" i="9"/>
  <c r="BB1496" i="9"/>
  <c r="BA1496" i="9"/>
  <c r="AV1496" i="9"/>
  <c r="AU1496" i="9"/>
  <c r="AT1496" i="9"/>
  <c r="BB1495" i="9"/>
  <c r="BA1495" i="9"/>
  <c r="AV1495" i="9"/>
  <c r="AU1495" i="9"/>
  <c r="AT1495" i="9"/>
  <c r="BB1494" i="9"/>
  <c r="BA1494" i="9"/>
  <c r="AV1494" i="9"/>
  <c r="AU1494" i="9"/>
  <c r="AT1494" i="9"/>
  <c r="BB1493" i="9"/>
  <c r="BA1493" i="9"/>
  <c r="AV1493" i="9"/>
  <c r="AU1493" i="9"/>
  <c r="AT1493" i="9"/>
  <c r="BB1492" i="9"/>
  <c r="BA1492" i="9"/>
  <c r="AV1492" i="9"/>
  <c r="AU1492" i="9"/>
  <c r="AT1492" i="9"/>
  <c r="BB1491" i="9"/>
  <c r="BA1491" i="9"/>
  <c r="AV1491" i="9"/>
  <c r="AU1491" i="9"/>
  <c r="AT1491" i="9"/>
  <c r="BB1490" i="9"/>
  <c r="BA1490" i="9"/>
  <c r="AV1490" i="9"/>
  <c r="AU1490" i="9"/>
  <c r="AT1490" i="9"/>
  <c r="BB1489" i="9"/>
  <c r="BA1489" i="9"/>
  <c r="AV1489" i="9"/>
  <c r="AU1489" i="9"/>
  <c r="AT1489" i="9"/>
  <c r="BB1488" i="9"/>
  <c r="BA1488" i="9"/>
  <c r="AV1488" i="9"/>
  <c r="AU1488" i="9"/>
  <c r="AT1488" i="9"/>
  <c r="BB1487" i="9"/>
  <c r="BA1487" i="9"/>
  <c r="AV1487" i="9"/>
  <c r="AU1487" i="9"/>
  <c r="AT1487" i="9"/>
  <c r="BB1486" i="9"/>
  <c r="BA1486" i="9"/>
  <c r="AV1486" i="9"/>
  <c r="AU1486" i="9"/>
  <c r="AT1486" i="9"/>
  <c r="BB1485" i="9"/>
  <c r="BA1485" i="9"/>
  <c r="AV1485" i="9"/>
  <c r="AU1485" i="9"/>
  <c r="AT1485" i="9"/>
  <c r="BB1484" i="9"/>
  <c r="BA1484" i="9"/>
  <c r="AV1484" i="9"/>
  <c r="AU1484" i="9"/>
  <c r="AT1484" i="9"/>
  <c r="BB1483" i="9"/>
  <c r="BA1483" i="9"/>
  <c r="AV1483" i="9"/>
  <c r="AU1483" i="9"/>
  <c r="AT1483" i="9"/>
  <c r="BB1482" i="9"/>
  <c r="BA1482" i="9"/>
  <c r="AV1482" i="9"/>
  <c r="AU1482" i="9"/>
  <c r="AT1482" i="9"/>
  <c r="BB1481" i="9"/>
  <c r="BA1481" i="9"/>
  <c r="AV1481" i="9"/>
  <c r="AU1481" i="9"/>
  <c r="AT1481" i="9"/>
  <c r="BB1480" i="9"/>
  <c r="BA1480" i="9"/>
  <c r="AV1480" i="9"/>
  <c r="AU1480" i="9"/>
  <c r="AT1480" i="9"/>
  <c r="BB1479" i="9"/>
  <c r="BA1479" i="9"/>
  <c r="AV1479" i="9"/>
  <c r="AU1479" i="9"/>
  <c r="AT1479" i="9"/>
  <c r="BB1478" i="9"/>
  <c r="BA1478" i="9"/>
  <c r="AV1478" i="9"/>
  <c r="AU1478" i="9"/>
  <c r="AT1478" i="9"/>
  <c r="BB1477" i="9"/>
  <c r="BA1477" i="9"/>
  <c r="AV1477" i="9"/>
  <c r="AU1477" i="9"/>
  <c r="AT1477" i="9"/>
  <c r="BB1476" i="9"/>
  <c r="BA1476" i="9"/>
  <c r="AV1476" i="9"/>
  <c r="AU1476" i="9"/>
  <c r="AT1476" i="9"/>
  <c r="BB1475" i="9"/>
  <c r="BA1475" i="9"/>
  <c r="AV1475" i="9"/>
  <c r="AU1475" i="9"/>
  <c r="AT1475" i="9"/>
  <c r="BB1474" i="9"/>
  <c r="BA1474" i="9"/>
  <c r="AV1474" i="9"/>
  <c r="AU1474" i="9"/>
  <c r="AT1474" i="9"/>
  <c r="BB1473" i="9"/>
  <c r="BA1473" i="9"/>
  <c r="AV1473" i="9"/>
  <c r="AU1473" i="9"/>
  <c r="AT1473" i="9"/>
  <c r="BB1472" i="9"/>
  <c r="BA1472" i="9"/>
  <c r="AV1472" i="9"/>
  <c r="AU1472" i="9"/>
  <c r="AT1472" i="9"/>
  <c r="BB1471" i="9"/>
  <c r="BA1471" i="9"/>
  <c r="AV1471" i="9"/>
  <c r="AU1471" i="9"/>
  <c r="AT1471" i="9"/>
  <c r="BB1470" i="9"/>
  <c r="BA1470" i="9"/>
  <c r="AV1470" i="9"/>
  <c r="AU1470" i="9"/>
  <c r="AT1470" i="9"/>
  <c r="BB1469" i="9"/>
  <c r="BA1469" i="9"/>
  <c r="AV1469" i="9"/>
  <c r="AU1469" i="9"/>
  <c r="AT1469" i="9"/>
  <c r="BB1468" i="9"/>
  <c r="BA1468" i="9"/>
  <c r="AV1468" i="9"/>
  <c r="AU1468" i="9"/>
  <c r="AT1468" i="9"/>
  <c r="BB1467" i="9"/>
  <c r="BA1467" i="9"/>
  <c r="AV1467" i="9"/>
  <c r="AU1467" i="9"/>
  <c r="AT1467" i="9"/>
  <c r="BB1466" i="9"/>
  <c r="BA1466" i="9"/>
  <c r="AV1466" i="9"/>
  <c r="AU1466" i="9"/>
  <c r="AT1466" i="9"/>
  <c r="BB1465" i="9"/>
  <c r="BA1465" i="9"/>
  <c r="AV1465" i="9"/>
  <c r="AU1465" i="9"/>
  <c r="AT1465" i="9"/>
  <c r="BB1464" i="9"/>
  <c r="BA1464" i="9"/>
  <c r="AV1464" i="9"/>
  <c r="AU1464" i="9"/>
  <c r="AT1464" i="9"/>
  <c r="BB1463" i="9"/>
  <c r="BA1463" i="9"/>
  <c r="AV1463" i="9"/>
  <c r="AU1463" i="9"/>
  <c r="AT1463" i="9"/>
  <c r="BB1462" i="9"/>
  <c r="BA1462" i="9"/>
  <c r="AV1462" i="9"/>
  <c r="AU1462" i="9"/>
  <c r="AT1462" i="9"/>
  <c r="BB1461" i="9"/>
  <c r="BA1461" i="9"/>
  <c r="AV1461" i="9"/>
  <c r="AU1461" i="9"/>
  <c r="AT1461" i="9"/>
  <c r="BB1460" i="9"/>
  <c r="BA1460" i="9"/>
  <c r="AV1460" i="9"/>
  <c r="AU1460" i="9"/>
  <c r="AT1460" i="9"/>
  <c r="BB1459" i="9"/>
  <c r="BA1459" i="9"/>
  <c r="AV1459" i="9"/>
  <c r="AU1459" i="9"/>
  <c r="AT1459" i="9"/>
  <c r="BB1458" i="9"/>
  <c r="BA1458" i="9"/>
  <c r="AV1458" i="9"/>
  <c r="AU1458" i="9"/>
  <c r="AT1458" i="9"/>
  <c r="BB1457" i="9"/>
  <c r="BA1457" i="9"/>
  <c r="AV1457" i="9"/>
  <c r="AU1457" i="9"/>
  <c r="AT1457" i="9"/>
  <c r="BB1456" i="9"/>
  <c r="BA1456" i="9"/>
  <c r="AV1456" i="9"/>
  <c r="AU1456" i="9"/>
  <c r="AT1456" i="9"/>
  <c r="BB1455" i="9"/>
  <c r="BA1455" i="9"/>
  <c r="AV1455" i="9"/>
  <c r="AU1455" i="9"/>
  <c r="AT1455" i="9"/>
  <c r="BB1454" i="9"/>
  <c r="BA1454" i="9"/>
  <c r="AV1454" i="9"/>
  <c r="AU1454" i="9"/>
  <c r="AT1454" i="9"/>
  <c r="BB1453" i="9"/>
  <c r="BA1453" i="9"/>
  <c r="AV1453" i="9"/>
  <c r="AU1453" i="9"/>
  <c r="AT1453" i="9"/>
  <c r="BB1452" i="9"/>
  <c r="BA1452" i="9"/>
  <c r="AV1452" i="9"/>
  <c r="AU1452" i="9"/>
  <c r="AT1452" i="9"/>
  <c r="BB1451" i="9"/>
  <c r="BA1451" i="9"/>
  <c r="AV1451" i="9"/>
  <c r="AU1451" i="9"/>
  <c r="AT1451" i="9"/>
  <c r="BB1450" i="9"/>
  <c r="BA1450" i="9"/>
  <c r="AV1450" i="9"/>
  <c r="AU1450" i="9"/>
  <c r="AT1450" i="9"/>
  <c r="BB1449" i="9"/>
  <c r="BA1449" i="9"/>
  <c r="AV1449" i="9"/>
  <c r="AU1449" i="9"/>
  <c r="AT1449" i="9"/>
  <c r="BB1448" i="9"/>
  <c r="BA1448" i="9"/>
  <c r="AV1448" i="9"/>
  <c r="AU1448" i="9"/>
  <c r="AT1448" i="9"/>
  <c r="BB1447" i="9"/>
  <c r="BA1447" i="9"/>
  <c r="AV1447" i="9"/>
  <c r="AU1447" i="9"/>
  <c r="AT1447" i="9"/>
  <c r="BB1446" i="9"/>
  <c r="BA1446" i="9"/>
  <c r="AV1446" i="9"/>
  <c r="AU1446" i="9"/>
  <c r="AT1446" i="9"/>
  <c r="BB1445" i="9"/>
  <c r="BA1445" i="9"/>
  <c r="AV1445" i="9"/>
  <c r="AU1445" i="9"/>
  <c r="AT1445" i="9"/>
  <c r="BB1444" i="9"/>
  <c r="BA1444" i="9"/>
  <c r="AV1444" i="9"/>
  <c r="AU1444" i="9"/>
  <c r="AT1444" i="9"/>
  <c r="BB1443" i="9"/>
  <c r="BA1443" i="9"/>
  <c r="AV1443" i="9"/>
  <c r="AU1443" i="9"/>
  <c r="AT1443" i="9"/>
  <c r="BB1442" i="9"/>
  <c r="BA1442" i="9"/>
  <c r="AV1442" i="9"/>
  <c r="AU1442" i="9"/>
  <c r="AT1442" i="9"/>
  <c r="BB1441" i="9"/>
  <c r="BA1441" i="9"/>
  <c r="AV1441" i="9"/>
  <c r="AU1441" i="9"/>
  <c r="AT1441" i="9"/>
  <c r="BB1440" i="9"/>
  <c r="BA1440" i="9"/>
  <c r="AV1440" i="9"/>
  <c r="AU1440" i="9"/>
  <c r="AT1440" i="9"/>
  <c r="BB1439" i="9"/>
  <c r="BA1439" i="9"/>
  <c r="AV1439" i="9"/>
  <c r="AU1439" i="9"/>
  <c r="AT1439" i="9"/>
  <c r="BB1438" i="9"/>
  <c r="BA1438" i="9"/>
  <c r="AV1438" i="9"/>
  <c r="AU1438" i="9"/>
  <c r="AT1438" i="9"/>
  <c r="BB1437" i="9"/>
  <c r="BA1437" i="9"/>
  <c r="AV1437" i="9"/>
  <c r="AU1437" i="9"/>
  <c r="AT1437" i="9"/>
  <c r="BB1436" i="9"/>
  <c r="BA1436" i="9"/>
  <c r="AV1436" i="9"/>
  <c r="AU1436" i="9"/>
  <c r="AT1436" i="9"/>
  <c r="BB1435" i="9"/>
  <c r="BA1435" i="9"/>
  <c r="AV1435" i="9"/>
  <c r="AU1435" i="9"/>
  <c r="AT1435" i="9"/>
  <c r="BB1434" i="9"/>
  <c r="BA1434" i="9"/>
  <c r="AV1434" i="9"/>
  <c r="AU1434" i="9"/>
  <c r="AT1434" i="9"/>
  <c r="BB1433" i="9"/>
  <c r="BA1433" i="9"/>
  <c r="AV1433" i="9"/>
  <c r="AU1433" i="9"/>
  <c r="AT1433" i="9"/>
  <c r="BB1432" i="9"/>
  <c r="BA1432" i="9"/>
  <c r="AV1432" i="9"/>
  <c r="AU1432" i="9"/>
  <c r="AT1432" i="9"/>
  <c r="BB1431" i="9"/>
  <c r="BA1431" i="9"/>
  <c r="AV1431" i="9"/>
  <c r="AU1431" i="9"/>
  <c r="AT1431" i="9"/>
  <c r="BB1430" i="9"/>
  <c r="BA1430" i="9"/>
  <c r="AV1430" i="9"/>
  <c r="AU1430" i="9"/>
  <c r="AT1430" i="9"/>
  <c r="BB1429" i="9"/>
  <c r="BA1429" i="9"/>
  <c r="AV1429" i="9"/>
  <c r="AU1429" i="9"/>
  <c r="AT1429" i="9"/>
  <c r="BB1428" i="9"/>
  <c r="BA1428" i="9"/>
  <c r="AV1428" i="9"/>
  <c r="AU1428" i="9"/>
  <c r="AT1428" i="9"/>
  <c r="BB1427" i="9"/>
  <c r="BA1427" i="9"/>
  <c r="AV1427" i="9"/>
  <c r="AU1427" i="9"/>
  <c r="AT1427" i="9"/>
  <c r="BB1426" i="9"/>
  <c r="BA1426" i="9"/>
  <c r="AV1426" i="9"/>
  <c r="AU1426" i="9"/>
  <c r="AT1426" i="9"/>
  <c r="BB1425" i="9"/>
  <c r="BA1425" i="9"/>
  <c r="AV1425" i="9"/>
  <c r="AU1425" i="9"/>
  <c r="AT1425" i="9"/>
  <c r="BB1424" i="9"/>
  <c r="BA1424" i="9"/>
  <c r="AV1424" i="9"/>
  <c r="AU1424" i="9"/>
  <c r="AT1424" i="9"/>
  <c r="BB1423" i="9"/>
  <c r="BA1423" i="9"/>
  <c r="AV1423" i="9"/>
  <c r="AU1423" i="9"/>
  <c r="AT1423" i="9"/>
  <c r="BB1422" i="9"/>
  <c r="BA1422" i="9"/>
  <c r="AV1422" i="9"/>
  <c r="AU1422" i="9"/>
  <c r="AT1422" i="9"/>
  <c r="BB1421" i="9"/>
  <c r="BA1421" i="9"/>
  <c r="AV1421" i="9"/>
  <c r="AU1421" i="9"/>
  <c r="AT1421" i="9"/>
  <c r="BB1420" i="9"/>
  <c r="BA1420" i="9"/>
  <c r="AV1420" i="9"/>
  <c r="AU1420" i="9"/>
  <c r="AT1420" i="9"/>
  <c r="BB1419" i="9"/>
  <c r="BA1419" i="9"/>
  <c r="AV1419" i="9"/>
  <c r="AU1419" i="9"/>
  <c r="AT1419" i="9"/>
  <c r="BB1418" i="9"/>
  <c r="BA1418" i="9"/>
  <c r="AV1418" i="9"/>
  <c r="AU1418" i="9"/>
  <c r="AT1418" i="9"/>
  <c r="BB1417" i="9"/>
  <c r="BA1417" i="9"/>
  <c r="AV1417" i="9"/>
  <c r="AU1417" i="9"/>
  <c r="AT1417" i="9"/>
  <c r="BB1416" i="9"/>
  <c r="BA1416" i="9"/>
  <c r="AV1416" i="9"/>
  <c r="AU1416" i="9"/>
  <c r="AT1416" i="9"/>
  <c r="BB1415" i="9"/>
  <c r="BA1415" i="9"/>
  <c r="AV1415" i="9"/>
  <c r="AU1415" i="9"/>
  <c r="AT1415" i="9"/>
  <c r="BB1414" i="9"/>
  <c r="BA1414" i="9"/>
  <c r="AV1414" i="9"/>
  <c r="AU1414" i="9"/>
  <c r="AT1414" i="9"/>
  <c r="BB1413" i="9"/>
  <c r="BA1413" i="9"/>
  <c r="AV1413" i="9"/>
  <c r="AU1413" i="9"/>
  <c r="AT1413" i="9"/>
  <c r="BB1412" i="9"/>
  <c r="BA1412" i="9"/>
  <c r="AV1412" i="9"/>
  <c r="AU1412" i="9"/>
  <c r="AT1412" i="9"/>
  <c r="BB1411" i="9"/>
  <c r="BA1411" i="9"/>
  <c r="AV1411" i="9"/>
  <c r="AU1411" i="9"/>
  <c r="AT1411" i="9"/>
  <c r="BB1410" i="9"/>
  <c r="BA1410" i="9"/>
  <c r="AV1410" i="9"/>
  <c r="AU1410" i="9"/>
  <c r="AT1410" i="9"/>
  <c r="BB1409" i="9"/>
  <c r="BA1409" i="9"/>
  <c r="AV1409" i="9"/>
  <c r="AU1409" i="9"/>
  <c r="AT1409" i="9"/>
  <c r="BB1408" i="9"/>
  <c r="BA1408" i="9"/>
  <c r="AV1408" i="9"/>
  <c r="AU1408" i="9"/>
  <c r="AT1408" i="9"/>
  <c r="BB1407" i="9"/>
  <c r="BA1407" i="9"/>
  <c r="AV1407" i="9"/>
  <c r="AU1407" i="9"/>
  <c r="AT1407" i="9"/>
  <c r="BB1406" i="9"/>
  <c r="BA1406" i="9"/>
  <c r="AV1406" i="9"/>
  <c r="AU1406" i="9"/>
  <c r="AT1406" i="9"/>
  <c r="BB1405" i="9"/>
  <c r="BA1405" i="9"/>
  <c r="AV1405" i="9"/>
  <c r="AU1405" i="9"/>
  <c r="AT1405" i="9"/>
  <c r="BB1404" i="9"/>
  <c r="BA1404" i="9"/>
  <c r="AV1404" i="9"/>
  <c r="AU1404" i="9"/>
  <c r="AT1404" i="9"/>
  <c r="BB1403" i="9"/>
  <c r="BA1403" i="9"/>
  <c r="AV1403" i="9"/>
  <c r="AU1403" i="9"/>
  <c r="AT1403" i="9"/>
  <c r="BB1402" i="9"/>
  <c r="BA1402" i="9"/>
  <c r="AV1402" i="9"/>
  <c r="AU1402" i="9"/>
  <c r="AT1402" i="9"/>
  <c r="BB1401" i="9"/>
  <c r="BA1401" i="9"/>
  <c r="AV1401" i="9"/>
  <c r="AU1401" i="9"/>
  <c r="AT1401" i="9"/>
  <c r="BB1400" i="9"/>
  <c r="BA1400" i="9"/>
  <c r="AV1400" i="9"/>
  <c r="AU1400" i="9"/>
  <c r="AT1400" i="9"/>
  <c r="BB1399" i="9"/>
  <c r="BA1399" i="9"/>
  <c r="AV1399" i="9"/>
  <c r="AU1399" i="9"/>
  <c r="AT1399" i="9"/>
  <c r="BB1398" i="9"/>
  <c r="BA1398" i="9"/>
  <c r="AV1398" i="9"/>
  <c r="AU1398" i="9"/>
  <c r="AT1398" i="9"/>
  <c r="BB1397" i="9"/>
  <c r="BA1397" i="9"/>
  <c r="AV1397" i="9"/>
  <c r="AU1397" i="9"/>
  <c r="AT1397" i="9"/>
  <c r="BB1396" i="9"/>
  <c r="BA1396" i="9"/>
  <c r="AV1396" i="9"/>
  <c r="AU1396" i="9"/>
  <c r="AT1396" i="9"/>
  <c r="BB1395" i="9"/>
  <c r="BA1395" i="9"/>
  <c r="AV1395" i="9"/>
  <c r="AU1395" i="9"/>
  <c r="AT1395" i="9"/>
  <c r="BB1394" i="9"/>
  <c r="BA1394" i="9"/>
  <c r="AV1394" i="9"/>
  <c r="AU1394" i="9"/>
  <c r="AT1394" i="9"/>
  <c r="BB1393" i="9"/>
  <c r="BA1393" i="9"/>
  <c r="AV1393" i="9"/>
  <c r="AU1393" i="9"/>
  <c r="AT1393" i="9"/>
  <c r="BB1392" i="9"/>
  <c r="BA1392" i="9"/>
  <c r="AV1392" i="9"/>
  <c r="AU1392" i="9"/>
  <c r="AT1392" i="9"/>
  <c r="BB1391" i="9"/>
  <c r="BA1391" i="9"/>
  <c r="AV1391" i="9"/>
  <c r="AU1391" i="9"/>
  <c r="AT1391" i="9"/>
  <c r="BB1390" i="9"/>
  <c r="BA1390" i="9"/>
  <c r="AV1390" i="9"/>
  <c r="AU1390" i="9"/>
  <c r="AT1390" i="9"/>
  <c r="BB1389" i="9"/>
  <c r="BA1389" i="9"/>
  <c r="AV1389" i="9"/>
  <c r="AU1389" i="9"/>
  <c r="AT1389" i="9"/>
  <c r="BB1388" i="9"/>
  <c r="BA1388" i="9"/>
  <c r="AV1388" i="9"/>
  <c r="AU1388" i="9"/>
  <c r="AT1388" i="9"/>
  <c r="BB1387" i="9"/>
  <c r="BA1387" i="9"/>
  <c r="AV1387" i="9"/>
  <c r="AU1387" i="9"/>
  <c r="AT1387" i="9"/>
  <c r="BB1386" i="9"/>
  <c r="BA1386" i="9"/>
  <c r="AV1386" i="9"/>
  <c r="AU1386" i="9"/>
  <c r="AT1386" i="9"/>
  <c r="BB1385" i="9"/>
  <c r="BA1385" i="9"/>
  <c r="AV1385" i="9"/>
  <c r="AU1385" i="9"/>
  <c r="AT1385" i="9"/>
  <c r="BB1384" i="9"/>
  <c r="BA1384" i="9"/>
  <c r="AV1384" i="9"/>
  <c r="AU1384" i="9"/>
  <c r="AT1384" i="9"/>
  <c r="BB1383" i="9"/>
  <c r="BA1383" i="9"/>
  <c r="AV1383" i="9"/>
  <c r="AU1383" i="9"/>
  <c r="AT1383" i="9"/>
  <c r="BB1382" i="9"/>
  <c r="BA1382" i="9"/>
  <c r="AV1382" i="9"/>
  <c r="AU1382" i="9"/>
  <c r="AT1382" i="9"/>
  <c r="BB1381" i="9"/>
  <c r="BA1381" i="9"/>
  <c r="AV1381" i="9"/>
  <c r="AU1381" i="9"/>
  <c r="AT1381" i="9"/>
  <c r="BB1380" i="9"/>
  <c r="BA1380" i="9"/>
  <c r="AV1380" i="9"/>
  <c r="AU1380" i="9"/>
  <c r="AT1380" i="9"/>
  <c r="BB1379" i="9"/>
  <c r="BA1379" i="9"/>
  <c r="AV1379" i="9"/>
  <c r="AU1379" i="9"/>
  <c r="AT1379" i="9"/>
  <c r="BB1378" i="9"/>
  <c r="BA1378" i="9"/>
  <c r="AV1378" i="9"/>
  <c r="AU1378" i="9"/>
  <c r="AT1378" i="9"/>
  <c r="BB1377" i="9"/>
  <c r="BA1377" i="9"/>
  <c r="AV1377" i="9"/>
  <c r="AU1377" i="9"/>
  <c r="AT1377" i="9"/>
  <c r="BB1376" i="9"/>
  <c r="BA1376" i="9"/>
  <c r="AV1376" i="9"/>
  <c r="AU1376" i="9"/>
  <c r="AT1376" i="9"/>
  <c r="BB1375" i="9"/>
  <c r="BA1375" i="9"/>
  <c r="AV1375" i="9"/>
  <c r="AU1375" i="9"/>
  <c r="AT1375" i="9"/>
  <c r="BB1374" i="9"/>
  <c r="BA1374" i="9"/>
  <c r="AV1374" i="9"/>
  <c r="AU1374" i="9"/>
  <c r="AT1374" i="9"/>
  <c r="BB1373" i="9"/>
  <c r="BA1373" i="9"/>
  <c r="AV1373" i="9"/>
  <c r="AU1373" i="9"/>
  <c r="AT1373" i="9"/>
  <c r="BB1372" i="9"/>
  <c r="BA1372" i="9"/>
  <c r="AV1372" i="9"/>
  <c r="AU1372" i="9"/>
  <c r="AT1372" i="9"/>
  <c r="BB1371" i="9"/>
  <c r="BA1371" i="9"/>
  <c r="AV1371" i="9"/>
  <c r="AU1371" i="9"/>
  <c r="AT1371" i="9"/>
  <c r="BB1370" i="9"/>
  <c r="BA1370" i="9"/>
  <c r="AV1370" i="9"/>
  <c r="AU1370" i="9"/>
  <c r="AT1370" i="9"/>
  <c r="BB1369" i="9"/>
  <c r="BA1369" i="9"/>
  <c r="AV1369" i="9"/>
  <c r="AU1369" i="9"/>
  <c r="AT1369" i="9"/>
  <c r="BB1368" i="9"/>
  <c r="BA1368" i="9"/>
  <c r="AV1368" i="9"/>
  <c r="AU1368" i="9"/>
  <c r="AT1368" i="9"/>
  <c r="BB1367" i="9"/>
  <c r="BA1367" i="9"/>
  <c r="AV1367" i="9"/>
  <c r="AU1367" i="9"/>
  <c r="AT1367" i="9"/>
  <c r="BB1366" i="9"/>
  <c r="BA1366" i="9"/>
  <c r="AV1366" i="9"/>
  <c r="AU1366" i="9"/>
  <c r="AT1366" i="9"/>
  <c r="BB1365" i="9"/>
  <c r="BA1365" i="9"/>
  <c r="AV1365" i="9"/>
  <c r="AU1365" i="9"/>
  <c r="AT1365" i="9"/>
  <c r="BB1364" i="9"/>
  <c r="BA1364" i="9"/>
  <c r="AV1364" i="9"/>
  <c r="AU1364" i="9"/>
  <c r="AT1364" i="9"/>
  <c r="BB1363" i="9"/>
  <c r="BA1363" i="9"/>
  <c r="AV1363" i="9"/>
  <c r="AU1363" i="9"/>
  <c r="AT1363" i="9"/>
  <c r="BB1362" i="9"/>
  <c r="BA1362" i="9"/>
  <c r="AV1362" i="9"/>
  <c r="AU1362" i="9"/>
  <c r="AT1362" i="9"/>
  <c r="BB1361" i="9"/>
  <c r="BA1361" i="9"/>
  <c r="AV1361" i="9"/>
  <c r="AU1361" i="9"/>
  <c r="AT1361" i="9"/>
  <c r="BB1360" i="9"/>
  <c r="BA1360" i="9"/>
  <c r="AV1360" i="9"/>
  <c r="AU1360" i="9"/>
  <c r="AT1360" i="9"/>
  <c r="BB1359" i="9"/>
  <c r="BA1359" i="9"/>
  <c r="AV1359" i="9"/>
  <c r="AU1359" i="9"/>
  <c r="AT1359" i="9"/>
  <c r="BB1358" i="9"/>
  <c r="BA1358" i="9"/>
  <c r="AV1358" i="9"/>
  <c r="AU1358" i="9"/>
  <c r="AT1358" i="9"/>
  <c r="BB1357" i="9"/>
  <c r="BA1357" i="9"/>
  <c r="AV1357" i="9"/>
  <c r="AU1357" i="9"/>
  <c r="AT1357" i="9"/>
  <c r="BB1356" i="9"/>
  <c r="BA1356" i="9"/>
  <c r="AV1356" i="9"/>
  <c r="AU1356" i="9"/>
  <c r="AT1356" i="9"/>
  <c r="BB1355" i="9"/>
  <c r="BA1355" i="9"/>
  <c r="AV1355" i="9"/>
  <c r="AU1355" i="9"/>
  <c r="AT1355" i="9"/>
  <c r="BB1354" i="9"/>
  <c r="BA1354" i="9"/>
  <c r="AV1354" i="9"/>
  <c r="AU1354" i="9"/>
  <c r="AT1354" i="9"/>
  <c r="BB1353" i="9"/>
  <c r="BA1353" i="9"/>
  <c r="AV1353" i="9"/>
  <c r="AU1353" i="9"/>
  <c r="AT1353" i="9"/>
  <c r="BB1352" i="9"/>
  <c r="BA1352" i="9"/>
  <c r="AV1352" i="9"/>
  <c r="AU1352" i="9"/>
  <c r="AT1352" i="9"/>
  <c r="BB1351" i="9"/>
  <c r="BA1351" i="9"/>
  <c r="AV1351" i="9"/>
  <c r="AU1351" i="9"/>
  <c r="AT1351" i="9"/>
  <c r="BB1350" i="9"/>
  <c r="BA1350" i="9"/>
  <c r="AV1350" i="9"/>
  <c r="AU1350" i="9"/>
  <c r="AT1350" i="9"/>
  <c r="BB1349" i="9"/>
  <c r="BA1349" i="9"/>
  <c r="AV1349" i="9"/>
  <c r="AU1349" i="9"/>
  <c r="AT1349" i="9"/>
  <c r="BB1348" i="9"/>
  <c r="BA1348" i="9"/>
  <c r="AV1348" i="9"/>
  <c r="AU1348" i="9"/>
  <c r="AT1348" i="9"/>
  <c r="BB1347" i="9"/>
  <c r="BA1347" i="9"/>
  <c r="AV1347" i="9"/>
  <c r="AU1347" i="9"/>
  <c r="AT1347" i="9"/>
  <c r="BB1346" i="9"/>
  <c r="BA1346" i="9"/>
  <c r="AV1346" i="9"/>
  <c r="AU1346" i="9"/>
  <c r="AT1346" i="9"/>
  <c r="BB1345" i="9"/>
  <c r="BA1345" i="9"/>
  <c r="AV1345" i="9"/>
  <c r="AU1345" i="9"/>
  <c r="AT1345" i="9"/>
  <c r="BB1344" i="9"/>
  <c r="BA1344" i="9"/>
  <c r="AV1344" i="9"/>
  <c r="AU1344" i="9"/>
  <c r="AT1344" i="9"/>
  <c r="BB1343" i="9"/>
  <c r="BA1343" i="9"/>
  <c r="AV1343" i="9"/>
  <c r="AU1343" i="9"/>
  <c r="AT1343" i="9"/>
  <c r="BB1342" i="9"/>
  <c r="BA1342" i="9"/>
  <c r="AV1342" i="9"/>
  <c r="AU1342" i="9"/>
  <c r="AT1342" i="9"/>
  <c r="BB1341" i="9"/>
  <c r="BA1341" i="9"/>
  <c r="AV1341" i="9"/>
  <c r="AU1341" i="9"/>
  <c r="AT1341" i="9"/>
  <c r="BB1340" i="9"/>
  <c r="BA1340" i="9"/>
  <c r="AV1340" i="9"/>
  <c r="AU1340" i="9"/>
  <c r="AT1340" i="9"/>
  <c r="BB1339" i="9"/>
  <c r="BA1339" i="9"/>
  <c r="AV1339" i="9"/>
  <c r="AU1339" i="9"/>
  <c r="AT1339" i="9"/>
  <c r="BB1338" i="9"/>
  <c r="BA1338" i="9"/>
  <c r="AV1338" i="9"/>
  <c r="AU1338" i="9"/>
  <c r="AT1338" i="9"/>
  <c r="BB1337" i="9"/>
  <c r="BA1337" i="9"/>
  <c r="AV1337" i="9"/>
  <c r="AU1337" i="9"/>
  <c r="AT1337" i="9"/>
  <c r="BB1336" i="9"/>
  <c r="BA1336" i="9"/>
  <c r="AV1336" i="9"/>
  <c r="AU1336" i="9"/>
  <c r="AT1336" i="9"/>
  <c r="BB1335" i="9"/>
  <c r="BA1335" i="9"/>
  <c r="AV1335" i="9"/>
  <c r="AU1335" i="9"/>
  <c r="AT1335" i="9"/>
  <c r="BB1334" i="9"/>
  <c r="BA1334" i="9"/>
  <c r="AV1334" i="9"/>
  <c r="AU1334" i="9"/>
  <c r="AT1334" i="9"/>
  <c r="BB1333" i="9"/>
  <c r="BA1333" i="9"/>
  <c r="AV1333" i="9"/>
  <c r="AU1333" i="9"/>
  <c r="AT1333" i="9"/>
  <c r="BB1332" i="9"/>
  <c r="BA1332" i="9"/>
  <c r="AV1332" i="9"/>
  <c r="AU1332" i="9"/>
  <c r="AT1332" i="9"/>
  <c r="BB1331" i="9"/>
  <c r="BA1331" i="9"/>
  <c r="AV1331" i="9"/>
  <c r="AU1331" i="9"/>
  <c r="AT1331" i="9"/>
  <c r="BB1330" i="9"/>
  <c r="BA1330" i="9"/>
  <c r="AV1330" i="9"/>
  <c r="AU1330" i="9"/>
  <c r="AT1330" i="9"/>
  <c r="BB1329" i="9"/>
  <c r="BA1329" i="9"/>
  <c r="AV1329" i="9"/>
  <c r="AU1329" i="9"/>
  <c r="AT1329" i="9"/>
  <c r="BB1328" i="9"/>
  <c r="BA1328" i="9"/>
  <c r="AV1328" i="9"/>
  <c r="AU1328" i="9"/>
  <c r="AT1328" i="9"/>
  <c r="BB1327" i="9"/>
  <c r="BA1327" i="9"/>
  <c r="AV1327" i="9"/>
  <c r="AU1327" i="9"/>
  <c r="AT1327" i="9"/>
  <c r="BB1326" i="9"/>
  <c r="BA1326" i="9"/>
  <c r="AV1326" i="9"/>
  <c r="AU1326" i="9"/>
  <c r="AT1326" i="9"/>
  <c r="BB1325" i="9"/>
  <c r="BA1325" i="9"/>
  <c r="AV1325" i="9"/>
  <c r="AU1325" i="9"/>
  <c r="AT1325" i="9"/>
  <c r="BB1324" i="9"/>
  <c r="BA1324" i="9"/>
  <c r="AV1324" i="9"/>
  <c r="AU1324" i="9"/>
  <c r="AT1324" i="9"/>
  <c r="BB1323" i="9"/>
  <c r="BA1323" i="9"/>
  <c r="AV1323" i="9"/>
  <c r="AU1323" i="9"/>
  <c r="AT1323" i="9"/>
  <c r="BB1322" i="9"/>
  <c r="BA1322" i="9"/>
  <c r="AV1322" i="9"/>
  <c r="AU1322" i="9"/>
  <c r="AT1322" i="9"/>
  <c r="BB1321" i="9"/>
  <c r="BA1321" i="9"/>
  <c r="AV1321" i="9"/>
  <c r="AU1321" i="9"/>
  <c r="AT1321" i="9"/>
  <c r="BB1320" i="9"/>
  <c r="BA1320" i="9"/>
  <c r="AV1320" i="9"/>
  <c r="AU1320" i="9"/>
  <c r="AT1320" i="9"/>
  <c r="BB1319" i="9"/>
  <c r="BA1319" i="9"/>
  <c r="AV1319" i="9"/>
  <c r="AU1319" i="9"/>
  <c r="AT1319" i="9"/>
  <c r="BB1318" i="9"/>
  <c r="BA1318" i="9"/>
  <c r="AV1318" i="9"/>
  <c r="AU1318" i="9"/>
  <c r="AT1318" i="9"/>
  <c r="BB1317" i="9"/>
  <c r="BA1317" i="9"/>
  <c r="AV1317" i="9"/>
  <c r="AU1317" i="9"/>
  <c r="AT1317" i="9"/>
  <c r="BB1316" i="9"/>
  <c r="BA1316" i="9"/>
  <c r="AV1316" i="9"/>
  <c r="AU1316" i="9"/>
  <c r="AT1316" i="9"/>
  <c r="BB1315" i="9"/>
  <c r="BA1315" i="9"/>
  <c r="AV1315" i="9"/>
  <c r="AU1315" i="9"/>
  <c r="AT1315" i="9"/>
  <c r="BB1314" i="9"/>
  <c r="BA1314" i="9"/>
  <c r="AV1314" i="9"/>
  <c r="AU1314" i="9"/>
  <c r="AT1314" i="9"/>
  <c r="BB1313" i="9"/>
  <c r="BA1313" i="9"/>
  <c r="AV1313" i="9"/>
  <c r="AU1313" i="9"/>
  <c r="AT1313" i="9"/>
  <c r="BB1312" i="9"/>
  <c r="BA1312" i="9"/>
  <c r="AV1312" i="9"/>
  <c r="AU1312" i="9"/>
  <c r="AT1312" i="9"/>
  <c r="BB1311" i="9"/>
  <c r="BA1311" i="9"/>
  <c r="AV1311" i="9"/>
  <c r="AU1311" i="9"/>
  <c r="AT1311" i="9"/>
  <c r="BB1310" i="9"/>
  <c r="BA1310" i="9"/>
  <c r="AV1310" i="9"/>
  <c r="AU1310" i="9"/>
  <c r="AT1310" i="9"/>
  <c r="BB1309" i="9"/>
  <c r="BA1309" i="9"/>
  <c r="AV1309" i="9"/>
  <c r="AU1309" i="9"/>
  <c r="AT1309" i="9"/>
  <c r="BB1308" i="9"/>
  <c r="BA1308" i="9"/>
  <c r="AV1308" i="9"/>
  <c r="AU1308" i="9"/>
  <c r="AT1308" i="9"/>
  <c r="BB1307" i="9"/>
  <c r="BA1307" i="9"/>
  <c r="AV1307" i="9"/>
  <c r="AU1307" i="9"/>
  <c r="AT1307" i="9"/>
  <c r="BB1306" i="9"/>
  <c r="BA1306" i="9"/>
  <c r="AV1306" i="9"/>
  <c r="AU1306" i="9"/>
  <c r="AT1306" i="9"/>
  <c r="BB1305" i="9"/>
  <c r="BA1305" i="9"/>
  <c r="AV1305" i="9"/>
  <c r="AU1305" i="9"/>
  <c r="AT1305" i="9"/>
  <c r="BB1304" i="9"/>
  <c r="BA1304" i="9"/>
  <c r="AV1304" i="9"/>
  <c r="AU1304" i="9"/>
  <c r="AT1304" i="9"/>
  <c r="BB1303" i="9"/>
  <c r="BA1303" i="9"/>
  <c r="AV1303" i="9"/>
  <c r="AU1303" i="9"/>
  <c r="AT1303" i="9"/>
  <c r="BB1302" i="9"/>
  <c r="BA1302" i="9"/>
  <c r="AV1302" i="9"/>
  <c r="AU1302" i="9"/>
  <c r="AT1302" i="9"/>
  <c r="BB1301" i="9"/>
  <c r="BA1301" i="9"/>
  <c r="AV1301" i="9"/>
  <c r="AU1301" i="9"/>
  <c r="AT1301" i="9"/>
  <c r="BB1300" i="9"/>
  <c r="BA1300" i="9"/>
  <c r="AV1300" i="9"/>
  <c r="AU1300" i="9"/>
  <c r="AT1300" i="9"/>
  <c r="BB1299" i="9"/>
  <c r="BA1299" i="9"/>
  <c r="AV1299" i="9"/>
  <c r="AU1299" i="9"/>
  <c r="AT1299" i="9"/>
  <c r="BB1298" i="9"/>
  <c r="BA1298" i="9"/>
  <c r="AV1298" i="9"/>
  <c r="AU1298" i="9"/>
  <c r="AT1298" i="9"/>
  <c r="BB1297" i="9"/>
  <c r="BA1297" i="9"/>
  <c r="AV1297" i="9"/>
  <c r="AU1297" i="9"/>
  <c r="AT1297" i="9"/>
  <c r="BB1296" i="9"/>
  <c r="BA1296" i="9"/>
  <c r="AV1296" i="9"/>
  <c r="AU1296" i="9"/>
  <c r="AT1296" i="9"/>
  <c r="BB1295" i="9"/>
  <c r="BA1295" i="9"/>
  <c r="AV1295" i="9"/>
  <c r="AU1295" i="9"/>
  <c r="AT1295" i="9"/>
  <c r="BB1294" i="9"/>
  <c r="BA1294" i="9"/>
  <c r="AV1294" i="9"/>
  <c r="AU1294" i="9"/>
  <c r="AT1294" i="9"/>
  <c r="BB1293" i="9"/>
  <c r="BA1293" i="9"/>
  <c r="AV1293" i="9"/>
  <c r="AU1293" i="9"/>
  <c r="AT1293" i="9"/>
  <c r="BB1292" i="9"/>
  <c r="BA1292" i="9"/>
  <c r="AV1292" i="9"/>
  <c r="AU1292" i="9"/>
  <c r="AT1292" i="9"/>
  <c r="BB1291" i="9"/>
  <c r="BA1291" i="9"/>
  <c r="AV1291" i="9"/>
  <c r="AU1291" i="9"/>
  <c r="AT1291" i="9"/>
  <c r="BB1290" i="9"/>
  <c r="BA1290" i="9"/>
  <c r="AV1290" i="9"/>
  <c r="AU1290" i="9"/>
  <c r="AT1290" i="9"/>
  <c r="BB1289" i="9"/>
  <c r="BA1289" i="9"/>
  <c r="AV1289" i="9"/>
  <c r="AU1289" i="9"/>
  <c r="AT1289" i="9"/>
  <c r="BB1288" i="9"/>
  <c r="BA1288" i="9"/>
  <c r="AV1288" i="9"/>
  <c r="AU1288" i="9"/>
  <c r="AT1288" i="9"/>
  <c r="BB1287" i="9"/>
  <c r="BA1287" i="9"/>
  <c r="AV1287" i="9"/>
  <c r="AU1287" i="9"/>
  <c r="AT1287" i="9"/>
  <c r="BB1286" i="9"/>
  <c r="BA1286" i="9"/>
  <c r="AV1286" i="9"/>
  <c r="AU1286" i="9"/>
  <c r="AT1286" i="9"/>
  <c r="BB1285" i="9"/>
  <c r="BA1285" i="9"/>
  <c r="AV1285" i="9"/>
  <c r="AU1285" i="9"/>
  <c r="AT1285" i="9"/>
  <c r="BB1284" i="9"/>
  <c r="BA1284" i="9"/>
  <c r="AV1284" i="9"/>
  <c r="AU1284" i="9"/>
  <c r="AT1284" i="9"/>
  <c r="BB1283" i="9"/>
  <c r="BA1283" i="9"/>
  <c r="AV1283" i="9"/>
  <c r="AU1283" i="9"/>
  <c r="AT1283" i="9"/>
  <c r="BB1282" i="9"/>
  <c r="BA1282" i="9"/>
  <c r="AV1282" i="9"/>
  <c r="AU1282" i="9"/>
  <c r="AT1282" i="9"/>
  <c r="BB1281" i="9"/>
  <c r="BA1281" i="9"/>
  <c r="AV1281" i="9"/>
  <c r="AU1281" i="9"/>
  <c r="AT1281" i="9"/>
  <c r="BB1280" i="9"/>
  <c r="BA1280" i="9"/>
  <c r="AV1280" i="9"/>
  <c r="AU1280" i="9"/>
  <c r="AT1280" i="9"/>
  <c r="BB1279" i="9"/>
  <c r="BA1279" i="9"/>
  <c r="AV1279" i="9"/>
  <c r="AU1279" i="9"/>
  <c r="AT1279" i="9"/>
  <c r="BB1278" i="9"/>
  <c r="BA1278" i="9"/>
  <c r="AV1278" i="9"/>
  <c r="AU1278" i="9"/>
  <c r="AT1278" i="9"/>
  <c r="BB1277" i="9"/>
  <c r="BA1277" i="9"/>
  <c r="AV1277" i="9"/>
  <c r="AU1277" i="9"/>
  <c r="AT1277" i="9"/>
  <c r="BB1276" i="9"/>
  <c r="BA1276" i="9"/>
  <c r="AV1276" i="9"/>
  <c r="AU1276" i="9"/>
  <c r="AT1276" i="9"/>
  <c r="BB1275" i="9"/>
  <c r="BA1275" i="9"/>
  <c r="AV1275" i="9"/>
  <c r="AU1275" i="9"/>
  <c r="AT1275" i="9"/>
  <c r="BB1274" i="9"/>
  <c r="BA1274" i="9"/>
  <c r="AV1274" i="9"/>
  <c r="AU1274" i="9"/>
  <c r="AT1274" i="9"/>
  <c r="BB1273" i="9"/>
  <c r="BA1273" i="9"/>
  <c r="AV1273" i="9"/>
  <c r="AU1273" i="9"/>
  <c r="AT1273" i="9"/>
  <c r="BB1272" i="9"/>
  <c r="BA1272" i="9"/>
  <c r="AV1272" i="9"/>
  <c r="AU1272" i="9"/>
  <c r="AT1272" i="9"/>
  <c r="BB1271" i="9"/>
  <c r="BA1271" i="9"/>
  <c r="AV1271" i="9"/>
  <c r="AU1271" i="9"/>
  <c r="AT1271" i="9"/>
  <c r="BB1270" i="9"/>
  <c r="BA1270" i="9"/>
  <c r="AV1270" i="9"/>
  <c r="AU1270" i="9"/>
  <c r="AT1270" i="9"/>
  <c r="BB1269" i="9"/>
  <c r="BA1269" i="9"/>
  <c r="AV1269" i="9"/>
  <c r="AU1269" i="9"/>
  <c r="AT1269" i="9"/>
  <c r="BB1268" i="9"/>
  <c r="BA1268" i="9"/>
  <c r="AV1268" i="9"/>
  <c r="AU1268" i="9"/>
  <c r="AT1268" i="9"/>
  <c r="BB1267" i="9"/>
  <c r="BA1267" i="9"/>
  <c r="AV1267" i="9"/>
  <c r="AU1267" i="9"/>
  <c r="AT1267" i="9"/>
  <c r="BB1266" i="9"/>
  <c r="BA1266" i="9"/>
  <c r="AV1266" i="9"/>
  <c r="AU1266" i="9"/>
  <c r="AT1266" i="9"/>
  <c r="BB1265" i="9"/>
  <c r="BA1265" i="9"/>
  <c r="AV1265" i="9"/>
  <c r="AU1265" i="9"/>
  <c r="AT1265" i="9"/>
  <c r="BB1264" i="9"/>
  <c r="BA1264" i="9"/>
  <c r="AV1264" i="9"/>
  <c r="AU1264" i="9"/>
  <c r="AT1264" i="9"/>
  <c r="BB1263" i="9"/>
  <c r="BA1263" i="9"/>
  <c r="AV1263" i="9"/>
  <c r="AU1263" i="9"/>
  <c r="AT1263" i="9"/>
  <c r="BB1262" i="9"/>
  <c r="BA1262" i="9"/>
  <c r="AV1262" i="9"/>
  <c r="AU1262" i="9"/>
  <c r="AT1262" i="9"/>
  <c r="BB1261" i="9"/>
  <c r="BA1261" i="9"/>
  <c r="AV1261" i="9"/>
  <c r="AU1261" i="9"/>
  <c r="AT1261" i="9"/>
  <c r="BB1260" i="9"/>
  <c r="BA1260" i="9"/>
  <c r="AV1260" i="9"/>
  <c r="AU1260" i="9"/>
  <c r="AT1260" i="9"/>
  <c r="BB1259" i="9"/>
  <c r="BA1259" i="9"/>
  <c r="AV1259" i="9"/>
  <c r="AU1259" i="9"/>
  <c r="AT1259" i="9"/>
  <c r="BB1258" i="9"/>
  <c r="BA1258" i="9"/>
  <c r="AV1258" i="9"/>
  <c r="AU1258" i="9"/>
  <c r="AT1258" i="9"/>
  <c r="BB1257" i="9"/>
  <c r="BA1257" i="9"/>
  <c r="AV1257" i="9"/>
  <c r="AU1257" i="9"/>
  <c r="AT1257" i="9"/>
  <c r="BB1256" i="9"/>
  <c r="BA1256" i="9"/>
  <c r="AV1256" i="9"/>
  <c r="AU1256" i="9"/>
  <c r="AT1256" i="9"/>
  <c r="BB1255" i="9"/>
  <c r="BA1255" i="9"/>
  <c r="AV1255" i="9"/>
  <c r="AU1255" i="9"/>
  <c r="AT1255" i="9"/>
  <c r="BB1254" i="9"/>
  <c r="BA1254" i="9"/>
  <c r="AV1254" i="9"/>
  <c r="AU1254" i="9"/>
  <c r="AT1254" i="9"/>
  <c r="BB1253" i="9"/>
  <c r="BA1253" i="9"/>
  <c r="AV1253" i="9"/>
  <c r="AU1253" i="9"/>
  <c r="AT1253" i="9"/>
  <c r="BB1252" i="9"/>
  <c r="BA1252" i="9"/>
  <c r="AV1252" i="9"/>
  <c r="AU1252" i="9"/>
  <c r="AT1252" i="9"/>
  <c r="BB1251" i="9"/>
  <c r="BA1251" i="9"/>
  <c r="AV1251" i="9"/>
  <c r="AU1251" i="9"/>
  <c r="AT1251" i="9"/>
  <c r="BB1250" i="9"/>
  <c r="BA1250" i="9"/>
  <c r="AV1250" i="9"/>
  <c r="AU1250" i="9"/>
  <c r="AT1250" i="9"/>
  <c r="BB1249" i="9"/>
  <c r="BA1249" i="9"/>
  <c r="AV1249" i="9"/>
  <c r="AU1249" i="9"/>
  <c r="AT1249" i="9"/>
  <c r="BB1248" i="9"/>
  <c r="BA1248" i="9"/>
  <c r="AV1248" i="9"/>
  <c r="AU1248" i="9"/>
  <c r="AT1248" i="9"/>
  <c r="BB1247" i="9"/>
  <c r="BA1247" i="9"/>
  <c r="AV1247" i="9"/>
  <c r="AU1247" i="9"/>
  <c r="AT1247" i="9"/>
  <c r="BB1246" i="9"/>
  <c r="BA1246" i="9"/>
  <c r="AV1246" i="9"/>
  <c r="AU1246" i="9"/>
  <c r="AT1246" i="9"/>
  <c r="BB1245" i="9"/>
  <c r="BA1245" i="9"/>
  <c r="AV1245" i="9"/>
  <c r="AU1245" i="9"/>
  <c r="AT1245" i="9"/>
  <c r="BB1244" i="9"/>
  <c r="BA1244" i="9"/>
  <c r="AV1244" i="9"/>
  <c r="AU1244" i="9"/>
  <c r="AT1244" i="9"/>
  <c r="BB1243" i="9"/>
  <c r="BA1243" i="9"/>
  <c r="AV1243" i="9"/>
  <c r="AU1243" i="9"/>
  <c r="AT1243" i="9"/>
  <c r="BB1242" i="9"/>
  <c r="BA1242" i="9"/>
  <c r="AV1242" i="9"/>
  <c r="AU1242" i="9"/>
  <c r="AT1242" i="9"/>
  <c r="BB1241" i="9"/>
  <c r="BA1241" i="9"/>
  <c r="AV1241" i="9"/>
  <c r="AU1241" i="9"/>
  <c r="AT1241" i="9"/>
  <c r="BB1240" i="9"/>
  <c r="BA1240" i="9"/>
  <c r="AV1240" i="9"/>
  <c r="AU1240" i="9"/>
  <c r="AT1240" i="9"/>
  <c r="BB1239" i="9"/>
  <c r="BA1239" i="9"/>
  <c r="AV1239" i="9"/>
  <c r="AU1239" i="9"/>
  <c r="AT1239" i="9"/>
  <c r="BB1238" i="9"/>
  <c r="BA1238" i="9"/>
  <c r="AV1238" i="9"/>
  <c r="AU1238" i="9"/>
  <c r="AT1238" i="9"/>
  <c r="BB1237" i="9"/>
  <c r="BA1237" i="9"/>
  <c r="AV1237" i="9"/>
  <c r="AU1237" i="9"/>
  <c r="AT1237" i="9"/>
  <c r="BB1236" i="9"/>
  <c r="BA1236" i="9"/>
  <c r="AV1236" i="9"/>
  <c r="AU1236" i="9"/>
  <c r="AT1236" i="9"/>
  <c r="BB1235" i="9"/>
  <c r="BA1235" i="9"/>
  <c r="AV1235" i="9"/>
  <c r="AU1235" i="9"/>
  <c r="AT1235" i="9"/>
  <c r="BB1234" i="9"/>
  <c r="BA1234" i="9"/>
  <c r="AV1234" i="9"/>
  <c r="AU1234" i="9"/>
  <c r="AT1234" i="9"/>
  <c r="BB1233" i="9"/>
  <c r="BA1233" i="9"/>
  <c r="AV1233" i="9"/>
  <c r="AU1233" i="9"/>
  <c r="AT1233" i="9"/>
  <c r="BB1232" i="9"/>
  <c r="BA1232" i="9"/>
  <c r="AV1232" i="9"/>
  <c r="AU1232" i="9"/>
  <c r="AT1232" i="9"/>
  <c r="BB1231" i="9"/>
  <c r="BA1231" i="9"/>
  <c r="AV1231" i="9"/>
  <c r="AU1231" i="9"/>
  <c r="AT1231" i="9"/>
  <c r="BB1230" i="9"/>
  <c r="BA1230" i="9"/>
  <c r="AV1230" i="9"/>
  <c r="AU1230" i="9"/>
  <c r="AT1230" i="9"/>
  <c r="BB1229" i="9"/>
  <c r="BA1229" i="9"/>
  <c r="AV1229" i="9"/>
  <c r="AU1229" i="9"/>
  <c r="AT1229" i="9"/>
  <c r="BB1228" i="9"/>
  <c r="BA1228" i="9"/>
  <c r="AV1228" i="9"/>
  <c r="AU1228" i="9"/>
  <c r="AT1228" i="9"/>
  <c r="BB1227" i="9"/>
  <c r="BA1227" i="9"/>
  <c r="AV1227" i="9"/>
  <c r="AU1227" i="9"/>
  <c r="AT1227" i="9"/>
  <c r="BB1226" i="9"/>
  <c r="BA1226" i="9"/>
  <c r="AV1226" i="9"/>
  <c r="AU1226" i="9"/>
  <c r="AT1226" i="9"/>
  <c r="BB1225" i="9"/>
  <c r="BA1225" i="9"/>
  <c r="AV1225" i="9"/>
  <c r="AU1225" i="9"/>
  <c r="AT1225" i="9"/>
  <c r="BB1224" i="9"/>
  <c r="BA1224" i="9"/>
  <c r="AV1224" i="9"/>
  <c r="AU1224" i="9"/>
  <c r="AT1224" i="9"/>
  <c r="BB1223" i="9"/>
  <c r="BA1223" i="9"/>
  <c r="AV1223" i="9"/>
  <c r="AU1223" i="9"/>
  <c r="AT1223" i="9"/>
  <c r="BB1222" i="9"/>
  <c r="BA1222" i="9"/>
  <c r="AV1222" i="9"/>
  <c r="AU1222" i="9"/>
  <c r="AT1222" i="9"/>
  <c r="BB1221" i="9"/>
  <c r="BA1221" i="9"/>
  <c r="AV1221" i="9"/>
  <c r="AU1221" i="9"/>
  <c r="AT1221" i="9"/>
  <c r="BB1220" i="9"/>
  <c r="BA1220" i="9"/>
  <c r="AV1220" i="9"/>
  <c r="AU1220" i="9"/>
  <c r="AT1220" i="9"/>
  <c r="BB1219" i="9"/>
  <c r="BA1219" i="9"/>
  <c r="AV1219" i="9"/>
  <c r="AU1219" i="9"/>
  <c r="AT1219" i="9"/>
  <c r="BB1218" i="9"/>
  <c r="BA1218" i="9"/>
  <c r="AV1218" i="9"/>
  <c r="AU1218" i="9"/>
  <c r="AT1218" i="9"/>
  <c r="BB1217" i="9"/>
  <c r="BA1217" i="9"/>
  <c r="AV1217" i="9"/>
  <c r="AU1217" i="9"/>
  <c r="AT1217" i="9"/>
  <c r="BB1216" i="9"/>
  <c r="BA1216" i="9"/>
  <c r="AV1216" i="9"/>
  <c r="AU1216" i="9"/>
  <c r="AT1216" i="9"/>
  <c r="BB1215" i="9"/>
  <c r="BA1215" i="9"/>
  <c r="AV1215" i="9"/>
  <c r="AU1215" i="9"/>
  <c r="AT1215" i="9"/>
  <c r="BB1214" i="9"/>
  <c r="BA1214" i="9"/>
  <c r="AV1214" i="9"/>
  <c r="AU1214" i="9"/>
  <c r="AT1214" i="9"/>
  <c r="BB1213" i="9"/>
  <c r="BA1213" i="9"/>
  <c r="AV1213" i="9"/>
  <c r="AU1213" i="9"/>
  <c r="AT1213" i="9"/>
  <c r="BB1212" i="9"/>
  <c r="BA1212" i="9"/>
  <c r="AV1212" i="9"/>
  <c r="AU1212" i="9"/>
  <c r="AT1212" i="9"/>
  <c r="BB1211" i="9"/>
  <c r="BA1211" i="9"/>
  <c r="AV1211" i="9"/>
  <c r="AU1211" i="9"/>
  <c r="AT1211" i="9"/>
  <c r="BB1210" i="9"/>
  <c r="BA1210" i="9"/>
  <c r="AV1210" i="9"/>
  <c r="AU1210" i="9"/>
  <c r="AT1210" i="9"/>
  <c r="BB1209" i="9"/>
  <c r="BA1209" i="9"/>
  <c r="AV1209" i="9"/>
  <c r="AU1209" i="9"/>
  <c r="AT1209" i="9"/>
  <c r="BB1208" i="9"/>
  <c r="BA1208" i="9"/>
  <c r="AV1208" i="9"/>
  <c r="AU1208" i="9"/>
  <c r="AT1208" i="9"/>
  <c r="BB1207" i="9"/>
  <c r="BA1207" i="9"/>
  <c r="AV1207" i="9"/>
  <c r="AU1207" i="9"/>
  <c r="AT1207" i="9"/>
  <c r="BB1206" i="9"/>
  <c r="BA1206" i="9"/>
  <c r="AV1206" i="9"/>
  <c r="AU1206" i="9"/>
  <c r="AT1206" i="9"/>
  <c r="BB1205" i="9"/>
  <c r="BA1205" i="9"/>
  <c r="AV1205" i="9"/>
  <c r="AU1205" i="9"/>
  <c r="AT1205" i="9"/>
  <c r="BB1204" i="9"/>
  <c r="BA1204" i="9"/>
  <c r="AV1204" i="9"/>
  <c r="AU1204" i="9"/>
  <c r="AT1204" i="9"/>
  <c r="BB1203" i="9"/>
  <c r="BA1203" i="9"/>
  <c r="AV1203" i="9"/>
  <c r="AU1203" i="9"/>
  <c r="AT1203" i="9"/>
  <c r="BB1202" i="9"/>
  <c r="BA1202" i="9"/>
  <c r="AV1202" i="9"/>
  <c r="AU1202" i="9"/>
  <c r="AT1202" i="9"/>
  <c r="BB1201" i="9"/>
  <c r="BA1201" i="9"/>
  <c r="AV1201" i="9"/>
  <c r="AU1201" i="9"/>
  <c r="AT1201" i="9"/>
  <c r="BB1200" i="9"/>
  <c r="BA1200" i="9"/>
  <c r="AV1200" i="9"/>
  <c r="AU1200" i="9"/>
  <c r="AT1200" i="9"/>
  <c r="BB1199" i="9"/>
  <c r="BA1199" i="9"/>
  <c r="AV1199" i="9"/>
  <c r="AU1199" i="9"/>
  <c r="AT1199" i="9"/>
  <c r="BB1198" i="9"/>
  <c r="BA1198" i="9"/>
  <c r="AV1198" i="9"/>
  <c r="AU1198" i="9"/>
  <c r="AT1198" i="9"/>
  <c r="BB1197" i="9"/>
  <c r="BA1197" i="9"/>
  <c r="AV1197" i="9"/>
  <c r="AU1197" i="9"/>
  <c r="AT1197" i="9"/>
  <c r="BB1196" i="9"/>
  <c r="BA1196" i="9"/>
  <c r="AV1196" i="9"/>
  <c r="AU1196" i="9"/>
  <c r="AT1196" i="9"/>
  <c r="BB1195" i="9"/>
  <c r="BA1195" i="9"/>
  <c r="AV1195" i="9"/>
  <c r="AU1195" i="9"/>
  <c r="AT1195" i="9"/>
  <c r="BB1194" i="9"/>
  <c r="BA1194" i="9"/>
  <c r="AV1194" i="9"/>
  <c r="AU1194" i="9"/>
  <c r="AT1194" i="9"/>
  <c r="BB1193" i="9"/>
  <c r="BA1193" i="9"/>
  <c r="AV1193" i="9"/>
  <c r="AU1193" i="9"/>
  <c r="AT1193" i="9"/>
  <c r="BB1192" i="9"/>
  <c r="BA1192" i="9"/>
  <c r="AV1192" i="9"/>
  <c r="AU1192" i="9"/>
  <c r="AT1192" i="9"/>
  <c r="BB1191" i="9"/>
  <c r="BA1191" i="9"/>
  <c r="AV1191" i="9"/>
  <c r="AU1191" i="9"/>
  <c r="AT1191" i="9"/>
  <c r="BB1190" i="9"/>
  <c r="BA1190" i="9"/>
  <c r="AV1190" i="9"/>
  <c r="AU1190" i="9"/>
  <c r="AT1190" i="9"/>
  <c r="BB1189" i="9"/>
  <c r="BA1189" i="9"/>
  <c r="AV1189" i="9"/>
  <c r="AU1189" i="9"/>
  <c r="AT1189" i="9"/>
  <c r="BB1188" i="9"/>
  <c r="BA1188" i="9"/>
  <c r="AV1188" i="9"/>
  <c r="AU1188" i="9"/>
  <c r="AT1188" i="9"/>
  <c r="BB1187" i="9"/>
  <c r="BA1187" i="9"/>
  <c r="AV1187" i="9"/>
  <c r="AU1187" i="9"/>
  <c r="AT1187" i="9"/>
  <c r="BB1186" i="9"/>
  <c r="BA1186" i="9"/>
  <c r="AV1186" i="9"/>
  <c r="AU1186" i="9"/>
  <c r="AT1186" i="9"/>
  <c r="BB1185" i="9"/>
  <c r="BA1185" i="9"/>
  <c r="AV1185" i="9"/>
  <c r="AU1185" i="9"/>
  <c r="AT1185" i="9"/>
  <c r="BB1184" i="9"/>
  <c r="BA1184" i="9"/>
  <c r="AV1184" i="9"/>
  <c r="AU1184" i="9"/>
  <c r="AT1184" i="9"/>
  <c r="BB1183" i="9"/>
  <c r="BA1183" i="9"/>
  <c r="AV1183" i="9"/>
  <c r="AU1183" i="9"/>
  <c r="AT1183" i="9"/>
  <c r="BB1182" i="9"/>
  <c r="BA1182" i="9"/>
  <c r="AV1182" i="9"/>
  <c r="AU1182" i="9"/>
  <c r="AT1182" i="9"/>
  <c r="BB1181" i="9"/>
  <c r="BA1181" i="9"/>
  <c r="AV1181" i="9"/>
  <c r="AU1181" i="9"/>
  <c r="AT1181" i="9"/>
  <c r="BB1180" i="9"/>
  <c r="BA1180" i="9"/>
  <c r="AV1180" i="9"/>
  <c r="AU1180" i="9"/>
  <c r="AT1180" i="9"/>
  <c r="BB1179" i="9"/>
  <c r="BA1179" i="9"/>
  <c r="AV1179" i="9"/>
  <c r="AU1179" i="9"/>
  <c r="AT1179" i="9"/>
  <c r="BB1178" i="9"/>
  <c r="BA1178" i="9"/>
  <c r="AV1178" i="9"/>
  <c r="AU1178" i="9"/>
  <c r="AT1178" i="9"/>
  <c r="BB1177" i="9"/>
  <c r="BA1177" i="9"/>
  <c r="AV1177" i="9"/>
  <c r="AU1177" i="9"/>
  <c r="AT1177" i="9"/>
  <c r="BB1176" i="9"/>
  <c r="BA1176" i="9"/>
  <c r="AV1176" i="9"/>
  <c r="AU1176" i="9"/>
  <c r="AT1176" i="9"/>
  <c r="BB1175" i="9"/>
  <c r="BA1175" i="9"/>
  <c r="AV1175" i="9"/>
  <c r="AU1175" i="9"/>
  <c r="AT1175" i="9"/>
  <c r="BB1174" i="9"/>
  <c r="BA1174" i="9"/>
  <c r="AV1174" i="9"/>
  <c r="AU1174" i="9"/>
  <c r="AT1174" i="9"/>
  <c r="BB1173" i="9"/>
  <c r="BA1173" i="9"/>
  <c r="AV1173" i="9"/>
  <c r="AU1173" i="9"/>
  <c r="AT1173" i="9"/>
  <c r="BB1172" i="9"/>
  <c r="BA1172" i="9"/>
  <c r="AV1172" i="9"/>
  <c r="AU1172" i="9"/>
  <c r="AT1172" i="9"/>
  <c r="BB1171" i="9"/>
  <c r="BA1171" i="9"/>
  <c r="AV1171" i="9"/>
  <c r="AU1171" i="9"/>
  <c r="AT1171" i="9"/>
  <c r="BB1170" i="9"/>
  <c r="BA1170" i="9"/>
  <c r="AV1170" i="9"/>
  <c r="AU1170" i="9"/>
  <c r="AT1170" i="9"/>
  <c r="BB1169" i="9"/>
  <c r="BA1169" i="9"/>
  <c r="AV1169" i="9"/>
  <c r="AU1169" i="9"/>
  <c r="AT1169" i="9"/>
  <c r="BB1168" i="9"/>
  <c r="BA1168" i="9"/>
  <c r="AV1168" i="9"/>
  <c r="AU1168" i="9"/>
  <c r="AT1168" i="9"/>
  <c r="BB1167" i="9"/>
  <c r="BA1167" i="9"/>
  <c r="AV1167" i="9"/>
  <c r="AU1167" i="9"/>
  <c r="AT1167" i="9"/>
  <c r="BB1166" i="9"/>
  <c r="BA1166" i="9"/>
  <c r="AV1166" i="9"/>
  <c r="AU1166" i="9"/>
  <c r="AT1166" i="9"/>
  <c r="BB1165" i="9"/>
  <c r="BA1165" i="9"/>
  <c r="AV1165" i="9"/>
  <c r="AU1165" i="9"/>
  <c r="AT1165" i="9"/>
  <c r="BB1164" i="9"/>
  <c r="BA1164" i="9"/>
  <c r="AV1164" i="9"/>
  <c r="AU1164" i="9"/>
  <c r="AT1164" i="9"/>
  <c r="BB1163" i="9"/>
  <c r="BA1163" i="9"/>
  <c r="AV1163" i="9"/>
  <c r="AU1163" i="9"/>
  <c r="AT1163" i="9"/>
  <c r="BB1162" i="9"/>
  <c r="BA1162" i="9"/>
  <c r="AV1162" i="9"/>
  <c r="AU1162" i="9"/>
  <c r="AT1162" i="9"/>
  <c r="BB1161" i="9"/>
  <c r="BA1161" i="9"/>
  <c r="AV1161" i="9"/>
  <c r="AU1161" i="9"/>
  <c r="AT1161" i="9"/>
  <c r="BB1160" i="9"/>
  <c r="BA1160" i="9"/>
  <c r="AV1160" i="9"/>
  <c r="AU1160" i="9"/>
  <c r="AT1160" i="9"/>
  <c r="BB1159" i="9"/>
  <c r="BA1159" i="9"/>
  <c r="AV1159" i="9"/>
  <c r="AU1159" i="9"/>
  <c r="AT1159" i="9"/>
  <c r="BB1158" i="9"/>
  <c r="BA1158" i="9"/>
  <c r="AV1158" i="9"/>
  <c r="AU1158" i="9"/>
  <c r="AT1158" i="9"/>
  <c r="BB1157" i="9"/>
  <c r="BA1157" i="9"/>
  <c r="AV1157" i="9"/>
  <c r="AU1157" i="9"/>
  <c r="AT1157" i="9"/>
  <c r="BB1156" i="9"/>
  <c r="BA1156" i="9"/>
  <c r="AV1156" i="9"/>
  <c r="AU1156" i="9"/>
  <c r="AT1156" i="9"/>
  <c r="BB1155" i="9"/>
  <c r="BA1155" i="9"/>
  <c r="AV1155" i="9"/>
  <c r="AU1155" i="9"/>
  <c r="AT1155" i="9"/>
  <c r="BB1154" i="9"/>
  <c r="BA1154" i="9"/>
  <c r="AV1154" i="9"/>
  <c r="AU1154" i="9"/>
  <c r="AT1154" i="9"/>
  <c r="BB1153" i="9"/>
  <c r="BA1153" i="9"/>
  <c r="AV1153" i="9"/>
  <c r="AU1153" i="9"/>
  <c r="AT1153" i="9"/>
  <c r="BB1152" i="9"/>
  <c r="BA1152" i="9"/>
  <c r="AV1152" i="9"/>
  <c r="AU1152" i="9"/>
  <c r="AT1152" i="9"/>
  <c r="BB1151" i="9"/>
  <c r="BA1151" i="9"/>
  <c r="AV1151" i="9"/>
  <c r="AU1151" i="9"/>
  <c r="AT1151" i="9"/>
  <c r="BB1150" i="9"/>
  <c r="BA1150" i="9"/>
  <c r="AV1150" i="9"/>
  <c r="AU1150" i="9"/>
  <c r="AT1150" i="9"/>
  <c r="BB1149" i="9"/>
  <c r="BA1149" i="9"/>
  <c r="AV1149" i="9"/>
  <c r="AU1149" i="9"/>
  <c r="AT1149" i="9"/>
  <c r="BB1148" i="9"/>
  <c r="BA1148" i="9"/>
  <c r="AV1148" i="9"/>
  <c r="AU1148" i="9"/>
  <c r="AT1148" i="9"/>
  <c r="BB1147" i="9"/>
  <c r="BA1147" i="9"/>
  <c r="AV1147" i="9"/>
  <c r="AU1147" i="9"/>
  <c r="AT1147" i="9"/>
  <c r="BB1146" i="9"/>
  <c r="BA1146" i="9"/>
  <c r="AV1146" i="9"/>
  <c r="AU1146" i="9"/>
  <c r="AT1146" i="9"/>
  <c r="BB1145" i="9"/>
  <c r="BA1145" i="9"/>
  <c r="AV1145" i="9"/>
  <c r="AU1145" i="9"/>
  <c r="AT1145" i="9"/>
  <c r="BB1144" i="9"/>
  <c r="BA1144" i="9"/>
  <c r="AV1144" i="9"/>
  <c r="AU1144" i="9"/>
  <c r="AT1144" i="9"/>
  <c r="BB1143" i="9"/>
  <c r="BA1143" i="9"/>
  <c r="AV1143" i="9"/>
  <c r="AU1143" i="9"/>
  <c r="AT1143" i="9"/>
  <c r="BB1142" i="9"/>
  <c r="BA1142" i="9"/>
  <c r="AV1142" i="9"/>
  <c r="AU1142" i="9"/>
  <c r="AT1142" i="9"/>
  <c r="BB1141" i="9"/>
  <c r="BA1141" i="9"/>
  <c r="AV1141" i="9"/>
  <c r="AU1141" i="9"/>
  <c r="AT1141" i="9"/>
  <c r="BB1140" i="9"/>
  <c r="BA1140" i="9"/>
  <c r="AV1140" i="9"/>
  <c r="AU1140" i="9"/>
  <c r="AT1140" i="9"/>
  <c r="BB1139" i="9"/>
  <c r="BA1139" i="9"/>
  <c r="AV1139" i="9"/>
  <c r="AU1139" i="9"/>
  <c r="AT1139" i="9"/>
  <c r="BB1138" i="9"/>
  <c r="BA1138" i="9"/>
  <c r="AV1138" i="9"/>
  <c r="AU1138" i="9"/>
  <c r="AT1138" i="9"/>
  <c r="BB1137" i="9"/>
  <c r="BA1137" i="9"/>
  <c r="AV1137" i="9"/>
  <c r="AU1137" i="9"/>
  <c r="AT1137" i="9"/>
  <c r="BB1136" i="9"/>
  <c r="BA1136" i="9"/>
  <c r="AV1136" i="9"/>
  <c r="AU1136" i="9"/>
  <c r="AT1136" i="9"/>
  <c r="BB1135" i="9"/>
  <c r="BA1135" i="9"/>
  <c r="AV1135" i="9"/>
  <c r="AU1135" i="9"/>
  <c r="AT1135" i="9"/>
  <c r="BB1134" i="9"/>
  <c r="BA1134" i="9"/>
  <c r="AV1134" i="9"/>
  <c r="AU1134" i="9"/>
  <c r="AT1134" i="9"/>
  <c r="BB1133" i="9"/>
  <c r="BA1133" i="9"/>
  <c r="AV1133" i="9"/>
  <c r="AU1133" i="9"/>
  <c r="AT1133" i="9"/>
  <c r="BB1132" i="9"/>
  <c r="BA1132" i="9"/>
  <c r="AV1132" i="9"/>
  <c r="AU1132" i="9"/>
  <c r="AT1132" i="9"/>
  <c r="BB1131" i="9"/>
  <c r="BA1131" i="9"/>
  <c r="AV1131" i="9"/>
  <c r="AU1131" i="9"/>
  <c r="AT1131" i="9"/>
  <c r="BB1130" i="9"/>
  <c r="BA1130" i="9"/>
  <c r="AV1130" i="9"/>
  <c r="AU1130" i="9"/>
  <c r="AT1130" i="9"/>
  <c r="BB1129" i="9"/>
  <c r="BA1129" i="9"/>
  <c r="AV1129" i="9"/>
  <c r="AU1129" i="9"/>
  <c r="AT1129" i="9"/>
  <c r="BB1128" i="9"/>
  <c r="BA1128" i="9"/>
  <c r="AV1128" i="9"/>
  <c r="AU1128" i="9"/>
  <c r="AT1128" i="9"/>
  <c r="BB1127" i="9"/>
  <c r="BA1127" i="9"/>
  <c r="AV1127" i="9"/>
  <c r="AU1127" i="9"/>
  <c r="AT1127" i="9"/>
  <c r="BB1126" i="9"/>
  <c r="BA1126" i="9"/>
  <c r="AV1126" i="9"/>
  <c r="AU1126" i="9"/>
  <c r="AT1126" i="9"/>
  <c r="BB1125" i="9"/>
  <c r="BA1125" i="9"/>
  <c r="AV1125" i="9"/>
  <c r="AU1125" i="9"/>
  <c r="AT1125" i="9"/>
  <c r="BB1124" i="9"/>
  <c r="BA1124" i="9"/>
  <c r="AV1124" i="9"/>
  <c r="AU1124" i="9"/>
  <c r="AT1124" i="9"/>
  <c r="BB1123" i="9"/>
  <c r="BA1123" i="9"/>
  <c r="AV1123" i="9"/>
  <c r="AU1123" i="9"/>
  <c r="AT1123" i="9"/>
  <c r="BB1122" i="9"/>
  <c r="BA1122" i="9"/>
  <c r="AV1122" i="9"/>
  <c r="AU1122" i="9"/>
  <c r="AT1122" i="9"/>
  <c r="BB1121" i="9"/>
  <c r="BA1121" i="9"/>
  <c r="AV1121" i="9"/>
  <c r="AU1121" i="9"/>
  <c r="AT1121" i="9"/>
  <c r="BB1120" i="9"/>
  <c r="BA1120" i="9"/>
  <c r="AV1120" i="9"/>
  <c r="AU1120" i="9"/>
  <c r="AT1120" i="9"/>
  <c r="BB1119" i="9"/>
  <c r="BA1119" i="9"/>
  <c r="AV1119" i="9"/>
  <c r="AU1119" i="9"/>
  <c r="AT1119" i="9"/>
  <c r="BB1118" i="9"/>
  <c r="BA1118" i="9"/>
  <c r="AV1118" i="9"/>
  <c r="AU1118" i="9"/>
  <c r="AT1118" i="9"/>
  <c r="BB1117" i="9"/>
  <c r="BA1117" i="9"/>
  <c r="AV1117" i="9"/>
  <c r="AU1117" i="9"/>
  <c r="AT1117" i="9"/>
  <c r="BB1116" i="9"/>
  <c r="BA1116" i="9"/>
  <c r="AV1116" i="9"/>
  <c r="AU1116" i="9"/>
  <c r="AT1116" i="9"/>
  <c r="BB1115" i="9"/>
  <c r="BA1115" i="9"/>
  <c r="AV1115" i="9"/>
  <c r="AU1115" i="9"/>
  <c r="AT1115" i="9"/>
  <c r="BB1114" i="9"/>
  <c r="BA1114" i="9"/>
  <c r="AV1114" i="9"/>
  <c r="AU1114" i="9"/>
  <c r="AT1114" i="9"/>
  <c r="BB1113" i="9"/>
  <c r="BA1113" i="9"/>
  <c r="AV1113" i="9"/>
  <c r="AU1113" i="9"/>
  <c r="AT1113" i="9"/>
  <c r="BB1112" i="9"/>
  <c r="BA1112" i="9"/>
  <c r="AV1112" i="9"/>
  <c r="AU1112" i="9"/>
  <c r="AT1112" i="9"/>
  <c r="BB1111" i="9"/>
  <c r="BA1111" i="9"/>
  <c r="AV1111" i="9"/>
  <c r="AU1111" i="9"/>
  <c r="AT1111" i="9"/>
  <c r="BB1110" i="9"/>
  <c r="BA1110" i="9"/>
  <c r="AV1110" i="9"/>
  <c r="AU1110" i="9"/>
  <c r="AT1110" i="9"/>
  <c r="BB1109" i="9"/>
  <c r="BA1109" i="9"/>
  <c r="AV1109" i="9"/>
  <c r="AU1109" i="9"/>
  <c r="AT1109" i="9"/>
  <c r="BB1108" i="9"/>
  <c r="BA1108" i="9"/>
  <c r="AV1108" i="9"/>
  <c r="AU1108" i="9"/>
  <c r="AT1108" i="9"/>
  <c r="BB1107" i="9"/>
  <c r="BA1107" i="9"/>
  <c r="AV1107" i="9"/>
  <c r="AU1107" i="9"/>
  <c r="AT1107" i="9"/>
  <c r="BB1106" i="9"/>
  <c r="BA1106" i="9"/>
  <c r="AV1106" i="9"/>
  <c r="AU1106" i="9"/>
  <c r="AT1106" i="9"/>
  <c r="BB1105" i="9"/>
  <c r="BA1105" i="9"/>
  <c r="AV1105" i="9"/>
  <c r="AU1105" i="9"/>
  <c r="AT1105" i="9"/>
  <c r="BB1104" i="9"/>
  <c r="BA1104" i="9"/>
  <c r="AV1104" i="9"/>
  <c r="AU1104" i="9"/>
  <c r="AT1104" i="9"/>
  <c r="BB1103" i="9"/>
  <c r="BA1103" i="9"/>
  <c r="AV1103" i="9"/>
  <c r="AU1103" i="9"/>
  <c r="AT1103" i="9"/>
  <c r="BB1102" i="9"/>
  <c r="BA1102" i="9"/>
  <c r="AV1102" i="9"/>
  <c r="AU1102" i="9"/>
  <c r="AT1102" i="9"/>
  <c r="BB1101" i="9"/>
  <c r="BA1101" i="9"/>
  <c r="AV1101" i="9"/>
  <c r="AU1101" i="9"/>
  <c r="AT1101" i="9"/>
  <c r="BB1100" i="9"/>
  <c r="BA1100" i="9"/>
  <c r="AV1100" i="9"/>
  <c r="AU1100" i="9"/>
  <c r="AT1100" i="9"/>
  <c r="BB1099" i="9"/>
  <c r="BA1099" i="9"/>
  <c r="AV1099" i="9"/>
  <c r="AU1099" i="9"/>
  <c r="AT1099" i="9"/>
  <c r="BB1098" i="9"/>
  <c r="BA1098" i="9"/>
  <c r="AV1098" i="9"/>
  <c r="AU1098" i="9"/>
  <c r="AT1098" i="9"/>
  <c r="BB1097" i="9"/>
  <c r="BA1097" i="9"/>
  <c r="AV1097" i="9"/>
  <c r="AU1097" i="9"/>
  <c r="AT1097" i="9"/>
  <c r="BB1096" i="9"/>
  <c r="BA1096" i="9"/>
  <c r="AV1096" i="9"/>
  <c r="AU1096" i="9"/>
  <c r="AT1096" i="9"/>
  <c r="BB1095" i="9"/>
  <c r="BA1095" i="9"/>
  <c r="AV1095" i="9"/>
  <c r="AU1095" i="9"/>
  <c r="AT1095" i="9"/>
  <c r="BB1094" i="9"/>
  <c r="BA1094" i="9"/>
  <c r="AV1094" i="9"/>
  <c r="AU1094" i="9"/>
  <c r="AT1094" i="9"/>
  <c r="BB1093" i="9"/>
  <c r="BA1093" i="9"/>
  <c r="AV1093" i="9"/>
  <c r="AU1093" i="9"/>
  <c r="AT1093" i="9"/>
  <c r="BB1092" i="9"/>
  <c r="BA1092" i="9"/>
  <c r="AV1092" i="9"/>
  <c r="AU1092" i="9"/>
  <c r="AT1092" i="9"/>
  <c r="BB1091" i="9"/>
  <c r="BA1091" i="9"/>
  <c r="AV1091" i="9"/>
  <c r="AU1091" i="9"/>
  <c r="AT1091" i="9"/>
  <c r="BB1090" i="9"/>
  <c r="BA1090" i="9"/>
  <c r="AV1090" i="9"/>
  <c r="AU1090" i="9"/>
  <c r="AT1090" i="9"/>
  <c r="BB1089" i="9"/>
  <c r="BA1089" i="9"/>
  <c r="AV1089" i="9"/>
  <c r="AU1089" i="9"/>
  <c r="AT1089" i="9"/>
  <c r="BB1088" i="9"/>
  <c r="BA1088" i="9"/>
  <c r="AV1088" i="9"/>
  <c r="AU1088" i="9"/>
  <c r="AT1088" i="9"/>
  <c r="BB1087" i="9"/>
  <c r="BA1087" i="9"/>
  <c r="AV1087" i="9"/>
  <c r="AU1087" i="9"/>
  <c r="AT1087" i="9"/>
  <c r="BB1086" i="9"/>
  <c r="BA1086" i="9"/>
  <c r="AV1086" i="9"/>
  <c r="AU1086" i="9"/>
  <c r="AT1086" i="9"/>
  <c r="BB1085" i="9"/>
  <c r="BA1085" i="9"/>
  <c r="AV1085" i="9"/>
  <c r="AU1085" i="9"/>
  <c r="AT1085" i="9"/>
  <c r="BB1084" i="9"/>
  <c r="BA1084" i="9"/>
  <c r="AV1084" i="9"/>
  <c r="AU1084" i="9"/>
  <c r="AT1084" i="9"/>
  <c r="BB1083" i="9"/>
  <c r="BA1083" i="9"/>
  <c r="AV1083" i="9"/>
  <c r="AU1083" i="9"/>
  <c r="AT1083" i="9"/>
  <c r="BB1082" i="9"/>
  <c r="BA1082" i="9"/>
  <c r="AV1082" i="9"/>
  <c r="AU1082" i="9"/>
  <c r="AT1082" i="9"/>
  <c r="BB1081" i="9"/>
  <c r="BA1081" i="9"/>
  <c r="AV1081" i="9"/>
  <c r="AU1081" i="9"/>
  <c r="AT1081" i="9"/>
  <c r="BB1080" i="9"/>
  <c r="BA1080" i="9"/>
  <c r="AV1080" i="9"/>
  <c r="AU1080" i="9"/>
  <c r="AT1080" i="9"/>
  <c r="BB1079" i="9"/>
  <c r="BA1079" i="9"/>
  <c r="AV1079" i="9"/>
  <c r="AU1079" i="9"/>
  <c r="AT1079" i="9"/>
  <c r="BB1078" i="9"/>
  <c r="BA1078" i="9"/>
  <c r="AV1078" i="9"/>
  <c r="AU1078" i="9"/>
  <c r="AT1078" i="9"/>
  <c r="BB1077" i="9"/>
  <c r="BA1077" i="9"/>
  <c r="AV1077" i="9"/>
  <c r="AU1077" i="9"/>
  <c r="AT1077" i="9"/>
  <c r="BB1076" i="9"/>
  <c r="BA1076" i="9"/>
  <c r="AV1076" i="9"/>
  <c r="AU1076" i="9"/>
  <c r="AT1076" i="9"/>
  <c r="BB1075" i="9"/>
  <c r="BA1075" i="9"/>
  <c r="AV1075" i="9"/>
  <c r="AU1075" i="9"/>
  <c r="AT1075" i="9"/>
  <c r="BB1074" i="9"/>
  <c r="BA1074" i="9"/>
  <c r="AV1074" i="9"/>
  <c r="AU1074" i="9"/>
  <c r="AT1074" i="9"/>
  <c r="BB1073" i="9"/>
  <c r="BA1073" i="9"/>
  <c r="AV1073" i="9"/>
  <c r="AU1073" i="9"/>
  <c r="AT1073" i="9"/>
  <c r="BB1072" i="9"/>
  <c r="BA1072" i="9"/>
  <c r="AV1072" i="9"/>
  <c r="AU1072" i="9"/>
  <c r="AT1072" i="9"/>
  <c r="BB1071" i="9"/>
  <c r="BA1071" i="9"/>
  <c r="AV1071" i="9"/>
  <c r="AU1071" i="9"/>
  <c r="AT1071" i="9"/>
  <c r="BB1070" i="9"/>
  <c r="BA1070" i="9"/>
  <c r="AV1070" i="9"/>
  <c r="AU1070" i="9"/>
  <c r="AT1070" i="9"/>
  <c r="BB1069" i="9"/>
  <c r="BA1069" i="9"/>
  <c r="AV1069" i="9"/>
  <c r="AU1069" i="9"/>
  <c r="AT1069" i="9"/>
  <c r="BB1068" i="9"/>
  <c r="BA1068" i="9"/>
  <c r="AV1068" i="9"/>
  <c r="AU1068" i="9"/>
  <c r="AT1068" i="9"/>
  <c r="BB1067" i="9"/>
  <c r="BA1067" i="9"/>
  <c r="AV1067" i="9"/>
  <c r="AU1067" i="9"/>
  <c r="AT1067" i="9"/>
  <c r="BB1066" i="9"/>
  <c r="BA1066" i="9"/>
  <c r="AV1066" i="9"/>
  <c r="AU1066" i="9"/>
  <c r="AT1066" i="9"/>
  <c r="BB1065" i="9"/>
  <c r="BA1065" i="9"/>
  <c r="AV1065" i="9"/>
  <c r="AU1065" i="9"/>
  <c r="AT1065" i="9"/>
  <c r="BB1064" i="9"/>
  <c r="BA1064" i="9"/>
  <c r="AV1064" i="9"/>
  <c r="AU1064" i="9"/>
  <c r="AT1064" i="9"/>
  <c r="BB1063" i="9"/>
  <c r="BA1063" i="9"/>
  <c r="AV1063" i="9"/>
  <c r="AU1063" i="9"/>
  <c r="AT1063" i="9"/>
  <c r="BB1062" i="9"/>
  <c r="BA1062" i="9"/>
  <c r="AV1062" i="9"/>
  <c r="AU1062" i="9"/>
  <c r="AT1062" i="9"/>
  <c r="BB1061" i="9"/>
  <c r="BA1061" i="9"/>
  <c r="AV1061" i="9"/>
  <c r="AU1061" i="9"/>
  <c r="AT1061" i="9"/>
  <c r="BB1060" i="9"/>
  <c r="BA1060" i="9"/>
  <c r="AV1060" i="9"/>
  <c r="AU1060" i="9"/>
  <c r="AT1060" i="9"/>
  <c r="BB1059" i="9"/>
  <c r="BA1059" i="9"/>
  <c r="AV1059" i="9"/>
  <c r="AU1059" i="9"/>
  <c r="AT1059" i="9"/>
  <c r="BB1058" i="9"/>
  <c r="BA1058" i="9"/>
  <c r="AV1058" i="9"/>
  <c r="AU1058" i="9"/>
  <c r="AT1058" i="9"/>
  <c r="BB1057" i="9"/>
  <c r="BA1057" i="9"/>
  <c r="AV1057" i="9"/>
  <c r="AU1057" i="9"/>
  <c r="AT1057" i="9"/>
  <c r="BB1056" i="9"/>
  <c r="BA1056" i="9"/>
  <c r="AV1056" i="9"/>
  <c r="AU1056" i="9"/>
  <c r="AT1056" i="9"/>
  <c r="BB1055" i="9"/>
  <c r="BA1055" i="9"/>
  <c r="AV1055" i="9"/>
  <c r="AU1055" i="9"/>
  <c r="AT1055" i="9"/>
  <c r="BB1054" i="9"/>
  <c r="BA1054" i="9"/>
  <c r="AV1054" i="9"/>
  <c r="AU1054" i="9"/>
  <c r="AT1054" i="9"/>
  <c r="BB1053" i="9"/>
  <c r="BA1053" i="9"/>
  <c r="AV1053" i="9"/>
  <c r="AU1053" i="9"/>
  <c r="AT1053" i="9"/>
  <c r="BB1052" i="9"/>
  <c r="BA1052" i="9"/>
  <c r="AV1052" i="9"/>
  <c r="AU1052" i="9"/>
  <c r="AT1052" i="9"/>
  <c r="BB1051" i="9"/>
  <c r="BA1051" i="9"/>
  <c r="AV1051" i="9"/>
  <c r="AU1051" i="9"/>
  <c r="AT1051" i="9"/>
  <c r="BB1050" i="9"/>
  <c r="BA1050" i="9"/>
  <c r="AV1050" i="9"/>
  <c r="AU1050" i="9"/>
  <c r="AT1050" i="9"/>
  <c r="BB1049" i="9"/>
  <c r="BA1049" i="9"/>
  <c r="AV1049" i="9"/>
  <c r="AU1049" i="9"/>
  <c r="AT1049" i="9"/>
  <c r="BB1048" i="9"/>
  <c r="BA1048" i="9"/>
  <c r="AV1048" i="9"/>
  <c r="AU1048" i="9"/>
  <c r="AT1048" i="9"/>
  <c r="BB1047" i="9"/>
  <c r="BA1047" i="9"/>
  <c r="AV1047" i="9"/>
  <c r="AU1047" i="9"/>
  <c r="AT1047" i="9"/>
  <c r="BB1046" i="9"/>
  <c r="BA1046" i="9"/>
  <c r="AV1046" i="9"/>
  <c r="AU1046" i="9"/>
  <c r="AT1046" i="9"/>
  <c r="BB1045" i="9"/>
  <c r="BA1045" i="9"/>
  <c r="AV1045" i="9"/>
  <c r="AU1045" i="9"/>
  <c r="AT1045" i="9"/>
  <c r="BB1044" i="9"/>
  <c r="BA1044" i="9"/>
  <c r="AV1044" i="9"/>
  <c r="AU1044" i="9"/>
  <c r="AT1044" i="9"/>
  <c r="BB1043" i="9"/>
  <c r="BA1043" i="9"/>
  <c r="AV1043" i="9"/>
  <c r="AU1043" i="9"/>
  <c r="AT1043" i="9"/>
  <c r="BB1042" i="9"/>
  <c r="BA1042" i="9"/>
  <c r="AV1042" i="9"/>
  <c r="AU1042" i="9"/>
  <c r="AT1042" i="9"/>
  <c r="BB1041" i="9"/>
  <c r="BA1041" i="9"/>
  <c r="AV1041" i="9"/>
  <c r="AU1041" i="9"/>
  <c r="AT1041" i="9"/>
  <c r="BB1040" i="9"/>
  <c r="BA1040" i="9"/>
  <c r="AV1040" i="9"/>
  <c r="AU1040" i="9"/>
  <c r="AT1040" i="9"/>
  <c r="BB1039" i="9"/>
  <c r="BA1039" i="9"/>
  <c r="AV1039" i="9"/>
  <c r="AU1039" i="9"/>
  <c r="AT1039" i="9"/>
  <c r="BB1038" i="9"/>
  <c r="BA1038" i="9"/>
  <c r="AV1038" i="9"/>
  <c r="AU1038" i="9"/>
  <c r="AT1038" i="9"/>
  <c r="BB1037" i="9"/>
  <c r="BA1037" i="9"/>
  <c r="AV1037" i="9"/>
  <c r="AU1037" i="9"/>
  <c r="AT1037" i="9"/>
  <c r="BB1036" i="9"/>
  <c r="BA1036" i="9"/>
  <c r="AV1036" i="9"/>
  <c r="AU1036" i="9"/>
  <c r="AT1036" i="9"/>
  <c r="BB1035" i="9"/>
  <c r="BA1035" i="9"/>
  <c r="AV1035" i="9"/>
  <c r="AU1035" i="9"/>
  <c r="AT1035" i="9"/>
  <c r="BB1034" i="9"/>
  <c r="BA1034" i="9"/>
  <c r="AV1034" i="9"/>
  <c r="AU1034" i="9"/>
  <c r="AT1034" i="9"/>
  <c r="BB1033" i="9"/>
  <c r="BA1033" i="9"/>
  <c r="AV1033" i="9"/>
  <c r="AU1033" i="9"/>
  <c r="AT1033" i="9"/>
  <c r="BB1032" i="9"/>
  <c r="BA1032" i="9"/>
  <c r="AV1032" i="9"/>
  <c r="AU1032" i="9"/>
  <c r="AT1032" i="9"/>
  <c r="BB1031" i="9"/>
  <c r="BA1031" i="9"/>
  <c r="AV1031" i="9"/>
  <c r="AU1031" i="9"/>
  <c r="AT1031" i="9"/>
  <c r="BB1030" i="9"/>
  <c r="BA1030" i="9"/>
  <c r="AV1030" i="9"/>
  <c r="AU1030" i="9"/>
  <c r="AT1030" i="9"/>
  <c r="BB1029" i="9"/>
  <c r="BA1029" i="9"/>
  <c r="AV1029" i="9"/>
  <c r="AU1029" i="9"/>
  <c r="AT1029" i="9"/>
  <c r="BB1028" i="9"/>
  <c r="BA1028" i="9"/>
  <c r="AV1028" i="9"/>
  <c r="AU1028" i="9"/>
  <c r="AT1028" i="9"/>
  <c r="BB1027" i="9"/>
  <c r="BA1027" i="9"/>
  <c r="AV1027" i="9"/>
  <c r="AU1027" i="9"/>
  <c r="AT1027" i="9"/>
  <c r="BB1026" i="9"/>
  <c r="BA1026" i="9"/>
  <c r="AV1026" i="9"/>
  <c r="AU1026" i="9"/>
  <c r="AT1026" i="9"/>
  <c r="BB1025" i="9"/>
  <c r="BA1025" i="9"/>
  <c r="AV1025" i="9"/>
  <c r="AU1025" i="9"/>
  <c r="AT1025" i="9"/>
  <c r="BB1024" i="9"/>
  <c r="BA1024" i="9"/>
  <c r="AV1024" i="9"/>
  <c r="AU1024" i="9"/>
  <c r="AT1024" i="9"/>
  <c r="BB1023" i="9"/>
  <c r="BA1023" i="9"/>
  <c r="AV1023" i="9"/>
  <c r="AU1023" i="9"/>
  <c r="AT1023" i="9"/>
  <c r="BB1022" i="9"/>
  <c r="BA1022" i="9"/>
  <c r="AV1022" i="9"/>
  <c r="AU1022" i="9"/>
  <c r="AT1022" i="9"/>
  <c r="BB1021" i="9"/>
  <c r="BA1021" i="9"/>
  <c r="AV1021" i="9"/>
  <c r="AU1021" i="9"/>
  <c r="AT1021" i="9"/>
  <c r="BB1020" i="9"/>
  <c r="BA1020" i="9"/>
  <c r="AV1020" i="9"/>
  <c r="AU1020" i="9"/>
  <c r="AT1020" i="9"/>
  <c r="BB1019" i="9"/>
  <c r="BA1019" i="9"/>
  <c r="AV1019" i="9"/>
  <c r="AU1019" i="9"/>
  <c r="AT1019" i="9"/>
  <c r="BB1018" i="9"/>
  <c r="BA1018" i="9"/>
  <c r="AV1018" i="9"/>
  <c r="AU1018" i="9"/>
  <c r="AT1018" i="9"/>
  <c r="BB1017" i="9"/>
  <c r="BA1017" i="9"/>
  <c r="AV1017" i="9"/>
  <c r="AU1017" i="9"/>
  <c r="AT1017" i="9"/>
  <c r="BB1016" i="9"/>
  <c r="BA1016" i="9"/>
  <c r="AV1016" i="9"/>
  <c r="AU1016" i="9"/>
  <c r="AT1016" i="9"/>
  <c r="BB1015" i="9"/>
  <c r="BA1015" i="9"/>
  <c r="AV1015" i="9"/>
  <c r="AU1015" i="9"/>
  <c r="AT1015" i="9"/>
  <c r="BB1014" i="9"/>
  <c r="BA1014" i="9"/>
  <c r="AV1014" i="9"/>
  <c r="AU1014" i="9"/>
  <c r="AT1014" i="9"/>
  <c r="BB1013" i="9"/>
  <c r="BA1013" i="9"/>
  <c r="AV1013" i="9"/>
  <c r="AU1013" i="9"/>
  <c r="AT1013" i="9"/>
  <c r="BB1012" i="9"/>
  <c r="BA1012" i="9"/>
  <c r="AV1012" i="9"/>
  <c r="AU1012" i="9"/>
  <c r="AT1012" i="9"/>
  <c r="BB1011" i="9"/>
  <c r="BA1011" i="9"/>
  <c r="AV1011" i="9"/>
  <c r="AU1011" i="9"/>
  <c r="AT1011" i="9"/>
  <c r="BB1010" i="9"/>
  <c r="BA1010" i="9"/>
  <c r="AV1010" i="9"/>
  <c r="AU1010" i="9"/>
  <c r="AT1010" i="9"/>
  <c r="BB1009" i="9"/>
  <c r="BA1009" i="9"/>
  <c r="AV1009" i="9"/>
  <c r="AU1009" i="9"/>
  <c r="AT1009" i="9"/>
  <c r="BB1008" i="9"/>
  <c r="BA1008" i="9"/>
  <c r="AV1008" i="9"/>
  <c r="AU1008" i="9"/>
  <c r="AT1008" i="9"/>
  <c r="BB1007" i="9"/>
  <c r="BA1007" i="9"/>
  <c r="AV1007" i="9"/>
  <c r="AU1007" i="9"/>
  <c r="AT1007" i="9"/>
  <c r="BB1006" i="9"/>
  <c r="BA1006" i="9"/>
  <c r="AV1006" i="9"/>
  <c r="AU1006" i="9"/>
  <c r="AT1006" i="9"/>
  <c r="BB1005" i="9"/>
  <c r="BA1005" i="9"/>
  <c r="AV1005" i="9"/>
  <c r="AU1005" i="9"/>
  <c r="AT1005" i="9"/>
  <c r="BB1004" i="9"/>
  <c r="BA1004" i="9"/>
  <c r="AV1004" i="9"/>
  <c r="AU1004" i="9"/>
  <c r="AT1004" i="9"/>
  <c r="BB1003" i="9"/>
  <c r="BA1003" i="9"/>
  <c r="AV1003" i="9"/>
  <c r="AU1003" i="9"/>
  <c r="AT1003" i="9"/>
  <c r="BB1002" i="9"/>
  <c r="BA1002" i="9"/>
  <c r="AV1002" i="9"/>
  <c r="AU1002" i="9"/>
  <c r="AT1002" i="9"/>
  <c r="BB1001" i="9"/>
  <c r="BA1001" i="9"/>
  <c r="AV1001" i="9"/>
  <c r="AU1001" i="9"/>
  <c r="AT1001" i="9"/>
  <c r="BB1000" i="9"/>
  <c r="BA1000" i="9"/>
  <c r="AV1000" i="9"/>
  <c r="AU1000" i="9"/>
  <c r="AT1000" i="9"/>
  <c r="BB999" i="9"/>
  <c r="BA999" i="9"/>
  <c r="AV999" i="9"/>
  <c r="AU999" i="9"/>
  <c r="AT999" i="9"/>
  <c r="BB998" i="9"/>
  <c r="BA998" i="9"/>
  <c r="AV998" i="9"/>
  <c r="AU998" i="9"/>
  <c r="AT998" i="9"/>
  <c r="BB997" i="9"/>
  <c r="BA997" i="9"/>
  <c r="AV997" i="9"/>
  <c r="AU997" i="9"/>
  <c r="AT997" i="9"/>
  <c r="BB996" i="9"/>
  <c r="BA996" i="9"/>
  <c r="AV996" i="9"/>
  <c r="AU996" i="9"/>
  <c r="AT996" i="9"/>
  <c r="BB995" i="9"/>
  <c r="BA995" i="9"/>
  <c r="AV995" i="9"/>
  <c r="AU995" i="9"/>
  <c r="AT995" i="9"/>
  <c r="BB994" i="9"/>
  <c r="BA994" i="9"/>
  <c r="AV994" i="9"/>
  <c r="AU994" i="9"/>
  <c r="AT994" i="9"/>
  <c r="BB993" i="9"/>
  <c r="BA993" i="9"/>
  <c r="AV993" i="9"/>
  <c r="AU993" i="9"/>
  <c r="AT993" i="9"/>
  <c r="BB992" i="9"/>
  <c r="BA992" i="9"/>
  <c r="AV992" i="9"/>
  <c r="AU992" i="9"/>
  <c r="AT992" i="9"/>
  <c r="BB991" i="9"/>
  <c r="BA991" i="9"/>
  <c r="AV991" i="9"/>
  <c r="AU991" i="9"/>
  <c r="AT991" i="9"/>
  <c r="BB990" i="9"/>
  <c r="BA990" i="9"/>
  <c r="AV990" i="9"/>
  <c r="AU990" i="9"/>
  <c r="AT990" i="9"/>
  <c r="BB989" i="9"/>
  <c r="BA989" i="9"/>
  <c r="AV989" i="9"/>
  <c r="AU989" i="9"/>
  <c r="AT989" i="9"/>
  <c r="BB988" i="9"/>
  <c r="BA988" i="9"/>
  <c r="AV988" i="9"/>
  <c r="AU988" i="9"/>
  <c r="AT988" i="9"/>
  <c r="BB987" i="9"/>
  <c r="BA987" i="9"/>
  <c r="AV987" i="9"/>
  <c r="AU987" i="9"/>
  <c r="AT987" i="9"/>
  <c r="BB986" i="9"/>
  <c r="BA986" i="9"/>
  <c r="AV986" i="9"/>
  <c r="AU986" i="9"/>
  <c r="AT986" i="9"/>
  <c r="BB985" i="9"/>
  <c r="BA985" i="9"/>
  <c r="AV985" i="9"/>
  <c r="AU985" i="9"/>
  <c r="AT985" i="9"/>
  <c r="BB984" i="9"/>
  <c r="BA984" i="9"/>
  <c r="AV984" i="9"/>
  <c r="AU984" i="9"/>
  <c r="AT984" i="9"/>
  <c r="BB983" i="9"/>
  <c r="BA983" i="9"/>
  <c r="AV983" i="9"/>
  <c r="AU983" i="9"/>
  <c r="AT983" i="9"/>
  <c r="BB982" i="9"/>
  <c r="BA982" i="9"/>
  <c r="AV982" i="9"/>
  <c r="AU982" i="9"/>
  <c r="AT982" i="9"/>
  <c r="BB981" i="9"/>
  <c r="BA981" i="9"/>
  <c r="AV981" i="9"/>
  <c r="AU981" i="9"/>
  <c r="AT981" i="9"/>
  <c r="BB980" i="9"/>
  <c r="BA980" i="9"/>
  <c r="AV980" i="9"/>
  <c r="AU980" i="9"/>
  <c r="AT980" i="9"/>
  <c r="BB979" i="9"/>
  <c r="BA979" i="9"/>
  <c r="AV979" i="9"/>
  <c r="AU979" i="9"/>
  <c r="AT979" i="9"/>
  <c r="BB978" i="9"/>
  <c r="BA978" i="9"/>
  <c r="AV978" i="9"/>
  <c r="AU978" i="9"/>
  <c r="AT978" i="9"/>
  <c r="BB977" i="9"/>
  <c r="BA977" i="9"/>
  <c r="AV977" i="9"/>
  <c r="AU977" i="9"/>
  <c r="AT977" i="9"/>
  <c r="BB976" i="9"/>
  <c r="BA976" i="9"/>
  <c r="AV976" i="9"/>
  <c r="AU976" i="9"/>
  <c r="AT976" i="9"/>
  <c r="BB975" i="9"/>
  <c r="BA975" i="9"/>
  <c r="AV975" i="9"/>
  <c r="AU975" i="9"/>
  <c r="AT975" i="9"/>
  <c r="BB974" i="9"/>
  <c r="BA974" i="9"/>
  <c r="AV974" i="9"/>
  <c r="AU974" i="9"/>
  <c r="AT974" i="9"/>
  <c r="BB973" i="9"/>
  <c r="BA973" i="9"/>
  <c r="AV973" i="9"/>
  <c r="AU973" i="9"/>
  <c r="AT973" i="9"/>
  <c r="BB972" i="9"/>
  <c r="BA972" i="9"/>
  <c r="AV972" i="9"/>
  <c r="AU972" i="9"/>
  <c r="AT972" i="9"/>
  <c r="BB971" i="9"/>
  <c r="BA971" i="9"/>
  <c r="AV971" i="9"/>
  <c r="AU971" i="9"/>
  <c r="AT971" i="9"/>
  <c r="BB970" i="9"/>
  <c r="BA970" i="9"/>
  <c r="AV970" i="9"/>
  <c r="AU970" i="9"/>
  <c r="AT970" i="9"/>
  <c r="BB969" i="9"/>
  <c r="BA969" i="9"/>
  <c r="AV969" i="9"/>
  <c r="AU969" i="9"/>
  <c r="AT969" i="9"/>
  <c r="BB968" i="9"/>
  <c r="BA968" i="9"/>
  <c r="AV968" i="9"/>
  <c r="AU968" i="9"/>
  <c r="AT968" i="9"/>
  <c r="BB967" i="9"/>
  <c r="BA967" i="9"/>
  <c r="AV967" i="9"/>
  <c r="AU967" i="9"/>
  <c r="AT967" i="9"/>
  <c r="BB966" i="9"/>
  <c r="BA966" i="9"/>
  <c r="AV966" i="9"/>
  <c r="AU966" i="9"/>
  <c r="AT966" i="9"/>
  <c r="BB965" i="9"/>
  <c r="BA965" i="9"/>
  <c r="AV965" i="9"/>
  <c r="AU965" i="9"/>
  <c r="AT965" i="9"/>
  <c r="BB964" i="9"/>
  <c r="BA964" i="9"/>
  <c r="AV964" i="9"/>
  <c r="AU964" i="9"/>
  <c r="AT964" i="9"/>
  <c r="BB963" i="9"/>
  <c r="BA963" i="9"/>
  <c r="AV963" i="9"/>
  <c r="AU963" i="9"/>
  <c r="AT963" i="9"/>
  <c r="BB962" i="9"/>
  <c r="BA962" i="9"/>
  <c r="AV962" i="9"/>
  <c r="AU962" i="9"/>
  <c r="AT962" i="9"/>
  <c r="BB961" i="9"/>
  <c r="BA961" i="9"/>
  <c r="AV961" i="9"/>
  <c r="AU961" i="9"/>
  <c r="AT961" i="9"/>
  <c r="BB960" i="9"/>
  <c r="BA960" i="9"/>
  <c r="AV960" i="9"/>
  <c r="AU960" i="9"/>
  <c r="AT960" i="9"/>
  <c r="BB959" i="9"/>
  <c r="BA959" i="9"/>
  <c r="AV959" i="9"/>
  <c r="AU959" i="9"/>
  <c r="AT959" i="9"/>
  <c r="BB958" i="9"/>
  <c r="BA958" i="9"/>
  <c r="AV958" i="9"/>
  <c r="AU958" i="9"/>
  <c r="AT958" i="9"/>
  <c r="BB957" i="9"/>
  <c r="BA957" i="9"/>
  <c r="AV957" i="9"/>
  <c r="AU957" i="9"/>
  <c r="AT957" i="9"/>
  <c r="BB956" i="9"/>
  <c r="BA956" i="9"/>
  <c r="AV956" i="9"/>
  <c r="AU956" i="9"/>
  <c r="AT956" i="9"/>
  <c r="BB955" i="9"/>
  <c r="BA955" i="9"/>
  <c r="AV955" i="9"/>
  <c r="AU955" i="9"/>
  <c r="AT955" i="9"/>
  <c r="BB954" i="9"/>
  <c r="BA954" i="9"/>
  <c r="AV954" i="9"/>
  <c r="AU954" i="9"/>
  <c r="AT954" i="9"/>
  <c r="BB953" i="9"/>
  <c r="BA953" i="9"/>
  <c r="AV953" i="9"/>
  <c r="AU953" i="9"/>
  <c r="AT953" i="9"/>
  <c r="BB952" i="9"/>
  <c r="BA952" i="9"/>
  <c r="AV952" i="9"/>
  <c r="AU952" i="9"/>
  <c r="AT952" i="9"/>
  <c r="BB951" i="9"/>
  <c r="BA951" i="9"/>
  <c r="AV951" i="9"/>
  <c r="AU951" i="9"/>
  <c r="AT951" i="9"/>
  <c r="BB950" i="9"/>
  <c r="BA950" i="9"/>
  <c r="AV950" i="9"/>
  <c r="AU950" i="9"/>
  <c r="AT950" i="9"/>
  <c r="BB949" i="9"/>
  <c r="BA949" i="9"/>
  <c r="AV949" i="9"/>
  <c r="AU949" i="9"/>
  <c r="AT949" i="9"/>
  <c r="BB948" i="9"/>
  <c r="BA948" i="9"/>
  <c r="AV948" i="9"/>
  <c r="AU948" i="9"/>
  <c r="AT948" i="9"/>
  <c r="BB947" i="9"/>
  <c r="BA947" i="9"/>
  <c r="AV947" i="9"/>
  <c r="AU947" i="9"/>
  <c r="AT947" i="9"/>
  <c r="BB946" i="9"/>
  <c r="BA946" i="9"/>
  <c r="AV946" i="9"/>
  <c r="AU946" i="9"/>
  <c r="AT946" i="9"/>
  <c r="BB945" i="9"/>
  <c r="BA945" i="9"/>
  <c r="AV945" i="9"/>
  <c r="AU945" i="9"/>
  <c r="AT945" i="9"/>
  <c r="BB944" i="9"/>
  <c r="BA944" i="9"/>
  <c r="AV944" i="9"/>
  <c r="AU944" i="9"/>
  <c r="AT944" i="9"/>
  <c r="BB943" i="9"/>
  <c r="BA943" i="9"/>
  <c r="AV943" i="9"/>
  <c r="AU943" i="9"/>
  <c r="AT943" i="9"/>
  <c r="BB942" i="9"/>
  <c r="BA942" i="9"/>
  <c r="AV942" i="9"/>
  <c r="AU942" i="9"/>
  <c r="AT942" i="9"/>
  <c r="BB941" i="9"/>
  <c r="BA941" i="9"/>
  <c r="AV941" i="9"/>
  <c r="AU941" i="9"/>
  <c r="AT941" i="9"/>
  <c r="BB940" i="9"/>
  <c r="BA940" i="9"/>
  <c r="AV940" i="9"/>
  <c r="AU940" i="9"/>
  <c r="AT940" i="9"/>
  <c r="BB939" i="9"/>
  <c r="BA939" i="9"/>
  <c r="AV939" i="9"/>
  <c r="AU939" i="9"/>
  <c r="AT939" i="9"/>
  <c r="BB938" i="9"/>
  <c r="BA938" i="9"/>
  <c r="AV938" i="9"/>
  <c r="AU938" i="9"/>
  <c r="AT938" i="9"/>
  <c r="BB937" i="9"/>
  <c r="BA937" i="9"/>
  <c r="AV937" i="9"/>
  <c r="AU937" i="9"/>
  <c r="AT937" i="9"/>
  <c r="BB936" i="9"/>
  <c r="BA936" i="9"/>
  <c r="AV936" i="9"/>
  <c r="AU936" i="9"/>
  <c r="AT936" i="9"/>
  <c r="BB935" i="9"/>
  <c r="BA935" i="9"/>
  <c r="AV935" i="9"/>
  <c r="AU935" i="9"/>
  <c r="AT935" i="9"/>
  <c r="BB934" i="9"/>
  <c r="BA934" i="9"/>
  <c r="AV934" i="9"/>
  <c r="AU934" i="9"/>
  <c r="AT934" i="9"/>
  <c r="BB933" i="9"/>
  <c r="BA933" i="9"/>
  <c r="AV933" i="9"/>
  <c r="AU933" i="9"/>
  <c r="AT933" i="9"/>
  <c r="BB932" i="9"/>
  <c r="BA932" i="9"/>
  <c r="AV932" i="9"/>
  <c r="AU932" i="9"/>
  <c r="AT932" i="9"/>
  <c r="BB931" i="9"/>
  <c r="BA931" i="9"/>
  <c r="AV931" i="9"/>
  <c r="AU931" i="9"/>
  <c r="AT931" i="9"/>
  <c r="BB930" i="9"/>
  <c r="BA930" i="9"/>
  <c r="AV930" i="9"/>
  <c r="AU930" i="9"/>
  <c r="AT930" i="9"/>
  <c r="BB929" i="9"/>
  <c r="BA929" i="9"/>
  <c r="AV929" i="9"/>
  <c r="AU929" i="9"/>
  <c r="AT929" i="9"/>
  <c r="BB928" i="9"/>
  <c r="BA928" i="9"/>
  <c r="AV928" i="9"/>
  <c r="AU928" i="9"/>
  <c r="AT928" i="9"/>
  <c r="BB927" i="9"/>
  <c r="BA927" i="9"/>
  <c r="AV927" i="9"/>
  <c r="AU927" i="9"/>
  <c r="AT927" i="9"/>
  <c r="BB926" i="9"/>
  <c r="BA926" i="9"/>
  <c r="AV926" i="9"/>
  <c r="AU926" i="9"/>
  <c r="AT926" i="9"/>
  <c r="BB925" i="9"/>
  <c r="BA925" i="9"/>
  <c r="AV925" i="9"/>
  <c r="AU925" i="9"/>
  <c r="AT925" i="9"/>
  <c r="BB924" i="9"/>
  <c r="BA924" i="9"/>
  <c r="AV924" i="9"/>
  <c r="AU924" i="9"/>
  <c r="AT924" i="9"/>
  <c r="BB923" i="9"/>
  <c r="BA923" i="9"/>
  <c r="AV923" i="9"/>
  <c r="AU923" i="9"/>
  <c r="AT923" i="9"/>
  <c r="BB922" i="9"/>
  <c r="BA922" i="9"/>
  <c r="AV922" i="9"/>
  <c r="AU922" i="9"/>
  <c r="AT922" i="9"/>
  <c r="BB921" i="9"/>
  <c r="BA921" i="9"/>
  <c r="AV921" i="9"/>
  <c r="AU921" i="9"/>
  <c r="AT921" i="9"/>
  <c r="BB920" i="9"/>
  <c r="BA920" i="9"/>
  <c r="AV920" i="9"/>
  <c r="AU920" i="9"/>
  <c r="AT920" i="9"/>
  <c r="BB919" i="9"/>
  <c r="BA919" i="9"/>
  <c r="AV919" i="9"/>
  <c r="AU919" i="9"/>
  <c r="AT919" i="9"/>
  <c r="BB918" i="9"/>
  <c r="BA918" i="9"/>
  <c r="AV918" i="9"/>
  <c r="AU918" i="9"/>
  <c r="AT918" i="9"/>
  <c r="BB917" i="9"/>
  <c r="BA917" i="9"/>
  <c r="AV917" i="9"/>
  <c r="AU917" i="9"/>
  <c r="AT917" i="9"/>
  <c r="BB916" i="9"/>
  <c r="BA916" i="9"/>
  <c r="AV916" i="9"/>
  <c r="AU916" i="9"/>
  <c r="AT916" i="9"/>
  <c r="BB915" i="9"/>
  <c r="BA915" i="9"/>
  <c r="AV915" i="9"/>
  <c r="AU915" i="9"/>
  <c r="AT915" i="9"/>
  <c r="BB914" i="9"/>
  <c r="BA914" i="9"/>
  <c r="AV914" i="9"/>
  <c r="AU914" i="9"/>
  <c r="AT914" i="9"/>
  <c r="BB913" i="9"/>
  <c r="BA913" i="9"/>
  <c r="AV913" i="9"/>
  <c r="AU913" i="9"/>
  <c r="AT913" i="9"/>
  <c r="BB912" i="9"/>
  <c r="BA912" i="9"/>
  <c r="AV912" i="9"/>
  <c r="AU912" i="9"/>
  <c r="AT912" i="9"/>
  <c r="BB911" i="9"/>
  <c r="BA911" i="9"/>
  <c r="AV911" i="9"/>
  <c r="AU911" i="9"/>
  <c r="AT911" i="9"/>
  <c r="BB910" i="9"/>
  <c r="BA910" i="9"/>
  <c r="AV910" i="9"/>
  <c r="AU910" i="9"/>
  <c r="AT910" i="9"/>
  <c r="BB909" i="9"/>
  <c r="BA909" i="9"/>
  <c r="AV909" i="9"/>
  <c r="AU909" i="9"/>
  <c r="AT909" i="9"/>
  <c r="BB908" i="9"/>
  <c r="BA908" i="9"/>
  <c r="AV908" i="9"/>
  <c r="AU908" i="9"/>
  <c r="AT908" i="9"/>
  <c r="BB907" i="9"/>
  <c r="BA907" i="9"/>
  <c r="AV907" i="9"/>
  <c r="AU907" i="9"/>
  <c r="AT907" i="9"/>
  <c r="BB906" i="9"/>
  <c r="BA906" i="9"/>
  <c r="AV906" i="9"/>
  <c r="AU906" i="9"/>
  <c r="AT906" i="9"/>
  <c r="BB905" i="9"/>
  <c r="BA905" i="9"/>
  <c r="AV905" i="9"/>
  <c r="AU905" i="9"/>
  <c r="AT905" i="9"/>
  <c r="BB904" i="9"/>
  <c r="BA904" i="9"/>
  <c r="AV904" i="9"/>
  <c r="AU904" i="9"/>
  <c r="AT904" i="9"/>
  <c r="BB903" i="9"/>
  <c r="BA903" i="9"/>
  <c r="AV903" i="9"/>
  <c r="AU903" i="9"/>
  <c r="AT903" i="9"/>
  <c r="BB902" i="9"/>
  <c r="BA902" i="9"/>
  <c r="AV902" i="9"/>
  <c r="AU902" i="9"/>
  <c r="AT902" i="9"/>
  <c r="BB901" i="9"/>
  <c r="BA901" i="9"/>
  <c r="AV901" i="9"/>
  <c r="AU901" i="9"/>
  <c r="AT901" i="9"/>
  <c r="BB900" i="9"/>
  <c r="BA900" i="9"/>
  <c r="AV900" i="9"/>
  <c r="AU900" i="9"/>
  <c r="AT900" i="9"/>
  <c r="BB899" i="9"/>
  <c r="BA899" i="9"/>
  <c r="AV899" i="9"/>
  <c r="AU899" i="9"/>
  <c r="AT899" i="9"/>
  <c r="BB898" i="9"/>
  <c r="BA898" i="9"/>
  <c r="AV898" i="9"/>
  <c r="AU898" i="9"/>
  <c r="AT898" i="9"/>
  <c r="BB897" i="9"/>
  <c r="BA897" i="9"/>
  <c r="AV897" i="9"/>
  <c r="AU897" i="9"/>
  <c r="AT897" i="9"/>
  <c r="BB896" i="9"/>
  <c r="BA896" i="9"/>
  <c r="AV896" i="9"/>
  <c r="AU896" i="9"/>
  <c r="AT896" i="9"/>
  <c r="BB895" i="9"/>
  <c r="BA895" i="9"/>
  <c r="AV895" i="9"/>
  <c r="AU895" i="9"/>
  <c r="AT895" i="9"/>
  <c r="BB894" i="9"/>
  <c r="BA894" i="9"/>
  <c r="AV894" i="9"/>
  <c r="AU894" i="9"/>
  <c r="AT894" i="9"/>
  <c r="BB893" i="9"/>
  <c r="BA893" i="9"/>
  <c r="AV893" i="9"/>
  <c r="AU893" i="9"/>
  <c r="AT893" i="9"/>
  <c r="BB892" i="9"/>
  <c r="BA892" i="9"/>
  <c r="AV892" i="9"/>
  <c r="AU892" i="9"/>
  <c r="AT892" i="9"/>
  <c r="BB891" i="9"/>
  <c r="BA891" i="9"/>
  <c r="AV891" i="9"/>
  <c r="AU891" i="9"/>
  <c r="AT891" i="9"/>
  <c r="BB890" i="9"/>
  <c r="BA890" i="9"/>
  <c r="AV890" i="9"/>
  <c r="AU890" i="9"/>
  <c r="AT890" i="9"/>
  <c r="BB889" i="9"/>
  <c r="BA889" i="9"/>
  <c r="AV889" i="9"/>
  <c r="AU889" i="9"/>
  <c r="AT889" i="9"/>
  <c r="BB888" i="9"/>
  <c r="BA888" i="9"/>
  <c r="AV888" i="9"/>
  <c r="AU888" i="9"/>
  <c r="AT888" i="9"/>
  <c r="BB887" i="9"/>
  <c r="BA887" i="9"/>
  <c r="AV887" i="9"/>
  <c r="AU887" i="9"/>
  <c r="AT887" i="9"/>
  <c r="BB886" i="9"/>
  <c r="BA886" i="9"/>
  <c r="AV886" i="9"/>
  <c r="AU886" i="9"/>
  <c r="AT886" i="9"/>
  <c r="BB885" i="9"/>
  <c r="BA885" i="9"/>
  <c r="AV885" i="9"/>
  <c r="AU885" i="9"/>
  <c r="AT885" i="9"/>
  <c r="BB884" i="9"/>
  <c r="BA884" i="9"/>
  <c r="AV884" i="9"/>
  <c r="AU884" i="9"/>
  <c r="AT884" i="9"/>
  <c r="BB883" i="9"/>
  <c r="BA883" i="9"/>
  <c r="AV883" i="9"/>
  <c r="AU883" i="9"/>
  <c r="AT883" i="9"/>
  <c r="BB882" i="9"/>
  <c r="BA882" i="9"/>
  <c r="AV882" i="9"/>
  <c r="AU882" i="9"/>
  <c r="AT882" i="9"/>
  <c r="BB881" i="9"/>
  <c r="BA881" i="9"/>
  <c r="AV881" i="9"/>
  <c r="AU881" i="9"/>
  <c r="AT881" i="9"/>
  <c r="BB880" i="9"/>
  <c r="BA880" i="9"/>
  <c r="AV880" i="9"/>
  <c r="AU880" i="9"/>
  <c r="AT880" i="9"/>
  <c r="BB879" i="9"/>
  <c r="BA879" i="9"/>
  <c r="AV879" i="9"/>
  <c r="AU879" i="9"/>
  <c r="AT879" i="9"/>
  <c r="BB878" i="9"/>
  <c r="BA878" i="9"/>
  <c r="AV878" i="9"/>
  <c r="AU878" i="9"/>
  <c r="AT878" i="9"/>
  <c r="BB877" i="9"/>
  <c r="BA877" i="9"/>
  <c r="AV877" i="9"/>
  <c r="AU877" i="9"/>
  <c r="AT877" i="9"/>
  <c r="BB876" i="9"/>
  <c r="BA876" i="9"/>
  <c r="AV876" i="9"/>
  <c r="AU876" i="9"/>
  <c r="AT876" i="9"/>
  <c r="BB875" i="9"/>
  <c r="BA875" i="9"/>
  <c r="AV875" i="9"/>
  <c r="AU875" i="9"/>
  <c r="AT875" i="9"/>
  <c r="BB874" i="9"/>
  <c r="BA874" i="9"/>
  <c r="AV874" i="9"/>
  <c r="AU874" i="9"/>
  <c r="AT874" i="9"/>
  <c r="BB873" i="9"/>
  <c r="BA873" i="9"/>
  <c r="AV873" i="9"/>
  <c r="AU873" i="9"/>
  <c r="AT873" i="9"/>
  <c r="BB872" i="9"/>
  <c r="BA872" i="9"/>
  <c r="AV872" i="9"/>
  <c r="AU872" i="9"/>
  <c r="AT872" i="9"/>
  <c r="BB871" i="9"/>
  <c r="BA871" i="9"/>
  <c r="AV871" i="9"/>
  <c r="AU871" i="9"/>
  <c r="AT871" i="9"/>
  <c r="BB870" i="9"/>
  <c r="BA870" i="9"/>
  <c r="AV870" i="9"/>
  <c r="AU870" i="9"/>
  <c r="AT870" i="9"/>
  <c r="BB869" i="9"/>
  <c r="BA869" i="9"/>
  <c r="AV869" i="9"/>
  <c r="AU869" i="9"/>
  <c r="AT869" i="9"/>
  <c r="BB868" i="9"/>
  <c r="BA868" i="9"/>
  <c r="AV868" i="9"/>
  <c r="AU868" i="9"/>
  <c r="AT868" i="9"/>
  <c r="BB867" i="9"/>
  <c r="BA867" i="9"/>
  <c r="AV867" i="9"/>
  <c r="AU867" i="9"/>
  <c r="AT867" i="9"/>
  <c r="BB866" i="9"/>
  <c r="BA866" i="9"/>
  <c r="AV866" i="9"/>
  <c r="AU866" i="9"/>
  <c r="AT866" i="9"/>
  <c r="BB865" i="9"/>
  <c r="BA865" i="9"/>
  <c r="AV865" i="9"/>
  <c r="AU865" i="9"/>
  <c r="AT865" i="9"/>
  <c r="BB864" i="9"/>
  <c r="BA864" i="9"/>
  <c r="AV864" i="9"/>
  <c r="AU864" i="9"/>
  <c r="AT864" i="9"/>
  <c r="BB863" i="9"/>
  <c r="BA863" i="9"/>
  <c r="AV863" i="9"/>
  <c r="AU863" i="9"/>
  <c r="AT863" i="9"/>
  <c r="BB862" i="9"/>
  <c r="BA862" i="9"/>
  <c r="AV862" i="9"/>
  <c r="AU862" i="9"/>
  <c r="AT862" i="9"/>
  <c r="BB861" i="9"/>
  <c r="BA861" i="9"/>
  <c r="AV861" i="9"/>
  <c r="AU861" i="9"/>
  <c r="AT861" i="9"/>
  <c r="BB860" i="9"/>
  <c r="BA860" i="9"/>
  <c r="AV860" i="9"/>
  <c r="AU860" i="9"/>
  <c r="AT860" i="9"/>
  <c r="BB859" i="9"/>
  <c r="BA859" i="9"/>
  <c r="AV859" i="9"/>
  <c r="AU859" i="9"/>
  <c r="AT859" i="9"/>
  <c r="BB858" i="9"/>
  <c r="BA858" i="9"/>
  <c r="AV858" i="9"/>
  <c r="AU858" i="9"/>
  <c r="AT858" i="9"/>
  <c r="BB857" i="9"/>
  <c r="BA857" i="9"/>
  <c r="AV857" i="9"/>
  <c r="AU857" i="9"/>
  <c r="AT857" i="9"/>
  <c r="BB856" i="9"/>
  <c r="BA856" i="9"/>
  <c r="AV856" i="9"/>
  <c r="AU856" i="9"/>
  <c r="AT856" i="9"/>
  <c r="BB855" i="9"/>
  <c r="BA855" i="9"/>
  <c r="AV855" i="9"/>
  <c r="AU855" i="9"/>
  <c r="AT855" i="9"/>
  <c r="BB854" i="9"/>
  <c r="BA854" i="9"/>
  <c r="AV854" i="9"/>
  <c r="AU854" i="9"/>
  <c r="AT854" i="9"/>
  <c r="BB853" i="9"/>
  <c r="BA853" i="9"/>
  <c r="AV853" i="9"/>
  <c r="AU853" i="9"/>
  <c r="AT853" i="9"/>
  <c r="BB852" i="9"/>
  <c r="BA852" i="9"/>
  <c r="AV852" i="9"/>
  <c r="AU852" i="9"/>
  <c r="AT852" i="9"/>
  <c r="BB851" i="9"/>
  <c r="BA851" i="9"/>
  <c r="AV851" i="9"/>
  <c r="AU851" i="9"/>
  <c r="AT851" i="9"/>
  <c r="BB850" i="9"/>
  <c r="BA850" i="9"/>
  <c r="AV850" i="9"/>
  <c r="AU850" i="9"/>
  <c r="AT850" i="9"/>
  <c r="BB849" i="9"/>
  <c r="BA849" i="9"/>
  <c r="AV849" i="9"/>
  <c r="AU849" i="9"/>
  <c r="AT849" i="9"/>
  <c r="BB848" i="9"/>
  <c r="BA848" i="9"/>
  <c r="AV848" i="9"/>
  <c r="AU848" i="9"/>
  <c r="AT848" i="9"/>
  <c r="BB847" i="9"/>
  <c r="BA847" i="9"/>
  <c r="AV847" i="9"/>
  <c r="AU847" i="9"/>
  <c r="AT847" i="9"/>
  <c r="BB846" i="9"/>
  <c r="BA846" i="9"/>
  <c r="AV846" i="9"/>
  <c r="AU846" i="9"/>
  <c r="AT846" i="9"/>
  <c r="BB845" i="9"/>
  <c r="BA845" i="9"/>
  <c r="AV845" i="9"/>
  <c r="AU845" i="9"/>
  <c r="AT845" i="9"/>
  <c r="BB844" i="9"/>
  <c r="BA844" i="9"/>
  <c r="AV844" i="9"/>
  <c r="AU844" i="9"/>
  <c r="AT844" i="9"/>
  <c r="BB843" i="9"/>
  <c r="BA843" i="9"/>
  <c r="AV843" i="9"/>
  <c r="AU843" i="9"/>
  <c r="AT843" i="9"/>
  <c r="BB842" i="9"/>
  <c r="BA842" i="9"/>
  <c r="AV842" i="9"/>
  <c r="AU842" i="9"/>
  <c r="AT842" i="9"/>
  <c r="BB841" i="9"/>
  <c r="BA841" i="9"/>
  <c r="AV841" i="9"/>
  <c r="AU841" i="9"/>
  <c r="AT841" i="9"/>
  <c r="BB840" i="9"/>
  <c r="BA840" i="9"/>
  <c r="AV840" i="9"/>
  <c r="AU840" i="9"/>
  <c r="AT840" i="9"/>
  <c r="BB839" i="9"/>
  <c r="BA839" i="9"/>
  <c r="AV839" i="9"/>
  <c r="AU839" i="9"/>
  <c r="AT839" i="9"/>
  <c r="BB838" i="9"/>
  <c r="BA838" i="9"/>
  <c r="AV838" i="9"/>
  <c r="AU838" i="9"/>
  <c r="AT838" i="9"/>
  <c r="BB837" i="9"/>
  <c r="BA837" i="9"/>
  <c r="AV837" i="9"/>
  <c r="AU837" i="9"/>
  <c r="AT837" i="9"/>
  <c r="BB836" i="9"/>
  <c r="BA836" i="9"/>
  <c r="AV836" i="9"/>
  <c r="AU836" i="9"/>
  <c r="AT836" i="9"/>
  <c r="BB835" i="9"/>
  <c r="BA835" i="9"/>
  <c r="AV835" i="9"/>
  <c r="AU835" i="9"/>
  <c r="AT835" i="9"/>
  <c r="BB834" i="9"/>
  <c r="BA834" i="9"/>
  <c r="AV834" i="9"/>
  <c r="AU834" i="9"/>
  <c r="AT834" i="9"/>
  <c r="BB833" i="9"/>
  <c r="BA833" i="9"/>
  <c r="AV833" i="9"/>
  <c r="AU833" i="9"/>
  <c r="AT833" i="9"/>
  <c r="BB832" i="9"/>
  <c r="BA832" i="9"/>
  <c r="AV832" i="9"/>
  <c r="AU832" i="9"/>
  <c r="AT832" i="9"/>
  <c r="BB831" i="9"/>
  <c r="BA831" i="9"/>
  <c r="AV831" i="9"/>
  <c r="AU831" i="9"/>
  <c r="AT831" i="9"/>
  <c r="BB830" i="9"/>
  <c r="BA830" i="9"/>
  <c r="AV830" i="9"/>
  <c r="AU830" i="9"/>
  <c r="AT830" i="9"/>
  <c r="BB829" i="9"/>
  <c r="BA829" i="9"/>
  <c r="AV829" i="9"/>
  <c r="AU829" i="9"/>
  <c r="AT829" i="9"/>
  <c r="BB828" i="9"/>
  <c r="BA828" i="9"/>
  <c r="AV828" i="9"/>
  <c r="AU828" i="9"/>
  <c r="AT828" i="9"/>
  <c r="BB827" i="9"/>
  <c r="BA827" i="9"/>
  <c r="AV827" i="9"/>
  <c r="AU827" i="9"/>
  <c r="AT827" i="9"/>
  <c r="BB826" i="9"/>
  <c r="BA826" i="9"/>
  <c r="AV826" i="9"/>
  <c r="AU826" i="9"/>
  <c r="AT826" i="9"/>
  <c r="BB825" i="9"/>
  <c r="BA825" i="9"/>
  <c r="AV825" i="9"/>
  <c r="AU825" i="9"/>
  <c r="AT825" i="9"/>
  <c r="BB824" i="9"/>
  <c r="BA824" i="9"/>
  <c r="AV824" i="9"/>
  <c r="AU824" i="9"/>
  <c r="AT824" i="9"/>
  <c r="BB823" i="9"/>
  <c r="BA823" i="9"/>
  <c r="AV823" i="9"/>
  <c r="AU823" i="9"/>
  <c r="AT823" i="9"/>
  <c r="BB822" i="9"/>
  <c r="BA822" i="9"/>
  <c r="AV822" i="9"/>
  <c r="AU822" i="9"/>
  <c r="AT822" i="9"/>
  <c r="BB821" i="9"/>
  <c r="BA821" i="9"/>
  <c r="AV821" i="9"/>
  <c r="AU821" i="9"/>
  <c r="AT821" i="9"/>
  <c r="BB820" i="9"/>
  <c r="BA820" i="9"/>
  <c r="AV820" i="9"/>
  <c r="AU820" i="9"/>
  <c r="AT820" i="9"/>
  <c r="BB819" i="9"/>
  <c r="BA819" i="9"/>
  <c r="AV819" i="9"/>
  <c r="AU819" i="9"/>
  <c r="AT819" i="9"/>
  <c r="BB818" i="9"/>
  <c r="BA818" i="9"/>
  <c r="AV818" i="9"/>
  <c r="AU818" i="9"/>
  <c r="AT818" i="9"/>
  <c r="BB817" i="9"/>
  <c r="BA817" i="9"/>
  <c r="AV817" i="9"/>
  <c r="AU817" i="9"/>
  <c r="AT817" i="9"/>
  <c r="BB816" i="9"/>
  <c r="BA816" i="9"/>
  <c r="AV816" i="9"/>
  <c r="AU816" i="9"/>
  <c r="AT816" i="9"/>
  <c r="BB815" i="9"/>
  <c r="BA815" i="9"/>
  <c r="AV815" i="9"/>
  <c r="AU815" i="9"/>
  <c r="AT815" i="9"/>
  <c r="BB814" i="9"/>
  <c r="BA814" i="9"/>
  <c r="AV814" i="9"/>
  <c r="AU814" i="9"/>
  <c r="AT814" i="9"/>
  <c r="BB813" i="9"/>
  <c r="BA813" i="9"/>
  <c r="AV813" i="9"/>
  <c r="AU813" i="9"/>
  <c r="AT813" i="9"/>
  <c r="BB812" i="9"/>
  <c r="BA812" i="9"/>
  <c r="AV812" i="9"/>
  <c r="AU812" i="9"/>
  <c r="AT812" i="9"/>
  <c r="BB811" i="9"/>
  <c r="BA811" i="9"/>
  <c r="AV811" i="9"/>
  <c r="AU811" i="9"/>
  <c r="AT811" i="9"/>
  <c r="BB810" i="9"/>
  <c r="BA810" i="9"/>
  <c r="AV810" i="9"/>
  <c r="AU810" i="9"/>
  <c r="AT810" i="9"/>
  <c r="BB809" i="9"/>
  <c r="BA809" i="9"/>
  <c r="AV809" i="9"/>
  <c r="AU809" i="9"/>
  <c r="AT809" i="9"/>
  <c r="BB808" i="9"/>
  <c r="BA808" i="9"/>
  <c r="AV808" i="9"/>
  <c r="AU808" i="9"/>
  <c r="AT808" i="9"/>
  <c r="BB807" i="9"/>
  <c r="BA807" i="9"/>
  <c r="AV807" i="9"/>
  <c r="AU807" i="9"/>
  <c r="AT807" i="9"/>
  <c r="BB806" i="9"/>
  <c r="BA806" i="9"/>
  <c r="AV806" i="9"/>
  <c r="AU806" i="9"/>
  <c r="AT806" i="9"/>
  <c r="BB805" i="9"/>
  <c r="BA805" i="9"/>
  <c r="AV805" i="9"/>
  <c r="AU805" i="9"/>
  <c r="AT805" i="9"/>
  <c r="BB804" i="9"/>
  <c r="BA804" i="9"/>
  <c r="AV804" i="9"/>
  <c r="AU804" i="9"/>
  <c r="AT804" i="9"/>
  <c r="BB803" i="9"/>
  <c r="BA803" i="9"/>
  <c r="AV803" i="9"/>
  <c r="AU803" i="9"/>
  <c r="AT803" i="9"/>
  <c r="BB802" i="9"/>
  <c r="BA802" i="9"/>
  <c r="AV802" i="9"/>
  <c r="AU802" i="9"/>
  <c r="AT802" i="9"/>
  <c r="BB801" i="9"/>
  <c r="BA801" i="9"/>
  <c r="AV801" i="9"/>
  <c r="AU801" i="9"/>
  <c r="AT801" i="9"/>
  <c r="BB800" i="9"/>
  <c r="BA800" i="9"/>
  <c r="AV800" i="9"/>
  <c r="AU800" i="9"/>
  <c r="AT800" i="9"/>
  <c r="BB799" i="9"/>
  <c r="BA799" i="9"/>
  <c r="AV799" i="9"/>
  <c r="AU799" i="9"/>
  <c r="AT799" i="9"/>
  <c r="BB798" i="9"/>
  <c r="BA798" i="9"/>
  <c r="AV798" i="9"/>
  <c r="AU798" i="9"/>
  <c r="AT798" i="9"/>
  <c r="BB797" i="9"/>
  <c r="BA797" i="9"/>
  <c r="AV797" i="9"/>
  <c r="AU797" i="9"/>
  <c r="AT797" i="9"/>
  <c r="BB796" i="9"/>
  <c r="BA796" i="9"/>
  <c r="AV796" i="9"/>
  <c r="AU796" i="9"/>
  <c r="AT796" i="9"/>
  <c r="BB795" i="9"/>
  <c r="BA795" i="9"/>
  <c r="AV795" i="9"/>
  <c r="AU795" i="9"/>
  <c r="AT795" i="9"/>
  <c r="BB794" i="9"/>
  <c r="BA794" i="9"/>
  <c r="AV794" i="9"/>
  <c r="AU794" i="9"/>
  <c r="AT794" i="9"/>
  <c r="BB793" i="9"/>
  <c r="BA793" i="9"/>
  <c r="AV793" i="9"/>
  <c r="AU793" i="9"/>
  <c r="AT793" i="9"/>
  <c r="BB792" i="9"/>
  <c r="BA792" i="9"/>
  <c r="AV792" i="9"/>
  <c r="AU792" i="9"/>
  <c r="AT792" i="9"/>
  <c r="BB791" i="9"/>
  <c r="BA791" i="9"/>
  <c r="AV791" i="9"/>
  <c r="AU791" i="9"/>
  <c r="AT791" i="9"/>
  <c r="BB790" i="9"/>
  <c r="BA790" i="9"/>
  <c r="AV790" i="9"/>
  <c r="AU790" i="9"/>
  <c r="AT790" i="9"/>
  <c r="BB789" i="9"/>
  <c r="BA789" i="9"/>
  <c r="AV789" i="9"/>
  <c r="AU789" i="9"/>
  <c r="AT789" i="9"/>
  <c r="BB788" i="9"/>
  <c r="BA788" i="9"/>
  <c r="AV788" i="9"/>
  <c r="AU788" i="9"/>
  <c r="AT788" i="9"/>
  <c r="BB787" i="9"/>
  <c r="BA787" i="9"/>
  <c r="AV787" i="9"/>
  <c r="AU787" i="9"/>
  <c r="AT787" i="9"/>
  <c r="BB786" i="9"/>
  <c r="BA786" i="9"/>
  <c r="AV786" i="9"/>
  <c r="AU786" i="9"/>
  <c r="AT786" i="9"/>
  <c r="BB785" i="9"/>
  <c r="BA785" i="9"/>
  <c r="AV785" i="9"/>
  <c r="AU785" i="9"/>
  <c r="AT785" i="9"/>
  <c r="BB784" i="9"/>
  <c r="BA784" i="9"/>
  <c r="AV784" i="9"/>
  <c r="AU784" i="9"/>
  <c r="AT784" i="9"/>
  <c r="BB783" i="9"/>
  <c r="BA783" i="9"/>
  <c r="AV783" i="9"/>
  <c r="AU783" i="9"/>
  <c r="AT783" i="9"/>
  <c r="BB782" i="9"/>
  <c r="BA782" i="9"/>
  <c r="AV782" i="9"/>
  <c r="AU782" i="9"/>
  <c r="AT782" i="9"/>
  <c r="BB781" i="9"/>
  <c r="BA781" i="9"/>
  <c r="AV781" i="9"/>
  <c r="AU781" i="9"/>
  <c r="AT781" i="9"/>
  <c r="BB780" i="9"/>
  <c r="BA780" i="9"/>
  <c r="AV780" i="9"/>
  <c r="AU780" i="9"/>
  <c r="AT780" i="9"/>
  <c r="BB779" i="9"/>
  <c r="BA779" i="9"/>
  <c r="AV779" i="9"/>
  <c r="AU779" i="9"/>
  <c r="AT779" i="9"/>
  <c r="BB778" i="9"/>
  <c r="BA778" i="9"/>
  <c r="AV778" i="9"/>
  <c r="AU778" i="9"/>
  <c r="AT778" i="9"/>
  <c r="BB777" i="9"/>
  <c r="BA777" i="9"/>
  <c r="AV777" i="9"/>
  <c r="AU777" i="9"/>
  <c r="AT777" i="9"/>
  <c r="BB776" i="9"/>
  <c r="BA776" i="9"/>
  <c r="AV776" i="9"/>
  <c r="AU776" i="9"/>
  <c r="AT776" i="9"/>
  <c r="BB775" i="9"/>
  <c r="BA775" i="9"/>
  <c r="AV775" i="9"/>
  <c r="AU775" i="9"/>
  <c r="AT775" i="9"/>
  <c r="BB774" i="9"/>
  <c r="BA774" i="9"/>
  <c r="AV774" i="9"/>
  <c r="AU774" i="9"/>
  <c r="AT774" i="9"/>
  <c r="BB773" i="9"/>
  <c r="BA773" i="9"/>
  <c r="AV773" i="9"/>
  <c r="AU773" i="9"/>
  <c r="AT773" i="9"/>
  <c r="BB772" i="9"/>
  <c r="BA772" i="9"/>
  <c r="AV772" i="9"/>
  <c r="AU772" i="9"/>
  <c r="AT772" i="9"/>
  <c r="BB771" i="9"/>
  <c r="BA771" i="9"/>
  <c r="AV771" i="9"/>
  <c r="AU771" i="9"/>
  <c r="AT771" i="9"/>
  <c r="BB770" i="9"/>
  <c r="BA770" i="9"/>
  <c r="AV770" i="9"/>
  <c r="AU770" i="9"/>
  <c r="AT770" i="9"/>
  <c r="BB769" i="9"/>
  <c r="BA769" i="9"/>
  <c r="AV769" i="9"/>
  <c r="AU769" i="9"/>
  <c r="AT769" i="9"/>
  <c r="BB768" i="9"/>
  <c r="BA768" i="9"/>
  <c r="AV768" i="9"/>
  <c r="AU768" i="9"/>
  <c r="AT768" i="9"/>
  <c r="BB767" i="9"/>
  <c r="BA767" i="9"/>
  <c r="AV767" i="9"/>
  <c r="AU767" i="9"/>
  <c r="AT767" i="9"/>
  <c r="BB766" i="9"/>
  <c r="BA766" i="9"/>
  <c r="AV766" i="9"/>
  <c r="AU766" i="9"/>
  <c r="AT766" i="9"/>
  <c r="BB765" i="9"/>
  <c r="BA765" i="9"/>
  <c r="AV765" i="9"/>
  <c r="AU765" i="9"/>
  <c r="AT765" i="9"/>
  <c r="BB764" i="9"/>
  <c r="BA764" i="9"/>
  <c r="AV764" i="9"/>
  <c r="AU764" i="9"/>
  <c r="AT764" i="9"/>
  <c r="BB763" i="9"/>
  <c r="BA763" i="9"/>
  <c r="AV763" i="9"/>
  <c r="AU763" i="9"/>
  <c r="AT763" i="9"/>
  <c r="BB762" i="9"/>
  <c r="BA762" i="9"/>
  <c r="AV762" i="9"/>
  <c r="AU762" i="9"/>
  <c r="AT762" i="9"/>
  <c r="BB761" i="9"/>
  <c r="BA761" i="9"/>
  <c r="AV761" i="9"/>
  <c r="AU761" i="9"/>
  <c r="AT761" i="9"/>
  <c r="BB760" i="9"/>
  <c r="BA760" i="9"/>
  <c r="AV760" i="9"/>
  <c r="AU760" i="9"/>
  <c r="AT760" i="9"/>
  <c r="BB759" i="9"/>
  <c r="BA759" i="9"/>
  <c r="AV759" i="9"/>
  <c r="AU759" i="9"/>
  <c r="AT759" i="9"/>
  <c r="BB758" i="9"/>
  <c r="BA758" i="9"/>
  <c r="AV758" i="9"/>
  <c r="AU758" i="9"/>
  <c r="AT758" i="9"/>
  <c r="BB757" i="9"/>
  <c r="BA757" i="9"/>
  <c r="AV757" i="9"/>
  <c r="AU757" i="9"/>
  <c r="AT757" i="9"/>
  <c r="BB756" i="9"/>
  <c r="BA756" i="9"/>
  <c r="AV756" i="9"/>
  <c r="AU756" i="9"/>
  <c r="AT756" i="9"/>
  <c r="BB755" i="9"/>
  <c r="BA755" i="9"/>
  <c r="AV755" i="9"/>
  <c r="AU755" i="9"/>
  <c r="AT755" i="9"/>
  <c r="BB754" i="9"/>
  <c r="BA754" i="9"/>
  <c r="AV754" i="9"/>
  <c r="AU754" i="9"/>
  <c r="AT754" i="9"/>
  <c r="BB753" i="9"/>
  <c r="BA753" i="9"/>
  <c r="AV753" i="9"/>
  <c r="AU753" i="9"/>
  <c r="AT753" i="9"/>
  <c r="BB752" i="9"/>
  <c r="BA752" i="9"/>
  <c r="AV752" i="9"/>
  <c r="AU752" i="9"/>
  <c r="AT752" i="9"/>
  <c r="BB751" i="9"/>
  <c r="BA751" i="9"/>
  <c r="AV751" i="9"/>
  <c r="AU751" i="9"/>
  <c r="AT751" i="9"/>
  <c r="BB750" i="9"/>
  <c r="BA750" i="9"/>
  <c r="AV750" i="9"/>
  <c r="AU750" i="9"/>
  <c r="AT750" i="9"/>
  <c r="BB749" i="9"/>
  <c r="BA749" i="9"/>
  <c r="AV749" i="9"/>
  <c r="AU749" i="9"/>
  <c r="AT749" i="9"/>
  <c r="BB748" i="9"/>
  <c r="BA748" i="9"/>
  <c r="AV748" i="9"/>
  <c r="AU748" i="9"/>
  <c r="AT748" i="9"/>
  <c r="BB747" i="9"/>
  <c r="BA747" i="9"/>
  <c r="AV747" i="9"/>
  <c r="AU747" i="9"/>
  <c r="AT747" i="9"/>
  <c r="BB746" i="9"/>
  <c r="BA746" i="9"/>
  <c r="AV746" i="9"/>
  <c r="AU746" i="9"/>
  <c r="AT746" i="9"/>
  <c r="BB745" i="9"/>
  <c r="BA745" i="9"/>
  <c r="AV745" i="9"/>
  <c r="AU745" i="9"/>
  <c r="AT745" i="9"/>
  <c r="BB744" i="9"/>
  <c r="BA744" i="9"/>
  <c r="AV744" i="9"/>
  <c r="AU744" i="9"/>
  <c r="AT744" i="9"/>
  <c r="BB743" i="9"/>
  <c r="BA743" i="9"/>
  <c r="AV743" i="9"/>
  <c r="AU743" i="9"/>
  <c r="AT743" i="9"/>
  <c r="BB742" i="9"/>
  <c r="BA742" i="9"/>
  <c r="AV742" i="9"/>
  <c r="AU742" i="9"/>
  <c r="AT742" i="9"/>
  <c r="BB741" i="9"/>
  <c r="BA741" i="9"/>
  <c r="AV741" i="9"/>
  <c r="AU741" i="9"/>
  <c r="AT741" i="9"/>
  <c r="BB740" i="9"/>
  <c r="BA740" i="9"/>
  <c r="AV740" i="9"/>
  <c r="AU740" i="9"/>
  <c r="AT740" i="9"/>
  <c r="BB739" i="9"/>
  <c r="BA739" i="9"/>
  <c r="AV739" i="9"/>
  <c r="AU739" i="9"/>
  <c r="AT739" i="9"/>
  <c r="BB738" i="9"/>
  <c r="BA738" i="9"/>
  <c r="AV738" i="9"/>
  <c r="AU738" i="9"/>
  <c r="AT738" i="9"/>
  <c r="BB737" i="9"/>
  <c r="BA737" i="9"/>
  <c r="AV737" i="9"/>
  <c r="AU737" i="9"/>
  <c r="AT737" i="9"/>
  <c r="BB736" i="9"/>
  <c r="BA736" i="9"/>
  <c r="AV736" i="9"/>
  <c r="AU736" i="9"/>
  <c r="AT736" i="9"/>
  <c r="BB735" i="9"/>
  <c r="BA735" i="9"/>
  <c r="AV735" i="9"/>
  <c r="AU735" i="9"/>
  <c r="AT735" i="9"/>
  <c r="BB734" i="9"/>
  <c r="BA734" i="9"/>
  <c r="AV734" i="9"/>
  <c r="AU734" i="9"/>
  <c r="AT734" i="9"/>
  <c r="BB733" i="9"/>
  <c r="BA733" i="9"/>
  <c r="AV733" i="9"/>
  <c r="AU733" i="9"/>
  <c r="AT733" i="9"/>
  <c r="BB732" i="9"/>
  <c r="BA732" i="9"/>
  <c r="AV732" i="9"/>
  <c r="AU732" i="9"/>
  <c r="AT732" i="9"/>
  <c r="BB731" i="9"/>
  <c r="BA731" i="9"/>
  <c r="AV731" i="9"/>
  <c r="AU731" i="9"/>
  <c r="AT731" i="9"/>
  <c r="BB730" i="9"/>
  <c r="BA730" i="9"/>
  <c r="AV730" i="9"/>
  <c r="AU730" i="9"/>
  <c r="AT730" i="9"/>
  <c r="BB729" i="9"/>
  <c r="BA729" i="9"/>
  <c r="AV729" i="9"/>
  <c r="AU729" i="9"/>
  <c r="AT729" i="9"/>
  <c r="BB728" i="9"/>
  <c r="BA728" i="9"/>
  <c r="AV728" i="9"/>
  <c r="AU728" i="9"/>
  <c r="AT728" i="9"/>
  <c r="BB727" i="9"/>
  <c r="BA727" i="9"/>
  <c r="AV727" i="9"/>
  <c r="AU727" i="9"/>
  <c r="AT727" i="9"/>
  <c r="BB726" i="9"/>
  <c r="BA726" i="9"/>
  <c r="AV726" i="9"/>
  <c r="AU726" i="9"/>
  <c r="AT726" i="9"/>
  <c r="BB725" i="9"/>
  <c r="BA725" i="9"/>
  <c r="AV725" i="9"/>
  <c r="AU725" i="9"/>
  <c r="AT725" i="9"/>
  <c r="BB724" i="9"/>
  <c r="BA724" i="9"/>
  <c r="AV724" i="9"/>
  <c r="AU724" i="9"/>
  <c r="AT724" i="9"/>
  <c r="BB723" i="9"/>
  <c r="BA723" i="9"/>
  <c r="AV723" i="9"/>
  <c r="AU723" i="9"/>
  <c r="AT723" i="9"/>
  <c r="BB722" i="9"/>
  <c r="BA722" i="9"/>
  <c r="AV722" i="9"/>
  <c r="AU722" i="9"/>
  <c r="AT722" i="9"/>
  <c r="BB721" i="9"/>
  <c r="BA721" i="9"/>
  <c r="AV721" i="9"/>
  <c r="AU721" i="9"/>
  <c r="AT721" i="9"/>
  <c r="BB720" i="9"/>
  <c r="BA720" i="9"/>
  <c r="AV720" i="9"/>
  <c r="AU720" i="9"/>
  <c r="AT720" i="9"/>
  <c r="BB719" i="9"/>
  <c r="BA719" i="9"/>
  <c r="AV719" i="9"/>
  <c r="AU719" i="9"/>
  <c r="AT719" i="9"/>
  <c r="BB718" i="9"/>
  <c r="BA718" i="9"/>
  <c r="AV718" i="9"/>
  <c r="AU718" i="9"/>
  <c r="AT718" i="9"/>
  <c r="BB717" i="9"/>
  <c r="BA717" i="9"/>
  <c r="AV717" i="9"/>
  <c r="AU717" i="9"/>
  <c r="AT717" i="9"/>
  <c r="BB716" i="9"/>
  <c r="BA716" i="9"/>
  <c r="AV716" i="9"/>
  <c r="AU716" i="9"/>
  <c r="AT716" i="9"/>
  <c r="BB715" i="9"/>
  <c r="BA715" i="9"/>
  <c r="AV715" i="9"/>
  <c r="AU715" i="9"/>
  <c r="AT715" i="9"/>
  <c r="BB714" i="9"/>
  <c r="BA714" i="9"/>
  <c r="AV714" i="9"/>
  <c r="AU714" i="9"/>
  <c r="AT714" i="9"/>
  <c r="BB713" i="9"/>
  <c r="BA713" i="9"/>
  <c r="AV713" i="9"/>
  <c r="AU713" i="9"/>
  <c r="AT713" i="9"/>
  <c r="BB712" i="9"/>
  <c r="BA712" i="9"/>
  <c r="AV712" i="9"/>
  <c r="AU712" i="9"/>
  <c r="AT712" i="9"/>
  <c r="BB711" i="9"/>
  <c r="BA711" i="9"/>
  <c r="AV711" i="9"/>
  <c r="AU711" i="9"/>
  <c r="AT711" i="9"/>
  <c r="BB710" i="9"/>
  <c r="BA710" i="9"/>
  <c r="AV710" i="9"/>
  <c r="AU710" i="9"/>
  <c r="AT710" i="9"/>
  <c r="BB709" i="9"/>
  <c r="BA709" i="9"/>
  <c r="AV709" i="9"/>
  <c r="AU709" i="9"/>
  <c r="AT709" i="9"/>
  <c r="BB708" i="9"/>
  <c r="BA708" i="9"/>
  <c r="AV708" i="9"/>
  <c r="AU708" i="9"/>
  <c r="AT708" i="9"/>
  <c r="BB707" i="9"/>
  <c r="BA707" i="9"/>
  <c r="AV707" i="9"/>
  <c r="AU707" i="9"/>
  <c r="AT707" i="9"/>
  <c r="BB706" i="9"/>
  <c r="BA706" i="9"/>
  <c r="AV706" i="9"/>
  <c r="AU706" i="9"/>
  <c r="AT706" i="9"/>
  <c r="BB705" i="9"/>
  <c r="BA705" i="9"/>
  <c r="AV705" i="9"/>
  <c r="AU705" i="9"/>
  <c r="AT705" i="9"/>
  <c r="BB704" i="9"/>
  <c r="BA704" i="9"/>
  <c r="AV704" i="9"/>
  <c r="AU704" i="9"/>
  <c r="AT704" i="9"/>
  <c r="BB703" i="9"/>
  <c r="BA703" i="9"/>
  <c r="AV703" i="9"/>
  <c r="AU703" i="9"/>
  <c r="AT703" i="9"/>
  <c r="BB702" i="9"/>
  <c r="BA702" i="9"/>
  <c r="AV702" i="9"/>
  <c r="AU702" i="9"/>
  <c r="AT702" i="9"/>
  <c r="BB701" i="9"/>
  <c r="BA701" i="9"/>
  <c r="AV701" i="9"/>
  <c r="AU701" i="9"/>
  <c r="AT701" i="9"/>
  <c r="BB700" i="9"/>
  <c r="BA700" i="9"/>
  <c r="AV700" i="9"/>
  <c r="AU700" i="9"/>
  <c r="AT700" i="9"/>
  <c r="BB699" i="9"/>
  <c r="BA699" i="9"/>
  <c r="AV699" i="9"/>
  <c r="AU699" i="9"/>
  <c r="AT699" i="9"/>
  <c r="BB698" i="9"/>
  <c r="BA698" i="9"/>
  <c r="AV698" i="9"/>
  <c r="AU698" i="9"/>
  <c r="AT698" i="9"/>
  <c r="BB697" i="9"/>
  <c r="BA697" i="9"/>
  <c r="AV697" i="9"/>
  <c r="AU697" i="9"/>
  <c r="AT697" i="9"/>
  <c r="BB696" i="9"/>
  <c r="BA696" i="9"/>
  <c r="AV696" i="9"/>
  <c r="AU696" i="9"/>
  <c r="AT696" i="9"/>
  <c r="BB695" i="9"/>
  <c r="BA695" i="9"/>
  <c r="AV695" i="9"/>
  <c r="AU695" i="9"/>
  <c r="AT695" i="9"/>
  <c r="BB694" i="9"/>
  <c r="BA694" i="9"/>
  <c r="AV694" i="9"/>
  <c r="AU694" i="9"/>
  <c r="AT694" i="9"/>
  <c r="BB693" i="9"/>
  <c r="BA693" i="9"/>
  <c r="AV693" i="9"/>
  <c r="AU693" i="9"/>
  <c r="AT693" i="9"/>
  <c r="BB692" i="9"/>
  <c r="BA692" i="9"/>
  <c r="AV692" i="9"/>
  <c r="AU692" i="9"/>
  <c r="AT692" i="9"/>
  <c r="BB691" i="9"/>
  <c r="BA691" i="9"/>
  <c r="AV691" i="9"/>
  <c r="AU691" i="9"/>
  <c r="AT691" i="9"/>
  <c r="BB690" i="9"/>
  <c r="BA690" i="9"/>
  <c r="AV690" i="9"/>
  <c r="AU690" i="9"/>
  <c r="AT690" i="9"/>
  <c r="BB689" i="9"/>
  <c r="BA689" i="9"/>
  <c r="AV689" i="9"/>
  <c r="AU689" i="9"/>
  <c r="AT689" i="9"/>
  <c r="BB688" i="9"/>
  <c r="BA688" i="9"/>
  <c r="AV688" i="9"/>
  <c r="AU688" i="9"/>
  <c r="AT688" i="9"/>
  <c r="BB687" i="9"/>
  <c r="BA687" i="9"/>
  <c r="AV687" i="9"/>
  <c r="AU687" i="9"/>
  <c r="AT687" i="9"/>
  <c r="BB686" i="9"/>
  <c r="BA686" i="9"/>
  <c r="AV686" i="9"/>
  <c r="AU686" i="9"/>
  <c r="AT686" i="9"/>
  <c r="BB685" i="9"/>
  <c r="BA685" i="9"/>
  <c r="AV685" i="9"/>
  <c r="AU685" i="9"/>
  <c r="AT685" i="9"/>
  <c r="BB684" i="9"/>
  <c r="BA684" i="9"/>
  <c r="AV684" i="9"/>
  <c r="AU684" i="9"/>
  <c r="AT684" i="9"/>
  <c r="BB683" i="9"/>
  <c r="BA683" i="9"/>
  <c r="AV683" i="9"/>
  <c r="AU683" i="9"/>
  <c r="AT683" i="9"/>
  <c r="BB682" i="9"/>
  <c r="BA682" i="9"/>
  <c r="AV682" i="9"/>
  <c r="AU682" i="9"/>
  <c r="AT682" i="9"/>
  <c r="BB681" i="9"/>
  <c r="BA681" i="9"/>
  <c r="AV681" i="9"/>
  <c r="AU681" i="9"/>
  <c r="AT681" i="9"/>
  <c r="BB680" i="9"/>
  <c r="BA680" i="9"/>
  <c r="AV680" i="9"/>
  <c r="AU680" i="9"/>
  <c r="AT680" i="9"/>
  <c r="BB679" i="9"/>
  <c r="BA679" i="9"/>
  <c r="AV679" i="9"/>
  <c r="AU679" i="9"/>
  <c r="AT679" i="9"/>
  <c r="BB678" i="9"/>
  <c r="BA678" i="9"/>
  <c r="AV678" i="9"/>
  <c r="AU678" i="9"/>
  <c r="AT678" i="9"/>
  <c r="BB677" i="9"/>
  <c r="BA677" i="9"/>
  <c r="AV677" i="9"/>
  <c r="AU677" i="9"/>
  <c r="AT677" i="9"/>
  <c r="BB676" i="9"/>
  <c r="BA676" i="9"/>
  <c r="AV676" i="9"/>
  <c r="AU676" i="9"/>
  <c r="AT676" i="9"/>
  <c r="BB675" i="9"/>
  <c r="BA675" i="9"/>
  <c r="AV675" i="9"/>
  <c r="AU675" i="9"/>
  <c r="AT675" i="9"/>
  <c r="BB674" i="9"/>
  <c r="BA674" i="9"/>
  <c r="AV674" i="9"/>
  <c r="AU674" i="9"/>
  <c r="AT674" i="9"/>
  <c r="BB673" i="9"/>
  <c r="BA673" i="9"/>
  <c r="AV673" i="9"/>
  <c r="AU673" i="9"/>
  <c r="AT673" i="9"/>
  <c r="BB672" i="9"/>
  <c r="BA672" i="9"/>
  <c r="AV672" i="9"/>
  <c r="AU672" i="9"/>
  <c r="AT672" i="9"/>
  <c r="BB671" i="9"/>
  <c r="BA671" i="9"/>
  <c r="AV671" i="9"/>
  <c r="AU671" i="9"/>
  <c r="AT671" i="9"/>
  <c r="BB670" i="9"/>
  <c r="BA670" i="9"/>
  <c r="AV670" i="9"/>
  <c r="AU670" i="9"/>
  <c r="AT670" i="9"/>
  <c r="BB669" i="9"/>
  <c r="BA669" i="9"/>
  <c r="AV669" i="9"/>
  <c r="AU669" i="9"/>
  <c r="AT669" i="9"/>
  <c r="BB668" i="9"/>
  <c r="BA668" i="9"/>
  <c r="AV668" i="9"/>
  <c r="AU668" i="9"/>
  <c r="AT668" i="9"/>
  <c r="BB667" i="9"/>
  <c r="BA667" i="9"/>
  <c r="AV667" i="9"/>
  <c r="AU667" i="9"/>
  <c r="AT667" i="9"/>
  <c r="BB666" i="9"/>
  <c r="BA666" i="9"/>
  <c r="AV666" i="9"/>
  <c r="AU666" i="9"/>
  <c r="AT666" i="9"/>
  <c r="BB665" i="9"/>
  <c r="BA665" i="9"/>
  <c r="AV665" i="9"/>
  <c r="AU665" i="9"/>
  <c r="AT665" i="9"/>
  <c r="BB664" i="9"/>
  <c r="BA664" i="9"/>
  <c r="AV664" i="9"/>
  <c r="AU664" i="9"/>
  <c r="AT664" i="9"/>
  <c r="BB663" i="9"/>
  <c r="BA663" i="9"/>
  <c r="AV663" i="9"/>
  <c r="AU663" i="9"/>
  <c r="AT663" i="9"/>
  <c r="BB662" i="9"/>
  <c r="BA662" i="9"/>
  <c r="AV662" i="9"/>
  <c r="AU662" i="9"/>
  <c r="AT662" i="9"/>
  <c r="BB661" i="9"/>
  <c r="BA661" i="9"/>
  <c r="AV661" i="9"/>
  <c r="AU661" i="9"/>
  <c r="AT661" i="9"/>
  <c r="BB660" i="9"/>
  <c r="BA660" i="9"/>
  <c r="AV660" i="9"/>
  <c r="AU660" i="9"/>
  <c r="AT660" i="9"/>
  <c r="BB659" i="9"/>
  <c r="BA659" i="9"/>
  <c r="AV659" i="9"/>
  <c r="AU659" i="9"/>
  <c r="AT659" i="9"/>
  <c r="BB658" i="9"/>
  <c r="BA658" i="9"/>
  <c r="AV658" i="9"/>
  <c r="AU658" i="9"/>
  <c r="AT658" i="9"/>
  <c r="BB657" i="9"/>
  <c r="BA657" i="9"/>
  <c r="AV657" i="9"/>
  <c r="AU657" i="9"/>
  <c r="AT657" i="9"/>
  <c r="BB656" i="9"/>
  <c r="BA656" i="9"/>
  <c r="AV656" i="9"/>
  <c r="AU656" i="9"/>
  <c r="AT656" i="9"/>
  <c r="BB655" i="9"/>
  <c r="BA655" i="9"/>
  <c r="AV655" i="9"/>
  <c r="AU655" i="9"/>
  <c r="AT655" i="9"/>
  <c r="BB654" i="9"/>
  <c r="BA654" i="9"/>
  <c r="AV654" i="9"/>
  <c r="AU654" i="9"/>
  <c r="AT654" i="9"/>
  <c r="BB653" i="9"/>
  <c r="BA653" i="9"/>
  <c r="AV653" i="9"/>
  <c r="AU653" i="9"/>
  <c r="AT653" i="9"/>
  <c r="BB652" i="9"/>
  <c r="BA652" i="9"/>
  <c r="AV652" i="9"/>
  <c r="AU652" i="9"/>
  <c r="AT652" i="9"/>
  <c r="BB651" i="9"/>
  <c r="BA651" i="9"/>
  <c r="AV651" i="9"/>
  <c r="AU651" i="9"/>
  <c r="AT651" i="9"/>
  <c r="BB650" i="9"/>
  <c r="BA650" i="9"/>
  <c r="AV650" i="9"/>
  <c r="AU650" i="9"/>
  <c r="AT650" i="9"/>
  <c r="BB649" i="9"/>
  <c r="BA649" i="9"/>
  <c r="AV649" i="9"/>
  <c r="AU649" i="9"/>
  <c r="AT649" i="9"/>
  <c r="BB648" i="9"/>
  <c r="BA648" i="9"/>
  <c r="AV648" i="9"/>
  <c r="AU648" i="9"/>
  <c r="AT648" i="9"/>
  <c r="BB647" i="9"/>
  <c r="BA647" i="9"/>
  <c r="AV647" i="9"/>
  <c r="AU647" i="9"/>
  <c r="AT647" i="9"/>
  <c r="BB646" i="9"/>
  <c r="BA646" i="9"/>
  <c r="AV646" i="9"/>
  <c r="AU646" i="9"/>
  <c r="AT646" i="9"/>
  <c r="BB645" i="9"/>
  <c r="BA645" i="9"/>
  <c r="AV645" i="9"/>
  <c r="AU645" i="9"/>
  <c r="AT645" i="9"/>
  <c r="BB644" i="9"/>
  <c r="BA644" i="9"/>
  <c r="AV644" i="9"/>
  <c r="AU644" i="9"/>
  <c r="AT644" i="9"/>
  <c r="BB643" i="9"/>
  <c r="BA643" i="9"/>
  <c r="AV643" i="9"/>
  <c r="AU643" i="9"/>
  <c r="AT643" i="9"/>
  <c r="BB642" i="9"/>
  <c r="BA642" i="9"/>
  <c r="AV642" i="9"/>
  <c r="AU642" i="9"/>
  <c r="AT642" i="9"/>
  <c r="BB641" i="9"/>
  <c r="BA641" i="9"/>
  <c r="AV641" i="9"/>
  <c r="AU641" i="9"/>
  <c r="AT641" i="9"/>
  <c r="BB640" i="9"/>
  <c r="BA640" i="9"/>
  <c r="AV640" i="9"/>
  <c r="AU640" i="9"/>
  <c r="AT640" i="9"/>
  <c r="BB639" i="9"/>
  <c r="BA639" i="9"/>
  <c r="AV639" i="9"/>
  <c r="AU639" i="9"/>
  <c r="AT639" i="9"/>
  <c r="BB638" i="9"/>
  <c r="BA638" i="9"/>
  <c r="AV638" i="9"/>
  <c r="AU638" i="9"/>
  <c r="AT638" i="9"/>
  <c r="BB637" i="9"/>
  <c r="BA637" i="9"/>
  <c r="AV637" i="9"/>
  <c r="AU637" i="9"/>
  <c r="AT637" i="9"/>
  <c r="BB636" i="9"/>
  <c r="BA636" i="9"/>
  <c r="AV636" i="9"/>
  <c r="AU636" i="9"/>
  <c r="AT636" i="9"/>
  <c r="BB635" i="9"/>
  <c r="BA635" i="9"/>
  <c r="AV635" i="9"/>
  <c r="AU635" i="9"/>
  <c r="AT635" i="9"/>
  <c r="BB634" i="9"/>
  <c r="BA634" i="9"/>
  <c r="AV634" i="9"/>
  <c r="AU634" i="9"/>
  <c r="AT634" i="9"/>
  <c r="BB633" i="9"/>
  <c r="BA633" i="9"/>
  <c r="AV633" i="9"/>
  <c r="AU633" i="9"/>
  <c r="AT633" i="9"/>
  <c r="BB632" i="9"/>
  <c r="BA632" i="9"/>
  <c r="AV632" i="9"/>
  <c r="AU632" i="9"/>
  <c r="AT632" i="9"/>
  <c r="BB631" i="9"/>
  <c r="BA631" i="9"/>
  <c r="AV631" i="9"/>
  <c r="AU631" i="9"/>
  <c r="AT631" i="9"/>
  <c r="BB630" i="9"/>
  <c r="BA630" i="9"/>
  <c r="AV630" i="9"/>
  <c r="AU630" i="9"/>
  <c r="AT630" i="9"/>
  <c r="BB629" i="9"/>
  <c r="BA629" i="9"/>
  <c r="AV629" i="9"/>
  <c r="AU629" i="9"/>
  <c r="AT629" i="9"/>
  <c r="BB628" i="9"/>
  <c r="BA628" i="9"/>
  <c r="AV628" i="9"/>
  <c r="AU628" i="9"/>
  <c r="AT628" i="9"/>
  <c r="BB627" i="9"/>
  <c r="BA627" i="9"/>
  <c r="AV627" i="9"/>
  <c r="AU627" i="9"/>
  <c r="AT627" i="9"/>
  <c r="BB626" i="9"/>
  <c r="BA626" i="9"/>
  <c r="AV626" i="9"/>
  <c r="AU626" i="9"/>
  <c r="AT626" i="9"/>
  <c r="BB625" i="9"/>
  <c r="BA625" i="9"/>
  <c r="AV625" i="9"/>
  <c r="AU625" i="9"/>
  <c r="AT625" i="9"/>
  <c r="BB624" i="9"/>
  <c r="BA624" i="9"/>
  <c r="AV624" i="9"/>
  <c r="AU624" i="9"/>
  <c r="AT624" i="9"/>
  <c r="BB623" i="9"/>
  <c r="BA623" i="9"/>
  <c r="AV623" i="9"/>
  <c r="AU623" i="9"/>
  <c r="AT623" i="9"/>
  <c r="BB622" i="9"/>
  <c r="BA622" i="9"/>
  <c r="AV622" i="9"/>
  <c r="AU622" i="9"/>
  <c r="AT622" i="9"/>
  <c r="BB621" i="9"/>
  <c r="BA621" i="9"/>
  <c r="AV621" i="9"/>
  <c r="AU621" i="9"/>
  <c r="AT621" i="9"/>
  <c r="BB620" i="9"/>
  <c r="BA620" i="9"/>
  <c r="AV620" i="9"/>
  <c r="AU620" i="9"/>
  <c r="AT620" i="9"/>
  <c r="BB619" i="9"/>
  <c r="BA619" i="9"/>
  <c r="AV619" i="9"/>
  <c r="AU619" i="9"/>
  <c r="AT619" i="9"/>
  <c r="BB618" i="9"/>
  <c r="BA618" i="9"/>
  <c r="AV618" i="9"/>
  <c r="AU618" i="9"/>
  <c r="AT618" i="9"/>
  <c r="BB617" i="9"/>
  <c r="BA617" i="9"/>
  <c r="AV617" i="9"/>
  <c r="AU617" i="9"/>
  <c r="AT617" i="9"/>
  <c r="BB616" i="9"/>
  <c r="BA616" i="9"/>
  <c r="AV616" i="9"/>
  <c r="AU616" i="9"/>
  <c r="AT616" i="9"/>
  <c r="BB615" i="9"/>
  <c r="BA615" i="9"/>
  <c r="AV615" i="9"/>
  <c r="AU615" i="9"/>
  <c r="AT615" i="9"/>
  <c r="BB614" i="9"/>
  <c r="BA614" i="9"/>
  <c r="AV614" i="9"/>
  <c r="AU614" i="9"/>
  <c r="AT614" i="9"/>
  <c r="BB613" i="9"/>
  <c r="BA613" i="9"/>
  <c r="AV613" i="9"/>
  <c r="AU613" i="9"/>
  <c r="AT613" i="9"/>
  <c r="BB612" i="9"/>
  <c r="BA612" i="9"/>
  <c r="AV612" i="9"/>
  <c r="AU612" i="9"/>
  <c r="AT612" i="9"/>
  <c r="BB611" i="9"/>
  <c r="BA611" i="9"/>
  <c r="AV611" i="9"/>
  <c r="AU611" i="9"/>
  <c r="AT611" i="9"/>
  <c r="BB610" i="9"/>
  <c r="BA610" i="9"/>
  <c r="AV610" i="9"/>
  <c r="AU610" i="9"/>
  <c r="AT610" i="9"/>
  <c r="BB609" i="9"/>
  <c r="BA609" i="9"/>
  <c r="AV609" i="9"/>
  <c r="AU609" i="9"/>
  <c r="AT609" i="9"/>
  <c r="BB608" i="9"/>
  <c r="BA608" i="9"/>
  <c r="AV608" i="9"/>
  <c r="AU608" i="9"/>
  <c r="AT608" i="9"/>
  <c r="BB607" i="9"/>
  <c r="BA607" i="9"/>
  <c r="AV607" i="9"/>
  <c r="AU607" i="9"/>
  <c r="AT607" i="9"/>
  <c r="BB606" i="9"/>
  <c r="BA606" i="9"/>
  <c r="AV606" i="9"/>
  <c r="AU606" i="9"/>
  <c r="AT606" i="9"/>
  <c r="BB605" i="9"/>
  <c r="BA605" i="9"/>
  <c r="AV605" i="9"/>
  <c r="AU605" i="9"/>
  <c r="AT605" i="9"/>
  <c r="BB604" i="9"/>
  <c r="BA604" i="9"/>
  <c r="AV604" i="9"/>
  <c r="AU604" i="9"/>
  <c r="AT604" i="9"/>
  <c r="BB603" i="9"/>
  <c r="BA603" i="9"/>
  <c r="AV603" i="9"/>
  <c r="AU603" i="9"/>
  <c r="AT603" i="9"/>
  <c r="BB602" i="9"/>
  <c r="BA602" i="9"/>
  <c r="AV602" i="9"/>
  <c r="AU602" i="9"/>
  <c r="AT602" i="9"/>
  <c r="BB601" i="9"/>
  <c r="BA601" i="9"/>
  <c r="AV601" i="9"/>
  <c r="AU601" i="9"/>
  <c r="AT601" i="9"/>
  <c r="BB600" i="9"/>
  <c r="BA600" i="9"/>
  <c r="AV600" i="9"/>
  <c r="AU600" i="9"/>
  <c r="AT600" i="9"/>
  <c r="BB599" i="9"/>
  <c r="BA599" i="9"/>
  <c r="AV599" i="9"/>
  <c r="AU599" i="9"/>
  <c r="AT599" i="9"/>
  <c r="BB598" i="9"/>
  <c r="BA598" i="9"/>
  <c r="AV598" i="9"/>
  <c r="AU598" i="9"/>
  <c r="AT598" i="9"/>
  <c r="BB597" i="9"/>
  <c r="BA597" i="9"/>
  <c r="AV597" i="9"/>
  <c r="AU597" i="9"/>
  <c r="AT597" i="9"/>
  <c r="BB596" i="9"/>
  <c r="BA596" i="9"/>
  <c r="AV596" i="9"/>
  <c r="AU596" i="9"/>
  <c r="AT596" i="9"/>
  <c r="BB595" i="9"/>
  <c r="BA595" i="9"/>
  <c r="AV595" i="9"/>
  <c r="AU595" i="9"/>
  <c r="AT595" i="9"/>
  <c r="BB594" i="9"/>
  <c r="BA594" i="9"/>
  <c r="AV594" i="9"/>
  <c r="AU594" i="9"/>
  <c r="AT594" i="9"/>
  <c r="BB593" i="9"/>
  <c r="BA593" i="9"/>
  <c r="AV593" i="9"/>
  <c r="AU593" i="9"/>
  <c r="AT593" i="9"/>
  <c r="BB592" i="9"/>
  <c r="BA592" i="9"/>
  <c r="AV592" i="9"/>
  <c r="AU592" i="9"/>
  <c r="AT592" i="9"/>
  <c r="BB591" i="9"/>
  <c r="BA591" i="9"/>
  <c r="AV591" i="9"/>
  <c r="AU591" i="9"/>
  <c r="AT591" i="9"/>
  <c r="BB590" i="9"/>
  <c r="BA590" i="9"/>
  <c r="AV590" i="9"/>
  <c r="AU590" i="9"/>
  <c r="AT590" i="9"/>
  <c r="BB589" i="9"/>
  <c r="BA589" i="9"/>
  <c r="AV589" i="9"/>
  <c r="AU589" i="9"/>
  <c r="AT589" i="9"/>
  <c r="BB588" i="9"/>
  <c r="BA588" i="9"/>
  <c r="AV588" i="9"/>
  <c r="AU588" i="9"/>
  <c r="AT588" i="9"/>
  <c r="BB587" i="9"/>
  <c r="BA587" i="9"/>
  <c r="AV587" i="9"/>
  <c r="AU587" i="9"/>
  <c r="AT587" i="9"/>
  <c r="BB586" i="9"/>
  <c r="BA586" i="9"/>
  <c r="AV586" i="9"/>
  <c r="AU586" i="9"/>
  <c r="AT586" i="9"/>
  <c r="BB585" i="9"/>
  <c r="BA585" i="9"/>
  <c r="AV585" i="9"/>
  <c r="AU585" i="9"/>
  <c r="AT585" i="9"/>
  <c r="BB584" i="9"/>
  <c r="BA584" i="9"/>
  <c r="AV584" i="9"/>
  <c r="AU584" i="9"/>
  <c r="AT584" i="9"/>
  <c r="BB583" i="9"/>
  <c r="BA583" i="9"/>
  <c r="AV583" i="9"/>
  <c r="AU583" i="9"/>
  <c r="AT583" i="9"/>
  <c r="BB582" i="9"/>
  <c r="BA582" i="9"/>
  <c r="AV582" i="9"/>
  <c r="AU582" i="9"/>
  <c r="AT582" i="9"/>
  <c r="BB581" i="9"/>
  <c r="BA581" i="9"/>
  <c r="AV581" i="9"/>
  <c r="AU581" i="9"/>
  <c r="AT581" i="9"/>
  <c r="BB580" i="9"/>
  <c r="BA580" i="9"/>
  <c r="AV580" i="9"/>
  <c r="AU580" i="9"/>
  <c r="AT580" i="9"/>
  <c r="BB579" i="9"/>
  <c r="BA579" i="9"/>
  <c r="AV579" i="9"/>
  <c r="AU579" i="9"/>
  <c r="AT579" i="9"/>
  <c r="BB578" i="9"/>
  <c r="BA578" i="9"/>
  <c r="AV578" i="9"/>
  <c r="AU578" i="9"/>
  <c r="AT578" i="9"/>
  <c r="BB577" i="9"/>
  <c r="BA577" i="9"/>
  <c r="AV577" i="9"/>
  <c r="AU577" i="9"/>
  <c r="AT577" i="9"/>
  <c r="BB576" i="9"/>
  <c r="BA576" i="9"/>
  <c r="AV576" i="9"/>
  <c r="AU576" i="9"/>
  <c r="AT576" i="9"/>
  <c r="BB575" i="9"/>
  <c r="BA575" i="9"/>
  <c r="AV575" i="9"/>
  <c r="AU575" i="9"/>
  <c r="AT575" i="9"/>
  <c r="BB574" i="9"/>
  <c r="BA574" i="9"/>
  <c r="AV574" i="9"/>
  <c r="AU574" i="9"/>
  <c r="AT574" i="9"/>
  <c r="BB573" i="9"/>
  <c r="BA573" i="9"/>
  <c r="AV573" i="9"/>
  <c r="AU573" i="9"/>
  <c r="AT573" i="9"/>
  <c r="BB572" i="9"/>
  <c r="BA572" i="9"/>
  <c r="AV572" i="9"/>
  <c r="AU572" i="9"/>
  <c r="AT572" i="9"/>
  <c r="BB571" i="9"/>
  <c r="BA571" i="9"/>
  <c r="AV571" i="9"/>
  <c r="AU571" i="9"/>
  <c r="AT571" i="9"/>
  <c r="BB570" i="9"/>
  <c r="BA570" i="9"/>
  <c r="AV570" i="9"/>
  <c r="AU570" i="9"/>
  <c r="AT570" i="9"/>
  <c r="BB569" i="9"/>
  <c r="BA569" i="9"/>
  <c r="AV569" i="9"/>
  <c r="AU569" i="9"/>
  <c r="AT569" i="9"/>
  <c r="BB568" i="9"/>
  <c r="BA568" i="9"/>
  <c r="AV568" i="9"/>
  <c r="AU568" i="9"/>
  <c r="AT568" i="9"/>
  <c r="BB567" i="9"/>
  <c r="BA567" i="9"/>
  <c r="AV567" i="9"/>
  <c r="AU567" i="9"/>
  <c r="AT567" i="9"/>
  <c r="BB566" i="9"/>
  <c r="BA566" i="9"/>
  <c r="AV566" i="9"/>
  <c r="AU566" i="9"/>
  <c r="AT566" i="9"/>
  <c r="BB565" i="9"/>
  <c r="BA565" i="9"/>
  <c r="AV565" i="9"/>
  <c r="AU565" i="9"/>
  <c r="AT565" i="9"/>
  <c r="BB564" i="9"/>
  <c r="BA564" i="9"/>
  <c r="AV564" i="9"/>
  <c r="AU564" i="9"/>
  <c r="AT564" i="9"/>
  <c r="BB563" i="9"/>
  <c r="BA563" i="9"/>
  <c r="AV563" i="9"/>
  <c r="AU563" i="9"/>
  <c r="AT563" i="9"/>
  <c r="BB562" i="9"/>
  <c r="BA562" i="9"/>
  <c r="AV562" i="9"/>
  <c r="AU562" i="9"/>
  <c r="AT562" i="9"/>
  <c r="BB561" i="9"/>
  <c r="BA561" i="9"/>
  <c r="AV561" i="9"/>
  <c r="AU561" i="9"/>
  <c r="AT561" i="9"/>
  <c r="BB560" i="9"/>
  <c r="BA560" i="9"/>
  <c r="AV560" i="9"/>
  <c r="AU560" i="9"/>
  <c r="AT560" i="9"/>
  <c r="BB559" i="9"/>
  <c r="BA559" i="9"/>
  <c r="AV559" i="9"/>
  <c r="AU559" i="9"/>
  <c r="AT559" i="9"/>
  <c r="BB558" i="9"/>
  <c r="BA558" i="9"/>
  <c r="AV558" i="9"/>
  <c r="AU558" i="9"/>
  <c r="AT558" i="9"/>
  <c r="BB557" i="9"/>
  <c r="BA557" i="9"/>
  <c r="AV557" i="9"/>
  <c r="AU557" i="9"/>
  <c r="AT557" i="9"/>
  <c r="BB556" i="9"/>
  <c r="BA556" i="9"/>
  <c r="AV556" i="9"/>
  <c r="AU556" i="9"/>
  <c r="AT556" i="9"/>
  <c r="BB555" i="9"/>
  <c r="BA555" i="9"/>
  <c r="AV555" i="9"/>
  <c r="AU555" i="9"/>
  <c r="AT555" i="9"/>
  <c r="BB554" i="9"/>
  <c r="BA554" i="9"/>
  <c r="AV554" i="9"/>
  <c r="AU554" i="9"/>
  <c r="AT554" i="9"/>
  <c r="BB553" i="9"/>
  <c r="BA553" i="9"/>
  <c r="AV553" i="9"/>
  <c r="AU553" i="9"/>
  <c r="AT553" i="9"/>
  <c r="BB552" i="9"/>
  <c r="BA552" i="9"/>
  <c r="AV552" i="9"/>
  <c r="AU552" i="9"/>
  <c r="AT552" i="9"/>
  <c r="BB551" i="9"/>
  <c r="BA551" i="9"/>
  <c r="AV551" i="9"/>
  <c r="AU551" i="9"/>
  <c r="AT551" i="9"/>
  <c r="BB550" i="9"/>
  <c r="BA550" i="9"/>
  <c r="AV550" i="9"/>
  <c r="AU550" i="9"/>
  <c r="AT550" i="9"/>
  <c r="BB549" i="9"/>
  <c r="BA549" i="9"/>
  <c r="AV549" i="9"/>
  <c r="AU549" i="9"/>
  <c r="AT549" i="9"/>
  <c r="BB548" i="9"/>
  <c r="BA548" i="9"/>
  <c r="AV548" i="9"/>
  <c r="AU548" i="9"/>
  <c r="AT548" i="9"/>
  <c r="BB547" i="9"/>
  <c r="BA547" i="9"/>
  <c r="AV547" i="9"/>
  <c r="AU547" i="9"/>
  <c r="AT547" i="9"/>
  <c r="BB546" i="9"/>
  <c r="BA546" i="9"/>
  <c r="AV546" i="9"/>
  <c r="AU546" i="9"/>
  <c r="AT546" i="9"/>
  <c r="BB545" i="9"/>
  <c r="BA545" i="9"/>
  <c r="AV545" i="9"/>
  <c r="AU545" i="9"/>
  <c r="AT545" i="9"/>
  <c r="BB544" i="9"/>
  <c r="BA544" i="9"/>
  <c r="AV544" i="9"/>
  <c r="AU544" i="9"/>
  <c r="AT544" i="9"/>
  <c r="BB543" i="9"/>
  <c r="BA543" i="9"/>
  <c r="AV543" i="9"/>
  <c r="AU543" i="9"/>
  <c r="AT543" i="9"/>
  <c r="BB542" i="9"/>
  <c r="BA542" i="9"/>
  <c r="AV542" i="9"/>
  <c r="AU542" i="9"/>
  <c r="AT542" i="9"/>
  <c r="BB541" i="9"/>
  <c r="BA541" i="9"/>
  <c r="AV541" i="9"/>
  <c r="AU541" i="9"/>
  <c r="AT541" i="9"/>
  <c r="BB540" i="9"/>
  <c r="BA540" i="9"/>
  <c r="AV540" i="9"/>
  <c r="AU540" i="9"/>
  <c r="AT540" i="9"/>
  <c r="BB539" i="9"/>
  <c r="BA539" i="9"/>
  <c r="AV539" i="9"/>
  <c r="AU539" i="9"/>
  <c r="AT539" i="9"/>
  <c r="BB538" i="9"/>
  <c r="BA538" i="9"/>
  <c r="AV538" i="9"/>
  <c r="AU538" i="9"/>
  <c r="AT538" i="9"/>
  <c r="BB537" i="9"/>
  <c r="BA537" i="9"/>
  <c r="AV537" i="9"/>
  <c r="AU537" i="9"/>
  <c r="AT537" i="9"/>
  <c r="BB536" i="9"/>
  <c r="BA536" i="9"/>
  <c r="AV536" i="9"/>
  <c r="AU536" i="9"/>
  <c r="AT536" i="9"/>
  <c r="BB535" i="9"/>
  <c r="BA535" i="9"/>
  <c r="AV535" i="9"/>
  <c r="AU535" i="9"/>
  <c r="AT535" i="9"/>
  <c r="BB534" i="9"/>
  <c r="BA534" i="9"/>
  <c r="AV534" i="9"/>
  <c r="AU534" i="9"/>
  <c r="AT534" i="9"/>
  <c r="BB533" i="9"/>
  <c r="BA533" i="9"/>
  <c r="AV533" i="9"/>
  <c r="AU533" i="9"/>
  <c r="AT533" i="9"/>
  <c r="BB532" i="9"/>
  <c r="BA532" i="9"/>
  <c r="AV532" i="9"/>
  <c r="AU532" i="9"/>
  <c r="AT532" i="9"/>
  <c r="BB531" i="9"/>
  <c r="BA531" i="9"/>
  <c r="AV531" i="9"/>
  <c r="AU531" i="9"/>
  <c r="AT531" i="9"/>
  <c r="BB530" i="9"/>
  <c r="BA530" i="9"/>
  <c r="AV530" i="9"/>
  <c r="AU530" i="9"/>
  <c r="AT530" i="9"/>
  <c r="BB529" i="9"/>
  <c r="BA529" i="9"/>
  <c r="AV529" i="9"/>
  <c r="AU529" i="9"/>
  <c r="AT529" i="9"/>
  <c r="BB528" i="9"/>
  <c r="BA528" i="9"/>
  <c r="AV528" i="9"/>
  <c r="AU528" i="9"/>
  <c r="AT528" i="9"/>
  <c r="BB527" i="9"/>
  <c r="BA527" i="9"/>
  <c r="AV527" i="9"/>
  <c r="AU527" i="9"/>
  <c r="AT527" i="9"/>
  <c r="BB526" i="9"/>
  <c r="BA526" i="9"/>
  <c r="AV526" i="9"/>
  <c r="AU526" i="9"/>
  <c r="AT526" i="9"/>
  <c r="BB525" i="9"/>
  <c r="BA525" i="9"/>
  <c r="AV525" i="9"/>
  <c r="AU525" i="9"/>
  <c r="AT525" i="9"/>
  <c r="BB524" i="9"/>
  <c r="BA524" i="9"/>
  <c r="AV524" i="9"/>
  <c r="AU524" i="9"/>
  <c r="AT524" i="9"/>
  <c r="BB523" i="9"/>
  <c r="BA523" i="9"/>
  <c r="AV523" i="9"/>
  <c r="AU523" i="9"/>
  <c r="AT523" i="9"/>
  <c r="BB522" i="9"/>
  <c r="BA522" i="9"/>
  <c r="AV522" i="9"/>
  <c r="AU522" i="9"/>
  <c r="AT522" i="9"/>
  <c r="BB521" i="9"/>
  <c r="BA521" i="9"/>
  <c r="AV521" i="9"/>
  <c r="AU521" i="9"/>
  <c r="AT521" i="9"/>
  <c r="BB520" i="9"/>
  <c r="BA520" i="9"/>
  <c r="AV520" i="9"/>
  <c r="AU520" i="9"/>
  <c r="AT520" i="9"/>
  <c r="BB519" i="9"/>
  <c r="BA519" i="9"/>
  <c r="AV519" i="9"/>
  <c r="AU519" i="9"/>
  <c r="AT519" i="9"/>
  <c r="BB518" i="9"/>
  <c r="BA518" i="9"/>
  <c r="AV518" i="9"/>
  <c r="AU518" i="9"/>
  <c r="AT518" i="9"/>
  <c r="BB517" i="9"/>
  <c r="BA517" i="9"/>
  <c r="AV517" i="9"/>
  <c r="AU517" i="9"/>
  <c r="AT517" i="9"/>
  <c r="BB516" i="9"/>
  <c r="BA516" i="9"/>
  <c r="AV516" i="9"/>
  <c r="AU516" i="9"/>
  <c r="AT516" i="9"/>
  <c r="BB515" i="9"/>
  <c r="BA515" i="9"/>
  <c r="AV515" i="9"/>
  <c r="AU515" i="9"/>
  <c r="AT515" i="9"/>
  <c r="BB514" i="9"/>
  <c r="BA514" i="9"/>
  <c r="AV514" i="9"/>
  <c r="AU514" i="9"/>
  <c r="AT514" i="9"/>
  <c r="BB513" i="9"/>
  <c r="BA513" i="9"/>
  <c r="AV513" i="9"/>
  <c r="AU513" i="9"/>
  <c r="AT513" i="9"/>
  <c r="BB512" i="9"/>
  <c r="BA512" i="9"/>
  <c r="AV512" i="9"/>
  <c r="AU512" i="9"/>
  <c r="AT512" i="9"/>
  <c r="BB511" i="9"/>
  <c r="BA511" i="9"/>
  <c r="AV511" i="9"/>
  <c r="AU511" i="9"/>
  <c r="AT511" i="9"/>
  <c r="BB510" i="9"/>
  <c r="BA510" i="9"/>
  <c r="AV510" i="9"/>
  <c r="AU510" i="9"/>
  <c r="AT510" i="9"/>
  <c r="BB509" i="9"/>
  <c r="BA509" i="9"/>
  <c r="AV509" i="9"/>
  <c r="AU509" i="9"/>
  <c r="AT509" i="9"/>
  <c r="BB508" i="9"/>
  <c r="BA508" i="9"/>
  <c r="AV508" i="9"/>
  <c r="AU508" i="9"/>
  <c r="AT508" i="9"/>
  <c r="BB507" i="9"/>
  <c r="BA507" i="9"/>
  <c r="AV507" i="9"/>
  <c r="AU507" i="9"/>
  <c r="AT507" i="9"/>
  <c r="BB506" i="9"/>
  <c r="BA506" i="9"/>
  <c r="AV506" i="9"/>
  <c r="AU506" i="9"/>
  <c r="AT506" i="9"/>
  <c r="BB505" i="9"/>
  <c r="BA505" i="9"/>
  <c r="AV505" i="9"/>
  <c r="AU505" i="9"/>
  <c r="AT505" i="9"/>
  <c r="BB504" i="9"/>
  <c r="BA504" i="9"/>
  <c r="AV504" i="9"/>
  <c r="AU504" i="9"/>
  <c r="AT504" i="9"/>
  <c r="BB503" i="9"/>
  <c r="BA503" i="9"/>
  <c r="AV503" i="9"/>
  <c r="AU503" i="9"/>
  <c r="AT503" i="9"/>
  <c r="BB502" i="9"/>
  <c r="BA502" i="9"/>
  <c r="AV502" i="9"/>
  <c r="AU502" i="9"/>
  <c r="AT502" i="9"/>
  <c r="BB501" i="9"/>
  <c r="BA501" i="9"/>
  <c r="AV501" i="9"/>
  <c r="AU501" i="9"/>
  <c r="AT501" i="9"/>
  <c r="BB500" i="9"/>
  <c r="BA500" i="9"/>
  <c r="AV500" i="9"/>
  <c r="AU500" i="9"/>
  <c r="AT500" i="9"/>
  <c r="BB499" i="9"/>
  <c r="BA499" i="9"/>
  <c r="AV499" i="9"/>
  <c r="AU499" i="9"/>
  <c r="AT499" i="9"/>
  <c r="BB498" i="9"/>
  <c r="BA498" i="9"/>
  <c r="AV498" i="9"/>
  <c r="AU498" i="9"/>
  <c r="AT498" i="9"/>
  <c r="BB497" i="9"/>
  <c r="BA497" i="9"/>
  <c r="AV497" i="9"/>
  <c r="AU497" i="9"/>
  <c r="AT497" i="9"/>
  <c r="BB496" i="9"/>
  <c r="BA496" i="9"/>
  <c r="AV496" i="9"/>
  <c r="AU496" i="9"/>
  <c r="AT496" i="9"/>
  <c r="BB495" i="9"/>
  <c r="BA495" i="9"/>
  <c r="AV495" i="9"/>
  <c r="AU495" i="9"/>
  <c r="AT495" i="9"/>
  <c r="BB494" i="9"/>
  <c r="BA494" i="9"/>
  <c r="AV494" i="9"/>
  <c r="AU494" i="9"/>
  <c r="AT494" i="9"/>
  <c r="BB493" i="9"/>
  <c r="BA493" i="9"/>
  <c r="AV493" i="9"/>
  <c r="AU493" i="9"/>
  <c r="AT493" i="9"/>
  <c r="BB492" i="9"/>
  <c r="BA492" i="9"/>
  <c r="AV492" i="9"/>
  <c r="AU492" i="9"/>
  <c r="AT492" i="9"/>
  <c r="BB491" i="9"/>
  <c r="BA491" i="9"/>
  <c r="AV491" i="9"/>
  <c r="AU491" i="9"/>
  <c r="AT491" i="9"/>
  <c r="BB490" i="9"/>
  <c r="BA490" i="9"/>
  <c r="AV490" i="9"/>
  <c r="AU490" i="9"/>
  <c r="AT490" i="9"/>
  <c r="BB489" i="9"/>
  <c r="BA489" i="9"/>
  <c r="AV489" i="9"/>
  <c r="AU489" i="9"/>
  <c r="AT489" i="9"/>
  <c r="BB488" i="9"/>
  <c r="BA488" i="9"/>
  <c r="AV488" i="9"/>
  <c r="AU488" i="9"/>
  <c r="AT488" i="9"/>
  <c r="BB487" i="9"/>
  <c r="BA487" i="9"/>
  <c r="AV487" i="9"/>
  <c r="AU487" i="9"/>
  <c r="AT487" i="9"/>
  <c r="BB486" i="9"/>
  <c r="BA486" i="9"/>
  <c r="AV486" i="9"/>
  <c r="AU486" i="9"/>
  <c r="AT486" i="9"/>
  <c r="BB485" i="9"/>
  <c r="BA485" i="9"/>
  <c r="AV485" i="9"/>
  <c r="AU485" i="9"/>
  <c r="AT485" i="9"/>
  <c r="BB484" i="9"/>
  <c r="BA484" i="9"/>
  <c r="AV484" i="9"/>
  <c r="AU484" i="9"/>
  <c r="AT484" i="9"/>
  <c r="BB483" i="9"/>
  <c r="BA483" i="9"/>
  <c r="AV483" i="9"/>
  <c r="AU483" i="9"/>
  <c r="AT483" i="9"/>
  <c r="BB482" i="9"/>
  <c r="BA482" i="9"/>
  <c r="AV482" i="9"/>
  <c r="AU482" i="9"/>
  <c r="AT482" i="9"/>
  <c r="BB481" i="9"/>
  <c r="BA481" i="9"/>
  <c r="AV481" i="9"/>
  <c r="AU481" i="9"/>
  <c r="AT481" i="9"/>
  <c r="BB480" i="9"/>
  <c r="BA480" i="9"/>
  <c r="AV480" i="9"/>
  <c r="AU480" i="9"/>
  <c r="AT480" i="9"/>
  <c r="BB479" i="9"/>
  <c r="BA479" i="9"/>
  <c r="AV479" i="9"/>
  <c r="AU479" i="9"/>
  <c r="AT479" i="9"/>
  <c r="BB478" i="9"/>
  <c r="BA478" i="9"/>
  <c r="AV478" i="9"/>
  <c r="AU478" i="9"/>
  <c r="AT478" i="9"/>
  <c r="BB477" i="9"/>
  <c r="BA477" i="9"/>
  <c r="AV477" i="9"/>
  <c r="AU477" i="9"/>
  <c r="AT477" i="9"/>
  <c r="BB476" i="9"/>
  <c r="BA476" i="9"/>
  <c r="AV476" i="9"/>
  <c r="AU476" i="9"/>
  <c r="AT476" i="9"/>
  <c r="BB475" i="9"/>
  <c r="BA475" i="9"/>
  <c r="AV475" i="9"/>
  <c r="AU475" i="9"/>
  <c r="AT475" i="9"/>
  <c r="BB474" i="9"/>
  <c r="BA474" i="9"/>
  <c r="AV474" i="9"/>
  <c r="AU474" i="9"/>
  <c r="AT474" i="9"/>
  <c r="BB473" i="9"/>
  <c r="BA473" i="9"/>
  <c r="AV473" i="9"/>
  <c r="AU473" i="9"/>
  <c r="AT473" i="9"/>
  <c r="BB472" i="9"/>
  <c r="BA472" i="9"/>
  <c r="AV472" i="9"/>
  <c r="AU472" i="9"/>
  <c r="AT472" i="9"/>
  <c r="BB471" i="9"/>
  <c r="BA471" i="9"/>
  <c r="AV471" i="9"/>
  <c r="AU471" i="9"/>
  <c r="AT471" i="9"/>
  <c r="BB470" i="9"/>
  <c r="BA470" i="9"/>
  <c r="AV470" i="9"/>
  <c r="AU470" i="9"/>
  <c r="AT470" i="9"/>
  <c r="BB469" i="9"/>
  <c r="BA469" i="9"/>
  <c r="AV469" i="9"/>
  <c r="AU469" i="9"/>
  <c r="AT469" i="9"/>
  <c r="BB468" i="9"/>
  <c r="BA468" i="9"/>
  <c r="AV468" i="9"/>
  <c r="AU468" i="9"/>
  <c r="AT468" i="9"/>
  <c r="BB467" i="9"/>
  <c r="BA467" i="9"/>
  <c r="AV467" i="9"/>
  <c r="AU467" i="9"/>
  <c r="AT467" i="9"/>
  <c r="BB466" i="9"/>
  <c r="BA466" i="9"/>
  <c r="AV466" i="9"/>
  <c r="AU466" i="9"/>
  <c r="AT466" i="9"/>
  <c r="BB465" i="9"/>
  <c r="BA465" i="9"/>
  <c r="AV465" i="9"/>
  <c r="AU465" i="9"/>
  <c r="AT465" i="9"/>
  <c r="BB464" i="9"/>
  <c r="BA464" i="9"/>
  <c r="AV464" i="9"/>
  <c r="AU464" i="9"/>
  <c r="AT464" i="9"/>
  <c r="BB463" i="9"/>
  <c r="BA463" i="9"/>
  <c r="AV463" i="9"/>
  <c r="AU463" i="9"/>
  <c r="AT463" i="9"/>
  <c r="BB462" i="9"/>
  <c r="BA462" i="9"/>
  <c r="AV462" i="9"/>
  <c r="AU462" i="9"/>
  <c r="AT462" i="9"/>
  <c r="BB461" i="9"/>
  <c r="BA461" i="9"/>
  <c r="AV461" i="9"/>
  <c r="AU461" i="9"/>
  <c r="AT461" i="9"/>
  <c r="BB460" i="9"/>
  <c r="BA460" i="9"/>
  <c r="AV460" i="9"/>
  <c r="AU460" i="9"/>
  <c r="AT460" i="9"/>
  <c r="BB459" i="9"/>
  <c r="BA459" i="9"/>
  <c r="AV459" i="9"/>
  <c r="AU459" i="9"/>
  <c r="AT459" i="9"/>
  <c r="BB458" i="9"/>
  <c r="BA458" i="9"/>
  <c r="AV458" i="9"/>
  <c r="AU458" i="9"/>
  <c r="AT458" i="9"/>
  <c r="BB457" i="9"/>
  <c r="BA457" i="9"/>
  <c r="AV457" i="9"/>
  <c r="AU457" i="9"/>
  <c r="AT457" i="9"/>
  <c r="BB456" i="9"/>
  <c r="BA456" i="9"/>
  <c r="AV456" i="9"/>
  <c r="AU456" i="9"/>
  <c r="AT456" i="9"/>
  <c r="BB455" i="9"/>
  <c r="BA455" i="9"/>
  <c r="AV455" i="9"/>
  <c r="AU455" i="9"/>
  <c r="AT455" i="9"/>
  <c r="BB454" i="9"/>
  <c r="BA454" i="9"/>
  <c r="AV454" i="9"/>
  <c r="AU454" i="9"/>
  <c r="AT454" i="9"/>
  <c r="BB453" i="9"/>
  <c r="BA453" i="9"/>
  <c r="AV453" i="9"/>
  <c r="AU453" i="9"/>
  <c r="AT453" i="9"/>
  <c r="BB452" i="9"/>
  <c r="BA452" i="9"/>
  <c r="AV452" i="9"/>
  <c r="AU452" i="9"/>
  <c r="AT452" i="9"/>
  <c r="BB451" i="9"/>
  <c r="BA451" i="9"/>
  <c r="AV451" i="9"/>
  <c r="AU451" i="9"/>
  <c r="AT451" i="9"/>
  <c r="BB450" i="9"/>
  <c r="BA450" i="9"/>
  <c r="AV450" i="9"/>
  <c r="AU450" i="9"/>
  <c r="AT450" i="9"/>
  <c r="BB449" i="9"/>
  <c r="BA449" i="9"/>
  <c r="AV449" i="9"/>
  <c r="AU449" i="9"/>
  <c r="AT449" i="9"/>
  <c r="BB448" i="9"/>
  <c r="BA448" i="9"/>
  <c r="AV448" i="9"/>
  <c r="AU448" i="9"/>
  <c r="AT448" i="9"/>
  <c r="BB447" i="9"/>
  <c r="BA447" i="9"/>
  <c r="AV447" i="9"/>
  <c r="AU447" i="9"/>
  <c r="AT447" i="9"/>
  <c r="BB446" i="9"/>
  <c r="BA446" i="9"/>
  <c r="AV446" i="9"/>
  <c r="AU446" i="9"/>
  <c r="AT446" i="9"/>
  <c r="BB445" i="9"/>
  <c r="BA445" i="9"/>
  <c r="AV445" i="9"/>
  <c r="AU445" i="9"/>
  <c r="AT445" i="9"/>
  <c r="BB444" i="9"/>
  <c r="BA444" i="9"/>
  <c r="AV444" i="9"/>
  <c r="AU444" i="9"/>
  <c r="AT444" i="9"/>
  <c r="BB443" i="9"/>
  <c r="BA443" i="9"/>
  <c r="AV443" i="9"/>
  <c r="AU443" i="9"/>
  <c r="AT443" i="9"/>
  <c r="BB442" i="9"/>
  <c r="BA442" i="9"/>
  <c r="AV442" i="9"/>
  <c r="AU442" i="9"/>
  <c r="AT442" i="9"/>
  <c r="BB441" i="9"/>
  <c r="BA441" i="9"/>
  <c r="AV441" i="9"/>
  <c r="AU441" i="9"/>
  <c r="AT441" i="9"/>
  <c r="BB440" i="9"/>
  <c r="BA440" i="9"/>
  <c r="AV440" i="9"/>
  <c r="AU440" i="9"/>
  <c r="AT440" i="9"/>
  <c r="BB439" i="9"/>
  <c r="BA439" i="9"/>
  <c r="AV439" i="9"/>
  <c r="AU439" i="9"/>
  <c r="AT439" i="9"/>
  <c r="BB438" i="9"/>
  <c r="BA438" i="9"/>
  <c r="AV438" i="9"/>
  <c r="AU438" i="9"/>
  <c r="AT438" i="9"/>
  <c r="BB437" i="9"/>
  <c r="BA437" i="9"/>
  <c r="AV437" i="9"/>
  <c r="AU437" i="9"/>
  <c r="AT437" i="9"/>
  <c r="BB436" i="9"/>
  <c r="BA436" i="9"/>
  <c r="AV436" i="9"/>
  <c r="AU436" i="9"/>
  <c r="AT436" i="9"/>
  <c r="BB435" i="9"/>
  <c r="BA435" i="9"/>
  <c r="AV435" i="9"/>
  <c r="AU435" i="9"/>
  <c r="AT435" i="9"/>
  <c r="BB434" i="9"/>
  <c r="BA434" i="9"/>
  <c r="AV434" i="9"/>
  <c r="AU434" i="9"/>
  <c r="AT434" i="9"/>
  <c r="BB433" i="9"/>
  <c r="BA433" i="9"/>
  <c r="AV433" i="9"/>
  <c r="AU433" i="9"/>
  <c r="AT433" i="9"/>
  <c r="BB432" i="9"/>
  <c r="BA432" i="9"/>
  <c r="AV432" i="9"/>
  <c r="AU432" i="9"/>
  <c r="AT432" i="9"/>
  <c r="BB431" i="9"/>
  <c r="BA431" i="9"/>
  <c r="AV431" i="9"/>
  <c r="AU431" i="9"/>
  <c r="AT431" i="9"/>
  <c r="BB430" i="9"/>
  <c r="BA430" i="9"/>
  <c r="AV430" i="9"/>
  <c r="AU430" i="9"/>
  <c r="AT430" i="9"/>
  <c r="BB429" i="9"/>
  <c r="BA429" i="9"/>
  <c r="AV429" i="9"/>
  <c r="AU429" i="9"/>
  <c r="AT429" i="9"/>
  <c r="BB428" i="9"/>
  <c r="BA428" i="9"/>
  <c r="AV428" i="9"/>
  <c r="AU428" i="9"/>
  <c r="AT428" i="9"/>
  <c r="BB427" i="9"/>
  <c r="BA427" i="9"/>
  <c r="AV427" i="9"/>
  <c r="AU427" i="9"/>
  <c r="AT427" i="9"/>
  <c r="BB426" i="9"/>
  <c r="BA426" i="9"/>
  <c r="AV426" i="9"/>
  <c r="AU426" i="9"/>
  <c r="AT426" i="9"/>
  <c r="BB425" i="9"/>
  <c r="BA425" i="9"/>
  <c r="AV425" i="9"/>
  <c r="AU425" i="9"/>
  <c r="AT425" i="9"/>
  <c r="BB424" i="9"/>
  <c r="BA424" i="9"/>
  <c r="AV424" i="9"/>
  <c r="AU424" i="9"/>
  <c r="AT424" i="9"/>
  <c r="BB423" i="9"/>
  <c r="BA423" i="9"/>
  <c r="AV423" i="9"/>
  <c r="AU423" i="9"/>
  <c r="AT423" i="9"/>
  <c r="BB422" i="9"/>
  <c r="BA422" i="9"/>
  <c r="AV422" i="9"/>
  <c r="AU422" i="9"/>
  <c r="AT422" i="9"/>
  <c r="BB421" i="9"/>
  <c r="BA421" i="9"/>
  <c r="AV421" i="9"/>
  <c r="AU421" i="9"/>
  <c r="AT421" i="9"/>
  <c r="BB420" i="9"/>
  <c r="BA420" i="9"/>
  <c r="AV420" i="9"/>
  <c r="AU420" i="9"/>
  <c r="AT420" i="9"/>
  <c r="BB419" i="9"/>
  <c r="BA419" i="9"/>
  <c r="AV419" i="9"/>
  <c r="AU419" i="9"/>
  <c r="AT419" i="9"/>
  <c r="BB418" i="9"/>
  <c r="BA418" i="9"/>
  <c r="AV418" i="9"/>
  <c r="AU418" i="9"/>
  <c r="AT418" i="9"/>
  <c r="BB417" i="9"/>
  <c r="BA417" i="9"/>
  <c r="AV417" i="9"/>
  <c r="AU417" i="9"/>
  <c r="AT417" i="9"/>
  <c r="BB416" i="9"/>
  <c r="BA416" i="9"/>
  <c r="AV416" i="9"/>
  <c r="AU416" i="9"/>
  <c r="AT416" i="9"/>
  <c r="BB415" i="9"/>
  <c r="BA415" i="9"/>
  <c r="AV415" i="9"/>
  <c r="AU415" i="9"/>
  <c r="AT415" i="9"/>
  <c r="BB414" i="9"/>
  <c r="BA414" i="9"/>
  <c r="AV414" i="9"/>
  <c r="AU414" i="9"/>
  <c r="AT414" i="9"/>
  <c r="BB413" i="9"/>
  <c r="BA413" i="9"/>
  <c r="AV413" i="9"/>
  <c r="AU413" i="9"/>
  <c r="AT413" i="9"/>
  <c r="BB412" i="9"/>
  <c r="BA412" i="9"/>
  <c r="AV412" i="9"/>
  <c r="AU412" i="9"/>
  <c r="AT412" i="9"/>
  <c r="BB411" i="9"/>
  <c r="BA411" i="9"/>
  <c r="AV411" i="9"/>
  <c r="AU411" i="9"/>
  <c r="AT411" i="9"/>
  <c r="BB410" i="9"/>
  <c r="BA410" i="9"/>
  <c r="AV410" i="9"/>
  <c r="AU410" i="9"/>
  <c r="AT410" i="9"/>
  <c r="BB409" i="9"/>
  <c r="BA409" i="9"/>
  <c r="AV409" i="9"/>
  <c r="AU409" i="9"/>
  <c r="AT409" i="9"/>
  <c r="BB408" i="9"/>
  <c r="BA408" i="9"/>
  <c r="AV408" i="9"/>
  <c r="AU408" i="9"/>
  <c r="AT408" i="9"/>
  <c r="BB407" i="9"/>
  <c r="BA407" i="9"/>
  <c r="AV407" i="9"/>
  <c r="AU407" i="9"/>
  <c r="AT407" i="9"/>
  <c r="BB406" i="9"/>
  <c r="BA406" i="9"/>
  <c r="AV406" i="9"/>
  <c r="AU406" i="9"/>
  <c r="AT406" i="9"/>
  <c r="BB405" i="9"/>
  <c r="BA405" i="9"/>
  <c r="AV405" i="9"/>
  <c r="AU405" i="9"/>
  <c r="AT405" i="9"/>
  <c r="BB404" i="9"/>
  <c r="BA404" i="9"/>
  <c r="AV404" i="9"/>
  <c r="AU404" i="9"/>
  <c r="AT404" i="9"/>
  <c r="BB403" i="9"/>
  <c r="BA403" i="9"/>
  <c r="AV403" i="9"/>
  <c r="AU403" i="9"/>
  <c r="AT403" i="9"/>
  <c r="BB402" i="9"/>
  <c r="BA402" i="9"/>
  <c r="AV402" i="9"/>
  <c r="AU402" i="9"/>
  <c r="AT402" i="9"/>
  <c r="BB401" i="9"/>
  <c r="BA401" i="9"/>
  <c r="AV401" i="9"/>
  <c r="AU401" i="9"/>
  <c r="AT401" i="9"/>
  <c r="BB400" i="9"/>
  <c r="BA400" i="9"/>
  <c r="AV400" i="9"/>
  <c r="AU400" i="9"/>
  <c r="AT400" i="9"/>
  <c r="BB399" i="9"/>
  <c r="BA399" i="9"/>
  <c r="AV399" i="9"/>
  <c r="AU399" i="9"/>
  <c r="AT399" i="9"/>
  <c r="BB398" i="9"/>
  <c r="BA398" i="9"/>
  <c r="AV398" i="9"/>
  <c r="AU398" i="9"/>
  <c r="AT398" i="9"/>
  <c r="BB397" i="9"/>
  <c r="BA397" i="9"/>
  <c r="AV397" i="9"/>
  <c r="AU397" i="9"/>
  <c r="AT397" i="9"/>
  <c r="BB396" i="9"/>
  <c r="BA396" i="9"/>
  <c r="AV396" i="9"/>
  <c r="AU396" i="9"/>
  <c r="AT396" i="9"/>
  <c r="BB395" i="9"/>
  <c r="BA395" i="9"/>
  <c r="AV395" i="9"/>
  <c r="AU395" i="9"/>
  <c r="AT395" i="9"/>
  <c r="BB394" i="9"/>
  <c r="BA394" i="9"/>
  <c r="AV394" i="9"/>
  <c r="AU394" i="9"/>
  <c r="AT394" i="9"/>
  <c r="BB393" i="9"/>
  <c r="BA393" i="9"/>
  <c r="AV393" i="9"/>
  <c r="AU393" i="9"/>
  <c r="AT393" i="9"/>
  <c r="BB392" i="9"/>
  <c r="BA392" i="9"/>
  <c r="AV392" i="9"/>
  <c r="AU392" i="9"/>
  <c r="AT392" i="9"/>
  <c r="BB391" i="9"/>
  <c r="BA391" i="9"/>
  <c r="AV391" i="9"/>
  <c r="AU391" i="9"/>
  <c r="AT391" i="9"/>
  <c r="BB390" i="9"/>
  <c r="BA390" i="9"/>
  <c r="AV390" i="9"/>
  <c r="AU390" i="9"/>
  <c r="AT390" i="9"/>
  <c r="BB389" i="9"/>
  <c r="BA389" i="9"/>
  <c r="AV389" i="9"/>
  <c r="AU389" i="9"/>
  <c r="AT389" i="9"/>
  <c r="BB388" i="9"/>
  <c r="BA388" i="9"/>
  <c r="AV388" i="9"/>
  <c r="AU388" i="9"/>
  <c r="AT388" i="9"/>
  <c r="BB387" i="9"/>
  <c r="BA387" i="9"/>
  <c r="AV387" i="9"/>
  <c r="AU387" i="9"/>
  <c r="AT387" i="9"/>
  <c r="BB386" i="9"/>
  <c r="BA386" i="9"/>
  <c r="AV386" i="9"/>
  <c r="AU386" i="9"/>
  <c r="AT386" i="9"/>
  <c r="BB385" i="9"/>
  <c r="BA385" i="9"/>
  <c r="AV385" i="9"/>
  <c r="AU385" i="9"/>
  <c r="AT385" i="9"/>
  <c r="BB384" i="9"/>
  <c r="BA384" i="9"/>
  <c r="AV384" i="9"/>
  <c r="AU384" i="9"/>
  <c r="AT384" i="9"/>
  <c r="BB383" i="9"/>
  <c r="BA383" i="9"/>
  <c r="AV383" i="9"/>
  <c r="AU383" i="9"/>
  <c r="AT383" i="9"/>
  <c r="BB382" i="9"/>
  <c r="BA382" i="9"/>
  <c r="AV382" i="9"/>
  <c r="AU382" i="9"/>
  <c r="AT382" i="9"/>
  <c r="BB381" i="9"/>
  <c r="BA381" i="9"/>
  <c r="AV381" i="9"/>
  <c r="AU381" i="9"/>
  <c r="AT381" i="9"/>
  <c r="BB380" i="9"/>
  <c r="BA380" i="9"/>
  <c r="AV380" i="9"/>
  <c r="AU380" i="9"/>
  <c r="AT380" i="9"/>
  <c r="BB379" i="9"/>
  <c r="BA379" i="9"/>
  <c r="AV379" i="9"/>
  <c r="AU379" i="9"/>
  <c r="AT379" i="9"/>
  <c r="BB378" i="9"/>
  <c r="BA378" i="9"/>
  <c r="AV378" i="9"/>
  <c r="AU378" i="9"/>
  <c r="AT378" i="9"/>
  <c r="BB377" i="9"/>
  <c r="BA377" i="9"/>
  <c r="AV377" i="9"/>
  <c r="AU377" i="9"/>
  <c r="AT377" i="9"/>
  <c r="BB376" i="9"/>
  <c r="BA376" i="9"/>
  <c r="AV376" i="9"/>
  <c r="AU376" i="9"/>
  <c r="AT376" i="9"/>
  <c r="BB375" i="9"/>
  <c r="BA375" i="9"/>
  <c r="AV375" i="9"/>
  <c r="AU375" i="9"/>
  <c r="AT375" i="9"/>
  <c r="BB374" i="9"/>
  <c r="BA374" i="9"/>
  <c r="AV374" i="9"/>
  <c r="AU374" i="9"/>
  <c r="AT374" i="9"/>
  <c r="BB373" i="9"/>
  <c r="BA373" i="9"/>
  <c r="AV373" i="9"/>
  <c r="AU373" i="9"/>
  <c r="AT373" i="9"/>
  <c r="BB372" i="9"/>
  <c r="BA372" i="9"/>
  <c r="AV372" i="9"/>
  <c r="AU372" i="9"/>
  <c r="AT372" i="9"/>
  <c r="BB371" i="9"/>
  <c r="BA371" i="9"/>
  <c r="AV371" i="9"/>
  <c r="AU371" i="9"/>
  <c r="AT371" i="9"/>
  <c r="BB370" i="9"/>
  <c r="BA370" i="9"/>
  <c r="AV370" i="9"/>
  <c r="AU370" i="9"/>
  <c r="AT370" i="9"/>
  <c r="BB369" i="9"/>
  <c r="BA369" i="9"/>
  <c r="AV369" i="9"/>
  <c r="AU369" i="9"/>
  <c r="AT369" i="9"/>
  <c r="BB368" i="9"/>
  <c r="BA368" i="9"/>
  <c r="AV368" i="9"/>
  <c r="AU368" i="9"/>
  <c r="AT368" i="9"/>
  <c r="BB367" i="9"/>
  <c r="BA367" i="9"/>
  <c r="AV367" i="9"/>
  <c r="AU367" i="9"/>
  <c r="AT367" i="9"/>
  <c r="BB366" i="9"/>
  <c r="BA366" i="9"/>
  <c r="AV366" i="9"/>
  <c r="AU366" i="9"/>
  <c r="AT366" i="9"/>
  <c r="BB365" i="9"/>
  <c r="BA365" i="9"/>
  <c r="AV365" i="9"/>
  <c r="AU365" i="9"/>
  <c r="AT365" i="9"/>
  <c r="BB364" i="9"/>
  <c r="BA364" i="9"/>
  <c r="AV364" i="9"/>
  <c r="AU364" i="9"/>
  <c r="AT364" i="9"/>
  <c r="BB363" i="9"/>
  <c r="BA363" i="9"/>
  <c r="AV363" i="9"/>
  <c r="AU363" i="9"/>
  <c r="AT363" i="9"/>
  <c r="BB362" i="9"/>
  <c r="BA362" i="9"/>
  <c r="AV362" i="9"/>
  <c r="AU362" i="9"/>
  <c r="AT362" i="9"/>
  <c r="BB361" i="9"/>
  <c r="BA361" i="9"/>
  <c r="AV361" i="9"/>
  <c r="AU361" i="9"/>
  <c r="AT361" i="9"/>
  <c r="BB360" i="9"/>
  <c r="BA360" i="9"/>
  <c r="AV360" i="9"/>
  <c r="AU360" i="9"/>
  <c r="AT360" i="9"/>
  <c r="BB359" i="9"/>
  <c r="BA359" i="9"/>
  <c r="AV359" i="9"/>
  <c r="AU359" i="9"/>
  <c r="AT359" i="9"/>
  <c r="BB358" i="9"/>
  <c r="BA358" i="9"/>
  <c r="AV358" i="9"/>
  <c r="AU358" i="9"/>
  <c r="AT358" i="9"/>
  <c r="BB357" i="9"/>
  <c r="BA357" i="9"/>
  <c r="AV357" i="9"/>
  <c r="AU357" i="9"/>
  <c r="AT357" i="9"/>
  <c r="BB356" i="9"/>
  <c r="BA356" i="9"/>
  <c r="AV356" i="9"/>
  <c r="AU356" i="9"/>
  <c r="AT356" i="9"/>
  <c r="BB355" i="9"/>
  <c r="BA355" i="9"/>
  <c r="AV355" i="9"/>
  <c r="AU355" i="9"/>
  <c r="AT355" i="9"/>
  <c r="BB354" i="9"/>
  <c r="BA354" i="9"/>
  <c r="AV354" i="9"/>
  <c r="AU354" i="9"/>
  <c r="AT354" i="9"/>
  <c r="BB353" i="9"/>
  <c r="BA353" i="9"/>
  <c r="AV353" i="9"/>
  <c r="AU353" i="9"/>
  <c r="AT353" i="9"/>
  <c r="BB352" i="9"/>
  <c r="BA352" i="9"/>
  <c r="AV352" i="9"/>
  <c r="AU352" i="9"/>
  <c r="AT352" i="9"/>
  <c r="BB351" i="9"/>
  <c r="BA351" i="9"/>
  <c r="AV351" i="9"/>
  <c r="AU351" i="9"/>
  <c r="AT351" i="9"/>
  <c r="BB350" i="9"/>
  <c r="BA350" i="9"/>
  <c r="AV350" i="9"/>
  <c r="AU350" i="9"/>
  <c r="AT350" i="9"/>
  <c r="BB349" i="9"/>
  <c r="BA349" i="9"/>
  <c r="AV349" i="9"/>
  <c r="AU349" i="9"/>
  <c r="AT349" i="9"/>
  <c r="BB348" i="9"/>
  <c r="BA348" i="9"/>
  <c r="AV348" i="9"/>
  <c r="AU348" i="9"/>
  <c r="AT348" i="9"/>
  <c r="BB347" i="9"/>
  <c r="BA347" i="9"/>
  <c r="AV347" i="9"/>
  <c r="AU347" i="9"/>
  <c r="AT347" i="9"/>
  <c r="BB346" i="9"/>
  <c r="BA346" i="9"/>
  <c r="AV346" i="9"/>
  <c r="AU346" i="9"/>
  <c r="AT346" i="9"/>
  <c r="BB345" i="9"/>
  <c r="BA345" i="9"/>
  <c r="AV345" i="9"/>
  <c r="AU345" i="9"/>
  <c r="AT345" i="9"/>
  <c r="BB344" i="9"/>
  <c r="BA344" i="9"/>
  <c r="AV344" i="9"/>
  <c r="AU344" i="9"/>
  <c r="AT344" i="9"/>
  <c r="BB343" i="9"/>
  <c r="BA343" i="9"/>
  <c r="AV343" i="9"/>
  <c r="AU343" i="9"/>
  <c r="AT343" i="9"/>
  <c r="BB342" i="9"/>
  <c r="BA342" i="9"/>
  <c r="AV342" i="9"/>
  <c r="AU342" i="9"/>
  <c r="AT342" i="9"/>
  <c r="BB341" i="9"/>
  <c r="BA341" i="9"/>
  <c r="AV341" i="9"/>
  <c r="AU341" i="9"/>
  <c r="AT341" i="9"/>
  <c r="BB340" i="9"/>
  <c r="BA340" i="9"/>
  <c r="AV340" i="9"/>
  <c r="AU340" i="9"/>
  <c r="AT340" i="9"/>
  <c r="BB339" i="9"/>
  <c r="BA339" i="9"/>
  <c r="AV339" i="9"/>
  <c r="AU339" i="9"/>
  <c r="AT339" i="9"/>
  <c r="BB338" i="9"/>
  <c r="BA338" i="9"/>
  <c r="AV338" i="9"/>
  <c r="AU338" i="9"/>
  <c r="AT338" i="9"/>
  <c r="BB337" i="9"/>
  <c r="BA337" i="9"/>
  <c r="AV337" i="9"/>
  <c r="AU337" i="9"/>
  <c r="AT337" i="9"/>
  <c r="BB336" i="9"/>
  <c r="BA336" i="9"/>
  <c r="AV336" i="9"/>
  <c r="AU336" i="9"/>
  <c r="AT336" i="9"/>
  <c r="BB335" i="9"/>
  <c r="BA335" i="9"/>
  <c r="AV335" i="9"/>
  <c r="AU335" i="9"/>
  <c r="AT335" i="9"/>
  <c r="BB334" i="9"/>
  <c r="BA334" i="9"/>
  <c r="AV334" i="9"/>
  <c r="AU334" i="9"/>
  <c r="AT334" i="9"/>
  <c r="BB333" i="9"/>
  <c r="BA333" i="9"/>
  <c r="AV333" i="9"/>
  <c r="AU333" i="9"/>
  <c r="AT333" i="9"/>
  <c r="BB332" i="9"/>
  <c r="BA332" i="9"/>
  <c r="AV332" i="9"/>
  <c r="AU332" i="9"/>
  <c r="AT332" i="9"/>
  <c r="BB331" i="9"/>
  <c r="BA331" i="9"/>
  <c r="AV331" i="9"/>
  <c r="AU331" i="9"/>
  <c r="AT331" i="9"/>
  <c r="BB330" i="9"/>
  <c r="BA330" i="9"/>
  <c r="AV330" i="9"/>
  <c r="AU330" i="9"/>
  <c r="AT330" i="9"/>
  <c r="BB329" i="9"/>
  <c r="BA329" i="9"/>
  <c r="AV329" i="9"/>
  <c r="AU329" i="9"/>
  <c r="AT329" i="9"/>
  <c r="BB328" i="9"/>
  <c r="BA328" i="9"/>
  <c r="AV328" i="9"/>
  <c r="AU328" i="9"/>
  <c r="AT328" i="9"/>
  <c r="BB327" i="9"/>
  <c r="BA327" i="9"/>
  <c r="AV327" i="9"/>
  <c r="AU327" i="9"/>
  <c r="AT327" i="9"/>
  <c r="BB326" i="9"/>
  <c r="BA326" i="9"/>
  <c r="AV326" i="9"/>
  <c r="AU326" i="9"/>
  <c r="AT326" i="9"/>
  <c r="BB325" i="9"/>
  <c r="BA325" i="9"/>
  <c r="AV325" i="9"/>
  <c r="AU325" i="9"/>
  <c r="AT325" i="9"/>
  <c r="BB324" i="9"/>
  <c r="BA324" i="9"/>
  <c r="AV324" i="9"/>
  <c r="AU324" i="9"/>
  <c r="AT324" i="9"/>
  <c r="BB323" i="9"/>
  <c r="BA323" i="9"/>
  <c r="AV323" i="9"/>
  <c r="AU323" i="9"/>
  <c r="AT323" i="9"/>
  <c r="BB322" i="9"/>
  <c r="BA322" i="9"/>
  <c r="AV322" i="9"/>
  <c r="AU322" i="9"/>
  <c r="AT322" i="9"/>
  <c r="BB321" i="9"/>
  <c r="BA321" i="9"/>
  <c r="AV321" i="9"/>
  <c r="AU321" i="9"/>
  <c r="AT321" i="9"/>
  <c r="BB320" i="9"/>
  <c r="BA320" i="9"/>
  <c r="AV320" i="9"/>
  <c r="AU320" i="9"/>
  <c r="AT320" i="9"/>
  <c r="BB319" i="9"/>
  <c r="BA319" i="9"/>
  <c r="AV319" i="9"/>
  <c r="AU319" i="9"/>
  <c r="AT319" i="9"/>
  <c r="BB318" i="9"/>
  <c r="BA318" i="9"/>
  <c r="AV318" i="9"/>
  <c r="AU318" i="9"/>
  <c r="AT318" i="9"/>
  <c r="BB317" i="9"/>
  <c r="BA317" i="9"/>
  <c r="AV317" i="9"/>
  <c r="AU317" i="9"/>
  <c r="AT317" i="9"/>
  <c r="BB316" i="9"/>
  <c r="BA316" i="9"/>
  <c r="AV316" i="9"/>
  <c r="AU316" i="9"/>
  <c r="AT316" i="9"/>
  <c r="BB315" i="9"/>
  <c r="BA315" i="9"/>
  <c r="AV315" i="9"/>
  <c r="AU315" i="9"/>
  <c r="AT315" i="9"/>
  <c r="BB314" i="9"/>
  <c r="BA314" i="9"/>
  <c r="AV314" i="9"/>
  <c r="AU314" i="9"/>
  <c r="AT314" i="9"/>
  <c r="BB313" i="9"/>
  <c r="BA313" i="9"/>
  <c r="AV313" i="9"/>
  <c r="AU313" i="9"/>
  <c r="AT313" i="9"/>
  <c r="BB312" i="9"/>
  <c r="BA312" i="9"/>
  <c r="AV312" i="9"/>
  <c r="AU312" i="9"/>
  <c r="AT312" i="9"/>
  <c r="BB311" i="9"/>
  <c r="BA311" i="9"/>
  <c r="AV311" i="9"/>
  <c r="AU311" i="9"/>
  <c r="AT311" i="9"/>
  <c r="BB310" i="9"/>
  <c r="BA310" i="9"/>
  <c r="AV310" i="9"/>
  <c r="AU310" i="9"/>
  <c r="AT310" i="9"/>
  <c r="BB309" i="9"/>
  <c r="BA309" i="9"/>
  <c r="AV309" i="9"/>
  <c r="AU309" i="9"/>
  <c r="AT309" i="9"/>
  <c r="BB308" i="9"/>
  <c r="BA308" i="9"/>
  <c r="AV308" i="9"/>
  <c r="AU308" i="9"/>
  <c r="AT308" i="9"/>
  <c r="BB307" i="9"/>
  <c r="BA307" i="9"/>
  <c r="AV307" i="9"/>
  <c r="AU307" i="9"/>
  <c r="AT307" i="9"/>
  <c r="BB306" i="9"/>
  <c r="BA306" i="9"/>
  <c r="AV306" i="9"/>
  <c r="AU306" i="9"/>
  <c r="AT306" i="9"/>
  <c r="BB305" i="9"/>
  <c r="BA305" i="9"/>
  <c r="AV305" i="9"/>
  <c r="AU305" i="9"/>
  <c r="AT305" i="9"/>
  <c r="BB304" i="9"/>
  <c r="BA304" i="9"/>
  <c r="AV304" i="9"/>
  <c r="AU304" i="9"/>
  <c r="AT304" i="9"/>
  <c r="BB303" i="9"/>
  <c r="BA303" i="9"/>
  <c r="AV303" i="9"/>
  <c r="AU303" i="9"/>
  <c r="AT303" i="9"/>
  <c r="BB302" i="9"/>
  <c r="BA302" i="9"/>
  <c r="AV302" i="9"/>
  <c r="AU302" i="9"/>
  <c r="AT302" i="9"/>
  <c r="BB301" i="9"/>
  <c r="BA301" i="9"/>
  <c r="AV301" i="9"/>
  <c r="AU301" i="9"/>
  <c r="AT301" i="9"/>
  <c r="BB300" i="9"/>
  <c r="BA300" i="9"/>
  <c r="AV300" i="9"/>
  <c r="AU300" i="9"/>
  <c r="AT300" i="9"/>
  <c r="BB299" i="9"/>
  <c r="BA299" i="9"/>
  <c r="AV299" i="9"/>
  <c r="AU299" i="9"/>
  <c r="AT299" i="9"/>
  <c r="BB298" i="9"/>
  <c r="BA298" i="9"/>
  <c r="AV298" i="9"/>
  <c r="AU298" i="9"/>
  <c r="AT298" i="9"/>
  <c r="BB297" i="9"/>
  <c r="BA297" i="9"/>
  <c r="AV297" i="9"/>
  <c r="AU297" i="9"/>
  <c r="AT297" i="9"/>
  <c r="BB296" i="9"/>
  <c r="BA296" i="9"/>
  <c r="AV296" i="9"/>
  <c r="AU296" i="9"/>
  <c r="AT296" i="9"/>
  <c r="BB295" i="9"/>
  <c r="BA295" i="9"/>
  <c r="AV295" i="9"/>
  <c r="AU295" i="9"/>
  <c r="AT295" i="9"/>
  <c r="BB294" i="9"/>
  <c r="BA294" i="9"/>
  <c r="AV294" i="9"/>
  <c r="AU294" i="9"/>
  <c r="AT294" i="9"/>
  <c r="BB293" i="9"/>
  <c r="BA293" i="9"/>
  <c r="AV293" i="9"/>
  <c r="AU293" i="9"/>
  <c r="AT293" i="9"/>
  <c r="BB292" i="9"/>
  <c r="BA292" i="9"/>
  <c r="AV292" i="9"/>
  <c r="AU292" i="9"/>
  <c r="AT292" i="9"/>
  <c r="BB291" i="9"/>
  <c r="BA291" i="9"/>
  <c r="AV291" i="9"/>
  <c r="AU291" i="9"/>
  <c r="AT291" i="9"/>
  <c r="BB290" i="9"/>
  <c r="BA290" i="9"/>
  <c r="AV290" i="9"/>
  <c r="AU290" i="9"/>
  <c r="AT290" i="9"/>
  <c r="BB289" i="9"/>
  <c r="BA289" i="9"/>
  <c r="AV289" i="9"/>
  <c r="AU289" i="9"/>
  <c r="AT289" i="9"/>
  <c r="BB288" i="9"/>
  <c r="BA288" i="9"/>
  <c r="AV288" i="9"/>
  <c r="AU288" i="9"/>
  <c r="AT288" i="9"/>
  <c r="BB287" i="9"/>
  <c r="BA287" i="9"/>
  <c r="AV287" i="9"/>
  <c r="AU287" i="9"/>
  <c r="AT287" i="9"/>
  <c r="BB286" i="9"/>
  <c r="BA286" i="9"/>
  <c r="AV286" i="9"/>
  <c r="AU286" i="9"/>
  <c r="AT286" i="9"/>
  <c r="BB285" i="9"/>
  <c r="BA285" i="9"/>
  <c r="AV285" i="9"/>
  <c r="AU285" i="9"/>
  <c r="AT285" i="9"/>
  <c r="BB284" i="9"/>
  <c r="BA284" i="9"/>
  <c r="AV284" i="9"/>
  <c r="AU284" i="9"/>
  <c r="AT284" i="9"/>
  <c r="BB283" i="9"/>
  <c r="BA283" i="9"/>
  <c r="AV283" i="9"/>
  <c r="AU283" i="9"/>
  <c r="AT283" i="9"/>
  <c r="BB282" i="9"/>
  <c r="BA282" i="9"/>
  <c r="AV282" i="9"/>
  <c r="AU282" i="9"/>
  <c r="AT282" i="9"/>
  <c r="BB281" i="9"/>
  <c r="BA281" i="9"/>
  <c r="AV281" i="9"/>
  <c r="AU281" i="9"/>
  <c r="AT281" i="9"/>
  <c r="BB280" i="9"/>
  <c r="BA280" i="9"/>
  <c r="AV280" i="9"/>
  <c r="AU280" i="9"/>
  <c r="AT280" i="9"/>
  <c r="BB279" i="9"/>
  <c r="BA279" i="9"/>
  <c r="AV279" i="9"/>
  <c r="AU279" i="9"/>
  <c r="AT279" i="9"/>
  <c r="BB278" i="9"/>
  <c r="BA278" i="9"/>
  <c r="AV278" i="9"/>
  <c r="AU278" i="9"/>
  <c r="AT278" i="9"/>
  <c r="BB277" i="9"/>
  <c r="BA277" i="9"/>
  <c r="AV277" i="9"/>
  <c r="AU277" i="9"/>
  <c r="AT277" i="9"/>
  <c r="BB276" i="9"/>
  <c r="BA276" i="9"/>
  <c r="AV276" i="9"/>
  <c r="AU276" i="9"/>
  <c r="AT276" i="9"/>
  <c r="BB275" i="9"/>
  <c r="BA275" i="9"/>
  <c r="AV275" i="9"/>
  <c r="AU275" i="9"/>
  <c r="AT275" i="9"/>
  <c r="BB274" i="9"/>
  <c r="BA274" i="9"/>
  <c r="AV274" i="9"/>
  <c r="AU274" i="9"/>
  <c r="AT274" i="9"/>
  <c r="BB273" i="9"/>
  <c r="BA273" i="9"/>
  <c r="AV273" i="9"/>
  <c r="AU273" i="9"/>
  <c r="AT273" i="9"/>
  <c r="BB272" i="9"/>
  <c r="BA272" i="9"/>
  <c r="AV272" i="9"/>
  <c r="AU272" i="9"/>
  <c r="AT272" i="9"/>
  <c r="BB271" i="9"/>
  <c r="BA271" i="9"/>
  <c r="AV271" i="9"/>
  <c r="AU271" i="9"/>
  <c r="AT271" i="9"/>
  <c r="BB270" i="9"/>
  <c r="BA270" i="9"/>
  <c r="AV270" i="9"/>
  <c r="AU270" i="9"/>
  <c r="AT270" i="9"/>
  <c r="BB269" i="9"/>
  <c r="BA269" i="9"/>
  <c r="AV269" i="9"/>
  <c r="AU269" i="9"/>
  <c r="AT269" i="9"/>
  <c r="BB268" i="9"/>
  <c r="BA268" i="9"/>
  <c r="AV268" i="9"/>
  <c r="AU268" i="9"/>
  <c r="AT268" i="9"/>
  <c r="BB267" i="9"/>
  <c r="BA267" i="9"/>
  <c r="AV267" i="9"/>
  <c r="AU267" i="9"/>
  <c r="AT267" i="9"/>
  <c r="BB266" i="9"/>
  <c r="BA266" i="9"/>
  <c r="AV266" i="9"/>
  <c r="AU266" i="9"/>
  <c r="AT266" i="9"/>
  <c r="BB265" i="9"/>
  <c r="BA265" i="9"/>
  <c r="AV265" i="9"/>
  <c r="AU265" i="9"/>
  <c r="AT265" i="9"/>
  <c r="BB264" i="9"/>
  <c r="BA264" i="9"/>
  <c r="AV264" i="9"/>
  <c r="AU264" i="9"/>
  <c r="AT264" i="9"/>
  <c r="BB263" i="9"/>
  <c r="BA263" i="9"/>
  <c r="AV263" i="9"/>
  <c r="AU263" i="9"/>
  <c r="AT263" i="9"/>
  <c r="BB262" i="9"/>
  <c r="BA262" i="9"/>
  <c r="AV262" i="9"/>
  <c r="AU262" i="9"/>
  <c r="AT262" i="9"/>
  <c r="BB261" i="9"/>
  <c r="BA261" i="9"/>
  <c r="AV261" i="9"/>
  <c r="AU261" i="9"/>
  <c r="AT261" i="9"/>
  <c r="BB260" i="9"/>
  <c r="BA260" i="9"/>
  <c r="AV260" i="9"/>
  <c r="AU260" i="9"/>
  <c r="AT260" i="9"/>
  <c r="BB259" i="9"/>
  <c r="BA259" i="9"/>
  <c r="AV259" i="9"/>
  <c r="AU259" i="9"/>
  <c r="AT259" i="9"/>
  <c r="BB258" i="9"/>
  <c r="BA258" i="9"/>
  <c r="AV258" i="9"/>
  <c r="AU258" i="9"/>
  <c r="AT258" i="9"/>
  <c r="BB257" i="9"/>
  <c r="BA257" i="9"/>
  <c r="AV257" i="9"/>
  <c r="AU257" i="9"/>
  <c r="AT257" i="9"/>
  <c r="BB256" i="9"/>
  <c r="BA256" i="9"/>
  <c r="AV256" i="9"/>
  <c r="AU256" i="9"/>
  <c r="AT256" i="9"/>
  <c r="BB255" i="9"/>
  <c r="BA255" i="9"/>
  <c r="AV255" i="9"/>
  <c r="AU255" i="9"/>
  <c r="AT255" i="9"/>
  <c r="BB254" i="9"/>
  <c r="BA254" i="9"/>
  <c r="AV254" i="9"/>
  <c r="AU254" i="9"/>
  <c r="AT254" i="9"/>
  <c r="BB253" i="9"/>
  <c r="BA253" i="9"/>
  <c r="AV253" i="9"/>
  <c r="AU253" i="9"/>
  <c r="AT253" i="9"/>
  <c r="BB252" i="9"/>
  <c r="BA252" i="9"/>
  <c r="AV252" i="9"/>
  <c r="AU252" i="9"/>
  <c r="AT252" i="9"/>
  <c r="BB251" i="9"/>
  <c r="BA251" i="9"/>
  <c r="AV251" i="9"/>
  <c r="AU251" i="9"/>
  <c r="AT251" i="9"/>
  <c r="BB250" i="9"/>
  <c r="BA250" i="9"/>
  <c r="AV250" i="9"/>
  <c r="AU250" i="9"/>
  <c r="AT250" i="9"/>
  <c r="BB249" i="9"/>
  <c r="BA249" i="9"/>
  <c r="AV249" i="9"/>
  <c r="AU249" i="9"/>
  <c r="AT249" i="9"/>
  <c r="BB248" i="9"/>
  <c r="BA248" i="9"/>
  <c r="AV248" i="9"/>
  <c r="AU248" i="9"/>
  <c r="AT248" i="9"/>
  <c r="BB247" i="9"/>
  <c r="BA247" i="9"/>
  <c r="AV247" i="9"/>
  <c r="AU247" i="9"/>
  <c r="AT247" i="9"/>
  <c r="BB246" i="9"/>
  <c r="BA246" i="9"/>
  <c r="AV246" i="9"/>
  <c r="AU246" i="9"/>
  <c r="AT246" i="9"/>
  <c r="BB245" i="9"/>
  <c r="BA245" i="9"/>
  <c r="AV245" i="9"/>
  <c r="AU245" i="9"/>
  <c r="AT245" i="9"/>
  <c r="BB244" i="9"/>
  <c r="BA244" i="9"/>
  <c r="AV244" i="9"/>
  <c r="AU244" i="9"/>
  <c r="AT244" i="9"/>
  <c r="BB243" i="9"/>
  <c r="BA243" i="9"/>
  <c r="AV243" i="9"/>
  <c r="AU243" i="9"/>
  <c r="AT243" i="9"/>
  <c r="BB242" i="9"/>
  <c r="BA242" i="9"/>
  <c r="AV242" i="9"/>
  <c r="AU242" i="9"/>
  <c r="AT242" i="9"/>
  <c r="BB241" i="9"/>
  <c r="BA241" i="9"/>
  <c r="AV241" i="9"/>
  <c r="AU241" i="9"/>
  <c r="AT241" i="9"/>
  <c r="BB240" i="9"/>
  <c r="BA240" i="9"/>
  <c r="AV240" i="9"/>
  <c r="AU240" i="9"/>
  <c r="AT240" i="9"/>
  <c r="BB239" i="9"/>
  <c r="BA239" i="9"/>
  <c r="AV239" i="9"/>
  <c r="AU239" i="9"/>
  <c r="AT239" i="9"/>
  <c r="BB238" i="9"/>
  <c r="BA238" i="9"/>
  <c r="AV238" i="9"/>
  <c r="AU238" i="9"/>
  <c r="AT238" i="9"/>
  <c r="BB237" i="9"/>
  <c r="BA237" i="9"/>
  <c r="AV237" i="9"/>
  <c r="AU237" i="9"/>
  <c r="AT237" i="9"/>
  <c r="BB236" i="9"/>
  <c r="BA236" i="9"/>
  <c r="AV236" i="9"/>
  <c r="AU236" i="9"/>
  <c r="AT236" i="9"/>
  <c r="BB235" i="9"/>
  <c r="BA235" i="9"/>
  <c r="AV235" i="9"/>
  <c r="AU235" i="9"/>
  <c r="AT235" i="9"/>
  <c r="BB234" i="9"/>
  <c r="BA234" i="9"/>
  <c r="AV234" i="9"/>
  <c r="AU234" i="9"/>
  <c r="AT234" i="9"/>
  <c r="BB233" i="9"/>
  <c r="BA233" i="9"/>
  <c r="AV233" i="9"/>
  <c r="AU233" i="9"/>
  <c r="AT233" i="9"/>
  <c r="BB232" i="9"/>
  <c r="BA232" i="9"/>
  <c r="AV232" i="9"/>
  <c r="AU232" i="9"/>
  <c r="AT232" i="9"/>
  <c r="BB231" i="9"/>
  <c r="BA231" i="9"/>
  <c r="AV231" i="9"/>
  <c r="AU231" i="9"/>
  <c r="AT231" i="9"/>
  <c r="BB230" i="9"/>
  <c r="BA230" i="9"/>
  <c r="AV230" i="9"/>
  <c r="AU230" i="9"/>
  <c r="AT230" i="9"/>
  <c r="BB229" i="9"/>
  <c r="BA229" i="9"/>
  <c r="AV229" i="9"/>
  <c r="AU229" i="9"/>
  <c r="AT229" i="9"/>
  <c r="BB228" i="9"/>
  <c r="BA228" i="9"/>
  <c r="AV228" i="9"/>
  <c r="AU228" i="9"/>
  <c r="AT228" i="9"/>
  <c r="BB227" i="9"/>
  <c r="BA227" i="9"/>
  <c r="AV227" i="9"/>
  <c r="AU227" i="9"/>
  <c r="AT227" i="9"/>
  <c r="BB226" i="9"/>
  <c r="BA226" i="9"/>
  <c r="AV226" i="9"/>
  <c r="AU226" i="9"/>
  <c r="AT226" i="9"/>
  <c r="BB225" i="9"/>
  <c r="BA225" i="9"/>
  <c r="AV225" i="9"/>
  <c r="AU225" i="9"/>
  <c r="AT225" i="9"/>
  <c r="BB224" i="9"/>
  <c r="BA224" i="9"/>
  <c r="AV224" i="9"/>
  <c r="AU224" i="9"/>
  <c r="AT224" i="9"/>
  <c r="BB223" i="9"/>
  <c r="BA223" i="9"/>
  <c r="AV223" i="9"/>
  <c r="AU223" i="9"/>
  <c r="AT223" i="9"/>
  <c r="BB222" i="9"/>
  <c r="BA222" i="9"/>
  <c r="AV222" i="9"/>
  <c r="AU222" i="9"/>
  <c r="AT222" i="9"/>
  <c r="BB221" i="9"/>
  <c r="BA221" i="9"/>
  <c r="AV221" i="9"/>
  <c r="AU221" i="9"/>
  <c r="AT221" i="9"/>
  <c r="BB220" i="9"/>
  <c r="BA220" i="9"/>
  <c r="AV220" i="9"/>
  <c r="AU220" i="9"/>
  <c r="AT220" i="9"/>
  <c r="BB219" i="9"/>
  <c r="BA219" i="9"/>
  <c r="AV219" i="9"/>
  <c r="AU219" i="9"/>
  <c r="AT219" i="9"/>
  <c r="BB218" i="9"/>
  <c r="BA218" i="9"/>
  <c r="AV218" i="9"/>
  <c r="AU218" i="9"/>
  <c r="AT218" i="9"/>
  <c r="BB217" i="9"/>
  <c r="BA217" i="9"/>
  <c r="AV217" i="9"/>
  <c r="AU217" i="9"/>
  <c r="AT217" i="9"/>
  <c r="BB216" i="9"/>
  <c r="BA216" i="9"/>
  <c r="AV216" i="9"/>
  <c r="AU216" i="9"/>
  <c r="AT216" i="9"/>
  <c r="BB215" i="9"/>
  <c r="BA215" i="9"/>
  <c r="AV215" i="9"/>
  <c r="AU215" i="9"/>
  <c r="AT215" i="9"/>
  <c r="BB214" i="9"/>
  <c r="BA214" i="9"/>
  <c r="AV214" i="9"/>
  <c r="AU214" i="9"/>
  <c r="AT214" i="9"/>
  <c r="BB213" i="9"/>
  <c r="BA213" i="9"/>
  <c r="AV213" i="9"/>
  <c r="AU213" i="9"/>
  <c r="AT213" i="9"/>
  <c r="BB212" i="9"/>
  <c r="BA212" i="9"/>
  <c r="AV212" i="9"/>
  <c r="AU212" i="9"/>
  <c r="AT212" i="9"/>
  <c r="BB211" i="9"/>
  <c r="BA211" i="9"/>
  <c r="AV211" i="9"/>
  <c r="AU211" i="9"/>
  <c r="AT211" i="9"/>
  <c r="BB210" i="9"/>
  <c r="BA210" i="9"/>
  <c r="AV210" i="9"/>
  <c r="AU210" i="9"/>
  <c r="AT210" i="9"/>
  <c r="BB209" i="9"/>
  <c r="BA209" i="9"/>
  <c r="AV209" i="9"/>
  <c r="AU209" i="9"/>
  <c r="AT209" i="9"/>
  <c r="BB208" i="9"/>
  <c r="BA208" i="9"/>
  <c r="AV208" i="9"/>
  <c r="AU208" i="9"/>
  <c r="AT208" i="9"/>
  <c r="BB207" i="9"/>
  <c r="BA207" i="9"/>
  <c r="AV207" i="9"/>
  <c r="AU207" i="9"/>
  <c r="AT207" i="9"/>
  <c r="BB206" i="9"/>
  <c r="BA206" i="9"/>
  <c r="AV206" i="9"/>
  <c r="AU206" i="9"/>
  <c r="AT206" i="9"/>
  <c r="BB205" i="9"/>
  <c r="BA205" i="9"/>
  <c r="AV205" i="9"/>
  <c r="AU205" i="9"/>
  <c r="AT205" i="9"/>
  <c r="BB204" i="9"/>
  <c r="BA204" i="9"/>
  <c r="AV204" i="9"/>
  <c r="AU204" i="9"/>
  <c r="AT204" i="9"/>
  <c r="BB203" i="9"/>
  <c r="BA203" i="9"/>
  <c r="AV203" i="9"/>
  <c r="AU203" i="9"/>
  <c r="AT203" i="9"/>
  <c r="BB202" i="9"/>
  <c r="BA202" i="9"/>
  <c r="AV202" i="9"/>
  <c r="AU202" i="9"/>
  <c r="AT202" i="9"/>
  <c r="BB201" i="9"/>
  <c r="BA201" i="9"/>
  <c r="AV201" i="9"/>
  <c r="AU201" i="9"/>
  <c r="AT201" i="9"/>
  <c r="BB200" i="9"/>
  <c r="BA200" i="9"/>
  <c r="AV200" i="9"/>
  <c r="AU200" i="9"/>
  <c r="AT200" i="9"/>
  <c r="BB199" i="9"/>
  <c r="BA199" i="9"/>
  <c r="AV199" i="9"/>
  <c r="AU199" i="9"/>
  <c r="AT199" i="9"/>
  <c r="BB198" i="9"/>
  <c r="BA198" i="9"/>
  <c r="AV198" i="9"/>
  <c r="AU198" i="9"/>
  <c r="AT198" i="9"/>
  <c r="BB197" i="9"/>
  <c r="BA197" i="9"/>
  <c r="AV197" i="9"/>
  <c r="AU197" i="9"/>
  <c r="AT197" i="9"/>
  <c r="BB196" i="9"/>
  <c r="BA196" i="9"/>
  <c r="AV196" i="9"/>
  <c r="AU196" i="9"/>
  <c r="AT196" i="9"/>
  <c r="BB195" i="9"/>
  <c r="BA195" i="9"/>
  <c r="AV195" i="9"/>
  <c r="AU195" i="9"/>
  <c r="AT195" i="9"/>
  <c r="BB194" i="9"/>
  <c r="BA194" i="9"/>
  <c r="AV194" i="9"/>
  <c r="AU194" i="9"/>
  <c r="AT194" i="9"/>
  <c r="BB193" i="9"/>
  <c r="BA193" i="9"/>
  <c r="AV193" i="9"/>
  <c r="AU193" i="9"/>
  <c r="AT193" i="9"/>
  <c r="BB192" i="9"/>
  <c r="BA192" i="9"/>
  <c r="AV192" i="9"/>
  <c r="AU192" i="9"/>
  <c r="AT192" i="9"/>
  <c r="BB191" i="9"/>
  <c r="BA191" i="9"/>
  <c r="AV191" i="9"/>
  <c r="AU191" i="9"/>
  <c r="AT191" i="9"/>
  <c r="BB190" i="9"/>
  <c r="BA190" i="9"/>
  <c r="AV190" i="9"/>
  <c r="AU190" i="9"/>
  <c r="AT190" i="9"/>
  <c r="BB189" i="9"/>
  <c r="BA189" i="9"/>
  <c r="AV189" i="9"/>
  <c r="AU189" i="9"/>
  <c r="AT189" i="9"/>
  <c r="BB188" i="9"/>
  <c r="BA188" i="9"/>
  <c r="AV188" i="9"/>
  <c r="AU188" i="9"/>
  <c r="AT188" i="9"/>
  <c r="BB187" i="9"/>
  <c r="BA187" i="9"/>
  <c r="AV187" i="9"/>
  <c r="AU187" i="9"/>
  <c r="AT187" i="9"/>
  <c r="BB186" i="9"/>
  <c r="BA186" i="9"/>
  <c r="AV186" i="9"/>
  <c r="AU186" i="9"/>
  <c r="AT186" i="9"/>
  <c r="BB185" i="9"/>
  <c r="BA185" i="9"/>
  <c r="AV185" i="9"/>
  <c r="AU185" i="9"/>
  <c r="AT185" i="9"/>
  <c r="BB184" i="9"/>
  <c r="BA184" i="9"/>
  <c r="AV184" i="9"/>
  <c r="AU184" i="9"/>
  <c r="AT184" i="9"/>
  <c r="BB183" i="9"/>
  <c r="BA183" i="9"/>
  <c r="AV183" i="9"/>
  <c r="AU183" i="9"/>
  <c r="AT183" i="9"/>
  <c r="BB182" i="9"/>
  <c r="BA182" i="9"/>
  <c r="AV182" i="9"/>
  <c r="AU182" i="9"/>
  <c r="AT182" i="9"/>
  <c r="BB181" i="9"/>
  <c r="BA181" i="9"/>
  <c r="AV181" i="9"/>
  <c r="AU181" i="9"/>
  <c r="AT181" i="9"/>
  <c r="BB180" i="9"/>
  <c r="BA180" i="9"/>
  <c r="AV180" i="9"/>
  <c r="AU180" i="9"/>
  <c r="AT180" i="9"/>
  <c r="BB179" i="9"/>
  <c r="BA179" i="9"/>
  <c r="AV179" i="9"/>
  <c r="AU179" i="9"/>
  <c r="AT179" i="9"/>
  <c r="BB178" i="9"/>
  <c r="BA178" i="9"/>
  <c r="AV178" i="9"/>
  <c r="AU178" i="9"/>
  <c r="AT178" i="9"/>
  <c r="BB177" i="9"/>
  <c r="BA177" i="9"/>
  <c r="AV177" i="9"/>
  <c r="AU177" i="9"/>
  <c r="AT177" i="9"/>
  <c r="BB176" i="9"/>
  <c r="BA176" i="9"/>
  <c r="AV176" i="9"/>
  <c r="AU176" i="9"/>
  <c r="AT176" i="9"/>
  <c r="BB175" i="9"/>
  <c r="BA175" i="9"/>
  <c r="AV175" i="9"/>
  <c r="AU175" i="9"/>
  <c r="AT175" i="9"/>
  <c r="BB174" i="9"/>
  <c r="BA174" i="9"/>
  <c r="AV174" i="9"/>
  <c r="AU174" i="9"/>
  <c r="AT174" i="9"/>
  <c r="BB173" i="9"/>
  <c r="BA173" i="9"/>
  <c r="AV173" i="9"/>
  <c r="AU173" i="9"/>
  <c r="AT173" i="9"/>
  <c r="BB172" i="9"/>
  <c r="BA172" i="9"/>
  <c r="AV172" i="9"/>
  <c r="AU172" i="9"/>
  <c r="AT172" i="9"/>
  <c r="BB171" i="9"/>
  <c r="BA171" i="9"/>
  <c r="AV171" i="9"/>
  <c r="AU171" i="9"/>
  <c r="AT171" i="9"/>
  <c r="BB170" i="9"/>
  <c r="BA170" i="9"/>
  <c r="AV170" i="9"/>
  <c r="AU170" i="9"/>
  <c r="AT170" i="9"/>
  <c r="BB169" i="9"/>
  <c r="BA169" i="9"/>
  <c r="AV169" i="9"/>
  <c r="AU169" i="9"/>
  <c r="AT169" i="9"/>
  <c r="BB168" i="9"/>
  <c r="BA168" i="9"/>
  <c r="AV168" i="9"/>
  <c r="AU168" i="9"/>
  <c r="AT168" i="9"/>
  <c r="BB167" i="9"/>
  <c r="BA167" i="9"/>
  <c r="AV167" i="9"/>
  <c r="AU167" i="9"/>
  <c r="AT167" i="9"/>
  <c r="BB166" i="9"/>
  <c r="BA166" i="9"/>
  <c r="AV166" i="9"/>
  <c r="AU166" i="9"/>
  <c r="AT166" i="9"/>
  <c r="BB165" i="9"/>
  <c r="BA165" i="9"/>
  <c r="AV165" i="9"/>
  <c r="AU165" i="9"/>
  <c r="AT165" i="9"/>
  <c r="BB164" i="9"/>
  <c r="BA164" i="9"/>
  <c r="AV164" i="9"/>
  <c r="AU164" i="9"/>
  <c r="AT164" i="9"/>
  <c r="BB163" i="9"/>
  <c r="BA163" i="9"/>
  <c r="AV163" i="9"/>
  <c r="AU163" i="9"/>
  <c r="AT163" i="9"/>
  <c r="BB162" i="9"/>
  <c r="BA162" i="9"/>
  <c r="AV162" i="9"/>
  <c r="AU162" i="9"/>
  <c r="AT162" i="9"/>
  <c r="BB161" i="9"/>
  <c r="BA161" i="9"/>
  <c r="AV161" i="9"/>
  <c r="AU161" i="9"/>
  <c r="AT161" i="9"/>
  <c r="BB160" i="9"/>
  <c r="BA160" i="9"/>
  <c r="AV160" i="9"/>
  <c r="AU160" i="9"/>
  <c r="AT160" i="9"/>
  <c r="BB159" i="9"/>
  <c r="BA159" i="9"/>
  <c r="AV159" i="9"/>
  <c r="AU159" i="9"/>
  <c r="AT159" i="9"/>
  <c r="BB158" i="9"/>
  <c r="BA158" i="9"/>
  <c r="AV158" i="9"/>
  <c r="AU158" i="9"/>
  <c r="AT158" i="9"/>
  <c r="BB157" i="9"/>
  <c r="BA157" i="9"/>
  <c r="AV157" i="9"/>
  <c r="AU157" i="9"/>
  <c r="AT157" i="9"/>
  <c r="BB156" i="9"/>
  <c r="BA156" i="9"/>
  <c r="AV156" i="9"/>
  <c r="AU156" i="9"/>
  <c r="AT156" i="9"/>
  <c r="BB155" i="9"/>
  <c r="BA155" i="9"/>
  <c r="AV155" i="9"/>
  <c r="AU155" i="9"/>
  <c r="AT155" i="9"/>
  <c r="BB154" i="9"/>
  <c r="BA154" i="9"/>
  <c r="AV154" i="9"/>
  <c r="AU154" i="9"/>
  <c r="AT154" i="9"/>
  <c r="BB153" i="9"/>
  <c r="BA153" i="9"/>
  <c r="AV153" i="9"/>
  <c r="AU153" i="9"/>
  <c r="AT153" i="9"/>
  <c r="BB152" i="9"/>
  <c r="BA152" i="9"/>
  <c r="AV152" i="9"/>
  <c r="AU152" i="9"/>
  <c r="AT152" i="9"/>
  <c r="BB151" i="9"/>
  <c r="BA151" i="9"/>
  <c r="AV151" i="9"/>
  <c r="AU151" i="9"/>
  <c r="AT151" i="9"/>
  <c r="BB150" i="9"/>
  <c r="BA150" i="9"/>
  <c r="AV150" i="9"/>
  <c r="AU150" i="9"/>
  <c r="AT150" i="9"/>
  <c r="BB149" i="9"/>
  <c r="BA149" i="9"/>
  <c r="AV149" i="9"/>
  <c r="AU149" i="9"/>
  <c r="AT149" i="9"/>
  <c r="BB148" i="9"/>
  <c r="BA148" i="9"/>
  <c r="AV148" i="9"/>
  <c r="AU148" i="9"/>
  <c r="AT148" i="9"/>
  <c r="BB147" i="9"/>
  <c r="BA147" i="9"/>
  <c r="AV147" i="9"/>
  <c r="AU147" i="9"/>
  <c r="AT147" i="9"/>
  <c r="BB146" i="9"/>
  <c r="BA146" i="9"/>
  <c r="AV146" i="9"/>
  <c r="AU146" i="9"/>
  <c r="AT146" i="9"/>
  <c r="BB145" i="9"/>
  <c r="BA145" i="9"/>
  <c r="AV145" i="9"/>
  <c r="AU145" i="9"/>
  <c r="AT145" i="9"/>
  <c r="BB144" i="9"/>
  <c r="BA144" i="9"/>
  <c r="AV144" i="9"/>
  <c r="AU144" i="9"/>
  <c r="AT144" i="9"/>
  <c r="BB143" i="9"/>
  <c r="BA143" i="9"/>
  <c r="AV143" i="9"/>
  <c r="AU143" i="9"/>
  <c r="AT143" i="9"/>
  <c r="BB142" i="9"/>
  <c r="BA142" i="9"/>
  <c r="AV142" i="9"/>
  <c r="AU142" i="9"/>
  <c r="AT142" i="9"/>
  <c r="BB141" i="9"/>
  <c r="BA141" i="9"/>
  <c r="AV141" i="9"/>
  <c r="AU141" i="9"/>
  <c r="AT141" i="9"/>
  <c r="BB140" i="9"/>
  <c r="BA140" i="9"/>
  <c r="AV140" i="9"/>
  <c r="AU140" i="9"/>
  <c r="AT140" i="9"/>
  <c r="BB139" i="9"/>
  <c r="BA139" i="9"/>
  <c r="AV139" i="9"/>
  <c r="AU139" i="9"/>
  <c r="AT139" i="9"/>
  <c r="BB138" i="9"/>
  <c r="BA138" i="9"/>
  <c r="AV138" i="9"/>
  <c r="AU138" i="9"/>
  <c r="AT138" i="9"/>
  <c r="BB137" i="9"/>
  <c r="BA137" i="9"/>
  <c r="AV137" i="9"/>
  <c r="AU137" i="9"/>
  <c r="AT137" i="9"/>
  <c r="BB136" i="9"/>
  <c r="BA136" i="9"/>
  <c r="AV136" i="9"/>
  <c r="AU136" i="9"/>
  <c r="AT136" i="9"/>
  <c r="BB135" i="9"/>
  <c r="BA135" i="9"/>
  <c r="AV135" i="9"/>
  <c r="AU135" i="9"/>
  <c r="AT135" i="9"/>
  <c r="BB134" i="9"/>
  <c r="BA134" i="9"/>
  <c r="AV134" i="9"/>
  <c r="AU134" i="9"/>
  <c r="AT134" i="9"/>
  <c r="BB133" i="9"/>
  <c r="BA133" i="9"/>
  <c r="AV133" i="9"/>
  <c r="AU133" i="9"/>
  <c r="AT133" i="9"/>
  <c r="BB132" i="9"/>
  <c r="BA132" i="9"/>
  <c r="AV132" i="9"/>
  <c r="AU132" i="9"/>
  <c r="AT132" i="9"/>
  <c r="BB131" i="9"/>
  <c r="BA131" i="9"/>
  <c r="AV131" i="9"/>
  <c r="AU131" i="9"/>
  <c r="AT131" i="9"/>
  <c r="BB130" i="9"/>
  <c r="BA130" i="9"/>
  <c r="AV130" i="9"/>
  <c r="AU130" i="9"/>
  <c r="AT130" i="9"/>
  <c r="BB129" i="9"/>
  <c r="BA129" i="9"/>
  <c r="AV129" i="9"/>
  <c r="AU129" i="9"/>
  <c r="AT129" i="9"/>
  <c r="BB128" i="9"/>
  <c r="BA128" i="9"/>
  <c r="AV128" i="9"/>
  <c r="AU128" i="9"/>
  <c r="AT128" i="9"/>
  <c r="BB127" i="9"/>
  <c r="BA127" i="9"/>
  <c r="AV127" i="9"/>
  <c r="AU127" i="9"/>
  <c r="AT127" i="9"/>
  <c r="BB126" i="9"/>
  <c r="BA126" i="9"/>
  <c r="AV126" i="9"/>
  <c r="AU126" i="9"/>
  <c r="AT126" i="9"/>
  <c r="BB125" i="9"/>
  <c r="BA125" i="9"/>
  <c r="AV125" i="9"/>
  <c r="AU125" i="9"/>
  <c r="AT125" i="9"/>
  <c r="BB124" i="9"/>
  <c r="BA124" i="9"/>
  <c r="AV124" i="9"/>
  <c r="AU124" i="9"/>
  <c r="AT124" i="9"/>
  <c r="BB123" i="9"/>
  <c r="BA123" i="9"/>
  <c r="AV123" i="9"/>
  <c r="AU123" i="9"/>
  <c r="AT123" i="9"/>
  <c r="BB122" i="9"/>
  <c r="BA122" i="9"/>
  <c r="AV122" i="9"/>
  <c r="AU122" i="9"/>
  <c r="AT122" i="9"/>
  <c r="BB121" i="9"/>
  <c r="BA121" i="9"/>
  <c r="AV121" i="9"/>
  <c r="AU121" i="9"/>
  <c r="AT121" i="9"/>
  <c r="BB120" i="9"/>
  <c r="BA120" i="9"/>
  <c r="AV120" i="9"/>
  <c r="AU120" i="9"/>
  <c r="AT120" i="9"/>
  <c r="BB119" i="9"/>
  <c r="BA119" i="9"/>
  <c r="AV119" i="9"/>
  <c r="AU119" i="9"/>
  <c r="AT119" i="9"/>
  <c r="BB118" i="9"/>
  <c r="BA118" i="9"/>
  <c r="AV118" i="9"/>
  <c r="AU118" i="9"/>
  <c r="AT118" i="9"/>
  <c r="BB117" i="9"/>
  <c r="BA117" i="9"/>
  <c r="AV117" i="9"/>
  <c r="AU117" i="9"/>
  <c r="AT117" i="9"/>
  <c r="BB116" i="9"/>
  <c r="BA116" i="9"/>
  <c r="AV116" i="9"/>
  <c r="AU116" i="9"/>
  <c r="AT116" i="9"/>
  <c r="BB115" i="9"/>
  <c r="BA115" i="9"/>
  <c r="AV115" i="9"/>
  <c r="AU115" i="9"/>
  <c r="AT115" i="9"/>
  <c r="BB114" i="9"/>
  <c r="BA114" i="9"/>
  <c r="AV114" i="9"/>
  <c r="AU114" i="9"/>
  <c r="AT114" i="9"/>
  <c r="BB113" i="9"/>
  <c r="BA113" i="9"/>
  <c r="AV113" i="9"/>
  <c r="AU113" i="9"/>
  <c r="AT113" i="9"/>
  <c r="BB112" i="9"/>
  <c r="BA112" i="9"/>
  <c r="AV112" i="9"/>
  <c r="AU112" i="9"/>
  <c r="AT112" i="9"/>
  <c r="BB111" i="9"/>
  <c r="BA111" i="9"/>
  <c r="AV111" i="9"/>
  <c r="AU111" i="9"/>
  <c r="AT111" i="9"/>
  <c r="BB110" i="9"/>
  <c r="BA110" i="9"/>
  <c r="AV110" i="9"/>
  <c r="AU110" i="9"/>
  <c r="AT110" i="9"/>
  <c r="BB109" i="9"/>
  <c r="BA109" i="9"/>
  <c r="AV109" i="9"/>
  <c r="AU109" i="9"/>
  <c r="AT109" i="9"/>
  <c r="BB108" i="9"/>
  <c r="BA108" i="9"/>
  <c r="AV108" i="9"/>
  <c r="AU108" i="9"/>
  <c r="AT108" i="9"/>
  <c r="BB107" i="9"/>
  <c r="BA107" i="9"/>
  <c r="AV107" i="9"/>
  <c r="AU107" i="9"/>
  <c r="AT107" i="9"/>
  <c r="BB106" i="9"/>
  <c r="BA106" i="9"/>
  <c r="AV106" i="9"/>
  <c r="AU106" i="9"/>
  <c r="AT106" i="9"/>
  <c r="BB105" i="9"/>
  <c r="BA105" i="9"/>
  <c r="AV105" i="9"/>
  <c r="AU105" i="9"/>
  <c r="AT105" i="9"/>
  <c r="BB104" i="9"/>
  <c r="BA104" i="9"/>
  <c r="AV104" i="9"/>
  <c r="AU104" i="9"/>
  <c r="AT104" i="9"/>
  <c r="BB103" i="9"/>
  <c r="BA103" i="9"/>
  <c r="AV103" i="9"/>
  <c r="AU103" i="9"/>
  <c r="AT103" i="9"/>
  <c r="BB102" i="9"/>
  <c r="BA102" i="9"/>
  <c r="AV102" i="9"/>
  <c r="AU102" i="9"/>
  <c r="AT102" i="9"/>
  <c r="BB101" i="9"/>
  <c r="BA101" i="9"/>
  <c r="AV101" i="9"/>
  <c r="AU101" i="9"/>
  <c r="AT101" i="9"/>
  <c r="BB100" i="9"/>
  <c r="BA100" i="9"/>
  <c r="AV100" i="9"/>
  <c r="AU100" i="9"/>
  <c r="AT100" i="9"/>
  <c r="BB99" i="9"/>
  <c r="BA99" i="9"/>
  <c r="AV99" i="9"/>
  <c r="AU99" i="9"/>
  <c r="AT99" i="9"/>
  <c r="BB98" i="9"/>
  <c r="BA98" i="9"/>
  <c r="AV98" i="9"/>
  <c r="AU98" i="9"/>
  <c r="AT98" i="9"/>
  <c r="BB97" i="9"/>
  <c r="BA97" i="9"/>
  <c r="AV97" i="9"/>
  <c r="AU97" i="9"/>
  <c r="AT97" i="9"/>
  <c r="BB96" i="9"/>
  <c r="BA96" i="9"/>
  <c r="AV96" i="9"/>
  <c r="AU96" i="9"/>
  <c r="AT96" i="9"/>
  <c r="BB95" i="9"/>
  <c r="BA95" i="9"/>
  <c r="AV95" i="9"/>
  <c r="AU95" i="9"/>
  <c r="AT95" i="9"/>
  <c r="BB94" i="9"/>
  <c r="BA94" i="9"/>
  <c r="AV94" i="9"/>
  <c r="AU94" i="9"/>
  <c r="AT94" i="9"/>
  <c r="BB93" i="9"/>
  <c r="BA93" i="9"/>
  <c r="AV93" i="9"/>
  <c r="AU93" i="9"/>
  <c r="AT93" i="9"/>
  <c r="BB92" i="9"/>
  <c r="BA92" i="9"/>
  <c r="AV92" i="9"/>
  <c r="AU92" i="9"/>
  <c r="AT92" i="9"/>
  <c r="BB91" i="9"/>
  <c r="BA91" i="9"/>
  <c r="AV91" i="9"/>
  <c r="AU91" i="9"/>
  <c r="AT91" i="9"/>
  <c r="BB90" i="9"/>
  <c r="BA90" i="9"/>
  <c r="AV90" i="9"/>
  <c r="AU90" i="9"/>
  <c r="AT90" i="9"/>
  <c r="BB89" i="9"/>
  <c r="BA89" i="9"/>
  <c r="AV89" i="9"/>
  <c r="AU89" i="9"/>
  <c r="AT89" i="9"/>
  <c r="BB88" i="9"/>
  <c r="BA88" i="9"/>
  <c r="AV88" i="9"/>
  <c r="AU88" i="9"/>
  <c r="AT88" i="9"/>
  <c r="BB87" i="9"/>
  <c r="BA87" i="9"/>
  <c r="AV87" i="9"/>
  <c r="AU87" i="9"/>
  <c r="AT87" i="9"/>
  <c r="BB86" i="9"/>
  <c r="BA86" i="9"/>
  <c r="AV86" i="9"/>
  <c r="AU86" i="9"/>
  <c r="AT86" i="9"/>
  <c r="BB85" i="9"/>
  <c r="BA85" i="9"/>
  <c r="AV85" i="9"/>
  <c r="AU85" i="9"/>
  <c r="AT85" i="9"/>
  <c r="BB84" i="9"/>
  <c r="BA84" i="9"/>
  <c r="AV84" i="9"/>
  <c r="AU84" i="9"/>
  <c r="AT84" i="9"/>
  <c r="BB83" i="9"/>
  <c r="BA83" i="9"/>
  <c r="AV83" i="9"/>
  <c r="AU83" i="9"/>
  <c r="AT83" i="9"/>
  <c r="BB82" i="9"/>
  <c r="BA82" i="9"/>
  <c r="AV82" i="9"/>
  <c r="AU82" i="9"/>
  <c r="AT82" i="9"/>
  <c r="BB81" i="9"/>
  <c r="BA81" i="9"/>
  <c r="AV81" i="9"/>
  <c r="AU81" i="9"/>
  <c r="AT81" i="9"/>
  <c r="BB80" i="9"/>
  <c r="BA80" i="9"/>
  <c r="AV80" i="9"/>
  <c r="AU80" i="9"/>
  <c r="AT80" i="9"/>
  <c r="BB79" i="9"/>
  <c r="BA79" i="9"/>
  <c r="AV79" i="9"/>
  <c r="AU79" i="9"/>
  <c r="AT79" i="9"/>
  <c r="BB78" i="9"/>
  <c r="BA78" i="9"/>
  <c r="AV78" i="9"/>
  <c r="AU78" i="9"/>
  <c r="AT78" i="9"/>
  <c r="BB77" i="9"/>
  <c r="BA77" i="9"/>
  <c r="AV77" i="9"/>
  <c r="AU77" i="9"/>
  <c r="AT77" i="9"/>
  <c r="BB76" i="9"/>
  <c r="BA76" i="9"/>
  <c r="AV76" i="9"/>
  <c r="AU76" i="9"/>
  <c r="AT76" i="9"/>
  <c r="BB75" i="9"/>
  <c r="BA75" i="9"/>
  <c r="AV75" i="9"/>
  <c r="AU75" i="9"/>
  <c r="AT75" i="9"/>
  <c r="BB74" i="9"/>
  <c r="BA74" i="9"/>
  <c r="AV74" i="9"/>
  <c r="AU74" i="9"/>
  <c r="AT74" i="9"/>
  <c r="BB73" i="9"/>
  <c r="BA73" i="9"/>
  <c r="AV73" i="9"/>
  <c r="AU73" i="9"/>
  <c r="AT73" i="9"/>
  <c r="BB72" i="9"/>
  <c r="BA72" i="9"/>
  <c r="AV72" i="9"/>
  <c r="AU72" i="9"/>
  <c r="AT72" i="9"/>
  <c r="BB71" i="9"/>
  <c r="BA71" i="9"/>
  <c r="AV71" i="9"/>
  <c r="AU71" i="9"/>
  <c r="AT71" i="9"/>
  <c r="BB70" i="9"/>
  <c r="BA70" i="9"/>
  <c r="AV70" i="9"/>
  <c r="AU70" i="9"/>
  <c r="AT70" i="9"/>
  <c r="BB69" i="9"/>
  <c r="BA69" i="9"/>
  <c r="AV69" i="9"/>
  <c r="AU69" i="9"/>
  <c r="AT69" i="9"/>
  <c r="BB68" i="9"/>
  <c r="BA68" i="9"/>
  <c r="AV68" i="9"/>
  <c r="AU68" i="9"/>
  <c r="AT68" i="9"/>
  <c r="BB67" i="9"/>
  <c r="BA67" i="9"/>
  <c r="AV67" i="9"/>
  <c r="AU67" i="9"/>
  <c r="AT67" i="9"/>
  <c r="BB66" i="9"/>
  <c r="BA66" i="9"/>
  <c r="AV66" i="9"/>
  <c r="AU66" i="9"/>
  <c r="AT66" i="9"/>
  <c r="BB65" i="9"/>
  <c r="BA65" i="9"/>
  <c r="AV65" i="9"/>
  <c r="AU65" i="9"/>
  <c r="AT65" i="9"/>
  <c r="BB64" i="9"/>
  <c r="BA64" i="9"/>
  <c r="AV64" i="9"/>
  <c r="AU64" i="9"/>
  <c r="AT64" i="9"/>
  <c r="BB63" i="9"/>
  <c r="BA63" i="9"/>
  <c r="AV63" i="9"/>
  <c r="AU63" i="9"/>
  <c r="AT63" i="9"/>
  <c r="BB62" i="9"/>
  <c r="BA62" i="9"/>
  <c r="AV62" i="9"/>
  <c r="AU62" i="9"/>
  <c r="AT62" i="9"/>
  <c r="BB61" i="9"/>
  <c r="BA61" i="9"/>
  <c r="AV61" i="9"/>
  <c r="AU61" i="9"/>
  <c r="AT61" i="9"/>
  <c r="BB60" i="9"/>
  <c r="BA60" i="9"/>
  <c r="AV60" i="9"/>
  <c r="AU60" i="9"/>
  <c r="AT60" i="9"/>
  <c r="BB59" i="9"/>
  <c r="BA59" i="9"/>
  <c r="AV59" i="9"/>
  <c r="AU59" i="9"/>
  <c r="AT59" i="9"/>
  <c r="BB58" i="9"/>
  <c r="BA58" i="9"/>
  <c r="AV58" i="9"/>
  <c r="AU58" i="9"/>
  <c r="AT58" i="9"/>
  <c r="BB57" i="9"/>
  <c r="BA57" i="9"/>
  <c r="AV57" i="9"/>
  <c r="AU57" i="9"/>
  <c r="AT57" i="9"/>
  <c r="BB56" i="9"/>
  <c r="BA56" i="9"/>
  <c r="AV56" i="9"/>
  <c r="AU56" i="9"/>
  <c r="AT56" i="9"/>
  <c r="BB55" i="9"/>
  <c r="BA55" i="9"/>
  <c r="AV55" i="9"/>
  <c r="AU55" i="9"/>
  <c r="AT55" i="9"/>
  <c r="BB54" i="9"/>
  <c r="BA54" i="9"/>
  <c r="AV54" i="9"/>
  <c r="AU54" i="9"/>
  <c r="AT54" i="9"/>
  <c r="BB53" i="9"/>
  <c r="BA53" i="9"/>
  <c r="AV53" i="9"/>
  <c r="AU53" i="9"/>
  <c r="AT53" i="9"/>
  <c r="BB52" i="9"/>
  <c r="BA52" i="9"/>
  <c r="AV52" i="9"/>
  <c r="AU52" i="9"/>
  <c r="AT52" i="9"/>
  <c r="BB51" i="9"/>
  <c r="BA51" i="9"/>
  <c r="AV51" i="9"/>
  <c r="AU51" i="9"/>
  <c r="AT51" i="9"/>
  <c r="BB50" i="9"/>
  <c r="BA50" i="9"/>
  <c r="AV50" i="9"/>
  <c r="AU50" i="9"/>
  <c r="AT50" i="9"/>
  <c r="BB49" i="9"/>
  <c r="BA49" i="9"/>
  <c r="AV49" i="9"/>
  <c r="AU49" i="9"/>
  <c r="AT49" i="9"/>
  <c r="BB48" i="9"/>
  <c r="BA48" i="9"/>
  <c r="AV48" i="9"/>
  <c r="AU48" i="9"/>
  <c r="AT48" i="9"/>
  <c r="BB47" i="9"/>
  <c r="BA47" i="9"/>
  <c r="AV47" i="9"/>
  <c r="AU47" i="9"/>
  <c r="AT47" i="9"/>
  <c r="BB46" i="9"/>
  <c r="BA46" i="9"/>
  <c r="AV46" i="9"/>
  <c r="AU46" i="9"/>
  <c r="AT46" i="9"/>
  <c r="BB45" i="9"/>
  <c r="BA45" i="9"/>
  <c r="AV45" i="9"/>
  <c r="AU45" i="9"/>
  <c r="AT45" i="9"/>
  <c r="BB44" i="9"/>
  <c r="BA44" i="9"/>
  <c r="AV44" i="9"/>
  <c r="AU44" i="9"/>
  <c r="AT44" i="9"/>
  <c r="BB43" i="9"/>
  <c r="BA43" i="9"/>
  <c r="AV43" i="9"/>
  <c r="AU43" i="9"/>
  <c r="AT43" i="9"/>
  <c r="BB42" i="9"/>
  <c r="BA42" i="9"/>
  <c r="AV42" i="9"/>
  <c r="AU42" i="9"/>
  <c r="AT42" i="9"/>
  <c r="BB41" i="9"/>
  <c r="BA41" i="9"/>
  <c r="AV41" i="9"/>
  <c r="AU41" i="9"/>
  <c r="AT41" i="9"/>
  <c r="BB40" i="9"/>
  <c r="BA40" i="9"/>
  <c r="AV40" i="9"/>
  <c r="AU40" i="9"/>
  <c r="AT40" i="9"/>
  <c r="BB39" i="9"/>
  <c r="BA39" i="9"/>
  <c r="AV39" i="9"/>
  <c r="AU39" i="9"/>
  <c r="AT39" i="9"/>
  <c r="BB38" i="9"/>
  <c r="BA38" i="9"/>
  <c r="AV38" i="9"/>
  <c r="AU38" i="9"/>
  <c r="AT38" i="9"/>
  <c r="BB37" i="9"/>
  <c r="BA37" i="9"/>
  <c r="AV37" i="9"/>
  <c r="AU37" i="9"/>
  <c r="AT37" i="9"/>
  <c r="BB36" i="9"/>
  <c r="BA36" i="9"/>
  <c r="AV36" i="9"/>
  <c r="AU36" i="9"/>
  <c r="AT36" i="9"/>
  <c r="BB35" i="9"/>
  <c r="BA35" i="9"/>
  <c r="AV35" i="9"/>
  <c r="AU35" i="9"/>
  <c r="AT35" i="9"/>
  <c r="BB34" i="9"/>
  <c r="BA34" i="9"/>
  <c r="AV34" i="9"/>
  <c r="AU34" i="9"/>
  <c r="AT34" i="9"/>
  <c r="BB33" i="9"/>
  <c r="BA33" i="9"/>
  <c r="AV33" i="9"/>
  <c r="AU33" i="9"/>
  <c r="AT33" i="9"/>
  <c r="BB32" i="9"/>
  <c r="BA32" i="9"/>
  <c r="AV32" i="9"/>
  <c r="AU32" i="9"/>
  <c r="AT32" i="9"/>
  <c r="BB31" i="9"/>
  <c r="BA31" i="9"/>
  <c r="AV31" i="9"/>
  <c r="AU31" i="9"/>
  <c r="AT31" i="9"/>
  <c r="BB30" i="9"/>
  <c r="BA30" i="9"/>
  <c r="AV30" i="9"/>
  <c r="AU30" i="9"/>
  <c r="AT30" i="9"/>
  <c r="BB29" i="9"/>
  <c r="BA29" i="9"/>
  <c r="AV29" i="9"/>
  <c r="AU29" i="9"/>
  <c r="AT29" i="9"/>
  <c r="BB28" i="9"/>
  <c r="BA28" i="9"/>
  <c r="AV28" i="9"/>
  <c r="AU28" i="9"/>
  <c r="AT28" i="9"/>
  <c r="BB27" i="9"/>
  <c r="BA27" i="9"/>
  <c r="AV27" i="9"/>
  <c r="AU27" i="9"/>
  <c r="AT27" i="9"/>
  <c r="BB26" i="9"/>
  <c r="BA26" i="9"/>
  <c r="AV26" i="9"/>
  <c r="AU26" i="9"/>
  <c r="AT26" i="9"/>
  <c r="BB25" i="9"/>
  <c r="BA25" i="9"/>
  <c r="AV25" i="9"/>
  <c r="AU25" i="9"/>
  <c r="AT25" i="9"/>
  <c r="BB24" i="9"/>
  <c r="BA24" i="9"/>
  <c r="AV24" i="9"/>
  <c r="AU24" i="9"/>
  <c r="AT24" i="9"/>
  <c r="BB23" i="9"/>
  <c r="BA23" i="9"/>
  <c r="AV23" i="9"/>
  <c r="AU23" i="9"/>
  <c r="AT23" i="9"/>
  <c r="BB22" i="9"/>
  <c r="BA22" i="9"/>
  <c r="AV22" i="9"/>
  <c r="AU22" i="9"/>
  <c r="AT22" i="9"/>
  <c r="BB21" i="9"/>
  <c r="BA21" i="9"/>
  <c r="AV21" i="9"/>
  <c r="AU21" i="9"/>
  <c r="AT21" i="9"/>
  <c r="BB20" i="9"/>
  <c r="BA20" i="9"/>
  <c r="AV20" i="9"/>
  <c r="AU20" i="9"/>
  <c r="AT20" i="9"/>
  <c r="BB19" i="9"/>
  <c r="BA19" i="9"/>
  <c r="AV19" i="9"/>
  <c r="AU19" i="9"/>
  <c r="AT19" i="9"/>
  <c r="BB18" i="9"/>
  <c r="BA18" i="9"/>
  <c r="AV18" i="9"/>
  <c r="AU18" i="9"/>
  <c r="AT18" i="9"/>
  <c r="BB17" i="9"/>
  <c r="BA17" i="9"/>
  <c r="AV17" i="9"/>
  <c r="AU17" i="9"/>
  <c r="AT17" i="9"/>
  <c r="BB16" i="9"/>
  <c r="BA16" i="9"/>
  <c r="AV16" i="9"/>
  <c r="AU16" i="9"/>
  <c r="AT16" i="9"/>
  <c r="BB15" i="9"/>
  <c r="BA15" i="9"/>
  <c r="AV15" i="9"/>
  <c r="AU15" i="9"/>
  <c r="AT15" i="9"/>
  <c r="BB14" i="9"/>
  <c r="BA14" i="9"/>
  <c r="AV14" i="9"/>
  <c r="AU14" i="9"/>
  <c r="AT14" i="9"/>
  <c r="BB13" i="9"/>
  <c r="BA13" i="9"/>
  <c r="AV13" i="9"/>
  <c r="AU13" i="9"/>
  <c r="AT13" i="9"/>
  <c r="BB12" i="9"/>
  <c r="BA12" i="9"/>
  <c r="AV12" i="9"/>
  <c r="AU12" i="9"/>
  <c r="AT12" i="9"/>
  <c r="BB11" i="9"/>
  <c r="BA11" i="9"/>
  <c r="AV11" i="9"/>
  <c r="AU11" i="9"/>
  <c r="AT11" i="9"/>
  <c r="BB10" i="9"/>
  <c r="BA10" i="9"/>
  <c r="AV10" i="9"/>
  <c r="AU10" i="9"/>
  <c r="AT10" i="9"/>
  <c r="BB9" i="9"/>
  <c r="BA9" i="9"/>
  <c r="AV9" i="9"/>
  <c r="AU9" i="9"/>
  <c r="AT9" i="9"/>
  <c r="BB8" i="9"/>
  <c r="BA8" i="9"/>
  <c r="AV8" i="9"/>
  <c r="AU8" i="9"/>
  <c r="AT8" i="9"/>
  <c r="BB7" i="9"/>
  <c r="BA7" i="9"/>
  <c r="AV7" i="9"/>
  <c r="AU7" i="9"/>
  <c r="AT7" i="9"/>
  <c r="BB6" i="9"/>
  <c r="BA6" i="9"/>
  <c r="AV6" i="9"/>
  <c r="AU6" i="9"/>
  <c r="AT6" i="9"/>
  <c r="BB5" i="9"/>
  <c r="BA5" i="9"/>
  <c r="AV5" i="9"/>
  <c r="AU5" i="9"/>
  <c r="AT5" i="9"/>
  <c r="BB4" i="9"/>
  <c r="BA4" i="9"/>
  <c r="AV4" i="9"/>
  <c r="AU4" i="9"/>
  <c r="AT4" i="9"/>
  <c r="BB3" i="9"/>
  <c r="BA3" i="9"/>
  <c r="AV3" i="9"/>
  <c r="AU3" i="9"/>
  <c r="AT3" i="9"/>
  <c r="BB2" i="9"/>
  <c r="BA2" i="9"/>
  <c r="AV2" i="9"/>
  <c r="AU2" i="9"/>
  <c r="AT2" i="9"/>
  <c r="AG2501" i="8"/>
  <c r="AF2501" i="8"/>
  <c r="AD2501" i="8"/>
  <c r="AE2501" i="8" s="1"/>
  <c r="AG2500" i="8"/>
  <c r="AF2500" i="8"/>
  <c r="AD2500" i="8"/>
  <c r="AE2500" i="8" s="1"/>
  <c r="AG2499" i="8"/>
  <c r="AF2499" i="8"/>
  <c r="AD2499" i="8"/>
  <c r="AE2499" i="8" s="1"/>
  <c r="AG2498" i="8"/>
  <c r="AF2498" i="8"/>
  <c r="AD2498" i="8"/>
  <c r="AE2498" i="8" s="1"/>
  <c r="AG2497" i="8"/>
  <c r="AF2497" i="8"/>
  <c r="AD2497" i="8"/>
  <c r="AE2497" i="8" s="1"/>
  <c r="AG2496" i="8"/>
  <c r="AF2496" i="8"/>
  <c r="AD2496" i="8"/>
  <c r="AE2496" i="8" s="1"/>
  <c r="AG2495" i="8"/>
  <c r="AF2495" i="8"/>
  <c r="AD2495" i="8"/>
  <c r="AE2495" i="8" s="1"/>
  <c r="AG2494" i="8"/>
  <c r="AF2494" i="8"/>
  <c r="AD2494" i="8"/>
  <c r="AE2494" i="8" s="1"/>
  <c r="AG2493" i="8"/>
  <c r="AF2493" i="8"/>
  <c r="AD2493" i="8"/>
  <c r="AE2493" i="8" s="1"/>
  <c r="AG2492" i="8"/>
  <c r="AF2492" i="8"/>
  <c r="AD2492" i="8"/>
  <c r="AE2492" i="8" s="1"/>
  <c r="AG2491" i="8"/>
  <c r="AF2491" i="8"/>
  <c r="AD2491" i="8"/>
  <c r="AE2491" i="8" s="1"/>
  <c r="AG2490" i="8"/>
  <c r="AF2490" i="8"/>
  <c r="AD2490" i="8"/>
  <c r="AE2490" i="8" s="1"/>
  <c r="AG2489" i="8"/>
  <c r="AF2489" i="8"/>
  <c r="AD2489" i="8"/>
  <c r="AE2489" i="8" s="1"/>
  <c r="AG2488" i="8"/>
  <c r="AF2488" i="8"/>
  <c r="AD2488" i="8"/>
  <c r="AE2488" i="8" s="1"/>
  <c r="AG2487" i="8"/>
  <c r="AF2487" i="8"/>
  <c r="AD2487" i="8"/>
  <c r="AE2487" i="8" s="1"/>
  <c r="AG2486" i="8"/>
  <c r="AF2486" i="8"/>
  <c r="AD2486" i="8"/>
  <c r="AE2486" i="8" s="1"/>
  <c r="AG2485" i="8"/>
  <c r="AF2485" i="8"/>
  <c r="AD2485" i="8"/>
  <c r="AE2485" i="8" s="1"/>
  <c r="AG2484" i="8"/>
  <c r="AF2484" i="8"/>
  <c r="AD2484" i="8"/>
  <c r="AE2484" i="8" s="1"/>
  <c r="AG2483" i="8"/>
  <c r="AF2483" i="8"/>
  <c r="AD2483" i="8"/>
  <c r="AE2483" i="8" s="1"/>
  <c r="AG2482" i="8"/>
  <c r="AF2482" i="8"/>
  <c r="AD2482" i="8"/>
  <c r="AE2482" i="8" s="1"/>
  <c r="AG2481" i="8"/>
  <c r="AF2481" i="8"/>
  <c r="AD2481" i="8"/>
  <c r="AE2481" i="8" s="1"/>
  <c r="AG2480" i="8"/>
  <c r="AF2480" i="8"/>
  <c r="AD2480" i="8"/>
  <c r="AE2480" i="8" s="1"/>
  <c r="AG2479" i="8"/>
  <c r="AF2479" i="8"/>
  <c r="AD2479" i="8"/>
  <c r="AE2479" i="8" s="1"/>
  <c r="AG2478" i="8"/>
  <c r="AF2478" i="8"/>
  <c r="AD2478" i="8"/>
  <c r="AE2478" i="8" s="1"/>
  <c r="AG2477" i="8"/>
  <c r="AF2477" i="8"/>
  <c r="AD2477" i="8"/>
  <c r="AE2477" i="8" s="1"/>
  <c r="AG2476" i="8"/>
  <c r="AF2476" i="8"/>
  <c r="AD2476" i="8"/>
  <c r="AE2476" i="8" s="1"/>
  <c r="AG2475" i="8"/>
  <c r="AF2475" i="8"/>
  <c r="AD2475" i="8"/>
  <c r="AE2475" i="8" s="1"/>
  <c r="AG2474" i="8"/>
  <c r="AF2474" i="8"/>
  <c r="AD2474" i="8"/>
  <c r="AE2474" i="8" s="1"/>
  <c r="AG2473" i="8"/>
  <c r="AF2473" i="8"/>
  <c r="AD2473" i="8"/>
  <c r="AE2473" i="8" s="1"/>
  <c r="AG2472" i="8"/>
  <c r="AF2472" i="8"/>
  <c r="AD2472" i="8"/>
  <c r="AE2472" i="8" s="1"/>
  <c r="AG2471" i="8"/>
  <c r="AF2471" i="8"/>
  <c r="AD2471" i="8"/>
  <c r="AE2471" i="8" s="1"/>
  <c r="AG2470" i="8"/>
  <c r="AF2470" i="8"/>
  <c r="AD2470" i="8"/>
  <c r="AE2470" i="8" s="1"/>
  <c r="AG2469" i="8"/>
  <c r="AF2469" i="8"/>
  <c r="AD2469" i="8"/>
  <c r="AE2469" i="8" s="1"/>
  <c r="AG2468" i="8"/>
  <c r="AF2468" i="8"/>
  <c r="AD2468" i="8"/>
  <c r="AE2468" i="8" s="1"/>
  <c r="AG2467" i="8"/>
  <c r="AF2467" i="8"/>
  <c r="AD2467" i="8"/>
  <c r="AE2467" i="8" s="1"/>
  <c r="AG2466" i="8"/>
  <c r="AF2466" i="8"/>
  <c r="AD2466" i="8"/>
  <c r="AE2466" i="8" s="1"/>
  <c r="AG2465" i="8"/>
  <c r="AF2465" i="8"/>
  <c r="AD2465" i="8"/>
  <c r="AE2465" i="8" s="1"/>
  <c r="AG2464" i="8"/>
  <c r="AF2464" i="8"/>
  <c r="AD2464" i="8"/>
  <c r="AE2464" i="8" s="1"/>
  <c r="AG2463" i="8"/>
  <c r="AF2463" i="8"/>
  <c r="AD2463" i="8"/>
  <c r="AE2463" i="8" s="1"/>
  <c r="AG2462" i="8"/>
  <c r="AF2462" i="8"/>
  <c r="AD2462" i="8"/>
  <c r="AE2462" i="8" s="1"/>
  <c r="AG2461" i="8"/>
  <c r="AF2461" i="8"/>
  <c r="AD2461" i="8"/>
  <c r="AE2461" i="8" s="1"/>
  <c r="AG2460" i="8"/>
  <c r="AF2460" i="8"/>
  <c r="AD2460" i="8"/>
  <c r="AE2460" i="8" s="1"/>
  <c r="AG2459" i="8"/>
  <c r="AF2459" i="8"/>
  <c r="AD2459" i="8"/>
  <c r="AE2459" i="8" s="1"/>
  <c r="AG2458" i="8"/>
  <c r="AF2458" i="8"/>
  <c r="AD2458" i="8"/>
  <c r="AE2458" i="8" s="1"/>
  <c r="AG2457" i="8"/>
  <c r="AF2457" i="8"/>
  <c r="AD2457" i="8"/>
  <c r="AE2457" i="8" s="1"/>
  <c r="AG2456" i="8"/>
  <c r="AF2456" i="8"/>
  <c r="AD2456" i="8"/>
  <c r="AE2456" i="8" s="1"/>
  <c r="AG2455" i="8"/>
  <c r="AF2455" i="8"/>
  <c r="AD2455" i="8"/>
  <c r="AE2455" i="8" s="1"/>
  <c r="AG2454" i="8"/>
  <c r="AF2454" i="8"/>
  <c r="AD2454" i="8"/>
  <c r="AE2454" i="8" s="1"/>
  <c r="AG2453" i="8"/>
  <c r="AF2453" i="8"/>
  <c r="AD2453" i="8"/>
  <c r="AE2453" i="8" s="1"/>
  <c r="AG2452" i="8"/>
  <c r="AF2452" i="8"/>
  <c r="AD2452" i="8"/>
  <c r="AE2452" i="8" s="1"/>
  <c r="AG2451" i="8"/>
  <c r="AF2451" i="8"/>
  <c r="AD2451" i="8"/>
  <c r="AE2451" i="8" s="1"/>
  <c r="AG2450" i="8"/>
  <c r="AF2450" i="8"/>
  <c r="AD2450" i="8"/>
  <c r="AE2450" i="8" s="1"/>
  <c r="AG2449" i="8"/>
  <c r="AF2449" i="8"/>
  <c r="AD2449" i="8"/>
  <c r="AE2449" i="8" s="1"/>
  <c r="AG2448" i="8"/>
  <c r="AF2448" i="8"/>
  <c r="AD2448" i="8"/>
  <c r="AE2448" i="8" s="1"/>
  <c r="AG2447" i="8"/>
  <c r="AF2447" i="8"/>
  <c r="AD2447" i="8"/>
  <c r="AE2447" i="8" s="1"/>
  <c r="AG2446" i="8"/>
  <c r="AF2446" i="8"/>
  <c r="AD2446" i="8"/>
  <c r="AE2446" i="8" s="1"/>
  <c r="AG2445" i="8"/>
  <c r="AF2445" i="8"/>
  <c r="AD2445" i="8"/>
  <c r="AE2445" i="8" s="1"/>
  <c r="AG2444" i="8"/>
  <c r="AF2444" i="8"/>
  <c r="AD2444" i="8"/>
  <c r="AE2444" i="8" s="1"/>
  <c r="AG2443" i="8"/>
  <c r="AF2443" i="8"/>
  <c r="AD2443" i="8"/>
  <c r="AE2443" i="8" s="1"/>
  <c r="AG2442" i="8"/>
  <c r="AF2442" i="8"/>
  <c r="AD2442" i="8"/>
  <c r="AE2442" i="8" s="1"/>
  <c r="AG2441" i="8"/>
  <c r="AF2441" i="8"/>
  <c r="AD2441" i="8"/>
  <c r="AE2441" i="8" s="1"/>
  <c r="AG2440" i="8"/>
  <c r="AF2440" i="8"/>
  <c r="AD2440" i="8"/>
  <c r="AE2440" i="8" s="1"/>
  <c r="AG2439" i="8"/>
  <c r="AF2439" i="8"/>
  <c r="AD2439" i="8"/>
  <c r="AE2439" i="8" s="1"/>
  <c r="AG2438" i="8"/>
  <c r="AF2438" i="8"/>
  <c r="AD2438" i="8"/>
  <c r="AE2438" i="8" s="1"/>
  <c r="AG2437" i="8"/>
  <c r="AF2437" i="8"/>
  <c r="AD2437" i="8"/>
  <c r="AE2437" i="8" s="1"/>
  <c r="AG2436" i="8"/>
  <c r="AF2436" i="8"/>
  <c r="AD2436" i="8"/>
  <c r="AE2436" i="8" s="1"/>
  <c r="AG2435" i="8"/>
  <c r="AF2435" i="8"/>
  <c r="AD2435" i="8"/>
  <c r="AE2435" i="8" s="1"/>
  <c r="AG2434" i="8"/>
  <c r="AF2434" i="8"/>
  <c r="AD2434" i="8"/>
  <c r="AE2434" i="8" s="1"/>
  <c r="AG2433" i="8"/>
  <c r="AF2433" i="8"/>
  <c r="AD2433" i="8"/>
  <c r="AE2433" i="8" s="1"/>
  <c r="AG2432" i="8"/>
  <c r="AF2432" i="8"/>
  <c r="AD2432" i="8"/>
  <c r="AE2432" i="8" s="1"/>
  <c r="AG2431" i="8"/>
  <c r="AF2431" i="8"/>
  <c r="AD2431" i="8"/>
  <c r="AE2431" i="8" s="1"/>
  <c r="AG2430" i="8"/>
  <c r="AF2430" i="8"/>
  <c r="AD2430" i="8"/>
  <c r="AE2430" i="8" s="1"/>
  <c r="AG2429" i="8"/>
  <c r="AF2429" i="8"/>
  <c r="AD2429" i="8"/>
  <c r="AE2429" i="8" s="1"/>
  <c r="AG2428" i="8"/>
  <c r="AF2428" i="8"/>
  <c r="AD2428" i="8"/>
  <c r="AE2428" i="8" s="1"/>
  <c r="AG2427" i="8"/>
  <c r="AF2427" i="8"/>
  <c r="AD2427" i="8"/>
  <c r="AE2427" i="8" s="1"/>
  <c r="AG2426" i="8"/>
  <c r="AF2426" i="8"/>
  <c r="AD2426" i="8"/>
  <c r="AE2426" i="8" s="1"/>
  <c r="AG2425" i="8"/>
  <c r="AF2425" i="8"/>
  <c r="AD2425" i="8"/>
  <c r="AE2425" i="8" s="1"/>
  <c r="AG2424" i="8"/>
  <c r="AF2424" i="8"/>
  <c r="AD2424" i="8"/>
  <c r="AE2424" i="8" s="1"/>
  <c r="AG2423" i="8"/>
  <c r="AF2423" i="8"/>
  <c r="AD2423" i="8"/>
  <c r="AE2423" i="8" s="1"/>
  <c r="AG2422" i="8"/>
  <c r="AF2422" i="8"/>
  <c r="AD2422" i="8"/>
  <c r="AE2422" i="8" s="1"/>
  <c r="AG2421" i="8"/>
  <c r="AF2421" i="8"/>
  <c r="AD2421" i="8"/>
  <c r="AE2421" i="8" s="1"/>
  <c r="AG2420" i="8"/>
  <c r="AF2420" i="8"/>
  <c r="AD2420" i="8"/>
  <c r="AE2420" i="8" s="1"/>
  <c r="AG2419" i="8"/>
  <c r="AF2419" i="8"/>
  <c r="AD2419" i="8"/>
  <c r="AE2419" i="8" s="1"/>
  <c r="AG2418" i="8"/>
  <c r="AF2418" i="8"/>
  <c r="AD2418" i="8"/>
  <c r="AE2418" i="8" s="1"/>
  <c r="AG2417" i="8"/>
  <c r="AF2417" i="8"/>
  <c r="AD2417" i="8"/>
  <c r="AE2417" i="8" s="1"/>
  <c r="AG2416" i="8"/>
  <c r="AF2416" i="8"/>
  <c r="AD2416" i="8"/>
  <c r="AE2416" i="8" s="1"/>
  <c r="AG2415" i="8"/>
  <c r="AF2415" i="8"/>
  <c r="AD2415" i="8"/>
  <c r="AE2415" i="8" s="1"/>
  <c r="AG2414" i="8"/>
  <c r="AF2414" i="8"/>
  <c r="AD2414" i="8"/>
  <c r="AE2414" i="8" s="1"/>
  <c r="AG2413" i="8"/>
  <c r="AF2413" i="8"/>
  <c r="AD2413" i="8"/>
  <c r="AE2413" i="8" s="1"/>
  <c r="AG2412" i="8"/>
  <c r="AF2412" i="8"/>
  <c r="AD2412" i="8"/>
  <c r="AE2412" i="8" s="1"/>
  <c r="AG2411" i="8"/>
  <c r="AF2411" i="8"/>
  <c r="AD2411" i="8"/>
  <c r="AE2411" i="8" s="1"/>
  <c r="AG2410" i="8"/>
  <c r="AF2410" i="8"/>
  <c r="AD2410" i="8"/>
  <c r="AE2410" i="8" s="1"/>
  <c r="AG2409" i="8"/>
  <c r="AF2409" i="8"/>
  <c r="AD2409" i="8"/>
  <c r="AE2409" i="8" s="1"/>
  <c r="AG2408" i="8"/>
  <c r="AF2408" i="8"/>
  <c r="AD2408" i="8"/>
  <c r="AE2408" i="8" s="1"/>
  <c r="AG2407" i="8"/>
  <c r="AF2407" i="8"/>
  <c r="AD2407" i="8"/>
  <c r="AE2407" i="8" s="1"/>
  <c r="AG2406" i="8"/>
  <c r="AF2406" i="8"/>
  <c r="AD2406" i="8"/>
  <c r="AE2406" i="8" s="1"/>
  <c r="AG2405" i="8"/>
  <c r="AF2405" i="8"/>
  <c r="AD2405" i="8"/>
  <c r="AE2405" i="8" s="1"/>
  <c r="AG2404" i="8"/>
  <c r="AF2404" i="8"/>
  <c r="AD2404" i="8"/>
  <c r="AE2404" i="8" s="1"/>
  <c r="AG2403" i="8"/>
  <c r="AF2403" i="8"/>
  <c r="AD2403" i="8"/>
  <c r="AE2403" i="8" s="1"/>
  <c r="AG2402" i="8"/>
  <c r="AF2402" i="8"/>
  <c r="AD2402" i="8"/>
  <c r="AE2402" i="8" s="1"/>
  <c r="AG2401" i="8"/>
  <c r="AF2401" i="8"/>
  <c r="AD2401" i="8"/>
  <c r="AE2401" i="8" s="1"/>
  <c r="AG2400" i="8"/>
  <c r="AF2400" i="8"/>
  <c r="AD2400" i="8"/>
  <c r="AE2400" i="8" s="1"/>
  <c r="AG2399" i="8"/>
  <c r="AF2399" i="8"/>
  <c r="AD2399" i="8"/>
  <c r="AE2399" i="8" s="1"/>
  <c r="AG2398" i="8"/>
  <c r="AF2398" i="8"/>
  <c r="AD2398" i="8"/>
  <c r="AE2398" i="8" s="1"/>
  <c r="AG2397" i="8"/>
  <c r="AF2397" i="8"/>
  <c r="AD2397" i="8"/>
  <c r="AE2397" i="8" s="1"/>
  <c r="AG2396" i="8"/>
  <c r="AF2396" i="8"/>
  <c r="AD2396" i="8"/>
  <c r="AE2396" i="8" s="1"/>
  <c r="AG2395" i="8"/>
  <c r="AF2395" i="8"/>
  <c r="AD2395" i="8"/>
  <c r="AE2395" i="8" s="1"/>
  <c r="AG2394" i="8"/>
  <c r="AF2394" i="8"/>
  <c r="AD2394" i="8"/>
  <c r="AE2394" i="8" s="1"/>
  <c r="AG2393" i="8"/>
  <c r="AF2393" i="8"/>
  <c r="AD2393" i="8"/>
  <c r="AE2393" i="8" s="1"/>
  <c r="AG2392" i="8"/>
  <c r="AF2392" i="8"/>
  <c r="AD2392" i="8"/>
  <c r="AE2392" i="8" s="1"/>
  <c r="AG2391" i="8"/>
  <c r="AF2391" i="8"/>
  <c r="AD2391" i="8"/>
  <c r="AE2391" i="8" s="1"/>
  <c r="AG2390" i="8"/>
  <c r="AF2390" i="8"/>
  <c r="AD2390" i="8"/>
  <c r="AE2390" i="8" s="1"/>
  <c r="AG2389" i="8"/>
  <c r="AF2389" i="8"/>
  <c r="AD2389" i="8"/>
  <c r="AE2389" i="8" s="1"/>
  <c r="AG2388" i="8"/>
  <c r="AF2388" i="8"/>
  <c r="AD2388" i="8"/>
  <c r="AE2388" i="8" s="1"/>
  <c r="AG2387" i="8"/>
  <c r="AF2387" i="8"/>
  <c r="AD2387" i="8"/>
  <c r="AE2387" i="8" s="1"/>
  <c r="AG2386" i="8"/>
  <c r="AF2386" i="8"/>
  <c r="AD2386" i="8"/>
  <c r="AE2386" i="8" s="1"/>
  <c r="AG2385" i="8"/>
  <c r="AF2385" i="8"/>
  <c r="AD2385" i="8"/>
  <c r="AE2385" i="8" s="1"/>
  <c r="AG2384" i="8"/>
  <c r="AF2384" i="8"/>
  <c r="AD2384" i="8"/>
  <c r="AE2384" i="8" s="1"/>
  <c r="AG2383" i="8"/>
  <c r="AF2383" i="8"/>
  <c r="AD2383" i="8"/>
  <c r="AE2383" i="8" s="1"/>
  <c r="AG2382" i="8"/>
  <c r="AF2382" i="8"/>
  <c r="AD2382" i="8"/>
  <c r="AE2382" i="8" s="1"/>
  <c r="AG2381" i="8"/>
  <c r="AF2381" i="8"/>
  <c r="AD2381" i="8"/>
  <c r="AE2381" i="8" s="1"/>
  <c r="AG2380" i="8"/>
  <c r="AF2380" i="8"/>
  <c r="AD2380" i="8"/>
  <c r="AE2380" i="8" s="1"/>
  <c r="AG2379" i="8"/>
  <c r="AF2379" i="8"/>
  <c r="AD2379" i="8"/>
  <c r="AE2379" i="8" s="1"/>
  <c r="AG2378" i="8"/>
  <c r="AF2378" i="8"/>
  <c r="AD2378" i="8"/>
  <c r="AE2378" i="8" s="1"/>
  <c r="AG2377" i="8"/>
  <c r="AF2377" i="8"/>
  <c r="AD2377" i="8"/>
  <c r="AE2377" i="8" s="1"/>
  <c r="AG2376" i="8"/>
  <c r="AF2376" i="8"/>
  <c r="AD2376" i="8"/>
  <c r="AE2376" i="8" s="1"/>
  <c r="AG2375" i="8"/>
  <c r="AF2375" i="8"/>
  <c r="AD2375" i="8"/>
  <c r="AE2375" i="8" s="1"/>
  <c r="AG2374" i="8"/>
  <c r="AF2374" i="8"/>
  <c r="AD2374" i="8"/>
  <c r="AE2374" i="8" s="1"/>
  <c r="AG2373" i="8"/>
  <c r="AF2373" i="8"/>
  <c r="AD2373" i="8"/>
  <c r="AE2373" i="8" s="1"/>
  <c r="AG2372" i="8"/>
  <c r="AF2372" i="8"/>
  <c r="AD2372" i="8"/>
  <c r="AE2372" i="8" s="1"/>
  <c r="AG2371" i="8"/>
  <c r="AF2371" i="8"/>
  <c r="AD2371" i="8"/>
  <c r="AE2371" i="8" s="1"/>
  <c r="AG2370" i="8"/>
  <c r="AF2370" i="8"/>
  <c r="AD2370" i="8"/>
  <c r="AE2370" i="8" s="1"/>
  <c r="AG2369" i="8"/>
  <c r="AF2369" i="8"/>
  <c r="AD2369" i="8"/>
  <c r="AE2369" i="8" s="1"/>
  <c r="AG2368" i="8"/>
  <c r="AF2368" i="8"/>
  <c r="AD2368" i="8"/>
  <c r="AE2368" i="8" s="1"/>
  <c r="AG2367" i="8"/>
  <c r="AF2367" i="8"/>
  <c r="AD2367" i="8"/>
  <c r="AE2367" i="8" s="1"/>
  <c r="AG2366" i="8"/>
  <c r="AF2366" i="8"/>
  <c r="AD2366" i="8"/>
  <c r="AE2366" i="8" s="1"/>
  <c r="AG2365" i="8"/>
  <c r="AF2365" i="8"/>
  <c r="AD2365" i="8"/>
  <c r="AE2365" i="8" s="1"/>
  <c r="AG2364" i="8"/>
  <c r="AF2364" i="8"/>
  <c r="AD2364" i="8"/>
  <c r="AE2364" i="8" s="1"/>
  <c r="AG2363" i="8"/>
  <c r="AF2363" i="8"/>
  <c r="AD2363" i="8"/>
  <c r="AE2363" i="8" s="1"/>
  <c r="AG2362" i="8"/>
  <c r="AF2362" i="8"/>
  <c r="AD2362" i="8"/>
  <c r="AE2362" i="8" s="1"/>
  <c r="AG2361" i="8"/>
  <c r="AF2361" i="8"/>
  <c r="AD2361" i="8"/>
  <c r="AE2361" i="8" s="1"/>
  <c r="AG2360" i="8"/>
  <c r="AF2360" i="8"/>
  <c r="AD2360" i="8"/>
  <c r="AE2360" i="8" s="1"/>
  <c r="AG2359" i="8"/>
  <c r="AF2359" i="8"/>
  <c r="AD2359" i="8"/>
  <c r="AE2359" i="8" s="1"/>
  <c r="AG2358" i="8"/>
  <c r="AF2358" i="8"/>
  <c r="AD2358" i="8"/>
  <c r="AE2358" i="8" s="1"/>
  <c r="AG2357" i="8"/>
  <c r="AF2357" i="8"/>
  <c r="AD2357" i="8"/>
  <c r="AE2357" i="8" s="1"/>
  <c r="AG2356" i="8"/>
  <c r="AF2356" i="8"/>
  <c r="AD2356" i="8"/>
  <c r="AE2356" i="8" s="1"/>
  <c r="AG2355" i="8"/>
  <c r="AF2355" i="8"/>
  <c r="AD2355" i="8"/>
  <c r="AE2355" i="8" s="1"/>
  <c r="AG2354" i="8"/>
  <c r="AF2354" i="8"/>
  <c r="AD2354" i="8"/>
  <c r="AE2354" i="8" s="1"/>
  <c r="AG2353" i="8"/>
  <c r="AF2353" i="8"/>
  <c r="AD2353" i="8"/>
  <c r="AE2353" i="8" s="1"/>
  <c r="AG2352" i="8"/>
  <c r="AF2352" i="8"/>
  <c r="AD2352" i="8"/>
  <c r="AE2352" i="8" s="1"/>
  <c r="AG2351" i="8"/>
  <c r="AF2351" i="8"/>
  <c r="AD2351" i="8"/>
  <c r="AE2351" i="8" s="1"/>
  <c r="AG2350" i="8"/>
  <c r="AF2350" i="8"/>
  <c r="AD2350" i="8"/>
  <c r="AE2350" i="8" s="1"/>
  <c r="AG2349" i="8"/>
  <c r="AF2349" i="8"/>
  <c r="AD2349" i="8"/>
  <c r="AE2349" i="8" s="1"/>
  <c r="AG2348" i="8"/>
  <c r="AF2348" i="8"/>
  <c r="AD2348" i="8"/>
  <c r="AE2348" i="8" s="1"/>
  <c r="AG2347" i="8"/>
  <c r="AF2347" i="8"/>
  <c r="AD2347" i="8"/>
  <c r="AE2347" i="8" s="1"/>
  <c r="AG2346" i="8"/>
  <c r="AF2346" i="8"/>
  <c r="AD2346" i="8"/>
  <c r="AE2346" i="8" s="1"/>
  <c r="AG2345" i="8"/>
  <c r="AF2345" i="8"/>
  <c r="AD2345" i="8"/>
  <c r="AE2345" i="8" s="1"/>
  <c r="AG2344" i="8"/>
  <c r="AF2344" i="8"/>
  <c r="AD2344" i="8"/>
  <c r="AE2344" i="8" s="1"/>
  <c r="AG2343" i="8"/>
  <c r="AF2343" i="8"/>
  <c r="AD2343" i="8"/>
  <c r="AE2343" i="8" s="1"/>
  <c r="AG2342" i="8"/>
  <c r="AF2342" i="8"/>
  <c r="AD2342" i="8"/>
  <c r="AE2342" i="8" s="1"/>
  <c r="AG2341" i="8"/>
  <c r="AF2341" i="8"/>
  <c r="AD2341" i="8"/>
  <c r="AE2341" i="8" s="1"/>
  <c r="AG2340" i="8"/>
  <c r="AF2340" i="8"/>
  <c r="AD2340" i="8"/>
  <c r="AE2340" i="8" s="1"/>
  <c r="AG2339" i="8"/>
  <c r="AF2339" i="8"/>
  <c r="AD2339" i="8"/>
  <c r="AE2339" i="8" s="1"/>
  <c r="AG2338" i="8"/>
  <c r="AF2338" i="8"/>
  <c r="AD2338" i="8"/>
  <c r="AE2338" i="8" s="1"/>
  <c r="AG2337" i="8"/>
  <c r="AF2337" i="8"/>
  <c r="AD2337" i="8"/>
  <c r="AE2337" i="8" s="1"/>
  <c r="AG2336" i="8"/>
  <c r="AF2336" i="8"/>
  <c r="AD2336" i="8"/>
  <c r="AE2336" i="8" s="1"/>
  <c r="AG2335" i="8"/>
  <c r="AF2335" i="8"/>
  <c r="AD2335" i="8"/>
  <c r="AE2335" i="8" s="1"/>
  <c r="AG2334" i="8"/>
  <c r="AF2334" i="8"/>
  <c r="AD2334" i="8"/>
  <c r="AE2334" i="8" s="1"/>
  <c r="AG2333" i="8"/>
  <c r="AF2333" i="8"/>
  <c r="AD2333" i="8"/>
  <c r="AE2333" i="8" s="1"/>
  <c r="AG2332" i="8"/>
  <c r="AF2332" i="8"/>
  <c r="AD2332" i="8"/>
  <c r="AE2332" i="8" s="1"/>
  <c r="AG2331" i="8"/>
  <c r="AF2331" i="8"/>
  <c r="AD2331" i="8"/>
  <c r="AE2331" i="8" s="1"/>
  <c r="AG2330" i="8"/>
  <c r="AF2330" i="8"/>
  <c r="AD2330" i="8"/>
  <c r="AE2330" i="8" s="1"/>
  <c r="AG2329" i="8"/>
  <c r="AF2329" i="8"/>
  <c r="AD2329" i="8"/>
  <c r="AE2329" i="8" s="1"/>
  <c r="AG2328" i="8"/>
  <c r="AF2328" i="8"/>
  <c r="AD2328" i="8"/>
  <c r="AE2328" i="8" s="1"/>
  <c r="AG2327" i="8"/>
  <c r="AF2327" i="8"/>
  <c r="AD2327" i="8"/>
  <c r="AE2327" i="8" s="1"/>
  <c r="AG2326" i="8"/>
  <c r="AF2326" i="8"/>
  <c r="AD2326" i="8"/>
  <c r="AE2326" i="8" s="1"/>
  <c r="AG2325" i="8"/>
  <c r="AF2325" i="8"/>
  <c r="AD2325" i="8"/>
  <c r="AE2325" i="8" s="1"/>
  <c r="AG2324" i="8"/>
  <c r="AF2324" i="8"/>
  <c r="AD2324" i="8"/>
  <c r="AE2324" i="8" s="1"/>
  <c r="AG2323" i="8"/>
  <c r="AF2323" i="8"/>
  <c r="AD2323" i="8"/>
  <c r="AE2323" i="8" s="1"/>
  <c r="AG2322" i="8"/>
  <c r="AF2322" i="8"/>
  <c r="AD2322" i="8"/>
  <c r="AE2322" i="8" s="1"/>
  <c r="AG2321" i="8"/>
  <c r="AF2321" i="8"/>
  <c r="AD2321" i="8"/>
  <c r="AE2321" i="8" s="1"/>
  <c r="AG2320" i="8"/>
  <c r="AF2320" i="8"/>
  <c r="AD2320" i="8"/>
  <c r="AE2320" i="8" s="1"/>
  <c r="AG2319" i="8"/>
  <c r="AF2319" i="8"/>
  <c r="AD2319" i="8"/>
  <c r="AE2319" i="8" s="1"/>
  <c r="AG2318" i="8"/>
  <c r="AF2318" i="8"/>
  <c r="AD2318" i="8"/>
  <c r="AE2318" i="8" s="1"/>
  <c r="AG2317" i="8"/>
  <c r="AF2317" i="8"/>
  <c r="AD2317" i="8"/>
  <c r="AE2317" i="8" s="1"/>
  <c r="AG2316" i="8"/>
  <c r="AF2316" i="8"/>
  <c r="AD2316" i="8"/>
  <c r="AE2316" i="8" s="1"/>
  <c r="AG2315" i="8"/>
  <c r="AF2315" i="8"/>
  <c r="AD2315" i="8"/>
  <c r="AE2315" i="8" s="1"/>
  <c r="AG2314" i="8"/>
  <c r="AF2314" i="8"/>
  <c r="AD2314" i="8"/>
  <c r="AE2314" i="8" s="1"/>
  <c r="AG2313" i="8"/>
  <c r="AF2313" i="8"/>
  <c r="AD2313" i="8"/>
  <c r="AE2313" i="8" s="1"/>
  <c r="AG2312" i="8"/>
  <c r="AF2312" i="8"/>
  <c r="AD2312" i="8"/>
  <c r="AE2312" i="8" s="1"/>
  <c r="AG2311" i="8"/>
  <c r="AF2311" i="8"/>
  <c r="AD2311" i="8"/>
  <c r="AE2311" i="8" s="1"/>
  <c r="AG2310" i="8"/>
  <c r="AF2310" i="8"/>
  <c r="AD2310" i="8"/>
  <c r="AE2310" i="8" s="1"/>
  <c r="AG2309" i="8"/>
  <c r="AF2309" i="8"/>
  <c r="AD2309" i="8"/>
  <c r="AE2309" i="8" s="1"/>
  <c r="AG2308" i="8"/>
  <c r="AF2308" i="8"/>
  <c r="AD2308" i="8"/>
  <c r="AE2308" i="8" s="1"/>
  <c r="AG2307" i="8"/>
  <c r="AF2307" i="8"/>
  <c r="AD2307" i="8"/>
  <c r="AE2307" i="8" s="1"/>
  <c r="AG2306" i="8"/>
  <c r="AF2306" i="8"/>
  <c r="AD2306" i="8"/>
  <c r="AE2306" i="8" s="1"/>
  <c r="AG2305" i="8"/>
  <c r="AF2305" i="8"/>
  <c r="AD2305" i="8"/>
  <c r="AE2305" i="8" s="1"/>
  <c r="AG2304" i="8"/>
  <c r="AF2304" i="8"/>
  <c r="AD2304" i="8"/>
  <c r="AE2304" i="8" s="1"/>
  <c r="AG2303" i="8"/>
  <c r="AF2303" i="8"/>
  <c r="AD2303" i="8"/>
  <c r="AE2303" i="8" s="1"/>
  <c r="AG2302" i="8"/>
  <c r="AF2302" i="8"/>
  <c r="AD2302" i="8"/>
  <c r="AE2302" i="8" s="1"/>
  <c r="AG2301" i="8"/>
  <c r="AF2301" i="8"/>
  <c r="AD2301" i="8"/>
  <c r="AE2301" i="8" s="1"/>
  <c r="AG2300" i="8"/>
  <c r="AF2300" i="8"/>
  <c r="AD2300" i="8"/>
  <c r="AE2300" i="8" s="1"/>
  <c r="AG2299" i="8"/>
  <c r="AF2299" i="8"/>
  <c r="AD2299" i="8"/>
  <c r="AE2299" i="8" s="1"/>
  <c r="AG2298" i="8"/>
  <c r="AF2298" i="8"/>
  <c r="AD2298" i="8"/>
  <c r="AE2298" i="8" s="1"/>
  <c r="AG2297" i="8"/>
  <c r="AF2297" i="8"/>
  <c r="AD2297" i="8"/>
  <c r="AE2297" i="8" s="1"/>
  <c r="AG2296" i="8"/>
  <c r="AF2296" i="8"/>
  <c r="AD2296" i="8"/>
  <c r="AE2296" i="8" s="1"/>
  <c r="AG2295" i="8"/>
  <c r="AF2295" i="8"/>
  <c r="AD2295" i="8"/>
  <c r="AE2295" i="8" s="1"/>
  <c r="AG2294" i="8"/>
  <c r="AF2294" i="8"/>
  <c r="AD2294" i="8"/>
  <c r="AE2294" i="8" s="1"/>
  <c r="AG2293" i="8"/>
  <c r="AF2293" i="8"/>
  <c r="AD2293" i="8"/>
  <c r="AE2293" i="8" s="1"/>
  <c r="AG2292" i="8"/>
  <c r="AF2292" i="8"/>
  <c r="AD2292" i="8"/>
  <c r="AE2292" i="8" s="1"/>
  <c r="AG2291" i="8"/>
  <c r="AF2291" i="8"/>
  <c r="AD2291" i="8"/>
  <c r="AE2291" i="8" s="1"/>
  <c r="AG2290" i="8"/>
  <c r="AF2290" i="8"/>
  <c r="AD2290" i="8"/>
  <c r="AE2290" i="8" s="1"/>
  <c r="AG2289" i="8"/>
  <c r="AF2289" i="8"/>
  <c r="AD2289" i="8"/>
  <c r="AE2289" i="8" s="1"/>
  <c r="AG2288" i="8"/>
  <c r="AF2288" i="8"/>
  <c r="AD2288" i="8"/>
  <c r="AE2288" i="8" s="1"/>
  <c r="AG2287" i="8"/>
  <c r="AF2287" i="8"/>
  <c r="AD2287" i="8"/>
  <c r="AE2287" i="8" s="1"/>
  <c r="AG2286" i="8"/>
  <c r="AF2286" i="8"/>
  <c r="AD2286" i="8"/>
  <c r="AE2286" i="8" s="1"/>
  <c r="AG2285" i="8"/>
  <c r="AF2285" i="8"/>
  <c r="AD2285" i="8"/>
  <c r="AE2285" i="8" s="1"/>
  <c r="AG2284" i="8"/>
  <c r="AF2284" i="8"/>
  <c r="AD2284" i="8"/>
  <c r="AE2284" i="8" s="1"/>
  <c r="AG2283" i="8"/>
  <c r="AF2283" i="8"/>
  <c r="AD2283" i="8"/>
  <c r="AE2283" i="8" s="1"/>
  <c r="AG2282" i="8"/>
  <c r="AF2282" i="8"/>
  <c r="AD2282" i="8"/>
  <c r="AE2282" i="8" s="1"/>
  <c r="AG2281" i="8"/>
  <c r="AF2281" i="8"/>
  <c r="AD2281" i="8"/>
  <c r="AE2281" i="8" s="1"/>
  <c r="AG2280" i="8"/>
  <c r="AF2280" i="8"/>
  <c r="AD2280" i="8"/>
  <c r="AE2280" i="8" s="1"/>
  <c r="AG2279" i="8"/>
  <c r="AF2279" i="8"/>
  <c r="AD2279" i="8"/>
  <c r="AE2279" i="8" s="1"/>
  <c r="AG2278" i="8"/>
  <c r="AF2278" i="8"/>
  <c r="AD2278" i="8"/>
  <c r="AE2278" i="8" s="1"/>
  <c r="AG2277" i="8"/>
  <c r="AF2277" i="8"/>
  <c r="AD2277" i="8"/>
  <c r="AE2277" i="8" s="1"/>
  <c r="AG2276" i="8"/>
  <c r="AF2276" i="8"/>
  <c r="AD2276" i="8"/>
  <c r="AE2276" i="8" s="1"/>
  <c r="AG2275" i="8"/>
  <c r="AF2275" i="8"/>
  <c r="AD2275" i="8"/>
  <c r="AE2275" i="8" s="1"/>
  <c r="AG2274" i="8"/>
  <c r="AF2274" i="8"/>
  <c r="AD2274" i="8"/>
  <c r="AE2274" i="8" s="1"/>
  <c r="AG2273" i="8"/>
  <c r="AF2273" i="8"/>
  <c r="AD2273" i="8"/>
  <c r="AE2273" i="8" s="1"/>
  <c r="AG2272" i="8"/>
  <c r="AF2272" i="8"/>
  <c r="AD2272" i="8"/>
  <c r="AE2272" i="8" s="1"/>
  <c r="AG2271" i="8"/>
  <c r="AF2271" i="8"/>
  <c r="AD2271" i="8"/>
  <c r="AE2271" i="8" s="1"/>
  <c r="AG2270" i="8"/>
  <c r="AF2270" i="8"/>
  <c r="AD2270" i="8"/>
  <c r="AE2270" i="8" s="1"/>
  <c r="AG2269" i="8"/>
  <c r="AF2269" i="8"/>
  <c r="AD2269" i="8"/>
  <c r="AE2269" i="8" s="1"/>
  <c r="AG2268" i="8"/>
  <c r="AF2268" i="8"/>
  <c r="AD2268" i="8"/>
  <c r="AE2268" i="8" s="1"/>
  <c r="AG2267" i="8"/>
  <c r="AF2267" i="8"/>
  <c r="AD2267" i="8"/>
  <c r="AE2267" i="8" s="1"/>
  <c r="AG2266" i="8"/>
  <c r="AF2266" i="8"/>
  <c r="AD2266" i="8"/>
  <c r="AE2266" i="8" s="1"/>
  <c r="AG2265" i="8"/>
  <c r="AF2265" i="8"/>
  <c r="AD2265" i="8"/>
  <c r="AE2265" i="8" s="1"/>
  <c r="AG2264" i="8"/>
  <c r="AF2264" i="8"/>
  <c r="AD2264" i="8"/>
  <c r="AE2264" i="8" s="1"/>
  <c r="AG2263" i="8"/>
  <c r="AF2263" i="8"/>
  <c r="AD2263" i="8"/>
  <c r="AE2263" i="8" s="1"/>
  <c r="AG2262" i="8"/>
  <c r="AF2262" i="8"/>
  <c r="AD2262" i="8"/>
  <c r="AE2262" i="8" s="1"/>
  <c r="AG2261" i="8"/>
  <c r="AF2261" i="8"/>
  <c r="AD2261" i="8"/>
  <c r="AE2261" i="8" s="1"/>
  <c r="AG2260" i="8"/>
  <c r="AF2260" i="8"/>
  <c r="AD2260" i="8"/>
  <c r="AE2260" i="8" s="1"/>
  <c r="AG2259" i="8"/>
  <c r="AF2259" i="8"/>
  <c r="AD2259" i="8"/>
  <c r="AE2259" i="8" s="1"/>
  <c r="AG2258" i="8"/>
  <c r="AF2258" i="8"/>
  <c r="AD2258" i="8"/>
  <c r="AE2258" i="8" s="1"/>
  <c r="AG2257" i="8"/>
  <c r="AF2257" i="8"/>
  <c r="AD2257" i="8"/>
  <c r="AE2257" i="8" s="1"/>
  <c r="AG2256" i="8"/>
  <c r="AF2256" i="8"/>
  <c r="AD2256" i="8"/>
  <c r="AE2256" i="8" s="1"/>
  <c r="AG2255" i="8"/>
  <c r="AF2255" i="8"/>
  <c r="AD2255" i="8"/>
  <c r="AE2255" i="8" s="1"/>
  <c r="AG2254" i="8"/>
  <c r="AF2254" i="8"/>
  <c r="AD2254" i="8"/>
  <c r="AE2254" i="8" s="1"/>
  <c r="AG2253" i="8"/>
  <c r="AF2253" i="8"/>
  <c r="AD2253" i="8"/>
  <c r="AE2253" i="8" s="1"/>
  <c r="AG2252" i="8"/>
  <c r="AF2252" i="8"/>
  <c r="AD2252" i="8"/>
  <c r="AE2252" i="8" s="1"/>
  <c r="AG2251" i="8"/>
  <c r="AF2251" i="8"/>
  <c r="AD2251" i="8"/>
  <c r="AE2251" i="8" s="1"/>
  <c r="AG2250" i="8"/>
  <c r="AF2250" i="8"/>
  <c r="AD2250" i="8"/>
  <c r="AE2250" i="8" s="1"/>
  <c r="AG2249" i="8"/>
  <c r="AF2249" i="8"/>
  <c r="AD2249" i="8"/>
  <c r="AE2249" i="8" s="1"/>
  <c r="AG2248" i="8"/>
  <c r="AF2248" i="8"/>
  <c r="AD2248" i="8"/>
  <c r="AE2248" i="8" s="1"/>
  <c r="AG2247" i="8"/>
  <c r="AF2247" i="8"/>
  <c r="AD2247" i="8"/>
  <c r="AE2247" i="8" s="1"/>
  <c r="AG2246" i="8"/>
  <c r="AF2246" i="8"/>
  <c r="AD2246" i="8"/>
  <c r="AE2246" i="8" s="1"/>
  <c r="AG2245" i="8"/>
  <c r="AF2245" i="8"/>
  <c r="AD2245" i="8"/>
  <c r="AE2245" i="8" s="1"/>
  <c r="AG2244" i="8"/>
  <c r="AF2244" i="8"/>
  <c r="AD2244" i="8"/>
  <c r="AE2244" i="8" s="1"/>
  <c r="AG2243" i="8"/>
  <c r="AF2243" i="8"/>
  <c r="AD2243" i="8"/>
  <c r="AE2243" i="8" s="1"/>
  <c r="AG2242" i="8"/>
  <c r="AF2242" i="8"/>
  <c r="AD2242" i="8"/>
  <c r="AE2242" i="8" s="1"/>
  <c r="AG2241" i="8"/>
  <c r="AF2241" i="8"/>
  <c r="AD2241" i="8"/>
  <c r="AE2241" i="8" s="1"/>
  <c r="AG2240" i="8"/>
  <c r="AF2240" i="8"/>
  <c r="AD2240" i="8"/>
  <c r="AE2240" i="8" s="1"/>
  <c r="AG2239" i="8"/>
  <c r="AF2239" i="8"/>
  <c r="AD2239" i="8"/>
  <c r="AE2239" i="8" s="1"/>
  <c r="AG2238" i="8"/>
  <c r="AF2238" i="8"/>
  <c r="AD2238" i="8"/>
  <c r="AE2238" i="8" s="1"/>
  <c r="AG2237" i="8"/>
  <c r="AF2237" i="8"/>
  <c r="AD2237" i="8"/>
  <c r="AE2237" i="8" s="1"/>
  <c r="AG2236" i="8"/>
  <c r="AF2236" i="8"/>
  <c r="AD2236" i="8"/>
  <c r="AE2236" i="8" s="1"/>
  <c r="AG2235" i="8"/>
  <c r="AF2235" i="8"/>
  <c r="AD2235" i="8"/>
  <c r="AE2235" i="8" s="1"/>
  <c r="AG2234" i="8"/>
  <c r="AF2234" i="8"/>
  <c r="AD2234" i="8"/>
  <c r="AE2234" i="8" s="1"/>
  <c r="AG2233" i="8"/>
  <c r="AF2233" i="8"/>
  <c r="AD2233" i="8"/>
  <c r="AE2233" i="8" s="1"/>
  <c r="AG2232" i="8"/>
  <c r="AF2232" i="8"/>
  <c r="AD2232" i="8"/>
  <c r="AE2232" i="8" s="1"/>
  <c r="AG2231" i="8"/>
  <c r="AF2231" i="8"/>
  <c r="AD2231" i="8"/>
  <c r="AE2231" i="8" s="1"/>
  <c r="AG2230" i="8"/>
  <c r="AF2230" i="8"/>
  <c r="AD2230" i="8"/>
  <c r="AE2230" i="8" s="1"/>
  <c r="AG2229" i="8"/>
  <c r="AF2229" i="8"/>
  <c r="AD2229" i="8"/>
  <c r="AE2229" i="8" s="1"/>
  <c r="AG2228" i="8"/>
  <c r="AF2228" i="8"/>
  <c r="AD2228" i="8"/>
  <c r="AE2228" i="8" s="1"/>
  <c r="AG2227" i="8"/>
  <c r="AF2227" i="8"/>
  <c r="AD2227" i="8"/>
  <c r="AE2227" i="8" s="1"/>
  <c r="AG2226" i="8"/>
  <c r="AF2226" i="8"/>
  <c r="AD2226" i="8"/>
  <c r="AE2226" i="8" s="1"/>
  <c r="AG2225" i="8"/>
  <c r="AF2225" i="8"/>
  <c r="AD2225" i="8"/>
  <c r="AE2225" i="8" s="1"/>
  <c r="AG2224" i="8"/>
  <c r="AF2224" i="8"/>
  <c r="AD2224" i="8"/>
  <c r="AE2224" i="8" s="1"/>
  <c r="AG2223" i="8"/>
  <c r="AF2223" i="8"/>
  <c r="AD2223" i="8"/>
  <c r="AE2223" i="8" s="1"/>
  <c r="AG2222" i="8"/>
  <c r="AF2222" i="8"/>
  <c r="AD2222" i="8"/>
  <c r="AE2222" i="8" s="1"/>
  <c r="AG2221" i="8"/>
  <c r="AF2221" i="8"/>
  <c r="AD2221" i="8"/>
  <c r="AE2221" i="8" s="1"/>
  <c r="AG2220" i="8"/>
  <c r="AF2220" i="8"/>
  <c r="AD2220" i="8"/>
  <c r="AE2220" i="8" s="1"/>
  <c r="AG2219" i="8"/>
  <c r="AF2219" i="8"/>
  <c r="AD2219" i="8"/>
  <c r="AE2219" i="8" s="1"/>
  <c r="AG2218" i="8"/>
  <c r="AF2218" i="8"/>
  <c r="AD2218" i="8"/>
  <c r="AE2218" i="8" s="1"/>
  <c r="AG2217" i="8"/>
  <c r="AF2217" i="8"/>
  <c r="AD2217" i="8"/>
  <c r="AE2217" i="8" s="1"/>
  <c r="AG2216" i="8"/>
  <c r="AF2216" i="8"/>
  <c r="AD2216" i="8"/>
  <c r="AE2216" i="8" s="1"/>
  <c r="AG2215" i="8"/>
  <c r="AF2215" i="8"/>
  <c r="AD2215" i="8"/>
  <c r="AE2215" i="8" s="1"/>
  <c r="AG2214" i="8"/>
  <c r="AF2214" i="8"/>
  <c r="AD2214" i="8"/>
  <c r="AE2214" i="8" s="1"/>
  <c r="AG2213" i="8"/>
  <c r="AF2213" i="8"/>
  <c r="AD2213" i="8"/>
  <c r="AE2213" i="8" s="1"/>
  <c r="AG2212" i="8"/>
  <c r="AF2212" i="8"/>
  <c r="AD2212" i="8"/>
  <c r="AE2212" i="8" s="1"/>
  <c r="AG2211" i="8"/>
  <c r="AF2211" i="8"/>
  <c r="AD2211" i="8"/>
  <c r="AE2211" i="8" s="1"/>
  <c r="AG2210" i="8"/>
  <c r="AF2210" i="8"/>
  <c r="AD2210" i="8"/>
  <c r="AE2210" i="8" s="1"/>
  <c r="AG2209" i="8"/>
  <c r="AF2209" i="8"/>
  <c r="AD2209" i="8"/>
  <c r="AE2209" i="8" s="1"/>
  <c r="AG2208" i="8"/>
  <c r="AF2208" i="8"/>
  <c r="AD2208" i="8"/>
  <c r="AE2208" i="8" s="1"/>
  <c r="AG2207" i="8"/>
  <c r="AF2207" i="8"/>
  <c r="AD2207" i="8"/>
  <c r="AE2207" i="8" s="1"/>
  <c r="AG2206" i="8"/>
  <c r="AF2206" i="8"/>
  <c r="AD2206" i="8"/>
  <c r="AE2206" i="8" s="1"/>
  <c r="AG2205" i="8"/>
  <c r="AF2205" i="8"/>
  <c r="AD2205" i="8"/>
  <c r="AE2205" i="8" s="1"/>
  <c r="AG2204" i="8"/>
  <c r="AF2204" i="8"/>
  <c r="AD2204" i="8"/>
  <c r="AE2204" i="8" s="1"/>
  <c r="AG2203" i="8"/>
  <c r="AF2203" i="8"/>
  <c r="AD2203" i="8"/>
  <c r="AE2203" i="8" s="1"/>
  <c r="AG2202" i="8"/>
  <c r="AF2202" i="8"/>
  <c r="AD2202" i="8"/>
  <c r="AE2202" i="8" s="1"/>
  <c r="AG2201" i="8"/>
  <c r="AF2201" i="8"/>
  <c r="AD2201" i="8"/>
  <c r="AE2201" i="8" s="1"/>
  <c r="AG2200" i="8"/>
  <c r="AF2200" i="8"/>
  <c r="AD2200" i="8"/>
  <c r="AE2200" i="8" s="1"/>
  <c r="AG2199" i="8"/>
  <c r="AF2199" i="8"/>
  <c r="AD2199" i="8"/>
  <c r="AE2199" i="8" s="1"/>
  <c r="AG2198" i="8"/>
  <c r="AF2198" i="8"/>
  <c r="AD2198" i="8"/>
  <c r="AE2198" i="8" s="1"/>
  <c r="AG2197" i="8"/>
  <c r="AF2197" i="8"/>
  <c r="AD2197" i="8"/>
  <c r="AE2197" i="8" s="1"/>
  <c r="AG2196" i="8"/>
  <c r="AF2196" i="8"/>
  <c r="AD2196" i="8"/>
  <c r="AE2196" i="8" s="1"/>
  <c r="AG2195" i="8"/>
  <c r="AF2195" i="8"/>
  <c r="AD2195" i="8"/>
  <c r="AE2195" i="8" s="1"/>
  <c r="AG2194" i="8"/>
  <c r="AF2194" i="8"/>
  <c r="AD2194" i="8"/>
  <c r="AE2194" i="8" s="1"/>
  <c r="AG2193" i="8"/>
  <c r="AF2193" i="8"/>
  <c r="AD2193" i="8"/>
  <c r="AE2193" i="8" s="1"/>
  <c r="AG2192" i="8"/>
  <c r="AF2192" i="8"/>
  <c r="AD2192" i="8"/>
  <c r="AE2192" i="8" s="1"/>
  <c r="AG2191" i="8"/>
  <c r="AF2191" i="8"/>
  <c r="AD2191" i="8"/>
  <c r="AE2191" i="8" s="1"/>
  <c r="AG2190" i="8"/>
  <c r="AF2190" i="8"/>
  <c r="AD2190" i="8"/>
  <c r="AE2190" i="8" s="1"/>
  <c r="AG2189" i="8"/>
  <c r="AF2189" i="8"/>
  <c r="AD2189" i="8"/>
  <c r="AE2189" i="8" s="1"/>
  <c r="AG2188" i="8"/>
  <c r="AF2188" i="8"/>
  <c r="AD2188" i="8"/>
  <c r="AE2188" i="8" s="1"/>
  <c r="AG2187" i="8"/>
  <c r="AF2187" i="8"/>
  <c r="AD2187" i="8"/>
  <c r="AE2187" i="8" s="1"/>
  <c r="AG2186" i="8"/>
  <c r="AF2186" i="8"/>
  <c r="AD2186" i="8"/>
  <c r="AE2186" i="8" s="1"/>
  <c r="AG2185" i="8"/>
  <c r="AF2185" i="8"/>
  <c r="AD2185" i="8"/>
  <c r="AE2185" i="8" s="1"/>
  <c r="AG2184" i="8"/>
  <c r="AF2184" i="8"/>
  <c r="AD2184" i="8"/>
  <c r="AE2184" i="8" s="1"/>
  <c r="AG2183" i="8"/>
  <c r="AF2183" i="8"/>
  <c r="AD2183" i="8"/>
  <c r="AE2183" i="8" s="1"/>
  <c r="AG2182" i="8"/>
  <c r="AF2182" i="8"/>
  <c r="AD2182" i="8"/>
  <c r="AE2182" i="8" s="1"/>
  <c r="AG2181" i="8"/>
  <c r="AF2181" i="8"/>
  <c r="AD2181" i="8"/>
  <c r="AE2181" i="8" s="1"/>
  <c r="AG2180" i="8"/>
  <c r="AF2180" i="8"/>
  <c r="AD2180" i="8"/>
  <c r="AE2180" i="8" s="1"/>
  <c r="AG2179" i="8"/>
  <c r="AF2179" i="8"/>
  <c r="AD2179" i="8"/>
  <c r="AE2179" i="8" s="1"/>
  <c r="AG2178" i="8"/>
  <c r="AF2178" i="8"/>
  <c r="AD2178" i="8"/>
  <c r="AE2178" i="8" s="1"/>
  <c r="AG2177" i="8"/>
  <c r="AF2177" i="8"/>
  <c r="AD2177" i="8"/>
  <c r="AE2177" i="8" s="1"/>
  <c r="AG2176" i="8"/>
  <c r="AF2176" i="8"/>
  <c r="AD2176" i="8"/>
  <c r="AE2176" i="8" s="1"/>
  <c r="AG2175" i="8"/>
  <c r="AF2175" i="8"/>
  <c r="AD2175" i="8"/>
  <c r="AE2175" i="8" s="1"/>
  <c r="AG2174" i="8"/>
  <c r="AF2174" i="8"/>
  <c r="AD2174" i="8"/>
  <c r="AE2174" i="8" s="1"/>
  <c r="AG2173" i="8"/>
  <c r="AF2173" i="8"/>
  <c r="AD2173" i="8"/>
  <c r="AE2173" i="8" s="1"/>
  <c r="AG2172" i="8"/>
  <c r="AF2172" i="8"/>
  <c r="AD2172" i="8"/>
  <c r="AE2172" i="8" s="1"/>
  <c r="AG2171" i="8"/>
  <c r="AF2171" i="8"/>
  <c r="AD2171" i="8"/>
  <c r="AE2171" i="8" s="1"/>
  <c r="AG2170" i="8"/>
  <c r="AF2170" i="8"/>
  <c r="AD2170" i="8"/>
  <c r="AE2170" i="8" s="1"/>
  <c r="AG2169" i="8"/>
  <c r="AF2169" i="8"/>
  <c r="AD2169" i="8"/>
  <c r="AE2169" i="8" s="1"/>
  <c r="AG2168" i="8"/>
  <c r="AF2168" i="8"/>
  <c r="AD2168" i="8"/>
  <c r="AE2168" i="8" s="1"/>
  <c r="AG2167" i="8"/>
  <c r="AF2167" i="8"/>
  <c r="AD2167" i="8"/>
  <c r="AE2167" i="8" s="1"/>
  <c r="AG2166" i="8"/>
  <c r="AF2166" i="8"/>
  <c r="AD2166" i="8"/>
  <c r="AE2166" i="8" s="1"/>
  <c r="AG2165" i="8"/>
  <c r="AF2165" i="8"/>
  <c r="AD2165" i="8"/>
  <c r="AE2165" i="8" s="1"/>
  <c r="AG2164" i="8"/>
  <c r="AF2164" i="8"/>
  <c r="AD2164" i="8"/>
  <c r="AE2164" i="8" s="1"/>
  <c r="AG2163" i="8"/>
  <c r="AF2163" i="8"/>
  <c r="AD2163" i="8"/>
  <c r="AE2163" i="8" s="1"/>
  <c r="AG2162" i="8"/>
  <c r="AF2162" i="8"/>
  <c r="AD2162" i="8"/>
  <c r="AE2162" i="8" s="1"/>
  <c r="AG2161" i="8"/>
  <c r="AF2161" i="8"/>
  <c r="AD2161" i="8"/>
  <c r="AE2161" i="8" s="1"/>
  <c r="AG2160" i="8"/>
  <c r="AF2160" i="8"/>
  <c r="AD2160" i="8"/>
  <c r="AE2160" i="8" s="1"/>
  <c r="AG2159" i="8"/>
  <c r="AF2159" i="8"/>
  <c r="AD2159" i="8"/>
  <c r="AE2159" i="8" s="1"/>
  <c r="AG2158" i="8"/>
  <c r="AF2158" i="8"/>
  <c r="AD2158" i="8"/>
  <c r="AE2158" i="8" s="1"/>
  <c r="AG2157" i="8"/>
  <c r="AF2157" i="8"/>
  <c r="AD2157" i="8"/>
  <c r="AE2157" i="8" s="1"/>
  <c r="AG2156" i="8"/>
  <c r="AF2156" i="8"/>
  <c r="AD2156" i="8"/>
  <c r="AE2156" i="8" s="1"/>
  <c r="AG2155" i="8"/>
  <c r="AF2155" i="8"/>
  <c r="AD2155" i="8"/>
  <c r="AE2155" i="8" s="1"/>
  <c r="AG2154" i="8"/>
  <c r="AF2154" i="8"/>
  <c r="AD2154" i="8"/>
  <c r="AE2154" i="8" s="1"/>
  <c r="AG2153" i="8"/>
  <c r="AF2153" i="8"/>
  <c r="AD2153" i="8"/>
  <c r="AE2153" i="8" s="1"/>
  <c r="AG2152" i="8"/>
  <c r="AF2152" i="8"/>
  <c r="AD2152" i="8"/>
  <c r="AE2152" i="8" s="1"/>
  <c r="AG2151" i="8"/>
  <c r="AF2151" i="8"/>
  <c r="AD2151" i="8"/>
  <c r="AE2151" i="8" s="1"/>
  <c r="AG2150" i="8"/>
  <c r="AF2150" i="8"/>
  <c r="AD2150" i="8"/>
  <c r="AE2150" i="8" s="1"/>
  <c r="AG2149" i="8"/>
  <c r="AF2149" i="8"/>
  <c r="AD2149" i="8"/>
  <c r="AE2149" i="8" s="1"/>
  <c r="AG2148" i="8"/>
  <c r="AF2148" i="8"/>
  <c r="AD2148" i="8"/>
  <c r="AE2148" i="8" s="1"/>
  <c r="AG2147" i="8"/>
  <c r="AF2147" i="8"/>
  <c r="AD2147" i="8"/>
  <c r="AE2147" i="8" s="1"/>
  <c r="AG2146" i="8"/>
  <c r="AF2146" i="8"/>
  <c r="AD2146" i="8"/>
  <c r="AE2146" i="8" s="1"/>
  <c r="AG2145" i="8"/>
  <c r="AF2145" i="8"/>
  <c r="AD2145" i="8"/>
  <c r="AE2145" i="8" s="1"/>
  <c r="AG2144" i="8"/>
  <c r="AF2144" i="8"/>
  <c r="AD2144" i="8"/>
  <c r="AE2144" i="8" s="1"/>
  <c r="AG2143" i="8"/>
  <c r="AF2143" i="8"/>
  <c r="AD2143" i="8"/>
  <c r="AE2143" i="8" s="1"/>
  <c r="AG2142" i="8"/>
  <c r="AF2142" i="8"/>
  <c r="AD2142" i="8"/>
  <c r="AE2142" i="8" s="1"/>
  <c r="AG2141" i="8"/>
  <c r="AF2141" i="8"/>
  <c r="AD2141" i="8"/>
  <c r="AE2141" i="8" s="1"/>
  <c r="AG2140" i="8"/>
  <c r="AF2140" i="8"/>
  <c r="AD2140" i="8"/>
  <c r="AE2140" i="8" s="1"/>
  <c r="AG2139" i="8"/>
  <c r="AF2139" i="8"/>
  <c r="AD2139" i="8"/>
  <c r="AE2139" i="8" s="1"/>
  <c r="AG2138" i="8"/>
  <c r="AF2138" i="8"/>
  <c r="AD2138" i="8"/>
  <c r="AE2138" i="8" s="1"/>
  <c r="AG2137" i="8"/>
  <c r="AF2137" i="8"/>
  <c r="AD2137" i="8"/>
  <c r="AE2137" i="8" s="1"/>
  <c r="AG2136" i="8"/>
  <c r="AF2136" i="8"/>
  <c r="AD2136" i="8"/>
  <c r="AE2136" i="8" s="1"/>
  <c r="AG2135" i="8"/>
  <c r="AF2135" i="8"/>
  <c r="AD2135" i="8"/>
  <c r="AE2135" i="8" s="1"/>
  <c r="AG2134" i="8"/>
  <c r="AF2134" i="8"/>
  <c r="AD2134" i="8"/>
  <c r="AE2134" i="8" s="1"/>
  <c r="AG2133" i="8"/>
  <c r="AF2133" i="8"/>
  <c r="AD2133" i="8"/>
  <c r="AE2133" i="8" s="1"/>
  <c r="AG2132" i="8"/>
  <c r="AF2132" i="8"/>
  <c r="AD2132" i="8"/>
  <c r="AE2132" i="8" s="1"/>
  <c r="AG2131" i="8"/>
  <c r="AF2131" i="8"/>
  <c r="AD2131" i="8"/>
  <c r="AE2131" i="8" s="1"/>
  <c r="AG2130" i="8"/>
  <c r="AF2130" i="8"/>
  <c r="AD2130" i="8"/>
  <c r="AE2130" i="8" s="1"/>
  <c r="AG2129" i="8"/>
  <c r="AF2129" i="8"/>
  <c r="AD2129" i="8"/>
  <c r="AE2129" i="8" s="1"/>
  <c r="AG2128" i="8"/>
  <c r="AF2128" i="8"/>
  <c r="AD2128" i="8"/>
  <c r="AE2128" i="8" s="1"/>
  <c r="AG2127" i="8"/>
  <c r="AF2127" i="8"/>
  <c r="AD2127" i="8"/>
  <c r="AE2127" i="8" s="1"/>
  <c r="AG2126" i="8"/>
  <c r="AF2126" i="8"/>
  <c r="AD2126" i="8"/>
  <c r="AE2126" i="8" s="1"/>
  <c r="AG2125" i="8"/>
  <c r="AF2125" i="8"/>
  <c r="AD2125" i="8"/>
  <c r="AE2125" i="8" s="1"/>
  <c r="AG2124" i="8"/>
  <c r="AF2124" i="8"/>
  <c r="AD2124" i="8"/>
  <c r="AE2124" i="8" s="1"/>
  <c r="AG2123" i="8"/>
  <c r="AF2123" i="8"/>
  <c r="AD2123" i="8"/>
  <c r="AE2123" i="8" s="1"/>
  <c r="AG2122" i="8"/>
  <c r="AF2122" i="8"/>
  <c r="AD2122" i="8"/>
  <c r="AE2122" i="8" s="1"/>
  <c r="AG2121" i="8"/>
  <c r="AF2121" i="8"/>
  <c r="AD2121" i="8"/>
  <c r="AE2121" i="8" s="1"/>
  <c r="AG2120" i="8"/>
  <c r="AF2120" i="8"/>
  <c r="AD2120" i="8"/>
  <c r="AE2120" i="8" s="1"/>
  <c r="AG2119" i="8"/>
  <c r="AF2119" i="8"/>
  <c r="AD2119" i="8"/>
  <c r="AE2119" i="8" s="1"/>
  <c r="AG2118" i="8"/>
  <c r="AF2118" i="8"/>
  <c r="AD2118" i="8"/>
  <c r="AE2118" i="8" s="1"/>
  <c r="AG2117" i="8"/>
  <c r="AF2117" i="8"/>
  <c r="AD2117" i="8"/>
  <c r="AE2117" i="8" s="1"/>
  <c r="AG2116" i="8"/>
  <c r="AF2116" i="8"/>
  <c r="AD2116" i="8"/>
  <c r="AE2116" i="8" s="1"/>
  <c r="AG2115" i="8"/>
  <c r="AF2115" i="8"/>
  <c r="AD2115" i="8"/>
  <c r="AE2115" i="8" s="1"/>
  <c r="AG2114" i="8"/>
  <c r="AF2114" i="8"/>
  <c r="AD2114" i="8"/>
  <c r="AE2114" i="8" s="1"/>
  <c r="AG2113" i="8"/>
  <c r="AF2113" i="8"/>
  <c r="AD2113" i="8"/>
  <c r="AE2113" i="8" s="1"/>
  <c r="AG2112" i="8"/>
  <c r="AF2112" i="8"/>
  <c r="AD2112" i="8"/>
  <c r="AE2112" i="8" s="1"/>
  <c r="AG2111" i="8"/>
  <c r="AF2111" i="8"/>
  <c r="AD2111" i="8"/>
  <c r="AE2111" i="8" s="1"/>
  <c r="AG2110" i="8"/>
  <c r="AF2110" i="8"/>
  <c r="AD2110" i="8"/>
  <c r="AE2110" i="8" s="1"/>
  <c r="AG2109" i="8"/>
  <c r="AF2109" i="8"/>
  <c r="AD2109" i="8"/>
  <c r="AE2109" i="8" s="1"/>
  <c r="AG2108" i="8"/>
  <c r="AF2108" i="8"/>
  <c r="AD2108" i="8"/>
  <c r="AE2108" i="8" s="1"/>
  <c r="AG2107" i="8"/>
  <c r="AF2107" i="8"/>
  <c r="AD2107" i="8"/>
  <c r="AE2107" i="8" s="1"/>
  <c r="AG2106" i="8"/>
  <c r="AF2106" i="8"/>
  <c r="AD2106" i="8"/>
  <c r="AE2106" i="8" s="1"/>
  <c r="AG2105" i="8"/>
  <c r="AF2105" i="8"/>
  <c r="AD2105" i="8"/>
  <c r="AE2105" i="8" s="1"/>
  <c r="AG2104" i="8"/>
  <c r="AF2104" i="8"/>
  <c r="AD2104" i="8"/>
  <c r="AE2104" i="8" s="1"/>
  <c r="AG2103" i="8"/>
  <c r="AF2103" i="8"/>
  <c r="AD2103" i="8"/>
  <c r="AE2103" i="8" s="1"/>
  <c r="AG2102" i="8"/>
  <c r="AF2102" i="8"/>
  <c r="AD2102" i="8"/>
  <c r="AE2102" i="8" s="1"/>
  <c r="AG2101" i="8"/>
  <c r="AF2101" i="8"/>
  <c r="AD2101" i="8"/>
  <c r="AE2101" i="8" s="1"/>
  <c r="AG2100" i="8"/>
  <c r="AF2100" i="8"/>
  <c r="AD2100" i="8"/>
  <c r="AE2100" i="8" s="1"/>
  <c r="AG2099" i="8"/>
  <c r="AF2099" i="8"/>
  <c r="AD2099" i="8"/>
  <c r="AE2099" i="8" s="1"/>
  <c r="AG2098" i="8"/>
  <c r="AF2098" i="8"/>
  <c r="AD2098" i="8"/>
  <c r="AE2098" i="8" s="1"/>
  <c r="AG2097" i="8"/>
  <c r="AF2097" i="8"/>
  <c r="AD2097" i="8"/>
  <c r="AE2097" i="8" s="1"/>
  <c r="AG2096" i="8"/>
  <c r="AF2096" i="8"/>
  <c r="AD2096" i="8"/>
  <c r="AE2096" i="8" s="1"/>
  <c r="AG2095" i="8"/>
  <c r="AF2095" i="8"/>
  <c r="AD2095" i="8"/>
  <c r="AE2095" i="8" s="1"/>
  <c r="AG2094" i="8"/>
  <c r="AF2094" i="8"/>
  <c r="AD2094" i="8"/>
  <c r="AE2094" i="8" s="1"/>
  <c r="AG2093" i="8"/>
  <c r="AF2093" i="8"/>
  <c r="AD2093" i="8"/>
  <c r="AE2093" i="8" s="1"/>
  <c r="AG2092" i="8"/>
  <c r="AF2092" i="8"/>
  <c r="AD2092" i="8"/>
  <c r="AE2092" i="8" s="1"/>
  <c r="AG2091" i="8"/>
  <c r="AF2091" i="8"/>
  <c r="AD2091" i="8"/>
  <c r="AE2091" i="8" s="1"/>
  <c r="AG2090" i="8"/>
  <c r="AF2090" i="8"/>
  <c r="AD2090" i="8"/>
  <c r="AE2090" i="8" s="1"/>
  <c r="AG2089" i="8"/>
  <c r="AF2089" i="8"/>
  <c r="AD2089" i="8"/>
  <c r="AE2089" i="8" s="1"/>
  <c r="AG2088" i="8"/>
  <c r="AF2088" i="8"/>
  <c r="AD2088" i="8"/>
  <c r="AE2088" i="8" s="1"/>
  <c r="AG2087" i="8"/>
  <c r="AF2087" i="8"/>
  <c r="AD2087" i="8"/>
  <c r="AE2087" i="8" s="1"/>
  <c r="AG2086" i="8"/>
  <c r="AF2086" i="8"/>
  <c r="AD2086" i="8"/>
  <c r="AE2086" i="8" s="1"/>
  <c r="AG2085" i="8"/>
  <c r="AF2085" i="8"/>
  <c r="AD2085" i="8"/>
  <c r="AE2085" i="8" s="1"/>
  <c r="AG2084" i="8"/>
  <c r="AF2084" i="8"/>
  <c r="AD2084" i="8"/>
  <c r="AE2084" i="8" s="1"/>
  <c r="AG2083" i="8"/>
  <c r="AF2083" i="8"/>
  <c r="AD2083" i="8"/>
  <c r="AE2083" i="8" s="1"/>
  <c r="AG2082" i="8"/>
  <c r="AF2082" i="8"/>
  <c r="AD2082" i="8"/>
  <c r="AE2082" i="8" s="1"/>
  <c r="AG2081" i="8"/>
  <c r="AF2081" i="8"/>
  <c r="AD2081" i="8"/>
  <c r="AE2081" i="8" s="1"/>
  <c r="AG2080" i="8"/>
  <c r="AF2080" i="8"/>
  <c r="AD2080" i="8"/>
  <c r="AE2080" i="8" s="1"/>
  <c r="AG2079" i="8"/>
  <c r="AF2079" i="8"/>
  <c r="AD2079" i="8"/>
  <c r="AE2079" i="8" s="1"/>
  <c r="AG2078" i="8"/>
  <c r="AF2078" i="8"/>
  <c r="AD2078" i="8"/>
  <c r="AE2078" i="8" s="1"/>
  <c r="AG2077" i="8"/>
  <c r="AF2077" i="8"/>
  <c r="AD2077" i="8"/>
  <c r="AE2077" i="8" s="1"/>
  <c r="AG2076" i="8"/>
  <c r="AF2076" i="8"/>
  <c r="AD2076" i="8"/>
  <c r="AE2076" i="8" s="1"/>
  <c r="AG2075" i="8"/>
  <c r="AF2075" i="8"/>
  <c r="AD2075" i="8"/>
  <c r="AE2075" i="8" s="1"/>
  <c r="AG2074" i="8"/>
  <c r="AF2074" i="8"/>
  <c r="AD2074" i="8"/>
  <c r="AE2074" i="8" s="1"/>
  <c r="AG2073" i="8"/>
  <c r="AF2073" i="8"/>
  <c r="AD2073" i="8"/>
  <c r="AE2073" i="8" s="1"/>
  <c r="AG2072" i="8"/>
  <c r="AF2072" i="8"/>
  <c r="AD2072" i="8"/>
  <c r="AE2072" i="8" s="1"/>
  <c r="AG2071" i="8"/>
  <c r="AF2071" i="8"/>
  <c r="AD2071" i="8"/>
  <c r="AE2071" i="8" s="1"/>
  <c r="AG2070" i="8"/>
  <c r="AF2070" i="8"/>
  <c r="AD2070" i="8"/>
  <c r="AE2070" i="8" s="1"/>
  <c r="AG2069" i="8"/>
  <c r="AF2069" i="8"/>
  <c r="AD2069" i="8"/>
  <c r="AE2069" i="8" s="1"/>
  <c r="AG2068" i="8"/>
  <c r="AF2068" i="8"/>
  <c r="AD2068" i="8"/>
  <c r="AE2068" i="8" s="1"/>
  <c r="AG2067" i="8"/>
  <c r="AF2067" i="8"/>
  <c r="AD2067" i="8"/>
  <c r="AE2067" i="8" s="1"/>
  <c r="AG2066" i="8"/>
  <c r="AF2066" i="8"/>
  <c r="AD2066" i="8"/>
  <c r="AE2066" i="8" s="1"/>
  <c r="AG2065" i="8"/>
  <c r="AF2065" i="8"/>
  <c r="AD2065" i="8"/>
  <c r="AE2065" i="8" s="1"/>
  <c r="AG2064" i="8"/>
  <c r="AF2064" i="8"/>
  <c r="AD2064" i="8"/>
  <c r="AE2064" i="8" s="1"/>
  <c r="AG2063" i="8"/>
  <c r="AF2063" i="8"/>
  <c r="AD2063" i="8"/>
  <c r="AE2063" i="8" s="1"/>
  <c r="AG2062" i="8"/>
  <c r="AF2062" i="8"/>
  <c r="AD2062" i="8"/>
  <c r="AE2062" i="8" s="1"/>
  <c r="AG2061" i="8"/>
  <c r="AF2061" i="8"/>
  <c r="AD2061" i="8"/>
  <c r="AE2061" i="8" s="1"/>
  <c r="AG2060" i="8"/>
  <c r="AF2060" i="8"/>
  <c r="AD2060" i="8"/>
  <c r="AE2060" i="8" s="1"/>
  <c r="AG2059" i="8"/>
  <c r="AF2059" i="8"/>
  <c r="AD2059" i="8"/>
  <c r="AE2059" i="8" s="1"/>
  <c r="AG2058" i="8"/>
  <c r="AF2058" i="8"/>
  <c r="AD2058" i="8"/>
  <c r="AE2058" i="8" s="1"/>
  <c r="AG2057" i="8"/>
  <c r="AF2057" i="8"/>
  <c r="AD2057" i="8"/>
  <c r="AE2057" i="8" s="1"/>
  <c r="AG2056" i="8"/>
  <c r="AF2056" i="8"/>
  <c r="AD2056" i="8"/>
  <c r="AE2056" i="8" s="1"/>
  <c r="AG2055" i="8"/>
  <c r="AF2055" i="8"/>
  <c r="AD2055" i="8"/>
  <c r="AE2055" i="8" s="1"/>
  <c r="AG2054" i="8"/>
  <c r="AF2054" i="8"/>
  <c r="AD2054" i="8"/>
  <c r="AE2054" i="8" s="1"/>
  <c r="AG2053" i="8"/>
  <c r="AF2053" i="8"/>
  <c r="AD2053" i="8"/>
  <c r="AE2053" i="8" s="1"/>
  <c r="AG2052" i="8"/>
  <c r="AF2052" i="8"/>
  <c r="AD2052" i="8"/>
  <c r="AE2052" i="8" s="1"/>
  <c r="AG2051" i="8"/>
  <c r="AF2051" i="8"/>
  <c r="AD2051" i="8"/>
  <c r="AE2051" i="8" s="1"/>
  <c r="AG2050" i="8"/>
  <c r="AF2050" i="8"/>
  <c r="AD2050" i="8"/>
  <c r="AE2050" i="8" s="1"/>
  <c r="AG2049" i="8"/>
  <c r="AF2049" i="8"/>
  <c r="AD2049" i="8"/>
  <c r="AE2049" i="8" s="1"/>
  <c r="AG2048" i="8"/>
  <c r="AF2048" i="8"/>
  <c r="AD2048" i="8"/>
  <c r="AE2048" i="8" s="1"/>
  <c r="AG2047" i="8"/>
  <c r="AF2047" i="8"/>
  <c r="AD2047" i="8"/>
  <c r="AE2047" i="8" s="1"/>
  <c r="AG2046" i="8"/>
  <c r="AF2046" i="8"/>
  <c r="AD2046" i="8"/>
  <c r="AE2046" i="8" s="1"/>
  <c r="AG2045" i="8"/>
  <c r="AF2045" i="8"/>
  <c r="AD2045" i="8"/>
  <c r="AE2045" i="8" s="1"/>
  <c r="AG2044" i="8"/>
  <c r="AF2044" i="8"/>
  <c r="AD2044" i="8"/>
  <c r="AE2044" i="8" s="1"/>
  <c r="AG2043" i="8"/>
  <c r="AF2043" i="8"/>
  <c r="AD2043" i="8"/>
  <c r="AE2043" i="8" s="1"/>
  <c r="AG2042" i="8"/>
  <c r="AF2042" i="8"/>
  <c r="AD2042" i="8"/>
  <c r="AE2042" i="8" s="1"/>
  <c r="AG2041" i="8"/>
  <c r="AF2041" i="8"/>
  <c r="AD2041" i="8"/>
  <c r="AE2041" i="8" s="1"/>
  <c r="AG2040" i="8"/>
  <c r="AF2040" i="8"/>
  <c r="AD2040" i="8"/>
  <c r="AE2040" i="8" s="1"/>
  <c r="AG2039" i="8"/>
  <c r="AF2039" i="8"/>
  <c r="AD2039" i="8"/>
  <c r="AE2039" i="8" s="1"/>
  <c r="AG2038" i="8"/>
  <c r="AF2038" i="8"/>
  <c r="AD2038" i="8"/>
  <c r="AE2038" i="8" s="1"/>
  <c r="AG2037" i="8"/>
  <c r="AF2037" i="8"/>
  <c r="AD2037" i="8"/>
  <c r="AE2037" i="8" s="1"/>
  <c r="AG2036" i="8"/>
  <c r="AF2036" i="8"/>
  <c r="AD2036" i="8"/>
  <c r="AE2036" i="8" s="1"/>
  <c r="AG2035" i="8"/>
  <c r="AF2035" i="8"/>
  <c r="AD2035" i="8"/>
  <c r="AE2035" i="8" s="1"/>
  <c r="AG2034" i="8"/>
  <c r="AF2034" i="8"/>
  <c r="AD2034" i="8"/>
  <c r="AE2034" i="8" s="1"/>
  <c r="AG2033" i="8"/>
  <c r="AF2033" i="8"/>
  <c r="AD2033" i="8"/>
  <c r="AE2033" i="8" s="1"/>
  <c r="AG2032" i="8"/>
  <c r="AF2032" i="8"/>
  <c r="AD2032" i="8"/>
  <c r="AE2032" i="8" s="1"/>
  <c r="AG2031" i="8"/>
  <c r="AF2031" i="8"/>
  <c r="AD2031" i="8"/>
  <c r="AE2031" i="8" s="1"/>
  <c r="AG2030" i="8"/>
  <c r="AF2030" i="8"/>
  <c r="AD2030" i="8"/>
  <c r="AE2030" i="8" s="1"/>
  <c r="AG2029" i="8"/>
  <c r="AF2029" i="8"/>
  <c r="AD2029" i="8"/>
  <c r="AE2029" i="8" s="1"/>
  <c r="AG2028" i="8"/>
  <c r="AF2028" i="8"/>
  <c r="AD2028" i="8"/>
  <c r="AE2028" i="8" s="1"/>
  <c r="AG2027" i="8"/>
  <c r="AF2027" i="8"/>
  <c r="AD2027" i="8"/>
  <c r="AE2027" i="8" s="1"/>
  <c r="AG2026" i="8"/>
  <c r="AF2026" i="8"/>
  <c r="AD2026" i="8"/>
  <c r="AE2026" i="8" s="1"/>
  <c r="AG2025" i="8"/>
  <c r="AF2025" i="8"/>
  <c r="AD2025" i="8"/>
  <c r="AE2025" i="8" s="1"/>
  <c r="AG2024" i="8"/>
  <c r="AF2024" i="8"/>
  <c r="AD2024" i="8"/>
  <c r="AE2024" i="8" s="1"/>
  <c r="AG2023" i="8"/>
  <c r="AF2023" i="8"/>
  <c r="AD2023" i="8"/>
  <c r="AE2023" i="8" s="1"/>
  <c r="AG2022" i="8"/>
  <c r="AF2022" i="8"/>
  <c r="AD2022" i="8"/>
  <c r="AE2022" i="8" s="1"/>
  <c r="AG2021" i="8"/>
  <c r="AF2021" i="8"/>
  <c r="AD2021" i="8"/>
  <c r="AE2021" i="8" s="1"/>
  <c r="AG2020" i="8"/>
  <c r="AF2020" i="8"/>
  <c r="AD2020" i="8"/>
  <c r="AE2020" i="8" s="1"/>
  <c r="AG2019" i="8"/>
  <c r="AF2019" i="8"/>
  <c r="AD2019" i="8"/>
  <c r="AE2019" i="8" s="1"/>
  <c r="AG2018" i="8"/>
  <c r="AF2018" i="8"/>
  <c r="AD2018" i="8"/>
  <c r="AE2018" i="8" s="1"/>
  <c r="AG2017" i="8"/>
  <c r="AF2017" i="8"/>
  <c r="AD2017" i="8"/>
  <c r="AE2017" i="8" s="1"/>
  <c r="AG2016" i="8"/>
  <c r="AF2016" i="8"/>
  <c r="AD2016" i="8"/>
  <c r="AE2016" i="8" s="1"/>
  <c r="AG2015" i="8"/>
  <c r="AF2015" i="8"/>
  <c r="AD2015" i="8"/>
  <c r="AE2015" i="8" s="1"/>
  <c r="AG2014" i="8"/>
  <c r="AF2014" i="8"/>
  <c r="AD2014" i="8"/>
  <c r="AE2014" i="8" s="1"/>
  <c r="AG2013" i="8"/>
  <c r="AF2013" i="8"/>
  <c r="AD2013" i="8"/>
  <c r="AE2013" i="8" s="1"/>
  <c r="AG2012" i="8"/>
  <c r="AF2012" i="8"/>
  <c r="AD2012" i="8"/>
  <c r="AE2012" i="8" s="1"/>
  <c r="AG2011" i="8"/>
  <c r="AF2011" i="8"/>
  <c r="AD2011" i="8"/>
  <c r="AE2011" i="8" s="1"/>
  <c r="AG2010" i="8"/>
  <c r="AF2010" i="8"/>
  <c r="AD2010" i="8"/>
  <c r="AE2010" i="8" s="1"/>
  <c r="AG2009" i="8"/>
  <c r="AF2009" i="8"/>
  <c r="AD2009" i="8"/>
  <c r="AE2009" i="8" s="1"/>
  <c r="AG2008" i="8"/>
  <c r="AF2008" i="8"/>
  <c r="AD2008" i="8"/>
  <c r="AE2008" i="8" s="1"/>
  <c r="AG2007" i="8"/>
  <c r="AF2007" i="8"/>
  <c r="AD2007" i="8"/>
  <c r="AE2007" i="8" s="1"/>
  <c r="AG2006" i="8"/>
  <c r="AF2006" i="8"/>
  <c r="AD2006" i="8"/>
  <c r="AE2006" i="8" s="1"/>
  <c r="AG2005" i="8"/>
  <c r="AF2005" i="8"/>
  <c r="AD2005" i="8"/>
  <c r="AE2005" i="8" s="1"/>
  <c r="AG2004" i="8"/>
  <c r="AF2004" i="8"/>
  <c r="AD2004" i="8"/>
  <c r="AE2004" i="8" s="1"/>
  <c r="AG2003" i="8"/>
  <c r="AF2003" i="8"/>
  <c r="AD2003" i="8"/>
  <c r="AE2003" i="8" s="1"/>
  <c r="AG2002" i="8"/>
  <c r="AF2002" i="8"/>
  <c r="AD2002" i="8"/>
  <c r="AE2002" i="8" s="1"/>
  <c r="AG2001" i="8"/>
  <c r="AF2001" i="8"/>
  <c r="AD2001" i="8"/>
  <c r="AE2001" i="8" s="1"/>
  <c r="AG2000" i="8"/>
  <c r="AF2000" i="8"/>
  <c r="AD2000" i="8"/>
  <c r="AE2000" i="8" s="1"/>
  <c r="AG1999" i="8"/>
  <c r="AF1999" i="8"/>
  <c r="AD1999" i="8"/>
  <c r="AE1999" i="8" s="1"/>
  <c r="AG1998" i="8"/>
  <c r="AF1998" i="8"/>
  <c r="AD1998" i="8"/>
  <c r="AE1998" i="8" s="1"/>
  <c r="AG1997" i="8"/>
  <c r="AF1997" i="8"/>
  <c r="AD1997" i="8"/>
  <c r="AE1997" i="8" s="1"/>
  <c r="AG1996" i="8"/>
  <c r="AF1996" i="8"/>
  <c r="AD1996" i="8"/>
  <c r="AE1996" i="8" s="1"/>
  <c r="AG1995" i="8"/>
  <c r="AF1995" i="8"/>
  <c r="AD1995" i="8"/>
  <c r="AE1995" i="8" s="1"/>
  <c r="AG1994" i="8"/>
  <c r="AF1994" i="8"/>
  <c r="AD1994" i="8"/>
  <c r="AE1994" i="8" s="1"/>
  <c r="AG1993" i="8"/>
  <c r="AF1993" i="8"/>
  <c r="AD1993" i="8"/>
  <c r="AE1993" i="8" s="1"/>
  <c r="AG1992" i="8"/>
  <c r="AF1992" i="8"/>
  <c r="AD1992" i="8"/>
  <c r="AE1992" i="8" s="1"/>
  <c r="AG1991" i="8"/>
  <c r="AF1991" i="8"/>
  <c r="AD1991" i="8"/>
  <c r="AE1991" i="8" s="1"/>
  <c r="AG1990" i="8"/>
  <c r="AF1990" i="8"/>
  <c r="AD1990" i="8"/>
  <c r="AE1990" i="8" s="1"/>
  <c r="AG1989" i="8"/>
  <c r="AF1989" i="8"/>
  <c r="AD1989" i="8"/>
  <c r="AE1989" i="8" s="1"/>
  <c r="AG1988" i="8"/>
  <c r="AF1988" i="8"/>
  <c r="AD1988" i="8"/>
  <c r="AE1988" i="8" s="1"/>
  <c r="AG1987" i="8"/>
  <c r="AF1987" i="8"/>
  <c r="AD1987" i="8"/>
  <c r="AE1987" i="8" s="1"/>
  <c r="AG1986" i="8"/>
  <c r="AF1986" i="8"/>
  <c r="AD1986" i="8"/>
  <c r="AE1986" i="8" s="1"/>
  <c r="AG1985" i="8"/>
  <c r="AF1985" i="8"/>
  <c r="AD1985" i="8"/>
  <c r="AE1985" i="8" s="1"/>
  <c r="AG1984" i="8"/>
  <c r="AF1984" i="8"/>
  <c r="AD1984" i="8"/>
  <c r="AE1984" i="8" s="1"/>
  <c r="AG1983" i="8"/>
  <c r="AF1983" i="8"/>
  <c r="AD1983" i="8"/>
  <c r="AE1983" i="8" s="1"/>
  <c r="AG1982" i="8"/>
  <c r="AF1982" i="8"/>
  <c r="AD1982" i="8"/>
  <c r="AE1982" i="8" s="1"/>
  <c r="AG1981" i="8"/>
  <c r="AF1981" i="8"/>
  <c r="AD1981" i="8"/>
  <c r="AE1981" i="8" s="1"/>
  <c r="AG1980" i="8"/>
  <c r="AF1980" i="8"/>
  <c r="AD1980" i="8"/>
  <c r="AE1980" i="8" s="1"/>
  <c r="AG1979" i="8"/>
  <c r="AF1979" i="8"/>
  <c r="AD1979" i="8"/>
  <c r="AE1979" i="8" s="1"/>
  <c r="AG1978" i="8"/>
  <c r="AF1978" i="8"/>
  <c r="AD1978" i="8"/>
  <c r="AE1978" i="8" s="1"/>
  <c r="AG1977" i="8"/>
  <c r="AF1977" i="8"/>
  <c r="AD1977" i="8"/>
  <c r="AE1977" i="8" s="1"/>
  <c r="AG1976" i="8"/>
  <c r="AF1976" i="8"/>
  <c r="AD1976" i="8"/>
  <c r="AE1976" i="8" s="1"/>
  <c r="AG1975" i="8"/>
  <c r="AF1975" i="8"/>
  <c r="AD1975" i="8"/>
  <c r="AE1975" i="8" s="1"/>
  <c r="AG1974" i="8"/>
  <c r="AF1974" i="8"/>
  <c r="AD1974" i="8"/>
  <c r="AE1974" i="8" s="1"/>
  <c r="AG1973" i="8"/>
  <c r="AF1973" i="8"/>
  <c r="AD1973" i="8"/>
  <c r="AE1973" i="8" s="1"/>
  <c r="AG1972" i="8"/>
  <c r="AF1972" i="8"/>
  <c r="AD1972" i="8"/>
  <c r="AE1972" i="8" s="1"/>
  <c r="AG1971" i="8"/>
  <c r="AF1971" i="8"/>
  <c r="AD1971" i="8"/>
  <c r="AE1971" i="8" s="1"/>
  <c r="AG1970" i="8"/>
  <c r="AF1970" i="8"/>
  <c r="AD1970" i="8"/>
  <c r="AE1970" i="8" s="1"/>
  <c r="AG1969" i="8"/>
  <c r="AF1969" i="8"/>
  <c r="AD1969" i="8"/>
  <c r="AE1969" i="8" s="1"/>
  <c r="AG1968" i="8"/>
  <c r="AF1968" i="8"/>
  <c r="AD1968" i="8"/>
  <c r="AE1968" i="8" s="1"/>
  <c r="AG1967" i="8"/>
  <c r="AF1967" i="8"/>
  <c r="AD1967" i="8"/>
  <c r="AE1967" i="8" s="1"/>
  <c r="AG1966" i="8"/>
  <c r="AF1966" i="8"/>
  <c r="AD1966" i="8"/>
  <c r="AE1966" i="8" s="1"/>
  <c r="AG1965" i="8"/>
  <c r="AF1965" i="8"/>
  <c r="AD1965" i="8"/>
  <c r="AE1965" i="8" s="1"/>
  <c r="AG1964" i="8"/>
  <c r="AF1964" i="8"/>
  <c r="AD1964" i="8"/>
  <c r="AE1964" i="8" s="1"/>
  <c r="AG1963" i="8"/>
  <c r="AF1963" i="8"/>
  <c r="AD1963" i="8"/>
  <c r="AE1963" i="8" s="1"/>
  <c r="AG1962" i="8"/>
  <c r="AF1962" i="8"/>
  <c r="AD1962" i="8"/>
  <c r="AE1962" i="8" s="1"/>
  <c r="AG1961" i="8"/>
  <c r="AF1961" i="8"/>
  <c r="AD1961" i="8"/>
  <c r="AE1961" i="8" s="1"/>
  <c r="AG1960" i="8"/>
  <c r="AF1960" i="8"/>
  <c r="AD1960" i="8"/>
  <c r="AE1960" i="8" s="1"/>
  <c r="AG1959" i="8"/>
  <c r="AF1959" i="8"/>
  <c r="AD1959" i="8"/>
  <c r="AE1959" i="8" s="1"/>
  <c r="AG1958" i="8"/>
  <c r="AF1958" i="8"/>
  <c r="AD1958" i="8"/>
  <c r="AE1958" i="8" s="1"/>
  <c r="AG1957" i="8"/>
  <c r="AF1957" i="8"/>
  <c r="AD1957" i="8"/>
  <c r="AE1957" i="8" s="1"/>
  <c r="AG1956" i="8"/>
  <c r="AF1956" i="8"/>
  <c r="AD1956" i="8"/>
  <c r="AE1956" i="8" s="1"/>
  <c r="AG1955" i="8"/>
  <c r="AF1955" i="8"/>
  <c r="AD1955" i="8"/>
  <c r="AE1955" i="8" s="1"/>
  <c r="AG1954" i="8"/>
  <c r="AF1954" i="8"/>
  <c r="AD1954" i="8"/>
  <c r="AE1954" i="8" s="1"/>
  <c r="AG1953" i="8"/>
  <c r="AF1953" i="8"/>
  <c r="AD1953" i="8"/>
  <c r="AE1953" i="8" s="1"/>
  <c r="AG1952" i="8"/>
  <c r="AF1952" i="8"/>
  <c r="AD1952" i="8"/>
  <c r="AE1952" i="8" s="1"/>
  <c r="AG1951" i="8"/>
  <c r="AF1951" i="8"/>
  <c r="AD1951" i="8"/>
  <c r="AE1951" i="8" s="1"/>
  <c r="AG1950" i="8"/>
  <c r="AF1950" i="8"/>
  <c r="AD1950" i="8"/>
  <c r="AE1950" i="8" s="1"/>
  <c r="AG1949" i="8"/>
  <c r="AF1949" i="8"/>
  <c r="AD1949" i="8"/>
  <c r="AE1949" i="8" s="1"/>
  <c r="AG1948" i="8"/>
  <c r="AF1948" i="8"/>
  <c r="AD1948" i="8"/>
  <c r="AE1948" i="8" s="1"/>
  <c r="AG1947" i="8"/>
  <c r="AF1947" i="8"/>
  <c r="AD1947" i="8"/>
  <c r="AE1947" i="8" s="1"/>
  <c r="AG1946" i="8"/>
  <c r="AF1946" i="8"/>
  <c r="AD1946" i="8"/>
  <c r="AE1946" i="8" s="1"/>
  <c r="AG1945" i="8"/>
  <c r="AF1945" i="8"/>
  <c r="AD1945" i="8"/>
  <c r="AE1945" i="8" s="1"/>
  <c r="AG1944" i="8"/>
  <c r="AF1944" i="8"/>
  <c r="AD1944" i="8"/>
  <c r="AE1944" i="8" s="1"/>
  <c r="AG1943" i="8"/>
  <c r="AF1943" i="8"/>
  <c r="AD1943" i="8"/>
  <c r="AE1943" i="8" s="1"/>
  <c r="AG1942" i="8"/>
  <c r="AF1942" i="8"/>
  <c r="AD1942" i="8"/>
  <c r="AE1942" i="8" s="1"/>
  <c r="AG1941" i="8"/>
  <c r="AF1941" i="8"/>
  <c r="AD1941" i="8"/>
  <c r="AE1941" i="8" s="1"/>
  <c r="AG1940" i="8"/>
  <c r="AF1940" i="8"/>
  <c r="AD1940" i="8"/>
  <c r="AE1940" i="8" s="1"/>
  <c r="AG1939" i="8"/>
  <c r="AF1939" i="8"/>
  <c r="AD1939" i="8"/>
  <c r="AE1939" i="8" s="1"/>
  <c r="AG1938" i="8"/>
  <c r="AF1938" i="8"/>
  <c r="AD1938" i="8"/>
  <c r="AE1938" i="8" s="1"/>
  <c r="AG1937" i="8"/>
  <c r="AF1937" i="8"/>
  <c r="AD1937" i="8"/>
  <c r="AE1937" i="8" s="1"/>
  <c r="AG1936" i="8"/>
  <c r="AF1936" i="8"/>
  <c r="AD1936" i="8"/>
  <c r="AE1936" i="8" s="1"/>
  <c r="AG1935" i="8"/>
  <c r="AF1935" i="8"/>
  <c r="AD1935" i="8"/>
  <c r="AE1935" i="8" s="1"/>
  <c r="AG1934" i="8"/>
  <c r="AF1934" i="8"/>
  <c r="AD1934" i="8"/>
  <c r="AE1934" i="8" s="1"/>
  <c r="AG1933" i="8"/>
  <c r="AF1933" i="8"/>
  <c r="AD1933" i="8"/>
  <c r="AE1933" i="8" s="1"/>
  <c r="AG1932" i="8"/>
  <c r="AF1932" i="8"/>
  <c r="AD1932" i="8"/>
  <c r="AE1932" i="8" s="1"/>
  <c r="AG1931" i="8"/>
  <c r="AF1931" i="8"/>
  <c r="AD1931" i="8"/>
  <c r="AE1931" i="8" s="1"/>
  <c r="AG1930" i="8"/>
  <c r="AF1930" i="8"/>
  <c r="AD1930" i="8"/>
  <c r="AE1930" i="8" s="1"/>
  <c r="AG1929" i="8"/>
  <c r="AF1929" i="8"/>
  <c r="AD1929" i="8"/>
  <c r="AE1929" i="8" s="1"/>
  <c r="AG1928" i="8"/>
  <c r="AF1928" i="8"/>
  <c r="AD1928" i="8"/>
  <c r="AE1928" i="8" s="1"/>
  <c r="AG1927" i="8"/>
  <c r="AF1927" i="8"/>
  <c r="AD1927" i="8"/>
  <c r="AE1927" i="8" s="1"/>
  <c r="AG1926" i="8"/>
  <c r="AF1926" i="8"/>
  <c r="AD1926" i="8"/>
  <c r="AE1926" i="8" s="1"/>
  <c r="AG1925" i="8"/>
  <c r="AF1925" i="8"/>
  <c r="AD1925" i="8"/>
  <c r="AE1925" i="8" s="1"/>
  <c r="AG1924" i="8"/>
  <c r="AF1924" i="8"/>
  <c r="AD1924" i="8"/>
  <c r="AE1924" i="8" s="1"/>
  <c r="AG1923" i="8"/>
  <c r="AF1923" i="8"/>
  <c r="AD1923" i="8"/>
  <c r="AE1923" i="8" s="1"/>
  <c r="AG1922" i="8"/>
  <c r="AF1922" i="8"/>
  <c r="AD1922" i="8"/>
  <c r="AE1922" i="8" s="1"/>
  <c r="AG1921" i="8"/>
  <c r="AF1921" i="8"/>
  <c r="AD1921" i="8"/>
  <c r="AE1921" i="8" s="1"/>
  <c r="AG1920" i="8"/>
  <c r="AF1920" i="8"/>
  <c r="AD1920" i="8"/>
  <c r="AE1920" i="8" s="1"/>
  <c r="AG1919" i="8"/>
  <c r="AF1919" i="8"/>
  <c r="AD1919" i="8"/>
  <c r="AE1919" i="8" s="1"/>
  <c r="AG1918" i="8"/>
  <c r="AF1918" i="8"/>
  <c r="AD1918" i="8"/>
  <c r="AE1918" i="8" s="1"/>
  <c r="AG1917" i="8"/>
  <c r="AF1917" i="8"/>
  <c r="AD1917" i="8"/>
  <c r="AE1917" i="8" s="1"/>
  <c r="AG1916" i="8"/>
  <c r="AF1916" i="8"/>
  <c r="AD1916" i="8"/>
  <c r="AE1916" i="8" s="1"/>
  <c r="AG1915" i="8"/>
  <c r="AF1915" i="8"/>
  <c r="AD1915" i="8"/>
  <c r="AE1915" i="8" s="1"/>
  <c r="AG1914" i="8"/>
  <c r="AF1914" i="8"/>
  <c r="AD1914" i="8"/>
  <c r="AE1914" i="8" s="1"/>
  <c r="AG1913" i="8"/>
  <c r="AF1913" i="8"/>
  <c r="AD1913" i="8"/>
  <c r="AE1913" i="8" s="1"/>
  <c r="AG1912" i="8"/>
  <c r="AF1912" i="8"/>
  <c r="AD1912" i="8"/>
  <c r="AE1912" i="8" s="1"/>
  <c r="AG1911" i="8"/>
  <c r="AF1911" i="8"/>
  <c r="AD1911" i="8"/>
  <c r="AE1911" i="8" s="1"/>
  <c r="AG1910" i="8"/>
  <c r="AF1910" i="8"/>
  <c r="AD1910" i="8"/>
  <c r="AE1910" i="8" s="1"/>
  <c r="AG1909" i="8"/>
  <c r="AF1909" i="8"/>
  <c r="AD1909" i="8"/>
  <c r="AE1909" i="8" s="1"/>
  <c r="AG1908" i="8"/>
  <c r="AF1908" i="8"/>
  <c r="AD1908" i="8"/>
  <c r="AE1908" i="8" s="1"/>
  <c r="AG1907" i="8"/>
  <c r="AF1907" i="8"/>
  <c r="AD1907" i="8"/>
  <c r="AE1907" i="8" s="1"/>
  <c r="AG1906" i="8"/>
  <c r="AF1906" i="8"/>
  <c r="AD1906" i="8"/>
  <c r="AE1906" i="8" s="1"/>
  <c r="AG1905" i="8"/>
  <c r="AF1905" i="8"/>
  <c r="AD1905" i="8"/>
  <c r="AE1905" i="8" s="1"/>
  <c r="AG1904" i="8"/>
  <c r="AF1904" i="8"/>
  <c r="AD1904" i="8"/>
  <c r="AE1904" i="8" s="1"/>
  <c r="AG1903" i="8"/>
  <c r="AF1903" i="8"/>
  <c r="AD1903" i="8"/>
  <c r="AE1903" i="8" s="1"/>
  <c r="AG1902" i="8"/>
  <c r="AF1902" i="8"/>
  <c r="AD1902" i="8"/>
  <c r="AE1902" i="8" s="1"/>
  <c r="AG1901" i="8"/>
  <c r="AF1901" i="8"/>
  <c r="AD1901" i="8"/>
  <c r="AE1901" i="8" s="1"/>
  <c r="AG1900" i="8"/>
  <c r="AF1900" i="8"/>
  <c r="AD1900" i="8"/>
  <c r="AE1900" i="8" s="1"/>
  <c r="AG1899" i="8"/>
  <c r="AF1899" i="8"/>
  <c r="AD1899" i="8"/>
  <c r="AE1899" i="8" s="1"/>
  <c r="AG1898" i="8"/>
  <c r="AF1898" i="8"/>
  <c r="AD1898" i="8"/>
  <c r="AE1898" i="8" s="1"/>
  <c r="AG1897" i="8"/>
  <c r="AF1897" i="8"/>
  <c r="AD1897" i="8"/>
  <c r="AE1897" i="8" s="1"/>
  <c r="AG1896" i="8"/>
  <c r="AF1896" i="8"/>
  <c r="AD1896" i="8"/>
  <c r="AE1896" i="8" s="1"/>
  <c r="AG1895" i="8"/>
  <c r="AF1895" i="8"/>
  <c r="AD1895" i="8"/>
  <c r="AE1895" i="8" s="1"/>
  <c r="AG1894" i="8"/>
  <c r="AF1894" i="8"/>
  <c r="AD1894" i="8"/>
  <c r="AE1894" i="8" s="1"/>
  <c r="AG1893" i="8"/>
  <c r="AF1893" i="8"/>
  <c r="AD1893" i="8"/>
  <c r="AE1893" i="8" s="1"/>
  <c r="AG1892" i="8"/>
  <c r="AF1892" i="8"/>
  <c r="AD1892" i="8"/>
  <c r="AE1892" i="8" s="1"/>
  <c r="AG1891" i="8"/>
  <c r="AF1891" i="8"/>
  <c r="AD1891" i="8"/>
  <c r="AE1891" i="8" s="1"/>
  <c r="AG1890" i="8"/>
  <c r="AF1890" i="8"/>
  <c r="AD1890" i="8"/>
  <c r="AE1890" i="8" s="1"/>
  <c r="AG1889" i="8"/>
  <c r="AF1889" i="8"/>
  <c r="AD1889" i="8"/>
  <c r="AE1889" i="8" s="1"/>
  <c r="AG1888" i="8"/>
  <c r="AF1888" i="8"/>
  <c r="AD1888" i="8"/>
  <c r="AE1888" i="8" s="1"/>
  <c r="AG1887" i="8"/>
  <c r="AF1887" i="8"/>
  <c r="AD1887" i="8"/>
  <c r="AE1887" i="8" s="1"/>
  <c r="AG1886" i="8"/>
  <c r="AF1886" i="8"/>
  <c r="AD1886" i="8"/>
  <c r="AE1886" i="8" s="1"/>
  <c r="AG1885" i="8"/>
  <c r="AF1885" i="8"/>
  <c r="AD1885" i="8"/>
  <c r="AE1885" i="8" s="1"/>
  <c r="AG1884" i="8"/>
  <c r="AF1884" i="8"/>
  <c r="AD1884" i="8"/>
  <c r="AE1884" i="8" s="1"/>
  <c r="AG1883" i="8"/>
  <c r="AF1883" i="8"/>
  <c r="AD1883" i="8"/>
  <c r="AE1883" i="8" s="1"/>
  <c r="AG1882" i="8"/>
  <c r="AF1882" i="8"/>
  <c r="AD1882" i="8"/>
  <c r="AE1882" i="8" s="1"/>
  <c r="AG1881" i="8"/>
  <c r="AF1881" i="8"/>
  <c r="AD1881" i="8"/>
  <c r="AE1881" i="8" s="1"/>
  <c r="AG1880" i="8"/>
  <c r="AF1880" i="8"/>
  <c r="AD1880" i="8"/>
  <c r="AE1880" i="8" s="1"/>
  <c r="AG1879" i="8"/>
  <c r="AF1879" i="8"/>
  <c r="AD1879" i="8"/>
  <c r="AE1879" i="8" s="1"/>
  <c r="AG1878" i="8"/>
  <c r="AF1878" i="8"/>
  <c r="AD1878" i="8"/>
  <c r="AE1878" i="8" s="1"/>
  <c r="AG1877" i="8"/>
  <c r="AF1877" i="8"/>
  <c r="AD1877" i="8"/>
  <c r="AE1877" i="8" s="1"/>
  <c r="AG1876" i="8"/>
  <c r="AF1876" i="8"/>
  <c r="AD1876" i="8"/>
  <c r="AE1876" i="8" s="1"/>
  <c r="AG1875" i="8"/>
  <c r="AF1875" i="8"/>
  <c r="AD1875" i="8"/>
  <c r="AE1875" i="8" s="1"/>
  <c r="AG1874" i="8"/>
  <c r="AF1874" i="8"/>
  <c r="AD1874" i="8"/>
  <c r="AE1874" i="8" s="1"/>
  <c r="AG1873" i="8"/>
  <c r="AF1873" i="8"/>
  <c r="AD1873" i="8"/>
  <c r="AE1873" i="8" s="1"/>
  <c r="AG1872" i="8"/>
  <c r="AF1872" i="8"/>
  <c r="AD1872" i="8"/>
  <c r="AE1872" i="8" s="1"/>
  <c r="AG1871" i="8"/>
  <c r="AF1871" i="8"/>
  <c r="AD1871" i="8"/>
  <c r="AE1871" i="8" s="1"/>
  <c r="AG1870" i="8"/>
  <c r="AF1870" i="8"/>
  <c r="AD1870" i="8"/>
  <c r="AE1870" i="8" s="1"/>
  <c r="AG1869" i="8"/>
  <c r="AF1869" i="8"/>
  <c r="AD1869" i="8"/>
  <c r="AE1869" i="8" s="1"/>
  <c r="AG1868" i="8"/>
  <c r="AF1868" i="8"/>
  <c r="AD1868" i="8"/>
  <c r="AE1868" i="8" s="1"/>
  <c r="AG1867" i="8"/>
  <c r="AF1867" i="8"/>
  <c r="AD1867" i="8"/>
  <c r="AE1867" i="8" s="1"/>
  <c r="AG1866" i="8"/>
  <c r="AF1866" i="8"/>
  <c r="AD1866" i="8"/>
  <c r="AE1866" i="8" s="1"/>
  <c r="AG1865" i="8"/>
  <c r="AF1865" i="8"/>
  <c r="AD1865" i="8"/>
  <c r="AE1865" i="8" s="1"/>
  <c r="AG1864" i="8"/>
  <c r="AF1864" i="8"/>
  <c r="AD1864" i="8"/>
  <c r="AE1864" i="8" s="1"/>
  <c r="AG1863" i="8"/>
  <c r="AF1863" i="8"/>
  <c r="AD1863" i="8"/>
  <c r="AE1863" i="8" s="1"/>
  <c r="AG1862" i="8"/>
  <c r="AF1862" i="8"/>
  <c r="AD1862" i="8"/>
  <c r="AE1862" i="8" s="1"/>
  <c r="AG1861" i="8"/>
  <c r="AF1861" i="8"/>
  <c r="AD1861" i="8"/>
  <c r="AE1861" i="8" s="1"/>
  <c r="AG1860" i="8"/>
  <c r="AF1860" i="8"/>
  <c r="AD1860" i="8"/>
  <c r="AE1860" i="8" s="1"/>
  <c r="AG1859" i="8"/>
  <c r="AF1859" i="8"/>
  <c r="AD1859" i="8"/>
  <c r="AE1859" i="8" s="1"/>
  <c r="AG1858" i="8"/>
  <c r="AF1858" i="8"/>
  <c r="AD1858" i="8"/>
  <c r="AE1858" i="8" s="1"/>
  <c r="AG1857" i="8"/>
  <c r="AF1857" i="8"/>
  <c r="AD1857" i="8"/>
  <c r="AE1857" i="8" s="1"/>
  <c r="AG1856" i="8"/>
  <c r="AF1856" i="8"/>
  <c r="AD1856" i="8"/>
  <c r="AE1856" i="8" s="1"/>
  <c r="AG1855" i="8"/>
  <c r="AF1855" i="8"/>
  <c r="AD1855" i="8"/>
  <c r="AE1855" i="8" s="1"/>
  <c r="AG1854" i="8"/>
  <c r="AF1854" i="8"/>
  <c r="AD1854" i="8"/>
  <c r="AE1854" i="8" s="1"/>
  <c r="AG1853" i="8"/>
  <c r="AF1853" i="8"/>
  <c r="AD1853" i="8"/>
  <c r="AE1853" i="8" s="1"/>
  <c r="AG1852" i="8"/>
  <c r="AF1852" i="8"/>
  <c r="AD1852" i="8"/>
  <c r="AE1852" i="8" s="1"/>
  <c r="AG1851" i="8"/>
  <c r="AF1851" i="8"/>
  <c r="AD1851" i="8"/>
  <c r="AE1851" i="8" s="1"/>
  <c r="AG1850" i="8"/>
  <c r="AF1850" i="8"/>
  <c r="AD1850" i="8"/>
  <c r="AE1850" i="8" s="1"/>
  <c r="AG1849" i="8"/>
  <c r="AF1849" i="8"/>
  <c r="AD1849" i="8"/>
  <c r="AE1849" i="8" s="1"/>
  <c r="AG1848" i="8"/>
  <c r="AF1848" i="8"/>
  <c r="AD1848" i="8"/>
  <c r="AE1848" i="8" s="1"/>
  <c r="AG1847" i="8"/>
  <c r="AF1847" i="8"/>
  <c r="AD1847" i="8"/>
  <c r="AE1847" i="8" s="1"/>
  <c r="AG1846" i="8"/>
  <c r="AF1846" i="8"/>
  <c r="AD1846" i="8"/>
  <c r="AE1846" i="8" s="1"/>
  <c r="AG1845" i="8"/>
  <c r="AF1845" i="8"/>
  <c r="AD1845" i="8"/>
  <c r="AE1845" i="8" s="1"/>
  <c r="AG1844" i="8"/>
  <c r="AF1844" i="8"/>
  <c r="AD1844" i="8"/>
  <c r="AE1844" i="8" s="1"/>
  <c r="AG1843" i="8"/>
  <c r="AF1843" i="8"/>
  <c r="AD1843" i="8"/>
  <c r="AE1843" i="8" s="1"/>
  <c r="AG1842" i="8"/>
  <c r="AF1842" i="8"/>
  <c r="AD1842" i="8"/>
  <c r="AE1842" i="8" s="1"/>
  <c r="AG1841" i="8"/>
  <c r="AF1841" i="8"/>
  <c r="AD1841" i="8"/>
  <c r="AE1841" i="8" s="1"/>
  <c r="AG1840" i="8"/>
  <c r="AF1840" i="8"/>
  <c r="AD1840" i="8"/>
  <c r="AE1840" i="8" s="1"/>
  <c r="AG1839" i="8"/>
  <c r="AF1839" i="8"/>
  <c r="AD1839" i="8"/>
  <c r="AE1839" i="8" s="1"/>
  <c r="AG1838" i="8"/>
  <c r="AF1838" i="8"/>
  <c r="AD1838" i="8"/>
  <c r="AE1838" i="8" s="1"/>
  <c r="AG1837" i="8"/>
  <c r="AF1837" i="8"/>
  <c r="AD1837" i="8"/>
  <c r="AE1837" i="8" s="1"/>
  <c r="AG1836" i="8"/>
  <c r="AF1836" i="8"/>
  <c r="AD1836" i="8"/>
  <c r="AE1836" i="8" s="1"/>
  <c r="AG1835" i="8"/>
  <c r="AF1835" i="8"/>
  <c r="AD1835" i="8"/>
  <c r="AE1835" i="8" s="1"/>
  <c r="AG1834" i="8"/>
  <c r="AF1834" i="8"/>
  <c r="AD1834" i="8"/>
  <c r="AE1834" i="8" s="1"/>
  <c r="AG1833" i="8"/>
  <c r="AF1833" i="8"/>
  <c r="AD1833" i="8"/>
  <c r="AE1833" i="8" s="1"/>
  <c r="AG1832" i="8"/>
  <c r="AF1832" i="8"/>
  <c r="AD1832" i="8"/>
  <c r="AE1832" i="8" s="1"/>
  <c r="AG1831" i="8"/>
  <c r="AF1831" i="8"/>
  <c r="AD1831" i="8"/>
  <c r="AE1831" i="8" s="1"/>
  <c r="AG1830" i="8"/>
  <c r="AF1830" i="8"/>
  <c r="AD1830" i="8"/>
  <c r="AE1830" i="8" s="1"/>
  <c r="AG1829" i="8"/>
  <c r="AF1829" i="8"/>
  <c r="AD1829" i="8"/>
  <c r="AE1829" i="8" s="1"/>
  <c r="AG1828" i="8"/>
  <c r="AF1828" i="8"/>
  <c r="AD1828" i="8"/>
  <c r="AE1828" i="8" s="1"/>
  <c r="AG1827" i="8"/>
  <c r="AF1827" i="8"/>
  <c r="AD1827" i="8"/>
  <c r="AE1827" i="8" s="1"/>
  <c r="AG1826" i="8"/>
  <c r="AF1826" i="8"/>
  <c r="AD1826" i="8"/>
  <c r="AE1826" i="8" s="1"/>
  <c r="AG1825" i="8"/>
  <c r="AF1825" i="8"/>
  <c r="AD1825" i="8"/>
  <c r="AE1825" i="8" s="1"/>
  <c r="AG1824" i="8"/>
  <c r="AF1824" i="8"/>
  <c r="AD1824" i="8"/>
  <c r="AE1824" i="8" s="1"/>
  <c r="AG1823" i="8"/>
  <c r="AF1823" i="8"/>
  <c r="AD1823" i="8"/>
  <c r="AE1823" i="8" s="1"/>
  <c r="AG1822" i="8"/>
  <c r="AF1822" i="8"/>
  <c r="AD1822" i="8"/>
  <c r="AE1822" i="8" s="1"/>
  <c r="AG1821" i="8"/>
  <c r="AF1821" i="8"/>
  <c r="AD1821" i="8"/>
  <c r="AE1821" i="8" s="1"/>
  <c r="AG1820" i="8"/>
  <c r="AF1820" i="8"/>
  <c r="AD1820" i="8"/>
  <c r="AE1820" i="8" s="1"/>
  <c r="AG1819" i="8"/>
  <c r="AF1819" i="8"/>
  <c r="AD1819" i="8"/>
  <c r="AE1819" i="8" s="1"/>
  <c r="AG1818" i="8"/>
  <c r="AF1818" i="8"/>
  <c r="AD1818" i="8"/>
  <c r="AE1818" i="8" s="1"/>
  <c r="AG1817" i="8"/>
  <c r="AF1817" i="8"/>
  <c r="AD1817" i="8"/>
  <c r="AE1817" i="8" s="1"/>
  <c r="AG1816" i="8"/>
  <c r="AF1816" i="8"/>
  <c r="AD1816" i="8"/>
  <c r="AE1816" i="8" s="1"/>
  <c r="AG1815" i="8"/>
  <c r="AF1815" i="8"/>
  <c r="AD1815" i="8"/>
  <c r="AE1815" i="8" s="1"/>
  <c r="AG1814" i="8"/>
  <c r="AF1814" i="8"/>
  <c r="AD1814" i="8"/>
  <c r="AE1814" i="8" s="1"/>
  <c r="AG1813" i="8"/>
  <c r="AF1813" i="8"/>
  <c r="AD1813" i="8"/>
  <c r="AE1813" i="8" s="1"/>
  <c r="AG1812" i="8"/>
  <c r="AF1812" i="8"/>
  <c r="AD1812" i="8"/>
  <c r="AE1812" i="8" s="1"/>
  <c r="AG1811" i="8"/>
  <c r="AF1811" i="8"/>
  <c r="AD1811" i="8"/>
  <c r="AE1811" i="8" s="1"/>
  <c r="AG1810" i="8"/>
  <c r="AF1810" i="8"/>
  <c r="AD1810" i="8"/>
  <c r="AE1810" i="8" s="1"/>
  <c r="AG1809" i="8"/>
  <c r="AF1809" i="8"/>
  <c r="AD1809" i="8"/>
  <c r="AE1809" i="8" s="1"/>
  <c r="AG1808" i="8"/>
  <c r="AF1808" i="8"/>
  <c r="AD1808" i="8"/>
  <c r="AE1808" i="8" s="1"/>
  <c r="AG1807" i="8"/>
  <c r="AF1807" i="8"/>
  <c r="AD1807" i="8"/>
  <c r="AE1807" i="8" s="1"/>
  <c r="AG1806" i="8"/>
  <c r="AF1806" i="8"/>
  <c r="AD1806" i="8"/>
  <c r="AE1806" i="8" s="1"/>
  <c r="AG1805" i="8"/>
  <c r="AF1805" i="8"/>
  <c r="AD1805" i="8"/>
  <c r="AE1805" i="8" s="1"/>
  <c r="AG1804" i="8"/>
  <c r="AF1804" i="8"/>
  <c r="AD1804" i="8"/>
  <c r="AE1804" i="8" s="1"/>
  <c r="AG1803" i="8"/>
  <c r="AF1803" i="8"/>
  <c r="AD1803" i="8"/>
  <c r="AE1803" i="8" s="1"/>
  <c r="AG1802" i="8"/>
  <c r="AF1802" i="8"/>
  <c r="AD1802" i="8"/>
  <c r="AE1802" i="8" s="1"/>
  <c r="AG1801" i="8"/>
  <c r="AF1801" i="8"/>
  <c r="AD1801" i="8"/>
  <c r="AE1801" i="8" s="1"/>
  <c r="AG1800" i="8"/>
  <c r="AF1800" i="8"/>
  <c r="AD1800" i="8"/>
  <c r="AE1800" i="8" s="1"/>
  <c r="AG1799" i="8"/>
  <c r="AF1799" i="8"/>
  <c r="AD1799" i="8"/>
  <c r="AE1799" i="8" s="1"/>
  <c r="AG1798" i="8"/>
  <c r="AF1798" i="8"/>
  <c r="AD1798" i="8"/>
  <c r="AE1798" i="8" s="1"/>
  <c r="AG1797" i="8"/>
  <c r="AF1797" i="8"/>
  <c r="AD1797" i="8"/>
  <c r="AE1797" i="8" s="1"/>
  <c r="AG1796" i="8"/>
  <c r="AF1796" i="8"/>
  <c r="AD1796" i="8"/>
  <c r="AE1796" i="8" s="1"/>
  <c r="AG1795" i="8"/>
  <c r="AF1795" i="8"/>
  <c r="AD1795" i="8"/>
  <c r="AE1795" i="8" s="1"/>
  <c r="AG1794" i="8"/>
  <c r="AF1794" i="8"/>
  <c r="AD1794" i="8"/>
  <c r="AE1794" i="8" s="1"/>
  <c r="AG1793" i="8"/>
  <c r="AF1793" i="8"/>
  <c r="AD1793" i="8"/>
  <c r="AE1793" i="8" s="1"/>
  <c r="AG1792" i="8"/>
  <c r="AF1792" i="8"/>
  <c r="AD1792" i="8"/>
  <c r="AE1792" i="8" s="1"/>
  <c r="AG1791" i="8"/>
  <c r="AF1791" i="8"/>
  <c r="AD1791" i="8"/>
  <c r="AE1791" i="8" s="1"/>
  <c r="AG1790" i="8"/>
  <c r="AF1790" i="8"/>
  <c r="AD1790" i="8"/>
  <c r="AE1790" i="8" s="1"/>
  <c r="AG1789" i="8"/>
  <c r="AF1789" i="8"/>
  <c r="AD1789" i="8"/>
  <c r="AE1789" i="8" s="1"/>
  <c r="AG1788" i="8"/>
  <c r="AF1788" i="8"/>
  <c r="AD1788" i="8"/>
  <c r="AE1788" i="8" s="1"/>
  <c r="AG1787" i="8"/>
  <c r="AF1787" i="8"/>
  <c r="AD1787" i="8"/>
  <c r="AE1787" i="8" s="1"/>
  <c r="AG1786" i="8"/>
  <c r="AF1786" i="8"/>
  <c r="AD1786" i="8"/>
  <c r="AE1786" i="8" s="1"/>
  <c r="AG1785" i="8"/>
  <c r="AF1785" i="8"/>
  <c r="AD1785" i="8"/>
  <c r="AE1785" i="8" s="1"/>
  <c r="AG1784" i="8"/>
  <c r="AF1784" i="8"/>
  <c r="AD1784" i="8"/>
  <c r="AE1784" i="8" s="1"/>
  <c r="AG1783" i="8"/>
  <c r="AF1783" i="8"/>
  <c r="AD1783" i="8"/>
  <c r="AE1783" i="8" s="1"/>
  <c r="AG1782" i="8"/>
  <c r="AF1782" i="8"/>
  <c r="AD1782" i="8"/>
  <c r="AE1782" i="8" s="1"/>
  <c r="AG1781" i="8"/>
  <c r="AF1781" i="8"/>
  <c r="AD1781" i="8"/>
  <c r="AE1781" i="8" s="1"/>
  <c r="AG1780" i="8"/>
  <c r="AF1780" i="8"/>
  <c r="AD1780" i="8"/>
  <c r="AE1780" i="8" s="1"/>
  <c r="AG1779" i="8"/>
  <c r="AF1779" i="8"/>
  <c r="AD1779" i="8"/>
  <c r="AE1779" i="8" s="1"/>
  <c r="AG1778" i="8"/>
  <c r="AF1778" i="8"/>
  <c r="AD1778" i="8"/>
  <c r="AE1778" i="8" s="1"/>
  <c r="AG1777" i="8"/>
  <c r="AF1777" i="8"/>
  <c r="AD1777" i="8"/>
  <c r="AE1777" i="8" s="1"/>
  <c r="AG1776" i="8"/>
  <c r="AF1776" i="8"/>
  <c r="AD1776" i="8"/>
  <c r="AE1776" i="8" s="1"/>
  <c r="AG1775" i="8"/>
  <c r="AF1775" i="8"/>
  <c r="AD1775" i="8"/>
  <c r="AE1775" i="8" s="1"/>
  <c r="AG1774" i="8"/>
  <c r="AF1774" i="8"/>
  <c r="AD1774" i="8"/>
  <c r="AE1774" i="8" s="1"/>
  <c r="AG1773" i="8"/>
  <c r="AF1773" i="8"/>
  <c r="AD1773" i="8"/>
  <c r="AE1773" i="8" s="1"/>
  <c r="AG1772" i="8"/>
  <c r="AF1772" i="8"/>
  <c r="AD1772" i="8"/>
  <c r="AE1772" i="8" s="1"/>
  <c r="AG1771" i="8"/>
  <c r="AF1771" i="8"/>
  <c r="AD1771" i="8"/>
  <c r="AE1771" i="8" s="1"/>
  <c r="AG1770" i="8"/>
  <c r="AF1770" i="8"/>
  <c r="AD1770" i="8"/>
  <c r="AE1770" i="8" s="1"/>
  <c r="AG1769" i="8"/>
  <c r="AF1769" i="8"/>
  <c r="AD1769" i="8"/>
  <c r="AE1769" i="8" s="1"/>
  <c r="AG1768" i="8"/>
  <c r="AF1768" i="8"/>
  <c r="AD1768" i="8"/>
  <c r="AE1768" i="8" s="1"/>
  <c r="AG1767" i="8"/>
  <c r="AF1767" i="8"/>
  <c r="AD1767" i="8"/>
  <c r="AE1767" i="8" s="1"/>
  <c r="AG1766" i="8"/>
  <c r="AF1766" i="8"/>
  <c r="AD1766" i="8"/>
  <c r="AE1766" i="8" s="1"/>
  <c r="AG1765" i="8"/>
  <c r="AF1765" i="8"/>
  <c r="AD1765" i="8"/>
  <c r="AE1765" i="8" s="1"/>
  <c r="AG1764" i="8"/>
  <c r="AF1764" i="8"/>
  <c r="AD1764" i="8"/>
  <c r="AE1764" i="8" s="1"/>
  <c r="AG1763" i="8"/>
  <c r="AF1763" i="8"/>
  <c r="AD1763" i="8"/>
  <c r="AE1763" i="8" s="1"/>
  <c r="AG1762" i="8"/>
  <c r="AF1762" i="8"/>
  <c r="AD1762" i="8"/>
  <c r="AE1762" i="8" s="1"/>
  <c r="AG1761" i="8"/>
  <c r="AF1761" i="8"/>
  <c r="AD1761" i="8"/>
  <c r="AE1761" i="8" s="1"/>
  <c r="AG1760" i="8"/>
  <c r="AF1760" i="8"/>
  <c r="AD1760" i="8"/>
  <c r="AE1760" i="8" s="1"/>
  <c r="AG1759" i="8"/>
  <c r="AF1759" i="8"/>
  <c r="AD1759" i="8"/>
  <c r="AE1759" i="8" s="1"/>
  <c r="AG1758" i="8"/>
  <c r="AF1758" i="8"/>
  <c r="AD1758" i="8"/>
  <c r="AE1758" i="8" s="1"/>
  <c r="AG1757" i="8"/>
  <c r="AF1757" i="8"/>
  <c r="AD1757" i="8"/>
  <c r="AE1757" i="8" s="1"/>
  <c r="AG1756" i="8"/>
  <c r="AF1756" i="8"/>
  <c r="AD1756" i="8"/>
  <c r="AE1756" i="8" s="1"/>
  <c r="AG1755" i="8"/>
  <c r="AF1755" i="8"/>
  <c r="AD1755" i="8"/>
  <c r="AE1755" i="8" s="1"/>
  <c r="AG1754" i="8"/>
  <c r="AF1754" i="8"/>
  <c r="AD1754" i="8"/>
  <c r="AE1754" i="8" s="1"/>
  <c r="AG1753" i="8"/>
  <c r="AF1753" i="8"/>
  <c r="AD1753" i="8"/>
  <c r="AE1753" i="8" s="1"/>
  <c r="AG1752" i="8"/>
  <c r="AF1752" i="8"/>
  <c r="AD1752" i="8"/>
  <c r="AE1752" i="8" s="1"/>
  <c r="AG1751" i="8"/>
  <c r="AF1751" i="8"/>
  <c r="AD1751" i="8"/>
  <c r="AE1751" i="8" s="1"/>
  <c r="AG1750" i="8"/>
  <c r="AF1750" i="8"/>
  <c r="AD1750" i="8"/>
  <c r="AE1750" i="8" s="1"/>
  <c r="AG1749" i="8"/>
  <c r="AF1749" i="8"/>
  <c r="AD1749" i="8"/>
  <c r="AE1749" i="8" s="1"/>
  <c r="AG1748" i="8"/>
  <c r="AF1748" i="8"/>
  <c r="AD1748" i="8"/>
  <c r="AE1748" i="8" s="1"/>
  <c r="AG1747" i="8"/>
  <c r="AF1747" i="8"/>
  <c r="AD1747" i="8"/>
  <c r="AE1747" i="8" s="1"/>
  <c r="AG1746" i="8"/>
  <c r="AF1746" i="8"/>
  <c r="AD1746" i="8"/>
  <c r="AE1746" i="8" s="1"/>
  <c r="AG1745" i="8"/>
  <c r="AF1745" i="8"/>
  <c r="AD1745" i="8"/>
  <c r="AE1745" i="8" s="1"/>
  <c r="AG1744" i="8"/>
  <c r="AF1744" i="8"/>
  <c r="AD1744" i="8"/>
  <c r="AE1744" i="8" s="1"/>
  <c r="AG1743" i="8"/>
  <c r="AF1743" i="8"/>
  <c r="AD1743" i="8"/>
  <c r="AE1743" i="8" s="1"/>
  <c r="AG1742" i="8"/>
  <c r="AF1742" i="8"/>
  <c r="AD1742" i="8"/>
  <c r="AE1742" i="8" s="1"/>
  <c r="AG1741" i="8"/>
  <c r="AF1741" i="8"/>
  <c r="AD1741" i="8"/>
  <c r="AE1741" i="8" s="1"/>
  <c r="AG1740" i="8"/>
  <c r="AF1740" i="8"/>
  <c r="AD1740" i="8"/>
  <c r="AE1740" i="8" s="1"/>
  <c r="AG1739" i="8"/>
  <c r="AF1739" i="8"/>
  <c r="AD1739" i="8"/>
  <c r="AE1739" i="8" s="1"/>
  <c r="AG1738" i="8"/>
  <c r="AF1738" i="8"/>
  <c r="AD1738" i="8"/>
  <c r="AE1738" i="8" s="1"/>
  <c r="AG1737" i="8"/>
  <c r="AF1737" i="8"/>
  <c r="AD1737" i="8"/>
  <c r="AE1737" i="8" s="1"/>
  <c r="AG1736" i="8"/>
  <c r="AF1736" i="8"/>
  <c r="AD1736" i="8"/>
  <c r="AE1736" i="8" s="1"/>
  <c r="AG1735" i="8"/>
  <c r="AF1735" i="8"/>
  <c r="AD1735" i="8"/>
  <c r="AE1735" i="8" s="1"/>
  <c r="AG1734" i="8"/>
  <c r="AF1734" i="8"/>
  <c r="AD1734" i="8"/>
  <c r="AE1734" i="8" s="1"/>
  <c r="AG1733" i="8"/>
  <c r="AF1733" i="8"/>
  <c r="AD1733" i="8"/>
  <c r="AE1733" i="8" s="1"/>
  <c r="AG1732" i="8"/>
  <c r="AF1732" i="8"/>
  <c r="AD1732" i="8"/>
  <c r="AE1732" i="8" s="1"/>
  <c r="AG1731" i="8"/>
  <c r="AF1731" i="8"/>
  <c r="AD1731" i="8"/>
  <c r="AE1731" i="8" s="1"/>
  <c r="AG1730" i="8"/>
  <c r="AF1730" i="8"/>
  <c r="AD1730" i="8"/>
  <c r="AE1730" i="8" s="1"/>
  <c r="AG1729" i="8"/>
  <c r="AF1729" i="8"/>
  <c r="AD1729" i="8"/>
  <c r="AE1729" i="8" s="1"/>
  <c r="AG1728" i="8"/>
  <c r="AF1728" i="8"/>
  <c r="AD1728" i="8"/>
  <c r="AE1728" i="8" s="1"/>
  <c r="AG1727" i="8"/>
  <c r="AF1727" i="8"/>
  <c r="AD1727" i="8"/>
  <c r="AE1727" i="8" s="1"/>
  <c r="AG1726" i="8"/>
  <c r="AF1726" i="8"/>
  <c r="AD1726" i="8"/>
  <c r="AE1726" i="8" s="1"/>
  <c r="AG1725" i="8"/>
  <c r="AF1725" i="8"/>
  <c r="AD1725" i="8"/>
  <c r="AE1725" i="8" s="1"/>
  <c r="AG1724" i="8"/>
  <c r="AF1724" i="8"/>
  <c r="AD1724" i="8"/>
  <c r="AE1724" i="8" s="1"/>
  <c r="AG1723" i="8"/>
  <c r="AF1723" i="8"/>
  <c r="AD1723" i="8"/>
  <c r="AE1723" i="8" s="1"/>
  <c r="AG1722" i="8"/>
  <c r="AF1722" i="8"/>
  <c r="AD1722" i="8"/>
  <c r="AE1722" i="8" s="1"/>
  <c r="AG1721" i="8"/>
  <c r="AF1721" i="8"/>
  <c r="AD1721" i="8"/>
  <c r="AE1721" i="8" s="1"/>
  <c r="AG1720" i="8"/>
  <c r="AF1720" i="8"/>
  <c r="AD1720" i="8"/>
  <c r="AE1720" i="8" s="1"/>
  <c r="AG1719" i="8"/>
  <c r="AF1719" i="8"/>
  <c r="AD1719" i="8"/>
  <c r="AE1719" i="8" s="1"/>
  <c r="AG1718" i="8"/>
  <c r="AF1718" i="8"/>
  <c r="AD1718" i="8"/>
  <c r="AE1718" i="8" s="1"/>
  <c r="AG1717" i="8"/>
  <c r="AF1717" i="8"/>
  <c r="AD1717" i="8"/>
  <c r="AE1717" i="8" s="1"/>
  <c r="AG1716" i="8"/>
  <c r="AF1716" i="8"/>
  <c r="AD1716" i="8"/>
  <c r="AE1716" i="8" s="1"/>
  <c r="AG1715" i="8"/>
  <c r="AF1715" i="8"/>
  <c r="AD1715" i="8"/>
  <c r="AE1715" i="8" s="1"/>
  <c r="AG1714" i="8"/>
  <c r="AF1714" i="8"/>
  <c r="AD1714" i="8"/>
  <c r="AE1714" i="8" s="1"/>
  <c r="AG1713" i="8"/>
  <c r="AF1713" i="8"/>
  <c r="AD1713" i="8"/>
  <c r="AE1713" i="8" s="1"/>
  <c r="AG1712" i="8"/>
  <c r="AF1712" i="8"/>
  <c r="AD1712" i="8"/>
  <c r="AE1712" i="8" s="1"/>
  <c r="AG1711" i="8"/>
  <c r="AF1711" i="8"/>
  <c r="AD1711" i="8"/>
  <c r="AE1711" i="8" s="1"/>
  <c r="AG1710" i="8"/>
  <c r="AF1710" i="8"/>
  <c r="AD1710" i="8"/>
  <c r="AE1710" i="8" s="1"/>
  <c r="AG1709" i="8"/>
  <c r="AF1709" i="8"/>
  <c r="AD1709" i="8"/>
  <c r="AE1709" i="8" s="1"/>
  <c r="AG1708" i="8"/>
  <c r="AF1708" i="8"/>
  <c r="AD1708" i="8"/>
  <c r="AE1708" i="8" s="1"/>
  <c r="AG1707" i="8"/>
  <c r="AF1707" i="8"/>
  <c r="AD1707" i="8"/>
  <c r="AE1707" i="8" s="1"/>
  <c r="AG1706" i="8"/>
  <c r="AF1706" i="8"/>
  <c r="AD1706" i="8"/>
  <c r="AE1706" i="8" s="1"/>
  <c r="AG1705" i="8"/>
  <c r="AF1705" i="8"/>
  <c r="AD1705" i="8"/>
  <c r="AE1705" i="8" s="1"/>
  <c r="AG1704" i="8"/>
  <c r="AF1704" i="8"/>
  <c r="AD1704" i="8"/>
  <c r="AE1704" i="8" s="1"/>
  <c r="AG1703" i="8"/>
  <c r="AF1703" i="8"/>
  <c r="AD1703" i="8"/>
  <c r="AE1703" i="8" s="1"/>
  <c r="AG1702" i="8"/>
  <c r="AF1702" i="8"/>
  <c r="AD1702" i="8"/>
  <c r="AE1702" i="8" s="1"/>
  <c r="AG1701" i="8"/>
  <c r="AF1701" i="8"/>
  <c r="AD1701" i="8"/>
  <c r="AE1701" i="8" s="1"/>
  <c r="AG1700" i="8"/>
  <c r="AF1700" i="8"/>
  <c r="AD1700" i="8"/>
  <c r="AE1700" i="8" s="1"/>
  <c r="AG1699" i="8"/>
  <c r="AF1699" i="8"/>
  <c r="AD1699" i="8"/>
  <c r="AE1699" i="8" s="1"/>
  <c r="AG1698" i="8"/>
  <c r="AF1698" i="8"/>
  <c r="AD1698" i="8"/>
  <c r="AE1698" i="8" s="1"/>
  <c r="AG1697" i="8"/>
  <c r="AF1697" i="8"/>
  <c r="AD1697" i="8"/>
  <c r="AE1697" i="8" s="1"/>
  <c r="AG1696" i="8"/>
  <c r="AF1696" i="8"/>
  <c r="AD1696" i="8"/>
  <c r="AE1696" i="8" s="1"/>
  <c r="AG1695" i="8"/>
  <c r="AF1695" i="8"/>
  <c r="AD1695" i="8"/>
  <c r="AE1695" i="8" s="1"/>
  <c r="AG1694" i="8"/>
  <c r="AF1694" i="8"/>
  <c r="AD1694" i="8"/>
  <c r="AE1694" i="8" s="1"/>
  <c r="AG1693" i="8"/>
  <c r="AF1693" i="8"/>
  <c r="AD1693" i="8"/>
  <c r="AE1693" i="8" s="1"/>
  <c r="AG1692" i="8"/>
  <c r="AF1692" i="8"/>
  <c r="AD1692" i="8"/>
  <c r="AE1692" i="8" s="1"/>
  <c r="AG1691" i="8"/>
  <c r="AF1691" i="8"/>
  <c r="AD1691" i="8"/>
  <c r="AE1691" i="8" s="1"/>
  <c r="AG1690" i="8"/>
  <c r="AF1690" i="8"/>
  <c r="AD1690" i="8"/>
  <c r="AE1690" i="8" s="1"/>
  <c r="AG1689" i="8"/>
  <c r="AF1689" i="8"/>
  <c r="AD1689" i="8"/>
  <c r="AE1689" i="8" s="1"/>
  <c r="AG1688" i="8"/>
  <c r="AF1688" i="8"/>
  <c r="AD1688" i="8"/>
  <c r="AE1688" i="8" s="1"/>
  <c r="AG1687" i="8"/>
  <c r="AF1687" i="8"/>
  <c r="AD1687" i="8"/>
  <c r="AE1687" i="8" s="1"/>
  <c r="AG1686" i="8"/>
  <c r="AF1686" i="8"/>
  <c r="AD1686" i="8"/>
  <c r="AE1686" i="8" s="1"/>
  <c r="AG1685" i="8"/>
  <c r="AF1685" i="8"/>
  <c r="AD1685" i="8"/>
  <c r="AE1685" i="8" s="1"/>
  <c r="AG1684" i="8"/>
  <c r="AF1684" i="8"/>
  <c r="AD1684" i="8"/>
  <c r="AE1684" i="8" s="1"/>
  <c r="AG1683" i="8"/>
  <c r="AF1683" i="8"/>
  <c r="AD1683" i="8"/>
  <c r="AE1683" i="8" s="1"/>
  <c r="AG1682" i="8"/>
  <c r="AF1682" i="8"/>
  <c r="AD1682" i="8"/>
  <c r="AE1682" i="8" s="1"/>
  <c r="AG1681" i="8"/>
  <c r="AF1681" i="8"/>
  <c r="AD1681" i="8"/>
  <c r="AE1681" i="8" s="1"/>
  <c r="AG1680" i="8"/>
  <c r="AF1680" i="8"/>
  <c r="AD1680" i="8"/>
  <c r="AE1680" i="8" s="1"/>
  <c r="AG1679" i="8"/>
  <c r="AF1679" i="8"/>
  <c r="AD1679" i="8"/>
  <c r="AE1679" i="8" s="1"/>
  <c r="AG1678" i="8"/>
  <c r="AF1678" i="8"/>
  <c r="AD1678" i="8"/>
  <c r="AE1678" i="8" s="1"/>
  <c r="AG1677" i="8"/>
  <c r="AF1677" i="8"/>
  <c r="AD1677" i="8"/>
  <c r="AE1677" i="8" s="1"/>
  <c r="AG1676" i="8"/>
  <c r="AF1676" i="8"/>
  <c r="AD1676" i="8"/>
  <c r="AE1676" i="8" s="1"/>
  <c r="AG1675" i="8"/>
  <c r="AF1675" i="8"/>
  <c r="AD1675" i="8"/>
  <c r="AE1675" i="8" s="1"/>
  <c r="AG1674" i="8"/>
  <c r="AF1674" i="8"/>
  <c r="AD1674" i="8"/>
  <c r="AE1674" i="8" s="1"/>
  <c r="AG1673" i="8"/>
  <c r="AF1673" i="8"/>
  <c r="AD1673" i="8"/>
  <c r="AE1673" i="8" s="1"/>
  <c r="AG1672" i="8"/>
  <c r="AF1672" i="8"/>
  <c r="AD1672" i="8"/>
  <c r="AE1672" i="8" s="1"/>
  <c r="AG1671" i="8"/>
  <c r="AF1671" i="8"/>
  <c r="AD1671" i="8"/>
  <c r="AE1671" i="8" s="1"/>
  <c r="AG1670" i="8"/>
  <c r="AF1670" i="8"/>
  <c r="AD1670" i="8"/>
  <c r="AE1670" i="8" s="1"/>
  <c r="AG1669" i="8"/>
  <c r="AF1669" i="8"/>
  <c r="AD1669" i="8"/>
  <c r="AE1669" i="8" s="1"/>
  <c r="AG1668" i="8"/>
  <c r="AF1668" i="8"/>
  <c r="AD1668" i="8"/>
  <c r="AE1668" i="8" s="1"/>
  <c r="AG1667" i="8"/>
  <c r="AF1667" i="8"/>
  <c r="AD1667" i="8"/>
  <c r="AE1667" i="8" s="1"/>
  <c r="AG1666" i="8"/>
  <c r="AF1666" i="8"/>
  <c r="AD1666" i="8"/>
  <c r="AE1666" i="8" s="1"/>
  <c r="AG1665" i="8"/>
  <c r="AF1665" i="8"/>
  <c r="AD1665" i="8"/>
  <c r="AE1665" i="8" s="1"/>
  <c r="AG1664" i="8"/>
  <c r="AF1664" i="8"/>
  <c r="AD1664" i="8"/>
  <c r="AE1664" i="8" s="1"/>
  <c r="AG1663" i="8"/>
  <c r="AF1663" i="8"/>
  <c r="AD1663" i="8"/>
  <c r="AE1663" i="8" s="1"/>
  <c r="AG1662" i="8"/>
  <c r="AF1662" i="8"/>
  <c r="AD1662" i="8"/>
  <c r="AE1662" i="8" s="1"/>
  <c r="AG1661" i="8"/>
  <c r="AF1661" i="8"/>
  <c r="AD1661" i="8"/>
  <c r="AE1661" i="8" s="1"/>
  <c r="AG1660" i="8"/>
  <c r="AF1660" i="8"/>
  <c r="AD1660" i="8"/>
  <c r="AE1660" i="8" s="1"/>
  <c r="AG1659" i="8"/>
  <c r="AF1659" i="8"/>
  <c r="AD1659" i="8"/>
  <c r="AE1659" i="8" s="1"/>
  <c r="AG1658" i="8"/>
  <c r="AF1658" i="8"/>
  <c r="AD1658" i="8"/>
  <c r="AE1658" i="8" s="1"/>
  <c r="AG1657" i="8"/>
  <c r="AF1657" i="8"/>
  <c r="AD1657" i="8"/>
  <c r="AE1657" i="8" s="1"/>
  <c r="AG1656" i="8"/>
  <c r="AF1656" i="8"/>
  <c r="AD1656" i="8"/>
  <c r="AE1656" i="8" s="1"/>
  <c r="AG1655" i="8"/>
  <c r="AF1655" i="8"/>
  <c r="AD1655" i="8"/>
  <c r="AE1655" i="8" s="1"/>
  <c r="AG1654" i="8"/>
  <c r="AF1654" i="8"/>
  <c r="AD1654" i="8"/>
  <c r="AE1654" i="8" s="1"/>
  <c r="AG1653" i="8"/>
  <c r="AF1653" i="8"/>
  <c r="AD1653" i="8"/>
  <c r="AE1653" i="8" s="1"/>
  <c r="AG1652" i="8"/>
  <c r="AF1652" i="8"/>
  <c r="AD1652" i="8"/>
  <c r="AE1652" i="8" s="1"/>
  <c r="AG1651" i="8"/>
  <c r="AF1651" i="8"/>
  <c r="AD1651" i="8"/>
  <c r="AE1651" i="8" s="1"/>
  <c r="AG1650" i="8"/>
  <c r="AF1650" i="8"/>
  <c r="AD1650" i="8"/>
  <c r="AE1650" i="8" s="1"/>
  <c r="AG1649" i="8"/>
  <c r="AF1649" i="8"/>
  <c r="AD1649" i="8"/>
  <c r="AE1649" i="8" s="1"/>
  <c r="AG1648" i="8"/>
  <c r="AF1648" i="8"/>
  <c r="AD1648" i="8"/>
  <c r="AE1648" i="8" s="1"/>
  <c r="AG1647" i="8"/>
  <c r="AF1647" i="8"/>
  <c r="AD1647" i="8"/>
  <c r="AE1647" i="8" s="1"/>
  <c r="AG1646" i="8"/>
  <c r="AF1646" i="8"/>
  <c r="AD1646" i="8"/>
  <c r="AE1646" i="8" s="1"/>
  <c r="AG1645" i="8"/>
  <c r="AF1645" i="8"/>
  <c r="AD1645" i="8"/>
  <c r="AE1645" i="8" s="1"/>
  <c r="AG1644" i="8"/>
  <c r="AF1644" i="8"/>
  <c r="AD1644" i="8"/>
  <c r="AE1644" i="8" s="1"/>
  <c r="AG1643" i="8"/>
  <c r="AF1643" i="8"/>
  <c r="AD1643" i="8"/>
  <c r="AE1643" i="8" s="1"/>
  <c r="AG1642" i="8"/>
  <c r="AF1642" i="8"/>
  <c r="AD1642" i="8"/>
  <c r="AE1642" i="8" s="1"/>
  <c r="AG1641" i="8"/>
  <c r="AF1641" i="8"/>
  <c r="AD1641" i="8"/>
  <c r="AE1641" i="8" s="1"/>
  <c r="AG1640" i="8"/>
  <c r="AF1640" i="8"/>
  <c r="AD1640" i="8"/>
  <c r="AE1640" i="8" s="1"/>
  <c r="AG1639" i="8"/>
  <c r="AF1639" i="8"/>
  <c r="AD1639" i="8"/>
  <c r="AE1639" i="8" s="1"/>
  <c r="AG1638" i="8"/>
  <c r="AF1638" i="8"/>
  <c r="AD1638" i="8"/>
  <c r="AE1638" i="8" s="1"/>
  <c r="AG1637" i="8"/>
  <c r="AF1637" i="8"/>
  <c r="AD1637" i="8"/>
  <c r="AE1637" i="8" s="1"/>
  <c r="AG1636" i="8"/>
  <c r="AF1636" i="8"/>
  <c r="AD1636" i="8"/>
  <c r="AE1636" i="8" s="1"/>
  <c r="AG1635" i="8"/>
  <c r="AF1635" i="8"/>
  <c r="AD1635" i="8"/>
  <c r="AE1635" i="8" s="1"/>
  <c r="AG1634" i="8"/>
  <c r="AF1634" i="8"/>
  <c r="AD1634" i="8"/>
  <c r="AE1634" i="8" s="1"/>
  <c r="AG1633" i="8"/>
  <c r="AF1633" i="8"/>
  <c r="AD1633" i="8"/>
  <c r="AE1633" i="8" s="1"/>
  <c r="AG1632" i="8"/>
  <c r="AF1632" i="8"/>
  <c r="AD1632" i="8"/>
  <c r="AE1632" i="8" s="1"/>
  <c r="AG1631" i="8"/>
  <c r="AF1631" i="8"/>
  <c r="AD1631" i="8"/>
  <c r="AE1631" i="8" s="1"/>
  <c r="AG1630" i="8"/>
  <c r="AF1630" i="8"/>
  <c r="AD1630" i="8"/>
  <c r="AE1630" i="8" s="1"/>
  <c r="AG1629" i="8"/>
  <c r="AF1629" i="8"/>
  <c r="AD1629" i="8"/>
  <c r="AE1629" i="8" s="1"/>
  <c r="AG1628" i="8"/>
  <c r="AF1628" i="8"/>
  <c r="AD1628" i="8"/>
  <c r="AE1628" i="8" s="1"/>
  <c r="AG1627" i="8"/>
  <c r="AF1627" i="8"/>
  <c r="AD1627" i="8"/>
  <c r="AE1627" i="8" s="1"/>
  <c r="AG1626" i="8"/>
  <c r="AF1626" i="8"/>
  <c r="AD1626" i="8"/>
  <c r="AE1626" i="8" s="1"/>
  <c r="AG1625" i="8"/>
  <c r="AF1625" i="8"/>
  <c r="AD1625" i="8"/>
  <c r="AE1625" i="8" s="1"/>
  <c r="AG1624" i="8"/>
  <c r="AF1624" i="8"/>
  <c r="AD1624" i="8"/>
  <c r="AE1624" i="8" s="1"/>
  <c r="AG1623" i="8"/>
  <c r="AF1623" i="8"/>
  <c r="AD1623" i="8"/>
  <c r="AE1623" i="8" s="1"/>
  <c r="AG1622" i="8"/>
  <c r="AF1622" i="8"/>
  <c r="AD1622" i="8"/>
  <c r="AE1622" i="8" s="1"/>
  <c r="AG1621" i="8"/>
  <c r="AF1621" i="8"/>
  <c r="AD1621" i="8"/>
  <c r="AE1621" i="8" s="1"/>
  <c r="AG1620" i="8"/>
  <c r="AF1620" i="8"/>
  <c r="AD1620" i="8"/>
  <c r="AE1620" i="8" s="1"/>
  <c r="AG1619" i="8"/>
  <c r="AF1619" i="8"/>
  <c r="AD1619" i="8"/>
  <c r="AE1619" i="8" s="1"/>
  <c r="AG1618" i="8"/>
  <c r="AF1618" i="8"/>
  <c r="AD1618" i="8"/>
  <c r="AE1618" i="8" s="1"/>
  <c r="AG1617" i="8"/>
  <c r="AF1617" i="8"/>
  <c r="AD1617" i="8"/>
  <c r="AE1617" i="8" s="1"/>
  <c r="AG1616" i="8"/>
  <c r="AF1616" i="8"/>
  <c r="AD1616" i="8"/>
  <c r="AE1616" i="8" s="1"/>
  <c r="AG1615" i="8"/>
  <c r="AF1615" i="8"/>
  <c r="AD1615" i="8"/>
  <c r="AE1615" i="8" s="1"/>
  <c r="AG1614" i="8"/>
  <c r="AF1614" i="8"/>
  <c r="AD1614" i="8"/>
  <c r="AE1614" i="8" s="1"/>
  <c r="AG1613" i="8"/>
  <c r="AF1613" i="8"/>
  <c r="AD1613" i="8"/>
  <c r="AE1613" i="8" s="1"/>
  <c r="AG1612" i="8"/>
  <c r="AF1612" i="8"/>
  <c r="AD1612" i="8"/>
  <c r="AE1612" i="8" s="1"/>
  <c r="AG1611" i="8"/>
  <c r="AF1611" i="8"/>
  <c r="AD1611" i="8"/>
  <c r="AE1611" i="8" s="1"/>
  <c r="AG1610" i="8"/>
  <c r="AF1610" i="8"/>
  <c r="AD1610" i="8"/>
  <c r="AE1610" i="8" s="1"/>
  <c r="AG1609" i="8"/>
  <c r="AF1609" i="8"/>
  <c r="AD1609" i="8"/>
  <c r="AE1609" i="8" s="1"/>
  <c r="AG1608" i="8"/>
  <c r="AF1608" i="8"/>
  <c r="AD1608" i="8"/>
  <c r="AE1608" i="8" s="1"/>
  <c r="AG1607" i="8"/>
  <c r="AF1607" i="8"/>
  <c r="AD1607" i="8"/>
  <c r="AE1607" i="8" s="1"/>
  <c r="AG1606" i="8"/>
  <c r="AF1606" i="8"/>
  <c r="AD1606" i="8"/>
  <c r="AE1606" i="8" s="1"/>
  <c r="AG1605" i="8"/>
  <c r="AF1605" i="8"/>
  <c r="AD1605" i="8"/>
  <c r="AE1605" i="8" s="1"/>
  <c r="AG1604" i="8"/>
  <c r="AF1604" i="8"/>
  <c r="AD1604" i="8"/>
  <c r="AE1604" i="8" s="1"/>
  <c r="AG1603" i="8"/>
  <c r="AF1603" i="8"/>
  <c r="AD1603" i="8"/>
  <c r="AE1603" i="8" s="1"/>
  <c r="AG1602" i="8"/>
  <c r="AF1602" i="8"/>
  <c r="AD1602" i="8"/>
  <c r="AE1602" i="8" s="1"/>
  <c r="AG1601" i="8"/>
  <c r="AF1601" i="8"/>
  <c r="AD1601" i="8"/>
  <c r="AE1601" i="8" s="1"/>
  <c r="AG1600" i="8"/>
  <c r="AF1600" i="8"/>
  <c r="AD1600" i="8"/>
  <c r="AE1600" i="8" s="1"/>
  <c r="AG1599" i="8"/>
  <c r="AF1599" i="8"/>
  <c r="AD1599" i="8"/>
  <c r="AE1599" i="8" s="1"/>
  <c r="AG1598" i="8"/>
  <c r="AF1598" i="8"/>
  <c r="AD1598" i="8"/>
  <c r="AE1598" i="8" s="1"/>
  <c r="AG1597" i="8"/>
  <c r="AF1597" i="8"/>
  <c r="AD1597" i="8"/>
  <c r="AE1597" i="8" s="1"/>
  <c r="AG1596" i="8"/>
  <c r="AF1596" i="8"/>
  <c r="AD1596" i="8"/>
  <c r="AE1596" i="8" s="1"/>
  <c r="AG1595" i="8"/>
  <c r="AF1595" i="8"/>
  <c r="AD1595" i="8"/>
  <c r="AE1595" i="8" s="1"/>
  <c r="AG1594" i="8"/>
  <c r="AF1594" i="8"/>
  <c r="AD1594" i="8"/>
  <c r="AE1594" i="8" s="1"/>
  <c r="AG1593" i="8"/>
  <c r="AF1593" i="8"/>
  <c r="AD1593" i="8"/>
  <c r="AE1593" i="8" s="1"/>
  <c r="AG1592" i="8"/>
  <c r="AF1592" i="8"/>
  <c r="AD1592" i="8"/>
  <c r="AE1592" i="8" s="1"/>
  <c r="AG1591" i="8"/>
  <c r="AF1591" i="8"/>
  <c r="AD1591" i="8"/>
  <c r="AE1591" i="8" s="1"/>
  <c r="AG1590" i="8"/>
  <c r="AF1590" i="8"/>
  <c r="AD1590" i="8"/>
  <c r="AE1590" i="8" s="1"/>
  <c r="AG1589" i="8"/>
  <c r="AF1589" i="8"/>
  <c r="AD1589" i="8"/>
  <c r="AE1589" i="8" s="1"/>
  <c r="AG1588" i="8"/>
  <c r="AF1588" i="8"/>
  <c r="AD1588" i="8"/>
  <c r="AE1588" i="8" s="1"/>
  <c r="AG1587" i="8"/>
  <c r="AF1587" i="8"/>
  <c r="AD1587" i="8"/>
  <c r="AE1587" i="8" s="1"/>
  <c r="AG1586" i="8"/>
  <c r="AF1586" i="8"/>
  <c r="AD1586" i="8"/>
  <c r="AE1586" i="8" s="1"/>
  <c r="AG1585" i="8"/>
  <c r="AF1585" i="8"/>
  <c r="AD1585" i="8"/>
  <c r="AE1585" i="8" s="1"/>
  <c r="AG1584" i="8"/>
  <c r="AF1584" i="8"/>
  <c r="AD1584" i="8"/>
  <c r="AE1584" i="8" s="1"/>
  <c r="AG1583" i="8"/>
  <c r="AF1583" i="8"/>
  <c r="AD1583" i="8"/>
  <c r="AE1583" i="8" s="1"/>
  <c r="AG1582" i="8"/>
  <c r="AF1582" i="8"/>
  <c r="AD1582" i="8"/>
  <c r="AE1582" i="8" s="1"/>
  <c r="AG1581" i="8"/>
  <c r="AF1581" i="8"/>
  <c r="AD1581" i="8"/>
  <c r="AE1581" i="8" s="1"/>
  <c r="AG1580" i="8"/>
  <c r="AF1580" i="8"/>
  <c r="AD1580" i="8"/>
  <c r="AE1580" i="8" s="1"/>
  <c r="AG1579" i="8"/>
  <c r="AF1579" i="8"/>
  <c r="AD1579" i="8"/>
  <c r="AE1579" i="8" s="1"/>
  <c r="AG1578" i="8"/>
  <c r="AF1578" i="8"/>
  <c r="AD1578" i="8"/>
  <c r="AE1578" i="8" s="1"/>
  <c r="AG1577" i="8"/>
  <c r="AF1577" i="8"/>
  <c r="AD1577" i="8"/>
  <c r="AE1577" i="8" s="1"/>
  <c r="AG1576" i="8"/>
  <c r="AF1576" i="8"/>
  <c r="AD1576" i="8"/>
  <c r="AE1576" i="8" s="1"/>
  <c r="AG1575" i="8"/>
  <c r="AF1575" i="8"/>
  <c r="AD1575" i="8"/>
  <c r="AE1575" i="8" s="1"/>
  <c r="AG1574" i="8"/>
  <c r="AF1574" i="8"/>
  <c r="AD1574" i="8"/>
  <c r="AE1574" i="8" s="1"/>
  <c r="AG1573" i="8"/>
  <c r="AF1573" i="8"/>
  <c r="AD1573" i="8"/>
  <c r="AE1573" i="8" s="1"/>
  <c r="AG1572" i="8"/>
  <c r="AF1572" i="8"/>
  <c r="AD1572" i="8"/>
  <c r="AE1572" i="8" s="1"/>
  <c r="AG1571" i="8"/>
  <c r="AF1571" i="8"/>
  <c r="AD1571" i="8"/>
  <c r="AE1571" i="8" s="1"/>
  <c r="AG1570" i="8"/>
  <c r="AF1570" i="8"/>
  <c r="AD1570" i="8"/>
  <c r="AE1570" i="8" s="1"/>
  <c r="AG1569" i="8"/>
  <c r="AF1569" i="8"/>
  <c r="AD1569" i="8"/>
  <c r="AE1569" i="8" s="1"/>
  <c r="AG1568" i="8"/>
  <c r="AF1568" i="8"/>
  <c r="AD1568" i="8"/>
  <c r="AE1568" i="8" s="1"/>
  <c r="AG1567" i="8"/>
  <c r="AF1567" i="8"/>
  <c r="AD1567" i="8"/>
  <c r="AE1567" i="8" s="1"/>
  <c r="AG1566" i="8"/>
  <c r="AF1566" i="8"/>
  <c r="AD1566" i="8"/>
  <c r="AE1566" i="8" s="1"/>
  <c r="AG1565" i="8"/>
  <c r="AF1565" i="8"/>
  <c r="AD1565" i="8"/>
  <c r="AE1565" i="8" s="1"/>
  <c r="AG1564" i="8"/>
  <c r="AF1564" i="8"/>
  <c r="AD1564" i="8"/>
  <c r="AE1564" i="8" s="1"/>
  <c r="AG1563" i="8"/>
  <c r="AF1563" i="8"/>
  <c r="AD1563" i="8"/>
  <c r="AE1563" i="8" s="1"/>
  <c r="AG1562" i="8"/>
  <c r="AF1562" i="8"/>
  <c r="AD1562" i="8"/>
  <c r="AE1562" i="8" s="1"/>
  <c r="AG1561" i="8"/>
  <c r="AF1561" i="8"/>
  <c r="AD1561" i="8"/>
  <c r="AE1561" i="8" s="1"/>
  <c r="AG1560" i="8"/>
  <c r="AF1560" i="8"/>
  <c r="AD1560" i="8"/>
  <c r="AE1560" i="8" s="1"/>
  <c r="AG1559" i="8"/>
  <c r="AF1559" i="8"/>
  <c r="AD1559" i="8"/>
  <c r="AE1559" i="8" s="1"/>
  <c r="AG1558" i="8"/>
  <c r="AF1558" i="8"/>
  <c r="AD1558" i="8"/>
  <c r="AE1558" i="8" s="1"/>
  <c r="AG1557" i="8"/>
  <c r="AF1557" i="8"/>
  <c r="AD1557" i="8"/>
  <c r="AE1557" i="8" s="1"/>
  <c r="AG1556" i="8"/>
  <c r="AF1556" i="8"/>
  <c r="AD1556" i="8"/>
  <c r="AE1556" i="8" s="1"/>
  <c r="AG1555" i="8"/>
  <c r="AF1555" i="8"/>
  <c r="AD1555" i="8"/>
  <c r="AE1555" i="8" s="1"/>
  <c r="AG1554" i="8"/>
  <c r="AF1554" i="8"/>
  <c r="AD1554" i="8"/>
  <c r="AE1554" i="8" s="1"/>
  <c r="AG1553" i="8"/>
  <c r="AF1553" i="8"/>
  <c r="AD1553" i="8"/>
  <c r="AE1553" i="8" s="1"/>
  <c r="AG1552" i="8"/>
  <c r="AF1552" i="8"/>
  <c r="AD1552" i="8"/>
  <c r="AE1552" i="8" s="1"/>
  <c r="AG1551" i="8"/>
  <c r="AF1551" i="8"/>
  <c r="AD1551" i="8"/>
  <c r="AE1551" i="8" s="1"/>
  <c r="AG1550" i="8"/>
  <c r="AF1550" i="8"/>
  <c r="AD1550" i="8"/>
  <c r="AE1550" i="8" s="1"/>
  <c r="AG1549" i="8"/>
  <c r="AF1549" i="8"/>
  <c r="AD1549" i="8"/>
  <c r="AE1549" i="8" s="1"/>
  <c r="AG1548" i="8"/>
  <c r="AF1548" i="8"/>
  <c r="AD1548" i="8"/>
  <c r="AE1548" i="8" s="1"/>
  <c r="AG1547" i="8"/>
  <c r="AF1547" i="8"/>
  <c r="AD1547" i="8"/>
  <c r="AE1547" i="8" s="1"/>
  <c r="AG1546" i="8"/>
  <c r="AF1546" i="8"/>
  <c r="AD1546" i="8"/>
  <c r="AE1546" i="8" s="1"/>
  <c r="AG1545" i="8"/>
  <c r="AF1545" i="8"/>
  <c r="AD1545" i="8"/>
  <c r="AE1545" i="8" s="1"/>
  <c r="AG1544" i="8"/>
  <c r="AF1544" i="8"/>
  <c r="AD1544" i="8"/>
  <c r="AE1544" i="8" s="1"/>
  <c r="AG1543" i="8"/>
  <c r="AF1543" i="8"/>
  <c r="AD1543" i="8"/>
  <c r="AE1543" i="8" s="1"/>
  <c r="AG1542" i="8"/>
  <c r="AF1542" i="8"/>
  <c r="AD1542" i="8"/>
  <c r="AE1542" i="8" s="1"/>
  <c r="AG1541" i="8"/>
  <c r="AF1541" i="8"/>
  <c r="AD1541" i="8"/>
  <c r="AE1541" i="8" s="1"/>
  <c r="AG1540" i="8"/>
  <c r="AF1540" i="8"/>
  <c r="AD1540" i="8"/>
  <c r="AE1540" i="8" s="1"/>
  <c r="AG1539" i="8"/>
  <c r="AF1539" i="8"/>
  <c r="AD1539" i="8"/>
  <c r="AE1539" i="8" s="1"/>
  <c r="AG1538" i="8"/>
  <c r="AF1538" i="8"/>
  <c r="AD1538" i="8"/>
  <c r="AE1538" i="8" s="1"/>
  <c r="AG1537" i="8"/>
  <c r="AF1537" i="8"/>
  <c r="AD1537" i="8"/>
  <c r="AE1537" i="8" s="1"/>
  <c r="AG1536" i="8"/>
  <c r="AF1536" i="8"/>
  <c r="AD1536" i="8"/>
  <c r="AE1536" i="8" s="1"/>
  <c r="AG1535" i="8"/>
  <c r="AF1535" i="8"/>
  <c r="AD1535" i="8"/>
  <c r="AE1535" i="8" s="1"/>
  <c r="AG1534" i="8"/>
  <c r="AF1534" i="8"/>
  <c r="AD1534" i="8"/>
  <c r="AE1534" i="8" s="1"/>
  <c r="AG1533" i="8"/>
  <c r="AF1533" i="8"/>
  <c r="AD1533" i="8"/>
  <c r="AE1533" i="8" s="1"/>
  <c r="AG1532" i="8"/>
  <c r="AF1532" i="8"/>
  <c r="AD1532" i="8"/>
  <c r="AE1532" i="8" s="1"/>
  <c r="AG1531" i="8"/>
  <c r="AF1531" i="8"/>
  <c r="AD1531" i="8"/>
  <c r="AE1531" i="8" s="1"/>
  <c r="AG1530" i="8"/>
  <c r="AF1530" i="8"/>
  <c r="AD1530" i="8"/>
  <c r="AE1530" i="8" s="1"/>
  <c r="AG1529" i="8"/>
  <c r="AF1529" i="8"/>
  <c r="AD1529" i="8"/>
  <c r="AE1529" i="8" s="1"/>
  <c r="AG1528" i="8"/>
  <c r="AF1528" i="8"/>
  <c r="AD1528" i="8"/>
  <c r="AE1528" i="8" s="1"/>
  <c r="AG1527" i="8"/>
  <c r="AF1527" i="8"/>
  <c r="AD1527" i="8"/>
  <c r="AE1527" i="8" s="1"/>
  <c r="AG1526" i="8"/>
  <c r="AF1526" i="8"/>
  <c r="AD1526" i="8"/>
  <c r="AE1526" i="8" s="1"/>
  <c r="AG1525" i="8"/>
  <c r="AF1525" i="8"/>
  <c r="AD1525" i="8"/>
  <c r="AE1525" i="8" s="1"/>
  <c r="AG1524" i="8"/>
  <c r="AF1524" i="8"/>
  <c r="AD1524" i="8"/>
  <c r="AE1524" i="8" s="1"/>
  <c r="AG1523" i="8"/>
  <c r="AF1523" i="8"/>
  <c r="AD1523" i="8"/>
  <c r="AE1523" i="8" s="1"/>
  <c r="AG1522" i="8"/>
  <c r="AF1522" i="8"/>
  <c r="AD1522" i="8"/>
  <c r="AE1522" i="8" s="1"/>
  <c r="AG1521" i="8"/>
  <c r="AF1521" i="8"/>
  <c r="AD1521" i="8"/>
  <c r="AE1521" i="8" s="1"/>
  <c r="AG1520" i="8"/>
  <c r="AF1520" i="8"/>
  <c r="AD1520" i="8"/>
  <c r="AE1520" i="8" s="1"/>
  <c r="AG1519" i="8"/>
  <c r="AF1519" i="8"/>
  <c r="AD1519" i="8"/>
  <c r="AE1519" i="8" s="1"/>
  <c r="AG1518" i="8"/>
  <c r="AF1518" i="8"/>
  <c r="AD1518" i="8"/>
  <c r="AE1518" i="8" s="1"/>
  <c r="AG1517" i="8"/>
  <c r="AF1517" i="8"/>
  <c r="AD1517" i="8"/>
  <c r="AE1517" i="8" s="1"/>
  <c r="AG1516" i="8"/>
  <c r="AF1516" i="8"/>
  <c r="AD1516" i="8"/>
  <c r="AE1516" i="8" s="1"/>
  <c r="AG1515" i="8"/>
  <c r="AF1515" i="8"/>
  <c r="AD1515" i="8"/>
  <c r="AE1515" i="8" s="1"/>
  <c r="AG1514" i="8"/>
  <c r="AF1514" i="8"/>
  <c r="AD1514" i="8"/>
  <c r="AE1514" i="8" s="1"/>
  <c r="AG1513" i="8"/>
  <c r="AF1513" i="8"/>
  <c r="AD1513" i="8"/>
  <c r="AE1513" i="8" s="1"/>
  <c r="AG1512" i="8"/>
  <c r="AF1512" i="8"/>
  <c r="AD1512" i="8"/>
  <c r="AE1512" i="8" s="1"/>
  <c r="AG1511" i="8"/>
  <c r="AF1511" i="8"/>
  <c r="AD1511" i="8"/>
  <c r="AE1511" i="8" s="1"/>
  <c r="AG1510" i="8"/>
  <c r="AF1510" i="8"/>
  <c r="AD1510" i="8"/>
  <c r="AE1510" i="8" s="1"/>
  <c r="AG1509" i="8"/>
  <c r="AF1509" i="8"/>
  <c r="AD1509" i="8"/>
  <c r="AE1509" i="8" s="1"/>
  <c r="AG1508" i="8"/>
  <c r="AF1508" i="8"/>
  <c r="AD1508" i="8"/>
  <c r="AE1508" i="8" s="1"/>
  <c r="AG1507" i="8"/>
  <c r="AF1507" i="8"/>
  <c r="AD1507" i="8"/>
  <c r="AE1507" i="8" s="1"/>
  <c r="AG1506" i="8"/>
  <c r="AF1506" i="8"/>
  <c r="AD1506" i="8"/>
  <c r="AE1506" i="8" s="1"/>
  <c r="AG1505" i="8"/>
  <c r="AF1505" i="8"/>
  <c r="AD1505" i="8"/>
  <c r="AE1505" i="8" s="1"/>
  <c r="AG1504" i="8"/>
  <c r="AF1504" i="8"/>
  <c r="AD1504" i="8"/>
  <c r="AE1504" i="8" s="1"/>
  <c r="AG1503" i="8"/>
  <c r="AF1503" i="8"/>
  <c r="AD1503" i="8"/>
  <c r="AE1503" i="8" s="1"/>
  <c r="AG1502" i="8"/>
  <c r="AF1502" i="8"/>
  <c r="AD1502" i="8"/>
  <c r="AE1502" i="8" s="1"/>
  <c r="AG1501" i="8"/>
  <c r="AF1501" i="8"/>
  <c r="AD1501" i="8"/>
  <c r="AE1501" i="8" s="1"/>
  <c r="AG1500" i="8"/>
  <c r="AF1500" i="8"/>
  <c r="AD1500" i="8"/>
  <c r="AE1500" i="8" s="1"/>
  <c r="AG1499" i="8"/>
  <c r="AF1499" i="8"/>
  <c r="AD1499" i="8"/>
  <c r="AE1499" i="8" s="1"/>
  <c r="AG1498" i="8"/>
  <c r="AF1498" i="8"/>
  <c r="AD1498" i="8"/>
  <c r="AE1498" i="8" s="1"/>
  <c r="AG1497" i="8"/>
  <c r="AF1497" i="8"/>
  <c r="AD1497" i="8"/>
  <c r="AE1497" i="8" s="1"/>
  <c r="AG1496" i="8"/>
  <c r="AF1496" i="8"/>
  <c r="AD1496" i="8"/>
  <c r="AE1496" i="8" s="1"/>
  <c r="AG1495" i="8"/>
  <c r="AF1495" i="8"/>
  <c r="AD1495" i="8"/>
  <c r="AE1495" i="8" s="1"/>
  <c r="AG1494" i="8"/>
  <c r="AF1494" i="8"/>
  <c r="AD1494" i="8"/>
  <c r="AE1494" i="8" s="1"/>
  <c r="AG1493" i="8"/>
  <c r="AF1493" i="8"/>
  <c r="AD1493" i="8"/>
  <c r="AE1493" i="8" s="1"/>
  <c r="AG1492" i="8"/>
  <c r="AF1492" i="8"/>
  <c r="AD1492" i="8"/>
  <c r="AE1492" i="8" s="1"/>
  <c r="AG1491" i="8"/>
  <c r="AF1491" i="8"/>
  <c r="AD1491" i="8"/>
  <c r="AE1491" i="8" s="1"/>
  <c r="AG1490" i="8"/>
  <c r="AF1490" i="8"/>
  <c r="AD1490" i="8"/>
  <c r="AE1490" i="8" s="1"/>
  <c r="AG1489" i="8"/>
  <c r="AF1489" i="8"/>
  <c r="AD1489" i="8"/>
  <c r="AE1489" i="8" s="1"/>
  <c r="AG1488" i="8"/>
  <c r="AF1488" i="8"/>
  <c r="AD1488" i="8"/>
  <c r="AE1488" i="8" s="1"/>
  <c r="AG1487" i="8"/>
  <c r="AF1487" i="8"/>
  <c r="AD1487" i="8"/>
  <c r="AE1487" i="8" s="1"/>
  <c r="AG1486" i="8"/>
  <c r="AF1486" i="8"/>
  <c r="AD1486" i="8"/>
  <c r="AE1486" i="8" s="1"/>
  <c r="AG1485" i="8"/>
  <c r="AF1485" i="8"/>
  <c r="AD1485" i="8"/>
  <c r="AE1485" i="8" s="1"/>
  <c r="AG1484" i="8"/>
  <c r="AF1484" i="8"/>
  <c r="AD1484" i="8"/>
  <c r="AE1484" i="8" s="1"/>
  <c r="AG1483" i="8"/>
  <c r="AF1483" i="8"/>
  <c r="AD1483" i="8"/>
  <c r="AE1483" i="8" s="1"/>
  <c r="AG1482" i="8"/>
  <c r="AF1482" i="8"/>
  <c r="AD1482" i="8"/>
  <c r="AE1482" i="8" s="1"/>
  <c r="AG1481" i="8"/>
  <c r="AF1481" i="8"/>
  <c r="AD1481" i="8"/>
  <c r="AE1481" i="8" s="1"/>
  <c r="AG1480" i="8"/>
  <c r="AF1480" i="8"/>
  <c r="AD1480" i="8"/>
  <c r="AE1480" i="8" s="1"/>
  <c r="AG1479" i="8"/>
  <c r="AF1479" i="8"/>
  <c r="AD1479" i="8"/>
  <c r="AE1479" i="8" s="1"/>
  <c r="AG1478" i="8"/>
  <c r="AF1478" i="8"/>
  <c r="AD1478" i="8"/>
  <c r="AE1478" i="8" s="1"/>
  <c r="AG1477" i="8"/>
  <c r="AF1477" i="8"/>
  <c r="AD1477" i="8"/>
  <c r="AE1477" i="8" s="1"/>
  <c r="AG1476" i="8"/>
  <c r="AF1476" i="8"/>
  <c r="AD1476" i="8"/>
  <c r="AE1476" i="8" s="1"/>
  <c r="AG1475" i="8"/>
  <c r="AF1475" i="8"/>
  <c r="AD1475" i="8"/>
  <c r="AE1475" i="8" s="1"/>
  <c r="AG1474" i="8"/>
  <c r="AF1474" i="8"/>
  <c r="AD1474" i="8"/>
  <c r="AE1474" i="8" s="1"/>
  <c r="AG1473" i="8"/>
  <c r="AF1473" i="8"/>
  <c r="AD1473" i="8"/>
  <c r="AE1473" i="8" s="1"/>
  <c r="AG1472" i="8"/>
  <c r="AF1472" i="8"/>
  <c r="AD1472" i="8"/>
  <c r="AE1472" i="8" s="1"/>
  <c r="AG1471" i="8"/>
  <c r="AF1471" i="8"/>
  <c r="AD1471" i="8"/>
  <c r="AE1471" i="8" s="1"/>
  <c r="AG1470" i="8"/>
  <c r="AF1470" i="8"/>
  <c r="AD1470" i="8"/>
  <c r="AE1470" i="8" s="1"/>
  <c r="AG1469" i="8"/>
  <c r="AF1469" i="8"/>
  <c r="AD1469" i="8"/>
  <c r="AE1469" i="8" s="1"/>
  <c r="AG1468" i="8"/>
  <c r="AF1468" i="8"/>
  <c r="AD1468" i="8"/>
  <c r="AE1468" i="8" s="1"/>
  <c r="AG1467" i="8"/>
  <c r="AF1467" i="8"/>
  <c r="AD1467" i="8"/>
  <c r="AE1467" i="8" s="1"/>
  <c r="AG1466" i="8"/>
  <c r="AF1466" i="8"/>
  <c r="AD1466" i="8"/>
  <c r="AE1466" i="8" s="1"/>
  <c r="AG1465" i="8"/>
  <c r="AF1465" i="8"/>
  <c r="AD1465" i="8"/>
  <c r="AE1465" i="8" s="1"/>
  <c r="AG1464" i="8"/>
  <c r="AF1464" i="8"/>
  <c r="AD1464" i="8"/>
  <c r="AE1464" i="8" s="1"/>
  <c r="AG1463" i="8"/>
  <c r="AF1463" i="8"/>
  <c r="AD1463" i="8"/>
  <c r="AE1463" i="8" s="1"/>
  <c r="AG1462" i="8"/>
  <c r="AF1462" i="8"/>
  <c r="AD1462" i="8"/>
  <c r="AE1462" i="8" s="1"/>
  <c r="AG1461" i="8"/>
  <c r="AF1461" i="8"/>
  <c r="AD1461" i="8"/>
  <c r="AE1461" i="8" s="1"/>
  <c r="AG1460" i="8"/>
  <c r="AF1460" i="8"/>
  <c r="AD1460" i="8"/>
  <c r="AE1460" i="8" s="1"/>
  <c r="AG1459" i="8"/>
  <c r="AF1459" i="8"/>
  <c r="AD1459" i="8"/>
  <c r="AE1459" i="8" s="1"/>
  <c r="AG1458" i="8"/>
  <c r="AF1458" i="8"/>
  <c r="AD1458" i="8"/>
  <c r="AE1458" i="8" s="1"/>
  <c r="AG1457" i="8"/>
  <c r="AF1457" i="8"/>
  <c r="AD1457" i="8"/>
  <c r="AE1457" i="8" s="1"/>
  <c r="AG1456" i="8"/>
  <c r="AF1456" i="8"/>
  <c r="AD1456" i="8"/>
  <c r="AE1456" i="8" s="1"/>
  <c r="AG1455" i="8"/>
  <c r="AF1455" i="8"/>
  <c r="AD1455" i="8"/>
  <c r="AE1455" i="8" s="1"/>
  <c r="AG1454" i="8"/>
  <c r="AF1454" i="8"/>
  <c r="AD1454" i="8"/>
  <c r="AE1454" i="8" s="1"/>
  <c r="AG1453" i="8"/>
  <c r="AF1453" i="8"/>
  <c r="AD1453" i="8"/>
  <c r="AE1453" i="8" s="1"/>
  <c r="AG1452" i="8"/>
  <c r="AF1452" i="8"/>
  <c r="AD1452" i="8"/>
  <c r="AE1452" i="8" s="1"/>
  <c r="AG1451" i="8"/>
  <c r="AF1451" i="8"/>
  <c r="AD1451" i="8"/>
  <c r="AE1451" i="8" s="1"/>
  <c r="AG1450" i="8"/>
  <c r="AF1450" i="8"/>
  <c r="AD1450" i="8"/>
  <c r="AE1450" i="8" s="1"/>
  <c r="AG1449" i="8"/>
  <c r="AF1449" i="8"/>
  <c r="AD1449" i="8"/>
  <c r="AE1449" i="8" s="1"/>
  <c r="AG1448" i="8"/>
  <c r="AF1448" i="8"/>
  <c r="AD1448" i="8"/>
  <c r="AE1448" i="8" s="1"/>
  <c r="AG1447" i="8"/>
  <c r="AF1447" i="8"/>
  <c r="AD1447" i="8"/>
  <c r="AE1447" i="8" s="1"/>
  <c r="AG1446" i="8"/>
  <c r="AF1446" i="8"/>
  <c r="AD1446" i="8"/>
  <c r="AE1446" i="8" s="1"/>
  <c r="AG1445" i="8"/>
  <c r="AF1445" i="8"/>
  <c r="AD1445" i="8"/>
  <c r="AE1445" i="8" s="1"/>
  <c r="AG1444" i="8"/>
  <c r="AF1444" i="8"/>
  <c r="AD1444" i="8"/>
  <c r="AE1444" i="8" s="1"/>
  <c r="AG1443" i="8"/>
  <c r="AF1443" i="8"/>
  <c r="AD1443" i="8"/>
  <c r="AE1443" i="8" s="1"/>
  <c r="AG1442" i="8"/>
  <c r="AF1442" i="8"/>
  <c r="AD1442" i="8"/>
  <c r="AE1442" i="8" s="1"/>
  <c r="AG1441" i="8"/>
  <c r="AF1441" i="8"/>
  <c r="AD1441" i="8"/>
  <c r="AE1441" i="8" s="1"/>
  <c r="AG1440" i="8"/>
  <c r="AF1440" i="8"/>
  <c r="AD1440" i="8"/>
  <c r="AE1440" i="8" s="1"/>
  <c r="AG1439" i="8"/>
  <c r="AF1439" i="8"/>
  <c r="AD1439" i="8"/>
  <c r="AE1439" i="8" s="1"/>
  <c r="AG1438" i="8"/>
  <c r="AF1438" i="8"/>
  <c r="AD1438" i="8"/>
  <c r="AE1438" i="8" s="1"/>
  <c r="AG1437" i="8"/>
  <c r="AF1437" i="8"/>
  <c r="AD1437" i="8"/>
  <c r="AE1437" i="8" s="1"/>
  <c r="AG1436" i="8"/>
  <c r="AF1436" i="8"/>
  <c r="AD1436" i="8"/>
  <c r="AE1436" i="8" s="1"/>
  <c r="AG1435" i="8"/>
  <c r="AF1435" i="8"/>
  <c r="AD1435" i="8"/>
  <c r="AE1435" i="8" s="1"/>
  <c r="AG1434" i="8"/>
  <c r="AF1434" i="8"/>
  <c r="AD1434" i="8"/>
  <c r="AE1434" i="8" s="1"/>
  <c r="AG1433" i="8"/>
  <c r="AF1433" i="8"/>
  <c r="AD1433" i="8"/>
  <c r="AE1433" i="8" s="1"/>
  <c r="AG1432" i="8"/>
  <c r="AF1432" i="8"/>
  <c r="AD1432" i="8"/>
  <c r="AE1432" i="8" s="1"/>
  <c r="AG1431" i="8"/>
  <c r="AF1431" i="8"/>
  <c r="AD1431" i="8"/>
  <c r="AE1431" i="8" s="1"/>
  <c r="AG1430" i="8"/>
  <c r="AF1430" i="8"/>
  <c r="AD1430" i="8"/>
  <c r="AE1430" i="8" s="1"/>
  <c r="AG1429" i="8"/>
  <c r="AF1429" i="8"/>
  <c r="AD1429" i="8"/>
  <c r="AE1429" i="8" s="1"/>
  <c r="AG1428" i="8"/>
  <c r="AF1428" i="8"/>
  <c r="AD1428" i="8"/>
  <c r="AE1428" i="8" s="1"/>
  <c r="AG1427" i="8"/>
  <c r="AF1427" i="8"/>
  <c r="AD1427" i="8"/>
  <c r="AE1427" i="8" s="1"/>
  <c r="AG1426" i="8"/>
  <c r="AF1426" i="8"/>
  <c r="AD1426" i="8"/>
  <c r="AE1426" i="8" s="1"/>
  <c r="AG1425" i="8"/>
  <c r="AF1425" i="8"/>
  <c r="AD1425" i="8"/>
  <c r="AE1425" i="8" s="1"/>
  <c r="AG1424" i="8"/>
  <c r="AF1424" i="8"/>
  <c r="AD1424" i="8"/>
  <c r="AE1424" i="8" s="1"/>
  <c r="AG1423" i="8"/>
  <c r="AF1423" i="8"/>
  <c r="AD1423" i="8"/>
  <c r="AE1423" i="8" s="1"/>
  <c r="AG1422" i="8"/>
  <c r="AF1422" i="8"/>
  <c r="AD1422" i="8"/>
  <c r="AE1422" i="8" s="1"/>
  <c r="AG1421" i="8"/>
  <c r="AF1421" i="8"/>
  <c r="AD1421" i="8"/>
  <c r="AE1421" i="8" s="1"/>
  <c r="AG1420" i="8"/>
  <c r="AF1420" i="8"/>
  <c r="AD1420" i="8"/>
  <c r="AE1420" i="8" s="1"/>
  <c r="AG1419" i="8"/>
  <c r="AF1419" i="8"/>
  <c r="AD1419" i="8"/>
  <c r="AE1419" i="8" s="1"/>
  <c r="AG1418" i="8"/>
  <c r="AF1418" i="8"/>
  <c r="AD1418" i="8"/>
  <c r="AE1418" i="8" s="1"/>
  <c r="AG1417" i="8"/>
  <c r="AF1417" i="8"/>
  <c r="AD1417" i="8"/>
  <c r="AE1417" i="8" s="1"/>
  <c r="AG1416" i="8"/>
  <c r="AF1416" i="8"/>
  <c r="AD1416" i="8"/>
  <c r="AE1416" i="8" s="1"/>
  <c r="AG1415" i="8"/>
  <c r="AF1415" i="8"/>
  <c r="AD1415" i="8"/>
  <c r="AE1415" i="8" s="1"/>
  <c r="AG1414" i="8"/>
  <c r="AF1414" i="8"/>
  <c r="AD1414" i="8"/>
  <c r="AE1414" i="8" s="1"/>
  <c r="AG1413" i="8"/>
  <c r="AF1413" i="8"/>
  <c r="AD1413" i="8"/>
  <c r="AE1413" i="8" s="1"/>
  <c r="AG1412" i="8"/>
  <c r="AF1412" i="8"/>
  <c r="AD1412" i="8"/>
  <c r="AE1412" i="8" s="1"/>
  <c r="AG1411" i="8"/>
  <c r="AF1411" i="8"/>
  <c r="AD1411" i="8"/>
  <c r="AE1411" i="8" s="1"/>
  <c r="AG1410" i="8"/>
  <c r="AF1410" i="8"/>
  <c r="AD1410" i="8"/>
  <c r="AE1410" i="8" s="1"/>
  <c r="AG1409" i="8"/>
  <c r="AF1409" i="8"/>
  <c r="AD1409" i="8"/>
  <c r="AE1409" i="8" s="1"/>
  <c r="AG1408" i="8"/>
  <c r="AF1408" i="8"/>
  <c r="AD1408" i="8"/>
  <c r="AE1408" i="8" s="1"/>
  <c r="AG1407" i="8"/>
  <c r="AF1407" i="8"/>
  <c r="AD1407" i="8"/>
  <c r="AE1407" i="8" s="1"/>
  <c r="AG1406" i="8"/>
  <c r="AF1406" i="8"/>
  <c r="AD1406" i="8"/>
  <c r="AE1406" i="8" s="1"/>
  <c r="AG1405" i="8"/>
  <c r="AF1405" i="8"/>
  <c r="AD1405" i="8"/>
  <c r="AE1405" i="8" s="1"/>
  <c r="AG1404" i="8"/>
  <c r="AF1404" i="8"/>
  <c r="AD1404" i="8"/>
  <c r="AE1404" i="8" s="1"/>
  <c r="AG1403" i="8"/>
  <c r="AF1403" i="8"/>
  <c r="AD1403" i="8"/>
  <c r="AE1403" i="8" s="1"/>
  <c r="AG1402" i="8"/>
  <c r="AF1402" i="8"/>
  <c r="AD1402" i="8"/>
  <c r="AE1402" i="8" s="1"/>
  <c r="AG1401" i="8"/>
  <c r="AF1401" i="8"/>
  <c r="AD1401" i="8"/>
  <c r="AE1401" i="8" s="1"/>
  <c r="AG1400" i="8"/>
  <c r="AF1400" i="8"/>
  <c r="AD1400" i="8"/>
  <c r="AE1400" i="8" s="1"/>
  <c r="AG1399" i="8"/>
  <c r="AF1399" i="8"/>
  <c r="AD1399" i="8"/>
  <c r="AE1399" i="8" s="1"/>
  <c r="AG1398" i="8"/>
  <c r="AF1398" i="8"/>
  <c r="AD1398" i="8"/>
  <c r="AE1398" i="8" s="1"/>
  <c r="AG1397" i="8"/>
  <c r="AF1397" i="8"/>
  <c r="AD1397" i="8"/>
  <c r="AE1397" i="8" s="1"/>
  <c r="AG1396" i="8"/>
  <c r="AF1396" i="8"/>
  <c r="AD1396" i="8"/>
  <c r="AE1396" i="8" s="1"/>
  <c r="AG1395" i="8"/>
  <c r="AF1395" i="8"/>
  <c r="AD1395" i="8"/>
  <c r="AE1395" i="8" s="1"/>
  <c r="AG1394" i="8"/>
  <c r="AF1394" i="8"/>
  <c r="AD1394" i="8"/>
  <c r="AE1394" i="8" s="1"/>
  <c r="AG1393" i="8"/>
  <c r="AF1393" i="8"/>
  <c r="AD1393" i="8"/>
  <c r="AE1393" i="8" s="1"/>
  <c r="AG1392" i="8"/>
  <c r="AF1392" i="8"/>
  <c r="AD1392" i="8"/>
  <c r="AE1392" i="8" s="1"/>
  <c r="AG1391" i="8"/>
  <c r="AF1391" i="8"/>
  <c r="AD1391" i="8"/>
  <c r="AE1391" i="8" s="1"/>
  <c r="AG1390" i="8"/>
  <c r="AF1390" i="8"/>
  <c r="AD1390" i="8"/>
  <c r="AE1390" i="8" s="1"/>
  <c r="AG1389" i="8"/>
  <c r="AF1389" i="8"/>
  <c r="AD1389" i="8"/>
  <c r="AE1389" i="8" s="1"/>
  <c r="AG1388" i="8"/>
  <c r="AF1388" i="8"/>
  <c r="AD1388" i="8"/>
  <c r="AE1388" i="8" s="1"/>
  <c r="AG1387" i="8"/>
  <c r="AF1387" i="8"/>
  <c r="AD1387" i="8"/>
  <c r="AE1387" i="8" s="1"/>
  <c r="AG1386" i="8"/>
  <c r="AF1386" i="8"/>
  <c r="AD1386" i="8"/>
  <c r="AE1386" i="8" s="1"/>
  <c r="AG1385" i="8"/>
  <c r="AF1385" i="8"/>
  <c r="AD1385" i="8"/>
  <c r="AE1385" i="8" s="1"/>
  <c r="AG1384" i="8"/>
  <c r="AF1384" i="8"/>
  <c r="AD1384" i="8"/>
  <c r="AE1384" i="8" s="1"/>
  <c r="AG1383" i="8"/>
  <c r="AF1383" i="8"/>
  <c r="AD1383" i="8"/>
  <c r="AE1383" i="8" s="1"/>
  <c r="AG1382" i="8"/>
  <c r="AF1382" i="8"/>
  <c r="AD1382" i="8"/>
  <c r="AE1382" i="8" s="1"/>
  <c r="AG1381" i="8"/>
  <c r="AF1381" i="8"/>
  <c r="AD1381" i="8"/>
  <c r="AE1381" i="8" s="1"/>
  <c r="AG1380" i="8"/>
  <c r="AF1380" i="8"/>
  <c r="AD1380" i="8"/>
  <c r="AE1380" i="8" s="1"/>
  <c r="AG1379" i="8"/>
  <c r="AF1379" i="8"/>
  <c r="AD1379" i="8"/>
  <c r="AE1379" i="8" s="1"/>
  <c r="AG1378" i="8"/>
  <c r="AF1378" i="8"/>
  <c r="AD1378" i="8"/>
  <c r="AE1378" i="8" s="1"/>
  <c r="AG1377" i="8"/>
  <c r="AF1377" i="8"/>
  <c r="AD1377" i="8"/>
  <c r="AE1377" i="8" s="1"/>
  <c r="AG1376" i="8"/>
  <c r="AF1376" i="8"/>
  <c r="AD1376" i="8"/>
  <c r="AE1376" i="8" s="1"/>
  <c r="AG1375" i="8"/>
  <c r="AF1375" i="8"/>
  <c r="AD1375" i="8"/>
  <c r="AE1375" i="8" s="1"/>
  <c r="AG1374" i="8"/>
  <c r="AF1374" i="8"/>
  <c r="AD1374" i="8"/>
  <c r="AE1374" i="8" s="1"/>
  <c r="AG1373" i="8"/>
  <c r="AF1373" i="8"/>
  <c r="AD1373" i="8"/>
  <c r="AE1373" i="8" s="1"/>
  <c r="AG1372" i="8"/>
  <c r="AF1372" i="8"/>
  <c r="AD1372" i="8"/>
  <c r="AE1372" i="8" s="1"/>
  <c r="AG1371" i="8"/>
  <c r="AF1371" i="8"/>
  <c r="AD1371" i="8"/>
  <c r="AE1371" i="8" s="1"/>
  <c r="AG1370" i="8"/>
  <c r="AF1370" i="8"/>
  <c r="AD1370" i="8"/>
  <c r="AE1370" i="8" s="1"/>
  <c r="AG1369" i="8"/>
  <c r="AF1369" i="8"/>
  <c r="AD1369" i="8"/>
  <c r="AE1369" i="8" s="1"/>
  <c r="AG1368" i="8"/>
  <c r="AF1368" i="8"/>
  <c r="AD1368" i="8"/>
  <c r="AE1368" i="8" s="1"/>
  <c r="AG1367" i="8"/>
  <c r="AF1367" i="8"/>
  <c r="AD1367" i="8"/>
  <c r="AE1367" i="8" s="1"/>
  <c r="AG1366" i="8"/>
  <c r="AF1366" i="8"/>
  <c r="AD1366" i="8"/>
  <c r="AE1366" i="8" s="1"/>
  <c r="AG1365" i="8"/>
  <c r="AF1365" i="8"/>
  <c r="AD1365" i="8"/>
  <c r="AE1365" i="8" s="1"/>
  <c r="AG1364" i="8"/>
  <c r="AF1364" i="8"/>
  <c r="AD1364" i="8"/>
  <c r="AE1364" i="8" s="1"/>
  <c r="AG1363" i="8"/>
  <c r="AF1363" i="8"/>
  <c r="AD1363" i="8"/>
  <c r="AE1363" i="8" s="1"/>
  <c r="AG1362" i="8"/>
  <c r="AF1362" i="8"/>
  <c r="AD1362" i="8"/>
  <c r="AE1362" i="8" s="1"/>
  <c r="AG1361" i="8"/>
  <c r="AF1361" i="8"/>
  <c r="AD1361" i="8"/>
  <c r="AE1361" i="8" s="1"/>
  <c r="AG1360" i="8"/>
  <c r="AF1360" i="8"/>
  <c r="AD1360" i="8"/>
  <c r="AE1360" i="8" s="1"/>
  <c r="AG1359" i="8"/>
  <c r="AF1359" i="8"/>
  <c r="AD1359" i="8"/>
  <c r="AE1359" i="8" s="1"/>
  <c r="AG1358" i="8"/>
  <c r="AF1358" i="8"/>
  <c r="AD1358" i="8"/>
  <c r="AE1358" i="8" s="1"/>
  <c r="AG1357" i="8"/>
  <c r="AF1357" i="8"/>
  <c r="AD1357" i="8"/>
  <c r="AE1357" i="8" s="1"/>
  <c r="AG1356" i="8"/>
  <c r="AF1356" i="8"/>
  <c r="AD1356" i="8"/>
  <c r="AE1356" i="8" s="1"/>
  <c r="AG1355" i="8"/>
  <c r="AF1355" i="8"/>
  <c r="AD1355" i="8"/>
  <c r="AE1355" i="8" s="1"/>
  <c r="AG1354" i="8"/>
  <c r="AF1354" i="8"/>
  <c r="AD1354" i="8"/>
  <c r="AE1354" i="8" s="1"/>
  <c r="AG1353" i="8"/>
  <c r="AF1353" i="8"/>
  <c r="AD1353" i="8"/>
  <c r="AE1353" i="8" s="1"/>
  <c r="AG1352" i="8"/>
  <c r="AF1352" i="8"/>
  <c r="AD1352" i="8"/>
  <c r="AE1352" i="8" s="1"/>
  <c r="AG1351" i="8"/>
  <c r="AF1351" i="8"/>
  <c r="AD1351" i="8"/>
  <c r="AE1351" i="8" s="1"/>
  <c r="AG1350" i="8"/>
  <c r="AF1350" i="8"/>
  <c r="AD1350" i="8"/>
  <c r="AE1350" i="8" s="1"/>
  <c r="AG1349" i="8"/>
  <c r="AF1349" i="8"/>
  <c r="AD1349" i="8"/>
  <c r="AE1349" i="8" s="1"/>
  <c r="AG1348" i="8"/>
  <c r="AF1348" i="8"/>
  <c r="AD1348" i="8"/>
  <c r="AE1348" i="8" s="1"/>
  <c r="AG1347" i="8"/>
  <c r="AF1347" i="8"/>
  <c r="AD1347" i="8"/>
  <c r="AE1347" i="8" s="1"/>
  <c r="AG1346" i="8"/>
  <c r="AF1346" i="8"/>
  <c r="AD1346" i="8"/>
  <c r="AE1346" i="8" s="1"/>
  <c r="AG1345" i="8"/>
  <c r="AF1345" i="8"/>
  <c r="AD1345" i="8"/>
  <c r="AE1345" i="8" s="1"/>
  <c r="AG1344" i="8"/>
  <c r="AF1344" i="8"/>
  <c r="AD1344" i="8"/>
  <c r="AE1344" i="8" s="1"/>
  <c r="AG1343" i="8"/>
  <c r="AF1343" i="8"/>
  <c r="AD1343" i="8"/>
  <c r="AE1343" i="8" s="1"/>
  <c r="AG1342" i="8"/>
  <c r="AF1342" i="8"/>
  <c r="AD1342" i="8"/>
  <c r="AE1342" i="8" s="1"/>
  <c r="AG1341" i="8"/>
  <c r="AF1341" i="8"/>
  <c r="AD1341" i="8"/>
  <c r="AE1341" i="8" s="1"/>
  <c r="AG1340" i="8"/>
  <c r="AF1340" i="8"/>
  <c r="AD1340" i="8"/>
  <c r="AE1340" i="8" s="1"/>
  <c r="AG1339" i="8"/>
  <c r="AF1339" i="8"/>
  <c r="AD1339" i="8"/>
  <c r="AE1339" i="8" s="1"/>
  <c r="AG1338" i="8"/>
  <c r="AF1338" i="8"/>
  <c r="AD1338" i="8"/>
  <c r="AE1338" i="8" s="1"/>
  <c r="AG1337" i="8"/>
  <c r="AF1337" i="8"/>
  <c r="AD1337" i="8"/>
  <c r="AE1337" i="8" s="1"/>
  <c r="AG1336" i="8"/>
  <c r="AF1336" i="8"/>
  <c r="AD1336" i="8"/>
  <c r="AE1336" i="8" s="1"/>
  <c r="AG1335" i="8"/>
  <c r="AF1335" i="8"/>
  <c r="AD1335" i="8"/>
  <c r="AE1335" i="8" s="1"/>
  <c r="AG1334" i="8"/>
  <c r="AF1334" i="8"/>
  <c r="AD1334" i="8"/>
  <c r="AE1334" i="8" s="1"/>
  <c r="AG1333" i="8"/>
  <c r="AF1333" i="8"/>
  <c r="AD1333" i="8"/>
  <c r="AE1333" i="8" s="1"/>
  <c r="AG1332" i="8"/>
  <c r="AF1332" i="8"/>
  <c r="AD1332" i="8"/>
  <c r="AE1332" i="8" s="1"/>
  <c r="AG1331" i="8"/>
  <c r="AF1331" i="8"/>
  <c r="AD1331" i="8"/>
  <c r="AE1331" i="8" s="1"/>
  <c r="AG1330" i="8"/>
  <c r="AF1330" i="8"/>
  <c r="AD1330" i="8"/>
  <c r="AE1330" i="8" s="1"/>
  <c r="AG1329" i="8"/>
  <c r="AF1329" i="8"/>
  <c r="AD1329" i="8"/>
  <c r="AE1329" i="8" s="1"/>
  <c r="AG1328" i="8"/>
  <c r="AF1328" i="8"/>
  <c r="AD1328" i="8"/>
  <c r="AE1328" i="8" s="1"/>
  <c r="AG1327" i="8"/>
  <c r="AF1327" i="8"/>
  <c r="AD1327" i="8"/>
  <c r="AE1327" i="8" s="1"/>
  <c r="AG1326" i="8"/>
  <c r="AF1326" i="8"/>
  <c r="AD1326" i="8"/>
  <c r="AE1326" i="8" s="1"/>
  <c r="AG1325" i="8"/>
  <c r="AF1325" i="8"/>
  <c r="AD1325" i="8"/>
  <c r="AE1325" i="8" s="1"/>
  <c r="AG1324" i="8"/>
  <c r="AF1324" i="8"/>
  <c r="AD1324" i="8"/>
  <c r="AE1324" i="8" s="1"/>
  <c r="AG1323" i="8"/>
  <c r="AF1323" i="8"/>
  <c r="AD1323" i="8"/>
  <c r="AE1323" i="8" s="1"/>
  <c r="AG1322" i="8"/>
  <c r="AF1322" i="8"/>
  <c r="AD1322" i="8"/>
  <c r="AE1322" i="8" s="1"/>
  <c r="AG1321" i="8"/>
  <c r="AF1321" i="8"/>
  <c r="AD1321" i="8"/>
  <c r="AE1321" i="8" s="1"/>
  <c r="AG1320" i="8"/>
  <c r="AF1320" i="8"/>
  <c r="AD1320" i="8"/>
  <c r="AE1320" i="8" s="1"/>
  <c r="AG1319" i="8"/>
  <c r="AF1319" i="8"/>
  <c r="AD1319" i="8"/>
  <c r="AE1319" i="8" s="1"/>
  <c r="AG1318" i="8"/>
  <c r="AF1318" i="8"/>
  <c r="AD1318" i="8"/>
  <c r="AE1318" i="8" s="1"/>
  <c r="AG1317" i="8"/>
  <c r="AF1317" i="8"/>
  <c r="AD1317" i="8"/>
  <c r="AE1317" i="8" s="1"/>
  <c r="AG1316" i="8"/>
  <c r="AF1316" i="8"/>
  <c r="AD1316" i="8"/>
  <c r="AE1316" i="8" s="1"/>
  <c r="AG1315" i="8"/>
  <c r="AF1315" i="8"/>
  <c r="AD1315" i="8"/>
  <c r="AE1315" i="8" s="1"/>
  <c r="AG1314" i="8"/>
  <c r="AF1314" i="8"/>
  <c r="AD1314" i="8"/>
  <c r="AE1314" i="8" s="1"/>
  <c r="AG1313" i="8"/>
  <c r="AF1313" i="8"/>
  <c r="AD1313" i="8"/>
  <c r="AE1313" i="8" s="1"/>
  <c r="AG1312" i="8"/>
  <c r="AF1312" i="8"/>
  <c r="AD1312" i="8"/>
  <c r="AE1312" i="8" s="1"/>
  <c r="AG1311" i="8"/>
  <c r="AF1311" i="8"/>
  <c r="AD1311" i="8"/>
  <c r="AE1311" i="8" s="1"/>
  <c r="AG1310" i="8"/>
  <c r="AF1310" i="8"/>
  <c r="AD1310" i="8"/>
  <c r="AE1310" i="8" s="1"/>
  <c r="AG1309" i="8"/>
  <c r="AF1309" i="8"/>
  <c r="AD1309" i="8"/>
  <c r="AE1309" i="8" s="1"/>
  <c r="AG1308" i="8"/>
  <c r="AF1308" i="8"/>
  <c r="AD1308" i="8"/>
  <c r="AE1308" i="8" s="1"/>
  <c r="AG1307" i="8"/>
  <c r="AF1307" i="8"/>
  <c r="AD1307" i="8"/>
  <c r="AE1307" i="8" s="1"/>
  <c r="AG1306" i="8"/>
  <c r="AF1306" i="8"/>
  <c r="AD1306" i="8"/>
  <c r="AE1306" i="8" s="1"/>
  <c r="AG1305" i="8"/>
  <c r="AF1305" i="8"/>
  <c r="AD1305" i="8"/>
  <c r="AE1305" i="8" s="1"/>
  <c r="AG1304" i="8"/>
  <c r="AF1304" i="8"/>
  <c r="AD1304" i="8"/>
  <c r="AE1304" i="8" s="1"/>
  <c r="AG1303" i="8"/>
  <c r="AF1303" i="8"/>
  <c r="AD1303" i="8"/>
  <c r="AE1303" i="8" s="1"/>
  <c r="AG1302" i="8"/>
  <c r="AF1302" i="8"/>
  <c r="AD1302" i="8"/>
  <c r="AE1302" i="8" s="1"/>
  <c r="AG1301" i="8"/>
  <c r="AF1301" i="8"/>
  <c r="AD1301" i="8"/>
  <c r="AE1301" i="8" s="1"/>
  <c r="AG1300" i="8"/>
  <c r="AF1300" i="8"/>
  <c r="AD1300" i="8"/>
  <c r="AE1300" i="8" s="1"/>
  <c r="AG1299" i="8"/>
  <c r="AF1299" i="8"/>
  <c r="AD1299" i="8"/>
  <c r="AE1299" i="8" s="1"/>
  <c r="AG1298" i="8"/>
  <c r="AF1298" i="8"/>
  <c r="AD1298" i="8"/>
  <c r="AE1298" i="8" s="1"/>
  <c r="AG1297" i="8"/>
  <c r="AF1297" i="8"/>
  <c r="AD1297" i="8"/>
  <c r="AE1297" i="8" s="1"/>
  <c r="AG1296" i="8"/>
  <c r="AF1296" i="8"/>
  <c r="AD1296" i="8"/>
  <c r="AE1296" i="8" s="1"/>
  <c r="AG1295" i="8"/>
  <c r="AF1295" i="8"/>
  <c r="AD1295" i="8"/>
  <c r="AE1295" i="8" s="1"/>
  <c r="AG1294" i="8"/>
  <c r="AF1294" i="8"/>
  <c r="AD1294" i="8"/>
  <c r="AE1294" i="8" s="1"/>
  <c r="AG1293" i="8"/>
  <c r="AF1293" i="8"/>
  <c r="AD1293" i="8"/>
  <c r="AE1293" i="8" s="1"/>
  <c r="AG1292" i="8"/>
  <c r="AF1292" i="8"/>
  <c r="AD1292" i="8"/>
  <c r="AE1292" i="8" s="1"/>
  <c r="AG1291" i="8"/>
  <c r="AF1291" i="8"/>
  <c r="AD1291" i="8"/>
  <c r="AE1291" i="8" s="1"/>
  <c r="AG1290" i="8"/>
  <c r="AF1290" i="8"/>
  <c r="AD1290" i="8"/>
  <c r="AE1290" i="8" s="1"/>
  <c r="AG1289" i="8"/>
  <c r="AF1289" i="8"/>
  <c r="AD1289" i="8"/>
  <c r="AE1289" i="8" s="1"/>
  <c r="AG1288" i="8"/>
  <c r="AF1288" i="8"/>
  <c r="AD1288" i="8"/>
  <c r="AE1288" i="8" s="1"/>
  <c r="AG1287" i="8"/>
  <c r="AF1287" i="8"/>
  <c r="AD1287" i="8"/>
  <c r="AE1287" i="8" s="1"/>
  <c r="AG1286" i="8"/>
  <c r="AF1286" i="8"/>
  <c r="AD1286" i="8"/>
  <c r="AE1286" i="8" s="1"/>
  <c r="AG1285" i="8"/>
  <c r="AF1285" i="8"/>
  <c r="AD1285" i="8"/>
  <c r="AE1285" i="8" s="1"/>
  <c r="AG1284" i="8"/>
  <c r="AF1284" i="8"/>
  <c r="AD1284" i="8"/>
  <c r="AE1284" i="8" s="1"/>
  <c r="AG1283" i="8"/>
  <c r="AF1283" i="8"/>
  <c r="AD1283" i="8"/>
  <c r="AE1283" i="8" s="1"/>
  <c r="AG1282" i="8"/>
  <c r="AF1282" i="8"/>
  <c r="AD1282" i="8"/>
  <c r="AE1282" i="8" s="1"/>
  <c r="AG1281" i="8"/>
  <c r="AF1281" i="8"/>
  <c r="AD1281" i="8"/>
  <c r="AE1281" i="8" s="1"/>
  <c r="AG1280" i="8"/>
  <c r="AF1280" i="8"/>
  <c r="AD1280" i="8"/>
  <c r="AE1280" i="8" s="1"/>
  <c r="AG1279" i="8"/>
  <c r="AF1279" i="8"/>
  <c r="AD1279" i="8"/>
  <c r="AE1279" i="8" s="1"/>
  <c r="AG1278" i="8"/>
  <c r="AF1278" i="8"/>
  <c r="AD1278" i="8"/>
  <c r="AE1278" i="8" s="1"/>
  <c r="AG1277" i="8"/>
  <c r="AF1277" i="8"/>
  <c r="AD1277" i="8"/>
  <c r="AE1277" i="8" s="1"/>
  <c r="AG1276" i="8"/>
  <c r="AF1276" i="8"/>
  <c r="AD1276" i="8"/>
  <c r="AE1276" i="8" s="1"/>
  <c r="AG1275" i="8"/>
  <c r="AF1275" i="8"/>
  <c r="AD1275" i="8"/>
  <c r="AE1275" i="8" s="1"/>
  <c r="AG1274" i="8"/>
  <c r="AF1274" i="8"/>
  <c r="AD1274" i="8"/>
  <c r="AE1274" i="8" s="1"/>
  <c r="AG1273" i="8"/>
  <c r="AF1273" i="8"/>
  <c r="AD1273" i="8"/>
  <c r="AE1273" i="8" s="1"/>
  <c r="AG1272" i="8"/>
  <c r="AF1272" i="8"/>
  <c r="AD1272" i="8"/>
  <c r="AE1272" i="8" s="1"/>
  <c r="AG1271" i="8"/>
  <c r="AF1271" i="8"/>
  <c r="AD1271" i="8"/>
  <c r="AE1271" i="8" s="1"/>
  <c r="AG1270" i="8"/>
  <c r="AF1270" i="8"/>
  <c r="AD1270" i="8"/>
  <c r="AE1270" i="8" s="1"/>
  <c r="AG1269" i="8"/>
  <c r="AF1269" i="8"/>
  <c r="AD1269" i="8"/>
  <c r="AE1269" i="8" s="1"/>
  <c r="AG1268" i="8"/>
  <c r="AF1268" i="8"/>
  <c r="AD1268" i="8"/>
  <c r="AE1268" i="8" s="1"/>
  <c r="AG1267" i="8"/>
  <c r="AF1267" i="8"/>
  <c r="AD1267" i="8"/>
  <c r="AE1267" i="8" s="1"/>
  <c r="AG1266" i="8"/>
  <c r="AF1266" i="8"/>
  <c r="AD1266" i="8"/>
  <c r="AE1266" i="8" s="1"/>
  <c r="AG1265" i="8"/>
  <c r="AF1265" i="8"/>
  <c r="AD1265" i="8"/>
  <c r="AE1265" i="8" s="1"/>
  <c r="AG1264" i="8"/>
  <c r="AF1264" i="8"/>
  <c r="AD1264" i="8"/>
  <c r="AE1264" i="8" s="1"/>
  <c r="AG1263" i="8"/>
  <c r="AF1263" i="8"/>
  <c r="AD1263" i="8"/>
  <c r="AE1263" i="8" s="1"/>
  <c r="AG1262" i="8"/>
  <c r="AF1262" i="8"/>
  <c r="AD1262" i="8"/>
  <c r="AE1262" i="8" s="1"/>
  <c r="AG1261" i="8"/>
  <c r="AF1261" i="8"/>
  <c r="AD1261" i="8"/>
  <c r="AE1261" i="8" s="1"/>
  <c r="AG1260" i="8"/>
  <c r="AF1260" i="8"/>
  <c r="AD1260" i="8"/>
  <c r="AE1260" i="8" s="1"/>
  <c r="AG1259" i="8"/>
  <c r="AF1259" i="8"/>
  <c r="AD1259" i="8"/>
  <c r="AE1259" i="8" s="1"/>
  <c r="AG1258" i="8"/>
  <c r="AF1258" i="8"/>
  <c r="AD1258" i="8"/>
  <c r="AE1258" i="8" s="1"/>
  <c r="AG1257" i="8"/>
  <c r="AF1257" i="8"/>
  <c r="AD1257" i="8"/>
  <c r="AE1257" i="8" s="1"/>
  <c r="AG1256" i="8"/>
  <c r="AF1256" i="8"/>
  <c r="AD1256" i="8"/>
  <c r="AE1256" i="8" s="1"/>
  <c r="AG1255" i="8"/>
  <c r="AF1255" i="8"/>
  <c r="AD1255" i="8"/>
  <c r="AE1255" i="8" s="1"/>
  <c r="AG1254" i="8"/>
  <c r="AF1254" i="8"/>
  <c r="AD1254" i="8"/>
  <c r="AE1254" i="8" s="1"/>
  <c r="AG1253" i="8"/>
  <c r="AF1253" i="8"/>
  <c r="AD1253" i="8"/>
  <c r="AE1253" i="8" s="1"/>
  <c r="AG1252" i="8"/>
  <c r="AF1252" i="8"/>
  <c r="AD1252" i="8"/>
  <c r="AE1252" i="8" s="1"/>
  <c r="AG1251" i="8"/>
  <c r="AF1251" i="8"/>
  <c r="AD1251" i="8"/>
  <c r="AE1251" i="8" s="1"/>
  <c r="AG1250" i="8"/>
  <c r="AF1250" i="8"/>
  <c r="AD1250" i="8"/>
  <c r="AE1250" i="8" s="1"/>
  <c r="AG1249" i="8"/>
  <c r="AF1249" i="8"/>
  <c r="AD1249" i="8"/>
  <c r="AE1249" i="8" s="1"/>
  <c r="AG1248" i="8"/>
  <c r="AF1248" i="8"/>
  <c r="AD1248" i="8"/>
  <c r="AE1248" i="8" s="1"/>
  <c r="AG1247" i="8"/>
  <c r="AF1247" i="8"/>
  <c r="AD1247" i="8"/>
  <c r="AE1247" i="8" s="1"/>
  <c r="AG1246" i="8"/>
  <c r="AF1246" i="8"/>
  <c r="AD1246" i="8"/>
  <c r="AE1246" i="8" s="1"/>
  <c r="AG1245" i="8"/>
  <c r="AF1245" i="8"/>
  <c r="AD1245" i="8"/>
  <c r="AE1245" i="8" s="1"/>
  <c r="AG1244" i="8"/>
  <c r="AF1244" i="8"/>
  <c r="AD1244" i="8"/>
  <c r="AE1244" i="8" s="1"/>
  <c r="AG1243" i="8"/>
  <c r="AF1243" i="8"/>
  <c r="AD1243" i="8"/>
  <c r="AE1243" i="8" s="1"/>
  <c r="AG1242" i="8"/>
  <c r="AF1242" i="8"/>
  <c r="AD1242" i="8"/>
  <c r="AE1242" i="8" s="1"/>
  <c r="AG1241" i="8"/>
  <c r="AF1241" i="8"/>
  <c r="AD1241" i="8"/>
  <c r="AE1241" i="8" s="1"/>
  <c r="AG1240" i="8"/>
  <c r="AF1240" i="8"/>
  <c r="AD1240" i="8"/>
  <c r="AE1240" i="8" s="1"/>
  <c r="AG1239" i="8"/>
  <c r="AF1239" i="8"/>
  <c r="AD1239" i="8"/>
  <c r="AE1239" i="8" s="1"/>
  <c r="AG1238" i="8"/>
  <c r="AF1238" i="8"/>
  <c r="AD1238" i="8"/>
  <c r="AE1238" i="8" s="1"/>
  <c r="AG1237" i="8"/>
  <c r="AF1237" i="8"/>
  <c r="AD1237" i="8"/>
  <c r="AE1237" i="8" s="1"/>
  <c r="AG1236" i="8"/>
  <c r="AF1236" i="8"/>
  <c r="AD1236" i="8"/>
  <c r="AE1236" i="8" s="1"/>
  <c r="AG1235" i="8"/>
  <c r="AF1235" i="8"/>
  <c r="AD1235" i="8"/>
  <c r="AE1235" i="8" s="1"/>
  <c r="AG1234" i="8"/>
  <c r="AF1234" i="8"/>
  <c r="AD1234" i="8"/>
  <c r="AE1234" i="8" s="1"/>
  <c r="AG1233" i="8"/>
  <c r="AF1233" i="8"/>
  <c r="AD1233" i="8"/>
  <c r="AE1233" i="8" s="1"/>
  <c r="AG1232" i="8"/>
  <c r="AF1232" i="8"/>
  <c r="AD1232" i="8"/>
  <c r="AE1232" i="8" s="1"/>
  <c r="AG1231" i="8"/>
  <c r="AF1231" i="8"/>
  <c r="AD1231" i="8"/>
  <c r="AE1231" i="8" s="1"/>
  <c r="AG1230" i="8"/>
  <c r="AF1230" i="8"/>
  <c r="AD1230" i="8"/>
  <c r="AE1230" i="8" s="1"/>
  <c r="AG1229" i="8"/>
  <c r="AF1229" i="8"/>
  <c r="AD1229" i="8"/>
  <c r="AE1229" i="8" s="1"/>
  <c r="AG1228" i="8"/>
  <c r="AF1228" i="8"/>
  <c r="AD1228" i="8"/>
  <c r="AE1228" i="8" s="1"/>
  <c r="AG1227" i="8"/>
  <c r="AF1227" i="8"/>
  <c r="AD1227" i="8"/>
  <c r="AE1227" i="8" s="1"/>
  <c r="AG1226" i="8"/>
  <c r="AF1226" i="8"/>
  <c r="AD1226" i="8"/>
  <c r="AE1226" i="8" s="1"/>
  <c r="AG1225" i="8"/>
  <c r="AF1225" i="8"/>
  <c r="AD1225" i="8"/>
  <c r="AE1225" i="8" s="1"/>
  <c r="AG1224" i="8"/>
  <c r="AF1224" i="8"/>
  <c r="AD1224" i="8"/>
  <c r="AE1224" i="8" s="1"/>
  <c r="AG1223" i="8"/>
  <c r="AF1223" i="8"/>
  <c r="AD1223" i="8"/>
  <c r="AE1223" i="8" s="1"/>
  <c r="AG1222" i="8"/>
  <c r="AF1222" i="8"/>
  <c r="AD1222" i="8"/>
  <c r="AE1222" i="8" s="1"/>
  <c r="AG1221" i="8"/>
  <c r="AF1221" i="8"/>
  <c r="AD1221" i="8"/>
  <c r="AE1221" i="8" s="1"/>
  <c r="AG1220" i="8"/>
  <c r="AF1220" i="8"/>
  <c r="AD1220" i="8"/>
  <c r="AE1220" i="8" s="1"/>
  <c r="AG1219" i="8"/>
  <c r="AF1219" i="8"/>
  <c r="AD1219" i="8"/>
  <c r="AE1219" i="8" s="1"/>
  <c r="AG1218" i="8"/>
  <c r="AF1218" i="8"/>
  <c r="AD1218" i="8"/>
  <c r="AE1218" i="8" s="1"/>
  <c r="AG1217" i="8"/>
  <c r="AF1217" i="8"/>
  <c r="AD1217" i="8"/>
  <c r="AE1217" i="8" s="1"/>
  <c r="AG1216" i="8"/>
  <c r="AF1216" i="8"/>
  <c r="AD1216" i="8"/>
  <c r="AE1216" i="8" s="1"/>
  <c r="AG1215" i="8"/>
  <c r="AF1215" i="8"/>
  <c r="AD1215" i="8"/>
  <c r="AE1215" i="8" s="1"/>
  <c r="AG1214" i="8"/>
  <c r="AF1214" i="8"/>
  <c r="AD1214" i="8"/>
  <c r="AE1214" i="8" s="1"/>
  <c r="AG1213" i="8"/>
  <c r="AF1213" i="8"/>
  <c r="AD1213" i="8"/>
  <c r="AE1213" i="8" s="1"/>
  <c r="AG1212" i="8"/>
  <c r="AF1212" i="8"/>
  <c r="AD1212" i="8"/>
  <c r="AE1212" i="8" s="1"/>
  <c r="AG1211" i="8"/>
  <c r="AF1211" i="8"/>
  <c r="AD1211" i="8"/>
  <c r="AE1211" i="8" s="1"/>
  <c r="AG1210" i="8"/>
  <c r="AF1210" i="8"/>
  <c r="AD1210" i="8"/>
  <c r="AE1210" i="8" s="1"/>
  <c r="AG1209" i="8"/>
  <c r="AF1209" i="8"/>
  <c r="AD1209" i="8"/>
  <c r="AE1209" i="8" s="1"/>
  <c r="AG1208" i="8"/>
  <c r="AF1208" i="8"/>
  <c r="AD1208" i="8"/>
  <c r="AE1208" i="8" s="1"/>
  <c r="AG1207" i="8"/>
  <c r="AF1207" i="8"/>
  <c r="AD1207" i="8"/>
  <c r="AE1207" i="8" s="1"/>
  <c r="AG1206" i="8"/>
  <c r="AF1206" i="8"/>
  <c r="AD1206" i="8"/>
  <c r="AE1206" i="8" s="1"/>
  <c r="AG1205" i="8"/>
  <c r="AF1205" i="8"/>
  <c r="AD1205" i="8"/>
  <c r="AE1205" i="8" s="1"/>
  <c r="AG1204" i="8"/>
  <c r="AF1204" i="8"/>
  <c r="AD1204" i="8"/>
  <c r="AE1204" i="8" s="1"/>
  <c r="AG1203" i="8"/>
  <c r="AF1203" i="8"/>
  <c r="AD1203" i="8"/>
  <c r="AE1203" i="8" s="1"/>
  <c r="AG1202" i="8"/>
  <c r="AF1202" i="8"/>
  <c r="AD1202" i="8"/>
  <c r="AE1202" i="8" s="1"/>
  <c r="AG1201" i="8"/>
  <c r="AF1201" i="8"/>
  <c r="AD1201" i="8"/>
  <c r="AE1201" i="8" s="1"/>
  <c r="AG1200" i="8"/>
  <c r="AF1200" i="8"/>
  <c r="AD1200" i="8"/>
  <c r="AE1200" i="8" s="1"/>
  <c r="AG1199" i="8"/>
  <c r="AF1199" i="8"/>
  <c r="AD1199" i="8"/>
  <c r="AE1199" i="8" s="1"/>
  <c r="AG1198" i="8"/>
  <c r="AF1198" i="8"/>
  <c r="AD1198" i="8"/>
  <c r="AE1198" i="8" s="1"/>
  <c r="AG1197" i="8"/>
  <c r="AF1197" i="8"/>
  <c r="AD1197" i="8"/>
  <c r="AE1197" i="8" s="1"/>
  <c r="AG1196" i="8"/>
  <c r="AF1196" i="8"/>
  <c r="AD1196" i="8"/>
  <c r="AE1196" i="8" s="1"/>
  <c r="AG1195" i="8"/>
  <c r="AF1195" i="8"/>
  <c r="AD1195" i="8"/>
  <c r="AE1195" i="8" s="1"/>
  <c r="AG1194" i="8"/>
  <c r="AF1194" i="8"/>
  <c r="AD1194" i="8"/>
  <c r="AE1194" i="8" s="1"/>
  <c r="AG1193" i="8"/>
  <c r="AF1193" i="8"/>
  <c r="AD1193" i="8"/>
  <c r="AE1193" i="8" s="1"/>
  <c r="AG1192" i="8"/>
  <c r="AF1192" i="8"/>
  <c r="AD1192" i="8"/>
  <c r="AE1192" i="8" s="1"/>
  <c r="AG1191" i="8"/>
  <c r="AF1191" i="8"/>
  <c r="AD1191" i="8"/>
  <c r="AE1191" i="8" s="1"/>
  <c r="AG1190" i="8"/>
  <c r="AF1190" i="8"/>
  <c r="AD1190" i="8"/>
  <c r="AE1190" i="8" s="1"/>
  <c r="AG1189" i="8"/>
  <c r="AF1189" i="8"/>
  <c r="AD1189" i="8"/>
  <c r="AE1189" i="8" s="1"/>
  <c r="AG1188" i="8"/>
  <c r="AF1188" i="8"/>
  <c r="AD1188" i="8"/>
  <c r="AE1188" i="8" s="1"/>
  <c r="AG1187" i="8"/>
  <c r="AF1187" i="8"/>
  <c r="AD1187" i="8"/>
  <c r="AE1187" i="8" s="1"/>
  <c r="AG1186" i="8"/>
  <c r="AF1186" i="8"/>
  <c r="AD1186" i="8"/>
  <c r="AE1186" i="8" s="1"/>
  <c r="AG1185" i="8"/>
  <c r="AF1185" i="8"/>
  <c r="AD1185" i="8"/>
  <c r="AE1185" i="8" s="1"/>
  <c r="AG1184" i="8"/>
  <c r="AF1184" i="8"/>
  <c r="AD1184" i="8"/>
  <c r="AE1184" i="8" s="1"/>
  <c r="AG1183" i="8"/>
  <c r="AF1183" i="8"/>
  <c r="AD1183" i="8"/>
  <c r="AE1183" i="8" s="1"/>
  <c r="AG1182" i="8"/>
  <c r="AF1182" i="8"/>
  <c r="AD1182" i="8"/>
  <c r="AE1182" i="8" s="1"/>
  <c r="AG1181" i="8"/>
  <c r="AF1181" i="8"/>
  <c r="AD1181" i="8"/>
  <c r="AE1181" i="8" s="1"/>
  <c r="AG1180" i="8"/>
  <c r="AF1180" i="8"/>
  <c r="AD1180" i="8"/>
  <c r="AE1180" i="8" s="1"/>
  <c r="AG1179" i="8"/>
  <c r="AF1179" i="8"/>
  <c r="AD1179" i="8"/>
  <c r="AE1179" i="8" s="1"/>
  <c r="AG1178" i="8"/>
  <c r="AF1178" i="8"/>
  <c r="AD1178" i="8"/>
  <c r="AE1178" i="8" s="1"/>
  <c r="AG1177" i="8"/>
  <c r="AF1177" i="8"/>
  <c r="AD1177" i="8"/>
  <c r="AE1177" i="8" s="1"/>
  <c r="AG1176" i="8"/>
  <c r="AF1176" i="8"/>
  <c r="AD1176" i="8"/>
  <c r="AE1176" i="8" s="1"/>
  <c r="AG1175" i="8"/>
  <c r="AF1175" i="8"/>
  <c r="AD1175" i="8"/>
  <c r="AE1175" i="8" s="1"/>
  <c r="AG1174" i="8"/>
  <c r="AF1174" i="8"/>
  <c r="AD1174" i="8"/>
  <c r="AE1174" i="8" s="1"/>
  <c r="AG1173" i="8"/>
  <c r="AF1173" i="8"/>
  <c r="AD1173" i="8"/>
  <c r="AE1173" i="8" s="1"/>
  <c r="AG1172" i="8"/>
  <c r="AF1172" i="8"/>
  <c r="AD1172" i="8"/>
  <c r="AE1172" i="8" s="1"/>
  <c r="AG1171" i="8"/>
  <c r="AF1171" i="8"/>
  <c r="AD1171" i="8"/>
  <c r="AE1171" i="8" s="1"/>
  <c r="AG1170" i="8"/>
  <c r="AF1170" i="8"/>
  <c r="AD1170" i="8"/>
  <c r="AE1170" i="8" s="1"/>
  <c r="AG1169" i="8"/>
  <c r="AF1169" i="8"/>
  <c r="AD1169" i="8"/>
  <c r="AE1169" i="8" s="1"/>
  <c r="AG1168" i="8"/>
  <c r="AF1168" i="8"/>
  <c r="AD1168" i="8"/>
  <c r="AE1168" i="8" s="1"/>
  <c r="AG1167" i="8"/>
  <c r="AF1167" i="8"/>
  <c r="AD1167" i="8"/>
  <c r="AE1167" i="8" s="1"/>
  <c r="AG1166" i="8"/>
  <c r="AF1166" i="8"/>
  <c r="AD1166" i="8"/>
  <c r="AE1166" i="8" s="1"/>
  <c r="AG1165" i="8"/>
  <c r="AF1165" i="8"/>
  <c r="AD1165" i="8"/>
  <c r="AE1165" i="8" s="1"/>
  <c r="AG1164" i="8"/>
  <c r="AF1164" i="8"/>
  <c r="AD1164" i="8"/>
  <c r="AE1164" i="8" s="1"/>
  <c r="AG1163" i="8"/>
  <c r="AF1163" i="8"/>
  <c r="AD1163" i="8"/>
  <c r="AE1163" i="8" s="1"/>
  <c r="AG1162" i="8"/>
  <c r="AF1162" i="8"/>
  <c r="AD1162" i="8"/>
  <c r="AE1162" i="8" s="1"/>
  <c r="AG1161" i="8"/>
  <c r="AF1161" i="8"/>
  <c r="AD1161" i="8"/>
  <c r="AE1161" i="8" s="1"/>
  <c r="AG1160" i="8"/>
  <c r="AF1160" i="8"/>
  <c r="AD1160" i="8"/>
  <c r="AE1160" i="8" s="1"/>
  <c r="AG1159" i="8"/>
  <c r="AF1159" i="8"/>
  <c r="AD1159" i="8"/>
  <c r="AE1159" i="8" s="1"/>
  <c r="AG1158" i="8"/>
  <c r="AF1158" i="8"/>
  <c r="AD1158" i="8"/>
  <c r="AE1158" i="8" s="1"/>
  <c r="AG1157" i="8"/>
  <c r="AF1157" i="8"/>
  <c r="AD1157" i="8"/>
  <c r="AE1157" i="8" s="1"/>
  <c r="AG1156" i="8"/>
  <c r="AF1156" i="8"/>
  <c r="AD1156" i="8"/>
  <c r="AE1156" i="8" s="1"/>
  <c r="AG1155" i="8"/>
  <c r="AF1155" i="8"/>
  <c r="AD1155" i="8"/>
  <c r="AE1155" i="8" s="1"/>
  <c r="AG1154" i="8"/>
  <c r="AF1154" i="8"/>
  <c r="AD1154" i="8"/>
  <c r="AE1154" i="8" s="1"/>
  <c r="AG1153" i="8"/>
  <c r="AF1153" i="8"/>
  <c r="AD1153" i="8"/>
  <c r="AE1153" i="8" s="1"/>
  <c r="AG1152" i="8"/>
  <c r="AF1152" i="8"/>
  <c r="AD1152" i="8"/>
  <c r="AE1152" i="8" s="1"/>
  <c r="AG1151" i="8"/>
  <c r="AF1151" i="8"/>
  <c r="AD1151" i="8"/>
  <c r="AE1151" i="8" s="1"/>
  <c r="AG1150" i="8"/>
  <c r="AF1150" i="8"/>
  <c r="AD1150" i="8"/>
  <c r="AE1150" i="8" s="1"/>
  <c r="AG1149" i="8"/>
  <c r="AF1149" i="8"/>
  <c r="AD1149" i="8"/>
  <c r="AE1149" i="8" s="1"/>
  <c r="AG1148" i="8"/>
  <c r="AF1148" i="8"/>
  <c r="AD1148" i="8"/>
  <c r="AE1148" i="8" s="1"/>
  <c r="AG1147" i="8"/>
  <c r="AF1147" i="8"/>
  <c r="AD1147" i="8"/>
  <c r="AE1147" i="8" s="1"/>
  <c r="AG1146" i="8"/>
  <c r="AF1146" i="8"/>
  <c r="AD1146" i="8"/>
  <c r="AE1146" i="8" s="1"/>
  <c r="AG1145" i="8"/>
  <c r="AF1145" i="8"/>
  <c r="AD1145" i="8"/>
  <c r="AE1145" i="8" s="1"/>
  <c r="AG1144" i="8"/>
  <c r="AF1144" i="8"/>
  <c r="AD1144" i="8"/>
  <c r="AE1144" i="8" s="1"/>
  <c r="AG1143" i="8"/>
  <c r="AF1143" i="8"/>
  <c r="AD1143" i="8"/>
  <c r="AE1143" i="8" s="1"/>
  <c r="AG1142" i="8"/>
  <c r="AF1142" i="8"/>
  <c r="AD1142" i="8"/>
  <c r="AE1142" i="8" s="1"/>
  <c r="AG1141" i="8"/>
  <c r="AF1141" i="8"/>
  <c r="AD1141" i="8"/>
  <c r="AE1141" i="8" s="1"/>
  <c r="AG1140" i="8"/>
  <c r="AF1140" i="8"/>
  <c r="AD1140" i="8"/>
  <c r="AE1140" i="8" s="1"/>
  <c r="AG1139" i="8"/>
  <c r="AF1139" i="8"/>
  <c r="AD1139" i="8"/>
  <c r="AE1139" i="8" s="1"/>
  <c r="AG1138" i="8"/>
  <c r="AF1138" i="8"/>
  <c r="AD1138" i="8"/>
  <c r="AE1138" i="8" s="1"/>
  <c r="AG1137" i="8"/>
  <c r="AF1137" i="8"/>
  <c r="AD1137" i="8"/>
  <c r="AE1137" i="8" s="1"/>
  <c r="AG1136" i="8"/>
  <c r="AF1136" i="8"/>
  <c r="AD1136" i="8"/>
  <c r="AE1136" i="8" s="1"/>
  <c r="AG1135" i="8"/>
  <c r="AF1135" i="8"/>
  <c r="AD1135" i="8"/>
  <c r="AE1135" i="8" s="1"/>
  <c r="AG1134" i="8"/>
  <c r="AF1134" i="8"/>
  <c r="AD1134" i="8"/>
  <c r="AE1134" i="8" s="1"/>
  <c r="AG1133" i="8"/>
  <c r="AF1133" i="8"/>
  <c r="AD1133" i="8"/>
  <c r="AE1133" i="8" s="1"/>
  <c r="AG1132" i="8"/>
  <c r="AF1132" i="8"/>
  <c r="AD1132" i="8"/>
  <c r="AE1132" i="8" s="1"/>
  <c r="AG1131" i="8"/>
  <c r="AF1131" i="8"/>
  <c r="AD1131" i="8"/>
  <c r="AE1131" i="8" s="1"/>
  <c r="AG1130" i="8"/>
  <c r="AF1130" i="8"/>
  <c r="AD1130" i="8"/>
  <c r="AE1130" i="8" s="1"/>
  <c r="AG1129" i="8"/>
  <c r="AF1129" i="8"/>
  <c r="AD1129" i="8"/>
  <c r="AE1129" i="8" s="1"/>
  <c r="AG1128" i="8"/>
  <c r="AF1128" i="8"/>
  <c r="AD1128" i="8"/>
  <c r="AE1128" i="8" s="1"/>
  <c r="AG1127" i="8"/>
  <c r="AF1127" i="8"/>
  <c r="AD1127" i="8"/>
  <c r="AE1127" i="8" s="1"/>
  <c r="AG1126" i="8"/>
  <c r="AF1126" i="8"/>
  <c r="AD1126" i="8"/>
  <c r="AE1126" i="8" s="1"/>
  <c r="AG1125" i="8"/>
  <c r="AF1125" i="8"/>
  <c r="AD1125" i="8"/>
  <c r="AE1125" i="8" s="1"/>
  <c r="AG1124" i="8"/>
  <c r="AF1124" i="8"/>
  <c r="AD1124" i="8"/>
  <c r="AE1124" i="8" s="1"/>
  <c r="AG1123" i="8"/>
  <c r="AF1123" i="8"/>
  <c r="AD1123" i="8"/>
  <c r="AE1123" i="8" s="1"/>
  <c r="AG1122" i="8"/>
  <c r="AF1122" i="8"/>
  <c r="AD1122" i="8"/>
  <c r="AE1122" i="8" s="1"/>
  <c r="AG1121" i="8"/>
  <c r="AF1121" i="8"/>
  <c r="AD1121" i="8"/>
  <c r="AE1121" i="8" s="1"/>
  <c r="AG1120" i="8"/>
  <c r="AF1120" i="8"/>
  <c r="AD1120" i="8"/>
  <c r="AE1120" i="8" s="1"/>
  <c r="AG1119" i="8"/>
  <c r="AF1119" i="8"/>
  <c r="AD1119" i="8"/>
  <c r="AE1119" i="8" s="1"/>
  <c r="AG1118" i="8"/>
  <c r="AF1118" i="8"/>
  <c r="AD1118" i="8"/>
  <c r="AE1118" i="8" s="1"/>
  <c r="AG1117" i="8"/>
  <c r="AF1117" i="8"/>
  <c r="AD1117" i="8"/>
  <c r="AE1117" i="8" s="1"/>
  <c r="AG1116" i="8"/>
  <c r="AF1116" i="8"/>
  <c r="AD1116" i="8"/>
  <c r="AE1116" i="8" s="1"/>
  <c r="AG1115" i="8"/>
  <c r="AF1115" i="8"/>
  <c r="AD1115" i="8"/>
  <c r="AE1115" i="8" s="1"/>
  <c r="AG1114" i="8"/>
  <c r="AF1114" i="8"/>
  <c r="AD1114" i="8"/>
  <c r="AE1114" i="8" s="1"/>
  <c r="AG1113" i="8"/>
  <c r="AF1113" i="8"/>
  <c r="AD1113" i="8"/>
  <c r="AE1113" i="8" s="1"/>
  <c r="AG1112" i="8"/>
  <c r="AF1112" i="8"/>
  <c r="AD1112" i="8"/>
  <c r="AE1112" i="8" s="1"/>
  <c r="AG1111" i="8"/>
  <c r="AF1111" i="8"/>
  <c r="AD1111" i="8"/>
  <c r="AE1111" i="8" s="1"/>
  <c r="AG1110" i="8"/>
  <c r="AF1110" i="8"/>
  <c r="AD1110" i="8"/>
  <c r="AE1110" i="8" s="1"/>
  <c r="AG1109" i="8"/>
  <c r="AF1109" i="8"/>
  <c r="AD1109" i="8"/>
  <c r="AE1109" i="8" s="1"/>
  <c r="AG1108" i="8"/>
  <c r="AF1108" i="8"/>
  <c r="AD1108" i="8"/>
  <c r="AE1108" i="8" s="1"/>
  <c r="AG1107" i="8"/>
  <c r="AF1107" i="8"/>
  <c r="AD1107" i="8"/>
  <c r="AE1107" i="8" s="1"/>
  <c r="AG1106" i="8"/>
  <c r="AF1106" i="8"/>
  <c r="AD1106" i="8"/>
  <c r="AE1106" i="8" s="1"/>
  <c r="AG1105" i="8"/>
  <c r="AF1105" i="8"/>
  <c r="AD1105" i="8"/>
  <c r="AE1105" i="8" s="1"/>
  <c r="AG1104" i="8"/>
  <c r="AF1104" i="8"/>
  <c r="AD1104" i="8"/>
  <c r="AE1104" i="8" s="1"/>
  <c r="AG1103" i="8"/>
  <c r="AF1103" i="8"/>
  <c r="AD1103" i="8"/>
  <c r="AE1103" i="8" s="1"/>
  <c r="AG1102" i="8"/>
  <c r="AF1102" i="8"/>
  <c r="AD1102" i="8"/>
  <c r="AE1102" i="8" s="1"/>
  <c r="AG1101" i="8"/>
  <c r="AF1101" i="8"/>
  <c r="AD1101" i="8"/>
  <c r="AE1101" i="8" s="1"/>
  <c r="AG1100" i="8"/>
  <c r="AF1100" i="8"/>
  <c r="AD1100" i="8"/>
  <c r="AE1100" i="8" s="1"/>
  <c r="AG1099" i="8"/>
  <c r="AF1099" i="8"/>
  <c r="AD1099" i="8"/>
  <c r="AE1099" i="8" s="1"/>
  <c r="AG1098" i="8"/>
  <c r="AF1098" i="8"/>
  <c r="AD1098" i="8"/>
  <c r="AE1098" i="8" s="1"/>
  <c r="AG1097" i="8"/>
  <c r="AF1097" i="8"/>
  <c r="AD1097" i="8"/>
  <c r="AE1097" i="8" s="1"/>
  <c r="AG1096" i="8"/>
  <c r="AF1096" i="8"/>
  <c r="AD1096" i="8"/>
  <c r="AE1096" i="8" s="1"/>
  <c r="AG1095" i="8"/>
  <c r="AF1095" i="8"/>
  <c r="AD1095" i="8"/>
  <c r="AE1095" i="8" s="1"/>
  <c r="AG1094" i="8"/>
  <c r="AF1094" i="8"/>
  <c r="AD1094" i="8"/>
  <c r="AE1094" i="8" s="1"/>
  <c r="AG1093" i="8"/>
  <c r="AF1093" i="8"/>
  <c r="AD1093" i="8"/>
  <c r="AE1093" i="8" s="1"/>
  <c r="AG1092" i="8"/>
  <c r="AF1092" i="8"/>
  <c r="AD1092" i="8"/>
  <c r="AE1092" i="8" s="1"/>
  <c r="AG1091" i="8"/>
  <c r="AF1091" i="8"/>
  <c r="AD1091" i="8"/>
  <c r="AE1091" i="8" s="1"/>
  <c r="AG1090" i="8"/>
  <c r="AF1090" i="8"/>
  <c r="AD1090" i="8"/>
  <c r="AE1090" i="8" s="1"/>
  <c r="AG1089" i="8"/>
  <c r="AF1089" i="8"/>
  <c r="AD1089" i="8"/>
  <c r="AE1089" i="8" s="1"/>
  <c r="AG1088" i="8"/>
  <c r="AF1088" i="8"/>
  <c r="AD1088" i="8"/>
  <c r="AE1088" i="8" s="1"/>
  <c r="AG1087" i="8"/>
  <c r="AF1087" i="8"/>
  <c r="AD1087" i="8"/>
  <c r="AE1087" i="8" s="1"/>
  <c r="AG1086" i="8"/>
  <c r="AF1086" i="8"/>
  <c r="AD1086" i="8"/>
  <c r="AE1086" i="8" s="1"/>
  <c r="AG1085" i="8"/>
  <c r="AF1085" i="8"/>
  <c r="AD1085" i="8"/>
  <c r="AE1085" i="8" s="1"/>
  <c r="AG1084" i="8"/>
  <c r="AF1084" i="8"/>
  <c r="AD1084" i="8"/>
  <c r="AE1084" i="8" s="1"/>
  <c r="AG1083" i="8"/>
  <c r="AF1083" i="8"/>
  <c r="AD1083" i="8"/>
  <c r="AE1083" i="8" s="1"/>
  <c r="AG1082" i="8"/>
  <c r="AF1082" i="8"/>
  <c r="AD1082" i="8"/>
  <c r="AE1082" i="8" s="1"/>
  <c r="AG1081" i="8"/>
  <c r="AF1081" i="8"/>
  <c r="AD1081" i="8"/>
  <c r="AE1081" i="8" s="1"/>
  <c r="AG1080" i="8"/>
  <c r="AF1080" i="8"/>
  <c r="AD1080" i="8"/>
  <c r="AE1080" i="8" s="1"/>
  <c r="AG1079" i="8"/>
  <c r="AF1079" i="8"/>
  <c r="AD1079" i="8"/>
  <c r="AE1079" i="8" s="1"/>
  <c r="AG1078" i="8"/>
  <c r="AF1078" i="8"/>
  <c r="AD1078" i="8"/>
  <c r="AE1078" i="8" s="1"/>
  <c r="AG1077" i="8"/>
  <c r="AF1077" i="8"/>
  <c r="AD1077" i="8"/>
  <c r="AE1077" i="8" s="1"/>
  <c r="AG1076" i="8"/>
  <c r="AF1076" i="8"/>
  <c r="AD1076" i="8"/>
  <c r="AE1076" i="8" s="1"/>
  <c r="AG1075" i="8"/>
  <c r="AF1075" i="8"/>
  <c r="AD1075" i="8"/>
  <c r="AE1075" i="8" s="1"/>
  <c r="AG1074" i="8"/>
  <c r="AF1074" i="8"/>
  <c r="AD1074" i="8"/>
  <c r="AE1074" i="8" s="1"/>
  <c r="AG1073" i="8"/>
  <c r="AF1073" i="8"/>
  <c r="AD1073" i="8"/>
  <c r="AE1073" i="8" s="1"/>
  <c r="AG1072" i="8"/>
  <c r="AF1072" i="8"/>
  <c r="AD1072" i="8"/>
  <c r="AE1072" i="8" s="1"/>
  <c r="AG1071" i="8"/>
  <c r="AF1071" i="8"/>
  <c r="AD1071" i="8"/>
  <c r="AE1071" i="8" s="1"/>
  <c r="AG1070" i="8"/>
  <c r="AF1070" i="8"/>
  <c r="AD1070" i="8"/>
  <c r="AE1070" i="8" s="1"/>
  <c r="AG1069" i="8"/>
  <c r="AF1069" i="8"/>
  <c r="AD1069" i="8"/>
  <c r="AE1069" i="8" s="1"/>
  <c r="AG1068" i="8"/>
  <c r="AF1068" i="8"/>
  <c r="AD1068" i="8"/>
  <c r="AE1068" i="8" s="1"/>
  <c r="AG1067" i="8"/>
  <c r="AF1067" i="8"/>
  <c r="AD1067" i="8"/>
  <c r="AE1067" i="8" s="1"/>
  <c r="AG1066" i="8"/>
  <c r="AF1066" i="8"/>
  <c r="AD1066" i="8"/>
  <c r="AE1066" i="8" s="1"/>
  <c r="AG1065" i="8"/>
  <c r="AF1065" i="8"/>
  <c r="AD1065" i="8"/>
  <c r="AE1065" i="8" s="1"/>
  <c r="AG1064" i="8"/>
  <c r="AF1064" i="8"/>
  <c r="AD1064" i="8"/>
  <c r="AE1064" i="8" s="1"/>
  <c r="AG1063" i="8"/>
  <c r="AF1063" i="8"/>
  <c r="AD1063" i="8"/>
  <c r="AE1063" i="8" s="1"/>
  <c r="AG1062" i="8"/>
  <c r="AF1062" i="8"/>
  <c r="AD1062" i="8"/>
  <c r="AE1062" i="8" s="1"/>
  <c r="AG1061" i="8"/>
  <c r="AF1061" i="8"/>
  <c r="AD1061" i="8"/>
  <c r="AE1061" i="8" s="1"/>
  <c r="AG1060" i="8"/>
  <c r="AF1060" i="8"/>
  <c r="AD1060" i="8"/>
  <c r="AE1060" i="8" s="1"/>
  <c r="AG1059" i="8"/>
  <c r="AF1059" i="8"/>
  <c r="AD1059" i="8"/>
  <c r="AE1059" i="8" s="1"/>
  <c r="AG1058" i="8"/>
  <c r="AF1058" i="8"/>
  <c r="AD1058" i="8"/>
  <c r="AE1058" i="8" s="1"/>
  <c r="AG1057" i="8"/>
  <c r="AF1057" i="8"/>
  <c r="AD1057" i="8"/>
  <c r="AE1057" i="8" s="1"/>
  <c r="AG1056" i="8"/>
  <c r="AF1056" i="8"/>
  <c r="AD1056" i="8"/>
  <c r="AE1056" i="8" s="1"/>
  <c r="AG1055" i="8"/>
  <c r="AF1055" i="8"/>
  <c r="AD1055" i="8"/>
  <c r="AE1055" i="8" s="1"/>
  <c r="AG1054" i="8"/>
  <c r="AF1054" i="8"/>
  <c r="AD1054" i="8"/>
  <c r="AE1054" i="8" s="1"/>
  <c r="AG1053" i="8"/>
  <c r="AF1053" i="8"/>
  <c r="AD1053" i="8"/>
  <c r="AE1053" i="8" s="1"/>
  <c r="AG1052" i="8"/>
  <c r="AF1052" i="8"/>
  <c r="AD1052" i="8"/>
  <c r="AE1052" i="8" s="1"/>
  <c r="AG1051" i="8"/>
  <c r="AF1051" i="8"/>
  <c r="AD1051" i="8"/>
  <c r="AE1051" i="8" s="1"/>
  <c r="AG1050" i="8"/>
  <c r="AF1050" i="8"/>
  <c r="AD1050" i="8"/>
  <c r="AE1050" i="8" s="1"/>
  <c r="AG1049" i="8"/>
  <c r="AF1049" i="8"/>
  <c r="AD1049" i="8"/>
  <c r="AE1049" i="8" s="1"/>
  <c r="AG1048" i="8"/>
  <c r="AF1048" i="8"/>
  <c r="AD1048" i="8"/>
  <c r="AE1048" i="8" s="1"/>
  <c r="AG1047" i="8"/>
  <c r="AF1047" i="8"/>
  <c r="AD1047" i="8"/>
  <c r="AE1047" i="8" s="1"/>
  <c r="AG1046" i="8"/>
  <c r="AF1046" i="8"/>
  <c r="AD1046" i="8"/>
  <c r="AE1046" i="8" s="1"/>
  <c r="AG1045" i="8"/>
  <c r="AF1045" i="8"/>
  <c r="AD1045" i="8"/>
  <c r="AE1045" i="8" s="1"/>
  <c r="AG1044" i="8"/>
  <c r="AF1044" i="8"/>
  <c r="AD1044" i="8"/>
  <c r="AE1044" i="8" s="1"/>
  <c r="AG1043" i="8"/>
  <c r="AF1043" i="8"/>
  <c r="AD1043" i="8"/>
  <c r="AE1043" i="8" s="1"/>
  <c r="AG1042" i="8"/>
  <c r="AF1042" i="8"/>
  <c r="AD1042" i="8"/>
  <c r="AE1042" i="8" s="1"/>
  <c r="AG1041" i="8"/>
  <c r="AF1041" i="8"/>
  <c r="AD1041" i="8"/>
  <c r="AE1041" i="8" s="1"/>
  <c r="AG1040" i="8"/>
  <c r="AF1040" i="8"/>
  <c r="AD1040" i="8"/>
  <c r="AE1040" i="8" s="1"/>
  <c r="AG1039" i="8"/>
  <c r="AF1039" i="8"/>
  <c r="AD1039" i="8"/>
  <c r="AE1039" i="8" s="1"/>
  <c r="AG1038" i="8"/>
  <c r="AF1038" i="8"/>
  <c r="AD1038" i="8"/>
  <c r="AE1038" i="8" s="1"/>
  <c r="AG1037" i="8"/>
  <c r="AF1037" i="8"/>
  <c r="AD1037" i="8"/>
  <c r="AE1037" i="8" s="1"/>
  <c r="AG1036" i="8"/>
  <c r="AF1036" i="8"/>
  <c r="AD1036" i="8"/>
  <c r="AE1036" i="8" s="1"/>
  <c r="AG1035" i="8"/>
  <c r="AF1035" i="8"/>
  <c r="AD1035" i="8"/>
  <c r="AE1035" i="8" s="1"/>
  <c r="AG1034" i="8"/>
  <c r="AF1034" i="8"/>
  <c r="AD1034" i="8"/>
  <c r="AE1034" i="8" s="1"/>
  <c r="AG1033" i="8"/>
  <c r="AF1033" i="8"/>
  <c r="AD1033" i="8"/>
  <c r="AE1033" i="8" s="1"/>
  <c r="AG1032" i="8"/>
  <c r="AF1032" i="8"/>
  <c r="AD1032" i="8"/>
  <c r="AE1032" i="8" s="1"/>
  <c r="AG1031" i="8"/>
  <c r="AF1031" i="8"/>
  <c r="AD1031" i="8"/>
  <c r="AE1031" i="8" s="1"/>
  <c r="AG1030" i="8"/>
  <c r="AF1030" i="8"/>
  <c r="AD1030" i="8"/>
  <c r="AE1030" i="8" s="1"/>
  <c r="AG1029" i="8"/>
  <c r="AF1029" i="8"/>
  <c r="AD1029" i="8"/>
  <c r="AE1029" i="8" s="1"/>
  <c r="AG1028" i="8"/>
  <c r="AF1028" i="8"/>
  <c r="AD1028" i="8"/>
  <c r="AE1028" i="8" s="1"/>
  <c r="AG1027" i="8"/>
  <c r="AF1027" i="8"/>
  <c r="AD1027" i="8"/>
  <c r="AE1027" i="8" s="1"/>
  <c r="AG1026" i="8"/>
  <c r="AF1026" i="8"/>
  <c r="AD1026" i="8"/>
  <c r="AE1026" i="8" s="1"/>
  <c r="AG1025" i="8"/>
  <c r="AF1025" i="8"/>
  <c r="AD1025" i="8"/>
  <c r="AE1025" i="8" s="1"/>
  <c r="AG1024" i="8"/>
  <c r="AF1024" i="8"/>
  <c r="AD1024" i="8"/>
  <c r="AE1024" i="8" s="1"/>
  <c r="AG1023" i="8"/>
  <c r="AF1023" i="8"/>
  <c r="AD1023" i="8"/>
  <c r="AE1023" i="8" s="1"/>
  <c r="AG1022" i="8"/>
  <c r="AF1022" i="8"/>
  <c r="AD1022" i="8"/>
  <c r="AE1022" i="8" s="1"/>
  <c r="AG1021" i="8"/>
  <c r="AF1021" i="8"/>
  <c r="AD1021" i="8"/>
  <c r="AE1021" i="8" s="1"/>
  <c r="AG1020" i="8"/>
  <c r="AF1020" i="8"/>
  <c r="AD1020" i="8"/>
  <c r="AE1020" i="8" s="1"/>
  <c r="AG1019" i="8"/>
  <c r="AF1019" i="8"/>
  <c r="AD1019" i="8"/>
  <c r="AE1019" i="8" s="1"/>
  <c r="AG1018" i="8"/>
  <c r="AF1018" i="8"/>
  <c r="AD1018" i="8"/>
  <c r="AE1018" i="8" s="1"/>
  <c r="AG1017" i="8"/>
  <c r="AF1017" i="8"/>
  <c r="AD1017" i="8"/>
  <c r="AE1017" i="8" s="1"/>
  <c r="AG1016" i="8"/>
  <c r="AF1016" i="8"/>
  <c r="AD1016" i="8"/>
  <c r="AE1016" i="8" s="1"/>
  <c r="AG1015" i="8"/>
  <c r="AF1015" i="8"/>
  <c r="AD1015" i="8"/>
  <c r="AE1015" i="8" s="1"/>
  <c r="AG1014" i="8"/>
  <c r="AF1014" i="8"/>
  <c r="AD1014" i="8"/>
  <c r="AE1014" i="8" s="1"/>
  <c r="AG1013" i="8"/>
  <c r="AF1013" i="8"/>
  <c r="AD1013" i="8"/>
  <c r="AE1013" i="8" s="1"/>
  <c r="AG1012" i="8"/>
  <c r="AF1012" i="8"/>
  <c r="AD1012" i="8"/>
  <c r="AE1012" i="8" s="1"/>
  <c r="AG1011" i="8"/>
  <c r="AF1011" i="8"/>
  <c r="AD1011" i="8"/>
  <c r="AE1011" i="8" s="1"/>
  <c r="AG1010" i="8"/>
  <c r="AF1010" i="8"/>
  <c r="AD1010" i="8"/>
  <c r="AE1010" i="8" s="1"/>
  <c r="AG1009" i="8"/>
  <c r="AF1009" i="8"/>
  <c r="AD1009" i="8"/>
  <c r="AE1009" i="8" s="1"/>
  <c r="AG1008" i="8"/>
  <c r="AF1008" i="8"/>
  <c r="AD1008" i="8"/>
  <c r="AE1008" i="8" s="1"/>
  <c r="AG1007" i="8"/>
  <c r="AF1007" i="8"/>
  <c r="AD1007" i="8"/>
  <c r="AE1007" i="8" s="1"/>
  <c r="AG1006" i="8"/>
  <c r="AF1006" i="8"/>
  <c r="AD1006" i="8"/>
  <c r="AE1006" i="8" s="1"/>
  <c r="AG1005" i="8"/>
  <c r="AF1005" i="8"/>
  <c r="AD1005" i="8"/>
  <c r="AE1005" i="8" s="1"/>
  <c r="AG1004" i="8"/>
  <c r="AF1004" i="8"/>
  <c r="AD1004" i="8"/>
  <c r="AE1004" i="8" s="1"/>
  <c r="AG1003" i="8"/>
  <c r="AF1003" i="8"/>
  <c r="AD1003" i="8"/>
  <c r="AE1003" i="8" s="1"/>
  <c r="AG1002" i="8"/>
  <c r="AF1002" i="8"/>
  <c r="AD1002" i="8"/>
  <c r="AE1002" i="8" s="1"/>
  <c r="AG1001" i="8"/>
  <c r="AF1001" i="8"/>
  <c r="AD1001" i="8"/>
  <c r="AE1001" i="8" s="1"/>
  <c r="AG1000" i="8"/>
  <c r="AF1000" i="8"/>
  <c r="AD1000" i="8"/>
  <c r="AE1000" i="8" s="1"/>
  <c r="AG999" i="8"/>
  <c r="AF999" i="8"/>
  <c r="AD999" i="8"/>
  <c r="AE999" i="8" s="1"/>
  <c r="AG998" i="8"/>
  <c r="AF998" i="8"/>
  <c r="AD998" i="8"/>
  <c r="AE998" i="8" s="1"/>
  <c r="AG997" i="8"/>
  <c r="AF997" i="8"/>
  <c r="AD997" i="8"/>
  <c r="AE997" i="8" s="1"/>
  <c r="AG996" i="8"/>
  <c r="AF996" i="8"/>
  <c r="AD996" i="8"/>
  <c r="AE996" i="8" s="1"/>
  <c r="AG995" i="8"/>
  <c r="AF995" i="8"/>
  <c r="AD995" i="8"/>
  <c r="AE995" i="8" s="1"/>
  <c r="AG994" i="8"/>
  <c r="AF994" i="8"/>
  <c r="AD994" i="8"/>
  <c r="AE994" i="8" s="1"/>
  <c r="AG993" i="8"/>
  <c r="AF993" i="8"/>
  <c r="AD993" i="8"/>
  <c r="AE993" i="8" s="1"/>
  <c r="AG992" i="8"/>
  <c r="AF992" i="8"/>
  <c r="AD992" i="8"/>
  <c r="AE992" i="8" s="1"/>
  <c r="AG991" i="8"/>
  <c r="AF991" i="8"/>
  <c r="AD991" i="8"/>
  <c r="AE991" i="8" s="1"/>
  <c r="AG990" i="8"/>
  <c r="AF990" i="8"/>
  <c r="AD990" i="8"/>
  <c r="AE990" i="8" s="1"/>
  <c r="AG989" i="8"/>
  <c r="AF989" i="8"/>
  <c r="AD989" i="8"/>
  <c r="AE989" i="8" s="1"/>
  <c r="AG988" i="8"/>
  <c r="AF988" i="8"/>
  <c r="AD988" i="8"/>
  <c r="AE988" i="8" s="1"/>
  <c r="AG987" i="8"/>
  <c r="AF987" i="8"/>
  <c r="AD987" i="8"/>
  <c r="AE987" i="8" s="1"/>
  <c r="AG986" i="8"/>
  <c r="AF986" i="8"/>
  <c r="AD986" i="8"/>
  <c r="AE986" i="8" s="1"/>
  <c r="AG985" i="8"/>
  <c r="AF985" i="8"/>
  <c r="AD985" i="8"/>
  <c r="AE985" i="8" s="1"/>
  <c r="AG984" i="8"/>
  <c r="AF984" i="8"/>
  <c r="AD984" i="8"/>
  <c r="AE984" i="8" s="1"/>
  <c r="AG983" i="8"/>
  <c r="AF983" i="8"/>
  <c r="AD983" i="8"/>
  <c r="AE983" i="8" s="1"/>
  <c r="AG982" i="8"/>
  <c r="AF982" i="8"/>
  <c r="AD982" i="8"/>
  <c r="AE982" i="8" s="1"/>
  <c r="AG981" i="8"/>
  <c r="AF981" i="8"/>
  <c r="AD981" i="8"/>
  <c r="AE981" i="8" s="1"/>
  <c r="AG980" i="8"/>
  <c r="AF980" i="8"/>
  <c r="AD980" i="8"/>
  <c r="AE980" i="8" s="1"/>
  <c r="AG979" i="8"/>
  <c r="AF979" i="8"/>
  <c r="AD979" i="8"/>
  <c r="AE979" i="8" s="1"/>
  <c r="AG978" i="8"/>
  <c r="AF978" i="8"/>
  <c r="AD978" i="8"/>
  <c r="AE978" i="8" s="1"/>
  <c r="AG977" i="8"/>
  <c r="AF977" i="8"/>
  <c r="AD977" i="8"/>
  <c r="AE977" i="8" s="1"/>
  <c r="AG976" i="8"/>
  <c r="AF976" i="8"/>
  <c r="AD976" i="8"/>
  <c r="AE976" i="8" s="1"/>
  <c r="AG975" i="8"/>
  <c r="AF975" i="8"/>
  <c r="AD975" i="8"/>
  <c r="AE975" i="8" s="1"/>
  <c r="AG974" i="8"/>
  <c r="AF974" i="8"/>
  <c r="AD974" i="8"/>
  <c r="AE974" i="8" s="1"/>
  <c r="AG973" i="8"/>
  <c r="AF973" i="8"/>
  <c r="AD973" i="8"/>
  <c r="AE973" i="8" s="1"/>
  <c r="AG972" i="8"/>
  <c r="AF972" i="8"/>
  <c r="AD972" i="8"/>
  <c r="AE972" i="8" s="1"/>
  <c r="AG971" i="8"/>
  <c r="AF971" i="8"/>
  <c r="AD971" i="8"/>
  <c r="AE971" i="8" s="1"/>
  <c r="AG970" i="8"/>
  <c r="AF970" i="8"/>
  <c r="AD970" i="8"/>
  <c r="AE970" i="8" s="1"/>
  <c r="AG969" i="8"/>
  <c r="AF969" i="8"/>
  <c r="AD969" i="8"/>
  <c r="AE969" i="8" s="1"/>
  <c r="AG968" i="8"/>
  <c r="AF968" i="8"/>
  <c r="AD968" i="8"/>
  <c r="AE968" i="8" s="1"/>
  <c r="AG967" i="8"/>
  <c r="AF967" i="8"/>
  <c r="AD967" i="8"/>
  <c r="AE967" i="8" s="1"/>
  <c r="AG966" i="8"/>
  <c r="AF966" i="8"/>
  <c r="AD966" i="8"/>
  <c r="AE966" i="8" s="1"/>
  <c r="AG965" i="8"/>
  <c r="AF965" i="8"/>
  <c r="AD965" i="8"/>
  <c r="AE965" i="8" s="1"/>
  <c r="AG964" i="8"/>
  <c r="AF964" i="8"/>
  <c r="AD964" i="8"/>
  <c r="AE964" i="8" s="1"/>
  <c r="AG963" i="8"/>
  <c r="AF963" i="8"/>
  <c r="AD963" i="8"/>
  <c r="AE963" i="8" s="1"/>
  <c r="AG962" i="8"/>
  <c r="AF962" i="8"/>
  <c r="AD962" i="8"/>
  <c r="AE962" i="8" s="1"/>
  <c r="AG961" i="8"/>
  <c r="AF961" i="8"/>
  <c r="AD961" i="8"/>
  <c r="AE961" i="8" s="1"/>
  <c r="AG960" i="8"/>
  <c r="AF960" i="8"/>
  <c r="AD960" i="8"/>
  <c r="AE960" i="8" s="1"/>
  <c r="AG959" i="8"/>
  <c r="AF959" i="8"/>
  <c r="AD959" i="8"/>
  <c r="AE959" i="8" s="1"/>
  <c r="AG958" i="8"/>
  <c r="AF958" i="8"/>
  <c r="AD958" i="8"/>
  <c r="AE958" i="8" s="1"/>
  <c r="AG957" i="8"/>
  <c r="AF957" i="8"/>
  <c r="AD957" i="8"/>
  <c r="AE957" i="8" s="1"/>
  <c r="AG956" i="8"/>
  <c r="AF956" i="8"/>
  <c r="AD956" i="8"/>
  <c r="AE956" i="8" s="1"/>
  <c r="AG955" i="8"/>
  <c r="AF955" i="8"/>
  <c r="AD955" i="8"/>
  <c r="AE955" i="8" s="1"/>
  <c r="AG954" i="8"/>
  <c r="AF954" i="8"/>
  <c r="AD954" i="8"/>
  <c r="AE954" i="8" s="1"/>
  <c r="AG953" i="8"/>
  <c r="AF953" i="8"/>
  <c r="AD953" i="8"/>
  <c r="AE953" i="8" s="1"/>
  <c r="AG952" i="8"/>
  <c r="AF952" i="8"/>
  <c r="AD952" i="8"/>
  <c r="AE952" i="8" s="1"/>
  <c r="AG951" i="8"/>
  <c r="AF951" i="8"/>
  <c r="AD951" i="8"/>
  <c r="AE951" i="8" s="1"/>
  <c r="AG950" i="8"/>
  <c r="AF950" i="8"/>
  <c r="AD950" i="8"/>
  <c r="AE950" i="8" s="1"/>
  <c r="AG949" i="8"/>
  <c r="AF949" i="8"/>
  <c r="AD949" i="8"/>
  <c r="AE949" i="8" s="1"/>
  <c r="AG948" i="8"/>
  <c r="AF948" i="8"/>
  <c r="AD948" i="8"/>
  <c r="AE948" i="8" s="1"/>
  <c r="AG947" i="8"/>
  <c r="AF947" i="8"/>
  <c r="AD947" i="8"/>
  <c r="AE947" i="8" s="1"/>
  <c r="AG946" i="8"/>
  <c r="AF946" i="8"/>
  <c r="AD946" i="8"/>
  <c r="AE946" i="8" s="1"/>
  <c r="AG945" i="8"/>
  <c r="AF945" i="8"/>
  <c r="AD945" i="8"/>
  <c r="AE945" i="8" s="1"/>
  <c r="AG944" i="8"/>
  <c r="AF944" i="8"/>
  <c r="AD944" i="8"/>
  <c r="AE944" i="8" s="1"/>
  <c r="AG943" i="8"/>
  <c r="AF943" i="8"/>
  <c r="AD943" i="8"/>
  <c r="AE943" i="8" s="1"/>
  <c r="AG942" i="8"/>
  <c r="AF942" i="8"/>
  <c r="AD942" i="8"/>
  <c r="AE942" i="8" s="1"/>
  <c r="AG941" i="8"/>
  <c r="AF941" i="8"/>
  <c r="AD941" i="8"/>
  <c r="AE941" i="8" s="1"/>
  <c r="AG940" i="8"/>
  <c r="AF940" i="8"/>
  <c r="AD940" i="8"/>
  <c r="AE940" i="8" s="1"/>
  <c r="AG939" i="8"/>
  <c r="AF939" i="8"/>
  <c r="AD939" i="8"/>
  <c r="AE939" i="8" s="1"/>
  <c r="AG938" i="8"/>
  <c r="AF938" i="8"/>
  <c r="AD938" i="8"/>
  <c r="AE938" i="8" s="1"/>
  <c r="AG937" i="8"/>
  <c r="AF937" i="8"/>
  <c r="AD937" i="8"/>
  <c r="AE937" i="8" s="1"/>
  <c r="AG936" i="8"/>
  <c r="AF936" i="8"/>
  <c r="AD936" i="8"/>
  <c r="AE936" i="8" s="1"/>
  <c r="AG935" i="8"/>
  <c r="AF935" i="8"/>
  <c r="AD935" i="8"/>
  <c r="AE935" i="8" s="1"/>
  <c r="AG934" i="8"/>
  <c r="AF934" i="8"/>
  <c r="AD934" i="8"/>
  <c r="AE934" i="8" s="1"/>
  <c r="AG933" i="8"/>
  <c r="AF933" i="8"/>
  <c r="AD933" i="8"/>
  <c r="AE933" i="8" s="1"/>
  <c r="AG932" i="8"/>
  <c r="AF932" i="8"/>
  <c r="AD932" i="8"/>
  <c r="AE932" i="8" s="1"/>
  <c r="AG931" i="8"/>
  <c r="AF931" i="8"/>
  <c r="AD931" i="8"/>
  <c r="AE931" i="8" s="1"/>
  <c r="AG930" i="8"/>
  <c r="AF930" i="8"/>
  <c r="AD930" i="8"/>
  <c r="AE930" i="8" s="1"/>
  <c r="AG929" i="8"/>
  <c r="AF929" i="8"/>
  <c r="AD929" i="8"/>
  <c r="AE929" i="8" s="1"/>
  <c r="AG928" i="8"/>
  <c r="AF928" i="8"/>
  <c r="AD928" i="8"/>
  <c r="AE928" i="8" s="1"/>
  <c r="AG927" i="8"/>
  <c r="AF927" i="8"/>
  <c r="AD927" i="8"/>
  <c r="AE927" i="8" s="1"/>
  <c r="AG926" i="8"/>
  <c r="AF926" i="8"/>
  <c r="AD926" i="8"/>
  <c r="AE926" i="8" s="1"/>
  <c r="AG925" i="8"/>
  <c r="AF925" i="8"/>
  <c r="AD925" i="8"/>
  <c r="AE925" i="8" s="1"/>
  <c r="AG924" i="8"/>
  <c r="AF924" i="8"/>
  <c r="AD924" i="8"/>
  <c r="AE924" i="8" s="1"/>
  <c r="AG923" i="8"/>
  <c r="AF923" i="8"/>
  <c r="AD923" i="8"/>
  <c r="AE923" i="8" s="1"/>
  <c r="AG922" i="8"/>
  <c r="AF922" i="8"/>
  <c r="AD922" i="8"/>
  <c r="AE922" i="8" s="1"/>
  <c r="AG921" i="8"/>
  <c r="AF921" i="8"/>
  <c r="AD921" i="8"/>
  <c r="AE921" i="8" s="1"/>
  <c r="AG920" i="8"/>
  <c r="AF920" i="8"/>
  <c r="AD920" i="8"/>
  <c r="AE920" i="8" s="1"/>
  <c r="AG919" i="8"/>
  <c r="AF919" i="8"/>
  <c r="AD919" i="8"/>
  <c r="AE919" i="8" s="1"/>
  <c r="AG918" i="8"/>
  <c r="AF918" i="8"/>
  <c r="AD918" i="8"/>
  <c r="AE918" i="8" s="1"/>
  <c r="AG917" i="8"/>
  <c r="AF917" i="8"/>
  <c r="AD917" i="8"/>
  <c r="AE917" i="8" s="1"/>
  <c r="AG916" i="8"/>
  <c r="AF916" i="8"/>
  <c r="AD916" i="8"/>
  <c r="AE916" i="8" s="1"/>
  <c r="AG915" i="8"/>
  <c r="AF915" i="8"/>
  <c r="AD915" i="8"/>
  <c r="AE915" i="8" s="1"/>
  <c r="AG914" i="8"/>
  <c r="AF914" i="8"/>
  <c r="AD914" i="8"/>
  <c r="AE914" i="8" s="1"/>
  <c r="AG913" i="8"/>
  <c r="AF913" i="8"/>
  <c r="AD913" i="8"/>
  <c r="AE913" i="8" s="1"/>
  <c r="AG912" i="8"/>
  <c r="AF912" i="8"/>
  <c r="AD912" i="8"/>
  <c r="AE912" i="8" s="1"/>
  <c r="AG911" i="8"/>
  <c r="AF911" i="8"/>
  <c r="AD911" i="8"/>
  <c r="AE911" i="8" s="1"/>
  <c r="AG910" i="8"/>
  <c r="AF910" i="8"/>
  <c r="AD910" i="8"/>
  <c r="AE910" i="8" s="1"/>
  <c r="AG909" i="8"/>
  <c r="AF909" i="8"/>
  <c r="AD909" i="8"/>
  <c r="AE909" i="8" s="1"/>
  <c r="AG908" i="8"/>
  <c r="AF908" i="8"/>
  <c r="AD908" i="8"/>
  <c r="AE908" i="8" s="1"/>
  <c r="AG907" i="8"/>
  <c r="AF907" i="8"/>
  <c r="AD907" i="8"/>
  <c r="AE907" i="8" s="1"/>
  <c r="AG906" i="8"/>
  <c r="AF906" i="8"/>
  <c r="AD906" i="8"/>
  <c r="AE906" i="8" s="1"/>
  <c r="AG905" i="8"/>
  <c r="AF905" i="8"/>
  <c r="AD905" i="8"/>
  <c r="AE905" i="8" s="1"/>
  <c r="AG904" i="8"/>
  <c r="AF904" i="8"/>
  <c r="AD904" i="8"/>
  <c r="AE904" i="8" s="1"/>
  <c r="AG903" i="8"/>
  <c r="AF903" i="8"/>
  <c r="AD903" i="8"/>
  <c r="AE903" i="8" s="1"/>
  <c r="AG902" i="8"/>
  <c r="AF902" i="8"/>
  <c r="AD902" i="8"/>
  <c r="AE902" i="8" s="1"/>
  <c r="AG901" i="8"/>
  <c r="AF901" i="8"/>
  <c r="AD901" i="8"/>
  <c r="AE901" i="8" s="1"/>
  <c r="AG900" i="8"/>
  <c r="AF900" i="8"/>
  <c r="AD900" i="8"/>
  <c r="AE900" i="8" s="1"/>
  <c r="AG899" i="8"/>
  <c r="AF899" i="8"/>
  <c r="AD899" i="8"/>
  <c r="AE899" i="8" s="1"/>
  <c r="AG898" i="8"/>
  <c r="AF898" i="8"/>
  <c r="AD898" i="8"/>
  <c r="AE898" i="8" s="1"/>
  <c r="AG897" i="8"/>
  <c r="AF897" i="8"/>
  <c r="AD897" i="8"/>
  <c r="AE897" i="8" s="1"/>
  <c r="AG896" i="8"/>
  <c r="AF896" i="8"/>
  <c r="AD896" i="8"/>
  <c r="AE896" i="8" s="1"/>
  <c r="AG895" i="8"/>
  <c r="AF895" i="8"/>
  <c r="AD895" i="8"/>
  <c r="AE895" i="8" s="1"/>
  <c r="AG894" i="8"/>
  <c r="AF894" i="8"/>
  <c r="AD894" i="8"/>
  <c r="AE894" i="8" s="1"/>
  <c r="AG893" i="8"/>
  <c r="AF893" i="8"/>
  <c r="AD893" i="8"/>
  <c r="AE893" i="8" s="1"/>
  <c r="AG892" i="8"/>
  <c r="AF892" i="8"/>
  <c r="AD892" i="8"/>
  <c r="AE892" i="8" s="1"/>
  <c r="AG891" i="8"/>
  <c r="AF891" i="8"/>
  <c r="AD891" i="8"/>
  <c r="AE891" i="8" s="1"/>
  <c r="AG890" i="8"/>
  <c r="AF890" i="8"/>
  <c r="AD890" i="8"/>
  <c r="AE890" i="8" s="1"/>
  <c r="AG889" i="8"/>
  <c r="AF889" i="8"/>
  <c r="AD889" i="8"/>
  <c r="AE889" i="8" s="1"/>
  <c r="AG888" i="8"/>
  <c r="AF888" i="8"/>
  <c r="AD888" i="8"/>
  <c r="AE888" i="8" s="1"/>
  <c r="AG887" i="8"/>
  <c r="AF887" i="8"/>
  <c r="AD887" i="8"/>
  <c r="AE887" i="8" s="1"/>
  <c r="AG886" i="8"/>
  <c r="AF886" i="8"/>
  <c r="AD886" i="8"/>
  <c r="AE886" i="8" s="1"/>
  <c r="AG885" i="8"/>
  <c r="AF885" i="8"/>
  <c r="AD885" i="8"/>
  <c r="AE885" i="8" s="1"/>
  <c r="AG884" i="8"/>
  <c r="AF884" i="8"/>
  <c r="AD884" i="8"/>
  <c r="AE884" i="8" s="1"/>
  <c r="AG883" i="8"/>
  <c r="AF883" i="8"/>
  <c r="AD883" i="8"/>
  <c r="AE883" i="8" s="1"/>
  <c r="AG882" i="8"/>
  <c r="AF882" i="8"/>
  <c r="AD882" i="8"/>
  <c r="AE882" i="8" s="1"/>
  <c r="AG881" i="8"/>
  <c r="AF881" i="8"/>
  <c r="AD881" i="8"/>
  <c r="AE881" i="8" s="1"/>
  <c r="AG880" i="8"/>
  <c r="AF880" i="8"/>
  <c r="AD880" i="8"/>
  <c r="AE880" i="8" s="1"/>
  <c r="AG879" i="8"/>
  <c r="AF879" i="8"/>
  <c r="AD879" i="8"/>
  <c r="AE879" i="8" s="1"/>
  <c r="AG878" i="8"/>
  <c r="AF878" i="8"/>
  <c r="AD878" i="8"/>
  <c r="AE878" i="8" s="1"/>
  <c r="AG877" i="8"/>
  <c r="AF877" i="8"/>
  <c r="AD877" i="8"/>
  <c r="AE877" i="8" s="1"/>
  <c r="AG876" i="8"/>
  <c r="AF876" i="8"/>
  <c r="AD876" i="8"/>
  <c r="AE876" i="8" s="1"/>
  <c r="AG875" i="8"/>
  <c r="AF875" i="8"/>
  <c r="AD875" i="8"/>
  <c r="AE875" i="8" s="1"/>
  <c r="AG874" i="8"/>
  <c r="AF874" i="8"/>
  <c r="AD874" i="8"/>
  <c r="AE874" i="8" s="1"/>
  <c r="AG873" i="8"/>
  <c r="AF873" i="8"/>
  <c r="AD873" i="8"/>
  <c r="AE873" i="8" s="1"/>
  <c r="AG872" i="8"/>
  <c r="AF872" i="8"/>
  <c r="AD872" i="8"/>
  <c r="AE872" i="8" s="1"/>
  <c r="AG871" i="8"/>
  <c r="AF871" i="8"/>
  <c r="AD871" i="8"/>
  <c r="AE871" i="8" s="1"/>
  <c r="AG870" i="8"/>
  <c r="AF870" i="8"/>
  <c r="AD870" i="8"/>
  <c r="AE870" i="8" s="1"/>
  <c r="AG869" i="8"/>
  <c r="AF869" i="8"/>
  <c r="AD869" i="8"/>
  <c r="AE869" i="8" s="1"/>
  <c r="AG868" i="8"/>
  <c r="AF868" i="8"/>
  <c r="AD868" i="8"/>
  <c r="AE868" i="8" s="1"/>
  <c r="AG867" i="8"/>
  <c r="AF867" i="8"/>
  <c r="AD867" i="8"/>
  <c r="AE867" i="8" s="1"/>
  <c r="AG866" i="8"/>
  <c r="AF866" i="8"/>
  <c r="AD866" i="8"/>
  <c r="AE866" i="8" s="1"/>
  <c r="AG865" i="8"/>
  <c r="AF865" i="8"/>
  <c r="AD865" i="8"/>
  <c r="AE865" i="8" s="1"/>
  <c r="AG864" i="8"/>
  <c r="AF864" i="8"/>
  <c r="AD864" i="8"/>
  <c r="AE864" i="8" s="1"/>
  <c r="AG863" i="8"/>
  <c r="AF863" i="8"/>
  <c r="AD863" i="8"/>
  <c r="AE863" i="8" s="1"/>
  <c r="AG862" i="8"/>
  <c r="AF862" i="8"/>
  <c r="AD862" i="8"/>
  <c r="AE862" i="8" s="1"/>
  <c r="AG861" i="8"/>
  <c r="AF861" i="8"/>
  <c r="AD861" i="8"/>
  <c r="AE861" i="8" s="1"/>
  <c r="AG860" i="8"/>
  <c r="AF860" i="8"/>
  <c r="AD860" i="8"/>
  <c r="AE860" i="8" s="1"/>
  <c r="AG859" i="8"/>
  <c r="AF859" i="8"/>
  <c r="AD859" i="8"/>
  <c r="AE859" i="8" s="1"/>
  <c r="AG858" i="8"/>
  <c r="AF858" i="8"/>
  <c r="AD858" i="8"/>
  <c r="AE858" i="8" s="1"/>
  <c r="AG857" i="8"/>
  <c r="AF857" i="8"/>
  <c r="AD857" i="8"/>
  <c r="AE857" i="8" s="1"/>
  <c r="AG856" i="8"/>
  <c r="AF856" i="8"/>
  <c r="AD856" i="8"/>
  <c r="AE856" i="8" s="1"/>
  <c r="AG855" i="8"/>
  <c r="AF855" i="8"/>
  <c r="AD855" i="8"/>
  <c r="AE855" i="8" s="1"/>
  <c r="AG854" i="8"/>
  <c r="AF854" i="8"/>
  <c r="AD854" i="8"/>
  <c r="AE854" i="8" s="1"/>
  <c r="AG853" i="8"/>
  <c r="AF853" i="8"/>
  <c r="AD853" i="8"/>
  <c r="AE853" i="8" s="1"/>
  <c r="AG852" i="8"/>
  <c r="AF852" i="8"/>
  <c r="AD852" i="8"/>
  <c r="AE852" i="8" s="1"/>
  <c r="AG851" i="8"/>
  <c r="AF851" i="8"/>
  <c r="AD851" i="8"/>
  <c r="AE851" i="8" s="1"/>
  <c r="AG850" i="8"/>
  <c r="AF850" i="8"/>
  <c r="AD850" i="8"/>
  <c r="AE850" i="8" s="1"/>
  <c r="AG849" i="8"/>
  <c r="AF849" i="8"/>
  <c r="AD849" i="8"/>
  <c r="AE849" i="8" s="1"/>
  <c r="AG848" i="8"/>
  <c r="AF848" i="8"/>
  <c r="AD848" i="8"/>
  <c r="AE848" i="8" s="1"/>
  <c r="AG847" i="8"/>
  <c r="AF847" i="8"/>
  <c r="AD847" i="8"/>
  <c r="AE847" i="8" s="1"/>
  <c r="AG846" i="8"/>
  <c r="AF846" i="8"/>
  <c r="AD846" i="8"/>
  <c r="AE846" i="8" s="1"/>
  <c r="AG845" i="8"/>
  <c r="AF845" i="8"/>
  <c r="AD845" i="8"/>
  <c r="AE845" i="8" s="1"/>
  <c r="AG844" i="8"/>
  <c r="AF844" i="8"/>
  <c r="AD844" i="8"/>
  <c r="AE844" i="8" s="1"/>
  <c r="AG843" i="8"/>
  <c r="AF843" i="8"/>
  <c r="AD843" i="8"/>
  <c r="AE843" i="8" s="1"/>
  <c r="AG842" i="8"/>
  <c r="AF842" i="8"/>
  <c r="AD842" i="8"/>
  <c r="AE842" i="8" s="1"/>
  <c r="AG841" i="8"/>
  <c r="AF841" i="8"/>
  <c r="AD841" i="8"/>
  <c r="AE841" i="8" s="1"/>
  <c r="AG840" i="8"/>
  <c r="AF840" i="8"/>
  <c r="AD840" i="8"/>
  <c r="AE840" i="8" s="1"/>
  <c r="AG839" i="8"/>
  <c r="AF839" i="8"/>
  <c r="AD839" i="8"/>
  <c r="AE839" i="8" s="1"/>
  <c r="AG838" i="8"/>
  <c r="AF838" i="8"/>
  <c r="AD838" i="8"/>
  <c r="AE838" i="8" s="1"/>
  <c r="AG837" i="8"/>
  <c r="AF837" i="8"/>
  <c r="AD837" i="8"/>
  <c r="AE837" i="8" s="1"/>
  <c r="AG836" i="8"/>
  <c r="AF836" i="8"/>
  <c r="AD836" i="8"/>
  <c r="AE836" i="8" s="1"/>
  <c r="AG835" i="8"/>
  <c r="AF835" i="8"/>
  <c r="AD835" i="8"/>
  <c r="AE835" i="8" s="1"/>
  <c r="AG834" i="8"/>
  <c r="AF834" i="8"/>
  <c r="AD834" i="8"/>
  <c r="AE834" i="8" s="1"/>
  <c r="AG833" i="8"/>
  <c r="AF833" i="8"/>
  <c r="AD833" i="8"/>
  <c r="AE833" i="8" s="1"/>
  <c r="AG832" i="8"/>
  <c r="AF832" i="8"/>
  <c r="AD832" i="8"/>
  <c r="AE832" i="8" s="1"/>
  <c r="AG831" i="8"/>
  <c r="AF831" i="8"/>
  <c r="AD831" i="8"/>
  <c r="AE831" i="8" s="1"/>
  <c r="AG830" i="8"/>
  <c r="AF830" i="8"/>
  <c r="AD830" i="8"/>
  <c r="AE830" i="8" s="1"/>
  <c r="AG829" i="8"/>
  <c r="AF829" i="8"/>
  <c r="AD829" i="8"/>
  <c r="AE829" i="8" s="1"/>
  <c r="AG828" i="8"/>
  <c r="AF828" i="8"/>
  <c r="AD828" i="8"/>
  <c r="AE828" i="8" s="1"/>
  <c r="AG827" i="8"/>
  <c r="AF827" i="8"/>
  <c r="AD827" i="8"/>
  <c r="AE827" i="8" s="1"/>
  <c r="AG826" i="8"/>
  <c r="AF826" i="8"/>
  <c r="AD826" i="8"/>
  <c r="AE826" i="8" s="1"/>
  <c r="AG825" i="8"/>
  <c r="AF825" i="8"/>
  <c r="AD825" i="8"/>
  <c r="AE825" i="8" s="1"/>
  <c r="AG824" i="8"/>
  <c r="AF824" i="8"/>
  <c r="AD824" i="8"/>
  <c r="AE824" i="8" s="1"/>
  <c r="AG823" i="8"/>
  <c r="AF823" i="8"/>
  <c r="AD823" i="8"/>
  <c r="AE823" i="8" s="1"/>
  <c r="AG822" i="8"/>
  <c r="AF822" i="8"/>
  <c r="AD822" i="8"/>
  <c r="AE822" i="8" s="1"/>
  <c r="AG821" i="8"/>
  <c r="AF821" i="8"/>
  <c r="AD821" i="8"/>
  <c r="AE821" i="8" s="1"/>
  <c r="AG820" i="8"/>
  <c r="AF820" i="8"/>
  <c r="AD820" i="8"/>
  <c r="AE820" i="8" s="1"/>
  <c r="AG819" i="8"/>
  <c r="AF819" i="8"/>
  <c r="AD819" i="8"/>
  <c r="AE819" i="8" s="1"/>
  <c r="AG818" i="8"/>
  <c r="AF818" i="8"/>
  <c r="AD818" i="8"/>
  <c r="AE818" i="8" s="1"/>
  <c r="AG817" i="8"/>
  <c r="AF817" i="8"/>
  <c r="AD817" i="8"/>
  <c r="AE817" i="8" s="1"/>
  <c r="AG816" i="8"/>
  <c r="AF816" i="8"/>
  <c r="AD816" i="8"/>
  <c r="AE816" i="8" s="1"/>
  <c r="AG815" i="8"/>
  <c r="AF815" i="8"/>
  <c r="AD815" i="8"/>
  <c r="AE815" i="8" s="1"/>
  <c r="AG814" i="8"/>
  <c r="AF814" i="8"/>
  <c r="AD814" i="8"/>
  <c r="AE814" i="8" s="1"/>
  <c r="AG813" i="8"/>
  <c r="AF813" i="8"/>
  <c r="AD813" i="8"/>
  <c r="AE813" i="8" s="1"/>
  <c r="AG812" i="8"/>
  <c r="AF812" i="8"/>
  <c r="AD812" i="8"/>
  <c r="AE812" i="8" s="1"/>
  <c r="AG811" i="8"/>
  <c r="AF811" i="8"/>
  <c r="AD811" i="8"/>
  <c r="AE811" i="8" s="1"/>
  <c r="AG810" i="8"/>
  <c r="AF810" i="8"/>
  <c r="AD810" i="8"/>
  <c r="AE810" i="8" s="1"/>
  <c r="AG809" i="8"/>
  <c r="AF809" i="8"/>
  <c r="AD809" i="8"/>
  <c r="AE809" i="8" s="1"/>
  <c r="AG808" i="8"/>
  <c r="AF808" i="8"/>
  <c r="AD808" i="8"/>
  <c r="AE808" i="8" s="1"/>
  <c r="AG807" i="8"/>
  <c r="AF807" i="8"/>
  <c r="AD807" i="8"/>
  <c r="AE807" i="8" s="1"/>
  <c r="AG806" i="8"/>
  <c r="AF806" i="8"/>
  <c r="AD806" i="8"/>
  <c r="AE806" i="8" s="1"/>
  <c r="AG805" i="8"/>
  <c r="AF805" i="8"/>
  <c r="AD805" i="8"/>
  <c r="AE805" i="8" s="1"/>
  <c r="AG804" i="8"/>
  <c r="AF804" i="8"/>
  <c r="AD804" i="8"/>
  <c r="AE804" i="8" s="1"/>
  <c r="AG803" i="8"/>
  <c r="AF803" i="8"/>
  <c r="AD803" i="8"/>
  <c r="AE803" i="8" s="1"/>
  <c r="AG802" i="8"/>
  <c r="AF802" i="8"/>
  <c r="AD802" i="8"/>
  <c r="AE802" i="8" s="1"/>
  <c r="AG801" i="8"/>
  <c r="AF801" i="8"/>
  <c r="AD801" i="8"/>
  <c r="AE801" i="8" s="1"/>
  <c r="AG800" i="8"/>
  <c r="AF800" i="8"/>
  <c r="AD800" i="8"/>
  <c r="AE800" i="8" s="1"/>
  <c r="AG799" i="8"/>
  <c r="AF799" i="8"/>
  <c r="AD799" i="8"/>
  <c r="AE799" i="8" s="1"/>
  <c r="AG798" i="8"/>
  <c r="AF798" i="8"/>
  <c r="AD798" i="8"/>
  <c r="AE798" i="8" s="1"/>
  <c r="AG797" i="8"/>
  <c r="AF797" i="8"/>
  <c r="AD797" i="8"/>
  <c r="AE797" i="8" s="1"/>
  <c r="AG796" i="8"/>
  <c r="AF796" i="8"/>
  <c r="AD796" i="8"/>
  <c r="AE796" i="8" s="1"/>
  <c r="AG795" i="8"/>
  <c r="AF795" i="8"/>
  <c r="AD795" i="8"/>
  <c r="AE795" i="8" s="1"/>
  <c r="AG794" i="8"/>
  <c r="AF794" i="8"/>
  <c r="AD794" i="8"/>
  <c r="AE794" i="8" s="1"/>
  <c r="AG793" i="8"/>
  <c r="AF793" i="8"/>
  <c r="AD793" i="8"/>
  <c r="AE793" i="8" s="1"/>
  <c r="AG792" i="8"/>
  <c r="AF792" i="8"/>
  <c r="AD792" i="8"/>
  <c r="AE792" i="8" s="1"/>
  <c r="AG791" i="8"/>
  <c r="AF791" i="8"/>
  <c r="AD791" i="8"/>
  <c r="AE791" i="8" s="1"/>
  <c r="AG790" i="8"/>
  <c r="AF790" i="8"/>
  <c r="AD790" i="8"/>
  <c r="AE790" i="8" s="1"/>
  <c r="AG789" i="8"/>
  <c r="AF789" i="8"/>
  <c r="AD789" i="8"/>
  <c r="AE789" i="8" s="1"/>
  <c r="AG788" i="8"/>
  <c r="AF788" i="8"/>
  <c r="AD788" i="8"/>
  <c r="AE788" i="8" s="1"/>
  <c r="AG787" i="8"/>
  <c r="AF787" i="8"/>
  <c r="AD787" i="8"/>
  <c r="AE787" i="8" s="1"/>
  <c r="AG786" i="8"/>
  <c r="AF786" i="8"/>
  <c r="AD786" i="8"/>
  <c r="AE786" i="8" s="1"/>
  <c r="AG785" i="8"/>
  <c r="AF785" i="8"/>
  <c r="AD785" i="8"/>
  <c r="AE785" i="8" s="1"/>
  <c r="AG784" i="8"/>
  <c r="AF784" i="8"/>
  <c r="AD784" i="8"/>
  <c r="AE784" i="8" s="1"/>
  <c r="AG783" i="8"/>
  <c r="AF783" i="8"/>
  <c r="AD783" i="8"/>
  <c r="AE783" i="8" s="1"/>
  <c r="AG782" i="8"/>
  <c r="AF782" i="8"/>
  <c r="AD782" i="8"/>
  <c r="AE782" i="8" s="1"/>
  <c r="AG781" i="8"/>
  <c r="AF781" i="8"/>
  <c r="AD781" i="8"/>
  <c r="AE781" i="8" s="1"/>
  <c r="AG780" i="8"/>
  <c r="AF780" i="8"/>
  <c r="AD780" i="8"/>
  <c r="AE780" i="8" s="1"/>
  <c r="AG779" i="8"/>
  <c r="AF779" i="8"/>
  <c r="AD779" i="8"/>
  <c r="AE779" i="8" s="1"/>
  <c r="AG778" i="8"/>
  <c r="AF778" i="8"/>
  <c r="AD778" i="8"/>
  <c r="AE778" i="8" s="1"/>
  <c r="AG777" i="8"/>
  <c r="AF777" i="8"/>
  <c r="AD777" i="8"/>
  <c r="AE777" i="8" s="1"/>
  <c r="AG776" i="8"/>
  <c r="AF776" i="8"/>
  <c r="AD776" i="8"/>
  <c r="AE776" i="8" s="1"/>
  <c r="AG775" i="8"/>
  <c r="AF775" i="8"/>
  <c r="AD775" i="8"/>
  <c r="AE775" i="8" s="1"/>
  <c r="AG774" i="8"/>
  <c r="AF774" i="8"/>
  <c r="AD774" i="8"/>
  <c r="AE774" i="8" s="1"/>
  <c r="AG773" i="8"/>
  <c r="AF773" i="8"/>
  <c r="AD773" i="8"/>
  <c r="AE773" i="8" s="1"/>
  <c r="AG772" i="8"/>
  <c r="AF772" i="8"/>
  <c r="AD772" i="8"/>
  <c r="AE772" i="8" s="1"/>
  <c r="AG771" i="8"/>
  <c r="AF771" i="8"/>
  <c r="AD771" i="8"/>
  <c r="AE771" i="8" s="1"/>
  <c r="AG770" i="8"/>
  <c r="AF770" i="8"/>
  <c r="AD770" i="8"/>
  <c r="AE770" i="8" s="1"/>
  <c r="AG769" i="8"/>
  <c r="AF769" i="8"/>
  <c r="AD769" i="8"/>
  <c r="AE769" i="8" s="1"/>
  <c r="AG768" i="8"/>
  <c r="AF768" i="8"/>
  <c r="AD768" i="8"/>
  <c r="AE768" i="8" s="1"/>
  <c r="AG767" i="8"/>
  <c r="AF767" i="8"/>
  <c r="AD767" i="8"/>
  <c r="AE767" i="8" s="1"/>
  <c r="AG766" i="8"/>
  <c r="AF766" i="8"/>
  <c r="AD766" i="8"/>
  <c r="AE766" i="8" s="1"/>
  <c r="AG765" i="8"/>
  <c r="AF765" i="8"/>
  <c r="AD765" i="8"/>
  <c r="AE765" i="8" s="1"/>
  <c r="AG764" i="8"/>
  <c r="AF764" i="8"/>
  <c r="AD764" i="8"/>
  <c r="AE764" i="8" s="1"/>
  <c r="AG763" i="8"/>
  <c r="AF763" i="8"/>
  <c r="AD763" i="8"/>
  <c r="AE763" i="8" s="1"/>
  <c r="AG762" i="8"/>
  <c r="AF762" i="8"/>
  <c r="AD762" i="8"/>
  <c r="AE762" i="8" s="1"/>
  <c r="AG761" i="8"/>
  <c r="AF761" i="8"/>
  <c r="AD761" i="8"/>
  <c r="AE761" i="8" s="1"/>
  <c r="AG760" i="8"/>
  <c r="AF760" i="8"/>
  <c r="AD760" i="8"/>
  <c r="AE760" i="8" s="1"/>
  <c r="AG759" i="8"/>
  <c r="AF759" i="8"/>
  <c r="AD759" i="8"/>
  <c r="AE759" i="8" s="1"/>
  <c r="AG758" i="8"/>
  <c r="AF758" i="8"/>
  <c r="AD758" i="8"/>
  <c r="AE758" i="8" s="1"/>
  <c r="AG757" i="8"/>
  <c r="AF757" i="8"/>
  <c r="AD757" i="8"/>
  <c r="AE757" i="8" s="1"/>
  <c r="AG756" i="8"/>
  <c r="AF756" i="8"/>
  <c r="AD756" i="8"/>
  <c r="AE756" i="8" s="1"/>
  <c r="AG755" i="8"/>
  <c r="AF755" i="8"/>
  <c r="AD755" i="8"/>
  <c r="AE755" i="8" s="1"/>
  <c r="AG754" i="8"/>
  <c r="AF754" i="8"/>
  <c r="AD754" i="8"/>
  <c r="AE754" i="8" s="1"/>
  <c r="AG753" i="8"/>
  <c r="AF753" i="8"/>
  <c r="AD753" i="8"/>
  <c r="AE753" i="8" s="1"/>
  <c r="AG752" i="8"/>
  <c r="AF752" i="8"/>
  <c r="AD752" i="8"/>
  <c r="AE752" i="8" s="1"/>
  <c r="AG751" i="8"/>
  <c r="AF751" i="8"/>
  <c r="AD751" i="8"/>
  <c r="AE751" i="8" s="1"/>
  <c r="AG750" i="8"/>
  <c r="AF750" i="8"/>
  <c r="AD750" i="8"/>
  <c r="AE750" i="8" s="1"/>
  <c r="AG749" i="8"/>
  <c r="AF749" i="8"/>
  <c r="AD749" i="8"/>
  <c r="AE749" i="8" s="1"/>
  <c r="AG748" i="8"/>
  <c r="AF748" i="8"/>
  <c r="AD748" i="8"/>
  <c r="AE748" i="8" s="1"/>
  <c r="AG747" i="8"/>
  <c r="AF747" i="8"/>
  <c r="AD747" i="8"/>
  <c r="AE747" i="8" s="1"/>
  <c r="AG746" i="8"/>
  <c r="AF746" i="8"/>
  <c r="AD746" i="8"/>
  <c r="AE746" i="8" s="1"/>
  <c r="AG745" i="8"/>
  <c r="AF745" i="8"/>
  <c r="AD745" i="8"/>
  <c r="AE745" i="8" s="1"/>
  <c r="AG744" i="8"/>
  <c r="AF744" i="8"/>
  <c r="AD744" i="8"/>
  <c r="AE744" i="8" s="1"/>
  <c r="AG743" i="8"/>
  <c r="AF743" i="8"/>
  <c r="AD743" i="8"/>
  <c r="AE743" i="8" s="1"/>
  <c r="AG742" i="8"/>
  <c r="AF742" i="8"/>
  <c r="AD742" i="8"/>
  <c r="AE742" i="8" s="1"/>
  <c r="AG741" i="8"/>
  <c r="AF741" i="8"/>
  <c r="AD741" i="8"/>
  <c r="AE741" i="8" s="1"/>
  <c r="AG740" i="8"/>
  <c r="AF740" i="8"/>
  <c r="AD740" i="8"/>
  <c r="AE740" i="8" s="1"/>
  <c r="AG739" i="8"/>
  <c r="AF739" i="8"/>
  <c r="AD739" i="8"/>
  <c r="AE739" i="8" s="1"/>
  <c r="AG738" i="8"/>
  <c r="AF738" i="8"/>
  <c r="AD738" i="8"/>
  <c r="AE738" i="8" s="1"/>
  <c r="AG737" i="8"/>
  <c r="AF737" i="8"/>
  <c r="AD737" i="8"/>
  <c r="AE737" i="8" s="1"/>
  <c r="AG736" i="8"/>
  <c r="AF736" i="8"/>
  <c r="AD736" i="8"/>
  <c r="AE736" i="8" s="1"/>
  <c r="AG735" i="8"/>
  <c r="AF735" i="8"/>
  <c r="AD735" i="8"/>
  <c r="AE735" i="8" s="1"/>
  <c r="AG734" i="8"/>
  <c r="AF734" i="8"/>
  <c r="AD734" i="8"/>
  <c r="AE734" i="8" s="1"/>
  <c r="AG733" i="8"/>
  <c r="AF733" i="8"/>
  <c r="AD733" i="8"/>
  <c r="AE733" i="8" s="1"/>
  <c r="AG732" i="8"/>
  <c r="AF732" i="8"/>
  <c r="AD732" i="8"/>
  <c r="AE732" i="8" s="1"/>
  <c r="AG731" i="8"/>
  <c r="AF731" i="8"/>
  <c r="AD731" i="8"/>
  <c r="AE731" i="8" s="1"/>
  <c r="AG730" i="8"/>
  <c r="AF730" i="8"/>
  <c r="AD730" i="8"/>
  <c r="AE730" i="8" s="1"/>
  <c r="AG729" i="8"/>
  <c r="AF729" i="8"/>
  <c r="AD729" i="8"/>
  <c r="AE729" i="8" s="1"/>
  <c r="AG728" i="8"/>
  <c r="AF728" i="8"/>
  <c r="AD728" i="8"/>
  <c r="AE728" i="8" s="1"/>
  <c r="AG727" i="8"/>
  <c r="AF727" i="8"/>
  <c r="AD727" i="8"/>
  <c r="AE727" i="8" s="1"/>
  <c r="AG726" i="8"/>
  <c r="AF726" i="8"/>
  <c r="AD726" i="8"/>
  <c r="AE726" i="8" s="1"/>
  <c r="AG725" i="8"/>
  <c r="AF725" i="8"/>
  <c r="AD725" i="8"/>
  <c r="AE725" i="8" s="1"/>
  <c r="AG724" i="8"/>
  <c r="AF724" i="8"/>
  <c r="AD724" i="8"/>
  <c r="AE724" i="8" s="1"/>
  <c r="AG723" i="8"/>
  <c r="AF723" i="8"/>
  <c r="AD723" i="8"/>
  <c r="AE723" i="8" s="1"/>
  <c r="AG722" i="8"/>
  <c r="AF722" i="8"/>
  <c r="AD722" i="8"/>
  <c r="AE722" i="8" s="1"/>
  <c r="AG721" i="8"/>
  <c r="AF721" i="8"/>
  <c r="AD721" i="8"/>
  <c r="AE721" i="8" s="1"/>
  <c r="AG720" i="8"/>
  <c r="AF720" i="8"/>
  <c r="AD720" i="8"/>
  <c r="AE720" i="8" s="1"/>
  <c r="AG719" i="8"/>
  <c r="AF719" i="8"/>
  <c r="AD719" i="8"/>
  <c r="AE719" i="8" s="1"/>
  <c r="AG718" i="8"/>
  <c r="AF718" i="8"/>
  <c r="AD718" i="8"/>
  <c r="AE718" i="8" s="1"/>
  <c r="AG717" i="8"/>
  <c r="AF717" i="8"/>
  <c r="AD717" i="8"/>
  <c r="AE717" i="8" s="1"/>
  <c r="AG716" i="8"/>
  <c r="AF716" i="8"/>
  <c r="AD716" i="8"/>
  <c r="AE716" i="8" s="1"/>
  <c r="AG715" i="8"/>
  <c r="AF715" i="8"/>
  <c r="AD715" i="8"/>
  <c r="AE715" i="8" s="1"/>
  <c r="AG714" i="8"/>
  <c r="AF714" i="8"/>
  <c r="AD714" i="8"/>
  <c r="AE714" i="8" s="1"/>
  <c r="AG713" i="8"/>
  <c r="AF713" i="8"/>
  <c r="AD713" i="8"/>
  <c r="AE713" i="8" s="1"/>
  <c r="AG712" i="8"/>
  <c r="AF712" i="8"/>
  <c r="AD712" i="8"/>
  <c r="AE712" i="8" s="1"/>
  <c r="AG711" i="8"/>
  <c r="AF711" i="8"/>
  <c r="AD711" i="8"/>
  <c r="AE711" i="8" s="1"/>
  <c r="AG710" i="8"/>
  <c r="AF710" i="8"/>
  <c r="AD710" i="8"/>
  <c r="AE710" i="8" s="1"/>
  <c r="AG709" i="8"/>
  <c r="AF709" i="8"/>
  <c r="AD709" i="8"/>
  <c r="AE709" i="8" s="1"/>
  <c r="AG708" i="8"/>
  <c r="AF708" i="8"/>
  <c r="AD708" i="8"/>
  <c r="AE708" i="8" s="1"/>
  <c r="AG707" i="8"/>
  <c r="AF707" i="8"/>
  <c r="AD707" i="8"/>
  <c r="AE707" i="8" s="1"/>
  <c r="AG706" i="8"/>
  <c r="AF706" i="8"/>
  <c r="AD706" i="8"/>
  <c r="AE706" i="8" s="1"/>
  <c r="AG705" i="8"/>
  <c r="AF705" i="8"/>
  <c r="AD705" i="8"/>
  <c r="AE705" i="8" s="1"/>
  <c r="AG704" i="8"/>
  <c r="AF704" i="8"/>
  <c r="AD704" i="8"/>
  <c r="AE704" i="8" s="1"/>
  <c r="AG703" i="8"/>
  <c r="AF703" i="8"/>
  <c r="AD703" i="8"/>
  <c r="AE703" i="8" s="1"/>
  <c r="AG702" i="8"/>
  <c r="AF702" i="8"/>
  <c r="AD702" i="8"/>
  <c r="AE702" i="8" s="1"/>
  <c r="AG701" i="8"/>
  <c r="AF701" i="8"/>
  <c r="AD701" i="8"/>
  <c r="AE701" i="8" s="1"/>
  <c r="AG700" i="8"/>
  <c r="AF700" i="8"/>
  <c r="AD700" i="8"/>
  <c r="AE700" i="8" s="1"/>
  <c r="AG699" i="8"/>
  <c r="AF699" i="8"/>
  <c r="AD699" i="8"/>
  <c r="AE699" i="8" s="1"/>
  <c r="AG698" i="8"/>
  <c r="AF698" i="8"/>
  <c r="AD698" i="8"/>
  <c r="AE698" i="8" s="1"/>
  <c r="AG697" i="8"/>
  <c r="AF697" i="8"/>
  <c r="AD697" i="8"/>
  <c r="AE697" i="8" s="1"/>
  <c r="AG696" i="8"/>
  <c r="AF696" i="8"/>
  <c r="AD696" i="8"/>
  <c r="AE696" i="8" s="1"/>
  <c r="AG695" i="8"/>
  <c r="AF695" i="8"/>
  <c r="AD695" i="8"/>
  <c r="AE695" i="8" s="1"/>
  <c r="AG694" i="8"/>
  <c r="AF694" i="8"/>
  <c r="AD694" i="8"/>
  <c r="AE694" i="8" s="1"/>
  <c r="AG693" i="8"/>
  <c r="AF693" i="8"/>
  <c r="AD693" i="8"/>
  <c r="AE693" i="8" s="1"/>
  <c r="AG692" i="8"/>
  <c r="AF692" i="8"/>
  <c r="AD692" i="8"/>
  <c r="AE692" i="8" s="1"/>
  <c r="AG691" i="8"/>
  <c r="AF691" i="8"/>
  <c r="AD691" i="8"/>
  <c r="AE691" i="8" s="1"/>
  <c r="AG690" i="8"/>
  <c r="AF690" i="8"/>
  <c r="AD690" i="8"/>
  <c r="AE690" i="8" s="1"/>
  <c r="AG689" i="8"/>
  <c r="AF689" i="8"/>
  <c r="AD689" i="8"/>
  <c r="AE689" i="8" s="1"/>
  <c r="AG688" i="8"/>
  <c r="AF688" i="8"/>
  <c r="AD688" i="8"/>
  <c r="AE688" i="8" s="1"/>
  <c r="AG687" i="8"/>
  <c r="AF687" i="8"/>
  <c r="AD687" i="8"/>
  <c r="AE687" i="8" s="1"/>
  <c r="AG686" i="8"/>
  <c r="AF686" i="8"/>
  <c r="AD686" i="8"/>
  <c r="AE686" i="8" s="1"/>
  <c r="AG685" i="8"/>
  <c r="AF685" i="8"/>
  <c r="AD685" i="8"/>
  <c r="AE685" i="8" s="1"/>
  <c r="AG684" i="8"/>
  <c r="AF684" i="8"/>
  <c r="AD684" i="8"/>
  <c r="AE684" i="8" s="1"/>
  <c r="AG683" i="8"/>
  <c r="AF683" i="8"/>
  <c r="AD683" i="8"/>
  <c r="AE683" i="8" s="1"/>
  <c r="AG682" i="8"/>
  <c r="AF682" i="8"/>
  <c r="AD682" i="8"/>
  <c r="AE682" i="8" s="1"/>
  <c r="AG681" i="8"/>
  <c r="AF681" i="8"/>
  <c r="AD681" i="8"/>
  <c r="AE681" i="8" s="1"/>
  <c r="AG680" i="8"/>
  <c r="AF680" i="8"/>
  <c r="AD680" i="8"/>
  <c r="AE680" i="8" s="1"/>
  <c r="AG679" i="8"/>
  <c r="AF679" i="8"/>
  <c r="AD679" i="8"/>
  <c r="AE679" i="8" s="1"/>
  <c r="AG678" i="8"/>
  <c r="AF678" i="8"/>
  <c r="AD678" i="8"/>
  <c r="AE678" i="8" s="1"/>
  <c r="AG677" i="8"/>
  <c r="AF677" i="8"/>
  <c r="AD677" i="8"/>
  <c r="AE677" i="8" s="1"/>
  <c r="AG676" i="8"/>
  <c r="AF676" i="8"/>
  <c r="AD676" i="8"/>
  <c r="AE676" i="8" s="1"/>
  <c r="AG675" i="8"/>
  <c r="AF675" i="8"/>
  <c r="AD675" i="8"/>
  <c r="AE675" i="8" s="1"/>
  <c r="AG674" i="8"/>
  <c r="AF674" i="8"/>
  <c r="AD674" i="8"/>
  <c r="AE674" i="8" s="1"/>
  <c r="AG673" i="8"/>
  <c r="AF673" i="8"/>
  <c r="AD673" i="8"/>
  <c r="AE673" i="8" s="1"/>
  <c r="AG672" i="8"/>
  <c r="AF672" i="8"/>
  <c r="AD672" i="8"/>
  <c r="AE672" i="8" s="1"/>
  <c r="AG671" i="8"/>
  <c r="AF671" i="8"/>
  <c r="AD671" i="8"/>
  <c r="AE671" i="8" s="1"/>
  <c r="AG670" i="8"/>
  <c r="AF670" i="8"/>
  <c r="AD670" i="8"/>
  <c r="AE670" i="8" s="1"/>
  <c r="AG669" i="8"/>
  <c r="AF669" i="8"/>
  <c r="AD669" i="8"/>
  <c r="AE669" i="8" s="1"/>
  <c r="AG668" i="8"/>
  <c r="AF668" i="8"/>
  <c r="AD668" i="8"/>
  <c r="AE668" i="8" s="1"/>
  <c r="AG667" i="8"/>
  <c r="AF667" i="8"/>
  <c r="AD667" i="8"/>
  <c r="AE667" i="8" s="1"/>
  <c r="AG666" i="8"/>
  <c r="AF666" i="8"/>
  <c r="AD666" i="8"/>
  <c r="AE666" i="8" s="1"/>
  <c r="AG665" i="8"/>
  <c r="AF665" i="8"/>
  <c r="AD665" i="8"/>
  <c r="AE665" i="8" s="1"/>
  <c r="AG664" i="8"/>
  <c r="AF664" i="8"/>
  <c r="AD664" i="8"/>
  <c r="AE664" i="8" s="1"/>
  <c r="AG663" i="8"/>
  <c r="AF663" i="8"/>
  <c r="AD663" i="8"/>
  <c r="AE663" i="8" s="1"/>
  <c r="AG662" i="8"/>
  <c r="AF662" i="8"/>
  <c r="AD662" i="8"/>
  <c r="AE662" i="8" s="1"/>
  <c r="AG661" i="8"/>
  <c r="AF661" i="8"/>
  <c r="AD661" i="8"/>
  <c r="AE661" i="8" s="1"/>
  <c r="AG660" i="8"/>
  <c r="AF660" i="8"/>
  <c r="AD660" i="8"/>
  <c r="AE660" i="8" s="1"/>
  <c r="AG659" i="8"/>
  <c r="AF659" i="8"/>
  <c r="AD659" i="8"/>
  <c r="AE659" i="8" s="1"/>
  <c r="AG658" i="8"/>
  <c r="AF658" i="8"/>
  <c r="AD658" i="8"/>
  <c r="AE658" i="8" s="1"/>
  <c r="AG657" i="8"/>
  <c r="AF657" i="8"/>
  <c r="AD657" i="8"/>
  <c r="AE657" i="8" s="1"/>
  <c r="AG656" i="8"/>
  <c r="AF656" i="8"/>
  <c r="AD656" i="8"/>
  <c r="AE656" i="8" s="1"/>
  <c r="AG655" i="8"/>
  <c r="AF655" i="8"/>
  <c r="AD655" i="8"/>
  <c r="AE655" i="8" s="1"/>
  <c r="AG654" i="8"/>
  <c r="AF654" i="8"/>
  <c r="AD654" i="8"/>
  <c r="AE654" i="8" s="1"/>
  <c r="AG653" i="8"/>
  <c r="AF653" i="8"/>
  <c r="AD653" i="8"/>
  <c r="AE653" i="8" s="1"/>
  <c r="AG652" i="8"/>
  <c r="AF652" i="8"/>
  <c r="AD652" i="8"/>
  <c r="AE652" i="8" s="1"/>
  <c r="AG651" i="8"/>
  <c r="AF651" i="8"/>
  <c r="AD651" i="8"/>
  <c r="AE651" i="8" s="1"/>
  <c r="AG650" i="8"/>
  <c r="AF650" i="8"/>
  <c r="AD650" i="8"/>
  <c r="AE650" i="8" s="1"/>
  <c r="AG649" i="8"/>
  <c r="AF649" i="8"/>
  <c r="AD649" i="8"/>
  <c r="AE649" i="8" s="1"/>
  <c r="AG648" i="8"/>
  <c r="AF648" i="8"/>
  <c r="AD648" i="8"/>
  <c r="AE648" i="8" s="1"/>
  <c r="AG647" i="8"/>
  <c r="AF647" i="8"/>
  <c r="AD647" i="8"/>
  <c r="AE647" i="8" s="1"/>
  <c r="AG646" i="8"/>
  <c r="AF646" i="8"/>
  <c r="AD646" i="8"/>
  <c r="AE646" i="8" s="1"/>
  <c r="AG645" i="8"/>
  <c r="AF645" i="8"/>
  <c r="AD645" i="8"/>
  <c r="AE645" i="8" s="1"/>
  <c r="AG644" i="8"/>
  <c r="AF644" i="8"/>
  <c r="AD644" i="8"/>
  <c r="AE644" i="8" s="1"/>
  <c r="AG643" i="8"/>
  <c r="AF643" i="8"/>
  <c r="AD643" i="8"/>
  <c r="AE643" i="8" s="1"/>
  <c r="AG642" i="8"/>
  <c r="AF642" i="8"/>
  <c r="AD642" i="8"/>
  <c r="AE642" i="8" s="1"/>
  <c r="AG641" i="8"/>
  <c r="AF641" i="8"/>
  <c r="AD641" i="8"/>
  <c r="AE641" i="8" s="1"/>
  <c r="AG640" i="8"/>
  <c r="AF640" i="8"/>
  <c r="AD640" i="8"/>
  <c r="AE640" i="8" s="1"/>
  <c r="AG639" i="8"/>
  <c r="AF639" i="8"/>
  <c r="AD639" i="8"/>
  <c r="AE639" i="8" s="1"/>
  <c r="AG638" i="8"/>
  <c r="AF638" i="8"/>
  <c r="AD638" i="8"/>
  <c r="AE638" i="8" s="1"/>
  <c r="AG637" i="8"/>
  <c r="AF637" i="8"/>
  <c r="AD637" i="8"/>
  <c r="AE637" i="8" s="1"/>
  <c r="AG636" i="8"/>
  <c r="AF636" i="8"/>
  <c r="AD636" i="8"/>
  <c r="AE636" i="8" s="1"/>
  <c r="AG635" i="8"/>
  <c r="AF635" i="8"/>
  <c r="AD635" i="8"/>
  <c r="AE635" i="8" s="1"/>
  <c r="AG634" i="8"/>
  <c r="AF634" i="8"/>
  <c r="AD634" i="8"/>
  <c r="AE634" i="8" s="1"/>
  <c r="AG633" i="8"/>
  <c r="AF633" i="8"/>
  <c r="AD633" i="8"/>
  <c r="AE633" i="8" s="1"/>
  <c r="AG632" i="8"/>
  <c r="AF632" i="8"/>
  <c r="AD632" i="8"/>
  <c r="AE632" i="8" s="1"/>
  <c r="AG631" i="8"/>
  <c r="AF631" i="8"/>
  <c r="AD631" i="8"/>
  <c r="AE631" i="8" s="1"/>
  <c r="AG630" i="8"/>
  <c r="AF630" i="8"/>
  <c r="AD630" i="8"/>
  <c r="AE630" i="8" s="1"/>
  <c r="AG629" i="8"/>
  <c r="AF629" i="8"/>
  <c r="AD629" i="8"/>
  <c r="AE629" i="8" s="1"/>
  <c r="AG628" i="8"/>
  <c r="AF628" i="8"/>
  <c r="AD628" i="8"/>
  <c r="AE628" i="8" s="1"/>
  <c r="AG627" i="8"/>
  <c r="AF627" i="8"/>
  <c r="AD627" i="8"/>
  <c r="AE627" i="8" s="1"/>
  <c r="AG626" i="8"/>
  <c r="AF626" i="8"/>
  <c r="AD626" i="8"/>
  <c r="AE626" i="8" s="1"/>
  <c r="AG625" i="8"/>
  <c r="AF625" i="8"/>
  <c r="AD625" i="8"/>
  <c r="AE625" i="8" s="1"/>
  <c r="AG624" i="8"/>
  <c r="AF624" i="8"/>
  <c r="AD624" i="8"/>
  <c r="AE624" i="8" s="1"/>
  <c r="AG623" i="8"/>
  <c r="AF623" i="8"/>
  <c r="AD623" i="8"/>
  <c r="AE623" i="8" s="1"/>
  <c r="AG622" i="8"/>
  <c r="AF622" i="8"/>
  <c r="AD622" i="8"/>
  <c r="AE622" i="8" s="1"/>
  <c r="AG621" i="8"/>
  <c r="AF621" i="8"/>
  <c r="AD621" i="8"/>
  <c r="AE621" i="8" s="1"/>
  <c r="AG620" i="8"/>
  <c r="AF620" i="8"/>
  <c r="AD620" i="8"/>
  <c r="AE620" i="8" s="1"/>
  <c r="AG619" i="8"/>
  <c r="AF619" i="8"/>
  <c r="AD619" i="8"/>
  <c r="AE619" i="8" s="1"/>
  <c r="AG618" i="8"/>
  <c r="AF618" i="8"/>
  <c r="AD618" i="8"/>
  <c r="AE618" i="8" s="1"/>
  <c r="AG617" i="8"/>
  <c r="AF617" i="8"/>
  <c r="AD617" i="8"/>
  <c r="AE617" i="8" s="1"/>
  <c r="AG616" i="8"/>
  <c r="AF616" i="8"/>
  <c r="AD616" i="8"/>
  <c r="AE616" i="8" s="1"/>
  <c r="AG615" i="8"/>
  <c r="AF615" i="8"/>
  <c r="AD615" i="8"/>
  <c r="AE615" i="8" s="1"/>
  <c r="AG614" i="8"/>
  <c r="AF614" i="8"/>
  <c r="AD614" i="8"/>
  <c r="AE614" i="8" s="1"/>
  <c r="AG613" i="8"/>
  <c r="AF613" i="8"/>
  <c r="AD613" i="8"/>
  <c r="AE613" i="8" s="1"/>
  <c r="AG612" i="8"/>
  <c r="AF612" i="8"/>
  <c r="AD612" i="8"/>
  <c r="AE612" i="8" s="1"/>
  <c r="AG611" i="8"/>
  <c r="AF611" i="8"/>
  <c r="AD611" i="8"/>
  <c r="AE611" i="8" s="1"/>
  <c r="AG610" i="8"/>
  <c r="AF610" i="8"/>
  <c r="AD610" i="8"/>
  <c r="AE610" i="8" s="1"/>
  <c r="AG609" i="8"/>
  <c r="AF609" i="8"/>
  <c r="AD609" i="8"/>
  <c r="AE609" i="8" s="1"/>
  <c r="AG608" i="8"/>
  <c r="AF608" i="8"/>
  <c r="AD608" i="8"/>
  <c r="AE608" i="8" s="1"/>
  <c r="AG607" i="8"/>
  <c r="AF607" i="8"/>
  <c r="AD607" i="8"/>
  <c r="AE607" i="8" s="1"/>
  <c r="AG606" i="8"/>
  <c r="AF606" i="8"/>
  <c r="AD606" i="8"/>
  <c r="AE606" i="8" s="1"/>
  <c r="AG605" i="8"/>
  <c r="AF605" i="8"/>
  <c r="AD605" i="8"/>
  <c r="AE605" i="8" s="1"/>
  <c r="AG604" i="8"/>
  <c r="AF604" i="8"/>
  <c r="AD604" i="8"/>
  <c r="AE604" i="8" s="1"/>
  <c r="AG603" i="8"/>
  <c r="AF603" i="8"/>
  <c r="AD603" i="8"/>
  <c r="AE603" i="8" s="1"/>
  <c r="AG602" i="8"/>
  <c r="AF602" i="8"/>
  <c r="AD602" i="8"/>
  <c r="AE602" i="8" s="1"/>
  <c r="AG601" i="8"/>
  <c r="AF601" i="8"/>
  <c r="AD601" i="8"/>
  <c r="AE601" i="8" s="1"/>
  <c r="AG600" i="8"/>
  <c r="AF600" i="8"/>
  <c r="AD600" i="8"/>
  <c r="AE600" i="8" s="1"/>
  <c r="AG599" i="8"/>
  <c r="AF599" i="8"/>
  <c r="AD599" i="8"/>
  <c r="AE599" i="8" s="1"/>
  <c r="AG598" i="8"/>
  <c r="AF598" i="8"/>
  <c r="AD598" i="8"/>
  <c r="AE598" i="8" s="1"/>
  <c r="AG597" i="8"/>
  <c r="AF597" i="8"/>
  <c r="AD597" i="8"/>
  <c r="AE597" i="8" s="1"/>
  <c r="AG596" i="8"/>
  <c r="AF596" i="8"/>
  <c r="AD596" i="8"/>
  <c r="AE596" i="8" s="1"/>
  <c r="AG595" i="8"/>
  <c r="AF595" i="8"/>
  <c r="AD595" i="8"/>
  <c r="AE595" i="8" s="1"/>
  <c r="AG594" i="8"/>
  <c r="AF594" i="8"/>
  <c r="AD594" i="8"/>
  <c r="AE594" i="8" s="1"/>
  <c r="AG593" i="8"/>
  <c r="AF593" i="8"/>
  <c r="AD593" i="8"/>
  <c r="AE593" i="8" s="1"/>
  <c r="AG592" i="8"/>
  <c r="AF592" i="8"/>
  <c r="AD592" i="8"/>
  <c r="AE592" i="8" s="1"/>
  <c r="AG591" i="8"/>
  <c r="AF591" i="8"/>
  <c r="AD591" i="8"/>
  <c r="AE591" i="8" s="1"/>
  <c r="AG590" i="8"/>
  <c r="AF590" i="8"/>
  <c r="AD590" i="8"/>
  <c r="AE590" i="8" s="1"/>
  <c r="AG589" i="8"/>
  <c r="AF589" i="8"/>
  <c r="AD589" i="8"/>
  <c r="AE589" i="8" s="1"/>
  <c r="AG588" i="8"/>
  <c r="AF588" i="8"/>
  <c r="AD588" i="8"/>
  <c r="AE588" i="8" s="1"/>
  <c r="AG587" i="8"/>
  <c r="AF587" i="8"/>
  <c r="AD587" i="8"/>
  <c r="AE587" i="8" s="1"/>
  <c r="AG586" i="8"/>
  <c r="AF586" i="8"/>
  <c r="AD586" i="8"/>
  <c r="AE586" i="8" s="1"/>
  <c r="AG585" i="8"/>
  <c r="AF585" i="8"/>
  <c r="AD585" i="8"/>
  <c r="AE585" i="8" s="1"/>
  <c r="AG584" i="8"/>
  <c r="AF584" i="8"/>
  <c r="AD584" i="8"/>
  <c r="AE584" i="8" s="1"/>
  <c r="AG583" i="8"/>
  <c r="AF583" i="8"/>
  <c r="AD583" i="8"/>
  <c r="AE583" i="8" s="1"/>
  <c r="AG582" i="8"/>
  <c r="AF582" i="8"/>
  <c r="AD582" i="8"/>
  <c r="AE582" i="8" s="1"/>
  <c r="AG581" i="8"/>
  <c r="AF581" i="8"/>
  <c r="AD581" i="8"/>
  <c r="AE581" i="8" s="1"/>
  <c r="AG580" i="8"/>
  <c r="AF580" i="8"/>
  <c r="AD580" i="8"/>
  <c r="AE580" i="8" s="1"/>
  <c r="AG579" i="8"/>
  <c r="AF579" i="8"/>
  <c r="AD579" i="8"/>
  <c r="AE579" i="8" s="1"/>
  <c r="AG578" i="8"/>
  <c r="AF578" i="8"/>
  <c r="AD578" i="8"/>
  <c r="AE578" i="8" s="1"/>
  <c r="AG577" i="8"/>
  <c r="AF577" i="8"/>
  <c r="AD577" i="8"/>
  <c r="AE577" i="8" s="1"/>
  <c r="AG576" i="8"/>
  <c r="AF576" i="8"/>
  <c r="AD576" i="8"/>
  <c r="AE576" i="8" s="1"/>
  <c r="AG575" i="8"/>
  <c r="AF575" i="8"/>
  <c r="AD575" i="8"/>
  <c r="AE575" i="8" s="1"/>
  <c r="AG574" i="8"/>
  <c r="AF574" i="8"/>
  <c r="AD574" i="8"/>
  <c r="AE574" i="8" s="1"/>
  <c r="AG573" i="8"/>
  <c r="AF573" i="8"/>
  <c r="AD573" i="8"/>
  <c r="AE573" i="8" s="1"/>
  <c r="AG572" i="8"/>
  <c r="AF572" i="8"/>
  <c r="AD572" i="8"/>
  <c r="AE572" i="8" s="1"/>
  <c r="AG571" i="8"/>
  <c r="AF571" i="8"/>
  <c r="AD571" i="8"/>
  <c r="AE571" i="8" s="1"/>
  <c r="AG570" i="8"/>
  <c r="AF570" i="8"/>
  <c r="AD570" i="8"/>
  <c r="AE570" i="8" s="1"/>
  <c r="AG569" i="8"/>
  <c r="AF569" i="8"/>
  <c r="AD569" i="8"/>
  <c r="AE569" i="8" s="1"/>
  <c r="AG568" i="8"/>
  <c r="AF568" i="8"/>
  <c r="AD568" i="8"/>
  <c r="AE568" i="8" s="1"/>
  <c r="AG567" i="8"/>
  <c r="AF567" i="8"/>
  <c r="AD567" i="8"/>
  <c r="AE567" i="8" s="1"/>
  <c r="AG566" i="8"/>
  <c r="AF566" i="8"/>
  <c r="AD566" i="8"/>
  <c r="AE566" i="8" s="1"/>
  <c r="AG565" i="8"/>
  <c r="AF565" i="8"/>
  <c r="AD565" i="8"/>
  <c r="AE565" i="8" s="1"/>
  <c r="AG564" i="8"/>
  <c r="AF564" i="8"/>
  <c r="AD564" i="8"/>
  <c r="AE564" i="8" s="1"/>
  <c r="AG563" i="8"/>
  <c r="AF563" i="8"/>
  <c r="AD563" i="8"/>
  <c r="AE563" i="8" s="1"/>
  <c r="AG562" i="8"/>
  <c r="AF562" i="8"/>
  <c r="AD562" i="8"/>
  <c r="AE562" i="8" s="1"/>
  <c r="AG561" i="8"/>
  <c r="AF561" i="8"/>
  <c r="AD561" i="8"/>
  <c r="AE561" i="8" s="1"/>
  <c r="AG560" i="8"/>
  <c r="AF560" i="8"/>
  <c r="AD560" i="8"/>
  <c r="AE560" i="8" s="1"/>
  <c r="AG559" i="8"/>
  <c r="AF559" i="8"/>
  <c r="AD559" i="8"/>
  <c r="AE559" i="8" s="1"/>
  <c r="AG558" i="8"/>
  <c r="AF558" i="8"/>
  <c r="AD558" i="8"/>
  <c r="AE558" i="8" s="1"/>
  <c r="AG557" i="8"/>
  <c r="AF557" i="8"/>
  <c r="AD557" i="8"/>
  <c r="AE557" i="8" s="1"/>
  <c r="AG556" i="8"/>
  <c r="AF556" i="8"/>
  <c r="AD556" i="8"/>
  <c r="AE556" i="8" s="1"/>
  <c r="AG555" i="8"/>
  <c r="AF555" i="8"/>
  <c r="AD555" i="8"/>
  <c r="AE555" i="8" s="1"/>
  <c r="AG554" i="8"/>
  <c r="AF554" i="8"/>
  <c r="AD554" i="8"/>
  <c r="AE554" i="8" s="1"/>
  <c r="AG553" i="8"/>
  <c r="AF553" i="8"/>
  <c r="AD553" i="8"/>
  <c r="AE553" i="8" s="1"/>
  <c r="AG552" i="8"/>
  <c r="AF552" i="8"/>
  <c r="AD552" i="8"/>
  <c r="AE552" i="8" s="1"/>
  <c r="AG551" i="8"/>
  <c r="AF551" i="8"/>
  <c r="AD551" i="8"/>
  <c r="AE551" i="8" s="1"/>
  <c r="AG550" i="8"/>
  <c r="AF550" i="8"/>
  <c r="AD550" i="8"/>
  <c r="AE550" i="8" s="1"/>
  <c r="AG549" i="8"/>
  <c r="AF549" i="8"/>
  <c r="AD549" i="8"/>
  <c r="AE549" i="8" s="1"/>
  <c r="AG548" i="8"/>
  <c r="AF548" i="8"/>
  <c r="AD548" i="8"/>
  <c r="AE548" i="8" s="1"/>
  <c r="AG547" i="8"/>
  <c r="AF547" i="8"/>
  <c r="AD547" i="8"/>
  <c r="AE547" i="8" s="1"/>
  <c r="AG546" i="8"/>
  <c r="AF546" i="8"/>
  <c r="AD546" i="8"/>
  <c r="AE546" i="8" s="1"/>
  <c r="AG545" i="8"/>
  <c r="AF545" i="8"/>
  <c r="AD545" i="8"/>
  <c r="AE545" i="8" s="1"/>
  <c r="AG544" i="8"/>
  <c r="AF544" i="8"/>
  <c r="AD544" i="8"/>
  <c r="AE544" i="8" s="1"/>
  <c r="AG543" i="8"/>
  <c r="AF543" i="8"/>
  <c r="AD543" i="8"/>
  <c r="AE543" i="8" s="1"/>
  <c r="AG542" i="8"/>
  <c r="AF542" i="8"/>
  <c r="AD542" i="8"/>
  <c r="AE542" i="8" s="1"/>
  <c r="AG541" i="8"/>
  <c r="AF541" i="8"/>
  <c r="AD541" i="8"/>
  <c r="AE541" i="8" s="1"/>
  <c r="AG540" i="8"/>
  <c r="AF540" i="8"/>
  <c r="AD540" i="8"/>
  <c r="AE540" i="8" s="1"/>
  <c r="AG539" i="8"/>
  <c r="AF539" i="8"/>
  <c r="AD539" i="8"/>
  <c r="AE539" i="8" s="1"/>
  <c r="AG538" i="8"/>
  <c r="AF538" i="8"/>
  <c r="AD538" i="8"/>
  <c r="AE538" i="8" s="1"/>
  <c r="AG537" i="8"/>
  <c r="AF537" i="8"/>
  <c r="AD537" i="8"/>
  <c r="AE537" i="8" s="1"/>
  <c r="AG536" i="8"/>
  <c r="AF536" i="8"/>
  <c r="AD536" i="8"/>
  <c r="AE536" i="8" s="1"/>
  <c r="AG535" i="8"/>
  <c r="AF535" i="8"/>
  <c r="AD535" i="8"/>
  <c r="AE535" i="8" s="1"/>
  <c r="AG534" i="8"/>
  <c r="AF534" i="8"/>
  <c r="AD534" i="8"/>
  <c r="AE534" i="8" s="1"/>
  <c r="AG533" i="8"/>
  <c r="AF533" i="8"/>
  <c r="AD533" i="8"/>
  <c r="AE533" i="8" s="1"/>
  <c r="AG532" i="8"/>
  <c r="AF532" i="8"/>
  <c r="AD532" i="8"/>
  <c r="AE532" i="8" s="1"/>
  <c r="AG531" i="8"/>
  <c r="AF531" i="8"/>
  <c r="AD531" i="8"/>
  <c r="AE531" i="8" s="1"/>
  <c r="AG530" i="8"/>
  <c r="AF530" i="8"/>
  <c r="AD530" i="8"/>
  <c r="AE530" i="8" s="1"/>
  <c r="AG529" i="8"/>
  <c r="AF529" i="8"/>
  <c r="AD529" i="8"/>
  <c r="AE529" i="8" s="1"/>
  <c r="AG528" i="8"/>
  <c r="AF528" i="8"/>
  <c r="AD528" i="8"/>
  <c r="AE528" i="8" s="1"/>
  <c r="AG527" i="8"/>
  <c r="AF527" i="8"/>
  <c r="AD527" i="8"/>
  <c r="AE527" i="8" s="1"/>
  <c r="AG526" i="8"/>
  <c r="AF526" i="8"/>
  <c r="AD526" i="8"/>
  <c r="AE526" i="8" s="1"/>
  <c r="AG525" i="8"/>
  <c r="AF525" i="8"/>
  <c r="AD525" i="8"/>
  <c r="AE525" i="8" s="1"/>
  <c r="AG524" i="8"/>
  <c r="AF524" i="8"/>
  <c r="AD524" i="8"/>
  <c r="AE524" i="8" s="1"/>
  <c r="AG523" i="8"/>
  <c r="AF523" i="8"/>
  <c r="AD523" i="8"/>
  <c r="AE523" i="8" s="1"/>
  <c r="AG522" i="8"/>
  <c r="AF522" i="8"/>
  <c r="AD522" i="8"/>
  <c r="AE522" i="8" s="1"/>
  <c r="AG521" i="8"/>
  <c r="AF521" i="8"/>
  <c r="AD521" i="8"/>
  <c r="AE521" i="8" s="1"/>
  <c r="AG520" i="8"/>
  <c r="AF520" i="8"/>
  <c r="AD520" i="8"/>
  <c r="AE520" i="8" s="1"/>
  <c r="AG519" i="8"/>
  <c r="AF519" i="8"/>
  <c r="AD519" i="8"/>
  <c r="AE519" i="8" s="1"/>
  <c r="AG518" i="8"/>
  <c r="AF518" i="8"/>
  <c r="AD518" i="8"/>
  <c r="AE518" i="8" s="1"/>
  <c r="AG517" i="8"/>
  <c r="AF517" i="8"/>
  <c r="AD517" i="8"/>
  <c r="AE517" i="8" s="1"/>
  <c r="AG516" i="8"/>
  <c r="AF516" i="8"/>
  <c r="AD516" i="8"/>
  <c r="AE516" i="8" s="1"/>
  <c r="AG515" i="8"/>
  <c r="AF515" i="8"/>
  <c r="AD515" i="8"/>
  <c r="AE515" i="8" s="1"/>
  <c r="AG514" i="8"/>
  <c r="AF514" i="8"/>
  <c r="AD514" i="8"/>
  <c r="AE514" i="8" s="1"/>
  <c r="AG513" i="8"/>
  <c r="AF513" i="8"/>
  <c r="AD513" i="8"/>
  <c r="AE513" i="8" s="1"/>
  <c r="AG512" i="8"/>
  <c r="AF512" i="8"/>
  <c r="AD512" i="8"/>
  <c r="AE512" i="8" s="1"/>
  <c r="AG511" i="8"/>
  <c r="AF511" i="8"/>
  <c r="AD511" i="8"/>
  <c r="AE511" i="8" s="1"/>
  <c r="AG510" i="8"/>
  <c r="AF510" i="8"/>
  <c r="AD510" i="8"/>
  <c r="AE510" i="8" s="1"/>
  <c r="AG509" i="8"/>
  <c r="AF509" i="8"/>
  <c r="AD509" i="8"/>
  <c r="AE509" i="8" s="1"/>
  <c r="AG508" i="8"/>
  <c r="AF508" i="8"/>
  <c r="AD508" i="8"/>
  <c r="AE508" i="8" s="1"/>
  <c r="AG507" i="8"/>
  <c r="AF507" i="8"/>
  <c r="AD507" i="8"/>
  <c r="AE507" i="8" s="1"/>
  <c r="AG506" i="8"/>
  <c r="AF506" i="8"/>
  <c r="AD506" i="8"/>
  <c r="AE506" i="8" s="1"/>
  <c r="AG505" i="8"/>
  <c r="AF505" i="8"/>
  <c r="AD505" i="8"/>
  <c r="AE505" i="8" s="1"/>
  <c r="AG504" i="8"/>
  <c r="AF504" i="8"/>
  <c r="AD504" i="8"/>
  <c r="AE504" i="8" s="1"/>
  <c r="AG503" i="8"/>
  <c r="AF503" i="8"/>
  <c r="AD503" i="8"/>
  <c r="AE503" i="8" s="1"/>
  <c r="AG502" i="8"/>
  <c r="AF502" i="8"/>
  <c r="AD502" i="8"/>
  <c r="AE502" i="8" s="1"/>
  <c r="AG501" i="8"/>
  <c r="AF501" i="8"/>
  <c r="AD501" i="8"/>
  <c r="AE501" i="8" s="1"/>
  <c r="AG500" i="8"/>
  <c r="AF500" i="8"/>
  <c r="AD500" i="8"/>
  <c r="AE500" i="8" s="1"/>
  <c r="AG499" i="8"/>
  <c r="AF499" i="8"/>
  <c r="AD499" i="8"/>
  <c r="AE499" i="8" s="1"/>
  <c r="AG498" i="8"/>
  <c r="AF498" i="8"/>
  <c r="AD498" i="8"/>
  <c r="AE498" i="8" s="1"/>
  <c r="AG497" i="8"/>
  <c r="AF497" i="8"/>
  <c r="AD497" i="8"/>
  <c r="AE497" i="8" s="1"/>
  <c r="AG496" i="8"/>
  <c r="AF496" i="8"/>
  <c r="AD496" i="8"/>
  <c r="AE496" i="8" s="1"/>
  <c r="AG495" i="8"/>
  <c r="AF495" i="8"/>
  <c r="AD495" i="8"/>
  <c r="AE495" i="8" s="1"/>
  <c r="AG494" i="8"/>
  <c r="AF494" i="8"/>
  <c r="AD494" i="8"/>
  <c r="AE494" i="8" s="1"/>
  <c r="AG493" i="8"/>
  <c r="AF493" i="8"/>
  <c r="AD493" i="8"/>
  <c r="AE493" i="8" s="1"/>
  <c r="AG492" i="8"/>
  <c r="AF492" i="8"/>
  <c r="AD492" i="8"/>
  <c r="AE492" i="8" s="1"/>
  <c r="AG491" i="8"/>
  <c r="AF491" i="8"/>
  <c r="AD491" i="8"/>
  <c r="AE491" i="8" s="1"/>
  <c r="AG490" i="8"/>
  <c r="AF490" i="8"/>
  <c r="AD490" i="8"/>
  <c r="AE490" i="8" s="1"/>
  <c r="AG489" i="8"/>
  <c r="AF489" i="8"/>
  <c r="AD489" i="8"/>
  <c r="AE489" i="8" s="1"/>
  <c r="AG488" i="8"/>
  <c r="AF488" i="8"/>
  <c r="AD488" i="8"/>
  <c r="AE488" i="8" s="1"/>
  <c r="AG487" i="8"/>
  <c r="AF487" i="8"/>
  <c r="AD487" i="8"/>
  <c r="AE487" i="8" s="1"/>
  <c r="AG486" i="8"/>
  <c r="AF486" i="8"/>
  <c r="AD486" i="8"/>
  <c r="AE486" i="8" s="1"/>
  <c r="AG485" i="8"/>
  <c r="AF485" i="8"/>
  <c r="AD485" i="8"/>
  <c r="AE485" i="8" s="1"/>
  <c r="AG484" i="8"/>
  <c r="AF484" i="8"/>
  <c r="AD484" i="8"/>
  <c r="AE484" i="8" s="1"/>
  <c r="AG483" i="8"/>
  <c r="AF483" i="8"/>
  <c r="AD483" i="8"/>
  <c r="AE483" i="8" s="1"/>
  <c r="AG482" i="8"/>
  <c r="AF482" i="8"/>
  <c r="AD482" i="8"/>
  <c r="AE482" i="8" s="1"/>
  <c r="AG481" i="8"/>
  <c r="AF481" i="8"/>
  <c r="AD481" i="8"/>
  <c r="AE481" i="8" s="1"/>
  <c r="AG480" i="8"/>
  <c r="AF480" i="8"/>
  <c r="AD480" i="8"/>
  <c r="AE480" i="8" s="1"/>
  <c r="AG479" i="8"/>
  <c r="AF479" i="8"/>
  <c r="AD479" i="8"/>
  <c r="AE479" i="8" s="1"/>
  <c r="AG478" i="8"/>
  <c r="AF478" i="8"/>
  <c r="AD478" i="8"/>
  <c r="AE478" i="8" s="1"/>
  <c r="AG477" i="8"/>
  <c r="AF477" i="8"/>
  <c r="AD477" i="8"/>
  <c r="AE477" i="8" s="1"/>
  <c r="AG476" i="8"/>
  <c r="AF476" i="8"/>
  <c r="AD476" i="8"/>
  <c r="AE476" i="8" s="1"/>
  <c r="AG475" i="8"/>
  <c r="AF475" i="8"/>
  <c r="AD475" i="8"/>
  <c r="AE475" i="8" s="1"/>
  <c r="AG474" i="8"/>
  <c r="AF474" i="8"/>
  <c r="AD474" i="8"/>
  <c r="AE474" i="8" s="1"/>
  <c r="AG473" i="8"/>
  <c r="AF473" i="8"/>
  <c r="AD473" i="8"/>
  <c r="AE473" i="8" s="1"/>
  <c r="AG472" i="8"/>
  <c r="AF472" i="8"/>
  <c r="AD472" i="8"/>
  <c r="AE472" i="8" s="1"/>
  <c r="AG471" i="8"/>
  <c r="AF471" i="8"/>
  <c r="AD471" i="8"/>
  <c r="AE471" i="8" s="1"/>
  <c r="AG470" i="8"/>
  <c r="AF470" i="8"/>
  <c r="AD470" i="8"/>
  <c r="AE470" i="8" s="1"/>
  <c r="AG469" i="8"/>
  <c r="AF469" i="8"/>
  <c r="AD469" i="8"/>
  <c r="AE469" i="8" s="1"/>
  <c r="AG468" i="8"/>
  <c r="AF468" i="8"/>
  <c r="AD468" i="8"/>
  <c r="AE468" i="8" s="1"/>
  <c r="AG467" i="8"/>
  <c r="AF467" i="8"/>
  <c r="AD467" i="8"/>
  <c r="AE467" i="8" s="1"/>
  <c r="AG466" i="8"/>
  <c r="AF466" i="8"/>
  <c r="AD466" i="8"/>
  <c r="AE466" i="8" s="1"/>
  <c r="AG465" i="8"/>
  <c r="AF465" i="8"/>
  <c r="AD465" i="8"/>
  <c r="AE465" i="8" s="1"/>
  <c r="AG464" i="8"/>
  <c r="AF464" i="8"/>
  <c r="AD464" i="8"/>
  <c r="AE464" i="8" s="1"/>
  <c r="AG463" i="8"/>
  <c r="AF463" i="8"/>
  <c r="AD463" i="8"/>
  <c r="AE463" i="8" s="1"/>
  <c r="AG462" i="8"/>
  <c r="AF462" i="8"/>
  <c r="AD462" i="8"/>
  <c r="AE462" i="8" s="1"/>
  <c r="AG461" i="8"/>
  <c r="AF461" i="8"/>
  <c r="AD461" i="8"/>
  <c r="AE461" i="8" s="1"/>
  <c r="AG460" i="8"/>
  <c r="AF460" i="8"/>
  <c r="AD460" i="8"/>
  <c r="AE460" i="8" s="1"/>
  <c r="AG459" i="8"/>
  <c r="AF459" i="8"/>
  <c r="AD459" i="8"/>
  <c r="AE459" i="8" s="1"/>
  <c r="AG458" i="8"/>
  <c r="AF458" i="8"/>
  <c r="AD458" i="8"/>
  <c r="AE458" i="8" s="1"/>
  <c r="AG457" i="8"/>
  <c r="AF457" i="8"/>
  <c r="AD457" i="8"/>
  <c r="AE457" i="8" s="1"/>
  <c r="AG456" i="8"/>
  <c r="AF456" i="8"/>
  <c r="AD456" i="8"/>
  <c r="AE456" i="8" s="1"/>
  <c r="AG455" i="8"/>
  <c r="AF455" i="8"/>
  <c r="AD455" i="8"/>
  <c r="AE455" i="8" s="1"/>
  <c r="AG454" i="8"/>
  <c r="AF454" i="8"/>
  <c r="AD454" i="8"/>
  <c r="AE454" i="8" s="1"/>
  <c r="AG453" i="8"/>
  <c r="AF453" i="8"/>
  <c r="AD453" i="8"/>
  <c r="AE453" i="8" s="1"/>
  <c r="AG452" i="8"/>
  <c r="AF452" i="8"/>
  <c r="AD452" i="8"/>
  <c r="AE452" i="8" s="1"/>
  <c r="AG451" i="8"/>
  <c r="AF451" i="8"/>
  <c r="AD451" i="8"/>
  <c r="AE451" i="8" s="1"/>
  <c r="AG450" i="8"/>
  <c r="AF450" i="8"/>
  <c r="AD450" i="8"/>
  <c r="AE450" i="8" s="1"/>
  <c r="AG449" i="8"/>
  <c r="AF449" i="8"/>
  <c r="AD449" i="8"/>
  <c r="AE449" i="8" s="1"/>
  <c r="AG448" i="8"/>
  <c r="AF448" i="8"/>
  <c r="AD448" i="8"/>
  <c r="AE448" i="8" s="1"/>
  <c r="AG447" i="8"/>
  <c r="AF447" i="8"/>
  <c r="AD447" i="8"/>
  <c r="AE447" i="8" s="1"/>
  <c r="AG446" i="8"/>
  <c r="AF446" i="8"/>
  <c r="AD446" i="8"/>
  <c r="AE446" i="8" s="1"/>
  <c r="AG445" i="8"/>
  <c r="AF445" i="8"/>
  <c r="AD445" i="8"/>
  <c r="AE445" i="8" s="1"/>
  <c r="AG444" i="8"/>
  <c r="AF444" i="8"/>
  <c r="AD444" i="8"/>
  <c r="AE444" i="8" s="1"/>
  <c r="AG443" i="8"/>
  <c r="AF443" i="8"/>
  <c r="AD443" i="8"/>
  <c r="AE443" i="8" s="1"/>
  <c r="AG442" i="8"/>
  <c r="AF442" i="8"/>
  <c r="AD442" i="8"/>
  <c r="AE442" i="8" s="1"/>
  <c r="AG441" i="8"/>
  <c r="AF441" i="8"/>
  <c r="AD441" i="8"/>
  <c r="AE441" i="8" s="1"/>
  <c r="AG440" i="8"/>
  <c r="AF440" i="8"/>
  <c r="AD440" i="8"/>
  <c r="AE440" i="8" s="1"/>
  <c r="AG439" i="8"/>
  <c r="AF439" i="8"/>
  <c r="AD439" i="8"/>
  <c r="AE439" i="8" s="1"/>
  <c r="AG438" i="8"/>
  <c r="AF438" i="8"/>
  <c r="AD438" i="8"/>
  <c r="AE438" i="8" s="1"/>
  <c r="AG437" i="8"/>
  <c r="AF437" i="8"/>
  <c r="AD437" i="8"/>
  <c r="AE437" i="8" s="1"/>
  <c r="AG436" i="8"/>
  <c r="AF436" i="8"/>
  <c r="AD436" i="8"/>
  <c r="AE436" i="8" s="1"/>
  <c r="AG435" i="8"/>
  <c r="AF435" i="8"/>
  <c r="AD435" i="8"/>
  <c r="AE435" i="8" s="1"/>
  <c r="AG434" i="8"/>
  <c r="AF434" i="8"/>
  <c r="AD434" i="8"/>
  <c r="AE434" i="8" s="1"/>
  <c r="AG433" i="8"/>
  <c r="AF433" i="8"/>
  <c r="AD433" i="8"/>
  <c r="AE433" i="8" s="1"/>
  <c r="AG432" i="8"/>
  <c r="AF432" i="8"/>
  <c r="AD432" i="8"/>
  <c r="AE432" i="8" s="1"/>
  <c r="AG431" i="8"/>
  <c r="AF431" i="8"/>
  <c r="AD431" i="8"/>
  <c r="AE431" i="8" s="1"/>
  <c r="AG430" i="8"/>
  <c r="AF430" i="8"/>
  <c r="AD430" i="8"/>
  <c r="AE430" i="8" s="1"/>
  <c r="AG429" i="8"/>
  <c r="AF429" i="8"/>
  <c r="AD429" i="8"/>
  <c r="AE429" i="8" s="1"/>
  <c r="AG428" i="8"/>
  <c r="AF428" i="8"/>
  <c r="AD428" i="8"/>
  <c r="AE428" i="8" s="1"/>
  <c r="AG427" i="8"/>
  <c r="AF427" i="8"/>
  <c r="AD427" i="8"/>
  <c r="AE427" i="8" s="1"/>
  <c r="AG426" i="8"/>
  <c r="AF426" i="8"/>
  <c r="AD426" i="8"/>
  <c r="AE426" i="8" s="1"/>
  <c r="AG425" i="8"/>
  <c r="AF425" i="8"/>
  <c r="AD425" i="8"/>
  <c r="AE425" i="8" s="1"/>
  <c r="AG424" i="8"/>
  <c r="AF424" i="8"/>
  <c r="AD424" i="8"/>
  <c r="AE424" i="8" s="1"/>
  <c r="AG423" i="8"/>
  <c r="AF423" i="8"/>
  <c r="AD423" i="8"/>
  <c r="AE423" i="8" s="1"/>
  <c r="AG422" i="8"/>
  <c r="AF422" i="8"/>
  <c r="AD422" i="8"/>
  <c r="AE422" i="8" s="1"/>
  <c r="AG421" i="8"/>
  <c r="AF421" i="8"/>
  <c r="AD421" i="8"/>
  <c r="AE421" i="8" s="1"/>
  <c r="AG420" i="8"/>
  <c r="AF420" i="8"/>
  <c r="AD420" i="8"/>
  <c r="AE420" i="8" s="1"/>
  <c r="AG419" i="8"/>
  <c r="AF419" i="8"/>
  <c r="AD419" i="8"/>
  <c r="AE419" i="8" s="1"/>
  <c r="AG418" i="8"/>
  <c r="AF418" i="8"/>
  <c r="AD418" i="8"/>
  <c r="AE418" i="8" s="1"/>
  <c r="AG417" i="8"/>
  <c r="AF417" i="8"/>
  <c r="AD417" i="8"/>
  <c r="AE417" i="8" s="1"/>
  <c r="AG416" i="8"/>
  <c r="AF416" i="8"/>
  <c r="AD416" i="8"/>
  <c r="AE416" i="8" s="1"/>
  <c r="AG415" i="8"/>
  <c r="AF415" i="8"/>
  <c r="AD415" i="8"/>
  <c r="AE415" i="8" s="1"/>
  <c r="AG414" i="8"/>
  <c r="AF414" i="8"/>
  <c r="AD414" i="8"/>
  <c r="AE414" i="8" s="1"/>
  <c r="AG413" i="8"/>
  <c r="AF413" i="8"/>
  <c r="AD413" i="8"/>
  <c r="AE413" i="8" s="1"/>
  <c r="AG412" i="8"/>
  <c r="AF412" i="8"/>
  <c r="AD412" i="8"/>
  <c r="AE412" i="8" s="1"/>
  <c r="AG411" i="8"/>
  <c r="AF411" i="8"/>
  <c r="AD411" i="8"/>
  <c r="AE411" i="8" s="1"/>
  <c r="AG410" i="8"/>
  <c r="AF410" i="8"/>
  <c r="AD410" i="8"/>
  <c r="AE410" i="8" s="1"/>
  <c r="AG409" i="8"/>
  <c r="AF409" i="8"/>
  <c r="AD409" i="8"/>
  <c r="AE409" i="8" s="1"/>
  <c r="AG408" i="8"/>
  <c r="AF408" i="8"/>
  <c r="AD408" i="8"/>
  <c r="AE408" i="8" s="1"/>
  <c r="AG407" i="8"/>
  <c r="AF407" i="8"/>
  <c r="AD407" i="8"/>
  <c r="AE407" i="8" s="1"/>
  <c r="AG406" i="8"/>
  <c r="AF406" i="8"/>
  <c r="AD406" i="8"/>
  <c r="AE406" i="8" s="1"/>
  <c r="AG405" i="8"/>
  <c r="AF405" i="8"/>
  <c r="AD405" i="8"/>
  <c r="AE405" i="8" s="1"/>
  <c r="AG404" i="8"/>
  <c r="AF404" i="8"/>
  <c r="AD404" i="8"/>
  <c r="AE404" i="8" s="1"/>
  <c r="AG403" i="8"/>
  <c r="AF403" i="8"/>
  <c r="AD403" i="8"/>
  <c r="AE403" i="8" s="1"/>
  <c r="AG402" i="8"/>
  <c r="AF402" i="8"/>
  <c r="AD402" i="8"/>
  <c r="AE402" i="8" s="1"/>
  <c r="AG401" i="8"/>
  <c r="AF401" i="8"/>
  <c r="AD401" i="8"/>
  <c r="AE401" i="8" s="1"/>
  <c r="AG400" i="8"/>
  <c r="AF400" i="8"/>
  <c r="AD400" i="8"/>
  <c r="AE400" i="8" s="1"/>
  <c r="AG399" i="8"/>
  <c r="AF399" i="8"/>
  <c r="AD399" i="8"/>
  <c r="AE399" i="8" s="1"/>
  <c r="AG398" i="8"/>
  <c r="AF398" i="8"/>
  <c r="AD398" i="8"/>
  <c r="AE398" i="8" s="1"/>
  <c r="AG397" i="8"/>
  <c r="AF397" i="8"/>
  <c r="AD397" i="8"/>
  <c r="AE397" i="8" s="1"/>
  <c r="AG396" i="8"/>
  <c r="AF396" i="8"/>
  <c r="AD396" i="8"/>
  <c r="AE396" i="8" s="1"/>
  <c r="AG395" i="8"/>
  <c r="AF395" i="8"/>
  <c r="AD395" i="8"/>
  <c r="AE395" i="8" s="1"/>
  <c r="AG394" i="8"/>
  <c r="AF394" i="8"/>
  <c r="AD394" i="8"/>
  <c r="AE394" i="8" s="1"/>
  <c r="AG393" i="8"/>
  <c r="AF393" i="8"/>
  <c r="AD393" i="8"/>
  <c r="AE393" i="8" s="1"/>
  <c r="AG392" i="8"/>
  <c r="AF392" i="8"/>
  <c r="AD392" i="8"/>
  <c r="AE392" i="8" s="1"/>
  <c r="AG391" i="8"/>
  <c r="AF391" i="8"/>
  <c r="AD391" i="8"/>
  <c r="AE391" i="8" s="1"/>
  <c r="AG390" i="8"/>
  <c r="AF390" i="8"/>
  <c r="AD390" i="8"/>
  <c r="AE390" i="8" s="1"/>
  <c r="AG389" i="8"/>
  <c r="AF389" i="8"/>
  <c r="AD389" i="8"/>
  <c r="AE389" i="8" s="1"/>
  <c r="AG388" i="8"/>
  <c r="AF388" i="8"/>
  <c r="AD388" i="8"/>
  <c r="AE388" i="8" s="1"/>
  <c r="AG387" i="8"/>
  <c r="AF387" i="8"/>
  <c r="AD387" i="8"/>
  <c r="AE387" i="8" s="1"/>
  <c r="AG386" i="8"/>
  <c r="AF386" i="8"/>
  <c r="AD386" i="8"/>
  <c r="AE386" i="8" s="1"/>
  <c r="AG385" i="8"/>
  <c r="AF385" i="8"/>
  <c r="AD385" i="8"/>
  <c r="AE385" i="8" s="1"/>
  <c r="AG384" i="8"/>
  <c r="AF384" i="8"/>
  <c r="AD384" i="8"/>
  <c r="AE384" i="8" s="1"/>
  <c r="AG383" i="8"/>
  <c r="AF383" i="8"/>
  <c r="AD383" i="8"/>
  <c r="AE383" i="8" s="1"/>
  <c r="AG382" i="8"/>
  <c r="AF382" i="8"/>
  <c r="AD382" i="8"/>
  <c r="AE382" i="8" s="1"/>
  <c r="AG381" i="8"/>
  <c r="AF381" i="8"/>
  <c r="AD381" i="8"/>
  <c r="AE381" i="8" s="1"/>
  <c r="AG380" i="8"/>
  <c r="AF380" i="8"/>
  <c r="AD380" i="8"/>
  <c r="AE380" i="8" s="1"/>
  <c r="AG379" i="8"/>
  <c r="AF379" i="8"/>
  <c r="AD379" i="8"/>
  <c r="AE379" i="8" s="1"/>
  <c r="AG378" i="8"/>
  <c r="AF378" i="8"/>
  <c r="AD378" i="8"/>
  <c r="AE378" i="8" s="1"/>
  <c r="AG377" i="8"/>
  <c r="AF377" i="8"/>
  <c r="AD377" i="8"/>
  <c r="AE377" i="8" s="1"/>
  <c r="AG376" i="8"/>
  <c r="AF376" i="8"/>
  <c r="AD376" i="8"/>
  <c r="AE376" i="8" s="1"/>
  <c r="AG375" i="8"/>
  <c r="AF375" i="8"/>
  <c r="AD375" i="8"/>
  <c r="AE375" i="8" s="1"/>
  <c r="AG374" i="8"/>
  <c r="AF374" i="8"/>
  <c r="AD374" i="8"/>
  <c r="AE374" i="8" s="1"/>
  <c r="AG373" i="8"/>
  <c r="AF373" i="8"/>
  <c r="AD373" i="8"/>
  <c r="AE373" i="8" s="1"/>
  <c r="AG372" i="8"/>
  <c r="AF372" i="8"/>
  <c r="AD372" i="8"/>
  <c r="AE372" i="8" s="1"/>
  <c r="AG371" i="8"/>
  <c r="AF371" i="8"/>
  <c r="AD371" i="8"/>
  <c r="AE371" i="8" s="1"/>
  <c r="AG370" i="8"/>
  <c r="AF370" i="8"/>
  <c r="AD370" i="8"/>
  <c r="AE370" i="8" s="1"/>
  <c r="AG369" i="8"/>
  <c r="AF369" i="8"/>
  <c r="AD369" i="8"/>
  <c r="AE369" i="8" s="1"/>
  <c r="AG368" i="8"/>
  <c r="AF368" i="8"/>
  <c r="AD368" i="8"/>
  <c r="AE368" i="8" s="1"/>
  <c r="AG367" i="8"/>
  <c r="AF367" i="8"/>
  <c r="AD367" i="8"/>
  <c r="AE367" i="8" s="1"/>
  <c r="AG366" i="8"/>
  <c r="AF366" i="8"/>
  <c r="AD366" i="8"/>
  <c r="AE366" i="8" s="1"/>
  <c r="AG365" i="8"/>
  <c r="AF365" i="8"/>
  <c r="AD365" i="8"/>
  <c r="AE365" i="8" s="1"/>
  <c r="AG364" i="8"/>
  <c r="AF364" i="8"/>
  <c r="AD364" i="8"/>
  <c r="AE364" i="8" s="1"/>
  <c r="AG363" i="8"/>
  <c r="AF363" i="8"/>
  <c r="AD363" i="8"/>
  <c r="AE363" i="8" s="1"/>
  <c r="AG362" i="8"/>
  <c r="AF362" i="8"/>
  <c r="AD362" i="8"/>
  <c r="AE362" i="8" s="1"/>
  <c r="AG361" i="8"/>
  <c r="AF361" i="8"/>
  <c r="AD361" i="8"/>
  <c r="AE361" i="8" s="1"/>
  <c r="AG360" i="8"/>
  <c r="AF360" i="8"/>
  <c r="AD360" i="8"/>
  <c r="AE360" i="8" s="1"/>
  <c r="AG359" i="8"/>
  <c r="AF359" i="8"/>
  <c r="AD359" i="8"/>
  <c r="AE359" i="8" s="1"/>
  <c r="AG358" i="8"/>
  <c r="AF358" i="8"/>
  <c r="AD358" i="8"/>
  <c r="AE358" i="8" s="1"/>
  <c r="AG357" i="8"/>
  <c r="AF357" i="8"/>
  <c r="AD357" i="8"/>
  <c r="AE357" i="8" s="1"/>
  <c r="AG356" i="8"/>
  <c r="AF356" i="8"/>
  <c r="AD356" i="8"/>
  <c r="AE356" i="8" s="1"/>
  <c r="AG355" i="8"/>
  <c r="AF355" i="8"/>
  <c r="AD355" i="8"/>
  <c r="AE355" i="8" s="1"/>
  <c r="AG354" i="8"/>
  <c r="AF354" i="8"/>
  <c r="AD354" i="8"/>
  <c r="AE354" i="8" s="1"/>
  <c r="AG353" i="8"/>
  <c r="AF353" i="8"/>
  <c r="AD353" i="8"/>
  <c r="AE353" i="8" s="1"/>
  <c r="AG352" i="8"/>
  <c r="AF352" i="8"/>
  <c r="AD352" i="8"/>
  <c r="AE352" i="8" s="1"/>
  <c r="AG351" i="8"/>
  <c r="AF351" i="8"/>
  <c r="AD351" i="8"/>
  <c r="AE351" i="8" s="1"/>
  <c r="AG350" i="8"/>
  <c r="AF350" i="8"/>
  <c r="AD350" i="8"/>
  <c r="AE350" i="8" s="1"/>
  <c r="AG349" i="8"/>
  <c r="AF349" i="8"/>
  <c r="AD349" i="8"/>
  <c r="AE349" i="8" s="1"/>
  <c r="AG348" i="8"/>
  <c r="AF348" i="8"/>
  <c r="AD348" i="8"/>
  <c r="AE348" i="8" s="1"/>
  <c r="AG347" i="8"/>
  <c r="AF347" i="8"/>
  <c r="AD347" i="8"/>
  <c r="AE347" i="8" s="1"/>
  <c r="AG346" i="8"/>
  <c r="AF346" i="8"/>
  <c r="AD346" i="8"/>
  <c r="AE346" i="8" s="1"/>
  <c r="AG345" i="8"/>
  <c r="AF345" i="8"/>
  <c r="AD345" i="8"/>
  <c r="AE345" i="8" s="1"/>
  <c r="AG344" i="8"/>
  <c r="AF344" i="8"/>
  <c r="AD344" i="8"/>
  <c r="AE344" i="8" s="1"/>
  <c r="AG343" i="8"/>
  <c r="AF343" i="8"/>
  <c r="AD343" i="8"/>
  <c r="AE343" i="8" s="1"/>
  <c r="AG342" i="8"/>
  <c r="AF342" i="8"/>
  <c r="AD342" i="8"/>
  <c r="AE342" i="8" s="1"/>
  <c r="AG341" i="8"/>
  <c r="AF341" i="8"/>
  <c r="AD341" i="8"/>
  <c r="AE341" i="8" s="1"/>
  <c r="AG340" i="8"/>
  <c r="AF340" i="8"/>
  <c r="AD340" i="8"/>
  <c r="AE340" i="8" s="1"/>
  <c r="AG339" i="8"/>
  <c r="AF339" i="8"/>
  <c r="AD339" i="8"/>
  <c r="AE339" i="8" s="1"/>
  <c r="AG338" i="8"/>
  <c r="AF338" i="8"/>
  <c r="AD338" i="8"/>
  <c r="AE338" i="8" s="1"/>
  <c r="AG337" i="8"/>
  <c r="AF337" i="8"/>
  <c r="AD337" i="8"/>
  <c r="AE337" i="8" s="1"/>
  <c r="AG336" i="8"/>
  <c r="AF336" i="8"/>
  <c r="AD336" i="8"/>
  <c r="AE336" i="8" s="1"/>
  <c r="AG335" i="8"/>
  <c r="AF335" i="8"/>
  <c r="AD335" i="8"/>
  <c r="AE335" i="8" s="1"/>
  <c r="AG334" i="8"/>
  <c r="AF334" i="8"/>
  <c r="AD334" i="8"/>
  <c r="AE334" i="8" s="1"/>
  <c r="AG333" i="8"/>
  <c r="AF333" i="8"/>
  <c r="AD333" i="8"/>
  <c r="AE333" i="8" s="1"/>
  <c r="AG332" i="8"/>
  <c r="AF332" i="8"/>
  <c r="AD332" i="8"/>
  <c r="AE332" i="8" s="1"/>
  <c r="AG331" i="8"/>
  <c r="AF331" i="8"/>
  <c r="AD331" i="8"/>
  <c r="AE331" i="8" s="1"/>
  <c r="AG330" i="8"/>
  <c r="AF330" i="8"/>
  <c r="AD330" i="8"/>
  <c r="AE330" i="8" s="1"/>
  <c r="AG329" i="8"/>
  <c r="AF329" i="8"/>
  <c r="AD329" i="8"/>
  <c r="AE329" i="8" s="1"/>
  <c r="AG328" i="8"/>
  <c r="AF328" i="8"/>
  <c r="AD328" i="8"/>
  <c r="AE328" i="8" s="1"/>
  <c r="AG327" i="8"/>
  <c r="AF327" i="8"/>
  <c r="AD327" i="8"/>
  <c r="AE327" i="8" s="1"/>
  <c r="AG326" i="8"/>
  <c r="AF326" i="8"/>
  <c r="AD326" i="8"/>
  <c r="AE326" i="8" s="1"/>
  <c r="AG325" i="8"/>
  <c r="AF325" i="8"/>
  <c r="AD325" i="8"/>
  <c r="AE325" i="8" s="1"/>
  <c r="AG324" i="8"/>
  <c r="AF324" i="8"/>
  <c r="AD324" i="8"/>
  <c r="AE324" i="8" s="1"/>
  <c r="AG323" i="8"/>
  <c r="AF323" i="8"/>
  <c r="AD323" i="8"/>
  <c r="AE323" i="8" s="1"/>
  <c r="AG322" i="8"/>
  <c r="AF322" i="8"/>
  <c r="AD322" i="8"/>
  <c r="AE322" i="8" s="1"/>
  <c r="AG321" i="8"/>
  <c r="AF321" i="8"/>
  <c r="AD321" i="8"/>
  <c r="AE321" i="8" s="1"/>
  <c r="AG320" i="8"/>
  <c r="AF320" i="8"/>
  <c r="AD320" i="8"/>
  <c r="AE320" i="8" s="1"/>
  <c r="AG319" i="8"/>
  <c r="AF319" i="8"/>
  <c r="AD319" i="8"/>
  <c r="AE319" i="8" s="1"/>
  <c r="AG318" i="8"/>
  <c r="AF318" i="8"/>
  <c r="AD318" i="8"/>
  <c r="AE318" i="8" s="1"/>
  <c r="AG317" i="8"/>
  <c r="AF317" i="8"/>
  <c r="AD317" i="8"/>
  <c r="AE317" i="8" s="1"/>
  <c r="AG316" i="8"/>
  <c r="AF316" i="8"/>
  <c r="AD316" i="8"/>
  <c r="AE316" i="8" s="1"/>
  <c r="AG315" i="8"/>
  <c r="AF315" i="8"/>
  <c r="AD315" i="8"/>
  <c r="AE315" i="8" s="1"/>
  <c r="AG314" i="8"/>
  <c r="AF314" i="8"/>
  <c r="AD314" i="8"/>
  <c r="AE314" i="8" s="1"/>
  <c r="AG313" i="8"/>
  <c r="AF313" i="8"/>
  <c r="AD313" i="8"/>
  <c r="AE313" i="8" s="1"/>
  <c r="AG312" i="8"/>
  <c r="AF312" i="8"/>
  <c r="AD312" i="8"/>
  <c r="AE312" i="8" s="1"/>
  <c r="AG311" i="8"/>
  <c r="AF311" i="8"/>
  <c r="AD311" i="8"/>
  <c r="AE311" i="8" s="1"/>
  <c r="AG310" i="8"/>
  <c r="AF310" i="8"/>
  <c r="AD310" i="8"/>
  <c r="AE310" i="8" s="1"/>
  <c r="AG309" i="8"/>
  <c r="AF309" i="8"/>
  <c r="AD309" i="8"/>
  <c r="AE309" i="8" s="1"/>
  <c r="AG308" i="8"/>
  <c r="AF308" i="8"/>
  <c r="AD308" i="8"/>
  <c r="AE308" i="8" s="1"/>
  <c r="AG307" i="8"/>
  <c r="AF307" i="8"/>
  <c r="AD307" i="8"/>
  <c r="AE307" i="8" s="1"/>
  <c r="AG306" i="8"/>
  <c r="AF306" i="8"/>
  <c r="AD306" i="8"/>
  <c r="AE306" i="8" s="1"/>
  <c r="AG305" i="8"/>
  <c r="AF305" i="8"/>
  <c r="AD305" i="8"/>
  <c r="AE305" i="8" s="1"/>
  <c r="AG304" i="8"/>
  <c r="AF304" i="8"/>
  <c r="AD304" i="8"/>
  <c r="AE304" i="8" s="1"/>
  <c r="AG303" i="8"/>
  <c r="AF303" i="8"/>
  <c r="AD303" i="8"/>
  <c r="AE303" i="8" s="1"/>
  <c r="AG302" i="8"/>
  <c r="AF302" i="8"/>
  <c r="AD302" i="8"/>
  <c r="AE302" i="8" s="1"/>
  <c r="AG301" i="8"/>
  <c r="AF301" i="8"/>
  <c r="AD301" i="8"/>
  <c r="AE301" i="8" s="1"/>
  <c r="AG300" i="8"/>
  <c r="AF300" i="8"/>
  <c r="AD300" i="8"/>
  <c r="AE300" i="8" s="1"/>
  <c r="AG299" i="8"/>
  <c r="AF299" i="8"/>
  <c r="AD299" i="8"/>
  <c r="AE299" i="8" s="1"/>
  <c r="AG298" i="8"/>
  <c r="AF298" i="8"/>
  <c r="AD298" i="8"/>
  <c r="AE298" i="8" s="1"/>
  <c r="AG297" i="8"/>
  <c r="AF297" i="8"/>
  <c r="AD297" i="8"/>
  <c r="AE297" i="8" s="1"/>
  <c r="AG296" i="8"/>
  <c r="AF296" i="8"/>
  <c r="AD296" i="8"/>
  <c r="AE296" i="8" s="1"/>
  <c r="AG295" i="8"/>
  <c r="AF295" i="8"/>
  <c r="AD295" i="8"/>
  <c r="AE295" i="8" s="1"/>
  <c r="AG294" i="8"/>
  <c r="AF294" i="8"/>
  <c r="AD294" i="8"/>
  <c r="AE294" i="8" s="1"/>
  <c r="AG293" i="8"/>
  <c r="AF293" i="8"/>
  <c r="AD293" i="8"/>
  <c r="AE293" i="8" s="1"/>
  <c r="AG292" i="8"/>
  <c r="AF292" i="8"/>
  <c r="AD292" i="8"/>
  <c r="AE292" i="8" s="1"/>
  <c r="AG291" i="8"/>
  <c r="AF291" i="8"/>
  <c r="AD291" i="8"/>
  <c r="AE291" i="8" s="1"/>
  <c r="AG290" i="8"/>
  <c r="AF290" i="8"/>
  <c r="AD290" i="8"/>
  <c r="AE290" i="8" s="1"/>
  <c r="AG289" i="8"/>
  <c r="AF289" i="8"/>
  <c r="AD289" i="8"/>
  <c r="AE289" i="8" s="1"/>
  <c r="AG288" i="8"/>
  <c r="AF288" i="8"/>
  <c r="AD288" i="8"/>
  <c r="AE288" i="8" s="1"/>
  <c r="AG287" i="8"/>
  <c r="AF287" i="8"/>
  <c r="AD287" i="8"/>
  <c r="AE287" i="8" s="1"/>
  <c r="AG286" i="8"/>
  <c r="AF286" i="8"/>
  <c r="AD286" i="8"/>
  <c r="AE286" i="8" s="1"/>
  <c r="AG285" i="8"/>
  <c r="AF285" i="8"/>
  <c r="AD285" i="8"/>
  <c r="AE285" i="8" s="1"/>
  <c r="AG284" i="8"/>
  <c r="AF284" i="8"/>
  <c r="AD284" i="8"/>
  <c r="AE284" i="8" s="1"/>
  <c r="AG283" i="8"/>
  <c r="AF283" i="8"/>
  <c r="AD283" i="8"/>
  <c r="AE283" i="8" s="1"/>
  <c r="AG282" i="8"/>
  <c r="AF282" i="8"/>
  <c r="AD282" i="8"/>
  <c r="AE282" i="8" s="1"/>
  <c r="AG281" i="8"/>
  <c r="AF281" i="8"/>
  <c r="AD281" i="8"/>
  <c r="AE281" i="8" s="1"/>
  <c r="AG280" i="8"/>
  <c r="AF280" i="8"/>
  <c r="AD280" i="8"/>
  <c r="AE280" i="8" s="1"/>
  <c r="AG279" i="8"/>
  <c r="AF279" i="8"/>
  <c r="AD279" i="8"/>
  <c r="AE279" i="8" s="1"/>
  <c r="AG278" i="8"/>
  <c r="AF278" i="8"/>
  <c r="AD278" i="8"/>
  <c r="AE278" i="8" s="1"/>
  <c r="AG277" i="8"/>
  <c r="AF277" i="8"/>
  <c r="AD277" i="8"/>
  <c r="AE277" i="8" s="1"/>
  <c r="AG276" i="8"/>
  <c r="AF276" i="8"/>
  <c r="AD276" i="8"/>
  <c r="AE276" i="8" s="1"/>
  <c r="AG275" i="8"/>
  <c r="AF275" i="8"/>
  <c r="AD275" i="8"/>
  <c r="AE275" i="8" s="1"/>
  <c r="AG274" i="8"/>
  <c r="AF274" i="8"/>
  <c r="AD274" i="8"/>
  <c r="AE274" i="8" s="1"/>
  <c r="AG273" i="8"/>
  <c r="AF273" i="8"/>
  <c r="AD273" i="8"/>
  <c r="AE273" i="8" s="1"/>
  <c r="AG272" i="8"/>
  <c r="AF272" i="8"/>
  <c r="AD272" i="8"/>
  <c r="AE272" i="8" s="1"/>
  <c r="AG271" i="8"/>
  <c r="AF271" i="8"/>
  <c r="AD271" i="8"/>
  <c r="AE271" i="8" s="1"/>
  <c r="AG270" i="8"/>
  <c r="AF270" i="8"/>
  <c r="AD270" i="8"/>
  <c r="AE270" i="8" s="1"/>
  <c r="AG269" i="8"/>
  <c r="AF269" i="8"/>
  <c r="AD269" i="8"/>
  <c r="AE269" i="8" s="1"/>
  <c r="AG268" i="8"/>
  <c r="AF268" i="8"/>
  <c r="AD268" i="8"/>
  <c r="AE268" i="8" s="1"/>
  <c r="AG267" i="8"/>
  <c r="AF267" i="8"/>
  <c r="AD267" i="8"/>
  <c r="AE267" i="8" s="1"/>
  <c r="AG266" i="8"/>
  <c r="AF266" i="8"/>
  <c r="AD266" i="8"/>
  <c r="AE266" i="8" s="1"/>
  <c r="AG265" i="8"/>
  <c r="AF265" i="8"/>
  <c r="AD265" i="8"/>
  <c r="AE265" i="8" s="1"/>
  <c r="AG264" i="8"/>
  <c r="AF264" i="8"/>
  <c r="AD264" i="8"/>
  <c r="AE264" i="8" s="1"/>
  <c r="AG263" i="8"/>
  <c r="AF263" i="8"/>
  <c r="AD263" i="8"/>
  <c r="AE263" i="8" s="1"/>
  <c r="AG262" i="8"/>
  <c r="AF262" i="8"/>
  <c r="AD262" i="8"/>
  <c r="AE262" i="8" s="1"/>
  <c r="AG261" i="8"/>
  <c r="AF261" i="8"/>
  <c r="AD261" i="8"/>
  <c r="AE261" i="8" s="1"/>
  <c r="AG260" i="8"/>
  <c r="AF260" i="8"/>
  <c r="AD260" i="8"/>
  <c r="AE260" i="8" s="1"/>
  <c r="AG259" i="8"/>
  <c r="AF259" i="8"/>
  <c r="AD259" i="8"/>
  <c r="AE259" i="8" s="1"/>
  <c r="AG258" i="8"/>
  <c r="AF258" i="8"/>
  <c r="AD258" i="8"/>
  <c r="AE258" i="8" s="1"/>
  <c r="AG257" i="8"/>
  <c r="AF257" i="8"/>
  <c r="AD257" i="8"/>
  <c r="AE257" i="8" s="1"/>
  <c r="AG256" i="8"/>
  <c r="AF256" i="8"/>
  <c r="AD256" i="8"/>
  <c r="AE256" i="8" s="1"/>
  <c r="AG255" i="8"/>
  <c r="AF255" i="8"/>
  <c r="AD255" i="8"/>
  <c r="AE255" i="8" s="1"/>
  <c r="AG254" i="8"/>
  <c r="AF254" i="8"/>
  <c r="AD254" i="8"/>
  <c r="AE254" i="8" s="1"/>
  <c r="AG253" i="8"/>
  <c r="AF253" i="8"/>
  <c r="AD253" i="8"/>
  <c r="AE253" i="8" s="1"/>
  <c r="AG252" i="8"/>
  <c r="AF252" i="8"/>
  <c r="AD252" i="8"/>
  <c r="AE252" i="8" s="1"/>
  <c r="AG251" i="8"/>
  <c r="AF251" i="8"/>
  <c r="AD251" i="8"/>
  <c r="AE251" i="8" s="1"/>
  <c r="AG250" i="8"/>
  <c r="AF250" i="8"/>
  <c r="AD250" i="8"/>
  <c r="AE250" i="8" s="1"/>
  <c r="AG249" i="8"/>
  <c r="AF249" i="8"/>
  <c r="AD249" i="8"/>
  <c r="AE249" i="8" s="1"/>
  <c r="AG248" i="8"/>
  <c r="AF248" i="8"/>
  <c r="AD248" i="8"/>
  <c r="AE248" i="8" s="1"/>
  <c r="AG247" i="8"/>
  <c r="AF247" i="8"/>
  <c r="AD247" i="8"/>
  <c r="AE247" i="8" s="1"/>
  <c r="AG246" i="8"/>
  <c r="AF246" i="8"/>
  <c r="AD246" i="8"/>
  <c r="AE246" i="8" s="1"/>
  <c r="AG245" i="8"/>
  <c r="AF245" i="8"/>
  <c r="AD245" i="8"/>
  <c r="AE245" i="8" s="1"/>
  <c r="AG244" i="8"/>
  <c r="AF244" i="8"/>
  <c r="AD244" i="8"/>
  <c r="AE244" i="8" s="1"/>
  <c r="AG243" i="8"/>
  <c r="AF243" i="8"/>
  <c r="AD243" i="8"/>
  <c r="AE243" i="8" s="1"/>
  <c r="AG242" i="8"/>
  <c r="AF242" i="8"/>
  <c r="AD242" i="8"/>
  <c r="AE242" i="8" s="1"/>
  <c r="AG241" i="8"/>
  <c r="AF241" i="8"/>
  <c r="AD241" i="8"/>
  <c r="AE241" i="8" s="1"/>
  <c r="AG240" i="8"/>
  <c r="AF240" i="8"/>
  <c r="AD240" i="8"/>
  <c r="AE240" i="8" s="1"/>
  <c r="AG239" i="8"/>
  <c r="AF239" i="8"/>
  <c r="AD239" i="8"/>
  <c r="AE239" i="8" s="1"/>
  <c r="AG238" i="8"/>
  <c r="AF238" i="8"/>
  <c r="AD238" i="8"/>
  <c r="AE238" i="8" s="1"/>
  <c r="AG237" i="8"/>
  <c r="AF237" i="8"/>
  <c r="AD237" i="8"/>
  <c r="AE237" i="8" s="1"/>
  <c r="AG236" i="8"/>
  <c r="AF236" i="8"/>
  <c r="AD236" i="8"/>
  <c r="AE236" i="8" s="1"/>
  <c r="AG235" i="8"/>
  <c r="AF235" i="8"/>
  <c r="AD235" i="8"/>
  <c r="AE235" i="8" s="1"/>
  <c r="AG234" i="8"/>
  <c r="AF234" i="8"/>
  <c r="AD234" i="8"/>
  <c r="AE234" i="8" s="1"/>
  <c r="AG233" i="8"/>
  <c r="AF233" i="8"/>
  <c r="AD233" i="8"/>
  <c r="AE233" i="8" s="1"/>
  <c r="AG232" i="8"/>
  <c r="AF232" i="8"/>
  <c r="AD232" i="8"/>
  <c r="AE232" i="8" s="1"/>
  <c r="AG231" i="8"/>
  <c r="AF231" i="8"/>
  <c r="AD231" i="8"/>
  <c r="AE231" i="8" s="1"/>
  <c r="AG230" i="8"/>
  <c r="AF230" i="8"/>
  <c r="AD230" i="8"/>
  <c r="AE230" i="8" s="1"/>
  <c r="AG229" i="8"/>
  <c r="AF229" i="8"/>
  <c r="AD229" i="8"/>
  <c r="AE229" i="8" s="1"/>
  <c r="AG228" i="8"/>
  <c r="AF228" i="8"/>
  <c r="AD228" i="8"/>
  <c r="AE228" i="8" s="1"/>
  <c r="AG227" i="8"/>
  <c r="AF227" i="8"/>
  <c r="AD227" i="8"/>
  <c r="AE227" i="8" s="1"/>
  <c r="AG226" i="8"/>
  <c r="AF226" i="8"/>
  <c r="AD226" i="8"/>
  <c r="AE226" i="8" s="1"/>
  <c r="AG225" i="8"/>
  <c r="AF225" i="8"/>
  <c r="AD225" i="8"/>
  <c r="AE225" i="8" s="1"/>
  <c r="AG224" i="8"/>
  <c r="AF224" i="8"/>
  <c r="AD224" i="8"/>
  <c r="AE224" i="8" s="1"/>
  <c r="AG223" i="8"/>
  <c r="AF223" i="8"/>
  <c r="AD223" i="8"/>
  <c r="AE223" i="8" s="1"/>
  <c r="AG222" i="8"/>
  <c r="AF222" i="8"/>
  <c r="AD222" i="8"/>
  <c r="AE222" i="8" s="1"/>
  <c r="AG221" i="8"/>
  <c r="AF221" i="8"/>
  <c r="AD221" i="8"/>
  <c r="AE221" i="8" s="1"/>
  <c r="AG220" i="8"/>
  <c r="AF220" i="8"/>
  <c r="AD220" i="8"/>
  <c r="AE220" i="8" s="1"/>
  <c r="AG219" i="8"/>
  <c r="AF219" i="8"/>
  <c r="AD219" i="8"/>
  <c r="AE219" i="8" s="1"/>
  <c r="AG218" i="8"/>
  <c r="AF218" i="8"/>
  <c r="AD218" i="8"/>
  <c r="AE218" i="8" s="1"/>
  <c r="AG217" i="8"/>
  <c r="AF217" i="8"/>
  <c r="AD217" i="8"/>
  <c r="AE217" i="8" s="1"/>
  <c r="AG216" i="8"/>
  <c r="AF216" i="8"/>
  <c r="AD216" i="8"/>
  <c r="AE216" i="8" s="1"/>
  <c r="AG215" i="8"/>
  <c r="AF215" i="8"/>
  <c r="AD215" i="8"/>
  <c r="AE215" i="8" s="1"/>
  <c r="AG214" i="8"/>
  <c r="AF214" i="8"/>
  <c r="AD214" i="8"/>
  <c r="AE214" i="8" s="1"/>
  <c r="AG213" i="8"/>
  <c r="AF213" i="8"/>
  <c r="AD213" i="8"/>
  <c r="AE213" i="8" s="1"/>
  <c r="AG212" i="8"/>
  <c r="AF212" i="8"/>
  <c r="AD212" i="8"/>
  <c r="AE212" i="8" s="1"/>
  <c r="AG211" i="8"/>
  <c r="AF211" i="8"/>
  <c r="AD211" i="8"/>
  <c r="AE211" i="8" s="1"/>
  <c r="AG210" i="8"/>
  <c r="AF210" i="8"/>
  <c r="AD210" i="8"/>
  <c r="AE210" i="8" s="1"/>
  <c r="AG209" i="8"/>
  <c r="AF209" i="8"/>
  <c r="AD209" i="8"/>
  <c r="AE209" i="8" s="1"/>
  <c r="AG208" i="8"/>
  <c r="AF208" i="8"/>
  <c r="AD208" i="8"/>
  <c r="AE208" i="8" s="1"/>
  <c r="AG207" i="8"/>
  <c r="AF207" i="8"/>
  <c r="AD207" i="8"/>
  <c r="AE207" i="8" s="1"/>
  <c r="AG206" i="8"/>
  <c r="AF206" i="8"/>
  <c r="AD206" i="8"/>
  <c r="AE206" i="8" s="1"/>
  <c r="AG205" i="8"/>
  <c r="AF205" i="8"/>
  <c r="AD205" i="8"/>
  <c r="AE205" i="8" s="1"/>
  <c r="AG204" i="8"/>
  <c r="AF204" i="8"/>
  <c r="AD204" i="8"/>
  <c r="AE204" i="8" s="1"/>
  <c r="AG203" i="8"/>
  <c r="AF203" i="8"/>
  <c r="AD203" i="8"/>
  <c r="AE203" i="8" s="1"/>
  <c r="AG202" i="8"/>
  <c r="AF202" i="8"/>
  <c r="AD202" i="8"/>
  <c r="AE202" i="8" s="1"/>
  <c r="AG201" i="8"/>
  <c r="AF201" i="8"/>
  <c r="AD201" i="8"/>
  <c r="AE201" i="8" s="1"/>
  <c r="AG200" i="8"/>
  <c r="AF200" i="8"/>
  <c r="AD200" i="8"/>
  <c r="AE200" i="8" s="1"/>
  <c r="AG199" i="8"/>
  <c r="AF199" i="8"/>
  <c r="AD199" i="8"/>
  <c r="AE199" i="8" s="1"/>
  <c r="AG198" i="8"/>
  <c r="AF198" i="8"/>
  <c r="AD198" i="8"/>
  <c r="AE198" i="8" s="1"/>
  <c r="AG197" i="8"/>
  <c r="AF197" i="8"/>
  <c r="AD197" i="8"/>
  <c r="AE197" i="8" s="1"/>
  <c r="AG196" i="8"/>
  <c r="AF196" i="8"/>
  <c r="AD196" i="8"/>
  <c r="AE196" i="8" s="1"/>
  <c r="AG195" i="8"/>
  <c r="AF195" i="8"/>
  <c r="AD195" i="8"/>
  <c r="AE195" i="8" s="1"/>
  <c r="AG194" i="8"/>
  <c r="AF194" i="8"/>
  <c r="AD194" i="8"/>
  <c r="AE194" i="8" s="1"/>
  <c r="AG193" i="8"/>
  <c r="AF193" i="8"/>
  <c r="AD193" i="8"/>
  <c r="AE193" i="8" s="1"/>
  <c r="AG192" i="8"/>
  <c r="AF192" i="8"/>
  <c r="AD192" i="8"/>
  <c r="AE192" i="8" s="1"/>
  <c r="AG191" i="8"/>
  <c r="AF191" i="8"/>
  <c r="AD191" i="8"/>
  <c r="AE191" i="8" s="1"/>
  <c r="AG190" i="8"/>
  <c r="AF190" i="8"/>
  <c r="AD190" i="8"/>
  <c r="AE190" i="8" s="1"/>
  <c r="AG189" i="8"/>
  <c r="AF189" i="8"/>
  <c r="AD189" i="8"/>
  <c r="AE189" i="8" s="1"/>
  <c r="AG188" i="8"/>
  <c r="AF188" i="8"/>
  <c r="AD188" i="8"/>
  <c r="AE188" i="8" s="1"/>
  <c r="AG187" i="8"/>
  <c r="AF187" i="8"/>
  <c r="AD187" i="8"/>
  <c r="AE187" i="8" s="1"/>
  <c r="AG186" i="8"/>
  <c r="AF186" i="8"/>
  <c r="AD186" i="8"/>
  <c r="AE186" i="8" s="1"/>
  <c r="AG185" i="8"/>
  <c r="AF185" i="8"/>
  <c r="AD185" i="8"/>
  <c r="AE185" i="8" s="1"/>
  <c r="AG184" i="8"/>
  <c r="AF184" i="8"/>
  <c r="AD184" i="8"/>
  <c r="AE184" i="8" s="1"/>
  <c r="AG183" i="8"/>
  <c r="AF183" i="8"/>
  <c r="AD183" i="8"/>
  <c r="AE183" i="8" s="1"/>
  <c r="AG182" i="8"/>
  <c r="AF182" i="8"/>
  <c r="AD182" i="8"/>
  <c r="AE182" i="8" s="1"/>
  <c r="AG181" i="8"/>
  <c r="AF181" i="8"/>
  <c r="AD181" i="8"/>
  <c r="AE181" i="8" s="1"/>
  <c r="AG180" i="8"/>
  <c r="AF180" i="8"/>
  <c r="AD180" i="8"/>
  <c r="AE180" i="8" s="1"/>
  <c r="AG179" i="8"/>
  <c r="AF179" i="8"/>
  <c r="AD179" i="8"/>
  <c r="AE179" i="8" s="1"/>
  <c r="AG178" i="8"/>
  <c r="AF178" i="8"/>
  <c r="AD178" i="8"/>
  <c r="AE178" i="8" s="1"/>
  <c r="AG177" i="8"/>
  <c r="AF177" i="8"/>
  <c r="AD177" i="8"/>
  <c r="AE177" i="8" s="1"/>
  <c r="AG176" i="8"/>
  <c r="AF176" i="8"/>
  <c r="AD176" i="8"/>
  <c r="AE176" i="8" s="1"/>
  <c r="AG175" i="8"/>
  <c r="AF175" i="8"/>
  <c r="AD175" i="8"/>
  <c r="AE175" i="8" s="1"/>
  <c r="AG174" i="8"/>
  <c r="AF174" i="8"/>
  <c r="AD174" i="8"/>
  <c r="AE174" i="8" s="1"/>
  <c r="AG173" i="8"/>
  <c r="AF173" i="8"/>
  <c r="AD173" i="8"/>
  <c r="AE173" i="8" s="1"/>
  <c r="AG172" i="8"/>
  <c r="AF172" i="8"/>
  <c r="AD172" i="8"/>
  <c r="AE172" i="8" s="1"/>
  <c r="AG171" i="8"/>
  <c r="AF171" i="8"/>
  <c r="AD171" i="8"/>
  <c r="AE171" i="8" s="1"/>
  <c r="AG170" i="8"/>
  <c r="AF170" i="8"/>
  <c r="AD170" i="8"/>
  <c r="AE170" i="8" s="1"/>
  <c r="AG169" i="8"/>
  <c r="AF169" i="8"/>
  <c r="AD169" i="8"/>
  <c r="AE169" i="8" s="1"/>
  <c r="AG168" i="8"/>
  <c r="AF168" i="8"/>
  <c r="AD168" i="8"/>
  <c r="AE168" i="8" s="1"/>
  <c r="AG167" i="8"/>
  <c r="AF167" i="8"/>
  <c r="AD167" i="8"/>
  <c r="AE167" i="8" s="1"/>
  <c r="AG166" i="8"/>
  <c r="AF166" i="8"/>
  <c r="AD166" i="8"/>
  <c r="AE166" i="8" s="1"/>
  <c r="AG165" i="8"/>
  <c r="AF165" i="8"/>
  <c r="AD165" i="8"/>
  <c r="AE165" i="8" s="1"/>
  <c r="AG164" i="8"/>
  <c r="AF164" i="8"/>
  <c r="AD164" i="8"/>
  <c r="AE164" i="8" s="1"/>
  <c r="AG163" i="8"/>
  <c r="AF163" i="8"/>
  <c r="AD163" i="8"/>
  <c r="AE163" i="8" s="1"/>
  <c r="AG162" i="8"/>
  <c r="AF162" i="8"/>
  <c r="AD162" i="8"/>
  <c r="AE162" i="8" s="1"/>
  <c r="AG161" i="8"/>
  <c r="AF161" i="8"/>
  <c r="AD161" i="8"/>
  <c r="AE161" i="8" s="1"/>
  <c r="AG160" i="8"/>
  <c r="AF160" i="8"/>
  <c r="AD160" i="8"/>
  <c r="AE160" i="8" s="1"/>
  <c r="AG159" i="8"/>
  <c r="AF159" i="8"/>
  <c r="AD159" i="8"/>
  <c r="AE159" i="8" s="1"/>
  <c r="AG158" i="8"/>
  <c r="AF158" i="8"/>
  <c r="AD158" i="8"/>
  <c r="AE158" i="8" s="1"/>
  <c r="AG157" i="8"/>
  <c r="AF157" i="8"/>
  <c r="AD157" i="8"/>
  <c r="AE157" i="8" s="1"/>
  <c r="AG156" i="8"/>
  <c r="AF156" i="8"/>
  <c r="AD156" i="8"/>
  <c r="AE156" i="8" s="1"/>
  <c r="AG155" i="8"/>
  <c r="AF155" i="8"/>
  <c r="AD155" i="8"/>
  <c r="AE155" i="8" s="1"/>
  <c r="AG154" i="8"/>
  <c r="AF154" i="8"/>
  <c r="AD154" i="8"/>
  <c r="AE154" i="8" s="1"/>
  <c r="AG153" i="8"/>
  <c r="AF153" i="8"/>
  <c r="AD153" i="8"/>
  <c r="AE153" i="8" s="1"/>
  <c r="AG152" i="8"/>
  <c r="AF152" i="8"/>
  <c r="AD152" i="8"/>
  <c r="AE152" i="8" s="1"/>
  <c r="AG151" i="8"/>
  <c r="AF151" i="8"/>
  <c r="AD151" i="8"/>
  <c r="AE151" i="8" s="1"/>
  <c r="AG150" i="8"/>
  <c r="AF150" i="8"/>
  <c r="AD150" i="8"/>
  <c r="AE150" i="8" s="1"/>
  <c r="AG149" i="8"/>
  <c r="AF149" i="8"/>
  <c r="AD149" i="8"/>
  <c r="AE149" i="8" s="1"/>
  <c r="AG148" i="8"/>
  <c r="AF148" i="8"/>
  <c r="AD148" i="8"/>
  <c r="AE148" i="8" s="1"/>
  <c r="AG147" i="8"/>
  <c r="AF147" i="8"/>
  <c r="AD147" i="8"/>
  <c r="AE147" i="8" s="1"/>
  <c r="AG146" i="8"/>
  <c r="AF146" i="8"/>
  <c r="AD146" i="8"/>
  <c r="AE146" i="8" s="1"/>
  <c r="AG145" i="8"/>
  <c r="AF145" i="8"/>
  <c r="AD145" i="8"/>
  <c r="AE145" i="8" s="1"/>
  <c r="AG144" i="8"/>
  <c r="AF144" i="8"/>
  <c r="AD144" i="8"/>
  <c r="AE144" i="8" s="1"/>
  <c r="AG143" i="8"/>
  <c r="AF143" i="8"/>
  <c r="AD143" i="8"/>
  <c r="AE143" i="8" s="1"/>
  <c r="AG142" i="8"/>
  <c r="AF142" i="8"/>
  <c r="AD142" i="8"/>
  <c r="AE142" i="8" s="1"/>
  <c r="AG141" i="8"/>
  <c r="AF141" i="8"/>
  <c r="AD141" i="8"/>
  <c r="AE141" i="8" s="1"/>
  <c r="AG140" i="8"/>
  <c r="AF140" i="8"/>
  <c r="AD140" i="8"/>
  <c r="AE140" i="8" s="1"/>
  <c r="AG139" i="8"/>
  <c r="AF139" i="8"/>
  <c r="AD139" i="8"/>
  <c r="AE139" i="8" s="1"/>
  <c r="AG138" i="8"/>
  <c r="AF138" i="8"/>
  <c r="AD138" i="8"/>
  <c r="AE138" i="8" s="1"/>
  <c r="AG137" i="8"/>
  <c r="AF137" i="8"/>
  <c r="AD137" i="8"/>
  <c r="AE137" i="8" s="1"/>
  <c r="AG136" i="8"/>
  <c r="AF136" i="8"/>
  <c r="AD136" i="8"/>
  <c r="AE136" i="8" s="1"/>
  <c r="AG135" i="8"/>
  <c r="AF135" i="8"/>
  <c r="AD135" i="8"/>
  <c r="AE135" i="8" s="1"/>
  <c r="AG134" i="8"/>
  <c r="AF134" i="8"/>
  <c r="AD134" i="8"/>
  <c r="AE134" i="8" s="1"/>
  <c r="AG133" i="8"/>
  <c r="AF133" i="8"/>
  <c r="AD133" i="8"/>
  <c r="AE133" i="8" s="1"/>
  <c r="AG132" i="8"/>
  <c r="AF132" i="8"/>
  <c r="AD132" i="8"/>
  <c r="AE132" i="8" s="1"/>
  <c r="AG131" i="8"/>
  <c r="AF131" i="8"/>
  <c r="AD131" i="8"/>
  <c r="AE131" i="8" s="1"/>
  <c r="AG130" i="8"/>
  <c r="AF130" i="8"/>
  <c r="AD130" i="8"/>
  <c r="AE130" i="8" s="1"/>
  <c r="AG129" i="8"/>
  <c r="AF129" i="8"/>
  <c r="AD129" i="8"/>
  <c r="AE129" i="8" s="1"/>
  <c r="AG128" i="8"/>
  <c r="AF128" i="8"/>
  <c r="AD128" i="8"/>
  <c r="AE128" i="8" s="1"/>
  <c r="AG127" i="8"/>
  <c r="AF127" i="8"/>
  <c r="AD127" i="8"/>
  <c r="AE127" i="8" s="1"/>
  <c r="AG126" i="8"/>
  <c r="AF126" i="8"/>
  <c r="AD126" i="8"/>
  <c r="AE126" i="8" s="1"/>
  <c r="AG125" i="8"/>
  <c r="AF125" i="8"/>
  <c r="AD125" i="8"/>
  <c r="AE125" i="8" s="1"/>
  <c r="AG124" i="8"/>
  <c r="AF124" i="8"/>
  <c r="AD124" i="8"/>
  <c r="AE124" i="8" s="1"/>
  <c r="AG123" i="8"/>
  <c r="AF123" i="8"/>
  <c r="AD123" i="8"/>
  <c r="AE123" i="8" s="1"/>
  <c r="AG122" i="8"/>
  <c r="AF122" i="8"/>
  <c r="AD122" i="8"/>
  <c r="AE122" i="8" s="1"/>
  <c r="AG121" i="8"/>
  <c r="AF121" i="8"/>
  <c r="AD121" i="8"/>
  <c r="AE121" i="8" s="1"/>
  <c r="AG120" i="8"/>
  <c r="AF120" i="8"/>
  <c r="AD120" i="8"/>
  <c r="AE120" i="8" s="1"/>
  <c r="AG119" i="8"/>
  <c r="AF119" i="8"/>
  <c r="AD119" i="8"/>
  <c r="AE119" i="8" s="1"/>
  <c r="AG118" i="8"/>
  <c r="AF118" i="8"/>
  <c r="AD118" i="8"/>
  <c r="AE118" i="8" s="1"/>
  <c r="AG117" i="8"/>
  <c r="AF117" i="8"/>
  <c r="AD117" i="8"/>
  <c r="AE117" i="8" s="1"/>
  <c r="AG116" i="8"/>
  <c r="AF116" i="8"/>
  <c r="AD116" i="8"/>
  <c r="AE116" i="8" s="1"/>
  <c r="AG115" i="8"/>
  <c r="AF115" i="8"/>
  <c r="AD115" i="8"/>
  <c r="AE115" i="8" s="1"/>
  <c r="AG114" i="8"/>
  <c r="AF114" i="8"/>
  <c r="AD114" i="8"/>
  <c r="AE114" i="8" s="1"/>
  <c r="AG113" i="8"/>
  <c r="AF113" i="8"/>
  <c r="AD113" i="8"/>
  <c r="AE113" i="8" s="1"/>
  <c r="AG112" i="8"/>
  <c r="AF112" i="8"/>
  <c r="AD112" i="8"/>
  <c r="AE112" i="8" s="1"/>
  <c r="AG111" i="8"/>
  <c r="AF111" i="8"/>
  <c r="AD111" i="8"/>
  <c r="AE111" i="8" s="1"/>
  <c r="AG110" i="8"/>
  <c r="AF110" i="8"/>
  <c r="AD110" i="8"/>
  <c r="AE110" i="8" s="1"/>
  <c r="AG109" i="8"/>
  <c r="AF109" i="8"/>
  <c r="AD109" i="8"/>
  <c r="AE109" i="8" s="1"/>
  <c r="AG108" i="8"/>
  <c r="AF108" i="8"/>
  <c r="AD108" i="8"/>
  <c r="AE108" i="8" s="1"/>
  <c r="AG107" i="8"/>
  <c r="AF107" i="8"/>
  <c r="AD107" i="8"/>
  <c r="AE107" i="8" s="1"/>
  <c r="AG106" i="8"/>
  <c r="AF106" i="8"/>
  <c r="AD106" i="8"/>
  <c r="AE106" i="8" s="1"/>
  <c r="AG105" i="8"/>
  <c r="AF105" i="8"/>
  <c r="AD105" i="8"/>
  <c r="AE105" i="8" s="1"/>
  <c r="AG104" i="8"/>
  <c r="AF104" i="8"/>
  <c r="AD104" i="8"/>
  <c r="AE104" i="8" s="1"/>
  <c r="AG103" i="8"/>
  <c r="AF103" i="8"/>
  <c r="AD103" i="8"/>
  <c r="AE103" i="8" s="1"/>
  <c r="AG102" i="8"/>
  <c r="AF102" i="8"/>
  <c r="AD102" i="8"/>
  <c r="AE102" i="8" s="1"/>
  <c r="AG101" i="8"/>
  <c r="AF101" i="8"/>
  <c r="AD101" i="8"/>
  <c r="AE101" i="8" s="1"/>
  <c r="AG100" i="8"/>
  <c r="AF100" i="8"/>
  <c r="AD100" i="8"/>
  <c r="AE100" i="8" s="1"/>
  <c r="AG99" i="8"/>
  <c r="AF99" i="8"/>
  <c r="AD99" i="8"/>
  <c r="AE99" i="8" s="1"/>
  <c r="AG98" i="8"/>
  <c r="AF98" i="8"/>
  <c r="AD98" i="8"/>
  <c r="AE98" i="8" s="1"/>
  <c r="AG97" i="8"/>
  <c r="AF97" i="8"/>
  <c r="AD97" i="8"/>
  <c r="AE97" i="8" s="1"/>
  <c r="AG96" i="8"/>
  <c r="AF96" i="8"/>
  <c r="AD96" i="8"/>
  <c r="AE96" i="8" s="1"/>
  <c r="AG95" i="8"/>
  <c r="AF95" i="8"/>
  <c r="AD95" i="8"/>
  <c r="AE95" i="8" s="1"/>
  <c r="AG94" i="8"/>
  <c r="AF94" i="8"/>
  <c r="AD94" i="8"/>
  <c r="AE94" i="8" s="1"/>
  <c r="AG93" i="8"/>
  <c r="AF93" i="8"/>
  <c r="AD93" i="8"/>
  <c r="AE93" i="8" s="1"/>
  <c r="AG92" i="8"/>
  <c r="AF92" i="8"/>
  <c r="AD92" i="8"/>
  <c r="AE92" i="8" s="1"/>
  <c r="AG91" i="8"/>
  <c r="AF91" i="8"/>
  <c r="AD91" i="8"/>
  <c r="AE91" i="8" s="1"/>
  <c r="AG90" i="8"/>
  <c r="AF90" i="8"/>
  <c r="AD90" i="8"/>
  <c r="AE90" i="8" s="1"/>
  <c r="AG89" i="8"/>
  <c r="AF89" i="8"/>
  <c r="AD89" i="8"/>
  <c r="AE89" i="8" s="1"/>
  <c r="AG88" i="8"/>
  <c r="AF88" i="8"/>
  <c r="AD88" i="8"/>
  <c r="AE88" i="8" s="1"/>
  <c r="AG87" i="8"/>
  <c r="AF87" i="8"/>
  <c r="AD87" i="8"/>
  <c r="AE87" i="8" s="1"/>
  <c r="AG86" i="8"/>
  <c r="AF86" i="8"/>
  <c r="AD86" i="8"/>
  <c r="AE86" i="8" s="1"/>
  <c r="AG85" i="8"/>
  <c r="AF85" i="8"/>
  <c r="AD85" i="8"/>
  <c r="AE85" i="8" s="1"/>
  <c r="AG84" i="8"/>
  <c r="AF84" i="8"/>
  <c r="AD84" i="8"/>
  <c r="AE84" i="8" s="1"/>
  <c r="AG83" i="8"/>
  <c r="AF83" i="8"/>
  <c r="AD83" i="8"/>
  <c r="AE83" i="8" s="1"/>
  <c r="AG82" i="8"/>
  <c r="AF82" i="8"/>
  <c r="AD82" i="8"/>
  <c r="AE82" i="8" s="1"/>
  <c r="AG81" i="8"/>
  <c r="AF81" i="8"/>
  <c r="AD81" i="8"/>
  <c r="AE81" i="8" s="1"/>
  <c r="AG80" i="8"/>
  <c r="AF80" i="8"/>
  <c r="AD80" i="8"/>
  <c r="AE80" i="8" s="1"/>
  <c r="AG79" i="8"/>
  <c r="AF79" i="8"/>
  <c r="AD79" i="8"/>
  <c r="AE79" i="8" s="1"/>
  <c r="AG78" i="8"/>
  <c r="AF78" i="8"/>
  <c r="AD78" i="8"/>
  <c r="AE78" i="8" s="1"/>
  <c r="AG77" i="8"/>
  <c r="AF77" i="8"/>
  <c r="AD77" i="8"/>
  <c r="AE77" i="8" s="1"/>
  <c r="AG76" i="8"/>
  <c r="AF76" i="8"/>
  <c r="AD76" i="8"/>
  <c r="AE76" i="8" s="1"/>
  <c r="AG75" i="8"/>
  <c r="AF75" i="8"/>
  <c r="AD75" i="8"/>
  <c r="AE75" i="8" s="1"/>
  <c r="AG74" i="8"/>
  <c r="AF74" i="8"/>
  <c r="AD74" i="8"/>
  <c r="AE74" i="8" s="1"/>
  <c r="AG73" i="8"/>
  <c r="AF73" i="8"/>
  <c r="AD73" i="8"/>
  <c r="AE73" i="8" s="1"/>
  <c r="AG72" i="8"/>
  <c r="AF72" i="8"/>
  <c r="AD72" i="8"/>
  <c r="AE72" i="8" s="1"/>
  <c r="AG71" i="8"/>
  <c r="AF71" i="8"/>
  <c r="AD71" i="8"/>
  <c r="AE71" i="8" s="1"/>
  <c r="AG70" i="8"/>
  <c r="AF70" i="8"/>
  <c r="AD70" i="8"/>
  <c r="AE70" i="8" s="1"/>
  <c r="AG69" i="8"/>
  <c r="AF69" i="8"/>
  <c r="AD69" i="8"/>
  <c r="AE69" i="8" s="1"/>
  <c r="AG68" i="8"/>
  <c r="AF68" i="8"/>
  <c r="AD68" i="8"/>
  <c r="AE68" i="8" s="1"/>
  <c r="AG67" i="8"/>
  <c r="AF67" i="8"/>
  <c r="AD67" i="8"/>
  <c r="AE67" i="8" s="1"/>
  <c r="AG66" i="8"/>
  <c r="AF66" i="8"/>
  <c r="AD66" i="8"/>
  <c r="AE66" i="8" s="1"/>
  <c r="AG65" i="8"/>
  <c r="AF65" i="8"/>
  <c r="AD65" i="8"/>
  <c r="AE65" i="8" s="1"/>
  <c r="AG64" i="8"/>
  <c r="AF64" i="8"/>
  <c r="AD64" i="8"/>
  <c r="AE64" i="8" s="1"/>
  <c r="AG63" i="8"/>
  <c r="AF63" i="8"/>
  <c r="AD63" i="8"/>
  <c r="AE63" i="8" s="1"/>
  <c r="AG62" i="8"/>
  <c r="AF62" i="8"/>
  <c r="AD62" i="8"/>
  <c r="AE62" i="8" s="1"/>
  <c r="AG61" i="8"/>
  <c r="AF61" i="8"/>
  <c r="AD61" i="8"/>
  <c r="AE61" i="8" s="1"/>
  <c r="AG60" i="8"/>
  <c r="AF60" i="8"/>
  <c r="AD60" i="8"/>
  <c r="AE60" i="8" s="1"/>
  <c r="AG59" i="8"/>
  <c r="AF59" i="8"/>
  <c r="AD59" i="8"/>
  <c r="AE59" i="8" s="1"/>
  <c r="AG58" i="8"/>
  <c r="AF58" i="8"/>
  <c r="AD58" i="8"/>
  <c r="AE58" i="8" s="1"/>
  <c r="AG57" i="8"/>
  <c r="AF57" i="8"/>
  <c r="AD57" i="8"/>
  <c r="AE57" i="8" s="1"/>
  <c r="AG56" i="8"/>
  <c r="AF56" i="8"/>
  <c r="AD56" i="8"/>
  <c r="AE56" i="8" s="1"/>
  <c r="AG55" i="8"/>
  <c r="AF55" i="8"/>
  <c r="AD55" i="8"/>
  <c r="AE55" i="8" s="1"/>
  <c r="AG54" i="8"/>
  <c r="AF54" i="8"/>
  <c r="AD54" i="8"/>
  <c r="AE54" i="8" s="1"/>
  <c r="AG53" i="8"/>
  <c r="AF53" i="8"/>
  <c r="AD53" i="8"/>
  <c r="AE53" i="8" s="1"/>
  <c r="AG52" i="8"/>
  <c r="AF52" i="8"/>
  <c r="AD52" i="8"/>
  <c r="AE52" i="8" s="1"/>
  <c r="AG51" i="8"/>
  <c r="AF51" i="8"/>
  <c r="AD51" i="8"/>
  <c r="AE51" i="8" s="1"/>
  <c r="AG50" i="8"/>
  <c r="AF50" i="8"/>
  <c r="AD50" i="8"/>
  <c r="AE50" i="8" s="1"/>
  <c r="AG49" i="8"/>
  <c r="AF49" i="8"/>
  <c r="AD49" i="8"/>
  <c r="AE49" i="8" s="1"/>
  <c r="AG48" i="8"/>
  <c r="AF48" i="8"/>
  <c r="AD48" i="8"/>
  <c r="AE48" i="8" s="1"/>
  <c r="AG47" i="8"/>
  <c r="AF47" i="8"/>
  <c r="AD47" i="8"/>
  <c r="AE47" i="8" s="1"/>
  <c r="AG46" i="8"/>
  <c r="AF46" i="8"/>
  <c r="AD46" i="8"/>
  <c r="AE46" i="8" s="1"/>
  <c r="AG45" i="8"/>
  <c r="AF45" i="8"/>
  <c r="AD45" i="8"/>
  <c r="AE45" i="8" s="1"/>
  <c r="AG44" i="8"/>
  <c r="AF44" i="8"/>
  <c r="AD44" i="8"/>
  <c r="AE44" i="8" s="1"/>
  <c r="AG43" i="8"/>
  <c r="AF43" i="8"/>
  <c r="AD43" i="8"/>
  <c r="AE43" i="8" s="1"/>
  <c r="AG42" i="8"/>
  <c r="AF42" i="8"/>
  <c r="AD42" i="8"/>
  <c r="AE42" i="8" s="1"/>
  <c r="AG41" i="8"/>
  <c r="AF41" i="8"/>
  <c r="AD41" i="8"/>
  <c r="AE41" i="8" s="1"/>
  <c r="AG40" i="8"/>
  <c r="AF40" i="8"/>
  <c r="AD40" i="8"/>
  <c r="AE40" i="8" s="1"/>
  <c r="AG39" i="8"/>
  <c r="AF39" i="8"/>
  <c r="AD39" i="8"/>
  <c r="AE39" i="8" s="1"/>
  <c r="AG38" i="8"/>
  <c r="AF38" i="8"/>
  <c r="AD38" i="8"/>
  <c r="AE38" i="8" s="1"/>
  <c r="AG37" i="8"/>
  <c r="AF37" i="8"/>
  <c r="AD37" i="8"/>
  <c r="AE37" i="8" s="1"/>
  <c r="AG36" i="8"/>
  <c r="AF36" i="8"/>
  <c r="AD36" i="8"/>
  <c r="AE36" i="8" s="1"/>
  <c r="AG35" i="8"/>
  <c r="AF35" i="8"/>
  <c r="AD35" i="8"/>
  <c r="AE35" i="8" s="1"/>
  <c r="AG34" i="8"/>
  <c r="AF34" i="8"/>
  <c r="AD34" i="8"/>
  <c r="AE34" i="8" s="1"/>
  <c r="AG33" i="8"/>
  <c r="AF33" i="8"/>
  <c r="AD33" i="8"/>
  <c r="AE33" i="8" s="1"/>
  <c r="AG32" i="8"/>
  <c r="AF32" i="8"/>
  <c r="AD32" i="8"/>
  <c r="AE32" i="8" s="1"/>
  <c r="AG31" i="8"/>
  <c r="AF31" i="8"/>
  <c r="AD31" i="8"/>
  <c r="AE31" i="8" s="1"/>
  <c r="AG30" i="8"/>
  <c r="AF30" i="8"/>
  <c r="AD30" i="8"/>
  <c r="AE30" i="8" s="1"/>
  <c r="AG29" i="8"/>
  <c r="AF29" i="8"/>
  <c r="AD29" i="8"/>
  <c r="AE29" i="8" s="1"/>
  <c r="AG28" i="8"/>
  <c r="AF28" i="8"/>
  <c r="AD28" i="8"/>
  <c r="AE28" i="8" s="1"/>
  <c r="AG27" i="8"/>
  <c r="AF27" i="8"/>
  <c r="AD27" i="8"/>
  <c r="AE27" i="8" s="1"/>
  <c r="AG26" i="8"/>
  <c r="AF26" i="8"/>
  <c r="AD26" i="8"/>
  <c r="AE26" i="8" s="1"/>
  <c r="AG25" i="8"/>
  <c r="AF25" i="8"/>
  <c r="AD25" i="8"/>
  <c r="AE25" i="8" s="1"/>
  <c r="AG24" i="8"/>
  <c r="AF24" i="8"/>
  <c r="AD24" i="8"/>
  <c r="AE24" i="8" s="1"/>
  <c r="AG23" i="8"/>
  <c r="AF23" i="8"/>
  <c r="AD23" i="8"/>
  <c r="AE23" i="8" s="1"/>
  <c r="AG22" i="8"/>
  <c r="AF22" i="8"/>
  <c r="AD22" i="8"/>
  <c r="AE22" i="8" s="1"/>
  <c r="AG21" i="8"/>
  <c r="AF21" i="8"/>
  <c r="AD21" i="8"/>
  <c r="AE21" i="8" s="1"/>
  <c r="AG20" i="8"/>
  <c r="AF20" i="8"/>
  <c r="AD20" i="8"/>
  <c r="AE20" i="8" s="1"/>
  <c r="AG19" i="8"/>
  <c r="AF19" i="8"/>
  <c r="AD19" i="8"/>
  <c r="AE19" i="8" s="1"/>
  <c r="AG18" i="8"/>
  <c r="AF18" i="8"/>
  <c r="AD18" i="8"/>
  <c r="AE18" i="8" s="1"/>
  <c r="AG17" i="8"/>
  <c r="AF17" i="8"/>
  <c r="AD17" i="8"/>
  <c r="AE17" i="8" s="1"/>
  <c r="AG16" i="8"/>
  <c r="AF16" i="8"/>
  <c r="AD16" i="8"/>
  <c r="AE16" i="8" s="1"/>
  <c r="AG15" i="8"/>
  <c r="AF15" i="8"/>
  <c r="AD15" i="8"/>
  <c r="AE15" i="8" s="1"/>
  <c r="AG14" i="8"/>
  <c r="AF14" i="8"/>
  <c r="AD14" i="8"/>
  <c r="AE14" i="8" s="1"/>
  <c r="AG13" i="8"/>
  <c r="AF13" i="8"/>
  <c r="AD13" i="8"/>
  <c r="AE13" i="8" s="1"/>
  <c r="AG12" i="8"/>
  <c r="AF12" i="8"/>
  <c r="AD12" i="8"/>
  <c r="AE12" i="8" s="1"/>
  <c r="AG11" i="8"/>
  <c r="AF11" i="8"/>
  <c r="AD11" i="8"/>
  <c r="AE11" i="8" s="1"/>
  <c r="AG10" i="8"/>
  <c r="AF10" i="8"/>
  <c r="AD10" i="8"/>
  <c r="AE10" i="8" s="1"/>
  <c r="AG9" i="8"/>
  <c r="AF9" i="8"/>
  <c r="AD9" i="8"/>
  <c r="AE9" i="8" s="1"/>
  <c r="AG8" i="8"/>
  <c r="AF8" i="8"/>
  <c r="AD8" i="8"/>
  <c r="AE8" i="8" s="1"/>
  <c r="AG7" i="8"/>
  <c r="AF7" i="8"/>
  <c r="AD7" i="8"/>
  <c r="AE7" i="8" s="1"/>
  <c r="AG6" i="8"/>
  <c r="AF6" i="8"/>
  <c r="AD6" i="8"/>
  <c r="AE6" i="8" s="1"/>
  <c r="AG5" i="8"/>
  <c r="AF5" i="8"/>
  <c r="AD5" i="8"/>
  <c r="AE5" i="8" s="1"/>
  <c r="AG4" i="8"/>
  <c r="AF4" i="8"/>
  <c r="AD4" i="8"/>
  <c r="AE4" i="8" s="1"/>
  <c r="AG3" i="8"/>
  <c r="AF3" i="8"/>
  <c r="AD3" i="8"/>
  <c r="AE3" i="8" s="1"/>
  <c r="AG2" i="8"/>
  <c r="AF2" i="8"/>
  <c r="AD2" i="8"/>
  <c r="AE2" i="8" s="1"/>
  <c r="E16" i="7"/>
  <c r="E15" i="7"/>
  <c r="E14" i="7"/>
  <c r="E13" i="7"/>
  <c r="E12" i="7"/>
  <c r="E11" i="7"/>
  <c r="E10" i="7"/>
  <c r="E9" i="7"/>
  <c r="E8" i="7"/>
  <c r="E7" i="7"/>
  <c r="E6" i="7"/>
  <c r="E5" i="7"/>
  <c r="D4" i="7"/>
  <c r="E4" i="7" s="1"/>
  <c r="M167" i="4"/>
  <c r="M166" i="4"/>
  <c r="M165" i="4"/>
  <c r="M164" i="4"/>
  <c r="M163" i="4"/>
  <c r="M162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9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M136" i="4"/>
  <c r="M135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2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M109" i="4"/>
  <c r="M108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5" i="4"/>
  <c r="M94" i="4"/>
  <c r="M93" i="4"/>
  <c r="M92" i="4"/>
  <c r="M91" i="4"/>
  <c r="M90" i="4"/>
  <c r="M89" i="4"/>
  <c r="M88" i="4"/>
  <c r="M87" i="4"/>
  <c r="M86" i="4"/>
  <c r="M85" i="4"/>
  <c r="M84" i="4"/>
  <c r="M83" i="4"/>
  <c r="M82" i="4"/>
  <c r="M81" i="4"/>
  <c r="M80" i="4"/>
  <c r="M79" i="4"/>
  <c r="M78" i="4"/>
  <c r="M77" i="4"/>
  <c r="M76" i="4"/>
  <c r="M75" i="4"/>
  <c r="M74" i="4"/>
  <c r="M73" i="4"/>
  <c r="M72" i="4"/>
  <c r="M71" i="4"/>
  <c r="M70" i="4"/>
  <c r="M69" i="4"/>
  <c r="M68" i="4"/>
  <c r="M67" i="4"/>
  <c r="M66" i="4"/>
  <c r="M65" i="4"/>
  <c r="M64" i="4"/>
  <c r="M63" i="4"/>
  <c r="M62" i="4"/>
  <c r="M61" i="4"/>
  <c r="M60" i="4"/>
  <c r="M59" i="4"/>
  <c r="M58" i="4"/>
  <c r="M57" i="4"/>
  <c r="M56" i="4"/>
  <c r="M55" i="4"/>
  <c r="M54" i="4"/>
  <c r="M53" i="4"/>
  <c r="M52" i="4"/>
  <c r="M51" i="4"/>
  <c r="M50" i="4"/>
  <c r="M49" i="4"/>
  <c r="M48" i="4"/>
  <c r="M47" i="4"/>
  <c r="M46" i="4"/>
  <c r="M45" i="4"/>
  <c r="M44" i="4"/>
  <c r="M43" i="4"/>
  <c r="M42" i="4"/>
  <c r="M41" i="4"/>
  <c r="M40" i="4"/>
  <c r="M39" i="4"/>
  <c r="M38" i="4"/>
  <c r="M37" i="4"/>
  <c r="M36" i="4"/>
  <c r="M35" i="4"/>
  <c r="M34" i="4"/>
  <c r="M33" i="4"/>
  <c r="E33" i="4"/>
  <c r="M32" i="4"/>
  <c r="K32" i="4"/>
  <c r="D32" i="4" s="1"/>
  <c r="F32" i="4" s="1"/>
  <c r="G32" i="4" s="1"/>
  <c r="H32" i="4" s="1"/>
  <c r="E32" i="4"/>
  <c r="M31" i="4"/>
  <c r="K31" i="4"/>
  <c r="D31" i="4" s="1"/>
  <c r="I31" i="4"/>
  <c r="E31" i="4"/>
  <c r="M30" i="4"/>
  <c r="K30" i="4"/>
  <c r="D30" i="4" s="1"/>
  <c r="F30" i="4" s="1"/>
  <c r="G30" i="4" s="1"/>
  <c r="H30" i="4" s="1"/>
  <c r="I30" i="4"/>
  <c r="E30" i="4"/>
  <c r="M29" i="4"/>
  <c r="K29" i="4"/>
  <c r="D29" i="4" s="1"/>
  <c r="I29" i="4"/>
  <c r="E29" i="4"/>
  <c r="M28" i="4"/>
  <c r="K28" i="4"/>
  <c r="D28" i="4" s="1"/>
  <c r="F28" i="4" s="1"/>
  <c r="G28" i="4" s="1"/>
  <c r="H28" i="4" s="1"/>
  <c r="I28" i="4"/>
  <c r="E28" i="4"/>
  <c r="M27" i="4"/>
  <c r="K27" i="4"/>
  <c r="D27" i="4" s="1"/>
  <c r="I27" i="4"/>
  <c r="E27" i="4"/>
  <c r="M26" i="4"/>
  <c r="K26" i="4"/>
  <c r="D26" i="4" s="1"/>
  <c r="I26" i="4"/>
  <c r="E26" i="4"/>
  <c r="M25" i="4"/>
  <c r="K25" i="4"/>
  <c r="D25" i="4" s="1"/>
  <c r="I25" i="4"/>
  <c r="E25" i="4"/>
  <c r="M24" i="4"/>
  <c r="K24" i="4"/>
  <c r="D24" i="4" s="1"/>
  <c r="I24" i="4"/>
  <c r="E24" i="4"/>
  <c r="M23" i="4"/>
  <c r="K23" i="4"/>
  <c r="D23" i="4" s="1"/>
  <c r="I23" i="4"/>
  <c r="E23" i="4"/>
  <c r="M22" i="4"/>
  <c r="K22" i="4"/>
  <c r="D22" i="4" s="1"/>
  <c r="I22" i="4"/>
  <c r="E22" i="4"/>
  <c r="M21" i="4"/>
  <c r="K21" i="4"/>
  <c r="D21" i="4" s="1"/>
  <c r="F21" i="4" s="1"/>
  <c r="G21" i="4" s="1"/>
  <c r="H21" i="4" s="1"/>
  <c r="I21" i="4"/>
  <c r="E21" i="4"/>
  <c r="M20" i="4"/>
  <c r="K20" i="4"/>
  <c r="D20" i="4" s="1"/>
  <c r="I20" i="4"/>
  <c r="E20" i="4"/>
  <c r="M19" i="4"/>
  <c r="K19" i="4"/>
  <c r="D19" i="4" s="1"/>
  <c r="I19" i="4"/>
  <c r="E19" i="4"/>
  <c r="M18" i="4"/>
  <c r="K18" i="4"/>
  <c r="D18" i="4" s="1"/>
  <c r="I18" i="4"/>
  <c r="E18" i="4"/>
  <c r="M17" i="4"/>
  <c r="K17" i="4"/>
  <c r="D17" i="4" s="1"/>
  <c r="I17" i="4"/>
  <c r="E17" i="4"/>
  <c r="M16" i="4"/>
  <c r="K16" i="4"/>
  <c r="D16" i="4" s="1"/>
  <c r="F16" i="4" s="1"/>
  <c r="G16" i="4" s="1"/>
  <c r="H16" i="4" s="1"/>
  <c r="I16" i="4"/>
  <c r="E16" i="4"/>
  <c r="M15" i="4"/>
  <c r="K15" i="4"/>
  <c r="D15" i="4" s="1"/>
  <c r="I15" i="4"/>
  <c r="E15" i="4"/>
  <c r="M14" i="4"/>
  <c r="K14" i="4"/>
  <c r="D14" i="4" s="1"/>
  <c r="I14" i="4"/>
  <c r="E14" i="4"/>
  <c r="M13" i="4"/>
  <c r="K13" i="4"/>
  <c r="D13" i="4" s="1"/>
  <c r="I13" i="4"/>
  <c r="E13" i="4"/>
  <c r="M12" i="4"/>
  <c r="K12" i="4"/>
  <c r="D12" i="4" s="1"/>
  <c r="I12" i="4"/>
  <c r="E12" i="4"/>
  <c r="M11" i="4"/>
  <c r="K11" i="4"/>
  <c r="D11" i="4" s="1"/>
  <c r="I11" i="4"/>
  <c r="E11" i="4"/>
  <c r="M10" i="4"/>
  <c r="K10" i="4"/>
  <c r="D10" i="4" s="1"/>
  <c r="I10" i="4"/>
  <c r="E10" i="4"/>
  <c r="M9" i="4"/>
  <c r="K9" i="4"/>
  <c r="D9" i="4" s="1"/>
  <c r="I9" i="4"/>
  <c r="E9" i="4"/>
  <c r="M8" i="4"/>
  <c r="K8" i="4"/>
  <c r="D8" i="4" s="1"/>
  <c r="F8" i="4" s="1"/>
  <c r="G8" i="4" s="1"/>
  <c r="H8" i="4" s="1"/>
  <c r="I8" i="4"/>
  <c r="E8" i="4"/>
  <c r="M7" i="4"/>
  <c r="K7" i="4"/>
  <c r="D7" i="4" s="1"/>
  <c r="I7" i="4"/>
  <c r="E7" i="4"/>
  <c r="M6" i="4"/>
  <c r="K6" i="4"/>
  <c r="D6" i="4" s="1"/>
  <c r="F6" i="4" s="1"/>
  <c r="G6" i="4" s="1"/>
  <c r="H6" i="4" s="1"/>
  <c r="I6" i="4"/>
  <c r="E6" i="4"/>
  <c r="M5" i="4"/>
  <c r="K5" i="4"/>
  <c r="D5" i="4" s="1"/>
  <c r="I5" i="4"/>
  <c r="E5" i="4"/>
  <c r="M4" i="4"/>
  <c r="K4" i="4"/>
  <c r="I4" i="4"/>
  <c r="E4" i="4"/>
  <c r="D49" i="3"/>
  <c r="D48" i="3"/>
  <c r="D47" i="3"/>
  <c r="G42" i="3"/>
  <c r="E42" i="3"/>
  <c r="D42" i="3"/>
  <c r="F42" i="3" s="1"/>
  <c r="C42" i="3"/>
  <c r="G41" i="3"/>
  <c r="E41" i="3"/>
  <c r="D41" i="3"/>
  <c r="F41" i="3" s="1"/>
  <c r="C41" i="3"/>
  <c r="G40" i="3"/>
  <c r="E40" i="3"/>
  <c r="D40" i="3"/>
  <c r="C40" i="3"/>
  <c r="G39" i="3"/>
  <c r="E39" i="3"/>
  <c r="D39" i="3"/>
  <c r="C39" i="3"/>
  <c r="G38" i="3"/>
  <c r="E38" i="3"/>
  <c r="D38" i="3"/>
  <c r="C38" i="3"/>
  <c r="G37" i="3"/>
  <c r="E37" i="3"/>
  <c r="D37" i="3"/>
  <c r="C37" i="3"/>
  <c r="G36" i="3"/>
  <c r="E36" i="3"/>
  <c r="D36" i="3"/>
  <c r="C36" i="3"/>
  <c r="G35" i="3"/>
  <c r="E35" i="3"/>
  <c r="D35" i="3"/>
  <c r="F35" i="3" s="1"/>
  <c r="C35" i="3"/>
  <c r="G34" i="3"/>
  <c r="E34" i="3"/>
  <c r="D34" i="3"/>
  <c r="C34" i="3"/>
  <c r="G33" i="3"/>
  <c r="E33" i="3"/>
  <c r="D33" i="3"/>
  <c r="C33" i="3"/>
  <c r="G32" i="3"/>
  <c r="E32" i="3"/>
  <c r="D32" i="3"/>
  <c r="C32" i="3"/>
  <c r="G31" i="3"/>
  <c r="E31" i="3"/>
  <c r="D31" i="3"/>
  <c r="C31" i="3"/>
  <c r="G30" i="3"/>
  <c r="E30" i="3"/>
  <c r="D30" i="3"/>
  <c r="C30" i="3"/>
  <c r="G29" i="3"/>
  <c r="E29" i="3"/>
  <c r="D29" i="3"/>
  <c r="C29" i="3"/>
  <c r="G28" i="3"/>
  <c r="E28" i="3"/>
  <c r="D28" i="3"/>
  <c r="C28" i="3"/>
  <c r="G27" i="3"/>
  <c r="E27" i="3"/>
  <c r="D27" i="3"/>
  <c r="C27" i="3"/>
  <c r="G26" i="3"/>
  <c r="E26" i="3"/>
  <c r="D26" i="3"/>
  <c r="C26" i="3"/>
  <c r="G25" i="3"/>
  <c r="E25" i="3"/>
  <c r="D25" i="3"/>
  <c r="C25" i="3"/>
  <c r="G24" i="3"/>
  <c r="E24" i="3"/>
  <c r="D24" i="3"/>
  <c r="C24" i="3"/>
  <c r="G23" i="3"/>
  <c r="E23" i="3"/>
  <c r="D23" i="3"/>
  <c r="C23" i="3"/>
  <c r="G22" i="3"/>
  <c r="E22" i="3"/>
  <c r="D22" i="3"/>
  <c r="C22" i="3"/>
  <c r="G21" i="3"/>
  <c r="E21" i="3"/>
  <c r="D21" i="3"/>
  <c r="C21" i="3"/>
  <c r="G20" i="3"/>
  <c r="E20" i="3"/>
  <c r="D20" i="3"/>
  <c r="C20" i="3"/>
  <c r="G19" i="3"/>
  <c r="E19" i="3"/>
  <c r="D19" i="3"/>
  <c r="C19" i="3"/>
  <c r="G18" i="3"/>
  <c r="E18" i="3"/>
  <c r="D18" i="3"/>
  <c r="C18" i="3"/>
  <c r="G17" i="3"/>
  <c r="E17" i="3"/>
  <c r="D17" i="3"/>
  <c r="C17" i="3"/>
  <c r="G16" i="3"/>
  <c r="E16" i="3"/>
  <c r="D16" i="3"/>
  <c r="C16" i="3"/>
  <c r="G15" i="3"/>
  <c r="E15" i="3"/>
  <c r="D15" i="3"/>
  <c r="C15" i="3"/>
  <c r="G14" i="3"/>
  <c r="E14" i="3"/>
  <c r="D14" i="3"/>
  <c r="C14" i="3"/>
  <c r="G13" i="3"/>
  <c r="E13" i="3"/>
  <c r="D13" i="3"/>
  <c r="C13" i="3"/>
  <c r="G12" i="3"/>
  <c r="E12" i="3"/>
  <c r="D12" i="3"/>
  <c r="C12" i="3"/>
  <c r="G11" i="3"/>
  <c r="E11" i="3"/>
  <c r="D11" i="3"/>
  <c r="C11" i="3"/>
  <c r="G10" i="3"/>
  <c r="E10" i="3"/>
  <c r="D10" i="3"/>
  <c r="C10" i="3"/>
  <c r="G9" i="3"/>
  <c r="E9" i="3"/>
  <c r="D9" i="3"/>
  <c r="C9" i="3"/>
  <c r="G8" i="3"/>
  <c r="E8" i="3"/>
  <c r="D8" i="3"/>
  <c r="C8" i="3"/>
  <c r="G7" i="3"/>
  <c r="E7" i="3"/>
  <c r="D7" i="3"/>
  <c r="F7" i="3" s="1"/>
  <c r="C7" i="3"/>
  <c r="G6" i="3"/>
  <c r="E6" i="3"/>
  <c r="D6" i="3"/>
  <c r="C6" i="3"/>
  <c r="G5" i="3"/>
  <c r="E5" i="3"/>
  <c r="D5" i="3"/>
  <c r="C5" i="3"/>
  <c r="G4" i="3"/>
  <c r="E4" i="3"/>
  <c r="E43" i="3" s="1"/>
  <c r="D4" i="3"/>
  <c r="C4" i="3"/>
  <c r="F10" i="4" l="1"/>
  <c r="G10" i="4" s="1"/>
  <c r="H10" i="4" s="1"/>
  <c r="F14" i="3"/>
  <c r="F5" i="3"/>
  <c r="F33" i="3"/>
  <c r="F24" i="4"/>
  <c r="G24" i="4" s="1"/>
  <c r="H24" i="4" s="1"/>
  <c r="N15" i="4"/>
  <c r="F29" i="3"/>
  <c r="F25" i="3"/>
  <c r="F18" i="3"/>
  <c r="F15" i="3"/>
  <c r="F11" i="3"/>
  <c r="N30" i="4"/>
  <c r="F29" i="4"/>
  <c r="G29" i="4" s="1"/>
  <c r="H29" i="4" s="1"/>
  <c r="N20" i="4"/>
  <c r="N16" i="4"/>
  <c r="F15" i="4"/>
  <c r="G15" i="4" s="1"/>
  <c r="H15" i="4" s="1"/>
  <c r="F12" i="4"/>
  <c r="G12" i="4" s="1"/>
  <c r="H12" i="4" s="1"/>
  <c r="F37" i="3"/>
  <c r="F26" i="3"/>
  <c r="F10" i="3"/>
  <c r="N26" i="4"/>
  <c r="F26" i="4"/>
  <c r="G26" i="4" s="1"/>
  <c r="H26" i="4" s="1"/>
  <c r="F9" i="4"/>
  <c r="G9" i="4" s="1"/>
  <c r="H9" i="4" s="1"/>
  <c r="F34" i="3"/>
  <c r="F30" i="3"/>
  <c r="F24" i="3"/>
  <c r="F13" i="3"/>
  <c r="N25" i="4"/>
  <c r="F25" i="4"/>
  <c r="G25" i="4" s="1"/>
  <c r="H25" i="4" s="1"/>
  <c r="F22" i="4"/>
  <c r="G22" i="4" s="1"/>
  <c r="H22" i="4" s="1"/>
  <c r="F13" i="4"/>
  <c r="G13" i="4" s="1"/>
  <c r="H13" i="4" s="1"/>
  <c r="F39" i="3"/>
  <c r="E24" i="7"/>
  <c r="D24" i="7" s="1"/>
  <c r="F18" i="4"/>
  <c r="G18" i="4" s="1"/>
  <c r="H18" i="4" s="1"/>
  <c r="F7" i="4"/>
  <c r="G7" i="4" s="1"/>
  <c r="H7" i="4" s="1"/>
  <c r="F28" i="3"/>
  <c r="F16" i="3"/>
  <c r="E23" i="7"/>
  <c r="F27" i="3"/>
  <c r="F19" i="3"/>
  <c r="F12" i="3"/>
  <c r="F8" i="3"/>
  <c r="N21" i="4"/>
  <c r="N12" i="4"/>
  <c r="F36" i="3"/>
  <c r="F32" i="3"/>
  <c r="F22" i="3"/>
  <c r="N32" i="4"/>
  <c r="N28" i="4"/>
  <c r="F27" i="4"/>
  <c r="G27" i="4" s="1"/>
  <c r="H27" i="4" s="1"/>
  <c r="N24" i="4"/>
  <c r="N11" i="4"/>
  <c r="F11" i="4"/>
  <c r="G11" i="4" s="1"/>
  <c r="H11" i="4" s="1"/>
  <c r="F31" i="3"/>
  <c r="F23" i="3"/>
  <c r="F20" i="3"/>
  <c r="F9" i="3"/>
  <c r="N19" i="4"/>
  <c r="F19" i="4"/>
  <c r="G19" i="4" s="1"/>
  <c r="H19" i="4" s="1"/>
  <c r="F14" i="4"/>
  <c r="G14" i="4" s="1"/>
  <c r="H14" i="4" s="1"/>
  <c r="N6" i="4"/>
  <c r="F5" i="4"/>
  <c r="G5" i="4" s="1"/>
  <c r="H5" i="4" s="1"/>
  <c r="F6" i="3"/>
  <c r="E19" i="7"/>
  <c r="D19" i="7" s="1"/>
  <c r="N31" i="4"/>
  <c r="F31" i="4"/>
  <c r="G31" i="4" s="1"/>
  <c r="H31" i="4" s="1"/>
  <c r="N23" i="4"/>
  <c r="F23" i="4"/>
  <c r="G23" i="4" s="1"/>
  <c r="H23" i="4" s="1"/>
  <c r="F20" i="4"/>
  <c r="G20" i="4" s="1"/>
  <c r="H20" i="4" s="1"/>
  <c r="N7" i="4"/>
  <c r="F40" i="3"/>
  <c r="F38" i="3"/>
  <c r="F21" i="3"/>
  <c r="F17" i="3"/>
  <c r="I44" i="4"/>
  <c r="E42" i="4"/>
  <c r="I40" i="4"/>
  <c r="K38" i="4"/>
  <c r="D38" i="4" s="1"/>
  <c r="I36" i="4"/>
  <c r="K34" i="4"/>
  <c r="D34" i="4" s="1"/>
  <c r="E44" i="4"/>
  <c r="E41" i="4"/>
  <c r="E39" i="4"/>
  <c r="K35" i="4"/>
  <c r="D35" i="4" s="1"/>
  <c r="I48" i="4"/>
  <c r="K46" i="4"/>
  <c r="D46" i="4" s="1"/>
  <c r="E46" i="4"/>
  <c r="K44" i="4"/>
  <c r="D44" i="4" s="1"/>
  <c r="F44" i="4" s="1"/>
  <c r="G44" i="4" s="1"/>
  <c r="H44" i="4" s="1"/>
  <c r="K42" i="4"/>
  <c r="D42" i="4" s="1"/>
  <c r="F42" i="4" s="1"/>
  <c r="G42" i="4" s="1"/>
  <c r="H42" i="4" s="1"/>
  <c r="K39" i="4"/>
  <c r="D39" i="4" s="1"/>
  <c r="F39" i="4" s="1"/>
  <c r="G39" i="4" s="1"/>
  <c r="H39" i="4" s="1"/>
  <c r="K37" i="4"/>
  <c r="D37" i="4" s="1"/>
  <c r="I47" i="4"/>
  <c r="K36" i="4"/>
  <c r="D36" i="4" s="1"/>
  <c r="N36" i="4" s="1"/>
  <c r="I34" i="4"/>
  <c r="I32" i="4"/>
  <c r="J32" i="4" s="1"/>
  <c r="I45" i="4"/>
  <c r="K48" i="4"/>
  <c r="D48" i="4" s="1"/>
  <c r="I49" i="4"/>
  <c r="E49" i="4"/>
  <c r="E48" i="4"/>
  <c r="E47" i="4"/>
  <c r="K45" i="4"/>
  <c r="D45" i="4" s="1"/>
  <c r="N45" i="4" s="1"/>
  <c r="K43" i="4"/>
  <c r="D43" i="4" s="1"/>
  <c r="I42" i="4"/>
  <c r="J42" i="4" s="1"/>
  <c r="K40" i="4"/>
  <c r="D40" i="4" s="1"/>
  <c r="N40" i="4" s="1"/>
  <c r="I39" i="4"/>
  <c r="J39" i="4" s="1"/>
  <c r="I37" i="4"/>
  <c r="I35" i="4"/>
  <c r="I33" i="4"/>
  <c r="J33" i="4" s="1"/>
  <c r="I43" i="4"/>
  <c r="I41" i="4"/>
  <c r="J41" i="4" s="1"/>
  <c r="I38" i="4"/>
  <c r="E36" i="4"/>
  <c r="E34" i="4"/>
  <c r="K33" i="4"/>
  <c r="D33" i="4" s="1"/>
  <c r="I50" i="4"/>
  <c r="J50" i="4" s="1"/>
  <c r="K47" i="4"/>
  <c r="D47" i="4" s="1"/>
  <c r="I46" i="4"/>
  <c r="E45" i="4"/>
  <c r="E43" i="4"/>
  <c r="K41" i="4"/>
  <c r="D41" i="4" s="1"/>
  <c r="E40" i="4"/>
  <c r="E38" i="4"/>
  <c r="E37" i="4"/>
  <c r="E35" i="4"/>
  <c r="E62" i="4"/>
  <c r="K61" i="4"/>
  <c r="D61" i="4" s="1"/>
  <c r="I59" i="4"/>
  <c r="K58" i="4"/>
  <c r="D58" i="4" s="1"/>
  <c r="N58" i="4" s="1"/>
  <c r="E58" i="4"/>
  <c r="I57" i="4"/>
  <c r="E55" i="4"/>
  <c r="I54" i="4"/>
  <c r="E52" i="4"/>
  <c r="K66" i="4"/>
  <c r="D66" i="4" s="1"/>
  <c r="N66" i="4" s="1"/>
  <c r="E65" i="4"/>
  <c r="K62" i="4"/>
  <c r="D62" i="4" s="1"/>
  <c r="E61" i="4"/>
  <c r="I60" i="4"/>
  <c r="K57" i="4"/>
  <c r="D57" i="4" s="1"/>
  <c r="I56" i="4"/>
  <c r="J56" i="4" s="1"/>
  <c r="I55" i="4"/>
  <c r="J55" i="4" s="1"/>
  <c r="K54" i="4"/>
  <c r="D54" i="4" s="1"/>
  <c r="N54" i="4" s="1"/>
  <c r="K53" i="4"/>
  <c r="D53" i="4" s="1"/>
  <c r="K52" i="4"/>
  <c r="D52" i="4" s="1"/>
  <c r="K51" i="4"/>
  <c r="D51" i="4" s="1"/>
  <c r="E51" i="4"/>
  <c r="K49" i="4"/>
  <c r="D49" i="4" s="1"/>
  <c r="E59" i="4"/>
  <c r="E67" i="4"/>
  <c r="I65" i="4"/>
  <c r="I64" i="4"/>
  <c r="I63" i="4"/>
  <c r="E63" i="4"/>
  <c r="E85" i="4"/>
  <c r="I82" i="4"/>
  <c r="K81" i="4"/>
  <c r="D81" i="4" s="1"/>
  <c r="N81" i="4" s="1"/>
  <c r="I81" i="4"/>
  <c r="E81" i="4"/>
  <c r="K80" i="4"/>
  <c r="D80" i="4" s="1"/>
  <c r="N80" i="4" s="1"/>
  <c r="I80" i="4"/>
  <c r="E80" i="4"/>
  <c r="K79" i="4"/>
  <c r="D79" i="4" s="1"/>
  <c r="N79" i="4" s="1"/>
  <c r="I79" i="4"/>
  <c r="E79" i="4"/>
  <c r="K78" i="4"/>
  <c r="D78" i="4" s="1"/>
  <c r="I78" i="4"/>
  <c r="E78" i="4"/>
  <c r="K77" i="4"/>
  <c r="D77" i="4" s="1"/>
  <c r="N77" i="4" s="1"/>
  <c r="I77" i="4"/>
  <c r="E77" i="4"/>
  <c r="K76" i="4"/>
  <c r="D76" i="4" s="1"/>
  <c r="N76" i="4" s="1"/>
  <c r="I76" i="4"/>
  <c r="E76" i="4"/>
  <c r="K75" i="4"/>
  <c r="D75" i="4" s="1"/>
  <c r="N75" i="4" s="1"/>
  <c r="I75" i="4"/>
  <c r="E75" i="4"/>
  <c r="K74" i="4"/>
  <c r="D74" i="4" s="1"/>
  <c r="N74" i="4" s="1"/>
  <c r="I74" i="4"/>
  <c r="E74" i="4"/>
  <c r="K73" i="4"/>
  <c r="D73" i="4" s="1"/>
  <c r="N73" i="4" s="1"/>
  <c r="I73" i="4"/>
  <c r="E73" i="4"/>
  <c r="K72" i="4"/>
  <c r="D72" i="4" s="1"/>
  <c r="I72" i="4"/>
  <c r="E72" i="4"/>
  <c r="I61" i="4"/>
  <c r="I71" i="4"/>
  <c r="E71" i="4"/>
  <c r="K70" i="4"/>
  <c r="D70" i="4" s="1"/>
  <c r="I70" i="4"/>
  <c r="J70" i="4" s="1"/>
  <c r="E70" i="4"/>
  <c r="K69" i="4"/>
  <c r="D69" i="4" s="1"/>
  <c r="I69" i="4"/>
  <c r="E69" i="4"/>
  <c r="K68" i="4"/>
  <c r="D68" i="4" s="1"/>
  <c r="N68" i="4" s="1"/>
  <c r="I68" i="4"/>
  <c r="E68" i="4"/>
  <c r="K67" i="4"/>
  <c r="D67" i="4" s="1"/>
  <c r="I67" i="4"/>
  <c r="J67" i="4" s="1"/>
  <c r="E66" i="4"/>
  <c r="K65" i="4"/>
  <c r="D65" i="4" s="1"/>
  <c r="K63" i="4"/>
  <c r="D63" i="4" s="1"/>
  <c r="I62" i="4"/>
  <c r="K71" i="4"/>
  <c r="D71" i="4" s="1"/>
  <c r="E60" i="4"/>
  <c r="I58" i="4"/>
  <c r="E56" i="4"/>
  <c r="K55" i="4"/>
  <c r="D55" i="4" s="1"/>
  <c r="E53" i="4"/>
  <c r="I52" i="4"/>
  <c r="I51" i="4"/>
  <c r="K59" i="4"/>
  <c r="D59" i="4" s="1"/>
  <c r="E57" i="4"/>
  <c r="K56" i="4"/>
  <c r="D56" i="4" s="1"/>
  <c r="E54" i="4"/>
  <c r="I53" i="4"/>
  <c r="K50" i="4"/>
  <c r="D50" i="4" s="1"/>
  <c r="E50" i="4"/>
  <c r="I66" i="4"/>
  <c r="K64" i="4"/>
  <c r="D64" i="4" s="1"/>
  <c r="E64" i="4"/>
  <c r="K60" i="4"/>
  <c r="D60" i="4" s="1"/>
  <c r="AZ4001" i="9"/>
  <c r="AY4001" i="9"/>
  <c r="AX4001" i="9"/>
  <c r="AW4001" i="9"/>
  <c r="AZ4000" i="9"/>
  <c r="AY4000" i="9"/>
  <c r="AX4000" i="9"/>
  <c r="AW4000" i="9"/>
  <c r="AZ3999" i="9"/>
  <c r="AY3999" i="9"/>
  <c r="AX3999" i="9"/>
  <c r="AW3999" i="9"/>
  <c r="AZ3998" i="9"/>
  <c r="AY3998" i="9"/>
  <c r="AX3998" i="9"/>
  <c r="AW3998" i="9"/>
  <c r="AZ3997" i="9"/>
  <c r="AY3997" i="9"/>
  <c r="AX3997" i="9"/>
  <c r="AW3997" i="9"/>
  <c r="AZ3996" i="9"/>
  <c r="AY3996" i="9"/>
  <c r="AX3996" i="9"/>
  <c r="AW3996" i="9"/>
  <c r="AZ3995" i="9"/>
  <c r="AY3995" i="9"/>
  <c r="AX3995" i="9"/>
  <c r="AW3995" i="9"/>
  <c r="AZ3994" i="9"/>
  <c r="AY3994" i="9"/>
  <c r="AX3994" i="9"/>
  <c r="AW3994" i="9"/>
  <c r="AZ3993" i="9"/>
  <c r="AY3993" i="9"/>
  <c r="AX3993" i="9"/>
  <c r="AW3993" i="9"/>
  <c r="AZ3992" i="9"/>
  <c r="AY3992" i="9"/>
  <c r="AX3992" i="9"/>
  <c r="AW3992" i="9"/>
  <c r="AZ3991" i="9"/>
  <c r="AY3991" i="9"/>
  <c r="AX3991" i="9"/>
  <c r="AW3991" i="9"/>
  <c r="AZ3990" i="9"/>
  <c r="AY3990" i="9"/>
  <c r="AX3990" i="9"/>
  <c r="AW3990" i="9"/>
  <c r="AZ3989" i="9"/>
  <c r="AY3989" i="9"/>
  <c r="AX3989" i="9"/>
  <c r="AW3989" i="9"/>
  <c r="AZ3988" i="9"/>
  <c r="AY3988" i="9"/>
  <c r="AX3988" i="9"/>
  <c r="AW3988" i="9"/>
  <c r="AZ3987" i="9"/>
  <c r="AY3987" i="9"/>
  <c r="AX3987" i="9"/>
  <c r="AW3987" i="9"/>
  <c r="AZ3986" i="9"/>
  <c r="AY3986" i="9"/>
  <c r="AX3986" i="9"/>
  <c r="AW3986" i="9"/>
  <c r="AZ3985" i="9"/>
  <c r="AY3985" i="9"/>
  <c r="AX3985" i="9"/>
  <c r="AW3985" i="9"/>
  <c r="AZ3984" i="9"/>
  <c r="AY3984" i="9"/>
  <c r="AX3984" i="9"/>
  <c r="AW3984" i="9"/>
  <c r="AZ3983" i="9"/>
  <c r="AY3983" i="9"/>
  <c r="AX3983" i="9"/>
  <c r="AW3983" i="9"/>
  <c r="AZ3982" i="9"/>
  <c r="AY3982" i="9"/>
  <c r="AX3982" i="9"/>
  <c r="AW3982" i="9"/>
  <c r="AZ3981" i="9"/>
  <c r="AY3981" i="9"/>
  <c r="AX3981" i="9"/>
  <c r="AW3981" i="9"/>
  <c r="AZ3980" i="9"/>
  <c r="AY3980" i="9"/>
  <c r="AX3980" i="9"/>
  <c r="AW3980" i="9"/>
  <c r="AZ3979" i="9"/>
  <c r="AY3979" i="9"/>
  <c r="AX3979" i="9"/>
  <c r="AW3979" i="9"/>
  <c r="AZ3978" i="9"/>
  <c r="AY3978" i="9"/>
  <c r="AX3978" i="9"/>
  <c r="AW3978" i="9"/>
  <c r="AZ3977" i="9"/>
  <c r="AY3977" i="9"/>
  <c r="AX3977" i="9"/>
  <c r="AW3977" i="9"/>
  <c r="AZ3976" i="9"/>
  <c r="AY3976" i="9"/>
  <c r="AX3976" i="9"/>
  <c r="AW3976" i="9"/>
  <c r="AZ3975" i="9"/>
  <c r="AY3975" i="9"/>
  <c r="AX3975" i="9"/>
  <c r="AW3975" i="9"/>
  <c r="AZ3974" i="9"/>
  <c r="AY3974" i="9"/>
  <c r="AX3974" i="9"/>
  <c r="AW3974" i="9"/>
  <c r="AZ3973" i="9"/>
  <c r="AY3973" i="9"/>
  <c r="AX3973" i="9"/>
  <c r="AW3973" i="9"/>
  <c r="AZ3972" i="9"/>
  <c r="AY3972" i="9"/>
  <c r="AX3972" i="9"/>
  <c r="AW3972" i="9"/>
  <c r="AZ3971" i="9"/>
  <c r="AY3971" i="9"/>
  <c r="AX3971" i="9"/>
  <c r="AW3971" i="9"/>
  <c r="AZ3970" i="9"/>
  <c r="AY3970" i="9"/>
  <c r="AX3970" i="9"/>
  <c r="AW3970" i="9"/>
  <c r="AZ3969" i="9"/>
  <c r="AY3969" i="9"/>
  <c r="AX3969" i="9"/>
  <c r="AW3969" i="9"/>
  <c r="AZ3968" i="9"/>
  <c r="AY3968" i="9"/>
  <c r="AX3968" i="9"/>
  <c r="AW3968" i="9"/>
  <c r="AZ3967" i="9"/>
  <c r="AY3967" i="9"/>
  <c r="AX3967" i="9"/>
  <c r="AW3967" i="9"/>
  <c r="AZ3966" i="9"/>
  <c r="AY3966" i="9"/>
  <c r="AX3966" i="9"/>
  <c r="AW3966" i="9"/>
  <c r="AZ3965" i="9"/>
  <c r="AY3965" i="9"/>
  <c r="AX3965" i="9"/>
  <c r="AW3965" i="9"/>
  <c r="AZ3964" i="9"/>
  <c r="AY3964" i="9"/>
  <c r="AX3964" i="9"/>
  <c r="AW3964" i="9"/>
  <c r="AZ3963" i="9"/>
  <c r="AY3963" i="9"/>
  <c r="AX3963" i="9"/>
  <c r="AW3963" i="9"/>
  <c r="AZ3962" i="9"/>
  <c r="AY3962" i="9"/>
  <c r="AX3962" i="9"/>
  <c r="AW3962" i="9"/>
  <c r="AZ3961" i="9"/>
  <c r="AY3961" i="9"/>
  <c r="AX3961" i="9"/>
  <c r="AW3961" i="9"/>
  <c r="AZ3960" i="9"/>
  <c r="AY3960" i="9"/>
  <c r="AX3960" i="9"/>
  <c r="AW3960" i="9"/>
  <c r="AZ3959" i="9"/>
  <c r="AY3959" i="9"/>
  <c r="AX3959" i="9"/>
  <c r="AW3959" i="9"/>
  <c r="AZ3958" i="9"/>
  <c r="AY3958" i="9"/>
  <c r="AX3958" i="9"/>
  <c r="AW3958" i="9"/>
  <c r="AZ3957" i="9"/>
  <c r="AY3957" i="9"/>
  <c r="AX3957" i="9"/>
  <c r="AW3957" i="9"/>
  <c r="AZ3956" i="9"/>
  <c r="AY3956" i="9"/>
  <c r="AX3956" i="9"/>
  <c r="AW3956" i="9"/>
  <c r="AZ3955" i="9"/>
  <c r="AY3955" i="9"/>
  <c r="AX3955" i="9"/>
  <c r="AW3955" i="9"/>
  <c r="AZ3954" i="9"/>
  <c r="AY3954" i="9"/>
  <c r="AX3954" i="9"/>
  <c r="AW3954" i="9"/>
  <c r="AZ3953" i="9"/>
  <c r="AY3953" i="9"/>
  <c r="AX3953" i="9"/>
  <c r="AW3953" i="9"/>
  <c r="AZ3952" i="9"/>
  <c r="AY3952" i="9"/>
  <c r="AX3952" i="9"/>
  <c r="AW3952" i="9"/>
  <c r="AZ3951" i="9"/>
  <c r="AY3951" i="9"/>
  <c r="AX3951" i="9"/>
  <c r="AW3951" i="9"/>
  <c r="AZ3950" i="9"/>
  <c r="AY3950" i="9"/>
  <c r="AX3950" i="9"/>
  <c r="AW3950" i="9"/>
  <c r="AZ3949" i="9"/>
  <c r="AY3949" i="9"/>
  <c r="AX3949" i="9"/>
  <c r="AW3949" i="9"/>
  <c r="AZ3948" i="9"/>
  <c r="AY3948" i="9"/>
  <c r="AX3948" i="9"/>
  <c r="AW3948" i="9"/>
  <c r="AZ3947" i="9"/>
  <c r="AY3947" i="9"/>
  <c r="AX3947" i="9"/>
  <c r="AW3947" i="9"/>
  <c r="AZ3946" i="9"/>
  <c r="AY3946" i="9"/>
  <c r="AX3946" i="9"/>
  <c r="AW3946" i="9"/>
  <c r="AZ3945" i="9"/>
  <c r="AY3945" i="9"/>
  <c r="AX3945" i="9"/>
  <c r="AW3945" i="9"/>
  <c r="AZ3944" i="9"/>
  <c r="AY3944" i="9"/>
  <c r="AX3944" i="9"/>
  <c r="AW3944" i="9"/>
  <c r="AZ3943" i="9"/>
  <c r="AY3943" i="9"/>
  <c r="AX3943" i="9"/>
  <c r="AW3943" i="9"/>
  <c r="AZ3942" i="9"/>
  <c r="AY3942" i="9"/>
  <c r="AX3942" i="9"/>
  <c r="AW3942" i="9"/>
  <c r="AZ3941" i="9"/>
  <c r="AY3941" i="9"/>
  <c r="AX3941" i="9"/>
  <c r="AW3941" i="9"/>
  <c r="AZ3940" i="9"/>
  <c r="AY3940" i="9"/>
  <c r="AX3940" i="9"/>
  <c r="AW3940" i="9"/>
  <c r="AZ3939" i="9"/>
  <c r="AY3939" i="9"/>
  <c r="AX3939" i="9"/>
  <c r="AW3939" i="9"/>
  <c r="AZ3938" i="9"/>
  <c r="AY3938" i="9"/>
  <c r="AX3938" i="9"/>
  <c r="AW3938" i="9"/>
  <c r="AZ3937" i="9"/>
  <c r="AY3937" i="9"/>
  <c r="AX3937" i="9"/>
  <c r="AW3937" i="9"/>
  <c r="AZ3936" i="9"/>
  <c r="AY3936" i="9"/>
  <c r="AX3936" i="9"/>
  <c r="AW3936" i="9"/>
  <c r="AZ3935" i="9"/>
  <c r="AY3935" i="9"/>
  <c r="AX3935" i="9"/>
  <c r="AW3935" i="9"/>
  <c r="AZ3934" i="9"/>
  <c r="AY3934" i="9"/>
  <c r="AX3934" i="9"/>
  <c r="AW3934" i="9"/>
  <c r="AZ3933" i="9"/>
  <c r="AY3933" i="9"/>
  <c r="AX3933" i="9"/>
  <c r="AW3933" i="9"/>
  <c r="AZ3932" i="9"/>
  <c r="AY3932" i="9"/>
  <c r="AX3932" i="9"/>
  <c r="AW3932" i="9"/>
  <c r="AZ3931" i="9"/>
  <c r="AY3931" i="9"/>
  <c r="AX3931" i="9"/>
  <c r="AW3931" i="9"/>
  <c r="AZ3930" i="9"/>
  <c r="AY3930" i="9"/>
  <c r="AX3930" i="9"/>
  <c r="AW3930" i="9"/>
  <c r="AZ3929" i="9"/>
  <c r="AY3929" i="9"/>
  <c r="AX3929" i="9"/>
  <c r="AW3929" i="9"/>
  <c r="AZ3928" i="9"/>
  <c r="AY3928" i="9"/>
  <c r="AX3928" i="9"/>
  <c r="AW3928" i="9"/>
  <c r="AZ3927" i="9"/>
  <c r="AY3927" i="9"/>
  <c r="AX3927" i="9"/>
  <c r="AW3927" i="9"/>
  <c r="AZ3926" i="9"/>
  <c r="AY3926" i="9"/>
  <c r="AX3926" i="9"/>
  <c r="AW3926" i="9"/>
  <c r="AZ3925" i="9"/>
  <c r="AY3925" i="9"/>
  <c r="AX3925" i="9"/>
  <c r="AW3925" i="9"/>
  <c r="AZ3924" i="9"/>
  <c r="AY3924" i="9"/>
  <c r="AX3924" i="9"/>
  <c r="AW3924" i="9"/>
  <c r="AZ3923" i="9"/>
  <c r="AY3923" i="9"/>
  <c r="AX3923" i="9"/>
  <c r="AW3923" i="9"/>
  <c r="AZ3922" i="9"/>
  <c r="AY3922" i="9"/>
  <c r="AX3922" i="9"/>
  <c r="AW3922" i="9"/>
  <c r="AZ3921" i="9"/>
  <c r="AY3921" i="9"/>
  <c r="AX3921" i="9"/>
  <c r="AW3921" i="9"/>
  <c r="AZ3920" i="9"/>
  <c r="AY3920" i="9"/>
  <c r="AX3920" i="9"/>
  <c r="AW3920" i="9"/>
  <c r="AZ3919" i="9"/>
  <c r="AY3919" i="9"/>
  <c r="AX3919" i="9"/>
  <c r="AW3919" i="9"/>
  <c r="AZ3918" i="9"/>
  <c r="AY3918" i="9"/>
  <c r="AX3918" i="9"/>
  <c r="AW3918" i="9"/>
  <c r="AZ3917" i="9"/>
  <c r="AY3917" i="9"/>
  <c r="AX3917" i="9"/>
  <c r="AW3917" i="9"/>
  <c r="AZ3916" i="9"/>
  <c r="AY3916" i="9"/>
  <c r="AX3916" i="9"/>
  <c r="AW3916" i="9"/>
  <c r="AZ3915" i="9"/>
  <c r="AY3915" i="9"/>
  <c r="AX3915" i="9"/>
  <c r="AW3915" i="9"/>
  <c r="AZ3914" i="9"/>
  <c r="AY3914" i="9"/>
  <c r="AX3914" i="9"/>
  <c r="AW3914" i="9"/>
  <c r="AZ3913" i="9"/>
  <c r="AY3913" i="9"/>
  <c r="AX3913" i="9"/>
  <c r="AW3913" i="9"/>
  <c r="AZ3912" i="9"/>
  <c r="AY3912" i="9"/>
  <c r="AX3912" i="9"/>
  <c r="AW3912" i="9"/>
  <c r="AZ3911" i="9"/>
  <c r="AY3911" i="9"/>
  <c r="AX3911" i="9"/>
  <c r="AW3911" i="9"/>
  <c r="AZ3910" i="9"/>
  <c r="AY3910" i="9"/>
  <c r="AX3910" i="9"/>
  <c r="AW3910" i="9"/>
  <c r="AZ3909" i="9"/>
  <c r="AY3909" i="9"/>
  <c r="AX3909" i="9"/>
  <c r="AW3909" i="9"/>
  <c r="AZ3908" i="9"/>
  <c r="AY3908" i="9"/>
  <c r="AX3908" i="9"/>
  <c r="AW3908" i="9"/>
  <c r="AZ3907" i="9"/>
  <c r="AY3907" i="9"/>
  <c r="AX3907" i="9"/>
  <c r="AW3907" i="9"/>
  <c r="AZ3906" i="9"/>
  <c r="AY3906" i="9"/>
  <c r="AX3906" i="9"/>
  <c r="AW3906" i="9"/>
  <c r="AZ3905" i="9"/>
  <c r="AY3905" i="9"/>
  <c r="AX3905" i="9"/>
  <c r="AW3905" i="9"/>
  <c r="AZ3904" i="9"/>
  <c r="AY3904" i="9"/>
  <c r="AX3904" i="9"/>
  <c r="AW3904" i="9"/>
  <c r="AZ3903" i="9"/>
  <c r="AY3903" i="9"/>
  <c r="AX3903" i="9"/>
  <c r="AW3903" i="9"/>
  <c r="AZ3902" i="9"/>
  <c r="AY3902" i="9"/>
  <c r="AX3902" i="9"/>
  <c r="AW3902" i="9"/>
  <c r="AZ3901" i="9"/>
  <c r="AY3901" i="9"/>
  <c r="AX3901" i="9"/>
  <c r="AW3901" i="9"/>
  <c r="AZ3900" i="9"/>
  <c r="AY3900" i="9"/>
  <c r="AX3900" i="9"/>
  <c r="AW3900" i="9"/>
  <c r="AZ3899" i="9"/>
  <c r="AY3899" i="9"/>
  <c r="AX3899" i="9"/>
  <c r="AW3899" i="9"/>
  <c r="AZ3898" i="9"/>
  <c r="AY3898" i="9"/>
  <c r="AX3898" i="9"/>
  <c r="AW3898" i="9"/>
  <c r="AZ3897" i="9"/>
  <c r="AY3897" i="9"/>
  <c r="AX3897" i="9"/>
  <c r="AW3897" i="9"/>
  <c r="AZ3896" i="9"/>
  <c r="AY3896" i="9"/>
  <c r="AX3896" i="9"/>
  <c r="AW3896" i="9"/>
  <c r="AZ3895" i="9"/>
  <c r="AY3895" i="9"/>
  <c r="AX3895" i="9"/>
  <c r="AW3895" i="9"/>
  <c r="AZ3894" i="9"/>
  <c r="AY3894" i="9"/>
  <c r="AX3894" i="9"/>
  <c r="AW3894" i="9"/>
  <c r="AZ3893" i="9"/>
  <c r="AY3893" i="9"/>
  <c r="AX3893" i="9"/>
  <c r="AW3893" i="9"/>
  <c r="AZ3892" i="9"/>
  <c r="AY3892" i="9"/>
  <c r="AX3892" i="9"/>
  <c r="AW3892" i="9"/>
  <c r="AZ3891" i="9"/>
  <c r="AY3891" i="9"/>
  <c r="AX3891" i="9"/>
  <c r="AW3891" i="9"/>
  <c r="AZ3890" i="9"/>
  <c r="AY3890" i="9"/>
  <c r="AX3890" i="9"/>
  <c r="AW3890" i="9"/>
  <c r="AZ3889" i="9"/>
  <c r="AY3889" i="9"/>
  <c r="AX3889" i="9"/>
  <c r="AW3889" i="9"/>
  <c r="AZ3888" i="9"/>
  <c r="AY3888" i="9"/>
  <c r="AX3888" i="9"/>
  <c r="AW3888" i="9"/>
  <c r="AZ3887" i="9"/>
  <c r="AY3887" i="9"/>
  <c r="AX3887" i="9"/>
  <c r="AW3887" i="9"/>
  <c r="AZ3886" i="9"/>
  <c r="AY3886" i="9"/>
  <c r="AX3886" i="9"/>
  <c r="AW3886" i="9"/>
  <c r="AZ3885" i="9"/>
  <c r="AY3885" i="9"/>
  <c r="AX3885" i="9"/>
  <c r="AW3885" i="9"/>
  <c r="AZ3884" i="9"/>
  <c r="AY3884" i="9"/>
  <c r="AX3884" i="9"/>
  <c r="AW3884" i="9"/>
  <c r="AZ3883" i="9"/>
  <c r="AY3883" i="9"/>
  <c r="AX3883" i="9"/>
  <c r="AW3883" i="9"/>
  <c r="AZ3882" i="9"/>
  <c r="AY3882" i="9"/>
  <c r="AX3882" i="9"/>
  <c r="AW3882" i="9"/>
  <c r="AZ3881" i="9"/>
  <c r="AY3881" i="9"/>
  <c r="AX3881" i="9"/>
  <c r="AW3881" i="9"/>
  <c r="AZ3880" i="9"/>
  <c r="AY3880" i="9"/>
  <c r="AX3880" i="9"/>
  <c r="AW3880" i="9"/>
  <c r="AZ3879" i="9"/>
  <c r="AY3879" i="9"/>
  <c r="AX3879" i="9"/>
  <c r="AW3879" i="9"/>
  <c r="AZ3878" i="9"/>
  <c r="AY3878" i="9"/>
  <c r="AX3878" i="9"/>
  <c r="AW3878" i="9"/>
  <c r="AZ3877" i="9"/>
  <c r="AY3877" i="9"/>
  <c r="AX3877" i="9"/>
  <c r="AW3877" i="9"/>
  <c r="AZ3876" i="9"/>
  <c r="AY3876" i="9"/>
  <c r="AX3876" i="9"/>
  <c r="AW3876" i="9"/>
  <c r="AZ3875" i="9"/>
  <c r="AY3875" i="9"/>
  <c r="AX3875" i="9"/>
  <c r="AW3875" i="9"/>
  <c r="AZ3874" i="9"/>
  <c r="AY3874" i="9"/>
  <c r="AX3874" i="9"/>
  <c r="AW3874" i="9"/>
  <c r="AZ3873" i="9"/>
  <c r="AY3873" i="9"/>
  <c r="AX3873" i="9"/>
  <c r="AW3873" i="9"/>
  <c r="AZ3872" i="9"/>
  <c r="AY3872" i="9"/>
  <c r="AX3872" i="9"/>
  <c r="AW3872" i="9"/>
  <c r="AZ3871" i="9"/>
  <c r="AY3871" i="9"/>
  <c r="AX3871" i="9"/>
  <c r="AW3871" i="9"/>
  <c r="AZ3870" i="9"/>
  <c r="AY3870" i="9"/>
  <c r="AX3870" i="9"/>
  <c r="AW3870" i="9"/>
  <c r="AZ3869" i="9"/>
  <c r="AY3869" i="9"/>
  <c r="AX3869" i="9"/>
  <c r="AW3869" i="9"/>
  <c r="AZ3868" i="9"/>
  <c r="AY3868" i="9"/>
  <c r="AX3868" i="9"/>
  <c r="AW3868" i="9"/>
  <c r="AZ3867" i="9"/>
  <c r="AY3867" i="9"/>
  <c r="AX3867" i="9"/>
  <c r="AW3867" i="9"/>
  <c r="AZ3866" i="9"/>
  <c r="AY3866" i="9"/>
  <c r="AX3866" i="9"/>
  <c r="AW3866" i="9"/>
  <c r="AZ3865" i="9"/>
  <c r="AY3865" i="9"/>
  <c r="AX3865" i="9"/>
  <c r="AW3865" i="9"/>
  <c r="AZ3864" i="9"/>
  <c r="AY3864" i="9"/>
  <c r="AX3864" i="9"/>
  <c r="AW3864" i="9"/>
  <c r="AZ3863" i="9"/>
  <c r="AY3863" i="9"/>
  <c r="AX3863" i="9"/>
  <c r="AW3863" i="9"/>
  <c r="AZ3862" i="9"/>
  <c r="AY3862" i="9"/>
  <c r="AX3862" i="9"/>
  <c r="AW3862" i="9"/>
  <c r="AZ3861" i="9"/>
  <c r="AY3861" i="9"/>
  <c r="AX3861" i="9"/>
  <c r="AW3861" i="9"/>
  <c r="AZ3860" i="9"/>
  <c r="AY3860" i="9"/>
  <c r="AX3860" i="9"/>
  <c r="AW3860" i="9"/>
  <c r="AZ3859" i="9"/>
  <c r="AY3859" i="9"/>
  <c r="AX3859" i="9"/>
  <c r="AW3859" i="9"/>
  <c r="AZ3858" i="9"/>
  <c r="AY3858" i="9"/>
  <c r="AX3858" i="9"/>
  <c r="AW3858" i="9"/>
  <c r="AZ3857" i="9"/>
  <c r="AY3857" i="9"/>
  <c r="AX3857" i="9"/>
  <c r="AW3857" i="9"/>
  <c r="AZ3856" i="9"/>
  <c r="AY3856" i="9"/>
  <c r="AX3856" i="9"/>
  <c r="AW3856" i="9"/>
  <c r="AZ3855" i="9"/>
  <c r="AY3855" i="9"/>
  <c r="AX3855" i="9"/>
  <c r="AW3855" i="9"/>
  <c r="AZ3854" i="9"/>
  <c r="AY3854" i="9"/>
  <c r="AX3854" i="9"/>
  <c r="AW3854" i="9"/>
  <c r="AZ3853" i="9"/>
  <c r="AY3853" i="9"/>
  <c r="AX3853" i="9"/>
  <c r="AW3853" i="9"/>
  <c r="AZ3852" i="9"/>
  <c r="AY3852" i="9"/>
  <c r="AX3852" i="9"/>
  <c r="AW3852" i="9"/>
  <c r="AZ3851" i="9"/>
  <c r="AY3851" i="9"/>
  <c r="AX3851" i="9"/>
  <c r="AW3851" i="9"/>
  <c r="AZ3850" i="9"/>
  <c r="AY3850" i="9"/>
  <c r="AX3850" i="9"/>
  <c r="AW3850" i="9"/>
  <c r="AZ3849" i="9"/>
  <c r="AY3849" i="9"/>
  <c r="AX3849" i="9"/>
  <c r="AW3849" i="9"/>
  <c r="AZ3848" i="9"/>
  <c r="AY3848" i="9"/>
  <c r="AX3848" i="9"/>
  <c r="AW3848" i="9"/>
  <c r="AZ3847" i="9"/>
  <c r="AY3847" i="9"/>
  <c r="AX3847" i="9"/>
  <c r="AW3847" i="9"/>
  <c r="AZ3846" i="9"/>
  <c r="AY3846" i="9"/>
  <c r="AX3846" i="9"/>
  <c r="AW3846" i="9"/>
  <c r="AZ3845" i="9"/>
  <c r="AY3845" i="9"/>
  <c r="AX3845" i="9"/>
  <c r="AW3845" i="9"/>
  <c r="AZ3844" i="9"/>
  <c r="AY3844" i="9"/>
  <c r="AX3844" i="9"/>
  <c r="AW3844" i="9"/>
  <c r="AZ3843" i="9"/>
  <c r="AY3843" i="9"/>
  <c r="AX3843" i="9"/>
  <c r="AW3843" i="9"/>
  <c r="AZ3842" i="9"/>
  <c r="AY3842" i="9"/>
  <c r="AX3842" i="9"/>
  <c r="AW3842" i="9"/>
  <c r="AZ3841" i="9"/>
  <c r="AY3841" i="9"/>
  <c r="AX3841" i="9"/>
  <c r="AW3841" i="9"/>
  <c r="AZ3840" i="9"/>
  <c r="AY3840" i="9"/>
  <c r="AX3840" i="9"/>
  <c r="AW3840" i="9"/>
  <c r="AZ3839" i="9"/>
  <c r="AY3839" i="9"/>
  <c r="AX3839" i="9"/>
  <c r="AW3839" i="9"/>
  <c r="AZ3838" i="9"/>
  <c r="AY3838" i="9"/>
  <c r="AX3838" i="9"/>
  <c r="AW3838" i="9"/>
  <c r="AZ3837" i="9"/>
  <c r="AY3837" i="9"/>
  <c r="AX3837" i="9"/>
  <c r="AW3837" i="9"/>
  <c r="AZ3836" i="9"/>
  <c r="AY3836" i="9"/>
  <c r="AX3836" i="9"/>
  <c r="AW3836" i="9"/>
  <c r="AZ3835" i="9"/>
  <c r="AY3835" i="9"/>
  <c r="AX3835" i="9"/>
  <c r="AW3835" i="9"/>
  <c r="AZ3834" i="9"/>
  <c r="AY3834" i="9"/>
  <c r="AX3834" i="9"/>
  <c r="AW3834" i="9"/>
  <c r="AZ3833" i="9"/>
  <c r="AY3833" i="9"/>
  <c r="AX3833" i="9"/>
  <c r="AW3833" i="9"/>
  <c r="AZ3832" i="9"/>
  <c r="AY3832" i="9"/>
  <c r="AX3832" i="9"/>
  <c r="AW3832" i="9"/>
  <c r="AZ3831" i="9"/>
  <c r="AY3831" i="9"/>
  <c r="AX3831" i="9"/>
  <c r="AW3831" i="9"/>
  <c r="AZ3830" i="9"/>
  <c r="AY3830" i="9"/>
  <c r="AX3830" i="9"/>
  <c r="AW3830" i="9"/>
  <c r="AZ3829" i="9"/>
  <c r="AY3829" i="9"/>
  <c r="AX3829" i="9"/>
  <c r="AW3829" i="9"/>
  <c r="AZ3828" i="9"/>
  <c r="AY3828" i="9"/>
  <c r="AX3828" i="9"/>
  <c r="AW3828" i="9"/>
  <c r="AZ3827" i="9"/>
  <c r="AY3827" i="9"/>
  <c r="AX3827" i="9"/>
  <c r="AW3827" i="9"/>
  <c r="AZ3826" i="9"/>
  <c r="AY3826" i="9"/>
  <c r="AX3826" i="9"/>
  <c r="AW3826" i="9"/>
  <c r="AZ3825" i="9"/>
  <c r="AY3825" i="9"/>
  <c r="AX3825" i="9"/>
  <c r="AW3825" i="9"/>
  <c r="AZ3824" i="9"/>
  <c r="AY3824" i="9"/>
  <c r="AX3824" i="9"/>
  <c r="AW3824" i="9"/>
  <c r="AZ3823" i="9"/>
  <c r="AY3823" i="9"/>
  <c r="AX3823" i="9"/>
  <c r="AW3823" i="9"/>
  <c r="AZ3822" i="9"/>
  <c r="AY3822" i="9"/>
  <c r="AX3822" i="9"/>
  <c r="AW3822" i="9"/>
  <c r="AZ3821" i="9"/>
  <c r="AY3821" i="9"/>
  <c r="AX3821" i="9"/>
  <c r="AW3821" i="9"/>
  <c r="AZ3820" i="9"/>
  <c r="AY3820" i="9"/>
  <c r="AX3820" i="9"/>
  <c r="AW3820" i="9"/>
  <c r="AZ3819" i="9"/>
  <c r="AY3819" i="9"/>
  <c r="AX3819" i="9"/>
  <c r="AW3819" i="9"/>
  <c r="AZ3818" i="9"/>
  <c r="AY3818" i="9"/>
  <c r="AX3818" i="9"/>
  <c r="AW3818" i="9"/>
  <c r="AZ3817" i="9"/>
  <c r="AY3817" i="9"/>
  <c r="AX3817" i="9"/>
  <c r="AW3817" i="9"/>
  <c r="AZ3816" i="9"/>
  <c r="AY3816" i="9"/>
  <c r="AX3816" i="9"/>
  <c r="AW3816" i="9"/>
  <c r="AZ3815" i="9"/>
  <c r="AY3815" i="9"/>
  <c r="AX3815" i="9"/>
  <c r="AW3815" i="9"/>
  <c r="AZ3814" i="9"/>
  <c r="AY3814" i="9"/>
  <c r="AX3814" i="9"/>
  <c r="AW3814" i="9"/>
  <c r="AZ3813" i="9"/>
  <c r="AY3813" i="9"/>
  <c r="AX3813" i="9"/>
  <c r="AW3813" i="9"/>
  <c r="AZ3812" i="9"/>
  <c r="AY3812" i="9"/>
  <c r="AX3812" i="9"/>
  <c r="AW3812" i="9"/>
  <c r="AZ3811" i="9"/>
  <c r="AY3811" i="9"/>
  <c r="AX3811" i="9"/>
  <c r="AW3811" i="9"/>
  <c r="AZ3810" i="9"/>
  <c r="AY3810" i="9"/>
  <c r="AX3810" i="9"/>
  <c r="AW3810" i="9"/>
  <c r="AZ3809" i="9"/>
  <c r="AY3809" i="9"/>
  <c r="AX3809" i="9"/>
  <c r="AW3809" i="9"/>
  <c r="AZ3808" i="9"/>
  <c r="AY3808" i="9"/>
  <c r="AX3808" i="9"/>
  <c r="AW3808" i="9"/>
  <c r="AZ3807" i="9"/>
  <c r="AY3807" i="9"/>
  <c r="AX3807" i="9"/>
  <c r="AW3807" i="9"/>
  <c r="AZ3806" i="9"/>
  <c r="AY3806" i="9"/>
  <c r="AX3806" i="9"/>
  <c r="AW3806" i="9"/>
  <c r="AZ3805" i="9"/>
  <c r="AY3805" i="9"/>
  <c r="AX3805" i="9"/>
  <c r="AW3805" i="9"/>
  <c r="AZ3804" i="9"/>
  <c r="AY3804" i="9"/>
  <c r="AX3804" i="9"/>
  <c r="AW3804" i="9"/>
  <c r="AZ3803" i="9"/>
  <c r="AY3803" i="9"/>
  <c r="AX3803" i="9"/>
  <c r="AW3803" i="9"/>
  <c r="AZ3802" i="9"/>
  <c r="AY3802" i="9"/>
  <c r="AX3802" i="9"/>
  <c r="AW3802" i="9"/>
  <c r="AZ3801" i="9"/>
  <c r="AY3801" i="9"/>
  <c r="AX3801" i="9"/>
  <c r="AW3801" i="9"/>
  <c r="AZ3800" i="9"/>
  <c r="AY3800" i="9"/>
  <c r="AX3800" i="9"/>
  <c r="AW3800" i="9"/>
  <c r="AZ3799" i="9"/>
  <c r="AY3799" i="9"/>
  <c r="AX3799" i="9"/>
  <c r="AW3799" i="9"/>
  <c r="AZ3798" i="9"/>
  <c r="AY3798" i="9"/>
  <c r="AX3798" i="9"/>
  <c r="AW3798" i="9"/>
  <c r="AZ3797" i="9"/>
  <c r="AY3797" i="9"/>
  <c r="AX3797" i="9"/>
  <c r="AW3797" i="9"/>
  <c r="AZ3796" i="9"/>
  <c r="AY3796" i="9"/>
  <c r="AX3796" i="9"/>
  <c r="AW3796" i="9"/>
  <c r="AZ3795" i="9"/>
  <c r="AY3795" i="9"/>
  <c r="AX3795" i="9"/>
  <c r="AW3795" i="9"/>
  <c r="AZ3794" i="9"/>
  <c r="AY3794" i="9"/>
  <c r="AX3794" i="9"/>
  <c r="AW3794" i="9"/>
  <c r="AZ3793" i="9"/>
  <c r="AY3793" i="9"/>
  <c r="AX3793" i="9"/>
  <c r="AW3793" i="9"/>
  <c r="AZ3792" i="9"/>
  <c r="AY3792" i="9"/>
  <c r="AX3792" i="9"/>
  <c r="AW3792" i="9"/>
  <c r="AZ3791" i="9"/>
  <c r="AY3791" i="9"/>
  <c r="AX3791" i="9"/>
  <c r="AW3791" i="9"/>
  <c r="AZ3790" i="9"/>
  <c r="AY3790" i="9"/>
  <c r="AX3790" i="9"/>
  <c r="AW3790" i="9"/>
  <c r="AZ3789" i="9"/>
  <c r="AY3789" i="9"/>
  <c r="AX3789" i="9"/>
  <c r="AW3789" i="9"/>
  <c r="AZ3788" i="9"/>
  <c r="AY3788" i="9"/>
  <c r="AX3788" i="9"/>
  <c r="AW3788" i="9"/>
  <c r="AZ3787" i="9"/>
  <c r="AY3787" i="9"/>
  <c r="AX3787" i="9"/>
  <c r="AW3787" i="9"/>
  <c r="AZ3786" i="9"/>
  <c r="AY3786" i="9"/>
  <c r="AX3786" i="9"/>
  <c r="AW3786" i="9"/>
  <c r="AZ3785" i="9"/>
  <c r="AY3785" i="9"/>
  <c r="AX3785" i="9"/>
  <c r="AW3785" i="9"/>
  <c r="AZ3784" i="9"/>
  <c r="AY3784" i="9"/>
  <c r="AX3784" i="9"/>
  <c r="AW3784" i="9"/>
  <c r="AZ3783" i="9"/>
  <c r="AY3783" i="9"/>
  <c r="AX3783" i="9"/>
  <c r="AW3783" i="9"/>
  <c r="AZ3782" i="9"/>
  <c r="AY3782" i="9"/>
  <c r="AX3782" i="9"/>
  <c r="AW3782" i="9"/>
  <c r="AZ3781" i="9"/>
  <c r="AY3781" i="9"/>
  <c r="AX3781" i="9"/>
  <c r="AW3781" i="9"/>
  <c r="AZ3780" i="9"/>
  <c r="AY3780" i="9"/>
  <c r="AX3780" i="9"/>
  <c r="AW3780" i="9"/>
  <c r="AZ3779" i="9"/>
  <c r="AY3779" i="9"/>
  <c r="AX3779" i="9"/>
  <c r="AW3779" i="9"/>
  <c r="AZ3778" i="9"/>
  <c r="AY3778" i="9"/>
  <c r="AX3778" i="9"/>
  <c r="AW3778" i="9"/>
  <c r="AZ3777" i="9"/>
  <c r="AY3777" i="9"/>
  <c r="AX3777" i="9"/>
  <c r="AW3777" i="9"/>
  <c r="AZ3776" i="9"/>
  <c r="AY3776" i="9"/>
  <c r="AX3776" i="9"/>
  <c r="AW3776" i="9"/>
  <c r="AZ3775" i="9"/>
  <c r="AY3775" i="9"/>
  <c r="AX3775" i="9"/>
  <c r="AW3775" i="9"/>
  <c r="AZ3774" i="9"/>
  <c r="AY3774" i="9"/>
  <c r="AX3774" i="9"/>
  <c r="AW3774" i="9"/>
  <c r="AZ3773" i="9"/>
  <c r="AY3773" i="9"/>
  <c r="AX3773" i="9"/>
  <c r="AW3773" i="9"/>
  <c r="AZ3772" i="9"/>
  <c r="AY3772" i="9"/>
  <c r="AX3772" i="9"/>
  <c r="AW3772" i="9"/>
  <c r="AZ3771" i="9"/>
  <c r="AY3771" i="9"/>
  <c r="AX3771" i="9"/>
  <c r="AW3771" i="9"/>
  <c r="AZ3770" i="9"/>
  <c r="AY3770" i="9"/>
  <c r="AX3770" i="9"/>
  <c r="AW3770" i="9"/>
  <c r="AZ3769" i="9"/>
  <c r="AY3769" i="9"/>
  <c r="AX3769" i="9"/>
  <c r="AW3769" i="9"/>
  <c r="AZ3768" i="9"/>
  <c r="AY3768" i="9"/>
  <c r="AX3768" i="9"/>
  <c r="AW3768" i="9"/>
  <c r="AZ3767" i="9"/>
  <c r="AY3767" i="9"/>
  <c r="AX3767" i="9"/>
  <c r="AW3767" i="9"/>
  <c r="AZ3766" i="9"/>
  <c r="AY3766" i="9"/>
  <c r="AX3766" i="9"/>
  <c r="AW3766" i="9"/>
  <c r="AZ3765" i="9"/>
  <c r="AY3765" i="9"/>
  <c r="AX3765" i="9"/>
  <c r="AW3765" i="9"/>
  <c r="AZ3764" i="9"/>
  <c r="AY3764" i="9"/>
  <c r="AX3764" i="9"/>
  <c r="AW3764" i="9"/>
  <c r="AZ3763" i="9"/>
  <c r="AY3763" i="9"/>
  <c r="AX3763" i="9"/>
  <c r="AW3763" i="9"/>
  <c r="AZ3762" i="9"/>
  <c r="AY3762" i="9"/>
  <c r="AX3762" i="9"/>
  <c r="AW3762" i="9"/>
  <c r="AZ3761" i="9"/>
  <c r="AY3761" i="9"/>
  <c r="AX3761" i="9"/>
  <c r="AW3761" i="9"/>
  <c r="AZ3760" i="9"/>
  <c r="AY3760" i="9"/>
  <c r="AX3760" i="9"/>
  <c r="AW3760" i="9"/>
  <c r="AZ3759" i="9"/>
  <c r="AY3759" i="9"/>
  <c r="AX3759" i="9"/>
  <c r="AW3759" i="9"/>
  <c r="AZ3758" i="9"/>
  <c r="AY3758" i="9"/>
  <c r="AX3758" i="9"/>
  <c r="AW3758" i="9"/>
  <c r="AZ3757" i="9"/>
  <c r="AY3757" i="9"/>
  <c r="AX3757" i="9"/>
  <c r="AW3757" i="9"/>
  <c r="AZ3756" i="9"/>
  <c r="AY3756" i="9"/>
  <c r="AX3756" i="9"/>
  <c r="AW3756" i="9"/>
  <c r="AZ3755" i="9"/>
  <c r="AY3755" i="9"/>
  <c r="AX3755" i="9"/>
  <c r="AW3755" i="9"/>
  <c r="AZ3754" i="9"/>
  <c r="AY3754" i="9"/>
  <c r="AX3754" i="9"/>
  <c r="AW3754" i="9"/>
  <c r="AZ3753" i="9"/>
  <c r="AY3753" i="9"/>
  <c r="AX3753" i="9"/>
  <c r="AW3753" i="9"/>
  <c r="AZ3752" i="9"/>
  <c r="AY3752" i="9"/>
  <c r="AX3752" i="9"/>
  <c r="AW3752" i="9"/>
  <c r="AZ3751" i="9"/>
  <c r="AY3751" i="9"/>
  <c r="AX3751" i="9"/>
  <c r="AW3751" i="9"/>
  <c r="AZ3750" i="9"/>
  <c r="AY3750" i="9"/>
  <c r="AX3750" i="9"/>
  <c r="AW3750" i="9"/>
  <c r="AZ3749" i="9"/>
  <c r="AY3749" i="9"/>
  <c r="AX3749" i="9"/>
  <c r="AW3749" i="9"/>
  <c r="AZ3748" i="9"/>
  <c r="AY3748" i="9"/>
  <c r="AX3748" i="9"/>
  <c r="AW3748" i="9"/>
  <c r="AZ3747" i="9"/>
  <c r="AY3747" i="9"/>
  <c r="AX3747" i="9"/>
  <c r="AW3747" i="9"/>
  <c r="AZ3746" i="9"/>
  <c r="AY3746" i="9"/>
  <c r="AX3746" i="9"/>
  <c r="AW3746" i="9"/>
  <c r="AZ3745" i="9"/>
  <c r="AY3745" i="9"/>
  <c r="AX3745" i="9"/>
  <c r="AW3745" i="9"/>
  <c r="AZ3744" i="9"/>
  <c r="AY3744" i="9"/>
  <c r="AX3744" i="9"/>
  <c r="AW3744" i="9"/>
  <c r="AZ3743" i="9"/>
  <c r="AY3743" i="9"/>
  <c r="AX3743" i="9"/>
  <c r="AW3743" i="9"/>
  <c r="AZ3742" i="9"/>
  <c r="AY3742" i="9"/>
  <c r="AX3742" i="9"/>
  <c r="AW3742" i="9"/>
  <c r="AZ3741" i="9"/>
  <c r="AY3741" i="9"/>
  <c r="AX3741" i="9"/>
  <c r="AW3741" i="9"/>
  <c r="AZ3740" i="9"/>
  <c r="AY3740" i="9"/>
  <c r="AX3740" i="9"/>
  <c r="AW3740" i="9"/>
  <c r="AZ3739" i="9"/>
  <c r="AY3739" i="9"/>
  <c r="AX3739" i="9"/>
  <c r="AW3739" i="9"/>
  <c r="AZ3738" i="9"/>
  <c r="AY3738" i="9"/>
  <c r="AX3738" i="9"/>
  <c r="AW3738" i="9"/>
  <c r="AZ3737" i="9"/>
  <c r="AY3737" i="9"/>
  <c r="AX3737" i="9"/>
  <c r="AW3737" i="9"/>
  <c r="AZ3736" i="9"/>
  <c r="AY3736" i="9"/>
  <c r="AX3736" i="9"/>
  <c r="AW3736" i="9"/>
  <c r="AZ3735" i="9"/>
  <c r="AY3735" i="9"/>
  <c r="AX3735" i="9"/>
  <c r="AW3735" i="9"/>
  <c r="AZ3734" i="9"/>
  <c r="AY3734" i="9"/>
  <c r="AX3734" i="9"/>
  <c r="AW3734" i="9"/>
  <c r="AZ3733" i="9"/>
  <c r="AY3733" i="9"/>
  <c r="AX3733" i="9"/>
  <c r="AW3733" i="9"/>
  <c r="AZ3732" i="9"/>
  <c r="AY3732" i="9"/>
  <c r="AX3732" i="9"/>
  <c r="AW3732" i="9"/>
  <c r="AZ3731" i="9"/>
  <c r="AY3731" i="9"/>
  <c r="AX3731" i="9"/>
  <c r="AW3731" i="9"/>
  <c r="AZ3730" i="9"/>
  <c r="AY3730" i="9"/>
  <c r="AX3730" i="9"/>
  <c r="AW3730" i="9"/>
  <c r="AZ3729" i="9"/>
  <c r="AY3729" i="9"/>
  <c r="AX3729" i="9"/>
  <c r="AW3729" i="9"/>
  <c r="AZ3728" i="9"/>
  <c r="AY3728" i="9"/>
  <c r="AX3728" i="9"/>
  <c r="AW3728" i="9"/>
  <c r="AZ3727" i="9"/>
  <c r="AY3727" i="9"/>
  <c r="AX3727" i="9"/>
  <c r="AW3727" i="9"/>
  <c r="AZ3726" i="9"/>
  <c r="AY3726" i="9"/>
  <c r="AX3726" i="9"/>
  <c r="AW3726" i="9"/>
  <c r="AZ3725" i="9"/>
  <c r="AY3725" i="9"/>
  <c r="AX3725" i="9"/>
  <c r="AW3725" i="9"/>
  <c r="AZ3724" i="9"/>
  <c r="AY3724" i="9"/>
  <c r="AX3724" i="9"/>
  <c r="AW3724" i="9"/>
  <c r="AZ3723" i="9"/>
  <c r="AY3723" i="9"/>
  <c r="AX3723" i="9"/>
  <c r="AW3723" i="9"/>
  <c r="AZ3722" i="9"/>
  <c r="AY3722" i="9"/>
  <c r="AX3722" i="9"/>
  <c r="AW3722" i="9"/>
  <c r="AZ3721" i="9"/>
  <c r="AY3721" i="9"/>
  <c r="AX3721" i="9"/>
  <c r="AW3721" i="9"/>
  <c r="AZ3720" i="9"/>
  <c r="AY3720" i="9"/>
  <c r="AX3720" i="9"/>
  <c r="AW3720" i="9"/>
  <c r="AZ3719" i="9"/>
  <c r="AY3719" i="9"/>
  <c r="AX3719" i="9"/>
  <c r="AW3719" i="9"/>
  <c r="AZ3718" i="9"/>
  <c r="AY3718" i="9"/>
  <c r="AX3718" i="9"/>
  <c r="AW3718" i="9"/>
  <c r="AZ3717" i="9"/>
  <c r="AY3717" i="9"/>
  <c r="AX3717" i="9"/>
  <c r="AW3717" i="9"/>
  <c r="AZ3716" i="9"/>
  <c r="AY3716" i="9"/>
  <c r="AX3716" i="9"/>
  <c r="AW3716" i="9"/>
  <c r="AZ3715" i="9"/>
  <c r="AY3715" i="9"/>
  <c r="AX3715" i="9"/>
  <c r="AW3715" i="9"/>
  <c r="AZ3714" i="9"/>
  <c r="AY3714" i="9"/>
  <c r="AX3714" i="9"/>
  <c r="AW3714" i="9"/>
  <c r="AZ3713" i="9"/>
  <c r="AY3713" i="9"/>
  <c r="AX3713" i="9"/>
  <c r="AW3713" i="9"/>
  <c r="AZ3712" i="9"/>
  <c r="AY3712" i="9"/>
  <c r="AX3712" i="9"/>
  <c r="AW3712" i="9"/>
  <c r="AZ3711" i="9"/>
  <c r="AY3711" i="9"/>
  <c r="AX3711" i="9"/>
  <c r="AW3711" i="9"/>
  <c r="AZ3710" i="9"/>
  <c r="AY3710" i="9"/>
  <c r="AX3710" i="9"/>
  <c r="AW3710" i="9"/>
  <c r="AZ3709" i="9"/>
  <c r="AY3709" i="9"/>
  <c r="AX3709" i="9"/>
  <c r="AW3709" i="9"/>
  <c r="AZ3708" i="9"/>
  <c r="AY3708" i="9"/>
  <c r="AX3708" i="9"/>
  <c r="AW3708" i="9"/>
  <c r="AZ3707" i="9"/>
  <c r="AY3707" i="9"/>
  <c r="AX3707" i="9"/>
  <c r="AW3707" i="9"/>
  <c r="AZ3706" i="9"/>
  <c r="AY3706" i="9"/>
  <c r="AX3706" i="9"/>
  <c r="AW3706" i="9"/>
  <c r="AZ3705" i="9"/>
  <c r="AY3705" i="9"/>
  <c r="AX3705" i="9"/>
  <c r="AW3705" i="9"/>
  <c r="AZ3704" i="9"/>
  <c r="AY3704" i="9"/>
  <c r="AX3704" i="9"/>
  <c r="AW3704" i="9"/>
  <c r="AZ3703" i="9"/>
  <c r="AY3703" i="9"/>
  <c r="AX3703" i="9"/>
  <c r="AW3703" i="9"/>
  <c r="AZ3702" i="9"/>
  <c r="AY3702" i="9"/>
  <c r="AX3702" i="9"/>
  <c r="AW3702" i="9"/>
  <c r="AZ3701" i="9"/>
  <c r="AY3701" i="9"/>
  <c r="AX3701" i="9"/>
  <c r="AW3701" i="9"/>
  <c r="AZ3700" i="9"/>
  <c r="AY3700" i="9"/>
  <c r="AX3700" i="9"/>
  <c r="AW3700" i="9"/>
  <c r="AZ3699" i="9"/>
  <c r="AY3699" i="9"/>
  <c r="AX3699" i="9"/>
  <c r="AW3699" i="9"/>
  <c r="AZ3698" i="9"/>
  <c r="AY3698" i="9"/>
  <c r="AX3698" i="9"/>
  <c r="AW3698" i="9"/>
  <c r="AZ3697" i="9"/>
  <c r="AY3697" i="9"/>
  <c r="AX3697" i="9"/>
  <c r="AW3697" i="9"/>
  <c r="AZ3696" i="9"/>
  <c r="AY3696" i="9"/>
  <c r="AX3696" i="9"/>
  <c r="AW3696" i="9"/>
  <c r="AZ3695" i="9"/>
  <c r="AY3695" i="9"/>
  <c r="AX3695" i="9"/>
  <c r="AW3695" i="9"/>
  <c r="AZ3694" i="9"/>
  <c r="AY3694" i="9"/>
  <c r="AX3694" i="9"/>
  <c r="AW3694" i="9"/>
  <c r="AZ3693" i="9"/>
  <c r="AY3693" i="9"/>
  <c r="AX3693" i="9"/>
  <c r="AW3693" i="9"/>
  <c r="AZ3692" i="9"/>
  <c r="AY3692" i="9"/>
  <c r="AX3692" i="9"/>
  <c r="AW3692" i="9"/>
  <c r="AZ3691" i="9"/>
  <c r="AY3691" i="9"/>
  <c r="AX3691" i="9"/>
  <c r="AW3691" i="9"/>
  <c r="AZ3690" i="9"/>
  <c r="AY3690" i="9"/>
  <c r="AX3690" i="9"/>
  <c r="AW3690" i="9"/>
  <c r="AZ3689" i="9"/>
  <c r="AY3689" i="9"/>
  <c r="AX3689" i="9"/>
  <c r="AW3689" i="9"/>
  <c r="AZ3688" i="9"/>
  <c r="AY3688" i="9"/>
  <c r="AX3688" i="9"/>
  <c r="AW3688" i="9"/>
  <c r="AZ3687" i="9"/>
  <c r="AY3687" i="9"/>
  <c r="AX3687" i="9"/>
  <c r="AW3687" i="9"/>
  <c r="AZ3686" i="9"/>
  <c r="AY3686" i="9"/>
  <c r="AX3686" i="9"/>
  <c r="AW3686" i="9"/>
  <c r="AZ3685" i="9"/>
  <c r="AY3685" i="9"/>
  <c r="AX3685" i="9"/>
  <c r="AW3685" i="9"/>
  <c r="AZ3684" i="9"/>
  <c r="AY3684" i="9"/>
  <c r="AX3684" i="9"/>
  <c r="AW3684" i="9"/>
  <c r="AZ3683" i="9"/>
  <c r="AY3683" i="9"/>
  <c r="AX3683" i="9"/>
  <c r="AW3683" i="9"/>
  <c r="AZ3682" i="9"/>
  <c r="AY3682" i="9"/>
  <c r="AX3682" i="9"/>
  <c r="AW3682" i="9"/>
  <c r="AZ3681" i="9"/>
  <c r="AY3681" i="9"/>
  <c r="AX3681" i="9"/>
  <c r="AW3681" i="9"/>
  <c r="AZ3680" i="9"/>
  <c r="AY3680" i="9"/>
  <c r="AX3680" i="9"/>
  <c r="AW3680" i="9"/>
  <c r="AZ3679" i="9"/>
  <c r="AY3679" i="9"/>
  <c r="AX3679" i="9"/>
  <c r="AW3679" i="9"/>
  <c r="AZ3678" i="9"/>
  <c r="AY3678" i="9"/>
  <c r="AX3678" i="9"/>
  <c r="AW3678" i="9"/>
  <c r="AZ3677" i="9"/>
  <c r="AY3677" i="9"/>
  <c r="AX3677" i="9"/>
  <c r="AW3677" i="9"/>
  <c r="AZ3676" i="9"/>
  <c r="AY3676" i="9"/>
  <c r="AX3676" i="9"/>
  <c r="AW3676" i="9"/>
  <c r="AZ3675" i="9"/>
  <c r="AY3675" i="9"/>
  <c r="AX3675" i="9"/>
  <c r="AW3675" i="9"/>
  <c r="AZ3674" i="9"/>
  <c r="AY3674" i="9"/>
  <c r="AX3674" i="9"/>
  <c r="AW3674" i="9"/>
  <c r="AZ3673" i="9"/>
  <c r="AY3673" i="9"/>
  <c r="AX3673" i="9"/>
  <c r="AW3673" i="9"/>
  <c r="AZ3672" i="9"/>
  <c r="AY3672" i="9"/>
  <c r="AX3672" i="9"/>
  <c r="AW3672" i="9"/>
  <c r="AZ3671" i="9"/>
  <c r="AY3671" i="9"/>
  <c r="AX3671" i="9"/>
  <c r="AW3671" i="9"/>
  <c r="AZ3670" i="9"/>
  <c r="AY3670" i="9"/>
  <c r="AX3670" i="9"/>
  <c r="AW3670" i="9"/>
  <c r="AZ3669" i="9"/>
  <c r="AY3669" i="9"/>
  <c r="AX3669" i="9"/>
  <c r="AW3669" i="9"/>
  <c r="AZ3668" i="9"/>
  <c r="AY3668" i="9"/>
  <c r="AX3668" i="9"/>
  <c r="AW3668" i="9"/>
  <c r="AZ3667" i="9"/>
  <c r="AY3667" i="9"/>
  <c r="AX3667" i="9"/>
  <c r="AW3667" i="9"/>
  <c r="AZ3666" i="9"/>
  <c r="AY3666" i="9"/>
  <c r="AX3666" i="9"/>
  <c r="AW3666" i="9"/>
  <c r="AZ3665" i="9"/>
  <c r="AY3665" i="9"/>
  <c r="AX3665" i="9"/>
  <c r="AW3665" i="9"/>
  <c r="AZ3664" i="9"/>
  <c r="AY3664" i="9"/>
  <c r="AX3664" i="9"/>
  <c r="AW3664" i="9"/>
  <c r="AZ3663" i="9"/>
  <c r="AY3663" i="9"/>
  <c r="AX3663" i="9"/>
  <c r="AW3663" i="9"/>
  <c r="AZ3662" i="9"/>
  <c r="AY3662" i="9"/>
  <c r="AX3662" i="9"/>
  <c r="AW3662" i="9"/>
  <c r="AZ3661" i="9"/>
  <c r="AY3661" i="9"/>
  <c r="AX3661" i="9"/>
  <c r="AW3661" i="9"/>
  <c r="AZ3660" i="9"/>
  <c r="AY3660" i="9"/>
  <c r="AX3660" i="9"/>
  <c r="AW3660" i="9"/>
  <c r="AZ3659" i="9"/>
  <c r="AY3659" i="9"/>
  <c r="AX3659" i="9"/>
  <c r="AW3659" i="9"/>
  <c r="AZ3658" i="9"/>
  <c r="AY3658" i="9"/>
  <c r="AX3658" i="9"/>
  <c r="AW3658" i="9"/>
  <c r="AZ3657" i="9"/>
  <c r="AY3657" i="9"/>
  <c r="AX3657" i="9"/>
  <c r="AW3657" i="9"/>
  <c r="AZ3656" i="9"/>
  <c r="AY3656" i="9"/>
  <c r="AX3656" i="9"/>
  <c r="AW3656" i="9"/>
  <c r="AZ3655" i="9"/>
  <c r="AY3655" i="9"/>
  <c r="AX3655" i="9"/>
  <c r="AW3655" i="9"/>
  <c r="AZ3654" i="9"/>
  <c r="AY3654" i="9"/>
  <c r="AX3654" i="9"/>
  <c r="AW3654" i="9"/>
  <c r="AZ3653" i="9"/>
  <c r="AY3653" i="9"/>
  <c r="AX3653" i="9"/>
  <c r="AW3653" i="9"/>
  <c r="AZ3652" i="9"/>
  <c r="AY3652" i="9"/>
  <c r="AX3652" i="9"/>
  <c r="AW3652" i="9"/>
  <c r="AZ3651" i="9"/>
  <c r="AY3651" i="9"/>
  <c r="AX3651" i="9"/>
  <c r="AW3651" i="9"/>
  <c r="AZ3650" i="9"/>
  <c r="AY3650" i="9"/>
  <c r="AX3650" i="9"/>
  <c r="AW3650" i="9"/>
  <c r="AZ3649" i="9"/>
  <c r="AY3649" i="9"/>
  <c r="AX3649" i="9"/>
  <c r="AW3649" i="9"/>
  <c r="AZ3648" i="9"/>
  <c r="AY3648" i="9"/>
  <c r="AX3648" i="9"/>
  <c r="AW3648" i="9"/>
  <c r="AZ3647" i="9"/>
  <c r="AY3647" i="9"/>
  <c r="AX3647" i="9"/>
  <c r="AW3647" i="9"/>
  <c r="AZ3646" i="9"/>
  <c r="AY3646" i="9"/>
  <c r="AX3646" i="9"/>
  <c r="AW3646" i="9"/>
  <c r="AZ3645" i="9"/>
  <c r="AY3645" i="9"/>
  <c r="AX3645" i="9"/>
  <c r="AW3645" i="9"/>
  <c r="AZ3644" i="9"/>
  <c r="AY3644" i="9"/>
  <c r="AX3644" i="9"/>
  <c r="AW3644" i="9"/>
  <c r="AZ3643" i="9"/>
  <c r="AY3643" i="9"/>
  <c r="AX3643" i="9"/>
  <c r="AW3643" i="9"/>
  <c r="AZ3642" i="9"/>
  <c r="AY3642" i="9"/>
  <c r="AX3642" i="9"/>
  <c r="AW3642" i="9"/>
  <c r="AZ3641" i="9"/>
  <c r="AY3641" i="9"/>
  <c r="AX3641" i="9"/>
  <c r="AW3641" i="9"/>
  <c r="AZ3640" i="9"/>
  <c r="AY3640" i="9"/>
  <c r="AX3640" i="9"/>
  <c r="AW3640" i="9"/>
  <c r="AZ3639" i="9"/>
  <c r="AY3639" i="9"/>
  <c r="AX3639" i="9"/>
  <c r="AW3639" i="9"/>
  <c r="AZ3638" i="9"/>
  <c r="AY3638" i="9"/>
  <c r="AX3638" i="9"/>
  <c r="AW3638" i="9"/>
  <c r="AZ3637" i="9"/>
  <c r="AY3637" i="9"/>
  <c r="AX3637" i="9"/>
  <c r="AW3637" i="9"/>
  <c r="AZ3636" i="9"/>
  <c r="AY3636" i="9"/>
  <c r="AX3636" i="9"/>
  <c r="AW3636" i="9"/>
  <c r="AZ3635" i="9"/>
  <c r="AY3635" i="9"/>
  <c r="AX3635" i="9"/>
  <c r="AW3635" i="9"/>
  <c r="AZ3634" i="9"/>
  <c r="AY3634" i="9"/>
  <c r="AX3634" i="9"/>
  <c r="AW3634" i="9"/>
  <c r="AZ3633" i="9"/>
  <c r="AY3633" i="9"/>
  <c r="AX3633" i="9"/>
  <c r="AW3633" i="9"/>
  <c r="AZ3632" i="9"/>
  <c r="AY3632" i="9"/>
  <c r="AX3632" i="9"/>
  <c r="AW3632" i="9"/>
  <c r="AZ3631" i="9"/>
  <c r="AY3631" i="9"/>
  <c r="AX3631" i="9"/>
  <c r="AW3631" i="9"/>
  <c r="AZ3630" i="9"/>
  <c r="AY3630" i="9"/>
  <c r="AX3630" i="9"/>
  <c r="AW3630" i="9"/>
  <c r="AZ3629" i="9"/>
  <c r="AY3629" i="9"/>
  <c r="AX3629" i="9"/>
  <c r="AW3629" i="9"/>
  <c r="AZ3628" i="9"/>
  <c r="AY3628" i="9"/>
  <c r="AX3628" i="9"/>
  <c r="AW3628" i="9"/>
  <c r="AZ3627" i="9"/>
  <c r="AY3627" i="9"/>
  <c r="AX3627" i="9"/>
  <c r="AW3627" i="9"/>
  <c r="AZ3626" i="9"/>
  <c r="AY3626" i="9"/>
  <c r="AX3626" i="9"/>
  <c r="AW3626" i="9"/>
  <c r="AZ3625" i="9"/>
  <c r="AY3625" i="9"/>
  <c r="AX3625" i="9"/>
  <c r="AW3625" i="9"/>
  <c r="AZ3624" i="9"/>
  <c r="AY3624" i="9"/>
  <c r="AX3624" i="9"/>
  <c r="AW3624" i="9"/>
  <c r="AZ3623" i="9"/>
  <c r="AY3623" i="9"/>
  <c r="AX3623" i="9"/>
  <c r="AW3623" i="9"/>
  <c r="AZ3622" i="9"/>
  <c r="AY3622" i="9"/>
  <c r="AX3622" i="9"/>
  <c r="AW3622" i="9"/>
  <c r="AZ3621" i="9"/>
  <c r="AY3621" i="9"/>
  <c r="AX3621" i="9"/>
  <c r="AW3621" i="9"/>
  <c r="AZ3620" i="9"/>
  <c r="AY3620" i="9"/>
  <c r="AX3620" i="9"/>
  <c r="AW3620" i="9"/>
  <c r="AZ3619" i="9"/>
  <c r="AY3619" i="9"/>
  <c r="AX3619" i="9"/>
  <c r="AW3619" i="9"/>
  <c r="AZ3618" i="9"/>
  <c r="AY3618" i="9"/>
  <c r="AX3618" i="9"/>
  <c r="AW3618" i="9"/>
  <c r="AZ3617" i="9"/>
  <c r="AY3617" i="9"/>
  <c r="AX3617" i="9"/>
  <c r="AW3617" i="9"/>
  <c r="AZ3616" i="9"/>
  <c r="AY3616" i="9"/>
  <c r="AX3616" i="9"/>
  <c r="AW3616" i="9"/>
  <c r="AZ3615" i="9"/>
  <c r="AY3615" i="9"/>
  <c r="AX3615" i="9"/>
  <c r="AW3615" i="9"/>
  <c r="AZ3614" i="9"/>
  <c r="AY3614" i="9"/>
  <c r="AX3614" i="9"/>
  <c r="AW3614" i="9"/>
  <c r="AZ3613" i="9"/>
  <c r="AY3613" i="9"/>
  <c r="AX3613" i="9"/>
  <c r="AW3613" i="9"/>
  <c r="AZ3612" i="9"/>
  <c r="AY3612" i="9"/>
  <c r="AX3612" i="9"/>
  <c r="AW3612" i="9"/>
  <c r="AZ3611" i="9"/>
  <c r="AY3611" i="9"/>
  <c r="AX3611" i="9"/>
  <c r="AW3611" i="9"/>
  <c r="AZ3610" i="9"/>
  <c r="AY3610" i="9"/>
  <c r="AX3610" i="9"/>
  <c r="AW3610" i="9"/>
  <c r="AZ3609" i="9"/>
  <c r="AY3609" i="9"/>
  <c r="AX3609" i="9"/>
  <c r="AW3609" i="9"/>
  <c r="AZ3608" i="9"/>
  <c r="AY3608" i="9"/>
  <c r="AX3608" i="9"/>
  <c r="AW3608" i="9"/>
  <c r="AZ3607" i="9"/>
  <c r="AY3607" i="9"/>
  <c r="AX3607" i="9"/>
  <c r="AW3607" i="9"/>
  <c r="AZ3606" i="9"/>
  <c r="AY3606" i="9"/>
  <c r="AX3606" i="9"/>
  <c r="AW3606" i="9"/>
  <c r="AZ3605" i="9"/>
  <c r="AY3605" i="9"/>
  <c r="AX3605" i="9"/>
  <c r="AW3605" i="9"/>
  <c r="AZ3604" i="9"/>
  <c r="AY3604" i="9"/>
  <c r="AX3604" i="9"/>
  <c r="AW3604" i="9"/>
  <c r="AZ3603" i="9"/>
  <c r="AY3603" i="9"/>
  <c r="AX3603" i="9"/>
  <c r="AW3603" i="9"/>
  <c r="AZ3602" i="9"/>
  <c r="AY3602" i="9"/>
  <c r="AX3602" i="9"/>
  <c r="AW3602" i="9"/>
  <c r="AZ3601" i="9"/>
  <c r="AY3601" i="9"/>
  <c r="AX3601" i="9"/>
  <c r="AW3601" i="9"/>
  <c r="AZ3600" i="9"/>
  <c r="AY3600" i="9"/>
  <c r="AX3600" i="9"/>
  <c r="AW3600" i="9"/>
  <c r="AZ3599" i="9"/>
  <c r="AY3599" i="9"/>
  <c r="AX3599" i="9"/>
  <c r="AW3599" i="9"/>
  <c r="AZ3598" i="9"/>
  <c r="AY3598" i="9"/>
  <c r="AX3598" i="9"/>
  <c r="AW3598" i="9"/>
  <c r="AZ3597" i="9"/>
  <c r="AY3597" i="9"/>
  <c r="AX3597" i="9"/>
  <c r="AW3597" i="9"/>
  <c r="AZ3596" i="9"/>
  <c r="AY3596" i="9"/>
  <c r="AX3596" i="9"/>
  <c r="AW3596" i="9"/>
  <c r="AZ3595" i="9"/>
  <c r="AY3595" i="9"/>
  <c r="AX3595" i="9"/>
  <c r="AW3595" i="9"/>
  <c r="AZ3594" i="9"/>
  <c r="AY3594" i="9"/>
  <c r="AX3594" i="9"/>
  <c r="AW3594" i="9"/>
  <c r="AZ3593" i="9"/>
  <c r="AY3593" i="9"/>
  <c r="AX3593" i="9"/>
  <c r="AW3593" i="9"/>
  <c r="AZ3592" i="9"/>
  <c r="AY3592" i="9"/>
  <c r="AX3592" i="9"/>
  <c r="AW3592" i="9"/>
  <c r="AZ3591" i="9"/>
  <c r="AY3591" i="9"/>
  <c r="AX3591" i="9"/>
  <c r="AW3591" i="9"/>
  <c r="AZ3590" i="9"/>
  <c r="AY3590" i="9"/>
  <c r="AX3590" i="9"/>
  <c r="AW3590" i="9"/>
  <c r="AZ3589" i="9"/>
  <c r="AY3589" i="9"/>
  <c r="AX3589" i="9"/>
  <c r="AW3589" i="9"/>
  <c r="AZ3588" i="9"/>
  <c r="AY3588" i="9"/>
  <c r="AX3588" i="9"/>
  <c r="AW3588" i="9"/>
  <c r="AZ3587" i="9"/>
  <c r="AY3587" i="9"/>
  <c r="AX3587" i="9"/>
  <c r="AW3587" i="9"/>
  <c r="AZ3586" i="9"/>
  <c r="AY3586" i="9"/>
  <c r="AX3586" i="9"/>
  <c r="AW3586" i="9"/>
  <c r="AZ3585" i="9"/>
  <c r="AY3585" i="9"/>
  <c r="AX3585" i="9"/>
  <c r="AW3585" i="9"/>
  <c r="AZ3584" i="9"/>
  <c r="AY3584" i="9"/>
  <c r="AX3584" i="9"/>
  <c r="AW3584" i="9"/>
  <c r="AZ3583" i="9"/>
  <c r="AY3583" i="9"/>
  <c r="AX3583" i="9"/>
  <c r="AW3583" i="9"/>
  <c r="AZ3582" i="9"/>
  <c r="AY3582" i="9"/>
  <c r="AX3582" i="9"/>
  <c r="AW3582" i="9"/>
  <c r="AZ3581" i="9"/>
  <c r="AY3581" i="9"/>
  <c r="AX3581" i="9"/>
  <c r="AW3581" i="9"/>
  <c r="AZ3580" i="9"/>
  <c r="AY3580" i="9"/>
  <c r="AX3580" i="9"/>
  <c r="AW3580" i="9"/>
  <c r="AZ3579" i="9"/>
  <c r="AY3579" i="9"/>
  <c r="AX3579" i="9"/>
  <c r="AW3579" i="9"/>
  <c r="AZ3578" i="9"/>
  <c r="AY3578" i="9"/>
  <c r="AX3578" i="9"/>
  <c r="AW3578" i="9"/>
  <c r="AZ3577" i="9"/>
  <c r="AY3577" i="9"/>
  <c r="AX3577" i="9"/>
  <c r="AW3577" i="9"/>
  <c r="AZ3576" i="9"/>
  <c r="AY3576" i="9"/>
  <c r="AX3576" i="9"/>
  <c r="AW3576" i="9"/>
  <c r="AZ3575" i="9"/>
  <c r="AY3575" i="9"/>
  <c r="AX3575" i="9"/>
  <c r="AW3575" i="9"/>
  <c r="AZ3574" i="9"/>
  <c r="AY3574" i="9"/>
  <c r="AX3574" i="9"/>
  <c r="AW3574" i="9"/>
  <c r="AZ3573" i="9"/>
  <c r="AY3573" i="9"/>
  <c r="AX3573" i="9"/>
  <c r="AW3573" i="9"/>
  <c r="AZ3572" i="9"/>
  <c r="AY3572" i="9"/>
  <c r="AX3572" i="9"/>
  <c r="AW3572" i="9"/>
  <c r="AZ3571" i="9"/>
  <c r="AY3571" i="9"/>
  <c r="AX3571" i="9"/>
  <c r="AW3571" i="9"/>
  <c r="AZ3570" i="9"/>
  <c r="AY3570" i="9"/>
  <c r="AX3570" i="9"/>
  <c r="AW3570" i="9"/>
  <c r="AZ3569" i="9"/>
  <c r="AY3569" i="9"/>
  <c r="AX3569" i="9"/>
  <c r="AW3569" i="9"/>
  <c r="AZ3568" i="9"/>
  <c r="AY3568" i="9"/>
  <c r="AX3568" i="9"/>
  <c r="AW3568" i="9"/>
  <c r="AZ3567" i="9"/>
  <c r="AY3567" i="9"/>
  <c r="AX3567" i="9"/>
  <c r="AW3567" i="9"/>
  <c r="AZ3566" i="9"/>
  <c r="AY3566" i="9"/>
  <c r="AX3566" i="9"/>
  <c r="AW3566" i="9"/>
  <c r="AZ3565" i="9"/>
  <c r="AY3565" i="9"/>
  <c r="AX3565" i="9"/>
  <c r="AW3565" i="9"/>
  <c r="AZ3564" i="9"/>
  <c r="AY3564" i="9"/>
  <c r="AX3564" i="9"/>
  <c r="AW3564" i="9"/>
  <c r="AZ3563" i="9"/>
  <c r="AY3563" i="9"/>
  <c r="AX3563" i="9"/>
  <c r="AW3563" i="9"/>
  <c r="AZ3562" i="9"/>
  <c r="AY3562" i="9"/>
  <c r="AX3562" i="9"/>
  <c r="AW3562" i="9"/>
  <c r="AZ3561" i="9"/>
  <c r="AY3561" i="9"/>
  <c r="AX3561" i="9"/>
  <c r="AW3561" i="9"/>
  <c r="AZ3560" i="9"/>
  <c r="AY3560" i="9"/>
  <c r="AX3560" i="9"/>
  <c r="AW3560" i="9"/>
  <c r="AZ3559" i="9"/>
  <c r="AY3559" i="9"/>
  <c r="AX3559" i="9"/>
  <c r="AW3559" i="9"/>
  <c r="AZ3558" i="9"/>
  <c r="AY3558" i="9"/>
  <c r="AX3558" i="9"/>
  <c r="AW3558" i="9"/>
  <c r="AZ3557" i="9"/>
  <c r="AY3557" i="9"/>
  <c r="AX3557" i="9"/>
  <c r="AW3557" i="9"/>
  <c r="AZ3556" i="9"/>
  <c r="AY3556" i="9"/>
  <c r="AX3556" i="9"/>
  <c r="AW3556" i="9"/>
  <c r="AZ3555" i="9"/>
  <c r="AY3555" i="9"/>
  <c r="AX3555" i="9"/>
  <c r="AW3555" i="9"/>
  <c r="AZ3554" i="9"/>
  <c r="AY3554" i="9"/>
  <c r="AX3554" i="9"/>
  <c r="AW3554" i="9"/>
  <c r="AZ3553" i="9"/>
  <c r="AY3553" i="9"/>
  <c r="AX3553" i="9"/>
  <c r="AW3553" i="9"/>
  <c r="AZ3552" i="9"/>
  <c r="AY3552" i="9"/>
  <c r="AX3552" i="9"/>
  <c r="AW3552" i="9"/>
  <c r="AZ3551" i="9"/>
  <c r="AY3551" i="9"/>
  <c r="AX3551" i="9"/>
  <c r="AW3551" i="9"/>
  <c r="AZ3550" i="9"/>
  <c r="AY3550" i="9"/>
  <c r="AX3550" i="9"/>
  <c r="AW3550" i="9"/>
  <c r="AZ3549" i="9"/>
  <c r="AY3549" i="9"/>
  <c r="AX3549" i="9"/>
  <c r="AW3549" i="9"/>
  <c r="AZ3548" i="9"/>
  <c r="AY3548" i="9"/>
  <c r="AX3548" i="9"/>
  <c r="AW3548" i="9"/>
  <c r="AZ3547" i="9"/>
  <c r="AY3547" i="9"/>
  <c r="AX3547" i="9"/>
  <c r="AW3547" i="9"/>
  <c r="AZ3546" i="9"/>
  <c r="AY3546" i="9"/>
  <c r="AX3546" i="9"/>
  <c r="AW3546" i="9"/>
  <c r="AW3545" i="9"/>
  <c r="AX3545" i="9"/>
  <c r="AY3545" i="9"/>
  <c r="AZ3545" i="9"/>
  <c r="AZ3544" i="9"/>
  <c r="AY3544" i="9"/>
  <c r="AX3544" i="9"/>
  <c r="AW3544" i="9"/>
  <c r="AZ3543" i="9"/>
  <c r="AY3543" i="9"/>
  <c r="AX3543" i="9"/>
  <c r="AW3543" i="9"/>
  <c r="AZ3542" i="9"/>
  <c r="AY3542" i="9"/>
  <c r="AX3542" i="9"/>
  <c r="AW3542" i="9"/>
  <c r="AZ3541" i="9"/>
  <c r="AY3541" i="9"/>
  <c r="AX3541" i="9"/>
  <c r="AW3541" i="9"/>
  <c r="AZ3540" i="9"/>
  <c r="AY3540" i="9"/>
  <c r="AX3540" i="9"/>
  <c r="AW3540" i="9"/>
  <c r="AZ3539" i="9"/>
  <c r="AY3539" i="9"/>
  <c r="AX3539" i="9"/>
  <c r="AW3539" i="9"/>
  <c r="AZ3538" i="9"/>
  <c r="AY3538" i="9"/>
  <c r="AX3538" i="9"/>
  <c r="AW3538" i="9"/>
  <c r="AZ3537" i="9"/>
  <c r="AY3537" i="9"/>
  <c r="AX3537" i="9"/>
  <c r="AW3537" i="9"/>
  <c r="AZ3536" i="9"/>
  <c r="AY3536" i="9"/>
  <c r="AX3536" i="9"/>
  <c r="AW3536" i="9"/>
  <c r="AZ3535" i="9"/>
  <c r="AY3535" i="9"/>
  <c r="AX3535" i="9"/>
  <c r="AW3535" i="9"/>
  <c r="AZ3534" i="9"/>
  <c r="AY3534" i="9"/>
  <c r="AX3534" i="9"/>
  <c r="AW3534" i="9"/>
  <c r="AZ3533" i="9"/>
  <c r="AY3533" i="9"/>
  <c r="AX3533" i="9"/>
  <c r="AW3533" i="9"/>
  <c r="AZ3532" i="9"/>
  <c r="AY3532" i="9"/>
  <c r="AX3532" i="9"/>
  <c r="AW3532" i="9"/>
  <c r="AZ3531" i="9"/>
  <c r="AY3531" i="9"/>
  <c r="AX3531" i="9"/>
  <c r="AW3531" i="9"/>
  <c r="AZ3530" i="9"/>
  <c r="AY3530" i="9"/>
  <c r="AX3530" i="9"/>
  <c r="AW3530" i="9"/>
  <c r="AZ3529" i="9"/>
  <c r="AY3529" i="9"/>
  <c r="AX3529" i="9"/>
  <c r="AW3529" i="9"/>
  <c r="AZ3528" i="9"/>
  <c r="AY3528" i="9"/>
  <c r="AX3528" i="9"/>
  <c r="AW3528" i="9"/>
  <c r="AZ3527" i="9"/>
  <c r="AY3527" i="9"/>
  <c r="AX3527" i="9"/>
  <c r="AW3527" i="9"/>
  <c r="AZ3526" i="9"/>
  <c r="AY3526" i="9"/>
  <c r="AX3526" i="9"/>
  <c r="AW3526" i="9"/>
  <c r="AZ3525" i="9"/>
  <c r="AY3525" i="9"/>
  <c r="AX3525" i="9"/>
  <c r="AW3525" i="9"/>
  <c r="AZ3524" i="9"/>
  <c r="AY3524" i="9"/>
  <c r="AX3524" i="9"/>
  <c r="AW3524" i="9"/>
  <c r="AZ3523" i="9"/>
  <c r="AY3523" i="9"/>
  <c r="AX3523" i="9"/>
  <c r="AW3523" i="9"/>
  <c r="AZ3522" i="9"/>
  <c r="AY3522" i="9"/>
  <c r="AX3522" i="9"/>
  <c r="AW3522" i="9"/>
  <c r="AZ3521" i="9"/>
  <c r="AY3521" i="9"/>
  <c r="AX3521" i="9"/>
  <c r="AW3521" i="9"/>
  <c r="AZ3520" i="9"/>
  <c r="AY3520" i="9"/>
  <c r="AX3520" i="9"/>
  <c r="AW3520" i="9"/>
  <c r="AZ3519" i="9"/>
  <c r="AY3519" i="9"/>
  <c r="AX3519" i="9"/>
  <c r="AW3519" i="9"/>
  <c r="AZ3518" i="9"/>
  <c r="AY3518" i="9"/>
  <c r="AX3518" i="9"/>
  <c r="AW3518" i="9"/>
  <c r="AZ3517" i="9"/>
  <c r="AY3517" i="9"/>
  <c r="AX3517" i="9"/>
  <c r="AW3517" i="9"/>
  <c r="AZ3516" i="9"/>
  <c r="AY3516" i="9"/>
  <c r="AX3516" i="9"/>
  <c r="AW3516" i="9"/>
  <c r="AZ3515" i="9"/>
  <c r="AY3515" i="9"/>
  <c r="AX3515" i="9"/>
  <c r="AW3515" i="9"/>
  <c r="AZ3514" i="9"/>
  <c r="AY3514" i="9"/>
  <c r="AX3514" i="9"/>
  <c r="AW3514" i="9"/>
  <c r="AZ3513" i="9"/>
  <c r="AY3513" i="9"/>
  <c r="AX3513" i="9"/>
  <c r="AW3513" i="9"/>
  <c r="AZ3512" i="9"/>
  <c r="AY3512" i="9"/>
  <c r="AX3512" i="9"/>
  <c r="AW3512" i="9"/>
  <c r="AZ3511" i="9"/>
  <c r="AY3511" i="9"/>
  <c r="AX3511" i="9"/>
  <c r="AW3511" i="9"/>
  <c r="AZ3510" i="9"/>
  <c r="AY3510" i="9"/>
  <c r="AX3510" i="9"/>
  <c r="AW3510" i="9"/>
  <c r="AZ3509" i="9"/>
  <c r="AY3509" i="9"/>
  <c r="AX3509" i="9"/>
  <c r="AW3509" i="9"/>
  <c r="AZ3508" i="9"/>
  <c r="AY3508" i="9"/>
  <c r="AX3508" i="9"/>
  <c r="AW3508" i="9"/>
  <c r="AZ3507" i="9"/>
  <c r="AY3507" i="9"/>
  <c r="AX3507" i="9"/>
  <c r="AW3507" i="9"/>
  <c r="AZ3506" i="9"/>
  <c r="AY3506" i="9"/>
  <c r="AX3506" i="9"/>
  <c r="AW3506" i="9"/>
  <c r="AZ3505" i="9"/>
  <c r="AY3505" i="9"/>
  <c r="AX3505" i="9"/>
  <c r="AW3505" i="9"/>
  <c r="AZ3504" i="9"/>
  <c r="AY3504" i="9"/>
  <c r="AX3504" i="9"/>
  <c r="AW3504" i="9"/>
  <c r="AZ3503" i="9"/>
  <c r="AY3503" i="9"/>
  <c r="AX3503" i="9"/>
  <c r="AW3503" i="9"/>
  <c r="AZ3502" i="9"/>
  <c r="AY3502" i="9"/>
  <c r="AX3502" i="9"/>
  <c r="AW3502" i="9"/>
  <c r="AZ3501" i="9"/>
  <c r="AY3501" i="9"/>
  <c r="AX3501" i="9"/>
  <c r="AW3501" i="9"/>
  <c r="AZ3500" i="9"/>
  <c r="AY3500" i="9"/>
  <c r="AX3500" i="9"/>
  <c r="AW3500" i="9"/>
  <c r="AZ3499" i="9"/>
  <c r="AY3499" i="9"/>
  <c r="AX3499" i="9"/>
  <c r="AW3499" i="9"/>
  <c r="AZ3498" i="9"/>
  <c r="AY3498" i="9"/>
  <c r="AX3498" i="9"/>
  <c r="AW3498" i="9"/>
  <c r="AZ3497" i="9"/>
  <c r="AY3497" i="9"/>
  <c r="AX3497" i="9"/>
  <c r="AW3497" i="9"/>
  <c r="AZ3496" i="9"/>
  <c r="AY3496" i="9"/>
  <c r="AX3496" i="9"/>
  <c r="AW3496" i="9"/>
  <c r="AZ3495" i="9"/>
  <c r="AY3495" i="9"/>
  <c r="AX3495" i="9"/>
  <c r="AW3495" i="9"/>
  <c r="AZ3494" i="9"/>
  <c r="AY3494" i="9"/>
  <c r="AX3494" i="9"/>
  <c r="AW3494" i="9"/>
  <c r="AZ3493" i="9"/>
  <c r="AY3493" i="9"/>
  <c r="AX3493" i="9"/>
  <c r="AW3493" i="9"/>
  <c r="AZ3492" i="9"/>
  <c r="AY3492" i="9"/>
  <c r="AX3492" i="9"/>
  <c r="AW3492" i="9"/>
  <c r="AZ3491" i="9"/>
  <c r="AY3491" i="9"/>
  <c r="AX3491" i="9"/>
  <c r="AW3491" i="9"/>
  <c r="AZ3490" i="9"/>
  <c r="AY3490" i="9"/>
  <c r="AX3490" i="9"/>
  <c r="AW3490" i="9"/>
  <c r="AZ3489" i="9"/>
  <c r="AY3489" i="9"/>
  <c r="AX3489" i="9"/>
  <c r="AW3489" i="9"/>
  <c r="AZ3488" i="9"/>
  <c r="AY3488" i="9"/>
  <c r="AX3488" i="9"/>
  <c r="AW3488" i="9"/>
  <c r="AZ3487" i="9"/>
  <c r="AY3487" i="9"/>
  <c r="AX3487" i="9"/>
  <c r="AW3487" i="9"/>
  <c r="AZ3486" i="9"/>
  <c r="AY3486" i="9"/>
  <c r="AX3486" i="9"/>
  <c r="AW3486" i="9"/>
  <c r="AZ3485" i="9"/>
  <c r="AY3485" i="9"/>
  <c r="AX3485" i="9"/>
  <c r="AW3485" i="9"/>
  <c r="AZ3484" i="9"/>
  <c r="AY3484" i="9"/>
  <c r="AX3484" i="9"/>
  <c r="AW3484" i="9"/>
  <c r="AZ3483" i="9"/>
  <c r="AY3483" i="9"/>
  <c r="AX3483" i="9"/>
  <c r="AW3483" i="9"/>
  <c r="AZ3482" i="9"/>
  <c r="AY3482" i="9"/>
  <c r="AX3482" i="9"/>
  <c r="AW3482" i="9"/>
  <c r="AZ3481" i="9"/>
  <c r="AY3481" i="9"/>
  <c r="AX3481" i="9"/>
  <c r="AW3481" i="9"/>
  <c r="AZ3480" i="9"/>
  <c r="AY3480" i="9"/>
  <c r="AX3480" i="9"/>
  <c r="AW3480" i="9"/>
  <c r="AZ3479" i="9"/>
  <c r="AY3479" i="9"/>
  <c r="AX3479" i="9"/>
  <c r="AW3479" i="9"/>
  <c r="AZ3478" i="9"/>
  <c r="AY3478" i="9"/>
  <c r="AX3478" i="9"/>
  <c r="AW3478" i="9"/>
  <c r="AZ3477" i="9"/>
  <c r="AY3477" i="9"/>
  <c r="AX3477" i="9"/>
  <c r="AW3477" i="9"/>
  <c r="AZ3476" i="9"/>
  <c r="AY3476" i="9"/>
  <c r="AX3476" i="9"/>
  <c r="AW3476" i="9"/>
  <c r="AZ3475" i="9"/>
  <c r="AY3475" i="9"/>
  <c r="AX3475" i="9"/>
  <c r="AW3475" i="9"/>
  <c r="AZ3474" i="9"/>
  <c r="AY3474" i="9"/>
  <c r="AX3474" i="9"/>
  <c r="AW3474" i="9"/>
  <c r="AZ3473" i="9"/>
  <c r="AY3473" i="9"/>
  <c r="AX3473" i="9"/>
  <c r="AW3473" i="9"/>
  <c r="AZ3472" i="9"/>
  <c r="AY3472" i="9"/>
  <c r="AX3472" i="9"/>
  <c r="AW3472" i="9"/>
  <c r="AZ3471" i="9"/>
  <c r="AY3471" i="9"/>
  <c r="AX3471" i="9"/>
  <c r="AW3471" i="9"/>
  <c r="AZ3470" i="9"/>
  <c r="AY3470" i="9"/>
  <c r="AX3470" i="9"/>
  <c r="AW3470" i="9"/>
  <c r="AZ3469" i="9"/>
  <c r="AY3469" i="9"/>
  <c r="AX3469" i="9"/>
  <c r="AW3469" i="9"/>
  <c r="AX3468" i="9"/>
  <c r="AZ3468" i="9"/>
  <c r="AY3468" i="9"/>
  <c r="AW3468" i="9"/>
  <c r="AY3467" i="9"/>
  <c r="AZ3467" i="9"/>
  <c r="AX3467" i="9"/>
  <c r="AW3467" i="9"/>
  <c r="AZ3466" i="9"/>
  <c r="AY3466" i="9"/>
  <c r="AX3466" i="9"/>
  <c r="AW3466" i="9"/>
  <c r="AZ3465" i="9"/>
  <c r="AY3465" i="9"/>
  <c r="AX3465" i="9"/>
  <c r="AW3465" i="9"/>
  <c r="AZ3464" i="9"/>
  <c r="AY3464" i="9"/>
  <c r="AX3464" i="9"/>
  <c r="AW3464" i="9"/>
  <c r="AZ3463" i="9"/>
  <c r="AY3463" i="9"/>
  <c r="AX3463" i="9"/>
  <c r="AW3463" i="9"/>
  <c r="AZ3462" i="9"/>
  <c r="AY3462" i="9"/>
  <c r="AX3462" i="9"/>
  <c r="AW3462" i="9"/>
  <c r="AZ3461" i="9"/>
  <c r="AY3461" i="9"/>
  <c r="AX3461" i="9"/>
  <c r="AW3461" i="9"/>
  <c r="AZ3460" i="9"/>
  <c r="AY3460" i="9"/>
  <c r="AX3460" i="9"/>
  <c r="AW3460" i="9"/>
  <c r="AZ3459" i="9"/>
  <c r="AY3459" i="9"/>
  <c r="AX3459" i="9"/>
  <c r="AW3459" i="9"/>
  <c r="AZ3458" i="9"/>
  <c r="AY3458" i="9"/>
  <c r="AX3458" i="9"/>
  <c r="AW3458" i="9"/>
  <c r="AZ3457" i="9"/>
  <c r="AY3457" i="9"/>
  <c r="AX3457" i="9"/>
  <c r="AW3457" i="9"/>
  <c r="AZ3456" i="9"/>
  <c r="AY3456" i="9"/>
  <c r="AX3456" i="9"/>
  <c r="AW3456" i="9"/>
  <c r="AZ3455" i="9"/>
  <c r="AY3455" i="9"/>
  <c r="AX3455" i="9"/>
  <c r="AW3455" i="9"/>
  <c r="AZ3454" i="9"/>
  <c r="AY3454" i="9"/>
  <c r="AX3454" i="9"/>
  <c r="AW3454" i="9"/>
  <c r="AW3453" i="9"/>
  <c r="AY3453" i="9"/>
  <c r="AZ3453" i="9"/>
  <c r="AX3453" i="9"/>
  <c r="AW3452" i="9"/>
  <c r="AZ3452" i="9"/>
  <c r="AY3452" i="9"/>
  <c r="AX3452" i="9"/>
  <c r="AZ3451" i="9"/>
  <c r="AY3451" i="9"/>
  <c r="AX3451" i="9"/>
  <c r="AW3451" i="9"/>
  <c r="AY3450" i="9"/>
  <c r="AZ3450" i="9"/>
  <c r="AX3450" i="9"/>
  <c r="AW3450" i="9"/>
  <c r="AX3449" i="9"/>
  <c r="AW3449" i="9"/>
  <c r="AZ3449" i="9"/>
  <c r="AY3449" i="9"/>
  <c r="AW3448" i="9"/>
  <c r="AZ3448" i="9"/>
  <c r="AY3448" i="9"/>
  <c r="AX3448" i="9"/>
  <c r="AY3447" i="9"/>
  <c r="AZ3447" i="9"/>
  <c r="AX3447" i="9"/>
  <c r="AW3447" i="9"/>
  <c r="AZ3446" i="9"/>
  <c r="AY3446" i="9"/>
  <c r="AX3446" i="9"/>
  <c r="AW3446" i="9"/>
  <c r="AZ3445" i="9"/>
  <c r="AY3445" i="9"/>
  <c r="AX3445" i="9"/>
  <c r="AW3445" i="9"/>
  <c r="AZ3444" i="9"/>
  <c r="AY3444" i="9"/>
  <c r="AX3444" i="9"/>
  <c r="AW3444" i="9"/>
  <c r="AZ3443" i="9"/>
  <c r="AY3443" i="9"/>
  <c r="AX3443" i="9"/>
  <c r="AW3443" i="9"/>
  <c r="AW3442" i="9"/>
  <c r="AZ3442" i="9"/>
  <c r="AY3442" i="9"/>
  <c r="AX3442" i="9"/>
  <c r="AW3441" i="9"/>
  <c r="AZ3441" i="9"/>
  <c r="AY3441" i="9"/>
  <c r="AX3441" i="9"/>
  <c r="AZ3440" i="9"/>
  <c r="AY3440" i="9"/>
  <c r="AX3440" i="9"/>
  <c r="AW3440" i="9"/>
  <c r="AY3439" i="9"/>
  <c r="AX3439" i="9"/>
  <c r="AW3439" i="9"/>
  <c r="AZ3439" i="9"/>
  <c r="AY3438" i="9"/>
  <c r="AZ3438" i="9"/>
  <c r="AX3438" i="9"/>
  <c r="AW3438" i="9"/>
  <c r="AZ3437" i="9"/>
  <c r="AY3437" i="9"/>
  <c r="AX3437" i="9"/>
  <c r="AW3437" i="9"/>
  <c r="AZ3436" i="9"/>
  <c r="AY3436" i="9"/>
  <c r="AX3436" i="9"/>
  <c r="AW3436" i="9"/>
  <c r="AY3435" i="9"/>
  <c r="AX3435" i="9"/>
  <c r="AZ3435" i="9"/>
  <c r="AW3435" i="9"/>
  <c r="AZ3434" i="9"/>
  <c r="AY3434" i="9"/>
  <c r="AX3434" i="9"/>
  <c r="AW3434" i="9"/>
  <c r="AZ3433" i="9"/>
  <c r="AY3433" i="9"/>
  <c r="AX3433" i="9"/>
  <c r="AW3433" i="9"/>
  <c r="AZ3432" i="9"/>
  <c r="AY3432" i="9"/>
  <c r="AX3432" i="9"/>
  <c r="AW3432" i="9"/>
  <c r="AZ3431" i="9"/>
  <c r="AX3431" i="9"/>
  <c r="AW3431" i="9"/>
  <c r="AY3431" i="9"/>
  <c r="AX3430" i="9"/>
  <c r="AW3430" i="9"/>
  <c r="AZ3430" i="9"/>
  <c r="AY3430" i="9"/>
  <c r="AY3429" i="9"/>
  <c r="AX3429" i="9"/>
  <c r="AW3429" i="9"/>
  <c r="AZ3429" i="9"/>
  <c r="AZ3428" i="9"/>
  <c r="AY3428" i="9"/>
  <c r="AX3428" i="9"/>
  <c r="AW3428" i="9"/>
  <c r="AZ3427" i="9"/>
  <c r="AY3427" i="9"/>
  <c r="AW3427" i="9"/>
  <c r="AX3427" i="9"/>
  <c r="AY3426" i="9"/>
  <c r="AZ3426" i="9"/>
  <c r="AX3426" i="9"/>
  <c r="AW3426" i="9"/>
  <c r="AY3425" i="9"/>
  <c r="AZ3425" i="9"/>
  <c r="AX3425" i="9"/>
  <c r="AW3425" i="9"/>
  <c r="AZ3424" i="9"/>
  <c r="AY3424" i="9"/>
  <c r="AW3424" i="9"/>
  <c r="AX3424" i="9"/>
  <c r="AX3423" i="9"/>
  <c r="AW3423" i="9"/>
  <c r="AZ3423" i="9"/>
  <c r="AY3423" i="9"/>
  <c r="AZ3422" i="9"/>
  <c r="AX3422" i="9"/>
  <c r="AY3422" i="9"/>
  <c r="AW3422" i="9"/>
  <c r="AX3421" i="9"/>
  <c r="AW3421" i="9"/>
  <c r="AY3421" i="9"/>
  <c r="AZ3421" i="9"/>
  <c r="AW3420" i="9"/>
  <c r="AX3420" i="9"/>
  <c r="AY3420" i="9"/>
  <c r="AZ3420" i="9"/>
  <c r="AZ3419" i="9"/>
  <c r="AX3419" i="9"/>
  <c r="AW3419" i="9"/>
  <c r="AY3419" i="9"/>
  <c r="AW3418" i="9"/>
  <c r="AX3418" i="9"/>
  <c r="AY3418" i="9"/>
  <c r="AZ3418" i="9"/>
  <c r="AX3417" i="9"/>
  <c r="AW3417" i="9"/>
  <c r="AY3417" i="9"/>
  <c r="AZ3417" i="9"/>
  <c r="AZ3416" i="9"/>
  <c r="AY3416" i="9"/>
  <c r="AW3416" i="9"/>
  <c r="AX3416" i="9"/>
  <c r="AY3415" i="9"/>
  <c r="AZ3415" i="9"/>
  <c r="AW3415" i="9"/>
  <c r="AX3415" i="9"/>
  <c r="AW3414" i="9"/>
  <c r="AZ3414" i="9"/>
  <c r="AY3414" i="9"/>
  <c r="AX3414" i="9"/>
  <c r="AX3413" i="9"/>
  <c r="AZ3413" i="9"/>
  <c r="AY3413" i="9"/>
  <c r="AW3413" i="9"/>
  <c r="AZ3412" i="9"/>
  <c r="AY3412" i="9"/>
  <c r="AX3412" i="9"/>
  <c r="AW3412" i="9"/>
  <c r="AZ3411" i="9"/>
  <c r="AY3411" i="9"/>
  <c r="AX3411" i="9"/>
  <c r="AW3411" i="9"/>
  <c r="AY3410" i="9"/>
  <c r="AW3410" i="9"/>
  <c r="AX3410" i="9"/>
  <c r="AZ3410" i="9"/>
  <c r="AZ3409" i="9"/>
  <c r="AY3409" i="9"/>
  <c r="AX3409" i="9"/>
  <c r="AW3409" i="9"/>
  <c r="AZ3408" i="9"/>
  <c r="AY3408" i="9"/>
  <c r="AX3408" i="9"/>
  <c r="AW3408" i="9"/>
  <c r="AZ3407" i="9"/>
  <c r="AY3407" i="9"/>
  <c r="AX3407" i="9"/>
  <c r="AW3407" i="9"/>
  <c r="AW3406" i="9"/>
  <c r="AX3406" i="9"/>
  <c r="AY3406" i="9"/>
  <c r="AZ3406" i="9"/>
  <c r="AW3405" i="9"/>
  <c r="AX3405" i="9"/>
  <c r="AY3405" i="9"/>
  <c r="AZ3405" i="9"/>
  <c r="AY3404" i="9"/>
  <c r="AZ3404" i="9"/>
  <c r="AW3404" i="9"/>
  <c r="AX3404" i="9"/>
  <c r="AW3403" i="9"/>
  <c r="AX3403" i="9"/>
  <c r="AY3403" i="9"/>
  <c r="AZ3403" i="9"/>
  <c r="AX3402" i="9"/>
  <c r="AY3402" i="9"/>
  <c r="AZ3402" i="9"/>
  <c r="AW3402" i="9"/>
  <c r="AX3401" i="9"/>
  <c r="AZ3401" i="9"/>
  <c r="AY3401" i="9"/>
  <c r="AW3401" i="9"/>
  <c r="AZ3400" i="9"/>
  <c r="AY3400" i="9"/>
  <c r="AX3400" i="9"/>
  <c r="AW3400" i="9"/>
  <c r="AW3399" i="9"/>
  <c r="AZ3399" i="9"/>
  <c r="AY3399" i="9"/>
  <c r="AX3399" i="9"/>
  <c r="AW3398" i="9"/>
  <c r="AX3398" i="9"/>
  <c r="AY3398" i="9"/>
  <c r="AZ3398" i="9"/>
  <c r="AX3397" i="9"/>
  <c r="AY3397" i="9"/>
  <c r="AZ3397" i="9"/>
  <c r="AW3397" i="9"/>
  <c r="AW3396" i="9"/>
  <c r="AX3396" i="9"/>
  <c r="AY3396" i="9"/>
  <c r="AZ3396" i="9"/>
  <c r="AY3395" i="9"/>
  <c r="AZ3395" i="9"/>
  <c r="AW3395" i="9"/>
  <c r="AX3395" i="9"/>
  <c r="AZ3394" i="9"/>
  <c r="AY3394" i="9"/>
  <c r="AX3394" i="9"/>
  <c r="AW3394" i="9"/>
  <c r="AZ3393" i="9"/>
  <c r="AY3393" i="9"/>
  <c r="AX3393" i="9"/>
  <c r="AW3393" i="9"/>
  <c r="AW3392" i="9"/>
  <c r="AX3392" i="9"/>
  <c r="AY3392" i="9"/>
  <c r="AZ3392" i="9"/>
  <c r="AW3391" i="9"/>
  <c r="AY3391" i="9"/>
  <c r="AZ3391" i="9"/>
  <c r="AX3391" i="9"/>
  <c r="AY3390" i="9"/>
  <c r="AZ3390" i="9"/>
  <c r="AW3390" i="9"/>
  <c r="AX3390" i="9"/>
  <c r="AW3389" i="9"/>
  <c r="AX3389" i="9"/>
  <c r="AY3389" i="9"/>
  <c r="AZ3389" i="9"/>
  <c r="AY3388" i="9"/>
  <c r="AX3388" i="9"/>
  <c r="AW3388" i="9"/>
  <c r="AZ3388" i="9"/>
  <c r="AX3387" i="9"/>
  <c r="AZ3387" i="9"/>
  <c r="AY3387" i="9"/>
  <c r="AW3387" i="9"/>
  <c r="AY3386" i="9"/>
  <c r="AX3386" i="9"/>
  <c r="AW3386" i="9"/>
  <c r="AZ3386" i="9"/>
  <c r="AY3385" i="9"/>
  <c r="AW3385" i="9"/>
  <c r="AX3385" i="9"/>
  <c r="AZ3385" i="9"/>
  <c r="AW3384" i="9"/>
  <c r="AX3384" i="9"/>
  <c r="AY3384" i="9"/>
  <c r="AZ3384" i="9"/>
  <c r="AX3383" i="9"/>
  <c r="AY3383" i="9"/>
  <c r="AZ3383" i="9"/>
  <c r="AW3383" i="9"/>
  <c r="AX3382" i="9"/>
  <c r="AW3382" i="9"/>
  <c r="AZ3382" i="9"/>
  <c r="AY3382" i="9"/>
  <c r="AZ3381" i="9"/>
  <c r="AY3381" i="9"/>
  <c r="AW3381" i="9"/>
  <c r="AX3381" i="9"/>
  <c r="AY3380" i="9"/>
  <c r="AW3380" i="9"/>
  <c r="AX3380" i="9"/>
  <c r="AZ3380" i="9"/>
  <c r="AZ3379" i="9"/>
  <c r="AY3379" i="9"/>
  <c r="AX3379" i="9"/>
  <c r="AW3379" i="9"/>
  <c r="AZ3378" i="9"/>
  <c r="AY3378" i="9"/>
  <c r="AX3378" i="9"/>
  <c r="AW3378" i="9"/>
  <c r="AZ3377" i="9"/>
  <c r="AY3377" i="9"/>
  <c r="AX3377" i="9"/>
  <c r="AW3377" i="9"/>
  <c r="AW3376" i="9"/>
  <c r="AZ3376" i="9"/>
  <c r="AY3376" i="9"/>
  <c r="AX3376" i="9"/>
  <c r="AX3375" i="9"/>
  <c r="AW3375" i="9"/>
  <c r="AY3375" i="9"/>
  <c r="AZ3375" i="9"/>
  <c r="AZ3374" i="9"/>
  <c r="AY3374" i="9"/>
  <c r="AX3374" i="9"/>
  <c r="AW3374" i="9"/>
  <c r="AZ3373" i="9"/>
  <c r="AY3373" i="9"/>
  <c r="AX3373" i="9"/>
  <c r="AW3373" i="9"/>
  <c r="AY3372" i="9"/>
  <c r="AZ3372" i="9"/>
  <c r="AX3372" i="9"/>
  <c r="AW3372" i="9"/>
  <c r="AZ3371" i="9"/>
  <c r="AY3371" i="9"/>
  <c r="AX3371" i="9"/>
  <c r="AW3371" i="9"/>
  <c r="AZ3370" i="9"/>
  <c r="AY3370" i="9"/>
  <c r="AX3370" i="9"/>
  <c r="AW3370" i="9"/>
  <c r="AZ3369" i="9"/>
  <c r="AY3369" i="9"/>
  <c r="AX3369" i="9"/>
  <c r="AW3369" i="9"/>
  <c r="AZ3368" i="9"/>
  <c r="AY3368" i="9"/>
  <c r="AX3368" i="9"/>
  <c r="AW3368" i="9"/>
  <c r="AZ3367" i="9"/>
  <c r="AY3367" i="9"/>
  <c r="AX3367" i="9"/>
  <c r="AW3367" i="9"/>
  <c r="AX3366" i="9"/>
  <c r="AY3366" i="9"/>
  <c r="AZ3366" i="9"/>
  <c r="AW3366" i="9"/>
  <c r="AW3365" i="9"/>
  <c r="AX3365" i="9"/>
  <c r="AY3365" i="9"/>
  <c r="AZ3365" i="9"/>
  <c r="AZ3364" i="9"/>
  <c r="AY3364" i="9"/>
  <c r="AX3364" i="9"/>
  <c r="AW3364" i="9"/>
  <c r="AY3363" i="9"/>
  <c r="AZ3363" i="9"/>
  <c r="AX3363" i="9"/>
  <c r="AW3363" i="9"/>
  <c r="AZ3362" i="9"/>
  <c r="AY3362" i="9"/>
  <c r="AX3362" i="9"/>
  <c r="AW3362" i="9"/>
  <c r="AY3361" i="9"/>
  <c r="AZ3361" i="9"/>
  <c r="AX3361" i="9"/>
  <c r="AW3361" i="9"/>
  <c r="AW3360" i="9"/>
  <c r="AY3360" i="9"/>
  <c r="AX3360" i="9"/>
  <c r="AZ3360" i="9"/>
  <c r="AY3359" i="9"/>
  <c r="AX3359" i="9"/>
  <c r="AW3359" i="9"/>
  <c r="AZ3359" i="9"/>
  <c r="AY3358" i="9"/>
  <c r="AZ3358" i="9"/>
  <c r="AX3358" i="9"/>
  <c r="AW3358" i="9"/>
  <c r="AZ3357" i="9"/>
  <c r="AY3357" i="9"/>
  <c r="AX3357" i="9"/>
  <c r="AW3357" i="9"/>
  <c r="AW3356" i="9"/>
  <c r="AX3356" i="9"/>
  <c r="AY3356" i="9"/>
  <c r="AZ3356" i="9"/>
  <c r="AZ3355" i="9"/>
  <c r="AY3355" i="9"/>
  <c r="AX3355" i="9"/>
  <c r="AW3355" i="9"/>
  <c r="AZ3354" i="9"/>
  <c r="AY3354" i="9"/>
  <c r="AW3354" i="9"/>
  <c r="AX3354" i="9"/>
  <c r="AZ3353" i="9"/>
  <c r="AW3353" i="9"/>
  <c r="AY3353" i="9"/>
  <c r="AX3353" i="9"/>
  <c r="AX3352" i="9"/>
  <c r="AW3352" i="9"/>
  <c r="AY3352" i="9"/>
  <c r="AZ3352" i="9"/>
  <c r="AW3351" i="9"/>
  <c r="AX3351" i="9"/>
  <c r="AY3351" i="9"/>
  <c r="AZ3351" i="9"/>
  <c r="AW3350" i="9"/>
  <c r="AX3350" i="9"/>
  <c r="AY3350" i="9"/>
  <c r="AZ3350" i="9"/>
  <c r="AW3349" i="9"/>
  <c r="AX3349" i="9"/>
  <c r="AY3349" i="9"/>
  <c r="AZ3349" i="9"/>
  <c r="AW3348" i="9"/>
  <c r="AX3348" i="9"/>
  <c r="AY3348" i="9"/>
  <c r="AZ3348" i="9"/>
  <c r="AY3347" i="9"/>
  <c r="AZ3347" i="9"/>
  <c r="AW3347" i="9"/>
  <c r="AX3347" i="9"/>
  <c r="AZ3346" i="9"/>
  <c r="AW3346" i="9"/>
  <c r="AX3346" i="9"/>
  <c r="AY3346" i="9"/>
  <c r="AZ3345" i="9"/>
  <c r="AX3345" i="9"/>
  <c r="AW3345" i="9"/>
  <c r="AY3345" i="9"/>
  <c r="AW3344" i="9"/>
  <c r="AX3344" i="9"/>
  <c r="AY3344" i="9"/>
  <c r="AZ3344" i="9"/>
  <c r="AW3343" i="9"/>
  <c r="AX3343" i="9"/>
  <c r="AY3343" i="9"/>
  <c r="AZ3343" i="9"/>
  <c r="AY3342" i="9"/>
  <c r="AX3342" i="9"/>
  <c r="AW3342" i="9"/>
  <c r="AZ3342" i="9"/>
  <c r="AW3341" i="9"/>
  <c r="AX3341" i="9"/>
  <c r="AZ3341" i="9"/>
  <c r="AY3341" i="9"/>
  <c r="AW3340" i="9"/>
  <c r="AY3340" i="9"/>
  <c r="AX3340" i="9"/>
  <c r="AZ3340" i="9"/>
  <c r="AW3339" i="9"/>
  <c r="AZ3339" i="9"/>
  <c r="AY3339" i="9"/>
  <c r="AX3339" i="9"/>
  <c r="AY3338" i="9"/>
  <c r="AZ3338" i="9"/>
  <c r="AW3338" i="9"/>
  <c r="AX3338" i="9"/>
  <c r="AZ3337" i="9"/>
  <c r="AY3337" i="9"/>
  <c r="AX3337" i="9"/>
  <c r="AW3337" i="9"/>
  <c r="AZ3336" i="9"/>
  <c r="AX3336" i="9"/>
  <c r="AY3336" i="9"/>
  <c r="AW3336" i="9"/>
  <c r="AZ3335" i="9"/>
  <c r="AY3335" i="9"/>
  <c r="AX3335" i="9"/>
  <c r="AW3335" i="9"/>
  <c r="AW3334" i="9"/>
  <c r="AY3334" i="9"/>
  <c r="AX3334" i="9"/>
  <c r="AZ3334" i="9"/>
  <c r="AX3333" i="9"/>
  <c r="AW3333" i="9"/>
  <c r="AY3333" i="9"/>
  <c r="AZ3333" i="9"/>
  <c r="AW3332" i="9"/>
  <c r="AX3332" i="9"/>
  <c r="AY3332" i="9"/>
  <c r="AZ3332" i="9"/>
  <c r="AW3331" i="9"/>
  <c r="AX3331" i="9"/>
  <c r="AY3331" i="9"/>
  <c r="AZ3331" i="9"/>
  <c r="AW3330" i="9"/>
  <c r="AX3330" i="9"/>
  <c r="AY3330" i="9"/>
  <c r="AZ3330" i="9"/>
  <c r="AZ3329" i="9"/>
  <c r="AW3329" i="9"/>
  <c r="AX3329" i="9"/>
  <c r="AY3329" i="9"/>
  <c r="AW3328" i="9"/>
  <c r="AX3328" i="9"/>
  <c r="AY3328" i="9"/>
  <c r="AZ3328" i="9"/>
  <c r="AY3327" i="9"/>
  <c r="AW3327" i="9"/>
  <c r="AZ3327" i="9"/>
  <c r="AX3327" i="9"/>
  <c r="AZ3326" i="9"/>
  <c r="AY3326" i="9"/>
  <c r="AX3326" i="9"/>
  <c r="AW3326" i="9"/>
  <c r="AX3325" i="9"/>
  <c r="AW3325" i="9"/>
  <c r="AZ3325" i="9"/>
  <c r="AY3325" i="9"/>
  <c r="AW3324" i="9"/>
  <c r="AZ3324" i="9"/>
  <c r="AY3324" i="9"/>
  <c r="AX3324" i="9"/>
  <c r="AX3323" i="9"/>
  <c r="AZ3323" i="9"/>
  <c r="AW3323" i="9"/>
  <c r="AY3323" i="9"/>
  <c r="AY3322" i="9"/>
  <c r="AZ3322" i="9"/>
  <c r="AW3322" i="9"/>
  <c r="AX3322" i="9"/>
  <c r="AY3321" i="9"/>
  <c r="AZ3321" i="9"/>
  <c r="AW3321" i="9"/>
  <c r="AX3321" i="9"/>
  <c r="AZ3320" i="9"/>
  <c r="AY3320" i="9"/>
  <c r="AX3320" i="9"/>
  <c r="AW3320" i="9"/>
  <c r="AX3319" i="9"/>
  <c r="AY3319" i="9"/>
  <c r="AZ3319" i="9"/>
  <c r="AW3319" i="9"/>
  <c r="AW3318" i="9"/>
  <c r="AX3318" i="9"/>
  <c r="AY3318" i="9"/>
  <c r="AZ3318" i="9"/>
  <c r="AW3317" i="9"/>
  <c r="AX3317" i="9"/>
  <c r="AY3317" i="9"/>
  <c r="AZ3317" i="9"/>
  <c r="AW3316" i="9"/>
  <c r="AY3316" i="9"/>
  <c r="AX3316" i="9"/>
  <c r="AZ3316" i="9"/>
  <c r="AY3315" i="9"/>
  <c r="AX3315" i="9"/>
  <c r="AW3315" i="9"/>
  <c r="AZ3315" i="9"/>
  <c r="AW3314" i="9"/>
  <c r="AY3314" i="9"/>
  <c r="AZ3314" i="9"/>
  <c r="AX3314" i="9"/>
  <c r="AW3313" i="9"/>
  <c r="AX3313" i="9"/>
  <c r="AY3313" i="9"/>
  <c r="AZ3313" i="9"/>
  <c r="AY3312" i="9"/>
  <c r="AW3312" i="9"/>
  <c r="AX3312" i="9"/>
  <c r="AZ3312" i="9"/>
  <c r="AW3311" i="9"/>
  <c r="AX3311" i="9"/>
  <c r="AY3311" i="9"/>
  <c r="AZ3311" i="9"/>
  <c r="AY3310" i="9"/>
  <c r="AX3310" i="9"/>
  <c r="AW3310" i="9"/>
  <c r="AZ3310" i="9"/>
  <c r="AZ3309" i="9"/>
  <c r="AY3309" i="9"/>
  <c r="AX3309" i="9"/>
  <c r="AW3309" i="9"/>
  <c r="AZ3308" i="9"/>
  <c r="AY3308" i="9"/>
  <c r="AX3308" i="9"/>
  <c r="AW3308" i="9"/>
  <c r="AY3307" i="9"/>
  <c r="AX3307" i="9"/>
  <c r="AW3307" i="9"/>
  <c r="AZ3307" i="9"/>
  <c r="AZ3306" i="9"/>
  <c r="AY3306" i="9"/>
  <c r="AX3306" i="9"/>
  <c r="AW3306" i="9"/>
  <c r="AZ3305" i="9"/>
  <c r="AY3305" i="9"/>
  <c r="AX3305" i="9"/>
  <c r="AW3305" i="9"/>
  <c r="AZ3304" i="9"/>
  <c r="AY3304" i="9"/>
  <c r="AX3304" i="9"/>
  <c r="AW3304" i="9"/>
  <c r="AZ3303" i="9"/>
  <c r="AY3303" i="9"/>
  <c r="AX3303" i="9"/>
  <c r="AW3303" i="9"/>
  <c r="AZ3302" i="9"/>
  <c r="AY3302" i="9"/>
  <c r="AX3302" i="9"/>
  <c r="AW3302" i="9"/>
  <c r="AW3301" i="9"/>
  <c r="AX3301" i="9"/>
  <c r="AY3301" i="9"/>
  <c r="AZ3301" i="9"/>
  <c r="AZ3300" i="9"/>
  <c r="AW3300" i="9"/>
  <c r="AX3300" i="9"/>
  <c r="AY3300" i="9"/>
  <c r="AX3299" i="9"/>
  <c r="AZ3299" i="9"/>
  <c r="AW3299" i="9"/>
  <c r="AY3299" i="9"/>
  <c r="AY3298" i="9"/>
  <c r="AX3298" i="9"/>
  <c r="AW3298" i="9"/>
  <c r="AZ3298" i="9"/>
  <c r="AZ3297" i="9"/>
  <c r="AW3297" i="9"/>
  <c r="AX3297" i="9"/>
  <c r="AY3297" i="9"/>
  <c r="AW3296" i="9"/>
  <c r="AZ3296" i="9"/>
  <c r="AY3296" i="9"/>
  <c r="AX3296" i="9"/>
  <c r="AZ3295" i="9"/>
  <c r="AY3295" i="9"/>
  <c r="AX3295" i="9"/>
  <c r="AW3295" i="9"/>
  <c r="AZ3294" i="9"/>
  <c r="AY3294" i="9"/>
  <c r="AX3294" i="9"/>
  <c r="AW3294" i="9"/>
  <c r="AW3293" i="9"/>
  <c r="AY3293" i="9"/>
  <c r="AX3293" i="9"/>
  <c r="AZ3293" i="9"/>
  <c r="AX3292" i="9"/>
  <c r="AW3292" i="9"/>
  <c r="AZ3292" i="9"/>
  <c r="AY3292" i="9"/>
  <c r="AZ3291" i="9"/>
  <c r="AY3291" i="9"/>
  <c r="AX3291" i="9"/>
  <c r="AW3291" i="9"/>
  <c r="AW3290" i="9"/>
  <c r="AZ3290" i="9"/>
  <c r="AY3290" i="9"/>
  <c r="AX3290" i="9"/>
  <c r="AW3289" i="9"/>
  <c r="AX3289" i="9"/>
  <c r="AY3289" i="9"/>
  <c r="AZ3289" i="9"/>
  <c r="AW3288" i="9"/>
  <c r="AX3288" i="9"/>
  <c r="AY3288" i="9"/>
  <c r="AZ3288" i="9"/>
  <c r="AZ3287" i="9"/>
  <c r="AW3287" i="9"/>
  <c r="AX3287" i="9"/>
  <c r="AY3287" i="9"/>
  <c r="AW3286" i="9"/>
  <c r="AX3286" i="9"/>
  <c r="AY3286" i="9"/>
  <c r="AZ3286" i="9"/>
  <c r="AZ3285" i="9"/>
  <c r="AY3285" i="9"/>
  <c r="AX3285" i="9"/>
  <c r="AW3285" i="9"/>
  <c r="AZ3284" i="9"/>
  <c r="AY3284" i="9"/>
  <c r="AX3284" i="9"/>
  <c r="AW3284" i="9"/>
  <c r="AZ3283" i="9"/>
  <c r="AY3283" i="9"/>
  <c r="AX3283" i="9"/>
  <c r="AW3283" i="9"/>
  <c r="AZ3282" i="9"/>
  <c r="AY3282" i="9"/>
  <c r="AX3282" i="9"/>
  <c r="AW3282" i="9"/>
  <c r="AZ3281" i="9"/>
  <c r="AY3281" i="9"/>
  <c r="AX3281" i="9"/>
  <c r="AW3281" i="9"/>
  <c r="AW3280" i="9"/>
  <c r="AZ3280" i="9"/>
  <c r="AY3280" i="9"/>
  <c r="AX3280" i="9"/>
  <c r="AY3279" i="9"/>
  <c r="AZ3279" i="9"/>
  <c r="AX3279" i="9"/>
  <c r="AW3279" i="9"/>
  <c r="AW3278" i="9"/>
  <c r="AX3278" i="9"/>
  <c r="AY3278" i="9"/>
  <c r="AZ3278" i="9"/>
  <c r="AX3277" i="9"/>
  <c r="AW3277" i="9"/>
  <c r="AY3277" i="9"/>
  <c r="AZ3277" i="9"/>
  <c r="AZ3276" i="9"/>
  <c r="AY3276" i="9"/>
  <c r="AX3276" i="9"/>
  <c r="AW3276" i="9"/>
  <c r="AZ3275" i="9"/>
  <c r="AW3275" i="9"/>
  <c r="AX3275" i="9"/>
  <c r="AY3275" i="9"/>
  <c r="AX3274" i="9"/>
  <c r="AZ3274" i="9"/>
  <c r="AW3274" i="9"/>
  <c r="AY3274" i="9"/>
  <c r="AZ3273" i="9"/>
  <c r="AY3273" i="9"/>
  <c r="AX3273" i="9"/>
  <c r="AW3273" i="9"/>
  <c r="AY3272" i="9"/>
  <c r="AX3272" i="9"/>
  <c r="AW3272" i="9"/>
  <c r="AZ3272" i="9"/>
  <c r="AY3271" i="9"/>
  <c r="AZ3271" i="9"/>
  <c r="AW3271" i="9"/>
  <c r="AX3271" i="9"/>
  <c r="AZ3270" i="9"/>
  <c r="AY3270" i="9"/>
  <c r="AX3270" i="9"/>
  <c r="AW3270" i="9"/>
  <c r="AY3269" i="9"/>
  <c r="AX3269" i="9"/>
  <c r="AZ3269" i="9"/>
  <c r="AW3269" i="9"/>
  <c r="AZ3268" i="9"/>
  <c r="AY3268" i="9"/>
  <c r="AX3268" i="9"/>
  <c r="AW3268" i="9"/>
  <c r="AZ3267" i="9"/>
  <c r="AY3267" i="9"/>
  <c r="AX3267" i="9"/>
  <c r="AW3267" i="9"/>
  <c r="AZ3266" i="9"/>
  <c r="AY3266" i="9"/>
  <c r="AX3266" i="9"/>
  <c r="AW3266" i="9"/>
  <c r="AY3265" i="9"/>
  <c r="AW3265" i="9"/>
  <c r="AX3265" i="9"/>
  <c r="AZ3265" i="9"/>
  <c r="AX3264" i="9"/>
  <c r="AW3264" i="9"/>
  <c r="AY3264" i="9"/>
  <c r="AZ3264" i="9"/>
  <c r="AZ3263" i="9"/>
  <c r="AY3263" i="9"/>
  <c r="AX3263" i="9"/>
  <c r="AW3263" i="9"/>
  <c r="AX3262" i="9"/>
  <c r="AY3262" i="9"/>
  <c r="AW3262" i="9"/>
  <c r="AZ3262" i="9"/>
  <c r="AY3261" i="9"/>
  <c r="AZ3261" i="9"/>
  <c r="AX3261" i="9"/>
  <c r="AW3261" i="9"/>
  <c r="AX3260" i="9"/>
  <c r="AZ3260" i="9"/>
  <c r="AW3260" i="9"/>
  <c r="AY3260" i="9"/>
  <c r="AZ3259" i="9"/>
  <c r="AW3259" i="9"/>
  <c r="AY3259" i="9"/>
  <c r="AX3259" i="9"/>
  <c r="AY3258" i="9"/>
  <c r="AZ3258" i="9"/>
  <c r="AX3258" i="9"/>
  <c r="AW3258" i="9"/>
  <c r="AZ3257" i="9"/>
  <c r="AY3257" i="9"/>
  <c r="AX3257" i="9"/>
  <c r="AW3257" i="9"/>
  <c r="AY3256" i="9"/>
  <c r="AW3256" i="9"/>
  <c r="AX3256" i="9"/>
  <c r="AZ3256" i="9"/>
  <c r="AW3255" i="9"/>
  <c r="AX3255" i="9"/>
  <c r="AY3255" i="9"/>
  <c r="AZ3255" i="9"/>
  <c r="AY3254" i="9"/>
  <c r="AZ3254" i="9"/>
  <c r="AX3254" i="9"/>
  <c r="AW3254" i="9"/>
  <c r="AW3253" i="9"/>
  <c r="AY3253" i="9"/>
  <c r="AZ3253" i="9"/>
  <c r="AX3253" i="9"/>
  <c r="AW3252" i="9"/>
  <c r="AX3252" i="9"/>
  <c r="AY3252" i="9"/>
  <c r="AZ3252" i="9"/>
  <c r="AW3251" i="9"/>
  <c r="AZ3251" i="9"/>
  <c r="AY3251" i="9"/>
  <c r="AX3251" i="9"/>
  <c r="AZ3250" i="9"/>
  <c r="AX3250" i="9"/>
  <c r="AY3250" i="9"/>
  <c r="AW3250" i="9"/>
  <c r="AX3249" i="9"/>
  <c r="AW3249" i="9"/>
  <c r="AZ3249" i="9"/>
  <c r="AY3249" i="9"/>
  <c r="AZ3248" i="9"/>
  <c r="AY3248" i="9"/>
  <c r="AX3248" i="9"/>
  <c r="AW3248" i="9"/>
  <c r="AZ3247" i="9"/>
  <c r="AY3247" i="9"/>
  <c r="AX3247" i="9"/>
  <c r="AW3247" i="9"/>
  <c r="AY3246" i="9"/>
  <c r="AX3246" i="9"/>
  <c r="AZ3246" i="9"/>
  <c r="AW3246" i="9"/>
  <c r="AW3245" i="9"/>
  <c r="AX3245" i="9"/>
  <c r="AY3245" i="9"/>
  <c r="AZ3245" i="9"/>
  <c r="AZ3244" i="9"/>
  <c r="AW3244" i="9"/>
  <c r="AX3244" i="9"/>
  <c r="AY3244" i="9"/>
  <c r="AY3243" i="9"/>
  <c r="AZ3243" i="9"/>
  <c r="AW3243" i="9"/>
  <c r="AX3243" i="9"/>
  <c r="AY3242" i="9"/>
  <c r="AX3242" i="9"/>
  <c r="AZ3242" i="9"/>
  <c r="AW3242" i="9"/>
  <c r="AZ3241" i="9"/>
  <c r="AY3241" i="9"/>
  <c r="AW3241" i="9"/>
  <c r="AX3241" i="9"/>
  <c r="AZ3240" i="9"/>
  <c r="AY3240" i="9"/>
  <c r="AX3240" i="9"/>
  <c r="AW3240" i="9"/>
  <c r="AZ3239" i="9"/>
  <c r="AY3239" i="9"/>
  <c r="AX3239" i="9"/>
  <c r="AW3239" i="9"/>
  <c r="AZ3238" i="9"/>
  <c r="AY3238" i="9"/>
  <c r="AX3238" i="9"/>
  <c r="AW3238" i="9"/>
  <c r="AW3237" i="9"/>
  <c r="AZ3237" i="9"/>
  <c r="AY3237" i="9"/>
  <c r="AX3237" i="9"/>
  <c r="AY3236" i="9"/>
  <c r="AZ3236" i="9"/>
  <c r="AW3236" i="9"/>
  <c r="AX3236" i="9"/>
  <c r="AW3235" i="9"/>
  <c r="AZ3235" i="9"/>
  <c r="AY3235" i="9"/>
  <c r="AX3235" i="9"/>
  <c r="AZ3234" i="9"/>
  <c r="AY3234" i="9"/>
  <c r="AX3234" i="9"/>
  <c r="AW3234" i="9"/>
  <c r="AZ3233" i="9"/>
  <c r="AX3233" i="9"/>
  <c r="AW3233" i="9"/>
  <c r="AY3233" i="9"/>
  <c r="AW3232" i="9"/>
  <c r="AZ3232" i="9"/>
  <c r="AY3232" i="9"/>
  <c r="AX3232" i="9"/>
  <c r="AZ3231" i="9"/>
  <c r="AY3231" i="9"/>
  <c r="AX3231" i="9"/>
  <c r="AW3231" i="9"/>
  <c r="AZ3230" i="9"/>
  <c r="AX3230" i="9"/>
  <c r="AY3230" i="9"/>
  <c r="AW3230" i="9"/>
  <c r="AW3229" i="9"/>
  <c r="AX3229" i="9"/>
  <c r="AY3229" i="9"/>
  <c r="AZ3229" i="9"/>
  <c r="AW3228" i="9"/>
  <c r="AX3228" i="9"/>
  <c r="AY3228" i="9"/>
  <c r="AZ3228" i="9"/>
  <c r="AZ3227" i="9"/>
  <c r="AY3227" i="9"/>
  <c r="AX3227" i="9"/>
  <c r="AW3227" i="9"/>
  <c r="AZ3226" i="9"/>
  <c r="AY3226" i="9"/>
  <c r="AX3226" i="9"/>
  <c r="AW3226" i="9"/>
  <c r="AW3225" i="9"/>
  <c r="AX3225" i="9"/>
  <c r="AZ3225" i="9"/>
  <c r="AY3225" i="9"/>
  <c r="AX3224" i="9"/>
  <c r="AZ3224" i="9"/>
  <c r="AY3224" i="9"/>
  <c r="AW3224" i="9"/>
  <c r="AW3223" i="9"/>
  <c r="AZ3223" i="9"/>
  <c r="AY3223" i="9"/>
  <c r="AX3223" i="9"/>
  <c r="AX3222" i="9"/>
  <c r="AW3222" i="9"/>
  <c r="AY3222" i="9"/>
  <c r="AZ3222" i="9"/>
  <c r="AW3221" i="9"/>
  <c r="AY3221" i="9"/>
  <c r="AZ3221" i="9"/>
  <c r="AX3221" i="9"/>
  <c r="AW3220" i="9"/>
  <c r="AX3220" i="9"/>
  <c r="AY3220" i="9"/>
  <c r="AZ3220" i="9"/>
  <c r="AW3219" i="9"/>
  <c r="AY3219" i="9"/>
  <c r="AZ3219" i="9"/>
  <c r="AX3219" i="9"/>
  <c r="AW3218" i="9"/>
  <c r="AZ3218" i="9"/>
  <c r="AY3218" i="9"/>
  <c r="AX3218" i="9"/>
  <c r="AZ3217" i="9"/>
  <c r="AY3217" i="9"/>
  <c r="AX3217" i="9"/>
  <c r="AW3217" i="9"/>
  <c r="AY3216" i="9"/>
  <c r="AZ3216" i="9"/>
  <c r="AW3216" i="9"/>
  <c r="AX3216" i="9"/>
  <c r="AW3215" i="9"/>
  <c r="AX3215" i="9"/>
  <c r="AZ3215" i="9"/>
  <c r="AY3215" i="9"/>
  <c r="AZ3214" i="9"/>
  <c r="AY3214" i="9"/>
  <c r="AX3214" i="9"/>
  <c r="AW3214" i="9"/>
  <c r="AZ3213" i="9"/>
  <c r="AY3213" i="9"/>
  <c r="AX3213" i="9"/>
  <c r="AW3213" i="9"/>
  <c r="AZ3212" i="9"/>
  <c r="AY3212" i="9"/>
  <c r="AX3212" i="9"/>
  <c r="AW3212" i="9"/>
  <c r="AZ3211" i="9"/>
  <c r="AY3211" i="9"/>
  <c r="AW3211" i="9"/>
  <c r="AX3211" i="9"/>
  <c r="AW3210" i="9"/>
  <c r="AX3210" i="9"/>
  <c r="AY3210" i="9"/>
  <c r="AZ3210" i="9"/>
  <c r="AX3209" i="9"/>
  <c r="AW3209" i="9"/>
  <c r="AY3209" i="9"/>
  <c r="AZ3209" i="9"/>
  <c r="AZ3208" i="9"/>
  <c r="AY3208" i="9"/>
  <c r="AX3208" i="9"/>
  <c r="AW3208" i="9"/>
  <c r="AZ3207" i="9"/>
  <c r="AY3207" i="9"/>
  <c r="AX3207" i="9"/>
  <c r="AW3207" i="9"/>
  <c r="AZ3206" i="9"/>
  <c r="AY3206" i="9"/>
  <c r="AX3206" i="9"/>
  <c r="AW3206" i="9"/>
  <c r="AZ3205" i="9"/>
  <c r="AY3205" i="9"/>
  <c r="AX3205" i="9"/>
  <c r="AW3205" i="9"/>
  <c r="AW3204" i="9"/>
  <c r="AX3204" i="9"/>
  <c r="AZ3204" i="9"/>
  <c r="AY3204" i="9"/>
  <c r="AW3203" i="9"/>
  <c r="AX3203" i="9"/>
  <c r="AZ3203" i="9"/>
  <c r="AY3203" i="9"/>
  <c r="AW3202" i="9"/>
  <c r="AX3202" i="9"/>
  <c r="AY3202" i="9"/>
  <c r="AZ3202" i="9"/>
  <c r="AZ3201" i="9"/>
  <c r="AY3201" i="9"/>
  <c r="AX3201" i="9"/>
  <c r="AW3201" i="9"/>
  <c r="AZ3200" i="9"/>
  <c r="AY3200" i="9"/>
  <c r="AX3200" i="9"/>
  <c r="AW3200" i="9"/>
  <c r="AZ3199" i="9"/>
  <c r="AY3199" i="9"/>
  <c r="AX3199" i="9"/>
  <c r="AW3199" i="9"/>
  <c r="AZ3198" i="9"/>
  <c r="AY3198" i="9"/>
  <c r="AX3198" i="9"/>
  <c r="AW3198" i="9"/>
  <c r="AZ3197" i="9"/>
  <c r="AY3197" i="9"/>
  <c r="AX3197" i="9"/>
  <c r="AW3197" i="9"/>
  <c r="AZ3196" i="9"/>
  <c r="AY3196" i="9"/>
  <c r="AX3196" i="9"/>
  <c r="AW3196" i="9"/>
  <c r="AZ3195" i="9"/>
  <c r="AY3195" i="9"/>
  <c r="AX3195" i="9"/>
  <c r="AW3195" i="9"/>
  <c r="AZ3194" i="9"/>
  <c r="AY3194" i="9"/>
  <c r="AX3194" i="9"/>
  <c r="AW3194" i="9"/>
  <c r="AZ3193" i="9"/>
  <c r="AY3193" i="9"/>
  <c r="AX3193" i="9"/>
  <c r="AW3193" i="9"/>
  <c r="AZ3192" i="9"/>
  <c r="AY3192" i="9"/>
  <c r="AX3192" i="9"/>
  <c r="AW3192" i="9"/>
  <c r="AZ3191" i="9"/>
  <c r="AY3191" i="9"/>
  <c r="AX3191" i="9"/>
  <c r="AW3191" i="9"/>
  <c r="AZ3190" i="9"/>
  <c r="AY3190" i="9"/>
  <c r="AX3190" i="9"/>
  <c r="AW3190" i="9"/>
  <c r="AZ3189" i="9"/>
  <c r="AY3189" i="9"/>
  <c r="AX3189" i="9"/>
  <c r="AW3189" i="9"/>
  <c r="AZ3188" i="9"/>
  <c r="AY3188" i="9"/>
  <c r="AX3188" i="9"/>
  <c r="AW3188" i="9"/>
  <c r="AZ3187" i="9"/>
  <c r="AY3187" i="9"/>
  <c r="AX3187" i="9"/>
  <c r="AW3187" i="9"/>
  <c r="AZ3186" i="9"/>
  <c r="AY3186" i="9"/>
  <c r="AX3186" i="9"/>
  <c r="AW3186" i="9"/>
  <c r="AZ3185" i="9"/>
  <c r="AY3185" i="9"/>
  <c r="AX3185" i="9"/>
  <c r="AW3185" i="9"/>
  <c r="AZ3184" i="9"/>
  <c r="AY3184" i="9"/>
  <c r="AX3184" i="9"/>
  <c r="AW3184" i="9"/>
  <c r="AZ3183" i="9"/>
  <c r="AY3183" i="9"/>
  <c r="AX3183" i="9"/>
  <c r="AW3183" i="9"/>
  <c r="AZ3182" i="9"/>
  <c r="AY3182" i="9"/>
  <c r="AX3182" i="9"/>
  <c r="AW3182" i="9"/>
  <c r="AZ3181" i="9"/>
  <c r="AY3181" i="9"/>
  <c r="AX3181" i="9"/>
  <c r="AW3181" i="9"/>
  <c r="AZ3180" i="9"/>
  <c r="AY3180" i="9"/>
  <c r="AX3180" i="9"/>
  <c r="AW3180" i="9"/>
  <c r="AZ3179" i="9"/>
  <c r="AY3179" i="9"/>
  <c r="AX3179" i="9"/>
  <c r="AW3179" i="9"/>
  <c r="AZ3178" i="9"/>
  <c r="AY3178" i="9"/>
  <c r="AX3178" i="9"/>
  <c r="AW3178" i="9"/>
  <c r="AZ3177" i="9"/>
  <c r="AY3177" i="9"/>
  <c r="AX3177" i="9"/>
  <c r="AW3177" i="9"/>
  <c r="AZ3176" i="9"/>
  <c r="AY3176" i="9"/>
  <c r="AX3176" i="9"/>
  <c r="AW3176" i="9"/>
  <c r="AZ3175" i="9"/>
  <c r="AY3175" i="9"/>
  <c r="AX3175" i="9"/>
  <c r="AW3175" i="9"/>
  <c r="AZ3174" i="9"/>
  <c r="AY3174" i="9"/>
  <c r="AX3174" i="9"/>
  <c r="AW3174" i="9"/>
  <c r="AZ3173" i="9"/>
  <c r="AY3173" i="9"/>
  <c r="AX3173" i="9"/>
  <c r="AW3173" i="9"/>
  <c r="AZ3172" i="9"/>
  <c r="AY3172" i="9"/>
  <c r="AX3172" i="9"/>
  <c r="AW3172" i="9"/>
  <c r="AZ3171" i="9"/>
  <c r="AY3171" i="9"/>
  <c r="AX3171" i="9"/>
  <c r="AW3171" i="9"/>
  <c r="AZ3170" i="9"/>
  <c r="AY3170" i="9"/>
  <c r="AX3170" i="9"/>
  <c r="AW3170" i="9"/>
  <c r="AZ3169" i="9"/>
  <c r="AY3169" i="9"/>
  <c r="AX3169" i="9"/>
  <c r="AW3169" i="9"/>
  <c r="AZ3168" i="9"/>
  <c r="AY3168" i="9"/>
  <c r="AX3168" i="9"/>
  <c r="AW3168" i="9"/>
  <c r="AZ3167" i="9"/>
  <c r="AY3167" i="9"/>
  <c r="AX3167" i="9"/>
  <c r="AW3167" i="9"/>
  <c r="AZ3166" i="9"/>
  <c r="AY3166" i="9"/>
  <c r="AX3166" i="9"/>
  <c r="AW3166" i="9"/>
  <c r="AZ3165" i="9"/>
  <c r="AY3165" i="9"/>
  <c r="AX3165" i="9"/>
  <c r="AW3165" i="9"/>
  <c r="AZ3164" i="9"/>
  <c r="AY3164" i="9"/>
  <c r="AX3164" i="9"/>
  <c r="AW3164" i="9"/>
  <c r="AZ3163" i="9"/>
  <c r="AY3163" i="9"/>
  <c r="AX3163" i="9"/>
  <c r="AW3163" i="9"/>
  <c r="AZ3162" i="9"/>
  <c r="AY3162" i="9"/>
  <c r="AX3162" i="9"/>
  <c r="AW3162" i="9"/>
  <c r="AZ3161" i="9"/>
  <c r="AY3161" i="9"/>
  <c r="AX3161" i="9"/>
  <c r="AW3161" i="9"/>
  <c r="AZ3160" i="9"/>
  <c r="AY3160" i="9"/>
  <c r="AX3160" i="9"/>
  <c r="AW3160" i="9"/>
  <c r="AZ3159" i="9"/>
  <c r="AY3159" i="9"/>
  <c r="AX3159" i="9"/>
  <c r="AW3159" i="9"/>
  <c r="AZ3158" i="9"/>
  <c r="AY3158" i="9"/>
  <c r="AX3158" i="9"/>
  <c r="AW3158" i="9"/>
  <c r="AZ3157" i="9"/>
  <c r="AY3157" i="9"/>
  <c r="AX3157" i="9"/>
  <c r="AW3157" i="9"/>
  <c r="AZ3156" i="9"/>
  <c r="AY3156" i="9"/>
  <c r="AX3156" i="9"/>
  <c r="AW3156" i="9"/>
  <c r="AZ3155" i="9"/>
  <c r="AY3155" i="9"/>
  <c r="AX3155" i="9"/>
  <c r="AW3155" i="9"/>
  <c r="AW3154" i="9"/>
  <c r="AZ3154" i="9"/>
  <c r="AY3154" i="9"/>
  <c r="AX3154" i="9"/>
  <c r="AZ3153" i="9"/>
  <c r="AX3153" i="9"/>
  <c r="AY3153" i="9"/>
  <c r="AW3153" i="9"/>
  <c r="AW3152" i="9"/>
  <c r="AX3152" i="9"/>
  <c r="AY3152" i="9"/>
  <c r="AZ3152" i="9"/>
  <c r="AX3151" i="9"/>
  <c r="AZ3151" i="9"/>
  <c r="AY3151" i="9"/>
  <c r="AW3151" i="9"/>
  <c r="AW3150" i="9"/>
  <c r="AX3150" i="9"/>
  <c r="AZ3150" i="9"/>
  <c r="AY3150" i="9"/>
  <c r="AY3149" i="9"/>
  <c r="AX3149" i="9"/>
  <c r="AW3149" i="9"/>
  <c r="AZ3149" i="9"/>
  <c r="AW3148" i="9"/>
  <c r="AZ3148" i="9"/>
  <c r="AY3148" i="9"/>
  <c r="AX3148" i="9"/>
  <c r="AZ3147" i="9"/>
  <c r="AY3147" i="9"/>
  <c r="AX3147" i="9"/>
  <c r="AW3147" i="9"/>
  <c r="AY3146" i="9"/>
  <c r="AZ3146" i="9"/>
  <c r="AX3146" i="9"/>
  <c r="AW3146" i="9"/>
  <c r="AX3145" i="9"/>
  <c r="AW3145" i="9"/>
  <c r="AY3145" i="9"/>
  <c r="AZ3145" i="9"/>
  <c r="AY3144" i="9"/>
  <c r="AX3144" i="9"/>
  <c r="AW3144" i="9"/>
  <c r="AZ3144" i="9"/>
  <c r="AW3143" i="9"/>
  <c r="AX3143" i="9"/>
  <c r="AY3143" i="9"/>
  <c r="AZ3143" i="9"/>
  <c r="AW3142" i="9"/>
  <c r="AX3142" i="9"/>
  <c r="AY3142" i="9"/>
  <c r="AZ3142" i="9"/>
  <c r="AZ3141" i="9"/>
  <c r="AY3141" i="9"/>
  <c r="AW3141" i="9"/>
  <c r="AX3141" i="9"/>
  <c r="AW3140" i="9"/>
  <c r="AX3140" i="9"/>
  <c r="AZ3140" i="9"/>
  <c r="AY3140" i="9"/>
  <c r="AZ3139" i="9"/>
  <c r="AY3139" i="9"/>
  <c r="AX3139" i="9"/>
  <c r="AW3139" i="9"/>
  <c r="AY3138" i="9"/>
  <c r="AZ3138" i="9"/>
  <c r="AW3138" i="9"/>
  <c r="AX3138" i="9"/>
  <c r="AZ3137" i="9"/>
  <c r="AY3137" i="9"/>
  <c r="AX3137" i="9"/>
  <c r="AW3137" i="9"/>
  <c r="AZ3136" i="9"/>
  <c r="AY3136" i="9"/>
  <c r="AX3136" i="9"/>
  <c r="AW3136" i="9"/>
  <c r="AZ3135" i="9"/>
  <c r="AY3135" i="9"/>
  <c r="AX3135" i="9"/>
  <c r="AW3135" i="9"/>
  <c r="AW3134" i="9"/>
  <c r="AZ3134" i="9"/>
  <c r="AY3134" i="9"/>
  <c r="AX3134" i="9"/>
  <c r="AW3133" i="9"/>
  <c r="AZ3133" i="9"/>
  <c r="AY3133" i="9"/>
  <c r="AX3133" i="9"/>
  <c r="AZ3132" i="9"/>
  <c r="AY3132" i="9"/>
  <c r="AX3132" i="9"/>
  <c r="AW3132" i="9"/>
  <c r="AZ3131" i="9"/>
  <c r="AW3131" i="9"/>
  <c r="AX3131" i="9"/>
  <c r="AY3131" i="9"/>
  <c r="AZ3130" i="9"/>
  <c r="AY3130" i="9"/>
  <c r="AX3130" i="9"/>
  <c r="AW3130" i="9"/>
  <c r="AW3129" i="9"/>
  <c r="AX3129" i="9"/>
  <c r="AY3129" i="9"/>
  <c r="AZ3129" i="9"/>
  <c r="AZ3128" i="9"/>
  <c r="AY3128" i="9"/>
  <c r="AX3128" i="9"/>
  <c r="AW3128" i="9"/>
  <c r="AZ3127" i="9"/>
  <c r="AY3127" i="9"/>
  <c r="AW3127" i="9"/>
  <c r="AX3127" i="9"/>
  <c r="AZ3126" i="9"/>
  <c r="AY3126" i="9"/>
  <c r="AX3126" i="9"/>
  <c r="AW3126" i="9"/>
  <c r="AZ3125" i="9"/>
  <c r="AY3125" i="9"/>
  <c r="AX3125" i="9"/>
  <c r="AW3125" i="9"/>
  <c r="AX3124" i="9"/>
  <c r="AZ3124" i="9"/>
  <c r="AY3124" i="9"/>
  <c r="AW3124" i="9"/>
  <c r="AX3123" i="9"/>
  <c r="AY3123" i="9"/>
  <c r="AZ3123" i="9"/>
  <c r="AW3123" i="9"/>
  <c r="AZ3122" i="9"/>
  <c r="AY3122" i="9"/>
  <c r="AW3122" i="9"/>
  <c r="AX3122" i="9"/>
  <c r="AW3121" i="9"/>
  <c r="AX3121" i="9"/>
  <c r="AY3121" i="9"/>
  <c r="AZ3121" i="9"/>
  <c r="AW3120" i="9"/>
  <c r="AX3120" i="9"/>
  <c r="AY3120" i="9"/>
  <c r="AZ3120" i="9"/>
  <c r="AX3119" i="9"/>
  <c r="AW3119" i="9"/>
  <c r="AY3119" i="9"/>
  <c r="AZ3119" i="9"/>
  <c r="AZ3118" i="9"/>
  <c r="AY3118" i="9"/>
  <c r="AX3118" i="9"/>
  <c r="AW3118" i="9"/>
  <c r="AZ3117" i="9"/>
  <c r="AX3117" i="9"/>
  <c r="AW3117" i="9"/>
  <c r="AY3117" i="9"/>
  <c r="AZ3116" i="9"/>
  <c r="AY3116" i="9"/>
  <c r="AX3116" i="9"/>
  <c r="AW3116" i="9"/>
  <c r="AZ3115" i="9"/>
  <c r="AY3115" i="9"/>
  <c r="AX3115" i="9"/>
  <c r="AW3115" i="9"/>
  <c r="AZ3114" i="9"/>
  <c r="AY3114" i="9"/>
  <c r="AX3114" i="9"/>
  <c r="AW3114" i="9"/>
  <c r="AX3113" i="9"/>
  <c r="AW3113" i="9"/>
  <c r="AZ3113" i="9"/>
  <c r="AY3113" i="9"/>
  <c r="AY3112" i="9"/>
  <c r="AX3112" i="9"/>
  <c r="AW3112" i="9"/>
  <c r="AZ3112" i="9"/>
  <c r="AZ3111" i="9"/>
  <c r="AY3111" i="9"/>
  <c r="AX3111" i="9"/>
  <c r="AW3111" i="9"/>
  <c r="AY3110" i="9"/>
  <c r="AX3110" i="9"/>
  <c r="AW3110" i="9"/>
  <c r="AZ3110" i="9"/>
  <c r="AW3109" i="9"/>
  <c r="AZ3109" i="9"/>
  <c r="AY3109" i="9"/>
  <c r="AX3109" i="9"/>
  <c r="AX3108" i="9"/>
  <c r="AY3108" i="9"/>
  <c r="AW3108" i="9"/>
  <c r="AZ3108" i="9"/>
  <c r="AW3107" i="9"/>
  <c r="AX3107" i="9"/>
  <c r="AY3107" i="9"/>
  <c r="AZ3107" i="9"/>
  <c r="AZ3106" i="9"/>
  <c r="AW3106" i="9"/>
  <c r="AX3106" i="9"/>
  <c r="AY3106" i="9"/>
  <c r="AY3105" i="9"/>
  <c r="AZ3105" i="9"/>
  <c r="AW3105" i="9"/>
  <c r="AX3105" i="9"/>
  <c r="AW3104" i="9"/>
  <c r="AZ3104" i="9"/>
  <c r="AY3104" i="9"/>
  <c r="AX3104" i="9"/>
  <c r="AY3103" i="9"/>
  <c r="AZ3103" i="9"/>
  <c r="AX3103" i="9"/>
  <c r="AW3103" i="9"/>
  <c r="AY3102" i="9"/>
  <c r="AX3102" i="9"/>
  <c r="AZ3102" i="9"/>
  <c r="AW3102" i="9"/>
  <c r="AZ3101" i="9"/>
  <c r="AY3101" i="9"/>
  <c r="AX3101" i="9"/>
  <c r="AW3101" i="9"/>
  <c r="AZ3100" i="9"/>
  <c r="AY3100" i="9"/>
  <c r="AX3100" i="9"/>
  <c r="AW3100" i="9"/>
  <c r="AZ3099" i="9"/>
  <c r="AX3099" i="9"/>
  <c r="AW3099" i="9"/>
  <c r="AY3099" i="9"/>
  <c r="AZ3098" i="9"/>
  <c r="AX3098" i="9"/>
  <c r="AW3098" i="9"/>
  <c r="AY3098" i="9"/>
  <c r="AZ3097" i="9"/>
  <c r="AY3097" i="9"/>
  <c r="AX3097" i="9"/>
  <c r="AW3097" i="9"/>
  <c r="AZ3096" i="9"/>
  <c r="AX3096" i="9"/>
  <c r="AW3096" i="9"/>
  <c r="AY3096" i="9"/>
  <c r="AZ3095" i="9"/>
  <c r="AY3095" i="9"/>
  <c r="AX3095" i="9"/>
  <c r="AW3095" i="9"/>
  <c r="AX3094" i="9"/>
  <c r="AY3094" i="9"/>
  <c r="AW3094" i="9"/>
  <c r="AZ3094" i="9"/>
  <c r="AZ3093" i="9"/>
  <c r="AY3093" i="9"/>
  <c r="AX3093" i="9"/>
  <c r="AW3093" i="9"/>
  <c r="AZ3092" i="9"/>
  <c r="AY3092" i="9"/>
  <c r="AX3092" i="9"/>
  <c r="AW3092" i="9"/>
  <c r="AZ3091" i="9"/>
  <c r="AW3091" i="9"/>
  <c r="AX3091" i="9"/>
  <c r="AY3091" i="9"/>
  <c r="AW3090" i="9"/>
  <c r="AX3090" i="9"/>
  <c r="AY3090" i="9"/>
  <c r="AZ3090" i="9"/>
  <c r="AY3089" i="9"/>
  <c r="AZ3089" i="9"/>
  <c r="AW3089" i="9"/>
  <c r="AX3089" i="9"/>
  <c r="AW3088" i="9"/>
  <c r="AX3088" i="9"/>
  <c r="AY3088" i="9"/>
  <c r="AZ3088" i="9"/>
  <c r="AX3087" i="9"/>
  <c r="AW3087" i="9"/>
  <c r="AZ3087" i="9"/>
  <c r="AY3087" i="9"/>
  <c r="AZ3086" i="9"/>
  <c r="AY3086" i="9"/>
  <c r="AW3086" i="9"/>
  <c r="AX3086" i="9"/>
  <c r="AZ3085" i="9"/>
  <c r="AY3085" i="9"/>
  <c r="AX3085" i="9"/>
  <c r="AW3085" i="9"/>
  <c r="AW3084" i="9"/>
  <c r="AZ3084" i="9"/>
  <c r="AY3084" i="9"/>
  <c r="AX3084" i="9"/>
  <c r="AZ3083" i="9"/>
  <c r="AY3083" i="9"/>
  <c r="AX3083" i="9"/>
  <c r="AW3083" i="9"/>
  <c r="AW3082" i="9"/>
  <c r="AZ3082" i="9"/>
  <c r="AX3082" i="9"/>
  <c r="AY3082" i="9"/>
  <c r="AZ3081" i="9"/>
  <c r="AY3081" i="9"/>
  <c r="AX3081" i="9"/>
  <c r="AW3081" i="9"/>
  <c r="AW3080" i="9"/>
  <c r="AX3080" i="9"/>
  <c r="AY3080" i="9"/>
  <c r="AZ3080" i="9"/>
  <c r="AZ3079" i="9"/>
  <c r="AY3079" i="9"/>
  <c r="AX3079" i="9"/>
  <c r="AW3079" i="9"/>
  <c r="AW3078" i="9"/>
  <c r="AX3078" i="9"/>
  <c r="AY3078" i="9"/>
  <c r="AZ3078" i="9"/>
  <c r="AX3077" i="9"/>
  <c r="AW3077" i="9"/>
  <c r="AY3077" i="9"/>
  <c r="AZ3077" i="9"/>
  <c r="AZ3076" i="9"/>
  <c r="AY3076" i="9"/>
  <c r="AW3076" i="9"/>
  <c r="AX3076" i="9"/>
  <c r="AW3075" i="9"/>
  <c r="AX3075" i="9"/>
  <c r="AZ3075" i="9"/>
  <c r="AY3075" i="9"/>
  <c r="AW3074" i="9"/>
  <c r="AX3074" i="9"/>
  <c r="AY3074" i="9"/>
  <c r="AZ3074" i="9"/>
  <c r="AW3073" i="9"/>
  <c r="AX3073" i="9"/>
  <c r="AY3073" i="9"/>
  <c r="AZ3073" i="9"/>
  <c r="AW3072" i="9"/>
  <c r="AX3072" i="9"/>
  <c r="AY3072" i="9"/>
  <c r="AZ3072" i="9"/>
  <c r="AY3071" i="9"/>
  <c r="AX3071" i="9"/>
  <c r="AW3071" i="9"/>
  <c r="AZ3071" i="9"/>
  <c r="AZ3070" i="9"/>
  <c r="AY3070" i="9"/>
  <c r="AX3070" i="9"/>
  <c r="AW3070" i="9"/>
  <c r="AZ3069" i="9"/>
  <c r="AY3069" i="9"/>
  <c r="AX3069" i="9"/>
  <c r="AW3069" i="9"/>
  <c r="AZ3068" i="9"/>
  <c r="AY3068" i="9"/>
  <c r="AX3068" i="9"/>
  <c r="AW3068" i="9"/>
  <c r="AZ3067" i="9"/>
  <c r="AY3067" i="9"/>
  <c r="AX3067" i="9"/>
  <c r="AW3067" i="9"/>
  <c r="AZ3066" i="9"/>
  <c r="AY3066" i="9"/>
  <c r="AX3066" i="9"/>
  <c r="AW3066" i="9"/>
  <c r="AZ3065" i="9"/>
  <c r="AY3065" i="9"/>
  <c r="AW3065" i="9"/>
  <c r="AX3065" i="9"/>
  <c r="AZ3064" i="9"/>
  <c r="AY3064" i="9"/>
  <c r="AX3064" i="9"/>
  <c r="AW3064" i="9"/>
  <c r="AY3063" i="9"/>
  <c r="AZ3063" i="9"/>
  <c r="AX3063" i="9"/>
  <c r="AW3063" i="9"/>
  <c r="AZ3062" i="9"/>
  <c r="AY3062" i="9"/>
  <c r="AX3062" i="9"/>
  <c r="AW3062" i="9"/>
  <c r="AZ3061" i="9"/>
  <c r="AY3061" i="9"/>
  <c r="AX3061" i="9"/>
  <c r="AW3061" i="9"/>
  <c r="AZ3060" i="9"/>
  <c r="AY3060" i="9"/>
  <c r="AX3060" i="9"/>
  <c r="AW3060" i="9"/>
  <c r="AZ3059" i="9"/>
  <c r="AY3059" i="9"/>
  <c r="AX3059" i="9"/>
  <c r="AW3059" i="9"/>
  <c r="AZ3058" i="9"/>
  <c r="AY3058" i="9"/>
  <c r="AX3058" i="9"/>
  <c r="AW3058" i="9"/>
  <c r="AX3057" i="9"/>
  <c r="AW3057" i="9"/>
  <c r="AZ3057" i="9"/>
  <c r="AY3057" i="9"/>
  <c r="AX3056" i="9"/>
  <c r="AW3056" i="9"/>
  <c r="AY3056" i="9"/>
  <c r="AZ3056" i="9"/>
  <c r="AW3055" i="9"/>
  <c r="AX3055" i="9"/>
  <c r="AY3055" i="9"/>
  <c r="AZ3055" i="9"/>
  <c r="AX3054" i="9"/>
  <c r="AW3054" i="9"/>
  <c r="AY3054" i="9"/>
  <c r="AZ3054" i="9"/>
  <c r="AZ3053" i="9"/>
  <c r="AY3053" i="9"/>
  <c r="AX3053" i="9"/>
  <c r="AW3053" i="9"/>
  <c r="AZ3052" i="9"/>
  <c r="AY3052" i="9"/>
  <c r="AX3052" i="9"/>
  <c r="AW3052" i="9"/>
  <c r="AY3051" i="9"/>
  <c r="AX3051" i="9"/>
  <c r="AW3051" i="9"/>
  <c r="AZ3051" i="9"/>
  <c r="AW3050" i="9"/>
  <c r="AZ3050" i="9"/>
  <c r="AY3050" i="9"/>
  <c r="AX3050" i="9"/>
  <c r="AW3049" i="9"/>
  <c r="AZ3049" i="9"/>
  <c r="AY3049" i="9"/>
  <c r="AX3049" i="9"/>
  <c r="AY3048" i="9"/>
  <c r="AZ3048" i="9"/>
  <c r="AX3048" i="9"/>
  <c r="AW3048" i="9"/>
  <c r="AZ3047" i="9"/>
  <c r="AW3047" i="9"/>
  <c r="AX3047" i="9"/>
  <c r="AY3047" i="9"/>
  <c r="AW3046" i="9"/>
  <c r="AX3046" i="9"/>
  <c r="AZ3046" i="9"/>
  <c r="AY3046" i="9"/>
  <c r="AY3045" i="9"/>
  <c r="AX3045" i="9"/>
  <c r="AZ3045" i="9"/>
  <c r="AW3045" i="9"/>
  <c r="AZ3044" i="9"/>
  <c r="AW3044" i="9"/>
  <c r="AX3044" i="9"/>
  <c r="AY3044" i="9"/>
  <c r="AW3043" i="9"/>
  <c r="AY3043" i="9"/>
  <c r="AZ3043" i="9"/>
  <c r="AX3043" i="9"/>
  <c r="AW3042" i="9"/>
  <c r="AX3042" i="9"/>
  <c r="AY3042" i="9"/>
  <c r="AZ3042" i="9"/>
  <c r="AW3041" i="9"/>
  <c r="AX3041" i="9"/>
  <c r="AY3041" i="9"/>
  <c r="AZ3041" i="9"/>
  <c r="AY3040" i="9"/>
  <c r="AX3040" i="9"/>
  <c r="AW3040" i="9"/>
  <c r="AZ3040" i="9"/>
  <c r="AZ3039" i="9"/>
  <c r="AW3039" i="9"/>
  <c r="AX3039" i="9"/>
  <c r="AY3039" i="9"/>
  <c r="AW3038" i="9"/>
  <c r="AX3038" i="9"/>
  <c r="AY3038" i="9"/>
  <c r="AZ3038" i="9"/>
  <c r="AX3037" i="9"/>
  <c r="AW3037" i="9"/>
  <c r="AZ3037" i="9"/>
  <c r="AY3037" i="9"/>
  <c r="AZ3036" i="9"/>
  <c r="AY3036" i="9"/>
  <c r="AW3036" i="9"/>
  <c r="AX3036" i="9"/>
  <c r="AZ3035" i="9"/>
  <c r="AY3035" i="9"/>
  <c r="AX3035" i="9"/>
  <c r="AW3035" i="9"/>
  <c r="AZ3034" i="9"/>
  <c r="AW3034" i="9"/>
  <c r="AY3034" i="9"/>
  <c r="AX3034" i="9"/>
  <c r="AX3033" i="9"/>
  <c r="AW3033" i="9"/>
  <c r="AY3033" i="9"/>
  <c r="AZ3033" i="9"/>
  <c r="AZ3032" i="9"/>
  <c r="AW3032" i="9"/>
  <c r="AX3032" i="9"/>
  <c r="AY3032" i="9"/>
  <c r="AZ3031" i="9"/>
  <c r="AY3031" i="9"/>
  <c r="AX3031" i="9"/>
  <c r="AW3031" i="9"/>
  <c r="AZ3030" i="9"/>
  <c r="AY3030" i="9"/>
  <c r="AW3030" i="9"/>
  <c r="AX3030" i="9"/>
  <c r="AW3029" i="9"/>
  <c r="AX3029" i="9"/>
  <c r="AY3029" i="9"/>
  <c r="AZ3029" i="9"/>
  <c r="AW3028" i="9"/>
  <c r="AX3028" i="9"/>
  <c r="AY3028" i="9"/>
  <c r="AZ3028" i="9"/>
  <c r="AZ3027" i="9"/>
  <c r="AY3027" i="9"/>
  <c r="AX3027" i="9"/>
  <c r="AW3027" i="9"/>
  <c r="AZ3026" i="9"/>
  <c r="AY3026" i="9"/>
  <c r="AX3026" i="9"/>
  <c r="AW3026" i="9"/>
  <c r="AZ3025" i="9"/>
  <c r="AY3025" i="9"/>
  <c r="AW3025" i="9"/>
  <c r="AX3025" i="9"/>
  <c r="AW3024" i="9"/>
  <c r="AX3024" i="9"/>
  <c r="AY3024" i="9"/>
  <c r="AZ3024" i="9"/>
  <c r="AW3023" i="9"/>
  <c r="AX3023" i="9"/>
  <c r="AY3023" i="9"/>
  <c r="AZ3023" i="9"/>
  <c r="AX3022" i="9"/>
  <c r="AW3022" i="9"/>
  <c r="AY3022" i="9"/>
  <c r="AZ3022" i="9"/>
  <c r="AZ3021" i="9"/>
  <c r="AY3021" i="9"/>
  <c r="AW3021" i="9"/>
  <c r="AX3021" i="9"/>
  <c r="AZ3020" i="9"/>
  <c r="AY3020" i="9"/>
  <c r="AW3020" i="9"/>
  <c r="AX3020" i="9"/>
  <c r="AZ3019" i="9"/>
  <c r="AY3019" i="9"/>
  <c r="AX3019" i="9"/>
  <c r="AW3019" i="9"/>
  <c r="AW3018" i="9"/>
  <c r="AY3018" i="9"/>
  <c r="AX3018" i="9"/>
  <c r="AZ3018" i="9"/>
  <c r="AZ3017" i="9"/>
  <c r="AW3017" i="9"/>
  <c r="AX3017" i="9"/>
  <c r="AY3017" i="9"/>
  <c r="AW3016" i="9"/>
  <c r="AZ3016" i="9"/>
  <c r="AY3016" i="9"/>
  <c r="AX3016" i="9"/>
  <c r="AY3015" i="9"/>
  <c r="AZ3015" i="9"/>
  <c r="AW3015" i="9"/>
  <c r="AX3015" i="9"/>
  <c r="AW3014" i="9"/>
  <c r="AX3014" i="9"/>
  <c r="AY3014" i="9"/>
  <c r="AZ3014" i="9"/>
  <c r="AW3013" i="9"/>
  <c r="AX3013" i="9"/>
  <c r="AY3013" i="9"/>
  <c r="AZ3013" i="9"/>
  <c r="AY3012" i="9"/>
  <c r="AZ3012" i="9"/>
  <c r="AW3012" i="9"/>
  <c r="AX3012" i="9"/>
  <c r="AZ3011" i="9"/>
  <c r="AY3011" i="9"/>
  <c r="AX3011" i="9"/>
  <c r="AW3011" i="9"/>
  <c r="AZ3010" i="9"/>
  <c r="AY3010" i="9"/>
  <c r="AX3010" i="9"/>
  <c r="AW3010" i="9"/>
  <c r="AY3009" i="9"/>
  <c r="AX3009" i="9"/>
  <c r="AW3009" i="9"/>
  <c r="AZ3009" i="9"/>
  <c r="AY3008" i="9"/>
  <c r="AW3008" i="9"/>
  <c r="AZ3008" i="9"/>
  <c r="AX3008" i="9"/>
  <c r="AW3007" i="9"/>
  <c r="AX3007" i="9"/>
  <c r="AY3007" i="9"/>
  <c r="AZ3007" i="9"/>
  <c r="AY3006" i="9"/>
  <c r="AX3006" i="9"/>
  <c r="AW3006" i="9"/>
  <c r="AZ3006" i="9"/>
  <c r="AX3005" i="9"/>
  <c r="AY3005" i="9"/>
  <c r="AZ3005" i="9"/>
  <c r="AW3005" i="9"/>
  <c r="AY3004" i="9"/>
  <c r="AX3004" i="9"/>
  <c r="AW3004" i="9"/>
  <c r="AZ3004" i="9"/>
  <c r="AX3003" i="9"/>
  <c r="AY3003" i="9"/>
  <c r="AZ3003" i="9"/>
  <c r="AW3003" i="9"/>
  <c r="AY3002" i="9"/>
  <c r="AZ3002" i="9"/>
  <c r="AW3002" i="9"/>
  <c r="AX3002" i="9"/>
  <c r="AW3001" i="9"/>
  <c r="AX3001" i="9"/>
  <c r="AY3001" i="9"/>
  <c r="AZ3001" i="9"/>
  <c r="AW3000" i="9"/>
  <c r="AY3000" i="9"/>
  <c r="AZ3000" i="9"/>
  <c r="AX3000" i="9"/>
  <c r="AW2999" i="9"/>
  <c r="AX2999" i="9"/>
  <c r="AY2999" i="9"/>
  <c r="AZ2999" i="9"/>
  <c r="AW2998" i="9"/>
  <c r="AX2998" i="9"/>
  <c r="AY2998" i="9"/>
  <c r="AZ2998" i="9"/>
  <c r="AZ2997" i="9"/>
  <c r="AY2997" i="9"/>
  <c r="AW2997" i="9"/>
  <c r="AX2997" i="9"/>
  <c r="AZ2996" i="9"/>
  <c r="AY2996" i="9"/>
  <c r="AX2996" i="9"/>
  <c r="AW2996" i="9"/>
  <c r="AZ2995" i="9"/>
  <c r="AY2995" i="9"/>
  <c r="AX2995" i="9"/>
  <c r="AW2995" i="9"/>
  <c r="AZ2994" i="9"/>
  <c r="AY2994" i="9"/>
  <c r="AX2994" i="9"/>
  <c r="AW2994" i="9"/>
  <c r="AZ2993" i="9"/>
  <c r="AY2993" i="9"/>
  <c r="AX2993" i="9"/>
  <c r="AW2993" i="9"/>
  <c r="AZ2992" i="9"/>
  <c r="AY2992" i="9"/>
  <c r="AX2992" i="9"/>
  <c r="AW2992" i="9"/>
  <c r="AZ2991" i="9"/>
  <c r="AY2991" i="9"/>
  <c r="AX2991" i="9"/>
  <c r="AW2991" i="9"/>
  <c r="AW2990" i="9"/>
  <c r="AX2990" i="9"/>
  <c r="AZ2990" i="9"/>
  <c r="AY2990" i="9"/>
  <c r="AZ2989" i="9"/>
  <c r="AX2989" i="9"/>
  <c r="AW2989" i="9"/>
  <c r="AY2989" i="9"/>
  <c r="AZ2988" i="9"/>
  <c r="AY2988" i="9"/>
  <c r="AX2988" i="9"/>
  <c r="AW2988" i="9"/>
  <c r="AY2987" i="9"/>
  <c r="AZ2987" i="9"/>
  <c r="AW2987" i="9"/>
  <c r="AX2987" i="9"/>
  <c r="AX2986" i="9"/>
  <c r="AW2986" i="9"/>
  <c r="AZ2986" i="9"/>
  <c r="AY2986" i="9"/>
  <c r="AW2985" i="9"/>
  <c r="AX2985" i="9"/>
  <c r="AY2985" i="9"/>
  <c r="AZ2985" i="9"/>
  <c r="AZ2984" i="9"/>
  <c r="AW2984" i="9"/>
  <c r="AX2984" i="9"/>
  <c r="AY2984" i="9"/>
  <c r="AW2983" i="9"/>
  <c r="AX2983" i="9"/>
  <c r="AY2983" i="9"/>
  <c r="AZ2983" i="9"/>
  <c r="AZ2982" i="9"/>
  <c r="AY2982" i="9"/>
  <c r="AX2982" i="9"/>
  <c r="AW2982" i="9"/>
  <c r="AZ2981" i="9"/>
  <c r="AX2981" i="9"/>
  <c r="AW2981" i="9"/>
  <c r="AY2981" i="9"/>
  <c r="AZ2980" i="9"/>
  <c r="AW2980" i="9"/>
  <c r="AX2980" i="9"/>
  <c r="AY2980" i="9"/>
  <c r="AX2979" i="9"/>
  <c r="AW2979" i="9"/>
  <c r="AY2979" i="9"/>
  <c r="AZ2979" i="9"/>
  <c r="AX2978" i="9"/>
  <c r="AY2978" i="9"/>
  <c r="AZ2978" i="9"/>
  <c r="AW2978" i="9"/>
  <c r="AW2977" i="9"/>
  <c r="AX2977" i="9"/>
  <c r="AY2977" i="9"/>
  <c r="AZ2977" i="9"/>
  <c r="AX2976" i="9"/>
  <c r="AY2976" i="9"/>
  <c r="AW2976" i="9"/>
  <c r="AZ2976" i="9"/>
  <c r="AX2975" i="9"/>
  <c r="AW2975" i="9"/>
  <c r="AZ2975" i="9"/>
  <c r="AY2975" i="9"/>
  <c r="AX2974" i="9"/>
  <c r="AY2974" i="9"/>
  <c r="AZ2974" i="9"/>
  <c r="AW2974" i="9"/>
  <c r="AZ2973" i="9"/>
  <c r="AY2973" i="9"/>
  <c r="AX2973" i="9"/>
  <c r="AW2973" i="9"/>
  <c r="AW2972" i="9"/>
  <c r="AY2972" i="9"/>
  <c r="AX2972" i="9"/>
  <c r="AZ2972" i="9"/>
  <c r="AZ2971" i="9"/>
  <c r="AW2971" i="9"/>
  <c r="AX2971" i="9"/>
  <c r="AY2971" i="9"/>
  <c r="AX2970" i="9"/>
  <c r="AW2970" i="9"/>
  <c r="AY2970" i="9"/>
  <c r="AZ2970" i="9"/>
  <c r="AZ2969" i="9"/>
  <c r="AY2969" i="9"/>
  <c r="AX2969" i="9"/>
  <c r="AW2969" i="9"/>
  <c r="AZ2968" i="9"/>
  <c r="AW2968" i="9"/>
  <c r="AX2968" i="9"/>
  <c r="AY2968" i="9"/>
  <c r="AZ2967" i="9"/>
  <c r="AW2967" i="9"/>
  <c r="AX2967" i="9"/>
  <c r="AY2967" i="9"/>
  <c r="AW2966" i="9"/>
  <c r="AY2966" i="9"/>
  <c r="AZ2966" i="9"/>
  <c r="AX2966" i="9"/>
  <c r="AX2965" i="9"/>
  <c r="AZ2965" i="9"/>
  <c r="AY2965" i="9"/>
  <c r="AW2965" i="9"/>
  <c r="AZ2964" i="9"/>
  <c r="AY2964" i="9"/>
  <c r="AX2964" i="9"/>
  <c r="AW2964" i="9"/>
  <c r="AW2963" i="9"/>
  <c r="AX2963" i="9"/>
  <c r="AY2963" i="9"/>
  <c r="AZ2963" i="9"/>
  <c r="AX2962" i="9"/>
  <c r="AZ2962" i="9"/>
  <c r="AY2962" i="9"/>
  <c r="AW2962" i="9"/>
  <c r="AX2961" i="9"/>
  <c r="AW2961" i="9"/>
  <c r="AY2961" i="9"/>
  <c r="AZ2961" i="9"/>
  <c r="AW2960" i="9"/>
  <c r="AX2960" i="9"/>
  <c r="AY2960" i="9"/>
  <c r="AZ2960" i="9"/>
  <c r="AY2959" i="9"/>
  <c r="AZ2959" i="9"/>
  <c r="AX2959" i="9"/>
  <c r="AW2959" i="9"/>
  <c r="AW2958" i="9"/>
  <c r="AX2958" i="9"/>
  <c r="AY2958" i="9"/>
  <c r="AZ2958" i="9"/>
  <c r="AW2957" i="9"/>
  <c r="AX2957" i="9"/>
  <c r="AY2957" i="9"/>
  <c r="AZ2957" i="9"/>
  <c r="AZ2956" i="9"/>
  <c r="AW2956" i="9"/>
  <c r="AX2956" i="9"/>
  <c r="AY2956" i="9"/>
  <c r="AW2955" i="9"/>
  <c r="AX2955" i="9"/>
  <c r="AY2955" i="9"/>
  <c r="AZ2955" i="9"/>
  <c r="AW2954" i="9"/>
  <c r="AX2954" i="9"/>
  <c r="AY2954" i="9"/>
  <c r="AZ2954" i="9"/>
  <c r="AX2953" i="9"/>
  <c r="AW2953" i="9"/>
  <c r="AZ2953" i="9"/>
  <c r="AY2953" i="9"/>
  <c r="AZ2952" i="9"/>
  <c r="AY2952" i="9"/>
  <c r="AX2952" i="9"/>
  <c r="AW2952" i="9"/>
  <c r="AZ2951" i="9"/>
  <c r="AY2951" i="9"/>
  <c r="AX2951" i="9"/>
  <c r="AW2951" i="9"/>
  <c r="AY2950" i="9"/>
  <c r="AX2950" i="9"/>
  <c r="AW2950" i="9"/>
  <c r="AZ2950" i="9"/>
  <c r="AZ2949" i="9"/>
  <c r="AY2949" i="9"/>
  <c r="AX2949" i="9"/>
  <c r="AW2949" i="9"/>
  <c r="AW2948" i="9"/>
  <c r="AZ2948" i="9"/>
  <c r="AY2948" i="9"/>
  <c r="AX2948" i="9"/>
  <c r="AZ2947" i="9"/>
  <c r="AY2947" i="9"/>
  <c r="AX2947" i="9"/>
  <c r="AW2947" i="9"/>
  <c r="AX2946" i="9"/>
  <c r="AZ2946" i="9"/>
  <c r="AY2946" i="9"/>
  <c r="AW2946" i="9"/>
  <c r="AZ2945" i="9"/>
  <c r="AY2945" i="9"/>
  <c r="AX2945" i="9"/>
  <c r="AW2945" i="9"/>
  <c r="AY2944" i="9"/>
  <c r="AX2944" i="9"/>
  <c r="AW2944" i="9"/>
  <c r="AZ2944" i="9"/>
  <c r="AW2943" i="9"/>
  <c r="AX2943" i="9"/>
  <c r="AY2943" i="9"/>
  <c r="AZ2943" i="9"/>
  <c r="AW2942" i="9"/>
  <c r="AX2942" i="9"/>
  <c r="AY2942" i="9"/>
  <c r="AZ2942" i="9"/>
  <c r="AY2941" i="9"/>
  <c r="AZ2941" i="9"/>
  <c r="AX2941" i="9"/>
  <c r="AW2941" i="9"/>
  <c r="AX2940" i="9"/>
  <c r="AZ2940" i="9"/>
  <c r="AY2940" i="9"/>
  <c r="AW2940" i="9"/>
  <c r="AZ2939" i="9"/>
  <c r="AY2939" i="9"/>
  <c r="AX2939" i="9"/>
  <c r="AW2939" i="9"/>
  <c r="AW2938" i="9"/>
  <c r="AX2938" i="9"/>
  <c r="AY2938" i="9"/>
  <c r="AZ2938" i="9"/>
  <c r="AX2937" i="9"/>
  <c r="AZ2937" i="9"/>
  <c r="AW2937" i="9"/>
  <c r="AY2937" i="9"/>
  <c r="AW2936" i="9"/>
  <c r="AX2936" i="9"/>
  <c r="AY2936" i="9"/>
  <c r="AZ2936" i="9"/>
  <c r="AZ2935" i="9"/>
  <c r="AY2935" i="9"/>
  <c r="AX2935" i="9"/>
  <c r="AW2935" i="9"/>
  <c r="AZ2934" i="9"/>
  <c r="AY2934" i="9"/>
  <c r="AX2934" i="9"/>
  <c r="AW2934" i="9"/>
  <c r="AZ2933" i="9"/>
  <c r="AY2933" i="9"/>
  <c r="AX2933" i="9"/>
  <c r="AW2933" i="9"/>
  <c r="AZ2932" i="9"/>
  <c r="AY2932" i="9"/>
  <c r="AW2932" i="9"/>
  <c r="AX2932" i="9"/>
  <c r="AZ2931" i="9"/>
  <c r="AY2931" i="9"/>
  <c r="AX2931" i="9"/>
  <c r="AW2931" i="9"/>
  <c r="AW2930" i="9"/>
  <c r="AZ2930" i="9"/>
  <c r="AY2930" i="9"/>
  <c r="AX2930" i="9"/>
  <c r="AZ2929" i="9"/>
  <c r="AY2929" i="9"/>
  <c r="AX2929" i="9"/>
  <c r="AW2929" i="9"/>
  <c r="AZ2928" i="9"/>
  <c r="AY2928" i="9"/>
  <c r="AX2928" i="9"/>
  <c r="AW2928" i="9"/>
  <c r="AZ2927" i="9"/>
  <c r="AY2927" i="9"/>
  <c r="AX2927" i="9"/>
  <c r="AW2927" i="9"/>
  <c r="AX2926" i="9"/>
  <c r="AZ2926" i="9"/>
  <c r="AW2926" i="9"/>
  <c r="AY2926" i="9"/>
  <c r="AW2925" i="9"/>
  <c r="AX2925" i="9"/>
  <c r="AY2925" i="9"/>
  <c r="AZ2925" i="9"/>
  <c r="AX2924" i="9"/>
  <c r="AY2924" i="9"/>
  <c r="AZ2924" i="9"/>
  <c r="AW2924" i="9"/>
  <c r="AZ2923" i="9"/>
  <c r="AY2923" i="9"/>
  <c r="AX2923" i="9"/>
  <c r="AW2923" i="9"/>
  <c r="AZ2922" i="9"/>
  <c r="AY2922" i="9"/>
  <c r="AX2922" i="9"/>
  <c r="AW2922" i="9"/>
  <c r="AZ2921" i="9"/>
  <c r="AY2921" i="9"/>
  <c r="AX2921" i="9"/>
  <c r="AW2921" i="9"/>
  <c r="AX2920" i="9"/>
  <c r="AZ2920" i="9"/>
  <c r="AY2920" i="9"/>
  <c r="AW2920" i="9"/>
  <c r="AZ2919" i="9"/>
  <c r="AY2919" i="9"/>
  <c r="AX2919" i="9"/>
  <c r="AW2919" i="9"/>
  <c r="AY2918" i="9"/>
  <c r="AZ2918" i="9"/>
  <c r="AX2918" i="9"/>
  <c r="AW2918" i="9"/>
  <c r="AZ2917" i="9"/>
  <c r="AY2917" i="9"/>
  <c r="AX2917" i="9"/>
  <c r="AW2917" i="9"/>
  <c r="AZ2916" i="9"/>
  <c r="AY2916" i="9"/>
  <c r="AX2916" i="9"/>
  <c r="AW2916" i="9"/>
  <c r="AW2915" i="9"/>
  <c r="AY2915" i="9"/>
  <c r="AX2915" i="9"/>
  <c r="AZ2915" i="9"/>
  <c r="AW2914" i="9"/>
  <c r="AX2914" i="9"/>
  <c r="AY2914" i="9"/>
  <c r="AZ2914" i="9"/>
  <c r="AY2913" i="9"/>
  <c r="AZ2913" i="9"/>
  <c r="AW2913" i="9"/>
  <c r="AX2913" i="9"/>
  <c r="AX2912" i="9"/>
  <c r="AY2912" i="9"/>
  <c r="AZ2912" i="9"/>
  <c r="AW2912" i="9"/>
  <c r="AZ2911" i="9"/>
  <c r="AY2911" i="9"/>
  <c r="AX2911" i="9"/>
  <c r="AW2911" i="9"/>
  <c r="AW2910" i="9"/>
  <c r="AZ2910" i="9"/>
  <c r="AY2910" i="9"/>
  <c r="AX2910" i="9"/>
  <c r="AW2909" i="9"/>
  <c r="AZ2909" i="9"/>
  <c r="AY2909" i="9"/>
  <c r="AX2909" i="9"/>
  <c r="AY2908" i="9"/>
  <c r="AX2908" i="9"/>
  <c r="AW2908" i="9"/>
  <c r="AZ2908" i="9"/>
  <c r="AZ2907" i="9"/>
  <c r="AY2907" i="9"/>
  <c r="AX2907" i="9"/>
  <c r="AW2907" i="9"/>
  <c r="AW2906" i="9"/>
  <c r="AZ2906" i="9"/>
  <c r="AY2906" i="9"/>
  <c r="AX2906" i="9"/>
  <c r="AZ2905" i="9"/>
  <c r="AY2905" i="9"/>
  <c r="AX2905" i="9"/>
  <c r="AW2905" i="9"/>
  <c r="AZ2904" i="9"/>
  <c r="AW2904" i="9"/>
  <c r="AY2904" i="9"/>
  <c r="AX2904" i="9"/>
  <c r="AZ2903" i="9"/>
  <c r="AY2903" i="9"/>
  <c r="AX2903" i="9"/>
  <c r="AW2903" i="9"/>
  <c r="AX2902" i="9"/>
  <c r="AW2902" i="9"/>
  <c r="AZ2902" i="9"/>
  <c r="AY2902" i="9"/>
  <c r="AW2901" i="9"/>
  <c r="AX2901" i="9"/>
  <c r="AZ2901" i="9"/>
  <c r="AY2901" i="9"/>
  <c r="AW2900" i="9"/>
  <c r="AX2900" i="9"/>
  <c r="AY2900" i="9"/>
  <c r="AZ2900" i="9"/>
  <c r="AW2899" i="9"/>
  <c r="AX2899" i="9"/>
  <c r="AY2899" i="9"/>
  <c r="AZ2899" i="9"/>
  <c r="AZ2898" i="9"/>
  <c r="AY2898" i="9"/>
  <c r="AX2898" i="9"/>
  <c r="AW2898" i="9"/>
  <c r="AZ2897" i="9"/>
  <c r="AY2897" i="9"/>
  <c r="AX2897" i="9"/>
  <c r="AW2897" i="9"/>
  <c r="AW2896" i="9"/>
  <c r="AZ2896" i="9"/>
  <c r="AY2896" i="9"/>
  <c r="AX2896" i="9"/>
  <c r="AW2895" i="9"/>
  <c r="AX2895" i="9"/>
  <c r="AY2895" i="9"/>
  <c r="AZ2895" i="9"/>
  <c r="AY2894" i="9"/>
  <c r="AZ2894" i="9"/>
  <c r="AW2894" i="9"/>
  <c r="AX2894" i="9"/>
  <c r="AW2893" i="9"/>
  <c r="AX2893" i="9"/>
  <c r="AY2893" i="9"/>
  <c r="AZ2893" i="9"/>
  <c r="AW2892" i="9"/>
  <c r="AZ2892" i="9"/>
  <c r="AY2892" i="9"/>
  <c r="AX2892" i="9"/>
  <c r="AY2891" i="9"/>
  <c r="AZ2891" i="9"/>
  <c r="AX2891" i="9"/>
  <c r="AW2891" i="9"/>
  <c r="AZ2890" i="9"/>
  <c r="AY2890" i="9"/>
  <c r="AX2890" i="9"/>
  <c r="AW2890" i="9"/>
  <c r="AW2889" i="9"/>
  <c r="AY2889" i="9"/>
  <c r="AX2889" i="9"/>
  <c r="AZ2889" i="9"/>
  <c r="AW2888" i="9"/>
  <c r="AZ2888" i="9"/>
  <c r="AY2888" i="9"/>
  <c r="AX2888" i="9"/>
  <c r="AZ2887" i="9"/>
  <c r="AY2887" i="9"/>
  <c r="AX2887" i="9"/>
  <c r="AW2887" i="9"/>
  <c r="AX2886" i="9"/>
  <c r="AW2886" i="9"/>
  <c r="AZ2886" i="9"/>
  <c r="AY2886" i="9"/>
  <c r="AZ2885" i="9"/>
  <c r="AY2885" i="9"/>
  <c r="AX2885" i="9"/>
  <c r="AW2885" i="9"/>
  <c r="AW2884" i="9"/>
  <c r="AY2884" i="9"/>
  <c r="AX2884" i="9"/>
  <c r="AZ2884" i="9"/>
  <c r="AY2883" i="9"/>
  <c r="AX2883" i="9"/>
  <c r="AW2883" i="9"/>
  <c r="AZ2883" i="9"/>
  <c r="AZ2882" i="9"/>
  <c r="AY2882" i="9"/>
  <c r="AX2882" i="9"/>
  <c r="AW2882" i="9"/>
  <c r="AZ2881" i="9"/>
  <c r="AY2881" i="9"/>
  <c r="AX2881" i="9"/>
  <c r="AW2881" i="9"/>
  <c r="AW2880" i="9"/>
  <c r="AY2880" i="9"/>
  <c r="AX2880" i="9"/>
  <c r="AZ2880" i="9"/>
  <c r="AZ2879" i="9"/>
  <c r="AW2879" i="9"/>
  <c r="AY2879" i="9"/>
  <c r="AX2879" i="9"/>
  <c r="AZ2878" i="9"/>
  <c r="AY2878" i="9"/>
  <c r="AX2878" i="9"/>
  <c r="AW2878" i="9"/>
  <c r="AY2877" i="9"/>
  <c r="AZ2877" i="9"/>
  <c r="AW2877" i="9"/>
  <c r="AX2877" i="9"/>
  <c r="AW2876" i="9"/>
  <c r="AX2876" i="9"/>
  <c r="AY2876" i="9"/>
  <c r="AZ2876" i="9"/>
  <c r="AW2875" i="9"/>
  <c r="AX2875" i="9"/>
  <c r="AY2875" i="9"/>
  <c r="AZ2875" i="9"/>
  <c r="AW2874" i="9"/>
  <c r="AX2874" i="9"/>
  <c r="AY2874" i="9"/>
  <c r="AZ2874" i="9"/>
  <c r="AW2873" i="9"/>
  <c r="AY2873" i="9"/>
  <c r="AX2873" i="9"/>
  <c r="AZ2873" i="9"/>
  <c r="AW2872" i="9"/>
  <c r="AX2872" i="9"/>
  <c r="AY2872" i="9"/>
  <c r="AZ2872" i="9"/>
  <c r="AW2871" i="9"/>
  <c r="AX2871" i="9"/>
  <c r="AY2871" i="9"/>
  <c r="AZ2871" i="9"/>
  <c r="AW2870" i="9"/>
  <c r="AZ2870" i="9"/>
  <c r="AY2870" i="9"/>
  <c r="AX2870" i="9"/>
  <c r="AZ2869" i="9"/>
  <c r="AX2869" i="9"/>
  <c r="AW2869" i="9"/>
  <c r="AY2869" i="9"/>
  <c r="AY2868" i="9"/>
  <c r="AX2868" i="9"/>
  <c r="AW2868" i="9"/>
  <c r="AZ2868" i="9"/>
  <c r="AZ2867" i="9"/>
  <c r="AY2867" i="9"/>
  <c r="AX2867" i="9"/>
  <c r="AW2867" i="9"/>
  <c r="AZ2866" i="9"/>
  <c r="AW2866" i="9"/>
  <c r="AX2866" i="9"/>
  <c r="AY2866" i="9"/>
  <c r="AW2865" i="9"/>
  <c r="AX2865" i="9"/>
  <c r="AY2865" i="9"/>
  <c r="AZ2865" i="9"/>
  <c r="AW2864" i="9"/>
  <c r="AX2864" i="9"/>
  <c r="AY2864" i="9"/>
  <c r="AZ2864" i="9"/>
  <c r="AZ2863" i="9"/>
  <c r="AY2863" i="9"/>
  <c r="AX2863" i="9"/>
  <c r="AW2863" i="9"/>
  <c r="AW2862" i="9"/>
  <c r="AZ2862" i="9"/>
  <c r="AX2862" i="9"/>
  <c r="AY2862" i="9"/>
  <c r="AX2861" i="9"/>
  <c r="AW2861" i="9"/>
  <c r="AY2861" i="9"/>
  <c r="AZ2861" i="9"/>
  <c r="AW2860" i="9"/>
  <c r="AX2860" i="9"/>
  <c r="AY2860" i="9"/>
  <c r="AZ2860" i="9"/>
  <c r="AW2859" i="9"/>
  <c r="AX2859" i="9"/>
  <c r="AZ2859" i="9"/>
  <c r="AY2859" i="9"/>
  <c r="AX2858" i="9"/>
  <c r="AW2858" i="9"/>
  <c r="AY2858" i="9"/>
  <c r="AZ2858" i="9"/>
  <c r="AZ2857" i="9"/>
  <c r="AY2857" i="9"/>
  <c r="AX2857" i="9"/>
  <c r="AW2857" i="9"/>
  <c r="AZ2856" i="9"/>
  <c r="AY2856" i="9"/>
  <c r="AX2856" i="9"/>
  <c r="AW2856" i="9"/>
  <c r="AZ2855" i="9"/>
  <c r="AY2855" i="9"/>
  <c r="AX2855" i="9"/>
  <c r="AW2855" i="9"/>
  <c r="AZ2854" i="9"/>
  <c r="AW2854" i="9"/>
  <c r="AX2854" i="9"/>
  <c r="AY2854" i="9"/>
  <c r="AW2853" i="9"/>
  <c r="AX2853" i="9"/>
  <c r="AY2853" i="9"/>
  <c r="AZ2853" i="9"/>
  <c r="AZ2852" i="9"/>
  <c r="AY2852" i="9"/>
  <c r="AX2852" i="9"/>
  <c r="AW2852" i="9"/>
  <c r="AZ2851" i="9"/>
  <c r="AY2851" i="9"/>
  <c r="AX2851" i="9"/>
  <c r="AW2851" i="9"/>
  <c r="AZ2850" i="9"/>
  <c r="AY2850" i="9"/>
  <c r="AW2850" i="9"/>
  <c r="AX2850" i="9"/>
  <c r="AZ2849" i="9"/>
  <c r="AY2849" i="9"/>
  <c r="AX2849" i="9"/>
  <c r="AW2849" i="9"/>
  <c r="AZ2848" i="9"/>
  <c r="AY2848" i="9"/>
  <c r="AX2848" i="9"/>
  <c r="AW2848" i="9"/>
  <c r="AZ2847" i="9"/>
  <c r="AY2847" i="9"/>
  <c r="AX2847" i="9"/>
  <c r="AW2847" i="9"/>
  <c r="AW2846" i="9"/>
  <c r="AX2846" i="9"/>
  <c r="AZ2846" i="9"/>
  <c r="AY2846" i="9"/>
  <c r="AZ2845" i="9"/>
  <c r="AY2845" i="9"/>
  <c r="AX2845" i="9"/>
  <c r="AW2845" i="9"/>
  <c r="AY2844" i="9"/>
  <c r="AX2844" i="9"/>
  <c r="AW2844" i="9"/>
  <c r="AZ2844" i="9"/>
  <c r="AZ2843" i="9"/>
  <c r="AX2843" i="9"/>
  <c r="AW2843" i="9"/>
  <c r="AY2843" i="9"/>
  <c r="AZ2842" i="9"/>
  <c r="AY2842" i="9"/>
  <c r="AX2842" i="9"/>
  <c r="AW2842" i="9"/>
  <c r="AW2841" i="9"/>
  <c r="AZ2841" i="9"/>
  <c r="AY2841" i="9"/>
  <c r="AX2841" i="9"/>
  <c r="AX2840" i="9"/>
  <c r="AY2840" i="9"/>
  <c r="AW2840" i="9"/>
  <c r="AZ2840" i="9"/>
  <c r="AZ2839" i="9"/>
  <c r="AY2839" i="9"/>
  <c r="AX2839" i="9"/>
  <c r="AW2839" i="9"/>
  <c r="AY2838" i="9"/>
  <c r="AZ2838" i="9"/>
  <c r="AX2838" i="9"/>
  <c r="AW2838" i="9"/>
  <c r="AW2837" i="9"/>
  <c r="AX2837" i="9"/>
  <c r="AY2837" i="9"/>
  <c r="AZ2837" i="9"/>
  <c r="AZ2836" i="9"/>
  <c r="AW2836" i="9"/>
  <c r="AX2836" i="9"/>
  <c r="AY2836" i="9"/>
  <c r="AW2835" i="9"/>
  <c r="AX2835" i="9"/>
  <c r="AY2835" i="9"/>
  <c r="AZ2835" i="9"/>
  <c r="AW2834" i="9"/>
  <c r="AX2834" i="9"/>
  <c r="AY2834" i="9"/>
  <c r="AZ2834" i="9"/>
  <c r="AW2833" i="9"/>
  <c r="AX2833" i="9"/>
  <c r="AY2833" i="9"/>
  <c r="AZ2833" i="9"/>
  <c r="AW2832" i="9"/>
  <c r="AX2832" i="9"/>
  <c r="AY2832" i="9"/>
  <c r="AZ2832" i="9"/>
  <c r="AZ2831" i="9"/>
  <c r="AY2831" i="9"/>
  <c r="AX2831" i="9"/>
  <c r="AW2831" i="9"/>
  <c r="AZ2830" i="9"/>
  <c r="AY2830" i="9"/>
  <c r="AX2830" i="9"/>
  <c r="AW2830" i="9"/>
  <c r="AY2829" i="9"/>
  <c r="AZ2829" i="9"/>
  <c r="AW2829" i="9"/>
  <c r="AX2829" i="9"/>
  <c r="AZ2828" i="9"/>
  <c r="AY2828" i="9"/>
  <c r="AX2828" i="9"/>
  <c r="AW2828" i="9"/>
  <c r="AZ2827" i="9"/>
  <c r="AY2827" i="9"/>
  <c r="AX2827" i="9"/>
  <c r="AW2827" i="9"/>
  <c r="AY2826" i="9"/>
  <c r="AZ2826" i="9"/>
  <c r="AX2826" i="9"/>
  <c r="AW2826" i="9"/>
  <c r="AY2825" i="9"/>
  <c r="AZ2825" i="9"/>
  <c r="AW2825" i="9"/>
  <c r="AX2825" i="9"/>
  <c r="AW2824" i="9"/>
  <c r="AX2824" i="9"/>
  <c r="AY2824" i="9"/>
  <c r="AZ2824" i="9"/>
  <c r="AW2823" i="9"/>
  <c r="AX2823" i="9"/>
  <c r="AY2823" i="9"/>
  <c r="AZ2823" i="9"/>
  <c r="AZ2822" i="9"/>
  <c r="AY2822" i="9"/>
  <c r="AX2822" i="9"/>
  <c r="AW2822" i="9"/>
  <c r="AW2821" i="9"/>
  <c r="AX2821" i="9"/>
  <c r="AY2821" i="9"/>
  <c r="AZ2821" i="9"/>
  <c r="AX2820" i="9"/>
  <c r="AY2820" i="9"/>
  <c r="AZ2820" i="9"/>
  <c r="AW2820" i="9"/>
  <c r="AZ2819" i="9"/>
  <c r="AY2819" i="9"/>
  <c r="AW2819" i="9"/>
  <c r="AX2819" i="9"/>
  <c r="AX2818" i="9"/>
  <c r="AW2818" i="9"/>
  <c r="AY2818" i="9"/>
  <c r="AZ2818" i="9"/>
  <c r="AW2817" i="9"/>
  <c r="AX2817" i="9"/>
  <c r="AZ2817" i="9"/>
  <c r="AY2817" i="9"/>
  <c r="AZ2816" i="9"/>
  <c r="AW2816" i="9"/>
  <c r="AX2816" i="9"/>
  <c r="AY2816" i="9"/>
  <c r="AW2815" i="9"/>
  <c r="AX2815" i="9"/>
  <c r="AY2815" i="9"/>
  <c r="AZ2815" i="9"/>
  <c r="AX2814" i="9"/>
  <c r="AW2814" i="9"/>
  <c r="AZ2814" i="9"/>
  <c r="AY2814" i="9"/>
  <c r="AW2813" i="9"/>
  <c r="AZ2813" i="9"/>
  <c r="AY2813" i="9"/>
  <c r="AX2813" i="9"/>
  <c r="AZ2812" i="9"/>
  <c r="AW2812" i="9"/>
  <c r="AX2812" i="9"/>
  <c r="AY2812" i="9"/>
  <c r="AW2811" i="9"/>
  <c r="AX2811" i="9"/>
  <c r="AY2811" i="9"/>
  <c r="AZ2811" i="9"/>
  <c r="AX2810" i="9"/>
  <c r="AY2810" i="9"/>
  <c r="AZ2810" i="9"/>
  <c r="AW2810" i="9"/>
  <c r="AZ2809" i="9"/>
  <c r="AY2809" i="9"/>
  <c r="AX2809" i="9"/>
  <c r="AW2809" i="9"/>
  <c r="AZ2808" i="9"/>
  <c r="AW2808" i="9"/>
  <c r="AX2808" i="9"/>
  <c r="AY2808" i="9"/>
  <c r="AY2807" i="9"/>
  <c r="AZ2807" i="9"/>
  <c r="AW2807" i="9"/>
  <c r="AX2807" i="9"/>
  <c r="AY2806" i="9"/>
  <c r="AW2806" i="9"/>
  <c r="AX2806" i="9"/>
  <c r="AZ2806" i="9"/>
  <c r="AW2805" i="9"/>
  <c r="AX2805" i="9"/>
  <c r="AY2805" i="9"/>
  <c r="AZ2805" i="9"/>
  <c r="AX2804" i="9"/>
  <c r="AZ2804" i="9"/>
  <c r="AY2804" i="9"/>
  <c r="AW2804" i="9"/>
  <c r="AX2803" i="9"/>
  <c r="AY2803" i="9"/>
  <c r="AZ2803" i="9"/>
  <c r="AW2803" i="9"/>
  <c r="AW2802" i="9"/>
  <c r="AX2802" i="9"/>
  <c r="AY2802" i="9"/>
  <c r="AZ2802" i="9"/>
  <c r="AW2801" i="9"/>
  <c r="AY2801" i="9"/>
  <c r="AZ2801" i="9"/>
  <c r="AX2801" i="9"/>
  <c r="AX2800" i="9"/>
  <c r="AW2800" i="9"/>
  <c r="AZ2800" i="9"/>
  <c r="AY2800" i="9"/>
  <c r="AZ2799" i="9"/>
  <c r="AY2799" i="9"/>
  <c r="AX2799" i="9"/>
  <c r="AW2799" i="9"/>
  <c r="AY2798" i="9"/>
  <c r="AZ2798" i="9"/>
  <c r="AX2798" i="9"/>
  <c r="AW2798" i="9"/>
  <c r="AW2797" i="9"/>
  <c r="AX2797" i="9"/>
  <c r="AZ2797" i="9"/>
  <c r="AY2797" i="9"/>
  <c r="AW2796" i="9"/>
  <c r="AX2796" i="9"/>
  <c r="AZ2796" i="9"/>
  <c r="AY2796" i="9"/>
  <c r="AW2795" i="9"/>
  <c r="AX2795" i="9"/>
  <c r="AZ2795" i="9"/>
  <c r="AY2795" i="9"/>
  <c r="AZ2794" i="9"/>
  <c r="AY2794" i="9"/>
  <c r="AX2794" i="9"/>
  <c r="AW2794" i="9"/>
  <c r="AZ2793" i="9"/>
  <c r="AX2793" i="9"/>
  <c r="AW2793" i="9"/>
  <c r="AY2793" i="9"/>
  <c r="AZ2792" i="9"/>
  <c r="AY2792" i="9"/>
  <c r="AX2792" i="9"/>
  <c r="AW2792" i="9"/>
  <c r="AY2791" i="9"/>
  <c r="AX2791" i="9"/>
  <c r="AW2791" i="9"/>
  <c r="AZ2791" i="9"/>
  <c r="AY2790" i="9"/>
  <c r="AZ2790" i="9"/>
  <c r="AX2790" i="9"/>
  <c r="AW2790" i="9"/>
  <c r="AX2789" i="9"/>
  <c r="AY2789" i="9"/>
  <c r="AZ2789" i="9"/>
  <c r="AW2789" i="9"/>
  <c r="AX2788" i="9"/>
  <c r="AZ2788" i="9"/>
  <c r="AY2788" i="9"/>
  <c r="AW2788" i="9"/>
  <c r="AZ2787" i="9"/>
  <c r="AY2787" i="9"/>
  <c r="AX2787" i="9"/>
  <c r="AW2787" i="9"/>
  <c r="AZ2786" i="9"/>
  <c r="AY2786" i="9"/>
  <c r="AX2786" i="9"/>
  <c r="AW2786" i="9"/>
  <c r="AY2785" i="9"/>
  <c r="AZ2785" i="9"/>
  <c r="AX2785" i="9"/>
  <c r="AW2785" i="9"/>
  <c r="AW2784" i="9"/>
  <c r="AX2784" i="9"/>
  <c r="AY2784" i="9"/>
  <c r="AZ2784" i="9"/>
  <c r="AW2783" i="9"/>
  <c r="AX2783" i="9"/>
  <c r="AY2783" i="9"/>
  <c r="AZ2783" i="9"/>
  <c r="AW2782" i="9"/>
  <c r="AX2782" i="9"/>
  <c r="AY2782" i="9"/>
  <c r="AZ2782" i="9"/>
  <c r="AY2781" i="9"/>
  <c r="AZ2781" i="9"/>
  <c r="AX2781" i="9"/>
  <c r="AW2781" i="9"/>
  <c r="AW2780" i="9"/>
  <c r="AZ2780" i="9"/>
  <c r="AY2780" i="9"/>
  <c r="AX2780" i="9"/>
  <c r="AZ2779" i="9"/>
  <c r="AY2779" i="9"/>
  <c r="AX2779" i="9"/>
  <c r="AW2779" i="9"/>
  <c r="AW2778" i="9"/>
  <c r="AY2778" i="9"/>
  <c r="AZ2778" i="9"/>
  <c r="AX2778" i="9"/>
  <c r="AY2777" i="9"/>
  <c r="AZ2777" i="9"/>
  <c r="AX2777" i="9"/>
  <c r="AW2777" i="9"/>
  <c r="AW2776" i="9"/>
  <c r="AZ2776" i="9"/>
  <c r="AY2776" i="9"/>
  <c r="AX2776" i="9"/>
  <c r="AZ2775" i="9"/>
  <c r="AY2775" i="9"/>
  <c r="AW2775" i="9"/>
  <c r="AX2775" i="9"/>
  <c r="AZ2774" i="9"/>
  <c r="AY2774" i="9"/>
  <c r="AX2774" i="9"/>
  <c r="AW2774" i="9"/>
  <c r="AY2773" i="9"/>
  <c r="AX2773" i="9"/>
  <c r="AZ2773" i="9"/>
  <c r="AW2773" i="9"/>
  <c r="AX2772" i="9"/>
  <c r="AW2772" i="9"/>
  <c r="AZ2772" i="9"/>
  <c r="AY2772" i="9"/>
  <c r="AX2771" i="9"/>
  <c r="AY2771" i="9"/>
  <c r="AZ2771" i="9"/>
  <c r="AW2771" i="9"/>
  <c r="AZ2770" i="9"/>
  <c r="AY2770" i="9"/>
  <c r="AX2770" i="9"/>
  <c r="AW2770" i="9"/>
  <c r="AY2769" i="9"/>
  <c r="AZ2769" i="9"/>
  <c r="AX2769" i="9"/>
  <c r="AW2769" i="9"/>
  <c r="AW2768" i="9"/>
  <c r="AZ2768" i="9"/>
  <c r="AY2768" i="9"/>
  <c r="AX2768" i="9"/>
  <c r="AZ2767" i="9"/>
  <c r="AY2767" i="9"/>
  <c r="AX2767" i="9"/>
  <c r="AW2767" i="9"/>
  <c r="AZ2766" i="9"/>
  <c r="AY2766" i="9"/>
  <c r="AX2766" i="9"/>
  <c r="AW2766" i="9"/>
  <c r="AZ2765" i="9"/>
  <c r="AY2765" i="9"/>
  <c r="AX2765" i="9"/>
  <c r="AW2765" i="9"/>
  <c r="AY2764" i="9"/>
  <c r="AZ2764" i="9"/>
  <c r="AX2764" i="9"/>
  <c r="AW2764" i="9"/>
  <c r="AW2763" i="9"/>
  <c r="AZ2763" i="9"/>
  <c r="AY2763" i="9"/>
  <c r="AX2763" i="9"/>
  <c r="AZ2762" i="9"/>
  <c r="AY2762" i="9"/>
  <c r="AX2762" i="9"/>
  <c r="AW2762" i="9"/>
  <c r="AZ2761" i="9"/>
  <c r="AY2761" i="9"/>
  <c r="AX2761" i="9"/>
  <c r="AW2761" i="9"/>
  <c r="AZ2760" i="9"/>
  <c r="AY2760" i="9"/>
  <c r="AX2760" i="9"/>
  <c r="AW2760" i="9"/>
  <c r="AZ2759" i="9"/>
  <c r="AY2759" i="9"/>
  <c r="AX2759" i="9"/>
  <c r="AW2759" i="9"/>
  <c r="AZ2758" i="9"/>
  <c r="AY2758" i="9"/>
  <c r="AX2758" i="9"/>
  <c r="AW2758" i="9"/>
  <c r="AZ2757" i="9"/>
  <c r="AY2757" i="9"/>
  <c r="AX2757" i="9"/>
  <c r="AW2757" i="9"/>
  <c r="AZ2756" i="9"/>
  <c r="AY2756" i="9"/>
  <c r="AX2756" i="9"/>
  <c r="AW2756" i="9"/>
  <c r="AZ2755" i="9"/>
  <c r="AY2755" i="9"/>
  <c r="AX2755" i="9"/>
  <c r="AW2755" i="9"/>
  <c r="AZ2754" i="9"/>
  <c r="AY2754" i="9"/>
  <c r="AX2754" i="9"/>
  <c r="AW2754" i="9"/>
  <c r="AZ2753" i="9"/>
  <c r="AY2753" i="9"/>
  <c r="AX2753" i="9"/>
  <c r="AW2753" i="9"/>
  <c r="AZ2752" i="9"/>
  <c r="AY2752" i="9"/>
  <c r="AX2752" i="9"/>
  <c r="AW2752" i="9"/>
  <c r="AZ2751" i="9"/>
  <c r="AY2751" i="9"/>
  <c r="AX2751" i="9"/>
  <c r="AW2751" i="9"/>
  <c r="AZ2750" i="9"/>
  <c r="AY2750" i="9"/>
  <c r="AX2750" i="9"/>
  <c r="AW2750" i="9"/>
  <c r="AZ2749" i="9"/>
  <c r="AY2749" i="9"/>
  <c r="AX2749" i="9"/>
  <c r="AW2749" i="9"/>
  <c r="AZ2748" i="9"/>
  <c r="AY2748" i="9"/>
  <c r="AX2748" i="9"/>
  <c r="AW2748" i="9"/>
  <c r="AZ2747" i="9"/>
  <c r="AY2747" i="9"/>
  <c r="AX2747" i="9"/>
  <c r="AW2747" i="9"/>
  <c r="AZ2746" i="9"/>
  <c r="AY2746" i="9"/>
  <c r="AX2746" i="9"/>
  <c r="AW2746" i="9"/>
  <c r="AZ2745" i="9"/>
  <c r="AY2745" i="9"/>
  <c r="AX2745" i="9"/>
  <c r="AW2745" i="9"/>
  <c r="AW2744" i="9"/>
  <c r="AZ2744" i="9"/>
  <c r="AY2744" i="9"/>
  <c r="AX2744" i="9"/>
  <c r="AW2743" i="9"/>
  <c r="AX2743" i="9"/>
  <c r="AZ2743" i="9"/>
  <c r="AY2743" i="9"/>
  <c r="AY2742" i="9"/>
  <c r="AW2742" i="9"/>
  <c r="AZ2742" i="9"/>
  <c r="AX2742" i="9"/>
  <c r="AW2741" i="9"/>
  <c r="AZ2741" i="9"/>
  <c r="AY2741" i="9"/>
  <c r="AX2741" i="9"/>
  <c r="AW2740" i="9"/>
  <c r="AZ2740" i="9"/>
  <c r="AY2740" i="9"/>
  <c r="AX2740" i="9"/>
  <c r="AX2739" i="9"/>
  <c r="AY2739" i="9"/>
  <c r="AZ2739" i="9"/>
  <c r="AW2739" i="9"/>
  <c r="AX2738" i="9"/>
  <c r="AW2738" i="9"/>
  <c r="AY2738" i="9"/>
  <c r="AZ2738" i="9"/>
  <c r="AW2737" i="9"/>
  <c r="AX2737" i="9"/>
  <c r="AY2737" i="9"/>
  <c r="AZ2737" i="9"/>
  <c r="AY2736" i="9"/>
  <c r="AZ2736" i="9"/>
  <c r="AW2736" i="9"/>
  <c r="AX2736" i="9"/>
  <c r="AZ2735" i="9"/>
  <c r="AY2735" i="9"/>
  <c r="AX2735" i="9"/>
  <c r="AW2735" i="9"/>
  <c r="AZ2734" i="9"/>
  <c r="AY2734" i="9"/>
  <c r="AW2734" i="9"/>
  <c r="AX2734" i="9"/>
  <c r="AZ2733" i="9"/>
  <c r="AY2733" i="9"/>
  <c r="AX2733" i="9"/>
  <c r="AW2733" i="9"/>
  <c r="AX2732" i="9"/>
  <c r="AY2732" i="9"/>
  <c r="AZ2732" i="9"/>
  <c r="AW2732" i="9"/>
  <c r="AY2731" i="9"/>
  <c r="AZ2731" i="9"/>
  <c r="AX2731" i="9"/>
  <c r="AW2731" i="9"/>
  <c r="AX2730" i="9"/>
  <c r="AW2730" i="9"/>
  <c r="AZ2730" i="9"/>
  <c r="AY2730" i="9"/>
  <c r="AZ2729" i="9"/>
  <c r="AY2729" i="9"/>
  <c r="AX2729" i="9"/>
  <c r="AW2729" i="9"/>
  <c r="AX2728" i="9"/>
  <c r="AW2728" i="9"/>
  <c r="AY2728" i="9"/>
  <c r="AZ2728" i="9"/>
  <c r="AZ2727" i="9"/>
  <c r="AY2727" i="9"/>
  <c r="AX2727" i="9"/>
  <c r="AW2727" i="9"/>
  <c r="AZ2726" i="9"/>
  <c r="AY2726" i="9"/>
  <c r="AX2726" i="9"/>
  <c r="AW2726" i="9"/>
  <c r="AZ2725" i="9"/>
  <c r="AY2725" i="9"/>
  <c r="AX2725" i="9"/>
  <c r="AW2725" i="9"/>
  <c r="AW2724" i="9"/>
  <c r="AZ2724" i="9"/>
  <c r="AY2724" i="9"/>
  <c r="AX2724" i="9"/>
  <c r="AZ2723" i="9"/>
  <c r="AW2723" i="9"/>
  <c r="AX2723" i="9"/>
  <c r="AY2723" i="9"/>
  <c r="AZ2722" i="9"/>
  <c r="AW2722" i="9"/>
  <c r="AX2722" i="9"/>
  <c r="AY2722" i="9"/>
  <c r="AY2721" i="9"/>
  <c r="AW2721" i="9"/>
  <c r="AX2721" i="9"/>
  <c r="AZ2721" i="9"/>
  <c r="AX2720" i="9"/>
  <c r="AW2720" i="9"/>
  <c r="AY2720" i="9"/>
  <c r="AZ2720" i="9"/>
  <c r="AY2719" i="9"/>
  <c r="AW2719" i="9"/>
  <c r="AX2719" i="9"/>
  <c r="AZ2719" i="9"/>
  <c r="AZ2718" i="9"/>
  <c r="AY2718" i="9"/>
  <c r="AX2718" i="9"/>
  <c r="AW2718" i="9"/>
  <c r="AW2717" i="9"/>
  <c r="AY2717" i="9"/>
  <c r="AX2717" i="9"/>
  <c r="AZ2717" i="9"/>
  <c r="AZ2716" i="9"/>
  <c r="AY2716" i="9"/>
  <c r="AX2716" i="9"/>
  <c r="AW2716" i="9"/>
  <c r="AZ2715" i="9"/>
  <c r="AX2715" i="9"/>
  <c r="AY2715" i="9"/>
  <c r="AW2715" i="9"/>
  <c r="AX2714" i="9"/>
  <c r="AY2714" i="9"/>
  <c r="AZ2714" i="9"/>
  <c r="AW2714" i="9"/>
  <c r="AZ2713" i="9"/>
  <c r="AY2713" i="9"/>
  <c r="AX2713" i="9"/>
  <c r="AW2713" i="9"/>
  <c r="AZ2712" i="9"/>
  <c r="AY2712" i="9"/>
  <c r="AX2712" i="9"/>
  <c r="AW2712" i="9"/>
  <c r="AY2711" i="9"/>
  <c r="AW2711" i="9"/>
  <c r="AX2711" i="9"/>
  <c r="AZ2711" i="9"/>
  <c r="AX2710" i="9"/>
  <c r="AY2710" i="9"/>
  <c r="AZ2710" i="9"/>
  <c r="AW2710" i="9"/>
  <c r="AX2709" i="9"/>
  <c r="AZ2709" i="9"/>
  <c r="AY2709" i="9"/>
  <c r="AW2709" i="9"/>
  <c r="AW2708" i="9"/>
  <c r="AX2708" i="9"/>
  <c r="AY2708" i="9"/>
  <c r="AZ2708" i="9"/>
  <c r="AW2707" i="9"/>
  <c r="AY2707" i="9"/>
  <c r="AZ2707" i="9"/>
  <c r="AX2707" i="9"/>
  <c r="AW2706" i="9"/>
  <c r="AX2706" i="9"/>
  <c r="AY2706" i="9"/>
  <c r="AZ2706" i="9"/>
  <c r="AX2705" i="9"/>
  <c r="AZ2705" i="9"/>
  <c r="AW2705" i="9"/>
  <c r="AY2705" i="9"/>
  <c r="AW2704" i="9"/>
  <c r="AX2704" i="9"/>
  <c r="AY2704" i="9"/>
  <c r="AZ2704" i="9"/>
  <c r="AW2703" i="9"/>
  <c r="AX2703" i="9"/>
  <c r="AY2703" i="9"/>
  <c r="AZ2703" i="9"/>
  <c r="AY2702" i="9"/>
  <c r="AZ2702" i="9"/>
  <c r="AX2702" i="9"/>
  <c r="AW2702" i="9"/>
  <c r="AX2701" i="9"/>
  <c r="AY2701" i="9"/>
  <c r="AW2701" i="9"/>
  <c r="AZ2701" i="9"/>
  <c r="AW2700" i="9"/>
  <c r="AX2700" i="9"/>
  <c r="AY2700" i="9"/>
  <c r="AZ2700" i="9"/>
  <c r="AX2699" i="9"/>
  <c r="AY2699" i="9"/>
  <c r="AZ2699" i="9"/>
  <c r="AW2699" i="9"/>
  <c r="AZ2698" i="9"/>
  <c r="AY2698" i="9"/>
  <c r="AX2698" i="9"/>
  <c r="AW2698" i="9"/>
  <c r="AW2697" i="9"/>
  <c r="AZ2697" i="9"/>
  <c r="AY2697" i="9"/>
  <c r="AX2697" i="9"/>
  <c r="AX2696" i="9"/>
  <c r="AW2696" i="9"/>
  <c r="AZ2696" i="9"/>
  <c r="AY2696" i="9"/>
  <c r="AY2695" i="9"/>
  <c r="AX2695" i="9"/>
  <c r="AW2695" i="9"/>
  <c r="AZ2695" i="9"/>
  <c r="AX2694" i="9"/>
  <c r="AW2694" i="9"/>
  <c r="AY2694" i="9"/>
  <c r="AZ2694" i="9"/>
  <c r="AZ2693" i="9"/>
  <c r="AY2693" i="9"/>
  <c r="AX2693" i="9"/>
  <c r="AW2693" i="9"/>
  <c r="AY2692" i="9"/>
  <c r="AX2692" i="9"/>
  <c r="AW2692" i="9"/>
  <c r="AZ2692" i="9"/>
  <c r="AZ2691" i="9"/>
  <c r="AY2691" i="9"/>
  <c r="AX2691" i="9"/>
  <c r="AW2691" i="9"/>
  <c r="AZ2690" i="9"/>
  <c r="AY2690" i="9"/>
  <c r="AX2690" i="9"/>
  <c r="AW2690" i="9"/>
  <c r="AY2689" i="9"/>
  <c r="AX2689" i="9"/>
  <c r="AW2689" i="9"/>
  <c r="AZ2689" i="9"/>
  <c r="AZ2688" i="9"/>
  <c r="AY2688" i="9"/>
  <c r="AX2688" i="9"/>
  <c r="AW2688" i="9"/>
  <c r="AZ2687" i="9"/>
  <c r="AY2687" i="9"/>
  <c r="AX2687" i="9"/>
  <c r="AW2687" i="9"/>
  <c r="AZ2686" i="9"/>
  <c r="AY2686" i="9"/>
  <c r="AX2686" i="9"/>
  <c r="AW2686" i="9"/>
  <c r="AY2685" i="9"/>
  <c r="AX2685" i="9"/>
  <c r="AW2685" i="9"/>
  <c r="AZ2685" i="9"/>
  <c r="AY2684" i="9"/>
  <c r="AX2684" i="9"/>
  <c r="AW2684" i="9"/>
  <c r="AZ2684" i="9"/>
  <c r="AY2683" i="9"/>
  <c r="AX2683" i="9"/>
  <c r="AW2683" i="9"/>
  <c r="AZ2683" i="9"/>
  <c r="AZ2682" i="9"/>
  <c r="AX2682" i="9"/>
  <c r="AY2682" i="9"/>
  <c r="AW2682" i="9"/>
  <c r="AY2681" i="9"/>
  <c r="AW2681" i="9"/>
  <c r="AZ2681" i="9"/>
  <c r="AX2681" i="9"/>
  <c r="AY2680" i="9"/>
  <c r="AX2680" i="9"/>
  <c r="AW2680" i="9"/>
  <c r="AZ2680" i="9"/>
  <c r="AW2679" i="9"/>
  <c r="AZ2679" i="9"/>
  <c r="AX2679" i="9"/>
  <c r="AY2679" i="9"/>
  <c r="AZ2678" i="9"/>
  <c r="AY2678" i="9"/>
  <c r="AX2678" i="9"/>
  <c r="AW2678" i="9"/>
  <c r="AY2677" i="9"/>
  <c r="AW2677" i="9"/>
  <c r="AX2677" i="9"/>
  <c r="AZ2677" i="9"/>
  <c r="AZ2676" i="9"/>
  <c r="AY2676" i="9"/>
  <c r="AX2676" i="9"/>
  <c r="AW2676" i="9"/>
  <c r="AZ2675" i="9"/>
  <c r="AY2675" i="9"/>
  <c r="AX2675" i="9"/>
  <c r="AW2675" i="9"/>
  <c r="AZ2674" i="9"/>
  <c r="AY2674" i="9"/>
  <c r="AX2674" i="9"/>
  <c r="AW2674" i="9"/>
  <c r="AX2673" i="9"/>
  <c r="AZ2673" i="9"/>
  <c r="AY2673" i="9"/>
  <c r="AW2673" i="9"/>
  <c r="AX2672" i="9"/>
  <c r="AY2672" i="9"/>
  <c r="AW2672" i="9"/>
  <c r="AZ2672" i="9"/>
  <c r="AZ2671" i="9"/>
  <c r="AY2671" i="9"/>
  <c r="AX2671" i="9"/>
  <c r="AW2671" i="9"/>
  <c r="AY2670" i="9"/>
  <c r="AW2670" i="9"/>
  <c r="AX2670" i="9"/>
  <c r="AZ2670" i="9"/>
  <c r="AZ2669" i="9"/>
  <c r="AY2669" i="9"/>
  <c r="AX2669" i="9"/>
  <c r="AW2669" i="9"/>
  <c r="AZ2668" i="9"/>
  <c r="AX2668" i="9"/>
  <c r="AW2668" i="9"/>
  <c r="AY2668" i="9"/>
  <c r="AW2667" i="9"/>
  <c r="AX2667" i="9"/>
  <c r="AY2667" i="9"/>
  <c r="AZ2667" i="9"/>
  <c r="AZ2666" i="9"/>
  <c r="AY2666" i="9"/>
  <c r="AX2666" i="9"/>
  <c r="AW2666" i="9"/>
  <c r="AY2665" i="9"/>
  <c r="AX2665" i="9"/>
  <c r="AW2665" i="9"/>
  <c r="AZ2665" i="9"/>
  <c r="AY2664" i="9"/>
  <c r="AX2664" i="9"/>
  <c r="AZ2664" i="9"/>
  <c r="AW2664" i="9"/>
  <c r="AZ2663" i="9"/>
  <c r="AY2663" i="9"/>
  <c r="AX2663" i="9"/>
  <c r="AW2663" i="9"/>
  <c r="AZ2662" i="9"/>
  <c r="AY2662" i="9"/>
  <c r="AX2662" i="9"/>
  <c r="AW2662" i="9"/>
  <c r="AZ2661" i="9"/>
  <c r="AY2661" i="9"/>
  <c r="AX2661" i="9"/>
  <c r="AW2661" i="9"/>
  <c r="AZ2660" i="9"/>
  <c r="AY2660" i="9"/>
  <c r="AX2660" i="9"/>
  <c r="AW2660" i="9"/>
  <c r="AZ2659" i="9"/>
  <c r="AY2659" i="9"/>
  <c r="AX2659" i="9"/>
  <c r="AW2659" i="9"/>
  <c r="AZ2658" i="9"/>
  <c r="AY2658" i="9"/>
  <c r="AX2658" i="9"/>
  <c r="AW2658" i="9"/>
  <c r="AZ2657" i="9"/>
  <c r="AY2657" i="9"/>
  <c r="AW2657" i="9"/>
  <c r="AX2657" i="9"/>
  <c r="AY2656" i="9"/>
  <c r="AZ2656" i="9"/>
  <c r="AX2656" i="9"/>
  <c r="AW2656" i="9"/>
  <c r="AW2655" i="9"/>
  <c r="AY2655" i="9"/>
  <c r="AX2655" i="9"/>
  <c r="AZ2655" i="9"/>
  <c r="AZ2654" i="9"/>
  <c r="AW2654" i="9"/>
  <c r="AX2654" i="9"/>
  <c r="AY2654" i="9"/>
  <c r="AY2653" i="9"/>
  <c r="AX2653" i="9"/>
  <c r="AW2653" i="9"/>
  <c r="AZ2653" i="9"/>
  <c r="AZ2652" i="9"/>
  <c r="AY2652" i="9"/>
  <c r="AX2652" i="9"/>
  <c r="AW2652" i="9"/>
  <c r="AZ2651" i="9"/>
  <c r="AY2651" i="9"/>
  <c r="AX2651" i="9"/>
  <c r="AW2651" i="9"/>
  <c r="AZ2650" i="9"/>
  <c r="AY2650" i="9"/>
  <c r="AX2650" i="9"/>
  <c r="AW2650" i="9"/>
  <c r="AZ2649" i="9"/>
  <c r="AY2649" i="9"/>
  <c r="AX2649" i="9"/>
  <c r="AW2649" i="9"/>
  <c r="AY2648" i="9"/>
  <c r="AX2648" i="9"/>
  <c r="AW2648" i="9"/>
  <c r="AZ2648" i="9"/>
  <c r="AZ2647" i="9"/>
  <c r="AY2647" i="9"/>
  <c r="AX2647" i="9"/>
  <c r="AW2647" i="9"/>
  <c r="AZ2646" i="9"/>
  <c r="AY2646" i="9"/>
  <c r="AX2646" i="9"/>
  <c r="AW2646" i="9"/>
  <c r="AZ2645" i="9"/>
  <c r="AY2645" i="9"/>
  <c r="AX2645" i="9"/>
  <c r="AW2645" i="9"/>
  <c r="AZ2644" i="9"/>
  <c r="AY2644" i="9"/>
  <c r="AX2644" i="9"/>
  <c r="AW2644" i="9"/>
  <c r="AZ2643" i="9"/>
  <c r="AY2643" i="9"/>
  <c r="AW2643" i="9"/>
  <c r="AX2643" i="9"/>
  <c r="AW2642" i="9"/>
  <c r="AX2642" i="9"/>
  <c r="AY2642" i="9"/>
  <c r="AZ2642" i="9"/>
  <c r="AW2641" i="9"/>
  <c r="AY2641" i="9"/>
  <c r="AZ2641" i="9"/>
  <c r="AX2641" i="9"/>
  <c r="AZ2640" i="9"/>
  <c r="AY2640" i="9"/>
  <c r="AW2640" i="9"/>
  <c r="AX2640" i="9"/>
  <c r="AY2639" i="9"/>
  <c r="AX2639" i="9"/>
  <c r="AW2639" i="9"/>
  <c r="AZ2639" i="9"/>
  <c r="AZ2638" i="9"/>
  <c r="AY2638" i="9"/>
  <c r="AX2638" i="9"/>
  <c r="AW2638" i="9"/>
  <c r="AX2637" i="9"/>
  <c r="AW2637" i="9"/>
  <c r="AZ2637" i="9"/>
  <c r="AY2637" i="9"/>
  <c r="AZ2636" i="9"/>
  <c r="AY2636" i="9"/>
  <c r="AX2636" i="9"/>
  <c r="AW2636" i="9"/>
  <c r="AZ2635" i="9"/>
  <c r="AY2635" i="9"/>
  <c r="AX2635" i="9"/>
  <c r="AW2635" i="9"/>
  <c r="AX2634" i="9"/>
  <c r="AZ2634" i="9"/>
  <c r="AY2634" i="9"/>
  <c r="AW2634" i="9"/>
  <c r="AZ2633" i="9"/>
  <c r="AY2633" i="9"/>
  <c r="AX2633" i="9"/>
  <c r="AW2633" i="9"/>
  <c r="AY2632" i="9"/>
  <c r="AX2632" i="9"/>
  <c r="AW2632" i="9"/>
  <c r="AZ2632" i="9"/>
  <c r="AZ2631" i="9"/>
  <c r="AW2631" i="9"/>
  <c r="AX2631" i="9"/>
  <c r="AY2631" i="9"/>
  <c r="AZ2630" i="9"/>
  <c r="AY2630" i="9"/>
  <c r="AX2630" i="9"/>
  <c r="AW2630" i="9"/>
  <c r="AZ2629" i="9"/>
  <c r="AY2629" i="9"/>
  <c r="AX2629" i="9"/>
  <c r="AW2629" i="9"/>
  <c r="AX2628" i="9"/>
  <c r="AY2628" i="9"/>
  <c r="AZ2628" i="9"/>
  <c r="AW2628" i="9"/>
  <c r="AW2627" i="9"/>
  <c r="AX2627" i="9"/>
  <c r="AY2627" i="9"/>
  <c r="AZ2627" i="9"/>
  <c r="AZ2626" i="9"/>
  <c r="AW2626" i="9"/>
  <c r="AX2626" i="9"/>
  <c r="AY2626" i="9"/>
  <c r="AW2625" i="9"/>
  <c r="AX2625" i="9"/>
  <c r="AY2625" i="9"/>
  <c r="AZ2625" i="9"/>
  <c r="AW2624" i="9"/>
  <c r="AX2624" i="9"/>
  <c r="AY2624" i="9"/>
  <c r="AZ2624" i="9"/>
  <c r="AY2623" i="9"/>
  <c r="AW2623" i="9"/>
  <c r="AX2623" i="9"/>
  <c r="AZ2623" i="9"/>
  <c r="AW2622" i="9"/>
  <c r="AZ2622" i="9"/>
  <c r="AY2622" i="9"/>
  <c r="AX2622" i="9"/>
  <c r="AZ2621" i="9"/>
  <c r="AW2621" i="9"/>
  <c r="AX2621" i="9"/>
  <c r="AY2621" i="9"/>
  <c r="AW2620" i="9"/>
  <c r="AY2620" i="9"/>
  <c r="AZ2620" i="9"/>
  <c r="AX2620" i="9"/>
  <c r="AW2619" i="9"/>
  <c r="AX2619" i="9"/>
  <c r="AY2619" i="9"/>
  <c r="AZ2619" i="9"/>
  <c r="AW2618" i="9"/>
  <c r="AX2618" i="9"/>
  <c r="AY2618" i="9"/>
  <c r="AZ2618" i="9"/>
  <c r="AW2617" i="9"/>
  <c r="AY2617" i="9"/>
  <c r="AZ2617" i="9"/>
  <c r="AX2617" i="9"/>
  <c r="AX2616" i="9"/>
  <c r="AW2616" i="9"/>
  <c r="AY2616" i="9"/>
  <c r="AZ2616" i="9"/>
  <c r="AY2615" i="9"/>
  <c r="AX2615" i="9"/>
  <c r="AW2615" i="9"/>
  <c r="AZ2615" i="9"/>
  <c r="AZ2614" i="9"/>
  <c r="AY2614" i="9"/>
  <c r="AX2614" i="9"/>
  <c r="AW2614" i="9"/>
  <c r="AZ2613" i="9"/>
  <c r="AY2613" i="9"/>
  <c r="AX2613" i="9"/>
  <c r="AW2613" i="9"/>
  <c r="AZ2612" i="9"/>
  <c r="AY2612" i="9"/>
  <c r="AX2612" i="9"/>
  <c r="AW2612" i="9"/>
  <c r="AY2611" i="9"/>
  <c r="AX2611" i="9"/>
  <c r="AW2611" i="9"/>
  <c r="AZ2611" i="9"/>
  <c r="AZ2610" i="9"/>
  <c r="AY2610" i="9"/>
  <c r="AX2610" i="9"/>
  <c r="AW2610" i="9"/>
  <c r="AY2609" i="9"/>
  <c r="AX2609" i="9"/>
  <c r="AW2609" i="9"/>
  <c r="AZ2609" i="9"/>
  <c r="AX2608" i="9"/>
  <c r="AW2608" i="9"/>
  <c r="AZ2608" i="9"/>
  <c r="AY2608" i="9"/>
  <c r="AZ2607" i="9"/>
  <c r="AY2607" i="9"/>
  <c r="AX2607" i="9"/>
  <c r="AW2607" i="9"/>
  <c r="AZ2606" i="9"/>
  <c r="AY2606" i="9"/>
  <c r="AX2606" i="9"/>
  <c r="AW2606" i="9"/>
  <c r="AZ2605" i="9"/>
  <c r="AY2605" i="9"/>
  <c r="AX2605" i="9"/>
  <c r="AW2605" i="9"/>
  <c r="AW2604" i="9"/>
  <c r="AY2604" i="9"/>
  <c r="AX2604" i="9"/>
  <c r="AZ2604" i="9"/>
  <c r="AX2603" i="9"/>
  <c r="AW2603" i="9"/>
  <c r="AZ2603" i="9"/>
  <c r="AY2603" i="9"/>
  <c r="AX2602" i="9"/>
  <c r="AW2602" i="9"/>
  <c r="AZ2602" i="9"/>
  <c r="AY2602" i="9"/>
  <c r="AZ2601" i="9"/>
  <c r="AY2601" i="9"/>
  <c r="AX2601" i="9"/>
  <c r="AW2601" i="9"/>
  <c r="AZ2600" i="9"/>
  <c r="AY2600" i="9"/>
  <c r="AX2600" i="9"/>
  <c r="AW2600" i="9"/>
  <c r="AZ2599" i="9"/>
  <c r="AY2599" i="9"/>
  <c r="AX2599" i="9"/>
  <c r="AW2599" i="9"/>
  <c r="AZ2598" i="9"/>
  <c r="AX2598" i="9"/>
  <c r="AW2598" i="9"/>
  <c r="AY2598" i="9"/>
  <c r="AX2597" i="9"/>
  <c r="AW2597" i="9"/>
  <c r="AZ2597" i="9"/>
  <c r="AY2597" i="9"/>
  <c r="AX2596" i="9"/>
  <c r="AZ2596" i="9"/>
  <c r="AY2596" i="9"/>
  <c r="AW2596" i="9"/>
  <c r="AZ2595" i="9"/>
  <c r="AY2595" i="9"/>
  <c r="AX2595" i="9"/>
  <c r="AW2595" i="9"/>
  <c r="AZ2594" i="9"/>
  <c r="AY2594" i="9"/>
  <c r="AX2594" i="9"/>
  <c r="AW2594" i="9"/>
  <c r="AX2593" i="9"/>
  <c r="AZ2593" i="9"/>
  <c r="AW2593" i="9"/>
  <c r="AY2593" i="9"/>
  <c r="AY2592" i="9"/>
  <c r="AX2592" i="9"/>
  <c r="AW2592" i="9"/>
  <c r="AZ2592" i="9"/>
  <c r="AZ2591" i="9"/>
  <c r="AY2591" i="9"/>
  <c r="AX2591" i="9"/>
  <c r="AW2591" i="9"/>
  <c r="AZ2590" i="9"/>
  <c r="AX2590" i="9"/>
  <c r="AW2590" i="9"/>
  <c r="AY2590" i="9"/>
  <c r="AZ2589" i="9"/>
  <c r="AY2589" i="9"/>
  <c r="AX2589" i="9"/>
  <c r="AW2589" i="9"/>
  <c r="AZ2588" i="9"/>
  <c r="AY2588" i="9"/>
  <c r="AX2588" i="9"/>
  <c r="AW2588" i="9"/>
  <c r="AZ2587" i="9"/>
  <c r="AW2587" i="9"/>
  <c r="AY2587" i="9"/>
  <c r="AX2587" i="9"/>
  <c r="AZ2586" i="9"/>
  <c r="AY2586" i="9"/>
  <c r="AX2586" i="9"/>
  <c r="AW2586" i="9"/>
  <c r="AZ2585" i="9"/>
  <c r="AY2585" i="9"/>
  <c r="AX2585" i="9"/>
  <c r="AW2585" i="9"/>
  <c r="AZ2584" i="9"/>
  <c r="AY2584" i="9"/>
  <c r="AX2584" i="9"/>
  <c r="AW2584" i="9"/>
  <c r="AZ2583" i="9"/>
  <c r="AY2583" i="9"/>
  <c r="AX2583" i="9"/>
  <c r="AW2583" i="9"/>
  <c r="AX2582" i="9"/>
  <c r="AW2582" i="9"/>
  <c r="AZ2582" i="9"/>
  <c r="AY2582" i="9"/>
  <c r="AX2581" i="9"/>
  <c r="AW2581" i="9"/>
  <c r="AZ2581" i="9"/>
  <c r="AY2581" i="9"/>
  <c r="AZ2580" i="9"/>
  <c r="AY2580" i="9"/>
  <c r="AX2580" i="9"/>
  <c r="AW2580" i="9"/>
  <c r="AZ2579" i="9"/>
  <c r="AY2579" i="9"/>
  <c r="AX2579" i="9"/>
  <c r="AW2579" i="9"/>
  <c r="AZ2578" i="9"/>
  <c r="AY2578" i="9"/>
  <c r="AX2578" i="9"/>
  <c r="AW2578" i="9"/>
  <c r="AY2577" i="9"/>
  <c r="AX2577" i="9"/>
  <c r="AW2577" i="9"/>
  <c r="AZ2577" i="9"/>
  <c r="AX2576" i="9"/>
  <c r="AW2576" i="9"/>
  <c r="AZ2576" i="9"/>
  <c r="AY2576" i="9"/>
  <c r="AX2575" i="9"/>
  <c r="AZ2575" i="9"/>
  <c r="AY2575" i="9"/>
  <c r="AW2575" i="9"/>
  <c r="AZ2574" i="9"/>
  <c r="AY2574" i="9"/>
  <c r="AX2574" i="9"/>
  <c r="AW2574" i="9"/>
  <c r="AZ2573" i="9"/>
  <c r="AY2573" i="9"/>
  <c r="AX2573" i="9"/>
  <c r="AW2573" i="9"/>
  <c r="AZ2572" i="9"/>
  <c r="AY2572" i="9"/>
  <c r="AX2572" i="9"/>
  <c r="AW2572" i="9"/>
  <c r="AW2571" i="9"/>
  <c r="AZ2571" i="9"/>
  <c r="AY2571" i="9"/>
  <c r="AX2571" i="9"/>
  <c r="AY2570" i="9"/>
  <c r="AZ2570" i="9"/>
  <c r="AW2570" i="9"/>
  <c r="AX2570" i="9"/>
  <c r="AW2569" i="9"/>
  <c r="AZ2569" i="9"/>
  <c r="AY2569" i="9"/>
  <c r="AX2569" i="9"/>
  <c r="AZ2568" i="9"/>
  <c r="AY2568" i="9"/>
  <c r="AX2568" i="9"/>
  <c r="AW2568" i="9"/>
  <c r="AY2567" i="9"/>
  <c r="AZ2567" i="9"/>
  <c r="AX2567" i="9"/>
  <c r="AW2567" i="9"/>
  <c r="AW2566" i="9"/>
  <c r="AZ2566" i="9"/>
  <c r="AY2566" i="9"/>
  <c r="AX2566" i="9"/>
  <c r="AZ2565" i="9"/>
  <c r="AY2565" i="9"/>
  <c r="AX2565" i="9"/>
  <c r="AW2565" i="9"/>
  <c r="AZ2564" i="9"/>
  <c r="AY2564" i="9"/>
  <c r="AX2564" i="9"/>
  <c r="AW2564" i="9"/>
  <c r="AZ2563" i="9"/>
  <c r="AY2563" i="9"/>
  <c r="AX2563" i="9"/>
  <c r="AW2563" i="9"/>
  <c r="AX2562" i="9"/>
  <c r="AZ2562" i="9"/>
  <c r="AY2562" i="9"/>
  <c r="AW2562" i="9"/>
  <c r="AW2561" i="9"/>
  <c r="AZ2561" i="9"/>
  <c r="AY2561" i="9"/>
  <c r="AX2561" i="9"/>
  <c r="AY2560" i="9"/>
  <c r="AX2560" i="9"/>
  <c r="AW2560" i="9"/>
  <c r="AZ2560" i="9"/>
  <c r="AY2559" i="9"/>
  <c r="AX2559" i="9"/>
  <c r="AZ2559" i="9"/>
  <c r="AW2559" i="9"/>
  <c r="AW2558" i="9"/>
  <c r="AX2558" i="9"/>
  <c r="AY2558" i="9"/>
  <c r="AZ2558" i="9"/>
  <c r="AY2557" i="9"/>
  <c r="AZ2557" i="9"/>
  <c r="AX2557" i="9"/>
  <c r="AW2557" i="9"/>
  <c r="AW2556" i="9"/>
  <c r="AZ2556" i="9"/>
  <c r="AY2556" i="9"/>
  <c r="AX2556" i="9"/>
  <c r="AZ2555" i="9"/>
  <c r="AW2555" i="9"/>
  <c r="AX2555" i="9"/>
  <c r="AY2555" i="9"/>
  <c r="AY2554" i="9"/>
  <c r="AZ2554" i="9"/>
  <c r="AW2554" i="9"/>
  <c r="AX2554" i="9"/>
  <c r="AW2553" i="9"/>
  <c r="AZ2553" i="9"/>
  <c r="AY2553" i="9"/>
  <c r="AX2553" i="9"/>
  <c r="AY2552" i="9"/>
  <c r="AX2552" i="9"/>
  <c r="AW2552" i="9"/>
  <c r="AZ2552" i="9"/>
  <c r="AZ2551" i="9"/>
  <c r="AY2551" i="9"/>
  <c r="AX2551" i="9"/>
  <c r="AW2551" i="9"/>
  <c r="AZ2550" i="9"/>
  <c r="AY2550" i="9"/>
  <c r="AX2550" i="9"/>
  <c r="AW2550" i="9"/>
  <c r="AY2549" i="9"/>
  <c r="AZ2549" i="9"/>
  <c r="AX2549" i="9"/>
  <c r="AW2549" i="9"/>
  <c r="AZ2548" i="9"/>
  <c r="AY2548" i="9"/>
  <c r="AX2548" i="9"/>
  <c r="AW2548" i="9"/>
  <c r="AW2547" i="9"/>
  <c r="AZ2547" i="9"/>
  <c r="AY2547" i="9"/>
  <c r="AX2547" i="9"/>
  <c r="AW2546" i="9"/>
  <c r="AX2546" i="9"/>
  <c r="AY2546" i="9"/>
  <c r="AZ2546" i="9"/>
  <c r="AZ2545" i="9"/>
  <c r="AW2545" i="9"/>
  <c r="AX2545" i="9"/>
  <c r="AY2545" i="9"/>
  <c r="AZ2544" i="9"/>
  <c r="AW2544" i="9"/>
  <c r="AX2544" i="9"/>
  <c r="AY2544" i="9"/>
  <c r="AW2543" i="9"/>
  <c r="AZ2543" i="9"/>
  <c r="AX2543" i="9"/>
  <c r="AY2543" i="9"/>
  <c r="AW2542" i="9"/>
  <c r="AZ2542" i="9"/>
  <c r="AY2542" i="9"/>
  <c r="AX2542" i="9"/>
  <c r="AX2541" i="9"/>
  <c r="AZ2541" i="9"/>
  <c r="AY2541" i="9"/>
  <c r="AW2541" i="9"/>
  <c r="AZ2540" i="9"/>
  <c r="AY2540" i="9"/>
  <c r="AX2540" i="9"/>
  <c r="AW2540" i="9"/>
  <c r="AW2539" i="9"/>
  <c r="AZ2539" i="9"/>
  <c r="AY2539" i="9"/>
  <c r="AX2539" i="9"/>
  <c r="AW2538" i="9"/>
  <c r="AX2538" i="9"/>
  <c r="AY2538" i="9"/>
  <c r="AZ2538" i="9"/>
  <c r="AW2537" i="9"/>
  <c r="AX2537" i="9"/>
  <c r="AY2537" i="9"/>
  <c r="AZ2537" i="9"/>
  <c r="AW2536" i="9"/>
  <c r="AX2536" i="9"/>
  <c r="AZ2536" i="9"/>
  <c r="AY2536" i="9"/>
  <c r="AW2535" i="9"/>
  <c r="AX2535" i="9"/>
  <c r="AY2535" i="9"/>
  <c r="AZ2535" i="9"/>
  <c r="AW2534" i="9"/>
  <c r="AZ2534" i="9"/>
  <c r="AY2534" i="9"/>
  <c r="AX2534" i="9"/>
  <c r="AZ2533" i="9"/>
  <c r="AY2533" i="9"/>
  <c r="AX2533" i="9"/>
  <c r="AW2533" i="9"/>
  <c r="AW2532" i="9"/>
  <c r="AZ2532" i="9"/>
  <c r="AY2532" i="9"/>
  <c r="AX2532" i="9"/>
  <c r="AW2531" i="9"/>
  <c r="AX2531" i="9"/>
  <c r="AY2531" i="9"/>
  <c r="AZ2531" i="9"/>
  <c r="AW2530" i="9"/>
  <c r="AX2530" i="9"/>
  <c r="AZ2530" i="9"/>
  <c r="AY2530" i="9"/>
  <c r="AW2529" i="9"/>
  <c r="AX2529" i="9"/>
  <c r="AY2529" i="9"/>
  <c r="AZ2529" i="9"/>
  <c r="AW2528" i="9"/>
  <c r="AX2528" i="9"/>
  <c r="AY2528" i="9"/>
  <c r="AZ2528" i="9"/>
  <c r="AW2527" i="9"/>
  <c r="AZ2527" i="9"/>
  <c r="AY2527" i="9"/>
  <c r="AX2527" i="9"/>
  <c r="AZ2526" i="9"/>
  <c r="AY2526" i="9"/>
  <c r="AX2526" i="9"/>
  <c r="AW2526" i="9"/>
  <c r="AY2525" i="9"/>
  <c r="AZ2525" i="9"/>
  <c r="AX2525" i="9"/>
  <c r="AW2525" i="9"/>
  <c r="AX2524" i="9"/>
  <c r="AW2524" i="9"/>
  <c r="AZ2524" i="9"/>
  <c r="AY2524" i="9"/>
  <c r="AY2523" i="9"/>
  <c r="AW2523" i="9"/>
  <c r="AX2523" i="9"/>
  <c r="AZ2523" i="9"/>
  <c r="AW2522" i="9"/>
  <c r="AX2522" i="9"/>
  <c r="AY2522" i="9"/>
  <c r="AZ2522" i="9"/>
  <c r="AW2521" i="9"/>
  <c r="AZ2521" i="9"/>
  <c r="AX2521" i="9"/>
  <c r="AY2521" i="9"/>
  <c r="AZ2520" i="9"/>
  <c r="AY2520" i="9"/>
  <c r="AX2520" i="9"/>
  <c r="AW2520" i="9"/>
  <c r="AY2519" i="9"/>
  <c r="AW2519" i="9"/>
  <c r="AX2519" i="9"/>
  <c r="AZ2519" i="9"/>
  <c r="AX2518" i="9"/>
  <c r="AZ2518" i="9"/>
  <c r="AY2518" i="9"/>
  <c r="AW2518" i="9"/>
  <c r="AW2517" i="9"/>
  <c r="AZ2517" i="9"/>
  <c r="AY2517" i="9"/>
  <c r="AX2517" i="9"/>
  <c r="AY2516" i="9"/>
  <c r="AX2516" i="9"/>
  <c r="AW2516" i="9"/>
  <c r="AZ2516" i="9"/>
  <c r="AZ2515" i="9"/>
  <c r="AY2515" i="9"/>
  <c r="AX2515" i="9"/>
  <c r="AW2515" i="9"/>
  <c r="AZ2514" i="9"/>
  <c r="AY2514" i="9"/>
  <c r="AX2514" i="9"/>
  <c r="AW2514" i="9"/>
  <c r="AZ2513" i="9"/>
  <c r="AY2513" i="9"/>
  <c r="AX2513" i="9"/>
  <c r="AW2513" i="9"/>
  <c r="AZ2512" i="9"/>
  <c r="AY2512" i="9"/>
  <c r="AX2512" i="9"/>
  <c r="AW2512" i="9"/>
  <c r="AW2511" i="9"/>
  <c r="AZ2511" i="9"/>
  <c r="AY2511" i="9"/>
  <c r="AX2511" i="9"/>
  <c r="AZ2510" i="9"/>
  <c r="AY2510" i="9"/>
  <c r="AX2510" i="9"/>
  <c r="AW2510" i="9"/>
  <c r="AZ2509" i="9"/>
  <c r="AY2509" i="9"/>
  <c r="AX2509" i="9"/>
  <c r="AW2509" i="9"/>
  <c r="AW2508" i="9"/>
  <c r="AZ2508" i="9"/>
  <c r="AY2508" i="9"/>
  <c r="AX2508" i="9"/>
  <c r="AZ2507" i="9"/>
  <c r="AW2507" i="9"/>
  <c r="AX2507" i="9"/>
  <c r="AY2507" i="9"/>
  <c r="AW2506" i="9"/>
  <c r="AX2506" i="9"/>
  <c r="AY2506" i="9"/>
  <c r="AZ2506" i="9"/>
  <c r="AW2505" i="9"/>
  <c r="AX2505" i="9"/>
  <c r="AY2505" i="9"/>
  <c r="AZ2505" i="9"/>
  <c r="AW2504" i="9"/>
  <c r="AX2504" i="9"/>
  <c r="AY2504" i="9"/>
  <c r="AZ2504" i="9"/>
  <c r="AZ2503" i="9"/>
  <c r="AW2503" i="9"/>
  <c r="AX2503" i="9"/>
  <c r="AY2503" i="9"/>
  <c r="AZ2502" i="9"/>
  <c r="AY2502" i="9"/>
  <c r="AX2502" i="9"/>
  <c r="AW2502" i="9"/>
  <c r="AW2501" i="9"/>
  <c r="AZ2501" i="9"/>
  <c r="AY2501" i="9"/>
  <c r="AX2501" i="9"/>
  <c r="AW2500" i="9"/>
  <c r="AX2500" i="9"/>
  <c r="AY2500" i="9"/>
  <c r="AZ2500" i="9"/>
  <c r="AW2499" i="9"/>
  <c r="AX2499" i="9"/>
  <c r="AY2499" i="9"/>
  <c r="AZ2499" i="9"/>
  <c r="AW2498" i="9"/>
  <c r="AX2498" i="9"/>
  <c r="AZ2498" i="9"/>
  <c r="AY2498" i="9"/>
  <c r="AW2497" i="9"/>
  <c r="AX2497" i="9"/>
  <c r="AZ2497" i="9"/>
  <c r="AY2497" i="9"/>
  <c r="AZ2496" i="9"/>
  <c r="AY2496" i="9"/>
  <c r="AX2496" i="9"/>
  <c r="AW2496" i="9"/>
  <c r="AW2495" i="9"/>
  <c r="AX2495" i="9"/>
  <c r="AZ2495" i="9"/>
  <c r="AY2495" i="9"/>
  <c r="AX2494" i="9"/>
  <c r="AY2494" i="9"/>
  <c r="AZ2494" i="9"/>
  <c r="AW2494" i="9"/>
  <c r="AW2493" i="9"/>
  <c r="AX2493" i="9"/>
  <c r="AY2493" i="9"/>
  <c r="AZ2493" i="9"/>
  <c r="AX2492" i="9"/>
  <c r="AY2492" i="9"/>
  <c r="AZ2492" i="9"/>
  <c r="AW2492" i="9"/>
  <c r="AX2491" i="9"/>
  <c r="AY2491" i="9"/>
  <c r="AZ2491" i="9"/>
  <c r="AW2491" i="9"/>
  <c r="AX2490" i="9"/>
  <c r="AW2490" i="9"/>
  <c r="AZ2490" i="9"/>
  <c r="AY2490" i="9"/>
  <c r="AX2489" i="9"/>
  <c r="AZ2489" i="9"/>
  <c r="AY2489" i="9"/>
  <c r="AW2489" i="9"/>
  <c r="AY2488" i="9"/>
  <c r="AW2488" i="9"/>
  <c r="AX2488" i="9"/>
  <c r="AZ2488" i="9"/>
  <c r="AW2487" i="9"/>
  <c r="AX2487" i="9"/>
  <c r="AY2487" i="9"/>
  <c r="AZ2487" i="9"/>
  <c r="AW2486" i="9"/>
  <c r="AX2486" i="9"/>
  <c r="AY2486" i="9"/>
  <c r="AZ2486" i="9"/>
  <c r="AW2485" i="9"/>
  <c r="AX2485" i="9"/>
  <c r="AZ2485" i="9"/>
  <c r="AY2485" i="9"/>
  <c r="AZ2484" i="9"/>
  <c r="AY2484" i="9"/>
  <c r="AX2484" i="9"/>
  <c r="AW2484" i="9"/>
  <c r="AX2483" i="9"/>
  <c r="AZ2483" i="9"/>
  <c r="AY2483" i="9"/>
  <c r="AW2483" i="9"/>
  <c r="AY2482" i="9"/>
  <c r="AZ2482" i="9"/>
  <c r="AW2482" i="9"/>
  <c r="AX2482" i="9"/>
  <c r="AZ2481" i="9"/>
  <c r="AY2481" i="9"/>
  <c r="AX2481" i="9"/>
  <c r="AW2481" i="9"/>
  <c r="AY2480" i="9"/>
  <c r="AX2480" i="9"/>
  <c r="AW2480" i="9"/>
  <c r="AZ2480" i="9"/>
  <c r="AZ2479" i="9"/>
  <c r="AY2479" i="9"/>
  <c r="AX2479" i="9"/>
  <c r="AW2479" i="9"/>
  <c r="AZ2478" i="9"/>
  <c r="AY2478" i="9"/>
  <c r="AX2478" i="9"/>
  <c r="AW2478" i="9"/>
  <c r="AZ2477" i="9"/>
  <c r="AY2477" i="9"/>
  <c r="AX2477" i="9"/>
  <c r="AW2477" i="9"/>
  <c r="AW2476" i="9"/>
  <c r="AZ2476" i="9"/>
  <c r="AY2476" i="9"/>
  <c r="AX2476" i="9"/>
  <c r="AZ2475" i="9"/>
  <c r="AY2475" i="9"/>
  <c r="AX2475" i="9"/>
  <c r="AW2475" i="9"/>
  <c r="AW2474" i="9"/>
  <c r="AZ2474" i="9"/>
  <c r="AY2474" i="9"/>
  <c r="AX2474" i="9"/>
  <c r="AW2473" i="9"/>
  <c r="AX2473" i="9"/>
  <c r="AZ2473" i="9"/>
  <c r="AY2473" i="9"/>
  <c r="AX2472" i="9"/>
  <c r="AY2472" i="9"/>
  <c r="AZ2472" i="9"/>
  <c r="AW2472" i="9"/>
  <c r="AW2471" i="9"/>
  <c r="AX2471" i="9"/>
  <c r="AY2471" i="9"/>
  <c r="AZ2471" i="9"/>
  <c r="AZ2470" i="9"/>
  <c r="AW2470" i="9"/>
  <c r="AX2470" i="9"/>
  <c r="AY2470" i="9"/>
  <c r="AW2469" i="9"/>
  <c r="AX2469" i="9"/>
  <c r="AY2469" i="9"/>
  <c r="AZ2469" i="9"/>
  <c r="AX2468" i="9"/>
  <c r="AW2468" i="9"/>
  <c r="AZ2468" i="9"/>
  <c r="AY2468" i="9"/>
  <c r="AW2467" i="9"/>
  <c r="AX2467" i="9"/>
  <c r="AZ2467" i="9"/>
  <c r="AY2467" i="9"/>
  <c r="AX2466" i="9"/>
  <c r="AW2466" i="9"/>
  <c r="AZ2466" i="9"/>
  <c r="AY2466" i="9"/>
  <c r="AZ2465" i="9"/>
  <c r="AY2465" i="9"/>
  <c r="AX2465" i="9"/>
  <c r="AW2465" i="9"/>
  <c r="AZ2464" i="9"/>
  <c r="AY2464" i="9"/>
  <c r="AX2464" i="9"/>
  <c r="AW2464" i="9"/>
  <c r="AZ2463" i="9"/>
  <c r="AY2463" i="9"/>
  <c r="AX2463" i="9"/>
  <c r="AW2463" i="9"/>
  <c r="AZ2462" i="9"/>
  <c r="AY2462" i="9"/>
  <c r="AX2462" i="9"/>
  <c r="AW2462" i="9"/>
  <c r="AZ2461" i="9"/>
  <c r="AX2461" i="9"/>
  <c r="AW2461" i="9"/>
  <c r="AY2461" i="9"/>
  <c r="AX2460" i="9"/>
  <c r="AW2460" i="9"/>
  <c r="AZ2460" i="9"/>
  <c r="AY2460" i="9"/>
  <c r="AZ2459" i="9"/>
  <c r="AW2459" i="9"/>
  <c r="AX2459" i="9"/>
  <c r="AY2459" i="9"/>
  <c r="AX2458" i="9"/>
  <c r="AY2458" i="9"/>
  <c r="AW2458" i="9"/>
  <c r="AZ2458" i="9"/>
  <c r="AX2457" i="9"/>
  <c r="AY2457" i="9"/>
  <c r="AZ2457" i="9"/>
  <c r="AW2457" i="9"/>
  <c r="AX2456" i="9"/>
  <c r="AY2456" i="9"/>
  <c r="AZ2456" i="9"/>
  <c r="AW2456" i="9"/>
  <c r="AZ2455" i="9"/>
  <c r="AX2455" i="9"/>
  <c r="AW2455" i="9"/>
  <c r="AY2455" i="9"/>
  <c r="AZ2454" i="9"/>
  <c r="AY2454" i="9"/>
  <c r="AX2454" i="9"/>
  <c r="AW2454" i="9"/>
  <c r="AZ2453" i="9"/>
  <c r="AY2453" i="9"/>
  <c r="AW2453" i="9"/>
  <c r="AX2453" i="9"/>
  <c r="AZ2452" i="9"/>
  <c r="AX2452" i="9"/>
  <c r="AY2452" i="9"/>
  <c r="AW2452" i="9"/>
  <c r="AW2451" i="9"/>
  <c r="AX2451" i="9"/>
  <c r="AY2451" i="9"/>
  <c r="AZ2451" i="9"/>
  <c r="AZ2450" i="9"/>
  <c r="AX2450" i="9"/>
  <c r="AW2450" i="9"/>
  <c r="AY2450" i="9"/>
  <c r="AY2449" i="9"/>
  <c r="AX2449" i="9"/>
  <c r="AW2449" i="9"/>
  <c r="AZ2449" i="9"/>
  <c r="AW2448" i="9"/>
  <c r="AZ2448" i="9"/>
  <c r="AY2448" i="9"/>
  <c r="AX2448" i="9"/>
  <c r="AW2447" i="9"/>
  <c r="AY2447" i="9"/>
  <c r="AX2447" i="9"/>
  <c r="AZ2447" i="9"/>
  <c r="AZ2446" i="9"/>
  <c r="AY2446" i="9"/>
  <c r="AX2446" i="9"/>
  <c r="AW2446" i="9"/>
  <c r="AX2445" i="9"/>
  <c r="AW2445" i="9"/>
  <c r="AY2445" i="9"/>
  <c r="AZ2445" i="9"/>
  <c r="AY2444" i="9"/>
  <c r="AX2444" i="9"/>
  <c r="AW2444" i="9"/>
  <c r="AZ2444" i="9"/>
  <c r="AY2443" i="9"/>
  <c r="AX2443" i="9"/>
  <c r="AW2443" i="9"/>
  <c r="AZ2443" i="9"/>
  <c r="AY2442" i="9"/>
  <c r="AW2442" i="9"/>
  <c r="AX2442" i="9"/>
  <c r="AZ2442" i="9"/>
  <c r="AY2441" i="9"/>
  <c r="AX2441" i="9"/>
  <c r="AZ2441" i="9"/>
  <c r="AW2441" i="9"/>
  <c r="AW2440" i="9"/>
  <c r="AX2440" i="9"/>
  <c r="AY2440" i="9"/>
  <c r="AZ2440" i="9"/>
  <c r="AX2439" i="9"/>
  <c r="AZ2439" i="9"/>
  <c r="AY2439" i="9"/>
  <c r="AW2439" i="9"/>
  <c r="AX2438" i="9"/>
  <c r="AZ2438" i="9"/>
  <c r="AY2438" i="9"/>
  <c r="AW2438" i="9"/>
  <c r="AZ2437" i="9"/>
  <c r="AY2437" i="9"/>
  <c r="AW2437" i="9"/>
  <c r="AX2437" i="9"/>
  <c r="AZ2436" i="9"/>
  <c r="AW2436" i="9"/>
  <c r="AX2436" i="9"/>
  <c r="AY2436" i="9"/>
  <c r="AX2435" i="9"/>
  <c r="AY2435" i="9"/>
  <c r="AZ2435" i="9"/>
  <c r="AW2435" i="9"/>
  <c r="AY2434" i="9"/>
  <c r="AW2434" i="9"/>
  <c r="AX2434" i="9"/>
  <c r="AZ2434" i="9"/>
  <c r="AW2433" i="9"/>
  <c r="AZ2433" i="9"/>
  <c r="AY2433" i="9"/>
  <c r="AX2433" i="9"/>
  <c r="AZ2432" i="9"/>
  <c r="AY2432" i="9"/>
  <c r="AX2432" i="9"/>
  <c r="AW2432" i="9"/>
  <c r="AW2431" i="9"/>
  <c r="AZ2431" i="9"/>
  <c r="AY2431" i="9"/>
  <c r="AX2431" i="9"/>
  <c r="AZ2430" i="9"/>
  <c r="AY2430" i="9"/>
  <c r="AX2430" i="9"/>
  <c r="AW2430" i="9"/>
  <c r="AZ2429" i="9"/>
  <c r="AY2429" i="9"/>
  <c r="AX2429" i="9"/>
  <c r="AW2429" i="9"/>
  <c r="AZ2428" i="9"/>
  <c r="AY2428" i="9"/>
  <c r="AX2428" i="9"/>
  <c r="AW2428" i="9"/>
  <c r="AZ2427" i="9"/>
  <c r="AY2427" i="9"/>
  <c r="AX2427" i="9"/>
  <c r="AW2427" i="9"/>
  <c r="AY2426" i="9"/>
  <c r="AX2426" i="9"/>
  <c r="AW2426" i="9"/>
  <c r="AZ2426" i="9"/>
  <c r="AX2425" i="9"/>
  <c r="AY2425" i="9"/>
  <c r="AZ2425" i="9"/>
  <c r="AW2425" i="9"/>
  <c r="AZ2424" i="9"/>
  <c r="AW2424" i="9"/>
  <c r="AX2424" i="9"/>
  <c r="AY2424" i="9"/>
  <c r="AX2423" i="9"/>
  <c r="AW2423" i="9"/>
  <c r="AY2423" i="9"/>
  <c r="AZ2423" i="9"/>
  <c r="AY2422" i="9"/>
  <c r="AX2422" i="9"/>
  <c r="AW2422" i="9"/>
  <c r="AZ2422" i="9"/>
  <c r="AX2421" i="9"/>
  <c r="AZ2421" i="9"/>
  <c r="AY2421" i="9"/>
  <c r="AW2421" i="9"/>
  <c r="AY2420" i="9"/>
  <c r="AX2420" i="9"/>
  <c r="AW2420" i="9"/>
  <c r="AZ2420" i="9"/>
  <c r="AY2419" i="9"/>
  <c r="AW2419" i="9"/>
  <c r="AX2419" i="9"/>
  <c r="AZ2419" i="9"/>
  <c r="AW2418" i="9"/>
  <c r="AX2418" i="9"/>
  <c r="AY2418" i="9"/>
  <c r="AZ2418" i="9"/>
  <c r="AZ2417" i="9"/>
  <c r="AW2417" i="9"/>
  <c r="AX2417" i="9"/>
  <c r="AY2417" i="9"/>
  <c r="AX2416" i="9"/>
  <c r="AW2416" i="9"/>
  <c r="AZ2416" i="9"/>
  <c r="AY2416" i="9"/>
  <c r="AY2415" i="9"/>
  <c r="AZ2415" i="9"/>
  <c r="AW2415" i="9"/>
  <c r="AX2415" i="9"/>
  <c r="AZ2414" i="9"/>
  <c r="AX2414" i="9"/>
  <c r="AY2414" i="9"/>
  <c r="AW2414" i="9"/>
  <c r="AY2413" i="9"/>
  <c r="AX2413" i="9"/>
  <c r="AZ2413" i="9"/>
  <c r="AW2413" i="9"/>
  <c r="AW2412" i="9"/>
  <c r="AZ2412" i="9"/>
  <c r="AY2412" i="9"/>
  <c r="AX2412" i="9"/>
  <c r="AZ2411" i="9"/>
  <c r="AY2411" i="9"/>
  <c r="AX2411" i="9"/>
  <c r="AW2411" i="9"/>
  <c r="AW2410" i="9"/>
  <c r="AZ2410" i="9"/>
  <c r="AY2410" i="9"/>
  <c r="AX2410" i="9"/>
  <c r="AZ2409" i="9"/>
  <c r="AY2409" i="9"/>
  <c r="AX2409" i="9"/>
  <c r="AW2409" i="9"/>
  <c r="AZ2408" i="9"/>
  <c r="AY2408" i="9"/>
  <c r="AX2408" i="9"/>
  <c r="AW2408" i="9"/>
  <c r="AX2407" i="9"/>
  <c r="AY2407" i="9"/>
  <c r="AW2407" i="9"/>
  <c r="AZ2407" i="9"/>
  <c r="AW2406" i="9"/>
  <c r="AX2406" i="9"/>
  <c r="AY2406" i="9"/>
  <c r="AZ2406" i="9"/>
  <c r="AW2405" i="9"/>
  <c r="AX2405" i="9"/>
  <c r="AY2405" i="9"/>
  <c r="AZ2405" i="9"/>
  <c r="AX2404" i="9"/>
  <c r="AY2404" i="9"/>
  <c r="AZ2404" i="9"/>
  <c r="AW2404" i="9"/>
  <c r="AW2403" i="9"/>
  <c r="AZ2403" i="9"/>
  <c r="AY2403" i="9"/>
  <c r="AX2403" i="9"/>
  <c r="AY2402" i="9"/>
  <c r="AX2402" i="9"/>
  <c r="AW2402" i="9"/>
  <c r="AZ2402" i="9"/>
  <c r="AX2401" i="9"/>
  <c r="AW2401" i="9"/>
  <c r="AZ2401" i="9"/>
  <c r="AY2401" i="9"/>
  <c r="AZ2400" i="9"/>
  <c r="AY2400" i="9"/>
  <c r="AX2400" i="9"/>
  <c r="AW2400" i="9"/>
  <c r="AZ2399" i="9"/>
  <c r="AY2399" i="9"/>
  <c r="AX2399" i="9"/>
  <c r="AW2399" i="9"/>
  <c r="AZ2398" i="9"/>
  <c r="AX2398" i="9"/>
  <c r="AY2398" i="9"/>
  <c r="AW2398" i="9"/>
  <c r="AX2397" i="9"/>
  <c r="AZ2397" i="9"/>
  <c r="AY2397" i="9"/>
  <c r="AW2397" i="9"/>
  <c r="AW2396" i="9"/>
  <c r="AZ2396" i="9"/>
  <c r="AY2396" i="9"/>
  <c r="AX2396" i="9"/>
  <c r="AZ2395" i="9"/>
  <c r="AY2395" i="9"/>
  <c r="AX2395" i="9"/>
  <c r="AW2395" i="9"/>
  <c r="AZ2394" i="9"/>
  <c r="AY2394" i="9"/>
  <c r="AX2394" i="9"/>
  <c r="AW2394" i="9"/>
  <c r="AW2393" i="9"/>
  <c r="AZ2393" i="9"/>
  <c r="AY2393" i="9"/>
  <c r="AX2393" i="9"/>
  <c r="AX2392" i="9"/>
  <c r="AZ2392" i="9"/>
  <c r="AY2392" i="9"/>
  <c r="AW2392" i="9"/>
  <c r="AY2391" i="9"/>
  <c r="AZ2391" i="9"/>
  <c r="AX2391" i="9"/>
  <c r="AW2391" i="9"/>
  <c r="AZ2390" i="9"/>
  <c r="AY2390" i="9"/>
  <c r="AX2390" i="9"/>
  <c r="AW2390" i="9"/>
  <c r="AZ2389" i="9"/>
  <c r="AY2389" i="9"/>
  <c r="AX2389" i="9"/>
  <c r="AW2389" i="9"/>
  <c r="AW2388" i="9"/>
  <c r="AZ2388" i="9"/>
  <c r="AY2388" i="9"/>
  <c r="AX2388" i="9"/>
  <c r="AW2387" i="9"/>
  <c r="AY2387" i="9"/>
  <c r="AZ2387" i="9"/>
  <c r="AX2387" i="9"/>
  <c r="AW2386" i="9"/>
  <c r="AX2386" i="9"/>
  <c r="AY2386" i="9"/>
  <c r="AZ2386" i="9"/>
  <c r="AZ2385" i="9"/>
  <c r="AY2385" i="9"/>
  <c r="AX2385" i="9"/>
  <c r="AW2385" i="9"/>
  <c r="AZ2384" i="9"/>
  <c r="AY2384" i="9"/>
  <c r="AX2384" i="9"/>
  <c r="AW2384" i="9"/>
  <c r="AX2383" i="9"/>
  <c r="AY2383" i="9"/>
  <c r="AZ2383" i="9"/>
  <c r="AW2383" i="9"/>
  <c r="AZ2382" i="9"/>
  <c r="AY2382" i="9"/>
  <c r="AX2382" i="9"/>
  <c r="AW2382" i="9"/>
  <c r="AZ2381" i="9"/>
  <c r="AX2381" i="9"/>
  <c r="AW2381" i="9"/>
  <c r="AY2381" i="9"/>
  <c r="AZ2380" i="9"/>
  <c r="AX2380" i="9"/>
  <c r="AW2380" i="9"/>
  <c r="AY2380" i="9"/>
  <c r="AZ2379" i="9"/>
  <c r="AY2379" i="9"/>
  <c r="AX2379" i="9"/>
  <c r="AW2379" i="9"/>
  <c r="AZ2378" i="9"/>
  <c r="AY2378" i="9"/>
  <c r="AW2378" i="9"/>
  <c r="AX2378" i="9"/>
  <c r="AZ2377" i="9"/>
  <c r="AW2377" i="9"/>
  <c r="AX2377" i="9"/>
  <c r="AY2377" i="9"/>
  <c r="AZ2376" i="9"/>
  <c r="AW2376" i="9"/>
  <c r="AY2376" i="9"/>
  <c r="AX2376" i="9"/>
  <c r="AY2375" i="9"/>
  <c r="AX2375" i="9"/>
  <c r="AW2375" i="9"/>
  <c r="AZ2375" i="9"/>
  <c r="AZ2374" i="9"/>
  <c r="AY2374" i="9"/>
  <c r="AW2374" i="9"/>
  <c r="AX2374" i="9"/>
  <c r="AZ2373" i="9"/>
  <c r="AY2373" i="9"/>
  <c r="AX2373" i="9"/>
  <c r="AW2373" i="9"/>
  <c r="AZ2372" i="9"/>
  <c r="AW2372" i="9"/>
  <c r="AY2372" i="9"/>
  <c r="AX2372" i="9"/>
  <c r="AW2371" i="9"/>
  <c r="AX2371" i="9"/>
  <c r="AY2371" i="9"/>
  <c r="AZ2371" i="9"/>
  <c r="AX2370" i="9"/>
  <c r="AY2370" i="9"/>
  <c r="AZ2370" i="9"/>
  <c r="AW2370" i="9"/>
  <c r="AW2369" i="9"/>
  <c r="AX2369" i="9"/>
  <c r="AY2369" i="9"/>
  <c r="AZ2369" i="9"/>
  <c r="AZ2368" i="9"/>
  <c r="AY2368" i="9"/>
  <c r="AW2368" i="9"/>
  <c r="AX2368" i="9"/>
  <c r="AY2367" i="9"/>
  <c r="AZ2367" i="9"/>
  <c r="AX2367" i="9"/>
  <c r="AW2367" i="9"/>
  <c r="AZ2366" i="9"/>
  <c r="AX2366" i="9"/>
  <c r="AY2366" i="9"/>
  <c r="AW2366" i="9"/>
  <c r="AW2365" i="9"/>
  <c r="AX2365" i="9"/>
  <c r="AZ2365" i="9"/>
  <c r="AY2365" i="9"/>
  <c r="AZ2364" i="9"/>
  <c r="AW2364" i="9"/>
  <c r="AX2364" i="9"/>
  <c r="AY2364" i="9"/>
  <c r="AX2363" i="9"/>
  <c r="AW2363" i="9"/>
  <c r="AY2363" i="9"/>
  <c r="AZ2363" i="9"/>
  <c r="AW2362" i="9"/>
  <c r="AX2362" i="9"/>
  <c r="AY2362" i="9"/>
  <c r="AZ2362" i="9"/>
  <c r="AY2361" i="9"/>
  <c r="AZ2361" i="9"/>
  <c r="AW2361" i="9"/>
  <c r="AX2361" i="9"/>
  <c r="AZ2360" i="9"/>
  <c r="AY2360" i="9"/>
  <c r="AX2360" i="9"/>
  <c r="AW2360" i="9"/>
  <c r="AZ2359" i="9"/>
  <c r="AY2359" i="9"/>
  <c r="AX2359" i="9"/>
  <c r="AW2359" i="9"/>
  <c r="AZ2358" i="9"/>
  <c r="AX2358" i="9"/>
  <c r="AW2358" i="9"/>
  <c r="AY2358" i="9"/>
  <c r="AZ2357" i="9"/>
  <c r="AX2357" i="9"/>
  <c r="AW2357" i="9"/>
  <c r="AY2357" i="9"/>
  <c r="AX2356" i="9"/>
  <c r="AW2356" i="9"/>
  <c r="AY2356" i="9"/>
  <c r="AZ2356" i="9"/>
  <c r="AZ2355" i="9"/>
  <c r="AY2355" i="9"/>
  <c r="AX2355" i="9"/>
  <c r="AW2355" i="9"/>
  <c r="AW2354" i="9"/>
  <c r="AX2354" i="9"/>
  <c r="AY2354" i="9"/>
  <c r="AZ2354" i="9"/>
  <c r="AW2353" i="9"/>
  <c r="AZ2353" i="9"/>
  <c r="AY2353" i="9"/>
  <c r="AX2353" i="9"/>
  <c r="AZ2352" i="9"/>
  <c r="AY2352" i="9"/>
  <c r="AX2352" i="9"/>
  <c r="AW2352" i="9"/>
  <c r="AW2351" i="9"/>
  <c r="AY2351" i="9"/>
  <c r="AX2351" i="9"/>
  <c r="AZ2351" i="9"/>
  <c r="AZ2350" i="9"/>
  <c r="AX2350" i="9"/>
  <c r="AW2350" i="9"/>
  <c r="AY2350" i="9"/>
  <c r="AY2349" i="9"/>
  <c r="AW2349" i="9"/>
  <c r="AX2349" i="9"/>
  <c r="AZ2349" i="9"/>
  <c r="AY2348" i="9"/>
  <c r="AX2348" i="9"/>
  <c r="AZ2348" i="9"/>
  <c r="AW2348" i="9"/>
  <c r="AX2347" i="9"/>
  <c r="AW2347" i="9"/>
  <c r="AZ2347" i="9"/>
  <c r="AY2347" i="9"/>
  <c r="AW2346" i="9"/>
  <c r="AX2346" i="9"/>
  <c r="AY2346" i="9"/>
  <c r="AZ2346" i="9"/>
  <c r="AX2345" i="9"/>
  <c r="AW2345" i="9"/>
  <c r="AY2345" i="9"/>
  <c r="AZ2345" i="9"/>
  <c r="AZ2344" i="9"/>
  <c r="AY2344" i="9"/>
  <c r="AW2344" i="9"/>
  <c r="AX2344" i="9"/>
  <c r="AX2343" i="9"/>
  <c r="AW2343" i="9"/>
  <c r="AY2343" i="9"/>
  <c r="AZ2343" i="9"/>
  <c r="AY2342" i="9"/>
  <c r="AX2342" i="9"/>
  <c r="AW2342" i="9"/>
  <c r="AZ2342" i="9"/>
  <c r="AZ2341" i="9"/>
  <c r="AY2341" i="9"/>
  <c r="AX2341" i="9"/>
  <c r="AW2341" i="9"/>
  <c r="AZ2340" i="9"/>
  <c r="AW2340" i="9"/>
  <c r="AX2340" i="9"/>
  <c r="AY2340" i="9"/>
  <c r="AZ2339" i="9"/>
  <c r="AY2339" i="9"/>
  <c r="AW2339" i="9"/>
  <c r="AX2339" i="9"/>
  <c r="AZ2338" i="9"/>
  <c r="AY2338" i="9"/>
  <c r="AX2338" i="9"/>
  <c r="AW2338" i="9"/>
  <c r="AX2337" i="9"/>
  <c r="AZ2337" i="9"/>
  <c r="AY2337" i="9"/>
  <c r="AW2337" i="9"/>
  <c r="AY2336" i="9"/>
  <c r="AZ2336" i="9"/>
  <c r="AX2336" i="9"/>
  <c r="AW2336" i="9"/>
  <c r="AZ2335" i="9"/>
  <c r="AY2335" i="9"/>
  <c r="AW2335" i="9"/>
  <c r="AX2335" i="9"/>
  <c r="AW2334" i="9"/>
  <c r="AX2334" i="9"/>
  <c r="AY2334" i="9"/>
  <c r="AZ2334" i="9"/>
  <c r="AY2333" i="9"/>
  <c r="AX2333" i="9"/>
  <c r="AZ2333" i="9"/>
  <c r="AW2333" i="9"/>
  <c r="AW2332" i="9"/>
  <c r="AX2332" i="9"/>
  <c r="AY2332" i="9"/>
  <c r="AZ2332" i="9"/>
  <c r="AX2331" i="9"/>
  <c r="AW2331" i="9"/>
  <c r="AY2331" i="9"/>
  <c r="AZ2331" i="9"/>
  <c r="AY2330" i="9"/>
  <c r="AZ2330" i="9"/>
  <c r="AW2330" i="9"/>
  <c r="AX2330" i="9"/>
  <c r="AZ2329" i="9"/>
  <c r="AY2329" i="9"/>
  <c r="AX2329" i="9"/>
  <c r="AW2329" i="9"/>
  <c r="AY2328" i="9"/>
  <c r="AW2328" i="9"/>
  <c r="AX2328" i="9"/>
  <c r="AZ2328" i="9"/>
  <c r="AW2327" i="9"/>
  <c r="AZ2327" i="9"/>
  <c r="AX2327" i="9"/>
  <c r="AY2327" i="9"/>
  <c r="AW2326" i="9"/>
  <c r="AY2326" i="9"/>
  <c r="AZ2326" i="9"/>
  <c r="AX2326" i="9"/>
  <c r="AX2325" i="9"/>
  <c r="AZ2325" i="9"/>
  <c r="AY2325" i="9"/>
  <c r="AW2325" i="9"/>
  <c r="AW2324" i="9"/>
  <c r="AX2324" i="9"/>
  <c r="AY2324" i="9"/>
  <c r="AZ2324" i="9"/>
  <c r="AW2323" i="9"/>
  <c r="AX2323" i="9"/>
  <c r="AY2323" i="9"/>
  <c r="AZ2323" i="9"/>
  <c r="AX2322" i="9"/>
  <c r="AY2322" i="9"/>
  <c r="AZ2322" i="9"/>
  <c r="AW2322" i="9"/>
  <c r="AY2321" i="9"/>
  <c r="AW2321" i="9"/>
  <c r="AX2321" i="9"/>
  <c r="AZ2321" i="9"/>
  <c r="AX2320" i="9"/>
  <c r="AY2320" i="9"/>
  <c r="AW2320" i="9"/>
  <c r="AZ2320" i="9"/>
  <c r="AX2319" i="9"/>
  <c r="AW2319" i="9"/>
  <c r="AY2319" i="9"/>
  <c r="AZ2319" i="9"/>
  <c r="AW2318" i="9"/>
  <c r="AX2318" i="9"/>
  <c r="AY2318" i="9"/>
  <c r="AZ2318" i="9"/>
  <c r="AW2317" i="9"/>
  <c r="AX2317" i="9"/>
  <c r="AY2317" i="9"/>
  <c r="AZ2317" i="9"/>
  <c r="AW2316" i="9"/>
  <c r="AY2316" i="9"/>
  <c r="AZ2316" i="9"/>
  <c r="AX2316" i="9"/>
  <c r="AZ2315" i="9"/>
  <c r="AY2315" i="9"/>
  <c r="AX2315" i="9"/>
  <c r="AW2315" i="9"/>
  <c r="AX2314" i="9"/>
  <c r="AW2314" i="9"/>
  <c r="AZ2314" i="9"/>
  <c r="AY2314" i="9"/>
  <c r="AZ2313" i="9"/>
  <c r="AY2313" i="9"/>
  <c r="AX2313" i="9"/>
  <c r="AW2313" i="9"/>
  <c r="AZ2312" i="9"/>
  <c r="AY2312" i="9"/>
  <c r="AX2312" i="9"/>
  <c r="AW2312" i="9"/>
  <c r="AZ2311" i="9"/>
  <c r="AY2311" i="9"/>
  <c r="AX2311" i="9"/>
  <c r="AW2311" i="9"/>
  <c r="AY2310" i="9"/>
  <c r="AZ2310" i="9"/>
  <c r="AX2310" i="9"/>
  <c r="AW2310" i="9"/>
  <c r="AX2309" i="9"/>
  <c r="AY2309" i="9"/>
  <c r="AZ2309" i="9"/>
  <c r="AW2309" i="9"/>
  <c r="AW2308" i="9"/>
  <c r="AX2308" i="9"/>
  <c r="AY2308" i="9"/>
  <c r="AZ2308" i="9"/>
  <c r="AX2307" i="9"/>
  <c r="AY2307" i="9"/>
  <c r="AW2307" i="9"/>
  <c r="AZ2307" i="9"/>
  <c r="AX2306" i="9"/>
  <c r="AZ2306" i="9"/>
  <c r="AY2306" i="9"/>
  <c r="AW2306" i="9"/>
  <c r="AW2305" i="9"/>
  <c r="AY2305" i="9"/>
  <c r="AZ2305" i="9"/>
  <c r="AX2305" i="9"/>
  <c r="AY2304" i="9"/>
  <c r="AX2304" i="9"/>
  <c r="AW2304" i="9"/>
  <c r="AZ2304" i="9"/>
  <c r="AY2303" i="9"/>
  <c r="AZ2303" i="9"/>
  <c r="AX2303" i="9"/>
  <c r="AW2303" i="9"/>
  <c r="AW2302" i="9"/>
  <c r="AX2302" i="9"/>
  <c r="AY2302" i="9"/>
  <c r="AZ2302" i="9"/>
  <c r="AW2301" i="9"/>
  <c r="AX2301" i="9"/>
  <c r="AY2301" i="9"/>
  <c r="AZ2301" i="9"/>
  <c r="AW2300" i="9"/>
  <c r="AX2300" i="9"/>
  <c r="AY2300" i="9"/>
  <c r="AZ2300" i="9"/>
  <c r="AY2299" i="9"/>
  <c r="AX2299" i="9"/>
  <c r="AZ2299" i="9"/>
  <c r="AW2299" i="9"/>
  <c r="AW2298" i="9"/>
  <c r="AZ2298" i="9"/>
  <c r="AY2298" i="9"/>
  <c r="AX2298" i="9"/>
  <c r="AY2297" i="9"/>
  <c r="AX2297" i="9"/>
  <c r="AW2297" i="9"/>
  <c r="AZ2297" i="9"/>
  <c r="AW2296" i="9"/>
  <c r="AX2296" i="9"/>
  <c r="AY2296" i="9"/>
  <c r="AZ2296" i="9"/>
  <c r="AY2295" i="9"/>
  <c r="AZ2295" i="9"/>
  <c r="AW2295" i="9"/>
  <c r="AX2295" i="9"/>
  <c r="AY2294" i="9"/>
  <c r="AX2294" i="9"/>
  <c r="AW2294" i="9"/>
  <c r="AZ2294" i="9"/>
  <c r="AZ2293" i="9"/>
  <c r="AX2293" i="9"/>
  <c r="AW2293" i="9"/>
  <c r="AY2293" i="9"/>
  <c r="AZ2292" i="9"/>
  <c r="AY2292" i="9"/>
  <c r="AX2292" i="9"/>
  <c r="AW2292" i="9"/>
  <c r="AZ2291" i="9"/>
  <c r="AY2291" i="9"/>
  <c r="AX2291" i="9"/>
  <c r="AW2291" i="9"/>
  <c r="AZ2290" i="9"/>
  <c r="AY2290" i="9"/>
  <c r="AX2290" i="9"/>
  <c r="AW2290" i="9"/>
  <c r="AZ2289" i="9"/>
  <c r="AY2289" i="9"/>
  <c r="AX2289" i="9"/>
  <c r="AW2289" i="9"/>
  <c r="AX2288" i="9"/>
  <c r="AZ2288" i="9"/>
  <c r="AY2288" i="9"/>
  <c r="AW2288" i="9"/>
  <c r="AW2287" i="9"/>
  <c r="AX2287" i="9"/>
  <c r="AY2287" i="9"/>
  <c r="AZ2287" i="9"/>
  <c r="AW2286" i="9"/>
  <c r="AX2286" i="9"/>
  <c r="AY2286" i="9"/>
  <c r="AZ2286" i="9"/>
  <c r="AX2285" i="9"/>
  <c r="AY2285" i="9"/>
  <c r="AZ2285" i="9"/>
  <c r="AW2285" i="9"/>
  <c r="AX2284" i="9"/>
  <c r="AY2284" i="9"/>
  <c r="AZ2284" i="9"/>
  <c r="AW2284" i="9"/>
  <c r="AW2283" i="9"/>
  <c r="AX2283" i="9"/>
  <c r="AY2283" i="9"/>
  <c r="AZ2283" i="9"/>
  <c r="AY2282" i="9"/>
  <c r="AX2282" i="9"/>
  <c r="AW2282" i="9"/>
  <c r="AZ2282" i="9"/>
  <c r="AW2281" i="9"/>
  <c r="AX2281" i="9"/>
  <c r="AY2281" i="9"/>
  <c r="AZ2281" i="9"/>
  <c r="AY2280" i="9"/>
  <c r="AZ2280" i="9"/>
  <c r="AX2280" i="9"/>
  <c r="AW2280" i="9"/>
  <c r="AX2279" i="9"/>
  <c r="AW2279" i="9"/>
  <c r="AZ2279" i="9"/>
  <c r="AY2279" i="9"/>
  <c r="AX2278" i="9"/>
  <c r="AY2278" i="9"/>
  <c r="AW2278" i="9"/>
  <c r="AZ2278" i="9"/>
  <c r="AZ2277" i="9"/>
  <c r="AY2277" i="9"/>
  <c r="AX2277" i="9"/>
  <c r="AW2277" i="9"/>
  <c r="AZ2276" i="9"/>
  <c r="AX2276" i="9"/>
  <c r="AW2276" i="9"/>
  <c r="AY2276" i="9"/>
  <c r="AW2275" i="9"/>
  <c r="AY2275" i="9"/>
  <c r="AZ2275" i="9"/>
  <c r="AX2275" i="9"/>
  <c r="AW2274" i="9"/>
  <c r="AZ2274" i="9"/>
  <c r="AX2274" i="9"/>
  <c r="AY2274" i="9"/>
  <c r="AY2273" i="9"/>
  <c r="AX2273" i="9"/>
  <c r="AW2273" i="9"/>
  <c r="AZ2273" i="9"/>
  <c r="AZ2272" i="9"/>
  <c r="AY2272" i="9"/>
  <c r="AX2272" i="9"/>
  <c r="AW2272" i="9"/>
  <c r="AZ2271" i="9"/>
  <c r="AY2271" i="9"/>
  <c r="AX2271" i="9"/>
  <c r="AW2271" i="9"/>
  <c r="AZ2270" i="9"/>
  <c r="AY2270" i="9"/>
  <c r="AX2270" i="9"/>
  <c r="AW2270" i="9"/>
  <c r="AZ2269" i="9"/>
  <c r="AW2269" i="9"/>
  <c r="AX2269" i="9"/>
  <c r="AY2269" i="9"/>
  <c r="AY2268" i="9"/>
  <c r="AX2268" i="9"/>
  <c r="AW2268" i="9"/>
  <c r="AZ2268" i="9"/>
  <c r="AZ2267" i="9"/>
  <c r="AY2267" i="9"/>
  <c r="AW2267" i="9"/>
  <c r="AX2267" i="9"/>
  <c r="AZ2266" i="9"/>
  <c r="AY2266" i="9"/>
  <c r="AX2266" i="9"/>
  <c r="AW2266" i="9"/>
  <c r="AZ2265" i="9"/>
  <c r="AW2265" i="9"/>
  <c r="AX2265" i="9"/>
  <c r="AY2265" i="9"/>
  <c r="AY2264" i="9"/>
  <c r="AW2264" i="9"/>
  <c r="AX2264" i="9"/>
  <c r="AZ2264" i="9"/>
  <c r="AY2263" i="9"/>
  <c r="AZ2263" i="9"/>
  <c r="AX2263" i="9"/>
  <c r="AW2263" i="9"/>
  <c r="AX2262" i="9"/>
  <c r="AZ2262" i="9"/>
  <c r="AY2262" i="9"/>
  <c r="AW2262" i="9"/>
  <c r="AW2261" i="9"/>
  <c r="AZ2261" i="9"/>
  <c r="AY2261" i="9"/>
  <c r="AX2261" i="9"/>
  <c r="AZ2260" i="9"/>
  <c r="AY2260" i="9"/>
  <c r="AX2260" i="9"/>
  <c r="AW2260" i="9"/>
  <c r="AY2259" i="9"/>
  <c r="AZ2259" i="9"/>
  <c r="AW2259" i="9"/>
  <c r="AX2259" i="9"/>
  <c r="AZ2258" i="9"/>
  <c r="AY2258" i="9"/>
  <c r="AX2258" i="9"/>
  <c r="AW2258" i="9"/>
  <c r="AZ2257" i="9"/>
  <c r="AY2257" i="9"/>
  <c r="AX2257" i="9"/>
  <c r="AW2257" i="9"/>
  <c r="AZ2256" i="9"/>
  <c r="AY2256" i="9"/>
  <c r="AX2256" i="9"/>
  <c r="AW2256" i="9"/>
  <c r="AZ2255" i="9"/>
  <c r="AY2255" i="9"/>
  <c r="AX2255" i="9"/>
  <c r="AW2255" i="9"/>
  <c r="AW2254" i="9"/>
  <c r="AZ2254" i="9"/>
  <c r="AY2254" i="9"/>
  <c r="AX2254" i="9"/>
  <c r="AW2253" i="9"/>
  <c r="AX2253" i="9"/>
  <c r="AY2253" i="9"/>
  <c r="AZ2253" i="9"/>
  <c r="AZ2252" i="9"/>
  <c r="AY2252" i="9"/>
  <c r="AX2252" i="9"/>
  <c r="AW2252" i="9"/>
  <c r="AX2251" i="9"/>
  <c r="AZ2251" i="9"/>
  <c r="AY2251" i="9"/>
  <c r="AW2251" i="9"/>
  <c r="AX2250" i="9"/>
  <c r="AY2250" i="9"/>
  <c r="AW2250" i="9"/>
  <c r="AZ2250" i="9"/>
  <c r="AY2249" i="9"/>
  <c r="AZ2249" i="9"/>
  <c r="AX2249" i="9"/>
  <c r="AW2249" i="9"/>
  <c r="AZ2248" i="9"/>
  <c r="AY2248" i="9"/>
  <c r="AX2248" i="9"/>
  <c r="AW2248" i="9"/>
  <c r="AZ2247" i="9"/>
  <c r="AY2247" i="9"/>
  <c r="AX2247" i="9"/>
  <c r="AW2247" i="9"/>
  <c r="AZ2246" i="9"/>
  <c r="AY2246" i="9"/>
  <c r="AX2246" i="9"/>
  <c r="AW2246" i="9"/>
  <c r="AZ2245" i="9"/>
  <c r="AY2245" i="9"/>
  <c r="AX2245" i="9"/>
  <c r="AW2245" i="9"/>
  <c r="AZ2244" i="9"/>
  <c r="AY2244" i="9"/>
  <c r="AX2244" i="9"/>
  <c r="AW2244" i="9"/>
  <c r="AZ2243" i="9"/>
  <c r="AY2243" i="9"/>
  <c r="AX2243" i="9"/>
  <c r="AW2243" i="9"/>
  <c r="AZ2242" i="9"/>
  <c r="AY2242" i="9"/>
  <c r="AX2242" i="9"/>
  <c r="AW2242" i="9"/>
  <c r="AZ2241" i="9"/>
  <c r="AY2241" i="9"/>
  <c r="AX2241" i="9"/>
  <c r="AW2241" i="9"/>
  <c r="AZ2240" i="9"/>
  <c r="AY2240" i="9"/>
  <c r="AX2240" i="9"/>
  <c r="AW2240" i="9"/>
  <c r="AZ2239" i="9"/>
  <c r="AY2239" i="9"/>
  <c r="AX2239" i="9"/>
  <c r="AW2239" i="9"/>
  <c r="AZ2238" i="9"/>
  <c r="AY2238" i="9"/>
  <c r="AX2238" i="9"/>
  <c r="AW2238" i="9"/>
  <c r="AZ2237" i="9"/>
  <c r="AY2237" i="9"/>
  <c r="AX2237" i="9"/>
  <c r="AW2237" i="9"/>
  <c r="AZ2236" i="9"/>
  <c r="AY2236" i="9"/>
  <c r="AX2236" i="9"/>
  <c r="AW2236" i="9"/>
  <c r="AZ2235" i="9"/>
  <c r="AY2235" i="9"/>
  <c r="AX2235" i="9"/>
  <c r="AW2235" i="9"/>
  <c r="AZ2234" i="9"/>
  <c r="AY2234" i="9"/>
  <c r="AX2234" i="9"/>
  <c r="AW2234" i="9"/>
  <c r="AZ2233" i="9"/>
  <c r="AY2233" i="9"/>
  <c r="AX2233" i="9"/>
  <c r="AW2233" i="9"/>
  <c r="AZ2232" i="9"/>
  <c r="AY2232" i="9"/>
  <c r="AX2232" i="9"/>
  <c r="AW2232" i="9"/>
  <c r="AZ2231" i="9"/>
  <c r="AY2231" i="9"/>
  <c r="AX2231" i="9"/>
  <c r="AW2231" i="9"/>
  <c r="AZ2230" i="9"/>
  <c r="AY2230" i="9"/>
  <c r="AX2230" i="9"/>
  <c r="AW2230" i="9"/>
  <c r="AZ2229" i="9"/>
  <c r="AY2229" i="9"/>
  <c r="AX2229" i="9"/>
  <c r="AW2229" i="9"/>
  <c r="AZ2228" i="9"/>
  <c r="AY2228" i="9"/>
  <c r="AX2228" i="9"/>
  <c r="AW2228" i="9"/>
  <c r="AZ2227" i="9"/>
  <c r="AY2227" i="9"/>
  <c r="AX2227" i="9"/>
  <c r="AW2227" i="9"/>
  <c r="AZ2226" i="9"/>
  <c r="AY2226" i="9"/>
  <c r="AX2226" i="9"/>
  <c r="AW2226" i="9"/>
  <c r="AZ2225" i="9"/>
  <c r="AY2225" i="9"/>
  <c r="AX2225" i="9"/>
  <c r="AW2225" i="9"/>
  <c r="AZ2224" i="9"/>
  <c r="AY2224" i="9"/>
  <c r="AX2224" i="9"/>
  <c r="AW2224" i="9"/>
  <c r="AZ2223" i="9"/>
  <c r="AY2223" i="9"/>
  <c r="AX2223" i="9"/>
  <c r="AW2223" i="9"/>
  <c r="AZ2222" i="9"/>
  <c r="AY2222" i="9"/>
  <c r="AX2222" i="9"/>
  <c r="AW2222" i="9"/>
  <c r="AZ2221" i="9"/>
  <c r="AY2221" i="9"/>
  <c r="AX2221" i="9"/>
  <c r="AW2221" i="9"/>
  <c r="AZ2220" i="9"/>
  <c r="AY2220" i="9"/>
  <c r="AX2220" i="9"/>
  <c r="AW2220" i="9"/>
  <c r="AZ2219" i="9"/>
  <c r="AY2219" i="9"/>
  <c r="AX2219" i="9"/>
  <c r="AW2219" i="9"/>
  <c r="AY2218" i="9"/>
  <c r="AZ2218" i="9"/>
  <c r="AX2218" i="9"/>
  <c r="AW2218" i="9"/>
  <c r="AY2217" i="9"/>
  <c r="AX2217" i="9"/>
  <c r="AW2217" i="9"/>
  <c r="AZ2217" i="9"/>
  <c r="AW2216" i="9"/>
  <c r="AX2216" i="9"/>
  <c r="AY2216" i="9"/>
  <c r="AZ2216" i="9"/>
  <c r="AW2215" i="9"/>
  <c r="AX2215" i="9"/>
  <c r="AY2215" i="9"/>
  <c r="AZ2215" i="9"/>
  <c r="AY2214" i="9"/>
  <c r="AX2214" i="9"/>
  <c r="AW2214" i="9"/>
  <c r="AZ2214" i="9"/>
  <c r="AZ2213" i="9"/>
  <c r="AY2213" i="9"/>
  <c r="AX2213" i="9"/>
  <c r="AW2213" i="9"/>
  <c r="AZ2212" i="9"/>
  <c r="AY2212" i="9"/>
  <c r="AX2212" i="9"/>
  <c r="AW2212" i="9"/>
  <c r="AW2211" i="9"/>
  <c r="AZ2211" i="9"/>
  <c r="AY2211" i="9"/>
  <c r="AX2211" i="9"/>
  <c r="AZ2210" i="9"/>
  <c r="AY2210" i="9"/>
  <c r="AX2210" i="9"/>
  <c r="AW2210" i="9"/>
  <c r="AY2209" i="9"/>
  <c r="AW2209" i="9"/>
  <c r="AZ2209" i="9"/>
  <c r="AX2209" i="9"/>
  <c r="AX2208" i="9"/>
  <c r="AY2208" i="9"/>
  <c r="AZ2208" i="9"/>
  <c r="AW2208" i="9"/>
  <c r="AY2207" i="9"/>
  <c r="AX2207" i="9"/>
  <c r="AW2207" i="9"/>
  <c r="AZ2207" i="9"/>
  <c r="AY2206" i="9"/>
  <c r="AX2206" i="9"/>
  <c r="AW2206" i="9"/>
  <c r="AZ2206" i="9"/>
  <c r="AZ2205" i="9"/>
  <c r="AW2205" i="9"/>
  <c r="AX2205" i="9"/>
  <c r="AY2205" i="9"/>
  <c r="AW2204" i="9"/>
  <c r="AX2204" i="9"/>
  <c r="AY2204" i="9"/>
  <c r="AZ2204" i="9"/>
  <c r="AY2203" i="9"/>
  <c r="AX2203" i="9"/>
  <c r="AW2203" i="9"/>
  <c r="AZ2203" i="9"/>
  <c r="AX2202" i="9"/>
  <c r="AW2202" i="9"/>
  <c r="AZ2202" i="9"/>
  <c r="AY2202" i="9"/>
  <c r="AY2201" i="9"/>
  <c r="AZ2201" i="9"/>
  <c r="AX2201" i="9"/>
  <c r="AW2201" i="9"/>
  <c r="AZ2200" i="9"/>
  <c r="AY2200" i="9"/>
  <c r="AW2200" i="9"/>
  <c r="AX2200" i="9"/>
  <c r="AZ2199" i="9"/>
  <c r="AY2199" i="9"/>
  <c r="AX2199" i="9"/>
  <c r="AW2199" i="9"/>
  <c r="AZ2198" i="9"/>
  <c r="AY2198" i="9"/>
  <c r="AW2198" i="9"/>
  <c r="AX2198" i="9"/>
  <c r="AZ2197" i="9"/>
  <c r="AW2197" i="9"/>
  <c r="AX2197" i="9"/>
  <c r="AY2197" i="9"/>
  <c r="AW2196" i="9"/>
  <c r="AX2196" i="9"/>
  <c r="AY2196" i="9"/>
  <c r="AZ2196" i="9"/>
  <c r="AW2195" i="9"/>
  <c r="AX2195" i="9"/>
  <c r="AY2195" i="9"/>
  <c r="AZ2195" i="9"/>
  <c r="AY2194" i="9"/>
  <c r="AZ2194" i="9"/>
  <c r="AW2194" i="9"/>
  <c r="AX2194" i="9"/>
  <c r="AW2193" i="9"/>
  <c r="AX2193" i="9"/>
  <c r="AY2193" i="9"/>
  <c r="AZ2193" i="9"/>
  <c r="AY2192" i="9"/>
  <c r="AW2192" i="9"/>
  <c r="AX2192" i="9"/>
  <c r="AZ2192" i="9"/>
  <c r="AW2191" i="9"/>
  <c r="AX2191" i="9"/>
  <c r="AY2191" i="9"/>
  <c r="AZ2191" i="9"/>
  <c r="AY2190" i="9"/>
  <c r="AZ2190" i="9"/>
  <c r="AX2190" i="9"/>
  <c r="AW2190" i="9"/>
  <c r="AZ2189" i="9"/>
  <c r="AY2189" i="9"/>
  <c r="AW2189" i="9"/>
  <c r="AX2189" i="9"/>
  <c r="AZ2188" i="9"/>
  <c r="AX2188" i="9"/>
  <c r="AW2188" i="9"/>
  <c r="AY2188" i="9"/>
  <c r="AZ2187" i="9"/>
  <c r="AW2187" i="9"/>
  <c r="AX2187" i="9"/>
  <c r="AY2187" i="9"/>
  <c r="AZ2186" i="9"/>
  <c r="AX2186" i="9"/>
  <c r="AW2186" i="9"/>
  <c r="AY2186" i="9"/>
  <c r="AX2185" i="9"/>
  <c r="AY2185" i="9"/>
  <c r="AZ2185" i="9"/>
  <c r="AW2185" i="9"/>
  <c r="AW2184" i="9"/>
  <c r="AX2184" i="9"/>
  <c r="AY2184" i="9"/>
  <c r="AZ2184" i="9"/>
  <c r="AZ2183" i="9"/>
  <c r="AW2183" i="9"/>
  <c r="AY2183" i="9"/>
  <c r="AX2183" i="9"/>
  <c r="AX2182" i="9"/>
  <c r="AY2182" i="9"/>
  <c r="AZ2182" i="9"/>
  <c r="AW2182" i="9"/>
  <c r="AX2181" i="9"/>
  <c r="AY2181" i="9"/>
  <c r="AZ2181" i="9"/>
  <c r="AW2181" i="9"/>
  <c r="AX2180" i="9"/>
  <c r="AW2180" i="9"/>
  <c r="AZ2180" i="9"/>
  <c r="AY2180" i="9"/>
  <c r="AW2179" i="9"/>
  <c r="AX2179" i="9"/>
  <c r="AY2179" i="9"/>
  <c r="AZ2179" i="9"/>
  <c r="AY2178" i="9"/>
  <c r="AX2178" i="9"/>
  <c r="AW2178" i="9"/>
  <c r="AZ2178" i="9"/>
  <c r="AZ2177" i="9"/>
  <c r="AY2177" i="9"/>
  <c r="AX2177" i="9"/>
  <c r="AW2177" i="9"/>
  <c r="AY2176" i="9"/>
  <c r="AX2176" i="9"/>
  <c r="AW2176" i="9"/>
  <c r="AZ2176" i="9"/>
  <c r="AY2175" i="9"/>
  <c r="AZ2175" i="9"/>
  <c r="AX2175" i="9"/>
  <c r="AW2175" i="9"/>
  <c r="AZ2174" i="9"/>
  <c r="AY2174" i="9"/>
  <c r="AW2174" i="9"/>
  <c r="AX2174" i="9"/>
  <c r="AY2173" i="9"/>
  <c r="AW2173" i="9"/>
  <c r="AX2173" i="9"/>
  <c r="AZ2173" i="9"/>
  <c r="AZ2172" i="9"/>
  <c r="AY2172" i="9"/>
  <c r="AX2172" i="9"/>
  <c r="AW2172" i="9"/>
  <c r="AZ2171" i="9"/>
  <c r="AY2171" i="9"/>
  <c r="AX2171" i="9"/>
  <c r="AW2171" i="9"/>
  <c r="AZ2170" i="9"/>
  <c r="AY2170" i="9"/>
  <c r="AX2170" i="9"/>
  <c r="AW2170" i="9"/>
  <c r="AZ2169" i="9"/>
  <c r="AY2169" i="9"/>
  <c r="AX2169" i="9"/>
  <c r="AW2169" i="9"/>
  <c r="AZ2168" i="9"/>
  <c r="AY2168" i="9"/>
  <c r="AX2168" i="9"/>
  <c r="AW2168" i="9"/>
  <c r="AZ2167" i="9"/>
  <c r="AY2167" i="9"/>
  <c r="AX2167" i="9"/>
  <c r="AW2167" i="9"/>
  <c r="AZ2166" i="9"/>
  <c r="AY2166" i="9"/>
  <c r="AX2166" i="9"/>
  <c r="AW2166" i="9"/>
  <c r="AZ2165" i="9"/>
  <c r="AY2165" i="9"/>
  <c r="AX2165" i="9"/>
  <c r="AW2165" i="9"/>
  <c r="AZ2164" i="9"/>
  <c r="AY2164" i="9"/>
  <c r="AX2164" i="9"/>
  <c r="AW2164" i="9"/>
  <c r="AZ2163" i="9"/>
  <c r="AY2163" i="9"/>
  <c r="AX2163" i="9"/>
  <c r="AW2163" i="9"/>
  <c r="AZ2162" i="9"/>
  <c r="AY2162" i="9"/>
  <c r="AX2162" i="9"/>
  <c r="AW2162" i="9"/>
  <c r="AY2161" i="9"/>
  <c r="AZ2161" i="9"/>
  <c r="AX2161" i="9"/>
  <c r="AW2161" i="9"/>
  <c r="AY2160" i="9"/>
  <c r="AZ2160" i="9"/>
  <c r="AW2160" i="9"/>
  <c r="AX2160" i="9"/>
  <c r="AY2159" i="9"/>
  <c r="AX2159" i="9"/>
  <c r="AW2159" i="9"/>
  <c r="AZ2159" i="9"/>
  <c r="AZ2158" i="9"/>
  <c r="AX2158" i="9"/>
  <c r="AW2158" i="9"/>
  <c r="AY2158" i="9"/>
  <c r="AZ2157" i="9"/>
  <c r="AY2157" i="9"/>
  <c r="AX2157" i="9"/>
  <c r="AW2157" i="9"/>
  <c r="AY2156" i="9"/>
  <c r="AZ2156" i="9"/>
  <c r="AX2156" i="9"/>
  <c r="AW2156" i="9"/>
  <c r="AY2155" i="9"/>
  <c r="AX2155" i="9"/>
  <c r="AW2155" i="9"/>
  <c r="AZ2155" i="9"/>
  <c r="AX2154" i="9"/>
  <c r="AW2154" i="9"/>
  <c r="AY2154" i="9"/>
  <c r="AZ2154" i="9"/>
  <c r="AW2153" i="9"/>
  <c r="AX2153" i="9"/>
  <c r="AY2153" i="9"/>
  <c r="AZ2153" i="9"/>
  <c r="AX2152" i="9"/>
  <c r="AW2152" i="9"/>
  <c r="AY2152" i="9"/>
  <c r="AZ2152" i="9"/>
  <c r="AZ2151" i="9"/>
  <c r="AY2151" i="9"/>
  <c r="AX2151" i="9"/>
  <c r="AW2151" i="9"/>
  <c r="AW2150" i="9"/>
  <c r="AZ2150" i="9"/>
  <c r="AY2150" i="9"/>
  <c r="AX2150" i="9"/>
  <c r="AW2149" i="9"/>
  <c r="AX2149" i="9"/>
  <c r="AY2149" i="9"/>
  <c r="AZ2149" i="9"/>
  <c r="AZ2148" i="9"/>
  <c r="AW2148" i="9"/>
  <c r="AX2148" i="9"/>
  <c r="AY2148" i="9"/>
  <c r="AY2147" i="9"/>
  <c r="AX2147" i="9"/>
  <c r="AW2147" i="9"/>
  <c r="AZ2147" i="9"/>
  <c r="AZ2146" i="9"/>
  <c r="AY2146" i="9"/>
  <c r="AX2146" i="9"/>
  <c r="AW2146" i="9"/>
  <c r="AZ2145" i="9"/>
  <c r="AY2145" i="9"/>
  <c r="AX2145" i="9"/>
  <c r="AW2145" i="9"/>
  <c r="AY2144" i="9"/>
  <c r="AZ2144" i="9"/>
  <c r="AW2144" i="9"/>
  <c r="AX2144" i="9"/>
  <c r="AZ2143" i="9"/>
  <c r="AY2143" i="9"/>
  <c r="AX2143" i="9"/>
  <c r="AW2143" i="9"/>
  <c r="AX2142" i="9"/>
  <c r="AW2142" i="9"/>
  <c r="AZ2142" i="9"/>
  <c r="AY2142" i="9"/>
  <c r="AW2141" i="9"/>
  <c r="AX2141" i="9"/>
  <c r="AY2141" i="9"/>
  <c r="AZ2141" i="9"/>
  <c r="AX2140" i="9"/>
  <c r="AY2140" i="9"/>
  <c r="AZ2140" i="9"/>
  <c r="AW2140" i="9"/>
  <c r="AZ2139" i="9"/>
  <c r="AX2139" i="9"/>
  <c r="AW2139" i="9"/>
  <c r="AY2139" i="9"/>
  <c r="AZ2138" i="9"/>
  <c r="AY2138" i="9"/>
  <c r="AW2138" i="9"/>
  <c r="AX2138" i="9"/>
  <c r="AZ2137" i="9"/>
  <c r="AY2137" i="9"/>
  <c r="AX2137" i="9"/>
  <c r="AW2137" i="9"/>
  <c r="AZ2136" i="9"/>
  <c r="AY2136" i="9"/>
  <c r="AX2136" i="9"/>
  <c r="AW2136" i="9"/>
  <c r="AW2135" i="9"/>
  <c r="AZ2135" i="9"/>
  <c r="AY2135" i="9"/>
  <c r="AX2135" i="9"/>
  <c r="AZ2134" i="9"/>
  <c r="AW2134" i="9"/>
  <c r="AX2134" i="9"/>
  <c r="AY2134" i="9"/>
  <c r="AW2133" i="9"/>
  <c r="AX2133" i="9"/>
  <c r="AY2133" i="9"/>
  <c r="AZ2133" i="9"/>
  <c r="AW2132" i="9"/>
  <c r="AX2132" i="9"/>
  <c r="AY2132" i="9"/>
  <c r="AZ2132" i="9"/>
  <c r="AX2131" i="9"/>
  <c r="AZ2131" i="9"/>
  <c r="AY2131" i="9"/>
  <c r="AW2131" i="9"/>
  <c r="AZ2130" i="9"/>
  <c r="AW2130" i="9"/>
  <c r="AY2130" i="9"/>
  <c r="AX2130" i="9"/>
  <c r="AZ2129" i="9"/>
  <c r="AY2129" i="9"/>
  <c r="AX2129" i="9"/>
  <c r="AW2129" i="9"/>
  <c r="AZ2128" i="9"/>
  <c r="AY2128" i="9"/>
  <c r="AX2128" i="9"/>
  <c r="AW2128" i="9"/>
  <c r="AZ2127" i="9"/>
  <c r="AY2127" i="9"/>
  <c r="AX2127" i="9"/>
  <c r="AW2127" i="9"/>
  <c r="AZ2126" i="9"/>
  <c r="AY2126" i="9"/>
  <c r="AX2126" i="9"/>
  <c r="AW2126" i="9"/>
  <c r="AZ2125" i="9"/>
  <c r="AY2125" i="9"/>
  <c r="AX2125" i="9"/>
  <c r="AW2125" i="9"/>
  <c r="AX2124" i="9"/>
  <c r="AW2124" i="9"/>
  <c r="AY2124" i="9"/>
  <c r="AZ2124" i="9"/>
  <c r="AZ2123" i="9"/>
  <c r="AY2123" i="9"/>
  <c r="AW2123" i="9"/>
  <c r="AX2123" i="9"/>
  <c r="AX2122" i="9"/>
  <c r="AW2122" i="9"/>
  <c r="AY2122" i="9"/>
  <c r="AZ2122" i="9"/>
  <c r="AW2121" i="9"/>
  <c r="AX2121" i="9"/>
  <c r="AZ2121" i="9"/>
  <c r="AY2121" i="9"/>
  <c r="AW2120" i="9"/>
  <c r="AX2120" i="9"/>
  <c r="AY2120" i="9"/>
  <c r="AZ2120" i="9"/>
  <c r="AZ2119" i="9"/>
  <c r="AX2119" i="9"/>
  <c r="AW2119" i="9"/>
  <c r="AY2119" i="9"/>
  <c r="AX2118" i="9"/>
  <c r="AY2118" i="9"/>
  <c r="AZ2118" i="9"/>
  <c r="AW2118" i="9"/>
  <c r="AW2117" i="9"/>
  <c r="AX2117" i="9"/>
  <c r="AY2117" i="9"/>
  <c r="AZ2117" i="9"/>
  <c r="AW2116" i="9"/>
  <c r="AX2116" i="9"/>
  <c r="AY2116" i="9"/>
  <c r="AZ2116" i="9"/>
  <c r="AX2115" i="9"/>
  <c r="AZ2115" i="9"/>
  <c r="AY2115" i="9"/>
  <c r="AW2115" i="9"/>
  <c r="AZ2114" i="9"/>
  <c r="AY2114" i="9"/>
  <c r="AX2114" i="9"/>
  <c r="AW2114" i="9"/>
  <c r="AX2113" i="9"/>
  <c r="AY2113" i="9"/>
  <c r="AZ2113" i="9"/>
  <c r="AW2113" i="9"/>
  <c r="AW2112" i="9"/>
  <c r="AX2112" i="9"/>
  <c r="AY2112" i="9"/>
  <c r="AZ2112" i="9"/>
  <c r="AX2111" i="9"/>
  <c r="AY2111" i="9"/>
  <c r="AZ2111" i="9"/>
  <c r="AW2111" i="9"/>
  <c r="AW2110" i="9"/>
  <c r="AX2110" i="9"/>
  <c r="AY2110" i="9"/>
  <c r="AZ2110" i="9"/>
  <c r="AY2109" i="9"/>
  <c r="AZ2109" i="9"/>
  <c r="AX2109" i="9"/>
  <c r="AW2109" i="9"/>
  <c r="AX2108" i="9"/>
  <c r="AY2108" i="9"/>
  <c r="AZ2108" i="9"/>
  <c r="AW2108" i="9"/>
  <c r="AX2107" i="9"/>
  <c r="AY2107" i="9"/>
  <c r="AZ2107" i="9"/>
  <c r="AW2107" i="9"/>
  <c r="AZ2106" i="9"/>
  <c r="AW2106" i="9"/>
  <c r="AX2106" i="9"/>
  <c r="AY2106" i="9"/>
  <c r="AW2105" i="9"/>
  <c r="AX2105" i="9"/>
  <c r="AY2105" i="9"/>
  <c r="AZ2105" i="9"/>
  <c r="AX2104" i="9"/>
  <c r="AY2104" i="9"/>
  <c r="AZ2104" i="9"/>
  <c r="AW2104" i="9"/>
  <c r="AW2103" i="9"/>
  <c r="AX2103" i="9"/>
  <c r="AY2103" i="9"/>
  <c r="AZ2103" i="9"/>
  <c r="AW2102" i="9"/>
  <c r="AZ2102" i="9"/>
  <c r="AX2102" i="9"/>
  <c r="AY2102" i="9"/>
  <c r="AW2101" i="9"/>
  <c r="AZ2101" i="9"/>
  <c r="AY2101" i="9"/>
  <c r="AX2101" i="9"/>
  <c r="AX2100" i="9"/>
  <c r="AY2100" i="9"/>
  <c r="AZ2100" i="9"/>
  <c r="AW2100" i="9"/>
  <c r="AY2099" i="9"/>
  <c r="AW2099" i="9"/>
  <c r="AX2099" i="9"/>
  <c r="AZ2099" i="9"/>
  <c r="AX2098" i="9"/>
  <c r="AY2098" i="9"/>
  <c r="AZ2098" i="9"/>
  <c r="AW2098" i="9"/>
  <c r="AZ2097" i="9"/>
  <c r="AY2097" i="9"/>
  <c r="AW2097" i="9"/>
  <c r="AX2097" i="9"/>
  <c r="AY2096" i="9"/>
  <c r="AX2096" i="9"/>
  <c r="AW2096" i="9"/>
  <c r="AZ2096" i="9"/>
  <c r="AW2095" i="9"/>
  <c r="AX2095" i="9"/>
  <c r="AZ2095" i="9"/>
  <c r="AY2095" i="9"/>
  <c r="AX2094" i="9"/>
  <c r="AW2094" i="9"/>
  <c r="AY2094" i="9"/>
  <c r="AZ2094" i="9"/>
  <c r="AZ2093" i="9"/>
  <c r="AX2093" i="9"/>
  <c r="AW2093" i="9"/>
  <c r="AY2093" i="9"/>
  <c r="AW2092" i="9"/>
  <c r="AZ2092" i="9"/>
  <c r="AY2092" i="9"/>
  <c r="AX2092" i="9"/>
  <c r="AW2091" i="9"/>
  <c r="AX2091" i="9"/>
  <c r="AY2091" i="9"/>
  <c r="AZ2091" i="9"/>
  <c r="AW2090" i="9"/>
  <c r="AX2090" i="9"/>
  <c r="AZ2090" i="9"/>
  <c r="AY2090" i="9"/>
  <c r="AY2089" i="9"/>
  <c r="AX2089" i="9"/>
  <c r="AW2089" i="9"/>
  <c r="AZ2089" i="9"/>
  <c r="AZ2088" i="9"/>
  <c r="AY2088" i="9"/>
  <c r="AX2088" i="9"/>
  <c r="AW2088" i="9"/>
  <c r="AZ2087" i="9"/>
  <c r="AY2087" i="9"/>
  <c r="AX2087" i="9"/>
  <c r="AW2087" i="9"/>
  <c r="AY2086" i="9"/>
  <c r="AX2086" i="9"/>
  <c r="AW2086" i="9"/>
  <c r="AZ2086" i="9"/>
  <c r="AX2085" i="9"/>
  <c r="AZ2085" i="9"/>
  <c r="AY2085" i="9"/>
  <c r="AW2085" i="9"/>
  <c r="AZ2084" i="9"/>
  <c r="AW2084" i="9"/>
  <c r="AX2084" i="9"/>
  <c r="AY2084" i="9"/>
  <c r="AW2083" i="9"/>
  <c r="AX2083" i="9"/>
  <c r="AY2083" i="9"/>
  <c r="AZ2083" i="9"/>
  <c r="AW2082" i="9"/>
  <c r="AZ2082" i="9"/>
  <c r="AY2082" i="9"/>
  <c r="AX2082" i="9"/>
  <c r="AZ2081" i="9"/>
  <c r="AY2081" i="9"/>
  <c r="AX2081" i="9"/>
  <c r="AW2081" i="9"/>
  <c r="AZ2080" i="9"/>
  <c r="AY2080" i="9"/>
  <c r="AW2080" i="9"/>
  <c r="AX2080" i="9"/>
  <c r="AW2079" i="9"/>
  <c r="AX2079" i="9"/>
  <c r="AY2079" i="9"/>
  <c r="AZ2079" i="9"/>
  <c r="AW2078" i="9"/>
  <c r="AX2078" i="9"/>
  <c r="AY2078" i="9"/>
  <c r="AZ2078" i="9"/>
  <c r="AY2077" i="9"/>
  <c r="AW2077" i="9"/>
  <c r="AX2077" i="9"/>
  <c r="AZ2077" i="9"/>
  <c r="AX2076" i="9"/>
  <c r="AZ2076" i="9"/>
  <c r="AY2076" i="9"/>
  <c r="AW2076" i="9"/>
  <c r="AW2075" i="9"/>
  <c r="AX2075" i="9"/>
  <c r="AY2075" i="9"/>
  <c r="AZ2075" i="9"/>
  <c r="AZ2074" i="9"/>
  <c r="AY2074" i="9"/>
  <c r="AX2074" i="9"/>
  <c r="AW2074" i="9"/>
  <c r="AW2073" i="9"/>
  <c r="AZ2073" i="9"/>
  <c r="AY2073" i="9"/>
  <c r="AX2073" i="9"/>
  <c r="AX2072" i="9"/>
  <c r="AY2072" i="9"/>
  <c r="AW2072" i="9"/>
  <c r="AZ2072" i="9"/>
  <c r="AW2071" i="9"/>
  <c r="AX2071" i="9"/>
  <c r="AY2071" i="9"/>
  <c r="AZ2071" i="9"/>
  <c r="AW2070" i="9"/>
  <c r="AX2070" i="9"/>
  <c r="AY2070" i="9"/>
  <c r="AZ2070" i="9"/>
  <c r="AZ2069" i="9"/>
  <c r="AW2069" i="9"/>
  <c r="AX2069" i="9"/>
  <c r="AY2069" i="9"/>
  <c r="AW2068" i="9"/>
  <c r="AX2068" i="9"/>
  <c r="AZ2068" i="9"/>
  <c r="AY2068" i="9"/>
  <c r="AZ2067" i="9"/>
  <c r="AW2067" i="9"/>
  <c r="AX2067" i="9"/>
  <c r="AY2067" i="9"/>
  <c r="AZ2066" i="9"/>
  <c r="AY2066" i="9"/>
  <c r="AX2066" i="9"/>
  <c r="AW2066" i="9"/>
  <c r="AZ2065" i="9"/>
  <c r="AY2065" i="9"/>
  <c r="AX2065" i="9"/>
  <c r="AW2065" i="9"/>
  <c r="AZ2064" i="9"/>
  <c r="AY2064" i="9"/>
  <c r="AX2064" i="9"/>
  <c r="AW2064" i="9"/>
  <c r="AZ2063" i="9"/>
  <c r="AY2063" i="9"/>
  <c r="AX2063" i="9"/>
  <c r="AW2063" i="9"/>
  <c r="AZ2062" i="9"/>
  <c r="AY2062" i="9"/>
  <c r="AX2062" i="9"/>
  <c r="AW2062" i="9"/>
  <c r="AZ2061" i="9"/>
  <c r="AY2061" i="9"/>
  <c r="AX2061" i="9"/>
  <c r="AW2061" i="9"/>
  <c r="AZ2060" i="9"/>
  <c r="AY2060" i="9"/>
  <c r="AX2060" i="9"/>
  <c r="AW2060" i="9"/>
  <c r="AZ2059" i="9"/>
  <c r="AY2059" i="9"/>
  <c r="AX2059" i="9"/>
  <c r="AW2059" i="9"/>
  <c r="AW2058" i="9"/>
  <c r="AX2058" i="9"/>
  <c r="AZ2058" i="9"/>
  <c r="AY2058" i="9"/>
  <c r="AX2057" i="9"/>
  <c r="AW2057" i="9"/>
  <c r="AZ2057" i="9"/>
  <c r="AY2057" i="9"/>
  <c r="AX2056" i="9"/>
  <c r="AW2056" i="9"/>
  <c r="AY2056" i="9"/>
  <c r="AZ2056" i="9"/>
  <c r="AW2055" i="9"/>
  <c r="AX2055" i="9"/>
  <c r="AY2055" i="9"/>
  <c r="AZ2055" i="9"/>
  <c r="AW2054" i="9"/>
  <c r="AZ2054" i="9"/>
  <c r="AY2054" i="9"/>
  <c r="AX2054" i="9"/>
  <c r="AZ2053" i="9"/>
  <c r="AY2053" i="9"/>
  <c r="AX2053" i="9"/>
  <c r="AW2053" i="9"/>
  <c r="AW2052" i="9"/>
  <c r="AX2052" i="9"/>
  <c r="AY2052" i="9"/>
  <c r="AZ2052" i="9"/>
  <c r="AW2051" i="9"/>
  <c r="AX2051" i="9"/>
  <c r="AY2051" i="9"/>
  <c r="AZ2051" i="9"/>
  <c r="AX2050" i="9"/>
  <c r="AY2050" i="9"/>
  <c r="AZ2050" i="9"/>
  <c r="AW2050" i="9"/>
  <c r="AW2049" i="9"/>
  <c r="AZ2049" i="9"/>
  <c r="AY2049" i="9"/>
  <c r="AX2049" i="9"/>
  <c r="AZ2048" i="9"/>
  <c r="AY2048" i="9"/>
  <c r="AW2048" i="9"/>
  <c r="AX2048" i="9"/>
  <c r="AW2047" i="9"/>
  <c r="AZ2047" i="9"/>
  <c r="AY2047" i="9"/>
  <c r="AX2047" i="9"/>
  <c r="AZ2046" i="9"/>
  <c r="AY2046" i="9"/>
  <c r="AX2046" i="9"/>
  <c r="AW2046" i="9"/>
  <c r="AW2045" i="9"/>
  <c r="AZ2045" i="9"/>
  <c r="AY2045" i="9"/>
  <c r="AX2045" i="9"/>
  <c r="AZ2044" i="9"/>
  <c r="AY2044" i="9"/>
  <c r="AW2044" i="9"/>
  <c r="AX2044" i="9"/>
  <c r="AZ2043" i="9"/>
  <c r="AY2043" i="9"/>
  <c r="AX2043" i="9"/>
  <c r="AW2043" i="9"/>
  <c r="AZ2042" i="9"/>
  <c r="AY2042" i="9"/>
  <c r="AX2042" i="9"/>
  <c r="AW2042" i="9"/>
  <c r="AZ2041" i="9"/>
  <c r="AW2041" i="9"/>
  <c r="AY2041" i="9"/>
  <c r="AX2041" i="9"/>
  <c r="AZ2040" i="9"/>
  <c r="AY2040" i="9"/>
  <c r="AX2040" i="9"/>
  <c r="AW2040" i="9"/>
  <c r="AZ2039" i="9"/>
  <c r="AY2039" i="9"/>
  <c r="AX2039" i="9"/>
  <c r="AW2039" i="9"/>
  <c r="AZ2038" i="9"/>
  <c r="AY2038" i="9"/>
  <c r="AW2038" i="9"/>
  <c r="AX2038" i="9"/>
  <c r="AX2037" i="9"/>
  <c r="AZ2037" i="9"/>
  <c r="AY2037" i="9"/>
  <c r="AW2037" i="9"/>
  <c r="AW2036" i="9"/>
  <c r="AY2036" i="9"/>
  <c r="AZ2036" i="9"/>
  <c r="AX2036" i="9"/>
  <c r="AZ2035" i="9"/>
  <c r="AY2035" i="9"/>
  <c r="AX2035" i="9"/>
  <c r="AW2035" i="9"/>
  <c r="AZ2034" i="9"/>
  <c r="AY2034" i="9"/>
  <c r="AX2034" i="9"/>
  <c r="AW2034" i="9"/>
  <c r="AZ2033" i="9"/>
  <c r="AY2033" i="9"/>
  <c r="AX2033" i="9"/>
  <c r="AW2033" i="9"/>
  <c r="AW2032" i="9"/>
  <c r="AZ2032" i="9"/>
  <c r="AY2032" i="9"/>
  <c r="AX2032" i="9"/>
  <c r="AZ2031" i="9"/>
  <c r="AW2031" i="9"/>
  <c r="AY2031" i="9"/>
  <c r="AX2031" i="9"/>
  <c r="AZ2030" i="9"/>
  <c r="AY2030" i="9"/>
  <c r="AX2030" i="9"/>
  <c r="AW2030" i="9"/>
  <c r="AX2029" i="9"/>
  <c r="AY2029" i="9"/>
  <c r="AW2029" i="9"/>
  <c r="AZ2029" i="9"/>
  <c r="AZ2028" i="9"/>
  <c r="AW2028" i="9"/>
  <c r="AX2028" i="9"/>
  <c r="AY2028" i="9"/>
  <c r="AZ2027" i="9"/>
  <c r="AY2027" i="9"/>
  <c r="AX2027" i="9"/>
  <c r="AW2027" i="9"/>
  <c r="AZ2026" i="9"/>
  <c r="AY2026" i="9"/>
  <c r="AX2026" i="9"/>
  <c r="AW2026" i="9"/>
  <c r="AW2025" i="9"/>
  <c r="AZ2025" i="9"/>
  <c r="AY2025" i="9"/>
  <c r="AX2025" i="9"/>
  <c r="AW2024" i="9"/>
  <c r="AX2024" i="9"/>
  <c r="AY2024" i="9"/>
  <c r="AZ2024" i="9"/>
  <c r="AZ2023" i="9"/>
  <c r="AY2023" i="9"/>
  <c r="AX2023" i="9"/>
  <c r="AW2023" i="9"/>
  <c r="AW2022" i="9"/>
  <c r="AZ2022" i="9"/>
  <c r="AY2022" i="9"/>
  <c r="AX2022" i="9"/>
  <c r="AW2021" i="9"/>
  <c r="AX2021" i="9"/>
  <c r="AY2021" i="9"/>
  <c r="AZ2021" i="9"/>
  <c r="AZ2020" i="9"/>
  <c r="AY2020" i="9"/>
  <c r="AX2020" i="9"/>
  <c r="AW2020" i="9"/>
  <c r="AY2019" i="9"/>
  <c r="AX2019" i="9"/>
  <c r="AW2019" i="9"/>
  <c r="AZ2019" i="9"/>
  <c r="AY2018" i="9"/>
  <c r="AW2018" i="9"/>
  <c r="AZ2018" i="9"/>
  <c r="AX2018" i="9"/>
  <c r="AZ2017" i="9"/>
  <c r="AX2017" i="9"/>
  <c r="AW2017" i="9"/>
  <c r="AY2017" i="9"/>
  <c r="AY2016" i="9"/>
  <c r="AW2016" i="9"/>
  <c r="AX2016" i="9"/>
  <c r="AZ2016" i="9"/>
  <c r="AW2015" i="9"/>
  <c r="AX2015" i="9"/>
  <c r="AY2015" i="9"/>
  <c r="AZ2015" i="9"/>
  <c r="AY2014" i="9"/>
  <c r="AZ2014" i="9"/>
  <c r="AX2014" i="9"/>
  <c r="AW2014" i="9"/>
  <c r="AW2013" i="9"/>
  <c r="AX2013" i="9"/>
  <c r="AZ2013" i="9"/>
  <c r="AY2013" i="9"/>
  <c r="AZ2012" i="9"/>
  <c r="AY2012" i="9"/>
  <c r="AX2012" i="9"/>
  <c r="AW2012" i="9"/>
  <c r="AY2011" i="9"/>
  <c r="AX2011" i="9"/>
  <c r="AW2011" i="9"/>
  <c r="AZ2011" i="9"/>
  <c r="AY2010" i="9"/>
  <c r="AX2010" i="9"/>
  <c r="AW2010" i="9"/>
  <c r="AZ2010" i="9"/>
  <c r="AY2009" i="9"/>
  <c r="AW2009" i="9"/>
  <c r="AX2009" i="9"/>
  <c r="AZ2009" i="9"/>
  <c r="AY2008" i="9"/>
  <c r="AW2008" i="9"/>
  <c r="AZ2008" i="9"/>
  <c r="AX2008" i="9"/>
  <c r="AZ2007" i="9"/>
  <c r="AW2007" i="9"/>
  <c r="AX2007" i="9"/>
  <c r="AY2007" i="9"/>
  <c r="AY2006" i="9"/>
  <c r="AW2006" i="9"/>
  <c r="AX2006" i="9"/>
  <c r="AZ2006" i="9"/>
  <c r="AX2005" i="9"/>
  <c r="AW2005" i="9"/>
  <c r="AY2005" i="9"/>
  <c r="AZ2005" i="9"/>
  <c r="AW2004" i="9"/>
  <c r="AX2004" i="9"/>
  <c r="AY2004" i="9"/>
  <c r="AZ2004" i="9"/>
  <c r="AW2003" i="9"/>
  <c r="AX2003" i="9"/>
  <c r="AY2003" i="9"/>
  <c r="AZ2003" i="9"/>
  <c r="AY2002" i="9"/>
  <c r="AZ2002" i="9"/>
  <c r="AW2002" i="9"/>
  <c r="AX2002" i="9"/>
  <c r="AY2001" i="9"/>
  <c r="AZ2001" i="9"/>
  <c r="AX2001" i="9"/>
  <c r="AW2001" i="9"/>
  <c r="AW2000" i="9"/>
  <c r="AX2000" i="9"/>
  <c r="AY2000" i="9"/>
  <c r="AZ2000" i="9"/>
  <c r="AX1999" i="9"/>
  <c r="AW1999" i="9"/>
  <c r="AY1999" i="9"/>
  <c r="AZ1999" i="9"/>
  <c r="AW1998" i="9"/>
  <c r="AX1998" i="9"/>
  <c r="AY1998" i="9"/>
  <c r="AZ1998" i="9"/>
  <c r="AW1997" i="9"/>
  <c r="AX1997" i="9"/>
  <c r="AY1997" i="9"/>
  <c r="AZ1997" i="9"/>
  <c r="AW1996" i="9"/>
  <c r="AZ1996" i="9"/>
  <c r="AY1996" i="9"/>
  <c r="AX1996" i="9"/>
  <c r="AX1995" i="9"/>
  <c r="AY1995" i="9"/>
  <c r="AW1995" i="9"/>
  <c r="AZ1995" i="9"/>
  <c r="AZ1994" i="9"/>
  <c r="AW1994" i="9"/>
  <c r="AX1994" i="9"/>
  <c r="AY1994" i="9"/>
  <c r="AZ1993" i="9"/>
  <c r="AY1993" i="9"/>
  <c r="AX1993" i="9"/>
  <c r="AW1993" i="9"/>
  <c r="AY1992" i="9"/>
  <c r="AZ1992" i="9"/>
  <c r="AX1992" i="9"/>
  <c r="AW1992" i="9"/>
  <c r="AZ1991" i="9"/>
  <c r="AY1991" i="9"/>
  <c r="AW1991" i="9"/>
  <c r="AX1991" i="9"/>
  <c r="AX1990" i="9"/>
  <c r="AW1990" i="9"/>
  <c r="AZ1990" i="9"/>
  <c r="AY1990" i="9"/>
  <c r="AY1989" i="9"/>
  <c r="AZ1989" i="9"/>
  <c r="AX1989" i="9"/>
  <c r="AW1989" i="9"/>
  <c r="AX1988" i="9"/>
  <c r="AW1988" i="9"/>
  <c r="AY1988" i="9"/>
  <c r="AZ1988" i="9"/>
  <c r="AW1987" i="9"/>
  <c r="AX1987" i="9"/>
  <c r="AY1987" i="9"/>
  <c r="AZ1987" i="9"/>
  <c r="AW1986" i="9"/>
  <c r="AX1986" i="9"/>
  <c r="AY1986" i="9"/>
  <c r="AZ1986" i="9"/>
  <c r="AZ1985" i="9"/>
  <c r="AY1985" i="9"/>
  <c r="AX1985" i="9"/>
  <c r="AW1985" i="9"/>
  <c r="AY1984" i="9"/>
  <c r="AZ1984" i="9"/>
  <c r="AW1984" i="9"/>
  <c r="AX1984" i="9"/>
  <c r="AW1983" i="9"/>
  <c r="AX1983" i="9"/>
  <c r="AZ1983" i="9"/>
  <c r="AY1983" i="9"/>
  <c r="AW1982" i="9"/>
  <c r="AX1982" i="9"/>
  <c r="AY1982" i="9"/>
  <c r="AZ1982" i="9"/>
  <c r="AW1981" i="9"/>
  <c r="AX1981" i="9"/>
  <c r="AY1981" i="9"/>
  <c r="AZ1981" i="9"/>
  <c r="AW1980" i="9"/>
  <c r="AX1980" i="9"/>
  <c r="AY1980" i="9"/>
  <c r="AZ1980" i="9"/>
  <c r="AW1979" i="9"/>
  <c r="AX1979" i="9"/>
  <c r="AY1979" i="9"/>
  <c r="AZ1979" i="9"/>
  <c r="AW1978" i="9"/>
  <c r="AY1978" i="9"/>
  <c r="AZ1978" i="9"/>
  <c r="AX1978" i="9"/>
  <c r="AW1977" i="9"/>
  <c r="AX1977" i="9"/>
  <c r="AY1977" i="9"/>
  <c r="AZ1977" i="9"/>
  <c r="AW1976" i="9"/>
  <c r="AX1976" i="9"/>
  <c r="AY1976" i="9"/>
  <c r="AZ1976" i="9"/>
  <c r="AW1975" i="9"/>
  <c r="AX1975" i="9"/>
  <c r="AY1975" i="9"/>
  <c r="AZ1975" i="9"/>
  <c r="AX1974" i="9"/>
  <c r="AW1974" i="9"/>
  <c r="AY1974" i="9"/>
  <c r="AZ1974" i="9"/>
  <c r="AY1973" i="9"/>
  <c r="AZ1973" i="9"/>
  <c r="AW1973" i="9"/>
  <c r="AX1973" i="9"/>
  <c r="AY1972" i="9"/>
  <c r="AW1972" i="9"/>
  <c r="AX1972" i="9"/>
  <c r="AZ1972" i="9"/>
  <c r="AW1971" i="9"/>
  <c r="AX1971" i="9"/>
  <c r="AY1971" i="9"/>
  <c r="AZ1971" i="9"/>
  <c r="AZ1970" i="9"/>
  <c r="AY1970" i="9"/>
  <c r="AX1970" i="9"/>
  <c r="AW1970" i="9"/>
  <c r="AZ1969" i="9"/>
  <c r="AY1969" i="9"/>
  <c r="AX1969" i="9"/>
  <c r="AW1969" i="9"/>
  <c r="AX1968" i="9"/>
  <c r="AW1968" i="9"/>
  <c r="AZ1968" i="9"/>
  <c r="AY1968" i="9"/>
  <c r="AZ1967" i="9"/>
  <c r="AW1967" i="9"/>
  <c r="AX1967" i="9"/>
  <c r="AY1967" i="9"/>
  <c r="AY1966" i="9"/>
  <c r="AZ1966" i="9"/>
  <c r="AX1966" i="9"/>
  <c r="AW1966" i="9"/>
  <c r="AW1965" i="9"/>
  <c r="AX1965" i="9"/>
  <c r="AY1965" i="9"/>
  <c r="AZ1965" i="9"/>
  <c r="AZ1964" i="9"/>
  <c r="AW1964" i="9"/>
  <c r="AX1964" i="9"/>
  <c r="AY1964" i="9"/>
  <c r="AX1963" i="9"/>
  <c r="AW1963" i="9"/>
  <c r="AY1963" i="9"/>
  <c r="AZ1963" i="9"/>
  <c r="AY1962" i="9"/>
  <c r="AX1962" i="9"/>
  <c r="AW1962" i="9"/>
  <c r="AZ1962" i="9"/>
  <c r="AX1961" i="9"/>
  <c r="AW1961" i="9"/>
  <c r="AZ1961" i="9"/>
  <c r="AY1961" i="9"/>
  <c r="AZ1960" i="9"/>
  <c r="AY1960" i="9"/>
  <c r="AX1960" i="9"/>
  <c r="AW1960" i="9"/>
  <c r="AZ1959" i="9"/>
  <c r="AY1959" i="9"/>
  <c r="AX1959" i="9"/>
  <c r="AW1959" i="9"/>
  <c r="AY1958" i="9"/>
  <c r="AX1958" i="9"/>
  <c r="AW1958" i="9"/>
  <c r="AZ1958" i="9"/>
  <c r="AZ1957" i="9"/>
  <c r="AY1957" i="9"/>
  <c r="AX1957" i="9"/>
  <c r="AW1957" i="9"/>
  <c r="AZ1956" i="9"/>
  <c r="AY1956" i="9"/>
  <c r="AX1956" i="9"/>
  <c r="AW1956" i="9"/>
  <c r="AZ1955" i="9"/>
  <c r="AY1955" i="9"/>
  <c r="AX1955" i="9"/>
  <c r="AW1955" i="9"/>
  <c r="AW1954" i="9"/>
  <c r="AZ1954" i="9"/>
  <c r="AY1954" i="9"/>
  <c r="AX1954" i="9"/>
  <c r="AZ1953" i="9"/>
  <c r="AY1953" i="9"/>
  <c r="AX1953" i="9"/>
  <c r="AW1953" i="9"/>
  <c r="AZ1952" i="9"/>
  <c r="AY1952" i="9"/>
  <c r="AW1952" i="9"/>
  <c r="AX1952" i="9"/>
  <c r="AX1951" i="9"/>
  <c r="AY1951" i="9"/>
  <c r="AZ1951" i="9"/>
  <c r="AW1951" i="9"/>
  <c r="AW1950" i="9"/>
  <c r="AZ1950" i="9"/>
  <c r="AY1950" i="9"/>
  <c r="AX1950" i="9"/>
  <c r="AW1949" i="9"/>
  <c r="AZ1949" i="9"/>
  <c r="AY1949" i="9"/>
  <c r="AX1949" i="9"/>
  <c r="AZ1948" i="9"/>
  <c r="AX1948" i="9"/>
  <c r="AY1948" i="9"/>
  <c r="AW1948" i="9"/>
  <c r="AW1947" i="9"/>
  <c r="AX1947" i="9"/>
  <c r="AZ1947" i="9"/>
  <c r="AY1947" i="9"/>
  <c r="AY1946" i="9"/>
  <c r="AW1946" i="9"/>
  <c r="AZ1946" i="9"/>
  <c r="AX1946" i="9"/>
  <c r="AY1945" i="9"/>
  <c r="AZ1945" i="9"/>
  <c r="AW1945" i="9"/>
  <c r="AX1945" i="9"/>
  <c r="AW1944" i="9"/>
  <c r="AY1944" i="9"/>
  <c r="AX1944" i="9"/>
  <c r="AZ1944" i="9"/>
  <c r="AW1943" i="9"/>
  <c r="AZ1943" i="9"/>
  <c r="AY1943" i="9"/>
  <c r="AX1943" i="9"/>
  <c r="AZ1942" i="9"/>
  <c r="AY1942" i="9"/>
  <c r="AX1942" i="9"/>
  <c r="AW1942" i="9"/>
  <c r="AY1941" i="9"/>
  <c r="AZ1941" i="9"/>
  <c r="AX1941" i="9"/>
  <c r="AW1941" i="9"/>
  <c r="AW1940" i="9"/>
  <c r="AZ1940" i="9"/>
  <c r="AY1940" i="9"/>
  <c r="AX1940" i="9"/>
  <c r="AW1939" i="9"/>
  <c r="AX1939" i="9"/>
  <c r="AY1939" i="9"/>
  <c r="AZ1939" i="9"/>
  <c r="AY1938" i="9"/>
  <c r="AZ1938" i="9"/>
  <c r="AX1938" i="9"/>
  <c r="AW1938" i="9"/>
  <c r="AZ1937" i="9"/>
  <c r="AX1937" i="9"/>
  <c r="AW1937" i="9"/>
  <c r="AY1937" i="9"/>
  <c r="AZ1936" i="9"/>
  <c r="AW1936" i="9"/>
  <c r="AX1936" i="9"/>
  <c r="AY1936" i="9"/>
  <c r="AW1935" i="9"/>
  <c r="AX1935" i="9"/>
  <c r="AZ1935" i="9"/>
  <c r="AY1935" i="9"/>
  <c r="AY1934" i="9"/>
  <c r="AW1934" i="9"/>
  <c r="AZ1934" i="9"/>
  <c r="AX1934" i="9"/>
  <c r="AZ1933" i="9"/>
  <c r="AY1933" i="9"/>
  <c r="AX1933" i="9"/>
  <c r="AW1933" i="9"/>
  <c r="AX1932" i="9"/>
  <c r="AW1932" i="9"/>
  <c r="AY1932" i="9"/>
  <c r="AZ1932" i="9"/>
  <c r="AW1931" i="9"/>
  <c r="AX1931" i="9"/>
  <c r="AY1931" i="9"/>
  <c r="AZ1931" i="9"/>
  <c r="AW1930" i="9"/>
  <c r="AX1930" i="9"/>
  <c r="AY1930" i="9"/>
  <c r="AZ1930" i="9"/>
  <c r="AW1929" i="9"/>
  <c r="AY1929" i="9"/>
  <c r="AZ1929" i="9"/>
  <c r="AX1929" i="9"/>
  <c r="AZ1928" i="9"/>
  <c r="AW1928" i="9"/>
  <c r="AX1928" i="9"/>
  <c r="AY1928" i="9"/>
  <c r="AY1927" i="9"/>
  <c r="AZ1927" i="9"/>
  <c r="AX1927" i="9"/>
  <c r="AW1927" i="9"/>
  <c r="AY1926" i="9"/>
  <c r="AX1926" i="9"/>
  <c r="AW1926" i="9"/>
  <c r="AZ1926" i="9"/>
  <c r="AZ1925" i="9"/>
  <c r="AX1925" i="9"/>
  <c r="AW1925" i="9"/>
  <c r="AY1925" i="9"/>
  <c r="AY1924" i="9"/>
  <c r="AZ1924" i="9"/>
  <c r="AX1924" i="9"/>
  <c r="AW1924" i="9"/>
  <c r="AZ1923" i="9"/>
  <c r="AY1923" i="9"/>
  <c r="AX1923" i="9"/>
  <c r="AW1923" i="9"/>
  <c r="AY1922" i="9"/>
  <c r="AZ1922" i="9"/>
  <c r="AX1922" i="9"/>
  <c r="AW1922" i="9"/>
  <c r="AW1921" i="9"/>
  <c r="AY1921" i="9"/>
  <c r="AX1921" i="9"/>
  <c r="AZ1921" i="9"/>
  <c r="AZ1920" i="9"/>
  <c r="AY1920" i="9"/>
  <c r="AX1920" i="9"/>
  <c r="AW1920" i="9"/>
  <c r="AW1919" i="9"/>
  <c r="AX1919" i="9"/>
  <c r="AY1919" i="9"/>
  <c r="AZ1919" i="9"/>
  <c r="AZ1918" i="9"/>
  <c r="AX1918" i="9"/>
  <c r="AW1918" i="9"/>
  <c r="AY1918" i="9"/>
  <c r="AX1917" i="9"/>
  <c r="AZ1917" i="9"/>
  <c r="AW1917" i="9"/>
  <c r="AY1917" i="9"/>
  <c r="AY1916" i="9"/>
  <c r="AX1916" i="9"/>
  <c r="AZ1916" i="9"/>
  <c r="AW1916" i="9"/>
  <c r="AZ1915" i="9"/>
  <c r="AY1915" i="9"/>
  <c r="AX1915" i="9"/>
  <c r="AW1915" i="9"/>
  <c r="AY1914" i="9"/>
  <c r="AZ1914" i="9"/>
  <c r="AX1914" i="9"/>
  <c r="AW1914" i="9"/>
  <c r="AX1913" i="9"/>
  <c r="AW1913" i="9"/>
  <c r="AZ1913" i="9"/>
  <c r="AY1913" i="9"/>
  <c r="AW1912" i="9"/>
  <c r="AX1912" i="9"/>
  <c r="AY1912" i="9"/>
  <c r="AZ1912" i="9"/>
  <c r="AY1911" i="9"/>
  <c r="AZ1911" i="9"/>
  <c r="AW1911" i="9"/>
  <c r="AX1911" i="9"/>
  <c r="AZ1910" i="9"/>
  <c r="AX1910" i="9"/>
  <c r="AY1910" i="9"/>
  <c r="AW1910" i="9"/>
  <c r="AY1909" i="9"/>
  <c r="AW1909" i="9"/>
  <c r="AX1909" i="9"/>
  <c r="AZ1909" i="9"/>
  <c r="AW1908" i="9"/>
  <c r="AX1908" i="9"/>
  <c r="AY1908" i="9"/>
  <c r="AZ1908" i="9"/>
  <c r="AW1907" i="9"/>
  <c r="AY1907" i="9"/>
  <c r="AZ1907" i="9"/>
  <c r="AX1907" i="9"/>
  <c r="AY1906" i="9"/>
  <c r="AZ1906" i="9"/>
  <c r="AX1906" i="9"/>
  <c r="AW1906" i="9"/>
  <c r="AX1905" i="9"/>
  <c r="AW1905" i="9"/>
  <c r="AZ1905" i="9"/>
  <c r="AY1905" i="9"/>
  <c r="AW1904" i="9"/>
  <c r="AZ1904" i="9"/>
  <c r="AX1904" i="9"/>
  <c r="AY1904" i="9"/>
  <c r="AX1903" i="9"/>
  <c r="AW1903" i="9"/>
  <c r="AZ1903" i="9"/>
  <c r="AY1903" i="9"/>
  <c r="AZ1902" i="9"/>
  <c r="AY1902" i="9"/>
  <c r="AX1902" i="9"/>
  <c r="AW1902" i="9"/>
  <c r="AY1901" i="9"/>
  <c r="AZ1901" i="9"/>
  <c r="AX1901" i="9"/>
  <c r="AW1901" i="9"/>
  <c r="AW1900" i="9"/>
  <c r="AX1900" i="9"/>
  <c r="AY1900" i="9"/>
  <c r="AZ1900" i="9"/>
  <c r="AW1899" i="9"/>
  <c r="AX1899" i="9"/>
  <c r="AY1899" i="9"/>
  <c r="AZ1899" i="9"/>
  <c r="AW1898" i="9"/>
  <c r="AX1898" i="9"/>
  <c r="AY1898" i="9"/>
  <c r="AZ1898" i="9"/>
  <c r="AY1897" i="9"/>
  <c r="AZ1897" i="9"/>
  <c r="AW1897" i="9"/>
  <c r="AX1897" i="9"/>
  <c r="AY1896" i="9"/>
  <c r="AZ1896" i="9"/>
  <c r="AX1896" i="9"/>
  <c r="AW1896" i="9"/>
  <c r="AY1895" i="9"/>
  <c r="AX1895" i="9"/>
  <c r="AW1895" i="9"/>
  <c r="AZ1895" i="9"/>
  <c r="AX1894" i="9"/>
  <c r="AY1894" i="9"/>
  <c r="AZ1894" i="9"/>
  <c r="AW1894" i="9"/>
  <c r="AY1893" i="9"/>
  <c r="AZ1893" i="9"/>
  <c r="AX1893" i="9"/>
  <c r="AW1893" i="9"/>
  <c r="AZ1892" i="9"/>
  <c r="AY1892" i="9"/>
  <c r="AX1892" i="9"/>
  <c r="AW1892" i="9"/>
  <c r="AX1891" i="9"/>
  <c r="AW1891" i="9"/>
  <c r="AZ1891" i="9"/>
  <c r="AY1891" i="9"/>
  <c r="AW1890" i="9"/>
  <c r="AX1890" i="9"/>
  <c r="AY1890" i="9"/>
  <c r="AZ1890" i="9"/>
  <c r="AW1889" i="9"/>
  <c r="AX1889" i="9"/>
  <c r="AY1889" i="9"/>
  <c r="AZ1889" i="9"/>
  <c r="AW1888" i="9"/>
  <c r="AZ1888" i="9"/>
  <c r="AX1888" i="9"/>
  <c r="AY1888" i="9"/>
  <c r="AY1887" i="9"/>
  <c r="AZ1887" i="9"/>
  <c r="AW1887" i="9"/>
  <c r="AX1887" i="9"/>
  <c r="AX1886" i="9"/>
  <c r="AZ1886" i="9"/>
  <c r="AY1886" i="9"/>
  <c r="AW1886" i="9"/>
  <c r="AY1885" i="9"/>
  <c r="AZ1885" i="9"/>
  <c r="AX1885" i="9"/>
  <c r="AW1885" i="9"/>
  <c r="AY1884" i="9"/>
  <c r="AZ1884" i="9"/>
  <c r="AX1884" i="9"/>
  <c r="AW1884" i="9"/>
  <c r="AZ1883" i="9"/>
  <c r="AW1883" i="9"/>
  <c r="AY1883" i="9"/>
  <c r="AX1883" i="9"/>
  <c r="AW1882" i="9"/>
  <c r="AX1882" i="9"/>
  <c r="AY1882" i="9"/>
  <c r="AZ1882" i="9"/>
  <c r="AW1881" i="9"/>
  <c r="AX1881" i="9"/>
  <c r="AZ1881" i="9"/>
  <c r="AY1881" i="9"/>
  <c r="AZ1880" i="9"/>
  <c r="AX1880" i="9"/>
  <c r="AY1880" i="9"/>
  <c r="AW1880" i="9"/>
  <c r="AW1879" i="9"/>
  <c r="AZ1879" i="9"/>
  <c r="AY1879" i="9"/>
  <c r="AX1879" i="9"/>
  <c r="AX1878" i="9"/>
  <c r="AW1878" i="9"/>
  <c r="AZ1878" i="9"/>
  <c r="AY1878" i="9"/>
  <c r="AX1877" i="9"/>
  <c r="AZ1877" i="9"/>
  <c r="AY1877" i="9"/>
  <c r="AW1877" i="9"/>
  <c r="AZ1876" i="9"/>
  <c r="AW1876" i="9"/>
  <c r="AY1876" i="9"/>
  <c r="AX1876" i="9"/>
  <c r="AW1875" i="9"/>
  <c r="AZ1875" i="9"/>
  <c r="AY1875" i="9"/>
  <c r="AX1875" i="9"/>
  <c r="AX1874" i="9"/>
  <c r="AW1874" i="9"/>
  <c r="AZ1874" i="9"/>
  <c r="AY1874" i="9"/>
  <c r="AW1873" i="9"/>
  <c r="AX1873" i="9"/>
  <c r="AY1873" i="9"/>
  <c r="AZ1873" i="9"/>
  <c r="AY1872" i="9"/>
  <c r="AW1872" i="9"/>
  <c r="AX1872" i="9"/>
  <c r="AZ1872" i="9"/>
  <c r="AZ1871" i="9"/>
  <c r="AX1871" i="9"/>
  <c r="AW1871" i="9"/>
  <c r="AY1871" i="9"/>
  <c r="AW1870" i="9"/>
  <c r="AX1870" i="9"/>
  <c r="AY1870" i="9"/>
  <c r="AZ1870" i="9"/>
  <c r="AW1869" i="9"/>
  <c r="AX1869" i="9"/>
  <c r="AY1869" i="9"/>
  <c r="AZ1869" i="9"/>
  <c r="AY1868" i="9"/>
  <c r="AX1868" i="9"/>
  <c r="AW1868" i="9"/>
  <c r="AZ1868" i="9"/>
  <c r="AY1867" i="9"/>
  <c r="AZ1867" i="9"/>
  <c r="AX1867" i="9"/>
  <c r="AW1867" i="9"/>
  <c r="AX1866" i="9"/>
  <c r="AW1866" i="9"/>
  <c r="AY1866" i="9"/>
  <c r="AZ1866" i="9"/>
  <c r="AZ1865" i="9"/>
  <c r="AY1865" i="9"/>
  <c r="AX1865" i="9"/>
  <c r="AW1865" i="9"/>
  <c r="AZ1864" i="9"/>
  <c r="AY1864" i="9"/>
  <c r="AX1864" i="9"/>
  <c r="AW1864" i="9"/>
  <c r="AY1863" i="9"/>
  <c r="AX1863" i="9"/>
  <c r="AW1863" i="9"/>
  <c r="AZ1863" i="9"/>
  <c r="AZ1862" i="9"/>
  <c r="AY1862" i="9"/>
  <c r="AX1862" i="9"/>
  <c r="AW1862" i="9"/>
  <c r="AZ1861" i="9"/>
  <c r="AY1861" i="9"/>
  <c r="AX1861" i="9"/>
  <c r="AW1861" i="9"/>
  <c r="AY1860" i="9"/>
  <c r="AZ1860" i="9"/>
  <c r="AX1860" i="9"/>
  <c r="AW1860" i="9"/>
  <c r="AX1859" i="9"/>
  <c r="AW1859" i="9"/>
  <c r="AY1859" i="9"/>
  <c r="AZ1859" i="9"/>
  <c r="AX1858" i="9"/>
  <c r="AY1858" i="9"/>
  <c r="AZ1858" i="9"/>
  <c r="AW1858" i="9"/>
  <c r="AW1857" i="9"/>
  <c r="AX1857" i="9"/>
  <c r="AY1857" i="9"/>
  <c r="AZ1857" i="9"/>
  <c r="AY1856" i="9"/>
  <c r="AZ1856" i="9"/>
  <c r="AW1856" i="9"/>
  <c r="AX1856" i="9"/>
  <c r="AX1855" i="9"/>
  <c r="AW1855" i="9"/>
  <c r="AY1855" i="9"/>
  <c r="AZ1855" i="9"/>
  <c r="AZ1854" i="9"/>
  <c r="AY1854" i="9"/>
  <c r="AX1854" i="9"/>
  <c r="AW1854" i="9"/>
  <c r="AZ1853" i="9"/>
  <c r="AY1853" i="9"/>
  <c r="AX1853" i="9"/>
  <c r="AW1853" i="9"/>
  <c r="AZ1852" i="9"/>
  <c r="AY1852" i="9"/>
  <c r="AW1852" i="9"/>
  <c r="AX1852" i="9"/>
  <c r="AW1851" i="9"/>
  <c r="AX1851" i="9"/>
  <c r="AY1851" i="9"/>
  <c r="AZ1851" i="9"/>
  <c r="AX1850" i="9"/>
  <c r="AZ1850" i="9"/>
  <c r="AY1850" i="9"/>
  <c r="AW1850" i="9"/>
  <c r="AZ1849" i="9"/>
  <c r="AW1849" i="9"/>
  <c r="AX1849" i="9"/>
  <c r="AY1849" i="9"/>
  <c r="AZ1848" i="9"/>
  <c r="AY1848" i="9"/>
  <c r="AX1848" i="9"/>
  <c r="AW1848" i="9"/>
  <c r="AW1847" i="9"/>
  <c r="AX1847" i="9"/>
  <c r="AZ1847" i="9"/>
  <c r="AY1847" i="9"/>
  <c r="AY1846" i="9"/>
  <c r="AX1846" i="9"/>
  <c r="AZ1846" i="9"/>
  <c r="AW1846" i="9"/>
  <c r="AZ1845" i="9"/>
  <c r="AY1845" i="9"/>
  <c r="AX1845" i="9"/>
  <c r="AW1845" i="9"/>
  <c r="AZ1844" i="9"/>
  <c r="AY1844" i="9"/>
  <c r="AW1844" i="9"/>
  <c r="AX1844" i="9"/>
  <c r="AY1843" i="9"/>
  <c r="AX1843" i="9"/>
  <c r="AW1843" i="9"/>
  <c r="AZ1843" i="9"/>
  <c r="AW1842" i="9"/>
  <c r="AY1842" i="9"/>
  <c r="AZ1842" i="9"/>
  <c r="AX1842" i="9"/>
  <c r="AZ1841" i="9"/>
  <c r="AY1841" i="9"/>
  <c r="AW1841" i="9"/>
  <c r="AX1841" i="9"/>
  <c r="AZ1840" i="9"/>
  <c r="AY1840" i="9"/>
  <c r="AX1840" i="9"/>
  <c r="AW1840" i="9"/>
  <c r="AY1839" i="9"/>
  <c r="AX1839" i="9"/>
  <c r="AW1839" i="9"/>
  <c r="AZ1839" i="9"/>
  <c r="AZ1838" i="9"/>
  <c r="AW1838" i="9"/>
  <c r="AX1838" i="9"/>
  <c r="AY1838" i="9"/>
  <c r="AZ1837" i="9"/>
  <c r="AY1837" i="9"/>
  <c r="AX1837" i="9"/>
  <c r="AW1837" i="9"/>
  <c r="AX1836" i="9"/>
  <c r="AZ1836" i="9"/>
  <c r="AW1836" i="9"/>
  <c r="AY1836" i="9"/>
  <c r="AY1835" i="9"/>
  <c r="AX1835" i="9"/>
  <c r="AW1835" i="9"/>
  <c r="AZ1835" i="9"/>
  <c r="AZ1834" i="9"/>
  <c r="AY1834" i="9"/>
  <c r="AX1834" i="9"/>
  <c r="AW1834" i="9"/>
  <c r="AY1833" i="9"/>
  <c r="AX1833" i="9"/>
  <c r="AW1833" i="9"/>
  <c r="AZ1833" i="9"/>
  <c r="AZ1832" i="9"/>
  <c r="AY1832" i="9"/>
  <c r="AX1832" i="9"/>
  <c r="AW1832" i="9"/>
  <c r="AX1831" i="9"/>
  <c r="AZ1831" i="9"/>
  <c r="AY1831" i="9"/>
  <c r="AW1831" i="9"/>
  <c r="AZ1830" i="9"/>
  <c r="AY1830" i="9"/>
  <c r="AX1830" i="9"/>
  <c r="AW1830" i="9"/>
  <c r="AY1829" i="9"/>
  <c r="AZ1829" i="9"/>
  <c r="AW1829" i="9"/>
  <c r="AX1829" i="9"/>
  <c r="AZ1828" i="9"/>
  <c r="AW1828" i="9"/>
  <c r="AX1828" i="9"/>
  <c r="AY1828" i="9"/>
  <c r="AY1827" i="9"/>
  <c r="AZ1827" i="9"/>
  <c r="AX1827" i="9"/>
  <c r="AW1827" i="9"/>
  <c r="AY1826" i="9"/>
  <c r="AZ1826" i="9"/>
  <c r="AX1826" i="9"/>
  <c r="AW1826" i="9"/>
  <c r="AW1825" i="9"/>
  <c r="AX1825" i="9"/>
  <c r="AY1825" i="9"/>
  <c r="AZ1825" i="9"/>
  <c r="AZ1824" i="9"/>
  <c r="AW1824" i="9"/>
  <c r="AX1824" i="9"/>
  <c r="AY1824" i="9"/>
  <c r="AZ1823" i="9"/>
  <c r="AY1823" i="9"/>
  <c r="AX1823" i="9"/>
  <c r="AW1823" i="9"/>
  <c r="AZ1822" i="9"/>
  <c r="AX1822" i="9"/>
  <c r="AW1822" i="9"/>
  <c r="AY1822" i="9"/>
  <c r="AY1821" i="9"/>
  <c r="AW1821" i="9"/>
  <c r="AZ1821" i="9"/>
  <c r="AX1821" i="9"/>
  <c r="AY1820" i="9"/>
  <c r="AZ1820" i="9"/>
  <c r="AW1820" i="9"/>
  <c r="AX1820" i="9"/>
  <c r="AZ1819" i="9"/>
  <c r="AW1819" i="9"/>
  <c r="AY1819" i="9"/>
  <c r="AX1819" i="9"/>
  <c r="AW1818" i="9"/>
  <c r="AZ1818" i="9"/>
  <c r="AY1818" i="9"/>
  <c r="AX1818" i="9"/>
  <c r="AY1817" i="9"/>
  <c r="AZ1817" i="9"/>
  <c r="AX1817" i="9"/>
  <c r="AW1817" i="9"/>
  <c r="AY1816" i="9"/>
  <c r="AX1816" i="9"/>
  <c r="AW1816" i="9"/>
  <c r="AZ1816" i="9"/>
  <c r="AZ1815" i="9"/>
  <c r="AY1815" i="9"/>
  <c r="AW1815" i="9"/>
  <c r="AX1815" i="9"/>
  <c r="AY1814" i="9"/>
  <c r="AX1814" i="9"/>
  <c r="AW1814" i="9"/>
  <c r="AZ1814" i="9"/>
  <c r="AZ1813" i="9"/>
  <c r="AY1813" i="9"/>
  <c r="AX1813" i="9"/>
  <c r="AW1813" i="9"/>
  <c r="AZ1812" i="9"/>
  <c r="AY1812" i="9"/>
  <c r="AX1812" i="9"/>
  <c r="AW1812" i="9"/>
  <c r="AZ1811" i="9"/>
  <c r="AW1811" i="9"/>
  <c r="AX1811" i="9"/>
  <c r="AY1811" i="9"/>
  <c r="AW1810" i="9"/>
  <c r="AZ1810" i="9"/>
  <c r="AX1810" i="9"/>
  <c r="AY1810" i="9"/>
  <c r="AZ1809" i="9"/>
  <c r="AW1809" i="9"/>
  <c r="AY1809" i="9"/>
  <c r="AX1809" i="9"/>
  <c r="AZ1808" i="9"/>
  <c r="AY1808" i="9"/>
  <c r="AX1808" i="9"/>
  <c r="AW1808" i="9"/>
  <c r="AW1807" i="9"/>
  <c r="AY1807" i="9"/>
  <c r="AZ1807" i="9"/>
  <c r="AX1807" i="9"/>
  <c r="AX1806" i="9"/>
  <c r="AY1806" i="9"/>
  <c r="AZ1806" i="9"/>
  <c r="AW1806" i="9"/>
  <c r="AW1805" i="9"/>
  <c r="AY1805" i="9"/>
  <c r="AZ1805" i="9"/>
  <c r="AX1805" i="9"/>
  <c r="AX1804" i="9"/>
  <c r="AW1804" i="9"/>
  <c r="AY1804" i="9"/>
  <c r="AZ1804" i="9"/>
  <c r="AX1803" i="9"/>
  <c r="AY1803" i="9"/>
  <c r="AW1803" i="9"/>
  <c r="AZ1803" i="9"/>
  <c r="AW1802" i="9"/>
  <c r="AX1802" i="9"/>
  <c r="AZ1802" i="9"/>
  <c r="AY1802" i="9"/>
  <c r="AW1801" i="9"/>
  <c r="AY1801" i="9"/>
  <c r="AZ1801" i="9"/>
  <c r="AX1801" i="9"/>
  <c r="AY1800" i="9"/>
  <c r="AW1800" i="9"/>
  <c r="AZ1800" i="9"/>
  <c r="AX1800" i="9"/>
  <c r="AW1799" i="9"/>
  <c r="AX1799" i="9"/>
  <c r="AY1799" i="9"/>
  <c r="AZ1799" i="9"/>
  <c r="AW1798" i="9"/>
  <c r="AX1798" i="9"/>
  <c r="AZ1798" i="9"/>
  <c r="AY1798" i="9"/>
  <c r="AZ1797" i="9"/>
  <c r="AX1797" i="9"/>
  <c r="AW1797" i="9"/>
  <c r="AY1797" i="9"/>
  <c r="AX1796" i="9"/>
  <c r="AZ1796" i="9"/>
  <c r="AY1796" i="9"/>
  <c r="AW1796" i="9"/>
  <c r="AX1795" i="9"/>
  <c r="AW1795" i="9"/>
  <c r="AY1795" i="9"/>
  <c r="AZ1795" i="9"/>
  <c r="AW1794" i="9"/>
  <c r="AY1794" i="9"/>
  <c r="AX1794" i="9"/>
  <c r="AZ1794" i="9"/>
  <c r="AZ1793" i="9"/>
  <c r="AW1793" i="9"/>
  <c r="AY1793" i="9"/>
  <c r="AX1793" i="9"/>
  <c r="AX1792" i="9"/>
  <c r="AZ1792" i="9"/>
  <c r="AY1792" i="9"/>
  <c r="AW1792" i="9"/>
  <c r="AX1791" i="9"/>
  <c r="AY1791" i="9"/>
  <c r="AW1791" i="9"/>
  <c r="AZ1790" i="9"/>
  <c r="AY1790" i="9"/>
  <c r="AX1790" i="9"/>
  <c r="AW1790" i="9"/>
  <c r="AX1789" i="9"/>
  <c r="AZ1789" i="9"/>
  <c r="AW1789" i="9"/>
  <c r="AY1789" i="9"/>
  <c r="AY1788" i="9"/>
  <c r="AZ1788" i="9"/>
  <c r="AX1788" i="9"/>
  <c r="AW1788" i="9"/>
  <c r="AY1787" i="9"/>
  <c r="AZ1787" i="9"/>
  <c r="AX1787" i="9"/>
  <c r="AW1787" i="9"/>
  <c r="AZ1786" i="9"/>
  <c r="AX1786" i="9"/>
  <c r="AW1786" i="9"/>
  <c r="AY1786" i="9"/>
  <c r="AY1785" i="9"/>
  <c r="AW1785" i="9"/>
  <c r="AX1785" i="9"/>
  <c r="AZ1785" i="9"/>
  <c r="AX1784" i="9"/>
  <c r="AZ1784" i="9"/>
  <c r="AY1784" i="9"/>
  <c r="AW1784" i="9"/>
  <c r="AZ1783" i="9"/>
  <c r="AW1783" i="9"/>
  <c r="AX1783" i="9"/>
  <c r="AY1783" i="9"/>
  <c r="AZ1782" i="9"/>
  <c r="AY1782" i="9"/>
  <c r="AX1782" i="9"/>
  <c r="AW1782" i="9"/>
  <c r="AY1781" i="9"/>
  <c r="AW1781" i="9"/>
  <c r="AZ1781" i="9"/>
  <c r="AX1781" i="9"/>
  <c r="AY1780" i="9"/>
  <c r="AW1780" i="9"/>
  <c r="AZ1780" i="9"/>
  <c r="AX1780" i="9"/>
  <c r="AZ1779" i="9"/>
  <c r="AX1779" i="9"/>
  <c r="AW1779" i="9"/>
  <c r="AY1779" i="9"/>
  <c r="AW1778" i="9"/>
  <c r="AX1778" i="9"/>
  <c r="AZ1778" i="9"/>
  <c r="AY1778" i="9"/>
  <c r="AX1777" i="9"/>
  <c r="AY1777" i="9"/>
  <c r="AZ1777" i="9"/>
  <c r="AW1777" i="9"/>
  <c r="AY1776" i="9"/>
  <c r="AW1776" i="9"/>
  <c r="AX1776" i="9"/>
  <c r="AZ1776" i="9"/>
  <c r="AY1775" i="9"/>
  <c r="AW1775" i="9"/>
  <c r="AZ1775" i="9"/>
  <c r="AX1775" i="9"/>
  <c r="AZ1774" i="9"/>
  <c r="AX1774" i="9"/>
  <c r="AY1774" i="9"/>
  <c r="AW1774" i="9"/>
  <c r="AW1773" i="9"/>
  <c r="AY1773" i="9"/>
  <c r="AZ1773" i="9"/>
  <c r="AX1773" i="9"/>
  <c r="AX1772" i="9"/>
  <c r="AZ1772" i="9"/>
  <c r="AW1772" i="9"/>
  <c r="AY1772" i="9"/>
  <c r="AW1771" i="9"/>
  <c r="AZ1771" i="9"/>
  <c r="AY1771" i="9"/>
  <c r="AX1771" i="9"/>
  <c r="AW1770" i="9"/>
  <c r="AZ1770" i="9"/>
  <c r="AY1770" i="9"/>
  <c r="AX1770" i="9"/>
  <c r="AZ1769" i="9"/>
  <c r="AW1769" i="9"/>
  <c r="AX1769" i="9"/>
  <c r="AY1769" i="9"/>
  <c r="AY1768" i="9"/>
  <c r="AZ1768" i="9"/>
  <c r="AW1768" i="9"/>
  <c r="AX1768" i="9"/>
  <c r="AX1767" i="9"/>
  <c r="AW1767" i="9"/>
  <c r="AY1767" i="9"/>
  <c r="AZ1767" i="9"/>
  <c r="AZ1766" i="9"/>
  <c r="AX1766" i="9"/>
  <c r="AW1766" i="9"/>
  <c r="AY1766" i="9"/>
  <c r="AW1765" i="9"/>
  <c r="AY1765" i="9"/>
  <c r="AZ1765" i="9"/>
  <c r="AX1765" i="9"/>
  <c r="AW1764" i="9"/>
  <c r="AX1764" i="9"/>
  <c r="AY1764" i="9"/>
  <c r="AZ1764" i="9"/>
  <c r="AZ1763" i="9"/>
  <c r="AX1763" i="9"/>
  <c r="AY1763" i="9"/>
  <c r="AW1763" i="9"/>
  <c r="AW1762" i="9"/>
  <c r="AY1762" i="9"/>
  <c r="AX1762" i="9"/>
  <c r="AZ1762" i="9"/>
  <c r="AZ1761" i="9"/>
  <c r="AW1761" i="9"/>
  <c r="AY1761" i="9"/>
  <c r="AX1761" i="9"/>
  <c r="AZ1760" i="9"/>
  <c r="AW1760" i="9"/>
  <c r="AX1760" i="9"/>
  <c r="AY1760" i="9"/>
  <c r="AZ1759" i="9"/>
  <c r="AY1759" i="9"/>
  <c r="AW1759" i="9"/>
  <c r="AX1759" i="9"/>
  <c r="AZ1758" i="9"/>
  <c r="AW1758" i="9"/>
  <c r="AY1758" i="9"/>
  <c r="AX1758" i="9"/>
  <c r="AX1757" i="9"/>
  <c r="AZ1757" i="9"/>
  <c r="AW1757" i="9"/>
  <c r="AY1757" i="9"/>
  <c r="AW1756" i="9"/>
  <c r="AY1756" i="9"/>
  <c r="AZ1756" i="9"/>
  <c r="AX1756" i="9"/>
  <c r="AY1755" i="9"/>
  <c r="AW1755" i="9"/>
  <c r="AX1755" i="9"/>
  <c r="AZ1755" i="9"/>
  <c r="AW1754" i="9"/>
  <c r="AY1754" i="9"/>
  <c r="AX1754" i="9"/>
  <c r="AZ1754" i="9"/>
  <c r="AX1753" i="9"/>
  <c r="AZ1753" i="9"/>
  <c r="AY1753" i="9"/>
  <c r="AW1753" i="9"/>
  <c r="AY1752" i="9"/>
  <c r="AX1752" i="9"/>
  <c r="AW1752" i="9"/>
  <c r="AZ1752" i="9"/>
  <c r="AZ1751" i="9"/>
  <c r="AW1751" i="9"/>
  <c r="AY1751" i="9"/>
  <c r="AX1751" i="9"/>
  <c r="AY1750" i="9"/>
  <c r="AZ1750" i="9"/>
  <c r="AX1750" i="9"/>
  <c r="AW1750" i="9"/>
  <c r="AX1749" i="9"/>
  <c r="AW1749" i="9"/>
  <c r="AZ1749" i="9"/>
  <c r="AY1749" i="9"/>
  <c r="AZ1748" i="9"/>
  <c r="AW1748" i="9"/>
  <c r="AX1748" i="9"/>
  <c r="AY1748" i="9"/>
  <c r="AY1747" i="9"/>
  <c r="AW1747" i="9"/>
  <c r="AZ1747" i="9"/>
  <c r="AX1747" i="9"/>
  <c r="AY1746" i="9"/>
  <c r="AW1746" i="9"/>
  <c r="AZ1746" i="9"/>
  <c r="AX1746" i="9"/>
  <c r="AY1745" i="9"/>
  <c r="AX1745" i="9"/>
  <c r="AW1745" i="9"/>
  <c r="AZ1745" i="9"/>
  <c r="AX1744" i="9"/>
  <c r="AW1744" i="9"/>
  <c r="AZ1744" i="9"/>
  <c r="AY1744" i="9"/>
  <c r="AZ1743" i="9"/>
  <c r="AX1743" i="9"/>
  <c r="AW1743" i="9"/>
  <c r="AY1743" i="9"/>
  <c r="AW1742" i="9"/>
  <c r="AX1742" i="9"/>
  <c r="AZ1742" i="9"/>
  <c r="AY1742" i="9"/>
  <c r="AW1741" i="9"/>
  <c r="AY1741" i="9"/>
  <c r="AX1741" i="9"/>
  <c r="AZ1741" i="9"/>
  <c r="AY1740" i="9"/>
  <c r="AW1740" i="9"/>
  <c r="AZ1740" i="9"/>
  <c r="AX1740" i="9"/>
  <c r="AX1739" i="9"/>
  <c r="AY1739" i="9"/>
  <c r="AW1739" i="9"/>
  <c r="AZ1739" i="9"/>
  <c r="AX1738" i="9"/>
  <c r="AY1738" i="9"/>
  <c r="AZ1738" i="9"/>
  <c r="AW1738" i="9"/>
  <c r="AY1737" i="9"/>
  <c r="AX1737" i="9"/>
  <c r="AZ1737" i="9"/>
  <c r="AW1737" i="9"/>
  <c r="AZ1736" i="9"/>
  <c r="AY1736" i="9"/>
  <c r="AW1736" i="9"/>
  <c r="AX1736" i="9"/>
  <c r="AZ1735" i="9"/>
  <c r="AX1735" i="9"/>
  <c r="AW1735" i="9"/>
  <c r="AY1735" i="9"/>
  <c r="AY1734" i="9"/>
  <c r="AX1734" i="9"/>
  <c r="AW1734" i="9"/>
  <c r="AZ1734" i="9"/>
  <c r="AY1733" i="9"/>
  <c r="AX1733" i="9"/>
  <c r="AZ1733" i="9"/>
  <c r="AW1733" i="9"/>
  <c r="AX1732" i="9"/>
  <c r="AW1732" i="9"/>
  <c r="AY1732" i="9"/>
  <c r="AZ1732" i="9"/>
  <c r="AW1731" i="9"/>
  <c r="AZ1731" i="9"/>
  <c r="AY1731" i="9"/>
  <c r="AX1731" i="9"/>
  <c r="AZ1730" i="9"/>
  <c r="AY1730" i="9"/>
  <c r="AW1730" i="9"/>
  <c r="AX1730" i="9"/>
  <c r="AY1729" i="9"/>
  <c r="AW1729" i="9"/>
  <c r="AX1729" i="9"/>
  <c r="AZ1729" i="9"/>
  <c r="AX1728" i="9"/>
  <c r="AW1728" i="9"/>
  <c r="AY1728" i="9"/>
  <c r="AZ1728" i="9"/>
  <c r="AX1727" i="9"/>
  <c r="AW1727" i="9"/>
  <c r="AY1727" i="9"/>
  <c r="AZ1727" i="9"/>
  <c r="AZ1726" i="9"/>
  <c r="AY1726" i="9"/>
  <c r="AW1726" i="9"/>
  <c r="AX1726" i="9"/>
  <c r="AY1725" i="9"/>
  <c r="AW1725" i="9"/>
  <c r="AX1725" i="9"/>
  <c r="AZ1725" i="9"/>
  <c r="AZ1724" i="9"/>
  <c r="AY1724" i="9"/>
  <c r="AX1724" i="9"/>
  <c r="AW1724" i="9"/>
  <c r="AZ1723" i="9"/>
  <c r="AY1723" i="9"/>
  <c r="AW1723" i="9"/>
  <c r="AX1723" i="9"/>
  <c r="AW1722" i="9"/>
  <c r="AY1722" i="9"/>
  <c r="AZ1722" i="9"/>
  <c r="AX1722" i="9"/>
  <c r="AW1721" i="9"/>
  <c r="AX1721" i="9"/>
  <c r="AY1721" i="9"/>
  <c r="AZ1721" i="9"/>
  <c r="AX1720" i="9"/>
  <c r="AW1720" i="9"/>
  <c r="AZ1720" i="9"/>
  <c r="AY1720" i="9"/>
  <c r="AY1719" i="9"/>
  <c r="AX1719" i="9"/>
  <c r="AW1719" i="9"/>
  <c r="AZ1719" i="9"/>
  <c r="AZ1718" i="9"/>
  <c r="AY1718" i="9"/>
  <c r="AX1718" i="9"/>
  <c r="AW1718" i="9"/>
  <c r="AZ1717" i="9"/>
  <c r="AY1717" i="9"/>
  <c r="AW1717" i="9"/>
  <c r="AX1717" i="9"/>
  <c r="AZ1716" i="9"/>
  <c r="AY1716" i="9"/>
  <c r="AX1716" i="9"/>
  <c r="AW1716" i="9"/>
  <c r="AZ1715" i="9"/>
  <c r="AY1715" i="9"/>
  <c r="AX1715" i="9"/>
  <c r="AW1715" i="9"/>
  <c r="AX1714" i="9"/>
  <c r="AW1714" i="9"/>
  <c r="AY1714" i="9"/>
  <c r="AZ1714" i="9"/>
  <c r="AZ1713" i="9"/>
  <c r="AY1713" i="9"/>
  <c r="AX1713" i="9"/>
  <c r="AW1713" i="9"/>
  <c r="AZ1712" i="9"/>
  <c r="AY1712" i="9"/>
  <c r="AX1712" i="9"/>
  <c r="AW1712" i="9"/>
  <c r="AY1711" i="9"/>
  <c r="AZ1711" i="9"/>
  <c r="AX1711" i="9"/>
  <c r="AW1711" i="9"/>
  <c r="AZ1710" i="9"/>
  <c r="AY1710" i="9"/>
  <c r="AW1710" i="9"/>
  <c r="AX1710" i="9"/>
  <c r="AX1709" i="9"/>
  <c r="AY1709" i="9"/>
  <c r="AZ1709" i="9"/>
  <c r="AW1709" i="9"/>
  <c r="AX1708" i="9"/>
  <c r="AW1708" i="9"/>
  <c r="AZ1708" i="9"/>
  <c r="AY1708" i="9"/>
  <c r="AZ1707" i="9"/>
  <c r="AY1707" i="9"/>
  <c r="AX1707" i="9"/>
  <c r="AW1707" i="9"/>
  <c r="AZ1706" i="9"/>
  <c r="AY1706" i="9"/>
  <c r="AX1706" i="9"/>
  <c r="AW1706" i="9"/>
  <c r="AW1705" i="9"/>
  <c r="AZ1705" i="9"/>
  <c r="AY1705" i="9"/>
  <c r="AX1705" i="9"/>
  <c r="AY1704" i="9"/>
  <c r="AW1704" i="9"/>
  <c r="AX1704" i="9"/>
  <c r="AZ1704" i="9"/>
  <c r="AZ1703" i="9"/>
  <c r="AW1703" i="9"/>
  <c r="AX1703" i="9"/>
  <c r="AY1703" i="9"/>
  <c r="AY1702" i="9"/>
  <c r="AX1702" i="9"/>
  <c r="AZ1702" i="9"/>
  <c r="AW1702" i="9"/>
  <c r="AZ1701" i="9"/>
  <c r="AY1701" i="9"/>
  <c r="AX1701" i="9"/>
  <c r="AW1701" i="9"/>
  <c r="AZ1700" i="9"/>
  <c r="AY1700" i="9"/>
  <c r="AX1700" i="9"/>
  <c r="AW1700" i="9"/>
  <c r="AW1699" i="9"/>
  <c r="AX1699" i="9"/>
  <c r="AY1699" i="9"/>
  <c r="AZ1699" i="9"/>
  <c r="AZ1698" i="9"/>
  <c r="AW1698" i="9"/>
  <c r="AX1698" i="9"/>
  <c r="AY1698" i="9"/>
  <c r="AX1697" i="9"/>
  <c r="AY1697" i="9"/>
  <c r="AZ1697" i="9"/>
  <c r="AW1697" i="9"/>
  <c r="AW1696" i="9"/>
  <c r="AZ1696" i="9"/>
  <c r="AY1696" i="9"/>
  <c r="AX1696" i="9"/>
  <c r="AZ1695" i="9"/>
  <c r="AX1695" i="9"/>
  <c r="AW1695" i="9"/>
  <c r="AY1695" i="9"/>
  <c r="AZ1694" i="9"/>
  <c r="AX1694" i="9"/>
  <c r="AY1694" i="9"/>
  <c r="AW1694" i="9"/>
  <c r="AX1693" i="9"/>
  <c r="AY1693" i="9"/>
  <c r="AZ1693" i="9"/>
  <c r="AW1693" i="9"/>
  <c r="AW1692" i="9"/>
  <c r="AX1692" i="9"/>
  <c r="AY1692" i="9"/>
  <c r="AZ1692" i="9"/>
  <c r="AW1691" i="9"/>
  <c r="AX1691" i="9"/>
  <c r="AY1691" i="9"/>
  <c r="AZ1691" i="9"/>
  <c r="AW1690" i="9"/>
  <c r="AZ1690" i="9"/>
  <c r="AY1690" i="9"/>
  <c r="AX1690" i="9"/>
  <c r="AZ1689" i="9"/>
  <c r="AX1689" i="9"/>
  <c r="AW1689" i="9"/>
  <c r="AY1689" i="9"/>
  <c r="AW1688" i="9"/>
  <c r="AZ1688" i="9"/>
  <c r="AY1688" i="9"/>
  <c r="AX1688" i="9"/>
  <c r="AW1687" i="9"/>
  <c r="AZ1687" i="9"/>
  <c r="AX1687" i="9"/>
  <c r="AY1687" i="9"/>
  <c r="AY1686" i="9"/>
  <c r="AZ1686" i="9"/>
  <c r="AX1686" i="9"/>
  <c r="AW1686" i="9"/>
  <c r="AW1685" i="9"/>
  <c r="AX1685" i="9"/>
  <c r="AY1685" i="9"/>
  <c r="AZ1685" i="9"/>
  <c r="AW1684" i="9"/>
  <c r="AX1684" i="9"/>
  <c r="AY1684" i="9"/>
  <c r="AZ1684" i="9"/>
  <c r="AY1683" i="9"/>
  <c r="AZ1683" i="9"/>
  <c r="AX1683" i="9"/>
  <c r="AW1683" i="9"/>
  <c r="AW1682" i="9"/>
  <c r="AX1682" i="9"/>
  <c r="AZ1682" i="9"/>
  <c r="AY1682" i="9"/>
  <c r="AZ1681" i="9"/>
  <c r="AW1681" i="9"/>
  <c r="AX1681" i="9"/>
  <c r="AY1681" i="9"/>
  <c r="AW1680" i="9"/>
  <c r="AX1680" i="9"/>
  <c r="AY1680" i="9"/>
  <c r="AZ1680" i="9"/>
  <c r="AX1679" i="9"/>
  <c r="AZ1679" i="9"/>
  <c r="AW1679" i="9"/>
  <c r="AY1679" i="9"/>
  <c r="AW1678" i="9"/>
  <c r="AX1678" i="9"/>
  <c r="AY1678" i="9"/>
  <c r="AZ1678" i="9"/>
  <c r="AW1677" i="9"/>
  <c r="AX1677" i="9"/>
  <c r="AY1677" i="9"/>
  <c r="AZ1677" i="9"/>
  <c r="AX1676" i="9"/>
  <c r="AY1676" i="9"/>
  <c r="AW1676" i="9"/>
  <c r="AZ1676" i="9"/>
  <c r="AZ1675" i="9"/>
  <c r="AY1675" i="9"/>
  <c r="AX1675" i="9"/>
  <c r="AW1675" i="9"/>
  <c r="AX1674" i="9"/>
  <c r="AZ1674" i="9"/>
  <c r="AY1674" i="9"/>
  <c r="AW1674" i="9"/>
  <c r="AY1673" i="9"/>
  <c r="AX1673" i="9"/>
  <c r="AW1673" i="9"/>
  <c r="AZ1673" i="9"/>
  <c r="AW1672" i="9"/>
  <c r="AX1672" i="9"/>
  <c r="AY1672" i="9"/>
  <c r="AZ1672" i="9"/>
  <c r="AY1671" i="9"/>
  <c r="AX1671" i="9"/>
  <c r="AZ1671" i="9"/>
  <c r="AW1671" i="9"/>
  <c r="AY1670" i="9"/>
  <c r="AW1670" i="9"/>
  <c r="AX1670" i="9"/>
  <c r="AZ1670" i="9"/>
  <c r="AY1669" i="9"/>
  <c r="AW1669" i="9"/>
  <c r="AX1669" i="9"/>
  <c r="AZ1669" i="9"/>
  <c r="AW1668" i="9"/>
  <c r="AX1668" i="9"/>
  <c r="AY1668" i="9"/>
  <c r="AZ1668" i="9"/>
  <c r="AY1667" i="9"/>
  <c r="AW1667" i="9"/>
  <c r="AX1667" i="9"/>
  <c r="AZ1667" i="9"/>
  <c r="AZ1666" i="9"/>
  <c r="AY1666" i="9"/>
  <c r="AX1666" i="9"/>
  <c r="AW1666" i="9"/>
  <c r="AX1665" i="9"/>
  <c r="AW1665" i="9"/>
  <c r="AY1665" i="9"/>
  <c r="AZ1665" i="9"/>
  <c r="AW1664" i="9"/>
  <c r="AY1664" i="9"/>
  <c r="AZ1664" i="9"/>
  <c r="AX1664" i="9"/>
  <c r="AW1663" i="9"/>
  <c r="AX1663" i="9"/>
  <c r="AY1663" i="9"/>
  <c r="AZ1663" i="9"/>
  <c r="AW1662" i="9"/>
  <c r="AX1662" i="9"/>
  <c r="AY1662" i="9"/>
  <c r="AZ1662" i="9"/>
  <c r="AZ1661" i="9"/>
  <c r="AX1661" i="9"/>
  <c r="AW1661" i="9"/>
  <c r="AY1661" i="9"/>
  <c r="AZ1660" i="9"/>
  <c r="AY1660" i="9"/>
  <c r="AX1660" i="9"/>
  <c r="AW1660" i="9"/>
  <c r="AX1659" i="9"/>
  <c r="AZ1659" i="9"/>
  <c r="AY1659" i="9"/>
  <c r="AW1659" i="9"/>
  <c r="AZ1658" i="9"/>
  <c r="AY1658" i="9"/>
  <c r="AX1658" i="9"/>
  <c r="AW1658" i="9"/>
  <c r="AZ1657" i="9"/>
  <c r="AY1657" i="9"/>
  <c r="AX1657" i="9"/>
  <c r="AW1657" i="9"/>
  <c r="AX1656" i="9"/>
  <c r="AZ1656" i="9"/>
  <c r="AY1656" i="9"/>
  <c r="AW1656" i="9"/>
  <c r="AZ1655" i="9"/>
  <c r="AY1655" i="9"/>
  <c r="AX1655" i="9"/>
  <c r="AW1655" i="9"/>
  <c r="AZ1654" i="9"/>
  <c r="AY1654" i="9"/>
  <c r="AX1654" i="9"/>
  <c r="AW1654" i="9"/>
  <c r="AY1653" i="9"/>
  <c r="AZ1653" i="9"/>
  <c r="AX1653" i="9"/>
  <c r="AW1653" i="9"/>
  <c r="AZ1652" i="9"/>
  <c r="AW1652" i="9"/>
  <c r="AX1652" i="9"/>
  <c r="AY1652" i="9"/>
  <c r="AW1651" i="9"/>
  <c r="AZ1651" i="9"/>
  <c r="AX1651" i="9"/>
  <c r="AY1651" i="9"/>
  <c r="AW1650" i="9"/>
  <c r="AX1650" i="9"/>
  <c r="AY1650" i="9"/>
  <c r="AZ1650" i="9"/>
  <c r="AW1649" i="9"/>
  <c r="AX1649" i="9"/>
  <c r="AY1649" i="9"/>
  <c r="AZ1649" i="9"/>
  <c r="AZ1648" i="9"/>
  <c r="AY1648" i="9"/>
  <c r="AX1648" i="9"/>
  <c r="AW1648" i="9"/>
  <c r="AZ1647" i="9"/>
  <c r="AY1647" i="9"/>
  <c r="AX1647" i="9"/>
  <c r="AW1647" i="9"/>
  <c r="AZ1646" i="9"/>
  <c r="AY1646" i="9"/>
  <c r="AX1646" i="9"/>
  <c r="AW1646" i="9"/>
  <c r="AW1645" i="9"/>
  <c r="AX1645" i="9"/>
  <c r="AY1645" i="9"/>
  <c r="AZ1645" i="9"/>
  <c r="AY1644" i="9"/>
  <c r="AZ1644" i="9"/>
  <c r="AX1644" i="9"/>
  <c r="AW1644" i="9"/>
  <c r="AZ1643" i="9"/>
  <c r="AY1643" i="9"/>
  <c r="AX1643" i="9"/>
  <c r="AW1643" i="9"/>
  <c r="AZ1642" i="9"/>
  <c r="AY1642" i="9"/>
  <c r="AX1642" i="9"/>
  <c r="AW1642" i="9"/>
  <c r="AY1641" i="9"/>
  <c r="AZ1641" i="9"/>
  <c r="AX1641" i="9"/>
  <c r="AW1641" i="9"/>
  <c r="AW1640" i="9"/>
  <c r="AZ1640" i="9"/>
  <c r="AY1640" i="9"/>
  <c r="AX1640" i="9"/>
  <c r="AX1639" i="9"/>
  <c r="AZ1639" i="9"/>
  <c r="AY1639" i="9"/>
  <c r="AW1639" i="9"/>
  <c r="AY1638" i="9"/>
  <c r="AW1638" i="9"/>
  <c r="AX1638" i="9"/>
  <c r="AZ1638" i="9"/>
  <c r="AX1637" i="9"/>
  <c r="AZ1637" i="9"/>
  <c r="AY1637" i="9"/>
  <c r="AW1637" i="9"/>
  <c r="AY1636" i="9"/>
  <c r="AZ1636" i="9"/>
  <c r="AW1636" i="9"/>
  <c r="AX1636" i="9"/>
  <c r="AX1635" i="9"/>
  <c r="AZ1635" i="9"/>
  <c r="AY1635" i="9"/>
  <c r="AW1635" i="9"/>
  <c r="AX1634" i="9"/>
  <c r="AW1634" i="9"/>
  <c r="AY1634" i="9"/>
  <c r="AZ1634" i="9"/>
  <c r="AZ1633" i="9"/>
  <c r="AY1633" i="9"/>
  <c r="AX1633" i="9"/>
  <c r="AW1633" i="9"/>
  <c r="AY1632" i="9"/>
  <c r="AZ1632" i="9"/>
  <c r="AX1632" i="9"/>
  <c r="AW1632" i="9"/>
  <c r="AY1631" i="9"/>
  <c r="AX1631" i="9"/>
  <c r="AW1631" i="9"/>
  <c r="AZ1631" i="9"/>
  <c r="AZ1630" i="9"/>
  <c r="AX1630" i="9"/>
  <c r="AW1630" i="9"/>
  <c r="AY1630" i="9"/>
  <c r="AZ1629" i="9"/>
  <c r="AY1629" i="9"/>
  <c r="AX1629" i="9"/>
  <c r="AW1629" i="9"/>
  <c r="AX1628" i="9"/>
  <c r="AY1628" i="9"/>
  <c r="AZ1628" i="9"/>
  <c r="AW1628" i="9"/>
  <c r="AW1627" i="9"/>
  <c r="AX1627" i="9"/>
  <c r="AY1627" i="9"/>
  <c r="AZ1627" i="9"/>
  <c r="AY1626" i="9"/>
  <c r="AZ1626" i="9"/>
  <c r="AW1626" i="9"/>
  <c r="AX1626" i="9"/>
  <c r="AW1625" i="9"/>
  <c r="AY1625" i="9"/>
  <c r="AX1625" i="9"/>
  <c r="AZ1625" i="9"/>
  <c r="AZ1624" i="9"/>
  <c r="AY1624" i="9"/>
  <c r="AX1624" i="9"/>
  <c r="AW1624" i="9"/>
  <c r="AY1623" i="9"/>
  <c r="AZ1623" i="9"/>
  <c r="AX1623" i="9"/>
  <c r="AW1623" i="9"/>
  <c r="AZ1622" i="9"/>
  <c r="AY1622" i="9"/>
  <c r="AX1622" i="9"/>
  <c r="AW1622" i="9"/>
  <c r="AX1621" i="9"/>
  <c r="AW1621" i="9"/>
  <c r="AZ1621" i="9"/>
  <c r="AY1621" i="9"/>
  <c r="AX1620" i="9"/>
  <c r="AW1620" i="9"/>
  <c r="AY1620" i="9"/>
  <c r="AZ1620" i="9"/>
  <c r="AZ1619" i="9"/>
  <c r="AY1619" i="9"/>
  <c r="AX1619" i="9"/>
  <c r="AW1619" i="9"/>
  <c r="AZ1618" i="9"/>
  <c r="AY1618" i="9"/>
  <c r="AX1618" i="9"/>
  <c r="AW1618" i="9"/>
  <c r="AY1617" i="9"/>
  <c r="AZ1617" i="9"/>
  <c r="AW1617" i="9"/>
  <c r="AX1617" i="9"/>
  <c r="AY1616" i="9"/>
  <c r="AW1616" i="9"/>
  <c r="AX1616" i="9"/>
  <c r="AZ1616" i="9"/>
  <c r="AW1615" i="9"/>
  <c r="AX1615" i="9"/>
  <c r="AY1615" i="9"/>
  <c r="AZ1615" i="9"/>
  <c r="AW1614" i="9"/>
  <c r="AX1614" i="9"/>
  <c r="AY1614" i="9"/>
  <c r="AZ1614" i="9"/>
  <c r="AX1613" i="9"/>
  <c r="AY1613" i="9"/>
  <c r="AZ1613" i="9"/>
  <c r="AW1613" i="9"/>
  <c r="AY1612" i="9"/>
  <c r="AZ1612" i="9"/>
  <c r="AX1612" i="9"/>
  <c r="AW1612" i="9"/>
  <c r="AW1611" i="9"/>
  <c r="AZ1611" i="9"/>
  <c r="AX1611" i="9"/>
  <c r="AY1611" i="9"/>
  <c r="AX1610" i="9"/>
  <c r="AW1610" i="9"/>
  <c r="AZ1610" i="9"/>
  <c r="AY1610" i="9"/>
  <c r="AX1609" i="9"/>
  <c r="AW1609" i="9"/>
  <c r="AZ1609" i="9"/>
  <c r="AY1609" i="9"/>
  <c r="AZ1608" i="9"/>
  <c r="AX1608" i="9"/>
  <c r="AY1608" i="9"/>
  <c r="AW1608" i="9"/>
  <c r="AX1607" i="9"/>
  <c r="AW1607" i="9"/>
  <c r="AY1607" i="9"/>
  <c r="AZ1607" i="9"/>
  <c r="AZ1606" i="9"/>
  <c r="AY1606" i="9"/>
  <c r="AX1606" i="9"/>
  <c r="AW1606" i="9"/>
  <c r="AZ1605" i="9"/>
  <c r="AY1605" i="9"/>
  <c r="AX1605" i="9"/>
  <c r="AW1605" i="9"/>
  <c r="AW1604" i="9"/>
  <c r="AZ1604" i="9"/>
  <c r="AY1604" i="9"/>
  <c r="AX1604" i="9"/>
  <c r="AW1603" i="9"/>
  <c r="AX1603" i="9"/>
  <c r="AY1603" i="9"/>
  <c r="AZ1603" i="9"/>
  <c r="AW1602" i="9"/>
  <c r="AX1602" i="9"/>
  <c r="AY1602" i="9"/>
  <c r="AZ1602" i="9"/>
  <c r="AX1601" i="9"/>
  <c r="AW1601" i="9"/>
  <c r="AY1601" i="9"/>
  <c r="AZ1601" i="9"/>
  <c r="AX1600" i="9"/>
  <c r="AW1600" i="9"/>
  <c r="AZ1600" i="9"/>
  <c r="AY1600" i="9"/>
  <c r="AW1599" i="9"/>
  <c r="AX1599" i="9"/>
  <c r="AZ1599" i="9"/>
  <c r="AY1599" i="9"/>
  <c r="AW1598" i="9"/>
  <c r="AX1598" i="9"/>
  <c r="AY1598" i="9"/>
  <c r="AZ1598" i="9"/>
  <c r="AZ1597" i="9"/>
  <c r="AX1597" i="9"/>
  <c r="AW1597" i="9"/>
  <c r="AY1597" i="9"/>
  <c r="AZ1596" i="9"/>
  <c r="AY1596" i="9"/>
  <c r="AX1596" i="9"/>
  <c r="AW1596" i="9"/>
  <c r="AZ1595" i="9"/>
  <c r="AY1595" i="9"/>
  <c r="AX1595" i="9"/>
  <c r="AW1595" i="9"/>
  <c r="AZ1594" i="9"/>
  <c r="AY1594" i="9"/>
  <c r="AX1594" i="9"/>
  <c r="AW1594" i="9"/>
  <c r="AZ1593" i="9"/>
  <c r="AY1593" i="9"/>
  <c r="AX1593" i="9"/>
  <c r="AW1593" i="9"/>
  <c r="AZ1592" i="9"/>
  <c r="AY1592" i="9"/>
  <c r="AX1592" i="9"/>
  <c r="AW1592" i="9"/>
  <c r="AZ1591" i="9"/>
  <c r="AY1591" i="9"/>
  <c r="AX1591" i="9"/>
  <c r="AW1591" i="9"/>
  <c r="AZ1590" i="9"/>
  <c r="AY1590" i="9"/>
  <c r="AX1590" i="9"/>
  <c r="AW1590" i="9"/>
  <c r="AZ1589" i="9"/>
  <c r="AY1589" i="9"/>
  <c r="AX1589" i="9"/>
  <c r="AW1589" i="9"/>
  <c r="AZ1588" i="9"/>
  <c r="AY1588" i="9"/>
  <c r="AX1588" i="9"/>
  <c r="AW1588" i="9"/>
  <c r="AZ1587" i="9"/>
  <c r="AY1587" i="9"/>
  <c r="AX1587" i="9"/>
  <c r="AW1587" i="9"/>
  <c r="AZ1586" i="9"/>
  <c r="AY1586" i="9"/>
  <c r="AX1586" i="9"/>
  <c r="AW1586" i="9"/>
  <c r="AY1585" i="9"/>
  <c r="AW1585" i="9"/>
  <c r="AX1585" i="9"/>
  <c r="AZ1585" i="9"/>
  <c r="AW1584" i="9"/>
  <c r="AX1584" i="9"/>
  <c r="AY1584" i="9"/>
  <c r="AZ1584" i="9"/>
  <c r="AZ1583" i="9"/>
  <c r="AY1583" i="9"/>
  <c r="AX1583" i="9"/>
  <c r="AW1583" i="9"/>
  <c r="AY1582" i="9"/>
  <c r="AX1582" i="9"/>
  <c r="AZ1582" i="9"/>
  <c r="AW1582" i="9"/>
  <c r="AY1581" i="9"/>
  <c r="AZ1581" i="9"/>
  <c r="AW1581" i="9"/>
  <c r="AX1581" i="9"/>
  <c r="AW1580" i="9"/>
  <c r="AX1580" i="9"/>
  <c r="AY1580" i="9"/>
  <c r="AZ1580" i="9"/>
  <c r="AX1579" i="9"/>
  <c r="AY1579" i="9"/>
  <c r="AZ1579" i="9"/>
  <c r="AW1579" i="9"/>
  <c r="AZ1578" i="9"/>
  <c r="AX1578" i="9"/>
  <c r="AY1578" i="9"/>
  <c r="AW1578" i="9"/>
  <c r="AY1577" i="9"/>
  <c r="AW1577" i="9"/>
  <c r="AX1577" i="9"/>
  <c r="AZ1577" i="9"/>
  <c r="AY1576" i="9"/>
  <c r="AZ1576" i="9"/>
  <c r="AW1576" i="9"/>
  <c r="AX1576" i="9"/>
  <c r="AZ1575" i="9"/>
  <c r="AY1575" i="9"/>
  <c r="AX1575" i="9"/>
  <c r="AW1575" i="9"/>
  <c r="AX1574" i="9"/>
  <c r="AY1574" i="9"/>
  <c r="AZ1574" i="9"/>
  <c r="AW1574" i="9"/>
  <c r="AW1573" i="9"/>
  <c r="AX1573" i="9"/>
  <c r="AY1573" i="9"/>
  <c r="AZ1573" i="9"/>
  <c r="AX1572" i="9"/>
  <c r="AW1572" i="9"/>
  <c r="AZ1572" i="9"/>
  <c r="AY1572" i="9"/>
  <c r="AW1571" i="9"/>
  <c r="AZ1571" i="9"/>
  <c r="AY1571" i="9"/>
  <c r="AX1571" i="9"/>
  <c r="AZ1570" i="9"/>
  <c r="AW1570" i="9"/>
  <c r="AX1570" i="9"/>
  <c r="AY1570" i="9"/>
  <c r="AX1569" i="9"/>
  <c r="AY1569" i="9"/>
  <c r="AZ1569" i="9"/>
  <c r="AW1569" i="9"/>
  <c r="AZ1568" i="9"/>
  <c r="AX1568" i="9"/>
  <c r="AW1568" i="9"/>
  <c r="AY1568" i="9"/>
  <c r="AX1567" i="9"/>
  <c r="AW1567" i="9"/>
  <c r="AZ1567" i="9"/>
  <c r="AY1567" i="9"/>
  <c r="AZ1566" i="9"/>
  <c r="AW1566" i="9"/>
  <c r="AX1566" i="9"/>
  <c r="AY1566" i="9"/>
  <c r="AW1565" i="9"/>
  <c r="AY1565" i="9"/>
  <c r="AX1565" i="9"/>
  <c r="AZ1565" i="9"/>
  <c r="AZ1564" i="9"/>
  <c r="AY1564" i="9"/>
  <c r="AX1564" i="9"/>
  <c r="AW1564" i="9"/>
  <c r="AW1563" i="9"/>
  <c r="AZ1563" i="9"/>
  <c r="AY1563" i="9"/>
  <c r="AX1563" i="9"/>
  <c r="AY1562" i="9"/>
  <c r="AW1562" i="9"/>
  <c r="AZ1562" i="9"/>
  <c r="AX1562" i="9"/>
  <c r="AW1561" i="9"/>
  <c r="AY1561" i="9"/>
  <c r="AX1561" i="9"/>
  <c r="AZ1561" i="9"/>
  <c r="AX1560" i="9"/>
  <c r="AZ1560" i="9"/>
  <c r="AW1560" i="9"/>
  <c r="AY1560" i="9"/>
  <c r="AZ1559" i="9"/>
  <c r="AX1559" i="9"/>
  <c r="AY1559" i="9"/>
  <c r="AW1559" i="9"/>
  <c r="AW1558" i="9"/>
  <c r="AY1558" i="9"/>
  <c r="AZ1558" i="9"/>
  <c r="AX1558" i="9"/>
  <c r="AW1557" i="9"/>
  <c r="AY1557" i="9"/>
  <c r="AZ1557" i="9"/>
  <c r="AX1557" i="9"/>
  <c r="AY1556" i="9"/>
  <c r="AZ1556" i="9"/>
  <c r="AW1556" i="9"/>
  <c r="AX1556" i="9"/>
  <c r="AY1555" i="9"/>
  <c r="AX1555" i="9"/>
  <c r="AW1555" i="9"/>
  <c r="AZ1555" i="9"/>
  <c r="AW1554" i="9"/>
  <c r="AZ1554" i="9"/>
  <c r="AY1554" i="9"/>
  <c r="AX1554" i="9"/>
  <c r="AY1553" i="9"/>
  <c r="AW1553" i="9"/>
  <c r="AZ1553" i="9"/>
  <c r="AX1553" i="9"/>
  <c r="AW1552" i="9"/>
  <c r="AY1552" i="9"/>
  <c r="AZ1552" i="9"/>
  <c r="AX1552" i="9"/>
  <c r="AW1551" i="9"/>
  <c r="AY1551" i="9"/>
  <c r="AZ1551" i="9"/>
  <c r="AX1551" i="9"/>
  <c r="AY1550" i="9"/>
  <c r="AW1550" i="9"/>
  <c r="AZ1550" i="9"/>
  <c r="AX1550" i="9"/>
  <c r="AZ1549" i="9"/>
  <c r="AW1549" i="9"/>
  <c r="AY1549" i="9"/>
  <c r="AX1549" i="9"/>
  <c r="AX1548" i="9"/>
  <c r="AZ1548" i="9"/>
  <c r="AY1548" i="9"/>
  <c r="AW1548" i="9"/>
  <c r="AX1547" i="9"/>
  <c r="AZ1547" i="9"/>
  <c r="AW1547" i="9"/>
  <c r="AY1547" i="9"/>
  <c r="AZ1546" i="9"/>
  <c r="AW1546" i="9"/>
  <c r="AY1546" i="9"/>
  <c r="AX1546" i="9"/>
  <c r="AZ1545" i="9"/>
  <c r="AX1545" i="9"/>
  <c r="AW1545" i="9"/>
  <c r="AY1545" i="9"/>
  <c r="AY1544" i="9"/>
  <c r="AW1544" i="9"/>
  <c r="AZ1544" i="9"/>
  <c r="AX1544" i="9"/>
  <c r="AY1543" i="9"/>
  <c r="AX1543" i="9"/>
  <c r="AZ1543" i="9"/>
  <c r="AW1543" i="9"/>
  <c r="AZ1542" i="9"/>
  <c r="AW1542" i="9"/>
  <c r="AY1542" i="9"/>
  <c r="AX1542" i="9"/>
  <c r="AZ1541" i="9"/>
  <c r="AY1541" i="9"/>
  <c r="AX1541" i="9"/>
  <c r="AW1541" i="9"/>
  <c r="AX1540" i="9"/>
  <c r="AY1540" i="9"/>
  <c r="AW1540" i="9"/>
  <c r="AZ1540" i="9"/>
  <c r="AZ1539" i="9"/>
  <c r="AX1539" i="9"/>
  <c r="AW1539" i="9"/>
  <c r="AY1539" i="9"/>
  <c r="AW1538" i="9"/>
  <c r="AY1538" i="9"/>
  <c r="AX1538" i="9"/>
  <c r="AZ1538" i="9"/>
  <c r="AZ1537" i="9"/>
  <c r="AX1537" i="9"/>
  <c r="AW1537" i="9"/>
  <c r="AY1537" i="9"/>
  <c r="AY1536" i="9"/>
  <c r="AX1536" i="9"/>
  <c r="AZ1536" i="9"/>
  <c r="AW1536" i="9"/>
  <c r="AW1535" i="9"/>
  <c r="AX1535" i="9"/>
  <c r="AZ1535" i="9"/>
  <c r="AY1535" i="9"/>
  <c r="AZ1534" i="9"/>
  <c r="AX1534" i="9"/>
  <c r="AW1534" i="9"/>
  <c r="AY1534" i="9"/>
  <c r="AW1533" i="9"/>
  <c r="AY1533" i="9"/>
  <c r="AZ1533" i="9"/>
  <c r="AX1533" i="9"/>
  <c r="AZ1532" i="9"/>
  <c r="AX1532" i="9"/>
  <c r="AW1532" i="9"/>
  <c r="AY1532" i="9"/>
  <c r="AX1531" i="9"/>
  <c r="AW1531" i="9"/>
  <c r="AY1531" i="9"/>
  <c r="AZ1531" i="9"/>
  <c r="AX1530" i="9"/>
  <c r="AZ1530" i="9"/>
  <c r="AY1530" i="9"/>
  <c r="AW1530" i="9"/>
  <c r="AW1529" i="9"/>
  <c r="AZ1529" i="9"/>
  <c r="AX1529" i="9"/>
  <c r="AY1529" i="9"/>
  <c r="AY1528" i="9"/>
  <c r="AZ1528" i="9"/>
  <c r="AW1528" i="9"/>
  <c r="AX1528" i="9"/>
  <c r="AY1527" i="9"/>
  <c r="AX1527" i="9"/>
  <c r="AZ1527" i="9"/>
  <c r="AW1527" i="9"/>
  <c r="AZ1526" i="9"/>
  <c r="AX1526" i="9"/>
  <c r="AW1526" i="9"/>
  <c r="AY1526" i="9"/>
  <c r="AY1525" i="9"/>
  <c r="AZ1525" i="9"/>
  <c r="AX1525" i="9"/>
  <c r="AW1525" i="9"/>
  <c r="AZ1524" i="9"/>
  <c r="AW1524" i="9"/>
  <c r="AY1524" i="9"/>
  <c r="AX1524" i="9"/>
  <c r="AX1523" i="9"/>
  <c r="AW1523" i="9"/>
  <c r="AY1523" i="9"/>
  <c r="AZ1523" i="9"/>
  <c r="AY1522" i="9"/>
  <c r="AZ1522" i="9"/>
  <c r="AX1522" i="9"/>
  <c r="AW1522" i="9"/>
  <c r="AY1521" i="9"/>
  <c r="AZ1521" i="9"/>
  <c r="AX1521" i="9"/>
  <c r="AW1521" i="9"/>
  <c r="AW1520" i="9"/>
  <c r="AY1520" i="9"/>
  <c r="AZ1520" i="9"/>
  <c r="AX1520" i="9"/>
  <c r="AX1519" i="9"/>
  <c r="AZ1519" i="9"/>
  <c r="AW1519" i="9"/>
  <c r="AY1519" i="9"/>
  <c r="AX1518" i="9"/>
  <c r="AW1518" i="9"/>
  <c r="AY1518" i="9"/>
  <c r="AZ1518" i="9"/>
  <c r="AX1517" i="9"/>
  <c r="AZ1517" i="9"/>
  <c r="AY1517" i="9"/>
  <c r="AW1517" i="9"/>
  <c r="AZ1516" i="9"/>
  <c r="AY1516" i="9"/>
  <c r="AW1516" i="9"/>
  <c r="AX1516" i="9"/>
  <c r="AZ1515" i="9"/>
  <c r="AW1515" i="9"/>
  <c r="AX1515" i="9"/>
  <c r="AY1515" i="9"/>
  <c r="AY1514" i="9"/>
  <c r="AW1514" i="9"/>
  <c r="AZ1514" i="9"/>
  <c r="AX1514" i="9"/>
  <c r="AY1513" i="9"/>
  <c r="AW1513" i="9"/>
  <c r="AX1513" i="9"/>
  <c r="AZ1513" i="9"/>
  <c r="AW1512" i="9"/>
  <c r="AY1512" i="9"/>
  <c r="AX1512" i="9"/>
  <c r="AZ1512" i="9"/>
  <c r="AW1511" i="9"/>
  <c r="AY1511" i="9"/>
  <c r="AZ1511" i="9"/>
  <c r="AX1511" i="9"/>
  <c r="AZ1510" i="9"/>
  <c r="AX1510" i="9"/>
  <c r="AW1510" i="9"/>
  <c r="AY1510" i="9"/>
  <c r="AW1509" i="9"/>
  <c r="AZ1509" i="9"/>
  <c r="AX1509" i="9"/>
  <c r="AY1509" i="9"/>
  <c r="AW1508" i="9"/>
  <c r="AX1508" i="9"/>
  <c r="AY1508" i="9"/>
  <c r="AZ1508" i="9"/>
  <c r="AY1507" i="9"/>
  <c r="AX1507" i="9"/>
  <c r="AW1507" i="9"/>
  <c r="AZ1507" i="9"/>
  <c r="AY1506" i="9"/>
  <c r="AW1506" i="9"/>
  <c r="AZ1506" i="9"/>
  <c r="AX1506" i="9"/>
  <c r="AZ1505" i="9"/>
  <c r="AY1505" i="9"/>
  <c r="AW1505" i="9"/>
  <c r="AX1505" i="9"/>
  <c r="AZ1504" i="9"/>
  <c r="AX1504" i="9"/>
  <c r="AW1504" i="9"/>
  <c r="AY1504" i="9"/>
  <c r="AY1503" i="9"/>
  <c r="AZ1503" i="9"/>
  <c r="AX1503" i="9"/>
  <c r="AW1503" i="9"/>
  <c r="AY1502" i="9"/>
  <c r="AW1502" i="9"/>
  <c r="AX1502" i="9"/>
  <c r="AZ1502" i="9"/>
  <c r="AY1501" i="9"/>
  <c r="AZ1501" i="9"/>
  <c r="AW1501" i="9"/>
  <c r="AX1501" i="9"/>
  <c r="AZ1500" i="9"/>
  <c r="AW1500" i="9"/>
  <c r="AX1500" i="9"/>
  <c r="AY1500" i="9"/>
  <c r="AY1499" i="9"/>
  <c r="AW1499" i="9"/>
  <c r="AX1499" i="9"/>
  <c r="AZ1499" i="9"/>
  <c r="AW1498" i="9"/>
  <c r="AX1498" i="9"/>
  <c r="AZ1498" i="9"/>
  <c r="AY1498" i="9"/>
  <c r="AZ1497" i="9"/>
  <c r="AX1497" i="9"/>
  <c r="AW1497" i="9"/>
  <c r="AY1497" i="9"/>
  <c r="AY1496" i="9"/>
  <c r="AW1496" i="9"/>
  <c r="AX1496" i="9"/>
  <c r="AZ1496" i="9"/>
  <c r="AY1495" i="9"/>
  <c r="AZ1495" i="9"/>
  <c r="AX1495" i="9"/>
  <c r="AW1495" i="9"/>
  <c r="AY1494" i="9"/>
  <c r="AZ1494" i="9"/>
  <c r="AW1494" i="9"/>
  <c r="AX1494" i="9"/>
  <c r="AW1493" i="9"/>
  <c r="AX1493" i="9"/>
  <c r="AY1493" i="9"/>
  <c r="AZ1493" i="9"/>
  <c r="AY1492" i="9"/>
  <c r="AZ1492" i="9"/>
  <c r="AW1492" i="9"/>
  <c r="AX1492" i="9"/>
  <c r="AX1491" i="9"/>
  <c r="AZ1491" i="9"/>
  <c r="AY1491" i="9"/>
  <c r="AW1491" i="9"/>
  <c r="AY1490" i="9"/>
  <c r="AW1490" i="9"/>
  <c r="AZ1490" i="9"/>
  <c r="AX1490" i="9"/>
  <c r="AZ1489" i="9"/>
  <c r="AY1489" i="9"/>
  <c r="AW1489" i="9"/>
  <c r="AX1489" i="9"/>
  <c r="AX1488" i="9"/>
  <c r="AW1488" i="9"/>
  <c r="AZ1488" i="9"/>
  <c r="AY1488" i="9"/>
  <c r="AZ1487" i="9"/>
  <c r="AW1487" i="9"/>
  <c r="AX1487" i="9"/>
  <c r="AY1487" i="9"/>
  <c r="AY1486" i="9"/>
  <c r="AZ1486" i="9"/>
  <c r="AX1486" i="9"/>
  <c r="AW1486" i="9"/>
  <c r="AY1485" i="9"/>
  <c r="AW1485" i="9"/>
  <c r="AZ1485" i="9"/>
  <c r="AX1485" i="9"/>
  <c r="AY1484" i="9"/>
  <c r="AZ1484" i="9"/>
  <c r="AX1484" i="9"/>
  <c r="AW1484" i="9"/>
  <c r="AZ1483" i="9"/>
  <c r="AX1483" i="9"/>
  <c r="AY1483" i="9"/>
  <c r="AW1483" i="9"/>
  <c r="AY1482" i="9"/>
  <c r="AZ1482" i="9"/>
  <c r="AX1482" i="9"/>
  <c r="AW1482" i="9"/>
  <c r="AX1481" i="9"/>
  <c r="AZ1481" i="9"/>
  <c r="AY1481" i="9"/>
  <c r="AW1481" i="9"/>
  <c r="AW1480" i="9"/>
  <c r="AY1480" i="9"/>
  <c r="AX1480" i="9"/>
  <c r="AZ1480" i="9"/>
  <c r="AZ1479" i="9"/>
  <c r="AW1479" i="9"/>
  <c r="AY1479" i="9"/>
  <c r="AX1479" i="9"/>
  <c r="AX1478" i="9"/>
  <c r="AW1478" i="9"/>
  <c r="AY1478" i="9"/>
  <c r="AZ1478" i="9"/>
  <c r="AZ1477" i="9"/>
  <c r="AY1477" i="9"/>
  <c r="AW1477" i="9"/>
  <c r="AX1477" i="9"/>
  <c r="AX1476" i="9"/>
  <c r="AZ1476" i="9"/>
  <c r="AY1476" i="9"/>
  <c r="AW1476" i="9"/>
  <c r="AZ1475" i="9"/>
  <c r="AW1475" i="9"/>
  <c r="AX1475" i="9"/>
  <c r="AY1475" i="9"/>
  <c r="AW1474" i="9"/>
  <c r="AZ1474" i="9"/>
  <c r="AX1474" i="9"/>
  <c r="AY1474" i="9"/>
  <c r="AX1473" i="9"/>
  <c r="AY1473" i="9"/>
  <c r="AW1473" i="9"/>
  <c r="AZ1473" i="9"/>
  <c r="AY1472" i="9"/>
  <c r="AW1472" i="9"/>
  <c r="AX1472" i="9"/>
  <c r="AZ1472" i="9"/>
  <c r="AZ1471" i="9"/>
  <c r="AW1471" i="9"/>
  <c r="AX1471" i="9"/>
  <c r="AY1471" i="9"/>
  <c r="AZ1470" i="9"/>
  <c r="AX1470" i="9"/>
  <c r="AW1470" i="9"/>
  <c r="AY1470" i="9"/>
  <c r="AW1469" i="9"/>
  <c r="AX1469" i="9"/>
  <c r="AZ1469" i="9"/>
  <c r="AY1469" i="9"/>
  <c r="AZ1468" i="9"/>
  <c r="AW1468" i="9"/>
  <c r="AX1468" i="9"/>
  <c r="AY1468" i="9"/>
  <c r="AY1467" i="9"/>
  <c r="AW1467" i="9"/>
  <c r="AX1467" i="9"/>
  <c r="AZ1467" i="9"/>
  <c r="AY1466" i="9"/>
  <c r="AZ1466" i="9"/>
  <c r="AW1466" i="9"/>
  <c r="AX1466" i="9"/>
  <c r="AW1465" i="9"/>
  <c r="AY1465" i="9"/>
  <c r="AZ1465" i="9"/>
  <c r="AX1465" i="9"/>
  <c r="AY1464" i="9"/>
  <c r="AX1464" i="9"/>
  <c r="AZ1464" i="9"/>
  <c r="AW1464" i="9"/>
  <c r="AZ1463" i="9"/>
  <c r="AX1463" i="9"/>
  <c r="AW1463" i="9"/>
  <c r="AY1463" i="9"/>
  <c r="AZ1462" i="9"/>
  <c r="AW1462" i="9"/>
  <c r="AX1462" i="9"/>
  <c r="AY1462" i="9"/>
  <c r="AX1461" i="9"/>
  <c r="AW1461" i="9"/>
  <c r="AY1461" i="9"/>
  <c r="AZ1461" i="9"/>
  <c r="AY1460" i="9"/>
  <c r="AW1460" i="9"/>
  <c r="AX1460" i="9"/>
  <c r="AZ1460" i="9"/>
  <c r="AX1459" i="9"/>
  <c r="AW1459" i="9"/>
  <c r="AZ1459" i="9"/>
  <c r="AY1459" i="9"/>
  <c r="AX1458" i="9"/>
  <c r="AZ1458" i="9"/>
  <c r="AW1458" i="9"/>
  <c r="AY1458" i="9"/>
  <c r="AZ1457" i="9"/>
  <c r="AX1457" i="9"/>
  <c r="AW1457" i="9"/>
  <c r="AY1457" i="9"/>
  <c r="AY1456" i="9"/>
  <c r="AW1456" i="9"/>
  <c r="AZ1456" i="9"/>
  <c r="AX1456" i="9"/>
  <c r="AZ1455" i="9"/>
  <c r="AX1455" i="9"/>
  <c r="AY1455" i="9"/>
  <c r="AW1455" i="9"/>
  <c r="AW1454" i="9"/>
  <c r="AZ1454" i="9"/>
  <c r="AY1454" i="9"/>
  <c r="AX1454" i="9"/>
  <c r="AW1453" i="9"/>
  <c r="AZ1453" i="9"/>
  <c r="AY1453" i="9"/>
  <c r="AX1453" i="9"/>
  <c r="AY1452" i="9"/>
  <c r="AZ1452" i="9"/>
  <c r="AX1452" i="9"/>
  <c r="AW1452" i="9"/>
  <c r="AZ1451" i="9"/>
  <c r="AY1451" i="9"/>
  <c r="AX1451" i="9"/>
  <c r="AW1451" i="9"/>
  <c r="AZ1450" i="9"/>
  <c r="AY1450" i="9"/>
  <c r="AX1450" i="9"/>
  <c r="AW1450" i="9"/>
  <c r="AX1449" i="9"/>
  <c r="AW1449" i="9"/>
  <c r="AY1449" i="9"/>
  <c r="AZ1449" i="9"/>
  <c r="AZ1448" i="9"/>
  <c r="AW1448" i="9"/>
  <c r="AY1448" i="9"/>
  <c r="AX1448" i="9"/>
  <c r="AX1447" i="9"/>
  <c r="AW1447" i="9"/>
  <c r="AZ1447" i="9"/>
  <c r="AY1447" i="9"/>
  <c r="AW1446" i="9"/>
  <c r="AY1446" i="9"/>
  <c r="AZ1446" i="9"/>
  <c r="AX1446" i="9"/>
  <c r="AY1445" i="9"/>
  <c r="AZ1445" i="9"/>
  <c r="AW1445" i="9"/>
  <c r="AX1445" i="9"/>
  <c r="AZ1444" i="9"/>
  <c r="AX1444" i="9"/>
  <c r="AY1444" i="9"/>
  <c r="AW1444" i="9"/>
  <c r="AX1443" i="9"/>
  <c r="AZ1443" i="9"/>
  <c r="AY1443" i="9"/>
  <c r="AW1443" i="9"/>
  <c r="AY1442" i="9"/>
  <c r="AW1442" i="9"/>
  <c r="AZ1442" i="9"/>
  <c r="AX1442" i="9"/>
  <c r="AW1441" i="9"/>
  <c r="AY1441" i="9"/>
  <c r="AZ1441" i="9"/>
  <c r="AX1441" i="9"/>
  <c r="AZ1440" i="9"/>
  <c r="AY1440" i="9"/>
  <c r="AW1440" i="9"/>
  <c r="AX1440" i="9"/>
  <c r="AY1439" i="9"/>
  <c r="AZ1439" i="9"/>
  <c r="AW1439" i="9"/>
  <c r="AX1439" i="9"/>
  <c r="AY1438" i="9"/>
  <c r="AZ1438" i="9"/>
  <c r="AX1438" i="9"/>
  <c r="AW1438" i="9"/>
  <c r="AZ1437" i="9"/>
  <c r="AX1437" i="9"/>
  <c r="AY1437" i="9"/>
  <c r="AW1437" i="9"/>
  <c r="AW1436" i="9"/>
  <c r="AY1436" i="9"/>
  <c r="AZ1436" i="9"/>
  <c r="AX1436" i="9"/>
  <c r="AY1435" i="9"/>
  <c r="AW1435" i="9"/>
  <c r="AZ1435" i="9"/>
  <c r="AX1435" i="9"/>
  <c r="AW1434" i="9"/>
  <c r="AY1434" i="9"/>
  <c r="AX1434" i="9"/>
  <c r="AZ1434" i="9"/>
  <c r="AY1433" i="9"/>
  <c r="AZ1433" i="9"/>
  <c r="AW1433" i="9"/>
  <c r="AX1433" i="9"/>
  <c r="AW1432" i="9"/>
  <c r="AY1432" i="9"/>
  <c r="AX1432" i="9"/>
  <c r="AZ1432" i="9"/>
  <c r="AX1431" i="9"/>
  <c r="AW1431" i="9"/>
  <c r="AZ1431" i="9"/>
  <c r="AY1431" i="9"/>
  <c r="AX1430" i="9"/>
  <c r="AY1430" i="9"/>
  <c r="AZ1430" i="9"/>
  <c r="AW1430" i="9"/>
  <c r="AZ1429" i="9"/>
  <c r="AY1429" i="9"/>
  <c r="AW1429" i="9"/>
  <c r="AX1429" i="9"/>
  <c r="AX1428" i="9"/>
  <c r="AY1428" i="9"/>
  <c r="AW1428" i="9"/>
  <c r="AZ1428" i="9"/>
  <c r="AZ1427" i="9"/>
  <c r="AX1427" i="9"/>
  <c r="AW1427" i="9"/>
  <c r="AY1427" i="9"/>
  <c r="AW1426" i="9"/>
  <c r="AX1426" i="9"/>
  <c r="AZ1426" i="9"/>
  <c r="AY1426" i="9"/>
  <c r="AZ1425" i="9"/>
  <c r="AX1425" i="9"/>
  <c r="AW1425" i="9"/>
  <c r="AY1425" i="9"/>
  <c r="AX1424" i="9"/>
  <c r="AW1424" i="9"/>
  <c r="AZ1424" i="9"/>
  <c r="AY1424" i="9"/>
  <c r="AZ1423" i="9"/>
  <c r="AX1423" i="9"/>
  <c r="AW1423" i="9"/>
  <c r="AY1423" i="9"/>
  <c r="AY1422" i="9"/>
  <c r="AW1422" i="9"/>
  <c r="AX1422" i="9"/>
  <c r="AZ1422" i="9"/>
  <c r="AZ1421" i="9"/>
  <c r="AX1421" i="9"/>
  <c r="AW1421" i="9"/>
  <c r="AY1421" i="9"/>
  <c r="AW1420" i="9"/>
  <c r="AZ1420" i="9"/>
  <c r="AX1420" i="9"/>
  <c r="AY1420" i="9"/>
  <c r="AZ1419" i="9"/>
  <c r="AY1419" i="9"/>
  <c r="AW1419" i="9"/>
  <c r="AX1419" i="9"/>
  <c r="AW1418" i="9"/>
  <c r="AZ1418" i="9"/>
  <c r="AY1418" i="9"/>
  <c r="AX1418" i="9"/>
  <c r="AZ1417" i="9"/>
  <c r="AX1417" i="9"/>
  <c r="AY1417" i="9"/>
  <c r="AW1417" i="9"/>
  <c r="AZ1416" i="9"/>
  <c r="AX1416" i="9"/>
  <c r="AW1416" i="9"/>
  <c r="AY1416" i="9"/>
  <c r="AZ1415" i="9"/>
  <c r="AX1415" i="9"/>
  <c r="AW1415" i="9"/>
  <c r="AY1415" i="9"/>
  <c r="AX1414" i="9"/>
  <c r="AZ1414" i="9"/>
  <c r="AY1414" i="9"/>
  <c r="AW1414" i="9"/>
  <c r="AX1413" i="9"/>
  <c r="AW1413" i="9"/>
  <c r="AY1413" i="9"/>
  <c r="AZ1413" i="9"/>
  <c r="AX1412" i="9"/>
  <c r="AZ1412" i="9"/>
  <c r="AW1412" i="9"/>
  <c r="AY1412" i="9"/>
  <c r="AX1411" i="9"/>
  <c r="AY1411" i="9"/>
  <c r="AZ1411" i="9"/>
  <c r="AW1411" i="9"/>
  <c r="AW1410" i="9"/>
  <c r="AX1410" i="9"/>
  <c r="AZ1410" i="9"/>
  <c r="AY1410" i="9"/>
  <c r="AY1409" i="9"/>
  <c r="AW1409" i="9"/>
  <c r="AZ1409" i="9"/>
  <c r="AX1409" i="9"/>
  <c r="AW1408" i="9"/>
  <c r="AZ1408" i="9"/>
  <c r="AY1408" i="9"/>
  <c r="AX1408" i="9"/>
  <c r="AW1407" i="9"/>
  <c r="AX1407" i="9"/>
  <c r="AZ1407" i="9"/>
  <c r="AY1407" i="9"/>
  <c r="AZ1406" i="9"/>
  <c r="AW1406" i="9"/>
  <c r="AY1406" i="9"/>
  <c r="AX1406" i="9"/>
  <c r="AX1405" i="9"/>
  <c r="AZ1405" i="9"/>
  <c r="AY1405" i="9"/>
  <c r="AW1405" i="9"/>
  <c r="AZ1404" i="9"/>
  <c r="AY1404" i="9"/>
  <c r="AX1404" i="9"/>
  <c r="AW1404" i="9"/>
  <c r="AW1403" i="9"/>
  <c r="AY1403" i="9"/>
  <c r="AZ1403" i="9"/>
  <c r="AX1403" i="9"/>
  <c r="AZ1402" i="9"/>
  <c r="AX1402" i="9"/>
  <c r="AY1402" i="9"/>
  <c r="AW1402" i="9"/>
  <c r="AZ1401" i="9"/>
  <c r="AX1401" i="9"/>
  <c r="AW1401" i="9"/>
  <c r="AY1401" i="9"/>
  <c r="AX1400" i="9"/>
  <c r="AW1400" i="9"/>
  <c r="AY1400" i="9"/>
  <c r="AZ1400" i="9"/>
  <c r="AX1399" i="9"/>
  <c r="AZ1399" i="9"/>
  <c r="AY1399" i="9"/>
  <c r="AW1399" i="9"/>
  <c r="AY1398" i="9"/>
  <c r="AZ1398" i="9"/>
  <c r="AX1398" i="9"/>
  <c r="AW1398" i="9"/>
  <c r="AW1397" i="9"/>
  <c r="AY1397" i="9"/>
  <c r="AX1397" i="9"/>
  <c r="AZ1397" i="9"/>
  <c r="AY1396" i="9"/>
  <c r="AZ1396" i="9"/>
  <c r="AX1396" i="9"/>
  <c r="AW1396" i="9"/>
  <c r="AX1395" i="9"/>
  <c r="AZ1395" i="9"/>
  <c r="AY1395" i="9"/>
  <c r="AW1395" i="9"/>
  <c r="AX1394" i="9"/>
  <c r="AZ1394" i="9"/>
  <c r="AW1394" i="9"/>
  <c r="AY1394" i="9"/>
  <c r="AZ1393" i="9"/>
  <c r="AX1393" i="9"/>
  <c r="AW1393" i="9"/>
  <c r="AY1393" i="9"/>
  <c r="AY1392" i="9"/>
  <c r="AZ1392" i="9"/>
  <c r="AW1392" i="9"/>
  <c r="AX1392" i="9"/>
  <c r="AY1391" i="9"/>
  <c r="AX1391" i="9"/>
  <c r="AW1391" i="9"/>
  <c r="AZ1391" i="9"/>
  <c r="AY1390" i="9"/>
  <c r="AZ1390" i="9"/>
  <c r="AX1390" i="9"/>
  <c r="AW1390" i="9"/>
  <c r="AZ1389" i="9"/>
  <c r="AY1389" i="9"/>
  <c r="AX1389" i="9"/>
  <c r="AW1389" i="9"/>
  <c r="AY1388" i="9"/>
  <c r="AX1388" i="9"/>
  <c r="AZ1388" i="9"/>
  <c r="AW1388" i="9"/>
  <c r="AX1387" i="9"/>
  <c r="AW1387" i="9"/>
  <c r="AY1387" i="9"/>
  <c r="AZ1387" i="9"/>
  <c r="AZ1386" i="9"/>
  <c r="AW1386" i="9"/>
  <c r="AY1386" i="9"/>
  <c r="AX1386" i="9"/>
  <c r="AY1385" i="9"/>
  <c r="AZ1385" i="9"/>
  <c r="AW1385" i="9"/>
  <c r="AX1385" i="9"/>
  <c r="AX1384" i="9"/>
  <c r="AY1384" i="9"/>
  <c r="AZ1384" i="9"/>
  <c r="AW1384" i="9"/>
  <c r="AY1383" i="9"/>
  <c r="AX1383" i="9"/>
  <c r="AW1383" i="9"/>
  <c r="AZ1383" i="9"/>
  <c r="AW1382" i="9"/>
  <c r="AZ1382" i="9"/>
  <c r="AX1382" i="9"/>
  <c r="AY1382" i="9"/>
  <c r="AZ1381" i="9"/>
  <c r="AX1381" i="9"/>
  <c r="AY1381" i="9"/>
  <c r="AW1381" i="9"/>
  <c r="AZ1380" i="9"/>
  <c r="AY1380" i="9"/>
  <c r="AW1380" i="9"/>
  <c r="AX1380" i="9"/>
  <c r="AY1379" i="9"/>
  <c r="AW1379" i="9"/>
  <c r="AX1379" i="9"/>
  <c r="AZ1379" i="9"/>
  <c r="AW1378" i="9"/>
  <c r="AX1378" i="9"/>
  <c r="AZ1378" i="9"/>
  <c r="AY1378" i="9"/>
  <c r="AX1377" i="9"/>
  <c r="AY1377" i="9"/>
  <c r="AZ1377" i="9"/>
  <c r="AW1377" i="9"/>
  <c r="AW1376" i="9"/>
  <c r="AY1376" i="9"/>
  <c r="AX1376" i="9"/>
  <c r="AZ1376" i="9"/>
  <c r="AX1375" i="9"/>
  <c r="AW1375" i="9"/>
  <c r="AZ1375" i="9"/>
  <c r="AY1375" i="9"/>
  <c r="AX1374" i="9"/>
  <c r="AY1374" i="9"/>
  <c r="AW1374" i="9"/>
  <c r="AZ1374" i="9"/>
  <c r="AW1373" i="9"/>
  <c r="AY1373" i="9"/>
  <c r="AZ1373" i="9"/>
  <c r="AX1373" i="9"/>
  <c r="AW1372" i="9"/>
  <c r="AX1372" i="9"/>
  <c r="AY1372" i="9"/>
  <c r="AZ1372" i="9"/>
  <c r="AY1371" i="9"/>
  <c r="AW1371" i="9"/>
  <c r="AZ1371" i="9"/>
  <c r="AX1371" i="9"/>
  <c r="AZ1370" i="9"/>
  <c r="AW1370" i="9"/>
  <c r="AY1370" i="9"/>
  <c r="AX1370" i="9"/>
  <c r="AY1369" i="9"/>
  <c r="AX1369" i="9"/>
  <c r="AZ1369" i="9"/>
  <c r="AW1369" i="9"/>
  <c r="AZ1368" i="9"/>
  <c r="AY1368" i="9"/>
  <c r="AX1368" i="9"/>
  <c r="AW1368" i="9"/>
  <c r="AZ1367" i="9"/>
  <c r="AX1367" i="9"/>
  <c r="AY1367" i="9"/>
  <c r="AW1367" i="9"/>
  <c r="AW1366" i="9"/>
  <c r="AY1366" i="9"/>
  <c r="AZ1366" i="9"/>
  <c r="AX1366" i="9"/>
  <c r="AX1365" i="9"/>
  <c r="AZ1365" i="9"/>
  <c r="AY1365" i="9"/>
  <c r="AW1365" i="9"/>
  <c r="AZ1364" i="9"/>
  <c r="AX1364" i="9"/>
  <c r="AY1364" i="9"/>
  <c r="AW1364" i="9"/>
  <c r="AY1363" i="9"/>
  <c r="AX1363" i="9"/>
  <c r="AW1363" i="9"/>
  <c r="AZ1363" i="9"/>
  <c r="AW1362" i="9"/>
  <c r="AZ1362" i="9"/>
  <c r="AY1362" i="9"/>
  <c r="AX1362" i="9"/>
  <c r="AY1361" i="9"/>
  <c r="AW1361" i="9"/>
  <c r="AX1361" i="9"/>
  <c r="AZ1361" i="9"/>
  <c r="AY1360" i="9"/>
  <c r="AZ1360" i="9"/>
  <c r="AW1360" i="9"/>
  <c r="AX1360" i="9"/>
  <c r="AZ1359" i="9"/>
  <c r="AW1359" i="9"/>
  <c r="AX1359" i="9"/>
  <c r="AY1359" i="9"/>
  <c r="AY1358" i="9"/>
  <c r="AZ1358" i="9"/>
  <c r="AX1358" i="9"/>
  <c r="AW1358" i="9"/>
  <c r="AZ1357" i="9"/>
  <c r="AX1357" i="9"/>
  <c r="AY1357" i="9"/>
  <c r="AW1357" i="9"/>
  <c r="AW1356" i="9"/>
  <c r="AY1356" i="9"/>
  <c r="AX1356" i="9"/>
  <c r="AZ1356" i="9"/>
  <c r="AW1355" i="9"/>
  <c r="AZ1355" i="9"/>
  <c r="AX1355" i="9"/>
  <c r="AY1355" i="9"/>
  <c r="AZ1354" i="9"/>
  <c r="AW1354" i="9"/>
  <c r="AX1354" i="9"/>
  <c r="AY1354" i="9"/>
  <c r="AX1353" i="9"/>
  <c r="AY1353" i="9"/>
  <c r="AZ1353" i="9"/>
  <c r="AW1353" i="9"/>
  <c r="AZ1352" i="9"/>
  <c r="AX1352" i="9"/>
  <c r="AW1352" i="9"/>
  <c r="AY1352" i="9"/>
  <c r="AX1351" i="9"/>
  <c r="AZ1351" i="9"/>
  <c r="AW1351" i="9"/>
  <c r="AY1351" i="9"/>
  <c r="AW1350" i="9"/>
  <c r="AX1350" i="9"/>
  <c r="AY1350" i="9"/>
  <c r="AZ1350" i="9"/>
  <c r="AY1349" i="9"/>
  <c r="AX1349" i="9"/>
  <c r="AW1349" i="9"/>
  <c r="AZ1349" i="9"/>
  <c r="AX1348" i="9"/>
  <c r="AW1348" i="9"/>
  <c r="AY1348" i="9"/>
  <c r="AZ1348" i="9"/>
  <c r="AY1347" i="9"/>
  <c r="AW1347" i="9"/>
  <c r="AZ1347" i="9"/>
  <c r="AX1347" i="9"/>
  <c r="AW1346" i="9"/>
  <c r="AX1346" i="9"/>
  <c r="AZ1346" i="9"/>
  <c r="AY1346" i="9"/>
  <c r="AZ1345" i="9"/>
  <c r="AY1345" i="9"/>
  <c r="AX1345" i="9"/>
  <c r="AW1345" i="9"/>
  <c r="AZ1344" i="9"/>
  <c r="AX1344" i="9"/>
  <c r="AW1344" i="9"/>
  <c r="AY1344" i="9"/>
  <c r="AW1343" i="9"/>
  <c r="AZ1343" i="9"/>
  <c r="AY1343" i="9"/>
  <c r="AX1343" i="9"/>
  <c r="AY1342" i="9"/>
  <c r="AW1342" i="9"/>
  <c r="AX1342" i="9"/>
  <c r="AZ1342" i="9"/>
  <c r="AW1341" i="9"/>
  <c r="AY1341" i="9"/>
  <c r="AZ1341" i="9"/>
  <c r="AX1341" i="9"/>
  <c r="AY1340" i="9"/>
  <c r="AZ1340" i="9"/>
  <c r="AX1340" i="9"/>
  <c r="AW1340" i="9"/>
  <c r="AW1339" i="9"/>
  <c r="AY1339" i="9"/>
  <c r="AZ1339" i="9"/>
  <c r="AX1339" i="9"/>
  <c r="AZ1338" i="9"/>
  <c r="AY1338" i="9"/>
  <c r="AX1338" i="9"/>
  <c r="AW1338" i="9"/>
  <c r="AX1337" i="9"/>
  <c r="AW1337" i="9"/>
  <c r="AY1337" i="9"/>
  <c r="AZ1337" i="9"/>
  <c r="AZ1336" i="9"/>
  <c r="AY1336" i="9"/>
  <c r="AW1336" i="9"/>
  <c r="AX1336" i="9"/>
  <c r="AW1335" i="9"/>
  <c r="AX1335" i="9"/>
  <c r="AZ1335" i="9"/>
  <c r="AY1335" i="9"/>
  <c r="AW1334" i="9"/>
  <c r="AX1334" i="9"/>
  <c r="AY1334" i="9"/>
  <c r="AZ1334" i="9"/>
  <c r="AX1333" i="9"/>
  <c r="AY1333" i="9"/>
  <c r="AW1333" i="9"/>
  <c r="AZ1333" i="9"/>
  <c r="AX1332" i="9"/>
  <c r="AZ1332" i="9"/>
  <c r="AW1332" i="9"/>
  <c r="AY1332" i="9"/>
  <c r="AW1331" i="9"/>
  <c r="AY1331" i="9"/>
  <c r="AZ1331" i="9"/>
  <c r="AX1331" i="9"/>
  <c r="AX1330" i="9"/>
  <c r="AY1330" i="9"/>
  <c r="AZ1330" i="9"/>
  <c r="AW1330" i="9"/>
  <c r="AZ1329" i="9"/>
  <c r="AY1329" i="9"/>
  <c r="AW1329" i="9"/>
  <c r="AX1329" i="9"/>
  <c r="AW1328" i="9"/>
  <c r="AX1328" i="9"/>
  <c r="AZ1328" i="9"/>
  <c r="AY1328" i="9"/>
  <c r="AZ1327" i="9"/>
  <c r="AX1327" i="9"/>
  <c r="AW1327" i="9"/>
  <c r="AY1327" i="9"/>
  <c r="AX1326" i="9"/>
  <c r="AZ1326" i="9"/>
  <c r="AY1326" i="9"/>
  <c r="AW1326" i="9"/>
  <c r="AW1325" i="9"/>
  <c r="AX1325" i="9"/>
  <c r="AZ1325" i="9"/>
  <c r="AY1325" i="9"/>
  <c r="AW1324" i="9"/>
  <c r="AZ1324" i="9"/>
  <c r="AY1324" i="9"/>
  <c r="AX1324" i="9"/>
  <c r="AW1323" i="9"/>
  <c r="AX1323" i="9"/>
  <c r="AY1323" i="9"/>
  <c r="AZ1323" i="9"/>
  <c r="AZ1322" i="9"/>
  <c r="AW1322" i="9"/>
  <c r="AX1322" i="9"/>
  <c r="AY1322" i="9"/>
  <c r="AX1321" i="9"/>
  <c r="AY1321" i="9"/>
  <c r="AZ1321" i="9"/>
  <c r="AW1321" i="9"/>
  <c r="AW1320" i="9"/>
  <c r="AX1320" i="9"/>
  <c r="AZ1320" i="9"/>
  <c r="AY1320" i="9"/>
  <c r="AW1319" i="9"/>
  <c r="AX1319" i="9"/>
  <c r="AZ1319" i="9"/>
  <c r="AY1319" i="9"/>
  <c r="AW1318" i="9"/>
  <c r="AY1318" i="9"/>
  <c r="AZ1318" i="9"/>
  <c r="AX1318" i="9"/>
  <c r="AY1317" i="9"/>
  <c r="AX1317" i="9"/>
  <c r="AZ1317" i="9"/>
  <c r="AW1317" i="9"/>
  <c r="AX1316" i="9"/>
  <c r="AY1316" i="9"/>
  <c r="AW1316" i="9"/>
  <c r="AZ1316" i="9"/>
  <c r="AX1315" i="9"/>
  <c r="AZ1315" i="9"/>
  <c r="AW1315" i="9"/>
  <c r="AY1315" i="9"/>
  <c r="AY1314" i="9"/>
  <c r="AW1314" i="9"/>
  <c r="AX1314" i="9"/>
  <c r="AZ1314" i="9"/>
  <c r="AY1313" i="9"/>
  <c r="AW1313" i="9"/>
  <c r="AZ1313" i="9"/>
  <c r="AX1313" i="9"/>
  <c r="AX1312" i="9"/>
  <c r="AY1312" i="9"/>
  <c r="AW1312" i="9"/>
  <c r="AZ1312" i="9"/>
  <c r="AZ1311" i="9"/>
  <c r="AY1311" i="9"/>
  <c r="AW1311" i="9"/>
  <c r="AX1311" i="9"/>
  <c r="AZ1310" i="9"/>
  <c r="AX1310" i="9"/>
  <c r="AW1310" i="9"/>
  <c r="AY1310" i="9"/>
  <c r="AZ1309" i="9"/>
  <c r="AY1309" i="9"/>
  <c r="AX1309" i="9"/>
  <c r="AW1309" i="9"/>
  <c r="AZ1308" i="9"/>
  <c r="AX1308" i="9"/>
  <c r="AW1308" i="9"/>
  <c r="AY1308" i="9"/>
  <c r="AX1307" i="9"/>
  <c r="AZ1307" i="9"/>
  <c r="AW1307" i="9"/>
  <c r="AY1307" i="9"/>
  <c r="AX1306" i="9"/>
  <c r="AY1306" i="9"/>
  <c r="AW1306" i="9"/>
  <c r="AZ1306" i="9"/>
  <c r="AW1305" i="9"/>
  <c r="AY1305" i="9"/>
  <c r="AX1305" i="9"/>
  <c r="AZ1305" i="9"/>
  <c r="AZ1304" i="9"/>
  <c r="AX1304" i="9"/>
  <c r="AW1304" i="9"/>
  <c r="AY1304" i="9"/>
  <c r="AZ1303" i="9"/>
  <c r="AY1303" i="9"/>
  <c r="AW1303" i="9"/>
  <c r="AX1303" i="9"/>
  <c r="AZ1302" i="9"/>
  <c r="AX1302" i="9"/>
  <c r="AY1302" i="9"/>
  <c r="AW1302" i="9"/>
  <c r="AZ1301" i="9"/>
  <c r="AW1301" i="9"/>
  <c r="AX1301" i="9"/>
  <c r="AY1301" i="9"/>
  <c r="AW1300" i="9"/>
  <c r="AZ1300" i="9"/>
  <c r="AX1300" i="9"/>
  <c r="AY1300" i="9"/>
  <c r="AX1299" i="9"/>
  <c r="AY1299" i="9"/>
  <c r="AW1299" i="9"/>
  <c r="AZ1299" i="9"/>
  <c r="AY1298" i="9"/>
  <c r="AX1298" i="9"/>
  <c r="AZ1298" i="9"/>
  <c r="AW1298" i="9"/>
  <c r="AW1297" i="9"/>
  <c r="AX1297" i="9"/>
  <c r="AZ1297" i="9"/>
  <c r="AY1297" i="9"/>
  <c r="AW1296" i="9"/>
  <c r="AX1296" i="9"/>
  <c r="AZ1296" i="9"/>
  <c r="AY1296" i="9"/>
  <c r="AY1295" i="9"/>
  <c r="AW1295" i="9"/>
  <c r="AZ1295" i="9"/>
  <c r="AX1295" i="9"/>
  <c r="AX1294" i="9"/>
  <c r="AY1294" i="9"/>
  <c r="AZ1294" i="9"/>
  <c r="AW1294" i="9"/>
  <c r="AW1293" i="9"/>
  <c r="AX1293" i="9"/>
  <c r="AY1293" i="9"/>
  <c r="AZ1293" i="9"/>
  <c r="AX1292" i="9"/>
  <c r="AW1292" i="9"/>
  <c r="AZ1292" i="9"/>
  <c r="AY1292" i="9"/>
  <c r="AX1291" i="9"/>
  <c r="AW1291" i="9"/>
  <c r="AY1291" i="9"/>
  <c r="AZ1291" i="9"/>
  <c r="AZ1290" i="9"/>
  <c r="AW1290" i="9"/>
  <c r="AY1290" i="9"/>
  <c r="AX1290" i="9"/>
  <c r="AZ1289" i="9"/>
  <c r="AY1289" i="9"/>
  <c r="AX1289" i="9"/>
  <c r="AW1289" i="9"/>
  <c r="AZ1288" i="9"/>
  <c r="AY1288" i="9"/>
  <c r="AW1288" i="9"/>
  <c r="AX1288" i="9"/>
  <c r="AX1287" i="9"/>
  <c r="AW1287" i="9"/>
  <c r="AZ1287" i="9"/>
  <c r="AY1287" i="9"/>
  <c r="AW1286" i="9"/>
  <c r="AY1286" i="9"/>
  <c r="AZ1286" i="9"/>
  <c r="AX1286" i="9"/>
  <c r="AW1285" i="9"/>
  <c r="AY1285" i="9"/>
  <c r="AZ1285" i="9"/>
  <c r="AX1285" i="9"/>
  <c r="AZ1284" i="9"/>
  <c r="AX1284" i="9"/>
  <c r="AW1284" i="9"/>
  <c r="AY1284" i="9"/>
  <c r="AY1283" i="9"/>
  <c r="AZ1283" i="9"/>
  <c r="AW1283" i="9"/>
  <c r="AX1283" i="9"/>
  <c r="AY1282" i="9"/>
  <c r="AX1282" i="9"/>
  <c r="AZ1282" i="9"/>
  <c r="AW1282" i="9"/>
  <c r="AY1281" i="9"/>
  <c r="AX1281" i="9"/>
  <c r="AZ1281" i="9"/>
  <c r="AW1281" i="9"/>
  <c r="AW1280" i="9"/>
  <c r="AX1280" i="9"/>
  <c r="AZ1280" i="9"/>
  <c r="AY1280" i="9"/>
  <c r="AZ1279" i="9"/>
  <c r="AX1279" i="9"/>
  <c r="AW1279" i="9"/>
  <c r="AY1279" i="9"/>
  <c r="AZ1278" i="9"/>
  <c r="AW1278" i="9"/>
  <c r="AX1278" i="9"/>
  <c r="AY1278" i="9"/>
  <c r="AY1277" i="9"/>
  <c r="AX1277" i="9"/>
  <c r="AZ1277" i="9"/>
  <c r="AW1277" i="9"/>
  <c r="AW1276" i="9"/>
  <c r="AZ1276" i="9"/>
  <c r="AY1276" i="9"/>
  <c r="AX1276" i="9"/>
  <c r="AY1275" i="9"/>
  <c r="AZ1275" i="9"/>
  <c r="AW1275" i="9"/>
  <c r="AX1275" i="9"/>
  <c r="AZ1274" i="9"/>
  <c r="AX1274" i="9"/>
  <c r="AY1274" i="9"/>
  <c r="AW1274" i="9"/>
  <c r="AZ1273" i="9"/>
  <c r="AX1273" i="9"/>
  <c r="AY1273" i="9"/>
  <c r="AW1273" i="9"/>
  <c r="AX1272" i="9"/>
  <c r="AW1272" i="9"/>
  <c r="AZ1272" i="9"/>
  <c r="AY1272" i="9"/>
  <c r="AX1271" i="9"/>
  <c r="AW1271" i="9"/>
  <c r="AY1271" i="9"/>
  <c r="AZ1271" i="9"/>
  <c r="AY1270" i="9"/>
  <c r="AX1270" i="9"/>
  <c r="AZ1270" i="9"/>
  <c r="AW1270" i="9"/>
  <c r="AW1269" i="9"/>
  <c r="AX1269" i="9"/>
  <c r="AZ1269" i="9"/>
  <c r="AY1269" i="9"/>
  <c r="AX1268" i="9"/>
  <c r="AZ1268" i="9"/>
  <c r="AY1268" i="9"/>
  <c r="AW1268" i="9"/>
  <c r="AY1267" i="9"/>
  <c r="AZ1267" i="9"/>
  <c r="AX1267" i="9"/>
  <c r="AW1267" i="9"/>
  <c r="AX1266" i="9"/>
  <c r="AZ1266" i="9"/>
  <c r="AY1266" i="9"/>
  <c r="AW1266" i="9"/>
  <c r="I84" i="4"/>
  <c r="E84" i="4"/>
  <c r="K84" i="4"/>
  <c r="D84" i="4" s="1"/>
  <c r="I83" i="4"/>
  <c r="I89" i="4"/>
  <c r="E83" i="4"/>
  <c r="K82" i="4"/>
  <c r="D82" i="4" s="1"/>
  <c r="E82" i="4"/>
  <c r="K83" i="4"/>
  <c r="D83" i="4" s="1"/>
  <c r="I85" i="4"/>
  <c r="AW1265" i="9"/>
  <c r="AX1265" i="9"/>
  <c r="AZ1265" i="9"/>
  <c r="AY1265" i="9"/>
  <c r="AY1264" i="9"/>
  <c r="AX1264" i="9"/>
  <c r="AW1264" i="9"/>
  <c r="AZ1264" i="9"/>
  <c r="AZ1263" i="9"/>
  <c r="AY1263" i="9"/>
  <c r="AX1263" i="9"/>
  <c r="AW1263" i="9"/>
  <c r="AZ1262" i="9"/>
  <c r="AY1262" i="9"/>
  <c r="AX1262" i="9"/>
  <c r="AW1262" i="9"/>
  <c r="AW1261" i="9"/>
  <c r="AZ1261" i="9"/>
  <c r="AX1261" i="9"/>
  <c r="AY1261" i="9"/>
  <c r="AX1260" i="9"/>
  <c r="AW1260" i="9"/>
  <c r="AZ1260" i="9"/>
  <c r="AY1260" i="9"/>
  <c r="AZ1259" i="9"/>
  <c r="AY1259" i="9"/>
  <c r="AX1259" i="9"/>
  <c r="AW1259" i="9"/>
  <c r="AZ1258" i="9"/>
  <c r="AY1258" i="9"/>
  <c r="AX1258" i="9"/>
  <c r="AW1258" i="9"/>
  <c r="AW1257" i="9"/>
  <c r="AZ1257" i="9"/>
  <c r="AY1257" i="9"/>
  <c r="AX1257" i="9"/>
  <c r="AZ1256" i="9"/>
  <c r="AY1256" i="9"/>
  <c r="AW1256" i="9"/>
  <c r="AX1256" i="9"/>
  <c r="AZ1255" i="9"/>
  <c r="AY1255" i="9"/>
  <c r="AX1255" i="9"/>
  <c r="AW1255" i="9"/>
  <c r="AZ1254" i="9"/>
  <c r="AY1254" i="9"/>
  <c r="AX1254" i="9"/>
  <c r="AW1254" i="9"/>
  <c r="AX1253" i="9"/>
  <c r="AZ1253" i="9"/>
  <c r="AY1253" i="9"/>
  <c r="AW1253" i="9"/>
  <c r="AX1252" i="9"/>
  <c r="AW1252" i="9"/>
  <c r="AZ1252" i="9"/>
  <c r="AY1252" i="9"/>
  <c r="AZ1251" i="9"/>
  <c r="AX1251" i="9"/>
  <c r="AW1251" i="9"/>
  <c r="AY1251" i="9"/>
  <c r="AW1250" i="9"/>
  <c r="AX1250" i="9"/>
  <c r="AY1250" i="9"/>
  <c r="AZ1250" i="9"/>
  <c r="AY1249" i="9"/>
  <c r="AZ1249" i="9"/>
  <c r="AW1249" i="9"/>
  <c r="AX1249" i="9"/>
  <c r="AW1248" i="9"/>
  <c r="AX1248" i="9"/>
  <c r="AY1248" i="9"/>
  <c r="AZ1248" i="9"/>
  <c r="AY1247" i="9"/>
  <c r="AZ1247" i="9"/>
  <c r="AW1247" i="9"/>
  <c r="AX1247" i="9"/>
  <c r="AW1246" i="9"/>
  <c r="AX1246" i="9"/>
  <c r="AY1246" i="9"/>
  <c r="AZ1246" i="9"/>
  <c r="AW1245" i="9"/>
  <c r="AX1245" i="9"/>
  <c r="AZ1245" i="9"/>
  <c r="AY1245" i="9"/>
  <c r="AW1244" i="9"/>
  <c r="AX1244" i="9"/>
  <c r="AY1244" i="9"/>
  <c r="AZ1244" i="9"/>
  <c r="AW1243" i="9"/>
  <c r="AX1243" i="9"/>
  <c r="AY1243" i="9"/>
  <c r="AZ1243" i="9"/>
  <c r="AW1242" i="9"/>
  <c r="AX1242" i="9"/>
  <c r="AY1242" i="9"/>
  <c r="AZ1242" i="9"/>
  <c r="AZ1241" i="9"/>
  <c r="AY1241" i="9"/>
  <c r="AW1241" i="9"/>
  <c r="AX1241" i="9"/>
  <c r="AZ1240" i="9"/>
  <c r="AY1240" i="9"/>
  <c r="AX1240" i="9"/>
  <c r="AW1240" i="9"/>
  <c r="AZ1239" i="9"/>
  <c r="AW1239" i="9"/>
  <c r="AX1239" i="9"/>
  <c r="AY1239" i="9"/>
  <c r="AX1238" i="9"/>
  <c r="AW1238" i="9"/>
  <c r="AY1238" i="9"/>
  <c r="AZ1238" i="9"/>
  <c r="AZ1237" i="9"/>
  <c r="AX1237" i="9"/>
  <c r="AY1237" i="9"/>
  <c r="AW1237" i="9"/>
  <c r="AW1236" i="9"/>
  <c r="AX1236" i="9"/>
  <c r="AY1236" i="9"/>
  <c r="AZ1236" i="9"/>
  <c r="AW1235" i="9"/>
  <c r="AX1235" i="9"/>
  <c r="AY1235" i="9"/>
  <c r="AZ1235" i="9"/>
  <c r="AX1234" i="9"/>
  <c r="AY1234" i="9"/>
  <c r="AZ1234" i="9"/>
  <c r="AW1234" i="9"/>
  <c r="AW1233" i="9"/>
  <c r="AX1233" i="9"/>
  <c r="AY1233" i="9"/>
  <c r="AZ1233" i="9"/>
  <c r="AW1232" i="9"/>
  <c r="AY1232" i="9"/>
  <c r="AZ1232" i="9"/>
  <c r="AX1232" i="9"/>
  <c r="AX1231" i="9"/>
  <c r="AW1231" i="9"/>
  <c r="AY1231" i="9"/>
  <c r="AZ1231" i="9"/>
  <c r="AZ1230" i="9"/>
  <c r="AY1230" i="9"/>
  <c r="AX1230" i="9"/>
  <c r="AW1230" i="9"/>
  <c r="AX1229" i="9"/>
  <c r="AY1229" i="9"/>
  <c r="AZ1229" i="9"/>
  <c r="AW1229" i="9"/>
  <c r="AZ1228" i="9"/>
  <c r="AY1228" i="9"/>
  <c r="AX1228" i="9"/>
  <c r="AW1228" i="9"/>
  <c r="AY1227" i="9"/>
  <c r="AZ1227" i="9"/>
  <c r="AX1227" i="9"/>
  <c r="AW1227" i="9"/>
  <c r="AY1226" i="9"/>
  <c r="AZ1226" i="9"/>
  <c r="AX1226" i="9"/>
  <c r="AW1226" i="9"/>
  <c r="AX1225" i="9"/>
  <c r="AW1225" i="9"/>
  <c r="AZ1225" i="9"/>
  <c r="AY1225" i="9"/>
  <c r="AZ1224" i="9"/>
  <c r="AX1224" i="9"/>
  <c r="AY1224" i="9"/>
  <c r="AW1224" i="9"/>
  <c r="AX1223" i="9"/>
  <c r="AY1223" i="9"/>
  <c r="AZ1223" i="9"/>
  <c r="AW1223" i="9"/>
  <c r="AZ1222" i="9"/>
  <c r="AY1222" i="9"/>
  <c r="AX1222" i="9"/>
  <c r="AW1222" i="9"/>
  <c r="AW1221" i="9"/>
  <c r="AX1221" i="9"/>
  <c r="AY1221" i="9"/>
  <c r="AZ1221" i="9"/>
  <c r="AY1220" i="9"/>
  <c r="AX1220" i="9"/>
  <c r="AW1220" i="9"/>
  <c r="AZ1220" i="9"/>
  <c r="AZ1219" i="9"/>
  <c r="AY1219" i="9"/>
  <c r="AX1219" i="9"/>
  <c r="AW1219" i="9"/>
  <c r="AZ1218" i="9"/>
  <c r="AY1218" i="9"/>
  <c r="AX1218" i="9"/>
  <c r="AW1218" i="9"/>
  <c r="AZ1217" i="9"/>
  <c r="AY1217" i="9"/>
  <c r="AX1217" i="9"/>
  <c r="AW1217" i="9"/>
  <c r="AW1216" i="9"/>
  <c r="AZ1216" i="9"/>
  <c r="AY1216" i="9"/>
  <c r="AX1216" i="9"/>
  <c r="AX1215" i="9"/>
  <c r="AY1215" i="9"/>
  <c r="AZ1215" i="9"/>
  <c r="AW1215" i="9"/>
  <c r="AY1214" i="9"/>
  <c r="AW1214" i="9"/>
  <c r="AX1214" i="9"/>
  <c r="AZ1214" i="9"/>
  <c r="AW1213" i="9"/>
  <c r="AX1213" i="9"/>
  <c r="AY1213" i="9"/>
  <c r="AZ1213" i="9"/>
  <c r="AX1212" i="9"/>
  <c r="AW1212" i="9"/>
  <c r="AY1212" i="9"/>
  <c r="AZ1212" i="9"/>
  <c r="AZ1211" i="9"/>
  <c r="AY1211" i="9"/>
  <c r="AX1211" i="9"/>
  <c r="AW1211" i="9"/>
  <c r="AZ1210" i="9"/>
  <c r="AY1210" i="9"/>
  <c r="AW1210" i="9"/>
  <c r="AX1210" i="9"/>
  <c r="AY1209" i="9"/>
  <c r="AW1209" i="9"/>
  <c r="AZ1209" i="9"/>
  <c r="AX1209" i="9"/>
  <c r="AZ1208" i="9"/>
  <c r="AY1208" i="9"/>
  <c r="AW1208" i="9"/>
  <c r="AX1208" i="9"/>
  <c r="AW1207" i="9"/>
  <c r="AZ1207" i="9"/>
  <c r="AY1207" i="9"/>
  <c r="AX1207" i="9"/>
  <c r="AZ1206" i="9"/>
  <c r="AX1206" i="9"/>
  <c r="AW1206" i="9"/>
  <c r="AY1206" i="9"/>
  <c r="AY1205" i="9"/>
  <c r="AZ1205" i="9"/>
  <c r="AW1205" i="9"/>
  <c r="AX1205" i="9"/>
  <c r="AZ1204" i="9"/>
  <c r="AY1204" i="9"/>
  <c r="AX1204" i="9"/>
  <c r="AW1204" i="9"/>
  <c r="AW1203" i="9"/>
  <c r="AX1203" i="9"/>
  <c r="AZ1203" i="9"/>
  <c r="AY1203" i="9"/>
  <c r="AX1202" i="9"/>
  <c r="AY1202" i="9"/>
  <c r="AZ1202" i="9"/>
  <c r="AW1202" i="9"/>
  <c r="AX1201" i="9"/>
  <c r="AY1201" i="9"/>
  <c r="AW1201" i="9"/>
  <c r="AZ1201" i="9"/>
  <c r="AY1200" i="9"/>
  <c r="AZ1200" i="9"/>
  <c r="AW1200" i="9"/>
  <c r="AX1200" i="9"/>
  <c r="AZ1199" i="9"/>
  <c r="AW1199" i="9"/>
  <c r="AX1199" i="9"/>
  <c r="AY1199" i="9"/>
  <c r="AZ1198" i="9"/>
  <c r="AX1198" i="9"/>
  <c r="AY1198" i="9"/>
  <c r="AW1198" i="9"/>
  <c r="AZ1197" i="9"/>
  <c r="AY1197" i="9"/>
  <c r="AW1197" i="9"/>
  <c r="AX1197" i="9"/>
  <c r="AZ1196" i="9"/>
  <c r="AY1196" i="9"/>
  <c r="AX1196" i="9"/>
  <c r="AW1196" i="9"/>
  <c r="AX1195" i="9"/>
  <c r="AZ1195" i="9"/>
  <c r="AY1195" i="9"/>
  <c r="AW1195" i="9"/>
  <c r="AZ1194" i="9"/>
  <c r="AY1194" i="9"/>
  <c r="AX1194" i="9"/>
  <c r="AW1194" i="9"/>
  <c r="AZ1193" i="9"/>
  <c r="AY1193" i="9"/>
  <c r="AW1193" i="9"/>
  <c r="AX1193" i="9"/>
  <c r="AZ1192" i="9"/>
  <c r="AY1192" i="9"/>
  <c r="AX1192" i="9"/>
  <c r="AW1192" i="9"/>
  <c r="AY1191" i="9"/>
  <c r="AZ1191" i="9"/>
  <c r="AW1191" i="9"/>
  <c r="AX1191" i="9"/>
  <c r="AY1190" i="9"/>
  <c r="AZ1190" i="9"/>
  <c r="AW1190" i="9"/>
  <c r="AX1190" i="9"/>
  <c r="AX1189" i="9"/>
  <c r="AW1189" i="9"/>
  <c r="AY1189" i="9"/>
  <c r="AZ1189" i="9"/>
  <c r="AZ1188" i="9"/>
  <c r="AY1188" i="9"/>
  <c r="AX1188" i="9"/>
  <c r="AW1188" i="9"/>
  <c r="AY1187" i="9"/>
  <c r="AW1187" i="9"/>
  <c r="AX1187" i="9"/>
  <c r="AZ1187" i="9"/>
  <c r="AW1186" i="9"/>
  <c r="AX1186" i="9"/>
  <c r="AY1186" i="9"/>
  <c r="AZ1186" i="9"/>
  <c r="AW1185" i="9"/>
  <c r="AX1185" i="9"/>
  <c r="AY1185" i="9"/>
  <c r="AZ1185" i="9"/>
  <c r="AZ1184" i="9"/>
  <c r="AX1184" i="9"/>
  <c r="AW1184" i="9"/>
  <c r="AY1184" i="9"/>
  <c r="AW1183" i="9"/>
  <c r="AX1183" i="9"/>
  <c r="AZ1183" i="9"/>
  <c r="AY1183" i="9"/>
  <c r="AW1182" i="9"/>
  <c r="AX1182" i="9"/>
  <c r="AZ1182" i="9"/>
  <c r="AY1182" i="9"/>
  <c r="AY1181" i="9"/>
  <c r="AX1181" i="9"/>
  <c r="AW1181" i="9"/>
  <c r="AZ1181" i="9"/>
  <c r="AY1180" i="9"/>
  <c r="AZ1180" i="9"/>
  <c r="AW1180" i="9"/>
  <c r="AX1180" i="9"/>
  <c r="AW1179" i="9"/>
  <c r="AX1179" i="9"/>
  <c r="AY1179" i="9"/>
  <c r="AZ1179" i="9"/>
  <c r="AW1178" i="9"/>
  <c r="AX1178" i="9"/>
  <c r="AY1178" i="9"/>
  <c r="AZ1178" i="9"/>
  <c r="AW1177" i="9"/>
  <c r="AX1177" i="9"/>
  <c r="AY1177" i="9"/>
  <c r="AZ1177" i="9"/>
  <c r="AW1176" i="9"/>
  <c r="AX1176" i="9"/>
  <c r="AY1176" i="9"/>
  <c r="AZ1176" i="9"/>
  <c r="AW1175" i="9"/>
  <c r="AX1175" i="9"/>
  <c r="AY1175" i="9"/>
  <c r="AZ1175" i="9"/>
  <c r="AZ1174" i="9"/>
  <c r="AY1174" i="9"/>
  <c r="AX1174" i="9"/>
  <c r="AW1174" i="9"/>
  <c r="AX1173" i="9"/>
  <c r="AY1173" i="9"/>
  <c r="AZ1173" i="9"/>
  <c r="AW1173" i="9"/>
  <c r="AZ1172" i="9"/>
  <c r="AY1172" i="9"/>
  <c r="AX1172" i="9"/>
  <c r="AW1172" i="9"/>
  <c r="AZ1171" i="9"/>
  <c r="AY1171" i="9"/>
  <c r="AX1171" i="9"/>
  <c r="AW1171" i="9"/>
  <c r="AZ1170" i="9"/>
  <c r="AY1170" i="9"/>
  <c r="AX1170" i="9"/>
  <c r="AW1170" i="9"/>
  <c r="AZ1169" i="9"/>
  <c r="AY1169" i="9"/>
  <c r="AX1169" i="9"/>
  <c r="AW1169" i="9"/>
  <c r="AZ1168" i="9"/>
  <c r="AY1168" i="9"/>
  <c r="AX1168" i="9"/>
  <c r="AW1168" i="9"/>
  <c r="AZ1167" i="9"/>
  <c r="AY1167" i="9"/>
  <c r="AX1167" i="9"/>
  <c r="AW1167" i="9"/>
  <c r="AZ1166" i="9"/>
  <c r="AY1166" i="9"/>
  <c r="AX1166" i="9"/>
  <c r="AW1166" i="9"/>
  <c r="AZ1165" i="9"/>
  <c r="AY1165" i="9"/>
  <c r="AX1165" i="9"/>
  <c r="AW1165" i="9"/>
  <c r="AZ1164" i="9"/>
  <c r="AY1164" i="9"/>
  <c r="AX1164" i="9"/>
  <c r="AW1164" i="9"/>
  <c r="AZ1163" i="9"/>
  <c r="AY1163" i="9"/>
  <c r="AX1163" i="9"/>
  <c r="AW1163" i="9"/>
  <c r="AZ1162" i="9"/>
  <c r="AY1162" i="9"/>
  <c r="AX1162" i="9"/>
  <c r="AW1162" i="9"/>
  <c r="AZ1161" i="9"/>
  <c r="AY1161" i="9"/>
  <c r="AX1161" i="9"/>
  <c r="AW1161" i="9"/>
  <c r="AZ1160" i="9"/>
  <c r="AY1160" i="9"/>
  <c r="AX1160" i="9"/>
  <c r="AW1160" i="9"/>
  <c r="AZ1159" i="9"/>
  <c r="AY1159" i="9"/>
  <c r="AX1159" i="9"/>
  <c r="AW1159" i="9"/>
  <c r="AZ1158" i="9"/>
  <c r="AY1158" i="9"/>
  <c r="AX1158" i="9"/>
  <c r="AW1158" i="9"/>
  <c r="AZ1157" i="9"/>
  <c r="AY1157" i="9"/>
  <c r="AX1157" i="9"/>
  <c r="AW1157" i="9"/>
  <c r="AZ1156" i="9"/>
  <c r="AY1156" i="9"/>
  <c r="AX1156" i="9"/>
  <c r="AW1156" i="9"/>
  <c r="AZ1155" i="9"/>
  <c r="AY1155" i="9"/>
  <c r="AX1155" i="9"/>
  <c r="AW1155" i="9"/>
  <c r="AZ1154" i="9"/>
  <c r="AY1154" i="9"/>
  <c r="AX1154" i="9"/>
  <c r="AW1154" i="9"/>
  <c r="AZ1153" i="9"/>
  <c r="AY1153" i="9"/>
  <c r="AX1153" i="9"/>
  <c r="AW1153" i="9"/>
  <c r="AZ1152" i="9"/>
  <c r="AY1152" i="9"/>
  <c r="AX1152" i="9"/>
  <c r="AW1152" i="9"/>
  <c r="AZ1151" i="9"/>
  <c r="AY1151" i="9"/>
  <c r="AX1151" i="9"/>
  <c r="AW1151" i="9"/>
  <c r="AZ1150" i="9"/>
  <c r="AY1150" i="9"/>
  <c r="AX1150" i="9"/>
  <c r="AW1150" i="9"/>
  <c r="AZ1149" i="9"/>
  <c r="AY1149" i="9"/>
  <c r="AX1149" i="9"/>
  <c r="AW1149" i="9"/>
  <c r="AZ1148" i="9"/>
  <c r="AY1148" i="9"/>
  <c r="AX1148" i="9"/>
  <c r="AW1148" i="9"/>
  <c r="AZ1147" i="9"/>
  <c r="AY1147" i="9"/>
  <c r="AX1147" i="9"/>
  <c r="AW1147" i="9"/>
  <c r="AZ1146" i="9"/>
  <c r="AY1146" i="9"/>
  <c r="AX1146" i="9"/>
  <c r="AW1146" i="9"/>
  <c r="AZ1145" i="9"/>
  <c r="AY1145" i="9"/>
  <c r="AX1145" i="9"/>
  <c r="AW1145" i="9"/>
  <c r="AZ1144" i="9"/>
  <c r="AY1144" i="9"/>
  <c r="AX1144" i="9"/>
  <c r="AW1144" i="9"/>
  <c r="AZ1143" i="9"/>
  <c r="AY1143" i="9"/>
  <c r="AX1143" i="9"/>
  <c r="AW1143" i="9"/>
  <c r="AZ1142" i="9"/>
  <c r="AY1142" i="9"/>
  <c r="AX1142" i="9"/>
  <c r="AW1142" i="9"/>
  <c r="AZ1141" i="9"/>
  <c r="AY1141" i="9"/>
  <c r="AX1141" i="9"/>
  <c r="AW1141" i="9"/>
  <c r="AZ1140" i="9"/>
  <c r="AY1140" i="9"/>
  <c r="AX1140" i="9"/>
  <c r="AW1140" i="9"/>
  <c r="AZ1139" i="9"/>
  <c r="AY1139" i="9"/>
  <c r="AX1139" i="9"/>
  <c r="AW1139" i="9"/>
  <c r="AZ1138" i="9"/>
  <c r="AY1138" i="9"/>
  <c r="AX1138" i="9"/>
  <c r="AW1138" i="9"/>
  <c r="AZ1137" i="9"/>
  <c r="AY1137" i="9"/>
  <c r="AX1137" i="9"/>
  <c r="AW1137" i="9"/>
  <c r="AZ1136" i="9"/>
  <c r="AY1136" i="9"/>
  <c r="AX1136" i="9"/>
  <c r="AW1136" i="9"/>
  <c r="AZ1135" i="9"/>
  <c r="AY1135" i="9"/>
  <c r="AX1135" i="9"/>
  <c r="AW1135" i="9"/>
  <c r="AZ1134" i="9"/>
  <c r="AY1134" i="9"/>
  <c r="AX1134" i="9"/>
  <c r="AW1134" i="9"/>
  <c r="AZ1133" i="9"/>
  <c r="AY1133" i="9"/>
  <c r="AX1133" i="9"/>
  <c r="AW1133" i="9"/>
  <c r="AZ1132" i="9"/>
  <c r="AY1132" i="9"/>
  <c r="AX1132" i="9"/>
  <c r="AW1132" i="9"/>
  <c r="AZ1131" i="9"/>
  <c r="AY1131" i="9"/>
  <c r="AX1131" i="9"/>
  <c r="AW1131" i="9"/>
  <c r="AX1130" i="9"/>
  <c r="AW1130" i="9"/>
  <c r="AZ1130" i="9"/>
  <c r="AY1130" i="9"/>
  <c r="AW1129" i="9"/>
  <c r="AZ1129" i="9"/>
  <c r="AY1129" i="9"/>
  <c r="AX1129" i="9"/>
  <c r="AW1128" i="9"/>
  <c r="AZ1128" i="9"/>
  <c r="AY1128" i="9"/>
  <c r="AX1128" i="9"/>
  <c r="AW1127" i="9"/>
  <c r="AZ1127" i="9"/>
  <c r="AY1127" i="9"/>
  <c r="AX1127" i="9"/>
  <c r="AZ1126" i="9"/>
  <c r="AY1126" i="9"/>
  <c r="AX1126" i="9"/>
  <c r="AW1126" i="9"/>
  <c r="AY1125" i="9"/>
  <c r="AX1125" i="9"/>
  <c r="AW1125" i="9"/>
  <c r="AZ1125" i="9"/>
  <c r="AW1124" i="9"/>
  <c r="AZ1124" i="9"/>
  <c r="AY1124" i="9"/>
  <c r="AX1124" i="9"/>
  <c r="AY1123" i="9"/>
  <c r="AX1123" i="9"/>
  <c r="AW1123" i="9"/>
  <c r="AZ1123" i="9"/>
  <c r="AW1122" i="9"/>
  <c r="AX1122" i="9"/>
  <c r="AY1122" i="9"/>
  <c r="AZ1122" i="9"/>
  <c r="AZ1121" i="9"/>
  <c r="AX1121" i="9"/>
  <c r="AW1121" i="9"/>
  <c r="AY1121" i="9"/>
  <c r="AW1120" i="9"/>
  <c r="AY1120" i="9"/>
  <c r="AZ1120" i="9"/>
  <c r="AX1120" i="9"/>
  <c r="AX1119" i="9"/>
  <c r="AY1119" i="9"/>
  <c r="AZ1119" i="9"/>
  <c r="AW1119" i="9"/>
  <c r="AY1118" i="9"/>
  <c r="AX1118" i="9"/>
  <c r="AW1118" i="9"/>
  <c r="AZ1118" i="9"/>
  <c r="AZ1117" i="9"/>
  <c r="AY1117" i="9"/>
  <c r="AW1117" i="9"/>
  <c r="AX1117" i="9"/>
  <c r="AZ1116" i="9"/>
  <c r="AY1116" i="9"/>
  <c r="AX1116" i="9"/>
  <c r="AW1116" i="9"/>
  <c r="AW1115" i="9"/>
  <c r="AX1115" i="9"/>
  <c r="AY1115" i="9"/>
  <c r="AZ1115" i="9"/>
  <c r="AZ1114" i="9"/>
  <c r="AY1114" i="9"/>
  <c r="AX1114" i="9"/>
  <c r="AW1114" i="9"/>
  <c r="AZ1113" i="9"/>
  <c r="AY1113" i="9"/>
  <c r="AX1113" i="9"/>
  <c r="AW1113" i="9"/>
  <c r="AZ1112" i="9"/>
  <c r="AX1112" i="9"/>
  <c r="AY1112" i="9"/>
  <c r="AW1112" i="9"/>
  <c r="AZ1111" i="9"/>
  <c r="AY1111" i="9"/>
  <c r="AX1111" i="9"/>
  <c r="AW1111" i="9"/>
  <c r="AY1110" i="9"/>
  <c r="AX1110" i="9"/>
  <c r="AW1110" i="9"/>
  <c r="AZ1110" i="9"/>
  <c r="AZ1109" i="9"/>
  <c r="AY1109" i="9"/>
  <c r="AX1109" i="9"/>
  <c r="AW1109" i="9"/>
  <c r="AY1108" i="9"/>
  <c r="AZ1108" i="9"/>
  <c r="AX1108" i="9"/>
  <c r="AW1108" i="9"/>
  <c r="AZ1107" i="9"/>
  <c r="AY1107" i="9"/>
  <c r="AX1107" i="9"/>
  <c r="AW1107" i="9"/>
  <c r="AY1106" i="9"/>
  <c r="AX1106" i="9"/>
  <c r="AW1106" i="9"/>
  <c r="AZ1106" i="9"/>
  <c r="AZ1105" i="9"/>
  <c r="AY1105" i="9"/>
  <c r="AW1105" i="9"/>
  <c r="AX1105" i="9"/>
  <c r="AZ1104" i="9"/>
  <c r="AY1104" i="9"/>
  <c r="AW1104" i="9"/>
  <c r="AX1104" i="9"/>
  <c r="AY1103" i="9"/>
  <c r="AX1103" i="9"/>
  <c r="AW1103" i="9"/>
  <c r="AZ1103" i="9"/>
  <c r="AZ1102" i="9"/>
  <c r="AX1102" i="9"/>
  <c r="AW1102" i="9"/>
  <c r="AY1102" i="9"/>
  <c r="AZ1101" i="9"/>
  <c r="AW1101" i="9"/>
  <c r="AX1101" i="9"/>
  <c r="AY1101" i="9"/>
  <c r="AZ1100" i="9"/>
  <c r="AY1100" i="9"/>
  <c r="AX1100" i="9"/>
  <c r="AW1100" i="9"/>
  <c r="AZ1099" i="9"/>
  <c r="AX1099" i="9"/>
  <c r="AW1099" i="9"/>
  <c r="AY1099" i="9"/>
  <c r="AZ1098" i="9"/>
  <c r="AY1098" i="9"/>
  <c r="AW1098" i="9"/>
  <c r="AX1098" i="9"/>
  <c r="AZ1097" i="9"/>
  <c r="AY1097" i="9"/>
  <c r="AX1097" i="9"/>
  <c r="AW1097" i="9"/>
  <c r="AY1096" i="9"/>
  <c r="AX1096" i="9"/>
  <c r="AW1096" i="9"/>
  <c r="AZ1096" i="9"/>
  <c r="AZ1095" i="9"/>
  <c r="AW1095" i="9"/>
  <c r="AX1095" i="9"/>
  <c r="AY1095" i="9"/>
  <c r="AW1094" i="9"/>
  <c r="AY1094" i="9"/>
  <c r="AX1094" i="9"/>
  <c r="AZ1094" i="9"/>
  <c r="AZ1093" i="9"/>
  <c r="AY1093" i="9"/>
  <c r="AX1093" i="9"/>
  <c r="AW1093" i="9"/>
  <c r="AZ1092" i="9"/>
  <c r="AY1092" i="9"/>
  <c r="AX1092" i="9"/>
  <c r="AW1092" i="9"/>
  <c r="AZ1091" i="9"/>
  <c r="AY1091" i="9"/>
  <c r="AX1091" i="9"/>
  <c r="AW1091" i="9"/>
  <c r="AZ1090" i="9"/>
  <c r="AY1090" i="9"/>
  <c r="AX1090" i="9"/>
  <c r="AW1090" i="9"/>
  <c r="AZ1089" i="9"/>
  <c r="AX1089" i="9"/>
  <c r="AW1089" i="9"/>
  <c r="AY1089" i="9"/>
  <c r="AZ1088" i="9"/>
  <c r="AY1088" i="9"/>
  <c r="AX1088" i="9"/>
  <c r="AW1088" i="9"/>
  <c r="AZ1087" i="9"/>
  <c r="AY1087" i="9"/>
  <c r="AX1087" i="9"/>
  <c r="AW1087" i="9"/>
  <c r="AW1086" i="9"/>
  <c r="AZ1086" i="9"/>
  <c r="AY1086" i="9"/>
  <c r="AX1086" i="9"/>
  <c r="AW1085" i="9"/>
  <c r="AY1085" i="9"/>
  <c r="AZ1085" i="9"/>
  <c r="AX1085" i="9"/>
  <c r="AW1084" i="9"/>
  <c r="AZ1084" i="9"/>
  <c r="AY1084" i="9"/>
  <c r="AX1084" i="9"/>
  <c r="AZ1083" i="9"/>
  <c r="AY1083" i="9"/>
  <c r="AX1083" i="9"/>
  <c r="AW1083" i="9"/>
  <c r="AZ1082" i="9"/>
  <c r="AY1082" i="9"/>
  <c r="AX1082" i="9"/>
  <c r="AW1082" i="9"/>
  <c r="AZ1081" i="9"/>
  <c r="AY1081" i="9"/>
  <c r="AW1081" i="9"/>
  <c r="AX1081" i="9"/>
  <c r="AZ1080" i="9"/>
  <c r="AY1080" i="9"/>
  <c r="AX1080" i="9"/>
  <c r="AW1080" i="9"/>
  <c r="AZ1079" i="9"/>
  <c r="AY1079" i="9"/>
  <c r="AW1079" i="9"/>
  <c r="AX1079" i="9"/>
  <c r="AZ1078" i="9"/>
  <c r="AY1078" i="9"/>
  <c r="AX1078" i="9"/>
  <c r="AW1078" i="9"/>
  <c r="AW1077" i="9"/>
  <c r="AZ1077" i="9"/>
  <c r="AY1077" i="9"/>
  <c r="AX1077" i="9"/>
  <c r="AW1076" i="9"/>
  <c r="AZ1076" i="9"/>
  <c r="AY1076" i="9"/>
  <c r="AX1076" i="9"/>
  <c r="AZ1075" i="9"/>
  <c r="AY1075" i="9"/>
  <c r="AX1075" i="9"/>
  <c r="AW1075" i="9"/>
  <c r="AZ1074" i="9"/>
  <c r="AY1074" i="9"/>
  <c r="AX1074" i="9"/>
  <c r="AW1074" i="9"/>
  <c r="AZ1073" i="9"/>
  <c r="AY1073" i="9"/>
  <c r="AX1073" i="9"/>
  <c r="AW1073" i="9"/>
  <c r="AZ1072" i="9"/>
  <c r="AY1072" i="9"/>
  <c r="AX1072" i="9"/>
  <c r="AW1072" i="9"/>
  <c r="AZ1071" i="9"/>
  <c r="AY1071" i="9"/>
  <c r="AX1071" i="9"/>
  <c r="AW1071" i="9"/>
  <c r="AW1070" i="9"/>
  <c r="AX1070" i="9"/>
  <c r="AY1070" i="9"/>
  <c r="AZ1070" i="9"/>
  <c r="AZ1069" i="9"/>
  <c r="AY1069" i="9"/>
  <c r="AW1069" i="9"/>
  <c r="AX1069" i="9"/>
  <c r="AW1068" i="9"/>
  <c r="AZ1068" i="9"/>
  <c r="AY1068" i="9"/>
  <c r="AX1068" i="9"/>
  <c r="AW1067" i="9"/>
  <c r="AZ1067" i="9"/>
  <c r="AY1067" i="9"/>
  <c r="AX1067" i="9"/>
  <c r="AZ1066" i="9"/>
  <c r="AY1066" i="9"/>
  <c r="AX1066" i="9"/>
  <c r="AW1066" i="9"/>
  <c r="AZ1065" i="9"/>
  <c r="AY1065" i="9"/>
  <c r="AX1065" i="9"/>
  <c r="AW1065" i="9"/>
  <c r="AZ1064" i="9"/>
  <c r="AX1064" i="9"/>
  <c r="AW1064" i="9"/>
  <c r="AY1064" i="9"/>
  <c r="AZ1063" i="9"/>
  <c r="AY1063" i="9"/>
  <c r="AX1063" i="9"/>
  <c r="AW1063" i="9"/>
  <c r="AZ1062" i="9"/>
  <c r="AY1062" i="9"/>
  <c r="AW1062" i="9"/>
  <c r="AX1062" i="9"/>
  <c r="AZ1061" i="9"/>
  <c r="AY1061" i="9"/>
  <c r="AX1061" i="9"/>
  <c r="AW1061" i="9"/>
  <c r="AY1060" i="9"/>
  <c r="AX1060" i="9"/>
  <c r="AW1060" i="9"/>
  <c r="AZ1060" i="9"/>
  <c r="AW1059" i="9"/>
  <c r="AX1059" i="9"/>
  <c r="AZ1059" i="9"/>
  <c r="AY1059" i="9"/>
  <c r="AW1058" i="9"/>
  <c r="AX1058" i="9"/>
  <c r="AY1058" i="9"/>
  <c r="AZ1058" i="9"/>
  <c r="AY1057" i="9"/>
  <c r="AW1057" i="9"/>
  <c r="AX1057" i="9"/>
  <c r="AZ1057" i="9"/>
  <c r="AW1056" i="9"/>
  <c r="AX1056" i="9"/>
  <c r="AY1056" i="9"/>
  <c r="AZ1056" i="9"/>
  <c r="AY1055" i="9"/>
  <c r="AX1055" i="9"/>
  <c r="AW1055" i="9"/>
  <c r="AZ1055" i="9"/>
  <c r="AZ1054" i="9"/>
  <c r="AY1054" i="9"/>
  <c r="AX1054" i="9"/>
  <c r="AW1054" i="9"/>
  <c r="AZ1053" i="9"/>
  <c r="AY1053" i="9"/>
  <c r="AX1053" i="9"/>
  <c r="AW1053" i="9"/>
  <c r="AZ1052" i="9"/>
  <c r="AX1052" i="9"/>
  <c r="AW1052" i="9"/>
  <c r="AY1052" i="9"/>
  <c r="AZ1051" i="9"/>
  <c r="AY1051" i="9"/>
  <c r="AX1051" i="9"/>
  <c r="AW1051" i="9"/>
  <c r="AZ1050" i="9"/>
  <c r="AY1050" i="9"/>
  <c r="AX1050" i="9"/>
  <c r="AW1050" i="9"/>
  <c r="AZ1049" i="9"/>
  <c r="AY1049" i="9"/>
  <c r="AX1049" i="9"/>
  <c r="AW1049" i="9"/>
  <c r="AZ1048" i="9"/>
  <c r="AY1048" i="9"/>
  <c r="AX1048" i="9"/>
  <c r="AW1048" i="9"/>
  <c r="AZ1047" i="9"/>
  <c r="AY1047" i="9"/>
  <c r="AX1047" i="9"/>
  <c r="AW1047" i="9"/>
  <c r="AZ1046" i="9"/>
  <c r="AY1046" i="9"/>
  <c r="AX1046" i="9"/>
  <c r="AW1046" i="9"/>
  <c r="AW1045" i="9"/>
  <c r="AZ1045" i="9"/>
  <c r="AX1045" i="9"/>
  <c r="AY1045" i="9"/>
  <c r="AY1044" i="9"/>
  <c r="AZ1044" i="9"/>
  <c r="AX1044" i="9"/>
  <c r="AW1044" i="9"/>
  <c r="AZ1043" i="9"/>
  <c r="AW1043" i="9"/>
  <c r="AX1043" i="9"/>
  <c r="AY1043" i="9"/>
  <c r="AY1042" i="9"/>
  <c r="AX1042" i="9"/>
  <c r="AW1042" i="9"/>
  <c r="AZ1042" i="9"/>
  <c r="AY1041" i="9"/>
  <c r="AZ1041" i="9"/>
  <c r="AW1041" i="9"/>
  <c r="AX1041" i="9"/>
  <c r="AZ1040" i="9"/>
  <c r="AY1040" i="9"/>
  <c r="AX1040" i="9"/>
  <c r="AW1040" i="9"/>
  <c r="AZ1039" i="9"/>
  <c r="AY1039" i="9"/>
  <c r="AX1039" i="9"/>
  <c r="AW1039" i="9"/>
  <c r="AZ1038" i="9"/>
  <c r="AY1038" i="9"/>
  <c r="AX1038" i="9"/>
  <c r="AW1038" i="9"/>
  <c r="AY1037" i="9"/>
  <c r="AX1037" i="9"/>
  <c r="AW1037" i="9"/>
  <c r="AZ1037" i="9"/>
  <c r="AZ1036" i="9"/>
  <c r="AY1036" i="9"/>
  <c r="AX1036" i="9"/>
  <c r="AW1036" i="9"/>
  <c r="AY1035" i="9"/>
  <c r="AZ1035" i="9"/>
  <c r="AX1035" i="9"/>
  <c r="AW1035" i="9"/>
  <c r="AZ1034" i="9"/>
  <c r="AY1034" i="9"/>
  <c r="AX1034" i="9"/>
  <c r="AW1034" i="9"/>
  <c r="AZ1033" i="9"/>
  <c r="AX1033" i="9"/>
  <c r="AW1033" i="9"/>
  <c r="AY1033" i="9"/>
  <c r="AW1032" i="9"/>
  <c r="AZ1032" i="9"/>
  <c r="AY1032" i="9"/>
  <c r="AX1032" i="9"/>
  <c r="AW1031" i="9"/>
  <c r="AX1031" i="9"/>
  <c r="AY1031" i="9"/>
  <c r="AZ1031" i="9"/>
  <c r="AX1030" i="9"/>
  <c r="AY1030" i="9"/>
  <c r="AZ1030" i="9"/>
  <c r="AW1030" i="9"/>
  <c r="AX1029" i="9"/>
  <c r="AY1029" i="9"/>
  <c r="AZ1029" i="9"/>
  <c r="AW1029" i="9"/>
  <c r="AW1028" i="9"/>
  <c r="AX1028" i="9"/>
  <c r="AY1028" i="9"/>
  <c r="AZ1028" i="9"/>
  <c r="AZ1027" i="9"/>
  <c r="AY1027" i="9"/>
  <c r="AX1027" i="9"/>
  <c r="AW1027" i="9"/>
  <c r="AZ1026" i="9"/>
  <c r="AY1026" i="9"/>
  <c r="AW1026" i="9"/>
  <c r="AX1026" i="9"/>
  <c r="AZ1025" i="9"/>
  <c r="AY1025" i="9"/>
  <c r="AX1025" i="9"/>
  <c r="AW1025" i="9"/>
  <c r="AZ1024" i="9"/>
  <c r="AY1024" i="9"/>
  <c r="AX1024" i="9"/>
  <c r="AW1024" i="9"/>
  <c r="AW1023" i="9"/>
  <c r="AX1023" i="9"/>
  <c r="AY1023" i="9"/>
  <c r="AZ1023" i="9"/>
  <c r="AW1022" i="9"/>
  <c r="AX1022" i="9"/>
  <c r="AY1022" i="9"/>
  <c r="AZ1022" i="9"/>
  <c r="AW1021" i="9"/>
  <c r="AX1021" i="9"/>
  <c r="AY1021" i="9"/>
  <c r="AZ1021" i="9"/>
  <c r="AX1020" i="9"/>
  <c r="AW1020" i="9"/>
  <c r="AZ1020" i="9"/>
  <c r="AY1020" i="9"/>
  <c r="AZ1019" i="9"/>
  <c r="AY1019" i="9"/>
  <c r="AX1019" i="9"/>
  <c r="AW1019" i="9"/>
  <c r="AZ1018" i="9"/>
  <c r="AX1018" i="9"/>
  <c r="AW1018" i="9"/>
  <c r="AY1018" i="9"/>
  <c r="AZ1017" i="9"/>
  <c r="AY1017" i="9"/>
  <c r="AW1017" i="9"/>
  <c r="AX1017" i="9"/>
  <c r="AX1016" i="9"/>
  <c r="AZ1016" i="9"/>
  <c r="AY1016" i="9"/>
  <c r="AW1016" i="9"/>
  <c r="AW1015" i="9"/>
  <c r="AZ1015" i="9"/>
  <c r="AY1015" i="9"/>
  <c r="AX1015" i="9"/>
  <c r="AX1014" i="9"/>
  <c r="AW1014" i="9"/>
  <c r="AZ1014" i="9"/>
  <c r="AY1014" i="9"/>
  <c r="AX1013" i="9"/>
  <c r="AY1013" i="9"/>
  <c r="AW1013" i="9"/>
  <c r="AZ1013" i="9"/>
  <c r="AY1012" i="9"/>
  <c r="AX1012" i="9"/>
  <c r="AW1012" i="9"/>
  <c r="AZ1012" i="9"/>
  <c r="AZ1011" i="9"/>
  <c r="AY1011" i="9"/>
  <c r="AX1011" i="9"/>
  <c r="AW1011" i="9"/>
  <c r="AZ1010" i="9"/>
  <c r="AY1010" i="9"/>
  <c r="AX1010" i="9"/>
  <c r="AW1010" i="9"/>
  <c r="AY1009" i="9"/>
  <c r="AX1009" i="9"/>
  <c r="AZ1009" i="9"/>
  <c r="AW1009" i="9"/>
  <c r="AX1008" i="9"/>
  <c r="AW1008" i="9"/>
  <c r="AZ1008" i="9"/>
  <c r="AY1008" i="9"/>
  <c r="AZ1007" i="9"/>
  <c r="AY1007" i="9"/>
  <c r="AX1007" i="9"/>
  <c r="AW1007" i="9"/>
  <c r="AX1006" i="9"/>
  <c r="AW1006" i="9"/>
  <c r="AZ1006" i="9"/>
  <c r="AY1006" i="9"/>
  <c r="AZ1005" i="9"/>
  <c r="AY1005" i="9"/>
  <c r="AX1005" i="9"/>
  <c r="AW1005" i="9"/>
  <c r="AZ1004" i="9"/>
  <c r="AY1004" i="9"/>
  <c r="AX1004" i="9"/>
  <c r="AW1004" i="9"/>
  <c r="AZ1003" i="9"/>
  <c r="AY1003" i="9"/>
  <c r="AX1003" i="9"/>
  <c r="AW1003" i="9"/>
  <c r="AZ1002" i="9"/>
  <c r="AY1002" i="9"/>
  <c r="AX1002" i="9"/>
  <c r="AW1002" i="9"/>
  <c r="AZ1001" i="9"/>
  <c r="AY1001" i="9"/>
  <c r="AX1001" i="9"/>
  <c r="AW1001" i="9"/>
  <c r="AW1000" i="9"/>
  <c r="AX1000" i="9"/>
  <c r="AZ1000" i="9"/>
  <c r="AY1000" i="9"/>
  <c r="AZ999" i="9"/>
  <c r="AY999" i="9"/>
  <c r="AX999" i="9"/>
  <c r="AW999" i="9"/>
  <c r="AY998" i="9"/>
  <c r="AZ998" i="9"/>
  <c r="AW998" i="9"/>
  <c r="AX998" i="9"/>
  <c r="AX997" i="9"/>
  <c r="AZ997" i="9"/>
  <c r="AY997" i="9"/>
  <c r="AW997" i="9"/>
  <c r="AZ996" i="9"/>
  <c r="AY996" i="9"/>
  <c r="AX996" i="9"/>
  <c r="AW996" i="9"/>
  <c r="AY995" i="9"/>
  <c r="AZ995" i="9"/>
  <c r="AX995" i="9"/>
  <c r="AW995" i="9"/>
  <c r="AZ994" i="9"/>
  <c r="AY994" i="9"/>
  <c r="AX994" i="9"/>
  <c r="AW994" i="9"/>
  <c r="AZ993" i="9"/>
  <c r="AY993" i="9"/>
  <c r="AX993" i="9"/>
  <c r="AW993" i="9"/>
  <c r="AZ992" i="9"/>
  <c r="AY992" i="9"/>
  <c r="AX992" i="9"/>
  <c r="AW992" i="9"/>
  <c r="AY991" i="9"/>
  <c r="AX991" i="9"/>
  <c r="AW991" i="9"/>
  <c r="AZ991" i="9"/>
  <c r="AW990" i="9"/>
  <c r="AX990" i="9"/>
  <c r="AY990" i="9"/>
  <c r="AZ990" i="9"/>
  <c r="AY989" i="9"/>
  <c r="AZ989" i="9"/>
  <c r="AX989" i="9"/>
  <c r="AW989" i="9"/>
  <c r="AY988" i="9"/>
  <c r="AX988" i="9"/>
  <c r="AZ988" i="9"/>
  <c r="AW988" i="9"/>
  <c r="AX987" i="9"/>
  <c r="AW987" i="9"/>
  <c r="AZ987" i="9"/>
  <c r="AY987" i="9"/>
  <c r="AW986" i="9"/>
  <c r="AX986" i="9"/>
  <c r="AY986" i="9"/>
  <c r="AZ986" i="9"/>
  <c r="AZ985" i="9"/>
  <c r="AW985" i="9"/>
  <c r="AX985" i="9"/>
  <c r="AY985" i="9"/>
  <c r="AW984" i="9"/>
  <c r="AX984" i="9"/>
  <c r="AY984" i="9"/>
  <c r="AZ984" i="9"/>
  <c r="AX983" i="9"/>
  <c r="AW983" i="9"/>
  <c r="AY983" i="9"/>
  <c r="AZ983" i="9"/>
  <c r="AW982" i="9"/>
  <c r="AX982" i="9"/>
  <c r="AY982" i="9"/>
  <c r="AZ982" i="9"/>
  <c r="AZ981" i="9"/>
  <c r="AW981" i="9"/>
  <c r="AX981" i="9"/>
  <c r="AY981" i="9"/>
  <c r="AW980" i="9"/>
  <c r="AX980" i="9"/>
  <c r="AY980" i="9"/>
  <c r="AZ980" i="9"/>
  <c r="AW979" i="9"/>
  <c r="AX979" i="9"/>
  <c r="AY979" i="9"/>
  <c r="AZ979" i="9"/>
  <c r="AW978" i="9"/>
  <c r="AX978" i="9"/>
  <c r="AY978" i="9"/>
  <c r="AZ978" i="9"/>
  <c r="AW977" i="9"/>
  <c r="AY977" i="9"/>
  <c r="AX977" i="9"/>
  <c r="AZ977" i="9"/>
  <c r="AX976" i="9"/>
  <c r="AY976" i="9"/>
  <c r="AZ976" i="9"/>
  <c r="AW976" i="9"/>
  <c r="AY975" i="9"/>
  <c r="AX975" i="9"/>
  <c r="AW975" i="9"/>
  <c r="AZ975" i="9"/>
  <c r="AZ974" i="9"/>
  <c r="AY974" i="9"/>
  <c r="AX974" i="9"/>
  <c r="AW974" i="9"/>
  <c r="AZ973" i="9"/>
  <c r="AY973" i="9"/>
  <c r="AX973" i="9"/>
  <c r="AW973" i="9"/>
  <c r="AY972" i="9"/>
  <c r="AX972" i="9"/>
  <c r="AW972" i="9"/>
  <c r="AZ972" i="9"/>
  <c r="AX971" i="9"/>
  <c r="AZ971" i="9"/>
  <c r="AY971" i="9"/>
  <c r="AW971" i="9"/>
  <c r="AZ970" i="9"/>
  <c r="AY970" i="9"/>
  <c r="AX970" i="9"/>
  <c r="AW970" i="9"/>
  <c r="AW969" i="9"/>
  <c r="AZ969" i="9"/>
  <c r="AY969" i="9"/>
  <c r="AX969" i="9"/>
  <c r="AW968" i="9"/>
  <c r="AX968" i="9"/>
  <c r="AY968" i="9"/>
  <c r="AZ968" i="9"/>
  <c r="AW967" i="9"/>
  <c r="AY967" i="9"/>
  <c r="AZ967" i="9"/>
  <c r="AX967" i="9"/>
  <c r="AW966" i="9"/>
  <c r="AX966" i="9"/>
  <c r="AY966" i="9"/>
  <c r="AZ966" i="9"/>
  <c r="AX965" i="9"/>
  <c r="AZ965" i="9"/>
  <c r="AY965" i="9"/>
  <c r="AW965" i="9"/>
  <c r="AW964" i="9"/>
  <c r="AZ964" i="9"/>
  <c r="AY964" i="9"/>
  <c r="AX964" i="9"/>
  <c r="AX963" i="9"/>
  <c r="AW963" i="9"/>
  <c r="AZ963" i="9"/>
  <c r="AY963" i="9"/>
  <c r="AY962" i="9"/>
  <c r="AZ962" i="9"/>
  <c r="AX962" i="9"/>
  <c r="AW962" i="9"/>
  <c r="AY961" i="9"/>
  <c r="AX961" i="9"/>
  <c r="AZ961" i="9"/>
  <c r="AW961" i="9"/>
  <c r="AW960" i="9"/>
  <c r="AX960" i="9"/>
  <c r="AY960" i="9"/>
  <c r="AZ960" i="9"/>
  <c r="AW959" i="9"/>
  <c r="AX959" i="9"/>
  <c r="AY959" i="9"/>
  <c r="AZ959" i="9"/>
  <c r="AW958" i="9"/>
  <c r="AX958" i="9"/>
  <c r="AY958" i="9"/>
  <c r="AZ958" i="9"/>
  <c r="AY957" i="9"/>
  <c r="AW957" i="9"/>
  <c r="AX957" i="9"/>
  <c r="AZ957" i="9"/>
  <c r="AW956" i="9"/>
  <c r="AZ956" i="9"/>
  <c r="AY956" i="9"/>
  <c r="AX956" i="9"/>
  <c r="AW955" i="9"/>
  <c r="AZ955" i="9"/>
  <c r="AY955" i="9"/>
  <c r="AX955" i="9"/>
  <c r="AW954" i="9"/>
  <c r="AX954" i="9"/>
  <c r="AY954" i="9"/>
  <c r="AZ954" i="9"/>
  <c r="AY953" i="9"/>
  <c r="AZ953" i="9"/>
  <c r="AX953" i="9"/>
  <c r="AW953" i="9"/>
  <c r="AZ952" i="9"/>
  <c r="AY952" i="9"/>
  <c r="AX952" i="9"/>
  <c r="AW952" i="9"/>
  <c r="AW951" i="9"/>
  <c r="AZ951" i="9"/>
  <c r="AY951" i="9"/>
  <c r="AX951" i="9"/>
  <c r="AY950" i="9"/>
  <c r="AW950" i="9"/>
  <c r="AX950" i="9"/>
  <c r="AZ950" i="9"/>
  <c r="AY949" i="9"/>
  <c r="AZ949" i="9"/>
  <c r="AW949" i="9"/>
  <c r="AX949" i="9"/>
  <c r="AZ948" i="9"/>
  <c r="AY948" i="9"/>
  <c r="AX948" i="9"/>
  <c r="AW948" i="9"/>
  <c r="AW947" i="9"/>
  <c r="AZ947" i="9"/>
  <c r="AY947" i="9"/>
  <c r="AX947" i="9"/>
  <c r="AZ946" i="9"/>
  <c r="AY946" i="9"/>
  <c r="AX946" i="9"/>
  <c r="AW946" i="9"/>
  <c r="AZ945" i="9"/>
  <c r="AY945" i="9"/>
  <c r="AX945" i="9"/>
  <c r="AW945" i="9"/>
  <c r="AZ944" i="9"/>
  <c r="AY944" i="9"/>
  <c r="AX944" i="9"/>
  <c r="AW944" i="9"/>
  <c r="AZ943" i="9"/>
  <c r="AY943" i="9"/>
  <c r="AX943" i="9"/>
  <c r="AW943" i="9"/>
  <c r="AZ942" i="9"/>
  <c r="AY942" i="9"/>
  <c r="AX942" i="9"/>
  <c r="AW942" i="9"/>
  <c r="AZ941" i="9"/>
  <c r="AY941" i="9"/>
  <c r="AX941" i="9"/>
  <c r="AW941" i="9"/>
  <c r="AZ940" i="9"/>
  <c r="AY940" i="9"/>
  <c r="AX940" i="9"/>
  <c r="AW940" i="9"/>
  <c r="AX939" i="9"/>
  <c r="AZ939" i="9"/>
  <c r="AY939" i="9"/>
  <c r="AW939" i="9"/>
  <c r="AZ938" i="9"/>
  <c r="AY938" i="9"/>
  <c r="AX938" i="9"/>
  <c r="AW938" i="9"/>
  <c r="AW937" i="9"/>
  <c r="AX937" i="9"/>
  <c r="AY937" i="9"/>
  <c r="AZ937" i="9"/>
  <c r="AX936" i="9"/>
  <c r="AW936" i="9"/>
  <c r="AZ936" i="9"/>
  <c r="AY936" i="9"/>
  <c r="AW935" i="9"/>
  <c r="AX935" i="9"/>
  <c r="AY935" i="9"/>
  <c r="AZ935" i="9"/>
  <c r="AX934" i="9"/>
  <c r="AW934" i="9"/>
  <c r="AZ934" i="9"/>
  <c r="AY934" i="9"/>
  <c r="AX933" i="9"/>
  <c r="AW933" i="9"/>
  <c r="AY933" i="9"/>
  <c r="AZ933" i="9"/>
  <c r="AW932" i="9"/>
  <c r="AX932" i="9"/>
  <c r="AY932" i="9"/>
  <c r="AZ932" i="9"/>
  <c r="AW931" i="9"/>
  <c r="AX931" i="9"/>
  <c r="AY931" i="9"/>
  <c r="AZ931" i="9"/>
  <c r="AX930" i="9"/>
  <c r="AY930" i="9"/>
  <c r="AW930" i="9"/>
  <c r="AZ930" i="9"/>
  <c r="AX929" i="9"/>
  <c r="AW929" i="9"/>
  <c r="AY929" i="9"/>
  <c r="AZ929" i="9"/>
  <c r="AZ928" i="9"/>
  <c r="AY928" i="9"/>
  <c r="AX928" i="9"/>
  <c r="AW928" i="9"/>
  <c r="AW927" i="9"/>
  <c r="AX927" i="9"/>
  <c r="AY927" i="9"/>
  <c r="AZ927" i="9"/>
  <c r="AX926" i="9"/>
  <c r="AZ926" i="9"/>
  <c r="AY926" i="9"/>
  <c r="AW926" i="9"/>
  <c r="AZ925" i="9"/>
  <c r="AY925" i="9"/>
  <c r="AX925" i="9"/>
  <c r="AW925" i="9"/>
  <c r="AW924" i="9"/>
  <c r="AX924" i="9"/>
  <c r="AY924" i="9"/>
  <c r="AZ924" i="9"/>
  <c r="AY923" i="9"/>
  <c r="AZ923" i="9"/>
  <c r="AW923" i="9"/>
  <c r="AX923" i="9"/>
  <c r="AY922" i="9"/>
  <c r="AX922" i="9"/>
  <c r="AW922" i="9"/>
  <c r="AZ922" i="9"/>
  <c r="AZ921" i="9"/>
  <c r="AY921" i="9"/>
  <c r="AX921" i="9"/>
  <c r="AW921" i="9"/>
  <c r="AZ920" i="9"/>
  <c r="AY920" i="9"/>
  <c r="AX920" i="9"/>
  <c r="AW920" i="9"/>
  <c r="AZ919" i="9"/>
  <c r="AY919" i="9"/>
  <c r="AX919" i="9"/>
  <c r="AW919" i="9"/>
  <c r="AZ918" i="9"/>
  <c r="AY918" i="9"/>
  <c r="AX918" i="9"/>
  <c r="AW918" i="9"/>
  <c r="AY917" i="9"/>
  <c r="AX917" i="9"/>
  <c r="AW917" i="9"/>
  <c r="AZ917" i="9"/>
  <c r="AY916" i="9"/>
  <c r="AW916" i="9"/>
  <c r="AX916" i="9"/>
  <c r="AZ916" i="9"/>
  <c r="AZ915" i="9"/>
  <c r="AW915" i="9"/>
  <c r="AX915" i="9"/>
  <c r="AY915" i="9"/>
  <c r="AW914" i="9"/>
  <c r="AX914" i="9"/>
  <c r="AY914" i="9"/>
  <c r="AZ914" i="9"/>
  <c r="AZ913" i="9"/>
  <c r="AW913" i="9"/>
  <c r="AX913" i="9"/>
  <c r="AY913" i="9"/>
  <c r="AW912" i="9"/>
  <c r="AY912" i="9"/>
  <c r="AZ912" i="9"/>
  <c r="AX912" i="9"/>
  <c r="AW911" i="9"/>
  <c r="AX911" i="9"/>
  <c r="AY911" i="9"/>
  <c r="AZ911" i="9"/>
  <c r="AW910" i="9"/>
  <c r="AX910" i="9"/>
  <c r="AY910" i="9"/>
  <c r="AZ910" i="9"/>
  <c r="AY909" i="9"/>
  <c r="AZ909" i="9"/>
  <c r="AX909" i="9"/>
  <c r="AW909" i="9"/>
  <c r="AY908" i="9"/>
  <c r="AX908" i="9"/>
  <c r="AW908" i="9"/>
  <c r="AZ908" i="9"/>
  <c r="AZ907" i="9"/>
  <c r="AY907" i="9"/>
  <c r="AX907" i="9"/>
  <c r="AW907" i="9"/>
  <c r="AZ906" i="9"/>
  <c r="AY906" i="9"/>
  <c r="AX906" i="9"/>
  <c r="AW906" i="9"/>
  <c r="AZ905" i="9"/>
  <c r="AY905" i="9"/>
  <c r="AX905" i="9"/>
  <c r="AW905" i="9"/>
  <c r="AZ904" i="9"/>
  <c r="AY904" i="9"/>
  <c r="AX904" i="9"/>
  <c r="AW904" i="9"/>
  <c r="AZ903" i="9"/>
  <c r="AY903" i="9"/>
  <c r="AX903" i="9"/>
  <c r="AW903" i="9"/>
  <c r="AY902" i="9"/>
  <c r="AX902" i="9"/>
  <c r="AW902" i="9"/>
  <c r="AZ902" i="9"/>
  <c r="AZ901" i="9"/>
  <c r="AY901" i="9"/>
  <c r="AW901" i="9"/>
  <c r="AX901" i="9"/>
  <c r="AZ900" i="9"/>
  <c r="AW900" i="9"/>
  <c r="AX900" i="9"/>
  <c r="AY900" i="9"/>
  <c r="AZ899" i="9"/>
  <c r="AW899" i="9"/>
  <c r="AX899" i="9"/>
  <c r="AY899" i="9"/>
  <c r="AW898" i="9"/>
  <c r="AX898" i="9"/>
  <c r="AY898" i="9"/>
  <c r="AZ898" i="9"/>
  <c r="AY897" i="9"/>
  <c r="AX897" i="9"/>
  <c r="AW897" i="9"/>
  <c r="AZ897" i="9"/>
  <c r="AW896" i="9"/>
  <c r="AZ896" i="9"/>
  <c r="AY896" i="9"/>
  <c r="AX896" i="9"/>
  <c r="AZ895" i="9"/>
  <c r="AY895" i="9"/>
  <c r="AX895" i="9"/>
  <c r="AW895" i="9"/>
  <c r="AZ894" i="9"/>
  <c r="AY894" i="9"/>
  <c r="AW894" i="9"/>
  <c r="AX894" i="9"/>
  <c r="AX893" i="9"/>
  <c r="AW893" i="9"/>
  <c r="AZ893" i="9"/>
  <c r="AY893" i="9"/>
  <c r="AW892" i="9"/>
  <c r="AX892" i="9"/>
  <c r="AY892" i="9"/>
  <c r="AZ892" i="9"/>
  <c r="AW891" i="9"/>
  <c r="AX891" i="9"/>
  <c r="AY891" i="9"/>
  <c r="AZ891" i="9"/>
  <c r="AW890" i="9"/>
  <c r="AX890" i="9"/>
  <c r="AY890" i="9"/>
  <c r="AZ890" i="9"/>
  <c r="AX889" i="9"/>
  <c r="AW889" i="9"/>
  <c r="AZ889" i="9"/>
  <c r="AY889" i="9"/>
  <c r="AX888" i="9"/>
  <c r="AY888" i="9"/>
  <c r="AZ888" i="9"/>
  <c r="AW888" i="9"/>
  <c r="AW887" i="9"/>
  <c r="AX887" i="9"/>
  <c r="AY887" i="9"/>
  <c r="AZ887" i="9"/>
  <c r="AX886" i="9"/>
  <c r="AW886" i="9"/>
  <c r="AZ886" i="9"/>
  <c r="AY886" i="9"/>
  <c r="AY885" i="9"/>
  <c r="AZ885" i="9"/>
  <c r="AX885" i="9"/>
  <c r="AW885" i="9"/>
  <c r="AZ884" i="9"/>
  <c r="AY884" i="9"/>
  <c r="AX884" i="9"/>
  <c r="AW884" i="9"/>
  <c r="AW883" i="9"/>
  <c r="AX883" i="9"/>
  <c r="AZ883" i="9"/>
  <c r="AY883" i="9"/>
  <c r="AX882" i="9"/>
  <c r="AZ882" i="9"/>
  <c r="AW882" i="9"/>
  <c r="AY882" i="9"/>
  <c r="AW881" i="9"/>
  <c r="AZ881" i="9"/>
  <c r="AY881" i="9"/>
  <c r="AX881" i="9"/>
  <c r="AX880" i="9"/>
  <c r="AY880" i="9"/>
  <c r="AZ880" i="9"/>
  <c r="AW880" i="9"/>
  <c r="AY879" i="9"/>
  <c r="AX879" i="9"/>
  <c r="AW879" i="9"/>
  <c r="AZ879" i="9"/>
  <c r="AW878" i="9"/>
  <c r="AZ878" i="9"/>
  <c r="AY878" i="9"/>
  <c r="AX878" i="9"/>
  <c r="AX877" i="9"/>
  <c r="AW877" i="9"/>
  <c r="AZ877" i="9"/>
  <c r="AY877" i="9"/>
  <c r="AZ876" i="9"/>
  <c r="AY876" i="9"/>
  <c r="AX876" i="9"/>
  <c r="AW876" i="9"/>
  <c r="AW875" i="9"/>
  <c r="AX875" i="9"/>
  <c r="AY875" i="9"/>
  <c r="AZ875" i="9"/>
  <c r="AY874" i="9"/>
  <c r="AX874" i="9"/>
  <c r="AW874" i="9"/>
  <c r="AZ874" i="9"/>
  <c r="AW873" i="9"/>
  <c r="AX873" i="9"/>
  <c r="AY873" i="9"/>
  <c r="AZ873" i="9"/>
  <c r="AW872" i="9"/>
  <c r="AX872" i="9"/>
  <c r="AY872" i="9"/>
  <c r="AZ872" i="9"/>
  <c r="AW871" i="9"/>
  <c r="AY871" i="9"/>
  <c r="AZ871" i="9"/>
  <c r="AX871" i="9"/>
  <c r="AY870" i="9"/>
  <c r="AX870" i="9"/>
  <c r="AW870" i="9"/>
  <c r="AZ870" i="9"/>
  <c r="AZ869" i="9"/>
  <c r="AY869" i="9"/>
  <c r="AX869" i="9"/>
  <c r="AW869" i="9"/>
  <c r="AZ868" i="9"/>
  <c r="AY868" i="9"/>
  <c r="AW868" i="9"/>
  <c r="AX868" i="9"/>
  <c r="AW867" i="9"/>
  <c r="AX867" i="9"/>
  <c r="AY867" i="9"/>
  <c r="AZ867" i="9"/>
  <c r="AW866" i="9"/>
  <c r="AX866" i="9"/>
  <c r="AY866" i="9"/>
  <c r="AZ866" i="9"/>
  <c r="AZ865" i="9"/>
  <c r="AY865" i="9"/>
  <c r="AW865" i="9"/>
  <c r="AX865" i="9"/>
  <c r="AZ864" i="9"/>
  <c r="AX864" i="9"/>
  <c r="AW864" i="9"/>
  <c r="AY864" i="9"/>
  <c r="AZ863" i="9"/>
  <c r="AY863" i="9"/>
  <c r="AX863" i="9"/>
  <c r="AW863" i="9"/>
  <c r="AZ862" i="9"/>
  <c r="AY862" i="9"/>
  <c r="AX862" i="9"/>
  <c r="AW862" i="9"/>
  <c r="AZ861" i="9"/>
  <c r="AY861" i="9"/>
  <c r="AX861" i="9"/>
  <c r="AW861" i="9"/>
  <c r="AZ860" i="9"/>
  <c r="AY860" i="9"/>
  <c r="AX860" i="9"/>
  <c r="AW860" i="9"/>
  <c r="AZ859" i="9"/>
  <c r="AY859" i="9"/>
  <c r="AX859" i="9"/>
  <c r="AW859" i="9"/>
  <c r="AZ858" i="9"/>
  <c r="AY858" i="9"/>
  <c r="AX858" i="9"/>
  <c r="AW858" i="9"/>
  <c r="AZ857" i="9"/>
  <c r="AY857" i="9"/>
  <c r="AX857" i="9"/>
  <c r="AW857" i="9"/>
  <c r="AZ856" i="9"/>
  <c r="AY856" i="9"/>
  <c r="AX856" i="9"/>
  <c r="AW856" i="9"/>
  <c r="AZ855" i="9"/>
  <c r="AX855" i="9"/>
  <c r="AW855" i="9"/>
  <c r="AY855" i="9"/>
  <c r="AZ854" i="9"/>
  <c r="AY854" i="9"/>
  <c r="AX854" i="9"/>
  <c r="AW854" i="9"/>
  <c r="AZ853" i="9"/>
  <c r="AY853" i="9"/>
  <c r="AX853" i="9"/>
  <c r="AW853" i="9"/>
  <c r="AX852" i="9"/>
  <c r="AW852" i="9"/>
  <c r="AZ852" i="9"/>
  <c r="AY852" i="9"/>
  <c r="AZ851" i="9"/>
  <c r="AX851" i="9"/>
  <c r="AW851" i="9"/>
  <c r="AY851" i="9"/>
  <c r="AY850" i="9"/>
  <c r="AZ850" i="9"/>
  <c r="AW850" i="9"/>
  <c r="AX850" i="9"/>
  <c r="AZ849" i="9"/>
  <c r="AY849" i="9"/>
  <c r="AX849" i="9"/>
  <c r="AW849" i="9"/>
  <c r="AZ848" i="9"/>
  <c r="AY848" i="9"/>
  <c r="AX848" i="9"/>
  <c r="AW848" i="9"/>
  <c r="AW847" i="9"/>
  <c r="AZ847" i="9"/>
  <c r="AY847" i="9"/>
  <c r="AX847" i="9"/>
  <c r="AY846" i="9"/>
  <c r="AZ846" i="9"/>
  <c r="AW846" i="9"/>
  <c r="AX846" i="9"/>
  <c r="AZ845" i="9"/>
  <c r="AY845" i="9"/>
  <c r="AW845" i="9"/>
  <c r="AX845" i="9"/>
  <c r="AW844" i="9"/>
  <c r="AX844" i="9"/>
  <c r="AY844" i="9"/>
  <c r="AZ844" i="9"/>
  <c r="AY843" i="9"/>
  <c r="AX843" i="9"/>
  <c r="AZ843" i="9"/>
  <c r="AW843" i="9"/>
  <c r="AW842" i="9"/>
  <c r="AZ842" i="9"/>
  <c r="AY842" i="9"/>
  <c r="AX842" i="9"/>
  <c r="AZ841" i="9"/>
  <c r="AY841" i="9"/>
  <c r="AX841" i="9"/>
  <c r="AW841" i="9"/>
  <c r="AW840" i="9"/>
  <c r="AX840" i="9"/>
  <c r="AY840" i="9"/>
  <c r="AZ840" i="9"/>
  <c r="AX839" i="9"/>
  <c r="AY839" i="9"/>
  <c r="AZ839" i="9"/>
  <c r="AW839" i="9"/>
  <c r="AW838" i="9"/>
  <c r="AZ838" i="9"/>
  <c r="AY838" i="9"/>
  <c r="AX838" i="9"/>
  <c r="AZ837" i="9"/>
  <c r="AY837" i="9"/>
  <c r="AX837" i="9"/>
  <c r="AW837" i="9"/>
  <c r="AZ836" i="9"/>
  <c r="AY836" i="9"/>
  <c r="AX836" i="9"/>
  <c r="AW836" i="9"/>
  <c r="AZ835" i="9"/>
  <c r="AY835" i="9"/>
  <c r="AX835" i="9"/>
  <c r="AW835" i="9"/>
  <c r="AX834" i="9"/>
  <c r="AW834" i="9"/>
  <c r="AZ834" i="9"/>
  <c r="AY834" i="9"/>
  <c r="AX833" i="9"/>
  <c r="AY833" i="9"/>
  <c r="AZ833" i="9"/>
  <c r="AW833" i="9"/>
  <c r="AZ832" i="9"/>
  <c r="AY832" i="9"/>
  <c r="AX832" i="9"/>
  <c r="AW832" i="9"/>
  <c r="AZ831" i="9"/>
  <c r="AY831" i="9"/>
  <c r="AX831" i="9"/>
  <c r="AW831" i="9"/>
  <c r="AW830" i="9"/>
  <c r="AZ830" i="9"/>
  <c r="AY830" i="9"/>
  <c r="AX830" i="9"/>
  <c r="AY829" i="9"/>
  <c r="AZ829" i="9"/>
  <c r="AW829" i="9"/>
  <c r="AX829" i="9"/>
  <c r="AY828" i="9"/>
  <c r="AW828" i="9"/>
  <c r="AX828" i="9"/>
  <c r="AZ828" i="9"/>
  <c r="AY827" i="9"/>
  <c r="AX827" i="9"/>
  <c r="AW827" i="9"/>
  <c r="AZ827" i="9"/>
  <c r="AW826" i="9"/>
  <c r="AX826" i="9"/>
  <c r="AY826" i="9"/>
  <c r="AZ826" i="9"/>
  <c r="AY825" i="9"/>
  <c r="AZ825" i="9"/>
  <c r="AX825" i="9"/>
  <c r="AW825" i="9"/>
  <c r="AW824" i="9"/>
  <c r="AZ824" i="9"/>
  <c r="AY824" i="9"/>
  <c r="AX824" i="9"/>
  <c r="AZ823" i="9"/>
  <c r="AY823" i="9"/>
  <c r="AX823" i="9"/>
  <c r="AW823" i="9"/>
  <c r="AW822" i="9"/>
  <c r="AZ822" i="9"/>
  <c r="AY822" i="9"/>
  <c r="AX822" i="9"/>
  <c r="AY821" i="9"/>
  <c r="AZ821" i="9"/>
  <c r="AX821" i="9"/>
  <c r="AW821" i="9"/>
  <c r="AZ820" i="9"/>
  <c r="AY820" i="9"/>
  <c r="AW820" i="9"/>
  <c r="AX820" i="9"/>
  <c r="AW819" i="9"/>
  <c r="AX819" i="9"/>
  <c r="AY819" i="9"/>
  <c r="AZ819" i="9"/>
  <c r="AY818" i="9"/>
  <c r="AZ818" i="9"/>
  <c r="AX818" i="9"/>
  <c r="AW818" i="9"/>
  <c r="AZ817" i="9"/>
  <c r="AY817" i="9"/>
  <c r="AX817" i="9"/>
  <c r="AW817" i="9"/>
  <c r="AZ816" i="9"/>
  <c r="AX816" i="9"/>
  <c r="AY816" i="9"/>
  <c r="AW816" i="9"/>
  <c r="AZ815" i="9"/>
  <c r="AY815" i="9"/>
  <c r="AX815" i="9"/>
  <c r="AW815" i="9"/>
  <c r="AZ814" i="9"/>
  <c r="AY814" i="9"/>
  <c r="AX814" i="9"/>
  <c r="AW814" i="9"/>
  <c r="AY813" i="9"/>
  <c r="AZ813" i="9"/>
  <c r="AX813" i="9"/>
  <c r="AW813" i="9"/>
  <c r="AY812" i="9"/>
  <c r="AX812" i="9"/>
  <c r="AZ812" i="9"/>
  <c r="AW812" i="9"/>
  <c r="AZ811" i="9"/>
  <c r="AY811" i="9"/>
  <c r="AX811" i="9"/>
  <c r="AW811" i="9"/>
  <c r="AX810" i="9"/>
  <c r="AY810" i="9"/>
  <c r="AZ810" i="9"/>
  <c r="AW810" i="9"/>
  <c r="K85" i="4"/>
  <c r="D85" i="4" s="1"/>
  <c r="E86" i="4"/>
  <c r="E89" i="4"/>
  <c r="AZ809" i="9"/>
  <c r="AY809" i="9"/>
  <c r="AX809" i="9"/>
  <c r="AW809" i="9"/>
  <c r="AZ808" i="9"/>
  <c r="AY808" i="9"/>
  <c r="AX808" i="9"/>
  <c r="AW808" i="9"/>
  <c r="AZ807" i="9"/>
  <c r="AW807" i="9"/>
  <c r="AX807" i="9"/>
  <c r="AY807" i="9"/>
  <c r="AW806" i="9"/>
  <c r="AX806" i="9"/>
  <c r="AY806" i="9"/>
  <c r="AZ806" i="9"/>
  <c r="AX805" i="9"/>
  <c r="AY805" i="9"/>
  <c r="AZ805" i="9"/>
  <c r="AW805" i="9"/>
  <c r="AW804" i="9"/>
  <c r="AX804" i="9"/>
  <c r="AY804" i="9"/>
  <c r="AZ804" i="9"/>
  <c r="AY803" i="9"/>
  <c r="AZ803" i="9"/>
  <c r="AW803" i="9"/>
  <c r="AX803" i="9"/>
  <c r="AZ802" i="9"/>
  <c r="AY802" i="9"/>
  <c r="AW802" i="9"/>
  <c r="AX802" i="9"/>
  <c r="AY801" i="9"/>
  <c r="AZ801" i="9"/>
  <c r="AX801" i="9"/>
  <c r="AW801" i="9"/>
  <c r="AY800" i="9"/>
  <c r="AX800" i="9"/>
  <c r="AW800" i="9"/>
  <c r="AZ800" i="9"/>
  <c r="AZ799" i="9"/>
  <c r="AY799" i="9"/>
  <c r="AX799" i="9"/>
  <c r="AW799" i="9"/>
  <c r="AY798" i="9"/>
  <c r="AX798" i="9"/>
  <c r="AW798" i="9"/>
  <c r="AZ798" i="9"/>
  <c r="AZ797" i="9"/>
  <c r="AY797" i="9"/>
  <c r="AX797" i="9"/>
  <c r="AW797" i="9"/>
  <c r="AZ796" i="9"/>
  <c r="AY796" i="9"/>
  <c r="AX796" i="9"/>
  <c r="AW796" i="9"/>
  <c r="AZ795" i="9"/>
  <c r="AY795" i="9"/>
  <c r="AX795" i="9"/>
  <c r="AW795" i="9"/>
  <c r="AZ794" i="9"/>
  <c r="AY794" i="9"/>
  <c r="AX794" i="9"/>
  <c r="AW794" i="9"/>
  <c r="AX793" i="9"/>
  <c r="AY793" i="9"/>
  <c r="AZ793" i="9"/>
  <c r="AW793" i="9"/>
  <c r="AY792" i="9"/>
  <c r="AZ792" i="9"/>
  <c r="AW792" i="9"/>
  <c r="AX792" i="9"/>
  <c r="AZ791" i="9"/>
  <c r="AY791" i="9"/>
  <c r="AX791" i="9"/>
  <c r="AW791" i="9"/>
  <c r="AY790" i="9"/>
  <c r="AZ790" i="9"/>
  <c r="AX790" i="9"/>
  <c r="AW790" i="9"/>
  <c r="AX789" i="9"/>
  <c r="AW789" i="9"/>
  <c r="AY789" i="9"/>
  <c r="AZ789" i="9"/>
  <c r="AX788" i="9"/>
  <c r="AY788" i="9"/>
  <c r="AZ788" i="9"/>
  <c r="AW788" i="9"/>
  <c r="AY787" i="9"/>
  <c r="AW787" i="9"/>
  <c r="AZ787" i="9"/>
  <c r="AX787" i="9"/>
  <c r="AZ786" i="9"/>
  <c r="AY786" i="9"/>
  <c r="AX786" i="9"/>
  <c r="AW786" i="9"/>
  <c r="AZ785" i="9"/>
  <c r="AY785" i="9"/>
  <c r="AX785" i="9"/>
  <c r="AW785" i="9"/>
  <c r="AW784" i="9"/>
  <c r="AX784" i="9"/>
  <c r="AY784" i="9"/>
  <c r="AZ784" i="9"/>
  <c r="AW783" i="9"/>
  <c r="AX783" i="9"/>
  <c r="AY783" i="9"/>
  <c r="AZ783" i="9"/>
  <c r="AY782" i="9"/>
  <c r="AZ782" i="9"/>
  <c r="AW782" i="9"/>
  <c r="AX782" i="9"/>
  <c r="AZ781" i="9"/>
  <c r="AW781" i="9"/>
  <c r="AY781" i="9"/>
  <c r="AX781" i="9"/>
  <c r="AX780" i="9"/>
  <c r="AW780" i="9"/>
  <c r="AZ780" i="9"/>
  <c r="AY780" i="9"/>
  <c r="AZ779" i="9"/>
  <c r="AW779" i="9"/>
  <c r="AY779" i="9"/>
  <c r="AX779" i="9"/>
  <c r="AY778" i="9"/>
  <c r="AX778" i="9"/>
  <c r="AW778" i="9"/>
  <c r="AZ778" i="9"/>
  <c r="AZ777" i="9"/>
  <c r="AY777" i="9"/>
  <c r="AX777" i="9"/>
  <c r="AW777" i="9"/>
  <c r="AZ776" i="9"/>
  <c r="AY776" i="9"/>
  <c r="AW776" i="9"/>
  <c r="AX776" i="9"/>
  <c r="AZ775" i="9"/>
  <c r="AX775" i="9"/>
  <c r="AW775" i="9"/>
  <c r="AY775" i="9"/>
  <c r="AZ774" i="9"/>
  <c r="AY774" i="9"/>
  <c r="AX774" i="9"/>
  <c r="AW774" i="9"/>
  <c r="AZ773" i="9"/>
  <c r="AY773" i="9"/>
  <c r="AX773" i="9"/>
  <c r="AW773" i="9"/>
  <c r="AY772" i="9"/>
  <c r="AZ772" i="9"/>
  <c r="AW772" i="9"/>
  <c r="AX772" i="9"/>
  <c r="AY771" i="9"/>
  <c r="AW771" i="9"/>
  <c r="AX771" i="9"/>
  <c r="AZ771" i="9"/>
  <c r="AW770" i="9"/>
  <c r="AX770" i="9"/>
  <c r="AZ770" i="9"/>
  <c r="AY770" i="9"/>
  <c r="AW769" i="9"/>
  <c r="AX769" i="9"/>
  <c r="AY769" i="9"/>
  <c r="AZ769" i="9"/>
  <c r="AW768" i="9"/>
  <c r="AX768" i="9"/>
  <c r="AY768" i="9"/>
  <c r="AZ768" i="9"/>
  <c r="AZ767" i="9"/>
  <c r="AW767" i="9"/>
  <c r="AX767" i="9"/>
  <c r="AY767" i="9"/>
  <c r="AY766" i="9"/>
  <c r="AZ766" i="9"/>
  <c r="AX766" i="9"/>
  <c r="AW766" i="9"/>
  <c r="AY765" i="9"/>
  <c r="AX765" i="9"/>
  <c r="AW765" i="9"/>
  <c r="AZ765" i="9"/>
  <c r="AX764" i="9"/>
  <c r="AW764" i="9"/>
  <c r="AY764" i="9"/>
  <c r="AZ764" i="9"/>
  <c r="AZ763" i="9"/>
  <c r="AY763" i="9"/>
  <c r="AX763" i="9"/>
  <c r="AW763" i="9"/>
  <c r="AX762" i="9"/>
  <c r="AW762" i="9"/>
  <c r="AZ762" i="9"/>
  <c r="AY762" i="9"/>
  <c r="AZ761" i="9"/>
  <c r="AY761" i="9"/>
  <c r="AX761" i="9"/>
  <c r="AW761" i="9"/>
  <c r="AZ760" i="9"/>
  <c r="AY760" i="9"/>
  <c r="AX760" i="9"/>
  <c r="AW760" i="9"/>
  <c r="AX759" i="9"/>
  <c r="AZ759" i="9"/>
  <c r="AY759" i="9"/>
  <c r="AW759" i="9"/>
  <c r="AW758" i="9"/>
  <c r="AX758" i="9"/>
  <c r="AY758" i="9"/>
  <c r="AZ758" i="9"/>
  <c r="AW757" i="9"/>
  <c r="AZ757" i="9"/>
  <c r="AY757" i="9"/>
  <c r="AX757" i="9"/>
  <c r="AY756" i="9"/>
  <c r="AX756" i="9"/>
  <c r="AW756" i="9"/>
  <c r="AZ756" i="9"/>
  <c r="AW755" i="9"/>
  <c r="AX755" i="9"/>
  <c r="AY755" i="9"/>
  <c r="AZ755" i="9"/>
  <c r="AX754" i="9"/>
  <c r="AZ754" i="9"/>
  <c r="AY754" i="9"/>
  <c r="AW754" i="9"/>
  <c r="AZ753" i="9"/>
  <c r="AY753" i="9"/>
  <c r="AX753" i="9"/>
  <c r="AW753" i="9"/>
  <c r="AZ752" i="9"/>
  <c r="AY752" i="9"/>
  <c r="AX752" i="9"/>
  <c r="AW752" i="9"/>
  <c r="AW751" i="9"/>
  <c r="AY751" i="9"/>
  <c r="AX751" i="9"/>
  <c r="AZ751" i="9"/>
  <c r="AZ750" i="9"/>
  <c r="AX750" i="9"/>
  <c r="AY750" i="9"/>
  <c r="AW750" i="9"/>
  <c r="AY749" i="9"/>
  <c r="AZ749" i="9"/>
  <c r="AX749" i="9"/>
  <c r="AW749" i="9"/>
  <c r="AY748" i="9"/>
  <c r="AX748" i="9"/>
  <c r="AW748" i="9"/>
  <c r="AZ748" i="9"/>
  <c r="AZ747" i="9"/>
  <c r="AY747" i="9"/>
  <c r="AX747" i="9"/>
  <c r="AW747" i="9"/>
  <c r="AZ746" i="9"/>
  <c r="AY746" i="9"/>
  <c r="AX746" i="9"/>
  <c r="AW746" i="9"/>
  <c r="AZ745" i="9"/>
  <c r="AY745" i="9"/>
  <c r="AX745" i="9"/>
  <c r="AW745" i="9"/>
  <c r="AZ744" i="9"/>
  <c r="AY744" i="9"/>
  <c r="AX744" i="9"/>
  <c r="AW744" i="9"/>
  <c r="AZ743" i="9"/>
  <c r="AY743" i="9"/>
  <c r="AX743" i="9"/>
  <c r="AW743" i="9"/>
  <c r="AZ742" i="9"/>
  <c r="AY742" i="9"/>
  <c r="AX742" i="9"/>
  <c r="AW742" i="9"/>
  <c r="AZ741" i="9"/>
  <c r="AY741" i="9"/>
  <c r="AX741" i="9"/>
  <c r="AW741" i="9"/>
  <c r="AZ740" i="9"/>
  <c r="AY740" i="9"/>
  <c r="AX740" i="9"/>
  <c r="AW740" i="9"/>
  <c r="AZ739" i="9"/>
  <c r="AY739" i="9"/>
  <c r="AX739" i="9"/>
  <c r="AW739" i="9"/>
  <c r="AZ738" i="9"/>
  <c r="AY738" i="9"/>
  <c r="AX738" i="9"/>
  <c r="AW738" i="9"/>
  <c r="AZ737" i="9"/>
  <c r="AY737" i="9"/>
  <c r="AX737" i="9"/>
  <c r="AW737" i="9"/>
  <c r="AZ736" i="9"/>
  <c r="AY736" i="9"/>
  <c r="AX736" i="9"/>
  <c r="AW736" i="9"/>
  <c r="AZ735" i="9"/>
  <c r="AY735" i="9"/>
  <c r="AX735" i="9"/>
  <c r="AW735" i="9"/>
  <c r="AZ734" i="9"/>
  <c r="AY734" i="9"/>
  <c r="AX734" i="9"/>
  <c r="AW734" i="9"/>
  <c r="AZ733" i="9"/>
  <c r="AY733" i="9"/>
  <c r="AX733" i="9"/>
  <c r="AW733" i="9"/>
  <c r="AZ732" i="9"/>
  <c r="AY732" i="9"/>
  <c r="AX732" i="9"/>
  <c r="AW732" i="9"/>
  <c r="AZ731" i="9"/>
  <c r="AY731" i="9"/>
  <c r="AX731" i="9"/>
  <c r="AW731" i="9"/>
  <c r="AZ730" i="9"/>
  <c r="AY730" i="9"/>
  <c r="AX730" i="9"/>
  <c r="AW730" i="9"/>
  <c r="AZ729" i="9"/>
  <c r="AY729" i="9"/>
  <c r="AX729" i="9"/>
  <c r="AW729" i="9"/>
  <c r="AZ728" i="9"/>
  <c r="AY728" i="9"/>
  <c r="AX728" i="9"/>
  <c r="AW728" i="9"/>
  <c r="AZ727" i="9"/>
  <c r="AY727" i="9"/>
  <c r="AX727" i="9"/>
  <c r="AW727" i="9"/>
  <c r="AZ726" i="9"/>
  <c r="AY726" i="9"/>
  <c r="AX726" i="9"/>
  <c r="AW726" i="9"/>
  <c r="AZ725" i="9"/>
  <c r="AY725" i="9"/>
  <c r="AX725" i="9"/>
  <c r="AW725" i="9"/>
  <c r="AZ724" i="9"/>
  <c r="AY724" i="9"/>
  <c r="AX724" i="9"/>
  <c r="AW724" i="9"/>
  <c r="AZ723" i="9"/>
  <c r="AY723" i="9"/>
  <c r="AX723" i="9"/>
  <c r="AW723" i="9"/>
  <c r="AZ722" i="9"/>
  <c r="AY722" i="9"/>
  <c r="AX722" i="9"/>
  <c r="AW722" i="9"/>
  <c r="AZ721" i="9"/>
  <c r="AY721" i="9"/>
  <c r="AX721" i="9"/>
  <c r="AW721" i="9"/>
  <c r="AZ720" i="9"/>
  <c r="AY720" i="9"/>
  <c r="AX720" i="9"/>
  <c r="AW720" i="9"/>
  <c r="AZ719" i="9"/>
  <c r="AY719" i="9"/>
  <c r="AX719" i="9"/>
  <c r="AW719" i="9"/>
  <c r="AZ718" i="9"/>
  <c r="AY718" i="9"/>
  <c r="AX718" i="9"/>
  <c r="AW718" i="9"/>
  <c r="AZ717" i="9"/>
  <c r="AY717" i="9"/>
  <c r="AX717" i="9"/>
  <c r="AW717" i="9"/>
  <c r="AZ716" i="9"/>
  <c r="AY716" i="9"/>
  <c r="AX716" i="9"/>
  <c r="AW716" i="9"/>
  <c r="AZ715" i="9"/>
  <c r="AY715" i="9"/>
  <c r="AX715" i="9"/>
  <c r="AW715" i="9"/>
  <c r="AZ714" i="9"/>
  <c r="AY714" i="9"/>
  <c r="AX714" i="9"/>
  <c r="AW714" i="9"/>
  <c r="AZ713" i="9"/>
  <c r="AY713" i="9"/>
  <c r="AX713" i="9"/>
  <c r="AW713" i="9"/>
  <c r="AZ712" i="9"/>
  <c r="AY712" i="9"/>
  <c r="AX712" i="9"/>
  <c r="AW712" i="9"/>
  <c r="AZ711" i="9"/>
  <c r="AY711" i="9"/>
  <c r="AX711" i="9"/>
  <c r="AW711" i="9"/>
  <c r="AZ710" i="9"/>
  <c r="AY710" i="9"/>
  <c r="AX710" i="9"/>
  <c r="AW710" i="9"/>
  <c r="AZ709" i="9"/>
  <c r="AY709" i="9"/>
  <c r="AX709" i="9"/>
  <c r="AW709" i="9"/>
  <c r="AZ708" i="9"/>
  <c r="AY708" i="9"/>
  <c r="AX708" i="9"/>
  <c r="AW708" i="9"/>
  <c r="AZ707" i="9"/>
  <c r="AY707" i="9"/>
  <c r="AX707" i="9"/>
  <c r="AW707" i="9"/>
  <c r="AZ706" i="9"/>
  <c r="AY706" i="9"/>
  <c r="AX706" i="9"/>
  <c r="AW706" i="9"/>
  <c r="AZ705" i="9"/>
  <c r="AY705" i="9"/>
  <c r="AX705" i="9"/>
  <c r="AW705" i="9"/>
  <c r="AZ704" i="9"/>
  <c r="AY704" i="9"/>
  <c r="AX704" i="9"/>
  <c r="AW704" i="9"/>
  <c r="AZ703" i="9"/>
  <c r="AY703" i="9"/>
  <c r="AX703" i="9"/>
  <c r="AW703" i="9"/>
  <c r="AZ702" i="9"/>
  <c r="AY702" i="9"/>
  <c r="AX702" i="9"/>
  <c r="AW702" i="9"/>
  <c r="AZ701" i="9"/>
  <c r="AY701" i="9"/>
  <c r="AX701" i="9"/>
  <c r="AW701" i="9"/>
  <c r="AZ700" i="9"/>
  <c r="AY700" i="9"/>
  <c r="AX700" i="9"/>
  <c r="AW700" i="9"/>
  <c r="AZ699" i="9"/>
  <c r="AY699" i="9"/>
  <c r="AX699" i="9"/>
  <c r="AW699" i="9"/>
  <c r="AZ698" i="9"/>
  <c r="AY698" i="9"/>
  <c r="AX698" i="9"/>
  <c r="AW698" i="9"/>
  <c r="AZ697" i="9"/>
  <c r="AY697" i="9"/>
  <c r="AX697" i="9"/>
  <c r="AW697" i="9"/>
  <c r="AZ696" i="9"/>
  <c r="AY696" i="9"/>
  <c r="AX696" i="9"/>
  <c r="AW696" i="9"/>
  <c r="AZ695" i="9"/>
  <c r="AY695" i="9"/>
  <c r="AX695" i="9"/>
  <c r="AW695" i="9"/>
  <c r="AZ694" i="9"/>
  <c r="AY694" i="9"/>
  <c r="AX694" i="9"/>
  <c r="AW694" i="9"/>
  <c r="AZ693" i="9"/>
  <c r="AY693" i="9"/>
  <c r="AX693" i="9"/>
  <c r="AW693" i="9"/>
  <c r="AZ692" i="9"/>
  <c r="AY692" i="9"/>
  <c r="AX692" i="9"/>
  <c r="AW692" i="9"/>
  <c r="AW691" i="9"/>
  <c r="AZ691" i="9"/>
  <c r="AY691" i="9"/>
  <c r="AX691" i="9"/>
  <c r="AW690" i="9"/>
  <c r="AX690" i="9"/>
  <c r="AZ690" i="9"/>
  <c r="AY690" i="9"/>
  <c r="AY689" i="9"/>
  <c r="AW689" i="9"/>
  <c r="AX689" i="9"/>
  <c r="AZ689" i="9"/>
  <c r="AW688" i="9"/>
  <c r="AX688" i="9"/>
  <c r="AY688" i="9"/>
  <c r="AZ688" i="9"/>
  <c r="AY687" i="9"/>
  <c r="AZ687" i="9"/>
  <c r="AX687" i="9"/>
  <c r="AW687" i="9"/>
  <c r="AX686" i="9"/>
  <c r="AW686" i="9"/>
  <c r="AY686" i="9"/>
  <c r="AZ686" i="9"/>
  <c r="AX685" i="9"/>
  <c r="AW685" i="9"/>
  <c r="AY685" i="9"/>
  <c r="AZ685" i="9"/>
  <c r="AW684" i="9"/>
  <c r="AZ684" i="9"/>
  <c r="AX684" i="9"/>
  <c r="AY684" i="9"/>
  <c r="AZ683" i="9"/>
  <c r="AY683" i="9"/>
  <c r="AX683" i="9"/>
  <c r="AW683" i="9"/>
  <c r="AW682" i="9"/>
  <c r="AZ682" i="9"/>
  <c r="AY682" i="9"/>
  <c r="AX682" i="9"/>
  <c r="AZ681" i="9"/>
  <c r="AY681" i="9"/>
  <c r="AX681" i="9"/>
  <c r="AW681" i="9"/>
  <c r="AY680" i="9"/>
  <c r="AX680" i="9"/>
  <c r="AW680" i="9"/>
  <c r="AZ680" i="9"/>
  <c r="AW679" i="9"/>
  <c r="AX679" i="9"/>
  <c r="AY679" i="9"/>
  <c r="AZ679" i="9"/>
  <c r="AZ678" i="9"/>
  <c r="AY678" i="9"/>
  <c r="AX678" i="9"/>
  <c r="AW678" i="9"/>
  <c r="AW677" i="9"/>
  <c r="AZ677" i="9"/>
  <c r="AY677" i="9"/>
  <c r="AX677" i="9"/>
  <c r="AZ676" i="9"/>
  <c r="AY676" i="9"/>
  <c r="AX676" i="9"/>
  <c r="AW676" i="9"/>
  <c r="AZ675" i="9"/>
  <c r="AY675" i="9"/>
  <c r="AX675" i="9"/>
  <c r="AW675" i="9"/>
  <c r="AZ674" i="9"/>
  <c r="AY674" i="9"/>
  <c r="AX674" i="9"/>
  <c r="AW674" i="9"/>
  <c r="AY673" i="9"/>
  <c r="AX673" i="9"/>
  <c r="AW673" i="9"/>
  <c r="AZ673" i="9"/>
  <c r="AZ672" i="9"/>
  <c r="AY672" i="9"/>
  <c r="AX672" i="9"/>
  <c r="AW672" i="9"/>
  <c r="AZ671" i="9"/>
  <c r="AW671" i="9"/>
  <c r="AX671" i="9"/>
  <c r="AY671" i="9"/>
  <c r="AZ670" i="9"/>
  <c r="AW670" i="9"/>
  <c r="AX670" i="9"/>
  <c r="AY670" i="9"/>
  <c r="AW669" i="9"/>
  <c r="AX669" i="9"/>
  <c r="AY669" i="9"/>
  <c r="AZ669" i="9"/>
  <c r="AW668" i="9"/>
  <c r="AY668" i="9"/>
  <c r="AX668" i="9"/>
  <c r="AZ668" i="9"/>
  <c r="AZ667" i="9"/>
  <c r="AW667" i="9"/>
  <c r="AX667" i="9"/>
  <c r="AY667" i="9"/>
  <c r="AZ666" i="9"/>
  <c r="AY666" i="9"/>
  <c r="AX666" i="9"/>
  <c r="AW666" i="9"/>
  <c r="AZ665" i="9"/>
  <c r="AY665" i="9"/>
  <c r="AX665" i="9"/>
  <c r="AW665" i="9"/>
  <c r="AZ664" i="9"/>
  <c r="AY664" i="9"/>
  <c r="AX664" i="9"/>
  <c r="AW664" i="9"/>
  <c r="AZ663" i="9"/>
  <c r="AX663" i="9"/>
  <c r="AW663" i="9"/>
  <c r="AY663" i="9"/>
  <c r="AW662" i="9"/>
  <c r="AX662" i="9"/>
  <c r="AY662" i="9"/>
  <c r="AZ662" i="9"/>
  <c r="AX661" i="9"/>
  <c r="AY661" i="9"/>
  <c r="AZ661" i="9"/>
  <c r="AW661" i="9"/>
  <c r="AZ660" i="9"/>
  <c r="AY660" i="9"/>
  <c r="AX660" i="9"/>
  <c r="AW660" i="9"/>
  <c r="AZ659" i="9"/>
  <c r="AY659" i="9"/>
  <c r="AW659" i="9"/>
  <c r="AX659" i="9"/>
  <c r="AY658" i="9"/>
  <c r="AX658" i="9"/>
  <c r="AW658" i="9"/>
  <c r="AZ658" i="9"/>
  <c r="AY657" i="9"/>
  <c r="AW657" i="9"/>
  <c r="AX657" i="9"/>
  <c r="AZ657" i="9"/>
  <c r="AZ656" i="9"/>
  <c r="AW656" i="9"/>
  <c r="AX656" i="9"/>
  <c r="AY656" i="9"/>
  <c r="AY655" i="9"/>
  <c r="AX655" i="9"/>
  <c r="AZ655" i="9"/>
  <c r="AW655" i="9"/>
  <c r="AZ654" i="9"/>
  <c r="AY654" i="9"/>
  <c r="AX654" i="9"/>
  <c r="AW654" i="9"/>
  <c r="AX653" i="9"/>
  <c r="AW653" i="9"/>
  <c r="AY653" i="9"/>
  <c r="AZ653" i="9"/>
  <c r="AX652" i="9"/>
  <c r="AZ652" i="9"/>
  <c r="AY652" i="9"/>
  <c r="AW652" i="9"/>
  <c r="AX651" i="9"/>
  <c r="AY651" i="9"/>
  <c r="AW651" i="9"/>
  <c r="AZ651" i="9"/>
  <c r="AZ650" i="9"/>
  <c r="AY650" i="9"/>
  <c r="AX650" i="9"/>
  <c r="AW650" i="9"/>
  <c r="AX649" i="9"/>
  <c r="AW649" i="9"/>
  <c r="AZ649" i="9"/>
  <c r="AY649" i="9"/>
  <c r="AY648" i="9"/>
  <c r="AZ648" i="9"/>
  <c r="AX648" i="9"/>
  <c r="AW648" i="9"/>
  <c r="AW647" i="9"/>
  <c r="AX647" i="9"/>
  <c r="AZ647" i="9"/>
  <c r="AY647" i="9"/>
  <c r="AY646" i="9"/>
  <c r="AX646" i="9"/>
  <c r="AW646" i="9"/>
  <c r="AZ646" i="9"/>
  <c r="AZ645" i="9"/>
  <c r="AX645" i="9"/>
  <c r="AW645" i="9"/>
  <c r="AY645" i="9"/>
  <c r="AW644" i="9"/>
  <c r="AX644" i="9"/>
  <c r="AY644" i="9"/>
  <c r="AZ644" i="9"/>
  <c r="AZ643" i="9"/>
  <c r="AY643" i="9"/>
  <c r="AX643" i="9"/>
  <c r="AW643" i="9"/>
  <c r="AZ642" i="9"/>
  <c r="AY642" i="9"/>
  <c r="AW642" i="9"/>
  <c r="AX642" i="9"/>
  <c r="AZ641" i="9"/>
  <c r="AY641" i="9"/>
  <c r="AX641" i="9"/>
  <c r="AW641" i="9"/>
  <c r="AZ640" i="9"/>
  <c r="AY640" i="9"/>
  <c r="AX640" i="9"/>
  <c r="AW640" i="9"/>
  <c r="AZ639" i="9"/>
  <c r="AY639" i="9"/>
  <c r="AX639" i="9"/>
  <c r="AW639" i="9"/>
  <c r="AZ638" i="9"/>
  <c r="AY638" i="9"/>
  <c r="AX638" i="9"/>
  <c r="AW638" i="9"/>
  <c r="AZ637" i="9"/>
  <c r="AY637" i="9"/>
  <c r="AX637" i="9"/>
  <c r="AW637" i="9"/>
  <c r="AX636" i="9"/>
  <c r="AW636" i="9"/>
  <c r="AY636" i="9"/>
  <c r="AZ636" i="9"/>
  <c r="AW635" i="9"/>
  <c r="AX635" i="9"/>
  <c r="AY635" i="9"/>
  <c r="AZ635" i="9"/>
  <c r="AX634" i="9"/>
  <c r="AY634" i="9"/>
  <c r="AZ634" i="9"/>
  <c r="AW634" i="9"/>
  <c r="AW633" i="9"/>
  <c r="AX633" i="9"/>
  <c r="AY633" i="9"/>
  <c r="AZ633" i="9"/>
  <c r="AW632" i="9"/>
  <c r="AX632" i="9"/>
  <c r="AY632" i="9"/>
  <c r="AZ632" i="9"/>
  <c r="AZ631" i="9"/>
  <c r="AY631" i="9"/>
  <c r="AW631" i="9"/>
  <c r="AX631" i="9"/>
  <c r="AW630" i="9"/>
  <c r="AX630" i="9"/>
  <c r="AY630" i="9"/>
  <c r="AZ630" i="9"/>
  <c r="AX629" i="9"/>
  <c r="AY629" i="9"/>
  <c r="AZ629" i="9"/>
  <c r="AW629" i="9"/>
  <c r="AY628" i="9"/>
  <c r="AX628" i="9"/>
  <c r="AW628" i="9"/>
  <c r="AZ628" i="9"/>
  <c r="AZ627" i="9"/>
  <c r="AX627" i="9"/>
  <c r="AW627" i="9"/>
  <c r="AY627" i="9"/>
  <c r="AZ626" i="9"/>
  <c r="AY626" i="9"/>
  <c r="AX626" i="9"/>
  <c r="AW626" i="9"/>
  <c r="AX625" i="9"/>
  <c r="AY625" i="9"/>
  <c r="AZ625" i="9"/>
  <c r="AW625" i="9"/>
  <c r="AY624" i="9"/>
  <c r="AX624" i="9"/>
  <c r="AW624" i="9"/>
  <c r="AZ624" i="9"/>
  <c r="AW623" i="9"/>
  <c r="AZ623" i="9"/>
  <c r="AY623" i="9"/>
  <c r="AX623" i="9"/>
  <c r="AY622" i="9"/>
  <c r="AX622" i="9"/>
  <c r="AW622" i="9"/>
  <c r="AZ622" i="9"/>
  <c r="AZ621" i="9"/>
  <c r="AX621" i="9"/>
  <c r="AW621" i="9"/>
  <c r="AY621" i="9"/>
  <c r="AZ620" i="9"/>
  <c r="AY620" i="9"/>
  <c r="AX620" i="9"/>
  <c r="AW620" i="9"/>
  <c r="AZ619" i="9"/>
  <c r="AW619" i="9"/>
  <c r="AX619" i="9"/>
  <c r="AY619" i="9"/>
  <c r="AZ618" i="9"/>
  <c r="AY618" i="9"/>
  <c r="AX618" i="9"/>
  <c r="AW618" i="9"/>
  <c r="AZ617" i="9"/>
  <c r="AY617" i="9"/>
  <c r="AX617" i="9"/>
  <c r="AW617" i="9"/>
  <c r="AY616" i="9"/>
  <c r="AX616" i="9"/>
  <c r="AW616" i="9"/>
  <c r="AZ616" i="9"/>
  <c r="AX615" i="9"/>
  <c r="AW615" i="9"/>
  <c r="AZ615" i="9"/>
  <c r="AY615" i="9"/>
  <c r="AZ614" i="9"/>
  <c r="AY614" i="9"/>
  <c r="AX614" i="9"/>
  <c r="AW614" i="9"/>
  <c r="AW613" i="9"/>
  <c r="AX613" i="9"/>
  <c r="AZ613" i="9"/>
  <c r="AY613" i="9"/>
  <c r="AZ612" i="9"/>
  <c r="AY612" i="9"/>
  <c r="AX612" i="9"/>
  <c r="AW612" i="9"/>
  <c r="AY611" i="9"/>
  <c r="AZ611" i="9"/>
  <c r="AX611" i="9"/>
  <c r="AW611" i="9"/>
  <c r="AW610" i="9"/>
  <c r="AZ610" i="9"/>
  <c r="AY610" i="9"/>
  <c r="AX610" i="9"/>
  <c r="AX609" i="9"/>
  <c r="AY609" i="9"/>
  <c r="AW609" i="9"/>
  <c r="AZ609" i="9"/>
  <c r="AW608" i="9"/>
  <c r="AX608" i="9"/>
  <c r="AY608" i="9"/>
  <c r="AZ608" i="9"/>
  <c r="AW607" i="9"/>
  <c r="AX607" i="9"/>
  <c r="AY607" i="9"/>
  <c r="AZ607" i="9"/>
  <c r="AW606" i="9"/>
  <c r="AZ606" i="9"/>
  <c r="AY606" i="9"/>
  <c r="AX606" i="9"/>
  <c r="AW605" i="9"/>
  <c r="AX605" i="9"/>
  <c r="AY605" i="9"/>
  <c r="AZ605" i="9"/>
  <c r="AW604" i="9"/>
  <c r="AX604" i="9"/>
  <c r="AZ604" i="9"/>
  <c r="AY604" i="9"/>
  <c r="AW603" i="9"/>
  <c r="AZ603" i="9"/>
  <c r="AX603" i="9"/>
  <c r="AY603" i="9"/>
  <c r="AZ602" i="9"/>
  <c r="AY602" i="9"/>
  <c r="AX602" i="9"/>
  <c r="AW602" i="9"/>
  <c r="AW601" i="9"/>
  <c r="AY601" i="9"/>
  <c r="AZ601" i="9"/>
  <c r="AX601" i="9"/>
  <c r="AW600" i="9"/>
  <c r="AX600" i="9"/>
  <c r="AY600" i="9"/>
  <c r="AZ600" i="9"/>
  <c r="AY599" i="9"/>
  <c r="AW599" i="9"/>
  <c r="AX599" i="9"/>
  <c r="AZ599" i="9"/>
  <c r="AY598" i="9"/>
  <c r="AX598" i="9"/>
  <c r="AW598" i="9"/>
  <c r="AZ598" i="9"/>
  <c r="AZ597" i="9"/>
  <c r="AY597" i="9"/>
  <c r="AX597" i="9"/>
  <c r="AW597" i="9"/>
  <c r="AZ596" i="9"/>
  <c r="AY596" i="9"/>
  <c r="AX596" i="9"/>
  <c r="AW596" i="9"/>
  <c r="AZ595" i="9"/>
  <c r="AY595" i="9"/>
  <c r="AX595" i="9"/>
  <c r="AW595" i="9"/>
  <c r="AZ594" i="9"/>
  <c r="AY594" i="9"/>
  <c r="AX594" i="9"/>
  <c r="AW594" i="9"/>
  <c r="AZ593" i="9"/>
  <c r="AY593" i="9"/>
  <c r="AX593" i="9"/>
  <c r="AW593" i="9"/>
  <c r="AY592" i="9"/>
  <c r="AZ592" i="9"/>
  <c r="AX592" i="9"/>
  <c r="AW592" i="9"/>
  <c r="AZ591" i="9"/>
  <c r="AY591" i="9"/>
  <c r="AX591" i="9"/>
  <c r="AW591" i="9"/>
  <c r="AZ590" i="9"/>
  <c r="AY590" i="9"/>
  <c r="AX590" i="9"/>
  <c r="AW590" i="9"/>
  <c r="AZ589" i="9"/>
  <c r="AY589" i="9"/>
  <c r="AX589" i="9"/>
  <c r="AW589" i="9"/>
  <c r="AZ588" i="9"/>
  <c r="AY588" i="9"/>
  <c r="AX588" i="9"/>
  <c r="AW588" i="9"/>
  <c r="AW587" i="9"/>
  <c r="AX587" i="9"/>
  <c r="AY587" i="9"/>
  <c r="AZ587" i="9"/>
  <c r="AW586" i="9"/>
  <c r="AX586" i="9"/>
  <c r="AY586" i="9"/>
  <c r="AZ586" i="9"/>
  <c r="AW585" i="9"/>
  <c r="AX585" i="9"/>
  <c r="AY585" i="9"/>
  <c r="AZ585" i="9"/>
  <c r="AZ584" i="9"/>
  <c r="AY584" i="9"/>
  <c r="AX584" i="9"/>
  <c r="AW584" i="9"/>
  <c r="AW583" i="9"/>
  <c r="AZ583" i="9"/>
  <c r="AY583" i="9"/>
  <c r="AX583" i="9"/>
  <c r="AZ582" i="9"/>
  <c r="AY582" i="9"/>
  <c r="AX582" i="9"/>
  <c r="AW582" i="9"/>
  <c r="AZ581" i="9"/>
  <c r="AY581" i="9"/>
  <c r="AX581" i="9"/>
  <c r="AW581" i="9"/>
  <c r="AZ580" i="9"/>
  <c r="AY580" i="9"/>
  <c r="AX580" i="9"/>
  <c r="AW580" i="9"/>
  <c r="AX579" i="9"/>
  <c r="AZ579" i="9"/>
  <c r="AY579" i="9"/>
  <c r="AW579" i="9"/>
  <c r="AZ578" i="9"/>
  <c r="AY578" i="9"/>
  <c r="AX578" i="9"/>
  <c r="AW578" i="9"/>
  <c r="AY577" i="9"/>
  <c r="AZ577" i="9"/>
  <c r="AX577" i="9"/>
  <c r="AW577" i="9"/>
  <c r="AX576" i="9"/>
  <c r="AZ576" i="9"/>
  <c r="AY576" i="9"/>
  <c r="AW576" i="9"/>
  <c r="AZ575" i="9"/>
  <c r="AY575" i="9"/>
  <c r="AX575" i="9"/>
  <c r="AW575" i="9"/>
  <c r="AW574" i="9"/>
  <c r="AZ574" i="9"/>
  <c r="AY574" i="9"/>
  <c r="AX574" i="9"/>
  <c r="AZ573" i="9"/>
  <c r="AY573" i="9"/>
  <c r="AX573" i="9"/>
  <c r="AW573" i="9"/>
  <c r="AZ572" i="9"/>
  <c r="AX572" i="9"/>
  <c r="AY572" i="9"/>
  <c r="AW572" i="9"/>
  <c r="AZ571" i="9"/>
  <c r="AY571" i="9"/>
  <c r="AX571" i="9"/>
  <c r="AW571" i="9"/>
  <c r="AZ570" i="9"/>
  <c r="AY570" i="9"/>
  <c r="AX570" i="9"/>
  <c r="AW570" i="9"/>
  <c r="AY569" i="9"/>
  <c r="AX569" i="9"/>
  <c r="AW569" i="9"/>
  <c r="AZ569" i="9"/>
  <c r="AX568" i="9"/>
  <c r="AZ568" i="9"/>
  <c r="AY568" i="9"/>
  <c r="AW568" i="9"/>
  <c r="AZ567" i="9"/>
  <c r="AY567" i="9"/>
  <c r="AX567" i="9"/>
  <c r="AW567" i="9"/>
  <c r="AY566" i="9"/>
  <c r="AX566" i="9"/>
  <c r="AW566" i="9"/>
  <c r="AZ566" i="9"/>
  <c r="AZ565" i="9"/>
  <c r="AY565" i="9"/>
  <c r="AX565" i="9"/>
  <c r="AW565" i="9"/>
  <c r="AY564" i="9"/>
  <c r="AX564" i="9"/>
  <c r="AW564" i="9"/>
  <c r="AZ564" i="9"/>
  <c r="AZ563" i="9"/>
  <c r="AY563" i="9"/>
  <c r="AX563" i="9"/>
  <c r="AW563" i="9"/>
  <c r="AX562" i="9"/>
  <c r="AZ562" i="9"/>
  <c r="AY562" i="9"/>
  <c r="AW562" i="9"/>
  <c r="AX561" i="9"/>
  <c r="AW561" i="9"/>
  <c r="AZ561" i="9"/>
  <c r="AY561" i="9"/>
  <c r="AY560" i="9"/>
  <c r="AZ560" i="9"/>
  <c r="AX560" i="9"/>
  <c r="AW560" i="9"/>
  <c r="AZ559" i="9"/>
  <c r="AY559" i="9"/>
  <c r="AX559" i="9"/>
  <c r="AW559" i="9"/>
  <c r="AZ558" i="9"/>
  <c r="AY558" i="9"/>
  <c r="AX558" i="9"/>
  <c r="AW558" i="9"/>
  <c r="AZ557" i="9"/>
  <c r="AY557" i="9"/>
  <c r="AX557" i="9"/>
  <c r="AW557" i="9"/>
  <c r="AW556" i="9"/>
  <c r="AX556" i="9"/>
  <c r="AY556" i="9"/>
  <c r="AZ556" i="9"/>
  <c r="AX555" i="9"/>
  <c r="AY555" i="9"/>
  <c r="AZ555" i="9"/>
  <c r="AW555" i="9"/>
  <c r="AZ554" i="9"/>
  <c r="AY554" i="9"/>
  <c r="AX554" i="9"/>
  <c r="AW554" i="9"/>
  <c r="AZ553" i="9"/>
  <c r="AY553" i="9"/>
  <c r="AX553" i="9"/>
  <c r="AW553" i="9"/>
  <c r="AW552" i="9"/>
  <c r="AZ552" i="9"/>
  <c r="AY552" i="9"/>
  <c r="AX552" i="9"/>
  <c r="AZ551" i="9"/>
  <c r="AY551" i="9"/>
  <c r="AX551" i="9"/>
  <c r="AW551" i="9"/>
  <c r="AX550" i="9"/>
  <c r="AY550" i="9"/>
  <c r="AW550" i="9"/>
  <c r="AZ550" i="9"/>
  <c r="AX549" i="9"/>
  <c r="AZ549" i="9"/>
  <c r="AY549" i="9"/>
  <c r="AW549" i="9"/>
  <c r="AZ548" i="9"/>
  <c r="AY548" i="9"/>
  <c r="AX548" i="9"/>
  <c r="AW548" i="9"/>
  <c r="AY547" i="9"/>
  <c r="AX547" i="9"/>
  <c r="AW547" i="9"/>
  <c r="AZ547" i="9"/>
  <c r="AW546" i="9"/>
  <c r="AX546" i="9"/>
  <c r="AY546" i="9"/>
  <c r="AZ546" i="9"/>
  <c r="AW545" i="9"/>
  <c r="AX545" i="9"/>
  <c r="AY545" i="9"/>
  <c r="AZ545" i="9"/>
  <c r="AW544" i="9"/>
  <c r="AX544" i="9"/>
  <c r="AZ544" i="9"/>
  <c r="AY544" i="9"/>
  <c r="AZ543" i="9"/>
  <c r="AY543" i="9"/>
  <c r="AX543" i="9"/>
  <c r="AW543" i="9"/>
  <c r="AZ542" i="9"/>
  <c r="AY542" i="9"/>
  <c r="AX542" i="9"/>
  <c r="AW542" i="9"/>
  <c r="AW541" i="9"/>
  <c r="AZ541" i="9"/>
  <c r="AY541" i="9"/>
  <c r="AX541" i="9"/>
  <c r="AY540" i="9"/>
  <c r="AW540" i="9"/>
  <c r="AX540" i="9"/>
  <c r="AZ540" i="9"/>
  <c r="AW539" i="9"/>
  <c r="AZ539" i="9"/>
  <c r="AY539" i="9"/>
  <c r="AX539" i="9"/>
  <c r="AZ538" i="9"/>
  <c r="AX538" i="9"/>
  <c r="AW538" i="9"/>
  <c r="AY538" i="9"/>
  <c r="AZ537" i="9"/>
  <c r="AY537" i="9"/>
  <c r="AX537" i="9"/>
  <c r="AW537" i="9"/>
  <c r="AZ536" i="9"/>
  <c r="AY536" i="9"/>
  <c r="AX536" i="9"/>
  <c r="AW536" i="9"/>
  <c r="AX535" i="9"/>
  <c r="AW535" i="9"/>
  <c r="AZ535" i="9"/>
  <c r="AY535" i="9"/>
  <c r="AW534" i="9"/>
  <c r="AX534" i="9"/>
  <c r="AY534" i="9"/>
  <c r="AZ534" i="9"/>
  <c r="AX533" i="9"/>
  <c r="AZ533" i="9"/>
  <c r="AY533" i="9"/>
  <c r="AW533" i="9"/>
  <c r="AZ532" i="9"/>
  <c r="AY532" i="9"/>
  <c r="AX532" i="9"/>
  <c r="AW532" i="9"/>
  <c r="AZ531" i="9"/>
  <c r="AY531" i="9"/>
  <c r="AX531" i="9"/>
  <c r="AW531" i="9"/>
  <c r="AY530" i="9"/>
  <c r="AZ530" i="9"/>
  <c r="AX530" i="9"/>
  <c r="AW530" i="9"/>
  <c r="AZ529" i="9"/>
  <c r="AY529" i="9"/>
  <c r="AX529" i="9"/>
  <c r="AW529" i="9"/>
  <c r="AZ528" i="9"/>
  <c r="AX528" i="9"/>
  <c r="AW528" i="9"/>
  <c r="AY528" i="9"/>
  <c r="AW527" i="9"/>
  <c r="AZ527" i="9"/>
  <c r="AY527" i="9"/>
  <c r="AX527" i="9"/>
  <c r="AW526" i="9"/>
  <c r="AX526" i="9"/>
  <c r="AY526" i="9"/>
  <c r="AZ526" i="9"/>
  <c r="AZ525" i="9"/>
  <c r="AY525" i="9"/>
  <c r="AX525" i="9"/>
  <c r="AW525" i="9"/>
  <c r="AW524" i="9"/>
  <c r="AY524" i="9"/>
  <c r="AX524" i="9"/>
  <c r="AZ524" i="9"/>
  <c r="AZ523" i="9"/>
  <c r="AY523" i="9"/>
  <c r="AX523" i="9"/>
  <c r="AW523" i="9"/>
  <c r="AZ522" i="9"/>
  <c r="AY522" i="9"/>
  <c r="AX522" i="9"/>
  <c r="AW522" i="9"/>
  <c r="AZ521" i="9"/>
  <c r="AY521" i="9"/>
  <c r="AX521" i="9"/>
  <c r="AW521" i="9"/>
  <c r="AX520" i="9"/>
  <c r="AZ520" i="9"/>
  <c r="AY520" i="9"/>
  <c r="AW520" i="9"/>
  <c r="AZ519" i="9"/>
  <c r="AX519" i="9"/>
  <c r="AY519" i="9"/>
  <c r="AW519" i="9"/>
  <c r="AZ518" i="9"/>
  <c r="AY518" i="9"/>
  <c r="AX518" i="9"/>
  <c r="AW518" i="9"/>
  <c r="AZ517" i="9"/>
  <c r="AY517" i="9"/>
  <c r="AX517" i="9"/>
  <c r="AW517" i="9"/>
  <c r="AW516" i="9"/>
  <c r="AZ516" i="9"/>
  <c r="AY516" i="9"/>
  <c r="AX516" i="9"/>
  <c r="AZ515" i="9"/>
  <c r="AX515" i="9"/>
  <c r="AY515" i="9"/>
  <c r="AW515" i="9"/>
  <c r="AX514" i="9"/>
  <c r="AW514" i="9"/>
  <c r="AZ514" i="9"/>
  <c r="AY514" i="9"/>
  <c r="AY513" i="9"/>
  <c r="AX513" i="9"/>
  <c r="AW513" i="9"/>
  <c r="AZ513" i="9"/>
  <c r="AW512" i="9"/>
  <c r="AY512" i="9"/>
  <c r="AZ512" i="9"/>
  <c r="AX512" i="9"/>
  <c r="AX511" i="9"/>
  <c r="AW511" i="9"/>
  <c r="AZ511" i="9"/>
  <c r="AY511" i="9"/>
  <c r="AZ510" i="9"/>
  <c r="AY510" i="9"/>
  <c r="AX510" i="9"/>
  <c r="AW510" i="9"/>
  <c r="AZ509" i="9"/>
  <c r="AW509" i="9"/>
  <c r="AY509" i="9"/>
  <c r="AX509" i="9"/>
  <c r="AW508" i="9"/>
  <c r="AX508" i="9"/>
  <c r="AY508" i="9"/>
  <c r="AZ508" i="9"/>
  <c r="AW507" i="9"/>
  <c r="AZ507" i="9"/>
  <c r="AX507" i="9"/>
  <c r="AY507" i="9"/>
  <c r="AX506" i="9"/>
  <c r="AY506" i="9"/>
  <c r="AZ506" i="9"/>
  <c r="AW506" i="9"/>
  <c r="AX505" i="9"/>
  <c r="AZ505" i="9"/>
  <c r="AY505" i="9"/>
  <c r="AW505" i="9"/>
  <c r="AZ504" i="9"/>
  <c r="AY504" i="9"/>
  <c r="AX504" i="9"/>
  <c r="AW504" i="9"/>
  <c r="AZ503" i="9"/>
  <c r="AY503" i="9"/>
  <c r="AX503" i="9"/>
  <c r="AW503" i="9"/>
  <c r="AY502" i="9"/>
  <c r="AZ502" i="9"/>
  <c r="AX502" i="9"/>
  <c r="AW502" i="9"/>
  <c r="AZ501" i="9"/>
  <c r="AY501" i="9"/>
  <c r="AX501" i="9"/>
  <c r="AW501" i="9"/>
  <c r="AW500" i="9"/>
  <c r="AZ500" i="9"/>
  <c r="AY500" i="9"/>
  <c r="AX500" i="9"/>
  <c r="AZ499" i="9"/>
  <c r="AY499" i="9"/>
  <c r="AX499" i="9"/>
  <c r="AW499" i="9"/>
  <c r="AX498" i="9"/>
  <c r="AY498" i="9"/>
  <c r="AZ498" i="9"/>
  <c r="AW498" i="9"/>
  <c r="AZ497" i="9"/>
  <c r="AY497" i="9"/>
  <c r="AX497" i="9"/>
  <c r="AW497" i="9"/>
  <c r="AZ496" i="9"/>
  <c r="AY496" i="9"/>
  <c r="AX496" i="9"/>
  <c r="AW496" i="9"/>
  <c r="AZ495" i="9"/>
  <c r="AY495" i="9"/>
  <c r="AX495" i="9"/>
  <c r="AW495" i="9"/>
  <c r="AZ494" i="9"/>
  <c r="AY494" i="9"/>
  <c r="AX494" i="9"/>
  <c r="AW494" i="9"/>
  <c r="AZ493" i="9"/>
  <c r="AX493" i="9"/>
  <c r="AW493" i="9"/>
  <c r="AY493" i="9"/>
  <c r="AZ492" i="9"/>
  <c r="AY492" i="9"/>
  <c r="AX492" i="9"/>
  <c r="AW492" i="9"/>
  <c r="AZ491" i="9"/>
  <c r="AY491" i="9"/>
  <c r="AX491" i="9"/>
  <c r="AW491" i="9"/>
  <c r="AY490" i="9"/>
  <c r="AW490" i="9"/>
  <c r="AX490" i="9"/>
  <c r="AZ490" i="9"/>
  <c r="AW489" i="9"/>
  <c r="AX489" i="9"/>
  <c r="AY489" i="9"/>
  <c r="AZ489" i="9"/>
  <c r="AW488" i="9"/>
  <c r="AX488" i="9"/>
  <c r="AY488" i="9"/>
  <c r="AZ488" i="9"/>
  <c r="AW487" i="9"/>
  <c r="AX487" i="9"/>
  <c r="AY487" i="9"/>
  <c r="AZ487" i="9"/>
  <c r="AW486" i="9"/>
  <c r="AX486" i="9"/>
  <c r="AY486" i="9"/>
  <c r="AZ486" i="9"/>
  <c r="AX485" i="9"/>
  <c r="AY485" i="9"/>
  <c r="AZ485" i="9"/>
  <c r="AW485" i="9"/>
  <c r="AY484" i="9"/>
  <c r="AX484" i="9"/>
  <c r="AZ484" i="9"/>
  <c r="AW484" i="9"/>
  <c r="AY483" i="9"/>
  <c r="AZ483" i="9"/>
  <c r="AX483" i="9"/>
  <c r="AW483" i="9"/>
  <c r="AW482" i="9"/>
  <c r="AZ482" i="9"/>
  <c r="AY482" i="9"/>
  <c r="AX482" i="9"/>
  <c r="AY481" i="9"/>
  <c r="AX481" i="9"/>
  <c r="AW481" i="9"/>
  <c r="AZ481" i="9"/>
  <c r="AZ480" i="9"/>
  <c r="AY480" i="9"/>
  <c r="AX480" i="9"/>
  <c r="AW480" i="9"/>
  <c r="AY479" i="9"/>
  <c r="AZ479" i="9"/>
  <c r="AX479" i="9"/>
  <c r="AW479" i="9"/>
  <c r="AY478" i="9"/>
  <c r="AZ478" i="9"/>
  <c r="AX478" i="9"/>
  <c r="AW478" i="9"/>
  <c r="AX477" i="9"/>
  <c r="AW477" i="9"/>
  <c r="AY477" i="9"/>
  <c r="AZ477" i="9"/>
  <c r="AZ476" i="9"/>
  <c r="AW476" i="9"/>
  <c r="AY476" i="9"/>
  <c r="AX476" i="9"/>
  <c r="AX475" i="9"/>
  <c r="AY475" i="9"/>
  <c r="AW475" i="9"/>
  <c r="AZ475" i="9"/>
  <c r="AZ474" i="9"/>
  <c r="AY474" i="9"/>
  <c r="AX474" i="9"/>
  <c r="AW474" i="9"/>
  <c r="AZ473" i="9"/>
  <c r="AY473" i="9"/>
  <c r="AX473" i="9"/>
  <c r="AW473" i="9"/>
  <c r="AZ472" i="9"/>
  <c r="AY472" i="9"/>
  <c r="AX472" i="9"/>
  <c r="AW472" i="9"/>
  <c r="AX471" i="9"/>
  <c r="AW471" i="9"/>
  <c r="AZ471" i="9"/>
  <c r="AY471" i="9"/>
  <c r="AZ470" i="9"/>
  <c r="AW470" i="9"/>
  <c r="AX470" i="9"/>
  <c r="AY470" i="9"/>
  <c r="AY469" i="9"/>
  <c r="AW469" i="9"/>
  <c r="AX469" i="9"/>
  <c r="AZ469" i="9"/>
  <c r="AY468" i="9"/>
  <c r="AZ468" i="9"/>
  <c r="AW468" i="9"/>
  <c r="AX468" i="9"/>
  <c r="AW467" i="9"/>
  <c r="AZ467" i="9"/>
  <c r="AX467" i="9"/>
  <c r="AY467" i="9"/>
  <c r="AZ466" i="9"/>
  <c r="AW466" i="9"/>
  <c r="AX466" i="9"/>
  <c r="AY466" i="9"/>
  <c r="AW465" i="9"/>
  <c r="AX465" i="9"/>
  <c r="AY465" i="9"/>
  <c r="AZ465" i="9"/>
  <c r="AY464" i="9"/>
  <c r="AW464" i="9"/>
  <c r="AX464" i="9"/>
  <c r="AZ464" i="9"/>
  <c r="AZ463" i="9"/>
  <c r="AW463" i="9"/>
  <c r="AX463" i="9"/>
  <c r="AY463" i="9"/>
  <c r="AW462" i="9"/>
  <c r="AX462" i="9"/>
  <c r="AZ462" i="9"/>
  <c r="AY462" i="9"/>
  <c r="AW461" i="9"/>
  <c r="AX461" i="9"/>
  <c r="AY461" i="9"/>
  <c r="AZ461" i="9"/>
  <c r="AZ460" i="9"/>
  <c r="AW460" i="9"/>
  <c r="AX460" i="9"/>
  <c r="AY460" i="9"/>
  <c r="AX459" i="9"/>
  <c r="AW459" i="9"/>
  <c r="AY459" i="9"/>
  <c r="AZ459" i="9"/>
  <c r="AX458" i="9"/>
  <c r="AY458" i="9"/>
  <c r="AZ458" i="9"/>
  <c r="AW458" i="9"/>
  <c r="AY457" i="9"/>
  <c r="AW457" i="9"/>
  <c r="AX457" i="9"/>
  <c r="AZ457" i="9"/>
  <c r="AY456" i="9"/>
  <c r="AZ456" i="9"/>
  <c r="AW456" i="9"/>
  <c r="AX456" i="9"/>
  <c r="AX455" i="9"/>
  <c r="AW455" i="9"/>
  <c r="AY455" i="9"/>
  <c r="AZ455" i="9"/>
  <c r="AZ454" i="9"/>
  <c r="AY454" i="9"/>
  <c r="AX454" i="9"/>
  <c r="AW454" i="9"/>
  <c r="AZ453" i="9"/>
  <c r="AW453" i="9"/>
  <c r="AX453" i="9"/>
  <c r="AY453" i="9"/>
  <c r="AW452" i="9"/>
  <c r="AZ452" i="9"/>
  <c r="AY452" i="9"/>
  <c r="AX452" i="9"/>
  <c r="AZ451" i="9"/>
  <c r="AY451" i="9"/>
  <c r="AX451" i="9"/>
  <c r="AW451" i="9"/>
  <c r="AX450" i="9"/>
  <c r="AZ450" i="9"/>
  <c r="AY450" i="9"/>
  <c r="AW450" i="9"/>
  <c r="AZ449" i="9"/>
  <c r="AY449" i="9"/>
  <c r="AX449" i="9"/>
  <c r="AW449" i="9"/>
  <c r="AY448" i="9"/>
  <c r="AX448" i="9"/>
  <c r="AW448" i="9"/>
  <c r="AZ448" i="9"/>
  <c r="AY447" i="9"/>
  <c r="AX447" i="9"/>
  <c r="AW447" i="9"/>
  <c r="AZ447" i="9"/>
  <c r="AZ446" i="9"/>
  <c r="AY446" i="9"/>
  <c r="AX446" i="9"/>
  <c r="AW446" i="9"/>
  <c r="AZ445" i="9"/>
  <c r="AX445" i="9"/>
  <c r="AW445" i="9"/>
  <c r="AY445" i="9"/>
  <c r="AZ444" i="9"/>
  <c r="AY444" i="9"/>
  <c r="AX444" i="9"/>
  <c r="AW444" i="9"/>
  <c r="AZ443" i="9"/>
  <c r="AY443" i="9"/>
  <c r="AX443" i="9"/>
  <c r="AW443" i="9"/>
  <c r="AZ442" i="9"/>
  <c r="AY442" i="9"/>
  <c r="AX442" i="9"/>
  <c r="AW442" i="9"/>
  <c r="AY441" i="9"/>
  <c r="AX441" i="9"/>
  <c r="AW441" i="9"/>
  <c r="AZ441" i="9"/>
  <c r="AY440" i="9"/>
  <c r="AX440" i="9"/>
  <c r="AW440" i="9"/>
  <c r="AZ440" i="9"/>
  <c r="AX439" i="9"/>
  <c r="AZ439" i="9"/>
  <c r="AY439" i="9"/>
  <c r="AW439" i="9"/>
  <c r="AZ438" i="9"/>
  <c r="AY438" i="9"/>
  <c r="AX438" i="9"/>
  <c r="AW438" i="9"/>
  <c r="AZ437" i="9"/>
  <c r="AY437" i="9"/>
  <c r="AX437" i="9"/>
  <c r="AW437" i="9"/>
  <c r="AZ436" i="9"/>
  <c r="AW436" i="9"/>
  <c r="AY436" i="9"/>
  <c r="AX436" i="9"/>
  <c r="AW435" i="9"/>
  <c r="AY435" i="9"/>
  <c r="AX435" i="9"/>
  <c r="AZ435" i="9"/>
  <c r="AY434" i="9"/>
  <c r="AZ434" i="9"/>
  <c r="AX434" i="9"/>
  <c r="AW434" i="9"/>
  <c r="AZ433" i="9"/>
  <c r="AY433" i="9"/>
  <c r="AX433" i="9"/>
  <c r="AW433" i="9"/>
  <c r="AX432" i="9"/>
  <c r="AZ432" i="9"/>
  <c r="AY432" i="9"/>
  <c r="AW432" i="9"/>
  <c r="AW431" i="9"/>
  <c r="AX431" i="9"/>
  <c r="AY431" i="9"/>
  <c r="AZ431" i="9"/>
  <c r="AW430" i="9"/>
  <c r="AZ430" i="9"/>
  <c r="AX430" i="9"/>
  <c r="AY430" i="9"/>
  <c r="AY429" i="9"/>
  <c r="AZ429" i="9"/>
  <c r="AX429" i="9"/>
  <c r="AW429" i="9"/>
  <c r="AZ428" i="9"/>
  <c r="AY428" i="9"/>
  <c r="AX428" i="9"/>
  <c r="AW428" i="9"/>
  <c r="AZ427" i="9"/>
  <c r="AY427" i="9"/>
  <c r="AX427" i="9"/>
  <c r="AW427" i="9"/>
  <c r="AY426" i="9"/>
  <c r="AZ426" i="9"/>
  <c r="AW426" i="9"/>
  <c r="AX426" i="9"/>
  <c r="AY425" i="9"/>
  <c r="AW425" i="9"/>
  <c r="AX425" i="9"/>
  <c r="AZ425" i="9"/>
  <c r="AY424" i="9"/>
  <c r="AX424" i="9"/>
  <c r="AW424" i="9"/>
  <c r="AZ424" i="9"/>
  <c r="AZ423" i="9"/>
  <c r="AY423" i="9"/>
  <c r="AX423" i="9"/>
  <c r="AW423" i="9"/>
  <c r="AZ422" i="9"/>
  <c r="AY422" i="9"/>
  <c r="AX422" i="9"/>
  <c r="AW422" i="9"/>
  <c r="AZ421" i="9"/>
  <c r="AY421" i="9"/>
  <c r="AX421" i="9"/>
  <c r="AW421" i="9"/>
  <c r="AW420" i="9"/>
  <c r="AY420" i="9"/>
  <c r="AZ420" i="9"/>
  <c r="AX420" i="9"/>
  <c r="AZ419" i="9"/>
  <c r="AY419" i="9"/>
  <c r="AX419" i="9"/>
  <c r="AW419" i="9"/>
  <c r="AZ418" i="9"/>
  <c r="AY418" i="9"/>
  <c r="AX418" i="9"/>
  <c r="AW418" i="9"/>
  <c r="AZ417" i="9"/>
  <c r="AY417" i="9"/>
  <c r="AX417" i="9"/>
  <c r="AW417" i="9"/>
  <c r="AZ416" i="9"/>
  <c r="AY416" i="9"/>
  <c r="AX416" i="9"/>
  <c r="AW416" i="9"/>
  <c r="AZ415" i="9"/>
  <c r="AY415" i="9"/>
  <c r="AX415" i="9"/>
  <c r="AW415" i="9"/>
  <c r="AZ414" i="9"/>
  <c r="AY414" i="9"/>
  <c r="AX414" i="9"/>
  <c r="AW414" i="9"/>
  <c r="AZ413" i="9"/>
  <c r="AY413" i="9"/>
  <c r="AX413" i="9"/>
  <c r="AW413" i="9"/>
  <c r="AZ412" i="9"/>
  <c r="AY412" i="9"/>
  <c r="AX412" i="9"/>
  <c r="AW412" i="9"/>
  <c r="AZ411" i="9"/>
  <c r="AY411" i="9"/>
  <c r="AX411" i="9"/>
  <c r="AW411" i="9"/>
  <c r="AZ410" i="9"/>
  <c r="AY410" i="9"/>
  <c r="AX410" i="9"/>
  <c r="AW410" i="9"/>
  <c r="AZ409" i="9"/>
  <c r="AX409" i="9"/>
  <c r="AW409" i="9"/>
  <c r="AY409" i="9"/>
  <c r="AY408" i="9"/>
  <c r="AX408" i="9"/>
  <c r="AW408" i="9"/>
  <c r="AZ408" i="9"/>
  <c r="AZ407" i="9"/>
  <c r="AY407" i="9"/>
  <c r="AX407" i="9"/>
  <c r="AW407" i="9"/>
  <c r="AY406" i="9"/>
  <c r="AX406" i="9"/>
  <c r="AW406" i="9"/>
  <c r="AZ406" i="9"/>
  <c r="AZ405" i="9"/>
  <c r="AY405" i="9"/>
  <c r="AX405" i="9"/>
  <c r="AW405" i="9"/>
  <c r="AZ404" i="9"/>
  <c r="AY404" i="9"/>
  <c r="AX404" i="9"/>
  <c r="AW404" i="9"/>
  <c r="AZ403" i="9"/>
  <c r="AY403" i="9"/>
  <c r="AX403" i="9"/>
  <c r="AW403" i="9"/>
  <c r="AZ402" i="9"/>
  <c r="AY402" i="9"/>
  <c r="AX402" i="9"/>
  <c r="AW402" i="9"/>
  <c r="AZ401" i="9"/>
  <c r="AY401" i="9"/>
  <c r="AX401" i="9"/>
  <c r="AW401" i="9"/>
  <c r="AZ400" i="9"/>
  <c r="AY400" i="9"/>
  <c r="AX400" i="9"/>
  <c r="AW400" i="9"/>
  <c r="AY399" i="9"/>
  <c r="AX399" i="9"/>
  <c r="AW399" i="9"/>
  <c r="AZ399" i="9"/>
  <c r="AZ398" i="9"/>
  <c r="AY398" i="9"/>
  <c r="AX398" i="9"/>
  <c r="AW398" i="9"/>
  <c r="AY397" i="9"/>
  <c r="AX397" i="9"/>
  <c r="AW397" i="9"/>
  <c r="AZ397" i="9"/>
  <c r="AZ396" i="9"/>
  <c r="AY396" i="9"/>
  <c r="AX396" i="9"/>
  <c r="AW396" i="9"/>
  <c r="AY395" i="9"/>
  <c r="AX395" i="9"/>
  <c r="AW395" i="9"/>
  <c r="AZ395" i="9"/>
  <c r="AZ394" i="9"/>
  <c r="AY394" i="9"/>
  <c r="AX394" i="9"/>
  <c r="AW394" i="9"/>
  <c r="AZ393" i="9"/>
  <c r="AX393" i="9"/>
  <c r="AW393" i="9"/>
  <c r="AY393" i="9"/>
  <c r="AZ392" i="9"/>
  <c r="AY392" i="9"/>
  <c r="AX392" i="9"/>
  <c r="AW392" i="9"/>
  <c r="AZ391" i="9"/>
  <c r="AY391" i="9"/>
  <c r="AX391" i="9"/>
  <c r="AW391" i="9"/>
  <c r="AZ390" i="9"/>
  <c r="AY390" i="9"/>
  <c r="AX390" i="9"/>
  <c r="AW390" i="9"/>
  <c r="AZ389" i="9"/>
  <c r="AY389" i="9"/>
  <c r="AX389" i="9"/>
  <c r="AW389" i="9"/>
  <c r="AZ388" i="9"/>
  <c r="AY388" i="9"/>
  <c r="AX388" i="9"/>
  <c r="AW388" i="9"/>
  <c r="AZ387" i="9"/>
  <c r="AY387" i="9"/>
  <c r="AX387" i="9"/>
  <c r="AW387" i="9"/>
  <c r="AZ386" i="9"/>
  <c r="AY386" i="9"/>
  <c r="AX386" i="9"/>
  <c r="AW386" i="9"/>
  <c r="AZ385" i="9"/>
  <c r="AY385" i="9"/>
  <c r="AX385" i="9"/>
  <c r="AW385" i="9"/>
  <c r="AZ384" i="9"/>
  <c r="AY384" i="9"/>
  <c r="AX384" i="9"/>
  <c r="AW384" i="9"/>
  <c r="AZ383" i="9"/>
  <c r="AY383" i="9"/>
  <c r="AX383" i="9"/>
  <c r="AW383" i="9"/>
  <c r="AZ382" i="9"/>
  <c r="AY382" i="9"/>
  <c r="AX382" i="9"/>
  <c r="AW382" i="9"/>
  <c r="AZ381" i="9"/>
  <c r="AY381" i="9"/>
  <c r="AX381" i="9"/>
  <c r="AW381" i="9"/>
  <c r="AZ380" i="9"/>
  <c r="AY380" i="9"/>
  <c r="AX380" i="9"/>
  <c r="AW380" i="9"/>
  <c r="AZ379" i="9"/>
  <c r="AY379" i="9"/>
  <c r="AX379" i="9"/>
  <c r="AW379" i="9"/>
  <c r="AZ378" i="9"/>
  <c r="AY378" i="9"/>
  <c r="AX378" i="9"/>
  <c r="AW378" i="9"/>
  <c r="AZ377" i="9"/>
  <c r="AY377" i="9"/>
  <c r="AX377" i="9"/>
  <c r="AW377" i="9"/>
  <c r="AZ376" i="9"/>
  <c r="AY376" i="9"/>
  <c r="AX376" i="9"/>
  <c r="AW376" i="9"/>
  <c r="AZ375" i="9"/>
  <c r="AY375" i="9"/>
  <c r="AX375" i="9"/>
  <c r="AW375" i="9"/>
  <c r="AZ374" i="9"/>
  <c r="AY374" i="9"/>
  <c r="AX374" i="9"/>
  <c r="AW374" i="9"/>
  <c r="AZ373" i="9"/>
  <c r="AY373" i="9"/>
  <c r="AX373" i="9"/>
  <c r="AW373" i="9"/>
  <c r="AZ372" i="9"/>
  <c r="AY372" i="9"/>
  <c r="AX372" i="9"/>
  <c r="AW372" i="9"/>
  <c r="AZ371" i="9"/>
  <c r="AY371" i="9"/>
  <c r="AX371" i="9"/>
  <c r="AW371" i="9"/>
  <c r="AZ370" i="9"/>
  <c r="AY370" i="9"/>
  <c r="AX370" i="9"/>
  <c r="AW370" i="9"/>
  <c r="AZ369" i="9"/>
  <c r="AY369" i="9"/>
  <c r="AX369" i="9"/>
  <c r="AW369" i="9"/>
  <c r="AZ368" i="9"/>
  <c r="AY368" i="9"/>
  <c r="AX368" i="9"/>
  <c r="AW368" i="9"/>
  <c r="AZ367" i="9"/>
  <c r="AY367" i="9"/>
  <c r="AX367" i="9"/>
  <c r="AW367" i="9"/>
  <c r="AZ366" i="9"/>
  <c r="AY366" i="9"/>
  <c r="AX366" i="9"/>
  <c r="AW366" i="9"/>
  <c r="AZ365" i="9"/>
  <c r="AY365" i="9"/>
  <c r="AX365" i="9"/>
  <c r="AW365" i="9"/>
  <c r="AZ364" i="9"/>
  <c r="AY364" i="9"/>
  <c r="AX364" i="9"/>
  <c r="AW364" i="9"/>
  <c r="AZ363" i="9"/>
  <c r="AY363" i="9"/>
  <c r="AX363" i="9"/>
  <c r="AW363" i="9"/>
  <c r="AZ362" i="9"/>
  <c r="AY362" i="9"/>
  <c r="AX362" i="9"/>
  <c r="AW362" i="9"/>
  <c r="AZ361" i="9"/>
  <c r="AY361" i="9"/>
  <c r="AX361" i="9"/>
  <c r="AW361" i="9"/>
  <c r="AZ360" i="9"/>
  <c r="AY360" i="9"/>
  <c r="AX360" i="9"/>
  <c r="AW360" i="9"/>
  <c r="AX359" i="9"/>
  <c r="AZ359" i="9"/>
  <c r="AY359" i="9"/>
  <c r="AW359" i="9"/>
  <c r="AZ358" i="9"/>
  <c r="AY358" i="9"/>
  <c r="AX358" i="9"/>
  <c r="AW358" i="9"/>
  <c r="AZ357" i="9"/>
  <c r="AY357" i="9"/>
  <c r="AX357" i="9"/>
  <c r="AW357" i="9"/>
  <c r="AZ356" i="9"/>
  <c r="AY356" i="9"/>
  <c r="AX356" i="9"/>
  <c r="AW356" i="9"/>
  <c r="AZ355" i="9"/>
  <c r="AY355" i="9"/>
  <c r="AX355" i="9"/>
  <c r="AW355" i="9"/>
  <c r="AZ354" i="9"/>
  <c r="AY354" i="9"/>
  <c r="AX354" i="9"/>
  <c r="AW354" i="9"/>
  <c r="I105" i="4"/>
  <c r="E96" i="4"/>
  <c r="K113" i="4"/>
  <c r="D113" i="4" s="1"/>
  <c r="I112" i="4"/>
  <c r="I111" i="4"/>
  <c r="I110" i="4"/>
  <c r="E109" i="4"/>
  <c r="K108" i="4"/>
  <c r="D108" i="4" s="1"/>
  <c r="I107" i="4"/>
  <c r="E106" i="4"/>
  <c r="K105" i="4"/>
  <c r="D105" i="4" s="1"/>
  <c r="K104" i="4"/>
  <c r="D104" i="4" s="1"/>
  <c r="I103" i="4"/>
  <c r="I101" i="4"/>
  <c r="E100" i="4"/>
  <c r="I100" i="4"/>
  <c r="K98" i="4"/>
  <c r="D98" i="4" s="1"/>
  <c r="E99" i="4"/>
  <c r="I98" i="4"/>
  <c r="K91" i="4"/>
  <c r="D91" i="4" s="1"/>
  <c r="I96" i="4"/>
  <c r="K95" i="4"/>
  <c r="D95" i="4" s="1"/>
  <c r="K93" i="4"/>
  <c r="D93" i="4" s="1"/>
  <c r="E93" i="4"/>
  <c r="E91" i="4"/>
  <c r="I90" i="4"/>
  <c r="I88" i="4"/>
  <c r="K87" i="4"/>
  <c r="D87" i="4" s="1"/>
  <c r="E87" i="4"/>
  <c r="I86" i="4"/>
  <c r="K89" i="4"/>
  <c r="D89" i="4" s="1"/>
  <c r="E113" i="4"/>
  <c r="E112" i="4"/>
  <c r="K111" i="4"/>
  <c r="D111" i="4" s="1"/>
  <c r="E110" i="4"/>
  <c r="K109" i="4"/>
  <c r="D109" i="4" s="1"/>
  <c r="I108" i="4"/>
  <c r="E102" i="4"/>
  <c r="E107" i="4"/>
  <c r="I106" i="4"/>
  <c r="K114" i="4"/>
  <c r="D114" i="4" s="1"/>
  <c r="K112" i="4"/>
  <c r="D112" i="4" s="1"/>
  <c r="E111" i="4"/>
  <c r="K110" i="4"/>
  <c r="D110" i="4" s="1"/>
  <c r="I109" i="4"/>
  <c r="E108" i="4"/>
  <c r="K107" i="4"/>
  <c r="D107" i="4" s="1"/>
  <c r="K106" i="4"/>
  <c r="D106" i="4" s="1"/>
  <c r="E105" i="4"/>
  <c r="E104" i="4"/>
  <c r="E103" i="4"/>
  <c r="I102" i="4"/>
  <c r="K99" i="4"/>
  <c r="D99" i="4" s="1"/>
  <c r="E98" i="4"/>
  <c r="I97" i="4"/>
  <c r="I95" i="4"/>
  <c r="K94" i="4"/>
  <c r="D94" i="4" s="1"/>
  <c r="K92" i="4"/>
  <c r="D92" i="4" s="1"/>
  <c r="E92" i="4"/>
  <c r="E90" i="4"/>
  <c r="I104" i="4"/>
  <c r="K103" i="4"/>
  <c r="D103" i="4" s="1"/>
  <c r="K102" i="4"/>
  <c r="D102" i="4" s="1"/>
  <c r="K101" i="4"/>
  <c r="D101" i="4" s="1"/>
  <c r="E101" i="4"/>
  <c r="K100" i="4"/>
  <c r="D100" i="4" s="1"/>
  <c r="I99" i="4"/>
  <c r="K97" i="4"/>
  <c r="D97" i="4" s="1"/>
  <c r="E97" i="4"/>
  <c r="E95" i="4"/>
  <c r="I94" i="4"/>
  <c r="I92" i="4"/>
  <c r="K96" i="4"/>
  <c r="D96" i="4" s="1"/>
  <c r="K86" i="4"/>
  <c r="D86" i="4" s="1"/>
  <c r="I87" i="4"/>
  <c r="E88" i="4"/>
  <c r="K88" i="4"/>
  <c r="D88" i="4" s="1"/>
  <c r="K90" i="4"/>
  <c r="D90" i="4" s="1"/>
  <c r="I91" i="4"/>
  <c r="I93" i="4"/>
  <c r="E94" i="4"/>
  <c r="AY353" i="9"/>
  <c r="AX353" i="9"/>
  <c r="AW353" i="9"/>
  <c r="AZ353" i="9"/>
  <c r="AX352" i="9"/>
  <c r="AW352" i="9"/>
  <c r="AZ352" i="9"/>
  <c r="AY352" i="9"/>
  <c r="AX351" i="9"/>
  <c r="AZ351" i="9"/>
  <c r="AY351" i="9"/>
  <c r="AW351" i="9"/>
  <c r="AZ350" i="9"/>
  <c r="AY350" i="9"/>
  <c r="AX350" i="9"/>
  <c r="AW350" i="9"/>
  <c r="AZ349" i="9"/>
  <c r="AY349" i="9"/>
  <c r="AX349" i="9"/>
  <c r="AW349" i="9"/>
  <c r="AW348" i="9"/>
  <c r="AX348" i="9"/>
  <c r="AY348" i="9"/>
  <c r="AZ348" i="9"/>
  <c r="AW347" i="9"/>
  <c r="AX347" i="9"/>
  <c r="AY347" i="9"/>
  <c r="AZ347" i="9"/>
  <c r="AX346" i="9"/>
  <c r="AY346" i="9"/>
  <c r="AZ346" i="9"/>
  <c r="AW346" i="9"/>
  <c r="AZ345" i="9"/>
  <c r="AY345" i="9"/>
  <c r="AX345" i="9"/>
  <c r="AW345" i="9"/>
  <c r="AZ344" i="9"/>
  <c r="AY344" i="9"/>
  <c r="AX344" i="9"/>
  <c r="AW344" i="9"/>
  <c r="AZ343" i="9"/>
  <c r="AY343" i="9"/>
  <c r="AX343" i="9"/>
  <c r="AW343" i="9"/>
  <c r="AW342" i="9"/>
  <c r="AX342" i="9"/>
  <c r="AZ342" i="9"/>
  <c r="AY342" i="9"/>
  <c r="AW341" i="9"/>
  <c r="AX341" i="9"/>
  <c r="AY341" i="9"/>
  <c r="AZ341" i="9"/>
  <c r="AZ340" i="9"/>
  <c r="AW340" i="9"/>
  <c r="AX340" i="9"/>
  <c r="AY340" i="9"/>
  <c r="AZ339" i="9"/>
  <c r="AY339" i="9"/>
  <c r="AX339" i="9"/>
  <c r="AW339" i="9"/>
  <c r="AY338" i="9"/>
  <c r="AX338" i="9"/>
  <c r="AW338" i="9"/>
  <c r="AZ338" i="9"/>
  <c r="AW337" i="9"/>
  <c r="AZ337" i="9"/>
  <c r="AY337" i="9"/>
  <c r="AX337" i="9"/>
  <c r="AZ336" i="9"/>
  <c r="AY336" i="9"/>
  <c r="AX336" i="9"/>
  <c r="AW336" i="9"/>
  <c r="AY335" i="9"/>
  <c r="AW335" i="9"/>
  <c r="AX335" i="9"/>
  <c r="AZ335" i="9"/>
  <c r="AZ334" i="9"/>
  <c r="AW334" i="9"/>
  <c r="AY334" i="9"/>
  <c r="AX334" i="9"/>
  <c r="AZ333" i="9"/>
  <c r="AY333" i="9"/>
  <c r="AW333" i="9"/>
  <c r="AX333" i="9"/>
  <c r="AZ332" i="9"/>
  <c r="AY332" i="9"/>
  <c r="AX332" i="9"/>
  <c r="AW332" i="9"/>
  <c r="AY331" i="9"/>
  <c r="AZ331" i="9"/>
  <c r="AW331" i="9"/>
  <c r="AX331" i="9"/>
  <c r="AZ330" i="9"/>
  <c r="AY330" i="9"/>
  <c r="AX330" i="9"/>
  <c r="AW330" i="9"/>
  <c r="AY329" i="9"/>
  <c r="AZ329" i="9"/>
  <c r="AX329" i="9"/>
  <c r="AW329" i="9"/>
  <c r="AW328" i="9"/>
  <c r="AX328" i="9"/>
  <c r="AY328" i="9"/>
  <c r="AZ328" i="9"/>
  <c r="AX327" i="9"/>
  <c r="AY327" i="9"/>
  <c r="AZ327" i="9"/>
  <c r="AW327" i="9"/>
  <c r="AX326" i="9"/>
  <c r="AY326" i="9"/>
  <c r="AZ326" i="9"/>
  <c r="AW326" i="9"/>
  <c r="AW325" i="9"/>
  <c r="AX325" i="9"/>
  <c r="AY325" i="9"/>
  <c r="AZ325" i="9"/>
  <c r="AY324" i="9"/>
  <c r="AX324" i="9"/>
  <c r="AW324" i="9"/>
  <c r="AZ324" i="9"/>
  <c r="AZ323" i="9"/>
  <c r="AY323" i="9"/>
  <c r="AX323" i="9"/>
  <c r="AW323" i="9"/>
  <c r="AZ322" i="9"/>
  <c r="AX322" i="9"/>
  <c r="AY322" i="9"/>
  <c r="AW322" i="9"/>
  <c r="AZ321" i="9"/>
  <c r="AW321" i="9"/>
  <c r="AX321" i="9"/>
  <c r="AY321" i="9"/>
  <c r="AW320" i="9"/>
  <c r="AY320" i="9"/>
  <c r="AZ320" i="9"/>
  <c r="AX320" i="9"/>
  <c r="AW319" i="9"/>
  <c r="AX319" i="9"/>
  <c r="AY319" i="9"/>
  <c r="AZ319" i="9"/>
  <c r="AZ318" i="9"/>
  <c r="AW318" i="9"/>
  <c r="AY318" i="9"/>
  <c r="AX318" i="9"/>
  <c r="AW317" i="9"/>
  <c r="AX317" i="9"/>
  <c r="AY317" i="9"/>
  <c r="AZ317" i="9"/>
  <c r="AZ316" i="9"/>
  <c r="AX316" i="9"/>
  <c r="AY316" i="9"/>
  <c r="AW316" i="9"/>
  <c r="AY315" i="9"/>
  <c r="AZ315" i="9"/>
  <c r="AX315" i="9"/>
  <c r="AW315" i="9"/>
  <c r="AX314" i="9"/>
  <c r="AY314" i="9"/>
  <c r="AZ314" i="9"/>
  <c r="AW314" i="9"/>
  <c r="AW313" i="9"/>
  <c r="AX313" i="9"/>
  <c r="AZ313" i="9"/>
  <c r="AY313" i="9"/>
  <c r="AW312" i="9"/>
  <c r="AX312" i="9"/>
  <c r="AZ312" i="9"/>
  <c r="AY312" i="9"/>
  <c r="AY311" i="9"/>
  <c r="AZ311" i="9"/>
  <c r="AW311" i="9"/>
  <c r="AX311" i="9"/>
  <c r="AX310" i="9"/>
  <c r="AW310" i="9"/>
  <c r="AZ310" i="9"/>
  <c r="AY310" i="9"/>
  <c r="AX309" i="9"/>
  <c r="AW309" i="9"/>
  <c r="AZ309" i="9"/>
  <c r="AY309" i="9"/>
  <c r="AY308" i="9"/>
  <c r="AZ308" i="9"/>
  <c r="AX308" i="9"/>
  <c r="AW308" i="9"/>
  <c r="AY307" i="9"/>
  <c r="AX307" i="9"/>
  <c r="AW307" i="9"/>
  <c r="AZ307" i="9"/>
  <c r="AY306" i="9"/>
  <c r="AZ306" i="9"/>
  <c r="AX306" i="9"/>
  <c r="AW306" i="9"/>
  <c r="AZ305" i="9"/>
  <c r="AY305" i="9"/>
  <c r="AX305" i="9"/>
  <c r="AW305" i="9"/>
  <c r="AY304" i="9"/>
  <c r="AZ304" i="9"/>
  <c r="AX304" i="9"/>
  <c r="AW304" i="9"/>
  <c r="AY303" i="9"/>
  <c r="AW303" i="9"/>
  <c r="AX303" i="9"/>
  <c r="AZ303" i="9"/>
  <c r="AW302" i="9"/>
  <c r="AX302" i="9"/>
  <c r="AY302" i="9"/>
  <c r="AZ302" i="9"/>
  <c r="AY301" i="9"/>
  <c r="AZ301" i="9"/>
  <c r="AW301" i="9"/>
  <c r="AX301" i="9"/>
  <c r="AY300" i="9"/>
  <c r="AZ300" i="9"/>
  <c r="AX300" i="9"/>
  <c r="AW300" i="9"/>
  <c r="AY299" i="9"/>
  <c r="AX299" i="9"/>
  <c r="AW299" i="9"/>
  <c r="AZ299" i="9"/>
  <c r="AZ298" i="9"/>
  <c r="AX298" i="9"/>
  <c r="AW298" i="9"/>
  <c r="AY298" i="9"/>
  <c r="AY297" i="9"/>
  <c r="AX297" i="9"/>
  <c r="AW297" i="9"/>
  <c r="AZ297" i="9"/>
  <c r="AX296" i="9"/>
  <c r="AY296" i="9"/>
  <c r="AZ296" i="9"/>
  <c r="AW296" i="9"/>
  <c r="AX295" i="9"/>
  <c r="AY295" i="9"/>
  <c r="AZ295" i="9"/>
  <c r="AW295" i="9"/>
  <c r="AW294" i="9"/>
  <c r="AX294" i="9"/>
  <c r="AY294" i="9"/>
  <c r="AZ294" i="9"/>
  <c r="AW293" i="9"/>
  <c r="AX293" i="9"/>
  <c r="AZ293" i="9"/>
  <c r="AY293" i="9"/>
  <c r="AZ292" i="9"/>
  <c r="AY292" i="9"/>
  <c r="AW292" i="9"/>
  <c r="AX292" i="9"/>
  <c r="AY291" i="9"/>
  <c r="AZ291" i="9"/>
  <c r="AW291" i="9"/>
  <c r="AX291" i="9"/>
  <c r="AY290" i="9"/>
  <c r="AX290" i="9"/>
  <c r="AW290" i="9"/>
  <c r="AZ290" i="9"/>
  <c r="AZ289" i="9"/>
  <c r="AY289" i="9"/>
  <c r="AX289" i="9"/>
  <c r="AW289" i="9"/>
  <c r="AW288" i="9"/>
  <c r="AX288" i="9"/>
  <c r="AY288" i="9"/>
  <c r="AZ288" i="9"/>
  <c r="AW287" i="9"/>
  <c r="AX287" i="9"/>
  <c r="AY287" i="9"/>
  <c r="AZ287" i="9"/>
  <c r="AZ286" i="9"/>
  <c r="AX286" i="9"/>
  <c r="AW286" i="9"/>
  <c r="AY286" i="9"/>
  <c r="AZ285" i="9"/>
  <c r="AY285" i="9"/>
  <c r="AX285" i="9"/>
  <c r="AW285" i="9"/>
  <c r="AZ284" i="9"/>
  <c r="AY284" i="9"/>
  <c r="AX284" i="9"/>
  <c r="AW284" i="9"/>
  <c r="AZ283" i="9"/>
  <c r="AY283" i="9"/>
  <c r="AX283" i="9"/>
  <c r="AW283" i="9"/>
  <c r="AZ282" i="9"/>
  <c r="AX282" i="9"/>
  <c r="AY282" i="9"/>
  <c r="AW282" i="9"/>
  <c r="AZ281" i="9"/>
  <c r="AY281" i="9"/>
  <c r="AX281" i="9"/>
  <c r="AW281" i="9"/>
  <c r="AZ280" i="9"/>
  <c r="AY280" i="9"/>
  <c r="AX280" i="9"/>
  <c r="AW280" i="9"/>
  <c r="AY279" i="9"/>
  <c r="AZ279" i="9"/>
  <c r="AX279" i="9"/>
  <c r="AW279" i="9"/>
  <c r="AZ278" i="9"/>
  <c r="AY278" i="9"/>
  <c r="AX278" i="9"/>
  <c r="AW278" i="9"/>
  <c r="AZ277" i="9"/>
  <c r="AY277" i="9"/>
  <c r="AX277" i="9"/>
  <c r="AW277" i="9"/>
  <c r="AZ276" i="9"/>
  <c r="AX276" i="9"/>
  <c r="AY276" i="9"/>
  <c r="AW276" i="9"/>
  <c r="AZ275" i="9"/>
  <c r="AY275" i="9"/>
  <c r="AX275" i="9"/>
  <c r="AW275" i="9"/>
  <c r="AZ274" i="9"/>
  <c r="AY274" i="9"/>
  <c r="AX274" i="9"/>
  <c r="AW274" i="9"/>
  <c r="AW273" i="9"/>
  <c r="AX273" i="9"/>
  <c r="AY273" i="9"/>
  <c r="AZ273" i="9"/>
  <c r="AZ272" i="9"/>
  <c r="AY272" i="9"/>
  <c r="AX272" i="9"/>
  <c r="AW272" i="9"/>
  <c r="AZ271" i="9"/>
  <c r="AY271" i="9"/>
  <c r="AX271" i="9"/>
  <c r="AW271" i="9"/>
  <c r="AZ270" i="9"/>
  <c r="AX270" i="9"/>
  <c r="AY270" i="9"/>
  <c r="AW270" i="9"/>
  <c r="AZ269" i="9"/>
  <c r="AY269" i="9"/>
  <c r="AX269" i="9"/>
  <c r="AW269" i="9"/>
  <c r="AW268" i="9"/>
  <c r="AZ268" i="9"/>
  <c r="AY268" i="9"/>
  <c r="AX268" i="9"/>
  <c r="AW267" i="9"/>
  <c r="AX267" i="9"/>
  <c r="AY267" i="9"/>
  <c r="AZ267" i="9"/>
  <c r="AW266" i="9"/>
  <c r="AX266" i="9"/>
  <c r="AY266" i="9"/>
  <c r="AZ266" i="9"/>
  <c r="AW265" i="9"/>
  <c r="AX265" i="9"/>
  <c r="AY265" i="9"/>
  <c r="AZ265" i="9"/>
  <c r="AW264" i="9"/>
  <c r="AY264" i="9"/>
  <c r="AZ264" i="9"/>
  <c r="AX264" i="9"/>
  <c r="AZ263" i="9"/>
  <c r="AW263" i="9"/>
  <c r="AX263" i="9"/>
  <c r="AY263" i="9"/>
  <c r="AW262" i="9"/>
  <c r="AZ262" i="9"/>
  <c r="AY262" i="9"/>
  <c r="AX262" i="9"/>
  <c r="AX261" i="9"/>
  <c r="AY261" i="9"/>
  <c r="AZ261" i="9"/>
  <c r="AW261" i="9"/>
  <c r="AX260" i="9"/>
  <c r="AW260" i="9"/>
  <c r="AZ260" i="9"/>
  <c r="AY260" i="9"/>
  <c r="AX259" i="9"/>
  <c r="AY259" i="9"/>
  <c r="AZ259" i="9"/>
  <c r="AW259" i="9"/>
  <c r="AX258" i="9"/>
  <c r="AW258" i="9"/>
  <c r="AZ258" i="9"/>
  <c r="AY258" i="9"/>
  <c r="AZ257" i="9"/>
  <c r="AY257" i="9"/>
  <c r="AX257" i="9"/>
  <c r="AW257" i="9"/>
  <c r="AZ256" i="9"/>
  <c r="AY256" i="9"/>
  <c r="AW256" i="9"/>
  <c r="AX256" i="9"/>
  <c r="AZ255" i="9"/>
  <c r="AY255" i="9"/>
  <c r="AX255" i="9"/>
  <c r="AW255" i="9"/>
  <c r="AZ254" i="9"/>
  <c r="AY254" i="9"/>
  <c r="AX254" i="9"/>
  <c r="AW254" i="9"/>
  <c r="AZ253" i="9"/>
  <c r="AY253" i="9"/>
  <c r="AX253" i="9"/>
  <c r="AW253" i="9"/>
  <c r="AW252" i="9"/>
  <c r="AX252" i="9"/>
  <c r="AY252" i="9"/>
  <c r="AZ252" i="9"/>
  <c r="AX251" i="9"/>
  <c r="AY251" i="9"/>
  <c r="AZ251" i="9"/>
  <c r="AW251" i="9"/>
  <c r="AY250" i="9"/>
  <c r="AZ250" i="9"/>
  <c r="AW250" i="9"/>
  <c r="AX250" i="9"/>
  <c r="AY249" i="9"/>
  <c r="AZ249" i="9"/>
  <c r="AW249" i="9"/>
  <c r="AX249" i="9"/>
  <c r="AW248" i="9"/>
  <c r="AX248" i="9"/>
  <c r="AY248" i="9"/>
  <c r="AZ248" i="9"/>
  <c r="AZ247" i="9"/>
  <c r="AW247" i="9"/>
  <c r="AX247" i="9"/>
  <c r="AY247" i="9"/>
  <c r="AW246" i="9"/>
  <c r="AX246" i="9"/>
  <c r="AY246" i="9"/>
  <c r="AZ246" i="9"/>
  <c r="AY245" i="9"/>
  <c r="AZ245" i="9"/>
  <c r="AW245" i="9"/>
  <c r="AX245" i="9"/>
  <c r="AY244" i="9"/>
  <c r="AZ244" i="9"/>
  <c r="AW244" i="9"/>
  <c r="AX244" i="9"/>
  <c r="AW243" i="9"/>
  <c r="AX243" i="9"/>
  <c r="AY243" i="9"/>
  <c r="AZ243" i="9"/>
  <c r="AW242" i="9"/>
  <c r="AX242" i="9"/>
  <c r="AY242" i="9"/>
  <c r="AZ242" i="9"/>
  <c r="AZ241" i="9"/>
  <c r="AW241" i="9"/>
  <c r="AX241" i="9"/>
  <c r="AY241" i="9"/>
  <c r="AX240" i="9"/>
  <c r="AY240" i="9"/>
  <c r="AZ240" i="9"/>
  <c r="AW240" i="9"/>
  <c r="AW239" i="9"/>
  <c r="AX239" i="9"/>
  <c r="AZ239" i="9"/>
  <c r="AY239" i="9"/>
  <c r="AX238" i="9"/>
  <c r="AW238" i="9"/>
  <c r="AY238" i="9"/>
  <c r="AZ238" i="9"/>
  <c r="AW237" i="9"/>
  <c r="AX237" i="9"/>
  <c r="AY237" i="9"/>
  <c r="AZ237" i="9"/>
  <c r="AW236" i="9"/>
  <c r="AZ236" i="9"/>
  <c r="AX236" i="9"/>
  <c r="AY236" i="9"/>
  <c r="AW235" i="9"/>
  <c r="AX235" i="9"/>
  <c r="AY235" i="9"/>
  <c r="AZ235" i="9"/>
  <c r="AW234" i="9"/>
  <c r="AX234" i="9"/>
  <c r="AZ234" i="9"/>
  <c r="AY234" i="9"/>
  <c r="AX233" i="9"/>
  <c r="AZ233" i="9"/>
  <c r="AY233" i="9"/>
  <c r="AW233" i="9"/>
  <c r="AZ232" i="9"/>
  <c r="AY232" i="9"/>
  <c r="AX232" i="9"/>
  <c r="AW232" i="9"/>
  <c r="AW231" i="9"/>
  <c r="AY231" i="9"/>
  <c r="AZ231" i="9"/>
  <c r="AX231" i="9"/>
  <c r="AW230" i="9"/>
  <c r="AX230" i="9"/>
  <c r="AY230" i="9"/>
  <c r="AZ230" i="9"/>
  <c r="AX229" i="9"/>
  <c r="AY229" i="9"/>
  <c r="AZ229" i="9"/>
  <c r="AW229" i="9"/>
  <c r="AZ228" i="9"/>
  <c r="AW228" i="9"/>
  <c r="AY228" i="9"/>
  <c r="AX228" i="9"/>
  <c r="AX227" i="9"/>
  <c r="AY227" i="9"/>
  <c r="AZ227" i="9"/>
  <c r="AW227" i="9"/>
  <c r="AZ226" i="9"/>
  <c r="AY226" i="9"/>
  <c r="AX226" i="9"/>
  <c r="AW226" i="9"/>
  <c r="AZ225" i="9"/>
  <c r="AY225" i="9"/>
  <c r="AX225" i="9"/>
  <c r="AW225" i="9"/>
  <c r="AX224" i="9"/>
  <c r="AW224" i="9"/>
  <c r="AZ224" i="9"/>
  <c r="AY224" i="9"/>
  <c r="AW223" i="9"/>
  <c r="AX223" i="9"/>
  <c r="AY223" i="9"/>
  <c r="AZ223" i="9"/>
  <c r="AW222" i="9"/>
  <c r="AX222" i="9"/>
  <c r="AY222" i="9"/>
  <c r="AZ222" i="9"/>
  <c r="AW221" i="9"/>
  <c r="AX221" i="9"/>
  <c r="AY221" i="9"/>
  <c r="AZ221" i="9"/>
  <c r="AW220" i="9"/>
  <c r="AY220" i="9"/>
  <c r="AZ220" i="9"/>
  <c r="AX220" i="9"/>
  <c r="AX219" i="9"/>
  <c r="AZ219" i="9"/>
  <c r="AY219" i="9"/>
  <c r="AW219" i="9"/>
  <c r="AZ218" i="9"/>
  <c r="AY218" i="9"/>
  <c r="AX218" i="9"/>
  <c r="AW218" i="9"/>
  <c r="AW217" i="9"/>
  <c r="AX217" i="9"/>
  <c r="AZ217" i="9"/>
  <c r="AY217" i="9"/>
  <c r="AW216" i="9"/>
  <c r="AX216" i="9"/>
  <c r="AY216" i="9"/>
  <c r="AZ216" i="9"/>
  <c r="AW215" i="9"/>
  <c r="AX215" i="9"/>
  <c r="AZ215" i="9"/>
  <c r="AY215" i="9"/>
  <c r="AW214" i="9"/>
  <c r="AX214" i="9"/>
  <c r="AY214" i="9"/>
  <c r="AZ214" i="9"/>
  <c r="AZ213" i="9"/>
  <c r="AW213" i="9"/>
  <c r="AX213" i="9"/>
  <c r="AY213" i="9"/>
  <c r="AX212" i="9"/>
  <c r="AZ212" i="9"/>
  <c r="AY212" i="9"/>
  <c r="AW212" i="9"/>
  <c r="AZ211" i="9"/>
  <c r="AY211" i="9"/>
  <c r="AX211" i="9"/>
  <c r="AW211" i="9"/>
  <c r="AZ210" i="9"/>
  <c r="AY210" i="9"/>
  <c r="AX210" i="9"/>
  <c r="AW210" i="9"/>
  <c r="AZ209" i="9"/>
  <c r="AY209" i="9"/>
  <c r="AX209" i="9"/>
  <c r="AW209" i="9"/>
  <c r="AZ208" i="9"/>
  <c r="AY208" i="9"/>
  <c r="AX208" i="9"/>
  <c r="AW208" i="9"/>
  <c r="AZ207" i="9"/>
  <c r="AY207" i="9"/>
  <c r="AX207" i="9"/>
  <c r="AW207" i="9"/>
  <c r="AZ206" i="9"/>
  <c r="AY206" i="9"/>
  <c r="AX206" i="9"/>
  <c r="AW206" i="9"/>
  <c r="AZ205" i="9"/>
  <c r="AY205" i="9"/>
  <c r="AX205" i="9"/>
  <c r="AW205" i="9"/>
  <c r="AZ204" i="9"/>
  <c r="AY204" i="9"/>
  <c r="AX204" i="9"/>
  <c r="AW204" i="9"/>
  <c r="AZ203" i="9"/>
  <c r="AY203" i="9"/>
  <c r="AX203" i="9"/>
  <c r="AW203" i="9"/>
  <c r="AZ202" i="9"/>
  <c r="AY202" i="9"/>
  <c r="AX202" i="9"/>
  <c r="AW202" i="9"/>
  <c r="AZ201" i="9"/>
  <c r="AY201" i="9"/>
  <c r="AX201" i="9"/>
  <c r="AW201" i="9"/>
  <c r="AZ200" i="9"/>
  <c r="AY200" i="9"/>
  <c r="AX200" i="9"/>
  <c r="AW200" i="9"/>
  <c r="AZ199" i="9"/>
  <c r="AY199" i="9"/>
  <c r="AX199" i="9"/>
  <c r="AW199" i="9"/>
  <c r="AZ198" i="9"/>
  <c r="AY198" i="9"/>
  <c r="AX198" i="9"/>
  <c r="AW198" i="9"/>
  <c r="AZ197" i="9"/>
  <c r="AY197" i="9"/>
  <c r="AX197" i="9"/>
  <c r="AW197" i="9"/>
  <c r="AZ196" i="9"/>
  <c r="AY196" i="9"/>
  <c r="AX196" i="9"/>
  <c r="AW196" i="9"/>
  <c r="AZ195" i="9"/>
  <c r="AY195" i="9"/>
  <c r="AX195" i="9"/>
  <c r="AW195" i="9"/>
  <c r="AX194" i="9"/>
  <c r="AZ194" i="9"/>
  <c r="AY194" i="9"/>
  <c r="AW194" i="9"/>
  <c r="AY193" i="9"/>
  <c r="AW193" i="9"/>
  <c r="AX193" i="9"/>
  <c r="AZ193" i="9"/>
  <c r="AX192" i="9"/>
  <c r="AW192" i="9"/>
  <c r="AZ192" i="9"/>
  <c r="AY192" i="9"/>
  <c r="AZ191" i="9"/>
  <c r="AY191" i="9"/>
  <c r="AW191" i="9"/>
  <c r="AX191" i="9"/>
  <c r="AW190" i="9"/>
  <c r="AX190" i="9"/>
  <c r="AY190" i="9"/>
  <c r="AZ190" i="9"/>
  <c r="AW189" i="9"/>
  <c r="AX189" i="9"/>
  <c r="AY189" i="9"/>
  <c r="AZ189" i="9"/>
  <c r="AW188" i="9"/>
  <c r="AX188" i="9"/>
  <c r="AY188" i="9"/>
  <c r="AZ188" i="9"/>
  <c r="AW187" i="9"/>
  <c r="AX187" i="9"/>
  <c r="AY187" i="9"/>
  <c r="AZ187" i="9"/>
  <c r="AZ186" i="9"/>
  <c r="AW186" i="9"/>
  <c r="AY186" i="9"/>
  <c r="AX186" i="9"/>
  <c r="AZ185" i="9"/>
  <c r="AY185" i="9"/>
  <c r="AX185" i="9"/>
  <c r="AW185" i="9"/>
  <c r="AZ184" i="9"/>
  <c r="AW184" i="9"/>
  <c r="AX184" i="9"/>
  <c r="AY184" i="9"/>
  <c r="AZ183" i="9"/>
  <c r="AY183" i="9"/>
  <c r="AX183" i="9"/>
  <c r="AW183" i="9"/>
  <c r="AY182" i="9"/>
  <c r="AZ182" i="9"/>
  <c r="AX182" i="9"/>
  <c r="AW182" i="9"/>
  <c r="AZ181" i="9"/>
  <c r="AY181" i="9"/>
  <c r="AX181" i="9"/>
  <c r="AW181" i="9"/>
  <c r="AX180" i="9"/>
  <c r="AW180" i="9"/>
  <c r="AY180" i="9"/>
  <c r="AZ180" i="9"/>
  <c r="AZ179" i="9"/>
  <c r="AY179" i="9"/>
  <c r="AX179" i="9"/>
  <c r="AW179" i="9"/>
  <c r="AZ178" i="9"/>
  <c r="AX178" i="9"/>
  <c r="AW178" i="9"/>
  <c r="AY178" i="9"/>
  <c r="AX177" i="9"/>
  <c r="AZ177" i="9"/>
  <c r="AY177" i="9"/>
  <c r="AW177" i="9"/>
  <c r="AY176" i="9"/>
  <c r="AZ176" i="9"/>
  <c r="AX176" i="9"/>
  <c r="AW176" i="9"/>
  <c r="AW175" i="9"/>
  <c r="AX175" i="9"/>
  <c r="AY175" i="9"/>
  <c r="AZ175" i="9"/>
  <c r="AX174" i="9"/>
  <c r="AY174" i="9"/>
  <c r="AW174" i="9"/>
  <c r="AZ174" i="9"/>
  <c r="AZ173" i="9"/>
  <c r="AY173" i="9"/>
  <c r="AX173" i="9"/>
  <c r="AW173" i="9"/>
  <c r="AZ172" i="9"/>
  <c r="AY172" i="9"/>
  <c r="AX172" i="9"/>
  <c r="AW172" i="9"/>
  <c r="AZ171" i="9"/>
  <c r="AY171" i="9"/>
  <c r="AX171" i="9"/>
  <c r="AW171" i="9"/>
  <c r="AZ170" i="9"/>
  <c r="AX170" i="9"/>
  <c r="AW170" i="9"/>
  <c r="AY170" i="9"/>
  <c r="AW169" i="9"/>
  <c r="AZ169" i="9"/>
  <c r="AY169" i="9"/>
  <c r="AX169" i="9"/>
  <c r="AZ168" i="9"/>
  <c r="AY168" i="9"/>
  <c r="AX168" i="9"/>
  <c r="AW168" i="9"/>
  <c r="AW167" i="9"/>
  <c r="AZ167" i="9"/>
  <c r="AY167" i="9"/>
  <c r="AX167" i="9"/>
  <c r="AZ166" i="9"/>
  <c r="AW166" i="9"/>
  <c r="AX166" i="9"/>
  <c r="AY166" i="9"/>
  <c r="AZ165" i="9"/>
  <c r="AY165" i="9"/>
  <c r="AX165" i="9"/>
  <c r="AW165" i="9"/>
  <c r="AX164" i="9"/>
  <c r="AY164" i="9"/>
  <c r="AZ164" i="9"/>
  <c r="AW164" i="9"/>
  <c r="AX163" i="9"/>
  <c r="AZ163" i="9"/>
  <c r="AY163" i="9"/>
  <c r="AW163" i="9"/>
  <c r="AZ162" i="9"/>
  <c r="AY162" i="9"/>
  <c r="AX162" i="9"/>
  <c r="AW162" i="9"/>
  <c r="AZ161" i="9"/>
  <c r="AY161" i="9"/>
  <c r="AX161" i="9"/>
  <c r="AW161" i="9"/>
  <c r="AY160" i="9"/>
  <c r="AZ160" i="9"/>
  <c r="AX160" i="9"/>
  <c r="AW160" i="9"/>
  <c r="AW159" i="9"/>
  <c r="AZ159" i="9"/>
  <c r="AY159" i="9"/>
  <c r="AX159" i="9"/>
  <c r="AW158" i="9"/>
  <c r="AX158" i="9"/>
  <c r="AY158" i="9"/>
  <c r="AZ158" i="9"/>
  <c r="AZ157" i="9"/>
  <c r="AY157" i="9"/>
  <c r="AW157" i="9"/>
  <c r="AX157" i="9"/>
  <c r="AZ156" i="9"/>
  <c r="AY156" i="9"/>
  <c r="AX156" i="9"/>
  <c r="AW156" i="9"/>
  <c r="AX155" i="9"/>
  <c r="AY155" i="9"/>
  <c r="AZ155" i="9"/>
  <c r="AW155" i="9"/>
  <c r="AX154" i="9"/>
  <c r="AY154" i="9"/>
  <c r="AZ154" i="9"/>
  <c r="AW154" i="9"/>
  <c r="AW153" i="9"/>
  <c r="AX153" i="9"/>
  <c r="AY153" i="9"/>
  <c r="AZ153" i="9"/>
  <c r="AW152" i="9"/>
  <c r="AX152" i="9"/>
  <c r="AY152" i="9"/>
  <c r="AZ152" i="9"/>
  <c r="AW151" i="9"/>
  <c r="AX151" i="9"/>
  <c r="AY151" i="9"/>
  <c r="AZ151" i="9"/>
  <c r="AY150" i="9"/>
  <c r="AZ150" i="9"/>
  <c r="AW150" i="9"/>
  <c r="AX150" i="9"/>
  <c r="AY149" i="9"/>
  <c r="AW149" i="9"/>
  <c r="AX149" i="9"/>
  <c r="AZ149" i="9"/>
  <c r="AX148" i="9"/>
  <c r="AW148" i="9"/>
  <c r="AZ148" i="9"/>
  <c r="AY148" i="9"/>
  <c r="AZ147" i="9"/>
  <c r="AX147" i="9"/>
  <c r="AW147" i="9"/>
  <c r="AY147" i="9"/>
  <c r="AW146" i="9"/>
  <c r="AZ146" i="9"/>
  <c r="AY146" i="9"/>
  <c r="AX146" i="9"/>
  <c r="AZ145" i="9"/>
  <c r="AY145" i="9"/>
  <c r="AX145" i="9"/>
  <c r="AW145" i="9"/>
  <c r="AW144" i="9"/>
  <c r="AX144" i="9"/>
  <c r="AY144" i="9"/>
  <c r="AZ144" i="9"/>
  <c r="AZ143" i="9"/>
  <c r="AY143" i="9"/>
  <c r="AX143" i="9"/>
  <c r="AW143" i="9"/>
  <c r="AZ142" i="9"/>
  <c r="AW142" i="9"/>
  <c r="AX142" i="9"/>
  <c r="AY142" i="9"/>
  <c r="AZ141" i="9"/>
  <c r="AY141" i="9"/>
  <c r="AX141" i="9"/>
  <c r="AW141" i="9"/>
  <c r="AZ140" i="9"/>
  <c r="AW140" i="9"/>
  <c r="AX140" i="9"/>
  <c r="AY140" i="9"/>
  <c r="AX139" i="9"/>
  <c r="AW139" i="9"/>
  <c r="AY139" i="9"/>
  <c r="AZ139" i="9"/>
  <c r="AZ138" i="9"/>
  <c r="AY138" i="9"/>
  <c r="AX138" i="9"/>
  <c r="AW138" i="9"/>
  <c r="AW137" i="9"/>
  <c r="AX137" i="9"/>
  <c r="AY137" i="9"/>
  <c r="AZ137" i="9"/>
  <c r="AW136" i="9"/>
  <c r="AX136" i="9"/>
  <c r="AY136" i="9"/>
  <c r="AZ136" i="9"/>
  <c r="AW135" i="9"/>
  <c r="AX135" i="9"/>
  <c r="AY135" i="9"/>
  <c r="AZ135" i="9"/>
  <c r="AZ134" i="9"/>
  <c r="AX134" i="9"/>
  <c r="AW134" i="9"/>
  <c r="AY134" i="9"/>
  <c r="AZ133" i="9"/>
  <c r="AY133" i="9"/>
  <c r="AW133" i="9"/>
  <c r="AX133" i="9"/>
  <c r="AZ132" i="9"/>
  <c r="AY132" i="9"/>
  <c r="AX132" i="9"/>
  <c r="AW132" i="9"/>
  <c r="AZ131" i="9"/>
  <c r="AY131" i="9"/>
  <c r="AX131" i="9"/>
  <c r="AW131" i="9"/>
  <c r="AW130" i="9"/>
  <c r="AZ130" i="9"/>
  <c r="AY130" i="9"/>
  <c r="AX130" i="9"/>
  <c r="AW129" i="9"/>
  <c r="AZ129" i="9"/>
  <c r="AY129" i="9"/>
  <c r="AX129" i="9"/>
  <c r="AZ128" i="9"/>
  <c r="AY128" i="9"/>
  <c r="AX128" i="9"/>
  <c r="AW128" i="9"/>
  <c r="AZ127" i="9"/>
  <c r="AY127" i="9"/>
  <c r="AX127" i="9"/>
  <c r="AW127" i="9"/>
  <c r="AZ126" i="9"/>
  <c r="AY126" i="9"/>
  <c r="AX126" i="9"/>
  <c r="AW126" i="9"/>
  <c r="AZ125" i="9"/>
  <c r="AY125" i="9"/>
  <c r="AX125" i="9"/>
  <c r="AW125" i="9"/>
  <c r="AY124" i="9"/>
  <c r="AX124" i="9"/>
  <c r="AW124" i="9"/>
  <c r="AZ124" i="9"/>
  <c r="AZ123" i="9"/>
  <c r="AW123" i="9"/>
  <c r="AX123" i="9"/>
  <c r="AY123" i="9"/>
  <c r="AY122" i="9"/>
  <c r="AX122" i="9"/>
  <c r="AZ122" i="9"/>
  <c r="AW122" i="9"/>
  <c r="AW121" i="9"/>
  <c r="AX121" i="9"/>
  <c r="AZ121" i="9"/>
  <c r="AY121" i="9"/>
  <c r="AW120" i="9"/>
  <c r="AX120" i="9"/>
  <c r="AZ120" i="9"/>
  <c r="AY120" i="9"/>
  <c r="AZ119" i="9"/>
  <c r="AY119" i="9"/>
  <c r="AX119" i="9"/>
  <c r="AW119" i="9"/>
  <c r="AZ118" i="9"/>
  <c r="AY118" i="9"/>
  <c r="AX118" i="9"/>
  <c r="AW118" i="9"/>
  <c r="AX117" i="9"/>
  <c r="AY117" i="9"/>
  <c r="AZ117" i="9"/>
  <c r="AW117" i="9"/>
  <c r="AW116" i="9"/>
  <c r="AX116" i="9"/>
  <c r="AY116" i="9"/>
  <c r="AZ116" i="9"/>
  <c r="AY115" i="9"/>
  <c r="AW115" i="9"/>
  <c r="AX115" i="9"/>
  <c r="AZ115" i="9"/>
  <c r="AW114" i="9"/>
  <c r="AX114" i="9"/>
  <c r="AY114" i="9"/>
  <c r="AZ114" i="9"/>
  <c r="AY113" i="9"/>
  <c r="AX113" i="9"/>
  <c r="AZ113" i="9"/>
  <c r="AW113" i="9"/>
  <c r="AX112" i="9"/>
  <c r="AW112" i="9"/>
  <c r="AZ112" i="9"/>
  <c r="AY112" i="9"/>
  <c r="AX111" i="9"/>
  <c r="AZ111" i="9"/>
  <c r="AY111" i="9"/>
  <c r="AW111" i="9"/>
  <c r="AW110" i="9"/>
  <c r="AY110" i="9"/>
  <c r="AZ110" i="9"/>
  <c r="AX110" i="9"/>
  <c r="AY109" i="9"/>
  <c r="AZ109" i="9"/>
  <c r="AX109" i="9"/>
  <c r="AW109" i="9"/>
  <c r="AX108" i="9"/>
  <c r="AZ108" i="9"/>
  <c r="AW108" i="9"/>
  <c r="AY108" i="9"/>
  <c r="AX107" i="9"/>
  <c r="AW107" i="9"/>
  <c r="AZ107" i="9"/>
  <c r="AY107" i="9"/>
  <c r="AW106" i="9"/>
  <c r="AZ106" i="9"/>
  <c r="AY106" i="9"/>
  <c r="AX106" i="9"/>
  <c r="AZ105" i="9"/>
  <c r="AY105" i="9"/>
  <c r="AX105" i="9"/>
  <c r="AW105" i="9"/>
  <c r="AZ104" i="9"/>
  <c r="AY104" i="9"/>
  <c r="AX104" i="9"/>
  <c r="AW104" i="9"/>
  <c r="AZ103" i="9"/>
  <c r="AY103" i="9"/>
  <c r="AX103" i="9"/>
  <c r="AW103" i="9"/>
  <c r="AW102" i="9"/>
  <c r="AY102" i="9"/>
  <c r="AX102" i="9"/>
  <c r="AZ102" i="9"/>
  <c r="AY101" i="9"/>
  <c r="AX101" i="9"/>
  <c r="AZ101" i="9"/>
  <c r="AW101" i="9"/>
  <c r="AX100" i="9"/>
  <c r="AY100" i="9"/>
  <c r="AZ100" i="9"/>
  <c r="AW100" i="9"/>
  <c r="AY99" i="9"/>
  <c r="AX99" i="9"/>
  <c r="AW99" i="9"/>
  <c r="AZ99" i="9"/>
  <c r="AX98" i="9"/>
  <c r="AW98" i="9"/>
  <c r="AZ98" i="9"/>
  <c r="AY98" i="9"/>
  <c r="AX97" i="9"/>
  <c r="AW97" i="9"/>
  <c r="AZ97" i="9"/>
  <c r="AY97" i="9"/>
  <c r="AX96" i="9"/>
  <c r="AZ96" i="9"/>
  <c r="AY96" i="9"/>
  <c r="AW96" i="9"/>
  <c r="AZ95" i="9"/>
  <c r="AY95" i="9"/>
  <c r="AW95" i="9"/>
  <c r="AX95" i="9"/>
  <c r="AW94" i="9"/>
  <c r="AZ94" i="9"/>
  <c r="AY94" i="9"/>
  <c r="AX94" i="9"/>
  <c r="AZ93" i="9"/>
  <c r="AY93" i="9"/>
  <c r="AX93" i="9"/>
  <c r="AW93" i="9"/>
  <c r="AZ92" i="9"/>
  <c r="AY92" i="9"/>
  <c r="AX92" i="9"/>
  <c r="AW92" i="9"/>
  <c r="AY91" i="9"/>
  <c r="AZ91" i="9"/>
  <c r="AX91" i="9"/>
  <c r="AW91" i="9"/>
  <c r="AW90" i="9"/>
  <c r="AX90" i="9"/>
  <c r="AY90" i="9"/>
  <c r="AZ90" i="9"/>
  <c r="AW89" i="9"/>
  <c r="AX89" i="9"/>
  <c r="AY89" i="9"/>
  <c r="AZ89" i="9"/>
  <c r="AX88" i="9"/>
  <c r="AY88" i="9"/>
  <c r="AW88" i="9"/>
  <c r="AZ88" i="9"/>
  <c r="AW87" i="9"/>
  <c r="AX87" i="9"/>
  <c r="AZ87" i="9"/>
  <c r="AY87" i="9"/>
  <c r="AY86" i="9"/>
  <c r="AX86" i="9"/>
  <c r="AW86" i="9"/>
  <c r="AZ86" i="9"/>
  <c r="AY85" i="9"/>
  <c r="AX85" i="9"/>
  <c r="AW85" i="9"/>
  <c r="AZ85" i="9"/>
  <c r="AY84" i="9"/>
  <c r="AW84" i="9"/>
  <c r="AZ84" i="9"/>
  <c r="AX84" i="9"/>
  <c r="AW83" i="9"/>
  <c r="AX83" i="9"/>
  <c r="AY83" i="9"/>
  <c r="AZ83" i="9"/>
  <c r="AW82" i="9"/>
  <c r="AX82" i="9"/>
  <c r="AY82" i="9"/>
  <c r="AZ82" i="9"/>
  <c r="AX81" i="9"/>
  <c r="AZ81" i="9"/>
  <c r="AY81" i="9"/>
  <c r="AW81" i="9"/>
  <c r="AY80" i="9"/>
  <c r="AZ80" i="9"/>
  <c r="AX80" i="9"/>
  <c r="AW80" i="9"/>
  <c r="AY79" i="9"/>
  <c r="AZ79" i="9"/>
  <c r="AX79" i="9"/>
  <c r="AW79" i="9"/>
  <c r="AZ78" i="9"/>
  <c r="AY78" i="9"/>
  <c r="AX78" i="9"/>
  <c r="AW78" i="9"/>
  <c r="AZ77" i="9"/>
  <c r="AY77" i="9"/>
  <c r="AX77" i="9"/>
  <c r="AW77" i="9"/>
  <c r="AX76" i="9"/>
  <c r="AZ76" i="9"/>
  <c r="AY76" i="9"/>
  <c r="AW76" i="9"/>
  <c r="AX75" i="9"/>
  <c r="AY75" i="9"/>
  <c r="AW75" i="9"/>
  <c r="AZ75" i="9"/>
  <c r="AZ74" i="9"/>
  <c r="AY74" i="9"/>
  <c r="AX74" i="9"/>
  <c r="AW74" i="9"/>
  <c r="AZ73" i="9"/>
  <c r="AY73" i="9"/>
  <c r="AX73" i="9"/>
  <c r="AW73" i="9"/>
  <c r="AX72" i="9"/>
  <c r="AW72" i="9"/>
  <c r="AZ72" i="9"/>
  <c r="AY72" i="9"/>
  <c r="AW71" i="9"/>
  <c r="AX71" i="9"/>
  <c r="AY71" i="9"/>
  <c r="AZ71" i="9"/>
  <c r="AY70" i="9"/>
  <c r="AZ70" i="9"/>
  <c r="AX70" i="9"/>
  <c r="AW70" i="9"/>
  <c r="AZ69" i="9"/>
  <c r="AY69" i="9"/>
  <c r="AX69" i="9"/>
  <c r="AW69" i="9"/>
  <c r="AW68" i="9"/>
  <c r="AZ68" i="9"/>
  <c r="AY68" i="9"/>
  <c r="AX68" i="9"/>
  <c r="AW67" i="9"/>
  <c r="AZ67" i="9"/>
  <c r="AX67" i="9"/>
  <c r="AY67" i="9"/>
  <c r="AX66" i="9"/>
  <c r="AZ66" i="9"/>
  <c r="AY66" i="9"/>
  <c r="AW66" i="9"/>
  <c r="AY65" i="9"/>
  <c r="AZ65" i="9"/>
  <c r="AW65" i="9"/>
  <c r="AX65" i="9"/>
  <c r="AZ64" i="9"/>
  <c r="AY64" i="9"/>
  <c r="AX64" i="9"/>
  <c r="AW64" i="9"/>
  <c r="AZ63" i="9"/>
  <c r="AY63" i="9"/>
  <c r="AX63" i="9"/>
  <c r="AW63" i="9"/>
  <c r="AW62" i="9"/>
  <c r="AY62" i="9"/>
  <c r="AX62" i="9"/>
  <c r="AZ62" i="9"/>
  <c r="AZ61" i="9"/>
  <c r="AY61" i="9"/>
  <c r="AX61" i="9"/>
  <c r="AW61" i="9"/>
  <c r="AZ60" i="9"/>
  <c r="AY60" i="9"/>
  <c r="AX60" i="9"/>
  <c r="AW60" i="9"/>
  <c r="AW59" i="9"/>
  <c r="AY59" i="9"/>
  <c r="AX59" i="9"/>
  <c r="AZ59" i="9"/>
  <c r="AW58" i="9"/>
  <c r="AY58" i="9"/>
  <c r="AZ58" i="9"/>
  <c r="AX58" i="9"/>
  <c r="AY57" i="9"/>
  <c r="AZ57" i="9"/>
  <c r="AX57" i="9"/>
  <c r="AW57" i="9"/>
  <c r="AZ56" i="9"/>
  <c r="AY56" i="9"/>
  <c r="AX56" i="9"/>
  <c r="AW56" i="9"/>
  <c r="AZ55" i="9"/>
  <c r="AY55" i="9"/>
  <c r="AX55" i="9"/>
  <c r="AW55" i="9"/>
  <c r="AX54" i="9"/>
  <c r="AZ54" i="9"/>
  <c r="AY54" i="9"/>
  <c r="AW54" i="9"/>
  <c r="AZ53" i="9"/>
  <c r="AY53" i="9"/>
  <c r="AX53" i="9"/>
  <c r="AW53" i="9"/>
  <c r="AW52" i="9"/>
  <c r="AZ52" i="9"/>
  <c r="AY52" i="9"/>
  <c r="AX52" i="9"/>
  <c r="AW51" i="9"/>
  <c r="AX51" i="9"/>
  <c r="AY51" i="9"/>
  <c r="AZ51" i="9"/>
  <c r="AX50" i="9"/>
  <c r="AW50" i="9"/>
  <c r="AY50" i="9"/>
  <c r="AZ50" i="9"/>
  <c r="AX49" i="9"/>
  <c r="AW49" i="9"/>
  <c r="AY49" i="9"/>
  <c r="AZ49" i="9"/>
  <c r="AZ48" i="9"/>
  <c r="AW48" i="9"/>
  <c r="AY48" i="9"/>
  <c r="AX48" i="9"/>
  <c r="AW47" i="9"/>
  <c r="AY47" i="9"/>
  <c r="AZ47" i="9"/>
  <c r="AX47" i="9"/>
  <c r="AW46" i="9"/>
  <c r="AX46" i="9"/>
  <c r="AY46" i="9"/>
  <c r="AZ46" i="9"/>
  <c r="AW45" i="9"/>
  <c r="AX45" i="9"/>
  <c r="AY45" i="9"/>
  <c r="AZ45" i="9"/>
  <c r="AX44" i="9"/>
  <c r="AY44" i="9"/>
  <c r="AZ44" i="9"/>
  <c r="AW44" i="9"/>
  <c r="AY43" i="9"/>
  <c r="AZ43" i="9"/>
  <c r="AX43" i="9"/>
  <c r="AW43" i="9"/>
  <c r="AW42" i="9"/>
  <c r="AZ42" i="9"/>
  <c r="AY42" i="9"/>
  <c r="AX42" i="9"/>
  <c r="AZ41" i="9"/>
  <c r="AY41" i="9"/>
  <c r="AX41" i="9"/>
  <c r="AW41" i="9"/>
  <c r="AZ40" i="9"/>
  <c r="AX40" i="9"/>
  <c r="AW40" i="9"/>
  <c r="AY40" i="9"/>
  <c r="AW39" i="9"/>
  <c r="AY39" i="9"/>
  <c r="AZ39" i="9"/>
  <c r="AX39" i="9"/>
  <c r="AW38" i="9"/>
  <c r="AX38" i="9"/>
  <c r="AY38" i="9"/>
  <c r="AZ38" i="9"/>
  <c r="AW37" i="9"/>
  <c r="AX37" i="9"/>
  <c r="AZ37" i="9"/>
  <c r="AY37" i="9"/>
  <c r="AZ36" i="9"/>
  <c r="AX36" i="9"/>
  <c r="AW36" i="9"/>
  <c r="AY36" i="9"/>
  <c r="AY35" i="9"/>
  <c r="AX35" i="9"/>
  <c r="AW35" i="9"/>
  <c r="AZ35" i="9"/>
  <c r="AZ34" i="9"/>
  <c r="AY34" i="9"/>
  <c r="AX34" i="9"/>
  <c r="AW34" i="9"/>
  <c r="AZ33" i="9"/>
  <c r="AY33" i="9"/>
  <c r="AX33" i="9"/>
  <c r="AW33" i="9"/>
  <c r="AZ32" i="9"/>
  <c r="AY32" i="9"/>
  <c r="AW32" i="9"/>
  <c r="AX32" i="9"/>
  <c r="AY31" i="9"/>
  <c r="AX31" i="9"/>
  <c r="AW31" i="9"/>
  <c r="AZ31" i="9"/>
  <c r="AY30" i="9"/>
  <c r="AX30" i="9"/>
  <c r="AW30" i="9"/>
  <c r="AZ30" i="9"/>
  <c r="AZ29" i="9"/>
  <c r="AX29" i="9"/>
  <c r="AW29" i="9"/>
  <c r="AY29" i="9"/>
  <c r="AZ28" i="9"/>
  <c r="AY28" i="9"/>
  <c r="AX28" i="9"/>
  <c r="AW28" i="9"/>
  <c r="AZ27" i="9"/>
  <c r="AY27" i="9"/>
  <c r="AX27" i="9"/>
  <c r="AW27" i="9"/>
  <c r="AY26" i="9"/>
  <c r="AX26" i="9"/>
  <c r="AW26" i="9"/>
  <c r="AZ26" i="9"/>
  <c r="AY25" i="9"/>
  <c r="AX25" i="9"/>
  <c r="AW25" i="9"/>
  <c r="AZ25" i="9"/>
  <c r="AZ24" i="9"/>
  <c r="AY24" i="9"/>
  <c r="AX24" i="9"/>
  <c r="AW24" i="9"/>
  <c r="AZ23" i="9"/>
  <c r="AY23" i="9"/>
  <c r="AX23" i="9"/>
  <c r="AW23" i="9"/>
  <c r="AZ22" i="9"/>
  <c r="AX22" i="9"/>
  <c r="AW22" i="9"/>
  <c r="AY22" i="9"/>
  <c r="AZ21" i="9"/>
  <c r="AY21" i="9"/>
  <c r="AX21" i="9"/>
  <c r="AW21" i="9"/>
  <c r="AY20" i="9"/>
  <c r="AX20" i="9"/>
  <c r="AW20" i="9"/>
  <c r="AZ20" i="9"/>
  <c r="AY19" i="9"/>
  <c r="AX19" i="9"/>
  <c r="AW19" i="9"/>
  <c r="AZ19" i="9"/>
  <c r="AZ18" i="9"/>
  <c r="AY18" i="9"/>
  <c r="AX18" i="9"/>
  <c r="AW18" i="9"/>
  <c r="AZ17" i="9"/>
  <c r="AX17" i="9"/>
  <c r="AW17" i="9"/>
  <c r="AY17" i="9"/>
  <c r="AZ16" i="9"/>
  <c r="AY16" i="9"/>
  <c r="AX16" i="9"/>
  <c r="AW16" i="9"/>
  <c r="AY15" i="9"/>
  <c r="AX15" i="9"/>
  <c r="AW15" i="9"/>
  <c r="AZ15" i="9"/>
  <c r="AY14" i="9"/>
  <c r="AX14" i="9"/>
  <c r="AW14" i="9"/>
  <c r="AZ14" i="9"/>
  <c r="AZ13" i="9"/>
  <c r="AY13" i="9"/>
  <c r="AX13" i="9"/>
  <c r="AW13" i="9"/>
  <c r="AZ12" i="9"/>
  <c r="AY12" i="9"/>
  <c r="AX12" i="9"/>
  <c r="AW12" i="9"/>
  <c r="AZ11" i="9"/>
  <c r="AY11" i="9"/>
  <c r="AX11" i="9"/>
  <c r="AW11" i="9"/>
  <c r="AZ10" i="9"/>
  <c r="AY10" i="9"/>
  <c r="AW10" i="9"/>
  <c r="AX10" i="9"/>
  <c r="AY9" i="9"/>
  <c r="AX9" i="9"/>
  <c r="AW9" i="9"/>
  <c r="AZ9" i="9"/>
  <c r="AY8" i="9"/>
  <c r="AX8" i="9"/>
  <c r="AW8" i="9"/>
  <c r="AZ8" i="9"/>
  <c r="AZ7" i="9"/>
  <c r="AY7" i="9"/>
  <c r="AW7" i="9"/>
  <c r="AX7" i="9"/>
  <c r="AZ6" i="9"/>
  <c r="AY6" i="9"/>
  <c r="AX6" i="9"/>
  <c r="AW6" i="9"/>
  <c r="AZ5" i="9"/>
  <c r="AY5" i="9"/>
  <c r="AX5" i="9"/>
  <c r="AW5" i="9"/>
  <c r="AZ4" i="9"/>
  <c r="AY4" i="9"/>
  <c r="AX4" i="9"/>
  <c r="AW4" i="9"/>
  <c r="AZ3" i="9"/>
  <c r="AY3" i="9"/>
  <c r="AX3" i="9"/>
  <c r="AW3" i="9"/>
  <c r="AZ2" i="9"/>
  <c r="AY2" i="9"/>
  <c r="AX2" i="9"/>
  <c r="AW2" i="9"/>
  <c r="E127" i="4"/>
  <c r="E126" i="4"/>
  <c r="I125" i="4"/>
  <c r="E124" i="4"/>
  <c r="K123" i="4"/>
  <c r="D123" i="4" s="1"/>
  <c r="E121" i="4"/>
  <c r="I120" i="4"/>
  <c r="E120" i="4"/>
  <c r="K118" i="4"/>
  <c r="D118" i="4" s="1"/>
  <c r="I118" i="4"/>
  <c r="I116" i="4"/>
  <c r="E116" i="4"/>
  <c r="I157" i="4"/>
  <c r="K155" i="4"/>
  <c r="D155" i="4" s="1"/>
  <c r="I155" i="4"/>
  <c r="I154" i="4"/>
  <c r="K152" i="4"/>
  <c r="D152" i="4" s="1"/>
  <c r="I152" i="4"/>
  <c r="I151" i="4"/>
  <c r="E150" i="4"/>
  <c r="K149" i="4"/>
  <c r="D149" i="4" s="1"/>
  <c r="K148" i="4"/>
  <c r="D148" i="4" s="1"/>
  <c r="I147" i="4"/>
  <c r="E147" i="4"/>
  <c r="K145" i="4"/>
  <c r="D145" i="4" s="1"/>
  <c r="I144" i="4"/>
  <c r="E144" i="4"/>
  <c r="K142" i="4"/>
  <c r="D142" i="4" s="1"/>
  <c r="K141" i="4"/>
  <c r="D141" i="4" s="1"/>
  <c r="K140" i="4"/>
  <c r="D140" i="4" s="1"/>
  <c r="I139" i="4"/>
  <c r="E139" i="4"/>
  <c r="K137" i="4"/>
  <c r="D137" i="4" s="1"/>
  <c r="I137" i="4"/>
  <c r="K136" i="4"/>
  <c r="D136" i="4" s="1"/>
  <c r="I135" i="4"/>
  <c r="E134" i="4"/>
  <c r="K133" i="4"/>
  <c r="D133" i="4" s="1"/>
  <c r="I132" i="4"/>
  <c r="E131" i="4"/>
  <c r="K130" i="4"/>
  <c r="D130" i="4" s="1"/>
  <c r="I129" i="4"/>
  <c r="E128" i="4"/>
  <c r="I127" i="4"/>
  <c r="I126" i="4"/>
  <c r="E125" i="4"/>
  <c r="K124" i="4"/>
  <c r="D124" i="4" s="1"/>
  <c r="I123" i="4"/>
  <c r="E122" i="4"/>
  <c r="K121" i="4"/>
  <c r="D121" i="4" s="1"/>
  <c r="K120" i="4"/>
  <c r="D120" i="4" s="1"/>
  <c r="I119" i="4"/>
  <c r="E119" i="4"/>
  <c r="K117" i="4"/>
  <c r="D117" i="4" s="1"/>
  <c r="K115" i="4"/>
  <c r="D115" i="4" s="1"/>
  <c r="K167" i="4"/>
  <c r="D167" i="4" s="1"/>
  <c r="I167" i="4"/>
  <c r="E167" i="4"/>
  <c r="K166" i="4"/>
  <c r="D166" i="4" s="1"/>
  <c r="I166" i="4"/>
  <c r="E166" i="4"/>
  <c r="K165" i="4"/>
  <c r="D165" i="4" s="1"/>
  <c r="I165" i="4"/>
  <c r="E165" i="4"/>
  <c r="K164" i="4"/>
  <c r="D164" i="4" s="1"/>
  <c r="I164" i="4"/>
  <c r="E164" i="4"/>
  <c r="K163" i="4"/>
  <c r="D163" i="4" s="1"/>
  <c r="I163" i="4"/>
  <c r="E163" i="4"/>
  <c r="K162" i="4"/>
  <c r="D162" i="4" s="1"/>
  <c r="I162" i="4"/>
  <c r="E162" i="4"/>
  <c r="K161" i="4"/>
  <c r="D161" i="4" s="1"/>
  <c r="I161" i="4"/>
  <c r="E161" i="4"/>
  <c r="K160" i="4"/>
  <c r="D160" i="4" s="1"/>
  <c r="I160" i="4"/>
  <c r="E160" i="4"/>
  <c r="K159" i="4"/>
  <c r="D159" i="4" s="1"/>
  <c r="I159" i="4"/>
  <c r="E159" i="4"/>
  <c r="K158" i="4"/>
  <c r="D158" i="4" s="1"/>
  <c r="I158" i="4"/>
  <c r="E158" i="4"/>
  <c r="K157" i="4"/>
  <c r="D157" i="4" s="1"/>
  <c r="K156" i="4"/>
  <c r="D156" i="4" s="1"/>
  <c r="E156" i="4"/>
  <c r="K154" i="4"/>
  <c r="D154" i="4" s="1"/>
  <c r="E154" i="4"/>
  <c r="E153" i="4"/>
  <c r="K151" i="4"/>
  <c r="D151" i="4" s="1"/>
  <c r="I150" i="4"/>
  <c r="E149" i="4"/>
  <c r="K147" i="4"/>
  <c r="D147" i="4" s="1"/>
  <c r="I146" i="4"/>
  <c r="E146" i="4"/>
  <c r="K144" i="4"/>
  <c r="D144" i="4" s="1"/>
  <c r="I143" i="4"/>
  <c r="E143" i="4"/>
  <c r="E142" i="4"/>
  <c r="I140" i="4"/>
  <c r="E140" i="4"/>
  <c r="E138" i="4"/>
  <c r="E136" i="4"/>
  <c r="K135" i="4"/>
  <c r="D135" i="4" s="1"/>
  <c r="I134" i="4"/>
  <c r="I133" i="4"/>
  <c r="E132" i="4"/>
  <c r="K131" i="4"/>
  <c r="D131" i="4" s="1"/>
  <c r="I130" i="4"/>
  <c r="E129" i="4"/>
  <c r="K128" i="4"/>
  <c r="D128" i="4" s="1"/>
  <c r="I122" i="4"/>
  <c r="E157" i="4"/>
  <c r="K126" i="4"/>
  <c r="D126" i="4" s="1"/>
  <c r="E135" i="4"/>
  <c r="K134" i="4"/>
  <c r="D134" i="4" s="1"/>
  <c r="E133" i="4"/>
  <c r="K132" i="4"/>
  <c r="D132" i="4" s="1"/>
  <c r="I131" i="4"/>
  <c r="E130" i="4"/>
  <c r="K129" i="4"/>
  <c r="D129" i="4" s="1"/>
  <c r="I128" i="4"/>
  <c r="I114" i="4"/>
  <c r="K127" i="4"/>
  <c r="D127" i="4" s="1"/>
  <c r="K125" i="4"/>
  <c r="D125" i="4" s="1"/>
  <c r="I124" i="4"/>
  <c r="E123" i="4"/>
  <c r="K122" i="4"/>
  <c r="D122" i="4" s="1"/>
  <c r="I121" i="4"/>
  <c r="K119" i="4"/>
  <c r="D119" i="4" s="1"/>
  <c r="E118" i="4"/>
  <c r="I117" i="4"/>
  <c r="E117" i="4"/>
  <c r="K116" i="4"/>
  <c r="D116" i="4" s="1"/>
  <c r="I115" i="4"/>
  <c r="E115" i="4"/>
  <c r="I136" i="4"/>
  <c r="E114" i="4"/>
  <c r="I113" i="4"/>
  <c r="I156" i="4"/>
  <c r="E155" i="4"/>
  <c r="K153" i="4"/>
  <c r="D153" i="4" s="1"/>
  <c r="I153" i="4"/>
  <c r="E152" i="4"/>
  <c r="E151" i="4"/>
  <c r="K150" i="4"/>
  <c r="D150" i="4" s="1"/>
  <c r="I149" i="4"/>
  <c r="I148" i="4"/>
  <c r="E148" i="4"/>
  <c r="K146" i="4"/>
  <c r="D146" i="4" s="1"/>
  <c r="I145" i="4"/>
  <c r="E145" i="4"/>
  <c r="K143" i="4"/>
  <c r="D143" i="4" s="1"/>
  <c r="I142" i="4"/>
  <c r="I141" i="4"/>
  <c r="E141" i="4"/>
  <c r="K139" i="4"/>
  <c r="D139" i="4" s="1"/>
  <c r="K138" i="4"/>
  <c r="I138" i="4"/>
  <c r="E137" i="4"/>
  <c r="N17" i="4"/>
  <c r="F17" i="4"/>
  <c r="G17" i="4" s="1"/>
  <c r="H17" i="4" s="1"/>
  <c r="J17" i="4" s="1"/>
  <c r="D4" i="4"/>
  <c r="L42" i="3"/>
  <c r="J42" i="3"/>
  <c r="H42" i="3"/>
  <c r="I42" i="3" s="1"/>
  <c r="H41" i="3"/>
  <c r="I41" i="3" s="1"/>
  <c r="J41" i="3"/>
  <c r="L41" i="3"/>
  <c r="H40" i="3"/>
  <c r="I40" i="3" s="1"/>
  <c r="L40" i="3"/>
  <c r="J40" i="3"/>
  <c r="H39" i="3"/>
  <c r="I39" i="3" s="1"/>
  <c r="J39" i="3"/>
  <c r="L39" i="3"/>
  <c r="H38" i="3"/>
  <c r="I38" i="3" s="1"/>
  <c r="L38" i="3"/>
  <c r="J38" i="3"/>
  <c r="J37" i="3"/>
  <c r="L37" i="3"/>
  <c r="H37" i="3"/>
  <c r="I37" i="3" s="1"/>
  <c r="H36" i="3"/>
  <c r="I36" i="3" s="1"/>
  <c r="L36" i="3"/>
  <c r="J36" i="3"/>
  <c r="H35" i="3"/>
  <c r="I35" i="3" s="1"/>
  <c r="J35" i="3"/>
  <c r="L35" i="3"/>
  <c r="L34" i="3"/>
  <c r="J34" i="3"/>
  <c r="H34" i="3"/>
  <c r="I34" i="3" s="1"/>
  <c r="J33" i="3"/>
  <c r="H33" i="3"/>
  <c r="I33" i="3" s="1"/>
  <c r="L33" i="3"/>
  <c r="L32" i="3"/>
  <c r="J32" i="3"/>
  <c r="H32" i="3"/>
  <c r="I32" i="3" s="1"/>
  <c r="J31" i="3"/>
  <c r="H31" i="3"/>
  <c r="I31" i="3" s="1"/>
  <c r="L31" i="3"/>
  <c r="J30" i="3"/>
  <c r="L30" i="3"/>
  <c r="H30" i="3"/>
  <c r="I30" i="3" s="1"/>
  <c r="J29" i="3"/>
  <c r="L29" i="3"/>
  <c r="H29" i="3"/>
  <c r="I29" i="3" s="1"/>
  <c r="L28" i="3"/>
  <c r="H28" i="3"/>
  <c r="I28" i="3" s="1"/>
  <c r="J28" i="3"/>
  <c r="H27" i="3"/>
  <c r="I27" i="3" s="1"/>
  <c r="L27" i="3"/>
  <c r="J27" i="3"/>
  <c r="J26" i="3"/>
  <c r="L26" i="3"/>
  <c r="H26" i="3"/>
  <c r="I26" i="3" s="1"/>
  <c r="H25" i="3"/>
  <c r="I25" i="3" s="1"/>
  <c r="J25" i="3"/>
  <c r="L25" i="3"/>
  <c r="H24" i="3"/>
  <c r="I24" i="3" s="1"/>
  <c r="J24" i="3"/>
  <c r="L24" i="3"/>
  <c r="J23" i="3"/>
  <c r="H23" i="3"/>
  <c r="I23" i="3" s="1"/>
  <c r="L23" i="3"/>
  <c r="J22" i="3"/>
  <c r="H22" i="3"/>
  <c r="I22" i="3" s="1"/>
  <c r="L22" i="3"/>
  <c r="H21" i="3"/>
  <c r="I21" i="3" s="1"/>
  <c r="J21" i="3"/>
  <c r="L21" i="3"/>
  <c r="H20" i="3"/>
  <c r="I20" i="3" s="1"/>
  <c r="J20" i="3"/>
  <c r="L20" i="3"/>
  <c r="L19" i="3"/>
  <c r="J19" i="3"/>
  <c r="H19" i="3"/>
  <c r="I19" i="3" s="1"/>
  <c r="H18" i="3"/>
  <c r="I18" i="3" s="1"/>
  <c r="L18" i="3"/>
  <c r="J18" i="3"/>
  <c r="L17" i="3"/>
  <c r="H17" i="3"/>
  <c r="I17" i="3" s="1"/>
  <c r="J17" i="3"/>
  <c r="H16" i="3"/>
  <c r="I16" i="3" s="1"/>
  <c r="L16" i="3"/>
  <c r="J16" i="3"/>
  <c r="H15" i="3"/>
  <c r="I15" i="3" s="1"/>
  <c r="J15" i="3"/>
  <c r="L15" i="3"/>
  <c r="J14" i="3"/>
  <c r="H14" i="3"/>
  <c r="I14" i="3" s="1"/>
  <c r="L14" i="3"/>
  <c r="L13" i="3"/>
  <c r="H13" i="3"/>
  <c r="I13" i="3" s="1"/>
  <c r="J13" i="3"/>
  <c r="H12" i="3"/>
  <c r="I12" i="3" s="1"/>
  <c r="J12" i="3"/>
  <c r="L12" i="3"/>
  <c r="L11" i="3"/>
  <c r="H11" i="3"/>
  <c r="I11" i="3" s="1"/>
  <c r="J11" i="3"/>
  <c r="L10" i="3"/>
  <c r="H10" i="3"/>
  <c r="I10" i="3" s="1"/>
  <c r="J10" i="3"/>
  <c r="H9" i="3"/>
  <c r="I9" i="3" s="1"/>
  <c r="L9" i="3"/>
  <c r="J9" i="3"/>
  <c r="L8" i="3"/>
  <c r="J8" i="3"/>
  <c r="H8" i="3"/>
  <c r="I8" i="3" s="1"/>
  <c r="H7" i="3"/>
  <c r="I7" i="3" s="1"/>
  <c r="L7" i="3"/>
  <c r="J7" i="3"/>
  <c r="J6" i="3"/>
  <c r="H6" i="3"/>
  <c r="I6" i="3" s="1"/>
  <c r="L6" i="3"/>
  <c r="J5" i="3"/>
  <c r="L5" i="3"/>
  <c r="H5" i="3"/>
  <c r="I5" i="3" s="1"/>
  <c r="G43" i="3"/>
  <c r="E48" i="3"/>
  <c r="F48" i="3" s="1"/>
  <c r="C20" i="2"/>
  <c r="D11" i="5" s="1"/>
  <c r="F4" i="3"/>
  <c r="D43" i="3"/>
  <c r="C19" i="2" s="1"/>
  <c r="J15" i="4"/>
  <c r="J14" i="4"/>
  <c r="J13" i="4"/>
  <c r="J21" i="4"/>
  <c r="J19" i="4"/>
  <c r="J11" i="4"/>
  <c r="J10" i="4"/>
  <c r="N46" i="4"/>
  <c r="N44" i="4"/>
  <c r="N42" i="4"/>
  <c r="N39" i="4"/>
  <c r="J31" i="4"/>
  <c r="J30" i="4"/>
  <c r="J25" i="4"/>
  <c r="J24" i="4"/>
  <c r="J20" i="4"/>
  <c r="N18" i="4"/>
  <c r="J12" i="4"/>
  <c r="N10" i="4"/>
  <c r="N9" i="4"/>
  <c r="N8" i="4"/>
  <c r="J29" i="4"/>
  <c r="J23" i="4"/>
  <c r="N22" i="4"/>
  <c r="J28" i="4"/>
  <c r="J26" i="4"/>
  <c r="J9" i="4"/>
  <c r="J7" i="4"/>
  <c r="N37" i="4"/>
  <c r="N27" i="4"/>
  <c r="N13" i="4"/>
  <c r="J44" i="4"/>
  <c r="J27" i="4"/>
  <c r="J18" i="4"/>
  <c r="J16" i="4"/>
  <c r="N14" i="4"/>
  <c r="J8" i="4"/>
  <c r="N5" i="4"/>
  <c r="N29" i="4"/>
  <c r="J22" i="4"/>
  <c r="J6" i="4"/>
  <c r="J5" i="4"/>
  <c r="N38" i="4" l="1"/>
  <c r="F38" i="4"/>
  <c r="G38" i="4" s="1"/>
  <c r="H38" i="4" s="1"/>
  <c r="J38" i="4" s="1"/>
  <c r="N34" i="4"/>
  <c r="F34" i="4"/>
  <c r="G34" i="4" s="1"/>
  <c r="H34" i="4" s="1"/>
  <c r="J34" i="4" s="1"/>
  <c r="N35" i="4"/>
  <c r="F35" i="4"/>
  <c r="G35" i="4" s="1"/>
  <c r="H35" i="4" s="1"/>
  <c r="J35" i="4" s="1"/>
  <c r="N48" i="4"/>
  <c r="F48" i="4"/>
  <c r="G48" i="4" s="1"/>
  <c r="H48" i="4" s="1"/>
  <c r="J48" i="4" s="1"/>
  <c r="N43" i="4"/>
  <c r="F43" i="4"/>
  <c r="G43" i="4" s="1"/>
  <c r="H43" i="4" s="1"/>
  <c r="J43" i="4" s="1"/>
  <c r="N61" i="4"/>
  <c r="F61" i="4"/>
  <c r="G61" i="4" s="1"/>
  <c r="H61" i="4" s="1"/>
  <c r="J61" i="4" s="1"/>
  <c r="N62" i="4"/>
  <c r="F62" i="4"/>
  <c r="G62" i="4" s="1"/>
  <c r="H62" i="4" s="1"/>
  <c r="J62" i="4" s="1"/>
  <c r="N57" i="4"/>
  <c r="F57" i="4"/>
  <c r="G57" i="4" s="1"/>
  <c r="H57" i="4" s="1"/>
  <c r="J57" i="4" s="1"/>
  <c r="N53" i="4"/>
  <c r="F53" i="4"/>
  <c r="G53" i="4" s="1"/>
  <c r="H53" i="4" s="1"/>
  <c r="J53" i="4" s="1"/>
  <c r="N52" i="4"/>
  <c r="F52" i="4"/>
  <c r="G52" i="4" s="1"/>
  <c r="H52" i="4" s="1"/>
  <c r="J52" i="4" s="1"/>
  <c r="N51" i="4"/>
  <c r="F51" i="4"/>
  <c r="G51" i="4" s="1"/>
  <c r="H51" i="4" s="1"/>
  <c r="J51" i="4" s="1"/>
  <c r="N49" i="4"/>
  <c r="F49" i="4"/>
  <c r="G49" i="4" s="1"/>
  <c r="H49" i="4" s="1"/>
  <c r="J49" i="4" s="1"/>
  <c r="N78" i="4"/>
  <c r="F78" i="4"/>
  <c r="G78" i="4" s="1"/>
  <c r="H78" i="4" s="1"/>
  <c r="J78" i="4" s="1"/>
  <c r="N72" i="4"/>
  <c r="F72" i="4"/>
  <c r="G72" i="4" s="1"/>
  <c r="H72" i="4" s="1"/>
  <c r="J72" i="4" s="1"/>
  <c r="N69" i="4"/>
  <c r="F69" i="4"/>
  <c r="G69" i="4" s="1"/>
  <c r="H69" i="4" s="1"/>
  <c r="J69" i="4" s="1"/>
  <c r="N65" i="4"/>
  <c r="F65" i="4"/>
  <c r="G65" i="4" s="1"/>
  <c r="H65" i="4" s="1"/>
  <c r="J65" i="4" s="1"/>
  <c r="N63" i="4"/>
  <c r="F63" i="4"/>
  <c r="G63" i="4" s="1"/>
  <c r="H63" i="4" s="1"/>
  <c r="J63" i="4" s="1"/>
  <c r="N71" i="4"/>
  <c r="F71" i="4"/>
  <c r="G71" i="4" s="1"/>
  <c r="H71" i="4" s="1"/>
  <c r="J71" i="4" s="1"/>
  <c r="N59" i="4"/>
  <c r="F59" i="4"/>
  <c r="G59" i="4" s="1"/>
  <c r="H59" i="4" s="1"/>
  <c r="J59" i="4" s="1"/>
  <c r="N64" i="4"/>
  <c r="F64" i="4"/>
  <c r="G64" i="4" s="1"/>
  <c r="H64" i="4" s="1"/>
  <c r="J64" i="4" s="1"/>
  <c r="N60" i="4"/>
  <c r="F60" i="4"/>
  <c r="G60" i="4" s="1"/>
  <c r="H60" i="4" s="1"/>
  <c r="J60" i="4" s="1"/>
  <c r="F46" i="4"/>
  <c r="G46" i="4" s="1"/>
  <c r="H46" i="4" s="1"/>
  <c r="J46" i="4" s="1"/>
  <c r="F37" i="4"/>
  <c r="G37" i="4" s="1"/>
  <c r="H37" i="4" s="1"/>
  <c r="J37" i="4" s="1"/>
  <c r="F36" i="4"/>
  <c r="G36" i="4" s="1"/>
  <c r="H36" i="4" s="1"/>
  <c r="J36" i="4" s="1"/>
  <c r="F80" i="4"/>
  <c r="G80" i="4" s="1"/>
  <c r="H80" i="4" s="1"/>
  <c r="J80" i="4" s="1"/>
  <c r="F68" i="4"/>
  <c r="G68" i="4" s="1"/>
  <c r="H68" i="4" s="1"/>
  <c r="J68" i="4" s="1"/>
  <c r="F58" i="4"/>
  <c r="G58" i="4" s="1"/>
  <c r="H58" i="4" s="1"/>
  <c r="J58" i="4" s="1"/>
  <c r="F40" i="4"/>
  <c r="G40" i="4" s="1"/>
  <c r="H40" i="4" s="1"/>
  <c r="J40" i="4" s="1"/>
  <c r="F74" i="4"/>
  <c r="G74" i="4" s="1"/>
  <c r="H74" i="4" s="1"/>
  <c r="J74" i="4" s="1"/>
  <c r="F79" i="4"/>
  <c r="G79" i="4" s="1"/>
  <c r="F75" i="4"/>
  <c r="G75" i="4" s="1"/>
  <c r="H75" i="4" s="1"/>
  <c r="J75" i="4" s="1"/>
  <c r="F54" i="4"/>
  <c r="G54" i="4" s="1"/>
  <c r="H54" i="4" s="1"/>
  <c r="J54" i="4" s="1"/>
  <c r="F81" i="4"/>
  <c r="G81" i="4" s="1"/>
  <c r="H81" i="4" s="1"/>
  <c r="J81" i="4" s="1"/>
  <c r="F77" i="4"/>
  <c r="G77" i="4" s="1"/>
  <c r="H77" i="4" s="1"/>
  <c r="J77" i="4" s="1"/>
  <c r="F66" i="4"/>
  <c r="G66" i="4" s="1"/>
  <c r="H66" i="4" s="1"/>
  <c r="J66" i="4" s="1"/>
  <c r="F73" i="4"/>
  <c r="G73" i="4" s="1"/>
  <c r="H73" i="4" s="1"/>
  <c r="J73" i="4" s="1"/>
  <c r="I168" i="4"/>
  <c r="D25" i="2" s="1"/>
  <c r="F45" i="4"/>
  <c r="G45" i="4" s="1"/>
  <c r="H45" i="4" s="1"/>
  <c r="J45" i="4" s="1"/>
  <c r="F76" i="4"/>
  <c r="G76" i="4" s="1"/>
  <c r="H76" i="4" s="1"/>
  <c r="J76" i="4" s="1"/>
  <c r="F33" i="4"/>
  <c r="G33" i="4" s="1"/>
  <c r="H33" i="4" s="1"/>
  <c r="N33" i="4"/>
  <c r="F47" i="4"/>
  <c r="G47" i="4" s="1"/>
  <c r="H47" i="4" s="1"/>
  <c r="J47" i="4" s="1"/>
  <c r="N47" i="4"/>
  <c r="F41" i="4"/>
  <c r="G41" i="4" s="1"/>
  <c r="H41" i="4" s="1"/>
  <c r="N41" i="4"/>
  <c r="F70" i="4"/>
  <c r="G70" i="4" s="1"/>
  <c r="H70" i="4" s="1"/>
  <c r="N70" i="4"/>
  <c r="F67" i="4"/>
  <c r="G67" i="4" s="1"/>
  <c r="H67" i="4" s="1"/>
  <c r="N67" i="4"/>
  <c r="F55" i="4"/>
  <c r="G55" i="4" s="1"/>
  <c r="H55" i="4" s="1"/>
  <c r="N55" i="4"/>
  <c r="F56" i="4"/>
  <c r="G56" i="4" s="1"/>
  <c r="H56" i="4" s="1"/>
  <c r="N56" i="4"/>
  <c r="F50" i="4"/>
  <c r="G50" i="4" s="1"/>
  <c r="H50" i="4" s="1"/>
  <c r="N50" i="4"/>
  <c r="N84" i="4"/>
  <c r="F84" i="4"/>
  <c r="G84" i="4" s="1"/>
  <c r="H84" i="4" s="1"/>
  <c r="J84" i="4" s="1"/>
  <c r="N82" i="4"/>
  <c r="F82" i="4"/>
  <c r="G82" i="4" s="1"/>
  <c r="H82" i="4" s="1"/>
  <c r="J82" i="4" s="1"/>
  <c r="N83" i="4"/>
  <c r="F83" i="4"/>
  <c r="G83" i="4" s="1"/>
  <c r="H83" i="4" s="1"/>
  <c r="J83" i="4" s="1"/>
  <c r="N85" i="4"/>
  <c r="F85" i="4"/>
  <c r="G85" i="4" s="1"/>
  <c r="H85" i="4" s="1"/>
  <c r="J85" i="4" s="1"/>
  <c r="N113" i="4"/>
  <c r="F113" i="4"/>
  <c r="G113" i="4" s="1"/>
  <c r="H113" i="4" s="1"/>
  <c r="J113" i="4" s="1"/>
  <c r="N108" i="4"/>
  <c r="F108" i="4"/>
  <c r="G108" i="4" s="1"/>
  <c r="H108" i="4" s="1"/>
  <c r="J108" i="4" s="1"/>
  <c r="N105" i="4"/>
  <c r="F105" i="4"/>
  <c r="G105" i="4" s="1"/>
  <c r="H105" i="4" s="1"/>
  <c r="J105" i="4" s="1"/>
  <c r="N104" i="4"/>
  <c r="F104" i="4"/>
  <c r="G104" i="4" s="1"/>
  <c r="H104" i="4" s="1"/>
  <c r="J104" i="4" s="1"/>
  <c r="N98" i="4"/>
  <c r="F98" i="4"/>
  <c r="G98" i="4" s="1"/>
  <c r="H98" i="4" s="1"/>
  <c r="J98" i="4" s="1"/>
  <c r="N91" i="4"/>
  <c r="F91" i="4"/>
  <c r="G91" i="4" s="1"/>
  <c r="H91" i="4" s="1"/>
  <c r="J91" i="4" s="1"/>
  <c r="N95" i="4"/>
  <c r="F95" i="4"/>
  <c r="G95" i="4" s="1"/>
  <c r="H95" i="4" s="1"/>
  <c r="J95" i="4" s="1"/>
  <c r="N93" i="4"/>
  <c r="F93" i="4"/>
  <c r="G93" i="4" s="1"/>
  <c r="H93" i="4" s="1"/>
  <c r="J93" i="4" s="1"/>
  <c r="N87" i="4"/>
  <c r="F87" i="4"/>
  <c r="G87" i="4" s="1"/>
  <c r="H87" i="4" s="1"/>
  <c r="J87" i="4" s="1"/>
  <c r="N89" i="4"/>
  <c r="F89" i="4"/>
  <c r="G89" i="4" s="1"/>
  <c r="H89" i="4" s="1"/>
  <c r="J89" i="4" s="1"/>
  <c r="N111" i="4"/>
  <c r="F111" i="4"/>
  <c r="G111" i="4" s="1"/>
  <c r="H111" i="4" s="1"/>
  <c r="J111" i="4" s="1"/>
  <c r="N109" i="4"/>
  <c r="F109" i="4"/>
  <c r="G109" i="4" s="1"/>
  <c r="H109" i="4" s="1"/>
  <c r="J109" i="4" s="1"/>
  <c r="N114" i="4"/>
  <c r="F114" i="4"/>
  <c r="G114" i="4" s="1"/>
  <c r="H114" i="4" s="1"/>
  <c r="J114" i="4" s="1"/>
  <c r="N112" i="4"/>
  <c r="F112" i="4"/>
  <c r="G112" i="4" s="1"/>
  <c r="H112" i="4" s="1"/>
  <c r="J112" i="4" s="1"/>
  <c r="N110" i="4"/>
  <c r="F110" i="4"/>
  <c r="G110" i="4" s="1"/>
  <c r="H110" i="4" s="1"/>
  <c r="J110" i="4" s="1"/>
  <c r="N107" i="4"/>
  <c r="F107" i="4"/>
  <c r="G107" i="4" s="1"/>
  <c r="H107" i="4" s="1"/>
  <c r="J107" i="4" s="1"/>
  <c r="N106" i="4"/>
  <c r="F106" i="4"/>
  <c r="G106" i="4" s="1"/>
  <c r="H106" i="4" s="1"/>
  <c r="J106" i="4" s="1"/>
  <c r="N99" i="4"/>
  <c r="F99" i="4"/>
  <c r="G99" i="4" s="1"/>
  <c r="H99" i="4" s="1"/>
  <c r="J99" i="4" s="1"/>
  <c r="N94" i="4"/>
  <c r="F94" i="4"/>
  <c r="G94" i="4" s="1"/>
  <c r="H94" i="4" s="1"/>
  <c r="J94" i="4" s="1"/>
  <c r="N92" i="4"/>
  <c r="F92" i="4"/>
  <c r="G92" i="4" s="1"/>
  <c r="H92" i="4" s="1"/>
  <c r="J92" i="4" s="1"/>
  <c r="N103" i="4"/>
  <c r="F103" i="4"/>
  <c r="G103" i="4" s="1"/>
  <c r="H103" i="4" s="1"/>
  <c r="J103" i="4" s="1"/>
  <c r="N102" i="4"/>
  <c r="F102" i="4"/>
  <c r="G102" i="4" s="1"/>
  <c r="H102" i="4" s="1"/>
  <c r="J102" i="4" s="1"/>
  <c r="N101" i="4"/>
  <c r="F101" i="4"/>
  <c r="G101" i="4" s="1"/>
  <c r="H101" i="4" s="1"/>
  <c r="J101" i="4" s="1"/>
  <c r="N100" i="4"/>
  <c r="F100" i="4"/>
  <c r="G100" i="4" s="1"/>
  <c r="H100" i="4" s="1"/>
  <c r="J100" i="4" s="1"/>
  <c r="N97" i="4"/>
  <c r="F97" i="4"/>
  <c r="G97" i="4" s="1"/>
  <c r="H97" i="4" s="1"/>
  <c r="J97" i="4" s="1"/>
  <c r="N96" i="4"/>
  <c r="F96" i="4"/>
  <c r="G96" i="4" s="1"/>
  <c r="H96" i="4" s="1"/>
  <c r="J96" i="4" s="1"/>
  <c r="N86" i="4"/>
  <c r="F86" i="4"/>
  <c r="G86" i="4" s="1"/>
  <c r="H86" i="4" s="1"/>
  <c r="J86" i="4" s="1"/>
  <c r="N88" i="4"/>
  <c r="F88" i="4"/>
  <c r="G88" i="4" s="1"/>
  <c r="H88" i="4" s="1"/>
  <c r="J88" i="4" s="1"/>
  <c r="N90" i="4"/>
  <c r="F90" i="4"/>
  <c r="G90" i="4" s="1"/>
  <c r="H90" i="4" s="1"/>
  <c r="J90" i="4" s="1"/>
  <c r="D172" i="4"/>
  <c r="E21" i="7"/>
  <c r="N123" i="4"/>
  <c r="F123" i="4"/>
  <c r="G123" i="4" s="1"/>
  <c r="H123" i="4" s="1"/>
  <c r="J123" i="4" s="1"/>
  <c r="N118" i="4"/>
  <c r="F118" i="4"/>
  <c r="G118" i="4" s="1"/>
  <c r="H118" i="4" s="1"/>
  <c r="J118" i="4" s="1"/>
  <c r="N155" i="4"/>
  <c r="F155" i="4"/>
  <c r="G155" i="4" s="1"/>
  <c r="H155" i="4" s="1"/>
  <c r="J155" i="4" s="1"/>
  <c r="N152" i="4"/>
  <c r="F152" i="4"/>
  <c r="G152" i="4" s="1"/>
  <c r="H152" i="4" s="1"/>
  <c r="J152" i="4" s="1"/>
  <c r="N149" i="4"/>
  <c r="F149" i="4"/>
  <c r="G149" i="4" s="1"/>
  <c r="H149" i="4" s="1"/>
  <c r="J149" i="4" s="1"/>
  <c r="N148" i="4"/>
  <c r="F148" i="4"/>
  <c r="G148" i="4" s="1"/>
  <c r="H148" i="4" s="1"/>
  <c r="J148" i="4" s="1"/>
  <c r="N145" i="4"/>
  <c r="F145" i="4"/>
  <c r="G145" i="4" s="1"/>
  <c r="H145" i="4" s="1"/>
  <c r="J145" i="4" s="1"/>
  <c r="N142" i="4"/>
  <c r="F142" i="4"/>
  <c r="G142" i="4" s="1"/>
  <c r="H142" i="4" s="1"/>
  <c r="J142" i="4" s="1"/>
  <c r="N141" i="4"/>
  <c r="F141" i="4"/>
  <c r="G141" i="4" s="1"/>
  <c r="H141" i="4" s="1"/>
  <c r="J141" i="4" s="1"/>
  <c r="N140" i="4"/>
  <c r="F140" i="4"/>
  <c r="G140" i="4" s="1"/>
  <c r="H140" i="4" s="1"/>
  <c r="J140" i="4" s="1"/>
  <c r="N137" i="4"/>
  <c r="F137" i="4"/>
  <c r="G137" i="4" s="1"/>
  <c r="H137" i="4" s="1"/>
  <c r="J137" i="4" s="1"/>
  <c r="N136" i="4"/>
  <c r="F136" i="4"/>
  <c r="G136" i="4" s="1"/>
  <c r="H136" i="4" s="1"/>
  <c r="J136" i="4" s="1"/>
  <c r="N133" i="4"/>
  <c r="F133" i="4"/>
  <c r="G133" i="4" s="1"/>
  <c r="H133" i="4" s="1"/>
  <c r="J133" i="4" s="1"/>
  <c r="N130" i="4"/>
  <c r="F130" i="4"/>
  <c r="G130" i="4" s="1"/>
  <c r="H130" i="4" s="1"/>
  <c r="J130" i="4" s="1"/>
  <c r="N124" i="4"/>
  <c r="F124" i="4"/>
  <c r="G124" i="4" s="1"/>
  <c r="H124" i="4" s="1"/>
  <c r="J124" i="4" s="1"/>
  <c r="N121" i="4"/>
  <c r="F121" i="4"/>
  <c r="G121" i="4" s="1"/>
  <c r="H121" i="4" s="1"/>
  <c r="J121" i="4" s="1"/>
  <c r="N120" i="4"/>
  <c r="F120" i="4"/>
  <c r="G120" i="4" s="1"/>
  <c r="H120" i="4" s="1"/>
  <c r="J120" i="4" s="1"/>
  <c r="N117" i="4"/>
  <c r="F117" i="4"/>
  <c r="G117" i="4" s="1"/>
  <c r="H117" i="4" s="1"/>
  <c r="J117" i="4" s="1"/>
  <c r="N115" i="4"/>
  <c r="F115" i="4"/>
  <c r="G115" i="4" s="1"/>
  <c r="H115" i="4" s="1"/>
  <c r="J115" i="4" s="1"/>
  <c r="N167" i="4"/>
  <c r="F167" i="4"/>
  <c r="G167" i="4" s="1"/>
  <c r="H167" i="4" s="1"/>
  <c r="J167" i="4" s="1"/>
  <c r="N166" i="4"/>
  <c r="F166" i="4"/>
  <c r="G166" i="4" s="1"/>
  <c r="H166" i="4" s="1"/>
  <c r="J166" i="4" s="1"/>
  <c r="N165" i="4"/>
  <c r="F165" i="4"/>
  <c r="G165" i="4" s="1"/>
  <c r="H165" i="4" s="1"/>
  <c r="J165" i="4" s="1"/>
  <c r="N164" i="4"/>
  <c r="F164" i="4"/>
  <c r="G164" i="4" s="1"/>
  <c r="H164" i="4" s="1"/>
  <c r="J164" i="4" s="1"/>
  <c r="N163" i="4"/>
  <c r="F163" i="4"/>
  <c r="G163" i="4" s="1"/>
  <c r="H163" i="4" s="1"/>
  <c r="J163" i="4" s="1"/>
  <c r="N162" i="4"/>
  <c r="F162" i="4"/>
  <c r="G162" i="4" s="1"/>
  <c r="H162" i="4" s="1"/>
  <c r="J162" i="4" s="1"/>
  <c r="N161" i="4"/>
  <c r="F161" i="4"/>
  <c r="G161" i="4" s="1"/>
  <c r="H161" i="4" s="1"/>
  <c r="J161" i="4" s="1"/>
  <c r="N160" i="4"/>
  <c r="F160" i="4"/>
  <c r="G160" i="4" s="1"/>
  <c r="H160" i="4" s="1"/>
  <c r="J160" i="4" s="1"/>
  <c r="N159" i="4"/>
  <c r="F159" i="4"/>
  <c r="G159" i="4" s="1"/>
  <c r="H159" i="4" s="1"/>
  <c r="J159" i="4" s="1"/>
  <c r="N158" i="4"/>
  <c r="F158" i="4"/>
  <c r="G158" i="4" s="1"/>
  <c r="H158" i="4" s="1"/>
  <c r="J158" i="4" s="1"/>
  <c r="N157" i="4"/>
  <c r="F157" i="4"/>
  <c r="G157" i="4" s="1"/>
  <c r="H157" i="4" s="1"/>
  <c r="J157" i="4" s="1"/>
  <c r="N156" i="4"/>
  <c r="F156" i="4"/>
  <c r="G156" i="4" s="1"/>
  <c r="H156" i="4" s="1"/>
  <c r="J156" i="4" s="1"/>
  <c r="N154" i="4"/>
  <c r="F154" i="4"/>
  <c r="G154" i="4" s="1"/>
  <c r="H154" i="4" s="1"/>
  <c r="J154" i="4" s="1"/>
  <c r="N151" i="4"/>
  <c r="F151" i="4"/>
  <c r="G151" i="4" s="1"/>
  <c r="H151" i="4" s="1"/>
  <c r="J151" i="4" s="1"/>
  <c r="N147" i="4"/>
  <c r="F147" i="4"/>
  <c r="G147" i="4" s="1"/>
  <c r="H147" i="4" s="1"/>
  <c r="J147" i="4" s="1"/>
  <c r="N144" i="4"/>
  <c r="F144" i="4"/>
  <c r="G144" i="4" s="1"/>
  <c r="H144" i="4" s="1"/>
  <c r="J144" i="4" s="1"/>
  <c r="N135" i="4"/>
  <c r="F135" i="4"/>
  <c r="G135" i="4" s="1"/>
  <c r="H135" i="4" s="1"/>
  <c r="J135" i="4" s="1"/>
  <c r="N131" i="4"/>
  <c r="F131" i="4"/>
  <c r="G131" i="4" s="1"/>
  <c r="H131" i="4" s="1"/>
  <c r="J131" i="4" s="1"/>
  <c r="N128" i="4"/>
  <c r="F128" i="4"/>
  <c r="G128" i="4" s="1"/>
  <c r="H128" i="4" s="1"/>
  <c r="J128" i="4" s="1"/>
  <c r="N126" i="4"/>
  <c r="F126" i="4"/>
  <c r="G126" i="4" s="1"/>
  <c r="H126" i="4" s="1"/>
  <c r="J126" i="4" s="1"/>
  <c r="N134" i="4"/>
  <c r="F134" i="4"/>
  <c r="G134" i="4" s="1"/>
  <c r="H134" i="4" s="1"/>
  <c r="J134" i="4" s="1"/>
  <c r="N132" i="4"/>
  <c r="F132" i="4"/>
  <c r="G132" i="4" s="1"/>
  <c r="H132" i="4" s="1"/>
  <c r="J132" i="4" s="1"/>
  <c r="N129" i="4"/>
  <c r="F129" i="4"/>
  <c r="G129" i="4" s="1"/>
  <c r="H129" i="4" s="1"/>
  <c r="J129" i="4" s="1"/>
  <c r="N127" i="4"/>
  <c r="F127" i="4"/>
  <c r="G127" i="4" s="1"/>
  <c r="H127" i="4" s="1"/>
  <c r="J127" i="4" s="1"/>
  <c r="N125" i="4"/>
  <c r="F125" i="4"/>
  <c r="G125" i="4" s="1"/>
  <c r="H125" i="4" s="1"/>
  <c r="J125" i="4" s="1"/>
  <c r="N122" i="4"/>
  <c r="F122" i="4"/>
  <c r="G122" i="4" s="1"/>
  <c r="H122" i="4" s="1"/>
  <c r="J122" i="4" s="1"/>
  <c r="N119" i="4"/>
  <c r="F119" i="4"/>
  <c r="G119" i="4" s="1"/>
  <c r="H119" i="4" s="1"/>
  <c r="J119" i="4" s="1"/>
  <c r="N116" i="4"/>
  <c r="F116" i="4"/>
  <c r="G116" i="4" s="1"/>
  <c r="H116" i="4" s="1"/>
  <c r="J116" i="4" s="1"/>
  <c r="N153" i="4"/>
  <c r="F153" i="4"/>
  <c r="G153" i="4" s="1"/>
  <c r="H153" i="4" s="1"/>
  <c r="J153" i="4" s="1"/>
  <c r="N150" i="4"/>
  <c r="F150" i="4"/>
  <c r="G150" i="4" s="1"/>
  <c r="H150" i="4" s="1"/>
  <c r="J150" i="4" s="1"/>
  <c r="N146" i="4"/>
  <c r="F146" i="4"/>
  <c r="G146" i="4" s="1"/>
  <c r="H146" i="4" s="1"/>
  <c r="J146" i="4" s="1"/>
  <c r="N143" i="4"/>
  <c r="F143" i="4"/>
  <c r="G143" i="4" s="1"/>
  <c r="H143" i="4" s="1"/>
  <c r="J143" i="4" s="1"/>
  <c r="N139" i="4"/>
  <c r="F139" i="4"/>
  <c r="G139" i="4" s="1"/>
  <c r="H139" i="4" s="1"/>
  <c r="J139" i="4" s="1"/>
  <c r="N4" i="4"/>
  <c r="F4" i="4"/>
  <c r="E28" i="7"/>
  <c r="D28" i="7" s="1"/>
  <c r="D19" i="2"/>
  <c r="D12" i="6"/>
  <c r="E49" i="3"/>
  <c r="F49" i="3" s="1"/>
  <c r="C25" i="2"/>
  <c r="H4" i="3"/>
  <c r="J4" i="3"/>
  <c r="J43" i="3" s="1"/>
  <c r="E27" i="7"/>
  <c r="D27" i="7" s="1"/>
  <c r="F43" i="3"/>
  <c r="E47" i="3" s="1"/>
  <c r="F47" i="3" s="1"/>
  <c r="E22" i="7" s="1"/>
  <c r="D23" i="7" s="1"/>
  <c r="L4" i="3"/>
  <c r="D18" i="5" s="1"/>
  <c r="C21" i="2"/>
  <c r="D10" i="5"/>
  <c r="E168" i="4"/>
  <c r="E20" i="7"/>
  <c r="D20" i="7" s="1"/>
  <c r="D173" i="4"/>
  <c r="D138" i="4"/>
  <c r="D168" i="4" s="1"/>
  <c r="K168" i="4"/>
  <c r="D171" i="4" s="1"/>
  <c r="H79" i="4" l="1"/>
  <c r="D15" i="6"/>
  <c r="G4" i="4"/>
  <c r="D20" i="2"/>
  <c r="D10" i="6"/>
  <c r="D12" i="5"/>
  <c r="I4" i="3"/>
  <c r="I43" i="3" s="1"/>
  <c r="H43" i="3"/>
  <c r="C22" i="2" s="1"/>
  <c r="A19" i="5"/>
  <c r="A30" i="5"/>
  <c r="D30" i="5"/>
  <c r="F30" i="5"/>
  <c r="G30" i="5"/>
  <c r="A31" i="5"/>
  <c r="D31" i="5"/>
  <c r="F31" i="5"/>
  <c r="G31" i="5"/>
  <c r="A32" i="5"/>
  <c r="D32" i="5"/>
  <c r="F32" i="5"/>
  <c r="G32" i="5"/>
  <c r="A33" i="5"/>
  <c r="D33" i="5"/>
  <c r="F33" i="5"/>
  <c r="G33" i="5"/>
  <c r="A34" i="5"/>
  <c r="D34" i="5"/>
  <c r="F34" i="5"/>
  <c r="G34" i="5"/>
  <c r="A35" i="5"/>
  <c r="D35" i="5"/>
  <c r="F35" i="5"/>
  <c r="G35" i="5"/>
  <c r="A36" i="5"/>
  <c r="D36" i="5"/>
  <c r="F36" i="5"/>
  <c r="G36" i="5"/>
  <c r="A37" i="5"/>
  <c r="D37" i="5"/>
  <c r="F37" i="5"/>
  <c r="G37" i="5"/>
  <c r="A38" i="5"/>
  <c r="D38" i="5"/>
  <c r="F38" i="5"/>
  <c r="G38" i="5"/>
  <c r="A39" i="5"/>
  <c r="D39" i="5"/>
  <c r="F39" i="5"/>
  <c r="G39" i="5"/>
  <c r="A40" i="5"/>
  <c r="D40" i="5"/>
  <c r="F40" i="5"/>
  <c r="G40" i="5"/>
  <c r="A41" i="5"/>
  <c r="D41" i="5"/>
  <c r="F41" i="5"/>
  <c r="G41" i="5"/>
  <c r="A42" i="5"/>
  <c r="D42" i="5"/>
  <c r="F42" i="5"/>
  <c r="G42" i="5"/>
  <c r="A43" i="5"/>
  <c r="D43" i="5"/>
  <c r="F43" i="5"/>
  <c r="G43" i="5"/>
  <c r="A44" i="5"/>
  <c r="D44" i="5"/>
  <c r="F44" i="5"/>
  <c r="G44" i="5"/>
  <c r="A45" i="5"/>
  <c r="D45" i="5"/>
  <c r="F45" i="5"/>
  <c r="G45" i="5"/>
  <c r="A46" i="5"/>
  <c r="D46" i="5"/>
  <c r="F46" i="5"/>
  <c r="G46" i="5"/>
  <c r="A47" i="5"/>
  <c r="D47" i="5"/>
  <c r="F47" i="5"/>
  <c r="G47" i="5"/>
  <c r="A48" i="5"/>
  <c r="D48" i="5"/>
  <c r="F48" i="5"/>
  <c r="G48" i="5"/>
  <c r="A49" i="5"/>
  <c r="D49" i="5"/>
  <c r="F49" i="5"/>
  <c r="G49" i="5"/>
  <c r="A50" i="5"/>
  <c r="D50" i="5"/>
  <c r="F50" i="5"/>
  <c r="G50" i="5"/>
  <c r="A51" i="5"/>
  <c r="D51" i="5"/>
  <c r="F51" i="5"/>
  <c r="G51" i="5"/>
  <c r="A52" i="5"/>
  <c r="D52" i="5"/>
  <c r="F52" i="5"/>
  <c r="G52" i="5"/>
  <c r="A53" i="5"/>
  <c r="D53" i="5"/>
  <c r="F53" i="5"/>
  <c r="G53" i="5"/>
  <c r="A54" i="5"/>
  <c r="D54" i="5"/>
  <c r="F54" i="5"/>
  <c r="G54" i="5"/>
  <c r="A55" i="5"/>
  <c r="D55" i="5"/>
  <c r="F55" i="5"/>
  <c r="G55" i="5"/>
  <c r="A56" i="5"/>
  <c r="D56" i="5"/>
  <c r="F56" i="5"/>
  <c r="G56" i="5"/>
  <c r="A57" i="5"/>
  <c r="D57" i="5"/>
  <c r="F57" i="5"/>
  <c r="G57" i="5"/>
  <c r="A58" i="5"/>
  <c r="D58" i="5"/>
  <c r="F58" i="5"/>
  <c r="G58" i="5"/>
  <c r="A59" i="5"/>
  <c r="D59" i="5"/>
  <c r="F59" i="5"/>
  <c r="G59" i="5"/>
  <c r="A60" i="5"/>
  <c r="D60" i="5"/>
  <c r="F60" i="5"/>
  <c r="G60" i="5"/>
  <c r="A61" i="5"/>
  <c r="D61" i="5"/>
  <c r="F61" i="5"/>
  <c r="G61" i="5"/>
  <c r="A62" i="5"/>
  <c r="D62" i="5"/>
  <c r="F62" i="5"/>
  <c r="G62" i="5"/>
  <c r="A63" i="5"/>
  <c r="D63" i="5"/>
  <c r="F63" i="5"/>
  <c r="G63" i="5"/>
  <c r="A64" i="5"/>
  <c r="D64" i="5"/>
  <c r="F64" i="5"/>
  <c r="G64" i="5"/>
  <c r="A65" i="5"/>
  <c r="D65" i="5"/>
  <c r="F65" i="5"/>
  <c r="G65" i="5"/>
  <c r="A66" i="5"/>
  <c r="D66" i="5"/>
  <c r="F66" i="5"/>
  <c r="G66" i="5"/>
  <c r="A67" i="5"/>
  <c r="D67" i="5"/>
  <c r="F67" i="5"/>
  <c r="G67" i="5"/>
  <c r="A68" i="5"/>
  <c r="D68" i="5"/>
  <c r="F68" i="5"/>
  <c r="G68" i="5"/>
  <c r="D15" i="5"/>
  <c r="D22" i="5"/>
  <c r="F138" i="4"/>
  <c r="N138" i="4"/>
  <c r="D174" i="4"/>
  <c r="E26" i="7" s="1"/>
  <c r="D26" i="7" s="1"/>
  <c r="D21" i="6"/>
  <c r="D22" i="2" l="1"/>
  <c r="D25" i="6" s="1"/>
  <c r="J79" i="4"/>
  <c r="L18" i="6"/>
  <c r="A18" i="6"/>
  <c r="A16" i="6"/>
  <c r="D18" i="6"/>
  <c r="M18" i="6"/>
  <c r="D11" i="6"/>
  <c r="D21" i="2"/>
  <c r="H4" i="4"/>
  <c r="C26" i="2"/>
  <c r="D23" i="5"/>
  <c r="A22" i="6"/>
  <c r="A34" i="6"/>
  <c r="C34" i="6"/>
  <c r="I34" i="6"/>
  <c r="J34" i="6"/>
  <c r="L34" i="6"/>
  <c r="M34" i="6"/>
  <c r="A35" i="6"/>
  <c r="C35" i="6"/>
  <c r="I35" i="6"/>
  <c r="J35" i="6"/>
  <c r="L35" i="6"/>
  <c r="M35" i="6"/>
  <c r="A36" i="6"/>
  <c r="C36" i="6"/>
  <c r="I36" i="6"/>
  <c r="J36" i="6"/>
  <c r="L36" i="6"/>
  <c r="M36" i="6"/>
  <c r="A37" i="6"/>
  <c r="C37" i="6"/>
  <c r="I37" i="6"/>
  <c r="J37" i="6"/>
  <c r="L37" i="6"/>
  <c r="M37" i="6"/>
  <c r="A38" i="6"/>
  <c r="C38" i="6"/>
  <c r="I38" i="6"/>
  <c r="J38" i="6"/>
  <c r="L38" i="6"/>
  <c r="M38" i="6"/>
  <c r="A39" i="6"/>
  <c r="C39" i="6"/>
  <c r="I39" i="6"/>
  <c r="J39" i="6"/>
  <c r="L39" i="6"/>
  <c r="M39" i="6"/>
  <c r="A40" i="6"/>
  <c r="C40" i="6"/>
  <c r="I40" i="6"/>
  <c r="J40" i="6"/>
  <c r="L40" i="6"/>
  <c r="M40" i="6"/>
  <c r="A41" i="6"/>
  <c r="C41" i="6"/>
  <c r="I41" i="6"/>
  <c r="J41" i="6"/>
  <c r="L41" i="6"/>
  <c r="M41" i="6"/>
  <c r="A42" i="6"/>
  <c r="C42" i="6"/>
  <c r="I42" i="6"/>
  <c r="J42" i="6"/>
  <c r="L42" i="6"/>
  <c r="M42" i="6"/>
  <c r="A43" i="6"/>
  <c r="C43" i="6"/>
  <c r="I43" i="6"/>
  <c r="J43" i="6"/>
  <c r="L43" i="6"/>
  <c r="M43" i="6"/>
  <c r="A44" i="6"/>
  <c r="C44" i="6"/>
  <c r="I44" i="6"/>
  <c r="J44" i="6"/>
  <c r="L44" i="6"/>
  <c r="M44" i="6"/>
  <c r="A45" i="6"/>
  <c r="C45" i="6"/>
  <c r="I45" i="6"/>
  <c r="J45" i="6"/>
  <c r="L45" i="6"/>
  <c r="M45" i="6"/>
  <c r="A46" i="6"/>
  <c r="C46" i="6"/>
  <c r="I46" i="6"/>
  <c r="J46" i="6"/>
  <c r="L46" i="6"/>
  <c r="M46" i="6"/>
  <c r="A47" i="6"/>
  <c r="C47" i="6"/>
  <c r="I47" i="6"/>
  <c r="J47" i="6"/>
  <c r="L47" i="6"/>
  <c r="M47" i="6"/>
  <c r="A48" i="6"/>
  <c r="C48" i="6"/>
  <c r="I48" i="6"/>
  <c r="J48" i="6"/>
  <c r="L48" i="6"/>
  <c r="M48" i="6"/>
  <c r="A49" i="6"/>
  <c r="C49" i="6"/>
  <c r="I49" i="6"/>
  <c r="J49" i="6"/>
  <c r="L49" i="6"/>
  <c r="M49" i="6"/>
  <c r="A50" i="6"/>
  <c r="C50" i="6"/>
  <c r="I50" i="6"/>
  <c r="J50" i="6"/>
  <c r="L50" i="6"/>
  <c r="M50" i="6"/>
  <c r="A51" i="6"/>
  <c r="C51" i="6"/>
  <c r="I51" i="6"/>
  <c r="J51" i="6"/>
  <c r="L51" i="6"/>
  <c r="M51" i="6"/>
  <c r="A52" i="6"/>
  <c r="C52" i="6"/>
  <c r="I52" i="6"/>
  <c r="J52" i="6"/>
  <c r="L52" i="6"/>
  <c r="M52" i="6"/>
  <c r="A53" i="6"/>
  <c r="C53" i="6"/>
  <c r="I53" i="6"/>
  <c r="J53" i="6"/>
  <c r="L53" i="6"/>
  <c r="M53" i="6"/>
  <c r="A54" i="6"/>
  <c r="C54" i="6"/>
  <c r="I54" i="6"/>
  <c r="J54" i="6"/>
  <c r="L54" i="6"/>
  <c r="M54" i="6"/>
  <c r="A55" i="6"/>
  <c r="C55" i="6"/>
  <c r="I55" i="6"/>
  <c r="J55" i="6"/>
  <c r="L55" i="6"/>
  <c r="M55" i="6"/>
  <c r="A56" i="6"/>
  <c r="C56" i="6"/>
  <c r="I56" i="6"/>
  <c r="J56" i="6"/>
  <c r="L56" i="6"/>
  <c r="M56" i="6"/>
  <c r="A57" i="6"/>
  <c r="C57" i="6"/>
  <c r="I57" i="6"/>
  <c r="J57" i="6"/>
  <c r="L57" i="6"/>
  <c r="M57" i="6"/>
  <c r="A58" i="6"/>
  <c r="C58" i="6"/>
  <c r="I58" i="6"/>
  <c r="J58" i="6"/>
  <c r="L58" i="6"/>
  <c r="M58" i="6"/>
  <c r="A59" i="6"/>
  <c r="C59" i="6"/>
  <c r="I59" i="6"/>
  <c r="J59" i="6"/>
  <c r="L59" i="6"/>
  <c r="M59" i="6"/>
  <c r="A60" i="6"/>
  <c r="C60" i="6"/>
  <c r="I60" i="6"/>
  <c r="J60" i="6"/>
  <c r="L60" i="6"/>
  <c r="M60" i="6"/>
  <c r="A61" i="6"/>
  <c r="C61" i="6"/>
  <c r="I61" i="6"/>
  <c r="J61" i="6"/>
  <c r="L61" i="6"/>
  <c r="M61" i="6"/>
  <c r="A62" i="6"/>
  <c r="C62" i="6"/>
  <c r="I62" i="6"/>
  <c r="J62" i="6"/>
  <c r="L62" i="6"/>
  <c r="M62" i="6"/>
  <c r="A63" i="6"/>
  <c r="C63" i="6"/>
  <c r="I63" i="6"/>
  <c r="J63" i="6"/>
  <c r="L63" i="6"/>
  <c r="M63" i="6"/>
  <c r="A64" i="6"/>
  <c r="C64" i="6"/>
  <c r="I64" i="6"/>
  <c r="J64" i="6"/>
  <c r="L64" i="6"/>
  <c r="M64" i="6"/>
  <c r="A65" i="6"/>
  <c r="C65" i="6"/>
  <c r="I65" i="6"/>
  <c r="J65" i="6"/>
  <c r="L65" i="6"/>
  <c r="M65" i="6"/>
  <c r="A66" i="6"/>
  <c r="C66" i="6"/>
  <c r="I66" i="6"/>
  <c r="J66" i="6"/>
  <c r="L66" i="6"/>
  <c r="M66" i="6"/>
  <c r="A67" i="6"/>
  <c r="C67" i="6"/>
  <c r="I67" i="6"/>
  <c r="J67" i="6"/>
  <c r="L67" i="6"/>
  <c r="M67" i="6"/>
  <c r="A68" i="6"/>
  <c r="C68" i="6"/>
  <c r="I68" i="6"/>
  <c r="J68" i="6"/>
  <c r="L68" i="6"/>
  <c r="M68" i="6"/>
  <c r="A69" i="6"/>
  <c r="C69" i="6"/>
  <c r="I69" i="6"/>
  <c r="J69" i="6"/>
  <c r="L69" i="6"/>
  <c r="M69" i="6"/>
  <c r="A70" i="6"/>
  <c r="C70" i="6"/>
  <c r="I70" i="6"/>
  <c r="J70" i="6"/>
  <c r="L70" i="6"/>
  <c r="M70" i="6"/>
  <c r="A71" i="6"/>
  <c r="C71" i="6"/>
  <c r="I71" i="6"/>
  <c r="J71" i="6"/>
  <c r="L71" i="6"/>
  <c r="M71" i="6"/>
  <c r="A72" i="6"/>
  <c r="C72" i="6"/>
  <c r="I72" i="6"/>
  <c r="J72" i="6"/>
  <c r="L72" i="6"/>
  <c r="M72" i="6"/>
  <c r="A73" i="6"/>
  <c r="C73" i="6"/>
  <c r="I73" i="6"/>
  <c r="J73" i="6"/>
  <c r="L73" i="6"/>
  <c r="M73" i="6"/>
  <c r="A74" i="6"/>
  <c r="C74" i="6"/>
  <c r="I74" i="6"/>
  <c r="J74" i="6"/>
  <c r="L74" i="6"/>
  <c r="M74" i="6"/>
  <c r="A75" i="6"/>
  <c r="C75" i="6"/>
  <c r="I75" i="6"/>
  <c r="J75" i="6"/>
  <c r="L75" i="6"/>
  <c r="M75" i="6"/>
  <c r="A76" i="6"/>
  <c r="C76" i="6"/>
  <c r="I76" i="6"/>
  <c r="J76" i="6"/>
  <c r="L76" i="6"/>
  <c r="M76" i="6"/>
  <c r="A77" i="6"/>
  <c r="C77" i="6"/>
  <c r="I77" i="6"/>
  <c r="J77" i="6"/>
  <c r="L77" i="6"/>
  <c r="M77" i="6"/>
  <c r="A78" i="6"/>
  <c r="C78" i="6"/>
  <c r="I78" i="6"/>
  <c r="J78" i="6"/>
  <c r="L78" i="6"/>
  <c r="M78" i="6"/>
  <c r="A79" i="6"/>
  <c r="C79" i="6"/>
  <c r="I79" i="6"/>
  <c r="J79" i="6"/>
  <c r="L79" i="6"/>
  <c r="M79" i="6"/>
  <c r="A80" i="6"/>
  <c r="C80" i="6"/>
  <c r="I80" i="6"/>
  <c r="J80" i="6"/>
  <c r="L80" i="6"/>
  <c r="M80" i="6"/>
  <c r="A81" i="6"/>
  <c r="C81" i="6"/>
  <c r="I81" i="6"/>
  <c r="J81" i="6"/>
  <c r="L81" i="6"/>
  <c r="M81" i="6"/>
  <c r="A82" i="6"/>
  <c r="C82" i="6"/>
  <c r="I82" i="6"/>
  <c r="J82" i="6"/>
  <c r="L82" i="6"/>
  <c r="M82" i="6"/>
  <c r="A83" i="6"/>
  <c r="C83" i="6"/>
  <c r="I83" i="6"/>
  <c r="J83" i="6"/>
  <c r="L83" i="6"/>
  <c r="M83" i="6"/>
  <c r="A84" i="6"/>
  <c r="C84" i="6"/>
  <c r="I84" i="6"/>
  <c r="J84" i="6"/>
  <c r="L84" i="6"/>
  <c r="M84" i="6"/>
  <c r="A85" i="6"/>
  <c r="C85" i="6"/>
  <c r="I85" i="6"/>
  <c r="J85" i="6"/>
  <c r="L85" i="6"/>
  <c r="M85" i="6"/>
  <c r="A86" i="6"/>
  <c r="C86" i="6"/>
  <c r="I86" i="6"/>
  <c r="J86" i="6"/>
  <c r="L86" i="6"/>
  <c r="M86" i="6"/>
  <c r="A87" i="6"/>
  <c r="C87" i="6"/>
  <c r="I87" i="6"/>
  <c r="J87" i="6"/>
  <c r="L87" i="6"/>
  <c r="M87" i="6"/>
  <c r="A88" i="6"/>
  <c r="C88" i="6"/>
  <c r="I88" i="6"/>
  <c r="J88" i="6"/>
  <c r="L88" i="6"/>
  <c r="M88" i="6"/>
  <c r="A89" i="6"/>
  <c r="C89" i="6"/>
  <c r="I89" i="6"/>
  <c r="J89" i="6"/>
  <c r="L89" i="6"/>
  <c r="M89" i="6"/>
  <c r="A90" i="6"/>
  <c r="C90" i="6"/>
  <c r="I90" i="6"/>
  <c r="J90" i="6"/>
  <c r="L90" i="6"/>
  <c r="M90" i="6"/>
  <c r="A91" i="6"/>
  <c r="C91" i="6"/>
  <c r="I91" i="6"/>
  <c r="J91" i="6"/>
  <c r="L91" i="6"/>
  <c r="M91" i="6"/>
  <c r="A92" i="6"/>
  <c r="C92" i="6"/>
  <c r="I92" i="6"/>
  <c r="J92" i="6"/>
  <c r="L92" i="6"/>
  <c r="M92" i="6"/>
  <c r="A93" i="6"/>
  <c r="C93" i="6"/>
  <c r="I93" i="6"/>
  <c r="J93" i="6"/>
  <c r="L93" i="6"/>
  <c r="M93" i="6"/>
  <c r="A94" i="6"/>
  <c r="C94" i="6"/>
  <c r="I94" i="6"/>
  <c r="J94" i="6"/>
  <c r="L94" i="6"/>
  <c r="M94" i="6"/>
  <c r="A95" i="6"/>
  <c r="C95" i="6"/>
  <c r="I95" i="6"/>
  <c r="J95" i="6"/>
  <c r="L95" i="6"/>
  <c r="M95" i="6"/>
  <c r="A96" i="6"/>
  <c r="C96" i="6"/>
  <c r="I96" i="6"/>
  <c r="J96" i="6"/>
  <c r="L96" i="6"/>
  <c r="M96" i="6"/>
  <c r="A97" i="6"/>
  <c r="C97" i="6"/>
  <c r="I97" i="6"/>
  <c r="J97" i="6"/>
  <c r="L97" i="6"/>
  <c r="M97" i="6"/>
  <c r="A98" i="6"/>
  <c r="C98" i="6"/>
  <c r="I98" i="6"/>
  <c r="J98" i="6"/>
  <c r="L98" i="6"/>
  <c r="M98" i="6"/>
  <c r="A99" i="6"/>
  <c r="C99" i="6"/>
  <c r="I99" i="6"/>
  <c r="J99" i="6"/>
  <c r="L99" i="6"/>
  <c r="M99" i="6"/>
  <c r="A100" i="6"/>
  <c r="C100" i="6"/>
  <c r="I100" i="6"/>
  <c r="J100" i="6"/>
  <c r="L100" i="6"/>
  <c r="M100" i="6"/>
  <c r="A101" i="6"/>
  <c r="C101" i="6"/>
  <c r="I101" i="6"/>
  <c r="J101" i="6"/>
  <c r="L101" i="6"/>
  <c r="M101" i="6"/>
  <c r="A102" i="6"/>
  <c r="C102" i="6"/>
  <c r="I102" i="6"/>
  <c r="J102" i="6"/>
  <c r="L102" i="6"/>
  <c r="M102" i="6"/>
  <c r="A103" i="6"/>
  <c r="C103" i="6"/>
  <c r="I103" i="6"/>
  <c r="J103" i="6"/>
  <c r="L103" i="6"/>
  <c r="M103" i="6"/>
  <c r="A104" i="6"/>
  <c r="C104" i="6"/>
  <c r="I104" i="6"/>
  <c r="J104" i="6"/>
  <c r="L104" i="6"/>
  <c r="M104" i="6"/>
  <c r="A105" i="6"/>
  <c r="C105" i="6"/>
  <c r="I105" i="6"/>
  <c r="J105" i="6"/>
  <c r="L105" i="6"/>
  <c r="M105" i="6"/>
  <c r="A106" i="6"/>
  <c r="C106" i="6"/>
  <c r="I106" i="6"/>
  <c r="J106" i="6"/>
  <c r="L106" i="6"/>
  <c r="M106" i="6"/>
  <c r="A107" i="6"/>
  <c r="C107" i="6"/>
  <c r="I107" i="6"/>
  <c r="J107" i="6"/>
  <c r="L107" i="6"/>
  <c r="M107" i="6"/>
  <c r="A108" i="6"/>
  <c r="C108" i="6"/>
  <c r="I108" i="6"/>
  <c r="J108" i="6"/>
  <c r="L108" i="6"/>
  <c r="M108" i="6"/>
  <c r="A109" i="6"/>
  <c r="C109" i="6"/>
  <c r="I109" i="6"/>
  <c r="J109" i="6"/>
  <c r="L109" i="6"/>
  <c r="M109" i="6"/>
  <c r="A110" i="6"/>
  <c r="C110" i="6"/>
  <c r="I110" i="6"/>
  <c r="J110" i="6"/>
  <c r="L110" i="6"/>
  <c r="M110" i="6"/>
  <c r="A111" i="6"/>
  <c r="C111" i="6"/>
  <c r="I111" i="6"/>
  <c r="J111" i="6"/>
  <c r="L111" i="6"/>
  <c r="M111" i="6"/>
  <c r="A112" i="6"/>
  <c r="C112" i="6"/>
  <c r="I112" i="6"/>
  <c r="J112" i="6"/>
  <c r="L112" i="6"/>
  <c r="M112" i="6"/>
  <c r="A113" i="6"/>
  <c r="C113" i="6"/>
  <c r="I113" i="6"/>
  <c r="J113" i="6"/>
  <c r="L113" i="6"/>
  <c r="M113" i="6"/>
  <c r="A114" i="6"/>
  <c r="C114" i="6"/>
  <c r="I114" i="6"/>
  <c r="J114" i="6"/>
  <c r="L114" i="6"/>
  <c r="M114" i="6"/>
  <c r="A115" i="6"/>
  <c r="C115" i="6"/>
  <c r="I115" i="6"/>
  <c r="J115" i="6"/>
  <c r="L115" i="6"/>
  <c r="M115" i="6"/>
  <c r="A116" i="6"/>
  <c r="C116" i="6"/>
  <c r="I116" i="6"/>
  <c r="J116" i="6"/>
  <c r="L116" i="6"/>
  <c r="M116" i="6"/>
  <c r="A117" i="6"/>
  <c r="C117" i="6"/>
  <c r="I117" i="6"/>
  <c r="J117" i="6"/>
  <c r="L117" i="6"/>
  <c r="M117" i="6"/>
  <c r="A118" i="6"/>
  <c r="C118" i="6"/>
  <c r="I118" i="6"/>
  <c r="J118" i="6"/>
  <c r="L118" i="6"/>
  <c r="M118" i="6"/>
  <c r="A119" i="6"/>
  <c r="C119" i="6"/>
  <c r="I119" i="6"/>
  <c r="J119" i="6"/>
  <c r="L119" i="6"/>
  <c r="M119" i="6"/>
  <c r="A120" i="6"/>
  <c r="C120" i="6"/>
  <c r="I120" i="6"/>
  <c r="J120" i="6"/>
  <c r="L120" i="6"/>
  <c r="M120" i="6"/>
  <c r="A121" i="6"/>
  <c r="C121" i="6"/>
  <c r="I121" i="6"/>
  <c r="J121" i="6"/>
  <c r="L121" i="6"/>
  <c r="M121" i="6"/>
  <c r="A122" i="6"/>
  <c r="C122" i="6"/>
  <c r="I122" i="6"/>
  <c r="J122" i="6"/>
  <c r="L122" i="6"/>
  <c r="M122" i="6"/>
  <c r="A123" i="6"/>
  <c r="C123" i="6"/>
  <c r="I123" i="6"/>
  <c r="J123" i="6"/>
  <c r="L123" i="6"/>
  <c r="M123" i="6"/>
  <c r="A124" i="6"/>
  <c r="C124" i="6"/>
  <c r="I124" i="6"/>
  <c r="J124" i="6"/>
  <c r="L124" i="6"/>
  <c r="M124" i="6"/>
  <c r="A125" i="6"/>
  <c r="C125" i="6"/>
  <c r="I125" i="6"/>
  <c r="J125" i="6"/>
  <c r="L125" i="6"/>
  <c r="M125" i="6"/>
  <c r="A126" i="6"/>
  <c r="C126" i="6"/>
  <c r="I126" i="6"/>
  <c r="J126" i="6"/>
  <c r="L126" i="6"/>
  <c r="M126" i="6"/>
  <c r="A127" i="6"/>
  <c r="C127" i="6"/>
  <c r="I127" i="6"/>
  <c r="J127" i="6"/>
  <c r="L127" i="6"/>
  <c r="M127" i="6"/>
  <c r="A128" i="6"/>
  <c r="C128" i="6"/>
  <c r="I128" i="6"/>
  <c r="J128" i="6"/>
  <c r="L128" i="6"/>
  <c r="M128" i="6"/>
  <c r="A129" i="6"/>
  <c r="C129" i="6"/>
  <c r="I129" i="6"/>
  <c r="J129" i="6"/>
  <c r="L129" i="6"/>
  <c r="M129" i="6"/>
  <c r="A130" i="6"/>
  <c r="C130" i="6"/>
  <c r="I130" i="6"/>
  <c r="J130" i="6"/>
  <c r="L130" i="6"/>
  <c r="M130" i="6"/>
  <c r="A131" i="6"/>
  <c r="C131" i="6"/>
  <c r="I131" i="6"/>
  <c r="J131" i="6"/>
  <c r="L131" i="6"/>
  <c r="M131" i="6"/>
  <c r="A132" i="6"/>
  <c r="C132" i="6"/>
  <c r="I132" i="6"/>
  <c r="J132" i="6"/>
  <c r="L132" i="6"/>
  <c r="M132" i="6"/>
  <c r="A133" i="6"/>
  <c r="C133" i="6"/>
  <c r="I133" i="6"/>
  <c r="J133" i="6"/>
  <c r="L133" i="6"/>
  <c r="M133" i="6"/>
  <c r="A134" i="6"/>
  <c r="C134" i="6"/>
  <c r="I134" i="6"/>
  <c r="J134" i="6"/>
  <c r="L134" i="6"/>
  <c r="M134" i="6"/>
  <c r="A135" i="6"/>
  <c r="C135" i="6"/>
  <c r="I135" i="6"/>
  <c r="J135" i="6"/>
  <c r="L135" i="6"/>
  <c r="M135" i="6"/>
  <c r="A136" i="6"/>
  <c r="C136" i="6"/>
  <c r="I136" i="6"/>
  <c r="J136" i="6"/>
  <c r="L136" i="6"/>
  <c r="M136" i="6"/>
  <c r="A137" i="6"/>
  <c r="C137" i="6"/>
  <c r="I137" i="6"/>
  <c r="J137" i="6"/>
  <c r="L137" i="6"/>
  <c r="M137" i="6"/>
  <c r="A138" i="6"/>
  <c r="C138" i="6"/>
  <c r="I138" i="6"/>
  <c r="J138" i="6"/>
  <c r="L138" i="6"/>
  <c r="M138" i="6"/>
  <c r="A139" i="6"/>
  <c r="C139" i="6"/>
  <c r="I139" i="6"/>
  <c r="J139" i="6"/>
  <c r="L139" i="6"/>
  <c r="M139" i="6"/>
  <c r="A140" i="6"/>
  <c r="C140" i="6"/>
  <c r="I140" i="6"/>
  <c r="J140" i="6"/>
  <c r="L140" i="6"/>
  <c r="M140" i="6"/>
  <c r="A141" i="6"/>
  <c r="C141" i="6"/>
  <c r="I141" i="6"/>
  <c r="J141" i="6"/>
  <c r="L141" i="6"/>
  <c r="M141" i="6"/>
  <c r="A142" i="6"/>
  <c r="C142" i="6"/>
  <c r="I142" i="6"/>
  <c r="J142" i="6"/>
  <c r="L142" i="6"/>
  <c r="M142" i="6"/>
  <c r="A143" i="6"/>
  <c r="C143" i="6"/>
  <c r="I143" i="6"/>
  <c r="J143" i="6"/>
  <c r="L143" i="6"/>
  <c r="M143" i="6"/>
  <c r="A144" i="6"/>
  <c r="C144" i="6"/>
  <c r="I144" i="6"/>
  <c r="J144" i="6"/>
  <c r="L144" i="6"/>
  <c r="M144" i="6"/>
  <c r="A145" i="6"/>
  <c r="C145" i="6"/>
  <c r="I145" i="6"/>
  <c r="J145" i="6"/>
  <c r="L145" i="6"/>
  <c r="M145" i="6"/>
  <c r="A146" i="6"/>
  <c r="C146" i="6"/>
  <c r="I146" i="6"/>
  <c r="J146" i="6"/>
  <c r="L146" i="6"/>
  <c r="M146" i="6"/>
  <c r="A147" i="6"/>
  <c r="C147" i="6"/>
  <c r="I147" i="6"/>
  <c r="J147" i="6"/>
  <c r="L147" i="6"/>
  <c r="M147" i="6"/>
  <c r="A148" i="6"/>
  <c r="C148" i="6"/>
  <c r="I148" i="6"/>
  <c r="J148" i="6"/>
  <c r="L148" i="6"/>
  <c r="M148" i="6"/>
  <c r="A149" i="6"/>
  <c r="C149" i="6"/>
  <c r="I149" i="6"/>
  <c r="J149" i="6"/>
  <c r="L149" i="6"/>
  <c r="M149" i="6"/>
  <c r="A150" i="6"/>
  <c r="C150" i="6"/>
  <c r="I150" i="6"/>
  <c r="J150" i="6"/>
  <c r="L150" i="6"/>
  <c r="M150" i="6"/>
  <c r="A151" i="6"/>
  <c r="C151" i="6"/>
  <c r="I151" i="6"/>
  <c r="J151" i="6"/>
  <c r="L151" i="6"/>
  <c r="M151" i="6"/>
  <c r="A152" i="6"/>
  <c r="C152" i="6"/>
  <c r="I152" i="6"/>
  <c r="J152" i="6"/>
  <c r="L152" i="6"/>
  <c r="M152" i="6"/>
  <c r="A153" i="6"/>
  <c r="C153" i="6"/>
  <c r="I153" i="6"/>
  <c r="J153" i="6"/>
  <c r="L153" i="6"/>
  <c r="M153" i="6"/>
  <c r="A154" i="6"/>
  <c r="C154" i="6"/>
  <c r="I154" i="6"/>
  <c r="J154" i="6"/>
  <c r="L154" i="6"/>
  <c r="M154" i="6"/>
  <c r="A155" i="6"/>
  <c r="C155" i="6"/>
  <c r="I155" i="6"/>
  <c r="J155" i="6"/>
  <c r="L155" i="6"/>
  <c r="M155" i="6"/>
  <c r="A156" i="6"/>
  <c r="C156" i="6"/>
  <c r="I156" i="6"/>
  <c r="J156" i="6"/>
  <c r="L156" i="6"/>
  <c r="M156" i="6"/>
  <c r="A157" i="6"/>
  <c r="C157" i="6"/>
  <c r="I157" i="6"/>
  <c r="J157" i="6"/>
  <c r="L157" i="6"/>
  <c r="M157" i="6"/>
  <c r="A158" i="6"/>
  <c r="C158" i="6"/>
  <c r="I158" i="6"/>
  <c r="J158" i="6"/>
  <c r="L158" i="6"/>
  <c r="M158" i="6"/>
  <c r="A159" i="6"/>
  <c r="C159" i="6"/>
  <c r="I159" i="6"/>
  <c r="J159" i="6"/>
  <c r="L159" i="6"/>
  <c r="M159" i="6"/>
  <c r="A160" i="6"/>
  <c r="C160" i="6"/>
  <c r="I160" i="6"/>
  <c r="J160" i="6"/>
  <c r="L160" i="6"/>
  <c r="M160" i="6"/>
  <c r="A161" i="6"/>
  <c r="C161" i="6"/>
  <c r="I161" i="6"/>
  <c r="J161" i="6"/>
  <c r="L161" i="6"/>
  <c r="M161" i="6"/>
  <c r="A162" i="6"/>
  <c r="C162" i="6"/>
  <c r="I162" i="6"/>
  <c r="J162" i="6"/>
  <c r="L162" i="6"/>
  <c r="M162" i="6"/>
  <c r="A163" i="6"/>
  <c r="C163" i="6"/>
  <c r="I163" i="6"/>
  <c r="J163" i="6"/>
  <c r="L163" i="6"/>
  <c r="M163" i="6"/>
  <c r="A164" i="6"/>
  <c r="C164" i="6"/>
  <c r="I164" i="6"/>
  <c r="J164" i="6"/>
  <c r="L164" i="6"/>
  <c r="M164" i="6"/>
  <c r="A165" i="6"/>
  <c r="C165" i="6"/>
  <c r="I165" i="6"/>
  <c r="J165" i="6"/>
  <c r="L165" i="6"/>
  <c r="M165" i="6"/>
  <c r="A166" i="6"/>
  <c r="C166" i="6"/>
  <c r="I166" i="6"/>
  <c r="J166" i="6"/>
  <c r="L166" i="6"/>
  <c r="M166" i="6"/>
  <c r="A167" i="6"/>
  <c r="C167" i="6"/>
  <c r="I167" i="6"/>
  <c r="J167" i="6"/>
  <c r="L167" i="6"/>
  <c r="M167" i="6"/>
  <c r="A168" i="6"/>
  <c r="C168" i="6"/>
  <c r="I168" i="6"/>
  <c r="J168" i="6"/>
  <c r="L168" i="6"/>
  <c r="M168" i="6"/>
  <c r="A169" i="6"/>
  <c r="C169" i="6"/>
  <c r="I169" i="6"/>
  <c r="J169" i="6"/>
  <c r="L169" i="6"/>
  <c r="M169" i="6"/>
  <c r="A170" i="6"/>
  <c r="C170" i="6"/>
  <c r="I170" i="6"/>
  <c r="J170" i="6"/>
  <c r="L170" i="6"/>
  <c r="M170" i="6"/>
  <c r="A171" i="6"/>
  <c r="C171" i="6"/>
  <c r="I171" i="6"/>
  <c r="J171" i="6"/>
  <c r="L171" i="6"/>
  <c r="M171" i="6"/>
  <c r="A172" i="6"/>
  <c r="C172" i="6"/>
  <c r="I172" i="6"/>
  <c r="J172" i="6"/>
  <c r="L172" i="6"/>
  <c r="M172" i="6"/>
  <c r="A173" i="6"/>
  <c r="C173" i="6"/>
  <c r="I173" i="6"/>
  <c r="J173" i="6"/>
  <c r="L173" i="6"/>
  <c r="M173" i="6"/>
  <c r="A174" i="6"/>
  <c r="C174" i="6"/>
  <c r="I174" i="6"/>
  <c r="J174" i="6"/>
  <c r="L174" i="6"/>
  <c r="M174" i="6"/>
  <c r="A175" i="6"/>
  <c r="C175" i="6"/>
  <c r="I175" i="6"/>
  <c r="J175" i="6"/>
  <c r="L175" i="6"/>
  <c r="M175" i="6"/>
  <c r="A176" i="6"/>
  <c r="C176" i="6"/>
  <c r="I176" i="6"/>
  <c r="J176" i="6"/>
  <c r="L176" i="6"/>
  <c r="M176" i="6"/>
  <c r="A177" i="6"/>
  <c r="C177" i="6"/>
  <c r="I177" i="6"/>
  <c r="J177" i="6"/>
  <c r="L177" i="6"/>
  <c r="M177" i="6"/>
  <c r="A178" i="6"/>
  <c r="C178" i="6"/>
  <c r="I178" i="6"/>
  <c r="J178" i="6"/>
  <c r="L178" i="6"/>
  <c r="M178" i="6"/>
  <c r="A179" i="6"/>
  <c r="C179" i="6"/>
  <c r="I179" i="6"/>
  <c r="J179" i="6"/>
  <c r="L179" i="6"/>
  <c r="M179" i="6"/>
  <c r="A180" i="6"/>
  <c r="C180" i="6"/>
  <c r="I180" i="6"/>
  <c r="J180" i="6"/>
  <c r="L180" i="6"/>
  <c r="M180" i="6"/>
  <c r="A181" i="6"/>
  <c r="C181" i="6"/>
  <c r="I181" i="6"/>
  <c r="J181" i="6"/>
  <c r="L181" i="6"/>
  <c r="M181" i="6"/>
  <c r="A182" i="6"/>
  <c r="C182" i="6"/>
  <c r="I182" i="6"/>
  <c r="J182" i="6"/>
  <c r="L182" i="6"/>
  <c r="M182" i="6"/>
  <c r="A183" i="6"/>
  <c r="C183" i="6"/>
  <c r="I183" i="6"/>
  <c r="J183" i="6"/>
  <c r="L183" i="6"/>
  <c r="M183" i="6"/>
  <c r="A184" i="6"/>
  <c r="C184" i="6"/>
  <c r="I184" i="6"/>
  <c r="J184" i="6"/>
  <c r="L184" i="6"/>
  <c r="M184" i="6"/>
  <c r="A185" i="6"/>
  <c r="C185" i="6"/>
  <c r="I185" i="6"/>
  <c r="J185" i="6"/>
  <c r="L185" i="6"/>
  <c r="M185" i="6"/>
  <c r="A186" i="6"/>
  <c r="C186" i="6"/>
  <c r="I186" i="6"/>
  <c r="J186" i="6"/>
  <c r="L186" i="6"/>
  <c r="M186" i="6"/>
  <c r="A187" i="6"/>
  <c r="C187" i="6"/>
  <c r="I187" i="6"/>
  <c r="J187" i="6"/>
  <c r="L187" i="6"/>
  <c r="M187" i="6"/>
  <c r="A188" i="6"/>
  <c r="C188" i="6"/>
  <c r="I188" i="6"/>
  <c r="J188" i="6"/>
  <c r="L188" i="6"/>
  <c r="M188" i="6"/>
  <c r="A189" i="6"/>
  <c r="C189" i="6"/>
  <c r="I189" i="6"/>
  <c r="J189" i="6"/>
  <c r="L189" i="6"/>
  <c r="M189" i="6"/>
  <c r="A190" i="6"/>
  <c r="C190" i="6"/>
  <c r="I190" i="6"/>
  <c r="J190" i="6"/>
  <c r="L190" i="6"/>
  <c r="M190" i="6"/>
  <c r="A191" i="6"/>
  <c r="C191" i="6"/>
  <c r="I191" i="6"/>
  <c r="J191" i="6"/>
  <c r="L191" i="6"/>
  <c r="M191" i="6"/>
  <c r="A192" i="6"/>
  <c r="C192" i="6"/>
  <c r="I192" i="6"/>
  <c r="J192" i="6"/>
  <c r="L192" i="6"/>
  <c r="M192" i="6"/>
  <c r="A193" i="6"/>
  <c r="C193" i="6"/>
  <c r="I193" i="6"/>
  <c r="J193" i="6"/>
  <c r="L193" i="6"/>
  <c r="M193" i="6"/>
  <c r="A194" i="6"/>
  <c r="C194" i="6"/>
  <c r="I194" i="6"/>
  <c r="J194" i="6"/>
  <c r="L194" i="6"/>
  <c r="M194" i="6"/>
  <c r="A195" i="6"/>
  <c r="C195" i="6"/>
  <c r="I195" i="6"/>
  <c r="J195" i="6"/>
  <c r="L195" i="6"/>
  <c r="M195" i="6"/>
  <c r="A196" i="6"/>
  <c r="C196" i="6"/>
  <c r="I196" i="6"/>
  <c r="J196" i="6"/>
  <c r="L196" i="6"/>
  <c r="M196" i="6"/>
  <c r="A197" i="6"/>
  <c r="C197" i="6"/>
  <c r="I197" i="6"/>
  <c r="J197" i="6"/>
  <c r="L197" i="6"/>
  <c r="M197" i="6"/>
  <c r="G138" i="4"/>
  <c r="F168" i="4"/>
  <c r="H138" i="4" l="1"/>
  <c r="J138" i="4" s="1"/>
  <c r="G168" i="4"/>
  <c r="J4" i="4"/>
  <c r="J168" i="4" s="1"/>
  <c r="E25" i="7" s="1"/>
  <c r="D25" i="7" s="1"/>
  <c r="H168" i="4"/>
  <c r="D24" i="2" s="1"/>
  <c r="C27" i="2"/>
  <c r="D24" i="5"/>
  <c r="D26" i="2" l="1"/>
  <c r="D26" i="6"/>
  <c r="C28" i="2"/>
  <c r="D25" i="5"/>
  <c r="D27" i="6" l="1"/>
  <c r="D27" i="2"/>
  <c r="D26" i="5"/>
  <c r="D11" i="2"/>
  <c r="C31" i="2"/>
  <c r="D9" i="2" s="1"/>
  <c r="D27" i="5"/>
  <c r="D28" i="2" l="1"/>
  <c r="D28" i="6"/>
  <c r="D31" i="2" l="1"/>
  <c r="D10" i="2" s="1"/>
  <c r="D30" i="6"/>
  <c r="D29" i="6"/>
  <c r="D12" i="2"/>
  <c r="D14" i="2" s="1"/>
  <c r="E29" i="7" s="1"/>
  <c r="D29" i="7" s="1"/>
  <c r="E2" i="7" s="1"/>
  <c r="F2" i="2" s="1"/>
</calcChain>
</file>

<file path=xl/sharedStrings.xml><?xml version="1.0" encoding="utf-8"?>
<sst xmlns="http://schemas.openxmlformats.org/spreadsheetml/2006/main" count="1430" uniqueCount="722">
  <si>
    <t>Georgia sales tax workbook</t>
  </si>
  <si>
    <t>One rule: yellow cells are the only cells you type in. Everything else calculates itself.</t>
  </si>
  <si>
    <t>EVERY MONTH:</t>
  </si>
  <si>
    <t>1. Run the AR sales tax report for Georgia for the month. Copy the whole thing, headers and all,</t>
  </si>
  <si>
    <t xml:space="preserve">   and paste it into the AR SALES tab starting at cell A1, replacing what's there.</t>
  </si>
  <si>
    <t>2. Run the TERSE for Georgia for the same month. Paste it into the TERSE tab the same way, at A1.</t>
  </si>
  <si>
    <t>3. Look at the light at the top of the RECAP tab. Green means all clear. Red means open the REVIEW</t>
  </si>
  <si>
    <t xml:space="preserve">   tab, where anything that needs you is marked LOOK, turns pink, and says what to do.</t>
  </si>
  <si>
    <t>4. OFF ROAD RETURN and ON ROAD RETURN now hold the numbers to key into the state's site,</t>
  </si>
  <si>
    <t xml:space="preserve">   in the same shape as the return. Nothing gets hand-copied between tabs anymore.</t>
  </si>
  <si>
    <t>5. On the RECAP tab, type the collected general ledger amount. The leftover should be about zero.</t>
  </si>
  <si>
    <t xml:space="preserve">   The return lines on RECAP, 1 through 13 for each return, are what you key into the state site.</t>
  </si>
  <si>
    <t>6. Or file by upload instead of keying: OFF ROAD UPLOAD and ON ROAD UPLOAD say what to type and paste</t>
  </si>
  <si>
    <t xml:space="preserve">   into the state's Excel import template, and what its Main tab should show before you import it.</t>
  </si>
  <si>
    <t>HOW THE TABS CONNECT:</t>
  </si>
  <si>
    <t>The two paste tabs feed everything. Helper columns to the right of the pasted data (they have</t>
  </si>
  <si>
    <t>grey headers) figure out for each row: on road or off road, which county and rate area, which</t>
  </si>
  <si>
    <t>product, exempt or not, and whether the order is above the rack. The return tabs just add up</t>
  </si>
  <si>
    <t>those helper columns, so every number traces straight back to report rows you can look at.</t>
  </si>
  <si>
    <t>The helper columns are folded away to keep the paste tabs clean. Click the + above the column</t>
  </si>
  <si>
    <t>letters to open them.</t>
  </si>
  <si>
    <t>THINGS WORTH KNOWING:</t>
  </si>
  <si>
    <t>- Off-road balances against the TERSE column 'Total Product Excise', product cost plus the</t>
  </si>
  <si>
    <t xml:space="preserve">  per-gallon fees. Georgia taxes those fees. That was the year-old mystery.</t>
  </si>
  <si>
    <t>- On-road taxable sales are always gallons times the state-set price. There are two yellow</t>
  </si>
  <si>
    <t xml:space="preserve">  price cells on the ON ROAD RETURN tab, one for diesel and one for gas &amp; gasohol. The state sets them</t>
  </si>
  <si>
    <t xml:space="preserve">  from average retail prices every January and July, but by law never above $3.00 a gallon, so they</t>
  </si>
  <si>
    <t xml:space="preserve">  sit at $3.00 while prices are higher than that. Gallons on the return are rounded to whole gallons.</t>
  </si>
  <si>
    <t>- On the on-road return, College Park goes on line 4 as regular sales tax. Every other county is</t>
  </si>
  <si>
    <t xml:space="preserve">  prepaid local tax on line 6.</t>
  </si>
  <si>
    <t>- Amount due follows the state form: calculated tax plus excess tax (collected minus calculated,</t>
  </si>
  <si>
    <t xml:space="preserve">  never below zero), minus vendor's compensation. So you pay what you collected, or the calculated</t>
  </si>
  <si>
    <t xml:space="preserve">  tax if that's ever higher.</t>
  </si>
  <si>
    <t>- Vendor's compensation (only if filed and paid on time): 3% of on-road prepaid local tax. Off-road</t>
  </si>
  <si>
    <t xml:space="preserve">  tax, and other tax like College Park plus excess, gets 3% of the first $3,000 and half a percent</t>
  </si>
  <si>
    <t xml:space="preserve">  above that, figured separately on each return. That matches what the state took on the filed</t>
  </si>
  <si>
    <t xml:space="preserve">  August 2026 returns. The state site figures the real number when you file; check this one against it.</t>
  </si>
  <si>
    <t>- Every county tax line is in the return tabs already, including ones with no activity, so</t>
  </si>
  <si>
    <t xml:space="preserve">  there's no inserting rows mid-return. If Georgia invents a brand new line, the REVIEW tab</t>
  </si>
  <si>
    <t xml:space="preserve">  flags it before it can slip through.</t>
  </si>
  <si>
    <t>- Above-the-rack orders (pipeline sales) are excluded from the returns automatically and</t>
  </si>
  <si>
    <t xml:space="preserve">  listed on the REVIEW tab so a person still eyeballs them.</t>
  </si>
  <si>
    <t>- The helper columns are filled down to row 2,500 (AR) and 4,000 (TERSE). If a month is</t>
  </si>
  <si>
    <t xml:space="preserve">  bigger than that, copy the last helper row down further.</t>
  </si>
  <si>
    <t>- Stale orders (the order changed after tax was figured): the light on RECAP goes red and the</t>
  </si>
  <si>
    <t xml:space="preserve">  stale line on REVIEW says LOOK. The TERSE helper column 'Stale off-road tax?'</t>
  </si>
  <si>
    <t xml:space="preserve">  names the exact rows. Small ones get filed as collected, no rebilling the customer.</t>
  </si>
  <si>
    <t xml:space="preserve">  A big one, get the order's tax refreshed and rebilled before filing.</t>
  </si>
  <si>
    <t>- Missed tax: every fuel line with no sales tax should have an exemption reason (licensed,</t>
  </si>
  <si>
    <t xml:space="preserve">  government) on the AR report. The TERSE helper column 'Untaxed with no exemption?' flags any</t>
  </si>
  <si>
    <t xml:space="preserve">  that don't, and the REVIEW tab counts them. Pipeline orders are left out of this check.</t>
  </si>
  <si>
    <t>- The state's import template changes every quarter. Download the one for the quarter being filed</t>
  </si>
  <si>
    <t xml:space="preserve">  from dor.georgia.gov/sales-use-tax-import, one copy per return. Set its TSPLOST Exmt Rates to Yes on</t>
  </si>
  <si>
    <t xml:space="preserve">  both returns, or its rates come out higher than these. The county codes it wants are on LISTS.</t>
  </si>
  <si>
    <t>- Leave the template's Off Road Motor Fuel tab empty, the way August 2026 was filed. That tab claims</t>
  </si>
  <si>
    <t xml:space="preserve">  a flat 3% vendor's compensation on the off-road tax; whether that is owed is a question for DOR.</t>
  </si>
  <si>
    <t>- This sheet needs no macros, and it is a plain .xlsx, which cannot hold macros anyway.</t>
  </si>
  <si>
    <t xml:space="preserve">  The recon macro (SalesTaxRecon.bas) stays a separate tool for other states.</t>
  </si>
  <si>
    <t>GA sales tax recap</t>
  </si>
  <si>
    <t>Month:</t>
  </si>
  <si>
    <t>Does the month balance? We don't make money on taxes.</t>
  </si>
  <si>
    <t>Collected, A/R general ledger</t>
  </si>
  <si>
    <t>type this from the GL</t>
  </si>
  <si>
    <t>Paid to suppliers, A/P general ledger</t>
  </si>
  <si>
    <t>exempt with suppliers, stays 0 for Georgia</t>
  </si>
  <si>
    <t>Void/rebill crossing months (V/R)</t>
  </si>
  <si>
    <t>tax on invoices voided or rebilled in another month; type it with its sign, usually 0</t>
  </si>
  <si>
    <t>Paid to the state, off-road</t>
  </si>
  <si>
    <t>line 13 below</t>
  </si>
  <si>
    <t>Paid to the state, on-road</t>
  </si>
  <si>
    <t>Vendor's compensation kept, off-road</t>
  </si>
  <si>
    <t>line 10 below</t>
  </si>
  <si>
    <t>Vendor's compensation kept, on-road</t>
  </si>
  <si>
    <t>Leftover (should be about zero)</t>
  </si>
  <si>
    <t>Return lines, key these into the state site</t>
  </si>
  <si>
    <t>Off-road</t>
  </si>
  <si>
    <t>On-road</t>
  </si>
  <si>
    <t>1. Total sales</t>
  </si>
  <si>
    <t>on-road: every gallon times the state-set price</t>
  </si>
  <si>
    <t>2. Total exempt sales</t>
  </si>
  <si>
    <t>on-road: all of it, road fuel is exempt from state sales tax</t>
  </si>
  <si>
    <t>3. Taxable state sales</t>
  </si>
  <si>
    <t>4. Total sales tax</t>
  </si>
  <si>
    <t>on-road: College Park only</t>
  </si>
  <si>
    <t>5. Total use tax</t>
  </si>
  <si>
    <t>only if there's use tax to report, normally 0</t>
  </si>
  <si>
    <t>6. Prepaid local sales/use</t>
  </si>
  <si>
    <t>on-road: all on-road tax except College Park</t>
  </si>
  <si>
    <t>7. Total tax collected</t>
  </si>
  <si>
    <t>from the return tabs</t>
  </si>
  <si>
    <t>8. Total sales/use tax</t>
  </si>
  <si>
    <t>lines 4 + 5 + 6</t>
  </si>
  <si>
    <t>9. Excess tax</t>
  </si>
  <si>
    <t>collected minus line 8, never below zero</t>
  </si>
  <si>
    <t>10. Total vendor's compensation</t>
  </si>
  <si>
    <t>only if filed and paid on time; check against the state site</t>
  </si>
  <si>
    <t>11. Previous prepaid estimated tax</t>
  </si>
  <si>
    <t>from the prepaid estimated tax letter, if any, normally 0</t>
  </si>
  <si>
    <t>12. Current prepaid estimated tax</t>
  </si>
  <si>
    <t>13. Total amount due</t>
  </si>
  <si>
    <t>lines 8 + 9 - 10 - 11 + 12</t>
  </si>
  <si>
    <t>Georgia off-road sales tax return</t>
  </si>
  <si>
    <t>Every number pulls from the AR SALES tab by tax line name. Nothing here is typed.</t>
  </si>
  <si>
    <t>Tax line</t>
  </si>
  <si>
    <t>Rate</t>
  </si>
  <si>
    <t>Local part of rate</t>
  </si>
  <si>
    <t>Total sales</t>
  </si>
  <si>
    <t>Exempt sales</t>
  </si>
  <si>
    <t>Taxable sales</t>
  </si>
  <si>
    <t>Tax collected</t>
  </si>
  <si>
    <t>Tax calculated</t>
  </si>
  <si>
    <t>Variance</t>
  </si>
  <si>
    <t>Local part of tax</t>
  </si>
  <si>
    <t>State code (for the upload)</t>
  </si>
  <si>
    <t>Row in the upload (helper)</t>
  </si>
  <si>
    <t>GA BARROW CO SALES TAX OFF ROAD (7.000000%)</t>
  </si>
  <si>
    <t>007TE - Barrow (TSPLOST Exempt)</t>
  </si>
  <si>
    <t>GA BIBB CO SALES TAX OFF ROAD (8.000000%)</t>
  </si>
  <si>
    <t>011 - Bibb</t>
  </si>
  <si>
    <t>GA BRYAN  CO SALES TAX OFF ROAD (7.000000%)</t>
  </si>
  <si>
    <t>015TE - Bryan (TSPLOST Exempt)</t>
  </si>
  <si>
    <t>GA BULLOCH  CO SALES TAX OFF ROAD (7.000000%)</t>
  </si>
  <si>
    <t>016TE - Bulloch (TSPLOST Exempt)</t>
  </si>
  <si>
    <t>GA CATOOSA CO SALES TAX OFF ROAD (7.000000%)</t>
  </si>
  <si>
    <t>023 - Catoosa</t>
  </si>
  <si>
    <t>GA CHATHAM CO SALES TAX OFF ROAD (7.000000%)</t>
  </si>
  <si>
    <t>025 - Chatham</t>
  </si>
  <si>
    <t>GA CHEROKEE CO SALES TAX OFF ROAD (6.000000%)</t>
  </si>
  <si>
    <t>028TE - Cherokee (TSPLOST Exempt)</t>
  </si>
  <si>
    <t>GA CLARKE CO SALES TAX OFF ROAD (7.000000%)</t>
  </si>
  <si>
    <t>029TE - Clarke (TSPLOST Exempt)</t>
  </si>
  <si>
    <t>GA CLAYTON CO SALES TAX OFF ROAD (8.000000%)</t>
  </si>
  <si>
    <t>031 - Clayton</t>
  </si>
  <si>
    <t>GA COBB CO SALES TAX OFF ROAD (6.000000%)</t>
  </si>
  <si>
    <t>033 - Cobb</t>
  </si>
  <si>
    <t>GA COLQUITT CO SALES TAX OFF ROAD (8.000000%)</t>
  </si>
  <si>
    <t>035TE - Colquitt (TSPLOST Exempt)</t>
  </si>
  <si>
    <t>GA COLUMBIA CO SALES TAX OFF ROAD (7.000000%)</t>
  </si>
  <si>
    <t>036TE - Columbia (TSPLOST Exempt)</t>
  </si>
  <si>
    <t>GA COOK CO SALES TAX OFF ROAD (8.000000%)</t>
  </si>
  <si>
    <t>037TE - Cook (TSPLOST Exempt)</t>
  </si>
  <si>
    <t>GA DEKALB CO SALES TAX OFF ROAD (8.000000%)</t>
  </si>
  <si>
    <t>044 - DeKalb</t>
  </si>
  <si>
    <t>GA DOUGHERTY CO SALES TAX OFF ROAD (7.000000%)</t>
  </si>
  <si>
    <t>047TE - Dougherty (TSPLOST Exempt)</t>
  </si>
  <si>
    <t>GA DOUGLAS CO SALES TAX OFF ROAD (7.000000%)</t>
  </si>
  <si>
    <t>048 - Douglas</t>
  </si>
  <si>
    <t>GA ELBERT CO SALES TAX OFF ROAD (8.000000%)</t>
  </si>
  <si>
    <t>052TE - Elbert (TSPLOST Exempt)</t>
  </si>
  <si>
    <t>GA EVANS CO SALES TAX OFF ROAD (8.000000%)</t>
  </si>
  <si>
    <t>054TE - Evans (TSPLOST Exempt)</t>
  </si>
  <si>
    <t>GA FLOYD CO SALES TAX OFF ROAD (6.000000%)</t>
  </si>
  <si>
    <t>057 - Floyd</t>
  </si>
  <si>
    <t>GA FORSYTH CO SALES TAX OFF ROAD (7.000000%)</t>
  </si>
  <si>
    <t>058 - Forsyth</t>
  </si>
  <si>
    <t>GA FRANKLIN CO SALES TAX OFF ROAD (7.000000%)</t>
  </si>
  <si>
    <t>059 - Franklin</t>
  </si>
  <si>
    <t>GA FULTON CO SALES TAX OFF ROAD (ATLANTA CITY LIMITS) (8.500000%)</t>
  </si>
  <si>
    <t>060ATE - Fulton Atlanta (TSPLOST Exempt)</t>
  </si>
  <si>
    <t>GA GILMER CO SALES TAX OFF ROAD (7.000000%)</t>
  </si>
  <si>
    <t>061 - Gilmer</t>
  </si>
  <si>
    <t>GA GLYNN CO SALES TAX OFF ROAD (7.000000%)</t>
  </si>
  <si>
    <t>063 - Glynn</t>
  </si>
  <si>
    <t>GA GORDON CO SALES TAX OFF ROAD (8.000000%)</t>
  </si>
  <si>
    <t>064 - Gordon</t>
  </si>
  <si>
    <t>GA GWINNETT CO SALES TAX OFF ROAD (6.000000%)</t>
  </si>
  <si>
    <t>067 - Gwinnett</t>
  </si>
  <si>
    <t>GA HALL CO SALES TAX OFF ROAD (7.000000%)</t>
  </si>
  <si>
    <t>069 - Hall</t>
  </si>
  <si>
    <t>GA JACKSON CO SALES TAX OFF ROAD (7.000000%)</t>
  </si>
  <si>
    <t>078TE - Jackson (TSPLOST Exempt)</t>
  </si>
  <si>
    <t>GA LOWNDES CO SALES TAX OFF ROAD (7.000000%)</t>
  </si>
  <si>
    <t>092TE - Lowndes (TSPLOST Exempt)</t>
  </si>
  <si>
    <t>GA MONROE CO SALES TAX OFF ROAD (7.000000%)</t>
  </si>
  <si>
    <t>102TE - Monroe (TSPLOST Exempt)</t>
  </si>
  <si>
    <t>GA MUSCOGEE CO SALES TAX OFF ROAD (8.000000%)</t>
  </si>
  <si>
    <t>106TE - Muscogee (TSPLOST Exempt)</t>
  </si>
  <si>
    <t>GA PAULDING CO SALES TAX OFF ROAD (7.000000%)</t>
  </si>
  <si>
    <t>110 - Paulding</t>
  </si>
  <si>
    <t>GA PICKENS CO SALES TAX OFF ROAD (7.000000%)</t>
  </si>
  <si>
    <t>112 - Pickens</t>
  </si>
  <si>
    <t>GA RICHMOND CO SALES TAX OFF ROAD (7.500000%)</t>
  </si>
  <si>
    <t>121TE - Richmond (TSPLOST Exempt)</t>
  </si>
  <si>
    <t>GA ROCKDALE CO SALES TAX OFF ROAD (7.000000%)</t>
  </si>
  <si>
    <t>122 - Rockdale</t>
  </si>
  <si>
    <t>GA SPALDING CO SALES TAX OFF ROAD (6.000000%)</t>
  </si>
  <si>
    <t>126TE - Spalding (TSPLOST Exempt)</t>
  </si>
  <si>
    <t>GA TATTNALL CO SALES TAX OFF ROAD (7.000000%)</t>
  </si>
  <si>
    <t>132TE - Tattnall (TSPLOST Exempt)</t>
  </si>
  <si>
    <t>GA WARREN CO SALES TAX OFF ROAD (8.000000%)</t>
  </si>
  <si>
    <t>149TE - Warren (TSPLOST Exempt)</t>
  </si>
  <si>
    <t>GA WAYNE CO SALES TAX OFF ROAD (7.000000%)</t>
  </si>
  <si>
    <t>151TE - Wayne (TSPLOST Exempt)</t>
  </si>
  <si>
    <t>TOTAL</t>
  </si>
  <si>
    <t>Cross-check against the TERSE (dyed diesel, product cost plus fees)</t>
  </si>
  <si>
    <t>TERSE says</t>
  </si>
  <si>
    <t>return says</t>
  </si>
  <si>
    <t>difference</t>
  </si>
  <si>
    <t>TERSE dyed, taxed lines</t>
  </si>
  <si>
    <t>difference means an order's tax went stale; filter TERSE column BA for STALE to name it</t>
  </si>
  <si>
    <t>TERSE dyed, exempt lines</t>
  </si>
  <si>
    <t>TERSE dyed, sales tax on the lines</t>
  </si>
  <si>
    <t>Georgia on-road sales tax return (gallons by county by product)</t>
  </si>
  <si>
    <t>State-set price, Diesel:</t>
  </si>
  <si>
    <t>State-set price, Gas &amp; Gasohol:</t>
  </si>
  <si>
    <t>the state sets these every January and July, never above $3.00 by law; change them here</t>
  </si>
  <si>
    <t>County / rate area</t>
  </si>
  <si>
    <t>Product</t>
  </si>
  <si>
    <t>Gallons</t>
  </si>
  <si>
    <t>Exempt gallons</t>
  </si>
  <si>
    <t>Taxable gallons</t>
  </si>
  <si>
    <t>Gallons, exact (before rounding)</t>
  </si>
  <si>
    <t>Fuel type (for the upload)</t>
  </si>
  <si>
    <t>APPLING</t>
  </si>
  <si>
    <t>Diesel</t>
  </si>
  <si>
    <t>001TE - Appling (TSPLOST Exempt)</t>
  </si>
  <si>
    <t>BALDWIN</t>
  </si>
  <si>
    <t>005TE - Baldwin (TSPLOST Exempt)</t>
  </si>
  <si>
    <t>BANKS</t>
  </si>
  <si>
    <t>006TE - Banks (TSPLOST Exempt)</t>
  </si>
  <si>
    <t>BARROW</t>
  </si>
  <si>
    <t>BARTOW</t>
  </si>
  <si>
    <t>008 - Bartow</t>
  </si>
  <si>
    <t>Gas</t>
  </si>
  <si>
    <t>BIBB</t>
  </si>
  <si>
    <t>BLECKLEY</t>
  </si>
  <si>
    <t>012TE -Bleckley (TSPLOST Exempt)</t>
  </si>
  <si>
    <t>BRYAN</t>
  </si>
  <si>
    <t>BULLOCH</t>
  </si>
  <si>
    <t>BURKE</t>
  </si>
  <si>
    <t>017TE - Burke (TSPLOST Exempt)</t>
  </si>
  <si>
    <t>CAMDEN</t>
  </si>
  <si>
    <t>020 - Camden</t>
  </si>
  <si>
    <t>CANDLER</t>
  </si>
  <si>
    <t>021TE - Candler (TSPLOST Exempt)</t>
  </si>
  <si>
    <t>CARROLL</t>
  </si>
  <si>
    <t>022 - Carroll</t>
  </si>
  <si>
    <t>CATOOSA</t>
  </si>
  <si>
    <t>CHARLTON</t>
  </si>
  <si>
    <t>024TE - Charlton (TSPLOST Exempt)</t>
  </si>
  <si>
    <t>CHATHAM</t>
  </si>
  <si>
    <t>CHATTAHOOCHEE</t>
  </si>
  <si>
    <t>026TE - Chattahoochee (TSPLOST Exempt)</t>
  </si>
  <si>
    <t>CHATTOOGA</t>
  </si>
  <si>
    <t>027TE - Chattooga (TSPLOST Exempt)</t>
  </si>
  <si>
    <t>CHEROKEE</t>
  </si>
  <si>
    <t>CLARKE</t>
  </si>
  <si>
    <t>CLAYTON</t>
  </si>
  <si>
    <t>COBB</t>
  </si>
  <si>
    <t>COFFEE</t>
  </si>
  <si>
    <t>034TE - Coffee (TSPLOST Exempt)</t>
  </si>
  <si>
    <t>COLQUITT</t>
  </si>
  <si>
    <t>COOK</t>
  </si>
  <si>
    <t>COWETA</t>
  </si>
  <si>
    <t>038 - Coweta</t>
  </si>
  <si>
    <t>CRISP</t>
  </si>
  <si>
    <t>040TE - Crisp (TSPLOST Exempt)</t>
  </si>
  <si>
    <t>DADE</t>
  </si>
  <si>
    <t>041 - Dade</t>
  </si>
  <si>
    <t>DECATUR</t>
  </si>
  <si>
    <t>043TE - Decatur (TSPLOST Exempt)</t>
  </si>
  <si>
    <t>DEKALB</t>
  </si>
  <si>
    <t>DEKALB (ATL LIMITS)</t>
  </si>
  <si>
    <t>044ATE-Dekalb Atlanta (TSPLOST Exempt)</t>
  </si>
  <si>
    <t>DODGE</t>
  </si>
  <si>
    <t>045TE - Dodge (TSPLOST Exempt)</t>
  </si>
  <si>
    <t>DOOLY</t>
  </si>
  <si>
    <t>046TE - Dooly (TSPLOST Exempt)</t>
  </si>
  <si>
    <t>DOUGHERTY</t>
  </si>
  <si>
    <t>DOUGLAS</t>
  </si>
  <si>
    <t>EMANUEL</t>
  </si>
  <si>
    <t>053TE - Emanuel (TSPLOST Exempt)</t>
  </si>
  <si>
    <t>EVANS</t>
  </si>
  <si>
    <t>FANNIN</t>
  </si>
  <si>
    <t>055 - Fannin</t>
  </si>
  <si>
    <t>FAYETTE</t>
  </si>
  <si>
    <t>056 - Fayette</t>
  </si>
  <si>
    <t>FLOYD</t>
  </si>
  <si>
    <t>FORSYTH</t>
  </si>
  <si>
    <t>FRANKLIN</t>
  </si>
  <si>
    <t>FULTON</t>
  </si>
  <si>
    <t>060TE - Fulton (TSPLOST Exempt)</t>
  </si>
  <si>
    <t>FULTON (ATL LIMITS)</t>
  </si>
  <si>
    <t>FULTON (COLLEGE PARK)</t>
  </si>
  <si>
    <t>801TE - Fulton - City of College Park (TSPLOST Exempt)</t>
  </si>
  <si>
    <t>GILMER</t>
  </si>
  <si>
    <t>GLYNN</t>
  </si>
  <si>
    <t>GORDON</t>
  </si>
  <si>
    <t>GRADY</t>
  </si>
  <si>
    <t>065TE - Grady (TSPLOST Exempt)</t>
  </si>
  <si>
    <t>GWINNETT</t>
  </si>
  <si>
    <t>HABERSHAM</t>
  </si>
  <si>
    <t>068 - Habersham</t>
  </si>
  <si>
    <t>HALL</t>
  </si>
  <si>
    <t>HARALSON</t>
  </si>
  <si>
    <t>071TE - Haralson (TSPLOST Exempt)</t>
  </si>
  <si>
    <t>HARRIS</t>
  </si>
  <si>
    <t>072TE - Harris (TSPLOST Exempt)</t>
  </si>
  <si>
    <t>HART</t>
  </si>
  <si>
    <t>073 - Hart</t>
  </si>
  <si>
    <t>HEARD</t>
  </si>
  <si>
    <t>074 - Heard</t>
  </si>
  <si>
    <t>HENRY</t>
  </si>
  <si>
    <t>075TE - Henry (TSPLOST Exempt)</t>
  </si>
  <si>
    <t>HOUSTON</t>
  </si>
  <si>
    <t>076 - Houston</t>
  </si>
  <si>
    <t>JACKSON</t>
  </si>
  <si>
    <t>JEFFERSON</t>
  </si>
  <si>
    <t>081TE - Jefferson (TSPLOST Exempt)</t>
  </si>
  <si>
    <t>JENKINS</t>
  </si>
  <si>
    <t>082TE - Jenkins (TSPLOST Exempt)</t>
  </si>
  <si>
    <t>JOHNSON</t>
  </si>
  <si>
    <t>083TE - Johnson (TSPLOST Exempt)</t>
  </si>
  <si>
    <t>JONES</t>
  </si>
  <si>
    <t>084 - Jones</t>
  </si>
  <si>
    <t>LANIER</t>
  </si>
  <si>
    <t>086TE - Lanier (TSPLOST Exempt)</t>
  </si>
  <si>
    <t>LAURENS</t>
  </si>
  <si>
    <t>087TE - Laurens (TSPLOST Exempt)</t>
  </si>
  <si>
    <t>LIBERTY</t>
  </si>
  <si>
    <t>089TE - Liberty (TSPLOST Exempt)</t>
  </si>
  <si>
    <t>LOWNDES</t>
  </si>
  <si>
    <t>LUMPKIN</t>
  </si>
  <si>
    <t>093TE - Lumpkin (TSPLOST Exempt)</t>
  </si>
  <si>
    <t>MACON</t>
  </si>
  <si>
    <t>094TE - Macon (TSPLOST Exempt)</t>
  </si>
  <si>
    <t>MADISON</t>
  </si>
  <si>
    <t>095TE - Madison (TSPLOST Exempt)</t>
  </si>
  <si>
    <t>MARION</t>
  </si>
  <si>
    <t>096TE - Marion (TSPLOST Exempt)</t>
  </si>
  <si>
    <t>MCDUFFIE</t>
  </si>
  <si>
    <t>097TE - McDuffie (TSPLOST Exempt)</t>
  </si>
  <si>
    <t>MONROE</t>
  </si>
  <si>
    <t>MURRAY</t>
  </si>
  <si>
    <t>105TE - Murray (TSPLOST Exempt)</t>
  </si>
  <si>
    <t>MUSCOGEE</t>
  </si>
  <si>
    <t>NEWTON</t>
  </si>
  <si>
    <t>107 - Newton</t>
  </si>
  <si>
    <t>PAULDING</t>
  </si>
  <si>
    <t>PEACH</t>
  </si>
  <si>
    <t>111TE - Peach (TSPLOST Exempt)</t>
  </si>
  <si>
    <t>PICKENS</t>
  </si>
  <si>
    <t>POLK</t>
  </si>
  <si>
    <t>115 - Polk</t>
  </si>
  <si>
    <t>RICHMOND</t>
  </si>
  <si>
    <t>ROCKDALE</t>
  </si>
  <si>
    <t>SPALDING</t>
  </si>
  <si>
    <t>SUMTER</t>
  </si>
  <si>
    <t>129TE - Sumter (TSPLOST Exempt)</t>
  </si>
  <si>
    <t>TALBOT</t>
  </si>
  <si>
    <t>130TE - Talbot (TSPLOST Exempt)</t>
  </si>
  <si>
    <t>TATTNALL</t>
  </si>
  <si>
    <t>TELFAIR</t>
  </si>
  <si>
    <t>134TE - Telfair (TSPLOST Exempt)</t>
  </si>
  <si>
    <t>THOMAS</t>
  </si>
  <si>
    <t>136 - Thomas</t>
  </si>
  <si>
    <t>TIFT</t>
  </si>
  <si>
    <t>137TE - Tift (TSPLOST Exempt)</t>
  </si>
  <si>
    <t>TOOMBS</t>
  </si>
  <si>
    <t>138TE - Toombs (TSPLOST Exempt)</t>
  </si>
  <si>
    <t>TOWNS</t>
  </si>
  <si>
    <t>139 - Towns</t>
  </si>
  <si>
    <t>TROUP</t>
  </si>
  <si>
    <t>141 - Troup</t>
  </si>
  <si>
    <t>UNION</t>
  </si>
  <si>
    <t>144 - Union</t>
  </si>
  <si>
    <t>WALKER</t>
  </si>
  <si>
    <t>146TE - Walker (TSPLOST Exempt)</t>
  </si>
  <si>
    <t>WARE</t>
  </si>
  <si>
    <t>148TE - Ware (TSPLOST 1 &amp; 2 Exempt)</t>
  </si>
  <si>
    <t>WARREN</t>
  </si>
  <si>
    <t>WASHINGTON</t>
  </si>
  <si>
    <t>150TE - Washington (TSPLOST Exempt)</t>
  </si>
  <si>
    <t>WAYNE</t>
  </si>
  <si>
    <t>WHITFIELD</t>
  </si>
  <si>
    <t>155 - Whitfield</t>
  </si>
  <si>
    <t>WILKES</t>
  </si>
  <si>
    <t>157TE - Wilkes (TSPLOST Exempt)</t>
  </si>
  <si>
    <t>WORTH</t>
  </si>
  <si>
    <t>159TE - Worth (TSPLOST Exempt)</t>
  </si>
  <si>
    <t>Did every gallon land somewhere?</t>
  </si>
  <si>
    <t>Gallons on this return, exact</t>
  </si>
  <si>
    <t>Above-the-rack gallons (excluded, listed on REVIEW)</t>
  </si>
  <si>
    <t>All on-road fuel gallons on the TERSE</t>
  </si>
  <si>
    <t>Difference (should be zero)</t>
  </si>
  <si>
    <t>Georgia off-road return as a file for the state's site</t>
  </si>
  <si>
    <t>Fill a fresh copy of the state's Excel import template from this tab, then import it on the return in GTC. Nothing here is typed.</t>
  </si>
  <si>
    <t>The template: dor.georgia.gov/sales-use-tax-import, the version for the quarter being filed.</t>
  </si>
  <si>
    <t>1. On the template's Main tab, type</t>
  </si>
  <si>
    <t>Sales &amp; Use Account Number, D4</t>
  </si>
  <si>
    <t>the off-road account number</t>
  </si>
  <si>
    <t>Period End Date, D5</t>
  </si>
  <si>
    <t>last day of the month</t>
  </si>
  <si>
    <t>Filing Frequency, D6</t>
  </si>
  <si>
    <t>Monthly</t>
  </si>
  <si>
    <t>TSPLOST Exmt Rates, K6</t>
  </si>
  <si>
    <t>Yes</t>
  </si>
  <si>
    <t>without it the template's rates come out higher than this return's</t>
  </si>
  <si>
    <t>Line 1, Total Sales (State), D10</t>
  </si>
  <si>
    <t>Line 2, Total Exempt State Sales, D11</t>
  </si>
  <si>
    <t>Line 7, Total Tax Collected, D16</t>
  </si>
  <si>
    <t>2. On its PART B tab, type</t>
  </si>
  <si>
    <t>State, Taxable Sales, D6</t>
  </si>
  <si>
    <t>3. On its Sales Tax Distribution tab, paste</t>
  </si>
  <si>
    <t>Rows to paste</t>
  </si>
  <si>
    <t>4. Its Main tab should then show</t>
  </si>
  <si>
    <t>Line 3, Taxable State Sales</t>
  </si>
  <si>
    <t>Line 4, Total Sales Tax</t>
  </si>
  <si>
    <t>Line 8, Total Sales and Use Tax</t>
  </si>
  <si>
    <t>Line 9, Excess Tax</t>
  </si>
  <si>
    <t>Line 10, Vendors Compensation</t>
  </si>
  <si>
    <t>the template's own figure; GTC sets the final one after the import</t>
  </si>
  <si>
    <t>Total Tax Due</t>
  </si>
  <si>
    <t>If one is off, don't import yet. Line 4 off means a county's rate differs: compare the template's Tax Rate column with the rate column below.</t>
  </si>
  <si>
    <t>County Code</t>
  </si>
  <si>
    <t>Taxable Sales</t>
  </si>
  <si>
    <t>Rate here</t>
  </si>
  <si>
    <t>Local tax here</t>
  </si>
  <si>
    <t>Georgia on-road return as a file for the state's site</t>
  </si>
  <si>
    <t>the on-road account number</t>
  </si>
  <si>
    <t>2. On its Sales Tax Distribution tab, paste College Park (this return carries it on line 4)</t>
  </si>
  <si>
    <t>Tax here</t>
  </si>
  <si>
    <t>3. On its MFD On-Road Worksheet tab, paste</t>
  </si>
  <si>
    <t>College Park</t>
  </si>
  <si>
    <t>Line 6, Pre-Paid Local Sales/Use (MF)</t>
  </si>
  <si>
    <t>If one is off, don't import yet. Line 6 off means a county's rate or gallons differ: compare the template's Tax Rate and Tax Amount columns with the two columns at the right below.</t>
  </si>
  <si>
    <t>Fuel Type</t>
  </si>
  <si>
    <t>Location STN</t>
  </si>
  <si>
    <t>Total Gallons</t>
  </si>
  <si>
    <t>Exempt Gallons</t>
  </si>
  <si>
    <t>Review, anything marked LOOK needs you</t>
  </si>
  <si>
    <t>Things that need a look</t>
  </si>
  <si>
    <t>1. Did the reports paste in the expected shape?</t>
  </si>
  <si>
    <t>Look?</t>
  </si>
  <si>
    <t>All 12 key columns are where they should be</t>
  </si>
  <si>
    <t>the checks are folded underneath; click the + on the left to open them</t>
  </si>
  <si>
    <t>AR SALES column H should be "Tax Name"</t>
  </si>
  <si>
    <t>AR SALES column J should be "Tax Exemption"</t>
  </si>
  <si>
    <t>AR SALES column L should be "Order Number"</t>
  </si>
  <si>
    <t>AR SALES column Y should be "Taxable Sales"</t>
  </si>
  <si>
    <t>AR SALES column AA should be "Total Sales Tax"</t>
  </si>
  <si>
    <t>TERSE column E should be "Ship To County"</t>
  </si>
  <si>
    <t>TERSE column F should be "Product Type"</t>
  </si>
  <si>
    <t>TERSE column L should be "Order Number"</t>
  </si>
  <si>
    <t>TERSE column R should be "Sold Qty"</t>
  </si>
  <si>
    <t>TERSE column Z should be "Total Taxes"</t>
  </si>
  <si>
    <t>TERSE column AB should be "Total Sales Taxes"</t>
  </si>
  <si>
    <t>TERSE column AE should be "Total Product Excise"</t>
  </si>
  <si>
    <t>2. Month health checks</t>
  </si>
  <si>
    <t>New tax lines never seen before (AR)</t>
  </si>
  <si>
    <t>filter AR SALES column AG, add the line to LISTS and to the return tab</t>
  </si>
  <si>
    <t>New counties / rate areas (TERSE)</t>
  </si>
  <si>
    <t>filter TERSE column AZ, add the county to LISTS and the ON ROAD RETURN tab</t>
  </si>
  <si>
    <t>Pipeline orders left off the returns</t>
  </si>
  <si>
    <t>never a LOOK by itself; filter TERSE column AY to eyeball them</t>
  </si>
  <si>
    <t>Off-road stale-tax variance, dollars of base</t>
  </si>
  <si>
    <t>how far off the stale orders are; the line below lights up when this isn't 0</t>
  </si>
  <si>
    <t>Stale-tax rows flagged on the TERSE</t>
  </si>
  <si>
    <t>filter TERSE column BA for STALE; small ones get filed as collected, no rebill</t>
  </si>
  <si>
    <t>Untaxed fuel with no exemption reason (TERSE)</t>
  </si>
  <si>
    <t>tax may have been missed; filter TERSE column BB for NO EXEMPTION</t>
  </si>
  <si>
    <t>On-road variance, collected minus calculated</t>
  </si>
  <si>
    <t>under a dollar is rounding; a dollar or more means a wrong rate or stale tax</t>
  </si>
  <si>
    <t>On-road gallons that landed nowhere</t>
  </si>
  <si>
    <t>a county is missing from the ON ROAD RETURN list</t>
  </si>
  <si>
    <t>Off-road counties with sales but no state code</t>
  </si>
  <si>
    <t>they'd be left off the upload; type the code from LISTS column F into OFF ROAD RETURN column K</t>
  </si>
  <si>
    <t>On-road rows with gallons but no state code</t>
  </si>
  <si>
    <t>they'd be left off the upload; type the code from LISTS column F into ON ROAD RETURN column L</t>
  </si>
  <si>
    <t>Recap leftover</t>
  </si>
  <si>
    <t>under a dollar is rounding; type the GL number first</t>
  </si>
  <si>
    <t>Tax State</t>
  </si>
  <si>
    <t>Tax State Name</t>
  </si>
  <si>
    <t>Destination State</t>
  </si>
  <si>
    <t>Destination State Name</t>
  </si>
  <si>
    <t>Category</t>
  </si>
  <si>
    <t>Import Export</t>
  </si>
  <si>
    <t>Category Import Export</t>
  </si>
  <si>
    <t>Tax Name</t>
  </si>
  <si>
    <t>Tax Class</t>
  </si>
  <si>
    <t>Tax Exemption</t>
  </si>
  <si>
    <t>Invoice Date</t>
  </si>
  <si>
    <t>Order Number</t>
  </si>
  <si>
    <t>Customer Name</t>
  </si>
  <si>
    <t>Ship To Name</t>
  </si>
  <si>
    <t>Address 1</t>
  </si>
  <si>
    <t>Ship To City</t>
  </si>
  <si>
    <t>Ship To State</t>
  </si>
  <si>
    <t>Ship To City State</t>
  </si>
  <si>
    <t>County</t>
  </si>
  <si>
    <t>Account Number</t>
  </si>
  <si>
    <t>Ship To Number</t>
  </si>
  <si>
    <t>Account Ship To</t>
  </si>
  <si>
    <t>Invoice Total</t>
  </si>
  <si>
    <t>Non Taxable Sales</t>
  </si>
  <si>
    <t>Tax Rate</t>
  </si>
  <si>
    <t>Total Sales Tax</t>
  </si>
  <si>
    <t>lng Tax Class ID</t>
  </si>
  <si>
    <t>cnt Tax ID</t>
  </si>
  <si>
    <t>Road (helper)</t>
  </si>
  <si>
    <t>On-road order key (helper)</t>
  </si>
  <si>
    <t>Exempt (helper)</t>
  </si>
  <si>
    <t>New tax line? (helper)</t>
  </si>
  <si>
    <t>Ship To State Name</t>
  </si>
  <si>
    <t>lng City ID</t>
  </si>
  <si>
    <t>Ship To County</t>
  </si>
  <si>
    <t>Product Type</t>
  </si>
  <si>
    <t>Product Type Name</t>
  </si>
  <si>
    <t>Carrier</t>
  </si>
  <si>
    <t>Marketing Consultant</t>
  </si>
  <si>
    <t>Ordered Qty</t>
  </si>
  <si>
    <t>Sold Qty</t>
  </si>
  <si>
    <t>Metered Qty</t>
  </si>
  <si>
    <t>Gross Profit</t>
  </si>
  <si>
    <t>Sold As</t>
  </si>
  <si>
    <t>Unit Price</t>
  </si>
  <si>
    <t>Qty Price</t>
  </si>
  <si>
    <t>Total Taxes Now</t>
  </si>
  <si>
    <t>Total Taxes Deferred</t>
  </si>
  <si>
    <t>Total Taxes</t>
  </si>
  <si>
    <t>Total Excise Taxes</t>
  </si>
  <si>
    <t>Total Sales Taxes</t>
  </si>
  <si>
    <t>Line Total</t>
  </si>
  <si>
    <t>Total Product</t>
  </si>
  <si>
    <t>Total Product Excise</t>
  </si>
  <si>
    <t>Bid ID</t>
  </si>
  <si>
    <t>Firm Contract</t>
  </si>
  <si>
    <t>Firm Contract Adjustment</t>
  </si>
  <si>
    <t>NYMEX Weekly Adjustment</t>
  </si>
  <si>
    <t>Sold Qty No Svc</t>
  </si>
  <si>
    <t>Gross Profit No Svc</t>
  </si>
  <si>
    <t>Total Product No Svc</t>
  </si>
  <si>
    <t>Total Product Excise No Svc</t>
  </si>
  <si>
    <t>Line Total No Svc</t>
  </si>
  <si>
    <t>cnt Order Item ID</t>
  </si>
  <si>
    <t>cnt Order ID</t>
  </si>
  <si>
    <t>On-road tax line of the order (helper)</t>
  </si>
  <si>
    <t>County for the return (helper)</t>
  </si>
  <si>
    <t>Fuel (helper)</t>
  </si>
  <si>
    <t>Gallons (helper)</t>
  </si>
  <si>
    <t>Exempt gallons (helper)</t>
  </si>
  <si>
    <t>Above the rack? (helper)</t>
  </si>
  <si>
    <t>New county? (helper)</t>
  </si>
  <si>
    <t>Stale off-road tax? (helper)</t>
  </si>
  <si>
    <t>Untaxed with no exemption? (helper)</t>
  </si>
  <si>
    <t>Known tax lines (checks compare against this)</t>
  </si>
  <si>
    <t>Known counties / rate areas</t>
  </si>
  <si>
    <t>State code for the import template</t>
  </si>
  <si>
    <t>GA %  SALES-(STATE &amp; LOCAL GOVT) (pays prepaid only) ON ROAD (3.000000%)</t>
  </si>
  <si>
    <t>GA BARROW CO SALES TAX  ON ROAD (3.000000%)</t>
  </si>
  <si>
    <t>ATKINSON</t>
  </si>
  <si>
    <t>002TE - Atkinson (TSPLOST Exempt)</t>
  </si>
  <si>
    <t>BACON</t>
  </si>
  <si>
    <t>003TE - Bacon (TSPLOST Exempt)</t>
  </si>
  <si>
    <t>GA BARTOW CO SALES TAX  ON ROAD (3.000000%)</t>
  </si>
  <si>
    <t>BAKER</t>
  </si>
  <si>
    <t>004TE - Baker (TSPLOST Exempt)</t>
  </si>
  <si>
    <t>GA BIBB CO SALES TAX  ON ROAD (4.000000%)</t>
  </si>
  <si>
    <t>GA CAMDEN  CO SALES TAX  ON ROAD (3.000000%)</t>
  </si>
  <si>
    <t>BEN HILL</t>
  </si>
  <si>
    <t>009TE - Ben Hill (TSPLOST Exempt)</t>
  </si>
  <si>
    <t>GA CLARKE  CO SALES TAX ON ROAD (3.000000%)</t>
  </si>
  <si>
    <t>BERRIEN</t>
  </si>
  <si>
    <t>010TE - Berrien (TSPLOST Exempt)</t>
  </si>
  <si>
    <t>GA CLAYTON  CO SALES TAX  ON ROAD (4.000000%)</t>
  </si>
  <si>
    <t>GA COBB  CO SALES TAX  ON ROAD (2.000000%)</t>
  </si>
  <si>
    <t>BRANTLEY</t>
  </si>
  <si>
    <t>013TE - Brantley (TSPLOST Exempt)</t>
  </si>
  <si>
    <t>GA COLQUITT  CO SALES TAX ON ROAD (4.000000%)</t>
  </si>
  <si>
    <t>BROOKS</t>
  </si>
  <si>
    <t>014TE - Brooks (TSPLOST Exempt)</t>
  </si>
  <si>
    <t>GA CRISP CO SALES TAX ON ROAD (3.000000%)</t>
  </si>
  <si>
    <t>GA DEKALB CO SALES TAX ON ROAD (4.000000%)</t>
  </si>
  <si>
    <t>GA DODGE CO SALES TAX ON ROAD (3.000000%)</t>
  </si>
  <si>
    <t>BUTTS</t>
  </si>
  <si>
    <t>018 - Butts</t>
  </si>
  <si>
    <t>GA DOOLY  CO SALES TAX ON ROAD (3.000000%)</t>
  </si>
  <si>
    <t>CALHOUN</t>
  </si>
  <si>
    <t>019TE - Calhoun (TSPLOST Exempt)</t>
  </si>
  <si>
    <t>GA DOUGHERTY  CO SALES TAX ON ROAD (3.000000%)</t>
  </si>
  <si>
    <t>GA DOUGLAS CO SALES TAX ON ROAD (3.000000%)</t>
  </si>
  <si>
    <t>GA EVANS  CO SALES TAX ON ROAD (4.000000%)</t>
  </si>
  <si>
    <t>GA FANNIN  CO SALES TAX ON ROAD (3.000000%)</t>
  </si>
  <si>
    <t>GA FAYETTE  CO SALES TAX  ON ROAD (3.000000%)</t>
  </si>
  <si>
    <t>GA FORSYTH   CO SALES TAX  ON ROAD (3.000000%)</t>
  </si>
  <si>
    <t>CLAY</t>
  </si>
  <si>
    <t>030TE - Clay (TSPLOST Exempt)</t>
  </si>
  <si>
    <t>GA FULTON  CO (COLLEGE PARK) SALES TAX  ON ROAD (4.000000%)</t>
  </si>
  <si>
    <t>GA FULTON  CO SALES TAX  ON ROAD (3.000000%)</t>
  </si>
  <si>
    <t>CLINCH</t>
  </si>
  <si>
    <t>032TE - Clinch (TSPLOST Exempt)</t>
  </si>
  <si>
    <t>GA FULTON  CO SALES TAX  ON ROAD (ATLANTA CITY LIMITS) (4.500000%)</t>
  </si>
  <si>
    <t>GA GWINNETT  CO SALES TAX  ON ROAD (2.000000%)</t>
  </si>
  <si>
    <t>COLUMBIA</t>
  </si>
  <si>
    <t>GA HALL  CO SALES TAX  ON ROAD (3.000000%)</t>
  </si>
  <si>
    <t>GA HART CO SALES TAX  ON ROAD (3.000000%)</t>
  </si>
  <si>
    <t>CRAWFORD</t>
  </si>
  <si>
    <t>039TE - Crawford (TSPLOST Exempt)</t>
  </si>
  <si>
    <t>GA HENRY  CO SALES TAX  ON ROAD (3.000000%)</t>
  </si>
  <si>
    <t>GA HOUSTON  CO SALES TAX  ON ROAD (3.000000%)</t>
  </si>
  <si>
    <t>GA JACKSON  CO SALES TAX  ON ROAD (3.000000%)</t>
  </si>
  <si>
    <t>DAWSON</t>
  </si>
  <si>
    <t>042TE - Dawson (TSPLOST Exempt)</t>
  </si>
  <si>
    <t>GA JENKINS  CO SALES TAX  ON ROAD (3.000000%)</t>
  </si>
  <si>
    <t>GA JONES   CO SALES TAX  ON ROAD (3.000000%)</t>
  </si>
  <si>
    <t>GA MCDUFFIE  CO SALES TAX  ON ROAD (4.000000%)</t>
  </si>
  <si>
    <t>GA MONROE  CO SALES TAX  ON ROAD (3.000000%)</t>
  </si>
  <si>
    <t>GA MUSCOGEE  CO SALES TAX  ON ROAD (4.000000%)</t>
  </si>
  <si>
    <t>EARLY</t>
  </si>
  <si>
    <t>049TE - Early (TSPLOST Exempt)</t>
  </si>
  <si>
    <t>ECHOLS</t>
  </si>
  <si>
    <t>050TE - Echols (TSPLOST Exempt)</t>
  </si>
  <si>
    <t>GA NEWTON  CO SALES TAX  ON ROAD (3.000000%)</t>
  </si>
  <si>
    <t>EFFINGHAM</t>
  </si>
  <si>
    <t>051TE - Effingham (TSPLOST Exempt)</t>
  </si>
  <si>
    <t>ELBERT</t>
  </si>
  <si>
    <t>GA PEACH  CO SALES TAX  ON ROAD (4.000000%)</t>
  </si>
  <si>
    <t>GA RICHMOND CO SALES TAX  ON ROAD (3.500000%)</t>
  </si>
  <si>
    <t>GA ROCKDALE  CO SALES TAX  ON ROAD (3.000000%)</t>
  </si>
  <si>
    <t>GA SPALDING CO SALES TAX  ON ROAD (2.000000%)</t>
  </si>
  <si>
    <t>GA SUMTER  CO SALES TAX  ON ROAD (3.000000%)</t>
  </si>
  <si>
    <t>GA TATTNALL  CO SALES TAX ON ROAD (3.000000%)</t>
  </si>
  <si>
    <t>GA THOMAS  CO SALES TAX  ON ROAD (4.000000%)</t>
  </si>
  <si>
    <t>GA TOWNS CO SALES TAX  ON ROAD (4.000000%)</t>
  </si>
  <si>
    <t>GLASCOCK</t>
  </si>
  <si>
    <t>062TE - Glascock (TSPLOST Exempt)</t>
  </si>
  <si>
    <t>GA TROUP  CO SALES TAX  ON ROAD (3.000000%)</t>
  </si>
  <si>
    <t>GA WARREN  CO SALES TAX  ON ROAD (4.000000%)</t>
  </si>
  <si>
    <t>GA WASHINGTON  CO SALES TAX  ON ROAD (4.000000%)</t>
  </si>
  <si>
    <t>GREENE</t>
  </si>
  <si>
    <t>066TE - Greene (TSPLOST Exempt)</t>
  </si>
  <si>
    <t>GA WAYNE  CO SALES TAX  ON ROAD (3.000000%)</t>
  </si>
  <si>
    <t>HANCOCK</t>
  </si>
  <si>
    <t>070TE - Hancock (TSPLOST Exempt)</t>
  </si>
  <si>
    <t>IRWIN</t>
  </si>
  <si>
    <t>077TE - Irwin (TSPLOST Exempt)</t>
  </si>
  <si>
    <t>JASPER</t>
  </si>
  <si>
    <t>079 - Jasper</t>
  </si>
  <si>
    <t>JEFF DAVIS</t>
  </si>
  <si>
    <t>080TE - Jeff Davis (TSPLOST Exempt)</t>
  </si>
  <si>
    <t>LAMAR</t>
  </si>
  <si>
    <t>085TE - Lamar (TSPLOST Exempt)</t>
  </si>
  <si>
    <t>LEE</t>
  </si>
  <si>
    <t>088TE - Lee (TSPLOST exempt)</t>
  </si>
  <si>
    <t>LINCOLN</t>
  </si>
  <si>
    <t>090TE - Lincoln (TSPLOST Exempt)</t>
  </si>
  <si>
    <t>LONG</t>
  </si>
  <si>
    <t>091TE - Long (TSPLOST Exempt)</t>
  </si>
  <si>
    <t>MCINTOSH</t>
  </si>
  <si>
    <t>098TE - McIntosh (TSPLOST Exempt)</t>
  </si>
  <si>
    <t>MERIWETHER</t>
  </si>
  <si>
    <t>099TE - Meriwether (TSPLOST Exempt)</t>
  </si>
  <si>
    <t>MILLER</t>
  </si>
  <si>
    <t>100TE - Miller (TSPLOST exempt)</t>
  </si>
  <si>
    <t>MITCHELL</t>
  </si>
  <si>
    <t>101TE - Mitchell (TSPLOST Exempt)</t>
  </si>
  <si>
    <t>MONTGOMERY</t>
  </si>
  <si>
    <t>103TE - Montgomery (TSPLOST Exempt)</t>
  </si>
  <si>
    <t>MORGAN</t>
  </si>
  <si>
    <t>104TE - Morgan (TSPLOST Exempt)</t>
  </si>
  <si>
    <t>OCONEE</t>
  </si>
  <si>
    <t>108TE - Oconee (TSPLOST Exempt)</t>
  </si>
  <si>
    <t>OGLETHORPE</t>
  </si>
  <si>
    <t>109TE - Oglethorpe (TSPLOST exempt)</t>
  </si>
  <si>
    <t>PIERCE</t>
  </si>
  <si>
    <t>113TE - Pierce (TSPLOST Exempt)</t>
  </si>
  <si>
    <t>PIKE</t>
  </si>
  <si>
    <t>114 - Pike</t>
  </si>
  <si>
    <t>PULASKI</t>
  </si>
  <si>
    <t>116TE - Pulaski (TSPLOST Exempt)</t>
  </si>
  <si>
    <t>PUTNAM</t>
  </si>
  <si>
    <t>117TE - Putnam (TSPLOST Exempt)</t>
  </si>
  <si>
    <t>QUITMAN</t>
  </si>
  <si>
    <t>118TE - Quitman (TSPLOST Exempt)</t>
  </si>
  <si>
    <t>RABUN</t>
  </si>
  <si>
    <t>119TE - Rabun (TSPLOST Exempt)</t>
  </si>
  <si>
    <t>RANDOLPH</t>
  </si>
  <si>
    <t>120TE - Randolph (TSPLOST Exempt)</t>
  </si>
  <si>
    <t>SCHLEY</t>
  </si>
  <si>
    <t>123TE - Schley (TSPLOST Exempt)</t>
  </si>
  <si>
    <t>SCREVEN</t>
  </si>
  <si>
    <t>124TE - Screven (TSPLOST Exempt)</t>
  </si>
  <si>
    <t>SEMINOLE</t>
  </si>
  <si>
    <t>125TE - Seminole (TSPLOST Exempt)</t>
  </si>
  <si>
    <t>STEPHENS</t>
  </si>
  <si>
    <t>127 - Stephens</t>
  </si>
  <si>
    <t>STEWART</t>
  </si>
  <si>
    <t>128TE - Stewart (TSPLOST Exempt)</t>
  </si>
  <si>
    <t>TALIAFERRO</t>
  </si>
  <si>
    <t>131TE - Taliaferro (TSPLOST Exempt)</t>
  </si>
  <si>
    <t>TAYLOR</t>
  </si>
  <si>
    <t>133TE - Taylor (TSPLOST Exempt)</t>
  </si>
  <si>
    <t>TERRELL</t>
  </si>
  <si>
    <t>135TE - Terrell (TSPLOST exempt)</t>
  </si>
  <si>
    <t>TREUTLEN</t>
  </si>
  <si>
    <t>140TE - Treutlen (TSPLOST Exempt)</t>
  </si>
  <si>
    <t>TURNER</t>
  </si>
  <si>
    <t>142TE - Turner (TSPLOST Exempt)</t>
  </si>
  <si>
    <t>TWIGGS</t>
  </si>
  <si>
    <t>143TE - Twiggs (TSPLOST Exempt)</t>
  </si>
  <si>
    <t>UPSON</t>
  </si>
  <si>
    <t>145TE - Upson (TSPLOST Exempt)</t>
  </si>
  <si>
    <t>WALTON</t>
  </si>
  <si>
    <t>147 - Walton</t>
  </si>
  <si>
    <t>WEBSTER</t>
  </si>
  <si>
    <t>152TE - Webster (TSPLOST Exempt)</t>
  </si>
  <si>
    <t>WHEELER</t>
  </si>
  <si>
    <t>153TE - Wheeler (TSPLOST Exempt)</t>
  </si>
  <si>
    <t>WHITE</t>
  </si>
  <si>
    <t>154 - White</t>
  </si>
  <si>
    <t>WILCOX</t>
  </si>
  <si>
    <t>156TE - Wilcox (TSPLOST Exempt)</t>
  </si>
  <si>
    <t>WILKINSON</t>
  </si>
  <si>
    <t>158 - Wilkinson</t>
  </si>
  <si>
    <t>FULTON (HAPEVILLE)</t>
  </si>
  <si>
    <t>800TE - Fulton - City of Hapeville (TSPLOST Exempt)</t>
  </si>
  <si>
    <t>FULTON (EAST POINT)</t>
  </si>
  <si>
    <t>802TE - Fulton - City of East Point (TSPLOST Exempt)</t>
  </si>
  <si>
    <t>ATLANTA (CENTENNIAL YARDS)</t>
  </si>
  <si>
    <t>803TE - City of Atlanta Centennial Yards (TSPLOST Exempt)</t>
  </si>
  <si>
    <t>CLAYTON (COLLEGE PARK)</t>
  </si>
  <si>
    <t>804 - Clayton - City of College Park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</si>
</sst>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.0"/>
  </numFmts>
  <fonts count="6" x14ac:knownFonts="1">
    <font>
      <sz val="11"/>
      <color theme="1"/>
      <name val="Calibri"/>
      <family val="2"/>
      <scheme val="minor"/>
    </font>
    <font>
      <b/>
      <sz val="13"/>
      <name val="Arial"/>
    </font>
    <font>
      <sz val="10"/>
      <name val="Arial"/>
    </font>
    <font>
      <b/>
      <sz val="10"/>
      <name val="Arial"/>
    </font>
    <font>
      <i/>
      <sz val="10"/>
      <name val="Arial"/>
    </font>
    <font>
      <sz val="10"/>
      <color rgb="FF0000FF"/>
      <name val="Arial"/>
    </font>
  </fonts>
  <fills count="4">
    <fill>
      <patternFill patternType="none"/>
    </fill>
    <fill>
      <patternFill patternType="gray125"/>
    </fill>
    <fill>
      <patternFill patternType="solid">
        <fgColor rgb="FFDDDDDD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/>
      <right/>
      <top/>
      <bottom style="thin">
        <color rgb="FF999999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5" fillId="3" borderId="0" xfId="0" applyFont="1" applyFill="1"/>
    <xf numFmtId="4" fontId="5" fillId="3" borderId="0" xfId="0" applyNumberFormat="1" applyFont="1" applyFill="1"/>
    <xf numFmtId="0" fontId="4" fillId="0" borderId="0" xfId="0" applyFont="1"/>
    <xf numFmtId="4" fontId="2" fillId="0" borderId="0" xfId="0" applyNumberFormat="1" applyFont="1"/>
    <xf numFmtId="4" fontId="3" fillId="0" borderId="0" xfId="0" applyNumberFormat="1" applyFont="1"/>
    <xf numFmtId="0" fontId="3" fillId="2" borderId="0" xfId="0" applyFont="1" applyFill="1"/>
    <xf numFmtId="0" fontId="3" fillId="2" borderId="0" xfId="0" applyFont="1" applyFill="1" applyAlignment="1">
      <alignment vertical="top" wrapText="1"/>
    </xf>
    <xf numFmtId="164" fontId="5" fillId="0" borderId="0" xfId="0" applyNumberFormat="1" applyFont="1"/>
    <xf numFmtId="164" fontId="2" fillId="0" borderId="0" xfId="0" applyNumberFormat="1" applyFont="1"/>
    <xf numFmtId="0" fontId="5" fillId="0" borderId="0" xfId="0" applyFont="1"/>
    <xf numFmtId="4" fontId="3" fillId="0" borderId="1" xfId="0" applyNumberFormat="1" applyFont="1" applyBorder="1"/>
    <xf numFmtId="3" fontId="2" fillId="0" borderId="0" xfId="0" applyNumberFormat="1" applyFont="1"/>
    <xf numFmtId="165" fontId="2" fillId="0" borderId="0" xfId="0" applyNumberFormat="1" applyFont="1"/>
    <xf numFmtId="3" fontId="3" fillId="0" borderId="0" xfId="0" applyNumberFormat="1" applyFont="1"/>
    <xf numFmtId="165" fontId="3" fillId="0" borderId="0" xfId="0" applyNumberFormat="1" applyFont="1"/>
    <xf numFmtId="4" fontId="4" fillId="0" borderId="0" xfId="0" applyNumberFormat="1" applyFont="1"/>
    <xf numFmtId="1" fontId="3" fillId="0" borderId="0" xfId="0" applyNumberFormat="1" applyFont="1"/>
  </cellXfs>
  <cellStyles count="1">
    <cellStyle name="Normal" xfId="0" builtinId="0"/>
  </cellStyles>
  <dxfs count="17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C6EFCE"/>
          <bgColor rgb="FFC6EFCE"/>
        </patternFill>
      </fill>
    </dxf>
    <dxf>
      <font>
        <b/>
        <sz val="10"/>
        <color rgb="FFFFFFFF"/>
        <name val="Arial"/>
      </font>
      <fill>
        <patternFill patternType="solid">
          <fgColor rgb="FFC00000"/>
          <bgColor rgb="FFC0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AD47"/>
  </sheetPr>
  <dimension ref="B2:B63"/>
  <sheetViews>
    <sheetView tabSelected="1" workbookViewId="0"/>
  </sheetViews>
  <sheetFormatPr defaultRowHeight="15" x14ac:dyDescent="0.25"/>
  <cols>
    <col min="1" max="1" width="4" customWidth="1"/>
    <col min="2" max="2" width="100" customWidth="1"/>
  </cols>
  <sheetData>
    <row r="2" spans="2:2" ht="16.5" x14ac:dyDescent="0.25">
      <c r="B2" s="1" t="s">
        <v>0</v>
      </c>
    </row>
    <row r="3" spans="2:2" x14ac:dyDescent="0.25">
      <c r="B3" s="2"/>
    </row>
    <row r="4" spans="2:2" x14ac:dyDescent="0.25">
      <c r="B4" s="2" t="s">
        <v>1</v>
      </c>
    </row>
    <row r="5" spans="2:2" x14ac:dyDescent="0.25">
      <c r="B5" s="2"/>
    </row>
    <row r="6" spans="2:2" x14ac:dyDescent="0.25">
      <c r="B6" s="3" t="s">
        <v>2</v>
      </c>
    </row>
    <row r="7" spans="2:2" x14ac:dyDescent="0.25">
      <c r="B7" s="2" t="s">
        <v>3</v>
      </c>
    </row>
    <row r="8" spans="2:2" x14ac:dyDescent="0.25">
      <c r="B8" s="2" t="s">
        <v>4</v>
      </c>
    </row>
    <row r="9" spans="2:2" x14ac:dyDescent="0.25">
      <c r="B9" s="2" t="s">
        <v>5</v>
      </c>
    </row>
    <row r="10" spans="2:2" x14ac:dyDescent="0.25">
      <c r="B10" s="2" t="s">
        <v>6</v>
      </c>
    </row>
    <row r="11" spans="2:2" x14ac:dyDescent="0.25">
      <c r="B11" s="2" t="s">
        <v>7</v>
      </c>
    </row>
    <row r="12" spans="2:2" x14ac:dyDescent="0.25">
      <c r="B12" s="2" t="s">
        <v>8</v>
      </c>
    </row>
    <row r="13" spans="2:2" x14ac:dyDescent="0.25">
      <c r="B13" s="2" t="s">
        <v>9</v>
      </c>
    </row>
    <row r="14" spans="2:2" x14ac:dyDescent="0.25">
      <c r="B14" s="2" t="s">
        <v>10</v>
      </c>
    </row>
    <row r="15" spans="2:2" x14ac:dyDescent="0.25">
      <c r="B15" s="2" t="s">
        <v>11</v>
      </c>
    </row>
    <row r="16" spans="2:2" x14ac:dyDescent="0.25">
      <c r="B16" s="2" t="s">
        <v>12</v>
      </c>
    </row>
    <row r="17" spans="2:2" x14ac:dyDescent="0.25">
      <c r="B17" s="2" t="s">
        <v>13</v>
      </c>
    </row>
    <row r="18" spans="2:2" x14ac:dyDescent="0.25">
      <c r="B18" s="2"/>
    </row>
    <row r="19" spans="2:2" x14ac:dyDescent="0.25">
      <c r="B19" s="3" t="s">
        <v>14</v>
      </c>
    </row>
    <row r="20" spans="2:2" x14ac:dyDescent="0.25">
      <c r="B20" s="2" t="s">
        <v>15</v>
      </c>
    </row>
    <row r="21" spans="2:2" x14ac:dyDescent="0.25">
      <c r="B21" s="2" t="s">
        <v>16</v>
      </c>
    </row>
    <row r="22" spans="2:2" x14ac:dyDescent="0.25">
      <c r="B22" s="2" t="s">
        <v>17</v>
      </c>
    </row>
    <row r="23" spans="2:2" x14ac:dyDescent="0.25">
      <c r="B23" s="2" t="s">
        <v>18</v>
      </c>
    </row>
    <row r="24" spans="2:2" x14ac:dyDescent="0.25">
      <c r="B24" s="2" t="s">
        <v>19</v>
      </c>
    </row>
    <row r="25" spans="2:2" x14ac:dyDescent="0.25">
      <c r="B25" s="2" t="s">
        <v>20</v>
      </c>
    </row>
    <row r="26" spans="2:2" x14ac:dyDescent="0.25">
      <c r="B26" s="2"/>
    </row>
    <row r="27" spans="2:2" x14ac:dyDescent="0.25">
      <c r="B27" s="3" t="s">
        <v>21</v>
      </c>
    </row>
    <row r="28" spans="2:2" x14ac:dyDescent="0.25">
      <c r="B28" s="2" t="s">
        <v>22</v>
      </c>
    </row>
    <row r="29" spans="2:2" x14ac:dyDescent="0.25">
      <c r="B29" s="2" t="s">
        <v>23</v>
      </c>
    </row>
    <row r="30" spans="2:2" x14ac:dyDescent="0.25">
      <c r="B30" s="2" t="s">
        <v>24</v>
      </c>
    </row>
    <row r="31" spans="2:2" x14ac:dyDescent="0.25">
      <c r="B31" s="2" t="s">
        <v>25</v>
      </c>
    </row>
    <row r="32" spans="2:2" x14ac:dyDescent="0.25">
      <c r="B32" s="2" t="s">
        <v>26</v>
      </c>
    </row>
    <row r="33" spans="2:2" x14ac:dyDescent="0.25">
      <c r="B33" s="2" t="s">
        <v>27</v>
      </c>
    </row>
    <row r="34" spans="2:2" x14ac:dyDescent="0.25">
      <c r="B34" s="2" t="s">
        <v>28</v>
      </c>
    </row>
    <row r="35" spans="2:2" x14ac:dyDescent="0.25">
      <c r="B35" s="2" t="s">
        <v>29</v>
      </c>
    </row>
    <row r="36" spans="2:2" x14ac:dyDescent="0.25">
      <c r="B36" s="2" t="s">
        <v>30</v>
      </c>
    </row>
    <row r="37" spans="2:2" x14ac:dyDescent="0.25">
      <c r="B37" s="2" t="s">
        <v>31</v>
      </c>
    </row>
    <row r="38" spans="2:2" x14ac:dyDescent="0.25">
      <c r="B38" s="2" t="s">
        <v>32</v>
      </c>
    </row>
    <row r="39" spans="2:2" x14ac:dyDescent="0.25">
      <c r="B39" s="2" t="s">
        <v>33</v>
      </c>
    </row>
    <row r="40" spans="2:2" x14ac:dyDescent="0.25">
      <c r="B40" s="2" t="s">
        <v>34</v>
      </c>
    </row>
    <row r="41" spans="2:2" x14ac:dyDescent="0.25">
      <c r="B41" s="2" t="s">
        <v>35</v>
      </c>
    </row>
    <row r="42" spans="2:2" x14ac:dyDescent="0.25">
      <c r="B42" s="2" t="s">
        <v>36</v>
      </c>
    </row>
    <row r="43" spans="2:2" x14ac:dyDescent="0.25">
      <c r="B43" s="2" t="s">
        <v>37</v>
      </c>
    </row>
    <row r="44" spans="2:2" x14ac:dyDescent="0.25">
      <c r="B44" s="2" t="s">
        <v>38</v>
      </c>
    </row>
    <row r="45" spans="2:2" x14ac:dyDescent="0.25">
      <c r="B45" s="2" t="s">
        <v>39</v>
      </c>
    </row>
    <row r="46" spans="2:2" x14ac:dyDescent="0.25">
      <c r="B46" s="2" t="s">
        <v>40</v>
      </c>
    </row>
    <row r="47" spans="2:2" x14ac:dyDescent="0.25">
      <c r="B47" s="2" t="s">
        <v>41</v>
      </c>
    </row>
    <row r="48" spans="2:2" x14ac:dyDescent="0.25">
      <c r="B48" s="2" t="s">
        <v>42</v>
      </c>
    </row>
    <row r="49" spans="2:2" x14ac:dyDescent="0.25">
      <c r="B49" s="2" t="s">
        <v>43</v>
      </c>
    </row>
    <row r="50" spans="2:2" x14ac:dyDescent="0.25">
      <c r="B50" s="2" t="s">
        <v>44</v>
      </c>
    </row>
    <row r="51" spans="2:2" x14ac:dyDescent="0.25">
      <c r="B51" s="2" t="s">
        <v>45</v>
      </c>
    </row>
    <row r="52" spans="2:2" x14ac:dyDescent="0.25">
      <c r="B52" s="2" t="s">
        <v>46</v>
      </c>
    </row>
    <row r="53" spans="2:2" x14ac:dyDescent="0.25">
      <c r="B53" s="2" t="s">
        <v>47</v>
      </c>
    </row>
    <row r="54" spans="2:2" x14ac:dyDescent="0.25">
      <c r="B54" s="2" t="s">
        <v>48</v>
      </c>
    </row>
    <row r="55" spans="2:2" x14ac:dyDescent="0.25">
      <c r="B55" s="2" t="s">
        <v>49</v>
      </c>
    </row>
    <row r="56" spans="2:2" x14ac:dyDescent="0.25">
      <c r="B56" s="2" t="s">
        <v>50</v>
      </c>
    </row>
    <row r="57" spans="2:2" x14ac:dyDescent="0.25">
      <c r="B57" s="2" t="s">
        <v>51</v>
      </c>
    </row>
    <row r="58" spans="2:2" x14ac:dyDescent="0.25">
      <c r="B58" s="2" t="s">
        <v>52</v>
      </c>
    </row>
    <row r="59" spans="2:2" x14ac:dyDescent="0.25">
      <c r="B59" s="2" t="s">
        <v>53</v>
      </c>
    </row>
    <row r="60" spans="2:2" x14ac:dyDescent="0.25">
      <c r="B60" s="2" t="s">
        <v>54</v>
      </c>
    </row>
    <row r="61" spans="2:2" x14ac:dyDescent="0.25">
      <c r="B61" s="2" t="s">
        <v>55</v>
      </c>
    </row>
    <row r="62" spans="2:2" x14ac:dyDescent="0.25">
      <c r="B62" s="2" t="s">
        <v>56</v>
      </c>
    </row>
    <row r="63" spans="2:2" x14ac:dyDescent="0.25">
      <c r="B63" s="2" t="s">
        <v>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B2:F31"/>
  <sheetViews>
    <sheetView workbookViewId="0"/>
  </sheetViews>
  <sheetFormatPr defaultRowHeight="15" x14ac:dyDescent="0.25"/>
  <cols>
    <col min="2" max="2" width="52" customWidth="1"/>
    <col min="3" max="4" width="16" customWidth="1"/>
    <col min="6" max="6" width="60" customWidth="1"/>
  </cols>
  <sheetData>
    <row r="2" spans="2:6" ht="16.5" x14ac:dyDescent="0.25">
      <c r="B2" s="1" t="s">
        <v>58</v>
      </c>
      <c r="F2" s="3" t="str">
        <f>IF(REVIEW!$E$2=0,"All clear"&amp;IF(REVIEW!$E$21&gt;0,". Pipeline orders left off the return: "&amp;REVIEW!$E$21,""),"CHECK THE REVIEW TAB: "&amp;REVIEW!$E$2&amp;IF(REVIEW!$E$2=1," thing needs"," things need")&amp;" a look")</f>
        <v>All clear</v>
      </c>
    </row>
    <row r="3" spans="2:6" x14ac:dyDescent="0.25">
      <c r="B3" s="2" t="s">
        <v>59</v>
      </c>
      <c r="C3" s="4"/>
    </row>
    <row r="5" spans="2:6" x14ac:dyDescent="0.25">
      <c r="B5" s="3" t="s">
        <v>60</v>
      </c>
    </row>
    <row r="6" spans="2:6" x14ac:dyDescent="0.25">
      <c r="B6" s="2" t="s">
        <v>61</v>
      </c>
      <c r="D6" s="5">
        <v>0</v>
      </c>
      <c r="F6" s="6" t="s">
        <v>62</v>
      </c>
    </row>
    <row r="7" spans="2:6" x14ac:dyDescent="0.25">
      <c r="B7" s="2" t="s">
        <v>63</v>
      </c>
      <c r="D7" s="5">
        <v>0</v>
      </c>
      <c r="F7" s="6" t="s">
        <v>64</v>
      </c>
    </row>
    <row r="8" spans="2:6" x14ac:dyDescent="0.25">
      <c r="B8" s="2" t="s">
        <v>65</v>
      </c>
      <c r="D8" s="5">
        <v>0</v>
      </c>
      <c r="F8" s="6" t="s">
        <v>66</v>
      </c>
    </row>
    <row r="9" spans="2:6" x14ac:dyDescent="0.25">
      <c r="B9" s="2" t="s">
        <v>67</v>
      </c>
      <c r="D9" s="7">
        <f>C31</f>
        <v>0</v>
      </c>
      <c r="F9" s="6" t="s">
        <v>68</v>
      </c>
    </row>
    <row r="10" spans="2:6" x14ac:dyDescent="0.25">
      <c r="B10" s="2" t="s">
        <v>69</v>
      </c>
      <c r="D10" s="7">
        <f>D31</f>
        <v>0</v>
      </c>
      <c r="F10" s="6" t="s">
        <v>68</v>
      </c>
    </row>
    <row r="11" spans="2:6" x14ac:dyDescent="0.25">
      <c r="B11" s="2" t="s">
        <v>70</v>
      </c>
      <c r="D11" s="7">
        <f>C28</f>
        <v>0</v>
      </c>
      <c r="F11" s="6" t="s">
        <v>71</v>
      </c>
    </row>
    <row r="12" spans="2:6" x14ac:dyDescent="0.25">
      <c r="B12" s="2" t="s">
        <v>72</v>
      </c>
      <c r="D12" s="7">
        <f>D28</f>
        <v>0</v>
      </c>
      <c r="F12" s="6" t="s">
        <v>71</v>
      </c>
    </row>
    <row r="14" spans="2:6" x14ac:dyDescent="0.25">
      <c r="B14" s="3" t="s">
        <v>73</v>
      </c>
      <c r="D14" s="8">
        <f>D6-D7+D8-D9-D10-D11-D12</f>
        <v>0</v>
      </c>
    </row>
    <row r="17" spans="2:6" x14ac:dyDescent="0.25">
      <c r="B17" s="3" t="s">
        <v>74</v>
      </c>
    </row>
    <row r="18" spans="2:6" x14ac:dyDescent="0.25">
      <c r="C18" s="9" t="s">
        <v>75</v>
      </c>
      <c r="D18" s="9" t="s">
        <v>76</v>
      </c>
    </row>
    <row r="19" spans="2:6" x14ac:dyDescent="0.25">
      <c r="B19" s="2" t="s">
        <v>77</v>
      </c>
      <c r="C19" s="7">
        <f>'OFF ROAD RETURN'!D43</f>
        <v>0</v>
      </c>
      <c r="D19" s="7">
        <f>SUMIF('ON ROAD RETURN'!$B$4:$B$167,"Diesel",'ON ROAD RETURN'!$D$4:$D$167)*'ON ROAD RETURN'!$C$2+SUMIF('ON ROAD RETURN'!$B$4:$B$167,"Gas",'ON ROAD RETURN'!$D$4:$D$167)*'ON ROAD RETURN'!$F$2</f>
        <v>0</v>
      </c>
      <c r="F19" s="6" t="s">
        <v>78</v>
      </c>
    </row>
    <row r="20" spans="2:6" x14ac:dyDescent="0.25">
      <c r="B20" s="2" t="s">
        <v>79</v>
      </c>
      <c r="C20" s="7">
        <f>'OFF ROAD RETURN'!E43</f>
        <v>0</v>
      </c>
      <c r="D20" s="7">
        <f>D19</f>
        <v>0</v>
      </c>
      <c r="F20" s="6" t="s">
        <v>80</v>
      </c>
    </row>
    <row r="21" spans="2:6" x14ac:dyDescent="0.25">
      <c r="B21" s="2" t="s">
        <v>81</v>
      </c>
      <c r="C21" s="7">
        <f>C19-C20</f>
        <v>0</v>
      </c>
      <c r="D21" s="7">
        <f>D19-D20</f>
        <v>0</v>
      </c>
      <c r="F21" s="6"/>
    </row>
    <row r="22" spans="2:6" x14ac:dyDescent="0.25">
      <c r="B22" s="2" t="s">
        <v>82</v>
      </c>
      <c r="C22" s="7">
        <f>ROUND('OFF ROAD RETURN'!H43,2)</f>
        <v>0</v>
      </c>
      <c r="D22" s="7">
        <f>ROUND(SUMIF('ON ROAD RETURN'!$A$4:$A$167,"FULTON (COLLEGE PARK)",'ON ROAD RETURN'!$H$4:$H$167),2)</f>
        <v>0</v>
      </c>
      <c r="F22" s="6" t="s">
        <v>83</v>
      </c>
    </row>
    <row r="23" spans="2:6" x14ac:dyDescent="0.25">
      <c r="B23" s="2" t="s">
        <v>84</v>
      </c>
      <c r="C23" s="5">
        <v>0</v>
      </c>
      <c r="D23" s="5">
        <v>0</v>
      </c>
      <c r="F23" s="6" t="s">
        <v>85</v>
      </c>
    </row>
    <row r="24" spans="2:6" x14ac:dyDescent="0.25">
      <c r="B24" s="2" t="s">
        <v>86</v>
      </c>
      <c r="C24" s="7">
        <v>0</v>
      </c>
      <c r="D24" s="7">
        <f>ROUND('ON ROAD RETURN'!H168,2)-D22</f>
        <v>0</v>
      </c>
      <c r="F24" s="6" t="s">
        <v>87</v>
      </c>
    </row>
    <row r="25" spans="2:6" x14ac:dyDescent="0.25">
      <c r="B25" s="2" t="s">
        <v>88</v>
      </c>
      <c r="C25" s="7">
        <f>ROUND('OFF ROAD RETURN'!G43,2)</f>
        <v>0</v>
      </c>
      <c r="D25" s="7">
        <f>ROUND('ON ROAD RETURN'!I168,2)</f>
        <v>0</v>
      </c>
      <c r="F25" s="6" t="s">
        <v>89</v>
      </c>
    </row>
    <row r="26" spans="2:6" x14ac:dyDescent="0.25">
      <c r="B26" s="2" t="s">
        <v>90</v>
      </c>
      <c r="C26" s="7">
        <f>C22+C23+C24</f>
        <v>0</v>
      </c>
      <c r="D26" s="7">
        <f>D22+D23+D24</f>
        <v>0</v>
      </c>
      <c r="F26" s="6" t="s">
        <v>91</v>
      </c>
    </row>
    <row r="27" spans="2:6" x14ac:dyDescent="0.25">
      <c r="B27" s="2" t="s">
        <v>92</v>
      </c>
      <c r="C27" s="7">
        <f>MAX(0,ROUND(C25-C26,2))</f>
        <v>0</v>
      </c>
      <c r="D27" s="7">
        <f>MAX(0,ROUND(D25-D26,2))</f>
        <v>0</v>
      </c>
      <c r="F27" s="6" t="s">
        <v>93</v>
      </c>
    </row>
    <row r="28" spans="2:6" x14ac:dyDescent="0.25">
      <c r="B28" s="2" t="s">
        <v>94</v>
      </c>
      <c r="C28" s="7">
        <f>ROUND(0.03*MIN(C22+C23+C27,3000)+0.005*MAX(C22+C23+C27-3000,0),2)</f>
        <v>0</v>
      </c>
      <c r="D28" s="7">
        <f>ROUND(0.03*D24,2)+ROUND(0.03*MIN(D22+D23+D27,3000)+0.005*MAX(D22+D23+D27-3000,0),2)</f>
        <v>0</v>
      </c>
      <c r="F28" s="6" t="s">
        <v>95</v>
      </c>
    </row>
    <row r="29" spans="2:6" x14ac:dyDescent="0.25">
      <c r="B29" s="2" t="s">
        <v>96</v>
      </c>
      <c r="C29" s="5">
        <v>0</v>
      </c>
      <c r="D29" s="5">
        <v>0</v>
      </c>
      <c r="F29" s="6" t="s">
        <v>97</v>
      </c>
    </row>
    <row r="30" spans="2:6" x14ac:dyDescent="0.25">
      <c r="B30" s="2" t="s">
        <v>98</v>
      </c>
      <c r="C30" s="5">
        <v>0</v>
      </c>
      <c r="D30" s="5">
        <v>0</v>
      </c>
      <c r="F30" s="6" t="s">
        <v>97</v>
      </c>
    </row>
    <row r="31" spans="2:6" x14ac:dyDescent="0.25">
      <c r="B31" s="3" t="s">
        <v>99</v>
      </c>
      <c r="C31" s="8">
        <f>C26+C27-C28-C29+C30</f>
        <v>0</v>
      </c>
      <c r="D31" s="8">
        <f>D26+D27-D28-D29+D30</f>
        <v>0</v>
      </c>
      <c r="F31" s="6" t="s">
        <v>100</v>
      </c>
    </row>
  </sheetData>
  <conditionalFormatting sqref="F2">
    <cfRule type="expression" dxfId="16" priority="1">
      <formula>LEFT($F$2,5)="CHECK"</formula>
    </cfRule>
    <cfRule type="expression" dxfId="15" priority="2">
      <formula>LEFT($F$2,3)="All"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D7D31"/>
  </sheetPr>
  <dimension ref="A1:L49"/>
  <sheetViews>
    <sheetView workbookViewId="0">
      <pane ySplit="3" topLeftCell="A4" activePane="bottomLeft" state="frozen"/>
      <selection pane="bottomLeft"/>
    </sheetView>
  </sheetViews>
  <sheetFormatPr defaultRowHeight="15" outlineLevelCol="1" x14ac:dyDescent="0.25"/>
  <cols>
    <col min="1" max="1" width="62" customWidth="1"/>
    <col min="2" max="3" width="10" customWidth="1"/>
    <col min="4" max="10" width="14" customWidth="1"/>
    <col min="11" max="11" width="44" customWidth="1"/>
    <col min="12" max="12" width="12" hidden="1" customWidth="1" outlineLevel="1"/>
  </cols>
  <sheetData>
    <row r="1" spans="1:12" ht="16.5" x14ac:dyDescent="0.25">
      <c r="A1" s="1" t="s">
        <v>101</v>
      </c>
    </row>
    <row r="2" spans="1:12" x14ac:dyDescent="0.25">
      <c r="A2" s="6" t="s">
        <v>102</v>
      </c>
    </row>
    <row r="3" spans="1:12" ht="38.25" x14ac:dyDescent="0.25">
      <c r="A3" s="10" t="s">
        <v>103</v>
      </c>
      <c r="B3" s="10" t="s">
        <v>104</v>
      </c>
      <c r="C3" s="10" t="s">
        <v>105</v>
      </c>
      <c r="D3" s="10" t="s">
        <v>106</v>
      </c>
      <c r="E3" s="10" t="s">
        <v>107</v>
      </c>
      <c r="F3" s="10" t="s">
        <v>108</v>
      </c>
      <c r="G3" s="10" t="s">
        <v>109</v>
      </c>
      <c r="H3" s="10" t="s">
        <v>110</v>
      </c>
      <c r="I3" s="10" t="s">
        <v>111</v>
      </c>
      <c r="J3" s="10" t="s">
        <v>112</v>
      </c>
      <c r="K3" s="10" t="s">
        <v>113</v>
      </c>
      <c r="L3" s="10" t="s">
        <v>114</v>
      </c>
    </row>
    <row r="4" spans="1:12" x14ac:dyDescent="0.25">
      <c r="A4" s="2" t="s">
        <v>115</v>
      </c>
      <c r="B4" s="11">
        <v>7.0000000000000007E-2</v>
      </c>
      <c r="C4" s="12">
        <f t="shared" ref="C4:C42" si="0">B4-0.04</f>
        <v>3.0000000000000006E-2</v>
      </c>
      <c r="D4" s="7">
        <f>SUMIFS('AR SALES'!$Y$2:$Y$2501,'AR SALES'!$H$2:$H$2501,$A4)</f>
        <v>0</v>
      </c>
      <c r="E4" s="7">
        <f>SUMIFS('AR SALES'!$Y$2:$Y$2501,'AR SALES'!$H$2:$H$2501,$A4,'AR SALES'!$J$2:$J$2501,"&lt;&gt;")</f>
        <v>0</v>
      </c>
      <c r="F4" s="7">
        <f t="shared" ref="F4:F42" si="1">D4-E4</f>
        <v>0</v>
      </c>
      <c r="G4" s="7">
        <f>SUMIFS('AR SALES'!$AA$2:$AA$2501,'AR SALES'!$H$2:$H$2501,$A4)</f>
        <v>0</v>
      </c>
      <c r="H4" s="7">
        <f t="shared" ref="H4:H42" si="2">F4*B4</f>
        <v>0</v>
      </c>
      <c r="I4" s="7">
        <f t="shared" ref="I4:I42" si="3">G4-H4</f>
        <v>0</v>
      </c>
      <c r="J4" s="7">
        <f t="shared" ref="J4:J42" si="4">F4*C4</f>
        <v>0</v>
      </c>
      <c r="K4" s="13" t="s">
        <v>116</v>
      </c>
      <c r="L4" s="2" t="str">
        <f>IF(OR($K4="",ROUND($F4,2)=0),"",MAX(L$3:L3)+1)</f>
        <v/>
      </c>
    </row>
    <row r="5" spans="1:12" x14ac:dyDescent="0.25">
      <c r="A5" s="2" t="s">
        <v>117</v>
      </c>
      <c r="B5" s="11">
        <v>0.08</v>
      </c>
      <c r="C5" s="12">
        <f t="shared" si="0"/>
        <v>0.04</v>
      </c>
      <c r="D5" s="7">
        <f>SUMIFS('AR SALES'!$Y$2:$Y$2501,'AR SALES'!$H$2:$H$2501,$A5)</f>
        <v>0</v>
      </c>
      <c r="E5" s="7">
        <f>SUMIFS('AR SALES'!$Y$2:$Y$2501,'AR SALES'!$H$2:$H$2501,$A5,'AR SALES'!$J$2:$J$2501,"&lt;&gt;")</f>
        <v>0</v>
      </c>
      <c r="F5" s="7">
        <f t="shared" si="1"/>
        <v>0</v>
      </c>
      <c r="G5" s="7">
        <f>SUMIFS('AR SALES'!$AA$2:$AA$2501,'AR SALES'!$H$2:$H$2501,$A5)</f>
        <v>0</v>
      </c>
      <c r="H5" s="7">
        <f t="shared" si="2"/>
        <v>0</v>
      </c>
      <c r="I5" s="7">
        <f t="shared" si="3"/>
        <v>0</v>
      </c>
      <c r="J5" s="7">
        <f t="shared" si="4"/>
        <v>0</v>
      </c>
      <c r="K5" s="13" t="s">
        <v>118</v>
      </c>
      <c r="L5" s="2" t="str">
        <f>IF(OR($K5="",ROUND($F5,2)=0),"",MAX(L$3:L4)+1)</f>
        <v/>
      </c>
    </row>
    <row r="6" spans="1:12" x14ac:dyDescent="0.25">
      <c r="A6" s="2" t="s">
        <v>119</v>
      </c>
      <c r="B6" s="11">
        <v>0.08</v>
      </c>
      <c r="C6" s="12">
        <f t="shared" si="0"/>
        <v>0.04</v>
      </c>
      <c r="D6" s="7">
        <f>SUMIFS('AR SALES'!$Y$2:$Y$2501,'AR SALES'!$H$2:$H$2501,$A6)</f>
        <v>0</v>
      </c>
      <c r="E6" s="7">
        <f>SUMIFS('AR SALES'!$Y$2:$Y$2501,'AR SALES'!$H$2:$H$2501,$A6,'AR SALES'!$J$2:$J$2501,"&lt;&gt;")</f>
        <v>0</v>
      </c>
      <c r="F6" s="7">
        <f t="shared" si="1"/>
        <v>0</v>
      </c>
      <c r="G6" s="7">
        <f>SUMIFS('AR SALES'!$AA$2:$AA$2501,'AR SALES'!$H$2:$H$2501,$A6)</f>
        <v>0</v>
      </c>
      <c r="H6" s="7">
        <f t="shared" si="2"/>
        <v>0</v>
      </c>
      <c r="I6" s="7">
        <f t="shared" si="3"/>
        <v>0</v>
      </c>
      <c r="J6" s="7">
        <f t="shared" si="4"/>
        <v>0</v>
      </c>
      <c r="K6" s="13" t="s">
        <v>120</v>
      </c>
      <c r="L6" s="2" t="str">
        <f>IF(OR($K6="",ROUND($F6,2)=0),"",MAX(L$3:L5)+1)</f>
        <v/>
      </c>
    </row>
    <row r="7" spans="1:12" x14ac:dyDescent="0.25">
      <c r="A7" s="2" t="s">
        <v>121</v>
      </c>
      <c r="B7" s="11">
        <v>7.0000000000000007E-2</v>
      </c>
      <c r="C7" s="12">
        <f t="shared" si="0"/>
        <v>3.0000000000000006E-2</v>
      </c>
      <c r="D7" s="7">
        <f>SUMIFS('AR SALES'!$Y$2:$Y$2501,'AR SALES'!$H$2:$H$2501,$A7)</f>
        <v>0</v>
      </c>
      <c r="E7" s="7">
        <f>SUMIFS('AR SALES'!$Y$2:$Y$2501,'AR SALES'!$H$2:$H$2501,$A7,'AR SALES'!$J$2:$J$2501,"&lt;&gt;")</f>
        <v>0</v>
      </c>
      <c r="F7" s="7">
        <f t="shared" si="1"/>
        <v>0</v>
      </c>
      <c r="G7" s="7">
        <f>SUMIFS('AR SALES'!$AA$2:$AA$2501,'AR SALES'!$H$2:$H$2501,$A7)</f>
        <v>0</v>
      </c>
      <c r="H7" s="7">
        <f t="shared" si="2"/>
        <v>0</v>
      </c>
      <c r="I7" s="7">
        <f t="shared" si="3"/>
        <v>0</v>
      </c>
      <c r="J7" s="7">
        <f t="shared" si="4"/>
        <v>0</v>
      </c>
      <c r="K7" s="13" t="s">
        <v>122</v>
      </c>
      <c r="L7" s="2" t="str">
        <f>IF(OR($K7="",ROUND($F7,2)=0),"",MAX(L$3:L6)+1)</f>
        <v/>
      </c>
    </row>
    <row r="8" spans="1:12" x14ac:dyDescent="0.25">
      <c r="A8" s="2" t="s">
        <v>123</v>
      </c>
      <c r="B8" s="11">
        <v>7.0000000000000007E-2</v>
      </c>
      <c r="C8" s="12">
        <f t="shared" si="0"/>
        <v>3.0000000000000006E-2</v>
      </c>
      <c r="D8" s="7">
        <f>SUMIFS('AR SALES'!$Y$2:$Y$2501,'AR SALES'!$H$2:$H$2501,$A8)</f>
        <v>0</v>
      </c>
      <c r="E8" s="7">
        <f>SUMIFS('AR SALES'!$Y$2:$Y$2501,'AR SALES'!$H$2:$H$2501,$A8,'AR SALES'!$J$2:$J$2501,"&lt;&gt;")</f>
        <v>0</v>
      </c>
      <c r="F8" s="7">
        <f t="shared" si="1"/>
        <v>0</v>
      </c>
      <c r="G8" s="7">
        <f>SUMIFS('AR SALES'!$AA$2:$AA$2501,'AR SALES'!$H$2:$H$2501,$A8)</f>
        <v>0</v>
      </c>
      <c r="H8" s="7">
        <f t="shared" si="2"/>
        <v>0</v>
      </c>
      <c r="I8" s="7">
        <f t="shared" si="3"/>
        <v>0</v>
      </c>
      <c r="J8" s="7">
        <f t="shared" si="4"/>
        <v>0</v>
      </c>
      <c r="K8" s="13" t="s">
        <v>124</v>
      </c>
      <c r="L8" s="2" t="str">
        <f>IF(OR($K8="",ROUND($F8,2)=0),"",MAX(L$3:L7)+1)</f>
        <v/>
      </c>
    </row>
    <row r="9" spans="1:12" x14ac:dyDescent="0.25">
      <c r="A9" s="2" t="s">
        <v>125</v>
      </c>
      <c r="B9" s="11">
        <v>7.0000000000000007E-2</v>
      </c>
      <c r="C9" s="12">
        <f t="shared" si="0"/>
        <v>3.0000000000000006E-2</v>
      </c>
      <c r="D9" s="7">
        <f>SUMIFS('AR SALES'!$Y$2:$Y$2501,'AR SALES'!$H$2:$H$2501,$A9)</f>
        <v>0</v>
      </c>
      <c r="E9" s="7">
        <f>SUMIFS('AR SALES'!$Y$2:$Y$2501,'AR SALES'!$H$2:$H$2501,$A9,'AR SALES'!$J$2:$J$2501,"&lt;&gt;")</f>
        <v>0</v>
      </c>
      <c r="F9" s="7">
        <f t="shared" si="1"/>
        <v>0</v>
      </c>
      <c r="G9" s="7">
        <f>SUMIFS('AR SALES'!$AA$2:$AA$2501,'AR SALES'!$H$2:$H$2501,$A9)</f>
        <v>0</v>
      </c>
      <c r="H9" s="7">
        <f t="shared" si="2"/>
        <v>0</v>
      </c>
      <c r="I9" s="7">
        <f t="shared" si="3"/>
        <v>0</v>
      </c>
      <c r="J9" s="7">
        <f t="shared" si="4"/>
        <v>0</v>
      </c>
      <c r="K9" s="13" t="s">
        <v>126</v>
      </c>
      <c r="L9" s="2" t="str">
        <f>IF(OR($K9="",ROUND($F9,2)=0),"",MAX(L$3:L8)+1)</f>
        <v/>
      </c>
    </row>
    <row r="10" spans="1:12" x14ac:dyDescent="0.25">
      <c r="A10" s="2" t="s">
        <v>127</v>
      </c>
      <c r="B10" s="11">
        <v>0.06</v>
      </c>
      <c r="C10" s="12">
        <f t="shared" si="0"/>
        <v>1.9999999999999997E-2</v>
      </c>
      <c r="D10" s="7">
        <f>SUMIFS('AR SALES'!$Y$2:$Y$2501,'AR SALES'!$H$2:$H$2501,$A10)</f>
        <v>0</v>
      </c>
      <c r="E10" s="7">
        <f>SUMIFS('AR SALES'!$Y$2:$Y$2501,'AR SALES'!$H$2:$H$2501,$A10,'AR SALES'!$J$2:$J$2501,"&lt;&gt;")</f>
        <v>0</v>
      </c>
      <c r="F10" s="7">
        <f t="shared" si="1"/>
        <v>0</v>
      </c>
      <c r="G10" s="7">
        <f>SUMIFS('AR SALES'!$AA$2:$AA$2501,'AR SALES'!$H$2:$H$2501,$A10)</f>
        <v>0</v>
      </c>
      <c r="H10" s="7">
        <f t="shared" si="2"/>
        <v>0</v>
      </c>
      <c r="I10" s="7">
        <f t="shared" si="3"/>
        <v>0</v>
      </c>
      <c r="J10" s="7">
        <f t="shared" si="4"/>
        <v>0</v>
      </c>
      <c r="K10" s="13" t="s">
        <v>128</v>
      </c>
      <c r="L10" s="2" t="str">
        <f>IF(OR($K10="",ROUND($F10,2)=0),"",MAX(L$3:L9)+1)</f>
        <v/>
      </c>
    </row>
    <row r="11" spans="1:12" x14ac:dyDescent="0.25">
      <c r="A11" s="2" t="s">
        <v>129</v>
      </c>
      <c r="B11" s="11">
        <v>7.0000000000000007E-2</v>
      </c>
      <c r="C11" s="12">
        <f t="shared" si="0"/>
        <v>3.0000000000000006E-2</v>
      </c>
      <c r="D11" s="7">
        <f>SUMIFS('AR SALES'!$Y$2:$Y$2501,'AR SALES'!$H$2:$H$2501,$A11)</f>
        <v>0</v>
      </c>
      <c r="E11" s="7">
        <f>SUMIFS('AR SALES'!$Y$2:$Y$2501,'AR SALES'!$H$2:$H$2501,$A11,'AR SALES'!$J$2:$J$2501,"&lt;&gt;")</f>
        <v>0</v>
      </c>
      <c r="F11" s="7">
        <f t="shared" si="1"/>
        <v>0</v>
      </c>
      <c r="G11" s="7">
        <f>SUMIFS('AR SALES'!$AA$2:$AA$2501,'AR SALES'!$H$2:$H$2501,$A11)</f>
        <v>0</v>
      </c>
      <c r="H11" s="7">
        <f t="shared" si="2"/>
        <v>0</v>
      </c>
      <c r="I11" s="7">
        <f t="shared" si="3"/>
        <v>0</v>
      </c>
      <c r="J11" s="7">
        <f t="shared" si="4"/>
        <v>0</v>
      </c>
      <c r="K11" s="13" t="s">
        <v>130</v>
      </c>
      <c r="L11" s="2" t="str">
        <f>IF(OR($K11="",ROUND($F11,2)=0),"",MAX(L$3:L10)+1)</f>
        <v/>
      </c>
    </row>
    <row r="12" spans="1:12" x14ac:dyDescent="0.25">
      <c r="A12" s="2" t="s">
        <v>131</v>
      </c>
      <c r="B12" s="11">
        <v>0.08</v>
      </c>
      <c r="C12" s="12">
        <f t="shared" si="0"/>
        <v>0.04</v>
      </c>
      <c r="D12" s="7">
        <f>SUMIFS('AR SALES'!$Y$2:$Y$2501,'AR SALES'!$H$2:$H$2501,$A12)</f>
        <v>0</v>
      </c>
      <c r="E12" s="7">
        <f>SUMIFS('AR SALES'!$Y$2:$Y$2501,'AR SALES'!$H$2:$H$2501,$A12,'AR SALES'!$J$2:$J$2501,"&lt;&gt;")</f>
        <v>0</v>
      </c>
      <c r="F12" s="7">
        <f t="shared" si="1"/>
        <v>0</v>
      </c>
      <c r="G12" s="7">
        <f>SUMIFS('AR SALES'!$AA$2:$AA$2501,'AR SALES'!$H$2:$H$2501,$A12)</f>
        <v>0</v>
      </c>
      <c r="H12" s="7">
        <f t="shared" si="2"/>
        <v>0</v>
      </c>
      <c r="I12" s="7">
        <f t="shared" si="3"/>
        <v>0</v>
      </c>
      <c r="J12" s="7">
        <f t="shared" si="4"/>
        <v>0</v>
      </c>
      <c r="K12" s="13" t="s">
        <v>132</v>
      </c>
      <c r="L12" s="2" t="str">
        <f>IF(OR($K12="",ROUND($F12,2)=0),"",MAX(L$3:L11)+1)</f>
        <v/>
      </c>
    </row>
    <row r="13" spans="1:12" x14ac:dyDescent="0.25">
      <c r="A13" s="2" t="s">
        <v>133</v>
      </c>
      <c r="B13" s="11">
        <v>0.06</v>
      </c>
      <c r="C13" s="12">
        <f t="shared" si="0"/>
        <v>1.9999999999999997E-2</v>
      </c>
      <c r="D13" s="7">
        <f>SUMIFS('AR SALES'!$Y$2:$Y$2501,'AR SALES'!$H$2:$H$2501,$A13)</f>
        <v>0</v>
      </c>
      <c r="E13" s="7">
        <f>SUMIFS('AR SALES'!$Y$2:$Y$2501,'AR SALES'!$H$2:$H$2501,$A13,'AR SALES'!$J$2:$J$2501,"&lt;&gt;")</f>
        <v>0</v>
      </c>
      <c r="F13" s="7">
        <f t="shared" si="1"/>
        <v>0</v>
      </c>
      <c r="G13" s="7">
        <f>SUMIFS('AR SALES'!$AA$2:$AA$2501,'AR SALES'!$H$2:$H$2501,$A13)</f>
        <v>0</v>
      </c>
      <c r="H13" s="7">
        <f t="shared" si="2"/>
        <v>0</v>
      </c>
      <c r="I13" s="7">
        <f t="shared" si="3"/>
        <v>0</v>
      </c>
      <c r="J13" s="7">
        <f t="shared" si="4"/>
        <v>0</v>
      </c>
      <c r="K13" s="13" t="s">
        <v>134</v>
      </c>
      <c r="L13" s="2" t="str">
        <f>IF(OR($K13="",ROUND($F13,2)=0),"",MAX(L$3:L12)+1)</f>
        <v/>
      </c>
    </row>
    <row r="14" spans="1:12" x14ac:dyDescent="0.25">
      <c r="A14" s="2" t="s">
        <v>135</v>
      </c>
      <c r="B14" s="11">
        <v>0.08</v>
      </c>
      <c r="C14" s="12">
        <f t="shared" si="0"/>
        <v>0.04</v>
      </c>
      <c r="D14" s="7">
        <f>SUMIFS('AR SALES'!$Y$2:$Y$2501,'AR SALES'!$H$2:$H$2501,$A14)</f>
        <v>0</v>
      </c>
      <c r="E14" s="7">
        <f>SUMIFS('AR SALES'!$Y$2:$Y$2501,'AR SALES'!$H$2:$H$2501,$A14,'AR SALES'!$J$2:$J$2501,"&lt;&gt;")</f>
        <v>0</v>
      </c>
      <c r="F14" s="7">
        <f t="shared" si="1"/>
        <v>0</v>
      </c>
      <c r="G14" s="7">
        <f>SUMIFS('AR SALES'!$AA$2:$AA$2501,'AR SALES'!$H$2:$H$2501,$A14)</f>
        <v>0</v>
      </c>
      <c r="H14" s="7">
        <f t="shared" si="2"/>
        <v>0</v>
      </c>
      <c r="I14" s="7">
        <f t="shared" si="3"/>
        <v>0</v>
      </c>
      <c r="J14" s="7">
        <f t="shared" si="4"/>
        <v>0</v>
      </c>
      <c r="K14" s="13" t="s">
        <v>136</v>
      </c>
      <c r="L14" s="2" t="str">
        <f>IF(OR($K14="",ROUND($F14,2)=0),"",MAX(L$3:L13)+1)</f>
        <v/>
      </c>
    </row>
    <row r="15" spans="1:12" x14ac:dyDescent="0.25">
      <c r="A15" s="2" t="s">
        <v>137</v>
      </c>
      <c r="B15" s="11">
        <v>7.0000000000000007E-2</v>
      </c>
      <c r="C15" s="12">
        <f t="shared" si="0"/>
        <v>3.0000000000000006E-2</v>
      </c>
      <c r="D15" s="7">
        <f>SUMIFS('AR SALES'!$Y$2:$Y$2501,'AR SALES'!$H$2:$H$2501,$A15)</f>
        <v>0</v>
      </c>
      <c r="E15" s="7">
        <f>SUMIFS('AR SALES'!$Y$2:$Y$2501,'AR SALES'!$H$2:$H$2501,$A15,'AR SALES'!$J$2:$J$2501,"&lt;&gt;")</f>
        <v>0</v>
      </c>
      <c r="F15" s="7">
        <f t="shared" si="1"/>
        <v>0</v>
      </c>
      <c r="G15" s="7">
        <f>SUMIFS('AR SALES'!$AA$2:$AA$2501,'AR SALES'!$H$2:$H$2501,$A15)</f>
        <v>0</v>
      </c>
      <c r="H15" s="7">
        <f t="shared" si="2"/>
        <v>0</v>
      </c>
      <c r="I15" s="7">
        <f t="shared" si="3"/>
        <v>0</v>
      </c>
      <c r="J15" s="7">
        <f t="shared" si="4"/>
        <v>0</v>
      </c>
      <c r="K15" s="13" t="s">
        <v>138</v>
      </c>
      <c r="L15" s="2" t="str">
        <f>IF(OR($K15="",ROUND($F15,2)=0),"",MAX(L$3:L14)+1)</f>
        <v/>
      </c>
    </row>
    <row r="16" spans="1:12" x14ac:dyDescent="0.25">
      <c r="A16" s="2" t="s">
        <v>139</v>
      </c>
      <c r="B16" s="11">
        <v>0.08</v>
      </c>
      <c r="C16" s="12">
        <f t="shared" si="0"/>
        <v>0.04</v>
      </c>
      <c r="D16" s="7">
        <f>SUMIFS('AR SALES'!$Y$2:$Y$2501,'AR SALES'!$H$2:$H$2501,$A16)</f>
        <v>0</v>
      </c>
      <c r="E16" s="7">
        <f>SUMIFS('AR SALES'!$Y$2:$Y$2501,'AR SALES'!$H$2:$H$2501,$A16,'AR SALES'!$J$2:$J$2501,"&lt;&gt;")</f>
        <v>0</v>
      </c>
      <c r="F16" s="7">
        <f t="shared" si="1"/>
        <v>0</v>
      </c>
      <c r="G16" s="7">
        <f>SUMIFS('AR SALES'!$AA$2:$AA$2501,'AR SALES'!$H$2:$H$2501,$A16)</f>
        <v>0</v>
      </c>
      <c r="H16" s="7">
        <f t="shared" si="2"/>
        <v>0</v>
      </c>
      <c r="I16" s="7">
        <f t="shared" si="3"/>
        <v>0</v>
      </c>
      <c r="J16" s="7">
        <f t="shared" si="4"/>
        <v>0</v>
      </c>
      <c r="K16" s="13" t="s">
        <v>140</v>
      </c>
      <c r="L16" s="2" t="str">
        <f>IF(OR($K16="",ROUND($F16,2)=0),"",MAX(L$3:L15)+1)</f>
        <v/>
      </c>
    </row>
    <row r="17" spans="1:12" x14ac:dyDescent="0.25">
      <c r="A17" s="2" t="s">
        <v>141</v>
      </c>
      <c r="B17" s="11">
        <v>0.08</v>
      </c>
      <c r="C17" s="12">
        <f t="shared" si="0"/>
        <v>0.04</v>
      </c>
      <c r="D17" s="7">
        <f>SUMIFS('AR SALES'!$Y$2:$Y$2501,'AR SALES'!$H$2:$H$2501,$A17)</f>
        <v>0</v>
      </c>
      <c r="E17" s="7">
        <f>SUMIFS('AR SALES'!$Y$2:$Y$2501,'AR SALES'!$H$2:$H$2501,$A17,'AR SALES'!$J$2:$J$2501,"&lt;&gt;")</f>
        <v>0</v>
      </c>
      <c r="F17" s="7">
        <f t="shared" si="1"/>
        <v>0</v>
      </c>
      <c r="G17" s="7">
        <f>SUMIFS('AR SALES'!$AA$2:$AA$2501,'AR SALES'!$H$2:$H$2501,$A17)</f>
        <v>0</v>
      </c>
      <c r="H17" s="7">
        <f t="shared" si="2"/>
        <v>0</v>
      </c>
      <c r="I17" s="7">
        <f t="shared" si="3"/>
        <v>0</v>
      </c>
      <c r="J17" s="7">
        <f t="shared" si="4"/>
        <v>0</v>
      </c>
      <c r="K17" s="13" t="s">
        <v>142</v>
      </c>
      <c r="L17" s="2" t="str">
        <f>IF(OR($K17="",ROUND($F17,2)=0),"",MAX(L$3:L16)+1)</f>
        <v/>
      </c>
    </row>
    <row r="18" spans="1:12" x14ac:dyDescent="0.25">
      <c r="A18" s="2" t="s">
        <v>143</v>
      </c>
      <c r="B18" s="11">
        <v>7.0000000000000007E-2</v>
      </c>
      <c r="C18" s="12">
        <f t="shared" si="0"/>
        <v>3.0000000000000006E-2</v>
      </c>
      <c r="D18" s="7">
        <f>SUMIFS('AR SALES'!$Y$2:$Y$2501,'AR SALES'!$H$2:$H$2501,$A18)</f>
        <v>0</v>
      </c>
      <c r="E18" s="7">
        <f>SUMIFS('AR SALES'!$Y$2:$Y$2501,'AR SALES'!$H$2:$H$2501,$A18,'AR SALES'!$J$2:$J$2501,"&lt;&gt;")</f>
        <v>0</v>
      </c>
      <c r="F18" s="7">
        <f t="shared" si="1"/>
        <v>0</v>
      </c>
      <c r="G18" s="7">
        <f>SUMIFS('AR SALES'!$AA$2:$AA$2501,'AR SALES'!$H$2:$H$2501,$A18)</f>
        <v>0</v>
      </c>
      <c r="H18" s="7">
        <f t="shared" si="2"/>
        <v>0</v>
      </c>
      <c r="I18" s="7">
        <f t="shared" si="3"/>
        <v>0</v>
      </c>
      <c r="J18" s="7">
        <f t="shared" si="4"/>
        <v>0</v>
      </c>
      <c r="K18" s="13" t="s">
        <v>144</v>
      </c>
      <c r="L18" s="2" t="str">
        <f>IF(OR($K18="",ROUND($F18,2)=0),"",MAX(L$3:L17)+1)</f>
        <v/>
      </c>
    </row>
    <row r="19" spans="1:12" x14ac:dyDescent="0.25">
      <c r="A19" s="2" t="s">
        <v>145</v>
      </c>
      <c r="B19" s="11">
        <v>7.0000000000000007E-2</v>
      </c>
      <c r="C19" s="12">
        <f t="shared" si="0"/>
        <v>3.0000000000000006E-2</v>
      </c>
      <c r="D19" s="7">
        <f>SUMIFS('AR SALES'!$Y$2:$Y$2501,'AR SALES'!$H$2:$H$2501,$A19)</f>
        <v>0</v>
      </c>
      <c r="E19" s="7">
        <f>SUMIFS('AR SALES'!$Y$2:$Y$2501,'AR SALES'!$H$2:$H$2501,$A19,'AR SALES'!$J$2:$J$2501,"&lt;&gt;")</f>
        <v>0</v>
      </c>
      <c r="F19" s="7">
        <f t="shared" si="1"/>
        <v>0</v>
      </c>
      <c r="G19" s="7">
        <f>SUMIFS('AR SALES'!$AA$2:$AA$2501,'AR SALES'!$H$2:$H$2501,$A19)</f>
        <v>0</v>
      </c>
      <c r="H19" s="7">
        <f t="shared" si="2"/>
        <v>0</v>
      </c>
      <c r="I19" s="7">
        <f t="shared" si="3"/>
        <v>0</v>
      </c>
      <c r="J19" s="7">
        <f t="shared" si="4"/>
        <v>0</v>
      </c>
      <c r="K19" s="13" t="s">
        <v>146</v>
      </c>
      <c r="L19" s="2" t="str">
        <f>IF(OR($K19="",ROUND($F19,2)=0),"",MAX(L$3:L18)+1)</f>
        <v/>
      </c>
    </row>
    <row r="20" spans="1:12" x14ac:dyDescent="0.25">
      <c r="A20" s="2" t="s">
        <v>147</v>
      </c>
      <c r="B20" s="11">
        <v>0.08</v>
      </c>
      <c r="C20" s="12">
        <f t="shared" si="0"/>
        <v>0.04</v>
      </c>
      <c r="D20" s="7">
        <f>SUMIFS('AR SALES'!$Y$2:$Y$2501,'AR SALES'!$H$2:$H$2501,$A20)</f>
        <v>0</v>
      </c>
      <c r="E20" s="7">
        <f>SUMIFS('AR SALES'!$Y$2:$Y$2501,'AR SALES'!$H$2:$H$2501,$A20,'AR SALES'!$J$2:$J$2501,"&lt;&gt;")</f>
        <v>0</v>
      </c>
      <c r="F20" s="7">
        <f t="shared" si="1"/>
        <v>0</v>
      </c>
      <c r="G20" s="7">
        <f>SUMIFS('AR SALES'!$AA$2:$AA$2501,'AR SALES'!$H$2:$H$2501,$A20)</f>
        <v>0</v>
      </c>
      <c r="H20" s="7">
        <f t="shared" si="2"/>
        <v>0</v>
      </c>
      <c r="I20" s="7">
        <f t="shared" si="3"/>
        <v>0</v>
      </c>
      <c r="J20" s="7">
        <f t="shared" si="4"/>
        <v>0</v>
      </c>
      <c r="K20" s="13" t="s">
        <v>148</v>
      </c>
      <c r="L20" s="2" t="str">
        <f>IF(OR($K20="",ROUND($F20,2)=0),"",MAX(L$3:L19)+1)</f>
        <v/>
      </c>
    </row>
    <row r="21" spans="1:12" x14ac:dyDescent="0.25">
      <c r="A21" s="2" t="s">
        <v>149</v>
      </c>
      <c r="B21" s="11">
        <v>0.08</v>
      </c>
      <c r="C21" s="12">
        <f t="shared" si="0"/>
        <v>0.04</v>
      </c>
      <c r="D21" s="7">
        <f>SUMIFS('AR SALES'!$Y$2:$Y$2501,'AR SALES'!$H$2:$H$2501,$A21)</f>
        <v>0</v>
      </c>
      <c r="E21" s="7">
        <f>SUMIFS('AR SALES'!$Y$2:$Y$2501,'AR SALES'!$H$2:$H$2501,$A21,'AR SALES'!$J$2:$J$2501,"&lt;&gt;")</f>
        <v>0</v>
      </c>
      <c r="F21" s="7">
        <f t="shared" si="1"/>
        <v>0</v>
      </c>
      <c r="G21" s="7">
        <f>SUMIFS('AR SALES'!$AA$2:$AA$2501,'AR SALES'!$H$2:$H$2501,$A21)</f>
        <v>0</v>
      </c>
      <c r="H21" s="7">
        <f t="shared" si="2"/>
        <v>0</v>
      </c>
      <c r="I21" s="7">
        <f t="shared" si="3"/>
        <v>0</v>
      </c>
      <c r="J21" s="7">
        <f t="shared" si="4"/>
        <v>0</v>
      </c>
      <c r="K21" s="13" t="s">
        <v>150</v>
      </c>
      <c r="L21" s="2" t="str">
        <f>IF(OR($K21="",ROUND($F21,2)=0),"",MAX(L$3:L20)+1)</f>
        <v/>
      </c>
    </row>
    <row r="22" spans="1:12" x14ac:dyDescent="0.25">
      <c r="A22" s="2" t="s">
        <v>151</v>
      </c>
      <c r="B22" s="11">
        <v>7.0000000000000007E-2</v>
      </c>
      <c r="C22" s="12">
        <f t="shared" si="0"/>
        <v>3.0000000000000006E-2</v>
      </c>
      <c r="D22" s="7">
        <f>SUMIFS('AR SALES'!$Y$2:$Y$2501,'AR SALES'!$H$2:$H$2501,$A22)</f>
        <v>0</v>
      </c>
      <c r="E22" s="7">
        <f>SUMIFS('AR SALES'!$Y$2:$Y$2501,'AR SALES'!$H$2:$H$2501,$A22,'AR SALES'!$J$2:$J$2501,"&lt;&gt;")</f>
        <v>0</v>
      </c>
      <c r="F22" s="7">
        <f t="shared" si="1"/>
        <v>0</v>
      </c>
      <c r="G22" s="7">
        <f>SUMIFS('AR SALES'!$AA$2:$AA$2501,'AR SALES'!$H$2:$H$2501,$A22)</f>
        <v>0</v>
      </c>
      <c r="H22" s="7">
        <f t="shared" si="2"/>
        <v>0</v>
      </c>
      <c r="I22" s="7">
        <f t="shared" si="3"/>
        <v>0</v>
      </c>
      <c r="J22" s="7">
        <f t="shared" si="4"/>
        <v>0</v>
      </c>
      <c r="K22" s="13" t="s">
        <v>152</v>
      </c>
      <c r="L22" s="2" t="str">
        <f>IF(OR($K22="",ROUND($F22,2)=0),"",MAX(L$3:L21)+1)</f>
        <v/>
      </c>
    </row>
    <row r="23" spans="1:12" x14ac:dyDescent="0.25">
      <c r="A23" s="2" t="s">
        <v>153</v>
      </c>
      <c r="B23" s="11">
        <v>7.0000000000000007E-2</v>
      </c>
      <c r="C23" s="12">
        <f t="shared" si="0"/>
        <v>3.0000000000000006E-2</v>
      </c>
      <c r="D23" s="7">
        <f>SUMIFS('AR SALES'!$Y$2:$Y$2501,'AR SALES'!$H$2:$H$2501,$A23)</f>
        <v>0</v>
      </c>
      <c r="E23" s="7">
        <f>SUMIFS('AR SALES'!$Y$2:$Y$2501,'AR SALES'!$H$2:$H$2501,$A23,'AR SALES'!$J$2:$J$2501,"&lt;&gt;")</f>
        <v>0</v>
      </c>
      <c r="F23" s="7">
        <f t="shared" si="1"/>
        <v>0</v>
      </c>
      <c r="G23" s="7">
        <f>SUMIFS('AR SALES'!$AA$2:$AA$2501,'AR SALES'!$H$2:$H$2501,$A23)</f>
        <v>0</v>
      </c>
      <c r="H23" s="7">
        <f t="shared" si="2"/>
        <v>0</v>
      </c>
      <c r="I23" s="7">
        <f t="shared" si="3"/>
        <v>0</v>
      </c>
      <c r="J23" s="7">
        <f t="shared" si="4"/>
        <v>0</v>
      </c>
      <c r="K23" s="13" t="s">
        <v>154</v>
      </c>
      <c r="L23" s="2" t="str">
        <f>IF(OR($K23="",ROUND($F23,2)=0),"",MAX(L$3:L22)+1)</f>
        <v/>
      </c>
    </row>
    <row r="24" spans="1:12" x14ac:dyDescent="0.25">
      <c r="A24" s="2" t="s">
        <v>155</v>
      </c>
      <c r="B24" s="11">
        <v>7.0000000000000007E-2</v>
      </c>
      <c r="C24" s="12">
        <f t="shared" si="0"/>
        <v>3.0000000000000006E-2</v>
      </c>
      <c r="D24" s="7">
        <f>SUMIFS('AR SALES'!$Y$2:$Y$2501,'AR SALES'!$H$2:$H$2501,$A24)</f>
        <v>0</v>
      </c>
      <c r="E24" s="7">
        <f>SUMIFS('AR SALES'!$Y$2:$Y$2501,'AR SALES'!$H$2:$H$2501,$A24,'AR SALES'!$J$2:$J$2501,"&lt;&gt;")</f>
        <v>0</v>
      </c>
      <c r="F24" s="7">
        <f t="shared" si="1"/>
        <v>0</v>
      </c>
      <c r="G24" s="7">
        <f>SUMIFS('AR SALES'!$AA$2:$AA$2501,'AR SALES'!$H$2:$H$2501,$A24)</f>
        <v>0</v>
      </c>
      <c r="H24" s="7">
        <f t="shared" si="2"/>
        <v>0</v>
      </c>
      <c r="I24" s="7">
        <f t="shared" si="3"/>
        <v>0</v>
      </c>
      <c r="J24" s="7">
        <f t="shared" si="4"/>
        <v>0</v>
      </c>
      <c r="K24" s="13" t="s">
        <v>156</v>
      </c>
      <c r="L24" s="2" t="str">
        <f>IF(OR($K24="",ROUND($F24,2)=0),"",MAX(L$3:L23)+1)</f>
        <v/>
      </c>
    </row>
    <row r="25" spans="1:12" x14ac:dyDescent="0.25">
      <c r="A25" s="2" t="s">
        <v>157</v>
      </c>
      <c r="B25" s="11">
        <v>8.5000000000000006E-2</v>
      </c>
      <c r="C25" s="12">
        <f t="shared" si="0"/>
        <v>4.5000000000000005E-2</v>
      </c>
      <c r="D25" s="7">
        <f>SUMIFS('AR SALES'!$Y$2:$Y$2501,'AR SALES'!$H$2:$H$2501,$A25)</f>
        <v>0</v>
      </c>
      <c r="E25" s="7">
        <f>SUMIFS('AR SALES'!$Y$2:$Y$2501,'AR SALES'!$H$2:$H$2501,$A25,'AR SALES'!$J$2:$J$2501,"&lt;&gt;")</f>
        <v>0</v>
      </c>
      <c r="F25" s="7">
        <f t="shared" si="1"/>
        <v>0</v>
      </c>
      <c r="G25" s="7">
        <f>SUMIFS('AR SALES'!$AA$2:$AA$2501,'AR SALES'!$H$2:$H$2501,$A25)</f>
        <v>0</v>
      </c>
      <c r="H25" s="7">
        <f t="shared" si="2"/>
        <v>0</v>
      </c>
      <c r="I25" s="7">
        <f t="shared" si="3"/>
        <v>0</v>
      </c>
      <c r="J25" s="7">
        <f t="shared" si="4"/>
        <v>0</v>
      </c>
      <c r="K25" s="13" t="s">
        <v>158</v>
      </c>
      <c r="L25" s="2" t="str">
        <f>IF(OR($K25="",ROUND($F25,2)=0),"",MAX(L$3:L24)+1)</f>
        <v/>
      </c>
    </row>
    <row r="26" spans="1:12" x14ac:dyDescent="0.25">
      <c r="A26" s="2" t="s">
        <v>159</v>
      </c>
      <c r="B26" s="11">
        <v>7.0000000000000007E-2</v>
      </c>
      <c r="C26" s="12">
        <f t="shared" si="0"/>
        <v>3.0000000000000006E-2</v>
      </c>
      <c r="D26" s="7">
        <f>SUMIFS('AR SALES'!$Y$2:$Y$2501,'AR SALES'!$H$2:$H$2501,$A26)</f>
        <v>0</v>
      </c>
      <c r="E26" s="7">
        <f>SUMIFS('AR SALES'!$Y$2:$Y$2501,'AR SALES'!$H$2:$H$2501,$A26,'AR SALES'!$J$2:$J$2501,"&lt;&gt;")</f>
        <v>0</v>
      </c>
      <c r="F26" s="7">
        <f t="shared" si="1"/>
        <v>0</v>
      </c>
      <c r="G26" s="7">
        <f>SUMIFS('AR SALES'!$AA$2:$AA$2501,'AR SALES'!$H$2:$H$2501,$A26)</f>
        <v>0</v>
      </c>
      <c r="H26" s="7">
        <f t="shared" si="2"/>
        <v>0</v>
      </c>
      <c r="I26" s="7">
        <f t="shared" si="3"/>
        <v>0</v>
      </c>
      <c r="J26" s="7">
        <f t="shared" si="4"/>
        <v>0</v>
      </c>
      <c r="K26" s="13" t="s">
        <v>160</v>
      </c>
      <c r="L26" s="2" t="str">
        <f>IF(OR($K26="",ROUND($F26,2)=0),"",MAX(L$3:L25)+1)</f>
        <v/>
      </c>
    </row>
    <row r="27" spans="1:12" x14ac:dyDescent="0.25">
      <c r="A27" s="2" t="s">
        <v>161</v>
      </c>
      <c r="B27" s="11">
        <v>7.0000000000000007E-2</v>
      </c>
      <c r="C27" s="12">
        <f t="shared" si="0"/>
        <v>3.0000000000000006E-2</v>
      </c>
      <c r="D27" s="7">
        <f>SUMIFS('AR SALES'!$Y$2:$Y$2501,'AR SALES'!$H$2:$H$2501,$A27)</f>
        <v>0</v>
      </c>
      <c r="E27" s="7">
        <f>SUMIFS('AR SALES'!$Y$2:$Y$2501,'AR SALES'!$H$2:$H$2501,$A27,'AR SALES'!$J$2:$J$2501,"&lt;&gt;")</f>
        <v>0</v>
      </c>
      <c r="F27" s="7">
        <f t="shared" si="1"/>
        <v>0</v>
      </c>
      <c r="G27" s="7">
        <f>SUMIFS('AR SALES'!$AA$2:$AA$2501,'AR SALES'!$H$2:$H$2501,$A27)</f>
        <v>0</v>
      </c>
      <c r="H27" s="7">
        <f t="shared" si="2"/>
        <v>0</v>
      </c>
      <c r="I27" s="7">
        <f t="shared" si="3"/>
        <v>0</v>
      </c>
      <c r="J27" s="7">
        <f t="shared" si="4"/>
        <v>0</v>
      </c>
      <c r="K27" s="13" t="s">
        <v>162</v>
      </c>
      <c r="L27" s="2" t="str">
        <f>IF(OR($K27="",ROUND($F27,2)=0),"",MAX(L$3:L26)+1)</f>
        <v/>
      </c>
    </row>
    <row r="28" spans="1:12" x14ac:dyDescent="0.25">
      <c r="A28" s="2" t="s">
        <v>163</v>
      </c>
      <c r="B28" s="11">
        <v>0.08</v>
      </c>
      <c r="C28" s="12">
        <f t="shared" si="0"/>
        <v>0.04</v>
      </c>
      <c r="D28" s="7">
        <f>SUMIFS('AR SALES'!$Y$2:$Y$2501,'AR SALES'!$H$2:$H$2501,$A28)</f>
        <v>0</v>
      </c>
      <c r="E28" s="7">
        <f>SUMIFS('AR SALES'!$Y$2:$Y$2501,'AR SALES'!$H$2:$H$2501,$A28,'AR SALES'!$J$2:$J$2501,"&lt;&gt;")</f>
        <v>0</v>
      </c>
      <c r="F28" s="7">
        <f t="shared" si="1"/>
        <v>0</v>
      </c>
      <c r="G28" s="7">
        <f>SUMIFS('AR SALES'!$AA$2:$AA$2501,'AR SALES'!$H$2:$H$2501,$A28)</f>
        <v>0</v>
      </c>
      <c r="H28" s="7">
        <f t="shared" si="2"/>
        <v>0</v>
      </c>
      <c r="I28" s="7">
        <f t="shared" si="3"/>
        <v>0</v>
      </c>
      <c r="J28" s="7">
        <f t="shared" si="4"/>
        <v>0</v>
      </c>
      <c r="K28" s="13" t="s">
        <v>164</v>
      </c>
      <c r="L28" s="2" t="str">
        <f>IF(OR($K28="",ROUND($F28,2)=0),"",MAX(L$3:L27)+1)</f>
        <v/>
      </c>
    </row>
    <row r="29" spans="1:12" x14ac:dyDescent="0.25">
      <c r="A29" s="2" t="s">
        <v>165</v>
      </c>
      <c r="B29" s="11">
        <v>0.06</v>
      </c>
      <c r="C29" s="12">
        <f t="shared" si="0"/>
        <v>1.9999999999999997E-2</v>
      </c>
      <c r="D29" s="7">
        <f>SUMIFS('AR SALES'!$Y$2:$Y$2501,'AR SALES'!$H$2:$H$2501,$A29)</f>
        <v>0</v>
      </c>
      <c r="E29" s="7">
        <f>SUMIFS('AR SALES'!$Y$2:$Y$2501,'AR SALES'!$H$2:$H$2501,$A29,'AR SALES'!$J$2:$J$2501,"&lt;&gt;")</f>
        <v>0</v>
      </c>
      <c r="F29" s="7">
        <f t="shared" si="1"/>
        <v>0</v>
      </c>
      <c r="G29" s="7">
        <f>SUMIFS('AR SALES'!$AA$2:$AA$2501,'AR SALES'!$H$2:$H$2501,$A29)</f>
        <v>0</v>
      </c>
      <c r="H29" s="7">
        <f t="shared" si="2"/>
        <v>0</v>
      </c>
      <c r="I29" s="7">
        <f t="shared" si="3"/>
        <v>0</v>
      </c>
      <c r="J29" s="7">
        <f t="shared" si="4"/>
        <v>0</v>
      </c>
      <c r="K29" s="13" t="s">
        <v>166</v>
      </c>
      <c r="L29" s="2" t="str">
        <f>IF(OR($K29="",ROUND($F29,2)=0),"",MAX(L$3:L28)+1)</f>
        <v/>
      </c>
    </row>
    <row r="30" spans="1:12" x14ac:dyDescent="0.25">
      <c r="A30" s="2" t="s">
        <v>167</v>
      </c>
      <c r="B30" s="11">
        <v>7.0000000000000007E-2</v>
      </c>
      <c r="C30" s="12">
        <f t="shared" si="0"/>
        <v>3.0000000000000006E-2</v>
      </c>
      <c r="D30" s="7">
        <f>SUMIFS('AR SALES'!$Y$2:$Y$2501,'AR SALES'!$H$2:$H$2501,$A30)</f>
        <v>0</v>
      </c>
      <c r="E30" s="7">
        <f>SUMIFS('AR SALES'!$Y$2:$Y$2501,'AR SALES'!$H$2:$H$2501,$A30,'AR SALES'!$J$2:$J$2501,"&lt;&gt;")</f>
        <v>0</v>
      </c>
      <c r="F30" s="7">
        <f t="shared" si="1"/>
        <v>0</v>
      </c>
      <c r="G30" s="7">
        <f>SUMIFS('AR SALES'!$AA$2:$AA$2501,'AR SALES'!$H$2:$H$2501,$A30)</f>
        <v>0</v>
      </c>
      <c r="H30" s="7">
        <f t="shared" si="2"/>
        <v>0</v>
      </c>
      <c r="I30" s="7">
        <f t="shared" si="3"/>
        <v>0</v>
      </c>
      <c r="J30" s="7">
        <f t="shared" si="4"/>
        <v>0</v>
      </c>
      <c r="K30" s="13" t="s">
        <v>168</v>
      </c>
      <c r="L30" s="2" t="str">
        <f>IF(OR($K30="",ROUND($F30,2)=0),"",MAX(L$3:L29)+1)</f>
        <v/>
      </c>
    </row>
    <row r="31" spans="1:12" x14ac:dyDescent="0.25">
      <c r="A31" s="2" t="s">
        <v>169</v>
      </c>
      <c r="B31" s="11">
        <v>7.0000000000000007E-2</v>
      </c>
      <c r="C31" s="12">
        <f t="shared" si="0"/>
        <v>3.0000000000000006E-2</v>
      </c>
      <c r="D31" s="7">
        <f>SUMIFS('AR SALES'!$Y$2:$Y$2501,'AR SALES'!$H$2:$H$2501,$A31)</f>
        <v>0</v>
      </c>
      <c r="E31" s="7">
        <f>SUMIFS('AR SALES'!$Y$2:$Y$2501,'AR SALES'!$H$2:$H$2501,$A31,'AR SALES'!$J$2:$J$2501,"&lt;&gt;")</f>
        <v>0</v>
      </c>
      <c r="F31" s="7">
        <f t="shared" si="1"/>
        <v>0</v>
      </c>
      <c r="G31" s="7">
        <f>SUMIFS('AR SALES'!$AA$2:$AA$2501,'AR SALES'!$H$2:$H$2501,$A31)</f>
        <v>0</v>
      </c>
      <c r="H31" s="7">
        <f t="shared" si="2"/>
        <v>0</v>
      </c>
      <c r="I31" s="7">
        <f t="shared" si="3"/>
        <v>0</v>
      </c>
      <c r="J31" s="7">
        <f t="shared" si="4"/>
        <v>0</v>
      </c>
      <c r="K31" s="13" t="s">
        <v>170</v>
      </c>
      <c r="L31" s="2" t="str">
        <f>IF(OR($K31="",ROUND($F31,2)=0),"",MAX(L$3:L30)+1)</f>
        <v/>
      </c>
    </row>
    <row r="32" spans="1:12" x14ac:dyDescent="0.25">
      <c r="A32" s="2" t="s">
        <v>171</v>
      </c>
      <c r="B32" s="11">
        <v>7.0000000000000007E-2</v>
      </c>
      <c r="C32" s="12">
        <f t="shared" si="0"/>
        <v>3.0000000000000006E-2</v>
      </c>
      <c r="D32" s="7">
        <f>SUMIFS('AR SALES'!$Y$2:$Y$2501,'AR SALES'!$H$2:$H$2501,$A32)</f>
        <v>0</v>
      </c>
      <c r="E32" s="7">
        <f>SUMIFS('AR SALES'!$Y$2:$Y$2501,'AR SALES'!$H$2:$H$2501,$A32,'AR SALES'!$J$2:$J$2501,"&lt;&gt;")</f>
        <v>0</v>
      </c>
      <c r="F32" s="7">
        <f t="shared" si="1"/>
        <v>0</v>
      </c>
      <c r="G32" s="7">
        <f>SUMIFS('AR SALES'!$AA$2:$AA$2501,'AR SALES'!$H$2:$H$2501,$A32)</f>
        <v>0</v>
      </c>
      <c r="H32" s="7">
        <f t="shared" si="2"/>
        <v>0</v>
      </c>
      <c r="I32" s="7">
        <f t="shared" si="3"/>
        <v>0</v>
      </c>
      <c r="J32" s="7">
        <f t="shared" si="4"/>
        <v>0</v>
      </c>
      <c r="K32" s="13" t="s">
        <v>172</v>
      </c>
      <c r="L32" s="2" t="str">
        <f>IF(OR($K32="",ROUND($F32,2)=0),"",MAX(L$3:L31)+1)</f>
        <v/>
      </c>
    </row>
    <row r="33" spans="1:12" x14ac:dyDescent="0.25">
      <c r="A33" s="2" t="s">
        <v>173</v>
      </c>
      <c r="B33" s="11">
        <v>7.0000000000000007E-2</v>
      </c>
      <c r="C33" s="12">
        <f t="shared" si="0"/>
        <v>3.0000000000000006E-2</v>
      </c>
      <c r="D33" s="7">
        <f>SUMIFS('AR SALES'!$Y$2:$Y$2501,'AR SALES'!$H$2:$H$2501,$A33)</f>
        <v>0</v>
      </c>
      <c r="E33" s="7">
        <f>SUMIFS('AR SALES'!$Y$2:$Y$2501,'AR SALES'!$H$2:$H$2501,$A33,'AR SALES'!$J$2:$J$2501,"&lt;&gt;")</f>
        <v>0</v>
      </c>
      <c r="F33" s="7">
        <f t="shared" si="1"/>
        <v>0</v>
      </c>
      <c r="G33" s="7">
        <f>SUMIFS('AR SALES'!$AA$2:$AA$2501,'AR SALES'!$H$2:$H$2501,$A33)</f>
        <v>0</v>
      </c>
      <c r="H33" s="7">
        <f t="shared" si="2"/>
        <v>0</v>
      </c>
      <c r="I33" s="7">
        <f t="shared" si="3"/>
        <v>0</v>
      </c>
      <c r="J33" s="7">
        <f t="shared" si="4"/>
        <v>0</v>
      </c>
      <c r="K33" s="13" t="s">
        <v>174</v>
      </c>
      <c r="L33" s="2" t="str">
        <f>IF(OR($K33="",ROUND($F33,2)=0),"",MAX(L$3:L32)+1)</f>
        <v/>
      </c>
    </row>
    <row r="34" spans="1:12" x14ac:dyDescent="0.25">
      <c r="A34" s="2" t="s">
        <v>175</v>
      </c>
      <c r="B34" s="11">
        <v>0.08</v>
      </c>
      <c r="C34" s="12">
        <f t="shared" si="0"/>
        <v>0.04</v>
      </c>
      <c r="D34" s="7">
        <f>SUMIFS('AR SALES'!$Y$2:$Y$2501,'AR SALES'!$H$2:$H$2501,$A34)</f>
        <v>0</v>
      </c>
      <c r="E34" s="7">
        <f>SUMIFS('AR SALES'!$Y$2:$Y$2501,'AR SALES'!$H$2:$H$2501,$A34,'AR SALES'!$J$2:$J$2501,"&lt;&gt;")</f>
        <v>0</v>
      </c>
      <c r="F34" s="7">
        <f t="shared" si="1"/>
        <v>0</v>
      </c>
      <c r="G34" s="7">
        <f>SUMIFS('AR SALES'!$AA$2:$AA$2501,'AR SALES'!$H$2:$H$2501,$A34)</f>
        <v>0</v>
      </c>
      <c r="H34" s="7">
        <f t="shared" si="2"/>
        <v>0</v>
      </c>
      <c r="I34" s="7">
        <f t="shared" si="3"/>
        <v>0</v>
      </c>
      <c r="J34" s="7">
        <f t="shared" si="4"/>
        <v>0</v>
      </c>
      <c r="K34" s="13" t="s">
        <v>176</v>
      </c>
      <c r="L34" s="2" t="str">
        <f>IF(OR($K34="",ROUND($F34,2)=0),"",MAX(L$3:L33)+1)</f>
        <v/>
      </c>
    </row>
    <row r="35" spans="1:12" x14ac:dyDescent="0.25">
      <c r="A35" s="2" t="s">
        <v>177</v>
      </c>
      <c r="B35" s="11">
        <v>7.0000000000000007E-2</v>
      </c>
      <c r="C35" s="12">
        <f t="shared" si="0"/>
        <v>3.0000000000000006E-2</v>
      </c>
      <c r="D35" s="7">
        <f>SUMIFS('AR SALES'!$Y$2:$Y$2501,'AR SALES'!$H$2:$H$2501,$A35)</f>
        <v>0</v>
      </c>
      <c r="E35" s="7">
        <f>SUMIFS('AR SALES'!$Y$2:$Y$2501,'AR SALES'!$H$2:$H$2501,$A35,'AR SALES'!$J$2:$J$2501,"&lt;&gt;")</f>
        <v>0</v>
      </c>
      <c r="F35" s="7">
        <f t="shared" si="1"/>
        <v>0</v>
      </c>
      <c r="G35" s="7">
        <f>SUMIFS('AR SALES'!$AA$2:$AA$2501,'AR SALES'!$H$2:$H$2501,$A35)</f>
        <v>0</v>
      </c>
      <c r="H35" s="7">
        <f t="shared" si="2"/>
        <v>0</v>
      </c>
      <c r="I35" s="7">
        <f t="shared" si="3"/>
        <v>0</v>
      </c>
      <c r="J35" s="7">
        <f t="shared" si="4"/>
        <v>0</v>
      </c>
      <c r="K35" s="13" t="s">
        <v>178</v>
      </c>
      <c r="L35" s="2" t="str">
        <f>IF(OR($K35="",ROUND($F35,2)=0),"",MAX(L$3:L34)+1)</f>
        <v/>
      </c>
    </row>
    <row r="36" spans="1:12" x14ac:dyDescent="0.25">
      <c r="A36" s="2" t="s">
        <v>179</v>
      </c>
      <c r="B36" s="11">
        <v>7.0000000000000007E-2</v>
      </c>
      <c r="C36" s="12">
        <f t="shared" si="0"/>
        <v>3.0000000000000006E-2</v>
      </c>
      <c r="D36" s="7">
        <f>SUMIFS('AR SALES'!$Y$2:$Y$2501,'AR SALES'!$H$2:$H$2501,$A36)</f>
        <v>0</v>
      </c>
      <c r="E36" s="7">
        <f>SUMIFS('AR SALES'!$Y$2:$Y$2501,'AR SALES'!$H$2:$H$2501,$A36,'AR SALES'!$J$2:$J$2501,"&lt;&gt;")</f>
        <v>0</v>
      </c>
      <c r="F36" s="7">
        <f t="shared" si="1"/>
        <v>0</v>
      </c>
      <c r="G36" s="7">
        <f>SUMIFS('AR SALES'!$AA$2:$AA$2501,'AR SALES'!$H$2:$H$2501,$A36)</f>
        <v>0</v>
      </c>
      <c r="H36" s="7">
        <f t="shared" si="2"/>
        <v>0</v>
      </c>
      <c r="I36" s="7">
        <f t="shared" si="3"/>
        <v>0</v>
      </c>
      <c r="J36" s="7">
        <f t="shared" si="4"/>
        <v>0</v>
      </c>
      <c r="K36" s="13" t="s">
        <v>180</v>
      </c>
      <c r="L36" s="2" t="str">
        <f>IF(OR($K36="",ROUND($F36,2)=0),"",MAX(L$3:L35)+1)</f>
        <v/>
      </c>
    </row>
    <row r="37" spans="1:12" x14ac:dyDescent="0.25">
      <c r="A37" s="2" t="s">
        <v>181</v>
      </c>
      <c r="B37" s="11">
        <v>7.4999999999999997E-2</v>
      </c>
      <c r="C37" s="12">
        <f t="shared" si="0"/>
        <v>3.4999999999999996E-2</v>
      </c>
      <c r="D37" s="7">
        <f>SUMIFS('AR SALES'!$Y$2:$Y$2501,'AR SALES'!$H$2:$H$2501,$A37)</f>
        <v>0</v>
      </c>
      <c r="E37" s="7">
        <f>SUMIFS('AR SALES'!$Y$2:$Y$2501,'AR SALES'!$H$2:$H$2501,$A37,'AR SALES'!$J$2:$J$2501,"&lt;&gt;")</f>
        <v>0</v>
      </c>
      <c r="F37" s="7">
        <f t="shared" si="1"/>
        <v>0</v>
      </c>
      <c r="G37" s="7">
        <f>SUMIFS('AR SALES'!$AA$2:$AA$2501,'AR SALES'!$H$2:$H$2501,$A37)</f>
        <v>0</v>
      </c>
      <c r="H37" s="7">
        <f t="shared" si="2"/>
        <v>0</v>
      </c>
      <c r="I37" s="7">
        <f t="shared" si="3"/>
        <v>0</v>
      </c>
      <c r="J37" s="7">
        <f t="shared" si="4"/>
        <v>0</v>
      </c>
      <c r="K37" s="13" t="s">
        <v>182</v>
      </c>
      <c r="L37" s="2" t="str">
        <f>IF(OR($K37="",ROUND($F37,2)=0),"",MAX(L$3:L36)+1)</f>
        <v/>
      </c>
    </row>
    <row r="38" spans="1:12" x14ac:dyDescent="0.25">
      <c r="A38" s="2" t="s">
        <v>183</v>
      </c>
      <c r="B38" s="11">
        <v>7.0000000000000007E-2</v>
      </c>
      <c r="C38" s="12">
        <f t="shared" si="0"/>
        <v>3.0000000000000006E-2</v>
      </c>
      <c r="D38" s="7">
        <f>SUMIFS('AR SALES'!$Y$2:$Y$2501,'AR SALES'!$H$2:$H$2501,$A38)</f>
        <v>0</v>
      </c>
      <c r="E38" s="7">
        <f>SUMIFS('AR SALES'!$Y$2:$Y$2501,'AR SALES'!$H$2:$H$2501,$A38,'AR SALES'!$J$2:$J$2501,"&lt;&gt;")</f>
        <v>0</v>
      </c>
      <c r="F38" s="7">
        <f t="shared" si="1"/>
        <v>0</v>
      </c>
      <c r="G38" s="7">
        <f>SUMIFS('AR SALES'!$AA$2:$AA$2501,'AR SALES'!$H$2:$H$2501,$A38)</f>
        <v>0</v>
      </c>
      <c r="H38" s="7">
        <f t="shared" si="2"/>
        <v>0</v>
      </c>
      <c r="I38" s="7">
        <f t="shared" si="3"/>
        <v>0</v>
      </c>
      <c r="J38" s="7">
        <f t="shared" si="4"/>
        <v>0</v>
      </c>
      <c r="K38" s="13" t="s">
        <v>184</v>
      </c>
      <c r="L38" s="2" t="str">
        <f>IF(OR($K38="",ROUND($F38,2)=0),"",MAX(L$3:L37)+1)</f>
        <v/>
      </c>
    </row>
    <row r="39" spans="1:12" x14ac:dyDescent="0.25">
      <c r="A39" s="2" t="s">
        <v>185</v>
      </c>
      <c r="B39" s="11">
        <v>0.06</v>
      </c>
      <c r="C39" s="12">
        <f t="shared" si="0"/>
        <v>1.9999999999999997E-2</v>
      </c>
      <c r="D39" s="7">
        <f>SUMIFS('AR SALES'!$Y$2:$Y$2501,'AR SALES'!$H$2:$H$2501,$A39)</f>
        <v>0</v>
      </c>
      <c r="E39" s="7">
        <f>SUMIFS('AR SALES'!$Y$2:$Y$2501,'AR SALES'!$H$2:$H$2501,$A39,'AR SALES'!$J$2:$J$2501,"&lt;&gt;")</f>
        <v>0</v>
      </c>
      <c r="F39" s="7">
        <f t="shared" si="1"/>
        <v>0</v>
      </c>
      <c r="G39" s="7">
        <f>SUMIFS('AR SALES'!$AA$2:$AA$2501,'AR SALES'!$H$2:$H$2501,$A39)</f>
        <v>0</v>
      </c>
      <c r="H39" s="7">
        <f t="shared" si="2"/>
        <v>0</v>
      </c>
      <c r="I39" s="7">
        <f t="shared" si="3"/>
        <v>0</v>
      </c>
      <c r="J39" s="7">
        <f t="shared" si="4"/>
        <v>0</v>
      </c>
      <c r="K39" s="13" t="s">
        <v>186</v>
      </c>
      <c r="L39" s="2" t="str">
        <f>IF(OR($K39="",ROUND($F39,2)=0),"",MAX(L$3:L38)+1)</f>
        <v/>
      </c>
    </row>
    <row r="40" spans="1:12" x14ac:dyDescent="0.25">
      <c r="A40" s="2" t="s">
        <v>187</v>
      </c>
      <c r="B40" s="11">
        <v>7.0000000000000007E-2</v>
      </c>
      <c r="C40" s="12">
        <f t="shared" si="0"/>
        <v>3.0000000000000006E-2</v>
      </c>
      <c r="D40" s="7">
        <f>SUMIFS('AR SALES'!$Y$2:$Y$2501,'AR SALES'!$H$2:$H$2501,$A40)</f>
        <v>0</v>
      </c>
      <c r="E40" s="7">
        <f>SUMIFS('AR SALES'!$Y$2:$Y$2501,'AR SALES'!$H$2:$H$2501,$A40,'AR SALES'!$J$2:$J$2501,"&lt;&gt;")</f>
        <v>0</v>
      </c>
      <c r="F40" s="7">
        <f t="shared" si="1"/>
        <v>0</v>
      </c>
      <c r="G40" s="7">
        <f>SUMIFS('AR SALES'!$AA$2:$AA$2501,'AR SALES'!$H$2:$H$2501,$A40)</f>
        <v>0</v>
      </c>
      <c r="H40" s="7">
        <f t="shared" si="2"/>
        <v>0</v>
      </c>
      <c r="I40" s="7">
        <f t="shared" si="3"/>
        <v>0</v>
      </c>
      <c r="J40" s="7">
        <f t="shared" si="4"/>
        <v>0</v>
      </c>
      <c r="K40" s="13" t="s">
        <v>188</v>
      </c>
      <c r="L40" s="2" t="str">
        <f>IF(OR($K40="",ROUND($F40,2)=0),"",MAX(L$3:L39)+1)</f>
        <v/>
      </c>
    </row>
    <row r="41" spans="1:12" x14ac:dyDescent="0.25">
      <c r="A41" s="2" t="s">
        <v>189</v>
      </c>
      <c r="B41" s="11">
        <v>0.08</v>
      </c>
      <c r="C41" s="12">
        <f t="shared" si="0"/>
        <v>0.04</v>
      </c>
      <c r="D41" s="7">
        <f>SUMIFS('AR SALES'!$Y$2:$Y$2501,'AR SALES'!$H$2:$H$2501,$A41)</f>
        <v>0</v>
      </c>
      <c r="E41" s="7">
        <f>SUMIFS('AR SALES'!$Y$2:$Y$2501,'AR SALES'!$H$2:$H$2501,$A41,'AR SALES'!$J$2:$J$2501,"&lt;&gt;")</f>
        <v>0</v>
      </c>
      <c r="F41" s="7">
        <f t="shared" si="1"/>
        <v>0</v>
      </c>
      <c r="G41" s="7">
        <f>SUMIFS('AR SALES'!$AA$2:$AA$2501,'AR SALES'!$H$2:$H$2501,$A41)</f>
        <v>0</v>
      </c>
      <c r="H41" s="7">
        <f t="shared" si="2"/>
        <v>0</v>
      </c>
      <c r="I41" s="7">
        <f t="shared" si="3"/>
        <v>0</v>
      </c>
      <c r="J41" s="7">
        <f t="shared" si="4"/>
        <v>0</v>
      </c>
      <c r="K41" s="13" t="s">
        <v>190</v>
      </c>
      <c r="L41" s="2" t="str">
        <f>IF(OR($K41="",ROUND($F41,2)=0),"",MAX(L$3:L40)+1)</f>
        <v/>
      </c>
    </row>
    <row r="42" spans="1:12" x14ac:dyDescent="0.25">
      <c r="A42" s="2" t="s">
        <v>191</v>
      </c>
      <c r="B42" s="11">
        <v>7.0000000000000007E-2</v>
      </c>
      <c r="C42" s="12">
        <f t="shared" si="0"/>
        <v>3.0000000000000006E-2</v>
      </c>
      <c r="D42" s="7">
        <f>SUMIFS('AR SALES'!$Y$2:$Y$2501,'AR SALES'!$H$2:$H$2501,$A42)</f>
        <v>0</v>
      </c>
      <c r="E42" s="7">
        <f>SUMIFS('AR SALES'!$Y$2:$Y$2501,'AR SALES'!$H$2:$H$2501,$A42,'AR SALES'!$J$2:$J$2501,"&lt;&gt;")</f>
        <v>0</v>
      </c>
      <c r="F42" s="7">
        <f t="shared" si="1"/>
        <v>0</v>
      </c>
      <c r="G42" s="7">
        <f>SUMIFS('AR SALES'!$AA$2:$AA$2501,'AR SALES'!$H$2:$H$2501,$A42)</f>
        <v>0</v>
      </c>
      <c r="H42" s="7">
        <f t="shared" si="2"/>
        <v>0</v>
      </c>
      <c r="I42" s="7">
        <f t="shared" si="3"/>
        <v>0</v>
      </c>
      <c r="J42" s="7">
        <f t="shared" si="4"/>
        <v>0</v>
      </c>
      <c r="K42" s="13" t="s">
        <v>192</v>
      </c>
      <c r="L42" s="2" t="str">
        <f>IF(OR($K42="",ROUND($F42,2)=0),"",MAX(L$3:L41)+1)</f>
        <v/>
      </c>
    </row>
    <row r="43" spans="1:12" x14ac:dyDescent="0.25">
      <c r="A43" s="3" t="s">
        <v>193</v>
      </c>
      <c r="D43" s="14">
        <f t="shared" ref="D43:J43" si="5">SUM(D4:D42)</f>
        <v>0</v>
      </c>
      <c r="E43" s="14">
        <f t="shared" si="5"/>
        <v>0</v>
      </c>
      <c r="F43" s="14">
        <f t="shared" si="5"/>
        <v>0</v>
      </c>
      <c r="G43" s="14">
        <f t="shared" si="5"/>
        <v>0</v>
      </c>
      <c r="H43" s="14">
        <f t="shared" si="5"/>
        <v>0</v>
      </c>
      <c r="I43" s="14">
        <f t="shared" si="5"/>
        <v>0</v>
      </c>
      <c r="J43" s="14">
        <f t="shared" si="5"/>
        <v>0</v>
      </c>
    </row>
    <row r="46" spans="1:12" x14ac:dyDescent="0.25">
      <c r="A46" s="3" t="s">
        <v>194</v>
      </c>
      <c r="C46" s="3" t="s">
        <v>195</v>
      </c>
      <c r="E46" s="3" t="s">
        <v>196</v>
      </c>
      <c r="F46" s="3" t="s">
        <v>197</v>
      </c>
    </row>
    <row r="47" spans="1:12" x14ac:dyDescent="0.25">
      <c r="A47" s="2" t="s">
        <v>198</v>
      </c>
      <c r="D47" s="7">
        <f>SUMIFS(TERSE!$AE$2:$AE$4001,TERSE!$F$2:$F$4001,"4",TERSE!$AB$2:$AB$4001,"&lt;&gt;0",TERSE!$AY$2:$AY$4001,"")</f>
        <v>0</v>
      </c>
      <c r="E47" s="7">
        <f>F43</f>
        <v>0</v>
      </c>
      <c r="F47" s="7">
        <f>D47-E47</f>
        <v>0</v>
      </c>
      <c r="G47" s="6" t="s">
        <v>199</v>
      </c>
    </row>
    <row r="48" spans="1:12" x14ac:dyDescent="0.25">
      <c r="A48" s="2" t="s">
        <v>200</v>
      </c>
      <c r="D48" s="7">
        <f>SUMIFS(TERSE!$AE$2:$AE$4001,TERSE!$F$2:$F$4001,"4",TERSE!$AB$2:$AB$4001,0,TERSE!$AY$2:$AY$4001,"")</f>
        <v>0</v>
      </c>
      <c r="E48" s="7">
        <f>E43</f>
        <v>0</v>
      </c>
      <c r="F48" s="7">
        <f>D48-E48</f>
        <v>0</v>
      </c>
    </row>
    <row r="49" spans="1:6" x14ac:dyDescent="0.25">
      <c r="A49" s="2" t="s">
        <v>201</v>
      </c>
      <c r="D49" s="7">
        <f>SUMIFS(TERSE!$AB$2:$AB$4001,TERSE!$F$2:$F$4001,"4")</f>
        <v>0</v>
      </c>
      <c r="E49" s="7">
        <f>G43</f>
        <v>0</v>
      </c>
      <c r="F49" s="7">
        <f>D49-E49</f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D7D31"/>
  </sheetPr>
  <dimension ref="A1:N174"/>
  <sheetViews>
    <sheetView workbookViewId="0">
      <pane ySplit="3" topLeftCell="A4" activePane="bottomLeft" state="frozen"/>
      <selection pane="bottomLeft"/>
    </sheetView>
  </sheetViews>
  <sheetFormatPr defaultRowHeight="15" outlineLevelCol="1" x14ac:dyDescent="0.25"/>
  <cols>
    <col min="1" max="1" width="26" customWidth="1"/>
    <col min="2" max="3" width="9" customWidth="1"/>
    <col min="4" max="11" width="14" customWidth="1"/>
    <col min="12" max="12" width="44" customWidth="1"/>
    <col min="13" max="13" width="18" customWidth="1"/>
    <col min="14" max="14" width="12" hidden="1" customWidth="1" outlineLevel="1"/>
  </cols>
  <sheetData>
    <row r="1" spans="1:14" ht="16.5" x14ac:dyDescent="0.25">
      <c r="A1" s="1" t="s">
        <v>202</v>
      </c>
    </row>
    <row r="2" spans="1:14" x14ac:dyDescent="0.25">
      <c r="A2" s="2" t="s">
        <v>203</v>
      </c>
      <c r="C2" s="5">
        <v>3</v>
      </c>
      <c r="D2" s="2" t="s">
        <v>204</v>
      </c>
      <c r="F2" s="5">
        <v>3</v>
      </c>
      <c r="G2" s="6" t="s">
        <v>205</v>
      </c>
    </row>
    <row r="3" spans="1:14" ht="38.25" x14ac:dyDescent="0.25">
      <c r="A3" s="10" t="s">
        <v>206</v>
      </c>
      <c r="B3" s="10" t="s">
        <v>207</v>
      </c>
      <c r="C3" s="10" t="s">
        <v>104</v>
      </c>
      <c r="D3" s="10" t="s">
        <v>208</v>
      </c>
      <c r="E3" s="10" t="s">
        <v>209</v>
      </c>
      <c r="F3" s="10" t="s">
        <v>210</v>
      </c>
      <c r="G3" s="10" t="s">
        <v>108</v>
      </c>
      <c r="H3" s="10" t="s">
        <v>110</v>
      </c>
      <c r="I3" s="10" t="s">
        <v>109</v>
      </c>
      <c r="J3" s="10" t="s">
        <v>111</v>
      </c>
      <c r="K3" s="10" t="s">
        <v>211</v>
      </c>
      <c r="L3" s="10" t="s">
        <v>113</v>
      </c>
      <c r="M3" s="10" t="s">
        <v>212</v>
      </c>
      <c r="N3" s="10" t="s">
        <v>114</v>
      </c>
    </row>
    <row r="4" spans="1:14" x14ac:dyDescent="0.25">
      <c r="A4" s="2" t="s">
        <v>213</v>
      </c>
      <c r="B4" s="2" t="s">
        <v>214</v>
      </c>
      <c r="C4" s="11">
        <v>0.03</v>
      </c>
      <c r="D4" s="15">
        <f t="shared" ref="D4:D35" si="0">ROUND(K4,0)</f>
        <v>0</v>
      </c>
      <c r="E4" s="15">
        <f>ROUND(SUMIFS(TERSE!$AX$2:$AX$4001,TERSE!$AU$2:$AU$4001,$A4,TERSE!$AV$2:$AV$4001,$B4,TERSE!$AY$2:$AY$4001,""),0)</f>
        <v>0</v>
      </c>
      <c r="F4" s="15">
        <f t="shared" ref="F4:F35" si="1">D4-E4</f>
        <v>0</v>
      </c>
      <c r="G4" s="7">
        <f t="shared" ref="G4:G35" si="2">F4*IF($B4="Diesel",$C$2,$F$2)</f>
        <v>0</v>
      </c>
      <c r="H4" s="7">
        <f t="shared" ref="H4:H35" si="3">G4*C4</f>
        <v>0</v>
      </c>
      <c r="I4" s="7">
        <f>SUMIFS(TERSE!$AB$2:$AB$4001,TERSE!$AU$2:$AU$4001,$A4,TERSE!$AV$2:$AV$4001,$B4,TERSE!$AY$2:$AY$4001,"")</f>
        <v>0</v>
      </c>
      <c r="J4" s="7">
        <f t="shared" ref="J4:J35" si="4">I4-H4</f>
        <v>0</v>
      </c>
      <c r="K4" s="16">
        <f>SUMIFS(TERSE!$AW$2:$AW$4001,TERSE!$AU$2:$AU$4001,$A4,TERSE!$AV$2:$AV$4001,$B4,TERSE!$AY$2:$AY$4001,"")</f>
        <v>0</v>
      </c>
      <c r="L4" s="13" t="s">
        <v>215</v>
      </c>
      <c r="M4" s="2" t="str">
        <f t="shared" ref="M4:M35" si="5">IF($B4="Diesel","2 - Diesel - Clear",IF($B4="Gas","1 - Gasoline",""))</f>
        <v>2 - Diesel - Clear</v>
      </c>
      <c r="N4" s="2" t="str">
        <f>IF(OR($L4="",$M4="",$D4=0,$A4="FULTON (COLLEGE PARK)"),"",MAX(N$3:N3)+1)</f>
        <v/>
      </c>
    </row>
    <row r="5" spans="1:14" x14ac:dyDescent="0.25">
      <c r="A5" s="2" t="s">
        <v>216</v>
      </c>
      <c r="B5" s="2" t="s">
        <v>214</v>
      </c>
      <c r="C5" s="11">
        <v>0.03</v>
      </c>
      <c r="D5" s="15">
        <f t="shared" si="0"/>
        <v>0</v>
      </c>
      <c r="E5" s="15">
        <f>ROUND(SUMIFS(TERSE!$AX$2:$AX$4001,TERSE!$AU$2:$AU$4001,$A5,TERSE!$AV$2:$AV$4001,$B5,TERSE!$AY$2:$AY$4001,""),0)</f>
        <v>0</v>
      </c>
      <c r="F5" s="15">
        <f t="shared" si="1"/>
        <v>0</v>
      </c>
      <c r="G5" s="7">
        <f t="shared" si="2"/>
        <v>0</v>
      </c>
      <c r="H5" s="7">
        <f t="shared" si="3"/>
        <v>0</v>
      </c>
      <c r="I5" s="7">
        <f>SUMIFS(TERSE!$AB$2:$AB$4001,TERSE!$AU$2:$AU$4001,$A5,TERSE!$AV$2:$AV$4001,$B5,TERSE!$AY$2:$AY$4001,"")</f>
        <v>0</v>
      </c>
      <c r="J5" s="7">
        <f t="shared" si="4"/>
        <v>0</v>
      </c>
      <c r="K5" s="16">
        <f>SUMIFS(TERSE!$AW$2:$AW$4001,TERSE!$AU$2:$AU$4001,$A5,TERSE!$AV$2:$AV$4001,$B5,TERSE!$AY$2:$AY$4001,"")</f>
        <v>0</v>
      </c>
      <c r="L5" s="13" t="s">
        <v>217</v>
      </c>
      <c r="M5" s="2" t="str">
        <f t="shared" si="5"/>
        <v>2 - Diesel - Clear</v>
      </c>
      <c r="N5" s="2" t="str">
        <f>IF(OR($L5="",$M5="",$D5=0,$A5="FULTON (COLLEGE PARK)"),"",MAX(N$3:N4)+1)</f>
        <v/>
      </c>
    </row>
    <row r="6" spans="1:14" x14ac:dyDescent="0.25">
      <c r="A6" s="2" t="s">
        <v>218</v>
      </c>
      <c r="B6" s="2" t="s">
        <v>214</v>
      </c>
      <c r="C6" s="11">
        <v>0.04</v>
      </c>
      <c r="D6" s="15">
        <f t="shared" si="0"/>
        <v>0</v>
      </c>
      <c r="E6" s="15">
        <f>ROUND(SUMIFS(TERSE!$AX$2:$AX$4001,TERSE!$AU$2:$AU$4001,$A6,TERSE!$AV$2:$AV$4001,$B6,TERSE!$AY$2:$AY$4001,""),0)</f>
        <v>0</v>
      </c>
      <c r="F6" s="15">
        <f t="shared" si="1"/>
        <v>0</v>
      </c>
      <c r="G6" s="7">
        <f t="shared" si="2"/>
        <v>0</v>
      </c>
      <c r="H6" s="7">
        <f t="shared" si="3"/>
        <v>0</v>
      </c>
      <c r="I6" s="7">
        <f>SUMIFS(TERSE!$AB$2:$AB$4001,TERSE!$AU$2:$AU$4001,$A6,TERSE!$AV$2:$AV$4001,$B6,TERSE!$AY$2:$AY$4001,"")</f>
        <v>0</v>
      </c>
      <c r="J6" s="7">
        <f t="shared" si="4"/>
        <v>0</v>
      </c>
      <c r="K6" s="16">
        <f>SUMIFS(TERSE!$AW$2:$AW$4001,TERSE!$AU$2:$AU$4001,$A6,TERSE!$AV$2:$AV$4001,$B6,TERSE!$AY$2:$AY$4001,"")</f>
        <v>0</v>
      </c>
      <c r="L6" s="13" t="s">
        <v>219</v>
      </c>
      <c r="M6" s="2" t="str">
        <f t="shared" si="5"/>
        <v>2 - Diesel - Clear</v>
      </c>
      <c r="N6" s="2" t="str">
        <f>IF(OR($L6="",$M6="",$D6=0,$A6="FULTON (COLLEGE PARK)"),"",MAX(N$3:N5)+1)</f>
        <v/>
      </c>
    </row>
    <row r="7" spans="1:14" x14ac:dyDescent="0.25">
      <c r="A7" s="2" t="s">
        <v>220</v>
      </c>
      <c r="B7" s="2" t="s">
        <v>214</v>
      </c>
      <c r="C7" s="11">
        <v>0.03</v>
      </c>
      <c r="D7" s="15">
        <f t="shared" si="0"/>
        <v>0</v>
      </c>
      <c r="E7" s="15">
        <f>ROUND(SUMIFS(TERSE!$AX$2:$AX$4001,TERSE!$AU$2:$AU$4001,$A7,TERSE!$AV$2:$AV$4001,$B7,TERSE!$AY$2:$AY$4001,""),0)</f>
        <v>0</v>
      </c>
      <c r="F7" s="15">
        <f t="shared" si="1"/>
        <v>0</v>
      </c>
      <c r="G7" s="7">
        <f t="shared" si="2"/>
        <v>0</v>
      </c>
      <c r="H7" s="7">
        <f t="shared" si="3"/>
        <v>0</v>
      </c>
      <c r="I7" s="7">
        <f>SUMIFS(TERSE!$AB$2:$AB$4001,TERSE!$AU$2:$AU$4001,$A7,TERSE!$AV$2:$AV$4001,$B7,TERSE!$AY$2:$AY$4001,"")</f>
        <v>0</v>
      </c>
      <c r="J7" s="7">
        <f t="shared" si="4"/>
        <v>0</v>
      </c>
      <c r="K7" s="16">
        <f>SUMIFS(TERSE!$AW$2:$AW$4001,TERSE!$AU$2:$AU$4001,$A7,TERSE!$AV$2:$AV$4001,$B7,TERSE!$AY$2:$AY$4001,"")</f>
        <v>0</v>
      </c>
      <c r="L7" s="13" t="s">
        <v>116</v>
      </c>
      <c r="M7" s="2" t="str">
        <f t="shared" si="5"/>
        <v>2 - Diesel - Clear</v>
      </c>
      <c r="N7" s="2" t="str">
        <f>IF(OR($L7="",$M7="",$D7=0,$A7="FULTON (COLLEGE PARK)"),"",MAX(N$3:N6)+1)</f>
        <v/>
      </c>
    </row>
    <row r="8" spans="1:14" x14ac:dyDescent="0.25">
      <c r="A8" s="2" t="s">
        <v>221</v>
      </c>
      <c r="B8" s="2" t="s">
        <v>214</v>
      </c>
      <c r="C8" s="11">
        <v>0.03</v>
      </c>
      <c r="D8" s="15">
        <f t="shared" si="0"/>
        <v>0</v>
      </c>
      <c r="E8" s="15">
        <f>ROUND(SUMIFS(TERSE!$AX$2:$AX$4001,TERSE!$AU$2:$AU$4001,$A8,TERSE!$AV$2:$AV$4001,$B8,TERSE!$AY$2:$AY$4001,""),0)</f>
        <v>0</v>
      </c>
      <c r="F8" s="15">
        <f t="shared" si="1"/>
        <v>0</v>
      </c>
      <c r="G8" s="7">
        <f t="shared" si="2"/>
        <v>0</v>
      </c>
      <c r="H8" s="7">
        <f t="shared" si="3"/>
        <v>0</v>
      </c>
      <c r="I8" s="7">
        <f>SUMIFS(TERSE!$AB$2:$AB$4001,TERSE!$AU$2:$AU$4001,$A8,TERSE!$AV$2:$AV$4001,$B8,TERSE!$AY$2:$AY$4001,"")</f>
        <v>0</v>
      </c>
      <c r="J8" s="7">
        <f t="shared" si="4"/>
        <v>0</v>
      </c>
      <c r="K8" s="16">
        <f>SUMIFS(TERSE!$AW$2:$AW$4001,TERSE!$AU$2:$AU$4001,$A8,TERSE!$AV$2:$AV$4001,$B8,TERSE!$AY$2:$AY$4001,"")</f>
        <v>0</v>
      </c>
      <c r="L8" s="13" t="s">
        <v>222</v>
      </c>
      <c r="M8" s="2" t="str">
        <f t="shared" si="5"/>
        <v>2 - Diesel - Clear</v>
      </c>
      <c r="N8" s="2" t="str">
        <f>IF(OR($L8="",$M8="",$D8=0,$A8="FULTON (COLLEGE PARK)"),"",MAX(N$3:N7)+1)</f>
        <v/>
      </c>
    </row>
    <row r="9" spans="1:14" x14ac:dyDescent="0.25">
      <c r="A9" s="2" t="s">
        <v>221</v>
      </c>
      <c r="B9" s="2" t="s">
        <v>223</v>
      </c>
      <c r="C9" s="11">
        <v>0.03</v>
      </c>
      <c r="D9" s="15">
        <f t="shared" si="0"/>
        <v>0</v>
      </c>
      <c r="E9" s="15">
        <f>ROUND(SUMIFS(TERSE!$AX$2:$AX$4001,TERSE!$AU$2:$AU$4001,$A9,TERSE!$AV$2:$AV$4001,$B9,TERSE!$AY$2:$AY$4001,""),0)</f>
        <v>0</v>
      </c>
      <c r="F9" s="15">
        <f t="shared" si="1"/>
        <v>0</v>
      </c>
      <c r="G9" s="7">
        <f t="shared" si="2"/>
        <v>0</v>
      </c>
      <c r="H9" s="7">
        <f t="shared" si="3"/>
        <v>0</v>
      </c>
      <c r="I9" s="7">
        <f>SUMIFS(TERSE!$AB$2:$AB$4001,TERSE!$AU$2:$AU$4001,$A9,TERSE!$AV$2:$AV$4001,$B9,TERSE!$AY$2:$AY$4001,"")</f>
        <v>0</v>
      </c>
      <c r="J9" s="7">
        <f t="shared" si="4"/>
        <v>0</v>
      </c>
      <c r="K9" s="16">
        <f>SUMIFS(TERSE!$AW$2:$AW$4001,TERSE!$AU$2:$AU$4001,$A9,TERSE!$AV$2:$AV$4001,$B9,TERSE!$AY$2:$AY$4001,"")</f>
        <v>0</v>
      </c>
      <c r="L9" s="13" t="s">
        <v>222</v>
      </c>
      <c r="M9" s="2" t="str">
        <f t="shared" si="5"/>
        <v>1 - Gasoline</v>
      </c>
      <c r="N9" s="2" t="str">
        <f>IF(OR($L9="",$M9="",$D9=0,$A9="FULTON (COLLEGE PARK)"),"",MAX(N$3:N8)+1)</f>
        <v/>
      </c>
    </row>
    <row r="10" spans="1:14" x14ac:dyDescent="0.25">
      <c r="A10" s="2" t="s">
        <v>224</v>
      </c>
      <c r="B10" s="2" t="s">
        <v>214</v>
      </c>
      <c r="C10" s="11">
        <v>0.04</v>
      </c>
      <c r="D10" s="15">
        <f t="shared" si="0"/>
        <v>0</v>
      </c>
      <c r="E10" s="15">
        <f>ROUND(SUMIFS(TERSE!$AX$2:$AX$4001,TERSE!$AU$2:$AU$4001,$A10,TERSE!$AV$2:$AV$4001,$B10,TERSE!$AY$2:$AY$4001,""),0)</f>
        <v>0</v>
      </c>
      <c r="F10" s="15">
        <f t="shared" si="1"/>
        <v>0</v>
      </c>
      <c r="G10" s="7">
        <f t="shared" si="2"/>
        <v>0</v>
      </c>
      <c r="H10" s="7">
        <f t="shared" si="3"/>
        <v>0</v>
      </c>
      <c r="I10" s="7">
        <f>SUMIFS(TERSE!$AB$2:$AB$4001,TERSE!$AU$2:$AU$4001,$A10,TERSE!$AV$2:$AV$4001,$B10,TERSE!$AY$2:$AY$4001,"")</f>
        <v>0</v>
      </c>
      <c r="J10" s="7">
        <f t="shared" si="4"/>
        <v>0</v>
      </c>
      <c r="K10" s="16">
        <f>SUMIFS(TERSE!$AW$2:$AW$4001,TERSE!$AU$2:$AU$4001,$A10,TERSE!$AV$2:$AV$4001,$B10,TERSE!$AY$2:$AY$4001,"")</f>
        <v>0</v>
      </c>
      <c r="L10" s="13" t="s">
        <v>118</v>
      </c>
      <c r="M10" s="2" t="str">
        <f t="shared" si="5"/>
        <v>2 - Diesel - Clear</v>
      </c>
      <c r="N10" s="2" t="str">
        <f>IF(OR($L10="",$M10="",$D10=0,$A10="FULTON (COLLEGE PARK)"),"",MAX(N$3:N9)+1)</f>
        <v/>
      </c>
    </row>
    <row r="11" spans="1:14" x14ac:dyDescent="0.25">
      <c r="A11" s="2" t="s">
        <v>224</v>
      </c>
      <c r="B11" s="2" t="s">
        <v>223</v>
      </c>
      <c r="C11" s="11">
        <v>0.04</v>
      </c>
      <c r="D11" s="15">
        <f t="shared" si="0"/>
        <v>0</v>
      </c>
      <c r="E11" s="15">
        <f>ROUND(SUMIFS(TERSE!$AX$2:$AX$4001,TERSE!$AU$2:$AU$4001,$A11,TERSE!$AV$2:$AV$4001,$B11,TERSE!$AY$2:$AY$4001,""),0)</f>
        <v>0</v>
      </c>
      <c r="F11" s="15">
        <f t="shared" si="1"/>
        <v>0</v>
      </c>
      <c r="G11" s="7">
        <f t="shared" si="2"/>
        <v>0</v>
      </c>
      <c r="H11" s="7">
        <f t="shared" si="3"/>
        <v>0</v>
      </c>
      <c r="I11" s="7">
        <f>SUMIFS(TERSE!$AB$2:$AB$4001,TERSE!$AU$2:$AU$4001,$A11,TERSE!$AV$2:$AV$4001,$B11,TERSE!$AY$2:$AY$4001,"")</f>
        <v>0</v>
      </c>
      <c r="J11" s="7">
        <f t="shared" si="4"/>
        <v>0</v>
      </c>
      <c r="K11" s="16">
        <f>SUMIFS(TERSE!$AW$2:$AW$4001,TERSE!$AU$2:$AU$4001,$A11,TERSE!$AV$2:$AV$4001,$B11,TERSE!$AY$2:$AY$4001,"")</f>
        <v>0</v>
      </c>
      <c r="L11" s="13" t="s">
        <v>118</v>
      </c>
      <c r="M11" s="2" t="str">
        <f t="shared" si="5"/>
        <v>1 - Gasoline</v>
      </c>
      <c r="N11" s="2" t="str">
        <f>IF(OR($L11="",$M11="",$D11=0,$A11="FULTON (COLLEGE PARK)"),"",MAX(N$3:N10)+1)</f>
        <v/>
      </c>
    </row>
    <row r="12" spans="1:14" x14ac:dyDescent="0.25">
      <c r="A12" s="2" t="s">
        <v>225</v>
      </c>
      <c r="B12" s="2" t="s">
        <v>214</v>
      </c>
      <c r="C12" s="11">
        <v>0.03</v>
      </c>
      <c r="D12" s="15">
        <f t="shared" si="0"/>
        <v>0</v>
      </c>
      <c r="E12" s="15">
        <f>ROUND(SUMIFS(TERSE!$AX$2:$AX$4001,TERSE!$AU$2:$AU$4001,$A12,TERSE!$AV$2:$AV$4001,$B12,TERSE!$AY$2:$AY$4001,""),0)</f>
        <v>0</v>
      </c>
      <c r="F12" s="15">
        <f t="shared" si="1"/>
        <v>0</v>
      </c>
      <c r="G12" s="7">
        <f t="shared" si="2"/>
        <v>0</v>
      </c>
      <c r="H12" s="7">
        <f t="shared" si="3"/>
        <v>0</v>
      </c>
      <c r="I12" s="7">
        <f>SUMIFS(TERSE!$AB$2:$AB$4001,TERSE!$AU$2:$AU$4001,$A12,TERSE!$AV$2:$AV$4001,$B12,TERSE!$AY$2:$AY$4001,"")</f>
        <v>0</v>
      </c>
      <c r="J12" s="7">
        <f t="shared" si="4"/>
        <v>0</v>
      </c>
      <c r="K12" s="16">
        <f>SUMIFS(TERSE!$AW$2:$AW$4001,TERSE!$AU$2:$AU$4001,$A12,TERSE!$AV$2:$AV$4001,$B12,TERSE!$AY$2:$AY$4001,"")</f>
        <v>0</v>
      </c>
      <c r="L12" s="13" t="s">
        <v>226</v>
      </c>
      <c r="M12" s="2" t="str">
        <f t="shared" si="5"/>
        <v>2 - Diesel - Clear</v>
      </c>
      <c r="N12" s="2" t="str">
        <f>IF(OR($L12="",$M12="",$D12=0,$A12="FULTON (COLLEGE PARK)"),"",MAX(N$3:N11)+1)</f>
        <v/>
      </c>
    </row>
    <row r="13" spans="1:14" x14ac:dyDescent="0.25">
      <c r="A13" s="2" t="s">
        <v>225</v>
      </c>
      <c r="B13" s="2" t="s">
        <v>223</v>
      </c>
      <c r="C13" s="11">
        <v>0.03</v>
      </c>
      <c r="D13" s="15">
        <f t="shared" si="0"/>
        <v>0</v>
      </c>
      <c r="E13" s="15">
        <f>ROUND(SUMIFS(TERSE!$AX$2:$AX$4001,TERSE!$AU$2:$AU$4001,$A13,TERSE!$AV$2:$AV$4001,$B13,TERSE!$AY$2:$AY$4001,""),0)</f>
        <v>0</v>
      </c>
      <c r="F13" s="15">
        <f t="shared" si="1"/>
        <v>0</v>
      </c>
      <c r="G13" s="7">
        <f t="shared" si="2"/>
        <v>0</v>
      </c>
      <c r="H13" s="7">
        <f t="shared" si="3"/>
        <v>0</v>
      </c>
      <c r="I13" s="7">
        <f>SUMIFS(TERSE!$AB$2:$AB$4001,TERSE!$AU$2:$AU$4001,$A13,TERSE!$AV$2:$AV$4001,$B13,TERSE!$AY$2:$AY$4001,"")</f>
        <v>0</v>
      </c>
      <c r="J13" s="7">
        <f t="shared" si="4"/>
        <v>0</v>
      </c>
      <c r="K13" s="16">
        <f>SUMIFS(TERSE!$AW$2:$AW$4001,TERSE!$AU$2:$AU$4001,$A13,TERSE!$AV$2:$AV$4001,$B13,TERSE!$AY$2:$AY$4001,"")</f>
        <v>0</v>
      </c>
      <c r="L13" s="13" t="s">
        <v>226</v>
      </c>
      <c r="M13" s="2" t="str">
        <f t="shared" si="5"/>
        <v>1 - Gasoline</v>
      </c>
      <c r="N13" s="2" t="str">
        <f>IF(OR($L13="",$M13="",$D13=0,$A13="FULTON (COLLEGE PARK)"),"",MAX(N$3:N12)+1)</f>
        <v/>
      </c>
    </row>
    <row r="14" spans="1:14" x14ac:dyDescent="0.25">
      <c r="A14" s="2" t="s">
        <v>227</v>
      </c>
      <c r="B14" s="2" t="s">
        <v>214</v>
      </c>
      <c r="C14" s="11">
        <v>0.04</v>
      </c>
      <c r="D14" s="15">
        <f t="shared" si="0"/>
        <v>0</v>
      </c>
      <c r="E14" s="15">
        <f>ROUND(SUMIFS(TERSE!$AX$2:$AX$4001,TERSE!$AU$2:$AU$4001,$A14,TERSE!$AV$2:$AV$4001,$B14,TERSE!$AY$2:$AY$4001,""),0)</f>
        <v>0</v>
      </c>
      <c r="F14" s="15">
        <f t="shared" si="1"/>
        <v>0</v>
      </c>
      <c r="G14" s="7">
        <f t="shared" si="2"/>
        <v>0</v>
      </c>
      <c r="H14" s="7">
        <f t="shared" si="3"/>
        <v>0</v>
      </c>
      <c r="I14" s="7">
        <f>SUMIFS(TERSE!$AB$2:$AB$4001,TERSE!$AU$2:$AU$4001,$A14,TERSE!$AV$2:$AV$4001,$B14,TERSE!$AY$2:$AY$4001,"")</f>
        <v>0</v>
      </c>
      <c r="J14" s="7">
        <f t="shared" si="4"/>
        <v>0</v>
      </c>
      <c r="K14" s="16">
        <f>SUMIFS(TERSE!$AW$2:$AW$4001,TERSE!$AU$2:$AU$4001,$A14,TERSE!$AV$2:$AV$4001,$B14,TERSE!$AY$2:$AY$4001,"")</f>
        <v>0</v>
      </c>
      <c r="L14" s="13" t="s">
        <v>120</v>
      </c>
      <c r="M14" s="2" t="str">
        <f t="shared" si="5"/>
        <v>2 - Diesel - Clear</v>
      </c>
      <c r="N14" s="2" t="str">
        <f>IF(OR($L14="",$M14="",$D14=0,$A14="FULTON (COLLEGE PARK)"),"",MAX(N$3:N13)+1)</f>
        <v/>
      </c>
    </row>
    <row r="15" spans="1:14" x14ac:dyDescent="0.25">
      <c r="A15" s="2" t="s">
        <v>228</v>
      </c>
      <c r="B15" s="2" t="s">
        <v>214</v>
      </c>
      <c r="C15" s="11">
        <v>0.04</v>
      </c>
      <c r="D15" s="15">
        <f t="shared" si="0"/>
        <v>0</v>
      </c>
      <c r="E15" s="15">
        <f>ROUND(SUMIFS(TERSE!$AX$2:$AX$4001,TERSE!$AU$2:$AU$4001,$A15,TERSE!$AV$2:$AV$4001,$B15,TERSE!$AY$2:$AY$4001,""),0)</f>
        <v>0</v>
      </c>
      <c r="F15" s="15">
        <f t="shared" si="1"/>
        <v>0</v>
      </c>
      <c r="G15" s="7">
        <f t="shared" si="2"/>
        <v>0</v>
      </c>
      <c r="H15" s="7">
        <f t="shared" si="3"/>
        <v>0</v>
      </c>
      <c r="I15" s="7">
        <f>SUMIFS(TERSE!$AB$2:$AB$4001,TERSE!$AU$2:$AU$4001,$A15,TERSE!$AV$2:$AV$4001,$B15,TERSE!$AY$2:$AY$4001,"")</f>
        <v>0</v>
      </c>
      <c r="J15" s="7">
        <f t="shared" si="4"/>
        <v>0</v>
      </c>
      <c r="K15" s="16">
        <f>SUMIFS(TERSE!$AW$2:$AW$4001,TERSE!$AU$2:$AU$4001,$A15,TERSE!$AV$2:$AV$4001,$B15,TERSE!$AY$2:$AY$4001,"")</f>
        <v>0</v>
      </c>
      <c r="L15" s="13" t="s">
        <v>122</v>
      </c>
      <c r="M15" s="2" t="str">
        <f t="shared" si="5"/>
        <v>2 - Diesel - Clear</v>
      </c>
      <c r="N15" s="2" t="str">
        <f>IF(OR($L15="",$M15="",$D15=0,$A15="FULTON (COLLEGE PARK)"),"",MAX(N$3:N14)+1)</f>
        <v/>
      </c>
    </row>
    <row r="16" spans="1:14" x14ac:dyDescent="0.25">
      <c r="A16" s="2" t="s">
        <v>228</v>
      </c>
      <c r="B16" s="2" t="s">
        <v>223</v>
      </c>
      <c r="C16" s="11">
        <v>0.04</v>
      </c>
      <c r="D16" s="15">
        <f t="shared" si="0"/>
        <v>0</v>
      </c>
      <c r="E16" s="15">
        <f>ROUND(SUMIFS(TERSE!$AX$2:$AX$4001,TERSE!$AU$2:$AU$4001,$A16,TERSE!$AV$2:$AV$4001,$B16,TERSE!$AY$2:$AY$4001,""),0)</f>
        <v>0</v>
      </c>
      <c r="F16" s="15">
        <f t="shared" si="1"/>
        <v>0</v>
      </c>
      <c r="G16" s="7">
        <f t="shared" si="2"/>
        <v>0</v>
      </c>
      <c r="H16" s="7">
        <f t="shared" si="3"/>
        <v>0</v>
      </c>
      <c r="I16" s="7">
        <f>SUMIFS(TERSE!$AB$2:$AB$4001,TERSE!$AU$2:$AU$4001,$A16,TERSE!$AV$2:$AV$4001,$B16,TERSE!$AY$2:$AY$4001,"")</f>
        <v>0</v>
      </c>
      <c r="J16" s="7">
        <f t="shared" si="4"/>
        <v>0</v>
      </c>
      <c r="K16" s="16">
        <f>SUMIFS(TERSE!$AW$2:$AW$4001,TERSE!$AU$2:$AU$4001,$A16,TERSE!$AV$2:$AV$4001,$B16,TERSE!$AY$2:$AY$4001,"")</f>
        <v>0</v>
      </c>
      <c r="L16" s="13" t="s">
        <v>122</v>
      </c>
      <c r="M16" s="2" t="str">
        <f t="shared" si="5"/>
        <v>1 - Gasoline</v>
      </c>
      <c r="N16" s="2" t="str">
        <f>IF(OR($L16="",$M16="",$D16=0,$A16="FULTON (COLLEGE PARK)"),"",MAX(N$3:N15)+1)</f>
        <v/>
      </c>
    </row>
    <row r="17" spans="1:14" x14ac:dyDescent="0.25">
      <c r="A17" s="2" t="s">
        <v>229</v>
      </c>
      <c r="B17" s="2" t="s">
        <v>214</v>
      </c>
      <c r="C17" s="11">
        <v>0.02</v>
      </c>
      <c r="D17" s="15">
        <f t="shared" si="0"/>
        <v>0</v>
      </c>
      <c r="E17" s="15">
        <f>ROUND(SUMIFS(TERSE!$AX$2:$AX$4001,TERSE!$AU$2:$AU$4001,$A17,TERSE!$AV$2:$AV$4001,$B17,TERSE!$AY$2:$AY$4001,""),0)</f>
        <v>0</v>
      </c>
      <c r="F17" s="15">
        <f t="shared" si="1"/>
        <v>0</v>
      </c>
      <c r="G17" s="7">
        <f t="shared" si="2"/>
        <v>0</v>
      </c>
      <c r="H17" s="7">
        <f t="shared" si="3"/>
        <v>0</v>
      </c>
      <c r="I17" s="7">
        <f>SUMIFS(TERSE!$AB$2:$AB$4001,TERSE!$AU$2:$AU$4001,$A17,TERSE!$AV$2:$AV$4001,$B17,TERSE!$AY$2:$AY$4001,"")</f>
        <v>0</v>
      </c>
      <c r="J17" s="7">
        <f t="shared" si="4"/>
        <v>0</v>
      </c>
      <c r="K17" s="16">
        <f>SUMIFS(TERSE!$AW$2:$AW$4001,TERSE!$AU$2:$AU$4001,$A17,TERSE!$AV$2:$AV$4001,$B17,TERSE!$AY$2:$AY$4001,"")</f>
        <v>0</v>
      </c>
      <c r="L17" s="13" t="s">
        <v>230</v>
      </c>
      <c r="M17" s="2" t="str">
        <f t="shared" si="5"/>
        <v>2 - Diesel - Clear</v>
      </c>
      <c r="N17" s="2" t="str">
        <f>IF(OR($L17="",$M17="",$D17=0,$A17="FULTON (COLLEGE PARK)"),"",MAX(N$3:N16)+1)</f>
        <v/>
      </c>
    </row>
    <row r="18" spans="1:14" x14ac:dyDescent="0.25">
      <c r="A18" s="2" t="s">
        <v>231</v>
      </c>
      <c r="B18" s="2" t="s">
        <v>214</v>
      </c>
      <c r="C18" s="11">
        <v>0.03</v>
      </c>
      <c r="D18" s="15">
        <f t="shared" si="0"/>
        <v>0</v>
      </c>
      <c r="E18" s="15">
        <f>ROUND(SUMIFS(TERSE!$AX$2:$AX$4001,TERSE!$AU$2:$AU$4001,$A18,TERSE!$AV$2:$AV$4001,$B18,TERSE!$AY$2:$AY$4001,""),0)</f>
        <v>0</v>
      </c>
      <c r="F18" s="15">
        <f t="shared" si="1"/>
        <v>0</v>
      </c>
      <c r="G18" s="7">
        <f t="shared" si="2"/>
        <v>0</v>
      </c>
      <c r="H18" s="7">
        <f t="shared" si="3"/>
        <v>0</v>
      </c>
      <c r="I18" s="7">
        <f>SUMIFS(TERSE!$AB$2:$AB$4001,TERSE!$AU$2:$AU$4001,$A18,TERSE!$AV$2:$AV$4001,$B18,TERSE!$AY$2:$AY$4001,"")</f>
        <v>0</v>
      </c>
      <c r="J18" s="7">
        <f t="shared" si="4"/>
        <v>0</v>
      </c>
      <c r="K18" s="16">
        <f>SUMIFS(TERSE!$AW$2:$AW$4001,TERSE!$AU$2:$AU$4001,$A18,TERSE!$AV$2:$AV$4001,$B18,TERSE!$AY$2:$AY$4001,"")</f>
        <v>0</v>
      </c>
      <c r="L18" s="13" t="s">
        <v>232</v>
      </c>
      <c r="M18" s="2" t="str">
        <f t="shared" si="5"/>
        <v>2 - Diesel - Clear</v>
      </c>
      <c r="N18" s="2" t="str">
        <f>IF(OR($L18="",$M18="",$D18=0,$A18="FULTON (COLLEGE PARK)"),"",MAX(N$3:N17)+1)</f>
        <v/>
      </c>
    </row>
    <row r="19" spans="1:14" x14ac:dyDescent="0.25">
      <c r="A19" s="2" t="s">
        <v>231</v>
      </c>
      <c r="B19" s="2" t="s">
        <v>223</v>
      </c>
      <c r="C19" s="11">
        <v>0.03</v>
      </c>
      <c r="D19" s="15">
        <f t="shared" si="0"/>
        <v>0</v>
      </c>
      <c r="E19" s="15">
        <f>ROUND(SUMIFS(TERSE!$AX$2:$AX$4001,TERSE!$AU$2:$AU$4001,$A19,TERSE!$AV$2:$AV$4001,$B19,TERSE!$AY$2:$AY$4001,""),0)</f>
        <v>0</v>
      </c>
      <c r="F19" s="15">
        <f t="shared" si="1"/>
        <v>0</v>
      </c>
      <c r="G19" s="7">
        <f t="shared" si="2"/>
        <v>0</v>
      </c>
      <c r="H19" s="7">
        <f t="shared" si="3"/>
        <v>0</v>
      </c>
      <c r="I19" s="7">
        <f>SUMIFS(TERSE!$AB$2:$AB$4001,TERSE!$AU$2:$AU$4001,$A19,TERSE!$AV$2:$AV$4001,$B19,TERSE!$AY$2:$AY$4001,"")</f>
        <v>0</v>
      </c>
      <c r="J19" s="7">
        <f t="shared" si="4"/>
        <v>0</v>
      </c>
      <c r="K19" s="16">
        <f>SUMIFS(TERSE!$AW$2:$AW$4001,TERSE!$AU$2:$AU$4001,$A19,TERSE!$AV$2:$AV$4001,$B19,TERSE!$AY$2:$AY$4001,"")</f>
        <v>0</v>
      </c>
      <c r="L19" s="13" t="s">
        <v>232</v>
      </c>
      <c r="M19" s="2" t="str">
        <f t="shared" si="5"/>
        <v>1 - Gasoline</v>
      </c>
      <c r="N19" s="2" t="str">
        <f>IF(OR($L19="",$M19="",$D19=0,$A19="FULTON (COLLEGE PARK)"),"",MAX(N$3:N18)+1)</f>
        <v/>
      </c>
    </row>
    <row r="20" spans="1:14" x14ac:dyDescent="0.25">
      <c r="A20" s="2" t="s">
        <v>233</v>
      </c>
      <c r="B20" s="2" t="s">
        <v>214</v>
      </c>
      <c r="C20" s="11">
        <v>0.04</v>
      </c>
      <c r="D20" s="15">
        <f t="shared" si="0"/>
        <v>0</v>
      </c>
      <c r="E20" s="15">
        <f>ROUND(SUMIFS(TERSE!$AX$2:$AX$4001,TERSE!$AU$2:$AU$4001,$A20,TERSE!$AV$2:$AV$4001,$B20,TERSE!$AY$2:$AY$4001,""),0)</f>
        <v>0</v>
      </c>
      <c r="F20" s="15">
        <f t="shared" si="1"/>
        <v>0</v>
      </c>
      <c r="G20" s="7">
        <f t="shared" si="2"/>
        <v>0</v>
      </c>
      <c r="H20" s="7">
        <f t="shared" si="3"/>
        <v>0</v>
      </c>
      <c r="I20" s="7">
        <f>SUMIFS(TERSE!$AB$2:$AB$4001,TERSE!$AU$2:$AU$4001,$A20,TERSE!$AV$2:$AV$4001,$B20,TERSE!$AY$2:$AY$4001,"")</f>
        <v>0</v>
      </c>
      <c r="J20" s="7">
        <f t="shared" si="4"/>
        <v>0</v>
      </c>
      <c r="K20" s="16">
        <f>SUMIFS(TERSE!$AW$2:$AW$4001,TERSE!$AU$2:$AU$4001,$A20,TERSE!$AV$2:$AV$4001,$B20,TERSE!$AY$2:$AY$4001,"")</f>
        <v>0</v>
      </c>
      <c r="L20" s="13" t="s">
        <v>234</v>
      </c>
      <c r="M20" s="2" t="str">
        <f t="shared" si="5"/>
        <v>2 - Diesel - Clear</v>
      </c>
      <c r="N20" s="2" t="str">
        <f>IF(OR($L20="",$M20="",$D20=0,$A20="FULTON (COLLEGE PARK)"),"",MAX(N$3:N19)+1)</f>
        <v/>
      </c>
    </row>
    <row r="21" spans="1:14" x14ac:dyDescent="0.25">
      <c r="A21" s="2" t="s">
        <v>233</v>
      </c>
      <c r="B21" s="2" t="s">
        <v>223</v>
      </c>
      <c r="C21" s="11">
        <v>0.04</v>
      </c>
      <c r="D21" s="15">
        <f t="shared" si="0"/>
        <v>0</v>
      </c>
      <c r="E21" s="15">
        <f>ROUND(SUMIFS(TERSE!$AX$2:$AX$4001,TERSE!$AU$2:$AU$4001,$A21,TERSE!$AV$2:$AV$4001,$B21,TERSE!$AY$2:$AY$4001,""),0)</f>
        <v>0</v>
      </c>
      <c r="F21" s="15">
        <f t="shared" si="1"/>
        <v>0</v>
      </c>
      <c r="G21" s="7">
        <f t="shared" si="2"/>
        <v>0</v>
      </c>
      <c r="H21" s="7">
        <f t="shared" si="3"/>
        <v>0</v>
      </c>
      <c r="I21" s="7">
        <f>SUMIFS(TERSE!$AB$2:$AB$4001,TERSE!$AU$2:$AU$4001,$A21,TERSE!$AV$2:$AV$4001,$B21,TERSE!$AY$2:$AY$4001,"")</f>
        <v>0</v>
      </c>
      <c r="J21" s="7">
        <f t="shared" si="4"/>
        <v>0</v>
      </c>
      <c r="K21" s="16">
        <f>SUMIFS(TERSE!$AW$2:$AW$4001,TERSE!$AU$2:$AU$4001,$A21,TERSE!$AV$2:$AV$4001,$B21,TERSE!$AY$2:$AY$4001,"")</f>
        <v>0</v>
      </c>
      <c r="L21" s="13" t="s">
        <v>234</v>
      </c>
      <c r="M21" s="2" t="str">
        <f t="shared" si="5"/>
        <v>1 - Gasoline</v>
      </c>
      <c r="N21" s="2" t="str">
        <f>IF(OR($L21="",$M21="",$D21=0,$A21="FULTON (COLLEGE PARK)"),"",MAX(N$3:N20)+1)</f>
        <v/>
      </c>
    </row>
    <row r="22" spans="1:14" x14ac:dyDescent="0.25">
      <c r="A22" s="2" t="s">
        <v>235</v>
      </c>
      <c r="B22" s="2" t="s">
        <v>214</v>
      </c>
      <c r="C22" s="11">
        <v>0.03</v>
      </c>
      <c r="D22" s="15">
        <f t="shared" si="0"/>
        <v>0</v>
      </c>
      <c r="E22" s="15">
        <f>ROUND(SUMIFS(TERSE!$AX$2:$AX$4001,TERSE!$AU$2:$AU$4001,$A22,TERSE!$AV$2:$AV$4001,$B22,TERSE!$AY$2:$AY$4001,""),0)</f>
        <v>0</v>
      </c>
      <c r="F22" s="15">
        <f t="shared" si="1"/>
        <v>0</v>
      </c>
      <c r="G22" s="7">
        <f t="shared" si="2"/>
        <v>0</v>
      </c>
      <c r="H22" s="7">
        <f t="shared" si="3"/>
        <v>0</v>
      </c>
      <c r="I22" s="7">
        <f>SUMIFS(TERSE!$AB$2:$AB$4001,TERSE!$AU$2:$AU$4001,$A22,TERSE!$AV$2:$AV$4001,$B22,TERSE!$AY$2:$AY$4001,"")</f>
        <v>0</v>
      </c>
      <c r="J22" s="7">
        <f t="shared" si="4"/>
        <v>0</v>
      </c>
      <c r="K22" s="16">
        <f>SUMIFS(TERSE!$AW$2:$AW$4001,TERSE!$AU$2:$AU$4001,$A22,TERSE!$AV$2:$AV$4001,$B22,TERSE!$AY$2:$AY$4001,"")</f>
        <v>0</v>
      </c>
      <c r="L22" s="13" t="s">
        <v>236</v>
      </c>
      <c r="M22" s="2" t="str">
        <f t="shared" si="5"/>
        <v>2 - Diesel - Clear</v>
      </c>
      <c r="N22" s="2" t="str">
        <f>IF(OR($L22="",$M22="",$D22=0,$A22="FULTON (COLLEGE PARK)"),"",MAX(N$3:N21)+1)</f>
        <v/>
      </c>
    </row>
    <row r="23" spans="1:14" x14ac:dyDescent="0.25">
      <c r="A23" s="2" t="s">
        <v>235</v>
      </c>
      <c r="B23" s="2" t="s">
        <v>223</v>
      </c>
      <c r="C23" s="11">
        <v>0.03</v>
      </c>
      <c r="D23" s="15">
        <f t="shared" si="0"/>
        <v>0</v>
      </c>
      <c r="E23" s="15">
        <f>ROUND(SUMIFS(TERSE!$AX$2:$AX$4001,TERSE!$AU$2:$AU$4001,$A23,TERSE!$AV$2:$AV$4001,$B23,TERSE!$AY$2:$AY$4001,""),0)</f>
        <v>0</v>
      </c>
      <c r="F23" s="15">
        <f t="shared" si="1"/>
        <v>0</v>
      </c>
      <c r="G23" s="7">
        <f t="shared" si="2"/>
        <v>0</v>
      </c>
      <c r="H23" s="7">
        <f t="shared" si="3"/>
        <v>0</v>
      </c>
      <c r="I23" s="7">
        <f>SUMIFS(TERSE!$AB$2:$AB$4001,TERSE!$AU$2:$AU$4001,$A23,TERSE!$AV$2:$AV$4001,$B23,TERSE!$AY$2:$AY$4001,"")</f>
        <v>0</v>
      </c>
      <c r="J23" s="7">
        <f t="shared" si="4"/>
        <v>0</v>
      </c>
      <c r="K23" s="16">
        <f>SUMIFS(TERSE!$AW$2:$AW$4001,TERSE!$AU$2:$AU$4001,$A23,TERSE!$AV$2:$AV$4001,$B23,TERSE!$AY$2:$AY$4001,"")</f>
        <v>0</v>
      </c>
      <c r="L23" s="13" t="s">
        <v>236</v>
      </c>
      <c r="M23" s="2" t="str">
        <f t="shared" si="5"/>
        <v>1 - Gasoline</v>
      </c>
      <c r="N23" s="2" t="str">
        <f>IF(OR($L23="",$M23="",$D23=0,$A23="FULTON (COLLEGE PARK)"),"",MAX(N$3:N22)+1)</f>
        <v/>
      </c>
    </row>
    <row r="24" spans="1:14" x14ac:dyDescent="0.25">
      <c r="A24" s="2" t="s">
        <v>237</v>
      </c>
      <c r="B24" s="2" t="s">
        <v>223</v>
      </c>
      <c r="C24" s="11">
        <v>0.03</v>
      </c>
      <c r="D24" s="15">
        <f t="shared" si="0"/>
        <v>0</v>
      </c>
      <c r="E24" s="15">
        <f>ROUND(SUMIFS(TERSE!$AX$2:$AX$4001,TERSE!$AU$2:$AU$4001,$A24,TERSE!$AV$2:$AV$4001,$B24,TERSE!$AY$2:$AY$4001,""),0)</f>
        <v>0</v>
      </c>
      <c r="F24" s="15">
        <f t="shared" si="1"/>
        <v>0</v>
      </c>
      <c r="G24" s="7">
        <f t="shared" si="2"/>
        <v>0</v>
      </c>
      <c r="H24" s="7">
        <f t="shared" si="3"/>
        <v>0</v>
      </c>
      <c r="I24" s="7">
        <f>SUMIFS(TERSE!$AB$2:$AB$4001,TERSE!$AU$2:$AU$4001,$A24,TERSE!$AV$2:$AV$4001,$B24,TERSE!$AY$2:$AY$4001,"")</f>
        <v>0</v>
      </c>
      <c r="J24" s="7">
        <f t="shared" si="4"/>
        <v>0</v>
      </c>
      <c r="K24" s="16">
        <f>SUMIFS(TERSE!$AW$2:$AW$4001,TERSE!$AU$2:$AU$4001,$A24,TERSE!$AV$2:$AV$4001,$B24,TERSE!$AY$2:$AY$4001,"")</f>
        <v>0</v>
      </c>
      <c r="L24" s="13" t="s">
        <v>124</v>
      </c>
      <c r="M24" s="2" t="str">
        <f t="shared" si="5"/>
        <v>1 - Gasoline</v>
      </c>
      <c r="N24" s="2" t="str">
        <f>IF(OR($L24="",$M24="",$D24=0,$A24="FULTON (COLLEGE PARK)"),"",MAX(N$3:N23)+1)</f>
        <v/>
      </c>
    </row>
    <row r="25" spans="1:14" x14ac:dyDescent="0.25">
      <c r="A25" s="2" t="s">
        <v>238</v>
      </c>
      <c r="B25" s="2" t="s">
        <v>214</v>
      </c>
      <c r="C25" s="11">
        <v>0.02</v>
      </c>
      <c r="D25" s="15">
        <f t="shared" si="0"/>
        <v>0</v>
      </c>
      <c r="E25" s="15">
        <f>ROUND(SUMIFS(TERSE!$AX$2:$AX$4001,TERSE!$AU$2:$AU$4001,$A25,TERSE!$AV$2:$AV$4001,$B25,TERSE!$AY$2:$AY$4001,""),0)</f>
        <v>0</v>
      </c>
      <c r="F25" s="15">
        <f t="shared" si="1"/>
        <v>0</v>
      </c>
      <c r="G25" s="7">
        <f t="shared" si="2"/>
        <v>0</v>
      </c>
      <c r="H25" s="7">
        <f t="shared" si="3"/>
        <v>0</v>
      </c>
      <c r="I25" s="7">
        <f>SUMIFS(TERSE!$AB$2:$AB$4001,TERSE!$AU$2:$AU$4001,$A25,TERSE!$AV$2:$AV$4001,$B25,TERSE!$AY$2:$AY$4001,"")</f>
        <v>0</v>
      </c>
      <c r="J25" s="7">
        <f t="shared" si="4"/>
        <v>0</v>
      </c>
      <c r="K25" s="16">
        <f>SUMIFS(TERSE!$AW$2:$AW$4001,TERSE!$AU$2:$AU$4001,$A25,TERSE!$AV$2:$AV$4001,$B25,TERSE!$AY$2:$AY$4001,"")</f>
        <v>0</v>
      </c>
      <c r="L25" s="13" t="s">
        <v>239</v>
      </c>
      <c r="M25" s="2" t="str">
        <f t="shared" si="5"/>
        <v>2 - Diesel - Clear</v>
      </c>
      <c r="N25" s="2" t="str">
        <f>IF(OR($L25="",$M25="",$D25=0,$A25="FULTON (COLLEGE PARK)"),"",MAX(N$3:N24)+1)</f>
        <v/>
      </c>
    </row>
    <row r="26" spans="1:14" x14ac:dyDescent="0.25">
      <c r="A26" s="2" t="s">
        <v>238</v>
      </c>
      <c r="B26" s="2" t="s">
        <v>223</v>
      </c>
      <c r="C26" s="11">
        <v>0.02</v>
      </c>
      <c r="D26" s="15">
        <f t="shared" si="0"/>
        <v>0</v>
      </c>
      <c r="E26" s="15">
        <f>ROUND(SUMIFS(TERSE!$AX$2:$AX$4001,TERSE!$AU$2:$AU$4001,$A26,TERSE!$AV$2:$AV$4001,$B26,TERSE!$AY$2:$AY$4001,""),0)</f>
        <v>0</v>
      </c>
      <c r="F26" s="15">
        <f t="shared" si="1"/>
        <v>0</v>
      </c>
      <c r="G26" s="7">
        <f t="shared" si="2"/>
        <v>0</v>
      </c>
      <c r="H26" s="7">
        <f t="shared" si="3"/>
        <v>0</v>
      </c>
      <c r="I26" s="7">
        <f>SUMIFS(TERSE!$AB$2:$AB$4001,TERSE!$AU$2:$AU$4001,$A26,TERSE!$AV$2:$AV$4001,$B26,TERSE!$AY$2:$AY$4001,"")</f>
        <v>0</v>
      </c>
      <c r="J26" s="7">
        <f t="shared" si="4"/>
        <v>0</v>
      </c>
      <c r="K26" s="16">
        <f>SUMIFS(TERSE!$AW$2:$AW$4001,TERSE!$AU$2:$AU$4001,$A26,TERSE!$AV$2:$AV$4001,$B26,TERSE!$AY$2:$AY$4001,"")</f>
        <v>0</v>
      </c>
      <c r="L26" s="13" t="s">
        <v>239</v>
      </c>
      <c r="M26" s="2" t="str">
        <f t="shared" si="5"/>
        <v>1 - Gasoline</v>
      </c>
      <c r="N26" s="2" t="str">
        <f>IF(OR($L26="",$M26="",$D26=0,$A26="FULTON (COLLEGE PARK)"),"",MAX(N$3:N25)+1)</f>
        <v/>
      </c>
    </row>
    <row r="27" spans="1:14" x14ac:dyDescent="0.25">
      <c r="A27" s="2" t="s">
        <v>240</v>
      </c>
      <c r="B27" s="2" t="s">
        <v>214</v>
      </c>
      <c r="C27" s="11">
        <v>0.03</v>
      </c>
      <c r="D27" s="15">
        <f t="shared" si="0"/>
        <v>0</v>
      </c>
      <c r="E27" s="15">
        <f>ROUND(SUMIFS(TERSE!$AX$2:$AX$4001,TERSE!$AU$2:$AU$4001,$A27,TERSE!$AV$2:$AV$4001,$B27,TERSE!$AY$2:$AY$4001,""),0)</f>
        <v>0</v>
      </c>
      <c r="F27" s="15">
        <f t="shared" si="1"/>
        <v>0</v>
      </c>
      <c r="G27" s="7">
        <f t="shared" si="2"/>
        <v>0</v>
      </c>
      <c r="H27" s="7">
        <f t="shared" si="3"/>
        <v>0</v>
      </c>
      <c r="I27" s="7">
        <f>SUMIFS(TERSE!$AB$2:$AB$4001,TERSE!$AU$2:$AU$4001,$A27,TERSE!$AV$2:$AV$4001,$B27,TERSE!$AY$2:$AY$4001,"")</f>
        <v>0</v>
      </c>
      <c r="J27" s="7">
        <f t="shared" si="4"/>
        <v>0</v>
      </c>
      <c r="K27" s="16">
        <f>SUMIFS(TERSE!$AW$2:$AW$4001,TERSE!$AU$2:$AU$4001,$A27,TERSE!$AV$2:$AV$4001,$B27,TERSE!$AY$2:$AY$4001,"")</f>
        <v>0</v>
      </c>
      <c r="L27" s="13" t="s">
        <v>126</v>
      </c>
      <c r="M27" s="2" t="str">
        <f t="shared" si="5"/>
        <v>2 - Diesel - Clear</v>
      </c>
      <c r="N27" s="2" t="str">
        <f>IF(OR($L27="",$M27="",$D27=0,$A27="FULTON (COLLEGE PARK)"),"",MAX(N$3:N26)+1)</f>
        <v/>
      </c>
    </row>
    <row r="28" spans="1:14" x14ac:dyDescent="0.25">
      <c r="A28" s="2" t="s">
        <v>240</v>
      </c>
      <c r="B28" s="2" t="s">
        <v>223</v>
      </c>
      <c r="C28" s="11">
        <v>0.03</v>
      </c>
      <c r="D28" s="15">
        <f t="shared" si="0"/>
        <v>0</v>
      </c>
      <c r="E28" s="15">
        <f>ROUND(SUMIFS(TERSE!$AX$2:$AX$4001,TERSE!$AU$2:$AU$4001,$A28,TERSE!$AV$2:$AV$4001,$B28,TERSE!$AY$2:$AY$4001,""),0)</f>
        <v>0</v>
      </c>
      <c r="F28" s="15">
        <f t="shared" si="1"/>
        <v>0</v>
      </c>
      <c r="G28" s="7">
        <f t="shared" si="2"/>
        <v>0</v>
      </c>
      <c r="H28" s="7">
        <f t="shared" si="3"/>
        <v>0</v>
      </c>
      <c r="I28" s="7">
        <f>SUMIFS(TERSE!$AB$2:$AB$4001,TERSE!$AU$2:$AU$4001,$A28,TERSE!$AV$2:$AV$4001,$B28,TERSE!$AY$2:$AY$4001,"")</f>
        <v>0</v>
      </c>
      <c r="J28" s="7">
        <f t="shared" si="4"/>
        <v>0</v>
      </c>
      <c r="K28" s="16">
        <f>SUMIFS(TERSE!$AW$2:$AW$4001,TERSE!$AU$2:$AU$4001,$A28,TERSE!$AV$2:$AV$4001,$B28,TERSE!$AY$2:$AY$4001,"")</f>
        <v>0</v>
      </c>
      <c r="L28" s="13" t="s">
        <v>126</v>
      </c>
      <c r="M28" s="2" t="str">
        <f t="shared" si="5"/>
        <v>1 - Gasoline</v>
      </c>
      <c r="N28" s="2" t="str">
        <f>IF(OR($L28="",$M28="",$D28=0,$A28="FULTON (COLLEGE PARK)"),"",MAX(N$3:N27)+1)</f>
        <v/>
      </c>
    </row>
    <row r="29" spans="1:14" x14ac:dyDescent="0.25">
      <c r="A29" s="2" t="s">
        <v>241</v>
      </c>
      <c r="B29" s="2" t="s">
        <v>214</v>
      </c>
      <c r="C29" s="11">
        <v>0.04</v>
      </c>
      <c r="D29" s="15">
        <f t="shared" si="0"/>
        <v>0</v>
      </c>
      <c r="E29" s="15">
        <f>ROUND(SUMIFS(TERSE!$AX$2:$AX$4001,TERSE!$AU$2:$AU$4001,$A29,TERSE!$AV$2:$AV$4001,$B29,TERSE!$AY$2:$AY$4001,""),0)</f>
        <v>0</v>
      </c>
      <c r="F29" s="15">
        <f t="shared" si="1"/>
        <v>0</v>
      </c>
      <c r="G29" s="7">
        <f t="shared" si="2"/>
        <v>0</v>
      </c>
      <c r="H29" s="7">
        <f t="shared" si="3"/>
        <v>0</v>
      </c>
      <c r="I29" s="7">
        <f>SUMIFS(TERSE!$AB$2:$AB$4001,TERSE!$AU$2:$AU$4001,$A29,TERSE!$AV$2:$AV$4001,$B29,TERSE!$AY$2:$AY$4001,"")</f>
        <v>0</v>
      </c>
      <c r="J29" s="7">
        <f t="shared" si="4"/>
        <v>0</v>
      </c>
      <c r="K29" s="16">
        <f>SUMIFS(TERSE!$AW$2:$AW$4001,TERSE!$AU$2:$AU$4001,$A29,TERSE!$AV$2:$AV$4001,$B29,TERSE!$AY$2:$AY$4001,"")</f>
        <v>0</v>
      </c>
      <c r="L29" s="13" t="s">
        <v>242</v>
      </c>
      <c r="M29" s="2" t="str">
        <f t="shared" si="5"/>
        <v>2 - Diesel - Clear</v>
      </c>
      <c r="N29" s="2" t="str">
        <f>IF(OR($L29="",$M29="",$D29=0,$A29="FULTON (COLLEGE PARK)"),"",MAX(N$3:N28)+1)</f>
        <v/>
      </c>
    </row>
    <row r="30" spans="1:14" x14ac:dyDescent="0.25">
      <c r="A30" s="2" t="s">
        <v>241</v>
      </c>
      <c r="B30" s="2" t="s">
        <v>223</v>
      </c>
      <c r="C30" s="11">
        <v>0.04</v>
      </c>
      <c r="D30" s="15">
        <f t="shared" si="0"/>
        <v>0</v>
      </c>
      <c r="E30" s="15">
        <f>ROUND(SUMIFS(TERSE!$AX$2:$AX$4001,TERSE!$AU$2:$AU$4001,$A30,TERSE!$AV$2:$AV$4001,$B30,TERSE!$AY$2:$AY$4001,""),0)</f>
        <v>0</v>
      </c>
      <c r="F30" s="15">
        <f t="shared" si="1"/>
        <v>0</v>
      </c>
      <c r="G30" s="7">
        <f t="shared" si="2"/>
        <v>0</v>
      </c>
      <c r="H30" s="7">
        <f t="shared" si="3"/>
        <v>0</v>
      </c>
      <c r="I30" s="7">
        <f>SUMIFS(TERSE!$AB$2:$AB$4001,TERSE!$AU$2:$AU$4001,$A30,TERSE!$AV$2:$AV$4001,$B30,TERSE!$AY$2:$AY$4001,"")</f>
        <v>0</v>
      </c>
      <c r="J30" s="7">
        <f t="shared" si="4"/>
        <v>0</v>
      </c>
      <c r="K30" s="16">
        <f>SUMIFS(TERSE!$AW$2:$AW$4001,TERSE!$AU$2:$AU$4001,$A30,TERSE!$AV$2:$AV$4001,$B30,TERSE!$AY$2:$AY$4001,"")</f>
        <v>0</v>
      </c>
      <c r="L30" s="13" t="s">
        <v>242</v>
      </c>
      <c r="M30" s="2" t="str">
        <f t="shared" si="5"/>
        <v>1 - Gasoline</v>
      </c>
      <c r="N30" s="2" t="str">
        <f>IF(OR($L30="",$M30="",$D30=0,$A30="FULTON (COLLEGE PARK)"),"",MAX(N$3:N29)+1)</f>
        <v/>
      </c>
    </row>
    <row r="31" spans="1:14" x14ac:dyDescent="0.25">
      <c r="A31" s="2" t="s">
        <v>243</v>
      </c>
      <c r="B31" s="2" t="s">
        <v>214</v>
      </c>
      <c r="C31" s="11">
        <v>0.04</v>
      </c>
      <c r="D31" s="15">
        <f t="shared" si="0"/>
        <v>0</v>
      </c>
      <c r="E31" s="15">
        <f>ROUND(SUMIFS(TERSE!$AX$2:$AX$4001,TERSE!$AU$2:$AU$4001,$A31,TERSE!$AV$2:$AV$4001,$B31,TERSE!$AY$2:$AY$4001,""),0)</f>
        <v>0</v>
      </c>
      <c r="F31" s="15">
        <f t="shared" si="1"/>
        <v>0</v>
      </c>
      <c r="G31" s="7">
        <f t="shared" si="2"/>
        <v>0</v>
      </c>
      <c r="H31" s="7">
        <f t="shared" si="3"/>
        <v>0</v>
      </c>
      <c r="I31" s="7">
        <f>SUMIFS(TERSE!$AB$2:$AB$4001,TERSE!$AU$2:$AU$4001,$A31,TERSE!$AV$2:$AV$4001,$B31,TERSE!$AY$2:$AY$4001,"")</f>
        <v>0</v>
      </c>
      <c r="J31" s="7">
        <f t="shared" si="4"/>
        <v>0</v>
      </c>
      <c r="K31" s="16">
        <f>SUMIFS(TERSE!$AW$2:$AW$4001,TERSE!$AU$2:$AU$4001,$A31,TERSE!$AV$2:$AV$4001,$B31,TERSE!$AY$2:$AY$4001,"")</f>
        <v>0</v>
      </c>
      <c r="L31" s="13" t="s">
        <v>244</v>
      </c>
      <c r="M31" s="2" t="str">
        <f t="shared" si="5"/>
        <v>2 - Diesel - Clear</v>
      </c>
      <c r="N31" s="2" t="str">
        <f>IF(OR($L31="",$M31="",$D31=0,$A31="FULTON (COLLEGE PARK)"),"",MAX(N$3:N30)+1)</f>
        <v/>
      </c>
    </row>
    <row r="32" spans="1:14" x14ac:dyDescent="0.25">
      <c r="A32" s="2" t="s">
        <v>243</v>
      </c>
      <c r="B32" s="2" t="s">
        <v>223</v>
      </c>
      <c r="C32" s="11">
        <v>0.04</v>
      </c>
      <c r="D32" s="15">
        <f t="shared" si="0"/>
        <v>0</v>
      </c>
      <c r="E32" s="15">
        <f>ROUND(SUMIFS(TERSE!$AX$2:$AX$4001,TERSE!$AU$2:$AU$4001,$A32,TERSE!$AV$2:$AV$4001,$B32,TERSE!$AY$2:$AY$4001,""),0)</f>
        <v>0</v>
      </c>
      <c r="F32" s="15">
        <f t="shared" si="1"/>
        <v>0</v>
      </c>
      <c r="G32" s="7">
        <f t="shared" si="2"/>
        <v>0</v>
      </c>
      <c r="H32" s="7">
        <f t="shared" si="3"/>
        <v>0</v>
      </c>
      <c r="I32" s="7">
        <f>SUMIFS(TERSE!$AB$2:$AB$4001,TERSE!$AU$2:$AU$4001,$A32,TERSE!$AV$2:$AV$4001,$B32,TERSE!$AY$2:$AY$4001,"")</f>
        <v>0</v>
      </c>
      <c r="J32" s="7">
        <f t="shared" si="4"/>
        <v>0</v>
      </c>
      <c r="K32" s="16">
        <f>SUMIFS(TERSE!$AW$2:$AW$4001,TERSE!$AU$2:$AU$4001,$A32,TERSE!$AV$2:$AV$4001,$B32,TERSE!$AY$2:$AY$4001,"")</f>
        <v>0</v>
      </c>
      <c r="L32" s="13" t="s">
        <v>244</v>
      </c>
      <c r="M32" s="2" t="str">
        <f t="shared" si="5"/>
        <v>1 - Gasoline</v>
      </c>
      <c r="N32" s="2" t="str">
        <f>IF(OR($L32="",$M32="",$D32=0,$A32="FULTON (COLLEGE PARK)"),"",MAX(N$3:N31)+1)</f>
        <v/>
      </c>
    </row>
    <row r="33" spans="1:14" x14ac:dyDescent="0.25">
      <c r="A33" s="2" t="s">
        <v>245</v>
      </c>
      <c r="B33" s="2" t="s">
        <v>214</v>
      </c>
      <c r="C33" s="11">
        <v>0.02</v>
      </c>
      <c r="D33" s="15">
        <f t="shared" si="0"/>
        <v>0</v>
      </c>
      <c r="E33" s="15">
        <f>ROUND(SUMIFS(TERSE!$AX$2:$AX$4001,TERSE!$AU$2:$AU$4001,$A33,TERSE!$AV$2:$AV$4001,$B33,TERSE!$AY$2:$AY$4001,""),0)</f>
        <v>0</v>
      </c>
      <c r="F33" s="15">
        <f t="shared" si="1"/>
        <v>0</v>
      </c>
      <c r="G33" s="7">
        <f t="shared" si="2"/>
        <v>0</v>
      </c>
      <c r="H33" s="7">
        <f t="shared" si="3"/>
        <v>0</v>
      </c>
      <c r="I33" s="7">
        <f>SUMIFS(TERSE!$AB$2:$AB$4001,TERSE!$AU$2:$AU$4001,$A33,TERSE!$AV$2:$AV$4001,$B33,TERSE!$AY$2:$AY$4001,"")</f>
        <v>0</v>
      </c>
      <c r="J33" s="7">
        <f t="shared" si="4"/>
        <v>0</v>
      </c>
      <c r="K33" s="16">
        <f>SUMIFS(TERSE!$AW$2:$AW$4001,TERSE!$AU$2:$AU$4001,$A33,TERSE!$AV$2:$AV$4001,$B33,TERSE!$AY$2:$AY$4001,"")</f>
        <v>0</v>
      </c>
      <c r="L33" s="13" t="s">
        <v>128</v>
      </c>
      <c r="M33" s="2" t="str">
        <f t="shared" si="5"/>
        <v>2 - Diesel - Clear</v>
      </c>
      <c r="N33" s="2" t="str">
        <f>IF(OR($L33="",$M33="",$D33=0,$A33="FULTON (COLLEGE PARK)"),"",MAX(N$3:N32)+1)</f>
        <v/>
      </c>
    </row>
    <row r="34" spans="1:14" x14ac:dyDescent="0.25">
      <c r="A34" s="2" t="s">
        <v>245</v>
      </c>
      <c r="B34" s="2" t="s">
        <v>223</v>
      </c>
      <c r="C34" s="11">
        <v>0.02</v>
      </c>
      <c r="D34" s="15">
        <f t="shared" si="0"/>
        <v>0</v>
      </c>
      <c r="E34" s="15">
        <f>ROUND(SUMIFS(TERSE!$AX$2:$AX$4001,TERSE!$AU$2:$AU$4001,$A34,TERSE!$AV$2:$AV$4001,$B34,TERSE!$AY$2:$AY$4001,""),0)</f>
        <v>0</v>
      </c>
      <c r="F34" s="15">
        <f t="shared" si="1"/>
        <v>0</v>
      </c>
      <c r="G34" s="7">
        <f t="shared" si="2"/>
        <v>0</v>
      </c>
      <c r="H34" s="7">
        <f t="shared" si="3"/>
        <v>0</v>
      </c>
      <c r="I34" s="7">
        <f>SUMIFS(TERSE!$AB$2:$AB$4001,TERSE!$AU$2:$AU$4001,$A34,TERSE!$AV$2:$AV$4001,$B34,TERSE!$AY$2:$AY$4001,"")</f>
        <v>0</v>
      </c>
      <c r="J34" s="7">
        <f t="shared" si="4"/>
        <v>0</v>
      </c>
      <c r="K34" s="16">
        <f>SUMIFS(TERSE!$AW$2:$AW$4001,TERSE!$AU$2:$AU$4001,$A34,TERSE!$AV$2:$AV$4001,$B34,TERSE!$AY$2:$AY$4001,"")</f>
        <v>0</v>
      </c>
      <c r="L34" s="13" t="s">
        <v>128</v>
      </c>
      <c r="M34" s="2" t="str">
        <f t="shared" si="5"/>
        <v>1 - Gasoline</v>
      </c>
      <c r="N34" s="2" t="str">
        <f>IF(OR($L34="",$M34="",$D34=0,$A34="FULTON (COLLEGE PARK)"),"",MAX(N$3:N33)+1)</f>
        <v/>
      </c>
    </row>
    <row r="35" spans="1:14" x14ac:dyDescent="0.25">
      <c r="A35" s="2" t="s">
        <v>246</v>
      </c>
      <c r="B35" s="2" t="s">
        <v>214</v>
      </c>
      <c r="C35" s="11">
        <v>0.03</v>
      </c>
      <c r="D35" s="15">
        <f t="shared" si="0"/>
        <v>0</v>
      </c>
      <c r="E35" s="15">
        <f>ROUND(SUMIFS(TERSE!$AX$2:$AX$4001,TERSE!$AU$2:$AU$4001,$A35,TERSE!$AV$2:$AV$4001,$B35,TERSE!$AY$2:$AY$4001,""),0)</f>
        <v>0</v>
      </c>
      <c r="F35" s="15">
        <f t="shared" si="1"/>
        <v>0</v>
      </c>
      <c r="G35" s="7">
        <f t="shared" si="2"/>
        <v>0</v>
      </c>
      <c r="H35" s="7">
        <f t="shared" si="3"/>
        <v>0</v>
      </c>
      <c r="I35" s="7">
        <f>SUMIFS(TERSE!$AB$2:$AB$4001,TERSE!$AU$2:$AU$4001,$A35,TERSE!$AV$2:$AV$4001,$B35,TERSE!$AY$2:$AY$4001,"")</f>
        <v>0</v>
      </c>
      <c r="J35" s="7">
        <f t="shared" si="4"/>
        <v>0</v>
      </c>
      <c r="K35" s="16">
        <f>SUMIFS(TERSE!$AW$2:$AW$4001,TERSE!$AU$2:$AU$4001,$A35,TERSE!$AV$2:$AV$4001,$B35,TERSE!$AY$2:$AY$4001,"")</f>
        <v>0</v>
      </c>
      <c r="L35" s="13" t="s">
        <v>130</v>
      </c>
      <c r="M35" s="2" t="str">
        <f t="shared" si="5"/>
        <v>2 - Diesel - Clear</v>
      </c>
      <c r="N35" s="2" t="str">
        <f>IF(OR($L35="",$M35="",$D35=0,$A35="FULTON (COLLEGE PARK)"),"",MAX(N$3:N34)+1)</f>
        <v/>
      </c>
    </row>
    <row r="36" spans="1:14" x14ac:dyDescent="0.25">
      <c r="A36" s="2" t="s">
        <v>246</v>
      </c>
      <c r="B36" s="2" t="s">
        <v>223</v>
      </c>
      <c r="C36" s="11">
        <v>0.03</v>
      </c>
      <c r="D36" s="15">
        <f t="shared" ref="D36:D67" si="6">ROUND(K36,0)</f>
        <v>0</v>
      </c>
      <c r="E36" s="15">
        <f>ROUND(SUMIFS(TERSE!$AX$2:$AX$4001,TERSE!$AU$2:$AU$4001,$A36,TERSE!$AV$2:$AV$4001,$B36,TERSE!$AY$2:$AY$4001,""),0)</f>
        <v>0</v>
      </c>
      <c r="F36" s="15">
        <f t="shared" ref="F36:F67" si="7">D36-E36</f>
        <v>0</v>
      </c>
      <c r="G36" s="7">
        <f t="shared" ref="G36:G67" si="8">F36*IF($B36="Diesel",$C$2,$F$2)</f>
        <v>0</v>
      </c>
      <c r="H36" s="7">
        <f t="shared" ref="H36:H67" si="9">G36*C36</f>
        <v>0</v>
      </c>
      <c r="I36" s="7">
        <f>SUMIFS(TERSE!$AB$2:$AB$4001,TERSE!$AU$2:$AU$4001,$A36,TERSE!$AV$2:$AV$4001,$B36,TERSE!$AY$2:$AY$4001,"")</f>
        <v>0</v>
      </c>
      <c r="J36" s="7">
        <f t="shared" ref="J36:J67" si="10">I36-H36</f>
        <v>0</v>
      </c>
      <c r="K36" s="16">
        <f>SUMIFS(TERSE!$AW$2:$AW$4001,TERSE!$AU$2:$AU$4001,$A36,TERSE!$AV$2:$AV$4001,$B36,TERSE!$AY$2:$AY$4001,"")</f>
        <v>0</v>
      </c>
      <c r="L36" s="13" t="s">
        <v>130</v>
      </c>
      <c r="M36" s="2" t="str">
        <f t="shared" ref="M36:M67" si="11">IF($B36="Diesel","2 - Diesel - Clear",IF($B36="Gas","1 - Gasoline",""))</f>
        <v>1 - Gasoline</v>
      </c>
      <c r="N36" s="2" t="str">
        <f>IF(OR($L36="",$M36="",$D36=0,$A36="FULTON (COLLEGE PARK)"),"",MAX(N$3:N35)+1)</f>
        <v/>
      </c>
    </row>
    <row r="37" spans="1:14" x14ac:dyDescent="0.25">
      <c r="A37" s="2" t="s">
        <v>247</v>
      </c>
      <c r="B37" s="2" t="s">
        <v>214</v>
      </c>
      <c r="C37" s="11">
        <v>0.04</v>
      </c>
      <c r="D37" s="15">
        <f t="shared" si="6"/>
        <v>0</v>
      </c>
      <c r="E37" s="15">
        <f>ROUND(SUMIFS(TERSE!$AX$2:$AX$4001,TERSE!$AU$2:$AU$4001,$A37,TERSE!$AV$2:$AV$4001,$B37,TERSE!$AY$2:$AY$4001,""),0)</f>
        <v>0</v>
      </c>
      <c r="F37" s="15">
        <f t="shared" si="7"/>
        <v>0</v>
      </c>
      <c r="G37" s="7">
        <f t="shared" si="8"/>
        <v>0</v>
      </c>
      <c r="H37" s="7">
        <f t="shared" si="9"/>
        <v>0</v>
      </c>
      <c r="I37" s="7">
        <f>SUMIFS(TERSE!$AB$2:$AB$4001,TERSE!$AU$2:$AU$4001,$A37,TERSE!$AV$2:$AV$4001,$B37,TERSE!$AY$2:$AY$4001,"")</f>
        <v>0</v>
      </c>
      <c r="J37" s="7">
        <f t="shared" si="10"/>
        <v>0</v>
      </c>
      <c r="K37" s="16">
        <f>SUMIFS(TERSE!$AW$2:$AW$4001,TERSE!$AU$2:$AU$4001,$A37,TERSE!$AV$2:$AV$4001,$B37,TERSE!$AY$2:$AY$4001,"")</f>
        <v>0</v>
      </c>
      <c r="L37" s="13" t="s">
        <v>132</v>
      </c>
      <c r="M37" s="2" t="str">
        <f t="shared" si="11"/>
        <v>2 - Diesel - Clear</v>
      </c>
      <c r="N37" s="2" t="str">
        <f>IF(OR($L37="",$M37="",$D37=0,$A37="FULTON (COLLEGE PARK)"),"",MAX(N$3:N36)+1)</f>
        <v/>
      </c>
    </row>
    <row r="38" spans="1:14" x14ac:dyDescent="0.25">
      <c r="A38" s="2" t="s">
        <v>247</v>
      </c>
      <c r="B38" s="2" t="s">
        <v>223</v>
      </c>
      <c r="C38" s="11">
        <v>0.04</v>
      </c>
      <c r="D38" s="15">
        <f t="shared" si="6"/>
        <v>0</v>
      </c>
      <c r="E38" s="15">
        <f>ROUND(SUMIFS(TERSE!$AX$2:$AX$4001,TERSE!$AU$2:$AU$4001,$A38,TERSE!$AV$2:$AV$4001,$B38,TERSE!$AY$2:$AY$4001,""),0)</f>
        <v>0</v>
      </c>
      <c r="F38" s="15">
        <f t="shared" si="7"/>
        <v>0</v>
      </c>
      <c r="G38" s="7">
        <f t="shared" si="8"/>
        <v>0</v>
      </c>
      <c r="H38" s="7">
        <f t="shared" si="9"/>
        <v>0</v>
      </c>
      <c r="I38" s="7">
        <f>SUMIFS(TERSE!$AB$2:$AB$4001,TERSE!$AU$2:$AU$4001,$A38,TERSE!$AV$2:$AV$4001,$B38,TERSE!$AY$2:$AY$4001,"")</f>
        <v>0</v>
      </c>
      <c r="J38" s="7">
        <f t="shared" si="10"/>
        <v>0</v>
      </c>
      <c r="K38" s="16">
        <f>SUMIFS(TERSE!$AW$2:$AW$4001,TERSE!$AU$2:$AU$4001,$A38,TERSE!$AV$2:$AV$4001,$B38,TERSE!$AY$2:$AY$4001,"")</f>
        <v>0</v>
      </c>
      <c r="L38" s="13" t="s">
        <v>132</v>
      </c>
      <c r="M38" s="2" t="str">
        <f t="shared" si="11"/>
        <v>1 - Gasoline</v>
      </c>
      <c r="N38" s="2" t="str">
        <f>IF(OR($L38="",$M38="",$D38=0,$A38="FULTON (COLLEGE PARK)"),"",MAX(N$3:N37)+1)</f>
        <v/>
      </c>
    </row>
    <row r="39" spans="1:14" x14ac:dyDescent="0.25">
      <c r="A39" s="2" t="s">
        <v>248</v>
      </c>
      <c r="B39" s="2" t="s">
        <v>214</v>
      </c>
      <c r="C39" s="11">
        <v>0.02</v>
      </c>
      <c r="D39" s="15">
        <f t="shared" si="6"/>
        <v>0</v>
      </c>
      <c r="E39" s="15">
        <f>ROUND(SUMIFS(TERSE!$AX$2:$AX$4001,TERSE!$AU$2:$AU$4001,$A39,TERSE!$AV$2:$AV$4001,$B39,TERSE!$AY$2:$AY$4001,""),0)</f>
        <v>0</v>
      </c>
      <c r="F39" s="15">
        <f t="shared" si="7"/>
        <v>0</v>
      </c>
      <c r="G39" s="7">
        <f t="shared" si="8"/>
        <v>0</v>
      </c>
      <c r="H39" s="7">
        <f t="shared" si="9"/>
        <v>0</v>
      </c>
      <c r="I39" s="7">
        <f>SUMIFS(TERSE!$AB$2:$AB$4001,TERSE!$AU$2:$AU$4001,$A39,TERSE!$AV$2:$AV$4001,$B39,TERSE!$AY$2:$AY$4001,"")</f>
        <v>0</v>
      </c>
      <c r="J39" s="7">
        <f t="shared" si="10"/>
        <v>0</v>
      </c>
      <c r="K39" s="16">
        <f>SUMIFS(TERSE!$AW$2:$AW$4001,TERSE!$AU$2:$AU$4001,$A39,TERSE!$AV$2:$AV$4001,$B39,TERSE!$AY$2:$AY$4001,"")</f>
        <v>0</v>
      </c>
      <c r="L39" s="13" t="s">
        <v>134</v>
      </c>
      <c r="M39" s="2" t="str">
        <f t="shared" si="11"/>
        <v>2 - Diesel - Clear</v>
      </c>
      <c r="N39" s="2" t="str">
        <f>IF(OR($L39="",$M39="",$D39=0,$A39="FULTON (COLLEGE PARK)"),"",MAX(N$3:N38)+1)</f>
        <v/>
      </c>
    </row>
    <row r="40" spans="1:14" x14ac:dyDescent="0.25">
      <c r="A40" s="2" t="s">
        <v>248</v>
      </c>
      <c r="B40" s="2" t="s">
        <v>223</v>
      </c>
      <c r="C40" s="11">
        <v>0.02</v>
      </c>
      <c r="D40" s="15">
        <f t="shared" si="6"/>
        <v>0</v>
      </c>
      <c r="E40" s="15">
        <f>ROUND(SUMIFS(TERSE!$AX$2:$AX$4001,TERSE!$AU$2:$AU$4001,$A40,TERSE!$AV$2:$AV$4001,$B40,TERSE!$AY$2:$AY$4001,""),0)</f>
        <v>0</v>
      </c>
      <c r="F40" s="15">
        <f t="shared" si="7"/>
        <v>0</v>
      </c>
      <c r="G40" s="7">
        <f t="shared" si="8"/>
        <v>0</v>
      </c>
      <c r="H40" s="7">
        <f t="shared" si="9"/>
        <v>0</v>
      </c>
      <c r="I40" s="7">
        <f>SUMIFS(TERSE!$AB$2:$AB$4001,TERSE!$AU$2:$AU$4001,$A40,TERSE!$AV$2:$AV$4001,$B40,TERSE!$AY$2:$AY$4001,"")</f>
        <v>0</v>
      </c>
      <c r="J40" s="7">
        <f t="shared" si="10"/>
        <v>0</v>
      </c>
      <c r="K40" s="16">
        <f>SUMIFS(TERSE!$AW$2:$AW$4001,TERSE!$AU$2:$AU$4001,$A40,TERSE!$AV$2:$AV$4001,$B40,TERSE!$AY$2:$AY$4001,"")</f>
        <v>0</v>
      </c>
      <c r="L40" s="13" t="s">
        <v>134</v>
      </c>
      <c r="M40" s="2" t="str">
        <f t="shared" si="11"/>
        <v>1 - Gasoline</v>
      </c>
      <c r="N40" s="2" t="str">
        <f>IF(OR($L40="",$M40="",$D40=0,$A40="FULTON (COLLEGE PARK)"),"",MAX(N$3:N39)+1)</f>
        <v/>
      </c>
    </row>
    <row r="41" spans="1:14" x14ac:dyDescent="0.25">
      <c r="A41" s="2" t="s">
        <v>249</v>
      </c>
      <c r="B41" s="2" t="s">
        <v>214</v>
      </c>
      <c r="C41" s="11">
        <v>0.03</v>
      </c>
      <c r="D41" s="15">
        <f t="shared" si="6"/>
        <v>0</v>
      </c>
      <c r="E41" s="15">
        <f>ROUND(SUMIFS(TERSE!$AX$2:$AX$4001,TERSE!$AU$2:$AU$4001,$A41,TERSE!$AV$2:$AV$4001,$B41,TERSE!$AY$2:$AY$4001,""),0)</f>
        <v>0</v>
      </c>
      <c r="F41" s="15">
        <f t="shared" si="7"/>
        <v>0</v>
      </c>
      <c r="G41" s="7">
        <f t="shared" si="8"/>
        <v>0</v>
      </c>
      <c r="H41" s="7">
        <f t="shared" si="9"/>
        <v>0</v>
      </c>
      <c r="I41" s="7">
        <f>SUMIFS(TERSE!$AB$2:$AB$4001,TERSE!$AU$2:$AU$4001,$A41,TERSE!$AV$2:$AV$4001,$B41,TERSE!$AY$2:$AY$4001,"")</f>
        <v>0</v>
      </c>
      <c r="J41" s="7">
        <f t="shared" si="10"/>
        <v>0</v>
      </c>
      <c r="K41" s="16">
        <f>SUMIFS(TERSE!$AW$2:$AW$4001,TERSE!$AU$2:$AU$4001,$A41,TERSE!$AV$2:$AV$4001,$B41,TERSE!$AY$2:$AY$4001,"")</f>
        <v>0</v>
      </c>
      <c r="L41" s="13" t="s">
        <v>250</v>
      </c>
      <c r="M41" s="2" t="str">
        <f t="shared" si="11"/>
        <v>2 - Diesel - Clear</v>
      </c>
      <c r="N41" s="2" t="str">
        <f>IF(OR($L41="",$M41="",$D41=0,$A41="FULTON (COLLEGE PARK)"),"",MAX(N$3:N40)+1)</f>
        <v/>
      </c>
    </row>
    <row r="42" spans="1:14" x14ac:dyDescent="0.25">
      <c r="A42" s="2" t="s">
        <v>251</v>
      </c>
      <c r="B42" s="2" t="s">
        <v>214</v>
      </c>
      <c r="C42" s="11">
        <v>0.04</v>
      </c>
      <c r="D42" s="15">
        <f t="shared" si="6"/>
        <v>0</v>
      </c>
      <c r="E42" s="15">
        <f>ROUND(SUMIFS(TERSE!$AX$2:$AX$4001,TERSE!$AU$2:$AU$4001,$A42,TERSE!$AV$2:$AV$4001,$B42,TERSE!$AY$2:$AY$4001,""),0)</f>
        <v>0</v>
      </c>
      <c r="F42" s="15">
        <f t="shared" si="7"/>
        <v>0</v>
      </c>
      <c r="G42" s="7">
        <f t="shared" si="8"/>
        <v>0</v>
      </c>
      <c r="H42" s="7">
        <f t="shared" si="9"/>
        <v>0</v>
      </c>
      <c r="I42" s="7">
        <f>SUMIFS(TERSE!$AB$2:$AB$4001,TERSE!$AU$2:$AU$4001,$A42,TERSE!$AV$2:$AV$4001,$B42,TERSE!$AY$2:$AY$4001,"")</f>
        <v>0</v>
      </c>
      <c r="J42" s="7">
        <f t="shared" si="10"/>
        <v>0</v>
      </c>
      <c r="K42" s="16">
        <f>SUMIFS(TERSE!$AW$2:$AW$4001,TERSE!$AU$2:$AU$4001,$A42,TERSE!$AV$2:$AV$4001,$B42,TERSE!$AY$2:$AY$4001,"")</f>
        <v>0</v>
      </c>
      <c r="L42" s="13" t="s">
        <v>136</v>
      </c>
      <c r="M42" s="2" t="str">
        <f t="shared" si="11"/>
        <v>2 - Diesel - Clear</v>
      </c>
      <c r="N42" s="2" t="str">
        <f>IF(OR($L42="",$M42="",$D42=0,$A42="FULTON (COLLEGE PARK)"),"",MAX(N$3:N41)+1)</f>
        <v/>
      </c>
    </row>
    <row r="43" spans="1:14" x14ac:dyDescent="0.25">
      <c r="A43" s="2" t="s">
        <v>251</v>
      </c>
      <c r="B43" s="2" t="s">
        <v>223</v>
      </c>
      <c r="C43" s="11">
        <v>0.04</v>
      </c>
      <c r="D43" s="15">
        <f t="shared" si="6"/>
        <v>0</v>
      </c>
      <c r="E43" s="15">
        <f>ROUND(SUMIFS(TERSE!$AX$2:$AX$4001,TERSE!$AU$2:$AU$4001,$A43,TERSE!$AV$2:$AV$4001,$B43,TERSE!$AY$2:$AY$4001,""),0)</f>
        <v>0</v>
      </c>
      <c r="F43" s="15">
        <f t="shared" si="7"/>
        <v>0</v>
      </c>
      <c r="G43" s="7">
        <f t="shared" si="8"/>
        <v>0</v>
      </c>
      <c r="H43" s="7">
        <f t="shared" si="9"/>
        <v>0</v>
      </c>
      <c r="I43" s="7">
        <f>SUMIFS(TERSE!$AB$2:$AB$4001,TERSE!$AU$2:$AU$4001,$A43,TERSE!$AV$2:$AV$4001,$B43,TERSE!$AY$2:$AY$4001,"")</f>
        <v>0</v>
      </c>
      <c r="J43" s="7">
        <f t="shared" si="10"/>
        <v>0</v>
      </c>
      <c r="K43" s="16">
        <f>SUMIFS(TERSE!$AW$2:$AW$4001,TERSE!$AU$2:$AU$4001,$A43,TERSE!$AV$2:$AV$4001,$B43,TERSE!$AY$2:$AY$4001,"")</f>
        <v>0</v>
      </c>
      <c r="L43" s="13" t="s">
        <v>136</v>
      </c>
      <c r="M43" s="2" t="str">
        <f t="shared" si="11"/>
        <v>1 - Gasoline</v>
      </c>
      <c r="N43" s="2" t="str">
        <f>IF(OR($L43="",$M43="",$D43=0,$A43="FULTON (COLLEGE PARK)"),"",MAX(N$3:N42)+1)</f>
        <v/>
      </c>
    </row>
    <row r="44" spans="1:14" x14ac:dyDescent="0.25">
      <c r="A44" s="2" t="s">
        <v>252</v>
      </c>
      <c r="B44" s="2" t="s">
        <v>214</v>
      </c>
      <c r="C44" s="11">
        <v>0.04</v>
      </c>
      <c r="D44" s="15">
        <f t="shared" si="6"/>
        <v>0</v>
      </c>
      <c r="E44" s="15">
        <f>ROUND(SUMIFS(TERSE!$AX$2:$AX$4001,TERSE!$AU$2:$AU$4001,$A44,TERSE!$AV$2:$AV$4001,$B44,TERSE!$AY$2:$AY$4001,""),0)</f>
        <v>0</v>
      </c>
      <c r="F44" s="15">
        <f t="shared" si="7"/>
        <v>0</v>
      </c>
      <c r="G44" s="7">
        <f t="shared" si="8"/>
        <v>0</v>
      </c>
      <c r="H44" s="7">
        <f t="shared" si="9"/>
        <v>0</v>
      </c>
      <c r="I44" s="7">
        <f>SUMIFS(TERSE!$AB$2:$AB$4001,TERSE!$AU$2:$AU$4001,$A44,TERSE!$AV$2:$AV$4001,$B44,TERSE!$AY$2:$AY$4001,"")</f>
        <v>0</v>
      </c>
      <c r="J44" s="7">
        <f t="shared" si="10"/>
        <v>0</v>
      </c>
      <c r="K44" s="16">
        <f>SUMIFS(TERSE!$AW$2:$AW$4001,TERSE!$AU$2:$AU$4001,$A44,TERSE!$AV$2:$AV$4001,$B44,TERSE!$AY$2:$AY$4001,"")</f>
        <v>0</v>
      </c>
      <c r="L44" s="13" t="s">
        <v>140</v>
      </c>
      <c r="M44" s="2" t="str">
        <f t="shared" si="11"/>
        <v>2 - Diesel - Clear</v>
      </c>
      <c r="N44" s="2" t="str">
        <f>IF(OR($L44="",$M44="",$D44=0,$A44="FULTON (COLLEGE PARK)"),"",MAX(N$3:N43)+1)</f>
        <v/>
      </c>
    </row>
    <row r="45" spans="1:14" x14ac:dyDescent="0.25">
      <c r="A45" s="2" t="s">
        <v>253</v>
      </c>
      <c r="B45" s="2" t="s">
        <v>214</v>
      </c>
      <c r="C45" s="11">
        <v>0.04</v>
      </c>
      <c r="D45" s="15">
        <f t="shared" si="6"/>
        <v>0</v>
      </c>
      <c r="E45" s="15">
        <f>ROUND(SUMIFS(TERSE!$AX$2:$AX$4001,TERSE!$AU$2:$AU$4001,$A45,TERSE!$AV$2:$AV$4001,$B45,TERSE!$AY$2:$AY$4001,""),0)</f>
        <v>0</v>
      </c>
      <c r="F45" s="15">
        <f t="shared" si="7"/>
        <v>0</v>
      </c>
      <c r="G45" s="7">
        <f t="shared" si="8"/>
        <v>0</v>
      </c>
      <c r="H45" s="7">
        <f t="shared" si="9"/>
        <v>0</v>
      </c>
      <c r="I45" s="7">
        <f>SUMIFS(TERSE!$AB$2:$AB$4001,TERSE!$AU$2:$AU$4001,$A45,TERSE!$AV$2:$AV$4001,$B45,TERSE!$AY$2:$AY$4001,"")</f>
        <v>0</v>
      </c>
      <c r="J45" s="7">
        <f t="shared" si="10"/>
        <v>0</v>
      </c>
      <c r="K45" s="16">
        <f>SUMIFS(TERSE!$AW$2:$AW$4001,TERSE!$AU$2:$AU$4001,$A45,TERSE!$AV$2:$AV$4001,$B45,TERSE!$AY$2:$AY$4001,"")</f>
        <v>0</v>
      </c>
      <c r="L45" s="13" t="s">
        <v>254</v>
      </c>
      <c r="M45" s="2" t="str">
        <f t="shared" si="11"/>
        <v>2 - Diesel - Clear</v>
      </c>
      <c r="N45" s="2" t="str">
        <f>IF(OR($L45="",$M45="",$D45=0,$A45="FULTON (COLLEGE PARK)"),"",MAX(N$3:N44)+1)</f>
        <v/>
      </c>
    </row>
    <row r="46" spans="1:14" x14ac:dyDescent="0.25">
      <c r="A46" s="2" t="s">
        <v>255</v>
      </c>
      <c r="B46" s="2" t="s">
        <v>214</v>
      </c>
      <c r="C46" s="11">
        <v>0.03</v>
      </c>
      <c r="D46" s="15">
        <f t="shared" si="6"/>
        <v>0</v>
      </c>
      <c r="E46" s="15">
        <f>ROUND(SUMIFS(TERSE!$AX$2:$AX$4001,TERSE!$AU$2:$AU$4001,$A46,TERSE!$AV$2:$AV$4001,$B46,TERSE!$AY$2:$AY$4001,""),0)</f>
        <v>0</v>
      </c>
      <c r="F46" s="15">
        <f t="shared" si="7"/>
        <v>0</v>
      </c>
      <c r="G46" s="7">
        <f t="shared" si="8"/>
        <v>0</v>
      </c>
      <c r="H46" s="7">
        <f t="shared" si="9"/>
        <v>0</v>
      </c>
      <c r="I46" s="7">
        <f>SUMIFS(TERSE!$AB$2:$AB$4001,TERSE!$AU$2:$AU$4001,$A46,TERSE!$AV$2:$AV$4001,$B46,TERSE!$AY$2:$AY$4001,"")</f>
        <v>0</v>
      </c>
      <c r="J46" s="7">
        <f t="shared" si="10"/>
        <v>0</v>
      </c>
      <c r="K46" s="16">
        <f>SUMIFS(TERSE!$AW$2:$AW$4001,TERSE!$AU$2:$AU$4001,$A46,TERSE!$AV$2:$AV$4001,$B46,TERSE!$AY$2:$AY$4001,"")</f>
        <v>0</v>
      </c>
      <c r="L46" s="13" t="s">
        <v>256</v>
      </c>
      <c r="M46" s="2" t="str">
        <f t="shared" si="11"/>
        <v>2 - Diesel - Clear</v>
      </c>
      <c r="N46" s="2" t="str">
        <f>IF(OR($L46="",$M46="",$D46=0,$A46="FULTON (COLLEGE PARK)"),"",MAX(N$3:N45)+1)</f>
        <v/>
      </c>
    </row>
    <row r="47" spans="1:14" x14ac:dyDescent="0.25">
      <c r="A47" s="2" t="s">
        <v>255</v>
      </c>
      <c r="B47" s="2" t="s">
        <v>223</v>
      </c>
      <c r="C47" s="11">
        <v>0.03</v>
      </c>
      <c r="D47" s="15">
        <f t="shared" si="6"/>
        <v>0</v>
      </c>
      <c r="E47" s="15">
        <f>ROUND(SUMIFS(TERSE!$AX$2:$AX$4001,TERSE!$AU$2:$AU$4001,$A47,TERSE!$AV$2:$AV$4001,$B47,TERSE!$AY$2:$AY$4001,""),0)</f>
        <v>0</v>
      </c>
      <c r="F47" s="15">
        <f t="shared" si="7"/>
        <v>0</v>
      </c>
      <c r="G47" s="7">
        <f t="shared" si="8"/>
        <v>0</v>
      </c>
      <c r="H47" s="7">
        <f t="shared" si="9"/>
        <v>0</v>
      </c>
      <c r="I47" s="7">
        <f>SUMIFS(TERSE!$AB$2:$AB$4001,TERSE!$AU$2:$AU$4001,$A47,TERSE!$AV$2:$AV$4001,$B47,TERSE!$AY$2:$AY$4001,"")</f>
        <v>0</v>
      </c>
      <c r="J47" s="7">
        <f t="shared" si="10"/>
        <v>0</v>
      </c>
      <c r="K47" s="16">
        <f>SUMIFS(TERSE!$AW$2:$AW$4001,TERSE!$AU$2:$AU$4001,$A47,TERSE!$AV$2:$AV$4001,$B47,TERSE!$AY$2:$AY$4001,"")</f>
        <v>0</v>
      </c>
      <c r="L47" s="13" t="s">
        <v>256</v>
      </c>
      <c r="M47" s="2" t="str">
        <f t="shared" si="11"/>
        <v>1 - Gasoline</v>
      </c>
      <c r="N47" s="2" t="str">
        <f>IF(OR($L47="",$M47="",$D47=0,$A47="FULTON (COLLEGE PARK)"),"",MAX(N$3:N46)+1)</f>
        <v/>
      </c>
    </row>
    <row r="48" spans="1:14" x14ac:dyDescent="0.25">
      <c r="A48" s="2" t="s">
        <v>257</v>
      </c>
      <c r="B48" s="2" t="s">
        <v>214</v>
      </c>
      <c r="C48" s="11">
        <v>0.03</v>
      </c>
      <c r="D48" s="15">
        <f t="shared" si="6"/>
        <v>0</v>
      </c>
      <c r="E48" s="15">
        <f>ROUND(SUMIFS(TERSE!$AX$2:$AX$4001,TERSE!$AU$2:$AU$4001,$A48,TERSE!$AV$2:$AV$4001,$B48,TERSE!$AY$2:$AY$4001,""),0)</f>
        <v>0</v>
      </c>
      <c r="F48" s="15">
        <f t="shared" si="7"/>
        <v>0</v>
      </c>
      <c r="G48" s="7">
        <f t="shared" si="8"/>
        <v>0</v>
      </c>
      <c r="H48" s="7">
        <f t="shared" si="9"/>
        <v>0</v>
      </c>
      <c r="I48" s="7">
        <f>SUMIFS(TERSE!$AB$2:$AB$4001,TERSE!$AU$2:$AU$4001,$A48,TERSE!$AV$2:$AV$4001,$B48,TERSE!$AY$2:$AY$4001,"")</f>
        <v>0</v>
      </c>
      <c r="J48" s="7">
        <f t="shared" si="10"/>
        <v>0</v>
      </c>
      <c r="K48" s="16">
        <f>SUMIFS(TERSE!$AW$2:$AW$4001,TERSE!$AU$2:$AU$4001,$A48,TERSE!$AV$2:$AV$4001,$B48,TERSE!$AY$2:$AY$4001,"")</f>
        <v>0</v>
      </c>
      <c r="L48" s="13" t="s">
        <v>258</v>
      </c>
      <c r="M48" s="2" t="str">
        <f t="shared" si="11"/>
        <v>2 - Diesel - Clear</v>
      </c>
      <c r="N48" s="2" t="str">
        <f>IF(OR($L48="",$M48="",$D48=0,$A48="FULTON (COLLEGE PARK)"),"",MAX(N$3:N47)+1)</f>
        <v/>
      </c>
    </row>
    <row r="49" spans="1:14" x14ac:dyDescent="0.25">
      <c r="A49" s="2" t="s">
        <v>257</v>
      </c>
      <c r="B49" s="2" t="s">
        <v>223</v>
      </c>
      <c r="C49" s="11">
        <v>0.03</v>
      </c>
      <c r="D49" s="15">
        <f t="shared" si="6"/>
        <v>0</v>
      </c>
      <c r="E49" s="15">
        <f>ROUND(SUMIFS(TERSE!$AX$2:$AX$4001,TERSE!$AU$2:$AU$4001,$A49,TERSE!$AV$2:$AV$4001,$B49,TERSE!$AY$2:$AY$4001,""),0)</f>
        <v>0</v>
      </c>
      <c r="F49" s="15">
        <f t="shared" si="7"/>
        <v>0</v>
      </c>
      <c r="G49" s="7">
        <f t="shared" si="8"/>
        <v>0</v>
      </c>
      <c r="H49" s="7">
        <f t="shared" si="9"/>
        <v>0</v>
      </c>
      <c r="I49" s="7">
        <f>SUMIFS(TERSE!$AB$2:$AB$4001,TERSE!$AU$2:$AU$4001,$A49,TERSE!$AV$2:$AV$4001,$B49,TERSE!$AY$2:$AY$4001,"")</f>
        <v>0</v>
      </c>
      <c r="J49" s="7">
        <f t="shared" si="10"/>
        <v>0</v>
      </c>
      <c r="K49" s="16">
        <f>SUMIFS(TERSE!$AW$2:$AW$4001,TERSE!$AU$2:$AU$4001,$A49,TERSE!$AV$2:$AV$4001,$B49,TERSE!$AY$2:$AY$4001,"")</f>
        <v>0</v>
      </c>
      <c r="L49" s="13" t="s">
        <v>258</v>
      </c>
      <c r="M49" s="2" t="str">
        <f t="shared" si="11"/>
        <v>1 - Gasoline</v>
      </c>
      <c r="N49" s="2" t="str">
        <f>IF(OR($L49="",$M49="",$D49=0,$A49="FULTON (COLLEGE PARK)"),"",MAX(N$3:N48)+1)</f>
        <v/>
      </c>
    </row>
    <row r="50" spans="1:14" x14ac:dyDescent="0.25">
      <c r="A50" s="2" t="s">
        <v>259</v>
      </c>
      <c r="B50" s="2" t="s">
        <v>214</v>
      </c>
      <c r="C50" s="11">
        <v>0.04</v>
      </c>
      <c r="D50" s="15">
        <f t="shared" si="6"/>
        <v>0</v>
      </c>
      <c r="E50" s="15">
        <f>ROUND(SUMIFS(TERSE!$AX$2:$AX$4001,TERSE!$AU$2:$AU$4001,$A50,TERSE!$AV$2:$AV$4001,$B50,TERSE!$AY$2:$AY$4001,""),0)</f>
        <v>0</v>
      </c>
      <c r="F50" s="15">
        <f t="shared" si="7"/>
        <v>0</v>
      </c>
      <c r="G50" s="7">
        <f t="shared" si="8"/>
        <v>0</v>
      </c>
      <c r="H50" s="7">
        <f t="shared" si="9"/>
        <v>0</v>
      </c>
      <c r="I50" s="7">
        <f>SUMIFS(TERSE!$AB$2:$AB$4001,TERSE!$AU$2:$AU$4001,$A50,TERSE!$AV$2:$AV$4001,$B50,TERSE!$AY$2:$AY$4001,"")</f>
        <v>0</v>
      </c>
      <c r="J50" s="7">
        <f t="shared" si="10"/>
        <v>0</v>
      </c>
      <c r="K50" s="16">
        <f>SUMIFS(TERSE!$AW$2:$AW$4001,TERSE!$AU$2:$AU$4001,$A50,TERSE!$AV$2:$AV$4001,$B50,TERSE!$AY$2:$AY$4001,"")</f>
        <v>0</v>
      </c>
      <c r="L50" s="13" t="s">
        <v>260</v>
      </c>
      <c r="M50" s="2" t="str">
        <f t="shared" si="11"/>
        <v>2 - Diesel - Clear</v>
      </c>
      <c r="N50" s="2" t="str">
        <f>IF(OR($L50="",$M50="",$D50=0,$A50="FULTON (COLLEGE PARK)"),"",MAX(N$3:N49)+1)</f>
        <v/>
      </c>
    </row>
    <row r="51" spans="1:14" x14ac:dyDescent="0.25">
      <c r="A51" s="2" t="s">
        <v>259</v>
      </c>
      <c r="B51" s="2" t="s">
        <v>223</v>
      </c>
      <c r="C51" s="11">
        <v>0.04</v>
      </c>
      <c r="D51" s="15">
        <f t="shared" si="6"/>
        <v>0</v>
      </c>
      <c r="E51" s="15">
        <f>ROUND(SUMIFS(TERSE!$AX$2:$AX$4001,TERSE!$AU$2:$AU$4001,$A51,TERSE!$AV$2:$AV$4001,$B51,TERSE!$AY$2:$AY$4001,""),0)</f>
        <v>0</v>
      </c>
      <c r="F51" s="15">
        <f t="shared" si="7"/>
        <v>0</v>
      </c>
      <c r="G51" s="7">
        <f t="shared" si="8"/>
        <v>0</v>
      </c>
      <c r="H51" s="7">
        <f t="shared" si="9"/>
        <v>0</v>
      </c>
      <c r="I51" s="7">
        <f>SUMIFS(TERSE!$AB$2:$AB$4001,TERSE!$AU$2:$AU$4001,$A51,TERSE!$AV$2:$AV$4001,$B51,TERSE!$AY$2:$AY$4001,"")</f>
        <v>0</v>
      </c>
      <c r="J51" s="7">
        <f t="shared" si="10"/>
        <v>0</v>
      </c>
      <c r="K51" s="16">
        <f>SUMIFS(TERSE!$AW$2:$AW$4001,TERSE!$AU$2:$AU$4001,$A51,TERSE!$AV$2:$AV$4001,$B51,TERSE!$AY$2:$AY$4001,"")</f>
        <v>0</v>
      </c>
      <c r="L51" s="13" t="s">
        <v>260</v>
      </c>
      <c r="M51" s="2" t="str">
        <f t="shared" si="11"/>
        <v>1 - Gasoline</v>
      </c>
      <c r="N51" s="2" t="str">
        <f>IF(OR($L51="",$M51="",$D51=0,$A51="FULTON (COLLEGE PARK)"),"",MAX(N$3:N50)+1)</f>
        <v/>
      </c>
    </row>
    <row r="52" spans="1:14" x14ac:dyDescent="0.25">
      <c r="A52" s="2" t="s">
        <v>261</v>
      </c>
      <c r="B52" s="2" t="s">
        <v>214</v>
      </c>
      <c r="C52" s="11">
        <v>0.04</v>
      </c>
      <c r="D52" s="15">
        <f t="shared" si="6"/>
        <v>0</v>
      </c>
      <c r="E52" s="15">
        <f>ROUND(SUMIFS(TERSE!$AX$2:$AX$4001,TERSE!$AU$2:$AU$4001,$A52,TERSE!$AV$2:$AV$4001,$B52,TERSE!$AY$2:$AY$4001,""),0)</f>
        <v>0</v>
      </c>
      <c r="F52" s="15">
        <f t="shared" si="7"/>
        <v>0</v>
      </c>
      <c r="G52" s="7">
        <f t="shared" si="8"/>
        <v>0</v>
      </c>
      <c r="H52" s="7">
        <f t="shared" si="9"/>
        <v>0</v>
      </c>
      <c r="I52" s="7">
        <f>SUMIFS(TERSE!$AB$2:$AB$4001,TERSE!$AU$2:$AU$4001,$A52,TERSE!$AV$2:$AV$4001,$B52,TERSE!$AY$2:$AY$4001,"")</f>
        <v>0</v>
      </c>
      <c r="J52" s="7">
        <f t="shared" si="10"/>
        <v>0</v>
      </c>
      <c r="K52" s="16">
        <f>SUMIFS(TERSE!$AW$2:$AW$4001,TERSE!$AU$2:$AU$4001,$A52,TERSE!$AV$2:$AV$4001,$B52,TERSE!$AY$2:$AY$4001,"")</f>
        <v>0</v>
      </c>
      <c r="L52" s="13" t="s">
        <v>142</v>
      </c>
      <c r="M52" s="2" t="str">
        <f t="shared" si="11"/>
        <v>2 - Diesel - Clear</v>
      </c>
      <c r="N52" s="2" t="str">
        <f>IF(OR($L52="",$M52="",$D52=0,$A52="FULTON (COLLEGE PARK)"),"",MAX(N$3:N51)+1)</f>
        <v/>
      </c>
    </row>
    <row r="53" spans="1:14" x14ac:dyDescent="0.25">
      <c r="A53" s="2" t="s">
        <v>261</v>
      </c>
      <c r="B53" s="2" t="s">
        <v>223</v>
      </c>
      <c r="C53" s="11">
        <v>0.04</v>
      </c>
      <c r="D53" s="15">
        <f t="shared" si="6"/>
        <v>0</v>
      </c>
      <c r="E53" s="15">
        <f>ROUND(SUMIFS(TERSE!$AX$2:$AX$4001,TERSE!$AU$2:$AU$4001,$A53,TERSE!$AV$2:$AV$4001,$B53,TERSE!$AY$2:$AY$4001,""),0)</f>
        <v>0</v>
      </c>
      <c r="F53" s="15">
        <f t="shared" si="7"/>
        <v>0</v>
      </c>
      <c r="G53" s="7">
        <f t="shared" si="8"/>
        <v>0</v>
      </c>
      <c r="H53" s="7">
        <f t="shared" si="9"/>
        <v>0</v>
      </c>
      <c r="I53" s="7">
        <f>SUMIFS(TERSE!$AB$2:$AB$4001,TERSE!$AU$2:$AU$4001,$A53,TERSE!$AV$2:$AV$4001,$B53,TERSE!$AY$2:$AY$4001,"")</f>
        <v>0</v>
      </c>
      <c r="J53" s="7">
        <f t="shared" si="10"/>
        <v>0</v>
      </c>
      <c r="K53" s="16">
        <f>SUMIFS(TERSE!$AW$2:$AW$4001,TERSE!$AU$2:$AU$4001,$A53,TERSE!$AV$2:$AV$4001,$B53,TERSE!$AY$2:$AY$4001,"")</f>
        <v>0</v>
      </c>
      <c r="L53" s="13" t="s">
        <v>142</v>
      </c>
      <c r="M53" s="2" t="str">
        <f t="shared" si="11"/>
        <v>1 - Gasoline</v>
      </c>
      <c r="N53" s="2" t="str">
        <f>IF(OR($L53="",$M53="",$D53=0,$A53="FULTON (COLLEGE PARK)"),"",MAX(N$3:N52)+1)</f>
        <v/>
      </c>
    </row>
    <row r="54" spans="1:14" x14ac:dyDescent="0.25">
      <c r="A54" s="2" t="s">
        <v>262</v>
      </c>
      <c r="B54" s="2" t="s">
        <v>214</v>
      </c>
      <c r="C54" s="11">
        <v>4.4999999999999998E-2</v>
      </c>
      <c r="D54" s="15">
        <f t="shared" si="6"/>
        <v>0</v>
      </c>
      <c r="E54" s="15">
        <f>ROUND(SUMIFS(TERSE!$AX$2:$AX$4001,TERSE!$AU$2:$AU$4001,$A54,TERSE!$AV$2:$AV$4001,$B54,TERSE!$AY$2:$AY$4001,""),0)</f>
        <v>0</v>
      </c>
      <c r="F54" s="15">
        <f t="shared" si="7"/>
        <v>0</v>
      </c>
      <c r="G54" s="7">
        <f t="shared" si="8"/>
        <v>0</v>
      </c>
      <c r="H54" s="7">
        <f t="shared" si="9"/>
        <v>0</v>
      </c>
      <c r="I54" s="7">
        <f>SUMIFS(TERSE!$AB$2:$AB$4001,TERSE!$AU$2:$AU$4001,$A54,TERSE!$AV$2:$AV$4001,$B54,TERSE!$AY$2:$AY$4001,"")</f>
        <v>0</v>
      </c>
      <c r="J54" s="7">
        <f t="shared" si="10"/>
        <v>0</v>
      </c>
      <c r="K54" s="16">
        <f>SUMIFS(TERSE!$AW$2:$AW$4001,TERSE!$AU$2:$AU$4001,$A54,TERSE!$AV$2:$AV$4001,$B54,TERSE!$AY$2:$AY$4001,"")</f>
        <v>0</v>
      </c>
      <c r="L54" s="13" t="s">
        <v>263</v>
      </c>
      <c r="M54" s="2" t="str">
        <f t="shared" si="11"/>
        <v>2 - Diesel - Clear</v>
      </c>
      <c r="N54" s="2" t="str">
        <f>IF(OR($L54="",$M54="",$D54=0,$A54="FULTON (COLLEGE PARK)"),"",MAX(N$3:N53)+1)</f>
        <v/>
      </c>
    </row>
    <row r="55" spans="1:14" x14ac:dyDescent="0.25">
      <c r="A55" s="2" t="s">
        <v>262</v>
      </c>
      <c r="B55" s="2" t="s">
        <v>223</v>
      </c>
      <c r="C55" s="11">
        <v>4.4999999999999998E-2</v>
      </c>
      <c r="D55" s="15">
        <f t="shared" si="6"/>
        <v>0</v>
      </c>
      <c r="E55" s="15">
        <f>ROUND(SUMIFS(TERSE!$AX$2:$AX$4001,TERSE!$AU$2:$AU$4001,$A55,TERSE!$AV$2:$AV$4001,$B55,TERSE!$AY$2:$AY$4001,""),0)</f>
        <v>0</v>
      </c>
      <c r="F55" s="15">
        <f t="shared" si="7"/>
        <v>0</v>
      </c>
      <c r="G55" s="7">
        <f t="shared" si="8"/>
        <v>0</v>
      </c>
      <c r="H55" s="7">
        <f t="shared" si="9"/>
        <v>0</v>
      </c>
      <c r="I55" s="7">
        <f>SUMIFS(TERSE!$AB$2:$AB$4001,TERSE!$AU$2:$AU$4001,$A55,TERSE!$AV$2:$AV$4001,$B55,TERSE!$AY$2:$AY$4001,"")</f>
        <v>0</v>
      </c>
      <c r="J55" s="7">
        <f t="shared" si="10"/>
        <v>0</v>
      </c>
      <c r="K55" s="16">
        <f>SUMIFS(TERSE!$AW$2:$AW$4001,TERSE!$AU$2:$AU$4001,$A55,TERSE!$AV$2:$AV$4001,$B55,TERSE!$AY$2:$AY$4001,"")</f>
        <v>0</v>
      </c>
      <c r="L55" s="13" t="s">
        <v>263</v>
      </c>
      <c r="M55" s="2" t="str">
        <f t="shared" si="11"/>
        <v>1 - Gasoline</v>
      </c>
      <c r="N55" s="2" t="str">
        <f>IF(OR($L55="",$M55="",$D55=0,$A55="FULTON (COLLEGE PARK)"),"",MAX(N$3:N54)+1)</f>
        <v/>
      </c>
    </row>
    <row r="56" spans="1:14" x14ac:dyDescent="0.25">
      <c r="A56" s="2" t="s">
        <v>264</v>
      </c>
      <c r="B56" s="2" t="s">
        <v>214</v>
      </c>
      <c r="C56" s="11">
        <v>0.03</v>
      </c>
      <c r="D56" s="15">
        <f t="shared" si="6"/>
        <v>0</v>
      </c>
      <c r="E56" s="15">
        <f>ROUND(SUMIFS(TERSE!$AX$2:$AX$4001,TERSE!$AU$2:$AU$4001,$A56,TERSE!$AV$2:$AV$4001,$B56,TERSE!$AY$2:$AY$4001,""),0)</f>
        <v>0</v>
      </c>
      <c r="F56" s="15">
        <f t="shared" si="7"/>
        <v>0</v>
      </c>
      <c r="G56" s="7">
        <f t="shared" si="8"/>
        <v>0</v>
      </c>
      <c r="H56" s="7">
        <f t="shared" si="9"/>
        <v>0</v>
      </c>
      <c r="I56" s="7">
        <f>SUMIFS(TERSE!$AB$2:$AB$4001,TERSE!$AU$2:$AU$4001,$A56,TERSE!$AV$2:$AV$4001,$B56,TERSE!$AY$2:$AY$4001,"")</f>
        <v>0</v>
      </c>
      <c r="J56" s="7">
        <f t="shared" si="10"/>
        <v>0</v>
      </c>
      <c r="K56" s="16">
        <f>SUMIFS(TERSE!$AW$2:$AW$4001,TERSE!$AU$2:$AU$4001,$A56,TERSE!$AV$2:$AV$4001,$B56,TERSE!$AY$2:$AY$4001,"")</f>
        <v>0</v>
      </c>
      <c r="L56" s="13" t="s">
        <v>265</v>
      </c>
      <c r="M56" s="2" t="str">
        <f t="shared" si="11"/>
        <v>2 - Diesel - Clear</v>
      </c>
      <c r="N56" s="2" t="str">
        <f>IF(OR($L56="",$M56="",$D56=0,$A56="FULTON (COLLEGE PARK)"),"",MAX(N$3:N55)+1)</f>
        <v/>
      </c>
    </row>
    <row r="57" spans="1:14" x14ac:dyDescent="0.25">
      <c r="A57" s="2" t="s">
        <v>266</v>
      </c>
      <c r="B57" s="2" t="s">
        <v>214</v>
      </c>
      <c r="C57" s="11">
        <v>0.03</v>
      </c>
      <c r="D57" s="15">
        <f t="shared" si="6"/>
        <v>0</v>
      </c>
      <c r="E57" s="15">
        <f>ROUND(SUMIFS(TERSE!$AX$2:$AX$4001,TERSE!$AU$2:$AU$4001,$A57,TERSE!$AV$2:$AV$4001,$B57,TERSE!$AY$2:$AY$4001,""),0)</f>
        <v>0</v>
      </c>
      <c r="F57" s="15">
        <f t="shared" si="7"/>
        <v>0</v>
      </c>
      <c r="G57" s="7">
        <f t="shared" si="8"/>
        <v>0</v>
      </c>
      <c r="H57" s="7">
        <f t="shared" si="9"/>
        <v>0</v>
      </c>
      <c r="I57" s="7">
        <f>SUMIFS(TERSE!$AB$2:$AB$4001,TERSE!$AU$2:$AU$4001,$A57,TERSE!$AV$2:$AV$4001,$B57,TERSE!$AY$2:$AY$4001,"")</f>
        <v>0</v>
      </c>
      <c r="J57" s="7">
        <f t="shared" si="10"/>
        <v>0</v>
      </c>
      <c r="K57" s="16">
        <f>SUMIFS(TERSE!$AW$2:$AW$4001,TERSE!$AU$2:$AU$4001,$A57,TERSE!$AV$2:$AV$4001,$B57,TERSE!$AY$2:$AY$4001,"")</f>
        <v>0</v>
      </c>
      <c r="L57" s="13" t="s">
        <v>267</v>
      </c>
      <c r="M57" s="2" t="str">
        <f t="shared" si="11"/>
        <v>2 - Diesel - Clear</v>
      </c>
      <c r="N57" s="2" t="str">
        <f>IF(OR($L57="",$M57="",$D57=0,$A57="FULTON (COLLEGE PARK)"),"",MAX(N$3:N56)+1)</f>
        <v/>
      </c>
    </row>
    <row r="58" spans="1:14" x14ac:dyDescent="0.25">
      <c r="A58" s="2" t="s">
        <v>266</v>
      </c>
      <c r="B58" s="2" t="s">
        <v>223</v>
      </c>
      <c r="C58" s="11">
        <v>0.03</v>
      </c>
      <c r="D58" s="15">
        <f t="shared" si="6"/>
        <v>0</v>
      </c>
      <c r="E58" s="15">
        <f>ROUND(SUMIFS(TERSE!$AX$2:$AX$4001,TERSE!$AU$2:$AU$4001,$A58,TERSE!$AV$2:$AV$4001,$B58,TERSE!$AY$2:$AY$4001,""),0)</f>
        <v>0</v>
      </c>
      <c r="F58" s="15">
        <f t="shared" si="7"/>
        <v>0</v>
      </c>
      <c r="G58" s="7">
        <f t="shared" si="8"/>
        <v>0</v>
      </c>
      <c r="H58" s="7">
        <f t="shared" si="9"/>
        <v>0</v>
      </c>
      <c r="I58" s="7">
        <f>SUMIFS(TERSE!$AB$2:$AB$4001,TERSE!$AU$2:$AU$4001,$A58,TERSE!$AV$2:$AV$4001,$B58,TERSE!$AY$2:$AY$4001,"")</f>
        <v>0</v>
      </c>
      <c r="J58" s="7">
        <f t="shared" si="10"/>
        <v>0</v>
      </c>
      <c r="K58" s="16">
        <f>SUMIFS(TERSE!$AW$2:$AW$4001,TERSE!$AU$2:$AU$4001,$A58,TERSE!$AV$2:$AV$4001,$B58,TERSE!$AY$2:$AY$4001,"")</f>
        <v>0</v>
      </c>
      <c r="L58" s="13" t="s">
        <v>267</v>
      </c>
      <c r="M58" s="2" t="str">
        <f t="shared" si="11"/>
        <v>1 - Gasoline</v>
      </c>
      <c r="N58" s="2" t="str">
        <f>IF(OR($L58="",$M58="",$D58=0,$A58="FULTON (COLLEGE PARK)"),"",MAX(N$3:N57)+1)</f>
        <v/>
      </c>
    </row>
    <row r="59" spans="1:14" x14ac:dyDescent="0.25">
      <c r="A59" s="2" t="s">
        <v>268</v>
      </c>
      <c r="B59" s="2" t="s">
        <v>214</v>
      </c>
      <c r="C59" s="11">
        <v>0.03</v>
      </c>
      <c r="D59" s="15">
        <f t="shared" si="6"/>
        <v>0</v>
      </c>
      <c r="E59" s="15">
        <f>ROUND(SUMIFS(TERSE!$AX$2:$AX$4001,TERSE!$AU$2:$AU$4001,$A59,TERSE!$AV$2:$AV$4001,$B59,TERSE!$AY$2:$AY$4001,""),0)</f>
        <v>0</v>
      </c>
      <c r="F59" s="15">
        <f t="shared" si="7"/>
        <v>0</v>
      </c>
      <c r="G59" s="7">
        <f t="shared" si="8"/>
        <v>0</v>
      </c>
      <c r="H59" s="7">
        <f t="shared" si="9"/>
        <v>0</v>
      </c>
      <c r="I59" s="7">
        <f>SUMIFS(TERSE!$AB$2:$AB$4001,TERSE!$AU$2:$AU$4001,$A59,TERSE!$AV$2:$AV$4001,$B59,TERSE!$AY$2:$AY$4001,"")</f>
        <v>0</v>
      </c>
      <c r="J59" s="7">
        <f t="shared" si="10"/>
        <v>0</v>
      </c>
      <c r="K59" s="16">
        <f>SUMIFS(TERSE!$AW$2:$AW$4001,TERSE!$AU$2:$AU$4001,$A59,TERSE!$AV$2:$AV$4001,$B59,TERSE!$AY$2:$AY$4001,"")</f>
        <v>0</v>
      </c>
      <c r="L59" s="13" t="s">
        <v>144</v>
      </c>
      <c r="M59" s="2" t="str">
        <f t="shared" si="11"/>
        <v>2 - Diesel - Clear</v>
      </c>
      <c r="N59" s="2" t="str">
        <f>IF(OR($L59="",$M59="",$D59=0,$A59="FULTON (COLLEGE PARK)"),"",MAX(N$3:N58)+1)</f>
        <v/>
      </c>
    </row>
    <row r="60" spans="1:14" x14ac:dyDescent="0.25">
      <c r="A60" s="2" t="s">
        <v>268</v>
      </c>
      <c r="B60" s="2" t="s">
        <v>223</v>
      </c>
      <c r="C60" s="11">
        <v>0.03</v>
      </c>
      <c r="D60" s="15">
        <f t="shared" si="6"/>
        <v>0</v>
      </c>
      <c r="E60" s="15">
        <f>ROUND(SUMIFS(TERSE!$AX$2:$AX$4001,TERSE!$AU$2:$AU$4001,$A60,TERSE!$AV$2:$AV$4001,$B60,TERSE!$AY$2:$AY$4001,""),0)</f>
        <v>0</v>
      </c>
      <c r="F60" s="15">
        <f t="shared" si="7"/>
        <v>0</v>
      </c>
      <c r="G60" s="7">
        <f t="shared" si="8"/>
        <v>0</v>
      </c>
      <c r="H60" s="7">
        <f t="shared" si="9"/>
        <v>0</v>
      </c>
      <c r="I60" s="7">
        <f>SUMIFS(TERSE!$AB$2:$AB$4001,TERSE!$AU$2:$AU$4001,$A60,TERSE!$AV$2:$AV$4001,$B60,TERSE!$AY$2:$AY$4001,"")</f>
        <v>0</v>
      </c>
      <c r="J60" s="7">
        <f t="shared" si="10"/>
        <v>0</v>
      </c>
      <c r="K60" s="16">
        <f>SUMIFS(TERSE!$AW$2:$AW$4001,TERSE!$AU$2:$AU$4001,$A60,TERSE!$AV$2:$AV$4001,$B60,TERSE!$AY$2:$AY$4001,"")</f>
        <v>0</v>
      </c>
      <c r="L60" s="13" t="s">
        <v>144</v>
      </c>
      <c r="M60" s="2" t="str">
        <f t="shared" si="11"/>
        <v>1 - Gasoline</v>
      </c>
      <c r="N60" s="2" t="str">
        <f>IF(OR($L60="",$M60="",$D60=0,$A60="FULTON (COLLEGE PARK)"),"",MAX(N$3:N59)+1)</f>
        <v/>
      </c>
    </row>
    <row r="61" spans="1:14" x14ac:dyDescent="0.25">
      <c r="A61" s="2" t="s">
        <v>269</v>
      </c>
      <c r="B61" s="2" t="s">
        <v>214</v>
      </c>
      <c r="C61" s="11">
        <v>0.03</v>
      </c>
      <c r="D61" s="15">
        <f t="shared" si="6"/>
        <v>0</v>
      </c>
      <c r="E61" s="15">
        <f>ROUND(SUMIFS(TERSE!$AX$2:$AX$4001,TERSE!$AU$2:$AU$4001,$A61,TERSE!$AV$2:$AV$4001,$B61,TERSE!$AY$2:$AY$4001,""),0)</f>
        <v>0</v>
      </c>
      <c r="F61" s="15">
        <f t="shared" si="7"/>
        <v>0</v>
      </c>
      <c r="G61" s="7">
        <f t="shared" si="8"/>
        <v>0</v>
      </c>
      <c r="H61" s="7">
        <f t="shared" si="9"/>
        <v>0</v>
      </c>
      <c r="I61" s="7">
        <f>SUMIFS(TERSE!$AB$2:$AB$4001,TERSE!$AU$2:$AU$4001,$A61,TERSE!$AV$2:$AV$4001,$B61,TERSE!$AY$2:$AY$4001,"")</f>
        <v>0</v>
      </c>
      <c r="J61" s="7">
        <f t="shared" si="10"/>
        <v>0</v>
      </c>
      <c r="K61" s="16">
        <f>SUMIFS(TERSE!$AW$2:$AW$4001,TERSE!$AU$2:$AU$4001,$A61,TERSE!$AV$2:$AV$4001,$B61,TERSE!$AY$2:$AY$4001,"")</f>
        <v>0</v>
      </c>
      <c r="L61" s="13" t="s">
        <v>146</v>
      </c>
      <c r="M61" s="2" t="str">
        <f t="shared" si="11"/>
        <v>2 - Diesel - Clear</v>
      </c>
      <c r="N61" s="2" t="str">
        <f>IF(OR($L61="",$M61="",$D61=0,$A61="FULTON (COLLEGE PARK)"),"",MAX(N$3:N60)+1)</f>
        <v/>
      </c>
    </row>
    <row r="62" spans="1:14" x14ac:dyDescent="0.25">
      <c r="A62" s="2" t="s">
        <v>269</v>
      </c>
      <c r="B62" s="2" t="s">
        <v>223</v>
      </c>
      <c r="C62" s="11">
        <v>0.03</v>
      </c>
      <c r="D62" s="15">
        <f t="shared" si="6"/>
        <v>0</v>
      </c>
      <c r="E62" s="15">
        <f>ROUND(SUMIFS(TERSE!$AX$2:$AX$4001,TERSE!$AU$2:$AU$4001,$A62,TERSE!$AV$2:$AV$4001,$B62,TERSE!$AY$2:$AY$4001,""),0)</f>
        <v>0</v>
      </c>
      <c r="F62" s="15">
        <f t="shared" si="7"/>
        <v>0</v>
      </c>
      <c r="G62" s="7">
        <f t="shared" si="8"/>
        <v>0</v>
      </c>
      <c r="H62" s="7">
        <f t="shared" si="9"/>
        <v>0</v>
      </c>
      <c r="I62" s="7">
        <f>SUMIFS(TERSE!$AB$2:$AB$4001,TERSE!$AU$2:$AU$4001,$A62,TERSE!$AV$2:$AV$4001,$B62,TERSE!$AY$2:$AY$4001,"")</f>
        <v>0</v>
      </c>
      <c r="J62" s="7">
        <f t="shared" si="10"/>
        <v>0</v>
      </c>
      <c r="K62" s="16">
        <f>SUMIFS(TERSE!$AW$2:$AW$4001,TERSE!$AU$2:$AU$4001,$A62,TERSE!$AV$2:$AV$4001,$B62,TERSE!$AY$2:$AY$4001,"")</f>
        <v>0</v>
      </c>
      <c r="L62" s="13" t="s">
        <v>146</v>
      </c>
      <c r="M62" s="2" t="str">
        <f t="shared" si="11"/>
        <v>1 - Gasoline</v>
      </c>
      <c r="N62" s="2" t="str">
        <f>IF(OR($L62="",$M62="",$D62=0,$A62="FULTON (COLLEGE PARK)"),"",MAX(N$3:N61)+1)</f>
        <v/>
      </c>
    </row>
    <row r="63" spans="1:14" x14ac:dyDescent="0.25">
      <c r="A63" s="2" t="s">
        <v>270</v>
      </c>
      <c r="B63" s="2" t="s">
        <v>214</v>
      </c>
      <c r="C63" s="11">
        <v>0.04</v>
      </c>
      <c r="D63" s="15">
        <f t="shared" si="6"/>
        <v>0</v>
      </c>
      <c r="E63" s="15">
        <f>ROUND(SUMIFS(TERSE!$AX$2:$AX$4001,TERSE!$AU$2:$AU$4001,$A63,TERSE!$AV$2:$AV$4001,$B63,TERSE!$AY$2:$AY$4001,""),0)</f>
        <v>0</v>
      </c>
      <c r="F63" s="15">
        <f t="shared" si="7"/>
        <v>0</v>
      </c>
      <c r="G63" s="7">
        <f t="shared" si="8"/>
        <v>0</v>
      </c>
      <c r="H63" s="7">
        <f t="shared" si="9"/>
        <v>0</v>
      </c>
      <c r="I63" s="7">
        <f>SUMIFS(TERSE!$AB$2:$AB$4001,TERSE!$AU$2:$AU$4001,$A63,TERSE!$AV$2:$AV$4001,$B63,TERSE!$AY$2:$AY$4001,"")</f>
        <v>0</v>
      </c>
      <c r="J63" s="7">
        <f t="shared" si="10"/>
        <v>0</v>
      </c>
      <c r="K63" s="16">
        <f>SUMIFS(TERSE!$AW$2:$AW$4001,TERSE!$AU$2:$AU$4001,$A63,TERSE!$AV$2:$AV$4001,$B63,TERSE!$AY$2:$AY$4001,"")</f>
        <v>0</v>
      </c>
      <c r="L63" s="13" t="s">
        <v>271</v>
      </c>
      <c r="M63" s="2" t="str">
        <f t="shared" si="11"/>
        <v>2 - Diesel - Clear</v>
      </c>
      <c r="N63" s="2" t="str">
        <f>IF(OR($L63="",$M63="",$D63=0,$A63="FULTON (COLLEGE PARK)"),"",MAX(N$3:N62)+1)</f>
        <v/>
      </c>
    </row>
    <row r="64" spans="1:14" x14ac:dyDescent="0.25">
      <c r="A64" s="2" t="s">
        <v>272</v>
      </c>
      <c r="B64" s="2" t="s">
        <v>214</v>
      </c>
      <c r="C64" s="11">
        <v>0.04</v>
      </c>
      <c r="D64" s="15">
        <f t="shared" si="6"/>
        <v>0</v>
      </c>
      <c r="E64" s="15">
        <f>ROUND(SUMIFS(TERSE!$AX$2:$AX$4001,TERSE!$AU$2:$AU$4001,$A64,TERSE!$AV$2:$AV$4001,$B64,TERSE!$AY$2:$AY$4001,""),0)</f>
        <v>0</v>
      </c>
      <c r="F64" s="15">
        <f t="shared" si="7"/>
        <v>0</v>
      </c>
      <c r="G64" s="7">
        <f t="shared" si="8"/>
        <v>0</v>
      </c>
      <c r="H64" s="7">
        <f t="shared" si="9"/>
        <v>0</v>
      </c>
      <c r="I64" s="7">
        <f>SUMIFS(TERSE!$AB$2:$AB$4001,TERSE!$AU$2:$AU$4001,$A64,TERSE!$AV$2:$AV$4001,$B64,TERSE!$AY$2:$AY$4001,"")</f>
        <v>0</v>
      </c>
      <c r="J64" s="7">
        <f t="shared" si="10"/>
        <v>0</v>
      </c>
      <c r="K64" s="16">
        <f>SUMIFS(TERSE!$AW$2:$AW$4001,TERSE!$AU$2:$AU$4001,$A64,TERSE!$AV$2:$AV$4001,$B64,TERSE!$AY$2:$AY$4001,"")</f>
        <v>0</v>
      </c>
      <c r="L64" s="13" t="s">
        <v>150</v>
      </c>
      <c r="M64" s="2" t="str">
        <f t="shared" si="11"/>
        <v>2 - Diesel - Clear</v>
      </c>
      <c r="N64" s="2" t="str">
        <f>IF(OR($L64="",$M64="",$D64=0,$A64="FULTON (COLLEGE PARK)"),"",MAX(N$3:N63)+1)</f>
        <v/>
      </c>
    </row>
    <row r="65" spans="1:14" x14ac:dyDescent="0.25">
      <c r="A65" s="2" t="s">
        <v>272</v>
      </c>
      <c r="B65" s="2" t="s">
        <v>223</v>
      </c>
      <c r="C65" s="11">
        <v>0.04</v>
      </c>
      <c r="D65" s="15">
        <f t="shared" si="6"/>
        <v>0</v>
      </c>
      <c r="E65" s="15">
        <f>ROUND(SUMIFS(TERSE!$AX$2:$AX$4001,TERSE!$AU$2:$AU$4001,$A65,TERSE!$AV$2:$AV$4001,$B65,TERSE!$AY$2:$AY$4001,""),0)</f>
        <v>0</v>
      </c>
      <c r="F65" s="15">
        <f t="shared" si="7"/>
        <v>0</v>
      </c>
      <c r="G65" s="7">
        <f t="shared" si="8"/>
        <v>0</v>
      </c>
      <c r="H65" s="7">
        <f t="shared" si="9"/>
        <v>0</v>
      </c>
      <c r="I65" s="7">
        <f>SUMIFS(TERSE!$AB$2:$AB$4001,TERSE!$AU$2:$AU$4001,$A65,TERSE!$AV$2:$AV$4001,$B65,TERSE!$AY$2:$AY$4001,"")</f>
        <v>0</v>
      </c>
      <c r="J65" s="7">
        <f t="shared" si="10"/>
        <v>0</v>
      </c>
      <c r="K65" s="16">
        <f>SUMIFS(TERSE!$AW$2:$AW$4001,TERSE!$AU$2:$AU$4001,$A65,TERSE!$AV$2:$AV$4001,$B65,TERSE!$AY$2:$AY$4001,"")</f>
        <v>0</v>
      </c>
      <c r="L65" s="13" t="s">
        <v>150</v>
      </c>
      <c r="M65" s="2" t="str">
        <f t="shared" si="11"/>
        <v>1 - Gasoline</v>
      </c>
      <c r="N65" s="2" t="str">
        <f>IF(OR($L65="",$M65="",$D65=0,$A65="FULTON (COLLEGE PARK)"),"",MAX(N$3:N64)+1)</f>
        <v/>
      </c>
    </row>
    <row r="66" spans="1:14" x14ac:dyDescent="0.25">
      <c r="A66" s="2" t="s">
        <v>273</v>
      </c>
      <c r="B66" s="2" t="s">
        <v>214</v>
      </c>
      <c r="C66" s="11">
        <v>0.03</v>
      </c>
      <c r="D66" s="15">
        <f t="shared" si="6"/>
        <v>0</v>
      </c>
      <c r="E66" s="15">
        <f>ROUND(SUMIFS(TERSE!$AX$2:$AX$4001,TERSE!$AU$2:$AU$4001,$A66,TERSE!$AV$2:$AV$4001,$B66,TERSE!$AY$2:$AY$4001,""),0)</f>
        <v>0</v>
      </c>
      <c r="F66" s="15">
        <f t="shared" si="7"/>
        <v>0</v>
      </c>
      <c r="G66" s="7">
        <f t="shared" si="8"/>
        <v>0</v>
      </c>
      <c r="H66" s="7">
        <f t="shared" si="9"/>
        <v>0</v>
      </c>
      <c r="I66" s="7">
        <f>SUMIFS(TERSE!$AB$2:$AB$4001,TERSE!$AU$2:$AU$4001,$A66,TERSE!$AV$2:$AV$4001,$B66,TERSE!$AY$2:$AY$4001,"")</f>
        <v>0</v>
      </c>
      <c r="J66" s="7">
        <f t="shared" si="10"/>
        <v>0</v>
      </c>
      <c r="K66" s="16">
        <f>SUMIFS(TERSE!$AW$2:$AW$4001,TERSE!$AU$2:$AU$4001,$A66,TERSE!$AV$2:$AV$4001,$B66,TERSE!$AY$2:$AY$4001,"")</f>
        <v>0</v>
      </c>
      <c r="L66" s="13" t="s">
        <v>274</v>
      </c>
      <c r="M66" s="2" t="str">
        <f t="shared" si="11"/>
        <v>2 - Diesel - Clear</v>
      </c>
      <c r="N66" s="2" t="str">
        <f>IF(OR($L66="",$M66="",$D66=0,$A66="FULTON (COLLEGE PARK)"),"",MAX(N$3:N65)+1)</f>
        <v/>
      </c>
    </row>
    <row r="67" spans="1:14" x14ac:dyDescent="0.25">
      <c r="A67" s="2" t="s">
        <v>273</v>
      </c>
      <c r="B67" s="2" t="s">
        <v>223</v>
      </c>
      <c r="C67" s="11">
        <v>0.03</v>
      </c>
      <c r="D67" s="15">
        <f t="shared" si="6"/>
        <v>0</v>
      </c>
      <c r="E67" s="15">
        <f>ROUND(SUMIFS(TERSE!$AX$2:$AX$4001,TERSE!$AU$2:$AU$4001,$A67,TERSE!$AV$2:$AV$4001,$B67,TERSE!$AY$2:$AY$4001,""),0)</f>
        <v>0</v>
      </c>
      <c r="F67" s="15">
        <f t="shared" si="7"/>
        <v>0</v>
      </c>
      <c r="G67" s="7">
        <f t="shared" si="8"/>
        <v>0</v>
      </c>
      <c r="H67" s="7">
        <f t="shared" si="9"/>
        <v>0</v>
      </c>
      <c r="I67" s="7">
        <f>SUMIFS(TERSE!$AB$2:$AB$4001,TERSE!$AU$2:$AU$4001,$A67,TERSE!$AV$2:$AV$4001,$B67,TERSE!$AY$2:$AY$4001,"")</f>
        <v>0</v>
      </c>
      <c r="J67" s="7">
        <f t="shared" si="10"/>
        <v>0</v>
      </c>
      <c r="K67" s="16">
        <f>SUMIFS(TERSE!$AW$2:$AW$4001,TERSE!$AU$2:$AU$4001,$A67,TERSE!$AV$2:$AV$4001,$B67,TERSE!$AY$2:$AY$4001,"")</f>
        <v>0</v>
      </c>
      <c r="L67" s="13" t="s">
        <v>274</v>
      </c>
      <c r="M67" s="2" t="str">
        <f t="shared" si="11"/>
        <v>1 - Gasoline</v>
      </c>
      <c r="N67" s="2" t="str">
        <f>IF(OR($L67="",$M67="",$D67=0,$A67="FULTON (COLLEGE PARK)"),"",MAX(N$3:N66)+1)</f>
        <v/>
      </c>
    </row>
    <row r="68" spans="1:14" x14ac:dyDescent="0.25">
      <c r="A68" s="2" t="s">
        <v>275</v>
      </c>
      <c r="B68" s="2" t="s">
        <v>214</v>
      </c>
      <c r="C68" s="11">
        <v>0.03</v>
      </c>
      <c r="D68" s="15">
        <f t="shared" ref="D68:D99" si="12">ROUND(K68,0)</f>
        <v>0</v>
      </c>
      <c r="E68" s="15">
        <f>ROUND(SUMIFS(TERSE!$AX$2:$AX$4001,TERSE!$AU$2:$AU$4001,$A68,TERSE!$AV$2:$AV$4001,$B68,TERSE!$AY$2:$AY$4001,""),0)</f>
        <v>0</v>
      </c>
      <c r="F68" s="15">
        <f t="shared" ref="F68:F99" si="13">D68-E68</f>
        <v>0</v>
      </c>
      <c r="G68" s="7">
        <f t="shared" ref="G68:G99" si="14">F68*IF($B68="Diesel",$C$2,$F$2)</f>
        <v>0</v>
      </c>
      <c r="H68" s="7">
        <f t="shared" ref="H68:H99" si="15">G68*C68</f>
        <v>0</v>
      </c>
      <c r="I68" s="7">
        <f>SUMIFS(TERSE!$AB$2:$AB$4001,TERSE!$AU$2:$AU$4001,$A68,TERSE!$AV$2:$AV$4001,$B68,TERSE!$AY$2:$AY$4001,"")</f>
        <v>0</v>
      </c>
      <c r="J68" s="7">
        <f t="shared" ref="J68:J99" si="16">I68-H68</f>
        <v>0</v>
      </c>
      <c r="K68" s="16">
        <f>SUMIFS(TERSE!$AW$2:$AW$4001,TERSE!$AU$2:$AU$4001,$A68,TERSE!$AV$2:$AV$4001,$B68,TERSE!$AY$2:$AY$4001,"")</f>
        <v>0</v>
      </c>
      <c r="L68" s="13" t="s">
        <v>276</v>
      </c>
      <c r="M68" s="2" t="str">
        <f t="shared" ref="M68:M99" si="17">IF($B68="Diesel","2 - Diesel - Clear",IF($B68="Gas","1 - Gasoline",""))</f>
        <v>2 - Diesel - Clear</v>
      </c>
      <c r="N68" s="2" t="str">
        <f>IF(OR($L68="",$M68="",$D68=0,$A68="FULTON (COLLEGE PARK)"),"",MAX(N$3:N67)+1)</f>
        <v/>
      </c>
    </row>
    <row r="69" spans="1:14" x14ac:dyDescent="0.25">
      <c r="A69" s="2" t="s">
        <v>275</v>
      </c>
      <c r="B69" s="2" t="s">
        <v>223</v>
      </c>
      <c r="C69" s="11">
        <v>0.03</v>
      </c>
      <c r="D69" s="15">
        <f t="shared" si="12"/>
        <v>0</v>
      </c>
      <c r="E69" s="15">
        <f>ROUND(SUMIFS(TERSE!$AX$2:$AX$4001,TERSE!$AU$2:$AU$4001,$A69,TERSE!$AV$2:$AV$4001,$B69,TERSE!$AY$2:$AY$4001,""),0)</f>
        <v>0</v>
      </c>
      <c r="F69" s="15">
        <f t="shared" si="13"/>
        <v>0</v>
      </c>
      <c r="G69" s="7">
        <f t="shared" si="14"/>
        <v>0</v>
      </c>
      <c r="H69" s="7">
        <f t="shared" si="15"/>
        <v>0</v>
      </c>
      <c r="I69" s="7">
        <f>SUMIFS(TERSE!$AB$2:$AB$4001,TERSE!$AU$2:$AU$4001,$A69,TERSE!$AV$2:$AV$4001,$B69,TERSE!$AY$2:$AY$4001,"")</f>
        <v>0</v>
      </c>
      <c r="J69" s="7">
        <f t="shared" si="16"/>
        <v>0</v>
      </c>
      <c r="K69" s="16">
        <f>SUMIFS(TERSE!$AW$2:$AW$4001,TERSE!$AU$2:$AU$4001,$A69,TERSE!$AV$2:$AV$4001,$B69,TERSE!$AY$2:$AY$4001,"")</f>
        <v>0</v>
      </c>
      <c r="L69" s="13" t="s">
        <v>276</v>
      </c>
      <c r="M69" s="2" t="str">
        <f t="shared" si="17"/>
        <v>1 - Gasoline</v>
      </c>
      <c r="N69" s="2" t="str">
        <f>IF(OR($L69="",$M69="",$D69=0,$A69="FULTON (COLLEGE PARK)"),"",MAX(N$3:N68)+1)</f>
        <v/>
      </c>
    </row>
    <row r="70" spans="1:14" x14ac:dyDescent="0.25">
      <c r="A70" s="2" t="s">
        <v>277</v>
      </c>
      <c r="B70" s="2" t="s">
        <v>214</v>
      </c>
      <c r="C70" s="11">
        <v>0.03</v>
      </c>
      <c r="D70" s="15">
        <f t="shared" si="12"/>
        <v>0</v>
      </c>
      <c r="E70" s="15">
        <f>ROUND(SUMIFS(TERSE!$AX$2:$AX$4001,TERSE!$AU$2:$AU$4001,$A70,TERSE!$AV$2:$AV$4001,$B70,TERSE!$AY$2:$AY$4001,""),0)</f>
        <v>0</v>
      </c>
      <c r="F70" s="15">
        <f t="shared" si="13"/>
        <v>0</v>
      </c>
      <c r="G70" s="7">
        <f t="shared" si="14"/>
        <v>0</v>
      </c>
      <c r="H70" s="7">
        <f t="shared" si="15"/>
        <v>0</v>
      </c>
      <c r="I70" s="7">
        <f>SUMIFS(TERSE!$AB$2:$AB$4001,TERSE!$AU$2:$AU$4001,$A70,TERSE!$AV$2:$AV$4001,$B70,TERSE!$AY$2:$AY$4001,"")</f>
        <v>0</v>
      </c>
      <c r="J70" s="7">
        <f t="shared" si="16"/>
        <v>0</v>
      </c>
      <c r="K70" s="16">
        <f>SUMIFS(TERSE!$AW$2:$AW$4001,TERSE!$AU$2:$AU$4001,$A70,TERSE!$AV$2:$AV$4001,$B70,TERSE!$AY$2:$AY$4001,"")</f>
        <v>0</v>
      </c>
      <c r="L70" s="13" t="s">
        <v>152</v>
      </c>
      <c r="M70" s="2" t="str">
        <f t="shared" si="17"/>
        <v>2 - Diesel - Clear</v>
      </c>
      <c r="N70" s="2" t="str">
        <f>IF(OR($L70="",$M70="",$D70=0,$A70="FULTON (COLLEGE PARK)"),"",MAX(N$3:N69)+1)</f>
        <v/>
      </c>
    </row>
    <row r="71" spans="1:14" x14ac:dyDescent="0.25">
      <c r="A71" s="2" t="s">
        <v>277</v>
      </c>
      <c r="B71" s="2" t="s">
        <v>223</v>
      </c>
      <c r="C71" s="11">
        <v>0.03</v>
      </c>
      <c r="D71" s="15">
        <f t="shared" si="12"/>
        <v>0</v>
      </c>
      <c r="E71" s="15">
        <f>ROUND(SUMIFS(TERSE!$AX$2:$AX$4001,TERSE!$AU$2:$AU$4001,$A71,TERSE!$AV$2:$AV$4001,$B71,TERSE!$AY$2:$AY$4001,""),0)</f>
        <v>0</v>
      </c>
      <c r="F71" s="15">
        <f t="shared" si="13"/>
        <v>0</v>
      </c>
      <c r="G71" s="7">
        <f t="shared" si="14"/>
        <v>0</v>
      </c>
      <c r="H71" s="7">
        <f t="shared" si="15"/>
        <v>0</v>
      </c>
      <c r="I71" s="7">
        <f>SUMIFS(TERSE!$AB$2:$AB$4001,TERSE!$AU$2:$AU$4001,$A71,TERSE!$AV$2:$AV$4001,$B71,TERSE!$AY$2:$AY$4001,"")</f>
        <v>0</v>
      </c>
      <c r="J71" s="7">
        <f t="shared" si="16"/>
        <v>0</v>
      </c>
      <c r="K71" s="16">
        <f>SUMIFS(TERSE!$AW$2:$AW$4001,TERSE!$AU$2:$AU$4001,$A71,TERSE!$AV$2:$AV$4001,$B71,TERSE!$AY$2:$AY$4001,"")</f>
        <v>0</v>
      </c>
      <c r="L71" s="13" t="s">
        <v>152</v>
      </c>
      <c r="M71" s="2" t="str">
        <f t="shared" si="17"/>
        <v>1 - Gasoline</v>
      </c>
      <c r="N71" s="2" t="str">
        <f>IF(OR($L71="",$M71="",$D71=0,$A71="FULTON (COLLEGE PARK)"),"",MAX(N$3:N70)+1)</f>
        <v/>
      </c>
    </row>
    <row r="72" spans="1:14" x14ac:dyDescent="0.25">
      <c r="A72" s="2" t="s">
        <v>278</v>
      </c>
      <c r="B72" s="2" t="s">
        <v>214</v>
      </c>
      <c r="C72" s="11">
        <v>0.03</v>
      </c>
      <c r="D72" s="15">
        <f t="shared" si="12"/>
        <v>0</v>
      </c>
      <c r="E72" s="15">
        <f>ROUND(SUMIFS(TERSE!$AX$2:$AX$4001,TERSE!$AU$2:$AU$4001,$A72,TERSE!$AV$2:$AV$4001,$B72,TERSE!$AY$2:$AY$4001,""),0)</f>
        <v>0</v>
      </c>
      <c r="F72" s="15">
        <f t="shared" si="13"/>
        <v>0</v>
      </c>
      <c r="G72" s="7">
        <f t="shared" si="14"/>
        <v>0</v>
      </c>
      <c r="H72" s="7">
        <f t="shared" si="15"/>
        <v>0</v>
      </c>
      <c r="I72" s="7">
        <f>SUMIFS(TERSE!$AB$2:$AB$4001,TERSE!$AU$2:$AU$4001,$A72,TERSE!$AV$2:$AV$4001,$B72,TERSE!$AY$2:$AY$4001,"")</f>
        <v>0</v>
      </c>
      <c r="J72" s="7">
        <f t="shared" si="16"/>
        <v>0</v>
      </c>
      <c r="K72" s="16">
        <f>SUMIFS(TERSE!$AW$2:$AW$4001,TERSE!$AU$2:$AU$4001,$A72,TERSE!$AV$2:$AV$4001,$B72,TERSE!$AY$2:$AY$4001,"")</f>
        <v>0</v>
      </c>
      <c r="L72" s="13" t="s">
        <v>154</v>
      </c>
      <c r="M72" s="2" t="str">
        <f t="shared" si="17"/>
        <v>2 - Diesel - Clear</v>
      </c>
      <c r="N72" s="2" t="str">
        <f>IF(OR($L72="",$M72="",$D72=0,$A72="FULTON (COLLEGE PARK)"),"",MAX(N$3:N71)+1)</f>
        <v/>
      </c>
    </row>
    <row r="73" spans="1:14" x14ac:dyDescent="0.25">
      <c r="A73" s="2" t="s">
        <v>278</v>
      </c>
      <c r="B73" s="2" t="s">
        <v>223</v>
      </c>
      <c r="C73" s="11">
        <v>0.03</v>
      </c>
      <c r="D73" s="15">
        <f t="shared" si="12"/>
        <v>0</v>
      </c>
      <c r="E73" s="15">
        <f>ROUND(SUMIFS(TERSE!$AX$2:$AX$4001,TERSE!$AU$2:$AU$4001,$A73,TERSE!$AV$2:$AV$4001,$B73,TERSE!$AY$2:$AY$4001,""),0)</f>
        <v>0</v>
      </c>
      <c r="F73" s="15">
        <f t="shared" si="13"/>
        <v>0</v>
      </c>
      <c r="G73" s="7">
        <f t="shared" si="14"/>
        <v>0</v>
      </c>
      <c r="H73" s="7">
        <f t="shared" si="15"/>
        <v>0</v>
      </c>
      <c r="I73" s="7">
        <f>SUMIFS(TERSE!$AB$2:$AB$4001,TERSE!$AU$2:$AU$4001,$A73,TERSE!$AV$2:$AV$4001,$B73,TERSE!$AY$2:$AY$4001,"")</f>
        <v>0</v>
      </c>
      <c r="J73" s="7">
        <f t="shared" si="16"/>
        <v>0</v>
      </c>
      <c r="K73" s="16">
        <f>SUMIFS(TERSE!$AW$2:$AW$4001,TERSE!$AU$2:$AU$4001,$A73,TERSE!$AV$2:$AV$4001,$B73,TERSE!$AY$2:$AY$4001,"")</f>
        <v>0</v>
      </c>
      <c r="L73" s="13" t="s">
        <v>154</v>
      </c>
      <c r="M73" s="2" t="str">
        <f t="shared" si="17"/>
        <v>1 - Gasoline</v>
      </c>
      <c r="N73" s="2" t="str">
        <f>IF(OR($L73="",$M73="",$D73=0,$A73="FULTON (COLLEGE PARK)"),"",MAX(N$3:N72)+1)</f>
        <v/>
      </c>
    </row>
    <row r="74" spans="1:14" x14ac:dyDescent="0.25">
      <c r="A74" s="2" t="s">
        <v>279</v>
      </c>
      <c r="B74" s="2" t="s">
        <v>214</v>
      </c>
      <c r="C74" s="11">
        <v>0.03</v>
      </c>
      <c r="D74" s="15">
        <f t="shared" si="12"/>
        <v>0</v>
      </c>
      <c r="E74" s="15">
        <f>ROUND(SUMIFS(TERSE!$AX$2:$AX$4001,TERSE!$AU$2:$AU$4001,$A74,TERSE!$AV$2:$AV$4001,$B74,TERSE!$AY$2:$AY$4001,""),0)</f>
        <v>0</v>
      </c>
      <c r="F74" s="15">
        <f t="shared" si="13"/>
        <v>0</v>
      </c>
      <c r="G74" s="7">
        <f t="shared" si="14"/>
        <v>0</v>
      </c>
      <c r="H74" s="7">
        <f t="shared" si="15"/>
        <v>0</v>
      </c>
      <c r="I74" s="7">
        <f>SUMIFS(TERSE!$AB$2:$AB$4001,TERSE!$AU$2:$AU$4001,$A74,TERSE!$AV$2:$AV$4001,$B74,TERSE!$AY$2:$AY$4001,"")</f>
        <v>0</v>
      </c>
      <c r="J74" s="7">
        <f t="shared" si="16"/>
        <v>0</v>
      </c>
      <c r="K74" s="16">
        <f>SUMIFS(TERSE!$AW$2:$AW$4001,TERSE!$AU$2:$AU$4001,$A74,TERSE!$AV$2:$AV$4001,$B74,TERSE!$AY$2:$AY$4001,"")</f>
        <v>0</v>
      </c>
      <c r="L74" s="13" t="s">
        <v>156</v>
      </c>
      <c r="M74" s="2" t="str">
        <f t="shared" si="17"/>
        <v>2 - Diesel - Clear</v>
      </c>
      <c r="N74" s="2" t="str">
        <f>IF(OR($L74="",$M74="",$D74=0,$A74="FULTON (COLLEGE PARK)"),"",MAX(N$3:N73)+1)</f>
        <v/>
      </c>
    </row>
    <row r="75" spans="1:14" x14ac:dyDescent="0.25">
      <c r="A75" s="2" t="s">
        <v>280</v>
      </c>
      <c r="B75" s="2" t="s">
        <v>214</v>
      </c>
      <c r="C75" s="11">
        <v>0.03</v>
      </c>
      <c r="D75" s="15">
        <f t="shared" si="12"/>
        <v>0</v>
      </c>
      <c r="E75" s="15">
        <f>ROUND(SUMIFS(TERSE!$AX$2:$AX$4001,TERSE!$AU$2:$AU$4001,$A75,TERSE!$AV$2:$AV$4001,$B75,TERSE!$AY$2:$AY$4001,""),0)</f>
        <v>0</v>
      </c>
      <c r="F75" s="15">
        <f t="shared" si="13"/>
        <v>0</v>
      </c>
      <c r="G75" s="7">
        <f t="shared" si="14"/>
        <v>0</v>
      </c>
      <c r="H75" s="7">
        <f t="shared" si="15"/>
        <v>0</v>
      </c>
      <c r="I75" s="7">
        <f>SUMIFS(TERSE!$AB$2:$AB$4001,TERSE!$AU$2:$AU$4001,$A75,TERSE!$AV$2:$AV$4001,$B75,TERSE!$AY$2:$AY$4001,"")</f>
        <v>0</v>
      </c>
      <c r="J75" s="7">
        <f t="shared" si="16"/>
        <v>0</v>
      </c>
      <c r="K75" s="16">
        <f>SUMIFS(TERSE!$AW$2:$AW$4001,TERSE!$AU$2:$AU$4001,$A75,TERSE!$AV$2:$AV$4001,$B75,TERSE!$AY$2:$AY$4001,"")</f>
        <v>0</v>
      </c>
      <c r="L75" s="13" t="s">
        <v>281</v>
      </c>
      <c r="M75" s="2" t="str">
        <f t="shared" si="17"/>
        <v>2 - Diesel - Clear</v>
      </c>
      <c r="N75" s="2" t="str">
        <f>IF(OR($L75="",$M75="",$D75=0,$A75="FULTON (COLLEGE PARK)"),"",MAX(N$3:N74)+1)</f>
        <v/>
      </c>
    </row>
    <row r="76" spans="1:14" x14ac:dyDescent="0.25">
      <c r="A76" s="2" t="s">
        <v>280</v>
      </c>
      <c r="B76" s="2" t="s">
        <v>223</v>
      </c>
      <c r="C76" s="11">
        <v>0.03</v>
      </c>
      <c r="D76" s="15">
        <f t="shared" si="12"/>
        <v>0</v>
      </c>
      <c r="E76" s="15">
        <f>ROUND(SUMIFS(TERSE!$AX$2:$AX$4001,TERSE!$AU$2:$AU$4001,$A76,TERSE!$AV$2:$AV$4001,$B76,TERSE!$AY$2:$AY$4001,""),0)</f>
        <v>0</v>
      </c>
      <c r="F76" s="15">
        <f t="shared" si="13"/>
        <v>0</v>
      </c>
      <c r="G76" s="7">
        <f t="shared" si="14"/>
        <v>0</v>
      </c>
      <c r="H76" s="7">
        <f t="shared" si="15"/>
        <v>0</v>
      </c>
      <c r="I76" s="7">
        <f>SUMIFS(TERSE!$AB$2:$AB$4001,TERSE!$AU$2:$AU$4001,$A76,TERSE!$AV$2:$AV$4001,$B76,TERSE!$AY$2:$AY$4001,"")</f>
        <v>0</v>
      </c>
      <c r="J76" s="7">
        <f t="shared" si="16"/>
        <v>0</v>
      </c>
      <c r="K76" s="16">
        <f>SUMIFS(TERSE!$AW$2:$AW$4001,TERSE!$AU$2:$AU$4001,$A76,TERSE!$AV$2:$AV$4001,$B76,TERSE!$AY$2:$AY$4001,"")</f>
        <v>0</v>
      </c>
      <c r="L76" s="13" t="s">
        <v>281</v>
      </c>
      <c r="M76" s="2" t="str">
        <f t="shared" si="17"/>
        <v>1 - Gasoline</v>
      </c>
      <c r="N76" s="2" t="str">
        <f>IF(OR($L76="",$M76="",$D76=0,$A76="FULTON (COLLEGE PARK)"),"",MAX(N$3:N75)+1)</f>
        <v/>
      </c>
    </row>
    <row r="77" spans="1:14" x14ac:dyDescent="0.25">
      <c r="A77" s="2" t="s">
        <v>282</v>
      </c>
      <c r="B77" s="2" t="s">
        <v>214</v>
      </c>
      <c r="C77" s="11">
        <v>4.4999999999999998E-2</v>
      </c>
      <c r="D77" s="15">
        <f t="shared" si="12"/>
        <v>0</v>
      </c>
      <c r="E77" s="15">
        <f>ROUND(SUMIFS(TERSE!$AX$2:$AX$4001,TERSE!$AU$2:$AU$4001,$A77,TERSE!$AV$2:$AV$4001,$B77,TERSE!$AY$2:$AY$4001,""),0)</f>
        <v>0</v>
      </c>
      <c r="F77" s="15">
        <f t="shared" si="13"/>
        <v>0</v>
      </c>
      <c r="G77" s="7">
        <f t="shared" si="14"/>
        <v>0</v>
      </c>
      <c r="H77" s="7">
        <f t="shared" si="15"/>
        <v>0</v>
      </c>
      <c r="I77" s="7">
        <f>SUMIFS(TERSE!$AB$2:$AB$4001,TERSE!$AU$2:$AU$4001,$A77,TERSE!$AV$2:$AV$4001,$B77,TERSE!$AY$2:$AY$4001,"")</f>
        <v>0</v>
      </c>
      <c r="J77" s="7">
        <f t="shared" si="16"/>
        <v>0</v>
      </c>
      <c r="K77" s="16">
        <f>SUMIFS(TERSE!$AW$2:$AW$4001,TERSE!$AU$2:$AU$4001,$A77,TERSE!$AV$2:$AV$4001,$B77,TERSE!$AY$2:$AY$4001,"")</f>
        <v>0</v>
      </c>
      <c r="L77" s="13" t="s">
        <v>158</v>
      </c>
      <c r="M77" s="2" t="str">
        <f t="shared" si="17"/>
        <v>2 - Diesel - Clear</v>
      </c>
      <c r="N77" s="2" t="str">
        <f>IF(OR($L77="",$M77="",$D77=0,$A77="FULTON (COLLEGE PARK)"),"",MAX(N$3:N76)+1)</f>
        <v/>
      </c>
    </row>
    <row r="78" spans="1:14" x14ac:dyDescent="0.25">
      <c r="A78" s="2" t="s">
        <v>282</v>
      </c>
      <c r="B78" s="2" t="s">
        <v>223</v>
      </c>
      <c r="C78" s="11">
        <v>4.4999999999999998E-2</v>
      </c>
      <c r="D78" s="15">
        <f t="shared" si="12"/>
        <v>0</v>
      </c>
      <c r="E78" s="15">
        <f>ROUND(SUMIFS(TERSE!$AX$2:$AX$4001,TERSE!$AU$2:$AU$4001,$A78,TERSE!$AV$2:$AV$4001,$B78,TERSE!$AY$2:$AY$4001,""),0)</f>
        <v>0</v>
      </c>
      <c r="F78" s="15">
        <f t="shared" si="13"/>
        <v>0</v>
      </c>
      <c r="G78" s="7">
        <f t="shared" si="14"/>
        <v>0</v>
      </c>
      <c r="H78" s="7">
        <f t="shared" si="15"/>
        <v>0</v>
      </c>
      <c r="I78" s="7">
        <f>SUMIFS(TERSE!$AB$2:$AB$4001,TERSE!$AU$2:$AU$4001,$A78,TERSE!$AV$2:$AV$4001,$B78,TERSE!$AY$2:$AY$4001,"")</f>
        <v>0</v>
      </c>
      <c r="J78" s="7">
        <f t="shared" si="16"/>
        <v>0</v>
      </c>
      <c r="K78" s="16">
        <f>SUMIFS(TERSE!$AW$2:$AW$4001,TERSE!$AU$2:$AU$4001,$A78,TERSE!$AV$2:$AV$4001,$B78,TERSE!$AY$2:$AY$4001,"")</f>
        <v>0</v>
      </c>
      <c r="L78" s="13" t="s">
        <v>158</v>
      </c>
      <c r="M78" s="2" t="str">
        <f t="shared" si="17"/>
        <v>1 - Gasoline</v>
      </c>
      <c r="N78" s="2" t="str">
        <f>IF(OR($L78="",$M78="",$D78=0,$A78="FULTON (COLLEGE PARK)"),"",MAX(N$3:N77)+1)</f>
        <v/>
      </c>
    </row>
    <row r="79" spans="1:14" x14ac:dyDescent="0.25">
      <c r="A79" s="2" t="s">
        <v>283</v>
      </c>
      <c r="B79" s="2" t="s">
        <v>214</v>
      </c>
      <c r="C79" s="11">
        <v>0.04</v>
      </c>
      <c r="D79" s="15">
        <f t="shared" si="12"/>
        <v>0</v>
      </c>
      <c r="E79" s="15">
        <f>ROUND(SUMIFS(TERSE!$AX$2:$AX$4001,TERSE!$AU$2:$AU$4001,$A79,TERSE!$AV$2:$AV$4001,$B79,TERSE!$AY$2:$AY$4001,""),0)</f>
        <v>0</v>
      </c>
      <c r="F79" s="15">
        <f t="shared" si="13"/>
        <v>0</v>
      </c>
      <c r="G79" s="7">
        <f t="shared" si="14"/>
        <v>0</v>
      </c>
      <c r="H79" s="7">
        <f t="shared" si="15"/>
        <v>0</v>
      </c>
      <c r="I79" s="7">
        <f>SUMIFS(TERSE!$AB$2:$AB$4001,TERSE!$AU$2:$AU$4001,$A79,TERSE!$AV$2:$AV$4001,$B79,TERSE!$AY$2:$AY$4001,"")</f>
        <v>0</v>
      </c>
      <c r="J79" s="7">
        <f t="shared" si="16"/>
        <v>0</v>
      </c>
      <c r="K79" s="16">
        <f>SUMIFS(TERSE!$AW$2:$AW$4001,TERSE!$AU$2:$AU$4001,$A79,TERSE!$AV$2:$AV$4001,$B79,TERSE!$AY$2:$AY$4001,"")</f>
        <v>0</v>
      </c>
      <c r="L79" s="13" t="s">
        <v>284</v>
      </c>
      <c r="M79" s="2" t="str">
        <f t="shared" si="17"/>
        <v>2 - Diesel - Clear</v>
      </c>
      <c r="N79" s="2" t="str">
        <f>IF(OR($L79="",$M79="",$D79=0,$A79="FULTON (COLLEGE PARK)"),"",MAX(N$3:N78)+1)</f>
        <v/>
      </c>
    </row>
    <row r="80" spans="1:14" x14ac:dyDescent="0.25">
      <c r="A80" s="2" t="s">
        <v>283</v>
      </c>
      <c r="B80" s="2" t="s">
        <v>223</v>
      </c>
      <c r="C80" s="11">
        <v>0.04</v>
      </c>
      <c r="D80" s="15">
        <f t="shared" si="12"/>
        <v>0</v>
      </c>
      <c r="E80" s="15">
        <f>ROUND(SUMIFS(TERSE!$AX$2:$AX$4001,TERSE!$AU$2:$AU$4001,$A80,TERSE!$AV$2:$AV$4001,$B80,TERSE!$AY$2:$AY$4001,""),0)</f>
        <v>0</v>
      </c>
      <c r="F80" s="15">
        <f t="shared" si="13"/>
        <v>0</v>
      </c>
      <c r="G80" s="7">
        <f t="shared" si="14"/>
        <v>0</v>
      </c>
      <c r="H80" s="7">
        <f t="shared" si="15"/>
        <v>0</v>
      </c>
      <c r="I80" s="7">
        <f>SUMIFS(TERSE!$AB$2:$AB$4001,TERSE!$AU$2:$AU$4001,$A80,TERSE!$AV$2:$AV$4001,$B80,TERSE!$AY$2:$AY$4001,"")</f>
        <v>0</v>
      </c>
      <c r="J80" s="7">
        <f t="shared" si="16"/>
        <v>0</v>
      </c>
      <c r="K80" s="16">
        <f>SUMIFS(TERSE!$AW$2:$AW$4001,TERSE!$AU$2:$AU$4001,$A80,TERSE!$AV$2:$AV$4001,$B80,TERSE!$AY$2:$AY$4001,"")</f>
        <v>0</v>
      </c>
      <c r="L80" s="13" t="s">
        <v>284</v>
      </c>
      <c r="M80" s="2" t="str">
        <f t="shared" si="17"/>
        <v>1 - Gasoline</v>
      </c>
      <c r="N80" s="2" t="str">
        <f>IF(OR($L80="",$M80="",$D80=0,$A80="FULTON (COLLEGE PARK)"),"",MAX(N$3:N79)+1)</f>
        <v/>
      </c>
    </row>
    <row r="81" spans="1:14" x14ac:dyDescent="0.25">
      <c r="A81" s="2" t="s">
        <v>285</v>
      </c>
      <c r="B81" s="2" t="s">
        <v>214</v>
      </c>
      <c r="C81" s="11">
        <v>0.03</v>
      </c>
      <c r="D81" s="15">
        <f t="shared" si="12"/>
        <v>0</v>
      </c>
      <c r="E81" s="15">
        <f>ROUND(SUMIFS(TERSE!$AX$2:$AX$4001,TERSE!$AU$2:$AU$4001,$A81,TERSE!$AV$2:$AV$4001,$B81,TERSE!$AY$2:$AY$4001,""),0)</f>
        <v>0</v>
      </c>
      <c r="F81" s="15">
        <f t="shared" si="13"/>
        <v>0</v>
      </c>
      <c r="G81" s="7">
        <f t="shared" si="14"/>
        <v>0</v>
      </c>
      <c r="H81" s="7">
        <f t="shared" si="15"/>
        <v>0</v>
      </c>
      <c r="I81" s="7">
        <f>SUMIFS(TERSE!$AB$2:$AB$4001,TERSE!$AU$2:$AU$4001,$A81,TERSE!$AV$2:$AV$4001,$B81,TERSE!$AY$2:$AY$4001,"")</f>
        <v>0</v>
      </c>
      <c r="J81" s="7">
        <f t="shared" si="16"/>
        <v>0</v>
      </c>
      <c r="K81" s="16">
        <f>SUMIFS(TERSE!$AW$2:$AW$4001,TERSE!$AU$2:$AU$4001,$A81,TERSE!$AV$2:$AV$4001,$B81,TERSE!$AY$2:$AY$4001,"")</f>
        <v>0</v>
      </c>
      <c r="L81" s="13" t="s">
        <v>160</v>
      </c>
      <c r="M81" s="2" t="str">
        <f t="shared" si="17"/>
        <v>2 - Diesel - Clear</v>
      </c>
      <c r="N81" s="2" t="str">
        <f>IF(OR($L81="",$M81="",$D81=0,$A81="FULTON (COLLEGE PARK)"),"",MAX(N$3:N80)+1)</f>
        <v/>
      </c>
    </row>
    <row r="82" spans="1:14" x14ac:dyDescent="0.25">
      <c r="A82" s="2" t="s">
        <v>285</v>
      </c>
      <c r="B82" s="2" t="s">
        <v>223</v>
      </c>
      <c r="C82" s="11">
        <v>0.03</v>
      </c>
      <c r="D82" s="15">
        <f t="shared" si="12"/>
        <v>0</v>
      </c>
      <c r="E82" s="15">
        <f>ROUND(SUMIFS(TERSE!$AX$2:$AX$4001,TERSE!$AU$2:$AU$4001,$A82,TERSE!$AV$2:$AV$4001,$B82,TERSE!$AY$2:$AY$4001,""),0)</f>
        <v>0</v>
      </c>
      <c r="F82" s="15">
        <f t="shared" si="13"/>
        <v>0</v>
      </c>
      <c r="G82" s="7">
        <f t="shared" si="14"/>
        <v>0</v>
      </c>
      <c r="H82" s="7">
        <f t="shared" si="15"/>
        <v>0</v>
      </c>
      <c r="I82" s="7">
        <f>SUMIFS(TERSE!$AB$2:$AB$4001,TERSE!$AU$2:$AU$4001,$A82,TERSE!$AV$2:$AV$4001,$B82,TERSE!$AY$2:$AY$4001,"")</f>
        <v>0</v>
      </c>
      <c r="J82" s="7">
        <f t="shared" si="16"/>
        <v>0</v>
      </c>
      <c r="K82" s="16">
        <f>SUMIFS(TERSE!$AW$2:$AW$4001,TERSE!$AU$2:$AU$4001,$A82,TERSE!$AV$2:$AV$4001,$B82,TERSE!$AY$2:$AY$4001,"")</f>
        <v>0</v>
      </c>
      <c r="L82" s="13" t="s">
        <v>160</v>
      </c>
      <c r="M82" s="2" t="str">
        <f t="shared" si="17"/>
        <v>1 - Gasoline</v>
      </c>
      <c r="N82" s="2" t="str">
        <f>IF(OR($L82="",$M82="",$D82=0,$A82="FULTON (COLLEGE PARK)"),"",MAX(N$3:N81)+1)</f>
        <v/>
      </c>
    </row>
    <row r="83" spans="1:14" x14ac:dyDescent="0.25">
      <c r="A83" s="2" t="s">
        <v>286</v>
      </c>
      <c r="B83" s="2" t="s">
        <v>214</v>
      </c>
      <c r="C83" s="11">
        <v>0.03</v>
      </c>
      <c r="D83" s="15">
        <f t="shared" si="12"/>
        <v>0</v>
      </c>
      <c r="E83" s="15">
        <f>ROUND(SUMIFS(TERSE!$AX$2:$AX$4001,TERSE!$AU$2:$AU$4001,$A83,TERSE!$AV$2:$AV$4001,$B83,TERSE!$AY$2:$AY$4001,""),0)</f>
        <v>0</v>
      </c>
      <c r="F83" s="15">
        <f t="shared" si="13"/>
        <v>0</v>
      </c>
      <c r="G83" s="7">
        <f t="shared" si="14"/>
        <v>0</v>
      </c>
      <c r="H83" s="7">
        <f t="shared" si="15"/>
        <v>0</v>
      </c>
      <c r="I83" s="7">
        <f>SUMIFS(TERSE!$AB$2:$AB$4001,TERSE!$AU$2:$AU$4001,$A83,TERSE!$AV$2:$AV$4001,$B83,TERSE!$AY$2:$AY$4001,"")</f>
        <v>0</v>
      </c>
      <c r="J83" s="7">
        <f t="shared" si="16"/>
        <v>0</v>
      </c>
      <c r="K83" s="16">
        <f>SUMIFS(TERSE!$AW$2:$AW$4001,TERSE!$AU$2:$AU$4001,$A83,TERSE!$AV$2:$AV$4001,$B83,TERSE!$AY$2:$AY$4001,"")</f>
        <v>0</v>
      </c>
      <c r="L83" s="13" t="s">
        <v>162</v>
      </c>
      <c r="M83" s="2" t="str">
        <f t="shared" si="17"/>
        <v>2 - Diesel - Clear</v>
      </c>
      <c r="N83" s="2" t="str">
        <f>IF(OR($L83="",$M83="",$D83=0,$A83="FULTON (COLLEGE PARK)"),"",MAX(N$3:N82)+1)</f>
        <v/>
      </c>
    </row>
    <row r="84" spans="1:14" x14ac:dyDescent="0.25">
      <c r="A84" s="2" t="s">
        <v>286</v>
      </c>
      <c r="B84" s="2" t="s">
        <v>223</v>
      </c>
      <c r="C84" s="11">
        <v>0.03</v>
      </c>
      <c r="D84" s="15">
        <f t="shared" si="12"/>
        <v>0</v>
      </c>
      <c r="E84" s="15">
        <f>ROUND(SUMIFS(TERSE!$AX$2:$AX$4001,TERSE!$AU$2:$AU$4001,$A84,TERSE!$AV$2:$AV$4001,$B84,TERSE!$AY$2:$AY$4001,""),0)</f>
        <v>0</v>
      </c>
      <c r="F84" s="15">
        <f t="shared" si="13"/>
        <v>0</v>
      </c>
      <c r="G84" s="7">
        <f t="shared" si="14"/>
        <v>0</v>
      </c>
      <c r="H84" s="7">
        <f t="shared" si="15"/>
        <v>0</v>
      </c>
      <c r="I84" s="7">
        <f>SUMIFS(TERSE!$AB$2:$AB$4001,TERSE!$AU$2:$AU$4001,$A84,TERSE!$AV$2:$AV$4001,$B84,TERSE!$AY$2:$AY$4001,"")</f>
        <v>0</v>
      </c>
      <c r="J84" s="7">
        <f t="shared" si="16"/>
        <v>0</v>
      </c>
      <c r="K84" s="16">
        <f>SUMIFS(TERSE!$AW$2:$AW$4001,TERSE!$AU$2:$AU$4001,$A84,TERSE!$AV$2:$AV$4001,$B84,TERSE!$AY$2:$AY$4001,"")</f>
        <v>0</v>
      </c>
      <c r="L84" s="13" t="s">
        <v>162</v>
      </c>
      <c r="M84" s="2" t="str">
        <f t="shared" si="17"/>
        <v>1 - Gasoline</v>
      </c>
      <c r="N84" s="2" t="str">
        <f>IF(OR($L84="",$M84="",$D84=0,$A84="FULTON (COLLEGE PARK)"),"",MAX(N$3:N83)+1)</f>
        <v/>
      </c>
    </row>
    <row r="85" spans="1:14" x14ac:dyDescent="0.25">
      <c r="A85" s="2" t="s">
        <v>287</v>
      </c>
      <c r="B85" s="2" t="s">
        <v>214</v>
      </c>
      <c r="C85" s="11">
        <v>0.04</v>
      </c>
      <c r="D85" s="15">
        <f t="shared" si="12"/>
        <v>0</v>
      </c>
      <c r="E85" s="15">
        <f>ROUND(SUMIFS(TERSE!$AX$2:$AX$4001,TERSE!$AU$2:$AU$4001,$A85,TERSE!$AV$2:$AV$4001,$B85,TERSE!$AY$2:$AY$4001,""),0)</f>
        <v>0</v>
      </c>
      <c r="F85" s="15">
        <f t="shared" si="13"/>
        <v>0</v>
      </c>
      <c r="G85" s="7">
        <f t="shared" si="14"/>
        <v>0</v>
      </c>
      <c r="H85" s="7">
        <f t="shared" si="15"/>
        <v>0</v>
      </c>
      <c r="I85" s="7">
        <f>SUMIFS(TERSE!$AB$2:$AB$4001,TERSE!$AU$2:$AU$4001,$A85,TERSE!$AV$2:$AV$4001,$B85,TERSE!$AY$2:$AY$4001,"")</f>
        <v>0</v>
      </c>
      <c r="J85" s="7">
        <f t="shared" si="16"/>
        <v>0</v>
      </c>
      <c r="K85" s="16">
        <f>SUMIFS(TERSE!$AW$2:$AW$4001,TERSE!$AU$2:$AU$4001,$A85,TERSE!$AV$2:$AV$4001,$B85,TERSE!$AY$2:$AY$4001,"")</f>
        <v>0</v>
      </c>
      <c r="L85" s="13" t="s">
        <v>164</v>
      </c>
      <c r="M85" s="2" t="str">
        <f t="shared" si="17"/>
        <v>2 - Diesel - Clear</v>
      </c>
      <c r="N85" s="2" t="str">
        <f>IF(OR($L85="",$M85="",$D85=0,$A85="FULTON (COLLEGE PARK)"),"",MAX(N$3:N84)+1)</f>
        <v/>
      </c>
    </row>
    <row r="86" spans="1:14" x14ac:dyDescent="0.25">
      <c r="A86" s="2" t="s">
        <v>287</v>
      </c>
      <c r="B86" s="2" t="s">
        <v>223</v>
      </c>
      <c r="C86" s="11">
        <v>0.04</v>
      </c>
      <c r="D86" s="15">
        <f t="shared" si="12"/>
        <v>0</v>
      </c>
      <c r="E86" s="15">
        <f>ROUND(SUMIFS(TERSE!$AX$2:$AX$4001,TERSE!$AU$2:$AU$4001,$A86,TERSE!$AV$2:$AV$4001,$B86,TERSE!$AY$2:$AY$4001,""),0)</f>
        <v>0</v>
      </c>
      <c r="F86" s="15">
        <f t="shared" si="13"/>
        <v>0</v>
      </c>
      <c r="G86" s="7">
        <f t="shared" si="14"/>
        <v>0</v>
      </c>
      <c r="H86" s="7">
        <f t="shared" si="15"/>
        <v>0</v>
      </c>
      <c r="I86" s="7">
        <f>SUMIFS(TERSE!$AB$2:$AB$4001,TERSE!$AU$2:$AU$4001,$A86,TERSE!$AV$2:$AV$4001,$B86,TERSE!$AY$2:$AY$4001,"")</f>
        <v>0</v>
      </c>
      <c r="J86" s="7">
        <f t="shared" si="16"/>
        <v>0</v>
      </c>
      <c r="K86" s="16">
        <f>SUMIFS(TERSE!$AW$2:$AW$4001,TERSE!$AU$2:$AU$4001,$A86,TERSE!$AV$2:$AV$4001,$B86,TERSE!$AY$2:$AY$4001,"")</f>
        <v>0</v>
      </c>
      <c r="L86" s="13" t="s">
        <v>164</v>
      </c>
      <c r="M86" s="2" t="str">
        <f t="shared" si="17"/>
        <v>1 - Gasoline</v>
      </c>
      <c r="N86" s="2" t="str">
        <f>IF(OR($L86="",$M86="",$D86=0,$A86="FULTON (COLLEGE PARK)"),"",MAX(N$3:N85)+1)</f>
        <v/>
      </c>
    </row>
    <row r="87" spans="1:14" x14ac:dyDescent="0.25">
      <c r="A87" s="2" t="s">
        <v>288</v>
      </c>
      <c r="B87" s="2" t="s">
        <v>214</v>
      </c>
      <c r="C87" s="11">
        <v>0.03</v>
      </c>
      <c r="D87" s="15">
        <f t="shared" si="12"/>
        <v>0</v>
      </c>
      <c r="E87" s="15">
        <f>ROUND(SUMIFS(TERSE!$AX$2:$AX$4001,TERSE!$AU$2:$AU$4001,$A87,TERSE!$AV$2:$AV$4001,$B87,TERSE!$AY$2:$AY$4001,""),0)</f>
        <v>0</v>
      </c>
      <c r="F87" s="15">
        <f t="shared" si="13"/>
        <v>0</v>
      </c>
      <c r="G87" s="7">
        <f t="shared" si="14"/>
        <v>0</v>
      </c>
      <c r="H87" s="7">
        <f t="shared" si="15"/>
        <v>0</v>
      </c>
      <c r="I87" s="7">
        <f>SUMIFS(TERSE!$AB$2:$AB$4001,TERSE!$AU$2:$AU$4001,$A87,TERSE!$AV$2:$AV$4001,$B87,TERSE!$AY$2:$AY$4001,"")</f>
        <v>0</v>
      </c>
      <c r="J87" s="7">
        <f t="shared" si="16"/>
        <v>0</v>
      </c>
      <c r="K87" s="16">
        <f>SUMIFS(TERSE!$AW$2:$AW$4001,TERSE!$AU$2:$AU$4001,$A87,TERSE!$AV$2:$AV$4001,$B87,TERSE!$AY$2:$AY$4001,"")</f>
        <v>0</v>
      </c>
      <c r="L87" s="13" t="s">
        <v>289</v>
      </c>
      <c r="M87" s="2" t="str">
        <f t="shared" si="17"/>
        <v>2 - Diesel - Clear</v>
      </c>
      <c r="N87" s="2" t="str">
        <f>IF(OR($L87="",$M87="",$D87=0,$A87="FULTON (COLLEGE PARK)"),"",MAX(N$3:N86)+1)</f>
        <v/>
      </c>
    </row>
    <row r="88" spans="1:14" x14ac:dyDescent="0.25">
      <c r="A88" s="2" t="s">
        <v>290</v>
      </c>
      <c r="B88" s="2" t="s">
        <v>214</v>
      </c>
      <c r="C88" s="11">
        <v>0.02</v>
      </c>
      <c r="D88" s="15">
        <f t="shared" si="12"/>
        <v>0</v>
      </c>
      <c r="E88" s="15">
        <f>ROUND(SUMIFS(TERSE!$AX$2:$AX$4001,TERSE!$AU$2:$AU$4001,$A88,TERSE!$AV$2:$AV$4001,$B88,TERSE!$AY$2:$AY$4001,""),0)</f>
        <v>0</v>
      </c>
      <c r="F88" s="15">
        <f t="shared" si="13"/>
        <v>0</v>
      </c>
      <c r="G88" s="7">
        <f t="shared" si="14"/>
        <v>0</v>
      </c>
      <c r="H88" s="7">
        <f t="shared" si="15"/>
        <v>0</v>
      </c>
      <c r="I88" s="7">
        <f>SUMIFS(TERSE!$AB$2:$AB$4001,TERSE!$AU$2:$AU$4001,$A88,TERSE!$AV$2:$AV$4001,$B88,TERSE!$AY$2:$AY$4001,"")</f>
        <v>0</v>
      </c>
      <c r="J88" s="7">
        <f t="shared" si="16"/>
        <v>0</v>
      </c>
      <c r="K88" s="16">
        <f>SUMIFS(TERSE!$AW$2:$AW$4001,TERSE!$AU$2:$AU$4001,$A88,TERSE!$AV$2:$AV$4001,$B88,TERSE!$AY$2:$AY$4001,"")</f>
        <v>0</v>
      </c>
      <c r="L88" s="13" t="s">
        <v>166</v>
      </c>
      <c r="M88" s="2" t="str">
        <f t="shared" si="17"/>
        <v>2 - Diesel - Clear</v>
      </c>
      <c r="N88" s="2" t="str">
        <f>IF(OR($L88="",$M88="",$D88=0,$A88="FULTON (COLLEGE PARK)"),"",MAX(N$3:N87)+1)</f>
        <v/>
      </c>
    </row>
    <row r="89" spans="1:14" x14ac:dyDescent="0.25">
      <c r="A89" s="2" t="s">
        <v>290</v>
      </c>
      <c r="B89" s="2" t="s">
        <v>223</v>
      </c>
      <c r="C89" s="11">
        <v>0.02</v>
      </c>
      <c r="D89" s="15">
        <f t="shared" si="12"/>
        <v>0</v>
      </c>
      <c r="E89" s="15">
        <f>ROUND(SUMIFS(TERSE!$AX$2:$AX$4001,TERSE!$AU$2:$AU$4001,$A89,TERSE!$AV$2:$AV$4001,$B89,TERSE!$AY$2:$AY$4001,""),0)</f>
        <v>0</v>
      </c>
      <c r="F89" s="15">
        <f t="shared" si="13"/>
        <v>0</v>
      </c>
      <c r="G89" s="7">
        <f t="shared" si="14"/>
        <v>0</v>
      </c>
      <c r="H89" s="7">
        <f t="shared" si="15"/>
        <v>0</v>
      </c>
      <c r="I89" s="7">
        <f>SUMIFS(TERSE!$AB$2:$AB$4001,TERSE!$AU$2:$AU$4001,$A89,TERSE!$AV$2:$AV$4001,$B89,TERSE!$AY$2:$AY$4001,"")</f>
        <v>0</v>
      </c>
      <c r="J89" s="7">
        <f t="shared" si="16"/>
        <v>0</v>
      </c>
      <c r="K89" s="16">
        <f>SUMIFS(TERSE!$AW$2:$AW$4001,TERSE!$AU$2:$AU$4001,$A89,TERSE!$AV$2:$AV$4001,$B89,TERSE!$AY$2:$AY$4001,"")</f>
        <v>0</v>
      </c>
      <c r="L89" s="13" t="s">
        <v>166</v>
      </c>
      <c r="M89" s="2" t="str">
        <f t="shared" si="17"/>
        <v>1 - Gasoline</v>
      </c>
      <c r="N89" s="2" t="str">
        <f>IF(OR($L89="",$M89="",$D89=0,$A89="FULTON (COLLEGE PARK)"),"",MAX(N$3:N88)+1)</f>
        <v/>
      </c>
    </row>
    <row r="90" spans="1:14" x14ac:dyDescent="0.25">
      <c r="A90" s="2" t="s">
        <v>291</v>
      </c>
      <c r="B90" s="2" t="s">
        <v>214</v>
      </c>
      <c r="C90" s="11">
        <v>0.03</v>
      </c>
      <c r="D90" s="15">
        <f t="shared" si="12"/>
        <v>0</v>
      </c>
      <c r="E90" s="15">
        <f>ROUND(SUMIFS(TERSE!$AX$2:$AX$4001,TERSE!$AU$2:$AU$4001,$A90,TERSE!$AV$2:$AV$4001,$B90,TERSE!$AY$2:$AY$4001,""),0)</f>
        <v>0</v>
      </c>
      <c r="F90" s="15">
        <f t="shared" si="13"/>
        <v>0</v>
      </c>
      <c r="G90" s="7">
        <f t="shared" si="14"/>
        <v>0</v>
      </c>
      <c r="H90" s="7">
        <f t="shared" si="15"/>
        <v>0</v>
      </c>
      <c r="I90" s="7">
        <f>SUMIFS(TERSE!$AB$2:$AB$4001,TERSE!$AU$2:$AU$4001,$A90,TERSE!$AV$2:$AV$4001,$B90,TERSE!$AY$2:$AY$4001,"")</f>
        <v>0</v>
      </c>
      <c r="J90" s="7">
        <f t="shared" si="16"/>
        <v>0</v>
      </c>
      <c r="K90" s="16">
        <f>SUMIFS(TERSE!$AW$2:$AW$4001,TERSE!$AU$2:$AU$4001,$A90,TERSE!$AV$2:$AV$4001,$B90,TERSE!$AY$2:$AY$4001,"")</f>
        <v>0</v>
      </c>
      <c r="L90" s="13" t="s">
        <v>292</v>
      </c>
      <c r="M90" s="2" t="str">
        <f t="shared" si="17"/>
        <v>2 - Diesel - Clear</v>
      </c>
      <c r="N90" s="2" t="str">
        <f>IF(OR($L90="",$M90="",$D90=0,$A90="FULTON (COLLEGE PARK)"),"",MAX(N$3:N89)+1)</f>
        <v/>
      </c>
    </row>
    <row r="91" spans="1:14" x14ac:dyDescent="0.25">
      <c r="A91" s="2" t="s">
        <v>293</v>
      </c>
      <c r="B91" s="2" t="s">
        <v>214</v>
      </c>
      <c r="C91" s="11">
        <v>0.03</v>
      </c>
      <c r="D91" s="15">
        <f t="shared" si="12"/>
        <v>0</v>
      </c>
      <c r="E91" s="15">
        <f>ROUND(SUMIFS(TERSE!$AX$2:$AX$4001,TERSE!$AU$2:$AU$4001,$A91,TERSE!$AV$2:$AV$4001,$B91,TERSE!$AY$2:$AY$4001,""),0)</f>
        <v>0</v>
      </c>
      <c r="F91" s="15">
        <f t="shared" si="13"/>
        <v>0</v>
      </c>
      <c r="G91" s="7">
        <f t="shared" si="14"/>
        <v>0</v>
      </c>
      <c r="H91" s="7">
        <f t="shared" si="15"/>
        <v>0</v>
      </c>
      <c r="I91" s="7">
        <f>SUMIFS(TERSE!$AB$2:$AB$4001,TERSE!$AU$2:$AU$4001,$A91,TERSE!$AV$2:$AV$4001,$B91,TERSE!$AY$2:$AY$4001,"")</f>
        <v>0</v>
      </c>
      <c r="J91" s="7">
        <f t="shared" si="16"/>
        <v>0</v>
      </c>
      <c r="K91" s="16">
        <f>SUMIFS(TERSE!$AW$2:$AW$4001,TERSE!$AU$2:$AU$4001,$A91,TERSE!$AV$2:$AV$4001,$B91,TERSE!$AY$2:$AY$4001,"")</f>
        <v>0</v>
      </c>
      <c r="L91" s="13" t="s">
        <v>168</v>
      </c>
      <c r="M91" s="2" t="str">
        <f t="shared" si="17"/>
        <v>2 - Diesel - Clear</v>
      </c>
      <c r="N91" s="2" t="str">
        <f>IF(OR($L91="",$M91="",$D91=0,$A91="FULTON (COLLEGE PARK)"),"",MAX(N$3:N90)+1)</f>
        <v/>
      </c>
    </row>
    <row r="92" spans="1:14" x14ac:dyDescent="0.25">
      <c r="A92" s="2" t="s">
        <v>294</v>
      </c>
      <c r="B92" s="2" t="s">
        <v>214</v>
      </c>
      <c r="C92" s="11">
        <v>0.03</v>
      </c>
      <c r="D92" s="15">
        <f t="shared" si="12"/>
        <v>0</v>
      </c>
      <c r="E92" s="15">
        <f>ROUND(SUMIFS(TERSE!$AX$2:$AX$4001,TERSE!$AU$2:$AU$4001,$A92,TERSE!$AV$2:$AV$4001,$B92,TERSE!$AY$2:$AY$4001,""),0)</f>
        <v>0</v>
      </c>
      <c r="F92" s="15">
        <f t="shared" si="13"/>
        <v>0</v>
      </c>
      <c r="G92" s="7">
        <f t="shared" si="14"/>
        <v>0</v>
      </c>
      <c r="H92" s="7">
        <f t="shared" si="15"/>
        <v>0</v>
      </c>
      <c r="I92" s="7">
        <f>SUMIFS(TERSE!$AB$2:$AB$4001,TERSE!$AU$2:$AU$4001,$A92,TERSE!$AV$2:$AV$4001,$B92,TERSE!$AY$2:$AY$4001,"")</f>
        <v>0</v>
      </c>
      <c r="J92" s="7">
        <f t="shared" si="16"/>
        <v>0</v>
      </c>
      <c r="K92" s="16">
        <f>SUMIFS(TERSE!$AW$2:$AW$4001,TERSE!$AU$2:$AU$4001,$A92,TERSE!$AV$2:$AV$4001,$B92,TERSE!$AY$2:$AY$4001,"")</f>
        <v>0</v>
      </c>
      <c r="L92" s="13" t="s">
        <v>295</v>
      </c>
      <c r="M92" s="2" t="str">
        <f t="shared" si="17"/>
        <v>2 - Diesel - Clear</v>
      </c>
      <c r="N92" s="2" t="str">
        <f>IF(OR($L92="",$M92="",$D92=0,$A92="FULTON (COLLEGE PARK)"),"",MAX(N$3:N91)+1)</f>
        <v/>
      </c>
    </row>
    <row r="93" spans="1:14" x14ac:dyDescent="0.25">
      <c r="A93" s="2" t="s">
        <v>294</v>
      </c>
      <c r="B93" s="2" t="s">
        <v>223</v>
      </c>
      <c r="C93" s="11">
        <v>0.03</v>
      </c>
      <c r="D93" s="15">
        <f t="shared" si="12"/>
        <v>0</v>
      </c>
      <c r="E93" s="15">
        <f>ROUND(SUMIFS(TERSE!$AX$2:$AX$4001,TERSE!$AU$2:$AU$4001,$A93,TERSE!$AV$2:$AV$4001,$B93,TERSE!$AY$2:$AY$4001,""),0)</f>
        <v>0</v>
      </c>
      <c r="F93" s="15">
        <f t="shared" si="13"/>
        <v>0</v>
      </c>
      <c r="G93" s="7">
        <f t="shared" si="14"/>
        <v>0</v>
      </c>
      <c r="H93" s="7">
        <f t="shared" si="15"/>
        <v>0</v>
      </c>
      <c r="I93" s="7">
        <f>SUMIFS(TERSE!$AB$2:$AB$4001,TERSE!$AU$2:$AU$4001,$A93,TERSE!$AV$2:$AV$4001,$B93,TERSE!$AY$2:$AY$4001,"")</f>
        <v>0</v>
      </c>
      <c r="J93" s="7">
        <f t="shared" si="16"/>
        <v>0</v>
      </c>
      <c r="K93" s="16">
        <f>SUMIFS(TERSE!$AW$2:$AW$4001,TERSE!$AU$2:$AU$4001,$A93,TERSE!$AV$2:$AV$4001,$B93,TERSE!$AY$2:$AY$4001,"")</f>
        <v>0</v>
      </c>
      <c r="L93" s="13" t="s">
        <v>295</v>
      </c>
      <c r="M93" s="2" t="str">
        <f t="shared" si="17"/>
        <v>1 - Gasoline</v>
      </c>
      <c r="N93" s="2" t="str">
        <f>IF(OR($L93="",$M93="",$D93=0,$A93="FULTON (COLLEGE PARK)"),"",MAX(N$3:N92)+1)</f>
        <v/>
      </c>
    </row>
    <row r="94" spans="1:14" x14ac:dyDescent="0.25">
      <c r="A94" s="2" t="s">
        <v>296</v>
      </c>
      <c r="B94" s="2" t="s">
        <v>223</v>
      </c>
      <c r="C94" s="11">
        <v>0.03</v>
      </c>
      <c r="D94" s="15">
        <f t="shared" si="12"/>
        <v>0</v>
      </c>
      <c r="E94" s="15">
        <f>ROUND(SUMIFS(TERSE!$AX$2:$AX$4001,TERSE!$AU$2:$AU$4001,$A94,TERSE!$AV$2:$AV$4001,$B94,TERSE!$AY$2:$AY$4001,""),0)</f>
        <v>0</v>
      </c>
      <c r="F94" s="15">
        <f t="shared" si="13"/>
        <v>0</v>
      </c>
      <c r="G94" s="7">
        <f t="shared" si="14"/>
        <v>0</v>
      </c>
      <c r="H94" s="7">
        <f t="shared" si="15"/>
        <v>0</v>
      </c>
      <c r="I94" s="7">
        <f>SUMIFS(TERSE!$AB$2:$AB$4001,TERSE!$AU$2:$AU$4001,$A94,TERSE!$AV$2:$AV$4001,$B94,TERSE!$AY$2:$AY$4001,"")</f>
        <v>0</v>
      </c>
      <c r="J94" s="7">
        <f t="shared" si="16"/>
        <v>0</v>
      </c>
      <c r="K94" s="16">
        <f>SUMIFS(TERSE!$AW$2:$AW$4001,TERSE!$AU$2:$AU$4001,$A94,TERSE!$AV$2:$AV$4001,$B94,TERSE!$AY$2:$AY$4001,"")</f>
        <v>0</v>
      </c>
      <c r="L94" s="13" t="s">
        <v>297</v>
      </c>
      <c r="M94" s="2" t="str">
        <f t="shared" si="17"/>
        <v>1 - Gasoline</v>
      </c>
      <c r="N94" s="2" t="str">
        <f>IF(OR($L94="",$M94="",$D94=0,$A94="FULTON (COLLEGE PARK)"),"",MAX(N$3:N93)+1)</f>
        <v/>
      </c>
    </row>
    <row r="95" spans="1:14" x14ac:dyDescent="0.25">
      <c r="A95" s="2" t="s">
        <v>298</v>
      </c>
      <c r="B95" s="2" t="s">
        <v>214</v>
      </c>
      <c r="C95" s="11">
        <v>0.03</v>
      </c>
      <c r="D95" s="15">
        <f t="shared" si="12"/>
        <v>0</v>
      </c>
      <c r="E95" s="15">
        <f>ROUND(SUMIFS(TERSE!$AX$2:$AX$4001,TERSE!$AU$2:$AU$4001,$A95,TERSE!$AV$2:$AV$4001,$B95,TERSE!$AY$2:$AY$4001,""),0)</f>
        <v>0</v>
      </c>
      <c r="F95" s="15">
        <f t="shared" si="13"/>
        <v>0</v>
      </c>
      <c r="G95" s="7">
        <f t="shared" si="14"/>
        <v>0</v>
      </c>
      <c r="H95" s="7">
        <f t="shared" si="15"/>
        <v>0</v>
      </c>
      <c r="I95" s="7">
        <f>SUMIFS(TERSE!$AB$2:$AB$4001,TERSE!$AU$2:$AU$4001,$A95,TERSE!$AV$2:$AV$4001,$B95,TERSE!$AY$2:$AY$4001,"")</f>
        <v>0</v>
      </c>
      <c r="J95" s="7">
        <f t="shared" si="16"/>
        <v>0</v>
      </c>
      <c r="K95" s="16">
        <f>SUMIFS(TERSE!$AW$2:$AW$4001,TERSE!$AU$2:$AU$4001,$A95,TERSE!$AV$2:$AV$4001,$B95,TERSE!$AY$2:$AY$4001,"")</f>
        <v>0</v>
      </c>
      <c r="L95" s="13" t="s">
        <v>299</v>
      </c>
      <c r="M95" s="2" t="str">
        <f t="shared" si="17"/>
        <v>2 - Diesel - Clear</v>
      </c>
      <c r="N95" s="2" t="str">
        <f>IF(OR($L95="",$M95="",$D95=0,$A95="FULTON (COLLEGE PARK)"),"",MAX(N$3:N94)+1)</f>
        <v/>
      </c>
    </row>
    <row r="96" spans="1:14" x14ac:dyDescent="0.25">
      <c r="A96" s="2" t="s">
        <v>300</v>
      </c>
      <c r="B96" s="2" t="s">
        <v>214</v>
      </c>
      <c r="C96" s="11">
        <v>0.03</v>
      </c>
      <c r="D96" s="15">
        <f t="shared" si="12"/>
        <v>0</v>
      </c>
      <c r="E96" s="15">
        <f>ROUND(SUMIFS(TERSE!$AX$2:$AX$4001,TERSE!$AU$2:$AU$4001,$A96,TERSE!$AV$2:$AV$4001,$B96,TERSE!$AY$2:$AY$4001,""),0)</f>
        <v>0</v>
      </c>
      <c r="F96" s="15">
        <f t="shared" si="13"/>
        <v>0</v>
      </c>
      <c r="G96" s="7">
        <f t="shared" si="14"/>
        <v>0</v>
      </c>
      <c r="H96" s="7">
        <f t="shared" si="15"/>
        <v>0</v>
      </c>
      <c r="I96" s="7">
        <f>SUMIFS(TERSE!$AB$2:$AB$4001,TERSE!$AU$2:$AU$4001,$A96,TERSE!$AV$2:$AV$4001,$B96,TERSE!$AY$2:$AY$4001,"")</f>
        <v>0</v>
      </c>
      <c r="J96" s="7">
        <f t="shared" si="16"/>
        <v>0</v>
      </c>
      <c r="K96" s="16">
        <f>SUMIFS(TERSE!$AW$2:$AW$4001,TERSE!$AU$2:$AU$4001,$A96,TERSE!$AV$2:$AV$4001,$B96,TERSE!$AY$2:$AY$4001,"")</f>
        <v>0</v>
      </c>
      <c r="L96" s="13" t="s">
        <v>301</v>
      </c>
      <c r="M96" s="2" t="str">
        <f t="shared" si="17"/>
        <v>2 - Diesel - Clear</v>
      </c>
      <c r="N96" s="2" t="str">
        <f>IF(OR($L96="",$M96="",$D96=0,$A96="FULTON (COLLEGE PARK)"),"",MAX(N$3:N95)+1)</f>
        <v/>
      </c>
    </row>
    <row r="97" spans="1:14" x14ac:dyDescent="0.25">
      <c r="A97" s="2" t="s">
        <v>302</v>
      </c>
      <c r="B97" s="2" t="s">
        <v>214</v>
      </c>
      <c r="C97" s="11">
        <v>0.03</v>
      </c>
      <c r="D97" s="15">
        <f t="shared" si="12"/>
        <v>0</v>
      </c>
      <c r="E97" s="15">
        <f>ROUND(SUMIFS(TERSE!$AX$2:$AX$4001,TERSE!$AU$2:$AU$4001,$A97,TERSE!$AV$2:$AV$4001,$B97,TERSE!$AY$2:$AY$4001,""),0)</f>
        <v>0</v>
      </c>
      <c r="F97" s="15">
        <f t="shared" si="13"/>
        <v>0</v>
      </c>
      <c r="G97" s="7">
        <f t="shared" si="14"/>
        <v>0</v>
      </c>
      <c r="H97" s="7">
        <f t="shared" si="15"/>
        <v>0</v>
      </c>
      <c r="I97" s="7">
        <f>SUMIFS(TERSE!$AB$2:$AB$4001,TERSE!$AU$2:$AU$4001,$A97,TERSE!$AV$2:$AV$4001,$B97,TERSE!$AY$2:$AY$4001,"")</f>
        <v>0</v>
      </c>
      <c r="J97" s="7">
        <f t="shared" si="16"/>
        <v>0</v>
      </c>
      <c r="K97" s="16">
        <f>SUMIFS(TERSE!$AW$2:$AW$4001,TERSE!$AU$2:$AU$4001,$A97,TERSE!$AV$2:$AV$4001,$B97,TERSE!$AY$2:$AY$4001,"")</f>
        <v>0</v>
      </c>
      <c r="L97" s="13" t="s">
        <v>303</v>
      </c>
      <c r="M97" s="2" t="str">
        <f t="shared" si="17"/>
        <v>2 - Diesel - Clear</v>
      </c>
      <c r="N97" s="2" t="str">
        <f>IF(OR($L97="",$M97="",$D97=0,$A97="FULTON (COLLEGE PARK)"),"",MAX(N$3:N96)+1)</f>
        <v/>
      </c>
    </row>
    <row r="98" spans="1:14" x14ac:dyDescent="0.25">
      <c r="A98" s="2" t="s">
        <v>302</v>
      </c>
      <c r="B98" s="2" t="s">
        <v>223</v>
      </c>
      <c r="C98" s="11">
        <v>0.03</v>
      </c>
      <c r="D98" s="15">
        <f t="shared" si="12"/>
        <v>0</v>
      </c>
      <c r="E98" s="15">
        <f>ROUND(SUMIFS(TERSE!$AX$2:$AX$4001,TERSE!$AU$2:$AU$4001,$A98,TERSE!$AV$2:$AV$4001,$B98,TERSE!$AY$2:$AY$4001,""),0)</f>
        <v>0</v>
      </c>
      <c r="F98" s="15">
        <f t="shared" si="13"/>
        <v>0</v>
      </c>
      <c r="G98" s="7">
        <f t="shared" si="14"/>
        <v>0</v>
      </c>
      <c r="H98" s="7">
        <f t="shared" si="15"/>
        <v>0</v>
      </c>
      <c r="I98" s="7">
        <f>SUMIFS(TERSE!$AB$2:$AB$4001,TERSE!$AU$2:$AU$4001,$A98,TERSE!$AV$2:$AV$4001,$B98,TERSE!$AY$2:$AY$4001,"")</f>
        <v>0</v>
      </c>
      <c r="J98" s="7">
        <f t="shared" si="16"/>
        <v>0</v>
      </c>
      <c r="K98" s="16">
        <f>SUMIFS(TERSE!$AW$2:$AW$4001,TERSE!$AU$2:$AU$4001,$A98,TERSE!$AV$2:$AV$4001,$B98,TERSE!$AY$2:$AY$4001,"")</f>
        <v>0</v>
      </c>
      <c r="L98" s="13" t="s">
        <v>303</v>
      </c>
      <c r="M98" s="2" t="str">
        <f t="shared" si="17"/>
        <v>1 - Gasoline</v>
      </c>
      <c r="N98" s="2" t="str">
        <f>IF(OR($L98="",$M98="",$D98=0,$A98="FULTON (COLLEGE PARK)"),"",MAX(N$3:N97)+1)</f>
        <v/>
      </c>
    </row>
    <row r="99" spans="1:14" x14ac:dyDescent="0.25">
      <c r="A99" s="2" t="s">
        <v>304</v>
      </c>
      <c r="B99" s="2" t="s">
        <v>214</v>
      </c>
      <c r="C99" s="11">
        <v>0.03</v>
      </c>
      <c r="D99" s="15">
        <f t="shared" si="12"/>
        <v>0</v>
      </c>
      <c r="E99" s="15">
        <f>ROUND(SUMIFS(TERSE!$AX$2:$AX$4001,TERSE!$AU$2:$AU$4001,$A99,TERSE!$AV$2:$AV$4001,$B99,TERSE!$AY$2:$AY$4001,""),0)</f>
        <v>0</v>
      </c>
      <c r="F99" s="15">
        <f t="shared" si="13"/>
        <v>0</v>
      </c>
      <c r="G99" s="7">
        <f t="shared" si="14"/>
        <v>0</v>
      </c>
      <c r="H99" s="7">
        <f t="shared" si="15"/>
        <v>0</v>
      </c>
      <c r="I99" s="7">
        <f>SUMIFS(TERSE!$AB$2:$AB$4001,TERSE!$AU$2:$AU$4001,$A99,TERSE!$AV$2:$AV$4001,$B99,TERSE!$AY$2:$AY$4001,"")</f>
        <v>0</v>
      </c>
      <c r="J99" s="7">
        <f t="shared" si="16"/>
        <v>0</v>
      </c>
      <c r="K99" s="16">
        <f>SUMIFS(TERSE!$AW$2:$AW$4001,TERSE!$AU$2:$AU$4001,$A99,TERSE!$AV$2:$AV$4001,$B99,TERSE!$AY$2:$AY$4001,"")</f>
        <v>0</v>
      </c>
      <c r="L99" s="13" t="s">
        <v>305</v>
      </c>
      <c r="M99" s="2" t="str">
        <f t="shared" si="17"/>
        <v>2 - Diesel - Clear</v>
      </c>
      <c r="N99" s="2" t="str">
        <f>IF(OR($L99="",$M99="",$D99=0,$A99="FULTON (COLLEGE PARK)"),"",MAX(N$3:N98)+1)</f>
        <v/>
      </c>
    </row>
    <row r="100" spans="1:14" x14ac:dyDescent="0.25">
      <c r="A100" s="2" t="s">
        <v>304</v>
      </c>
      <c r="B100" s="2" t="s">
        <v>223</v>
      </c>
      <c r="C100" s="11">
        <v>0.03</v>
      </c>
      <c r="D100" s="15">
        <f t="shared" ref="D100:D131" si="18">ROUND(K100,0)</f>
        <v>0</v>
      </c>
      <c r="E100" s="15">
        <f>ROUND(SUMIFS(TERSE!$AX$2:$AX$4001,TERSE!$AU$2:$AU$4001,$A100,TERSE!$AV$2:$AV$4001,$B100,TERSE!$AY$2:$AY$4001,""),0)</f>
        <v>0</v>
      </c>
      <c r="F100" s="15">
        <f t="shared" ref="F100:F131" si="19">D100-E100</f>
        <v>0</v>
      </c>
      <c r="G100" s="7">
        <f t="shared" ref="G100:G131" si="20">F100*IF($B100="Diesel",$C$2,$F$2)</f>
        <v>0</v>
      </c>
      <c r="H100" s="7">
        <f t="shared" ref="H100:H131" si="21">G100*C100</f>
        <v>0</v>
      </c>
      <c r="I100" s="7">
        <f>SUMIFS(TERSE!$AB$2:$AB$4001,TERSE!$AU$2:$AU$4001,$A100,TERSE!$AV$2:$AV$4001,$B100,TERSE!$AY$2:$AY$4001,"")</f>
        <v>0</v>
      </c>
      <c r="J100" s="7">
        <f t="shared" ref="J100:J131" si="22">I100-H100</f>
        <v>0</v>
      </c>
      <c r="K100" s="16">
        <f>SUMIFS(TERSE!$AW$2:$AW$4001,TERSE!$AU$2:$AU$4001,$A100,TERSE!$AV$2:$AV$4001,$B100,TERSE!$AY$2:$AY$4001,"")</f>
        <v>0</v>
      </c>
      <c r="L100" s="13" t="s">
        <v>305</v>
      </c>
      <c r="M100" s="2" t="str">
        <f t="shared" ref="M100:M131" si="23">IF($B100="Diesel","2 - Diesel - Clear",IF($B100="Gas","1 - Gasoline",""))</f>
        <v>1 - Gasoline</v>
      </c>
      <c r="N100" s="2" t="str">
        <f>IF(OR($L100="",$M100="",$D100=0,$A100="FULTON (COLLEGE PARK)"),"",MAX(N$3:N99)+1)</f>
        <v/>
      </c>
    </row>
    <row r="101" spans="1:14" x14ac:dyDescent="0.25">
      <c r="A101" s="2" t="s">
        <v>306</v>
      </c>
      <c r="B101" s="2" t="s">
        <v>214</v>
      </c>
      <c r="C101" s="11">
        <v>0.03</v>
      </c>
      <c r="D101" s="15">
        <f t="shared" si="18"/>
        <v>0</v>
      </c>
      <c r="E101" s="15">
        <f>ROUND(SUMIFS(TERSE!$AX$2:$AX$4001,TERSE!$AU$2:$AU$4001,$A101,TERSE!$AV$2:$AV$4001,$B101,TERSE!$AY$2:$AY$4001,""),0)</f>
        <v>0</v>
      </c>
      <c r="F101" s="15">
        <f t="shared" si="19"/>
        <v>0</v>
      </c>
      <c r="G101" s="7">
        <f t="shared" si="20"/>
        <v>0</v>
      </c>
      <c r="H101" s="7">
        <f t="shared" si="21"/>
        <v>0</v>
      </c>
      <c r="I101" s="7">
        <f>SUMIFS(TERSE!$AB$2:$AB$4001,TERSE!$AU$2:$AU$4001,$A101,TERSE!$AV$2:$AV$4001,$B101,TERSE!$AY$2:$AY$4001,"")</f>
        <v>0</v>
      </c>
      <c r="J101" s="7">
        <f t="shared" si="22"/>
        <v>0</v>
      </c>
      <c r="K101" s="16">
        <f>SUMIFS(TERSE!$AW$2:$AW$4001,TERSE!$AU$2:$AU$4001,$A101,TERSE!$AV$2:$AV$4001,$B101,TERSE!$AY$2:$AY$4001,"")</f>
        <v>0</v>
      </c>
      <c r="L101" s="13" t="s">
        <v>170</v>
      </c>
      <c r="M101" s="2" t="str">
        <f t="shared" si="23"/>
        <v>2 - Diesel - Clear</v>
      </c>
      <c r="N101" s="2" t="str">
        <f>IF(OR($L101="",$M101="",$D101=0,$A101="FULTON (COLLEGE PARK)"),"",MAX(N$3:N100)+1)</f>
        <v/>
      </c>
    </row>
    <row r="102" spans="1:14" x14ac:dyDescent="0.25">
      <c r="A102" s="2" t="s">
        <v>306</v>
      </c>
      <c r="B102" s="2" t="s">
        <v>223</v>
      </c>
      <c r="C102" s="11">
        <v>0.03</v>
      </c>
      <c r="D102" s="15">
        <f t="shared" si="18"/>
        <v>0</v>
      </c>
      <c r="E102" s="15">
        <f>ROUND(SUMIFS(TERSE!$AX$2:$AX$4001,TERSE!$AU$2:$AU$4001,$A102,TERSE!$AV$2:$AV$4001,$B102,TERSE!$AY$2:$AY$4001,""),0)</f>
        <v>0</v>
      </c>
      <c r="F102" s="15">
        <f t="shared" si="19"/>
        <v>0</v>
      </c>
      <c r="G102" s="7">
        <f t="shared" si="20"/>
        <v>0</v>
      </c>
      <c r="H102" s="7">
        <f t="shared" si="21"/>
        <v>0</v>
      </c>
      <c r="I102" s="7">
        <f>SUMIFS(TERSE!$AB$2:$AB$4001,TERSE!$AU$2:$AU$4001,$A102,TERSE!$AV$2:$AV$4001,$B102,TERSE!$AY$2:$AY$4001,"")</f>
        <v>0</v>
      </c>
      <c r="J102" s="7">
        <f t="shared" si="22"/>
        <v>0</v>
      </c>
      <c r="K102" s="16">
        <f>SUMIFS(TERSE!$AW$2:$AW$4001,TERSE!$AU$2:$AU$4001,$A102,TERSE!$AV$2:$AV$4001,$B102,TERSE!$AY$2:$AY$4001,"")</f>
        <v>0</v>
      </c>
      <c r="L102" s="13" t="s">
        <v>170</v>
      </c>
      <c r="M102" s="2" t="str">
        <f t="shared" si="23"/>
        <v>1 - Gasoline</v>
      </c>
      <c r="N102" s="2" t="str">
        <f>IF(OR($L102="",$M102="",$D102=0,$A102="FULTON (COLLEGE PARK)"),"",MAX(N$3:N101)+1)</f>
        <v/>
      </c>
    </row>
    <row r="103" spans="1:14" x14ac:dyDescent="0.25">
      <c r="A103" s="2" t="s">
        <v>307</v>
      </c>
      <c r="B103" s="2" t="s">
        <v>214</v>
      </c>
      <c r="C103" s="11">
        <v>0.04</v>
      </c>
      <c r="D103" s="15">
        <f t="shared" si="18"/>
        <v>0</v>
      </c>
      <c r="E103" s="15">
        <f>ROUND(SUMIFS(TERSE!$AX$2:$AX$4001,TERSE!$AU$2:$AU$4001,$A103,TERSE!$AV$2:$AV$4001,$B103,TERSE!$AY$2:$AY$4001,""),0)</f>
        <v>0</v>
      </c>
      <c r="F103" s="15">
        <f t="shared" si="19"/>
        <v>0</v>
      </c>
      <c r="G103" s="7">
        <f t="shared" si="20"/>
        <v>0</v>
      </c>
      <c r="H103" s="7">
        <f t="shared" si="21"/>
        <v>0</v>
      </c>
      <c r="I103" s="7">
        <f>SUMIFS(TERSE!$AB$2:$AB$4001,TERSE!$AU$2:$AU$4001,$A103,TERSE!$AV$2:$AV$4001,$B103,TERSE!$AY$2:$AY$4001,"")</f>
        <v>0</v>
      </c>
      <c r="J103" s="7">
        <f t="shared" si="22"/>
        <v>0</v>
      </c>
      <c r="K103" s="16">
        <f>SUMIFS(TERSE!$AW$2:$AW$4001,TERSE!$AU$2:$AU$4001,$A103,TERSE!$AV$2:$AV$4001,$B103,TERSE!$AY$2:$AY$4001,"")</f>
        <v>0</v>
      </c>
      <c r="L103" s="13" t="s">
        <v>308</v>
      </c>
      <c r="M103" s="2" t="str">
        <f t="shared" si="23"/>
        <v>2 - Diesel - Clear</v>
      </c>
      <c r="N103" s="2" t="str">
        <f>IF(OR($L103="",$M103="",$D103=0,$A103="FULTON (COLLEGE PARK)"),"",MAX(N$3:N102)+1)</f>
        <v/>
      </c>
    </row>
    <row r="104" spans="1:14" x14ac:dyDescent="0.25">
      <c r="A104" s="2" t="s">
        <v>309</v>
      </c>
      <c r="B104" s="2" t="s">
        <v>214</v>
      </c>
      <c r="C104" s="11">
        <v>0.03</v>
      </c>
      <c r="D104" s="15">
        <f t="shared" si="18"/>
        <v>0</v>
      </c>
      <c r="E104" s="15">
        <f>ROUND(SUMIFS(TERSE!$AX$2:$AX$4001,TERSE!$AU$2:$AU$4001,$A104,TERSE!$AV$2:$AV$4001,$B104,TERSE!$AY$2:$AY$4001,""),0)</f>
        <v>0</v>
      </c>
      <c r="F104" s="15">
        <f t="shared" si="19"/>
        <v>0</v>
      </c>
      <c r="G104" s="7">
        <f t="shared" si="20"/>
        <v>0</v>
      </c>
      <c r="H104" s="7">
        <f t="shared" si="21"/>
        <v>0</v>
      </c>
      <c r="I104" s="7">
        <f>SUMIFS(TERSE!$AB$2:$AB$4001,TERSE!$AU$2:$AU$4001,$A104,TERSE!$AV$2:$AV$4001,$B104,TERSE!$AY$2:$AY$4001,"")</f>
        <v>0</v>
      </c>
      <c r="J104" s="7">
        <f t="shared" si="22"/>
        <v>0</v>
      </c>
      <c r="K104" s="16">
        <f>SUMIFS(TERSE!$AW$2:$AW$4001,TERSE!$AU$2:$AU$4001,$A104,TERSE!$AV$2:$AV$4001,$B104,TERSE!$AY$2:$AY$4001,"")</f>
        <v>0</v>
      </c>
      <c r="L104" s="13" t="s">
        <v>310</v>
      </c>
      <c r="M104" s="2" t="str">
        <f t="shared" si="23"/>
        <v>2 - Diesel - Clear</v>
      </c>
      <c r="N104" s="2" t="str">
        <f>IF(OR($L104="",$M104="",$D104=0,$A104="FULTON (COLLEGE PARK)"),"",MAX(N$3:N103)+1)</f>
        <v/>
      </c>
    </row>
    <row r="105" spans="1:14" x14ac:dyDescent="0.25">
      <c r="A105" s="2" t="s">
        <v>311</v>
      </c>
      <c r="B105" s="2" t="s">
        <v>214</v>
      </c>
      <c r="C105" s="11">
        <v>0.03</v>
      </c>
      <c r="D105" s="15">
        <f t="shared" si="18"/>
        <v>0</v>
      </c>
      <c r="E105" s="15">
        <f>ROUND(SUMIFS(TERSE!$AX$2:$AX$4001,TERSE!$AU$2:$AU$4001,$A105,TERSE!$AV$2:$AV$4001,$B105,TERSE!$AY$2:$AY$4001,""),0)</f>
        <v>0</v>
      </c>
      <c r="F105" s="15">
        <f t="shared" si="19"/>
        <v>0</v>
      </c>
      <c r="G105" s="7">
        <f t="shared" si="20"/>
        <v>0</v>
      </c>
      <c r="H105" s="7">
        <f t="shared" si="21"/>
        <v>0</v>
      </c>
      <c r="I105" s="7">
        <f>SUMIFS(TERSE!$AB$2:$AB$4001,TERSE!$AU$2:$AU$4001,$A105,TERSE!$AV$2:$AV$4001,$B105,TERSE!$AY$2:$AY$4001,"")</f>
        <v>0</v>
      </c>
      <c r="J105" s="7">
        <f t="shared" si="22"/>
        <v>0</v>
      </c>
      <c r="K105" s="16">
        <f>SUMIFS(TERSE!$AW$2:$AW$4001,TERSE!$AU$2:$AU$4001,$A105,TERSE!$AV$2:$AV$4001,$B105,TERSE!$AY$2:$AY$4001,"")</f>
        <v>0</v>
      </c>
      <c r="L105" s="13" t="s">
        <v>312</v>
      </c>
      <c r="M105" s="2" t="str">
        <f t="shared" si="23"/>
        <v>2 - Diesel - Clear</v>
      </c>
      <c r="N105" s="2" t="str">
        <f>IF(OR($L105="",$M105="",$D105=0,$A105="FULTON (COLLEGE PARK)"),"",MAX(N$3:N104)+1)</f>
        <v/>
      </c>
    </row>
    <row r="106" spans="1:14" x14ac:dyDescent="0.25">
      <c r="A106" s="2" t="s">
        <v>313</v>
      </c>
      <c r="B106" s="2" t="s">
        <v>214</v>
      </c>
      <c r="C106" s="11">
        <v>0.03</v>
      </c>
      <c r="D106" s="15">
        <f t="shared" si="18"/>
        <v>0</v>
      </c>
      <c r="E106" s="15">
        <f>ROUND(SUMIFS(TERSE!$AX$2:$AX$4001,TERSE!$AU$2:$AU$4001,$A106,TERSE!$AV$2:$AV$4001,$B106,TERSE!$AY$2:$AY$4001,""),0)</f>
        <v>0</v>
      </c>
      <c r="F106" s="15">
        <f t="shared" si="19"/>
        <v>0</v>
      </c>
      <c r="G106" s="7">
        <f t="shared" si="20"/>
        <v>0</v>
      </c>
      <c r="H106" s="7">
        <f t="shared" si="21"/>
        <v>0</v>
      </c>
      <c r="I106" s="7">
        <f>SUMIFS(TERSE!$AB$2:$AB$4001,TERSE!$AU$2:$AU$4001,$A106,TERSE!$AV$2:$AV$4001,$B106,TERSE!$AY$2:$AY$4001,"")</f>
        <v>0</v>
      </c>
      <c r="J106" s="7">
        <f t="shared" si="22"/>
        <v>0</v>
      </c>
      <c r="K106" s="16">
        <f>SUMIFS(TERSE!$AW$2:$AW$4001,TERSE!$AU$2:$AU$4001,$A106,TERSE!$AV$2:$AV$4001,$B106,TERSE!$AY$2:$AY$4001,"")</f>
        <v>0</v>
      </c>
      <c r="L106" s="13" t="s">
        <v>314</v>
      </c>
      <c r="M106" s="2" t="str">
        <f t="shared" si="23"/>
        <v>2 - Diesel - Clear</v>
      </c>
      <c r="N106" s="2" t="str">
        <f>IF(OR($L106="",$M106="",$D106=0,$A106="FULTON (COLLEGE PARK)"),"",MAX(N$3:N105)+1)</f>
        <v/>
      </c>
    </row>
    <row r="107" spans="1:14" x14ac:dyDescent="0.25">
      <c r="A107" s="2" t="s">
        <v>313</v>
      </c>
      <c r="B107" s="2" t="s">
        <v>223</v>
      </c>
      <c r="C107" s="11">
        <v>0.03</v>
      </c>
      <c r="D107" s="15">
        <f t="shared" si="18"/>
        <v>0</v>
      </c>
      <c r="E107" s="15">
        <f>ROUND(SUMIFS(TERSE!$AX$2:$AX$4001,TERSE!$AU$2:$AU$4001,$A107,TERSE!$AV$2:$AV$4001,$B107,TERSE!$AY$2:$AY$4001,""),0)</f>
        <v>0</v>
      </c>
      <c r="F107" s="15">
        <f t="shared" si="19"/>
        <v>0</v>
      </c>
      <c r="G107" s="7">
        <f t="shared" si="20"/>
        <v>0</v>
      </c>
      <c r="H107" s="7">
        <f t="shared" si="21"/>
        <v>0</v>
      </c>
      <c r="I107" s="7">
        <f>SUMIFS(TERSE!$AB$2:$AB$4001,TERSE!$AU$2:$AU$4001,$A107,TERSE!$AV$2:$AV$4001,$B107,TERSE!$AY$2:$AY$4001,"")</f>
        <v>0</v>
      </c>
      <c r="J107" s="7">
        <f t="shared" si="22"/>
        <v>0</v>
      </c>
      <c r="K107" s="16">
        <f>SUMIFS(TERSE!$AW$2:$AW$4001,TERSE!$AU$2:$AU$4001,$A107,TERSE!$AV$2:$AV$4001,$B107,TERSE!$AY$2:$AY$4001,"")</f>
        <v>0</v>
      </c>
      <c r="L107" s="13" t="s">
        <v>314</v>
      </c>
      <c r="M107" s="2" t="str">
        <f t="shared" si="23"/>
        <v>1 - Gasoline</v>
      </c>
      <c r="N107" s="2" t="str">
        <f>IF(OR($L107="",$M107="",$D107=0,$A107="FULTON (COLLEGE PARK)"),"",MAX(N$3:N106)+1)</f>
        <v/>
      </c>
    </row>
    <row r="108" spans="1:14" x14ac:dyDescent="0.25">
      <c r="A108" s="2" t="s">
        <v>315</v>
      </c>
      <c r="B108" s="2" t="s">
        <v>223</v>
      </c>
      <c r="C108" s="11">
        <v>0.03</v>
      </c>
      <c r="D108" s="15">
        <f t="shared" si="18"/>
        <v>0</v>
      </c>
      <c r="E108" s="15">
        <f>ROUND(SUMIFS(TERSE!$AX$2:$AX$4001,TERSE!$AU$2:$AU$4001,$A108,TERSE!$AV$2:$AV$4001,$B108,TERSE!$AY$2:$AY$4001,""),0)</f>
        <v>0</v>
      </c>
      <c r="F108" s="15">
        <f t="shared" si="19"/>
        <v>0</v>
      </c>
      <c r="G108" s="7">
        <f t="shared" si="20"/>
        <v>0</v>
      </c>
      <c r="H108" s="7">
        <f t="shared" si="21"/>
        <v>0</v>
      </c>
      <c r="I108" s="7">
        <f>SUMIFS(TERSE!$AB$2:$AB$4001,TERSE!$AU$2:$AU$4001,$A108,TERSE!$AV$2:$AV$4001,$B108,TERSE!$AY$2:$AY$4001,"")</f>
        <v>0</v>
      </c>
      <c r="J108" s="7">
        <f t="shared" si="22"/>
        <v>0</v>
      </c>
      <c r="K108" s="16">
        <f>SUMIFS(TERSE!$AW$2:$AW$4001,TERSE!$AU$2:$AU$4001,$A108,TERSE!$AV$2:$AV$4001,$B108,TERSE!$AY$2:$AY$4001,"")</f>
        <v>0</v>
      </c>
      <c r="L108" s="13" t="s">
        <v>316</v>
      </c>
      <c r="M108" s="2" t="str">
        <f t="shared" si="23"/>
        <v>1 - Gasoline</v>
      </c>
      <c r="N108" s="2" t="str">
        <f>IF(OR($L108="",$M108="",$D108=0,$A108="FULTON (COLLEGE PARK)"),"",MAX(N$3:N107)+1)</f>
        <v/>
      </c>
    </row>
    <row r="109" spans="1:14" x14ac:dyDescent="0.25">
      <c r="A109" s="2" t="s">
        <v>317</v>
      </c>
      <c r="B109" s="2" t="s">
        <v>223</v>
      </c>
      <c r="C109" s="11">
        <v>0.03</v>
      </c>
      <c r="D109" s="15">
        <f t="shared" si="18"/>
        <v>0</v>
      </c>
      <c r="E109" s="15">
        <f>ROUND(SUMIFS(TERSE!$AX$2:$AX$4001,TERSE!$AU$2:$AU$4001,$A109,TERSE!$AV$2:$AV$4001,$B109,TERSE!$AY$2:$AY$4001,""),0)</f>
        <v>0</v>
      </c>
      <c r="F109" s="15">
        <f t="shared" si="19"/>
        <v>0</v>
      </c>
      <c r="G109" s="7">
        <f t="shared" si="20"/>
        <v>0</v>
      </c>
      <c r="H109" s="7">
        <f t="shared" si="21"/>
        <v>0</v>
      </c>
      <c r="I109" s="7">
        <f>SUMIFS(TERSE!$AB$2:$AB$4001,TERSE!$AU$2:$AU$4001,$A109,TERSE!$AV$2:$AV$4001,$B109,TERSE!$AY$2:$AY$4001,"")</f>
        <v>0</v>
      </c>
      <c r="J109" s="7">
        <f t="shared" si="22"/>
        <v>0</v>
      </c>
      <c r="K109" s="16">
        <f>SUMIFS(TERSE!$AW$2:$AW$4001,TERSE!$AU$2:$AU$4001,$A109,TERSE!$AV$2:$AV$4001,$B109,TERSE!$AY$2:$AY$4001,"")</f>
        <v>0</v>
      </c>
      <c r="L109" s="13" t="s">
        <v>318</v>
      </c>
      <c r="M109" s="2" t="str">
        <f t="shared" si="23"/>
        <v>1 - Gasoline</v>
      </c>
      <c r="N109" s="2" t="str">
        <f>IF(OR($L109="",$M109="",$D109=0,$A109="FULTON (COLLEGE PARK)"),"",MAX(N$3:N108)+1)</f>
        <v/>
      </c>
    </row>
    <row r="110" spans="1:14" x14ac:dyDescent="0.25">
      <c r="A110" s="2" t="s">
        <v>319</v>
      </c>
      <c r="B110" s="2" t="s">
        <v>214</v>
      </c>
      <c r="C110" s="11">
        <v>0.04</v>
      </c>
      <c r="D110" s="15">
        <f t="shared" si="18"/>
        <v>0</v>
      </c>
      <c r="E110" s="15">
        <f>ROUND(SUMIFS(TERSE!$AX$2:$AX$4001,TERSE!$AU$2:$AU$4001,$A110,TERSE!$AV$2:$AV$4001,$B110,TERSE!$AY$2:$AY$4001,""),0)</f>
        <v>0</v>
      </c>
      <c r="F110" s="15">
        <f t="shared" si="19"/>
        <v>0</v>
      </c>
      <c r="G110" s="7">
        <f t="shared" si="20"/>
        <v>0</v>
      </c>
      <c r="H110" s="7">
        <f t="shared" si="21"/>
        <v>0</v>
      </c>
      <c r="I110" s="7">
        <f>SUMIFS(TERSE!$AB$2:$AB$4001,TERSE!$AU$2:$AU$4001,$A110,TERSE!$AV$2:$AV$4001,$B110,TERSE!$AY$2:$AY$4001,"")</f>
        <v>0</v>
      </c>
      <c r="J110" s="7">
        <f t="shared" si="22"/>
        <v>0</v>
      </c>
      <c r="K110" s="16">
        <f>SUMIFS(TERSE!$AW$2:$AW$4001,TERSE!$AU$2:$AU$4001,$A110,TERSE!$AV$2:$AV$4001,$B110,TERSE!$AY$2:$AY$4001,"")</f>
        <v>0</v>
      </c>
      <c r="L110" s="13" t="s">
        <v>320</v>
      </c>
      <c r="M110" s="2" t="str">
        <f t="shared" si="23"/>
        <v>2 - Diesel - Clear</v>
      </c>
      <c r="N110" s="2" t="str">
        <f>IF(OR($L110="",$M110="",$D110=0,$A110="FULTON (COLLEGE PARK)"),"",MAX(N$3:N109)+1)</f>
        <v/>
      </c>
    </row>
    <row r="111" spans="1:14" x14ac:dyDescent="0.25">
      <c r="A111" s="2" t="s">
        <v>319</v>
      </c>
      <c r="B111" s="2" t="s">
        <v>223</v>
      </c>
      <c r="C111" s="11">
        <v>0.04</v>
      </c>
      <c r="D111" s="15">
        <f t="shared" si="18"/>
        <v>0</v>
      </c>
      <c r="E111" s="15">
        <f>ROUND(SUMIFS(TERSE!$AX$2:$AX$4001,TERSE!$AU$2:$AU$4001,$A111,TERSE!$AV$2:$AV$4001,$B111,TERSE!$AY$2:$AY$4001,""),0)</f>
        <v>0</v>
      </c>
      <c r="F111" s="15">
        <f t="shared" si="19"/>
        <v>0</v>
      </c>
      <c r="G111" s="7">
        <f t="shared" si="20"/>
        <v>0</v>
      </c>
      <c r="H111" s="7">
        <f t="shared" si="21"/>
        <v>0</v>
      </c>
      <c r="I111" s="7">
        <f>SUMIFS(TERSE!$AB$2:$AB$4001,TERSE!$AU$2:$AU$4001,$A111,TERSE!$AV$2:$AV$4001,$B111,TERSE!$AY$2:$AY$4001,"")</f>
        <v>0</v>
      </c>
      <c r="J111" s="7">
        <f t="shared" si="22"/>
        <v>0</v>
      </c>
      <c r="K111" s="16">
        <f>SUMIFS(TERSE!$AW$2:$AW$4001,TERSE!$AU$2:$AU$4001,$A111,TERSE!$AV$2:$AV$4001,$B111,TERSE!$AY$2:$AY$4001,"")</f>
        <v>0</v>
      </c>
      <c r="L111" s="13" t="s">
        <v>320</v>
      </c>
      <c r="M111" s="2" t="str">
        <f t="shared" si="23"/>
        <v>1 - Gasoline</v>
      </c>
      <c r="N111" s="2" t="str">
        <f>IF(OR($L111="",$M111="",$D111=0,$A111="FULTON (COLLEGE PARK)"),"",MAX(N$3:N110)+1)</f>
        <v/>
      </c>
    </row>
    <row r="112" spans="1:14" x14ac:dyDescent="0.25">
      <c r="A112" s="2" t="s">
        <v>321</v>
      </c>
      <c r="B112" s="2" t="s">
        <v>214</v>
      </c>
      <c r="C112" s="11">
        <v>0.03</v>
      </c>
      <c r="D112" s="15">
        <f t="shared" si="18"/>
        <v>0</v>
      </c>
      <c r="E112" s="15">
        <f>ROUND(SUMIFS(TERSE!$AX$2:$AX$4001,TERSE!$AU$2:$AU$4001,$A112,TERSE!$AV$2:$AV$4001,$B112,TERSE!$AY$2:$AY$4001,""),0)</f>
        <v>0</v>
      </c>
      <c r="F112" s="15">
        <f t="shared" si="19"/>
        <v>0</v>
      </c>
      <c r="G112" s="7">
        <f t="shared" si="20"/>
        <v>0</v>
      </c>
      <c r="H112" s="7">
        <f t="shared" si="21"/>
        <v>0</v>
      </c>
      <c r="I112" s="7">
        <f>SUMIFS(TERSE!$AB$2:$AB$4001,TERSE!$AU$2:$AU$4001,$A112,TERSE!$AV$2:$AV$4001,$B112,TERSE!$AY$2:$AY$4001,"")</f>
        <v>0</v>
      </c>
      <c r="J112" s="7">
        <f t="shared" si="22"/>
        <v>0</v>
      </c>
      <c r="K112" s="16">
        <f>SUMIFS(TERSE!$AW$2:$AW$4001,TERSE!$AU$2:$AU$4001,$A112,TERSE!$AV$2:$AV$4001,$B112,TERSE!$AY$2:$AY$4001,"")</f>
        <v>0</v>
      </c>
      <c r="L112" s="13" t="s">
        <v>172</v>
      </c>
      <c r="M112" s="2" t="str">
        <f t="shared" si="23"/>
        <v>2 - Diesel - Clear</v>
      </c>
      <c r="N112" s="2" t="str">
        <f>IF(OR($L112="",$M112="",$D112=0,$A112="FULTON (COLLEGE PARK)"),"",MAX(N$3:N111)+1)</f>
        <v/>
      </c>
    </row>
    <row r="113" spans="1:14" x14ac:dyDescent="0.25">
      <c r="A113" s="2" t="s">
        <v>321</v>
      </c>
      <c r="B113" s="2" t="s">
        <v>223</v>
      </c>
      <c r="C113" s="11">
        <v>0.03</v>
      </c>
      <c r="D113" s="15">
        <f t="shared" si="18"/>
        <v>0</v>
      </c>
      <c r="E113" s="15">
        <f>ROUND(SUMIFS(TERSE!$AX$2:$AX$4001,TERSE!$AU$2:$AU$4001,$A113,TERSE!$AV$2:$AV$4001,$B113,TERSE!$AY$2:$AY$4001,""),0)</f>
        <v>0</v>
      </c>
      <c r="F113" s="15">
        <f t="shared" si="19"/>
        <v>0</v>
      </c>
      <c r="G113" s="7">
        <f t="shared" si="20"/>
        <v>0</v>
      </c>
      <c r="H113" s="7">
        <f t="shared" si="21"/>
        <v>0</v>
      </c>
      <c r="I113" s="7">
        <f>SUMIFS(TERSE!$AB$2:$AB$4001,TERSE!$AU$2:$AU$4001,$A113,TERSE!$AV$2:$AV$4001,$B113,TERSE!$AY$2:$AY$4001,"")</f>
        <v>0</v>
      </c>
      <c r="J113" s="7">
        <f t="shared" si="22"/>
        <v>0</v>
      </c>
      <c r="K113" s="16">
        <f>SUMIFS(TERSE!$AW$2:$AW$4001,TERSE!$AU$2:$AU$4001,$A113,TERSE!$AV$2:$AV$4001,$B113,TERSE!$AY$2:$AY$4001,"")</f>
        <v>0</v>
      </c>
      <c r="L113" s="13" t="s">
        <v>172</v>
      </c>
      <c r="M113" s="2" t="str">
        <f t="shared" si="23"/>
        <v>1 - Gasoline</v>
      </c>
      <c r="N113" s="2" t="str">
        <f>IF(OR($L113="",$M113="",$D113=0,$A113="FULTON (COLLEGE PARK)"),"",MAX(N$3:N112)+1)</f>
        <v/>
      </c>
    </row>
    <row r="114" spans="1:14" x14ac:dyDescent="0.25">
      <c r="A114" s="2" t="s">
        <v>322</v>
      </c>
      <c r="B114" s="2" t="s">
        <v>214</v>
      </c>
      <c r="C114" s="11">
        <v>0.03</v>
      </c>
      <c r="D114" s="15">
        <f t="shared" si="18"/>
        <v>0</v>
      </c>
      <c r="E114" s="15">
        <f>ROUND(SUMIFS(TERSE!$AX$2:$AX$4001,TERSE!$AU$2:$AU$4001,$A114,TERSE!$AV$2:$AV$4001,$B114,TERSE!$AY$2:$AY$4001,""),0)</f>
        <v>0</v>
      </c>
      <c r="F114" s="15">
        <f t="shared" si="19"/>
        <v>0</v>
      </c>
      <c r="G114" s="7">
        <f t="shared" si="20"/>
        <v>0</v>
      </c>
      <c r="H114" s="7">
        <f t="shared" si="21"/>
        <v>0</v>
      </c>
      <c r="I114" s="7">
        <f>SUMIFS(TERSE!$AB$2:$AB$4001,TERSE!$AU$2:$AU$4001,$A114,TERSE!$AV$2:$AV$4001,$B114,TERSE!$AY$2:$AY$4001,"")</f>
        <v>0</v>
      </c>
      <c r="J114" s="7">
        <f t="shared" si="22"/>
        <v>0</v>
      </c>
      <c r="K114" s="16">
        <f>SUMIFS(TERSE!$AW$2:$AW$4001,TERSE!$AU$2:$AU$4001,$A114,TERSE!$AV$2:$AV$4001,$B114,TERSE!$AY$2:$AY$4001,"")</f>
        <v>0</v>
      </c>
      <c r="L114" s="13" t="s">
        <v>323</v>
      </c>
      <c r="M114" s="2" t="str">
        <f t="shared" si="23"/>
        <v>2 - Diesel - Clear</v>
      </c>
      <c r="N114" s="2" t="str">
        <f>IF(OR($L114="",$M114="",$D114=0,$A114="FULTON (COLLEGE PARK)"),"",MAX(N$3:N113)+1)</f>
        <v/>
      </c>
    </row>
    <row r="115" spans="1:14" x14ac:dyDescent="0.25">
      <c r="A115" s="2" t="s">
        <v>322</v>
      </c>
      <c r="B115" s="2" t="s">
        <v>223</v>
      </c>
      <c r="C115" s="11">
        <v>0.03</v>
      </c>
      <c r="D115" s="15">
        <f t="shared" si="18"/>
        <v>0</v>
      </c>
      <c r="E115" s="15">
        <f>ROUND(SUMIFS(TERSE!$AX$2:$AX$4001,TERSE!$AU$2:$AU$4001,$A115,TERSE!$AV$2:$AV$4001,$B115,TERSE!$AY$2:$AY$4001,""),0)</f>
        <v>0</v>
      </c>
      <c r="F115" s="15">
        <f t="shared" si="19"/>
        <v>0</v>
      </c>
      <c r="G115" s="7">
        <f t="shared" si="20"/>
        <v>0</v>
      </c>
      <c r="H115" s="7">
        <f t="shared" si="21"/>
        <v>0</v>
      </c>
      <c r="I115" s="7">
        <f>SUMIFS(TERSE!$AB$2:$AB$4001,TERSE!$AU$2:$AU$4001,$A115,TERSE!$AV$2:$AV$4001,$B115,TERSE!$AY$2:$AY$4001,"")</f>
        <v>0</v>
      </c>
      <c r="J115" s="7">
        <f t="shared" si="22"/>
        <v>0</v>
      </c>
      <c r="K115" s="16">
        <f>SUMIFS(TERSE!$AW$2:$AW$4001,TERSE!$AU$2:$AU$4001,$A115,TERSE!$AV$2:$AV$4001,$B115,TERSE!$AY$2:$AY$4001,"")</f>
        <v>0</v>
      </c>
      <c r="L115" s="13" t="s">
        <v>323</v>
      </c>
      <c r="M115" s="2" t="str">
        <f t="shared" si="23"/>
        <v>1 - Gasoline</v>
      </c>
      <c r="N115" s="2" t="str">
        <f>IF(OR($L115="",$M115="",$D115=0,$A115="FULTON (COLLEGE PARK)"),"",MAX(N$3:N114)+1)</f>
        <v/>
      </c>
    </row>
    <row r="116" spans="1:14" x14ac:dyDescent="0.25">
      <c r="A116" s="2" t="s">
        <v>324</v>
      </c>
      <c r="B116" s="2" t="s">
        <v>214</v>
      </c>
      <c r="C116" s="11">
        <v>0.03</v>
      </c>
      <c r="D116" s="15">
        <f t="shared" si="18"/>
        <v>0</v>
      </c>
      <c r="E116" s="15">
        <f>ROUND(SUMIFS(TERSE!$AX$2:$AX$4001,TERSE!$AU$2:$AU$4001,$A116,TERSE!$AV$2:$AV$4001,$B116,TERSE!$AY$2:$AY$4001,""),0)</f>
        <v>0</v>
      </c>
      <c r="F116" s="15">
        <f t="shared" si="19"/>
        <v>0</v>
      </c>
      <c r="G116" s="7">
        <f t="shared" si="20"/>
        <v>0</v>
      </c>
      <c r="H116" s="7">
        <f t="shared" si="21"/>
        <v>0</v>
      </c>
      <c r="I116" s="7">
        <f>SUMIFS(TERSE!$AB$2:$AB$4001,TERSE!$AU$2:$AU$4001,$A116,TERSE!$AV$2:$AV$4001,$B116,TERSE!$AY$2:$AY$4001,"")</f>
        <v>0</v>
      </c>
      <c r="J116" s="7">
        <f t="shared" si="22"/>
        <v>0</v>
      </c>
      <c r="K116" s="16">
        <f>SUMIFS(TERSE!$AW$2:$AW$4001,TERSE!$AU$2:$AU$4001,$A116,TERSE!$AV$2:$AV$4001,$B116,TERSE!$AY$2:$AY$4001,"")</f>
        <v>0</v>
      </c>
      <c r="L116" s="13" t="s">
        <v>325</v>
      </c>
      <c r="M116" s="2" t="str">
        <f t="shared" si="23"/>
        <v>2 - Diesel - Clear</v>
      </c>
      <c r="N116" s="2" t="str">
        <f>IF(OR($L116="",$M116="",$D116=0,$A116="FULTON (COLLEGE PARK)"),"",MAX(N$3:N115)+1)</f>
        <v/>
      </c>
    </row>
    <row r="117" spans="1:14" x14ac:dyDescent="0.25">
      <c r="A117" s="2" t="s">
        <v>326</v>
      </c>
      <c r="B117" s="2" t="s">
        <v>214</v>
      </c>
      <c r="C117" s="11">
        <v>0.03</v>
      </c>
      <c r="D117" s="15">
        <f t="shared" si="18"/>
        <v>0</v>
      </c>
      <c r="E117" s="15">
        <f>ROUND(SUMIFS(TERSE!$AX$2:$AX$4001,TERSE!$AU$2:$AU$4001,$A117,TERSE!$AV$2:$AV$4001,$B117,TERSE!$AY$2:$AY$4001,""),0)</f>
        <v>0</v>
      </c>
      <c r="F117" s="15">
        <f t="shared" si="19"/>
        <v>0</v>
      </c>
      <c r="G117" s="7">
        <f t="shared" si="20"/>
        <v>0</v>
      </c>
      <c r="H117" s="7">
        <f t="shared" si="21"/>
        <v>0</v>
      </c>
      <c r="I117" s="7">
        <f>SUMIFS(TERSE!$AB$2:$AB$4001,TERSE!$AU$2:$AU$4001,$A117,TERSE!$AV$2:$AV$4001,$B117,TERSE!$AY$2:$AY$4001,"")</f>
        <v>0</v>
      </c>
      <c r="J117" s="7">
        <f t="shared" si="22"/>
        <v>0</v>
      </c>
      <c r="K117" s="16">
        <f>SUMIFS(TERSE!$AW$2:$AW$4001,TERSE!$AU$2:$AU$4001,$A117,TERSE!$AV$2:$AV$4001,$B117,TERSE!$AY$2:$AY$4001,"")</f>
        <v>0</v>
      </c>
      <c r="L117" s="13" t="s">
        <v>327</v>
      </c>
      <c r="M117" s="2" t="str">
        <f t="shared" si="23"/>
        <v>2 - Diesel - Clear</v>
      </c>
      <c r="N117" s="2" t="str">
        <f>IF(OR($L117="",$M117="",$D117=0,$A117="FULTON (COLLEGE PARK)"),"",MAX(N$3:N116)+1)</f>
        <v/>
      </c>
    </row>
    <row r="118" spans="1:14" x14ac:dyDescent="0.25">
      <c r="A118" s="2" t="s">
        <v>328</v>
      </c>
      <c r="B118" s="2" t="s">
        <v>214</v>
      </c>
      <c r="C118" s="11">
        <v>0.03</v>
      </c>
      <c r="D118" s="15">
        <f t="shared" si="18"/>
        <v>0</v>
      </c>
      <c r="E118" s="15">
        <f>ROUND(SUMIFS(TERSE!$AX$2:$AX$4001,TERSE!$AU$2:$AU$4001,$A118,TERSE!$AV$2:$AV$4001,$B118,TERSE!$AY$2:$AY$4001,""),0)</f>
        <v>0</v>
      </c>
      <c r="F118" s="15">
        <f t="shared" si="19"/>
        <v>0</v>
      </c>
      <c r="G118" s="7">
        <f t="shared" si="20"/>
        <v>0</v>
      </c>
      <c r="H118" s="7">
        <f t="shared" si="21"/>
        <v>0</v>
      </c>
      <c r="I118" s="7">
        <f>SUMIFS(TERSE!$AB$2:$AB$4001,TERSE!$AU$2:$AU$4001,$A118,TERSE!$AV$2:$AV$4001,$B118,TERSE!$AY$2:$AY$4001,"")</f>
        <v>0</v>
      </c>
      <c r="J118" s="7">
        <f t="shared" si="22"/>
        <v>0</v>
      </c>
      <c r="K118" s="16">
        <f>SUMIFS(TERSE!$AW$2:$AW$4001,TERSE!$AU$2:$AU$4001,$A118,TERSE!$AV$2:$AV$4001,$B118,TERSE!$AY$2:$AY$4001,"")</f>
        <v>0</v>
      </c>
      <c r="L118" s="13" t="s">
        <v>329</v>
      </c>
      <c r="M118" s="2" t="str">
        <f t="shared" si="23"/>
        <v>2 - Diesel - Clear</v>
      </c>
      <c r="N118" s="2" t="str">
        <f>IF(OR($L118="",$M118="",$D118=0,$A118="FULTON (COLLEGE PARK)"),"",MAX(N$3:N117)+1)</f>
        <v/>
      </c>
    </row>
    <row r="119" spans="1:14" x14ac:dyDescent="0.25">
      <c r="A119" s="2" t="s">
        <v>330</v>
      </c>
      <c r="B119" s="2" t="s">
        <v>214</v>
      </c>
      <c r="C119" s="11">
        <v>0.04</v>
      </c>
      <c r="D119" s="15">
        <f t="shared" si="18"/>
        <v>0</v>
      </c>
      <c r="E119" s="15">
        <f>ROUND(SUMIFS(TERSE!$AX$2:$AX$4001,TERSE!$AU$2:$AU$4001,$A119,TERSE!$AV$2:$AV$4001,$B119,TERSE!$AY$2:$AY$4001,""),0)</f>
        <v>0</v>
      </c>
      <c r="F119" s="15">
        <f t="shared" si="19"/>
        <v>0</v>
      </c>
      <c r="G119" s="7">
        <f t="shared" si="20"/>
        <v>0</v>
      </c>
      <c r="H119" s="7">
        <f t="shared" si="21"/>
        <v>0</v>
      </c>
      <c r="I119" s="7">
        <f>SUMIFS(TERSE!$AB$2:$AB$4001,TERSE!$AU$2:$AU$4001,$A119,TERSE!$AV$2:$AV$4001,$B119,TERSE!$AY$2:$AY$4001,"")</f>
        <v>0</v>
      </c>
      <c r="J119" s="7">
        <f t="shared" si="22"/>
        <v>0</v>
      </c>
      <c r="K119" s="16">
        <f>SUMIFS(TERSE!$AW$2:$AW$4001,TERSE!$AU$2:$AU$4001,$A119,TERSE!$AV$2:$AV$4001,$B119,TERSE!$AY$2:$AY$4001,"")</f>
        <v>0</v>
      </c>
      <c r="L119" s="13" t="s">
        <v>331</v>
      </c>
      <c r="M119" s="2" t="str">
        <f t="shared" si="23"/>
        <v>2 - Diesel - Clear</v>
      </c>
      <c r="N119" s="2" t="str">
        <f>IF(OR($L119="",$M119="",$D119=0,$A119="FULTON (COLLEGE PARK)"),"",MAX(N$3:N118)+1)</f>
        <v/>
      </c>
    </row>
    <row r="120" spans="1:14" x14ac:dyDescent="0.25">
      <c r="A120" s="2" t="s">
        <v>332</v>
      </c>
      <c r="B120" s="2" t="s">
        <v>214</v>
      </c>
      <c r="C120" s="11">
        <v>0.03</v>
      </c>
      <c r="D120" s="15">
        <f t="shared" si="18"/>
        <v>0</v>
      </c>
      <c r="E120" s="15">
        <f>ROUND(SUMIFS(TERSE!$AX$2:$AX$4001,TERSE!$AU$2:$AU$4001,$A120,TERSE!$AV$2:$AV$4001,$B120,TERSE!$AY$2:$AY$4001,""),0)</f>
        <v>0</v>
      </c>
      <c r="F120" s="15">
        <f t="shared" si="19"/>
        <v>0</v>
      </c>
      <c r="G120" s="7">
        <f t="shared" si="20"/>
        <v>0</v>
      </c>
      <c r="H120" s="7">
        <f t="shared" si="21"/>
        <v>0</v>
      </c>
      <c r="I120" s="7">
        <f>SUMIFS(TERSE!$AB$2:$AB$4001,TERSE!$AU$2:$AU$4001,$A120,TERSE!$AV$2:$AV$4001,$B120,TERSE!$AY$2:$AY$4001,"")</f>
        <v>0</v>
      </c>
      <c r="J120" s="7">
        <f t="shared" si="22"/>
        <v>0</v>
      </c>
      <c r="K120" s="16">
        <f>SUMIFS(TERSE!$AW$2:$AW$4001,TERSE!$AU$2:$AU$4001,$A120,TERSE!$AV$2:$AV$4001,$B120,TERSE!$AY$2:$AY$4001,"")</f>
        <v>0</v>
      </c>
      <c r="L120" s="13" t="s">
        <v>174</v>
      </c>
      <c r="M120" s="2" t="str">
        <f t="shared" si="23"/>
        <v>2 - Diesel - Clear</v>
      </c>
      <c r="N120" s="2" t="str">
        <f>IF(OR($L120="",$M120="",$D120=0,$A120="FULTON (COLLEGE PARK)"),"",MAX(N$3:N119)+1)</f>
        <v/>
      </c>
    </row>
    <row r="121" spans="1:14" x14ac:dyDescent="0.25">
      <c r="A121" s="2" t="s">
        <v>332</v>
      </c>
      <c r="B121" s="2" t="s">
        <v>223</v>
      </c>
      <c r="C121" s="11">
        <v>0.03</v>
      </c>
      <c r="D121" s="15">
        <f t="shared" si="18"/>
        <v>0</v>
      </c>
      <c r="E121" s="15">
        <f>ROUND(SUMIFS(TERSE!$AX$2:$AX$4001,TERSE!$AU$2:$AU$4001,$A121,TERSE!$AV$2:$AV$4001,$B121,TERSE!$AY$2:$AY$4001,""),0)</f>
        <v>0</v>
      </c>
      <c r="F121" s="15">
        <f t="shared" si="19"/>
        <v>0</v>
      </c>
      <c r="G121" s="7">
        <f t="shared" si="20"/>
        <v>0</v>
      </c>
      <c r="H121" s="7">
        <f t="shared" si="21"/>
        <v>0</v>
      </c>
      <c r="I121" s="7">
        <f>SUMIFS(TERSE!$AB$2:$AB$4001,TERSE!$AU$2:$AU$4001,$A121,TERSE!$AV$2:$AV$4001,$B121,TERSE!$AY$2:$AY$4001,"")</f>
        <v>0</v>
      </c>
      <c r="J121" s="7">
        <f t="shared" si="22"/>
        <v>0</v>
      </c>
      <c r="K121" s="16">
        <f>SUMIFS(TERSE!$AW$2:$AW$4001,TERSE!$AU$2:$AU$4001,$A121,TERSE!$AV$2:$AV$4001,$B121,TERSE!$AY$2:$AY$4001,"")</f>
        <v>0</v>
      </c>
      <c r="L121" s="13" t="s">
        <v>174</v>
      </c>
      <c r="M121" s="2" t="str">
        <f t="shared" si="23"/>
        <v>1 - Gasoline</v>
      </c>
      <c r="N121" s="2" t="str">
        <f>IF(OR($L121="",$M121="",$D121=0,$A121="FULTON (COLLEGE PARK)"),"",MAX(N$3:N120)+1)</f>
        <v/>
      </c>
    </row>
    <row r="122" spans="1:14" x14ac:dyDescent="0.25">
      <c r="A122" s="2" t="s">
        <v>333</v>
      </c>
      <c r="B122" s="2" t="s">
        <v>214</v>
      </c>
      <c r="C122" s="11">
        <v>0.04</v>
      </c>
      <c r="D122" s="15">
        <f t="shared" si="18"/>
        <v>0</v>
      </c>
      <c r="E122" s="15">
        <f>ROUND(SUMIFS(TERSE!$AX$2:$AX$4001,TERSE!$AU$2:$AU$4001,$A122,TERSE!$AV$2:$AV$4001,$B122,TERSE!$AY$2:$AY$4001,""),0)</f>
        <v>0</v>
      </c>
      <c r="F122" s="15">
        <f t="shared" si="19"/>
        <v>0</v>
      </c>
      <c r="G122" s="7">
        <f t="shared" si="20"/>
        <v>0</v>
      </c>
      <c r="H122" s="7">
        <f t="shared" si="21"/>
        <v>0</v>
      </c>
      <c r="I122" s="7">
        <f>SUMIFS(TERSE!$AB$2:$AB$4001,TERSE!$AU$2:$AU$4001,$A122,TERSE!$AV$2:$AV$4001,$B122,TERSE!$AY$2:$AY$4001,"")</f>
        <v>0</v>
      </c>
      <c r="J122" s="7">
        <f t="shared" si="22"/>
        <v>0</v>
      </c>
      <c r="K122" s="16">
        <f>SUMIFS(TERSE!$AW$2:$AW$4001,TERSE!$AU$2:$AU$4001,$A122,TERSE!$AV$2:$AV$4001,$B122,TERSE!$AY$2:$AY$4001,"")</f>
        <v>0</v>
      </c>
      <c r="L122" s="13" t="s">
        <v>334</v>
      </c>
      <c r="M122" s="2" t="str">
        <f t="shared" si="23"/>
        <v>2 - Diesel - Clear</v>
      </c>
      <c r="N122" s="2" t="str">
        <f>IF(OR($L122="",$M122="",$D122=0,$A122="FULTON (COLLEGE PARK)"),"",MAX(N$3:N121)+1)</f>
        <v/>
      </c>
    </row>
    <row r="123" spans="1:14" x14ac:dyDescent="0.25">
      <c r="A123" s="2" t="s">
        <v>333</v>
      </c>
      <c r="B123" s="2" t="s">
        <v>223</v>
      </c>
      <c r="C123" s="11">
        <v>0.04</v>
      </c>
      <c r="D123" s="15">
        <f t="shared" si="18"/>
        <v>0</v>
      </c>
      <c r="E123" s="15">
        <f>ROUND(SUMIFS(TERSE!$AX$2:$AX$4001,TERSE!$AU$2:$AU$4001,$A123,TERSE!$AV$2:$AV$4001,$B123,TERSE!$AY$2:$AY$4001,""),0)</f>
        <v>0</v>
      </c>
      <c r="F123" s="15">
        <f t="shared" si="19"/>
        <v>0</v>
      </c>
      <c r="G123" s="7">
        <f t="shared" si="20"/>
        <v>0</v>
      </c>
      <c r="H123" s="7">
        <f t="shared" si="21"/>
        <v>0</v>
      </c>
      <c r="I123" s="7">
        <f>SUMIFS(TERSE!$AB$2:$AB$4001,TERSE!$AU$2:$AU$4001,$A123,TERSE!$AV$2:$AV$4001,$B123,TERSE!$AY$2:$AY$4001,"")</f>
        <v>0</v>
      </c>
      <c r="J123" s="7">
        <f t="shared" si="22"/>
        <v>0</v>
      </c>
      <c r="K123" s="16">
        <f>SUMIFS(TERSE!$AW$2:$AW$4001,TERSE!$AU$2:$AU$4001,$A123,TERSE!$AV$2:$AV$4001,$B123,TERSE!$AY$2:$AY$4001,"")</f>
        <v>0</v>
      </c>
      <c r="L123" s="13" t="s">
        <v>334</v>
      </c>
      <c r="M123" s="2" t="str">
        <f t="shared" si="23"/>
        <v>1 - Gasoline</v>
      </c>
      <c r="N123" s="2" t="str">
        <f>IF(OR($L123="",$M123="",$D123=0,$A123="FULTON (COLLEGE PARK)"),"",MAX(N$3:N122)+1)</f>
        <v/>
      </c>
    </row>
    <row r="124" spans="1:14" x14ac:dyDescent="0.25">
      <c r="A124" s="2" t="s">
        <v>335</v>
      </c>
      <c r="B124" s="2" t="s">
        <v>214</v>
      </c>
      <c r="C124" s="11">
        <v>0.04</v>
      </c>
      <c r="D124" s="15">
        <f t="shared" si="18"/>
        <v>0</v>
      </c>
      <c r="E124" s="15">
        <f>ROUND(SUMIFS(TERSE!$AX$2:$AX$4001,TERSE!$AU$2:$AU$4001,$A124,TERSE!$AV$2:$AV$4001,$B124,TERSE!$AY$2:$AY$4001,""),0)</f>
        <v>0</v>
      </c>
      <c r="F124" s="15">
        <f t="shared" si="19"/>
        <v>0</v>
      </c>
      <c r="G124" s="7">
        <f t="shared" si="20"/>
        <v>0</v>
      </c>
      <c r="H124" s="7">
        <f t="shared" si="21"/>
        <v>0</v>
      </c>
      <c r="I124" s="7">
        <f>SUMIFS(TERSE!$AB$2:$AB$4001,TERSE!$AU$2:$AU$4001,$A124,TERSE!$AV$2:$AV$4001,$B124,TERSE!$AY$2:$AY$4001,"")</f>
        <v>0</v>
      </c>
      <c r="J124" s="7">
        <f t="shared" si="22"/>
        <v>0</v>
      </c>
      <c r="K124" s="16">
        <f>SUMIFS(TERSE!$AW$2:$AW$4001,TERSE!$AU$2:$AU$4001,$A124,TERSE!$AV$2:$AV$4001,$B124,TERSE!$AY$2:$AY$4001,"")</f>
        <v>0</v>
      </c>
      <c r="L124" s="13" t="s">
        <v>176</v>
      </c>
      <c r="M124" s="2" t="str">
        <f t="shared" si="23"/>
        <v>2 - Diesel - Clear</v>
      </c>
      <c r="N124" s="2" t="str">
        <f>IF(OR($L124="",$M124="",$D124=0,$A124="FULTON (COLLEGE PARK)"),"",MAX(N$3:N123)+1)</f>
        <v/>
      </c>
    </row>
    <row r="125" spans="1:14" x14ac:dyDescent="0.25">
      <c r="A125" s="2" t="s">
        <v>335</v>
      </c>
      <c r="B125" s="2" t="s">
        <v>223</v>
      </c>
      <c r="C125" s="11">
        <v>0.04</v>
      </c>
      <c r="D125" s="15">
        <f t="shared" si="18"/>
        <v>0</v>
      </c>
      <c r="E125" s="15">
        <f>ROUND(SUMIFS(TERSE!$AX$2:$AX$4001,TERSE!$AU$2:$AU$4001,$A125,TERSE!$AV$2:$AV$4001,$B125,TERSE!$AY$2:$AY$4001,""),0)</f>
        <v>0</v>
      </c>
      <c r="F125" s="15">
        <f t="shared" si="19"/>
        <v>0</v>
      </c>
      <c r="G125" s="7">
        <f t="shared" si="20"/>
        <v>0</v>
      </c>
      <c r="H125" s="7">
        <f t="shared" si="21"/>
        <v>0</v>
      </c>
      <c r="I125" s="7">
        <f>SUMIFS(TERSE!$AB$2:$AB$4001,TERSE!$AU$2:$AU$4001,$A125,TERSE!$AV$2:$AV$4001,$B125,TERSE!$AY$2:$AY$4001,"")</f>
        <v>0</v>
      </c>
      <c r="J125" s="7">
        <f t="shared" si="22"/>
        <v>0</v>
      </c>
      <c r="K125" s="16">
        <f>SUMIFS(TERSE!$AW$2:$AW$4001,TERSE!$AU$2:$AU$4001,$A125,TERSE!$AV$2:$AV$4001,$B125,TERSE!$AY$2:$AY$4001,"")</f>
        <v>0</v>
      </c>
      <c r="L125" s="13" t="s">
        <v>176</v>
      </c>
      <c r="M125" s="2" t="str">
        <f t="shared" si="23"/>
        <v>1 - Gasoline</v>
      </c>
      <c r="N125" s="2" t="str">
        <f>IF(OR($L125="",$M125="",$D125=0,$A125="FULTON (COLLEGE PARK)"),"",MAX(N$3:N124)+1)</f>
        <v/>
      </c>
    </row>
    <row r="126" spans="1:14" x14ac:dyDescent="0.25">
      <c r="A126" s="2" t="s">
        <v>336</v>
      </c>
      <c r="B126" s="2" t="s">
        <v>214</v>
      </c>
      <c r="C126" s="11">
        <v>0.03</v>
      </c>
      <c r="D126" s="15">
        <f t="shared" si="18"/>
        <v>0</v>
      </c>
      <c r="E126" s="15">
        <f>ROUND(SUMIFS(TERSE!$AX$2:$AX$4001,TERSE!$AU$2:$AU$4001,$A126,TERSE!$AV$2:$AV$4001,$B126,TERSE!$AY$2:$AY$4001,""),0)</f>
        <v>0</v>
      </c>
      <c r="F126" s="15">
        <f t="shared" si="19"/>
        <v>0</v>
      </c>
      <c r="G126" s="7">
        <f t="shared" si="20"/>
        <v>0</v>
      </c>
      <c r="H126" s="7">
        <f t="shared" si="21"/>
        <v>0</v>
      </c>
      <c r="I126" s="7">
        <f>SUMIFS(TERSE!$AB$2:$AB$4001,TERSE!$AU$2:$AU$4001,$A126,TERSE!$AV$2:$AV$4001,$B126,TERSE!$AY$2:$AY$4001,"")</f>
        <v>0</v>
      </c>
      <c r="J126" s="7">
        <f t="shared" si="22"/>
        <v>0</v>
      </c>
      <c r="K126" s="16">
        <f>SUMIFS(TERSE!$AW$2:$AW$4001,TERSE!$AU$2:$AU$4001,$A126,TERSE!$AV$2:$AV$4001,$B126,TERSE!$AY$2:$AY$4001,"")</f>
        <v>0</v>
      </c>
      <c r="L126" s="13" t="s">
        <v>337</v>
      </c>
      <c r="M126" s="2" t="str">
        <f t="shared" si="23"/>
        <v>2 - Diesel - Clear</v>
      </c>
      <c r="N126" s="2" t="str">
        <f>IF(OR($L126="",$M126="",$D126=0,$A126="FULTON (COLLEGE PARK)"),"",MAX(N$3:N125)+1)</f>
        <v/>
      </c>
    </row>
    <row r="127" spans="1:14" x14ac:dyDescent="0.25">
      <c r="A127" s="2" t="s">
        <v>336</v>
      </c>
      <c r="B127" s="2" t="s">
        <v>223</v>
      </c>
      <c r="C127" s="11">
        <v>0.03</v>
      </c>
      <c r="D127" s="15">
        <f t="shared" si="18"/>
        <v>0</v>
      </c>
      <c r="E127" s="15">
        <f>ROUND(SUMIFS(TERSE!$AX$2:$AX$4001,TERSE!$AU$2:$AU$4001,$A127,TERSE!$AV$2:$AV$4001,$B127,TERSE!$AY$2:$AY$4001,""),0)</f>
        <v>0</v>
      </c>
      <c r="F127" s="15">
        <f t="shared" si="19"/>
        <v>0</v>
      </c>
      <c r="G127" s="7">
        <f t="shared" si="20"/>
        <v>0</v>
      </c>
      <c r="H127" s="7">
        <f t="shared" si="21"/>
        <v>0</v>
      </c>
      <c r="I127" s="7">
        <f>SUMIFS(TERSE!$AB$2:$AB$4001,TERSE!$AU$2:$AU$4001,$A127,TERSE!$AV$2:$AV$4001,$B127,TERSE!$AY$2:$AY$4001,"")</f>
        <v>0</v>
      </c>
      <c r="J127" s="7">
        <f t="shared" si="22"/>
        <v>0</v>
      </c>
      <c r="K127" s="16">
        <f>SUMIFS(TERSE!$AW$2:$AW$4001,TERSE!$AU$2:$AU$4001,$A127,TERSE!$AV$2:$AV$4001,$B127,TERSE!$AY$2:$AY$4001,"")</f>
        <v>0</v>
      </c>
      <c r="L127" s="13" t="s">
        <v>337</v>
      </c>
      <c r="M127" s="2" t="str">
        <f t="shared" si="23"/>
        <v>1 - Gasoline</v>
      </c>
      <c r="N127" s="2" t="str">
        <f>IF(OR($L127="",$M127="",$D127=0,$A127="FULTON (COLLEGE PARK)"),"",MAX(N$3:N126)+1)</f>
        <v/>
      </c>
    </row>
    <row r="128" spans="1:14" x14ac:dyDescent="0.25">
      <c r="A128" s="2" t="s">
        <v>338</v>
      </c>
      <c r="B128" s="2" t="s">
        <v>214</v>
      </c>
      <c r="C128" s="11">
        <v>0.03</v>
      </c>
      <c r="D128" s="15">
        <f t="shared" si="18"/>
        <v>0</v>
      </c>
      <c r="E128" s="15">
        <f>ROUND(SUMIFS(TERSE!$AX$2:$AX$4001,TERSE!$AU$2:$AU$4001,$A128,TERSE!$AV$2:$AV$4001,$B128,TERSE!$AY$2:$AY$4001,""),0)</f>
        <v>0</v>
      </c>
      <c r="F128" s="15">
        <f t="shared" si="19"/>
        <v>0</v>
      </c>
      <c r="G128" s="7">
        <f t="shared" si="20"/>
        <v>0</v>
      </c>
      <c r="H128" s="7">
        <f t="shared" si="21"/>
        <v>0</v>
      </c>
      <c r="I128" s="7">
        <f>SUMIFS(TERSE!$AB$2:$AB$4001,TERSE!$AU$2:$AU$4001,$A128,TERSE!$AV$2:$AV$4001,$B128,TERSE!$AY$2:$AY$4001,"")</f>
        <v>0</v>
      </c>
      <c r="J128" s="7">
        <f t="shared" si="22"/>
        <v>0</v>
      </c>
      <c r="K128" s="16">
        <f>SUMIFS(TERSE!$AW$2:$AW$4001,TERSE!$AU$2:$AU$4001,$A128,TERSE!$AV$2:$AV$4001,$B128,TERSE!$AY$2:$AY$4001,"")</f>
        <v>0</v>
      </c>
      <c r="L128" s="13" t="s">
        <v>178</v>
      </c>
      <c r="M128" s="2" t="str">
        <f t="shared" si="23"/>
        <v>2 - Diesel - Clear</v>
      </c>
      <c r="N128" s="2" t="str">
        <f>IF(OR($L128="",$M128="",$D128=0,$A128="FULTON (COLLEGE PARK)"),"",MAX(N$3:N127)+1)</f>
        <v/>
      </c>
    </row>
    <row r="129" spans="1:14" x14ac:dyDescent="0.25">
      <c r="A129" s="2" t="s">
        <v>338</v>
      </c>
      <c r="B129" s="2" t="s">
        <v>223</v>
      </c>
      <c r="C129" s="11">
        <v>0.03</v>
      </c>
      <c r="D129" s="15">
        <f t="shared" si="18"/>
        <v>0</v>
      </c>
      <c r="E129" s="15">
        <f>ROUND(SUMIFS(TERSE!$AX$2:$AX$4001,TERSE!$AU$2:$AU$4001,$A129,TERSE!$AV$2:$AV$4001,$B129,TERSE!$AY$2:$AY$4001,""),0)</f>
        <v>0</v>
      </c>
      <c r="F129" s="15">
        <f t="shared" si="19"/>
        <v>0</v>
      </c>
      <c r="G129" s="7">
        <f t="shared" si="20"/>
        <v>0</v>
      </c>
      <c r="H129" s="7">
        <f t="shared" si="21"/>
        <v>0</v>
      </c>
      <c r="I129" s="7">
        <f>SUMIFS(TERSE!$AB$2:$AB$4001,TERSE!$AU$2:$AU$4001,$A129,TERSE!$AV$2:$AV$4001,$B129,TERSE!$AY$2:$AY$4001,"")</f>
        <v>0</v>
      </c>
      <c r="J129" s="7">
        <f t="shared" si="22"/>
        <v>0</v>
      </c>
      <c r="K129" s="16">
        <f>SUMIFS(TERSE!$AW$2:$AW$4001,TERSE!$AU$2:$AU$4001,$A129,TERSE!$AV$2:$AV$4001,$B129,TERSE!$AY$2:$AY$4001,"")</f>
        <v>0</v>
      </c>
      <c r="L129" s="13" t="s">
        <v>178</v>
      </c>
      <c r="M129" s="2" t="str">
        <f t="shared" si="23"/>
        <v>1 - Gasoline</v>
      </c>
      <c r="N129" s="2" t="str">
        <f>IF(OR($L129="",$M129="",$D129=0,$A129="FULTON (COLLEGE PARK)"),"",MAX(N$3:N128)+1)</f>
        <v/>
      </c>
    </row>
    <row r="130" spans="1:14" x14ac:dyDescent="0.25">
      <c r="A130" s="2" t="s">
        <v>339</v>
      </c>
      <c r="B130" s="2" t="s">
        <v>214</v>
      </c>
      <c r="C130" s="11">
        <v>0.04</v>
      </c>
      <c r="D130" s="15">
        <f t="shared" si="18"/>
        <v>0</v>
      </c>
      <c r="E130" s="15">
        <f>ROUND(SUMIFS(TERSE!$AX$2:$AX$4001,TERSE!$AU$2:$AU$4001,$A130,TERSE!$AV$2:$AV$4001,$B130,TERSE!$AY$2:$AY$4001,""),0)</f>
        <v>0</v>
      </c>
      <c r="F130" s="15">
        <f t="shared" si="19"/>
        <v>0</v>
      </c>
      <c r="G130" s="7">
        <f t="shared" si="20"/>
        <v>0</v>
      </c>
      <c r="H130" s="7">
        <f t="shared" si="21"/>
        <v>0</v>
      </c>
      <c r="I130" s="7">
        <f>SUMIFS(TERSE!$AB$2:$AB$4001,TERSE!$AU$2:$AU$4001,$A130,TERSE!$AV$2:$AV$4001,$B130,TERSE!$AY$2:$AY$4001,"")</f>
        <v>0</v>
      </c>
      <c r="J130" s="7">
        <f t="shared" si="22"/>
        <v>0</v>
      </c>
      <c r="K130" s="16">
        <f>SUMIFS(TERSE!$AW$2:$AW$4001,TERSE!$AU$2:$AU$4001,$A130,TERSE!$AV$2:$AV$4001,$B130,TERSE!$AY$2:$AY$4001,"")</f>
        <v>0</v>
      </c>
      <c r="L130" s="13" t="s">
        <v>340</v>
      </c>
      <c r="M130" s="2" t="str">
        <f t="shared" si="23"/>
        <v>2 - Diesel - Clear</v>
      </c>
      <c r="N130" s="2" t="str">
        <f>IF(OR($L130="",$M130="",$D130=0,$A130="FULTON (COLLEGE PARK)"),"",MAX(N$3:N129)+1)</f>
        <v/>
      </c>
    </row>
    <row r="131" spans="1:14" x14ac:dyDescent="0.25">
      <c r="A131" s="2" t="s">
        <v>341</v>
      </c>
      <c r="B131" s="2" t="s">
        <v>214</v>
      </c>
      <c r="C131" s="11">
        <v>0.03</v>
      </c>
      <c r="D131" s="15">
        <f t="shared" si="18"/>
        <v>0</v>
      </c>
      <c r="E131" s="15">
        <f>ROUND(SUMIFS(TERSE!$AX$2:$AX$4001,TERSE!$AU$2:$AU$4001,$A131,TERSE!$AV$2:$AV$4001,$B131,TERSE!$AY$2:$AY$4001,""),0)</f>
        <v>0</v>
      </c>
      <c r="F131" s="15">
        <f t="shared" si="19"/>
        <v>0</v>
      </c>
      <c r="G131" s="7">
        <f t="shared" si="20"/>
        <v>0</v>
      </c>
      <c r="H131" s="7">
        <f t="shared" si="21"/>
        <v>0</v>
      </c>
      <c r="I131" s="7">
        <f>SUMIFS(TERSE!$AB$2:$AB$4001,TERSE!$AU$2:$AU$4001,$A131,TERSE!$AV$2:$AV$4001,$B131,TERSE!$AY$2:$AY$4001,"")</f>
        <v>0</v>
      </c>
      <c r="J131" s="7">
        <f t="shared" si="22"/>
        <v>0</v>
      </c>
      <c r="K131" s="16">
        <f>SUMIFS(TERSE!$AW$2:$AW$4001,TERSE!$AU$2:$AU$4001,$A131,TERSE!$AV$2:$AV$4001,$B131,TERSE!$AY$2:$AY$4001,"")</f>
        <v>0</v>
      </c>
      <c r="L131" s="13" t="s">
        <v>180</v>
      </c>
      <c r="M131" s="2" t="str">
        <f t="shared" si="23"/>
        <v>2 - Diesel - Clear</v>
      </c>
      <c r="N131" s="2" t="str">
        <f>IF(OR($L131="",$M131="",$D131=0,$A131="FULTON (COLLEGE PARK)"),"",MAX(N$3:N130)+1)</f>
        <v/>
      </c>
    </row>
    <row r="132" spans="1:14" x14ac:dyDescent="0.25">
      <c r="A132" s="2" t="s">
        <v>341</v>
      </c>
      <c r="B132" s="2" t="s">
        <v>223</v>
      </c>
      <c r="C132" s="11">
        <v>0.03</v>
      </c>
      <c r="D132" s="15">
        <f t="shared" ref="D132:D167" si="24">ROUND(K132,0)</f>
        <v>0</v>
      </c>
      <c r="E132" s="15">
        <f>ROUND(SUMIFS(TERSE!$AX$2:$AX$4001,TERSE!$AU$2:$AU$4001,$A132,TERSE!$AV$2:$AV$4001,$B132,TERSE!$AY$2:$AY$4001,""),0)</f>
        <v>0</v>
      </c>
      <c r="F132" s="15">
        <f t="shared" ref="F132:F163" si="25">D132-E132</f>
        <v>0</v>
      </c>
      <c r="G132" s="7">
        <f t="shared" ref="G132:G163" si="26">F132*IF($B132="Diesel",$C$2,$F$2)</f>
        <v>0</v>
      </c>
      <c r="H132" s="7">
        <f t="shared" ref="H132:H163" si="27">G132*C132</f>
        <v>0</v>
      </c>
      <c r="I132" s="7">
        <f>SUMIFS(TERSE!$AB$2:$AB$4001,TERSE!$AU$2:$AU$4001,$A132,TERSE!$AV$2:$AV$4001,$B132,TERSE!$AY$2:$AY$4001,"")</f>
        <v>0</v>
      </c>
      <c r="J132" s="7">
        <f t="shared" ref="J132:J163" si="28">I132-H132</f>
        <v>0</v>
      </c>
      <c r="K132" s="16">
        <f>SUMIFS(TERSE!$AW$2:$AW$4001,TERSE!$AU$2:$AU$4001,$A132,TERSE!$AV$2:$AV$4001,$B132,TERSE!$AY$2:$AY$4001,"")</f>
        <v>0</v>
      </c>
      <c r="L132" s="13" t="s">
        <v>180</v>
      </c>
      <c r="M132" s="2" t="str">
        <f t="shared" ref="M132:M167" si="29">IF($B132="Diesel","2 - Diesel - Clear",IF($B132="Gas","1 - Gasoline",""))</f>
        <v>1 - Gasoline</v>
      </c>
      <c r="N132" s="2" t="str">
        <f>IF(OR($L132="",$M132="",$D132=0,$A132="FULTON (COLLEGE PARK)"),"",MAX(N$3:N131)+1)</f>
        <v/>
      </c>
    </row>
    <row r="133" spans="1:14" x14ac:dyDescent="0.25">
      <c r="A133" s="2" t="s">
        <v>342</v>
      </c>
      <c r="B133" s="2" t="s">
        <v>214</v>
      </c>
      <c r="C133" s="11">
        <v>0.03</v>
      </c>
      <c r="D133" s="15">
        <f t="shared" si="24"/>
        <v>0</v>
      </c>
      <c r="E133" s="15">
        <f>ROUND(SUMIFS(TERSE!$AX$2:$AX$4001,TERSE!$AU$2:$AU$4001,$A133,TERSE!$AV$2:$AV$4001,$B133,TERSE!$AY$2:$AY$4001,""),0)</f>
        <v>0</v>
      </c>
      <c r="F133" s="15">
        <f t="shared" si="25"/>
        <v>0</v>
      </c>
      <c r="G133" s="7">
        <f t="shared" si="26"/>
        <v>0</v>
      </c>
      <c r="H133" s="7">
        <f t="shared" si="27"/>
        <v>0</v>
      </c>
      <c r="I133" s="7">
        <f>SUMIFS(TERSE!$AB$2:$AB$4001,TERSE!$AU$2:$AU$4001,$A133,TERSE!$AV$2:$AV$4001,$B133,TERSE!$AY$2:$AY$4001,"")</f>
        <v>0</v>
      </c>
      <c r="J133" s="7">
        <f t="shared" si="28"/>
        <v>0</v>
      </c>
      <c r="K133" s="16">
        <f>SUMIFS(TERSE!$AW$2:$AW$4001,TERSE!$AU$2:$AU$4001,$A133,TERSE!$AV$2:$AV$4001,$B133,TERSE!$AY$2:$AY$4001,"")</f>
        <v>0</v>
      </c>
      <c r="L133" s="13" t="s">
        <v>343</v>
      </c>
      <c r="M133" s="2" t="str">
        <f t="shared" si="29"/>
        <v>2 - Diesel - Clear</v>
      </c>
      <c r="N133" s="2" t="str">
        <f>IF(OR($L133="",$M133="",$D133=0,$A133="FULTON (COLLEGE PARK)"),"",MAX(N$3:N132)+1)</f>
        <v/>
      </c>
    </row>
    <row r="134" spans="1:14" x14ac:dyDescent="0.25">
      <c r="A134" s="2" t="s">
        <v>342</v>
      </c>
      <c r="B134" s="2" t="s">
        <v>223</v>
      </c>
      <c r="C134" s="11">
        <v>0.03</v>
      </c>
      <c r="D134" s="15">
        <f t="shared" si="24"/>
        <v>0</v>
      </c>
      <c r="E134" s="15">
        <f>ROUND(SUMIFS(TERSE!$AX$2:$AX$4001,TERSE!$AU$2:$AU$4001,$A134,TERSE!$AV$2:$AV$4001,$B134,TERSE!$AY$2:$AY$4001,""),0)</f>
        <v>0</v>
      </c>
      <c r="F134" s="15">
        <f t="shared" si="25"/>
        <v>0</v>
      </c>
      <c r="G134" s="7">
        <f t="shared" si="26"/>
        <v>0</v>
      </c>
      <c r="H134" s="7">
        <f t="shared" si="27"/>
        <v>0</v>
      </c>
      <c r="I134" s="7">
        <f>SUMIFS(TERSE!$AB$2:$AB$4001,TERSE!$AU$2:$AU$4001,$A134,TERSE!$AV$2:$AV$4001,$B134,TERSE!$AY$2:$AY$4001,"")</f>
        <v>0</v>
      </c>
      <c r="J134" s="7">
        <f t="shared" si="28"/>
        <v>0</v>
      </c>
      <c r="K134" s="16">
        <f>SUMIFS(TERSE!$AW$2:$AW$4001,TERSE!$AU$2:$AU$4001,$A134,TERSE!$AV$2:$AV$4001,$B134,TERSE!$AY$2:$AY$4001,"")</f>
        <v>0</v>
      </c>
      <c r="L134" s="13" t="s">
        <v>343</v>
      </c>
      <c r="M134" s="2" t="str">
        <f t="shared" si="29"/>
        <v>1 - Gasoline</v>
      </c>
      <c r="N134" s="2" t="str">
        <f>IF(OR($L134="",$M134="",$D134=0,$A134="FULTON (COLLEGE PARK)"),"",MAX(N$3:N133)+1)</f>
        <v/>
      </c>
    </row>
    <row r="135" spans="1:14" x14ac:dyDescent="0.25">
      <c r="A135" s="2" t="s">
        <v>344</v>
      </c>
      <c r="B135" s="2" t="s">
        <v>214</v>
      </c>
      <c r="C135" s="11">
        <v>3.5000000000000003E-2</v>
      </c>
      <c r="D135" s="15">
        <f t="shared" si="24"/>
        <v>0</v>
      </c>
      <c r="E135" s="15">
        <f>ROUND(SUMIFS(TERSE!$AX$2:$AX$4001,TERSE!$AU$2:$AU$4001,$A135,TERSE!$AV$2:$AV$4001,$B135,TERSE!$AY$2:$AY$4001,""),0)</f>
        <v>0</v>
      </c>
      <c r="F135" s="15">
        <f t="shared" si="25"/>
        <v>0</v>
      </c>
      <c r="G135" s="7">
        <f t="shared" si="26"/>
        <v>0</v>
      </c>
      <c r="H135" s="7">
        <f t="shared" si="27"/>
        <v>0</v>
      </c>
      <c r="I135" s="7">
        <f>SUMIFS(TERSE!$AB$2:$AB$4001,TERSE!$AU$2:$AU$4001,$A135,TERSE!$AV$2:$AV$4001,$B135,TERSE!$AY$2:$AY$4001,"")</f>
        <v>0</v>
      </c>
      <c r="J135" s="7">
        <f t="shared" si="28"/>
        <v>0</v>
      </c>
      <c r="K135" s="16">
        <f>SUMIFS(TERSE!$AW$2:$AW$4001,TERSE!$AU$2:$AU$4001,$A135,TERSE!$AV$2:$AV$4001,$B135,TERSE!$AY$2:$AY$4001,"")</f>
        <v>0</v>
      </c>
      <c r="L135" s="13" t="s">
        <v>182</v>
      </c>
      <c r="M135" s="2" t="str">
        <f t="shared" si="29"/>
        <v>2 - Diesel - Clear</v>
      </c>
      <c r="N135" s="2" t="str">
        <f>IF(OR($L135="",$M135="",$D135=0,$A135="FULTON (COLLEGE PARK)"),"",MAX(N$3:N134)+1)</f>
        <v/>
      </c>
    </row>
    <row r="136" spans="1:14" x14ac:dyDescent="0.25">
      <c r="A136" s="2" t="s">
        <v>344</v>
      </c>
      <c r="B136" s="2" t="s">
        <v>223</v>
      </c>
      <c r="C136" s="11">
        <v>3.5000000000000003E-2</v>
      </c>
      <c r="D136" s="15">
        <f t="shared" si="24"/>
        <v>0</v>
      </c>
      <c r="E136" s="15">
        <f>ROUND(SUMIFS(TERSE!$AX$2:$AX$4001,TERSE!$AU$2:$AU$4001,$A136,TERSE!$AV$2:$AV$4001,$B136,TERSE!$AY$2:$AY$4001,""),0)</f>
        <v>0</v>
      </c>
      <c r="F136" s="15">
        <f t="shared" si="25"/>
        <v>0</v>
      </c>
      <c r="G136" s="7">
        <f t="shared" si="26"/>
        <v>0</v>
      </c>
      <c r="H136" s="7">
        <f t="shared" si="27"/>
        <v>0</v>
      </c>
      <c r="I136" s="7">
        <f>SUMIFS(TERSE!$AB$2:$AB$4001,TERSE!$AU$2:$AU$4001,$A136,TERSE!$AV$2:$AV$4001,$B136,TERSE!$AY$2:$AY$4001,"")</f>
        <v>0</v>
      </c>
      <c r="J136" s="7">
        <f t="shared" si="28"/>
        <v>0</v>
      </c>
      <c r="K136" s="16">
        <f>SUMIFS(TERSE!$AW$2:$AW$4001,TERSE!$AU$2:$AU$4001,$A136,TERSE!$AV$2:$AV$4001,$B136,TERSE!$AY$2:$AY$4001,"")</f>
        <v>0</v>
      </c>
      <c r="L136" s="13" t="s">
        <v>182</v>
      </c>
      <c r="M136" s="2" t="str">
        <f t="shared" si="29"/>
        <v>1 - Gasoline</v>
      </c>
      <c r="N136" s="2" t="str">
        <f>IF(OR($L136="",$M136="",$D136=0,$A136="FULTON (COLLEGE PARK)"),"",MAX(N$3:N135)+1)</f>
        <v/>
      </c>
    </row>
    <row r="137" spans="1:14" x14ac:dyDescent="0.25">
      <c r="A137" s="2" t="s">
        <v>345</v>
      </c>
      <c r="B137" s="2" t="s">
        <v>214</v>
      </c>
      <c r="C137" s="11">
        <v>0.03</v>
      </c>
      <c r="D137" s="15">
        <f t="shared" si="24"/>
        <v>0</v>
      </c>
      <c r="E137" s="15">
        <f>ROUND(SUMIFS(TERSE!$AX$2:$AX$4001,TERSE!$AU$2:$AU$4001,$A137,TERSE!$AV$2:$AV$4001,$B137,TERSE!$AY$2:$AY$4001,""),0)</f>
        <v>0</v>
      </c>
      <c r="F137" s="15">
        <f t="shared" si="25"/>
        <v>0</v>
      </c>
      <c r="G137" s="7">
        <f t="shared" si="26"/>
        <v>0</v>
      </c>
      <c r="H137" s="7">
        <f t="shared" si="27"/>
        <v>0</v>
      </c>
      <c r="I137" s="7">
        <f>SUMIFS(TERSE!$AB$2:$AB$4001,TERSE!$AU$2:$AU$4001,$A137,TERSE!$AV$2:$AV$4001,$B137,TERSE!$AY$2:$AY$4001,"")</f>
        <v>0</v>
      </c>
      <c r="J137" s="7">
        <f t="shared" si="28"/>
        <v>0</v>
      </c>
      <c r="K137" s="16">
        <f>SUMIFS(TERSE!$AW$2:$AW$4001,TERSE!$AU$2:$AU$4001,$A137,TERSE!$AV$2:$AV$4001,$B137,TERSE!$AY$2:$AY$4001,"")</f>
        <v>0</v>
      </c>
      <c r="L137" s="13" t="s">
        <v>184</v>
      </c>
      <c r="M137" s="2" t="str">
        <f t="shared" si="29"/>
        <v>2 - Diesel - Clear</v>
      </c>
      <c r="N137" s="2" t="str">
        <f>IF(OR($L137="",$M137="",$D137=0,$A137="FULTON (COLLEGE PARK)"),"",MAX(N$3:N136)+1)</f>
        <v/>
      </c>
    </row>
    <row r="138" spans="1:14" x14ac:dyDescent="0.25">
      <c r="A138" s="2" t="s">
        <v>346</v>
      </c>
      <c r="B138" s="2" t="s">
        <v>214</v>
      </c>
      <c r="C138" s="11">
        <v>0.02</v>
      </c>
      <c r="D138" s="15">
        <f t="shared" si="24"/>
        <v>0</v>
      </c>
      <c r="E138" s="15">
        <f>ROUND(SUMIFS(TERSE!$AX$2:$AX$4001,TERSE!$AU$2:$AU$4001,$A138,TERSE!$AV$2:$AV$4001,$B138,TERSE!$AY$2:$AY$4001,""),0)</f>
        <v>0</v>
      </c>
      <c r="F138" s="15">
        <f t="shared" si="25"/>
        <v>0</v>
      </c>
      <c r="G138" s="7">
        <f t="shared" si="26"/>
        <v>0</v>
      </c>
      <c r="H138" s="7">
        <f t="shared" si="27"/>
        <v>0</v>
      </c>
      <c r="I138" s="7">
        <f>SUMIFS(TERSE!$AB$2:$AB$4001,TERSE!$AU$2:$AU$4001,$A138,TERSE!$AV$2:$AV$4001,$B138,TERSE!$AY$2:$AY$4001,"")</f>
        <v>0</v>
      </c>
      <c r="J138" s="7">
        <f t="shared" si="28"/>
        <v>0</v>
      </c>
      <c r="K138" s="16">
        <f>SUMIFS(TERSE!$AW$2:$AW$4001,TERSE!$AU$2:$AU$4001,$A138,TERSE!$AV$2:$AV$4001,$B138,TERSE!$AY$2:$AY$4001,"")</f>
        <v>0</v>
      </c>
      <c r="L138" s="13" t="s">
        <v>186</v>
      </c>
      <c r="M138" s="2" t="str">
        <f t="shared" si="29"/>
        <v>2 - Diesel - Clear</v>
      </c>
      <c r="N138" s="2" t="str">
        <f>IF(OR($L138="",$M138="",$D138=0,$A138="FULTON (COLLEGE PARK)"),"",MAX(N$3:N137)+1)</f>
        <v/>
      </c>
    </row>
    <row r="139" spans="1:14" x14ac:dyDescent="0.25">
      <c r="A139" s="2" t="s">
        <v>347</v>
      </c>
      <c r="B139" s="2" t="s">
        <v>214</v>
      </c>
      <c r="C139" s="11">
        <v>0.03</v>
      </c>
      <c r="D139" s="15">
        <f t="shared" si="24"/>
        <v>0</v>
      </c>
      <c r="E139" s="15">
        <f>ROUND(SUMIFS(TERSE!$AX$2:$AX$4001,TERSE!$AU$2:$AU$4001,$A139,TERSE!$AV$2:$AV$4001,$B139,TERSE!$AY$2:$AY$4001,""),0)</f>
        <v>0</v>
      </c>
      <c r="F139" s="15">
        <f t="shared" si="25"/>
        <v>0</v>
      </c>
      <c r="G139" s="7">
        <f t="shared" si="26"/>
        <v>0</v>
      </c>
      <c r="H139" s="7">
        <f t="shared" si="27"/>
        <v>0</v>
      </c>
      <c r="I139" s="7">
        <f>SUMIFS(TERSE!$AB$2:$AB$4001,TERSE!$AU$2:$AU$4001,$A139,TERSE!$AV$2:$AV$4001,$B139,TERSE!$AY$2:$AY$4001,"")</f>
        <v>0</v>
      </c>
      <c r="J139" s="7">
        <f t="shared" si="28"/>
        <v>0</v>
      </c>
      <c r="K139" s="16">
        <f>SUMIFS(TERSE!$AW$2:$AW$4001,TERSE!$AU$2:$AU$4001,$A139,TERSE!$AV$2:$AV$4001,$B139,TERSE!$AY$2:$AY$4001,"")</f>
        <v>0</v>
      </c>
      <c r="L139" s="13" t="s">
        <v>348</v>
      </c>
      <c r="M139" s="2" t="str">
        <f t="shared" si="29"/>
        <v>2 - Diesel - Clear</v>
      </c>
      <c r="N139" s="2" t="str">
        <f>IF(OR($L139="",$M139="",$D139=0,$A139="FULTON (COLLEGE PARK)"),"",MAX(N$3:N138)+1)</f>
        <v/>
      </c>
    </row>
    <row r="140" spans="1:14" x14ac:dyDescent="0.25">
      <c r="A140" s="2" t="s">
        <v>349</v>
      </c>
      <c r="B140" s="2" t="s">
        <v>214</v>
      </c>
      <c r="C140" s="11">
        <v>0.03</v>
      </c>
      <c r="D140" s="15">
        <f t="shared" si="24"/>
        <v>0</v>
      </c>
      <c r="E140" s="15">
        <f>ROUND(SUMIFS(TERSE!$AX$2:$AX$4001,TERSE!$AU$2:$AU$4001,$A140,TERSE!$AV$2:$AV$4001,$B140,TERSE!$AY$2:$AY$4001,""),0)</f>
        <v>0</v>
      </c>
      <c r="F140" s="15">
        <f t="shared" si="25"/>
        <v>0</v>
      </c>
      <c r="G140" s="7">
        <f t="shared" si="26"/>
        <v>0</v>
      </c>
      <c r="H140" s="7">
        <f t="shared" si="27"/>
        <v>0</v>
      </c>
      <c r="I140" s="7">
        <f>SUMIFS(TERSE!$AB$2:$AB$4001,TERSE!$AU$2:$AU$4001,$A140,TERSE!$AV$2:$AV$4001,$B140,TERSE!$AY$2:$AY$4001,"")</f>
        <v>0</v>
      </c>
      <c r="J140" s="7">
        <f t="shared" si="28"/>
        <v>0</v>
      </c>
      <c r="K140" s="16">
        <f>SUMIFS(TERSE!$AW$2:$AW$4001,TERSE!$AU$2:$AU$4001,$A140,TERSE!$AV$2:$AV$4001,$B140,TERSE!$AY$2:$AY$4001,"")</f>
        <v>0</v>
      </c>
      <c r="L140" s="13" t="s">
        <v>350</v>
      </c>
      <c r="M140" s="2" t="str">
        <f t="shared" si="29"/>
        <v>2 - Diesel - Clear</v>
      </c>
      <c r="N140" s="2" t="str">
        <f>IF(OR($L140="",$M140="",$D140=0,$A140="FULTON (COLLEGE PARK)"),"",MAX(N$3:N139)+1)</f>
        <v/>
      </c>
    </row>
    <row r="141" spans="1:14" x14ac:dyDescent="0.25">
      <c r="A141" s="2" t="s">
        <v>351</v>
      </c>
      <c r="B141" s="2" t="s">
        <v>214</v>
      </c>
      <c r="C141" s="11">
        <v>0.03</v>
      </c>
      <c r="D141" s="15">
        <f t="shared" si="24"/>
        <v>0</v>
      </c>
      <c r="E141" s="15">
        <f>ROUND(SUMIFS(TERSE!$AX$2:$AX$4001,TERSE!$AU$2:$AU$4001,$A141,TERSE!$AV$2:$AV$4001,$B141,TERSE!$AY$2:$AY$4001,""),0)</f>
        <v>0</v>
      </c>
      <c r="F141" s="15">
        <f t="shared" si="25"/>
        <v>0</v>
      </c>
      <c r="G141" s="7">
        <f t="shared" si="26"/>
        <v>0</v>
      </c>
      <c r="H141" s="7">
        <f t="shared" si="27"/>
        <v>0</v>
      </c>
      <c r="I141" s="7">
        <f>SUMIFS(TERSE!$AB$2:$AB$4001,TERSE!$AU$2:$AU$4001,$A141,TERSE!$AV$2:$AV$4001,$B141,TERSE!$AY$2:$AY$4001,"")</f>
        <v>0</v>
      </c>
      <c r="J141" s="7">
        <f t="shared" si="28"/>
        <v>0</v>
      </c>
      <c r="K141" s="16">
        <f>SUMIFS(TERSE!$AW$2:$AW$4001,TERSE!$AU$2:$AU$4001,$A141,TERSE!$AV$2:$AV$4001,$B141,TERSE!$AY$2:$AY$4001,"")</f>
        <v>0</v>
      </c>
      <c r="L141" s="13" t="s">
        <v>188</v>
      </c>
      <c r="M141" s="2" t="str">
        <f t="shared" si="29"/>
        <v>2 - Diesel - Clear</v>
      </c>
      <c r="N141" s="2" t="str">
        <f>IF(OR($L141="",$M141="",$D141=0,$A141="FULTON (COLLEGE PARK)"),"",MAX(N$3:N140)+1)</f>
        <v/>
      </c>
    </row>
    <row r="142" spans="1:14" x14ac:dyDescent="0.25">
      <c r="A142" s="2" t="s">
        <v>351</v>
      </c>
      <c r="B142" s="2" t="s">
        <v>223</v>
      </c>
      <c r="C142" s="11">
        <v>0.03</v>
      </c>
      <c r="D142" s="15">
        <f t="shared" si="24"/>
        <v>0</v>
      </c>
      <c r="E142" s="15">
        <f>ROUND(SUMIFS(TERSE!$AX$2:$AX$4001,TERSE!$AU$2:$AU$4001,$A142,TERSE!$AV$2:$AV$4001,$B142,TERSE!$AY$2:$AY$4001,""),0)</f>
        <v>0</v>
      </c>
      <c r="F142" s="15">
        <f t="shared" si="25"/>
        <v>0</v>
      </c>
      <c r="G142" s="7">
        <f t="shared" si="26"/>
        <v>0</v>
      </c>
      <c r="H142" s="7">
        <f t="shared" si="27"/>
        <v>0</v>
      </c>
      <c r="I142" s="7">
        <f>SUMIFS(TERSE!$AB$2:$AB$4001,TERSE!$AU$2:$AU$4001,$A142,TERSE!$AV$2:$AV$4001,$B142,TERSE!$AY$2:$AY$4001,"")</f>
        <v>0</v>
      </c>
      <c r="J142" s="7">
        <f t="shared" si="28"/>
        <v>0</v>
      </c>
      <c r="K142" s="16">
        <f>SUMIFS(TERSE!$AW$2:$AW$4001,TERSE!$AU$2:$AU$4001,$A142,TERSE!$AV$2:$AV$4001,$B142,TERSE!$AY$2:$AY$4001,"")</f>
        <v>0</v>
      </c>
      <c r="L142" s="13" t="s">
        <v>188</v>
      </c>
      <c r="M142" s="2" t="str">
        <f t="shared" si="29"/>
        <v>1 - Gasoline</v>
      </c>
      <c r="N142" s="2" t="str">
        <f>IF(OR($L142="",$M142="",$D142=0,$A142="FULTON (COLLEGE PARK)"),"",MAX(N$3:N141)+1)</f>
        <v/>
      </c>
    </row>
    <row r="143" spans="1:14" x14ac:dyDescent="0.25">
      <c r="A143" s="2" t="s">
        <v>352</v>
      </c>
      <c r="B143" s="2" t="s">
        <v>214</v>
      </c>
      <c r="C143" s="11">
        <v>0.03</v>
      </c>
      <c r="D143" s="15">
        <f t="shared" si="24"/>
        <v>0</v>
      </c>
      <c r="E143" s="15">
        <f>ROUND(SUMIFS(TERSE!$AX$2:$AX$4001,TERSE!$AU$2:$AU$4001,$A143,TERSE!$AV$2:$AV$4001,$B143,TERSE!$AY$2:$AY$4001,""),0)</f>
        <v>0</v>
      </c>
      <c r="F143" s="15">
        <f t="shared" si="25"/>
        <v>0</v>
      </c>
      <c r="G143" s="7">
        <f t="shared" si="26"/>
        <v>0</v>
      </c>
      <c r="H143" s="7">
        <f t="shared" si="27"/>
        <v>0</v>
      </c>
      <c r="I143" s="7">
        <f>SUMIFS(TERSE!$AB$2:$AB$4001,TERSE!$AU$2:$AU$4001,$A143,TERSE!$AV$2:$AV$4001,$B143,TERSE!$AY$2:$AY$4001,"")</f>
        <v>0</v>
      </c>
      <c r="J143" s="7">
        <f t="shared" si="28"/>
        <v>0</v>
      </c>
      <c r="K143" s="16">
        <f>SUMIFS(TERSE!$AW$2:$AW$4001,TERSE!$AU$2:$AU$4001,$A143,TERSE!$AV$2:$AV$4001,$B143,TERSE!$AY$2:$AY$4001,"")</f>
        <v>0</v>
      </c>
      <c r="L143" s="13" t="s">
        <v>353</v>
      </c>
      <c r="M143" s="2" t="str">
        <f t="shared" si="29"/>
        <v>2 - Diesel - Clear</v>
      </c>
      <c r="N143" s="2" t="str">
        <f>IF(OR($L143="",$M143="",$D143=0,$A143="FULTON (COLLEGE PARK)"),"",MAX(N$3:N142)+1)</f>
        <v/>
      </c>
    </row>
    <row r="144" spans="1:14" x14ac:dyDescent="0.25">
      <c r="A144" s="2" t="s">
        <v>354</v>
      </c>
      <c r="B144" s="2" t="s">
        <v>214</v>
      </c>
      <c r="C144" s="11">
        <v>0.04</v>
      </c>
      <c r="D144" s="15">
        <f t="shared" si="24"/>
        <v>0</v>
      </c>
      <c r="E144" s="15">
        <f>ROUND(SUMIFS(TERSE!$AX$2:$AX$4001,TERSE!$AU$2:$AU$4001,$A144,TERSE!$AV$2:$AV$4001,$B144,TERSE!$AY$2:$AY$4001,""),0)</f>
        <v>0</v>
      </c>
      <c r="F144" s="15">
        <f t="shared" si="25"/>
        <v>0</v>
      </c>
      <c r="G144" s="7">
        <f t="shared" si="26"/>
        <v>0</v>
      </c>
      <c r="H144" s="7">
        <f t="shared" si="27"/>
        <v>0</v>
      </c>
      <c r="I144" s="7">
        <f>SUMIFS(TERSE!$AB$2:$AB$4001,TERSE!$AU$2:$AU$4001,$A144,TERSE!$AV$2:$AV$4001,$B144,TERSE!$AY$2:$AY$4001,"")</f>
        <v>0</v>
      </c>
      <c r="J144" s="7">
        <f t="shared" si="28"/>
        <v>0</v>
      </c>
      <c r="K144" s="16">
        <f>SUMIFS(TERSE!$AW$2:$AW$4001,TERSE!$AU$2:$AU$4001,$A144,TERSE!$AV$2:$AV$4001,$B144,TERSE!$AY$2:$AY$4001,"")</f>
        <v>0</v>
      </c>
      <c r="L144" s="13" t="s">
        <v>355</v>
      </c>
      <c r="M144" s="2" t="str">
        <f t="shared" si="29"/>
        <v>2 - Diesel - Clear</v>
      </c>
      <c r="N144" s="2" t="str">
        <f>IF(OR($L144="",$M144="",$D144=0,$A144="FULTON (COLLEGE PARK)"),"",MAX(N$3:N143)+1)</f>
        <v/>
      </c>
    </row>
    <row r="145" spans="1:14" x14ac:dyDescent="0.25">
      <c r="A145" s="2" t="s">
        <v>356</v>
      </c>
      <c r="B145" s="2" t="s">
        <v>214</v>
      </c>
      <c r="C145" s="11">
        <v>0.03</v>
      </c>
      <c r="D145" s="15">
        <f t="shared" si="24"/>
        <v>0</v>
      </c>
      <c r="E145" s="15">
        <f>ROUND(SUMIFS(TERSE!$AX$2:$AX$4001,TERSE!$AU$2:$AU$4001,$A145,TERSE!$AV$2:$AV$4001,$B145,TERSE!$AY$2:$AY$4001,""),0)</f>
        <v>0</v>
      </c>
      <c r="F145" s="15">
        <f t="shared" si="25"/>
        <v>0</v>
      </c>
      <c r="G145" s="7">
        <f t="shared" si="26"/>
        <v>0</v>
      </c>
      <c r="H145" s="7">
        <f t="shared" si="27"/>
        <v>0</v>
      </c>
      <c r="I145" s="7">
        <f>SUMIFS(TERSE!$AB$2:$AB$4001,TERSE!$AU$2:$AU$4001,$A145,TERSE!$AV$2:$AV$4001,$B145,TERSE!$AY$2:$AY$4001,"")</f>
        <v>0</v>
      </c>
      <c r="J145" s="7">
        <f t="shared" si="28"/>
        <v>0</v>
      </c>
      <c r="K145" s="16">
        <f>SUMIFS(TERSE!$AW$2:$AW$4001,TERSE!$AU$2:$AU$4001,$A145,TERSE!$AV$2:$AV$4001,$B145,TERSE!$AY$2:$AY$4001,"")</f>
        <v>0</v>
      </c>
      <c r="L145" s="13" t="s">
        <v>357</v>
      </c>
      <c r="M145" s="2" t="str">
        <f t="shared" si="29"/>
        <v>2 - Diesel - Clear</v>
      </c>
      <c r="N145" s="2" t="str">
        <f>IF(OR($L145="",$M145="",$D145=0,$A145="FULTON (COLLEGE PARK)"),"",MAX(N$3:N144)+1)</f>
        <v/>
      </c>
    </row>
    <row r="146" spans="1:14" x14ac:dyDescent="0.25">
      <c r="A146" s="2" t="s">
        <v>356</v>
      </c>
      <c r="B146" s="2" t="s">
        <v>223</v>
      </c>
      <c r="C146" s="11">
        <v>0.03</v>
      </c>
      <c r="D146" s="15">
        <f t="shared" si="24"/>
        <v>0</v>
      </c>
      <c r="E146" s="15">
        <f>ROUND(SUMIFS(TERSE!$AX$2:$AX$4001,TERSE!$AU$2:$AU$4001,$A146,TERSE!$AV$2:$AV$4001,$B146,TERSE!$AY$2:$AY$4001,""),0)</f>
        <v>0</v>
      </c>
      <c r="F146" s="15">
        <f t="shared" si="25"/>
        <v>0</v>
      </c>
      <c r="G146" s="7">
        <f t="shared" si="26"/>
        <v>0</v>
      </c>
      <c r="H146" s="7">
        <f t="shared" si="27"/>
        <v>0</v>
      </c>
      <c r="I146" s="7">
        <f>SUMIFS(TERSE!$AB$2:$AB$4001,TERSE!$AU$2:$AU$4001,$A146,TERSE!$AV$2:$AV$4001,$B146,TERSE!$AY$2:$AY$4001,"")</f>
        <v>0</v>
      </c>
      <c r="J146" s="7">
        <f t="shared" si="28"/>
        <v>0</v>
      </c>
      <c r="K146" s="16">
        <f>SUMIFS(TERSE!$AW$2:$AW$4001,TERSE!$AU$2:$AU$4001,$A146,TERSE!$AV$2:$AV$4001,$B146,TERSE!$AY$2:$AY$4001,"")</f>
        <v>0</v>
      </c>
      <c r="L146" s="13" t="s">
        <v>357</v>
      </c>
      <c r="M146" s="2" t="str">
        <f t="shared" si="29"/>
        <v>1 - Gasoline</v>
      </c>
      <c r="N146" s="2" t="str">
        <f>IF(OR($L146="",$M146="",$D146=0,$A146="FULTON (COLLEGE PARK)"),"",MAX(N$3:N145)+1)</f>
        <v/>
      </c>
    </row>
    <row r="147" spans="1:14" x14ac:dyDescent="0.25">
      <c r="A147" s="2" t="s">
        <v>358</v>
      </c>
      <c r="B147" s="2" t="s">
        <v>214</v>
      </c>
      <c r="C147" s="11">
        <v>0.03</v>
      </c>
      <c r="D147" s="15">
        <f t="shared" si="24"/>
        <v>0</v>
      </c>
      <c r="E147" s="15">
        <f>ROUND(SUMIFS(TERSE!$AX$2:$AX$4001,TERSE!$AU$2:$AU$4001,$A147,TERSE!$AV$2:$AV$4001,$B147,TERSE!$AY$2:$AY$4001,""),0)</f>
        <v>0</v>
      </c>
      <c r="F147" s="15">
        <f t="shared" si="25"/>
        <v>0</v>
      </c>
      <c r="G147" s="7">
        <f t="shared" si="26"/>
        <v>0</v>
      </c>
      <c r="H147" s="7">
        <f t="shared" si="27"/>
        <v>0</v>
      </c>
      <c r="I147" s="7">
        <f>SUMIFS(TERSE!$AB$2:$AB$4001,TERSE!$AU$2:$AU$4001,$A147,TERSE!$AV$2:$AV$4001,$B147,TERSE!$AY$2:$AY$4001,"")</f>
        <v>0</v>
      </c>
      <c r="J147" s="7">
        <f t="shared" si="28"/>
        <v>0</v>
      </c>
      <c r="K147" s="16">
        <f>SUMIFS(TERSE!$AW$2:$AW$4001,TERSE!$AU$2:$AU$4001,$A147,TERSE!$AV$2:$AV$4001,$B147,TERSE!$AY$2:$AY$4001,"")</f>
        <v>0</v>
      </c>
      <c r="L147" s="13" t="s">
        <v>359</v>
      </c>
      <c r="M147" s="2" t="str">
        <f t="shared" si="29"/>
        <v>2 - Diesel - Clear</v>
      </c>
      <c r="N147" s="2" t="str">
        <f>IF(OR($L147="",$M147="",$D147=0,$A147="FULTON (COLLEGE PARK)"),"",MAX(N$3:N146)+1)</f>
        <v/>
      </c>
    </row>
    <row r="148" spans="1:14" x14ac:dyDescent="0.25">
      <c r="A148" s="2" t="s">
        <v>358</v>
      </c>
      <c r="B148" s="2" t="s">
        <v>223</v>
      </c>
      <c r="C148" s="11">
        <v>0.03</v>
      </c>
      <c r="D148" s="15">
        <f t="shared" si="24"/>
        <v>0</v>
      </c>
      <c r="E148" s="15">
        <f>ROUND(SUMIFS(TERSE!$AX$2:$AX$4001,TERSE!$AU$2:$AU$4001,$A148,TERSE!$AV$2:$AV$4001,$B148,TERSE!$AY$2:$AY$4001,""),0)</f>
        <v>0</v>
      </c>
      <c r="F148" s="15">
        <f t="shared" si="25"/>
        <v>0</v>
      </c>
      <c r="G148" s="7">
        <f t="shared" si="26"/>
        <v>0</v>
      </c>
      <c r="H148" s="7">
        <f t="shared" si="27"/>
        <v>0</v>
      </c>
      <c r="I148" s="7">
        <f>SUMIFS(TERSE!$AB$2:$AB$4001,TERSE!$AU$2:$AU$4001,$A148,TERSE!$AV$2:$AV$4001,$B148,TERSE!$AY$2:$AY$4001,"")</f>
        <v>0</v>
      </c>
      <c r="J148" s="7">
        <f t="shared" si="28"/>
        <v>0</v>
      </c>
      <c r="K148" s="16">
        <f>SUMIFS(TERSE!$AW$2:$AW$4001,TERSE!$AU$2:$AU$4001,$A148,TERSE!$AV$2:$AV$4001,$B148,TERSE!$AY$2:$AY$4001,"")</f>
        <v>0</v>
      </c>
      <c r="L148" s="13" t="s">
        <v>359</v>
      </c>
      <c r="M148" s="2" t="str">
        <f t="shared" si="29"/>
        <v>1 - Gasoline</v>
      </c>
      <c r="N148" s="2" t="str">
        <f>IF(OR($L148="",$M148="",$D148=0,$A148="FULTON (COLLEGE PARK)"),"",MAX(N$3:N147)+1)</f>
        <v/>
      </c>
    </row>
    <row r="149" spans="1:14" x14ac:dyDescent="0.25">
      <c r="A149" s="2" t="s">
        <v>360</v>
      </c>
      <c r="B149" s="2" t="s">
        <v>214</v>
      </c>
      <c r="C149" s="11">
        <v>0.04</v>
      </c>
      <c r="D149" s="15">
        <f t="shared" si="24"/>
        <v>0</v>
      </c>
      <c r="E149" s="15">
        <f>ROUND(SUMIFS(TERSE!$AX$2:$AX$4001,TERSE!$AU$2:$AU$4001,$A149,TERSE!$AV$2:$AV$4001,$B149,TERSE!$AY$2:$AY$4001,""),0)</f>
        <v>0</v>
      </c>
      <c r="F149" s="15">
        <f t="shared" si="25"/>
        <v>0</v>
      </c>
      <c r="G149" s="7">
        <f t="shared" si="26"/>
        <v>0</v>
      </c>
      <c r="H149" s="7">
        <f t="shared" si="27"/>
        <v>0</v>
      </c>
      <c r="I149" s="7">
        <f>SUMIFS(TERSE!$AB$2:$AB$4001,TERSE!$AU$2:$AU$4001,$A149,TERSE!$AV$2:$AV$4001,$B149,TERSE!$AY$2:$AY$4001,"")</f>
        <v>0</v>
      </c>
      <c r="J149" s="7">
        <f t="shared" si="28"/>
        <v>0</v>
      </c>
      <c r="K149" s="16">
        <f>SUMIFS(TERSE!$AW$2:$AW$4001,TERSE!$AU$2:$AU$4001,$A149,TERSE!$AV$2:$AV$4001,$B149,TERSE!$AY$2:$AY$4001,"")</f>
        <v>0</v>
      </c>
      <c r="L149" s="13" t="s">
        <v>361</v>
      </c>
      <c r="M149" s="2" t="str">
        <f t="shared" si="29"/>
        <v>2 - Diesel - Clear</v>
      </c>
      <c r="N149" s="2" t="str">
        <f>IF(OR($L149="",$M149="",$D149=0,$A149="FULTON (COLLEGE PARK)"),"",MAX(N$3:N148)+1)</f>
        <v/>
      </c>
    </row>
    <row r="150" spans="1:14" x14ac:dyDescent="0.25">
      <c r="A150" s="2" t="s">
        <v>360</v>
      </c>
      <c r="B150" s="2" t="s">
        <v>223</v>
      </c>
      <c r="C150" s="11">
        <v>0.04</v>
      </c>
      <c r="D150" s="15">
        <f t="shared" si="24"/>
        <v>0</v>
      </c>
      <c r="E150" s="15">
        <f>ROUND(SUMIFS(TERSE!$AX$2:$AX$4001,TERSE!$AU$2:$AU$4001,$A150,TERSE!$AV$2:$AV$4001,$B150,TERSE!$AY$2:$AY$4001,""),0)</f>
        <v>0</v>
      </c>
      <c r="F150" s="15">
        <f t="shared" si="25"/>
        <v>0</v>
      </c>
      <c r="G150" s="7">
        <f t="shared" si="26"/>
        <v>0</v>
      </c>
      <c r="H150" s="7">
        <f t="shared" si="27"/>
        <v>0</v>
      </c>
      <c r="I150" s="7">
        <f>SUMIFS(TERSE!$AB$2:$AB$4001,TERSE!$AU$2:$AU$4001,$A150,TERSE!$AV$2:$AV$4001,$B150,TERSE!$AY$2:$AY$4001,"")</f>
        <v>0</v>
      </c>
      <c r="J150" s="7">
        <f t="shared" si="28"/>
        <v>0</v>
      </c>
      <c r="K150" s="16">
        <f>SUMIFS(TERSE!$AW$2:$AW$4001,TERSE!$AU$2:$AU$4001,$A150,TERSE!$AV$2:$AV$4001,$B150,TERSE!$AY$2:$AY$4001,"")</f>
        <v>0</v>
      </c>
      <c r="L150" s="13" t="s">
        <v>361</v>
      </c>
      <c r="M150" s="2" t="str">
        <f t="shared" si="29"/>
        <v>1 - Gasoline</v>
      </c>
      <c r="N150" s="2" t="str">
        <f>IF(OR($L150="",$M150="",$D150=0,$A150="FULTON (COLLEGE PARK)"),"",MAX(N$3:N149)+1)</f>
        <v/>
      </c>
    </row>
    <row r="151" spans="1:14" x14ac:dyDescent="0.25">
      <c r="A151" s="2" t="s">
        <v>362</v>
      </c>
      <c r="B151" s="2" t="s">
        <v>214</v>
      </c>
      <c r="C151" s="11">
        <v>0.03</v>
      </c>
      <c r="D151" s="15">
        <f t="shared" si="24"/>
        <v>0</v>
      </c>
      <c r="E151" s="15">
        <f>ROUND(SUMIFS(TERSE!$AX$2:$AX$4001,TERSE!$AU$2:$AU$4001,$A151,TERSE!$AV$2:$AV$4001,$B151,TERSE!$AY$2:$AY$4001,""),0)</f>
        <v>0</v>
      </c>
      <c r="F151" s="15">
        <f t="shared" si="25"/>
        <v>0</v>
      </c>
      <c r="G151" s="7">
        <f t="shared" si="26"/>
        <v>0</v>
      </c>
      <c r="H151" s="7">
        <f t="shared" si="27"/>
        <v>0</v>
      </c>
      <c r="I151" s="7">
        <f>SUMIFS(TERSE!$AB$2:$AB$4001,TERSE!$AU$2:$AU$4001,$A151,TERSE!$AV$2:$AV$4001,$B151,TERSE!$AY$2:$AY$4001,"")</f>
        <v>0</v>
      </c>
      <c r="J151" s="7">
        <f t="shared" si="28"/>
        <v>0</v>
      </c>
      <c r="K151" s="16">
        <f>SUMIFS(TERSE!$AW$2:$AW$4001,TERSE!$AU$2:$AU$4001,$A151,TERSE!$AV$2:$AV$4001,$B151,TERSE!$AY$2:$AY$4001,"")</f>
        <v>0</v>
      </c>
      <c r="L151" s="13" t="s">
        <v>363</v>
      </c>
      <c r="M151" s="2" t="str">
        <f t="shared" si="29"/>
        <v>2 - Diesel - Clear</v>
      </c>
      <c r="N151" s="2" t="str">
        <f>IF(OR($L151="",$M151="",$D151=0,$A151="FULTON (COLLEGE PARK)"),"",MAX(N$3:N150)+1)</f>
        <v/>
      </c>
    </row>
    <row r="152" spans="1:14" x14ac:dyDescent="0.25">
      <c r="A152" s="2" t="s">
        <v>362</v>
      </c>
      <c r="B152" s="2" t="s">
        <v>223</v>
      </c>
      <c r="C152" s="11">
        <v>0.03</v>
      </c>
      <c r="D152" s="15">
        <f t="shared" si="24"/>
        <v>0</v>
      </c>
      <c r="E152" s="15">
        <f>ROUND(SUMIFS(TERSE!$AX$2:$AX$4001,TERSE!$AU$2:$AU$4001,$A152,TERSE!$AV$2:$AV$4001,$B152,TERSE!$AY$2:$AY$4001,""),0)</f>
        <v>0</v>
      </c>
      <c r="F152" s="15">
        <f t="shared" si="25"/>
        <v>0</v>
      </c>
      <c r="G152" s="7">
        <f t="shared" si="26"/>
        <v>0</v>
      </c>
      <c r="H152" s="7">
        <f t="shared" si="27"/>
        <v>0</v>
      </c>
      <c r="I152" s="7">
        <f>SUMIFS(TERSE!$AB$2:$AB$4001,TERSE!$AU$2:$AU$4001,$A152,TERSE!$AV$2:$AV$4001,$B152,TERSE!$AY$2:$AY$4001,"")</f>
        <v>0</v>
      </c>
      <c r="J152" s="7">
        <f t="shared" si="28"/>
        <v>0</v>
      </c>
      <c r="K152" s="16">
        <f>SUMIFS(TERSE!$AW$2:$AW$4001,TERSE!$AU$2:$AU$4001,$A152,TERSE!$AV$2:$AV$4001,$B152,TERSE!$AY$2:$AY$4001,"")</f>
        <v>0</v>
      </c>
      <c r="L152" s="13" t="s">
        <v>363</v>
      </c>
      <c r="M152" s="2" t="str">
        <f t="shared" si="29"/>
        <v>1 - Gasoline</v>
      </c>
      <c r="N152" s="2" t="str">
        <f>IF(OR($L152="",$M152="",$D152=0,$A152="FULTON (COLLEGE PARK)"),"",MAX(N$3:N151)+1)</f>
        <v/>
      </c>
    </row>
    <row r="153" spans="1:14" x14ac:dyDescent="0.25">
      <c r="A153" s="2" t="s">
        <v>364</v>
      </c>
      <c r="B153" s="2" t="s">
        <v>214</v>
      </c>
      <c r="C153" s="11">
        <v>0.03</v>
      </c>
      <c r="D153" s="15">
        <f t="shared" si="24"/>
        <v>0</v>
      </c>
      <c r="E153" s="15">
        <f>ROUND(SUMIFS(TERSE!$AX$2:$AX$4001,TERSE!$AU$2:$AU$4001,$A153,TERSE!$AV$2:$AV$4001,$B153,TERSE!$AY$2:$AY$4001,""),0)</f>
        <v>0</v>
      </c>
      <c r="F153" s="15">
        <f t="shared" si="25"/>
        <v>0</v>
      </c>
      <c r="G153" s="7">
        <f t="shared" si="26"/>
        <v>0</v>
      </c>
      <c r="H153" s="7">
        <f t="shared" si="27"/>
        <v>0</v>
      </c>
      <c r="I153" s="7">
        <f>SUMIFS(TERSE!$AB$2:$AB$4001,TERSE!$AU$2:$AU$4001,$A153,TERSE!$AV$2:$AV$4001,$B153,TERSE!$AY$2:$AY$4001,"")</f>
        <v>0</v>
      </c>
      <c r="J153" s="7">
        <f t="shared" si="28"/>
        <v>0</v>
      </c>
      <c r="K153" s="16">
        <f>SUMIFS(TERSE!$AW$2:$AW$4001,TERSE!$AU$2:$AU$4001,$A153,TERSE!$AV$2:$AV$4001,$B153,TERSE!$AY$2:$AY$4001,"")</f>
        <v>0</v>
      </c>
      <c r="L153" s="13" t="s">
        <v>365</v>
      </c>
      <c r="M153" s="2" t="str">
        <f t="shared" si="29"/>
        <v>2 - Diesel - Clear</v>
      </c>
      <c r="N153" s="2" t="str">
        <f>IF(OR($L153="",$M153="",$D153=0,$A153="FULTON (COLLEGE PARK)"),"",MAX(N$3:N152)+1)</f>
        <v/>
      </c>
    </row>
    <row r="154" spans="1:14" x14ac:dyDescent="0.25">
      <c r="A154" s="2" t="s">
        <v>364</v>
      </c>
      <c r="B154" s="2" t="s">
        <v>223</v>
      </c>
      <c r="C154" s="11">
        <v>0.03</v>
      </c>
      <c r="D154" s="15">
        <f t="shared" si="24"/>
        <v>0</v>
      </c>
      <c r="E154" s="15">
        <f>ROUND(SUMIFS(TERSE!$AX$2:$AX$4001,TERSE!$AU$2:$AU$4001,$A154,TERSE!$AV$2:$AV$4001,$B154,TERSE!$AY$2:$AY$4001,""),0)</f>
        <v>0</v>
      </c>
      <c r="F154" s="15">
        <f t="shared" si="25"/>
        <v>0</v>
      </c>
      <c r="G154" s="7">
        <f t="shared" si="26"/>
        <v>0</v>
      </c>
      <c r="H154" s="7">
        <f t="shared" si="27"/>
        <v>0</v>
      </c>
      <c r="I154" s="7">
        <f>SUMIFS(TERSE!$AB$2:$AB$4001,TERSE!$AU$2:$AU$4001,$A154,TERSE!$AV$2:$AV$4001,$B154,TERSE!$AY$2:$AY$4001,"")</f>
        <v>0</v>
      </c>
      <c r="J154" s="7">
        <f t="shared" si="28"/>
        <v>0</v>
      </c>
      <c r="K154" s="16">
        <f>SUMIFS(TERSE!$AW$2:$AW$4001,TERSE!$AU$2:$AU$4001,$A154,TERSE!$AV$2:$AV$4001,$B154,TERSE!$AY$2:$AY$4001,"")</f>
        <v>0</v>
      </c>
      <c r="L154" s="13" t="s">
        <v>365</v>
      </c>
      <c r="M154" s="2" t="str">
        <f t="shared" si="29"/>
        <v>1 - Gasoline</v>
      </c>
      <c r="N154" s="2" t="str">
        <f>IF(OR($L154="",$M154="",$D154=0,$A154="FULTON (COLLEGE PARK)"),"",MAX(N$3:N153)+1)</f>
        <v/>
      </c>
    </row>
    <row r="155" spans="1:14" x14ac:dyDescent="0.25">
      <c r="A155" s="2" t="s">
        <v>366</v>
      </c>
      <c r="B155" s="2" t="s">
        <v>214</v>
      </c>
      <c r="C155" s="11">
        <v>0.03</v>
      </c>
      <c r="D155" s="15">
        <f t="shared" si="24"/>
        <v>0</v>
      </c>
      <c r="E155" s="15">
        <f>ROUND(SUMIFS(TERSE!$AX$2:$AX$4001,TERSE!$AU$2:$AU$4001,$A155,TERSE!$AV$2:$AV$4001,$B155,TERSE!$AY$2:$AY$4001,""),0)</f>
        <v>0</v>
      </c>
      <c r="F155" s="15">
        <f t="shared" si="25"/>
        <v>0</v>
      </c>
      <c r="G155" s="7">
        <f t="shared" si="26"/>
        <v>0</v>
      </c>
      <c r="H155" s="7">
        <f t="shared" si="27"/>
        <v>0</v>
      </c>
      <c r="I155" s="7">
        <f>SUMIFS(TERSE!$AB$2:$AB$4001,TERSE!$AU$2:$AU$4001,$A155,TERSE!$AV$2:$AV$4001,$B155,TERSE!$AY$2:$AY$4001,"")</f>
        <v>0</v>
      </c>
      <c r="J155" s="7">
        <f t="shared" si="28"/>
        <v>0</v>
      </c>
      <c r="K155" s="16">
        <f>SUMIFS(TERSE!$AW$2:$AW$4001,TERSE!$AU$2:$AU$4001,$A155,TERSE!$AV$2:$AV$4001,$B155,TERSE!$AY$2:$AY$4001,"")</f>
        <v>0</v>
      </c>
      <c r="L155" s="13" t="s">
        <v>367</v>
      </c>
      <c r="M155" s="2" t="str">
        <f t="shared" si="29"/>
        <v>2 - Diesel - Clear</v>
      </c>
      <c r="N155" s="2" t="str">
        <f>IF(OR($L155="",$M155="",$D155=0,$A155="FULTON (COLLEGE PARK)"),"",MAX(N$3:N154)+1)</f>
        <v/>
      </c>
    </row>
    <row r="156" spans="1:14" x14ac:dyDescent="0.25">
      <c r="A156" s="2" t="s">
        <v>366</v>
      </c>
      <c r="B156" s="2" t="s">
        <v>223</v>
      </c>
      <c r="C156" s="11">
        <v>0.03</v>
      </c>
      <c r="D156" s="15">
        <f t="shared" si="24"/>
        <v>0</v>
      </c>
      <c r="E156" s="15">
        <f>ROUND(SUMIFS(TERSE!$AX$2:$AX$4001,TERSE!$AU$2:$AU$4001,$A156,TERSE!$AV$2:$AV$4001,$B156,TERSE!$AY$2:$AY$4001,""),0)</f>
        <v>0</v>
      </c>
      <c r="F156" s="15">
        <f t="shared" si="25"/>
        <v>0</v>
      </c>
      <c r="G156" s="7">
        <f t="shared" si="26"/>
        <v>0</v>
      </c>
      <c r="H156" s="7">
        <f t="shared" si="27"/>
        <v>0</v>
      </c>
      <c r="I156" s="7">
        <f>SUMIFS(TERSE!$AB$2:$AB$4001,TERSE!$AU$2:$AU$4001,$A156,TERSE!$AV$2:$AV$4001,$B156,TERSE!$AY$2:$AY$4001,"")</f>
        <v>0</v>
      </c>
      <c r="J156" s="7">
        <f t="shared" si="28"/>
        <v>0</v>
      </c>
      <c r="K156" s="16">
        <f>SUMIFS(TERSE!$AW$2:$AW$4001,TERSE!$AU$2:$AU$4001,$A156,TERSE!$AV$2:$AV$4001,$B156,TERSE!$AY$2:$AY$4001,"")</f>
        <v>0</v>
      </c>
      <c r="L156" s="13" t="s">
        <v>367</v>
      </c>
      <c r="M156" s="2" t="str">
        <f t="shared" si="29"/>
        <v>1 - Gasoline</v>
      </c>
      <c r="N156" s="2" t="str">
        <f>IF(OR($L156="",$M156="",$D156=0,$A156="FULTON (COLLEGE PARK)"),"",MAX(N$3:N155)+1)</f>
        <v/>
      </c>
    </row>
    <row r="157" spans="1:14" x14ac:dyDescent="0.25">
      <c r="A157" s="2" t="s">
        <v>368</v>
      </c>
      <c r="B157" s="2" t="s">
        <v>214</v>
      </c>
      <c r="C157" s="11">
        <v>0.03</v>
      </c>
      <c r="D157" s="15">
        <f t="shared" si="24"/>
        <v>0</v>
      </c>
      <c r="E157" s="15">
        <f>ROUND(SUMIFS(TERSE!$AX$2:$AX$4001,TERSE!$AU$2:$AU$4001,$A157,TERSE!$AV$2:$AV$4001,$B157,TERSE!$AY$2:$AY$4001,""),0)</f>
        <v>0</v>
      </c>
      <c r="F157" s="15">
        <f t="shared" si="25"/>
        <v>0</v>
      </c>
      <c r="G157" s="7">
        <f t="shared" si="26"/>
        <v>0</v>
      </c>
      <c r="H157" s="7">
        <f t="shared" si="27"/>
        <v>0</v>
      </c>
      <c r="I157" s="7">
        <f>SUMIFS(TERSE!$AB$2:$AB$4001,TERSE!$AU$2:$AU$4001,$A157,TERSE!$AV$2:$AV$4001,$B157,TERSE!$AY$2:$AY$4001,"")</f>
        <v>0</v>
      </c>
      <c r="J157" s="7">
        <f t="shared" si="28"/>
        <v>0</v>
      </c>
      <c r="K157" s="16">
        <f>SUMIFS(TERSE!$AW$2:$AW$4001,TERSE!$AU$2:$AU$4001,$A157,TERSE!$AV$2:$AV$4001,$B157,TERSE!$AY$2:$AY$4001,"")</f>
        <v>0</v>
      </c>
      <c r="L157" s="13" t="s">
        <v>369</v>
      </c>
      <c r="M157" s="2" t="str">
        <f t="shared" si="29"/>
        <v>2 - Diesel - Clear</v>
      </c>
      <c r="N157" s="2" t="str">
        <f>IF(OR($L157="",$M157="",$D157=0,$A157="FULTON (COLLEGE PARK)"),"",MAX(N$3:N156)+1)</f>
        <v/>
      </c>
    </row>
    <row r="158" spans="1:14" x14ac:dyDescent="0.25">
      <c r="A158" s="2" t="s">
        <v>368</v>
      </c>
      <c r="B158" s="2" t="s">
        <v>223</v>
      </c>
      <c r="C158" s="11">
        <v>0.03</v>
      </c>
      <c r="D158" s="15">
        <f t="shared" si="24"/>
        <v>0</v>
      </c>
      <c r="E158" s="15">
        <f>ROUND(SUMIFS(TERSE!$AX$2:$AX$4001,TERSE!$AU$2:$AU$4001,$A158,TERSE!$AV$2:$AV$4001,$B158,TERSE!$AY$2:$AY$4001,""),0)</f>
        <v>0</v>
      </c>
      <c r="F158" s="15">
        <f t="shared" si="25"/>
        <v>0</v>
      </c>
      <c r="G158" s="7">
        <f t="shared" si="26"/>
        <v>0</v>
      </c>
      <c r="H158" s="7">
        <f t="shared" si="27"/>
        <v>0</v>
      </c>
      <c r="I158" s="7">
        <f>SUMIFS(TERSE!$AB$2:$AB$4001,TERSE!$AU$2:$AU$4001,$A158,TERSE!$AV$2:$AV$4001,$B158,TERSE!$AY$2:$AY$4001,"")</f>
        <v>0</v>
      </c>
      <c r="J158" s="7">
        <f t="shared" si="28"/>
        <v>0</v>
      </c>
      <c r="K158" s="16">
        <f>SUMIFS(TERSE!$AW$2:$AW$4001,TERSE!$AU$2:$AU$4001,$A158,TERSE!$AV$2:$AV$4001,$B158,TERSE!$AY$2:$AY$4001,"")</f>
        <v>0</v>
      </c>
      <c r="L158" s="13" t="s">
        <v>369</v>
      </c>
      <c r="M158" s="2" t="str">
        <f t="shared" si="29"/>
        <v>1 - Gasoline</v>
      </c>
      <c r="N158" s="2" t="str">
        <f>IF(OR($L158="",$M158="",$D158=0,$A158="FULTON (COLLEGE PARK)"),"",MAX(N$3:N157)+1)</f>
        <v/>
      </c>
    </row>
    <row r="159" spans="1:14" x14ac:dyDescent="0.25">
      <c r="A159" s="2" t="s">
        <v>370</v>
      </c>
      <c r="B159" s="2" t="s">
        <v>214</v>
      </c>
      <c r="C159" s="11">
        <v>0.04</v>
      </c>
      <c r="D159" s="15">
        <f t="shared" si="24"/>
        <v>0</v>
      </c>
      <c r="E159" s="15">
        <f>ROUND(SUMIFS(TERSE!$AX$2:$AX$4001,TERSE!$AU$2:$AU$4001,$A159,TERSE!$AV$2:$AV$4001,$B159,TERSE!$AY$2:$AY$4001,""),0)</f>
        <v>0</v>
      </c>
      <c r="F159" s="15">
        <f t="shared" si="25"/>
        <v>0</v>
      </c>
      <c r="G159" s="7">
        <f t="shared" si="26"/>
        <v>0</v>
      </c>
      <c r="H159" s="7">
        <f t="shared" si="27"/>
        <v>0</v>
      </c>
      <c r="I159" s="7">
        <f>SUMIFS(TERSE!$AB$2:$AB$4001,TERSE!$AU$2:$AU$4001,$A159,TERSE!$AV$2:$AV$4001,$B159,TERSE!$AY$2:$AY$4001,"")</f>
        <v>0</v>
      </c>
      <c r="J159" s="7">
        <f t="shared" si="28"/>
        <v>0</v>
      </c>
      <c r="K159" s="16">
        <f>SUMIFS(TERSE!$AW$2:$AW$4001,TERSE!$AU$2:$AU$4001,$A159,TERSE!$AV$2:$AV$4001,$B159,TERSE!$AY$2:$AY$4001,"")</f>
        <v>0</v>
      </c>
      <c r="L159" s="13" t="s">
        <v>190</v>
      </c>
      <c r="M159" s="2" t="str">
        <f t="shared" si="29"/>
        <v>2 - Diesel - Clear</v>
      </c>
      <c r="N159" s="2" t="str">
        <f>IF(OR($L159="",$M159="",$D159=0,$A159="FULTON (COLLEGE PARK)"),"",MAX(N$3:N158)+1)</f>
        <v/>
      </c>
    </row>
    <row r="160" spans="1:14" x14ac:dyDescent="0.25">
      <c r="A160" s="2" t="s">
        <v>370</v>
      </c>
      <c r="B160" s="2" t="s">
        <v>223</v>
      </c>
      <c r="C160" s="11">
        <v>0.04</v>
      </c>
      <c r="D160" s="15">
        <f t="shared" si="24"/>
        <v>0</v>
      </c>
      <c r="E160" s="15">
        <f>ROUND(SUMIFS(TERSE!$AX$2:$AX$4001,TERSE!$AU$2:$AU$4001,$A160,TERSE!$AV$2:$AV$4001,$B160,TERSE!$AY$2:$AY$4001,""),0)</f>
        <v>0</v>
      </c>
      <c r="F160" s="15">
        <f t="shared" si="25"/>
        <v>0</v>
      </c>
      <c r="G160" s="7">
        <f t="shared" si="26"/>
        <v>0</v>
      </c>
      <c r="H160" s="7">
        <f t="shared" si="27"/>
        <v>0</v>
      </c>
      <c r="I160" s="7">
        <f>SUMIFS(TERSE!$AB$2:$AB$4001,TERSE!$AU$2:$AU$4001,$A160,TERSE!$AV$2:$AV$4001,$B160,TERSE!$AY$2:$AY$4001,"")</f>
        <v>0</v>
      </c>
      <c r="J160" s="7">
        <f t="shared" si="28"/>
        <v>0</v>
      </c>
      <c r="K160" s="16">
        <f>SUMIFS(TERSE!$AW$2:$AW$4001,TERSE!$AU$2:$AU$4001,$A160,TERSE!$AV$2:$AV$4001,$B160,TERSE!$AY$2:$AY$4001,"")</f>
        <v>0</v>
      </c>
      <c r="L160" s="13" t="s">
        <v>190</v>
      </c>
      <c r="M160" s="2" t="str">
        <f t="shared" si="29"/>
        <v>1 - Gasoline</v>
      </c>
      <c r="N160" s="2" t="str">
        <f>IF(OR($L160="",$M160="",$D160=0,$A160="FULTON (COLLEGE PARK)"),"",MAX(N$3:N159)+1)</f>
        <v/>
      </c>
    </row>
    <row r="161" spans="1:14" x14ac:dyDescent="0.25">
      <c r="A161" s="2" t="s">
        <v>371</v>
      </c>
      <c r="B161" s="2" t="s">
        <v>214</v>
      </c>
      <c r="C161" s="11">
        <v>0.04</v>
      </c>
      <c r="D161" s="15">
        <f t="shared" si="24"/>
        <v>0</v>
      </c>
      <c r="E161" s="15">
        <f>ROUND(SUMIFS(TERSE!$AX$2:$AX$4001,TERSE!$AU$2:$AU$4001,$A161,TERSE!$AV$2:$AV$4001,$B161,TERSE!$AY$2:$AY$4001,""),0)</f>
        <v>0</v>
      </c>
      <c r="F161" s="15">
        <f t="shared" si="25"/>
        <v>0</v>
      </c>
      <c r="G161" s="7">
        <f t="shared" si="26"/>
        <v>0</v>
      </c>
      <c r="H161" s="7">
        <f t="shared" si="27"/>
        <v>0</v>
      </c>
      <c r="I161" s="7">
        <f>SUMIFS(TERSE!$AB$2:$AB$4001,TERSE!$AU$2:$AU$4001,$A161,TERSE!$AV$2:$AV$4001,$B161,TERSE!$AY$2:$AY$4001,"")</f>
        <v>0</v>
      </c>
      <c r="J161" s="7">
        <f t="shared" si="28"/>
        <v>0</v>
      </c>
      <c r="K161" s="16">
        <f>SUMIFS(TERSE!$AW$2:$AW$4001,TERSE!$AU$2:$AU$4001,$A161,TERSE!$AV$2:$AV$4001,$B161,TERSE!$AY$2:$AY$4001,"")</f>
        <v>0</v>
      </c>
      <c r="L161" s="13" t="s">
        <v>372</v>
      </c>
      <c r="M161" s="2" t="str">
        <f t="shared" si="29"/>
        <v>2 - Diesel - Clear</v>
      </c>
      <c r="N161" s="2" t="str">
        <f>IF(OR($L161="",$M161="",$D161=0,$A161="FULTON (COLLEGE PARK)"),"",MAX(N$3:N160)+1)</f>
        <v/>
      </c>
    </row>
    <row r="162" spans="1:14" x14ac:dyDescent="0.25">
      <c r="A162" s="2" t="s">
        <v>373</v>
      </c>
      <c r="B162" s="2" t="s">
        <v>214</v>
      </c>
      <c r="C162" s="11">
        <v>0.03</v>
      </c>
      <c r="D162" s="15">
        <f t="shared" si="24"/>
        <v>0</v>
      </c>
      <c r="E162" s="15">
        <f>ROUND(SUMIFS(TERSE!$AX$2:$AX$4001,TERSE!$AU$2:$AU$4001,$A162,TERSE!$AV$2:$AV$4001,$B162,TERSE!$AY$2:$AY$4001,""),0)</f>
        <v>0</v>
      </c>
      <c r="F162" s="15">
        <f t="shared" si="25"/>
        <v>0</v>
      </c>
      <c r="G162" s="7">
        <f t="shared" si="26"/>
        <v>0</v>
      </c>
      <c r="H162" s="7">
        <f t="shared" si="27"/>
        <v>0</v>
      </c>
      <c r="I162" s="7">
        <f>SUMIFS(TERSE!$AB$2:$AB$4001,TERSE!$AU$2:$AU$4001,$A162,TERSE!$AV$2:$AV$4001,$B162,TERSE!$AY$2:$AY$4001,"")</f>
        <v>0</v>
      </c>
      <c r="J162" s="7">
        <f t="shared" si="28"/>
        <v>0</v>
      </c>
      <c r="K162" s="16">
        <f>SUMIFS(TERSE!$AW$2:$AW$4001,TERSE!$AU$2:$AU$4001,$A162,TERSE!$AV$2:$AV$4001,$B162,TERSE!$AY$2:$AY$4001,"")</f>
        <v>0</v>
      </c>
      <c r="L162" s="13" t="s">
        <v>192</v>
      </c>
      <c r="M162" s="2" t="str">
        <f t="shared" si="29"/>
        <v>2 - Diesel - Clear</v>
      </c>
      <c r="N162" s="2" t="str">
        <f>IF(OR($L162="",$M162="",$D162=0,$A162="FULTON (COLLEGE PARK)"),"",MAX(N$3:N161)+1)</f>
        <v/>
      </c>
    </row>
    <row r="163" spans="1:14" x14ac:dyDescent="0.25">
      <c r="A163" s="2" t="s">
        <v>374</v>
      </c>
      <c r="B163" s="2" t="s">
        <v>214</v>
      </c>
      <c r="C163" s="11">
        <v>0.03</v>
      </c>
      <c r="D163" s="15">
        <f t="shared" si="24"/>
        <v>0</v>
      </c>
      <c r="E163" s="15">
        <f>ROUND(SUMIFS(TERSE!$AX$2:$AX$4001,TERSE!$AU$2:$AU$4001,$A163,TERSE!$AV$2:$AV$4001,$B163,TERSE!$AY$2:$AY$4001,""),0)</f>
        <v>0</v>
      </c>
      <c r="F163" s="15">
        <f t="shared" si="25"/>
        <v>0</v>
      </c>
      <c r="G163" s="7">
        <f t="shared" si="26"/>
        <v>0</v>
      </c>
      <c r="H163" s="7">
        <f t="shared" si="27"/>
        <v>0</v>
      </c>
      <c r="I163" s="7">
        <f>SUMIFS(TERSE!$AB$2:$AB$4001,TERSE!$AU$2:$AU$4001,$A163,TERSE!$AV$2:$AV$4001,$B163,TERSE!$AY$2:$AY$4001,"")</f>
        <v>0</v>
      </c>
      <c r="J163" s="7">
        <f t="shared" si="28"/>
        <v>0</v>
      </c>
      <c r="K163" s="16">
        <f>SUMIFS(TERSE!$AW$2:$AW$4001,TERSE!$AU$2:$AU$4001,$A163,TERSE!$AV$2:$AV$4001,$B163,TERSE!$AY$2:$AY$4001,"")</f>
        <v>0</v>
      </c>
      <c r="L163" s="13" t="s">
        <v>375</v>
      </c>
      <c r="M163" s="2" t="str">
        <f t="shared" si="29"/>
        <v>2 - Diesel - Clear</v>
      </c>
      <c r="N163" s="2" t="str">
        <f>IF(OR($L163="",$M163="",$D163=0,$A163="FULTON (COLLEGE PARK)"),"",MAX(N$3:N162)+1)</f>
        <v/>
      </c>
    </row>
    <row r="164" spans="1:14" x14ac:dyDescent="0.25">
      <c r="A164" s="2" t="s">
        <v>374</v>
      </c>
      <c r="B164" s="2" t="s">
        <v>223</v>
      </c>
      <c r="C164" s="11">
        <v>0.03</v>
      </c>
      <c r="D164" s="15">
        <f t="shared" si="24"/>
        <v>0</v>
      </c>
      <c r="E164" s="15">
        <f>ROUND(SUMIFS(TERSE!$AX$2:$AX$4001,TERSE!$AU$2:$AU$4001,$A164,TERSE!$AV$2:$AV$4001,$B164,TERSE!$AY$2:$AY$4001,""),0)</f>
        <v>0</v>
      </c>
      <c r="F164" s="15">
        <f t="shared" ref="F164:F195" si="30">D164-E164</f>
        <v>0</v>
      </c>
      <c r="G164" s="7">
        <f t="shared" ref="G164:G195" si="31">F164*IF($B164="Diesel",$C$2,$F$2)</f>
        <v>0</v>
      </c>
      <c r="H164" s="7">
        <f t="shared" ref="H164:H195" si="32">G164*C164</f>
        <v>0</v>
      </c>
      <c r="I164" s="7">
        <f>SUMIFS(TERSE!$AB$2:$AB$4001,TERSE!$AU$2:$AU$4001,$A164,TERSE!$AV$2:$AV$4001,$B164,TERSE!$AY$2:$AY$4001,"")</f>
        <v>0</v>
      </c>
      <c r="J164" s="7">
        <f t="shared" ref="J164:J195" si="33">I164-H164</f>
        <v>0</v>
      </c>
      <c r="K164" s="16">
        <f>SUMIFS(TERSE!$AW$2:$AW$4001,TERSE!$AU$2:$AU$4001,$A164,TERSE!$AV$2:$AV$4001,$B164,TERSE!$AY$2:$AY$4001,"")</f>
        <v>0</v>
      </c>
      <c r="L164" s="13" t="s">
        <v>375</v>
      </c>
      <c r="M164" s="2" t="str">
        <f t="shared" si="29"/>
        <v>1 - Gasoline</v>
      </c>
      <c r="N164" s="2" t="str">
        <f>IF(OR($L164="",$M164="",$D164=0,$A164="FULTON (COLLEGE PARK)"),"",MAX(N$3:N163)+1)</f>
        <v/>
      </c>
    </row>
    <row r="165" spans="1:14" x14ac:dyDescent="0.25">
      <c r="A165" s="2" t="s">
        <v>376</v>
      </c>
      <c r="B165" s="2" t="s">
        <v>214</v>
      </c>
      <c r="C165" s="11">
        <v>0.04</v>
      </c>
      <c r="D165" s="15">
        <f t="shared" si="24"/>
        <v>0</v>
      </c>
      <c r="E165" s="15">
        <f>ROUND(SUMIFS(TERSE!$AX$2:$AX$4001,TERSE!$AU$2:$AU$4001,$A165,TERSE!$AV$2:$AV$4001,$B165,TERSE!$AY$2:$AY$4001,""),0)</f>
        <v>0</v>
      </c>
      <c r="F165" s="15">
        <f t="shared" si="30"/>
        <v>0</v>
      </c>
      <c r="G165" s="7">
        <f t="shared" si="31"/>
        <v>0</v>
      </c>
      <c r="H165" s="7">
        <f t="shared" si="32"/>
        <v>0</v>
      </c>
      <c r="I165" s="7">
        <f>SUMIFS(TERSE!$AB$2:$AB$4001,TERSE!$AU$2:$AU$4001,$A165,TERSE!$AV$2:$AV$4001,$B165,TERSE!$AY$2:$AY$4001,"")</f>
        <v>0</v>
      </c>
      <c r="J165" s="7">
        <f t="shared" si="33"/>
        <v>0</v>
      </c>
      <c r="K165" s="16">
        <f>SUMIFS(TERSE!$AW$2:$AW$4001,TERSE!$AU$2:$AU$4001,$A165,TERSE!$AV$2:$AV$4001,$B165,TERSE!$AY$2:$AY$4001,"")</f>
        <v>0</v>
      </c>
      <c r="L165" s="13" t="s">
        <v>377</v>
      </c>
      <c r="M165" s="2" t="str">
        <f t="shared" si="29"/>
        <v>2 - Diesel - Clear</v>
      </c>
      <c r="N165" s="2" t="str">
        <f>IF(OR($L165="",$M165="",$D165=0,$A165="FULTON (COLLEGE PARK)"),"",MAX(N$3:N164)+1)</f>
        <v/>
      </c>
    </row>
    <row r="166" spans="1:14" x14ac:dyDescent="0.25">
      <c r="A166" s="2" t="s">
        <v>378</v>
      </c>
      <c r="B166" s="2" t="s">
        <v>214</v>
      </c>
      <c r="C166" s="11">
        <v>0.03</v>
      </c>
      <c r="D166" s="15">
        <f t="shared" si="24"/>
        <v>0</v>
      </c>
      <c r="E166" s="15">
        <f>ROUND(SUMIFS(TERSE!$AX$2:$AX$4001,TERSE!$AU$2:$AU$4001,$A166,TERSE!$AV$2:$AV$4001,$B166,TERSE!$AY$2:$AY$4001,""),0)</f>
        <v>0</v>
      </c>
      <c r="F166" s="15">
        <f t="shared" si="30"/>
        <v>0</v>
      </c>
      <c r="G166" s="7">
        <f t="shared" si="31"/>
        <v>0</v>
      </c>
      <c r="H166" s="7">
        <f t="shared" si="32"/>
        <v>0</v>
      </c>
      <c r="I166" s="7">
        <f>SUMIFS(TERSE!$AB$2:$AB$4001,TERSE!$AU$2:$AU$4001,$A166,TERSE!$AV$2:$AV$4001,$B166,TERSE!$AY$2:$AY$4001,"")</f>
        <v>0</v>
      </c>
      <c r="J166" s="7">
        <f t="shared" si="33"/>
        <v>0</v>
      </c>
      <c r="K166" s="16">
        <f>SUMIFS(TERSE!$AW$2:$AW$4001,TERSE!$AU$2:$AU$4001,$A166,TERSE!$AV$2:$AV$4001,$B166,TERSE!$AY$2:$AY$4001,"")</f>
        <v>0</v>
      </c>
      <c r="L166" s="13" t="s">
        <v>379</v>
      </c>
      <c r="M166" s="2" t="str">
        <f t="shared" si="29"/>
        <v>2 - Diesel - Clear</v>
      </c>
      <c r="N166" s="2" t="str">
        <f>IF(OR($L166="",$M166="",$D166=0,$A166="FULTON (COLLEGE PARK)"),"",MAX(N$3:N165)+1)</f>
        <v/>
      </c>
    </row>
    <row r="167" spans="1:14" x14ac:dyDescent="0.25">
      <c r="A167" s="2" t="s">
        <v>378</v>
      </c>
      <c r="B167" s="2" t="s">
        <v>223</v>
      </c>
      <c r="C167" s="11">
        <v>0.03</v>
      </c>
      <c r="D167" s="15">
        <f t="shared" si="24"/>
        <v>0</v>
      </c>
      <c r="E167" s="15">
        <f>ROUND(SUMIFS(TERSE!$AX$2:$AX$4001,TERSE!$AU$2:$AU$4001,$A167,TERSE!$AV$2:$AV$4001,$B167,TERSE!$AY$2:$AY$4001,""),0)</f>
        <v>0</v>
      </c>
      <c r="F167" s="15">
        <f t="shared" si="30"/>
        <v>0</v>
      </c>
      <c r="G167" s="7">
        <f t="shared" si="31"/>
        <v>0</v>
      </c>
      <c r="H167" s="7">
        <f t="shared" si="32"/>
        <v>0</v>
      </c>
      <c r="I167" s="7">
        <f>SUMIFS(TERSE!$AB$2:$AB$4001,TERSE!$AU$2:$AU$4001,$A167,TERSE!$AV$2:$AV$4001,$B167,TERSE!$AY$2:$AY$4001,"")</f>
        <v>0</v>
      </c>
      <c r="J167" s="7">
        <f t="shared" si="33"/>
        <v>0</v>
      </c>
      <c r="K167" s="16">
        <f>SUMIFS(TERSE!$AW$2:$AW$4001,TERSE!$AU$2:$AU$4001,$A167,TERSE!$AV$2:$AV$4001,$B167,TERSE!$AY$2:$AY$4001,"")</f>
        <v>0</v>
      </c>
      <c r="L167" s="13" t="s">
        <v>379</v>
      </c>
      <c r="M167" s="2" t="str">
        <f t="shared" si="29"/>
        <v>1 - Gasoline</v>
      </c>
      <c r="N167" s="2" t="str">
        <f>IF(OR($L167="",$M167="",$D167=0,$A167="FULTON (COLLEGE PARK)"),"",MAX(N$3:N166)+1)</f>
        <v/>
      </c>
    </row>
    <row r="168" spans="1:14" x14ac:dyDescent="0.25">
      <c r="A168" s="3" t="s">
        <v>193</v>
      </c>
      <c r="D168" s="17">
        <f t="shared" ref="D168:K168" si="34">SUM(D4:D167)</f>
        <v>0</v>
      </c>
      <c r="E168" s="17">
        <f t="shared" si="34"/>
        <v>0</v>
      </c>
      <c r="F168" s="17">
        <f t="shared" si="34"/>
        <v>0</v>
      </c>
      <c r="G168" s="8">
        <f t="shared" si="34"/>
        <v>0</v>
      </c>
      <c r="H168" s="8">
        <f t="shared" si="34"/>
        <v>0</v>
      </c>
      <c r="I168" s="8">
        <f t="shared" si="34"/>
        <v>0</v>
      </c>
      <c r="J168" s="8">
        <f t="shared" si="34"/>
        <v>0</v>
      </c>
      <c r="K168" s="18">
        <f t="shared" si="34"/>
        <v>0</v>
      </c>
    </row>
    <row r="170" spans="1:14" x14ac:dyDescent="0.25">
      <c r="A170" s="3" t="s">
        <v>380</v>
      </c>
    </row>
    <row r="171" spans="1:14" x14ac:dyDescent="0.25">
      <c r="A171" s="2" t="s">
        <v>381</v>
      </c>
      <c r="D171" s="15">
        <f>K168</f>
        <v>0</v>
      </c>
    </row>
    <row r="172" spans="1:14" x14ac:dyDescent="0.25">
      <c r="A172" s="2" t="s">
        <v>382</v>
      </c>
      <c r="D172" s="15">
        <f>SUMIFS(TERSE!$AW$2:$AW$4001,TERSE!$AY$2:$AY$4001,"YES")</f>
        <v>0</v>
      </c>
    </row>
    <row r="173" spans="1:14" x14ac:dyDescent="0.25">
      <c r="A173" s="2" t="s">
        <v>383</v>
      </c>
      <c r="D173" s="15">
        <f>SUM(TERSE!$AW$2:$AW$4001)</f>
        <v>0</v>
      </c>
    </row>
    <row r="174" spans="1:14" x14ac:dyDescent="0.25">
      <c r="A174" s="2" t="s">
        <v>384</v>
      </c>
      <c r="D174" s="17">
        <f>D171+D172-D173</f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4B183"/>
  </sheetPr>
  <dimension ref="A1:G68"/>
  <sheetViews>
    <sheetView workbookViewId="0"/>
  </sheetViews>
  <sheetFormatPr defaultRowHeight="15" x14ac:dyDescent="0.25"/>
  <cols>
    <col min="1" max="1" width="48" customWidth="1"/>
    <col min="2" max="3" width="3" customWidth="1"/>
    <col min="4" max="4" width="16" customWidth="1"/>
    <col min="5" max="5" width="3" customWidth="1"/>
    <col min="6" max="6" width="11" customWidth="1"/>
    <col min="7" max="7" width="14" customWidth="1"/>
  </cols>
  <sheetData>
    <row r="1" spans="1:6" ht="16.5" x14ac:dyDescent="0.25">
      <c r="A1" s="1" t="s">
        <v>385</v>
      </c>
    </row>
    <row r="2" spans="1:6" x14ac:dyDescent="0.25">
      <c r="A2" s="6" t="s">
        <v>386</v>
      </c>
    </row>
    <row r="3" spans="1:6" x14ac:dyDescent="0.25">
      <c r="A3" s="6" t="s">
        <v>387</v>
      </c>
    </row>
    <row r="5" spans="1:6" x14ac:dyDescent="0.25">
      <c r="A5" s="3" t="s">
        <v>388</v>
      </c>
    </row>
    <row r="6" spans="1:6" x14ac:dyDescent="0.25">
      <c r="A6" s="2" t="s">
        <v>389</v>
      </c>
      <c r="D6" s="19" t="s">
        <v>390</v>
      </c>
    </row>
    <row r="7" spans="1:6" x14ac:dyDescent="0.25">
      <c r="A7" s="2" t="s">
        <v>391</v>
      </c>
      <c r="D7" s="19" t="s">
        <v>392</v>
      </c>
    </row>
    <row r="8" spans="1:6" x14ac:dyDescent="0.25">
      <c r="A8" s="2" t="s">
        <v>393</v>
      </c>
      <c r="D8" s="8" t="s">
        <v>394</v>
      </c>
    </row>
    <row r="9" spans="1:6" x14ac:dyDescent="0.25">
      <c r="A9" s="2" t="s">
        <v>395</v>
      </c>
      <c r="D9" s="8" t="s">
        <v>396</v>
      </c>
      <c r="F9" s="6" t="s">
        <v>397</v>
      </c>
    </row>
    <row r="10" spans="1:6" x14ac:dyDescent="0.25">
      <c r="A10" s="2" t="s">
        <v>398</v>
      </c>
      <c r="D10" s="8">
        <f>RECAP!C19</f>
        <v>0</v>
      </c>
    </row>
    <row r="11" spans="1:6" x14ac:dyDescent="0.25">
      <c r="A11" s="2" t="s">
        <v>399</v>
      </c>
      <c r="D11" s="8">
        <f>RECAP!C20</f>
        <v>0</v>
      </c>
    </row>
    <row r="12" spans="1:6" x14ac:dyDescent="0.25">
      <c r="A12" s="2" t="s">
        <v>400</v>
      </c>
      <c r="D12" s="8">
        <f>RECAP!C25</f>
        <v>0</v>
      </c>
    </row>
    <row r="14" spans="1:6" x14ac:dyDescent="0.25">
      <c r="A14" s="3" t="s">
        <v>401</v>
      </c>
    </row>
    <row r="15" spans="1:6" x14ac:dyDescent="0.25">
      <c r="A15" s="2" t="s">
        <v>402</v>
      </c>
      <c r="D15" s="8">
        <f>RECAP!C21</f>
        <v>0</v>
      </c>
    </row>
    <row r="17" spans="1:7" x14ac:dyDescent="0.25">
      <c r="A17" s="3" t="s">
        <v>403</v>
      </c>
    </row>
    <row r="18" spans="1:7" x14ac:dyDescent="0.25">
      <c r="A18" s="2" t="s">
        <v>404</v>
      </c>
      <c r="D18" s="20">
        <f>MAX('OFF ROAD RETURN'!$L$4:$L$42)</f>
        <v>0</v>
      </c>
    </row>
    <row r="19" spans="1:7" x14ac:dyDescent="0.25">
      <c r="A19" s="2" t="str">
        <f>IF($D$18=0,"Nothing to paste this month.","Copy A30:D"&amp;(30+$D$18-1)&amp;", the shaded rows, then on its Sales Tax Distribution tab right-click A3, Paste Special, Values.")</f>
        <v>Nothing to paste this month.</v>
      </c>
    </row>
    <row r="21" spans="1:7" x14ac:dyDescent="0.25">
      <c r="A21" s="3" t="s">
        <v>405</v>
      </c>
    </row>
    <row r="22" spans="1:7" x14ac:dyDescent="0.25">
      <c r="A22" s="2" t="s">
        <v>406</v>
      </c>
      <c r="D22" s="8">
        <f>RECAP!C21</f>
        <v>0</v>
      </c>
    </row>
    <row r="23" spans="1:7" x14ac:dyDescent="0.25">
      <c r="A23" s="2" t="s">
        <v>407</v>
      </c>
      <c r="D23" s="8">
        <f>RECAP!C22</f>
        <v>0</v>
      </c>
    </row>
    <row r="24" spans="1:7" x14ac:dyDescent="0.25">
      <c r="A24" s="2" t="s">
        <v>408</v>
      </c>
      <c r="D24" s="8">
        <f>RECAP!C26</f>
        <v>0</v>
      </c>
    </row>
    <row r="25" spans="1:7" x14ac:dyDescent="0.25">
      <c r="A25" s="2" t="s">
        <v>409</v>
      </c>
      <c r="D25" s="8">
        <f>RECAP!C27</f>
        <v>0</v>
      </c>
    </row>
    <row r="26" spans="1:7" x14ac:dyDescent="0.25">
      <c r="A26" s="2" t="s">
        <v>410</v>
      </c>
      <c r="D26" s="8">
        <f>RECAP!C28</f>
        <v>0</v>
      </c>
      <c r="F26" s="6" t="s">
        <v>411</v>
      </c>
    </row>
    <row r="27" spans="1:7" x14ac:dyDescent="0.25">
      <c r="A27" s="2" t="s">
        <v>412</v>
      </c>
      <c r="D27" s="8">
        <f>RECAP!C26+RECAP!C27-RECAP!C28</f>
        <v>0</v>
      </c>
    </row>
    <row r="28" spans="1:7" x14ac:dyDescent="0.25">
      <c r="A28" s="6" t="s">
        <v>413</v>
      </c>
    </row>
    <row r="29" spans="1:7" x14ac:dyDescent="0.25">
      <c r="A29" s="9" t="s">
        <v>414</v>
      </c>
      <c r="B29" s="9"/>
      <c r="C29" s="9"/>
      <c r="D29" s="9" t="s">
        <v>415</v>
      </c>
      <c r="F29" s="9" t="s">
        <v>416</v>
      </c>
      <c r="G29" s="9" t="s">
        <v>417</v>
      </c>
    </row>
    <row r="30" spans="1:7" x14ac:dyDescent="0.25">
      <c r="A30" s="2" t="str">
        <f>IF(1&gt;$D$18,"",INDEX('OFF ROAD RETURN'!$K$4:$K$42,MATCH(1,'OFF ROAD RETURN'!$L$4:$L$42,0)))</f>
        <v/>
      </c>
      <c r="D30" s="7" t="str">
        <f>IF(1&gt;$D$18,"",ROUND(INDEX('OFF ROAD RETURN'!$F$4:$F$42,MATCH(1,'OFF ROAD RETURN'!$L$4:$L$42,0)),2))</f>
        <v/>
      </c>
      <c r="F30" s="12" t="str">
        <f>IF(1&gt;$D$18,"",INDEX('OFF ROAD RETURN'!$C$4:$C$42,MATCH(1,'OFF ROAD RETURN'!$L$4:$L$42,0)))</f>
        <v/>
      </c>
      <c r="G30" s="7" t="str">
        <f>IF(1&gt;$D$18,"",ROUND(INDEX('OFF ROAD RETURN'!$J$4:$J$42,MATCH(1,'OFF ROAD RETURN'!$L$4:$L$42,0)),2))</f>
        <v/>
      </c>
    </row>
    <row r="31" spans="1:7" x14ac:dyDescent="0.25">
      <c r="A31" s="2" t="str">
        <f>IF(2&gt;$D$18,"",INDEX('OFF ROAD RETURN'!$K$4:$K$42,MATCH(2,'OFF ROAD RETURN'!$L$4:$L$42,0)))</f>
        <v/>
      </c>
      <c r="D31" s="7" t="str">
        <f>IF(2&gt;$D$18,"",ROUND(INDEX('OFF ROAD RETURN'!$F$4:$F$42,MATCH(2,'OFF ROAD RETURN'!$L$4:$L$42,0)),2))</f>
        <v/>
      </c>
      <c r="F31" s="12" t="str">
        <f>IF(2&gt;$D$18,"",INDEX('OFF ROAD RETURN'!$C$4:$C$42,MATCH(2,'OFF ROAD RETURN'!$L$4:$L$42,0)))</f>
        <v/>
      </c>
      <c r="G31" s="7" t="str">
        <f>IF(2&gt;$D$18,"",ROUND(INDEX('OFF ROAD RETURN'!$J$4:$J$42,MATCH(2,'OFF ROAD RETURN'!$L$4:$L$42,0)),2))</f>
        <v/>
      </c>
    </row>
    <row r="32" spans="1:7" x14ac:dyDescent="0.25">
      <c r="A32" s="2" t="str">
        <f>IF(3&gt;$D$18,"",INDEX('OFF ROAD RETURN'!$K$4:$K$42,MATCH(3,'OFF ROAD RETURN'!$L$4:$L$42,0)))</f>
        <v/>
      </c>
      <c r="D32" s="7" t="str">
        <f>IF(3&gt;$D$18,"",ROUND(INDEX('OFF ROAD RETURN'!$F$4:$F$42,MATCH(3,'OFF ROAD RETURN'!$L$4:$L$42,0)),2))</f>
        <v/>
      </c>
      <c r="F32" s="12" t="str">
        <f>IF(3&gt;$D$18,"",INDEX('OFF ROAD RETURN'!$C$4:$C$42,MATCH(3,'OFF ROAD RETURN'!$L$4:$L$42,0)))</f>
        <v/>
      </c>
      <c r="G32" s="7" t="str">
        <f>IF(3&gt;$D$18,"",ROUND(INDEX('OFF ROAD RETURN'!$J$4:$J$42,MATCH(3,'OFF ROAD RETURN'!$L$4:$L$42,0)),2))</f>
        <v/>
      </c>
    </row>
    <row r="33" spans="1:7" x14ac:dyDescent="0.25">
      <c r="A33" s="2" t="str">
        <f>IF(4&gt;$D$18,"",INDEX('OFF ROAD RETURN'!$K$4:$K$42,MATCH(4,'OFF ROAD RETURN'!$L$4:$L$42,0)))</f>
        <v/>
      </c>
      <c r="D33" s="7" t="str">
        <f>IF(4&gt;$D$18,"",ROUND(INDEX('OFF ROAD RETURN'!$F$4:$F$42,MATCH(4,'OFF ROAD RETURN'!$L$4:$L$42,0)),2))</f>
        <v/>
      </c>
      <c r="F33" s="12" t="str">
        <f>IF(4&gt;$D$18,"",INDEX('OFF ROAD RETURN'!$C$4:$C$42,MATCH(4,'OFF ROAD RETURN'!$L$4:$L$42,0)))</f>
        <v/>
      </c>
      <c r="G33" s="7" t="str">
        <f>IF(4&gt;$D$18,"",ROUND(INDEX('OFF ROAD RETURN'!$J$4:$J$42,MATCH(4,'OFF ROAD RETURN'!$L$4:$L$42,0)),2))</f>
        <v/>
      </c>
    </row>
    <row r="34" spans="1:7" x14ac:dyDescent="0.25">
      <c r="A34" s="2" t="str">
        <f>IF(5&gt;$D$18,"",INDEX('OFF ROAD RETURN'!$K$4:$K$42,MATCH(5,'OFF ROAD RETURN'!$L$4:$L$42,0)))</f>
        <v/>
      </c>
      <c r="D34" s="7" t="str">
        <f>IF(5&gt;$D$18,"",ROUND(INDEX('OFF ROAD RETURN'!$F$4:$F$42,MATCH(5,'OFF ROAD RETURN'!$L$4:$L$42,0)),2))</f>
        <v/>
      </c>
      <c r="F34" s="12" t="str">
        <f>IF(5&gt;$D$18,"",INDEX('OFF ROAD RETURN'!$C$4:$C$42,MATCH(5,'OFF ROAD RETURN'!$L$4:$L$42,0)))</f>
        <v/>
      </c>
      <c r="G34" s="7" t="str">
        <f>IF(5&gt;$D$18,"",ROUND(INDEX('OFF ROAD RETURN'!$J$4:$J$42,MATCH(5,'OFF ROAD RETURN'!$L$4:$L$42,0)),2))</f>
        <v/>
      </c>
    </row>
    <row r="35" spans="1:7" x14ac:dyDescent="0.25">
      <c r="A35" s="2" t="str">
        <f>IF(6&gt;$D$18,"",INDEX('OFF ROAD RETURN'!$K$4:$K$42,MATCH(6,'OFF ROAD RETURN'!$L$4:$L$42,0)))</f>
        <v/>
      </c>
      <c r="D35" s="7" t="str">
        <f>IF(6&gt;$D$18,"",ROUND(INDEX('OFF ROAD RETURN'!$F$4:$F$42,MATCH(6,'OFF ROAD RETURN'!$L$4:$L$42,0)),2))</f>
        <v/>
      </c>
      <c r="F35" s="12" t="str">
        <f>IF(6&gt;$D$18,"",INDEX('OFF ROAD RETURN'!$C$4:$C$42,MATCH(6,'OFF ROAD RETURN'!$L$4:$L$42,0)))</f>
        <v/>
      </c>
      <c r="G35" s="7" t="str">
        <f>IF(6&gt;$D$18,"",ROUND(INDEX('OFF ROAD RETURN'!$J$4:$J$42,MATCH(6,'OFF ROAD RETURN'!$L$4:$L$42,0)),2))</f>
        <v/>
      </c>
    </row>
    <row r="36" spans="1:7" x14ac:dyDescent="0.25">
      <c r="A36" s="2" t="str">
        <f>IF(7&gt;$D$18,"",INDEX('OFF ROAD RETURN'!$K$4:$K$42,MATCH(7,'OFF ROAD RETURN'!$L$4:$L$42,0)))</f>
        <v/>
      </c>
      <c r="D36" s="7" t="str">
        <f>IF(7&gt;$D$18,"",ROUND(INDEX('OFF ROAD RETURN'!$F$4:$F$42,MATCH(7,'OFF ROAD RETURN'!$L$4:$L$42,0)),2))</f>
        <v/>
      </c>
      <c r="F36" s="12" t="str">
        <f>IF(7&gt;$D$18,"",INDEX('OFF ROAD RETURN'!$C$4:$C$42,MATCH(7,'OFF ROAD RETURN'!$L$4:$L$42,0)))</f>
        <v/>
      </c>
      <c r="G36" s="7" t="str">
        <f>IF(7&gt;$D$18,"",ROUND(INDEX('OFF ROAD RETURN'!$J$4:$J$42,MATCH(7,'OFF ROAD RETURN'!$L$4:$L$42,0)),2))</f>
        <v/>
      </c>
    </row>
    <row r="37" spans="1:7" x14ac:dyDescent="0.25">
      <c r="A37" s="2" t="str">
        <f>IF(8&gt;$D$18,"",INDEX('OFF ROAD RETURN'!$K$4:$K$42,MATCH(8,'OFF ROAD RETURN'!$L$4:$L$42,0)))</f>
        <v/>
      </c>
      <c r="D37" s="7" t="str">
        <f>IF(8&gt;$D$18,"",ROUND(INDEX('OFF ROAD RETURN'!$F$4:$F$42,MATCH(8,'OFF ROAD RETURN'!$L$4:$L$42,0)),2))</f>
        <v/>
      </c>
      <c r="F37" s="12" t="str">
        <f>IF(8&gt;$D$18,"",INDEX('OFF ROAD RETURN'!$C$4:$C$42,MATCH(8,'OFF ROAD RETURN'!$L$4:$L$42,0)))</f>
        <v/>
      </c>
      <c r="G37" s="7" t="str">
        <f>IF(8&gt;$D$18,"",ROUND(INDEX('OFF ROAD RETURN'!$J$4:$J$42,MATCH(8,'OFF ROAD RETURN'!$L$4:$L$42,0)),2))</f>
        <v/>
      </c>
    </row>
    <row r="38" spans="1:7" x14ac:dyDescent="0.25">
      <c r="A38" s="2" t="str">
        <f>IF(9&gt;$D$18,"",INDEX('OFF ROAD RETURN'!$K$4:$K$42,MATCH(9,'OFF ROAD RETURN'!$L$4:$L$42,0)))</f>
        <v/>
      </c>
      <c r="D38" s="7" t="str">
        <f>IF(9&gt;$D$18,"",ROUND(INDEX('OFF ROAD RETURN'!$F$4:$F$42,MATCH(9,'OFF ROAD RETURN'!$L$4:$L$42,0)),2))</f>
        <v/>
      </c>
      <c r="F38" s="12" t="str">
        <f>IF(9&gt;$D$18,"",INDEX('OFF ROAD RETURN'!$C$4:$C$42,MATCH(9,'OFF ROAD RETURN'!$L$4:$L$42,0)))</f>
        <v/>
      </c>
      <c r="G38" s="7" t="str">
        <f>IF(9&gt;$D$18,"",ROUND(INDEX('OFF ROAD RETURN'!$J$4:$J$42,MATCH(9,'OFF ROAD RETURN'!$L$4:$L$42,0)),2))</f>
        <v/>
      </c>
    </row>
    <row r="39" spans="1:7" x14ac:dyDescent="0.25">
      <c r="A39" s="2" t="str">
        <f>IF(10&gt;$D$18,"",INDEX('OFF ROAD RETURN'!$K$4:$K$42,MATCH(10,'OFF ROAD RETURN'!$L$4:$L$42,0)))</f>
        <v/>
      </c>
      <c r="D39" s="7" t="str">
        <f>IF(10&gt;$D$18,"",ROUND(INDEX('OFF ROAD RETURN'!$F$4:$F$42,MATCH(10,'OFF ROAD RETURN'!$L$4:$L$42,0)),2))</f>
        <v/>
      </c>
      <c r="F39" s="12" t="str">
        <f>IF(10&gt;$D$18,"",INDEX('OFF ROAD RETURN'!$C$4:$C$42,MATCH(10,'OFF ROAD RETURN'!$L$4:$L$42,0)))</f>
        <v/>
      </c>
      <c r="G39" s="7" t="str">
        <f>IF(10&gt;$D$18,"",ROUND(INDEX('OFF ROAD RETURN'!$J$4:$J$42,MATCH(10,'OFF ROAD RETURN'!$L$4:$L$42,0)),2))</f>
        <v/>
      </c>
    </row>
    <row r="40" spans="1:7" x14ac:dyDescent="0.25">
      <c r="A40" s="2" t="str">
        <f>IF(11&gt;$D$18,"",INDEX('OFF ROAD RETURN'!$K$4:$K$42,MATCH(11,'OFF ROAD RETURN'!$L$4:$L$42,0)))</f>
        <v/>
      </c>
      <c r="D40" s="7" t="str">
        <f>IF(11&gt;$D$18,"",ROUND(INDEX('OFF ROAD RETURN'!$F$4:$F$42,MATCH(11,'OFF ROAD RETURN'!$L$4:$L$42,0)),2))</f>
        <v/>
      </c>
      <c r="F40" s="12" t="str">
        <f>IF(11&gt;$D$18,"",INDEX('OFF ROAD RETURN'!$C$4:$C$42,MATCH(11,'OFF ROAD RETURN'!$L$4:$L$42,0)))</f>
        <v/>
      </c>
      <c r="G40" s="7" t="str">
        <f>IF(11&gt;$D$18,"",ROUND(INDEX('OFF ROAD RETURN'!$J$4:$J$42,MATCH(11,'OFF ROAD RETURN'!$L$4:$L$42,0)),2))</f>
        <v/>
      </c>
    </row>
    <row r="41" spans="1:7" x14ac:dyDescent="0.25">
      <c r="A41" s="2" t="str">
        <f>IF(12&gt;$D$18,"",INDEX('OFF ROAD RETURN'!$K$4:$K$42,MATCH(12,'OFF ROAD RETURN'!$L$4:$L$42,0)))</f>
        <v/>
      </c>
      <c r="D41" s="7" t="str">
        <f>IF(12&gt;$D$18,"",ROUND(INDEX('OFF ROAD RETURN'!$F$4:$F$42,MATCH(12,'OFF ROAD RETURN'!$L$4:$L$42,0)),2))</f>
        <v/>
      </c>
      <c r="F41" s="12" t="str">
        <f>IF(12&gt;$D$18,"",INDEX('OFF ROAD RETURN'!$C$4:$C$42,MATCH(12,'OFF ROAD RETURN'!$L$4:$L$42,0)))</f>
        <v/>
      </c>
      <c r="G41" s="7" t="str">
        <f>IF(12&gt;$D$18,"",ROUND(INDEX('OFF ROAD RETURN'!$J$4:$J$42,MATCH(12,'OFF ROAD RETURN'!$L$4:$L$42,0)),2))</f>
        <v/>
      </c>
    </row>
    <row r="42" spans="1:7" x14ac:dyDescent="0.25">
      <c r="A42" s="2" t="str">
        <f>IF(13&gt;$D$18,"",INDEX('OFF ROAD RETURN'!$K$4:$K$42,MATCH(13,'OFF ROAD RETURN'!$L$4:$L$42,0)))</f>
        <v/>
      </c>
      <c r="D42" s="7" t="str">
        <f>IF(13&gt;$D$18,"",ROUND(INDEX('OFF ROAD RETURN'!$F$4:$F$42,MATCH(13,'OFF ROAD RETURN'!$L$4:$L$42,0)),2))</f>
        <v/>
      </c>
      <c r="F42" s="12" t="str">
        <f>IF(13&gt;$D$18,"",INDEX('OFF ROAD RETURN'!$C$4:$C$42,MATCH(13,'OFF ROAD RETURN'!$L$4:$L$42,0)))</f>
        <v/>
      </c>
      <c r="G42" s="7" t="str">
        <f>IF(13&gt;$D$18,"",ROUND(INDEX('OFF ROAD RETURN'!$J$4:$J$42,MATCH(13,'OFF ROAD RETURN'!$L$4:$L$42,0)),2))</f>
        <v/>
      </c>
    </row>
    <row r="43" spans="1:7" x14ac:dyDescent="0.25">
      <c r="A43" s="2" t="str">
        <f>IF(14&gt;$D$18,"",INDEX('OFF ROAD RETURN'!$K$4:$K$42,MATCH(14,'OFF ROAD RETURN'!$L$4:$L$42,0)))</f>
        <v/>
      </c>
      <c r="D43" s="7" t="str">
        <f>IF(14&gt;$D$18,"",ROUND(INDEX('OFF ROAD RETURN'!$F$4:$F$42,MATCH(14,'OFF ROAD RETURN'!$L$4:$L$42,0)),2))</f>
        <v/>
      </c>
      <c r="F43" s="12" t="str">
        <f>IF(14&gt;$D$18,"",INDEX('OFF ROAD RETURN'!$C$4:$C$42,MATCH(14,'OFF ROAD RETURN'!$L$4:$L$42,0)))</f>
        <v/>
      </c>
      <c r="G43" s="7" t="str">
        <f>IF(14&gt;$D$18,"",ROUND(INDEX('OFF ROAD RETURN'!$J$4:$J$42,MATCH(14,'OFF ROAD RETURN'!$L$4:$L$42,0)),2))</f>
        <v/>
      </c>
    </row>
    <row r="44" spans="1:7" x14ac:dyDescent="0.25">
      <c r="A44" s="2" t="str">
        <f>IF(15&gt;$D$18,"",INDEX('OFF ROAD RETURN'!$K$4:$K$42,MATCH(15,'OFF ROAD RETURN'!$L$4:$L$42,0)))</f>
        <v/>
      </c>
      <c r="D44" s="7" t="str">
        <f>IF(15&gt;$D$18,"",ROUND(INDEX('OFF ROAD RETURN'!$F$4:$F$42,MATCH(15,'OFF ROAD RETURN'!$L$4:$L$42,0)),2))</f>
        <v/>
      </c>
      <c r="F44" s="12" t="str">
        <f>IF(15&gt;$D$18,"",INDEX('OFF ROAD RETURN'!$C$4:$C$42,MATCH(15,'OFF ROAD RETURN'!$L$4:$L$42,0)))</f>
        <v/>
      </c>
      <c r="G44" s="7" t="str">
        <f>IF(15&gt;$D$18,"",ROUND(INDEX('OFF ROAD RETURN'!$J$4:$J$42,MATCH(15,'OFF ROAD RETURN'!$L$4:$L$42,0)),2))</f>
        <v/>
      </c>
    </row>
    <row r="45" spans="1:7" x14ac:dyDescent="0.25">
      <c r="A45" s="2" t="str">
        <f>IF(16&gt;$D$18,"",INDEX('OFF ROAD RETURN'!$K$4:$K$42,MATCH(16,'OFF ROAD RETURN'!$L$4:$L$42,0)))</f>
        <v/>
      </c>
      <c r="D45" s="7" t="str">
        <f>IF(16&gt;$D$18,"",ROUND(INDEX('OFF ROAD RETURN'!$F$4:$F$42,MATCH(16,'OFF ROAD RETURN'!$L$4:$L$42,0)),2))</f>
        <v/>
      </c>
      <c r="F45" s="12" t="str">
        <f>IF(16&gt;$D$18,"",INDEX('OFF ROAD RETURN'!$C$4:$C$42,MATCH(16,'OFF ROAD RETURN'!$L$4:$L$42,0)))</f>
        <v/>
      </c>
      <c r="G45" s="7" t="str">
        <f>IF(16&gt;$D$18,"",ROUND(INDEX('OFF ROAD RETURN'!$J$4:$J$42,MATCH(16,'OFF ROAD RETURN'!$L$4:$L$42,0)),2))</f>
        <v/>
      </c>
    </row>
    <row r="46" spans="1:7" x14ac:dyDescent="0.25">
      <c r="A46" s="2" t="str">
        <f>IF(17&gt;$D$18,"",INDEX('OFF ROAD RETURN'!$K$4:$K$42,MATCH(17,'OFF ROAD RETURN'!$L$4:$L$42,0)))</f>
        <v/>
      </c>
      <c r="D46" s="7" t="str">
        <f>IF(17&gt;$D$18,"",ROUND(INDEX('OFF ROAD RETURN'!$F$4:$F$42,MATCH(17,'OFF ROAD RETURN'!$L$4:$L$42,0)),2))</f>
        <v/>
      </c>
      <c r="F46" s="12" t="str">
        <f>IF(17&gt;$D$18,"",INDEX('OFF ROAD RETURN'!$C$4:$C$42,MATCH(17,'OFF ROAD RETURN'!$L$4:$L$42,0)))</f>
        <v/>
      </c>
      <c r="G46" s="7" t="str">
        <f>IF(17&gt;$D$18,"",ROUND(INDEX('OFF ROAD RETURN'!$J$4:$J$42,MATCH(17,'OFF ROAD RETURN'!$L$4:$L$42,0)),2))</f>
        <v/>
      </c>
    </row>
    <row r="47" spans="1:7" x14ac:dyDescent="0.25">
      <c r="A47" s="2" t="str">
        <f>IF(18&gt;$D$18,"",INDEX('OFF ROAD RETURN'!$K$4:$K$42,MATCH(18,'OFF ROAD RETURN'!$L$4:$L$42,0)))</f>
        <v/>
      </c>
      <c r="D47" s="7" t="str">
        <f>IF(18&gt;$D$18,"",ROUND(INDEX('OFF ROAD RETURN'!$F$4:$F$42,MATCH(18,'OFF ROAD RETURN'!$L$4:$L$42,0)),2))</f>
        <v/>
      </c>
      <c r="F47" s="12" t="str">
        <f>IF(18&gt;$D$18,"",INDEX('OFF ROAD RETURN'!$C$4:$C$42,MATCH(18,'OFF ROAD RETURN'!$L$4:$L$42,0)))</f>
        <v/>
      </c>
      <c r="G47" s="7" t="str">
        <f>IF(18&gt;$D$18,"",ROUND(INDEX('OFF ROAD RETURN'!$J$4:$J$42,MATCH(18,'OFF ROAD RETURN'!$L$4:$L$42,0)),2))</f>
        <v/>
      </c>
    </row>
    <row r="48" spans="1:7" x14ac:dyDescent="0.25">
      <c r="A48" s="2" t="str">
        <f>IF(19&gt;$D$18,"",INDEX('OFF ROAD RETURN'!$K$4:$K$42,MATCH(19,'OFF ROAD RETURN'!$L$4:$L$42,0)))</f>
        <v/>
      </c>
      <c r="D48" s="7" t="str">
        <f>IF(19&gt;$D$18,"",ROUND(INDEX('OFF ROAD RETURN'!$F$4:$F$42,MATCH(19,'OFF ROAD RETURN'!$L$4:$L$42,0)),2))</f>
        <v/>
      </c>
      <c r="F48" s="12" t="str">
        <f>IF(19&gt;$D$18,"",INDEX('OFF ROAD RETURN'!$C$4:$C$42,MATCH(19,'OFF ROAD RETURN'!$L$4:$L$42,0)))</f>
        <v/>
      </c>
      <c r="G48" s="7" t="str">
        <f>IF(19&gt;$D$18,"",ROUND(INDEX('OFF ROAD RETURN'!$J$4:$J$42,MATCH(19,'OFF ROAD RETURN'!$L$4:$L$42,0)),2))</f>
        <v/>
      </c>
    </row>
    <row r="49" spans="1:7" x14ac:dyDescent="0.25">
      <c r="A49" s="2" t="str">
        <f>IF(20&gt;$D$18,"",INDEX('OFF ROAD RETURN'!$K$4:$K$42,MATCH(20,'OFF ROAD RETURN'!$L$4:$L$42,0)))</f>
        <v/>
      </c>
      <c r="D49" s="7" t="str">
        <f>IF(20&gt;$D$18,"",ROUND(INDEX('OFF ROAD RETURN'!$F$4:$F$42,MATCH(20,'OFF ROAD RETURN'!$L$4:$L$42,0)),2))</f>
        <v/>
      </c>
      <c r="F49" s="12" t="str">
        <f>IF(20&gt;$D$18,"",INDEX('OFF ROAD RETURN'!$C$4:$C$42,MATCH(20,'OFF ROAD RETURN'!$L$4:$L$42,0)))</f>
        <v/>
      </c>
      <c r="G49" s="7" t="str">
        <f>IF(20&gt;$D$18,"",ROUND(INDEX('OFF ROAD RETURN'!$J$4:$J$42,MATCH(20,'OFF ROAD RETURN'!$L$4:$L$42,0)),2))</f>
        <v/>
      </c>
    </row>
    <row r="50" spans="1:7" x14ac:dyDescent="0.25">
      <c r="A50" s="2" t="str">
        <f>IF(21&gt;$D$18,"",INDEX('OFF ROAD RETURN'!$K$4:$K$42,MATCH(21,'OFF ROAD RETURN'!$L$4:$L$42,0)))</f>
        <v/>
      </c>
      <c r="D50" s="7" t="str">
        <f>IF(21&gt;$D$18,"",ROUND(INDEX('OFF ROAD RETURN'!$F$4:$F$42,MATCH(21,'OFF ROAD RETURN'!$L$4:$L$42,0)),2))</f>
        <v/>
      </c>
      <c r="F50" s="12" t="str">
        <f>IF(21&gt;$D$18,"",INDEX('OFF ROAD RETURN'!$C$4:$C$42,MATCH(21,'OFF ROAD RETURN'!$L$4:$L$42,0)))</f>
        <v/>
      </c>
      <c r="G50" s="7" t="str">
        <f>IF(21&gt;$D$18,"",ROUND(INDEX('OFF ROAD RETURN'!$J$4:$J$42,MATCH(21,'OFF ROAD RETURN'!$L$4:$L$42,0)),2))</f>
        <v/>
      </c>
    </row>
    <row r="51" spans="1:7" x14ac:dyDescent="0.25">
      <c r="A51" s="2" t="str">
        <f>IF(22&gt;$D$18,"",INDEX('OFF ROAD RETURN'!$K$4:$K$42,MATCH(22,'OFF ROAD RETURN'!$L$4:$L$42,0)))</f>
        <v/>
      </c>
      <c r="D51" s="7" t="str">
        <f>IF(22&gt;$D$18,"",ROUND(INDEX('OFF ROAD RETURN'!$F$4:$F$42,MATCH(22,'OFF ROAD RETURN'!$L$4:$L$42,0)),2))</f>
        <v/>
      </c>
      <c r="F51" s="12" t="str">
        <f>IF(22&gt;$D$18,"",INDEX('OFF ROAD RETURN'!$C$4:$C$42,MATCH(22,'OFF ROAD RETURN'!$L$4:$L$42,0)))</f>
        <v/>
      </c>
      <c r="G51" s="7" t="str">
        <f>IF(22&gt;$D$18,"",ROUND(INDEX('OFF ROAD RETURN'!$J$4:$J$42,MATCH(22,'OFF ROAD RETURN'!$L$4:$L$42,0)),2))</f>
        <v/>
      </c>
    </row>
    <row r="52" spans="1:7" x14ac:dyDescent="0.25">
      <c r="A52" s="2" t="str">
        <f>IF(23&gt;$D$18,"",INDEX('OFF ROAD RETURN'!$K$4:$K$42,MATCH(23,'OFF ROAD RETURN'!$L$4:$L$42,0)))</f>
        <v/>
      </c>
      <c r="D52" s="7" t="str">
        <f>IF(23&gt;$D$18,"",ROUND(INDEX('OFF ROAD RETURN'!$F$4:$F$42,MATCH(23,'OFF ROAD RETURN'!$L$4:$L$42,0)),2))</f>
        <v/>
      </c>
      <c r="F52" s="12" t="str">
        <f>IF(23&gt;$D$18,"",INDEX('OFF ROAD RETURN'!$C$4:$C$42,MATCH(23,'OFF ROAD RETURN'!$L$4:$L$42,0)))</f>
        <v/>
      </c>
      <c r="G52" s="7" t="str">
        <f>IF(23&gt;$D$18,"",ROUND(INDEX('OFF ROAD RETURN'!$J$4:$J$42,MATCH(23,'OFF ROAD RETURN'!$L$4:$L$42,0)),2))</f>
        <v/>
      </c>
    </row>
    <row r="53" spans="1:7" x14ac:dyDescent="0.25">
      <c r="A53" s="2" t="str">
        <f>IF(24&gt;$D$18,"",INDEX('OFF ROAD RETURN'!$K$4:$K$42,MATCH(24,'OFF ROAD RETURN'!$L$4:$L$42,0)))</f>
        <v/>
      </c>
      <c r="D53" s="7" t="str">
        <f>IF(24&gt;$D$18,"",ROUND(INDEX('OFF ROAD RETURN'!$F$4:$F$42,MATCH(24,'OFF ROAD RETURN'!$L$4:$L$42,0)),2))</f>
        <v/>
      </c>
      <c r="F53" s="12" t="str">
        <f>IF(24&gt;$D$18,"",INDEX('OFF ROAD RETURN'!$C$4:$C$42,MATCH(24,'OFF ROAD RETURN'!$L$4:$L$42,0)))</f>
        <v/>
      </c>
      <c r="G53" s="7" t="str">
        <f>IF(24&gt;$D$18,"",ROUND(INDEX('OFF ROAD RETURN'!$J$4:$J$42,MATCH(24,'OFF ROAD RETURN'!$L$4:$L$42,0)),2))</f>
        <v/>
      </c>
    </row>
    <row r="54" spans="1:7" x14ac:dyDescent="0.25">
      <c r="A54" s="2" t="str">
        <f>IF(25&gt;$D$18,"",INDEX('OFF ROAD RETURN'!$K$4:$K$42,MATCH(25,'OFF ROAD RETURN'!$L$4:$L$42,0)))</f>
        <v/>
      </c>
      <c r="D54" s="7" t="str">
        <f>IF(25&gt;$D$18,"",ROUND(INDEX('OFF ROAD RETURN'!$F$4:$F$42,MATCH(25,'OFF ROAD RETURN'!$L$4:$L$42,0)),2))</f>
        <v/>
      </c>
      <c r="F54" s="12" t="str">
        <f>IF(25&gt;$D$18,"",INDEX('OFF ROAD RETURN'!$C$4:$C$42,MATCH(25,'OFF ROAD RETURN'!$L$4:$L$42,0)))</f>
        <v/>
      </c>
      <c r="G54" s="7" t="str">
        <f>IF(25&gt;$D$18,"",ROUND(INDEX('OFF ROAD RETURN'!$J$4:$J$42,MATCH(25,'OFF ROAD RETURN'!$L$4:$L$42,0)),2))</f>
        <v/>
      </c>
    </row>
    <row r="55" spans="1:7" x14ac:dyDescent="0.25">
      <c r="A55" s="2" t="str">
        <f>IF(26&gt;$D$18,"",INDEX('OFF ROAD RETURN'!$K$4:$K$42,MATCH(26,'OFF ROAD RETURN'!$L$4:$L$42,0)))</f>
        <v/>
      </c>
      <c r="D55" s="7" t="str">
        <f>IF(26&gt;$D$18,"",ROUND(INDEX('OFF ROAD RETURN'!$F$4:$F$42,MATCH(26,'OFF ROAD RETURN'!$L$4:$L$42,0)),2))</f>
        <v/>
      </c>
      <c r="F55" s="12" t="str">
        <f>IF(26&gt;$D$18,"",INDEX('OFF ROAD RETURN'!$C$4:$C$42,MATCH(26,'OFF ROAD RETURN'!$L$4:$L$42,0)))</f>
        <v/>
      </c>
      <c r="G55" s="7" t="str">
        <f>IF(26&gt;$D$18,"",ROUND(INDEX('OFF ROAD RETURN'!$J$4:$J$42,MATCH(26,'OFF ROAD RETURN'!$L$4:$L$42,0)),2))</f>
        <v/>
      </c>
    </row>
    <row r="56" spans="1:7" x14ac:dyDescent="0.25">
      <c r="A56" s="2" t="str">
        <f>IF(27&gt;$D$18,"",INDEX('OFF ROAD RETURN'!$K$4:$K$42,MATCH(27,'OFF ROAD RETURN'!$L$4:$L$42,0)))</f>
        <v/>
      </c>
      <c r="D56" s="7" t="str">
        <f>IF(27&gt;$D$18,"",ROUND(INDEX('OFF ROAD RETURN'!$F$4:$F$42,MATCH(27,'OFF ROAD RETURN'!$L$4:$L$42,0)),2))</f>
        <v/>
      </c>
      <c r="F56" s="12" t="str">
        <f>IF(27&gt;$D$18,"",INDEX('OFF ROAD RETURN'!$C$4:$C$42,MATCH(27,'OFF ROAD RETURN'!$L$4:$L$42,0)))</f>
        <v/>
      </c>
      <c r="G56" s="7" t="str">
        <f>IF(27&gt;$D$18,"",ROUND(INDEX('OFF ROAD RETURN'!$J$4:$J$42,MATCH(27,'OFF ROAD RETURN'!$L$4:$L$42,0)),2))</f>
        <v/>
      </c>
    </row>
    <row r="57" spans="1:7" x14ac:dyDescent="0.25">
      <c r="A57" s="2" t="str">
        <f>IF(28&gt;$D$18,"",INDEX('OFF ROAD RETURN'!$K$4:$K$42,MATCH(28,'OFF ROAD RETURN'!$L$4:$L$42,0)))</f>
        <v/>
      </c>
      <c r="D57" s="7" t="str">
        <f>IF(28&gt;$D$18,"",ROUND(INDEX('OFF ROAD RETURN'!$F$4:$F$42,MATCH(28,'OFF ROAD RETURN'!$L$4:$L$42,0)),2))</f>
        <v/>
      </c>
      <c r="F57" s="12" t="str">
        <f>IF(28&gt;$D$18,"",INDEX('OFF ROAD RETURN'!$C$4:$C$42,MATCH(28,'OFF ROAD RETURN'!$L$4:$L$42,0)))</f>
        <v/>
      </c>
      <c r="G57" s="7" t="str">
        <f>IF(28&gt;$D$18,"",ROUND(INDEX('OFF ROAD RETURN'!$J$4:$J$42,MATCH(28,'OFF ROAD RETURN'!$L$4:$L$42,0)),2))</f>
        <v/>
      </c>
    </row>
    <row r="58" spans="1:7" x14ac:dyDescent="0.25">
      <c r="A58" s="2" t="str">
        <f>IF(29&gt;$D$18,"",INDEX('OFF ROAD RETURN'!$K$4:$K$42,MATCH(29,'OFF ROAD RETURN'!$L$4:$L$42,0)))</f>
        <v/>
      </c>
      <c r="D58" s="7" t="str">
        <f>IF(29&gt;$D$18,"",ROUND(INDEX('OFF ROAD RETURN'!$F$4:$F$42,MATCH(29,'OFF ROAD RETURN'!$L$4:$L$42,0)),2))</f>
        <v/>
      </c>
      <c r="F58" s="12" t="str">
        <f>IF(29&gt;$D$18,"",INDEX('OFF ROAD RETURN'!$C$4:$C$42,MATCH(29,'OFF ROAD RETURN'!$L$4:$L$42,0)))</f>
        <v/>
      </c>
      <c r="G58" s="7" t="str">
        <f>IF(29&gt;$D$18,"",ROUND(INDEX('OFF ROAD RETURN'!$J$4:$J$42,MATCH(29,'OFF ROAD RETURN'!$L$4:$L$42,0)),2))</f>
        <v/>
      </c>
    </row>
    <row r="59" spans="1:7" x14ac:dyDescent="0.25">
      <c r="A59" s="2" t="str">
        <f>IF(30&gt;$D$18,"",INDEX('OFF ROAD RETURN'!$K$4:$K$42,MATCH(30,'OFF ROAD RETURN'!$L$4:$L$42,0)))</f>
        <v/>
      </c>
      <c r="D59" s="7" t="str">
        <f>IF(30&gt;$D$18,"",ROUND(INDEX('OFF ROAD RETURN'!$F$4:$F$42,MATCH(30,'OFF ROAD RETURN'!$L$4:$L$42,0)),2))</f>
        <v/>
      </c>
      <c r="F59" s="12" t="str">
        <f>IF(30&gt;$D$18,"",INDEX('OFF ROAD RETURN'!$C$4:$C$42,MATCH(30,'OFF ROAD RETURN'!$L$4:$L$42,0)))</f>
        <v/>
      </c>
      <c r="G59" s="7" t="str">
        <f>IF(30&gt;$D$18,"",ROUND(INDEX('OFF ROAD RETURN'!$J$4:$J$42,MATCH(30,'OFF ROAD RETURN'!$L$4:$L$42,0)),2))</f>
        <v/>
      </c>
    </row>
    <row r="60" spans="1:7" x14ac:dyDescent="0.25">
      <c r="A60" s="2" t="str">
        <f>IF(31&gt;$D$18,"",INDEX('OFF ROAD RETURN'!$K$4:$K$42,MATCH(31,'OFF ROAD RETURN'!$L$4:$L$42,0)))</f>
        <v/>
      </c>
      <c r="D60" s="7" t="str">
        <f>IF(31&gt;$D$18,"",ROUND(INDEX('OFF ROAD RETURN'!$F$4:$F$42,MATCH(31,'OFF ROAD RETURN'!$L$4:$L$42,0)),2))</f>
        <v/>
      </c>
      <c r="F60" s="12" t="str">
        <f>IF(31&gt;$D$18,"",INDEX('OFF ROAD RETURN'!$C$4:$C$42,MATCH(31,'OFF ROAD RETURN'!$L$4:$L$42,0)))</f>
        <v/>
      </c>
      <c r="G60" s="7" t="str">
        <f>IF(31&gt;$D$18,"",ROUND(INDEX('OFF ROAD RETURN'!$J$4:$J$42,MATCH(31,'OFF ROAD RETURN'!$L$4:$L$42,0)),2))</f>
        <v/>
      </c>
    </row>
    <row r="61" spans="1:7" x14ac:dyDescent="0.25">
      <c r="A61" s="2" t="str">
        <f>IF(32&gt;$D$18,"",INDEX('OFF ROAD RETURN'!$K$4:$K$42,MATCH(32,'OFF ROAD RETURN'!$L$4:$L$42,0)))</f>
        <v/>
      </c>
      <c r="D61" s="7" t="str">
        <f>IF(32&gt;$D$18,"",ROUND(INDEX('OFF ROAD RETURN'!$F$4:$F$42,MATCH(32,'OFF ROAD RETURN'!$L$4:$L$42,0)),2))</f>
        <v/>
      </c>
      <c r="F61" s="12" t="str">
        <f>IF(32&gt;$D$18,"",INDEX('OFF ROAD RETURN'!$C$4:$C$42,MATCH(32,'OFF ROAD RETURN'!$L$4:$L$42,0)))</f>
        <v/>
      </c>
      <c r="G61" s="7" t="str">
        <f>IF(32&gt;$D$18,"",ROUND(INDEX('OFF ROAD RETURN'!$J$4:$J$42,MATCH(32,'OFF ROAD RETURN'!$L$4:$L$42,0)),2))</f>
        <v/>
      </c>
    </row>
    <row r="62" spans="1:7" x14ac:dyDescent="0.25">
      <c r="A62" s="2" t="str">
        <f>IF(33&gt;$D$18,"",INDEX('OFF ROAD RETURN'!$K$4:$K$42,MATCH(33,'OFF ROAD RETURN'!$L$4:$L$42,0)))</f>
        <v/>
      </c>
      <c r="D62" s="7" t="str">
        <f>IF(33&gt;$D$18,"",ROUND(INDEX('OFF ROAD RETURN'!$F$4:$F$42,MATCH(33,'OFF ROAD RETURN'!$L$4:$L$42,0)),2))</f>
        <v/>
      </c>
      <c r="F62" s="12" t="str">
        <f>IF(33&gt;$D$18,"",INDEX('OFF ROAD RETURN'!$C$4:$C$42,MATCH(33,'OFF ROAD RETURN'!$L$4:$L$42,0)))</f>
        <v/>
      </c>
      <c r="G62" s="7" t="str">
        <f>IF(33&gt;$D$18,"",ROUND(INDEX('OFF ROAD RETURN'!$J$4:$J$42,MATCH(33,'OFF ROAD RETURN'!$L$4:$L$42,0)),2))</f>
        <v/>
      </c>
    </row>
    <row r="63" spans="1:7" x14ac:dyDescent="0.25">
      <c r="A63" s="2" t="str">
        <f>IF(34&gt;$D$18,"",INDEX('OFF ROAD RETURN'!$K$4:$K$42,MATCH(34,'OFF ROAD RETURN'!$L$4:$L$42,0)))</f>
        <v/>
      </c>
      <c r="D63" s="7" t="str">
        <f>IF(34&gt;$D$18,"",ROUND(INDEX('OFF ROAD RETURN'!$F$4:$F$42,MATCH(34,'OFF ROAD RETURN'!$L$4:$L$42,0)),2))</f>
        <v/>
      </c>
      <c r="F63" s="12" t="str">
        <f>IF(34&gt;$D$18,"",INDEX('OFF ROAD RETURN'!$C$4:$C$42,MATCH(34,'OFF ROAD RETURN'!$L$4:$L$42,0)))</f>
        <v/>
      </c>
      <c r="G63" s="7" t="str">
        <f>IF(34&gt;$D$18,"",ROUND(INDEX('OFF ROAD RETURN'!$J$4:$J$42,MATCH(34,'OFF ROAD RETURN'!$L$4:$L$42,0)),2))</f>
        <v/>
      </c>
    </row>
    <row r="64" spans="1:7" x14ac:dyDescent="0.25">
      <c r="A64" s="2" t="str">
        <f>IF(35&gt;$D$18,"",INDEX('OFF ROAD RETURN'!$K$4:$K$42,MATCH(35,'OFF ROAD RETURN'!$L$4:$L$42,0)))</f>
        <v/>
      </c>
      <c r="D64" s="7" t="str">
        <f>IF(35&gt;$D$18,"",ROUND(INDEX('OFF ROAD RETURN'!$F$4:$F$42,MATCH(35,'OFF ROAD RETURN'!$L$4:$L$42,0)),2))</f>
        <v/>
      </c>
      <c r="F64" s="12" t="str">
        <f>IF(35&gt;$D$18,"",INDEX('OFF ROAD RETURN'!$C$4:$C$42,MATCH(35,'OFF ROAD RETURN'!$L$4:$L$42,0)))</f>
        <v/>
      </c>
      <c r="G64" s="7" t="str">
        <f>IF(35&gt;$D$18,"",ROUND(INDEX('OFF ROAD RETURN'!$J$4:$J$42,MATCH(35,'OFF ROAD RETURN'!$L$4:$L$42,0)),2))</f>
        <v/>
      </c>
    </row>
    <row r="65" spans="1:7" x14ac:dyDescent="0.25">
      <c r="A65" s="2" t="str">
        <f>IF(36&gt;$D$18,"",INDEX('OFF ROAD RETURN'!$K$4:$K$42,MATCH(36,'OFF ROAD RETURN'!$L$4:$L$42,0)))</f>
        <v/>
      </c>
      <c r="D65" s="7" t="str">
        <f>IF(36&gt;$D$18,"",ROUND(INDEX('OFF ROAD RETURN'!$F$4:$F$42,MATCH(36,'OFF ROAD RETURN'!$L$4:$L$42,0)),2))</f>
        <v/>
      </c>
      <c r="F65" s="12" t="str">
        <f>IF(36&gt;$D$18,"",INDEX('OFF ROAD RETURN'!$C$4:$C$42,MATCH(36,'OFF ROAD RETURN'!$L$4:$L$42,0)))</f>
        <v/>
      </c>
      <c r="G65" s="7" t="str">
        <f>IF(36&gt;$D$18,"",ROUND(INDEX('OFF ROAD RETURN'!$J$4:$J$42,MATCH(36,'OFF ROAD RETURN'!$L$4:$L$42,0)),2))</f>
        <v/>
      </c>
    </row>
    <row r="66" spans="1:7" x14ac:dyDescent="0.25">
      <c r="A66" s="2" t="str">
        <f>IF(37&gt;$D$18,"",INDEX('OFF ROAD RETURN'!$K$4:$K$42,MATCH(37,'OFF ROAD RETURN'!$L$4:$L$42,0)))</f>
        <v/>
      </c>
      <c r="D66" s="7" t="str">
        <f>IF(37&gt;$D$18,"",ROUND(INDEX('OFF ROAD RETURN'!$F$4:$F$42,MATCH(37,'OFF ROAD RETURN'!$L$4:$L$42,0)),2))</f>
        <v/>
      </c>
      <c r="F66" s="12" t="str">
        <f>IF(37&gt;$D$18,"",INDEX('OFF ROAD RETURN'!$C$4:$C$42,MATCH(37,'OFF ROAD RETURN'!$L$4:$L$42,0)))</f>
        <v/>
      </c>
      <c r="G66" s="7" t="str">
        <f>IF(37&gt;$D$18,"",ROUND(INDEX('OFF ROAD RETURN'!$J$4:$J$42,MATCH(37,'OFF ROAD RETURN'!$L$4:$L$42,0)),2))</f>
        <v/>
      </c>
    </row>
    <row r="67" spans="1:7" x14ac:dyDescent="0.25">
      <c r="A67" s="2" t="str">
        <f>IF(38&gt;$D$18,"",INDEX('OFF ROAD RETURN'!$K$4:$K$42,MATCH(38,'OFF ROAD RETURN'!$L$4:$L$42,0)))</f>
        <v/>
      </c>
      <c r="D67" s="7" t="str">
        <f>IF(38&gt;$D$18,"",ROUND(INDEX('OFF ROAD RETURN'!$F$4:$F$42,MATCH(38,'OFF ROAD RETURN'!$L$4:$L$42,0)),2))</f>
        <v/>
      </c>
      <c r="F67" s="12" t="str">
        <f>IF(38&gt;$D$18,"",INDEX('OFF ROAD RETURN'!$C$4:$C$42,MATCH(38,'OFF ROAD RETURN'!$L$4:$L$42,0)))</f>
        <v/>
      </c>
      <c r="G67" s="7" t="str">
        <f>IF(38&gt;$D$18,"",ROUND(INDEX('OFF ROAD RETURN'!$J$4:$J$42,MATCH(38,'OFF ROAD RETURN'!$L$4:$L$42,0)),2))</f>
        <v/>
      </c>
    </row>
    <row r="68" spans="1:7" x14ac:dyDescent="0.25">
      <c r="A68" s="2" t="str">
        <f>IF(39&gt;$D$18,"",INDEX('OFF ROAD RETURN'!$K$4:$K$42,MATCH(39,'OFF ROAD RETURN'!$L$4:$L$42,0)))</f>
        <v/>
      </c>
      <c r="D68" s="7" t="str">
        <f>IF(39&gt;$D$18,"",ROUND(INDEX('OFF ROAD RETURN'!$F$4:$F$42,MATCH(39,'OFF ROAD RETURN'!$L$4:$L$42,0)),2))</f>
        <v/>
      </c>
      <c r="F68" s="12" t="str">
        <f>IF(39&gt;$D$18,"",INDEX('OFF ROAD RETURN'!$C$4:$C$42,MATCH(39,'OFF ROAD RETURN'!$L$4:$L$42,0)))</f>
        <v/>
      </c>
      <c r="G68" s="7" t="str">
        <f>IF(39&gt;$D$18,"",ROUND(INDEX('OFF ROAD RETURN'!$J$4:$J$42,MATCH(39,'OFF ROAD RETURN'!$L$4:$L$42,0)),2))</f>
        <v/>
      </c>
    </row>
  </sheetData>
  <conditionalFormatting sqref="A30:D68">
    <cfRule type="expression" dxfId="14" priority="1">
      <formula>ROW()-29&lt;=$D$18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4B183"/>
  </sheetPr>
  <dimension ref="A1:M197"/>
  <sheetViews>
    <sheetView workbookViewId="0"/>
  </sheetViews>
  <sheetFormatPr defaultRowHeight="15" x14ac:dyDescent="0.25"/>
  <cols>
    <col min="1" max="1" width="48" customWidth="1"/>
    <col min="2" max="2" width="3" customWidth="1"/>
    <col min="3" max="3" width="18" customWidth="1"/>
    <col min="4" max="4" width="16" customWidth="1"/>
    <col min="5" max="7" width="3" customWidth="1"/>
    <col min="8" max="8" width="12" customWidth="1"/>
    <col min="9" max="10" width="14" customWidth="1"/>
    <col min="11" max="11" width="3" customWidth="1"/>
    <col min="12" max="12" width="11" customWidth="1"/>
    <col min="13" max="13" width="14" customWidth="1"/>
  </cols>
  <sheetData>
    <row r="1" spans="1:6" ht="16.5" x14ac:dyDescent="0.25">
      <c r="A1" s="1" t="s">
        <v>418</v>
      </c>
    </row>
    <row r="2" spans="1:6" x14ac:dyDescent="0.25">
      <c r="A2" s="6" t="s">
        <v>386</v>
      </c>
    </row>
    <row r="3" spans="1:6" x14ac:dyDescent="0.25">
      <c r="A3" s="6" t="s">
        <v>387</v>
      </c>
    </row>
    <row r="5" spans="1:6" x14ac:dyDescent="0.25">
      <c r="A5" s="3" t="s">
        <v>388</v>
      </c>
    </row>
    <row r="6" spans="1:6" x14ac:dyDescent="0.25">
      <c r="A6" s="2" t="s">
        <v>389</v>
      </c>
      <c r="D6" s="19" t="s">
        <v>419</v>
      </c>
    </row>
    <row r="7" spans="1:6" x14ac:dyDescent="0.25">
      <c r="A7" s="2" t="s">
        <v>391</v>
      </c>
      <c r="D7" s="19" t="s">
        <v>392</v>
      </c>
    </row>
    <row r="8" spans="1:6" x14ac:dyDescent="0.25">
      <c r="A8" s="2" t="s">
        <v>393</v>
      </c>
      <c r="D8" s="8" t="s">
        <v>394</v>
      </c>
    </row>
    <row r="9" spans="1:6" x14ac:dyDescent="0.25">
      <c r="A9" s="2" t="s">
        <v>395</v>
      </c>
      <c r="D9" s="8" t="s">
        <v>396</v>
      </c>
      <c r="F9" s="6" t="s">
        <v>397</v>
      </c>
    </row>
    <row r="10" spans="1:6" x14ac:dyDescent="0.25">
      <c r="A10" s="2" t="s">
        <v>398</v>
      </c>
      <c r="D10" s="8">
        <f>RECAP!D19</f>
        <v>0</v>
      </c>
    </row>
    <row r="11" spans="1:6" x14ac:dyDescent="0.25">
      <c r="A11" s="2" t="s">
        <v>399</v>
      </c>
      <c r="D11" s="8">
        <f>RECAP!D20</f>
        <v>0</v>
      </c>
    </row>
    <row r="12" spans="1:6" x14ac:dyDescent="0.25">
      <c r="A12" s="2" t="s">
        <v>400</v>
      </c>
      <c r="D12" s="8">
        <f>RECAP!D25</f>
        <v>0</v>
      </c>
    </row>
    <row r="14" spans="1:6" x14ac:dyDescent="0.25">
      <c r="A14" s="3" t="s">
        <v>420</v>
      </c>
    </row>
    <row r="15" spans="1:6" x14ac:dyDescent="0.25">
      <c r="A15" s="2" t="s">
        <v>404</v>
      </c>
      <c r="D15" s="20">
        <f>IF(ROUND(SUMIF('ON ROAD RETURN'!$A$4:$A$167,"FULTON (COLLEGE PARK)",'ON ROAD RETURN'!$G$4:$G$167),2)=0,0,1)</f>
        <v>0</v>
      </c>
    </row>
    <row r="16" spans="1:6" x14ac:dyDescent="0.25">
      <c r="A16" s="2" t="str">
        <f>IF($D$15=0,"Nothing to paste this month.","Copy A18:D"&amp;(18+$D$15-1)&amp;", the shaded rows, then on its Sales Tax Distribution tab right-click A3, Paste Special, Values.")</f>
        <v>Nothing to paste this month.</v>
      </c>
    </row>
    <row r="17" spans="1:13" x14ac:dyDescent="0.25">
      <c r="A17" s="9" t="s">
        <v>414</v>
      </c>
      <c r="B17" s="9"/>
      <c r="C17" s="9"/>
      <c r="D17" s="9" t="s">
        <v>415</v>
      </c>
      <c r="L17" s="9" t="s">
        <v>416</v>
      </c>
      <c r="M17" s="9" t="s">
        <v>421</v>
      </c>
    </row>
    <row r="18" spans="1:13" x14ac:dyDescent="0.25">
      <c r="A18" s="2" t="str">
        <f>IF($D$15=0,"",INDEX('ON ROAD RETURN'!$L$4:$L$167,MATCH("FULTON (COLLEGE PARK)",'ON ROAD RETURN'!$A$4:$A$167,0)))</f>
        <v/>
      </c>
      <c r="D18" s="7" t="str">
        <f>IF($D$15=0,"",ROUND(SUMIF('ON ROAD RETURN'!$A$4:$A$167,"FULTON (COLLEGE PARK)",'ON ROAD RETURN'!$G$4:$G$167),2))</f>
        <v/>
      </c>
      <c r="L18" s="12" t="str">
        <f>IF($D$15=0,"",INDEX('ON ROAD RETURN'!$C$4:$C$167,MATCH("FULTON (COLLEGE PARK)",'ON ROAD RETURN'!$A$4:$A$167,0)))</f>
        <v/>
      </c>
      <c r="M18" s="7" t="str">
        <f>IF($D$15=0,"",ROUND(SUMIF('ON ROAD RETURN'!$A$4:$A$167,"FULTON (COLLEGE PARK)",'ON ROAD RETURN'!$H$4:$H$167),2))</f>
        <v/>
      </c>
    </row>
    <row r="20" spans="1:13" x14ac:dyDescent="0.25">
      <c r="A20" s="3" t="s">
        <v>422</v>
      </c>
    </row>
    <row r="21" spans="1:13" x14ac:dyDescent="0.25">
      <c r="A21" s="2" t="s">
        <v>404</v>
      </c>
      <c r="D21" s="20">
        <f>MAX('ON ROAD RETURN'!$N$4:$N$167)</f>
        <v>0</v>
      </c>
    </row>
    <row r="22" spans="1:13" x14ac:dyDescent="0.25">
      <c r="A22" s="2" t="str">
        <f>IF($D$21=0,"Nothing to paste this month.","Copy A34:J"&amp;(34+$D$21-1)&amp;", the shaded rows, then on its MFD On-Road Worksheet tab right-click A3, Paste Special, Values.")</f>
        <v>Nothing to paste this month.</v>
      </c>
    </row>
    <row r="24" spans="1:13" x14ac:dyDescent="0.25">
      <c r="A24" s="3" t="s">
        <v>405</v>
      </c>
    </row>
    <row r="25" spans="1:13" x14ac:dyDescent="0.25">
      <c r="A25" s="2" t="s">
        <v>407</v>
      </c>
      <c r="D25" s="8">
        <f>RECAP!D22</f>
        <v>0</v>
      </c>
      <c r="F25" s="6" t="s">
        <v>423</v>
      </c>
    </row>
    <row r="26" spans="1:13" x14ac:dyDescent="0.25">
      <c r="A26" s="2" t="s">
        <v>424</v>
      </c>
      <c r="D26" s="8">
        <f>RECAP!D24</f>
        <v>0</v>
      </c>
    </row>
    <row r="27" spans="1:13" x14ac:dyDescent="0.25">
      <c r="A27" s="2" t="s">
        <v>408</v>
      </c>
      <c r="D27" s="8">
        <f>RECAP!D26</f>
        <v>0</v>
      </c>
    </row>
    <row r="28" spans="1:13" x14ac:dyDescent="0.25">
      <c r="A28" s="2" t="s">
        <v>409</v>
      </c>
      <c r="D28" s="8">
        <f>RECAP!D27</f>
        <v>0</v>
      </c>
    </row>
    <row r="29" spans="1:13" x14ac:dyDescent="0.25">
      <c r="A29" s="2" t="s">
        <v>410</v>
      </c>
      <c r="D29" s="8">
        <f>RECAP!D28</f>
        <v>0</v>
      </c>
      <c r="F29" s="6" t="s">
        <v>411</v>
      </c>
    </row>
    <row r="30" spans="1:13" x14ac:dyDescent="0.25">
      <c r="A30" s="2" t="s">
        <v>412</v>
      </c>
      <c r="D30" s="8">
        <f>RECAP!D26+RECAP!D27-RECAP!D28</f>
        <v>0</v>
      </c>
    </row>
    <row r="31" spans="1:13" x14ac:dyDescent="0.25">
      <c r="A31" s="6" t="s">
        <v>425</v>
      </c>
    </row>
    <row r="33" spans="1:13" x14ac:dyDescent="0.25">
      <c r="A33" s="9" t="s">
        <v>414</v>
      </c>
      <c r="B33" s="9"/>
      <c r="C33" s="9" t="s">
        <v>426</v>
      </c>
      <c r="D33" s="9"/>
      <c r="E33" s="9"/>
      <c r="F33" s="9"/>
      <c r="G33" s="9"/>
      <c r="H33" s="9" t="s">
        <v>427</v>
      </c>
      <c r="I33" s="9" t="s">
        <v>428</v>
      </c>
      <c r="J33" s="9" t="s">
        <v>429</v>
      </c>
      <c r="L33" s="9" t="s">
        <v>416</v>
      </c>
      <c r="M33" s="9" t="s">
        <v>421</v>
      </c>
    </row>
    <row r="34" spans="1:13" x14ac:dyDescent="0.25">
      <c r="A34" s="2" t="str">
        <f>IF(1&gt;$D$21,"",INDEX('ON ROAD RETURN'!$L$4:$L$167,MATCH(1,'ON ROAD RETURN'!$N$4:$N$167,0)))</f>
        <v/>
      </c>
      <c r="C34" s="2" t="str">
        <f>IF(1&gt;$D$21,"",INDEX('ON ROAD RETURN'!$M$4:$M$167,MATCH(1,'ON ROAD RETURN'!$N$4:$N$167,0)))</f>
        <v/>
      </c>
      <c r="I34" s="15" t="str">
        <f>IF(1&gt;$D$21,"",INDEX('ON ROAD RETURN'!$D$4:$D$167,MATCH(1,'ON ROAD RETURN'!$N$4:$N$167,0)))</f>
        <v/>
      </c>
      <c r="J34" s="15" t="str">
        <f>IF(1&gt;$D$21,"",INDEX('ON ROAD RETURN'!$E$4:$E$167,MATCH(1,'ON ROAD RETURN'!$N$4:$N$167,0)))</f>
        <v/>
      </c>
      <c r="L34" s="12" t="str">
        <f>IF(1&gt;$D$21,"",INDEX('ON ROAD RETURN'!$C$4:$C$167,MATCH(1,'ON ROAD RETURN'!$N$4:$N$167,0)))</f>
        <v/>
      </c>
      <c r="M34" s="7" t="str">
        <f>IF(1&gt;$D$21,"",ROUND(INDEX('ON ROAD RETURN'!$H$4:$H$167,MATCH(1,'ON ROAD RETURN'!$N$4:$N$167,0)),2))</f>
        <v/>
      </c>
    </row>
    <row r="35" spans="1:13" x14ac:dyDescent="0.25">
      <c r="A35" s="2" t="str">
        <f>IF(2&gt;$D$21,"",INDEX('ON ROAD RETURN'!$L$4:$L$167,MATCH(2,'ON ROAD RETURN'!$N$4:$N$167,0)))</f>
        <v/>
      </c>
      <c r="C35" s="2" t="str">
        <f>IF(2&gt;$D$21,"",INDEX('ON ROAD RETURN'!$M$4:$M$167,MATCH(2,'ON ROAD RETURN'!$N$4:$N$167,0)))</f>
        <v/>
      </c>
      <c r="I35" s="15" t="str">
        <f>IF(2&gt;$D$21,"",INDEX('ON ROAD RETURN'!$D$4:$D$167,MATCH(2,'ON ROAD RETURN'!$N$4:$N$167,0)))</f>
        <v/>
      </c>
      <c r="J35" s="15" t="str">
        <f>IF(2&gt;$D$21,"",INDEX('ON ROAD RETURN'!$E$4:$E$167,MATCH(2,'ON ROAD RETURN'!$N$4:$N$167,0)))</f>
        <v/>
      </c>
      <c r="L35" s="12" t="str">
        <f>IF(2&gt;$D$21,"",INDEX('ON ROAD RETURN'!$C$4:$C$167,MATCH(2,'ON ROAD RETURN'!$N$4:$N$167,0)))</f>
        <v/>
      </c>
      <c r="M35" s="7" t="str">
        <f>IF(2&gt;$D$21,"",ROUND(INDEX('ON ROAD RETURN'!$H$4:$H$167,MATCH(2,'ON ROAD RETURN'!$N$4:$N$167,0)),2))</f>
        <v/>
      </c>
    </row>
    <row r="36" spans="1:13" x14ac:dyDescent="0.25">
      <c r="A36" s="2" t="str">
        <f>IF(3&gt;$D$21,"",INDEX('ON ROAD RETURN'!$L$4:$L$167,MATCH(3,'ON ROAD RETURN'!$N$4:$N$167,0)))</f>
        <v/>
      </c>
      <c r="C36" s="2" t="str">
        <f>IF(3&gt;$D$21,"",INDEX('ON ROAD RETURN'!$M$4:$M$167,MATCH(3,'ON ROAD RETURN'!$N$4:$N$167,0)))</f>
        <v/>
      </c>
      <c r="I36" s="15" t="str">
        <f>IF(3&gt;$D$21,"",INDEX('ON ROAD RETURN'!$D$4:$D$167,MATCH(3,'ON ROAD RETURN'!$N$4:$N$167,0)))</f>
        <v/>
      </c>
      <c r="J36" s="15" t="str">
        <f>IF(3&gt;$D$21,"",INDEX('ON ROAD RETURN'!$E$4:$E$167,MATCH(3,'ON ROAD RETURN'!$N$4:$N$167,0)))</f>
        <v/>
      </c>
      <c r="L36" s="12" t="str">
        <f>IF(3&gt;$D$21,"",INDEX('ON ROAD RETURN'!$C$4:$C$167,MATCH(3,'ON ROAD RETURN'!$N$4:$N$167,0)))</f>
        <v/>
      </c>
      <c r="M36" s="7" t="str">
        <f>IF(3&gt;$D$21,"",ROUND(INDEX('ON ROAD RETURN'!$H$4:$H$167,MATCH(3,'ON ROAD RETURN'!$N$4:$N$167,0)),2))</f>
        <v/>
      </c>
    </row>
    <row r="37" spans="1:13" x14ac:dyDescent="0.25">
      <c r="A37" s="2" t="str">
        <f>IF(4&gt;$D$21,"",INDEX('ON ROAD RETURN'!$L$4:$L$167,MATCH(4,'ON ROAD RETURN'!$N$4:$N$167,0)))</f>
        <v/>
      </c>
      <c r="C37" s="2" t="str">
        <f>IF(4&gt;$D$21,"",INDEX('ON ROAD RETURN'!$M$4:$M$167,MATCH(4,'ON ROAD RETURN'!$N$4:$N$167,0)))</f>
        <v/>
      </c>
      <c r="I37" s="15" t="str">
        <f>IF(4&gt;$D$21,"",INDEX('ON ROAD RETURN'!$D$4:$D$167,MATCH(4,'ON ROAD RETURN'!$N$4:$N$167,0)))</f>
        <v/>
      </c>
      <c r="J37" s="15" t="str">
        <f>IF(4&gt;$D$21,"",INDEX('ON ROAD RETURN'!$E$4:$E$167,MATCH(4,'ON ROAD RETURN'!$N$4:$N$167,0)))</f>
        <v/>
      </c>
      <c r="L37" s="12" t="str">
        <f>IF(4&gt;$D$21,"",INDEX('ON ROAD RETURN'!$C$4:$C$167,MATCH(4,'ON ROAD RETURN'!$N$4:$N$167,0)))</f>
        <v/>
      </c>
      <c r="M37" s="7" t="str">
        <f>IF(4&gt;$D$21,"",ROUND(INDEX('ON ROAD RETURN'!$H$4:$H$167,MATCH(4,'ON ROAD RETURN'!$N$4:$N$167,0)),2))</f>
        <v/>
      </c>
    </row>
    <row r="38" spans="1:13" x14ac:dyDescent="0.25">
      <c r="A38" s="2" t="str">
        <f>IF(5&gt;$D$21,"",INDEX('ON ROAD RETURN'!$L$4:$L$167,MATCH(5,'ON ROAD RETURN'!$N$4:$N$167,0)))</f>
        <v/>
      </c>
      <c r="C38" s="2" t="str">
        <f>IF(5&gt;$D$21,"",INDEX('ON ROAD RETURN'!$M$4:$M$167,MATCH(5,'ON ROAD RETURN'!$N$4:$N$167,0)))</f>
        <v/>
      </c>
      <c r="I38" s="15" t="str">
        <f>IF(5&gt;$D$21,"",INDEX('ON ROAD RETURN'!$D$4:$D$167,MATCH(5,'ON ROAD RETURN'!$N$4:$N$167,0)))</f>
        <v/>
      </c>
      <c r="J38" s="15" t="str">
        <f>IF(5&gt;$D$21,"",INDEX('ON ROAD RETURN'!$E$4:$E$167,MATCH(5,'ON ROAD RETURN'!$N$4:$N$167,0)))</f>
        <v/>
      </c>
      <c r="L38" s="12" t="str">
        <f>IF(5&gt;$D$21,"",INDEX('ON ROAD RETURN'!$C$4:$C$167,MATCH(5,'ON ROAD RETURN'!$N$4:$N$167,0)))</f>
        <v/>
      </c>
      <c r="M38" s="7" t="str">
        <f>IF(5&gt;$D$21,"",ROUND(INDEX('ON ROAD RETURN'!$H$4:$H$167,MATCH(5,'ON ROAD RETURN'!$N$4:$N$167,0)),2))</f>
        <v/>
      </c>
    </row>
    <row r="39" spans="1:13" x14ac:dyDescent="0.25">
      <c r="A39" s="2" t="str">
        <f>IF(6&gt;$D$21,"",INDEX('ON ROAD RETURN'!$L$4:$L$167,MATCH(6,'ON ROAD RETURN'!$N$4:$N$167,0)))</f>
        <v/>
      </c>
      <c r="C39" s="2" t="str">
        <f>IF(6&gt;$D$21,"",INDEX('ON ROAD RETURN'!$M$4:$M$167,MATCH(6,'ON ROAD RETURN'!$N$4:$N$167,0)))</f>
        <v/>
      </c>
      <c r="I39" s="15" t="str">
        <f>IF(6&gt;$D$21,"",INDEX('ON ROAD RETURN'!$D$4:$D$167,MATCH(6,'ON ROAD RETURN'!$N$4:$N$167,0)))</f>
        <v/>
      </c>
      <c r="J39" s="15" t="str">
        <f>IF(6&gt;$D$21,"",INDEX('ON ROAD RETURN'!$E$4:$E$167,MATCH(6,'ON ROAD RETURN'!$N$4:$N$167,0)))</f>
        <v/>
      </c>
      <c r="L39" s="12" t="str">
        <f>IF(6&gt;$D$21,"",INDEX('ON ROAD RETURN'!$C$4:$C$167,MATCH(6,'ON ROAD RETURN'!$N$4:$N$167,0)))</f>
        <v/>
      </c>
      <c r="M39" s="7" t="str">
        <f>IF(6&gt;$D$21,"",ROUND(INDEX('ON ROAD RETURN'!$H$4:$H$167,MATCH(6,'ON ROAD RETURN'!$N$4:$N$167,0)),2))</f>
        <v/>
      </c>
    </row>
    <row r="40" spans="1:13" x14ac:dyDescent="0.25">
      <c r="A40" s="2" t="str">
        <f>IF(7&gt;$D$21,"",INDEX('ON ROAD RETURN'!$L$4:$L$167,MATCH(7,'ON ROAD RETURN'!$N$4:$N$167,0)))</f>
        <v/>
      </c>
      <c r="C40" s="2" t="str">
        <f>IF(7&gt;$D$21,"",INDEX('ON ROAD RETURN'!$M$4:$M$167,MATCH(7,'ON ROAD RETURN'!$N$4:$N$167,0)))</f>
        <v/>
      </c>
      <c r="I40" s="15" t="str">
        <f>IF(7&gt;$D$21,"",INDEX('ON ROAD RETURN'!$D$4:$D$167,MATCH(7,'ON ROAD RETURN'!$N$4:$N$167,0)))</f>
        <v/>
      </c>
      <c r="J40" s="15" t="str">
        <f>IF(7&gt;$D$21,"",INDEX('ON ROAD RETURN'!$E$4:$E$167,MATCH(7,'ON ROAD RETURN'!$N$4:$N$167,0)))</f>
        <v/>
      </c>
      <c r="L40" s="12" t="str">
        <f>IF(7&gt;$D$21,"",INDEX('ON ROAD RETURN'!$C$4:$C$167,MATCH(7,'ON ROAD RETURN'!$N$4:$N$167,0)))</f>
        <v/>
      </c>
      <c r="M40" s="7" t="str">
        <f>IF(7&gt;$D$21,"",ROUND(INDEX('ON ROAD RETURN'!$H$4:$H$167,MATCH(7,'ON ROAD RETURN'!$N$4:$N$167,0)),2))</f>
        <v/>
      </c>
    </row>
    <row r="41" spans="1:13" x14ac:dyDescent="0.25">
      <c r="A41" s="2" t="str">
        <f>IF(8&gt;$D$21,"",INDEX('ON ROAD RETURN'!$L$4:$L$167,MATCH(8,'ON ROAD RETURN'!$N$4:$N$167,0)))</f>
        <v/>
      </c>
      <c r="C41" s="2" t="str">
        <f>IF(8&gt;$D$21,"",INDEX('ON ROAD RETURN'!$M$4:$M$167,MATCH(8,'ON ROAD RETURN'!$N$4:$N$167,0)))</f>
        <v/>
      </c>
      <c r="I41" s="15" t="str">
        <f>IF(8&gt;$D$21,"",INDEX('ON ROAD RETURN'!$D$4:$D$167,MATCH(8,'ON ROAD RETURN'!$N$4:$N$167,0)))</f>
        <v/>
      </c>
      <c r="J41" s="15" t="str">
        <f>IF(8&gt;$D$21,"",INDEX('ON ROAD RETURN'!$E$4:$E$167,MATCH(8,'ON ROAD RETURN'!$N$4:$N$167,0)))</f>
        <v/>
      </c>
      <c r="L41" s="12" t="str">
        <f>IF(8&gt;$D$21,"",INDEX('ON ROAD RETURN'!$C$4:$C$167,MATCH(8,'ON ROAD RETURN'!$N$4:$N$167,0)))</f>
        <v/>
      </c>
      <c r="M41" s="7" t="str">
        <f>IF(8&gt;$D$21,"",ROUND(INDEX('ON ROAD RETURN'!$H$4:$H$167,MATCH(8,'ON ROAD RETURN'!$N$4:$N$167,0)),2))</f>
        <v/>
      </c>
    </row>
    <row r="42" spans="1:13" x14ac:dyDescent="0.25">
      <c r="A42" s="2" t="str">
        <f>IF(9&gt;$D$21,"",INDEX('ON ROAD RETURN'!$L$4:$L$167,MATCH(9,'ON ROAD RETURN'!$N$4:$N$167,0)))</f>
        <v/>
      </c>
      <c r="C42" s="2" t="str">
        <f>IF(9&gt;$D$21,"",INDEX('ON ROAD RETURN'!$M$4:$M$167,MATCH(9,'ON ROAD RETURN'!$N$4:$N$167,0)))</f>
        <v/>
      </c>
      <c r="I42" s="15" t="str">
        <f>IF(9&gt;$D$21,"",INDEX('ON ROAD RETURN'!$D$4:$D$167,MATCH(9,'ON ROAD RETURN'!$N$4:$N$167,0)))</f>
        <v/>
      </c>
      <c r="J42" s="15" t="str">
        <f>IF(9&gt;$D$21,"",INDEX('ON ROAD RETURN'!$E$4:$E$167,MATCH(9,'ON ROAD RETURN'!$N$4:$N$167,0)))</f>
        <v/>
      </c>
      <c r="L42" s="12" t="str">
        <f>IF(9&gt;$D$21,"",INDEX('ON ROAD RETURN'!$C$4:$C$167,MATCH(9,'ON ROAD RETURN'!$N$4:$N$167,0)))</f>
        <v/>
      </c>
      <c r="M42" s="7" t="str">
        <f>IF(9&gt;$D$21,"",ROUND(INDEX('ON ROAD RETURN'!$H$4:$H$167,MATCH(9,'ON ROAD RETURN'!$N$4:$N$167,0)),2))</f>
        <v/>
      </c>
    </row>
    <row r="43" spans="1:13" x14ac:dyDescent="0.25">
      <c r="A43" s="2" t="str">
        <f>IF(10&gt;$D$21,"",INDEX('ON ROAD RETURN'!$L$4:$L$167,MATCH(10,'ON ROAD RETURN'!$N$4:$N$167,0)))</f>
        <v/>
      </c>
      <c r="C43" s="2" t="str">
        <f>IF(10&gt;$D$21,"",INDEX('ON ROAD RETURN'!$M$4:$M$167,MATCH(10,'ON ROAD RETURN'!$N$4:$N$167,0)))</f>
        <v/>
      </c>
      <c r="I43" s="15" t="str">
        <f>IF(10&gt;$D$21,"",INDEX('ON ROAD RETURN'!$D$4:$D$167,MATCH(10,'ON ROAD RETURN'!$N$4:$N$167,0)))</f>
        <v/>
      </c>
      <c r="J43" s="15" t="str">
        <f>IF(10&gt;$D$21,"",INDEX('ON ROAD RETURN'!$E$4:$E$167,MATCH(10,'ON ROAD RETURN'!$N$4:$N$167,0)))</f>
        <v/>
      </c>
      <c r="L43" s="12" t="str">
        <f>IF(10&gt;$D$21,"",INDEX('ON ROAD RETURN'!$C$4:$C$167,MATCH(10,'ON ROAD RETURN'!$N$4:$N$167,0)))</f>
        <v/>
      </c>
      <c r="M43" s="7" t="str">
        <f>IF(10&gt;$D$21,"",ROUND(INDEX('ON ROAD RETURN'!$H$4:$H$167,MATCH(10,'ON ROAD RETURN'!$N$4:$N$167,0)),2))</f>
        <v/>
      </c>
    </row>
    <row r="44" spans="1:13" x14ac:dyDescent="0.25">
      <c r="A44" s="2" t="str">
        <f>IF(11&gt;$D$21,"",INDEX('ON ROAD RETURN'!$L$4:$L$167,MATCH(11,'ON ROAD RETURN'!$N$4:$N$167,0)))</f>
        <v/>
      </c>
      <c r="C44" s="2" t="str">
        <f>IF(11&gt;$D$21,"",INDEX('ON ROAD RETURN'!$M$4:$M$167,MATCH(11,'ON ROAD RETURN'!$N$4:$N$167,0)))</f>
        <v/>
      </c>
      <c r="I44" s="15" t="str">
        <f>IF(11&gt;$D$21,"",INDEX('ON ROAD RETURN'!$D$4:$D$167,MATCH(11,'ON ROAD RETURN'!$N$4:$N$167,0)))</f>
        <v/>
      </c>
      <c r="J44" s="15" t="str">
        <f>IF(11&gt;$D$21,"",INDEX('ON ROAD RETURN'!$E$4:$E$167,MATCH(11,'ON ROAD RETURN'!$N$4:$N$167,0)))</f>
        <v/>
      </c>
      <c r="L44" s="12" t="str">
        <f>IF(11&gt;$D$21,"",INDEX('ON ROAD RETURN'!$C$4:$C$167,MATCH(11,'ON ROAD RETURN'!$N$4:$N$167,0)))</f>
        <v/>
      </c>
      <c r="M44" s="7" t="str">
        <f>IF(11&gt;$D$21,"",ROUND(INDEX('ON ROAD RETURN'!$H$4:$H$167,MATCH(11,'ON ROAD RETURN'!$N$4:$N$167,0)),2))</f>
        <v/>
      </c>
    </row>
    <row r="45" spans="1:13" x14ac:dyDescent="0.25">
      <c r="A45" s="2" t="str">
        <f>IF(12&gt;$D$21,"",INDEX('ON ROAD RETURN'!$L$4:$L$167,MATCH(12,'ON ROAD RETURN'!$N$4:$N$167,0)))</f>
        <v/>
      </c>
      <c r="C45" s="2" t="str">
        <f>IF(12&gt;$D$21,"",INDEX('ON ROAD RETURN'!$M$4:$M$167,MATCH(12,'ON ROAD RETURN'!$N$4:$N$167,0)))</f>
        <v/>
      </c>
      <c r="I45" s="15" t="str">
        <f>IF(12&gt;$D$21,"",INDEX('ON ROAD RETURN'!$D$4:$D$167,MATCH(12,'ON ROAD RETURN'!$N$4:$N$167,0)))</f>
        <v/>
      </c>
      <c r="J45" s="15" t="str">
        <f>IF(12&gt;$D$21,"",INDEX('ON ROAD RETURN'!$E$4:$E$167,MATCH(12,'ON ROAD RETURN'!$N$4:$N$167,0)))</f>
        <v/>
      </c>
      <c r="L45" s="12" t="str">
        <f>IF(12&gt;$D$21,"",INDEX('ON ROAD RETURN'!$C$4:$C$167,MATCH(12,'ON ROAD RETURN'!$N$4:$N$167,0)))</f>
        <v/>
      </c>
      <c r="M45" s="7" t="str">
        <f>IF(12&gt;$D$21,"",ROUND(INDEX('ON ROAD RETURN'!$H$4:$H$167,MATCH(12,'ON ROAD RETURN'!$N$4:$N$167,0)),2))</f>
        <v/>
      </c>
    </row>
    <row r="46" spans="1:13" x14ac:dyDescent="0.25">
      <c r="A46" s="2" t="str">
        <f>IF(13&gt;$D$21,"",INDEX('ON ROAD RETURN'!$L$4:$L$167,MATCH(13,'ON ROAD RETURN'!$N$4:$N$167,0)))</f>
        <v/>
      </c>
      <c r="C46" s="2" t="str">
        <f>IF(13&gt;$D$21,"",INDEX('ON ROAD RETURN'!$M$4:$M$167,MATCH(13,'ON ROAD RETURN'!$N$4:$N$167,0)))</f>
        <v/>
      </c>
      <c r="I46" s="15" t="str">
        <f>IF(13&gt;$D$21,"",INDEX('ON ROAD RETURN'!$D$4:$D$167,MATCH(13,'ON ROAD RETURN'!$N$4:$N$167,0)))</f>
        <v/>
      </c>
      <c r="J46" s="15" t="str">
        <f>IF(13&gt;$D$21,"",INDEX('ON ROAD RETURN'!$E$4:$E$167,MATCH(13,'ON ROAD RETURN'!$N$4:$N$167,0)))</f>
        <v/>
      </c>
      <c r="L46" s="12" t="str">
        <f>IF(13&gt;$D$21,"",INDEX('ON ROAD RETURN'!$C$4:$C$167,MATCH(13,'ON ROAD RETURN'!$N$4:$N$167,0)))</f>
        <v/>
      </c>
      <c r="M46" s="7" t="str">
        <f>IF(13&gt;$D$21,"",ROUND(INDEX('ON ROAD RETURN'!$H$4:$H$167,MATCH(13,'ON ROAD RETURN'!$N$4:$N$167,0)),2))</f>
        <v/>
      </c>
    </row>
    <row r="47" spans="1:13" x14ac:dyDescent="0.25">
      <c r="A47" s="2" t="str">
        <f>IF(14&gt;$D$21,"",INDEX('ON ROAD RETURN'!$L$4:$L$167,MATCH(14,'ON ROAD RETURN'!$N$4:$N$167,0)))</f>
        <v/>
      </c>
      <c r="C47" s="2" t="str">
        <f>IF(14&gt;$D$21,"",INDEX('ON ROAD RETURN'!$M$4:$M$167,MATCH(14,'ON ROAD RETURN'!$N$4:$N$167,0)))</f>
        <v/>
      </c>
      <c r="I47" s="15" t="str">
        <f>IF(14&gt;$D$21,"",INDEX('ON ROAD RETURN'!$D$4:$D$167,MATCH(14,'ON ROAD RETURN'!$N$4:$N$167,0)))</f>
        <v/>
      </c>
      <c r="J47" s="15" t="str">
        <f>IF(14&gt;$D$21,"",INDEX('ON ROAD RETURN'!$E$4:$E$167,MATCH(14,'ON ROAD RETURN'!$N$4:$N$167,0)))</f>
        <v/>
      </c>
      <c r="L47" s="12" t="str">
        <f>IF(14&gt;$D$21,"",INDEX('ON ROAD RETURN'!$C$4:$C$167,MATCH(14,'ON ROAD RETURN'!$N$4:$N$167,0)))</f>
        <v/>
      </c>
      <c r="M47" s="7" t="str">
        <f>IF(14&gt;$D$21,"",ROUND(INDEX('ON ROAD RETURN'!$H$4:$H$167,MATCH(14,'ON ROAD RETURN'!$N$4:$N$167,0)),2))</f>
        <v/>
      </c>
    </row>
    <row r="48" spans="1:13" x14ac:dyDescent="0.25">
      <c r="A48" s="2" t="str">
        <f>IF(15&gt;$D$21,"",INDEX('ON ROAD RETURN'!$L$4:$L$167,MATCH(15,'ON ROAD RETURN'!$N$4:$N$167,0)))</f>
        <v/>
      </c>
      <c r="C48" s="2" t="str">
        <f>IF(15&gt;$D$21,"",INDEX('ON ROAD RETURN'!$M$4:$M$167,MATCH(15,'ON ROAD RETURN'!$N$4:$N$167,0)))</f>
        <v/>
      </c>
      <c r="I48" s="15" t="str">
        <f>IF(15&gt;$D$21,"",INDEX('ON ROAD RETURN'!$D$4:$D$167,MATCH(15,'ON ROAD RETURN'!$N$4:$N$167,0)))</f>
        <v/>
      </c>
      <c r="J48" s="15" t="str">
        <f>IF(15&gt;$D$21,"",INDEX('ON ROAD RETURN'!$E$4:$E$167,MATCH(15,'ON ROAD RETURN'!$N$4:$N$167,0)))</f>
        <v/>
      </c>
      <c r="L48" s="12" t="str">
        <f>IF(15&gt;$D$21,"",INDEX('ON ROAD RETURN'!$C$4:$C$167,MATCH(15,'ON ROAD RETURN'!$N$4:$N$167,0)))</f>
        <v/>
      </c>
      <c r="M48" s="7" t="str">
        <f>IF(15&gt;$D$21,"",ROUND(INDEX('ON ROAD RETURN'!$H$4:$H$167,MATCH(15,'ON ROAD RETURN'!$N$4:$N$167,0)),2))</f>
        <v/>
      </c>
    </row>
    <row r="49" spans="1:13" x14ac:dyDescent="0.25">
      <c r="A49" s="2" t="str">
        <f>IF(16&gt;$D$21,"",INDEX('ON ROAD RETURN'!$L$4:$L$167,MATCH(16,'ON ROAD RETURN'!$N$4:$N$167,0)))</f>
        <v/>
      </c>
      <c r="C49" s="2" t="str">
        <f>IF(16&gt;$D$21,"",INDEX('ON ROAD RETURN'!$M$4:$M$167,MATCH(16,'ON ROAD RETURN'!$N$4:$N$167,0)))</f>
        <v/>
      </c>
      <c r="I49" s="15" t="str">
        <f>IF(16&gt;$D$21,"",INDEX('ON ROAD RETURN'!$D$4:$D$167,MATCH(16,'ON ROAD RETURN'!$N$4:$N$167,0)))</f>
        <v/>
      </c>
      <c r="J49" s="15" t="str">
        <f>IF(16&gt;$D$21,"",INDEX('ON ROAD RETURN'!$E$4:$E$167,MATCH(16,'ON ROAD RETURN'!$N$4:$N$167,0)))</f>
        <v/>
      </c>
      <c r="L49" s="12" t="str">
        <f>IF(16&gt;$D$21,"",INDEX('ON ROAD RETURN'!$C$4:$C$167,MATCH(16,'ON ROAD RETURN'!$N$4:$N$167,0)))</f>
        <v/>
      </c>
      <c r="M49" s="7" t="str">
        <f>IF(16&gt;$D$21,"",ROUND(INDEX('ON ROAD RETURN'!$H$4:$H$167,MATCH(16,'ON ROAD RETURN'!$N$4:$N$167,0)),2))</f>
        <v/>
      </c>
    </row>
    <row r="50" spans="1:13" x14ac:dyDescent="0.25">
      <c r="A50" s="2" t="str">
        <f>IF(17&gt;$D$21,"",INDEX('ON ROAD RETURN'!$L$4:$L$167,MATCH(17,'ON ROAD RETURN'!$N$4:$N$167,0)))</f>
        <v/>
      </c>
      <c r="C50" s="2" t="str">
        <f>IF(17&gt;$D$21,"",INDEX('ON ROAD RETURN'!$M$4:$M$167,MATCH(17,'ON ROAD RETURN'!$N$4:$N$167,0)))</f>
        <v/>
      </c>
      <c r="I50" s="15" t="str">
        <f>IF(17&gt;$D$21,"",INDEX('ON ROAD RETURN'!$D$4:$D$167,MATCH(17,'ON ROAD RETURN'!$N$4:$N$167,0)))</f>
        <v/>
      </c>
      <c r="J50" s="15" t="str">
        <f>IF(17&gt;$D$21,"",INDEX('ON ROAD RETURN'!$E$4:$E$167,MATCH(17,'ON ROAD RETURN'!$N$4:$N$167,0)))</f>
        <v/>
      </c>
      <c r="L50" s="12" t="str">
        <f>IF(17&gt;$D$21,"",INDEX('ON ROAD RETURN'!$C$4:$C$167,MATCH(17,'ON ROAD RETURN'!$N$4:$N$167,0)))</f>
        <v/>
      </c>
      <c r="M50" s="7" t="str">
        <f>IF(17&gt;$D$21,"",ROUND(INDEX('ON ROAD RETURN'!$H$4:$H$167,MATCH(17,'ON ROAD RETURN'!$N$4:$N$167,0)),2))</f>
        <v/>
      </c>
    </row>
    <row r="51" spans="1:13" x14ac:dyDescent="0.25">
      <c r="A51" s="2" t="str">
        <f>IF(18&gt;$D$21,"",INDEX('ON ROAD RETURN'!$L$4:$L$167,MATCH(18,'ON ROAD RETURN'!$N$4:$N$167,0)))</f>
        <v/>
      </c>
      <c r="C51" s="2" t="str">
        <f>IF(18&gt;$D$21,"",INDEX('ON ROAD RETURN'!$M$4:$M$167,MATCH(18,'ON ROAD RETURN'!$N$4:$N$167,0)))</f>
        <v/>
      </c>
      <c r="I51" s="15" t="str">
        <f>IF(18&gt;$D$21,"",INDEX('ON ROAD RETURN'!$D$4:$D$167,MATCH(18,'ON ROAD RETURN'!$N$4:$N$167,0)))</f>
        <v/>
      </c>
      <c r="J51" s="15" t="str">
        <f>IF(18&gt;$D$21,"",INDEX('ON ROAD RETURN'!$E$4:$E$167,MATCH(18,'ON ROAD RETURN'!$N$4:$N$167,0)))</f>
        <v/>
      </c>
      <c r="L51" s="12" t="str">
        <f>IF(18&gt;$D$21,"",INDEX('ON ROAD RETURN'!$C$4:$C$167,MATCH(18,'ON ROAD RETURN'!$N$4:$N$167,0)))</f>
        <v/>
      </c>
      <c r="M51" s="7" t="str">
        <f>IF(18&gt;$D$21,"",ROUND(INDEX('ON ROAD RETURN'!$H$4:$H$167,MATCH(18,'ON ROAD RETURN'!$N$4:$N$167,0)),2))</f>
        <v/>
      </c>
    </row>
    <row r="52" spans="1:13" x14ac:dyDescent="0.25">
      <c r="A52" s="2" t="str">
        <f>IF(19&gt;$D$21,"",INDEX('ON ROAD RETURN'!$L$4:$L$167,MATCH(19,'ON ROAD RETURN'!$N$4:$N$167,0)))</f>
        <v/>
      </c>
      <c r="C52" s="2" t="str">
        <f>IF(19&gt;$D$21,"",INDEX('ON ROAD RETURN'!$M$4:$M$167,MATCH(19,'ON ROAD RETURN'!$N$4:$N$167,0)))</f>
        <v/>
      </c>
      <c r="I52" s="15" t="str">
        <f>IF(19&gt;$D$21,"",INDEX('ON ROAD RETURN'!$D$4:$D$167,MATCH(19,'ON ROAD RETURN'!$N$4:$N$167,0)))</f>
        <v/>
      </c>
      <c r="J52" s="15" t="str">
        <f>IF(19&gt;$D$21,"",INDEX('ON ROAD RETURN'!$E$4:$E$167,MATCH(19,'ON ROAD RETURN'!$N$4:$N$167,0)))</f>
        <v/>
      </c>
      <c r="L52" s="12" t="str">
        <f>IF(19&gt;$D$21,"",INDEX('ON ROAD RETURN'!$C$4:$C$167,MATCH(19,'ON ROAD RETURN'!$N$4:$N$167,0)))</f>
        <v/>
      </c>
      <c r="M52" s="7" t="str">
        <f>IF(19&gt;$D$21,"",ROUND(INDEX('ON ROAD RETURN'!$H$4:$H$167,MATCH(19,'ON ROAD RETURN'!$N$4:$N$167,0)),2))</f>
        <v/>
      </c>
    </row>
    <row r="53" spans="1:13" x14ac:dyDescent="0.25">
      <c r="A53" s="2" t="str">
        <f>IF(20&gt;$D$21,"",INDEX('ON ROAD RETURN'!$L$4:$L$167,MATCH(20,'ON ROAD RETURN'!$N$4:$N$167,0)))</f>
        <v/>
      </c>
      <c r="C53" s="2" t="str">
        <f>IF(20&gt;$D$21,"",INDEX('ON ROAD RETURN'!$M$4:$M$167,MATCH(20,'ON ROAD RETURN'!$N$4:$N$167,0)))</f>
        <v/>
      </c>
      <c r="I53" s="15" t="str">
        <f>IF(20&gt;$D$21,"",INDEX('ON ROAD RETURN'!$D$4:$D$167,MATCH(20,'ON ROAD RETURN'!$N$4:$N$167,0)))</f>
        <v/>
      </c>
      <c r="J53" s="15" t="str">
        <f>IF(20&gt;$D$21,"",INDEX('ON ROAD RETURN'!$E$4:$E$167,MATCH(20,'ON ROAD RETURN'!$N$4:$N$167,0)))</f>
        <v/>
      </c>
      <c r="L53" s="12" t="str">
        <f>IF(20&gt;$D$21,"",INDEX('ON ROAD RETURN'!$C$4:$C$167,MATCH(20,'ON ROAD RETURN'!$N$4:$N$167,0)))</f>
        <v/>
      </c>
      <c r="M53" s="7" t="str">
        <f>IF(20&gt;$D$21,"",ROUND(INDEX('ON ROAD RETURN'!$H$4:$H$167,MATCH(20,'ON ROAD RETURN'!$N$4:$N$167,0)),2))</f>
        <v/>
      </c>
    </row>
    <row r="54" spans="1:13" x14ac:dyDescent="0.25">
      <c r="A54" s="2" t="str">
        <f>IF(21&gt;$D$21,"",INDEX('ON ROAD RETURN'!$L$4:$L$167,MATCH(21,'ON ROAD RETURN'!$N$4:$N$167,0)))</f>
        <v/>
      </c>
      <c r="C54" s="2" t="str">
        <f>IF(21&gt;$D$21,"",INDEX('ON ROAD RETURN'!$M$4:$M$167,MATCH(21,'ON ROAD RETURN'!$N$4:$N$167,0)))</f>
        <v/>
      </c>
      <c r="I54" s="15" t="str">
        <f>IF(21&gt;$D$21,"",INDEX('ON ROAD RETURN'!$D$4:$D$167,MATCH(21,'ON ROAD RETURN'!$N$4:$N$167,0)))</f>
        <v/>
      </c>
      <c r="J54" s="15" t="str">
        <f>IF(21&gt;$D$21,"",INDEX('ON ROAD RETURN'!$E$4:$E$167,MATCH(21,'ON ROAD RETURN'!$N$4:$N$167,0)))</f>
        <v/>
      </c>
      <c r="L54" s="12" t="str">
        <f>IF(21&gt;$D$21,"",INDEX('ON ROAD RETURN'!$C$4:$C$167,MATCH(21,'ON ROAD RETURN'!$N$4:$N$167,0)))</f>
        <v/>
      </c>
      <c r="M54" s="7" t="str">
        <f>IF(21&gt;$D$21,"",ROUND(INDEX('ON ROAD RETURN'!$H$4:$H$167,MATCH(21,'ON ROAD RETURN'!$N$4:$N$167,0)),2))</f>
        <v/>
      </c>
    </row>
    <row r="55" spans="1:13" x14ac:dyDescent="0.25">
      <c r="A55" s="2" t="str">
        <f>IF(22&gt;$D$21,"",INDEX('ON ROAD RETURN'!$L$4:$L$167,MATCH(22,'ON ROAD RETURN'!$N$4:$N$167,0)))</f>
        <v/>
      </c>
      <c r="C55" s="2" t="str">
        <f>IF(22&gt;$D$21,"",INDEX('ON ROAD RETURN'!$M$4:$M$167,MATCH(22,'ON ROAD RETURN'!$N$4:$N$167,0)))</f>
        <v/>
      </c>
      <c r="I55" s="15" t="str">
        <f>IF(22&gt;$D$21,"",INDEX('ON ROAD RETURN'!$D$4:$D$167,MATCH(22,'ON ROAD RETURN'!$N$4:$N$167,0)))</f>
        <v/>
      </c>
      <c r="J55" s="15" t="str">
        <f>IF(22&gt;$D$21,"",INDEX('ON ROAD RETURN'!$E$4:$E$167,MATCH(22,'ON ROAD RETURN'!$N$4:$N$167,0)))</f>
        <v/>
      </c>
      <c r="L55" s="12" t="str">
        <f>IF(22&gt;$D$21,"",INDEX('ON ROAD RETURN'!$C$4:$C$167,MATCH(22,'ON ROAD RETURN'!$N$4:$N$167,0)))</f>
        <v/>
      </c>
      <c r="M55" s="7" t="str">
        <f>IF(22&gt;$D$21,"",ROUND(INDEX('ON ROAD RETURN'!$H$4:$H$167,MATCH(22,'ON ROAD RETURN'!$N$4:$N$167,0)),2))</f>
        <v/>
      </c>
    </row>
    <row r="56" spans="1:13" x14ac:dyDescent="0.25">
      <c r="A56" s="2" t="str">
        <f>IF(23&gt;$D$21,"",INDEX('ON ROAD RETURN'!$L$4:$L$167,MATCH(23,'ON ROAD RETURN'!$N$4:$N$167,0)))</f>
        <v/>
      </c>
      <c r="C56" s="2" t="str">
        <f>IF(23&gt;$D$21,"",INDEX('ON ROAD RETURN'!$M$4:$M$167,MATCH(23,'ON ROAD RETURN'!$N$4:$N$167,0)))</f>
        <v/>
      </c>
      <c r="I56" s="15" t="str">
        <f>IF(23&gt;$D$21,"",INDEX('ON ROAD RETURN'!$D$4:$D$167,MATCH(23,'ON ROAD RETURN'!$N$4:$N$167,0)))</f>
        <v/>
      </c>
      <c r="J56" s="15" t="str">
        <f>IF(23&gt;$D$21,"",INDEX('ON ROAD RETURN'!$E$4:$E$167,MATCH(23,'ON ROAD RETURN'!$N$4:$N$167,0)))</f>
        <v/>
      </c>
      <c r="L56" s="12" t="str">
        <f>IF(23&gt;$D$21,"",INDEX('ON ROAD RETURN'!$C$4:$C$167,MATCH(23,'ON ROAD RETURN'!$N$4:$N$167,0)))</f>
        <v/>
      </c>
      <c r="M56" s="7" t="str">
        <f>IF(23&gt;$D$21,"",ROUND(INDEX('ON ROAD RETURN'!$H$4:$H$167,MATCH(23,'ON ROAD RETURN'!$N$4:$N$167,0)),2))</f>
        <v/>
      </c>
    </row>
    <row r="57" spans="1:13" x14ac:dyDescent="0.25">
      <c r="A57" s="2" t="str">
        <f>IF(24&gt;$D$21,"",INDEX('ON ROAD RETURN'!$L$4:$L$167,MATCH(24,'ON ROAD RETURN'!$N$4:$N$167,0)))</f>
        <v/>
      </c>
      <c r="C57" s="2" t="str">
        <f>IF(24&gt;$D$21,"",INDEX('ON ROAD RETURN'!$M$4:$M$167,MATCH(24,'ON ROAD RETURN'!$N$4:$N$167,0)))</f>
        <v/>
      </c>
      <c r="I57" s="15" t="str">
        <f>IF(24&gt;$D$21,"",INDEX('ON ROAD RETURN'!$D$4:$D$167,MATCH(24,'ON ROAD RETURN'!$N$4:$N$167,0)))</f>
        <v/>
      </c>
      <c r="J57" s="15" t="str">
        <f>IF(24&gt;$D$21,"",INDEX('ON ROAD RETURN'!$E$4:$E$167,MATCH(24,'ON ROAD RETURN'!$N$4:$N$167,0)))</f>
        <v/>
      </c>
      <c r="L57" s="12" t="str">
        <f>IF(24&gt;$D$21,"",INDEX('ON ROAD RETURN'!$C$4:$C$167,MATCH(24,'ON ROAD RETURN'!$N$4:$N$167,0)))</f>
        <v/>
      </c>
      <c r="M57" s="7" t="str">
        <f>IF(24&gt;$D$21,"",ROUND(INDEX('ON ROAD RETURN'!$H$4:$H$167,MATCH(24,'ON ROAD RETURN'!$N$4:$N$167,0)),2))</f>
        <v/>
      </c>
    </row>
    <row r="58" spans="1:13" x14ac:dyDescent="0.25">
      <c r="A58" s="2" t="str">
        <f>IF(25&gt;$D$21,"",INDEX('ON ROAD RETURN'!$L$4:$L$167,MATCH(25,'ON ROAD RETURN'!$N$4:$N$167,0)))</f>
        <v/>
      </c>
      <c r="C58" s="2" t="str">
        <f>IF(25&gt;$D$21,"",INDEX('ON ROAD RETURN'!$M$4:$M$167,MATCH(25,'ON ROAD RETURN'!$N$4:$N$167,0)))</f>
        <v/>
      </c>
      <c r="I58" s="15" t="str">
        <f>IF(25&gt;$D$21,"",INDEX('ON ROAD RETURN'!$D$4:$D$167,MATCH(25,'ON ROAD RETURN'!$N$4:$N$167,0)))</f>
        <v/>
      </c>
      <c r="J58" s="15" t="str">
        <f>IF(25&gt;$D$21,"",INDEX('ON ROAD RETURN'!$E$4:$E$167,MATCH(25,'ON ROAD RETURN'!$N$4:$N$167,0)))</f>
        <v/>
      </c>
      <c r="L58" s="12" t="str">
        <f>IF(25&gt;$D$21,"",INDEX('ON ROAD RETURN'!$C$4:$C$167,MATCH(25,'ON ROAD RETURN'!$N$4:$N$167,0)))</f>
        <v/>
      </c>
      <c r="M58" s="7" t="str">
        <f>IF(25&gt;$D$21,"",ROUND(INDEX('ON ROAD RETURN'!$H$4:$H$167,MATCH(25,'ON ROAD RETURN'!$N$4:$N$167,0)),2))</f>
        <v/>
      </c>
    </row>
    <row r="59" spans="1:13" x14ac:dyDescent="0.25">
      <c r="A59" s="2" t="str">
        <f>IF(26&gt;$D$21,"",INDEX('ON ROAD RETURN'!$L$4:$L$167,MATCH(26,'ON ROAD RETURN'!$N$4:$N$167,0)))</f>
        <v/>
      </c>
      <c r="C59" s="2" t="str">
        <f>IF(26&gt;$D$21,"",INDEX('ON ROAD RETURN'!$M$4:$M$167,MATCH(26,'ON ROAD RETURN'!$N$4:$N$167,0)))</f>
        <v/>
      </c>
      <c r="I59" s="15" t="str">
        <f>IF(26&gt;$D$21,"",INDEX('ON ROAD RETURN'!$D$4:$D$167,MATCH(26,'ON ROAD RETURN'!$N$4:$N$167,0)))</f>
        <v/>
      </c>
      <c r="J59" s="15" t="str">
        <f>IF(26&gt;$D$21,"",INDEX('ON ROAD RETURN'!$E$4:$E$167,MATCH(26,'ON ROAD RETURN'!$N$4:$N$167,0)))</f>
        <v/>
      </c>
      <c r="L59" s="12" t="str">
        <f>IF(26&gt;$D$21,"",INDEX('ON ROAD RETURN'!$C$4:$C$167,MATCH(26,'ON ROAD RETURN'!$N$4:$N$167,0)))</f>
        <v/>
      </c>
      <c r="M59" s="7" t="str">
        <f>IF(26&gt;$D$21,"",ROUND(INDEX('ON ROAD RETURN'!$H$4:$H$167,MATCH(26,'ON ROAD RETURN'!$N$4:$N$167,0)),2))</f>
        <v/>
      </c>
    </row>
    <row r="60" spans="1:13" x14ac:dyDescent="0.25">
      <c r="A60" s="2" t="str">
        <f>IF(27&gt;$D$21,"",INDEX('ON ROAD RETURN'!$L$4:$L$167,MATCH(27,'ON ROAD RETURN'!$N$4:$N$167,0)))</f>
        <v/>
      </c>
      <c r="C60" s="2" t="str">
        <f>IF(27&gt;$D$21,"",INDEX('ON ROAD RETURN'!$M$4:$M$167,MATCH(27,'ON ROAD RETURN'!$N$4:$N$167,0)))</f>
        <v/>
      </c>
      <c r="I60" s="15" t="str">
        <f>IF(27&gt;$D$21,"",INDEX('ON ROAD RETURN'!$D$4:$D$167,MATCH(27,'ON ROAD RETURN'!$N$4:$N$167,0)))</f>
        <v/>
      </c>
      <c r="J60" s="15" t="str">
        <f>IF(27&gt;$D$21,"",INDEX('ON ROAD RETURN'!$E$4:$E$167,MATCH(27,'ON ROAD RETURN'!$N$4:$N$167,0)))</f>
        <v/>
      </c>
      <c r="L60" s="12" t="str">
        <f>IF(27&gt;$D$21,"",INDEX('ON ROAD RETURN'!$C$4:$C$167,MATCH(27,'ON ROAD RETURN'!$N$4:$N$167,0)))</f>
        <v/>
      </c>
      <c r="M60" s="7" t="str">
        <f>IF(27&gt;$D$21,"",ROUND(INDEX('ON ROAD RETURN'!$H$4:$H$167,MATCH(27,'ON ROAD RETURN'!$N$4:$N$167,0)),2))</f>
        <v/>
      </c>
    </row>
    <row r="61" spans="1:13" x14ac:dyDescent="0.25">
      <c r="A61" s="2" t="str">
        <f>IF(28&gt;$D$21,"",INDEX('ON ROAD RETURN'!$L$4:$L$167,MATCH(28,'ON ROAD RETURN'!$N$4:$N$167,0)))</f>
        <v/>
      </c>
      <c r="C61" s="2" t="str">
        <f>IF(28&gt;$D$21,"",INDEX('ON ROAD RETURN'!$M$4:$M$167,MATCH(28,'ON ROAD RETURN'!$N$4:$N$167,0)))</f>
        <v/>
      </c>
      <c r="I61" s="15" t="str">
        <f>IF(28&gt;$D$21,"",INDEX('ON ROAD RETURN'!$D$4:$D$167,MATCH(28,'ON ROAD RETURN'!$N$4:$N$167,0)))</f>
        <v/>
      </c>
      <c r="J61" s="15" t="str">
        <f>IF(28&gt;$D$21,"",INDEX('ON ROAD RETURN'!$E$4:$E$167,MATCH(28,'ON ROAD RETURN'!$N$4:$N$167,0)))</f>
        <v/>
      </c>
      <c r="L61" s="12" t="str">
        <f>IF(28&gt;$D$21,"",INDEX('ON ROAD RETURN'!$C$4:$C$167,MATCH(28,'ON ROAD RETURN'!$N$4:$N$167,0)))</f>
        <v/>
      </c>
      <c r="M61" s="7" t="str">
        <f>IF(28&gt;$D$21,"",ROUND(INDEX('ON ROAD RETURN'!$H$4:$H$167,MATCH(28,'ON ROAD RETURN'!$N$4:$N$167,0)),2))</f>
        <v/>
      </c>
    </row>
    <row r="62" spans="1:13" x14ac:dyDescent="0.25">
      <c r="A62" s="2" t="str">
        <f>IF(29&gt;$D$21,"",INDEX('ON ROAD RETURN'!$L$4:$L$167,MATCH(29,'ON ROAD RETURN'!$N$4:$N$167,0)))</f>
        <v/>
      </c>
      <c r="C62" s="2" t="str">
        <f>IF(29&gt;$D$21,"",INDEX('ON ROAD RETURN'!$M$4:$M$167,MATCH(29,'ON ROAD RETURN'!$N$4:$N$167,0)))</f>
        <v/>
      </c>
      <c r="I62" s="15" t="str">
        <f>IF(29&gt;$D$21,"",INDEX('ON ROAD RETURN'!$D$4:$D$167,MATCH(29,'ON ROAD RETURN'!$N$4:$N$167,0)))</f>
        <v/>
      </c>
      <c r="J62" s="15" t="str">
        <f>IF(29&gt;$D$21,"",INDEX('ON ROAD RETURN'!$E$4:$E$167,MATCH(29,'ON ROAD RETURN'!$N$4:$N$167,0)))</f>
        <v/>
      </c>
      <c r="L62" s="12" t="str">
        <f>IF(29&gt;$D$21,"",INDEX('ON ROAD RETURN'!$C$4:$C$167,MATCH(29,'ON ROAD RETURN'!$N$4:$N$167,0)))</f>
        <v/>
      </c>
      <c r="M62" s="7" t="str">
        <f>IF(29&gt;$D$21,"",ROUND(INDEX('ON ROAD RETURN'!$H$4:$H$167,MATCH(29,'ON ROAD RETURN'!$N$4:$N$167,0)),2))</f>
        <v/>
      </c>
    </row>
    <row r="63" spans="1:13" x14ac:dyDescent="0.25">
      <c r="A63" s="2" t="str">
        <f>IF(30&gt;$D$21,"",INDEX('ON ROAD RETURN'!$L$4:$L$167,MATCH(30,'ON ROAD RETURN'!$N$4:$N$167,0)))</f>
        <v/>
      </c>
      <c r="C63" s="2" t="str">
        <f>IF(30&gt;$D$21,"",INDEX('ON ROAD RETURN'!$M$4:$M$167,MATCH(30,'ON ROAD RETURN'!$N$4:$N$167,0)))</f>
        <v/>
      </c>
      <c r="I63" s="15" t="str">
        <f>IF(30&gt;$D$21,"",INDEX('ON ROAD RETURN'!$D$4:$D$167,MATCH(30,'ON ROAD RETURN'!$N$4:$N$167,0)))</f>
        <v/>
      </c>
      <c r="J63" s="15" t="str">
        <f>IF(30&gt;$D$21,"",INDEX('ON ROAD RETURN'!$E$4:$E$167,MATCH(30,'ON ROAD RETURN'!$N$4:$N$167,0)))</f>
        <v/>
      </c>
      <c r="L63" s="12" t="str">
        <f>IF(30&gt;$D$21,"",INDEX('ON ROAD RETURN'!$C$4:$C$167,MATCH(30,'ON ROAD RETURN'!$N$4:$N$167,0)))</f>
        <v/>
      </c>
      <c r="M63" s="7" t="str">
        <f>IF(30&gt;$D$21,"",ROUND(INDEX('ON ROAD RETURN'!$H$4:$H$167,MATCH(30,'ON ROAD RETURN'!$N$4:$N$167,0)),2))</f>
        <v/>
      </c>
    </row>
    <row r="64" spans="1:13" x14ac:dyDescent="0.25">
      <c r="A64" s="2" t="str">
        <f>IF(31&gt;$D$21,"",INDEX('ON ROAD RETURN'!$L$4:$L$167,MATCH(31,'ON ROAD RETURN'!$N$4:$N$167,0)))</f>
        <v/>
      </c>
      <c r="C64" s="2" t="str">
        <f>IF(31&gt;$D$21,"",INDEX('ON ROAD RETURN'!$M$4:$M$167,MATCH(31,'ON ROAD RETURN'!$N$4:$N$167,0)))</f>
        <v/>
      </c>
      <c r="I64" s="15" t="str">
        <f>IF(31&gt;$D$21,"",INDEX('ON ROAD RETURN'!$D$4:$D$167,MATCH(31,'ON ROAD RETURN'!$N$4:$N$167,0)))</f>
        <v/>
      </c>
      <c r="J64" s="15" t="str">
        <f>IF(31&gt;$D$21,"",INDEX('ON ROAD RETURN'!$E$4:$E$167,MATCH(31,'ON ROAD RETURN'!$N$4:$N$167,0)))</f>
        <v/>
      </c>
      <c r="L64" s="12" t="str">
        <f>IF(31&gt;$D$21,"",INDEX('ON ROAD RETURN'!$C$4:$C$167,MATCH(31,'ON ROAD RETURN'!$N$4:$N$167,0)))</f>
        <v/>
      </c>
      <c r="M64" s="7" t="str">
        <f>IF(31&gt;$D$21,"",ROUND(INDEX('ON ROAD RETURN'!$H$4:$H$167,MATCH(31,'ON ROAD RETURN'!$N$4:$N$167,0)),2))</f>
        <v/>
      </c>
    </row>
    <row r="65" spans="1:13" x14ac:dyDescent="0.25">
      <c r="A65" s="2" t="str">
        <f>IF(32&gt;$D$21,"",INDEX('ON ROAD RETURN'!$L$4:$L$167,MATCH(32,'ON ROAD RETURN'!$N$4:$N$167,0)))</f>
        <v/>
      </c>
      <c r="C65" s="2" t="str">
        <f>IF(32&gt;$D$21,"",INDEX('ON ROAD RETURN'!$M$4:$M$167,MATCH(32,'ON ROAD RETURN'!$N$4:$N$167,0)))</f>
        <v/>
      </c>
      <c r="I65" s="15" t="str">
        <f>IF(32&gt;$D$21,"",INDEX('ON ROAD RETURN'!$D$4:$D$167,MATCH(32,'ON ROAD RETURN'!$N$4:$N$167,0)))</f>
        <v/>
      </c>
      <c r="J65" s="15" t="str">
        <f>IF(32&gt;$D$21,"",INDEX('ON ROAD RETURN'!$E$4:$E$167,MATCH(32,'ON ROAD RETURN'!$N$4:$N$167,0)))</f>
        <v/>
      </c>
      <c r="L65" s="12" t="str">
        <f>IF(32&gt;$D$21,"",INDEX('ON ROAD RETURN'!$C$4:$C$167,MATCH(32,'ON ROAD RETURN'!$N$4:$N$167,0)))</f>
        <v/>
      </c>
      <c r="M65" s="7" t="str">
        <f>IF(32&gt;$D$21,"",ROUND(INDEX('ON ROAD RETURN'!$H$4:$H$167,MATCH(32,'ON ROAD RETURN'!$N$4:$N$167,0)),2))</f>
        <v/>
      </c>
    </row>
    <row r="66" spans="1:13" x14ac:dyDescent="0.25">
      <c r="A66" s="2" t="str">
        <f>IF(33&gt;$D$21,"",INDEX('ON ROAD RETURN'!$L$4:$L$167,MATCH(33,'ON ROAD RETURN'!$N$4:$N$167,0)))</f>
        <v/>
      </c>
      <c r="C66" s="2" t="str">
        <f>IF(33&gt;$D$21,"",INDEX('ON ROAD RETURN'!$M$4:$M$167,MATCH(33,'ON ROAD RETURN'!$N$4:$N$167,0)))</f>
        <v/>
      </c>
      <c r="I66" s="15" t="str">
        <f>IF(33&gt;$D$21,"",INDEX('ON ROAD RETURN'!$D$4:$D$167,MATCH(33,'ON ROAD RETURN'!$N$4:$N$167,0)))</f>
        <v/>
      </c>
      <c r="J66" s="15" t="str">
        <f>IF(33&gt;$D$21,"",INDEX('ON ROAD RETURN'!$E$4:$E$167,MATCH(33,'ON ROAD RETURN'!$N$4:$N$167,0)))</f>
        <v/>
      </c>
      <c r="L66" s="12" t="str">
        <f>IF(33&gt;$D$21,"",INDEX('ON ROAD RETURN'!$C$4:$C$167,MATCH(33,'ON ROAD RETURN'!$N$4:$N$167,0)))</f>
        <v/>
      </c>
      <c r="M66" s="7" t="str">
        <f>IF(33&gt;$D$21,"",ROUND(INDEX('ON ROAD RETURN'!$H$4:$H$167,MATCH(33,'ON ROAD RETURN'!$N$4:$N$167,0)),2))</f>
        <v/>
      </c>
    </row>
    <row r="67" spans="1:13" x14ac:dyDescent="0.25">
      <c r="A67" s="2" t="str">
        <f>IF(34&gt;$D$21,"",INDEX('ON ROAD RETURN'!$L$4:$L$167,MATCH(34,'ON ROAD RETURN'!$N$4:$N$167,0)))</f>
        <v/>
      </c>
      <c r="C67" s="2" t="str">
        <f>IF(34&gt;$D$21,"",INDEX('ON ROAD RETURN'!$M$4:$M$167,MATCH(34,'ON ROAD RETURN'!$N$4:$N$167,0)))</f>
        <v/>
      </c>
      <c r="I67" s="15" t="str">
        <f>IF(34&gt;$D$21,"",INDEX('ON ROAD RETURN'!$D$4:$D$167,MATCH(34,'ON ROAD RETURN'!$N$4:$N$167,0)))</f>
        <v/>
      </c>
      <c r="J67" s="15" t="str">
        <f>IF(34&gt;$D$21,"",INDEX('ON ROAD RETURN'!$E$4:$E$167,MATCH(34,'ON ROAD RETURN'!$N$4:$N$167,0)))</f>
        <v/>
      </c>
      <c r="L67" s="12" t="str">
        <f>IF(34&gt;$D$21,"",INDEX('ON ROAD RETURN'!$C$4:$C$167,MATCH(34,'ON ROAD RETURN'!$N$4:$N$167,0)))</f>
        <v/>
      </c>
      <c r="M67" s="7" t="str">
        <f>IF(34&gt;$D$21,"",ROUND(INDEX('ON ROAD RETURN'!$H$4:$H$167,MATCH(34,'ON ROAD RETURN'!$N$4:$N$167,0)),2))</f>
        <v/>
      </c>
    </row>
    <row r="68" spans="1:13" x14ac:dyDescent="0.25">
      <c r="A68" s="2" t="str">
        <f>IF(35&gt;$D$21,"",INDEX('ON ROAD RETURN'!$L$4:$L$167,MATCH(35,'ON ROAD RETURN'!$N$4:$N$167,0)))</f>
        <v/>
      </c>
      <c r="C68" s="2" t="str">
        <f>IF(35&gt;$D$21,"",INDEX('ON ROAD RETURN'!$M$4:$M$167,MATCH(35,'ON ROAD RETURN'!$N$4:$N$167,0)))</f>
        <v/>
      </c>
      <c r="I68" s="15" t="str">
        <f>IF(35&gt;$D$21,"",INDEX('ON ROAD RETURN'!$D$4:$D$167,MATCH(35,'ON ROAD RETURN'!$N$4:$N$167,0)))</f>
        <v/>
      </c>
      <c r="J68" s="15" t="str">
        <f>IF(35&gt;$D$21,"",INDEX('ON ROAD RETURN'!$E$4:$E$167,MATCH(35,'ON ROAD RETURN'!$N$4:$N$167,0)))</f>
        <v/>
      </c>
      <c r="L68" s="12" t="str">
        <f>IF(35&gt;$D$21,"",INDEX('ON ROAD RETURN'!$C$4:$C$167,MATCH(35,'ON ROAD RETURN'!$N$4:$N$167,0)))</f>
        <v/>
      </c>
      <c r="M68" s="7" t="str">
        <f>IF(35&gt;$D$21,"",ROUND(INDEX('ON ROAD RETURN'!$H$4:$H$167,MATCH(35,'ON ROAD RETURN'!$N$4:$N$167,0)),2))</f>
        <v/>
      </c>
    </row>
    <row r="69" spans="1:13" x14ac:dyDescent="0.25">
      <c r="A69" s="2" t="str">
        <f>IF(36&gt;$D$21,"",INDEX('ON ROAD RETURN'!$L$4:$L$167,MATCH(36,'ON ROAD RETURN'!$N$4:$N$167,0)))</f>
        <v/>
      </c>
      <c r="C69" s="2" t="str">
        <f>IF(36&gt;$D$21,"",INDEX('ON ROAD RETURN'!$M$4:$M$167,MATCH(36,'ON ROAD RETURN'!$N$4:$N$167,0)))</f>
        <v/>
      </c>
      <c r="I69" s="15" t="str">
        <f>IF(36&gt;$D$21,"",INDEX('ON ROAD RETURN'!$D$4:$D$167,MATCH(36,'ON ROAD RETURN'!$N$4:$N$167,0)))</f>
        <v/>
      </c>
      <c r="J69" s="15" t="str">
        <f>IF(36&gt;$D$21,"",INDEX('ON ROAD RETURN'!$E$4:$E$167,MATCH(36,'ON ROAD RETURN'!$N$4:$N$167,0)))</f>
        <v/>
      </c>
      <c r="L69" s="12" t="str">
        <f>IF(36&gt;$D$21,"",INDEX('ON ROAD RETURN'!$C$4:$C$167,MATCH(36,'ON ROAD RETURN'!$N$4:$N$167,0)))</f>
        <v/>
      </c>
      <c r="M69" s="7" t="str">
        <f>IF(36&gt;$D$21,"",ROUND(INDEX('ON ROAD RETURN'!$H$4:$H$167,MATCH(36,'ON ROAD RETURN'!$N$4:$N$167,0)),2))</f>
        <v/>
      </c>
    </row>
    <row r="70" spans="1:13" x14ac:dyDescent="0.25">
      <c r="A70" s="2" t="str">
        <f>IF(37&gt;$D$21,"",INDEX('ON ROAD RETURN'!$L$4:$L$167,MATCH(37,'ON ROAD RETURN'!$N$4:$N$167,0)))</f>
        <v/>
      </c>
      <c r="C70" s="2" t="str">
        <f>IF(37&gt;$D$21,"",INDEX('ON ROAD RETURN'!$M$4:$M$167,MATCH(37,'ON ROAD RETURN'!$N$4:$N$167,0)))</f>
        <v/>
      </c>
      <c r="I70" s="15" t="str">
        <f>IF(37&gt;$D$21,"",INDEX('ON ROAD RETURN'!$D$4:$D$167,MATCH(37,'ON ROAD RETURN'!$N$4:$N$167,0)))</f>
        <v/>
      </c>
      <c r="J70" s="15" t="str">
        <f>IF(37&gt;$D$21,"",INDEX('ON ROAD RETURN'!$E$4:$E$167,MATCH(37,'ON ROAD RETURN'!$N$4:$N$167,0)))</f>
        <v/>
      </c>
      <c r="L70" s="12" t="str">
        <f>IF(37&gt;$D$21,"",INDEX('ON ROAD RETURN'!$C$4:$C$167,MATCH(37,'ON ROAD RETURN'!$N$4:$N$167,0)))</f>
        <v/>
      </c>
      <c r="M70" s="7" t="str">
        <f>IF(37&gt;$D$21,"",ROUND(INDEX('ON ROAD RETURN'!$H$4:$H$167,MATCH(37,'ON ROAD RETURN'!$N$4:$N$167,0)),2))</f>
        <v/>
      </c>
    </row>
    <row r="71" spans="1:13" x14ac:dyDescent="0.25">
      <c r="A71" s="2" t="str">
        <f>IF(38&gt;$D$21,"",INDEX('ON ROAD RETURN'!$L$4:$L$167,MATCH(38,'ON ROAD RETURN'!$N$4:$N$167,0)))</f>
        <v/>
      </c>
      <c r="C71" s="2" t="str">
        <f>IF(38&gt;$D$21,"",INDEX('ON ROAD RETURN'!$M$4:$M$167,MATCH(38,'ON ROAD RETURN'!$N$4:$N$167,0)))</f>
        <v/>
      </c>
      <c r="I71" s="15" t="str">
        <f>IF(38&gt;$D$21,"",INDEX('ON ROAD RETURN'!$D$4:$D$167,MATCH(38,'ON ROAD RETURN'!$N$4:$N$167,0)))</f>
        <v/>
      </c>
      <c r="J71" s="15" t="str">
        <f>IF(38&gt;$D$21,"",INDEX('ON ROAD RETURN'!$E$4:$E$167,MATCH(38,'ON ROAD RETURN'!$N$4:$N$167,0)))</f>
        <v/>
      </c>
      <c r="L71" s="12" t="str">
        <f>IF(38&gt;$D$21,"",INDEX('ON ROAD RETURN'!$C$4:$C$167,MATCH(38,'ON ROAD RETURN'!$N$4:$N$167,0)))</f>
        <v/>
      </c>
      <c r="M71" s="7" t="str">
        <f>IF(38&gt;$D$21,"",ROUND(INDEX('ON ROAD RETURN'!$H$4:$H$167,MATCH(38,'ON ROAD RETURN'!$N$4:$N$167,0)),2))</f>
        <v/>
      </c>
    </row>
    <row r="72" spans="1:13" x14ac:dyDescent="0.25">
      <c r="A72" s="2" t="str">
        <f>IF(39&gt;$D$21,"",INDEX('ON ROAD RETURN'!$L$4:$L$167,MATCH(39,'ON ROAD RETURN'!$N$4:$N$167,0)))</f>
        <v/>
      </c>
      <c r="C72" s="2" t="str">
        <f>IF(39&gt;$D$21,"",INDEX('ON ROAD RETURN'!$M$4:$M$167,MATCH(39,'ON ROAD RETURN'!$N$4:$N$167,0)))</f>
        <v/>
      </c>
      <c r="I72" s="15" t="str">
        <f>IF(39&gt;$D$21,"",INDEX('ON ROAD RETURN'!$D$4:$D$167,MATCH(39,'ON ROAD RETURN'!$N$4:$N$167,0)))</f>
        <v/>
      </c>
      <c r="J72" s="15" t="str">
        <f>IF(39&gt;$D$21,"",INDEX('ON ROAD RETURN'!$E$4:$E$167,MATCH(39,'ON ROAD RETURN'!$N$4:$N$167,0)))</f>
        <v/>
      </c>
      <c r="L72" s="12" t="str">
        <f>IF(39&gt;$D$21,"",INDEX('ON ROAD RETURN'!$C$4:$C$167,MATCH(39,'ON ROAD RETURN'!$N$4:$N$167,0)))</f>
        <v/>
      </c>
      <c r="M72" s="7" t="str">
        <f>IF(39&gt;$D$21,"",ROUND(INDEX('ON ROAD RETURN'!$H$4:$H$167,MATCH(39,'ON ROAD RETURN'!$N$4:$N$167,0)),2))</f>
        <v/>
      </c>
    </row>
    <row r="73" spans="1:13" x14ac:dyDescent="0.25">
      <c r="A73" s="2" t="str">
        <f>IF(40&gt;$D$21,"",INDEX('ON ROAD RETURN'!$L$4:$L$167,MATCH(40,'ON ROAD RETURN'!$N$4:$N$167,0)))</f>
        <v/>
      </c>
      <c r="C73" s="2" t="str">
        <f>IF(40&gt;$D$21,"",INDEX('ON ROAD RETURN'!$M$4:$M$167,MATCH(40,'ON ROAD RETURN'!$N$4:$N$167,0)))</f>
        <v/>
      </c>
      <c r="I73" s="15" t="str">
        <f>IF(40&gt;$D$21,"",INDEX('ON ROAD RETURN'!$D$4:$D$167,MATCH(40,'ON ROAD RETURN'!$N$4:$N$167,0)))</f>
        <v/>
      </c>
      <c r="J73" s="15" t="str">
        <f>IF(40&gt;$D$21,"",INDEX('ON ROAD RETURN'!$E$4:$E$167,MATCH(40,'ON ROAD RETURN'!$N$4:$N$167,0)))</f>
        <v/>
      </c>
      <c r="L73" s="12" t="str">
        <f>IF(40&gt;$D$21,"",INDEX('ON ROAD RETURN'!$C$4:$C$167,MATCH(40,'ON ROAD RETURN'!$N$4:$N$167,0)))</f>
        <v/>
      </c>
      <c r="M73" s="7" t="str">
        <f>IF(40&gt;$D$21,"",ROUND(INDEX('ON ROAD RETURN'!$H$4:$H$167,MATCH(40,'ON ROAD RETURN'!$N$4:$N$167,0)),2))</f>
        <v/>
      </c>
    </row>
    <row r="74" spans="1:13" x14ac:dyDescent="0.25">
      <c r="A74" s="2" t="str">
        <f>IF(41&gt;$D$21,"",INDEX('ON ROAD RETURN'!$L$4:$L$167,MATCH(41,'ON ROAD RETURN'!$N$4:$N$167,0)))</f>
        <v/>
      </c>
      <c r="C74" s="2" t="str">
        <f>IF(41&gt;$D$21,"",INDEX('ON ROAD RETURN'!$M$4:$M$167,MATCH(41,'ON ROAD RETURN'!$N$4:$N$167,0)))</f>
        <v/>
      </c>
      <c r="I74" s="15" t="str">
        <f>IF(41&gt;$D$21,"",INDEX('ON ROAD RETURN'!$D$4:$D$167,MATCH(41,'ON ROAD RETURN'!$N$4:$N$167,0)))</f>
        <v/>
      </c>
      <c r="J74" s="15" t="str">
        <f>IF(41&gt;$D$21,"",INDEX('ON ROAD RETURN'!$E$4:$E$167,MATCH(41,'ON ROAD RETURN'!$N$4:$N$167,0)))</f>
        <v/>
      </c>
      <c r="L74" s="12" t="str">
        <f>IF(41&gt;$D$21,"",INDEX('ON ROAD RETURN'!$C$4:$C$167,MATCH(41,'ON ROAD RETURN'!$N$4:$N$167,0)))</f>
        <v/>
      </c>
      <c r="M74" s="7" t="str">
        <f>IF(41&gt;$D$21,"",ROUND(INDEX('ON ROAD RETURN'!$H$4:$H$167,MATCH(41,'ON ROAD RETURN'!$N$4:$N$167,0)),2))</f>
        <v/>
      </c>
    </row>
    <row r="75" spans="1:13" x14ac:dyDescent="0.25">
      <c r="A75" s="2" t="str">
        <f>IF(42&gt;$D$21,"",INDEX('ON ROAD RETURN'!$L$4:$L$167,MATCH(42,'ON ROAD RETURN'!$N$4:$N$167,0)))</f>
        <v/>
      </c>
      <c r="C75" s="2" t="str">
        <f>IF(42&gt;$D$21,"",INDEX('ON ROAD RETURN'!$M$4:$M$167,MATCH(42,'ON ROAD RETURN'!$N$4:$N$167,0)))</f>
        <v/>
      </c>
      <c r="I75" s="15" t="str">
        <f>IF(42&gt;$D$21,"",INDEX('ON ROAD RETURN'!$D$4:$D$167,MATCH(42,'ON ROAD RETURN'!$N$4:$N$167,0)))</f>
        <v/>
      </c>
      <c r="J75" s="15" t="str">
        <f>IF(42&gt;$D$21,"",INDEX('ON ROAD RETURN'!$E$4:$E$167,MATCH(42,'ON ROAD RETURN'!$N$4:$N$167,0)))</f>
        <v/>
      </c>
      <c r="L75" s="12" t="str">
        <f>IF(42&gt;$D$21,"",INDEX('ON ROAD RETURN'!$C$4:$C$167,MATCH(42,'ON ROAD RETURN'!$N$4:$N$167,0)))</f>
        <v/>
      </c>
      <c r="M75" s="7" t="str">
        <f>IF(42&gt;$D$21,"",ROUND(INDEX('ON ROAD RETURN'!$H$4:$H$167,MATCH(42,'ON ROAD RETURN'!$N$4:$N$167,0)),2))</f>
        <v/>
      </c>
    </row>
    <row r="76" spans="1:13" x14ac:dyDescent="0.25">
      <c r="A76" s="2" t="str">
        <f>IF(43&gt;$D$21,"",INDEX('ON ROAD RETURN'!$L$4:$L$167,MATCH(43,'ON ROAD RETURN'!$N$4:$N$167,0)))</f>
        <v/>
      </c>
      <c r="C76" s="2" t="str">
        <f>IF(43&gt;$D$21,"",INDEX('ON ROAD RETURN'!$M$4:$M$167,MATCH(43,'ON ROAD RETURN'!$N$4:$N$167,0)))</f>
        <v/>
      </c>
      <c r="I76" s="15" t="str">
        <f>IF(43&gt;$D$21,"",INDEX('ON ROAD RETURN'!$D$4:$D$167,MATCH(43,'ON ROAD RETURN'!$N$4:$N$167,0)))</f>
        <v/>
      </c>
      <c r="J76" s="15" t="str">
        <f>IF(43&gt;$D$21,"",INDEX('ON ROAD RETURN'!$E$4:$E$167,MATCH(43,'ON ROAD RETURN'!$N$4:$N$167,0)))</f>
        <v/>
      </c>
      <c r="L76" s="12" t="str">
        <f>IF(43&gt;$D$21,"",INDEX('ON ROAD RETURN'!$C$4:$C$167,MATCH(43,'ON ROAD RETURN'!$N$4:$N$167,0)))</f>
        <v/>
      </c>
      <c r="M76" s="7" t="str">
        <f>IF(43&gt;$D$21,"",ROUND(INDEX('ON ROAD RETURN'!$H$4:$H$167,MATCH(43,'ON ROAD RETURN'!$N$4:$N$167,0)),2))</f>
        <v/>
      </c>
    </row>
    <row r="77" spans="1:13" x14ac:dyDescent="0.25">
      <c r="A77" s="2" t="str">
        <f>IF(44&gt;$D$21,"",INDEX('ON ROAD RETURN'!$L$4:$L$167,MATCH(44,'ON ROAD RETURN'!$N$4:$N$167,0)))</f>
        <v/>
      </c>
      <c r="C77" s="2" t="str">
        <f>IF(44&gt;$D$21,"",INDEX('ON ROAD RETURN'!$M$4:$M$167,MATCH(44,'ON ROAD RETURN'!$N$4:$N$167,0)))</f>
        <v/>
      </c>
      <c r="I77" s="15" t="str">
        <f>IF(44&gt;$D$21,"",INDEX('ON ROAD RETURN'!$D$4:$D$167,MATCH(44,'ON ROAD RETURN'!$N$4:$N$167,0)))</f>
        <v/>
      </c>
      <c r="J77" s="15" t="str">
        <f>IF(44&gt;$D$21,"",INDEX('ON ROAD RETURN'!$E$4:$E$167,MATCH(44,'ON ROAD RETURN'!$N$4:$N$167,0)))</f>
        <v/>
      </c>
      <c r="L77" s="12" t="str">
        <f>IF(44&gt;$D$21,"",INDEX('ON ROAD RETURN'!$C$4:$C$167,MATCH(44,'ON ROAD RETURN'!$N$4:$N$167,0)))</f>
        <v/>
      </c>
      <c r="M77" s="7" t="str">
        <f>IF(44&gt;$D$21,"",ROUND(INDEX('ON ROAD RETURN'!$H$4:$H$167,MATCH(44,'ON ROAD RETURN'!$N$4:$N$167,0)),2))</f>
        <v/>
      </c>
    </row>
    <row r="78" spans="1:13" x14ac:dyDescent="0.25">
      <c r="A78" s="2" t="str">
        <f>IF(45&gt;$D$21,"",INDEX('ON ROAD RETURN'!$L$4:$L$167,MATCH(45,'ON ROAD RETURN'!$N$4:$N$167,0)))</f>
        <v/>
      </c>
      <c r="C78" s="2" t="str">
        <f>IF(45&gt;$D$21,"",INDEX('ON ROAD RETURN'!$M$4:$M$167,MATCH(45,'ON ROAD RETURN'!$N$4:$N$167,0)))</f>
        <v/>
      </c>
      <c r="I78" s="15" t="str">
        <f>IF(45&gt;$D$21,"",INDEX('ON ROAD RETURN'!$D$4:$D$167,MATCH(45,'ON ROAD RETURN'!$N$4:$N$167,0)))</f>
        <v/>
      </c>
      <c r="J78" s="15" t="str">
        <f>IF(45&gt;$D$21,"",INDEX('ON ROAD RETURN'!$E$4:$E$167,MATCH(45,'ON ROAD RETURN'!$N$4:$N$167,0)))</f>
        <v/>
      </c>
      <c r="L78" s="12" t="str">
        <f>IF(45&gt;$D$21,"",INDEX('ON ROAD RETURN'!$C$4:$C$167,MATCH(45,'ON ROAD RETURN'!$N$4:$N$167,0)))</f>
        <v/>
      </c>
      <c r="M78" s="7" t="str">
        <f>IF(45&gt;$D$21,"",ROUND(INDEX('ON ROAD RETURN'!$H$4:$H$167,MATCH(45,'ON ROAD RETURN'!$N$4:$N$167,0)),2))</f>
        <v/>
      </c>
    </row>
    <row r="79" spans="1:13" x14ac:dyDescent="0.25">
      <c r="A79" s="2" t="str">
        <f>IF(46&gt;$D$21,"",INDEX('ON ROAD RETURN'!$L$4:$L$167,MATCH(46,'ON ROAD RETURN'!$N$4:$N$167,0)))</f>
        <v/>
      </c>
      <c r="C79" s="2" t="str">
        <f>IF(46&gt;$D$21,"",INDEX('ON ROAD RETURN'!$M$4:$M$167,MATCH(46,'ON ROAD RETURN'!$N$4:$N$167,0)))</f>
        <v/>
      </c>
      <c r="I79" s="15" t="str">
        <f>IF(46&gt;$D$21,"",INDEX('ON ROAD RETURN'!$D$4:$D$167,MATCH(46,'ON ROAD RETURN'!$N$4:$N$167,0)))</f>
        <v/>
      </c>
      <c r="J79" s="15" t="str">
        <f>IF(46&gt;$D$21,"",INDEX('ON ROAD RETURN'!$E$4:$E$167,MATCH(46,'ON ROAD RETURN'!$N$4:$N$167,0)))</f>
        <v/>
      </c>
      <c r="L79" s="12" t="str">
        <f>IF(46&gt;$D$21,"",INDEX('ON ROAD RETURN'!$C$4:$C$167,MATCH(46,'ON ROAD RETURN'!$N$4:$N$167,0)))</f>
        <v/>
      </c>
      <c r="M79" s="7" t="str">
        <f>IF(46&gt;$D$21,"",ROUND(INDEX('ON ROAD RETURN'!$H$4:$H$167,MATCH(46,'ON ROAD RETURN'!$N$4:$N$167,0)),2))</f>
        <v/>
      </c>
    </row>
    <row r="80" spans="1:13" x14ac:dyDescent="0.25">
      <c r="A80" s="2" t="str">
        <f>IF(47&gt;$D$21,"",INDEX('ON ROAD RETURN'!$L$4:$L$167,MATCH(47,'ON ROAD RETURN'!$N$4:$N$167,0)))</f>
        <v/>
      </c>
      <c r="C80" s="2" t="str">
        <f>IF(47&gt;$D$21,"",INDEX('ON ROAD RETURN'!$M$4:$M$167,MATCH(47,'ON ROAD RETURN'!$N$4:$N$167,0)))</f>
        <v/>
      </c>
      <c r="I80" s="15" t="str">
        <f>IF(47&gt;$D$21,"",INDEX('ON ROAD RETURN'!$D$4:$D$167,MATCH(47,'ON ROAD RETURN'!$N$4:$N$167,0)))</f>
        <v/>
      </c>
      <c r="J80" s="15" t="str">
        <f>IF(47&gt;$D$21,"",INDEX('ON ROAD RETURN'!$E$4:$E$167,MATCH(47,'ON ROAD RETURN'!$N$4:$N$167,0)))</f>
        <v/>
      </c>
      <c r="L80" s="12" t="str">
        <f>IF(47&gt;$D$21,"",INDEX('ON ROAD RETURN'!$C$4:$C$167,MATCH(47,'ON ROAD RETURN'!$N$4:$N$167,0)))</f>
        <v/>
      </c>
      <c r="M80" s="7" t="str">
        <f>IF(47&gt;$D$21,"",ROUND(INDEX('ON ROAD RETURN'!$H$4:$H$167,MATCH(47,'ON ROAD RETURN'!$N$4:$N$167,0)),2))</f>
        <v/>
      </c>
    </row>
    <row r="81" spans="1:13" x14ac:dyDescent="0.25">
      <c r="A81" s="2" t="str">
        <f>IF(48&gt;$D$21,"",INDEX('ON ROAD RETURN'!$L$4:$L$167,MATCH(48,'ON ROAD RETURN'!$N$4:$N$167,0)))</f>
        <v/>
      </c>
      <c r="C81" s="2" t="str">
        <f>IF(48&gt;$D$21,"",INDEX('ON ROAD RETURN'!$M$4:$M$167,MATCH(48,'ON ROAD RETURN'!$N$4:$N$167,0)))</f>
        <v/>
      </c>
      <c r="I81" s="15" t="str">
        <f>IF(48&gt;$D$21,"",INDEX('ON ROAD RETURN'!$D$4:$D$167,MATCH(48,'ON ROAD RETURN'!$N$4:$N$167,0)))</f>
        <v/>
      </c>
      <c r="J81" s="15" t="str">
        <f>IF(48&gt;$D$21,"",INDEX('ON ROAD RETURN'!$E$4:$E$167,MATCH(48,'ON ROAD RETURN'!$N$4:$N$167,0)))</f>
        <v/>
      </c>
      <c r="L81" s="12" t="str">
        <f>IF(48&gt;$D$21,"",INDEX('ON ROAD RETURN'!$C$4:$C$167,MATCH(48,'ON ROAD RETURN'!$N$4:$N$167,0)))</f>
        <v/>
      </c>
      <c r="M81" s="7" t="str">
        <f>IF(48&gt;$D$21,"",ROUND(INDEX('ON ROAD RETURN'!$H$4:$H$167,MATCH(48,'ON ROAD RETURN'!$N$4:$N$167,0)),2))</f>
        <v/>
      </c>
    </row>
    <row r="82" spans="1:13" x14ac:dyDescent="0.25">
      <c r="A82" s="2" t="str">
        <f>IF(49&gt;$D$21,"",INDEX('ON ROAD RETURN'!$L$4:$L$167,MATCH(49,'ON ROAD RETURN'!$N$4:$N$167,0)))</f>
        <v/>
      </c>
      <c r="C82" s="2" t="str">
        <f>IF(49&gt;$D$21,"",INDEX('ON ROAD RETURN'!$M$4:$M$167,MATCH(49,'ON ROAD RETURN'!$N$4:$N$167,0)))</f>
        <v/>
      </c>
      <c r="I82" s="15" t="str">
        <f>IF(49&gt;$D$21,"",INDEX('ON ROAD RETURN'!$D$4:$D$167,MATCH(49,'ON ROAD RETURN'!$N$4:$N$167,0)))</f>
        <v/>
      </c>
      <c r="J82" s="15" t="str">
        <f>IF(49&gt;$D$21,"",INDEX('ON ROAD RETURN'!$E$4:$E$167,MATCH(49,'ON ROAD RETURN'!$N$4:$N$167,0)))</f>
        <v/>
      </c>
      <c r="L82" s="12" t="str">
        <f>IF(49&gt;$D$21,"",INDEX('ON ROAD RETURN'!$C$4:$C$167,MATCH(49,'ON ROAD RETURN'!$N$4:$N$167,0)))</f>
        <v/>
      </c>
      <c r="M82" s="7" t="str">
        <f>IF(49&gt;$D$21,"",ROUND(INDEX('ON ROAD RETURN'!$H$4:$H$167,MATCH(49,'ON ROAD RETURN'!$N$4:$N$167,0)),2))</f>
        <v/>
      </c>
    </row>
    <row r="83" spans="1:13" x14ac:dyDescent="0.25">
      <c r="A83" s="2" t="str">
        <f>IF(50&gt;$D$21,"",INDEX('ON ROAD RETURN'!$L$4:$L$167,MATCH(50,'ON ROAD RETURN'!$N$4:$N$167,0)))</f>
        <v/>
      </c>
      <c r="C83" s="2" t="str">
        <f>IF(50&gt;$D$21,"",INDEX('ON ROAD RETURN'!$M$4:$M$167,MATCH(50,'ON ROAD RETURN'!$N$4:$N$167,0)))</f>
        <v/>
      </c>
      <c r="I83" s="15" t="str">
        <f>IF(50&gt;$D$21,"",INDEX('ON ROAD RETURN'!$D$4:$D$167,MATCH(50,'ON ROAD RETURN'!$N$4:$N$167,0)))</f>
        <v/>
      </c>
      <c r="J83" s="15" t="str">
        <f>IF(50&gt;$D$21,"",INDEX('ON ROAD RETURN'!$E$4:$E$167,MATCH(50,'ON ROAD RETURN'!$N$4:$N$167,0)))</f>
        <v/>
      </c>
      <c r="L83" s="12" t="str">
        <f>IF(50&gt;$D$21,"",INDEX('ON ROAD RETURN'!$C$4:$C$167,MATCH(50,'ON ROAD RETURN'!$N$4:$N$167,0)))</f>
        <v/>
      </c>
      <c r="M83" s="7" t="str">
        <f>IF(50&gt;$D$21,"",ROUND(INDEX('ON ROAD RETURN'!$H$4:$H$167,MATCH(50,'ON ROAD RETURN'!$N$4:$N$167,0)),2))</f>
        <v/>
      </c>
    </row>
    <row r="84" spans="1:13" x14ac:dyDescent="0.25">
      <c r="A84" s="2" t="str">
        <f>IF(51&gt;$D$21,"",INDEX('ON ROAD RETURN'!$L$4:$L$167,MATCH(51,'ON ROAD RETURN'!$N$4:$N$167,0)))</f>
        <v/>
      </c>
      <c r="C84" s="2" t="str">
        <f>IF(51&gt;$D$21,"",INDEX('ON ROAD RETURN'!$M$4:$M$167,MATCH(51,'ON ROAD RETURN'!$N$4:$N$167,0)))</f>
        <v/>
      </c>
      <c r="I84" s="15" t="str">
        <f>IF(51&gt;$D$21,"",INDEX('ON ROAD RETURN'!$D$4:$D$167,MATCH(51,'ON ROAD RETURN'!$N$4:$N$167,0)))</f>
        <v/>
      </c>
      <c r="J84" s="15" t="str">
        <f>IF(51&gt;$D$21,"",INDEX('ON ROAD RETURN'!$E$4:$E$167,MATCH(51,'ON ROAD RETURN'!$N$4:$N$167,0)))</f>
        <v/>
      </c>
      <c r="L84" s="12" t="str">
        <f>IF(51&gt;$D$21,"",INDEX('ON ROAD RETURN'!$C$4:$C$167,MATCH(51,'ON ROAD RETURN'!$N$4:$N$167,0)))</f>
        <v/>
      </c>
      <c r="M84" s="7" t="str">
        <f>IF(51&gt;$D$21,"",ROUND(INDEX('ON ROAD RETURN'!$H$4:$H$167,MATCH(51,'ON ROAD RETURN'!$N$4:$N$167,0)),2))</f>
        <v/>
      </c>
    </row>
    <row r="85" spans="1:13" x14ac:dyDescent="0.25">
      <c r="A85" s="2" t="str">
        <f>IF(52&gt;$D$21,"",INDEX('ON ROAD RETURN'!$L$4:$L$167,MATCH(52,'ON ROAD RETURN'!$N$4:$N$167,0)))</f>
        <v/>
      </c>
      <c r="C85" s="2" t="str">
        <f>IF(52&gt;$D$21,"",INDEX('ON ROAD RETURN'!$M$4:$M$167,MATCH(52,'ON ROAD RETURN'!$N$4:$N$167,0)))</f>
        <v/>
      </c>
      <c r="I85" s="15" t="str">
        <f>IF(52&gt;$D$21,"",INDEX('ON ROAD RETURN'!$D$4:$D$167,MATCH(52,'ON ROAD RETURN'!$N$4:$N$167,0)))</f>
        <v/>
      </c>
      <c r="J85" s="15" t="str">
        <f>IF(52&gt;$D$21,"",INDEX('ON ROAD RETURN'!$E$4:$E$167,MATCH(52,'ON ROAD RETURN'!$N$4:$N$167,0)))</f>
        <v/>
      </c>
      <c r="L85" s="12" t="str">
        <f>IF(52&gt;$D$21,"",INDEX('ON ROAD RETURN'!$C$4:$C$167,MATCH(52,'ON ROAD RETURN'!$N$4:$N$167,0)))</f>
        <v/>
      </c>
      <c r="M85" s="7" t="str">
        <f>IF(52&gt;$D$21,"",ROUND(INDEX('ON ROAD RETURN'!$H$4:$H$167,MATCH(52,'ON ROAD RETURN'!$N$4:$N$167,0)),2))</f>
        <v/>
      </c>
    </row>
    <row r="86" spans="1:13" x14ac:dyDescent="0.25">
      <c r="A86" s="2" t="str">
        <f>IF(53&gt;$D$21,"",INDEX('ON ROAD RETURN'!$L$4:$L$167,MATCH(53,'ON ROAD RETURN'!$N$4:$N$167,0)))</f>
        <v/>
      </c>
      <c r="C86" s="2" t="str">
        <f>IF(53&gt;$D$21,"",INDEX('ON ROAD RETURN'!$M$4:$M$167,MATCH(53,'ON ROAD RETURN'!$N$4:$N$167,0)))</f>
        <v/>
      </c>
      <c r="I86" s="15" t="str">
        <f>IF(53&gt;$D$21,"",INDEX('ON ROAD RETURN'!$D$4:$D$167,MATCH(53,'ON ROAD RETURN'!$N$4:$N$167,0)))</f>
        <v/>
      </c>
      <c r="J86" s="15" t="str">
        <f>IF(53&gt;$D$21,"",INDEX('ON ROAD RETURN'!$E$4:$E$167,MATCH(53,'ON ROAD RETURN'!$N$4:$N$167,0)))</f>
        <v/>
      </c>
      <c r="L86" s="12" t="str">
        <f>IF(53&gt;$D$21,"",INDEX('ON ROAD RETURN'!$C$4:$C$167,MATCH(53,'ON ROAD RETURN'!$N$4:$N$167,0)))</f>
        <v/>
      </c>
      <c r="M86" s="7" t="str">
        <f>IF(53&gt;$D$21,"",ROUND(INDEX('ON ROAD RETURN'!$H$4:$H$167,MATCH(53,'ON ROAD RETURN'!$N$4:$N$167,0)),2))</f>
        <v/>
      </c>
    </row>
    <row r="87" spans="1:13" x14ac:dyDescent="0.25">
      <c r="A87" s="2" t="str">
        <f>IF(54&gt;$D$21,"",INDEX('ON ROAD RETURN'!$L$4:$L$167,MATCH(54,'ON ROAD RETURN'!$N$4:$N$167,0)))</f>
        <v/>
      </c>
      <c r="C87" s="2" t="str">
        <f>IF(54&gt;$D$21,"",INDEX('ON ROAD RETURN'!$M$4:$M$167,MATCH(54,'ON ROAD RETURN'!$N$4:$N$167,0)))</f>
        <v/>
      </c>
      <c r="I87" s="15" t="str">
        <f>IF(54&gt;$D$21,"",INDEX('ON ROAD RETURN'!$D$4:$D$167,MATCH(54,'ON ROAD RETURN'!$N$4:$N$167,0)))</f>
        <v/>
      </c>
      <c r="J87" s="15" t="str">
        <f>IF(54&gt;$D$21,"",INDEX('ON ROAD RETURN'!$E$4:$E$167,MATCH(54,'ON ROAD RETURN'!$N$4:$N$167,0)))</f>
        <v/>
      </c>
      <c r="L87" s="12" t="str">
        <f>IF(54&gt;$D$21,"",INDEX('ON ROAD RETURN'!$C$4:$C$167,MATCH(54,'ON ROAD RETURN'!$N$4:$N$167,0)))</f>
        <v/>
      </c>
      <c r="M87" s="7" t="str">
        <f>IF(54&gt;$D$21,"",ROUND(INDEX('ON ROAD RETURN'!$H$4:$H$167,MATCH(54,'ON ROAD RETURN'!$N$4:$N$167,0)),2))</f>
        <v/>
      </c>
    </row>
    <row r="88" spans="1:13" x14ac:dyDescent="0.25">
      <c r="A88" s="2" t="str">
        <f>IF(55&gt;$D$21,"",INDEX('ON ROAD RETURN'!$L$4:$L$167,MATCH(55,'ON ROAD RETURN'!$N$4:$N$167,0)))</f>
        <v/>
      </c>
      <c r="C88" s="2" t="str">
        <f>IF(55&gt;$D$21,"",INDEX('ON ROAD RETURN'!$M$4:$M$167,MATCH(55,'ON ROAD RETURN'!$N$4:$N$167,0)))</f>
        <v/>
      </c>
      <c r="I88" s="15" t="str">
        <f>IF(55&gt;$D$21,"",INDEX('ON ROAD RETURN'!$D$4:$D$167,MATCH(55,'ON ROAD RETURN'!$N$4:$N$167,0)))</f>
        <v/>
      </c>
      <c r="J88" s="15" t="str">
        <f>IF(55&gt;$D$21,"",INDEX('ON ROAD RETURN'!$E$4:$E$167,MATCH(55,'ON ROAD RETURN'!$N$4:$N$167,0)))</f>
        <v/>
      </c>
      <c r="L88" s="12" t="str">
        <f>IF(55&gt;$D$21,"",INDEX('ON ROAD RETURN'!$C$4:$C$167,MATCH(55,'ON ROAD RETURN'!$N$4:$N$167,0)))</f>
        <v/>
      </c>
      <c r="M88" s="7" t="str">
        <f>IF(55&gt;$D$21,"",ROUND(INDEX('ON ROAD RETURN'!$H$4:$H$167,MATCH(55,'ON ROAD RETURN'!$N$4:$N$167,0)),2))</f>
        <v/>
      </c>
    </row>
    <row r="89" spans="1:13" x14ac:dyDescent="0.25">
      <c r="A89" s="2" t="str">
        <f>IF(56&gt;$D$21,"",INDEX('ON ROAD RETURN'!$L$4:$L$167,MATCH(56,'ON ROAD RETURN'!$N$4:$N$167,0)))</f>
        <v/>
      </c>
      <c r="C89" s="2" t="str">
        <f>IF(56&gt;$D$21,"",INDEX('ON ROAD RETURN'!$M$4:$M$167,MATCH(56,'ON ROAD RETURN'!$N$4:$N$167,0)))</f>
        <v/>
      </c>
      <c r="I89" s="15" t="str">
        <f>IF(56&gt;$D$21,"",INDEX('ON ROAD RETURN'!$D$4:$D$167,MATCH(56,'ON ROAD RETURN'!$N$4:$N$167,0)))</f>
        <v/>
      </c>
      <c r="J89" s="15" t="str">
        <f>IF(56&gt;$D$21,"",INDEX('ON ROAD RETURN'!$E$4:$E$167,MATCH(56,'ON ROAD RETURN'!$N$4:$N$167,0)))</f>
        <v/>
      </c>
      <c r="L89" s="12" t="str">
        <f>IF(56&gt;$D$21,"",INDEX('ON ROAD RETURN'!$C$4:$C$167,MATCH(56,'ON ROAD RETURN'!$N$4:$N$167,0)))</f>
        <v/>
      </c>
      <c r="M89" s="7" t="str">
        <f>IF(56&gt;$D$21,"",ROUND(INDEX('ON ROAD RETURN'!$H$4:$H$167,MATCH(56,'ON ROAD RETURN'!$N$4:$N$167,0)),2))</f>
        <v/>
      </c>
    </row>
    <row r="90" spans="1:13" x14ac:dyDescent="0.25">
      <c r="A90" s="2" t="str">
        <f>IF(57&gt;$D$21,"",INDEX('ON ROAD RETURN'!$L$4:$L$167,MATCH(57,'ON ROAD RETURN'!$N$4:$N$167,0)))</f>
        <v/>
      </c>
      <c r="C90" s="2" t="str">
        <f>IF(57&gt;$D$21,"",INDEX('ON ROAD RETURN'!$M$4:$M$167,MATCH(57,'ON ROAD RETURN'!$N$4:$N$167,0)))</f>
        <v/>
      </c>
      <c r="I90" s="15" t="str">
        <f>IF(57&gt;$D$21,"",INDEX('ON ROAD RETURN'!$D$4:$D$167,MATCH(57,'ON ROAD RETURN'!$N$4:$N$167,0)))</f>
        <v/>
      </c>
      <c r="J90" s="15" t="str">
        <f>IF(57&gt;$D$21,"",INDEX('ON ROAD RETURN'!$E$4:$E$167,MATCH(57,'ON ROAD RETURN'!$N$4:$N$167,0)))</f>
        <v/>
      </c>
      <c r="L90" s="12" t="str">
        <f>IF(57&gt;$D$21,"",INDEX('ON ROAD RETURN'!$C$4:$C$167,MATCH(57,'ON ROAD RETURN'!$N$4:$N$167,0)))</f>
        <v/>
      </c>
      <c r="M90" s="7" t="str">
        <f>IF(57&gt;$D$21,"",ROUND(INDEX('ON ROAD RETURN'!$H$4:$H$167,MATCH(57,'ON ROAD RETURN'!$N$4:$N$167,0)),2))</f>
        <v/>
      </c>
    </row>
    <row r="91" spans="1:13" x14ac:dyDescent="0.25">
      <c r="A91" s="2" t="str">
        <f>IF(58&gt;$D$21,"",INDEX('ON ROAD RETURN'!$L$4:$L$167,MATCH(58,'ON ROAD RETURN'!$N$4:$N$167,0)))</f>
        <v/>
      </c>
      <c r="C91" s="2" t="str">
        <f>IF(58&gt;$D$21,"",INDEX('ON ROAD RETURN'!$M$4:$M$167,MATCH(58,'ON ROAD RETURN'!$N$4:$N$167,0)))</f>
        <v/>
      </c>
      <c r="I91" s="15" t="str">
        <f>IF(58&gt;$D$21,"",INDEX('ON ROAD RETURN'!$D$4:$D$167,MATCH(58,'ON ROAD RETURN'!$N$4:$N$167,0)))</f>
        <v/>
      </c>
      <c r="J91" s="15" t="str">
        <f>IF(58&gt;$D$21,"",INDEX('ON ROAD RETURN'!$E$4:$E$167,MATCH(58,'ON ROAD RETURN'!$N$4:$N$167,0)))</f>
        <v/>
      </c>
      <c r="L91" s="12" t="str">
        <f>IF(58&gt;$D$21,"",INDEX('ON ROAD RETURN'!$C$4:$C$167,MATCH(58,'ON ROAD RETURN'!$N$4:$N$167,0)))</f>
        <v/>
      </c>
      <c r="M91" s="7" t="str">
        <f>IF(58&gt;$D$21,"",ROUND(INDEX('ON ROAD RETURN'!$H$4:$H$167,MATCH(58,'ON ROAD RETURN'!$N$4:$N$167,0)),2))</f>
        <v/>
      </c>
    </row>
    <row r="92" spans="1:13" x14ac:dyDescent="0.25">
      <c r="A92" s="2" t="str">
        <f>IF(59&gt;$D$21,"",INDEX('ON ROAD RETURN'!$L$4:$L$167,MATCH(59,'ON ROAD RETURN'!$N$4:$N$167,0)))</f>
        <v/>
      </c>
      <c r="C92" s="2" t="str">
        <f>IF(59&gt;$D$21,"",INDEX('ON ROAD RETURN'!$M$4:$M$167,MATCH(59,'ON ROAD RETURN'!$N$4:$N$167,0)))</f>
        <v/>
      </c>
      <c r="I92" s="15" t="str">
        <f>IF(59&gt;$D$21,"",INDEX('ON ROAD RETURN'!$D$4:$D$167,MATCH(59,'ON ROAD RETURN'!$N$4:$N$167,0)))</f>
        <v/>
      </c>
      <c r="J92" s="15" t="str">
        <f>IF(59&gt;$D$21,"",INDEX('ON ROAD RETURN'!$E$4:$E$167,MATCH(59,'ON ROAD RETURN'!$N$4:$N$167,0)))</f>
        <v/>
      </c>
      <c r="L92" s="12" t="str">
        <f>IF(59&gt;$D$21,"",INDEX('ON ROAD RETURN'!$C$4:$C$167,MATCH(59,'ON ROAD RETURN'!$N$4:$N$167,0)))</f>
        <v/>
      </c>
      <c r="M92" s="7" t="str">
        <f>IF(59&gt;$D$21,"",ROUND(INDEX('ON ROAD RETURN'!$H$4:$H$167,MATCH(59,'ON ROAD RETURN'!$N$4:$N$167,0)),2))</f>
        <v/>
      </c>
    </row>
    <row r="93" spans="1:13" x14ac:dyDescent="0.25">
      <c r="A93" s="2" t="str">
        <f>IF(60&gt;$D$21,"",INDEX('ON ROAD RETURN'!$L$4:$L$167,MATCH(60,'ON ROAD RETURN'!$N$4:$N$167,0)))</f>
        <v/>
      </c>
      <c r="C93" s="2" t="str">
        <f>IF(60&gt;$D$21,"",INDEX('ON ROAD RETURN'!$M$4:$M$167,MATCH(60,'ON ROAD RETURN'!$N$4:$N$167,0)))</f>
        <v/>
      </c>
      <c r="I93" s="15" t="str">
        <f>IF(60&gt;$D$21,"",INDEX('ON ROAD RETURN'!$D$4:$D$167,MATCH(60,'ON ROAD RETURN'!$N$4:$N$167,0)))</f>
        <v/>
      </c>
      <c r="J93" s="15" t="str">
        <f>IF(60&gt;$D$21,"",INDEX('ON ROAD RETURN'!$E$4:$E$167,MATCH(60,'ON ROAD RETURN'!$N$4:$N$167,0)))</f>
        <v/>
      </c>
      <c r="L93" s="12" t="str">
        <f>IF(60&gt;$D$21,"",INDEX('ON ROAD RETURN'!$C$4:$C$167,MATCH(60,'ON ROAD RETURN'!$N$4:$N$167,0)))</f>
        <v/>
      </c>
      <c r="M93" s="7" t="str">
        <f>IF(60&gt;$D$21,"",ROUND(INDEX('ON ROAD RETURN'!$H$4:$H$167,MATCH(60,'ON ROAD RETURN'!$N$4:$N$167,0)),2))</f>
        <v/>
      </c>
    </row>
    <row r="94" spans="1:13" x14ac:dyDescent="0.25">
      <c r="A94" s="2" t="str">
        <f>IF(61&gt;$D$21,"",INDEX('ON ROAD RETURN'!$L$4:$L$167,MATCH(61,'ON ROAD RETURN'!$N$4:$N$167,0)))</f>
        <v/>
      </c>
      <c r="C94" s="2" t="str">
        <f>IF(61&gt;$D$21,"",INDEX('ON ROAD RETURN'!$M$4:$M$167,MATCH(61,'ON ROAD RETURN'!$N$4:$N$167,0)))</f>
        <v/>
      </c>
      <c r="I94" s="15" t="str">
        <f>IF(61&gt;$D$21,"",INDEX('ON ROAD RETURN'!$D$4:$D$167,MATCH(61,'ON ROAD RETURN'!$N$4:$N$167,0)))</f>
        <v/>
      </c>
      <c r="J94" s="15" t="str">
        <f>IF(61&gt;$D$21,"",INDEX('ON ROAD RETURN'!$E$4:$E$167,MATCH(61,'ON ROAD RETURN'!$N$4:$N$167,0)))</f>
        <v/>
      </c>
      <c r="L94" s="12" t="str">
        <f>IF(61&gt;$D$21,"",INDEX('ON ROAD RETURN'!$C$4:$C$167,MATCH(61,'ON ROAD RETURN'!$N$4:$N$167,0)))</f>
        <v/>
      </c>
      <c r="M94" s="7" t="str">
        <f>IF(61&gt;$D$21,"",ROUND(INDEX('ON ROAD RETURN'!$H$4:$H$167,MATCH(61,'ON ROAD RETURN'!$N$4:$N$167,0)),2))</f>
        <v/>
      </c>
    </row>
    <row r="95" spans="1:13" x14ac:dyDescent="0.25">
      <c r="A95" s="2" t="str">
        <f>IF(62&gt;$D$21,"",INDEX('ON ROAD RETURN'!$L$4:$L$167,MATCH(62,'ON ROAD RETURN'!$N$4:$N$167,0)))</f>
        <v/>
      </c>
      <c r="C95" s="2" t="str">
        <f>IF(62&gt;$D$21,"",INDEX('ON ROAD RETURN'!$M$4:$M$167,MATCH(62,'ON ROAD RETURN'!$N$4:$N$167,0)))</f>
        <v/>
      </c>
      <c r="I95" s="15" t="str">
        <f>IF(62&gt;$D$21,"",INDEX('ON ROAD RETURN'!$D$4:$D$167,MATCH(62,'ON ROAD RETURN'!$N$4:$N$167,0)))</f>
        <v/>
      </c>
      <c r="J95" s="15" t="str">
        <f>IF(62&gt;$D$21,"",INDEX('ON ROAD RETURN'!$E$4:$E$167,MATCH(62,'ON ROAD RETURN'!$N$4:$N$167,0)))</f>
        <v/>
      </c>
      <c r="L95" s="12" t="str">
        <f>IF(62&gt;$D$21,"",INDEX('ON ROAD RETURN'!$C$4:$C$167,MATCH(62,'ON ROAD RETURN'!$N$4:$N$167,0)))</f>
        <v/>
      </c>
      <c r="M95" s="7" t="str">
        <f>IF(62&gt;$D$21,"",ROUND(INDEX('ON ROAD RETURN'!$H$4:$H$167,MATCH(62,'ON ROAD RETURN'!$N$4:$N$167,0)),2))</f>
        <v/>
      </c>
    </row>
    <row r="96" spans="1:13" x14ac:dyDescent="0.25">
      <c r="A96" s="2" t="str">
        <f>IF(63&gt;$D$21,"",INDEX('ON ROAD RETURN'!$L$4:$L$167,MATCH(63,'ON ROAD RETURN'!$N$4:$N$167,0)))</f>
        <v/>
      </c>
      <c r="C96" s="2" t="str">
        <f>IF(63&gt;$D$21,"",INDEX('ON ROAD RETURN'!$M$4:$M$167,MATCH(63,'ON ROAD RETURN'!$N$4:$N$167,0)))</f>
        <v/>
      </c>
      <c r="I96" s="15" t="str">
        <f>IF(63&gt;$D$21,"",INDEX('ON ROAD RETURN'!$D$4:$D$167,MATCH(63,'ON ROAD RETURN'!$N$4:$N$167,0)))</f>
        <v/>
      </c>
      <c r="J96" s="15" t="str">
        <f>IF(63&gt;$D$21,"",INDEX('ON ROAD RETURN'!$E$4:$E$167,MATCH(63,'ON ROAD RETURN'!$N$4:$N$167,0)))</f>
        <v/>
      </c>
      <c r="L96" s="12" t="str">
        <f>IF(63&gt;$D$21,"",INDEX('ON ROAD RETURN'!$C$4:$C$167,MATCH(63,'ON ROAD RETURN'!$N$4:$N$167,0)))</f>
        <v/>
      </c>
      <c r="M96" s="7" t="str">
        <f>IF(63&gt;$D$21,"",ROUND(INDEX('ON ROAD RETURN'!$H$4:$H$167,MATCH(63,'ON ROAD RETURN'!$N$4:$N$167,0)),2))</f>
        <v/>
      </c>
    </row>
    <row r="97" spans="1:13" x14ac:dyDescent="0.25">
      <c r="A97" s="2" t="str">
        <f>IF(64&gt;$D$21,"",INDEX('ON ROAD RETURN'!$L$4:$L$167,MATCH(64,'ON ROAD RETURN'!$N$4:$N$167,0)))</f>
        <v/>
      </c>
      <c r="C97" s="2" t="str">
        <f>IF(64&gt;$D$21,"",INDEX('ON ROAD RETURN'!$M$4:$M$167,MATCH(64,'ON ROAD RETURN'!$N$4:$N$167,0)))</f>
        <v/>
      </c>
      <c r="I97" s="15" t="str">
        <f>IF(64&gt;$D$21,"",INDEX('ON ROAD RETURN'!$D$4:$D$167,MATCH(64,'ON ROAD RETURN'!$N$4:$N$167,0)))</f>
        <v/>
      </c>
      <c r="J97" s="15" t="str">
        <f>IF(64&gt;$D$21,"",INDEX('ON ROAD RETURN'!$E$4:$E$167,MATCH(64,'ON ROAD RETURN'!$N$4:$N$167,0)))</f>
        <v/>
      </c>
      <c r="L97" s="12" t="str">
        <f>IF(64&gt;$D$21,"",INDEX('ON ROAD RETURN'!$C$4:$C$167,MATCH(64,'ON ROAD RETURN'!$N$4:$N$167,0)))</f>
        <v/>
      </c>
      <c r="M97" s="7" t="str">
        <f>IF(64&gt;$D$21,"",ROUND(INDEX('ON ROAD RETURN'!$H$4:$H$167,MATCH(64,'ON ROAD RETURN'!$N$4:$N$167,0)),2))</f>
        <v/>
      </c>
    </row>
    <row r="98" spans="1:13" x14ac:dyDescent="0.25">
      <c r="A98" s="2" t="str">
        <f>IF(65&gt;$D$21,"",INDEX('ON ROAD RETURN'!$L$4:$L$167,MATCH(65,'ON ROAD RETURN'!$N$4:$N$167,0)))</f>
        <v/>
      </c>
      <c r="C98" s="2" t="str">
        <f>IF(65&gt;$D$21,"",INDEX('ON ROAD RETURN'!$M$4:$M$167,MATCH(65,'ON ROAD RETURN'!$N$4:$N$167,0)))</f>
        <v/>
      </c>
      <c r="I98" s="15" t="str">
        <f>IF(65&gt;$D$21,"",INDEX('ON ROAD RETURN'!$D$4:$D$167,MATCH(65,'ON ROAD RETURN'!$N$4:$N$167,0)))</f>
        <v/>
      </c>
      <c r="J98" s="15" t="str">
        <f>IF(65&gt;$D$21,"",INDEX('ON ROAD RETURN'!$E$4:$E$167,MATCH(65,'ON ROAD RETURN'!$N$4:$N$167,0)))</f>
        <v/>
      </c>
      <c r="L98" s="12" t="str">
        <f>IF(65&gt;$D$21,"",INDEX('ON ROAD RETURN'!$C$4:$C$167,MATCH(65,'ON ROAD RETURN'!$N$4:$N$167,0)))</f>
        <v/>
      </c>
      <c r="M98" s="7" t="str">
        <f>IF(65&gt;$D$21,"",ROUND(INDEX('ON ROAD RETURN'!$H$4:$H$167,MATCH(65,'ON ROAD RETURN'!$N$4:$N$167,0)),2))</f>
        <v/>
      </c>
    </row>
    <row r="99" spans="1:13" x14ac:dyDescent="0.25">
      <c r="A99" s="2" t="str">
        <f>IF(66&gt;$D$21,"",INDEX('ON ROAD RETURN'!$L$4:$L$167,MATCH(66,'ON ROAD RETURN'!$N$4:$N$167,0)))</f>
        <v/>
      </c>
      <c r="C99" s="2" t="str">
        <f>IF(66&gt;$D$21,"",INDEX('ON ROAD RETURN'!$M$4:$M$167,MATCH(66,'ON ROAD RETURN'!$N$4:$N$167,0)))</f>
        <v/>
      </c>
      <c r="I99" s="15" t="str">
        <f>IF(66&gt;$D$21,"",INDEX('ON ROAD RETURN'!$D$4:$D$167,MATCH(66,'ON ROAD RETURN'!$N$4:$N$167,0)))</f>
        <v/>
      </c>
      <c r="J99" s="15" t="str">
        <f>IF(66&gt;$D$21,"",INDEX('ON ROAD RETURN'!$E$4:$E$167,MATCH(66,'ON ROAD RETURN'!$N$4:$N$167,0)))</f>
        <v/>
      </c>
      <c r="L99" s="12" t="str">
        <f>IF(66&gt;$D$21,"",INDEX('ON ROAD RETURN'!$C$4:$C$167,MATCH(66,'ON ROAD RETURN'!$N$4:$N$167,0)))</f>
        <v/>
      </c>
      <c r="M99" s="7" t="str">
        <f>IF(66&gt;$D$21,"",ROUND(INDEX('ON ROAD RETURN'!$H$4:$H$167,MATCH(66,'ON ROAD RETURN'!$N$4:$N$167,0)),2))</f>
        <v/>
      </c>
    </row>
    <row r="100" spans="1:13" x14ac:dyDescent="0.25">
      <c r="A100" s="2" t="str">
        <f>IF(67&gt;$D$21,"",INDEX('ON ROAD RETURN'!$L$4:$L$167,MATCH(67,'ON ROAD RETURN'!$N$4:$N$167,0)))</f>
        <v/>
      </c>
      <c r="C100" s="2" t="str">
        <f>IF(67&gt;$D$21,"",INDEX('ON ROAD RETURN'!$M$4:$M$167,MATCH(67,'ON ROAD RETURN'!$N$4:$N$167,0)))</f>
        <v/>
      </c>
      <c r="I100" s="15" t="str">
        <f>IF(67&gt;$D$21,"",INDEX('ON ROAD RETURN'!$D$4:$D$167,MATCH(67,'ON ROAD RETURN'!$N$4:$N$167,0)))</f>
        <v/>
      </c>
      <c r="J100" s="15" t="str">
        <f>IF(67&gt;$D$21,"",INDEX('ON ROAD RETURN'!$E$4:$E$167,MATCH(67,'ON ROAD RETURN'!$N$4:$N$167,0)))</f>
        <v/>
      </c>
      <c r="L100" s="12" t="str">
        <f>IF(67&gt;$D$21,"",INDEX('ON ROAD RETURN'!$C$4:$C$167,MATCH(67,'ON ROAD RETURN'!$N$4:$N$167,0)))</f>
        <v/>
      </c>
      <c r="M100" s="7" t="str">
        <f>IF(67&gt;$D$21,"",ROUND(INDEX('ON ROAD RETURN'!$H$4:$H$167,MATCH(67,'ON ROAD RETURN'!$N$4:$N$167,0)),2))</f>
        <v/>
      </c>
    </row>
    <row r="101" spans="1:13" x14ac:dyDescent="0.25">
      <c r="A101" s="2" t="str">
        <f>IF(68&gt;$D$21,"",INDEX('ON ROAD RETURN'!$L$4:$L$167,MATCH(68,'ON ROAD RETURN'!$N$4:$N$167,0)))</f>
        <v/>
      </c>
      <c r="C101" s="2" t="str">
        <f>IF(68&gt;$D$21,"",INDEX('ON ROAD RETURN'!$M$4:$M$167,MATCH(68,'ON ROAD RETURN'!$N$4:$N$167,0)))</f>
        <v/>
      </c>
      <c r="I101" s="15" t="str">
        <f>IF(68&gt;$D$21,"",INDEX('ON ROAD RETURN'!$D$4:$D$167,MATCH(68,'ON ROAD RETURN'!$N$4:$N$167,0)))</f>
        <v/>
      </c>
      <c r="J101" s="15" t="str">
        <f>IF(68&gt;$D$21,"",INDEX('ON ROAD RETURN'!$E$4:$E$167,MATCH(68,'ON ROAD RETURN'!$N$4:$N$167,0)))</f>
        <v/>
      </c>
      <c r="L101" s="12" t="str">
        <f>IF(68&gt;$D$21,"",INDEX('ON ROAD RETURN'!$C$4:$C$167,MATCH(68,'ON ROAD RETURN'!$N$4:$N$167,0)))</f>
        <v/>
      </c>
      <c r="M101" s="7" t="str">
        <f>IF(68&gt;$D$21,"",ROUND(INDEX('ON ROAD RETURN'!$H$4:$H$167,MATCH(68,'ON ROAD RETURN'!$N$4:$N$167,0)),2))</f>
        <v/>
      </c>
    </row>
    <row r="102" spans="1:13" x14ac:dyDescent="0.25">
      <c r="A102" s="2" t="str">
        <f>IF(69&gt;$D$21,"",INDEX('ON ROAD RETURN'!$L$4:$L$167,MATCH(69,'ON ROAD RETURN'!$N$4:$N$167,0)))</f>
        <v/>
      </c>
      <c r="C102" s="2" t="str">
        <f>IF(69&gt;$D$21,"",INDEX('ON ROAD RETURN'!$M$4:$M$167,MATCH(69,'ON ROAD RETURN'!$N$4:$N$167,0)))</f>
        <v/>
      </c>
      <c r="I102" s="15" t="str">
        <f>IF(69&gt;$D$21,"",INDEX('ON ROAD RETURN'!$D$4:$D$167,MATCH(69,'ON ROAD RETURN'!$N$4:$N$167,0)))</f>
        <v/>
      </c>
      <c r="J102" s="15" t="str">
        <f>IF(69&gt;$D$21,"",INDEX('ON ROAD RETURN'!$E$4:$E$167,MATCH(69,'ON ROAD RETURN'!$N$4:$N$167,0)))</f>
        <v/>
      </c>
      <c r="L102" s="12" t="str">
        <f>IF(69&gt;$D$21,"",INDEX('ON ROAD RETURN'!$C$4:$C$167,MATCH(69,'ON ROAD RETURN'!$N$4:$N$167,0)))</f>
        <v/>
      </c>
      <c r="M102" s="7" t="str">
        <f>IF(69&gt;$D$21,"",ROUND(INDEX('ON ROAD RETURN'!$H$4:$H$167,MATCH(69,'ON ROAD RETURN'!$N$4:$N$167,0)),2))</f>
        <v/>
      </c>
    </row>
    <row r="103" spans="1:13" x14ac:dyDescent="0.25">
      <c r="A103" s="2" t="str">
        <f>IF(70&gt;$D$21,"",INDEX('ON ROAD RETURN'!$L$4:$L$167,MATCH(70,'ON ROAD RETURN'!$N$4:$N$167,0)))</f>
        <v/>
      </c>
      <c r="C103" s="2" t="str">
        <f>IF(70&gt;$D$21,"",INDEX('ON ROAD RETURN'!$M$4:$M$167,MATCH(70,'ON ROAD RETURN'!$N$4:$N$167,0)))</f>
        <v/>
      </c>
      <c r="I103" s="15" t="str">
        <f>IF(70&gt;$D$21,"",INDEX('ON ROAD RETURN'!$D$4:$D$167,MATCH(70,'ON ROAD RETURN'!$N$4:$N$167,0)))</f>
        <v/>
      </c>
      <c r="J103" s="15" t="str">
        <f>IF(70&gt;$D$21,"",INDEX('ON ROAD RETURN'!$E$4:$E$167,MATCH(70,'ON ROAD RETURN'!$N$4:$N$167,0)))</f>
        <v/>
      </c>
      <c r="L103" s="12" t="str">
        <f>IF(70&gt;$D$21,"",INDEX('ON ROAD RETURN'!$C$4:$C$167,MATCH(70,'ON ROAD RETURN'!$N$4:$N$167,0)))</f>
        <v/>
      </c>
      <c r="M103" s="7" t="str">
        <f>IF(70&gt;$D$21,"",ROUND(INDEX('ON ROAD RETURN'!$H$4:$H$167,MATCH(70,'ON ROAD RETURN'!$N$4:$N$167,0)),2))</f>
        <v/>
      </c>
    </row>
    <row r="104" spans="1:13" x14ac:dyDescent="0.25">
      <c r="A104" s="2" t="str">
        <f>IF(71&gt;$D$21,"",INDEX('ON ROAD RETURN'!$L$4:$L$167,MATCH(71,'ON ROAD RETURN'!$N$4:$N$167,0)))</f>
        <v/>
      </c>
      <c r="C104" s="2" t="str">
        <f>IF(71&gt;$D$21,"",INDEX('ON ROAD RETURN'!$M$4:$M$167,MATCH(71,'ON ROAD RETURN'!$N$4:$N$167,0)))</f>
        <v/>
      </c>
      <c r="I104" s="15" t="str">
        <f>IF(71&gt;$D$21,"",INDEX('ON ROAD RETURN'!$D$4:$D$167,MATCH(71,'ON ROAD RETURN'!$N$4:$N$167,0)))</f>
        <v/>
      </c>
      <c r="J104" s="15" t="str">
        <f>IF(71&gt;$D$21,"",INDEX('ON ROAD RETURN'!$E$4:$E$167,MATCH(71,'ON ROAD RETURN'!$N$4:$N$167,0)))</f>
        <v/>
      </c>
      <c r="L104" s="12" t="str">
        <f>IF(71&gt;$D$21,"",INDEX('ON ROAD RETURN'!$C$4:$C$167,MATCH(71,'ON ROAD RETURN'!$N$4:$N$167,0)))</f>
        <v/>
      </c>
      <c r="M104" s="7" t="str">
        <f>IF(71&gt;$D$21,"",ROUND(INDEX('ON ROAD RETURN'!$H$4:$H$167,MATCH(71,'ON ROAD RETURN'!$N$4:$N$167,0)),2))</f>
        <v/>
      </c>
    </row>
    <row r="105" spans="1:13" x14ac:dyDescent="0.25">
      <c r="A105" s="2" t="str">
        <f>IF(72&gt;$D$21,"",INDEX('ON ROAD RETURN'!$L$4:$L$167,MATCH(72,'ON ROAD RETURN'!$N$4:$N$167,0)))</f>
        <v/>
      </c>
      <c r="C105" s="2" t="str">
        <f>IF(72&gt;$D$21,"",INDEX('ON ROAD RETURN'!$M$4:$M$167,MATCH(72,'ON ROAD RETURN'!$N$4:$N$167,0)))</f>
        <v/>
      </c>
      <c r="I105" s="15" t="str">
        <f>IF(72&gt;$D$21,"",INDEX('ON ROAD RETURN'!$D$4:$D$167,MATCH(72,'ON ROAD RETURN'!$N$4:$N$167,0)))</f>
        <v/>
      </c>
      <c r="J105" s="15" t="str">
        <f>IF(72&gt;$D$21,"",INDEX('ON ROAD RETURN'!$E$4:$E$167,MATCH(72,'ON ROAD RETURN'!$N$4:$N$167,0)))</f>
        <v/>
      </c>
      <c r="L105" s="12" t="str">
        <f>IF(72&gt;$D$21,"",INDEX('ON ROAD RETURN'!$C$4:$C$167,MATCH(72,'ON ROAD RETURN'!$N$4:$N$167,0)))</f>
        <v/>
      </c>
      <c r="M105" s="7" t="str">
        <f>IF(72&gt;$D$21,"",ROUND(INDEX('ON ROAD RETURN'!$H$4:$H$167,MATCH(72,'ON ROAD RETURN'!$N$4:$N$167,0)),2))</f>
        <v/>
      </c>
    </row>
    <row r="106" spans="1:13" x14ac:dyDescent="0.25">
      <c r="A106" s="2" t="str">
        <f>IF(73&gt;$D$21,"",INDEX('ON ROAD RETURN'!$L$4:$L$167,MATCH(73,'ON ROAD RETURN'!$N$4:$N$167,0)))</f>
        <v/>
      </c>
      <c r="C106" s="2" t="str">
        <f>IF(73&gt;$D$21,"",INDEX('ON ROAD RETURN'!$M$4:$M$167,MATCH(73,'ON ROAD RETURN'!$N$4:$N$167,0)))</f>
        <v/>
      </c>
      <c r="I106" s="15" t="str">
        <f>IF(73&gt;$D$21,"",INDEX('ON ROAD RETURN'!$D$4:$D$167,MATCH(73,'ON ROAD RETURN'!$N$4:$N$167,0)))</f>
        <v/>
      </c>
      <c r="J106" s="15" t="str">
        <f>IF(73&gt;$D$21,"",INDEX('ON ROAD RETURN'!$E$4:$E$167,MATCH(73,'ON ROAD RETURN'!$N$4:$N$167,0)))</f>
        <v/>
      </c>
      <c r="L106" s="12" t="str">
        <f>IF(73&gt;$D$21,"",INDEX('ON ROAD RETURN'!$C$4:$C$167,MATCH(73,'ON ROAD RETURN'!$N$4:$N$167,0)))</f>
        <v/>
      </c>
      <c r="M106" s="7" t="str">
        <f>IF(73&gt;$D$21,"",ROUND(INDEX('ON ROAD RETURN'!$H$4:$H$167,MATCH(73,'ON ROAD RETURN'!$N$4:$N$167,0)),2))</f>
        <v/>
      </c>
    </row>
    <row r="107" spans="1:13" x14ac:dyDescent="0.25">
      <c r="A107" s="2" t="str">
        <f>IF(74&gt;$D$21,"",INDEX('ON ROAD RETURN'!$L$4:$L$167,MATCH(74,'ON ROAD RETURN'!$N$4:$N$167,0)))</f>
        <v/>
      </c>
      <c r="C107" s="2" t="str">
        <f>IF(74&gt;$D$21,"",INDEX('ON ROAD RETURN'!$M$4:$M$167,MATCH(74,'ON ROAD RETURN'!$N$4:$N$167,0)))</f>
        <v/>
      </c>
      <c r="I107" s="15" t="str">
        <f>IF(74&gt;$D$21,"",INDEX('ON ROAD RETURN'!$D$4:$D$167,MATCH(74,'ON ROAD RETURN'!$N$4:$N$167,0)))</f>
        <v/>
      </c>
      <c r="J107" s="15" t="str">
        <f>IF(74&gt;$D$21,"",INDEX('ON ROAD RETURN'!$E$4:$E$167,MATCH(74,'ON ROAD RETURN'!$N$4:$N$167,0)))</f>
        <v/>
      </c>
      <c r="L107" s="12" t="str">
        <f>IF(74&gt;$D$21,"",INDEX('ON ROAD RETURN'!$C$4:$C$167,MATCH(74,'ON ROAD RETURN'!$N$4:$N$167,0)))</f>
        <v/>
      </c>
      <c r="M107" s="7" t="str">
        <f>IF(74&gt;$D$21,"",ROUND(INDEX('ON ROAD RETURN'!$H$4:$H$167,MATCH(74,'ON ROAD RETURN'!$N$4:$N$167,0)),2))</f>
        <v/>
      </c>
    </row>
    <row r="108" spans="1:13" x14ac:dyDescent="0.25">
      <c r="A108" s="2" t="str">
        <f>IF(75&gt;$D$21,"",INDEX('ON ROAD RETURN'!$L$4:$L$167,MATCH(75,'ON ROAD RETURN'!$N$4:$N$167,0)))</f>
        <v/>
      </c>
      <c r="C108" s="2" t="str">
        <f>IF(75&gt;$D$21,"",INDEX('ON ROAD RETURN'!$M$4:$M$167,MATCH(75,'ON ROAD RETURN'!$N$4:$N$167,0)))</f>
        <v/>
      </c>
      <c r="I108" s="15" t="str">
        <f>IF(75&gt;$D$21,"",INDEX('ON ROAD RETURN'!$D$4:$D$167,MATCH(75,'ON ROAD RETURN'!$N$4:$N$167,0)))</f>
        <v/>
      </c>
      <c r="J108" s="15" t="str">
        <f>IF(75&gt;$D$21,"",INDEX('ON ROAD RETURN'!$E$4:$E$167,MATCH(75,'ON ROAD RETURN'!$N$4:$N$167,0)))</f>
        <v/>
      </c>
      <c r="L108" s="12" t="str">
        <f>IF(75&gt;$D$21,"",INDEX('ON ROAD RETURN'!$C$4:$C$167,MATCH(75,'ON ROAD RETURN'!$N$4:$N$167,0)))</f>
        <v/>
      </c>
      <c r="M108" s="7" t="str">
        <f>IF(75&gt;$D$21,"",ROUND(INDEX('ON ROAD RETURN'!$H$4:$H$167,MATCH(75,'ON ROAD RETURN'!$N$4:$N$167,0)),2))</f>
        <v/>
      </c>
    </row>
    <row r="109" spans="1:13" x14ac:dyDescent="0.25">
      <c r="A109" s="2" t="str">
        <f>IF(76&gt;$D$21,"",INDEX('ON ROAD RETURN'!$L$4:$L$167,MATCH(76,'ON ROAD RETURN'!$N$4:$N$167,0)))</f>
        <v/>
      </c>
      <c r="C109" s="2" t="str">
        <f>IF(76&gt;$D$21,"",INDEX('ON ROAD RETURN'!$M$4:$M$167,MATCH(76,'ON ROAD RETURN'!$N$4:$N$167,0)))</f>
        <v/>
      </c>
      <c r="I109" s="15" t="str">
        <f>IF(76&gt;$D$21,"",INDEX('ON ROAD RETURN'!$D$4:$D$167,MATCH(76,'ON ROAD RETURN'!$N$4:$N$167,0)))</f>
        <v/>
      </c>
      <c r="J109" s="15" t="str">
        <f>IF(76&gt;$D$21,"",INDEX('ON ROAD RETURN'!$E$4:$E$167,MATCH(76,'ON ROAD RETURN'!$N$4:$N$167,0)))</f>
        <v/>
      </c>
      <c r="L109" s="12" t="str">
        <f>IF(76&gt;$D$21,"",INDEX('ON ROAD RETURN'!$C$4:$C$167,MATCH(76,'ON ROAD RETURN'!$N$4:$N$167,0)))</f>
        <v/>
      </c>
      <c r="M109" s="7" t="str">
        <f>IF(76&gt;$D$21,"",ROUND(INDEX('ON ROAD RETURN'!$H$4:$H$167,MATCH(76,'ON ROAD RETURN'!$N$4:$N$167,0)),2))</f>
        <v/>
      </c>
    </row>
    <row r="110" spans="1:13" x14ac:dyDescent="0.25">
      <c r="A110" s="2" t="str">
        <f>IF(77&gt;$D$21,"",INDEX('ON ROAD RETURN'!$L$4:$L$167,MATCH(77,'ON ROAD RETURN'!$N$4:$N$167,0)))</f>
        <v/>
      </c>
      <c r="C110" s="2" t="str">
        <f>IF(77&gt;$D$21,"",INDEX('ON ROAD RETURN'!$M$4:$M$167,MATCH(77,'ON ROAD RETURN'!$N$4:$N$167,0)))</f>
        <v/>
      </c>
      <c r="I110" s="15" t="str">
        <f>IF(77&gt;$D$21,"",INDEX('ON ROAD RETURN'!$D$4:$D$167,MATCH(77,'ON ROAD RETURN'!$N$4:$N$167,0)))</f>
        <v/>
      </c>
      <c r="J110" s="15" t="str">
        <f>IF(77&gt;$D$21,"",INDEX('ON ROAD RETURN'!$E$4:$E$167,MATCH(77,'ON ROAD RETURN'!$N$4:$N$167,0)))</f>
        <v/>
      </c>
      <c r="L110" s="12" t="str">
        <f>IF(77&gt;$D$21,"",INDEX('ON ROAD RETURN'!$C$4:$C$167,MATCH(77,'ON ROAD RETURN'!$N$4:$N$167,0)))</f>
        <v/>
      </c>
      <c r="M110" s="7" t="str">
        <f>IF(77&gt;$D$21,"",ROUND(INDEX('ON ROAD RETURN'!$H$4:$H$167,MATCH(77,'ON ROAD RETURN'!$N$4:$N$167,0)),2))</f>
        <v/>
      </c>
    </row>
    <row r="111" spans="1:13" x14ac:dyDescent="0.25">
      <c r="A111" s="2" t="str">
        <f>IF(78&gt;$D$21,"",INDEX('ON ROAD RETURN'!$L$4:$L$167,MATCH(78,'ON ROAD RETURN'!$N$4:$N$167,0)))</f>
        <v/>
      </c>
      <c r="C111" s="2" t="str">
        <f>IF(78&gt;$D$21,"",INDEX('ON ROAD RETURN'!$M$4:$M$167,MATCH(78,'ON ROAD RETURN'!$N$4:$N$167,0)))</f>
        <v/>
      </c>
      <c r="I111" s="15" t="str">
        <f>IF(78&gt;$D$21,"",INDEX('ON ROAD RETURN'!$D$4:$D$167,MATCH(78,'ON ROAD RETURN'!$N$4:$N$167,0)))</f>
        <v/>
      </c>
      <c r="J111" s="15" t="str">
        <f>IF(78&gt;$D$21,"",INDEX('ON ROAD RETURN'!$E$4:$E$167,MATCH(78,'ON ROAD RETURN'!$N$4:$N$167,0)))</f>
        <v/>
      </c>
      <c r="L111" s="12" t="str">
        <f>IF(78&gt;$D$21,"",INDEX('ON ROAD RETURN'!$C$4:$C$167,MATCH(78,'ON ROAD RETURN'!$N$4:$N$167,0)))</f>
        <v/>
      </c>
      <c r="M111" s="7" t="str">
        <f>IF(78&gt;$D$21,"",ROUND(INDEX('ON ROAD RETURN'!$H$4:$H$167,MATCH(78,'ON ROAD RETURN'!$N$4:$N$167,0)),2))</f>
        <v/>
      </c>
    </row>
    <row r="112" spans="1:13" x14ac:dyDescent="0.25">
      <c r="A112" s="2" t="str">
        <f>IF(79&gt;$D$21,"",INDEX('ON ROAD RETURN'!$L$4:$L$167,MATCH(79,'ON ROAD RETURN'!$N$4:$N$167,0)))</f>
        <v/>
      </c>
      <c r="C112" s="2" t="str">
        <f>IF(79&gt;$D$21,"",INDEX('ON ROAD RETURN'!$M$4:$M$167,MATCH(79,'ON ROAD RETURN'!$N$4:$N$167,0)))</f>
        <v/>
      </c>
      <c r="I112" s="15" t="str">
        <f>IF(79&gt;$D$21,"",INDEX('ON ROAD RETURN'!$D$4:$D$167,MATCH(79,'ON ROAD RETURN'!$N$4:$N$167,0)))</f>
        <v/>
      </c>
      <c r="J112" s="15" t="str">
        <f>IF(79&gt;$D$21,"",INDEX('ON ROAD RETURN'!$E$4:$E$167,MATCH(79,'ON ROAD RETURN'!$N$4:$N$167,0)))</f>
        <v/>
      </c>
      <c r="L112" s="12" t="str">
        <f>IF(79&gt;$D$21,"",INDEX('ON ROAD RETURN'!$C$4:$C$167,MATCH(79,'ON ROAD RETURN'!$N$4:$N$167,0)))</f>
        <v/>
      </c>
      <c r="M112" s="7" t="str">
        <f>IF(79&gt;$D$21,"",ROUND(INDEX('ON ROAD RETURN'!$H$4:$H$167,MATCH(79,'ON ROAD RETURN'!$N$4:$N$167,0)),2))</f>
        <v/>
      </c>
    </row>
    <row r="113" spans="1:13" x14ac:dyDescent="0.25">
      <c r="A113" s="2" t="str">
        <f>IF(80&gt;$D$21,"",INDEX('ON ROAD RETURN'!$L$4:$L$167,MATCH(80,'ON ROAD RETURN'!$N$4:$N$167,0)))</f>
        <v/>
      </c>
      <c r="C113" s="2" t="str">
        <f>IF(80&gt;$D$21,"",INDEX('ON ROAD RETURN'!$M$4:$M$167,MATCH(80,'ON ROAD RETURN'!$N$4:$N$167,0)))</f>
        <v/>
      </c>
      <c r="I113" s="15" t="str">
        <f>IF(80&gt;$D$21,"",INDEX('ON ROAD RETURN'!$D$4:$D$167,MATCH(80,'ON ROAD RETURN'!$N$4:$N$167,0)))</f>
        <v/>
      </c>
      <c r="J113" s="15" t="str">
        <f>IF(80&gt;$D$21,"",INDEX('ON ROAD RETURN'!$E$4:$E$167,MATCH(80,'ON ROAD RETURN'!$N$4:$N$167,0)))</f>
        <v/>
      </c>
      <c r="L113" s="12" t="str">
        <f>IF(80&gt;$D$21,"",INDEX('ON ROAD RETURN'!$C$4:$C$167,MATCH(80,'ON ROAD RETURN'!$N$4:$N$167,0)))</f>
        <v/>
      </c>
      <c r="M113" s="7" t="str">
        <f>IF(80&gt;$D$21,"",ROUND(INDEX('ON ROAD RETURN'!$H$4:$H$167,MATCH(80,'ON ROAD RETURN'!$N$4:$N$167,0)),2))</f>
        <v/>
      </c>
    </row>
    <row r="114" spans="1:13" x14ac:dyDescent="0.25">
      <c r="A114" s="2" t="str">
        <f>IF(81&gt;$D$21,"",INDEX('ON ROAD RETURN'!$L$4:$L$167,MATCH(81,'ON ROAD RETURN'!$N$4:$N$167,0)))</f>
        <v/>
      </c>
      <c r="C114" s="2" t="str">
        <f>IF(81&gt;$D$21,"",INDEX('ON ROAD RETURN'!$M$4:$M$167,MATCH(81,'ON ROAD RETURN'!$N$4:$N$167,0)))</f>
        <v/>
      </c>
      <c r="I114" s="15" t="str">
        <f>IF(81&gt;$D$21,"",INDEX('ON ROAD RETURN'!$D$4:$D$167,MATCH(81,'ON ROAD RETURN'!$N$4:$N$167,0)))</f>
        <v/>
      </c>
      <c r="J114" s="15" t="str">
        <f>IF(81&gt;$D$21,"",INDEX('ON ROAD RETURN'!$E$4:$E$167,MATCH(81,'ON ROAD RETURN'!$N$4:$N$167,0)))</f>
        <v/>
      </c>
      <c r="L114" s="12" t="str">
        <f>IF(81&gt;$D$21,"",INDEX('ON ROAD RETURN'!$C$4:$C$167,MATCH(81,'ON ROAD RETURN'!$N$4:$N$167,0)))</f>
        <v/>
      </c>
      <c r="M114" s="7" t="str">
        <f>IF(81&gt;$D$21,"",ROUND(INDEX('ON ROAD RETURN'!$H$4:$H$167,MATCH(81,'ON ROAD RETURN'!$N$4:$N$167,0)),2))</f>
        <v/>
      </c>
    </row>
    <row r="115" spans="1:13" x14ac:dyDescent="0.25">
      <c r="A115" s="2" t="str">
        <f>IF(82&gt;$D$21,"",INDEX('ON ROAD RETURN'!$L$4:$L$167,MATCH(82,'ON ROAD RETURN'!$N$4:$N$167,0)))</f>
        <v/>
      </c>
      <c r="C115" s="2" t="str">
        <f>IF(82&gt;$D$21,"",INDEX('ON ROAD RETURN'!$M$4:$M$167,MATCH(82,'ON ROAD RETURN'!$N$4:$N$167,0)))</f>
        <v/>
      </c>
      <c r="I115" s="15" t="str">
        <f>IF(82&gt;$D$21,"",INDEX('ON ROAD RETURN'!$D$4:$D$167,MATCH(82,'ON ROAD RETURN'!$N$4:$N$167,0)))</f>
        <v/>
      </c>
      <c r="J115" s="15" t="str">
        <f>IF(82&gt;$D$21,"",INDEX('ON ROAD RETURN'!$E$4:$E$167,MATCH(82,'ON ROAD RETURN'!$N$4:$N$167,0)))</f>
        <v/>
      </c>
      <c r="L115" s="12" t="str">
        <f>IF(82&gt;$D$21,"",INDEX('ON ROAD RETURN'!$C$4:$C$167,MATCH(82,'ON ROAD RETURN'!$N$4:$N$167,0)))</f>
        <v/>
      </c>
      <c r="M115" s="7" t="str">
        <f>IF(82&gt;$D$21,"",ROUND(INDEX('ON ROAD RETURN'!$H$4:$H$167,MATCH(82,'ON ROAD RETURN'!$N$4:$N$167,0)),2))</f>
        <v/>
      </c>
    </row>
    <row r="116" spans="1:13" x14ac:dyDescent="0.25">
      <c r="A116" s="2" t="str">
        <f>IF(83&gt;$D$21,"",INDEX('ON ROAD RETURN'!$L$4:$L$167,MATCH(83,'ON ROAD RETURN'!$N$4:$N$167,0)))</f>
        <v/>
      </c>
      <c r="C116" s="2" t="str">
        <f>IF(83&gt;$D$21,"",INDEX('ON ROAD RETURN'!$M$4:$M$167,MATCH(83,'ON ROAD RETURN'!$N$4:$N$167,0)))</f>
        <v/>
      </c>
      <c r="I116" s="15" t="str">
        <f>IF(83&gt;$D$21,"",INDEX('ON ROAD RETURN'!$D$4:$D$167,MATCH(83,'ON ROAD RETURN'!$N$4:$N$167,0)))</f>
        <v/>
      </c>
      <c r="J116" s="15" t="str">
        <f>IF(83&gt;$D$21,"",INDEX('ON ROAD RETURN'!$E$4:$E$167,MATCH(83,'ON ROAD RETURN'!$N$4:$N$167,0)))</f>
        <v/>
      </c>
      <c r="L116" s="12" t="str">
        <f>IF(83&gt;$D$21,"",INDEX('ON ROAD RETURN'!$C$4:$C$167,MATCH(83,'ON ROAD RETURN'!$N$4:$N$167,0)))</f>
        <v/>
      </c>
      <c r="M116" s="7" t="str">
        <f>IF(83&gt;$D$21,"",ROUND(INDEX('ON ROAD RETURN'!$H$4:$H$167,MATCH(83,'ON ROAD RETURN'!$N$4:$N$167,0)),2))</f>
        <v/>
      </c>
    </row>
    <row r="117" spans="1:13" x14ac:dyDescent="0.25">
      <c r="A117" s="2" t="str">
        <f>IF(84&gt;$D$21,"",INDEX('ON ROAD RETURN'!$L$4:$L$167,MATCH(84,'ON ROAD RETURN'!$N$4:$N$167,0)))</f>
        <v/>
      </c>
      <c r="C117" s="2" t="str">
        <f>IF(84&gt;$D$21,"",INDEX('ON ROAD RETURN'!$M$4:$M$167,MATCH(84,'ON ROAD RETURN'!$N$4:$N$167,0)))</f>
        <v/>
      </c>
      <c r="I117" s="15" t="str">
        <f>IF(84&gt;$D$21,"",INDEX('ON ROAD RETURN'!$D$4:$D$167,MATCH(84,'ON ROAD RETURN'!$N$4:$N$167,0)))</f>
        <v/>
      </c>
      <c r="J117" s="15" t="str">
        <f>IF(84&gt;$D$21,"",INDEX('ON ROAD RETURN'!$E$4:$E$167,MATCH(84,'ON ROAD RETURN'!$N$4:$N$167,0)))</f>
        <v/>
      </c>
      <c r="L117" s="12" t="str">
        <f>IF(84&gt;$D$21,"",INDEX('ON ROAD RETURN'!$C$4:$C$167,MATCH(84,'ON ROAD RETURN'!$N$4:$N$167,0)))</f>
        <v/>
      </c>
      <c r="M117" s="7" t="str">
        <f>IF(84&gt;$D$21,"",ROUND(INDEX('ON ROAD RETURN'!$H$4:$H$167,MATCH(84,'ON ROAD RETURN'!$N$4:$N$167,0)),2))</f>
        <v/>
      </c>
    </row>
    <row r="118" spans="1:13" x14ac:dyDescent="0.25">
      <c r="A118" s="2" t="str">
        <f>IF(85&gt;$D$21,"",INDEX('ON ROAD RETURN'!$L$4:$L$167,MATCH(85,'ON ROAD RETURN'!$N$4:$N$167,0)))</f>
        <v/>
      </c>
      <c r="C118" s="2" t="str">
        <f>IF(85&gt;$D$21,"",INDEX('ON ROAD RETURN'!$M$4:$M$167,MATCH(85,'ON ROAD RETURN'!$N$4:$N$167,0)))</f>
        <v/>
      </c>
      <c r="I118" s="15" t="str">
        <f>IF(85&gt;$D$21,"",INDEX('ON ROAD RETURN'!$D$4:$D$167,MATCH(85,'ON ROAD RETURN'!$N$4:$N$167,0)))</f>
        <v/>
      </c>
      <c r="J118" s="15" t="str">
        <f>IF(85&gt;$D$21,"",INDEX('ON ROAD RETURN'!$E$4:$E$167,MATCH(85,'ON ROAD RETURN'!$N$4:$N$167,0)))</f>
        <v/>
      </c>
      <c r="L118" s="12" t="str">
        <f>IF(85&gt;$D$21,"",INDEX('ON ROAD RETURN'!$C$4:$C$167,MATCH(85,'ON ROAD RETURN'!$N$4:$N$167,0)))</f>
        <v/>
      </c>
      <c r="M118" s="7" t="str">
        <f>IF(85&gt;$D$21,"",ROUND(INDEX('ON ROAD RETURN'!$H$4:$H$167,MATCH(85,'ON ROAD RETURN'!$N$4:$N$167,0)),2))</f>
        <v/>
      </c>
    </row>
    <row r="119" spans="1:13" x14ac:dyDescent="0.25">
      <c r="A119" s="2" t="str">
        <f>IF(86&gt;$D$21,"",INDEX('ON ROAD RETURN'!$L$4:$L$167,MATCH(86,'ON ROAD RETURN'!$N$4:$N$167,0)))</f>
        <v/>
      </c>
      <c r="C119" s="2" t="str">
        <f>IF(86&gt;$D$21,"",INDEX('ON ROAD RETURN'!$M$4:$M$167,MATCH(86,'ON ROAD RETURN'!$N$4:$N$167,0)))</f>
        <v/>
      </c>
      <c r="I119" s="15" t="str">
        <f>IF(86&gt;$D$21,"",INDEX('ON ROAD RETURN'!$D$4:$D$167,MATCH(86,'ON ROAD RETURN'!$N$4:$N$167,0)))</f>
        <v/>
      </c>
      <c r="J119" s="15" t="str">
        <f>IF(86&gt;$D$21,"",INDEX('ON ROAD RETURN'!$E$4:$E$167,MATCH(86,'ON ROAD RETURN'!$N$4:$N$167,0)))</f>
        <v/>
      </c>
      <c r="L119" s="12" t="str">
        <f>IF(86&gt;$D$21,"",INDEX('ON ROAD RETURN'!$C$4:$C$167,MATCH(86,'ON ROAD RETURN'!$N$4:$N$167,0)))</f>
        <v/>
      </c>
      <c r="M119" s="7" t="str">
        <f>IF(86&gt;$D$21,"",ROUND(INDEX('ON ROAD RETURN'!$H$4:$H$167,MATCH(86,'ON ROAD RETURN'!$N$4:$N$167,0)),2))</f>
        <v/>
      </c>
    </row>
    <row r="120" spans="1:13" x14ac:dyDescent="0.25">
      <c r="A120" s="2" t="str">
        <f>IF(87&gt;$D$21,"",INDEX('ON ROAD RETURN'!$L$4:$L$167,MATCH(87,'ON ROAD RETURN'!$N$4:$N$167,0)))</f>
        <v/>
      </c>
      <c r="C120" s="2" t="str">
        <f>IF(87&gt;$D$21,"",INDEX('ON ROAD RETURN'!$M$4:$M$167,MATCH(87,'ON ROAD RETURN'!$N$4:$N$167,0)))</f>
        <v/>
      </c>
      <c r="I120" s="15" t="str">
        <f>IF(87&gt;$D$21,"",INDEX('ON ROAD RETURN'!$D$4:$D$167,MATCH(87,'ON ROAD RETURN'!$N$4:$N$167,0)))</f>
        <v/>
      </c>
      <c r="J120" s="15" t="str">
        <f>IF(87&gt;$D$21,"",INDEX('ON ROAD RETURN'!$E$4:$E$167,MATCH(87,'ON ROAD RETURN'!$N$4:$N$167,0)))</f>
        <v/>
      </c>
      <c r="L120" s="12" t="str">
        <f>IF(87&gt;$D$21,"",INDEX('ON ROAD RETURN'!$C$4:$C$167,MATCH(87,'ON ROAD RETURN'!$N$4:$N$167,0)))</f>
        <v/>
      </c>
      <c r="M120" s="7" t="str">
        <f>IF(87&gt;$D$21,"",ROUND(INDEX('ON ROAD RETURN'!$H$4:$H$167,MATCH(87,'ON ROAD RETURN'!$N$4:$N$167,0)),2))</f>
        <v/>
      </c>
    </row>
    <row r="121" spans="1:13" x14ac:dyDescent="0.25">
      <c r="A121" s="2" t="str">
        <f>IF(88&gt;$D$21,"",INDEX('ON ROAD RETURN'!$L$4:$L$167,MATCH(88,'ON ROAD RETURN'!$N$4:$N$167,0)))</f>
        <v/>
      </c>
      <c r="C121" s="2" t="str">
        <f>IF(88&gt;$D$21,"",INDEX('ON ROAD RETURN'!$M$4:$M$167,MATCH(88,'ON ROAD RETURN'!$N$4:$N$167,0)))</f>
        <v/>
      </c>
      <c r="I121" s="15" t="str">
        <f>IF(88&gt;$D$21,"",INDEX('ON ROAD RETURN'!$D$4:$D$167,MATCH(88,'ON ROAD RETURN'!$N$4:$N$167,0)))</f>
        <v/>
      </c>
      <c r="J121" s="15" t="str">
        <f>IF(88&gt;$D$21,"",INDEX('ON ROAD RETURN'!$E$4:$E$167,MATCH(88,'ON ROAD RETURN'!$N$4:$N$167,0)))</f>
        <v/>
      </c>
      <c r="L121" s="12" t="str">
        <f>IF(88&gt;$D$21,"",INDEX('ON ROAD RETURN'!$C$4:$C$167,MATCH(88,'ON ROAD RETURN'!$N$4:$N$167,0)))</f>
        <v/>
      </c>
      <c r="M121" s="7" t="str">
        <f>IF(88&gt;$D$21,"",ROUND(INDEX('ON ROAD RETURN'!$H$4:$H$167,MATCH(88,'ON ROAD RETURN'!$N$4:$N$167,0)),2))</f>
        <v/>
      </c>
    </row>
    <row r="122" spans="1:13" x14ac:dyDescent="0.25">
      <c r="A122" s="2" t="str">
        <f>IF(89&gt;$D$21,"",INDEX('ON ROAD RETURN'!$L$4:$L$167,MATCH(89,'ON ROAD RETURN'!$N$4:$N$167,0)))</f>
        <v/>
      </c>
      <c r="C122" s="2" t="str">
        <f>IF(89&gt;$D$21,"",INDEX('ON ROAD RETURN'!$M$4:$M$167,MATCH(89,'ON ROAD RETURN'!$N$4:$N$167,0)))</f>
        <v/>
      </c>
      <c r="I122" s="15" t="str">
        <f>IF(89&gt;$D$21,"",INDEX('ON ROAD RETURN'!$D$4:$D$167,MATCH(89,'ON ROAD RETURN'!$N$4:$N$167,0)))</f>
        <v/>
      </c>
      <c r="J122" s="15" t="str">
        <f>IF(89&gt;$D$21,"",INDEX('ON ROAD RETURN'!$E$4:$E$167,MATCH(89,'ON ROAD RETURN'!$N$4:$N$167,0)))</f>
        <v/>
      </c>
      <c r="L122" s="12" t="str">
        <f>IF(89&gt;$D$21,"",INDEX('ON ROAD RETURN'!$C$4:$C$167,MATCH(89,'ON ROAD RETURN'!$N$4:$N$167,0)))</f>
        <v/>
      </c>
      <c r="M122" s="7" t="str">
        <f>IF(89&gt;$D$21,"",ROUND(INDEX('ON ROAD RETURN'!$H$4:$H$167,MATCH(89,'ON ROAD RETURN'!$N$4:$N$167,0)),2))</f>
        <v/>
      </c>
    </row>
    <row r="123" spans="1:13" x14ac:dyDescent="0.25">
      <c r="A123" s="2" t="str">
        <f>IF(90&gt;$D$21,"",INDEX('ON ROAD RETURN'!$L$4:$L$167,MATCH(90,'ON ROAD RETURN'!$N$4:$N$167,0)))</f>
        <v/>
      </c>
      <c r="C123" s="2" t="str">
        <f>IF(90&gt;$D$21,"",INDEX('ON ROAD RETURN'!$M$4:$M$167,MATCH(90,'ON ROAD RETURN'!$N$4:$N$167,0)))</f>
        <v/>
      </c>
      <c r="I123" s="15" t="str">
        <f>IF(90&gt;$D$21,"",INDEX('ON ROAD RETURN'!$D$4:$D$167,MATCH(90,'ON ROAD RETURN'!$N$4:$N$167,0)))</f>
        <v/>
      </c>
      <c r="J123" s="15" t="str">
        <f>IF(90&gt;$D$21,"",INDEX('ON ROAD RETURN'!$E$4:$E$167,MATCH(90,'ON ROAD RETURN'!$N$4:$N$167,0)))</f>
        <v/>
      </c>
      <c r="L123" s="12" t="str">
        <f>IF(90&gt;$D$21,"",INDEX('ON ROAD RETURN'!$C$4:$C$167,MATCH(90,'ON ROAD RETURN'!$N$4:$N$167,0)))</f>
        <v/>
      </c>
      <c r="M123" s="7" t="str">
        <f>IF(90&gt;$D$21,"",ROUND(INDEX('ON ROAD RETURN'!$H$4:$H$167,MATCH(90,'ON ROAD RETURN'!$N$4:$N$167,0)),2))</f>
        <v/>
      </c>
    </row>
    <row r="124" spans="1:13" x14ac:dyDescent="0.25">
      <c r="A124" s="2" t="str">
        <f>IF(91&gt;$D$21,"",INDEX('ON ROAD RETURN'!$L$4:$L$167,MATCH(91,'ON ROAD RETURN'!$N$4:$N$167,0)))</f>
        <v/>
      </c>
      <c r="C124" s="2" t="str">
        <f>IF(91&gt;$D$21,"",INDEX('ON ROAD RETURN'!$M$4:$M$167,MATCH(91,'ON ROAD RETURN'!$N$4:$N$167,0)))</f>
        <v/>
      </c>
      <c r="I124" s="15" t="str">
        <f>IF(91&gt;$D$21,"",INDEX('ON ROAD RETURN'!$D$4:$D$167,MATCH(91,'ON ROAD RETURN'!$N$4:$N$167,0)))</f>
        <v/>
      </c>
      <c r="J124" s="15" t="str">
        <f>IF(91&gt;$D$21,"",INDEX('ON ROAD RETURN'!$E$4:$E$167,MATCH(91,'ON ROAD RETURN'!$N$4:$N$167,0)))</f>
        <v/>
      </c>
      <c r="L124" s="12" t="str">
        <f>IF(91&gt;$D$21,"",INDEX('ON ROAD RETURN'!$C$4:$C$167,MATCH(91,'ON ROAD RETURN'!$N$4:$N$167,0)))</f>
        <v/>
      </c>
      <c r="M124" s="7" t="str">
        <f>IF(91&gt;$D$21,"",ROUND(INDEX('ON ROAD RETURN'!$H$4:$H$167,MATCH(91,'ON ROAD RETURN'!$N$4:$N$167,0)),2))</f>
        <v/>
      </c>
    </row>
    <row r="125" spans="1:13" x14ac:dyDescent="0.25">
      <c r="A125" s="2" t="str">
        <f>IF(92&gt;$D$21,"",INDEX('ON ROAD RETURN'!$L$4:$L$167,MATCH(92,'ON ROAD RETURN'!$N$4:$N$167,0)))</f>
        <v/>
      </c>
      <c r="C125" s="2" t="str">
        <f>IF(92&gt;$D$21,"",INDEX('ON ROAD RETURN'!$M$4:$M$167,MATCH(92,'ON ROAD RETURN'!$N$4:$N$167,0)))</f>
        <v/>
      </c>
      <c r="I125" s="15" t="str">
        <f>IF(92&gt;$D$21,"",INDEX('ON ROAD RETURN'!$D$4:$D$167,MATCH(92,'ON ROAD RETURN'!$N$4:$N$167,0)))</f>
        <v/>
      </c>
      <c r="J125" s="15" t="str">
        <f>IF(92&gt;$D$21,"",INDEX('ON ROAD RETURN'!$E$4:$E$167,MATCH(92,'ON ROAD RETURN'!$N$4:$N$167,0)))</f>
        <v/>
      </c>
      <c r="L125" s="12" t="str">
        <f>IF(92&gt;$D$21,"",INDEX('ON ROAD RETURN'!$C$4:$C$167,MATCH(92,'ON ROAD RETURN'!$N$4:$N$167,0)))</f>
        <v/>
      </c>
      <c r="M125" s="7" t="str">
        <f>IF(92&gt;$D$21,"",ROUND(INDEX('ON ROAD RETURN'!$H$4:$H$167,MATCH(92,'ON ROAD RETURN'!$N$4:$N$167,0)),2))</f>
        <v/>
      </c>
    </row>
    <row r="126" spans="1:13" x14ac:dyDescent="0.25">
      <c r="A126" s="2" t="str">
        <f>IF(93&gt;$D$21,"",INDEX('ON ROAD RETURN'!$L$4:$L$167,MATCH(93,'ON ROAD RETURN'!$N$4:$N$167,0)))</f>
        <v/>
      </c>
      <c r="C126" s="2" t="str">
        <f>IF(93&gt;$D$21,"",INDEX('ON ROAD RETURN'!$M$4:$M$167,MATCH(93,'ON ROAD RETURN'!$N$4:$N$167,0)))</f>
        <v/>
      </c>
      <c r="I126" s="15" t="str">
        <f>IF(93&gt;$D$21,"",INDEX('ON ROAD RETURN'!$D$4:$D$167,MATCH(93,'ON ROAD RETURN'!$N$4:$N$167,0)))</f>
        <v/>
      </c>
      <c r="J126" s="15" t="str">
        <f>IF(93&gt;$D$21,"",INDEX('ON ROAD RETURN'!$E$4:$E$167,MATCH(93,'ON ROAD RETURN'!$N$4:$N$167,0)))</f>
        <v/>
      </c>
      <c r="L126" s="12" t="str">
        <f>IF(93&gt;$D$21,"",INDEX('ON ROAD RETURN'!$C$4:$C$167,MATCH(93,'ON ROAD RETURN'!$N$4:$N$167,0)))</f>
        <v/>
      </c>
      <c r="M126" s="7" t="str">
        <f>IF(93&gt;$D$21,"",ROUND(INDEX('ON ROAD RETURN'!$H$4:$H$167,MATCH(93,'ON ROAD RETURN'!$N$4:$N$167,0)),2))</f>
        <v/>
      </c>
    </row>
    <row r="127" spans="1:13" x14ac:dyDescent="0.25">
      <c r="A127" s="2" t="str">
        <f>IF(94&gt;$D$21,"",INDEX('ON ROAD RETURN'!$L$4:$L$167,MATCH(94,'ON ROAD RETURN'!$N$4:$N$167,0)))</f>
        <v/>
      </c>
      <c r="C127" s="2" t="str">
        <f>IF(94&gt;$D$21,"",INDEX('ON ROAD RETURN'!$M$4:$M$167,MATCH(94,'ON ROAD RETURN'!$N$4:$N$167,0)))</f>
        <v/>
      </c>
      <c r="I127" s="15" t="str">
        <f>IF(94&gt;$D$21,"",INDEX('ON ROAD RETURN'!$D$4:$D$167,MATCH(94,'ON ROAD RETURN'!$N$4:$N$167,0)))</f>
        <v/>
      </c>
      <c r="J127" s="15" t="str">
        <f>IF(94&gt;$D$21,"",INDEX('ON ROAD RETURN'!$E$4:$E$167,MATCH(94,'ON ROAD RETURN'!$N$4:$N$167,0)))</f>
        <v/>
      </c>
      <c r="L127" s="12" t="str">
        <f>IF(94&gt;$D$21,"",INDEX('ON ROAD RETURN'!$C$4:$C$167,MATCH(94,'ON ROAD RETURN'!$N$4:$N$167,0)))</f>
        <v/>
      </c>
      <c r="M127" s="7" t="str">
        <f>IF(94&gt;$D$21,"",ROUND(INDEX('ON ROAD RETURN'!$H$4:$H$167,MATCH(94,'ON ROAD RETURN'!$N$4:$N$167,0)),2))</f>
        <v/>
      </c>
    </row>
    <row r="128" spans="1:13" x14ac:dyDescent="0.25">
      <c r="A128" s="2" t="str">
        <f>IF(95&gt;$D$21,"",INDEX('ON ROAD RETURN'!$L$4:$L$167,MATCH(95,'ON ROAD RETURN'!$N$4:$N$167,0)))</f>
        <v/>
      </c>
      <c r="C128" s="2" t="str">
        <f>IF(95&gt;$D$21,"",INDEX('ON ROAD RETURN'!$M$4:$M$167,MATCH(95,'ON ROAD RETURN'!$N$4:$N$167,0)))</f>
        <v/>
      </c>
      <c r="I128" s="15" t="str">
        <f>IF(95&gt;$D$21,"",INDEX('ON ROAD RETURN'!$D$4:$D$167,MATCH(95,'ON ROAD RETURN'!$N$4:$N$167,0)))</f>
        <v/>
      </c>
      <c r="J128" s="15" t="str">
        <f>IF(95&gt;$D$21,"",INDEX('ON ROAD RETURN'!$E$4:$E$167,MATCH(95,'ON ROAD RETURN'!$N$4:$N$167,0)))</f>
        <v/>
      </c>
      <c r="L128" s="12" t="str">
        <f>IF(95&gt;$D$21,"",INDEX('ON ROAD RETURN'!$C$4:$C$167,MATCH(95,'ON ROAD RETURN'!$N$4:$N$167,0)))</f>
        <v/>
      </c>
      <c r="M128" s="7" t="str">
        <f>IF(95&gt;$D$21,"",ROUND(INDEX('ON ROAD RETURN'!$H$4:$H$167,MATCH(95,'ON ROAD RETURN'!$N$4:$N$167,0)),2))</f>
        <v/>
      </c>
    </row>
    <row r="129" spans="1:13" x14ac:dyDescent="0.25">
      <c r="A129" s="2" t="str">
        <f>IF(96&gt;$D$21,"",INDEX('ON ROAD RETURN'!$L$4:$L$167,MATCH(96,'ON ROAD RETURN'!$N$4:$N$167,0)))</f>
        <v/>
      </c>
      <c r="C129" s="2" t="str">
        <f>IF(96&gt;$D$21,"",INDEX('ON ROAD RETURN'!$M$4:$M$167,MATCH(96,'ON ROAD RETURN'!$N$4:$N$167,0)))</f>
        <v/>
      </c>
      <c r="I129" s="15" t="str">
        <f>IF(96&gt;$D$21,"",INDEX('ON ROAD RETURN'!$D$4:$D$167,MATCH(96,'ON ROAD RETURN'!$N$4:$N$167,0)))</f>
        <v/>
      </c>
      <c r="J129" s="15" t="str">
        <f>IF(96&gt;$D$21,"",INDEX('ON ROAD RETURN'!$E$4:$E$167,MATCH(96,'ON ROAD RETURN'!$N$4:$N$167,0)))</f>
        <v/>
      </c>
      <c r="L129" s="12" t="str">
        <f>IF(96&gt;$D$21,"",INDEX('ON ROAD RETURN'!$C$4:$C$167,MATCH(96,'ON ROAD RETURN'!$N$4:$N$167,0)))</f>
        <v/>
      </c>
      <c r="M129" s="7" t="str">
        <f>IF(96&gt;$D$21,"",ROUND(INDEX('ON ROAD RETURN'!$H$4:$H$167,MATCH(96,'ON ROAD RETURN'!$N$4:$N$167,0)),2))</f>
        <v/>
      </c>
    </row>
    <row r="130" spans="1:13" x14ac:dyDescent="0.25">
      <c r="A130" s="2" t="str">
        <f>IF(97&gt;$D$21,"",INDEX('ON ROAD RETURN'!$L$4:$L$167,MATCH(97,'ON ROAD RETURN'!$N$4:$N$167,0)))</f>
        <v/>
      </c>
      <c r="C130" s="2" t="str">
        <f>IF(97&gt;$D$21,"",INDEX('ON ROAD RETURN'!$M$4:$M$167,MATCH(97,'ON ROAD RETURN'!$N$4:$N$167,0)))</f>
        <v/>
      </c>
      <c r="I130" s="15" t="str">
        <f>IF(97&gt;$D$21,"",INDEX('ON ROAD RETURN'!$D$4:$D$167,MATCH(97,'ON ROAD RETURN'!$N$4:$N$167,0)))</f>
        <v/>
      </c>
      <c r="J130" s="15" t="str">
        <f>IF(97&gt;$D$21,"",INDEX('ON ROAD RETURN'!$E$4:$E$167,MATCH(97,'ON ROAD RETURN'!$N$4:$N$167,0)))</f>
        <v/>
      </c>
      <c r="L130" s="12" t="str">
        <f>IF(97&gt;$D$21,"",INDEX('ON ROAD RETURN'!$C$4:$C$167,MATCH(97,'ON ROAD RETURN'!$N$4:$N$167,0)))</f>
        <v/>
      </c>
      <c r="M130" s="7" t="str">
        <f>IF(97&gt;$D$21,"",ROUND(INDEX('ON ROAD RETURN'!$H$4:$H$167,MATCH(97,'ON ROAD RETURN'!$N$4:$N$167,0)),2))</f>
        <v/>
      </c>
    </row>
    <row r="131" spans="1:13" x14ac:dyDescent="0.25">
      <c r="A131" s="2" t="str">
        <f>IF(98&gt;$D$21,"",INDEX('ON ROAD RETURN'!$L$4:$L$167,MATCH(98,'ON ROAD RETURN'!$N$4:$N$167,0)))</f>
        <v/>
      </c>
      <c r="C131" s="2" t="str">
        <f>IF(98&gt;$D$21,"",INDEX('ON ROAD RETURN'!$M$4:$M$167,MATCH(98,'ON ROAD RETURN'!$N$4:$N$167,0)))</f>
        <v/>
      </c>
      <c r="I131" s="15" t="str">
        <f>IF(98&gt;$D$21,"",INDEX('ON ROAD RETURN'!$D$4:$D$167,MATCH(98,'ON ROAD RETURN'!$N$4:$N$167,0)))</f>
        <v/>
      </c>
      <c r="J131" s="15" t="str">
        <f>IF(98&gt;$D$21,"",INDEX('ON ROAD RETURN'!$E$4:$E$167,MATCH(98,'ON ROAD RETURN'!$N$4:$N$167,0)))</f>
        <v/>
      </c>
      <c r="L131" s="12" t="str">
        <f>IF(98&gt;$D$21,"",INDEX('ON ROAD RETURN'!$C$4:$C$167,MATCH(98,'ON ROAD RETURN'!$N$4:$N$167,0)))</f>
        <v/>
      </c>
      <c r="M131" s="7" t="str">
        <f>IF(98&gt;$D$21,"",ROUND(INDEX('ON ROAD RETURN'!$H$4:$H$167,MATCH(98,'ON ROAD RETURN'!$N$4:$N$167,0)),2))</f>
        <v/>
      </c>
    </row>
    <row r="132" spans="1:13" x14ac:dyDescent="0.25">
      <c r="A132" s="2" t="str">
        <f>IF(99&gt;$D$21,"",INDEX('ON ROAD RETURN'!$L$4:$L$167,MATCH(99,'ON ROAD RETURN'!$N$4:$N$167,0)))</f>
        <v/>
      </c>
      <c r="C132" s="2" t="str">
        <f>IF(99&gt;$D$21,"",INDEX('ON ROAD RETURN'!$M$4:$M$167,MATCH(99,'ON ROAD RETURN'!$N$4:$N$167,0)))</f>
        <v/>
      </c>
      <c r="I132" s="15" t="str">
        <f>IF(99&gt;$D$21,"",INDEX('ON ROAD RETURN'!$D$4:$D$167,MATCH(99,'ON ROAD RETURN'!$N$4:$N$167,0)))</f>
        <v/>
      </c>
      <c r="J132" s="15" t="str">
        <f>IF(99&gt;$D$21,"",INDEX('ON ROAD RETURN'!$E$4:$E$167,MATCH(99,'ON ROAD RETURN'!$N$4:$N$167,0)))</f>
        <v/>
      </c>
      <c r="L132" s="12" t="str">
        <f>IF(99&gt;$D$21,"",INDEX('ON ROAD RETURN'!$C$4:$C$167,MATCH(99,'ON ROAD RETURN'!$N$4:$N$167,0)))</f>
        <v/>
      </c>
      <c r="M132" s="7" t="str">
        <f>IF(99&gt;$D$21,"",ROUND(INDEX('ON ROAD RETURN'!$H$4:$H$167,MATCH(99,'ON ROAD RETURN'!$N$4:$N$167,0)),2))</f>
        <v/>
      </c>
    </row>
    <row r="133" spans="1:13" x14ac:dyDescent="0.25">
      <c r="A133" s="2" t="str">
        <f>IF(100&gt;$D$21,"",INDEX('ON ROAD RETURN'!$L$4:$L$167,MATCH(100,'ON ROAD RETURN'!$N$4:$N$167,0)))</f>
        <v/>
      </c>
      <c r="C133" s="2" t="str">
        <f>IF(100&gt;$D$21,"",INDEX('ON ROAD RETURN'!$M$4:$M$167,MATCH(100,'ON ROAD RETURN'!$N$4:$N$167,0)))</f>
        <v/>
      </c>
      <c r="I133" s="15" t="str">
        <f>IF(100&gt;$D$21,"",INDEX('ON ROAD RETURN'!$D$4:$D$167,MATCH(100,'ON ROAD RETURN'!$N$4:$N$167,0)))</f>
        <v/>
      </c>
      <c r="J133" s="15" t="str">
        <f>IF(100&gt;$D$21,"",INDEX('ON ROAD RETURN'!$E$4:$E$167,MATCH(100,'ON ROAD RETURN'!$N$4:$N$167,0)))</f>
        <v/>
      </c>
      <c r="L133" s="12" t="str">
        <f>IF(100&gt;$D$21,"",INDEX('ON ROAD RETURN'!$C$4:$C$167,MATCH(100,'ON ROAD RETURN'!$N$4:$N$167,0)))</f>
        <v/>
      </c>
      <c r="M133" s="7" t="str">
        <f>IF(100&gt;$D$21,"",ROUND(INDEX('ON ROAD RETURN'!$H$4:$H$167,MATCH(100,'ON ROAD RETURN'!$N$4:$N$167,0)),2))</f>
        <v/>
      </c>
    </row>
    <row r="134" spans="1:13" x14ac:dyDescent="0.25">
      <c r="A134" s="2" t="str">
        <f>IF(101&gt;$D$21,"",INDEX('ON ROAD RETURN'!$L$4:$L$167,MATCH(101,'ON ROAD RETURN'!$N$4:$N$167,0)))</f>
        <v/>
      </c>
      <c r="C134" s="2" t="str">
        <f>IF(101&gt;$D$21,"",INDEX('ON ROAD RETURN'!$M$4:$M$167,MATCH(101,'ON ROAD RETURN'!$N$4:$N$167,0)))</f>
        <v/>
      </c>
      <c r="I134" s="15" t="str">
        <f>IF(101&gt;$D$21,"",INDEX('ON ROAD RETURN'!$D$4:$D$167,MATCH(101,'ON ROAD RETURN'!$N$4:$N$167,0)))</f>
        <v/>
      </c>
      <c r="J134" s="15" t="str">
        <f>IF(101&gt;$D$21,"",INDEX('ON ROAD RETURN'!$E$4:$E$167,MATCH(101,'ON ROAD RETURN'!$N$4:$N$167,0)))</f>
        <v/>
      </c>
      <c r="L134" s="12" t="str">
        <f>IF(101&gt;$D$21,"",INDEX('ON ROAD RETURN'!$C$4:$C$167,MATCH(101,'ON ROAD RETURN'!$N$4:$N$167,0)))</f>
        <v/>
      </c>
      <c r="M134" s="7" t="str">
        <f>IF(101&gt;$D$21,"",ROUND(INDEX('ON ROAD RETURN'!$H$4:$H$167,MATCH(101,'ON ROAD RETURN'!$N$4:$N$167,0)),2))</f>
        <v/>
      </c>
    </row>
    <row r="135" spans="1:13" x14ac:dyDescent="0.25">
      <c r="A135" s="2" t="str">
        <f>IF(102&gt;$D$21,"",INDEX('ON ROAD RETURN'!$L$4:$L$167,MATCH(102,'ON ROAD RETURN'!$N$4:$N$167,0)))</f>
        <v/>
      </c>
      <c r="C135" s="2" t="str">
        <f>IF(102&gt;$D$21,"",INDEX('ON ROAD RETURN'!$M$4:$M$167,MATCH(102,'ON ROAD RETURN'!$N$4:$N$167,0)))</f>
        <v/>
      </c>
      <c r="I135" s="15" t="str">
        <f>IF(102&gt;$D$21,"",INDEX('ON ROAD RETURN'!$D$4:$D$167,MATCH(102,'ON ROAD RETURN'!$N$4:$N$167,0)))</f>
        <v/>
      </c>
      <c r="J135" s="15" t="str">
        <f>IF(102&gt;$D$21,"",INDEX('ON ROAD RETURN'!$E$4:$E$167,MATCH(102,'ON ROAD RETURN'!$N$4:$N$167,0)))</f>
        <v/>
      </c>
      <c r="L135" s="12" t="str">
        <f>IF(102&gt;$D$21,"",INDEX('ON ROAD RETURN'!$C$4:$C$167,MATCH(102,'ON ROAD RETURN'!$N$4:$N$167,0)))</f>
        <v/>
      </c>
      <c r="M135" s="7" t="str">
        <f>IF(102&gt;$D$21,"",ROUND(INDEX('ON ROAD RETURN'!$H$4:$H$167,MATCH(102,'ON ROAD RETURN'!$N$4:$N$167,0)),2))</f>
        <v/>
      </c>
    </row>
    <row r="136" spans="1:13" x14ac:dyDescent="0.25">
      <c r="A136" s="2" t="str">
        <f>IF(103&gt;$D$21,"",INDEX('ON ROAD RETURN'!$L$4:$L$167,MATCH(103,'ON ROAD RETURN'!$N$4:$N$167,0)))</f>
        <v/>
      </c>
      <c r="C136" s="2" t="str">
        <f>IF(103&gt;$D$21,"",INDEX('ON ROAD RETURN'!$M$4:$M$167,MATCH(103,'ON ROAD RETURN'!$N$4:$N$167,0)))</f>
        <v/>
      </c>
      <c r="I136" s="15" t="str">
        <f>IF(103&gt;$D$21,"",INDEX('ON ROAD RETURN'!$D$4:$D$167,MATCH(103,'ON ROAD RETURN'!$N$4:$N$167,0)))</f>
        <v/>
      </c>
      <c r="J136" s="15" t="str">
        <f>IF(103&gt;$D$21,"",INDEX('ON ROAD RETURN'!$E$4:$E$167,MATCH(103,'ON ROAD RETURN'!$N$4:$N$167,0)))</f>
        <v/>
      </c>
      <c r="L136" s="12" t="str">
        <f>IF(103&gt;$D$21,"",INDEX('ON ROAD RETURN'!$C$4:$C$167,MATCH(103,'ON ROAD RETURN'!$N$4:$N$167,0)))</f>
        <v/>
      </c>
      <c r="M136" s="7" t="str">
        <f>IF(103&gt;$D$21,"",ROUND(INDEX('ON ROAD RETURN'!$H$4:$H$167,MATCH(103,'ON ROAD RETURN'!$N$4:$N$167,0)),2))</f>
        <v/>
      </c>
    </row>
    <row r="137" spans="1:13" x14ac:dyDescent="0.25">
      <c r="A137" s="2" t="str">
        <f>IF(104&gt;$D$21,"",INDEX('ON ROAD RETURN'!$L$4:$L$167,MATCH(104,'ON ROAD RETURN'!$N$4:$N$167,0)))</f>
        <v/>
      </c>
      <c r="C137" s="2" t="str">
        <f>IF(104&gt;$D$21,"",INDEX('ON ROAD RETURN'!$M$4:$M$167,MATCH(104,'ON ROAD RETURN'!$N$4:$N$167,0)))</f>
        <v/>
      </c>
      <c r="I137" s="15" t="str">
        <f>IF(104&gt;$D$21,"",INDEX('ON ROAD RETURN'!$D$4:$D$167,MATCH(104,'ON ROAD RETURN'!$N$4:$N$167,0)))</f>
        <v/>
      </c>
      <c r="J137" s="15" t="str">
        <f>IF(104&gt;$D$21,"",INDEX('ON ROAD RETURN'!$E$4:$E$167,MATCH(104,'ON ROAD RETURN'!$N$4:$N$167,0)))</f>
        <v/>
      </c>
      <c r="L137" s="12" t="str">
        <f>IF(104&gt;$D$21,"",INDEX('ON ROAD RETURN'!$C$4:$C$167,MATCH(104,'ON ROAD RETURN'!$N$4:$N$167,0)))</f>
        <v/>
      </c>
      <c r="M137" s="7" t="str">
        <f>IF(104&gt;$D$21,"",ROUND(INDEX('ON ROAD RETURN'!$H$4:$H$167,MATCH(104,'ON ROAD RETURN'!$N$4:$N$167,0)),2))</f>
        <v/>
      </c>
    </row>
    <row r="138" spans="1:13" x14ac:dyDescent="0.25">
      <c r="A138" s="2" t="str">
        <f>IF(105&gt;$D$21,"",INDEX('ON ROAD RETURN'!$L$4:$L$167,MATCH(105,'ON ROAD RETURN'!$N$4:$N$167,0)))</f>
        <v/>
      </c>
      <c r="C138" s="2" t="str">
        <f>IF(105&gt;$D$21,"",INDEX('ON ROAD RETURN'!$M$4:$M$167,MATCH(105,'ON ROAD RETURN'!$N$4:$N$167,0)))</f>
        <v/>
      </c>
      <c r="I138" s="15" t="str">
        <f>IF(105&gt;$D$21,"",INDEX('ON ROAD RETURN'!$D$4:$D$167,MATCH(105,'ON ROAD RETURN'!$N$4:$N$167,0)))</f>
        <v/>
      </c>
      <c r="J138" s="15" t="str">
        <f>IF(105&gt;$D$21,"",INDEX('ON ROAD RETURN'!$E$4:$E$167,MATCH(105,'ON ROAD RETURN'!$N$4:$N$167,0)))</f>
        <v/>
      </c>
      <c r="L138" s="12" t="str">
        <f>IF(105&gt;$D$21,"",INDEX('ON ROAD RETURN'!$C$4:$C$167,MATCH(105,'ON ROAD RETURN'!$N$4:$N$167,0)))</f>
        <v/>
      </c>
      <c r="M138" s="7" t="str">
        <f>IF(105&gt;$D$21,"",ROUND(INDEX('ON ROAD RETURN'!$H$4:$H$167,MATCH(105,'ON ROAD RETURN'!$N$4:$N$167,0)),2))</f>
        <v/>
      </c>
    </row>
    <row r="139" spans="1:13" x14ac:dyDescent="0.25">
      <c r="A139" s="2" t="str">
        <f>IF(106&gt;$D$21,"",INDEX('ON ROAD RETURN'!$L$4:$L$167,MATCH(106,'ON ROAD RETURN'!$N$4:$N$167,0)))</f>
        <v/>
      </c>
      <c r="C139" s="2" t="str">
        <f>IF(106&gt;$D$21,"",INDEX('ON ROAD RETURN'!$M$4:$M$167,MATCH(106,'ON ROAD RETURN'!$N$4:$N$167,0)))</f>
        <v/>
      </c>
      <c r="I139" s="15" t="str">
        <f>IF(106&gt;$D$21,"",INDEX('ON ROAD RETURN'!$D$4:$D$167,MATCH(106,'ON ROAD RETURN'!$N$4:$N$167,0)))</f>
        <v/>
      </c>
      <c r="J139" s="15" t="str">
        <f>IF(106&gt;$D$21,"",INDEX('ON ROAD RETURN'!$E$4:$E$167,MATCH(106,'ON ROAD RETURN'!$N$4:$N$167,0)))</f>
        <v/>
      </c>
      <c r="L139" s="12" t="str">
        <f>IF(106&gt;$D$21,"",INDEX('ON ROAD RETURN'!$C$4:$C$167,MATCH(106,'ON ROAD RETURN'!$N$4:$N$167,0)))</f>
        <v/>
      </c>
      <c r="M139" s="7" t="str">
        <f>IF(106&gt;$D$21,"",ROUND(INDEX('ON ROAD RETURN'!$H$4:$H$167,MATCH(106,'ON ROAD RETURN'!$N$4:$N$167,0)),2))</f>
        <v/>
      </c>
    </row>
    <row r="140" spans="1:13" x14ac:dyDescent="0.25">
      <c r="A140" s="2" t="str">
        <f>IF(107&gt;$D$21,"",INDEX('ON ROAD RETURN'!$L$4:$L$167,MATCH(107,'ON ROAD RETURN'!$N$4:$N$167,0)))</f>
        <v/>
      </c>
      <c r="C140" s="2" t="str">
        <f>IF(107&gt;$D$21,"",INDEX('ON ROAD RETURN'!$M$4:$M$167,MATCH(107,'ON ROAD RETURN'!$N$4:$N$167,0)))</f>
        <v/>
      </c>
      <c r="I140" s="15" t="str">
        <f>IF(107&gt;$D$21,"",INDEX('ON ROAD RETURN'!$D$4:$D$167,MATCH(107,'ON ROAD RETURN'!$N$4:$N$167,0)))</f>
        <v/>
      </c>
      <c r="J140" s="15" t="str">
        <f>IF(107&gt;$D$21,"",INDEX('ON ROAD RETURN'!$E$4:$E$167,MATCH(107,'ON ROAD RETURN'!$N$4:$N$167,0)))</f>
        <v/>
      </c>
      <c r="L140" s="12" t="str">
        <f>IF(107&gt;$D$21,"",INDEX('ON ROAD RETURN'!$C$4:$C$167,MATCH(107,'ON ROAD RETURN'!$N$4:$N$167,0)))</f>
        <v/>
      </c>
      <c r="M140" s="7" t="str">
        <f>IF(107&gt;$D$21,"",ROUND(INDEX('ON ROAD RETURN'!$H$4:$H$167,MATCH(107,'ON ROAD RETURN'!$N$4:$N$167,0)),2))</f>
        <v/>
      </c>
    </row>
    <row r="141" spans="1:13" x14ac:dyDescent="0.25">
      <c r="A141" s="2" t="str">
        <f>IF(108&gt;$D$21,"",INDEX('ON ROAD RETURN'!$L$4:$L$167,MATCH(108,'ON ROAD RETURN'!$N$4:$N$167,0)))</f>
        <v/>
      </c>
      <c r="C141" s="2" t="str">
        <f>IF(108&gt;$D$21,"",INDEX('ON ROAD RETURN'!$M$4:$M$167,MATCH(108,'ON ROAD RETURN'!$N$4:$N$167,0)))</f>
        <v/>
      </c>
      <c r="I141" s="15" t="str">
        <f>IF(108&gt;$D$21,"",INDEX('ON ROAD RETURN'!$D$4:$D$167,MATCH(108,'ON ROAD RETURN'!$N$4:$N$167,0)))</f>
        <v/>
      </c>
      <c r="J141" s="15" t="str">
        <f>IF(108&gt;$D$21,"",INDEX('ON ROAD RETURN'!$E$4:$E$167,MATCH(108,'ON ROAD RETURN'!$N$4:$N$167,0)))</f>
        <v/>
      </c>
      <c r="L141" s="12" t="str">
        <f>IF(108&gt;$D$21,"",INDEX('ON ROAD RETURN'!$C$4:$C$167,MATCH(108,'ON ROAD RETURN'!$N$4:$N$167,0)))</f>
        <v/>
      </c>
      <c r="M141" s="7" t="str">
        <f>IF(108&gt;$D$21,"",ROUND(INDEX('ON ROAD RETURN'!$H$4:$H$167,MATCH(108,'ON ROAD RETURN'!$N$4:$N$167,0)),2))</f>
        <v/>
      </c>
    </row>
    <row r="142" spans="1:13" x14ac:dyDescent="0.25">
      <c r="A142" s="2" t="str">
        <f>IF(109&gt;$D$21,"",INDEX('ON ROAD RETURN'!$L$4:$L$167,MATCH(109,'ON ROAD RETURN'!$N$4:$N$167,0)))</f>
        <v/>
      </c>
      <c r="C142" s="2" t="str">
        <f>IF(109&gt;$D$21,"",INDEX('ON ROAD RETURN'!$M$4:$M$167,MATCH(109,'ON ROAD RETURN'!$N$4:$N$167,0)))</f>
        <v/>
      </c>
      <c r="I142" s="15" t="str">
        <f>IF(109&gt;$D$21,"",INDEX('ON ROAD RETURN'!$D$4:$D$167,MATCH(109,'ON ROAD RETURN'!$N$4:$N$167,0)))</f>
        <v/>
      </c>
      <c r="J142" s="15" t="str">
        <f>IF(109&gt;$D$21,"",INDEX('ON ROAD RETURN'!$E$4:$E$167,MATCH(109,'ON ROAD RETURN'!$N$4:$N$167,0)))</f>
        <v/>
      </c>
      <c r="L142" s="12" t="str">
        <f>IF(109&gt;$D$21,"",INDEX('ON ROAD RETURN'!$C$4:$C$167,MATCH(109,'ON ROAD RETURN'!$N$4:$N$167,0)))</f>
        <v/>
      </c>
      <c r="M142" s="7" t="str">
        <f>IF(109&gt;$D$21,"",ROUND(INDEX('ON ROAD RETURN'!$H$4:$H$167,MATCH(109,'ON ROAD RETURN'!$N$4:$N$167,0)),2))</f>
        <v/>
      </c>
    </row>
    <row r="143" spans="1:13" x14ac:dyDescent="0.25">
      <c r="A143" s="2" t="str">
        <f>IF(110&gt;$D$21,"",INDEX('ON ROAD RETURN'!$L$4:$L$167,MATCH(110,'ON ROAD RETURN'!$N$4:$N$167,0)))</f>
        <v/>
      </c>
      <c r="C143" s="2" t="str">
        <f>IF(110&gt;$D$21,"",INDEX('ON ROAD RETURN'!$M$4:$M$167,MATCH(110,'ON ROAD RETURN'!$N$4:$N$167,0)))</f>
        <v/>
      </c>
      <c r="I143" s="15" t="str">
        <f>IF(110&gt;$D$21,"",INDEX('ON ROAD RETURN'!$D$4:$D$167,MATCH(110,'ON ROAD RETURN'!$N$4:$N$167,0)))</f>
        <v/>
      </c>
      <c r="J143" s="15" t="str">
        <f>IF(110&gt;$D$21,"",INDEX('ON ROAD RETURN'!$E$4:$E$167,MATCH(110,'ON ROAD RETURN'!$N$4:$N$167,0)))</f>
        <v/>
      </c>
      <c r="L143" s="12" t="str">
        <f>IF(110&gt;$D$21,"",INDEX('ON ROAD RETURN'!$C$4:$C$167,MATCH(110,'ON ROAD RETURN'!$N$4:$N$167,0)))</f>
        <v/>
      </c>
      <c r="M143" s="7" t="str">
        <f>IF(110&gt;$D$21,"",ROUND(INDEX('ON ROAD RETURN'!$H$4:$H$167,MATCH(110,'ON ROAD RETURN'!$N$4:$N$167,0)),2))</f>
        <v/>
      </c>
    </row>
    <row r="144" spans="1:13" x14ac:dyDescent="0.25">
      <c r="A144" s="2" t="str">
        <f>IF(111&gt;$D$21,"",INDEX('ON ROAD RETURN'!$L$4:$L$167,MATCH(111,'ON ROAD RETURN'!$N$4:$N$167,0)))</f>
        <v/>
      </c>
      <c r="C144" s="2" t="str">
        <f>IF(111&gt;$D$21,"",INDEX('ON ROAD RETURN'!$M$4:$M$167,MATCH(111,'ON ROAD RETURN'!$N$4:$N$167,0)))</f>
        <v/>
      </c>
      <c r="I144" s="15" t="str">
        <f>IF(111&gt;$D$21,"",INDEX('ON ROAD RETURN'!$D$4:$D$167,MATCH(111,'ON ROAD RETURN'!$N$4:$N$167,0)))</f>
        <v/>
      </c>
      <c r="J144" s="15" t="str">
        <f>IF(111&gt;$D$21,"",INDEX('ON ROAD RETURN'!$E$4:$E$167,MATCH(111,'ON ROAD RETURN'!$N$4:$N$167,0)))</f>
        <v/>
      </c>
      <c r="L144" s="12" t="str">
        <f>IF(111&gt;$D$21,"",INDEX('ON ROAD RETURN'!$C$4:$C$167,MATCH(111,'ON ROAD RETURN'!$N$4:$N$167,0)))</f>
        <v/>
      </c>
      <c r="M144" s="7" t="str">
        <f>IF(111&gt;$D$21,"",ROUND(INDEX('ON ROAD RETURN'!$H$4:$H$167,MATCH(111,'ON ROAD RETURN'!$N$4:$N$167,0)),2))</f>
        <v/>
      </c>
    </row>
    <row r="145" spans="1:13" x14ac:dyDescent="0.25">
      <c r="A145" s="2" t="str">
        <f>IF(112&gt;$D$21,"",INDEX('ON ROAD RETURN'!$L$4:$L$167,MATCH(112,'ON ROAD RETURN'!$N$4:$N$167,0)))</f>
        <v/>
      </c>
      <c r="C145" s="2" t="str">
        <f>IF(112&gt;$D$21,"",INDEX('ON ROAD RETURN'!$M$4:$M$167,MATCH(112,'ON ROAD RETURN'!$N$4:$N$167,0)))</f>
        <v/>
      </c>
      <c r="I145" s="15" t="str">
        <f>IF(112&gt;$D$21,"",INDEX('ON ROAD RETURN'!$D$4:$D$167,MATCH(112,'ON ROAD RETURN'!$N$4:$N$167,0)))</f>
        <v/>
      </c>
      <c r="J145" s="15" t="str">
        <f>IF(112&gt;$D$21,"",INDEX('ON ROAD RETURN'!$E$4:$E$167,MATCH(112,'ON ROAD RETURN'!$N$4:$N$167,0)))</f>
        <v/>
      </c>
      <c r="L145" s="12" t="str">
        <f>IF(112&gt;$D$21,"",INDEX('ON ROAD RETURN'!$C$4:$C$167,MATCH(112,'ON ROAD RETURN'!$N$4:$N$167,0)))</f>
        <v/>
      </c>
      <c r="M145" s="7" t="str">
        <f>IF(112&gt;$D$21,"",ROUND(INDEX('ON ROAD RETURN'!$H$4:$H$167,MATCH(112,'ON ROAD RETURN'!$N$4:$N$167,0)),2))</f>
        <v/>
      </c>
    </row>
    <row r="146" spans="1:13" x14ac:dyDescent="0.25">
      <c r="A146" s="2" t="str">
        <f>IF(113&gt;$D$21,"",INDEX('ON ROAD RETURN'!$L$4:$L$167,MATCH(113,'ON ROAD RETURN'!$N$4:$N$167,0)))</f>
        <v/>
      </c>
      <c r="C146" s="2" t="str">
        <f>IF(113&gt;$D$21,"",INDEX('ON ROAD RETURN'!$M$4:$M$167,MATCH(113,'ON ROAD RETURN'!$N$4:$N$167,0)))</f>
        <v/>
      </c>
      <c r="I146" s="15" t="str">
        <f>IF(113&gt;$D$21,"",INDEX('ON ROAD RETURN'!$D$4:$D$167,MATCH(113,'ON ROAD RETURN'!$N$4:$N$167,0)))</f>
        <v/>
      </c>
      <c r="J146" s="15" t="str">
        <f>IF(113&gt;$D$21,"",INDEX('ON ROAD RETURN'!$E$4:$E$167,MATCH(113,'ON ROAD RETURN'!$N$4:$N$167,0)))</f>
        <v/>
      </c>
      <c r="L146" s="12" t="str">
        <f>IF(113&gt;$D$21,"",INDEX('ON ROAD RETURN'!$C$4:$C$167,MATCH(113,'ON ROAD RETURN'!$N$4:$N$167,0)))</f>
        <v/>
      </c>
      <c r="M146" s="7" t="str">
        <f>IF(113&gt;$D$21,"",ROUND(INDEX('ON ROAD RETURN'!$H$4:$H$167,MATCH(113,'ON ROAD RETURN'!$N$4:$N$167,0)),2))</f>
        <v/>
      </c>
    </row>
    <row r="147" spans="1:13" x14ac:dyDescent="0.25">
      <c r="A147" s="2" t="str">
        <f>IF(114&gt;$D$21,"",INDEX('ON ROAD RETURN'!$L$4:$L$167,MATCH(114,'ON ROAD RETURN'!$N$4:$N$167,0)))</f>
        <v/>
      </c>
      <c r="C147" s="2" t="str">
        <f>IF(114&gt;$D$21,"",INDEX('ON ROAD RETURN'!$M$4:$M$167,MATCH(114,'ON ROAD RETURN'!$N$4:$N$167,0)))</f>
        <v/>
      </c>
      <c r="I147" s="15" t="str">
        <f>IF(114&gt;$D$21,"",INDEX('ON ROAD RETURN'!$D$4:$D$167,MATCH(114,'ON ROAD RETURN'!$N$4:$N$167,0)))</f>
        <v/>
      </c>
      <c r="J147" s="15" t="str">
        <f>IF(114&gt;$D$21,"",INDEX('ON ROAD RETURN'!$E$4:$E$167,MATCH(114,'ON ROAD RETURN'!$N$4:$N$167,0)))</f>
        <v/>
      </c>
      <c r="L147" s="12" t="str">
        <f>IF(114&gt;$D$21,"",INDEX('ON ROAD RETURN'!$C$4:$C$167,MATCH(114,'ON ROAD RETURN'!$N$4:$N$167,0)))</f>
        <v/>
      </c>
      <c r="M147" s="7" t="str">
        <f>IF(114&gt;$D$21,"",ROUND(INDEX('ON ROAD RETURN'!$H$4:$H$167,MATCH(114,'ON ROAD RETURN'!$N$4:$N$167,0)),2))</f>
        <v/>
      </c>
    </row>
    <row r="148" spans="1:13" x14ac:dyDescent="0.25">
      <c r="A148" s="2" t="str">
        <f>IF(115&gt;$D$21,"",INDEX('ON ROAD RETURN'!$L$4:$L$167,MATCH(115,'ON ROAD RETURN'!$N$4:$N$167,0)))</f>
        <v/>
      </c>
      <c r="C148" s="2" t="str">
        <f>IF(115&gt;$D$21,"",INDEX('ON ROAD RETURN'!$M$4:$M$167,MATCH(115,'ON ROAD RETURN'!$N$4:$N$167,0)))</f>
        <v/>
      </c>
      <c r="I148" s="15" t="str">
        <f>IF(115&gt;$D$21,"",INDEX('ON ROAD RETURN'!$D$4:$D$167,MATCH(115,'ON ROAD RETURN'!$N$4:$N$167,0)))</f>
        <v/>
      </c>
      <c r="J148" s="15" t="str">
        <f>IF(115&gt;$D$21,"",INDEX('ON ROAD RETURN'!$E$4:$E$167,MATCH(115,'ON ROAD RETURN'!$N$4:$N$167,0)))</f>
        <v/>
      </c>
      <c r="L148" s="12" t="str">
        <f>IF(115&gt;$D$21,"",INDEX('ON ROAD RETURN'!$C$4:$C$167,MATCH(115,'ON ROAD RETURN'!$N$4:$N$167,0)))</f>
        <v/>
      </c>
      <c r="M148" s="7" t="str">
        <f>IF(115&gt;$D$21,"",ROUND(INDEX('ON ROAD RETURN'!$H$4:$H$167,MATCH(115,'ON ROAD RETURN'!$N$4:$N$167,0)),2))</f>
        <v/>
      </c>
    </row>
    <row r="149" spans="1:13" x14ac:dyDescent="0.25">
      <c r="A149" s="2" t="str">
        <f>IF(116&gt;$D$21,"",INDEX('ON ROAD RETURN'!$L$4:$L$167,MATCH(116,'ON ROAD RETURN'!$N$4:$N$167,0)))</f>
        <v/>
      </c>
      <c r="C149" s="2" t="str">
        <f>IF(116&gt;$D$21,"",INDEX('ON ROAD RETURN'!$M$4:$M$167,MATCH(116,'ON ROAD RETURN'!$N$4:$N$167,0)))</f>
        <v/>
      </c>
      <c r="I149" s="15" t="str">
        <f>IF(116&gt;$D$21,"",INDEX('ON ROAD RETURN'!$D$4:$D$167,MATCH(116,'ON ROAD RETURN'!$N$4:$N$167,0)))</f>
        <v/>
      </c>
      <c r="J149" s="15" t="str">
        <f>IF(116&gt;$D$21,"",INDEX('ON ROAD RETURN'!$E$4:$E$167,MATCH(116,'ON ROAD RETURN'!$N$4:$N$167,0)))</f>
        <v/>
      </c>
      <c r="L149" s="12" t="str">
        <f>IF(116&gt;$D$21,"",INDEX('ON ROAD RETURN'!$C$4:$C$167,MATCH(116,'ON ROAD RETURN'!$N$4:$N$167,0)))</f>
        <v/>
      </c>
      <c r="M149" s="7" t="str">
        <f>IF(116&gt;$D$21,"",ROUND(INDEX('ON ROAD RETURN'!$H$4:$H$167,MATCH(116,'ON ROAD RETURN'!$N$4:$N$167,0)),2))</f>
        <v/>
      </c>
    </row>
    <row r="150" spans="1:13" x14ac:dyDescent="0.25">
      <c r="A150" s="2" t="str">
        <f>IF(117&gt;$D$21,"",INDEX('ON ROAD RETURN'!$L$4:$L$167,MATCH(117,'ON ROAD RETURN'!$N$4:$N$167,0)))</f>
        <v/>
      </c>
      <c r="C150" s="2" t="str">
        <f>IF(117&gt;$D$21,"",INDEX('ON ROAD RETURN'!$M$4:$M$167,MATCH(117,'ON ROAD RETURN'!$N$4:$N$167,0)))</f>
        <v/>
      </c>
      <c r="I150" s="15" t="str">
        <f>IF(117&gt;$D$21,"",INDEX('ON ROAD RETURN'!$D$4:$D$167,MATCH(117,'ON ROAD RETURN'!$N$4:$N$167,0)))</f>
        <v/>
      </c>
      <c r="J150" s="15" t="str">
        <f>IF(117&gt;$D$21,"",INDEX('ON ROAD RETURN'!$E$4:$E$167,MATCH(117,'ON ROAD RETURN'!$N$4:$N$167,0)))</f>
        <v/>
      </c>
      <c r="L150" s="12" t="str">
        <f>IF(117&gt;$D$21,"",INDEX('ON ROAD RETURN'!$C$4:$C$167,MATCH(117,'ON ROAD RETURN'!$N$4:$N$167,0)))</f>
        <v/>
      </c>
      <c r="M150" s="7" t="str">
        <f>IF(117&gt;$D$21,"",ROUND(INDEX('ON ROAD RETURN'!$H$4:$H$167,MATCH(117,'ON ROAD RETURN'!$N$4:$N$167,0)),2))</f>
        <v/>
      </c>
    </row>
    <row r="151" spans="1:13" x14ac:dyDescent="0.25">
      <c r="A151" s="2" t="str">
        <f>IF(118&gt;$D$21,"",INDEX('ON ROAD RETURN'!$L$4:$L$167,MATCH(118,'ON ROAD RETURN'!$N$4:$N$167,0)))</f>
        <v/>
      </c>
      <c r="C151" s="2" t="str">
        <f>IF(118&gt;$D$21,"",INDEX('ON ROAD RETURN'!$M$4:$M$167,MATCH(118,'ON ROAD RETURN'!$N$4:$N$167,0)))</f>
        <v/>
      </c>
      <c r="I151" s="15" t="str">
        <f>IF(118&gt;$D$21,"",INDEX('ON ROAD RETURN'!$D$4:$D$167,MATCH(118,'ON ROAD RETURN'!$N$4:$N$167,0)))</f>
        <v/>
      </c>
      <c r="J151" s="15" t="str">
        <f>IF(118&gt;$D$21,"",INDEX('ON ROAD RETURN'!$E$4:$E$167,MATCH(118,'ON ROAD RETURN'!$N$4:$N$167,0)))</f>
        <v/>
      </c>
      <c r="L151" s="12" t="str">
        <f>IF(118&gt;$D$21,"",INDEX('ON ROAD RETURN'!$C$4:$C$167,MATCH(118,'ON ROAD RETURN'!$N$4:$N$167,0)))</f>
        <v/>
      </c>
      <c r="M151" s="7" t="str">
        <f>IF(118&gt;$D$21,"",ROUND(INDEX('ON ROAD RETURN'!$H$4:$H$167,MATCH(118,'ON ROAD RETURN'!$N$4:$N$167,0)),2))</f>
        <v/>
      </c>
    </row>
    <row r="152" spans="1:13" x14ac:dyDescent="0.25">
      <c r="A152" s="2" t="str">
        <f>IF(119&gt;$D$21,"",INDEX('ON ROAD RETURN'!$L$4:$L$167,MATCH(119,'ON ROAD RETURN'!$N$4:$N$167,0)))</f>
        <v/>
      </c>
      <c r="C152" s="2" t="str">
        <f>IF(119&gt;$D$21,"",INDEX('ON ROAD RETURN'!$M$4:$M$167,MATCH(119,'ON ROAD RETURN'!$N$4:$N$167,0)))</f>
        <v/>
      </c>
      <c r="I152" s="15" t="str">
        <f>IF(119&gt;$D$21,"",INDEX('ON ROAD RETURN'!$D$4:$D$167,MATCH(119,'ON ROAD RETURN'!$N$4:$N$167,0)))</f>
        <v/>
      </c>
      <c r="J152" s="15" t="str">
        <f>IF(119&gt;$D$21,"",INDEX('ON ROAD RETURN'!$E$4:$E$167,MATCH(119,'ON ROAD RETURN'!$N$4:$N$167,0)))</f>
        <v/>
      </c>
      <c r="L152" s="12" t="str">
        <f>IF(119&gt;$D$21,"",INDEX('ON ROAD RETURN'!$C$4:$C$167,MATCH(119,'ON ROAD RETURN'!$N$4:$N$167,0)))</f>
        <v/>
      </c>
      <c r="M152" s="7" t="str">
        <f>IF(119&gt;$D$21,"",ROUND(INDEX('ON ROAD RETURN'!$H$4:$H$167,MATCH(119,'ON ROAD RETURN'!$N$4:$N$167,0)),2))</f>
        <v/>
      </c>
    </row>
    <row r="153" spans="1:13" x14ac:dyDescent="0.25">
      <c r="A153" s="2" t="str">
        <f>IF(120&gt;$D$21,"",INDEX('ON ROAD RETURN'!$L$4:$L$167,MATCH(120,'ON ROAD RETURN'!$N$4:$N$167,0)))</f>
        <v/>
      </c>
      <c r="C153" s="2" t="str">
        <f>IF(120&gt;$D$21,"",INDEX('ON ROAD RETURN'!$M$4:$M$167,MATCH(120,'ON ROAD RETURN'!$N$4:$N$167,0)))</f>
        <v/>
      </c>
      <c r="I153" s="15" t="str">
        <f>IF(120&gt;$D$21,"",INDEX('ON ROAD RETURN'!$D$4:$D$167,MATCH(120,'ON ROAD RETURN'!$N$4:$N$167,0)))</f>
        <v/>
      </c>
      <c r="J153" s="15" t="str">
        <f>IF(120&gt;$D$21,"",INDEX('ON ROAD RETURN'!$E$4:$E$167,MATCH(120,'ON ROAD RETURN'!$N$4:$N$167,0)))</f>
        <v/>
      </c>
      <c r="L153" s="12" t="str">
        <f>IF(120&gt;$D$21,"",INDEX('ON ROAD RETURN'!$C$4:$C$167,MATCH(120,'ON ROAD RETURN'!$N$4:$N$167,0)))</f>
        <v/>
      </c>
      <c r="M153" s="7" t="str">
        <f>IF(120&gt;$D$21,"",ROUND(INDEX('ON ROAD RETURN'!$H$4:$H$167,MATCH(120,'ON ROAD RETURN'!$N$4:$N$167,0)),2))</f>
        <v/>
      </c>
    </row>
    <row r="154" spans="1:13" x14ac:dyDescent="0.25">
      <c r="A154" s="2" t="str">
        <f>IF(121&gt;$D$21,"",INDEX('ON ROAD RETURN'!$L$4:$L$167,MATCH(121,'ON ROAD RETURN'!$N$4:$N$167,0)))</f>
        <v/>
      </c>
      <c r="C154" s="2" t="str">
        <f>IF(121&gt;$D$21,"",INDEX('ON ROAD RETURN'!$M$4:$M$167,MATCH(121,'ON ROAD RETURN'!$N$4:$N$167,0)))</f>
        <v/>
      </c>
      <c r="I154" s="15" t="str">
        <f>IF(121&gt;$D$21,"",INDEX('ON ROAD RETURN'!$D$4:$D$167,MATCH(121,'ON ROAD RETURN'!$N$4:$N$167,0)))</f>
        <v/>
      </c>
      <c r="J154" s="15" t="str">
        <f>IF(121&gt;$D$21,"",INDEX('ON ROAD RETURN'!$E$4:$E$167,MATCH(121,'ON ROAD RETURN'!$N$4:$N$167,0)))</f>
        <v/>
      </c>
      <c r="L154" s="12" t="str">
        <f>IF(121&gt;$D$21,"",INDEX('ON ROAD RETURN'!$C$4:$C$167,MATCH(121,'ON ROAD RETURN'!$N$4:$N$167,0)))</f>
        <v/>
      </c>
      <c r="M154" s="7" t="str">
        <f>IF(121&gt;$D$21,"",ROUND(INDEX('ON ROAD RETURN'!$H$4:$H$167,MATCH(121,'ON ROAD RETURN'!$N$4:$N$167,0)),2))</f>
        <v/>
      </c>
    </row>
    <row r="155" spans="1:13" x14ac:dyDescent="0.25">
      <c r="A155" s="2" t="str">
        <f>IF(122&gt;$D$21,"",INDEX('ON ROAD RETURN'!$L$4:$L$167,MATCH(122,'ON ROAD RETURN'!$N$4:$N$167,0)))</f>
        <v/>
      </c>
      <c r="C155" s="2" t="str">
        <f>IF(122&gt;$D$21,"",INDEX('ON ROAD RETURN'!$M$4:$M$167,MATCH(122,'ON ROAD RETURN'!$N$4:$N$167,0)))</f>
        <v/>
      </c>
      <c r="I155" s="15" t="str">
        <f>IF(122&gt;$D$21,"",INDEX('ON ROAD RETURN'!$D$4:$D$167,MATCH(122,'ON ROAD RETURN'!$N$4:$N$167,0)))</f>
        <v/>
      </c>
      <c r="J155" s="15" t="str">
        <f>IF(122&gt;$D$21,"",INDEX('ON ROAD RETURN'!$E$4:$E$167,MATCH(122,'ON ROAD RETURN'!$N$4:$N$167,0)))</f>
        <v/>
      </c>
      <c r="L155" s="12" t="str">
        <f>IF(122&gt;$D$21,"",INDEX('ON ROAD RETURN'!$C$4:$C$167,MATCH(122,'ON ROAD RETURN'!$N$4:$N$167,0)))</f>
        <v/>
      </c>
      <c r="M155" s="7" t="str">
        <f>IF(122&gt;$D$21,"",ROUND(INDEX('ON ROAD RETURN'!$H$4:$H$167,MATCH(122,'ON ROAD RETURN'!$N$4:$N$167,0)),2))</f>
        <v/>
      </c>
    </row>
    <row r="156" spans="1:13" x14ac:dyDescent="0.25">
      <c r="A156" s="2" t="str">
        <f>IF(123&gt;$D$21,"",INDEX('ON ROAD RETURN'!$L$4:$L$167,MATCH(123,'ON ROAD RETURN'!$N$4:$N$167,0)))</f>
        <v/>
      </c>
      <c r="C156" s="2" t="str">
        <f>IF(123&gt;$D$21,"",INDEX('ON ROAD RETURN'!$M$4:$M$167,MATCH(123,'ON ROAD RETURN'!$N$4:$N$167,0)))</f>
        <v/>
      </c>
      <c r="I156" s="15" t="str">
        <f>IF(123&gt;$D$21,"",INDEX('ON ROAD RETURN'!$D$4:$D$167,MATCH(123,'ON ROAD RETURN'!$N$4:$N$167,0)))</f>
        <v/>
      </c>
      <c r="J156" s="15" t="str">
        <f>IF(123&gt;$D$21,"",INDEX('ON ROAD RETURN'!$E$4:$E$167,MATCH(123,'ON ROAD RETURN'!$N$4:$N$167,0)))</f>
        <v/>
      </c>
      <c r="L156" s="12" t="str">
        <f>IF(123&gt;$D$21,"",INDEX('ON ROAD RETURN'!$C$4:$C$167,MATCH(123,'ON ROAD RETURN'!$N$4:$N$167,0)))</f>
        <v/>
      </c>
      <c r="M156" s="7" t="str">
        <f>IF(123&gt;$D$21,"",ROUND(INDEX('ON ROAD RETURN'!$H$4:$H$167,MATCH(123,'ON ROAD RETURN'!$N$4:$N$167,0)),2))</f>
        <v/>
      </c>
    </row>
    <row r="157" spans="1:13" x14ac:dyDescent="0.25">
      <c r="A157" s="2" t="str">
        <f>IF(124&gt;$D$21,"",INDEX('ON ROAD RETURN'!$L$4:$L$167,MATCH(124,'ON ROAD RETURN'!$N$4:$N$167,0)))</f>
        <v/>
      </c>
      <c r="C157" s="2" t="str">
        <f>IF(124&gt;$D$21,"",INDEX('ON ROAD RETURN'!$M$4:$M$167,MATCH(124,'ON ROAD RETURN'!$N$4:$N$167,0)))</f>
        <v/>
      </c>
      <c r="I157" s="15" t="str">
        <f>IF(124&gt;$D$21,"",INDEX('ON ROAD RETURN'!$D$4:$D$167,MATCH(124,'ON ROAD RETURN'!$N$4:$N$167,0)))</f>
        <v/>
      </c>
      <c r="J157" s="15" t="str">
        <f>IF(124&gt;$D$21,"",INDEX('ON ROAD RETURN'!$E$4:$E$167,MATCH(124,'ON ROAD RETURN'!$N$4:$N$167,0)))</f>
        <v/>
      </c>
      <c r="L157" s="12" t="str">
        <f>IF(124&gt;$D$21,"",INDEX('ON ROAD RETURN'!$C$4:$C$167,MATCH(124,'ON ROAD RETURN'!$N$4:$N$167,0)))</f>
        <v/>
      </c>
      <c r="M157" s="7" t="str">
        <f>IF(124&gt;$D$21,"",ROUND(INDEX('ON ROAD RETURN'!$H$4:$H$167,MATCH(124,'ON ROAD RETURN'!$N$4:$N$167,0)),2))</f>
        <v/>
      </c>
    </row>
    <row r="158" spans="1:13" x14ac:dyDescent="0.25">
      <c r="A158" s="2" t="str">
        <f>IF(125&gt;$D$21,"",INDEX('ON ROAD RETURN'!$L$4:$L$167,MATCH(125,'ON ROAD RETURN'!$N$4:$N$167,0)))</f>
        <v/>
      </c>
      <c r="C158" s="2" t="str">
        <f>IF(125&gt;$D$21,"",INDEX('ON ROAD RETURN'!$M$4:$M$167,MATCH(125,'ON ROAD RETURN'!$N$4:$N$167,0)))</f>
        <v/>
      </c>
      <c r="I158" s="15" t="str">
        <f>IF(125&gt;$D$21,"",INDEX('ON ROAD RETURN'!$D$4:$D$167,MATCH(125,'ON ROAD RETURN'!$N$4:$N$167,0)))</f>
        <v/>
      </c>
      <c r="J158" s="15" t="str">
        <f>IF(125&gt;$D$21,"",INDEX('ON ROAD RETURN'!$E$4:$E$167,MATCH(125,'ON ROAD RETURN'!$N$4:$N$167,0)))</f>
        <v/>
      </c>
      <c r="L158" s="12" t="str">
        <f>IF(125&gt;$D$21,"",INDEX('ON ROAD RETURN'!$C$4:$C$167,MATCH(125,'ON ROAD RETURN'!$N$4:$N$167,0)))</f>
        <v/>
      </c>
      <c r="M158" s="7" t="str">
        <f>IF(125&gt;$D$21,"",ROUND(INDEX('ON ROAD RETURN'!$H$4:$H$167,MATCH(125,'ON ROAD RETURN'!$N$4:$N$167,0)),2))</f>
        <v/>
      </c>
    </row>
    <row r="159" spans="1:13" x14ac:dyDescent="0.25">
      <c r="A159" s="2" t="str">
        <f>IF(126&gt;$D$21,"",INDEX('ON ROAD RETURN'!$L$4:$L$167,MATCH(126,'ON ROAD RETURN'!$N$4:$N$167,0)))</f>
        <v/>
      </c>
      <c r="C159" s="2" t="str">
        <f>IF(126&gt;$D$21,"",INDEX('ON ROAD RETURN'!$M$4:$M$167,MATCH(126,'ON ROAD RETURN'!$N$4:$N$167,0)))</f>
        <v/>
      </c>
      <c r="I159" s="15" t="str">
        <f>IF(126&gt;$D$21,"",INDEX('ON ROAD RETURN'!$D$4:$D$167,MATCH(126,'ON ROAD RETURN'!$N$4:$N$167,0)))</f>
        <v/>
      </c>
      <c r="J159" s="15" t="str">
        <f>IF(126&gt;$D$21,"",INDEX('ON ROAD RETURN'!$E$4:$E$167,MATCH(126,'ON ROAD RETURN'!$N$4:$N$167,0)))</f>
        <v/>
      </c>
      <c r="L159" s="12" t="str">
        <f>IF(126&gt;$D$21,"",INDEX('ON ROAD RETURN'!$C$4:$C$167,MATCH(126,'ON ROAD RETURN'!$N$4:$N$167,0)))</f>
        <v/>
      </c>
      <c r="M159" s="7" t="str">
        <f>IF(126&gt;$D$21,"",ROUND(INDEX('ON ROAD RETURN'!$H$4:$H$167,MATCH(126,'ON ROAD RETURN'!$N$4:$N$167,0)),2))</f>
        <v/>
      </c>
    </row>
    <row r="160" spans="1:13" x14ac:dyDescent="0.25">
      <c r="A160" s="2" t="str">
        <f>IF(127&gt;$D$21,"",INDEX('ON ROAD RETURN'!$L$4:$L$167,MATCH(127,'ON ROAD RETURN'!$N$4:$N$167,0)))</f>
        <v/>
      </c>
      <c r="C160" s="2" t="str">
        <f>IF(127&gt;$D$21,"",INDEX('ON ROAD RETURN'!$M$4:$M$167,MATCH(127,'ON ROAD RETURN'!$N$4:$N$167,0)))</f>
        <v/>
      </c>
      <c r="I160" s="15" t="str">
        <f>IF(127&gt;$D$21,"",INDEX('ON ROAD RETURN'!$D$4:$D$167,MATCH(127,'ON ROAD RETURN'!$N$4:$N$167,0)))</f>
        <v/>
      </c>
      <c r="J160" s="15" t="str">
        <f>IF(127&gt;$D$21,"",INDEX('ON ROAD RETURN'!$E$4:$E$167,MATCH(127,'ON ROAD RETURN'!$N$4:$N$167,0)))</f>
        <v/>
      </c>
      <c r="L160" s="12" t="str">
        <f>IF(127&gt;$D$21,"",INDEX('ON ROAD RETURN'!$C$4:$C$167,MATCH(127,'ON ROAD RETURN'!$N$4:$N$167,0)))</f>
        <v/>
      </c>
      <c r="M160" s="7" t="str">
        <f>IF(127&gt;$D$21,"",ROUND(INDEX('ON ROAD RETURN'!$H$4:$H$167,MATCH(127,'ON ROAD RETURN'!$N$4:$N$167,0)),2))</f>
        <v/>
      </c>
    </row>
    <row r="161" spans="1:13" x14ac:dyDescent="0.25">
      <c r="A161" s="2" t="str">
        <f>IF(128&gt;$D$21,"",INDEX('ON ROAD RETURN'!$L$4:$L$167,MATCH(128,'ON ROAD RETURN'!$N$4:$N$167,0)))</f>
        <v/>
      </c>
      <c r="C161" s="2" t="str">
        <f>IF(128&gt;$D$21,"",INDEX('ON ROAD RETURN'!$M$4:$M$167,MATCH(128,'ON ROAD RETURN'!$N$4:$N$167,0)))</f>
        <v/>
      </c>
      <c r="I161" s="15" t="str">
        <f>IF(128&gt;$D$21,"",INDEX('ON ROAD RETURN'!$D$4:$D$167,MATCH(128,'ON ROAD RETURN'!$N$4:$N$167,0)))</f>
        <v/>
      </c>
      <c r="J161" s="15" t="str">
        <f>IF(128&gt;$D$21,"",INDEX('ON ROAD RETURN'!$E$4:$E$167,MATCH(128,'ON ROAD RETURN'!$N$4:$N$167,0)))</f>
        <v/>
      </c>
      <c r="L161" s="12" t="str">
        <f>IF(128&gt;$D$21,"",INDEX('ON ROAD RETURN'!$C$4:$C$167,MATCH(128,'ON ROAD RETURN'!$N$4:$N$167,0)))</f>
        <v/>
      </c>
      <c r="M161" s="7" t="str">
        <f>IF(128&gt;$D$21,"",ROUND(INDEX('ON ROAD RETURN'!$H$4:$H$167,MATCH(128,'ON ROAD RETURN'!$N$4:$N$167,0)),2))</f>
        <v/>
      </c>
    </row>
    <row r="162" spans="1:13" x14ac:dyDescent="0.25">
      <c r="A162" s="2" t="str">
        <f>IF(129&gt;$D$21,"",INDEX('ON ROAD RETURN'!$L$4:$L$167,MATCH(129,'ON ROAD RETURN'!$N$4:$N$167,0)))</f>
        <v/>
      </c>
      <c r="C162" s="2" t="str">
        <f>IF(129&gt;$D$21,"",INDEX('ON ROAD RETURN'!$M$4:$M$167,MATCH(129,'ON ROAD RETURN'!$N$4:$N$167,0)))</f>
        <v/>
      </c>
      <c r="I162" s="15" t="str">
        <f>IF(129&gt;$D$21,"",INDEX('ON ROAD RETURN'!$D$4:$D$167,MATCH(129,'ON ROAD RETURN'!$N$4:$N$167,0)))</f>
        <v/>
      </c>
      <c r="J162" s="15" t="str">
        <f>IF(129&gt;$D$21,"",INDEX('ON ROAD RETURN'!$E$4:$E$167,MATCH(129,'ON ROAD RETURN'!$N$4:$N$167,0)))</f>
        <v/>
      </c>
      <c r="L162" s="12" t="str">
        <f>IF(129&gt;$D$21,"",INDEX('ON ROAD RETURN'!$C$4:$C$167,MATCH(129,'ON ROAD RETURN'!$N$4:$N$167,0)))</f>
        <v/>
      </c>
      <c r="M162" s="7" t="str">
        <f>IF(129&gt;$D$21,"",ROUND(INDEX('ON ROAD RETURN'!$H$4:$H$167,MATCH(129,'ON ROAD RETURN'!$N$4:$N$167,0)),2))</f>
        <v/>
      </c>
    </row>
    <row r="163" spans="1:13" x14ac:dyDescent="0.25">
      <c r="A163" s="2" t="str">
        <f>IF(130&gt;$D$21,"",INDEX('ON ROAD RETURN'!$L$4:$L$167,MATCH(130,'ON ROAD RETURN'!$N$4:$N$167,0)))</f>
        <v/>
      </c>
      <c r="C163" s="2" t="str">
        <f>IF(130&gt;$D$21,"",INDEX('ON ROAD RETURN'!$M$4:$M$167,MATCH(130,'ON ROAD RETURN'!$N$4:$N$167,0)))</f>
        <v/>
      </c>
      <c r="I163" s="15" t="str">
        <f>IF(130&gt;$D$21,"",INDEX('ON ROAD RETURN'!$D$4:$D$167,MATCH(130,'ON ROAD RETURN'!$N$4:$N$167,0)))</f>
        <v/>
      </c>
      <c r="J163" s="15" t="str">
        <f>IF(130&gt;$D$21,"",INDEX('ON ROAD RETURN'!$E$4:$E$167,MATCH(130,'ON ROAD RETURN'!$N$4:$N$167,0)))</f>
        <v/>
      </c>
      <c r="L163" s="12" t="str">
        <f>IF(130&gt;$D$21,"",INDEX('ON ROAD RETURN'!$C$4:$C$167,MATCH(130,'ON ROAD RETURN'!$N$4:$N$167,0)))</f>
        <v/>
      </c>
      <c r="M163" s="7" t="str">
        <f>IF(130&gt;$D$21,"",ROUND(INDEX('ON ROAD RETURN'!$H$4:$H$167,MATCH(130,'ON ROAD RETURN'!$N$4:$N$167,0)),2))</f>
        <v/>
      </c>
    </row>
    <row r="164" spans="1:13" x14ac:dyDescent="0.25">
      <c r="A164" s="2" t="str">
        <f>IF(131&gt;$D$21,"",INDEX('ON ROAD RETURN'!$L$4:$L$167,MATCH(131,'ON ROAD RETURN'!$N$4:$N$167,0)))</f>
        <v/>
      </c>
      <c r="C164" s="2" t="str">
        <f>IF(131&gt;$D$21,"",INDEX('ON ROAD RETURN'!$M$4:$M$167,MATCH(131,'ON ROAD RETURN'!$N$4:$N$167,0)))</f>
        <v/>
      </c>
      <c r="I164" s="15" t="str">
        <f>IF(131&gt;$D$21,"",INDEX('ON ROAD RETURN'!$D$4:$D$167,MATCH(131,'ON ROAD RETURN'!$N$4:$N$167,0)))</f>
        <v/>
      </c>
      <c r="J164" s="15" t="str">
        <f>IF(131&gt;$D$21,"",INDEX('ON ROAD RETURN'!$E$4:$E$167,MATCH(131,'ON ROAD RETURN'!$N$4:$N$167,0)))</f>
        <v/>
      </c>
      <c r="L164" s="12" t="str">
        <f>IF(131&gt;$D$21,"",INDEX('ON ROAD RETURN'!$C$4:$C$167,MATCH(131,'ON ROAD RETURN'!$N$4:$N$167,0)))</f>
        <v/>
      </c>
      <c r="M164" s="7" t="str">
        <f>IF(131&gt;$D$21,"",ROUND(INDEX('ON ROAD RETURN'!$H$4:$H$167,MATCH(131,'ON ROAD RETURN'!$N$4:$N$167,0)),2))</f>
        <v/>
      </c>
    </row>
    <row r="165" spans="1:13" x14ac:dyDescent="0.25">
      <c r="A165" s="2" t="str">
        <f>IF(132&gt;$D$21,"",INDEX('ON ROAD RETURN'!$L$4:$L$167,MATCH(132,'ON ROAD RETURN'!$N$4:$N$167,0)))</f>
        <v/>
      </c>
      <c r="C165" s="2" t="str">
        <f>IF(132&gt;$D$21,"",INDEX('ON ROAD RETURN'!$M$4:$M$167,MATCH(132,'ON ROAD RETURN'!$N$4:$N$167,0)))</f>
        <v/>
      </c>
      <c r="I165" s="15" t="str">
        <f>IF(132&gt;$D$21,"",INDEX('ON ROAD RETURN'!$D$4:$D$167,MATCH(132,'ON ROAD RETURN'!$N$4:$N$167,0)))</f>
        <v/>
      </c>
      <c r="J165" s="15" t="str">
        <f>IF(132&gt;$D$21,"",INDEX('ON ROAD RETURN'!$E$4:$E$167,MATCH(132,'ON ROAD RETURN'!$N$4:$N$167,0)))</f>
        <v/>
      </c>
      <c r="L165" s="12" t="str">
        <f>IF(132&gt;$D$21,"",INDEX('ON ROAD RETURN'!$C$4:$C$167,MATCH(132,'ON ROAD RETURN'!$N$4:$N$167,0)))</f>
        <v/>
      </c>
      <c r="M165" s="7" t="str">
        <f>IF(132&gt;$D$21,"",ROUND(INDEX('ON ROAD RETURN'!$H$4:$H$167,MATCH(132,'ON ROAD RETURN'!$N$4:$N$167,0)),2))</f>
        <v/>
      </c>
    </row>
    <row r="166" spans="1:13" x14ac:dyDescent="0.25">
      <c r="A166" s="2" t="str">
        <f>IF(133&gt;$D$21,"",INDEX('ON ROAD RETURN'!$L$4:$L$167,MATCH(133,'ON ROAD RETURN'!$N$4:$N$167,0)))</f>
        <v/>
      </c>
      <c r="C166" s="2" t="str">
        <f>IF(133&gt;$D$21,"",INDEX('ON ROAD RETURN'!$M$4:$M$167,MATCH(133,'ON ROAD RETURN'!$N$4:$N$167,0)))</f>
        <v/>
      </c>
      <c r="I166" s="15" t="str">
        <f>IF(133&gt;$D$21,"",INDEX('ON ROAD RETURN'!$D$4:$D$167,MATCH(133,'ON ROAD RETURN'!$N$4:$N$167,0)))</f>
        <v/>
      </c>
      <c r="J166" s="15" t="str">
        <f>IF(133&gt;$D$21,"",INDEX('ON ROAD RETURN'!$E$4:$E$167,MATCH(133,'ON ROAD RETURN'!$N$4:$N$167,0)))</f>
        <v/>
      </c>
      <c r="L166" s="12" t="str">
        <f>IF(133&gt;$D$21,"",INDEX('ON ROAD RETURN'!$C$4:$C$167,MATCH(133,'ON ROAD RETURN'!$N$4:$N$167,0)))</f>
        <v/>
      </c>
      <c r="M166" s="7" t="str">
        <f>IF(133&gt;$D$21,"",ROUND(INDEX('ON ROAD RETURN'!$H$4:$H$167,MATCH(133,'ON ROAD RETURN'!$N$4:$N$167,0)),2))</f>
        <v/>
      </c>
    </row>
    <row r="167" spans="1:13" x14ac:dyDescent="0.25">
      <c r="A167" s="2" t="str">
        <f>IF(134&gt;$D$21,"",INDEX('ON ROAD RETURN'!$L$4:$L$167,MATCH(134,'ON ROAD RETURN'!$N$4:$N$167,0)))</f>
        <v/>
      </c>
      <c r="C167" s="2" t="str">
        <f>IF(134&gt;$D$21,"",INDEX('ON ROAD RETURN'!$M$4:$M$167,MATCH(134,'ON ROAD RETURN'!$N$4:$N$167,0)))</f>
        <v/>
      </c>
      <c r="I167" s="15" t="str">
        <f>IF(134&gt;$D$21,"",INDEX('ON ROAD RETURN'!$D$4:$D$167,MATCH(134,'ON ROAD RETURN'!$N$4:$N$167,0)))</f>
        <v/>
      </c>
      <c r="J167" s="15" t="str">
        <f>IF(134&gt;$D$21,"",INDEX('ON ROAD RETURN'!$E$4:$E$167,MATCH(134,'ON ROAD RETURN'!$N$4:$N$167,0)))</f>
        <v/>
      </c>
      <c r="L167" s="12" t="str">
        <f>IF(134&gt;$D$21,"",INDEX('ON ROAD RETURN'!$C$4:$C$167,MATCH(134,'ON ROAD RETURN'!$N$4:$N$167,0)))</f>
        <v/>
      </c>
      <c r="M167" s="7" t="str">
        <f>IF(134&gt;$D$21,"",ROUND(INDEX('ON ROAD RETURN'!$H$4:$H$167,MATCH(134,'ON ROAD RETURN'!$N$4:$N$167,0)),2))</f>
        <v/>
      </c>
    </row>
    <row r="168" spans="1:13" x14ac:dyDescent="0.25">
      <c r="A168" s="2" t="str">
        <f>IF(135&gt;$D$21,"",INDEX('ON ROAD RETURN'!$L$4:$L$167,MATCH(135,'ON ROAD RETURN'!$N$4:$N$167,0)))</f>
        <v/>
      </c>
      <c r="C168" s="2" t="str">
        <f>IF(135&gt;$D$21,"",INDEX('ON ROAD RETURN'!$M$4:$M$167,MATCH(135,'ON ROAD RETURN'!$N$4:$N$167,0)))</f>
        <v/>
      </c>
      <c r="I168" s="15" t="str">
        <f>IF(135&gt;$D$21,"",INDEX('ON ROAD RETURN'!$D$4:$D$167,MATCH(135,'ON ROAD RETURN'!$N$4:$N$167,0)))</f>
        <v/>
      </c>
      <c r="J168" s="15" t="str">
        <f>IF(135&gt;$D$21,"",INDEX('ON ROAD RETURN'!$E$4:$E$167,MATCH(135,'ON ROAD RETURN'!$N$4:$N$167,0)))</f>
        <v/>
      </c>
      <c r="L168" s="12" t="str">
        <f>IF(135&gt;$D$21,"",INDEX('ON ROAD RETURN'!$C$4:$C$167,MATCH(135,'ON ROAD RETURN'!$N$4:$N$167,0)))</f>
        <v/>
      </c>
      <c r="M168" s="7" t="str">
        <f>IF(135&gt;$D$21,"",ROUND(INDEX('ON ROAD RETURN'!$H$4:$H$167,MATCH(135,'ON ROAD RETURN'!$N$4:$N$167,0)),2))</f>
        <v/>
      </c>
    </row>
    <row r="169" spans="1:13" x14ac:dyDescent="0.25">
      <c r="A169" s="2" t="str">
        <f>IF(136&gt;$D$21,"",INDEX('ON ROAD RETURN'!$L$4:$L$167,MATCH(136,'ON ROAD RETURN'!$N$4:$N$167,0)))</f>
        <v/>
      </c>
      <c r="C169" s="2" t="str">
        <f>IF(136&gt;$D$21,"",INDEX('ON ROAD RETURN'!$M$4:$M$167,MATCH(136,'ON ROAD RETURN'!$N$4:$N$167,0)))</f>
        <v/>
      </c>
      <c r="I169" s="15" t="str">
        <f>IF(136&gt;$D$21,"",INDEX('ON ROAD RETURN'!$D$4:$D$167,MATCH(136,'ON ROAD RETURN'!$N$4:$N$167,0)))</f>
        <v/>
      </c>
      <c r="J169" s="15" t="str">
        <f>IF(136&gt;$D$21,"",INDEX('ON ROAD RETURN'!$E$4:$E$167,MATCH(136,'ON ROAD RETURN'!$N$4:$N$167,0)))</f>
        <v/>
      </c>
      <c r="L169" s="12" t="str">
        <f>IF(136&gt;$D$21,"",INDEX('ON ROAD RETURN'!$C$4:$C$167,MATCH(136,'ON ROAD RETURN'!$N$4:$N$167,0)))</f>
        <v/>
      </c>
      <c r="M169" s="7" t="str">
        <f>IF(136&gt;$D$21,"",ROUND(INDEX('ON ROAD RETURN'!$H$4:$H$167,MATCH(136,'ON ROAD RETURN'!$N$4:$N$167,0)),2))</f>
        <v/>
      </c>
    </row>
    <row r="170" spans="1:13" x14ac:dyDescent="0.25">
      <c r="A170" s="2" t="str">
        <f>IF(137&gt;$D$21,"",INDEX('ON ROAD RETURN'!$L$4:$L$167,MATCH(137,'ON ROAD RETURN'!$N$4:$N$167,0)))</f>
        <v/>
      </c>
      <c r="C170" s="2" t="str">
        <f>IF(137&gt;$D$21,"",INDEX('ON ROAD RETURN'!$M$4:$M$167,MATCH(137,'ON ROAD RETURN'!$N$4:$N$167,0)))</f>
        <v/>
      </c>
      <c r="I170" s="15" t="str">
        <f>IF(137&gt;$D$21,"",INDEX('ON ROAD RETURN'!$D$4:$D$167,MATCH(137,'ON ROAD RETURN'!$N$4:$N$167,0)))</f>
        <v/>
      </c>
      <c r="J170" s="15" t="str">
        <f>IF(137&gt;$D$21,"",INDEX('ON ROAD RETURN'!$E$4:$E$167,MATCH(137,'ON ROAD RETURN'!$N$4:$N$167,0)))</f>
        <v/>
      </c>
      <c r="L170" s="12" t="str">
        <f>IF(137&gt;$D$21,"",INDEX('ON ROAD RETURN'!$C$4:$C$167,MATCH(137,'ON ROAD RETURN'!$N$4:$N$167,0)))</f>
        <v/>
      </c>
      <c r="M170" s="7" t="str">
        <f>IF(137&gt;$D$21,"",ROUND(INDEX('ON ROAD RETURN'!$H$4:$H$167,MATCH(137,'ON ROAD RETURN'!$N$4:$N$167,0)),2))</f>
        <v/>
      </c>
    </row>
    <row r="171" spans="1:13" x14ac:dyDescent="0.25">
      <c r="A171" s="2" t="str">
        <f>IF(138&gt;$D$21,"",INDEX('ON ROAD RETURN'!$L$4:$L$167,MATCH(138,'ON ROAD RETURN'!$N$4:$N$167,0)))</f>
        <v/>
      </c>
      <c r="C171" s="2" t="str">
        <f>IF(138&gt;$D$21,"",INDEX('ON ROAD RETURN'!$M$4:$M$167,MATCH(138,'ON ROAD RETURN'!$N$4:$N$167,0)))</f>
        <v/>
      </c>
      <c r="I171" s="15" t="str">
        <f>IF(138&gt;$D$21,"",INDEX('ON ROAD RETURN'!$D$4:$D$167,MATCH(138,'ON ROAD RETURN'!$N$4:$N$167,0)))</f>
        <v/>
      </c>
      <c r="J171" s="15" t="str">
        <f>IF(138&gt;$D$21,"",INDEX('ON ROAD RETURN'!$E$4:$E$167,MATCH(138,'ON ROAD RETURN'!$N$4:$N$167,0)))</f>
        <v/>
      </c>
      <c r="L171" s="12" t="str">
        <f>IF(138&gt;$D$21,"",INDEX('ON ROAD RETURN'!$C$4:$C$167,MATCH(138,'ON ROAD RETURN'!$N$4:$N$167,0)))</f>
        <v/>
      </c>
      <c r="M171" s="7" t="str">
        <f>IF(138&gt;$D$21,"",ROUND(INDEX('ON ROAD RETURN'!$H$4:$H$167,MATCH(138,'ON ROAD RETURN'!$N$4:$N$167,0)),2))</f>
        <v/>
      </c>
    </row>
    <row r="172" spans="1:13" x14ac:dyDescent="0.25">
      <c r="A172" s="2" t="str">
        <f>IF(139&gt;$D$21,"",INDEX('ON ROAD RETURN'!$L$4:$L$167,MATCH(139,'ON ROAD RETURN'!$N$4:$N$167,0)))</f>
        <v/>
      </c>
      <c r="C172" s="2" t="str">
        <f>IF(139&gt;$D$21,"",INDEX('ON ROAD RETURN'!$M$4:$M$167,MATCH(139,'ON ROAD RETURN'!$N$4:$N$167,0)))</f>
        <v/>
      </c>
      <c r="I172" s="15" t="str">
        <f>IF(139&gt;$D$21,"",INDEX('ON ROAD RETURN'!$D$4:$D$167,MATCH(139,'ON ROAD RETURN'!$N$4:$N$167,0)))</f>
        <v/>
      </c>
      <c r="J172" s="15" t="str">
        <f>IF(139&gt;$D$21,"",INDEX('ON ROAD RETURN'!$E$4:$E$167,MATCH(139,'ON ROAD RETURN'!$N$4:$N$167,0)))</f>
        <v/>
      </c>
      <c r="L172" s="12" t="str">
        <f>IF(139&gt;$D$21,"",INDEX('ON ROAD RETURN'!$C$4:$C$167,MATCH(139,'ON ROAD RETURN'!$N$4:$N$167,0)))</f>
        <v/>
      </c>
      <c r="M172" s="7" t="str">
        <f>IF(139&gt;$D$21,"",ROUND(INDEX('ON ROAD RETURN'!$H$4:$H$167,MATCH(139,'ON ROAD RETURN'!$N$4:$N$167,0)),2))</f>
        <v/>
      </c>
    </row>
    <row r="173" spans="1:13" x14ac:dyDescent="0.25">
      <c r="A173" s="2" t="str">
        <f>IF(140&gt;$D$21,"",INDEX('ON ROAD RETURN'!$L$4:$L$167,MATCH(140,'ON ROAD RETURN'!$N$4:$N$167,0)))</f>
        <v/>
      </c>
      <c r="C173" s="2" t="str">
        <f>IF(140&gt;$D$21,"",INDEX('ON ROAD RETURN'!$M$4:$M$167,MATCH(140,'ON ROAD RETURN'!$N$4:$N$167,0)))</f>
        <v/>
      </c>
      <c r="I173" s="15" t="str">
        <f>IF(140&gt;$D$21,"",INDEX('ON ROAD RETURN'!$D$4:$D$167,MATCH(140,'ON ROAD RETURN'!$N$4:$N$167,0)))</f>
        <v/>
      </c>
      <c r="J173" s="15" t="str">
        <f>IF(140&gt;$D$21,"",INDEX('ON ROAD RETURN'!$E$4:$E$167,MATCH(140,'ON ROAD RETURN'!$N$4:$N$167,0)))</f>
        <v/>
      </c>
      <c r="L173" s="12" t="str">
        <f>IF(140&gt;$D$21,"",INDEX('ON ROAD RETURN'!$C$4:$C$167,MATCH(140,'ON ROAD RETURN'!$N$4:$N$167,0)))</f>
        <v/>
      </c>
      <c r="M173" s="7" t="str">
        <f>IF(140&gt;$D$21,"",ROUND(INDEX('ON ROAD RETURN'!$H$4:$H$167,MATCH(140,'ON ROAD RETURN'!$N$4:$N$167,0)),2))</f>
        <v/>
      </c>
    </row>
    <row r="174" spans="1:13" x14ac:dyDescent="0.25">
      <c r="A174" s="2" t="str">
        <f>IF(141&gt;$D$21,"",INDEX('ON ROAD RETURN'!$L$4:$L$167,MATCH(141,'ON ROAD RETURN'!$N$4:$N$167,0)))</f>
        <v/>
      </c>
      <c r="C174" s="2" t="str">
        <f>IF(141&gt;$D$21,"",INDEX('ON ROAD RETURN'!$M$4:$M$167,MATCH(141,'ON ROAD RETURN'!$N$4:$N$167,0)))</f>
        <v/>
      </c>
      <c r="I174" s="15" t="str">
        <f>IF(141&gt;$D$21,"",INDEX('ON ROAD RETURN'!$D$4:$D$167,MATCH(141,'ON ROAD RETURN'!$N$4:$N$167,0)))</f>
        <v/>
      </c>
      <c r="J174" s="15" t="str">
        <f>IF(141&gt;$D$21,"",INDEX('ON ROAD RETURN'!$E$4:$E$167,MATCH(141,'ON ROAD RETURN'!$N$4:$N$167,0)))</f>
        <v/>
      </c>
      <c r="L174" s="12" t="str">
        <f>IF(141&gt;$D$21,"",INDEX('ON ROAD RETURN'!$C$4:$C$167,MATCH(141,'ON ROAD RETURN'!$N$4:$N$167,0)))</f>
        <v/>
      </c>
      <c r="M174" s="7" t="str">
        <f>IF(141&gt;$D$21,"",ROUND(INDEX('ON ROAD RETURN'!$H$4:$H$167,MATCH(141,'ON ROAD RETURN'!$N$4:$N$167,0)),2))</f>
        <v/>
      </c>
    </row>
    <row r="175" spans="1:13" x14ac:dyDescent="0.25">
      <c r="A175" s="2" t="str">
        <f>IF(142&gt;$D$21,"",INDEX('ON ROAD RETURN'!$L$4:$L$167,MATCH(142,'ON ROAD RETURN'!$N$4:$N$167,0)))</f>
        <v/>
      </c>
      <c r="C175" s="2" t="str">
        <f>IF(142&gt;$D$21,"",INDEX('ON ROAD RETURN'!$M$4:$M$167,MATCH(142,'ON ROAD RETURN'!$N$4:$N$167,0)))</f>
        <v/>
      </c>
      <c r="I175" s="15" t="str">
        <f>IF(142&gt;$D$21,"",INDEX('ON ROAD RETURN'!$D$4:$D$167,MATCH(142,'ON ROAD RETURN'!$N$4:$N$167,0)))</f>
        <v/>
      </c>
      <c r="J175" s="15" t="str">
        <f>IF(142&gt;$D$21,"",INDEX('ON ROAD RETURN'!$E$4:$E$167,MATCH(142,'ON ROAD RETURN'!$N$4:$N$167,0)))</f>
        <v/>
      </c>
      <c r="L175" s="12" t="str">
        <f>IF(142&gt;$D$21,"",INDEX('ON ROAD RETURN'!$C$4:$C$167,MATCH(142,'ON ROAD RETURN'!$N$4:$N$167,0)))</f>
        <v/>
      </c>
      <c r="M175" s="7" t="str">
        <f>IF(142&gt;$D$21,"",ROUND(INDEX('ON ROAD RETURN'!$H$4:$H$167,MATCH(142,'ON ROAD RETURN'!$N$4:$N$167,0)),2))</f>
        <v/>
      </c>
    </row>
    <row r="176" spans="1:13" x14ac:dyDescent="0.25">
      <c r="A176" s="2" t="str">
        <f>IF(143&gt;$D$21,"",INDEX('ON ROAD RETURN'!$L$4:$L$167,MATCH(143,'ON ROAD RETURN'!$N$4:$N$167,0)))</f>
        <v/>
      </c>
      <c r="C176" s="2" t="str">
        <f>IF(143&gt;$D$21,"",INDEX('ON ROAD RETURN'!$M$4:$M$167,MATCH(143,'ON ROAD RETURN'!$N$4:$N$167,0)))</f>
        <v/>
      </c>
      <c r="I176" s="15" t="str">
        <f>IF(143&gt;$D$21,"",INDEX('ON ROAD RETURN'!$D$4:$D$167,MATCH(143,'ON ROAD RETURN'!$N$4:$N$167,0)))</f>
        <v/>
      </c>
      <c r="J176" s="15" t="str">
        <f>IF(143&gt;$D$21,"",INDEX('ON ROAD RETURN'!$E$4:$E$167,MATCH(143,'ON ROAD RETURN'!$N$4:$N$167,0)))</f>
        <v/>
      </c>
      <c r="L176" s="12" t="str">
        <f>IF(143&gt;$D$21,"",INDEX('ON ROAD RETURN'!$C$4:$C$167,MATCH(143,'ON ROAD RETURN'!$N$4:$N$167,0)))</f>
        <v/>
      </c>
      <c r="M176" s="7" t="str">
        <f>IF(143&gt;$D$21,"",ROUND(INDEX('ON ROAD RETURN'!$H$4:$H$167,MATCH(143,'ON ROAD RETURN'!$N$4:$N$167,0)),2))</f>
        <v/>
      </c>
    </row>
    <row r="177" spans="1:13" x14ac:dyDescent="0.25">
      <c r="A177" s="2" t="str">
        <f>IF(144&gt;$D$21,"",INDEX('ON ROAD RETURN'!$L$4:$L$167,MATCH(144,'ON ROAD RETURN'!$N$4:$N$167,0)))</f>
        <v/>
      </c>
      <c r="C177" s="2" t="str">
        <f>IF(144&gt;$D$21,"",INDEX('ON ROAD RETURN'!$M$4:$M$167,MATCH(144,'ON ROAD RETURN'!$N$4:$N$167,0)))</f>
        <v/>
      </c>
      <c r="I177" s="15" t="str">
        <f>IF(144&gt;$D$21,"",INDEX('ON ROAD RETURN'!$D$4:$D$167,MATCH(144,'ON ROAD RETURN'!$N$4:$N$167,0)))</f>
        <v/>
      </c>
      <c r="J177" s="15" t="str">
        <f>IF(144&gt;$D$21,"",INDEX('ON ROAD RETURN'!$E$4:$E$167,MATCH(144,'ON ROAD RETURN'!$N$4:$N$167,0)))</f>
        <v/>
      </c>
      <c r="L177" s="12" t="str">
        <f>IF(144&gt;$D$21,"",INDEX('ON ROAD RETURN'!$C$4:$C$167,MATCH(144,'ON ROAD RETURN'!$N$4:$N$167,0)))</f>
        <v/>
      </c>
      <c r="M177" s="7" t="str">
        <f>IF(144&gt;$D$21,"",ROUND(INDEX('ON ROAD RETURN'!$H$4:$H$167,MATCH(144,'ON ROAD RETURN'!$N$4:$N$167,0)),2))</f>
        <v/>
      </c>
    </row>
    <row r="178" spans="1:13" x14ac:dyDescent="0.25">
      <c r="A178" s="2" t="str">
        <f>IF(145&gt;$D$21,"",INDEX('ON ROAD RETURN'!$L$4:$L$167,MATCH(145,'ON ROAD RETURN'!$N$4:$N$167,0)))</f>
        <v/>
      </c>
      <c r="C178" s="2" t="str">
        <f>IF(145&gt;$D$21,"",INDEX('ON ROAD RETURN'!$M$4:$M$167,MATCH(145,'ON ROAD RETURN'!$N$4:$N$167,0)))</f>
        <v/>
      </c>
      <c r="I178" s="15" t="str">
        <f>IF(145&gt;$D$21,"",INDEX('ON ROAD RETURN'!$D$4:$D$167,MATCH(145,'ON ROAD RETURN'!$N$4:$N$167,0)))</f>
        <v/>
      </c>
      <c r="J178" s="15" t="str">
        <f>IF(145&gt;$D$21,"",INDEX('ON ROAD RETURN'!$E$4:$E$167,MATCH(145,'ON ROAD RETURN'!$N$4:$N$167,0)))</f>
        <v/>
      </c>
      <c r="L178" s="12" t="str">
        <f>IF(145&gt;$D$21,"",INDEX('ON ROAD RETURN'!$C$4:$C$167,MATCH(145,'ON ROAD RETURN'!$N$4:$N$167,0)))</f>
        <v/>
      </c>
      <c r="M178" s="7" t="str">
        <f>IF(145&gt;$D$21,"",ROUND(INDEX('ON ROAD RETURN'!$H$4:$H$167,MATCH(145,'ON ROAD RETURN'!$N$4:$N$167,0)),2))</f>
        <v/>
      </c>
    </row>
    <row r="179" spans="1:13" x14ac:dyDescent="0.25">
      <c r="A179" s="2" t="str">
        <f>IF(146&gt;$D$21,"",INDEX('ON ROAD RETURN'!$L$4:$L$167,MATCH(146,'ON ROAD RETURN'!$N$4:$N$167,0)))</f>
        <v/>
      </c>
      <c r="C179" s="2" t="str">
        <f>IF(146&gt;$D$21,"",INDEX('ON ROAD RETURN'!$M$4:$M$167,MATCH(146,'ON ROAD RETURN'!$N$4:$N$167,0)))</f>
        <v/>
      </c>
      <c r="I179" s="15" t="str">
        <f>IF(146&gt;$D$21,"",INDEX('ON ROAD RETURN'!$D$4:$D$167,MATCH(146,'ON ROAD RETURN'!$N$4:$N$167,0)))</f>
        <v/>
      </c>
      <c r="J179" s="15" t="str">
        <f>IF(146&gt;$D$21,"",INDEX('ON ROAD RETURN'!$E$4:$E$167,MATCH(146,'ON ROAD RETURN'!$N$4:$N$167,0)))</f>
        <v/>
      </c>
      <c r="L179" s="12" t="str">
        <f>IF(146&gt;$D$21,"",INDEX('ON ROAD RETURN'!$C$4:$C$167,MATCH(146,'ON ROAD RETURN'!$N$4:$N$167,0)))</f>
        <v/>
      </c>
      <c r="M179" s="7" t="str">
        <f>IF(146&gt;$D$21,"",ROUND(INDEX('ON ROAD RETURN'!$H$4:$H$167,MATCH(146,'ON ROAD RETURN'!$N$4:$N$167,0)),2))</f>
        <v/>
      </c>
    </row>
    <row r="180" spans="1:13" x14ac:dyDescent="0.25">
      <c r="A180" s="2" t="str">
        <f>IF(147&gt;$D$21,"",INDEX('ON ROAD RETURN'!$L$4:$L$167,MATCH(147,'ON ROAD RETURN'!$N$4:$N$167,0)))</f>
        <v/>
      </c>
      <c r="C180" s="2" t="str">
        <f>IF(147&gt;$D$21,"",INDEX('ON ROAD RETURN'!$M$4:$M$167,MATCH(147,'ON ROAD RETURN'!$N$4:$N$167,0)))</f>
        <v/>
      </c>
      <c r="I180" s="15" t="str">
        <f>IF(147&gt;$D$21,"",INDEX('ON ROAD RETURN'!$D$4:$D$167,MATCH(147,'ON ROAD RETURN'!$N$4:$N$167,0)))</f>
        <v/>
      </c>
      <c r="J180" s="15" t="str">
        <f>IF(147&gt;$D$21,"",INDEX('ON ROAD RETURN'!$E$4:$E$167,MATCH(147,'ON ROAD RETURN'!$N$4:$N$167,0)))</f>
        <v/>
      </c>
      <c r="L180" s="12" t="str">
        <f>IF(147&gt;$D$21,"",INDEX('ON ROAD RETURN'!$C$4:$C$167,MATCH(147,'ON ROAD RETURN'!$N$4:$N$167,0)))</f>
        <v/>
      </c>
      <c r="M180" s="7" t="str">
        <f>IF(147&gt;$D$21,"",ROUND(INDEX('ON ROAD RETURN'!$H$4:$H$167,MATCH(147,'ON ROAD RETURN'!$N$4:$N$167,0)),2))</f>
        <v/>
      </c>
    </row>
    <row r="181" spans="1:13" x14ac:dyDescent="0.25">
      <c r="A181" s="2" t="str">
        <f>IF(148&gt;$D$21,"",INDEX('ON ROAD RETURN'!$L$4:$L$167,MATCH(148,'ON ROAD RETURN'!$N$4:$N$167,0)))</f>
        <v/>
      </c>
      <c r="C181" s="2" t="str">
        <f>IF(148&gt;$D$21,"",INDEX('ON ROAD RETURN'!$M$4:$M$167,MATCH(148,'ON ROAD RETURN'!$N$4:$N$167,0)))</f>
        <v/>
      </c>
      <c r="I181" s="15" t="str">
        <f>IF(148&gt;$D$21,"",INDEX('ON ROAD RETURN'!$D$4:$D$167,MATCH(148,'ON ROAD RETURN'!$N$4:$N$167,0)))</f>
        <v/>
      </c>
      <c r="J181" s="15" t="str">
        <f>IF(148&gt;$D$21,"",INDEX('ON ROAD RETURN'!$E$4:$E$167,MATCH(148,'ON ROAD RETURN'!$N$4:$N$167,0)))</f>
        <v/>
      </c>
      <c r="L181" s="12" t="str">
        <f>IF(148&gt;$D$21,"",INDEX('ON ROAD RETURN'!$C$4:$C$167,MATCH(148,'ON ROAD RETURN'!$N$4:$N$167,0)))</f>
        <v/>
      </c>
      <c r="M181" s="7" t="str">
        <f>IF(148&gt;$D$21,"",ROUND(INDEX('ON ROAD RETURN'!$H$4:$H$167,MATCH(148,'ON ROAD RETURN'!$N$4:$N$167,0)),2))</f>
        <v/>
      </c>
    </row>
    <row r="182" spans="1:13" x14ac:dyDescent="0.25">
      <c r="A182" s="2" t="str">
        <f>IF(149&gt;$D$21,"",INDEX('ON ROAD RETURN'!$L$4:$L$167,MATCH(149,'ON ROAD RETURN'!$N$4:$N$167,0)))</f>
        <v/>
      </c>
      <c r="C182" s="2" t="str">
        <f>IF(149&gt;$D$21,"",INDEX('ON ROAD RETURN'!$M$4:$M$167,MATCH(149,'ON ROAD RETURN'!$N$4:$N$167,0)))</f>
        <v/>
      </c>
      <c r="I182" s="15" t="str">
        <f>IF(149&gt;$D$21,"",INDEX('ON ROAD RETURN'!$D$4:$D$167,MATCH(149,'ON ROAD RETURN'!$N$4:$N$167,0)))</f>
        <v/>
      </c>
      <c r="J182" s="15" t="str">
        <f>IF(149&gt;$D$21,"",INDEX('ON ROAD RETURN'!$E$4:$E$167,MATCH(149,'ON ROAD RETURN'!$N$4:$N$167,0)))</f>
        <v/>
      </c>
      <c r="L182" s="12" t="str">
        <f>IF(149&gt;$D$21,"",INDEX('ON ROAD RETURN'!$C$4:$C$167,MATCH(149,'ON ROAD RETURN'!$N$4:$N$167,0)))</f>
        <v/>
      </c>
      <c r="M182" s="7" t="str">
        <f>IF(149&gt;$D$21,"",ROUND(INDEX('ON ROAD RETURN'!$H$4:$H$167,MATCH(149,'ON ROAD RETURN'!$N$4:$N$167,0)),2))</f>
        <v/>
      </c>
    </row>
    <row r="183" spans="1:13" x14ac:dyDescent="0.25">
      <c r="A183" s="2" t="str">
        <f>IF(150&gt;$D$21,"",INDEX('ON ROAD RETURN'!$L$4:$L$167,MATCH(150,'ON ROAD RETURN'!$N$4:$N$167,0)))</f>
        <v/>
      </c>
      <c r="C183" s="2" t="str">
        <f>IF(150&gt;$D$21,"",INDEX('ON ROAD RETURN'!$M$4:$M$167,MATCH(150,'ON ROAD RETURN'!$N$4:$N$167,0)))</f>
        <v/>
      </c>
      <c r="I183" s="15" t="str">
        <f>IF(150&gt;$D$21,"",INDEX('ON ROAD RETURN'!$D$4:$D$167,MATCH(150,'ON ROAD RETURN'!$N$4:$N$167,0)))</f>
        <v/>
      </c>
      <c r="J183" s="15" t="str">
        <f>IF(150&gt;$D$21,"",INDEX('ON ROAD RETURN'!$E$4:$E$167,MATCH(150,'ON ROAD RETURN'!$N$4:$N$167,0)))</f>
        <v/>
      </c>
      <c r="L183" s="12" t="str">
        <f>IF(150&gt;$D$21,"",INDEX('ON ROAD RETURN'!$C$4:$C$167,MATCH(150,'ON ROAD RETURN'!$N$4:$N$167,0)))</f>
        <v/>
      </c>
      <c r="M183" s="7" t="str">
        <f>IF(150&gt;$D$21,"",ROUND(INDEX('ON ROAD RETURN'!$H$4:$H$167,MATCH(150,'ON ROAD RETURN'!$N$4:$N$167,0)),2))</f>
        <v/>
      </c>
    </row>
    <row r="184" spans="1:13" x14ac:dyDescent="0.25">
      <c r="A184" s="2" t="str">
        <f>IF(151&gt;$D$21,"",INDEX('ON ROAD RETURN'!$L$4:$L$167,MATCH(151,'ON ROAD RETURN'!$N$4:$N$167,0)))</f>
        <v/>
      </c>
      <c r="C184" s="2" t="str">
        <f>IF(151&gt;$D$21,"",INDEX('ON ROAD RETURN'!$M$4:$M$167,MATCH(151,'ON ROAD RETURN'!$N$4:$N$167,0)))</f>
        <v/>
      </c>
      <c r="I184" s="15" t="str">
        <f>IF(151&gt;$D$21,"",INDEX('ON ROAD RETURN'!$D$4:$D$167,MATCH(151,'ON ROAD RETURN'!$N$4:$N$167,0)))</f>
        <v/>
      </c>
      <c r="J184" s="15" t="str">
        <f>IF(151&gt;$D$21,"",INDEX('ON ROAD RETURN'!$E$4:$E$167,MATCH(151,'ON ROAD RETURN'!$N$4:$N$167,0)))</f>
        <v/>
      </c>
      <c r="L184" s="12" t="str">
        <f>IF(151&gt;$D$21,"",INDEX('ON ROAD RETURN'!$C$4:$C$167,MATCH(151,'ON ROAD RETURN'!$N$4:$N$167,0)))</f>
        <v/>
      </c>
      <c r="M184" s="7" t="str">
        <f>IF(151&gt;$D$21,"",ROUND(INDEX('ON ROAD RETURN'!$H$4:$H$167,MATCH(151,'ON ROAD RETURN'!$N$4:$N$167,0)),2))</f>
        <v/>
      </c>
    </row>
    <row r="185" spans="1:13" x14ac:dyDescent="0.25">
      <c r="A185" s="2" t="str">
        <f>IF(152&gt;$D$21,"",INDEX('ON ROAD RETURN'!$L$4:$L$167,MATCH(152,'ON ROAD RETURN'!$N$4:$N$167,0)))</f>
        <v/>
      </c>
      <c r="C185" s="2" t="str">
        <f>IF(152&gt;$D$21,"",INDEX('ON ROAD RETURN'!$M$4:$M$167,MATCH(152,'ON ROAD RETURN'!$N$4:$N$167,0)))</f>
        <v/>
      </c>
      <c r="I185" s="15" t="str">
        <f>IF(152&gt;$D$21,"",INDEX('ON ROAD RETURN'!$D$4:$D$167,MATCH(152,'ON ROAD RETURN'!$N$4:$N$167,0)))</f>
        <v/>
      </c>
      <c r="J185" s="15" t="str">
        <f>IF(152&gt;$D$21,"",INDEX('ON ROAD RETURN'!$E$4:$E$167,MATCH(152,'ON ROAD RETURN'!$N$4:$N$167,0)))</f>
        <v/>
      </c>
      <c r="L185" s="12" t="str">
        <f>IF(152&gt;$D$21,"",INDEX('ON ROAD RETURN'!$C$4:$C$167,MATCH(152,'ON ROAD RETURN'!$N$4:$N$167,0)))</f>
        <v/>
      </c>
      <c r="M185" s="7" t="str">
        <f>IF(152&gt;$D$21,"",ROUND(INDEX('ON ROAD RETURN'!$H$4:$H$167,MATCH(152,'ON ROAD RETURN'!$N$4:$N$167,0)),2))</f>
        <v/>
      </c>
    </row>
    <row r="186" spans="1:13" x14ac:dyDescent="0.25">
      <c r="A186" s="2" t="str">
        <f>IF(153&gt;$D$21,"",INDEX('ON ROAD RETURN'!$L$4:$L$167,MATCH(153,'ON ROAD RETURN'!$N$4:$N$167,0)))</f>
        <v/>
      </c>
      <c r="C186" s="2" t="str">
        <f>IF(153&gt;$D$21,"",INDEX('ON ROAD RETURN'!$M$4:$M$167,MATCH(153,'ON ROAD RETURN'!$N$4:$N$167,0)))</f>
        <v/>
      </c>
      <c r="I186" s="15" t="str">
        <f>IF(153&gt;$D$21,"",INDEX('ON ROAD RETURN'!$D$4:$D$167,MATCH(153,'ON ROAD RETURN'!$N$4:$N$167,0)))</f>
        <v/>
      </c>
      <c r="J186" s="15" t="str">
        <f>IF(153&gt;$D$21,"",INDEX('ON ROAD RETURN'!$E$4:$E$167,MATCH(153,'ON ROAD RETURN'!$N$4:$N$167,0)))</f>
        <v/>
      </c>
      <c r="L186" s="12" t="str">
        <f>IF(153&gt;$D$21,"",INDEX('ON ROAD RETURN'!$C$4:$C$167,MATCH(153,'ON ROAD RETURN'!$N$4:$N$167,0)))</f>
        <v/>
      </c>
      <c r="M186" s="7" t="str">
        <f>IF(153&gt;$D$21,"",ROUND(INDEX('ON ROAD RETURN'!$H$4:$H$167,MATCH(153,'ON ROAD RETURN'!$N$4:$N$167,0)),2))</f>
        <v/>
      </c>
    </row>
    <row r="187" spans="1:13" x14ac:dyDescent="0.25">
      <c r="A187" s="2" t="str">
        <f>IF(154&gt;$D$21,"",INDEX('ON ROAD RETURN'!$L$4:$L$167,MATCH(154,'ON ROAD RETURN'!$N$4:$N$167,0)))</f>
        <v/>
      </c>
      <c r="C187" s="2" t="str">
        <f>IF(154&gt;$D$21,"",INDEX('ON ROAD RETURN'!$M$4:$M$167,MATCH(154,'ON ROAD RETURN'!$N$4:$N$167,0)))</f>
        <v/>
      </c>
      <c r="I187" s="15" t="str">
        <f>IF(154&gt;$D$21,"",INDEX('ON ROAD RETURN'!$D$4:$D$167,MATCH(154,'ON ROAD RETURN'!$N$4:$N$167,0)))</f>
        <v/>
      </c>
      <c r="J187" s="15" t="str">
        <f>IF(154&gt;$D$21,"",INDEX('ON ROAD RETURN'!$E$4:$E$167,MATCH(154,'ON ROAD RETURN'!$N$4:$N$167,0)))</f>
        <v/>
      </c>
      <c r="L187" s="12" t="str">
        <f>IF(154&gt;$D$21,"",INDEX('ON ROAD RETURN'!$C$4:$C$167,MATCH(154,'ON ROAD RETURN'!$N$4:$N$167,0)))</f>
        <v/>
      </c>
      <c r="M187" s="7" t="str">
        <f>IF(154&gt;$D$21,"",ROUND(INDEX('ON ROAD RETURN'!$H$4:$H$167,MATCH(154,'ON ROAD RETURN'!$N$4:$N$167,0)),2))</f>
        <v/>
      </c>
    </row>
    <row r="188" spans="1:13" x14ac:dyDescent="0.25">
      <c r="A188" s="2" t="str">
        <f>IF(155&gt;$D$21,"",INDEX('ON ROAD RETURN'!$L$4:$L$167,MATCH(155,'ON ROAD RETURN'!$N$4:$N$167,0)))</f>
        <v/>
      </c>
      <c r="C188" s="2" t="str">
        <f>IF(155&gt;$D$21,"",INDEX('ON ROAD RETURN'!$M$4:$M$167,MATCH(155,'ON ROAD RETURN'!$N$4:$N$167,0)))</f>
        <v/>
      </c>
      <c r="I188" s="15" t="str">
        <f>IF(155&gt;$D$21,"",INDEX('ON ROAD RETURN'!$D$4:$D$167,MATCH(155,'ON ROAD RETURN'!$N$4:$N$167,0)))</f>
        <v/>
      </c>
      <c r="J188" s="15" t="str">
        <f>IF(155&gt;$D$21,"",INDEX('ON ROAD RETURN'!$E$4:$E$167,MATCH(155,'ON ROAD RETURN'!$N$4:$N$167,0)))</f>
        <v/>
      </c>
      <c r="L188" s="12" t="str">
        <f>IF(155&gt;$D$21,"",INDEX('ON ROAD RETURN'!$C$4:$C$167,MATCH(155,'ON ROAD RETURN'!$N$4:$N$167,0)))</f>
        <v/>
      </c>
      <c r="M188" s="7" t="str">
        <f>IF(155&gt;$D$21,"",ROUND(INDEX('ON ROAD RETURN'!$H$4:$H$167,MATCH(155,'ON ROAD RETURN'!$N$4:$N$167,0)),2))</f>
        <v/>
      </c>
    </row>
    <row r="189" spans="1:13" x14ac:dyDescent="0.25">
      <c r="A189" s="2" t="str">
        <f>IF(156&gt;$D$21,"",INDEX('ON ROAD RETURN'!$L$4:$L$167,MATCH(156,'ON ROAD RETURN'!$N$4:$N$167,0)))</f>
        <v/>
      </c>
      <c r="C189" s="2" t="str">
        <f>IF(156&gt;$D$21,"",INDEX('ON ROAD RETURN'!$M$4:$M$167,MATCH(156,'ON ROAD RETURN'!$N$4:$N$167,0)))</f>
        <v/>
      </c>
      <c r="I189" s="15" t="str">
        <f>IF(156&gt;$D$21,"",INDEX('ON ROAD RETURN'!$D$4:$D$167,MATCH(156,'ON ROAD RETURN'!$N$4:$N$167,0)))</f>
        <v/>
      </c>
      <c r="J189" s="15" t="str">
        <f>IF(156&gt;$D$21,"",INDEX('ON ROAD RETURN'!$E$4:$E$167,MATCH(156,'ON ROAD RETURN'!$N$4:$N$167,0)))</f>
        <v/>
      </c>
      <c r="L189" s="12" t="str">
        <f>IF(156&gt;$D$21,"",INDEX('ON ROAD RETURN'!$C$4:$C$167,MATCH(156,'ON ROAD RETURN'!$N$4:$N$167,0)))</f>
        <v/>
      </c>
      <c r="M189" s="7" t="str">
        <f>IF(156&gt;$D$21,"",ROUND(INDEX('ON ROAD RETURN'!$H$4:$H$167,MATCH(156,'ON ROAD RETURN'!$N$4:$N$167,0)),2))</f>
        <v/>
      </c>
    </row>
    <row r="190" spans="1:13" x14ac:dyDescent="0.25">
      <c r="A190" s="2" t="str">
        <f>IF(157&gt;$D$21,"",INDEX('ON ROAD RETURN'!$L$4:$L$167,MATCH(157,'ON ROAD RETURN'!$N$4:$N$167,0)))</f>
        <v/>
      </c>
      <c r="C190" s="2" t="str">
        <f>IF(157&gt;$D$21,"",INDEX('ON ROAD RETURN'!$M$4:$M$167,MATCH(157,'ON ROAD RETURN'!$N$4:$N$167,0)))</f>
        <v/>
      </c>
      <c r="I190" s="15" t="str">
        <f>IF(157&gt;$D$21,"",INDEX('ON ROAD RETURN'!$D$4:$D$167,MATCH(157,'ON ROAD RETURN'!$N$4:$N$167,0)))</f>
        <v/>
      </c>
      <c r="J190" s="15" t="str">
        <f>IF(157&gt;$D$21,"",INDEX('ON ROAD RETURN'!$E$4:$E$167,MATCH(157,'ON ROAD RETURN'!$N$4:$N$167,0)))</f>
        <v/>
      </c>
      <c r="L190" s="12" t="str">
        <f>IF(157&gt;$D$21,"",INDEX('ON ROAD RETURN'!$C$4:$C$167,MATCH(157,'ON ROAD RETURN'!$N$4:$N$167,0)))</f>
        <v/>
      </c>
      <c r="M190" s="7" t="str">
        <f>IF(157&gt;$D$21,"",ROUND(INDEX('ON ROAD RETURN'!$H$4:$H$167,MATCH(157,'ON ROAD RETURN'!$N$4:$N$167,0)),2))</f>
        <v/>
      </c>
    </row>
    <row r="191" spans="1:13" x14ac:dyDescent="0.25">
      <c r="A191" s="2" t="str">
        <f>IF(158&gt;$D$21,"",INDEX('ON ROAD RETURN'!$L$4:$L$167,MATCH(158,'ON ROAD RETURN'!$N$4:$N$167,0)))</f>
        <v/>
      </c>
      <c r="C191" s="2" t="str">
        <f>IF(158&gt;$D$21,"",INDEX('ON ROAD RETURN'!$M$4:$M$167,MATCH(158,'ON ROAD RETURN'!$N$4:$N$167,0)))</f>
        <v/>
      </c>
      <c r="I191" s="15" t="str">
        <f>IF(158&gt;$D$21,"",INDEX('ON ROAD RETURN'!$D$4:$D$167,MATCH(158,'ON ROAD RETURN'!$N$4:$N$167,0)))</f>
        <v/>
      </c>
      <c r="J191" s="15" t="str">
        <f>IF(158&gt;$D$21,"",INDEX('ON ROAD RETURN'!$E$4:$E$167,MATCH(158,'ON ROAD RETURN'!$N$4:$N$167,0)))</f>
        <v/>
      </c>
      <c r="L191" s="12" t="str">
        <f>IF(158&gt;$D$21,"",INDEX('ON ROAD RETURN'!$C$4:$C$167,MATCH(158,'ON ROAD RETURN'!$N$4:$N$167,0)))</f>
        <v/>
      </c>
      <c r="M191" s="7" t="str">
        <f>IF(158&gt;$D$21,"",ROUND(INDEX('ON ROAD RETURN'!$H$4:$H$167,MATCH(158,'ON ROAD RETURN'!$N$4:$N$167,0)),2))</f>
        <v/>
      </c>
    </row>
    <row r="192" spans="1:13" x14ac:dyDescent="0.25">
      <c r="A192" s="2" t="str">
        <f>IF(159&gt;$D$21,"",INDEX('ON ROAD RETURN'!$L$4:$L$167,MATCH(159,'ON ROAD RETURN'!$N$4:$N$167,0)))</f>
        <v/>
      </c>
      <c r="C192" s="2" t="str">
        <f>IF(159&gt;$D$21,"",INDEX('ON ROAD RETURN'!$M$4:$M$167,MATCH(159,'ON ROAD RETURN'!$N$4:$N$167,0)))</f>
        <v/>
      </c>
      <c r="I192" s="15" t="str">
        <f>IF(159&gt;$D$21,"",INDEX('ON ROAD RETURN'!$D$4:$D$167,MATCH(159,'ON ROAD RETURN'!$N$4:$N$167,0)))</f>
        <v/>
      </c>
      <c r="J192" s="15" t="str">
        <f>IF(159&gt;$D$21,"",INDEX('ON ROAD RETURN'!$E$4:$E$167,MATCH(159,'ON ROAD RETURN'!$N$4:$N$167,0)))</f>
        <v/>
      </c>
      <c r="L192" s="12" t="str">
        <f>IF(159&gt;$D$21,"",INDEX('ON ROAD RETURN'!$C$4:$C$167,MATCH(159,'ON ROAD RETURN'!$N$4:$N$167,0)))</f>
        <v/>
      </c>
      <c r="M192" s="7" t="str">
        <f>IF(159&gt;$D$21,"",ROUND(INDEX('ON ROAD RETURN'!$H$4:$H$167,MATCH(159,'ON ROAD RETURN'!$N$4:$N$167,0)),2))</f>
        <v/>
      </c>
    </row>
    <row r="193" spans="1:13" x14ac:dyDescent="0.25">
      <c r="A193" s="2" t="str">
        <f>IF(160&gt;$D$21,"",INDEX('ON ROAD RETURN'!$L$4:$L$167,MATCH(160,'ON ROAD RETURN'!$N$4:$N$167,0)))</f>
        <v/>
      </c>
      <c r="C193" s="2" t="str">
        <f>IF(160&gt;$D$21,"",INDEX('ON ROAD RETURN'!$M$4:$M$167,MATCH(160,'ON ROAD RETURN'!$N$4:$N$167,0)))</f>
        <v/>
      </c>
      <c r="I193" s="15" t="str">
        <f>IF(160&gt;$D$21,"",INDEX('ON ROAD RETURN'!$D$4:$D$167,MATCH(160,'ON ROAD RETURN'!$N$4:$N$167,0)))</f>
        <v/>
      </c>
      <c r="J193" s="15" t="str">
        <f>IF(160&gt;$D$21,"",INDEX('ON ROAD RETURN'!$E$4:$E$167,MATCH(160,'ON ROAD RETURN'!$N$4:$N$167,0)))</f>
        <v/>
      </c>
      <c r="L193" s="12" t="str">
        <f>IF(160&gt;$D$21,"",INDEX('ON ROAD RETURN'!$C$4:$C$167,MATCH(160,'ON ROAD RETURN'!$N$4:$N$167,0)))</f>
        <v/>
      </c>
      <c r="M193" s="7" t="str">
        <f>IF(160&gt;$D$21,"",ROUND(INDEX('ON ROAD RETURN'!$H$4:$H$167,MATCH(160,'ON ROAD RETURN'!$N$4:$N$167,0)),2))</f>
        <v/>
      </c>
    </row>
    <row r="194" spans="1:13" x14ac:dyDescent="0.25">
      <c r="A194" s="2" t="str">
        <f>IF(161&gt;$D$21,"",INDEX('ON ROAD RETURN'!$L$4:$L$167,MATCH(161,'ON ROAD RETURN'!$N$4:$N$167,0)))</f>
        <v/>
      </c>
      <c r="C194" s="2" t="str">
        <f>IF(161&gt;$D$21,"",INDEX('ON ROAD RETURN'!$M$4:$M$167,MATCH(161,'ON ROAD RETURN'!$N$4:$N$167,0)))</f>
        <v/>
      </c>
      <c r="I194" s="15" t="str">
        <f>IF(161&gt;$D$21,"",INDEX('ON ROAD RETURN'!$D$4:$D$167,MATCH(161,'ON ROAD RETURN'!$N$4:$N$167,0)))</f>
        <v/>
      </c>
      <c r="J194" s="15" t="str">
        <f>IF(161&gt;$D$21,"",INDEX('ON ROAD RETURN'!$E$4:$E$167,MATCH(161,'ON ROAD RETURN'!$N$4:$N$167,0)))</f>
        <v/>
      </c>
      <c r="L194" s="12" t="str">
        <f>IF(161&gt;$D$21,"",INDEX('ON ROAD RETURN'!$C$4:$C$167,MATCH(161,'ON ROAD RETURN'!$N$4:$N$167,0)))</f>
        <v/>
      </c>
      <c r="M194" s="7" t="str">
        <f>IF(161&gt;$D$21,"",ROUND(INDEX('ON ROAD RETURN'!$H$4:$H$167,MATCH(161,'ON ROAD RETURN'!$N$4:$N$167,0)),2))</f>
        <v/>
      </c>
    </row>
    <row r="195" spans="1:13" x14ac:dyDescent="0.25">
      <c r="A195" s="2" t="str">
        <f>IF(162&gt;$D$21,"",INDEX('ON ROAD RETURN'!$L$4:$L$167,MATCH(162,'ON ROAD RETURN'!$N$4:$N$167,0)))</f>
        <v/>
      </c>
      <c r="C195" s="2" t="str">
        <f>IF(162&gt;$D$21,"",INDEX('ON ROAD RETURN'!$M$4:$M$167,MATCH(162,'ON ROAD RETURN'!$N$4:$N$167,0)))</f>
        <v/>
      </c>
      <c r="I195" s="15" t="str">
        <f>IF(162&gt;$D$21,"",INDEX('ON ROAD RETURN'!$D$4:$D$167,MATCH(162,'ON ROAD RETURN'!$N$4:$N$167,0)))</f>
        <v/>
      </c>
      <c r="J195" s="15" t="str">
        <f>IF(162&gt;$D$21,"",INDEX('ON ROAD RETURN'!$E$4:$E$167,MATCH(162,'ON ROAD RETURN'!$N$4:$N$167,0)))</f>
        <v/>
      </c>
      <c r="L195" s="12" t="str">
        <f>IF(162&gt;$D$21,"",INDEX('ON ROAD RETURN'!$C$4:$C$167,MATCH(162,'ON ROAD RETURN'!$N$4:$N$167,0)))</f>
        <v/>
      </c>
      <c r="M195" s="7" t="str">
        <f>IF(162&gt;$D$21,"",ROUND(INDEX('ON ROAD RETURN'!$H$4:$H$167,MATCH(162,'ON ROAD RETURN'!$N$4:$N$167,0)),2))</f>
        <v/>
      </c>
    </row>
    <row r="196" spans="1:13" x14ac:dyDescent="0.25">
      <c r="A196" s="2" t="str">
        <f>IF(163&gt;$D$21,"",INDEX('ON ROAD RETURN'!$L$4:$L$167,MATCH(163,'ON ROAD RETURN'!$N$4:$N$167,0)))</f>
        <v/>
      </c>
      <c r="C196" s="2" t="str">
        <f>IF(163&gt;$D$21,"",INDEX('ON ROAD RETURN'!$M$4:$M$167,MATCH(163,'ON ROAD RETURN'!$N$4:$N$167,0)))</f>
        <v/>
      </c>
      <c r="I196" s="15" t="str">
        <f>IF(163&gt;$D$21,"",INDEX('ON ROAD RETURN'!$D$4:$D$167,MATCH(163,'ON ROAD RETURN'!$N$4:$N$167,0)))</f>
        <v/>
      </c>
      <c r="J196" s="15" t="str">
        <f>IF(163&gt;$D$21,"",INDEX('ON ROAD RETURN'!$E$4:$E$167,MATCH(163,'ON ROAD RETURN'!$N$4:$N$167,0)))</f>
        <v/>
      </c>
      <c r="L196" s="12" t="str">
        <f>IF(163&gt;$D$21,"",INDEX('ON ROAD RETURN'!$C$4:$C$167,MATCH(163,'ON ROAD RETURN'!$N$4:$N$167,0)))</f>
        <v/>
      </c>
      <c r="M196" s="7" t="str">
        <f>IF(163&gt;$D$21,"",ROUND(INDEX('ON ROAD RETURN'!$H$4:$H$167,MATCH(163,'ON ROAD RETURN'!$N$4:$N$167,0)),2))</f>
        <v/>
      </c>
    </row>
    <row r="197" spans="1:13" x14ac:dyDescent="0.25">
      <c r="A197" s="2" t="str">
        <f>IF(164&gt;$D$21,"",INDEX('ON ROAD RETURN'!$L$4:$L$167,MATCH(164,'ON ROAD RETURN'!$N$4:$N$167,0)))</f>
        <v/>
      </c>
      <c r="C197" s="2" t="str">
        <f>IF(164&gt;$D$21,"",INDEX('ON ROAD RETURN'!$M$4:$M$167,MATCH(164,'ON ROAD RETURN'!$N$4:$N$167,0)))</f>
        <v/>
      </c>
      <c r="I197" s="15" t="str">
        <f>IF(164&gt;$D$21,"",INDEX('ON ROAD RETURN'!$D$4:$D$167,MATCH(164,'ON ROAD RETURN'!$N$4:$N$167,0)))</f>
        <v/>
      </c>
      <c r="J197" s="15" t="str">
        <f>IF(164&gt;$D$21,"",INDEX('ON ROAD RETURN'!$E$4:$E$167,MATCH(164,'ON ROAD RETURN'!$N$4:$N$167,0)))</f>
        <v/>
      </c>
      <c r="L197" s="12" t="str">
        <f>IF(164&gt;$D$21,"",INDEX('ON ROAD RETURN'!$C$4:$C$167,MATCH(164,'ON ROAD RETURN'!$N$4:$N$167,0)))</f>
        <v/>
      </c>
      <c r="M197" s="7" t="str">
        <f>IF(164&gt;$D$21,"",ROUND(INDEX('ON ROAD RETURN'!$H$4:$H$167,MATCH(164,'ON ROAD RETURN'!$N$4:$N$167,0)),2))</f>
        <v/>
      </c>
    </row>
  </sheetData>
  <conditionalFormatting sqref="A18:D18">
    <cfRule type="expression" dxfId="13" priority="1">
      <formula>$D$15=1</formula>
    </cfRule>
  </conditionalFormatting>
  <conditionalFormatting sqref="A34:J197">
    <cfRule type="expression" dxfId="12" priority="2">
      <formula>ROW()-33&lt;=$D$21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00000"/>
    <outlinePr summaryBelow="0"/>
  </sheetPr>
  <dimension ref="A1:F29"/>
  <sheetViews>
    <sheetView workbookViewId="0"/>
  </sheetViews>
  <sheetFormatPr defaultRowHeight="15" outlineLevelRow="1" x14ac:dyDescent="0.25"/>
  <cols>
    <col min="1" max="1" width="4" customWidth="1"/>
    <col min="2" max="2" width="48" customWidth="1"/>
    <col min="3" max="3" width="13" customWidth="1"/>
    <col min="4" max="4" width="8" customWidth="1"/>
    <col min="5" max="5" width="13" customWidth="1"/>
    <col min="6" max="6" width="70" customWidth="1"/>
  </cols>
  <sheetData>
    <row r="1" spans="1:6" ht="16.5" x14ac:dyDescent="0.25">
      <c r="A1" s="1" t="s">
        <v>430</v>
      </c>
    </row>
    <row r="2" spans="1:6" x14ac:dyDescent="0.25">
      <c r="B2" s="3" t="s">
        <v>431</v>
      </c>
      <c r="E2" s="3">
        <f>COUNTIF(D4:D30,"LOOK")</f>
        <v>0</v>
      </c>
    </row>
    <row r="3" spans="1:6" x14ac:dyDescent="0.25">
      <c r="A3" s="3" t="s">
        <v>432</v>
      </c>
      <c r="D3" s="3" t="s">
        <v>433</v>
      </c>
    </row>
    <row r="4" spans="1:6" x14ac:dyDescent="0.25">
      <c r="B4" s="2" t="s">
        <v>434</v>
      </c>
      <c r="D4" s="3" t="str">
        <f>IF(COUNTIF(E5:E16,"OK")=12,"","LOOK")</f>
        <v/>
      </c>
      <c r="E4" s="3" t="str">
        <f>IF(D4="","OK","a column moved")</f>
        <v>OK</v>
      </c>
      <c r="F4" s="6" t="s">
        <v>435</v>
      </c>
    </row>
    <row r="5" spans="1:6" hidden="1" outlineLevel="1" x14ac:dyDescent="0.25">
      <c r="B5" s="2" t="s">
        <v>436</v>
      </c>
      <c r="E5" s="2" t="str">
        <f>IF('AR SALES'!$H$1="Tax Name","OK","LOOK: a column moved, stop and check the paste")</f>
        <v>OK</v>
      </c>
    </row>
    <row r="6" spans="1:6" hidden="1" outlineLevel="1" x14ac:dyDescent="0.25">
      <c r="B6" s="2" t="s">
        <v>437</v>
      </c>
      <c r="E6" s="2" t="str">
        <f>IF('AR SALES'!$J$1="Tax Exemption","OK","LOOK: a column moved, stop and check the paste")</f>
        <v>OK</v>
      </c>
    </row>
    <row r="7" spans="1:6" hidden="1" outlineLevel="1" x14ac:dyDescent="0.25">
      <c r="B7" s="2" t="s">
        <v>438</v>
      </c>
      <c r="E7" s="2" t="str">
        <f>IF('AR SALES'!$L$1="Order Number","OK","LOOK: a column moved, stop and check the paste")</f>
        <v>OK</v>
      </c>
    </row>
    <row r="8" spans="1:6" hidden="1" outlineLevel="1" x14ac:dyDescent="0.25">
      <c r="B8" s="2" t="s">
        <v>439</v>
      </c>
      <c r="E8" s="2" t="str">
        <f>IF('AR SALES'!$Y$1="Taxable Sales","OK","LOOK: a column moved, stop and check the paste")</f>
        <v>OK</v>
      </c>
    </row>
    <row r="9" spans="1:6" hidden="1" outlineLevel="1" x14ac:dyDescent="0.25">
      <c r="B9" s="2" t="s">
        <v>440</v>
      </c>
      <c r="E9" s="2" t="str">
        <f>IF('AR SALES'!$AA$1="Total Sales Tax","OK","LOOK: a column moved, stop and check the paste")</f>
        <v>OK</v>
      </c>
    </row>
    <row r="10" spans="1:6" hidden="1" outlineLevel="1" x14ac:dyDescent="0.25">
      <c r="B10" s="2" t="s">
        <v>441</v>
      </c>
      <c r="E10" s="2" t="str">
        <f>IF(TERSE!$E$1="Ship To County","OK","LOOK: a column moved, stop and check the paste")</f>
        <v>OK</v>
      </c>
    </row>
    <row r="11" spans="1:6" hidden="1" outlineLevel="1" x14ac:dyDescent="0.25">
      <c r="B11" s="2" t="s">
        <v>442</v>
      </c>
      <c r="E11" s="2" t="str">
        <f>IF(TERSE!$F$1="Product Type","OK","LOOK: a column moved, stop and check the paste")</f>
        <v>OK</v>
      </c>
    </row>
    <row r="12" spans="1:6" hidden="1" outlineLevel="1" x14ac:dyDescent="0.25">
      <c r="B12" s="2" t="s">
        <v>443</v>
      </c>
      <c r="E12" s="2" t="str">
        <f>IF(TERSE!$L$1="Order Number","OK","LOOK: a column moved, stop and check the paste")</f>
        <v>OK</v>
      </c>
    </row>
    <row r="13" spans="1:6" hidden="1" outlineLevel="1" x14ac:dyDescent="0.25">
      <c r="B13" s="2" t="s">
        <v>444</v>
      </c>
      <c r="E13" s="2" t="str">
        <f>IF(TERSE!$R$1="Sold Qty","OK","LOOK: a column moved, stop and check the paste")</f>
        <v>OK</v>
      </c>
    </row>
    <row r="14" spans="1:6" hidden="1" outlineLevel="1" x14ac:dyDescent="0.25">
      <c r="B14" s="2" t="s">
        <v>445</v>
      </c>
      <c r="E14" s="2" t="str">
        <f>IF(TERSE!$Z$1="Total Taxes","OK","LOOK: a column moved, stop and check the paste")</f>
        <v>OK</v>
      </c>
    </row>
    <row r="15" spans="1:6" hidden="1" outlineLevel="1" x14ac:dyDescent="0.25">
      <c r="B15" s="2" t="s">
        <v>446</v>
      </c>
      <c r="E15" s="2" t="str">
        <f>IF(TERSE!$AB$1="Total Sales Taxes","OK","LOOK: a column moved, stop and check the paste")</f>
        <v>OK</v>
      </c>
    </row>
    <row r="16" spans="1:6" hidden="1" outlineLevel="1" x14ac:dyDescent="0.25">
      <c r="B16" s="2" t="s">
        <v>447</v>
      </c>
      <c r="E16" s="2" t="str">
        <f>IF(TERSE!$AE$1="Total Product Excise","OK","LOOK: a column moved, stop and check the paste")</f>
        <v>OK</v>
      </c>
    </row>
    <row r="18" spans="1:6" x14ac:dyDescent="0.25">
      <c r="A18" s="3" t="s">
        <v>448</v>
      </c>
    </row>
    <row r="19" spans="1:6" x14ac:dyDescent="0.25">
      <c r="B19" s="2" t="s">
        <v>449</v>
      </c>
      <c r="D19" s="3" t="str">
        <f>IF(E19&lt;&gt;0,"LOOK","")</f>
        <v/>
      </c>
      <c r="E19" s="8">
        <f>COUNTIF('AR SALES'!$AG$2:$AG$2501,"NEW")</f>
        <v>0</v>
      </c>
      <c r="F19" s="6" t="s">
        <v>450</v>
      </c>
    </row>
    <row r="20" spans="1:6" x14ac:dyDescent="0.25">
      <c r="B20" s="2" t="s">
        <v>451</v>
      </c>
      <c r="D20" s="3" t="str">
        <f>IF(E20&lt;&gt;0,"LOOK","")</f>
        <v/>
      </c>
      <c r="E20" s="8">
        <f>COUNTIF(TERSE!$AZ$2:$AZ$4001,"NEW")</f>
        <v>0</v>
      </c>
      <c r="F20" s="6" t="s">
        <v>452</v>
      </c>
    </row>
    <row r="21" spans="1:6" x14ac:dyDescent="0.25">
      <c r="B21" s="2" t="s">
        <v>453</v>
      </c>
      <c r="E21" s="8">
        <f>COUNTIF(TERSE!$AY$2:$AY$4001,"YES")</f>
        <v>0</v>
      </c>
      <c r="F21" s="6" t="s">
        <v>454</v>
      </c>
    </row>
    <row r="22" spans="1:6" x14ac:dyDescent="0.25">
      <c r="B22" s="2" t="s">
        <v>455</v>
      </c>
      <c r="E22" s="8">
        <f>'OFF ROAD RETURN'!F47</f>
        <v>0</v>
      </c>
      <c r="F22" s="6" t="s">
        <v>456</v>
      </c>
    </row>
    <row r="23" spans="1:6" x14ac:dyDescent="0.25">
      <c r="B23" s="2" t="s">
        <v>457</v>
      </c>
      <c r="D23" s="3" t="str">
        <f>IF(OR(E23&lt;&gt;0,ROUND(E22,2)&lt;&gt;0),"LOOK","")</f>
        <v/>
      </c>
      <c r="E23" s="8">
        <f>COUNTIF(TERSE!$BA$2:$BA$4001,"STALE")</f>
        <v>0</v>
      </c>
      <c r="F23" s="6" t="s">
        <v>458</v>
      </c>
    </row>
    <row r="24" spans="1:6" x14ac:dyDescent="0.25">
      <c r="B24" s="2" t="s">
        <v>459</v>
      </c>
      <c r="D24" s="3" t="str">
        <f>IF(E24&lt;&gt;0,"LOOK","")</f>
        <v/>
      </c>
      <c r="E24" s="8">
        <f>COUNTIF(TERSE!$BB$2:$BB$4001,"NO EXEMPTION")</f>
        <v>0</v>
      </c>
      <c r="F24" s="6" t="s">
        <v>460</v>
      </c>
    </row>
    <row r="25" spans="1:6" x14ac:dyDescent="0.25">
      <c r="B25" s="2" t="s">
        <v>461</v>
      </c>
      <c r="D25" s="3" t="str">
        <f>IF(ABS(E25)&gt;=1,"LOOK","")</f>
        <v/>
      </c>
      <c r="E25" s="8">
        <f>'ON ROAD RETURN'!J168</f>
        <v>0</v>
      </c>
      <c r="F25" s="6" t="s">
        <v>462</v>
      </c>
    </row>
    <row r="26" spans="1:6" x14ac:dyDescent="0.25">
      <c r="B26" s="2" t="s">
        <v>463</v>
      </c>
      <c r="D26" s="3" t="str">
        <f>IF(ROUND(E26,1)&lt;&gt;0,"LOOK","")</f>
        <v/>
      </c>
      <c r="E26" s="8">
        <f>'ON ROAD RETURN'!D174</f>
        <v>0</v>
      </c>
      <c r="F26" s="6" t="s">
        <v>464</v>
      </c>
    </row>
    <row r="27" spans="1:6" x14ac:dyDescent="0.25">
      <c r="B27" s="2" t="s">
        <v>465</v>
      </c>
      <c r="D27" s="3" t="str">
        <f>IF(E27&lt;&gt;0,"LOOK","")</f>
        <v/>
      </c>
      <c r="E27" s="8">
        <f>SUMPRODUCT((ROUND('OFF ROAD RETURN'!$F$4:$F$42,2)&lt;&gt;0)*('OFF ROAD RETURN'!$K$4:$K$42=""))</f>
        <v>0</v>
      </c>
      <c r="F27" s="6" t="s">
        <v>466</v>
      </c>
    </row>
    <row r="28" spans="1:6" x14ac:dyDescent="0.25">
      <c r="B28" s="2" t="s">
        <v>467</v>
      </c>
      <c r="D28" s="3" t="str">
        <f>IF(E28&lt;&gt;0,"LOOK","")</f>
        <v/>
      </c>
      <c r="E28" s="8">
        <f>SUMPRODUCT(('ON ROAD RETURN'!$D$4:$D$167&lt;&gt;0)*('ON ROAD RETURN'!$L$4:$L$167=""))</f>
        <v>0</v>
      </c>
      <c r="F28" s="6" t="s">
        <v>468</v>
      </c>
    </row>
    <row r="29" spans="1:6" x14ac:dyDescent="0.25">
      <c r="B29" s="2" t="s">
        <v>469</v>
      </c>
      <c r="D29" s="3" t="str">
        <f>IF(ABS(E29)&gt;=1,"LOOK","")</f>
        <v/>
      </c>
      <c r="E29" s="8">
        <f>RECAP!D14</f>
        <v>0</v>
      </c>
      <c r="F29" s="6" t="s">
        <v>470</v>
      </c>
    </row>
  </sheetData>
  <conditionalFormatting sqref="B2:E2">
    <cfRule type="expression" dxfId="11" priority="1">
      <formula>$E$2&gt;0</formula>
    </cfRule>
    <cfRule type="expression" dxfId="10" priority="2">
      <formula>$E$2=0</formula>
    </cfRule>
  </conditionalFormatting>
  <conditionalFormatting sqref="B4:E4">
    <cfRule type="expression" dxfId="9" priority="3">
      <formula>$D$4="LOOK"</formula>
    </cfRule>
  </conditionalFormatting>
  <conditionalFormatting sqref="B19:E19">
    <cfRule type="expression" dxfId="8" priority="4">
      <formula>$D$19="LOOK"</formula>
    </cfRule>
  </conditionalFormatting>
  <conditionalFormatting sqref="B20:E20">
    <cfRule type="expression" dxfId="7" priority="5">
      <formula>$D$20="LOOK"</formula>
    </cfRule>
  </conditionalFormatting>
  <conditionalFormatting sqref="B23:E23">
    <cfRule type="expression" dxfId="6" priority="6">
      <formula>$D$23="LOOK"</formula>
    </cfRule>
  </conditionalFormatting>
  <conditionalFormatting sqref="B24:E24">
    <cfRule type="expression" dxfId="5" priority="7">
      <formula>$D$24="LOOK"</formula>
    </cfRule>
  </conditionalFormatting>
  <conditionalFormatting sqref="B25:E25">
    <cfRule type="expression" dxfId="4" priority="8">
      <formula>$D$25="LOOK"</formula>
    </cfRule>
  </conditionalFormatting>
  <conditionalFormatting sqref="B26:E26">
    <cfRule type="expression" dxfId="3" priority="9">
      <formula>$D$26="LOOK"</formula>
    </cfRule>
  </conditionalFormatting>
  <conditionalFormatting sqref="B27:E27">
    <cfRule type="expression" dxfId="2" priority="10">
      <formula>$D$27="LOOK"</formula>
    </cfRule>
  </conditionalFormatting>
  <conditionalFormatting sqref="B28:E28">
    <cfRule type="expression" dxfId="1" priority="11">
      <formula>$D$28="LOOK"</formula>
    </cfRule>
  </conditionalFormatting>
  <conditionalFormatting sqref="B29:E29">
    <cfRule type="expression" dxfId="0" priority="12">
      <formula>$D$29="LOOK"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472C4"/>
  </sheetPr>
  <dimension ref="A1:AG2501"/>
  <sheetViews>
    <sheetView workbookViewId="0">
      <pane ySplit="1" topLeftCell="A2" activePane="bottomLeft" state="frozen"/>
      <selection pane="bottomLeft"/>
    </sheetView>
  </sheetViews>
  <sheetFormatPr defaultRowHeight="15" outlineLevelCol="1" x14ac:dyDescent="0.25"/>
  <cols>
    <col min="30" max="33" width="13" hidden="1" customWidth="1" outlineLevel="1"/>
  </cols>
  <sheetData>
    <row r="1" spans="1:33" x14ac:dyDescent="0.25">
      <c r="A1" s="9" t="s">
        <v>471</v>
      </c>
      <c r="B1" s="9" t="s">
        <v>472</v>
      </c>
      <c r="C1" s="9" t="s">
        <v>473</v>
      </c>
      <c r="D1" s="9" t="s">
        <v>474</v>
      </c>
      <c r="E1" s="9" t="s">
        <v>475</v>
      </c>
      <c r="F1" s="9" t="s">
        <v>476</v>
      </c>
      <c r="G1" s="9" t="s">
        <v>477</v>
      </c>
      <c r="H1" s="9" t="s">
        <v>478</v>
      </c>
      <c r="I1" s="9" t="s">
        <v>479</v>
      </c>
      <c r="J1" s="9" t="s">
        <v>480</v>
      </c>
      <c r="K1" s="9" t="s">
        <v>481</v>
      </c>
      <c r="L1" s="9" t="s">
        <v>482</v>
      </c>
      <c r="M1" s="9" t="s">
        <v>483</v>
      </c>
      <c r="N1" s="9" t="s">
        <v>484</v>
      </c>
      <c r="O1" s="9" t="s">
        <v>485</v>
      </c>
      <c r="P1" s="9" t="s">
        <v>486</v>
      </c>
      <c r="Q1" s="9" t="s">
        <v>487</v>
      </c>
      <c r="R1" s="9" t="s">
        <v>488</v>
      </c>
      <c r="S1" s="9" t="s">
        <v>489</v>
      </c>
      <c r="T1" s="9" t="s">
        <v>490</v>
      </c>
      <c r="U1" s="9" t="s">
        <v>491</v>
      </c>
      <c r="V1" s="9" t="s">
        <v>492</v>
      </c>
      <c r="W1" s="9" t="s">
        <v>493</v>
      </c>
      <c r="X1" s="9" t="s">
        <v>494</v>
      </c>
      <c r="Y1" s="9" t="s">
        <v>415</v>
      </c>
      <c r="Z1" s="9" t="s">
        <v>495</v>
      </c>
      <c r="AA1" s="9" t="s">
        <v>496</v>
      </c>
      <c r="AB1" s="9" t="s">
        <v>497</v>
      </c>
      <c r="AC1" s="9" t="s">
        <v>498</v>
      </c>
      <c r="AD1" s="9" t="s">
        <v>499</v>
      </c>
      <c r="AE1" s="9" t="s">
        <v>500</v>
      </c>
      <c r="AF1" s="9" t="s">
        <v>501</v>
      </c>
      <c r="AG1" s="9" t="s">
        <v>502</v>
      </c>
    </row>
    <row r="2" spans="1:33" x14ac:dyDescent="0.25">
      <c r="AD2" s="2" t="str">
        <f t="shared" ref="AD2:AD65" si="0">IF($L2="","",IF(ISNUMBER(SEARCH("OFF ROAD",$H2)),"OFF",IF(ISNUMBER(SEARCH("ON ROAD",$H2)),"ON","")))</f>
        <v/>
      </c>
      <c r="AE2" s="2" t="str">
        <f t="shared" ref="AE2:AE65" si="1">IF($AD2="ON",""&amp;$L2,"")</f>
        <v/>
      </c>
      <c r="AF2" s="2" t="str">
        <f t="shared" ref="AF2:AF65" si="2">IF($L2="","",IF($J2&lt;&gt;"","Y",""))</f>
        <v/>
      </c>
      <c r="AG2" s="2" t="str">
        <f>IF($L2="","",IF(COUNTIF(LISTS!$A$2:$A$200,$H2)=0,"NEW",""))</f>
        <v/>
      </c>
    </row>
    <row r="3" spans="1:33" x14ac:dyDescent="0.25">
      <c r="AD3" s="2" t="str">
        <f t="shared" si="0"/>
        <v/>
      </c>
      <c r="AE3" s="2" t="str">
        <f t="shared" si="1"/>
        <v/>
      </c>
      <c r="AF3" s="2" t="str">
        <f t="shared" si="2"/>
        <v/>
      </c>
      <c r="AG3" s="2" t="str">
        <f>IF($L3="","",IF(COUNTIF(LISTS!$A$2:$A$200,$H3)=0,"NEW",""))</f>
        <v/>
      </c>
    </row>
    <row r="4" spans="1:33" x14ac:dyDescent="0.25">
      <c r="AD4" s="2" t="str">
        <f t="shared" si="0"/>
        <v/>
      </c>
      <c r="AE4" s="2" t="str">
        <f t="shared" si="1"/>
        <v/>
      </c>
      <c r="AF4" s="2" t="str">
        <f t="shared" si="2"/>
        <v/>
      </c>
      <c r="AG4" s="2" t="str">
        <f>IF($L4="","",IF(COUNTIF(LISTS!$A$2:$A$200,$H4)=0,"NEW",""))</f>
        <v/>
      </c>
    </row>
    <row r="5" spans="1:33" x14ac:dyDescent="0.25">
      <c r="AD5" s="2" t="str">
        <f t="shared" si="0"/>
        <v/>
      </c>
      <c r="AE5" s="2" t="str">
        <f t="shared" si="1"/>
        <v/>
      </c>
      <c r="AF5" s="2" t="str">
        <f t="shared" si="2"/>
        <v/>
      </c>
      <c r="AG5" s="2" t="str">
        <f>IF($L5="","",IF(COUNTIF(LISTS!$A$2:$A$200,$H5)=0,"NEW",""))</f>
        <v/>
      </c>
    </row>
    <row r="6" spans="1:33" x14ac:dyDescent="0.25">
      <c r="AD6" s="2" t="str">
        <f t="shared" si="0"/>
        <v/>
      </c>
      <c r="AE6" s="2" t="str">
        <f t="shared" si="1"/>
        <v/>
      </c>
      <c r="AF6" s="2" t="str">
        <f t="shared" si="2"/>
        <v/>
      </c>
      <c r="AG6" s="2" t="str">
        <f>IF($L6="","",IF(COUNTIF(LISTS!$A$2:$A$200,$H6)=0,"NEW",""))</f>
        <v/>
      </c>
    </row>
    <row r="7" spans="1:33" x14ac:dyDescent="0.25">
      <c r="AD7" s="2" t="str">
        <f t="shared" si="0"/>
        <v/>
      </c>
      <c r="AE7" s="2" t="str">
        <f t="shared" si="1"/>
        <v/>
      </c>
      <c r="AF7" s="2" t="str">
        <f t="shared" si="2"/>
        <v/>
      </c>
      <c r="AG7" s="2" t="str">
        <f>IF($L7="","",IF(COUNTIF(LISTS!$A$2:$A$200,$H7)=0,"NEW",""))</f>
        <v/>
      </c>
    </row>
    <row r="8" spans="1:33" x14ac:dyDescent="0.25">
      <c r="AD8" s="2" t="str">
        <f t="shared" si="0"/>
        <v/>
      </c>
      <c r="AE8" s="2" t="str">
        <f t="shared" si="1"/>
        <v/>
      </c>
      <c r="AF8" s="2" t="str">
        <f t="shared" si="2"/>
        <v/>
      </c>
      <c r="AG8" s="2" t="str">
        <f>IF($L8="","",IF(COUNTIF(LISTS!$A$2:$A$200,$H8)=0,"NEW",""))</f>
        <v/>
      </c>
    </row>
    <row r="9" spans="1:33" x14ac:dyDescent="0.25">
      <c r="AD9" s="2" t="str">
        <f t="shared" si="0"/>
        <v/>
      </c>
      <c r="AE9" s="2" t="str">
        <f t="shared" si="1"/>
        <v/>
      </c>
      <c r="AF9" s="2" t="str">
        <f t="shared" si="2"/>
        <v/>
      </c>
      <c r="AG9" s="2" t="str">
        <f>IF($L9="","",IF(COUNTIF(LISTS!$A$2:$A$200,$H9)=0,"NEW",""))</f>
        <v/>
      </c>
    </row>
    <row r="10" spans="1:33" x14ac:dyDescent="0.25">
      <c r="AD10" s="2" t="str">
        <f t="shared" si="0"/>
        <v/>
      </c>
      <c r="AE10" s="2" t="str">
        <f t="shared" si="1"/>
        <v/>
      </c>
      <c r="AF10" s="2" t="str">
        <f t="shared" si="2"/>
        <v/>
      </c>
      <c r="AG10" s="2" t="str">
        <f>IF($L10="","",IF(COUNTIF(LISTS!$A$2:$A$200,$H10)=0,"NEW",""))</f>
        <v/>
      </c>
    </row>
    <row r="11" spans="1:33" x14ac:dyDescent="0.25">
      <c r="AD11" s="2" t="str">
        <f t="shared" si="0"/>
        <v/>
      </c>
      <c r="AE11" s="2" t="str">
        <f t="shared" si="1"/>
        <v/>
      </c>
      <c r="AF11" s="2" t="str">
        <f t="shared" si="2"/>
        <v/>
      </c>
      <c r="AG11" s="2" t="str">
        <f>IF($L11="","",IF(COUNTIF(LISTS!$A$2:$A$200,$H11)=0,"NEW",""))</f>
        <v/>
      </c>
    </row>
    <row r="12" spans="1:33" x14ac:dyDescent="0.25">
      <c r="AD12" s="2" t="str">
        <f t="shared" si="0"/>
        <v/>
      </c>
      <c r="AE12" s="2" t="str">
        <f t="shared" si="1"/>
        <v/>
      </c>
      <c r="AF12" s="2" t="str">
        <f t="shared" si="2"/>
        <v/>
      </c>
      <c r="AG12" s="2" t="str">
        <f>IF($L12="","",IF(COUNTIF(LISTS!$A$2:$A$200,$H12)=0,"NEW",""))</f>
        <v/>
      </c>
    </row>
    <row r="13" spans="1:33" x14ac:dyDescent="0.25">
      <c r="AD13" s="2" t="str">
        <f t="shared" si="0"/>
        <v/>
      </c>
      <c r="AE13" s="2" t="str">
        <f t="shared" si="1"/>
        <v/>
      </c>
      <c r="AF13" s="2" t="str">
        <f t="shared" si="2"/>
        <v/>
      </c>
      <c r="AG13" s="2" t="str">
        <f>IF($L13="","",IF(COUNTIF(LISTS!$A$2:$A$200,$H13)=0,"NEW",""))</f>
        <v/>
      </c>
    </row>
    <row r="14" spans="1:33" x14ac:dyDescent="0.25">
      <c r="AD14" s="2" t="str">
        <f t="shared" si="0"/>
        <v/>
      </c>
      <c r="AE14" s="2" t="str">
        <f t="shared" si="1"/>
        <v/>
      </c>
      <c r="AF14" s="2" t="str">
        <f t="shared" si="2"/>
        <v/>
      </c>
      <c r="AG14" s="2" t="str">
        <f>IF($L14="","",IF(COUNTIF(LISTS!$A$2:$A$200,$H14)=0,"NEW",""))</f>
        <v/>
      </c>
    </row>
    <row r="15" spans="1:33" x14ac:dyDescent="0.25">
      <c r="AD15" s="2" t="str">
        <f t="shared" si="0"/>
        <v/>
      </c>
      <c r="AE15" s="2" t="str">
        <f t="shared" si="1"/>
        <v/>
      </c>
      <c r="AF15" s="2" t="str">
        <f t="shared" si="2"/>
        <v/>
      </c>
      <c r="AG15" s="2" t="str">
        <f>IF($L15="","",IF(COUNTIF(LISTS!$A$2:$A$200,$H15)=0,"NEW",""))</f>
        <v/>
      </c>
    </row>
    <row r="16" spans="1:33" x14ac:dyDescent="0.25">
      <c r="AD16" s="2" t="str">
        <f t="shared" si="0"/>
        <v/>
      </c>
      <c r="AE16" s="2" t="str">
        <f t="shared" si="1"/>
        <v/>
      </c>
      <c r="AF16" s="2" t="str">
        <f t="shared" si="2"/>
        <v/>
      </c>
      <c r="AG16" s="2" t="str">
        <f>IF($L16="","",IF(COUNTIF(LISTS!$A$2:$A$200,$H16)=0,"NEW",""))</f>
        <v/>
      </c>
    </row>
    <row r="17" spans="30:33" x14ac:dyDescent="0.25">
      <c r="AD17" s="2" t="str">
        <f t="shared" si="0"/>
        <v/>
      </c>
      <c r="AE17" s="2" t="str">
        <f t="shared" si="1"/>
        <v/>
      </c>
      <c r="AF17" s="2" t="str">
        <f t="shared" si="2"/>
        <v/>
      </c>
      <c r="AG17" s="2" t="str">
        <f>IF($L17="","",IF(COUNTIF(LISTS!$A$2:$A$200,$H17)=0,"NEW",""))</f>
        <v/>
      </c>
    </row>
    <row r="18" spans="30:33" x14ac:dyDescent="0.25">
      <c r="AD18" s="2" t="str">
        <f t="shared" si="0"/>
        <v/>
      </c>
      <c r="AE18" s="2" t="str">
        <f t="shared" si="1"/>
        <v/>
      </c>
      <c r="AF18" s="2" t="str">
        <f t="shared" si="2"/>
        <v/>
      </c>
      <c r="AG18" s="2" t="str">
        <f>IF($L18="","",IF(COUNTIF(LISTS!$A$2:$A$200,$H18)=0,"NEW",""))</f>
        <v/>
      </c>
    </row>
    <row r="19" spans="30:33" x14ac:dyDescent="0.25">
      <c r="AD19" s="2" t="str">
        <f t="shared" si="0"/>
        <v/>
      </c>
      <c r="AE19" s="2" t="str">
        <f t="shared" si="1"/>
        <v/>
      </c>
      <c r="AF19" s="2" t="str">
        <f t="shared" si="2"/>
        <v/>
      </c>
      <c r="AG19" s="2" t="str">
        <f>IF($L19="","",IF(COUNTIF(LISTS!$A$2:$A$200,$H19)=0,"NEW",""))</f>
        <v/>
      </c>
    </row>
    <row r="20" spans="30:33" x14ac:dyDescent="0.25">
      <c r="AD20" s="2" t="str">
        <f t="shared" si="0"/>
        <v/>
      </c>
      <c r="AE20" s="2" t="str">
        <f t="shared" si="1"/>
        <v/>
      </c>
      <c r="AF20" s="2" t="str">
        <f t="shared" si="2"/>
        <v/>
      </c>
      <c r="AG20" s="2" t="str">
        <f>IF($L20="","",IF(COUNTIF(LISTS!$A$2:$A$200,$H20)=0,"NEW",""))</f>
        <v/>
      </c>
    </row>
    <row r="21" spans="30:33" x14ac:dyDescent="0.25">
      <c r="AD21" s="2" t="str">
        <f t="shared" si="0"/>
        <v/>
      </c>
      <c r="AE21" s="2" t="str">
        <f t="shared" si="1"/>
        <v/>
      </c>
      <c r="AF21" s="2" t="str">
        <f t="shared" si="2"/>
        <v/>
      </c>
      <c r="AG21" s="2" t="str">
        <f>IF($L21="","",IF(COUNTIF(LISTS!$A$2:$A$200,$H21)=0,"NEW",""))</f>
        <v/>
      </c>
    </row>
    <row r="22" spans="30:33" x14ac:dyDescent="0.25">
      <c r="AD22" s="2" t="str">
        <f t="shared" si="0"/>
        <v/>
      </c>
      <c r="AE22" s="2" t="str">
        <f t="shared" si="1"/>
        <v/>
      </c>
      <c r="AF22" s="2" t="str">
        <f t="shared" si="2"/>
        <v/>
      </c>
      <c r="AG22" s="2" t="str">
        <f>IF($L22="","",IF(COUNTIF(LISTS!$A$2:$A$200,$H22)=0,"NEW",""))</f>
        <v/>
      </c>
    </row>
    <row r="23" spans="30:33" x14ac:dyDescent="0.25">
      <c r="AD23" s="2" t="str">
        <f t="shared" si="0"/>
        <v/>
      </c>
      <c r="AE23" s="2" t="str">
        <f t="shared" si="1"/>
        <v/>
      </c>
      <c r="AF23" s="2" t="str">
        <f t="shared" si="2"/>
        <v/>
      </c>
      <c r="AG23" s="2" t="str">
        <f>IF($L23="","",IF(COUNTIF(LISTS!$A$2:$A$200,$H23)=0,"NEW",""))</f>
        <v/>
      </c>
    </row>
    <row r="24" spans="30:33" x14ac:dyDescent="0.25">
      <c r="AD24" s="2" t="str">
        <f t="shared" si="0"/>
        <v/>
      </c>
      <c r="AE24" s="2" t="str">
        <f t="shared" si="1"/>
        <v/>
      </c>
      <c r="AF24" s="2" t="str">
        <f t="shared" si="2"/>
        <v/>
      </c>
      <c r="AG24" s="2" t="str">
        <f>IF($L24="","",IF(COUNTIF(LISTS!$A$2:$A$200,$H24)=0,"NEW",""))</f>
        <v/>
      </c>
    </row>
    <row r="25" spans="30:33" x14ac:dyDescent="0.25">
      <c r="AD25" s="2" t="str">
        <f t="shared" si="0"/>
        <v/>
      </c>
      <c r="AE25" s="2" t="str">
        <f t="shared" si="1"/>
        <v/>
      </c>
      <c r="AF25" s="2" t="str">
        <f t="shared" si="2"/>
        <v/>
      </c>
      <c r="AG25" s="2" t="str">
        <f>IF($L25="","",IF(COUNTIF(LISTS!$A$2:$A$200,$H25)=0,"NEW",""))</f>
        <v/>
      </c>
    </row>
    <row r="26" spans="30:33" x14ac:dyDescent="0.25">
      <c r="AD26" s="2" t="str">
        <f t="shared" si="0"/>
        <v/>
      </c>
      <c r="AE26" s="2" t="str">
        <f t="shared" si="1"/>
        <v/>
      </c>
      <c r="AF26" s="2" t="str">
        <f t="shared" si="2"/>
        <v/>
      </c>
      <c r="AG26" s="2" t="str">
        <f>IF($L26="","",IF(COUNTIF(LISTS!$A$2:$A$200,$H26)=0,"NEW",""))</f>
        <v/>
      </c>
    </row>
    <row r="27" spans="30:33" x14ac:dyDescent="0.25">
      <c r="AD27" s="2" t="str">
        <f t="shared" si="0"/>
        <v/>
      </c>
      <c r="AE27" s="2" t="str">
        <f t="shared" si="1"/>
        <v/>
      </c>
      <c r="AF27" s="2" t="str">
        <f t="shared" si="2"/>
        <v/>
      </c>
      <c r="AG27" s="2" t="str">
        <f>IF($L27="","",IF(COUNTIF(LISTS!$A$2:$A$200,$H27)=0,"NEW",""))</f>
        <v/>
      </c>
    </row>
    <row r="28" spans="30:33" x14ac:dyDescent="0.25">
      <c r="AD28" s="2" t="str">
        <f t="shared" si="0"/>
        <v/>
      </c>
      <c r="AE28" s="2" t="str">
        <f t="shared" si="1"/>
        <v/>
      </c>
      <c r="AF28" s="2" t="str">
        <f t="shared" si="2"/>
        <v/>
      </c>
      <c r="AG28" s="2" t="str">
        <f>IF($L28="","",IF(COUNTIF(LISTS!$A$2:$A$200,$H28)=0,"NEW",""))</f>
        <v/>
      </c>
    </row>
    <row r="29" spans="30:33" x14ac:dyDescent="0.25">
      <c r="AD29" s="2" t="str">
        <f t="shared" si="0"/>
        <v/>
      </c>
      <c r="AE29" s="2" t="str">
        <f t="shared" si="1"/>
        <v/>
      </c>
      <c r="AF29" s="2" t="str">
        <f t="shared" si="2"/>
        <v/>
      </c>
      <c r="AG29" s="2" t="str">
        <f>IF($L29="","",IF(COUNTIF(LISTS!$A$2:$A$200,$H29)=0,"NEW",""))</f>
        <v/>
      </c>
    </row>
    <row r="30" spans="30:33" x14ac:dyDescent="0.25">
      <c r="AD30" s="2" t="str">
        <f t="shared" si="0"/>
        <v/>
      </c>
      <c r="AE30" s="2" t="str">
        <f t="shared" si="1"/>
        <v/>
      </c>
      <c r="AF30" s="2" t="str">
        <f t="shared" si="2"/>
        <v/>
      </c>
      <c r="AG30" s="2" t="str">
        <f>IF($L30="","",IF(COUNTIF(LISTS!$A$2:$A$200,$H30)=0,"NEW",""))</f>
        <v/>
      </c>
    </row>
    <row r="31" spans="30:33" x14ac:dyDescent="0.25">
      <c r="AD31" s="2" t="str">
        <f t="shared" si="0"/>
        <v/>
      </c>
      <c r="AE31" s="2" t="str">
        <f t="shared" si="1"/>
        <v/>
      </c>
      <c r="AF31" s="2" t="str">
        <f t="shared" si="2"/>
        <v/>
      </c>
      <c r="AG31" s="2" t="str">
        <f>IF($L31="","",IF(COUNTIF(LISTS!$A$2:$A$200,$H31)=0,"NEW",""))</f>
        <v/>
      </c>
    </row>
    <row r="32" spans="30:33" x14ac:dyDescent="0.25">
      <c r="AD32" s="2" t="str">
        <f t="shared" si="0"/>
        <v/>
      </c>
      <c r="AE32" s="2" t="str">
        <f t="shared" si="1"/>
        <v/>
      </c>
      <c r="AF32" s="2" t="str">
        <f t="shared" si="2"/>
        <v/>
      </c>
      <c r="AG32" s="2" t="str">
        <f>IF($L32="","",IF(COUNTIF(LISTS!$A$2:$A$200,$H32)=0,"NEW",""))</f>
        <v/>
      </c>
    </row>
    <row r="33" spans="30:33" x14ac:dyDescent="0.25">
      <c r="AD33" s="2" t="str">
        <f t="shared" si="0"/>
        <v/>
      </c>
      <c r="AE33" s="2" t="str">
        <f t="shared" si="1"/>
        <v/>
      </c>
      <c r="AF33" s="2" t="str">
        <f t="shared" si="2"/>
        <v/>
      </c>
      <c r="AG33" s="2" t="str">
        <f>IF($L33="","",IF(COUNTIF(LISTS!$A$2:$A$200,$H33)=0,"NEW",""))</f>
        <v/>
      </c>
    </row>
    <row r="34" spans="30:33" x14ac:dyDescent="0.25">
      <c r="AD34" s="2" t="str">
        <f t="shared" si="0"/>
        <v/>
      </c>
      <c r="AE34" s="2" t="str">
        <f t="shared" si="1"/>
        <v/>
      </c>
      <c r="AF34" s="2" t="str">
        <f t="shared" si="2"/>
        <v/>
      </c>
      <c r="AG34" s="2" t="str">
        <f>IF($L34="","",IF(COUNTIF(LISTS!$A$2:$A$200,$H34)=0,"NEW",""))</f>
        <v/>
      </c>
    </row>
    <row r="35" spans="30:33" x14ac:dyDescent="0.25">
      <c r="AD35" s="2" t="str">
        <f t="shared" si="0"/>
        <v/>
      </c>
      <c r="AE35" s="2" t="str">
        <f t="shared" si="1"/>
        <v/>
      </c>
      <c r="AF35" s="2" t="str">
        <f t="shared" si="2"/>
        <v/>
      </c>
      <c r="AG35" s="2" t="str">
        <f>IF($L35="","",IF(COUNTIF(LISTS!$A$2:$A$200,$H35)=0,"NEW",""))</f>
        <v/>
      </c>
    </row>
    <row r="36" spans="30:33" x14ac:dyDescent="0.25">
      <c r="AD36" s="2" t="str">
        <f t="shared" si="0"/>
        <v/>
      </c>
      <c r="AE36" s="2" t="str">
        <f t="shared" si="1"/>
        <v/>
      </c>
      <c r="AF36" s="2" t="str">
        <f t="shared" si="2"/>
        <v/>
      </c>
      <c r="AG36" s="2" t="str">
        <f>IF($L36="","",IF(COUNTIF(LISTS!$A$2:$A$200,$H36)=0,"NEW",""))</f>
        <v/>
      </c>
    </row>
    <row r="37" spans="30:33" x14ac:dyDescent="0.25">
      <c r="AD37" s="2" t="str">
        <f t="shared" si="0"/>
        <v/>
      </c>
      <c r="AE37" s="2" t="str">
        <f t="shared" si="1"/>
        <v/>
      </c>
      <c r="AF37" s="2" t="str">
        <f t="shared" si="2"/>
        <v/>
      </c>
      <c r="AG37" s="2" t="str">
        <f>IF($L37="","",IF(COUNTIF(LISTS!$A$2:$A$200,$H37)=0,"NEW",""))</f>
        <v/>
      </c>
    </row>
    <row r="38" spans="30:33" x14ac:dyDescent="0.25">
      <c r="AD38" s="2" t="str">
        <f t="shared" si="0"/>
        <v/>
      </c>
      <c r="AE38" s="2" t="str">
        <f t="shared" si="1"/>
        <v/>
      </c>
      <c r="AF38" s="2" t="str">
        <f t="shared" si="2"/>
        <v/>
      </c>
      <c r="AG38" s="2" t="str">
        <f>IF($L38="","",IF(COUNTIF(LISTS!$A$2:$A$200,$H38)=0,"NEW",""))</f>
        <v/>
      </c>
    </row>
    <row r="39" spans="30:33" x14ac:dyDescent="0.25">
      <c r="AD39" s="2" t="str">
        <f t="shared" si="0"/>
        <v/>
      </c>
      <c r="AE39" s="2" t="str">
        <f t="shared" si="1"/>
        <v/>
      </c>
      <c r="AF39" s="2" t="str">
        <f t="shared" si="2"/>
        <v/>
      </c>
      <c r="AG39" s="2" t="str">
        <f>IF($L39="","",IF(COUNTIF(LISTS!$A$2:$A$200,$H39)=0,"NEW",""))</f>
        <v/>
      </c>
    </row>
    <row r="40" spans="30:33" x14ac:dyDescent="0.25">
      <c r="AD40" s="2" t="str">
        <f t="shared" si="0"/>
        <v/>
      </c>
      <c r="AE40" s="2" t="str">
        <f t="shared" si="1"/>
        <v/>
      </c>
      <c r="AF40" s="2" t="str">
        <f t="shared" si="2"/>
        <v/>
      </c>
      <c r="AG40" s="2" t="str">
        <f>IF($L40="","",IF(COUNTIF(LISTS!$A$2:$A$200,$H40)=0,"NEW",""))</f>
        <v/>
      </c>
    </row>
    <row r="41" spans="30:33" x14ac:dyDescent="0.25">
      <c r="AD41" s="2" t="str">
        <f t="shared" si="0"/>
        <v/>
      </c>
      <c r="AE41" s="2" t="str">
        <f t="shared" si="1"/>
        <v/>
      </c>
      <c r="AF41" s="2" t="str">
        <f t="shared" si="2"/>
        <v/>
      </c>
      <c r="AG41" s="2" t="str">
        <f>IF($L41="","",IF(COUNTIF(LISTS!$A$2:$A$200,$H41)=0,"NEW",""))</f>
        <v/>
      </c>
    </row>
    <row r="42" spans="30:33" x14ac:dyDescent="0.25">
      <c r="AD42" s="2" t="str">
        <f t="shared" si="0"/>
        <v/>
      </c>
      <c r="AE42" s="2" t="str">
        <f t="shared" si="1"/>
        <v/>
      </c>
      <c r="AF42" s="2" t="str">
        <f t="shared" si="2"/>
        <v/>
      </c>
      <c r="AG42" s="2" t="str">
        <f>IF($L42="","",IF(COUNTIF(LISTS!$A$2:$A$200,$H42)=0,"NEW",""))</f>
        <v/>
      </c>
    </row>
    <row r="43" spans="30:33" x14ac:dyDescent="0.25">
      <c r="AD43" s="2" t="str">
        <f t="shared" si="0"/>
        <v/>
      </c>
      <c r="AE43" s="2" t="str">
        <f t="shared" si="1"/>
        <v/>
      </c>
      <c r="AF43" s="2" t="str">
        <f t="shared" si="2"/>
        <v/>
      </c>
      <c r="AG43" s="2" t="str">
        <f>IF($L43="","",IF(COUNTIF(LISTS!$A$2:$A$200,$H43)=0,"NEW",""))</f>
        <v/>
      </c>
    </row>
    <row r="44" spans="30:33" x14ac:dyDescent="0.25">
      <c r="AD44" s="2" t="str">
        <f t="shared" si="0"/>
        <v/>
      </c>
      <c r="AE44" s="2" t="str">
        <f t="shared" si="1"/>
        <v/>
      </c>
      <c r="AF44" s="2" t="str">
        <f t="shared" si="2"/>
        <v/>
      </c>
      <c r="AG44" s="2" t="str">
        <f>IF($L44="","",IF(COUNTIF(LISTS!$A$2:$A$200,$H44)=0,"NEW",""))</f>
        <v/>
      </c>
    </row>
    <row r="45" spans="30:33" x14ac:dyDescent="0.25">
      <c r="AD45" s="2" t="str">
        <f t="shared" si="0"/>
        <v/>
      </c>
      <c r="AE45" s="2" t="str">
        <f t="shared" si="1"/>
        <v/>
      </c>
      <c r="AF45" s="2" t="str">
        <f t="shared" si="2"/>
        <v/>
      </c>
      <c r="AG45" s="2" t="str">
        <f>IF($L45="","",IF(COUNTIF(LISTS!$A$2:$A$200,$H45)=0,"NEW",""))</f>
        <v/>
      </c>
    </row>
    <row r="46" spans="30:33" x14ac:dyDescent="0.25">
      <c r="AD46" s="2" t="str">
        <f t="shared" si="0"/>
        <v/>
      </c>
      <c r="AE46" s="2" t="str">
        <f t="shared" si="1"/>
        <v/>
      </c>
      <c r="AF46" s="2" t="str">
        <f t="shared" si="2"/>
        <v/>
      </c>
      <c r="AG46" s="2" t="str">
        <f>IF($L46="","",IF(COUNTIF(LISTS!$A$2:$A$200,$H46)=0,"NEW",""))</f>
        <v/>
      </c>
    </row>
    <row r="47" spans="30:33" x14ac:dyDescent="0.25">
      <c r="AD47" s="2" t="str">
        <f t="shared" si="0"/>
        <v/>
      </c>
      <c r="AE47" s="2" t="str">
        <f t="shared" si="1"/>
        <v/>
      </c>
      <c r="AF47" s="2" t="str">
        <f t="shared" si="2"/>
        <v/>
      </c>
      <c r="AG47" s="2" t="str">
        <f>IF($L47="","",IF(COUNTIF(LISTS!$A$2:$A$200,$H47)=0,"NEW",""))</f>
        <v/>
      </c>
    </row>
    <row r="48" spans="30:33" x14ac:dyDescent="0.25">
      <c r="AD48" s="2" t="str">
        <f t="shared" si="0"/>
        <v/>
      </c>
      <c r="AE48" s="2" t="str">
        <f t="shared" si="1"/>
        <v/>
      </c>
      <c r="AF48" s="2" t="str">
        <f t="shared" si="2"/>
        <v/>
      </c>
      <c r="AG48" s="2" t="str">
        <f>IF($L48="","",IF(COUNTIF(LISTS!$A$2:$A$200,$H48)=0,"NEW",""))</f>
        <v/>
      </c>
    </row>
    <row r="49" spans="30:33" x14ac:dyDescent="0.25">
      <c r="AD49" s="2" t="str">
        <f t="shared" si="0"/>
        <v/>
      </c>
      <c r="AE49" s="2" t="str">
        <f t="shared" si="1"/>
        <v/>
      </c>
      <c r="AF49" s="2" t="str">
        <f t="shared" si="2"/>
        <v/>
      </c>
      <c r="AG49" s="2" t="str">
        <f>IF($L49="","",IF(COUNTIF(LISTS!$A$2:$A$200,$H49)=0,"NEW",""))</f>
        <v/>
      </c>
    </row>
    <row r="50" spans="30:33" x14ac:dyDescent="0.25">
      <c r="AD50" s="2" t="str">
        <f t="shared" si="0"/>
        <v/>
      </c>
      <c r="AE50" s="2" t="str">
        <f t="shared" si="1"/>
        <v/>
      </c>
      <c r="AF50" s="2" t="str">
        <f t="shared" si="2"/>
        <v/>
      </c>
      <c r="AG50" s="2" t="str">
        <f>IF($L50="","",IF(COUNTIF(LISTS!$A$2:$A$200,$H50)=0,"NEW",""))</f>
        <v/>
      </c>
    </row>
    <row r="51" spans="30:33" x14ac:dyDescent="0.25">
      <c r="AD51" s="2" t="str">
        <f t="shared" si="0"/>
        <v/>
      </c>
      <c r="AE51" s="2" t="str">
        <f t="shared" si="1"/>
        <v/>
      </c>
      <c r="AF51" s="2" t="str">
        <f t="shared" si="2"/>
        <v/>
      </c>
      <c r="AG51" s="2" t="str">
        <f>IF($L51="","",IF(COUNTIF(LISTS!$A$2:$A$200,$H51)=0,"NEW",""))</f>
        <v/>
      </c>
    </row>
    <row r="52" spans="30:33" x14ac:dyDescent="0.25">
      <c r="AD52" s="2" t="str">
        <f t="shared" si="0"/>
        <v/>
      </c>
      <c r="AE52" s="2" t="str">
        <f t="shared" si="1"/>
        <v/>
      </c>
      <c r="AF52" s="2" t="str">
        <f t="shared" si="2"/>
        <v/>
      </c>
      <c r="AG52" s="2" t="str">
        <f>IF($L52="","",IF(COUNTIF(LISTS!$A$2:$A$200,$H52)=0,"NEW",""))</f>
        <v/>
      </c>
    </row>
    <row r="53" spans="30:33" x14ac:dyDescent="0.25">
      <c r="AD53" s="2" t="str">
        <f t="shared" si="0"/>
        <v/>
      </c>
      <c r="AE53" s="2" t="str">
        <f t="shared" si="1"/>
        <v/>
      </c>
      <c r="AF53" s="2" t="str">
        <f t="shared" si="2"/>
        <v/>
      </c>
      <c r="AG53" s="2" t="str">
        <f>IF($L53="","",IF(COUNTIF(LISTS!$A$2:$A$200,$H53)=0,"NEW",""))</f>
        <v/>
      </c>
    </row>
    <row r="54" spans="30:33" x14ac:dyDescent="0.25">
      <c r="AD54" s="2" t="str">
        <f t="shared" si="0"/>
        <v/>
      </c>
      <c r="AE54" s="2" t="str">
        <f t="shared" si="1"/>
        <v/>
      </c>
      <c r="AF54" s="2" t="str">
        <f t="shared" si="2"/>
        <v/>
      </c>
      <c r="AG54" s="2" t="str">
        <f>IF($L54="","",IF(COUNTIF(LISTS!$A$2:$A$200,$H54)=0,"NEW",""))</f>
        <v/>
      </c>
    </row>
    <row r="55" spans="30:33" x14ac:dyDescent="0.25">
      <c r="AD55" s="2" t="str">
        <f t="shared" si="0"/>
        <v/>
      </c>
      <c r="AE55" s="2" t="str">
        <f t="shared" si="1"/>
        <v/>
      </c>
      <c r="AF55" s="2" t="str">
        <f t="shared" si="2"/>
        <v/>
      </c>
      <c r="AG55" s="2" t="str">
        <f>IF($L55="","",IF(COUNTIF(LISTS!$A$2:$A$200,$H55)=0,"NEW",""))</f>
        <v/>
      </c>
    </row>
    <row r="56" spans="30:33" x14ac:dyDescent="0.25">
      <c r="AD56" s="2" t="str">
        <f t="shared" si="0"/>
        <v/>
      </c>
      <c r="AE56" s="2" t="str">
        <f t="shared" si="1"/>
        <v/>
      </c>
      <c r="AF56" s="2" t="str">
        <f t="shared" si="2"/>
        <v/>
      </c>
      <c r="AG56" s="2" t="str">
        <f>IF($L56="","",IF(COUNTIF(LISTS!$A$2:$A$200,$H56)=0,"NEW",""))</f>
        <v/>
      </c>
    </row>
    <row r="57" spans="30:33" x14ac:dyDescent="0.25">
      <c r="AD57" s="2" t="str">
        <f t="shared" si="0"/>
        <v/>
      </c>
      <c r="AE57" s="2" t="str">
        <f t="shared" si="1"/>
        <v/>
      </c>
      <c r="AF57" s="2" t="str">
        <f t="shared" si="2"/>
        <v/>
      </c>
      <c r="AG57" s="2" t="str">
        <f>IF($L57="","",IF(COUNTIF(LISTS!$A$2:$A$200,$H57)=0,"NEW",""))</f>
        <v/>
      </c>
    </row>
    <row r="58" spans="30:33" x14ac:dyDescent="0.25">
      <c r="AD58" s="2" t="str">
        <f t="shared" si="0"/>
        <v/>
      </c>
      <c r="AE58" s="2" t="str">
        <f t="shared" si="1"/>
        <v/>
      </c>
      <c r="AF58" s="2" t="str">
        <f t="shared" si="2"/>
        <v/>
      </c>
      <c r="AG58" s="2" t="str">
        <f>IF($L58="","",IF(COUNTIF(LISTS!$A$2:$A$200,$H58)=0,"NEW",""))</f>
        <v/>
      </c>
    </row>
    <row r="59" spans="30:33" x14ac:dyDescent="0.25">
      <c r="AD59" s="2" t="str">
        <f t="shared" si="0"/>
        <v/>
      </c>
      <c r="AE59" s="2" t="str">
        <f t="shared" si="1"/>
        <v/>
      </c>
      <c r="AF59" s="2" t="str">
        <f t="shared" si="2"/>
        <v/>
      </c>
      <c r="AG59" s="2" t="str">
        <f>IF($L59="","",IF(COUNTIF(LISTS!$A$2:$A$200,$H59)=0,"NEW",""))</f>
        <v/>
      </c>
    </row>
    <row r="60" spans="30:33" x14ac:dyDescent="0.25">
      <c r="AD60" s="2" t="str">
        <f t="shared" si="0"/>
        <v/>
      </c>
      <c r="AE60" s="2" t="str">
        <f t="shared" si="1"/>
        <v/>
      </c>
      <c r="AF60" s="2" t="str">
        <f t="shared" si="2"/>
        <v/>
      </c>
      <c r="AG60" s="2" t="str">
        <f>IF($L60="","",IF(COUNTIF(LISTS!$A$2:$A$200,$H60)=0,"NEW",""))</f>
        <v/>
      </c>
    </row>
    <row r="61" spans="30:33" x14ac:dyDescent="0.25">
      <c r="AD61" s="2" t="str">
        <f t="shared" si="0"/>
        <v/>
      </c>
      <c r="AE61" s="2" t="str">
        <f t="shared" si="1"/>
        <v/>
      </c>
      <c r="AF61" s="2" t="str">
        <f t="shared" si="2"/>
        <v/>
      </c>
      <c r="AG61" s="2" t="str">
        <f>IF($L61="","",IF(COUNTIF(LISTS!$A$2:$A$200,$H61)=0,"NEW",""))</f>
        <v/>
      </c>
    </row>
    <row r="62" spans="30:33" x14ac:dyDescent="0.25">
      <c r="AD62" s="2" t="str">
        <f t="shared" si="0"/>
        <v/>
      </c>
      <c r="AE62" s="2" t="str">
        <f t="shared" si="1"/>
        <v/>
      </c>
      <c r="AF62" s="2" t="str">
        <f t="shared" si="2"/>
        <v/>
      </c>
      <c r="AG62" s="2" t="str">
        <f>IF($L62="","",IF(COUNTIF(LISTS!$A$2:$A$200,$H62)=0,"NEW",""))</f>
        <v/>
      </c>
    </row>
    <row r="63" spans="30:33" x14ac:dyDescent="0.25">
      <c r="AD63" s="2" t="str">
        <f t="shared" si="0"/>
        <v/>
      </c>
      <c r="AE63" s="2" t="str">
        <f t="shared" si="1"/>
        <v/>
      </c>
      <c r="AF63" s="2" t="str">
        <f t="shared" si="2"/>
        <v/>
      </c>
      <c r="AG63" s="2" t="str">
        <f>IF($L63="","",IF(COUNTIF(LISTS!$A$2:$A$200,$H63)=0,"NEW",""))</f>
        <v/>
      </c>
    </row>
    <row r="64" spans="30:33" x14ac:dyDescent="0.25">
      <c r="AD64" s="2" t="str">
        <f t="shared" si="0"/>
        <v/>
      </c>
      <c r="AE64" s="2" t="str">
        <f t="shared" si="1"/>
        <v/>
      </c>
      <c r="AF64" s="2" t="str">
        <f t="shared" si="2"/>
        <v/>
      </c>
      <c r="AG64" s="2" t="str">
        <f>IF($L64="","",IF(COUNTIF(LISTS!$A$2:$A$200,$H64)=0,"NEW",""))</f>
        <v/>
      </c>
    </row>
    <row r="65" spans="30:33" x14ac:dyDescent="0.25">
      <c r="AD65" s="2" t="str">
        <f t="shared" si="0"/>
        <v/>
      </c>
      <c r="AE65" s="2" t="str">
        <f t="shared" si="1"/>
        <v/>
      </c>
      <c r="AF65" s="2" t="str">
        <f t="shared" si="2"/>
        <v/>
      </c>
      <c r="AG65" s="2" t="str">
        <f>IF($L65="","",IF(COUNTIF(LISTS!$A$2:$A$200,$H65)=0,"NEW",""))</f>
        <v/>
      </c>
    </row>
    <row r="66" spans="30:33" x14ac:dyDescent="0.25">
      <c r="AD66" s="2" t="str">
        <f t="shared" ref="AD66:AD129" si="3">IF($L66="","",IF(ISNUMBER(SEARCH("OFF ROAD",$H66)),"OFF",IF(ISNUMBER(SEARCH("ON ROAD",$H66)),"ON","")))</f>
        <v/>
      </c>
      <c r="AE66" s="2" t="str">
        <f t="shared" ref="AE66:AE129" si="4">IF($AD66="ON",""&amp;$L66,"")</f>
        <v/>
      </c>
      <c r="AF66" s="2" t="str">
        <f t="shared" ref="AF66:AF129" si="5">IF($L66="","",IF($J66&lt;&gt;"","Y",""))</f>
        <v/>
      </c>
      <c r="AG66" s="2" t="str">
        <f>IF($L66="","",IF(COUNTIF(LISTS!$A$2:$A$200,$H66)=0,"NEW",""))</f>
        <v/>
      </c>
    </row>
    <row r="67" spans="30:33" x14ac:dyDescent="0.25">
      <c r="AD67" s="2" t="str">
        <f t="shared" si="3"/>
        <v/>
      </c>
      <c r="AE67" s="2" t="str">
        <f t="shared" si="4"/>
        <v/>
      </c>
      <c r="AF67" s="2" t="str">
        <f t="shared" si="5"/>
        <v/>
      </c>
      <c r="AG67" s="2" t="str">
        <f>IF($L67="","",IF(COUNTIF(LISTS!$A$2:$A$200,$H67)=0,"NEW",""))</f>
        <v/>
      </c>
    </row>
    <row r="68" spans="30:33" x14ac:dyDescent="0.25">
      <c r="AD68" s="2" t="str">
        <f t="shared" si="3"/>
        <v/>
      </c>
      <c r="AE68" s="2" t="str">
        <f t="shared" si="4"/>
        <v/>
      </c>
      <c r="AF68" s="2" t="str">
        <f t="shared" si="5"/>
        <v/>
      </c>
      <c r="AG68" s="2" t="str">
        <f>IF($L68="","",IF(COUNTIF(LISTS!$A$2:$A$200,$H68)=0,"NEW",""))</f>
        <v/>
      </c>
    </row>
    <row r="69" spans="30:33" x14ac:dyDescent="0.25">
      <c r="AD69" s="2" t="str">
        <f t="shared" si="3"/>
        <v/>
      </c>
      <c r="AE69" s="2" t="str">
        <f t="shared" si="4"/>
        <v/>
      </c>
      <c r="AF69" s="2" t="str">
        <f t="shared" si="5"/>
        <v/>
      </c>
      <c r="AG69" s="2" t="str">
        <f>IF($L69="","",IF(COUNTIF(LISTS!$A$2:$A$200,$H69)=0,"NEW",""))</f>
        <v/>
      </c>
    </row>
    <row r="70" spans="30:33" x14ac:dyDescent="0.25">
      <c r="AD70" s="2" t="str">
        <f t="shared" si="3"/>
        <v/>
      </c>
      <c r="AE70" s="2" t="str">
        <f t="shared" si="4"/>
        <v/>
      </c>
      <c r="AF70" s="2" t="str">
        <f t="shared" si="5"/>
        <v/>
      </c>
      <c r="AG70" s="2" t="str">
        <f>IF($L70="","",IF(COUNTIF(LISTS!$A$2:$A$200,$H70)=0,"NEW",""))</f>
        <v/>
      </c>
    </row>
    <row r="71" spans="30:33" x14ac:dyDescent="0.25">
      <c r="AD71" s="2" t="str">
        <f t="shared" si="3"/>
        <v/>
      </c>
      <c r="AE71" s="2" t="str">
        <f t="shared" si="4"/>
        <v/>
      </c>
      <c r="AF71" s="2" t="str">
        <f t="shared" si="5"/>
        <v/>
      </c>
      <c r="AG71" s="2" t="str">
        <f>IF($L71="","",IF(COUNTIF(LISTS!$A$2:$A$200,$H71)=0,"NEW",""))</f>
        <v/>
      </c>
    </row>
    <row r="72" spans="30:33" x14ac:dyDescent="0.25">
      <c r="AD72" s="2" t="str">
        <f t="shared" si="3"/>
        <v/>
      </c>
      <c r="AE72" s="2" t="str">
        <f t="shared" si="4"/>
        <v/>
      </c>
      <c r="AF72" s="2" t="str">
        <f t="shared" si="5"/>
        <v/>
      </c>
      <c r="AG72" s="2" t="str">
        <f>IF($L72="","",IF(COUNTIF(LISTS!$A$2:$A$200,$H72)=0,"NEW",""))</f>
        <v/>
      </c>
    </row>
    <row r="73" spans="30:33" x14ac:dyDescent="0.25">
      <c r="AD73" s="2" t="str">
        <f t="shared" si="3"/>
        <v/>
      </c>
      <c r="AE73" s="2" t="str">
        <f t="shared" si="4"/>
        <v/>
      </c>
      <c r="AF73" s="2" t="str">
        <f t="shared" si="5"/>
        <v/>
      </c>
      <c r="AG73" s="2" t="str">
        <f>IF($L73="","",IF(COUNTIF(LISTS!$A$2:$A$200,$H73)=0,"NEW",""))</f>
        <v/>
      </c>
    </row>
    <row r="74" spans="30:33" x14ac:dyDescent="0.25">
      <c r="AD74" s="2" t="str">
        <f t="shared" si="3"/>
        <v/>
      </c>
      <c r="AE74" s="2" t="str">
        <f t="shared" si="4"/>
        <v/>
      </c>
      <c r="AF74" s="2" t="str">
        <f t="shared" si="5"/>
        <v/>
      </c>
      <c r="AG74" s="2" t="str">
        <f>IF($L74="","",IF(COUNTIF(LISTS!$A$2:$A$200,$H74)=0,"NEW",""))</f>
        <v/>
      </c>
    </row>
    <row r="75" spans="30:33" x14ac:dyDescent="0.25">
      <c r="AD75" s="2" t="str">
        <f t="shared" si="3"/>
        <v/>
      </c>
      <c r="AE75" s="2" t="str">
        <f t="shared" si="4"/>
        <v/>
      </c>
      <c r="AF75" s="2" t="str">
        <f t="shared" si="5"/>
        <v/>
      </c>
      <c r="AG75" s="2" t="str">
        <f>IF($L75="","",IF(COUNTIF(LISTS!$A$2:$A$200,$H75)=0,"NEW",""))</f>
        <v/>
      </c>
    </row>
    <row r="76" spans="30:33" x14ac:dyDescent="0.25">
      <c r="AD76" s="2" t="str">
        <f t="shared" si="3"/>
        <v/>
      </c>
      <c r="AE76" s="2" t="str">
        <f t="shared" si="4"/>
        <v/>
      </c>
      <c r="AF76" s="2" t="str">
        <f t="shared" si="5"/>
        <v/>
      </c>
      <c r="AG76" s="2" t="str">
        <f>IF($L76="","",IF(COUNTIF(LISTS!$A$2:$A$200,$H76)=0,"NEW",""))</f>
        <v/>
      </c>
    </row>
    <row r="77" spans="30:33" x14ac:dyDescent="0.25">
      <c r="AD77" s="2" t="str">
        <f t="shared" si="3"/>
        <v/>
      </c>
      <c r="AE77" s="2" t="str">
        <f t="shared" si="4"/>
        <v/>
      </c>
      <c r="AF77" s="2" t="str">
        <f t="shared" si="5"/>
        <v/>
      </c>
      <c r="AG77" s="2" t="str">
        <f>IF($L77="","",IF(COUNTIF(LISTS!$A$2:$A$200,$H77)=0,"NEW",""))</f>
        <v/>
      </c>
    </row>
    <row r="78" spans="30:33" x14ac:dyDescent="0.25">
      <c r="AD78" s="2" t="str">
        <f t="shared" si="3"/>
        <v/>
      </c>
      <c r="AE78" s="2" t="str">
        <f t="shared" si="4"/>
        <v/>
      </c>
      <c r="AF78" s="2" t="str">
        <f t="shared" si="5"/>
        <v/>
      </c>
      <c r="AG78" s="2" t="str">
        <f>IF($L78="","",IF(COUNTIF(LISTS!$A$2:$A$200,$H78)=0,"NEW",""))</f>
        <v/>
      </c>
    </row>
    <row r="79" spans="30:33" x14ac:dyDescent="0.25">
      <c r="AD79" s="2" t="str">
        <f t="shared" si="3"/>
        <v/>
      </c>
      <c r="AE79" s="2" t="str">
        <f t="shared" si="4"/>
        <v/>
      </c>
      <c r="AF79" s="2" t="str">
        <f t="shared" si="5"/>
        <v/>
      </c>
      <c r="AG79" s="2" t="str">
        <f>IF($L79="","",IF(COUNTIF(LISTS!$A$2:$A$200,$H79)=0,"NEW",""))</f>
        <v/>
      </c>
    </row>
    <row r="80" spans="30:33" x14ac:dyDescent="0.25">
      <c r="AD80" s="2" t="str">
        <f t="shared" si="3"/>
        <v/>
      </c>
      <c r="AE80" s="2" t="str">
        <f t="shared" si="4"/>
        <v/>
      </c>
      <c r="AF80" s="2" t="str">
        <f t="shared" si="5"/>
        <v/>
      </c>
      <c r="AG80" s="2" t="str">
        <f>IF($L80="","",IF(COUNTIF(LISTS!$A$2:$A$200,$H80)=0,"NEW",""))</f>
        <v/>
      </c>
    </row>
    <row r="81" spans="30:33" x14ac:dyDescent="0.25">
      <c r="AD81" s="2" t="str">
        <f t="shared" si="3"/>
        <v/>
      </c>
      <c r="AE81" s="2" t="str">
        <f t="shared" si="4"/>
        <v/>
      </c>
      <c r="AF81" s="2" t="str">
        <f t="shared" si="5"/>
        <v/>
      </c>
      <c r="AG81" s="2" t="str">
        <f>IF($L81="","",IF(COUNTIF(LISTS!$A$2:$A$200,$H81)=0,"NEW",""))</f>
        <v/>
      </c>
    </row>
    <row r="82" spans="30:33" x14ac:dyDescent="0.25">
      <c r="AD82" s="2" t="str">
        <f t="shared" si="3"/>
        <v/>
      </c>
      <c r="AE82" s="2" t="str">
        <f t="shared" si="4"/>
        <v/>
      </c>
      <c r="AF82" s="2" t="str">
        <f t="shared" si="5"/>
        <v/>
      </c>
      <c r="AG82" s="2" t="str">
        <f>IF($L82="","",IF(COUNTIF(LISTS!$A$2:$A$200,$H82)=0,"NEW",""))</f>
        <v/>
      </c>
    </row>
    <row r="83" spans="30:33" x14ac:dyDescent="0.25">
      <c r="AD83" s="2" t="str">
        <f t="shared" si="3"/>
        <v/>
      </c>
      <c r="AE83" s="2" t="str">
        <f t="shared" si="4"/>
        <v/>
      </c>
      <c r="AF83" s="2" t="str">
        <f t="shared" si="5"/>
        <v/>
      </c>
      <c r="AG83" s="2" t="str">
        <f>IF($L83="","",IF(COUNTIF(LISTS!$A$2:$A$200,$H83)=0,"NEW",""))</f>
        <v/>
      </c>
    </row>
    <row r="84" spans="30:33" x14ac:dyDescent="0.25">
      <c r="AD84" s="2" t="str">
        <f t="shared" si="3"/>
        <v/>
      </c>
      <c r="AE84" s="2" t="str">
        <f t="shared" si="4"/>
        <v/>
      </c>
      <c r="AF84" s="2" t="str">
        <f t="shared" si="5"/>
        <v/>
      </c>
      <c r="AG84" s="2" t="str">
        <f>IF($L84="","",IF(COUNTIF(LISTS!$A$2:$A$200,$H84)=0,"NEW",""))</f>
        <v/>
      </c>
    </row>
    <row r="85" spans="30:33" x14ac:dyDescent="0.25">
      <c r="AD85" s="2" t="str">
        <f t="shared" si="3"/>
        <v/>
      </c>
      <c r="AE85" s="2" t="str">
        <f t="shared" si="4"/>
        <v/>
      </c>
      <c r="AF85" s="2" t="str">
        <f t="shared" si="5"/>
        <v/>
      </c>
      <c r="AG85" s="2" t="str">
        <f>IF($L85="","",IF(COUNTIF(LISTS!$A$2:$A$200,$H85)=0,"NEW",""))</f>
        <v/>
      </c>
    </row>
    <row r="86" spans="30:33" x14ac:dyDescent="0.25">
      <c r="AD86" s="2" t="str">
        <f t="shared" si="3"/>
        <v/>
      </c>
      <c r="AE86" s="2" t="str">
        <f t="shared" si="4"/>
        <v/>
      </c>
      <c r="AF86" s="2" t="str">
        <f t="shared" si="5"/>
        <v/>
      </c>
      <c r="AG86" s="2" t="str">
        <f>IF($L86="","",IF(COUNTIF(LISTS!$A$2:$A$200,$H86)=0,"NEW",""))</f>
        <v/>
      </c>
    </row>
    <row r="87" spans="30:33" x14ac:dyDescent="0.25">
      <c r="AD87" s="2" t="str">
        <f t="shared" si="3"/>
        <v/>
      </c>
      <c r="AE87" s="2" t="str">
        <f t="shared" si="4"/>
        <v/>
      </c>
      <c r="AF87" s="2" t="str">
        <f t="shared" si="5"/>
        <v/>
      </c>
      <c r="AG87" s="2" t="str">
        <f>IF($L87="","",IF(COUNTIF(LISTS!$A$2:$A$200,$H87)=0,"NEW",""))</f>
        <v/>
      </c>
    </row>
    <row r="88" spans="30:33" x14ac:dyDescent="0.25">
      <c r="AD88" s="2" t="str">
        <f t="shared" si="3"/>
        <v/>
      </c>
      <c r="AE88" s="2" t="str">
        <f t="shared" si="4"/>
        <v/>
      </c>
      <c r="AF88" s="2" t="str">
        <f t="shared" si="5"/>
        <v/>
      </c>
      <c r="AG88" s="2" t="str">
        <f>IF($L88="","",IF(COUNTIF(LISTS!$A$2:$A$200,$H88)=0,"NEW",""))</f>
        <v/>
      </c>
    </row>
    <row r="89" spans="30:33" x14ac:dyDescent="0.25">
      <c r="AD89" s="2" t="str">
        <f t="shared" si="3"/>
        <v/>
      </c>
      <c r="AE89" s="2" t="str">
        <f t="shared" si="4"/>
        <v/>
      </c>
      <c r="AF89" s="2" t="str">
        <f t="shared" si="5"/>
        <v/>
      </c>
      <c r="AG89" s="2" t="str">
        <f>IF($L89="","",IF(COUNTIF(LISTS!$A$2:$A$200,$H89)=0,"NEW",""))</f>
        <v/>
      </c>
    </row>
    <row r="90" spans="30:33" x14ac:dyDescent="0.25">
      <c r="AD90" s="2" t="str">
        <f t="shared" si="3"/>
        <v/>
      </c>
      <c r="AE90" s="2" t="str">
        <f t="shared" si="4"/>
        <v/>
      </c>
      <c r="AF90" s="2" t="str">
        <f t="shared" si="5"/>
        <v/>
      </c>
      <c r="AG90" s="2" t="str">
        <f>IF($L90="","",IF(COUNTIF(LISTS!$A$2:$A$200,$H90)=0,"NEW",""))</f>
        <v/>
      </c>
    </row>
    <row r="91" spans="30:33" x14ac:dyDescent="0.25">
      <c r="AD91" s="2" t="str">
        <f t="shared" si="3"/>
        <v/>
      </c>
      <c r="AE91" s="2" t="str">
        <f t="shared" si="4"/>
        <v/>
      </c>
      <c r="AF91" s="2" t="str">
        <f t="shared" si="5"/>
        <v/>
      </c>
      <c r="AG91" s="2" t="str">
        <f>IF($L91="","",IF(COUNTIF(LISTS!$A$2:$A$200,$H91)=0,"NEW",""))</f>
        <v/>
      </c>
    </row>
    <row r="92" spans="30:33" x14ac:dyDescent="0.25">
      <c r="AD92" s="2" t="str">
        <f t="shared" si="3"/>
        <v/>
      </c>
      <c r="AE92" s="2" t="str">
        <f t="shared" si="4"/>
        <v/>
      </c>
      <c r="AF92" s="2" t="str">
        <f t="shared" si="5"/>
        <v/>
      </c>
      <c r="AG92" s="2" t="str">
        <f>IF($L92="","",IF(COUNTIF(LISTS!$A$2:$A$200,$H92)=0,"NEW",""))</f>
        <v/>
      </c>
    </row>
    <row r="93" spans="30:33" x14ac:dyDescent="0.25">
      <c r="AD93" s="2" t="str">
        <f t="shared" si="3"/>
        <v/>
      </c>
      <c r="AE93" s="2" t="str">
        <f t="shared" si="4"/>
        <v/>
      </c>
      <c r="AF93" s="2" t="str">
        <f t="shared" si="5"/>
        <v/>
      </c>
      <c r="AG93" s="2" t="str">
        <f>IF($L93="","",IF(COUNTIF(LISTS!$A$2:$A$200,$H93)=0,"NEW",""))</f>
        <v/>
      </c>
    </row>
    <row r="94" spans="30:33" x14ac:dyDescent="0.25">
      <c r="AD94" s="2" t="str">
        <f t="shared" si="3"/>
        <v/>
      </c>
      <c r="AE94" s="2" t="str">
        <f t="shared" si="4"/>
        <v/>
      </c>
      <c r="AF94" s="2" t="str">
        <f t="shared" si="5"/>
        <v/>
      </c>
      <c r="AG94" s="2" t="str">
        <f>IF($L94="","",IF(COUNTIF(LISTS!$A$2:$A$200,$H94)=0,"NEW",""))</f>
        <v/>
      </c>
    </row>
    <row r="95" spans="30:33" x14ac:dyDescent="0.25">
      <c r="AD95" s="2" t="str">
        <f t="shared" si="3"/>
        <v/>
      </c>
      <c r="AE95" s="2" t="str">
        <f t="shared" si="4"/>
        <v/>
      </c>
      <c r="AF95" s="2" t="str">
        <f t="shared" si="5"/>
        <v/>
      </c>
      <c r="AG95" s="2" t="str">
        <f>IF($L95="","",IF(COUNTIF(LISTS!$A$2:$A$200,$H95)=0,"NEW",""))</f>
        <v/>
      </c>
    </row>
    <row r="96" spans="30:33" x14ac:dyDescent="0.25">
      <c r="AD96" s="2" t="str">
        <f t="shared" si="3"/>
        <v/>
      </c>
      <c r="AE96" s="2" t="str">
        <f t="shared" si="4"/>
        <v/>
      </c>
      <c r="AF96" s="2" t="str">
        <f t="shared" si="5"/>
        <v/>
      </c>
      <c r="AG96" s="2" t="str">
        <f>IF($L96="","",IF(COUNTIF(LISTS!$A$2:$A$200,$H96)=0,"NEW",""))</f>
        <v/>
      </c>
    </row>
    <row r="97" spans="30:33" x14ac:dyDescent="0.25">
      <c r="AD97" s="2" t="str">
        <f t="shared" si="3"/>
        <v/>
      </c>
      <c r="AE97" s="2" t="str">
        <f t="shared" si="4"/>
        <v/>
      </c>
      <c r="AF97" s="2" t="str">
        <f t="shared" si="5"/>
        <v/>
      </c>
      <c r="AG97" s="2" t="str">
        <f>IF($L97="","",IF(COUNTIF(LISTS!$A$2:$A$200,$H97)=0,"NEW",""))</f>
        <v/>
      </c>
    </row>
    <row r="98" spans="30:33" x14ac:dyDescent="0.25">
      <c r="AD98" s="2" t="str">
        <f t="shared" si="3"/>
        <v/>
      </c>
      <c r="AE98" s="2" t="str">
        <f t="shared" si="4"/>
        <v/>
      </c>
      <c r="AF98" s="2" t="str">
        <f t="shared" si="5"/>
        <v/>
      </c>
      <c r="AG98" s="2" t="str">
        <f>IF($L98="","",IF(COUNTIF(LISTS!$A$2:$A$200,$H98)=0,"NEW",""))</f>
        <v/>
      </c>
    </row>
    <row r="99" spans="30:33" x14ac:dyDescent="0.25">
      <c r="AD99" s="2" t="str">
        <f t="shared" si="3"/>
        <v/>
      </c>
      <c r="AE99" s="2" t="str">
        <f t="shared" si="4"/>
        <v/>
      </c>
      <c r="AF99" s="2" t="str">
        <f t="shared" si="5"/>
        <v/>
      </c>
      <c r="AG99" s="2" t="str">
        <f>IF($L99="","",IF(COUNTIF(LISTS!$A$2:$A$200,$H99)=0,"NEW",""))</f>
        <v/>
      </c>
    </row>
    <row r="100" spans="30:33" x14ac:dyDescent="0.25">
      <c r="AD100" s="2" t="str">
        <f t="shared" si="3"/>
        <v/>
      </c>
      <c r="AE100" s="2" t="str">
        <f t="shared" si="4"/>
        <v/>
      </c>
      <c r="AF100" s="2" t="str">
        <f t="shared" si="5"/>
        <v/>
      </c>
      <c r="AG100" s="2" t="str">
        <f>IF($L100="","",IF(COUNTIF(LISTS!$A$2:$A$200,$H100)=0,"NEW",""))</f>
        <v/>
      </c>
    </row>
    <row r="101" spans="30:33" x14ac:dyDescent="0.25">
      <c r="AD101" s="2" t="str">
        <f t="shared" si="3"/>
        <v/>
      </c>
      <c r="AE101" s="2" t="str">
        <f t="shared" si="4"/>
        <v/>
      </c>
      <c r="AF101" s="2" t="str">
        <f t="shared" si="5"/>
        <v/>
      </c>
      <c r="AG101" s="2" t="str">
        <f>IF($L101="","",IF(COUNTIF(LISTS!$A$2:$A$200,$H101)=0,"NEW",""))</f>
        <v/>
      </c>
    </row>
    <row r="102" spans="30:33" x14ac:dyDescent="0.25">
      <c r="AD102" s="2" t="str">
        <f t="shared" si="3"/>
        <v/>
      </c>
      <c r="AE102" s="2" t="str">
        <f t="shared" si="4"/>
        <v/>
      </c>
      <c r="AF102" s="2" t="str">
        <f t="shared" si="5"/>
        <v/>
      </c>
      <c r="AG102" s="2" t="str">
        <f>IF($L102="","",IF(COUNTIF(LISTS!$A$2:$A$200,$H102)=0,"NEW",""))</f>
        <v/>
      </c>
    </row>
    <row r="103" spans="30:33" x14ac:dyDescent="0.25">
      <c r="AD103" s="2" t="str">
        <f t="shared" si="3"/>
        <v/>
      </c>
      <c r="AE103" s="2" t="str">
        <f t="shared" si="4"/>
        <v/>
      </c>
      <c r="AF103" s="2" t="str">
        <f t="shared" si="5"/>
        <v/>
      </c>
      <c r="AG103" s="2" t="str">
        <f>IF($L103="","",IF(COUNTIF(LISTS!$A$2:$A$200,$H103)=0,"NEW",""))</f>
        <v/>
      </c>
    </row>
    <row r="104" spans="30:33" x14ac:dyDescent="0.25">
      <c r="AD104" s="2" t="str">
        <f t="shared" si="3"/>
        <v/>
      </c>
      <c r="AE104" s="2" t="str">
        <f t="shared" si="4"/>
        <v/>
      </c>
      <c r="AF104" s="2" t="str">
        <f t="shared" si="5"/>
        <v/>
      </c>
      <c r="AG104" s="2" t="str">
        <f>IF($L104="","",IF(COUNTIF(LISTS!$A$2:$A$200,$H104)=0,"NEW",""))</f>
        <v/>
      </c>
    </row>
    <row r="105" spans="30:33" x14ac:dyDescent="0.25">
      <c r="AD105" s="2" t="str">
        <f t="shared" si="3"/>
        <v/>
      </c>
      <c r="AE105" s="2" t="str">
        <f t="shared" si="4"/>
        <v/>
      </c>
      <c r="AF105" s="2" t="str">
        <f t="shared" si="5"/>
        <v/>
      </c>
      <c r="AG105" s="2" t="str">
        <f>IF($L105="","",IF(COUNTIF(LISTS!$A$2:$A$200,$H105)=0,"NEW",""))</f>
        <v/>
      </c>
    </row>
    <row r="106" spans="30:33" x14ac:dyDescent="0.25">
      <c r="AD106" s="2" t="str">
        <f t="shared" si="3"/>
        <v/>
      </c>
      <c r="AE106" s="2" t="str">
        <f t="shared" si="4"/>
        <v/>
      </c>
      <c r="AF106" s="2" t="str">
        <f t="shared" si="5"/>
        <v/>
      </c>
      <c r="AG106" s="2" t="str">
        <f>IF($L106="","",IF(COUNTIF(LISTS!$A$2:$A$200,$H106)=0,"NEW",""))</f>
        <v/>
      </c>
    </row>
    <row r="107" spans="30:33" x14ac:dyDescent="0.25">
      <c r="AD107" s="2" t="str">
        <f t="shared" si="3"/>
        <v/>
      </c>
      <c r="AE107" s="2" t="str">
        <f t="shared" si="4"/>
        <v/>
      </c>
      <c r="AF107" s="2" t="str">
        <f t="shared" si="5"/>
        <v/>
      </c>
      <c r="AG107" s="2" t="str">
        <f>IF($L107="","",IF(COUNTIF(LISTS!$A$2:$A$200,$H107)=0,"NEW",""))</f>
        <v/>
      </c>
    </row>
    <row r="108" spans="30:33" x14ac:dyDescent="0.25">
      <c r="AD108" s="2" t="str">
        <f t="shared" si="3"/>
        <v/>
      </c>
      <c r="AE108" s="2" t="str">
        <f t="shared" si="4"/>
        <v/>
      </c>
      <c r="AF108" s="2" t="str">
        <f t="shared" si="5"/>
        <v/>
      </c>
      <c r="AG108" s="2" t="str">
        <f>IF($L108="","",IF(COUNTIF(LISTS!$A$2:$A$200,$H108)=0,"NEW",""))</f>
        <v/>
      </c>
    </row>
    <row r="109" spans="30:33" x14ac:dyDescent="0.25">
      <c r="AD109" s="2" t="str">
        <f t="shared" si="3"/>
        <v/>
      </c>
      <c r="AE109" s="2" t="str">
        <f t="shared" si="4"/>
        <v/>
      </c>
      <c r="AF109" s="2" t="str">
        <f t="shared" si="5"/>
        <v/>
      </c>
      <c r="AG109" s="2" t="str">
        <f>IF($L109="","",IF(COUNTIF(LISTS!$A$2:$A$200,$H109)=0,"NEW",""))</f>
        <v/>
      </c>
    </row>
    <row r="110" spans="30:33" x14ac:dyDescent="0.25">
      <c r="AD110" s="2" t="str">
        <f t="shared" si="3"/>
        <v/>
      </c>
      <c r="AE110" s="2" t="str">
        <f t="shared" si="4"/>
        <v/>
      </c>
      <c r="AF110" s="2" t="str">
        <f t="shared" si="5"/>
        <v/>
      </c>
      <c r="AG110" s="2" t="str">
        <f>IF($L110="","",IF(COUNTIF(LISTS!$A$2:$A$200,$H110)=0,"NEW",""))</f>
        <v/>
      </c>
    </row>
    <row r="111" spans="30:33" x14ac:dyDescent="0.25">
      <c r="AD111" s="2" t="str">
        <f t="shared" si="3"/>
        <v/>
      </c>
      <c r="AE111" s="2" t="str">
        <f t="shared" si="4"/>
        <v/>
      </c>
      <c r="AF111" s="2" t="str">
        <f t="shared" si="5"/>
        <v/>
      </c>
      <c r="AG111" s="2" t="str">
        <f>IF($L111="","",IF(COUNTIF(LISTS!$A$2:$A$200,$H111)=0,"NEW",""))</f>
        <v/>
      </c>
    </row>
    <row r="112" spans="30:33" x14ac:dyDescent="0.25">
      <c r="AD112" s="2" t="str">
        <f t="shared" si="3"/>
        <v/>
      </c>
      <c r="AE112" s="2" t="str">
        <f t="shared" si="4"/>
        <v/>
      </c>
      <c r="AF112" s="2" t="str">
        <f t="shared" si="5"/>
        <v/>
      </c>
      <c r="AG112" s="2" t="str">
        <f>IF($L112="","",IF(COUNTIF(LISTS!$A$2:$A$200,$H112)=0,"NEW",""))</f>
        <v/>
      </c>
    </row>
    <row r="113" spans="30:33" x14ac:dyDescent="0.25">
      <c r="AD113" s="2" t="str">
        <f t="shared" si="3"/>
        <v/>
      </c>
      <c r="AE113" s="2" t="str">
        <f t="shared" si="4"/>
        <v/>
      </c>
      <c r="AF113" s="2" t="str">
        <f t="shared" si="5"/>
        <v/>
      </c>
      <c r="AG113" s="2" t="str">
        <f>IF($L113="","",IF(COUNTIF(LISTS!$A$2:$A$200,$H113)=0,"NEW",""))</f>
        <v/>
      </c>
    </row>
    <row r="114" spans="30:33" x14ac:dyDescent="0.25">
      <c r="AD114" s="2" t="str">
        <f t="shared" si="3"/>
        <v/>
      </c>
      <c r="AE114" s="2" t="str">
        <f t="shared" si="4"/>
        <v/>
      </c>
      <c r="AF114" s="2" t="str">
        <f t="shared" si="5"/>
        <v/>
      </c>
      <c r="AG114" s="2" t="str">
        <f>IF($L114="","",IF(COUNTIF(LISTS!$A$2:$A$200,$H114)=0,"NEW",""))</f>
        <v/>
      </c>
    </row>
    <row r="115" spans="30:33" x14ac:dyDescent="0.25">
      <c r="AD115" s="2" t="str">
        <f t="shared" si="3"/>
        <v/>
      </c>
      <c r="AE115" s="2" t="str">
        <f t="shared" si="4"/>
        <v/>
      </c>
      <c r="AF115" s="2" t="str">
        <f t="shared" si="5"/>
        <v/>
      </c>
      <c r="AG115" s="2" t="str">
        <f>IF($L115="","",IF(COUNTIF(LISTS!$A$2:$A$200,$H115)=0,"NEW",""))</f>
        <v/>
      </c>
    </row>
    <row r="116" spans="30:33" x14ac:dyDescent="0.25">
      <c r="AD116" s="2" t="str">
        <f t="shared" si="3"/>
        <v/>
      </c>
      <c r="AE116" s="2" t="str">
        <f t="shared" si="4"/>
        <v/>
      </c>
      <c r="AF116" s="2" t="str">
        <f t="shared" si="5"/>
        <v/>
      </c>
      <c r="AG116" s="2" t="str">
        <f>IF($L116="","",IF(COUNTIF(LISTS!$A$2:$A$200,$H116)=0,"NEW",""))</f>
        <v/>
      </c>
    </row>
    <row r="117" spans="30:33" x14ac:dyDescent="0.25">
      <c r="AD117" s="2" t="str">
        <f t="shared" si="3"/>
        <v/>
      </c>
      <c r="AE117" s="2" t="str">
        <f t="shared" si="4"/>
        <v/>
      </c>
      <c r="AF117" s="2" t="str">
        <f t="shared" si="5"/>
        <v/>
      </c>
      <c r="AG117" s="2" t="str">
        <f>IF($L117="","",IF(COUNTIF(LISTS!$A$2:$A$200,$H117)=0,"NEW",""))</f>
        <v/>
      </c>
    </row>
    <row r="118" spans="30:33" x14ac:dyDescent="0.25">
      <c r="AD118" s="2" t="str">
        <f t="shared" si="3"/>
        <v/>
      </c>
      <c r="AE118" s="2" t="str">
        <f t="shared" si="4"/>
        <v/>
      </c>
      <c r="AF118" s="2" t="str">
        <f t="shared" si="5"/>
        <v/>
      </c>
      <c r="AG118" s="2" t="str">
        <f>IF($L118="","",IF(COUNTIF(LISTS!$A$2:$A$200,$H118)=0,"NEW",""))</f>
        <v/>
      </c>
    </row>
    <row r="119" spans="30:33" x14ac:dyDescent="0.25">
      <c r="AD119" s="2" t="str">
        <f t="shared" si="3"/>
        <v/>
      </c>
      <c r="AE119" s="2" t="str">
        <f t="shared" si="4"/>
        <v/>
      </c>
      <c r="AF119" s="2" t="str">
        <f t="shared" si="5"/>
        <v/>
      </c>
      <c r="AG119" s="2" t="str">
        <f>IF($L119="","",IF(COUNTIF(LISTS!$A$2:$A$200,$H119)=0,"NEW",""))</f>
        <v/>
      </c>
    </row>
    <row r="120" spans="30:33" x14ac:dyDescent="0.25">
      <c r="AD120" s="2" t="str">
        <f t="shared" si="3"/>
        <v/>
      </c>
      <c r="AE120" s="2" t="str">
        <f t="shared" si="4"/>
        <v/>
      </c>
      <c r="AF120" s="2" t="str">
        <f t="shared" si="5"/>
        <v/>
      </c>
      <c r="AG120" s="2" t="str">
        <f>IF($L120="","",IF(COUNTIF(LISTS!$A$2:$A$200,$H120)=0,"NEW",""))</f>
        <v/>
      </c>
    </row>
    <row r="121" spans="30:33" x14ac:dyDescent="0.25">
      <c r="AD121" s="2" t="str">
        <f t="shared" si="3"/>
        <v/>
      </c>
      <c r="AE121" s="2" t="str">
        <f t="shared" si="4"/>
        <v/>
      </c>
      <c r="AF121" s="2" t="str">
        <f t="shared" si="5"/>
        <v/>
      </c>
      <c r="AG121" s="2" t="str">
        <f>IF($L121="","",IF(COUNTIF(LISTS!$A$2:$A$200,$H121)=0,"NEW",""))</f>
        <v/>
      </c>
    </row>
    <row r="122" spans="30:33" x14ac:dyDescent="0.25">
      <c r="AD122" s="2" t="str">
        <f t="shared" si="3"/>
        <v/>
      </c>
      <c r="AE122" s="2" t="str">
        <f t="shared" si="4"/>
        <v/>
      </c>
      <c r="AF122" s="2" t="str">
        <f t="shared" si="5"/>
        <v/>
      </c>
      <c r="AG122" s="2" t="str">
        <f>IF($L122="","",IF(COUNTIF(LISTS!$A$2:$A$200,$H122)=0,"NEW",""))</f>
        <v/>
      </c>
    </row>
    <row r="123" spans="30:33" x14ac:dyDescent="0.25">
      <c r="AD123" s="2" t="str">
        <f t="shared" si="3"/>
        <v/>
      </c>
      <c r="AE123" s="2" t="str">
        <f t="shared" si="4"/>
        <v/>
      </c>
      <c r="AF123" s="2" t="str">
        <f t="shared" si="5"/>
        <v/>
      </c>
      <c r="AG123" s="2" t="str">
        <f>IF($L123="","",IF(COUNTIF(LISTS!$A$2:$A$200,$H123)=0,"NEW",""))</f>
        <v/>
      </c>
    </row>
    <row r="124" spans="30:33" x14ac:dyDescent="0.25">
      <c r="AD124" s="2" t="str">
        <f t="shared" si="3"/>
        <v/>
      </c>
      <c r="AE124" s="2" t="str">
        <f t="shared" si="4"/>
        <v/>
      </c>
      <c r="AF124" s="2" t="str">
        <f t="shared" si="5"/>
        <v/>
      </c>
      <c r="AG124" s="2" t="str">
        <f>IF($L124="","",IF(COUNTIF(LISTS!$A$2:$A$200,$H124)=0,"NEW",""))</f>
        <v/>
      </c>
    </row>
    <row r="125" spans="30:33" x14ac:dyDescent="0.25">
      <c r="AD125" s="2" t="str">
        <f t="shared" si="3"/>
        <v/>
      </c>
      <c r="AE125" s="2" t="str">
        <f t="shared" si="4"/>
        <v/>
      </c>
      <c r="AF125" s="2" t="str">
        <f t="shared" si="5"/>
        <v/>
      </c>
      <c r="AG125" s="2" t="str">
        <f>IF($L125="","",IF(COUNTIF(LISTS!$A$2:$A$200,$H125)=0,"NEW",""))</f>
        <v/>
      </c>
    </row>
    <row r="126" spans="30:33" x14ac:dyDescent="0.25">
      <c r="AD126" s="2" t="str">
        <f t="shared" si="3"/>
        <v/>
      </c>
      <c r="AE126" s="2" t="str">
        <f t="shared" si="4"/>
        <v/>
      </c>
      <c r="AF126" s="2" t="str">
        <f t="shared" si="5"/>
        <v/>
      </c>
      <c r="AG126" s="2" t="str">
        <f>IF($L126="","",IF(COUNTIF(LISTS!$A$2:$A$200,$H126)=0,"NEW",""))</f>
        <v/>
      </c>
    </row>
    <row r="127" spans="30:33" x14ac:dyDescent="0.25">
      <c r="AD127" s="2" t="str">
        <f t="shared" si="3"/>
        <v/>
      </c>
      <c r="AE127" s="2" t="str">
        <f t="shared" si="4"/>
        <v/>
      </c>
      <c r="AF127" s="2" t="str">
        <f t="shared" si="5"/>
        <v/>
      </c>
      <c r="AG127" s="2" t="str">
        <f>IF($L127="","",IF(COUNTIF(LISTS!$A$2:$A$200,$H127)=0,"NEW",""))</f>
        <v/>
      </c>
    </row>
    <row r="128" spans="30:33" x14ac:dyDescent="0.25">
      <c r="AD128" s="2" t="str">
        <f t="shared" si="3"/>
        <v/>
      </c>
      <c r="AE128" s="2" t="str">
        <f t="shared" si="4"/>
        <v/>
      </c>
      <c r="AF128" s="2" t="str">
        <f t="shared" si="5"/>
        <v/>
      </c>
      <c r="AG128" s="2" t="str">
        <f>IF($L128="","",IF(COUNTIF(LISTS!$A$2:$A$200,$H128)=0,"NEW",""))</f>
        <v/>
      </c>
    </row>
    <row r="129" spans="30:33" x14ac:dyDescent="0.25">
      <c r="AD129" s="2" t="str">
        <f t="shared" si="3"/>
        <v/>
      </c>
      <c r="AE129" s="2" t="str">
        <f t="shared" si="4"/>
        <v/>
      </c>
      <c r="AF129" s="2" t="str">
        <f t="shared" si="5"/>
        <v/>
      </c>
      <c r="AG129" s="2" t="str">
        <f>IF($L129="","",IF(COUNTIF(LISTS!$A$2:$A$200,$H129)=0,"NEW",""))</f>
        <v/>
      </c>
    </row>
    <row r="130" spans="30:33" x14ac:dyDescent="0.25">
      <c r="AD130" s="2" t="str">
        <f t="shared" ref="AD130:AD193" si="6">IF($L130="","",IF(ISNUMBER(SEARCH("OFF ROAD",$H130)),"OFF",IF(ISNUMBER(SEARCH("ON ROAD",$H130)),"ON","")))</f>
        <v/>
      </c>
      <c r="AE130" s="2" t="str">
        <f t="shared" ref="AE130:AE193" si="7">IF($AD130="ON",""&amp;$L130,"")</f>
        <v/>
      </c>
      <c r="AF130" s="2" t="str">
        <f t="shared" ref="AF130:AF193" si="8">IF($L130="","",IF($J130&lt;&gt;"","Y",""))</f>
        <v/>
      </c>
      <c r="AG130" s="2" t="str">
        <f>IF($L130="","",IF(COUNTIF(LISTS!$A$2:$A$200,$H130)=0,"NEW",""))</f>
        <v/>
      </c>
    </row>
    <row r="131" spans="30:33" x14ac:dyDescent="0.25">
      <c r="AD131" s="2" t="str">
        <f t="shared" si="6"/>
        <v/>
      </c>
      <c r="AE131" s="2" t="str">
        <f t="shared" si="7"/>
        <v/>
      </c>
      <c r="AF131" s="2" t="str">
        <f t="shared" si="8"/>
        <v/>
      </c>
      <c r="AG131" s="2" t="str">
        <f>IF($L131="","",IF(COUNTIF(LISTS!$A$2:$A$200,$H131)=0,"NEW",""))</f>
        <v/>
      </c>
    </row>
    <row r="132" spans="30:33" x14ac:dyDescent="0.25">
      <c r="AD132" s="2" t="str">
        <f t="shared" si="6"/>
        <v/>
      </c>
      <c r="AE132" s="2" t="str">
        <f t="shared" si="7"/>
        <v/>
      </c>
      <c r="AF132" s="2" t="str">
        <f t="shared" si="8"/>
        <v/>
      </c>
      <c r="AG132" s="2" t="str">
        <f>IF($L132="","",IF(COUNTIF(LISTS!$A$2:$A$200,$H132)=0,"NEW",""))</f>
        <v/>
      </c>
    </row>
    <row r="133" spans="30:33" x14ac:dyDescent="0.25">
      <c r="AD133" s="2" t="str">
        <f t="shared" si="6"/>
        <v/>
      </c>
      <c r="AE133" s="2" t="str">
        <f t="shared" si="7"/>
        <v/>
      </c>
      <c r="AF133" s="2" t="str">
        <f t="shared" si="8"/>
        <v/>
      </c>
      <c r="AG133" s="2" t="str">
        <f>IF($L133="","",IF(COUNTIF(LISTS!$A$2:$A$200,$H133)=0,"NEW",""))</f>
        <v/>
      </c>
    </row>
    <row r="134" spans="30:33" x14ac:dyDescent="0.25">
      <c r="AD134" s="2" t="str">
        <f t="shared" si="6"/>
        <v/>
      </c>
      <c r="AE134" s="2" t="str">
        <f t="shared" si="7"/>
        <v/>
      </c>
      <c r="AF134" s="2" t="str">
        <f t="shared" si="8"/>
        <v/>
      </c>
      <c r="AG134" s="2" t="str">
        <f>IF($L134="","",IF(COUNTIF(LISTS!$A$2:$A$200,$H134)=0,"NEW",""))</f>
        <v/>
      </c>
    </row>
    <row r="135" spans="30:33" x14ac:dyDescent="0.25">
      <c r="AD135" s="2" t="str">
        <f t="shared" si="6"/>
        <v/>
      </c>
      <c r="AE135" s="2" t="str">
        <f t="shared" si="7"/>
        <v/>
      </c>
      <c r="AF135" s="2" t="str">
        <f t="shared" si="8"/>
        <v/>
      </c>
      <c r="AG135" s="2" t="str">
        <f>IF($L135="","",IF(COUNTIF(LISTS!$A$2:$A$200,$H135)=0,"NEW",""))</f>
        <v/>
      </c>
    </row>
    <row r="136" spans="30:33" x14ac:dyDescent="0.25">
      <c r="AD136" s="2" t="str">
        <f t="shared" si="6"/>
        <v/>
      </c>
      <c r="AE136" s="2" t="str">
        <f t="shared" si="7"/>
        <v/>
      </c>
      <c r="AF136" s="2" t="str">
        <f t="shared" si="8"/>
        <v/>
      </c>
      <c r="AG136" s="2" t="str">
        <f>IF($L136="","",IF(COUNTIF(LISTS!$A$2:$A$200,$H136)=0,"NEW",""))</f>
        <v/>
      </c>
    </row>
    <row r="137" spans="30:33" x14ac:dyDescent="0.25">
      <c r="AD137" s="2" t="str">
        <f t="shared" si="6"/>
        <v/>
      </c>
      <c r="AE137" s="2" t="str">
        <f t="shared" si="7"/>
        <v/>
      </c>
      <c r="AF137" s="2" t="str">
        <f t="shared" si="8"/>
        <v/>
      </c>
      <c r="AG137" s="2" t="str">
        <f>IF($L137="","",IF(COUNTIF(LISTS!$A$2:$A$200,$H137)=0,"NEW",""))</f>
        <v/>
      </c>
    </row>
    <row r="138" spans="30:33" x14ac:dyDescent="0.25">
      <c r="AD138" s="2" t="str">
        <f t="shared" si="6"/>
        <v/>
      </c>
      <c r="AE138" s="2" t="str">
        <f t="shared" si="7"/>
        <v/>
      </c>
      <c r="AF138" s="2" t="str">
        <f t="shared" si="8"/>
        <v/>
      </c>
      <c r="AG138" s="2" t="str">
        <f>IF($L138="","",IF(COUNTIF(LISTS!$A$2:$A$200,$H138)=0,"NEW",""))</f>
        <v/>
      </c>
    </row>
    <row r="139" spans="30:33" x14ac:dyDescent="0.25">
      <c r="AD139" s="2" t="str">
        <f t="shared" si="6"/>
        <v/>
      </c>
      <c r="AE139" s="2" t="str">
        <f t="shared" si="7"/>
        <v/>
      </c>
      <c r="AF139" s="2" t="str">
        <f t="shared" si="8"/>
        <v/>
      </c>
      <c r="AG139" s="2" t="str">
        <f>IF($L139="","",IF(COUNTIF(LISTS!$A$2:$A$200,$H139)=0,"NEW",""))</f>
        <v/>
      </c>
    </row>
    <row r="140" spans="30:33" x14ac:dyDescent="0.25">
      <c r="AD140" s="2" t="str">
        <f t="shared" si="6"/>
        <v/>
      </c>
      <c r="AE140" s="2" t="str">
        <f t="shared" si="7"/>
        <v/>
      </c>
      <c r="AF140" s="2" t="str">
        <f t="shared" si="8"/>
        <v/>
      </c>
      <c r="AG140" s="2" t="str">
        <f>IF($L140="","",IF(COUNTIF(LISTS!$A$2:$A$200,$H140)=0,"NEW",""))</f>
        <v/>
      </c>
    </row>
    <row r="141" spans="30:33" x14ac:dyDescent="0.25">
      <c r="AD141" s="2" t="str">
        <f t="shared" si="6"/>
        <v/>
      </c>
      <c r="AE141" s="2" t="str">
        <f t="shared" si="7"/>
        <v/>
      </c>
      <c r="AF141" s="2" t="str">
        <f t="shared" si="8"/>
        <v/>
      </c>
      <c r="AG141" s="2" t="str">
        <f>IF($L141="","",IF(COUNTIF(LISTS!$A$2:$A$200,$H141)=0,"NEW",""))</f>
        <v/>
      </c>
    </row>
    <row r="142" spans="30:33" x14ac:dyDescent="0.25">
      <c r="AD142" s="2" t="str">
        <f t="shared" si="6"/>
        <v/>
      </c>
      <c r="AE142" s="2" t="str">
        <f t="shared" si="7"/>
        <v/>
      </c>
      <c r="AF142" s="2" t="str">
        <f t="shared" si="8"/>
        <v/>
      </c>
      <c r="AG142" s="2" t="str">
        <f>IF($L142="","",IF(COUNTIF(LISTS!$A$2:$A$200,$H142)=0,"NEW",""))</f>
        <v/>
      </c>
    </row>
    <row r="143" spans="30:33" x14ac:dyDescent="0.25">
      <c r="AD143" s="2" t="str">
        <f t="shared" si="6"/>
        <v/>
      </c>
      <c r="AE143" s="2" t="str">
        <f t="shared" si="7"/>
        <v/>
      </c>
      <c r="AF143" s="2" t="str">
        <f t="shared" si="8"/>
        <v/>
      </c>
      <c r="AG143" s="2" t="str">
        <f>IF($L143="","",IF(COUNTIF(LISTS!$A$2:$A$200,$H143)=0,"NEW",""))</f>
        <v/>
      </c>
    </row>
    <row r="144" spans="30:33" x14ac:dyDescent="0.25">
      <c r="AD144" s="2" t="str">
        <f t="shared" si="6"/>
        <v/>
      </c>
      <c r="AE144" s="2" t="str">
        <f t="shared" si="7"/>
        <v/>
      </c>
      <c r="AF144" s="2" t="str">
        <f t="shared" si="8"/>
        <v/>
      </c>
      <c r="AG144" s="2" t="str">
        <f>IF($L144="","",IF(COUNTIF(LISTS!$A$2:$A$200,$H144)=0,"NEW",""))</f>
        <v/>
      </c>
    </row>
    <row r="145" spans="30:33" x14ac:dyDescent="0.25">
      <c r="AD145" s="2" t="str">
        <f t="shared" si="6"/>
        <v/>
      </c>
      <c r="AE145" s="2" t="str">
        <f t="shared" si="7"/>
        <v/>
      </c>
      <c r="AF145" s="2" t="str">
        <f t="shared" si="8"/>
        <v/>
      </c>
      <c r="AG145" s="2" t="str">
        <f>IF($L145="","",IF(COUNTIF(LISTS!$A$2:$A$200,$H145)=0,"NEW",""))</f>
        <v/>
      </c>
    </row>
    <row r="146" spans="30:33" x14ac:dyDescent="0.25">
      <c r="AD146" s="2" t="str">
        <f t="shared" si="6"/>
        <v/>
      </c>
      <c r="AE146" s="2" t="str">
        <f t="shared" si="7"/>
        <v/>
      </c>
      <c r="AF146" s="2" t="str">
        <f t="shared" si="8"/>
        <v/>
      </c>
      <c r="AG146" s="2" t="str">
        <f>IF($L146="","",IF(COUNTIF(LISTS!$A$2:$A$200,$H146)=0,"NEW",""))</f>
        <v/>
      </c>
    </row>
    <row r="147" spans="30:33" x14ac:dyDescent="0.25">
      <c r="AD147" s="2" t="str">
        <f t="shared" si="6"/>
        <v/>
      </c>
      <c r="AE147" s="2" t="str">
        <f t="shared" si="7"/>
        <v/>
      </c>
      <c r="AF147" s="2" t="str">
        <f t="shared" si="8"/>
        <v/>
      </c>
      <c r="AG147" s="2" t="str">
        <f>IF($L147="","",IF(COUNTIF(LISTS!$A$2:$A$200,$H147)=0,"NEW",""))</f>
        <v/>
      </c>
    </row>
    <row r="148" spans="30:33" x14ac:dyDescent="0.25">
      <c r="AD148" s="2" t="str">
        <f t="shared" si="6"/>
        <v/>
      </c>
      <c r="AE148" s="2" t="str">
        <f t="shared" si="7"/>
        <v/>
      </c>
      <c r="AF148" s="2" t="str">
        <f t="shared" si="8"/>
        <v/>
      </c>
      <c r="AG148" s="2" t="str">
        <f>IF($L148="","",IF(COUNTIF(LISTS!$A$2:$A$200,$H148)=0,"NEW",""))</f>
        <v/>
      </c>
    </row>
    <row r="149" spans="30:33" x14ac:dyDescent="0.25">
      <c r="AD149" s="2" t="str">
        <f t="shared" si="6"/>
        <v/>
      </c>
      <c r="AE149" s="2" t="str">
        <f t="shared" si="7"/>
        <v/>
      </c>
      <c r="AF149" s="2" t="str">
        <f t="shared" si="8"/>
        <v/>
      </c>
      <c r="AG149" s="2" t="str">
        <f>IF($L149="","",IF(COUNTIF(LISTS!$A$2:$A$200,$H149)=0,"NEW",""))</f>
        <v/>
      </c>
    </row>
    <row r="150" spans="30:33" x14ac:dyDescent="0.25">
      <c r="AD150" s="2" t="str">
        <f t="shared" si="6"/>
        <v/>
      </c>
      <c r="AE150" s="2" t="str">
        <f t="shared" si="7"/>
        <v/>
      </c>
      <c r="AF150" s="2" t="str">
        <f t="shared" si="8"/>
        <v/>
      </c>
      <c r="AG150" s="2" t="str">
        <f>IF($L150="","",IF(COUNTIF(LISTS!$A$2:$A$200,$H150)=0,"NEW",""))</f>
        <v/>
      </c>
    </row>
    <row r="151" spans="30:33" x14ac:dyDescent="0.25">
      <c r="AD151" s="2" t="str">
        <f t="shared" si="6"/>
        <v/>
      </c>
      <c r="AE151" s="2" t="str">
        <f t="shared" si="7"/>
        <v/>
      </c>
      <c r="AF151" s="2" t="str">
        <f t="shared" si="8"/>
        <v/>
      </c>
      <c r="AG151" s="2" t="str">
        <f>IF($L151="","",IF(COUNTIF(LISTS!$A$2:$A$200,$H151)=0,"NEW",""))</f>
        <v/>
      </c>
    </row>
    <row r="152" spans="30:33" x14ac:dyDescent="0.25">
      <c r="AD152" s="2" t="str">
        <f t="shared" si="6"/>
        <v/>
      </c>
      <c r="AE152" s="2" t="str">
        <f t="shared" si="7"/>
        <v/>
      </c>
      <c r="AF152" s="2" t="str">
        <f t="shared" si="8"/>
        <v/>
      </c>
      <c r="AG152" s="2" t="str">
        <f>IF($L152="","",IF(COUNTIF(LISTS!$A$2:$A$200,$H152)=0,"NEW",""))</f>
        <v/>
      </c>
    </row>
    <row r="153" spans="30:33" x14ac:dyDescent="0.25">
      <c r="AD153" s="2" t="str">
        <f t="shared" si="6"/>
        <v/>
      </c>
      <c r="AE153" s="2" t="str">
        <f t="shared" si="7"/>
        <v/>
      </c>
      <c r="AF153" s="2" t="str">
        <f t="shared" si="8"/>
        <v/>
      </c>
      <c r="AG153" s="2" t="str">
        <f>IF($L153="","",IF(COUNTIF(LISTS!$A$2:$A$200,$H153)=0,"NEW",""))</f>
        <v/>
      </c>
    </row>
    <row r="154" spans="30:33" x14ac:dyDescent="0.25">
      <c r="AD154" s="2" t="str">
        <f t="shared" si="6"/>
        <v/>
      </c>
      <c r="AE154" s="2" t="str">
        <f t="shared" si="7"/>
        <v/>
      </c>
      <c r="AF154" s="2" t="str">
        <f t="shared" si="8"/>
        <v/>
      </c>
      <c r="AG154" s="2" t="str">
        <f>IF($L154="","",IF(COUNTIF(LISTS!$A$2:$A$200,$H154)=0,"NEW",""))</f>
        <v/>
      </c>
    </row>
    <row r="155" spans="30:33" x14ac:dyDescent="0.25">
      <c r="AD155" s="2" t="str">
        <f t="shared" si="6"/>
        <v/>
      </c>
      <c r="AE155" s="2" t="str">
        <f t="shared" si="7"/>
        <v/>
      </c>
      <c r="AF155" s="2" t="str">
        <f t="shared" si="8"/>
        <v/>
      </c>
      <c r="AG155" s="2" t="str">
        <f>IF($L155="","",IF(COUNTIF(LISTS!$A$2:$A$200,$H155)=0,"NEW",""))</f>
        <v/>
      </c>
    </row>
    <row r="156" spans="30:33" x14ac:dyDescent="0.25">
      <c r="AD156" s="2" t="str">
        <f t="shared" si="6"/>
        <v/>
      </c>
      <c r="AE156" s="2" t="str">
        <f t="shared" si="7"/>
        <v/>
      </c>
      <c r="AF156" s="2" t="str">
        <f t="shared" si="8"/>
        <v/>
      </c>
      <c r="AG156" s="2" t="str">
        <f>IF($L156="","",IF(COUNTIF(LISTS!$A$2:$A$200,$H156)=0,"NEW",""))</f>
        <v/>
      </c>
    </row>
    <row r="157" spans="30:33" x14ac:dyDescent="0.25">
      <c r="AD157" s="2" t="str">
        <f t="shared" si="6"/>
        <v/>
      </c>
      <c r="AE157" s="2" t="str">
        <f t="shared" si="7"/>
        <v/>
      </c>
      <c r="AF157" s="2" t="str">
        <f t="shared" si="8"/>
        <v/>
      </c>
      <c r="AG157" s="2" t="str">
        <f>IF($L157="","",IF(COUNTIF(LISTS!$A$2:$A$200,$H157)=0,"NEW",""))</f>
        <v/>
      </c>
    </row>
    <row r="158" spans="30:33" x14ac:dyDescent="0.25">
      <c r="AD158" s="2" t="str">
        <f t="shared" si="6"/>
        <v/>
      </c>
      <c r="AE158" s="2" t="str">
        <f t="shared" si="7"/>
        <v/>
      </c>
      <c r="AF158" s="2" t="str">
        <f t="shared" si="8"/>
        <v/>
      </c>
      <c r="AG158" s="2" t="str">
        <f>IF($L158="","",IF(COUNTIF(LISTS!$A$2:$A$200,$H158)=0,"NEW",""))</f>
        <v/>
      </c>
    </row>
    <row r="159" spans="30:33" x14ac:dyDescent="0.25">
      <c r="AD159" s="2" t="str">
        <f t="shared" si="6"/>
        <v/>
      </c>
      <c r="AE159" s="2" t="str">
        <f t="shared" si="7"/>
        <v/>
      </c>
      <c r="AF159" s="2" t="str">
        <f t="shared" si="8"/>
        <v/>
      </c>
      <c r="AG159" s="2" t="str">
        <f>IF($L159="","",IF(COUNTIF(LISTS!$A$2:$A$200,$H159)=0,"NEW",""))</f>
        <v/>
      </c>
    </row>
    <row r="160" spans="30:33" x14ac:dyDescent="0.25">
      <c r="AD160" s="2" t="str">
        <f t="shared" si="6"/>
        <v/>
      </c>
      <c r="AE160" s="2" t="str">
        <f t="shared" si="7"/>
        <v/>
      </c>
      <c r="AF160" s="2" t="str">
        <f t="shared" si="8"/>
        <v/>
      </c>
      <c r="AG160" s="2" t="str">
        <f>IF($L160="","",IF(COUNTIF(LISTS!$A$2:$A$200,$H160)=0,"NEW",""))</f>
        <v/>
      </c>
    </row>
    <row r="161" spans="30:33" x14ac:dyDescent="0.25">
      <c r="AD161" s="2" t="str">
        <f t="shared" si="6"/>
        <v/>
      </c>
      <c r="AE161" s="2" t="str">
        <f t="shared" si="7"/>
        <v/>
      </c>
      <c r="AF161" s="2" t="str">
        <f t="shared" si="8"/>
        <v/>
      </c>
      <c r="AG161" s="2" t="str">
        <f>IF($L161="","",IF(COUNTIF(LISTS!$A$2:$A$200,$H161)=0,"NEW",""))</f>
        <v/>
      </c>
    </row>
    <row r="162" spans="30:33" x14ac:dyDescent="0.25">
      <c r="AD162" s="2" t="str">
        <f t="shared" si="6"/>
        <v/>
      </c>
      <c r="AE162" s="2" t="str">
        <f t="shared" si="7"/>
        <v/>
      </c>
      <c r="AF162" s="2" t="str">
        <f t="shared" si="8"/>
        <v/>
      </c>
      <c r="AG162" s="2" t="str">
        <f>IF($L162="","",IF(COUNTIF(LISTS!$A$2:$A$200,$H162)=0,"NEW",""))</f>
        <v/>
      </c>
    </row>
    <row r="163" spans="30:33" x14ac:dyDescent="0.25">
      <c r="AD163" s="2" t="str">
        <f t="shared" si="6"/>
        <v/>
      </c>
      <c r="AE163" s="2" t="str">
        <f t="shared" si="7"/>
        <v/>
      </c>
      <c r="AF163" s="2" t="str">
        <f t="shared" si="8"/>
        <v/>
      </c>
      <c r="AG163" s="2" t="str">
        <f>IF($L163="","",IF(COUNTIF(LISTS!$A$2:$A$200,$H163)=0,"NEW",""))</f>
        <v/>
      </c>
    </row>
    <row r="164" spans="30:33" x14ac:dyDescent="0.25">
      <c r="AD164" s="2" t="str">
        <f t="shared" si="6"/>
        <v/>
      </c>
      <c r="AE164" s="2" t="str">
        <f t="shared" si="7"/>
        <v/>
      </c>
      <c r="AF164" s="2" t="str">
        <f t="shared" si="8"/>
        <v/>
      </c>
      <c r="AG164" s="2" t="str">
        <f>IF($L164="","",IF(COUNTIF(LISTS!$A$2:$A$200,$H164)=0,"NEW",""))</f>
        <v/>
      </c>
    </row>
    <row r="165" spans="30:33" x14ac:dyDescent="0.25">
      <c r="AD165" s="2" t="str">
        <f t="shared" si="6"/>
        <v/>
      </c>
      <c r="AE165" s="2" t="str">
        <f t="shared" si="7"/>
        <v/>
      </c>
      <c r="AF165" s="2" t="str">
        <f t="shared" si="8"/>
        <v/>
      </c>
      <c r="AG165" s="2" t="str">
        <f>IF($L165="","",IF(COUNTIF(LISTS!$A$2:$A$200,$H165)=0,"NEW",""))</f>
        <v/>
      </c>
    </row>
    <row r="166" spans="30:33" x14ac:dyDescent="0.25">
      <c r="AD166" s="2" t="str">
        <f t="shared" si="6"/>
        <v/>
      </c>
      <c r="AE166" s="2" t="str">
        <f t="shared" si="7"/>
        <v/>
      </c>
      <c r="AF166" s="2" t="str">
        <f t="shared" si="8"/>
        <v/>
      </c>
      <c r="AG166" s="2" t="str">
        <f>IF($L166="","",IF(COUNTIF(LISTS!$A$2:$A$200,$H166)=0,"NEW",""))</f>
        <v/>
      </c>
    </row>
    <row r="167" spans="30:33" x14ac:dyDescent="0.25">
      <c r="AD167" s="2" t="str">
        <f t="shared" si="6"/>
        <v/>
      </c>
      <c r="AE167" s="2" t="str">
        <f t="shared" si="7"/>
        <v/>
      </c>
      <c r="AF167" s="2" t="str">
        <f t="shared" si="8"/>
        <v/>
      </c>
      <c r="AG167" s="2" t="str">
        <f>IF($L167="","",IF(COUNTIF(LISTS!$A$2:$A$200,$H167)=0,"NEW",""))</f>
        <v/>
      </c>
    </row>
    <row r="168" spans="30:33" x14ac:dyDescent="0.25">
      <c r="AD168" s="2" t="str">
        <f t="shared" si="6"/>
        <v/>
      </c>
      <c r="AE168" s="2" t="str">
        <f t="shared" si="7"/>
        <v/>
      </c>
      <c r="AF168" s="2" t="str">
        <f t="shared" si="8"/>
        <v/>
      </c>
      <c r="AG168" s="2" t="str">
        <f>IF($L168="","",IF(COUNTIF(LISTS!$A$2:$A$200,$H168)=0,"NEW",""))</f>
        <v/>
      </c>
    </row>
    <row r="169" spans="30:33" x14ac:dyDescent="0.25">
      <c r="AD169" s="2" t="str">
        <f t="shared" si="6"/>
        <v/>
      </c>
      <c r="AE169" s="2" t="str">
        <f t="shared" si="7"/>
        <v/>
      </c>
      <c r="AF169" s="2" t="str">
        <f t="shared" si="8"/>
        <v/>
      </c>
      <c r="AG169" s="2" t="str">
        <f>IF($L169="","",IF(COUNTIF(LISTS!$A$2:$A$200,$H169)=0,"NEW",""))</f>
        <v/>
      </c>
    </row>
    <row r="170" spans="30:33" x14ac:dyDescent="0.25">
      <c r="AD170" s="2" t="str">
        <f t="shared" si="6"/>
        <v/>
      </c>
      <c r="AE170" s="2" t="str">
        <f t="shared" si="7"/>
        <v/>
      </c>
      <c r="AF170" s="2" t="str">
        <f t="shared" si="8"/>
        <v/>
      </c>
      <c r="AG170" s="2" t="str">
        <f>IF($L170="","",IF(COUNTIF(LISTS!$A$2:$A$200,$H170)=0,"NEW",""))</f>
        <v/>
      </c>
    </row>
    <row r="171" spans="30:33" x14ac:dyDescent="0.25">
      <c r="AD171" s="2" t="str">
        <f t="shared" si="6"/>
        <v/>
      </c>
      <c r="AE171" s="2" t="str">
        <f t="shared" si="7"/>
        <v/>
      </c>
      <c r="AF171" s="2" t="str">
        <f t="shared" si="8"/>
        <v/>
      </c>
      <c r="AG171" s="2" t="str">
        <f>IF($L171="","",IF(COUNTIF(LISTS!$A$2:$A$200,$H171)=0,"NEW",""))</f>
        <v/>
      </c>
    </row>
    <row r="172" spans="30:33" x14ac:dyDescent="0.25">
      <c r="AD172" s="2" t="str">
        <f t="shared" si="6"/>
        <v/>
      </c>
      <c r="AE172" s="2" t="str">
        <f t="shared" si="7"/>
        <v/>
      </c>
      <c r="AF172" s="2" t="str">
        <f t="shared" si="8"/>
        <v/>
      </c>
      <c r="AG172" s="2" t="str">
        <f>IF($L172="","",IF(COUNTIF(LISTS!$A$2:$A$200,$H172)=0,"NEW",""))</f>
        <v/>
      </c>
    </row>
    <row r="173" spans="30:33" x14ac:dyDescent="0.25">
      <c r="AD173" s="2" t="str">
        <f t="shared" si="6"/>
        <v/>
      </c>
      <c r="AE173" s="2" t="str">
        <f t="shared" si="7"/>
        <v/>
      </c>
      <c r="AF173" s="2" t="str">
        <f t="shared" si="8"/>
        <v/>
      </c>
      <c r="AG173" s="2" t="str">
        <f>IF($L173="","",IF(COUNTIF(LISTS!$A$2:$A$200,$H173)=0,"NEW",""))</f>
        <v/>
      </c>
    </row>
    <row r="174" spans="30:33" x14ac:dyDescent="0.25">
      <c r="AD174" s="2" t="str">
        <f t="shared" si="6"/>
        <v/>
      </c>
      <c r="AE174" s="2" t="str">
        <f t="shared" si="7"/>
        <v/>
      </c>
      <c r="AF174" s="2" t="str">
        <f t="shared" si="8"/>
        <v/>
      </c>
      <c r="AG174" s="2" t="str">
        <f>IF($L174="","",IF(COUNTIF(LISTS!$A$2:$A$200,$H174)=0,"NEW",""))</f>
        <v/>
      </c>
    </row>
    <row r="175" spans="30:33" x14ac:dyDescent="0.25">
      <c r="AD175" s="2" t="str">
        <f t="shared" si="6"/>
        <v/>
      </c>
      <c r="AE175" s="2" t="str">
        <f t="shared" si="7"/>
        <v/>
      </c>
      <c r="AF175" s="2" t="str">
        <f t="shared" si="8"/>
        <v/>
      </c>
      <c r="AG175" s="2" t="str">
        <f>IF($L175="","",IF(COUNTIF(LISTS!$A$2:$A$200,$H175)=0,"NEW",""))</f>
        <v/>
      </c>
    </row>
    <row r="176" spans="30:33" x14ac:dyDescent="0.25">
      <c r="AD176" s="2" t="str">
        <f t="shared" si="6"/>
        <v/>
      </c>
      <c r="AE176" s="2" t="str">
        <f t="shared" si="7"/>
        <v/>
      </c>
      <c r="AF176" s="2" t="str">
        <f t="shared" si="8"/>
        <v/>
      </c>
      <c r="AG176" s="2" t="str">
        <f>IF($L176="","",IF(COUNTIF(LISTS!$A$2:$A$200,$H176)=0,"NEW",""))</f>
        <v/>
      </c>
    </row>
    <row r="177" spans="30:33" x14ac:dyDescent="0.25">
      <c r="AD177" s="2" t="str">
        <f t="shared" si="6"/>
        <v/>
      </c>
      <c r="AE177" s="2" t="str">
        <f t="shared" si="7"/>
        <v/>
      </c>
      <c r="AF177" s="2" t="str">
        <f t="shared" si="8"/>
        <v/>
      </c>
      <c r="AG177" s="2" t="str">
        <f>IF($L177="","",IF(COUNTIF(LISTS!$A$2:$A$200,$H177)=0,"NEW",""))</f>
        <v/>
      </c>
    </row>
    <row r="178" spans="30:33" x14ac:dyDescent="0.25">
      <c r="AD178" s="2" t="str">
        <f t="shared" si="6"/>
        <v/>
      </c>
      <c r="AE178" s="2" t="str">
        <f t="shared" si="7"/>
        <v/>
      </c>
      <c r="AF178" s="2" t="str">
        <f t="shared" si="8"/>
        <v/>
      </c>
      <c r="AG178" s="2" t="str">
        <f>IF($L178="","",IF(COUNTIF(LISTS!$A$2:$A$200,$H178)=0,"NEW",""))</f>
        <v/>
      </c>
    </row>
    <row r="179" spans="30:33" x14ac:dyDescent="0.25">
      <c r="AD179" s="2" t="str">
        <f t="shared" si="6"/>
        <v/>
      </c>
      <c r="AE179" s="2" t="str">
        <f t="shared" si="7"/>
        <v/>
      </c>
      <c r="AF179" s="2" t="str">
        <f t="shared" si="8"/>
        <v/>
      </c>
      <c r="AG179" s="2" t="str">
        <f>IF($L179="","",IF(COUNTIF(LISTS!$A$2:$A$200,$H179)=0,"NEW",""))</f>
        <v/>
      </c>
    </row>
    <row r="180" spans="30:33" x14ac:dyDescent="0.25">
      <c r="AD180" s="2" t="str">
        <f t="shared" si="6"/>
        <v/>
      </c>
      <c r="AE180" s="2" t="str">
        <f t="shared" si="7"/>
        <v/>
      </c>
      <c r="AF180" s="2" t="str">
        <f t="shared" si="8"/>
        <v/>
      </c>
      <c r="AG180" s="2" t="str">
        <f>IF($L180="","",IF(COUNTIF(LISTS!$A$2:$A$200,$H180)=0,"NEW",""))</f>
        <v/>
      </c>
    </row>
    <row r="181" spans="30:33" x14ac:dyDescent="0.25">
      <c r="AD181" s="2" t="str">
        <f t="shared" si="6"/>
        <v/>
      </c>
      <c r="AE181" s="2" t="str">
        <f t="shared" si="7"/>
        <v/>
      </c>
      <c r="AF181" s="2" t="str">
        <f t="shared" si="8"/>
        <v/>
      </c>
      <c r="AG181" s="2" t="str">
        <f>IF($L181="","",IF(COUNTIF(LISTS!$A$2:$A$200,$H181)=0,"NEW",""))</f>
        <v/>
      </c>
    </row>
    <row r="182" spans="30:33" x14ac:dyDescent="0.25">
      <c r="AD182" s="2" t="str">
        <f t="shared" si="6"/>
        <v/>
      </c>
      <c r="AE182" s="2" t="str">
        <f t="shared" si="7"/>
        <v/>
      </c>
      <c r="AF182" s="2" t="str">
        <f t="shared" si="8"/>
        <v/>
      </c>
      <c r="AG182" s="2" t="str">
        <f>IF($L182="","",IF(COUNTIF(LISTS!$A$2:$A$200,$H182)=0,"NEW",""))</f>
        <v/>
      </c>
    </row>
    <row r="183" spans="30:33" x14ac:dyDescent="0.25">
      <c r="AD183" s="2" t="str">
        <f t="shared" si="6"/>
        <v/>
      </c>
      <c r="AE183" s="2" t="str">
        <f t="shared" si="7"/>
        <v/>
      </c>
      <c r="AF183" s="2" t="str">
        <f t="shared" si="8"/>
        <v/>
      </c>
      <c r="AG183" s="2" t="str">
        <f>IF($L183="","",IF(COUNTIF(LISTS!$A$2:$A$200,$H183)=0,"NEW",""))</f>
        <v/>
      </c>
    </row>
    <row r="184" spans="30:33" x14ac:dyDescent="0.25">
      <c r="AD184" s="2" t="str">
        <f t="shared" si="6"/>
        <v/>
      </c>
      <c r="AE184" s="2" t="str">
        <f t="shared" si="7"/>
        <v/>
      </c>
      <c r="AF184" s="2" t="str">
        <f t="shared" si="8"/>
        <v/>
      </c>
      <c r="AG184" s="2" t="str">
        <f>IF($L184="","",IF(COUNTIF(LISTS!$A$2:$A$200,$H184)=0,"NEW",""))</f>
        <v/>
      </c>
    </row>
    <row r="185" spans="30:33" x14ac:dyDescent="0.25">
      <c r="AD185" s="2" t="str">
        <f t="shared" si="6"/>
        <v/>
      </c>
      <c r="AE185" s="2" t="str">
        <f t="shared" si="7"/>
        <v/>
      </c>
      <c r="AF185" s="2" t="str">
        <f t="shared" si="8"/>
        <v/>
      </c>
      <c r="AG185" s="2" t="str">
        <f>IF($L185="","",IF(COUNTIF(LISTS!$A$2:$A$200,$H185)=0,"NEW",""))</f>
        <v/>
      </c>
    </row>
    <row r="186" spans="30:33" x14ac:dyDescent="0.25">
      <c r="AD186" s="2" t="str">
        <f t="shared" si="6"/>
        <v/>
      </c>
      <c r="AE186" s="2" t="str">
        <f t="shared" si="7"/>
        <v/>
      </c>
      <c r="AF186" s="2" t="str">
        <f t="shared" si="8"/>
        <v/>
      </c>
      <c r="AG186" s="2" t="str">
        <f>IF($L186="","",IF(COUNTIF(LISTS!$A$2:$A$200,$H186)=0,"NEW",""))</f>
        <v/>
      </c>
    </row>
    <row r="187" spans="30:33" x14ac:dyDescent="0.25">
      <c r="AD187" s="2" t="str">
        <f t="shared" si="6"/>
        <v/>
      </c>
      <c r="AE187" s="2" t="str">
        <f t="shared" si="7"/>
        <v/>
      </c>
      <c r="AF187" s="2" t="str">
        <f t="shared" si="8"/>
        <v/>
      </c>
      <c r="AG187" s="2" t="str">
        <f>IF($L187="","",IF(COUNTIF(LISTS!$A$2:$A$200,$H187)=0,"NEW",""))</f>
        <v/>
      </c>
    </row>
    <row r="188" spans="30:33" x14ac:dyDescent="0.25">
      <c r="AD188" s="2" t="str">
        <f t="shared" si="6"/>
        <v/>
      </c>
      <c r="AE188" s="2" t="str">
        <f t="shared" si="7"/>
        <v/>
      </c>
      <c r="AF188" s="2" t="str">
        <f t="shared" si="8"/>
        <v/>
      </c>
      <c r="AG188" s="2" t="str">
        <f>IF($L188="","",IF(COUNTIF(LISTS!$A$2:$A$200,$H188)=0,"NEW",""))</f>
        <v/>
      </c>
    </row>
    <row r="189" spans="30:33" x14ac:dyDescent="0.25">
      <c r="AD189" s="2" t="str">
        <f t="shared" si="6"/>
        <v/>
      </c>
      <c r="AE189" s="2" t="str">
        <f t="shared" si="7"/>
        <v/>
      </c>
      <c r="AF189" s="2" t="str">
        <f t="shared" si="8"/>
        <v/>
      </c>
      <c r="AG189" s="2" t="str">
        <f>IF($L189="","",IF(COUNTIF(LISTS!$A$2:$A$200,$H189)=0,"NEW",""))</f>
        <v/>
      </c>
    </row>
    <row r="190" spans="30:33" x14ac:dyDescent="0.25">
      <c r="AD190" s="2" t="str">
        <f t="shared" si="6"/>
        <v/>
      </c>
      <c r="AE190" s="2" t="str">
        <f t="shared" si="7"/>
        <v/>
      </c>
      <c r="AF190" s="2" t="str">
        <f t="shared" si="8"/>
        <v/>
      </c>
      <c r="AG190" s="2" t="str">
        <f>IF($L190="","",IF(COUNTIF(LISTS!$A$2:$A$200,$H190)=0,"NEW",""))</f>
        <v/>
      </c>
    </row>
    <row r="191" spans="30:33" x14ac:dyDescent="0.25">
      <c r="AD191" s="2" t="str">
        <f t="shared" si="6"/>
        <v/>
      </c>
      <c r="AE191" s="2" t="str">
        <f t="shared" si="7"/>
        <v/>
      </c>
      <c r="AF191" s="2" t="str">
        <f t="shared" si="8"/>
        <v/>
      </c>
      <c r="AG191" s="2" t="str">
        <f>IF($L191="","",IF(COUNTIF(LISTS!$A$2:$A$200,$H191)=0,"NEW",""))</f>
        <v/>
      </c>
    </row>
    <row r="192" spans="30:33" x14ac:dyDescent="0.25">
      <c r="AD192" s="2" t="str">
        <f t="shared" si="6"/>
        <v/>
      </c>
      <c r="AE192" s="2" t="str">
        <f t="shared" si="7"/>
        <v/>
      </c>
      <c r="AF192" s="2" t="str">
        <f t="shared" si="8"/>
        <v/>
      </c>
      <c r="AG192" s="2" t="str">
        <f>IF($L192="","",IF(COUNTIF(LISTS!$A$2:$A$200,$H192)=0,"NEW",""))</f>
        <v/>
      </c>
    </row>
    <row r="193" spans="30:33" x14ac:dyDescent="0.25">
      <c r="AD193" s="2" t="str">
        <f t="shared" si="6"/>
        <v/>
      </c>
      <c r="AE193" s="2" t="str">
        <f t="shared" si="7"/>
        <v/>
      </c>
      <c r="AF193" s="2" t="str">
        <f t="shared" si="8"/>
        <v/>
      </c>
      <c r="AG193" s="2" t="str">
        <f>IF($L193="","",IF(COUNTIF(LISTS!$A$2:$A$200,$H193)=0,"NEW",""))</f>
        <v/>
      </c>
    </row>
    <row r="194" spans="30:33" x14ac:dyDescent="0.25">
      <c r="AD194" s="2" t="str">
        <f t="shared" ref="AD194:AD257" si="9">IF($L194="","",IF(ISNUMBER(SEARCH("OFF ROAD",$H194)),"OFF",IF(ISNUMBER(SEARCH("ON ROAD",$H194)),"ON","")))</f>
        <v/>
      </c>
      <c r="AE194" s="2" t="str">
        <f t="shared" ref="AE194:AE257" si="10">IF($AD194="ON",""&amp;$L194,"")</f>
        <v/>
      </c>
      <c r="AF194" s="2" t="str">
        <f t="shared" ref="AF194:AF257" si="11">IF($L194="","",IF($J194&lt;&gt;"","Y",""))</f>
        <v/>
      </c>
      <c r="AG194" s="2" t="str">
        <f>IF($L194="","",IF(COUNTIF(LISTS!$A$2:$A$200,$H194)=0,"NEW",""))</f>
        <v/>
      </c>
    </row>
    <row r="195" spans="30:33" x14ac:dyDescent="0.25">
      <c r="AD195" s="2" t="str">
        <f t="shared" si="9"/>
        <v/>
      </c>
      <c r="AE195" s="2" t="str">
        <f t="shared" si="10"/>
        <v/>
      </c>
      <c r="AF195" s="2" t="str">
        <f t="shared" si="11"/>
        <v/>
      </c>
      <c r="AG195" s="2" t="str">
        <f>IF($L195="","",IF(COUNTIF(LISTS!$A$2:$A$200,$H195)=0,"NEW",""))</f>
        <v/>
      </c>
    </row>
    <row r="196" spans="30:33" x14ac:dyDescent="0.25">
      <c r="AD196" s="2" t="str">
        <f t="shared" si="9"/>
        <v/>
      </c>
      <c r="AE196" s="2" t="str">
        <f t="shared" si="10"/>
        <v/>
      </c>
      <c r="AF196" s="2" t="str">
        <f t="shared" si="11"/>
        <v/>
      </c>
      <c r="AG196" s="2" t="str">
        <f>IF($L196="","",IF(COUNTIF(LISTS!$A$2:$A$200,$H196)=0,"NEW",""))</f>
        <v/>
      </c>
    </row>
    <row r="197" spans="30:33" x14ac:dyDescent="0.25">
      <c r="AD197" s="2" t="str">
        <f t="shared" si="9"/>
        <v/>
      </c>
      <c r="AE197" s="2" t="str">
        <f t="shared" si="10"/>
        <v/>
      </c>
      <c r="AF197" s="2" t="str">
        <f t="shared" si="11"/>
        <v/>
      </c>
      <c r="AG197" s="2" t="str">
        <f>IF($L197="","",IF(COUNTIF(LISTS!$A$2:$A$200,$H197)=0,"NEW",""))</f>
        <v/>
      </c>
    </row>
    <row r="198" spans="30:33" x14ac:dyDescent="0.25">
      <c r="AD198" s="2" t="str">
        <f t="shared" si="9"/>
        <v/>
      </c>
      <c r="AE198" s="2" t="str">
        <f t="shared" si="10"/>
        <v/>
      </c>
      <c r="AF198" s="2" t="str">
        <f t="shared" si="11"/>
        <v/>
      </c>
      <c r="AG198" s="2" t="str">
        <f>IF($L198="","",IF(COUNTIF(LISTS!$A$2:$A$200,$H198)=0,"NEW",""))</f>
        <v/>
      </c>
    </row>
    <row r="199" spans="30:33" x14ac:dyDescent="0.25">
      <c r="AD199" s="2" t="str">
        <f t="shared" si="9"/>
        <v/>
      </c>
      <c r="AE199" s="2" t="str">
        <f t="shared" si="10"/>
        <v/>
      </c>
      <c r="AF199" s="2" t="str">
        <f t="shared" si="11"/>
        <v/>
      </c>
      <c r="AG199" s="2" t="str">
        <f>IF($L199="","",IF(COUNTIF(LISTS!$A$2:$A$200,$H199)=0,"NEW",""))</f>
        <v/>
      </c>
    </row>
    <row r="200" spans="30:33" x14ac:dyDescent="0.25">
      <c r="AD200" s="2" t="str">
        <f t="shared" si="9"/>
        <v/>
      </c>
      <c r="AE200" s="2" t="str">
        <f t="shared" si="10"/>
        <v/>
      </c>
      <c r="AF200" s="2" t="str">
        <f t="shared" si="11"/>
        <v/>
      </c>
      <c r="AG200" s="2" t="str">
        <f>IF($L200="","",IF(COUNTIF(LISTS!$A$2:$A$200,$H200)=0,"NEW",""))</f>
        <v/>
      </c>
    </row>
    <row r="201" spans="30:33" x14ac:dyDescent="0.25">
      <c r="AD201" s="2" t="str">
        <f t="shared" si="9"/>
        <v/>
      </c>
      <c r="AE201" s="2" t="str">
        <f t="shared" si="10"/>
        <v/>
      </c>
      <c r="AF201" s="2" t="str">
        <f t="shared" si="11"/>
        <v/>
      </c>
      <c r="AG201" s="2" t="str">
        <f>IF($L201="","",IF(COUNTIF(LISTS!$A$2:$A$200,$H201)=0,"NEW",""))</f>
        <v/>
      </c>
    </row>
    <row r="202" spans="30:33" x14ac:dyDescent="0.25">
      <c r="AD202" s="2" t="str">
        <f t="shared" si="9"/>
        <v/>
      </c>
      <c r="AE202" s="2" t="str">
        <f t="shared" si="10"/>
        <v/>
      </c>
      <c r="AF202" s="2" t="str">
        <f t="shared" si="11"/>
        <v/>
      </c>
      <c r="AG202" s="2" t="str">
        <f>IF($L202="","",IF(COUNTIF(LISTS!$A$2:$A$200,$H202)=0,"NEW",""))</f>
        <v/>
      </c>
    </row>
    <row r="203" spans="30:33" x14ac:dyDescent="0.25">
      <c r="AD203" s="2" t="str">
        <f t="shared" si="9"/>
        <v/>
      </c>
      <c r="AE203" s="2" t="str">
        <f t="shared" si="10"/>
        <v/>
      </c>
      <c r="AF203" s="2" t="str">
        <f t="shared" si="11"/>
        <v/>
      </c>
      <c r="AG203" s="2" t="str">
        <f>IF($L203="","",IF(COUNTIF(LISTS!$A$2:$A$200,$H203)=0,"NEW",""))</f>
        <v/>
      </c>
    </row>
    <row r="204" spans="30:33" x14ac:dyDescent="0.25">
      <c r="AD204" s="2" t="str">
        <f t="shared" si="9"/>
        <v/>
      </c>
      <c r="AE204" s="2" t="str">
        <f t="shared" si="10"/>
        <v/>
      </c>
      <c r="AF204" s="2" t="str">
        <f t="shared" si="11"/>
        <v/>
      </c>
      <c r="AG204" s="2" t="str">
        <f>IF($L204="","",IF(COUNTIF(LISTS!$A$2:$A$200,$H204)=0,"NEW",""))</f>
        <v/>
      </c>
    </row>
    <row r="205" spans="30:33" x14ac:dyDescent="0.25">
      <c r="AD205" s="2" t="str">
        <f t="shared" si="9"/>
        <v/>
      </c>
      <c r="AE205" s="2" t="str">
        <f t="shared" si="10"/>
        <v/>
      </c>
      <c r="AF205" s="2" t="str">
        <f t="shared" si="11"/>
        <v/>
      </c>
      <c r="AG205" s="2" t="str">
        <f>IF($L205="","",IF(COUNTIF(LISTS!$A$2:$A$200,$H205)=0,"NEW",""))</f>
        <v/>
      </c>
    </row>
    <row r="206" spans="30:33" x14ac:dyDescent="0.25">
      <c r="AD206" s="2" t="str">
        <f t="shared" si="9"/>
        <v/>
      </c>
      <c r="AE206" s="2" t="str">
        <f t="shared" si="10"/>
        <v/>
      </c>
      <c r="AF206" s="2" t="str">
        <f t="shared" si="11"/>
        <v/>
      </c>
      <c r="AG206" s="2" t="str">
        <f>IF($L206="","",IF(COUNTIF(LISTS!$A$2:$A$200,$H206)=0,"NEW",""))</f>
        <v/>
      </c>
    </row>
    <row r="207" spans="30:33" x14ac:dyDescent="0.25">
      <c r="AD207" s="2" t="str">
        <f t="shared" si="9"/>
        <v/>
      </c>
      <c r="AE207" s="2" t="str">
        <f t="shared" si="10"/>
        <v/>
      </c>
      <c r="AF207" s="2" t="str">
        <f t="shared" si="11"/>
        <v/>
      </c>
      <c r="AG207" s="2" t="str">
        <f>IF($L207="","",IF(COUNTIF(LISTS!$A$2:$A$200,$H207)=0,"NEW",""))</f>
        <v/>
      </c>
    </row>
    <row r="208" spans="30:33" x14ac:dyDescent="0.25">
      <c r="AD208" s="2" t="str">
        <f t="shared" si="9"/>
        <v/>
      </c>
      <c r="AE208" s="2" t="str">
        <f t="shared" si="10"/>
        <v/>
      </c>
      <c r="AF208" s="2" t="str">
        <f t="shared" si="11"/>
        <v/>
      </c>
      <c r="AG208" s="2" t="str">
        <f>IF($L208="","",IF(COUNTIF(LISTS!$A$2:$A$200,$H208)=0,"NEW",""))</f>
        <v/>
      </c>
    </row>
    <row r="209" spans="30:33" x14ac:dyDescent="0.25">
      <c r="AD209" s="2" t="str">
        <f t="shared" si="9"/>
        <v/>
      </c>
      <c r="AE209" s="2" t="str">
        <f t="shared" si="10"/>
        <v/>
      </c>
      <c r="AF209" s="2" t="str">
        <f t="shared" si="11"/>
        <v/>
      </c>
      <c r="AG209" s="2" t="str">
        <f>IF($L209="","",IF(COUNTIF(LISTS!$A$2:$A$200,$H209)=0,"NEW",""))</f>
        <v/>
      </c>
    </row>
    <row r="210" spans="30:33" x14ac:dyDescent="0.25">
      <c r="AD210" s="2" t="str">
        <f t="shared" si="9"/>
        <v/>
      </c>
      <c r="AE210" s="2" t="str">
        <f t="shared" si="10"/>
        <v/>
      </c>
      <c r="AF210" s="2" t="str">
        <f t="shared" si="11"/>
        <v/>
      </c>
      <c r="AG210" s="2" t="str">
        <f>IF($L210="","",IF(COUNTIF(LISTS!$A$2:$A$200,$H210)=0,"NEW",""))</f>
        <v/>
      </c>
    </row>
    <row r="211" spans="30:33" x14ac:dyDescent="0.25">
      <c r="AD211" s="2" t="str">
        <f t="shared" si="9"/>
        <v/>
      </c>
      <c r="AE211" s="2" t="str">
        <f t="shared" si="10"/>
        <v/>
      </c>
      <c r="AF211" s="2" t="str">
        <f t="shared" si="11"/>
        <v/>
      </c>
      <c r="AG211" s="2" t="str">
        <f>IF($L211="","",IF(COUNTIF(LISTS!$A$2:$A$200,$H211)=0,"NEW",""))</f>
        <v/>
      </c>
    </row>
    <row r="212" spans="30:33" x14ac:dyDescent="0.25">
      <c r="AD212" s="2" t="str">
        <f t="shared" si="9"/>
        <v/>
      </c>
      <c r="AE212" s="2" t="str">
        <f t="shared" si="10"/>
        <v/>
      </c>
      <c r="AF212" s="2" t="str">
        <f t="shared" si="11"/>
        <v/>
      </c>
      <c r="AG212" s="2" t="str">
        <f>IF($L212="","",IF(COUNTIF(LISTS!$A$2:$A$200,$H212)=0,"NEW",""))</f>
        <v/>
      </c>
    </row>
    <row r="213" spans="30:33" x14ac:dyDescent="0.25">
      <c r="AD213" s="2" t="str">
        <f t="shared" si="9"/>
        <v/>
      </c>
      <c r="AE213" s="2" t="str">
        <f t="shared" si="10"/>
        <v/>
      </c>
      <c r="AF213" s="2" t="str">
        <f t="shared" si="11"/>
        <v/>
      </c>
      <c r="AG213" s="2" t="str">
        <f>IF($L213="","",IF(COUNTIF(LISTS!$A$2:$A$200,$H213)=0,"NEW",""))</f>
        <v/>
      </c>
    </row>
    <row r="214" spans="30:33" x14ac:dyDescent="0.25">
      <c r="AD214" s="2" t="str">
        <f t="shared" si="9"/>
        <v/>
      </c>
      <c r="AE214" s="2" t="str">
        <f t="shared" si="10"/>
        <v/>
      </c>
      <c r="AF214" s="2" t="str">
        <f t="shared" si="11"/>
        <v/>
      </c>
      <c r="AG214" s="2" t="str">
        <f>IF($L214="","",IF(COUNTIF(LISTS!$A$2:$A$200,$H214)=0,"NEW",""))</f>
        <v/>
      </c>
    </row>
    <row r="215" spans="30:33" x14ac:dyDescent="0.25">
      <c r="AD215" s="2" t="str">
        <f t="shared" si="9"/>
        <v/>
      </c>
      <c r="AE215" s="2" t="str">
        <f t="shared" si="10"/>
        <v/>
      </c>
      <c r="AF215" s="2" t="str">
        <f t="shared" si="11"/>
        <v/>
      </c>
      <c r="AG215" s="2" t="str">
        <f>IF($L215="","",IF(COUNTIF(LISTS!$A$2:$A$200,$H215)=0,"NEW",""))</f>
        <v/>
      </c>
    </row>
    <row r="216" spans="30:33" x14ac:dyDescent="0.25">
      <c r="AD216" s="2" t="str">
        <f t="shared" si="9"/>
        <v/>
      </c>
      <c r="AE216" s="2" t="str">
        <f t="shared" si="10"/>
        <v/>
      </c>
      <c r="AF216" s="2" t="str">
        <f t="shared" si="11"/>
        <v/>
      </c>
      <c r="AG216" s="2" t="str">
        <f>IF($L216="","",IF(COUNTIF(LISTS!$A$2:$A$200,$H216)=0,"NEW",""))</f>
        <v/>
      </c>
    </row>
    <row r="217" spans="30:33" x14ac:dyDescent="0.25">
      <c r="AD217" s="2" t="str">
        <f t="shared" si="9"/>
        <v/>
      </c>
      <c r="AE217" s="2" t="str">
        <f t="shared" si="10"/>
        <v/>
      </c>
      <c r="AF217" s="2" t="str">
        <f t="shared" si="11"/>
        <v/>
      </c>
      <c r="AG217" s="2" t="str">
        <f>IF($L217="","",IF(COUNTIF(LISTS!$A$2:$A$200,$H217)=0,"NEW",""))</f>
        <v/>
      </c>
    </row>
    <row r="218" spans="30:33" x14ac:dyDescent="0.25">
      <c r="AD218" s="2" t="str">
        <f t="shared" si="9"/>
        <v/>
      </c>
      <c r="AE218" s="2" t="str">
        <f t="shared" si="10"/>
        <v/>
      </c>
      <c r="AF218" s="2" t="str">
        <f t="shared" si="11"/>
        <v/>
      </c>
      <c r="AG218" s="2" t="str">
        <f>IF($L218="","",IF(COUNTIF(LISTS!$A$2:$A$200,$H218)=0,"NEW",""))</f>
        <v/>
      </c>
    </row>
    <row r="219" spans="30:33" x14ac:dyDescent="0.25">
      <c r="AD219" s="2" t="str">
        <f t="shared" si="9"/>
        <v/>
      </c>
      <c r="AE219" s="2" t="str">
        <f t="shared" si="10"/>
        <v/>
      </c>
      <c r="AF219" s="2" t="str">
        <f t="shared" si="11"/>
        <v/>
      </c>
      <c r="AG219" s="2" t="str">
        <f>IF($L219="","",IF(COUNTIF(LISTS!$A$2:$A$200,$H219)=0,"NEW",""))</f>
        <v/>
      </c>
    </row>
    <row r="220" spans="30:33" x14ac:dyDescent="0.25">
      <c r="AD220" s="2" t="str">
        <f t="shared" si="9"/>
        <v/>
      </c>
      <c r="AE220" s="2" t="str">
        <f t="shared" si="10"/>
        <v/>
      </c>
      <c r="AF220" s="2" t="str">
        <f t="shared" si="11"/>
        <v/>
      </c>
      <c r="AG220" s="2" t="str">
        <f>IF($L220="","",IF(COUNTIF(LISTS!$A$2:$A$200,$H220)=0,"NEW",""))</f>
        <v/>
      </c>
    </row>
    <row r="221" spans="30:33" x14ac:dyDescent="0.25">
      <c r="AD221" s="2" t="str">
        <f t="shared" si="9"/>
        <v/>
      </c>
      <c r="AE221" s="2" t="str">
        <f t="shared" si="10"/>
        <v/>
      </c>
      <c r="AF221" s="2" t="str">
        <f t="shared" si="11"/>
        <v/>
      </c>
      <c r="AG221" s="2" t="str">
        <f>IF($L221="","",IF(COUNTIF(LISTS!$A$2:$A$200,$H221)=0,"NEW",""))</f>
        <v/>
      </c>
    </row>
    <row r="222" spans="30:33" x14ac:dyDescent="0.25">
      <c r="AD222" s="2" t="str">
        <f t="shared" si="9"/>
        <v/>
      </c>
      <c r="AE222" s="2" t="str">
        <f t="shared" si="10"/>
        <v/>
      </c>
      <c r="AF222" s="2" t="str">
        <f t="shared" si="11"/>
        <v/>
      </c>
      <c r="AG222" s="2" t="str">
        <f>IF($L222="","",IF(COUNTIF(LISTS!$A$2:$A$200,$H222)=0,"NEW",""))</f>
        <v/>
      </c>
    </row>
    <row r="223" spans="30:33" x14ac:dyDescent="0.25">
      <c r="AD223" s="2" t="str">
        <f t="shared" si="9"/>
        <v/>
      </c>
      <c r="AE223" s="2" t="str">
        <f t="shared" si="10"/>
        <v/>
      </c>
      <c r="AF223" s="2" t="str">
        <f t="shared" si="11"/>
        <v/>
      </c>
      <c r="AG223" s="2" t="str">
        <f>IF($L223="","",IF(COUNTIF(LISTS!$A$2:$A$200,$H223)=0,"NEW",""))</f>
        <v/>
      </c>
    </row>
    <row r="224" spans="30:33" x14ac:dyDescent="0.25">
      <c r="AD224" s="2" t="str">
        <f t="shared" si="9"/>
        <v/>
      </c>
      <c r="AE224" s="2" t="str">
        <f t="shared" si="10"/>
        <v/>
      </c>
      <c r="AF224" s="2" t="str">
        <f t="shared" si="11"/>
        <v/>
      </c>
      <c r="AG224" s="2" t="str">
        <f>IF($L224="","",IF(COUNTIF(LISTS!$A$2:$A$200,$H224)=0,"NEW",""))</f>
        <v/>
      </c>
    </row>
    <row r="225" spans="30:33" x14ac:dyDescent="0.25">
      <c r="AD225" s="2" t="str">
        <f t="shared" si="9"/>
        <v/>
      </c>
      <c r="AE225" s="2" t="str">
        <f t="shared" si="10"/>
        <v/>
      </c>
      <c r="AF225" s="2" t="str">
        <f t="shared" si="11"/>
        <v/>
      </c>
      <c r="AG225" s="2" t="str">
        <f>IF($L225="","",IF(COUNTIF(LISTS!$A$2:$A$200,$H225)=0,"NEW",""))</f>
        <v/>
      </c>
    </row>
    <row r="226" spans="30:33" x14ac:dyDescent="0.25">
      <c r="AD226" s="2" t="str">
        <f t="shared" si="9"/>
        <v/>
      </c>
      <c r="AE226" s="2" t="str">
        <f t="shared" si="10"/>
        <v/>
      </c>
      <c r="AF226" s="2" t="str">
        <f t="shared" si="11"/>
        <v/>
      </c>
      <c r="AG226" s="2" t="str">
        <f>IF($L226="","",IF(COUNTIF(LISTS!$A$2:$A$200,$H226)=0,"NEW",""))</f>
        <v/>
      </c>
    </row>
    <row r="227" spans="30:33" x14ac:dyDescent="0.25">
      <c r="AD227" s="2" t="str">
        <f t="shared" si="9"/>
        <v/>
      </c>
      <c r="AE227" s="2" t="str">
        <f t="shared" si="10"/>
        <v/>
      </c>
      <c r="AF227" s="2" t="str">
        <f t="shared" si="11"/>
        <v/>
      </c>
      <c r="AG227" s="2" t="str">
        <f>IF($L227="","",IF(COUNTIF(LISTS!$A$2:$A$200,$H227)=0,"NEW",""))</f>
        <v/>
      </c>
    </row>
    <row r="228" spans="30:33" x14ac:dyDescent="0.25">
      <c r="AD228" s="2" t="str">
        <f t="shared" si="9"/>
        <v/>
      </c>
      <c r="AE228" s="2" t="str">
        <f t="shared" si="10"/>
        <v/>
      </c>
      <c r="AF228" s="2" t="str">
        <f t="shared" si="11"/>
        <v/>
      </c>
      <c r="AG228" s="2" t="str">
        <f>IF($L228="","",IF(COUNTIF(LISTS!$A$2:$A$200,$H228)=0,"NEW",""))</f>
        <v/>
      </c>
    </row>
    <row r="229" spans="30:33" x14ac:dyDescent="0.25">
      <c r="AD229" s="2" t="str">
        <f t="shared" si="9"/>
        <v/>
      </c>
      <c r="AE229" s="2" t="str">
        <f t="shared" si="10"/>
        <v/>
      </c>
      <c r="AF229" s="2" t="str">
        <f t="shared" si="11"/>
        <v/>
      </c>
      <c r="AG229" s="2" t="str">
        <f>IF($L229="","",IF(COUNTIF(LISTS!$A$2:$A$200,$H229)=0,"NEW",""))</f>
        <v/>
      </c>
    </row>
    <row r="230" spans="30:33" x14ac:dyDescent="0.25">
      <c r="AD230" s="2" t="str">
        <f t="shared" si="9"/>
        <v/>
      </c>
      <c r="AE230" s="2" t="str">
        <f t="shared" si="10"/>
        <v/>
      </c>
      <c r="AF230" s="2" t="str">
        <f t="shared" si="11"/>
        <v/>
      </c>
      <c r="AG230" s="2" t="str">
        <f>IF($L230="","",IF(COUNTIF(LISTS!$A$2:$A$200,$H230)=0,"NEW",""))</f>
        <v/>
      </c>
    </row>
    <row r="231" spans="30:33" x14ac:dyDescent="0.25">
      <c r="AD231" s="2" t="str">
        <f t="shared" si="9"/>
        <v/>
      </c>
      <c r="AE231" s="2" t="str">
        <f t="shared" si="10"/>
        <v/>
      </c>
      <c r="AF231" s="2" t="str">
        <f t="shared" si="11"/>
        <v/>
      </c>
      <c r="AG231" s="2" t="str">
        <f>IF($L231="","",IF(COUNTIF(LISTS!$A$2:$A$200,$H231)=0,"NEW",""))</f>
        <v/>
      </c>
    </row>
    <row r="232" spans="30:33" x14ac:dyDescent="0.25">
      <c r="AD232" s="2" t="str">
        <f t="shared" si="9"/>
        <v/>
      </c>
      <c r="AE232" s="2" t="str">
        <f t="shared" si="10"/>
        <v/>
      </c>
      <c r="AF232" s="2" t="str">
        <f t="shared" si="11"/>
        <v/>
      </c>
      <c r="AG232" s="2" t="str">
        <f>IF($L232="","",IF(COUNTIF(LISTS!$A$2:$A$200,$H232)=0,"NEW",""))</f>
        <v/>
      </c>
    </row>
    <row r="233" spans="30:33" x14ac:dyDescent="0.25">
      <c r="AD233" s="2" t="str">
        <f t="shared" si="9"/>
        <v/>
      </c>
      <c r="AE233" s="2" t="str">
        <f t="shared" si="10"/>
        <v/>
      </c>
      <c r="AF233" s="2" t="str">
        <f t="shared" si="11"/>
        <v/>
      </c>
      <c r="AG233" s="2" t="str">
        <f>IF($L233="","",IF(COUNTIF(LISTS!$A$2:$A$200,$H233)=0,"NEW",""))</f>
        <v/>
      </c>
    </row>
    <row r="234" spans="30:33" x14ac:dyDescent="0.25">
      <c r="AD234" s="2" t="str">
        <f t="shared" si="9"/>
        <v/>
      </c>
      <c r="AE234" s="2" t="str">
        <f t="shared" si="10"/>
        <v/>
      </c>
      <c r="AF234" s="2" t="str">
        <f t="shared" si="11"/>
        <v/>
      </c>
      <c r="AG234" s="2" t="str">
        <f>IF($L234="","",IF(COUNTIF(LISTS!$A$2:$A$200,$H234)=0,"NEW",""))</f>
        <v/>
      </c>
    </row>
    <row r="235" spans="30:33" x14ac:dyDescent="0.25">
      <c r="AD235" s="2" t="str">
        <f t="shared" si="9"/>
        <v/>
      </c>
      <c r="AE235" s="2" t="str">
        <f t="shared" si="10"/>
        <v/>
      </c>
      <c r="AF235" s="2" t="str">
        <f t="shared" si="11"/>
        <v/>
      </c>
      <c r="AG235" s="2" t="str">
        <f>IF($L235="","",IF(COUNTIF(LISTS!$A$2:$A$200,$H235)=0,"NEW",""))</f>
        <v/>
      </c>
    </row>
    <row r="236" spans="30:33" x14ac:dyDescent="0.25">
      <c r="AD236" s="2" t="str">
        <f t="shared" si="9"/>
        <v/>
      </c>
      <c r="AE236" s="2" t="str">
        <f t="shared" si="10"/>
        <v/>
      </c>
      <c r="AF236" s="2" t="str">
        <f t="shared" si="11"/>
        <v/>
      </c>
      <c r="AG236" s="2" t="str">
        <f>IF($L236="","",IF(COUNTIF(LISTS!$A$2:$A$200,$H236)=0,"NEW",""))</f>
        <v/>
      </c>
    </row>
    <row r="237" spans="30:33" x14ac:dyDescent="0.25">
      <c r="AD237" s="2" t="str">
        <f t="shared" si="9"/>
        <v/>
      </c>
      <c r="AE237" s="2" t="str">
        <f t="shared" si="10"/>
        <v/>
      </c>
      <c r="AF237" s="2" t="str">
        <f t="shared" si="11"/>
        <v/>
      </c>
      <c r="AG237" s="2" t="str">
        <f>IF($L237="","",IF(COUNTIF(LISTS!$A$2:$A$200,$H237)=0,"NEW",""))</f>
        <v/>
      </c>
    </row>
    <row r="238" spans="30:33" x14ac:dyDescent="0.25">
      <c r="AD238" s="2" t="str">
        <f t="shared" si="9"/>
        <v/>
      </c>
      <c r="AE238" s="2" t="str">
        <f t="shared" si="10"/>
        <v/>
      </c>
      <c r="AF238" s="2" t="str">
        <f t="shared" si="11"/>
        <v/>
      </c>
      <c r="AG238" s="2" t="str">
        <f>IF($L238="","",IF(COUNTIF(LISTS!$A$2:$A$200,$H238)=0,"NEW",""))</f>
        <v/>
      </c>
    </row>
    <row r="239" spans="30:33" x14ac:dyDescent="0.25">
      <c r="AD239" s="2" t="str">
        <f t="shared" si="9"/>
        <v/>
      </c>
      <c r="AE239" s="2" t="str">
        <f t="shared" si="10"/>
        <v/>
      </c>
      <c r="AF239" s="2" t="str">
        <f t="shared" si="11"/>
        <v/>
      </c>
      <c r="AG239" s="2" t="str">
        <f>IF($L239="","",IF(COUNTIF(LISTS!$A$2:$A$200,$H239)=0,"NEW",""))</f>
        <v/>
      </c>
    </row>
    <row r="240" spans="30:33" x14ac:dyDescent="0.25">
      <c r="AD240" s="2" t="str">
        <f t="shared" si="9"/>
        <v/>
      </c>
      <c r="AE240" s="2" t="str">
        <f t="shared" si="10"/>
        <v/>
      </c>
      <c r="AF240" s="2" t="str">
        <f t="shared" si="11"/>
        <v/>
      </c>
      <c r="AG240" s="2" t="str">
        <f>IF($L240="","",IF(COUNTIF(LISTS!$A$2:$A$200,$H240)=0,"NEW",""))</f>
        <v/>
      </c>
    </row>
    <row r="241" spans="30:33" x14ac:dyDescent="0.25">
      <c r="AD241" s="2" t="str">
        <f t="shared" si="9"/>
        <v/>
      </c>
      <c r="AE241" s="2" t="str">
        <f t="shared" si="10"/>
        <v/>
      </c>
      <c r="AF241" s="2" t="str">
        <f t="shared" si="11"/>
        <v/>
      </c>
      <c r="AG241" s="2" t="str">
        <f>IF($L241="","",IF(COUNTIF(LISTS!$A$2:$A$200,$H241)=0,"NEW",""))</f>
        <v/>
      </c>
    </row>
    <row r="242" spans="30:33" x14ac:dyDescent="0.25">
      <c r="AD242" s="2" t="str">
        <f t="shared" si="9"/>
        <v/>
      </c>
      <c r="AE242" s="2" t="str">
        <f t="shared" si="10"/>
        <v/>
      </c>
      <c r="AF242" s="2" t="str">
        <f t="shared" si="11"/>
        <v/>
      </c>
      <c r="AG242" s="2" t="str">
        <f>IF($L242="","",IF(COUNTIF(LISTS!$A$2:$A$200,$H242)=0,"NEW",""))</f>
        <v/>
      </c>
    </row>
    <row r="243" spans="30:33" x14ac:dyDescent="0.25">
      <c r="AD243" s="2" t="str">
        <f t="shared" si="9"/>
        <v/>
      </c>
      <c r="AE243" s="2" t="str">
        <f t="shared" si="10"/>
        <v/>
      </c>
      <c r="AF243" s="2" t="str">
        <f t="shared" si="11"/>
        <v/>
      </c>
      <c r="AG243" s="2" t="str">
        <f>IF($L243="","",IF(COUNTIF(LISTS!$A$2:$A$200,$H243)=0,"NEW",""))</f>
        <v/>
      </c>
    </row>
    <row r="244" spans="30:33" x14ac:dyDescent="0.25">
      <c r="AD244" s="2" t="str">
        <f t="shared" si="9"/>
        <v/>
      </c>
      <c r="AE244" s="2" t="str">
        <f t="shared" si="10"/>
        <v/>
      </c>
      <c r="AF244" s="2" t="str">
        <f t="shared" si="11"/>
        <v/>
      </c>
      <c r="AG244" s="2" t="str">
        <f>IF($L244="","",IF(COUNTIF(LISTS!$A$2:$A$200,$H244)=0,"NEW",""))</f>
        <v/>
      </c>
    </row>
    <row r="245" spans="30:33" x14ac:dyDescent="0.25">
      <c r="AD245" s="2" t="str">
        <f t="shared" si="9"/>
        <v/>
      </c>
      <c r="AE245" s="2" t="str">
        <f t="shared" si="10"/>
        <v/>
      </c>
      <c r="AF245" s="2" t="str">
        <f t="shared" si="11"/>
        <v/>
      </c>
      <c r="AG245" s="2" t="str">
        <f>IF($L245="","",IF(COUNTIF(LISTS!$A$2:$A$200,$H245)=0,"NEW",""))</f>
        <v/>
      </c>
    </row>
    <row r="246" spans="30:33" x14ac:dyDescent="0.25">
      <c r="AD246" s="2" t="str">
        <f t="shared" si="9"/>
        <v/>
      </c>
      <c r="AE246" s="2" t="str">
        <f t="shared" si="10"/>
        <v/>
      </c>
      <c r="AF246" s="2" t="str">
        <f t="shared" si="11"/>
        <v/>
      </c>
      <c r="AG246" s="2" t="str">
        <f>IF($L246="","",IF(COUNTIF(LISTS!$A$2:$A$200,$H246)=0,"NEW",""))</f>
        <v/>
      </c>
    </row>
    <row r="247" spans="30:33" x14ac:dyDescent="0.25">
      <c r="AD247" s="2" t="str">
        <f t="shared" si="9"/>
        <v/>
      </c>
      <c r="AE247" s="2" t="str">
        <f t="shared" si="10"/>
        <v/>
      </c>
      <c r="AF247" s="2" t="str">
        <f t="shared" si="11"/>
        <v/>
      </c>
      <c r="AG247" s="2" t="str">
        <f>IF($L247="","",IF(COUNTIF(LISTS!$A$2:$A$200,$H247)=0,"NEW",""))</f>
        <v/>
      </c>
    </row>
    <row r="248" spans="30:33" x14ac:dyDescent="0.25">
      <c r="AD248" s="2" t="str">
        <f t="shared" si="9"/>
        <v/>
      </c>
      <c r="AE248" s="2" t="str">
        <f t="shared" si="10"/>
        <v/>
      </c>
      <c r="AF248" s="2" t="str">
        <f t="shared" si="11"/>
        <v/>
      </c>
      <c r="AG248" s="2" t="str">
        <f>IF($L248="","",IF(COUNTIF(LISTS!$A$2:$A$200,$H248)=0,"NEW",""))</f>
        <v/>
      </c>
    </row>
    <row r="249" spans="30:33" x14ac:dyDescent="0.25">
      <c r="AD249" s="2" t="str">
        <f t="shared" si="9"/>
        <v/>
      </c>
      <c r="AE249" s="2" t="str">
        <f t="shared" si="10"/>
        <v/>
      </c>
      <c r="AF249" s="2" t="str">
        <f t="shared" si="11"/>
        <v/>
      </c>
      <c r="AG249" s="2" t="str">
        <f>IF($L249="","",IF(COUNTIF(LISTS!$A$2:$A$200,$H249)=0,"NEW",""))</f>
        <v/>
      </c>
    </row>
    <row r="250" spans="30:33" x14ac:dyDescent="0.25">
      <c r="AD250" s="2" t="str">
        <f t="shared" si="9"/>
        <v/>
      </c>
      <c r="AE250" s="2" t="str">
        <f t="shared" si="10"/>
        <v/>
      </c>
      <c r="AF250" s="2" t="str">
        <f t="shared" si="11"/>
        <v/>
      </c>
      <c r="AG250" s="2" t="str">
        <f>IF($L250="","",IF(COUNTIF(LISTS!$A$2:$A$200,$H250)=0,"NEW",""))</f>
        <v/>
      </c>
    </row>
    <row r="251" spans="30:33" x14ac:dyDescent="0.25">
      <c r="AD251" s="2" t="str">
        <f t="shared" si="9"/>
        <v/>
      </c>
      <c r="AE251" s="2" t="str">
        <f t="shared" si="10"/>
        <v/>
      </c>
      <c r="AF251" s="2" t="str">
        <f t="shared" si="11"/>
        <v/>
      </c>
      <c r="AG251" s="2" t="str">
        <f>IF($L251="","",IF(COUNTIF(LISTS!$A$2:$A$200,$H251)=0,"NEW",""))</f>
        <v/>
      </c>
    </row>
    <row r="252" spans="30:33" x14ac:dyDescent="0.25">
      <c r="AD252" s="2" t="str">
        <f t="shared" si="9"/>
        <v/>
      </c>
      <c r="AE252" s="2" t="str">
        <f t="shared" si="10"/>
        <v/>
      </c>
      <c r="AF252" s="2" t="str">
        <f t="shared" si="11"/>
        <v/>
      </c>
      <c r="AG252" s="2" t="str">
        <f>IF($L252="","",IF(COUNTIF(LISTS!$A$2:$A$200,$H252)=0,"NEW",""))</f>
        <v/>
      </c>
    </row>
    <row r="253" spans="30:33" x14ac:dyDescent="0.25">
      <c r="AD253" s="2" t="str">
        <f t="shared" si="9"/>
        <v/>
      </c>
      <c r="AE253" s="2" t="str">
        <f t="shared" si="10"/>
        <v/>
      </c>
      <c r="AF253" s="2" t="str">
        <f t="shared" si="11"/>
        <v/>
      </c>
      <c r="AG253" s="2" t="str">
        <f>IF($L253="","",IF(COUNTIF(LISTS!$A$2:$A$200,$H253)=0,"NEW",""))</f>
        <v/>
      </c>
    </row>
    <row r="254" spans="30:33" x14ac:dyDescent="0.25">
      <c r="AD254" s="2" t="str">
        <f t="shared" si="9"/>
        <v/>
      </c>
      <c r="AE254" s="2" t="str">
        <f t="shared" si="10"/>
        <v/>
      </c>
      <c r="AF254" s="2" t="str">
        <f t="shared" si="11"/>
        <v/>
      </c>
      <c r="AG254" s="2" t="str">
        <f>IF($L254="","",IF(COUNTIF(LISTS!$A$2:$A$200,$H254)=0,"NEW",""))</f>
        <v/>
      </c>
    </row>
    <row r="255" spans="30:33" x14ac:dyDescent="0.25">
      <c r="AD255" s="2" t="str">
        <f t="shared" si="9"/>
        <v/>
      </c>
      <c r="AE255" s="2" t="str">
        <f t="shared" si="10"/>
        <v/>
      </c>
      <c r="AF255" s="2" t="str">
        <f t="shared" si="11"/>
        <v/>
      </c>
      <c r="AG255" s="2" t="str">
        <f>IF($L255="","",IF(COUNTIF(LISTS!$A$2:$A$200,$H255)=0,"NEW",""))</f>
        <v/>
      </c>
    </row>
    <row r="256" spans="30:33" x14ac:dyDescent="0.25">
      <c r="AD256" s="2" t="str">
        <f t="shared" si="9"/>
        <v/>
      </c>
      <c r="AE256" s="2" t="str">
        <f t="shared" si="10"/>
        <v/>
      </c>
      <c r="AF256" s="2" t="str">
        <f t="shared" si="11"/>
        <v/>
      </c>
      <c r="AG256" s="2" t="str">
        <f>IF($L256="","",IF(COUNTIF(LISTS!$A$2:$A$200,$H256)=0,"NEW",""))</f>
        <v/>
      </c>
    </row>
    <row r="257" spans="30:33" x14ac:dyDescent="0.25">
      <c r="AD257" s="2" t="str">
        <f t="shared" si="9"/>
        <v/>
      </c>
      <c r="AE257" s="2" t="str">
        <f t="shared" si="10"/>
        <v/>
      </c>
      <c r="AF257" s="2" t="str">
        <f t="shared" si="11"/>
        <v/>
      </c>
      <c r="AG257" s="2" t="str">
        <f>IF($L257="","",IF(COUNTIF(LISTS!$A$2:$A$200,$H257)=0,"NEW",""))</f>
        <v/>
      </c>
    </row>
    <row r="258" spans="30:33" x14ac:dyDescent="0.25">
      <c r="AD258" s="2" t="str">
        <f t="shared" ref="AD258:AD321" si="12">IF($L258="","",IF(ISNUMBER(SEARCH("OFF ROAD",$H258)),"OFF",IF(ISNUMBER(SEARCH("ON ROAD",$H258)),"ON","")))</f>
        <v/>
      </c>
      <c r="AE258" s="2" t="str">
        <f t="shared" ref="AE258:AE321" si="13">IF($AD258="ON",""&amp;$L258,"")</f>
        <v/>
      </c>
      <c r="AF258" s="2" t="str">
        <f t="shared" ref="AF258:AF321" si="14">IF($L258="","",IF($J258&lt;&gt;"","Y",""))</f>
        <v/>
      </c>
      <c r="AG258" s="2" t="str">
        <f>IF($L258="","",IF(COUNTIF(LISTS!$A$2:$A$200,$H258)=0,"NEW",""))</f>
        <v/>
      </c>
    </row>
    <row r="259" spans="30:33" x14ac:dyDescent="0.25">
      <c r="AD259" s="2" t="str">
        <f t="shared" si="12"/>
        <v/>
      </c>
      <c r="AE259" s="2" t="str">
        <f t="shared" si="13"/>
        <v/>
      </c>
      <c r="AF259" s="2" t="str">
        <f t="shared" si="14"/>
        <v/>
      </c>
      <c r="AG259" s="2" t="str">
        <f>IF($L259="","",IF(COUNTIF(LISTS!$A$2:$A$200,$H259)=0,"NEW",""))</f>
        <v/>
      </c>
    </row>
    <row r="260" spans="30:33" x14ac:dyDescent="0.25">
      <c r="AD260" s="2" t="str">
        <f t="shared" si="12"/>
        <v/>
      </c>
      <c r="AE260" s="2" t="str">
        <f t="shared" si="13"/>
        <v/>
      </c>
      <c r="AF260" s="2" t="str">
        <f t="shared" si="14"/>
        <v/>
      </c>
      <c r="AG260" s="2" t="str">
        <f>IF($L260="","",IF(COUNTIF(LISTS!$A$2:$A$200,$H260)=0,"NEW",""))</f>
        <v/>
      </c>
    </row>
    <row r="261" spans="30:33" x14ac:dyDescent="0.25">
      <c r="AD261" s="2" t="str">
        <f t="shared" si="12"/>
        <v/>
      </c>
      <c r="AE261" s="2" t="str">
        <f t="shared" si="13"/>
        <v/>
      </c>
      <c r="AF261" s="2" t="str">
        <f t="shared" si="14"/>
        <v/>
      </c>
      <c r="AG261" s="2" t="str">
        <f>IF($L261="","",IF(COUNTIF(LISTS!$A$2:$A$200,$H261)=0,"NEW",""))</f>
        <v/>
      </c>
    </row>
    <row r="262" spans="30:33" x14ac:dyDescent="0.25">
      <c r="AD262" s="2" t="str">
        <f t="shared" si="12"/>
        <v/>
      </c>
      <c r="AE262" s="2" t="str">
        <f t="shared" si="13"/>
        <v/>
      </c>
      <c r="AF262" s="2" t="str">
        <f t="shared" si="14"/>
        <v/>
      </c>
      <c r="AG262" s="2" t="str">
        <f>IF($L262="","",IF(COUNTIF(LISTS!$A$2:$A$200,$H262)=0,"NEW",""))</f>
        <v/>
      </c>
    </row>
    <row r="263" spans="30:33" x14ac:dyDescent="0.25">
      <c r="AD263" s="2" t="str">
        <f t="shared" si="12"/>
        <v/>
      </c>
      <c r="AE263" s="2" t="str">
        <f t="shared" si="13"/>
        <v/>
      </c>
      <c r="AF263" s="2" t="str">
        <f t="shared" si="14"/>
        <v/>
      </c>
      <c r="AG263" s="2" t="str">
        <f>IF($L263="","",IF(COUNTIF(LISTS!$A$2:$A$200,$H263)=0,"NEW",""))</f>
        <v/>
      </c>
    </row>
    <row r="264" spans="30:33" x14ac:dyDescent="0.25">
      <c r="AD264" s="2" t="str">
        <f t="shared" si="12"/>
        <v/>
      </c>
      <c r="AE264" s="2" t="str">
        <f t="shared" si="13"/>
        <v/>
      </c>
      <c r="AF264" s="2" t="str">
        <f t="shared" si="14"/>
        <v/>
      </c>
      <c r="AG264" s="2" t="str">
        <f>IF($L264="","",IF(COUNTIF(LISTS!$A$2:$A$200,$H264)=0,"NEW",""))</f>
        <v/>
      </c>
    </row>
    <row r="265" spans="30:33" x14ac:dyDescent="0.25">
      <c r="AD265" s="2" t="str">
        <f t="shared" si="12"/>
        <v/>
      </c>
      <c r="AE265" s="2" t="str">
        <f t="shared" si="13"/>
        <v/>
      </c>
      <c r="AF265" s="2" t="str">
        <f t="shared" si="14"/>
        <v/>
      </c>
      <c r="AG265" s="2" t="str">
        <f>IF($L265="","",IF(COUNTIF(LISTS!$A$2:$A$200,$H265)=0,"NEW",""))</f>
        <v/>
      </c>
    </row>
    <row r="266" spans="30:33" x14ac:dyDescent="0.25">
      <c r="AD266" s="2" t="str">
        <f t="shared" si="12"/>
        <v/>
      </c>
      <c r="AE266" s="2" t="str">
        <f t="shared" si="13"/>
        <v/>
      </c>
      <c r="AF266" s="2" t="str">
        <f t="shared" si="14"/>
        <v/>
      </c>
      <c r="AG266" s="2" t="str">
        <f>IF($L266="","",IF(COUNTIF(LISTS!$A$2:$A$200,$H266)=0,"NEW",""))</f>
        <v/>
      </c>
    </row>
    <row r="267" spans="30:33" x14ac:dyDescent="0.25">
      <c r="AD267" s="2" t="str">
        <f t="shared" si="12"/>
        <v/>
      </c>
      <c r="AE267" s="2" t="str">
        <f t="shared" si="13"/>
        <v/>
      </c>
      <c r="AF267" s="2" t="str">
        <f t="shared" si="14"/>
        <v/>
      </c>
      <c r="AG267" s="2" t="str">
        <f>IF($L267="","",IF(COUNTIF(LISTS!$A$2:$A$200,$H267)=0,"NEW",""))</f>
        <v/>
      </c>
    </row>
    <row r="268" spans="30:33" x14ac:dyDescent="0.25">
      <c r="AD268" s="2" t="str">
        <f t="shared" si="12"/>
        <v/>
      </c>
      <c r="AE268" s="2" t="str">
        <f t="shared" si="13"/>
        <v/>
      </c>
      <c r="AF268" s="2" t="str">
        <f t="shared" si="14"/>
        <v/>
      </c>
      <c r="AG268" s="2" t="str">
        <f>IF($L268="","",IF(COUNTIF(LISTS!$A$2:$A$200,$H268)=0,"NEW",""))</f>
        <v/>
      </c>
    </row>
    <row r="269" spans="30:33" x14ac:dyDescent="0.25">
      <c r="AD269" s="2" t="str">
        <f t="shared" si="12"/>
        <v/>
      </c>
      <c r="AE269" s="2" t="str">
        <f t="shared" si="13"/>
        <v/>
      </c>
      <c r="AF269" s="2" t="str">
        <f t="shared" si="14"/>
        <v/>
      </c>
      <c r="AG269" s="2" t="str">
        <f>IF($L269="","",IF(COUNTIF(LISTS!$A$2:$A$200,$H269)=0,"NEW",""))</f>
        <v/>
      </c>
    </row>
    <row r="270" spans="30:33" x14ac:dyDescent="0.25">
      <c r="AD270" s="2" t="str">
        <f t="shared" si="12"/>
        <v/>
      </c>
      <c r="AE270" s="2" t="str">
        <f t="shared" si="13"/>
        <v/>
      </c>
      <c r="AF270" s="2" t="str">
        <f t="shared" si="14"/>
        <v/>
      </c>
      <c r="AG270" s="2" t="str">
        <f>IF($L270="","",IF(COUNTIF(LISTS!$A$2:$A$200,$H270)=0,"NEW",""))</f>
        <v/>
      </c>
    </row>
    <row r="271" spans="30:33" x14ac:dyDescent="0.25">
      <c r="AD271" s="2" t="str">
        <f t="shared" si="12"/>
        <v/>
      </c>
      <c r="AE271" s="2" t="str">
        <f t="shared" si="13"/>
        <v/>
      </c>
      <c r="AF271" s="2" t="str">
        <f t="shared" si="14"/>
        <v/>
      </c>
      <c r="AG271" s="2" t="str">
        <f>IF($L271="","",IF(COUNTIF(LISTS!$A$2:$A$200,$H271)=0,"NEW",""))</f>
        <v/>
      </c>
    </row>
    <row r="272" spans="30:33" x14ac:dyDescent="0.25">
      <c r="AD272" s="2" t="str">
        <f t="shared" si="12"/>
        <v/>
      </c>
      <c r="AE272" s="2" t="str">
        <f t="shared" si="13"/>
        <v/>
      </c>
      <c r="AF272" s="2" t="str">
        <f t="shared" si="14"/>
        <v/>
      </c>
      <c r="AG272" s="2" t="str">
        <f>IF($L272="","",IF(COUNTIF(LISTS!$A$2:$A$200,$H272)=0,"NEW",""))</f>
        <v/>
      </c>
    </row>
    <row r="273" spans="30:33" x14ac:dyDescent="0.25">
      <c r="AD273" s="2" t="str">
        <f t="shared" si="12"/>
        <v/>
      </c>
      <c r="AE273" s="2" t="str">
        <f t="shared" si="13"/>
        <v/>
      </c>
      <c r="AF273" s="2" t="str">
        <f t="shared" si="14"/>
        <v/>
      </c>
      <c r="AG273" s="2" t="str">
        <f>IF($L273="","",IF(COUNTIF(LISTS!$A$2:$A$200,$H273)=0,"NEW",""))</f>
        <v/>
      </c>
    </row>
    <row r="274" spans="30:33" x14ac:dyDescent="0.25">
      <c r="AD274" s="2" t="str">
        <f t="shared" si="12"/>
        <v/>
      </c>
      <c r="AE274" s="2" t="str">
        <f t="shared" si="13"/>
        <v/>
      </c>
      <c r="AF274" s="2" t="str">
        <f t="shared" si="14"/>
        <v/>
      </c>
      <c r="AG274" s="2" t="str">
        <f>IF($L274="","",IF(COUNTIF(LISTS!$A$2:$A$200,$H274)=0,"NEW",""))</f>
        <v/>
      </c>
    </row>
    <row r="275" spans="30:33" x14ac:dyDescent="0.25">
      <c r="AD275" s="2" t="str">
        <f t="shared" si="12"/>
        <v/>
      </c>
      <c r="AE275" s="2" t="str">
        <f t="shared" si="13"/>
        <v/>
      </c>
      <c r="AF275" s="2" t="str">
        <f t="shared" si="14"/>
        <v/>
      </c>
      <c r="AG275" s="2" t="str">
        <f>IF($L275="","",IF(COUNTIF(LISTS!$A$2:$A$200,$H275)=0,"NEW",""))</f>
        <v/>
      </c>
    </row>
    <row r="276" spans="30:33" x14ac:dyDescent="0.25">
      <c r="AD276" s="2" t="str">
        <f t="shared" si="12"/>
        <v/>
      </c>
      <c r="AE276" s="2" t="str">
        <f t="shared" si="13"/>
        <v/>
      </c>
      <c r="AF276" s="2" t="str">
        <f t="shared" si="14"/>
        <v/>
      </c>
      <c r="AG276" s="2" t="str">
        <f>IF($L276="","",IF(COUNTIF(LISTS!$A$2:$A$200,$H276)=0,"NEW",""))</f>
        <v/>
      </c>
    </row>
    <row r="277" spans="30:33" x14ac:dyDescent="0.25">
      <c r="AD277" s="2" t="str">
        <f t="shared" si="12"/>
        <v/>
      </c>
      <c r="AE277" s="2" t="str">
        <f t="shared" si="13"/>
        <v/>
      </c>
      <c r="AF277" s="2" t="str">
        <f t="shared" si="14"/>
        <v/>
      </c>
      <c r="AG277" s="2" t="str">
        <f>IF($L277="","",IF(COUNTIF(LISTS!$A$2:$A$200,$H277)=0,"NEW",""))</f>
        <v/>
      </c>
    </row>
    <row r="278" spans="30:33" x14ac:dyDescent="0.25">
      <c r="AD278" s="2" t="str">
        <f t="shared" si="12"/>
        <v/>
      </c>
      <c r="AE278" s="2" t="str">
        <f t="shared" si="13"/>
        <v/>
      </c>
      <c r="AF278" s="2" t="str">
        <f t="shared" si="14"/>
        <v/>
      </c>
      <c r="AG278" s="2" t="str">
        <f>IF($L278="","",IF(COUNTIF(LISTS!$A$2:$A$200,$H278)=0,"NEW",""))</f>
        <v/>
      </c>
    </row>
    <row r="279" spans="30:33" x14ac:dyDescent="0.25">
      <c r="AD279" s="2" t="str">
        <f t="shared" si="12"/>
        <v/>
      </c>
      <c r="AE279" s="2" t="str">
        <f t="shared" si="13"/>
        <v/>
      </c>
      <c r="AF279" s="2" t="str">
        <f t="shared" si="14"/>
        <v/>
      </c>
      <c r="AG279" s="2" t="str">
        <f>IF($L279="","",IF(COUNTIF(LISTS!$A$2:$A$200,$H279)=0,"NEW",""))</f>
        <v/>
      </c>
    </row>
    <row r="280" spans="30:33" x14ac:dyDescent="0.25">
      <c r="AD280" s="2" t="str">
        <f t="shared" si="12"/>
        <v/>
      </c>
      <c r="AE280" s="2" t="str">
        <f t="shared" si="13"/>
        <v/>
      </c>
      <c r="AF280" s="2" t="str">
        <f t="shared" si="14"/>
        <v/>
      </c>
      <c r="AG280" s="2" t="str">
        <f>IF($L280="","",IF(COUNTIF(LISTS!$A$2:$A$200,$H280)=0,"NEW",""))</f>
        <v/>
      </c>
    </row>
    <row r="281" spans="30:33" x14ac:dyDescent="0.25">
      <c r="AD281" s="2" t="str">
        <f t="shared" si="12"/>
        <v/>
      </c>
      <c r="AE281" s="2" t="str">
        <f t="shared" si="13"/>
        <v/>
      </c>
      <c r="AF281" s="2" t="str">
        <f t="shared" si="14"/>
        <v/>
      </c>
      <c r="AG281" s="2" t="str">
        <f>IF($L281="","",IF(COUNTIF(LISTS!$A$2:$A$200,$H281)=0,"NEW",""))</f>
        <v/>
      </c>
    </row>
    <row r="282" spans="30:33" x14ac:dyDescent="0.25">
      <c r="AD282" s="2" t="str">
        <f t="shared" si="12"/>
        <v/>
      </c>
      <c r="AE282" s="2" t="str">
        <f t="shared" si="13"/>
        <v/>
      </c>
      <c r="AF282" s="2" t="str">
        <f t="shared" si="14"/>
        <v/>
      </c>
      <c r="AG282" s="2" t="str">
        <f>IF($L282="","",IF(COUNTIF(LISTS!$A$2:$A$200,$H282)=0,"NEW",""))</f>
        <v/>
      </c>
    </row>
    <row r="283" spans="30:33" x14ac:dyDescent="0.25">
      <c r="AD283" s="2" t="str">
        <f t="shared" si="12"/>
        <v/>
      </c>
      <c r="AE283" s="2" t="str">
        <f t="shared" si="13"/>
        <v/>
      </c>
      <c r="AF283" s="2" t="str">
        <f t="shared" si="14"/>
        <v/>
      </c>
      <c r="AG283" s="2" t="str">
        <f>IF($L283="","",IF(COUNTIF(LISTS!$A$2:$A$200,$H283)=0,"NEW",""))</f>
        <v/>
      </c>
    </row>
    <row r="284" spans="30:33" x14ac:dyDescent="0.25">
      <c r="AD284" s="2" t="str">
        <f t="shared" si="12"/>
        <v/>
      </c>
      <c r="AE284" s="2" t="str">
        <f t="shared" si="13"/>
        <v/>
      </c>
      <c r="AF284" s="2" t="str">
        <f t="shared" si="14"/>
        <v/>
      </c>
      <c r="AG284" s="2" t="str">
        <f>IF($L284="","",IF(COUNTIF(LISTS!$A$2:$A$200,$H284)=0,"NEW",""))</f>
        <v/>
      </c>
    </row>
    <row r="285" spans="30:33" x14ac:dyDescent="0.25">
      <c r="AD285" s="2" t="str">
        <f t="shared" si="12"/>
        <v/>
      </c>
      <c r="AE285" s="2" t="str">
        <f t="shared" si="13"/>
        <v/>
      </c>
      <c r="AF285" s="2" t="str">
        <f t="shared" si="14"/>
        <v/>
      </c>
      <c r="AG285" s="2" t="str">
        <f>IF($L285="","",IF(COUNTIF(LISTS!$A$2:$A$200,$H285)=0,"NEW",""))</f>
        <v/>
      </c>
    </row>
    <row r="286" spans="30:33" x14ac:dyDescent="0.25">
      <c r="AD286" s="2" t="str">
        <f t="shared" si="12"/>
        <v/>
      </c>
      <c r="AE286" s="2" t="str">
        <f t="shared" si="13"/>
        <v/>
      </c>
      <c r="AF286" s="2" t="str">
        <f t="shared" si="14"/>
        <v/>
      </c>
      <c r="AG286" s="2" t="str">
        <f>IF($L286="","",IF(COUNTIF(LISTS!$A$2:$A$200,$H286)=0,"NEW",""))</f>
        <v/>
      </c>
    </row>
    <row r="287" spans="30:33" x14ac:dyDescent="0.25">
      <c r="AD287" s="2" t="str">
        <f t="shared" si="12"/>
        <v/>
      </c>
      <c r="AE287" s="2" t="str">
        <f t="shared" si="13"/>
        <v/>
      </c>
      <c r="AF287" s="2" t="str">
        <f t="shared" si="14"/>
        <v/>
      </c>
      <c r="AG287" s="2" t="str">
        <f>IF($L287="","",IF(COUNTIF(LISTS!$A$2:$A$200,$H287)=0,"NEW",""))</f>
        <v/>
      </c>
    </row>
    <row r="288" spans="30:33" x14ac:dyDescent="0.25">
      <c r="AD288" s="2" t="str">
        <f t="shared" si="12"/>
        <v/>
      </c>
      <c r="AE288" s="2" t="str">
        <f t="shared" si="13"/>
        <v/>
      </c>
      <c r="AF288" s="2" t="str">
        <f t="shared" si="14"/>
        <v/>
      </c>
      <c r="AG288" s="2" t="str">
        <f>IF($L288="","",IF(COUNTIF(LISTS!$A$2:$A$200,$H288)=0,"NEW",""))</f>
        <v/>
      </c>
    </row>
    <row r="289" spans="30:33" x14ac:dyDescent="0.25">
      <c r="AD289" s="2" t="str">
        <f t="shared" si="12"/>
        <v/>
      </c>
      <c r="AE289" s="2" t="str">
        <f t="shared" si="13"/>
        <v/>
      </c>
      <c r="AF289" s="2" t="str">
        <f t="shared" si="14"/>
        <v/>
      </c>
      <c r="AG289" s="2" t="str">
        <f>IF($L289="","",IF(COUNTIF(LISTS!$A$2:$A$200,$H289)=0,"NEW",""))</f>
        <v/>
      </c>
    </row>
    <row r="290" spans="30:33" x14ac:dyDescent="0.25">
      <c r="AD290" s="2" t="str">
        <f t="shared" si="12"/>
        <v/>
      </c>
      <c r="AE290" s="2" t="str">
        <f t="shared" si="13"/>
        <v/>
      </c>
      <c r="AF290" s="2" t="str">
        <f t="shared" si="14"/>
        <v/>
      </c>
      <c r="AG290" s="2" t="str">
        <f>IF($L290="","",IF(COUNTIF(LISTS!$A$2:$A$200,$H290)=0,"NEW",""))</f>
        <v/>
      </c>
    </row>
    <row r="291" spans="30:33" x14ac:dyDescent="0.25">
      <c r="AD291" s="2" t="str">
        <f t="shared" si="12"/>
        <v/>
      </c>
      <c r="AE291" s="2" t="str">
        <f t="shared" si="13"/>
        <v/>
      </c>
      <c r="AF291" s="2" t="str">
        <f t="shared" si="14"/>
        <v/>
      </c>
      <c r="AG291" s="2" t="str">
        <f>IF($L291="","",IF(COUNTIF(LISTS!$A$2:$A$200,$H291)=0,"NEW",""))</f>
        <v/>
      </c>
    </row>
    <row r="292" spans="30:33" x14ac:dyDescent="0.25">
      <c r="AD292" s="2" t="str">
        <f t="shared" si="12"/>
        <v/>
      </c>
      <c r="AE292" s="2" t="str">
        <f t="shared" si="13"/>
        <v/>
      </c>
      <c r="AF292" s="2" t="str">
        <f t="shared" si="14"/>
        <v/>
      </c>
      <c r="AG292" s="2" t="str">
        <f>IF($L292="","",IF(COUNTIF(LISTS!$A$2:$A$200,$H292)=0,"NEW",""))</f>
        <v/>
      </c>
    </row>
    <row r="293" spans="30:33" x14ac:dyDescent="0.25">
      <c r="AD293" s="2" t="str">
        <f t="shared" si="12"/>
        <v/>
      </c>
      <c r="AE293" s="2" t="str">
        <f t="shared" si="13"/>
        <v/>
      </c>
      <c r="AF293" s="2" t="str">
        <f t="shared" si="14"/>
        <v/>
      </c>
      <c r="AG293" s="2" t="str">
        <f>IF($L293="","",IF(COUNTIF(LISTS!$A$2:$A$200,$H293)=0,"NEW",""))</f>
        <v/>
      </c>
    </row>
    <row r="294" spans="30:33" x14ac:dyDescent="0.25">
      <c r="AD294" s="2" t="str">
        <f t="shared" si="12"/>
        <v/>
      </c>
      <c r="AE294" s="2" t="str">
        <f t="shared" si="13"/>
        <v/>
      </c>
      <c r="AF294" s="2" t="str">
        <f t="shared" si="14"/>
        <v/>
      </c>
      <c r="AG294" s="2" t="str">
        <f>IF($L294="","",IF(COUNTIF(LISTS!$A$2:$A$200,$H294)=0,"NEW",""))</f>
        <v/>
      </c>
    </row>
    <row r="295" spans="30:33" x14ac:dyDescent="0.25">
      <c r="AD295" s="2" t="str">
        <f t="shared" si="12"/>
        <v/>
      </c>
      <c r="AE295" s="2" t="str">
        <f t="shared" si="13"/>
        <v/>
      </c>
      <c r="AF295" s="2" t="str">
        <f t="shared" si="14"/>
        <v/>
      </c>
      <c r="AG295" s="2" t="str">
        <f>IF($L295="","",IF(COUNTIF(LISTS!$A$2:$A$200,$H295)=0,"NEW",""))</f>
        <v/>
      </c>
    </row>
    <row r="296" spans="30:33" x14ac:dyDescent="0.25">
      <c r="AD296" s="2" t="str">
        <f t="shared" si="12"/>
        <v/>
      </c>
      <c r="AE296" s="2" t="str">
        <f t="shared" si="13"/>
        <v/>
      </c>
      <c r="AF296" s="2" t="str">
        <f t="shared" si="14"/>
        <v/>
      </c>
      <c r="AG296" s="2" t="str">
        <f>IF($L296="","",IF(COUNTIF(LISTS!$A$2:$A$200,$H296)=0,"NEW",""))</f>
        <v/>
      </c>
    </row>
    <row r="297" spans="30:33" x14ac:dyDescent="0.25">
      <c r="AD297" s="2" t="str">
        <f t="shared" si="12"/>
        <v/>
      </c>
      <c r="AE297" s="2" t="str">
        <f t="shared" si="13"/>
        <v/>
      </c>
      <c r="AF297" s="2" t="str">
        <f t="shared" si="14"/>
        <v/>
      </c>
      <c r="AG297" s="2" t="str">
        <f>IF($L297="","",IF(COUNTIF(LISTS!$A$2:$A$200,$H297)=0,"NEW",""))</f>
        <v/>
      </c>
    </row>
    <row r="298" spans="30:33" x14ac:dyDescent="0.25">
      <c r="AD298" s="2" t="str">
        <f t="shared" si="12"/>
        <v/>
      </c>
      <c r="AE298" s="2" t="str">
        <f t="shared" si="13"/>
        <v/>
      </c>
      <c r="AF298" s="2" t="str">
        <f t="shared" si="14"/>
        <v/>
      </c>
      <c r="AG298" s="2" t="str">
        <f>IF($L298="","",IF(COUNTIF(LISTS!$A$2:$A$200,$H298)=0,"NEW",""))</f>
        <v/>
      </c>
    </row>
    <row r="299" spans="30:33" x14ac:dyDescent="0.25">
      <c r="AD299" s="2" t="str">
        <f t="shared" si="12"/>
        <v/>
      </c>
      <c r="AE299" s="2" t="str">
        <f t="shared" si="13"/>
        <v/>
      </c>
      <c r="AF299" s="2" t="str">
        <f t="shared" si="14"/>
        <v/>
      </c>
      <c r="AG299" s="2" t="str">
        <f>IF($L299="","",IF(COUNTIF(LISTS!$A$2:$A$200,$H299)=0,"NEW",""))</f>
        <v/>
      </c>
    </row>
    <row r="300" spans="30:33" x14ac:dyDescent="0.25">
      <c r="AD300" s="2" t="str">
        <f t="shared" si="12"/>
        <v/>
      </c>
      <c r="AE300" s="2" t="str">
        <f t="shared" si="13"/>
        <v/>
      </c>
      <c r="AF300" s="2" t="str">
        <f t="shared" si="14"/>
        <v/>
      </c>
      <c r="AG300" s="2" t="str">
        <f>IF($L300="","",IF(COUNTIF(LISTS!$A$2:$A$200,$H300)=0,"NEW",""))</f>
        <v/>
      </c>
    </row>
    <row r="301" spans="30:33" x14ac:dyDescent="0.25">
      <c r="AD301" s="2" t="str">
        <f t="shared" si="12"/>
        <v/>
      </c>
      <c r="AE301" s="2" t="str">
        <f t="shared" si="13"/>
        <v/>
      </c>
      <c r="AF301" s="2" t="str">
        <f t="shared" si="14"/>
        <v/>
      </c>
      <c r="AG301" s="2" t="str">
        <f>IF($L301="","",IF(COUNTIF(LISTS!$A$2:$A$200,$H301)=0,"NEW",""))</f>
        <v/>
      </c>
    </row>
    <row r="302" spans="30:33" x14ac:dyDescent="0.25">
      <c r="AD302" s="2" t="str">
        <f t="shared" si="12"/>
        <v/>
      </c>
      <c r="AE302" s="2" t="str">
        <f t="shared" si="13"/>
        <v/>
      </c>
      <c r="AF302" s="2" t="str">
        <f t="shared" si="14"/>
        <v/>
      </c>
      <c r="AG302" s="2" t="str">
        <f>IF($L302="","",IF(COUNTIF(LISTS!$A$2:$A$200,$H302)=0,"NEW",""))</f>
        <v/>
      </c>
    </row>
    <row r="303" spans="30:33" x14ac:dyDescent="0.25">
      <c r="AD303" s="2" t="str">
        <f t="shared" si="12"/>
        <v/>
      </c>
      <c r="AE303" s="2" t="str">
        <f t="shared" si="13"/>
        <v/>
      </c>
      <c r="AF303" s="2" t="str">
        <f t="shared" si="14"/>
        <v/>
      </c>
      <c r="AG303" s="2" t="str">
        <f>IF($L303="","",IF(COUNTIF(LISTS!$A$2:$A$200,$H303)=0,"NEW",""))</f>
        <v/>
      </c>
    </row>
    <row r="304" spans="30:33" x14ac:dyDescent="0.25">
      <c r="AD304" s="2" t="str">
        <f t="shared" si="12"/>
        <v/>
      </c>
      <c r="AE304" s="2" t="str">
        <f t="shared" si="13"/>
        <v/>
      </c>
      <c r="AF304" s="2" t="str">
        <f t="shared" si="14"/>
        <v/>
      </c>
      <c r="AG304" s="2" t="str">
        <f>IF($L304="","",IF(COUNTIF(LISTS!$A$2:$A$200,$H304)=0,"NEW",""))</f>
        <v/>
      </c>
    </row>
    <row r="305" spans="30:33" x14ac:dyDescent="0.25">
      <c r="AD305" s="2" t="str">
        <f t="shared" si="12"/>
        <v/>
      </c>
      <c r="AE305" s="2" t="str">
        <f t="shared" si="13"/>
        <v/>
      </c>
      <c r="AF305" s="2" t="str">
        <f t="shared" si="14"/>
        <v/>
      </c>
      <c r="AG305" s="2" t="str">
        <f>IF($L305="","",IF(COUNTIF(LISTS!$A$2:$A$200,$H305)=0,"NEW",""))</f>
        <v/>
      </c>
    </row>
    <row r="306" spans="30:33" x14ac:dyDescent="0.25">
      <c r="AD306" s="2" t="str">
        <f t="shared" si="12"/>
        <v/>
      </c>
      <c r="AE306" s="2" t="str">
        <f t="shared" si="13"/>
        <v/>
      </c>
      <c r="AF306" s="2" t="str">
        <f t="shared" si="14"/>
        <v/>
      </c>
      <c r="AG306" s="2" t="str">
        <f>IF($L306="","",IF(COUNTIF(LISTS!$A$2:$A$200,$H306)=0,"NEW",""))</f>
        <v/>
      </c>
    </row>
    <row r="307" spans="30:33" x14ac:dyDescent="0.25">
      <c r="AD307" s="2" t="str">
        <f t="shared" si="12"/>
        <v/>
      </c>
      <c r="AE307" s="2" t="str">
        <f t="shared" si="13"/>
        <v/>
      </c>
      <c r="AF307" s="2" t="str">
        <f t="shared" si="14"/>
        <v/>
      </c>
      <c r="AG307" s="2" t="str">
        <f>IF($L307="","",IF(COUNTIF(LISTS!$A$2:$A$200,$H307)=0,"NEW",""))</f>
        <v/>
      </c>
    </row>
    <row r="308" spans="30:33" x14ac:dyDescent="0.25">
      <c r="AD308" s="2" t="str">
        <f t="shared" si="12"/>
        <v/>
      </c>
      <c r="AE308" s="2" t="str">
        <f t="shared" si="13"/>
        <v/>
      </c>
      <c r="AF308" s="2" t="str">
        <f t="shared" si="14"/>
        <v/>
      </c>
      <c r="AG308" s="2" t="str">
        <f>IF($L308="","",IF(COUNTIF(LISTS!$A$2:$A$200,$H308)=0,"NEW",""))</f>
        <v/>
      </c>
    </row>
    <row r="309" spans="30:33" x14ac:dyDescent="0.25">
      <c r="AD309" s="2" t="str">
        <f t="shared" si="12"/>
        <v/>
      </c>
      <c r="AE309" s="2" t="str">
        <f t="shared" si="13"/>
        <v/>
      </c>
      <c r="AF309" s="2" t="str">
        <f t="shared" si="14"/>
        <v/>
      </c>
      <c r="AG309" s="2" t="str">
        <f>IF($L309="","",IF(COUNTIF(LISTS!$A$2:$A$200,$H309)=0,"NEW",""))</f>
        <v/>
      </c>
    </row>
    <row r="310" spans="30:33" x14ac:dyDescent="0.25">
      <c r="AD310" s="2" t="str">
        <f t="shared" si="12"/>
        <v/>
      </c>
      <c r="AE310" s="2" t="str">
        <f t="shared" si="13"/>
        <v/>
      </c>
      <c r="AF310" s="2" t="str">
        <f t="shared" si="14"/>
        <v/>
      </c>
      <c r="AG310" s="2" t="str">
        <f>IF($L310="","",IF(COUNTIF(LISTS!$A$2:$A$200,$H310)=0,"NEW",""))</f>
        <v/>
      </c>
    </row>
    <row r="311" spans="30:33" x14ac:dyDescent="0.25">
      <c r="AD311" s="2" t="str">
        <f t="shared" si="12"/>
        <v/>
      </c>
      <c r="AE311" s="2" t="str">
        <f t="shared" si="13"/>
        <v/>
      </c>
      <c r="AF311" s="2" t="str">
        <f t="shared" si="14"/>
        <v/>
      </c>
      <c r="AG311" s="2" t="str">
        <f>IF($L311="","",IF(COUNTIF(LISTS!$A$2:$A$200,$H311)=0,"NEW",""))</f>
        <v/>
      </c>
    </row>
    <row r="312" spans="30:33" x14ac:dyDescent="0.25">
      <c r="AD312" s="2" t="str">
        <f t="shared" si="12"/>
        <v/>
      </c>
      <c r="AE312" s="2" t="str">
        <f t="shared" si="13"/>
        <v/>
      </c>
      <c r="AF312" s="2" t="str">
        <f t="shared" si="14"/>
        <v/>
      </c>
      <c r="AG312" s="2" t="str">
        <f>IF($L312="","",IF(COUNTIF(LISTS!$A$2:$A$200,$H312)=0,"NEW",""))</f>
        <v/>
      </c>
    </row>
    <row r="313" spans="30:33" x14ac:dyDescent="0.25">
      <c r="AD313" s="2" t="str">
        <f t="shared" si="12"/>
        <v/>
      </c>
      <c r="AE313" s="2" t="str">
        <f t="shared" si="13"/>
        <v/>
      </c>
      <c r="AF313" s="2" t="str">
        <f t="shared" si="14"/>
        <v/>
      </c>
      <c r="AG313" s="2" t="str">
        <f>IF($L313="","",IF(COUNTIF(LISTS!$A$2:$A$200,$H313)=0,"NEW",""))</f>
        <v/>
      </c>
    </row>
    <row r="314" spans="30:33" x14ac:dyDescent="0.25">
      <c r="AD314" s="2" t="str">
        <f t="shared" si="12"/>
        <v/>
      </c>
      <c r="AE314" s="2" t="str">
        <f t="shared" si="13"/>
        <v/>
      </c>
      <c r="AF314" s="2" t="str">
        <f t="shared" si="14"/>
        <v/>
      </c>
      <c r="AG314" s="2" t="str">
        <f>IF($L314="","",IF(COUNTIF(LISTS!$A$2:$A$200,$H314)=0,"NEW",""))</f>
        <v/>
      </c>
    </row>
    <row r="315" spans="30:33" x14ac:dyDescent="0.25">
      <c r="AD315" s="2" t="str">
        <f t="shared" si="12"/>
        <v/>
      </c>
      <c r="AE315" s="2" t="str">
        <f t="shared" si="13"/>
        <v/>
      </c>
      <c r="AF315" s="2" t="str">
        <f t="shared" si="14"/>
        <v/>
      </c>
      <c r="AG315" s="2" t="str">
        <f>IF($L315="","",IF(COUNTIF(LISTS!$A$2:$A$200,$H315)=0,"NEW",""))</f>
        <v/>
      </c>
    </row>
    <row r="316" spans="30:33" x14ac:dyDescent="0.25">
      <c r="AD316" s="2" t="str">
        <f t="shared" si="12"/>
        <v/>
      </c>
      <c r="AE316" s="2" t="str">
        <f t="shared" si="13"/>
        <v/>
      </c>
      <c r="AF316" s="2" t="str">
        <f t="shared" si="14"/>
        <v/>
      </c>
      <c r="AG316" s="2" t="str">
        <f>IF($L316="","",IF(COUNTIF(LISTS!$A$2:$A$200,$H316)=0,"NEW",""))</f>
        <v/>
      </c>
    </row>
    <row r="317" spans="30:33" x14ac:dyDescent="0.25">
      <c r="AD317" s="2" t="str">
        <f t="shared" si="12"/>
        <v/>
      </c>
      <c r="AE317" s="2" t="str">
        <f t="shared" si="13"/>
        <v/>
      </c>
      <c r="AF317" s="2" t="str">
        <f t="shared" si="14"/>
        <v/>
      </c>
      <c r="AG317" s="2" t="str">
        <f>IF($L317="","",IF(COUNTIF(LISTS!$A$2:$A$200,$H317)=0,"NEW",""))</f>
        <v/>
      </c>
    </row>
    <row r="318" spans="30:33" x14ac:dyDescent="0.25">
      <c r="AD318" s="2" t="str">
        <f t="shared" si="12"/>
        <v/>
      </c>
      <c r="AE318" s="2" t="str">
        <f t="shared" si="13"/>
        <v/>
      </c>
      <c r="AF318" s="2" t="str">
        <f t="shared" si="14"/>
        <v/>
      </c>
      <c r="AG318" s="2" t="str">
        <f>IF($L318="","",IF(COUNTIF(LISTS!$A$2:$A$200,$H318)=0,"NEW",""))</f>
        <v/>
      </c>
    </row>
    <row r="319" spans="30:33" x14ac:dyDescent="0.25">
      <c r="AD319" s="2" t="str">
        <f t="shared" si="12"/>
        <v/>
      </c>
      <c r="AE319" s="2" t="str">
        <f t="shared" si="13"/>
        <v/>
      </c>
      <c r="AF319" s="2" t="str">
        <f t="shared" si="14"/>
        <v/>
      </c>
      <c r="AG319" s="2" t="str">
        <f>IF($L319="","",IF(COUNTIF(LISTS!$A$2:$A$200,$H319)=0,"NEW",""))</f>
        <v/>
      </c>
    </row>
    <row r="320" spans="30:33" x14ac:dyDescent="0.25">
      <c r="AD320" s="2" t="str">
        <f t="shared" si="12"/>
        <v/>
      </c>
      <c r="AE320" s="2" t="str">
        <f t="shared" si="13"/>
        <v/>
      </c>
      <c r="AF320" s="2" t="str">
        <f t="shared" si="14"/>
        <v/>
      </c>
      <c r="AG320" s="2" t="str">
        <f>IF($L320="","",IF(COUNTIF(LISTS!$A$2:$A$200,$H320)=0,"NEW",""))</f>
        <v/>
      </c>
    </row>
    <row r="321" spans="30:33" x14ac:dyDescent="0.25">
      <c r="AD321" s="2" t="str">
        <f t="shared" si="12"/>
        <v/>
      </c>
      <c r="AE321" s="2" t="str">
        <f t="shared" si="13"/>
        <v/>
      </c>
      <c r="AF321" s="2" t="str">
        <f t="shared" si="14"/>
        <v/>
      </c>
      <c r="AG321" s="2" t="str">
        <f>IF($L321="","",IF(COUNTIF(LISTS!$A$2:$A$200,$H321)=0,"NEW",""))</f>
        <v/>
      </c>
    </row>
    <row r="322" spans="30:33" x14ac:dyDescent="0.25">
      <c r="AD322" s="2" t="str">
        <f t="shared" ref="AD322:AD385" si="15">IF($L322="","",IF(ISNUMBER(SEARCH("OFF ROAD",$H322)),"OFF",IF(ISNUMBER(SEARCH("ON ROAD",$H322)),"ON","")))</f>
        <v/>
      </c>
      <c r="AE322" s="2" t="str">
        <f t="shared" ref="AE322:AE385" si="16">IF($AD322="ON",""&amp;$L322,"")</f>
        <v/>
      </c>
      <c r="AF322" s="2" t="str">
        <f t="shared" ref="AF322:AF385" si="17">IF($L322="","",IF($J322&lt;&gt;"","Y",""))</f>
        <v/>
      </c>
      <c r="AG322" s="2" t="str">
        <f>IF($L322="","",IF(COUNTIF(LISTS!$A$2:$A$200,$H322)=0,"NEW",""))</f>
        <v/>
      </c>
    </row>
    <row r="323" spans="30:33" x14ac:dyDescent="0.25">
      <c r="AD323" s="2" t="str">
        <f t="shared" si="15"/>
        <v/>
      </c>
      <c r="AE323" s="2" t="str">
        <f t="shared" si="16"/>
        <v/>
      </c>
      <c r="AF323" s="2" t="str">
        <f t="shared" si="17"/>
        <v/>
      </c>
      <c r="AG323" s="2" t="str">
        <f>IF($L323="","",IF(COUNTIF(LISTS!$A$2:$A$200,$H323)=0,"NEW",""))</f>
        <v/>
      </c>
    </row>
    <row r="324" spans="30:33" x14ac:dyDescent="0.25">
      <c r="AD324" s="2" t="str">
        <f t="shared" si="15"/>
        <v/>
      </c>
      <c r="AE324" s="2" t="str">
        <f t="shared" si="16"/>
        <v/>
      </c>
      <c r="AF324" s="2" t="str">
        <f t="shared" si="17"/>
        <v/>
      </c>
      <c r="AG324" s="2" t="str">
        <f>IF($L324="","",IF(COUNTIF(LISTS!$A$2:$A$200,$H324)=0,"NEW",""))</f>
        <v/>
      </c>
    </row>
    <row r="325" spans="30:33" x14ac:dyDescent="0.25">
      <c r="AD325" s="2" t="str">
        <f t="shared" si="15"/>
        <v/>
      </c>
      <c r="AE325" s="2" t="str">
        <f t="shared" si="16"/>
        <v/>
      </c>
      <c r="AF325" s="2" t="str">
        <f t="shared" si="17"/>
        <v/>
      </c>
      <c r="AG325" s="2" t="str">
        <f>IF($L325="","",IF(COUNTIF(LISTS!$A$2:$A$200,$H325)=0,"NEW",""))</f>
        <v/>
      </c>
    </row>
    <row r="326" spans="30:33" x14ac:dyDescent="0.25">
      <c r="AD326" s="2" t="str">
        <f t="shared" si="15"/>
        <v/>
      </c>
      <c r="AE326" s="2" t="str">
        <f t="shared" si="16"/>
        <v/>
      </c>
      <c r="AF326" s="2" t="str">
        <f t="shared" si="17"/>
        <v/>
      </c>
      <c r="AG326" s="2" t="str">
        <f>IF($L326="","",IF(COUNTIF(LISTS!$A$2:$A$200,$H326)=0,"NEW",""))</f>
        <v/>
      </c>
    </row>
    <row r="327" spans="30:33" x14ac:dyDescent="0.25">
      <c r="AD327" s="2" t="str">
        <f t="shared" si="15"/>
        <v/>
      </c>
      <c r="AE327" s="2" t="str">
        <f t="shared" si="16"/>
        <v/>
      </c>
      <c r="AF327" s="2" t="str">
        <f t="shared" si="17"/>
        <v/>
      </c>
      <c r="AG327" s="2" t="str">
        <f>IF($L327="","",IF(COUNTIF(LISTS!$A$2:$A$200,$H327)=0,"NEW",""))</f>
        <v/>
      </c>
    </row>
    <row r="328" spans="30:33" x14ac:dyDescent="0.25">
      <c r="AD328" s="2" t="str">
        <f t="shared" si="15"/>
        <v/>
      </c>
      <c r="AE328" s="2" t="str">
        <f t="shared" si="16"/>
        <v/>
      </c>
      <c r="AF328" s="2" t="str">
        <f t="shared" si="17"/>
        <v/>
      </c>
      <c r="AG328" s="2" t="str">
        <f>IF($L328="","",IF(COUNTIF(LISTS!$A$2:$A$200,$H328)=0,"NEW",""))</f>
        <v/>
      </c>
    </row>
    <row r="329" spans="30:33" x14ac:dyDescent="0.25">
      <c r="AD329" s="2" t="str">
        <f t="shared" si="15"/>
        <v/>
      </c>
      <c r="AE329" s="2" t="str">
        <f t="shared" si="16"/>
        <v/>
      </c>
      <c r="AF329" s="2" t="str">
        <f t="shared" si="17"/>
        <v/>
      </c>
      <c r="AG329" s="2" t="str">
        <f>IF($L329="","",IF(COUNTIF(LISTS!$A$2:$A$200,$H329)=0,"NEW",""))</f>
        <v/>
      </c>
    </row>
    <row r="330" spans="30:33" x14ac:dyDescent="0.25">
      <c r="AD330" s="2" t="str">
        <f t="shared" si="15"/>
        <v/>
      </c>
      <c r="AE330" s="2" t="str">
        <f t="shared" si="16"/>
        <v/>
      </c>
      <c r="AF330" s="2" t="str">
        <f t="shared" si="17"/>
        <v/>
      </c>
      <c r="AG330" s="2" t="str">
        <f>IF($L330="","",IF(COUNTIF(LISTS!$A$2:$A$200,$H330)=0,"NEW",""))</f>
        <v/>
      </c>
    </row>
    <row r="331" spans="30:33" x14ac:dyDescent="0.25">
      <c r="AD331" s="2" t="str">
        <f t="shared" si="15"/>
        <v/>
      </c>
      <c r="AE331" s="2" t="str">
        <f t="shared" si="16"/>
        <v/>
      </c>
      <c r="AF331" s="2" t="str">
        <f t="shared" si="17"/>
        <v/>
      </c>
      <c r="AG331" s="2" t="str">
        <f>IF($L331="","",IF(COUNTIF(LISTS!$A$2:$A$200,$H331)=0,"NEW",""))</f>
        <v/>
      </c>
    </row>
    <row r="332" spans="30:33" x14ac:dyDescent="0.25">
      <c r="AD332" s="2" t="str">
        <f t="shared" si="15"/>
        <v/>
      </c>
      <c r="AE332" s="2" t="str">
        <f t="shared" si="16"/>
        <v/>
      </c>
      <c r="AF332" s="2" t="str">
        <f t="shared" si="17"/>
        <v/>
      </c>
      <c r="AG332" s="2" t="str">
        <f>IF($L332="","",IF(COUNTIF(LISTS!$A$2:$A$200,$H332)=0,"NEW",""))</f>
        <v/>
      </c>
    </row>
    <row r="333" spans="30:33" x14ac:dyDescent="0.25">
      <c r="AD333" s="2" t="str">
        <f t="shared" si="15"/>
        <v/>
      </c>
      <c r="AE333" s="2" t="str">
        <f t="shared" si="16"/>
        <v/>
      </c>
      <c r="AF333" s="2" t="str">
        <f t="shared" si="17"/>
        <v/>
      </c>
      <c r="AG333" s="2" t="str">
        <f>IF($L333="","",IF(COUNTIF(LISTS!$A$2:$A$200,$H333)=0,"NEW",""))</f>
        <v/>
      </c>
    </row>
    <row r="334" spans="30:33" x14ac:dyDescent="0.25">
      <c r="AD334" s="2" t="str">
        <f t="shared" si="15"/>
        <v/>
      </c>
      <c r="AE334" s="2" t="str">
        <f t="shared" si="16"/>
        <v/>
      </c>
      <c r="AF334" s="2" t="str">
        <f t="shared" si="17"/>
        <v/>
      </c>
      <c r="AG334" s="2" t="str">
        <f>IF($L334="","",IF(COUNTIF(LISTS!$A$2:$A$200,$H334)=0,"NEW",""))</f>
        <v/>
      </c>
    </row>
    <row r="335" spans="30:33" x14ac:dyDescent="0.25">
      <c r="AD335" s="2" t="str">
        <f t="shared" si="15"/>
        <v/>
      </c>
      <c r="AE335" s="2" t="str">
        <f t="shared" si="16"/>
        <v/>
      </c>
      <c r="AF335" s="2" t="str">
        <f t="shared" si="17"/>
        <v/>
      </c>
      <c r="AG335" s="2" t="str">
        <f>IF($L335="","",IF(COUNTIF(LISTS!$A$2:$A$200,$H335)=0,"NEW",""))</f>
        <v/>
      </c>
    </row>
    <row r="336" spans="30:33" x14ac:dyDescent="0.25">
      <c r="AD336" s="2" t="str">
        <f t="shared" si="15"/>
        <v/>
      </c>
      <c r="AE336" s="2" t="str">
        <f t="shared" si="16"/>
        <v/>
      </c>
      <c r="AF336" s="2" t="str">
        <f t="shared" si="17"/>
        <v/>
      </c>
      <c r="AG336" s="2" t="str">
        <f>IF($L336="","",IF(COUNTIF(LISTS!$A$2:$A$200,$H336)=0,"NEW",""))</f>
        <v/>
      </c>
    </row>
    <row r="337" spans="30:33" x14ac:dyDescent="0.25">
      <c r="AD337" s="2" t="str">
        <f t="shared" si="15"/>
        <v/>
      </c>
      <c r="AE337" s="2" t="str">
        <f t="shared" si="16"/>
        <v/>
      </c>
      <c r="AF337" s="2" t="str">
        <f t="shared" si="17"/>
        <v/>
      </c>
      <c r="AG337" s="2" t="str">
        <f>IF($L337="","",IF(COUNTIF(LISTS!$A$2:$A$200,$H337)=0,"NEW",""))</f>
        <v/>
      </c>
    </row>
    <row r="338" spans="30:33" x14ac:dyDescent="0.25">
      <c r="AD338" s="2" t="str">
        <f t="shared" si="15"/>
        <v/>
      </c>
      <c r="AE338" s="2" t="str">
        <f t="shared" si="16"/>
        <v/>
      </c>
      <c r="AF338" s="2" t="str">
        <f t="shared" si="17"/>
        <v/>
      </c>
      <c r="AG338" s="2" t="str">
        <f>IF($L338="","",IF(COUNTIF(LISTS!$A$2:$A$200,$H338)=0,"NEW",""))</f>
        <v/>
      </c>
    </row>
    <row r="339" spans="30:33" x14ac:dyDescent="0.25">
      <c r="AD339" s="2" t="str">
        <f t="shared" si="15"/>
        <v/>
      </c>
      <c r="AE339" s="2" t="str">
        <f t="shared" si="16"/>
        <v/>
      </c>
      <c r="AF339" s="2" t="str">
        <f t="shared" si="17"/>
        <v/>
      </c>
      <c r="AG339" s="2" t="str">
        <f>IF($L339="","",IF(COUNTIF(LISTS!$A$2:$A$200,$H339)=0,"NEW",""))</f>
        <v/>
      </c>
    </row>
    <row r="340" spans="30:33" x14ac:dyDescent="0.25">
      <c r="AD340" s="2" t="str">
        <f t="shared" si="15"/>
        <v/>
      </c>
      <c r="AE340" s="2" t="str">
        <f t="shared" si="16"/>
        <v/>
      </c>
      <c r="AF340" s="2" t="str">
        <f t="shared" si="17"/>
        <v/>
      </c>
      <c r="AG340" s="2" t="str">
        <f>IF($L340="","",IF(COUNTIF(LISTS!$A$2:$A$200,$H340)=0,"NEW",""))</f>
        <v/>
      </c>
    </row>
    <row r="341" spans="30:33" x14ac:dyDescent="0.25">
      <c r="AD341" s="2" t="str">
        <f t="shared" si="15"/>
        <v/>
      </c>
      <c r="AE341" s="2" t="str">
        <f t="shared" si="16"/>
        <v/>
      </c>
      <c r="AF341" s="2" t="str">
        <f t="shared" si="17"/>
        <v/>
      </c>
      <c r="AG341" s="2" t="str">
        <f>IF($L341="","",IF(COUNTIF(LISTS!$A$2:$A$200,$H341)=0,"NEW",""))</f>
        <v/>
      </c>
    </row>
    <row r="342" spans="30:33" x14ac:dyDescent="0.25">
      <c r="AD342" s="2" t="str">
        <f t="shared" si="15"/>
        <v/>
      </c>
      <c r="AE342" s="2" t="str">
        <f t="shared" si="16"/>
        <v/>
      </c>
      <c r="AF342" s="2" t="str">
        <f t="shared" si="17"/>
        <v/>
      </c>
      <c r="AG342" s="2" t="str">
        <f>IF($L342="","",IF(COUNTIF(LISTS!$A$2:$A$200,$H342)=0,"NEW",""))</f>
        <v/>
      </c>
    </row>
    <row r="343" spans="30:33" x14ac:dyDescent="0.25">
      <c r="AD343" s="2" t="str">
        <f t="shared" si="15"/>
        <v/>
      </c>
      <c r="AE343" s="2" t="str">
        <f t="shared" si="16"/>
        <v/>
      </c>
      <c r="AF343" s="2" t="str">
        <f t="shared" si="17"/>
        <v/>
      </c>
      <c r="AG343" s="2" t="str">
        <f>IF($L343="","",IF(COUNTIF(LISTS!$A$2:$A$200,$H343)=0,"NEW",""))</f>
        <v/>
      </c>
    </row>
    <row r="344" spans="30:33" x14ac:dyDescent="0.25">
      <c r="AD344" s="2" t="str">
        <f t="shared" si="15"/>
        <v/>
      </c>
      <c r="AE344" s="2" t="str">
        <f t="shared" si="16"/>
        <v/>
      </c>
      <c r="AF344" s="2" t="str">
        <f t="shared" si="17"/>
        <v/>
      </c>
      <c r="AG344" s="2" t="str">
        <f>IF($L344="","",IF(COUNTIF(LISTS!$A$2:$A$200,$H344)=0,"NEW",""))</f>
        <v/>
      </c>
    </row>
    <row r="345" spans="30:33" x14ac:dyDescent="0.25">
      <c r="AD345" s="2" t="str">
        <f t="shared" si="15"/>
        <v/>
      </c>
      <c r="AE345" s="2" t="str">
        <f t="shared" si="16"/>
        <v/>
      </c>
      <c r="AF345" s="2" t="str">
        <f t="shared" si="17"/>
        <v/>
      </c>
      <c r="AG345" s="2" t="str">
        <f>IF($L345="","",IF(COUNTIF(LISTS!$A$2:$A$200,$H345)=0,"NEW",""))</f>
        <v/>
      </c>
    </row>
    <row r="346" spans="30:33" x14ac:dyDescent="0.25">
      <c r="AD346" s="2" t="str">
        <f t="shared" si="15"/>
        <v/>
      </c>
      <c r="AE346" s="2" t="str">
        <f t="shared" si="16"/>
        <v/>
      </c>
      <c r="AF346" s="2" t="str">
        <f t="shared" si="17"/>
        <v/>
      </c>
      <c r="AG346" s="2" t="str">
        <f>IF($L346="","",IF(COUNTIF(LISTS!$A$2:$A$200,$H346)=0,"NEW",""))</f>
        <v/>
      </c>
    </row>
    <row r="347" spans="30:33" x14ac:dyDescent="0.25">
      <c r="AD347" s="2" t="str">
        <f t="shared" si="15"/>
        <v/>
      </c>
      <c r="AE347" s="2" t="str">
        <f t="shared" si="16"/>
        <v/>
      </c>
      <c r="AF347" s="2" t="str">
        <f t="shared" si="17"/>
        <v/>
      </c>
      <c r="AG347" s="2" t="str">
        <f>IF($L347="","",IF(COUNTIF(LISTS!$A$2:$A$200,$H347)=0,"NEW",""))</f>
        <v/>
      </c>
    </row>
    <row r="348" spans="30:33" x14ac:dyDescent="0.25">
      <c r="AD348" s="2" t="str">
        <f t="shared" si="15"/>
        <v/>
      </c>
      <c r="AE348" s="2" t="str">
        <f t="shared" si="16"/>
        <v/>
      </c>
      <c r="AF348" s="2" t="str">
        <f t="shared" si="17"/>
        <v/>
      </c>
      <c r="AG348" s="2" t="str">
        <f>IF($L348="","",IF(COUNTIF(LISTS!$A$2:$A$200,$H348)=0,"NEW",""))</f>
        <v/>
      </c>
    </row>
    <row r="349" spans="30:33" x14ac:dyDescent="0.25">
      <c r="AD349" s="2" t="str">
        <f t="shared" si="15"/>
        <v/>
      </c>
      <c r="AE349" s="2" t="str">
        <f t="shared" si="16"/>
        <v/>
      </c>
      <c r="AF349" s="2" t="str">
        <f t="shared" si="17"/>
        <v/>
      </c>
      <c r="AG349" s="2" t="str">
        <f>IF($L349="","",IF(COUNTIF(LISTS!$A$2:$A$200,$H349)=0,"NEW",""))</f>
        <v/>
      </c>
    </row>
    <row r="350" spans="30:33" x14ac:dyDescent="0.25">
      <c r="AD350" s="2" t="str">
        <f t="shared" si="15"/>
        <v/>
      </c>
      <c r="AE350" s="2" t="str">
        <f t="shared" si="16"/>
        <v/>
      </c>
      <c r="AF350" s="2" t="str">
        <f t="shared" si="17"/>
        <v/>
      </c>
      <c r="AG350" s="2" t="str">
        <f>IF($L350="","",IF(COUNTIF(LISTS!$A$2:$A$200,$H350)=0,"NEW",""))</f>
        <v/>
      </c>
    </row>
    <row r="351" spans="30:33" x14ac:dyDescent="0.25">
      <c r="AD351" s="2" t="str">
        <f t="shared" si="15"/>
        <v/>
      </c>
      <c r="AE351" s="2" t="str">
        <f t="shared" si="16"/>
        <v/>
      </c>
      <c r="AF351" s="2" t="str">
        <f t="shared" si="17"/>
        <v/>
      </c>
      <c r="AG351" s="2" t="str">
        <f>IF($L351="","",IF(COUNTIF(LISTS!$A$2:$A$200,$H351)=0,"NEW",""))</f>
        <v/>
      </c>
    </row>
    <row r="352" spans="30:33" x14ac:dyDescent="0.25">
      <c r="AD352" s="2" t="str">
        <f t="shared" si="15"/>
        <v/>
      </c>
      <c r="AE352" s="2" t="str">
        <f t="shared" si="16"/>
        <v/>
      </c>
      <c r="AF352" s="2" t="str">
        <f t="shared" si="17"/>
        <v/>
      </c>
      <c r="AG352" s="2" t="str">
        <f>IF($L352="","",IF(COUNTIF(LISTS!$A$2:$A$200,$H352)=0,"NEW",""))</f>
        <v/>
      </c>
    </row>
    <row r="353" spans="30:33" x14ac:dyDescent="0.25">
      <c r="AD353" s="2" t="str">
        <f t="shared" si="15"/>
        <v/>
      </c>
      <c r="AE353" s="2" t="str">
        <f t="shared" si="16"/>
        <v/>
      </c>
      <c r="AF353" s="2" t="str">
        <f t="shared" si="17"/>
        <v/>
      </c>
      <c r="AG353" s="2" t="str">
        <f>IF($L353="","",IF(COUNTIF(LISTS!$A$2:$A$200,$H353)=0,"NEW",""))</f>
        <v/>
      </c>
    </row>
    <row r="354" spans="30:33" x14ac:dyDescent="0.25">
      <c r="AD354" s="2" t="str">
        <f t="shared" si="15"/>
        <v/>
      </c>
      <c r="AE354" s="2" t="str">
        <f t="shared" si="16"/>
        <v/>
      </c>
      <c r="AF354" s="2" t="str">
        <f t="shared" si="17"/>
        <v/>
      </c>
      <c r="AG354" s="2" t="str">
        <f>IF($L354="","",IF(COUNTIF(LISTS!$A$2:$A$200,$H354)=0,"NEW",""))</f>
        <v/>
      </c>
    </row>
    <row r="355" spans="30:33" x14ac:dyDescent="0.25">
      <c r="AD355" s="2" t="str">
        <f t="shared" si="15"/>
        <v/>
      </c>
      <c r="AE355" s="2" t="str">
        <f t="shared" si="16"/>
        <v/>
      </c>
      <c r="AF355" s="2" t="str">
        <f t="shared" si="17"/>
        <v/>
      </c>
      <c r="AG355" s="2" t="str">
        <f>IF($L355="","",IF(COUNTIF(LISTS!$A$2:$A$200,$H355)=0,"NEW",""))</f>
        <v/>
      </c>
    </row>
    <row r="356" spans="30:33" x14ac:dyDescent="0.25">
      <c r="AD356" s="2" t="str">
        <f t="shared" si="15"/>
        <v/>
      </c>
      <c r="AE356" s="2" t="str">
        <f t="shared" si="16"/>
        <v/>
      </c>
      <c r="AF356" s="2" t="str">
        <f t="shared" si="17"/>
        <v/>
      </c>
      <c r="AG356" s="2" t="str">
        <f>IF($L356="","",IF(COUNTIF(LISTS!$A$2:$A$200,$H356)=0,"NEW",""))</f>
        <v/>
      </c>
    </row>
    <row r="357" spans="30:33" x14ac:dyDescent="0.25">
      <c r="AD357" s="2" t="str">
        <f t="shared" si="15"/>
        <v/>
      </c>
      <c r="AE357" s="2" t="str">
        <f t="shared" si="16"/>
        <v/>
      </c>
      <c r="AF357" s="2" t="str">
        <f t="shared" si="17"/>
        <v/>
      </c>
      <c r="AG357" s="2" t="str">
        <f>IF($L357="","",IF(COUNTIF(LISTS!$A$2:$A$200,$H357)=0,"NEW",""))</f>
        <v/>
      </c>
    </row>
    <row r="358" spans="30:33" x14ac:dyDescent="0.25">
      <c r="AD358" s="2" t="str">
        <f t="shared" si="15"/>
        <v/>
      </c>
      <c r="AE358" s="2" t="str">
        <f t="shared" si="16"/>
        <v/>
      </c>
      <c r="AF358" s="2" t="str">
        <f t="shared" si="17"/>
        <v/>
      </c>
      <c r="AG358" s="2" t="str">
        <f>IF($L358="","",IF(COUNTIF(LISTS!$A$2:$A$200,$H358)=0,"NEW",""))</f>
        <v/>
      </c>
    </row>
    <row r="359" spans="30:33" x14ac:dyDescent="0.25">
      <c r="AD359" s="2" t="str">
        <f t="shared" si="15"/>
        <v/>
      </c>
      <c r="AE359" s="2" t="str">
        <f t="shared" si="16"/>
        <v/>
      </c>
      <c r="AF359" s="2" t="str">
        <f t="shared" si="17"/>
        <v/>
      </c>
      <c r="AG359" s="2" t="str">
        <f>IF($L359="","",IF(COUNTIF(LISTS!$A$2:$A$200,$H359)=0,"NEW",""))</f>
        <v/>
      </c>
    </row>
    <row r="360" spans="30:33" x14ac:dyDescent="0.25">
      <c r="AD360" s="2" t="str">
        <f t="shared" si="15"/>
        <v/>
      </c>
      <c r="AE360" s="2" t="str">
        <f t="shared" si="16"/>
        <v/>
      </c>
      <c r="AF360" s="2" t="str">
        <f t="shared" si="17"/>
        <v/>
      </c>
      <c r="AG360" s="2" t="str">
        <f>IF($L360="","",IF(COUNTIF(LISTS!$A$2:$A$200,$H360)=0,"NEW",""))</f>
        <v/>
      </c>
    </row>
    <row r="361" spans="30:33" x14ac:dyDescent="0.25">
      <c r="AD361" s="2" t="str">
        <f t="shared" si="15"/>
        <v/>
      </c>
      <c r="AE361" s="2" t="str">
        <f t="shared" si="16"/>
        <v/>
      </c>
      <c r="AF361" s="2" t="str">
        <f t="shared" si="17"/>
        <v/>
      </c>
      <c r="AG361" s="2" t="str">
        <f>IF($L361="","",IF(COUNTIF(LISTS!$A$2:$A$200,$H361)=0,"NEW",""))</f>
        <v/>
      </c>
    </row>
    <row r="362" spans="30:33" x14ac:dyDescent="0.25">
      <c r="AD362" s="2" t="str">
        <f t="shared" si="15"/>
        <v/>
      </c>
      <c r="AE362" s="2" t="str">
        <f t="shared" si="16"/>
        <v/>
      </c>
      <c r="AF362" s="2" t="str">
        <f t="shared" si="17"/>
        <v/>
      </c>
      <c r="AG362" s="2" t="str">
        <f>IF($L362="","",IF(COUNTIF(LISTS!$A$2:$A$200,$H362)=0,"NEW",""))</f>
        <v/>
      </c>
    </row>
    <row r="363" spans="30:33" x14ac:dyDescent="0.25">
      <c r="AD363" s="2" t="str">
        <f t="shared" si="15"/>
        <v/>
      </c>
      <c r="AE363" s="2" t="str">
        <f t="shared" si="16"/>
        <v/>
      </c>
      <c r="AF363" s="2" t="str">
        <f t="shared" si="17"/>
        <v/>
      </c>
      <c r="AG363" s="2" t="str">
        <f>IF($L363="","",IF(COUNTIF(LISTS!$A$2:$A$200,$H363)=0,"NEW",""))</f>
        <v/>
      </c>
    </row>
    <row r="364" spans="30:33" x14ac:dyDescent="0.25">
      <c r="AD364" s="2" t="str">
        <f t="shared" si="15"/>
        <v/>
      </c>
      <c r="AE364" s="2" t="str">
        <f t="shared" si="16"/>
        <v/>
      </c>
      <c r="AF364" s="2" t="str">
        <f t="shared" si="17"/>
        <v/>
      </c>
      <c r="AG364" s="2" t="str">
        <f>IF($L364="","",IF(COUNTIF(LISTS!$A$2:$A$200,$H364)=0,"NEW",""))</f>
        <v/>
      </c>
    </row>
    <row r="365" spans="30:33" x14ac:dyDescent="0.25">
      <c r="AD365" s="2" t="str">
        <f t="shared" si="15"/>
        <v/>
      </c>
      <c r="AE365" s="2" t="str">
        <f t="shared" si="16"/>
        <v/>
      </c>
      <c r="AF365" s="2" t="str">
        <f t="shared" si="17"/>
        <v/>
      </c>
      <c r="AG365" s="2" t="str">
        <f>IF($L365="","",IF(COUNTIF(LISTS!$A$2:$A$200,$H365)=0,"NEW",""))</f>
        <v/>
      </c>
    </row>
    <row r="366" spans="30:33" x14ac:dyDescent="0.25">
      <c r="AD366" s="2" t="str">
        <f t="shared" si="15"/>
        <v/>
      </c>
      <c r="AE366" s="2" t="str">
        <f t="shared" si="16"/>
        <v/>
      </c>
      <c r="AF366" s="2" t="str">
        <f t="shared" si="17"/>
        <v/>
      </c>
      <c r="AG366" s="2" t="str">
        <f>IF($L366="","",IF(COUNTIF(LISTS!$A$2:$A$200,$H366)=0,"NEW",""))</f>
        <v/>
      </c>
    </row>
    <row r="367" spans="30:33" x14ac:dyDescent="0.25">
      <c r="AD367" s="2" t="str">
        <f t="shared" si="15"/>
        <v/>
      </c>
      <c r="AE367" s="2" t="str">
        <f t="shared" si="16"/>
        <v/>
      </c>
      <c r="AF367" s="2" t="str">
        <f t="shared" si="17"/>
        <v/>
      </c>
      <c r="AG367" s="2" t="str">
        <f>IF($L367="","",IF(COUNTIF(LISTS!$A$2:$A$200,$H367)=0,"NEW",""))</f>
        <v/>
      </c>
    </row>
    <row r="368" spans="30:33" x14ac:dyDescent="0.25">
      <c r="AD368" s="2" t="str">
        <f t="shared" si="15"/>
        <v/>
      </c>
      <c r="AE368" s="2" t="str">
        <f t="shared" si="16"/>
        <v/>
      </c>
      <c r="AF368" s="2" t="str">
        <f t="shared" si="17"/>
        <v/>
      </c>
      <c r="AG368" s="2" t="str">
        <f>IF($L368="","",IF(COUNTIF(LISTS!$A$2:$A$200,$H368)=0,"NEW",""))</f>
        <v/>
      </c>
    </row>
    <row r="369" spans="30:33" x14ac:dyDescent="0.25">
      <c r="AD369" s="2" t="str">
        <f t="shared" si="15"/>
        <v/>
      </c>
      <c r="AE369" s="2" t="str">
        <f t="shared" si="16"/>
        <v/>
      </c>
      <c r="AF369" s="2" t="str">
        <f t="shared" si="17"/>
        <v/>
      </c>
      <c r="AG369" s="2" t="str">
        <f>IF($L369="","",IF(COUNTIF(LISTS!$A$2:$A$200,$H369)=0,"NEW",""))</f>
        <v/>
      </c>
    </row>
    <row r="370" spans="30:33" x14ac:dyDescent="0.25">
      <c r="AD370" s="2" t="str">
        <f t="shared" si="15"/>
        <v/>
      </c>
      <c r="AE370" s="2" t="str">
        <f t="shared" si="16"/>
        <v/>
      </c>
      <c r="AF370" s="2" t="str">
        <f t="shared" si="17"/>
        <v/>
      </c>
      <c r="AG370" s="2" t="str">
        <f>IF($L370="","",IF(COUNTIF(LISTS!$A$2:$A$200,$H370)=0,"NEW",""))</f>
        <v/>
      </c>
    </row>
    <row r="371" spans="30:33" x14ac:dyDescent="0.25">
      <c r="AD371" s="2" t="str">
        <f t="shared" si="15"/>
        <v/>
      </c>
      <c r="AE371" s="2" t="str">
        <f t="shared" si="16"/>
        <v/>
      </c>
      <c r="AF371" s="2" t="str">
        <f t="shared" si="17"/>
        <v/>
      </c>
      <c r="AG371" s="2" t="str">
        <f>IF($L371="","",IF(COUNTIF(LISTS!$A$2:$A$200,$H371)=0,"NEW",""))</f>
        <v/>
      </c>
    </row>
    <row r="372" spans="30:33" x14ac:dyDescent="0.25">
      <c r="AD372" s="2" t="str">
        <f t="shared" si="15"/>
        <v/>
      </c>
      <c r="AE372" s="2" t="str">
        <f t="shared" si="16"/>
        <v/>
      </c>
      <c r="AF372" s="2" t="str">
        <f t="shared" si="17"/>
        <v/>
      </c>
      <c r="AG372" s="2" t="str">
        <f>IF($L372="","",IF(COUNTIF(LISTS!$A$2:$A$200,$H372)=0,"NEW",""))</f>
        <v/>
      </c>
    </row>
    <row r="373" spans="30:33" x14ac:dyDescent="0.25">
      <c r="AD373" s="2" t="str">
        <f t="shared" si="15"/>
        <v/>
      </c>
      <c r="AE373" s="2" t="str">
        <f t="shared" si="16"/>
        <v/>
      </c>
      <c r="AF373" s="2" t="str">
        <f t="shared" si="17"/>
        <v/>
      </c>
      <c r="AG373" s="2" t="str">
        <f>IF($L373="","",IF(COUNTIF(LISTS!$A$2:$A$200,$H373)=0,"NEW",""))</f>
        <v/>
      </c>
    </row>
    <row r="374" spans="30:33" x14ac:dyDescent="0.25">
      <c r="AD374" s="2" t="str">
        <f t="shared" si="15"/>
        <v/>
      </c>
      <c r="AE374" s="2" t="str">
        <f t="shared" si="16"/>
        <v/>
      </c>
      <c r="AF374" s="2" t="str">
        <f t="shared" si="17"/>
        <v/>
      </c>
      <c r="AG374" s="2" t="str">
        <f>IF($L374="","",IF(COUNTIF(LISTS!$A$2:$A$200,$H374)=0,"NEW",""))</f>
        <v/>
      </c>
    </row>
    <row r="375" spans="30:33" x14ac:dyDescent="0.25">
      <c r="AD375" s="2" t="str">
        <f t="shared" si="15"/>
        <v/>
      </c>
      <c r="AE375" s="2" t="str">
        <f t="shared" si="16"/>
        <v/>
      </c>
      <c r="AF375" s="2" t="str">
        <f t="shared" si="17"/>
        <v/>
      </c>
      <c r="AG375" s="2" t="str">
        <f>IF($L375="","",IF(COUNTIF(LISTS!$A$2:$A$200,$H375)=0,"NEW",""))</f>
        <v/>
      </c>
    </row>
    <row r="376" spans="30:33" x14ac:dyDescent="0.25">
      <c r="AD376" s="2" t="str">
        <f t="shared" si="15"/>
        <v/>
      </c>
      <c r="AE376" s="2" t="str">
        <f t="shared" si="16"/>
        <v/>
      </c>
      <c r="AF376" s="2" t="str">
        <f t="shared" si="17"/>
        <v/>
      </c>
      <c r="AG376" s="2" t="str">
        <f>IF($L376="","",IF(COUNTIF(LISTS!$A$2:$A$200,$H376)=0,"NEW",""))</f>
        <v/>
      </c>
    </row>
    <row r="377" spans="30:33" x14ac:dyDescent="0.25">
      <c r="AD377" s="2" t="str">
        <f t="shared" si="15"/>
        <v/>
      </c>
      <c r="AE377" s="2" t="str">
        <f t="shared" si="16"/>
        <v/>
      </c>
      <c r="AF377" s="2" t="str">
        <f t="shared" si="17"/>
        <v/>
      </c>
      <c r="AG377" s="2" t="str">
        <f>IF($L377="","",IF(COUNTIF(LISTS!$A$2:$A$200,$H377)=0,"NEW",""))</f>
        <v/>
      </c>
    </row>
    <row r="378" spans="30:33" x14ac:dyDescent="0.25">
      <c r="AD378" s="2" t="str">
        <f t="shared" si="15"/>
        <v/>
      </c>
      <c r="AE378" s="2" t="str">
        <f t="shared" si="16"/>
        <v/>
      </c>
      <c r="AF378" s="2" t="str">
        <f t="shared" si="17"/>
        <v/>
      </c>
      <c r="AG378" s="2" t="str">
        <f>IF($L378="","",IF(COUNTIF(LISTS!$A$2:$A$200,$H378)=0,"NEW",""))</f>
        <v/>
      </c>
    </row>
    <row r="379" spans="30:33" x14ac:dyDescent="0.25">
      <c r="AD379" s="2" t="str">
        <f t="shared" si="15"/>
        <v/>
      </c>
      <c r="AE379" s="2" t="str">
        <f t="shared" si="16"/>
        <v/>
      </c>
      <c r="AF379" s="2" t="str">
        <f t="shared" si="17"/>
        <v/>
      </c>
      <c r="AG379" s="2" t="str">
        <f>IF($L379="","",IF(COUNTIF(LISTS!$A$2:$A$200,$H379)=0,"NEW",""))</f>
        <v/>
      </c>
    </row>
    <row r="380" spans="30:33" x14ac:dyDescent="0.25">
      <c r="AD380" s="2" t="str">
        <f t="shared" si="15"/>
        <v/>
      </c>
      <c r="AE380" s="2" t="str">
        <f t="shared" si="16"/>
        <v/>
      </c>
      <c r="AF380" s="2" t="str">
        <f t="shared" si="17"/>
        <v/>
      </c>
      <c r="AG380" s="2" t="str">
        <f>IF($L380="","",IF(COUNTIF(LISTS!$A$2:$A$200,$H380)=0,"NEW",""))</f>
        <v/>
      </c>
    </row>
    <row r="381" spans="30:33" x14ac:dyDescent="0.25">
      <c r="AD381" s="2" t="str">
        <f t="shared" si="15"/>
        <v/>
      </c>
      <c r="AE381" s="2" t="str">
        <f t="shared" si="16"/>
        <v/>
      </c>
      <c r="AF381" s="2" t="str">
        <f t="shared" si="17"/>
        <v/>
      </c>
      <c r="AG381" s="2" t="str">
        <f>IF($L381="","",IF(COUNTIF(LISTS!$A$2:$A$200,$H381)=0,"NEW",""))</f>
        <v/>
      </c>
    </row>
    <row r="382" spans="30:33" x14ac:dyDescent="0.25">
      <c r="AD382" s="2" t="str">
        <f t="shared" si="15"/>
        <v/>
      </c>
      <c r="AE382" s="2" t="str">
        <f t="shared" si="16"/>
        <v/>
      </c>
      <c r="AF382" s="2" t="str">
        <f t="shared" si="17"/>
        <v/>
      </c>
      <c r="AG382" s="2" t="str">
        <f>IF($L382="","",IF(COUNTIF(LISTS!$A$2:$A$200,$H382)=0,"NEW",""))</f>
        <v/>
      </c>
    </row>
    <row r="383" spans="30:33" x14ac:dyDescent="0.25">
      <c r="AD383" s="2" t="str">
        <f t="shared" si="15"/>
        <v/>
      </c>
      <c r="AE383" s="2" t="str">
        <f t="shared" si="16"/>
        <v/>
      </c>
      <c r="AF383" s="2" t="str">
        <f t="shared" si="17"/>
        <v/>
      </c>
      <c r="AG383" s="2" t="str">
        <f>IF($L383="","",IF(COUNTIF(LISTS!$A$2:$A$200,$H383)=0,"NEW",""))</f>
        <v/>
      </c>
    </row>
    <row r="384" spans="30:33" x14ac:dyDescent="0.25">
      <c r="AD384" s="2" t="str">
        <f t="shared" si="15"/>
        <v/>
      </c>
      <c r="AE384" s="2" t="str">
        <f t="shared" si="16"/>
        <v/>
      </c>
      <c r="AF384" s="2" t="str">
        <f t="shared" si="17"/>
        <v/>
      </c>
      <c r="AG384" s="2" t="str">
        <f>IF($L384="","",IF(COUNTIF(LISTS!$A$2:$A$200,$H384)=0,"NEW",""))</f>
        <v/>
      </c>
    </row>
    <row r="385" spans="30:33" x14ac:dyDescent="0.25">
      <c r="AD385" s="2" t="str">
        <f t="shared" si="15"/>
        <v/>
      </c>
      <c r="AE385" s="2" t="str">
        <f t="shared" si="16"/>
        <v/>
      </c>
      <c r="AF385" s="2" t="str">
        <f t="shared" si="17"/>
        <v/>
      </c>
      <c r="AG385" s="2" t="str">
        <f>IF($L385="","",IF(COUNTIF(LISTS!$A$2:$A$200,$H385)=0,"NEW",""))</f>
        <v/>
      </c>
    </row>
    <row r="386" spans="30:33" x14ac:dyDescent="0.25">
      <c r="AD386" s="2" t="str">
        <f t="shared" ref="AD386:AD449" si="18">IF($L386="","",IF(ISNUMBER(SEARCH("OFF ROAD",$H386)),"OFF",IF(ISNUMBER(SEARCH("ON ROAD",$H386)),"ON","")))</f>
        <v/>
      </c>
      <c r="AE386" s="2" t="str">
        <f t="shared" ref="AE386:AE449" si="19">IF($AD386="ON",""&amp;$L386,"")</f>
        <v/>
      </c>
      <c r="AF386" s="2" t="str">
        <f t="shared" ref="AF386:AF449" si="20">IF($L386="","",IF($J386&lt;&gt;"","Y",""))</f>
        <v/>
      </c>
      <c r="AG386" s="2" t="str">
        <f>IF($L386="","",IF(COUNTIF(LISTS!$A$2:$A$200,$H386)=0,"NEW",""))</f>
        <v/>
      </c>
    </row>
    <row r="387" spans="30:33" x14ac:dyDescent="0.25">
      <c r="AD387" s="2" t="str">
        <f t="shared" si="18"/>
        <v/>
      </c>
      <c r="AE387" s="2" t="str">
        <f t="shared" si="19"/>
        <v/>
      </c>
      <c r="AF387" s="2" t="str">
        <f t="shared" si="20"/>
        <v/>
      </c>
      <c r="AG387" s="2" t="str">
        <f>IF($L387="","",IF(COUNTIF(LISTS!$A$2:$A$200,$H387)=0,"NEW",""))</f>
        <v/>
      </c>
    </row>
    <row r="388" spans="30:33" x14ac:dyDescent="0.25">
      <c r="AD388" s="2" t="str">
        <f t="shared" si="18"/>
        <v/>
      </c>
      <c r="AE388" s="2" t="str">
        <f t="shared" si="19"/>
        <v/>
      </c>
      <c r="AF388" s="2" t="str">
        <f t="shared" si="20"/>
        <v/>
      </c>
      <c r="AG388" s="2" t="str">
        <f>IF($L388="","",IF(COUNTIF(LISTS!$A$2:$A$200,$H388)=0,"NEW",""))</f>
        <v/>
      </c>
    </row>
    <row r="389" spans="30:33" x14ac:dyDescent="0.25">
      <c r="AD389" s="2" t="str">
        <f t="shared" si="18"/>
        <v/>
      </c>
      <c r="AE389" s="2" t="str">
        <f t="shared" si="19"/>
        <v/>
      </c>
      <c r="AF389" s="2" t="str">
        <f t="shared" si="20"/>
        <v/>
      </c>
      <c r="AG389" s="2" t="str">
        <f>IF($L389="","",IF(COUNTIF(LISTS!$A$2:$A$200,$H389)=0,"NEW",""))</f>
        <v/>
      </c>
    </row>
    <row r="390" spans="30:33" x14ac:dyDescent="0.25">
      <c r="AD390" s="2" t="str">
        <f t="shared" si="18"/>
        <v/>
      </c>
      <c r="AE390" s="2" t="str">
        <f t="shared" si="19"/>
        <v/>
      </c>
      <c r="AF390" s="2" t="str">
        <f t="shared" si="20"/>
        <v/>
      </c>
      <c r="AG390" s="2" t="str">
        <f>IF($L390="","",IF(COUNTIF(LISTS!$A$2:$A$200,$H390)=0,"NEW",""))</f>
        <v/>
      </c>
    </row>
    <row r="391" spans="30:33" x14ac:dyDescent="0.25">
      <c r="AD391" s="2" t="str">
        <f t="shared" si="18"/>
        <v/>
      </c>
      <c r="AE391" s="2" t="str">
        <f t="shared" si="19"/>
        <v/>
      </c>
      <c r="AF391" s="2" t="str">
        <f t="shared" si="20"/>
        <v/>
      </c>
      <c r="AG391" s="2" t="str">
        <f>IF($L391="","",IF(COUNTIF(LISTS!$A$2:$A$200,$H391)=0,"NEW",""))</f>
        <v/>
      </c>
    </row>
    <row r="392" spans="30:33" x14ac:dyDescent="0.25">
      <c r="AD392" s="2" t="str">
        <f t="shared" si="18"/>
        <v/>
      </c>
      <c r="AE392" s="2" t="str">
        <f t="shared" si="19"/>
        <v/>
      </c>
      <c r="AF392" s="2" t="str">
        <f t="shared" si="20"/>
        <v/>
      </c>
      <c r="AG392" s="2" t="str">
        <f>IF($L392="","",IF(COUNTIF(LISTS!$A$2:$A$200,$H392)=0,"NEW",""))</f>
        <v/>
      </c>
    </row>
    <row r="393" spans="30:33" x14ac:dyDescent="0.25">
      <c r="AD393" s="2" t="str">
        <f t="shared" si="18"/>
        <v/>
      </c>
      <c r="AE393" s="2" t="str">
        <f t="shared" si="19"/>
        <v/>
      </c>
      <c r="AF393" s="2" t="str">
        <f t="shared" si="20"/>
        <v/>
      </c>
      <c r="AG393" s="2" t="str">
        <f>IF($L393="","",IF(COUNTIF(LISTS!$A$2:$A$200,$H393)=0,"NEW",""))</f>
        <v/>
      </c>
    </row>
    <row r="394" spans="30:33" x14ac:dyDescent="0.25">
      <c r="AD394" s="2" t="str">
        <f t="shared" si="18"/>
        <v/>
      </c>
      <c r="AE394" s="2" t="str">
        <f t="shared" si="19"/>
        <v/>
      </c>
      <c r="AF394" s="2" t="str">
        <f t="shared" si="20"/>
        <v/>
      </c>
      <c r="AG394" s="2" t="str">
        <f>IF($L394="","",IF(COUNTIF(LISTS!$A$2:$A$200,$H394)=0,"NEW",""))</f>
        <v/>
      </c>
    </row>
    <row r="395" spans="30:33" x14ac:dyDescent="0.25">
      <c r="AD395" s="2" t="str">
        <f t="shared" si="18"/>
        <v/>
      </c>
      <c r="AE395" s="2" t="str">
        <f t="shared" si="19"/>
        <v/>
      </c>
      <c r="AF395" s="2" t="str">
        <f t="shared" si="20"/>
        <v/>
      </c>
      <c r="AG395" s="2" t="str">
        <f>IF($L395="","",IF(COUNTIF(LISTS!$A$2:$A$200,$H395)=0,"NEW",""))</f>
        <v/>
      </c>
    </row>
    <row r="396" spans="30:33" x14ac:dyDescent="0.25">
      <c r="AD396" s="2" t="str">
        <f t="shared" si="18"/>
        <v/>
      </c>
      <c r="AE396" s="2" t="str">
        <f t="shared" si="19"/>
        <v/>
      </c>
      <c r="AF396" s="2" t="str">
        <f t="shared" si="20"/>
        <v/>
      </c>
      <c r="AG396" s="2" t="str">
        <f>IF($L396="","",IF(COUNTIF(LISTS!$A$2:$A$200,$H396)=0,"NEW",""))</f>
        <v/>
      </c>
    </row>
    <row r="397" spans="30:33" x14ac:dyDescent="0.25">
      <c r="AD397" s="2" t="str">
        <f t="shared" si="18"/>
        <v/>
      </c>
      <c r="AE397" s="2" t="str">
        <f t="shared" si="19"/>
        <v/>
      </c>
      <c r="AF397" s="2" t="str">
        <f t="shared" si="20"/>
        <v/>
      </c>
      <c r="AG397" s="2" t="str">
        <f>IF($L397="","",IF(COUNTIF(LISTS!$A$2:$A$200,$H397)=0,"NEW",""))</f>
        <v/>
      </c>
    </row>
    <row r="398" spans="30:33" x14ac:dyDescent="0.25">
      <c r="AD398" s="2" t="str">
        <f t="shared" si="18"/>
        <v/>
      </c>
      <c r="AE398" s="2" t="str">
        <f t="shared" si="19"/>
        <v/>
      </c>
      <c r="AF398" s="2" t="str">
        <f t="shared" si="20"/>
        <v/>
      </c>
      <c r="AG398" s="2" t="str">
        <f>IF($L398="","",IF(COUNTIF(LISTS!$A$2:$A$200,$H398)=0,"NEW",""))</f>
        <v/>
      </c>
    </row>
    <row r="399" spans="30:33" x14ac:dyDescent="0.25">
      <c r="AD399" s="2" t="str">
        <f t="shared" si="18"/>
        <v/>
      </c>
      <c r="AE399" s="2" t="str">
        <f t="shared" si="19"/>
        <v/>
      </c>
      <c r="AF399" s="2" t="str">
        <f t="shared" si="20"/>
        <v/>
      </c>
      <c r="AG399" s="2" t="str">
        <f>IF($L399="","",IF(COUNTIF(LISTS!$A$2:$A$200,$H399)=0,"NEW",""))</f>
        <v/>
      </c>
    </row>
    <row r="400" spans="30:33" x14ac:dyDescent="0.25">
      <c r="AD400" s="2" t="str">
        <f t="shared" si="18"/>
        <v/>
      </c>
      <c r="AE400" s="2" t="str">
        <f t="shared" si="19"/>
        <v/>
      </c>
      <c r="AF400" s="2" t="str">
        <f t="shared" si="20"/>
        <v/>
      </c>
      <c r="AG400" s="2" t="str">
        <f>IF($L400="","",IF(COUNTIF(LISTS!$A$2:$A$200,$H400)=0,"NEW",""))</f>
        <v/>
      </c>
    </row>
    <row r="401" spans="30:33" x14ac:dyDescent="0.25">
      <c r="AD401" s="2" t="str">
        <f t="shared" si="18"/>
        <v/>
      </c>
      <c r="AE401" s="2" t="str">
        <f t="shared" si="19"/>
        <v/>
      </c>
      <c r="AF401" s="2" t="str">
        <f t="shared" si="20"/>
        <v/>
      </c>
      <c r="AG401" s="2" t="str">
        <f>IF($L401="","",IF(COUNTIF(LISTS!$A$2:$A$200,$H401)=0,"NEW",""))</f>
        <v/>
      </c>
    </row>
    <row r="402" spans="30:33" x14ac:dyDescent="0.25">
      <c r="AD402" s="2" t="str">
        <f t="shared" si="18"/>
        <v/>
      </c>
      <c r="AE402" s="2" t="str">
        <f t="shared" si="19"/>
        <v/>
      </c>
      <c r="AF402" s="2" t="str">
        <f t="shared" si="20"/>
        <v/>
      </c>
      <c r="AG402" s="2" t="str">
        <f>IF($L402="","",IF(COUNTIF(LISTS!$A$2:$A$200,$H402)=0,"NEW",""))</f>
        <v/>
      </c>
    </row>
    <row r="403" spans="30:33" x14ac:dyDescent="0.25">
      <c r="AD403" s="2" t="str">
        <f t="shared" si="18"/>
        <v/>
      </c>
      <c r="AE403" s="2" t="str">
        <f t="shared" si="19"/>
        <v/>
      </c>
      <c r="AF403" s="2" t="str">
        <f t="shared" si="20"/>
        <v/>
      </c>
      <c r="AG403" s="2" t="str">
        <f>IF($L403="","",IF(COUNTIF(LISTS!$A$2:$A$200,$H403)=0,"NEW",""))</f>
        <v/>
      </c>
    </row>
    <row r="404" spans="30:33" x14ac:dyDescent="0.25">
      <c r="AD404" s="2" t="str">
        <f t="shared" si="18"/>
        <v/>
      </c>
      <c r="AE404" s="2" t="str">
        <f t="shared" si="19"/>
        <v/>
      </c>
      <c r="AF404" s="2" t="str">
        <f t="shared" si="20"/>
        <v/>
      </c>
      <c r="AG404" s="2" t="str">
        <f>IF($L404="","",IF(COUNTIF(LISTS!$A$2:$A$200,$H404)=0,"NEW",""))</f>
        <v/>
      </c>
    </row>
    <row r="405" spans="30:33" x14ac:dyDescent="0.25">
      <c r="AD405" s="2" t="str">
        <f t="shared" si="18"/>
        <v/>
      </c>
      <c r="AE405" s="2" t="str">
        <f t="shared" si="19"/>
        <v/>
      </c>
      <c r="AF405" s="2" t="str">
        <f t="shared" si="20"/>
        <v/>
      </c>
      <c r="AG405" s="2" t="str">
        <f>IF($L405="","",IF(COUNTIF(LISTS!$A$2:$A$200,$H405)=0,"NEW",""))</f>
        <v/>
      </c>
    </row>
    <row r="406" spans="30:33" x14ac:dyDescent="0.25">
      <c r="AD406" s="2" t="str">
        <f t="shared" si="18"/>
        <v/>
      </c>
      <c r="AE406" s="2" t="str">
        <f t="shared" si="19"/>
        <v/>
      </c>
      <c r="AF406" s="2" t="str">
        <f t="shared" si="20"/>
        <v/>
      </c>
      <c r="AG406" s="2" t="str">
        <f>IF($L406="","",IF(COUNTIF(LISTS!$A$2:$A$200,$H406)=0,"NEW",""))</f>
        <v/>
      </c>
    </row>
    <row r="407" spans="30:33" x14ac:dyDescent="0.25">
      <c r="AD407" s="2" t="str">
        <f t="shared" si="18"/>
        <v/>
      </c>
      <c r="AE407" s="2" t="str">
        <f t="shared" si="19"/>
        <v/>
      </c>
      <c r="AF407" s="2" t="str">
        <f t="shared" si="20"/>
        <v/>
      </c>
      <c r="AG407" s="2" t="str">
        <f>IF($L407="","",IF(COUNTIF(LISTS!$A$2:$A$200,$H407)=0,"NEW",""))</f>
        <v/>
      </c>
    </row>
    <row r="408" spans="30:33" x14ac:dyDescent="0.25">
      <c r="AD408" s="2" t="str">
        <f t="shared" si="18"/>
        <v/>
      </c>
      <c r="AE408" s="2" t="str">
        <f t="shared" si="19"/>
        <v/>
      </c>
      <c r="AF408" s="2" t="str">
        <f t="shared" si="20"/>
        <v/>
      </c>
      <c r="AG408" s="2" t="str">
        <f>IF($L408="","",IF(COUNTIF(LISTS!$A$2:$A$200,$H408)=0,"NEW",""))</f>
        <v/>
      </c>
    </row>
    <row r="409" spans="30:33" x14ac:dyDescent="0.25">
      <c r="AD409" s="2" t="str">
        <f t="shared" si="18"/>
        <v/>
      </c>
      <c r="AE409" s="2" t="str">
        <f t="shared" si="19"/>
        <v/>
      </c>
      <c r="AF409" s="2" t="str">
        <f t="shared" si="20"/>
        <v/>
      </c>
      <c r="AG409" s="2" t="str">
        <f>IF($L409="","",IF(COUNTIF(LISTS!$A$2:$A$200,$H409)=0,"NEW",""))</f>
        <v/>
      </c>
    </row>
    <row r="410" spans="30:33" x14ac:dyDescent="0.25">
      <c r="AD410" s="2" t="str">
        <f t="shared" si="18"/>
        <v/>
      </c>
      <c r="AE410" s="2" t="str">
        <f t="shared" si="19"/>
        <v/>
      </c>
      <c r="AF410" s="2" t="str">
        <f t="shared" si="20"/>
        <v/>
      </c>
      <c r="AG410" s="2" t="str">
        <f>IF($L410="","",IF(COUNTIF(LISTS!$A$2:$A$200,$H410)=0,"NEW",""))</f>
        <v/>
      </c>
    </row>
    <row r="411" spans="30:33" x14ac:dyDescent="0.25">
      <c r="AD411" s="2" t="str">
        <f t="shared" si="18"/>
        <v/>
      </c>
      <c r="AE411" s="2" t="str">
        <f t="shared" si="19"/>
        <v/>
      </c>
      <c r="AF411" s="2" t="str">
        <f t="shared" si="20"/>
        <v/>
      </c>
      <c r="AG411" s="2" t="str">
        <f>IF($L411="","",IF(COUNTIF(LISTS!$A$2:$A$200,$H411)=0,"NEW",""))</f>
        <v/>
      </c>
    </row>
    <row r="412" spans="30:33" x14ac:dyDescent="0.25">
      <c r="AD412" s="2" t="str">
        <f t="shared" si="18"/>
        <v/>
      </c>
      <c r="AE412" s="2" t="str">
        <f t="shared" si="19"/>
        <v/>
      </c>
      <c r="AF412" s="2" t="str">
        <f t="shared" si="20"/>
        <v/>
      </c>
      <c r="AG412" s="2" t="str">
        <f>IF($L412="","",IF(COUNTIF(LISTS!$A$2:$A$200,$H412)=0,"NEW",""))</f>
        <v/>
      </c>
    </row>
    <row r="413" spans="30:33" x14ac:dyDescent="0.25">
      <c r="AD413" s="2" t="str">
        <f t="shared" si="18"/>
        <v/>
      </c>
      <c r="AE413" s="2" t="str">
        <f t="shared" si="19"/>
        <v/>
      </c>
      <c r="AF413" s="2" t="str">
        <f t="shared" si="20"/>
        <v/>
      </c>
      <c r="AG413" s="2" t="str">
        <f>IF($L413="","",IF(COUNTIF(LISTS!$A$2:$A$200,$H413)=0,"NEW",""))</f>
        <v/>
      </c>
    </row>
    <row r="414" spans="30:33" x14ac:dyDescent="0.25">
      <c r="AD414" s="2" t="str">
        <f t="shared" si="18"/>
        <v/>
      </c>
      <c r="AE414" s="2" t="str">
        <f t="shared" si="19"/>
        <v/>
      </c>
      <c r="AF414" s="2" t="str">
        <f t="shared" si="20"/>
        <v/>
      </c>
      <c r="AG414" s="2" t="str">
        <f>IF($L414="","",IF(COUNTIF(LISTS!$A$2:$A$200,$H414)=0,"NEW",""))</f>
        <v/>
      </c>
    </row>
    <row r="415" spans="30:33" x14ac:dyDescent="0.25">
      <c r="AD415" s="2" t="str">
        <f t="shared" si="18"/>
        <v/>
      </c>
      <c r="AE415" s="2" t="str">
        <f t="shared" si="19"/>
        <v/>
      </c>
      <c r="AF415" s="2" t="str">
        <f t="shared" si="20"/>
        <v/>
      </c>
      <c r="AG415" s="2" t="str">
        <f>IF($L415="","",IF(COUNTIF(LISTS!$A$2:$A$200,$H415)=0,"NEW",""))</f>
        <v/>
      </c>
    </row>
    <row r="416" spans="30:33" x14ac:dyDescent="0.25">
      <c r="AD416" s="2" t="str">
        <f t="shared" si="18"/>
        <v/>
      </c>
      <c r="AE416" s="2" t="str">
        <f t="shared" si="19"/>
        <v/>
      </c>
      <c r="AF416" s="2" t="str">
        <f t="shared" si="20"/>
        <v/>
      </c>
      <c r="AG416" s="2" t="str">
        <f>IF($L416="","",IF(COUNTIF(LISTS!$A$2:$A$200,$H416)=0,"NEW",""))</f>
        <v/>
      </c>
    </row>
    <row r="417" spans="30:33" x14ac:dyDescent="0.25">
      <c r="AD417" s="2" t="str">
        <f t="shared" si="18"/>
        <v/>
      </c>
      <c r="AE417" s="2" t="str">
        <f t="shared" si="19"/>
        <v/>
      </c>
      <c r="AF417" s="2" t="str">
        <f t="shared" si="20"/>
        <v/>
      </c>
      <c r="AG417" s="2" t="str">
        <f>IF($L417="","",IF(COUNTIF(LISTS!$A$2:$A$200,$H417)=0,"NEW",""))</f>
        <v/>
      </c>
    </row>
    <row r="418" spans="30:33" x14ac:dyDescent="0.25">
      <c r="AD418" s="2" t="str">
        <f t="shared" si="18"/>
        <v/>
      </c>
      <c r="AE418" s="2" t="str">
        <f t="shared" si="19"/>
        <v/>
      </c>
      <c r="AF418" s="2" t="str">
        <f t="shared" si="20"/>
        <v/>
      </c>
      <c r="AG418" s="2" t="str">
        <f>IF($L418="","",IF(COUNTIF(LISTS!$A$2:$A$200,$H418)=0,"NEW",""))</f>
        <v/>
      </c>
    </row>
    <row r="419" spans="30:33" x14ac:dyDescent="0.25">
      <c r="AD419" s="2" t="str">
        <f t="shared" si="18"/>
        <v/>
      </c>
      <c r="AE419" s="2" t="str">
        <f t="shared" si="19"/>
        <v/>
      </c>
      <c r="AF419" s="2" t="str">
        <f t="shared" si="20"/>
        <v/>
      </c>
      <c r="AG419" s="2" t="str">
        <f>IF($L419="","",IF(COUNTIF(LISTS!$A$2:$A$200,$H419)=0,"NEW",""))</f>
        <v/>
      </c>
    </row>
    <row r="420" spans="30:33" x14ac:dyDescent="0.25">
      <c r="AD420" s="2" t="str">
        <f t="shared" si="18"/>
        <v/>
      </c>
      <c r="AE420" s="2" t="str">
        <f t="shared" si="19"/>
        <v/>
      </c>
      <c r="AF420" s="2" t="str">
        <f t="shared" si="20"/>
        <v/>
      </c>
      <c r="AG420" s="2" t="str">
        <f>IF($L420="","",IF(COUNTIF(LISTS!$A$2:$A$200,$H420)=0,"NEW",""))</f>
        <v/>
      </c>
    </row>
    <row r="421" spans="30:33" x14ac:dyDescent="0.25">
      <c r="AD421" s="2" t="str">
        <f t="shared" si="18"/>
        <v/>
      </c>
      <c r="AE421" s="2" t="str">
        <f t="shared" si="19"/>
        <v/>
      </c>
      <c r="AF421" s="2" t="str">
        <f t="shared" si="20"/>
        <v/>
      </c>
      <c r="AG421" s="2" t="str">
        <f>IF($L421="","",IF(COUNTIF(LISTS!$A$2:$A$200,$H421)=0,"NEW",""))</f>
        <v/>
      </c>
    </row>
    <row r="422" spans="30:33" x14ac:dyDescent="0.25">
      <c r="AD422" s="2" t="str">
        <f t="shared" si="18"/>
        <v/>
      </c>
      <c r="AE422" s="2" t="str">
        <f t="shared" si="19"/>
        <v/>
      </c>
      <c r="AF422" s="2" t="str">
        <f t="shared" si="20"/>
        <v/>
      </c>
      <c r="AG422" s="2" t="str">
        <f>IF($L422="","",IF(COUNTIF(LISTS!$A$2:$A$200,$H422)=0,"NEW",""))</f>
        <v/>
      </c>
    </row>
    <row r="423" spans="30:33" x14ac:dyDescent="0.25">
      <c r="AD423" s="2" t="str">
        <f t="shared" si="18"/>
        <v/>
      </c>
      <c r="AE423" s="2" t="str">
        <f t="shared" si="19"/>
        <v/>
      </c>
      <c r="AF423" s="2" t="str">
        <f t="shared" si="20"/>
        <v/>
      </c>
      <c r="AG423" s="2" t="str">
        <f>IF($L423="","",IF(COUNTIF(LISTS!$A$2:$A$200,$H423)=0,"NEW",""))</f>
        <v/>
      </c>
    </row>
    <row r="424" spans="30:33" x14ac:dyDescent="0.25">
      <c r="AD424" s="2" t="str">
        <f t="shared" si="18"/>
        <v/>
      </c>
      <c r="AE424" s="2" t="str">
        <f t="shared" si="19"/>
        <v/>
      </c>
      <c r="AF424" s="2" t="str">
        <f t="shared" si="20"/>
        <v/>
      </c>
      <c r="AG424" s="2" t="str">
        <f>IF($L424="","",IF(COUNTIF(LISTS!$A$2:$A$200,$H424)=0,"NEW",""))</f>
        <v/>
      </c>
    </row>
    <row r="425" spans="30:33" x14ac:dyDescent="0.25">
      <c r="AD425" s="2" t="str">
        <f t="shared" si="18"/>
        <v/>
      </c>
      <c r="AE425" s="2" t="str">
        <f t="shared" si="19"/>
        <v/>
      </c>
      <c r="AF425" s="2" t="str">
        <f t="shared" si="20"/>
        <v/>
      </c>
      <c r="AG425" s="2" t="str">
        <f>IF($L425="","",IF(COUNTIF(LISTS!$A$2:$A$200,$H425)=0,"NEW",""))</f>
        <v/>
      </c>
    </row>
    <row r="426" spans="30:33" x14ac:dyDescent="0.25">
      <c r="AD426" s="2" t="str">
        <f t="shared" si="18"/>
        <v/>
      </c>
      <c r="AE426" s="2" t="str">
        <f t="shared" si="19"/>
        <v/>
      </c>
      <c r="AF426" s="2" t="str">
        <f t="shared" si="20"/>
        <v/>
      </c>
      <c r="AG426" s="2" t="str">
        <f>IF($L426="","",IF(COUNTIF(LISTS!$A$2:$A$200,$H426)=0,"NEW",""))</f>
        <v/>
      </c>
    </row>
    <row r="427" spans="30:33" x14ac:dyDescent="0.25">
      <c r="AD427" s="2" t="str">
        <f t="shared" si="18"/>
        <v/>
      </c>
      <c r="AE427" s="2" t="str">
        <f t="shared" si="19"/>
        <v/>
      </c>
      <c r="AF427" s="2" t="str">
        <f t="shared" si="20"/>
        <v/>
      </c>
      <c r="AG427" s="2" t="str">
        <f>IF($L427="","",IF(COUNTIF(LISTS!$A$2:$A$200,$H427)=0,"NEW",""))</f>
        <v/>
      </c>
    </row>
    <row r="428" spans="30:33" x14ac:dyDescent="0.25">
      <c r="AD428" s="2" t="str">
        <f t="shared" si="18"/>
        <v/>
      </c>
      <c r="AE428" s="2" t="str">
        <f t="shared" si="19"/>
        <v/>
      </c>
      <c r="AF428" s="2" t="str">
        <f t="shared" si="20"/>
        <v/>
      </c>
      <c r="AG428" s="2" t="str">
        <f>IF($L428="","",IF(COUNTIF(LISTS!$A$2:$A$200,$H428)=0,"NEW",""))</f>
        <v/>
      </c>
    </row>
    <row r="429" spans="30:33" x14ac:dyDescent="0.25">
      <c r="AD429" s="2" t="str">
        <f t="shared" si="18"/>
        <v/>
      </c>
      <c r="AE429" s="2" t="str">
        <f t="shared" si="19"/>
        <v/>
      </c>
      <c r="AF429" s="2" t="str">
        <f t="shared" si="20"/>
        <v/>
      </c>
      <c r="AG429" s="2" t="str">
        <f>IF($L429="","",IF(COUNTIF(LISTS!$A$2:$A$200,$H429)=0,"NEW",""))</f>
        <v/>
      </c>
    </row>
    <row r="430" spans="30:33" x14ac:dyDescent="0.25">
      <c r="AD430" s="2" t="str">
        <f t="shared" si="18"/>
        <v/>
      </c>
      <c r="AE430" s="2" t="str">
        <f t="shared" si="19"/>
        <v/>
      </c>
      <c r="AF430" s="2" t="str">
        <f t="shared" si="20"/>
        <v/>
      </c>
      <c r="AG430" s="2" t="str">
        <f>IF($L430="","",IF(COUNTIF(LISTS!$A$2:$A$200,$H430)=0,"NEW",""))</f>
        <v/>
      </c>
    </row>
    <row r="431" spans="30:33" x14ac:dyDescent="0.25">
      <c r="AD431" s="2" t="str">
        <f t="shared" si="18"/>
        <v/>
      </c>
      <c r="AE431" s="2" t="str">
        <f t="shared" si="19"/>
        <v/>
      </c>
      <c r="AF431" s="2" t="str">
        <f t="shared" si="20"/>
        <v/>
      </c>
      <c r="AG431" s="2" t="str">
        <f>IF($L431="","",IF(COUNTIF(LISTS!$A$2:$A$200,$H431)=0,"NEW",""))</f>
        <v/>
      </c>
    </row>
    <row r="432" spans="30:33" x14ac:dyDescent="0.25">
      <c r="AD432" s="2" t="str">
        <f t="shared" si="18"/>
        <v/>
      </c>
      <c r="AE432" s="2" t="str">
        <f t="shared" si="19"/>
        <v/>
      </c>
      <c r="AF432" s="2" t="str">
        <f t="shared" si="20"/>
        <v/>
      </c>
      <c r="AG432" s="2" t="str">
        <f>IF($L432="","",IF(COUNTIF(LISTS!$A$2:$A$200,$H432)=0,"NEW",""))</f>
        <v/>
      </c>
    </row>
    <row r="433" spans="30:33" x14ac:dyDescent="0.25">
      <c r="AD433" s="2" t="str">
        <f t="shared" si="18"/>
        <v/>
      </c>
      <c r="AE433" s="2" t="str">
        <f t="shared" si="19"/>
        <v/>
      </c>
      <c r="AF433" s="2" t="str">
        <f t="shared" si="20"/>
        <v/>
      </c>
      <c r="AG433" s="2" t="str">
        <f>IF($L433="","",IF(COUNTIF(LISTS!$A$2:$A$200,$H433)=0,"NEW",""))</f>
        <v/>
      </c>
    </row>
    <row r="434" spans="30:33" x14ac:dyDescent="0.25">
      <c r="AD434" s="2" t="str">
        <f t="shared" si="18"/>
        <v/>
      </c>
      <c r="AE434" s="2" t="str">
        <f t="shared" si="19"/>
        <v/>
      </c>
      <c r="AF434" s="2" t="str">
        <f t="shared" si="20"/>
        <v/>
      </c>
      <c r="AG434" s="2" t="str">
        <f>IF($L434="","",IF(COUNTIF(LISTS!$A$2:$A$200,$H434)=0,"NEW",""))</f>
        <v/>
      </c>
    </row>
    <row r="435" spans="30:33" x14ac:dyDescent="0.25">
      <c r="AD435" s="2" t="str">
        <f t="shared" si="18"/>
        <v/>
      </c>
      <c r="AE435" s="2" t="str">
        <f t="shared" si="19"/>
        <v/>
      </c>
      <c r="AF435" s="2" t="str">
        <f t="shared" si="20"/>
        <v/>
      </c>
      <c r="AG435" s="2" t="str">
        <f>IF($L435="","",IF(COUNTIF(LISTS!$A$2:$A$200,$H435)=0,"NEW",""))</f>
        <v/>
      </c>
    </row>
    <row r="436" spans="30:33" x14ac:dyDescent="0.25">
      <c r="AD436" s="2" t="str">
        <f t="shared" si="18"/>
        <v/>
      </c>
      <c r="AE436" s="2" t="str">
        <f t="shared" si="19"/>
        <v/>
      </c>
      <c r="AF436" s="2" t="str">
        <f t="shared" si="20"/>
        <v/>
      </c>
      <c r="AG436" s="2" t="str">
        <f>IF($L436="","",IF(COUNTIF(LISTS!$A$2:$A$200,$H436)=0,"NEW",""))</f>
        <v/>
      </c>
    </row>
    <row r="437" spans="30:33" x14ac:dyDescent="0.25">
      <c r="AD437" s="2" t="str">
        <f t="shared" si="18"/>
        <v/>
      </c>
      <c r="AE437" s="2" t="str">
        <f t="shared" si="19"/>
        <v/>
      </c>
      <c r="AF437" s="2" t="str">
        <f t="shared" si="20"/>
        <v/>
      </c>
      <c r="AG437" s="2" t="str">
        <f>IF($L437="","",IF(COUNTIF(LISTS!$A$2:$A$200,$H437)=0,"NEW",""))</f>
        <v/>
      </c>
    </row>
    <row r="438" spans="30:33" x14ac:dyDescent="0.25">
      <c r="AD438" s="2" t="str">
        <f t="shared" si="18"/>
        <v/>
      </c>
      <c r="AE438" s="2" t="str">
        <f t="shared" si="19"/>
        <v/>
      </c>
      <c r="AF438" s="2" t="str">
        <f t="shared" si="20"/>
        <v/>
      </c>
      <c r="AG438" s="2" t="str">
        <f>IF($L438="","",IF(COUNTIF(LISTS!$A$2:$A$200,$H438)=0,"NEW",""))</f>
        <v/>
      </c>
    </row>
    <row r="439" spans="30:33" x14ac:dyDescent="0.25">
      <c r="AD439" s="2" t="str">
        <f t="shared" si="18"/>
        <v/>
      </c>
      <c r="AE439" s="2" t="str">
        <f t="shared" si="19"/>
        <v/>
      </c>
      <c r="AF439" s="2" t="str">
        <f t="shared" si="20"/>
        <v/>
      </c>
      <c r="AG439" s="2" t="str">
        <f>IF($L439="","",IF(COUNTIF(LISTS!$A$2:$A$200,$H439)=0,"NEW",""))</f>
        <v/>
      </c>
    </row>
    <row r="440" spans="30:33" x14ac:dyDescent="0.25">
      <c r="AD440" s="2" t="str">
        <f t="shared" si="18"/>
        <v/>
      </c>
      <c r="AE440" s="2" t="str">
        <f t="shared" si="19"/>
        <v/>
      </c>
      <c r="AF440" s="2" t="str">
        <f t="shared" si="20"/>
        <v/>
      </c>
      <c r="AG440" s="2" t="str">
        <f>IF($L440="","",IF(COUNTIF(LISTS!$A$2:$A$200,$H440)=0,"NEW",""))</f>
        <v/>
      </c>
    </row>
    <row r="441" spans="30:33" x14ac:dyDescent="0.25">
      <c r="AD441" s="2" t="str">
        <f t="shared" si="18"/>
        <v/>
      </c>
      <c r="AE441" s="2" t="str">
        <f t="shared" si="19"/>
        <v/>
      </c>
      <c r="AF441" s="2" t="str">
        <f t="shared" si="20"/>
        <v/>
      </c>
      <c r="AG441" s="2" t="str">
        <f>IF($L441="","",IF(COUNTIF(LISTS!$A$2:$A$200,$H441)=0,"NEW",""))</f>
        <v/>
      </c>
    </row>
    <row r="442" spans="30:33" x14ac:dyDescent="0.25">
      <c r="AD442" s="2" t="str">
        <f t="shared" si="18"/>
        <v/>
      </c>
      <c r="AE442" s="2" t="str">
        <f t="shared" si="19"/>
        <v/>
      </c>
      <c r="AF442" s="2" t="str">
        <f t="shared" si="20"/>
        <v/>
      </c>
      <c r="AG442" s="2" t="str">
        <f>IF($L442="","",IF(COUNTIF(LISTS!$A$2:$A$200,$H442)=0,"NEW",""))</f>
        <v/>
      </c>
    </row>
    <row r="443" spans="30:33" x14ac:dyDescent="0.25">
      <c r="AD443" s="2" t="str">
        <f t="shared" si="18"/>
        <v/>
      </c>
      <c r="AE443" s="2" t="str">
        <f t="shared" si="19"/>
        <v/>
      </c>
      <c r="AF443" s="2" t="str">
        <f t="shared" si="20"/>
        <v/>
      </c>
      <c r="AG443" s="2" t="str">
        <f>IF($L443="","",IF(COUNTIF(LISTS!$A$2:$A$200,$H443)=0,"NEW",""))</f>
        <v/>
      </c>
    </row>
    <row r="444" spans="30:33" x14ac:dyDescent="0.25">
      <c r="AD444" s="2" t="str">
        <f t="shared" si="18"/>
        <v/>
      </c>
      <c r="AE444" s="2" t="str">
        <f t="shared" si="19"/>
        <v/>
      </c>
      <c r="AF444" s="2" t="str">
        <f t="shared" si="20"/>
        <v/>
      </c>
      <c r="AG444" s="2" t="str">
        <f>IF($L444="","",IF(COUNTIF(LISTS!$A$2:$A$200,$H444)=0,"NEW",""))</f>
        <v/>
      </c>
    </row>
    <row r="445" spans="30:33" x14ac:dyDescent="0.25">
      <c r="AD445" s="2" t="str">
        <f t="shared" si="18"/>
        <v/>
      </c>
      <c r="AE445" s="2" t="str">
        <f t="shared" si="19"/>
        <v/>
      </c>
      <c r="AF445" s="2" t="str">
        <f t="shared" si="20"/>
        <v/>
      </c>
      <c r="AG445" s="2" t="str">
        <f>IF($L445="","",IF(COUNTIF(LISTS!$A$2:$A$200,$H445)=0,"NEW",""))</f>
        <v/>
      </c>
    </row>
    <row r="446" spans="30:33" x14ac:dyDescent="0.25">
      <c r="AD446" s="2" t="str">
        <f t="shared" si="18"/>
        <v/>
      </c>
      <c r="AE446" s="2" t="str">
        <f t="shared" si="19"/>
        <v/>
      </c>
      <c r="AF446" s="2" t="str">
        <f t="shared" si="20"/>
        <v/>
      </c>
      <c r="AG446" s="2" t="str">
        <f>IF($L446="","",IF(COUNTIF(LISTS!$A$2:$A$200,$H446)=0,"NEW",""))</f>
        <v/>
      </c>
    </row>
    <row r="447" spans="30:33" x14ac:dyDescent="0.25">
      <c r="AD447" s="2" t="str">
        <f t="shared" si="18"/>
        <v/>
      </c>
      <c r="AE447" s="2" t="str">
        <f t="shared" si="19"/>
        <v/>
      </c>
      <c r="AF447" s="2" t="str">
        <f t="shared" si="20"/>
        <v/>
      </c>
      <c r="AG447" s="2" t="str">
        <f>IF($L447="","",IF(COUNTIF(LISTS!$A$2:$A$200,$H447)=0,"NEW",""))</f>
        <v/>
      </c>
    </row>
    <row r="448" spans="30:33" x14ac:dyDescent="0.25">
      <c r="AD448" s="2" t="str">
        <f t="shared" si="18"/>
        <v/>
      </c>
      <c r="AE448" s="2" t="str">
        <f t="shared" si="19"/>
        <v/>
      </c>
      <c r="AF448" s="2" t="str">
        <f t="shared" si="20"/>
        <v/>
      </c>
      <c r="AG448" s="2" t="str">
        <f>IF($L448="","",IF(COUNTIF(LISTS!$A$2:$A$200,$H448)=0,"NEW",""))</f>
        <v/>
      </c>
    </row>
    <row r="449" spans="30:33" x14ac:dyDescent="0.25">
      <c r="AD449" s="2" t="str">
        <f t="shared" si="18"/>
        <v/>
      </c>
      <c r="AE449" s="2" t="str">
        <f t="shared" si="19"/>
        <v/>
      </c>
      <c r="AF449" s="2" t="str">
        <f t="shared" si="20"/>
        <v/>
      </c>
      <c r="AG449" s="2" t="str">
        <f>IF($L449="","",IF(COUNTIF(LISTS!$A$2:$A$200,$H449)=0,"NEW",""))</f>
        <v/>
      </c>
    </row>
    <row r="450" spans="30:33" x14ac:dyDescent="0.25">
      <c r="AD450" s="2" t="str">
        <f t="shared" ref="AD450:AD513" si="21">IF($L450="","",IF(ISNUMBER(SEARCH("OFF ROAD",$H450)),"OFF",IF(ISNUMBER(SEARCH("ON ROAD",$H450)),"ON","")))</f>
        <v/>
      </c>
      <c r="AE450" s="2" t="str">
        <f t="shared" ref="AE450:AE513" si="22">IF($AD450="ON",""&amp;$L450,"")</f>
        <v/>
      </c>
      <c r="AF450" s="2" t="str">
        <f t="shared" ref="AF450:AF513" si="23">IF($L450="","",IF($J450&lt;&gt;"","Y",""))</f>
        <v/>
      </c>
      <c r="AG450" s="2" t="str">
        <f>IF($L450="","",IF(COUNTIF(LISTS!$A$2:$A$200,$H450)=0,"NEW",""))</f>
        <v/>
      </c>
    </row>
    <row r="451" spans="30:33" x14ac:dyDescent="0.25">
      <c r="AD451" s="2" t="str">
        <f t="shared" si="21"/>
        <v/>
      </c>
      <c r="AE451" s="2" t="str">
        <f t="shared" si="22"/>
        <v/>
      </c>
      <c r="AF451" s="2" t="str">
        <f t="shared" si="23"/>
        <v/>
      </c>
      <c r="AG451" s="2" t="str">
        <f>IF($L451="","",IF(COUNTIF(LISTS!$A$2:$A$200,$H451)=0,"NEW",""))</f>
        <v/>
      </c>
    </row>
    <row r="452" spans="30:33" x14ac:dyDescent="0.25">
      <c r="AD452" s="2" t="str">
        <f t="shared" si="21"/>
        <v/>
      </c>
      <c r="AE452" s="2" t="str">
        <f t="shared" si="22"/>
        <v/>
      </c>
      <c r="AF452" s="2" t="str">
        <f t="shared" si="23"/>
        <v/>
      </c>
      <c r="AG452" s="2" t="str">
        <f>IF($L452="","",IF(COUNTIF(LISTS!$A$2:$A$200,$H452)=0,"NEW",""))</f>
        <v/>
      </c>
    </row>
    <row r="453" spans="30:33" x14ac:dyDescent="0.25">
      <c r="AD453" s="2" t="str">
        <f t="shared" si="21"/>
        <v/>
      </c>
      <c r="AE453" s="2" t="str">
        <f t="shared" si="22"/>
        <v/>
      </c>
      <c r="AF453" s="2" t="str">
        <f t="shared" si="23"/>
        <v/>
      </c>
      <c r="AG453" s="2" t="str">
        <f>IF($L453="","",IF(COUNTIF(LISTS!$A$2:$A$200,$H453)=0,"NEW",""))</f>
        <v/>
      </c>
    </row>
    <row r="454" spans="30:33" x14ac:dyDescent="0.25">
      <c r="AD454" s="2" t="str">
        <f t="shared" si="21"/>
        <v/>
      </c>
      <c r="AE454" s="2" t="str">
        <f t="shared" si="22"/>
        <v/>
      </c>
      <c r="AF454" s="2" t="str">
        <f t="shared" si="23"/>
        <v/>
      </c>
      <c r="AG454" s="2" t="str">
        <f>IF($L454="","",IF(COUNTIF(LISTS!$A$2:$A$200,$H454)=0,"NEW",""))</f>
        <v/>
      </c>
    </row>
    <row r="455" spans="30:33" x14ac:dyDescent="0.25">
      <c r="AD455" s="2" t="str">
        <f t="shared" si="21"/>
        <v/>
      </c>
      <c r="AE455" s="2" t="str">
        <f t="shared" si="22"/>
        <v/>
      </c>
      <c r="AF455" s="2" t="str">
        <f t="shared" si="23"/>
        <v/>
      </c>
      <c r="AG455" s="2" t="str">
        <f>IF($L455="","",IF(COUNTIF(LISTS!$A$2:$A$200,$H455)=0,"NEW",""))</f>
        <v/>
      </c>
    </row>
    <row r="456" spans="30:33" x14ac:dyDescent="0.25">
      <c r="AD456" s="2" t="str">
        <f t="shared" si="21"/>
        <v/>
      </c>
      <c r="AE456" s="2" t="str">
        <f t="shared" si="22"/>
        <v/>
      </c>
      <c r="AF456" s="2" t="str">
        <f t="shared" si="23"/>
        <v/>
      </c>
      <c r="AG456" s="2" t="str">
        <f>IF($L456="","",IF(COUNTIF(LISTS!$A$2:$A$200,$H456)=0,"NEW",""))</f>
        <v/>
      </c>
    </row>
    <row r="457" spans="30:33" x14ac:dyDescent="0.25">
      <c r="AD457" s="2" t="str">
        <f t="shared" si="21"/>
        <v/>
      </c>
      <c r="AE457" s="2" t="str">
        <f t="shared" si="22"/>
        <v/>
      </c>
      <c r="AF457" s="2" t="str">
        <f t="shared" si="23"/>
        <v/>
      </c>
      <c r="AG457" s="2" t="str">
        <f>IF($L457="","",IF(COUNTIF(LISTS!$A$2:$A$200,$H457)=0,"NEW",""))</f>
        <v/>
      </c>
    </row>
    <row r="458" spans="30:33" x14ac:dyDescent="0.25">
      <c r="AD458" s="2" t="str">
        <f t="shared" si="21"/>
        <v/>
      </c>
      <c r="AE458" s="2" t="str">
        <f t="shared" si="22"/>
        <v/>
      </c>
      <c r="AF458" s="2" t="str">
        <f t="shared" si="23"/>
        <v/>
      </c>
      <c r="AG458" s="2" t="str">
        <f>IF($L458="","",IF(COUNTIF(LISTS!$A$2:$A$200,$H458)=0,"NEW",""))</f>
        <v/>
      </c>
    </row>
    <row r="459" spans="30:33" x14ac:dyDescent="0.25">
      <c r="AD459" s="2" t="str">
        <f t="shared" si="21"/>
        <v/>
      </c>
      <c r="AE459" s="2" t="str">
        <f t="shared" si="22"/>
        <v/>
      </c>
      <c r="AF459" s="2" t="str">
        <f t="shared" si="23"/>
        <v/>
      </c>
      <c r="AG459" s="2" t="str">
        <f>IF($L459="","",IF(COUNTIF(LISTS!$A$2:$A$200,$H459)=0,"NEW",""))</f>
        <v/>
      </c>
    </row>
    <row r="460" spans="30:33" x14ac:dyDescent="0.25">
      <c r="AD460" s="2" t="str">
        <f t="shared" si="21"/>
        <v/>
      </c>
      <c r="AE460" s="2" t="str">
        <f t="shared" si="22"/>
        <v/>
      </c>
      <c r="AF460" s="2" t="str">
        <f t="shared" si="23"/>
        <v/>
      </c>
      <c r="AG460" s="2" t="str">
        <f>IF($L460="","",IF(COUNTIF(LISTS!$A$2:$A$200,$H460)=0,"NEW",""))</f>
        <v/>
      </c>
    </row>
    <row r="461" spans="30:33" x14ac:dyDescent="0.25">
      <c r="AD461" s="2" t="str">
        <f t="shared" si="21"/>
        <v/>
      </c>
      <c r="AE461" s="2" t="str">
        <f t="shared" si="22"/>
        <v/>
      </c>
      <c r="AF461" s="2" t="str">
        <f t="shared" si="23"/>
        <v/>
      </c>
      <c r="AG461" s="2" t="str">
        <f>IF($L461="","",IF(COUNTIF(LISTS!$A$2:$A$200,$H461)=0,"NEW",""))</f>
        <v/>
      </c>
    </row>
    <row r="462" spans="30:33" x14ac:dyDescent="0.25">
      <c r="AD462" s="2" t="str">
        <f t="shared" si="21"/>
        <v/>
      </c>
      <c r="AE462" s="2" t="str">
        <f t="shared" si="22"/>
        <v/>
      </c>
      <c r="AF462" s="2" t="str">
        <f t="shared" si="23"/>
        <v/>
      </c>
      <c r="AG462" s="2" t="str">
        <f>IF($L462="","",IF(COUNTIF(LISTS!$A$2:$A$200,$H462)=0,"NEW",""))</f>
        <v/>
      </c>
    </row>
    <row r="463" spans="30:33" x14ac:dyDescent="0.25">
      <c r="AD463" s="2" t="str">
        <f t="shared" si="21"/>
        <v/>
      </c>
      <c r="AE463" s="2" t="str">
        <f t="shared" si="22"/>
        <v/>
      </c>
      <c r="AF463" s="2" t="str">
        <f t="shared" si="23"/>
        <v/>
      </c>
      <c r="AG463" s="2" t="str">
        <f>IF($L463="","",IF(COUNTIF(LISTS!$A$2:$A$200,$H463)=0,"NEW",""))</f>
        <v/>
      </c>
    </row>
    <row r="464" spans="30:33" x14ac:dyDescent="0.25">
      <c r="AD464" s="2" t="str">
        <f t="shared" si="21"/>
        <v/>
      </c>
      <c r="AE464" s="2" t="str">
        <f t="shared" si="22"/>
        <v/>
      </c>
      <c r="AF464" s="2" t="str">
        <f t="shared" si="23"/>
        <v/>
      </c>
      <c r="AG464" s="2" t="str">
        <f>IF($L464="","",IF(COUNTIF(LISTS!$A$2:$A$200,$H464)=0,"NEW",""))</f>
        <v/>
      </c>
    </row>
    <row r="465" spans="30:33" x14ac:dyDescent="0.25">
      <c r="AD465" s="2" t="str">
        <f t="shared" si="21"/>
        <v/>
      </c>
      <c r="AE465" s="2" t="str">
        <f t="shared" si="22"/>
        <v/>
      </c>
      <c r="AF465" s="2" t="str">
        <f t="shared" si="23"/>
        <v/>
      </c>
      <c r="AG465" s="2" t="str">
        <f>IF($L465="","",IF(COUNTIF(LISTS!$A$2:$A$200,$H465)=0,"NEW",""))</f>
        <v/>
      </c>
    </row>
    <row r="466" spans="30:33" x14ac:dyDescent="0.25">
      <c r="AD466" s="2" t="str">
        <f t="shared" si="21"/>
        <v/>
      </c>
      <c r="AE466" s="2" t="str">
        <f t="shared" si="22"/>
        <v/>
      </c>
      <c r="AF466" s="2" t="str">
        <f t="shared" si="23"/>
        <v/>
      </c>
      <c r="AG466" s="2" t="str">
        <f>IF($L466="","",IF(COUNTIF(LISTS!$A$2:$A$200,$H466)=0,"NEW",""))</f>
        <v/>
      </c>
    </row>
    <row r="467" spans="30:33" x14ac:dyDescent="0.25">
      <c r="AD467" s="2" t="str">
        <f t="shared" si="21"/>
        <v/>
      </c>
      <c r="AE467" s="2" t="str">
        <f t="shared" si="22"/>
        <v/>
      </c>
      <c r="AF467" s="2" t="str">
        <f t="shared" si="23"/>
        <v/>
      </c>
      <c r="AG467" s="2" t="str">
        <f>IF($L467="","",IF(COUNTIF(LISTS!$A$2:$A$200,$H467)=0,"NEW",""))</f>
        <v/>
      </c>
    </row>
    <row r="468" spans="30:33" x14ac:dyDescent="0.25">
      <c r="AD468" s="2" t="str">
        <f t="shared" si="21"/>
        <v/>
      </c>
      <c r="AE468" s="2" t="str">
        <f t="shared" si="22"/>
        <v/>
      </c>
      <c r="AF468" s="2" t="str">
        <f t="shared" si="23"/>
        <v/>
      </c>
      <c r="AG468" s="2" t="str">
        <f>IF($L468="","",IF(COUNTIF(LISTS!$A$2:$A$200,$H468)=0,"NEW",""))</f>
        <v/>
      </c>
    </row>
    <row r="469" spans="30:33" x14ac:dyDescent="0.25">
      <c r="AD469" s="2" t="str">
        <f t="shared" si="21"/>
        <v/>
      </c>
      <c r="AE469" s="2" t="str">
        <f t="shared" si="22"/>
        <v/>
      </c>
      <c r="AF469" s="2" t="str">
        <f t="shared" si="23"/>
        <v/>
      </c>
      <c r="AG469" s="2" t="str">
        <f>IF($L469="","",IF(COUNTIF(LISTS!$A$2:$A$200,$H469)=0,"NEW",""))</f>
        <v/>
      </c>
    </row>
    <row r="470" spans="30:33" x14ac:dyDescent="0.25">
      <c r="AD470" s="2" t="str">
        <f t="shared" si="21"/>
        <v/>
      </c>
      <c r="AE470" s="2" t="str">
        <f t="shared" si="22"/>
        <v/>
      </c>
      <c r="AF470" s="2" t="str">
        <f t="shared" si="23"/>
        <v/>
      </c>
      <c r="AG470" s="2" t="str">
        <f>IF($L470="","",IF(COUNTIF(LISTS!$A$2:$A$200,$H470)=0,"NEW",""))</f>
        <v/>
      </c>
    </row>
    <row r="471" spans="30:33" x14ac:dyDescent="0.25">
      <c r="AD471" s="2" t="str">
        <f t="shared" si="21"/>
        <v/>
      </c>
      <c r="AE471" s="2" t="str">
        <f t="shared" si="22"/>
        <v/>
      </c>
      <c r="AF471" s="2" t="str">
        <f t="shared" si="23"/>
        <v/>
      </c>
      <c r="AG471" s="2" t="str">
        <f>IF($L471="","",IF(COUNTIF(LISTS!$A$2:$A$200,$H471)=0,"NEW",""))</f>
        <v/>
      </c>
    </row>
    <row r="472" spans="30:33" x14ac:dyDescent="0.25">
      <c r="AD472" s="2" t="str">
        <f t="shared" si="21"/>
        <v/>
      </c>
      <c r="AE472" s="2" t="str">
        <f t="shared" si="22"/>
        <v/>
      </c>
      <c r="AF472" s="2" t="str">
        <f t="shared" si="23"/>
        <v/>
      </c>
      <c r="AG472" s="2" t="str">
        <f>IF($L472="","",IF(COUNTIF(LISTS!$A$2:$A$200,$H472)=0,"NEW",""))</f>
        <v/>
      </c>
    </row>
    <row r="473" spans="30:33" x14ac:dyDescent="0.25">
      <c r="AD473" s="2" t="str">
        <f t="shared" si="21"/>
        <v/>
      </c>
      <c r="AE473" s="2" t="str">
        <f t="shared" si="22"/>
        <v/>
      </c>
      <c r="AF473" s="2" t="str">
        <f t="shared" si="23"/>
        <v/>
      </c>
      <c r="AG473" s="2" t="str">
        <f>IF($L473="","",IF(COUNTIF(LISTS!$A$2:$A$200,$H473)=0,"NEW",""))</f>
        <v/>
      </c>
    </row>
    <row r="474" spans="30:33" x14ac:dyDescent="0.25">
      <c r="AD474" s="2" t="str">
        <f t="shared" si="21"/>
        <v/>
      </c>
      <c r="AE474" s="2" t="str">
        <f t="shared" si="22"/>
        <v/>
      </c>
      <c r="AF474" s="2" t="str">
        <f t="shared" si="23"/>
        <v/>
      </c>
      <c r="AG474" s="2" t="str">
        <f>IF($L474="","",IF(COUNTIF(LISTS!$A$2:$A$200,$H474)=0,"NEW",""))</f>
        <v/>
      </c>
    </row>
    <row r="475" spans="30:33" x14ac:dyDescent="0.25">
      <c r="AD475" s="2" t="str">
        <f t="shared" si="21"/>
        <v/>
      </c>
      <c r="AE475" s="2" t="str">
        <f t="shared" si="22"/>
        <v/>
      </c>
      <c r="AF475" s="2" t="str">
        <f t="shared" si="23"/>
        <v/>
      </c>
      <c r="AG475" s="2" t="str">
        <f>IF($L475="","",IF(COUNTIF(LISTS!$A$2:$A$200,$H475)=0,"NEW",""))</f>
        <v/>
      </c>
    </row>
    <row r="476" spans="30:33" x14ac:dyDescent="0.25">
      <c r="AD476" s="2" t="str">
        <f t="shared" si="21"/>
        <v/>
      </c>
      <c r="AE476" s="2" t="str">
        <f t="shared" si="22"/>
        <v/>
      </c>
      <c r="AF476" s="2" t="str">
        <f t="shared" si="23"/>
        <v/>
      </c>
      <c r="AG476" s="2" t="str">
        <f>IF($L476="","",IF(COUNTIF(LISTS!$A$2:$A$200,$H476)=0,"NEW",""))</f>
        <v/>
      </c>
    </row>
    <row r="477" spans="30:33" x14ac:dyDescent="0.25">
      <c r="AD477" s="2" t="str">
        <f t="shared" si="21"/>
        <v/>
      </c>
      <c r="AE477" s="2" t="str">
        <f t="shared" si="22"/>
        <v/>
      </c>
      <c r="AF477" s="2" t="str">
        <f t="shared" si="23"/>
        <v/>
      </c>
      <c r="AG477" s="2" t="str">
        <f>IF($L477="","",IF(COUNTIF(LISTS!$A$2:$A$200,$H477)=0,"NEW",""))</f>
        <v/>
      </c>
    </row>
    <row r="478" spans="30:33" x14ac:dyDescent="0.25">
      <c r="AD478" s="2" t="str">
        <f t="shared" si="21"/>
        <v/>
      </c>
      <c r="AE478" s="2" t="str">
        <f t="shared" si="22"/>
        <v/>
      </c>
      <c r="AF478" s="2" t="str">
        <f t="shared" si="23"/>
        <v/>
      </c>
      <c r="AG478" s="2" t="str">
        <f>IF($L478="","",IF(COUNTIF(LISTS!$A$2:$A$200,$H478)=0,"NEW",""))</f>
        <v/>
      </c>
    </row>
    <row r="479" spans="30:33" x14ac:dyDescent="0.25">
      <c r="AD479" s="2" t="str">
        <f t="shared" si="21"/>
        <v/>
      </c>
      <c r="AE479" s="2" t="str">
        <f t="shared" si="22"/>
        <v/>
      </c>
      <c r="AF479" s="2" t="str">
        <f t="shared" si="23"/>
        <v/>
      </c>
      <c r="AG479" s="2" t="str">
        <f>IF($L479="","",IF(COUNTIF(LISTS!$A$2:$A$200,$H479)=0,"NEW",""))</f>
        <v/>
      </c>
    </row>
    <row r="480" spans="30:33" x14ac:dyDescent="0.25">
      <c r="AD480" s="2" t="str">
        <f t="shared" si="21"/>
        <v/>
      </c>
      <c r="AE480" s="2" t="str">
        <f t="shared" si="22"/>
        <v/>
      </c>
      <c r="AF480" s="2" t="str">
        <f t="shared" si="23"/>
        <v/>
      </c>
      <c r="AG480" s="2" t="str">
        <f>IF($L480="","",IF(COUNTIF(LISTS!$A$2:$A$200,$H480)=0,"NEW",""))</f>
        <v/>
      </c>
    </row>
    <row r="481" spans="30:33" x14ac:dyDescent="0.25">
      <c r="AD481" s="2" t="str">
        <f t="shared" si="21"/>
        <v/>
      </c>
      <c r="AE481" s="2" t="str">
        <f t="shared" si="22"/>
        <v/>
      </c>
      <c r="AF481" s="2" t="str">
        <f t="shared" si="23"/>
        <v/>
      </c>
      <c r="AG481" s="2" t="str">
        <f>IF($L481="","",IF(COUNTIF(LISTS!$A$2:$A$200,$H481)=0,"NEW",""))</f>
        <v/>
      </c>
    </row>
    <row r="482" spans="30:33" x14ac:dyDescent="0.25">
      <c r="AD482" s="2" t="str">
        <f t="shared" si="21"/>
        <v/>
      </c>
      <c r="AE482" s="2" t="str">
        <f t="shared" si="22"/>
        <v/>
      </c>
      <c r="AF482" s="2" t="str">
        <f t="shared" si="23"/>
        <v/>
      </c>
      <c r="AG482" s="2" t="str">
        <f>IF($L482="","",IF(COUNTIF(LISTS!$A$2:$A$200,$H482)=0,"NEW",""))</f>
        <v/>
      </c>
    </row>
    <row r="483" spans="30:33" x14ac:dyDescent="0.25">
      <c r="AD483" s="2" t="str">
        <f t="shared" si="21"/>
        <v/>
      </c>
      <c r="AE483" s="2" t="str">
        <f t="shared" si="22"/>
        <v/>
      </c>
      <c r="AF483" s="2" t="str">
        <f t="shared" si="23"/>
        <v/>
      </c>
      <c r="AG483" s="2" t="str">
        <f>IF($L483="","",IF(COUNTIF(LISTS!$A$2:$A$200,$H483)=0,"NEW",""))</f>
        <v/>
      </c>
    </row>
    <row r="484" spans="30:33" x14ac:dyDescent="0.25">
      <c r="AD484" s="2" t="str">
        <f t="shared" si="21"/>
        <v/>
      </c>
      <c r="AE484" s="2" t="str">
        <f t="shared" si="22"/>
        <v/>
      </c>
      <c r="AF484" s="2" t="str">
        <f t="shared" si="23"/>
        <v/>
      </c>
      <c r="AG484" s="2" t="str">
        <f>IF($L484="","",IF(COUNTIF(LISTS!$A$2:$A$200,$H484)=0,"NEW",""))</f>
        <v/>
      </c>
    </row>
    <row r="485" spans="30:33" x14ac:dyDescent="0.25">
      <c r="AD485" s="2" t="str">
        <f t="shared" si="21"/>
        <v/>
      </c>
      <c r="AE485" s="2" t="str">
        <f t="shared" si="22"/>
        <v/>
      </c>
      <c r="AF485" s="2" t="str">
        <f t="shared" si="23"/>
        <v/>
      </c>
      <c r="AG485" s="2" t="str">
        <f>IF($L485="","",IF(COUNTIF(LISTS!$A$2:$A$200,$H485)=0,"NEW",""))</f>
        <v/>
      </c>
    </row>
    <row r="486" spans="30:33" x14ac:dyDescent="0.25">
      <c r="AD486" s="2" t="str">
        <f t="shared" si="21"/>
        <v/>
      </c>
      <c r="AE486" s="2" t="str">
        <f t="shared" si="22"/>
        <v/>
      </c>
      <c r="AF486" s="2" t="str">
        <f t="shared" si="23"/>
        <v/>
      </c>
      <c r="AG486" s="2" t="str">
        <f>IF($L486="","",IF(COUNTIF(LISTS!$A$2:$A$200,$H486)=0,"NEW",""))</f>
        <v/>
      </c>
    </row>
    <row r="487" spans="30:33" x14ac:dyDescent="0.25">
      <c r="AD487" s="2" t="str">
        <f t="shared" si="21"/>
        <v/>
      </c>
      <c r="AE487" s="2" t="str">
        <f t="shared" si="22"/>
        <v/>
      </c>
      <c r="AF487" s="2" t="str">
        <f t="shared" si="23"/>
        <v/>
      </c>
      <c r="AG487" s="2" t="str">
        <f>IF($L487="","",IF(COUNTIF(LISTS!$A$2:$A$200,$H487)=0,"NEW",""))</f>
        <v/>
      </c>
    </row>
    <row r="488" spans="30:33" x14ac:dyDescent="0.25">
      <c r="AD488" s="2" t="str">
        <f t="shared" si="21"/>
        <v/>
      </c>
      <c r="AE488" s="2" t="str">
        <f t="shared" si="22"/>
        <v/>
      </c>
      <c r="AF488" s="2" t="str">
        <f t="shared" si="23"/>
        <v/>
      </c>
      <c r="AG488" s="2" t="str">
        <f>IF($L488="","",IF(COUNTIF(LISTS!$A$2:$A$200,$H488)=0,"NEW",""))</f>
        <v/>
      </c>
    </row>
    <row r="489" spans="30:33" x14ac:dyDescent="0.25">
      <c r="AD489" s="2" t="str">
        <f t="shared" si="21"/>
        <v/>
      </c>
      <c r="AE489" s="2" t="str">
        <f t="shared" si="22"/>
        <v/>
      </c>
      <c r="AF489" s="2" t="str">
        <f t="shared" si="23"/>
        <v/>
      </c>
      <c r="AG489" s="2" t="str">
        <f>IF($L489="","",IF(COUNTIF(LISTS!$A$2:$A$200,$H489)=0,"NEW",""))</f>
        <v/>
      </c>
    </row>
    <row r="490" spans="30:33" x14ac:dyDescent="0.25">
      <c r="AD490" s="2" t="str">
        <f t="shared" si="21"/>
        <v/>
      </c>
      <c r="AE490" s="2" t="str">
        <f t="shared" si="22"/>
        <v/>
      </c>
      <c r="AF490" s="2" t="str">
        <f t="shared" si="23"/>
        <v/>
      </c>
      <c r="AG490" s="2" t="str">
        <f>IF($L490="","",IF(COUNTIF(LISTS!$A$2:$A$200,$H490)=0,"NEW",""))</f>
        <v/>
      </c>
    </row>
    <row r="491" spans="30:33" x14ac:dyDescent="0.25">
      <c r="AD491" s="2" t="str">
        <f t="shared" si="21"/>
        <v/>
      </c>
      <c r="AE491" s="2" t="str">
        <f t="shared" si="22"/>
        <v/>
      </c>
      <c r="AF491" s="2" t="str">
        <f t="shared" si="23"/>
        <v/>
      </c>
      <c r="AG491" s="2" t="str">
        <f>IF($L491="","",IF(COUNTIF(LISTS!$A$2:$A$200,$H491)=0,"NEW",""))</f>
        <v/>
      </c>
    </row>
    <row r="492" spans="30:33" x14ac:dyDescent="0.25">
      <c r="AD492" s="2" t="str">
        <f t="shared" si="21"/>
        <v/>
      </c>
      <c r="AE492" s="2" t="str">
        <f t="shared" si="22"/>
        <v/>
      </c>
      <c r="AF492" s="2" t="str">
        <f t="shared" si="23"/>
        <v/>
      </c>
      <c r="AG492" s="2" t="str">
        <f>IF($L492="","",IF(COUNTIF(LISTS!$A$2:$A$200,$H492)=0,"NEW",""))</f>
        <v/>
      </c>
    </row>
    <row r="493" spans="30:33" x14ac:dyDescent="0.25">
      <c r="AD493" s="2" t="str">
        <f t="shared" si="21"/>
        <v/>
      </c>
      <c r="AE493" s="2" t="str">
        <f t="shared" si="22"/>
        <v/>
      </c>
      <c r="AF493" s="2" t="str">
        <f t="shared" si="23"/>
        <v/>
      </c>
      <c r="AG493" s="2" t="str">
        <f>IF($L493="","",IF(COUNTIF(LISTS!$A$2:$A$200,$H493)=0,"NEW",""))</f>
        <v/>
      </c>
    </row>
    <row r="494" spans="30:33" x14ac:dyDescent="0.25">
      <c r="AD494" s="2" t="str">
        <f t="shared" si="21"/>
        <v/>
      </c>
      <c r="AE494" s="2" t="str">
        <f t="shared" si="22"/>
        <v/>
      </c>
      <c r="AF494" s="2" t="str">
        <f t="shared" si="23"/>
        <v/>
      </c>
      <c r="AG494" s="2" t="str">
        <f>IF($L494="","",IF(COUNTIF(LISTS!$A$2:$A$200,$H494)=0,"NEW",""))</f>
        <v/>
      </c>
    </row>
    <row r="495" spans="30:33" x14ac:dyDescent="0.25">
      <c r="AD495" s="2" t="str">
        <f t="shared" si="21"/>
        <v/>
      </c>
      <c r="AE495" s="2" t="str">
        <f t="shared" si="22"/>
        <v/>
      </c>
      <c r="AF495" s="2" t="str">
        <f t="shared" si="23"/>
        <v/>
      </c>
      <c r="AG495" s="2" t="str">
        <f>IF($L495="","",IF(COUNTIF(LISTS!$A$2:$A$200,$H495)=0,"NEW",""))</f>
        <v/>
      </c>
    </row>
    <row r="496" spans="30:33" x14ac:dyDescent="0.25">
      <c r="AD496" s="2" t="str">
        <f t="shared" si="21"/>
        <v/>
      </c>
      <c r="AE496" s="2" t="str">
        <f t="shared" si="22"/>
        <v/>
      </c>
      <c r="AF496" s="2" t="str">
        <f t="shared" si="23"/>
        <v/>
      </c>
      <c r="AG496" s="2" t="str">
        <f>IF($L496="","",IF(COUNTIF(LISTS!$A$2:$A$200,$H496)=0,"NEW",""))</f>
        <v/>
      </c>
    </row>
    <row r="497" spans="30:33" x14ac:dyDescent="0.25">
      <c r="AD497" s="2" t="str">
        <f t="shared" si="21"/>
        <v/>
      </c>
      <c r="AE497" s="2" t="str">
        <f t="shared" si="22"/>
        <v/>
      </c>
      <c r="AF497" s="2" t="str">
        <f t="shared" si="23"/>
        <v/>
      </c>
      <c r="AG497" s="2" t="str">
        <f>IF($L497="","",IF(COUNTIF(LISTS!$A$2:$A$200,$H497)=0,"NEW",""))</f>
        <v/>
      </c>
    </row>
    <row r="498" spans="30:33" x14ac:dyDescent="0.25">
      <c r="AD498" s="2" t="str">
        <f t="shared" si="21"/>
        <v/>
      </c>
      <c r="AE498" s="2" t="str">
        <f t="shared" si="22"/>
        <v/>
      </c>
      <c r="AF498" s="2" t="str">
        <f t="shared" si="23"/>
        <v/>
      </c>
      <c r="AG498" s="2" t="str">
        <f>IF($L498="","",IF(COUNTIF(LISTS!$A$2:$A$200,$H498)=0,"NEW",""))</f>
        <v/>
      </c>
    </row>
    <row r="499" spans="30:33" x14ac:dyDescent="0.25">
      <c r="AD499" s="2" t="str">
        <f t="shared" si="21"/>
        <v/>
      </c>
      <c r="AE499" s="2" t="str">
        <f t="shared" si="22"/>
        <v/>
      </c>
      <c r="AF499" s="2" t="str">
        <f t="shared" si="23"/>
        <v/>
      </c>
      <c r="AG499" s="2" t="str">
        <f>IF($L499="","",IF(COUNTIF(LISTS!$A$2:$A$200,$H499)=0,"NEW",""))</f>
        <v/>
      </c>
    </row>
    <row r="500" spans="30:33" x14ac:dyDescent="0.25">
      <c r="AD500" s="2" t="str">
        <f t="shared" si="21"/>
        <v/>
      </c>
      <c r="AE500" s="2" t="str">
        <f t="shared" si="22"/>
        <v/>
      </c>
      <c r="AF500" s="2" t="str">
        <f t="shared" si="23"/>
        <v/>
      </c>
      <c r="AG500" s="2" t="str">
        <f>IF($L500="","",IF(COUNTIF(LISTS!$A$2:$A$200,$H500)=0,"NEW",""))</f>
        <v/>
      </c>
    </row>
    <row r="501" spans="30:33" x14ac:dyDescent="0.25">
      <c r="AD501" s="2" t="str">
        <f t="shared" si="21"/>
        <v/>
      </c>
      <c r="AE501" s="2" t="str">
        <f t="shared" si="22"/>
        <v/>
      </c>
      <c r="AF501" s="2" t="str">
        <f t="shared" si="23"/>
        <v/>
      </c>
      <c r="AG501" s="2" t="str">
        <f>IF($L501="","",IF(COUNTIF(LISTS!$A$2:$A$200,$H501)=0,"NEW",""))</f>
        <v/>
      </c>
    </row>
    <row r="502" spans="30:33" x14ac:dyDescent="0.25">
      <c r="AD502" s="2" t="str">
        <f t="shared" si="21"/>
        <v/>
      </c>
      <c r="AE502" s="2" t="str">
        <f t="shared" si="22"/>
        <v/>
      </c>
      <c r="AF502" s="2" t="str">
        <f t="shared" si="23"/>
        <v/>
      </c>
      <c r="AG502" s="2" t="str">
        <f>IF($L502="","",IF(COUNTIF(LISTS!$A$2:$A$200,$H502)=0,"NEW",""))</f>
        <v/>
      </c>
    </row>
    <row r="503" spans="30:33" x14ac:dyDescent="0.25">
      <c r="AD503" s="2" t="str">
        <f t="shared" si="21"/>
        <v/>
      </c>
      <c r="AE503" s="2" t="str">
        <f t="shared" si="22"/>
        <v/>
      </c>
      <c r="AF503" s="2" t="str">
        <f t="shared" si="23"/>
        <v/>
      </c>
      <c r="AG503" s="2" t="str">
        <f>IF($L503="","",IF(COUNTIF(LISTS!$A$2:$A$200,$H503)=0,"NEW",""))</f>
        <v/>
      </c>
    </row>
    <row r="504" spans="30:33" x14ac:dyDescent="0.25">
      <c r="AD504" s="2" t="str">
        <f t="shared" si="21"/>
        <v/>
      </c>
      <c r="AE504" s="2" t="str">
        <f t="shared" si="22"/>
        <v/>
      </c>
      <c r="AF504" s="2" t="str">
        <f t="shared" si="23"/>
        <v/>
      </c>
      <c r="AG504" s="2" t="str">
        <f>IF($L504="","",IF(COUNTIF(LISTS!$A$2:$A$200,$H504)=0,"NEW",""))</f>
        <v/>
      </c>
    </row>
    <row r="505" spans="30:33" x14ac:dyDescent="0.25">
      <c r="AD505" s="2" t="str">
        <f t="shared" si="21"/>
        <v/>
      </c>
      <c r="AE505" s="2" t="str">
        <f t="shared" si="22"/>
        <v/>
      </c>
      <c r="AF505" s="2" t="str">
        <f t="shared" si="23"/>
        <v/>
      </c>
      <c r="AG505" s="2" t="str">
        <f>IF($L505="","",IF(COUNTIF(LISTS!$A$2:$A$200,$H505)=0,"NEW",""))</f>
        <v/>
      </c>
    </row>
    <row r="506" spans="30:33" x14ac:dyDescent="0.25">
      <c r="AD506" s="2" t="str">
        <f t="shared" si="21"/>
        <v/>
      </c>
      <c r="AE506" s="2" t="str">
        <f t="shared" si="22"/>
        <v/>
      </c>
      <c r="AF506" s="2" t="str">
        <f t="shared" si="23"/>
        <v/>
      </c>
      <c r="AG506" s="2" t="str">
        <f>IF($L506="","",IF(COUNTIF(LISTS!$A$2:$A$200,$H506)=0,"NEW",""))</f>
        <v/>
      </c>
    </row>
    <row r="507" spans="30:33" x14ac:dyDescent="0.25">
      <c r="AD507" s="2" t="str">
        <f t="shared" si="21"/>
        <v/>
      </c>
      <c r="AE507" s="2" t="str">
        <f t="shared" si="22"/>
        <v/>
      </c>
      <c r="AF507" s="2" t="str">
        <f t="shared" si="23"/>
        <v/>
      </c>
      <c r="AG507" s="2" t="str">
        <f>IF($L507="","",IF(COUNTIF(LISTS!$A$2:$A$200,$H507)=0,"NEW",""))</f>
        <v/>
      </c>
    </row>
    <row r="508" spans="30:33" x14ac:dyDescent="0.25">
      <c r="AD508" s="2" t="str">
        <f t="shared" si="21"/>
        <v/>
      </c>
      <c r="AE508" s="2" t="str">
        <f t="shared" si="22"/>
        <v/>
      </c>
      <c r="AF508" s="2" t="str">
        <f t="shared" si="23"/>
        <v/>
      </c>
      <c r="AG508" s="2" t="str">
        <f>IF($L508="","",IF(COUNTIF(LISTS!$A$2:$A$200,$H508)=0,"NEW",""))</f>
        <v/>
      </c>
    </row>
    <row r="509" spans="30:33" x14ac:dyDescent="0.25">
      <c r="AD509" s="2" t="str">
        <f t="shared" si="21"/>
        <v/>
      </c>
      <c r="AE509" s="2" t="str">
        <f t="shared" si="22"/>
        <v/>
      </c>
      <c r="AF509" s="2" t="str">
        <f t="shared" si="23"/>
        <v/>
      </c>
      <c r="AG509" s="2" t="str">
        <f>IF($L509="","",IF(COUNTIF(LISTS!$A$2:$A$200,$H509)=0,"NEW",""))</f>
        <v/>
      </c>
    </row>
    <row r="510" spans="30:33" x14ac:dyDescent="0.25">
      <c r="AD510" s="2" t="str">
        <f t="shared" si="21"/>
        <v/>
      </c>
      <c r="AE510" s="2" t="str">
        <f t="shared" si="22"/>
        <v/>
      </c>
      <c r="AF510" s="2" t="str">
        <f t="shared" si="23"/>
        <v/>
      </c>
      <c r="AG510" s="2" t="str">
        <f>IF($L510="","",IF(COUNTIF(LISTS!$A$2:$A$200,$H510)=0,"NEW",""))</f>
        <v/>
      </c>
    </row>
    <row r="511" spans="30:33" x14ac:dyDescent="0.25">
      <c r="AD511" s="2" t="str">
        <f t="shared" si="21"/>
        <v/>
      </c>
      <c r="AE511" s="2" t="str">
        <f t="shared" si="22"/>
        <v/>
      </c>
      <c r="AF511" s="2" t="str">
        <f t="shared" si="23"/>
        <v/>
      </c>
      <c r="AG511" s="2" t="str">
        <f>IF($L511="","",IF(COUNTIF(LISTS!$A$2:$A$200,$H511)=0,"NEW",""))</f>
        <v/>
      </c>
    </row>
    <row r="512" spans="30:33" x14ac:dyDescent="0.25">
      <c r="AD512" s="2" t="str">
        <f t="shared" si="21"/>
        <v/>
      </c>
      <c r="AE512" s="2" t="str">
        <f t="shared" si="22"/>
        <v/>
      </c>
      <c r="AF512" s="2" t="str">
        <f t="shared" si="23"/>
        <v/>
      </c>
      <c r="AG512" s="2" t="str">
        <f>IF($L512="","",IF(COUNTIF(LISTS!$A$2:$A$200,$H512)=0,"NEW",""))</f>
        <v/>
      </c>
    </row>
    <row r="513" spans="30:33" x14ac:dyDescent="0.25">
      <c r="AD513" s="2" t="str">
        <f t="shared" si="21"/>
        <v/>
      </c>
      <c r="AE513" s="2" t="str">
        <f t="shared" si="22"/>
        <v/>
      </c>
      <c r="AF513" s="2" t="str">
        <f t="shared" si="23"/>
        <v/>
      </c>
      <c r="AG513" s="2" t="str">
        <f>IF($L513="","",IF(COUNTIF(LISTS!$A$2:$A$200,$H513)=0,"NEW",""))</f>
        <v/>
      </c>
    </row>
    <row r="514" spans="30:33" x14ac:dyDescent="0.25">
      <c r="AD514" s="2" t="str">
        <f t="shared" ref="AD514:AD577" si="24">IF($L514="","",IF(ISNUMBER(SEARCH("OFF ROAD",$H514)),"OFF",IF(ISNUMBER(SEARCH("ON ROAD",$H514)),"ON","")))</f>
        <v/>
      </c>
      <c r="AE514" s="2" t="str">
        <f t="shared" ref="AE514:AE577" si="25">IF($AD514="ON",""&amp;$L514,"")</f>
        <v/>
      </c>
      <c r="AF514" s="2" t="str">
        <f t="shared" ref="AF514:AF577" si="26">IF($L514="","",IF($J514&lt;&gt;"","Y",""))</f>
        <v/>
      </c>
      <c r="AG514" s="2" t="str">
        <f>IF($L514="","",IF(COUNTIF(LISTS!$A$2:$A$200,$H514)=0,"NEW",""))</f>
        <v/>
      </c>
    </row>
    <row r="515" spans="30:33" x14ac:dyDescent="0.25">
      <c r="AD515" s="2" t="str">
        <f t="shared" si="24"/>
        <v/>
      </c>
      <c r="AE515" s="2" t="str">
        <f t="shared" si="25"/>
        <v/>
      </c>
      <c r="AF515" s="2" t="str">
        <f t="shared" si="26"/>
        <v/>
      </c>
      <c r="AG515" s="2" t="str">
        <f>IF($L515="","",IF(COUNTIF(LISTS!$A$2:$A$200,$H515)=0,"NEW",""))</f>
        <v/>
      </c>
    </row>
    <row r="516" spans="30:33" x14ac:dyDescent="0.25">
      <c r="AD516" s="2" t="str">
        <f t="shared" si="24"/>
        <v/>
      </c>
      <c r="AE516" s="2" t="str">
        <f t="shared" si="25"/>
        <v/>
      </c>
      <c r="AF516" s="2" t="str">
        <f t="shared" si="26"/>
        <v/>
      </c>
      <c r="AG516" s="2" t="str">
        <f>IF($L516="","",IF(COUNTIF(LISTS!$A$2:$A$200,$H516)=0,"NEW",""))</f>
        <v/>
      </c>
    </row>
    <row r="517" spans="30:33" x14ac:dyDescent="0.25">
      <c r="AD517" s="2" t="str">
        <f t="shared" si="24"/>
        <v/>
      </c>
      <c r="AE517" s="2" t="str">
        <f t="shared" si="25"/>
        <v/>
      </c>
      <c r="AF517" s="2" t="str">
        <f t="shared" si="26"/>
        <v/>
      </c>
      <c r="AG517" s="2" t="str">
        <f>IF($L517="","",IF(COUNTIF(LISTS!$A$2:$A$200,$H517)=0,"NEW",""))</f>
        <v/>
      </c>
    </row>
    <row r="518" spans="30:33" x14ac:dyDescent="0.25">
      <c r="AD518" s="2" t="str">
        <f t="shared" si="24"/>
        <v/>
      </c>
      <c r="AE518" s="2" t="str">
        <f t="shared" si="25"/>
        <v/>
      </c>
      <c r="AF518" s="2" t="str">
        <f t="shared" si="26"/>
        <v/>
      </c>
      <c r="AG518" s="2" t="str">
        <f>IF($L518="","",IF(COUNTIF(LISTS!$A$2:$A$200,$H518)=0,"NEW",""))</f>
        <v/>
      </c>
    </row>
    <row r="519" spans="30:33" x14ac:dyDescent="0.25">
      <c r="AD519" s="2" t="str">
        <f t="shared" si="24"/>
        <v/>
      </c>
      <c r="AE519" s="2" t="str">
        <f t="shared" si="25"/>
        <v/>
      </c>
      <c r="AF519" s="2" t="str">
        <f t="shared" si="26"/>
        <v/>
      </c>
      <c r="AG519" s="2" t="str">
        <f>IF($L519="","",IF(COUNTIF(LISTS!$A$2:$A$200,$H519)=0,"NEW",""))</f>
        <v/>
      </c>
    </row>
    <row r="520" spans="30:33" x14ac:dyDescent="0.25">
      <c r="AD520" s="2" t="str">
        <f t="shared" si="24"/>
        <v/>
      </c>
      <c r="AE520" s="2" t="str">
        <f t="shared" si="25"/>
        <v/>
      </c>
      <c r="AF520" s="2" t="str">
        <f t="shared" si="26"/>
        <v/>
      </c>
      <c r="AG520" s="2" t="str">
        <f>IF($L520="","",IF(COUNTIF(LISTS!$A$2:$A$200,$H520)=0,"NEW",""))</f>
        <v/>
      </c>
    </row>
    <row r="521" spans="30:33" x14ac:dyDescent="0.25">
      <c r="AD521" s="2" t="str">
        <f t="shared" si="24"/>
        <v/>
      </c>
      <c r="AE521" s="2" t="str">
        <f t="shared" si="25"/>
        <v/>
      </c>
      <c r="AF521" s="2" t="str">
        <f t="shared" si="26"/>
        <v/>
      </c>
      <c r="AG521" s="2" t="str">
        <f>IF($L521="","",IF(COUNTIF(LISTS!$A$2:$A$200,$H521)=0,"NEW",""))</f>
        <v/>
      </c>
    </row>
    <row r="522" spans="30:33" x14ac:dyDescent="0.25">
      <c r="AD522" s="2" t="str">
        <f t="shared" si="24"/>
        <v/>
      </c>
      <c r="AE522" s="2" t="str">
        <f t="shared" si="25"/>
        <v/>
      </c>
      <c r="AF522" s="2" t="str">
        <f t="shared" si="26"/>
        <v/>
      </c>
      <c r="AG522" s="2" t="str">
        <f>IF($L522="","",IF(COUNTIF(LISTS!$A$2:$A$200,$H522)=0,"NEW",""))</f>
        <v/>
      </c>
    </row>
    <row r="523" spans="30:33" x14ac:dyDescent="0.25">
      <c r="AD523" s="2" t="str">
        <f t="shared" si="24"/>
        <v/>
      </c>
      <c r="AE523" s="2" t="str">
        <f t="shared" si="25"/>
        <v/>
      </c>
      <c r="AF523" s="2" t="str">
        <f t="shared" si="26"/>
        <v/>
      </c>
      <c r="AG523" s="2" t="str">
        <f>IF($L523="","",IF(COUNTIF(LISTS!$A$2:$A$200,$H523)=0,"NEW",""))</f>
        <v/>
      </c>
    </row>
    <row r="524" spans="30:33" x14ac:dyDescent="0.25">
      <c r="AD524" s="2" t="str">
        <f t="shared" si="24"/>
        <v/>
      </c>
      <c r="AE524" s="2" t="str">
        <f t="shared" si="25"/>
        <v/>
      </c>
      <c r="AF524" s="2" t="str">
        <f t="shared" si="26"/>
        <v/>
      </c>
      <c r="AG524" s="2" t="str">
        <f>IF($L524="","",IF(COUNTIF(LISTS!$A$2:$A$200,$H524)=0,"NEW",""))</f>
        <v/>
      </c>
    </row>
    <row r="525" spans="30:33" x14ac:dyDescent="0.25">
      <c r="AD525" s="2" t="str">
        <f t="shared" si="24"/>
        <v/>
      </c>
      <c r="AE525" s="2" t="str">
        <f t="shared" si="25"/>
        <v/>
      </c>
      <c r="AF525" s="2" t="str">
        <f t="shared" si="26"/>
        <v/>
      </c>
      <c r="AG525" s="2" t="str">
        <f>IF($L525="","",IF(COUNTIF(LISTS!$A$2:$A$200,$H525)=0,"NEW",""))</f>
        <v/>
      </c>
    </row>
    <row r="526" spans="30:33" x14ac:dyDescent="0.25">
      <c r="AD526" s="2" t="str">
        <f t="shared" si="24"/>
        <v/>
      </c>
      <c r="AE526" s="2" t="str">
        <f t="shared" si="25"/>
        <v/>
      </c>
      <c r="AF526" s="2" t="str">
        <f t="shared" si="26"/>
        <v/>
      </c>
      <c r="AG526" s="2" t="str">
        <f>IF($L526="","",IF(COUNTIF(LISTS!$A$2:$A$200,$H526)=0,"NEW",""))</f>
        <v/>
      </c>
    </row>
    <row r="527" spans="30:33" x14ac:dyDescent="0.25">
      <c r="AD527" s="2" t="str">
        <f t="shared" si="24"/>
        <v/>
      </c>
      <c r="AE527" s="2" t="str">
        <f t="shared" si="25"/>
        <v/>
      </c>
      <c r="AF527" s="2" t="str">
        <f t="shared" si="26"/>
        <v/>
      </c>
      <c r="AG527" s="2" t="str">
        <f>IF($L527="","",IF(COUNTIF(LISTS!$A$2:$A$200,$H527)=0,"NEW",""))</f>
        <v/>
      </c>
    </row>
    <row r="528" spans="30:33" x14ac:dyDescent="0.25">
      <c r="AD528" s="2" t="str">
        <f t="shared" si="24"/>
        <v/>
      </c>
      <c r="AE528" s="2" t="str">
        <f t="shared" si="25"/>
        <v/>
      </c>
      <c r="AF528" s="2" t="str">
        <f t="shared" si="26"/>
        <v/>
      </c>
      <c r="AG528" s="2" t="str">
        <f>IF($L528="","",IF(COUNTIF(LISTS!$A$2:$A$200,$H528)=0,"NEW",""))</f>
        <v/>
      </c>
    </row>
    <row r="529" spans="30:33" x14ac:dyDescent="0.25">
      <c r="AD529" s="2" t="str">
        <f t="shared" si="24"/>
        <v/>
      </c>
      <c r="AE529" s="2" t="str">
        <f t="shared" si="25"/>
        <v/>
      </c>
      <c r="AF529" s="2" t="str">
        <f t="shared" si="26"/>
        <v/>
      </c>
      <c r="AG529" s="2" t="str">
        <f>IF($L529="","",IF(COUNTIF(LISTS!$A$2:$A$200,$H529)=0,"NEW",""))</f>
        <v/>
      </c>
    </row>
    <row r="530" spans="30:33" x14ac:dyDescent="0.25">
      <c r="AD530" s="2" t="str">
        <f t="shared" si="24"/>
        <v/>
      </c>
      <c r="AE530" s="2" t="str">
        <f t="shared" si="25"/>
        <v/>
      </c>
      <c r="AF530" s="2" t="str">
        <f t="shared" si="26"/>
        <v/>
      </c>
      <c r="AG530" s="2" t="str">
        <f>IF($L530="","",IF(COUNTIF(LISTS!$A$2:$A$200,$H530)=0,"NEW",""))</f>
        <v/>
      </c>
    </row>
    <row r="531" spans="30:33" x14ac:dyDescent="0.25">
      <c r="AD531" s="2" t="str">
        <f t="shared" si="24"/>
        <v/>
      </c>
      <c r="AE531" s="2" t="str">
        <f t="shared" si="25"/>
        <v/>
      </c>
      <c r="AF531" s="2" t="str">
        <f t="shared" si="26"/>
        <v/>
      </c>
      <c r="AG531" s="2" t="str">
        <f>IF($L531="","",IF(COUNTIF(LISTS!$A$2:$A$200,$H531)=0,"NEW",""))</f>
        <v/>
      </c>
    </row>
    <row r="532" spans="30:33" x14ac:dyDescent="0.25">
      <c r="AD532" s="2" t="str">
        <f t="shared" si="24"/>
        <v/>
      </c>
      <c r="AE532" s="2" t="str">
        <f t="shared" si="25"/>
        <v/>
      </c>
      <c r="AF532" s="2" t="str">
        <f t="shared" si="26"/>
        <v/>
      </c>
      <c r="AG532" s="2" t="str">
        <f>IF($L532="","",IF(COUNTIF(LISTS!$A$2:$A$200,$H532)=0,"NEW",""))</f>
        <v/>
      </c>
    </row>
    <row r="533" spans="30:33" x14ac:dyDescent="0.25">
      <c r="AD533" s="2" t="str">
        <f t="shared" si="24"/>
        <v/>
      </c>
      <c r="AE533" s="2" t="str">
        <f t="shared" si="25"/>
        <v/>
      </c>
      <c r="AF533" s="2" t="str">
        <f t="shared" si="26"/>
        <v/>
      </c>
      <c r="AG533" s="2" t="str">
        <f>IF($L533="","",IF(COUNTIF(LISTS!$A$2:$A$200,$H533)=0,"NEW",""))</f>
        <v/>
      </c>
    </row>
    <row r="534" spans="30:33" x14ac:dyDescent="0.25">
      <c r="AD534" s="2" t="str">
        <f t="shared" si="24"/>
        <v/>
      </c>
      <c r="AE534" s="2" t="str">
        <f t="shared" si="25"/>
        <v/>
      </c>
      <c r="AF534" s="2" t="str">
        <f t="shared" si="26"/>
        <v/>
      </c>
      <c r="AG534" s="2" t="str">
        <f>IF($L534="","",IF(COUNTIF(LISTS!$A$2:$A$200,$H534)=0,"NEW",""))</f>
        <v/>
      </c>
    </row>
    <row r="535" spans="30:33" x14ac:dyDescent="0.25">
      <c r="AD535" s="2" t="str">
        <f t="shared" si="24"/>
        <v/>
      </c>
      <c r="AE535" s="2" t="str">
        <f t="shared" si="25"/>
        <v/>
      </c>
      <c r="AF535" s="2" t="str">
        <f t="shared" si="26"/>
        <v/>
      </c>
      <c r="AG535" s="2" t="str">
        <f>IF($L535="","",IF(COUNTIF(LISTS!$A$2:$A$200,$H535)=0,"NEW",""))</f>
        <v/>
      </c>
    </row>
    <row r="536" spans="30:33" x14ac:dyDescent="0.25">
      <c r="AD536" s="2" t="str">
        <f t="shared" si="24"/>
        <v/>
      </c>
      <c r="AE536" s="2" t="str">
        <f t="shared" si="25"/>
        <v/>
      </c>
      <c r="AF536" s="2" t="str">
        <f t="shared" si="26"/>
        <v/>
      </c>
      <c r="AG536" s="2" t="str">
        <f>IF($L536="","",IF(COUNTIF(LISTS!$A$2:$A$200,$H536)=0,"NEW",""))</f>
        <v/>
      </c>
    </row>
    <row r="537" spans="30:33" x14ac:dyDescent="0.25">
      <c r="AD537" s="2" t="str">
        <f t="shared" si="24"/>
        <v/>
      </c>
      <c r="AE537" s="2" t="str">
        <f t="shared" si="25"/>
        <v/>
      </c>
      <c r="AF537" s="2" t="str">
        <f t="shared" si="26"/>
        <v/>
      </c>
      <c r="AG537" s="2" t="str">
        <f>IF($L537="","",IF(COUNTIF(LISTS!$A$2:$A$200,$H537)=0,"NEW",""))</f>
        <v/>
      </c>
    </row>
    <row r="538" spans="30:33" x14ac:dyDescent="0.25">
      <c r="AD538" s="2" t="str">
        <f t="shared" si="24"/>
        <v/>
      </c>
      <c r="AE538" s="2" t="str">
        <f t="shared" si="25"/>
        <v/>
      </c>
      <c r="AF538" s="2" t="str">
        <f t="shared" si="26"/>
        <v/>
      </c>
      <c r="AG538" s="2" t="str">
        <f>IF($L538="","",IF(COUNTIF(LISTS!$A$2:$A$200,$H538)=0,"NEW",""))</f>
        <v/>
      </c>
    </row>
    <row r="539" spans="30:33" x14ac:dyDescent="0.25">
      <c r="AD539" s="2" t="str">
        <f t="shared" si="24"/>
        <v/>
      </c>
      <c r="AE539" s="2" t="str">
        <f t="shared" si="25"/>
        <v/>
      </c>
      <c r="AF539" s="2" t="str">
        <f t="shared" si="26"/>
        <v/>
      </c>
      <c r="AG539" s="2" t="str">
        <f>IF($L539="","",IF(COUNTIF(LISTS!$A$2:$A$200,$H539)=0,"NEW",""))</f>
        <v/>
      </c>
    </row>
    <row r="540" spans="30:33" x14ac:dyDescent="0.25">
      <c r="AD540" s="2" t="str">
        <f t="shared" si="24"/>
        <v/>
      </c>
      <c r="AE540" s="2" t="str">
        <f t="shared" si="25"/>
        <v/>
      </c>
      <c r="AF540" s="2" t="str">
        <f t="shared" si="26"/>
        <v/>
      </c>
      <c r="AG540" s="2" t="str">
        <f>IF($L540="","",IF(COUNTIF(LISTS!$A$2:$A$200,$H540)=0,"NEW",""))</f>
        <v/>
      </c>
    </row>
    <row r="541" spans="30:33" x14ac:dyDescent="0.25">
      <c r="AD541" s="2" t="str">
        <f t="shared" si="24"/>
        <v/>
      </c>
      <c r="AE541" s="2" t="str">
        <f t="shared" si="25"/>
        <v/>
      </c>
      <c r="AF541" s="2" t="str">
        <f t="shared" si="26"/>
        <v/>
      </c>
      <c r="AG541" s="2" t="str">
        <f>IF($L541="","",IF(COUNTIF(LISTS!$A$2:$A$200,$H541)=0,"NEW",""))</f>
        <v/>
      </c>
    </row>
    <row r="542" spans="30:33" x14ac:dyDescent="0.25">
      <c r="AD542" s="2" t="str">
        <f t="shared" si="24"/>
        <v/>
      </c>
      <c r="AE542" s="2" t="str">
        <f t="shared" si="25"/>
        <v/>
      </c>
      <c r="AF542" s="2" t="str">
        <f t="shared" si="26"/>
        <v/>
      </c>
      <c r="AG542" s="2" t="str">
        <f>IF($L542="","",IF(COUNTIF(LISTS!$A$2:$A$200,$H542)=0,"NEW",""))</f>
        <v/>
      </c>
    </row>
    <row r="543" spans="30:33" x14ac:dyDescent="0.25">
      <c r="AD543" s="2" t="str">
        <f t="shared" si="24"/>
        <v/>
      </c>
      <c r="AE543" s="2" t="str">
        <f t="shared" si="25"/>
        <v/>
      </c>
      <c r="AF543" s="2" t="str">
        <f t="shared" si="26"/>
        <v/>
      </c>
      <c r="AG543" s="2" t="str">
        <f>IF($L543="","",IF(COUNTIF(LISTS!$A$2:$A$200,$H543)=0,"NEW",""))</f>
        <v/>
      </c>
    </row>
    <row r="544" spans="30:33" x14ac:dyDescent="0.25">
      <c r="AD544" s="2" t="str">
        <f t="shared" si="24"/>
        <v/>
      </c>
      <c r="AE544" s="2" t="str">
        <f t="shared" si="25"/>
        <v/>
      </c>
      <c r="AF544" s="2" t="str">
        <f t="shared" si="26"/>
        <v/>
      </c>
      <c r="AG544" s="2" t="str">
        <f>IF($L544="","",IF(COUNTIF(LISTS!$A$2:$A$200,$H544)=0,"NEW",""))</f>
        <v/>
      </c>
    </row>
    <row r="545" spans="30:33" x14ac:dyDescent="0.25">
      <c r="AD545" s="2" t="str">
        <f t="shared" si="24"/>
        <v/>
      </c>
      <c r="AE545" s="2" t="str">
        <f t="shared" si="25"/>
        <v/>
      </c>
      <c r="AF545" s="2" t="str">
        <f t="shared" si="26"/>
        <v/>
      </c>
      <c r="AG545" s="2" t="str">
        <f>IF($L545="","",IF(COUNTIF(LISTS!$A$2:$A$200,$H545)=0,"NEW",""))</f>
        <v/>
      </c>
    </row>
    <row r="546" spans="30:33" x14ac:dyDescent="0.25">
      <c r="AD546" s="2" t="str">
        <f t="shared" si="24"/>
        <v/>
      </c>
      <c r="AE546" s="2" t="str">
        <f t="shared" si="25"/>
        <v/>
      </c>
      <c r="AF546" s="2" t="str">
        <f t="shared" si="26"/>
        <v/>
      </c>
      <c r="AG546" s="2" t="str">
        <f>IF($L546="","",IF(COUNTIF(LISTS!$A$2:$A$200,$H546)=0,"NEW",""))</f>
        <v/>
      </c>
    </row>
    <row r="547" spans="30:33" x14ac:dyDescent="0.25">
      <c r="AD547" s="2" t="str">
        <f t="shared" si="24"/>
        <v/>
      </c>
      <c r="AE547" s="2" t="str">
        <f t="shared" si="25"/>
        <v/>
      </c>
      <c r="AF547" s="2" t="str">
        <f t="shared" si="26"/>
        <v/>
      </c>
      <c r="AG547" s="2" t="str">
        <f>IF($L547="","",IF(COUNTIF(LISTS!$A$2:$A$200,$H547)=0,"NEW",""))</f>
        <v/>
      </c>
    </row>
    <row r="548" spans="30:33" x14ac:dyDescent="0.25">
      <c r="AD548" s="2" t="str">
        <f t="shared" si="24"/>
        <v/>
      </c>
      <c r="AE548" s="2" t="str">
        <f t="shared" si="25"/>
        <v/>
      </c>
      <c r="AF548" s="2" t="str">
        <f t="shared" si="26"/>
        <v/>
      </c>
      <c r="AG548" s="2" t="str">
        <f>IF($L548="","",IF(COUNTIF(LISTS!$A$2:$A$200,$H548)=0,"NEW",""))</f>
        <v/>
      </c>
    </row>
    <row r="549" spans="30:33" x14ac:dyDescent="0.25">
      <c r="AD549" s="2" t="str">
        <f t="shared" si="24"/>
        <v/>
      </c>
      <c r="AE549" s="2" t="str">
        <f t="shared" si="25"/>
        <v/>
      </c>
      <c r="AF549" s="2" t="str">
        <f t="shared" si="26"/>
        <v/>
      </c>
      <c r="AG549" s="2" t="str">
        <f>IF($L549="","",IF(COUNTIF(LISTS!$A$2:$A$200,$H549)=0,"NEW",""))</f>
        <v/>
      </c>
    </row>
    <row r="550" spans="30:33" x14ac:dyDescent="0.25">
      <c r="AD550" s="2" t="str">
        <f t="shared" si="24"/>
        <v/>
      </c>
      <c r="AE550" s="2" t="str">
        <f t="shared" si="25"/>
        <v/>
      </c>
      <c r="AF550" s="2" t="str">
        <f t="shared" si="26"/>
        <v/>
      </c>
      <c r="AG550" s="2" t="str">
        <f>IF($L550="","",IF(COUNTIF(LISTS!$A$2:$A$200,$H550)=0,"NEW",""))</f>
        <v/>
      </c>
    </row>
    <row r="551" spans="30:33" x14ac:dyDescent="0.25">
      <c r="AD551" s="2" t="str">
        <f t="shared" si="24"/>
        <v/>
      </c>
      <c r="AE551" s="2" t="str">
        <f t="shared" si="25"/>
        <v/>
      </c>
      <c r="AF551" s="2" t="str">
        <f t="shared" si="26"/>
        <v/>
      </c>
      <c r="AG551" s="2" t="str">
        <f>IF($L551="","",IF(COUNTIF(LISTS!$A$2:$A$200,$H551)=0,"NEW",""))</f>
        <v/>
      </c>
    </row>
    <row r="552" spans="30:33" x14ac:dyDescent="0.25">
      <c r="AD552" s="2" t="str">
        <f t="shared" si="24"/>
        <v/>
      </c>
      <c r="AE552" s="2" t="str">
        <f t="shared" si="25"/>
        <v/>
      </c>
      <c r="AF552" s="2" t="str">
        <f t="shared" si="26"/>
        <v/>
      </c>
      <c r="AG552" s="2" t="str">
        <f>IF($L552="","",IF(COUNTIF(LISTS!$A$2:$A$200,$H552)=0,"NEW",""))</f>
        <v/>
      </c>
    </row>
    <row r="553" spans="30:33" x14ac:dyDescent="0.25">
      <c r="AD553" s="2" t="str">
        <f t="shared" si="24"/>
        <v/>
      </c>
      <c r="AE553" s="2" t="str">
        <f t="shared" si="25"/>
        <v/>
      </c>
      <c r="AF553" s="2" t="str">
        <f t="shared" si="26"/>
        <v/>
      </c>
      <c r="AG553" s="2" t="str">
        <f>IF($L553="","",IF(COUNTIF(LISTS!$A$2:$A$200,$H553)=0,"NEW",""))</f>
        <v/>
      </c>
    </row>
    <row r="554" spans="30:33" x14ac:dyDescent="0.25">
      <c r="AD554" s="2" t="str">
        <f t="shared" si="24"/>
        <v/>
      </c>
      <c r="AE554" s="2" t="str">
        <f t="shared" si="25"/>
        <v/>
      </c>
      <c r="AF554" s="2" t="str">
        <f t="shared" si="26"/>
        <v/>
      </c>
      <c r="AG554" s="2" t="str">
        <f>IF($L554="","",IF(COUNTIF(LISTS!$A$2:$A$200,$H554)=0,"NEW",""))</f>
        <v/>
      </c>
    </row>
    <row r="555" spans="30:33" x14ac:dyDescent="0.25">
      <c r="AD555" s="2" t="str">
        <f t="shared" si="24"/>
        <v/>
      </c>
      <c r="AE555" s="2" t="str">
        <f t="shared" si="25"/>
        <v/>
      </c>
      <c r="AF555" s="2" t="str">
        <f t="shared" si="26"/>
        <v/>
      </c>
      <c r="AG555" s="2" t="str">
        <f>IF($L555="","",IF(COUNTIF(LISTS!$A$2:$A$200,$H555)=0,"NEW",""))</f>
        <v/>
      </c>
    </row>
    <row r="556" spans="30:33" x14ac:dyDescent="0.25">
      <c r="AD556" s="2" t="str">
        <f t="shared" si="24"/>
        <v/>
      </c>
      <c r="AE556" s="2" t="str">
        <f t="shared" si="25"/>
        <v/>
      </c>
      <c r="AF556" s="2" t="str">
        <f t="shared" si="26"/>
        <v/>
      </c>
      <c r="AG556" s="2" t="str">
        <f>IF($L556="","",IF(COUNTIF(LISTS!$A$2:$A$200,$H556)=0,"NEW",""))</f>
        <v/>
      </c>
    </row>
    <row r="557" spans="30:33" x14ac:dyDescent="0.25">
      <c r="AD557" s="2" t="str">
        <f t="shared" si="24"/>
        <v/>
      </c>
      <c r="AE557" s="2" t="str">
        <f t="shared" si="25"/>
        <v/>
      </c>
      <c r="AF557" s="2" t="str">
        <f t="shared" si="26"/>
        <v/>
      </c>
      <c r="AG557" s="2" t="str">
        <f>IF($L557="","",IF(COUNTIF(LISTS!$A$2:$A$200,$H557)=0,"NEW",""))</f>
        <v/>
      </c>
    </row>
    <row r="558" spans="30:33" x14ac:dyDescent="0.25">
      <c r="AD558" s="2" t="str">
        <f t="shared" si="24"/>
        <v/>
      </c>
      <c r="AE558" s="2" t="str">
        <f t="shared" si="25"/>
        <v/>
      </c>
      <c r="AF558" s="2" t="str">
        <f t="shared" si="26"/>
        <v/>
      </c>
      <c r="AG558" s="2" t="str">
        <f>IF($L558="","",IF(COUNTIF(LISTS!$A$2:$A$200,$H558)=0,"NEW",""))</f>
        <v/>
      </c>
    </row>
    <row r="559" spans="30:33" x14ac:dyDescent="0.25">
      <c r="AD559" s="2" t="str">
        <f t="shared" si="24"/>
        <v/>
      </c>
      <c r="AE559" s="2" t="str">
        <f t="shared" si="25"/>
        <v/>
      </c>
      <c r="AF559" s="2" t="str">
        <f t="shared" si="26"/>
        <v/>
      </c>
      <c r="AG559" s="2" t="str">
        <f>IF($L559="","",IF(COUNTIF(LISTS!$A$2:$A$200,$H559)=0,"NEW",""))</f>
        <v/>
      </c>
    </row>
    <row r="560" spans="30:33" x14ac:dyDescent="0.25">
      <c r="AD560" s="2" t="str">
        <f t="shared" si="24"/>
        <v/>
      </c>
      <c r="AE560" s="2" t="str">
        <f t="shared" si="25"/>
        <v/>
      </c>
      <c r="AF560" s="2" t="str">
        <f t="shared" si="26"/>
        <v/>
      </c>
      <c r="AG560" s="2" t="str">
        <f>IF($L560="","",IF(COUNTIF(LISTS!$A$2:$A$200,$H560)=0,"NEW",""))</f>
        <v/>
      </c>
    </row>
    <row r="561" spans="30:33" x14ac:dyDescent="0.25">
      <c r="AD561" s="2" t="str">
        <f t="shared" si="24"/>
        <v/>
      </c>
      <c r="AE561" s="2" t="str">
        <f t="shared" si="25"/>
        <v/>
      </c>
      <c r="AF561" s="2" t="str">
        <f t="shared" si="26"/>
        <v/>
      </c>
      <c r="AG561" s="2" t="str">
        <f>IF($L561="","",IF(COUNTIF(LISTS!$A$2:$A$200,$H561)=0,"NEW",""))</f>
        <v/>
      </c>
    </row>
    <row r="562" spans="30:33" x14ac:dyDescent="0.25">
      <c r="AD562" s="2" t="str">
        <f t="shared" si="24"/>
        <v/>
      </c>
      <c r="AE562" s="2" t="str">
        <f t="shared" si="25"/>
        <v/>
      </c>
      <c r="AF562" s="2" t="str">
        <f t="shared" si="26"/>
        <v/>
      </c>
      <c r="AG562" s="2" t="str">
        <f>IF($L562="","",IF(COUNTIF(LISTS!$A$2:$A$200,$H562)=0,"NEW",""))</f>
        <v/>
      </c>
    </row>
    <row r="563" spans="30:33" x14ac:dyDescent="0.25">
      <c r="AD563" s="2" t="str">
        <f t="shared" si="24"/>
        <v/>
      </c>
      <c r="AE563" s="2" t="str">
        <f t="shared" si="25"/>
        <v/>
      </c>
      <c r="AF563" s="2" t="str">
        <f t="shared" si="26"/>
        <v/>
      </c>
      <c r="AG563" s="2" t="str">
        <f>IF($L563="","",IF(COUNTIF(LISTS!$A$2:$A$200,$H563)=0,"NEW",""))</f>
        <v/>
      </c>
    </row>
    <row r="564" spans="30:33" x14ac:dyDescent="0.25">
      <c r="AD564" s="2" t="str">
        <f t="shared" si="24"/>
        <v/>
      </c>
      <c r="AE564" s="2" t="str">
        <f t="shared" si="25"/>
        <v/>
      </c>
      <c r="AF564" s="2" t="str">
        <f t="shared" si="26"/>
        <v/>
      </c>
      <c r="AG564" s="2" t="str">
        <f>IF($L564="","",IF(COUNTIF(LISTS!$A$2:$A$200,$H564)=0,"NEW",""))</f>
        <v/>
      </c>
    </row>
    <row r="565" spans="30:33" x14ac:dyDescent="0.25">
      <c r="AD565" s="2" t="str">
        <f t="shared" si="24"/>
        <v/>
      </c>
      <c r="AE565" s="2" t="str">
        <f t="shared" si="25"/>
        <v/>
      </c>
      <c r="AF565" s="2" t="str">
        <f t="shared" si="26"/>
        <v/>
      </c>
      <c r="AG565" s="2" t="str">
        <f>IF($L565="","",IF(COUNTIF(LISTS!$A$2:$A$200,$H565)=0,"NEW",""))</f>
        <v/>
      </c>
    </row>
    <row r="566" spans="30:33" x14ac:dyDescent="0.25">
      <c r="AD566" s="2" t="str">
        <f t="shared" si="24"/>
        <v/>
      </c>
      <c r="AE566" s="2" t="str">
        <f t="shared" si="25"/>
        <v/>
      </c>
      <c r="AF566" s="2" t="str">
        <f t="shared" si="26"/>
        <v/>
      </c>
      <c r="AG566" s="2" t="str">
        <f>IF($L566="","",IF(COUNTIF(LISTS!$A$2:$A$200,$H566)=0,"NEW",""))</f>
        <v/>
      </c>
    </row>
    <row r="567" spans="30:33" x14ac:dyDescent="0.25">
      <c r="AD567" s="2" t="str">
        <f t="shared" si="24"/>
        <v/>
      </c>
      <c r="AE567" s="2" t="str">
        <f t="shared" si="25"/>
        <v/>
      </c>
      <c r="AF567" s="2" t="str">
        <f t="shared" si="26"/>
        <v/>
      </c>
      <c r="AG567" s="2" t="str">
        <f>IF($L567="","",IF(COUNTIF(LISTS!$A$2:$A$200,$H567)=0,"NEW",""))</f>
        <v/>
      </c>
    </row>
    <row r="568" spans="30:33" x14ac:dyDescent="0.25">
      <c r="AD568" s="2" t="str">
        <f t="shared" si="24"/>
        <v/>
      </c>
      <c r="AE568" s="2" t="str">
        <f t="shared" si="25"/>
        <v/>
      </c>
      <c r="AF568" s="2" t="str">
        <f t="shared" si="26"/>
        <v/>
      </c>
      <c r="AG568" s="2" t="str">
        <f>IF($L568="","",IF(COUNTIF(LISTS!$A$2:$A$200,$H568)=0,"NEW",""))</f>
        <v/>
      </c>
    </row>
    <row r="569" spans="30:33" x14ac:dyDescent="0.25">
      <c r="AD569" s="2" t="str">
        <f t="shared" si="24"/>
        <v/>
      </c>
      <c r="AE569" s="2" t="str">
        <f t="shared" si="25"/>
        <v/>
      </c>
      <c r="AF569" s="2" t="str">
        <f t="shared" si="26"/>
        <v/>
      </c>
      <c r="AG569" s="2" t="str">
        <f>IF($L569="","",IF(COUNTIF(LISTS!$A$2:$A$200,$H569)=0,"NEW",""))</f>
        <v/>
      </c>
    </row>
    <row r="570" spans="30:33" x14ac:dyDescent="0.25">
      <c r="AD570" s="2" t="str">
        <f t="shared" si="24"/>
        <v/>
      </c>
      <c r="AE570" s="2" t="str">
        <f t="shared" si="25"/>
        <v/>
      </c>
      <c r="AF570" s="2" t="str">
        <f t="shared" si="26"/>
        <v/>
      </c>
      <c r="AG570" s="2" t="str">
        <f>IF($L570="","",IF(COUNTIF(LISTS!$A$2:$A$200,$H570)=0,"NEW",""))</f>
        <v/>
      </c>
    </row>
    <row r="571" spans="30:33" x14ac:dyDescent="0.25">
      <c r="AD571" s="2" t="str">
        <f t="shared" si="24"/>
        <v/>
      </c>
      <c r="AE571" s="2" t="str">
        <f t="shared" si="25"/>
        <v/>
      </c>
      <c r="AF571" s="2" t="str">
        <f t="shared" si="26"/>
        <v/>
      </c>
      <c r="AG571" s="2" t="str">
        <f>IF($L571="","",IF(COUNTIF(LISTS!$A$2:$A$200,$H571)=0,"NEW",""))</f>
        <v/>
      </c>
    </row>
    <row r="572" spans="30:33" x14ac:dyDescent="0.25">
      <c r="AD572" s="2" t="str">
        <f t="shared" si="24"/>
        <v/>
      </c>
      <c r="AE572" s="2" t="str">
        <f t="shared" si="25"/>
        <v/>
      </c>
      <c r="AF572" s="2" t="str">
        <f t="shared" si="26"/>
        <v/>
      </c>
      <c r="AG572" s="2" t="str">
        <f>IF($L572="","",IF(COUNTIF(LISTS!$A$2:$A$200,$H572)=0,"NEW",""))</f>
        <v/>
      </c>
    </row>
    <row r="573" spans="30:33" x14ac:dyDescent="0.25">
      <c r="AD573" s="2" t="str">
        <f t="shared" si="24"/>
        <v/>
      </c>
      <c r="AE573" s="2" t="str">
        <f t="shared" si="25"/>
        <v/>
      </c>
      <c r="AF573" s="2" t="str">
        <f t="shared" si="26"/>
        <v/>
      </c>
      <c r="AG573" s="2" t="str">
        <f>IF($L573="","",IF(COUNTIF(LISTS!$A$2:$A$200,$H573)=0,"NEW",""))</f>
        <v/>
      </c>
    </row>
    <row r="574" spans="30:33" x14ac:dyDescent="0.25">
      <c r="AD574" s="2" t="str">
        <f t="shared" si="24"/>
        <v/>
      </c>
      <c r="AE574" s="2" t="str">
        <f t="shared" si="25"/>
        <v/>
      </c>
      <c r="AF574" s="2" t="str">
        <f t="shared" si="26"/>
        <v/>
      </c>
      <c r="AG574" s="2" t="str">
        <f>IF($L574="","",IF(COUNTIF(LISTS!$A$2:$A$200,$H574)=0,"NEW",""))</f>
        <v/>
      </c>
    </row>
    <row r="575" spans="30:33" x14ac:dyDescent="0.25">
      <c r="AD575" s="2" t="str">
        <f t="shared" si="24"/>
        <v/>
      </c>
      <c r="AE575" s="2" t="str">
        <f t="shared" si="25"/>
        <v/>
      </c>
      <c r="AF575" s="2" t="str">
        <f t="shared" si="26"/>
        <v/>
      </c>
      <c r="AG575" s="2" t="str">
        <f>IF($L575="","",IF(COUNTIF(LISTS!$A$2:$A$200,$H575)=0,"NEW",""))</f>
        <v/>
      </c>
    </row>
    <row r="576" spans="30:33" x14ac:dyDescent="0.25">
      <c r="AD576" s="2" t="str">
        <f t="shared" si="24"/>
        <v/>
      </c>
      <c r="AE576" s="2" t="str">
        <f t="shared" si="25"/>
        <v/>
      </c>
      <c r="AF576" s="2" t="str">
        <f t="shared" si="26"/>
        <v/>
      </c>
      <c r="AG576" s="2" t="str">
        <f>IF($L576="","",IF(COUNTIF(LISTS!$A$2:$A$200,$H576)=0,"NEW",""))</f>
        <v/>
      </c>
    </row>
    <row r="577" spans="30:33" x14ac:dyDescent="0.25">
      <c r="AD577" s="2" t="str">
        <f t="shared" si="24"/>
        <v/>
      </c>
      <c r="AE577" s="2" t="str">
        <f t="shared" si="25"/>
        <v/>
      </c>
      <c r="AF577" s="2" t="str">
        <f t="shared" si="26"/>
        <v/>
      </c>
      <c r="AG577" s="2" t="str">
        <f>IF($L577="","",IF(COUNTIF(LISTS!$A$2:$A$200,$H577)=0,"NEW",""))</f>
        <v/>
      </c>
    </row>
    <row r="578" spans="30:33" x14ac:dyDescent="0.25">
      <c r="AD578" s="2" t="str">
        <f t="shared" ref="AD578:AD641" si="27">IF($L578="","",IF(ISNUMBER(SEARCH("OFF ROAD",$H578)),"OFF",IF(ISNUMBER(SEARCH("ON ROAD",$H578)),"ON","")))</f>
        <v/>
      </c>
      <c r="AE578" s="2" t="str">
        <f t="shared" ref="AE578:AE641" si="28">IF($AD578="ON",""&amp;$L578,"")</f>
        <v/>
      </c>
      <c r="AF578" s="2" t="str">
        <f t="shared" ref="AF578:AF641" si="29">IF($L578="","",IF($J578&lt;&gt;"","Y",""))</f>
        <v/>
      </c>
      <c r="AG578" s="2" t="str">
        <f>IF($L578="","",IF(COUNTIF(LISTS!$A$2:$A$200,$H578)=0,"NEW",""))</f>
        <v/>
      </c>
    </row>
    <row r="579" spans="30:33" x14ac:dyDescent="0.25">
      <c r="AD579" s="2" t="str">
        <f t="shared" si="27"/>
        <v/>
      </c>
      <c r="AE579" s="2" t="str">
        <f t="shared" si="28"/>
        <v/>
      </c>
      <c r="AF579" s="2" t="str">
        <f t="shared" si="29"/>
        <v/>
      </c>
      <c r="AG579" s="2" t="str">
        <f>IF($L579="","",IF(COUNTIF(LISTS!$A$2:$A$200,$H579)=0,"NEW",""))</f>
        <v/>
      </c>
    </row>
    <row r="580" spans="30:33" x14ac:dyDescent="0.25">
      <c r="AD580" s="2" t="str">
        <f t="shared" si="27"/>
        <v/>
      </c>
      <c r="AE580" s="2" t="str">
        <f t="shared" si="28"/>
        <v/>
      </c>
      <c r="AF580" s="2" t="str">
        <f t="shared" si="29"/>
        <v/>
      </c>
      <c r="AG580" s="2" t="str">
        <f>IF($L580="","",IF(COUNTIF(LISTS!$A$2:$A$200,$H580)=0,"NEW",""))</f>
        <v/>
      </c>
    </row>
    <row r="581" spans="30:33" x14ac:dyDescent="0.25">
      <c r="AD581" s="2" t="str">
        <f t="shared" si="27"/>
        <v/>
      </c>
      <c r="AE581" s="2" t="str">
        <f t="shared" si="28"/>
        <v/>
      </c>
      <c r="AF581" s="2" t="str">
        <f t="shared" si="29"/>
        <v/>
      </c>
      <c r="AG581" s="2" t="str">
        <f>IF($L581="","",IF(COUNTIF(LISTS!$A$2:$A$200,$H581)=0,"NEW",""))</f>
        <v/>
      </c>
    </row>
    <row r="582" spans="30:33" x14ac:dyDescent="0.25">
      <c r="AD582" s="2" t="str">
        <f t="shared" si="27"/>
        <v/>
      </c>
      <c r="AE582" s="2" t="str">
        <f t="shared" si="28"/>
        <v/>
      </c>
      <c r="AF582" s="2" t="str">
        <f t="shared" si="29"/>
        <v/>
      </c>
      <c r="AG582" s="2" t="str">
        <f>IF($L582="","",IF(COUNTIF(LISTS!$A$2:$A$200,$H582)=0,"NEW",""))</f>
        <v/>
      </c>
    </row>
    <row r="583" spans="30:33" x14ac:dyDescent="0.25">
      <c r="AD583" s="2" t="str">
        <f t="shared" si="27"/>
        <v/>
      </c>
      <c r="AE583" s="2" t="str">
        <f t="shared" si="28"/>
        <v/>
      </c>
      <c r="AF583" s="2" t="str">
        <f t="shared" si="29"/>
        <v/>
      </c>
      <c r="AG583" s="2" t="str">
        <f>IF($L583="","",IF(COUNTIF(LISTS!$A$2:$A$200,$H583)=0,"NEW",""))</f>
        <v/>
      </c>
    </row>
    <row r="584" spans="30:33" x14ac:dyDescent="0.25">
      <c r="AD584" s="2" t="str">
        <f t="shared" si="27"/>
        <v/>
      </c>
      <c r="AE584" s="2" t="str">
        <f t="shared" si="28"/>
        <v/>
      </c>
      <c r="AF584" s="2" t="str">
        <f t="shared" si="29"/>
        <v/>
      </c>
      <c r="AG584" s="2" t="str">
        <f>IF($L584="","",IF(COUNTIF(LISTS!$A$2:$A$200,$H584)=0,"NEW",""))</f>
        <v/>
      </c>
    </row>
    <row r="585" spans="30:33" x14ac:dyDescent="0.25">
      <c r="AD585" s="2" t="str">
        <f t="shared" si="27"/>
        <v/>
      </c>
      <c r="AE585" s="2" t="str">
        <f t="shared" si="28"/>
        <v/>
      </c>
      <c r="AF585" s="2" t="str">
        <f t="shared" si="29"/>
        <v/>
      </c>
      <c r="AG585" s="2" t="str">
        <f>IF($L585="","",IF(COUNTIF(LISTS!$A$2:$A$200,$H585)=0,"NEW",""))</f>
        <v/>
      </c>
    </row>
    <row r="586" spans="30:33" x14ac:dyDescent="0.25">
      <c r="AD586" s="2" t="str">
        <f t="shared" si="27"/>
        <v/>
      </c>
      <c r="AE586" s="2" t="str">
        <f t="shared" si="28"/>
        <v/>
      </c>
      <c r="AF586" s="2" t="str">
        <f t="shared" si="29"/>
        <v/>
      </c>
      <c r="AG586" s="2" t="str">
        <f>IF($L586="","",IF(COUNTIF(LISTS!$A$2:$A$200,$H586)=0,"NEW",""))</f>
        <v/>
      </c>
    </row>
    <row r="587" spans="30:33" x14ac:dyDescent="0.25">
      <c r="AD587" s="2" t="str">
        <f t="shared" si="27"/>
        <v/>
      </c>
      <c r="AE587" s="2" t="str">
        <f t="shared" si="28"/>
        <v/>
      </c>
      <c r="AF587" s="2" t="str">
        <f t="shared" si="29"/>
        <v/>
      </c>
      <c r="AG587" s="2" t="str">
        <f>IF($L587="","",IF(COUNTIF(LISTS!$A$2:$A$200,$H587)=0,"NEW",""))</f>
        <v/>
      </c>
    </row>
    <row r="588" spans="30:33" x14ac:dyDescent="0.25">
      <c r="AD588" s="2" t="str">
        <f t="shared" si="27"/>
        <v/>
      </c>
      <c r="AE588" s="2" t="str">
        <f t="shared" si="28"/>
        <v/>
      </c>
      <c r="AF588" s="2" t="str">
        <f t="shared" si="29"/>
        <v/>
      </c>
      <c r="AG588" s="2" t="str">
        <f>IF($L588="","",IF(COUNTIF(LISTS!$A$2:$A$200,$H588)=0,"NEW",""))</f>
        <v/>
      </c>
    </row>
    <row r="589" spans="30:33" x14ac:dyDescent="0.25">
      <c r="AD589" s="2" t="str">
        <f t="shared" si="27"/>
        <v/>
      </c>
      <c r="AE589" s="2" t="str">
        <f t="shared" si="28"/>
        <v/>
      </c>
      <c r="AF589" s="2" t="str">
        <f t="shared" si="29"/>
        <v/>
      </c>
      <c r="AG589" s="2" t="str">
        <f>IF($L589="","",IF(COUNTIF(LISTS!$A$2:$A$200,$H589)=0,"NEW",""))</f>
        <v/>
      </c>
    </row>
    <row r="590" spans="30:33" x14ac:dyDescent="0.25">
      <c r="AD590" s="2" t="str">
        <f t="shared" si="27"/>
        <v/>
      </c>
      <c r="AE590" s="2" t="str">
        <f t="shared" si="28"/>
        <v/>
      </c>
      <c r="AF590" s="2" t="str">
        <f t="shared" si="29"/>
        <v/>
      </c>
      <c r="AG590" s="2" t="str">
        <f>IF($L590="","",IF(COUNTIF(LISTS!$A$2:$A$200,$H590)=0,"NEW",""))</f>
        <v/>
      </c>
    </row>
    <row r="591" spans="30:33" x14ac:dyDescent="0.25">
      <c r="AD591" s="2" t="str">
        <f t="shared" si="27"/>
        <v/>
      </c>
      <c r="AE591" s="2" t="str">
        <f t="shared" si="28"/>
        <v/>
      </c>
      <c r="AF591" s="2" t="str">
        <f t="shared" si="29"/>
        <v/>
      </c>
      <c r="AG591" s="2" t="str">
        <f>IF($L591="","",IF(COUNTIF(LISTS!$A$2:$A$200,$H591)=0,"NEW",""))</f>
        <v/>
      </c>
    </row>
    <row r="592" spans="30:33" x14ac:dyDescent="0.25">
      <c r="AD592" s="2" t="str">
        <f t="shared" si="27"/>
        <v/>
      </c>
      <c r="AE592" s="2" t="str">
        <f t="shared" si="28"/>
        <v/>
      </c>
      <c r="AF592" s="2" t="str">
        <f t="shared" si="29"/>
        <v/>
      </c>
      <c r="AG592" s="2" t="str">
        <f>IF($L592="","",IF(COUNTIF(LISTS!$A$2:$A$200,$H592)=0,"NEW",""))</f>
        <v/>
      </c>
    </row>
    <row r="593" spans="30:33" x14ac:dyDescent="0.25">
      <c r="AD593" s="2" t="str">
        <f t="shared" si="27"/>
        <v/>
      </c>
      <c r="AE593" s="2" t="str">
        <f t="shared" si="28"/>
        <v/>
      </c>
      <c r="AF593" s="2" t="str">
        <f t="shared" si="29"/>
        <v/>
      </c>
      <c r="AG593" s="2" t="str">
        <f>IF($L593="","",IF(COUNTIF(LISTS!$A$2:$A$200,$H593)=0,"NEW",""))</f>
        <v/>
      </c>
    </row>
    <row r="594" spans="30:33" x14ac:dyDescent="0.25">
      <c r="AD594" s="2" t="str">
        <f t="shared" si="27"/>
        <v/>
      </c>
      <c r="AE594" s="2" t="str">
        <f t="shared" si="28"/>
        <v/>
      </c>
      <c r="AF594" s="2" t="str">
        <f t="shared" si="29"/>
        <v/>
      </c>
      <c r="AG594" s="2" t="str">
        <f>IF($L594="","",IF(COUNTIF(LISTS!$A$2:$A$200,$H594)=0,"NEW",""))</f>
        <v/>
      </c>
    </row>
    <row r="595" spans="30:33" x14ac:dyDescent="0.25">
      <c r="AD595" s="2" t="str">
        <f t="shared" si="27"/>
        <v/>
      </c>
      <c r="AE595" s="2" t="str">
        <f t="shared" si="28"/>
        <v/>
      </c>
      <c r="AF595" s="2" t="str">
        <f t="shared" si="29"/>
        <v/>
      </c>
      <c r="AG595" s="2" t="str">
        <f>IF($L595="","",IF(COUNTIF(LISTS!$A$2:$A$200,$H595)=0,"NEW",""))</f>
        <v/>
      </c>
    </row>
    <row r="596" spans="30:33" x14ac:dyDescent="0.25">
      <c r="AD596" s="2" t="str">
        <f t="shared" si="27"/>
        <v/>
      </c>
      <c r="AE596" s="2" t="str">
        <f t="shared" si="28"/>
        <v/>
      </c>
      <c r="AF596" s="2" t="str">
        <f t="shared" si="29"/>
        <v/>
      </c>
      <c r="AG596" s="2" t="str">
        <f>IF($L596="","",IF(COUNTIF(LISTS!$A$2:$A$200,$H596)=0,"NEW",""))</f>
        <v/>
      </c>
    </row>
    <row r="597" spans="30:33" x14ac:dyDescent="0.25">
      <c r="AD597" s="2" t="str">
        <f t="shared" si="27"/>
        <v/>
      </c>
      <c r="AE597" s="2" t="str">
        <f t="shared" si="28"/>
        <v/>
      </c>
      <c r="AF597" s="2" t="str">
        <f t="shared" si="29"/>
        <v/>
      </c>
      <c r="AG597" s="2" t="str">
        <f>IF($L597="","",IF(COUNTIF(LISTS!$A$2:$A$200,$H597)=0,"NEW",""))</f>
        <v/>
      </c>
    </row>
    <row r="598" spans="30:33" x14ac:dyDescent="0.25">
      <c r="AD598" s="2" t="str">
        <f t="shared" si="27"/>
        <v/>
      </c>
      <c r="AE598" s="2" t="str">
        <f t="shared" si="28"/>
        <v/>
      </c>
      <c r="AF598" s="2" t="str">
        <f t="shared" si="29"/>
        <v/>
      </c>
      <c r="AG598" s="2" t="str">
        <f>IF($L598="","",IF(COUNTIF(LISTS!$A$2:$A$200,$H598)=0,"NEW",""))</f>
        <v/>
      </c>
    </row>
    <row r="599" spans="30:33" x14ac:dyDescent="0.25">
      <c r="AD599" s="2" t="str">
        <f t="shared" si="27"/>
        <v/>
      </c>
      <c r="AE599" s="2" t="str">
        <f t="shared" si="28"/>
        <v/>
      </c>
      <c r="AF599" s="2" t="str">
        <f t="shared" si="29"/>
        <v/>
      </c>
      <c r="AG599" s="2" t="str">
        <f>IF($L599="","",IF(COUNTIF(LISTS!$A$2:$A$200,$H599)=0,"NEW",""))</f>
        <v/>
      </c>
    </row>
    <row r="600" spans="30:33" x14ac:dyDescent="0.25">
      <c r="AD600" s="2" t="str">
        <f t="shared" si="27"/>
        <v/>
      </c>
      <c r="AE600" s="2" t="str">
        <f t="shared" si="28"/>
        <v/>
      </c>
      <c r="AF600" s="2" t="str">
        <f t="shared" si="29"/>
        <v/>
      </c>
      <c r="AG600" s="2" t="str">
        <f>IF($L600="","",IF(COUNTIF(LISTS!$A$2:$A$200,$H600)=0,"NEW",""))</f>
        <v/>
      </c>
    </row>
    <row r="601" spans="30:33" x14ac:dyDescent="0.25">
      <c r="AD601" s="2" t="str">
        <f t="shared" si="27"/>
        <v/>
      </c>
      <c r="AE601" s="2" t="str">
        <f t="shared" si="28"/>
        <v/>
      </c>
      <c r="AF601" s="2" t="str">
        <f t="shared" si="29"/>
        <v/>
      </c>
      <c r="AG601" s="2" t="str">
        <f>IF($L601="","",IF(COUNTIF(LISTS!$A$2:$A$200,$H601)=0,"NEW",""))</f>
        <v/>
      </c>
    </row>
    <row r="602" spans="30:33" x14ac:dyDescent="0.25">
      <c r="AD602" s="2" t="str">
        <f t="shared" si="27"/>
        <v/>
      </c>
      <c r="AE602" s="2" t="str">
        <f t="shared" si="28"/>
        <v/>
      </c>
      <c r="AF602" s="2" t="str">
        <f t="shared" si="29"/>
        <v/>
      </c>
      <c r="AG602" s="2" t="str">
        <f>IF($L602="","",IF(COUNTIF(LISTS!$A$2:$A$200,$H602)=0,"NEW",""))</f>
        <v/>
      </c>
    </row>
    <row r="603" spans="30:33" x14ac:dyDescent="0.25">
      <c r="AD603" s="2" t="str">
        <f t="shared" si="27"/>
        <v/>
      </c>
      <c r="AE603" s="2" t="str">
        <f t="shared" si="28"/>
        <v/>
      </c>
      <c r="AF603" s="2" t="str">
        <f t="shared" si="29"/>
        <v/>
      </c>
      <c r="AG603" s="2" t="str">
        <f>IF($L603="","",IF(COUNTIF(LISTS!$A$2:$A$200,$H603)=0,"NEW",""))</f>
        <v/>
      </c>
    </row>
    <row r="604" spans="30:33" x14ac:dyDescent="0.25">
      <c r="AD604" s="2" t="str">
        <f t="shared" si="27"/>
        <v/>
      </c>
      <c r="AE604" s="2" t="str">
        <f t="shared" si="28"/>
        <v/>
      </c>
      <c r="AF604" s="2" t="str">
        <f t="shared" si="29"/>
        <v/>
      </c>
      <c r="AG604" s="2" t="str">
        <f>IF($L604="","",IF(COUNTIF(LISTS!$A$2:$A$200,$H604)=0,"NEW",""))</f>
        <v/>
      </c>
    </row>
    <row r="605" spans="30:33" x14ac:dyDescent="0.25">
      <c r="AD605" s="2" t="str">
        <f t="shared" si="27"/>
        <v/>
      </c>
      <c r="AE605" s="2" t="str">
        <f t="shared" si="28"/>
        <v/>
      </c>
      <c r="AF605" s="2" t="str">
        <f t="shared" si="29"/>
        <v/>
      </c>
      <c r="AG605" s="2" t="str">
        <f>IF($L605="","",IF(COUNTIF(LISTS!$A$2:$A$200,$H605)=0,"NEW",""))</f>
        <v/>
      </c>
    </row>
    <row r="606" spans="30:33" x14ac:dyDescent="0.25">
      <c r="AD606" s="2" t="str">
        <f t="shared" si="27"/>
        <v/>
      </c>
      <c r="AE606" s="2" t="str">
        <f t="shared" si="28"/>
        <v/>
      </c>
      <c r="AF606" s="2" t="str">
        <f t="shared" si="29"/>
        <v/>
      </c>
      <c r="AG606" s="2" t="str">
        <f>IF($L606="","",IF(COUNTIF(LISTS!$A$2:$A$200,$H606)=0,"NEW",""))</f>
        <v/>
      </c>
    </row>
    <row r="607" spans="30:33" x14ac:dyDescent="0.25">
      <c r="AD607" s="2" t="str">
        <f t="shared" si="27"/>
        <v/>
      </c>
      <c r="AE607" s="2" t="str">
        <f t="shared" si="28"/>
        <v/>
      </c>
      <c r="AF607" s="2" t="str">
        <f t="shared" si="29"/>
        <v/>
      </c>
      <c r="AG607" s="2" t="str">
        <f>IF($L607="","",IF(COUNTIF(LISTS!$A$2:$A$200,$H607)=0,"NEW",""))</f>
        <v/>
      </c>
    </row>
    <row r="608" spans="30:33" x14ac:dyDescent="0.25">
      <c r="AD608" s="2" t="str">
        <f t="shared" si="27"/>
        <v/>
      </c>
      <c r="AE608" s="2" t="str">
        <f t="shared" si="28"/>
        <v/>
      </c>
      <c r="AF608" s="2" t="str">
        <f t="shared" si="29"/>
        <v/>
      </c>
      <c r="AG608" s="2" t="str">
        <f>IF($L608="","",IF(COUNTIF(LISTS!$A$2:$A$200,$H608)=0,"NEW",""))</f>
        <v/>
      </c>
    </row>
    <row r="609" spans="30:33" x14ac:dyDescent="0.25">
      <c r="AD609" s="2" t="str">
        <f t="shared" si="27"/>
        <v/>
      </c>
      <c r="AE609" s="2" t="str">
        <f t="shared" si="28"/>
        <v/>
      </c>
      <c r="AF609" s="2" t="str">
        <f t="shared" si="29"/>
        <v/>
      </c>
      <c r="AG609" s="2" t="str">
        <f>IF($L609="","",IF(COUNTIF(LISTS!$A$2:$A$200,$H609)=0,"NEW",""))</f>
        <v/>
      </c>
    </row>
    <row r="610" spans="30:33" x14ac:dyDescent="0.25">
      <c r="AD610" s="2" t="str">
        <f t="shared" si="27"/>
        <v/>
      </c>
      <c r="AE610" s="2" t="str">
        <f t="shared" si="28"/>
        <v/>
      </c>
      <c r="AF610" s="2" t="str">
        <f t="shared" si="29"/>
        <v/>
      </c>
      <c r="AG610" s="2" t="str">
        <f>IF($L610="","",IF(COUNTIF(LISTS!$A$2:$A$200,$H610)=0,"NEW",""))</f>
        <v/>
      </c>
    </row>
    <row r="611" spans="30:33" x14ac:dyDescent="0.25">
      <c r="AD611" s="2" t="str">
        <f t="shared" si="27"/>
        <v/>
      </c>
      <c r="AE611" s="2" t="str">
        <f t="shared" si="28"/>
        <v/>
      </c>
      <c r="AF611" s="2" t="str">
        <f t="shared" si="29"/>
        <v/>
      </c>
      <c r="AG611" s="2" t="str">
        <f>IF($L611="","",IF(COUNTIF(LISTS!$A$2:$A$200,$H611)=0,"NEW",""))</f>
        <v/>
      </c>
    </row>
    <row r="612" spans="30:33" x14ac:dyDescent="0.25">
      <c r="AD612" s="2" t="str">
        <f t="shared" si="27"/>
        <v/>
      </c>
      <c r="AE612" s="2" t="str">
        <f t="shared" si="28"/>
        <v/>
      </c>
      <c r="AF612" s="2" t="str">
        <f t="shared" si="29"/>
        <v/>
      </c>
      <c r="AG612" s="2" t="str">
        <f>IF($L612="","",IF(COUNTIF(LISTS!$A$2:$A$200,$H612)=0,"NEW",""))</f>
        <v/>
      </c>
    </row>
    <row r="613" spans="30:33" x14ac:dyDescent="0.25">
      <c r="AD613" s="2" t="str">
        <f t="shared" si="27"/>
        <v/>
      </c>
      <c r="AE613" s="2" t="str">
        <f t="shared" si="28"/>
        <v/>
      </c>
      <c r="AF613" s="2" t="str">
        <f t="shared" si="29"/>
        <v/>
      </c>
      <c r="AG613" s="2" t="str">
        <f>IF($L613="","",IF(COUNTIF(LISTS!$A$2:$A$200,$H613)=0,"NEW",""))</f>
        <v/>
      </c>
    </row>
    <row r="614" spans="30:33" x14ac:dyDescent="0.25">
      <c r="AD614" s="2" t="str">
        <f t="shared" si="27"/>
        <v/>
      </c>
      <c r="AE614" s="2" t="str">
        <f t="shared" si="28"/>
        <v/>
      </c>
      <c r="AF614" s="2" t="str">
        <f t="shared" si="29"/>
        <v/>
      </c>
      <c r="AG614" s="2" t="str">
        <f>IF($L614="","",IF(COUNTIF(LISTS!$A$2:$A$200,$H614)=0,"NEW",""))</f>
        <v/>
      </c>
    </row>
    <row r="615" spans="30:33" x14ac:dyDescent="0.25">
      <c r="AD615" s="2" t="str">
        <f t="shared" si="27"/>
        <v/>
      </c>
      <c r="AE615" s="2" t="str">
        <f t="shared" si="28"/>
        <v/>
      </c>
      <c r="AF615" s="2" t="str">
        <f t="shared" si="29"/>
        <v/>
      </c>
      <c r="AG615" s="2" t="str">
        <f>IF($L615="","",IF(COUNTIF(LISTS!$A$2:$A$200,$H615)=0,"NEW",""))</f>
        <v/>
      </c>
    </row>
    <row r="616" spans="30:33" x14ac:dyDescent="0.25">
      <c r="AD616" s="2" t="str">
        <f t="shared" si="27"/>
        <v/>
      </c>
      <c r="AE616" s="2" t="str">
        <f t="shared" si="28"/>
        <v/>
      </c>
      <c r="AF616" s="2" t="str">
        <f t="shared" si="29"/>
        <v/>
      </c>
      <c r="AG616" s="2" t="str">
        <f>IF($L616="","",IF(COUNTIF(LISTS!$A$2:$A$200,$H616)=0,"NEW",""))</f>
        <v/>
      </c>
    </row>
    <row r="617" spans="30:33" x14ac:dyDescent="0.25">
      <c r="AD617" s="2" t="str">
        <f t="shared" si="27"/>
        <v/>
      </c>
      <c r="AE617" s="2" t="str">
        <f t="shared" si="28"/>
        <v/>
      </c>
      <c r="AF617" s="2" t="str">
        <f t="shared" si="29"/>
        <v/>
      </c>
      <c r="AG617" s="2" t="str">
        <f>IF($L617="","",IF(COUNTIF(LISTS!$A$2:$A$200,$H617)=0,"NEW",""))</f>
        <v/>
      </c>
    </row>
    <row r="618" spans="30:33" x14ac:dyDescent="0.25">
      <c r="AD618" s="2" t="str">
        <f t="shared" si="27"/>
        <v/>
      </c>
      <c r="AE618" s="2" t="str">
        <f t="shared" si="28"/>
        <v/>
      </c>
      <c r="AF618" s="2" t="str">
        <f t="shared" si="29"/>
        <v/>
      </c>
      <c r="AG618" s="2" t="str">
        <f>IF($L618="","",IF(COUNTIF(LISTS!$A$2:$A$200,$H618)=0,"NEW",""))</f>
        <v/>
      </c>
    </row>
    <row r="619" spans="30:33" x14ac:dyDescent="0.25">
      <c r="AD619" s="2" t="str">
        <f t="shared" si="27"/>
        <v/>
      </c>
      <c r="AE619" s="2" t="str">
        <f t="shared" si="28"/>
        <v/>
      </c>
      <c r="AF619" s="2" t="str">
        <f t="shared" si="29"/>
        <v/>
      </c>
      <c r="AG619" s="2" t="str">
        <f>IF($L619="","",IF(COUNTIF(LISTS!$A$2:$A$200,$H619)=0,"NEW",""))</f>
        <v/>
      </c>
    </row>
    <row r="620" spans="30:33" x14ac:dyDescent="0.25">
      <c r="AD620" s="2" t="str">
        <f t="shared" si="27"/>
        <v/>
      </c>
      <c r="AE620" s="2" t="str">
        <f t="shared" si="28"/>
        <v/>
      </c>
      <c r="AF620" s="2" t="str">
        <f t="shared" si="29"/>
        <v/>
      </c>
      <c r="AG620" s="2" t="str">
        <f>IF($L620="","",IF(COUNTIF(LISTS!$A$2:$A$200,$H620)=0,"NEW",""))</f>
        <v/>
      </c>
    </row>
    <row r="621" spans="30:33" x14ac:dyDescent="0.25">
      <c r="AD621" s="2" t="str">
        <f t="shared" si="27"/>
        <v/>
      </c>
      <c r="AE621" s="2" t="str">
        <f t="shared" si="28"/>
        <v/>
      </c>
      <c r="AF621" s="2" t="str">
        <f t="shared" si="29"/>
        <v/>
      </c>
      <c r="AG621" s="2" t="str">
        <f>IF($L621="","",IF(COUNTIF(LISTS!$A$2:$A$200,$H621)=0,"NEW",""))</f>
        <v/>
      </c>
    </row>
    <row r="622" spans="30:33" x14ac:dyDescent="0.25">
      <c r="AD622" s="2" t="str">
        <f t="shared" si="27"/>
        <v/>
      </c>
      <c r="AE622" s="2" t="str">
        <f t="shared" si="28"/>
        <v/>
      </c>
      <c r="AF622" s="2" t="str">
        <f t="shared" si="29"/>
        <v/>
      </c>
      <c r="AG622" s="2" t="str">
        <f>IF($L622="","",IF(COUNTIF(LISTS!$A$2:$A$200,$H622)=0,"NEW",""))</f>
        <v/>
      </c>
    </row>
    <row r="623" spans="30:33" x14ac:dyDescent="0.25">
      <c r="AD623" s="2" t="str">
        <f t="shared" si="27"/>
        <v/>
      </c>
      <c r="AE623" s="2" t="str">
        <f t="shared" si="28"/>
        <v/>
      </c>
      <c r="AF623" s="2" t="str">
        <f t="shared" si="29"/>
        <v/>
      </c>
      <c r="AG623" s="2" t="str">
        <f>IF($L623="","",IF(COUNTIF(LISTS!$A$2:$A$200,$H623)=0,"NEW",""))</f>
        <v/>
      </c>
    </row>
    <row r="624" spans="30:33" x14ac:dyDescent="0.25">
      <c r="AD624" s="2" t="str">
        <f t="shared" si="27"/>
        <v/>
      </c>
      <c r="AE624" s="2" t="str">
        <f t="shared" si="28"/>
        <v/>
      </c>
      <c r="AF624" s="2" t="str">
        <f t="shared" si="29"/>
        <v/>
      </c>
      <c r="AG624" s="2" t="str">
        <f>IF($L624="","",IF(COUNTIF(LISTS!$A$2:$A$200,$H624)=0,"NEW",""))</f>
        <v/>
      </c>
    </row>
    <row r="625" spans="30:33" x14ac:dyDescent="0.25">
      <c r="AD625" s="2" t="str">
        <f t="shared" si="27"/>
        <v/>
      </c>
      <c r="AE625" s="2" t="str">
        <f t="shared" si="28"/>
        <v/>
      </c>
      <c r="AF625" s="2" t="str">
        <f t="shared" si="29"/>
        <v/>
      </c>
      <c r="AG625" s="2" t="str">
        <f>IF($L625="","",IF(COUNTIF(LISTS!$A$2:$A$200,$H625)=0,"NEW",""))</f>
        <v/>
      </c>
    </row>
    <row r="626" spans="30:33" x14ac:dyDescent="0.25">
      <c r="AD626" s="2" t="str">
        <f t="shared" si="27"/>
        <v/>
      </c>
      <c r="AE626" s="2" t="str">
        <f t="shared" si="28"/>
        <v/>
      </c>
      <c r="AF626" s="2" t="str">
        <f t="shared" si="29"/>
        <v/>
      </c>
      <c r="AG626" s="2" t="str">
        <f>IF($L626="","",IF(COUNTIF(LISTS!$A$2:$A$200,$H626)=0,"NEW",""))</f>
        <v/>
      </c>
    </row>
    <row r="627" spans="30:33" x14ac:dyDescent="0.25">
      <c r="AD627" s="2" t="str">
        <f t="shared" si="27"/>
        <v/>
      </c>
      <c r="AE627" s="2" t="str">
        <f t="shared" si="28"/>
        <v/>
      </c>
      <c r="AF627" s="2" t="str">
        <f t="shared" si="29"/>
        <v/>
      </c>
      <c r="AG627" s="2" t="str">
        <f>IF($L627="","",IF(COUNTIF(LISTS!$A$2:$A$200,$H627)=0,"NEW",""))</f>
        <v/>
      </c>
    </row>
    <row r="628" spans="30:33" x14ac:dyDescent="0.25">
      <c r="AD628" s="2" t="str">
        <f t="shared" si="27"/>
        <v/>
      </c>
      <c r="AE628" s="2" t="str">
        <f t="shared" si="28"/>
        <v/>
      </c>
      <c r="AF628" s="2" t="str">
        <f t="shared" si="29"/>
        <v/>
      </c>
      <c r="AG628" s="2" t="str">
        <f>IF($L628="","",IF(COUNTIF(LISTS!$A$2:$A$200,$H628)=0,"NEW",""))</f>
        <v/>
      </c>
    </row>
    <row r="629" spans="30:33" x14ac:dyDescent="0.25">
      <c r="AD629" s="2" t="str">
        <f t="shared" si="27"/>
        <v/>
      </c>
      <c r="AE629" s="2" t="str">
        <f t="shared" si="28"/>
        <v/>
      </c>
      <c r="AF629" s="2" t="str">
        <f t="shared" si="29"/>
        <v/>
      </c>
      <c r="AG629" s="2" t="str">
        <f>IF($L629="","",IF(COUNTIF(LISTS!$A$2:$A$200,$H629)=0,"NEW",""))</f>
        <v/>
      </c>
    </row>
    <row r="630" spans="30:33" x14ac:dyDescent="0.25">
      <c r="AD630" s="2" t="str">
        <f t="shared" si="27"/>
        <v/>
      </c>
      <c r="AE630" s="2" t="str">
        <f t="shared" si="28"/>
        <v/>
      </c>
      <c r="AF630" s="2" t="str">
        <f t="shared" si="29"/>
        <v/>
      </c>
      <c r="AG630" s="2" t="str">
        <f>IF($L630="","",IF(COUNTIF(LISTS!$A$2:$A$200,$H630)=0,"NEW",""))</f>
        <v/>
      </c>
    </row>
    <row r="631" spans="30:33" x14ac:dyDescent="0.25">
      <c r="AD631" s="2" t="str">
        <f t="shared" si="27"/>
        <v/>
      </c>
      <c r="AE631" s="2" t="str">
        <f t="shared" si="28"/>
        <v/>
      </c>
      <c r="AF631" s="2" t="str">
        <f t="shared" si="29"/>
        <v/>
      </c>
      <c r="AG631" s="2" t="str">
        <f>IF($L631="","",IF(COUNTIF(LISTS!$A$2:$A$200,$H631)=0,"NEW",""))</f>
        <v/>
      </c>
    </row>
    <row r="632" spans="30:33" x14ac:dyDescent="0.25">
      <c r="AD632" s="2" t="str">
        <f t="shared" si="27"/>
        <v/>
      </c>
      <c r="AE632" s="2" t="str">
        <f t="shared" si="28"/>
        <v/>
      </c>
      <c r="AF632" s="2" t="str">
        <f t="shared" si="29"/>
        <v/>
      </c>
      <c r="AG632" s="2" t="str">
        <f>IF($L632="","",IF(COUNTIF(LISTS!$A$2:$A$200,$H632)=0,"NEW",""))</f>
        <v/>
      </c>
    </row>
    <row r="633" spans="30:33" x14ac:dyDescent="0.25">
      <c r="AD633" s="2" t="str">
        <f t="shared" si="27"/>
        <v/>
      </c>
      <c r="AE633" s="2" t="str">
        <f t="shared" si="28"/>
        <v/>
      </c>
      <c r="AF633" s="2" t="str">
        <f t="shared" si="29"/>
        <v/>
      </c>
      <c r="AG633" s="2" t="str">
        <f>IF($L633="","",IF(COUNTIF(LISTS!$A$2:$A$200,$H633)=0,"NEW",""))</f>
        <v/>
      </c>
    </row>
    <row r="634" spans="30:33" x14ac:dyDescent="0.25">
      <c r="AD634" s="2" t="str">
        <f t="shared" si="27"/>
        <v/>
      </c>
      <c r="AE634" s="2" t="str">
        <f t="shared" si="28"/>
        <v/>
      </c>
      <c r="AF634" s="2" t="str">
        <f t="shared" si="29"/>
        <v/>
      </c>
      <c r="AG634" s="2" t="str">
        <f>IF($L634="","",IF(COUNTIF(LISTS!$A$2:$A$200,$H634)=0,"NEW",""))</f>
        <v/>
      </c>
    </row>
    <row r="635" spans="30:33" x14ac:dyDescent="0.25">
      <c r="AD635" s="2" t="str">
        <f t="shared" si="27"/>
        <v/>
      </c>
      <c r="AE635" s="2" t="str">
        <f t="shared" si="28"/>
        <v/>
      </c>
      <c r="AF635" s="2" t="str">
        <f t="shared" si="29"/>
        <v/>
      </c>
      <c r="AG635" s="2" t="str">
        <f>IF($L635="","",IF(COUNTIF(LISTS!$A$2:$A$200,$H635)=0,"NEW",""))</f>
        <v/>
      </c>
    </row>
    <row r="636" spans="30:33" x14ac:dyDescent="0.25">
      <c r="AD636" s="2" t="str">
        <f t="shared" si="27"/>
        <v/>
      </c>
      <c r="AE636" s="2" t="str">
        <f t="shared" si="28"/>
        <v/>
      </c>
      <c r="AF636" s="2" t="str">
        <f t="shared" si="29"/>
        <v/>
      </c>
      <c r="AG636" s="2" t="str">
        <f>IF($L636="","",IF(COUNTIF(LISTS!$A$2:$A$200,$H636)=0,"NEW",""))</f>
        <v/>
      </c>
    </row>
    <row r="637" spans="30:33" x14ac:dyDescent="0.25">
      <c r="AD637" s="2" t="str">
        <f t="shared" si="27"/>
        <v/>
      </c>
      <c r="AE637" s="2" t="str">
        <f t="shared" si="28"/>
        <v/>
      </c>
      <c r="AF637" s="2" t="str">
        <f t="shared" si="29"/>
        <v/>
      </c>
      <c r="AG637" s="2" t="str">
        <f>IF($L637="","",IF(COUNTIF(LISTS!$A$2:$A$200,$H637)=0,"NEW",""))</f>
        <v/>
      </c>
    </row>
    <row r="638" spans="30:33" x14ac:dyDescent="0.25">
      <c r="AD638" s="2" t="str">
        <f t="shared" si="27"/>
        <v/>
      </c>
      <c r="AE638" s="2" t="str">
        <f t="shared" si="28"/>
        <v/>
      </c>
      <c r="AF638" s="2" t="str">
        <f t="shared" si="29"/>
        <v/>
      </c>
      <c r="AG638" s="2" t="str">
        <f>IF($L638="","",IF(COUNTIF(LISTS!$A$2:$A$200,$H638)=0,"NEW",""))</f>
        <v/>
      </c>
    </row>
    <row r="639" spans="30:33" x14ac:dyDescent="0.25">
      <c r="AD639" s="2" t="str">
        <f t="shared" si="27"/>
        <v/>
      </c>
      <c r="AE639" s="2" t="str">
        <f t="shared" si="28"/>
        <v/>
      </c>
      <c r="AF639" s="2" t="str">
        <f t="shared" si="29"/>
        <v/>
      </c>
      <c r="AG639" s="2" t="str">
        <f>IF($L639="","",IF(COUNTIF(LISTS!$A$2:$A$200,$H639)=0,"NEW",""))</f>
        <v/>
      </c>
    </row>
    <row r="640" spans="30:33" x14ac:dyDescent="0.25">
      <c r="AD640" s="2" t="str">
        <f t="shared" si="27"/>
        <v/>
      </c>
      <c r="AE640" s="2" t="str">
        <f t="shared" si="28"/>
        <v/>
      </c>
      <c r="AF640" s="2" t="str">
        <f t="shared" si="29"/>
        <v/>
      </c>
      <c r="AG640" s="2" t="str">
        <f>IF($L640="","",IF(COUNTIF(LISTS!$A$2:$A$200,$H640)=0,"NEW",""))</f>
        <v/>
      </c>
    </row>
    <row r="641" spans="30:33" x14ac:dyDescent="0.25">
      <c r="AD641" s="2" t="str">
        <f t="shared" si="27"/>
        <v/>
      </c>
      <c r="AE641" s="2" t="str">
        <f t="shared" si="28"/>
        <v/>
      </c>
      <c r="AF641" s="2" t="str">
        <f t="shared" si="29"/>
        <v/>
      </c>
      <c r="AG641" s="2" t="str">
        <f>IF($L641="","",IF(COUNTIF(LISTS!$A$2:$A$200,$H641)=0,"NEW",""))</f>
        <v/>
      </c>
    </row>
    <row r="642" spans="30:33" x14ac:dyDescent="0.25">
      <c r="AD642" s="2" t="str">
        <f t="shared" ref="AD642:AD705" si="30">IF($L642="","",IF(ISNUMBER(SEARCH("OFF ROAD",$H642)),"OFF",IF(ISNUMBER(SEARCH("ON ROAD",$H642)),"ON","")))</f>
        <v/>
      </c>
      <c r="AE642" s="2" t="str">
        <f t="shared" ref="AE642:AE705" si="31">IF($AD642="ON",""&amp;$L642,"")</f>
        <v/>
      </c>
      <c r="AF642" s="2" t="str">
        <f t="shared" ref="AF642:AF705" si="32">IF($L642="","",IF($J642&lt;&gt;"","Y",""))</f>
        <v/>
      </c>
      <c r="AG642" s="2" t="str">
        <f>IF($L642="","",IF(COUNTIF(LISTS!$A$2:$A$200,$H642)=0,"NEW",""))</f>
        <v/>
      </c>
    </row>
    <row r="643" spans="30:33" x14ac:dyDescent="0.25">
      <c r="AD643" s="2" t="str">
        <f t="shared" si="30"/>
        <v/>
      </c>
      <c r="AE643" s="2" t="str">
        <f t="shared" si="31"/>
        <v/>
      </c>
      <c r="AF643" s="2" t="str">
        <f t="shared" si="32"/>
        <v/>
      </c>
      <c r="AG643" s="2" t="str">
        <f>IF($L643="","",IF(COUNTIF(LISTS!$A$2:$A$200,$H643)=0,"NEW",""))</f>
        <v/>
      </c>
    </row>
    <row r="644" spans="30:33" x14ac:dyDescent="0.25">
      <c r="AD644" s="2" t="str">
        <f t="shared" si="30"/>
        <v/>
      </c>
      <c r="AE644" s="2" t="str">
        <f t="shared" si="31"/>
        <v/>
      </c>
      <c r="AF644" s="2" t="str">
        <f t="shared" si="32"/>
        <v/>
      </c>
      <c r="AG644" s="2" t="str">
        <f>IF($L644="","",IF(COUNTIF(LISTS!$A$2:$A$200,$H644)=0,"NEW",""))</f>
        <v/>
      </c>
    </row>
    <row r="645" spans="30:33" x14ac:dyDescent="0.25">
      <c r="AD645" s="2" t="str">
        <f t="shared" si="30"/>
        <v/>
      </c>
      <c r="AE645" s="2" t="str">
        <f t="shared" si="31"/>
        <v/>
      </c>
      <c r="AF645" s="2" t="str">
        <f t="shared" si="32"/>
        <v/>
      </c>
      <c r="AG645" s="2" t="str">
        <f>IF($L645="","",IF(COUNTIF(LISTS!$A$2:$A$200,$H645)=0,"NEW",""))</f>
        <v/>
      </c>
    </row>
    <row r="646" spans="30:33" x14ac:dyDescent="0.25">
      <c r="AD646" s="2" t="str">
        <f t="shared" si="30"/>
        <v/>
      </c>
      <c r="AE646" s="2" t="str">
        <f t="shared" si="31"/>
        <v/>
      </c>
      <c r="AF646" s="2" t="str">
        <f t="shared" si="32"/>
        <v/>
      </c>
      <c r="AG646" s="2" t="str">
        <f>IF($L646="","",IF(COUNTIF(LISTS!$A$2:$A$200,$H646)=0,"NEW",""))</f>
        <v/>
      </c>
    </row>
    <row r="647" spans="30:33" x14ac:dyDescent="0.25">
      <c r="AD647" s="2" t="str">
        <f t="shared" si="30"/>
        <v/>
      </c>
      <c r="AE647" s="2" t="str">
        <f t="shared" si="31"/>
        <v/>
      </c>
      <c r="AF647" s="2" t="str">
        <f t="shared" si="32"/>
        <v/>
      </c>
      <c r="AG647" s="2" t="str">
        <f>IF($L647="","",IF(COUNTIF(LISTS!$A$2:$A$200,$H647)=0,"NEW",""))</f>
        <v/>
      </c>
    </row>
    <row r="648" spans="30:33" x14ac:dyDescent="0.25">
      <c r="AD648" s="2" t="str">
        <f t="shared" si="30"/>
        <v/>
      </c>
      <c r="AE648" s="2" t="str">
        <f t="shared" si="31"/>
        <v/>
      </c>
      <c r="AF648" s="2" t="str">
        <f t="shared" si="32"/>
        <v/>
      </c>
      <c r="AG648" s="2" t="str">
        <f>IF($L648="","",IF(COUNTIF(LISTS!$A$2:$A$200,$H648)=0,"NEW",""))</f>
        <v/>
      </c>
    </row>
    <row r="649" spans="30:33" x14ac:dyDescent="0.25">
      <c r="AD649" s="2" t="str">
        <f t="shared" si="30"/>
        <v/>
      </c>
      <c r="AE649" s="2" t="str">
        <f t="shared" si="31"/>
        <v/>
      </c>
      <c r="AF649" s="2" t="str">
        <f t="shared" si="32"/>
        <v/>
      </c>
      <c r="AG649" s="2" t="str">
        <f>IF($L649="","",IF(COUNTIF(LISTS!$A$2:$A$200,$H649)=0,"NEW",""))</f>
        <v/>
      </c>
    </row>
    <row r="650" spans="30:33" x14ac:dyDescent="0.25">
      <c r="AD650" s="2" t="str">
        <f t="shared" si="30"/>
        <v/>
      </c>
      <c r="AE650" s="2" t="str">
        <f t="shared" si="31"/>
        <v/>
      </c>
      <c r="AF650" s="2" t="str">
        <f t="shared" si="32"/>
        <v/>
      </c>
      <c r="AG650" s="2" t="str">
        <f>IF($L650="","",IF(COUNTIF(LISTS!$A$2:$A$200,$H650)=0,"NEW",""))</f>
        <v/>
      </c>
    </row>
    <row r="651" spans="30:33" x14ac:dyDescent="0.25">
      <c r="AD651" s="2" t="str">
        <f t="shared" si="30"/>
        <v/>
      </c>
      <c r="AE651" s="2" t="str">
        <f t="shared" si="31"/>
        <v/>
      </c>
      <c r="AF651" s="2" t="str">
        <f t="shared" si="32"/>
        <v/>
      </c>
      <c r="AG651" s="2" t="str">
        <f>IF($L651="","",IF(COUNTIF(LISTS!$A$2:$A$200,$H651)=0,"NEW",""))</f>
        <v/>
      </c>
    </row>
    <row r="652" spans="30:33" x14ac:dyDescent="0.25">
      <c r="AD652" s="2" t="str">
        <f t="shared" si="30"/>
        <v/>
      </c>
      <c r="AE652" s="2" t="str">
        <f t="shared" si="31"/>
        <v/>
      </c>
      <c r="AF652" s="2" t="str">
        <f t="shared" si="32"/>
        <v/>
      </c>
      <c r="AG652" s="2" t="str">
        <f>IF($L652="","",IF(COUNTIF(LISTS!$A$2:$A$200,$H652)=0,"NEW",""))</f>
        <v/>
      </c>
    </row>
    <row r="653" spans="30:33" x14ac:dyDescent="0.25">
      <c r="AD653" s="2" t="str">
        <f t="shared" si="30"/>
        <v/>
      </c>
      <c r="AE653" s="2" t="str">
        <f t="shared" si="31"/>
        <v/>
      </c>
      <c r="AF653" s="2" t="str">
        <f t="shared" si="32"/>
        <v/>
      </c>
      <c r="AG653" s="2" t="str">
        <f>IF($L653="","",IF(COUNTIF(LISTS!$A$2:$A$200,$H653)=0,"NEW",""))</f>
        <v/>
      </c>
    </row>
    <row r="654" spans="30:33" x14ac:dyDescent="0.25">
      <c r="AD654" s="2" t="str">
        <f t="shared" si="30"/>
        <v/>
      </c>
      <c r="AE654" s="2" t="str">
        <f t="shared" si="31"/>
        <v/>
      </c>
      <c r="AF654" s="2" t="str">
        <f t="shared" si="32"/>
        <v/>
      </c>
      <c r="AG654" s="2" t="str">
        <f>IF($L654="","",IF(COUNTIF(LISTS!$A$2:$A$200,$H654)=0,"NEW",""))</f>
        <v/>
      </c>
    </row>
    <row r="655" spans="30:33" x14ac:dyDescent="0.25">
      <c r="AD655" s="2" t="str">
        <f t="shared" si="30"/>
        <v/>
      </c>
      <c r="AE655" s="2" t="str">
        <f t="shared" si="31"/>
        <v/>
      </c>
      <c r="AF655" s="2" t="str">
        <f t="shared" si="32"/>
        <v/>
      </c>
      <c r="AG655" s="2" t="str">
        <f>IF($L655="","",IF(COUNTIF(LISTS!$A$2:$A$200,$H655)=0,"NEW",""))</f>
        <v/>
      </c>
    </row>
    <row r="656" spans="30:33" x14ac:dyDescent="0.25">
      <c r="AD656" s="2" t="str">
        <f t="shared" si="30"/>
        <v/>
      </c>
      <c r="AE656" s="2" t="str">
        <f t="shared" si="31"/>
        <v/>
      </c>
      <c r="AF656" s="2" t="str">
        <f t="shared" si="32"/>
        <v/>
      </c>
      <c r="AG656" s="2" t="str">
        <f>IF($L656="","",IF(COUNTIF(LISTS!$A$2:$A$200,$H656)=0,"NEW",""))</f>
        <v/>
      </c>
    </row>
    <row r="657" spans="30:33" x14ac:dyDescent="0.25">
      <c r="AD657" s="2" t="str">
        <f t="shared" si="30"/>
        <v/>
      </c>
      <c r="AE657" s="2" t="str">
        <f t="shared" si="31"/>
        <v/>
      </c>
      <c r="AF657" s="2" t="str">
        <f t="shared" si="32"/>
        <v/>
      </c>
      <c r="AG657" s="2" t="str">
        <f>IF($L657="","",IF(COUNTIF(LISTS!$A$2:$A$200,$H657)=0,"NEW",""))</f>
        <v/>
      </c>
    </row>
    <row r="658" spans="30:33" x14ac:dyDescent="0.25">
      <c r="AD658" s="2" t="str">
        <f t="shared" si="30"/>
        <v/>
      </c>
      <c r="AE658" s="2" t="str">
        <f t="shared" si="31"/>
        <v/>
      </c>
      <c r="AF658" s="2" t="str">
        <f t="shared" si="32"/>
        <v/>
      </c>
      <c r="AG658" s="2" t="str">
        <f>IF($L658="","",IF(COUNTIF(LISTS!$A$2:$A$200,$H658)=0,"NEW",""))</f>
        <v/>
      </c>
    </row>
    <row r="659" spans="30:33" x14ac:dyDescent="0.25">
      <c r="AD659" s="2" t="str">
        <f t="shared" si="30"/>
        <v/>
      </c>
      <c r="AE659" s="2" t="str">
        <f t="shared" si="31"/>
        <v/>
      </c>
      <c r="AF659" s="2" t="str">
        <f t="shared" si="32"/>
        <v/>
      </c>
      <c r="AG659" s="2" t="str">
        <f>IF($L659="","",IF(COUNTIF(LISTS!$A$2:$A$200,$H659)=0,"NEW",""))</f>
        <v/>
      </c>
    </row>
    <row r="660" spans="30:33" x14ac:dyDescent="0.25">
      <c r="AD660" s="2" t="str">
        <f t="shared" si="30"/>
        <v/>
      </c>
      <c r="AE660" s="2" t="str">
        <f t="shared" si="31"/>
        <v/>
      </c>
      <c r="AF660" s="2" t="str">
        <f t="shared" si="32"/>
        <v/>
      </c>
      <c r="AG660" s="2" t="str">
        <f>IF($L660="","",IF(COUNTIF(LISTS!$A$2:$A$200,$H660)=0,"NEW",""))</f>
        <v/>
      </c>
    </row>
    <row r="661" spans="30:33" x14ac:dyDescent="0.25">
      <c r="AD661" s="2" t="str">
        <f t="shared" si="30"/>
        <v/>
      </c>
      <c r="AE661" s="2" t="str">
        <f t="shared" si="31"/>
        <v/>
      </c>
      <c r="AF661" s="2" t="str">
        <f t="shared" si="32"/>
        <v/>
      </c>
      <c r="AG661" s="2" t="str">
        <f>IF($L661="","",IF(COUNTIF(LISTS!$A$2:$A$200,$H661)=0,"NEW",""))</f>
        <v/>
      </c>
    </row>
    <row r="662" spans="30:33" x14ac:dyDescent="0.25">
      <c r="AD662" s="2" t="str">
        <f t="shared" si="30"/>
        <v/>
      </c>
      <c r="AE662" s="2" t="str">
        <f t="shared" si="31"/>
        <v/>
      </c>
      <c r="AF662" s="2" t="str">
        <f t="shared" si="32"/>
        <v/>
      </c>
      <c r="AG662" s="2" t="str">
        <f>IF($L662="","",IF(COUNTIF(LISTS!$A$2:$A$200,$H662)=0,"NEW",""))</f>
        <v/>
      </c>
    </row>
    <row r="663" spans="30:33" x14ac:dyDescent="0.25">
      <c r="AD663" s="2" t="str">
        <f t="shared" si="30"/>
        <v/>
      </c>
      <c r="AE663" s="2" t="str">
        <f t="shared" si="31"/>
        <v/>
      </c>
      <c r="AF663" s="2" t="str">
        <f t="shared" si="32"/>
        <v/>
      </c>
      <c r="AG663" s="2" t="str">
        <f>IF($L663="","",IF(COUNTIF(LISTS!$A$2:$A$200,$H663)=0,"NEW",""))</f>
        <v/>
      </c>
    </row>
    <row r="664" spans="30:33" x14ac:dyDescent="0.25">
      <c r="AD664" s="2" t="str">
        <f t="shared" si="30"/>
        <v/>
      </c>
      <c r="AE664" s="2" t="str">
        <f t="shared" si="31"/>
        <v/>
      </c>
      <c r="AF664" s="2" t="str">
        <f t="shared" si="32"/>
        <v/>
      </c>
      <c r="AG664" s="2" t="str">
        <f>IF($L664="","",IF(COUNTIF(LISTS!$A$2:$A$200,$H664)=0,"NEW",""))</f>
        <v/>
      </c>
    </row>
    <row r="665" spans="30:33" x14ac:dyDescent="0.25">
      <c r="AD665" s="2" t="str">
        <f t="shared" si="30"/>
        <v/>
      </c>
      <c r="AE665" s="2" t="str">
        <f t="shared" si="31"/>
        <v/>
      </c>
      <c r="AF665" s="2" t="str">
        <f t="shared" si="32"/>
        <v/>
      </c>
      <c r="AG665" s="2" t="str">
        <f>IF($L665="","",IF(COUNTIF(LISTS!$A$2:$A$200,$H665)=0,"NEW",""))</f>
        <v/>
      </c>
    </row>
    <row r="666" spans="30:33" x14ac:dyDescent="0.25">
      <c r="AD666" s="2" t="str">
        <f t="shared" si="30"/>
        <v/>
      </c>
      <c r="AE666" s="2" t="str">
        <f t="shared" si="31"/>
        <v/>
      </c>
      <c r="AF666" s="2" t="str">
        <f t="shared" si="32"/>
        <v/>
      </c>
      <c r="AG666" s="2" t="str">
        <f>IF($L666="","",IF(COUNTIF(LISTS!$A$2:$A$200,$H666)=0,"NEW",""))</f>
        <v/>
      </c>
    </row>
    <row r="667" spans="30:33" x14ac:dyDescent="0.25">
      <c r="AD667" s="2" t="str">
        <f t="shared" si="30"/>
        <v/>
      </c>
      <c r="AE667" s="2" t="str">
        <f t="shared" si="31"/>
        <v/>
      </c>
      <c r="AF667" s="2" t="str">
        <f t="shared" si="32"/>
        <v/>
      </c>
      <c r="AG667" s="2" t="str">
        <f>IF($L667="","",IF(COUNTIF(LISTS!$A$2:$A$200,$H667)=0,"NEW",""))</f>
        <v/>
      </c>
    </row>
    <row r="668" spans="30:33" x14ac:dyDescent="0.25">
      <c r="AD668" s="2" t="str">
        <f t="shared" si="30"/>
        <v/>
      </c>
      <c r="AE668" s="2" t="str">
        <f t="shared" si="31"/>
        <v/>
      </c>
      <c r="AF668" s="2" t="str">
        <f t="shared" si="32"/>
        <v/>
      </c>
      <c r="AG668" s="2" t="str">
        <f>IF($L668="","",IF(COUNTIF(LISTS!$A$2:$A$200,$H668)=0,"NEW",""))</f>
        <v/>
      </c>
    </row>
    <row r="669" spans="30:33" x14ac:dyDescent="0.25">
      <c r="AD669" s="2" t="str">
        <f t="shared" si="30"/>
        <v/>
      </c>
      <c r="AE669" s="2" t="str">
        <f t="shared" si="31"/>
        <v/>
      </c>
      <c r="AF669" s="2" t="str">
        <f t="shared" si="32"/>
        <v/>
      </c>
      <c r="AG669" s="2" t="str">
        <f>IF($L669="","",IF(COUNTIF(LISTS!$A$2:$A$200,$H669)=0,"NEW",""))</f>
        <v/>
      </c>
    </row>
    <row r="670" spans="30:33" x14ac:dyDescent="0.25">
      <c r="AD670" s="2" t="str">
        <f t="shared" si="30"/>
        <v/>
      </c>
      <c r="AE670" s="2" t="str">
        <f t="shared" si="31"/>
        <v/>
      </c>
      <c r="AF670" s="2" t="str">
        <f t="shared" si="32"/>
        <v/>
      </c>
      <c r="AG670" s="2" t="str">
        <f>IF($L670="","",IF(COUNTIF(LISTS!$A$2:$A$200,$H670)=0,"NEW",""))</f>
        <v/>
      </c>
    </row>
    <row r="671" spans="30:33" x14ac:dyDescent="0.25">
      <c r="AD671" s="2" t="str">
        <f t="shared" si="30"/>
        <v/>
      </c>
      <c r="AE671" s="2" t="str">
        <f t="shared" si="31"/>
        <v/>
      </c>
      <c r="AF671" s="2" t="str">
        <f t="shared" si="32"/>
        <v/>
      </c>
      <c r="AG671" s="2" t="str">
        <f>IF($L671="","",IF(COUNTIF(LISTS!$A$2:$A$200,$H671)=0,"NEW",""))</f>
        <v/>
      </c>
    </row>
    <row r="672" spans="30:33" x14ac:dyDescent="0.25">
      <c r="AD672" s="2" t="str">
        <f t="shared" si="30"/>
        <v/>
      </c>
      <c r="AE672" s="2" t="str">
        <f t="shared" si="31"/>
        <v/>
      </c>
      <c r="AF672" s="2" t="str">
        <f t="shared" si="32"/>
        <v/>
      </c>
      <c r="AG672" s="2" t="str">
        <f>IF($L672="","",IF(COUNTIF(LISTS!$A$2:$A$200,$H672)=0,"NEW",""))</f>
        <v/>
      </c>
    </row>
    <row r="673" spans="30:33" x14ac:dyDescent="0.25">
      <c r="AD673" s="2" t="str">
        <f t="shared" si="30"/>
        <v/>
      </c>
      <c r="AE673" s="2" t="str">
        <f t="shared" si="31"/>
        <v/>
      </c>
      <c r="AF673" s="2" t="str">
        <f t="shared" si="32"/>
        <v/>
      </c>
      <c r="AG673" s="2" t="str">
        <f>IF($L673="","",IF(COUNTIF(LISTS!$A$2:$A$200,$H673)=0,"NEW",""))</f>
        <v/>
      </c>
    </row>
    <row r="674" spans="30:33" x14ac:dyDescent="0.25">
      <c r="AD674" s="2" t="str">
        <f t="shared" si="30"/>
        <v/>
      </c>
      <c r="AE674" s="2" t="str">
        <f t="shared" si="31"/>
        <v/>
      </c>
      <c r="AF674" s="2" t="str">
        <f t="shared" si="32"/>
        <v/>
      </c>
      <c r="AG674" s="2" t="str">
        <f>IF($L674="","",IF(COUNTIF(LISTS!$A$2:$A$200,$H674)=0,"NEW",""))</f>
        <v/>
      </c>
    </row>
    <row r="675" spans="30:33" x14ac:dyDescent="0.25">
      <c r="AD675" s="2" t="str">
        <f t="shared" si="30"/>
        <v/>
      </c>
      <c r="AE675" s="2" t="str">
        <f t="shared" si="31"/>
        <v/>
      </c>
      <c r="AF675" s="2" t="str">
        <f t="shared" si="32"/>
        <v/>
      </c>
      <c r="AG675" s="2" t="str">
        <f>IF($L675="","",IF(COUNTIF(LISTS!$A$2:$A$200,$H675)=0,"NEW",""))</f>
        <v/>
      </c>
    </row>
    <row r="676" spans="30:33" x14ac:dyDescent="0.25">
      <c r="AD676" s="2" t="str">
        <f t="shared" si="30"/>
        <v/>
      </c>
      <c r="AE676" s="2" t="str">
        <f t="shared" si="31"/>
        <v/>
      </c>
      <c r="AF676" s="2" t="str">
        <f t="shared" si="32"/>
        <v/>
      </c>
      <c r="AG676" s="2" t="str">
        <f>IF($L676="","",IF(COUNTIF(LISTS!$A$2:$A$200,$H676)=0,"NEW",""))</f>
        <v/>
      </c>
    </row>
    <row r="677" spans="30:33" x14ac:dyDescent="0.25">
      <c r="AD677" s="2" t="str">
        <f t="shared" si="30"/>
        <v/>
      </c>
      <c r="AE677" s="2" t="str">
        <f t="shared" si="31"/>
        <v/>
      </c>
      <c r="AF677" s="2" t="str">
        <f t="shared" si="32"/>
        <v/>
      </c>
      <c r="AG677" s="2" t="str">
        <f>IF($L677="","",IF(COUNTIF(LISTS!$A$2:$A$200,$H677)=0,"NEW",""))</f>
        <v/>
      </c>
    </row>
    <row r="678" spans="30:33" x14ac:dyDescent="0.25">
      <c r="AD678" s="2" t="str">
        <f t="shared" si="30"/>
        <v/>
      </c>
      <c r="AE678" s="2" t="str">
        <f t="shared" si="31"/>
        <v/>
      </c>
      <c r="AF678" s="2" t="str">
        <f t="shared" si="32"/>
        <v/>
      </c>
      <c r="AG678" s="2" t="str">
        <f>IF($L678="","",IF(COUNTIF(LISTS!$A$2:$A$200,$H678)=0,"NEW",""))</f>
        <v/>
      </c>
    </row>
    <row r="679" spans="30:33" x14ac:dyDescent="0.25">
      <c r="AD679" s="2" t="str">
        <f t="shared" si="30"/>
        <v/>
      </c>
      <c r="AE679" s="2" t="str">
        <f t="shared" si="31"/>
        <v/>
      </c>
      <c r="AF679" s="2" t="str">
        <f t="shared" si="32"/>
        <v/>
      </c>
      <c r="AG679" s="2" t="str">
        <f>IF($L679="","",IF(COUNTIF(LISTS!$A$2:$A$200,$H679)=0,"NEW",""))</f>
        <v/>
      </c>
    </row>
    <row r="680" spans="30:33" x14ac:dyDescent="0.25">
      <c r="AD680" s="2" t="str">
        <f t="shared" si="30"/>
        <v/>
      </c>
      <c r="AE680" s="2" t="str">
        <f t="shared" si="31"/>
        <v/>
      </c>
      <c r="AF680" s="2" t="str">
        <f t="shared" si="32"/>
        <v/>
      </c>
      <c r="AG680" s="2" t="str">
        <f>IF($L680="","",IF(COUNTIF(LISTS!$A$2:$A$200,$H680)=0,"NEW",""))</f>
        <v/>
      </c>
    </row>
    <row r="681" spans="30:33" x14ac:dyDescent="0.25">
      <c r="AD681" s="2" t="str">
        <f t="shared" si="30"/>
        <v/>
      </c>
      <c r="AE681" s="2" t="str">
        <f t="shared" si="31"/>
        <v/>
      </c>
      <c r="AF681" s="2" t="str">
        <f t="shared" si="32"/>
        <v/>
      </c>
      <c r="AG681" s="2" t="str">
        <f>IF($L681="","",IF(COUNTIF(LISTS!$A$2:$A$200,$H681)=0,"NEW",""))</f>
        <v/>
      </c>
    </row>
    <row r="682" spans="30:33" x14ac:dyDescent="0.25">
      <c r="AD682" s="2" t="str">
        <f t="shared" si="30"/>
        <v/>
      </c>
      <c r="AE682" s="2" t="str">
        <f t="shared" si="31"/>
        <v/>
      </c>
      <c r="AF682" s="2" t="str">
        <f t="shared" si="32"/>
        <v/>
      </c>
      <c r="AG682" s="2" t="str">
        <f>IF($L682="","",IF(COUNTIF(LISTS!$A$2:$A$200,$H682)=0,"NEW",""))</f>
        <v/>
      </c>
    </row>
    <row r="683" spans="30:33" x14ac:dyDescent="0.25">
      <c r="AD683" s="2" t="str">
        <f t="shared" si="30"/>
        <v/>
      </c>
      <c r="AE683" s="2" t="str">
        <f t="shared" si="31"/>
        <v/>
      </c>
      <c r="AF683" s="2" t="str">
        <f t="shared" si="32"/>
        <v/>
      </c>
      <c r="AG683" s="2" t="str">
        <f>IF($L683="","",IF(COUNTIF(LISTS!$A$2:$A$200,$H683)=0,"NEW",""))</f>
        <v/>
      </c>
    </row>
    <row r="684" spans="30:33" x14ac:dyDescent="0.25">
      <c r="AD684" s="2" t="str">
        <f t="shared" si="30"/>
        <v/>
      </c>
      <c r="AE684" s="2" t="str">
        <f t="shared" si="31"/>
        <v/>
      </c>
      <c r="AF684" s="2" t="str">
        <f t="shared" si="32"/>
        <v/>
      </c>
      <c r="AG684" s="2" t="str">
        <f>IF($L684="","",IF(COUNTIF(LISTS!$A$2:$A$200,$H684)=0,"NEW",""))</f>
        <v/>
      </c>
    </row>
    <row r="685" spans="30:33" x14ac:dyDescent="0.25">
      <c r="AD685" s="2" t="str">
        <f t="shared" si="30"/>
        <v/>
      </c>
      <c r="AE685" s="2" t="str">
        <f t="shared" si="31"/>
        <v/>
      </c>
      <c r="AF685" s="2" t="str">
        <f t="shared" si="32"/>
        <v/>
      </c>
      <c r="AG685" s="2" t="str">
        <f>IF($L685="","",IF(COUNTIF(LISTS!$A$2:$A$200,$H685)=0,"NEW",""))</f>
        <v/>
      </c>
    </row>
    <row r="686" spans="30:33" x14ac:dyDescent="0.25">
      <c r="AD686" s="2" t="str">
        <f t="shared" si="30"/>
        <v/>
      </c>
      <c r="AE686" s="2" t="str">
        <f t="shared" si="31"/>
        <v/>
      </c>
      <c r="AF686" s="2" t="str">
        <f t="shared" si="32"/>
        <v/>
      </c>
      <c r="AG686" s="2" t="str">
        <f>IF($L686="","",IF(COUNTIF(LISTS!$A$2:$A$200,$H686)=0,"NEW",""))</f>
        <v/>
      </c>
    </row>
    <row r="687" spans="30:33" x14ac:dyDescent="0.25">
      <c r="AD687" s="2" t="str">
        <f t="shared" si="30"/>
        <v/>
      </c>
      <c r="AE687" s="2" t="str">
        <f t="shared" si="31"/>
        <v/>
      </c>
      <c r="AF687" s="2" t="str">
        <f t="shared" si="32"/>
        <v/>
      </c>
      <c r="AG687" s="2" t="str">
        <f>IF($L687="","",IF(COUNTIF(LISTS!$A$2:$A$200,$H687)=0,"NEW",""))</f>
        <v/>
      </c>
    </row>
    <row r="688" spans="30:33" x14ac:dyDescent="0.25">
      <c r="AD688" s="2" t="str">
        <f t="shared" si="30"/>
        <v/>
      </c>
      <c r="AE688" s="2" t="str">
        <f t="shared" si="31"/>
        <v/>
      </c>
      <c r="AF688" s="2" t="str">
        <f t="shared" si="32"/>
        <v/>
      </c>
      <c r="AG688" s="2" t="str">
        <f>IF($L688="","",IF(COUNTIF(LISTS!$A$2:$A$200,$H688)=0,"NEW",""))</f>
        <v/>
      </c>
    </row>
    <row r="689" spans="30:33" x14ac:dyDescent="0.25">
      <c r="AD689" s="2" t="str">
        <f t="shared" si="30"/>
        <v/>
      </c>
      <c r="AE689" s="2" t="str">
        <f t="shared" si="31"/>
        <v/>
      </c>
      <c r="AF689" s="2" t="str">
        <f t="shared" si="32"/>
        <v/>
      </c>
      <c r="AG689" s="2" t="str">
        <f>IF($L689="","",IF(COUNTIF(LISTS!$A$2:$A$200,$H689)=0,"NEW",""))</f>
        <v/>
      </c>
    </row>
    <row r="690" spans="30:33" x14ac:dyDescent="0.25">
      <c r="AD690" s="2" t="str">
        <f t="shared" si="30"/>
        <v/>
      </c>
      <c r="AE690" s="2" t="str">
        <f t="shared" si="31"/>
        <v/>
      </c>
      <c r="AF690" s="2" t="str">
        <f t="shared" si="32"/>
        <v/>
      </c>
      <c r="AG690" s="2" t="str">
        <f>IF($L690="","",IF(COUNTIF(LISTS!$A$2:$A$200,$H690)=0,"NEW",""))</f>
        <v/>
      </c>
    </row>
    <row r="691" spans="30:33" x14ac:dyDescent="0.25">
      <c r="AD691" s="2" t="str">
        <f t="shared" si="30"/>
        <v/>
      </c>
      <c r="AE691" s="2" t="str">
        <f t="shared" si="31"/>
        <v/>
      </c>
      <c r="AF691" s="2" t="str">
        <f t="shared" si="32"/>
        <v/>
      </c>
      <c r="AG691" s="2" t="str">
        <f>IF($L691="","",IF(COUNTIF(LISTS!$A$2:$A$200,$H691)=0,"NEW",""))</f>
        <v/>
      </c>
    </row>
    <row r="692" spans="30:33" x14ac:dyDescent="0.25">
      <c r="AD692" s="2" t="str">
        <f t="shared" si="30"/>
        <v/>
      </c>
      <c r="AE692" s="2" t="str">
        <f t="shared" si="31"/>
        <v/>
      </c>
      <c r="AF692" s="2" t="str">
        <f t="shared" si="32"/>
        <v/>
      </c>
      <c r="AG692" s="2" t="str">
        <f>IF($L692="","",IF(COUNTIF(LISTS!$A$2:$A$200,$H692)=0,"NEW",""))</f>
        <v/>
      </c>
    </row>
    <row r="693" spans="30:33" x14ac:dyDescent="0.25">
      <c r="AD693" s="2" t="str">
        <f t="shared" si="30"/>
        <v/>
      </c>
      <c r="AE693" s="2" t="str">
        <f t="shared" si="31"/>
        <v/>
      </c>
      <c r="AF693" s="2" t="str">
        <f t="shared" si="32"/>
        <v/>
      </c>
      <c r="AG693" s="2" t="str">
        <f>IF($L693="","",IF(COUNTIF(LISTS!$A$2:$A$200,$H693)=0,"NEW",""))</f>
        <v/>
      </c>
    </row>
    <row r="694" spans="30:33" x14ac:dyDescent="0.25">
      <c r="AD694" s="2" t="str">
        <f t="shared" si="30"/>
        <v/>
      </c>
      <c r="AE694" s="2" t="str">
        <f t="shared" si="31"/>
        <v/>
      </c>
      <c r="AF694" s="2" t="str">
        <f t="shared" si="32"/>
        <v/>
      </c>
      <c r="AG694" s="2" t="str">
        <f>IF($L694="","",IF(COUNTIF(LISTS!$A$2:$A$200,$H694)=0,"NEW",""))</f>
        <v/>
      </c>
    </row>
    <row r="695" spans="30:33" x14ac:dyDescent="0.25">
      <c r="AD695" s="2" t="str">
        <f t="shared" si="30"/>
        <v/>
      </c>
      <c r="AE695" s="2" t="str">
        <f t="shared" si="31"/>
        <v/>
      </c>
      <c r="AF695" s="2" t="str">
        <f t="shared" si="32"/>
        <v/>
      </c>
      <c r="AG695" s="2" t="str">
        <f>IF($L695="","",IF(COUNTIF(LISTS!$A$2:$A$200,$H695)=0,"NEW",""))</f>
        <v/>
      </c>
    </row>
    <row r="696" spans="30:33" x14ac:dyDescent="0.25">
      <c r="AD696" s="2" t="str">
        <f t="shared" si="30"/>
        <v/>
      </c>
      <c r="AE696" s="2" t="str">
        <f t="shared" si="31"/>
        <v/>
      </c>
      <c r="AF696" s="2" t="str">
        <f t="shared" si="32"/>
        <v/>
      </c>
      <c r="AG696" s="2" t="str">
        <f>IF($L696="","",IF(COUNTIF(LISTS!$A$2:$A$200,$H696)=0,"NEW",""))</f>
        <v/>
      </c>
    </row>
    <row r="697" spans="30:33" x14ac:dyDescent="0.25">
      <c r="AD697" s="2" t="str">
        <f t="shared" si="30"/>
        <v/>
      </c>
      <c r="AE697" s="2" t="str">
        <f t="shared" si="31"/>
        <v/>
      </c>
      <c r="AF697" s="2" t="str">
        <f t="shared" si="32"/>
        <v/>
      </c>
      <c r="AG697" s="2" t="str">
        <f>IF($L697="","",IF(COUNTIF(LISTS!$A$2:$A$200,$H697)=0,"NEW",""))</f>
        <v/>
      </c>
    </row>
    <row r="698" spans="30:33" x14ac:dyDescent="0.25">
      <c r="AD698" s="2" t="str">
        <f t="shared" si="30"/>
        <v/>
      </c>
      <c r="AE698" s="2" t="str">
        <f t="shared" si="31"/>
        <v/>
      </c>
      <c r="AF698" s="2" t="str">
        <f t="shared" si="32"/>
        <v/>
      </c>
      <c r="AG698" s="2" t="str">
        <f>IF($L698="","",IF(COUNTIF(LISTS!$A$2:$A$200,$H698)=0,"NEW",""))</f>
        <v/>
      </c>
    </row>
    <row r="699" spans="30:33" x14ac:dyDescent="0.25">
      <c r="AD699" s="2" t="str">
        <f t="shared" si="30"/>
        <v/>
      </c>
      <c r="AE699" s="2" t="str">
        <f t="shared" si="31"/>
        <v/>
      </c>
      <c r="AF699" s="2" t="str">
        <f t="shared" si="32"/>
        <v/>
      </c>
      <c r="AG699" s="2" t="str">
        <f>IF($L699="","",IF(COUNTIF(LISTS!$A$2:$A$200,$H699)=0,"NEW",""))</f>
        <v/>
      </c>
    </row>
    <row r="700" spans="30:33" x14ac:dyDescent="0.25">
      <c r="AD700" s="2" t="str">
        <f t="shared" si="30"/>
        <v/>
      </c>
      <c r="AE700" s="2" t="str">
        <f t="shared" si="31"/>
        <v/>
      </c>
      <c r="AF700" s="2" t="str">
        <f t="shared" si="32"/>
        <v/>
      </c>
      <c r="AG700" s="2" t="str">
        <f>IF($L700="","",IF(COUNTIF(LISTS!$A$2:$A$200,$H700)=0,"NEW",""))</f>
        <v/>
      </c>
    </row>
    <row r="701" spans="30:33" x14ac:dyDescent="0.25">
      <c r="AD701" s="2" t="str">
        <f t="shared" si="30"/>
        <v/>
      </c>
      <c r="AE701" s="2" t="str">
        <f t="shared" si="31"/>
        <v/>
      </c>
      <c r="AF701" s="2" t="str">
        <f t="shared" si="32"/>
        <v/>
      </c>
      <c r="AG701" s="2" t="str">
        <f>IF($L701="","",IF(COUNTIF(LISTS!$A$2:$A$200,$H701)=0,"NEW",""))</f>
        <v/>
      </c>
    </row>
    <row r="702" spans="30:33" x14ac:dyDescent="0.25">
      <c r="AD702" s="2" t="str">
        <f t="shared" si="30"/>
        <v/>
      </c>
      <c r="AE702" s="2" t="str">
        <f t="shared" si="31"/>
        <v/>
      </c>
      <c r="AF702" s="2" t="str">
        <f t="shared" si="32"/>
        <v/>
      </c>
      <c r="AG702" s="2" t="str">
        <f>IF($L702="","",IF(COUNTIF(LISTS!$A$2:$A$200,$H702)=0,"NEW",""))</f>
        <v/>
      </c>
    </row>
    <row r="703" spans="30:33" x14ac:dyDescent="0.25">
      <c r="AD703" s="2" t="str">
        <f t="shared" si="30"/>
        <v/>
      </c>
      <c r="AE703" s="2" t="str">
        <f t="shared" si="31"/>
        <v/>
      </c>
      <c r="AF703" s="2" t="str">
        <f t="shared" si="32"/>
        <v/>
      </c>
      <c r="AG703" s="2" t="str">
        <f>IF($L703="","",IF(COUNTIF(LISTS!$A$2:$A$200,$H703)=0,"NEW",""))</f>
        <v/>
      </c>
    </row>
    <row r="704" spans="30:33" x14ac:dyDescent="0.25">
      <c r="AD704" s="2" t="str">
        <f t="shared" si="30"/>
        <v/>
      </c>
      <c r="AE704" s="2" t="str">
        <f t="shared" si="31"/>
        <v/>
      </c>
      <c r="AF704" s="2" t="str">
        <f t="shared" si="32"/>
        <v/>
      </c>
      <c r="AG704" s="2" t="str">
        <f>IF($L704="","",IF(COUNTIF(LISTS!$A$2:$A$200,$H704)=0,"NEW",""))</f>
        <v/>
      </c>
    </row>
    <row r="705" spans="30:33" x14ac:dyDescent="0.25">
      <c r="AD705" s="2" t="str">
        <f t="shared" si="30"/>
        <v/>
      </c>
      <c r="AE705" s="2" t="str">
        <f t="shared" si="31"/>
        <v/>
      </c>
      <c r="AF705" s="2" t="str">
        <f t="shared" si="32"/>
        <v/>
      </c>
      <c r="AG705" s="2" t="str">
        <f>IF($L705="","",IF(COUNTIF(LISTS!$A$2:$A$200,$H705)=0,"NEW",""))</f>
        <v/>
      </c>
    </row>
    <row r="706" spans="30:33" x14ac:dyDescent="0.25">
      <c r="AD706" s="2" t="str">
        <f t="shared" ref="AD706:AD769" si="33">IF($L706="","",IF(ISNUMBER(SEARCH("OFF ROAD",$H706)),"OFF",IF(ISNUMBER(SEARCH("ON ROAD",$H706)),"ON","")))</f>
        <v/>
      </c>
      <c r="AE706" s="2" t="str">
        <f t="shared" ref="AE706:AE769" si="34">IF($AD706="ON",""&amp;$L706,"")</f>
        <v/>
      </c>
      <c r="AF706" s="2" t="str">
        <f t="shared" ref="AF706:AF769" si="35">IF($L706="","",IF($J706&lt;&gt;"","Y",""))</f>
        <v/>
      </c>
      <c r="AG706" s="2" t="str">
        <f>IF($L706="","",IF(COUNTIF(LISTS!$A$2:$A$200,$H706)=0,"NEW",""))</f>
        <v/>
      </c>
    </row>
    <row r="707" spans="30:33" x14ac:dyDescent="0.25">
      <c r="AD707" s="2" t="str">
        <f t="shared" si="33"/>
        <v/>
      </c>
      <c r="AE707" s="2" t="str">
        <f t="shared" si="34"/>
        <v/>
      </c>
      <c r="AF707" s="2" t="str">
        <f t="shared" si="35"/>
        <v/>
      </c>
      <c r="AG707" s="2" t="str">
        <f>IF($L707="","",IF(COUNTIF(LISTS!$A$2:$A$200,$H707)=0,"NEW",""))</f>
        <v/>
      </c>
    </row>
    <row r="708" spans="30:33" x14ac:dyDescent="0.25">
      <c r="AD708" s="2" t="str">
        <f t="shared" si="33"/>
        <v/>
      </c>
      <c r="AE708" s="2" t="str">
        <f t="shared" si="34"/>
        <v/>
      </c>
      <c r="AF708" s="2" t="str">
        <f t="shared" si="35"/>
        <v/>
      </c>
      <c r="AG708" s="2" t="str">
        <f>IF($L708="","",IF(COUNTIF(LISTS!$A$2:$A$200,$H708)=0,"NEW",""))</f>
        <v/>
      </c>
    </row>
    <row r="709" spans="30:33" x14ac:dyDescent="0.25">
      <c r="AD709" s="2" t="str">
        <f t="shared" si="33"/>
        <v/>
      </c>
      <c r="AE709" s="2" t="str">
        <f t="shared" si="34"/>
        <v/>
      </c>
      <c r="AF709" s="2" t="str">
        <f t="shared" si="35"/>
        <v/>
      </c>
      <c r="AG709" s="2" t="str">
        <f>IF($L709="","",IF(COUNTIF(LISTS!$A$2:$A$200,$H709)=0,"NEW",""))</f>
        <v/>
      </c>
    </row>
    <row r="710" spans="30:33" x14ac:dyDescent="0.25">
      <c r="AD710" s="2" t="str">
        <f t="shared" si="33"/>
        <v/>
      </c>
      <c r="AE710" s="2" t="str">
        <f t="shared" si="34"/>
        <v/>
      </c>
      <c r="AF710" s="2" t="str">
        <f t="shared" si="35"/>
        <v/>
      </c>
      <c r="AG710" s="2" t="str">
        <f>IF($L710="","",IF(COUNTIF(LISTS!$A$2:$A$200,$H710)=0,"NEW",""))</f>
        <v/>
      </c>
    </row>
    <row r="711" spans="30:33" x14ac:dyDescent="0.25">
      <c r="AD711" s="2" t="str">
        <f t="shared" si="33"/>
        <v/>
      </c>
      <c r="AE711" s="2" t="str">
        <f t="shared" si="34"/>
        <v/>
      </c>
      <c r="AF711" s="2" t="str">
        <f t="shared" si="35"/>
        <v/>
      </c>
      <c r="AG711" s="2" t="str">
        <f>IF($L711="","",IF(COUNTIF(LISTS!$A$2:$A$200,$H711)=0,"NEW",""))</f>
        <v/>
      </c>
    </row>
    <row r="712" spans="30:33" x14ac:dyDescent="0.25">
      <c r="AD712" s="2" t="str">
        <f t="shared" si="33"/>
        <v/>
      </c>
      <c r="AE712" s="2" t="str">
        <f t="shared" si="34"/>
        <v/>
      </c>
      <c r="AF712" s="2" t="str">
        <f t="shared" si="35"/>
        <v/>
      </c>
      <c r="AG712" s="2" t="str">
        <f>IF($L712="","",IF(COUNTIF(LISTS!$A$2:$A$200,$H712)=0,"NEW",""))</f>
        <v/>
      </c>
    </row>
    <row r="713" spans="30:33" x14ac:dyDescent="0.25">
      <c r="AD713" s="2" t="str">
        <f t="shared" si="33"/>
        <v/>
      </c>
      <c r="AE713" s="2" t="str">
        <f t="shared" si="34"/>
        <v/>
      </c>
      <c r="AF713" s="2" t="str">
        <f t="shared" si="35"/>
        <v/>
      </c>
      <c r="AG713" s="2" t="str">
        <f>IF($L713="","",IF(COUNTIF(LISTS!$A$2:$A$200,$H713)=0,"NEW",""))</f>
        <v/>
      </c>
    </row>
    <row r="714" spans="30:33" x14ac:dyDescent="0.25">
      <c r="AD714" s="2" t="str">
        <f t="shared" si="33"/>
        <v/>
      </c>
      <c r="AE714" s="2" t="str">
        <f t="shared" si="34"/>
        <v/>
      </c>
      <c r="AF714" s="2" t="str">
        <f t="shared" si="35"/>
        <v/>
      </c>
      <c r="AG714" s="2" t="str">
        <f>IF($L714="","",IF(COUNTIF(LISTS!$A$2:$A$200,$H714)=0,"NEW",""))</f>
        <v/>
      </c>
    </row>
    <row r="715" spans="30:33" x14ac:dyDescent="0.25">
      <c r="AD715" s="2" t="str">
        <f t="shared" si="33"/>
        <v/>
      </c>
      <c r="AE715" s="2" t="str">
        <f t="shared" si="34"/>
        <v/>
      </c>
      <c r="AF715" s="2" t="str">
        <f t="shared" si="35"/>
        <v/>
      </c>
      <c r="AG715" s="2" t="str">
        <f>IF($L715="","",IF(COUNTIF(LISTS!$A$2:$A$200,$H715)=0,"NEW",""))</f>
        <v/>
      </c>
    </row>
    <row r="716" spans="30:33" x14ac:dyDescent="0.25">
      <c r="AD716" s="2" t="str">
        <f t="shared" si="33"/>
        <v/>
      </c>
      <c r="AE716" s="2" t="str">
        <f t="shared" si="34"/>
        <v/>
      </c>
      <c r="AF716" s="2" t="str">
        <f t="shared" si="35"/>
        <v/>
      </c>
      <c r="AG716" s="2" t="str">
        <f>IF($L716="","",IF(COUNTIF(LISTS!$A$2:$A$200,$H716)=0,"NEW",""))</f>
        <v/>
      </c>
    </row>
    <row r="717" spans="30:33" x14ac:dyDescent="0.25">
      <c r="AD717" s="2" t="str">
        <f t="shared" si="33"/>
        <v/>
      </c>
      <c r="AE717" s="2" t="str">
        <f t="shared" si="34"/>
        <v/>
      </c>
      <c r="AF717" s="2" t="str">
        <f t="shared" si="35"/>
        <v/>
      </c>
      <c r="AG717" s="2" t="str">
        <f>IF($L717="","",IF(COUNTIF(LISTS!$A$2:$A$200,$H717)=0,"NEW",""))</f>
        <v/>
      </c>
    </row>
    <row r="718" spans="30:33" x14ac:dyDescent="0.25">
      <c r="AD718" s="2" t="str">
        <f t="shared" si="33"/>
        <v/>
      </c>
      <c r="AE718" s="2" t="str">
        <f t="shared" si="34"/>
        <v/>
      </c>
      <c r="AF718" s="2" t="str">
        <f t="shared" si="35"/>
        <v/>
      </c>
      <c r="AG718" s="2" t="str">
        <f>IF($L718="","",IF(COUNTIF(LISTS!$A$2:$A$200,$H718)=0,"NEW",""))</f>
        <v/>
      </c>
    </row>
    <row r="719" spans="30:33" x14ac:dyDescent="0.25">
      <c r="AD719" s="2" t="str">
        <f t="shared" si="33"/>
        <v/>
      </c>
      <c r="AE719" s="2" t="str">
        <f t="shared" si="34"/>
        <v/>
      </c>
      <c r="AF719" s="2" t="str">
        <f t="shared" si="35"/>
        <v/>
      </c>
      <c r="AG719" s="2" t="str">
        <f>IF($L719="","",IF(COUNTIF(LISTS!$A$2:$A$200,$H719)=0,"NEW",""))</f>
        <v/>
      </c>
    </row>
    <row r="720" spans="30:33" x14ac:dyDescent="0.25">
      <c r="AD720" s="2" t="str">
        <f t="shared" si="33"/>
        <v/>
      </c>
      <c r="AE720" s="2" t="str">
        <f t="shared" si="34"/>
        <v/>
      </c>
      <c r="AF720" s="2" t="str">
        <f t="shared" si="35"/>
        <v/>
      </c>
      <c r="AG720" s="2" t="str">
        <f>IF($L720="","",IF(COUNTIF(LISTS!$A$2:$A$200,$H720)=0,"NEW",""))</f>
        <v/>
      </c>
    </row>
    <row r="721" spans="30:33" x14ac:dyDescent="0.25">
      <c r="AD721" s="2" t="str">
        <f t="shared" si="33"/>
        <v/>
      </c>
      <c r="AE721" s="2" t="str">
        <f t="shared" si="34"/>
        <v/>
      </c>
      <c r="AF721" s="2" t="str">
        <f t="shared" si="35"/>
        <v/>
      </c>
      <c r="AG721" s="2" t="str">
        <f>IF($L721="","",IF(COUNTIF(LISTS!$A$2:$A$200,$H721)=0,"NEW",""))</f>
        <v/>
      </c>
    </row>
    <row r="722" spans="30:33" x14ac:dyDescent="0.25">
      <c r="AD722" s="2" t="str">
        <f t="shared" si="33"/>
        <v/>
      </c>
      <c r="AE722" s="2" t="str">
        <f t="shared" si="34"/>
        <v/>
      </c>
      <c r="AF722" s="2" t="str">
        <f t="shared" si="35"/>
        <v/>
      </c>
      <c r="AG722" s="2" t="str">
        <f>IF($L722="","",IF(COUNTIF(LISTS!$A$2:$A$200,$H722)=0,"NEW",""))</f>
        <v/>
      </c>
    </row>
    <row r="723" spans="30:33" x14ac:dyDescent="0.25">
      <c r="AD723" s="2" t="str">
        <f t="shared" si="33"/>
        <v/>
      </c>
      <c r="AE723" s="2" t="str">
        <f t="shared" si="34"/>
        <v/>
      </c>
      <c r="AF723" s="2" t="str">
        <f t="shared" si="35"/>
        <v/>
      </c>
      <c r="AG723" s="2" t="str">
        <f>IF($L723="","",IF(COUNTIF(LISTS!$A$2:$A$200,$H723)=0,"NEW",""))</f>
        <v/>
      </c>
    </row>
    <row r="724" spans="30:33" x14ac:dyDescent="0.25">
      <c r="AD724" s="2" t="str">
        <f t="shared" si="33"/>
        <v/>
      </c>
      <c r="AE724" s="2" t="str">
        <f t="shared" si="34"/>
        <v/>
      </c>
      <c r="AF724" s="2" t="str">
        <f t="shared" si="35"/>
        <v/>
      </c>
      <c r="AG724" s="2" t="str">
        <f>IF($L724="","",IF(COUNTIF(LISTS!$A$2:$A$200,$H724)=0,"NEW",""))</f>
        <v/>
      </c>
    </row>
    <row r="725" spans="30:33" x14ac:dyDescent="0.25">
      <c r="AD725" s="2" t="str">
        <f t="shared" si="33"/>
        <v/>
      </c>
      <c r="AE725" s="2" t="str">
        <f t="shared" si="34"/>
        <v/>
      </c>
      <c r="AF725" s="2" t="str">
        <f t="shared" si="35"/>
        <v/>
      </c>
      <c r="AG725" s="2" t="str">
        <f>IF($L725="","",IF(COUNTIF(LISTS!$A$2:$A$200,$H725)=0,"NEW",""))</f>
        <v/>
      </c>
    </row>
    <row r="726" spans="30:33" x14ac:dyDescent="0.25">
      <c r="AD726" s="2" t="str">
        <f t="shared" si="33"/>
        <v/>
      </c>
      <c r="AE726" s="2" t="str">
        <f t="shared" si="34"/>
        <v/>
      </c>
      <c r="AF726" s="2" t="str">
        <f t="shared" si="35"/>
        <v/>
      </c>
      <c r="AG726" s="2" t="str">
        <f>IF($L726="","",IF(COUNTIF(LISTS!$A$2:$A$200,$H726)=0,"NEW",""))</f>
        <v/>
      </c>
    </row>
    <row r="727" spans="30:33" x14ac:dyDescent="0.25">
      <c r="AD727" s="2" t="str">
        <f t="shared" si="33"/>
        <v/>
      </c>
      <c r="AE727" s="2" t="str">
        <f t="shared" si="34"/>
        <v/>
      </c>
      <c r="AF727" s="2" t="str">
        <f t="shared" si="35"/>
        <v/>
      </c>
      <c r="AG727" s="2" t="str">
        <f>IF($L727="","",IF(COUNTIF(LISTS!$A$2:$A$200,$H727)=0,"NEW",""))</f>
        <v/>
      </c>
    </row>
    <row r="728" spans="30:33" x14ac:dyDescent="0.25">
      <c r="AD728" s="2" t="str">
        <f t="shared" si="33"/>
        <v/>
      </c>
      <c r="AE728" s="2" t="str">
        <f t="shared" si="34"/>
        <v/>
      </c>
      <c r="AF728" s="2" t="str">
        <f t="shared" si="35"/>
        <v/>
      </c>
      <c r="AG728" s="2" t="str">
        <f>IF($L728="","",IF(COUNTIF(LISTS!$A$2:$A$200,$H728)=0,"NEW",""))</f>
        <v/>
      </c>
    </row>
    <row r="729" spans="30:33" x14ac:dyDescent="0.25">
      <c r="AD729" s="2" t="str">
        <f t="shared" si="33"/>
        <v/>
      </c>
      <c r="AE729" s="2" t="str">
        <f t="shared" si="34"/>
        <v/>
      </c>
      <c r="AF729" s="2" t="str">
        <f t="shared" si="35"/>
        <v/>
      </c>
      <c r="AG729" s="2" t="str">
        <f>IF($L729="","",IF(COUNTIF(LISTS!$A$2:$A$200,$H729)=0,"NEW",""))</f>
        <v/>
      </c>
    </row>
    <row r="730" spans="30:33" x14ac:dyDescent="0.25">
      <c r="AD730" s="2" t="str">
        <f t="shared" si="33"/>
        <v/>
      </c>
      <c r="AE730" s="2" t="str">
        <f t="shared" si="34"/>
        <v/>
      </c>
      <c r="AF730" s="2" t="str">
        <f t="shared" si="35"/>
        <v/>
      </c>
      <c r="AG730" s="2" t="str">
        <f>IF($L730="","",IF(COUNTIF(LISTS!$A$2:$A$200,$H730)=0,"NEW",""))</f>
        <v/>
      </c>
    </row>
    <row r="731" spans="30:33" x14ac:dyDescent="0.25">
      <c r="AD731" s="2" t="str">
        <f t="shared" si="33"/>
        <v/>
      </c>
      <c r="AE731" s="2" t="str">
        <f t="shared" si="34"/>
        <v/>
      </c>
      <c r="AF731" s="2" t="str">
        <f t="shared" si="35"/>
        <v/>
      </c>
      <c r="AG731" s="2" t="str">
        <f>IF($L731="","",IF(COUNTIF(LISTS!$A$2:$A$200,$H731)=0,"NEW",""))</f>
        <v/>
      </c>
    </row>
    <row r="732" spans="30:33" x14ac:dyDescent="0.25">
      <c r="AD732" s="2" t="str">
        <f t="shared" si="33"/>
        <v/>
      </c>
      <c r="AE732" s="2" t="str">
        <f t="shared" si="34"/>
        <v/>
      </c>
      <c r="AF732" s="2" t="str">
        <f t="shared" si="35"/>
        <v/>
      </c>
      <c r="AG732" s="2" t="str">
        <f>IF($L732="","",IF(COUNTIF(LISTS!$A$2:$A$200,$H732)=0,"NEW",""))</f>
        <v/>
      </c>
    </row>
    <row r="733" spans="30:33" x14ac:dyDescent="0.25">
      <c r="AD733" s="2" t="str">
        <f t="shared" si="33"/>
        <v/>
      </c>
      <c r="AE733" s="2" t="str">
        <f t="shared" si="34"/>
        <v/>
      </c>
      <c r="AF733" s="2" t="str">
        <f t="shared" si="35"/>
        <v/>
      </c>
      <c r="AG733" s="2" t="str">
        <f>IF($L733="","",IF(COUNTIF(LISTS!$A$2:$A$200,$H733)=0,"NEW",""))</f>
        <v/>
      </c>
    </row>
    <row r="734" spans="30:33" x14ac:dyDescent="0.25">
      <c r="AD734" s="2" t="str">
        <f t="shared" si="33"/>
        <v/>
      </c>
      <c r="AE734" s="2" t="str">
        <f t="shared" si="34"/>
        <v/>
      </c>
      <c r="AF734" s="2" t="str">
        <f t="shared" si="35"/>
        <v/>
      </c>
      <c r="AG734" s="2" t="str">
        <f>IF($L734="","",IF(COUNTIF(LISTS!$A$2:$A$200,$H734)=0,"NEW",""))</f>
        <v/>
      </c>
    </row>
    <row r="735" spans="30:33" x14ac:dyDescent="0.25">
      <c r="AD735" s="2" t="str">
        <f t="shared" si="33"/>
        <v/>
      </c>
      <c r="AE735" s="2" t="str">
        <f t="shared" si="34"/>
        <v/>
      </c>
      <c r="AF735" s="2" t="str">
        <f t="shared" si="35"/>
        <v/>
      </c>
      <c r="AG735" s="2" t="str">
        <f>IF($L735="","",IF(COUNTIF(LISTS!$A$2:$A$200,$H735)=0,"NEW",""))</f>
        <v/>
      </c>
    </row>
    <row r="736" spans="30:33" x14ac:dyDescent="0.25">
      <c r="AD736" s="2" t="str">
        <f t="shared" si="33"/>
        <v/>
      </c>
      <c r="AE736" s="2" t="str">
        <f t="shared" si="34"/>
        <v/>
      </c>
      <c r="AF736" s="2" t="str">
        <f t="shared" si="35"/>
        <v/>
      </c>
      <c r="AG736" s="2" t="str">
        <f>IF($L736="","",IF(COUNTIF(LISTS!$A$2:$A$200,$H736)=0,"NEW",""))</f>
        <v/>
      </c>
    </row>
    <row r="737" spans="30:33" x14ac:dyDescent="0.25">
      <c r="AD737" s="2" t="str">
        <f t="shared" si="33"/>
        <v/>
      </c>
      <c r="AE737" s="2" t="str">
        <f t="shared" si="34"/>
        <v/>
      </c>
      <c r="AF737" s="2" t="str">
        <f t="shared" si="35"/>
        <v/>
      </c>
      <c r="AG737" s="2" t="str">
        <f>IF($L737="","",IF(COUNTIF(LISTS!$A$2:$A$200,$H737)=0,"NEW",""))</f>
        <v/>
      </c>
    </row>
    <row r="738" spans="30:33" x14ac:dyDescent="0.25">
      <c r="AD738" s="2" t="str">
        <f t="shared" si="33"/>
        <v/>
      </c>
      <c r="AE738" s="2" t="str">
        <f t="shared" si="34"/>
        <v/>
      </c>
      <c r="AF738" s="2" t="str">
        <f t="shared" si="35"/>
        <v/>
      </c>
      <c r="AG738" s="2" t="str">
        <f>IF($L738="","",IF(COUNTIF(LISTS!$A$2:$A$200,$H738)=0,"NEW",""))</f>
        <v/>
      </c>
    </row>
    <row r="739" spans="30:33" x14ac:dyDescent="0.25">
      <c r="AD739" s="2" t="str">
        <f t="shared" si="33"/>
        <v/>
      </c>
      <c r="AE739" s="2" t="str">
        <f t="shared" si="34"/>
        <v/>
      </c>
      <c r="AF739" s="2" t="str">
        <f t="shared" si="35"/>
        <v/>
      </c>
      <c r="AG739" s="2" t="str">
        <f>IF($L739="","",IF(COUNTIF(LISTS!$A$2:$A$200,$H739)=0,"NEW",""))</f>
        <v/>
      </c>
    </row>
    <row r="740" spans="30:33" x14ac:dyDescent="0.25">
      <c r="AD740" s="2" t="str">
        <f t="shared" si="33"/>
        <v/>
      </c>
      <c r="AE740" s="2" t="str">
        <f t="shared" si="34"/>
        <v/>
      </c>
      <c r="AF740" s="2" t="str">
        <f t="shared" si="35"/>
        <v/>
      </c>
      <c r="AG740" s="2" t="str">
        <f>IF($L740="","",IF(COUNTIF(LISTS!$A$2:$A$200,$H740)=0,"NEW",""))</f>
        <v/>
      </c>
    </row>
    <row r="741" spans="30:33" x14ac:dyDescent="0.25">
      <c r="AD741" s="2" t="str">
        <f t="shared" si="33"/>
        <v/>
      </c>
      <c r="AE741" s="2" t="str">
        <f t="shared" si="34"/>
        <v/>
      </c>
      <c r="AF741" s="2" t="str">
        <f t="shared" si="35"/>
        <v/>
      </c>
      <c r="AG741" s="2" t="str">
        <f>IF($L741="","",IF(COUNTIF(LISTS!$A$2:$A$200,$H741)=0,"NEW",""))</f>
        <v/>
      </c>
    </row>
    <row r="742" spans="30:33" x14ac:dyDescent="0.25">
      <c r="AD742" s="2" t="str">
        <f t="shared" si="33"/>
        <v/>
      </c>
      <c r="AE742" s="2" t="str">
        <f t="shared" si="34"/>
        <v/>
      </c>
      <c r="AF742" s="2" t="str">
        <f t="shared" si="35"/>
        <v/>
      </c>
      <c r="AG742" s="2" t="str">
        <f>IF($L742="","",IF(COUNTIF(LISTS!$A$2:$A$200,$H742)=0,"NEW",""))</f>
        <v/>
      </c>
    </row>
    <row r="743" spans="30:33" x14ac:dyDescent="0.25">
      <c r="AD743" s="2" t="str">
        <f t="shared" si="33"/>
        <v/>
      </c>
      <c r="AE743" s="2" t="str">
        <f t="shared" si="34"/>
        <v/>
      </c>
      <c r="AF743" s="2" t="str">
        <f t="shared" si="35"/>
        <v/>
      </c>
      <c r="AG743" s="2" t="str">
        <f>IF($L743="","",IF(COUNTIF(LISTS!$A$2:$A$200,$H743)=0,"NEW",""))</f>
        <v/>
      </c>
    </row>
    <row r="744" spans="30:33" x14ac:dyDescent="0.25">
      <c r="AD744" s="2" t="str">
        <f t="shared" si="33"/>
        <v/>
      </c>
      <c r="AE744" s="2" t="str">
        <f t="shared" si="34"/>
        <v/>
      </c>
      <c r="AF744" s="2" t="str">
        <f t="shared" si="35"/>
        <v/>
      </c>
      <c r="AG744" s="2" t="str">
        <f>IF($L744="","",IF(COUNTIF(LISTS!$A$2:$A$200,$H744)=0,"NEW",""))</f>
        <v/>
      </c>
    </row>
    <row r="745" spans="30:33" x14ac:dyDescent="0.25">
      <c r="AD745" s="2" t="str">
        <f t="shared" si="33"/>
        <v/>
      </c>
      <c r="AE745" s="2" t="str">
        <f t="shared" si="34"/>
        <v/>
      </c>
      <c r="AF745" s="2" t="str">
        <f t="shared" si="35"/>
        <v/>
      </c>
      <c r="AG745" s="2" t="str">
        <f>IF($L745="","",IF(COUNTIF(LISTS!$A$2:$A$200,$H745)=0,"NEW",""))</f>
        <v/>
      </c>
    </row>
    <row r="746" spans="30:33" x14ac:dyDescent="0.25">
      <c r="AD746" s="2" t="str">
        <f t="shared" si="33"/>
        <v/>
      </c>
      <c r="AE746" s="2" t="str">
        <f t="shared" si="34"/>
        <v/>
      </c>
      <c r="AF746" s="2" t="str">
        <f t="shared" si="35"/>
        <v/>
      </c>
      <c r="AG746" s="2" t="str">
        <f>IF($L746="","",IF(COUNTIF(LISTS!$A$2:$A$200,$H746)=0,"NEW",""))</f>
        <v/>
      </c>
    </row>
    <row r="747" spans="30:33" x14ac:dyDescent="0.25">
      <c r="AD747" s="2" t="str">
        <f t="shared" si="33"/>
        <v/>
      </c>
      <c r="AE747" s="2" t="str">
        <f t="shared" si="34"/>
        <v/>
      </c>
      <c r="AF747" s="2" t="str">
        <f t="shared" si="35"/>
        <v/>
      </c>
      <c r="AG747" s="2" t="str">
        <f>IF($L747="","",IF(COUNTIF(LISTS!$A$2:$A$200,$H747)=0,"NEW",""))</f>
        <v/>
      </c>
    </row>
    <row r="748" spans="30:33" x14ac:dyDescent="0.25">
      <c r="AD748" s="2" t="str">
        <f t="shared" si="33"/>
        <v/>
      </c>
      <c r="AE748" s="2" t="str">
        <f t="shared" si="34"/>
        <v/>
      </c>
      <c r="AF748" s="2" t="str">
        <f t="shared" si="35"/>
        <v/>
      </c>
      <c r="AG748" s="2" t="str">
        <f>IF($L748="","",IF(COUNTIF(LISTS!$A$2:$A$200,$H748)=0,"NEW",""))</f>
        <v/>
      </c>
    </row>
    <row r="749" spans="30:33" x14ac:dyDescent="0.25">
      <c r="AD749" s="2" t="str">
        <f t="shared" si="33"/>
        <v/>
      </c>
      <c r="AE749" s="2" t="str">
        <f t="shared" si="34"/>
        <v/>
      </c>
      <c r="AF749" s="2" t="str">
        <f t="shared" si="35"/>
        <v/>
      </c>
      <c r="AG749" s="2" t="str">
        <f>IF($L749="","",IF(COUNTIF(LISTS!$A$2:$A$200,$H749)=0,"NEW",""))</f>
        <v/>
      </c>
    </row>
    <row r="750" spans="30:33" x14ac:dyDescent="0.25">
      <c r="AD750" s="2" t="str">
        <f t="shared" si="33"/>
        <v/>
      </c>
      <c r="AE750" s="2" t="str">
        <f t="shared" si="34"/>
        <v/>
      </c>
      <c r="AF750" s="2" t="str">
        <f t="shared" si="35"/>
        <v/>
      </c>
      <c r="AG750" s="2" t="str">
        <f>IF($L750="","",IF(COUNTIF(LISTS!$A$2:$A$200,$H750)=0,"NEW",""))</f>
        <v/>
      </c>
    </row>
    <row r="751" spans="30:33" x14ac:dyDescent="0.25">
      <c r="AD751" s="2" t="str">
        <f t="shared" si="33"/>
        <v/>
      </c>
      <c r="AE751" s="2" t="str">
        <f t="shared" si="34"/>
        <v/>
      </c>
      <c r="AF751" s="2" t="str">
        <f t="shared" si="35"/>
        <v/>
      </c>
      <c r="AG751" s="2" t="str">
        <f>IF($L751="","",IF(COUNTIF(LISTS!$A$2:$A$200,$H751)=0,"NEW",""))</f>
        <v/>
      </c>
    </row>
    <row r="752" spans="30:33" x14ac:dyDescent="0.25">
      <c r="AD752" s="2" t="str">
        <f t="shared" si="33"/>
        <v/>
      </c>
      <c r="AE752" s="2" t="str">
        <f t="shared" si="34"/>
        <v/>
      </c>
      <c r="AF752" s="2" t="str">
        <f t="shared" si="35"/>
        <v/>
      </c>
      <c r="AG752" s="2" t="str">
        <f>IF($L752="","",IF(COUNTIF(LISTS!$A$2:$A$200,$H752)=0,"NEW",""))</f>
        <v/>
      </c>
    </row>
    <row r="753" spans="30:33" x14ac:dyDescent="0.25">
      <c r="AD753" s="2" t="str">
        <f t="shared" si="33"/>
        <v/>
      </c>
      <c r="AE753" s="2" t="str">
        <f t="shared" si="34"/>
        <v/>
      </c>
      <c r="AF753" s="2" t="str">
        <f t="shared" si="35"/>
        <v/>
      </c>
      <c r="AG753" s="2" t="str">
        <f>IF($L753="","",IF(COUNTIF(LISTS!$A$2:$A$200,$H753)=0,"NEW",""))</f>
        <v/>
      </c>
    </row>
    <row r="754" spans="30:33" x14ac:dyDescent="0.25">
      <c r="AD754" s="2" t="str">
        <f t="shared" si="33"/>
        <v/>
      </c>
      <c r="AE754" s="2" t="str">
        <f t="shared" si="34"/>
        <v/>
      </c>
      <c r="AF754" s="2" t="str">
        <f t="shared" si="35"/>
        <v/>
      </c>
      <c r="AG754" s="2" t="str">
        <f>IF($L754="","",IF(COUNTIF(LISTS!$A$2:$A$200,$H754)=0,"NEW",""))</f>
        <v/>
      </c>
    </row>
    <row r="755" spans="30:33" x14ac:dyDescent="0.25">
      <c r="AD755" s="2" t="str">
        <f t="shared" si="33"/>
        <v/>
      </c>
      <c r="AE755" s="2" t="str">
        <f t="shared" si="34"/>
        <v/>
      </c>
      <c r="AF755" s="2" t="str">
        <f t="shared" si="35"/>
        <v/>
      </c>
      <c r="AG755" s="2" t="str">
        <f>IF($L755="","",IF(COUNTIF(LISTS!$A$2:$A$200,$H755)=0,"NEW",""))</f>
        <v/>
      </c>
    </row>
    <row r="756" spans="30:33" x14ac:dyDescent="0.25">
      <c r="AD756" s="2" t="str">
        <f t="shared" si="33"/>
        <v/>
      </c>
      <c r="AE756" s="2" t="str">
        <f t="shared" si="34"/>
        <v/>
      </c>
      <c r="AF756" s="2" t="str">
        <f t="shared" si="35"/>
        <v/>
      </c>
      <c r="AG756" s="2" t="str">
        <f>IF($L756="","",IF(COUNTIF(LISTS!$A$2:$A$200,$H756)=0,"NEW",""))</f>
        <v/>
      </c>
    </row>
    <row r="757" spans="30:33" x14ac:dyDescent="0.25">
      <c r="AD757" s="2" t="str">
        <f t="shared" si="33"/>
        <v/>
      </c>
      <c r="AE757" s="2" t="str">
        <f t="shared" si="34"/>
        <v/>
      </c>
      <c r="AF757" s="2" t="str">
        <f t="shared" si="35"/>
        <v/>
      </c>
      <c r="AG757" s="2" t="str">
        <f>IF($L757="","",IF(COUNTIF(LISTS!$A$2:$A$200,$H757)=0,"NEW",""))</f>
        <v/>
      </c>
    </row>
    <row r="758" spans="30:33" x14ac:dyDescent="0.25">
      <c r="AD758" s="2" t="str">
        <f t="shared" si="33"/>
        <v/>
      </c>
      <c r="AE758" s="2" t="str">
        <f t="shared" si="34"/>
        <v/>
      </c>
      <c r="AF758" s="2" t="str">
        <f t="shared" si="35"/>
        <v/>
      </c>
      <c r="AG758" s="2" t="str">
        <f>IF($L758="","",IF(COUNTIF(LISTS!$A$2:$A$200,$H758)=0,"NEW",""))</f>
        <v/>
      </c>
    </row>
    <row r="759" spans="30:33" x14ac:dyDescent="0.25">
      <c r="AD759" s="2" t="str">
        <f t="shared" si="33"/>
        <v/>
      </c>
      <c r="AE759" s="2" t="str">
        <f t="shared" si="34"/>
        <v/>
      </c>
      <c r="AF759" s="2" t="str">
        <f t="shared" si="35"/>
        <v/>
      </c>
      <c r="AG759" s="2" t="str">
        <f>IF($L759="","",IF(COUNTIF(LISTS!$A$2:$A$200,$H759)=0,"NEW",""))</f>
        <v/>
      </c>
    </row>
    <row r="760" spans="30:33" x14ac:dyDescent="0.25">
      <c r="AD760" s="2" t="str">
        <f t="shared" si="33"/>
        <v/>
      </c>
      <c r="AE760" s="2" t="str">
        <f t="shared" si="34"/>
        <v/>
      </c>
      <c r="AF760" s="2" t="str">
        <f t="shared" si="35"/>
        <v/>
      </c>
      <c r="AG760" s="2" t="str">
        <f>IF($L760="","",IF(COUNTIF(LISTS!$A$2:$A$200,$H760)=0,"NEW",""))</f>
        <v/>
      </c>
    </row>
    <row r="761" spans="30:33" x14ac:dyDescent="0.25">
      <c r="AD761" s="2" t="str">
        <f t="shared" si="33"/>
        <v/>
      </c>
      <c r="AE761" s="2" t="str">
        <f t="shared" si="34"/>
        <v/>
      </c>
      <c r="AF761" s="2" t="str">
        <f t="shared" si="35"/>
        <v/>
      </c>
      <c r="AG761" s="2" t="str">
        <f>IF($L761="","",IF(COUNTIF(LISTS!$A$2:$A$200,$H761)=0,"NEW",""))</f>
        <v/>
      </c>
    </row>
    <row r="762" spans="30:33" x14ac:dyDescent="0.25">
      <c r="AD762" s="2" t="str">
        <f t="shared" si="33"/>
        <v/>
      </c>
      <c r="AE762" s="2" t="str">
        <f t="shared" si="34"/>
        <v/>
      </c>
      <c r="AF762" s="2" t="str">
        <f t="shared" si="35"/>
        <v/>
      </c>
      <c r="AG762" s="2" t="str">
        <f>IF($L762="","",IF(COUNTIF(LISTS!$A$2:$A$200,$H762)=0,"NEW",""))</f>
        <v/>
      </c>
    </row>
    <row r="763" spans="30:33" x14ac:dyDescent="0.25">
      <c r="AD763" s="2" t="str">
        <f t="shared" si="33"/>
        <v/>
      </c>
      <c r="AE763" s="2" t="str">
        <f t="shared" si="34"/>
        <v/>
      </c>
      <c r="AF763" s="2" t="str">
        <f t="shared" si="35"/>
        <v/>
      </c>
      <c r="AG763" s="2" t="str">
        <f>IF($L763="","",IF(COUNTIF(LISTS!$A$2:$A$200,$H763)=0,"NEW",""))</f>
        <v/>
      </c>
    </row>
    <row r="764" spans="30:33" x14ac:dyDescent="0.25">
      <c r="AD764" s="2" t="str">
        <f t="shared" si="33"/>
        <v/>
      </c>
      <c r="AE764" s="2" t="str">
        <f t="shared" si="34"/>
        <v/>
      </c>
      <c r="AF764" s="2" t="str">
        <f t="shared" si="35"/>
        <v/>
      </c>
      <c r="AG764" s="2" t="str">
        <f>IF($L764="","",IF(COUNTIF(LISTS!$A$2:$A$200,$H764)=0,"NEW",""))</f>
        <v/>
      </c>
    </row>
    <row r="765" spans="30:33" x14ac:dyDescent="0.25">
      <c r="AD765" s="2" t="str">
        <f t="shared" si="33"/>
        <v/>
      </c>
      <c r="AE765" s="2" t="str">
        <f t="shared" si="34"/>
        <v/>
      </c>
      <c r="AF765" s="2" t="str">
        <f t="shared" si="35"/>
        <v/>
      </c>
      <c r="AG765" s="2" t="str">
        <f>IF($L765="","",IF(COUNTIF(LISTS!$A$2:$A$200,$H765)=0,"NEW",""))</f>
        <v/>
      </c>
    </row>
    <row r="766" spans="30:33" x14ac:dyDescent="0.25">
      <c r="AD766" s="2" t="str">
        <f t="shared" si="33"/>
        <v/>
      </c>
      <c r="AE766" s="2" t="str">
        <f t="shared" si="34"/>
        <v/>
      </c>
      <c r="AF766" s="2" t="str">
        <f t="shared" si="35"/>
        <v/>
      </c>
      <c r="AG766" s="2" t="str">
        <f>IF($L766="","",IF(COUNTIF(LISTS!$A$2:$A$200,$H766)=0,"NEW",""))</f>
        <v/>
      </c>
    </row>
    <row r="767" spans="30:33" x14ac:dyDescent="0.25">
      <c r="AD767" s="2" t="str">
        <f t="shared" si="33"/>
        <v/>
      </c>
      <c r="AE767" s="2" t="str">
        <f t="shared" si="34"/>
        <v/>
      </c>
      <c r="AF767" s="2" t="str">
        <f t="shared" si="35"/>
        <v/>
      </c>
      <c r="AG767" s="2" t="str">
        <f>IF($L767="","",IF(COUNTIF(LISTS!$A$2:$A$200,$H767)=0,"NEW",""))</f>
        <v/>
      </c>
    </row>
    <row r="768" spans="30:33" x14ac:dyDescent="0.25">
      <c r="AD768" s="2" t="str">
        <f t="shared" si="33"/>
        <v/>
      </c>
      <c r="AE768" s="2" t="str">
        <f t="shared" si="34"/>
        <v/>
      </c>
      <c r="AF768" s="2" t="str">
        <f t="shared" si="35"/>
        <v/>
      </c>
      <c r="AG768" s="2" t="str">
        <f>IF($L768="","",IF(COUNTIF(LISTS!$A$2:$A$200,$H768)=0,"NEW",""))</f>
        <v/>
      </c>
    </row>
    <row r="769" spans="30:33" x14ac:dyDescent="0.25">
      <c r="AD769" s="2" t="str">
        <f t="shared" si="33"/>
        <v/>
      </c>
      <c r="AE769" s="2" t="str">
        <f t="shared" si="34"/>
        <v/>
      </c>
      <c r="AF769" s="2" t="str">
        <f t="shared" si="35"/>
        <v/>
      </c>
      <c r="AG769" s="2" t="str">
        <f>IF($L769="","",IF(COUNTIF(LISTS!$A$2:$A$200,$H769)=0,"NEW",""))</f>
        <v/>
      </c>
    </row>
    <row r="770" spans="30:33" x14ac:dyDescent="0.25">
      <c r="AD770" s="2" t="str">
        <f t="shared" ref="AD770:AD833" si="36">IF($L770="","",IF(ISNUMBER(SEARCH("OFF ROAD",$H770)),"OFF",IF(ISNUMBER(SEARCH("ON ROAD",$H770)),"ON","")))</f>
        <v/>
      </c>
      <c r="AE770" s="2" t="str">
        <f t="shared" ref="AE770:AE833" si="37">IF($AD770="ON",""&amp;$L770,"")</f>
        <v/>
      </c>
      <c r="AF770" s="2" t="str">
        <f t="shared" ref="AF770:AF833" si="38">IF($L770="","",IF($J770&lt;&gt;"","Y",""))</f>
        <v/>
      </c>
      <c r="AG770" s="2" t="str">
        <f>IF($L770="","",IF(COUNTIF(LISTS!$A$2:$A$200,$H770)=0,"NEW",""))</f>
        <v/>
      </c>
    </row>
    <row r="771" spans="30:33" x14ac:dyDescent="0.25">
      <c r="AD771" s="2" t="str">
        <f t="shared" si="36"/>
        <v/>
      </c>
      <c r="AE771" s="2" t="str">
        <f t="shared" si="37"/>
        <v/>
      </c>
      <c r="AF771" s="2" t="str">
        <f t="shared" si="38"/>
        <v/>
      </c>
      <c r="AG771" s="2" t="str">
        <f>IF($L771="","",IF(COUNTIF(LISTS!$A$2:$A$200,$H771)=0,"NEW",""))</f>
        <v/>
      </c>
    </row>
    <row r="772" spans="30:33" x14ac:dyDescent="0.25">
      <c r="AD772" s="2" t="str">
        <f t="shared" si="36"/>
        <v/>
      </c>
      <c r="AE772" s="2" t="str">
        <f t="shared" si="37"/>
        <v/>
      </c>
      <c r="AF772" s="2" t="str">
        <f t="shared" si="38"/>
        <v/>
      </c>
      <c r="AG772" s="2" t="str">
        <f>IF($L772="","",IF(COUNTIF(LISTS!$A$2:$A$200,$H772)=0,"NEW",""))</f>
        <v/>
      </c>
    </row>
    <row r="773" spans="30:33" x14ac:dyDescent="0.25">
      <c r="AD773" s="2" t="str">
        <f t="shared" si="36"/>
        <v/>
      </c>
      <c r="AE773" s="2" t="str">
        <f t="shared" si="37"/>
        <v/>
      </c>
      <c r="AF773" s="2" t="str">
        <f t="shared" si="38"/>
        <v/>
      </c>
      <c r="AG773" s="2" t="str">
        <f>IF($L773="","",IF(COUNTIF(LISTS!$A$2:$A$200,$H773)=0,"NEW",""))</f>
        <v/>
      </c>
    </row>
    <row r="774" spans="30:33" x14ac:dyDescent="0.25">
      <c r="AD774" s="2" t="str">
        <f t="shared" si="36"/>
        <v/>
      </c>
      <c r="AE774" s="2" t="str">
        <f t="shared" si="37"/>
        <v/>
      </c>
      <c r="AF774" s="2" t="str">
        <f t="shared" si="38"/>
        <v/>
      </c>
      <c r="AG774" s="2" t="str">
        <f>IF($L774="","",IF(COUNTIF(LISTS!$A$2:$A$200,$H774)=0,"NEW",""))</f>
        <v/>
      </c>
    </row>
    <row r="775" spans="30:33" x14ac:dyDescent="0.25">
      <c r="AD775" s="2" t="str">
        <f t="shared" si="36"/>
        <v/>
      </c>
      <c r="AE775" s="2" t="str">
        <f t="shared" si="37"/>
        <v/>
      </c>
      <c r="AF775" s="2" t="str">
        <f t="shared" si="38"/>
        <v/>
      </c>
      <c r="AG775" s="2" t="str">
        <f>IF($L775="","",IF(COUNTIF(LISTS!$A$2:$A$200,$H775)=0,"NEW",""))</f>
        <v/>
      </c>
    </row>
    <row r="776" spans="30:33" x14ac:dyDescent="0.25">
      <c r="AD776" s="2" t="str">
        <f t="shared" si="36"/>
        <v/>
      </c>
      <c r="AE776" s="2" t="str">
        <f t="shared" si="37"/>
        <v/>
      </c>
      <c r="AF776" s="2" t="str">
        <f t="shared" si="38"/>
        <v/>
      </c>
      <c r="AG776" s="2" t="str">
        <f>IF($L776="","",IF(COUNTIF(LISTS!$A$2:$A$200,$H776)=0,"NEW",""))</f>
        <v/>
      </c>
    </row>
    <row r="777" spans="30:33" x14ac:dyDescent="0.25">
      <c r="AD777" s="2" t="str">
        <f t="shared" si="36"/>
        <v/>
      </c>
      <c r="AE777" s="2" t="str">
        <f t="shared" si="37"/>
        <v/>
      </c>
      <c r="AF777" s="2" t="str">
        <f t="shared" si="38"/>
        <v/>
      </c>
      <c r="AG777" s="2" t="str">
        <f>IF($L777="","",IF(COUNTIF(LISTS!$A$2:$A$200,$H777)=0,"NEW",""))</f>
        <v/>
      </c>
    </row>
    <row r="778" spans="30:33" x14ac:dyDescent="0.25">
      <c r="AD778" s="2" t="str">
        <f t="shared" si="36"/>
        <v/>
      </c>
      <c r="AE778" s="2" t="str">
        <f t="shared" si="37"/>
        <v/>
      </c>
      <c r="AF778" s="2" t="str">
        <f t="shared" si="38"/>
        <v/>
      </c>
      <c r="AG778" s="2" t="str">
        <f>IF($L778="","",IF(COUNTIF(LISTS!$A$2:$A$200,$H778)=0,"NEW",""))</f>
        <v/>
      </c>
    </row>
    <row r="779" spans="30:33" x14ac:dyDescent="0.25">
      <c r="AD779" s="2" t="str">
        <f t="shared" si="36"/>
        <v/>
      </c>
      <c r="AE779" s="2" t="str">
        <f t="shared" si="37"/>
        <v/>
      </c>
      <c r="AF779" s="2" t="str">
        <f t="shared" si="38"/>
        <v/>
      </c>
      <c r="AG779" s="2" t="str">
        <f>IF($L779="","",IF(COUNTIF(LISTS!$A$2:$A$200,$H779)=0,"NEW",""))</f>
        <v/>
      </c>
    </row>
    <row r="780" spans="30:33" x14ac:dyDescent="0.25">
      <c r="AD780" s="2" t="str">
        <f t="shared" si="36"/>
        <v/>
      </c>
      <c r="AE780" s="2" t="str">
        <f t="shared" si="37"/>
        <v/>
      </c>
      <c r="AF780" s="2" t="str">
        <f t="shared" si="38"/>
        <v/>
      </c>
      <c r="AG780" s="2" t="str">
        <f>IF($L780="","",IF(COUNTIF(LISTS!$A$2:$A$200,$H780)=0,"NEW",""))</f>
        <v/>
      </c>
    </row>
    <row r="781" spans="30:33" x14ac:dyDescent="0.25">
      <c r="AD781" s="2" t="str">
        <f t="shared" si="36"/>
        <v/>
      </c>
      <c r="AE781" s="2" t="str">
        <f t="shared" si="37"/>
        <v/>
      </c>
      <c r="AF781" s="2" t="str">
        <f t="shared" si="38"/>
        <v/>
      </c>
      <c r="AG781" s="2" t="str">
        <f>IF($L781="","",IF(COUNTIF(LISTS!$A$2:$A$200,$H781)=0,"NEW",""))</f>
        <v/>
      </c>
    </row>
    <row r="782" spans="30:33" x14ac:dyDescent="0.25">
      <c r="AD782" s="2" t="str">
        <f t="shared" si="36"/>
        <v/>
      </c>
      <c r="AE782" s="2" t="str">
        <f t="shared" si="37"/>
        <v/>
      </c>
      <c r="AF782" s="2" t="str">
        <f t="shared" si="38"/>
        <v/>
      </c>
      <c r="AG782" s="2" t="str">
        <f>IF($L782="","",IF(COUNTIF(LISTS!$A$2:$A$200,$H782)=0,"NEW",""))</f>
        <v/>
      </c>
    </row>
    <row r="783" spans="30:33" x14ac:dyDescent="0.25">
      <c r="AD783" s="2" t="str">
        <f t="shared" si="36"/>
        <v/>
      </c>
      <c r="AE783" s="2" t="str">
        <f t="shared" si="37"/>
        <v/>
      </c>
      <c r="AF783" s="2" t="str">
        <f t="shared" si="38"/>
        <v/>
      </c>
      <c r="AG783" s="2" t="str">
        <f>IF($L783="","",IF(COUNTIF(LISTS!$A$2:$A$200,$H783)=0,"NEW",""))</f>
        <v/>
      </c>
    </row>
    <row r="784" spans="30:33" x14ac:dyDescent="0.25">
      <c r="AD784" s="2" t="str">
        <f t="shared" si="36"/>
        <v/>
      </c>
      <c r="AE784" s="2" t="str">
        <f t="shared" si="37"/>
        <v/>
      </c>
      <c r="AF784" s="2" t="str">
        <f t="shared" si="38"/>
        <v/>
      </c>
      <c r="AG784" s="2" t="str">
        <f>IF($L784="","",IF(COUNTIF(LISTS!$A$2:$A$200,$H784)=0,"NEW",""))</f>
        <v/>
      </c>
    </row>
    <row r="785" spans="30:33" x14ac:dyDescent="0.25">
      <c r="AD785" s="2" t="str">
        <f t="shared" si="36"/>
        <v/>
      </c>
      <c r="AE785" s="2" t="str">
        <f t="shared" si="37"/>
        <v/>
      </c>
      <c r="AF785" s="2" t="str">
        <f t="shared" si="38"/>
        <v/>
      </c>
      <c r="AG785" s="2" t="str">
        <f>IF($L785="","",IF(COUNTIF(LISTS!$A$2:$A$200,$H785)=0,"NEW",""))</f>
        <v/>
      </c>
    </row>
    <row r="786" spans="30:33" x14ac:dyDescent="0.25">
      <c r="AD786" s="2" t="str">
        <f t="shared" si="36"/>
        <v/>
      </c>
      <c r="AE786" s="2" t="str">
        <f t="shared" si="37"/>
        <v/>
      </c>
      <c r="AF786" s="2" t="str">
        <f t="shared" si="38"/>
        <v/>
      </c>
      <c r="AG786" s="2" t="str">
        <f>IF($L786="","",IF(COUNTIF(LISTS!$A$2:$A$200,$H786)=0,"NEW",""))</f>
        <v/>
      </c>
    </row>
    <row r="787" spans="30:33" x14ac:dyDescent="0.25">
      <c r="AD787" s="2" t="str">
        <f t="shared" si="36"/>
        <v/>
      </c>
      <c r="AE787" s="2" t="str">
        <f t="shared" si="37"/>
        <v/>
      </c>
      <c r="AF787" s="2" t="str">
        <f t="shared" si="38"/>
        <v/>
      </c>
      <c r="AG787" s="2" t="str">
        <f>IF($L787="","",IF(COUNTIF(LISTS!$A$2:$A$200,$H787)=0,"NEW",""))</f>
        <v/>
      </c>
    </row>
    <row r="788" spans="30:33" x14ac:dyDescent="0.25">
      <c r="AD788" s="2" t="str">
        <f t="shared" si="36"/>
        <v/>
      </c>
      <c r="AE788" s="2" t="str">
        <f t="shared" si="37"/>
        <v/>
      </c>
      <c r="AF788" s="2" t="str">
        <f t="shared" si="38"/>
        <v/>
      </c>
      <c r="AG788" s="2" t="str">
        <f>IF($L788="","",IF(COUNTIF(LISTS!$A$2:$A$200,$H788)=0,"NEW",""))</f>
        <v/>
      </c>
    </row>
    <row r="789" spans="30:33" x14ac:dyDescent="0.25">
      <c r="AD789" s="2" t="str">
        <f t="shared" si="36"/>
        <v/>
      </c>
      <c r="AE789" s="2" t="str">
        <f t="shared" si="37"/>
        <v/>
      </c>
      <c r="AF789" s="2" t="str">
        <f t="shared" si="38"/>
        <v/>
      </c>
      <c r="AG789" s="2" t="str">
        <f>IF($L789="","",IF(COUNTIF(LISTS!$A$2:$A$200,$H789)=0,"NEW",""))</f>
        <v/>
      </c>
    </row>
    <row r="790" spans="30:33" x14ac:dyDescent="0.25">
      <c r="AD790" s="2" t="str">
        <f t="shared" si="36"/>
        <v/>
      </c>
      <c r="AE790" s="2" t="str">
        <f t="shared" si="37"/>
        <v/>
      </c>
      <c r="AF790" s="2" t="str">
        <f t="shared" si="38"/>
        <v/>
      </c>
      <c r="AG790" s="2" t="str">
        <f>IF($L790="","",IF(COUNTIF(LISTS!$A$2:$A$200,$H790)=0,"NEW",""))</f>
        <v/>
      </c>
    </row>
    <row r="791" spans="30:33" x14ac:dyDescent="0.25">
      <c r="AD791" s="2" t="str">
        <f t="shared" si="36"/>
        <v/>
      </c>
      <c r="AE791" s="2" t="str">
        <f t="shared" si="37"/>
        <v/>
      </c>
      <c r="AF791" s="2" t="str">
        <f t="shared" si="38"/>
        <v/>
      </c>
      <c r="AG791" s="2" t="str">
        <f>IF($L791="","",IF(COUNTIF(LISTS!$A$2:$A$200,$H791)=0,"NEW",""))</f>
        <v/>
      </c>
    </row>
    <row r="792" spans="30:33" x14ac:dyDescent="0.25">
      <c r="AD792" s="2" t="str">
        <f t="shared" si="36"/>
        <v/>
      </c>
      <c r="AE792" s="2" t="str">
        <f t="shared" si="37"/>
        <v/>
      </c>
      <c r="AF792" s="2" t="str">
        <f t="shared" si="38"/>
        <v/>
      </c>
      <c r="AG792" s="2" t="str">
        <f>IF($L792="","",IF(COUNTIF(LISTS!$A$2:$A$200,$H792)=0,"NEW",""))</f>
        <v/>
      </c>
    </row>
    <row r="793" spans="30:33" x14ac:dyDescent="0.25">
      <c r="AD793" s="2" t="str">
        <f t="shared" si="36"/>
        <v/>
      </c>
      <c r="AE793" s="2" t="str">
        <f t="shared" si="37"/>
        <v/>
      </c>
      <c r="AF793" s="2" t="str">
        <f t="shared" si="38"/>
        <v/>
      </c>
      <c r="AG793" s="2" t="str">
        <f>IF($L793="","",IF(COUNTIF(LISTS!$A$2:$A$200,$H793)=0,"NEW",""))</f>
        <v/>
      </c>
    </row>
    <row r="794" spans="30:33" x14ac:dyDescent="0.25">
      <c r="AD794" s="2" t="str">
        <f t="shared" si="36"/>
        <v/>
      </c>
      <c r="AE794" s="2" t="str">
        <f t="shared" si="37"/>
        <v/>
      </c>
      <c r="AF794" s="2" t="str">
        <f t="shared" si="38"/>
        <v/>
      </c>
      <c r="AG794" s="2" t="str">
        <f>IF($L794="","",IF(COUNTIF(LISTS!$A$2:$A$200,$H794)=0,"NEW",""))</f>
        <v/>
      </c>
    </row>
    <row r="795" spans="30:33" x14ac:dyDescent="0.25">
      <c r="AD795" s="2" t="str">
        <f t="shared" si="36"/>
        <v/>
      </c>
      <c r="AE795" s="2" t="str">
        <f t="shared" si="37"/>
        <v/>
      </c>
      <c r="AF795" s="2" t="str">
        <f t="shared" si="38"/>
        <v/>
      </c>
      <c r="AG795" s="2" t="str">
        <f>IF($L795="","",IF(COUNTIF(LISTS!$A$2:$A$200,$H795)=0,"NEW",""))</f>
        <v/>
      </c>
    </row>
    <row r="796" spans="30:33" x14ac:dyDescent="0.25">
      <c r="AD796" s="2" t="str">
        <f t="shared" si="36"/>
        <v/>
      </c>
      <c r="AE796" s="2" t="str">
        <f t="shared" si="37"/>
        <v/>
      </c>
      <c r="AF796" s="2" t="str">
        <f t="shared" si="38"/>
        <v/>
      </c>
      <c r="AG796" s="2" t="str">
        <f>IF($L796="","",IF(COUNTIF(LISTS!$A$2:$A$200,$H796)=0,"NEW",""))</f>
        <v/>
      </c>
    </row>
    <row r="797" spans="30:33" x14ac:dyDescent="0.25">
      <c r="AD797" s="2" t="str">
        <f t="shared" si="36"/>
        <v/>
      </c>
      <c r="AE797" s="2" t="str">
        <f t="shared" si="37"/>
        <v/>
      </c>
      <c r="AF797" s="2" t="str">
        <f t="shared" si="38"/>
        <v/>
      </c>
      <c r="AG797" s="2" t="str">
        <f>IF($L797="","",IF(COUNTIF(LISTS!$A$2:$A$200,$H797)=0,"NEW",""))</f>
        <v/>
      </c>
    </row>
    <row r="798" spans="30:33" x14ac:dyDescent="0.25">
      <c r="AD798" s="2" t="str">
        <f t="shared" si="36"/>
        <v/>
      </c>
      <c r="AE798" s="2" t="str">
        <f t="shared" si="37"/>
        <v/>
      </c>
      <c r="AF798" s="2" t="str">
        <f t="shared" si="38"/>
        <v/>
      </c>
      <c r="AG798" s="2" t="str">
        <f>IF($L798="","",IF(COUNTIF(LISTS!$A$2:$A$200,$H798)=0,"NEW",""))</f>
        <v/>
      </c>
    </row>
    <row r="799" spans="30:33" x14ac:dyDescent="0.25">
      <c r="AD799" s="2" t="str">
        <f t="shared" si="36"/>
        <v/>
      </c>
      <c r="AE799" s="2" t="str">
        <f t="shared" si="37"/>
        <v/>
      </c>
      <c r="AF799" s="2" t="str">
        <f t="shared" si="38"/>
        <v/>
      </c>
      <c r="AG799" s="2" t="str">
        <f>IF($L799="","",IF(COUNTIF(LISTS!$A$2:$A$200,$H799)=0,"NEW",""))</f>
        <v/>
      </c>
    </row>
    <row r="800" spans="30:33" x14ac:dyDescent="0.25">
      <c r="AD800" s="2" t="str">
        <f t="shared" si="36"/>
        <v/>
      </c>
      <c r="AE800" s="2" t="str">
        <f t="shared" si="37"/>
        <v/>
      </c>
      <c r="AF800" s="2" t="str">
        <f t="shared" si="38"/>
        <v/>
      </c>
      <c r="AG800" s="2" t="str">
        <f>IF($L800="","",IF(COUNTIF(LISTS!$A$2:$A$200,$H800)=0,"NEW",""))</f>
        <v/>
      </c>
    </row>
    <row r="801" spans="30:33" x14ac:dyDescent="0.25">
      <c r="AD801" s="2" t="str">
        <f t="shared" si="36"/>
        <v/>
      </c>
      <c r="AE801" s="2" t="str">
        <f t="shared" si="37"/>
        <v/>
      </c>
      <c r="AF801" s="2" t="str">
        <f t="shared" si="38"/>
        <v/>
      </c>
      <c r="AG801" s="2" t="str">
        <f>IF($L801="","",IF(COUNTIF(LISTS!$A$2:$A$200,$H801)=0,"NEW",""))</f>
        <v/>
      </c>
    </row>
    <row r="802" spans="30:33" x14ac:dyDescent="0.25">
      <c r="AD802" s="2" t="str">
        <f t="shared" si="36"/>
        <v/>
      </c>
      <c r="AE802" s="2" t="str">
        <f t="shared" si="37"/>
        <v/>
      </c>
      <c r="AF802" s="2" t="str">
        <f t="shared" si="38"/>
        <v/>
      </c>
      <c r="AG802" s="2" t="str">
        <f>IF($L802="","",IF(COUNTIF(LISTS!$A$2:$A$200,$H802)=0,"NEW",""))</f>
        <v/>
      </c>
    </row>
    <row r="803" spans="30:33" x14ac:dyDescent="0.25">
      <c r="AD803" s="2" t="str">
        <f t="shared" si="36"/>
        <v/>
      </c>
      <c r="AE803" s="2" t="str">
        <f t="shared" si="37"/>
        <v/>
      </c>
      <c r="AF803" s="2" t="str">
        <f t="shared" si="38"/>
        <v/>
      </c>
      <c r="AG803" s="2" t="str">
        <f>IF($L803="","",IF(COUNTIF(LISTS!$A$2:$A$200,$H803)=0,"NEW",""))</f>
        <v/>
      </c>
    </row>
    <row r="804" spans="30:33" x14ac:dyDescent="0.25">
      <c r="AD804" s="2" t="str">
        <f t="shared" si="36"/>
        <v/>
      </c>
      <c r="AE804" s="2" t="str">
        <f t="shared" si="37"/>
        <v/>
      </c>
      <c r="AF804" s="2" t="str">
        <f t="shared" si="38"/>
        <v/>
      </c>
      <c r="AG804" s="2" t="str">
        <f>IF($L804="","",IF(COUNTIF(LISTS!$A$2:$A$200,$H804)=0,"NEW",""))</f>
        <v/>
      </c>
    </row>
    <row r="805" spans="30:33" x14ac:dyDescent="0.25">
      <c r="AD805" s="2" t="str">
        <f t="shared" si="36"/>
        <v/>
      </c>
      <c r="AE805" s="2" t="str">
        <f t="shared" si="37"/>
        <v/>
      </c>
      <c r="AF805" s="2" t="str">
        <f t="shared" si="38"/>
        <v/>
      </c>
      <c r="AG805" s="2" t="str">
        <f>IF($L805="","",IF(COUNTIF(LISTS!$A$2:$A$200,$H805)=0,"NEW",""))</f>
        <v/>
      </c>
    </row>
    <row r="806" spans="30:33" x14ac:dyDescent="0.25">
      <c r="AD806" s="2" t="str">
        <f t="shared" si="36"/>
        <v/>
      </c>
      <c r="AE806" s="2" t="str">
        <f t="shared" si="37"/>
        <v/>
      </c>
      <c r="AF806" s="2" t="str">
        <f t="shared" si="38"/>
        <v/>
      </c>
      <c r="AG806" s="2" t="str">
        <f>IF($L806="","",IF(COUNTIF(LISTS!$A$2:$A$200,$H806)=0,"NEW",""))</f>
        <v/>
      </c>
    </row>
    <row r="807" spans="30:33" x14ac:dyDescent="0.25">
      <c r="AD807" s="2" t="str">
        <f t="shared" si="36"/>
        <v/>
      </c>
      <c r="AE807" s="2" t="str">
        <f t="shared" si="37"/>
        <v/>
      </c>
      <c r="AF807" s="2" t="str">
        <f t="shared" si="38"/>
        <v/>
      </c>
      <c r="AG807" s="2" t="str">
        <f>IF($L807="","",IF(COUNTIF(LISTS!$A$2:$A$200,$H807)=0,"NEW",""))</f>
        <v/>
      </c>
    </row>
    <row r="808" spans="30:33" x14ac:dyDescent="0.25">
      <c r="AD808" s="2" t="str">
        <f t="shared" si="36"/>
        <v/>
      </c>
      <c r="AE808" s="2" t="str">
        <f t="shared" si="37"/>
        <v/>
      </c>
      <c r="AF808" s="2" t="str">
        <f t="shared" si="38"/>
        <v/>
      </c>
      <c r="AG808" s="2" t="str">
        <f>IF($L808="","",IF(COUNTIF(LISTS!$A$2:$A$200,$H808)=0,"NEW",""))</f>
        <v/>
      </c>
    </row>
    <row r="809" spans="30:33" x14ac:dyDescent="0.25">
      <c r="AD809" s="2" t="str">
        <f t="shared" si="36"/>
        <v/>
      </c>
      <c r="AE809" s="2" t="str">
        <f t="shared" si="37"/>
        <v/>
      </c>
      <c r="AF809" s="2" t="str">
        <f t="shared" si="38"/>
        <v/>
      </c>
      <c r="AG809" s="2" t="str">
        <f>IF($L809="","",IF(COUNTIF(LISTS!$A$2:$A$200,$H809)=0,"NEW",""))</f>
        <v/>
      </c>
    </row>
    <row r="810" spans="30:33" x14ac:dyDescent="0.25">
      <c r="AD810" s="2" t="str">
        <f t="shared" si="36"/>
        <v/>
      </c>
      <c r="AE810" s="2" t="str">
        <f t="shared" si="37"/>
        <v/>
      </c>
      <c r="AF810" s="2" t="str">
        <f t="shared" si="38"/>
        <v/>
      </c>
      <c r="AG810" s="2" t="str">
        <f>IF($L810="","",IF(COUNTIF(LISTS!$A$2:$A$200,$H810)=0,"NEW",""))</f>
        <v/>
      </c>
    </row>
    <row r="811" spans="30:33" x14ac:dyDescent="0.25">
      <c r="AD811" s="2" t="str">
        <f t="shared" si="36"/>
        <v/>
      </c>
      <c r="AE811" s="2" t="str">
        <f t="shared" si="37"/>
        <v/>
      </c>
      <c r="AF811" s="2" t="str">
        <f t="shared" si="38"/>
        <v/>
      </c>
      <c r="AG811" s="2" t="str">
        <f>IF($L811="","",IF(COUNTIF(LISTS!$A$2:$A$200,$H811)=0,"NEW",""))</f>
        <v/>
      </c>
    </row>
    <row r="812" spans="30:33" x14ac:dyDescent="0.25">
      <c r="AD812" s="2" t="str">
        <f t="shared" si="36"/>
        <v/>
      </c>
      <c r="AE812" s="2" t="str">
        <f t="shared" si="37"/>
        <v/>
      </c>
      <c r="AF812" s="2" t="str">
        <f t="shared" si="38"/>
        <v/>
      </c>
      <c r="AG812" s="2" t="str">
        <f>IF($L812="","",IF(COUNTIF(LISTS!$A$2:$A$200,$H812)=0,"NEW",""))</f>
        <v/>
      </c>
    </row>
    <row r="813" spans="30:33" x14ac:dyDescent="0.25">
      <c r="AD813" s="2" t="str">
        <f t="shared" si="36"/>
        <v/>
      </c>
      <c r="AE813" s="2" t="str">
        <f t="shared" si="37"/>
        <v/>
      </c>
      <c r="AF813" s="2" t="str">
        <f t="shared" si="38"/>
        <v/>
      </c>
      <c r="AG813" s="2" t="str">
        <f>IF($L813="","",IF(COUNTIF(LISTS!$A$2:$A$200,$H813)=0,"NEW",""))</f>
        <v/>
      </c>
    </row>
    <row r="814" spans="30:33" x14ac:dyDescent="0.25">
      <c r="AD814" s="2" t="str">
        <f t="shared" si="36"/>
        <v/>
      </c>
      <c r="AE814" s="2" t="str">
        <f t="shared" si="37"/>
        <v/>
      </c>
      <c r="AF814" s="2" t="str">
        <f t="shared" si="38"/>
        <v/>
      </c>
      <c r="AG814" s="2" t="str">
        <f>IF($L814="","",IF(COUNTIF(LISTS!$A$2:$A$200,$H814)=0,"NEW",""))</f>
        <v/>
      </c>
    </row>
    <row r="815" spans="30:33" x14ac:dyDescent="0.25">
      <c r="AD815" s="2" t="str">
        <f t="shared" si="36"/>
        <v/>
      </c>
      <c r="AE815" s="2" t="str">
        <f t="shared" si="37"/>
        <v/>
      </c>
      <c r="AF815" s="2" t="str">
        <f t="shared" si="38"/>
        <v/>
      </c>
      <c r="AG815" s="2" t="str">
        <f>IF($L815="","",IF(COUNTIF(LISTS!$A$2:$A$200,$H815)=0,"NEW",""))</f>
        <v/>
      </c>
    </row>
    <row r="816" spans="30:33" x14ac:dyDescent="0.25">
      <c r="AD816" s="2" t="str">
        <f t="shared" si="36"/>
        <v/>
      </c>
      <c r="AE816" s="2" t="str">
        <f t="shared" si="37"/>
        <v/>
      </c>
      <c r="AF816" s="2" t="str">
        <f t="shared" si="38"/>
        <v/>
      </c>
      <c r="AG816" s="2" t="str">
        <f>IF($L816="","",IF(COUNTIF(LISTS!$A$2:$A$200,$H816)=0,"NEW",""))</f>
        <v/>
      </c>
    </row>
    <row r="817" spans="30:33" x14ac:dyDescent="0.25">
      <c r="AD817" s="2" t="str">
        <f t="shared" si="36"/>
        <v/>
      </c>
      <c r="AE817" s="2" t="str">
        <f t="shared" si="37"/>
        <v/>
      </c>
      <c r="AF817" s="2" t="str">
        <f t="shared" si="38"/>
        <v/>
      </c>
      <c r="AG817" s="2" t="str">
        <f>IF($L817="","",IF(COUNTIF(LISTS!$A$2:$A$200,$H817)=0,"NEW",""))</f>
        <v/>
      </c>
    </row>
    <row r="818" spans="30:33" x14ac:dyDescent="0.25">
      <c r="AD818" s="2" t="str">
        <f t="shared" si="36"/>
        <v/>
      </c>
      <c r="AE818" s="2" t="str">
        <f t="shared" si="37"/>
        <v/>
      </c>
      <c r="AF818" s="2" t="str">
        <f t="shared" si="38"/>
        <v/>
      </c>
      <c r="AG818" s="2" t="str">
        <f>IF($L818="","",IF(COUNTIF(LISTS!$A$2:$A$200,$H818)=0,"NEW",""))</f>
        <v/>
      </c>
    </row>
    <row r="819" spans="30:33" x14ac:dyDescent="0.25">
      <c r="AD819" s="2" t="str">
        <f t="shared" si="36"/>
        <v/>
      </c>
      <c r="AE819" s="2" t="str">
        <f t="shared" si="37"/>
        <v/>
      </c>
      <c r="AF819" s="2" t="str">
        <f t="shared" si="38"/>
        <v/>
      </c>
      <c r="AG819" s="2" t="str">
        <f>IF($L819="","",IF(COUNTIF(LISTS!$A$2:$A$200,$H819)=0,"NEW",""))</f>
        <v/>
      </c>
    </row>
    <row r="820" spans="30:33" x14ac:dyDescent="0.25">
      <c r="AD820" s="2" t="str">
        <f t="shared" si="36"/>
        <v/>
      </c>
      <c r="AE820" s="2" t="str">
        <f t="shared" si="37"/>
        <v/>
      </c>
      <c r="AF820" s="2" t="str">
        <f t="shared" si="38"/>
        <v/>
      </c>
      <c r="AG820" s="2" t="str">
        <f>IF($L820="","",IF(COUNTIF(LISTS!$A$2:$A$200,$H820)=0,"NEW",""))</f>
        <v/>
      </c>
    </row>
    <row r="821" spans="30:33" x14ac:dyDescent="0.25">
      <c r="AD821" s="2" t="str">
        <f t="shared" si="36"/>
        <v/>
      </c>
      <c r="AE821" s="2" t="str">
        <f t="shared" si="37"/>
        <v/>
      </c>
      <c r="AF821" s="2" t="str">
        <f t="shared" si="38"/>
        <v/>
      </c>
      <c r="AG821" s="2" t="str">
        <f>IF($L821="","",IF(COUNTIF(LISTS!$A$2:$A$200,$H821)=0,"NEW",""))</f>
        <v/>
      </c>
    </row>
    <row r="822" spans="30:33" x14ac:dyDescent="0.25">
      <c r="AD822" s="2" t="str">
        <f t="shared" si="36"/>
        <v/>
      </c>
      <c r="AE822" s="2" t="str">
        <f t="shared" si="37"/>
        <v/>
      </c>
      <c r="AF822" s="2" t="str">
        <f t="shared" si="38"/>
        <v/>
      </c>
      <c r="AG822" s="2" t="str">
        <f>IF($L822="","",IF(COUNTIF(LISTS!$A$2:$A$200,$H822)=0,"NEW",""))</f>
        <v/>
      </c>
    </row>
    <row r="823" spans="30:33" x14ac:dyDescent="0.25">
      <c r="AD823" s="2" t="str">
        <f t="shared" si="36"/>
        <v/>
      </c>
      <c r="AE823" s="2" t="str">
        <f t="shared" si="37"/>
        <v/>
      </c>
      <c r="AF823" s="2" t="str">
        <f t="shared" si="38"/>
        <v/>
      </c>
      <c r="AG823" s="2" t="str">
        <f>IF($L823="","",IF(COUNTIF(LISTS!$A$2:$A$200,$H823)=0,"NEW",""))</f>
        <v/>
      </c>
    </row>
    <row r="824" spans="30:33" x14ac:dyDescent="0.25">
      <c r="AD824" s="2" t="str">
        <f t="shared" si="36"/>
        <v/>
      </c>
      <c r="AE824" s="2" t="str">
        <f t="shared" si="37"/>
        <v/>
      </c>
      <c r="AF824" s="2" t="str">
        <f t="shared" si="38"/>
        <v/>
      </c>
      <c r="AG824" s="2" t="str">
        <f>IF($L824="","",IF(COUNTIF(LISTS!$A$2:$A$200,$H824)=0,"NEW",""))</f>
        <v/>
      </c>
    </row>
    <row r="825" spans="30:33" x14ac:dyDescent="0.25">
      <c r="AD825" s="2" t="str">
        <f t="shared" si="36"/>
        <v/>
      </c>
      <c r="AE825" s="2" t="str">
        <f t="shared" si="37"/>
        <v/>
      </c>
      <c r="AF825" s="2" t="str">
        <f t="shared" si="38"/>
        <v/>
      </c>
      <c r="AG825" s="2" t="str">
        <f>IF($L825="","",IF(COUNTIF(LISTS!$A$2:$A$200,$H825)=0,"NEW",""))</f>
        <v/>
      </c>
    </row>
    <row r="826" spans="30:33" x14ac:dyDescent="0.25">
      <c r="AD826" s="2" t="str">
        <f t="shared" si="36"/>
        <v/>
      </c>
      <c r="AE826" s="2" t="str">
        <f t="shared" si="37"/>
        <v/>
      </c>
      <c r="AF826" s="2" t="str">
        <f t="shared" si="38"/>
        <v/>
      </c>
      <c r="AG826" s="2" t="str">
        <f>IF($L826="","",IF(COUNTIF(LISTS!$A$2:$A$200,$H826)=0,"NEW",""))</f>
        <v/>
      </c>
    </row>
    <row r="827" spans="30:33" x14ac:dyDescent="0.25">
      <c r="AD827" s="2" t="str">
        <f t="shared" si="36"/>
        <v/>
      </c>
      <c r="AE827" s="2" t="str">
        <f t="shared" si="37"/>
        <v/>
      </c>
      <c r="AF827" s="2" t="str">
        <f t="shared" si="38"/>
        <v/>
      </c>
      <c r="AG827" s="2" t="str">
        <f>IF($L827="","",IF(COUNTIF(LISTS!$A$2:$A$200,$H827)=0,"NEW",""))</f>
        <v/>
      </c>
    </row>
    <row r="828" spans="30:33" x14ac:dyDescent="0.25">
      <c r="AD828" s="2" t="str">
        <f t="shared" si="36"/>
        <v/>
      </c>
      <c r="AE828" s="2" t="str">
        <f t="shared" si="37"/>
        <v/>
      </c>
      <c r="AF828" s="2" t="str">
        <f t="shared" si="38"/>
        <v/>
      </c>
      <c r="AG828" s="2" t="str">
        <f>IF($L828="","",IF(COUNTIF(LISTS!$A$2:$A$200,$H828)=0,"NEW",""))</f>
        <v/>
      </c>
    </row>
    <row r="829" spans="30:33" x14ac:dyDescent="0.25">
      <c r="AD829" s="2" t="str">
        <f t="shared" si="36"/>
        <v/>
      </c>
      <c r="AE829" s="2" t="str">
        <f t="shared" si="37"/>
        <v/>
      </c>
      <c r="AF829" s="2" t="str">
        <f t="shared" si="38"/>
        <v/>
      </c>
      <c r="AG829" s="2" t="str">
        <f>IF($L829="","",IF(COUNTIF(LISTS!$A$2:$A$200,$H829)=0,"NEW",""))</f>
        <v/>
      </c>
    </row>
    <row r="830" spans="30:33" x14ac:dyDescent="0.25">
      <c r="AD830" s="2" t="str">
        <f t="shared" si="36"/>
        <v/>
      </c>
      <c r="AE830" s="2" t="str">
        <f t="shared" si="37"/>
        <v/>
      </c>
      <c r="AF830" s="2" t="str">
        <f t="shared" si="38"/>
        <v/>
      </c>
      <c r="AG830" s="2" t="str">
        <f>IF($L830="","",IF(COUNTIF(LISTS!$A$2:$A$200,$H830)=0,"NEW",""))</f>
        <v/>
      </c>
    </row>
    <row r="831" spans="30:33" x14ac:dyDescent="0.25">
      <c r="AD831" s="2" t="str">
        <f t="shared" si="36"/>
        <v/>
      </c>
      <c r="AE831" s="2" t="str">
        <f t="shared" si="37"/>
        <v/>
      </c>
      <c r="AF831" s="2" t="str">
        <f t="shared" si="38"/>
        <v/>
      </c>
      <c r="AG831" s="2" t="str">
        <f>IF($L831="","",IF(COUNTIF(LISTS!$A$2:$A$200,$H831)=0,"NEW",""))</f>
        <v/>
      </c>
    </row>
    <row r="832" spans="30:33" x14ac:dyDescent="0.25">
      <c r="AD832" s="2" t="str">
        <f t="shared" si="36"/>
        <v/>
      </c>
      <c r="AE832" s="2" t="str">
        <f t="shared" si="37"/>
        <v/>
      </c>
      <c r="AF832" s="2" t="str">
        <f t="shared" si="38"/>
        <v/>
      </c>
      <c r="AG832" s="2" t="str">
        <f>IF($L832="","",IF(COUNTIF(LISTS!$A$2:$A$200,$H832)=0,"NEW",""))</f>
        <v/>
      </c>
    </row>
    <row r="833" spans="30:33" x14ac:dyDescent="0.25">
      <c r="AD833" s="2" t="str">
        <f t="shared" si="36"/>
        <v/>
      </c>
      <c r="AE833" s="2" t="str">
        <f t="shared" si="37"/>
        <v/>
      </c>
      <c r="AF833" s="2" t="str">
        <f t="shared" si="38"/>
        <v/>
      </c>
      <c r="AG833" s="2" t="str">
        <f>IF($L833="","",IF(COUNTIF(LISTS!$A$2:$A$200,$H833)=0,"NEW",""))</f>
        <v/>
      </c>
    </row>
    <row r="834" spans="30:33" x14ac:dyDescent="0.25">
      <c r="AD834" s="2" t="str">
        <f t="shared" ref="AD834:AD897" si="39">IF($L834="","",IF(ISNUMBER(SEARCH("OFF ROAD",$H834)),"OFF",IF(ISNUMBER(SEARCH("ON ROAD",$H834)),"ON","")))</f>
        <v/>
      </c>
      <c r="AE834" s="2" t="str">
        <f t="shared" ref="AE834:AE897" si="40">IF($AD834="ON",""&amp;$L834,"")</f>
        <v/>
      </c>
      <c r="AF834" s="2" t="str">
        <f t="shared" ref="AF834:AF897" si="41">IF($L834="","",IF($J834&lt;&gt;"","Y",""))</f>
        <v/>
      </c>
      <c r="AG834" s="2" t="str">
        <f>IF($L834="","",IF(COUNTIF(LISTS!$A$2:$A$200,$H834)=0,"NEW",""))</f>
        <v/>
      </c>
    </row>
    <row r="835" spans="30:33" x14ac:dyDescent="0.25">
      <c r="AD835" s="2" t="str">
        <f t="shared" si="39"/>
        <v/>
      </c>
      <c r="AE835" s="2" t="str">
        <f t="shared" si="40"/>
        <v/>
      </c>
      <c r="AF835" s="2" t="str">
        <f t="shared" si="41"/>
        <v/>
      </c>
      <c r="AG835" s="2" t="str">
        <f>IF($L835="","",IF(COUNTIF(LISTS!$A$2:$A$200,$H835)=0,"NEW",""))</f>
        <v/>
      </c>
    </row>
    <row r="836" spans="30:33" x14ac:dyDescent="0.25">
      <c r="AD836" s="2" t="str">
        <f t="shared" si="39"/>
        <v/>
      </c>
      <c r="AE836" s="2" t="str">
        <f t="shared" si="40"/>
        <v/>
      </c>
      <c r="AF836" s="2" t="str">
        <f t="shared" si="41"/>
        <v/>
      </c>
      <c r="AG836" s="2" t="str">
        <f>IF($L836="","",IF(COUNTIF(LISTS!$A$2:$A$200,$H836)=0,"NEW",""))</f>
        <v/>
      </c>
    </row>
    <row r="837" spans="30:33" x14ac:dyDescent="0.25">
      <c r="AD837" s="2" t="str">
        <f t="shared" si="39"/>
        <v/>
      </c>
      <c r="AE837" s="2" t="str">
        <f t="shared" si="40"/>
        <v/>
      </c>
      <c r="AF837" s="2" t="str">
        <f t="shared" si="41"/>
        <v/>
      </c>
      <c r="AG837" s="2" t="str">
        <f>IF($L837="","",IF(COUNTIF(LISTS!$A$2:$A$200,$H837)=0,"NEW",""))</f>
        <v/>
      </c>
    </row>
    <row r="838" spans="30:33" x14ac:dyDescent="0.25">
      <c r="AD838" s="2" t="str">
        <f t="shared" si="39"/>
        <v/>
      </c>
      <c r="AE838" s="2" t="str">
        <f t="shared" si="40"/>
        <v/>
      </c>
      <c r="AF838" s="2" t="str">
        <f t="shared" si="41"/>
        <v/>
      </c>
      <c r="AG838" s="2" t="str">
        <f>IF($L838="","",IF(COUNTIF(LISTS!$A$2:$A$200,$H838)=0,"NEW",""))</f>
        <v/>
      </c>
    </row>
    <row r="839" spans="30:33" x14ac:dyDescent="0.25">
      <c r="AD839" s="2" t="str">
        <f t="shared" si="39"/>
        <v/>
      </c>
      <c r="AE839" s="2" t="str">
        <f t="shared" si="40"/>
        <v/>
      </c>
      <c r="AF839" s="2" t="str">
        <f t="shared" si="41"/>
        <v/>
      </c>
      <c r="AG839" s="2" t="str">
        <f>IF($L839="","",IF(COUNTIF(LISTS!$A$2:$A$200,$H839)=0,"NEW",""))</f>
        <v/>
      </c>
    </row>
    <row r="840" spans="30:33" x14ac:dyDescent="0.25">
      <c r="AD840" s="2" t="str">
        <f t="shared" si="39"/>
        <v/>
      </c>
      <c r="AE840" s="2" t="str">
        <f t="shared" si="40"/>
        <v/>
      </c>
      <c r="AF840" s="2" t="str">
        <f t="shared" si="41"/>
        <v/>
      </c>
      <c r="AG840" s="2" t="str">
        <f>IF($L840="","",IF(COUNTIF(LISTS!$A$2:$A$200,$H840)=0,"NEW",""))</f>
        <v/>
      </c>
    </row>
    <row r="841" spans="30:33" x14ac:dyDescent="0.25">
      <c r="AD841" s="2" t="str">
        <f t="shared" si="39"/>
        <v/>
      </c>
      <c r="AE841" s="2" t="str">
        <f t="shared" si="40"/>
        <v/>
      </c>
      <c r="AF841" s="2" t="str">
        <f t="shared" si="41"/>
        <v/>
      </c>
      <c r="AG841" s="2" t="str">
        <f>IF($L841="","",IF(COUNTIF(LISTS!$A$2:$A$200,$H841)=0,"NEW",""))</f>
        <v/>
      </c>
    </row>
    <row r="842" spans="30:33" x14ac:dyDescent="0.25">
      <c r="AD842" s="2" t="str">
        <f t="shared" si="39"/>
        <v/>
      </c>
      <c r="AE842" s="2" t="str">
        <f t="shared" si="40"/>
        <v/>
      </c>
      <c r="AF842" s="2" t="str">
        <f t="shared" si="41"/>
        <v/>
      </c>
      <c r="AG842" s="2" t="str">
        <f>IF($L842="","",IF(COUNTIF(LISTS!$A$2:$A$200,$H842)=0,"NEW",""))</f>
        <v/>
      </c>
    </row>
    <row r="843" spans="30:33" x14ac:dyDescent="0.25">
      <c r="AD843" s="2" t="str">
        <f t="shared" si="39"/>
        <v/>
      </c>
      <c r="AE843" s="2" t="str">
        <f t="shared" si="40"/>
        <v/>
      </c>
      <c r="AF843" s="2" t="str">
        <f t="shared" si="41"/>
        <v/>
      </c>
      <c r="AG843" s="2" t="str">
        <f>IF($L843="","",IF(COUNTIF(LISTS!$A$2:$A$200,$H843)=0,"NEW",""))</f>
        <v/>
      </c>
    </row>
    <row r="844" spans="30:33" x14ac:dyDescent="0.25">
      <c r="AD844" s="2" t="str">
        <f t="shared" si="39"/>
        <v/>
      </c>
      <c r="AE844" s="2" t="str">
        <f t="shared" si="40"/>
        <v/>
      </c>
      <c r="AF844" s="2" t="str">
        <f t="shared" si="41"/>
        <v/>
      </c>
      <c r="AG844" s="2" t="str">
        <f>IF($L844="","",IF(COUNTIF(LISTS!$A$2:$A$200,$H844)=0,"NEW",""))</f>
        <v/>
      </c>
    </row>
    <row r="845" spans="30:33" x14ac:dyDescent="0.25">
      <c r="AD845" s="2" t="str">
        <f t="shared" si="39"/>
        <v/>
      </c>
      <c r="AE845" s="2" t="str">
        <f t="shared" si="40"/>
        <v/>
      </c>
      <c r="AF845" s="2" t="str">
        <f t="shared" si="41"/>
        <v/>
      </c>
      <c r="AG845" s="2" t="str">
        <f>IF($L845="","",IF(COUNTIF(LISTS!$A$2:$A$200,$H845)=0,"NEW",""))</f>
        <v/>
      </c>
    </row>
    <row r="846" spans="30:33" x14ac:dyDescent="0.25">
      <c r="AD846" s="2" t="str">
        <f t="shared" si="39"/>
        <v/>
      </c>
      <c r="AE846" s="2" t="str">
        <f t="shared" si="40"/>
        <v/>
      </c>
      <c r="AF846" s="2" t="str">
        <f t="shared" si="41"/>
        <v/>
      </c>
      <c r="AG846" s="2" t="str">
        <f>IF($L846="","",IF(COUNTIF(LISTS!$A$2:$A$200,$H846)=0,"NEW",""))</f>
        <v/>
      </c>
    </row>
    <row r="847" spans="30:33" x14ac:dyDescent="0.25">
      <c r="AD847" s="2" t="str">
        <f t="shared" si="39"/>
        <v/>
      </c>
      <c r="AE847" s="2" t="str">
        <f t="shared" si="40"/>
        <v/>
      </c>
      <c r="AF847" s="2" t="str">
        <f t="shared" si="41"/>
        <v/>
      </c>
      <c r="AG847" s="2" t="str">
        <f>IF($L847="","",IF(COUNTIF(LISTS!$A$2:$A$200,$H847)=0,"NEW",""))</f>
        <v/>
      </c>
    </row>
    <row r="848" spans="30:33" x14ac:dyDescent="0.25">
      <c r="AD848" s="2" t="str">
        <f t="shared" si="39"/>
        <v/>
      </c>
      <c r="AE848" s="2" t="str">
        <f t="shared" si="40"/>
        <v/>
      </c>
      <c r="AF848" s="2" t="str">
        <f t="shared" si="41"/>
        <v/>
      </c>
      <c r="AG848" s="2" t="str">
        <f>IF($L848="","",IF(COUNTIF(LISTS!$A$2:$A$200,$H848)=0,"NEW",""))</f>
        <v/>
      </c>
    </row>
    <row r="849" spans="30:33" x14ac:dyDescent="0.25">
      <c r="AD849" s="2" t="str">
        <f t="shared" si="39"/>
        <v/>
      </c>
      <c r="AE849" s="2" t="str">
        <f t="shared" si="40"/>
        <v/>
      </c>
      <c r="AF849" s="2" t="str">
        <f t="shared" si="41"/>
        <v/>
      </c>
      <c r="AG849" s="2" t="str">
        <f>IF($L849="","",IF(COUNTIF(LISTS!$A$2:$A$200,$H849)=0,"NEW",""))</f>
        <v/>
      </c>
    </row>
    <row r="850" spans="30:33" x14ac:dyDescent="0.25">
      <c r="AD850" s="2" t="str">
        <f t="shared" si="39"/>
        <v/>
      </c>
      <c r="AE850" s="2" t="str">
        <f t="shared" si="40"/>
        <v/>
      </c>
      <c r="AF850" s="2" t="str">
        <f t="shared" si="41"/>
        <v/>
      </c>
      <c r="AG850" s="2" t="str">
        <f>IF($L850="","",IF(COUNTIF(LISTS!$A$2:$A$200,$H850)=0,"NEW",""))</f>
        <v/>
      </c>
    </row>
    <row r="851" spans="30:33" x14ac:dyDescent="0.25">
      <c r="AD851" s="2" t="str">
        <f t="shared" si="39"/>
        <v/>
      </c>
      <c r="AE851" s="2" t="str">
        <f t="shared" si="40"/>
        <v/>
      </c>
      <c r="AF851" s="2" t="str">
        <f t="shared" si="41"/>
        <v/>
      </c>
      <c r="AG851" s="2" t="str">
        <f>IF($L851="","",IF(COUNTIF(LISTS!$A$2:$A$200,$H851)=0,"NEW",""))</f>
        <v/>
      </c>
    </row>
    <row r="852" spans="30:33" x14ac:dyDescent="0.25">
      <c r="AD852" s="2" t="str">
        <f t="shared" si="39"/>
        <v/>
      </c>
      <c r="AE852" s="2" t="str">
        <f t="shared" si="40"/>
        <v/>
      </c>
      <c r="AF852" s="2" t="str">
        <f t="shared" si="41"/>
        <v/>
      </c>
      <c r="AG852" s="2" t="str">
        <f>IF($L852="","",IF(COUNTIF(LISTS!$A$2:$A$200,$H852)=0,"NEW",""))</f>
        <v/>
      </c>
    </row>
    <row r="853" spans="30:33" x14ac:dyDescent="0.25">
      <c r="AD853" s="2" t="str">
        <f t="shared" si="39"/>
        <v/>
      </c>
      <c r="AE853" s="2" t="str">
        <f t="shared" si="40"/>
        <v/>
      </c>
      <c r="AF853" s="2" t="str">
        <f t="shared" si="41"/>
        <v/>
      </c>
      <c r="AG853" s="2" t="str">
        <f>IF($L853="","",IF(COUNTIF(LISTS!$A$2:$A$200,$H853)=0,"NEW",""))</f>
        <v/>
      </c>
    </row>
    <row r="854" spans="30:33" x14ac:dyDescent="0.25">
      <c r="AD854" s="2" t="str">
        <f t="shared" si="39"/>
        <v/>
      </c>
      <c r="AE854" s="2" t="str">
        <f t="shared" si="40"/>
        <v/>
      </c>
      <c r="AF854" s="2" t="str">
        <f t="shared" si="41"/>
        <v/>
      </c>
      <c r="AG854" s="2" t="str">
        <f>IF($L854="","",IF(COUNTIF(LISTS!$A$2:$A$200,$H854)=0,"NEW",""))</f>
        <v/>
      </c>
    </row>
    <row r="855" spans="30:33" x14ac:dyDescent="0.25">
      <c r="AD855" s="2" t="str">
        <f t="shared" si="39"/>
        <v/>
      </c>
      <c r="AE855" s="2" t="str">
        <f t="shared" si="40"/>
        <v/>
      </c>
      <c r="AF855" s="2" t="str">
        <f t="shared" si="41"/>
        <v/>
      </c>
      <c r="AG855" s="2" t="str">
        <f>IF($L855="","",IF(COUNTIF(LISTS!$A$2:$A$200,$H855)=0,"NEW",""))</f>
        <v/>
      </c>
    </row>
    <row r="856" spans="30:33" x14ac:dyDescent="0.25">
      <c r="AD856" s="2" t="str">
        <f t="shared" si="39"/>
        <v/>
      </c>
      <c r="AE856" s="2" t="str">
        <f t="shared" si="40"/>
        <v/>
      </c>
      <c r="AF856" s="2" t="str">
        <f t="shared" si="41"/>
        <v/>
      </c>
      <c r="AG856" s="2" t="str">
        <f>IF($L856="","",IF(COUNTIF(LISTS!$A$2:$A$200,$H856)=0,"NEW",""))</f>
        <v/>
      </c>
    </row>
    <row r="857" spans="30:33" x14ac:dyDescent="0.25">
      <c r="AD857" s="2" t="str">
        <f t="shared" si="39"/>
        <v/>
      </c>
      <c r="AE857" s="2" t="str">
        <f t="shared" si="40"/>
        <v/>
      </c>
      <c r="AF857" s="2" t="str">
        <f t="shared" si="41"/>
        <v/>
      </c>
      <c r="AG857" s="2" t="str">
        <f>IF($L857="","",IF(COUNTIF(LISTS!$A$2:$A$200,$H857)=0,"NEW",""))</f>
        <v/>
      </c>
    </row>
    <row r="858" spans="30:33" x14ac:dyDescent="0.25">
      <c r="AD858" s="2" t="str">
        <f t="shared" si="39"/>
        <v/>
      </c>
      <c r="AE858" s="2" t="str">
        <f t="shared" si="40"/>
        <v/>
      </c>
      <c r="AF858" s="2" t="str">
        <f t="shared" si="41"/>
        <v/>
      </c>
      <c r="AG858" s="2" t="str">
        <f>IF($L858="","",IF(COUNTIF(LISTS!$A$2:$A$200,$H858)=0,"NEW",""))</f>
        <v/>
      </c>
    </row>
    <row r="859" spans="30:33" x14ac:dyDescent="0.25">
      <c r="AD859" s="2" t="str">
        <f t="shared" si="39"/>
        <v/>
      </c>
      <c r="AE859" s="2" t="str">
        <f t="shared" si="40"/>
        <v/>
      </c>
      <c r="AF859" s="2" t="str">
        <f t="shared" si="41"/>
        <v/>
      </c>
      <c r="AG859" s="2" t="str">
        <f>IF($L859="","",IF(COUNTIF(LISTS!$A$2:$A$200,$H859)=0,"NEW",""))</f>
        <v/>
      </c>
    </row>
    <row r="860" spans="30:33" x14ac:dyDescent="0.25">
      <c r="AD860" s="2" t="str">
        <f t="shared" si="39"/>
        <v/>
      </c>
      <c r="AE860" s="2" t="str">
        <f t="shared" si="40"/>
        <v/>
      </c>
      <c r="AF860" s="2" t="str">
        <f t="shared" si="41"/>
        <v/>
      </c>
      <c r="AG860" s="2" t="str">
        <f>IF($L860="","",IF(COUNTIF(LISTS!$A$2:$A$200,$H860)=0,"NEW",""))</f>
        <v/>
      </c>
    </row>
    <row r="861" spans="30:33" x14ac:dyDescent="0.25">
      <c r="AD861" s="2" t="str">
        <f t="shared" si="39"/>
        <v/>
      </c>
      <c r="AE861" s="2" t="str">
        <f t="shared" si="40"/>
        <v/>
      </c>
      <c r="AF861" s="2" t="str">
        <f t="shared" si="41"/>
        <v/>
      </c>
      <c r="AG861" s="2" t="str">
        <f>IF($L861="","",IF(COUNTIF(LISTS!$A$2:$A$200,$H861)=0,"NEW",""))</f>
        <v/>
      </c>
    </row>
    <row r="862" spans="30:33" x14ac:dyDescent="0.25">
      <c r="AD862" s="2" t="str">
        <f t="shared" si="39"/>
        <v/>
      </c>
      <c r="AE862" s="2" t="str">
        <f t="shared" si="40"/>
        <v/>
      </c>
      <c r="AF862" s="2" t="str">
        <f t="shared" si="41"/>
        <v/>
      </c>
      <c r="AG862" s="2" t="str">
        <f>IF($L862="","",IF(COUNTIF(LISTS!$A$2:$A$200,$H862)=0,"NEW",""))</f>
        <v/>
      </c>
    </row>
    <row r="863" spans="30:33" x14ac:dyDescent="0.25">
      <c r="AD863" s="2" t="str">
        <f t="shared" si="39"/>
        <v/>
      </c>
      <c r="AE863" s="2" t="str">
        <f t="shared" si="40"/>
        <v/>
      </c>
      <c r="AF863" s="2" t="str">
        <f t="shared" si="41"/>
        <v/>
      </c>
      <c r="AG863" s="2" t="str">
        <f>IF($L863="","",IF(COUNTIF(LISTS!$A$2:$A$200,$H863)=0,"NEW",""))</f>
        <v/>
      </c>
    </row>
    <row r="864" spans="30:33" x14ac:dyDescent="0.25">
      <c r="AD864" s="2" t="str">
        <f t="shared" si="39"/>
        <v/>
      </c>
      <c r="AE864" s="2" t="str">
        <f t="shared" si="40"/>
        <v/>
      </c>
      <c r="AF864" s="2" t="str">
        <f t="shared" si="41"/>
        <v/>
      </c>
      <c r="AG864" s="2" t="str">
        <f>IF($L864="","",IF(COUNTIF(LISTS!$A$2:$A$200,$H864)=0,"NEW",""))</f>
        <v/>
      </c>
    </row>
    <row r="865" spans="30:33" x14ac:dyDescent="0.25">
      <c r="AD865" s="2" t="str">
        <f t="shared" si="39"/>
        <v/>
      </c>
      <c r="AE865" s="2" t="str">
        <f t="shared" si="40"/>
        <v/>
      </c>
      <c r="AF865" s="2" t="str">
        <f t="shared" si="41"/>
        <v/>
      </c>
      <c r="AG865" s="2" t="str">
        <f>IF($L865="","",IF(COUNTIF(LISTS!$A$2:$A$200,$H865)=0,"NEW",""))</f>
        <v/>
      </c>
    </row>
    <row r="866" spans="30:33" x14ac:dyDescent="0.25">
      <c r="AD866" s="2" t="str">
        <f t="shared" si="39"/>
        <v/>
      </c>
      <c r="AE866" s="2" t="str">
        <f t="shared" si="40"/>
        <v/>
      </c>
      <c r="AF866" s="2" t="str">
        <f t="shared" si="41"/>
        <v/>
      </c>
      <c r="AG866" s="2" t="str">
        <f>IF($L866="","",IF(COUNTIF(LISTS!$A$2:$A$200,$H866)=0,"NEW",""))</f>
        <v/>
      </c>
    </row>
    <row r="867" spans="30:33" x14ac:dyDescent="0.25">
      <c r="AD867" s="2" t="str">
        <f t="shared" si="39"/>
        <v/>
      </c>
      <c r="AE867" s="2" t="str">
        <f t="shared" si="40"/>
        <v/>
      </c>
      <c r="AF867" s="2" t="str">
        <f t="shared" si="41"/>
        <v/>
      </c>
      <c r="AG867" s="2" t="str">
        <f>IF($L867="","",IF(COUNTIF(LISTS!$A$2:$A$200,$H867)=0,"NEW",""))</f>
        <v/>
      </c>
    </row>
    <row r="868" spans="30:33" x14ac:dyDescent="0.25">
      <c r="AD868" s="2" t="str">
        <f t="shared" si="39"/>
        <v/>
      </c>
      <c r="AE868" s="2" t="str">
        <f t="shared" si="40"/>
        <v/>
      </c>
      <c r="AF868" s="2" t="str">
        <f t="shared" si="41"/>
        <v/>
      </c>
      <c r="AG868" s="2" t="str">
        <f>IF($L868="","",IF(COUNTIF(LISTS!$A$2:$A$200,$H868)=0,"NEW",""))</f>
        <v/>
      </c>
    </row>
    <row r="869" spans="30:33" x14ac:dyDescent="0.25">
      <c r="AD869" s="2" t="str">
        <f t="shared" si="39"/>
        <v/>
      </c>
      <c r="AE869" s="2" t="str">
        <f t="shared" si="40"/>
        <v/>
      </c>
      <c r="AF869" s="2" t="str">
        <f t="shared" si="41"/>
        <v/>
      </c>
      <c r="AG869" s="2" t="str">
        <f>IF($L869="","",IF(COUNTIF(LISTS!$A$2:$A$200,$H869)=0,"NEW",""))</f>
        <v/>
      </c>
    </row>
    <row r="870" spans="30:33" x14ac:dyDescent="0.25">
      <c r="AD870" s="2" t="str">
        <f t="shared" si="39"/>
        <v/>
      </c>
      <c r="AE870" s="2" t="str">
        <f t="shared" si="40"/>
        <v/>
      </c>
      <c r="AF870" s="2" t="str">
        <f t="shared" si="41"/>
        <v/>
      </c>
      <c r="AG870" s="2" t="str">
        <f>IF($L870="","",IF(COUNTIF(LISTS!$A$2:$A$200,$H870)=0,"NEW",""))</f>
        <v/>
      </c>
    </row>
    <row r="871" spans="30:33" x14ac:dyDescent="0.25">
      <c r="AD871" s="2" t="str">
        <f t="shared" si="39"/>
        <v/>
      </c>
      <c r="AE871" s="2" t="str">
        <f t="shared" si="40"/>
        <v/>
      </c>
      <c r="AF871" s="2" t="str">
        <f t="shared" si="41"/>
        <v/>
      </c>
      <c r="AG871" s="2" t="str">
        <f>IF($L871="","",IF(COUNTIF(LISTS!$A$2:$A$200,$H871)=0,"NEW",""))</f>
        <v/>
      </c>
    </row>
    <row r="872" spans="30:33" x14ac:dyDescent="0.25">
      <c r="AD872" s="2" t="str">
        <f t="shared" si="39"/>
        <v/>
      </c>
      <c r="AE872" s="2" t="str">
        <f t="shared" si="40"/>
        <v/>
      </c>
      <c r="AF872" s="2" t="str">
        <f t="shared" si="41"/>
        <v/>
      </c>
      <c r="AG872" s="2" t="str">
        <f>IF($L872="","",IF(COUNTIF(LISTS!$A$2:$A$200,$H872)=0,"NEW",""))</f>
        <v/>
      </c>
    </row>
    <row r="873" spans="30:33" x14ac:dyDescent="0.25">
      <c r="AD873" s="2" t="str">
        <f t="shared" si="39"/>
        <v/>
      </c>
      <c r="AE873" s="2" t="str">
        <f t="shared" si="40"/>
        <v/>
      </c>
      <c r="AF873" s="2" t="str">
        <f t="shared" si="41"/>
        <v/>
      </c>
      <c r="AG873" s="2" t="str">
        <f>IF($L873="","",IF(COUNTIF(LISTS!$A$2:$A$200,$H873)=0,"NEW",""))</f>
        <v/>
      </c>
    </row>
    <row r="874" spans="30:33" x14ac:dyDescent="0.25">
      <c r="AD874" s="2" t="str">
        <f t="shared" si="39"/>
        <v/>
      </c>
      <c r="AE874" s="2" t="str">
        <f t="shared" si="40"/>
        <v/>
      </c>
      <c r="AF874" s="2" t="str">
        <f t="shared" si="41"/>
        <v/>
      </c>
      <c r="AG874" s="2" t="str">
        <f>IF($L874="","",IF(COUNTIF(LISTS!$A$2:$A$200,$H874)=0,"NEW",""))</f>
        <v/>
      </c>
    </row>
    <row r="875" spans="30:33" x14ac:dyDescent="0.25">
      <c r="AD875" s="2" t="str">
        <f t="shared" si="39"/>
        <v/>
      </c>
      <c r="AE875" s="2" t="str">
        <f t="shared" si="40"/>
        <v/>
      </c>
      <c r="AF875" s="2" t="str">
        <f t="shared" si="41"/>
        <v/>
      </c>
      <c r="AG875" s="2" t="str">
        <f>IF($L875="","",IF(COUNTIF(LISTS!$A$2:$A$200,$H875)=0,"NEW",""))</f>
        <v/>
      </c>
    </row>
    <row r="876" spans="30:33" x14ac:dyDescent="0.25">
      <c r="AD876" s="2" t="str">
        <f t="shared" si="39"/>
        <v/>
      </c>
      <c r="AE876" s="2" t="str">
        <f t="shared" si="40"/>
        <v/>
      </c>
      <c r="AF876" s="2" t="str">
        <f t="shared" si="41"/>
        <v/>
      </c>
      <c r="AG876" s="2" t="str">
        <f>IF($L876="","",IF(COUNTIF(LISTS!$A$2:$A$200,$H876)=0,"NEW",""))</f>
        <v/>
      </c>
    </row>
    <row r="877" spans="30:33" x14ac:dyDescent="0.25">
      <c r="AD877" s="2" t="str">
        <f t="shared" si="39"/>
        <v/>
      </c>
      <c r="AE877" s="2" t="str">
        <f t="shared" si="40"/>
        <v/>
      </c>
      <c r="AF877" s="2" t="str">
        <f t="shared" si="41"/>
        <v/>
      </c>
      <c r="AG877" s="2" t="str">
        <f>IF($L877="","",IF(COUNTIF(LISTS!$A$2:$A$200,$H877)=0,"NEW",""))</f>
        <v/>
      </c>
    </row>
    <row r="878" spans="30:33" x14ac:dyDescent="0.25">
      <c r="AD878" s="2" t="str">
        <f t="shared" si="39"/>
        <v/>
      </c>
      <c r="AE878" s="2" t="str">
        <f t="shared" si="40"/>
        <v/>
      </c>
      <c r="AF878" s="2" t="str">
        <f t="shared" si="41"/>
        <v/>
      </c>
      <c r="AG878" s="2" t="str">
        <f>IF($L878="","",IF(COUNTIF(LISTS!$A$2:$A$200,$H878)=0,"NEW",""))</f>
        <v/>
      </c>
    </row>
    <row r="879" spans="30:33" x14ac:dyDescent="0.25">
      <c r="AD879" s="2" t="str">
        <f t="shared" si="39"/>
        <v/>
      </c>
      <c r="AE879" s="2" t="str">
        <f t="shared" si="40"/>
        <v/>
      </c>
      <c r="AF879" s="2" t="str">
        <f t="shared" si="41"/>
        <v/>
      </c>
      <c r="AG879" s="2" t="str">
        <f>IF($L879="","",IF(COUNTIF(LISTS!$A$2:$A$200,$H879)=0,"NEW",""))</f>
        <v/>
      </c>
    </row>
    <row r="880" spans="30:33" x14ac:dyDescent="0.25">
      <c r="AD880" s="2" t="str">
        <f t="shared" si="39"/>
        <v/>
      </c>
      <c r="AE880" s="2" t="str">
        <f t="shared" si="40"/>
        <v/>
      </c>
      <c r="AF880" s="2" t="str">
        <f t="shared" si="41"/>
        <v/>
      </c>
      <c r="AG880" s="2" t="str">
        <f>IF($L880="","",IF(COUNTIF(LISTS!$A$2:$A$200,$H880)=0,"NEW",""))</f>
        <v/>
      </c>
    </row>
    <row r="881" spans="30:33" x14ac:dyDescent="0.25">
      <c r="AD881" s="2" t="str">
        <f t="shared" si="39"/>
        <v/>
      </c>
      <c r="AE881" s="2" t="str">
        <f t="shared" si="40"/>
        <v/>
      </c>
      <c r="AF881" s="2" t="str">
        <f t="shared" si="41"/>
        <v/>
      </c>
      <c r="AG881" s="2" t="str">
        <f>IF($L881="","",IF(COUNTIF(LISTS!$A$2:$A$200,$H881)=0,"NEW",""))</f>
        <v/>
      </c>
    </row>
    <row r="882" spans="30:33" x14ac:dyDescent="0.25">
      <c r="AD882" s="2" t="str">
        <f t="shared" si="39"/>
        <v/>
      </c>
      <c r="AE882" s="2" t="str">
        <f t="shared" si="40"/>
        <v/>
      </c>
      <c r="AF882" s="2" t="str">
        <f t="shared" si="41"/>
        <v/>
      </c>
      <c r="AG882" s="2" t="str">
        <f>IF($L882="","",IF(COUNTIF(LISTS!$A$2:$A$200,$H882)=0,"NEW",""))</f>
        <v/>
      </c>
    </row>
    <row r="883" spans="30:33" x14ac:dyDescent="0.25">
      <c r="AD883" s="2" t="str">
        <f t="shared" si="39"/>
        <v/>
      </c>
      <c r="AE883" s="2" t="str">
        <f t="shared" si="40"/>
        <v/>
      </c>
      <c r="AF883" s="2" t="str">
        <f t="shared" si="41"/>
        <v/>
      </c>
      <c r="AG883" s="2" t="str">
        <f>IF($L883="","",IF(COUNTIF(LISTS!$A$2:$A$200,$H883)=0,"NEW",""))</f>
        <v/>
      </c>
    </row>
    <row r="884" spans="30:33" x14ac:dyDescent="0.25">
      <c r="AD884" s="2" t="str">
        <f t="shared" si="39"/>
        <v/>
      </c>
      <c r="AE884" s="2" t="str">
        <f t="shared" si="40"/>
        <v/>
      </c>
      <c r="AF884" s="2" t="str">
        <f t="shared" si="41"/>
        <v/>
      </c>
      <c r="AG884" s="2" t="str">
        <f>IF($L884="","",IF(COUNTIF(LISTS!$A$2:$A$200,$H884)=0,"NEW",""))</f>
        <v/>
      </c>
    </row>
    <row r="885" spans="30:33" x14ac:dyDescent="0.25">
      <c r="AD885" s="2" t="str">
        <f t="shared" si="39"/>
        <v/>
      </c>
      <c r="AE885" s="2" t="str">
        <f t="shared" si="40"/>
        <v/>
      </c>
      <c r="AF885" s="2" t="str">
        <f t="shared" si="41"/>
        <v/>
      </c>
      <c r="AG885" s="2" t="str">
        <f>IF($L885="","",IF(COUNTIF(LISTS!$A$2:$A$200,$H885)=0,"NEW",""))</f>
        <v/>
      </c>
    </row>
    <row r="886" spans="30:33" x14ac:dyDescent="0.25">
      <c r="AD886" s="2" t="str">
        <f t="shared" si="39"/>
        <v/>
      </c>
      <c r="AE886" s="2" t="str">
        <f t="shared" si="40"/>
        <v/>
      </c>
      <c r="AF886" s="2" t="str">
        <f t="shared" si="41"/>
        <v/>
      </c>
      <c r="AG886" s="2" t="str">
        <f>IF($L886="","",IF(COUNTIF(LISTS!$A$2:$A$200,$H886)=0,"NEW",""))</f>
        <v/>
      </c>
    </row>
    <row r="887" spans="30:33" x14ac:dyDescent="0.25">
      <c r="AD887" s="2" t="str">
        <f t="shared" si="39"/>
        <v/>
      </c>
      <c r="AE887" s="2" t="str">
        <f t="shared" si="40"/>
        <v/>
      </c>
      <c r="AF887" s="2" t="str">
        <f t="shared" si="41"/>
        <v/>
      </c>
      <c r="AG887" s="2" t="str">
        <f>IF($L887="","",IF(COUNTIF(LISTS!$A$2:$A$200,$H887)=0,"NEW",""))</f>
        <v/>
      </c>
    </row>
    <row r="888" spans="30:33" x14ac:dyDescent="0.25">
      <c r="AD888" s="2" t="str">
        <f t="shared" si="39"/>
        <v/>
      </c>
      <c r="AE888" s="2" t="str">
        <f t="shared" si="40"/>
        <v/>
      </c>
      <c r="AF888" s="2" t="str">
        <f t="shared" si="41"/>
        <v/>
      </c>
      <c r="AG888" s="2" t="str">
        <f>IF($L888="","",IF(COUNTIF(LISTS!$A$2:$A$200,$H888)=0,"NEW",""))</f>
        <v/>
      </c>
    </row>
    <row r="889" spans="30:33" x14ac:dyDescent="0.25">
      <c r="AD889" s="2" t="str">
        <f t="shared" si="39"/>
        <v/>
      </c>
      <c r="AE889" s="2" t="str">
        <f t="shared" si="40"/>
        <v/>
      </c>
      <c r="AF889" s="2" t="str">
        <f t="shared" si="41"/>
        <v/>
      </c>
      <c r="AG889" s="2" t="str">
        <f>IF($L889="","",IF(COUNTIF(LISTS!$A$2:$A$200,$H889)=0,"NEW",""))</f>
        <v/>
      </c>
    </row>
    <row r="890" spans="30:33" x14ac:dyDescent="0.25">
      <c r="AD890" s="2" t="str">
        <f t="shared" si="39"/>
        <v/>
      </c>
      <c r="AE890" s="2" t="str">
        <f t="shared" si="40"/>
        <v/>
      </c>
      <c r="AF890" s="2" t="str">
        <f t="shared" si="41"/>
        <v/>
      </c>
      <c r="AG890" s="2" t="str">
        <f>IF($L890="","",IF(COUNTIF(LISTS!$A$2:$A$200,$H890)=0,"NEW",""))</f>
        <v/>
      </c>
    </row>
    <row r="891" spans="30:33" x14ac:dyDescent="0.25">
      <c r="AD891" s="2" t="str">
        <f t="shared" si="39"/>
        <v/>
      </c>
      <c r="AE891" s="2" t="str">
        <f t="shared" si="40"/>
        <v/>
      </c>
      <c r="AF891" s="2" t="str">
        <f t="shared" si="41"/>
        <v/>
      </c>
      <c r="AG891" s="2" t="str">
        <f>IF($L891="","",IF(COUNTIF(LISTS!$A$2:$A$200,$H891)=0,"NEW",""))</f>
        <v/>
      </c>
    </row>
    <row r="892" spans="30:33" x14ac:dyDescent="0.25">
      <c r="AD892" s="2" t="str">
        <f t="shared" si="39"/>
        <v/>
      </c>
      <c r="AE892" s="2" t="str">
        <f t="shared" si="40"/>
        <v/>
      </c>
      <c r="AF892" s="2" t="str">
        <f t="shared" si="41"/>
        <v/>
      </c>
      <c r="AG892" s="2" t="str">
        <f>IF($L892="","",IF(COUNTIF(LISTS!$A$2:$A$200,$H892)=0,"NEW",""))</f>
        <v/>
      </c>
    </row>
    <row r="893" spans="30:33" x14ac:dyDescent="0.25">
      <c r="AD893" s="2" t="str">
        <f t="shared" si="39"/>
        <v/>
      </c>
      <c r="AE893" s="2" t="str">
        <f t="shared" si="40"/>
        <v/>
      </c>
      <c r="AF893" s="2" t="str">
        <f t="shared" si="41"/>
        <v/>
      </c>
      <c r="AG893" s="2" t="str">
        <f>IF($L893="","",IF(COUNTIF(LISTS!$A$2:$A$200,$H893)=0,"NEW",""))</f>
        <v/>
      </c>
    </row>
    <row r="894" spans="30:33" x14ac:dyDescent="0.25">
      <c r="AD894" s="2" t="str">
        <f t="shared" si="39"/>
        <v/>
      </c>
      <c r="AE894" s="2" t="str">
        <f t="shared" si="40"/>
        <v/>
      </c>
      <c r="AF894" s="2" t="str">
        <f t="shared" si="41"/>
        <v/>
      </c>
      <c r="AG894" s="2" t="str">
        <f>IF($L894="","",IF(COUNTIF(LISTS!$A$2:$A$200,$H894)=0,"NEW",""))</f>
        <v/>
      </c>
    </row>
    <row r="895" spans="30:33" x14ac:dyDescent="0.25">
      <c r="AD895" s="2" t="str">
        <f t="shared" si="39"/>
        <v/>
      </c>
      <c r="AE895" s="2" t="str">
        <f t="shared" si="40"/>
        <v/>
      </c>
      <c r="AF895" s="2" t="str">
        <f t="shared" si="41"/>
        <v/>
      </c>
      <c r="AG895" s="2" t="str">
        <f>IF($L895="","",IF(COUNTIF(LISTS!$A$2:$A$200,$H895)=0,"NEW",""))</f>
        <v/>
      </c>
    </row>
    <row r="896" spans="30:33" x14ac:dyDescent="0.25">
      <c r="AD896" s="2" t="str">
        <f t="shared" si="39"/>
        <v/>
      </c>
      <c r="AE896" s="2" t="str">
        <f t="shared" si="40"/>
        <v/>
      </c>
      <c r="AF896" s="2" t="str">
        <f t="shared" si="41"/>
        <v/>
      </c>
      <c r="AG896" s="2" t="str">
        <f>IF($L896="","",IF(COUNTIF(LISTS!$A$2:$A$200,$H896)=0,"NEW",""))</f>
        <v/>
      </c>
    </row>
    <row r="897" spans="30:33" x14ac:dyDescent="0.25">
      <c r="AD897" s="2" t="str">
        <f t="shared" si="39"/>
        <v/>
      </c>
      <c r="AE897" s="2" t="str">
        <f t="shared" si="40"/>
        <v/>
      </c>
      <c r="AF897" s="2" t="str">
        <f t="shared" si="41"/>
        <v/>
      </c>
      <c r="AG897" s="2" t="str">
        <f>IF($L897="","",IF(COUNTIF(LISTS!$A$2:$A$200,$H897)=0,"NEW",""))</f>
        <v/>
      </c>
    </row>
    <row r="898" spans="30:33" x14ac:dyDescent="0.25">
      <c r="AD898" s="2" t="str">
        <f t="shared" ref="AD898:AD961" si="42">IF($L898="","",IF(ISNUMBER(SEARCH("OFF ROAD",$H898)),"OFF",IF(ISNUMBER(SEARCH("ON ROAD",$H898)),"ON","")))</f>
        <v/>
      </c>
      <c r="AE898" s="2" t="str">
        <f t="shared" ref="AE898:AE961" si="43">IF($AD898="ON",""&amp;$L898,"")</f>
        <v/>
      </c>
      <c r="AF898" s="2" t="str">
        <f t="shared" ref="AF898:AF961" si="44">IF($L898="","",IF($J898&lt;&gt;"","Y",""))</f>
        <v/>
      </c>
      <c r="AG898" s="2" t="str">
        <f>IF($L898="","",IF(COUNTIF(LISTS!$A$2:$A$200,$H898)=0,"NEW",""))</f>
        <v/>
      </c>
    </row>
    <row r="899" spans="30:33" x14ac:dyDescent="0.25">
      <c r="AD899" s="2" t="str">
        <f t="shared" si="42"/>
        <v/>
      </c>
      <c r="AE899" s="2" t="str">
        <f t="shared" si="43"/>
        <v/>
      </c>
      <c r="AF899" s="2" t="str">
        <f t="shared" si="44"/>
        <v/>
      </c>
      <c r="AG899" s="2" t="str">
        <f>IF($L899="","",IF(COUNTIF(LISTS!$A$2:$A$200,$H899)=0,"NEW",""))</f>
        <v/>
      </c>
    </row>
    <row r="900" spans="30:33" x14ac:dyDescent="0.25">
      <c r="AD900" s="2" t="str">
        <f t="shared" si="42"/>
        <v/>
      </c>
      <c r="AE900" s="2" t="str">
        <f t="shared" si="43"/>
        <v/>
      </c>
      <c r="AF900" s="2" t="str">
        <f t="shared" si="44"/>
        <v/>
      </c>
      <c r="AG900" s="2" t="str">
        <f>IF($L900="","",IF(COUNTIF(LISTS!$A$2:$A$200,$H900)=0,"NEW",""))</f>
        <v/>
      </c>
    </row>
    <row r="901" spans="30:33" x14ac:dyDescent="0.25">
      <c r="AD901" s="2" t="str">
        <f t="shared" si="42"/>
        <v/>
      </c>
      <c r="AE901" s="2" t="str">
        <f t="shared" si="43"/>
        <v/>
      </c>
      <c r="AF901" s="2" t="str">
        <f t="shared" si="44"/>
        <v/>
      </c>
      <c r="AG901" s="2" t="str">
        <f>IF($L901="","",IF(COUNTIF(LISTS!$A$2:$A$200,$H901)=0,"NEW",""))</f>
        <v/>
      </c>
    </row>
    <row r="902" spans="30:33" x14ac:dyDescent="0.25">
      <c r="AD902" s="2" t="str">
        <f t="shared" si="42"/>
        <v/>
      </c>
      <c r="AE902" s="2" t="str">
        <f t="shared" si="43"/>
        <v/>
      </c>
      <c r="AF902" s="2" t="str">
        <f t="shared" si="44"/>
        <v/>
      </c>
      <c r="AG902" s="2" t="str">
        <f>IF($L902="","",IF(COUNTIF(LISTS!$A$2:$A$200,$H902)=0,"NEW",""))</f>
        <v/>
      </c>
    </row>
    <row r="903" spans="30:33" x14ac:dyDescent="0.25">
      <c r="AD903" s="2" t="str">
        <f t="shared" si="42"/>
        <v/>
      </c>
      <c r="AE903" s="2" t="str">
        <f t="shared" si="43"/>
        <v/>
      </c>
      <c r="AF903" s="2" t="str">
        <f t="shared" si="44"/>
        <v/>
      </c>
      <c r="AG903" s="2" t="str">
        <f>IF($L903="","",IF(COUNTIF(LISTS!$A$2:$A$200,$H903)=0,"NEW",""))</f>
        <v/>
      </c>
    </row>
    <row r="904" spans="30:33" x14ac:dyDescent="0.25">
      <c r="AD904" s="2" t="str">
        <f t="shared" si="42"/>
        <v/>
      </c>
      <c r="AE904" s="2" t="str">
        <f t="shared" si="43"/>
        <v/>
      </c>
      <c r="AF904" s="2" t="str">
        <f t="shared" si="44"/>
        <v/>
      </c>
      <c r="AG904" s="2" t="str">
        <f>IF($L904="","",IF(COUNTIF(LISTS!$A$2:$A$200,$H904)=0,"NEW",""))</f>
        <v/>
      </c>
    </row>
    <row r="905" spans="30:33" x14ac:dyDescent="0.25">
      <c r="AD905" s="2" t="str">
        <f t="shared" si="42"/>
        <v/>
      </c>
      <c r="AE905" s="2" t="str">
        <f t="shared" si="43"/>
        <v/>
      </c>
      <c r="AF905" s="2" t="str">
        <f t="shared" si="44"/>
        <v/>
      </c>
      <c r="AG905" s="2" t="str">
        <f>IF($L905="","",IF(COUNTIF(LISTS!$A$2:$A$200,$H905)=0,"NEW",""))</f>
        <v/>
      </c>
    </row>
    <row r="906" spans="30:33" x14ac:dyDescent="0.25">
      <c r="AD906" s="2" t="str">
        <f t="shared" si="42"/>
        <v/>
      </c>
      <c r="AE906" s="2" t="str">
        <f t="shared" si="43"/>
        <v/>
      </c>
      <c r="AF906" s="2" t="str">
        <f t="shared" si="44"/>
        <v/>
      </c>
      <c r="AG906" s="2" t="str">
        <f>IF($L906="","",IF(COUNTIF(LISTS!$A$2:$A$200,$H906)=0,"NEW",""))</f>
        <v/>
      </c>
    </row>
    <row r="907" spans="30:33" x14ac:dyDescent="0.25">
      <c r="AD907" s="2" t="str">
        <f t="shared" si="42"/>
        <v/>
      </c>
      <c r="AE907" s="2" t="str">
        <f t="shared" si="43"/>
        <v/>
      </c>
      <c r="AF907" s="2" t="str">
        <f t="shared" si="44"/>
        <v/>
      </c>
      <c r="AG907" s="2" t="str">
        <f>IF($L907="","",IF(COUNTIF(LISTS!$A$2:$A$200,$H907)=0,"NEW",""))</f>
        <v/>
      </c>
    </row>
    <row r="908" spans="30:33" x14ac:dyDescent="0.25">
      <c r="AD908" s="2" t="str">
        <f t="shared" si="42"/>
        <v/>
      </c>
      <c r="AE908" s="2" t="str">
        <f t="shared" si="43"/>
        <v/>
      </c>
      <c r="AF908" s="2" t="str">
        <f t="shared" si="44"/>
        <v/>
      </c>
      <c r="AG908" s="2" t="str">
        <f>IF($L908="","",IF(COUNTIF(LISTS!$A$2:$A$200,$H908)=0,"NEW",""))</f>
        <v/>
      </c>
    </row>
    <row r="909" spans="30:33" x14ac:dyDescent="0.25">
      <c r="AD909" s="2" t="str">
        <f t="shared" si="42"/>
        <v/>
      </c>
      <c r="AE909" s="2" t="str">
        <f t="shared" si="43"/>
        <v/>
      </c>
      <c r="AF909" s="2" t="str">
        <f t="shared" si="44"/>
        <v/>
      </c>
      <c r="AG909" s="2" t="str">
        <f>IF($L909="","",IF(COUNTIF(LISTS!$A$2:$A$200,$H909)=0,"NEW",""))</f>
        <v/>
      </c>
    </row>
    <row r="910" spans="30:33" x14ac:dyDescent="0.25">
      <c r="AD910" s="2" t="str">
        <f t="shared" si="42"/>
        <v/>
      </c>
      <c r="AE910" s="2" t="str">
        <f t="shared" si="43"/>
        <v/>
      </c>
      <c r="AF910" s="2" t="str">
        <f t="shared" si="44"/>
        <v/>
      </c>
      <c r="AG910" s="2" t="str">
        <f>IF($L910="","",IF(COUNTIF(LISTS!$A$2:$A$200,$H910)=0,"NEW",""))</f>
        <v/>
      </c>
    </row>
    <row r="911" spans="30:33" x14ac:dyDescent="0.25">
      <c r="AD911" s="2" t="str">
        <f t="shared" si="42"/>
        <v/>
      </c>
      <c r="AE911" s="2" t="str">
        <f t="shared" si="43"/>
        <v/>
      </c>
      <c r="AF911" s="2" t="str">
        <f t="shared" si="44"/>
        <v/>
      </c>
      <c r="AG911" s="2" t="str">
        <f>IF($L911="","",IF(COUNTIF(LISTS!$A$2:$A$200,$H911)=0,"NEW",""))</f>
        <v/>
      </c>
    </row>
    <row r="912" spans="30:33" x14ac:dyDescent="0.25">
      <c r="AD912" s="2" t="str">
        <f t="shared" si="42"/>
        <v/>
      </c>
      <c r="AE912" s="2" t="str">
        <f t="shared" si="43"/>
        <v/>
      </c>
      <c r="AF912" s="2" t="str">
        <f t="shared" si="44"/>
        <v/>
      </c>
      <c r="AG912" s="2" t="str">
        <f>IF($L912="","",IF(COUNTIF(LISTS!$A$2:$A$200,$H912)=0,"NEW",""))</f>
        <v/>
      </c>
    </row>
    <row r="913" spans="30:33" x14ac:dyDescent="0.25">
      <c r="AD913" s="2" t="str">
        <f t="shared" si="42"/>
        <v/>
      </c>
      <c r="AE913" s="2" t="str">
        <f t="shared" si="43"/>
        <v/>
      </c>
      <c r="AF913" s="2" t="str">
        <f t="shared" si="44"/>
        <v/>
      </c>
      <c r="AG913" s="2" t="str">
        <f>IF($L913="","",IF(COUNTIF(LISTS!$A$2:$A$200,$H913)=0,"NEW",""))</f>
        <v/>
      </c>
    </row>
    <row r="914" spans="30:33" x14ac:dyDescent="0.25">
      <c r="AD914" s="2" t="str">
        <f t="shared" si="42"/>
        <v/>
      </c>
      <c r="AE914" s="2" t="str">
        <f t="shared" si="43"/>
        <v/>
      </c>
      <c r="AF914" s="2" t="str">
        <f t="shared" si="44"/>
        <v/>
      </c>
      <c r="AG914" s="2" t="str">
        <f>IF($L914="","",IF(COUNTIF(LISTS!$A$2:$A$200,$H914)=0,"NEW",""))</f>
        <v/>
      </c>
    </row>
    <row r="915" spans="30:33" x14ac:dyDescent="0.25">
      <c r="AD915" s="2" t="str">
        <f t="shared" si="42"/>
        <v/>
      </c>
      <c r="AE915" s="2" t="str">
        <f t="shared" si="43"/>
        <v/>
      </c>
      <c r="AF915" s="2" t="str">
        <f t="shared" si="44"/>
        <v/>
      </c>
      <c r="AG915" s="2" t="str">
        <f>IF($L915="","",IF(COUNTIF(LISTS!$A$2:$A$200,$H915)=0,"NEW",""))</f>
        <v/>
      </c>
    </row>
    <row r="916" spans="30:33" x14ac:dyDescent="0.25">
      <c r="AD916" s="2" t="str">
        <f t="shared" si="42"/>
        <v/>
      </c>
      <c r="AE916" s="2" t="str">
        <f t="shared" si="43"/>
        <v/>
      </c>
      <c r="AF916" s="2" t="str">
        <f t="shared" si="44"/>
        <v/>
      </c>
      <c r="AG916" s="2" t="str">
        <f>IF($L916="","",IF(COUNTIF(LISTS!$A$2:$A$200,$H916)=0,"NEW",""))</f>
        <v/>
      </c>
    </row>
    <row r="917" spans="30:33" x14ac:dyDescent="0.25">
      <c r="AD917" s="2" t="str">
        <f t="shared" si="42"/>
        <v/>
      </c>
      <c r="AE917" s="2" t="str">
        <f t="shared" si="43"/>
        <v/>
      </c>
      <c r="AF917" s="2" t="str">
        <f t="shared" si="44"/>
        <v/>
      </c>
      <c r="AG917" s="2" t="str">
        <f>IF($L917="","",IF(COUNTIF(LISTS!$A$2:$A$200,$H917)=0,"NEW",""))</f>
        <v/>
      </c>
    </row>
    <row r="918" spans="30:33" x14ac:dyDescent="0.25">
      <c r="AD918" s="2" t="str">
        <f t="shared" si="42"/>
        <v/>
      </c>
      <c r="AE918" s="2" t="str">
        <f t="shared" si="43"/>
        <v/>
      </c>
      <c r="AF918" s="2" t="str">
        <f t="shared" si="44"/>
        <v/>
      </c>
      <c r="AG918" s="2" t="str">
        <f>IF($L918="","",IF(COUNTIF(LISTS!$A$2:$A$200,$H918)=0,"NEW",""))</f>
        <v/>
      </c>
    </row>
    <row r="919" spans="30:33" x14ac:dyDescent="0.25">
      <c r="AD919" s="2" t="str">
        <f t="shared" si="42"/>
        <v/>
      </c>
      <c r="AE919" s="2" t="str">
        <f t="shared" si="43"/>
        <v/>
      </c>
      <c r="AF919" s="2" t="str">
        <f t="shared" si="44"/>
        <v/>
      </c>
      <c r="AG919" s="2" t="str">
        <f>IF($L919="","",IF(COUNTIF(LISTS!$A$2:$A$200,$H919)=0,"NEW",""))</f>
        <v/>
      </c>
    </row>
    <row r="920" spans="30:33" x14ac:dyDescent="0.25">
      <c r="AD920" s="2" t="str">
        <f t="shared" si="42"/>
        <v/>
      </c>
      <c r="AE920" s="2" t="str">
        <f t="shared" si="43"/>
        <v/>
      </c>
      <c r="AF920" s="2" t="str">
        <f t="shared" si="44"/>
        <v/>
      </c>
      <c r="AG920" s="2" t="str">
        <f>IF($L920="","",IF(COUNTIF(LISTS!$A$2:$A$200,$H920)=0,"NEW",""))</f>
        <v/>
      </c>
    </row>
    <row r="921" spans="30:33" x14ac:dyDescent="0.25">
      <c r="AD921" s="2" t="str">
        <f t="shared" si="42"/>
        <v/>
      </c>
      <c r="AE921" s="2" t="str">
        <f t="shared" si="43"/>
        <v/>
      </c>
      <c r="AF921" s="2" t="str">
        <f t="shared" si="44"/>
        <v/>
      </c>
      <c r="AG921" s="2" t="str">
        <f>IF($L921="","",IF(COUNTIF(LISTS!$A$2:$A$200,$H921)=0,"NEW",""))</f>
        <v/>
      </c>
    </row>
    <row r="922" spans="30:33" x14ac:dyDescent="0.25">
      <c r="AD922" s="2" t="str">
        <f t="shared" si="42"/>
        <v/>
      </c>
      <c r="AE922" s="2" t="str">
        <f t="shared" si="43"/>
        <v/>
      </c>
      <c r="AF922" s="2" t="str">
        <f t="shared" si="44"/>
        <v/>
      </c>
      <c r="AG922" s="2" t="str">
        <f>IF($L922="","",IF(COUNTIF(LISTS!$A$2:$A$200,$H922)=0,"NEW",""))</f>
        <v/>
      </c>
    </row>
    <row r="923" spans="30:33" x14ac:dyDescent="0.25">
      <c r="AD923" s="2" t="str">
        <f t="shared" si="42"/>
        <v/>
      </c>
      <c r="AE923" s="2" t="str">
        <f t="shared" si="43"/>
        <v/>
      </c>
      <c r="AF923" s="2" t="str">
        <f t="shared" si="44"/>
        <v/>
      </c>
      <c r="AG923" s="2" t="str">
        <f>IF($L923="","",IF(COUNTIF(LISTS!$A$2:$A$200,$H923)=0,"NEW",""))</f>
        <v/>
      </c>
    </row>
    <row r="924" spans="30:33" x14ac:dyDescent="0.25">
      <c r="AD924" s="2" t="str">
        <f t="shared" si="42"/>
        <v/>
      </c>
      <c r="AE924" s="2" t="str">
        <f t="shared" si="43"/>
        <v/>
      </c>
      <c r="AF924" s="2" t="str">
        <f t="shared" si="44"/>
        <v/>
      </c>
      <c r="AG924" s="2" t="str">
        <f>IF($L924="","",IF(COUNTIF(LISTS!$A$2:$A$200,$H924)=0,"NEW",""))</f>
        <v/>
      </c>
    </row>
    <row r="925" spans="30:33" x14ac:dyDescent="0.25">
      <c r="AD925" s="2" t="str">
        <f t="shared" si="42"/>
        <v/>
      </c>
      <c r="AE925" s="2" t="str">
        <f t="shared" si="43"/>
        <v/>
      </c>
      <c r="AF925" s="2" t="str">
        <f t="shared" si="44"/>
        <v/>
      </c>
      <c r="AG925" s="2" t="str">
        <f>IF($L925="","",IF(COUNTIF(LISTS!$A$2:$A$200,$H925)=0,"NEW",""))</f>
        <v/>
      </c>
    </row>
    <row r="926" spans="30:33" x14ac:dyDescent="0.25">
      <c r="AD926" s="2" t="str">
        <f t="shared" si="42"/>
        <v/>
      </c>
      <c r="AE926" s="2" t="str">
        <f t="shared" si="43"/>
        <v/>
      </c>
      <c r="AF926" s="2" t="str">
        <f t="shared" si="44"/>
        <v/>
      </c>
      <c r="AG926" s="2" t="str">
        <f>IF($L926="","",IF(COUNTIF(LISTS!$A$2:$A$200,$H926)=0,"NEW",""))</f>
        <v/>
      </c>
    </row>
    <row r="927" spans="30:33" x14ac:dyDescent="0.25">
      <c r="AD927" s="2" t="str">
        <f t="shared" si="42"/>
        <v/>
      </c>
      <c r="AE927" s="2" t="str">
        <f t="shared" si="43"/>
        <v/>
      </c>
      <c r="AF927" s="2" t="str">
        <f t="shared" si="44"/>
        <v/>
      </c>
      <c r="AG927" s="2" t="str">
        <f>IF($L927="","",IF(COUNTIF(LISTS!$A$2:$A$200,$H927)=0,"NEW",""))</f>
        <v/>
      </c>
    </row>
    <row r="928" spans="30:33" x14ac:dyDescent="0.25">
      <c r="AD928" s="2" t="str">
        <f t="shared" si="42"/>
        <v/>
      </c>
      <c r="AE928" s="2" t="str">
        <f t="shared" si="43"/>
        <v/>
      </c>
      <c r="AF928" s="2" t="str">
        <f t="shared" si="44"/>
        <v/>
      </c>
      <c r="AG928" s="2" t="str">
        <f>IF($L928="","",IF(COUNTIF(LISTS!$A$2:$A$200,$H928)=0,"NEW",""))</f>
        <v/>
      </c>
    </row>
    <row r="929" spans="30:33" x14ac:dyDescent="0.25">
      <c r="AD929" s="2" t="str">
        <f t="shared" si="42"/>
        <v/>
      </c>
      <c r="AE929" s="2" t="str">
        <f t="shared" si="43"/>
        <v/>
      </c>
      <c r="AF929" s="2" t="str">
        <f t="shared" si="44"/>
        <v/>
      </c>
      <c r="AG929" s="2" t="str">
        <f>IF($L929="","",IF(COUNTIF(LISTS!$A$2:$A$200,$H929)=0,"NEW",""))</f>
        <v/>
      </c>
    </row>
    <row r="930" spans="30:33" x14ac:dyDescent="0.25">
      <c r="AD930" s="2" t="str">
        <f t="shared" si="42"/>
        <v/>
      </c>
      <c r="AE930" s="2" t="str">
        <f t="shared" si="43"/>
        <v/>
      </c>
      <c r="AF930" s="2" t="str">
        <f t="shared" si="44"/>
        <v/>
      </c>
      <c r="AG930" s="2" t="str">
        <f>IF($L930="","",IF(COUNTIF(LISTS!$A$2:$A$200,$H930)=0,"NEW",""))</f>
        <v/>
      </c>
    </row>
    <row r="931" spans="30:33" x14ac:dyDescent="0.25">
      <c r="AD931" s="2" t="str">
        <f t="shared" si="42"/>
        <v/>
      </c>
      <c r="AE931" s="2" t="str">
        <f t="shared" si="43"/>
        <v/>
      </c>
      <c r="AF931" s="2" t="str">
        <f t="shared" si="44"/>
        <v/>
      </c>
      <c r="AG931" s="2" t="str">
        <f>IF($L931="","",IF(COUNTIF(LISTS!$A$2:$A$200,$H931)=0,"NEW",""))</f>
        <v/>
      </c>
    </row>
    <row r="932" spans="30:33" x14ac:dyDescent="0.25">
      <c r="AD932" s="2" t="str">
        <f t="shared" si="42"/>
        <v/>
      </c>
      <c r="AE932" s="2" t="str">
        <f t="shared" si="43"/>
        <v/>
      </c>
      <c r="AF932" s="2" t="str">
        <f t="shared" si="44"/>
        <v/>
      </c>
      <c r="AG932" s="2" t="str">
        <f>IF($L932="","",IF(COUNTIF(LISTS!$A$2:$A$200,$H932)=0,"NEW",""))</f>
        <v/>
      </c>
    </row>
    <row r="933" spans="30:33" x14ac:dyDescent="0.25">
      <c r="AD933" s="2" t="str">
        <f t="shared" si="42"/>
        <v/>
      </c>
      <c r="AE933" s="2" t="str">
        <f t="shared" si="43"/>
        <v/>
      </c>
      <c r="AF933" s="2" t="str">
        <f t="shared" si="44"/>
        <v/>
      </c>
      <c r="AG933" s="2" t="str">
        <f>IF($L933="","",IF(COUNTIF(LISTS!$A$2:$A$200,$H933)=0,"NEW",""))</f>
        <v/>
      </c>
    </row>
    <row r="934" spans="30:33" x14ac:dyDescent="0.25">
      <c r="AD934" s="2" t="str">
        <f t="shared" si="42"/>
        <v/>
      </c>
      <c r="AE934" s="2" t="str">
        <f t="shared" si="43"/>
        <v/>
      </c>
      <c r="AF934" s="2" t="str">
        <f t="shared" si="44"/>
        <v/>
      </c>
      <c r="AG934" s="2" t="str">
        <f>IF($L934="","",IF(COUNTIF(LISTS!$A$2:$A$200,$H934)=0,"NEW",""))</f>
        <v/>
      </c>
    </row>
    <row r="935" spans="30:33" x14ac:dyDescent="0.25">
      <c r="AD935" s="2" t="str">
        <f t="shared" si="42"/>
        <v/>
      </c>
      <c r="AE935" s="2" t="str">
        <f t="shared" si="43"/>
        <v/>
      </c>
      <c r="AF935" s="2" t="str">
        <f t="shared" si="44"/>
        <v/>
      </c>
      <c r="AG935" s="2" t="str">
        <f>IF($L935="","",IF(COUNTIF(LISTS!$A$2:$A$200,$H935)=0,"NEW",""))</f>
        <v/>
      </c>
    </row>
    <row r="936" spans="30:33" x14ac:dyDescent="0.25">
      <c r="AD936" s="2" t="str">
        <f t="shared" si="42"/>
        <v/>
      </c>
      <c r="AE936" s="2" t="str">
        <f t="shared" si="43"/>
        <v/>
      </c>
      <c r="AF936" s="2" t="str">
        <f t="shared" si="44"/>
        <v/>
      </c>
      <c r="AG936" s="2" t="str">
        <f>IF($L936="","",IF(COUNTIF(LISTS!$A$2:$A$200,$H936)=0,"NEW",""))</f>
        <v/>
      </c>
    </row>
    <row r="937" spans="30:33" x14ac:dyDescent="0.25">
      <c r="AD937" s="2" t="str">
        <f t="shared" si="42"/>
        <v/>
      </c>
      <c r="AE937" s="2" t="str">
        <f t="shared" si="43"/>
        <v/>
      </c>
      <c r="AF937" s="2" t="str">
        <f t="shared" si="44"/>
        <v/>
      </c>
      <c r="AG937" s="2" t="str">
        <f>IF($L937="","",IF(COUNTIF(LISTS!$A$2:$A$200,$H937)=0,"NEW",""))</f>
        <v/>
      </c>
    </row>
    <row r="938" spans="30:33" x14ac:dyDescent="0.25">
      <c r="AD938" s="2" t="str">
        <f t="shared" si="42"/>
        <v/>
      </c>
      <c r="AE938" s="2" t="str">
        <f t="shared" si="43"/>
        <v/>
      </c>
      <c r="AF938" s="2" t="str">
        <f t="shared" si="44"/>
        <v/>
      </c>
      <c r="AG938" s="2" t="str">
        <f>IF($L938="","",IF(COUNTIF(LISTS!$A$2:$A$200,$H938)=0,"NEW",""))</f>
        <v/>
      </c>
    </row>
    <row r="939" spans="30:33" x14ac:dyDescent="0.25">
      <c r="AD939" s="2" t="str">
        <f t="shared" si="42"/>
        <v/>
      </c>
      <c r="AE939" s="2" t="str">
        <f t="shared" si="43"/>
        <v/>
      </c>
      <c r="AF939" s="2" t="str">
        <f t="shared" si="44"/>
        <v/>
      </c>
      <c r="AG939" s="2" t="str">
        <f>IF($L939="","",IF(COUNTIF(LISTS!$A$2:$A$200,$H939)=0,"NEW",""))</f>
        <v/>
      </c>
    </row>
    <row r="940" spans="30:33" x14ac:dyDescent="0.25">
      <c r="AD940" s="2" t="str">
        <f t="shared" si="42"/>
        <v/>
      </c>
      <c r="AE940" s="2" t="str">
        <f t="shared" si="43"/>
        <v/>
      </c>
      <c r="AF940" s="2" t="str">
        <f t="shared" si="44"/>
        <v/>
      </c>
      <c r="AG940" s="2" t="str">
        <f>IF($L940="","",IF(COUNTIF(LISTS!$A$2:$A$200,$H940)=0,"NEW",""))</f>
        <v/>
      </c>
    </row>
    <row r="941" spans="30:33" x14ac:dyDescent="0.25">
      <c r="AD941" s="2" t="str">
        <f t="shared" si="42"/>
        <v/>
      </c>
      <c r="AE941" s="2" t="str">
        <f t="shared" si="43"/>
        <v/>
      </c>
      <c r="AF941" s="2" t="str">
        <f t="shared" si="44"/>
        <v/>
      </c>
      <c r="AG941" s="2" t="str">
        <f>IF($L941="","",IF(COUNTIF(LISTS!$A$2:$A$200,$H941)=0,"NEW",""))</f>
        <v/>
      </c>
    </row>
    <row r="942" spans="30:33" x14ac:dyDescent="0.25">
      <c r="AD942" s="2" t="str">
        <f t="shared" si="42"/>
        <v/>
      </c>
      <c r="AE942" s="2" t="str">
        <f t="shared" si="43"/>
        <v/>
      </c>
      <c r="AF942" s="2" t="str">
        <f t="shared" si="44"/>
        <v/>
      </c>
      <c r="AG942" s="2" t="str">
        <f>IF($L942="","",IF(COUNTIF(LISTS!$A$2:$A$200,$H942)=0,"NEW",""))</f>
        <v/>
      </c>
    </row>
    <row r="943" spans="30:33" x14ac:dyDescent="0.25">
      <c r="AD943" s="2" t="str">
        <f t="shared" si="42"/>
        <v/>
      </c>
      <c r="AE943" s="2" t="str">
        <f t="shared" si="43"/>
        <v/>
      </c>
      <c r="AF943" s="2" t="str">
        <f t="shared" si="44"/>
        <v/>
      </c>
      <c r="AG943" s="2" t="str">
        <f>IF($L943="","",IF(COUNTIF(LISTS!$A$2:$A$200,$H943)=0,"NEW",""))</f>
        <v/>
      </c>
    </row>
    <row r="944" spans="30:33" x14ac:dyDescent="0.25">
      <c r="AD944" s="2" t="str">
        <f t="shared" si="42"/>
        <v/>
      </c>
      <c r="AE944" s="2" t="str">
        <f t="shared" si="43"/>
        <v/>
      </c>
      <c r="AF944" s="2" t="str">
        <f t="shared" si="44"/>
        <v/>
      </c>
      <c r="AG944" s="2" t="str">
        <f>IF($L944="","",IF(COUNTIF(LISTS!$A$2:$A$200,$H944)=0,"NEW",""))</f>
        <v/>
      </c>
    </row>
    <row r="945" spans="30:33" x14ac:dyDescent="0.25">
      <c r="AD945" s="2" t="str">
        <f t="shared" si="42"/>
        <v/>
      </c>
      <c r="AE945" s="2" t="str">
        <f t="shared" si="43"/>
        <v/>
      </c>
      <c r="AF945" s="2" t="str">
        <f t="shared" si="44"/>
        <v/>
      </c>
      <c r="AG945" s="2" t="str">
        <f>IF($L945="","",IF(COUNTIF(LISTS!$A$2:$A$200,$H945)=0,"NEW",""))</f>
        <v/>
      </c>
    </row>
    <row r="946" spans="30:33" x14ac:dyDescent="0.25">
      <c r="AD946" s="2" t="str">
        <f t="shared" si="42"/>
        <v/>
      </c>
      <c r="AE946" s="2" t="str">
        <f t="shared" si="43"/>
        <v/>
      </c>
      <c r="AF946" s="2" t="str">
        <f t="shared" si="44"/>
        <v/>
      </c>
      <c r="AG946" s="2" t="str">
        <f>IF($L946="","",IF(COUNTIF(LISTS!$A$2:$A$200,$H946)=0,"NEW",""))</f>
        <v/>
      </c>
    </row>
    <row r="947" spans="30:33" x14ac:dyDescent="0.25">
      <c r="AD947" s="2" t="str">
        <f t="shared" si="42"/>
        <v/>
      </c>
      <c r="AE947" s="2" t="str">
        <f t="shared" si="43"/>
        <v/>
      </c>
      <c r="AF947" s="2" t="str">
        <f t="shared" si="44"/>
        <v/>
      </c>
      <c r="AG947" s="2" t="str">
        <f>IF($L947="","",IF(COUNTIF(LISTS!$A$2:$A$200,$H947)=0,"NEW",""))</f>
        <v/>
      </c>
    </row>
    <row r="948" spans="30:33" x14ac:dyDescent="0.25">
      <c r="AD948" s="2" t="str">
        <f t="shared" si="42"/>
        <v/>
      </c>
      <c r="AE948" s="2" t="str">
        <f t="shared" si="43"/>
        <v/>
      </c>
      <c r="AF948" s="2" t="str">
        <f t="shared" si="44"/>
        <v/>
      </c>
      <c r="AG948" s="2" t="str">
        <f>IF($L948="","",IF(COUNTIF(LISTS!$A$2:$A$200,$H948)=0,"NEW",""))</f>
        <v/>
      </c>
    </row>
    <row r="949" spans="30:33" x14ac:dyDescent="0.25">
      <c r="AD949" s="2" t="str">
        <f t="shared" si="42"/>
        <v/>
      </c>
      <c r="AE949" s="2" t="str">
        <f t="shared" si="43"/>
        <v/>
      </c>
      <c r="AF949" s="2" t="str">
        <f t="shared" si="44"/>
        <v/>
      </c>
      <c r="AG949" s="2" t="str">
        <f>IF($L949="","",IF(COUNTIF(LISTS!$A$2:$A$200,$H949)=0,"NEW",""))</f>
        <v/>
      </c>
    </row>
    <row r="950" spans="30:33" x14ac:dyDescent="0.25">
      <c r="AD950" s="2" t="str">
        <f t="shared" si="42"/>
        <v/>
      </c>
      <c r="AE950" s="2" t="str">
        <f t="shared" si="43"/>
        <v/>
      </c>
      <c r="AF950" s="2" t="str">
        <f t="shared" si="44"/>
        <v/>
      </c>
      <c r="AG950" s="2" t="str">
        <f>IF($L950="","",IF(COUNTIF(LISTS!$A$2:$A$200,$H950)=0,"NEW",""))</f>
        <v/>
      </c>
    </row>
    <row r="951" spans="30:33" x14ac:dyDescent="0.25">
      <c r="AD951" s="2" t="str">
        <f t="shared" si="42"/>
        <v/>
      </c>
      <c r="AE951" s="2" t="str">
        <f t="shared" si="43"/>
        <v/>
      </c>
      <c r="AF951" s="2" t="str">
        <f t="shared" si="44"/>
        <v/>
      </c>
      <c r="AG951" s="2" t="str">
        <f>IF($L951="","",IF(COUNTIF(LISTS!$A$2:$A$200,$H951)=0,"NEW",""))</f>
        <v/>
      </c>
    </row>
    <row r="952" spans="30:33" x14ac:dyDescent="0.25">
      <c r="AD952" s="2" t="str">
        <f t="shared" si="42"/>
        <v/>
      </c>
      <c r="AE952" s="2" t="str">
        <f t="shared" si="43"/>
        <v/>
      </c>
      <c r="AF952" s="2" t="str">
        <f t="shared" si="44"/>
        <v/>
      </c>
      <c r="AG952" s="2" t="str">
        <f>IF($L952="","",IF(COUNTIF(LISTS!$A$2:$A$200,$H952)=0,"NEW",""))</f>
        <v/>
      </c>
    </row>
    <row r="953" spans="30:33" x14ac:dyDescent="0.25">
      <c r="AD953" s="2" t="str">
        <f t="shared" si="42"/>
        <v/>
      </c>
      <c r="AE953" s="2" t="str">
        <f t="shared" si="43"/>
        <v/>
      </c>
      <c r="AF953" s="2" t="str">
        <f t="shared" si="44"/>
        <v/>
      </c>
      <c r="AG953" s="2" t="str">
        <f>IF($L953="","",IF(COUNTIF(LISTS!$A$2:$A$200,$H953)=0,"NEW",""))</f>
        <v/>
      </c>
    </row>
    <row r="954" spans="30:33" x14ac:dyDescent="0.25">
      <c r="AD954" s="2" t="str">
        <f t="shared" si="42"/>
        <v/>
      </c>
      <c r="AE954" s="2" t="str">
        <f t="shared" si="43"/>
        <v/>
      </c>
      <c r="AF954" s="2" t="str">
        <f t="shared" si="44"/>
        <v/>
      </c>
      <c r="AG954" s="2" t="str">
        <f>IF($L954="","",IF(COUNTIF(LISTS!$A$2:$A$200,$H954)=0,"NEW",""))</f>
        <v/>
      </c>
    </row>
    <row r="955" spans="30:33" x14ac:dyDescent="0.25">
      <c r="AD955" s="2" t="str">
        <f t="shared" si="42"/>
        <v/>
      </c>
      <c r="AE955" s="2" t="str">
        <f t="shared" si="43"/>
        <v/>
      </c>
      <c r="AF955" s="2" t="str">
        <f t="shared" si="44"/>
        <v/>
      </c>
      <c r="AG955" s="2" t="str">
        <f>IF($L955="","",IF(COUNTIF(LISTS!$A$2:$A$200,$H955)=0,"NEW",""))</f>
        <v/>
      </c>
    </row>
    <row r="956" spans="30:33" x14ac:dyDescent="0.25">
      <c r="AD956" s="2" t="str">
        <f t="shared" si="42"/>
        <v/>
      </c>
      <c r="AE956" s="2" t="str">
        <f t="shared" si="43"/>
        <v/>
      </c>
      <c r="AF956" s="2" t="str">
        <f t="shared" si="44"/>
        <v/>
      </c>
      <c r="AG956" s="2" t="str">
        <f>IF($L956="","",IF(COUNTIF(LISTS!$A$2:$A$200,$H956)=0,"NEW",""))</f>
        <v/>
      </c>
    </row>
    <row r="957" spans="30:33" x14ac:dyDescent="0.25">
      <c r="AD957" s="2" t="str">
        <f t="shared" si="42"/>
        <v/>
      </c>
      <c r="AE957" s="2" t="str">
        <f t="shared" si="43"/>
        <v/>
      </c>
      <c r="AF957" s="2" t="str">
        <f t="shared" si="44"/>
        <v/>
      </c>
      <c r="AG957" s="2" t="str">
        <f>IF($L957="","",IF(COUNTIF(LISTS!$A$2:$A$200,$H957)=0,"NEW",""))</f>
        <v/>
      </c>
    </row>
    <row r="958" spans="30:33" x14ac:dyDescent="0.25">
      <c r="AD958" s="2" t="str">
        <f t="shared" si="42"/>
        <v/>
      </c>
      <c r="AE958" s="2" t="str">
        <f t="shared" si="43"/>
        <v/>
      </c>
      <c r="AF958" s="2" t="str">
        <f t="shared" si="44"/>
        <v/>
      </c>
      <c r="AG958" s="2" t="str">
        <f>IF($L958="","",IF(COUNTIF(LISTS!$A$2:$A$200,$H958)=0,"NEW",""))</f>
        <v/>
      </c>
    </row>
    <row r="959" spans="30:33" x14ac:dyDescent="0.25">
      <c r="AD959" s="2" t="str">
        <f t="shared" si="42"/>
        <v/>
      </c>
      <c r="AE959" s="2" t="str">
        <f t="shared" si="43"/>
        <v/>
      </c>
      <c r="AF959" s="2" t="str">
        <f t="shared" si="44"/>
        <v/>
      </c>
      <c r="AG959" s="2" t="str">
        <f>IF($L959="","",IF(COUNTIF(LISTS!$A$2:$A$200,$H959)=0,"NEW",""))</f>
        <v/>
      </c>
    </row>
    <row r="960" spans="30:33" x14ac:dyDescent="0.25">
      <c r="AD960" s="2" t="str">
        <f t="shared" si="42"/>
        <v/>
      </c>
      <c r="AE960" s="2" t="str">
        <f t="shared" si="43"/>
        <v/>
      </c>
      <c r="AF960" s="2" t="str">
        <f t="shared" si="44"/>
        <v/>
      </c>
      <c r="AG960" s="2" t="str">
        <f>IF($L960="","",IF(COUNTIF(LISTS!$A$2:$A$200,$H960)=0,"NEW",""))</f>
        <v/>
      </c>
    </row>
    <row r="961" spans="30:33" x14ac:dyDescent="0.25">
      <c r="AD961" s="2" t="str">
        <f t="shared" si="42"/>
        <v/>
      </c>
      <c r="AE961" s="2" t="str">
        <f t="shared" si="43"/>
        <v/>
      </c>
      <c r="AF961" s="2" t="str">
        <f t="shared" si="44"/>
        <v/>
      </c>
      <c r="AG961" s="2" t="str">
        <f>IF($L961="","",IF(COUNTIF(LISTS!$A$2:$A$200,$H961)=0,"NEW",""))</f>
        <v/>
      </c>
    </row>
    <row r="962" spans="30:33" x14ac:dyDescent="0.25">
      <c r="AD962" s="2" t="str">
        <f t="shared" ref="AD962:AD1025" si="45">IF($L962="","",IF(ISNUMBER(SEARCH("OFF ROAD",$H962)),"OFF",IF(ISNUMBER(SEARCH("ON ROAD",$H962)),"ON","")))</f>
        <v/>
      </c>
      <c r="AE962" s="2" t="str">
        <f t="shared" ref="AE962:AE1025" si="46">IF($AD962="ON",""&amp;$L962,"")</f>
        <v/>
      </c>
      <c r="AF962" s="2" t="str">
        <f t="shared" ref="AF962:AF1025" si="47">IF($L962="","",IF($J962&lt;&gt;"","Y",""))</f>
        <v/>
      </c>
      <c r="AG962" s="2" t="str">
        <f>IF($L962="","",IF(COUNTIF(LISTS!$A$2:$A$200,$H962)=0,"NEW",""))</f>
        <v/>
      </c>
    </row>
    <row r="963" spans="30:33" x14ac:dyDescent="0.25">
      <c r="AD963" s="2" t="str">
        <f t="shared" si="45"/>
        <v/>
      </c>
      <c r="AE963" s="2" t="str">
        <f t="shared" si="46"/>
        <v/>
      </c>
      <c r="AF963" s="2" t="str">
        <f t="shared" si="47"/>
        <v/>
      </c>
      <c r="AG963" s="2" t="str">
        <f>IF($L963="","",IF(COUNTIF(LISTS!$A$2:$A$200,$H963)=0,"NEW",""))</f>
        <v/>
      </c>
    </row>
    <row r="964" spans="30:33" x14ac:dyDescent="0.25">
      <c r="AD964" s="2" t="str">
        <f t="shared" si="45"/>
        <v/>
      </c>
      <c r="AE964" s="2" t="str">
        <f t="shared" si="46"/>
        <v/>
      </c>
      <c r="AF964" s="2" t="str">
        <f t="shared" si="47"/>
        <v/>
      </c>
      <c r="AG964" s="2" t="str">
        <f>IF($L964="","",IF(COUNTIF(LISTS!$A$2:$A$200,$H964)=0,"NEW",""))</f>
        <v/>
      </c>
    </row>
    <row r="965" spans="30:33" x14ac:dyDescent="0.25">
      <c r="AD965" s="2" t="str">
        <f t="shared" si="45"/>
        <v/>
      </c>
      <c r="AE965" s="2" t="str">
        <f t="shared" si="46"/>
        <v/>
      </c>
      <c r="AF965" s="2" t="str">
        <f t="shared" si="47"/>
        <v/>
      </c>
      <c r="AG965" s="2" t="str">
        <f>IF($L965="","",IF(COUNTIF(LISTS!$A$2:$A$200,$H965)=0,"NEW",""))</f>
        <v/>
      </c>
    </row>
    <row r="966" spans="30:33" x14ac:dyDescent="0.25">
      <c r="AD966" s="2" t="str">
        <f t="shared" si="45"/>
        <v/>
      </c>
      <c r="AE966" s="2" t="str">
        <f t="shared" si="46"/>
        <v/>
      </c>
      <c r="AF966" s="2" t="str">
        <f t="shared" si="47"/>
        <v/>
      </c>
      <c r="AG966" s="2" t="str">
        <f>IF($L966="","",IF(COUNTIF(LISTS!$A$2:$A$200,$H966)=0,"NEW",""))</f>
        <v/>
      </c>
    </row>
    <row r="967" spans="30:33" x14ac:dyDescent="0.25">
      <c r="AD967" s="2" t="str">
        <f t="shared" si="45"/>
        <v/>
      </c>
      <c r="AE967" s="2" t="str">
        <f t="shared" si="46"/>
        <v/>
      </c>
      <c r="AF967" s="2" t="str">
        <f t="shared" si="47"/>
        <v/>
      </c>
      <c r="AG967" s="2" t="str">
        <f>IF($L967="","",IF(COUNTIF(LISTS!$A$2:$A$200,$H967)=0,"NEW",""))</f>
        <v/>
      </c>
    </row>
    <row r="968" spans="30:33" x14ac:dyDescent="0.25">
      <c r="AD968" s="2" t="str">
        <f t="shared" si="45"/>
        <v/>
      </c>
      <c r="AE968" s="2" t="str">
        <f t="shared" si="46"/>
        <v/>
      </c>
      <c r="AF968" s="2" t="str">
        <f t="shared" si="47"/>
        <v/>
      </c>
      <c r="AG968" s="2" t="str">
        <f>IF($L968="","",IF(COUNTIF(LISTS!$A$2:$A$200,$H968)=0,"NEW",""))</f>
        <v/>
      </c>
    </row>
    <row r="969" spans="30:33" x14ac:dyDescent="0.25">
      <c r="AD969" s="2" t="str">
        <f t="shared" si="45"/>
        <v/>
      </c>
      <c r="AE969" s="2" t="str">
        <f t="shared" si="46"/>
        <v/>
      </c>
      <c r="AF969" s="2" t="str">
        <f t="shared" si="47"/>
        <v/>
      </c>
      <c r="AG969" s="2" t="str">
        <f>IF($L969="","",IF(COUNTIF(LISTS!$A$2:$A$200,$H969)=0,"NEW",""))</f>
        <v/>
      </c>
    </row>
    <row r="970" spans="30:33" x14ac:dyDescent="0.25">
      <c r="AD970" s="2" t="str">
        <f t="shared" si="45"/>
        <v/>
      </c>
      <c r="AE970" s="2" t="str">
        <f t="shared" si="46"/>
        <v/>
      </c>
      <c r="AF970" s="2" t="str">
        <f t="shared" si="47"/>
        <v/>
      </c>
      <c r="AG970" s="2" t="str">
        <f>IF($L970="","",IF(COUNTIF(LISTS!$A$2:$A$200,$H970)=0,"NEW",""))</f>
        <v/>
      </c>
    </row>
    <row r="971" spans="30:33" x14ac:dyDescent="0.25">
      <c r="AD971" s="2" t="str">
        <f t="shared" si="45"/>
        <v/>
      </c>
      <c r="AE971" s="2" t="str">
        <f t="shared" si="46"/>
        <v/>
      </c>
      <c r="AF971" s="2" t="str">
        <f t="shared" si="47"/>
        <v/>
      </c>
      <c r="AG971" s="2" t="str">
        <f>IF($L971="","",IF(COUNTIF(LISTS!$A$2:$A$200,$H971)=0,"NEW",""))</f>
        <v/>
      </c>
    </row>
    <row r="972" spans="30:33" x14ac:dyDescent="0.25">
      <c r="AD972" s="2" t="str">
        <f t="shared" si="45"/>
        <v/>
      </c>
      <c r="AE972" s="2" t="str">
        <f t="shared" si="46"/>
        <v/>
      </c>
      <c r="AF972" s="2" t="str">
        <f t="shared" si="47"/>
        <v/>
      </c>
      <c r="AG972" s="2" t="str">
        <f>IF($L972="","",IF(COUNTIF(LISTS!$A$2:$A$200,$H972)=0,"NEW",""))</f>
        <v/>
      </c>
    </row>
    <row r="973" spans="30:33" x14ac:dyDescent="0.25">
      <c r="AD973" s="2" t="str">
        <f t="shared" si="45"/>
        <v/>
      </c>
      <c r="AE973" s="2" t="str">
        <f t="shared" si="46"/>
        <v/>
      </c>
      <c r="AF973" s="2" t="str">
        <f t="shared" si="47"/>
        <v/>
      </c>
      <c r="AG973" s="2" t="str">
        <f>IF($L973="","",IF(COUNTIF(LISTS!$A$2:$A$200,$H973)=0,"NEW",""))</f>
        <v/>
      </c>
    </row>
    <row r="974" spans="30:33" x14ac:dyDescent="0.25">
      <c r="AD974" s="2" t="str">
        <f t="shared" si="45"/>
        <v/>
      </c>
      <c r="AE974" s="2" t="str">
        <f t="shared" si="46"/>
        <v/>
      </c>
      <c r="AF974" s="2" t="str">
        <f t="shared" si="47"/>
        <v/>
      </c>
      <c r="AG974" s="2" t="str">
        <f>IF($L974="","",IF(COUNTIF(LISTS!$A$2:$A$200,$H974)=0,"NEW",""))</f>
        <v/>
      </c>
    </row>
    <row r="975" spans="30:33" x14ac:dyDescent="0.25">
      <c r="AD975" s="2" t="str">
        <f t="shared" si="45"/>
        <v/>
      </c>
      <c r="AE975" s="2" t="str">
        <f t="shared" si="46"/>
        <v/>
      </c>
      <c r="AF975" s="2" t="str">
        <f t="shared" si="47"/>
        <v/>
      </c>
      <c r="AG975" s="2" t="str">
        <f>IF($L975="","",IF(COUNTIF(LISTS!$A$2:$A$200,$H975)=0,"NEW",""))</f>
        <v/>
      </c>
    </row>
    <row r="976" spans="30:33" x14ac:dyDescent="0.25">
      <c r="AD976" s="2" t="str">
        <f t="shared" si="45"/>
        <v/>
      </c>
      <c r="AE976" s="2" t="str">
        <f t="shared" si="46"/>
        <v/>
      </c>
      <c r="AF976" s="2" t="str">
        <f t="shared" si="47"/>
        <v/>
      </c>
      <c r="AG976" s="2" t="str">
        <f>IF($L976="","",IF(COUNTIF(LISTS!$A$2:$A$200,$H976)=0,"NEW",""))</f>
        <v/>
      </c>
    </row>
    <row r="977" spans="30:33" x14ac:dyDescent="0.25">
      <c r="AD977" s="2" t="str">
        <f t="shared" si="45"/>
        <v/>
      </c>
      <c r="AE977" s="2" t="str">
        <f t="shared" si="46"/>
        <v/>
      </c>
      <c r="AF977" s="2" t="str">
        <f t="shared" si="47"/>
        <v/>
      </c>
      <c r="AG977" s="2" t="str">
        <f>IF($L977="","",IF(COUNTIF(LISTS!$A$2:$A$200,$H977)=0,"NEW",""))</f>
        <v/>
      </c>
    </row>
    <row r="978" spans="30:33" x14ac:dyDescent="0.25">
      <c r="AD978" s="2" t="str">
        <f t="shared" si="45"/>
        <v/>
      </c>
      <c r="AE978" s="2" t="str">
        <f t="shared" si="46"/>
        <v/>
      </c>
      <c r="AF978" s="2" t="str">
        <f t="shared" si="47"/>
        <v/>
      </c>
      <c r="AG978" s="2" t="str">
        <f>IF($L978="","",IF(COUNTIF(LISTS!$A$2:$A$200,$H978)=0,"NEW",""))</f>
        <v/>
      </c>
    </row>
    <row r="979" spans="30:33" x14ac:dyDescent="0.25">
      <c r="AD979" s="2" t="str">
        <f t="shared" si="45"/>
        <v/>
      </c>
      <c r="AE979" s="2" t="str">
        <f t="shared" si="46"/>
        <v/>
      </c>
      <c r="AF979" s="2" t="str">
        <f t="shared" si="47"/>
        <v/>
      </c>
      <c r="AG979" s="2" t="str">
        <f>IF($L979="","",IF(COUNTIF(LISTS!$A$2:$A$200,$H979)=0,"NEW",""))</f>
        <v/>
      </c>
    </row>
    <row r="980" spans="30:33" x14ac:dyDescent="0.25">
      <c r="AD980" s="2" t="str">
        <f t="shared" si="45"/>
        <v/>
      </c>
      <c r="AE980" s="2" t="str">
        <f t="shared" si="46"/>
        <v/>
      </c>
      <c r="AF980" s="2" t="str">
        <f t="shared" si="47"/>
        <v/>
      </c>
      <c r="AG980" s="2" t="str">
        <f>IF($L980="","",IF(COUNTIF(LISTS!$A$2:$A$200,$H980)=0,"NEW",""))</f>
        <v/>
      </c>
    </row>
    <row r="981" spans="30:33" x14ac:dyDescent="0.25">
      <c r="AD981" s="2" t="str">
        <f t="shared" si="45"/>
        <v/>
      </c>
      <c r="AE981" s="2" t="str">
        <f t="shared" si="46"/>
        <v/>
      </c>
      <c r="AF981" s="2" t="str">
        <f t="shared" si="47"/>
        <v/>
      </c>
      <c r="AG981" s="2" t="str">
        <f>IF($L981="","",IF(COUNTIF(LISTS!$A$2:$A$200,$H981)=0,"NEW",""))</f>
        <v/>
      </c>
    </row>
    <row r="982" spans="30:33" x14ac:dyDescent="0.25">
      <c r="AD982" s="2" t="str">
        <f t="shared" si="45"/>
        <v/>
      </c>
      <c r="AE982" s="2" t="str">
        <f t="shared" si="46"/>
        <v/>
      </c>
      <c r="AF982" s="2" t="str">
        <f t="shared" si="47"/>
        <v/>
      </c>
      <c r="AG982" s="2" t="str">
        <f>IF($L982="","",IF(COUNTIF(LISTS!$A$2:$A$200,$H982)=0,"NEW",""))</f>
        <v/>
      </c>
    </row>
    <row r="983" spans="30:33" x14ac:dyDescent="0.25">
      <c r="AD983" s="2" t="str">
        <f t="shared" si="45"/>
        <v/>
      </c>
      <c r="AE983" s="2" t="str">
        <f t="shared" si="46"/>
        <v/>
      </c>
      <c r="AF983" s="2" t="str">
        <f t="shared" si="47"/>
        <v/>
      </c>
      <c r="AG983" s="2" t="str">
        <f>IF($L983="","",IF(COUNTIF(LISTS!$A$2:$A$200,$H983)=0,"NEW",""))</f>
        <v/>
      </c>
    </row>
    <row r="984" spans="30:33" x14ac:dyDescent="0.25">
      <c r="AD984" s="2" t="str">
        <f t="shared" si="45"/>
        <v/>
      </c>
      <c r="AE984" s="2" t="str">
        <f t="shared" si="46"/>
        <v/>
      </c>
      <c r="AF984" s="2" t="str">
        <f t="shared" si="47"/>
        <v/>
      </c>
      <c r="AG984" s="2" t="str">
        <f>IF($L984="","",IF(COUNTIF(LISTS!$A$2:$A$200,$H984)=0,"NEW",""))</f>
        <v/>
      </c>
    </row>
    <row r="985" spans="30:33" x14ac:dyDescent="0.25">
      <c r="AD985" s="2" t="str">
        <f t="shared" si="45"/>
        <v/>
      </c>
      <c r="AE985" s="2" t="str">
        <f t="shared" si="46"/>
        <v/>
      </c>
      <c r="AF985" s="2" t="str">
        <f t="shared" si="47"/>
        <v/>
      </c>
      <c r="AG985" s="2" t="str">
        <f>IF($L985="","",IF(COUNTIF(LISTS!$A$2:$A$200,$H985)=0,"NEW",""))</f>
        <v/>
      </c>
    </row>
    <row r="986" spans="30:33" x14ac:dyDescent="0.25">
      <c r="AD986" s="2" t="str">
        <f t="shared" si="45"/>
        <v/>
      </c>
      <c r="AE986" s="2" t="str">
        <f t="shared" si="46"/>
        <v/>
      </c>
      <c r="AF986" s="2" t="str">
        <f t="shared" si="47"/>
        <v/>
      </c>
      <c r="AG986" s="2" t="str">
        <f>IF($L986="","",IF(COUNTIF(LISTS!$A$2:$A$200,$H986)=0,"NEW",""))</f>
        <v/>
      </c>
    </row>
    <row r="987" spans="30:33" x14ac:dyDescent="0.25">
      <c r="AD987" s="2" t="str">
        <f t="shared" si="45"/>
        <v/>
      </c>
      <c r="AE987" s="2" t="str">
        <f t="shared" si="46"/>
        <v/>
      </c>
      <c r="AF987" s="2" t="str">
        <f t="shared" si="47"/>
        <v/>
      </c>
      <c r="AG987" s="2" t="str">
        <f>IF($L987="","",IF(COUNTIF(LISTS!$A$2:$A$200,$H987)=0,"NEW",""))</f>
        <v/>
      </c>
    </row>
    <row r="988" spans="30:33" x14ac:dyDescent="0.25">
      <c r="AD988" s="2" t="str">
        <f t="shared" si="45"/>
        <v/>
      </c>
      <c r="AE988" s="2" t="str">
        <f t="shared" si="46"/>
        <v/>
      </c>
      <c r="AF988" s="2" t="str">
        <f t="shared" si="47"/>
        <v/>
      </c>
      <c r="AG988" s="2" t="str">
        <f>IF($L988="","",IF(COUNTIF(LISTS!$A$2:$A$200,$H988)=0,"NEW",""))</f>
        <v/>
      </c>
    </row>
    <row r="989" spans="30:33" x14ac:dyDescent="0.25">
      <c r="AD989" s="2" t="str">
        <f t="shared" si="45"/>
        <v/>
      </c>
      <c r="AE989" s="2" t="str">
        <f t="shared" si="46"/>
        <v/>
      </c>
      <c r="AF989" s="2" t="str">
        <f t="shared" si="47"/>
        <v/>
      </c>
      <c r="AG989" s="2" t="str">
        <f>IF($L989="","",IF(COUNTIF(LISTS!$A$2:$A$200,$H989)=0,"NEW",""))</f>
        <v/>
      </c>
    </row>
    <row r="990" spans="30:33" x14ac:dyDescent="0.25">
      <c r="AD990" s="2" t="str">
        <f t="shared" si="45"/>
        <v/>
      </c>
      <c r="AE990" s="2" t="str">
        <f t="shared" si="46"/>
        <v/>
      </c>
      <c r="AF990" s="2" t="str">
        <f t="shared" si="47"/>
        <v/>
      </c>
      <c r="AG990" s="2" t="str">
        <f>IF($L990="","",IF(COUNTIF(LISTS!$A$2:$A$200,$H990)=0,"NEW",""))</f>
        <v/>
      </c>
    </row>
    <row r="991" spans="30:33" x14ac:dyDescent="0.25">
      <c r="AD991" s="2" t="str">
        <f t="shared" si="45"/>
        <v/>
      </c>
      <c r="AE991" s="2" t="str">
        <f t="shared" si="46"/>
        <v/>
      </c>
      <c r="AF991" s="2" t="str">
        <f t="shared" si="47"/>
        <v/>
      </c>
      <c r="AG991" s="2" t="str">
        <f>IF($L991="","",IF(COUNTIF(LISTS!$A$2:$A$200,$H991)=0,"NEW",""))</f>
        <v/>
      </c>
    </row>
    <row r="992" spans="30:33" x14ac:dyDescent="0.25">
      <c r="AD992" s="2" t="str">
        <f t="shared" si="45"/>
        <v/>
      </c>
      <c r="AE992" s="2" t="str">
        <f t="shared" si="46"/>
        <v/>
      </c>
      <c r="AF992" s="2" t="str">
        <f t="shared" si="47"/>
        <v/>
      </c>
      <c r="AG992" s="2" t="str">
        <f>IF($L992="","",IF(COUNTIF(LISTS!$A$2:$A$200,$H992)=0,"NEW",""))</f>
        <v/>
      </c>
    </row>
    <row r="993" spans="30:33" x14ac:dyDescent="0.25">
      <c r="AD993" s="2" t="str">
        <f t="shared" si="45"/>
        <v/>
      </c>
      <c r="AE993" s="2" t="str">
        <f t="shared" si="46"/>
        <v/>
      </c>
      <c r="AF993" s="2" t="str">
        <f t="shared" si="47"/>
        <v/>
      </c>
      <c r="AG993" s="2" t="str">
        <f>IF($L993="","",IF(COUNTIF(LISTS!$A$2:$A$200,$H993)=0,"NEW",""))</f>
        <v/>
      </c>
    </row>
    <row r="994" spans="30:33" x14ac:dyDescent="0.25">
      <c r="AD994" s="2" t="str">
        <f t="shared" si="45"/>
        <v/>
      </c>
      <c r="AE994" s="2" t="str">
        <f t="shared" si="46"/>
        <v/>
      </c>
      <c r="AF994" s="2" t="str">
        <f t="shared" si="47"/>
        <v/>
      </c>
      <c r="AG994" s="2" t="str">
        <f>IF($L994="","",IF(COUNTIF(LISTS!$A$2:$A$200,$H994)=0,"NEW",""))</f>
        <v/>
      </c>
    </row>
    <row r="995" spans="30:33" x14ac:dyDescent="0.25">
      <c r="AD995" s="2" t="str">
        <f t="shared" si="45"/>
        <v/>
      </c>
      <c r="AE995" s="2" t="str">
        <f t="shared" si="46"/>
        <v/>
      </c>
      <c r="AF995" s="2" t="str">
        <f t="shared" si="47"/>
        <v/>
      </c>
      <c r="AG995" s="2" t="str">
        <f>IF($L995="","",IF(COUNTIF(LISTS!$A$2:$A$200,$H995)=0,"NEW",""))</f>
        <v/>
      </c>
    </row>
    <row r="996" spans="30:33" x14ac:dyDescent="0.25">
      <c r="AD996" s="2" t="str">
        <f t="shared" si="45"/>
        <v/>
      </c>
      <c r="AE996" s="2" t="str">
        <f t="shared" si="46"/>
        <v/>
      </c>
      <c r="AF996" s="2" t="str">
        <f t="shared" si="47"/>
        <v/>
      </c>
      <c r="AG996" s="2" t="str">
        <f>IF($L996="","",IF(COUNTIF(LISTS!$A$2:$A$200,$H996)=0,"NEW",""))</f>
        <v/>
      </c>
    </row>
    <row r="997" spans="30:33" x14ac:dyDescent="0.25">
      <c r="AD997" s="2" t="str">
        <f t="shared" si="45"/>
        <v/>
      </c>
      <c r="AE997" s="2" t="str">
        <f t="shared" si="46"/>
        <v/>
      </c>
      <c r="AF997" s="2" t="str">
        <f t="shared" si="47"/>
        <v/>
      </c>
      <c r="AG997" s="2" t="str">
        <f>IF($L997="","",IF(COUNTIF(LISTS!$A$2:$A$200,$H997)=0,"NEW",""))</f>
        <v/>
      </c>
    </row>
    <row r="998" spans="30:33" x14ac:dyDescent="0.25">
      <c r="AD998" s="2" t="str">
        <f t="shared" si="45"/>
        <v/>
      </c>
      <c r="AE998" s="2" t="str">
        <f t="shared" si="46"/>
        <v/>
      </c>
      <c r="AF998" s="2" t="str">
        <f t="shared" si="47"/>
        <v/>
      </c>
      <c r="AG998" s="2" t="str">
        <f>IF($L998="","",IF(COUNTIF(LISTS!$A$2:$A$200,$H998)=0,"NEW",""))</f>
        <v/>
      </c>
    </row>
    <row r="999" spans="30:33" x14ac:dyDescent="0.25">
      <c r="AD999" s="2" t="str">
        <f t="shared" si="45"/>
        <v/>
      </c>
      <c r="AE999" s="2" t="str">
        <f t="shared" si="46"/>
        <v/>
      </c>
      <c r="AF999" s="2" t="str">
        <f t="shared" si="47"/>
        <v/>
      </c>
      <c r="AG999" s="2" t="str">
        <f>IF($L999="","",IF(COUNTIF(LISTS!$A$2:$A$200,$H999)=0,"NEW",""))</f>
        <v/>
      </c>
    </row>
    <row r="1000" spans="30:33" x14ac:dyDescent="0.25">
      <c r="AD1000" s="2" t="str">
        <f t="shared" si="45"/>
        <v/>
      </c>
      <c r="AE1000" s="2" t="str">
        <f t="shared" si="46"/>
        <v/>
      </c>
      <c r="AF1000" s="2" t="str">
        <f t="shared" si="47"/>
        <v/>
      </c>
      <c r="AG1000" s="2" t="str">
        <f>IF($L1000="","",IF(COUNTIF(LISTS!$A$2:$A$200,$H1000)=0,"NEW",""))</f>
        <v/>
      </c>
    </row>
    <row r="1001" spans="30:33" x14ac:dyDescent="0.25">
      <c r="AD1001" s="2" t="str">
        <f t="shared" si="45"/>
        <v/>
      </c>
      <c r="AE1001" s="2" t="str">
        <f t="shared" si="46"/>
        <v/>
      </c>
      <c r="AF1001" s="2" t="str">
        <f t="shared" si="47"/>
        <v/>
      </c>
      <c r="AG1001" s="2" t="str">
        <f>IF($L1001="","",IF(COUNTIF(LISTS!$A$2:$A$200,$H1001)=0,"NEW",""))</f>
        <v/>
      </c>
    </row>
    <row r="1002" spans="30:33" x14ac:dyDescent="0.25">
      <c r="AD1002" s="2" t="str">
        <f t="shared" si="45"/>
        <v/>
      </c>
      <c r="AE1002" s="2" t="str">
        <f t="shared" si="46"/>
        <v/>
      </c>
      <c r="AF1002" s="2" t="str">
        <f t="shared" si="47"/>
        <v/>
      </c>
      <c r="AG1002" s="2" t="str">
        <f>IF($L1002="","",IF(COUNTIF(LISTS!$A$2:$A$200,$H1002)=0,"NEW",""))</f>
        <v/>
      </c>
    </row>
    <row r="1003" spans="30:33" x14ac:dyDescent="0.25">
      <c r="AD1003" s="2" t="str">
        <f t="shared" si="45"/>
        <v/>
      </c>
      <c r="AE1003" s="2" t="str">
        <f t="shared" si="46"/>
        <v/>
      </c>
      <c r="AF1003" s="2" t="str">
        <f t="shared" si="47"/>
        <v/>
      </c>
      <c r="AG1003" s="2" t="str">
        <f>IF($L1003="","",IF(COUNTIF(LISTS!$A$2:$A$200,$H1003)=0,"NEW",""))</f>
        <v/>
      </c>
    </row>
    <row r="1004" spans="30:33" x14ac:dyDescent="0.25">
      <c r="AD1004" s="2" t="str">
        <f t="shared" si="45"/>
        <v/>
      </c>
      <c r="AE1004" s="2" t="str">
        <f t="shared" si="46"/>
        <v/>
      </c>
      <c r="AF1004" s="2" t="str">
        <f t="shared" si="47"/>
        <v/>
      </c>
      <c r="AG1004" s="2" t="str">
        <f>IF($L1004="","",IF(COUNTIF(LISTS!$A$2:$A$200,$H1004)=0,"NEW",""))</f>
        <v/>
      </c>
    </row>
    <row r="1005" spans="30:33" x14ac:dyDescent="0.25">
      <c r="AD1005" s="2" t="str">
        <f t="shared" si="45"/>
        <v/>
      </c>
      <c r="AE1005" s="2" t="str">
        <f t="shared" si="46"/>
        <v/>
      </c>
      <c r="AF1005" s="2" t="str">
        <f t="shared" si="47"/>
        <v/>
      </c>
      <c r="AG1005" s="2" t="str">
        <f>IF($L1005="","",IF(COUNTIF(LISTS!$A$2:$A$200,$H1005)=0,"NEW",""))</f>
        <v/>
      </c>
    </row>
    <row r="1006" spans="30:33" x14ac:dyDescent="0.25">
      <c r="AD1006" s="2" t="str">
        <f t="shared" si="45"/>
        <v/>
      </c>
      <c r="AE1006" s="2" t="str">
        <f t="shared" si="46"/>
        <v/>
      </c>
      <c r="AF1006" s="2" t="str">
        <f t="shared" si="47"/>
        <v/>
      </c>
      <c r="AG1006" s="2" t="str">
        <f>IF($L1006="","",IF(COUNTIF(LISTS!$A$2:$A$200,$H1006)=0,"NEW",""))</f>
        <v/>
      </c>
    </row>
    <row r="1007" spans="30:33" x14ac:dyDescent="0.25">
      <c r="AD1007" s="2" t="str">
        <f t="shared" si="45"/>
        <v/>
      </c>
      <c r="AE1007" s="2" t="str">
        <f t="shared" si="46"/>
        <v/>
      </c>
      <c r="AF1007" s="2" t="str">
        <f t="shared" si="47"/>
        <v/>
      </c>
      <c r="AG1007" s="2" t="str">
        <f>IF($L1007="","",IF(COUNTIF(LISTS!$A$2:$A$200,$H1007)=0,"NEW",""))</f>
        <v/>
      </c>
    </row>
    <row r="1008" spans="30:33" x14ac:dyDescent="0.25">
      <c r="AD1008" s="2" t="str">
        <f t="shared" si="45"/>
        <v/>
      </c>
      <c r="AE1008" s="2" t="str">
        <f t="shared" si="46"/>
        <v/>
      </c>
      <c r="AF1008" s="2" t="str">
        <f t="shared" si="47"/>
        <v/>
      </c>
      <c r="AG1008" s="2" t="str">
        <f>IF($L1008="","",IF(COUNTIF(LISTS!$A$2:$A$200,$H1008)=0,"NEW",""))</f>
        <v/>
      </c>
    </row>
    <row r="1009" spans="30:33" x14ac:dyDescent="0.25">
      <c r="AD1009" s="2" t="str">
        <f t="shared" si="45"/>
        <v/>
      </c>
      <c r="AE1009" s="2" t="str">
        <f t="shared" si="46"/>
        <v/>
      </c>
      <c r="AF1009" s="2" t="str">
        <f t="shared" si="47"/>
        <v/>
      </c>
      <c r="AG1009" s="2" t="str">
        <f>IF($L1009="","",IF(COUNTIF(LISTS!$A$2:$A$200,$H1009)=0,"NEW",""))</f>
        <v/>
      </c>
    </row>
    <row r="1010" spans="30:33" x14ac:dyDescent="0.25">
      <c r="AD1010" s="2" t="str">
        <f t="shared" si="45"/>
        <v/>
      </c>
      <c r="AE1010" s="2" t="str">
        <f t="shared" si="46"/>
        <v/>
      </c>
      <c r="AF1010" s="2" t="str">
        <f t="shared" si="47"/>
        <v/>
      </c>
      <c r="AG1010" s="2" t="str">
        <f>IF($L1010="","",IF(COUNTIF(LISTS!$A$2:$A$200,$H1010)=0,"NEW",""))</f>
        <v/>
      </c>
    </row>
    <row r="1011" spans="30:33" x14ac:dyDescent="0.25">
      <c r="AD1011" s="2" t="str">
        <f t="shared" si="45"/>
        <v/>
      </c>
      <c r="AE1011" s="2" t="str">
        <f t="shared" si="46"/>
        <v/>
      </c>
      <c r="AF1011" s="2" t="str">
        <f t="shared" si="47"/>
        <v/>
      </c>
      <c r="AG1011" s="2" t="str">
        <f>IF($L1011="","",IF(COUNTIF(LISTS!$A$2:$A$200,$H1011)=0,"NEW",""))</f>
        <v/>
      </c>
    </row>
    <row r="1012" spans="30:33" x14ac:dyDescent="0.25">
      <c r="AD1012" s="2" t="str">
        <f t="shared" si="45"/>
        <v/>
      </c>
      <c r="AE1012" s="2" t="str">
        <f t="shared" si="46"/>
        <v/>
      </c>
      <c r="AF1012" s="2" t="str">
        <f t="shared" si="47"/>
        <v/>
      </c>
      <c r="AG1012" s="2" t="str">
        <f>IF($L1012="","",IF(COUNTIF(LISTS!$A$2:$A$200,$H1012)=0,"NEW",""))</f>
        <v/>
      </c>
    </row>
    <row r="1013" spans="30:33" x14ac:dyDescent="0.25">
      <c r="AD1013" s="2" t="str">
        <f t="shared" si="45"/>
        <v/>
      </c>
      <c r="AE1013" s="2" t="str">
        <f t="shared" si="46"/>
        <v/>
      </c>
      <c r="AF1013" s="2" t="str">
        <f t="shared" si="47"/>
        <v/>
      </c>
      <c r="AG1013" s="2" t="str">
        <f>IF($L1013="","",IF(COUNTIF(LISTS!$A$2:$A$200,$H1013)=0,"NEW",""))</f>
        <v/>
      </c>
    </row>
    <row r="1014" spans="30:33" x14ac:dyDescent="0.25">
      <c r="AD1014" s="2" t="str">
        <f t="shared" si="45"/>
        <v/>
      </c>
      <c r="AE1014" s="2" t="str">
        <f t="shared" si="46"/>
        <v/>
      </c>
      <c r="AF1014" s="2" t="str">
        <f t="shared" si="47"/>
        <v/>
      </c>
      <c r="AG1014" s="2" t="str">
        <f>IF($L1014="","",IF(COUNTIF(LISTS!$A$2:$A$200,$H1014)=0,"NEW",""))</f>
        <v/>
      </c>
    </row>
    <row r="1015" spans="30:33" x14ac:dyDescent="0.25">
      <c r="AD1015" s="2" t="str">
        <f t="shared" si="45"/>
        <v/>
      </c>
      <c r="AE1015" s="2" t="str">
        <f t="shared" si="46"/>
        <v/>
      </c>
      <c r="AF1015" s="2" t="str">
        <f t="shared" si="47"/>
        <v/>
      </c>
      <c r="AG1015" s="2" t="str">
        <f>IF($L1015="","",IF(COUNTIF(LISTS!$A$2:$A$200,$H1015)=0,"NEW",""))</f>
        <v/>
      </c>
    </row>
    <row r="1016" spans="30:33" x14ac:dyDescent="0.25">
      <c r="AD1016" s="2" t="str">
        <f t="shared" si="45"/>
        <v/>
      </c>
      <c r="AE1016" s="2" t="str">
        <f t="shared" si="46"/>
        <v/>
      </c>
      <c r="AF1016" s="2" t="str">
        <f t="shared" si="47"/>
        <v/>
      </c>
      <c r="AG1016" s="2" t="str">
        <f>IF($L1016="","",IF(COUNTIF(LISTS!$A$2:$A$200,$H1016)=0,"NEW",""))</f>
        <v/>
      </c>
    </row>
    <row r="1017" spans="30:33" x14ac:dyDescent="0.25">
      <c r="AD1017" s="2" t="str">
        <f t="shared" si="45"/>
        <v/>
      </c>
      <c r="AE1017" s="2" t="str">
        <f t="shared" si="46"/>
        <v/>
      </c>
      <c r="AF1017" s="2" t="str">
        <f t="shared" si="47"/>
        <v/>
      </c>
      <c r="AG1017" s="2" t="str">
        <f>IF($L1017="","",IF(COUNTIF(LISTS!$A$2:$A$200,$H1017)=0,"NEW",""))</f>
        <v/>
      </c>
    </row>
    <row r="1018" spans="30:33" x14ac:dyDescent="0.25">
      <c r="AD1018" s="2" t="str">
        <f t="shared" si="45"/>
        <v/>
      </c>
      <c r="AE1018" s="2" t="str">
        <f t="shared" si="46"/>
        <v/>
      </c>
      <c r="AF1018" s="2" t="str">
        <f t="shared" si="47"/>
        <v/>
      </c>
      <c r="AG1018" s="2" t="str">
        <f>IF($L1018="","",IF(COUNTIF(LISTS!$A$2:$A$200,$H1018)=0,"NEW",""))</f>
        <v/>
      </c>
    </row>
    <row r="1019" spans="30:33" x14ac:dyDescent="0.25">
      <c r="AD1019" s="2" t="str">
        <f t="shared" si="45"/>
        <v/>
      </c>
      <c r="AE1019" s="2" t="str">
        <f t="shared" si="46"/>
        <v/>
      </c>
      <c r="AF1019" s="2" t="str">
        <f t="shared" si="47"/>
        <v/>
      </c>
      <c r="AG1019" s="2" t="str">
        <f>IF($L1019="","",IF(COUNTIF(LISTS!$A$2:$A$200,$H1019)=0,"NEW",""))</f>
        <v/>
      </c>
    </row>
    <row r="1020" spans="30:33" x14ac:dyDescent="0.25">
      <c r="AD1020" s="2" t="str">
        <f t="shared" si="45"/>
        <v/>
      </c>
      <c r="AE1020" s="2" t="str">
        <f t="shared" si="46"/>
        <v/>
      </c>
      <c r="AF1020" s="2" t="str">
        <f t="shared" si="47"/>
        <v/>
      </c>
      <c r="AG1020" s="2" t="str">
        <f>IF($L1020="","",IF(COUNTIF(LISTS!$A$2:$A$200,$H1020)=0,"NEW",""))</f>
        <v/>
      </c>
    </row>
    <row r="1021" spans="30:33" x14ac:dyDescent="0.25">
      <c r="AD1021" s="2" t="str">
        <f t="shared" si="45"/>
        <v/>
      </c>
      <c r="AE1021" s="2" t="str">
        <f t="shared" si="46"/>
        <v/>
      </c>
      <c r="AF1021" s="2" t="str">
        <f t="shared" si="47"/>
        <v/>
      </c>
      <c r="AG1021" s="2" t="str">
        <f>IF($L1021="","",IF(COUNTIF(LISTS!$A$2:$A$200,$H1021)=0,"NEW",""))</f>
        <v/>
      </c>
    </row>
    <row r="1022" spans="30:33" x14ac:dyDescent="0.25">
      <c r="AD1022" s="2" t="str">
        <f t="shared" si="45"/>
        <v/>
      </c>
      <c r="AE1022" s="2" t="str">
        <f t="shared" si="46"/>
        <v/>
      </c>
      <c r="AF1022" s="2" t="str">
        <f t="shared" si="47"/>
        <v/>
      </c>
      <c r="AG1022" s="2" t="str">
        <f>IF($L1022="","",IF(COUNTIF(LISTS!$A$2:$A$200,$H1022)=0,"NEW",""))</f>
        <v/>
      </c>
    </row>
    <row r="1023" spans="30:33" x14ac:dyDescent="0.25">
      <c r="AD1023" s="2" t="str">
        <f t="shared" si="45"/>
        <v/>
      </c>
      <c r="AE1023" s="2" t="str">
        <f t="shared" si="46"/>
        <v/>
      </c>
      <c r="AF1023" s="2" t="str">
        <f t="shared" si="47"/>
        <v/>
      </c>
      <c r="AG1023" s="2" t="str">
        <f>IF($L1023="","",IF(COUNTIF(LISTS!$A$2:$A$200,$H1023)=0,"NEW",""))</f>
        <v/>
      </c>
    </row>
    <row r="1024" spans="30:33" x14ac:dyDescent="0.25">
      <c r="AD1024" s="2" t="str">
        <f t="shared" si="45"/>
        <v/>
      </c>
      <c r="AE1024" s="2" t="str">
        <f t="shared" si="46"/>
        <v/>
      </c>
      <c r="AF1024" s="2" t="str">
        <f t="shared" si="47"/>
        <v/>
      </c>
      <c r="AG1024" s="2" t="str">
        <f>IF($L1024="","",IF(COUNTIF(LISTS!$A$2:$A$200,$H1024)=0,"NEW",""))</f>
        <v/>
      </c>
    </row>
    <row r="1025" spans="30:33" x14ac:dyDescent="0.25">
      <c r="AD1025" s="2" t="str">
        <f t="shared" si="45"/>
        <v/>
      </c>
      <c r="AE1025" s="2" t="str">
        <f t="shared" si="46"/>
        <v/>
      </c>
      <c r="AF1025" s="2" t="str">
        <f t="shared" si="47"/>
        <v/>
      </c>
      <c r="AG1025" s="2" t="str">
        <f>IF($L1025="","",IF(COUNTIF(LISTS!$A$2:$A$200,$H1025)=0,"NEW",""))</f>
        <v/>
      </c>
    </row>
    <row r="1026" spans="30:33" x14ac:dyDescent="0.25">
      <c r="AD1026" s="2" t="str">
        <f t="shared" ref="AD1026:AD1089" si="48">IF($L1026="","",IF(ISNUMBER(SEARCH("OFF ROAD",$H1026)),"OFF",IF(ISNUMBER(SEARCH("ON ROAD",$H1026)),"ON","")))</f>
        <v/>
      </c>
      <c r="AE1026" s="2" t="str">
        <f t="shared" ref="AE1026:AE1089" si="49">IF($AD1026="ON",""&amp;$L1026,"")</f>
        <v/>
      </c>
      <c r="AF1026" s="2" t="str">
        <f t="shared" ref="AF1026:AF1089" si="50">IF($L1026="","",IF($J1026&lt;&gt;"","Y",""))</f>
        <v/>
      </c>
      <c r="AG1026" s="2" t="str">
        <f>IF($L1026="","",IF(COUNTIF(LISTS!$A$2:$A$200,$H1026)=0,"NEW",""))</f>
        <v/>
      </c>
    </row>
    <row r="1027" spans="30:33" x14ac:dyDescent="0.25">
      <c r="AD1027" s="2" t="str">
        <f t="shared" si="48"/>
        <v/>
      </c>
      <c r="AE1027" s="2" t="str">
        <f t="shared" si="49"/>
        <v/>
      </c>
      <c r="AF1027" s="2" t="str">
        <f t="shared" si="50"/>
        <v/>
      </c>
      <c r="AG1027" s="2" t="str">
        <f>IF($L1027="","",IF(COUNTIF(LISTS!$A$2:$A$200,$H1027)=0,"NEW",""))</f>
        <v/>
      </c>
    </row>
    <row r="1028" spans="30:33" x14ac:dyDescent="0.25">
      <c r="AD1028" s="2" t="str">
        <f t="shared" si="48"/>
        <v/>
      </c>
      <c r="AE1028" s="2" t="str">
        <f t="shared" si="49"/>
        <v/>
      </c>
      <c r="AF1028" s="2" t="str">
        <f t="shared" si="50"/>
        <v/>
      </c>
      <c r="AG1028" s="2" t="str">
        <f>IF($L1028="","",IF(COUNTIF(LISTS!$A$2:$A$200,$H1028)=0,"NEW",""))</f>
        <v/>
      </c>
    </row>
    <row r="1029" spans="30:33" x14ac:dyDescent="0.25">
      <c r="AD1029" s="2" t="str">
        <f t="shared" si="48"/>
        <v/>
      </c>
      <c r="AE1029" s="2" t="str">
        <f t="shared" si="49"/>
        <v/>
      </c>
      <c r="AF1029" s="2" t="str">
        <f t="shared" si="50"/>
        <v/>
      </c>
      <c r="AG1029" s="2" t="str">
        <f>IF($L1029="","",IF(COUNTIF(LISTS!$A$2:$A$200,$H1029)=0,"NEW",""))</f>
        <v/>
      </c>
    </row>
    <row r="1030" spans="30:33" x14ac:dyDescent="0.25">
      <c r="AD1030" s="2" t="str">
        <f t="shared" si="48"/>
        <v/>
      </c>
      <c r="AE1030" s="2" t="str">
        <f t="shared" si="49"/>
        <v/>
      </c>
      <c r="AF1030" s="2" t="str">
        <f t="shared" si="50"/>
        <v/>
      </c>
      <c r="AG1030" s="2" t="str">
        <f>IF($L1030="","",IF(COUNTIF(LISTS!$A$2:$A$200,$H1030)=0,"NEW",""))</f>
        <v/>
      </c>
    </row>
    <row r="1031" spans="30:33" x14ac:dyDescent="0.25">
      <c r="AD1031" s="2" t="str">
        <f t="shared" si="48"/>
        <v/>
      </c>
      <c r="AE1031" s="2" t="str">
        <f t="shared" si="49"/>
        <v/>
      </c>
      <c r="AF1031" s="2" t="str">
        <f t="shared" si="50"/>
        <v/>
      </c>
      <c r="AG1031" s="2" t="str">
        <f>IF($L1031="","",IF(COUNTIF(LISTS!$A$2:$A$200,$H1031)=0,"NEW",""))</f>
        <v/>
      </c>
    </row>
    <row r="1032" spans="30:33" x14ac:dyDescent="0.25">
      <c r="AD1032" s="2" t="str">
        <f t="shared" si="48"/>
        <v/>
      </c>
      <c r="AE1032" s="2" t="str">
        <f t="shared" si="49"/>
        <v/>
      </c>
      <c r="AF1032" s="2" t="str">
        <f t="shared" si="50"/>
        <v/>
      </c>
      <c r="AG1032" s="2" t="str">
        <f>IF($L1032="","",IF(COUNTIF(LISTS!$A$2:$A$200,$H1032)=0,"NEW",""))</f>
        <v/>
      </c>
    </row>
    <row r="1033" spans="30:33" x14ac:dyDescent="0.25">
      <c r="AD1033" s="2" t="str">
        <f t="shared" si="48"/>
        <v/>
      </c>
      <c r="AE1033" s="2" t="str">
        <f t="shared" si="49"/>
        <v/>
      </c>
      <c r="AF1033" s="2" t="str">
        <f t="shared" si="50"/>
        <v/>
      </c>
      <c r="AG1033" s="2" t="str">
        <f>IF($L1033="","",IF(COUNTIF(LISTS!$A$2:$A$200,$H1033)=0,"NEW",""))</f>
        <v/>
      </c>
    </row>
    <row r="1034" spans="30:33" x14ac:dyDescent="0.25">
      <c r="AD1034" s="2" t="str">
        <f t="shared" si="48"/>
        <v/>
      </c>
      <c r="AE1034" s="2" t="str">
        <f t="shared" si="49"/>
        <v/>
      </c>
      <c r="AF1034" s="2" t="str">
        <f t="shared" si="50"/>
        <v/>
      </c>
      <c r="AG1034" s="2" t="str">
        <f>IF($L1034="","",IF(COUNTIF(LISTS!$A$2:$A$200,$H1034)=0,"NEW",""))</f>
        <v/>
      </c>
    </row>
    <row r="1035" spans="30:33" x14ac:dyDescent="0.25">
      <c r="AD1035" s="2" t="str">
        <f t="shared" si="48"/>
        <v/>
      </c>
      <c r="AE1035" s="2" t="str">
        <f t="shared" si="49"/>
        <v/>
      </c>
      <c r="AF1035" s="2" t="str">
        <f t="shared" si="50"/>
        <v/>
      </c>
      <c r="AG1035" s="2" t="str">
        <f>IF($L1035="","",IF(COUNTIF(LISTS!$A$2:$A$200,$H1035)=0,"NEW",""))</f>
        <v/>
      </c>
    </row>
    <row r="1036" spans="30:33" x14ac:dyDescent="0.25">
      <c r="AD1036" s="2" t="str">
        <f t="shared" si="48"/>
        <v/>
      </c>
      <c r="AE1036" s="2" t="str">
        <f t="shared" si="49"/>
        <v/>
      </c>
      <c r="AF1036" s="2" t="str">
        <f t="shared" si="50"/>
        <v/>
      </c>
      <c r="AG1036" s="2" t="str">
        <f>IF($L1036="","",IF(COUNTIF(LISTS!$A$2:$A$200,$H1036)=0,"NEW",""))</f>
        <v/>
      </c>
    </row>
    <row r="1037" spans="30:33" x14ac:dyDescent="0.25">
      <c r="AD1037" s="2" t="str">
        <f t="shared" si="48"/>
        <v/>
      </c>
      <c r="AE1037" s="2" t="str">
        <f t="shared" si="49"/>
        <v/>
      </c>
      <c r="AF1037" s="2" t="str">
        <f t="shared" si="50"/>
        <v/>
      </c>
      <c r="AG1037" s="2" t="str">
        <f>IF($L1037="","",IF(COUNTIF(LISTS!$A$2:$A$200,$H1037)=0,"NEW",""))</f>
        <v/>
      </c>
    </row>
    <row r="1038" spans="30:33" x14ac:dyDescent="0.25">
      <c r="AD1038" s="2" t="str">
        <f t="shared" si="48"/>
        <v/>
      </c>
      <c r="AE1038" s="2" t="str">
        <f t="shared" si="49"/>
        <v/>
      </c>
      <c r="AF1038" s="2" t="str">
        <f t="shared" si="50"/>
        <v/>
      </c>
      <c r="AG1038" s="2" t="str">
        <f>IF($L1038="","",IF(COUNTIF(LISTS!$A$2:$A$200,$H1038)=0,"NEW",""))</f>
        <v/>
      </c>
    </row>
    <row r="1039" spans="30:33" x14ac:dyDescent="0.25">
      <c r="AD1039" s="2" t="str">
        <f t="shared" si="48"/>
        <v/>
      </c>
      <c r="AE1039" s="2" t="str">
        <f t="shared" si="49"/>
        <v/>
      </c>
      <c r="AF1039" s="2" t="str">
        <f t="shared" si="50"/>
        <v/>
      </c>
      <c r="AG1039" s="2" t="str">
        <f>IF($L1039="","",IF(COUNTIF(LISTS!$A$2:$A$200,$H1039)=0,"NEW",""))</f>
        <v/>
      </c>
    </row>
    <row r="1040" spans="30:33" x14ac:dyDescent="0.25">
      <c r="AD1040" s="2" t="str">
        <f t="shared" si="48"/>
        <v/>
      </c>
      <c r="AE1040" s="2" t="str">
        <f t="shared" si="49"/>
        <v/>
      </c>
      <c r="AF1040" s="2" t="str">
        <f t="shared" si="50"/>
        <v/>
      </c>
      <c r="AG1040" s="2" t="str">
        <f>IF($L1040="","",IF(COUNTIF(LISTS!$A$2:$A$200,$H1040)=0,"NEW",""))</f>
        <v/>
      </c>
    </row>
    <row r="1041" spans="30:33" x14ac:dyDescent="0.25">
      <c r="AD1041" s="2" t="str">
        <f t="shared" si="48"/>
        <v/>
      </c>
      <c r="AE1041" s="2" t="str">
        <f t="shared" si="49"/>
        <v/>
      </c>
      <c r="AF1041" s="2" t="str">
        <f t="shared" si="50"/>
        <v/>
      </c>
      <c r="AG1041" s="2" t="str">
        <f>IF($L1041="","",IF(COUNTIF(LISTS!$A$2:$A$200,$H1041)=0,"NEW",""))</f>
        <v/>
      </c>
    </row>
    <row r="1042" spans="30:33" x14ac:dyDescent="0.25">
      <c r="AD1042" s="2" t="str">
        <f t="shared" si="48"/>
        <v/>
      </c>
      <c r="AE1042" s="2" t="str">
        <f t="shared" si="49"/>
        <v/>
      </c>
      <c r="AF1042" s="2" t="str">
        <f t="shared" si="50"/>
        <v/>
      </c>
      <c r="AG1042" s="2" t="str">
        <f>IF($L1042="","",IF(COUNTIF(LISTS!$A$2:$A$200,$H1042)=0,"NEW",""))</f>
        <v/>
      </c>
    </row>
    <row r="1043" spans="30:33" x14ac:dyDescent="0.25">
      <c r="AD1043" s="2" t="str">
        <f t="shared" si="48"/>
        <v/>
      </c>
      <c r="AE1043" s="2" t="str">
        <f t="shared" si="49"/>
        <v/>
      </c>
      <c r="AF1043" s="2" t="str">
        <f t="shared" si="50"/>
        <v/>
      </c>
      <c r="AG1043" s="2" t="str">
        <f>IF($L1043="","",IF(COUNTIF(LISTS!$A$2:$A$200,$H1043)=0,"NEW",""))</f>
        <v/>
      </c>
    </row>
    <row r="1044" spans="30:33" x14ac:dyDescent="0.25">
      <c r="AD1044" s="2" t="str">
        <f t="shared" si="48"/>
        <v/>
      </c>
      <c r="AE1044" s="2" t="str">
        <f t="shared" si="49"/>
        <v/>
      </c>
      <c r="AF1044" s="2" t="str">
        <f t="shared" si="50"/>
        <v/>
      </c>
      <c r="AG1044" s="2" t="str">
        <f>IF($L1044="","",IF(COUNTIF(LISTS!$A$2:$A$200,$H1044)=0,"NEW",""))</f>
        <v/>
      </c>
    </row>
    <row r="1045" spans="30:33" x14ac:dyDescent="0.25">
      <c r="AD1045" s="2" t="str">
        <f t="shared" si="48"/>
        <v/>
      </c>
      <c r="AE1045" s="2" t="str">
        <f t="shared" si="49"/>
        <v/>
      </c>
      <c r="AF1045" s="2" t="str">
        <f t="shared" si="50"/>
        <v/>
      </c>
      <c r="AG1045" s="2" t="str">
        <f>IF($L1045="","",IF(COUNTIF(LISTS!$A$2:$A$200,$H1045)=0,"NEW",""))</f>
        <v/>
      </c>
    </row>
    <row r="1046" spans="30:33" x14ac:dyDescent="0.25">
      <c r="AD1046" s="2" t="str">
        <f t="shared" si="48"/>
        <v/>
      </c>
      <c r="AE1046" s="2" t="str">
        <f t="shared" si="49"/>
        <v/>
      </c>
      <c r="AF1046" s="2" t="str">
        <f t="shared" si="50"/>
        <v/>
      </c>
      <c r="AG1046" s="2" t="str">
        <f>IF($L1046="","",IF(COUNTIF(LISTS!$A$2:$A$200,$H1046)=0,"NEW",""))</f>
        <v/>
      </c>
    </row>
    <row r="1047" spans="30:33" x14ac:dyDescent="0.25">
      <c r="AD1047" s="2" t="str">
        <f t="shared" si="48"/>
        <v/>
      </c>
      <c r="AE1047" s="2" t="str">
        <f t="shared" si="49"/>
        <v/>
      </c>
      <c r="AF1047" s="2" t="str">
        <f t="shared" si="50"/>
        <v/>
      </c>
      <c r="AG1047" s="2" t="str">
        <f>IF($L1047="","",IF(COUNTIF(LISTS!$A$2:$A$200,$H1047)=0,"NEW",""))</f>
        <v/>
      </c>
    </row>
    <row r="1048" spans="30:33" x14ac:dyDescent="0.25">
      <c r="AD1048" s="2" t="str">
        <f t="shared" si="48"/>
        <v/>
      </c>
      <c r="AE1048" s="2" t="str">
        <f t="shared" si="49"/>
        <v/>
      </c>
      <c r="AF1048" s="2" t="str">
        <f t="shared" si="50"/>
        <v/>
      </c>
      <c r="AG1048" s="2" t="str">
        <f>IF($L1048="","",IF(COUNTIF(LISTS!$A$2:$A$200,$H1048)=0,"NEW",""))</f>
        <v/>
      </c>
    </row>
    <row r="1049" spans="30:33" x14ac:dyDescent="0.25">
      <c r="AD1049" s="2" t="str">
        <f t="shared" si="48"/>
        <v/>
      </c>
      <c r="AE1049" s="2" t="str">
        <f t="shared" si="49"/>
        <v/>
      </c>
      <c r="AF1049" s="2" t="str">
        <f t="shared" si="50"/>
        <v/>
      </c>
      <c r="AG1049" s="2" t="str">
        <f>IF($L1049="","",IF(COUNTIF(LISTS!$A$2:$A$200,$H1049)=0,"NEW",""))</f>
        <v/>
      </c>
    </row>
    <row r="1050" spans="30:33" x14ac:dyDescent="0.25">
      <c r="AD1050" s="2" t="str">
        <f t="shared" si="48"/>
        <v/>
      </c>
      <c r="AE1050" s="2" t="str">
        <f t="shared" si="49"/>
        <v/>
      </c>
      <c r="AF1050" s="2" t="str">
        <f t="shared" si="50"/>
        <v/>
      </c>
      <c r="AG1050" s="2" t="str">
        <f>IF($L1050="","",IF(COUNTIF(LISTS!$A$2:$A$200,$H1050)=0,"NEW",""))</f>
        <v/>
      </c>
    </row>
    <row r="1051" spans="30:33" x14ac:dyDescent="0.25">
      <c r="AD1051" s="2" t="str">
        <f t="shared" si="48"/>
        <v/>
      </c>
      <c r="AE1051" s="2" t="str">
        <f t="shared" si="49"/>
        <v/>
      </c>
      <c r="AF1051" s="2" t="str">
        <f t="shared" si="50"/>
        <v/>
      </c>
      <c r="AG1051" s="2" t="str">
        <f>IF($L1051="","",IF(COUNTIF(LISTS!$A$2:$A$200,$H1051)=0,"NEW",""))</f>
        <v/>
      </c>
    </row>
    <row r="1052" spans="30:33" x14ac:dyDescent="0.25">
      <c r="AD1052" s="2" t="str">
        <f t="shared" si="48"/>
        <v/>
      </c>
      <c r="AE1052" s="2" t="str">
        <f t="shared" si="49"/>
        <v/>
      </c>
      <c r="AF1052" s="2" t="str">
        <f t="shared" si="50"/>
        <v/>
      </c>
      <c r="AG1052" s="2" t="str">
        <f>IF($L1052="","",IF(COUNTIF(LISTS!$A$2:$A$200,$H1052)=0,"NEW",""))</f>
        <v/>
      </c>
    </row>
    <row r="1053" spans="30:33" x14ac:dyDescent="0.25">
      <c r="AD1053" s="2" t="str">
        <f t="shared" si="48"/>
        <v/>
      </c>
      <c r="AE1053" s="2" t="str">
        <f t="shared" si="49"/>
        <v/>
      </c>
      <c r="AF1053" s="2" t="str">
        <f t="shared" si="50"/>
        <v/>
      </c>
      <c r="AG1053" s="2" t="str">
        <f>IF($L1053="","",IF(COUNTIF(LISTS!$A$2:$A$200,$H1053)=0,"NEW",""))</f>
        <v/>
      </c>
    </row>
    <row r="1054" spans="30:33" x14ac:dyDescent="0.25">
      <c r="AD1054" s="2" t="str">
        <f t="shared" si="48"/>
        <v/>
      </c>
      <c r="AE1054" s="2" t="str">
        <f t="shared" si="49"/>
        <v/>
      </c>
      <c r="AF1054" s="2" t="str">
        <f t="shared" si="50"/>
        <v/>
      </c>
      <c r="AG1054" s="2" t="str">
        <f>IF($L1054="","",IF(COUNTIF(LISTS!$A$2:$A$200,$H1054)=0,"NEW",""))</f>
        <v/>
      </c>
    </row>
    <row r="1055" spans="30:33" x14ac:dyDescent="0.25">
      <c r="AD1055" s="2" t="str">
        <f t="shared" si="48"/>
        <v/>
      </c>
      <c r="AE1055" s="2" t="str">
        <f t="shared" si="49"/>
        <v/>
      </c>
      <c r="AF1055" s="2" t="str">
        <f t="shared" si="50"/>
        <v/>
      </c>
      <c r="AG1055" s="2" t="str">
        <f>IF($L1055="","",IF(COUNTIF(LISTS!$A$2:$A$200,$H1055)=0,"NEW",""))</f>
        <v/>
      </c>
    </row>
    <row r="1056" spans="30:33" x14ac:dyDescent="0.25">
      <c r="AD1056" s="2" t="str">
        <f t="shared" si="48"/>
        <v/>
      </c>
      <c r="AE1056" s="2" t="str">
        <f t="shared" si="49"/>
        <v/>
      </c>
      <c r="AF1056" s="2" t="str">
        <f t="shared" si="50"/>
        <v/>
      </c>
      <c r="AG1056" s="2" t="str">
        <f>IF($L1056="","",IF(COUNTIF(LISTS!$A$2:$A$200,$H1056)=0,"NEW",""))</f>
        <v/>
      </c>
    </row>
    <row r="1057" spans="30:33" x14ac:dyDescent="0.25">
      <c r="AD1057" s="2" t="str">
        <f t="shared" si="48"/>
        <v/>
      </c>
      <c r="AE1057" s="2" t="str">
        <f t="shared" si="49"/>
        <v/>
      </c>
      <c r="AF1057" s="2" t="str">
        <f t="shared" si="50"/>
        <v/>
      </c>
      <c r="AG1057" s="2" t="str">
        <f>IF($L1057="","",IF(COUNTIF(LISTS!$A$2:$A$200,$H1057)=0,"NEW",""))</f>
        <v/>
      </c>
    </row>
    <row r="1058" spans="30:33" x14ac:dyDescent="0.25">
      <c r="AD1058" s="2" t="str">
        <f t="shared" si="48"/>
        <v/>
      </c>
      <c r="AE1058" s="2" t="str">
        <f t="shared" si="49"/>
        <v/>
      </c>
      <c r="AF1058" s="2" t="str">
        <f t="shared" si="50"/>
        <v/>
      </c>
      <c r="AG1058" s="2" t="str">
        <f>IF($L1058="","",IF(COUNTIF(LISTS!$A$2:$A$200,$H1058)=0,"NEW",""))</f>
        <v/>
      </c>
    </row>
    <row r="1059" spans="30:33" x14ac:dyDescent="0.25">
      <c r="AD1059" s="2" t="str">
        <f t="shared" si="48"/>
        <v/>
      </c>
      <c r="AE1059" s="2" t="str">
        <f t="shared" si="49"/>
        <v/>
      </c>
      <c r="AF1059" s="2" t="str">
        <f t="shared" si="50"/>
        <v/>
      </c>
      <c r="AG1059" s="2" t="str">
        <f>IF($L1059="","",IF(COUNTIF(LISTS!$A$2:$A$200,$H1059)=0,"NEW",""))</f>
        <v/>
      </c>
    </row>
    <row r="1060" spans="30:33" x14ac:dyDescent="0.25">
      <c r="AD1060" s="2" t="str">
        <f t="shared" si="48"/>
        <v/>
      </c>
      <c r="AE1060" s="2" t="str">
        <f t="shared" si="49"/>
        <v/>
      </c>
      <c r="AF1060" s="2" t="str">
        <f t="shared" si="50"/>
        <v/>
      </c>
      <c r="AG1060" s="2" t="str">
        <f>IF($L1060="","",IF(COUNTIF(LISTS!$A$2:$A$200,$H1060)=0,"NEW",""))</f>
        <v/>
      </c>
    </row>
    <row r="1061" spans="30:33" x14ac:dyDescent="0.25">
      <c r="AD1061" s="2" t="str">
        <f t="shared" si="48"/>
        <v/>
      </c>
      <c r="AE1061" s="2" t="str">
        <f t="shared" si="49"/>
        <v/>
      </c>
      <c r="AF1061" s="2" t="str">
        <f t="shared" si="50"/>
        <v/>
      </c>
      <c r="AG1061" s="2" t="str">
        <f>IF($L1061="","",IF(COUNTIF(LISTS!$A$2:$A$200,$H1061)=0,"NEW",""))</f>
        <v/>
      </c>
    </row>
    <row r="1062" spans="30:33" x14ac:dyDescent="0.25">
      <c r="AD1062" s="2" t="str">
        <f t="shared" si="48"/>
        <v/>
      </c>
      <c r="AE1062" s="2" t="str">
        <f t="shared" si="49"/>
        <v/>
      </c>
      <c r="AF1062" s="2" t="str">
        <f t="shared" si="50"/>
        <v/>
      </c>
      <c r="AG1062" s="2" t="str">
        <f>IF($L1062="","",IF(COUNTIF(LISTS!$A$2:$A$200,$H1062)=0,"NEW",""))</f>
        <v/>
      </c>
    </row>
    <row r="1063" spans="30:33" x14ac:dyDescent="0.25">
      <c r="AD1063" s="2" t="str">
        <f t="shared" si="48"/>
        <v/>
      </c>
      <c r="AE1063" s="2" t="str">
        <f t="shared" si="49"/>
        <v/>
      </c>
      <c r="AF1063" s="2" t="str">
        <f t="shared" si="50"/>
        <v/>
      </c>
      <c r="AG1063" s="2" t="str">
        <f>IF($L1063="","",IF(COUNTIF(LISTS!$A$2:$A$200,$H1063)=0,"NEW",""))</f>
        <v/>
      </c>
    </row>
    <row r="1064" spans="30:33" x14ac:dyDescent="0.25">
      <c r="AD1064" s="2" t="str">
        <f t="shared" si="48"/>
        <v/>
      </c>
      <c r="AE1064" s="2" t="str">
        <f t="shared" si="49"/>
        <v/>
      </c>
      <c r="AF1064" s="2" t="str">
        <f t="shared" si="50"/>
        <v/>
      </c>
      <c r="AG1064" s="2" t="str">
        <f>IF($L1064="","",IF(COUNTIF(LISTS!$A$2:$A$200,$H1064)=0,"NEW",""))</f>
        <v/>
      </c>
    </row>
    <row r="1065" spans="30:33" x14ac:dyDescent="0.25">
      <c r="AD1065" s="2" t="str">
        <f t="shared" si="48"/>
        <v/>
      </c>
      <c r="AE1065" s="2" t="str">
        <f t="shared" si="49"/>
        <v/>
      </c>
      <c r="AF1065" s="2" t="str">
        <f t="shared" si="50"/>
        <v/>
      </c>
      <c r="AG1065" s="2" t="str">
        <f>IF($L1065="","",IF(COUNTIF(LISTS!$A$2:$A$200,$H1065)=0,"NEW",""))</f>
        <v/>
      </c>
    </row>
    <row r="1066" spans="30:33" x14ac:dyDescent="0.25">
      <c r="AD1066" s="2" t="str">
        <f t="shared" si="48"/>
        <v/>
      </c>
      <c r="AE1066" s="2" t="str">
        <f t="shared" si="49"/>
        <v/>
      </c>
      <c r="AF1066" s="2" t="str">
        <f t="shared" si="50"/>
        <v/>
      </c>
      <c r="AG1066" s="2" t="str">
        <f>IF($L1066="","",IF(COUNTIF(LISTS!$A$2:$A$200,$H1066)=0,"NEW",""))</f>
        <v/>
      </c>
    </row>
    <row r="1067" spans="30:33" x14ac:dyDescent="0.25">
      <c r="AD1067" s="2" t="str">
        <f t="shared" si="48"/>
        <v/>
      </c>
      <c r="AE1067" s="2" t="str">
        <f t="shared" si="49"/>
        <v/>
      </c>
      <c r="AF1067" s="2" t="str">
        <f t="shared" si="50"/>
        <v/>
      </c>
      <c r="AG1067" s="2" t="str">
        <f>IF($L1067="","",IF(COUNTIF(LISTS!$A$2:$A$200,$H1067)=0,"NEW",""))</f>
        <v/>
      </c>
    </row>
    <row r="1068" spans="30:33" x14ac:dyDescent="0.25">
      <c r="AD1068" s="2" t="str">
        <f t="shared" si="48"/>
        <v/>
      </c>
      <c r="AE1068" s="2" t="str">
        <f t="shared" si="49"/>
        <v/>
      </c>
      <c r="AF1068" s="2" t="str">
        <f t="shared" si="50"/>
        <v/>
      </c>
      <c r="AG1068" s="2" t="str">
        <f>IF($L1068="","",IF(COUNTIF(LISTS!$A$2:$A$200,$H1068)=0,"NEW",""))</f>
        <v/>
      </c>
    </row>
    <row r="1069" spans="30:33" x14ac:dyDescent="0.25">
      <c r="AD1069" s="2" t="str">
        <f t="shared" si="48"/>
        <v/>
      </c>
      <c r="AE1069" s="2" t="str">
        <f t="shared" si="49"/>
        <v/>
      </c>
      <c r="AF1069" s="2" t="str">
        <f t="shared" si="50"/>
        <v/>
      </c>
      <c r="AG1069" s="2" t="str">
        <f>IF($L1069="","",IF(COUNTIF(LISTS!$A$2:$A$200,$H1069)=0,"NEW",""))</f>
        <v/>
      </c>
    </row>
    <row r="1070" spans="30:33" x14ac:dyDescent="0.25">
      <c r="AD1070" s="2" t="str">
        <f t="shared" si="48"/>
        <v/>
      </c>
      <c r="AE1070" s="2" t="str">
        <f t="shared" si="49"/>
        <v/>
      </c>
      <c r="AF1070" s="2" t="str">
        <f t="shared" si="50"/>
        <v/>
      </c>
      <c r="AG1070" s="2" t="str">
        <f>IF($L1070="","",IF(COUNTIF(LISTS!$A$2:$A$200,$H1070)=0,"NEW",""))</f>
        <v/>
      </c>
    </row>
    <row r="1071" spans="30:33" x14ac:dyDescent="0.25">
      <c r="AD1071" s="2" t="str">
        <f t="shared" si="48"/>
        <v/>
      </c>
      <c r="AE1071" s="2" t="str">
        <f t="shared" si="49"/>
        <v/>
      </c>
      <c r="AF1071" s="2" t="str">
        <f t="shared" si="50"/>
        <v/>
      </c>
      <c r="AG1071" s="2" t="str">
        <f>IF($L1071="","",IF(COUNTIF(LISTS!$A$2:$A$200,$H1071)=0,"NEW",""))</f>
        <v/>
      </c>
    </row>
    <row r="1072" spans="30:33" x14ac:dyDescent="0.25">
      <c r="AD1072" s="2" t="str">
        <f t="shared" si="48"/>
        <v/>
      </c>
      <c r="AE1072" s="2" t="str">
        <f t="shared" si="49"/>
        <v/>
      </c>
      <c r="AF1072" s="2" t="str">
        <f t="shared" si="50"/>
        <v/>
      </c>
      <c r="AG1072" s="2" t="str">
        <f>IF($L1072="","",IF(COUNTIF(LISTS!$A$2:$A$200,$H1072)=0,"NEW",""))</f>
        <v/>
      </c>
    </row>
    <row r="1073" spans="30:33" x14ac:dyDescent="0.25">
      <c r="AD1073" s="2" t="str">
        <f t="shared" si="48"/>
        <v/>
      </c>
      <c r="AE1073" s="2" t="str">
        <f t="shared" si="49"/>
        <v/>
      </c>
      <c r="AF1073" s="2" t="str">
        <f t="shared" si="50"/>
        <v/>
      </c>
      <c r="AG1073" s="2" t="str">
        <f>IF($L1073="","",IF(COUNTIF(LISTS!$A$2:$A$200,$H1073)=0,"NEW",""))</f>
        <v/>
      </c>
    </row>
    <row r="1074" spans="30:33" x14ac:dyDescent="0.25">
      <c r="AD1074" s="2" t="str">
        <f t="shared" si="48"/>
        <v/>
      </c>
      <c r="AE1074" s="2" t="str">
        <f t="shared" si="49"/>
        <v/>
      </c>
      <c r="AF1074" s="2" t="str">
        <f t="shared" si="50"/>
        <v/>
      </c>
      <c r="AG1074" s="2" t="str">
        <f>IF($L1074="","",IF(COUNTIF(LISTS!$A$2:$A$200,$H1074)=0,"NEW",""))</f>
        <v/>
      </c>
    </row>
    <row r="1075" spans="30:33" x14ac:dyDescent="0.25">
      <c r="AD1075" s="2" t="str">
        <f t="shared" si="48"/>
        <v/>
      </c>
      <c r="AE1075" s="2" t="str">
        <f t="shared" si="49"/>
        <v/>
      </c>
      <c r="AF1075" s="2" t="str">
        <f t="shared" si="50"/>
        <v/>
      </c>
      <c r="AG1075" s="2" t="str">
        <f>IF($L1075="","",IF(COUNTIF(LISTS!$A$2:$A$200,$H1075)=0,"NEW",""))</f>
        <v/>
      </c>
    </row>
    <row r="1076" spans="30:33" x14ac:dyDescent="0.25">
      <c r="AD1076" s="2" t="str">
        <f t="shared" si="48"/>
        <v/>
      </c>
      <c r="AE1076" s="2" t="str">
        <f t="shared" si="49"/>
        <v/>
      </c>
      <c r="AF1076" s="2" t="str">
        <f t="shared" si="50"/>
        <v/>
      </c>
      <c r="AG1076" s="2" t="str">
        <f>IF($L1076="","",IF(COUNTIF(LISTS!$A$2:$A$200,$H1076)=0,"NEW",""))</f>
        <v/>
      </c>
    </row>
    <row r="1077" spans="30:33" x14ac:dyDescent="0.25">
      <c r="AD1077" s="2" t="str">
        <f t="shared" si="48"/>
        <v/>
      </c>
      <c r="AE1077" s="2" t="str">
        <f t="shared" si="49"/>
        <v/>
      </c>
      <c r="AF1077" s="2" t="str">
        <f t="shared" si="50"/>
        <v/>
      </c>
      <c r="AG1077" s="2" t="str">
        <f>IF($L1077="","",IF(COUNTIF(LISTS!$A$2:$A$200,$H1077)=0,"NEW",""))</f>
        <v/>
      </c>
    </row>
    <row r="1078" spans="30:33" x14ac:dyDescent="0.25">
      <c r="AD1078" s="2" t="str">
        <f t="shared" si="48"/>
        <v/>
      </c>
      <c r="AE1078" s="2" t="str">
        <f t="shared" si="49"/>
        <v/>
      </c>
      <c r="AF1078" s="2" t="str">
        <f t="shared" si="50"/>
        <v/>
      </c>
      <c r="AG1078" s="2" t="str">
        <f>IF($L1078="","",IF(COUNTIF(LISTS!$A$2:$A$200,$H1078)=0,"NEW",""))</f>
        <v/>
      </c>
    </row>
    <row r="1079" spans="30:33" x14ac:dyDescent="0.25">
      <c r="AD1079" s="2" t="str">
        <f t="shared" si="48"/>
        <v/>
      </c>
      <c r="AE1079" s="2" t="str">
        <f t="shared" si="49"/>
        <v/>
      </c>
      <c r="AF1079" s="2" t="str">
        <f t="shared" si="50"/>
        <v/>
      </c>
      <c r="AG1079" s="2" t="str">
        <f>IF($L1079="","",IF(COUNTIF(LISTS!$A$2:$A$200,$H1079)=0,"NEW",""))</f>
        <v/>
      </c>
    </row>
    <row r="1080" spans="30:33" x14ac:dyDescent="0.25">
      <c r="AD1080" s="2" t="str">
        <f t="shared" si="48"/>
        <v/>
      </c>
      <c r="AE1080" s="2" t="str">
        <f t="shared" si="49"/>
        <v/>
      </c>
      <c r="AF1080" s="2" t="str">
        <f t="shared" si="50"/>
        <v/>
      </c>
      <c r="AG1080" s="2" t="str">
        <f>IF($L1080="","",IF(COUNTIF(LISTS!$A$2:$A$200,$H1080)=0,"NEW",""))</f>
        <v/>
      </c>
    </row>
    <row r="1081" spans="30:33" x14ac:dyDescent="0.25">
      <c r="AD1081" s="2" t="str">
        <f t="shared" si="48"/>
        <v/>
      </c>
      <c r="AE1081" s="2" t="str">
        <f t="shared" si="49"/>
        <v/>
      </c>
      <c r="AF1081" s="2" t="str">
        <f t="shared" si="50"/>
        <v/>
      </c>
      <c r="AG1081" s="2" t="str">
        <f>IF($L1081="","",IF(COUNTIF(LISTS!$A$2:$A$200,$H1081)=0,"NEW",""))</f>
        <v/>
      </c>
    </row>
    <row r="1082" spans="30:33" x14ac:dyDescent="0.25">
      <c r="AD1082" s="2" t="str">
        <f t="shared" si="48"/>
        <v/>
      </c>
      <c r="AE1082" s="2" t="str">
        <f t="shared" si="49"/>
        <v/>
      </c>
      <c r="AF1082" s="2" t="str">
        <f t="shared" si="50"/>
        <v/>
      </c>
      <c r="AG1082" s="2" t="str">
        <f>IF($L1082="","",IF(COUNTIF(LISTS!$A$2:$A$200,$H1082)=0,"NEW",""))</f>
        <v/>
      </c>
    </row>
    <row r="1083" spans="30:33" x14ac:dyDescent="0.25">
      <c r="AD1083" s="2" t="str">
        <f t="shared" si="48"/>
        <v/>
      </c>
      <c r="AE1083" s="2" t="str">
        <f t="shared" si="49"/>
        <v/>
      </c>
      <c r="AF1083" s="2" t="str">
        <f t="shared" si="50"/>
        <v/>
      </c>
      <c r="AG1083" s="2" t="str">
        <f>IF($L1083="","",IF(COUNTIF(LISTS!$A$2:$A$200,$H1083)=0,"NEW",""))</f>
        <v/>
      </c>
    </row>
    <row r="1084" spans="30:33" x14ac:dyDescent="0.25">
      <c r="AD1084" s="2" t="str">
        <f t="shared" si="48"/>
        <v/>
      </c>
      <c r="AE1084" s="2" t="str">
        <f t="shared" si="49"/>
        <v/>
      </c>
      <c r="AF1084" s="2" t="str">
        <f t="shared" si="50"/>
        <v/>
      </c>
      <c r="AG1084" s="2" t="str">
        <f>IF($L1084="","",IF(COUNTIF(LISTS!$A$2:$A$200,$H1084)=0,"NEW",""))</f>
        <v/>
      </c>
    </row>
    <row r="1085" spans="30:33" x14ac:dyDescent="0.25">
      <c r="AD1085" s="2" t="str">
        <f t="shared" si="48"/>
        <v/>
      </c>
      <c r="AE1085" s="2" t="str">
        <f t="shared" si="49"/>
        <v/>
      </c>
      <c r="AF1085" s="2" t="str">
        <f t="shared" si="50"/>
        <v/>
      </c>
      <c r="AG1085" s="2" t="str">
        <f>IF($L1085="","",IF(COUNTIF(LISTS!$A$2:$A$200,$H1085)=0,"NEW",""))</f>
        <v/>
      </c>
    </row>
    <row r="1086" spans="30:33" x14ac:dyDescent="0.25">
      <c r="AD1086" s="2" t="str">
        <f t="shared" si="48"/>
        <v/>
      </c>
      <c r="AE1086" s="2" t="str">
        <f t="shared" si="49"/>
        <v/>
      </c>
      <c r="AF1086" s="2" t="str">
        <f t="shared" si="50"/>
        <v/>
      </c>
      <c r="AG1086" s="2" t="str">
        <f>IF($L1086="","",IF(COUNTIF(LISTS!$A$2:$A$200,$H1086)=0,"NEW",""))</f>
        <v/>
      </c>
    </row>
    <row r="1087" spans="30:33" x14ac:dyDescent="0.25">
      <c r="AD1087" s="2" t="str">
        <f t="shared" si="48"/>
        <v/>
      </c>
      <c r="AE1087" s="2" t="str">
        <f t="shared" si="49"/>
        <v/>
      </c>
      <c r="AF1087" s="2" t="str">
        <f t="shared" si="50"/>
        <v/>
      </c>
      <c r="AG1087" s="2" t="str">
        <f>IF($L1087="","",IF(COUNTIF(LISTS!$A$2:$A$200,$H1087)=0,"NEW",""))</f>
        <v/>
      </c>
    </row>
    <row r="1088" spans="30:33" x14ac:dyDescent="0.25">
      <c r="AD1088" s="2" t="str">
        <f t="shared" si="48"/>
        <v/>
      </c>
      <c r="AE1088" s="2" t="str">
        <f t="shared" si="49"/>
        <v/>
      </c>
      <c r="AF1088" s="2" t="str">
        <f t="shared" si="50"/>
        <v/>
      </c>
      <c r="AG1088" s="2" t="str">
        <f>IF($L1088="","",IF(COUNTIF(LISTS!$A$2:$A$200,$H1088)=0,"NEW",""))</f>
        <v/>
      </c>
    </row>
    <row r="1089" spans="30:33" x14ac:dyDescent="0.25">
      <c r="AD1089" s="2" t="str">
        <f t="shared" si="48"/>
        <v/>
      </c>
      <c r="AE1089" s="2" t="str">
        <f t="shared" si="49"/>
        <v/>
      </c>
      <c r="AF1089" s="2" t="str">
        <f t="shared" si="50"/>
        <v/>
      </c>
      <c r="AG1089" s="2" t="str">
        <f>IF($L1089="","",IF(COUNTIF(LISTS!$A$2:$A$200,$H1089)=0,"NEW",""))</f>
        <v/>
      </c>
    </row>
    <row r="1090" spans="30:33" x14ac:dyDescent="0.25">
      <c r="AD1090" s="2" t="str">
        <f t="shared" ref="AD1090:AD1153" si="51">IF($L1090="","",IF(ISNUMBER(SEARCH("OFF ROAD",$H1090)),"OFF",IF(ISNUMBER(SEARCH("ON ROAD",$H1090)),"ON","")))</f>
        <v/>
      </c>
      <c r="AE1090" s="2" t="str">
        <f t="shared" ref="AE1090:AE1153" si="52">IF($AD1090="ON",""&amp;$L1090,"")</f>
        <v/>
      </c>
      <c r="AF1090" s="2" t="str">
        <f t="shared" ref="AF1090:AF1153" si="53">IF($L1090="","",IF($J1090&lt;&gt;"","Y",""))</f>
        <v/>
      </c>
      <c r="AG1090" s="2" t="str">
        <f>IF($L1090="","",IF(COUNTIF(LISTS!$A$2:$A$200,$H1090)=0,"NEW",""))</f>
        <v/>
      </c>
    </row>
    <row r="1091" spans="30:33" x14ac:dyDescent="0.25">
      <c r="AD1091" s="2" t="str">
        <f t="shared" si="51"/>
        <v/>
      </c>
      <c r="AE1091" s="2" t="str">
        <f t="shared" si="52"/>
        <v/>
      </c>
      <c r="AF1091" s="2" t="str">
        <f t="shared" si="53"/>
        <v/>
      </c>
      <c r="AG1091" s="2" t="str">
        <f>IF($L1091="","",IF(COUNTIF(LISTS!$A$2:$A$200,$H1091)=0,"NEW",""))</f>
        <v/>
      </c>
    </row>
    <row r="1092" spans="30:33" x14ac:dyDescent="0.25">
      <c r="AD1092" s="2" t="str">
        <f t="shared" si="51"/>
        <v/>
      </c>
      <c r="AE1092" s="2" t="str">
        <f t="shared" si="52"/>
        <v/>
      </c>
      <c r="AF1092" s="2" t="str">
        <f t="shared" si="53"/>
        <v/>
      </c>
      <c r="AG1092" s="2" t="str">
        <f>IF($L1092="","",IF(COUNTIF(LISTS!$A$2:$A$200,$H1092)=0,"NEW",""))</f>
        <v/>
      </c>
    </row>
    <row r="1093" spans="30:33" x14ac:dyDescent="0.25">
      <c r="AD1093" s="2" t="str">
        <f t="shared" si="51"/>
        <v/>
      </c>
      <c r="AE1093" s="2" t="str">
        <f t="shared" si="52"/>
        <v/>
      </c>
      <c r="AF1093" s="2" t="str">
        <f t="shared" si="53"/>
        <v/>
      </c>
      <c r="AG1093" s="2" t="str">
        <f>IF($L1093="","",IF(COUNTIF(LISTS!$A$2:$A$200,$H1093)=0,"NEW",""))</f>
        <v/>
      </c>
    </row>
    <row r="1094" spans="30:33" x14ac:dyDescent="0.25">
      <c r="AD1094" s="2" t="str">
        <f t="shared" si="51"/>
        <v/>
      </c>
      <c r="AE1094" s="2" t="str">
        <f t="shared" si="52"/>
        <v/>
      </c>
      <c r="AF1094" s="2" t="str">
        <f t="shared" si="53"/>
        <v/>
      </c>
      <c r="AG1094" s="2" t="str">
        <f>IF($L1094="","",IF(COUNTIF(LISTS!$A$2:$A$200,$H1094)=0,"NEW",""))</f>
        <v/>
      </c>
    </row>
    <row r="1095" spans="30:33" x14ac:dyDescent="0.25">
      <c r="AD1095" s="2" t="str">
        <f t="shared" si="51"/>
        <v/>
      </c>
      <c r="AE1095" s="2" t="str">
        <f t="shared" si="52"/>
        <v/>
      </c>
      <c r="AF1095" s="2" t="str">
        <f t="shared" si="53"/>
        <v/>
      </c>
      <c r="AG1095" s="2" t="str">
        <f>IF($L1095="","",IF(COUNTIF(LISTS!$A$2:$A$200,$H1095)=0,"NEW",""))</f>
        <v/>
      </c>
    </row>
    <row r="1096" spans="30:33" x14ac:dyDescent="0.25">
      <c r="AD1096" s="2" t="str">
        <f t="shared" si="51"/>
        <v/>
      </c>
      <c r="AE1096" s="2" t="str">
        <f t="shared" si="52"/>
        <v/>
      </c>
      <c r="AF1096" s="2" t="str">
        <f t="shared" si="53"/>
        <v/>
      </c>
      <c r="AG1096" s="2" t="str">
        <f>IF($L1096="","",IF(COUNTIF(LISTS!$A$2:$A$200,$H1096)=0,"NEW",""))</f>
        <v/>
      </c>
    </row>
    <row r="1097" spans="30:33" x14ac:dyDescent="0.25">
      <c r="AD1097" s="2" t="str">
        <f t="shared" si="51"/>
        <v/>
      </c>
      <c r="AE1097" s="2" t="str">
        <f t="shared" si="52"/>
        <v/>
      </c>
      <c r="AF1097" s="2" t="str">
        <f t="shared" si="53"/>
        <v/>
      </c>
      <c r="AG1097" s="2" t="str">
        <f>IF($L1097="","",IF(COUNTIF(LISTS!$A$2:$A$200,$H1097)=0,"NEW",""))</f>
        <v/>
      </c>
    </row>
    <row r="1098" spans="30:33" x14ac:dyDescent="0.25">
      <c r="AD1098" s="2" t="str">
        <f t="shared" si="51"/>
        <v/>
      </c>
      <c r="AE1098" s="2" t="str">
        <f t="shared" si="52"/>
        <v/>
      </c>
      <c r="AF1098" s="2" t="str">
        <f t="shared" si="53"/>
        <v/>
      </c>
      <c r="AG1098" s="2" t="str">
        <f>IF($L1098="","",IF(COUNTIF(LISTS!$A$2:$A$200,$H1098)=0,"NEW",""))</f>
        <v/>
      </c>
    </row>
    <row r="1099" spans="30:33" x14ac:dyDescent="0.25">
      <c r="AD1099" s="2" t="str">
        <f t="shared" si="51"/>
        <v/>
      </c>
      <c r="AE1099" s="2" t="str">
        <f t="shared" si="52"/>
        <v/>
      </c>
      <c r="AF1099" s="2" t="str">
        <f t="shared" si="53"/>
        <v/>
      </c>
      <c r="AG1099" s="2" t="str">
        <f>IF($L1099="","",IF(COUNTIF(LISTS!$A$2:$A$200,$H1099)=0,"NEW",""))</f>
        <v/>
      </c>
    </row>
    <row r="1100" spans="30:33" x14ac:dyDescent="0.25">
      <c r="AD1100" s="2" t="str">
        <f t="shared" si="51"/>
        <v/>
      </c>
      <c r="AE1100" s="2" t="str">
        <f t="shared" si="52"/>
        <v/>
      </c>
      <c r="AF1100" s="2" t="str">
        <f t="shared" si="53"/>
        <v/>
      </c>
      <c r="AG1100" s="2" t="str">
        <f>IF($L1100="","",IF(COUNTIF(LISTS!$A$2:$A$200,$H1100)=0,"NEW",""))</f>
        <v/>
      </c>
    </row>
    <row r="1101" spans="30:33" x14ac:dyDescent="0.25">
      <c r="AD1101" s="2" t="str">
        <f t="shared" si="51"/>
        <v/>
      </c>
      <c r="AE1101" s="2" t="str">
        <f t="shared" si="52"/>
        <v/>
      </c>
      <c r="AF1101" s="2" t="str">
        <f t="shared" si="53"/>
        <v/>
      </c>
      <c r="AG1101" s="2" t="str">
        <f>IF($L1101="","",IF(COUNTIF(LISTS!$A$2:$A$200,$H1101)=0,"NEW",""))</f>
        <v/>
      </c>
    </row>
    <row r="1102" spans="30:33" x14ac:dyDescent="0.25">
      <c r="AD1102" s="2" t="str">
        <f t="shared" si="51"/>
        <v/>
      </c>
      <c r="AE1102" s="2" t="str">
        <f t="shared" si="52"/>
        <v/>
      </c>
      <c r="AF1102" s="2" t="str">
        <f t="shared" si="53"/>
        <v/>
      </c>
      <c r="AG1102" s="2" t="str">
        <f>IF($L1102="","",IF(COUNTIF(LISTS!$A$2:$A$200,$H1102)=0,"NEW",""))</f>
        <v/>
      </c>
    </row>
    <row r="1103" spans="30:33" x14ac:dyDescent="0.25">
      <c r="AD1103" s="2" t="str">
        <f t="shared" si="51"/>
        <v/>
      </c>
      <c r="AE1103" s="2" t="str">
        <f t="shared" si="52"/>
        <v/>
      </c>
      <c r="AF1103" s="2" t="str">
        <f t="shared" si="53"/>
        <v/>
      </c>
      <c r="AG1103" s="2" t="str">
        <f>IF($L1103="","",IF(COUNTIF(LISTS!$A$2:$A$200,$H1103)=0,"NEW",""))</f>
        <v/>
      </c>
    </row>
    <row r="1104" spans="30:33" x14ac:dyDescent="0.25">
      <c r="AD1104" s="2" t="str">
        <f t="shared" si="51"/>
        <v/>
      </c>
      <c r="AE1104" s="2" t="str">
        <f t="shared" si="52"/>
        <v/>
      </c>
      <c r="AF1104" s="2" t="str">
        <f t="shared" si="53"/>
        <v/>
      </c>
      <c r="AG1104" s="2" t="str">
        <f>IF($L1104="","",IF(COUNTIF(LISTS!$A$2:$A$200,$H1104)=0,"NEW",""))</f>
        <v/>
      </c>
    </row>
    <row r="1105" spans="30:33" x14ac:dyDescent="0.25">
      <c r="AD1105" s="2" t="str">
        <f t="shared" si="51"/>
        <v/>
      </c>
      <c r="AE1105" s="2" t="str">
        <f t="shared" si="52"/>
        <v/>
      </c>
      <c r="AF1105" s="2" t="str">
        <f t="shared" si="53"/>
        <v/>
      </c>
      <c r="AG1105" s="2" t="str">
        <f>IF($L1105="","",IF(COUNTIF(LISTS!$A$2:$A$200,$H1105)=0,"NEW",""))</f>
        <v/>
      </c>
    </row>
    <row r="1106" spans="30:33" x14ac:dyDescent="0.25">
      <c r="AD1106" s="2" t="str">
        <f t="shared" si="51"/>
        <v/>
      </c>
      <c r="AE1106" s="2" t="str">
        <f t="shared" si="52"/>
        <v/>
      </c>
      <c r="AF1106" s="2" t="str">
        <f t="shared" si="53"/>
        <v/>
      </c>
      <c r="AG1106" s="2" t="str">
        <f>IF($L1106="","",IF(COUNTIF(LISTS!$A$2:$A$200,$H1106)=0,"NEW",""))</f>
        <v/>
      </c>
    </row>
    <row r="1107" spans="30:33" x14ac:dyDescent="0.25">
      <c r="AD1107" s="2" t="str">
        <f t="shared" si="51"/>
        <v/>
      </c>
      <c r="AE1107" s="2" t="str">
        <f t="shared" si="52"/>
        <v/>
      </c>
      <c r="AF1107" s="2" t="str">
        <f t="shared" si="53"/>
        <v/>
      </c>
      <c r="AG1107" s="2" t="str">
        <f>IF($L1107="","",IF(COUNTIF(LISTS!$A$2:$A$200,$H1107)=0,"NEW",""))</f>
        <v/>
      </c>
    </row>
    <row r="1108" spans="30:33" x14ac:dyDescent="0.25">
      <c r="AD1108" s="2" t="str">
        <f t="shared" si="51"/>
        <v/>
      </c>
      <c r="AE1108" s="2" t="str">
        <f t="shared" si="52"/>
        <v/>
      </c>
      <c r="AF1108" s="2" t="str">
        <f t="shared" si="53"/>
        <v/>
      </c>
      <c r="AG1108" s="2" t="str">
        <f>IF($L1108="","",IF(COUNTIF(LISTS!$A$2:$A$200,$H1108)=0,"NEW",""))</f>
        <v/>
      </c>
    </row>
    <row r="1109" spans="30:33" x14ac:dyDescent="0.25">
      <c r="AD1109" s="2" t="str">
        <f t="shared" si="51"/>
        <v/>
      </c>
      <c r="AE1109" s="2" t="str">
        <f t="shared" si="52"/>
        <v/>
      </c>
      <c r="AF1109" s="2" t="str">
        <f t="shared" si="53"/>
        <v/>
      </c>
      <c r="AG1109" s="2" t="str">
        <f>IF($L1109="","",IF(COUNTIF(LISTS!$A$2:$A$200,$H1109)=0,"NEW",""))</f>
        <v/>
      </c>
    </row>
    <row r="1110" spans="30:33" x14ac:dyDescent="0.25">
      <c r="AD1110" s="2" t="str">
        <f t="shared" si="51"/>
        <v/>
      </c>
      <c r="AE1110" s="2" t="str">
        <f t="shared" si="52"/>
        <v/>
      </c>
      <c r="AF1110" s="2" t="str">
        <f t="shared" si="53"/>
        <v/>
      </c>
      <c r="AG1110" s="2" t="str">
        <f>IF($L1110="","",IF(COUNTIF(LISTS!$A$2:$A$200,$H1110)=0,"NEW",""))</f>
        <v/>
      </c>
    </row>
    <row r="1111" spans="30:33" x14ac:dyDescent="0.25">
      <c r="AD1111" s="2" t="str">
        <f t="shared" si="51"/>
        <v/>
      </c>
      <c r="AE1111" s="2" t="str">
        <f t="shared" si="52"/>
        <v/>
      </c>
      <c r="AF1111" s="2" t="str">
        <f t="shared" si="53"/>
        <v/>
      </c>
      <c r="AG1111" s="2" t="str">
        <f>IF($L1111="","",IF(COUNTIF(LISTS!$A$2:$A$200,$H1111)=0,"NEW",""))</f>
        <v/>
      </c>
    </row>
    <row r="1112" spans="30:33" x14ac:dyDescent="0.25">
      <c r="AD1112" s="2" t="str">
        <f t="shared" si="51"/>
        <v/>
      </c>
      <c r="AE1112" s="2" t="str">
        <f t="shared" si="52"/>
        <v/>
      </c>
      <c r="AF1112" s="2" t="str">
        <f t="shared" si="53"/>
        <v/>
      </c>
      <c r="AG1112" s="2" t="str">
        <f>IF($L1112="","",IF(COUNTIF(LISTS!$A$2:$A$200,$H1112)=0,"NEW",""))</f>
        <v/>
      </c>
    </row>
    <row r="1113" spans="30:33" x14ac:dyDescent="0.25">
      <c r="AD1113" s="2" t="str">
        <f t="shared" si="51"/>
        <v/>
      </c>
      <c r="AE1113" s="2" t="str">
        <f t="shared" si="52"/>
        <v/>
      </c>
      <c r="AF1113" s="2" t="str">
        <f t="shared" si="53"/>
        <v/>
      </c>
      <c r="AG1113" s="2" t="str">
        <f>IF($L1113="","",IF(COUNTIF(LISTS!$A$2:$A$200,$H1113)=0,"NEW",""))</f>
        <v/>
      </c>
    </row>
    <row r="1114" spans="30:33" x14ac:dyDescent="0.25">
      <c r="AD1114" s="2" t="str">
        <f t="shared" si="51"/>
        <v/>
      </c>
      <c r="AE1114" s="2" t="str">
        <f t="shared" si="52"/>
        <v/>
      </c>
      <c r="AF1114" s="2" t="str">
        <f t="shared" si="53"/>
        <v/>
      </c>
      <c r="AG1114" s="2" t="str">
        <f>IF($L1114="","",IF(COUNTIF(LISTS!$A$2:$A$200,$H1114)=0,"NEW",""))</f>
        <v/>
      </c>
    </row>
    <row r="1115" spans="30:33" x14ac:dyDescent="0.25">
      <c r="AD1115" s="2" t="str">
        <f t="shared" si="51"/>
        <v/>
      </c>
      <c r="AE1115" s="2" t="str">
        <f t="shared" si="52"/>
        <v/>
      </c>
      <c r="AF1115" s="2" t="str">
        <f t="shared" si="53"/>
        <v/>
      </c>
      <c r="AG1115" s="2" t="str">
        <f>IF($L1115="","",IF(COUNTIF(LISTS!$A$2:$A$200,$H1115)=0,"NEW",""))</f>
        <v/>
      </c>
    </row>
    <row r="1116" spans="30:33" x14ac:dyDescent="0.25">
      <c r="AD1116" s="2" t="str">
        <f t="shared" si="51"/>
        <v/>
      </c>
      <c r="AE1116" s="2" t="str">
        <f t="shared" si="52"/>
        <v/>
      </c>
      <c r="AF1116" s="2" t="str">
        <f t="shared" si="53"/>
        <v/>
      </c>
      <c r="AG1116" s="2" t="str">
        <f>IF($L1116="","",IF(COUNTIF(LISTS!$A$2:$A$200,$H1116)=0,"NEW",""))</f>
        <v/>
      </c>
    </row>
    <row r="1117" spans="30:33" x14ac:dyDescent="0.25">
      <c r="AD1117" s="2" t="str">
        <f t="shared" si="51"/>
        <v/>
      </c>
      <c r="AE1117" s="2" t="str">
        <f t="shared" si="52"/>
        <v/>
      </c>
      <c r="AF1117" s="2" t="str">
        <f t="shared" si="53"/>
        <v/>
      </c>
      <c r="AG1117" s="2" t="str">
        <f>IF($L1117="","",IF(COUNTIF(LISTS!$A$2:$A$200,$H1117)=0,"NEW",""))</f>
        <v/>
      </c>
    </row>
    <row r="1118" spans="30:33" x14ac:dyDescent="0.25">
      <c r="AD1118" s="2" t="str">
        <f t="shared" si="51"/>
        <v/>
      </c>
      <c r="AE1118" s="2" t="str">
        <f t="shared" si="52"/>
        <v/>
      </c>
      <c r="AF1118" s="2" t="str">
        <f t="shared" si="53"/>
        <v/>
      </c>
      <c r="AG1118" s="2" t="str">
        <f>IF($L1118="","",IF(COUNTIF(LISTS!$A$2:$A$200,$H1118)=0,"NEW",""))</f>
        <v/>
      </c>
    </row>
    <row r="1119" spans="30:33" x14ac:dyDescent="0.25">
      <c r="AD1119" s="2" t="str">
        <f t="shared" si="51"/>
        <v/>
      </c>
      <c r="AE1119" s="2" t="str">
        <f t="shared" si="52"/>
        <v/>
      </c>
      <c r="AF1119" s="2" t="str">
        <f t="shared" si="53"/>
        <v/>
      </c>
      <c r="AG1119" s="2" t="str">
        <f>IF($L1119="","",IF(COUNTIF(LISTS!$A$2:$A$200,$H1119)=0,"NEW",""))</f>
        <v/>
      </c>
    </row>
    <row r="1120" spans="30:33" x14ac:dyDescent="0.25">
      <c r="AD1120" s="2" t="str">
        <f t="shared" si="51"/>
        <v/>
      </c>
      <c r="AE1120" s="2" t="str">
        <f t="shared" si="52"/>
        <v/>
      </c>
      <c r="AF1120" s="2" t="str">
        <f t="shared" si="53"/>
        <v/>
      </c>
      <c r="AG1120" s="2" t="str">
        <f>IF($L1120="","",IF(COUNTIF(LISTS!$A$2:$A$200,$H1120)=0,"NEW",""))</f>
        <v/>
      </c>
    </row>
    <row r="1121" spans="30:33" x14ac:dyDescent="0.25">
      <c r="AD1121" s="2" t="str">
        <f t="shared" si="51"/>
        <v/>
      </c>
      <c r="AE1121" s="2" t="str">
        <f t="shared" si="52"/>
        <v/>
      </c>
      <c r="AF1121" s="2" t="str">
        <f t="shared" si="53"/>
        <v/>
      </c>
      <c r="AG1121" s="2" t="str">
        <f>IF($L1121="","",IF(COUNTIF(LISTS!$A$2:$A$200,$H1121)=0,"NEW",""))</f>
        <v/>
      </c>
    </row>
    <row r="1122" spans="30:33" x14ac:dyDescent="0.25">
      <c r="AD1122" s="2" t="str">
        <f t="shared" si="51"/>
        <v/>
      </c>
      <c r="AE1122" s="2" t="str">
        <f t="shared" si="52"/>
        <v/>
      </c>
      <c r="AF1122" s="2" t="str">
        <f t="shared" si="53"/>
        <v/>
      </c>
      <c r="AG1122" s="2" t="str">
        <f>IF($L1122="","",IF(COUNTIF(LISTS!$A$2:$A$200,$H1122)=0,"NEW",""))</f>
        <v/>
      </c>
    </row>
    <row r="1123" spans="30:33" x14ac:dyDescent="0.25">
      <c r="AD1123" s="2" t="str">
        <f t="shared" si="51"/>
        <v/>
      </c>
      <c r="AE1123" s="2" t="str">
        <f t="shared" si="52"/>
        <v/>
      </c>
      <c r="AF1123" s="2" t="str">
        <f t="shared" si="53"/>
        <v/>
      </c>
      <c r="AG1123" s="2" t="str">
        <f>IF($L1123="","",IF(COUNTIF(LISTS!$A$2:$A$200,$H1123)=0,"NEW",""))</f>
        <v/>
      </c>
    </row>
    <row r="1124" spans="30:33" x14ac:dyDescent="0.25">
      <c r="AD1124" s="2" t="str">
        <f t="shared" si="51"/>
        <v/>
      </c>
      <c r="AE1124" s="2" t="str">
        <f t="shared" si="52"/>
        <v/>
      </c>
      <c r="AF1124" s="2" t="str">
        <f t="shared" si="53"/>
        <v/>
      </c>
      <c r="AG1124" s="2" t="str">
        <f>IF($L1124="","",IF(COUNTIF(LISTS!$A$2:$A$200,$H1124)=0,"NEW",""))</f>
        <v/>
      </c>
    </row>
    <row r="1125" spans="30:33" x14ac:dyDescent="0.25">
      <c r="AD1125" s="2" t="str">
        <f t="shared" si="51"/>
        <v/>
      </c>
      <c r="AE1125" s="2" t="str">
        <f t="shared" si="52"/>
        <v/>
      </c>
      <c r="AF1125" s="2" t="str">
        <f t="shared" si="53"/>
        <v/>
      </c>
      <c r="AG1125" s="2" t="str">
        <f>IF($L1125="","",IF(COUNTIF(LISTS!$A$2:$A$200,$H1125)=0,"NEW",""))</f>
        <v/>
      </c>
    </row>
    <row r="1126" spans="30:33" x14ac:dyDescent="0.25">
      <c r="AD1126" s="2" t="str">
        <f t="shared" si="51"/>
        <v/>
      </c>
      <c r="AE1126" s="2" t="str">
        <f t="shared" si="52"/>
        <v/>
      </c>
      <c r="AF1126" s="2" t="str">
        <f t="shared" si="53"/>
        <v/>
      </c>
      <c r="AG1126" s="2" t="str">
        <f>IF($L1126="","",IF(COUNTIF(LISTS!$A$2:$A$200,$H1126)=0,"NEW",""))</f>
        <v/>
      </c>
    </row>
    <row r="1127" spans="30:33" x14ac:dyDescent="0.25">
      <c r="AD1127" s="2" t="str">
        <f t="shared" si="51"/>
        <v/>
      </c>
      <c r="AE1127" s="2" t="str">
        <f t="shared" si="52"/>
        <v/>
      </c>
      <c r="AF1127" s="2" t="str">
        <f t="shared" si="53"/>
        <v/>
      </c>
      <c r="AG1127" s="2" t="str">
        <f>IF($L1127="","",IF(COUNTIF(LISTS!$A$2:$A$200,$H1127)=0,"NEW",""))</f>
        <v/>
      </c>
    </row>
    <row r="1128" spans="30:33" x14ac:dyDescent="0.25">
      <c r="AD1128" s="2" t="str">
        <f t="shared" si="51"/>
        <v/>
      </c>
      <c r="AE1128" s="2" t="str">
        <f t="shared" si="52"/>
        <v/>
      </c>
      <c r="AF1128" s="2" t="str">
        <f t="shared" si="53"/>
        <v/>
      </c>
      <c r="AG1128" s="2" t="str">
        <f>IF($L1128="","",IF(COUNTIF(LISTS!$A$2:$A$200,$H1128)=0,"NEW",""))</f>
        <v/>
      </c>
    </row>
    <row r="1129" spans="30:33" x14ac:dyDescent="0.25">
      <c r="AD1129" s="2" t="str">
        <f t="shared" si="51"/>
        <v/>
      </c>
      <c r="AE1129" s="2" t="str">
        <f t="shared" si="52"/>
        <v/>
      </c>
      <c r="AF1129" s="2" t="str">
        <f t="shared" si="53"/>
        <v/>
      </c>
      <c r="AG1129" s="2" t="str">
        <f>IF($L1129="","",IF(COUNTIF(LISTS!$A$2:$A$200,$H1129)=0,"NEW",""))</f>
        <v/>
      </c>
    </row>
    <row r="1130" spans="30:33" x14ac:dyDescent="0.25">
      <c r="AD1130" s="2" t="str">
        <f t="shared" si="51"/>
        <v/>
      </c>
      <c r="AE1130" s="2" t="str">
        <f t="shared" si="52"/>
        <v/>
      </c>
      <c r="AF1130" s="2" t="str">
        <f t="shared" si="53"/>
        <v/>
      </c>
      <c r="AG1130" s="2" t="str">
        <f>IF($L1130="","",IF(COUNTIF(LISTS!$A$2:$A$200,$H1130)=0,"NEW",""))</f>
        <v/>
      </c>
    </row>
    <row r="1131" spans="30:33" x14ac:dyDescent="0.25">
      <c r="AD1131" s="2" t="str">
        <f t="shared" si="51"/>
        <v/>
      </c>
      <c r="AE1131" s="2" t="str">
        <f t="shared" si="52"/>
        <v/>
      </c>
      <c r="AF1131" s="2" t="str">
        <f t="shared" si="53"/>
        <v/>
      </c>
      <c r="AG1131" s="2" t="str">
        <f>IF($L1131="","",IF(COUNTIF(LISTS!$A$2:$A$200,$H1131)=0,"NEW",""))</f>
        <v/>
      </c>
    </row>
    <row r="1132" spans="30:33" x14ac:dyDescent="0.25">
      <c r="AD1132" s="2" t="str">
        <f t="shared" si="51"/>
        <v/>
      </c>
      <c r="AE1132" s="2" t="str">
        <f t="shared" si="52"/>
        <v/>
      </c>
      <c r="AF1132" s="2" t="str">
        <f t="shared" si="53"/>
        <v/>
      </c>
      <c r="AG1132" s="2" t="str">
        <f>IF($L1132="","",IF(COUNTIF(LISTS!$A$2:$A$200,$H1132)=0,"NEW",""))</f>
        <v/>
      </c>
    </row>
    <row r="1133" spans="30:33" x14ac:dyDescent="0.25">
      <c r="AD1133" s="2" t="str">
        <f t="shared" si="51"/>
        <v/>
      </c>
      <c r="AE1133" s="2" t="str">
        <f t="shared" si="52"/>
        <v/>
      </c>
      <c r="AF1133" s="2" t="str">
        <f t="shared" si="53"/>
        <v/>
      </c>
      <c r="AG1133" s="2" t="str">
        <f>IF($L1133="","",IF(COUNTIF(LISTS!$A$2:$A$200,$H1133)=0,"NEW",""))</f>
        <v/>
      </c>
    </row>
    <row r="1134" spans="30:33" x14ac:dyDescent="0.25">
      <c r="AD1134" s="2" t="str">
        <f t="shared" si="51"/>
        <v/>
      </c>
      <c r="AE1134" s="2" t="str">
        <f t="shared" si="52"/>
        <v/>
      </c>
      <c r="AF1134" s="2" t="str">
        <f t="shared" si="53"/>
        <v/>
      </c>
      <c r="AG1134" s="2" t="str">
        <f>IF($L1134="","",IF(COUNTIF(LISTS!$A$2:$A$200,$H1134)=0,"NEW",""))</f>
        <v/>
      </c>
    </row>
    <row r="1135" spans="30:33" x14ac:dyDescent="0.25">
      <c r="AD1135" s="2" t="str">
        <f t="shared" si="51"/>
        <v/>
      </c>
      <c r="AE1135" s="2" t="str">
        <f t="shared" si="52"/>
        <v/>
      </c>
      <c r="AF1135" s="2" t="str">
        <f t="shared" si="53"/>
        <v/>
      </c>
      <c r="AG1135" s="2" t="str">
        <f>IF($L1135="","",IF(COUNTIF(LISTS!$A$2:$A$200,$H1135)=0,"NEW",""))</f>
        <v/>
      </c>
    </row>
    <row r="1136" spans="30:33" x14ac:dyDescent="0.25">
      <c r="AD1136" s="2" t="str">
        <f t="shared" si="51"/>
        <v/>
      </c>
      <c r="AE1136" s="2" t="str">
        <f t="shared" si="52"/>
        <v/>
      </c>
      <c r="AF1136" s="2" t="str">
        <f t="shared" si="53"/>
        <v/>
      </c>
      <c r="AG1136" s="2" t="str">
        <f>IF($L1136="","",IF(COUNTIF(LISTS!$A$2:$A$200,$H1136)=0,"NEW",""))</f>
        <v/>
      </c>
    </row>
    <row r="1137" spans="30:33" x14ac:dyDescent="0.25">
      <c r="AD1137" s="2" t="str">
        <f t="shared" si="51"/>
        <v/>
      </c>
      <c r="AE1137" s="2" t="str">
        <f t="shared" si="52"/>
        <v/>
      </c>
      <c r="AF1137" s="2" t="str">
        <f t="shared" si="53"/>
        <v/>
      </c>
      <c r="AG1137" s="2" t="str">
        <f>IF($L1137="","",IF(COUNTIF(LISTS!$A$2:$A$200,$H1137)=0,"NEW",""))</f>
        <v/>
      </c>
    </row>
    <row r="1138" spans="30:33" x14ac:dyDescent="0.25">
      <c r="AD1138" s="2" t="str">
        <f t="shared" si="51"/>
        <v/>
      </c>
      <c r="AE1138" s="2" t="str">
        <f t="shared" si="52"/>
        <v/>
      </c>
      <c r="AF1138" s="2" t="str">
        <f t="shared" si="53"/>
        <v/>
      </c>
      <c r="AG1138" s="2" t="str">
        <f>IF($L1138="","",IF(COUNTIF(LISTS!$A$2:$A$200,$H1138)=0,"NEW",""))</f>
        <v/>
      </c>
    </row>
    <row r="1139" spans="30:33" x14ac:dyDescent="0.25">
      <c r="AD1139" s="2" t="str">
        <f t="shared" si="51"/>
        <v/>
      </c>
      <c r="AE1139" s="2" t="str">
        <f t="shared" si="52"/>
        <v/>
      </c>
      <c r="AF1139" s="2" t="str">
        <f t="shared" si="53"/>
        <v/>
      </c>
      <c r="AG1139" s="2" t="str">
        <f>IF($L1139="","",IF(COUNTIF(LISTS!$A$2:$A$200,$H1139)=0,"NEW",""))</f>
        <v/>
      </c>
    </row>
    <row r="1140" spans="30:33" x14ac:dyDescent="0.25">
      <c r="AD1140" s="2" t="str">
        <f t="shared" si="51"/>
        <v/>
      </c>
      <c r="AE1140" s="2" t="str">
        <f t="shared" si="52"/>
        <v/>
      </c>
      <c r="AF1140" s="2" t="str">
        <f t="shared" si="53"/>
        <v/>
      </c>
      <c r="AG1140" s="2" t="str">
        <f>IF($L1140="","",IF(COUNTIF(LISTS!$A$2:$A$200,$H1140)=0,"NEW",""))</f>
        <v/>
      </c>
    </row>
    <row r="1141" spans="30:33" x14ac:dyDescent="0.25">
      <c r="AD1141" s="2" t="str">
        <f t="shared" si="51"/>
        <v/>
      </c>
      <c r="AE1141" s="2" t="str">
        <f t="shared" si="52"/>
        <v/>
      </c>
      <c r="AF1141" s="2" t="str">
        <f t="shared" si="53"/>
        <v/>
      </c>
      <c r="AG1141" s="2" t="str">
        <f>IF($L1141="","",IF(COUNTIF(LISTS!$A$2:$A$200,$H1141)=0,"NEW",""))</f>
        <v/>
      </c>
    </row>
    <row r="1142" spans="30:33" x14ac:dyDescent="0.25">
      <c r="AD1142" s="2" t="str">
        <f t="shared" si="51"/>
        <v/>
      </c>
      <c r="AE1142" s="2" t="str">
        <f t="shared" si="52"/>
        <v/>
      </c>
      <c r="AF1142" s="2" t="str">
        <f t="shared" si="53"/>
        <v/>
      </c>
      <c r="AG1142" s="2" t="str">
        <f>IF($L1142="","",IF(COUNTIF(LISTS!$A$2:$A$200,$H1142)=0,"NEW",""))</f>
        <v/>
      </c>
    </row>
    <row r="1143" spans="30:33" x14ac:dyDescent="0.25">
      <c r="AD1143" s="2" t="str">
        <f t="shared" si="51"/>
        <v/>
      </c>
      <c r="AE1143" s="2" t="str">
        <f t="shared" si="52"/>
        <v/>
      </c>
      <c r="AF1143" s="2" t="str">
        <f t="shared" si="53"/>
        <v/>
      </c>
      <c r="AG1143" s="2" t="str">
        <f>IF($L1143="","",IF(COUNTIF(LISTS!$A$2:$A$200,$H1143)=0,"NEW",""))</f>
        <v/>
      </c>
    </row>
    <row r="1144" spans="30:33" x14ac:dyDescent="0.25">
      <c r="AD1144" s="2" t="str">
        <f t="shared" si="51"/>
        <v/>
      </c>
      <c r="AE1144" s="2" t="str">
        <f t="shared" si="52"/>
        <v/>
      </c>
      <c r="AF1144" s="2" t="str">
        <f t="shared" si="53"/>
        <v/>
      </c>
      <c r="AG1144" s="2" t="str">
        <f>IF($L1144="","",IF(COUNTIF(LISTS!$A$2:$A$200,$H1144)=0,"NEW",""))</f>
        <v/>
      </c>
    </row>
    <row r="1145" spans="30:33" x14ac:dyDescent="0.25">
      <c r="AD1145" s="2" t="str">
        <f t="shared" si="51"/>
        <v/>
      </c>
      <c r="AE1145" s="2" t="str">
        <f t="shared" si="52"/>
        <v/>
      </c>
      <c r="AF1145" s="2" t="str">
        <f t="shared" si="53"/>
        <v/>
      </c>
      <c r="AG1145" s="2" t="str">
        <f>IF($L1145="","",IF(COUNTIF(LISTS!$A$2:$A$200,$H1145)=0,"NEW",""))</f>
        <v/>
      </c>
    </row>
    <row r="1146" spans="30:33" x14ac:dyDescent="0.25">
      <c r="AD1146" s="2" t="str">
        <f t="shared" si="51"/>
        <v/>
      </c>
      <c r="AE1146" s="2" t="str">
        <f t="shared" si="52"/>
        <v/>
      </c>
      <c r="AF1146" s="2" t="str">
        <f t="shared" si="53"/>
        <v/>
      </c>
      <c r="AG1146" s="2" t="str">
        <f>IF($L1146="","",IF(COUNTIF(LISTS!$A$2:$A$200,$H1146)=0,"NEW",""))</f>
        <v/>
      </c>
    </row>
    <row r="1147" spans="30:33" x14ac:dyDescent="0.25">
      <c r="AD1147" s="2" t="str">
        <f t="shared" si="51"/>
        <v/>
      </c>
      <c r="AE1147" s="2" t="str">
        <f t="shared" si="52"/>
        <v/>
      </c>
      <c r="AF1147" s="2" t="str">
        <f t="shared" si="53"/>
        <v/>
      </c>
      <c r="AG1147" s="2" t="str">
        <f>IF($L1147="","",IF(COUNTIF(LISTS!$A$2:$A$200,$H1147)=0,"NEW",""))</f>
        <v/>
      </c>
    </row>
    <row r="1148" spans="30:33" x14ac:dyDescent="0.25">
      <c r="AD1148" s="2" t="str">
        <f t="shared" si="51"/>
        <v/>
      </c>
      <c r="AE1148" s="2" t="str">
        <f t="shared" si="52"/>
        <v/>
      </c>
      <c r="AF1148" s="2" t="str">
        <f t="shared" si="53"/>
        <v/>
      </c>
      <c r="AG1148" s="2" t="str">
        <f>IF($L1148="","",IF(COUNTIF(LISTS!$A$2:$A$200,$H1148)=0,"NEW",""))</f>
        <v/>
      </c>
    </row>
    <row r="1149" spans="30:33" x14ac:dyDescent="0.25">
      <c r="AD1149" s="2" t="str">
        <f t="shared" si="51"/>
        <v/>
      </c>
      <c r="AE1149" s="2" t="str">
        <f t="shared" si="52"/>
        <v/>
      </c>
      <c r="AF1149" s="2" t="str">
        <f t="shared" si="53"/>
        <v/>
      </c>
      <c r="AG1149" s="2" t="str">
        <f>IF($L1149="","",IF(COUNTIF(LISTS!$A$2:$A$200,$H1149)=0,"NEW",""))</f>
        <v/>
      </c>
    </row>
    <row r="1150" spans="30:33" x14ac:dyDescent="0.25">
      <c r="AD1150" s="2" t="str">
        <f t="shared" si="51"/>
        <v/>
      </c>
      <c r="AE1150" s="2" t="str">
        <f t="shared" si="52"/>
        <v/>
      </c>
      <c r="AF1150" s="2" t="str">
        <f t="shared" si="53"/>
        <v/>
      </c>
      <c r="AG1150" s="2" t="str">
        <f>IF($L1150="","",IF(COUNTIF(LISTS!$A$2:$A$200,$H1150)=0,"NEW",""))</f>
        <v/>
      </c>
    </row>
    <row r="1151" spans="30:33" x14ac:dyDescent="0.25">
      <c r="AD1151" s="2" t="str">
        <f t="shared" si="51"/>
        <v/>
      </c>
      <c r="AE1151" s="2" t="str">
        <f t="shared" si="52"/>
        <v/>
      </c>
      <c r="AF1151" s="2" t="str">
        <f t="shared" si="53"/>
        <v/>
      </c>
      <c r="AG1151" s="2" t="str">
        <f>IF($L1151="","",IF(COUNTIF(LISTS!$A$2:$A$200,$H1151)=0,"NEW",""))</f>
        <v/>
      </c>
    </row>
    <row r="1152" spans="30:33" x14ac:dyDescent="0.25">
      <c r="AD1152" s="2" t="str">
        <f t="shared" si="51"/>
        <v/>
      </c>
      <c r="AE1152" s="2" t="str">
        <f t="shared" si="52"/>
        <v/>
      </c>
      <c r="AF1152" s="2" t="str">
        <f t="shared" si="53"/>
        <v/>
      </c>
      <c r="AG1152" s="2" t="str">
        <f>IF($L1152="","",IF(COUNTIF(LISTS!$A$2:$A$200,$H1152)=0,"NEW",""))</f>
        <v/>
      </c>
    </row>
    <row r="1153" spans="30:33" x14ac:dyDescent="0.25">
      <c r="AD1153" s="2" t="str">
        <f t="shared" si="51"/>
        <v/>
      </c>
      <c r="AE1153" s="2" t="str">
        <f t="shared" si="52"/>
        <v/>
      </c>
      <c r="AF1153" s="2" t="str">
        <f t="shared" si="53"/>
        <v/>
      </c>
      <c r="AG1153" s="2" t="str">
        <f>IF($L1153="","",IF(COUNTIF(LISTS!$A$2:$A$200,$H1153)=0,"NEW",""))</f>
        <v/>
      </c>
    </row>
    <row r="1154" spans="30:33" x14ac:dyDescent="0.25">
      <c r="AD1154" s="2" t="str">
        <f t="shared" ref="AD1154:AD1217" si="54">IF($L1154="","",IF(ISNUMBER(SEARCH("OFF ROAD",$H1154)),"OFF",IF(ISNUMBER(SEARCH("ON ROAD",$H1154)),"ON","")))</f>
        <v/>
      </c>
      <c r="AE1154" s="2" t="str">
        <f t="shared" ref="AE1154:AE1217" si="55">IF($AD1154="ON",""&amp;$L1154,"")</f>
        <v/>
      </c>
      <c r="AF1154" s="2" t="str">
        <f t="shared" ref="AF1154:AF1217" si="56">IF($L1154="","",IF($J1154&lt;&gt;"","Y",""))</f>
        <v/>
      </c>
      <c r="AG1154" s="2" t="str">
        <f>IF($L1154="","",IF(COUNTIF(LISTS!$A$2:$A$200,$H1154)=0,"NEW",""))</f>
        <v/>
      </c>
    </row>
    <row r="1155" spans="30:33" x14ac:dyDescent="0.25">
      <c r="AD1155" s="2" t="str">
        <f t="shared" si="54"/>
        <v/>
      </c>
      <c r="AE1155" s="2" t="str">
        <f t="shared" si="55"/>
        <v/>
      </c>
      <c r="AF1155" s="2" t="str">
        <f t="shared" si="56"/>
        <v/>
      </c>
      <c r="AG1155" s="2" t="str">
        <f>IF($L1155="","",IF(COUNTIF(LISTS!$A$2:$A$200,$H1155)=0,"NEW",""))</f>
        <v/>
      </c>
    </row>
    <row r="1156" spans="30:33" x14ac:dyDescent="0.25">
      <c r="AD1156" s="2" t="str">
        <f t="shared" si="54"/>
        <v/>
      </c>
      <c r="AE1156" s="2" t="str">
        <f t="shared" si="55"/>
        <v/>
      </c>
      <c r="AF1156" s="2" t="str">
        <f t="shared" si="56"/>
        <v/>
      </c>
      <c r="AG1156" s="2" t="str">
        <f>IF($L1156="","",IF(COUNTIF(LISTS!$A$2:$A$200,$H1156)=0,"NEW",""))</f>
        <v/>
      </c>
    </row>
    <row r="1157" spans="30:33" x14ac:dyDescent="0.25">
      <c r="AD1157" s="2" t="str">
        <f t="shared" si="54"/>
        <v/>
      </c>
      <c r="AE1157" s="2" t="str">
        <f t="shared" si="55"/>
        <v/>
      </c>
      <c r="AF1157" s="2" t="str">
        <f t="shared" si="56"/>
        <v/>
      </c>
      <c r="AG1157" s="2" t="str">
        <f>IF($L1157="","",IF(COUNTIF(LISTS!$A$2:$A$200,$H1157)=0,"NEW",""))</f>
        <v/>
      </c>
    </row>
    <row r="1158" spans="30:33" x14ac:dyDescent="0.25">
      <c r="AD1158" s="2" t="str">
        <f t="shared" si="54"/>
        <v/>
      </c>
      <c r="AE1158" s="2" t="str">
        <f t="shared" si="55"/>
        <v/>
      </c>
      <c r="AF1158" s="2" t="str">
        <f t="shared" si="56"/>
        <v/>
      </c>
      <c r="AG1158" s="2" t="str">
        <f>IF($L1158="","",IF(COUNTIF(LISTS!$A$2:$A$200,$H1158)=0,"NEW",""))</f>
        <v/>
      </c>
    </row>
    <row r="1159" spans="30:33" x14ac:dyDescent="0.25">
      <c r="AD1159" s="2" t="str">
        <f t="shared" si="54"/>
        <v/>
      </c>
      <c r="AE1159" s="2" t="str">
        <f t="shared" si="55"/>
        <v/>
      </c>
      <c r="AF1159" s="2" t="str">
        <f t="shared" si="56"/>
        <v/>
      </c>
      <c r="AG1159" s="2" t="str">
        <f>IF($L1159="","",IF(COUNTIF(LISTS!$A$2:$A$200,$H1159)=0,"NEW",""))</f>
        <v/>
      </c>
    </row>
    <row r="1160" spans="30:33" x14ac:dyDescent="0.25">
      <c r="AD1160" s="2" t="str">
        <f t="shared" si="54"/>
        <v/>
      </c>
      <c r="AE1160" s="2" t="str">
        <f t="shared" si="55"/>
        <v/>
      </c>
      <c r="AF1160" s="2" t="str">
        <f t="shared" si="56"/>
        <v/>
      </c>
      <c r="AG1160" s="2" t="str">
        <f>IF($L1160="","",IF(COUNTIF(LISTS!$A$2:$A$200,$H1160)=0,"NEW",""))</f>
        <v/>
      </c>
    </row>
    <row r="1161" spans="30:33" x14ac:dyDescent="0.25">
      <c r="AD1161" s="2" t="str">
        <f t="shared" si="54"/>
        <v/>
      </c>
      <c r="AE1161" s="2" t="str">
        <f t="shared" si="55"/>
        <v/>
      </c>
      <c r="AF1161" s="2" t="str">
        <f t="shared" si="56"/>
        <v/>
      </c>
      <c r="AG1161" s="2" t="str">
        <f>IF($L1161="","",IF(COUNTIF(LISTS!$A$2:$A$200,$H1161)=0,"NEW",""))</f>
        <v/>
      </c>
    </row>
    <row r="1162" spans="30:33" x14ac:dyDescent="0.25">
      <c r="AD1162" s="2" t="str">
        <f t="shared" si="54"/>
        <v/>
      </c>
      <c r="AE1162" s="2" t="str">
        <f t="shared" si="55"/>
        <v/>
      </c>
      <c r="AF1162" s="2" t="str">
        <f t="shared" si="56"/>
        <v/>
      </c>
      <c r="AG1162" s="2" t="str">
        <f>IF($L1162="","",IF(COUNTIF(LISTS!$A$2:$A$200,$H1162)=0,"NEW",""))</f>
        <v/>
      </c>
    </row>
    <row r="1163" spans="30:33" x14ac:dyDescent="0.25">
      <c r="AD1163" s="2" t="str">
        <f t="shared" si="54"/>
        <v/>
      </c>
      <c r="AE1163" s="2" t="str">
        <f t="shared" si="55"/>
        <v/>
      </c>
      <c r="AF1163" s="2" t="str">
        <f t="shared" si="56"/>
        <v/>
      </c>
      <c r="AG1163" s="2" t="str">
        <f>IF($L1163="","",IF(COUNTIF(LISTS!$A$2:$A$200,$H1163)=0,"NEW",""))</f>
        <v/>
      </c>
    </row>
    <row r="1164" spans="30:33" x14ac:dyDescent="0.25">
      <c r="AD1164" s="2" t="str">
        <f t="shared" si="54"/>
        <v/>
      </c>
      <c r="AE1164" s="2" t="str">
        <f t="shared" si="55"/>
        <v/>
      </c>
      <c r="AF1164" s="2" t="str">
        <f t="shared" si="56"/>
        <v/>
      </c>
      <c r="AG1164" s="2" t="str">
        <f>IF($L1164="","",IF(COUNTIF(LISTS!$A$2:$A$200,$H1164)=0,"NEW",""))</f>
        <v/>
      </c>
    </row>
    <row r="1165" spans="30:33" x14ac:dyDescent="0.25">
      <c r="AD1165" s="2" t="str">
        <f t="shared" si="54"/>
        <v/>
      </c>
      <c r="AE1165" s="2" t="str">
        <f t="shared" si="55"/>
        <v/>
      </c>
      <c r="AF1165" s="2" t="str">
        <f t="shared" si="56"/>
        <v/>
      </c>
      <c r="AG1165" s="2" t="str">
        <f>IF($L1165="","",IF(COUNTIF(LISTS!$A$2:$A$200,$H1165)=0,"NEW",""))</f>
        <v/>
      </c>
    </row>
    <row r="1166" spans="30:33" x14ac:dyDescent="0.25">
      <c r="AD1166" s="2" t="str">
        <f t="shared" si="54"/>
        <v/>
      </c>
      <c r="AE1166" s="2" t="str">
        <f t="shared" si="55"/>
        <v/>
      </c>
      <c r="AF1166" s="2" t="str">
        <f t="shared" si="56"/>
        <v/>
      </c>
      <c r="AG1166" s="2" t="str">
        <f>IF($L1166="","",IF(COUNTIF(LISTS!$A$2:$A$200,$H1166)=0,"NEW",""))</f>
        <v/>
      </c>
    </row>
    <row r="1167" spans="30:33" x14ac:dyDescent="0.25">
      <c r="AD1167" s="2" t="str">
        <f t="shared" si="54"/>
        <v/>
      </c>
      <c r="AE1167" s="2" t="str">
        <f t="shared" si="55"/>
        <v/>
      </c>
      <c r="AF1167" s="2" t="str">
        <f t="shared" si="56"/>
        <v/>
      </c>
      <c r="AG1167" s="2" t="str">
        <f>IF($L1167="","",IF(COUNTIF(LISTS!$A$2:$A$200,$H1167)=0,"NEW",""))</f>
        <v/>
      </c>
    </row>
    <row r="1168" spans="30:33" x14ac:dyDescent="0.25">
      <c r="AD1168" s="2" t="str">
        <f t="shared" si="54"/>
        <v/>
      </c>
      <c r="AE1168" s="2" t="str">
        <f t="shared" si="55"/>
        <v/>
      </c>
      <c r="AF1168" s="2" t="str">
        <f t="shared" si="56"/>
        <v/>
      </c>
      <c r="AG1168" s="2" t="str">
        <f>IF($L1168="","",IF(COUNTIF(LISTS!$A$2:$A$200,$H1168)=0,"NEW",""))</f>
        <v/>
      </c>
    </row>
    <row r="1169" spans="30:33" x14ac:dyDescent="0.25">
      <c r="AD1169" s="2" t="str">
        <f t="shared" si="54"/>
        <v/>
      </c>
      <c r="AE1169" s="2" t="str">
        <f t="shared" si="55"/>
        <v/>
      </c>
      <c r="AF1169" s="2" t="str">
        <f t="shared" si="56"/>
        <v/>
      </c>
      <c r="AG1169" s="2" t="str">
        <f>IF($L1169="","",IF(COUNTIF(LISTS!$A$2:$A$200,$H1169)=0,"NEW",""))</f>
        <v/>
      </c>
    </row>
    <row r="1170" spans="30:33" x14ac:dyDescent="0.25">
      <c r="AD1170" s="2" t="str">
        <f t="shared" si="54"/>
        <v/>
      </c>
      <c r="AE1170" s="2" t="str">
        <f t="shared" si="55"/>
        <v/>
      </c>
      <c r="AF1170" s="2" t="str">
        <f t="shared" si="56"/>
        <v/>
      </c>
      <c r="AG1170" s="2" t="str">
        <f>IF($L1170="","",IF(COUNTIF(LISTS!$A$2:$A$200,$H1170)=0,"NEW",""))</f>
        <v/>
      </c>
    </row>
    <row r="1171" spans="30:33" x14ac:dyDescent="0.25">
      <c r="AD1171" s="2" t="str">
        <f t="shared" si="54"/>
        <v/>
      </c>
      <c r="AE1171" s="2" t="str">
        <f t="shared" si="55"/>
        <v/>
      </c>
      <c r="AF1171" s="2" t="str">
        <f t="shared" si="56"/>
        <v/>
      </c>
      <c r="AG1171" s="2" t="str">
        <f>IF($L1171="","",IF(COUNTIF(LISTS!$A$2:$A$200,$H1171)=0,"NEW",""))</f>
        <v/>
      </c>
    </row>
    <row r="1172" spans="30:33" x14ac:dyDescent="0.25">
      <c r="AD1172" s="2" t="str">
        <f t="shared" si="54"/>
        <v/>
      </c>
      <c r="AE1172" s="2" t="str">
        <f t="shared" si="55"/>
        <v/>
      </c>
      <c r="AF1172" s="2" t="str">
        <f t="shared" si="56"/>
        <v/>
      </c>
      <c r="AG1172" s="2" t="str">
        <f>IF($L1172="","",IF(COUNTIF(LISTS!$A$2:$A$200,$H1172)=0,"NEW",""))</f>
        <v/>
      </c>
    </row>
    <row r="1173" spans="30:33" x14ac:dyDescent="0.25">
      <c r="AD1173" s="2" t="str">
        <f t="shared" si="54"/>
        <v/>
      </c>
      <c r="AE1173" s="2" t="str">
        <f t="shared" si="55"/>
        <v/>
      </c>
      <c r="AF1173" s="2" t="str">
        <f t="shared" si="56"/>
        <v/>
      </c>
      <c r="AG1173" s="2" t="str">
        <f>IF($L1173="","",IF(COUNTIF(LISTS!$A$2:$A$200,$H1173)=0,"NEW",""))</f>
        <v/>
      </c>
    </row>
    <row r="1174" spans="30:33" x14ac:dyDescent="0.25">
      <c r="AD1174" s="2" t="str">
        <f t="shared" si="54"/>
        <v/>
      </c>
      <c r="AE1174" s="2" t="str">
        <f t="shared" si="55"/>
        <v/>
      </c>
      <c r="AF1174" s="2" t="str">
        <f t="shared" si="56"/>
        <v/>
      </c>
      <c r="AG1174" s="2" t="str">
        <f>IF($L1174="","",IF(COUNTIF(LISTS!$A$2:$A$200,$H1174)=0,"NEW",""))</f>
        <v/>
      </c>
    </row>
    <row r="1175" spans="30:33" x14ac:dyDescent="0.25">
      <c r="AD1175" s="2" t="str">
        <f t="shared" si="54"/>
        <v/>
      </c>
      <c r="AE1175" s="2" t="str">
        <f t="shared" si="55"/>
        <v/>
      </c>
      <c r="AF1175" s="2" t="str">
        <f t="shared" si="56"/>
        <v/>
      </c>
      <c r="AG1175" s="2" t="str">
        <f>IF($L1175="","",IF(COUNTIF(LISTS!$A$2:$A$200,$H1175)=0,"NEW",""))</f>
        <v/>
      </c>
    </row>
    <row r="1176" spans="30:33" x14ac:dyDescent="0.25">
      <c r="AD1176" s="2" t="str">
        <f t="shared" si="54"/>
        <v/>
      </c>
      <c r="AE1176" s="2" t="str">
        <f t="shared" si="55"/>
        <v/>
      </c>
      <c r="AF1176" s="2" t="str">
        <f t="shared" si="56"/>
        <v/>
      </c>
      <c r="AG1176" s="2" t="str">
        <f>IF($L1176="","",IF(COUNTIF(LISTS!$A$2:$A$200,$H1176)=0,"NEW",""))</f>
        <v/>
      </c>
    </row>
    <row r="1177" spans="30:33" x14ac:dyDescent="0.25">
      <c r="AD1177" s="2" t="str">
        <f t="shared" si="54"/>
        <v/>
      </c>
      <c r="AE1177" s="2" t="str">
        <f t="shared" si="55"/>
        <v/>
      </c>
      <c r="AF1177" s="2" t="str">
        <f t="shared" si="56"/>
        <v/>
      </c>
      <c r="AG1177" s="2" t="str">
        <f>IF($L1177="","",IF(COUNTIF(LISTS!$A$2:$A$200,$H1177)=0,"NEW",""))</f>
        <v/>
      </c>
    </row>
    <row r="1178" spans="30:33" x14ac:dyDescent="0.25">
      <c r="AD1178" s="2" t="str">
        <f t="shared" si="54"/>
        <v/>
      </c>
      <c r="AE1178" s="2" t="str">
        <f t="shared" si="55"/>
        <v/>
      </c>
      <c r="AF1178" s="2" t="str">
        <f t="shared" si="56"/>
        <v/>
      </c>
      <c r="AG1178" s="2" t="str">
        <f>IF($L1178="","",IF(COUNTIF(LISTS!$A$2:$A$200,$H1178)=0,"NEW",""))</f>
        <v/>
      </c>
    </row>
    <row r="1179" spans="30:33" x14ac:dyDescent="0.25">
      <c r="AD1179" s="2" t="str">
        <f t="shared" si="54"/>
        <v/>
      </c>
      <c r="AE1179" s="2" t="str">
        <f t="shared" si="55"/>
        <v/>
      </c>
      <c r="AF1179" s="2" t="str">
        <f t="shared" si="56"/>
        <v/>
      </c>
      <c r="AG1179" s="2" t="str">
        <f>IF($L1179="","",IF(COUNTIF(LISTS!$A$2:$A$200,$H1179)=0,"NEW",""))</f>
        <v/>
      </c>
    </row>
    <row r="1180" spans="30:33" x14ac:dyDescent="0.25">
      <c r="AD1180" s="2" t="str">
        <f t="shared" si="54"/>
        <v/>
      </c>
      <c r="AE1180" s="2" t="str">
        <f t="shared" si="55"/>
        <v/>
      </c>
      <c r="AF1180" s="2" t="str">
        <f t="shared" si="56"/>
        <v/>
      </c>
      <c r="AG1180" s="2" t="str">
        <f>IF($L1180="","",IF(COUNTIF(LISTS!$A$2:$A$200,$H1180)=0,"NEW",""))</f>
        <v/>
      </c>
    </row>
    <row r="1181" spans="30:33" x14ac:dyDescent="0.25">
      <c r="AD1181" s="2" t="str">
        <f t="shared" si="54"/>
        <v/>
      </c>
      <c r="AE1181" s="2" t="str">
        <f t="shared" si="55"/>
        <v/>
      </c>
      <c r="AF1181" s="2" t="str">
        <f t="shared" si="56"/>
        <v/>
      </c>
      <c r="AG1181" s="2" t="str">
        <f>IF($L1181="","",IF(COUNTIF(LISTS!$A$2:$A$200,$H1181)=0,"NEW",""))</f>
        <v/>
      </c>
    </row>
    <row r="1182" spans="30:33" x14ac:dyDescent="0.25">
      <c r="AD1182" s="2" t="str">
        <f t="shared" si="54"/>
        <v/>
      </c>
      <c r="AE1182" s="2" t="str">
        <f t="shared" si="55"/>
        <v/>
      </c>
      <c r="AF1182" s="2" t="str">
        <f t="shared" si="56"/>
        <v/>
      </c>
      <c r="AG1182" s="2" t="str">
        <f>IF($L1182="","",IF(COUNTIF(LISTS!$A$2:$A$200,$H1182)=0,"NEW",""))</f>
        <v/>
      </c>
    </row>
    <row r="1183" spans="30:33" x14ac:dyDescent="0.25">
      <c r="AD1183" s="2" t="str">
        <f t="shared" si="54"/>
        <v/>
      </c>
      <c r="AE1183" s="2" t="str">
        <f t="shared" si="55"/>
        <v/>
      </c>
      <c r="AF1183" s="2" t="str">
        <f t="shared" si="56"/>
        <v/>
      </c>
      <c r="AG1183" s="2" t="str">
        <f>IF($L1183="","",IF(COUNTIF(LISTS!$A$2:$A$200,$H1183)=0,"NEW",""))</f>
        <v/>
      </c>
    </row>
    <row r="1184" spans="30:33" x14ac:dyDescent="0.25">
      <c r="AD1184" s="2" t="str">
        <f t="shared" si="54"/>
        <v/>
      </c>
      <c r="AE1184" s="2" t="str">
        <f t="shared" si="55"/>
        <v/>
      </c>
      <c r="AF1184" s="2" t="str">
        <f t="shared" si="56"/>
        <v/>
      </c>
      <c r="AG1184" s="2" t="str">
        <f>IF($L1184="","",IF(COUNTIF(LISTS!$A$2:$A$200,$H1184)=0,"NEW",""))</f>
        <v/>
      </c>
    </row>
    <row r="1185" spans="30:33" x14ac:dyDescent="0.25">
      <c r="AD1185" s="2" t="str">
        <f t="shared" si="54"/>
        <v/>
      </c>
      <c r="AE1185" s="2" t="str">
        <f t="shared" si="55"/>
        <v/>
      </c>
      <c r="AF1185" s="2" t="str">
        <f t="shared" si="56"/>
        <v/>
      </c>
      <c r="AG1185" s="2" t="str">
        <f>IF($L1185="","",IF(COUNTIF(LISTS!$A$2:$A$200,$H1185)=0,"NEW",""))</f>
        <v/>
      </c>
    </row>
    <row r="1186" spans="30:33" x14ac:dyDescent="0.25">
      <c r="AD1186" s="2" t="str">
        <f t="shared" si="54"/>
        <v/>
      </c>
      <c r="AE1186" s="2" t="str">
        <f t="shared" si="55"/>
        <v/>
      </c>
      <c r="AF1186" s="2" t="str">
        <f t="shared" si="56"/>
        <v/>
      </c>
      <c r="AG1186" s="2" t="str">
        <f>IF($L1186="","",IF(COUNTIF(LISTS!$A$2:$A$200,$H1186)=0,"NEW",""))</f>
        <v/>
      </c>
    </row>
    <row r="1187" spans="30:33" x14ac:dyDescent="0.25">
      <c r="AD1187" s="2" t="str">
        <f t="shared" si="54"/>
        <v/>
      </c>
      <c r="AE1187" s="2" t="str">
        <f t="shared" si="55"/>
        <v/>
      </c>
      <c r="AF1187" s="2" t="str">
        <f t="shared" si="56"/>
        <v/>
      </c>
      <c r="AG1187" s="2" t="str">
        <f>IF($L1187="","",IF(COUNTIF(LISTS!$A$2:$A$200,$H1187)=0,"NEW",""))</f>
        <v/>
      </c>
    </row>
    <row r="1188" spans="30:33" x14ac:dyDescent="0.25">
      <c r="AD1188" s="2" t="str">
        <f t="shared" si="54"/>
        <v/>
      </c>
      <c r="AE1188" s="2" t="str">
        <f t="shared" si="55"/>
        <v/>
      </c>
      <c r="AF1188" s="2" t="str">
        <f t="shared" si="56"/>
        <v/>
      </c>
      <c r="AG1188" s="2" t="str">
        <f>IF($L1188="","",IF(COUNTIF(LISTS!$A$2:$A$200,$H1188)=0,"NEW",""))</f>
        <v/>
      </c>
    </row>
    <row r="1189" spans="30:33" x14ac:dyDescent="0.25">
      <c r="AD1189" s="2" t="str">
        <f t="shared" si="54"/>
        <v/>
      </c>
      <c r="AE1189" s="2" t="str">
        <f t="shared" si="55"/>
        <v/>
      </c>
      <c r="AF1189" s="2" t="str">
        <f t="shared" si="56"/>
        <v/>
      </c>
      <c r="AG1189" s="2" t="str">
        <f>IF($L1189="","",IF(COUNTIF(LISTS!$A$2:$A$200,$H1189)=0,"NEW",""))</f>
        <v/>
      </c>
    </row>
    <row r="1190" spans="30:33" x14ac:dyDescent="0.25">
      <c r="AD1190" s="2" t="str">
        <f t="shared" si="54"/>
        <v/>
      </c>
      <c r="AE1190" s="2" t="str">
        <f t="shared" si="55"/>
        <v/>
      </c>
      <c r="AF1190" s="2" t="str">
        <f t="shared" si="56"/>
        <v/>
      </c>
      <c r="AG1190" s="2" t="str">
        <f>IF($L1190="","",IF(COUNTIF(LISTS!$A$2:$A$200,$H1190)=0,"NEW",""))</f>
        <v/>
      </c>
    </row>
    <row r="1191" spans="30:33" x14ac:dyDescent="0.25">
      <c r="AD1191" s="2" t="str">
        <f t="shared" si="54"/>
        <v/>
      </c>
      <c r="AE1191" s="2" t="str">
        <f t="shared" si="55"/>
        <v/>
      </c>
      <c r="AF1191" s="2" t="str">
        <f t="shared" si="56"/>
        <v/>
      </c>
      <c r="AG1191" s="2" t="str">
        <f>IF($L1191="","",IF(COUNTIF(LISTS!$A$2:$A$200,$H1191)=0,"NEW",""))</f>
        <v/>
      </c>
    </row>
    <row r="1192" spans="30:33" x14ac:dyDescent="0.25">
      <c r="AD1192" s="2" t="str">
        <f t="shared" si="54"/>
        <v/>
      </c>
      <c r="AE1192" s="2" t="str">
        <f t="shared" si="55"/>
        <v/>
      </c>
      <c r="AF1192" s="2" t="str">
        <f t="shared" si="56"/>
        <v/>
      </c>
      <c r="AG1192" s="2" t="str">
        <f>IF($L1192="","",IF(COUNTIF(LISTS!$A$2:$A$200,$H1192)=0,"NEW",""))</f>
        <v/>
      </c>
    </row>
    <row r="1193" spans="30:33" x14ac:dyDescent="0.25">
      <c r="AD1193" s="2" t="str">
        <f t="shared" si="54"/>
        <v/>
      </c>
      <c r="AE1193" s="2" t="str">
        <f t="shared" si="55"/>
        <v/>
      </c>
      <c r="AF1193" s="2" t="str">
        <f t="shared" si="56"/>
        <v/>
      </c>
      <c r="AG1193" s="2" t="str">
        <f>IF($L1193="","",IF(COUNTIF(LISTS!$A$2:$A$200,$H1193)=0,"NEW",""))</f>
        <v/>
      </c>
    </row>
    <row r="1194" spans="30:33" x14ac:dyDescent="0.25">
      <c r="AD1194" s="2" t="str">
        <f t="shared" si="54"/>
        <v/>
      </c>
      <c r="AE1194" s="2" t="str">
        <f t="shared" si="55"/>
        <v/>
      </c>
      <c r="AF1194" s="2" t="str">
        <f t="shared" si="56"/>
        <v/>
      </c>
      <c r="AG1194" s="2" t="str">
        <f>IF($L1194="","",IF(COUNTIF(LISTS!$A$2:$A$200,$H1194)=0,"NEW",""))</f>
        <v/>
      </c>
    </row>
    <row r="1195" spans="30:33" x14ac:dyDescent="0.25">
      <c r="AD1195" s="2" t="str">
        <f t="shared" si="54"/>
        <v/>
      </c>
      <c r="AE1195" s="2" t="str">
        <f t="shared" si="55"/>
        <v/>
      </c>
      <c r="AF1195" s="2" t="str">
        <f t="shared" si="56"/>
        <v/>
      </c>
      <c r="AG1195" s="2" t="str">
        <f>IF($L1195="","",IF(COUNTIF(LISTS!$A$2:$A$200,$H1195)=0,"NEW",""))</f>
        <v/>
      </c>
    </row>
    <row r="1196" spans="30:33" x14ac:dyDescent="0.25">
      <c r="AD1196" s="2" t="str">
        <f t="shared" si="54"/>
        <v/>
      </c>
      <c r="AE1196" s="2" t="str">
        <f t="shared" si="55"/>
        <v/>
      </c>
      <c r="AF1196" s="2" t="str">
        <f t="shared" si="56"/>
        <v/>
      </c>
      <c r="AG1196" s="2" t="str">
        <f>IF($L1196="","",IF(COUNTIF(LISTS!$A$2:$A$200,$H1196)=0,"NEW",""))</f>
        <v/>
      </c>
    </row>
    <row r="1197" spans="30:33" x14ac:dyDescent="0.25">
      <c r="AD1197" s="2" t="str">
        <f t="shared" si="54"/>
        <v/>
      </c>
      <c r="AE1197" s="2" t="str">
        <f t="shared" si="55"/>
        <v/>
      </c>
      <c r="AF1197" s="2" t="str">
        <f t="shared" si="56"/>
        <v/>
      </c>
      <c r="AG1197" s="2" t="str">
        <f>IF($L1197="","",IF(COUNTIF(LISTS!$A$2:$A$200,$H1197)=0,"NEW",""))</f>
        <v/>
      </c>
    </row>
    <row r="1198" spans="30:33" x14ac:dyDescent="0.25">
      <c r="AD1198" s="2" t="str">
        <f t="shared" si="54"/>
        <v/>
      </c>
      <c r="AE1198" s="2" t="str">
        <f t="shared" si="55"/>
        <v/>
      </c>
      <c r="AF1198" s="2" t="str">
        <f t="shared" si="56"/>
        <v/>
      </c>
      <c r="AG1198" s="2" t="str">
        <f>IF($L1198="","",IF(COUNTIF(LISTS!$A$2:$A$200,$H1198)=0,"NEW",""))</f>
        <v/>
      </c>
    </row>
    <row r="1199" spans="30:33" x14ac:dyDescent="0.25">
      <c r="AD1199" s="2" t="str">
        <f t="shared" si="54"/>
        <v/>
      </c>
      <c r="AE1199" s="2" t="str">
        <f t="shared" si="55"/>
        <v/>
      </c>
      <c r="AF1199" s="2" t="str">
        <f t="shared" si="56"/>
        <v/>
      </c>
      <c r="AG1199" s="2" t="str">
        <f>IF($L1199="","",IF(COUNTIF(LISTS!$A$2:$A$200,$H1199)=0,"NEW",""))</f>
        <v/>
      </c>
    </row>
    <row r="1200" spans="30:33" x14ac:dyDescent="0.25">
      <c r="AD1200" s="2" t="str">
        <f t="shared" si="54"/>
        <v/>
      </c>
      <c r="AE1200" s="2" t="str">
        <f t="shared" si="55"/>
        <v/>
      </c>
      <c r="AF1200" s="2" t="str">
        <f t="shared" si="56"/>
        <v/>
      </c>
      <c r="AG1200" s="2" t="str">
        <f>IF($L1200="","",IF(COUNTIF(LISTS!$A$2:$A$200,$H1200)=0,"NEW",""))</f>
        <v/>
      </c>
    </row>
    <row r="1201" spans="30:33" x14ac:dyDescent="0.25">
      <c r="AD1201" s="2" t="str">
        <f t="shared" si="54"/>
        <v/>
      </c>
      <c r="AE1201" s="2" t="str">
        <f t="shared" si="55"/>
        <v/>
      </c>
      <c r="AF1201" s="2" t="str">
        <f t="shared" si="56"/>
        <v/>
      </c>
      <c r="AG1201" s="2" t="str">
        <f>IF($L1201="","",IF(COUNTIF(LISTS!$A$2:$A$200,$H1201)=0,"NEW",""))</f>
        <v/>
      </c>
    </row>
    <row r="1202" spans="30:33" x14ac:dyDescent="0.25">
      <c r="AD1202" s="2" t="str">
        <f t="shared" si="54"/>
        <v/>
      </c>
      <c r="AE1202" s="2" t="str">
        <f t="shared" si="55"/>
        <v/>
      </c>
      <c r="AF1202" s="2" t="str">
        <f t="shared" si="56"/>
        <v/>
      </c>
      <c r="AG1202" s="2" t="str">
        <f>IF($L1202="","",IF(COUNTIF(LISTS!$A$2:$A$200,$H1202)=0,"NEW",""))</f>
        <v/>
      </c>
    </row>
    <row r="1203" spans="30:33" x14ac:dyDescent="0.25">
      <c r="AD1203" s="2" t="str">
        <f t="shared" si="54"/>
        <v/>
      </c>
      <c r="AE1203" s="2" t="str">
        <f t="shared" si="55"/>
        <v/>
      </c>
      <c r="AF1203" s="2" t="str">
        <f t="shared" si="56"/>
        <v/>
      </c>
      <c r="AG1203" s="2" t="str">
        <f>IF($L1203="","",IF(COUNTIF(LISTS!$A$2:$A$200,$H1203)=0,"NEW",""))</f>
        <v/>
      </c>
    </row>
    <row r="1204" spans="30:33" x14ac:dyDescent="0.25">
      <c r="AD1204" s="2" t="str">
        <f t="shared" si="54"/>
        <v/>
      </c>
      <c r="AE1204" s="2" t="str">
        <f t="shared" si="55"/>
        <v/>
      </c>
      <c r="AF1204" s="2" t="str">
        <f t="shared" si="56"/>
        <v/>
      </c>
      <c r="AG1204" s="2" t="str">
        <f>IF($L1204="","",IF(COUNTIF(LISTS!$A$2:$A$200,$H1204)=0,"NEW",""))</f>
        <v/>
      </c>
    </row>
    <row r="1205" spans="30:33" x14ac:dyDescent="0.25">
      <c r="AD1205" s="2" t="str">
        <f t="shared" si="54"/>
        <v/>
      </c>
      <c r="AE1205" s="2" t="str">
        <f t="shared" si="55"/>
        <v/>
      </c>
      <c r="AF1205" s="2" t="str">
        <f t="shared" si="56"/>
        <v/>
      </c>
      <c r="AG1205" s="2" t="str">
        <f>IF($L1205="","",IF(COUNTIF(LISTS!$A$2:$A$200,$H1205)=0,"NEW",""))</f>
        <v/>
      </c>
    </row>
    <row r="1206" spans="30:33" x14ac:dyDescent="0.25">
      <c r="AD1206" s="2" t="str">
        <f t="shared" si="54"/>
        <v/>
      </c>
      <c r="AE1206" s="2" t="str">
        <f t="shared" si="55"/>
        <v/>
      </c>
      <c r="AF1206" s="2" t="str">
        <f t="shared" si="56"/>
        <v/>
      </c>
      <c r="AG1206" s="2" t="str">
        <f>IF($L1206="","",IF(COUNTIF(LISTS!$A$2:$A$200,$H1206)=0,"NEW",""))</f>
        <v/>
      </c>
    </row>
    <row r="1207" spans="30:33" x14ac:dyDescent="0.25">
      <c r="AD1207" s="2" t="str">
        <f t="shared" si="54"/>
        <v/>
      </c>
      <c r="AE1207" s="2" t="str">
        <f t="shared" si="55"/>
        <v/>
      </c>
      <c r="AF1207" s="2" t="str">
        <f t="shared" si="56"/>
        <v/>
      </c>
      <c r="AG1207" s="2" t="str">
        <f>IF($L1207="","",IF(COUNTIF(LISTS!$A$2:$A$200,$H1207)=0,"NEW",""))</f>
        <v/>
      </c>
    </row>
    <row r="1208" spans="30:33" x14ac:dyDescent="0.25">
      <c r="AD1208" s="2" t="str">
        <f t="shared" si="54"/>
        <v/>
      </c>
      <c r="AE1208" s="2" t="str">
        <f t="shared" si="55"/>
        <v/>
      </c>
      <c r="AF1208" s="2" t="str">
        <f t="shared" si="56"/>
        <v/>
      </c>
      <c r="AG1208" s="2" t="str">
        <f>IF($L1208="","",IF(COUNTIF(LISTS!$A$2:$A$200,$H1208)=0,"NEW",""))</f>
        <v/>
      </c>
    </row>
    <row r="1209" spans="30:33" x14ac:dyDescent="0.25">
      <c r="AD1209" s="2" t="str">
        <f t="shared" si="54"/>
        <v/>
      </c>
      <c r="AE1209" s="2" t="str">
        <f t="shared" si="55"/>
        <v/>
      </c>
      <c r="AF1209" s="2" t="str">
        <f t="shared" si="56"/>
        <v/>
      </c>
      <c r="AG1209" s="2" t="str">
        <f>IF($L1209="","",IF(COUNTIF(LISTS!$A$2:$A$200,$H1209)=0,"NEW",""))</f>
        <v/>
      </c>
    </row>
    <row r="1210" spans="30:33" x14ac:dyDescent="0.25">
      <c r="AD1210" s="2" t="str">
        <f t="shared" si="54"/>
        <v/>
      </c>
      <c r="AE1210" s="2" t="str">
        <f t="shared" si="55"/>
        <v/>
      </c>
      <c r="AF1210" s="2" t="str">
        <f t="shared" si="56"/>
        <v/>
      </c>
      <c r="AG1210" s="2" t="str">
        <f>IF($L1210="","",IF(COUNTIF(LISTS!$A$2:$A$200,$H1210)=0,"NEW",""))</f>
        <v/>
      </c>
    </row>
    <row r="1211" spans="30:33" x14ac:dyDescent="0.25">
      <c r="AD1211" s="2" t="str">
        <f t="shared" si="54"/>
        <v/>
      </c>
      <c r="AE1211" s="2" t="str">
        <f t="shared" si="55"/>
        <v/>
      </c>
      <c r="AF1211" s="2" t="str">
        <f t="shared" si="56"/>
        <v/>
      </c>
      <c r="AG1211" s="2" t="str">
        <f>IF($L1211="","",IF(COUNTIF(LISTS!$A$2:$A$200,$H1211)=0,"NEW",""))</f>
        <v/>
      </c>
    </row>
    <row r="1212" spans="30:33" x14ac:dyDescent="0.25">
      <c r="AD1212" s="2" t="str">
        <f t="shared" si="54"/>
        <v/>
      </c>
      <c r="AE1212" s="2" t="str">
        <f t="shared" si="55"/>
        <v/>
      </c>
      <c r="AF1212" s="2" t="str">
        <f t="shared" si="56"/>
        <v/>
      </c>
      <c r="AG1212" s="2" t="str">
        <f>IF($L1212="","",IF(COUNTIF(LISTS!$A$2:$A$200,$H1212)=0,"NEW",""))</f>
        <v/>
      </c>
    </row>
    <row r="1213" spans="30:33" x14ac:dyDescent="0.25">
      <c r="AD1213" s="2" t="str">
        <f t="shared" si="54"/>
        <v/>
      </c>
      <c r="AE1213" s="2" t="str">
        <f t="shared" si="55"/>
        <v/>
      </c>
      <c r="AF1213" s="2" t="str">
        <f t="shared" si="56"/>
        <v/>
      </c>
      <c r="AG1213" s="2" t="str">
        <f>IF($L1213="","",IF(COUNTIF(LISTS!$A$2:$A$200,$H1213)=0,"NEW",""))</f>
        <v/>
      </c>
    </row>
    <row r="1214" spans="30:33" x14ac:dyDescent="0.25">
      <c r="AD1214" s="2" t="str">
        <f t="shared" si="54"/>
        <v/>
      </c>
      <c r="AE1214" s="2" t="str">
        <f t="shared" si="55"/>
        <v/>
      </c>
      <c r="AF1214" s="2" t="str">
        <f t="shared" si="56"/>
        <v/>
      </c>
      <c r="AG1214" s="2" t="str">
        <f>IF($L1214="","",IF(COUNTIF(LISTS!$A$2:$A$200,$H1214)=0,"NEW",""))</f>
        <v/>
      </c>
    </row>
    <row r="1215" spans="30:33" x14ac:dyDescent="0.25">
      <c r="AD1215" s="2" t="str">
        <f t="shared" si="54"/>
        <v/>
      </c>
      <c r="AE1215" s="2" t="str">
        <f t="shared" si="55"/>
        <v/>
      </c>
      <c r="AF1215" s="2" t="str">
        <f t="shared" si="56"/>
        <v/>
      </c>
      <c r="AG1215" s="2" t="str">
        <f>IF($L1215="","",IF(COUNTIF(LISTS!$A$2:$A$200,$H1215)=0,"NEW",""))</f>
        <v/>
      </c>
    </row>
    <row r="1216" spans="30:33" x14ac:dyDescent="0.25">
      <c r="AD1216" s="2" t="str">
        <f t="shared" si="54"/>
        <v/>
      </c>
      <c r="AE1216" s="2" t="str">
        <f t="shared" si="55"/>
        <v/>
      </c>
      <c r="AF1216" s="2" t="str">
        <f t="shared" si="56"/>
        <v/>
      </c>
      <c r="AG1216" s="2" t="str">
        <f>IF($L1216="","",IF(COUNTIF(LISTS!$A$2:$A$200,$H1216)=0,"NEW",""))</f>
        <v/>
      </c>
    </row>
    <row r="1217" spans="30:33" x14ac:dyDescent="0.25">
      <c r="AD1217" s="2" t="str">
        <f t="shared" si="54"/>
        <v/>
      </c>
      <c r="AE1217" s="2" t="str">
        <f t="shared" si="55"/>
        <v/>
      </c>
      <c r="AF1217" s="2" t="str">
        <f t="shared" si="56"/>
        <v/>
      </c>
      <c r="AG1217" s="2" t="str">
        <f>IF($L1217="","",IF(COUNTIF(LISTS!$A$2:$A$200,$H1217)=0,"NEW",""))</f>
        <v/>
      </c>
    </row>
    <row r="1218" spans="30:33" x14ac:dyDescent="0.25">
      <c r="AD1218" s="2" t="str">
        <f t="shared" ref="AD1218:AD1281" si="57">IF($L1218="","",IF(ISNUMBER(SEARCH("OFF ROAD",$H1218)),"OFF",IF(ISNUMBER(SEARCH("ON ROAD",$H1218)),"ON","")))</f>
        <v/>
      </c>
      <c r="AE1218" s="2" t="str">
        <f t="shared" ref="AE1218:AE1281" si="58">IF($AD1218="ON",""&amp;$L1218,"")</f>
        <v/>
      </c>
      <c r="AF1218" s="2" t="str">
        <f t="shared" ref="AF1218:AF1281" si="59">IF($L1218="","",IF($J1218&lt;&gt;"","Y",""))</f>
        <v/>
      </c>
      <c r="AG1218" s="2" t="str">
        <f>IF($L1218="","",IF(COUNTIF(LISTS!$A$2:$A$200,$H1218)=0,"NEW",""))</f>
        <v/>
      </c>
    </row>
    <row r="1219" spans="30:33" x14ac:dyDescent="0.25">
      <c r="AD1219" s="2" t="str">
        <f t="shared" si="57"/>
        <v/>
      </c>
      <c r="AE1219" s="2" t="str">
        <f t="shared" si="58"/>
        <v/>
      </c>
      <c r="AF1219" s="2" t="str">
        <f t="shared" si="59"/>
        <v/>
      </c>
      <c r="AG1219" s="2" t="str">
        <f>IF($L1219="","",IF(COUNTIF(LISTS!$A$2:$A$200,$H1219)=0,"NEW",""))</f>
        <v/>
      </c>
    </row>
    <row r="1220" spans="30:33" x14ac:dyDescent="0.25">
      <c r="AD1220" s="2" t="str">
        <f t="shared" si="57"/>
        <v/>
      </c>
      <c r="AE1220" s="2" t="str">
        <f t="shared" si="58"/>
        <v/>
      </c>
      <c r="AF1220" s="2" t="str">
        <f t="shared" si="59"/>
        <v/>
      </c>
      <c r="AG1220" s="2" t="str">
        <f>IF($L1220="","",IF(COUNTIF(LISTS!$A$2:$A$200,$H1220)=0,"NEW",""))</f>
        <v/>
      </c>
    </row>
    <row r="1221" spans="30:33" x14ac:dyDescent="0.25">
      <c r="AD1221" s="2" t="str">
        <f t="shared" si="57"/>
        <v/>
      </c>
      <c r="AE1221" s="2" t="str">
        <f t="shared" si="58"/>
        <v/>
      </c>
      <c r="AF1221" s="2" t="str">
        <f t="shared" si="59"/>
        <v/>
      </c>
      <c r="AG1221" s="2" t="str">
        <f>IF($L1221="","",IF(COUNTIF(LISTS!$A$2:$A$200,$H1221)=0,"NEW",""))</f>
        <v/>
      </c>
    </row>
    <row r="1222" spans="30:33" x14ac:dyDescent="0.25">
      <c r="AD1222" s="2" t="str">
        <f t="shared" si="57"/>
        <v/>
      </c>
      <c r="AE1222" s="2" t="str">
        <f t="shared" si="58"/>
        <v/>
      </c>
      <c r="AF1222" s="2" t="str">
        <f t="shared" si="59"/>
        <v/>
      </c>
      <c r="AG1222" s="2" t="str">
        <f>IF($L1222="","",IF(COUNTIF(LISTS!$A$2:$A$200,$H1222)=0,"NEW",""))</f>
        <v/>
      </c>
    </row>
    <row r="1223" spans="30:33" x14ac:dyDescent="0.25">
      <c r="AD1223" s="2" t="str">
        <f t="shared" si="57"/>
        <v/>
      </c>
      <c r="AE1223" s="2" t="str">
        <f t="shared" si="58"/>
        <v/>
      </c>
      <c r="AF1223" s="2" t="str">
        <f t="shared" si="59"/>
        <v/>
      </c>
      <c r="AG1223" s="2" t="str">
        <f>IF($L1223="","",IF(COUNTIF(LISTS!$A$2:$A$200,$H1223)=0,"NEW",""))</f>
        <v/>
      </c>
    </row>
    <row r="1224" spans="30:33" x14ac:dyDescent="0.25">
      <c r="AD1224" s="2" t="str">
        <f t="shared" si="57"/>
        <v/>
      </c>
      <c r="AE1224" s="2" t="str">
        <f t="shared" si="58"/>
        <v/>
      </c>
      <c r="AF1224" s="2" t="str">
        <f t="shared" si="59"/>
        <v/>
      </c>
      <c r="AG1224" s="2" t="str">
        <f>IF($L1224="","",IF(COUNTIF(LISTS!$A$2:$A$200,$H1224)=0,"NEW",""))</f>
        <v/>
      </c>
    </row>
    <row r="1225" spans="30:33" x14ac:dyDescent="0.25">
      <c r="AD1225" s="2" t="str">
        <f t="shared" si="57"/>
        <v/>
      </c>
      <c r="AE1225" s="2" t="str">
        <f t="shared" si="58"/>
        <v/>
      </c>
      <c r="AF1225" s="2" t="str">
        <f t="shared" si="59"/>
        <v/>
      </c>
      <c r="AG1225" s="2" t="str">
        <f>IF($L1225="","",IF(COUNTIF(LISTS!$A$2:$A$200,$H1225)=0,"NEW",""))</f>
        <v/>
      </c>
    </row>
    <row r="1226" spans="30:33" x14ac:dyDescent="0.25">
      <c r="AD1226" s="2" t="str">
        <f t="shared" si="57"/>
        <v/>
      </c>
      <c r="AE1226" s="2" t="str">
        <f t="shared" si="58"/>
        <v/>
      </c>
      <c r="AF1226" s="2" t="str">
        <f t="shared" si="59"/>
        <v/>
      </c>
      <c r="AG1226" s="2" t="str">
        <f>IF($L1226="","",IF(COUNTIF(LISTS!$A$2:$A$200,$H1226)=0,"NEW",""))</f>
        <v/>
      </c>
    </row>
    <row r="1227" spans="30:33" x14ac:dyDescent="0.25">
      <c r="AD1227" s="2" t="str">
        <f t="shared" si="57"/>
        <v/>
      </c>
      <c r="AE1227" s="2" t="str">
        <f t="shared" si="58"/>
        <v/>
      </c>
      <c r="AF1227" s="2" t="str">
        <f t="shared" si="59"/>
        <v/>
      </c>
      <c r="AG1227" s="2" t="str">
        <f>IF($L1227="","",IF(COUNTIF(LISTS!$A$2:$A$200,$H1227)=0,"NEW",""))</f>
        <v/>
      </c>
    </row>
    <row r="1228" spans="30:33" x14ac:dyDescent="0.25">
      <c r="AD1228" s="2" t="str">
        <f t="shared" si="57"/>
        <v/>
      </c>
      <c r="AE1228" s="2" t="str">
        <f t="shared" si="58"/>
        <v/>
      </c>
      <c r="AF1228" s="2" t="str">
        <f t="shared" si="59"/>
        <v/>
      </c>
      <c r="AG1228" s="2" t="str">
        <f>IF($L1228="","",IF(COUNTIF(LISTS!$A$2:$A$200,$H1228)=0,"NEW",""))</f>
        <v/>
      </c>
    </row>
    <row r="1229" spans="30:33" x14ac:dyDescent="0.25">
      <c r="AD1229" s="2" t="str">
        <f t="shared" si="57"/>
        <v/>
      </c>
      <c r="AE1229" s="2" t="str">
        <f t="shared" si="58"/>
        <v/>
      </c>
      <c r="AF1229" s="2" t="str">
        <f t="shared" si="59"/>
        <v/>
      </c>
      <c r="AG1229" s="2" t="str">
        <f>IF($L1229="","",IF(COUNTIF(LISTS!$A$2:$A$200,$H1229)=0,"NEW",""))</f>
        <v/>
      </c>
    </row>
    <row r="1230" spans="30:33" x14ac:dyDescent="0.25">
      <c r="AD1230" s="2" t="str">
        <f t="shared" si="57"/>
        <v/>
      </c>
      <c r="AE1230" s="2" t="str">
        <f t="shared" si="58"/>
        <v/>
      </c>
      <c r="AF1230" s="2" t="str">
        <f t="shared" si="59"/>
        <v/>
      </c>
      <c r="AG1230" s="2" t="str">
        <f>IF($L1230="","",IF(COUNTIF(LISTS!$A$2:$A$200,$H1230)=0,"NEW",""))</f>
        <v/>
      </c>
    </row>
    <row r="1231" spans="30:33" x14ac:dyDescent="0.25">
      <c r="AD1231" s="2" t="str">
        <f t="shared" si="57"/>
        <v/>
      </c>
      <c r="AE1231" s="2" t="str">
        <f t="shared" si="58"/>
        <v/>
      </c>
      <c r="AF1231" s="2" t="str">
        <f t="shared" si="59"/>
        <v/>
      </c>
      <c r="AG1231" s="2" t="str">
        <f>IF($L1231="","",IF(COUNTIF(LISTS!$A$2:$A$200,$H1231)=0,"NEW",""))</f>
        <v/>
      </c>
    </row>
    <row r="1232" spans="30:33" x14ac:dyDescent="0.25">
      <c r="AD1232" s="2" t="str">
        <f t="shared" si="57"/>
        <v/>
      </c>
      <c r="AE1232" s="2" t="str">
        <f t="shared" si="58"/>
        <v/>
      </c>
      <c r="AF1232" s="2" t="str">
        <f t="shared" si="59"/>
        <v/>
      </c>
      <c r="AG1232" s="2" t="str">
        <f>IF($L1232="","",IF(COUNTIF(LISTS!$A$2:$A$200,$H1232)=0,"NEW",""))</f>
        <v/>
      </c>
    </row>
    <row r="1233" spans="30:33" x14ac:dyDescent="0.25">
      <c r="AD1233" s="2" t="str">
        <f t="shared" si="57"/>
        <v/>
      </c>
      <c r="AE1233" s="2" t="str">
        <f t="shared" si="58"/>
        <v/>
      </c>
      <c r="AF1233" s="2" t="str">
        <f t="shared" si="59"/>
        <v/>
      </c>
      <c r="AG1233" s="2" t="str">
        <f>IF($L1233="","",IF(COUNTIF(LISTS!$A$2:$A$200,$H1233)=0,"NEW",""))</f>
        <v/>
      </c>
    </row>
    <row r="1234" spans="30:33" x14ac:dyDescent="0.25">
      <c r="AD1234" s="2" t="str">
        <f t="shared" si="57"/>
        <v/>
      </c>
      <c r="AE1234" s="2" t="str">
        <f t="shared" si="58"/>
        <v/>
      </c>
      <c r="AF1234" s="2" t="str">
        <f t="shared" si="59"/>
        <v/>
      </c>
      <c r="AG1234" s="2" t="str">
        <f>IF($L1234="","",IF(COUNTIF(LISTS!$A$2:$A$200,$H1234)=0,"NEW",""))</f>
        <v/>
      </c>
    </row>
    <row r="1235" spans="30:33" x14ac:dyDescent="0.25">
      <c r="AD1235" s="2" t="str">
        <f t="shared" si="57"/>
        <v/>
      </c>
      <c r="AE1235" s="2" t="str">
        <f t="shared" si="58"/>
        <v/>
      </c>
      <c r="AF1235" s="2" t="str">
        <f t="shared" si="59"/>
        <v/>
      </c>
      <c r="AG1235" s="2" t="str">
        <f>IF($L1235="","",IF(COUNTIF(LISTS!$A$2:$A$200,$H1235)=0,"NEW",""))</f>
        <v/>
      </c>
    </row>
    <row r="1236" spans="30:33" x14ac:dyDescent="0.25">
      <c r="AD1236" s="2" t="str">
        <f t="shared" si="57"/>
        <v/>
      </c>
      <c r="AE1236" s="2" t="str">
        <f t="shared" si="58"/>
        <v/>
      </c>
      <c r="AF1236" s="2" t="str">
        <f t="shared" si="59"/>
        <v/>
      </c>
      <c r="AG1236" s="2" t="str">
        <f>IF($L1236="","",IF(COUNTIF(LISTS!$A$2:$A$200,$H1236)=0,"NEW",""))</f>
        <v/>
      </c>
    </row>
    <row r="1237" spans="30:33" x14ac:dyDescent="0.25">
      <c r="AD1237" s="2" t="str">
        <f t="shared" si="57"/>
        <v/>
      </c>
      <c r="AE1237" s="2" t="str">
        <f t="shared" si="58"/>
        <v/>
      </c>
      <c r="AF1237" s="2" t="str">
        <f t="shared" si="59"/>
        <v/>
      </c>
      <c r="AG1237" s="2" t="str">
        <f>IF($L1237="","",IF(COUNTIF(LISTS!$A$2:$A$200,$H1237)=0,"NEW",""))</f>
        <v/>
      </c>
    </row>
    <row r="1238" spans="30:33" x14ac:dyDescent="0.25">
      <c r="AD1238" s="2" t="str">
        <f t="shared" si="57"/>
        <v/>
      </c>
      <c r="AE1238" s="2" t="str">
        <f t="shared" si="58"/>
        <v/>
      </c>
      <c r="AF1238" s="2" t="str">
        <f t="shared" si="59"/>
        <v/>
      </c>
      <c r="AG1238" s="2" t="str">
        <f>IF($L1238="","",IF(COUNTIF(LISTS!$A$2:$A$200,$H1238)=0,"NEW",""))</f>
        <v/>
      </c>
    </row>
    <row r="1239" spans="30:33" x14ac:dyDescent="0.25">
      <c r="AD1239" s="2" t="str">
        <f t="shared" si="57"/>
        <v/>
      </c>
      <c r="AE1239" s="2" t="str">
        <f t="shared" si="58"/>
        <v/>
      </c>
      <c r="AF1239" s="2" t="str">
        <f t="shared" si="59"/>
        <v/>
      </c>
      <c r="AG1239" s="2" t="str">
        <f>IF($L1239="","",IF(COUNTIF(LISTS!$A$2:$A$200,$H1239)=0,"NEW",""))</f>
        <v/>
      </c>
    </row>
    <row r="1240" spans="30:33" x14ac:dyDescent="0.25">
      <c r="AD1240" s="2" t="str">
        <f t="shared" si="57"/>
        <v/>
      </c>
      <c r="AE1240" s="2" t="str">
        <f t="shared" si="58"/>
        <v/>
      </c>
      <c r="AF1240" s="2" t="str">
        <f t="shared" si="59"/>
        <v/>
      </c>
      <c r="AG1240" s="2" t="str">
        <f>IF($L1240="","",IF(COUNTIF(LISTS!$A$2:$A$200,$H1240)=0,"NEW",""))</f>
        <v/>
      </c>
    </row>
    <row r="1241" spans="30:33" x14ac:dyDescent="0.25">
      <c r="AD1241" s="2" t="str">
        <f t="shared" si="57"/>
        <v/>
      </c>
      <c r="AE1241" s="2" t="str">
        <f t="shared" si="58"/>
        <v/>
      </c>
      <c r="AF1241" s="2" t="str">
        <f t="shared" si="59"/>
        <v/>
      </c>
      <c r="AG1241" s="2" t="str">
        <f>IF($L1241="","",IF(COUNTIF(LISTS!$A$2:$A$200,$H1241)=0,"NEW",""))</f>
        <v/>
      </c>
    </row>
    <row r="1242" spans="30:33" x14ac:dyDescent="0.25">
      <c r="AD1242" s="2" t="str">
        <f t="shared" si="57"/>
        <v/>
      </c>
      <c r="AE1242" s="2" t="str">
        <f t="shared" si="58"/>
        <v/>
      </c>
      <c r="AF1242" s="2" t="str">
        <f t="shared" si="59"/>
        <v/>
      </c>
      <c r="AG1242" s="2" t="str">
        <f>IF($L1242="","",IF(COUNTIF(LISTS!$A$2:$A$200,$H1242)=0,"NEW",""))</f>
        <v/>
      </c>
    </row>
    <row r="1243" spans="30:33" x14ac:dyDescent="0.25">
      <c r="AD1243" s="2" t="str">
        <f t="shared" si="57"/>
        <v/>
      </c>
      <c r="AE1243" s="2" t="str">
        <f t="shared" si="58"/>
        <v/>
      </c>
      <c r="AF1243" s="2" t="str">
        <f t="shared" si="59"/>
        <v/>
      </c>
      <c r="AG1243" s="2" t="str">
        <f>IF($L1243="","",IF(COUNTIF(LISTS!$A$2:$A$200,$H1243)=0,"NEW",""))</f>
        <v/>
      </c>
    </row>
    <row r="1244" spans="30:33" x14ac:dyDescent="0.25">
      <c r="AD1244" s="2" t="str">
        <f t="shared" si="57"/>
        <v/>
      </c>
      <c r="AE1244" s="2" t="str">
        <f t="shared" si="58"/>
        <v/>
      </c>
      <c r="AF1244" s="2" t="str">
        <f t="shared" si="59"/>
        <v/>
      </c>
      <c r="AG1244" s="2" t="str">
        <f>IF($L1244="","",IF(COUNTIF(LISTS!$A$2:$A$200,$H1244)=0,"NEW",""))</f>
        <v/>
      </c>
    </row>
    <row r="1245" spans="30:33" x14ac:dyDescent="0.25">
      <c r="AD1245" s="2" t="str">
        <f t="shared" si="57"/>
        <v/>
      </c>
      <c r="AE1245" s="2" t="str">
        <f t="shared" si="58"/>
        <v/>
      </c>
      <c r="AF1245" s="2" t="str">
        <f t="shared" si="59"/>
        <v/>
      </c>
      <c r="AG1245" s="2" t="str">
        <f>IF($L1245="","",IF(COUNTIF(LISTS!$A$2:$A$200,$H1245)=0,"NEW",""))</f>
        <v/>
      </c>
    </row>
    <row r="1246" spans="30:33" x14ac:dyDescent="0.25">
      <c r="AD1246" s="2" t="str">
        <f t="shared" si="57"/>
        <v/>
      </c>
      <c r="AE1246" s="2" t="str">
        <f t="shared" si="58"/>
        <v/>
      </c>
      <c r="AF1246" s="2" t="str">
        <f t="shared" si="59"/>
        <v/>
      </c>
      <c r="AG1246" s="2" t="str">
        <f>IF($L1246="","",IF(COUNTIF(LISTS!$A$2:$A$200,$H1246)=0,"NEW",""))</f>
        <v/>
      </c>
    </row>
    <row r="1247" spans="30:33" x14ac:dyDescent="0.25">
      <c r="AD1247" s="2" t="str">
        <f t="shared" si="57"/>
        <v/>
      </c>
      <c r="AE1247" s="2" t="str">
        <f t="shared" si="58"/>
        <v/>
      </c>
      <c r="AF1247" s="2" t="str">
        <f t="shared" si="59"/>
        <v/>
      </c>
      <c r="AG1247" s="2" t="str">
        <f>IF($L1247="","",IF(COUNTIF(LISTS!$A$2:$A$200,$H1247)=0,"NEW",""))</f>
        <v/>
      </c>
    </row>
    <row r="1248" spans="30:33" x14ac:dyDescent="0.25">
      <c r="AD1248" s="2" t="str">
        <f t="shared" si="57"/>
        <v/>
      </c>
      <c r="AE1248" s="2" t="str">
        <f t="shared" si="58"/>
        <v/>
      </c>
      <c r="AF1248" s="2" t="str">
        <f t="shared" si="59"/>
        <v/>
      </c>
      <c r="AG1248" s="2" t="str">
        <f>IF($L1248="","",IF(COUNTIF(LISTS!$A$2:$A$200,$H1248)=0,"NEW",""))</f>
        <v/>
      </c>
    </row>
    <row r="1249" spans="30:33" x14ac:dyDescent="0.25">
      <c r="AD1249" s="2" t="str">
        <f t="shared" si="57"/>
        <v/>
      </c>
      <c r="AE1249" s="2" t="str">
        <f t="shared" si="58"/>
        <v/>
      </c>
      <c r="AF1249" s="2" t="str">
        <f t="shared" si="59"/>
        <v/>
      </c>
      <c r="AG1249" s="2" t="str">
        <f>IF($L1249="","",IF(COUNTIF(LISTS!$A$2:$A$200,$H1249)=0,"NEW",""))</f>
        <v/>
      </c>
    </row>
    <row r="1250" spans="30:33" x14ac:dyDescent="0.25">
      <c r="AD1250" s="2" t="str">
        <f t="shared" si="57"/>
        <v/>
      </c>
      <c r="AE1250" s="2" t="str">
        <f t="shared" si="58"/>
        <v/>
      </c>
      <c r="AF1250" s="2" t="str">
        <f t="shared" si="59"/>
        <v/>
      </c>
      <c r="AG1250" s="2" t="str">
        <f>IF($L1250="","",IF(COUNTIF(LISTS!$A$2:$A$200,$H1250)=0,"NEW",""))</f>
        <v/>
      </c>
    </row>
    <row r="1251" spans="30:33" x14ac:dyDescent="0.25">
      <c r="AD1251" s="2" t="str">
        <f t="shared" si="57"/>
        <v/>
      </c>
      <c r="AE1251" s="2" t="str">
        <f t="shared" si="58"/>
        <v/>
      </c>
      <c r="AF1251" s="2" t="str">
        <f t="shared" si="59"/>
        <v/>
      </c>
      <c r="AG1251" s="2" t="str">
        <f>IF($L1251="","",IF(COUNTIF(LISTS!$A$2:$A$200,$H1251)=0,"NEW",""))</f>
        <v/>
      </c>
    </row>
    <row r="1252" spans="30:33" x14ac:dyDescent="0.25">
      <c r="AD1252" s="2" t="str">
        <f t="shared" si="57"/>
        <v/>
      </c>
      <c r="AE1252" s="2" t="str">
        <f t="shared" si="58"/>
        <v/>
      </c>
      <c r="AF1252" s="2" t="str">
        <f t="shared" si="59"/>
        <v/>
      </c>
      <c r="AG1252" s="2" t="str">
        <f>IF($L1252="","",IF(COUNTIF(LISTS!$A$2:$A$200,$H1252)=0,"NEW",""))</f>
        <v/>
      </c>
    </row>
    <row r="1253" spans="30:33" x14ac:dyDescent="0.25">
      <c r="AD1253" s="2" t="str">
        <f t="shared" si="57"/>
        <v/>
      </c>
      <c r="AE1253" s="2" t="str">
        <f t="shared" si="58"/>
        <v/>
      </c>
      <c r="AF1253" s="2" t="str">
        <f t="shared" si="59"/>
        <v/>
      </c>
      <c r="AG1253" s="2" t="str">
        <f>IF($L1253="","",IF(COUNTIF(LISTS!$A$2:$A$200,$H1253)=0,"NEW",""))</f>
        <v/>
      </c>
    </row>
    <row r="1254" spans="30:33" x14ac:dyDescent="0.25">
      <c r="AD1254" s="2" t="str">
        <f t="shared" si="57"/>
        <v/>
      </c>
      <c r="AE1254" s="2" t="str">
        <f t="shared" si="58"/>
        <v/>
      </c>
      <c r="AF1254" s="2" t="str">
        <f t="shared" si="59"/>
        <v/>
      </c>
      <c r="AG1254" s="2" t="str">
        <f>IF($L1254="","",IF(COUNTIF(LISTS!$A$2:$A$200,$H1254)=0,"NEW",""))</f>
        <v/>
      </c>
    </row>
    <row r="1255" spans="30:33" x14ac:dyDescent="0.25">
      <c r="AD1255" s="2" t="str">
        <f t="shared" si="57"/>
        <v/>
      </c>
      <c r="AE1255" s="2" t="str">
        <f t="shared" si="58"/>
        <v/>
      </c>
      <c r="AF1255" s="2" t="str">
        <f t="shared" si="59"/>
        <v/>
      </c>
      <c r="AG1255" s="2" t="str">
        <f>IF($L1255="","",IF(COUNTIF(LISTS!$A$2:$A$200,$H1255)=0,"NEW",""))</f>
        <v/>
      </c>
    </row>
    <row r="1256" spans="30:33" x14ac:dyDescent="0.25">
      <c r="AD1256" s="2" t="str">
        <f t="shared" si="57"/>
        <v/>
      </c>
      <c r="AE1256" s="2" t="str">
        <f t="shared" si="58"/>
        <v/>
      </c>
      <c r="AF1256" s="2" t="str">
        <f t="shared" si="59"/>
        <v/>
      </c>
      <c r="AG1256" s="2" t="str">
        <f>IF($L1256="","",IF(COUNTIF(LISTS!$A$2:$A$200,$H1256)=0,"NEW",""))</f>
        <v/>
      </c>
    </row>
    <row r="1257" spans="30:33" x14ac:dyDescent="0.25">
      <c r="AD1257" s="2" t="str">
        <f t="shared" si="57"/>
        <v/>
      </c>
      <c r="AE1257" s="2" t="str">
        <f t="shared" si="58"/>
        <v/>
      </c>
      <c r="AF1257" s="2" t="str">
        <f t="shared" si="59"/>
        <v/>
      </c>
      <c r="AG1257" s="2" t="str">
        <f>IF($L1257="","",IF(COUNTIF(LISTS!$A$2:$A$200,$H1257)=0,"NEW",""))</f>
        <v/>
      </c>
    </row>
    <row r="1258" spans="30:33" x14ac:dyDescent="0.25">
      <c r="AD1258" s="2" t="str">
        <f t="shared" si="57"/>
        <v/>
      </c>
      <c r="AE1258" s="2" t="str">
        <f t="shared" si="58"/>
        <v/>
      </c>
      <c r="AF1258" s="2" t="str">
        <f t="shared" si="59"/>
        <v/>
      </c>
      <c r="AG1258" s="2" t="str">
        <f>IF($L1258="","",IF(COUNTIF(LISTS!$A$2:$A$200,$H1258)=0,"NEW",""))</f>
        <v/>
      </c>
    </row>
    <row r="1259" spans="30:33" x14ac:dyDescent="0.25">
      <c r="AD1259" s="2" t="str">
        <f t="shared" si="57"/>
        <v/>
      </c>
      <c r="AE1259" s="2" t="str">
        <f t="shared" si="58"/>
        <v/>
      </c>
      <c r="AF1259" s="2" t="str">
        <f t="shared" si="59"/>
        <v/>
      </c>
      <c r="AG1259" s="2" t="str">
        <f>IF($L1259="","",IF(COUNTIF(LISTS!$A$2:$A$200,$H1259)=0,"NEW",""))</f>
        <v/>
      </c>
    </row>
    <row r="1260" spans="30:33" x14ac:dyDescent="0.25">
      <c r="AD1260" s="2" t="str">
        <f t="shared" si="57"/>
        <v/>
      </c>
      <c r="AE1260" s="2" t="str">
        <f t="shared" si="58"/>
        <v/>
      </c>
      <c r="AF1260" s="2" t="str">
        <f t="shared" si="59"/>
        <v/>
      </c>
      <c r="AG1260" s="2" t="str">
        <f>IF($L1260="","",IF(COUNTIF(LISTS!$A$2:$A$200,$H1260)=0,"NEW",""))</f>
        <v/>
      </c>
    </row>
    <row r="1261" spans="30:33" x14ac:dyDescent="0.25">
      <c r="AD1261" s="2" t="str">
        <f t="shared" si="57"/>
        <v/>
      </c>
      <c r="AE1261" s="2" t="str">
        <f t="shared" si="58"/>
        <v/>
      </c>
      <c r="AF1261" s="2" t="str">
        <f t="shared" si="59"/>
        <v/>
      </c>
      <c r="AG1261" s="2" t="str">
        <f>IF($L1261="","",IF(COUNTIF(LISTS!$A$2:$A$200,$H1261)=0,"NEW",""))</f>
        <v/>
      </c>
    </row>
    <row r="1262" spans="30:33" x14ac:dyDescent="0.25">
      <c r="AD1262" s="2" t="str">
        <f t="shared" si="57"/>
        <v/>
      </c>
      <c r="AE1262" s="2" t="str">
        <f t="shared" si="58"/>
        <v/>
      </c>
      <c r="AF1262" s="2" t="str">
        <f t="shared" si="59"/>
        <v/>
      </c>
      <c r="AG1262" s="2" t="str">
        <f>IF($L1262="","",IF(COUNTIF(LISTS!$A$2:$A$200,$H1262)=0,"NEW",""))</f>
        <v/>
      </c>
    </row>
    <row r="1263" spans="30:33" x14ac:dyDescent="0.25">
      <c r="AD1263" s="2" t="str">
        <f t="shared" si="57"/>
        <v/>
      </c>
      <c r="AE1263" s="2" t="str">
        <f t="shared" si="58"/>
        <v/>
      </c>
      <c r="AF1263" s="2" t="str">
        <f t="shared" si="59"/>
        <v/>
      </c>
      <c r="AG1263" s="2" t="str">
        <f>IF($L1263="","",IF(COUNTIF(LISTS!$A$2:$A$200,$H1263)=0,"NEW",""))</f>
        <v/>
      </c>
    </row>
    <row r="1264" spans="30:33" x14ac:dyDescent="0.25">
      <c r="AD1264" s="2" t="str">
        <f t="shared" si="57"/>
        <v/>
      </c>
      <c r="AE1264" s="2" t="str">
        <f t="shared" si="58"/>
        <v/>
      </c>
      <c r="AF1264" s="2" t="str">
        <f t="shared" si="59"/>
        <v/>
      </c>
      <c r="AG1264" s="2" t="str">
        <f>IF($L1264="","",IF(COUNTIF(LISTS!$A$2:$A$200,$H1264)=0,"NEW",""))</f>
        <v/>
      </c>
    </row>
    <row r="1265" spans="30:33" x14ac:dyDescent="0.25">
      <c r="AD1265" s="2" t="str">
        <f t="shared" si="57"/>
        <v/>
      </c>
      <c r="AE1265" s="2" t="str">
        <f t="shared" si="58"/>
        <v/>
      </c>
      <c r="AF1265" s="2" t="str">
        <f t="shared" si="59"/>
        <v/>
      </c>
      <c r="AG1265" s="2" t="str">
        <f>IF($L1265="","",IF(COUNTIF(LISTS!$A$2:$A$200,$H1265)=0,"NEW",""))</f>
        <v/>
      </c>
    </row>
    <row r="1266" spans="30:33" x14ac:dyDescent="0.25">
      <c r="AD1266" s="2" t="str">
        <f t="shared" si="57"/>
        <v/>
      </c>
      <c r="AE1266" s="2" t="str">
        <f t="shared" si="58"/>
        <v/>
      </c>
      <c r="AF1266" s="2" t="str">
        <f t="shared" si="59"/>
        <v/>
      </c>
      <c r="AG1266" s="2" t="str">
        <f>IF($L1266="","",IF(COUNTIF(LISTS!$A$2:$A$200,$H1266)=0,"NEW",""))</f>
        <v/>
      </c>
    </row>
    <row r="1267" spans="30:33" x14ac:dyDescent="0.25">
      <c r="AD1267" s="2" t="str">
        <f t="shared" si="57"/>
        <v/>
      </c>
      <c r="AE1267" s="2" t="str">
        <f t="shared" si="58"/>
        <v/>
      </c>
      <c r="AF1267" s="2" t="str">
        <f t="shared" si="59"/>
        <v/>
      </c>
      <c r="AG1267" s="2" t="str">
        <f>IF($L1267="","",IF(COUNTIF(LISTS!$A$2:$A$200,$H1267)=0,"NEW",""))</f>
        <v/>
      </c>
    </row>
    <row r="1268" spans="30:33" x14ac:dyDescent="0.25">
      <c r="AD1268" s="2" t="str">
        <f t="shared" si="57"/>
        <v/>
      </c>
      <c r="AE1268" s="2" t="str">
        <f t="shared" si="58"/>
        <v/>
      </c>
      <c r="AF1268" s="2" t="str">
        <f t="shared" si="59"/>
        <v/>
      </c>
      <c r="AG1268" s="2" t="str">
        <f>IF($L1268="","",IF(COUNTIF(LISTS!$A$2:$A$200,$H1268)=0,"NEW",""))</f>
        <v/>
      </c>
    </row>
    <row r="1269" spans="30:33" x14ac:dyDescent="0.25">
      <c r="AD1269" s="2" t="str">
        <f t="shared" si="57"/>
        <v/>
      </c>
      <c r="AE1269" s="2" t="str">
        <f t="shared" si="58"/>
        <v/>
      </c>
      <c r="AF1269" s="2" t="str">
        <f t="shared" si="59"/>
        <v/>
      </c>
      <c r="AG1269" s="2" t="str">
        <f>IF($L1269="","",IF(COUNTIF(LISTS!$A$2:$A$200,$H1269)=0,"NEW",""))</f>
        <v/>
      </c>
    </row>
    <row r="1270" spans="30:33" x14ac:dyDescent="0.25">
      <c r="AD1270" s="2" t="str">
        <f t="shared" si="57"/>
        <v/>
      </c>
      <c r="AE1270" s="2" t="str">
        <f t="shared" si="58"/>
        <v/>
      </c>
      <c r="AF1270" s="2" t="str">
        <f t="shared" si="59"/>
        <v/>
      </c>
      <c r="AG1270" s="2" t="str">
        <f>IF($L1270="","",IF(COUNTIF(LISTS!$A$2:$A$200,$H1270)=0,"NEW",""))</f>
        <v/>
      </c>
    </row>
    <row r="1271" spans="30:33" x14ac:dyDescent="0.25">
      <c r="AD1271" s="2" t="str">
        <f t="shared" si="57"/>
        <v/>
      </c>
      <c r="AE1271" s="2" t="str">
        <f t="shared" si="58"/>
        <v/>
      </c>
      <c r="AF1271" s="2" t="str">
        <f t="shared" si="59"/>
        <v/>
      </c>
      <c r="AG1271" s="2" t="str">
        <f>IF($L1271="","",IF(COUNTIF(LISTS!$A$2:$A$200,$H1271)=0,"NEW",""))</f>
        <v/>
      </c>
    </row>
    <row r="1272" spans="30:33" x14ac:dyDescent="0.25">
      <c r="AD1272" s="2" t="str">
        <f t="shared" si="57"/>
        <v/>
      </c>
      <c r="AE1272" s="2" t="str">
        <f t="shared" si="58"/>
        <v/>
      </c>
      <c r="AF1272" s="2" t="str">
        <f t="shared" si="59"/>
        <v/>
      </c>
      <c r="AG1272" s="2" t="str">
        <f>IF($L1272="","",IF(COUNTIF(LISTS!$A$2:$A$200,$H1272)=0,"NEW",""))</f>
        <v/>
      </c>
    </row>
    <row r="1273" spans="30:33" x14ac:dyDescent="0.25">
      <c r="AD1273" s="2" t="str">
        <f t="shared" si="57"/>
        <v/>
      </c>
      <c r="AE1273" s="2" t="str">
        <f t="shared" si="58"/>
        <v/>
      </c>
      <c r="AF1273" s="2" t="str">
        <f t="shared" si="59"/>
        <v/>
      </c>
      <c r="AG1273" s="2" t="str">
        <f>IF($L1273="","",IF(COUNTIF(LISTS!$A$2:$A$200,$H1273)=0,"NEW",""))</f>
        <v/>
      </c>
    </row>
    <row r="1274" spans="30:33" x14ac:dyDescent="0.25">
      <c r="AD1274" s="2" t="str">
        <f t="shared" si="57"/>
        <v/>
      </c>
      <c r="AE1274" s="2" t="str">
        <f t="shared" si="58"/>
        <v/>
      </c>
      <c r="AF1274" s="2" t="str">
        <f t="shared" si="59"/>
        <v/>
      </c>
      <c r="AG1274" s="2" t="str">
        <f>IF($L1274="","",IF(COUNTIF(LISTS!$A$2:$A$200,$H1274)=0,"NEW",""))</f>
        <v/>
      </c>
    </row>
    <row r="1275" spans="30:33" x14ac:dyDescent="0.25">
      <c r="AD1275" s="2" t="str">
        <f t="shared" si="57"/>
        <v/>
      </c>
      <c r="AE1275" s="2" t="str">
        <f t="shared" si="58"/>
        <v/>
      </c>
      <c r="AF1275" s="2" t="str">
        <f t="shared" si="59"/>
        <v/>
      </c>
      <c r="AG1275" s="2" t="str">
        <f>IF($L1275="","",IF(COUNTIF(LISTS!$A$2:$A$200,$H1275)=0,"NEW",""))</f>
        <v/>
      </c>
    </row>
    <row r="1276" spans="30:33" x14ac:dyDescent="0.25">
      <c r="AD1276" s="2" t="str">
        <f t="shared" si="57"/>
        <v/>
      </c>
      <c r="AE1276" s="2" t="str">
        <f t="shared" si="58"/>
        <v/>
      </c>
      <c r="AF1276" s="2" t="str">
        <f t="shared" si="59"/>
        <v/>
      </c>
      <c r="AG1276" s="2" t="str">
        <f>IF($L1276="","",IF(COUNTIF(LISTS!$A$2:$A$200,$H1276)=0,"NEW",""))</f>
        <v/>
      </c>
    </row>
    <row r="1277" spans="30:33" x14ac:dyDescent="0.25">
      <c r="AD1277" s="2" t="str">
        <f t="shared" si="57"/>
        <v/>
      </c>
      <c r="AE1277" s="2" t="str">
        <f t="shared" si="58"/>
        <v/>
      </c>
      <c r="AF1277" s="2" t="str">
        <f t="shared" si="59"/>
        <v/>
      </c>
      <c r="AG1277" s="2" t="str">
        <f>IF($L1277="","",IF(COUNTIF(LISTS!$A$2:$A$200,$H1277)=0,"NEW",""))</f>
        <v/>
      </c>
    </row>
    <row r="1278" spans="30:33" x14ac:dyDescent="0.25">
      <c r="AD1278" s="2" t="str">
        <f t="shared" si="57"/>
        <v/>
      </c>
      <c r="AE1278" s="2" t="str">
        <f t="shared" si="58"/>
        <v/>
      </c>
      <c r="AF1278" s="2" t="str">
        <f t="shared" si="59"/>
        <v/>
      </c>
      <c r="AG1278" s="2" t="str">
        <f>IF($L1278="","",IF(COUNTIF(LISTS!$A$2:$A$200,$H1278)=0,"NEW",""))</f>
        <v/>
      </c>
    </row>
    <row r="1279" spans="30:33" x14ac:dyDescent="0.25">
      <c r="AD1279" s="2" t="str">
        <f t="shared" si="57"/>
        <v/>
      </c>
      <c r="AE1279" s="2" t="str">
        <f t="shared" si="58"/>
        <v/>
      </c>
      <c r="AF1279" s="2" t="str">
        <f t="shared" si="59"/>
        <v/>
      </c>
      <c r="AG1279" s="2" t="str">
        <f>IF($L1279="","",IF(COUNTIF(LISTS!$A$2:$A$200,$H1279)=0,"NEW",""))</f>
        <v/>
      </c>
    </row>
    <row r="1280" spans="30:33" x14ac:dyDescent="0.25">
      <c r="AD1280" s="2" t="str">
        <f t="shared" si="57"/>
        <v/>
      </c>
      <c r="AE1280" s="2" t="str">
        <f t="shared" si="58"/>
        <v/>
      </c>
      <c r="AF1280" s="2" t="str">
        <f t="shared" si="59"/>
        <v/>
      </c>
      <c r="AG1280" s="2" t="str">
        <f>IF($L1280="","",IF(COUNTIF(LISTS!$A$2:$A$200,$H1280)=0,"NEW",""))</f>
        <v/>
      </c>
    </row>
    <row r="1281" spans="30:33" x14ac:dyDescent="0.25">
      <c r="AD1281" s="2" t="str">
        <f t="shared" si="57"/>
        <v/>
      </c>
      <c r="AE1281" s="2" t="str">
        <f t="shared" si="58"/>
        <v/>
      </c>
      <c r="AF1281" s="2" t="str">
        <f t="shared" si="59"/>
        <v/>
      </c>
      <c r="AG1281" s="2" t="str">
        <f>IF($L1281="","",IF(COUNTIF(LISTS!$A$2:$A$200,$H1281)=0,"NEW",""))</f>
        <v/>
      </c>
    </row>
    <row r="1282" spans="30:33" x14ac:dyDescent="0.25">
      <c r="AD1282" s="2" t="str">
        <f t="shared" ref="AD1282:AD1345" si="60">IF($L1282="","",IF(ISNUMBER(SEARCH("OFF ROAD",$H1282)),"OFF",IF(ISNUMBER(SEARCH("ON ROAD",$H1282)),"ON","")))</f>
        <v/>
      </c>
      <c r="AE1282" s="2" t="str">
        <f t="shared" ref="AE1282:AE1345" si="61">IF($AD1282="ON",""&amp;$L1282,"")</f>
        <v/>
      </c>
      <c r="AF1282" s="2" t="str">
        <f t="shared" ref="AF1282:AF1345" si="62">IF($L1282="","",IF($J1282&lt;&gt;"","Y",""))</f>
        <v/>
      </c>
      <c r="AG1282" s="2" t="str">
        <f>IF($L1282="","",IF(COUNTIF(LISTS!$A$2:$A$200,$H1282)=0,"NEW",""))</f>
        <v/>
      </c>
    </row>
    <row r="1283" spans="30:33" x14ac:dyDescent="0.25">
      <c r="AD1283" s="2" t="str">
        <f t="shared" si="60"/>
        <v/>
      </c>
      <c r="AE1283" s="2" t="str">
        <f t="shared" si="61"/>
        <v/>
      </c>
      <c r="AF1283" s="2" t="str">
        <f t="shared" si="62"/>
        <v/>
      </c>
      <c r="AG1283" s="2" t="str">
        <f>IF($L1283="","",IF(COUNTIF(LISTS!$A$2:$A$200,$H1283)=0,"NEW",""))</f>
        <v/>
      </c>
    </row>
    <row r="1284" spans="30:33" x14ac:dyDescent="0.25">
      <c r="AD1284" s="2" t="str">
        <f t="shared" si="60"/>
        <v/>
      </c>
      <c r="AE1284" s="2" t="str">
        <f t="shared" si="61"/>
        <v/>
      </c>
      <c r="AF1284" s="2" t="str">
        <f t="shared" si="62"/>
        <v/>
      </c>
      <c r="AG1284" s="2" t="str">
        <f>IF($L1284="","",IF(COUNTIF(LISTS!$A$2:$A$200,$H1284)=0,"NEW",""))</f>
        <v/>
      </c>
    </row>
    <row r="1285" spans="30:33" x14ac:dyDescent="0.25">
      <c r="AD1285" s="2" t="str">
        <f t="shared" si="60"/>
        <v/>
      </c>
      <c r="AE1285" s="2" t="str">
        <f t="shared" si="61"/>
        <v/>
      </c>
      <c r="AF1285" s="2" t="str">
        <f t="shared" si="62"/>
        <v/>
      </c>
      <c r="AG1285" s="2" t="str">
        <f>IF($L1285="","",IF(COUNTIF(LISTS!$A$2:$A$200,$H1285)=0,"NEW",""))</f>
        <v/>
      </c>
    </row>
    <row r="1286" spans="30:33" x14ac:dyDescent="0.25">
      <c r="AD1286" s="2" t="str">
        <f t="shared" si="60"/>
        <v/>
      </c>
      <c r="AE1286" s="2" t="str">
        <f t="shared" si="61"/>
        <v/>
      </c>
      <c r="AF1286" s="2" t="str">
        <f t="shared" si="62"/>
        <v/>
      </c>
      <c r="AG1286" s="2" t="str">
        <f>IF($L1286="","",IF(COUNTIF(LISTS!$A$2:$A$200,$H1286)=0,"NEW",""))</f>
        <v/>
      </c>
    </row>
    <row r="1287" spans="30:33" x14ac:dyDescent="0.25">
      <c r="AD1287" s="2" t="str">
        <f t="shared" si="60"/>
        <v/>
      </c>
      <c r="AE1287" s="2" t="str">
        <f t="shared" si="61"/>
        <v/>
      </c>
      <c r="AF1287" s="2" t="str">
        <f t="shared" si="62"/>
        <v/>
      </c>
      <c r="AG1287" s="2" t="str">
        <f>IF($L1287="","",IF(COUNTIF(LISTS!$A$2:$A$200,$H1287)=0,"NEW",""))</f>
        <v/>
      </c>
    </row>
    <row r="1288" spans="30:33" x14ac:dyDescent="0.25">
      <c r="AD1288" s="2" t="str">
        <f t="shared" si="60"/>
        <v/>
      </c>
      <c r="AE1288" s="2" t="str">
        <f t="shared" si="61"/>
        <v/>
      </c>
      <c r="AF1288" s="2" t="str">
        <f t="shared" si="62"/>
        <v/>
      </c>
      <c r="AG1288" s="2" t="str">
        <f>IF($L1288="","",IF(COUNTIF(LISTS!$A$2:$A$200,$H1288)=0,"NEW",""))</f>
        <v/>
      </c>
    </row>
    <row r="1289" spans="30:33" x14ac:dyDescent="0.25">
      <c r="AD1289" s="2" t="str">
        <f t="shared" si="60"/>
        <v/>
      </c>
      <c r="AE1289" s="2" t="str">
        <f t="shared" si="61"/>
        <v/>
      </c>
      <c r="AF1289" s="2" t="str">
        <f t="shared" si="62"/>
        <v/>
      </c>
      <c r="AG1289" s="2" t="str">
        <f>IF($L1289="","",IF(COUNTIF(LISTS!$A$2:$A$200,$H1289)=0,"NEW",""))</f>
        <v/>
      </c>
    </row>
    <row r="1290" spans="30:33" x14ac:dyDescent="0.25">
      <c r="AD1290" s="2" t="str">
        <f t="shared" si="60"/>
        <v/>
      </c>
      <c r="AE1290" s="2" t="str">
        <f t="shared" si="61"/>
        <v/>
      </c>
      <c r="AF1290" s="2" t="str">
        <f t="shared" si="62"/>
        <v/>
      </c>
      <c r="AG1290" s="2" t="str">
        <f>IF($L1290="","",IF(COUNTIF(LISTS!$A$2:$A$200,$H1290)=0,"NEW",""))</f>
        <v/>
      </c>
    </row>
    <row r="1291" spans="30:33" x14ac:dyDescent="0.25">
      <c r="AD1291" s="2" t="str">
        <f t="shared" si="60"/>
        <v/>
      </c>
      <c r="AE1291" s="2" t="str">
        <f t="shared" si="61"/>
        <v/>
      </c>
      <c r="AF1291" s="2" t="str">
        <f t="shared" si="62"/>
        <v/>
      </c>
      <c r="AG1291" s="2" t="str">
        <f>IF($L1291="","",IF(COUNTIF(LISTS!$A$2:$A$200,$H1291)=0,"NEW",""))</f>
        <v/>
      </c>
    </row>
    <row r="1292" spans="30:33" x14ac:dyDescent="0.25">
      <c r="AD1292" s="2" t="str">
        <f t="shared" si="60"/>
        <v/>
      </c>
      <c r="AE1292" s="2" t="str">
        <f t="shared" si="61"/>
        <v/>
      </c>
      <c r="AF1292" s="2" t="str">
        <f t="shared" si="62"/>
        <v/>
      </c>
      <c r="AG1292" s="2" t="str">
        <f>IF($L1292="","",IF(COUNTIF(LISTS!$A$2:$A$200,$H1292)=0,"NEW",""))</f>
        <v/>
      </c>
    </row>
    <row r="1293" spans="30:33" x14ac:dyDescent="0.25">
      <c r="AD1293" s="2" t="str">
        <f t="shared" si="60"/>
        <v/>
      </c>
      <c r="AE1293" s="2" t="str">
        <f t="shared" si="61"/>
        <v/>
      </c>
      <c r="AF1293" s="2" t="str">
        <f t="shared" si="62"/>
        <v/>
      </c>
      <c r="AG1293" s="2" t="str">
        <f>IF($L1293="","",IF(COUNTIF(LISTS!$A$2:$A$200,$H1293)=0,"NEW",""))</f>
        <v/>
      </c>
    </row>
    <row r="1294" spans="30:33" x14ac:dyDescent="0.25">
      <c r="AD1294" s="2" t="str">
        <f t="shared" si="60"/>
        <v/>
      </c>
      <c r="AE1294" s="2" t="str">
        <f t="shared" si="61"/>
        <v/>
      </c>
      <c r="AF1294" s="2" t="str">
        <f t="shared" si="62"/>
        <v/>
      </c>
      <c r="AG1294" s="2" t="str">
        <f>IF($L1294="","",IF(COUNTIF(LISTS!$A$2:$A$200,$H1294)=0,"NEW",""))</f>
        <v/>
      </c>
    </row>
    <row r="1295" spans="30:33" x14ac:dyDescent="0.25">
      <c r="AD1295" s="2" t="str">
        <f t="shared" si="60"/>
        <v/>
      </c>
      <c r="AE1295" s="2" t="str">
        <f t="shared" si="61"/>
        <v/>
      </c>
      <c r="AF1295" s="2" t="str">
        <f t="shared" si="62"/>
        <v/>
      </c>
      <c r="AG1295" s="2" t="str">
        <f>IF($L1295="","",IF(COUNTIF(LISTS!$A$2:$A$200,$H1295)=0,"NEW",""))</f>
        <v/>
      </c>
    </row>
    <row r="1296" spans="30:33" x14ac:dyDescent="0.25">
      <c r="AD1296" s="2" t="str">
        <f t="shared" si="60"/>
        <v/>
      </c>
      <c r="AE1296" s="2" t="str">
        <f t="shared" si="61"/>
        <v/>
      </c>
      <c r="AF1296" s="2" t="str">
        <f t="shared" si="62"/>
        <v/>
      </c>
      <c r="AG1296" s="2" t="str">
        <f>IF($L1296="","",IF(COUNTIF(LISTS!$A$2:$A$200,$H1296)=0,"NEW",""))</f>
        <v/>
      </c>
    </row>
    <row r="1297" spans="30:33" x14ac:dyDescent="0.25">
      <c r="AD1297" s="2" t="str">
        <f t="shared" si="60"/>
        <v/>
      </c>
      <c r="AE1297" s="2" t="str">
        <f t="shared" si="61"/>
        <v/>
      </c>
      <c r="AF1297" s="2" t="str">
        <f t="shared" si="62"/>
        <v/>
      </c>
      <c r="AG1297" s="2" t="str">
        <f>IF($L1297="","",IF(COUNTIF(LISTS!$A$2:$A$200,$H1297)=0,"NEW",""))</f>
        <v/>
      </c>
    </row>
    <row r="1298" spans="30:33" x14ac:dyDescent="0.25">
      <c r="AD1298" s="2" t="str">
        <f t="shared" si="60"/>
        <v/>
      </c>
      <c r="AE1298" s="2" t="str">
        <f t="shared" si="61"/>
        <v/>
      </c>
      <c r="AF1298" s="2" t="str">
        <f t="shared" si="62"/>
        <v/>
      </c>
      <c r="AG1298" s="2" t="str">
        <f>IF($L1298="","",IF(COUNTIF(LISTS!$A$2:$A$200,$H1298)=0,"NEW",""))</f>
        <v/>
      </c>
    </row>
    <row r="1299" spans="30:33" x14ac:dyDescent="0.25">
      <c r="AD1299" s="2" t="str">
        <f t="shared" si="60"/>
        <v/>
      </c>
      <c r="AE1299" s="2" t="str">
        <f t="shared" si="61"/>
        <v/>
      </c>
      <c r="AF1299" s="2" t="str">
        <f t="shared" si="62"/>
        <v/>
      </c>
      <c r="AG1299" s="2" t="str">
        <f>IF($L1299="","",IF(COUNTIF(LISTS!$A$2:$A$200,$H1299)=0,"NEW",""))</f>
        <v/>
      </c>
    </row>
    <row r="1300" spans="30:33" x14ac:dyDescent="0.25">
      <c r="AD1300" s="2" t="str">
        <f t="shared" si="60"/>
        <v/>
      </c>
      <c r="AE1300" s="2" t="str">
        <f t="shared" si="61"/>
        <v/>
      </c>
      <c r="AF1300" s="2" t="str">
        <f t="shared" si="62"/>
        <v/>
      </c>
      <c r="AG1300" s="2" t="str">
        <f>IF($L1300="","",IF(COUNTIF(LISTS!$A$2:$A$200,$H1300)=0,"NEW",""))</f>
        <v/>
      </c>
    </row>
    <row r="1301" spans="30:33" x14ac:dyDescent="0.25">
      <c r="AD1301" s="2" t="str">
        <f t="shared" si="60"/>
        <v/>
      </c>
      <c r="AE1301" s="2" t="str">
        <f t="shared" si="61"/>
        <v/>
      </c>
      <c r="AF1301" s="2" t="str">
        <f t="shared" si="62"/>
        <v/>
      </c>
      <c r="AG1301" s="2" t="str">
        <f>IF($L1301="","",IF(COUNTIF(LISTS!$A$2:$A$200,$H1301)=0,"NEW",""))</f>
        <v/>
      </c>
    </row>
    <row r="1302" spans="30:33" x14ac:dyDescent="0.25">
      <c r="AD1302" s="2" t="str">
        <f t="shared" si="60"/>
        <v/>
      </c>
      <c r="AE1302" s="2" t="str">
        <f t="shared" si="61"/>
        <v/>
      </c>
      <c r="AF1302" s="2" t="str">
        <f t="shared" si="62"/>
        <v/>
      </c>
      <c r="AG1302" s="2" t="str">
        <f>IF($L1302="","",IF(COUNTIF(LISTS!$A$2:$A$200,$H1302)=0,"NEW",""))</f>
        <v/>
      </c>
    </row>
    <row r="1303" spans="30:33" x14ac:dyDescent="0.25">
      <c r="AD1303" s="2" t="str">
        <f t="shared" si="60"/>
        <v/>
      </c>
      <c r="AE1303" s="2" t="str">
        <f t="shared" si="61"/>
        <v/>
      </c>
      <c r="AF1303" s="2" t="str">
        <f t="shared" si="62"/>
        <v/>
      </c>
      <c r="AG1303" s="2" t="str">
        <f>IF($L1303="","",IF(COUNTIF(LISTS!$A$2:$A$200,$H1303)=0,"NEW",""))</f>
        <v/>
      </c>
    </row>
    <row r="1304" spans="30:33" x14ac:dyDescent="0.25">
      <c r="AD1304" s="2" t="str">
        <f t="shared" si="60"/>
        <v/>
      </c>
      <c r="AE1304" s="2" t="str">
        <f t="shared" si="61"/>
        <v/>
      </c>
      <c r="AF1304" s="2" t="str">
        <f t="shared" si="62"/>
        <v/>
      </c>
      <c r="AG1304" s="2" t="str">
        <f>IF($L1304="","",IF(COUNTIF(LISTS!$A$2:$A$200,$H1304)=0,"NEW",""))</f>
        <v/>
      </c>
    </row>
    <row r="1305" spans="30:33" x14ac:dyDescent="0.25">
      <c r="AD1305" s="2" t="str">
        <f t="shared" si="60"/>
        <v/>
      </c>
      <c r="AE1305" s="2" t="str">
        <f t="shared" si="61"/>
        <v/>
      </c>
      <c r="AF1305" s="2" t="str">
        <f t="shared" si="62"/>
        <v/>
      </c>
      <c r="AG1305" s="2" t="str">
        <f>IF($L1305="","",IF(COUNTIF(LISTS!$A$2:$A$200,$H1305)=0,"NEW",""))</f>
        <v/>
      </c>
    </row>
    <row r="1306" spans="30:33" x14ac:dyDescent="0.25">
      <c r="AD1306" s="2" t="str">
        <f t="shared" si="60"/>
        <v/>
      </c>
      <c r="AE1306" s="2" t="str">
        <f t="shared" si="61"/>
        <v/>
      </c>
      <c r="AF1306" s="2" t="str">
        <f t="shared" si="62"/>
        <v/>
      </c>
      <c r="AG1306" s="2" t="str">
        <f>IF($L1306="","",IF(COUNTIF(LISTS!$A$2:$A$200,$H1306)=0,"NEW",""))</f>
        <v/>
      </c>
    </row>
    <row r="1307" spans="30:33" x14ac:dyDescent="0.25">
      <c r="AD1307" s="2" t="str">
        <f t="shared" si="60"/>
        <v/>
      </c>
      <c r="AE1307" s="2" t="str">
        <f t="shared" si="61"/>
        <v/>
      </c>
      <c r="AF1307" s="2" t="str">
        <f t="shared" si="62"/>
        <v/>
      </c>
      <c r="AG1307" s="2" t="str">
        <f>IF($L1307="","",IF(COUNTIF(LISTS!$A$2:$A$200,$H1307)=0,"NEW",""))</f>
        <v/>
      </c>
    </row>
    <row r="1308" spans="30:33" x14ac:dyDescent="0.25">
      <c r="AD1308" s="2" t="str">
        <f t="shared" si="60"/>
        <v/>
      </c>
      <c r="AE1308" s="2" t="str">
        <f t="shared" si="61"/>
        <v/>
      </c>
      <c r="AF1308" s="2" t="str">
        <f t="shared" si="62"/>
        <v/>
      </c>
      <c r="AG1308" s="2" t="str">
        <f>IF($L1308="","",IF(COUNTIF(LISTS!$A$2:$A$200,$H1308)=0,"NEW",""))</f>
        <v/>
      </c>
    </row>
    <row r="1309" spans="30:33" x14ac:dyDescent="0.25">
      <c r="AD1309" s="2" t="str">
        <f t="shared" si="60"/>
        <v/>
      </c>
      <c r="AE1309" s="2" t="str">
        <f t="shared" si="61"/>
        <v/>
      </c>
      <c r="AF1309" s="2" t="str">
        <f t="shared" si="62"/>
        <v/>
      </c>
      <c r="AG1309" s="2" t="str">
        <f>IF($L1309="","",IF(COUNTIF(LISTS!$A$2:$A$200,$H1309)=0,"NEW",""))</f>
        <v/>
      </c>
    </row>
    <row r="1310" spans="30:33" x14ac:dyDescent="0.25">
      <c r="AD1310" s="2" t="str">
        <f t="shared" si="60"/>
        <v/>
      </c>
      <c r="AE1310" s="2" t="str">
        <f t="shared" si="61"/>
        <v/>
      </c>
      <c r="AF1310" s="2" t="str">
        <f t="shared" si="62"/>
        <v/>
      </c>
      <c r="AG1310" s="2" t="str">
        <f>IF($L1310="","",IF(COUNTIF(LISTS!$A$2:$A$200,$H1310)=0,"NEW",""))</f>
        <v/>
      </c>
    </row>
    <row r="1311" spans="30:33" x14ac:dyDescent="0.25">
      <c r="AD1311" s="2" t="str">
        <f t="shared" si="60"/>
        <v/>
      </c>
      <c r="AE1311" s="2" t="str">
        <f t="shared" si="61"/>
        <v/>
      </c>
      <c r="AF1311" s="2" t="str">
        <f t="shared" si="62"/>
        <v/>
      </c>
      <c r="AG1311" s="2" t="str">
        <f>IF($L1311="","",IF(COUNTIF(LISTS!$A$2:$A$200,$H1311)=0,"NEW",""))</f>
        <v/>
      </c>
    </row>
    <row r="1312" spans="30:33" x14ac:dyDescent="0.25">
      <c r="AD1312" s="2" t="str">
        <f t="shared" si="60"/>
        <v/>
      </c>
      <c r="AE1312" s="2" t="str">
        <f t="shared" si="61"/>
        <v/>
      </c>
      <c r="AF1312" s="2" t="str">
        <f t="shared" si="62"/>
        <v/>
      </c>
      <c r="AG1312" s="2" t="str">
        <f>IF($L1312="","",IF(COUNTIF(LISTS!$A$2:$A$200,$H1312)=0,"NEW",""))</f>
        <v/>
      </c>
    </row>
    <row r="1313" spans="30:33" x14ac:dyDescent="0.25">
      <c r="AD1313" s="2" t="str">
        <f t="shared" si="60"/>
        <v/>
      </c>
      <c r="AE1313" s="2" t="str">
        <f t="shared" si="61"/>
        <v/>
      </c>
      <c r="AF1313" s="2" t="str">
        <f t="shared" si="62"/>
        <v/>
      </c>
      <c r="AG1313" s="2" t="str">
        <f>IF($L1313="","",IF(COUNTIF(LISTS!$A$2:$A$200,$H1313)=0,"NEW",""))</f>
        <v/>
      </c>
    </row>
    <row r="1314" spans="30:33" x14ac:dyDescent="0.25">
      <c r="AD1314" s="2" t="str">
        <f t="shared" si="60"/>
        <v/>
      </c>
      <c r="AE1314" s="2" t="str">
        <f t="shared" si="61"/>
        <v/>
      </c>
      <c r="AF1314" s="2" t="str">
        <f t="shared" si="62"/>
        <v/>
      </c>
      <c r="AG1314" s="2" t="str">
        <f>IF($L1314="","",IF(COUNTIF(LISTS!$A$2:$A$200,$H1314)=0,"NEW",""))</f>
        <v/>
      </c>
    </row>
    <row r="1315" spans="30:33" x14ac:dyDescent="0.25">
      <c r="AD1315" s="2" t="str">
        <f t="shared" si="60"/>
        <v/>
      </c>
      <c r="AE1315" s="2" t="str">
        <f t="shared" si="61"/>
        <v/>
      </c>
      <c r="AF1315" s="2" t="str">
        <f t="shared" si="62"/>
        <v/>
      </c>
      <c r="AG1315" s="2" t="str">
        <f>IF($L1315="","",IF(COUNTIF(LISTS!$A$2:$A$200,$H1315)=0,"NEW",""))</f>
        <v/>
      </c>
    </row>
    <row r="1316" spans="30:33" x14ac:dyDescent="0.25">
      <c r="AD1316" s="2" t="str">
        <f t="shared" si="60"/>
        <v/>
      </c>
      <c r="AE1316" s="2" t="str">
        <f t="shared" si="61"/>
        <v/>
      </c>
      <c r="AF1316" s="2" t="str">
        <f t="shared" si="62"/>
        <v/>
      </c>
      <c r="AG1316" s="2" t="str">
        <f>IF($L1316="","",IF(COUNTIF(LISTS!$A$2:$A$200,$H1316)=0,"NEW",""))</f>
        <v/>
      </c>
    </row>
    <row r="1317" spans="30:33" x14ac:dyDescent="0.25">
      <c r="AD1317" s="2" t="str">
        <f t="shared" si="60"/>
        <v/>
      </c>
      <c r="AE1317" s="2" t="str">
        <f t="shared" si="61"/>
        <v/>
      </c>
      <c r="AF1317" s="2" t="str">
        <f t="shared" si="62"/>
        <v/>
      </c>
      <c r="AG1317" s="2" t="str">
        <f>IF($L1317="","",IF(COUNTIF(LISTS!$A$2:$A$200,$H1317)=0,"NEW",""))</f>
        <v/>
      </c>
    </row>
    <row r="1318" spans="30:33" x14ac:dyDescent="0.25">
      <c r="AD1318" s="2" t="str">
        <f t="shared" si="60"/>
        <v/>
      </c>
      <c r="AE1318" s="2" t="str">
        <f t="shared" si="61"/>
        <v/>
      </c>
      <c r="AF1318" s="2" t="str">
        <f t="shared" si="62"/>
        <v/>
      </c>
      <c r="AG1318" s="2" t="str">
        <f>IF($L1318="","",IF(COUNTIF(LISTS!$A$2:$A$200,$H1318)=0,"NEW",""))</f>
        <v/>
      </c>
    </row>
    <row r="1319" spans="30:33" x14ac:dyDescent="0.25">
      <c r="AD1319" s="2" t="str">
        <f t="shared" si="60"/>
        <v/>
      </c>
      <c r="AE1319" s="2" t="str">
        <f t="shared" si="61"/>
        <v/>
      </c>
      <c r="AF1319" s="2" t="str">
        <f t="shared" si="62"/>
        <v/>
      </c>
      <c r="AG1319" s="2" t="str">
        <f>IF($L1319="","",IF(COUNTIF(LISTS!$A$2:$A$200,$H1319)=0,"NEW",""))</f>
        <v/>
      </c>
    </row>
    <row r="1320" spans="30:33" x14ac:dyDescent="0.25">
      <c r="AD1320" s="2" t="str">
        <f t="shared" si="60"/>
        <v/>
      </c>
      <c r="AE1320" s="2" t="str">
        <f t="shared" si="61"/>
        <v/>
      </c>
      <c r="AF1320" s="2" t="str">
        <f t="shared" si="62"/>
        <v/>
      </c>
      <c r="AG1320" s="2" t="str">
        <f>IF($L1320="","",IF(COUNTIF(LISTS!$A$2:$A$200,$H1320)=0,"NEW",""))</f>
        <v/>
      </c>
    </row>
    <row r="1321" spans="30:33" x14ac:dyDescent="0.25">
      <c r="AD1321" s="2" t="str">
        <f t="shared" si="60"/>
        <v/>
      </c>
      <c r="AE1321" s="2" t="str">
        <f t="shared" si="61"/>
        <v/>
      </c>
      <c r="AF1321" s="2" t="str">
        <f t="shared" si="62"/>
        <v/>
      </c>
      <c r="AG1321" s="2" t="str">
        <f>IF($L1321="","",IF(COUNTIF(LISTS!$A$2:$A$200,$H1321)=0,"NEW",""))</f>
        <v/>
      </c>
    </row>
    <row r="1322" spans="30:33" x14ac:dyDescent="0.25">
      <c r="AD1322" s="2" t="str">
        <f t="shared" si="60"/>
        <v/>
      </c>
      <c r="AE1322" s="2" t="str">
        <f t="shared" si="61"/>
        <v/>
      </c>
      <c r="AF1322" s="2" t="str">
        <f t="shared" si="62"/>
        <v/>
      </c>
      <c r="AG1322" s="2" t="str">
        <f>IF($L1322="","",IF(COUNTIF(LISTS!$A$2:$A$200,$H1322)=0,"NEW",""))</f>
        <v/>
      </c>
    </row>
    <row r="1323" spans="30:33" x14ac:dyDescent="0.25">
      <c r="AD1323" s="2" t="str">
        <f t="shared" si="60"/>
        <v/>
      </c>
      <c r="AE1323" s="2" t="str">
        <f t="shared" si="61"/>
        <v/>
      </c>
      <c r="AF1323" s="2" t="str">
        <f t="shared" si="62"/>
        <v/>
      </c>
      <c r="AG1323" s="2" t="str">
        <f>IF($L1323="","",IF(COUNTIF(LISTS!$A$2:$A$200,$H1323)=0,"NEW",""))</f>
        <v/>
      </c>
    </row>
    <row r="1324" spans="30:33" x14ac:dyDescent="0.25">
      <c r="AD1324" s="2" t="str">
        <f t="shared" si="60"/>
        <v/>
      </c>
      <c r="AE1324" s="2" t="str">
        <f t="shared" si="61"/>
        <v/>
      </c>
      <c r="AF1324" s="2" t="str">
        <f t="shared" si="62"/>
        <v/>
      </c>
      <c r="AG1324" s="2" t="str">
        <f>IF($L1324="","",IF(COUNTIF(LISTS!$A$2:$A$200,$H1324)=0,"NEW",""))</f>
        <v/>
      </c>
    </row>
    <row r="1325" spans="30:33" x14ac:dyDescent="0.25">
      <c r="AD1325" s="2" t="str">
        <f t="shared" si="60"/>
        <v/>
      </c>
      <c r="AE1325" s="2" t="str">
        <f t="shared" si="61"/>
        <v/>
      </c>
      <c r="AF1325" s="2" t="str">
        <f t="shared" si="62"/>
        <v/>
      </c>
      <c r="AG1325" s="2" t="str">
        <f>IF($L1325="","",IF(COUNTIF(LISTS!$A$2:$A$200,$H1325)=0,"NEW",""))</f>
        <v/>
      </c>
    </row>
    <row r="1326" spans="30:33" x14ac:dyDescent="0.25">
      <c r="AD1326" s="2" t="str">
        <f t="shared" si="60"/>
        <v/>
      </c>
      <c r="AE1326" s="2" t="str">
        <f t="shared" si="61"/>
        <v/>
      </c>
      <c r="AF1326" s="2" t="str">
        <f t="shared" si="62"/>
        <v/>
      </c>
      <c r="AG1326" s="2" t="str">
        <f>IF($L1326="","",IF(COUNTIF(LISTS!$A$2:$A$200,$H1326)=0,"NEW",""))</f>
        <v/>
      </c>
    </row>
    <row r="1327" spans="30:33" x14ac:dyDescent="0.25">
      <c r="AD1327" s="2" t="str">
        <f t="shared" si="60"/>
        <v/>
      </c>
      <c r="AE1327" s="2" t="str">
        <f t="shared" si="61"/>
        <v/>
      </c>
      <c r="AF1327" s="2" t="str">
        <f t="shared" si="62"/>
        <v/>
      </c>
      <c r="AG1327" s="2" t="str">
        <f>IF($L1327="","",IF(COUNTIF(LISTS!$A$2:$A$200,$H1327)=0,"NEW",""))</f>
        <v/>
      </c>
    </row>
    <row r="1328" spans="30:33" x14ac:dyDescent="0.25">
      <c r="AD1328" s="2" t="str">
        <f t="shared" si="60"/>
        <v/>
      </c>
      <c r="AE1328" s="2" t="str">
        <f t="shared" si="61"/>
        <v/>
      </c>
      <c r="AF1328" s="2" t="str">
        <f t="shared" si="62"/>
        <v/>
      </c>
      <c r="AG1328" s="2" t="str">
        <f>IF($L1328="","",IF(COUNTIF(LISTS!$A$2:$A$200,$H1328)=0,"NEW",""))</f>
        <v/>
      </c>
    </row>
    <row r="1329" spans="30:33" x14ac:dyDescent="0.25">
      <c r="AD1329" s="2" t="str">
        <f t="shared" si="60"/>
        <v/>
      </c>
      <c r="AE1329" s="2" t="str">
        <f t="shared" si="61"/>
        <v/>
      </c>
      <c r="AF1329" s="2" t="str">
        <f t="shared" si="62"/>
        <v/>
      </c>
      <c r="AG1329" s="2" t="str">
        <f>IF($L1329="","",IF(COUNTIF(LISTS!$A$2:$A$200,$H1329)=0,"NEW",""))</f>
        <v/>
      </c>
    </row>
    <row r="1330" spans="30:33" x14ac:dyDescent="0.25">
      <c r="AD1330" s="2" t="str">
        <f t="shared" si="60"/>
        <v/>
      </c>
      <c r="AE1330" s="2" t="str">
        <f t="shared" si="61"/>
        <v/>
      </c>
      <c r="AF1330" s="2" t="str">
        <f t="shared" si="62"/>
        <v/>
      </c>
      <c r="AG1330" s="2" t="str">
        <f>IF($L1330="","",IF(COUNTIF(LISTS!$A$2:$A$200,$H1330)=0,"NEW",""))</f>
        <v/>
      </c>
    </row>
    <row r="1331" spans="30:33" x14ac:dyDescent="0.25">
      <c r="AD1331" s="2" t="str">
        <f t="shared" si="60"/>
        <v/>
      </c>
      <c r="AE1331" s="2" t="str">
        <f t="shared" si="61"/>
        <v/>
      </c>
      <c r="AF1331" s="2" t="str">
        <f t="shared" si="62"/>
        <v/>
      </c>
      <c r="AG1331" s="2" t="str">
        <f>IF($L1331="","",IF(COUNTIF(LISTS!$A$2:$A$200,$H1331)=0,"NEW",""))</f>
        <v/>
      </c>
    </row>
    <row r="1332" spans="30:33" x14ac:dyDescent="0.25">
      <c r="AD1332" s="2" t="str">
        <f t="shared" si="60"/>
        <v/>
      </c>
      <c r="AE1332" s="2" t="str">
        <f t="shared" si="61"/>
        <v/>
      </c>
      <c r="AF1332" s="2" t="str">
        <f t="shared" si="62"/>
        <v/>
      </c>
      <c r="AG1332" s="2" t="str">
        <f>IF($L1332="","",IF(COUNTIF(LISTS!$A$2:$A$200,$H1332)=0,"NEW",""))</f>
        <v/>
      </c>
    </row>
    <row r="1333" spans="30:33" x14ac:dyDescent="0.25">
      <c r="AD1333" s="2" t="str">
        <f t="shared" si="60"/>
        <v/>
      </c>
      <c r="AE1333" s="2" t="str">
        <f t="shared" si="61"/>
        <v/>
      </c>
      <c r="AF1333" s="2" t="str">
        <f t="shared" si="62"/>
        <v/>
      </c>
      <c r="AG1333" s="2" t="str">
        <f>IF($L1333="","",IF(COUNTIF(LISTS!$A$2:$A$200,$H1333)=0,"NEW",""))</f>
        <v/>
      </c>
    </row>
    <row r="1334" spans="30:33" x14ac:dyDescent="0.25">
      <c r="AD1334" s="2" t="str">
        <f t="shared" si="60"/>
        <v/>
      </c>
      <c r="AE1334" s="2" t="str">
        <f t="shared" si="61"/>
        <v/>
      </c>
      <c r="AF1334" s="2" t="str">
        <f t="shared" si="62"/>
        <v/>
      </c>
      <c r="AG1334" s="2" t="str">
        <f>IF($L1334="","",IF(COUNTIF(LISTS!$A$2:$A$200,$H1334)=0,"NEW",""))</f>
        <v/>
      </c>
    </row>
    <row r="1335" spans="30:33" x14ac:dyDescent="0.25">
      <c r="AD1335" s="2" t="str">
        <f t="shared" si="60"/>
        <v/>
      </c>
      <c r="AE1335" s="2" t="str">
        <f t="shared" si="61"/>
        <v/>
      </c>
      <c r="AF1335" s="2" t="str">
        <f t="shared" si="62"/>
        <v/>
      </c>
      <c r="AG1335" s="2" t="str">
        <f>IF($L1335="","",IF(COUNTIF(LISTS!$A$2:$A$200,$H1335)=0,"NEW",""))</f>
        <v/>
      </c>
    </row>
    <row r="1336" spans="30:33" x14ac:dyDescent="0.25">
      <c r="AD1336" s="2" t="str">
        <f t="shared" si="60"/>
        <v/>
      </c>
      <c r="AE1336" s="2" t="str">
        <f t="shared" si="61"/>
        <v/>
      </c>
      <c r="AF1336" s="2" t="str">
        <f t="shared" si="62"/>
        <v/>
      </c>
      <c r="AG1336" s="2" t="str">
        <f>IF($L1336="","",IF(COUNTIF(LISTS!$A$2:$A$200,$H1336)=0,"NEW",""))</f>
        <v/>
      </c>
    </row>
    <row r="1337" spans="30:33" x14ac:dyDescent="0.25">
      <c r="AD1337" s="2" t="str">
        <f t="shared" si="60"/>
        <v/>
      </c>
      <c r="AE1337" s="2" t="str">
        <f t="shared" si="61"/>
        <v/>
      </c>
      <c r="AF1337" s="2" t="str">
        <f t="shared" si="62"/>
        <v/>
      </c>
      <c r="AG1337" s="2" t="str">
        <f>IF($L1337="","",IF(COUNTIF(LISTS!$A$2:$A$200,$H1337)=0,"NEW",""))</f>
        <v/>
      </c>
    </row>
    <row r="1338" spans="30:33" x14ac:dyDescent="0.25">
      <c r="AD1338" s="2" t="str">
        <f t="shared" si="60"/>
        <v/>
      </c>
      <c r="AE1338" s="2" t="str">
        <f t="shared" si="61"/>
        <v/>
      </c>
      <c r="AF1338" s="2" t="str">
        <f t="shared" si="62"/>
        <v/>
      </c>
      <c r="AG1338" s="2" t="str">
        <f>IF($L1338="","",IF(COUNTIF(LISTS!$A$2:$A$200,$H1338)=0,"NEW",""))</f>
        <v/>
      </c>
    </row>
    <row r="1339" spans="30:33" x14ac:dyDescent="0.25">
      <c r="AD1339" s="2" t="str">
        <f t="shared" si="60"/>
        <v/>
      </c>
      <c r="AE1339" s="2" t="str">
        <f t="shared" si="61"/>
        <v/>
      </c>
      <c r="AF1339" s="2" t="str">
        <f t="shared" si="62"/>
        <v/>
      </c>
      <c r="AG1339" s="2" t="str">
        <f>IF($L1339="","",IF(COUNTIF(LISTS!$A$2:$A$200,$H1339)=0,"NEW",""))</f>
        <v/>
      </c>
    </row>
    <row r="1340" spans="30:33" x14ac:dyDescent="0.25">
      <c r="AD1340" s="2" t="str">
        <f t="shared" si="60"/>
        <v/>
      </c>
      <c r="AE1340" s="2" t="str">
        <f t="shared" si="61"/>
        <v/>
      </c>
      <c r="AF1340" s="2" t="str">
        <f t="shared" si="62"/>
        <v/>
      </c>
      <c r="AG1340" s="2" t="str">
        <f>IF($L1340="","",IF(COUNTIF(LISTS!$A$2:$A$200,$H1340)=0,"NEW",""))</f>
        <v/>
      </c>
    </row>
    <row r="1341" spans="30:33" x14ac:dyDescent="0.25">
      <c r="AD1341" s="2" t="str">
        <f t="shared" si="60"/>
        <v/>
      </c>
      <c r="AE1341" s="2" t="str">
        <f t="shared" si="61"/>
        <v/>
      </c>
      <c r="AF1341" s="2" t="str">
        <f t="shared" si="62"/>
        <v/>
      </c>
      <c r="AG1341" s="2" t="str">
        <f>IF($L1341="","",IF(COUNTIF(LISTS!$A$2:$A$200,$H1341)=0,"NEW",""))</f>
        <v/>
      </c>
    </row>
    <row r="1342" spans="30:33" x14ac:dyDescent="0.25">
      <c r="AD1342" s="2" t="str">
        <f t="shared" si="60"/>
        <v/>
      </c>
      <c r="AE1342" s="2" t="str">
        <f t="shared" si="61"/>
        <v/>
      </c>
      <c r="AF1342" s="2" t="str">
        <f t="shared" si="62"/>
        <v/>
      </c>
      <c r="AG1342" s="2" t="str">
        <f>IF($L1342="","",IF(COUNTIF(LISTS!$A$2:$A$200,$H1342)=0,"NEW",""))</f>
        <v/>
      </c>
    </row>
    <row r="1343" spans="30:33" x14ac:dyDescent="0.25">
      <c r="AD1343" s="2" t="str">
        <f t="shared" si="60"/>
        <v/>
      </c>
      <c r="AE1343" s="2" t="str">
        <f t="shared" si="61"/>
        <v/>
      </c>
      <c r="AF1343" s="2" t="str">
        <f t="shared" si="62"/>
        <v/>
      </c>
      <c r="AG1343" s="2" t="str">
        <f>IF($L1343="","",IF(COUNTIF(LISTS!$A$2:$A$200,$H1343)=0,"NEW",""))</f>
        <v/>
      </c>
    </row>
    <row r="1344" spans="30:33" x14ac:dyDescent="0.25">
      <c r="AD1344" s="2" t="str">
        <f t="shared" si="60"/>
        <v/>
      </c>
      <c r="AE1344" s="2" t="str">
        <f t="shared" si="61"/>
        <v/>
      </c>
      <c r="AF1344" s="2" t="str">
        <f t="shared" si="62"/>
        <v/>
      </c>
      <c r="AG1344" s="2" t="str">
        <f>IF($L1344="","",IF(COUNTIF(LISTS!$A$2:$A$200,$H1344)=0,"NEW",""))</f>
        <v/>
      </c>
    </row>
    <row r="1345" spans="30:33" x14ac:dyDescent="0.25">
      <c r="AD1345" s="2" t="str">
        <f t="shared" si="60"/>
        <v/>
      </c>
      <c r="AE1345" s="2" t="str">
        <f t="shared" si="61"/>
        <v/>
      </c>
      <c r="AF1345" s="2" t="str">
        <f t="shared" si="62"/>
        <v/>
      </c>
      <c r="AG1345" s="2" t="str">
        <f>IF($L1345="","",IF(COUNTIF(LISTS!$A$2:$A$200,$H1345)=0,"NEW",""))</f>
        <v/>
      </c>
    </row>
    <row r="1346" spans="30:33" x14ac:dyDescent="0.25">
      <c r="AD1346" s="2" t="str">
        <f t="shared" ref="AD1346:AD1409" si="63">IF($L1346="","",IF(ISNUMBER(SEARCH("OFF ROAD",$H1346)),"OFF",IF(ISNUMBER(SEARCH("ON ROAD",$H1346)),"ON","")))</f>
        <v/>
      </c>
      <c r="AE1346" s="2" t="str">
        <f t="shared" ref="AE1346:AE1409" si="64">IF($AD1346="ON",""&amp;$L1346,"")</f>
        <v/>
      </c>
      <c r="AF1346" s="2" t="str">
        <f t="shared" ref="AF1346:AF1409" si="65">IF($L1346="","",IF($J1346&lt;&gt;"","Y",""))</f>
        <v/>
      </c>
      <c r="AG1346" s="2" t="str">
        <f>IF($L1346="","",IF(COUNTIF(LISTS!$A$2:$A$200,$H1346)=0,"NEW",""))</f>
        <v/>
      </c>
    </row>
    <row r="1347" spans="30:33" x14ac:dyDescent="0.25">
      <c r="AD1347" s="2" t="str">
        <f t="shared" si="63"/>
        <v/>
      </c>
      <c r="AE1347" s="2" t="str">
        <f t="shared" si="64"/>
        <v/>
      </c>
      <c r="AF1347" s="2" t="str">
        <f t="shared" si="65"/>
        <v/>
      </c>
      <c r="AG1347" s="2" t="str">
        <f>IF($L1347="","",IF(COUNTIF(LISTS!$A$2:$A$200,$H1347)=0,"NEW",""))</f>
        <v/>
      </c>
    </row>
    <row r="1348" spans="30:33" x14ac:dyDescent="0.25">
      <c r="AD1348" s="2" t="str">
        <f t="shared" si="63"/>
        <v/>
      </c>
      <c r="AE1348" s="2" t="str">
        <f t="shared" si="64"/>
        <v/>
      </c>
      <c r="AF1348" s="2" t="str">
        <f t="shared" si="65"/>
        <v/>
      </c>
      <c r="AG1348" s="2" t="str">
        <f>IF($L1348="","",IF(COUNTIF(LISTS!$A$2:$A$200,$H1348)=0,"NEW",""))</f>
        <v/>
      </c>
    </row>
    <row r="1349" spans="30:33" x14ac:dyDescent="0.25">
      <c r="AD1349" s="2" t="str">
        <f t="shared" si="63"/>
        <v/>
      </c>
      <c r="AE1349" s="2" t="str">
        <f t="shared" si="64"/>
        <v/>
      </c>
      <c r="AF1349" s="2" t="str">
        <f t="shared" si="65"/>
        <v/>
      </c>
      <c r="AG1349" s="2" t="str">
        <f>IF($L1349="","",IF(COUNTIF(LISTS!$A$2:$A$200,$H1349)=0,"NEW",""))</f>
        <v/>
      </c>
    </row>
    <row r="1350" spans="30:33" x14ac:dyDescent="0.25">
      <c r="AD1350" s="2" t="str">
        <f t="shared" si="63"/>
        <v/>
      </c>
      <c r="AE1350" s="2" t="str">
        <f t="shared" si="64"/>
        <v/>
      </c>
      <c r="AF1350" s="2" t="str">
        <f t="shared" si="65"/>
        <v/>
      </c>
      <c r="AG1350" s="2" t="str">
        <f>IF($L1350="","",IF(COUNTIF(LISTS!$A$2:$A$200,$H1350)=0,"NEW",""))</f>
        <v/>
      </c>
    </row>
    <row r="1351" spans="30:33" x14ac:dyDescent="0.25">
      <c r="AD1351" s="2" t="str">
        <f t="shared" si="63"/>
        <v/>
      </c>
      <c r="AE1351" s="2" t="str">
        <f t="shared" si="64"/>
        <v/>
      </c>
      <c r="AF1351" s="2" t="str">
        <f t="shared" si="65"/>
        <v/>
      </c>
      <c r="AG1351" s="2" t="str">
        <f>IF($L1351="","",IF(COUNTIF(LISTS!$A$2:$A$200,$H1351)=0,"NEW",""))</f>
        <v/>
      </c>
    </row>
    <row r="1352" spans="30:33" x14ac:dyDescent="0.25">
      <c r="AD1352" s="2" t="str">
        <f t="shared" si="63"/>
        <v/>
      </c>
      <c r="AE1352" s="2" t="str">
        <f t="shared" si="64"/>
        <v/>
      </c>
      <c r="AF1352" s="2" t="str">
        <f t="shared" si="65"/>
        <v/>
      </c>
      <c r="AG1352" s="2" t="str">
        <f>IF($L1352="","",IF(COUNTIF(LISTS!$A$2:$A$200,$H1352)=0,"NEW",""))</f>
        <v/>
      </c>
    </row>
    <row r="1353" spans="30:33" x14ac:dyDescent="0.25">
      <c r="AD1353" s="2" t="str">
        <f t="shared" si="63"/>
        <v/>
      </c>
      <c r="AE1353" s="2" t="str">
        <f t="shared" si="64"/>
        <v/>
      </c>
      <c r="AF1353" s="2" t="str">
        <f t="shared" si="65"/>
        <v/>
      </c>
      <c r="AG1353" s="2" t="str">
        <f>IF($L1353="","",IF(COUNTIF(LISTS!$A$2:$A$200,$H1353)=0,"NEW",""))</f>
        <v/>
      </c>
    </row>
    <row r="1354" spans="30:33" x14ac:dyDescent="0.25">
      <c r="AD1354" s="2" t="str">
        <f t="shared" si="63"/>
        <v/>
      </c>
      <c r="AE1354" s="2" t="str">
        <f t="shared" si="64"/>
        <v/>
      </c>
      <c r="AF1354" s="2" t="str">
        <f t="shared" si="65"/>
        <v/>
      </c>
      <c r="AG1354" s="2" t="str">
        <f>IF($L1354="","",IF(COUNTIF(LISTS!$A$2:$A$200,$H1354)=0,"NEW",""))</f>
        <v/>
      </c>
    </row>
    <row r="1355" spans="30:33" x14ac:dyDescent="0.25">
      <c r="AD1355" s="2" t="str">
        <f t="shared" si="63"/>
        <v/>
      </c>
      <c r="AE1355" s="2" t="str">
        <f t="shared" si="64"/>
        <v/>
      </c>
      <c r="AF1355" s="2" t="str">
        <f t="shared" si="65"/>
        <v/>
      </c>
      <c r="AG1355" s="2" t="str">
        <f>IF($L1355="","",IF(COUNTIF(LISTS!$A$2:$A$200,$H1355)=0,"NEW",""))</f>
        <v/>
      </c>
    </row>
    <row r="1356" spans="30:33" x14ac:dyDescent="0.25">
      <c r="AD1356" s="2" t="str">
        <f t="shared" si="63"/>
        <v/>
      </c>
      <c r="AE1356" s="2" t="str">
        <f t="shared" si="64"/>
        <v/>
      </c>
      <c r="AF1356" s="2" t="str">
        <f t="shared" si="65"/>
        <v/>
      </c>
      <c r="AG1356" s="2" t="str">
        <f>IF($L1356="","",IF(COUNTIF(LISTS!$A$2:$A$200,$H1356)=0,"NEW",""))</f>
        <v/>
      </c>
    </row>
    <row r="1357" spans="30:33" x14ac:dyDescent="0.25">
      <c r="AD1357" s="2" t="str">
        <f t="shared" si="63"/>
        <v/>
      </c>
      <c r="AE1357" s="2" t="str">
        <f t="shared" si="64"/>
        <v/>
      </c>
      <c r="AF1357" s="2" t="str">
        <f t="shared" si="65"/>
        <v/>
      </c>
      <c r="AG1357" s="2" t="str">
        <f>IF($L1357="","",IF(COUNTIF(LISTS!$A$2:$A$200,$H1357)=0,"NEW",""))</f>
        <v/>
      </c>
    </row>
    <row r="1358" spans="30:33" x14ac:dyDescent="0.25">
      <c r="AD1358" s="2" t="str">
        <f t="shared" si="63"/>
        <v/>
      </c>
      <c r="AE1358" s="2" t="str">
        <f t="shared" si="64"/>
        <v/>
      </c>
      <c r="AF1358" s="2" t="str">
        <f t="shared" si="65"/>
        <v/>
      </c>
      <c r="AG1358" s="2" t="str">
        <f>IF($L1358="","",IF(COUNTIF(LISTS!$A$2:$A$200,$H1358)=0,"NEW",""))</f>
        <v/>
      </c>
    </row>
    <row r="1359" spans="30:33" x14ac:dyDescent="0.25">
      <c r="AD1359" s="2" t="str">
        <f t="shared" si="63"/>
        <v/>
      </c>
      <c r="AE1359" s="2" t="str">
        <f t="shared" si="64"/>
        <v/>
      </c>
      <c r="AF1359" s="2" t="str">
        <f t="shared" si="65"/>
        <v/>
      </c>
      <c r="AG1359" s="2" t="str">
        <f>IF($L1359="","",IF(COUNTIF(LISTS!$A$2:$A$200,$H1359)=0,"NEW",""))</f>
        <v/>
      </c>
    </row>
    <row r="1360" spans="30:33" x14ac:dyDescent="0.25">
      <c r="AD1360" s="2" t="str">
        <f t="shared" si="63"/>
        <v/>
      </c>
      <c r="AE1360" s="2" t="str">
        <f t="shared" si="64"/>
        <v/>
      </c>
      <c r="AF1360" s="2" t="str">
        <f t="shared" si="65"/>
        <v/>
      </c>
      <c r="AG1360" s="2" t="str">
        <f>IF($L1360="","",IF(COUNTIF(LISTS!$A$2:$A$200,$H1360)=0,"NEW",""))</f>
        <v/>
      </c>
    </row>
    <row r="1361" spans="30:33" x14ac:dyDescent="0.25">
      <c r="AD1361" s="2" t="str">
        <f t="shared" si="63"/>
        <v/>
      </c>
      <c r="AE1361" s="2" t="str">
        <f t="shared" si="64"/>
        <v/>
      </c>
      <c r="AF1361" s="2" t="str">
        <f t="shared" si="65"/>
        <v/>
      </c>
      <c r="AG1361" s="2" t="str">
        <f>IF($L1361="","",IF(COUNTIF(LISTS!$A$2:$A$200,$H1361)=0,"NEW",""))</f>
        <v/>
      </c>
    </row>
    <row r="1362" spans="30:33" x14ac:dyDescent="0.25">
      <c r="AD1362" s="2" t="str">
        <f t="shared" si="63"/>
        <v/>
      </c>
      <c r="AE1362" s="2" t="str">
        <f t="shared" si="64"/>
        <v/>
      </c>
      <c r="AF1362" s="2" t="str">
        <f t="shared" si="65"/>
        <v/>
      </c>
      <c r="AG1362" s="2" t="str">
        <f>IF($L1362="","",IF(COUNTIF(LISTS!$A$2:$A$200,$H1362)=0,"NEW",""))</f>
        <v/>
      </c>
    </row>
    <row r="1363" spans="30:33" x14ac:dyDescent="0.25">
      <c r="AD1363" s="2" t="str">
        <f t="shared" si="63"/>
        <v/>
      </c>
      <c r="AE1363" s="2" t="str">
        <f t="shared" si="64"/>
        <v/>
      </c>
      <c r="AF1363" s="2" t="str">
        <f t="shared" si="65"/>
        <v/>
      </c>
      <c r="AG1363" s="2" t="str">
        <f>IF($L1363="","",IF(COUNTIF(LISTS!$A$2:$A$200,$H1363)=0,"NEW",""))</f>
        <v/>
      </c>
    </row>
    <row r="1364" spans="30:33" x14ac:dyDescent="0.25">
      <c r="AD1364" s="2" t="str">
        <f t="shared" si="63"/>
        <v/>
      </c>
      <c r="AE1364" s="2" t="str">
        <f t="shared" si="64"/>
        <v/>
      </c>
      <c r="AF1364" s="2" t="str">
        <f t="shared" si="65"/>
        <v/>
      </c>
      <c r="AG1364" s="2" t="str">
        <f>IF($L1364="","",IF(COUNTIF(LISTS!$A$2:$A$200,$H1364)=0,"NEW",""))</f>
        <v/>
      </c>
    </row>
    <row r="1365" spans="30:33" x14ac:dyDescent="0.25">
      <c r="AD1365" s="2" t="str">
        <f t="shared" si="63"/>
        <v/>
      </c>
      <c r="AE1365" s="2" t="str">
        <f t="shared" si="64"/>
        <v/>
      </c>
      <c r="AF1365" s="2" t="str">
        <f t="shared" si="65"/>
        <v/>
      </c>
      <c r="AG1365" s="2" t="str">
        <f>IF($L1365="","",IF(COUNTIF(LISTS!$A$2:$A$200,$H1365)=0,"NEW",""))</f>
        <v/>
      </c>
    </row>
    <row r="1366" spans="30:33" x14ac:dyDescent="0.25">
      <c r="AD1366" s="2" t="str">
        <f t="shared" si="63"/>
        <v/>
      </c>
      <c r="AE1366" s="2" t="str">
        <f t="shared" si="64"/>
        <v/>
      </c>
      <c r="AF1366" s="2" t="str">
        <f t="shared" si="65"/>
        <v/>
      </c>
      <c r="AG1366" s="2" t="str">
        <f>IF($L1366="","",IF(COUNTIF(LISTS!$A$2:$A$200,$H1366)=0,"NEW",""))</f>
        <v/>
      </c>
    </row>
    <row r="1367" spans="30:33" x14ac:dyDescent="0.25">
      <c r="AD1367" s="2" t="str">
        <f t="shared" si="63"/>
        <v/>
      </c>
      <c r="AE1367" s="2" t="str">
        <f t="shared" si="64"/>
        <v/>
      </c>
      <c r="AF1367" s="2" t="str">
        <f t="shared" si="65"/>
        <v/>
      </c>
      <c r="AG1367" s="2" t="str">
        <f>IF($L1367="","",IF(COUNTIF(LISTS!$A$2:$A$200,$H1367)=0,"NEW",""))</f>
        <v/>
      </c>
    </row>
    <row r="1368" spans="30:33" x14ac:dyDescent="0.25">
      <c r="AD1368" s="2" t="str">
        <f t="shared" si="63"/>
        <v/>
      </c>
      <c r="AE1368" s="2" t="str">
        <f t="shared" si="64"/>
        <v/>
      </c>
      <c r="AF1368" s="2" t="str">
        <f t="shared" si="65"/>
        <v/>
      </c>
      <c r="AG1368" s="2" t="str">
        <f>IF($L1368="","",IF(COUNTIF(LISTS!$A$2:$A$200,$H1368)=0,"NEW",""))</f>
        <v/>
      </c>
    </row>
    <row r="1369" spans="30:33" x14ac:dyDescent="0.25">
      <c r="AD1369" s="2" t="str">
        <f t="shared" si="63"/>
        <v/>
      </c>
      <c r="AE1369" s="2" t="str">
        <f t="shared" si="64"/>
        <v/>
      </c>
      <c r="AF1369" s="2" t="str">
        <f t="shared" si="65"/>
        <v/>
      </c>
      <c r="AG1369" s="2" t="str">
        <f>IF($L1369="","",IF(COUNTIF(LISTS!$A$2:$A$200,$H1369)=0,"NEW",""))</f>
        <v/>
      </c>
    </row>
    <row r="1370" spans="30:33" x14ac:dyDescent="0.25">
      <c r="AD1370" s="2" t="str">
        <f t="shared" si="63"/>
        <v/>
      </c>
      <c r="AE1370" s="2" t="str">
        <f t="shared" si="64"/>
        <v/>
      </c>
      <c r="AF1370" s="2" t="str">
        <f t="shared" si="65"/>
        <v/>
      </c>
      <c r="AG1370" s="2" t="str">
        <f>IF($L1370="","",IF(COUNTIF(LISTS!$A$2:$A$200,$H1370)=0,"NEW",""))</f>
        <v/>
      </c>
    </row>
    <row r="1371" spans="30:33" x14ac:dyDescent="0.25">
      <c r="AD1371" s="2" t="str">
        <f t="shared" si="63"/>
        <v/>
      </c>
      <c r="AE1371" s="2" t="str">
        <f t="shared" si="64"/>
        <v/>
      </c>
      <c r="AF1371" s="2" t="str">
        <f t="shared" si="65"/>
        <v/>
      </c>
      <c r="AG1371" s="2" t="str">
        <f>IF($L1371="","",IF(COUNTIF(LISTS!$A$2:$A$200,$H1371)=0,"NEW",""))</f>
        <v/>
      </c>
    </row>
    <row r="1372" spans="30:33" x14ac:dyDescent="0.25">
      <c r="AD1372" s="2" t="str">
        <f t="shared" si="63"/>
        <v/>
      </c>
      <c r="AE1372" s="2" t="str">
        <f t="shared" si="64"/>
        <v/>
      </c>
      <c r="AF1372" s="2" t="str">
        <f t="shared" si="65"/>
        <v/>
      </c>
      <c r="AG1372" s="2" t="str">
        <f>IF($L1372="","",IF(COUNTIF(LISTS!$A$2:$A$200,$H1372)=0,"NEW",""))</f>
        <v/>
      </c>
    </row>
    <row r="1373" spans="30:33" x14ac:dyDescent="0.25">
      <c r="AD1373" s="2" t="str">
        <f t="shared" si="63"/>
        <v/>
      </c>
      <c r="AE1373" s="2" t="str">
        <f t="shared" si="64"/>
        <v/>
      </c>
      <c r="AF1373" s="2" t="str">
        <f t="shared" si="65"/>
        <v/>
      </c>
      <c r="AG1373" s="2" t="str">
        <f>IF($L1373="","",IF(COUNTIF(LISTS!$A$2:$A$200,$H1373)=0,"NEW",""))</f>
        <v/>
      </c>
    </row>
    <row r="1374" spans="30:33" x14ac:dyDescent="0.25">
      <c r="AD1374" s="2" t="str">
        <f t="shared" si="63"/>
        <v/>
      </c>
      <c r="AE1374" s="2" t="str">
        <f t="shared" si="64"/>
        <v/>
      </c>
      <c r="AF1374" s="2" t="str">
        <f t="shared" si="65"/>
        <v/>
      </c>
      <c r="AG1374" s="2" t="str">
        <f>IF($L1374="","",IF(COUNTIF(LISTS!$A$2:$A$200,$H1374)=0,"NEW",""))</f>
        <v/>
      </c>
    </row>
    <row r="1375" spans="30:33" x14ac:dyDescent="0.25">
      <c r="AD1375" s="2" t="str">
        <f t="shared" si="63"/>
        <v/>
      </c>
      <c r="AE1375" s="2" t="str">
        <f t="shared" si="64"/>
        <v/>
      </c>
      <c r="AF1375" s="2" t="str">
        <f t="shared" si="65"/>
        <v/>
      </c>
      <c r="AG1375" s="2" t="str">
        <f>IF($L1375="","",IF(COUNTIF(LISTS!$A$2:$A$200,$H1375)=0,"NEW",""))</f>
        <v/>
      </c>
    </row>
    <row r="1376" spans="30:33" x14ac:dyDescent="0.25">
      <c r="AD1376" s="2" t="str">
        <f t="shared" si="63"/>
        <v/>
      </c>
      <c r="AE1376" s="2" t="str">
        <f t="shared" si="64"/>
        <v/>
      </c>
      <c r="AF1376" s="2" t="str">
        <f t="shared" si="65"/>
        <v/>
      </c>
      <c r="AG1376" s="2" t="str">
        <f>IF($L1376="","",IF(COUNTIF(LISTS!$A$2:$A$200,$H1376)=0,"NEW",""))</f>
        <v/>
      </c>
    </row>
    <row r="1377" spans="30:33" x14ac:dyDescent="0.25">
      <c r="AD1377" s="2" t="str">
        <f t="shared" si="63"/>
        <v/>
      </c>
      <c r="AE1377" s="2" t="str">
        <f t="shared" si="64"/>
        <v/>
      </c>
      <c r="AF1377" s="2" t="str">
        <f t="shared" si="65"/>
        <v/>
      </c>
      <c r="AG1377" s="2" t="str">
        <f>IF($L1377="","",IF(COUNTIF(LISTS!$A$2:$A$200,$H1377)=0,"NEW",""))</f>
        <v/>
      </c>
    </row>
    <row r="1378" spans="30:33" x14ac:dyDescent="0.25">
      <c r="AD1378" s="2" t="str">
        <f t="shared" si="63"/>
        <v/>
      </c>
      <c r="AE1378" s="2" t="str">
        <f t="shared" si="64"/>
        <v/>
      </c>
      <c r="AF1378" s="2" t="str">
        <f t="shared" si="65"/>
        <v/>
      </c>
      <c r="AG1378" s="2" t="str">
        <f>IF($L1378="","",IF(COUNTIF(LISTS!$A$2:$A$200,$H1378)=0,"NEW",""))</f>
        <v/>
      </c>
    </row>
    <row r="1379" spans="30:33" x14ac:dyDescent="0.25">
      <c r="AD1379" s="2" t="str">
        <f t="shared" si="63"/>
        <v/>
      </c>
      <c r="AE1379" s="2" t="str">
        <f t="shared" si="64"/>
        <v/>
      </c>
      <c r="AF1379" s="2" t="str">
        <f t="shared" si="65"/>
        <v/>
      </c>
      <c r="AG1379" s="2" t="str">
        <f>IF($L1379="","",IF(COUNTIF(LISTS!$A$2:$A$200,$H1379)=0,"NEW",""))</f>
        <v/>
      </c>
    </row>
    <row r="1380" spans="30:33" x14ac:dyDescent="0.25">
      <c r="AD1380" s="2" t="str">
        <f t="shared" si="63"/>
        <v/>
      </c>
      <c r="AE1380" s="2" t="str">
        <f t="shared" si="64"/>
        <v/>
      </c>
      <c r="AF1380" s="2" t="str">
        <f t="shared" si="65"/>
        <v/>
      </c>
      <c r="AG1380" s="2" t="str">
        <f>IF($L1380="","",IF(COUNTIF(LISTS!$A$2:$A$200,$H1380)=0,"NEW",""))</f>
        <v/>
      </c>
    </row>
    <row r="1381" spans="30:33" x14ac:dyDescent="0.25">
      <c r="AD1381" s="2" t="str">
        <f t="shared" si="63"/>
        <v/>
      </c>
      <c r="AE1381" s="2" t="str">
        <f t="shared" si="64"/>
        <v/>
      </c>
      <c r="AF1381" s="2" t="str">
        <f t="shared" si="65"/>
        <v/>
      </c>
      <c r="AG1381" s="2" t="str">
        <f>IF($L1381="","",IF(COUNTIF(LISTS!$A$2:$A$200,$H1381)=0,"NEW",""))</f>
        <v/>
      </c>
    </row>
    <row r="1382" spans="30:33" x14ac:dyDescent="0.25">
      <c r="AD1382" s="2" t="str">
        <f t="shared" si="63"/>
        <v/>
      </c>
      <c r="AE1382" s="2" t="str">
        <f t="shared" si="64"/>
        <v/>
      </c>
      <c r="AF1382" s="2" t="str">
        <f t="shared" si="65"/>
        <v/>
      </c>
      <c r="AG1382" s="2" t="str">
        <f>IF($L1382="","",IF(COUNTIF(LISTS!$A$2:$A$200,$H1382)=0,"NEW",""))</f>
        <v/>
      </c>
    </row>
    <row r="1383" spans="30:33" x14ac:dyDescent="0.25">
      <c r="AD1383" s="2" t="str">
        <f t="shared" si="63"/>
        <v/>
      </c>
      <c r="AE1383" s="2" t="str">
        <f t="shared" si="64"/>
        <v/>
      </c>
      <c r="AF1383" s="2" t="str">
        <f t="shared" si="65"/>
        <v/>
      </c>
      <c r="AG1383" s="2" t="str">
        <f>IF($L1383="","",IF(COUNTIF(LISTS!$A$2:$A$200,$H1383)=0,"NEW",""))</f>
        <v/>
      </c>
    </row>
    <row r="1384" spans="30:33" x14ac:dyDescent="0.25">
      <c r="AD1384" s="2" t="str">
        <f t="shared" si="63"/>
        <v/>
      </c>
      <c r="AE1384" s="2" t="str">
        <f t="shared" si="64"/>
        <v/>
      </c>
      <c r="AF1384" s="2" t="str">
        <f t="shared" si="65"/>
        <v/>
      </c>
      <c r="AG1384" s="2" t="str">
        <f>IF($L1384="","",IF(COUNTIF(LISTS!$A$2:$A$200,$H1384)=0,"NEW",""))</f>
        <v/>
      </c>
    </row>
    <row r="1385" spans="30:33" x14ac:dyDescent="0.25">
      <c r="AD1385" s="2" t="str">
        <f t="shared" si="63"/>
        <v/>
      </c>
      <c r="AE1385" s="2" t="str">
        <f t="shared" si="64"/>
        <v/>
      </c>
      <c r="AF1385" s="2" t="str">
        <f t="shared" si="65"/>
        <v/>
      </c>
      <c r="AG1385" s="2" t="str">
        <f>IF($L1385="","",IF(COUNTIF(LISTS!$A$2:$A$200,$H1385)=0,"NEW",""))</f>
        <v/>
      </c>
    </row>
    <row r="1386" spans="30:33" x14ac:dyDescent="0.25">
      <c r="AD1386" s="2" t="str">
        <f t="shared" si="63"/>
        <v/>
      </c>
      <c r="AE1386" s="2" t="str">
        <f t="shared" si="64"/>
        <v/>
      </c>
      <c r="AF1386" s="2" t="str">
        <f t="shared" si="65"/>
        <v/>
      </c>
      <c r="AG1386" s="2" t="str">
        <f>IF($L1386="","",IF(COUNTIF(LISTS!$A$2:$A$200,$H1386)=0,"NEW",""))</f>
        <v/>
      </c>
    </row>
    <row r="1387" spans="30:33" x14ac:dyDescent="0.25">
      <c r="AD1387" s="2" t="str">
        <f t="shared" si="63"/>
        <v/>
      </c>
      <c r="AE1387" s="2" t="str">
        <f t="shared" si="64"/>
        <v/>
      </c>
      <c r="AF1387" s="2" t="str">
        <f t="shared" si="65"/>
        <v/>
      </c>
      <c r="AG1387" s="2" t="str">
        <f>IF($L1387="","",IF(COUNTIF(LISTS!$A$2:$A$200,$H1387)=0,"NEW",""))</f>
        <v/>
      </c>
    </row>
    <row r="1388" spans="30:33" x14ac:dyDescent="0.25">
      <c r="AD1388" s="2" t="str">
        <f t="shared" si="63"/>
        <v/>
      </c>
      <c r="AE1388" s="2" t="str">
        <f t="shared" si="64"/>
        <v/>
      </c>
      <c r="AF1388" s="2" t="str">
        <f t="shared" si="65"/>
        <v/>
      </c>
      <c r="AG1388" s="2" t="str">
        <f>IF($L1388="","",IF(COUNTIF(LISTS!$A$2:$A$200,$H1388)=0,"NEW",""))</f>
        <v/>
      </c>
    </row>
    <row r="1389" spans="30:33" x14ac:dyDescent="0.25">
      <c r="AD1389" s="2" t="str">
        <f t="shared" si="63"/>
        <v/>
      </c>
      <c r="AE1389" s="2" t="str">
        <f t="shared" si="64"/>
        <v/>
      </c>
      <c r="AF1389" s="2" t="str">
        <f t="shared" si="65"/>
        <v/>
      </c>
      <c r="AG1389" s="2" t="str">
        <f>IF($L1389="","",IF(COUNTIF(LISTS!$A$2:$A$200,$H1389)=0,"NEW",""))</f>
        <v/>
      </c>
    </row>
    <row r="1390" spans="30:33" x14ac:dyDescent="0.25">
      <c r="AD1390" s="2" t="str">
        <f t="shared" si="63"/>
        <v/>
      </c>
      <c r="AE1390" s="2" t="str">
        <f t="shared" si="64"/>
        <v/>
      </c>
      <c r="AF1390" s="2" t="str">
        <f t="shared" si="65"/>
        <v/>
      </c>
      <c r="AG1390" s="2" t="str">
        <f>IF($L1390="","",IF(COUNTIF(LISTS!$A$2:$A$200,$H1390)=0,"NEW",""))</f>
        <v/>
      </c>
    </row>
    <row r="1391" spans="30:33" x14ac:dyDescent="0.25">
      <c r="AD1391" s="2" t="str">
        <f t="shared" si="63"/>
        <v/>
      </c>
      <c r="AE1391" s="2" t="str">
        <f t="shared" si="64"/>
        <v/>
      </c>
      <c r="AF1391" s="2" t="str">
        <f t="shared" si="65"/>
        <v/>
      </c>
      <c r="AG1391" s="2" t="str">
        <f>IF($L1391="","",IF(COUNTIF(LISTS!$A$2:$A$200,$H1391)=0,"NEW",""))</f>
        <v/>
      </c>
    </row>
    <row r="1392" spans="30:33" x14ac:dyDescent="0.25">
      <c r="AD1392" s="2" t="str">
        <f t="shared" si="63"/>
        <v/>
      </c>
      <c r="AE1392" s="2" t="str">
        <f t="shared" si="64"/>
        <v/>
      </c>
      <c r="AF1392" s="2" t="str">
        <f t="shared" si="65"/>
        <v/>
      </c>
      <c r="AG1392" s="2" t="str">
        <f>IF($L1392="","",IF(COUNTIF(LISTS!$A$2:$A$200,$H1392)=0,"NEW",""))</f>
        <v/>
      </c>
    </row>
    <row r="1393" spans="30:33" x14ac:dyDescent="0.25">
      <c r="AD1393" s="2" t="str">
        <f t="shared" si="63"/>
        <v/>
      </c>
      <c r="AE1393" s="2" t="str">
        <f t="shared" si="64"/>
        <v/>
      </c>
      <c r="AF1393" s="2" t="str">
        <f t="shared" si="65"/>
        <v/>
      </c>
      <c r="AG1393" s="2" t="str">
        <f>IF($L1393="","",IF(COUNTIF(LISTS!$A$2:$A$200,$H1393)=0,"NEW",""))</f>
        <v/>
      </c>
    </row>
    <row r="1394" spans="30:33" x14ac:dyDescent="0.25">
      <c r="AD1394" s="2" t="str">
        <f t="shared" si="63"/>
        <v/>
      </c>
      <c r="AE1394" s="2" t="str">
        <f t="shared" si="64"/>
        <v/>
      </c>
      <c r="AF1394" s="2" t="str">
        <f t="shared" si="65"/>
        <v/>
      </c>
      <c r="AG1394" s="2" t="str">
        <f>IF($L1394="","",IF(COUNTIF(LISTS!$A$2:$A$200,$H1394)=0,"NEW",""))</f>
        <v/>
      </c>
    </row>
    <row r="1395" spans="30:33" x14ac:dyDescent="0.25">
      <c r="AD1395" s="2" t="str">
        <f t="shared" si="63"/>
        <v/>
      </c>
      <c r="AE1395" s="2" t="str">
        <f t="shared" si="64"/>
        <v/>
      </c>
      <c r="AF1395" s="2" t="str">
        <f t="shared" si="65"/>
        <v/>
      </c>
      <c r="AG1395" s="2" t="str">
        <f>IF($L1395="","",IF(COUNTIF(LISTS!$A$2:$A$200,$H1395)=0,"NEW",""))</f>
        <v/>
      </c>
    </row>
    <row r="1396" spans="30:33" x14ac:dyDescent="0.25">
      <c r="AD1396" s="2" t="str">
        <f t="shared" si="63"/>
        <v/>
      </c>
      <c r="AE1396" s="2" t="str">
        <f t="shared" si="64"/>
        <v/>
      </c>
      <c r="AF1396" s="2" t="str">
        <f t="shared" si="65"/>
        <v/>
      </c>
      <c r="AG1396" s="2" t="str">
        <f>IF($L1396="","",IF(COUNTIF(LISTS!$A$2:$A$200,$H1396)=0,"NEW",""))</f>
        <v/>
      </c>
    </row>
    <row r="1397" spans="30:33" x14ac:dyDescent="0.25">
      <c r="AD1397" s="2" t="str">
        <f t="shared" si="63"/>
        <v/>
      </c>
      <c r="AE1397" s="2" t="str">
        <f t="shared" si="64"/>
        <v/>
      </c>
      <c r="AF1397" s="2" t="str">
        <f t="shared" si="65"/>
        <v/>
      </c>
      <c r="AG1397" s="2" t="str">
        <f>IF($L1397="","",IF(COUNTIF(LISTS!$A$2:$A$200,$H1397)=0,"NEW",""))</f>
        <v/>
      </c>
    </row>
    <row r="1398" spans="30:33" x14ac:dyDescent="0.25">
      <c r="AD1398" s="2" t="str">
        <f t="shared" si="63"/>
        <v/>
      </c>
      <c r="AE1398" s="2" t="str">
        <f t="shared" si="64"/>
        <v/>
      </c>
      <c r="AF1398" s="2" t="str">
        <f t="shared" si="65"/>
        <v/>
      </c>
      <c r="AG1398" s="2" t="str">
        <f>IF($L1398="","",IF(COUNTIF(LISTS!$A$2:$A$200,$H1398)=0,"NEW",""))</f>
        <v/>
      </c>
    </row>
    <row r="1399" spans="30:33" x14ac:dyDescent="0.25">
      <c r="AD1399" s="2" t="str">
        <f t="shared" si="63"/>
        <v/>
      </c>
      <c r="AE1399" s="2" t="str">
        <f t="shared" si="64"/>
        <v/>
      </c>
      <c r="AF1399" s="2" t="str">
        <f t="shared" si="65"/>
        <v/>
      </c>
      <c r="AG1399" s="2" t="str">
        <f>IF($L1399="","",IF(COUNTIF(LISTS!$A$2:$A$200,$H1399)=0,"NEW",""))</f>
        <v/>
      </c>
    </row>
    <row r="1400" spans="30:33" x14ac:dyDescent="0.25">
      <c r="AD1400" s="2" t="str">
        <f t="shared" si="63"/>
        <v/>
      </c>
      <c r="AE1400" s="2" t="str">
        <f t="shared" si="64"/>
        <v/>
      </c>
      <c r="AF1400" s="2" t="str">
        <f t="shared" si="65"/>
        <v/>
      </c>
      <c r="AG1400" s="2" t="str">
        <f>IF($L1400="","",IF(COUNTIF(LISTS!$A$2:$A$200,$H1400)=0,"NEW",""))</f>
        <v/>
      </c>
    </row>
    <row r="1401" spans="30:33" x14ac:dyDescent="0.25">
      <c r="AD1401" s="2" t="str">
        <f t="shared" si="63"/>
        <v/>
      </c>
      <c r="AE1401" s="2" t="str">
        <f t="shared" si="64"/>
        <v/>
      </c>
      <c r="AF1401" s="2" t="str">
        <f t="shared" si="65"/>
        <v/>
      </c>
      <c r="AG1401" s="2" t="str">
        <f>IF($L1401="","",IF(COUNTIF(LISTS!$A$2:$A$200,$H1401)=0,"NEW",""))</f>
        <v/>
      </c>
    </row>
    <row r="1402" spans="30:33" x14ac:dyDescent="0.25">
      <c r="AD1402" s="2" t="str">
        <f t="shared" si="63"/>
        <v/>
      </c>
      <c r="AE1402" s="2" t="str">
        <f t="shared" si="64"/>
        <v/>
      </c>
      <c r="AF1402" s="2" t="str">
        <f t="shared" si="65"/>
        <v/>
      </c>
      <c r="AG1402" s="2" t="str">
        <f>IF($L1402="","",IF(COUNTIF(LISTS!$A$2:$A$200,$H1402)=0,"NEW",""))</f>
        <v/>
      </c>
    </row>
    <row r="1403" spans="30:33" x14ac:dyDescent="0.25">
      <c r="AD1403" s="2" t="str">
        <f t="shared" si="63"/>
        <v/>
      </c>
      <c r="AE1403" s="2" t="str">
        <f t="shared" si="64"/>
        <v/>
      </c>
      <c r="AF1403" s="2" t="str">
        <f t="shared" si="65"/>
        <v/>
      </c>
      <c r="AG1403" s="2" t="str">
        <f>IF($L1403="","",IF(COUNTIF(LISTS!$A$2:$A$200,$H1403)=0,"NEW",""))</f>
        <v/>
      </c>
    </row>
    <row r="1404" spans="30:33" x14ac:dyDescent="0.25">
      <c r="AD1404" s="2" t="str">
        <f t="shared" si="63"/>
        <v/>
      </c>
      <c r="AE1404" s="2" t="str">
        <f t="shared" si="64"/>
        <v/>
      </c>
      <c r="AF1404" s="2" t="str">
        <f t="shared" si="65"/>
        <v/>
      </c>
      <c r="AG1404" s="2" t="str">
        <f>IF($L1404="","",IF(COUNTIF(LISTS!$A$2:$A$200,$H1404)=0,"NEW",""))</f>
        <v/>
      </c>
    </row>
    <row r="1405" spans="30:33" x14ac:dyDescent="0.25">
      <c r="AD1405" s="2" t="str">
        <f t="shared" si="63"/>
        <v/>
      </c>
      <c r="AE1405" s="2" t="str">
        <f t="shared" si="64"/>
        <v/>
      </c>
      <c r="AF1405" s="2" t="str">
        <f t="shared" si="65"/>
        <v/>
      </c>
      <c r="AG1405" s="2" t="str">
        <f>IF($L1405="","",IF(COUNTIF(LISTS!$A$2:$A$200,$H1405)=0,"NEW",""))</f>
        <v/>
      </c>
    </row>
    <row r="1406" spans="30:33" x14ac:dyDescent="0.25">
      <c r="AD1406" s="2" t="str">
        <f t="shared" si="63"/>
        <v/>
      </c>
      <c r="AE1406" s="2" t="str">
        <f t="shared" si="64"/>
        <v/>
      </c>
      <c r="AF1406" s="2" t="str">
        <f t="shared" si="65"/>
        <v/>
      </c>
      <c r="AG1406" s="2" t="str">
        <f>IF($L1406="","",IF(COUNTIF(LISTS!$A$2:$A$200,$H1406)=0,"NEW",""))</f>
        <v/>
      </c>
    </row>
    <row r="1407" spans="30:33" x14ac:dyDescent="0.25">
      <c r="AD1407" s="2" t="str">
        <f t="shared" si="63"/>
        <v/>
      </c>
      <c r="AE1407" s="2" t="str">
        <f t="shared" si="64"/>
        <v/>
      </c>
      <c r="AF1407" s="2" t="str">
        <f t="shared" si="65"/>
        <v/>
      </c>
      <c r="AG1407" s="2" t="str">
        <f>IF($L1407="","",IF(COUNTIF(LISTS!$A$2:$A$200,$H1407)=0,"NEW",""))</f>
        <v/>
      </c>
    </row>
    <row r="1408" spans="30:33" x14ac:dyDescent="0.25">
      <c r="AD1408" s="2" t="str">
        <f t="shared" si="63"/>
        <v/>
      </c>
      <c r="AE1408" s="2" t="str">
        <f t="shared" si="64"/>
        <v/>
      </c>
      <c r="AF1408" s="2" t="str">
        <f t="shared" si="65"/>
        <v/>
      </c>
      <c r="AG1408" s="2" t="str">
        <f>IF($L1408="","",IF(COUNTIF(LISTS!$A$2:$A$200,$H1408)=0,"NEW",""))</f>
        <v/>
      </c>
    </row>
    <row r="1409" spans="30:33" x14ac:dyDescent="0.25">
      <c r="AD1409" s="2" t="str">
        <f t="shared" si="63"/>
        <v/>
      </c>
      <c r="AE1409" s="2" t="str">
        <f t="shared" si="64"/>
        <v/>
      </c>
      <c r="AF1409" s="2" t="str">
        <f t="shared" si="65"/>
        <v/>
      </c>
      <c r="AG1409" s="2" t="str">
        <f>IF($L1409="","",IF(COUNTIF(LISTS!$A$2:$A$200,$H1409)=0,"NEW",""))</f>
        <v/>
      </c>
    </row>
    <row r="1410" spans="30:33" x14ac:dyDescent="0.25">
      <c r="AD1410" s="2" t="str">
        <f t="shared" ref="AD1410:AD1473" si="66">IF($L1410="","",IF(ISNUMBER(SEARCH("OFF ROAD",$H1410)),"OFF",IF(ISNUMBER(SEARCH("ON ROAD",$H1410)),"ON","")))</f>
        <v/>
      </c>
      <c r="AE1410" s="2" t="str">
        <f t="shared" ref="AE1410:AE1473" si="67">IF($AD1410="ON",""&amp;$L1410,"")</f>
        <v/>
      </c>
      <c r="AF1410" s="2" t="str">
        <f t="shared" ref="AF1410:AF1473" si="68">IF($L1410="","",IF($J1410&lt;&gt;"","Y",""))</f>
        <v/>
      </c>
      <c r="AG1410" s="2" t="str">
        <f>IF($L1410="","",IF(COUNTIF(LISTS!$A$2:$A$200,$H1410)=0,"NEW",""))</f>
        <v/>
      </c>
    </row>
    <row r="1411" spans="30:33" x14ac:dyDescent="0.25">
      <c r="AD1411" s="2" t="str">
        <f t="shared" si="66"/>
        <v/>
      </c>
      <c r="AE1411" s="2" t="str">
        <f t="shared" si="67"/>
        <v/>
      </c>
      <c r="AF1411" s="2" t="str">
        <f t="shared" si="68"/>
        <v/>
      </c>
      <c r="AG1411" s="2" t="str">
        <f>IF($L1411="","",IF(COUNTIF(LISTS!$A$2:$A$200,$H1411)=0,"NEW",""))</f>
        <v/>
      </c>
    </row>
    <row r="1412" spans="30:33" x14ac:dyDescent="0.25">
      <c r="AD1412" s="2" t="str">
        <f t="shared" si="66"/>
        <v/>
      </c>
      <c r="AE1412" s="2" t="str">
        <f t="shared" si="67"/>
        <v/>
      </c>
      <c r="AF1412" s="2" t="str">
        <f t="shared" si="68"/>
        <v/>
      </c>
      <c r="AG1412" s="2" t="str">
        <f>IF($L1412="","",IF(COUNTIF(LISTS!$A$2:$A$200,$H1412)=0,"NEW",""))</f>
        <v/>
      </c>
    </row>
    <row r="1413" spans="30:33" x14ac:dyDescent="0.25">
      <c r="AD1413" s="2" t="str">
        <f t="shared" si="66"/>
        <v/>
      </c>
      <c r="AE1413" s="2" t="str">
        <f t="shared" si="67"/>
        <v/>
      </c>
      <c r="AF1413" s="2" t="str">
        <f t="shared" si="68"/>
        <v/>
      </c>
      <c r="AG1413" s="2" t="str">
        <f>IF($L1413="","",IF(COUNTIF(LISTS!$A$2:$A$200,$H1413)=0,"NEW",""))</f>
        <v/>
      </c>
    </row>
    <row r="1414" spans="30:33" x14ac:dyDescent="0.25">
      <c r="AD1414" s="2" t="str">
        <f t="shared" si="66"/>
        <v/>
      </c>
      <c r="AE1414" s="2" t="str">
        <f t="shared" si="67"/>
        <v/>
      </c>
      <c r="AF1414" s="2" t="str">
        <f t="shared" si="68"/>
        <v/>
      </c>
      <c r="AG1414" s="2" t="str">
        <f>IF($L1414="","",IF(COUNTIF(LISTS!$A$2:$A$200,$H1414)=0,"NEW",""))</f>
        <v/>
      </c>
    </row>
    <row r="1415" spans="30:33" x14ac:dyDescent="0.25">
      <c r="AD1415" s="2" t="str">
        <f t="shared" si="66"/>
        <v/>
      </c>
      <c r="AE1415" s="2" t="str">
        <f t="shared" si="67"/>
        <v/>
      </c>
      <c r="AF1415" s="2" t="str">
        <f t="shared" si="68"/>
        <v/>
      </c>
      <c r="AG1415" s="2" t="str">
        <f>IF($L1415="","",IF(COUNTIF(LISTS!$A$2:$A$200,$H1415)=0,"NEW",""))</f>
        <v/>
      </c>
    </row>
    <row r="1416" spans="30:33" x14ac:dyDescent="0.25">
      <c r="AD1416" s="2" t="str">
        <f t="shared" si="66"/>
        <v/>
      </c>
      <c r="AE1416" s="2" t="str">
        <f t="shared" si="67"/>
        <v/>
      </c>
      <c r="AF1416" s="2" t="str">
        <f t="shared" si="68"/>
        <v/>
      </c>
      <c r="AG1416" s="2" t="str">
        <f>IF($L1416="","",IF(COUNTIF(LISTS!$A$2:$A$200,$H1416)=0,"NEW",""))</f>
        <v/>
      </c>
    </row>
    <row r="1417" spans="30:33" x14ac:dyDescent="0.25">
      <c r="AD1417" s="2" t="str">
        <f t="shared" si="66"/>
        <v/>
      </c>
      <c r="AE1417" s="2" t="str">
        <f t="shared" si="67"/>
        <v/>
      </c>
      <c r="AF1417" s="2" t="str">
        <f t="shared" si="68"/>
        <v/>
      </c>
      <c r="AG1417" s="2" t="str">
        <f>IF($L1417="","",IF(COUNTIF(LISTS!$A$2:$A$200,$H1417)=0,"NEW",""))</f>
        <v/>
      </c>
    </row>
    <row r="1418" spans="30:33" x14ac:dyDescent="0.25">
      <c r="AD1418" s="2" t="str">
        <f t="shared" si="66"/>
        <v/>
      </c>
      <c r="AE1418" s="2" t="str">
        <f t="shared" si="67"/>
        <v/>
      </c>
      <c r="AF1418" s="2" t="str">
        <f t="shared" si="68"/>
        <v/>
      </c>
      <c r="AG1418" s="2" t="str">
        <f>IF($L1418="","",IF(COUNTIF(LISTS!$A$2:$A$200,$H1418)=0,"NEW",""))</f>
        <v/>
      </c>
    </row>
    <row r="1419" spans="30:33" x14ac:dyDescent="0.25">
      <c r="AD1419" s="2" t="str">
        <f t="shared" si="66"/>
        <v/>
      </c>
      <c r="AE1419" s="2" t="str">
        <f t="shared" si="67"/>
        <v/>
      </c>
      <c r="AF1419" s="2" t="str">
        <f t="shared" si="68"/>
        <v/>
      </c>
      <c r="AG1419" s="2" t="str">
        <f>IF($L1419="","",IF(COUNTIF(LISTS!$A$2:$A$200,$H1419)=0,"NEW",""))</f>
        <v/>
      </c>
    </row>
    <row r="1420" spans="30:33" x14ac:dyDescent="0.25">
      <c r="AD1420" s="2" t="str">
        <f t="shared" si="66"/>
        <v/>
      </c>
      <c r="AE1420" s="2" t="str">
        <f t="shared" si="67"/>
        <v/>
      </c>
      <c r="AF1420" s="2" t="str">
        <f t="shared" si="68"/>
        <v/>
      </c>
      <c r="AG1420" s="2" t="str">
        <f>IF($L1420="","",IF(COUNTIF(LISTS!$A$2:$A$200,$H1420)=0,"NEW",""))</f>
        <v/>
      </c>
    </row>
    <row r="1421" spans="30:33" x14ac:dyDescent="0.25">
      <c r="AD1421" s="2" t="str">
        <f t="shared" si="66"/>
        <v/>
      </c>
      <c r="AE1421" s="2" t="str">
        <f t="shared" si="67"/>
        <v/>
      </c>
      <c r="AF1421" s="2" t="str">
        <f t="shared" si="68"/>
        <v/>
      </c>
      <c r="AG1421" s="2" t="str">
        <f>IF($L1421="","",IF(COUNTIF(LISTS!$A$2:$A$200,$H1421)=0,"NEW",""))</f>
        <v/>
      </c>
    </row>
    <row r="1422" spans="30:33" x14ac:dyDescent="0.25">
      <c r="AD1422" s="2" t="str">
        <f t="shared" si="66"/>
        <v/>
      </c>
      <c r="AE1422" s="2" t="str">
        <f t="shared" si="67"/>
        <v/>
      </c>
      <c r="AF1422" s="2" t="str">
        <f t="shared" si="68"/>
        <v/>
      </c>
      <c r="AG1422" s="2" t="str">
        <f>IF($L1422="","",IF(COUNTIF(LISTS!$A$2:$A$200,$H1422)=0,"NEW",""))</f>
        <v/>
      </c>
    </row>
    <row r="1423" spans="30:33" x14ac:dyDescent="0.25">
      <c r="AD1423" s="2" t="str">
        <f t="shared" si="66"/>
        <v/>
      </c>
      <c r="AE1423" s="2" t="str">
        <f t="shared" si="67"/>
        <v/>
      </c>
      <c r="AF1423" s="2" t="str">
        <f t="shared" si="68"/>
        <v/>
      </c>
      <c r="AG1423" s="2" t="str">
        <f>IF($L1423="","",IF(COUNTIF(LISTS!$A$2:$A$200,$H1423)=0,"NEW",""))</f>
        <v/>
      </c>
    </row>
    <row r="1424" spans="30:33" x14ac:dyDescent="0.25">
      <c r="AD1424" s="2" t="str">
        <f t="shared" si="66"/>
        <v/>
      </c>
      <c r="AE1424" s="2" t="str">
        <f t="shared" si="67"/>
        <v/>
      </c>
      <c r="AF1424" s="2" t="str">
        <f t="shared" si="68"/>
        <v/>
      </c>
      <c r="AG1424" s="2" t="str">
        <f>IF($L1424="","",IF(COUNTIF(LISTS!$A$2:$A$200,$H1424)=0,"NEW",""))</f>
        <v/>
      </c>
    </row>
    <row r="1425" spans="30:33" x14ac:dyDescent="0.25">
      <c r="AD1425" s="2" t="str">
        <f t="shared" si="66"/>
        <v/>
      </c>
      <c r="AE1425" s="2" t="str">
        <f t="shared" si="67"/>
        <v/>
      </c>
      <c r="AF1425" s="2" t="str">
        <f t="shared" si="68"/>
        <v/>
      </c>
      <c r="AG1425" s="2" t="str">
        <f>IF($L1425="","",IF(COUNTIF(LISTS!$A$2:$A$200,$H1425)=0,"NEW",""))</f>
        <v/>
      </c>
    </row>
    <row r="1426" spans="30:33" x14ac:dyDescent="0.25">
      <c r="AD1426" s="2" t="str">
        <f t="shared" si="66"/>
        <v/>
      </c>
      <c r="AE1426" s="2" t="str">
        <f t="shared" si="67"/>
        <v/>
      </c>
      <c r="AF1426" s="2" t="str">
        <f t="shared" si="68"/>
        <v/>
      </c>
      <c r="AG1426" s="2" t="str">
        <f>IF($L1426="","",IF(COUNTIF(LISTS!$A$2:$A$200,$H1426)=0,"NEW",""))</f>
        <v/>
      </c>
    </row>
    <row r="1427" spans="30:33" x14ac:dyDescent="0.25">
      <c r="AD1427" s="2" t="str">
        <f t="shared" si="66"/>
        <v/>
      </c>
      <c r="AE1427" s="2" t="str">
        <f t="shared" si="67"/>
        <v/>
      </c>
      <c r="AF1427" s="2" t="str">
        <f t="shared" si="68"/>
        <v/>
      </c>
      <c r="AG1427" s="2" t="str">
        <f>IF($L1427="","",IF(COUNTIF(LISTS!$A$2:$A$200,$H1427)=0,"NEW",""))</f>
        <v/>
      </c>
    </row>
    <row r="1428" spans="30:33" x14ac:dyDescent="0.25">
      <c r="AD1428" s="2" t="str">
        <f t="shared" si="66"/>
        <v/>
      </c>
      <c r="AE1428" s="2" t="str">
        <f t="shared" si="67"/>
        <v/>
      </c>
      <c r="AF1428" s="2" t="str">
        <f t="shared" si="68"/>
        <v/>
      </c>
      <c r="AG1428" s="2" t="str">
        <f>IF($L1428="","",IF(COUNTIF(LISTS!$A$2:$A$200,$H1428)=0,"NEW",""))</f>
        <v/>
      </c>
    </row>
    <row r="1429" spans="30:33" x14ac:dyDescent="0.25">
      <c r="AD1429" s="2" t="str">
        <f t="shared" si="66"/>
        <v/>
      </c>
      <c r="AE1429" s="2" t="str">
        <f t="shared" si="67"/>
        <v/>
      </c>
      <c r="AF1429" s="2" t="str">
        <f t="shared" si="68"/>
        <v/>
      </c>
      <c r="AG1429" s="2" t="str">
        <f>IF($L1429="","",IF(COUNTIF(LISTS!$A$2:$A$200,$H1429)=0,"NEW",""))</f>
        <v/>
      </c>
    </row>
    <row r="1430" spans="30:33" x14ac:dyDescent="0.25">
      <c r="AD1430" s="2" t="str">
        <f t="shared" si="66"/>
        <v/>
      </c>
      <c r="AE1430" s="2" t="str">
        <f t="shared" si="67"/>
        <v/>
      </c>
      <c r="AF1430" s="2" t="str">
        <f t="shared" si="68"/>
        <v/>
      </c>
      <c r="AG1430" s="2" t="str">
        <f>IF($L1430="","",IF(COUNTIF(LISTS!$A$2:$A$200,$H1430)=0,"NEW",""))</f>
        <v/>
      </c>
    </row>
    <row r="1431" spans="30:33" x14ac:dyDescent="0.25">
      <c r="AD1431" s="2" t="str">
        <f t="shared" si="66"/>
        <v/>
      </c>
      <c r="AE1431" s="2" t="str">
        <f t="shared" si="67"/>
        <v/>
      </c>
      <c r="AF1431" s="2" t="str">
        <f t="shared" si="68"/>
        <v/>
      </c>
      <c r="AG1431" s="2" t="str">
        <f>IF($L1431="","",IF(COUNTIF(LISTS!$A$2:$A$200,$H1431)=0,"NEW",""))</f>
        <v/>
      </c>
    </row>
    <row r="1432" spans="30:33" x14ac:dyDescent="0.25">
      <c r="AD1432" s="2" t="str">
        <f t="shared" si="66"/>
        <v/>
      </c>
      <c r="AE1432" s="2" t="str">
        <f t="shared" si="67"/>
        <v/>
      </c>
      <c r="AF1432" s="2" t="str">
        <f t="shared" si="68"/>
        <v/>
      </c>
      <c r="AG1432" s="2" t="str">
        <f>IF($L1432="","",IF(COUNTIF(LISTS!$A$2:$A$200,$H1432)=0,"NEW",""))</f>
        <v/>
      </c>
    </row>
    <row r="1433" spans="30:33" x14ac:dyDescent="0.25">
      <c r="AD1433" s="2" t="str">
        <f t="shared" si="66"/>
        <v/>
      </c>
      <c r="AE1433" s="2" t="str">
        <f t="shared" si="67"/>
        <v/>
      </c>
      <c r="AF1433" s="2" t="str">
        <f t="shared" si="68"/>
        <v/>
      </c>
      <c r="AG1433" s="2" t="str">
        <f>IF($L1433="","",IF(COUNTIF(LISTS!$A$2:$A$200,$H1433)=0,"NEW",""))</f>
        <v/>
      </c>
    </row>
    <row r="1434" spans="30:33" x14ac:dyDescent="0.25">
      <c r="AD1434" s="2" t="str">
        <f t="shared" si="66"/>
        <v/>
      </c>
      <c r="AE1434" s="2" t="str">
        <f t="shared" si="67"/>
        <v/>
      </c>
      <c r="AF1434" s="2" t="str">
        <f t="shared" si="68"/>
        <v/>
      </c>
      <c r="AG1434" s="2" t="str">
        <f>IF($L1434="","",IF(COUNTIF(LISTS!$A$2:$A$200,$H1434)=0,"NEW",""))</f>
        <v/>
      </c>
    </row>
    <row r="1435" spans="30:33" x14ac:dyDescent="0.25">
      <c r="AD1435" s="2" t="str">
        <f t="shared" si="66"/>
        <v/>
      </c>
      <c r="AE1435" s="2" t="str">
        <f t="shared" si="67"/>
        <v/>
      </c>
      <c r="AF1435" s="2" t="str">
        <f t="shared" si="68"/>
        <v/>
      </c>
      <c r="AG1435" s="2" t="str">
        <f>IF($L1435="","",IF(COUNTIF(LISTS!$A$2:$A$200,$H1435)=0,"NEW",""))</f>
        <v/>
      </c>
    </row>
    <row r="1436" spans="30:33" x14ac:dyDescent="0.25">
      <c r="AD1436" s="2" t="str">
        <f t="shared" si="66"/>
        <v/>
      </c>
      <c r="AE1436" s="2" t="str">
        <f t="shared" si="67"/>
        <v/>
      </c>
      <c r="AF1436" s="2" t="str">
        <f t="shared" si="68"/>
        <v/>
      </c>
      <c r="AG1436" s="2" t="str">
        <f>IF($L1436="","",IF(COUNTIF(LISTS!$A$2:$A$200,$H1436)=0,"NEW",""))</f>
        <v/>
      </c>
    </row>
    <row r="1437" spans="30:33" x14ac:dyDescent="0.25">
      <c r="AD1437" s="2" t="str">
        <f t="shared" si="66"/>
        <v/>
      </c>
      <c r="AE1437" s="2" t="str">
        <f t="shared" si="67"/>
        <v/>
      </c>
      <c r="AF1437" s="2" t="str">
        <f t="shared" si="68"/>
        <v/>
      </c>
      <c r="AG1437" s="2" t="str">
        <f>IF($L1437="","",IF(COUNTIF(LISTS!$A$2:$A$200,$H1437)=0,"NEW",""))</f>
        <v/>
      </c>
    </row>
    <row r="1438" spans="30:33" x14ac:dyDescent="0.25">
      <c r="AD1438" s="2" t="str">
        <f t="shared" si="66"/>
        <v/>
      </c>
      <c r="AE1438" s="2" t="str">
        <f t="shared" si="67"/>
        <v/>
      </c>
      <c r="AF1438" s="2" t="str">
        <f t="shared" si="68"/>
        <v/>
      </c>
      <c r="AG1438" s="2" t="str">
        <f>IF($L1438="","",IF(COUNTIF(LISTS!$A$2:$A$200,$H1438)=0,"NEW",""))</f>
        <v/>
      </c>
    </row>
    <row r="1439" spans="30:33" x14ac:dyDescent="0.25">
      <c r="AD1439" s="2" t="str">
        <f t="shared" si="66"/>
        <v/>
      </c>
      <c r="AE1439" s="2" t="str">
        <f t="shared" si="67"/>
        <v/>
      </c>
      <c r="AF1439" s="2" t="str">
        <f t="shared" si="68"/>
        <v/>
      </c>
      <c r="AG1439" s="2" t="str">
        <f>IF($L1439="","",IF(COUNTIF(LISTS!$A$2:$A$200,$H1439)=0,"NEW",""))</f>
        <v/>
      </c>
    </row>
    <row r="1440" spans="30:33" x14ac:dyDescent="0.25">
      <c r="AD1440" s="2" t="str">
        <f t="shared" si="66"/>
        <v/>
      </c>
      <c r="AE1440" s="2" t="str">
        <f t="shared" si="67"/>
        <v/>
      </c>
      <c r="AF1440" s="2" t="str">
        <f t="shared" si="68"/>
        <v/>
      </c>
      <c r="AG1440" s="2" t="str">
        <f>IF($L1440="","",IF(COUNTIF(LISTS!$A$2:$A$200,$H1440)=0,"NEW",""))</f>
        <v/>
      </c>
    </row>
    <row r="1441" spans="30:33" x14ac:dyDescent="0.25">
      <c r="AD1441" s="2" t="str">
        <f t="shared" si="66"/>
        <v/>
      </c>
      <c r="AE1441" s="2" t="str">
        <f t="shared" si="67"/>
        <v/>
      </c>
      <c r="AF1441" s="2" t="str">
        <f t="shared" si="68"/>
        <v/>
      </c>
      <c r="AG1441" s="2" t="str">
        <f>IF($L1441="","",IF(COUNTIF(LISTS!$A$2:$A$200,$H1441)=0,"NEW",""))</f>
        <v/>
      </c>
    </row>
    <row r="1442" spans="30:33" x14ac:dyDescent="0.25">
      <c r="AD1442" s="2" t="str">
        <f t="shared" si="66"/>
        <v/>
      </c>
      <c r="AE1442" s="2" t="str">
        <f t="shared" si="67"/>
        <v/>
      </c>
      <c r="AF1442" s="2" t="str">
        <f t="shared" si="68"/>
        <v/>
      </c>
      <c r="AG1442" s="2" t="str">
        <f>IF($L1442="","",IF(COUNTIF(LISTS!$A$2:$A$200,$H1442)=0,"NEW",""))</f>
        <v/>
      </c>
    </row>
    <row r="1443" spans="30:33" x14ac:dyDescent="0.25">
      <c r="AD1443" s="2" t="str">
        <f t="shared" si="66"/>
        <v/>
      </c>
      <c r="AE1443" s="2" t="str">
        <f t="shared" si="67"/>
        <v/>
      </c>
      <c r="AF1443" s="2" t="str">
        <f t="shared" si="68"/>
        <v/>
      </c>
      <c r="AG1443" s="2" t="str">
        <f>IF($L1443="","",IF(COUNTIF(LISTS!$A$2:$A$200,$H1443)=0,"NEW",""))</f>
        <v/>
      </c>
    </row>
    <row r="1444" spans="30:33" x14ac:dyDescent="0.25">
      <c r="AD1444" s="2" t="str">
        <f t="shared" si="66"/>
        <v/>
      </c>
      <c r="AE1444" s="2" t="str">
        <f t="shared" si="67"/>
        <v/>
      </c>
      <c r="AF1444" s="2" t="str">
        <f t="shared" si="68"/>
        <v/>
      </c>
      <c r="AG1444" s="2" t="str">
        <f>IF($L1444="","",IF(COUNTIF(LISTS!$A$2:$A$200,$H1444)=0,"NEW",""))</f>
        <v/>
      </c>
    </row>
    <row r="1445" spans="30:33" x14ac:dyDescent="0.25">
      <c r="AD1445" s="2" t="str">
        <f t="shared" si="66"/>
        <v/>
      </c>
      <c r="AE1445" s="2" t="str">
        <f t="shared" si="67"/>
        <v/>
      </c>
      <c r="AF1445" s="2" t="str">
        <f t="shared" si="68"/>
        <v/>
      </c>
      <c r="AG1445" s="2" t="str">
        <f>IF($L1445="","",IF(COUNTIF(LISTS!$A$2:$A$200,$H1445)=0,"NEW",""))</f>
        <v/>
      </c>
    </row>
    <row r="1446" spans="30:33" x14ac:dyDescent="0.25">
      <c r="AD1446" s="2" t="str">
        <f t="shared" si="66"/>
        <v/>
      </c>
      <c r="AE1446" s="2" t="str">
        <f t="shared" si="67"/>
        <v/>
      </c>
      <c r="AF1446" s="2" t="str">
        <f t="shared" si="68"/>
        <v/>
      </c>
      <c r="AG1446" s="2" t="str">
        <f>IF($L1446="","",IF(COUNTIF(LISTS!$A$2:$A$200,$H1446)=0,"NEW",""))</f>
        <v/>
      </c>
    </row>
    <row r="1447" spans="30:33" x14ac:dyDescent="0.25">
      <c r="AD1447" s="2" t="str">
        <f t="shared" si="66"/>
        <v/>
      </c>
      <c r="AE1447" s="2" t="str">
        <f t="shared" si="67"/>
        <v/>
      </c>
      <c r="AF1447" s="2" t="str">
        <f t="shared" si="68"/>
        <v/>
      </c>
      <c r="AG1447" s="2" t="str">
        <f>IF($L1447="","",IF(COUNTIF(LISTS!$A$2:$A$200,$H1447)=0,"NEW",""))</f>
        <v/>
      </c>
    </row>
    <row r="1448" spans="30:33" x14ac:dyDescent="0.25">
      <c r="AD1448" s="2" t="str">
        <f t="shared" si="66"/>
        <v/>
      </c>
      <c r="AE1448" s="2" t="str">
        <f t="shared" si="67"/>
        <v/>
      </c>
      <c r="AF1448" s="2" t="str">
        <f t="shared" si="68"/>
        <v/>
      </c>
      <c r="AG1448" s="2" t="str">
        <f>IF($L1448="","",IF(COUNTIF(LISTS!$A$2:$A$200,$H1448)=0,"NEW",""))</f>
        <v/>
      </c>
    </row>
    <row r="1449" spans="30:33" x14ac:dyDescent="0.25">
      <c r="AD1449" s="2" t="str">
        <f t="shared" si="66"/>
        <v/>
      </c>
      <c r="AE1449" s="2" t="str">
        <f t="shared" si="67"/>
        <v/>
      </c>
      <c r="AF1449" s="2" t="str">
        <f t="shared" si="68"/>
        <v/>
      </c>
      <c r="AG1449" s="2" t="str">
        <f>IF($L1449="","",IF(COUNTIF(LISTS!$A$2:$A$200,$H1449)=0,"NEW",""))</f>
        <v/>
      </c>
    </row>
    <row r="1450" spans="30:33" x14ac:dyDescent="0.25">
      <c r="AD1450" s="2" t="str">
        <f t="shared" si="66"/>
        <v/>
      </c>
      <c r="AE1450" s="2" t="str">
        <f t="shared" si="67"/>
        <v/>
      </c>
      <c r="AF1450" s="2" t="str">
        <f t="shared" si="68"/>
        <v/>
      </c>
      <c r="AG1450" s="2" t="str">
        <f>IF($L1450="","",IF(COUNTIF(LISTS!$A$2:$A$200,$H1450)=0,"NEW",""))</f>
        <v/>
      </c>
    </row>
    <row r="1451" spans="30:33" x14ac:dyDescent="0.25">
      <c r="AD1451" s="2" t="str">
        <f t="shared" si="66"/>
        <v/>
      </c>
      <c r="AE1451" s="2" t="str">
        <f t="shared" si="67"/>
        <v/>
      </c>
      <c r="AF1451" s="2" t="str">
        <f t="shared" si="68"/>
        <v/>
      </c>
      <c r="AG1451" s="2" t="str">
        <f>IF($L1451="","",IF(COUNTIF(LISTS!$A$2:$A$200,$H1451)=0,"NEW",""))</f>
        <v/>
      </c>
    </row>
    <row r="1452" spans="30:33" x14ac:dyDescent="0.25">
      <c r="AD1452" s="2" t="str">
        <f t="shared" si="66"/>
        <v/>
      </c>
      <c r="AE1452" s="2" t="str">
        <f t="shared" si="67"/>
        <v/>
      </c>
      <c r="AF1452" s="2" t="str">
        <f t="shared" si="68"/>
        <v/>
      </c>
      <c r="AG1452" s="2" t="str">
        <f>IF($L1452="","",IF(COUNTIF(LISTS!$A$2:$A$200,$H1452)=0,"NEW",""))</f>
        <v/>
      </c>
    </row>
    <row r="1453" spans="30:33" x14ac:dyDescent="0.25">
      <c r="AD1453" s="2" t="str">
        <f t="shared" si="66"/>
        <v/>
      </c>
      <c r="AE1453" s="2" t="str">
        <f t="shared" si="67"/>
        <v/>
      </c>
      <c r="AF1453" s="2" t="str">
        <f t="shared" si="68"/>
        <v/>
      </c>
      <c r="AG1453" s="2" t="str">
        <f>IF($L1453="","",IF(COUNTIF(LISTS!$A$2:$A$200,$H1453)=0,"NEW",""))</f>
        <v/>
      </c>
    </row>
    <row r="1454" spans="30:33" x14ac:dyDescent="0.25">
      <c r="AD1454" s="2" t="str">
        <f t="shared" si="66"/>
        <v/>
      </c>
      <c r="AE1454" s="2" t="str">
        <f t="shared" si="67"/>
        <v/>
      </c>
      <c r="AF1454" s="2" t="str">
        <f t="shared" si="68"/>
        <v/>
      </c>
      <c r="AG1454" s="2" t="str">
        <f>IF($L1454="","",IF(COUNTIF(LISTS!$A$2:$A$200,$H1454)=0,"NEW",""))</f>
        <v/>
      </c>
    </row>
    <row r="1455" spans="30:33" x14ac:dyDescent="0.25">
      <c r="AD1455" s="2" t="str">
        <f t="shared" si="66"/>
        <v/>
      </c>
      <c r="AE1455" s="2" t="str">
        <f t="shared" si="67"/>
        <v/>
      </c>
      <c r="AF1455" s="2" t="str">
        <f t="shared" si="68"/>
        <v/>
      </c>
      <c r="AG1455" s="2" t="str">
        <f>IF($L1455="","",IF(COUNTIF(LISTS!$A$2:$A$200,$H1455)=0,"NEW",""))</f>
        <v/>
      </c>
    </row>
    <row r="1456" spans="30:33" x14ac:dyDescent="0.25">
      <c r="AD1456" s="2" t="str">
        <f t="shared" si="66"/>
        <v/>
      </c>
      <c r="AE1456" s="2" t="str">
        <f t="shared" si="67"/>
        <v/>
      </c>
      <c r="AF1456" s="2" t="str">
        <f t="shared" si="68"/>
        <v/>
      </c>
      <c r="AG1456" s="2" t="str">
        <f>IF($L1456="","",IF(COUNTIF(LISTS!$A$2:$A$200,$H1456)=0,"NEW",""))</f>
        <v/>
      </c>
    </row>
    <row r="1457" spans="30:33" x14ac:dyDescent="0.25">
      <c r="AD1457" s="2" t="str">
        <f t="shared" si="66"/>
        <v/>
      </c>
      <c r="AE1457" s="2" t="str">
        <f t="shared" si="67"/>
        <v/>
      </c>
      <c r="AF1457" s="2" t="str">
        <f t="shared" si="68"/>
        <v/>
      </c>
      <c r="AG1457" s="2" t="str">
        <f>IF($L1457="","",IF(COUNTIF(LISTS!$A$2:$A$200,$H1457)=0,"NEW",""))</f>
        <v/>
      </c>
    </row>
    <row r="1458" spans="30:33" x14ac:dyDescent="0.25">
      <c r="AD1458" s="2" t="str">
        <f t="shared" si="66"/>
        <v/>
      </c>
      <c r="AE1458" s="2" t="str">
        <f t="shared" si="67"/>
        <v/>
      </c>
      <c r="AF1458" s="2" t="str">
        <f t="shared" si="68"/>
        <v/>
      </c>
      <c r="AG1458" s="2" t="str">
        <f>IF($L1458="","",IF(COUNTIF(LISTS!$A$2:$A$200,$H1458)=0,"NEW",""))</f>
        <v/>
      </c>
    </row>
    <row r="1459" spans="30:33" x14ac:dyDescent="0.25">
      <c r="AD1459" s="2" t="str">
        <f t="shared" si="66"/>
        <v/>
      </c>
      <c r="AE1459" s="2" t="str">
        <f t="shared" si="67"/>
        <v/>
      </c>
      <c r="AF1459" s="2" t="str">
        <f t="shared" si="68"/>
        <v/>
      </c>
      <c r="AG1459" s="2" t="str">
        <f>IF($L1459="","",IF(COUNTIF(LISTS!$A$2:$A$200,$H1459)=0,"NEW",""))</f>
        <v/>
      </c>
    </row>
    <row r="1460" spans="30:33" x14ac:dyDescent="0.25">
      <c r="AD1460" s="2" t="str">
        <f t="shared" si="66"/>
        <v/>
      </c>
      <c r="AE1460" s="2" t="str">
        <f t="shared" si="67"/>
        <v/>
      </c>
      <c r="AF1460" s="2" t="str">
        <f t="shared" si="68"/>
        <v/>
      </c>
      <c r="AG1460" s="2" t="str">
        <f>IF($L1460="","",IF(COUNTIF(LISTS!$A$2:$A$200,$H1460)=0,"NEW",""))</f>
        <v/>
      </c>
    </row>
    <row r="1461" spans="30:33" x14ac:dyDescent="0.25">
      <c r="AD1461" s="2" t="str">
        <f t="shared" si="66"/>
        <v/>
      </c>
      <c r="AE1461" s="2" t="str">
        <f t="shared" si="67"/>
        <v/>
      </c>
      <c r="AF1461" s="2" t="str">
        <f t="shared" si="68"/>
        <v/>
      </c>
      <c r="AG1461" s="2" t="str">
        <f>IF($L1461="","",IF(COUNTIF(LISTS!$A$2:$A$200,$H1461)=0,"NEW",""))</f>
        <v/>
      </c>
    </row>
    <row r="1462" spans="30:33" x14ac:dyDescent="0.25">
      <c r="AD1462" s="2" t="str">
        <f t="shared" si="66"/>
        <v/>
      </c>
      <c r="AE1462" s="2" t="str">
        <f t="shared" si="67"/>
        <v/>
      </c>
      <c r="AF1462" s="2" t="str">
        <f t="shared" si="68"/>
        <v/>
      </c>
      <c r="AG1462" s="2" t="str">
        <f>IF($L1462="","",IF(COUNTIF(LISTS!$A$2:$A$200,$H1462)=0,"NEW",""))</f>
        <v/>
      </c>
    </row>
    <row r="1463" spans="30:33" x14ac:dyDescent="0.25">
      <c r="AD1463" s="2" t="str">
        <f t="shared" si="66"/>
        <v/>
      </c>
      <c r="AE1463" s="2" t="str">
        <f t="shared" si="67"/>
        <v/>
      </c>
      <c r="AF1463" s="2" t="str">
        <f t="shared" si="68"/>
        <v/>
      </c>
      <c r="AG1463" s="2" t="str">
        <f>IF($L1463="","",IF(COUNTIF(LISTS!$A$2:$A$200,$H1463)=0,"NEW",""))</f>
        <v/>
      </c>
    </row>
    <row r="1464" spans="30:33" x14ac:dyDescent="0.25">
      <c r="AD1464" s="2" t="str">
        <f t="shared" si="66"/>
        <v/>
      </c>
      <c r="AE1464" s="2" t="str">
        <f t="shared" si="67"/>
        <v/>
      </c>
      <c r="AF1464" s="2" t="str">
        <f t="shared" si="68"/>
        <v/>
      </c>
      <c r="AG1464" s="2" t="str">
        <f>IF($L1464="","",IF(COUNTIF(LISTS!$A$2:$A$200,$H1464)=0,"NEW",""))</f>
        <v/>
      </c>
    </row>
    <row r="1465" spans="30:33" x14ac:dyDescent="0.25">
      <c r="AD1465" s="2" t="str">
        <f t="shared" si="66"/>
        <v/>
      </c>
      <c r="AE1465" s="2" t="str">
        <f t="shared" si="67"/>
        <v/>
      </c>
      <c r="AF1465" s="2" t="str">
        <f t="shared" si="68"/>
        <v/>
      </c>
      <c r="AG1465" s="2" t="str">
        <f>IF($L1465="","",IF(COUNTIF(LISTS!$A$2:$A$200,$H1465)=0,"NEW",""))</f>
        <v/>
      </c>
    </row>
    <row r="1466" spans="30:33" x14ac:dyDescent="0.25">
      <c r="AD1466" s="2" t="str">
        <f t="shared" si="66"/>
        <v/>
      </c>
      <c r="AE1466" s="2" t="str">
        <f t="shared" si="67"/>
        <v/>
      </c>
      <c r="AF1466" s="2" t="str">
        <f t="shared" si="68"/>
        <v/>
      </c>
      <c r="AG1466" s="2" t="str">
        <f>IF($L1466="","",IF(COUNTIF(LISTS!$A$2:$A$200,$H1466)=0,"NEW",""))</f>
        <v/>
      </c>
    </row>
    <row r="1467" spans="30:33" x14ac:dyDescent="0.25">
      <c r="AD1467" s="2" t="str">
        <f t="shared" si="66"/>
        <v/>
      </c>
      <c r="AE1467" s="2" t="str">
        <f t="shared" si="67"/>
        <v/>
      </c>
      <c r="AF1467" s="2" t="str">
        <f t="shared" si="68"/>
        <v/>
      </c>
      <c r="AG1467" s="2" t="str">
        <f>IF($L1467="","",IF(COUNTIF(LISTS!$A$2:$A$200,$H1467)=0,"NEW",""))</f>
        <v/>
      </c>
    </row>
    <row r="1468" spans="30:33" x14ac:dyDescent="0.25">
      <c r="AD1468" s="2" t="str">
        <f t="shared" si="66"/>
        <v/>
      </c>
      <c r="AE1468" s="2" t="str">
        <f t="shared" si="67"/>
        <v/>
      </c>
      <c r="AF1468" s="2" t="str">
        <f t="shared" si="68"/>
        <v/>
      </c>
      <c r="AG1468" s="2" t="str">
        <f>IF($L1468="","",IF(COUNTIF(LISTS!$A$2:$A$200,$H1468)=0,"NEW",""))</f>
        <v/>
      </c>
    </row>
    <row r="1469" spans="30:33" x14ac:dyDescent="0.25">
      <c r="AD1469" s="2" t="str">
        <f t="shared" si="66"/>
        <v/>
      </c>
      <c r="AE1469" s="2" t="str">
        <f t="shared" si="67"/>
        <v/>
      </c>
      <c r="AF1469" s="2" t="str">
        <f t="shared" si="68"/>
        <v/>
      </c>
      <c r="AG1469" s="2" t="str">
        <f>IF($L1469="","",IF(COUNTIF(LISTS!$A$2:$A$200,$H1469)=0,"NEW",""))</f>
        <v/>
      </c>
    </row>
    <row r="1470" spans="30:33" x14ac:dyDescent="0.25">
      <c r="AD1470" s="2" t="str">
        <f t="shared" si="66"/>
        <v/>
      </c>
      <c r="AE1470" s="2" t="str">
        <f t="shared" si="67"/>
        <v/>
      </c>
      <c r="AF1470" s="2" t="str">
        <f t="shared" si="68"/>
        <v/>
      </c>
      <c r="AG1470" s="2" t="str">
        <f>IF($L1470="","",IF(COUNTIF(LISTS!$A$2:$A$200,$H1470)=0,"NEW",""))</f>
        <v/>
      </c>
    </row>
    <row r="1471" spans="30:33" x14ac:dyDescent="0.25">
      <c r="AD1471" s="2" t="str">
        <f t="shared" si="66"/>
        <v/>
      </c>
      <c r="AE1471" s="2" t="str">
        <f t="shared" si="67"/>
        <v/>
      </c>
      <c r="AF1471" s="2" t="str">
        <f t="shared" si="68"/>
        <v/>
      </c>
      <c r="AG1471" s="2" t="str">
        <f>IF($L1471="","",IF(COUNTIF(LISTS!$A$2:$A$200,$H1471)=0,"NEW",""))</f>
        <v/>
      </c>
    </row>
    <row r="1472" spans="30:33" x14ac:dyDescent="0.25">
      <c r="AD1472" s="2" t="str">
        <f t="shared" si="66"/>
        <v/>
      </c>
      <c r="AE1472" s="2" t="str">
        <f t="shared" si="67"/>
        <v/>
      </c>
      <c r="AF1472" s="2" t="str">
        <f t="shared" si="68"/>
        <v/>
      </c>
      <c r="AG1472" s="2" t="str">
        <f>IF($L1472="","",IF(COUNTIF(LISTS!$A$2:$A$200,$H1472)=0,"NEW",""))</f>
        <v/>
      </c>
    </row>
    <row r="1473" spans="30:33" x14ac:dyDescent="0.25">
      <c r="AD1473" s="2" t="str">
        <f t="shared" si="66"/>
        <v/>
      </c>
      <c r="AE1473" s="2" t="str">
        <f t="shared" si="67"/>
        <v/>
      </c>
      <c r="AF1473" s="2" t="str">
        <f t="shared" si="68"/>
        <v/>
      </c>
      <c r="AG1473" s="2" t="str">
        <f>IF($L1473="","",IF(COUNTIF(LISTS!$A$2:$A$200,$H1473)=0,"NEW",""))</f>
        <v/>
      </c>
    </row>
    <row r="1474" spans="30:33" x14ac:dyDescent="0.25">
      <c r="AD1474" s="2" t="str">
        <f t="shared" ref="AD1474:AD1537" si="69">IF($L1474="","",IF(ISNUMBER(SEARCH("OFF ROAD",$H1474)),"OFF",IF(ISNUMBER(SEARCH("ON ROAD",$H1474)),"ON","")))</f>
        <v/>
      </c>
      <c r="AE1474" s="2" t="str">
        <f t="shared" ref="AE1474:AE1537" si="70">IF($AD1474="ON",""&amp;$L1474,"")</f>
        <v/>
      </c>
      <c r="AF1474" s="2" t="str">
        <f t="shared" ref="AF1474:AF1537" si="71">IF($L1474="","",IF($J1474&lt;&gt;"","Y",""))</f>
        <v/>
      </c>
      <c r="AG1474" s="2" t="str">
        <f>IF($L1474="","",IF(COUNTIF(LISTS!$A$2:$A$200,$H1474)=0,"NEW",""))</f>
        <v/>
      </c>
    </row>
    <row r="1475" spans="30:33" x14ac:dyDescent="0.25">
      <c r="AD1475" s="2" t="str">
        <f t="shared" si="69"/>
        <v/>
      </c>
      <c r="AE1475" s="2" t="str">
        <f t="shared" si="70"/>
        <v/>
      </c>
      <c r="AF1475" s="2" t="str">
        <f t="shared" si="71"/>
        <v/>
      </c>
      <c r="AG1475" s="2" t="str">
        <f>IF($L1475="","",IF(COUNTIF(LISTS!$A$2:$A$200,$H1475)=0,"NEW",""))</f>
        <v/>
      </c>
    </row>
    <row r="1476" spans="30:33" x14ac:dyDescent="0.25">
      <c r="AD1476" s="2" t="str">
        <f t="shared" si="69"/>
        <v/>
      </c>
      <c r="AE1476" s="2" t="str">
        <f t="shared" si="70"/>
        <v/>
      </c>
      <c r="AF1476" s="2" t="str">
        <f t="shared" si="71"/>
        <v/>
      </c>
      <c r="AG1476" s="2" t="str">
        <f>IF($L1476="","",IF(COUNTIF(LISTS!$A$2:$A$200,$H1476)=0,"NEW",""))</f>
        <v/>
      </c>
    </row>
    <row r="1477" spans="30:33" x14ac:dyDescent="0.25">
      <c r="AD1477" s="2" t="str">
        <f t="shared" si="69"/>
        <v/>
      </c>
      <c r="AE1477" s="2" t="str">
        <f t="shared" si="70"/>
        <v/>
      </c>
      <c r="AF1477" s="2" t="str">
        <f t="shared" si="71"/>
        <v/>
      </c>
      <c r="AG1477" s="2" t="str">
        <f>IF($L1477="","",IF(COUNTIF(LISTS!$A$2:$A$200,$H1477)=0,"NEW",""))</f>
        <v/>
      </c>
    </row>
    <row r="1478" spans="30:33" x14ac:dyDescent="0.25">
      <c r="AD1478" s="2" t="str">
        <f t="shared" si="69"/>
        <v/>
      </c>
      <c r="AE1478" s="2" t="str">
        <f t="shared" si="70"/>
        <v/>
      </c>
      <c r="AF1478" s="2" t="str">
        <f t="shared" si="71"/>
        <v/>
      </c>
      <c r="AG1478" s="2" t="str">
        <f>IF($L1478="","",IF(COUNTIF(LISTS!$A$2:$A$200,$H1478)=0,"NEW",""))</f>
        <v/>
      </c>
    </row>
    <row r="1479" spans="30:33" x14ac:dyDescent="0.25">
      <c r="AD1479" s="2" t="str">
        <f t="shared" si="69"/>
        <v/>
      </c>
      <c r="AE1479" s="2" t="str">
        <f t="shared" si="70"/>
        <v/>
      </c>
      <c r="AF1479" s="2" t="str">
        <f t="shared" si="71"/>
        <v/>
      </c>
      <c r="AG1479" s="2" t="str">
        <f>IF($L1479="","",IF(COUNTIF(LISTS!$A$2:$A$200,$H1479)=0,"NEW",""))</f>
        <v/>
      </c>
    </row>
    <row r="1480" spans="30:33" x14ac:dyDescent="0.25">
      <c r="AD1480" s="2" t="str">
        <f t="shared" si="69"/>
        <v/>
      </c>
      <c r="AE1480" s="2" t="str">
        <f t="shared" si="70"/>
        <v/>
      </c>
      <c r="AF1480" s="2" t="str">
        <f t="shared" si="71"/>
        <v/>
      </c>
      <c r="AG1480" s="2" t="str">
        <f>IF($L1480="","",IF(COUNTIF(LISTS!$A$2:$A$200,$H1480)=0,"NEW",""))</f>
        <v/>
      </c>
    </row>
    <row r="1481" spans="30:33" x14ac:dyDescent="0.25">
      <c r="AD1481" s="2" t="str">
        <f t="shared" si="69"/>
        <v/>
      </c>
      <c r="AE1481" s="2" t="str">
        <f t="shared" si="70"/>
        <v/>
      </c>
      <c r="AF1481" s="2" t="str">
        <f t="shared" si="71"/>
        <v/>
      </c>
      <c r="AG1481" s="2" t="str">
        <f>IF($L1481="","",IF(COUNTIF(LISTS!$A$2:$A$200,$H1481)=0,"NEW",""))</f>
        <v/>
      </c>
    </row>
    <row r="1482" spans="30:33" x14ac:dyDescent="0.25">
      <c r="AD1482" s="2" t="str">
        <f t="shared" si="69"/>
        <v/>
      </c>
      <c r="AE1482" s="2" t="str">
        <f t="shared" si="70"/>
        <v/>
      </c>
      <c r="AF1482" s="2" t="str">
        <f t="shared" si="71"/>
        <v/>
      </c>
      <c r="AG1482" s="2" t="str">
        <f>IF($L1482="","",IF(COUNTIF(LISTS!$A$2:$A$200,$H1482)=0,"NEW",""))</f>
        <v/>
      </c>
    </row>
    <row r="1483" spans="30:33" x14ac:dyDescent="0.25">
      <c r="AD1483" s="2" t="str">
        <f t="shared" si="69"/>
        <v/>
      </c>
      <c r="AE1483" s="2" t="str">
        <f t="shared" si="70"/>
        <v/>
      </c>
      <c r="AF1483" s="2" t="str">
        <f t="shared" si="71"/>
        <v/>
      </c>
      <c r="AG1483" s="2" t="str">
        <f>IF($L1483="","",IF(COUNTIF(LISTS!$A$2:$A$200,$H1483)=0,"NEW",""))</f>
        <v/>
      </c>
    </row>
    <row r="1484" spans="30:33" x14ac:dyDescent="0.25">
      <c r="AD1484" s="2" t="str">
        <f t="shared" si="69"/>
        <v/>
      </c>
      <c r="AE1484" s="2" t="str">
        <f t="shared" si="70"/>
        <v/>
      </c>
      <c r="AF1484" s="2" t="str">
        <f t="shared" si="71"/>
        <v/>
      </c>
      <c r="AG1484" s="2" t="str">
        <f>IF($L1484="","",IF(COUNTIF(LISTS!$A$2:$A$200,$H1484)=0,"NEW",""))</f>
        <v/>
      </c>
    </row>
    <row r="1485" spans="30:33" x14ac:dyDescent="0.25">
      <c r="AD1485" s="2" t="str">
        <f t="shared" si="69"/>
        <v/>
      </c>
      <c r="AE1485" s="2" t="str">
        <f t="shared" si="70"/>
        <v/>
      </c>
      <c r="AF1485" s="2" t="str">
        <f t="shared" si="71"/>
        <v/>
      </c>
      <c r="AG1485" s="2" t="str">
        <f>IF($L1485="","",IF(COUNTIF(LISTS!$A$2:$A$200,$H1485)=0,"NEW",""))</f>
        <v/>
      </c>
    </row>
    <row r="1486" spans="30:33" x14ac:dyDescent="0.25">
      <c r="AD1486" s="2" t="str">
        <f t="shared" si="69"/>
        <v/>
      </c>
      <c r="AE1486" s="2" t="str">
        <f t="shared" si="70"/>
        <v/>
      </c>
      <c r="AF1486" s="2" t="str">
        <f t="shared" si="71"/>
        <v/>
      </c>
      <c r="AG1486" s="2" t="str">
        <f>IF($L1486="","",IF(COUNTIF(LISTS!$A$2:$A$200,$H1486)=0,"NEW",""))</f>
        <v/>
      </c>
    </row>
    <row r="1487" spans="30:33" x14ac:dyDescent="0.25">
      <c r="AD1487" s="2" t="str">
        <f t="shared" si="69"/>
        <v/>
      </c>
      <c r="AE1487" s="2" t="str">
        <f t="shared" si="70"/>
        <v/>
      </c>
      <c r="AF1487" s="2" t="str">
        <f t="shared" si="71"/>
        <v/>
      </c>
      <c r="AG1487" s="2" t="str">
        <f>IF($L1487="","",IF(COUNTIF(LISTS!$A$2:$A$200,$H1487)=0,"NEW",""))</f>
        <v/>
      </c>
    </row>
    <row r="1488" spans="30:33" x14ac:dyDescent="0.25">
      <c r="AD1488" s="2" t="str">
        <f t="shared" si="69"/>
        <v/>
      </c>
      <c r="AE1488" s="2" t="str">
        <f t="shared" si="70"/>
        <v/>
      </c>
      <c r="AF1488" s="2" t="str">
        <f t="shared" si="71"/>
        <v/>
      </c>
      <c r="AG1488" s="2" t="str">
        <f>IF($L1488="","",IF(COUNTIF(LISTS!$A$2:$A$200,$H1488)=0,"NEW",""))</f>
        <v/>
      </c>
    </row>
    <row r="1489" spans="30:33" x14ac:dyDescent="0.25">
      <c r="AD1489" s="2" t="str">
        <f t="shared" si="69"/>
        <v/>
      </c>
      <c r="AE1489" s="2" t="str">
        <f t="shared" si="70"/>
        <v/>
      </c>
      <c r="AF1489" s="2" t="str">
        <f t="shared" si="71"/>
        <v/>
      </c>
      <c r="AG1489" s="2" t="str">
        <f>IF($L1489="","",IF(COUNTIF(LISTS!$A$2:$A$200,$H1489)=0,"NEW",""))</f>
        <v/>
      </c>
    </row>
    <row r="1490" spans="30:33" x14ac:dyDescent="0.25">
      <c r="AD1490" s="2" t="str">
        <f t="shared" si="69"/>
        <v/>
      </c>
      <c r="AE1490" s="2" t="str">
        <f t="shared" si="70"/>
        <v/>
      </c>
      <c r="AF1490" s="2" t="str">
        <f t="shared" si="71"/>
        <v/>
      </c>
      <c r="AG1490" s="2" t="str">
        <f>IF($L1490="","",IF(COUNTIF(LISTS!$A$2:$A$200,$H1490)=0,"NEW",""))</f>
        <v/>
      </c>
    </row>
    <row r="1491" spans="30:33" x14ac:dyDescent="0.25">
      <c r="AD1491" s="2" t="str">
        <f t="shared" si="69"/>
        <v/>
      </c>
      <c r="AE1491" s="2" t="str">
        <f t="shared" si="70"/>
        <v/>
      </c>
      <c r="AF1491" s="2" t="str">
        <f t="shared" si="71"/>
        <v/>
      </c>
      <c r="AG1491" s="2" t="str">
        <f>IF($L1491="","",IF(COUNTIF(LISTS!$A$2:$A$200,$H1491)=0,"NEW",""))</f>
        <v/>
      </c>
    </row>
    <row r="1492" spans="30:33" x14ac:dyDescent="0.25">
      <c r="AD1492" s="2" t="str">
        <f t="shared" si="69"/>
        <v/>
      </c>
      <c r="AE1492" s="2" t="str">
        <f t="shared" si="70"/>
        <v/>
      </c>
      <c r="AF1492" s="2" t="str">
        <f t="shared" si="71"/>
        <v/>
      </c>
      <c r="AG1492" s="2" t="str">
        <f>IF($L1492="","",IF(COUNTIF(LISTS!$A$2:$A$200,$H1492)=0,"NEW",""))</f>
        <v/>
      </c>
    </row>
    <row r="1493" spans="30:33" x14ac:dyDescent="0.25">
      <c r="AD1493" s="2" t="str">
        <f t="shared" si="69"/>
        <v/>
      </c>
      <c r="AE1493" s="2" t="str">
        <f t="shared" si="70"/>
        <v/>
      </c>
      <c r="AF1493" s="2" t="str">
        <f t="shared" si="71"/>
        <v/>
      </c>
      <c r="AG1493" s="2" t="str">
        <f>IF($L1493="","",IF(COUNTIF(LISTS!$A$2:$A$200,$H1493)=0,"NEW",""))</f>
        <v/>
      </c>
    </row>
    <row r="1494" spans="30:33" x14ac:dyDescent="0.25">
      <c r="AD1494" s="2" t="str">
        <f t="shared" si="69"/>
        <v/>
      </c>
      <c r="AE1494" s="2" t="str">
        <f t="shared" si="70"/>
        <v/>
      </c>
      <c r="AF1494" s="2" t="str">
        <f t="shared" si="71"/>
        <v/>
      </c>
      <c r="AG1494" s="2" t="str">
        <f>IF($L1494="","",IF(COUNTIF(LISTS!$A$2:$A$200,$H1494)=0,"NEW",""))</f>
        <v/>
      </c>
    </row>
    <row r="1495" spans="30:33" x14ac:dyDescent="0.25">
      <c r="AD1495" s="2" t="str">
        <f t="shared" si="69"/>
        <v/>
      </c>
      <c r="AE1495" s="2" t="str">
        <f t="shared" si="70"/>
        <v/>
      </c>
      <c r="AF1495" s="2" t="str">
        <f t="shared" si="71"/>
        <v/>
      </c>
      <c r="AG1495" s="2" t="str">
        <f>IF($L1495="","",IF(COUNTIF(LISTS!$A$2:$A$200,$H1495)=0,"NEW",""))</f>
        <v/>
      </c>
    </row>
    <row r="1496" spans="30:33" x14ac:dyDescent="0.25">
      <c r="AD1496" s="2" t="str">
        <f t="shared" si="69"/>
        <v/>
      </c>
      <c r="AE1496" s="2" t="str">
        <f t="shared" si="70"/>
        <v/>
      </c>
      <c r="AF1496" s="2" t="str">
        <f t="shared" si="71"/>
        <v/>
      </c>
      <c r="AG1496" s="2" t="str">
        <f>IF($L1496="","",IF(COUNTIF(LISTS!$A$2:$A$200,$H1496)=0,"NEW",""))</f>
        <v/>
      </c>
    </row>
    <row r="1497" spans="30:33" x14ac:dyDescent="0.25">
      <c r="AD1497" s="2" t="str">
        <f t="shared" si="69"/>
        <v/>
      </c>
      <c r="AE1497" s="2" t="str">
        <f t="shared" si="70"/>
        <v/>
      </c>
      <c r="AF1497" s="2" t="str">
        <f t="shared" si="71"/>
        <v/>
      </c>
      <c r="AG1497" s="2" t="str">
        <f>IF($L1497="","",IF(COUNTIF(LISTS!$A$2:$A$200,$H1497)=0,"NEW",""))</f>
        <v/>
      </c>
    </row>
    <row r="1498" spans="30:33" x14ac:dyDescent="0.25">
      <c r="AD1498" s="2" t="str">
        <f t="shared" si="69"/>
        <v/>
      </c>
      <c r="AE1498" s="2" t="str">
        <f t="shared" si="70"/>
        <v/>
      </c>
      <c r="AF1498" s="2" t="str">
        <f t="shared" si="71"/>
        <v/>
      </c>
      <c r="AG1498" s="2" t="str">
        <f>IF($L1498="","",IF(COUNTIF(LISTS!$A$2:$A$200,$H1498)=0,"NEW",""))</f>
        <v/>
      </c>
    </row>
    <row r="1499" spans="30:33" x14ac:dyDescent="0.25">
      <c r="AD1499" s="2" t="str">
        <f t="shared" si="69"/>
        <v/>
      </c>
      <c r="AE1499" s="2" t="str">
        <f t="shared" si="70"/>
        <v/>
      </c>
      <c r="AF1499" s="2" t="str">
        <f t="shared" si="71"/>
        <v/>
      </c>
      <c r="AG1499" s="2" t="str">
        <f>IF($L1499="","",IF(COUNTIF(LISTS!$A$2:$A$200,$H1499)=0,"NEW",""))</f>
        <v/>
      </c>
    </row>
    <row r="1500" spans="30:33" x14ac:dyDescent="0.25">
      <c r="AD1500" s="2" t="str">
        <f t="shared" si="69"/>
        <v/>
      </c>
      <c r="AE1500" s="2" t="str">
        <f t="shared" si="70"/>
        <v/>
      </c>
      <c r="AF1500" s="2" t="str">
        <f t="shared" si="71"/>
        <v/>
      </c>
      <c r="AG1500" s="2" t="str">
        <f>IF($L1500="","",IF(COUNTIF(LISTS!$A$2:$A$200,$H1500)=0,"NEW",""))</f>
        <v/>
      </c>
    </row>
    <row r="1501" spans="30:33" x14ac:dyDescent="0.25">
      <c r="AD1501" s="2" t="str">
        <f t="shared" si="69"/>
        <v/>
      </c>
      <c r="AE1501" s="2" t="str">
        <f t="shared" si="70"/>
        <v/>
      </c>
      <c r="AF1501" s="2" t="str">
        <f t="shared" si="71"/>
        <v/>
      </c>
      <c r="AG1501" s="2" t="str">
        <f>IF($L1501="","",IF(COUNTIF(LISTS!$A$2:$A$200,$H1501)=0,"NEW",""))</f>
        <v/>
      </c>
    </row>
    <row r="1502" spans="30:33" x14ac:dyDescent="0.25">
      <c r="AD1502" s="2" t="str">
        <f t="shared" si="69"/>
        <v/>
      </c>
      <c r="AE1502" s="2" t="str">
        <f t="shared" si="70"/>
        <v/>
      </c>
      <c r="AF1502" s="2" t="str">
        <f t="shared" si="71"/>
        <v/>
      </c>
      <c r="AG1502" s="2" t="str">
        <f>IF($L1502="","",IF(COUNTIF(LISTS!$A$2:$A$200,$H1502)=0,"NEW",""))</f>
        <v/>
      </c>
    </row>
    <row r="1503" spans="30:33" x14ac:dyDescent="0.25">
      <c r="AD1503" s="2" t="str">
        <f t="shared" si="69"/>
        <v/>
      </c>
      <c r="AE1503" s="2" t="str">
        <f t="shared" si="70"/>
        <v/>
      </c>
      <c r="AF1503" s="2" t="str">
        <f t="shared" si="71"/>
        <v/>
      </c>
      <c r="AG1503" s="2" t="str">
        <f>IF($L1503="","",IF(COUNTIF(LISTS!$A$2:$A$200,$H1503)=0,"NEW",""))</f>
        <v/>
      </c>
    </row>
    <row r="1504" spans="30:33" x14ac:dyDescent="0.25">
      <c r="AD1504" s="2" t="str">
        <f t="shared" si="69"/>
        <v/>
      </c>
      <c r="AE1504" s="2" t="str">
        <f t="shared" si="70"/>
        <v/>
      </c>
      <c r="AF1504" s="2" t="str">
        <f t="shared" si="71"/>
        <v/>
      </c>
      <c r="AG1504" s="2" t="str">
        <f>IF($L1504="","",IF(COUNTIF(LISTS!$A$2:$A$200,$H1504)=0,"NEW",""))</f>
        <v/>
      </c>
    </row>
    <row r="1505" spans="30:33" x14ac:dyDescent="0.25">
      <c r="AD1505" s="2" t="str">
        <f t="shared" si="69"/>
        <v/>
      </c>
      <c r="AE1505" s="2" t="str">
        <f t="shared" si="70"/>
        <v/>
      </c>
      <c r="AF1505" s="2" t="str">
        <f t="shared" si="71"/>
        <v/>
      </c>
      <c r="AG1505" s="2" t="str">
        <f>IF($L1505="","",IF(COUNTIF(LISTS!$A$2:$A$200,$H1505)=0,"NEW",""))</f>
        <v/>
      </c>
    </row>
    <row r="1506" spans="30:33" x14ac:dyDescent="0.25">
      <c r="AD1506" s="2" t="str">
        <f t="shared" si="69"/>
        <v/>
      </c>
      <c r="AE1506" s="2" t="str">
        <f t="shared" si="70"/>
        <v/>
      </c>
      <c r="AF1506" s="2" t="str">
        <f t="shared" si="71"/>
        <v/>
      </c>
      <c r="AG1506" s="2" t="str">
        <f>IF($L1506="","",IF(COUNTIF(LISTS!$A$2:$A$200,$H1506)=0,"NEW",""))</f>
        <v/>
      </c>
    </row>
    <row r="1507" spans="30:33" x14ac:dyDescent="0.25">
      <c r="AD1507" s="2" t="str">
        <f t="shared" si="69"/>
        <v/>
      </c>
      <c r="AE1507" s="2" t="str">
        <f t="shared" si="70"/>
        <v/>
      </c>
      <c r="AF1507" s="2" t="str">
        <f t="shared" si="71"/>
        <v/>
      </c>
      <c r="AG1507" s="2" t="str">
        <f>IF($L1507="","",IF(COUNTIF(LISTS!$A$2:$A$200,$H1507)=0,"NEW",""))</f>
        <v/>
      </c>
    </row>
    <row r="1508" spans="30:33" x14ac:dyDescent="0.25">
      <c r="AD1508" s="2" t="str">
        <f t="shared" si="69"/>
        <v/>
      </c>
      <c r="AE1508" s="2" t="str">
        <f t="shared" si="70"/>
        <v/>
      </c>
      <c r="AF1508" s="2" t="str">
        <f t="shared" si="71"/>
        <v/>
      </c>
      <c r="AG1508" s="2" t="str">
        <f>IF($L1508="","",IF(COUNTIF(LISTS!$A$2:$A$200,$H1508)=0,"NEW",""))</f>
        <v/>
      </c>
    </row>
    <row r="1509" spans="30:33" x14ac:dyDescent="0.25">
      <c r="AD1509" s="2" t="str">
        <f t="shared" si="69"/>
        <v/>
      </c>
      <c r="AE1509" s="2" t="str">
        <f t="shared" si="70"/>
        <v/>
      </c>
      <c r="AF1509" s="2" t="str">
        <f t="shared" si="71"/>
        <v/>
      </c>
      <c r="AG1509" s="2" t="str">
        <f>IF($L1509="","",IF(COUNTIF(LISTS!$A$2:$A$200,$H1509)=0,"NEW",""))</f>
        <v/>
      </c>
    </row>
    <row r="1510" spans="30:33" x14ac:dyDescent="0.25">
      <c r="AD1510" s="2" t="str">
        <f t="shared" si="69"/>
        <v/>
      </c>
      <c r="AE1510" s="2" t="str">
        <f t="shared" si="70"/>
        <v/>
      </c>
      <c r="AF1510" s="2" t="str">
        <f t="shared" si="71"/>
        <v/>
      </c>
      <c r="AG1510" s="2" t="str">
        <f>IF($L1510="","",IF(COUNTIF(LISTS!$A$2:$A$200,$H1510)=0,"NEW",""))</f>
        <v/>
      </c>
    </row>
    <row r="1511" spans="30:33" x14ac:dyDescent="0.25">
      <c r="AD1511" s="2" t="str">
        <f t="shared" si="69"/>
        <v/>
      </c>
      <c r="AE1511" s="2" t="str">
        <f t="shared" si="70"/>
        <v/>
      </c>
      <c r="AF1511" s="2" t="str">
        <f t="shared" si="71"/>
        <v/>
      </c>
      <c r="AG1511" s="2" t="str">
        <f>IF($L1511="","",IF(COUNTIF(LISTS!$A$2:$A$200,$H1511)=0,"NEW",""))</f>
        <v/>
      </c>
    </row>
    <row r="1512" spans="30:33" x14ac:dyDescent="0.25">
      <c r="AD1512" s="2" t="str">
        <f t="shared" si="69"/>
        <v/>
      </c>
      <c r="AE1512" s="2" t="str">
        <f t="shared" si="70"/>
        <v/>
      </c>
      <c r="AF1512" s="2" t="str">
        <f t="shared" si="71"/>
        <v/>
      </c>
      <c r="AG1512" s="2" t="str">
        <f>IF($L1512="","",IF(COUNTIF(LISTS!$A$2:$A$200,$H1512)=0,"NEW",""))</f>
        <v/>
      </c>
    </row>
    <row r="1513" spans="30:33" x14ac:dyDescent="0.25">
      <c r="AD1513" s="2" t="str">
        <f t="shared" si="69"/>
        <v/>
      </c>
      <c r="AE1513" s="2" t="str">
        <f t="shared" si="70"/>
        <v/>
      </c>
      <c r="AF1513" s="2" t="str">
        <f t="shared" si="71"/>
        <v/>
      </c>
      <c r="AG1513" s="2" t="str">
        <f>IF($L1513="","",IF(COUNTIF(LISTS!$A$2:$A$200,$H1513)=0,"NEW",""))</f>
        <v/>
      </c>
    </row>
    <row r="1514" spans="30:33" x14ac:dyDescent="0.25">
      <c r="AD1514" s="2" t="str">
        <f t="shared" si="69"/>
        <v/>
      </c>
      <c r="AE1514" s="2" t="str">
        <f t="shared" si="70"/>
        <v/>
      </c>
      <c r="AF1514" s="2" t="str">
        <f t="shared" si="71"/>
        <v/>
      </c>
      <c r="AG1514" s="2" t="str">
        <f>IF($L1514="","",IF(COUNTIF(LISTS!$A$2:$A$200,$H1514)=0,"NEW",""))</f>
        <v/>
      </c>
    </row>
    <row r="1515" spans="30:33" x14ac:dyDescent="0.25">
      <c r="AD1515" s="2" t="str">
        <f t="shared" si="69"/>
        <v/>
      </c>
      <c r="AE1515" s="2" t="str">
        <f t="shared" si="70"/>
        <v/>
      </c>
      <c r="AF1515" s="2" t="str">
        <f t="shared" si="71"/>
        <v/>
      </c>
      <c r="AG1515" s="2" t="str">
        <f>IF($L1515="","",IF(COUNTIF(LISTS!$A$2:$A$200,$H1515)=0,"NEW",""))</f>
        <v/>
      </c>
    </row>
    <row r="1516" spans="30:33" x14ac:dyDescent="0.25">
      <c r="AD1516" s="2" t="str">
        <f t="shared" si="69"/>
        <v/>
      </c>
      <c r="AE1516" s="2" t="str">
        <f t="shared" si="70"/>
        <v/>
      </c>
      <c r="AF1516" s="2" t="str">
        <f t="shared" si="71"/>
        <v/>
      </c>
      <c r="AG1516" s="2" t="str">
        <f>IF($L1516="","",IF(COUNTIF(LISTS!$A$2:$A$200,$H1516)=0,"NEW",""))</f>
        <v/>
      </c>
    </row>
    <row r="1517" spans="30:33" x14ac:dyDescent="0.25">
      <c r="AD1517" s="2" t="str">
        <f t="shared" si="69"/>
        <v/>
      </c>
      <c r="AE1517" s="2" t="str">
        <f t="shared" si="70"/>
        <v/>
      </c>
      <c r="AF1517" s="2" t="str">
        <f t="shared" si="71"/>
        <v/>
      </c>
      <c r="AG1517" s="2" t="str">
        <f>IF($L1517="","",IF(COUNTIF(LISTS!$A$2:$A$200,$H1517)=0,"NEW",""))</f>
        <v/>
      </c>
    </row>
    <row r="1518" spans="30:33" x14ac:dyDescent="0.25">
      <c r="AD1518" s="2" t="str">
        <f t="shared" si="69"/>
        <v/>
      </c>
      <c r="AE1518" s="2" t="str">
        <f t="shared" si="70"/>
        <v/>
      </c>
      <c r="AF1518" s="2" t="str">
        <f t="shared" si="71"/>
        <v/>
      </c>
      <c r="AG1518" s="2" t="str">
        <f>IF($L1518="","",IF(COUNTIF(LISTS!$A$2:$A$200,$H1518)=0,"NEW",""))</f>
        <v/>
      </c>
    </row>
    <row r="1519" spans="30:33" x14ac:dyDescent="0.25">
      <c r="AD1519" s="2" t="str">
        <f t="shared" si="69"/>
        <v/>
      </c>
      <c r="AE1519" s="2" t="str">
        <f t="shared" si="70"/>
        <v/>
      </c>
      <c r="AF1519" s="2" t="str">
        <f t="shared" si="71"/>
        <v/>
      </c>
      <c r="AG1519" s="2" t="str">
        <f>IF($L1519="","",IF(COUNTIF(LISTS!$A$2:$A$200,$H1519)=0,"NEW",""))</f>
        <v/>
      </c>
    </row>
    <row r="1520" spans="30:33" x14ac:dyDescent="0.25">
      <c r="AD1520" s="2" t="str">
        <f t="shared" si="69"/>
        <v/>
      </c>
      <c r="AE1520" s="2" t="str">
        <f t="shared" si="70"/>
        <v/>
      </c>
      <c r="AF1520" s="2" t="str">
        <f t="shared" si="71"/>
        <v/>
      </c>
      <c r="AG1520" s="2" t="str">
        <f>IF($L1520="","",IF(COUNTIF(LISTS!$A$2:$A$200,$H1520)=0,"NEW",""))</f>
        <v/>
      </c>
    </row>
    <row r="1521" spans="30:33" x14ac:dyDescent="0.25">
      <c r="AD1521" s="2" t="str">
        <f t="shared" si="69"/>
        <v/>
      </c>
      <c r="AE1521" s="2" t="str">
        <f t="shared" si="70"/>
        <v/>
      </c>
      <c r="AF1521" s="2" t="str">
        <f t="shared" si="71"/>
        <v/>
      </c>
      <c r="AG1521" s="2" t="str">
        <f>IF($L1521="","",IF(COUNTIF(LISTS!$A$2:$A$200,$H1521)=0,"NEW",""))</f>
        <v/>
      </c>
    </row>
    <row r="1522" spans="30:33" x14ac:dyDescent="0.25">
      <c r="AD1522" s="2" t="str">
        <f t="shared" si="69"/>
        <v/>
      </c>
      <c r="AE1522" s="2" t="str">
        <f t="shared" si="70"/>
        <v/>
      </c>
      <c r="AF1522" s="2" t="str">
        <f t="shared" si="71"/>
        <v/>
      </c>
      <c r="AG1522" s="2" t="str">
        <f>IF($L1522="","",IF(COUNTIF(LISTS!$A$2:$A$200,$H1522)=0,"NEW",""))</f>
        <v/>
      </c>
    </row>
    <row r="1523" spans="30:33" x14ac:dyDescent="0.25">
      <c r="AD1523" s="2" t="str">
        <f t="shared" si="69"/>
        <v/>
      </c>
      <c r="AE1523" s="2" t="str">
        <f t="shared" si="70"/>
        <v/>
      </c>
      <c r="AF1523" s="2" t="str">
        <f t="shared" si="71"/>
        <v/>
      </c>
      <c r="AG1523" s="2" t="str">
        <f>IF($L1523="","",IF(COUNTIF(LISTS!$A$2:$A$200,$H1523)=0,"NEW",""))</f>
        <v/>
      </c>
    </row>
    <row r="1524" spans="30:33" x14ac:dyDescent="0.25">
      <c r="AD1524" s="2" t="str">
        <f t="shared" si="69"/>
        <v/>
      </c>
      <c r="AE1524" s="2" t="str">
        <f t="shared" si="70"/>
        <v/>
      </c>
      <c r="AF1524" s="2" t="str">
        <f t="shared" si="71"/>
        <v/>
      </c>
      <c r="AG1524" s="2" t="str">
        <f>IF($L1524="","",IF(COUNTIF(LISTS!$A$2:$A$200,$H1524)=0,"NEW",""))</f>
        <v/>
      </c>
    </row>
    <row r="1525" spans="30:33" x14ac:dyDescent="0.25">
      <c r="AD1525" s="2" t="str">
        <f t="shared" si="69"/>
        <v/>
      </c>
      <c r="AE1525" s="2" t="str">
        <f t="shared" si="70"/>
        <v/>
      </c>
      <c r="AF1525" s="2" t="str">
        <f t="shared" si="71"/>
        <v/>
      </c>
      <c r="AG1525" s="2" t="str">
        <f>IF($L1525="","",IF(COUNTIF(LISTS!$A$2:$A$200,$H1525)=0,"NEW",""))</f>
        <v/>
      </c>
    </row>
    <row r="1526" spans="30:33" x14ac:dyDescent="0.25">
      <c r="AD1526" s="2" t="str">
        <f t="shared" si="69"/>
        <v/>
      </c>
      <c r="AE1526" s="2" t="str">
        <f t="shared" si="70"/>
        <v/>
      </c>
      <c r="AF1526" s="2" t="str">
        <f t="shared" si="71"/>
        <v/>
      </c>
      <c r="AG1526" s="2" t="str">
        <f>IF($L1526="","",IF(COUNTIF(LISTS!$A$2:$A$200,$H1526)=0,"NEW",""))</f>
        <v/>
      </c>
    </row>
    <row r="1527" spans="30:33" x14ac:dyDescent="0.25">
      <c r="AD1527" s="2" t="str">
        <f t="shared" si="69"/>
        <v/>
      </c>
      <c r="AE1527" s="2" t="str">
        <f t="shared" si="70"/>
        <v/>
      </c>
      <c r="AF1527" s="2" t="str">
        <f t="shared" si="71"/>
        <v/>
      </c>
      <c r="AG1527" s="2" t="str">
        <f>IF($L1527="","",IF(COUNTIF(LISTS!$A$2:$A$200,$H1527)=0,"NEW",""))</f>
        <v/>
      </c>
    </row>
    <row r="1528" spans="30:33" x14ac:dyDescent="0.25">
      <c r="AD1528" s="2" t="str">
        <f t="shared" si="69"/>
        <v/>
      </c>
      <c r="AE1528" s="2" t="str">
        <f t="shared" si="70"/>
        <v/>
      </c>
      <c r="AF1528" s="2" t="str">
        <f t="shared" si="71"/>
        <v/>
      </c>
      <c r="AG1528" s="2" t="str">
        <f>IF($L1528="","",IF(COUNTIF(LISTS!$A$2:$A$200,$H1528)=0,"NEW",""))</f>
        <v/>
      </c>
    </row>
    <row r="1529" spans="30:33" x14ac:dyDescent="0.25">
      <c r="AD1529" s="2" t="str">
        <f t="shared" si="69"/>
        <v/>
      </c>
      <c r="AE1529" s="2" t="str">
        <f t="shared" si="70"/>
        <v/>
      </c>
      <c r="AF1529" s="2" t="str">
        <f t="shared" si="71"/>
        <v/>
      </c>
      <c r="AG1529" s="2" t="str">
        <f>IF($L1529="","",IF(COUNTIF(LISTS!$A$2:$A$200,$H1529)=0,"NEW",""))</f>
        <v/>
      </c>
    </row>
    <row r="1530" spans="30:33" x14ac:dyDescent="0.25">
      <c r="AD1530" s="2" t="str">
        <f t="shared" si="69"/>
        <v/>
      </c>
      <c r="AE1530" s="2" t="str">
        <f t="shared" si="70"/>
        <v/>
      </c>
      <c r="AF1530" s="2" t="str">
        <f t="shared" si="71"/>
        <v/>
      </c>
      <c r="AG1530" s="2" t="str">
        <f>IF($L1530="","",IF(COUNTIF(LISTS!$A$2:$A$200,$H1530)=0,"NEW",""))</f>
        <v/>
      </c>
    </row>
    <row r="1531" spans="30:33" x14ac:dyDescent="0.25">
      <c r="AD1531" s="2" t="str">
        <f t="shared" si="69"/>
        <v/>
      </c>
      <c r="AE1531" s="2" t="str">
        <f t="shared" si="70"/>
        <v/>
      </c>
      <c r="AF1531" s="2" t="str">
        <f t="shared" si="71"/>
        <v/>
      </c>
      <c r="AG1531" s="2" t="str">
        <f>IF($L1531="","",IF(COUNTIF(LISTS!$A$2:$A$200,$H1531)=0,"NEW",""))</f>
        <v/>
      </c>
    </row>
    <row r="1532" spans="30:33" x14ac:dyDescent="0.25">
      <c r="AD1532" s="2" t="str">
        <f t="shared" si="69"/>
        <v/>
      </c>
      <c r="AE1532" s="2" t="str">
        <f t="shared" si="70"/>
        <v/>
      </c>
      <c r="AF1532" s="2" t="str">
        <f t="shared" si="71"/>
        <v/>
      </c>
      <c r="AG1532" s="2" t="str">
        <f>IF($L1532="","",IF(COUNTIF(LISTS!$A$2:$A$200,$H1532)=0,"NEW",""))</f>
        <v/>
      </c>
    </row>
    <row r="1533" spans="30:33" x14ac:dyDescent="0.25">
      <c r="AD1533" s="2" t="str">
        <f t="shared" si="69"/>
        <v/>
      </c>
      <c r="AE1533" s="2" t="str">
        <f t="shared" si="70"/>
        <v/>
      </c>
      <c r="AF1533" s="2" t="str">
        <f t="shared" si="71"/>
        <v/>
      </c>
      <c r="AG1533" s="2" t="str">
        <f>IF($L1533="","",IF(COUNTIF(LISTS!$A$2:$A$200,$H1533)=0,"NEW",""))</f>
        <v/>
      </c>
    </row>
    <row r="1534" spans="30:33" x14ac:dyDescent="0.25">
      <c r="AD1534" s="2" t="str">
        <f t="shared" si="69"/>
        <v/>
      </c>
      <c r="AE1534" s="2" t="str">
        <f t="shared" si="70"/>
        <v/>
      </c>
      <c r="AF1534" s="2" t="str">
        <f t="shared" si="71"/>
        <v/>
      </c>
      <c r="AG1534" s="2" t="str">
        <f>IF($L1534="","",IF(COUNTIF(LISTS!$A$2:$A$200,$H1534)=0,"NEW",""))</f>
        <v/>
      </c>
    </row>
    <row r="1535" spans="30:33" x14ac:dyDescent="0.25">
      <c r="AD1535" s="2" t="str">
        <f t="shared" si="69"/>
        <v/>
      </c>
      <c r="AE1535" s="2" t="str">
        <f t="shared" si="70"/>
        <v/>
      </c>
      <c r="AF1535" s="2" t="str">
        <f t="shared" si="71"/>
        <v/>
      </c>
      <c r="AG1535" s="2" t="str">
        <f>IF($L1535="","",IF(COUNTIF(LISTS!$A$2:$A$200,$H1535)=0,"NEW",""))</f>
        <v/>
      </c>
    </row>
    <row r="1536" spans="30:33" x14ac:dyDescent="0.25">
      <c r="AD1536" s="2" t="str">
        <f t="shared" si="69"/>
        <v/>
      </c>
      <c r="AE1536" s="2" t="str">
        <f t="shared" si="70"/>
        <v/>
      </c>
      <c r="AF1536" s="2" t="str">
        <f t="shared" si="71"/>
        <v/>
      </c>
      <c r="AG1536" s="2" t="str">
        <f>IF($L1536="","",IF(COUNTIF(LISTS!$A$2:$A$200,$H1536)=0,"NEW",""))</f>
        <v/>
      </c>
    </row>
    <row r="1537" spans="30:33" x14ac:dyDescent="0.25">
      <c r="AD1537" s="2" t="str">
        <f t="shared" si="69"/>
        <v/>
      </c>
      <c r="AE1537" s="2" t="str">
        <f t="shared" si="70"/>
        <v/>
      </c>
      <c r="AF1537" s="2" t="str">
        <f t="shared" si="71"/>
        <v/>
      </c>
      <c r="AG1537" s="2" t="str">
        <f>IF($L1537="","",IF(COUNTIF(LISTS!$A$2:$A$200,$H1537)=0,"NEW",""))</f>
        <v/>
      </c>
    </row>
    <row r="1538" spans="30:33" x14ac:dyDescent="0.25">
      <c r="AD1538" s="2" t="str">
        <f t="shared" ref="AD1538:AD1601" si="72">IF($L1538="","",IF(ISNUMBER(SEARCH("OFF ROAD",$H1538)),"OFF",IF(ISNUMBER(SEARCH("ON ROAD",$H1538)),"ON","")))</f>
        <v/>
      </c>
      <c r="AE1538" s="2" t="str">
        <f t="shared" ref="AE1538:AE1601" si="73">IF($AD1538="ON",""&amp;$L1538,"")</f>
        <v/>
      </c>
      <c r="AF1538" s="2" t="str">
        <f t="shared" ref="AF1538:AF1601" si="74">IF($L1538="","",IF($J1538&lt;&gt;"","Y",""))</f>
        <v/>
      </c>
      <c r="AG1538" s="2" t="str">
        <f>IF($L1538="","",IF(COUNTIF(LISTS!$A$2:$A$200,$H1538)=0,"NEW",""))</f>
        <v/>
      </c>
    </row>
    <row r="1539" spans="30:33" x14ac:dyDescent="0.25">
      <c r="AD1539" s="2" t="str">
        <f t="shared" si="72"/>
        <v/>
      </c>
      <c r="AE1539" s="2" t="str">
        <f t="shared" si="73"/>
        <v/>
      </c>
      <c r="AF1539" s="2" t="str">
        <f t="shared" si="74"/>
        <v/>
      </c>
      <c r="AG1539" s="2" t="str">
        <f>IF($L1539="","",IF(COUNTIF(LISTS!$A$2:$A$200,$H1539)=0,"NEW",""))</f>
        <v/>
      </c>
    </row>
    <row r="1540" spans="30:33" x14ac:dyDescent="0.25">
      <c r="AD1540" s="2" t="str">
        <f t="shared" si="72"/>
        <v/>
      </c>
      <c r="AE1540" s="2" t="str">
        <f t="shared" si="73"/>
        <v/>
      </c>
      <c r="AF1540" s="2" t="str">
        <f t="shared" si="74"/>
        <v/>
      </c>
      <c r="AG1540" s="2" t="str">
        <f>IF($L1540="","",IF(COUNTIF(LISTS!$A$2:$A$200,$H1540)=0,"NEW",""))</f>
        <v/>
      </c>
    </row>
    <row r="1541" spans="30:33" x14ac:dyDescent="0.25">
      <c r="AD1541" s="2" t="str">
        <f t="shared" si="72"/>
        <v/>
      </c>
      <c r="AE1541" s="2" t="str">
        <f t="shared" si="73"/>
        <v/>
      </c>
      <c r="AF1541" s="2" t="str">
        <f t="shared" si="74"/>
        <v/>
      </c>
      <c r="AG1541" s="2" t="str">
        <f>IF($L1541="","",IF(COUNTIF(LISTS!$A$2:$A$200,$H1541)=0,"NEW",""))</f>
        <v/>
      </c>
    </row>
    <row r="1542" spans="30:33" x14ac:dyDescent="0.25">
      <c r="AD1542" s="2" t="str">
        <f t="shared" si="72"/>
        <v/>
      </c>
      <c r="AE1542" s="2" t="str">
        <f t="shared" si="73"/>
        <v/>
      </c>
      <c r="AF1542" s="2" t="str">
        <f t="shared" si="74"/>
        <v/>
      </c>
      <c r="AG1542" s="2" t="str">
        <f>IF($L1542="","",IF(COUNTIF(LISTS!$A$2:$A$200,$H1542)=0,"NEW",""))</f>
        <v/>
      </c>
    </row>
    <row r="1543" spans="30:33" x14ac:dyDescent="0.25">
      <c r="AD1543" s="2" t="str">
        <f t="shared" si="72"/>
        <v/>
      </c>
      <c r="AE1543" s="2" t="str">
        <f t="shared" si="73"/>
        <v/>
      </c>
      <c r="AF1543" s="2" t="str">
        <f t="shared" si="74"/>
        <v/>
      </c>
      <c r="AG1543" s="2" t="str">
        <f>IF($L1543="","",IF(COUNTIF(LISTS!$A$2:$A$200,$H1543)=0,"NEW",""))</f>
        <v/>
      </c>
    </row>
    <row r="1544" spans="30:33" x14ac:dyDescent="0.25">
      <c r="AD1544" s="2" t="str">
        <f t="shared" si="72"/>
        <v/>
      </c>
      <c r="AE1544" s="2" t="str">
        <f t="shared" si="73"/>
        <v/>
      </c>
      <c r="AF1544" s="2" t="str">
        <f t="shared" si="74"/>
        <v/>
      </c>
      <c r="AG1544" s="2" t="str">
        <f>IF($L1544="","",IF(COUNTIF(LISTS!$A$2:$A$200,$H1544)=0,"NEW",""))</f>
        <v/>
      </c>
    </row>
    <row r="1545" spans="30:33" x14ac:dyDescent="0.25">
      <c r="AD1545" s="2" t="str">
        <f t="shared" si="72"/>
        <v/>
      </c>
      <c r="AE1545" s="2" t="str">
        <f t="shared" si="73"/>
        <v/>
      </c>
      <c r="AF1545" s="2" t="str">
        <f t="shared" si="74"/>
        <v/>
      </c>
      <c r="AG1545" s="2" t="str">
        <f>IF($L1545="","",IF(COUNTIF(LISTS!$A$2:$A$200,$H1545)=0,"NEW",""))</f>
        <v/>
      </c>
    </row>
    <row r="1546" spans="30:33" x14ac:dyDescent="0.25">
      <c r="AD1546" s="2" t="str">
        <f t="shared" si="72"/>
        <v/>
      </c>
      <c r="AE1546" s="2" t="str">
        <f t="shared" si="73"/>
        <v/>
      </c>
      <c r="AF1546" s="2" t="str">
        <f t="shared" si="74"/>
        <v/>
      </c>
      <c r="AG1546" s="2" t="str">
        <f>IF($L1546="","",IF(COUNTIF(LISTS!$A$2:$A$200,$H1546)=0,"NEW",""))</f>
        <v/>
      </c>
    </row>
    <row r="1547" spans="30:33" x14ac:dyDescent="0.25">
      <c r="AD1547" s="2" t="str">
        <f t="shared" si="72"/>
        <v/>
      </c>
      <c r="AE1547" s="2" t="str">
        <f t="shared" si="73"/>
        <v/>
      </c>
      <c r="AF1547" s="2" t="str">
        <f t="shared" si="74"/>
        <v/>
      </c>
      <c r="AG1547" s="2" t="str">
        <f>IF($L1547="","",IF(COUNTIF(LISTS!$A$2:$A$200,$H1547)=0,"NEW",""))</f>
        <v/>
      </c>
    </row>
    <row r="1548" spans="30:33" x14ac:dyDescent="0.25">
      <c r="AD1548" s="2" t="str">
        <f t="shared" si="72"/>
        <v/>
      </c>
      <c r="AE1548" s="2" t="str">
        <f t="shared" si="73"/>
        <v/>
      </c>
      <c r="AF1548" s="2" t="str">
        <f t="shared" si="74"/>
        <v/>
      </c>
      <c r="AG1548" s="2" t="str">
        <f>IF($L1548="","",IF(COUNTIF(LISTS!$A$2:$A$200,$H1548)=0,"NEW",""))</f>
        <v/>
      </c>
    </row>
    <row r="1549" spans="30:33" x14ac:dyDescent="0.25">
      <c r="AD1549" s="2" t="str">
        <f t="shared" si="72"/>
        <v/>
      </c>
      <c r="AE1549" s="2" t="str">
        <f t="shared" si="73"/>
        <v/>
      </c>
      <c r="AF1549" s="2" t="str">
        <f t="shared" si="74"/>
        <v/>
      </c>
      <c r="AG1549" s="2" t="str">
        <f>IF($L1549="","",IF(COUNTIF(LISTS!$A$2:$A$200,$H1549)=0,"NEW",""))</f>
        <v/>
      </c>
    </row>
    <row r="1550" spans="30:33" x14ac:dyDescent="0.25">
      <c r="AD1550" s="2" t="str">
        <f t="shared" si="72"/>
        <v/>
      </c>
      <c r="AE1550" s="2" t="str">
        <f t="shared" si="73"/>
        <v/>
      </c>
      <c r="AF1550" s="2" t="str">
        <f t="shared" si="74"/>
        <v/>
      </c>
      <c r="AG1550" s="2" t="str">
        <f>IF($L1550="","",IF(COUNTIF(LISTS!$A$2:$A$200,$H1550)=0,"NEW",""))</f>
        <v/>
      </c>
    </row>
    <row r="1551" spans="30:33" x14ac:dyDescent="0.25">
      <c r="AD1551" s="2" t="str">
        <f t="shared" si="72"/>
        <v/>
      </c>
      <c r="AE1551" s="2" t="str">
        <f t="shared" si="73"/>
        <v/>
      </c>
      <c r="AF1551" s="2" t="str">
        <f t="shared" si="74"/>
        <v/>
      </c>
      <c r="AG1551" s="2" t="str">
        <f>IF($L1551="","",IF(COUNTIF(LISTS!$A$2:$A$200,$H1551)=0,"NEW",""))</f>
        <v/>
      </c>
    </row>
    <row r="1552" spans="30:33" x14ac:dyDescent="0.25">
      <c r="AD1552" s="2" t="str">
        <f t="shared" si="72"/>
        <v/>
      </c>
      <c r="AE1552" s="2" t="str">
        <f t="shared" si="73"/>
        <v/>
      </c>
      <c r="AF1552" s="2" t="str">
        <f t="shared" si="74"/>
        <v/>
      </c>
      <c r="AG1552" s="2" t="str">
        <f>IF($L1552="","",IF(COUNTIF(LISTS!$A$2:$A$200,$H1552)=0,"NEW",""))</f>
        <v/>
      </c>
    </row>
    <row r="1553" spans="30:33" x14ac:dyDescent="0.25">
      <c r="AD1553" s="2" t="str">
        <f t="shared" si="72"/>
        <v/>
      </c>
      <c r="AE1553" s="2" t="str">
        <f t="shared" si="73"/>
        <v/>
      </c>
      <c r="AF1553" s="2" t="str">
        <f t="shared" si="74"/>
        <v/>
      </c>
      <c r="AG1553" s="2" t="str">
        <f>IF($L1553="","",IF(COUNTIF(LISTS!$A$2:$A$200,$H1553)=0,"NEW",""))</f>
        <v/>
      </c>
    </row>
    <row r="1554" spans="30:33" x14ac:dyDescent="0.25">
      <c r="AD1554" s="2" t="str">
        <f t="shared" si="72"/>
        <v/>
      </c>
      <c r="AE1554" s="2" t="str">
        <f t="shared" si="73"/>
        <v/>
      </c>
      <c r="AF1554" s="2" t="str">
        <f t="shared" si="74"/>
        <v/>
      </c>
      <c r="AG1554" s="2" t="str">
        <f>IF($L1554="","",IF(COUNTIF(LISTS!$A$2:$A$200,$H1554)=0,"NEW",""))</f>
        <v/>
      </c>
    </row>
    <row r="1555" spans="30:33" x14ac:dyDescent="0.25">
      <c r="AD1555" s="2" t="str">
        <f t="shared" si="72"/>
        <v/>
      </c>
      <c r="AE1555" s="2" t="str">
        <f t="shared" si="73"/>
        <v/>
      </c>
      <c r="AF1555" s="2" t="str">
        <f t="shared" si="74"/>
        <v/>
      </c>
      <c r="AG1555" s="2" t="str">
        <f>IF($L1555="","",IF(COUNTIF(LISTS!$A$2:$A$200,$H1555)=0,"NEW",""))</f>
        <v/>
      </c>
    </row>
    <row r="1556" spans="30:33" x14ac:dyDescent="0.25">
      <c r="AD1556" s="2" t="str">
        <f t="shared" si="72"/>
        <v/>
      </c>
      <c r="AE1556" s="2" t="str">
        <f t="shared" si="73"/>
        <v/>
      </c>
      <c r="AF1556" s="2" t="str">
        <f t="shared" si="74"/>
        <v/>
      </c>
      <c r="AG1556" s="2" t="str">
        <f>IF($L1556="","",IF(COUNTIF(LISTS!$A$2:$A$200,$H1556)=0,"NEW",""))</f>
        <v/>
      </c>
    </row>
    <row r="1557" spans="30:33" x14ac:dyDescent="0.25">
      <c r="AD1557" s="2" t="str">
        <f t="shared" si="72"/>
        <v/>
      </c>
      <c r="AE1557" s="2" t="str">
        <f t="shared" si="73"/>
        <v/>
      </c>
      <c r="AF1557" s="2" t="str">
        <f t="shared" si="74"/>
        <v/>
      </c>
      <c r="AG1557" s="2" t="str">
        <f>IF($L1557="","",IF(COUNTIF(LISTS!$A$2:$A$200,$H1557)=0,"NEW",""))</f>
        <v/>
      </c>
    </row>
    <row r="1558" spans="30:33" x14ac:dyDescent="0.25">
      <c r="AD1558" s="2" t="str">
        <f t="shared" si="72"/>
        <v/>
      </c>
      <c r="AE1558" s="2" t="str">
        <f t="shared" si="73"/>
        <v/>
      </c>
      <c r="AF1558" s="2" t="str">
        <f t="shared" si="74"/>
        <v/>
      </c>
      <c r="AG1558" s="2" t="str">
        <f>IF($L1558="","",IF(COUNTIF(LISTS!$A$2:$A$200,$H1558)=0,"NEW",""))</f>
        <v/>
      </c>
    </row>
    <row r="1559" spans="30:33" x14ac:dyDescent="0.25">
      <c r="AD1559" s="2" t="str">
        <f t="shared" si="72"/>
        <v/>
      </c>
      <c r="AE1559" s="2" t="str">
        <f t="shared" si="73"/>
        <v/>
      </c>
      <c r="AF1559" s="2" t="str">
        <f t="shared" si="74"/>
        <v/>
      </c>
      <c r="AG1559" s="2" t="str">
        <f>IF($L1559="","",IF(COUNTIF(LISTS!$A$2:$A$200,$H1559)=0,"NEW",""))</f>
        <v/>
      </c>
    </row>
    <row r="1560" spans="30:33" x14ac:dyDescent="0.25">
      <c r="AD1560" s="2" t="str">
        <f t="shared" si="72"/>
        <v/>
      </c>
      <c r="AE1560" s="2" t="str">
        <f t="shared" si="73"/>
        <v/>
      </c>
      <c r="AF1560" s="2" t="str">
        <f t="shared" si="74"/>
        <v/>
      </c>
      <c r="AG1560" s="2" t="str">
        <f>IF($L1560="","",IF(COUNTIF(LISTS!$A$2:$A$200,$H1560)=0,"NEW",""))</f>
        <v/>
      </c>
    </row>
    <row r="1561" spans="30:33" x14ac:dyDescent="0.25">
      <c r="AD1561" s="2" t="str">
        <f t="shared" si="72"/>
        <v/>
      </c>
      <c r="AE1561" s="2" t="str">
        <f t="shared" si="73"/>
        <v/>
      </c>
      <c r="AF1561" s="2" t="str">
        <f t="shared" si="74"/>
        <v/>
      </c>
      <c r="AG1561" s="2" t="str">
        <f>IF($L1561="","",IF(COUNTIF(LISTS!$A$2:$A$200,$H1561)=0,"NEW",""))</f>
        <v/>
      </c>
    </row>
    <row r="1562" spans="30:33" x14ac:dyDescent="0.25">
      <c r="AD1562" s="2" t="str">
        <f t="shared" si="72"/>
        <v/>
      </c>
      <c r="AE1562" s="2" t="str">
        <f t="shared" si="73"/>
        <v/>
      </c>
      <c r="AF1562" s="2" t="str">
        <f t="shared" si="74"/>
        <v/>
      </c>
      <c r="AG1562" s="2" t="str">
        <f>IF($L1562="","",IF(COUNTIF(LISTS!$A$2:$A$200,$H1562)=0,"NEW",""))</f>
        <v/>
      </c>
    </row>
    <row r="1563" spans="30:33" x14ac:dyDescent="0.25">
      <c r="AD1563" s="2" t="str">
        <f t="shared" si="72"/>
        <v/>
      </c>
      <c r="AE1563" s="2" t="str">
        <f t="shared" si="73"/>
        <v/>
      </c>
      <c r="AF1563" s="2" t="str">
        <f t="shared" si="74"/>
        <v/>
      </c>
      <c r="AG1563" s="2" t="str">
        <f>IF($L1563="","",IF(COUNTIF(LISTS!$A$2:$A$200,$H1563)=0,"NEW",""))</f>
        <v/>
      </c>
    </row>
    <row r="1564" spans="30:33" x14ac:dyDescent="0.25">
      <c r="AD1564" s="2" t="str">
        <f t="shared" si="72"/>
        <v/>
      </c>
      <c r="AE1564" s="2" t="str">
        <f t="shared" si="73"/>
        <v/>
      </c>
      <c r="AF1564" s="2" t="str">
        <f t="shared" si="74"/>
        <v/>
      </c>
      <c r="AG1564" s="2" t="str">
        <f>IF($L1564="","",IF(COUNTIF(LISTS!$A$2:$A$200,$H1564)=0,"NEW",""))</f>
        <v/>
      </c>
    </row>
    <row r="1565" spans="30:33" x14ac:dyDescent="0.25">
      <c r="AD1565" s="2" t="str">
        <f t="shared" si="72"/>
        <v/>
      </c>
      <c r="AE1565" s="2" t="str">
        <f t="shared" si="73"/>
        <v/>
      </c>
      <c r="AF1565" s="2" t="str">
        <f t="shared" si="74"/>
        <v/>
      </c>
      <c r="AG1565" s="2" t="str">
        <f>IF($L1565="","",IF(COUNTIF(LISTS!$A$2:$A$200,$H1565)=0,"NEW",""))</f>
        <v/>
      </c>
    </row>
    <row r="1566" spans="30:33" x14ac:dyDescent="0.25">
      <c r="AD1566" s="2" t="str">
        <f t="shared" si="72"/>
        <v/>
      </c>
      <c r="AE1566" s="2" t="str">
        <f t="shared" si="73"/>
        <v/>
      </c>
      <c r="AF1566" s="2" t="str">
        <f t="shared" si="74"/>
        <v/>
      </c>
      <c r="AG1566" s="2" t="str">
        <f>IF($L1566="","",IF(COUNTIF(LISTS!$A$2:$A$200,$H1566)=0,"NEW",""))</f>
        <v/>
      </c>
    </row>
    <row r="1567" spans="30:33" x14ac:dyDescent="0.25">
      <c r="AD1567" s="2" t="str">
        <f t="shared" si="72"/>
        <v/>
      </c>
      <c r="AE1567" s="2" t="str">
        <f t="shared" si="73"/>
        <v/>
      </c>
      <c r="AF1567" s="2" t="str">
        <f t="shared" si="74"/>
        <v/>
      </c>
      <c r="AG1567" s="2" t="str">
        <f>IF($L1567="","",IF(COUNTIF(LISTS!$A$2:$A$200,$H1567)=0,"NEW",""))</f>
        <v/>
      </c>
    </row>
    <row r="1568" spans="30:33" x14ac:dyDescent="0.25">
      <c r="AD1568" s="2" t="str">
        <f t="shared" si="72"/>
        <v/>
      </c>
      <c r="AE1568" s="2" t="str">
        <f t="shared" si="73"/>
        <v/>
      </c>
      <c r="AF1568" s="2" t="str">
        <f t="shared" si="74"/>
        <v/>
      </c>
      <c r="AG1568" s="2" t="str">
        <f>IF($L1568="","",IF(COUNTIF(LISTS!$A$2:$A$200,$H1568)=0,"NEW",""))</f>
        <v/>
      </c>
    </row>
    <row r="1569" spans="30:33" x14ac:dyDescent="0.25">
      <c r="AD1569" s="2" t="str">
        <f t="shared" si="72"/>
        <v/>
      </c>
      <c r="AE1569" s="2" t="str">
        <f t="shared" si="73"/>
        <v/>
      </c>
      <c r="AF1569" s="2" t="str">
        <f t="shared" si="74"/>
        <v/>
      </c>
      <c r="AG1569" s="2" t="str">
        <f>IF($L1569="","",IF(COUNTIF(LISTS!$A$2:$A$200,$H1569)=0,"NEW",""))</f>
        <v/>
      </c>
    </row>
    <row r="1570" spans="30:33" x14ac:dyDescent="0.25">
      <c r="AD1570" s="2" t="str">
        <f t="shared" si="72"/>
        <v/>
      </c>
      <c r="AE1570" s="2" t="str">
        <f t="shared" si="73"/>
        <v/>
      </c>
      <c r="AF1570" s="2" t="str">
        <f t="shared" si="74"/>
        <v/>
      </c>
      <c r="AG1570" s="2" t="str">
        <f>IF($L1570="","",IF(COUNTIF(LISTS!$A$2:$A$200,$H1570)=0,"NEW",""))</f>
        <v/>
      </c>
    </row>
    <row r="1571" spans="30:33" x14ac:dyDescent="0.25">
      <c r="AD1571" s="2" t="str">
        <f t="shared" si="72"/>
        <v/>
      </c>
      <c r="AE1571" s="2" t="str">
        <f t="shared" si="73"/>
        <v/>
      </c>
      <c r="AF1571" s="2" t="str">
        <f t="shared" si="74"/>
        <v/>
      </c>
      <c r="AG1571" s="2" t="str">
        <f>IF($L1571="","",IF(COUNTIF(LISTS!$A$2:$A$200,$H1571)=0,"NEW",""))</f>
        <v/>
      </c>
    </row>
    <row r="1572" spans="30:33" x14ac:dyDescent="0.25">
      <c r="AD1572" s="2" t="str">
        <f t="shared" si="72"/>
        <v/>
      </c>
      <c r="AE1572" s="2" t="str">
        <f t="shared" si="73"/>
        <v/>
      </c>
      <c r="AF1572" s="2" t="str">
        <f t="shared" si="74"/>
        <v/>
      </c>
      <c r="AG1572" s="2" t="str">
        <f>IF($L1572="","",IF(COUNTIF(LISTS!$A$2:$A$200,$H1572)=0,"NEW",""))</f>
        <v/>
      </c>
    </row>
    <row r="1573" spans="30:33" x14ac:dyDescent="0.25">
      <c r="AD1573" s="2" t="str">
        <f t="shared" si="72"/>
        <v/>
      </c>
      <c r="AE1573" s="2" t="str">
        <f t="shared" si="73"/>
        <v/>
      </c>
      <c r="AF1573" s="2" t="str">
        <f t="shared" si="74"/>
        <v/>
      </c>
      <c r="AG1573" s="2" t="str">
        <f>IF($L1573="","",IF(COUNTIF(LISTS!$A$2:$A$200,$H1573)=0,"NEW",""))</f>
        <v/>
      </c>
    </row>
    <row r="1574" spans="30:33" x14ac:dyDescent="0.25">
      <c r="AD1574" s="2" t="str">
        <f t="shared" si="72"/>
        <v/>
      </c>
      <c r="AE1574" s="2" t="str">
        <f t="shared" si="73"/>
        <v/>
      </c>
      <c r="AF1574" s="2" t="str">
        <f t="shared" si="74"/>
        <v/>
      </c>
      <c r="AG1574" s="2" t="str">
        <f>IF($L1574="","",IF(COUNTIF(LISTS!$A$2:$A$200,$H1574)=0,"NEW",""))</f>
        <v/>
      </c>
    </row>
    <row r="1575" spans="30:33" x14ac:dyDescent="0.25">
      <c r="AD1575" s="2" t="str">
        <f t="shared" si="72"/>
        <v/>
      </c>
      <c r="AE1575" s="2" t="str">
        <f t="shared" si="73"/>
        <v/>
      </c>
      <c r="AF1575" s="2" t="str">
        <f t="shared" si="74"/>
        <v/>
      </c>
      <c r="AG1575" s="2" t="str">
        <f>IF($L1575="","",IF(COUNTIF(LISTS!$A$2:$A$200,$H1575)=0,"NEW",""))</f>
        <v/>
      </c>
    </row>
    <row r="1576" spans="30:33" x14ac:dyDescent="0.25">
      <c r="AD1576" s="2" t="str">
        <f t="shared" si="72"/>
        <v/>
      </c>
      <c r="AE1576" s="2" t="str">
        <f t="shared" si="73"/>
        <v/>
      </c>
      <c r="AF1576" s="2" t="str">
        <f t="shared" si="74"/>
        <v/>
      </c>
      <c r="AG1576" s="2" t="str">
        <f>IF($L1576="","",IF(COUNTIF(LISTS!$A$2:$A$200,$H1576)=0,"NEW",""))</f>
        <v/>
      </c>
    </row>
    <row r="1577" spans="30:33" x14ac:dyDescent="0.25">
      <c r="AD1577" s="2" t="str">
        <f t="shared" si="72"/>
        <v/>
      </c>
      <c r="AE1577" s="2" t="str">
        <f t="shared" si="73"/>
        <v/>
      </c>
      <c r="AF1577" s="2" t="str">
        <f t="shared" si="74"/>
        <v/>
      </c>
      <c r="AG1577" s="2" t="str">
        <f>IF($L1577="","",IF(COUNTIF(LISTS!$A$2:$A$200,$H1577)=0,"NEW",""))</f>
        <v/>
      </c>
    </row>
    <row r="1578" spans="30:33" x14ac:dyDescent="0.25">
      <c r="AD1578" s="2" t="str">
        <f t="shared" si="72"/>
        <v/>
      </c>
      <c r="AE1578" s="2" t="str">
        <f t="shared" si="73"/>
        <v/>
      </c>
      <c r="AF1578" s="2" t="str">
        <f t="shared" si="74"/>
        <v/>
      </c>
      <c r="AG1578" s="2" t="str">
        <f>IF($L1578="","",IF(COUNTIF(LISTS!$A$2:$A$200,$H1578)=0,"NEW",""))</f>
        <v/>
      </c>
    </row>
    <row r="1579" spans="30:33" x14ac:dyDescent="0.25">
      <c r="AD1579" s="2" t="str">
        <f t="shared" si="72"/>
        <v/>
      </c>
      <c r="AE1579" s="2" t="str">
        <f t="shared" si="73"/>
        <v/>
      </c>
      <c r="AF1579" s="2" t="str">
        <f t="shared" si="74"/>
        <v/>
      </c>
      <c r="AG1579" s="2" t="str">
        <f>IF($L1579="","",IF(COUNTIF(LISTS!$A$2:$A$200,$H1579)=0,"NEW",""))</f>
        <v/>
      </c>
    </row>
    <row r="1580" spans="30:33" x14ac:dyDescent="0.25">
      <c r="AD1580" s="2" t="str">
        <f t="shared" si="72"/>
        <v/>
      </c>
      <c r="AE1580" s="2" t="str">
        <f t="shared" si="73"/>
        <v/>
      </c>
      <c r="AF1580" s="2" t="str">
        <f t="shared" si="74"/>
        <v/>
      </c>
      <c r="AG1580" s="2" t="str">
        <f>IF($L1580="","",IF(COUNTIF(LISTS!$A$2:$A$200,$H1580)=0,"NEW",""))</f>
        <v/>
      </c>
    </row>
    <row r="1581" spans="30:33" x14ac:dyDescent="0.25">
      <c r="AD1581" s="2" t="str">
        <f t="shared" si="72"/>
        <v/>
      </c>
      <c r="AE1581" s="2" t="str">
        <f t="shared" si="73"/>
        <v/>
      </c>
      <c r="AF1581" s="2" t="str">
        <f t="shared" si="74"/>
        <v/>
      </c>
      <c r="AG1581" s="2" t="str">
        <f>IF($L1581="","",IF(COUNTIF(LISTS!$A$2:$A$200,$H1581)=0,"NEW",""))</f>
        <v/>
      </c>
    </row>
    <row r="1582" spans="30:33" x14ac:dyDescent="0.25">
      <c r="AD1582" s="2" t="str">
        <f t="shared" si="72"/>
        <v/>
      </c>
      <c r="AE1582" s="2" t="str">
        <f t="shared" si="73"/>
        <v/>
      </c>
      <c r="AF1582" s="2" t="str">
        <f t="shared" si="74"/>
        <v/>
      </c>
      <c r="AG1582" s="2" t="str">
        <f>IF($L1582="","",IF(COUNTIF(LISTS!$A$2:$A$200,$H1582)=0,"NEW",""))</f>
        <v/>
      </c>
    </row>
    <row r="1583" spans="30:33" x14ac:dyDescent="0.25">
      <c r="AD1583" s="2" t="str">
        <f t="shared" si="72"/>
        <v/>
      </c>
      <c r="AE1583" s="2" t="str">
        <f t="shared" si="73"/>
        <v/>
      </c>
      <c r="AF1583" s="2" t="str">
        <f t="shared" si="74"/>
        <v/>
      </c>
      <c r="AG1583" s="2" t="str">
        <f>IF($L1583="","",IF(COUNTIF(LISTS!$A$2:$A$200,$H1583)=0,"NEW",""))</f>
        <v/>
      </c>
    </row>
    <row r="1584" spans="30:33" x14ac:dyDescent="0.25">
      <c r="AD1584" s="2" t="str">
        <f t="shared" si="72"/>
        <v/>
      </c>
      <c r="AE1584" s="2" t="str">
        <f t="shared" si="73"/>
        <v/>
      </c>
      <c r="AF1584" s="2" t="str">
        <f t="shared" si="74"/>
        <v/>
      </c>
      <c r="AG1584" s="2" t="str">
        <f>IF($L1584="","",IF(COUNTIF(LISTS!$A$2:$A$200,$H1584)=0,"NEW",""))</f>
        <v/>
      </c>
    </row>
    <row r="1585" spans="30:33" x14ac:dyDescent="0.25">
      <c r="AD1585" s="2" t="str">
        <f t="shared" si="72"/>
        <v/>
      </c>
      <c r="AE1585" s="2" t="str">
        <f t="shared" si="73"/>
        <v/>
      </c>
      <c r="AF1585" s="2" t="str">
        <f t="shared" si="74"/>
        <v/>
      </c>
      <c r="AG1585" s="2" t="str">
        <f>IF($L1585="","",IF(COUNTIF(LISTS!$A$2:$A$200,$H1585)=0,"NEW",""))</f>
        <v/>
      </c>
    </row>
    <row r="1586" spans="30:33" x14ac:dyDescent="0.25">
      <c r="AD1586" s="2" t="str">
        <f t="shared" si="72"/>
        <v/>
      </c>
      <c r="AE1586" s="2" t="str">
        <f t="shared" si="73"/>
        <v/>
      </c>
      <c r="AF1586" s="2" t="str">
        <f t="shared" si="74"/>
        <v/>
      </c>
      <c r="AG1586" s="2" t="str">
        <f>IF($L1586="","",IF(COUNTIF(LISTS!$A$2:$A$200,$H1586)=0,"NEW",""))</f>
        <v/>
      </c>
    </row>
    <row r="1587" spans="30:33" x14ac:dyDescent="0.25">
      <c r="AD1587" s="2" t="str">
        <f t="shared" si="72"/>
        <v/>
      </c>
      <c r="AE1587" s="2" t="str">
        <f t="shared" si="73"/>
        <v/>
      </c>
      <c r="AF1587" s="2" t="str">
        <f t="shared" si="74"/>
        <v/>
      </c>
      <c r="AG1587" s="2" t="str">
        <f>IF($L1587="","",IF(COUNTIF(LISTS!$A$2:$A$200,$H1587)=0,"NEW",""))</f>
        <v/>
      </c>
    </row>
    <row r="1588" spans="30:33" x14ac:dyDescent="0.25">
      <c r="AD1588" s="2" t="str">
        <f t="shared" si="72"/>
        <v/>
      </c>
      <c r="AE1588" s="2" t="str">
        <f t="shared" si="73"/>
        <v/>
      </c>
      <c r="AF1588" s="2" t="str">
        <f t="shared" si="74"/>
        <v/>
      </c>
      <c r="AG1588" s="2" t="str">
        <f>IF($L1588="","",IF(COUNTIF(LISTS!$A$2:$A$200,$H1588)=0,"NEW",""))</f>
        <v/>
      </c>
    </row>
    <row r="1589" spans="30:33" x14ac:dyDescent="0.25">
      <c r="AD1589" s="2" t="str">
        <f t="shared" si="72"/>
        <v/>
      </c>
      <c r="AE1589" s="2" t="str">
        <f t="shared" si="73"/>
        <v/>
      </c>
      <c r="AF1589" s="2" t="str">
        <f t="shared" si="74"/>
        <v/>
      </c>
      <c r="AG1589" s="2" t="str">
        <f>IF($L1589="","",IF(COUNTIF(LISTS!$A$2:$A$200,$H1589)=0,"NEW",""))</f>
        <v/>
      </c>
    </row>
    <row r="1590" spans="30:33" x14ac:dyDescent="0.25">
      <c r="AD1590" s="2" t="str">
        <f t="shared" si="72"/>
        <v/>
      </c>
      <c r="AE1590" s="2" t="str">
        <f t="shared" si="73"/>
        <v/>
      </c>
      <c r="AF1590" s="2" t="str">
        <f t="shared" si="74"/>
        <v/>
      </c>
      <c r="AG1590" s="2" t="str">
        <f>IF($L1590="","",IF(COUNTIF(LISTS!$A$2:$A$200,$H1590)=0,"NEW",""))</f>
        <v/>
      </c>
    </row>
    <row r="1591" spans="30:33" x14ac:dyDescent="0.25">
      <c r="AD1591" s="2" t="str">
        <f t="shared" si="72"/>
        <v/>
      </c>
      <c r="AE1591" s="2" t="str">
        <f t="shared" si="73"/>
        <v/>
      </c>
      <c r="AF1591" s="2" t="str">
        <f t="shared" si="74"/>
        <v/>
      </c>
      <c r="AG1591" s="2" t="str">
        <f>IF($L1591="","",IF(COUNTIF(LISTS!$A$2:$A$200,$H1591)=0,"NEW",""))</f>
        <v/>
      </c>
    </row>
    <row r="1592" spans="30:33" x14ac:dyDescent="0.25">
      <c r="AD1592" s="2" t="str">
        <f t="shared" si="72"/>
        <v/>
      </c>
      <c r="AE1592" s="2" t="str">
        <f t="shared" si="73"/>
        <v/>
      </c>
      <c r="AF1592" s="2" t="str">
        <f t="shared" si="74"/>
        <v/>
      </c>
      <c r="AG1592" s="2" t="str">
        <f>IF($L1592="","",IF(COUNTIF(LISTS!$A$2:$A$200,$H1592)=0,"NEW",""))</f>
        <v/>
      </c>
    </row>
    <row r="1593" spans="30:33" x14ac:dyDescent="0.25">
      <c r="AD1593" s="2" t="str">
        <f t="shared" si="72"/>
        <v/>
      </c>
      <c r="AE1593" s="2" t="str">
        <f t="shared" si="73"/>
        <v/>
      </c>
      <c r="AF1593" s="2" t="str">
        <f t="shared" si="74"/>
        <v/>
      </c>
      <c r="AG1593" s="2" t="str">
        <f>IF($L1593="","",IF(COUNTIF(LISTS!$A$2:$A$200,$H1593)=0,"NEW",""))</f>
        <v/>
      </c>
    </row>
    <row r="1594" spans="30:33" x14ac:dyDescent="0.25">
      <c r="AD1594" s="2" t="str">
        <f t="shared" si="72"/>
        <v/>
      </c>
      <c r="AE1594" s="2" t="str">
        <f t="shared" si="73"/>
        <v/>
      </c>
      <c r="AF1594" s="2" t="str">
        <f t="shared" si="74"/>
        <v/>
      </c>
      <c r="AG1594" s="2" t="str">
        <f>IF($L1594="","",IF(COUNTIF(LISTS!$A$2:$A$200,$H1594)=0,"NEW",""))</f>
        <v/>
      </c>
    </row>
    <row r="1595" spans="30:33" x14ac:dyDescent="0.25">
      <c r="AD1595" s="2" t="str">
        <f t="shared" si="72"/>
        <v/>
      </c>
      <c r="AE1595" s="2" t="str">
        <f t="shared" si="73"/>
        <v/>
      </c>
      <c r="AF1595" s="2" t="str">
        <f t="shared" si="74"/>
        <v/>
      </c>
      <c r="AG1595" s="2" t="str">
        <f>IF($L1595="","",IF(COUNTIF(LISTS!$A$2:$A$200,$H1595)=0,"NEW",""))</f>
        <v/>
      </c>
    </row>
    <row r="1596" spans="30:33" x14ac:dyDescent="0.25">
      <c r="AD1596" s="2" t="str">
        <f t="shared" si="72"/>
        <v/>
      </c>
      <c r="AE1596" s="2" t="str">
        <f t="shared" si="73"/>
        <v/>
      </c>
      <c r="AF1596" s="2" t="str">
        <f t="shared" si="74"/>
        <v/>
      </c>
      <c r="AG1596" s="2" t="str">
        <f>IF($L1596="","",IF(COUNTIF(LISTS!$A$2:$A$200,$H1596)=0,"NEW",""))</f>
        <v/>
      </c>
    </row>
    <row r="1597" spans="30:33" x14ac:dyDescent="0.25">
      <c r="AD1597" s="2" t="str">
        <f t="shared" si="72"/>
        <v/>
      </c>
      <c r="AE1597" s="2" t="str">
        <f t="shared" si="73"/>
        <v/>
      </c>
      <c r="AF1597" s="2" t="str">
        <f t="shared" si="74"/>
        <v/>
      </c>
      <c r="AG1597" s="2" t="str">
        <f>IF($L1597="","",IF(COUNTIF(LISTS!$A$2:$A$200,$H1597)=0,"NEW",""))</f>
        <v/>
      </c>
    </row>
    <row r="1598" spans="30:33" x14ac:dyDescent="0.25">
      <c r="AD1598" s="2" t="str">
        <f t="shared" si="72"/>
        <v/>
      </c>
      <c r="AE1598" s="2" t="str">
        <f t="shared" si="73"/>
        <v/>
      </c>
      <c r="AF1598" s="2" t="str">
        <f t="shared" si="74"/>
        <v/>
      </c>
      <c r="AG1598" s="2" t="str">
        <f>IF($L1598="","",IF(COUNTIF(LISTS!$A$2:$A$200,$H1598)=0,"NEW",""))</f>
        <v/>
      </c>
    </row>
    <row r="1599" spans="30:33" x14ac:dyDescent="0.25">
      <c r="AD1599" s="2" t="str">
        <f t="shared" si="72"/>
        <v/>
      </c>
      <c r="AE1599" s="2" t="str">
        <f t="shared" si="73"/>
        <v/>
      </c>
      <c r="AF1599" s="2" t="str">
        <f t="shared" si="74"/>
        <v/>
      </c>
      <c r="AG1599" s="2" t="str">
        <f>IF($L1599="","",IF(COUNTIF(LISTS!$A$2:$A$200,$H1599)=0,"NEW",""))</f>
        <v/>
      </c>
    </row>
    <row r="1600" spans="30:33" x14ac:dyDescent="0.25">
      <c r="AD1600" s="2" t="str">
        <f t="shared" si="72"/>
        <v/>
      </c>
      <c r="AE1600" s="2" t="str">
        <f t="shared" si="73"/>
        <v/>
      </c>
      <c r="AF1600" s="2" t="str">
        <f t="shared" si="74"/>
        <v/>
      </c>
      <c r="AG1600" s="2" t="str">
        <f>IF($L1600="","",IF(COUNTIF(LISTS!$A$2:$A$200,$H1600)=0,"NEW",""))</f>
        <v/>
      </c>
    </row>
    <row r="1601" spans="30:33" x14ac:dyDescent="0.25">
      <c r="AD1601" s="2" t="str">
        <f t="shared" si="72"/>
        <v/>
      </c>
      <c r="AE1601" s="2" t="str">
        <f t="shared" si="73"/>
        <v/>
      </c>
      <c r="AF1601" s="2" t="str">
        <f t="shared" si="74"/>
        <v/>
      </c>
      <c r="AG1601" s="2" t="str">
        <f>IF($L1601="","",IF(COUNTIF(LISTS!$A$2:$A$200,$H1601)=0,"NEW",""))</f>
        <v/>
      </c>
    </row>
    <row r="1602" spans="30:33" x14ac:dyDescent="0.25">
      <c r="AD1602" s="2" t="str">
        <f t="shared" ref="AD1602:AD1665" si="75">IF($L1602="","",IF(ISNUMBER(SEARCH("OFF ROAD",$H1602)),"OFF",IF(ISNUMBER(SEARCH("ON ROAD",$H1602)),"ON","")))</f>
        <v/>
      </c>
      <c r="AE1602" s="2" t="str">
        <f t="shared" ref="AE1602:AE1665" si="76">IF($AD1602="ON",""&amp;$L1602,"")</f>
        <v/>
      </c>
      <c r="AF1602" s="2" t="str">
        <f t="shared" ref="AF1602:AF1665" si="77">IF($L1602="","",IF($J1602&lt;&gt;"","Y",""))</f>
        <v/>
      </c>
      <c r="AG1602" s="2" t="str">
        <f>IF($L1602="","",IF(COUNTIF(LISTS!$A$2:$A$200,$H1602)=0,"NEW",""))</f>
        <v/>
      </c>
    </row>
    <row r="1603" spans="30:33" x14ac:dyDescent="0.25">
      <c r="AD1603" s="2" t="str">
        <f t="shared" si="75"/>
        <v/>
      </c>
      <c r="AE1603" s="2" t="str">
        <f t="shared" si="76"/>
        <v/>
      </c>
      <c r="AF1603" s="2" t="str">
        <f t="shared" si="77"/>
        <v/>
      </c>
      <c r="AG1603" s="2" t="str">
        <f>IF($L1603="","",IF(COUNTIF(LISTS!$A$2:$A$200,$H1603)=0,"NEW",""))</f>
        <v/>
      </c>
    </row>
    <row r="1604" spans="30:33" x14ac:dyDescent="0.25">
      <c r="AD1604" s="2" t="str">
        <f t="shared" si="75"/>
        <v/>
      </c>
      <c r="AE1604" s="2" t="str">
        <f t="shared" si="76"/>
        <v/>
      </c>
      <c r="AF1604" s="2" t="str">
        <f t="shared" si="77"/>
        <v/>
      </c>
      <c r="AG1604" s="2" t="str">
        <f>IF($L1604="","",IF(COUNTIF(LISTS!$A$2:$A$200,$H1604)=0,"NEW",""))</f>
        <v/>
      </c>
    </row>
    <row r="1605" spans="30:33" x14ac:dyDescent="0.25">
      <c r="AD1605" s="2" t="str">
        <f t="shared" si="75"/>
        <v/>
      </c>
      <c r="AE1605" s="2" t="str">
        <f t="shared" si="76"/>
        <v/>
      </c>
      <c r="AF1605" s="2" t="str">
        <f t="shared" si="77"/>
        <v/>
      </c>
      <c r="AG1605" s="2" t="str">
        <f>IF($L1605="","",IF(COUNTIF(LISTS!$A$2:$A$200,$H1605)=0,"NEW",""))</f>
        <v/>
      </c>
    </row>
    <row r="1606" spans="30:33" x14ac:dyDescent="0.25">
      <c r="AD1606" s="2" t="str">
        <f t="shared" si="75"/>
        <v/>
      </c>
      <c r="AE1606" s="2" t="str">
        <f t="shared" si="76"/>
        <v/>
      </c>
      <c r="AF1606" s="2" t="str">
        <f t="shared" si="77"/>
        <v/>
      </c>
      <c r="AG1606" s="2" t="str">
        <f>IF($L1606="","",IF(COUNTIF(LISTS!$A$2:$A$200,$H1606)=0,"NEW",""))</f>
        <v/>
      </c>
    </row>
    <row r="1607" spans="30:33" x14ac:dyDescent="0.25">
      <c r="AD1607" s="2" t="str">
        <f t="shared" si="75"/>
        <v/>
      </c>
      <c r="AE1607" s="2" t="str">
        <f t="shared" si="76"/>
        <v/>
      </c>
      <c r="AF1607" s="2" t="str">
        <f t="shared" si="77"/>
        <v/>
      </c>
      <c r="AG1607" s="2" t="str">
        <f>IF($L1607="","",IF(COUNTIF(LISTS!$A$2:$A$200,$H1607)=0,"NEW",""))</f>
        <v/>
      </c>
    </row>
    <row r="1608" spans="30:33" x14ac:dyDescent="0.25">
      <c r="AD1608" s="2" t="str">
        <f t="shared" si="75"/>
        <v/>
      </c>
      <c r="AE1608" s="2" t="str">
        <f t="shared" si="76"/>
        <v/>
      </c>
      <c r="AF1608" s="2" t="str">
        <f t="shared" si="77"/>
        <v/>
      </c>
      <c r="AG1608" s="2" t="str">
        <f>IF($L1608="","",IF(COUNTIF(LISTS!$A$2:$A$200,$H1608)=0,"NEW",""))</f>
        <v/>
      </c>
    </row>
    <row r="1609" spans="30:33" x14ac:dyDescent="0.25">
      <c r="AD1609" s="2" t="str">
        <f t="shared" si="75"/>
        <v/>
      </c>
      <c r="AE1609" s="2" t="str">
        <f t="shared" si="76"/>
        <v/>
      </c>
      <c r="AF1609" s="2" t="str">
        <f t="shared" si="77"/>
        <v/>
      </c>
      <c r="AG1609" s="2" t="str">
        <f>IF($L1609="","",IF(COUNTIF(LISTS!$A$2:$A$200,$H1609)=0,"NEW",""))</f>
        <v/>
      </c>
    </row>
    <row r="1610" spans="30:33" x14ac:dyDescent="0.25">
      <c r="AD1610" s="2" t="str">
        <f t="shared" si="75"/>
        <v/>
      </c>
      <c r="AE1610" s="2" t="str">
        <f t="shared" si="76"/>
        <v/>
      </c>
      <c r="AF1610" s="2" t="str">
        <f t="shared" si="77"/>
        <v/>
      </c>
      <c r="AG1610" s="2" t="str">
        <f>IF($L1610="","",IF(COUNTIF(LISTS!$A$2:$A$200,$H1610)=0,"NEW",""))</f>
        <v/>
      </c>
    </row>
    <row r="1611" spans="30:33" x14ac:dyDescent="0.25">
      <c r="AD1611" s="2" t="str">
        <f t="shared" si="75"/>
        <v/>
      </c>
      <c r="AE1611" s="2" t="str">
        <f t="shared" si="76"/>
        <v/>
      </c>
      <c r="AF1611" s="2" t="str">
        <f t="shared" si="77"/>
        <v/>
      </c>
      <c r="AG1611" s="2" t="str">
        <f>IF($L1611="","",IF(COUNTIF(LISTS!$A$2:$A$200,$H1611)=0,"NEW",""))</f>
        <v/>
      </c>
    </row>
    <row r="1612" spans="30:33" x14ac:dyDescent="0.25">
      <c r="AD1612" s="2" t="str">
        <f t="shared" si="75"/>
        <v/>
      </c>
      <c r="AE1612" s="2" t="str">
        <f t="shared" si="76"/>
        <v/>
      </c>
      <c r="AF1612" s="2" t="str">
        <f t="shared" si="77"/>
        <v/>
      </c>
      <c r="AG1612" s="2" t="str">
        <f>IF($L1612="","",IF(COUNTIF(LISTS!$A$2:$A$200,$H1612)=0,"NEW",""))</f>
        <v/>
      </c>
    </row>
    <row r="1613" spans="30:33" x14ac:dyDescent="0.25">
      <c r="AD1613" s="2" t="str">
        <f t="shared" si="75"/>
        <v/>
      </c>
      <c r="AE1613" s="2" t="str">
        <f t="shared" si="76"/>
        <v/>
      </c>
      <c r="AF1613" s="2" t="str">
        <f t="shared" si="77"/>
        <v/>
      </c>
      <c r="AG1613" s="2" t="str">
        <f>IF($L1613="","",IF(COUNTIF(LISTS!$A$2:$A$200,$H1613)=0,"NEW",""))</f>
        <v/>
      </c>
    </row>
    <row r="1614" spans="30:33" x14ac:dyDescent="0.25">
      <c r="AD1614" s="2" t="str">
        <f t="shared" si="75"/>
        <v/>
      </c>
      <c r="AE1614" s="2" t="str">
        <f t="shared" si="76"/>
        <v/>
      </c>
      <c r="AF1614" s="2" t="str">
        <f t="shared" si="77"/>
        <v/>
      </c>
      <c r="AG1614" s="2" t="str">
        <f>IF($L1614="","",IF(COUNTIF(LISTS!$A$2:$A$200,$H1614)=0,"NEW",""))</f>
        <v/>
      </c>
    </row>
    <row r="1615" spans="30:33" x14ac:dyDescent="0.25">
      <c r="AD1615" s="2" t="str">
        <f t="shared" si="75"/>
        <v/>
      </c>
      <c r="AE1615" s="2" t="str">
        <f t="shared" si="76"/>
        <v/>
      </c>
      <c r="AF1615" s="2" t="str">
        <f t="shared" si="77"/>
        <v/>
      </c>
      <c r="AG1615" s="2" t="str">
        <f>IF($L1615="","",IF(COUNTIF(LISTS!$A$2:$A$200,$H1615)=0,"NEW",""))</f>
        <v/>
      </c>
    </row>
    <row r="1616" spans="30:33" x14ac:dyDescent="0.25">
      <c r="AD1616" s="2" t="str">
        <f t="shared" si="75"/>
        <v/>
      </c>
      <c r="AE1616" s="2" t="str">
        <f t="shared" si="76"/>
        <v/>
      </c>
      <c r="AF1616" s="2" t="str">
        <f t="shared" si="77"/>
        <v/>
      </c>
      <c r="AG1616" s="2" t="str">
        <f>IF($L1616="","",IF(COUNTIF(LISTS!$A$2:$A$200,$H1616)=0,"NEW",""))</f>
        <v/>
      </c>
    </row>
    <row r="1617" spans="30:33" x14ac:dyDescent="0.25">
      <c r="AD1617" s="2" t="str">
        <f t="shared" si="75"/>
        <v/>
      </c>
      <c r="AE1617" s="2" t="str">
        <f t="shared" si="76"/>
        <v/>
      </c>
      <c r="AF1617" s="2" t="str">
        <f t="shared" si="77"/>
        <v/>
      </c>
      <c r="AG1617" s="2" t="str">
        <f>IF($L1617="","",IF(COUNTIF(LISTS!$A$2:$A$200,$H1617)=0,"NEW",""))</f>
        <v/>
      </c>
    </row>
    <row r="1618" spans="30:33" x14ac:dyDescent="0.25">
      <c r="AD1618" s="2" t="str">
        <f t="shared" si="75"/>
        <v/>
      </c>
      <c r="AE1618" s="2" t="str">
        <f t="shared" si="76"/>
        <v/>
      </c>
      <c r="AF1618" s="2" t="str">
        <f t="shared" si="77"/>
        <v/>
      </c>
      <c r="AG1618" s="2" t="str">
        <f>IF($L1618="","",IF(COUNTIF(LISTS!$A$2:$A$200,$H1618)=0,"NEW",""))</f>
        <v/>
      </c>
    </row>
    <row r="1619" spans="30:33" x14ac:dyDescent="0.25">
      <c r="AD1619" s="2" t="str">
        <f t="shared" si="75"/>
        <v/>
      </c>
      <c r="AE1619" s="2" t="str">
        <f t="shared" si="76"/>
        <v/>
      </c>
      <c r="AF1619" s="2" t="str">
        <f t="shared" si="77"/>
        <v/>
      </c>
      <c r="AG1619" s="2" t="str">
        <f>IF($L1619="","",IF(COUNTIF(LISTS!$A$2:$A$200,$H1619)=0,"NEW",""))</f>
        <v/>
      </c>
    </row>
    <row r="1620" spans="30:33" x14ac:dyDescent="0.25">
      <c r="AD1620" s="2" t="str">
        <f t="shared" si="75"/>
        <v/>
      </c>
      <c r="AE1620" s="2" t="str">
        <f t="shared" si="76"/>
        <v/>
      </c>
      <c r="AF1620" s="2" t="str">
        <f t="shared" si="77"/>
        <v/>
      </c>
      <c r="AG1620" s="2" t="str">
        <f>IF($L1620="","",IF(COUNTIF(LISTS!$A$2:$A$200,$H1620)=0,"NEW",""))</f>
        <v/>
      </c>
    </row>
    <row r="1621" spans="30:33" x14ac:dyDescent="0.25">
      <c r="AD1621" s="2" t="str">
        <f t="shared" si="75"/>
        <v/>
      </c>
      <c r="AE1621" s="2" t="str">
        <f t="shared" si="76"/>
        <v/>
      </c>
      <c r="AF1621" s="2" t="str">
        <f t="shared" si="77"/>
        <v/>
      </c>
      <c r="AG1621" s="2" t="str">
        <f>IF($L1621="","",IF(COUNTIF(LISTS!$A$2:$A$200,$H1621)=0,"NEW",""))</f>
        <v/>
      </c>
    </row>
    <row r="1622" spans="30:33" x14ac:dyDescent="0.25">
      <c r="AD1622" s="2" t="str">
        <f t="shared" si="75"/>
        <v/>
      </c>
      <c r="AE1622" s="2" t="str">
        <f t="shared" si="76"/>
        <v/>
      </c>
      <c r="AF1622" s="2" t="str">
        <f t="shared" si="77"/>
        <v/>
      </c>
      <c r="AG1622" s="2" t="str">
        <f>IF($L1622="","",IF(COUNTIF(LISTS!$A$2:$A$200,$H1622)=0,"NEW",""))</f>
        <v/>
      </c>
    </row>
    <row r="1623" spans="30:33" x14ac:dyDescent="0.25">
      <c r="AD1623" s="2" t="str">
        <f t="shared" si="75"/>
        <v/>
      </c>
      <c r="AE1623" s="2" t="str">
        <f t="shared" si="76"/>
        <v/>
      </c>
      <c r="AF1623" s="2" t="str">
        <f t="shared" si="77"/>
        <v/>
      </c>
      <c r="AG1623" s="2" t="str">
        <f>IF($L1623="","",IF(COUNTIF(LISTS!$A$2:$A$200,$H1623)=0,"NEW",""))</f>
        <v/>
      </c>
    </row>
    <row r="1624" spans="30:33" x14ac:dyDescent="0.25">
      <c r="AD1624" s="2" t="str">
        <f t="shared" si="75"/>
        <v/>
      </c>
      <c r="AE1624" s="2" t="str">
        <f t="shared" si="76"/>
        <v/>
      </c>
      <c r="AF1624" s="2" t="str">
        <f t="shared" si="77"/>
        <v/>
      </c>
      <c r="AG1624" s="2" t="str">
        <f>IF($L1624="","",IF(COUNTIF(LISTS!$A$2:$A$200,$H1624)=0,"NEW",""))</f>
        <v/>
      </c>
    </row>
    <row r="1625" spans="30:33" x14ac:dyDescent="0.25">
      <c r="AD1625" s="2" t="str">
        <f t="shared" si="75"/>
        <v/>
      </c>
      <c r="AE1625" s="2" t="str">
        <f t="shared" si="76"/>
        <v/>
      </c>
      <c r="AF1625" s="2" t="str">
        <f t="shared" si="77"/>
        <v/>
      </c>
      <c r="AG1625" s="2" t="str">
        <f>IF($L1625="","",IF(COUNTIF(LISTS!$A$2:$A$200,$H1625)=0,"NEW",""))</f>
        <v/>
      </c>
    </row>
    <row r="1626" spans="30:33" x14ac:dyDescent="0.25">
      <c r="AD1626" s="2" t="str">
        <f t="shared" si="75"/>
        <v/>
      </c>
      <c r="AE1626" s="2" t="str">
        <f t="shared" si="76"/>
        <v/>
      </c>
      <c r="AF1626" s="2" t="str">
        <f t="shared" si="77"/>
        <v/>
      </c>
      <c r="AG1626" s="2" t="str">
        <f>IF($L1626="","",IF(COUNTIF(LISTS!$A$2:$A$200,$H1626)=0,"NEW",""))</f>
        <v/>
      </c>
    </row>
    <row r="1627" spans="30:33" x14ac:dyDescent="0.25">
      <c r="AD1627" s="2" t="str">
        <f t="shared" si="75"/>
        <v/>
      </c>
      <c r="AE1627" s="2" t="str">
        <f t="shared" si="76"/>
        <v/>
      </c>
      <c r="AF1627" s="2" t="str">
        <f t="shared" si="77"/>
        <v/>
      </c>
      <c r="AG1627" s="2" t="str">
        <f>IF($L1627="","",IF(COUNTIF(LISTS!$A$2:$A$200,$H1627)=0,"NEW",""))</f>
        <v/>
      </c>
    </row>
    <row r="1628" spans="30:33" x14ac:dyDescent="0.25">
      <c r="AD1628" s="2" t="str">
        <f t="shared" si="75"/>
        <v/>
      </c>
      <c r="AE1628" s="2" t="str">
        <f t="shared" si="76"/>
        <v/>
      </c>
      <c r="AF1628" s="2" t="str">
        <f t="shared" si="77"/>
        <v/>
      </c>
      <c r="AG1628" s="2" t="str">
        <f>IF($L1628="","",IF(COUNTIF(LISTS!$A$2:$A$200,$H1628)=0,"NEW",""))</f>
        <v/>
      </c>
    </row>
    <row r="1629" spans="30:33" x14ac:dyDescent="0.25">
      <c r="AD1629" s="2" t="str">
        <f t="shared" si="75"/>
        <v/>
      </c>
      <c r="AE1629" s="2" t="str">
        <f t="shared" si="76"/>
        <v/>
      </c>
      <c r="AF1629" s="2" t="str">
        <f t="shared" si="77"/>
        <v/>
      </c>
      <c r="AG1629" s="2" t="str">
        <f>IF($L1629="","",IF(COUNTIF(LISTS!$A$2:$A$200,$H1629)=0,"NEW",""))</f>
        <v/>
      </c>
    </row>
    <row r="1630" spans="30:33" x14ac:dyDescent="0.25">
      <c r="AD1630" s="2" t="str">
        <f t="shared" si="75"/>
        <v/>
      </c>
      <c r="AE1630" s="2" t="str">
        <f t="shared" si="76"/>
        <v/>
      </c>
      <c r="AF1630" s="2" t="str">
        <f t="shared" si="77"/>
        <v/>
      </c>
      <c r="AG1630" s="2" t="str">
        <f>IF($L1630="","",IF(COUNTIF(LISTS!$A$2:$A$200,$H1630)=0,"NEW",""))</f>
        <v/>
      </c>
    </row>
    <row r="1631" spans="30:33" x14ac:dyDescent="0.25">
      <c r="AD1631" s="2" t="str">
        <f t="shared" si="75"/>
        <v/>
      </c>
      <c r="AE1631" s="2" t="str">
        <f t="shared" si="76"/>
        <v/>
      </c>
      <c r="AF1631" s="2" t="str">
        <f t="shared" si="77"/>
        <v/>
      </c>
      <c r="AG1631" s="2" t="str">
        <f>IF($L1631="","",IF(COUNTIF(LISTS!$A$2:$A$200,$H1631)=0,"NEW",""))</f>
        <v/>
      </c>
    </row>
    <row r="1632" spans="30:33" x14ac:dyDescent="0.25">
      <c r="AD1632" s="2" t="str">
        <f t="shared" si="75"/>
        <v/>
      </c>
      <c r="AE1632" s="2" t="str">
        <f t="shared" si="76"/>
        <v/>
      </c>
      <c r="AF1632" s="2" t="str">
        <f t="shared" si="77"/>
        <v/>
      </c>
      <c r="AG1632" s="2" t="str">
        <f>IF($L1632="","",IF(COUNTIF(LISTS!$A$2:$A$200,$H1632)=0,"NEW",""))</f>
        <v/>
      </c>
    </row>
    <row r="1633" spans="30:33" x14ac:dyDescent="0.25">
      <c r="AD1633" s="2" t="str">
        <f t="shared" si="75"/>
        <v/>
      </c>
      <c r="AE1633" s="2" t="str">
        <f t="shared" si="76"/>
        <v/>
      </c>
      <c r="AF1633" s="2" t="str">
        <f t="shared" si="77"/>
        <v/>
      </c>
      <c r="AG1633" s="2" t="str">
        <f>IF($L1633="","",IF(COUNTIF(LISTS!$A$2:$A$200,$H1633)=0,"NEW",""))</f>
        <v/>
      </c>
    </row>
    <row r="1634" spans="30:33" x14ac:dyDescent="0.25">
      <c r="AD1634" s="2" t="str">
        <f t="shared" si="75"/>
        <v/>
      </c>
      <c r="AE1634" s="2" t="str">
        <f t="shared" si="76"/>
        <v/>
      </c>
      <c r="AF1634" s="2" t="str">
        <f t="shared" si="77"/>
        <v/>
      </c>
      <c r="AG1634" s="2" t="str">
        <f>IF($L1634="","",IF(COUNTIF(LISTS!$A$2:$A$200,$H1634)=0,"NEW",""))</f>
        <v/>
      </c>
    </row>
    <row r="1635" spans="30:33" x14ac:dyDescent="0.25">
      <c r="AD1635" s="2" t="str">
        <f t="shared" si="75"/>
        <v/>
      </c>
      <c r="AE1635" s="2" t="str">
        <f t="shared" si="76"/>
        <v/>
      </c>
      <c r="AF1635" s="2" t="str">
        <f t="shared" si="77"/>
        <v/>
      </c>
      <c r="AG1635" s="2" t="str">
        <f>IF($L1635="","",IF(COUNTIF(LISTS!$A$2:$A$200,$H1635)=0,"NEW",""))</f>
        <v/>
      </c>
    </row>
    <row r="1636" spans="30:33" x14ac:dyDescent="0.25">
      <c r="AD1636" s="2" t="str">
        <f t="shared" si="75"/>
        <v/>
      </c>
      <c r="AE1636" s="2" t="str">
        <f t="shared" si="76"/>
        <v/>
      </c>
      <c r="AF1636" s="2" t="str">
        <f t="shared" si="77"/>
        <v/>
      </c>
      <c r="AG1636" s="2" t="str">
        <f>IF($L1636="","",IF(COUNTIF(LISTS!$A$2:$A$200,$H1636)=0,"NEW",""))</f>
        <v/>
      </c>
    </row>
    <row r="1637" spans="30:33" x14ac:dyDescent="0.25">
      <c r="AD1637" s="2" t="str">
        <f t="shared" si="75"/>
        <v/>
      </c>
      <c r="AE1637" s="2" t="str">
        <f t="shared" si="76"/>
        <v/>
      </c>
      <c r="AF1637" s="2" t="str">
        <f t="shared" si="77"/>
        <v/>
      </c>
      <c r="AG1637" s="2" t="str">
        <f>IF($L1637="","",IF(COUNTIF(LISTS!$A$2:$A$200,$H1637)=0,"NEW",""))</f>
        <v/>
      </c>
    </row>
    <row r="1638" spans="30:33" x14ac:dyDescent="0.25">
      <c r="AD1638" s="2" t="str">
        <f t="shared" si="75"/>
        <v/>
      </c>
      <c r="AE1638" s="2" t="str">
        <f t="shared" si="76"/>
        <v/>
      </c>
      <c r="AF1638" s="2" t="str">
        <f t="shared" si="77"/>
        <v/>
      </c>
      <c r="AG1638" s="2" t="str">
        <f>IF($L1638="","",IF(COUNTIF(LISTS!$A$2:$A$200,$H1638)=0,"NEW",""))</f>
        <v/>
      </c>
    </row>
    <row r="1639" spans="30:33" x14ac:dyDescent="0.25">
      <c r="AD1639" s="2" t="str">
        <f t="shared" si="75"/>
        <v/>
      </c>
      <c r="AE1639" s="2" t="str">
        <f t="shared" si="76"/>
        <v/>
      </c>
      <c r="AF1639" s="2" t="str">
        <f t="shared" si="77"/>
        <v/>
      </c>
      <c r="AG1639" s="2" t="str">
        <f>IF($L1639="","",IF(COUNTIF(LISTS!$A$2:$A$200,$H1639)=0,"NEW",""))</f>
        <v/>
      </c>
    </row>
    <row r="1640" spans="30:33" x14ac:dyDescent="0.25">
      <c r="AD1640" s="2" t="str">
        <f t="shared" si="75"/>
        <v/>
      </c>
      <c r="AE1640" s="2" t="str">
        <f t="shared" si="76"/>
        <v/>
      </c>
      <c r="AF1640" s="2" t="str">
        <f t="shared" si="77"/>
        <v/>
      </c>
      <c r="AG1640" s="2" t="str">
        <f>IF($L1640="","",IF(COUNTIF(LISTS!$A$2:$A$200,$H1640)=0,"NEW",""))</f>
        <v/>
      </c>
    </row>
    <row r="1641" spans="30:33" x14ac:dyDescent="0.25">
      <c r="AD1641" s="2" t="str">
        <f t="shared" si="75"/>
        <v/>
      </c>
      <c r="AE1641" s="2" t="str">
        <f t="shared" si="76"/>
        <v/>
      </c>
      <c r="AF1641" s="2" t="str">
        <f t="shared" si="77"/>
        <v/>
      </c>
      <c r="AG1641" s="2" t="str">
        <f>IF($L1641="","",IF(COUNTIF(LISTS!$A$2:$A$200,$H1641)=0,"NEW",""))</f>
        <v/>
      </c>
    </row>
    <row r="1642" spans="30:33" x14ac:dyDescent="0.25">
      <c r="AD1642" s="2" t="str">
        <f t="shared" si="75"/>
        <v/>
      </c>
      <c r="AE1642" s="2" t="str">
        <f t="shared" si="76"/>
        <v/>
      </c>
      <c r="AF1642" s="2" t="str">
        <f t="shared" si="77"/>
        <v/>
      </c>
      <c r="AG1642" s="2" t="str">
        <f>IF($L1642="","",IF(COUNTIF(LISTS!$A$2:$A$200,$H1642)=0,"NEW",""))</f>
        <v/>
      </c>
    </row>
    <row r="1643" spans="30:33" x14ac:dyDescent="0.25">
      <c r="AD1643" s="2" t="str">
        <f t="shared" si="75"/>
        <v/>
      </c>
      <c r="AE1643" s="2" t="str">
        <f t="shared" si="76"/>
        <v/>
      </c>
      <c r="AF1643" s="2" t="str">
        <f t="shared" si="77"/>
        <v/>
      </c>
      <c r="AG1643" s="2" t="str">
        <f>IF($L1643="","",IF(COUNTIF(LISTS!$A$2:$A$200,$H1643)=0,"NEW",""))</f>
        <v/>
      </c>
    </row>
    <row r="1644" spans="30:33" x14ac:dyDescent="0.25">
      <c r="AD1644" s="2" t="str">
        <f t="shared" si="75"/>
        <v/>
      </c>
      <c r="AE1644" s="2" t="str">
        <f t="shared" si="76"/>
        <v/>
      </c>
      <c r="AF1644" s="2" t="str">
        <f t="shared" si="77"/>
        <v/>
      </c>
      <c r="AG1644" s="2" t="str">
        <f>IF($L1644="","",IF(COUNTIF(LISTS!$A$2:$A$200,$H1644)=0,"NEW",""))</f>
        <v/>
      </c>
    </row>
    <row r="1645" spans="30:33" x14ac:dyDescent="0.25">
      <c r="AD1645" s="2" t="str">
        <f t="shared" si="75"/>
        <v/>
      </c>
      <c r="AE1645" s="2" t="str">
        <f t="shared" si="76"/>
        <v/>
      </c>
      <c r="AF1645" s="2" t="str">
        <f t="shared" si="77"/>
        <v/>
      </c>
      <c r="AG1645" s="2" t="str">
        <f>IF($L1645="","",IF(COUNTIF(LISTS!$A$2:$A$200,$H1645)=0,"NEW",""))</f>
        <v/>
      </c>
    </row>
    <row r="1646" spans="30:33" x14ac:dyDescent="0.25">
      <c r="AD1646" s="2" t="str">
        <f t="shared" si="75"/>
        <v/>
      </c>
      <c r="AE1646" s="2" t="str">
        <f t="shared" si="76"/>
        <v/>
      </c>
      <c r="AF1646" s="2" t="str">
        <f t="shared" si="77"/>
        <v/>
      </c>
      <c r="AG1646" s="2" t="str">
        <f>IF($L1646="","",IF(COUNTIF(LISTS!$A$2:$A$200,$H1646)=0,"NEW",""))</f>
        <v/>
      </c>
    </row>
    <row r="1647" spans="30:33" x14ac:dyDescent="0.25">
      <c r="AD1647" s="2" t="str">
        <f t="shared" si="75"/>
        <v/>
      </c>
      <c r="AE1647" s="2" t="str">
        <f t="shared" si="76"/>
        <v/>
      </c>
      <c r="AF1647" s="2" t="str">
        <f t="shared" si="77"/>
        <v/>
      </c>
      <c r="AG1647" s="2" t="str">
        <f>IF($L1647="","",IF(COUNTIF(LISTS!$A$2:$A$200,$H1647)=0,"NEW",""))</f>
        <v/>
      </c>
    </row>
    <row r="1648" spans="30:33" x14ac:dyDescent="0.25">
      <c r="AD1648" s="2" t="str">
        <f t="shared" si="75"/>
        <v/>
      </c>
      <c r="AE1648" s="2" t="str">
        <f t="shared" si="76"/>
        <v/>
      </c>
      <c r="AF1648" s="2" t="str">
        <f t="shared" si="77"/>
        <v/>
      </c>
      <c r="AG1648" s="2" t="str">
        <f>IF($L1648="","",IF(COUNTIF(LISTS!$A$2:$A$200,$H1648)=0,"NEW",""))</f>
        <v/>
      </c>
    </row>
    <row r="1649" spans="30:33" x14ac:dyDescent="0.25">
      <c r="AD1649" s="2" t="str">
        <f t="shared" si="75"/>
        <v/>
      </c>
      <c r="AE1649" s="2" t="str">
        <f t="shared" si="76"/>
        <v/>
      </c>
      <c r="AF1649" s="2" t="str">
        <f t="shared" si="77"/>
        <v/>
      </c>
      <c r="AG1649" s="2" t="str">
        <f>IF($L1649="","",IF(COUNTIF(LISTS!$A$2:$A$200,$H1649)=0,"NEW",""))</f>
        <v/>
      </c>
    </row>
    <row r="1650" spans="30:33" x14ac:dyDescent="0.25">
      <c r="AD1650" s="2" t="str">
        <f t="shared" si="75"/>
        <v/>
      </c>
      <c r="AE1650" s="2" t="str">
        <f t="shared" si="76"/>
        <v/>
      </c>
      <c r="AF1650" s="2" t="str">
        <f t="shared" si="77"/>
        <v/>
      </c>
      <c r="AG1650" s="2" t="str">
        <f>IF($L1650="","",IF(COUNTIF(LISTS!$A$2:$A$200,$H1650)=0,"NEW",""))</f>
        <v/>
      </c>
    </row>
    <row r="1651" spans="30:33" x14ac:dyDescent="0.25">
      <c r="AD1651" s="2" t="str">
        <f t="shared" si="75"/>
        <v/>
      </c>
      <c r="AE1651" s="2" t="str">
        <f t="shared" si="76"/>
        <v/>
      </c>
      <c r="AF1651" s="2" t="str">
        <f t="shared" si="77"/>
        <v/>
      </c>
      <c r="AG1651" s="2" t="str">
        <f>IF($L1651="","",IF(COUNTIF(LISTS!$A$2:$A$200,$H1651)=0,"NEW",""))</f>
        <v/>
      </c>
    </row>
    <row r="1652" spans="30:33" x14ac:dyDescent="0.25">
      <c r="AD1652" s="2" t="str">
        <f t="shared" si="75"/>
        <v/>
      </c>
      <c r="AE1652" s="2" t="str">
        <f t="shared" si="76"/>
        <v/>
      </c>
      <c r="AF1652" s="2" t="str">
        <f t="shared" si="77"/>
        <v/>
      </c>
      <c r="AG1652" s="2" t="str">
        <f>IF($L1652="","",IF(COUNTIF(LISTS!$A$2:$A$200,$H1652)=0,"NEW",""))</f>
        <v/>
      </c>
    </row>
    <row r="1653" spans="30:33" x14ac:dyDescent="0.25">
      <c r="AD1653" s="2" t="str">
        <f t="shared" si="75"/>
        <v/>
      </c>
      <c r="AE1653" s="2" t="str">
        <f t="shared" si="76"/>
        <v/>
      </c>
      <c r="AF1653" s="2" t="str">
        <f t="shared" si="77"/>
        <v/>
      </c>
      <c r="AG1653" s="2" t="str">
        <f>IF($L1653="","",IF(COUNTIF(LISTS!$A$2:$A$200,$H1653)=0,"NEW",""))</f>
        <v/>
      </c>
    </row>
    <row r="1654" spans="30:33" x14ac:dyDescent="0.25">
      <c r="AD1654" s="2" t="str">
        <f t="shared" si="75"/>
        <v/>
      </c>
      <c r="AE1654" s="2" t="str">
        <f t="shared" si="76"/>
        <v/>
      </c>
      <c r="AF1654" s="2" t="str">
        <f t="shared" si="77"/>
        <v/>
      </c>
      <c r="AG1654" s="2" t="str">
        <f>IF($L1654="","",IF(COUNTIF(LISTS!$A$2:$A$200,$H1654)=0,"NEW",""))</f>
        <v/>
      </c>
    </row>
    <row r="1655" spans="30:33" x14ac:dyDescent="0.25">
      <c r="AD1655" s="2" t="str">
        <f t="shared" si="75"/>
        <v/>
      </c>
      <c r="AE1655" s="2" t="str">
        <f t="shared" si="76"/>
        <v/>
      </c>
      <c r="AF1655" s="2" t="str">
        <f t="shared" si="77"/>
        <v/>
      </c>
      <c r="AG1655" s="2" t="str">
        <f>IF($L1655="","",IF(COUNTIF(LISTS!$A$2:$A$200,$H1655)=0,"NEW",""))</f>
        <v/>
      </c>
    </row>
    <row r="1656" spans="30:33" x14ac:dyDescent="0.25">
      <c r="AD1656" s="2" t="str">
        <f t="shared" si="75"/>
        <v/>
      </c>
      <c r="AE1656" s="2" t="str">
        <f t="shared" si="76"/>
        <v/>
      </c>
      <c r="AF1656" s="2" t="str">
        <f t="shared" si="77"/>
        <v/>
      </c>
      <c r="AG1656" s="2" t="str">
        <f>IF($L1656="","",IF(COUNTIF(LISTS!$A$2:$A$200,$H1656)=0,"NEW",""))</f>
        <v/>
      </c>
    </row>
    <row r="1657" spans="30:33" x14ac:dyDescent="0.25">
      <c r="AD1657" s="2" t="str">
        <f t="shared" si="75"/>
        <v/>
      </c>
      <c r="AE1657" s="2" t="str">
        <f t="shared" si="76"/>
        <v/>
      </c>
      <c r="AF1657" s="2" t="str">
        <f t="shared" si="77"/>
        <v/>
      </c>
      <c r="AG1657" s="2" t="str">
        <f>IF($L1657="","",IF(COUNTIF(LISTS!$A$2:$A$200,$H1657)=0,"NEW",""))</f>
        <v/>
      </c>
    </row>
    <row r="1658" spans="30:33" x14ac:dyDescent="0.25">
      <c r="AD1658" s="2" t="str">
        <f t="shared" si="75"/>
        <v/>
      </c>
      <c r="AE1658" s="2" t="str">
        <f t="shared" si="76"/>
        <v/>
      </c>
      <c r="AF1658" s="2" t="str">
        <f t="shared" si="77"/>
        <v/>
      </c>
      <c r="AG1658" s="2" t="str">
        <f>IF($L1658="","",IF(COUNTIF(LISTS!$A$2:$A$200,$H1658)=0,"NEW",""))</f>
        <v/>
      </c>
    </row>
    <row r="1659" spans="30:33" x14ac:dyDescent="0.25">
      <c r="AD1659" s="2" t="str">
        <f t="shared" si="75"/>
        <v/>
      </c>
      <c r="AE1659" s="2" t="str">
        <f t="shared" si="76"/>
        <v/>
      </c>
      <c r="AF1659" s="2" t="str">
        <f t="shared" si="77"/>
        <v/>
      </c>
      <c r="AG1659" s="2" t="str">
        <f>IF($L1659="","",IF(COUNTIF(LISTS!$A$2:$A$200,$H1659)=0,"NEW",""))</f>
        <v/>
      </c>
    </row>
    <row r="1660" spans="30:33" x14ac:dyDescent="0.25">
      <c r="AD1660" s="2" t="str">
        <f t="shared" si="75"/>
        <v/>
      </c>
      <c r="AE1660" s="2" t="str">
        <f t="shared" si="76"/>
        <v/>
      </c>
      <c r="AF1660" s="2" t="str">
        <f t="shared" si="77"/>
        <v/>
      </c>
      <c r="AG1660" s="2" t="str">
        <f>IF($L1660="","",IF(COUNTIF(LISTS!$A$2:$A$200,$H1660)=0,"NEW",""))</f>
        <v/>
      </c>
    </row>
    <row r="1661" spans="30:33" x14ac:dyDescent="0.25">
      <c r="AD1661" s="2" t="str">
        <f t="shared" si="75"/>
        <v/>
      </c>
      <c r="AE1661" s="2" t="str">
        <f t="shared" si="76"/>
        <v/>
      </c>
      <c r="AF1661" s="2" t="str">
        <f t="shared" si="77"/>
        <v/>
      </c>
      <c r="AG1661" s="2" t="str">
        <f>IF($L1661="","",IF(COUNTIF(LISTS!$A$2:$A$200,$H1661)=0,"NEW",""))</f>
        <v/>
      </c>
    </row>
    <row r="1662" spans="30:33" x14ac:dyDescent="0.25">
      <c r="AD1662" s="2" t="str">
        <f t="shared" si="75"/>
        <v/>
      </c>
      <c r="AE1662" s="2" t="str">
        <f t="shared" si="76"/>
        <v/>
      </c>
      <c r="AF1662" s="2" t="str">
        <f t="shared" si="77"/>
        <v/>
      </c>
      <c r="AG1662" s="2" t="str">
        <f>IF($L1662="","",IF(COUNTIF(LISTS!$A$2:$A$200,$H1662)=0,"NEW",""))</f>
        <v/>
      </c>
    </row>
    <row r="1663" spans="30:33" x14ac:dyDescent="0.25">
      <c r="AD1663" s="2" t="str">
        <f t="shared" si="75"/>
        <v/>
      </c>
      <c r="AE1663" s="2" t="str">
        <f t="shared" si="76"/>
        <v/>
      </c>
      <c r="AF1663" s="2" t="str">
        <f t="shared" si="77"/>
        <v/>
      </c>
      <c r="AG1663" s="2" t="str">
        <f>IF($L1663="","",IF(COUNTIF(LISTS!$A$2:$A$200,$H1663)=0,"NEW",""))</f>
        <v/>
      </c>
    </row>
    <row r="1664" spans="30:33" x14ac:dyDescent="0.25">
      <c r="AD1664" s="2" t="str">
        <f t="shared" si="75"/>
        <v/>
      </c>
      <c r="AE1664" s="2" t="str">
        <f t="shared" si="76"/>
        <v/>
      </c>
      <c r="AF1664" s="2" t="str">
        <f t="shared" si="77"/>
        <v/>
      </c>
      <c r="AG1664" s="2" t="str">
        <f>IF($L1664="","",IF(COUNTIF(LISTS!$A$2:$A$200,$H1664)=0,"NEW",""))</f>
        <v/>
      </c>
    </row>
    <row r="1665" spans="30:33" x14ac:dyDescent="0.25">
      <c r="AD1665" s="2" t="str">
        <f t="shared" si="75"/>
        <v/>
      </c>
      <c r="AE1665" s="2" t="str">
        <f t="shared" si="76"/>
        <v/>
      </c>
      <c r="AF1665" s="2" t="str">
        <f t="shared" si="77"/>
        <v/>
      </c>
      <c r="AG1665" s="2" t="str">
        <f>IF($L1665="","",IF(COUNTIF(LISTS!$A$2:$A$200,$H1665)=0,"NEW",""))</f>
        <v/>
      </c>
    </row>
    <row r="1666" spans="30:33" x14ac:dyDescent="0.25">
      <c r="AD1666" s="2" t="str">
        <f t="shared" ref="AD1666:AD1729" si="78">IF($L1666="","",IF(ISNUMBER(SEARCH("OFF ROAD",$H1666)),"OFF",IF(ISNUMBER(SEARCH("ON ROAD",$H1666)),"ON","")))</f>
        <v/>
      </c>
      <c r="AE1666" s="2" t="str">
        <f t="shared" ref="AE1666:AE1729" si="79">IF($AD1666="ON",""&amp;$L1666,"")</f>
        <v/>
      </c>
      <c r="AF1666" s="2" t="str">
        <f t="shared" ref="AF1666:AF1729" si="80">IF($L1666="","",IF($J1666&lt;&gt;"","Y",""))</f>
        <v/>
      </c>
      <c r="AG1666" s="2" t="str">
        <f>IF($L1666="","",IF(COUNTIF(LISTS!$A$2:$A$200,$H1666)=0,"NEW",""))</f>
        <v/>
      </c>
    </row>
    <row r="1667" spans="30:33" x14ac:dyDescent="0.25">
      <c r="AD1667" s="2" t="str">
        <f t="shared" si="78"/>
        <v/>
      </c>
      <c r="AE1667" s="2" t="str">
        <f t="shared" si="79"/>
        <v/>
      </c>
      <c r="AF1667" s="2" t="str">
        <f t="shared" si="80"/>
        <v/>
      </c>
      <c r="AG1667" s="2" t="str">
        <f>IF($L1667="","",IF(COUNTIF(LISTS!$A$2:$A$200,$H1667)=0,"NEW",""))</f>
        <v/>
      </c>
    </row>
    <row r="1668" spans="30:33" x14ac:dyDescent="0.25">
      <c r="AD1668" s="2" t="str">
        <f t="shared" si="78"/>
        <v/>
      </c>
      <c r="AE1668" s="2" t="str">
        <f t="shared" si="79"/>
        <v/>
      </c>
      <c r="AF1668" s="2" t="str">
        <f t="shared" si="80"/>
        <v/>
      </c>
      <c r="AG1668" s="2" t="str">
        <f>IF($L1668="","",IF(COUNTIF(LISTS!$A$2:$A$200,$H1668)=0,"NEW",""))</f>
        <v/>
      </c>
    </row>
    <row r="1669" spans="30:33" x14ac:dyDescent="0.25">
      <c r="AD1669" s="2" t="str">
        <f t="shared" si="78"/>
        <v/>
      </c>
      <c r="AE1669" s="2" t="str">
        <f t="shared" si="79"/>
        <v/>
      </c>
      <c r="AF1669" s="2" t="str">
        <f t="shared" si="80"/>
        <v/>
      </c>
      <c r="AG1669" s="2" t="str">
        <f>IF($L1669="","",IF(COUNTIF(LISTS!$A$2:$A$200,$H1669)=0,"NEW",""))</f>
        <v/>
      </c>
    </row>
    <row r="1670" spans="30:33" x14ac:dyDescent="0.25">
      <c r="AD1670" s="2" t="str">
        <f t="shared" si="78"/>
        <v/>
      </c>
      <c r="AE1670" s="2" t="str">
        <f t="shared" si="79"/>
        <v/>
      </c>
      <c r="AF1670" s="2" t="str">
        <f t="shared" si="80"/>
        <v/>
      </c>
      <c r="AG1670" s="2" t="str">
        <f>IF($L1670="","",IF(COUNTIF(LISTS!$A$2:$A$200,$H1670)=0,"NEW",""))</f>
        <v/>
      </c>
    </row>
    <row r="1671" spans="30:33" x14ac:dyDescent="0.25">
      <c r="AD1671" s="2" t="str">
        <f t="shared" si="78"/>
        <v/>
      </c>
      <c r="AE1671" s="2" t="str">
        <f t="shared" si="79"/>
        <v/>
      </c>
      <c r="AF1671" s="2" t="str">
        <f t="shared" si="80"/>
        <v/>
      </c>
      <c r="AG1671" s="2" t="str">
        <f>IF($L1671="","",IF(COUNTIF(LISTS!$A$2:$A$200,$H1671)=0,"NEW",""))</f>
        <v/>
      </c>
    </row>
    <row r="1672" spans="30:33" x14ac:dyDescent="0.25">
      <c r="AD1672" s="2" t="str">
        <f t="shared" si="78"/>
        <v/>
      </c>
      <c r="AE1672" s="2" t="str">
        <f t="shared" si="79"/>
        <v/>
      </c>
      <c r="AF1672" s="2" t="str">
        <f t="shared" si="80"/>
        <v/>
      </c>
      <c r="AG1672" s="2" t="str">
        <f>IF($L1672="","",IF(COUNTIF(LISTS!$A$2:$A$200,$H1672)=0,"NEW",""))</f>
        <v/>
      </c>
    </row>
    <row r="1673" spans="30:33" x14ac:dyDescent="0.25">
      <c r="AD1673" s="2" t="str">
        <f t="shared" si="78"/>
        <v/>
      </c>
      <c r="AE1673" s="2" t="str">
        <f t="shared" si="79"/>
        <v/>
      </c>
      <c r="AF1673" s="2" t="str">
        <f t="shared" si="80"/>
        <v/>
      </c>
      <c r="AG1673" s="2" t="str">
        <f>IF($L1673="","",IF(COUNTIF(LISTS!$A$2:$A$200,$H1673)=0,"NEW",""))</f>
        <v/>
      </c>
    </row>
    <row r="1674" spans="30:33" x14ac:dyDescent="0.25">
      <c r="AD1674" s="2" t="str">
        <f t="shared" si="78"/>
        <v/>
      </c>
      <c r="AE1674" s="2" t="str">
        <f t="shared" si="79"/>
        <v/>
      </c>
      <c r="AF1674" s="2" t="str">
        <f t="shared" si="80"/>
        <v/>
      </c>
      <c r="AG1674" s="2" t="str">
        <f>IF($L1674="","",IF(COUNTIF(LISTS!$A$2:$A$200,$H1674)=0,"NEW",""))</f>
        <v/>
      </c>
    </row>
    <row r="1675" spans="30:33" x14ac:dyDescent="0.25">
      <c r="AD1675" s="2" t="str">
        <f t="shared" si="78"/>
        <v/>
      </c>
      <c r="AE1675" s="2" t="str">
        <f t="shared" si="79"/>
        <v/>
      </c>
      <c r="AF1675" s="2" t="str">
        <f t="shared" si="80"/>
        <v/>
      </c>
      <c r="AG1675" s="2" t="str">
        <f>IF($L1675="","",IF(COUNTIF(LISTS!$A$2:$A$200,$H1675)=0,"NEW",""))</f>
        <v/>
      </c>
    </row>
    <row r="1676" spans="30:33" x14ac:dyDescent="0.25">
      <c r="AD1676" s="2" t="str">
        <f t="shared" si="78"/>
        <v/>
      </c>
      <c r="AE1676" s="2" t="str">
        <f t="shared" si="79"/>
        <v/>
      </c>
      <c r="AF1676" s="2" t="str">
        <f t="shared" si="80"/>
        <v/>
      </c>
      <c r="AG1676" s="2" t="str">
        <f>IF($L1676="","",IF(COUNTIF(LISTS!$A$2:$A$200,$H1676)=0,"NEW",""))</f>
        <v/>
      </c>
    </row>
    <row r="1677" spans="30:33" x14ac:dyDescent="0.25">
      <c r="AD1677" s="2" t="str">
        <f t="shared" si="78"/>
        <v/>
      </c>
      <c r="AE1677" s="2" t="str">
        <f t="shared" si="79"/>
        <v/>
      </c>
      <c r="AF1677" s="2" t="str">
        <f t="shared" si="80"/>
        <v/>
      </c>
      <c r="AG1677" s="2" t="str">
        <f>IF($L1677="","",IF(COUNTIF(LISTS!$A$2:$A$200,$H1677)=0,"NEW",""))</f>
        <v/>
      </c>
    </row>
    <row r="1678" spans="30:33" x14ac:dyDescent="0.25">
      <c r="AD1678" s="2" t="str">
        <f t="shared" si="78"/>
        <v/>
      </c>
      <c r="AE1678" s="2" t="str">
        <f t="shared" si="79"/>
        <v/>
      </c>
      <c r="AF1678" s="2" t="str">
        <f t="shared" si="80"/>
        <v/>
      </c>
      <c r="AG1678" s="2" t="str">
        <f>IF($L1678="","",IF(COUNTIF(LISTS!$A$2:$A$200,$H1678)=0,"NEW",""))</f>
        <v/>
      </c>
    </row>
    <row r="1679" spans="30:33" x14ac:dyDescent="0.25">
      <c r="AD1679" s="2" t="str">
        <f t="shared" si="78"/>
        <v/>
      </c>
      <c r="AE1679" s="2" t="str">
        <f t="shared" si="79"/>
        <v/>
      </c>
      <c r="AF1679" s="2" t="str">
        <f t="shared" si="80"/>
        <v/>
      </c>
      <c r="AG1679" s="2" t="str">
        <f>IF($L1679="","",IF(COUNTIF(LISTS!$A$2:$A$200,$H1679)=0,"NEW",""))</f>
        <v/>
      </c>
    </row>
    <row r="1680" spans="30:33" x14ac:dyDescent="0.25">
      <c r="AD1680" s="2" t="str">
        <f t="shared" si="78"/>
        <v/>
      </c>
      <c r="AE1680" s="2" t="str">
        <f t="shared" si="79"/>
        <v/>
      </c>
      <c r="AF1680" s="2" t="str">
        <f t="shared" si="80"/>
        <v/>
      </c>
      <c r="AG1680" s="2" t="str">
        <f>IF($L1680="","",IF(COUNTIF(LISTS!$A$2:$A$200,$H1680)=0,"NEW",""))</f>
        <v/>
      </c>
    </row>
    <row r="1681" spans="30:33" x14ac:dyDescent="0.25">
      <c r="AD1681" s="2" t="str">
        <f t="shared" si="78"/>
        <v/>
      </c>
      <c r="AE1681" s="2" t="str">
        <f t="shared" si="79"/>
        <v/>
      </c>
      <c r="AF1681" s="2" t="str">
        <f t="shared" si="80"/>
        <v/>
      </c>
      <c r="AG1681" s="2" t="str">
        <f>IF($L1681="","",IF(COUNTIF(LISTS!$A$2:$A$200,$H1681)=0,"NEW",""))</f>
        <v/>
      </c>
    </row>
    <row r="1682" spans="30:33" x14ac:dyDescent="0.25">
      <c r="AD1682" s="2" t="str">
        <f t="shared" si="78"/>
        <v/>
      </c>
      <c r="AE1682" s="2" t="str">
        <f t="shared" si="79"/>
        <v/>
      </c>
      <c r="AF1682" s="2" t="str">
        <f t="shared" si="80"/>
        <v/>
      </c>
      <c r="AG1682" s="2" t="str">
        <f>IF($L1682="","",IF(COUNTIF(LISTS!$A$2:$A$200,$H1682)=0,"NEW",""))</f>
        <v/>
      </c>
    </row>
    <row r="1683" spans="30:33" x14ac:dyDescent="0.25">
      <c r="AD1683" s="2" t="str">
        <f t="shared" si="78"/>
        <v/>
      </c>
      <c r="AE1683" s="2" t="str">
        <f t="shared" si="79"/>
        <v/>
      </c>
      <c r="AF1683" s="2" t="str">
        <f t="shared" si="80"/>
        <v/>
      </c>
      <c r="AG1683" s="2" t="str">
        <f>IF($L1683="","",IF(COUNTIF(LISTS!$A$2:$A$200,$H1683)=0,"NEW",""))</f>
        <v/>
      </c>
    </row>
    <row r="1684" spans="30:33" x14ac:dyDescent="0.25">
      <c r="AD1684" s="2" t="str">
        <f t="shared" si="78"/>
        <v/>
      </c>
      <c r="AE1684" s="2" t="str">
        <f t="shared" si="79"/>
        <v/>
      </c>
      <c r="AF1684" s="2" t="str">
        <f t="shared" si="80"/>
        <v/>
      </c>
      <c r="AG1684" s="2" t="str">
        <f>IF($L1684="","",IF(COUNTIF(LISTS!$A$2:$A$200,$H1684)=0,"NEW",""))</f>
        <v/>
      </c>
    </row>
    <row r="1685" spans="30:33" x14ac:dyDescent="0.25">
      <c r="AD1685" s="2" t="str">
        <f t="shared" si="78"/>
        <v/>
      </c>
      <c r="AE1685" s="2" t="str">
        <f t="shared" si="79"/>
        <v/>
      </c>
      <c r="AF1685" s="2" t="str">
        <f t="shared" si="80"/>
        <v/>
      </c>
      <c r="AG1685" s="2" t="str">
        <f>IF($L1685="","",IF(COUNTIF(LISTS!$A$2:$A$200,$H1685)=0,"NEW",""))</f>
        <v/>
      </c>
    </row>
    <row r="1686" spans="30:33" x14ac:dyDescent="0.25">
      <c r="AD1686" s="2" t="str">
        <f t="shared" si="78"/>
        <v/>
      </c>
      <c r="AE1686" s="2" t="str">
        <f t="shared" si="79"/>
        <v/>
      </c>
      <c r="AF1686" s="2" t="str">
        <f t="shared" si="80"/>
        <v/>
      </c>
      <c r="AG1686" s="2" t="str">
        <f>IF($L1686="","",IF(COUNTIF(LISTS!$A$2:$A$200,$H1686)=0,"NEW",""))</f>
        <v/>
      </c>
    </row>
    <row r="1687" spans="30:33" x14ac:dyDescent="0.25">
      <c r="AD1687" s="2" t="str">
        <f t="shared" si="78"/>
        <v/>
      </c>
      <c r="AE1687" s="2" t="str">
        <f t="shared" si="79"/>
        <v/>
      </c>
      <c r="AF1687" s="2" t="str">
        <f t="shared" si="80"/>
        <v/>
      </c>
      <c r="AG1687" s="2" t="str">
        <f>IF($L1687="","",IF(COUNTIF(LISTS!$A$2:$A$200,$H1687)=0,"NEW",""))</f>
        <v/>
      </c>
    </row>
    <row r="1688" spans="30:33" x14ac:dyDescent="0.25">
      <c r="AD1688" s="2" t="str">
        <f t="shared" si="78"/>
        <v/>
      </c>
      <c r="AE1688" s="2" t="str">
        <f t="shared" si="79"/>
        <v/>
      </c>
      <c r="AF1688" s="2" t="str">
        <f t="shared" si="80"/>
        <v/>
      </c>
      <c r="AG1688" s="2" t="str">
        <f>IF($L1688="","",IF(COUNTIF(LISTS!$A$2:$A$200,$H1688)=0,"NEW",""))</f>
        <v/>
      </c>
    </row>
    <row r="1689" spans="30:33" x14ac:dyDescent="0.25">
      <c r="AD1689" s="2" t="str">
        <f t="shared" si="78"/>
        <v/>
      </c>
      <c r="AE1689" s="2" t="str">
        <f t="shared" si="79"/>
        <v/>
      </c>
      <c r="AF1689" s="2" t="str">
        <f t="shared" si="80"/>
        <v/>
      </c>
      <c r="AG1689" s="2" t="str">
        <f>IF($L1689="","",IF(COUNTIF(LISTS!$A$2:$A$200,$H1689)=0,"NEW",""))</f>
        <v/>
      </c>
    </row>
    <row r="1690" spans="30:33" x14ac:dyDescent="0.25">
      <c r="AD1690" s="2" t="str">
        <f t="shared" si="78"/>
        <v/>
      </c>
      <c r="AE1690" s="2" t="str">
        <f t="shared" si="79"/>
        <v/>
      </c>
      <c r="AF1690" s="2" t="str">
        <f t="shared" si="80"/>
        <v/>
      </c>
      <c r="AG1690" s="2" t="str">
        <f>IF($L1690="","",IF(COUNTIF(LISTS!$A$2:$A$200,$H1690)=0,"NEW",""))</f>
        <v/>
      </c>
    </row>
    <row r="1691" spans="30:33" x14ac:dyDescent="0.25">
      <c r="AD1691" s="2" t="str">
        <f t="shared" si="78"/>
        <v/>
      </c>
      <c r="AE1691" s="2" t="str">
        <f t="shared" si="79"/>
        <v/>
      </c>
      <c r="AF1691" s="2" t="str">
        <f t="shared" si="80"/>
        <v/>
      </c>
      <c r="AG1691" s="2" t="str">
        <f>IF($L1691="","",IF(COUNTIF(LISTS!$A$2:$A$200,$H1691)=0,"NEW",""))</f>
        <v/>
      </c>
    </row>
    <row r="1692" spans="30:33" x14ac:dyDescent="0.25">
      <c r="AD1692" s="2" t="str">
        <f t="shared" si="78"/>
        <v/>
      </c>
      <c r="AE1692" s="2" t="str">
        <f t="shared" si="79"/>
        <v/>
      </c>
      <c r="AF1692" s="2" t="str">
        <f t="shared" si="80"/>
        <v/>
      </c>
      <c r="AG1692" s="2" t="str">
        <f>IF($L1692="","",IF(COUNTIF(LISTS!$A$2:$A$200,$H1692)=0,"NEW",""))</f>
        <v/>
      </c>
    </row>
    <row r="1693" spans="30:33" x14ac:dyDescent="0.25">
      <c r="AD1693" s="2" t="str">
        <f t="shared" si="78"/>
        <v/>
      </c>
      <c r="AE1693" s="2" t="str">
        <f t="shared" si="79"/>
        <v/>
      </c>
      <c r="AF1693" s="2" t="str">
        <f t="shared" si="80"/>
        <v/>
      </c>
      <c r="AG1693" s="2" t="str">
        <f>IF($L1693="","",IF(COUNTIF(LISTS!$A$2:$A$200,$H1693)=0,"NEW",""))</f>
        <v/>
      </c>
    </row>
    <row r="1694" spans="30:33" x14ac:dyDescent="0.25">
      <c r="AD1694" s="2" t="str">
        <f t="shared" si="78"/>
        <v/>
      </c>
      <c r="AE1694" s="2" t="str">
        <f t="shared" si="79"/>
        <v/>
      </c>
      <c r="AF1694" s="2" t="str">
        <f t="shared" si="80"/>
        <v/>
      </c>
      <c r="AG1694" s="2" t="str">
        <f>IF($L1694="","",IF(COUNTIF(LISTS!$A$2:$A$200,$H1694)=0,"NEW",""))</f>
        <v/>
      </c>
    </row>
    <row r="1695" spans="30:33" x14ac:dyDescent="0.25">
      <c r="AD1695" s="2" t="str">
        <f t="shared" si="78"/>
        <v/>
      </c>
      <c r="AE1695" s="2" t="str">
        <f t="shared" si="79"/>
        <v/>
      </c>
      <c r="AF1695" s="2" t="str">
        <f t="shared" si="80"/>
        <v/>
      </c>
      <c r="AG1695" s="2" t="str">
        <f>IF($L1695="","",IF(COUNTIF(LISTS!$A$2:$A$200,$H1695)=0,"NEW",""))</f>
        <v/>
      </c>
    </row>
    <row r="1696" spans="30:33" x14ac:dyDescent="0.25">
      <c r="AD1696" s="2" t="str">
        <f t="shared" si="78"/>
        <v/>
      </c>
      <c r="AE1696" s="2" t="str">
        <f t="shared" si="79"/>
        <v/>
      </c>
      <c r="AF1696" s="2" t="str">
        <f t="shared" si="80"/>
        <v/>
      </c>
      <c r="AG1696" s="2" t="str">
        <f>IF($L1696="","",IF(COUNTIF(LISTS!$A$2:$A$200,$H1696)=0,"NEW",""))</f>
        <v/>
      </c>
    </row>
    <row r="1697" spans="30:33" x14ac:dyDescent="0.25">
      <c r="AD1697" s="2" t="str">
        <f t="shared" si="78"/>
        <v/>
      </c>
      <c r="AE1697" s="2" t="str">
        <f t="shared" si="79"/>
        <v/>
      </c>
      <c r="AF1697" s="2" t="str">
        <f t="shared" si="80"/>
        <v/>
      </c>
      <c r="AG1697" s="2" t="str">
        <f>IF($L1697="","",IF(COUNTIF(LISTS!$A$2:$A$200,$H1697)=0,"NEW",""))</f>
        <v/>
      </c>
    </row>
    <row r="1698" spans="30:33" x14ac:dyDescent="0.25">
      <c r="AD1698" s="2" t="str">
        <f t="shared" si="78"/>
        <v/>
      </c>
      <c r="AE1698" s="2" t="str">
        <f t="shared" si="79"/>
        <v/>
      </c>
      <c r="AF1698" s="2" t="str">
        <f t="shared" si="80"/>
        <v/>
      </c>
      <c r="AG1698" s="2" t="str">
        <f>IF($L1698="","",IF(COUNTIF(LISTS!$A$2:$A$200,$H1698)=0,"NEW",""))</f>
        <v/>
      </c>
    </row>
    <row r="1699" spans="30:33" x14ac:dyDescent="0.25">
      <c r="AD1699" s="2" t="str">
        <f t="shared" si="78"/>
        <v/>
      </c>
      <c r="AE1699" s="2" t="str">
        <f t="shared" si="79"/>
        <v/>
      </c>
      <c r="AF1699" s="2" t="str">
        <f t="shared" si="80"/>
        <v/>
      </c>
      <c r="AG1699" s="2" t="str">
        <f>IF($L1699="","",IF(COUNTIF(LISTS!$A$2:$A$200,$H1699)=0,"NEW",""))</f>
        <v/>
      </c>
    </row>
    <row r="1700" spans="30:33" x14ac:dyDescent="0.25">
      <c r="AD1700" s="2" t="str">
        <f t="shared" si="78"/>
        <v/>
      </c>
      <c r="AE1700" s="2" t="str">
        <f t="shared" si="79"/>
        <v/>
      </c>
      <c r="AF1700" s="2" t="str">
        <f t="shared" si="80"/>
        <v/>
      </c>
      <c r="AG1700" s="2" t="str">
        <f>IF($L1700="","",IF(COUNTIF(LISTS!$A$2:$A$200,$H1700)=0,"NEW",""))</f>
        <v/>
      </c>
    </row>
    <row r="1701" spans="30:33" x14ac:dyDescent="0.25">
      <c r="AD1701" s="2" t="str">
        <f t="shared" si="78"/>
        <v/>
      </c>
      <c r="AE1701" s="2" t="str">
        <f t="shared" si="79"/>
        <v/>
      </c>
      <c r="AF1701" s="2" t="str">
        <f t="shared" si="80"/>
        <v/>
      </c>
      <c r="AG1701" s="2" t="str">
        <f>IF($L1701="","",IF(COUNTIF(LISTS!$A$2:$A$200,$H1701)=0,"NEW",""))</f>
        <v/>
      </c>
    </row>
    <row r="1702" spans="30:33" x14ac:dyDescent="0.25">
      <c r="AD1702" s="2" t="str">
        <f t="shared" si="78"/>
        <v/>
      </c>
      <c r="AE1702" s="2" t="str">
        <f t="shared" si="79"/>
        <v/>
      </c>
      <c r="AF1702" s="2" t="str">
        <f t="shared" si="80"/>
        <v/>
      </c>
      <c r="AG1702" s="2" t="str">
        <f>IF($L1702="","",IF(COUNTIF(LISTS!$A$2:$A$200,$H1702)=0,"NEW",""))</f>
        <v/>
      </c>
    </row>
    <row r="1703" spans="30:33" x14ac:dyDescent="0.25">
      <c r="AD1703" s="2" t="str">
        <f t="shared" si="78"/>
        <v/>
      </c>
      <c r="AE1703" s="2" t="str">
        <f t="shared" si="79"/>
        <v/>
      </c>
      <c r="AF1703" s="2" t="str">
        <f t="shared" si="80"/>
        <v/>
      </c>
      <c r="AG1703" s="2" t="str">
        <f>IF($L1703="","",IF(COUNTIF(LISTS!$A$2:$A$200,$H1703)=0,"NEW",""))</f>
        <v/>
      </c>
    </row>
    <row r="1704" spans="30:33" x14ac:dyDescent="0.25">
      <c r="AD1704" s="2" t="str">
        <f t="shared" si="78"/>
        <v/>
      </c>
      <c r="AE1704" s="2" t="str">
        <f t="shared" si="79"/>
        <v/>
      </c>
      <c r="AF1704" s="2" t="str">
        <f t="shared" si="80"/>
        <v/>
      </c>
      <c r="AG1704" s="2" t="str">
        <f>IF($L1704="","",IF(COUNTIF(LISTS!$A$2:$A$200,$H1704)=0,"NEW",""))</f>
        <v/>
      </c>
    </row>
    <row r="1705" spans="30:33" x14ac:dyDescent="0.25">
      <c r="AD1705" s="2" t="str">
        <f t="shared" si="78"/>
        <v/>
      </c>
      <c r="AE1705" s="2" t="str">
        <f t="shared" si="79"/>
        <v/>
      </c>
      <c r="AF1705" s="2" t="str">
        <f t="shared" si="80"/>
        <v/>
      </c>
      <c r="AG1705" s="2" t="str">
        <f>IF($L1705="","",IF(COUNTIF(LISTS!$A$2:$A$200,$H1705)=0,"NEW",""))</f>
        <v/>
      </c>
    </row>
    <row r="1706" spans="30:33" x14ac:dyDescent="0.25">
      <c r="AD1706" s="2" t="str">
        <f t="shared" si="78"/>
        <v/>
      </c>
      <c r="AE1706" s="2" t="str">
        <f t="shared" si="79"/>
        <v/>
      </c>
      <c r="AF1706" s="2" t="str">
        <f t="shared" si="80"/>
        <v/>
      </c>
      <c r="AG1706" s="2" t="str">
        <f>IF($L1706="","",IF(COUNTIF(LISTS!$A$2:$A$200,$H1706)=0,"NEW",""))</f>
        <v/>
      </c>
    </row>
    <row r="1707" spans="30:33" x14ac:dyDescent="0.25">
      <c r="AD1707" s="2" t="str">
        <f t="shared" si="78"/>
        <v/>
      </c>
      <c r="AE1707" s="2" t="str">
        <f t="shared" si="79"/>
        <v/>
      </c>
      <c r="AF1707" s="2" t="str">
        <f t="shared" si="80"/>
        <v/>
      </c>
      <c r="AG1707" s="2" t="str">
        <f>IF($L1707="","",IF(COUNTIF(LISTS!$A$2:$A$200,$H1707)=0,"NEW",""))</f>
        <v/>
      </c>
    </row>
    <row r="1708" spans="30:33" x14ac:dyDescent="0.25">
      <c r="AD1708" s="2" t="str">
        <f t="shared" si="78"/>
        <v/>
      </c>
      <c r="AE1708" s="2" t="str">
        <f t="shared" si="79"/>
        <v/>
      </c>
      <c r="AF1708" s="2" t="str">
        <f t="shared" si="80"/>
        <v/>
      </c>
      <c r="AG1708" s="2" t="str">
        <f>IF($L1708="","",IF(COUNTIF(LISTS!$A$2:$A$200,$H1708)=0,"NEW",""))</f>
        <v/>
      </c>
    </row>
    <row r="1709" spans="30:33" x14ac:dyDescent="0.25">
      <c r="AD1709" s="2" t="str">
        <f t="shared" si="78"/>
        <v/>
      </c>
      <c r="AE1709" s="2" t="str">
        <f t="shared" si="79"/>
        <v/>
      </c>
      <c r="AF1709" s="2" t="str">
        <f t="shared" si="80"/>
        <v/>
      </c>
      <c r="AG1709" s="2" t="str">
        <f>IF($L1709="","",IF(COUNTIF(LISTS!$A$2:$A$200,$H1709)=0,"NEW",""))</f>
        <v/>
      </c>
    </row>
    <row r="1710" spans="30:33" x14ac:dyDescent="0.25">
      <c r="AD1710" s="2" t="str">
        <f t="shared" si="78"/>
        <v/>
      </c>
      <c r="AE1710" s="2" t="str">
        <f t="shared" si="79"/>
        <v/>
      </c>
      <c r="AF1710" s="2" t="str">
        <f t="shared" si="80"/>
        <v/>
      </c>
      <c r="AG1710" s="2" t="str">
        <f>IF($L1710="","",IF(COUNTIF(LISTS!$A$2:$A$200,$H1710)=0,"NEW",""))</f>
        <v/>
      </c>
    </row>
    <row r="1711" spans="30:33" x14ac:dyDescent="0.25">
      <c r="AD1711" s="2" t="str">
        <f t="shared" si="78"/>
        <v/>
      </c>
      <c r="AE1711" s="2" t="str">
        <f t="shared" si="79"/>
        <v/>
      </c>
      <c r="AF1711" s="2" t="str">
        <f t="shared" si="80"/>
        <v/>
      </c>
      <c r="AG1711" s="2" t="str">
        <f>IF($L1711="","",IF(COUNTIF(LISTS!$A$2:$A$200,$H1711)=0,"NEW",""))</f>
        <v/>
      </c>
    </row>
    <row r="1712" spans="30:33" x14ac:dyDescent="0.25">
      <c r="AD1712" s="2" t="str">
        <f t="shared" si="78"/>
        <v/>
      </c>
      <c r="AE1712" s="2" t="str">
        <f t="shared" si="79"/>
        <v/>
      </c>
      <c r="AF1712" s="2" t="str">
        <f t="shared" si="80"/>
        <v/>
      </c>
      <c r="AG1712" s="2" t="str">
        <f>IF($L1712="","",IF(COUNTIF(LISTS!$A$2:$A$200,$H1712)=0,"NEW",""))</f>
        <v/>
      </c>
    </row>
    <row r="1713" spans="30:33" x14ac:dyDescent="0.25">
      <c r="AD1713" s="2" t="str">
        <f t="shared" si="78"/>
        <v/>
      </c>
      <c r="AE1713" s="2" t="str">
        <f t="shared" si="79"/>
        <v/>
      </c>
      <c r="AF1713" s="2" t="str">
        <f t="shared" si="80"/>
        <v/>
      </c>
      <c r="AG1713" s="2" t="str">
        <f>IF($L1713="","",IF(COUNTIF(LISTS!$A$2:$A$200,$H1713)=0,"NEW",""))</f>
        <v/>
      </c>
    </row>
    <row r="1714" spans="30:33" x14ac:dyDescent="0.25">
      <c r="AD1714" s="2" t="str">
        <f t="shared" si="78"/>
        <v/>
      </c>
      <c r="AE1714" s="2" t="str">
        <f t="shared" si="79"/>
        <v/>
      </c>
      <c r="AF1714" s="2" t="str">
        <f t="shared" si="80"/>
        <v/>
      </c>
      <c r="AG1714" s="2" t="str">
        <f>IF($L1714="","",IF(COUNTIF(LISTS!$A$2:$A$200,$H1714)=0,"NEW",""))</f>
        <v/>
      </c>
    </row>
    <row r="1715" spans="30:33" x14ac:dyDescent="0.25">
      <c r="AD1715" s="2" t="str">
        <f t="shared" si="78"/>
        <v/>
      </c>
      <c r="AE1715" s="2" t="str">
        <f t="shared" si="79"/>
        <v/>
      </c>
      <c r="AF1715" s="2" t="str">
        <f t="shared" si="80"/>
        <v/>
      </c>
      <c r="AG1715" s="2" t="str">
        <f>IF($L1715="","",IF(COUNTIF(LISTS!$A$2:$A$200,$H1715)=0,"NEW",""))</f>
        <v/>
      </c>
    </row>
    <row r="1716" spans="30:33" x14ac:dyDescent="0.25">
      <c r="AD1716" s="2" t="str">
        <f t="shared" si="78"/>
        <v/>
      </c>
      <c r="AE1716" s="2" t="str">
        <f t="shared" si="79"/>
        <v/>
      </c>
      <c r="AF1716" s="2" t="str">
        <f t="shared" si="80"/>
        <v/>
      </c>
      <c r="AG1716" s="2" t="str">
        <f>IF($L1716="","",IF(COUNTIF(LISTS!$A$2:$A$200,$H1716)=0,"NEW",""))</f>
        <v/>
      </c>
    </row>
    <row r="1717" spans="30:33" x14ac:dyDescent="0.25">
      <c r="AD1717" s="2" t="str">
        <f t="shared" si="78"/>
        <v/>
      </c>
      <c r="AE1717" s="2" t="str">
        <f t="shared" si="79"/>
        <v/>
      </c>
      <c r="AF1717" s="2" t="str">
        <f t="shared" si="80"/>
        <v/>
      </c>
      <c r="AG1717" s="2" t="str">
        <f>IF($L1717="","",IF(COUNTIF(LISTS!$A$2:$A$200,$H1717)=0,"NEW",""))</f>
        <v/>
      </c>
    </row>
    <row r="1718" spans="30:33" x14ac:dyDescent="0.25">
      <c r="AD1718" s="2" t="str">
        <f t="shared" si="78"/>
        <v/>
      </c>
      <c r="AE1718" s="2" t="str">
        <f t="shared" si="79"/>
        <v/>
      </c>
      <c r="AF1718" s="2" t="str">
        <f t="shared" si="80"/>
        <v/>
      </c>
      <c r="AG1718" s="2" t="str">
        <f>IF($L1718="","",IF(COUNTIF(LISTS!$A$2:$A$200,$H1718)=0,"NEW",""))</f>
        <v/>
      </c>
    </row>
    <row r="1719" spans="30:33" x14ac:dyDescent="0.25">
      <c r="AD1719" s="2" t="str">
        <f t="shared" si="78"/>
        <v/>
      </c>
      <c r="AE1719" s="2" t="str">
        <f t="shared" si="79"/>
        <v/>
      </c>
      <c r="AF1719" s="2" t="str">
        <f t="shared" si="80"/>
        <v/>
      </c>
      <c r="AG1719" s="2" t="str">
        <f>IF($L1719="","",IF(COUNTIF(LISTS!$A$2:$A$200,$H1719)=0,"NEW",""))</f>
        <v/>
      </c>
    </row>
    <row r="1720" spans="30:33" x14ac:dyDescent="0.25">
      <c r="AD1720" s="2" t="str">
        <f t="shared" si="78"/>
        <v/>
      </c>
      <c r="AE1720" s="2" t="str">
        <f t="shared" si="79"/>
        <v/>
      </c>
      <c r="AF1720" s="2" t="str">
        <f t="shared" si="80"/>
        <v/>
      </c>
      <c r="AG1720" s="2" t="str">
        <f>IF($L1720="","",IF(COUNTIF(LISTS!$A$2:$A$200,$H1720)=0,"NEW",""))</f>
        <v/>
      </c>
    </row>
    <row r="1721" spans="30:33" x14ac:dyDescent="0.25">
      <c r="AD1721" s="2" t="str">
        <f t="shared" si="78"/>
        <v/>
      </c>
      <c r="AE1721" s="2" t="str">
        <f t="shared" si="79"/>
        <v/>
      </c>
      <c r="AF1721" s="2" t="str">
        <f t="shared" si="80"/>
        <v/>
      </c>
      <c r="AG1721" s="2" t="str">
        <f>IF($L1721="","",IF(COUNTIF(LISTS!$A$2:$A$200,$H1721)=0,"NEW",""))</f>
        <v/>
      </c>
    </row>
    <row r="1722" spans="30:33" x14ac:dyDescent="0.25">
      <c r="AD1722" s="2" t="str">
        <f t="shared" si="78"/>
        <v/>
      </c>
      <c r="AE1722" s="2" t="str">
        <f t="shared" si="79"/>
        <v/>
      </c>
      <c r="AF1722" s="2" t="str">
        <f t="shared" si="80"/>
        <v/>
      </c>
      <c r="AG1722" s="2" t="str">
        <f>IF($L1722="","",IF(COUNTIF(LISTS!$A$2:$A$200,$H1722)=0,"NEW",""))</f>
        <v/>
      </c>
    </row>
    <row r="1723" spans="30:33" x14ac:dyDescent="0.25">
      <c r="AD1723" s="2" t="str">
        <f t="shared" si="78"/>
        <v/>
      </c>
      <c r="AE1723" s="2" t="str">
        <f t="shared" si="79"/>
        <v/>
      </c>
      <c r="AF1723" s="2" t="str">
        <f t="shared" si="80"/>
        <v/>
      </c>
      <c r="AG1723" s="2" t="str">
        <f>IF($L1723="","",IF(COUNTIF(LISTS!$A$2:$A$200,$H1723)=0,"NEW",""))</f>
        <v/>
      </c>
    </row>
    <row r="1724" spans="30:33" x14ac:dyDescent="0.25">
      <c r="AD1724" s="2" t="str">
        <f t="shared" si="78"/>
        <v/>
      </c>
      <c r="AE1724" s="2" t="str">
        <f t="shared" si="79"/>
        <v/>
      </c>
      <c r="AF1724" s="2" t="str">
        <f t="shared" si="80"/>
        <v/>
      </c>
      <c r="AG1724" s="2" t="str">
        <f>IF($L1724="","",IF(COUNTIF(LISTS!$A$2:$A$200,$H1724)=0,"NEW",""))</f>
        <v/>
      </c>
    </row>
    <row r="1725" spans="30:33" x14ac:dyDescent="0.25">
      <c r="AD1725" s="2" t="str">
        <f t="shared" si="78"/>
        <v/>
      </c>
      <c r="AE1725" s="2" t="str">
        <f t="shared" si="79"/>
        <v/>
      </c>
      <c r="AF1725" s="2" t="str">
        <f t="shared" si="80"/>
        <v/>
      </c>
      <c r="AG1725" s="2" t="str">
        <f>IF($L1725="","",IF(COUNTIF(LISTS!$A$2:$A$200,$H1725)=0,"NEW",""))</f>
        <v/>
      </c>
    </row>
    <row r="1726" spans="30:33" x14ac:dyDescent="0.25">
      <c r="AD1726" s="2" t="str">
        <f t="shared" si="78"/>
        <v/>
      </c>
      <c r="AE1726" s="2" t="str">
        <f t="shared" si="79"/>
        <v/>
      </c>
      <c r="AF1726" s="2" t="str">
        <f t="shared" si="80"/>
        <v/>
      </c>
      <c r="AG1726" s="2" t="str">
        <f>IF($L1726="","",IF(COUNTIF(LISTS!$A$2:$A$200,$H1726)=0,"NEW",""))</f>
        <v/>
      </c>
    </row>
    <row r="1727" spans="30:33" x14ac:dyDescent="0.25">
      <c r="AD1727" s="2" t="str">
        <f t="shared" si="78"/>
        <v/>
      </c>
      <c r="AE1727" s="2" t="str">
        <f t="shared" si="79"/>
        <v/>
      </c>
      <c r="AF1727" s="2" t="str">
        <f t="shared" si="80"/>
        <v/>
      </c>
      <c r="AG1727" s="2" t="str">
        <f>IF($L1727="","",IF(COUNTIF(LISTS!$A$2:$A$200,$H1727)=0,"NEW",""))</f>
        <v/>
      </c>
    </row>
    <row r="1728" spans="30:33" x14ac:dyDescent="0.25">
      <c r="AD1728" s="2" t="str">
        <f t="shared" si="78"/>
        <v/>
      </c>
      <c r="AE1728" s="2" t="str">
        <f t="shared" si="79"/>
        <v/>
      </c>
      <c r="AF1728" s="2" t="str">
        <f t="shared" si="80"/>
        <v/>
      </c>
      <c r="AG1728" s="2" t="str">
        <f>IF($L1728="","",IF(COUNTIF(LISTS!$A$2:$A$200,$H1728)=0,"NEW",""))</f>
        <v/>
      </c>
    </row>
    <row r="1729" spans="30:33" x14ac:dyDescent="0.25">
      <c r="AD1729" s="2" t="str">
        <f t="shared" si="78"/>
        <v/>
      </c>
      <c r="AE1729" s="2" t="str">
        <f t="shared" si="79"/>
        <v/>
      </c>
      <c r="AF1729" s="2" t="str">
        <f t="shared" si="80"/>
        <v/>
      </c>
      <c r="AG1729" s="2" t="str">
        <f>IF($L1729="","",IF(COUNTIF(LISTS!$A$2:$A$200,$H1729)=0,"NEW",""))</f>
        <v/>
      </c>
    </row>
    <row r="1730" spans="30:33" x14ac:dyDescent="0.25">
      <c r="AD1730" s="2" t="str">
        <f t="shared" ref="AD1730:AD1793" si="81">IF($L1730="","",IF(ISNUMBER(SEARCH("OFF ROAD",$H1730)),"OFF",IF(ISNUMBER(SEARCH("ON ROAD",$H1730)),"ON","")))</f>
        <v/>
      </c>
      <c r="AE1730" s="2" t="str">
        <f t="shared" ref="AE1730:AE1793" si="82">IF($AD1730="ON",""&amp;$L1730,"")</f>
        <v/>
      </c>
      <c r="AF1730" s="2" t="str">
        <f t="shared" ref="AF1730:AF1793" si="83">IF($L1730="","",IF($J1730&lt;&gt;"","Y",""))</f>
        <v/>
      </c>
      <c r="AG1730" s="2" t="str">
        <f>IF($L1730="","",IF(COUNTIF(LISTS!$A$2:$A$200,$H1730)=0,"NEW",""))</f>
        <v/>
      </c>
    </row>
    <row r="1731" spans="30:33" x14ac:dyDescent="0.25">
      <c r="AD1731" s="2" t="str">
        <f t="shared" si="81"/>
        <v/>
      </c>
      <c r="AE1731" s="2" t="str">
        <f t="shared" si="82"/>
        <v/>
      </c>
      <c r="AF1731" s="2" t="str">
        <f t="shared" si="83"/>
        <v/>
      </c>
      <c r="AG1731" s="2" t="str">
        <f>IF($L1731="","",IF(COUNTIF(LISTS!$A$2:$A$200,$H1731)=0,"NEW",""))</f>
        <v/>
      </c>
    </row>
    <row r="1732" spans="30:33" x14ac:dyDescent="0.25">
      <c r="AD1732" s="2" t="str">
        <f t="shared" si="81"/>
        <v/>
      </c>
      <c r="AE1732" s="2" t="str">
        <f t="shared" si="82"/>
        <v/>
      </c>
      <c r="AF1732" s="2" t="str">
        <f t="shared" si="83"/>
        <v/>
      </c>
      <c r="AG1732" s="2" t="str">
        <f>IF($L1732="","",IF(COUNTIF(LISTS!$A$2:$A$200,$H1732)=0,"NEW",""))</f>
        <v/>
      </c>
    </row>
    <row r="1733" spans="30:33" x14ac:dyDescent="0.25">
      <c r="AD1733" s="2" t="str">
        <f t="shared" si="81"/>
        <v/>
      </c>
      <c r="AE1733" s="2" t="str">
        <f t="shared" si="82"/>
        <v/>
      </c>
      <c r="AF1733" s="2" t="str">
        <f t="shared" si="83"/>
        <v/>
      </c>
      <c r="AG1733" s="2" t="str">
        <f>IF($L1733="","",IF(COUNTIF(LISTS!$A$2:$A$200,$H1733)=0,"NEW",""))</f>
        <v/>
      </c>
    </row>
    <row r="1734" spans="30:33" x14ac:dyDescent="0.25">
      <c r="AD1734" s="2" t="str">
        <f t="shared" si="81"/>
        <v/>
      </c>
      <c r="AE1734" s="2" t="str">
        <f t="shared" si="82"/>
        <v/>
      </c>
      <c r="AF1734" s="2" t="str">
        <f t="shared" si="83"/>
        <v/>
      </c>
      <c r="AG1734" s="2" t="str">
        <f>IF($L1734="","",IF(COUNTIF(LISTS!$A$2:$A$200,$H1734)=0,"NEW",""))</f>
        <v/>
      </c>
    </row>
    <row r="1735" spans="30:33" x14ac:dyDescent="0.25">
      <c r="AD1735" s="2" t="str">
        <f t="shared" si="81"/>
        <v/>
      </c>
      <c r="AE1735" s="2" t="str">
        <f t="shared" si="82"/>
        <v/>
      </c>
      <c r="AF1735" s="2" t="str">
        <f t="shared" si="83"/>
        <v/>
      </c>
      <c r="AG1735" s="2" t="str">
        <f>IF($L1735="","",IF(COUNTIF(LISTS!$A$2:$A$200,$H1735)=0,"NEW",""))</f>
        <v/>
      </c>
    </row>
    <row r="1736" spans="30:33" x14ac:dyDescent="0.25">
      <c r="AD1736" s="2" t="str">
        <f t="shared" si="81"/>
        <v/>
      </c>
      <c r="AE1736" s="2" t="str">
        <f t="shared" si="82"/>
        <v/>
      </c>
      <c r="AF1736" s="2" t="str">
        <f t="shared" si="83"/>
        <v/>
      </c>
      <c r="AG1736" s="2" t="str">
        <f>IF($L1736="","",IF(COUNTIF(LISTS!$A$2:$A$200,$H1736)=0,"NEW",""))</f>
        <v/>
      </c>
    </row>
    <row r="1737" spans="30:33" x14ac:dyDescent="0.25">
      <c r="AD1737" s="2" t="str">
        <f t="shared" si="81"/>
        <v/>
      </c>
      <c r="AE1737" s="2" t="str">
        <f t="shared" si="82"/>
        <v/>
      </c>
      <c r="AF1737" s="2" t="str">
        <f t="shared" si="83"/>
        <v/>
      </c>
      <c r="AG1737" s="2" t="str">
        <f>IF($L1737="","",IF(COUNTIF(LISTS!$A$2:$A$200,$H1737)=0,"NEW",""))</f>
        <v/>
      </c>
    </row>
    <row r="1738" spans="30:33" x14ac:dyDescent="0.25">
      <c r="AD1738" s="2" t="str">
        <f t="shared" si="81"/>
        <v/>
      </c>
      <c r="AE1738" s="2" t="str">
        <f t="shared" si="82"/>
        <v/>
      </c>
      <c r="AF1738" s="2" t="str">
        <f t="shared" si="83"/>
        <v/>
      </c>
      <c r="AG1738" s="2" t="str">
        <f>IF($L1738="","",IF(COUNTIF(LISTS!$A$2:$A$200,$H1738)=0,"NEW",""))</f>
        <v/>
      </c>
    </row>
    <row r="1739" spans="30:33" x14ac:dyDescent="0.25">
      <c r="AD1739" s="2" t="str">
        <f t="shared" si="81"/>
        <v/>
      </c>
      <c r="AE1739" s="2" t="str">
        <f t="shared" si="82"/>
        <v/>
      </c>
      <c r="AF1739" s="2" t="str">
        <f t="shared" si="83"/>
        <v/>
      </c>
      <c r="AG1739" s="2" t="str">
        <f>IF($L1739="","",IF(COUNTIF(LISTS!$A$2:$A$200,$H1739)=0,"NEW",""))</f>
        <v/>
      </c>
    </row>
    <row r="1740" spans="30:33" x14ac:dyDescent="0.25">
      <c r="AD1740" s="2" t="str">
        <f t="shared" si="81"/>
        <v/>
      </c>
      <c r="AE1740" s="2" t="str">
        <f t="shared" si="82"/>
        <v/>
      </c>
      <c r="AF1740" s="2" t="str">
        <f t="shared" si="83"/>
        <v/>
      </c>
      <c r="AG1740" s="2" t="str">
        <f>IF($L1740="","",IF(COUNTIF(LISTS!$A$2:$A$200,$H1740)=0,"NEW",""))</f>
        <v/>
      </c>
    </row>
    <row r="1741" spans="30:33" x14ac:dyDescent="0.25">
      <c r="AD1741" s="2" t="str">
        <f t="shared" si="81"/>
        <v/>
      </c>
      <c r="AE1741" s="2" t="str">
        <f t="shared" si="82"/>
        <v/>
      </c>
      <c r="AF1741" s="2" t="str">
        <f t="shared" si="83"/>
        <v/>
      </c>
      <c r="AG1741" s="2" t="str">
        <f>IF($L1741="","",IF(COUNTIF(LISTS!$A$2:$A$200,$H1741)=0,"NEW",""))</f>
        <v/>
      </c>
    </row>
    <row r="1742" spans="30:33" x14ac:dyDescent="0.25">
      <c r="AD1742" s="2" t="str">
        <f t="shared" si="81"/>
        <v/>
      </c>
      <c r="AE1742" s="2" t="str">
        <f t="shared" si="82"/>
        <v/>
      </c>
      <c r="AF1742" s="2" t="str">
        <f t="shared" si="83"/>
        <v/>
      </c>
      <c r="AG1742" s="2" t="str">
        <f>IF($L1742="","",IF(COUNTIF(LISTS!$A$2:$A$200,$H1742)=0,"NEW",""))</f>
        <v/>
      </c>
    </row>
    <row r="1743" spans="30:33" x14ac:dyDescent="0.25">
      <c r="AD1743" s="2" t="str">
        <f t="shared" si="81"/>
        <v/>
      </c>
      <c r="AE1743" s="2" t="str">
        <f t="shared" si="82"/>
        <v/>
      </c>
      <c r="AF1743" s="2" t="str">
        <f t="shared" si="83"/>
        <v/>
      </c>
      <c r="AG1743" s="2" t="str">
        <f>IF($L1743="","",IF(COUNTIF(LISTS!$A$2:$A$200,$H1743)=0,"NEW",""))</f>
        <v/>
      </c>
    </row>
    <row r="1744" spans="30:33" x14ac:dyDescent="0.25">
      <c r="AD1744" s="2" t="str">
        <f t="shared" si="81"/>
        <v/>
      </c>
      <c r="AE1744" s="2" t="str">
        <f t="shared" si="82"/>
        <v/>
      </c>
      <c r="AF1744" s="2" t="str">
        <f t="shared" si="83"/>
        <v/>
      </c>
      <c r="AG1744" s="2" t="str">
        <f>IF($L1744="","",IF(COUNTIF(LISTS!$A$2:$A$200,$H1744)=0,"NEW",""))</f>
        <v/>
      </c>
    </row>
    <row r="1745" spans="30:33" x14ac:dyDescent="0.25">
      <c r="AD1745" s="2" t="str">
        <f t="shared" si="81"/>
        <v/>
      </c>
      <c r="AE1745" s="2" t="str">
        <f t="shared" si="82"/>
        <v/>
      </c>
      <c r="AF1745" s="2" t="str">
        <f t="shared" si="83"/>
        <v/>
      </c>
      <c r="AG1745" s="2" t="str">
        <f>IF($L1745="","",IF(COUNTIF(LISTS!$A$2:$A$200,$H1745)=0,"NEW",""))</f>
        <v/>
      </c>
    </row>
    <row r="1746" spans="30:33" x14ac:dyDescent="0.25">
      <c r="AD1746" s="2" t="str">
        <f t="shared" si="81"/>
        <v/>
      </c>
      <c r="AE1746" s="2" t="str">
        <f t="shared" si="82"/>
        <v/>
      </c>
      <c r="AF1746" s="2" t="str">
        <f t="shared" si="83"/>
        <v/>
      </c>
      <c r="AG1746" s="2" t="str">
        <f>IF($L1746="","",IF(COUNTIF(LISTS!$A$2:$A$200,$H1746)=0,"NEW",""))</f>
        <v/>
      </c>
    </row>
    <row r="1747" spans="30:33" x14ac:dyDescent="0.25">
      <c r="AD1747" s="2" t="str">
        <f t="shared" si="81"/>
        <v/>
      </c>
      <c r="AE1747" s="2" t="str">
        <f t="shared" si="82"/>
        <v/>
      </c>
      <c r="AF1747" s="2" t="str">
        <f t="shared" si="83"/>
        <v/>
      </c>
      <c r="AG1747" s="2" t="str">
        <f>IF($L1747="","",IF(COUNTIF(LISTS!$A$2:$A$200,$H1747)=0,"NEW",""))</f>
        <v/>
      </c>
    </row>
    <row r="1748" spans="30:33" x14ac:dyDescent="0.25">
      <c r="AD1748" s="2" t="str">
        <f t="shared" si="81"/>
        <v/>
      </c>
      <c r="AE1748" s="2" t="str">
        <f t="shared" si="82"/>
        <v/>
      </c>
      <c r="AF1748" s="2" t="str">
        <f t="shared" si="83"/>
        <v/>
      </c>
      <c r="AG1748" s="2" t="str">
        <f>IF($L1748="","",IF(COUNTIF(LISTS!$A$2:$A$200,$H1748)=0,"NEW",""))</f>
        <v/>
      </c>
    </row>
    <row r="1749" spans="30:33" x14ac:dyDescent="0.25">
      <c r="AD1749" s="2" t="str">
        <f t="shared" si="81"/>
        <v/>
      </c>
      <c r="AE1749" s="2" t="str">
        <f t="shared" si="82"/>
        <v/>
      </c>
      <c r="AF1749" s="2" t="str">
        <f t="shared" si="83"/>
        <v/>
      </c>
      <c r="AG1749" s="2" t="str">
        <f>IF($L1749="","",IF(COUNTIF(LISTS!$A$2:$A$200,$H1749)=0,"NEW",""))</f>
        <v/>
      </c>
    </row>
    <row r="1750" spans="30:33" x14ac:dyDescent="0.25">
      <c r="AD1750" s="2" t="str">
        <f t="shared" si="81"/>
        <v/>
      </c>
      <c r="AE1750" s="2" t="str">
        <f t="shared" si="82"/>
        <v/>
      </c>
      <c r="AF1750" s="2" t="str">
        <f t="shared" si="83"/>
        <v/>
      </c>
      <c r="AG1750" s="2" t="str">
        <f>IF($L1750="","",IF(COUNTIF(LISTS!$A$2:$A$200,$H1750)=0,"NEW",""))</f>
        <v/>
      </c>
    </row>
    <row r="1751" spans="30:33" x14ac:dyDescent="0.25">
      <c r="AD1751" s="2" t="str">
        <f t="shared" si="81"/>
        <v/>
      </c>
      <c r="AE1751" s="2" t="str">
        <f t="shared" si="82"/>
        <v/>
      </c>
      <c r="AF1751" s="2" t="str">
        <f t="shared" si="83"/>
        <v/>
      </c>
      <c r="AG1751" s="2" t="str">
        <f>IF($L1751="","",IF(COUNTIF(LISTS!$A$2:$A$200,$H1751)=0,"NEW",""))</f>
        <v/>
      </c>
    </row>
    <row r="1752" spans="30:33" x14ac:dyDescent="0.25">
      <c r="AD1752" s="2" t="str">
        <f t="shared" si="81"/>
        <v/>
      </c>
      <c r="AE1752" s="2" t="str">
        <f t="shared" si="82"/>
        <v/>
      </c>
      <c r="AF1752" s="2" t="str">
        <f t="shared" si="83"/>
        <v/>
      </c>
      <c r="AG1752" s="2" t="str">
        <f>IF($L1752="","",IF(COUNTIF(LISTS!$A$2:$A$200,$H1752)=0,"NEW",""))</f>
        <v/>
      </c>
    </row>
    <row r="1753" spans="30:33" x14ac:dyDescent="0.25">
      <c r="AD1753" s="2" t="str">
        <f t="shared" si="81"/>
        <v/>
      </c>
      <c r="AE1753" s="2" t="str">
        <f t="shared" si="82"/>
        <v/>
      </c>
      <c r="AF1753" s="2" t="str">
        <f t="shared" si="83"/>
        <v/>
      </c>
      <c r="AG1753" s="2" t="str">
        <f>IF($L1753="","",IF(COUNTIF(LISTS!$A$2:$A$200,$H1753)=0,"NEW",""))</f>
        <v/>
      </c>
    </row>
    <row r="1754" spans="30:33" x14ac:dyDescent="0.25">
      <c r="AD1754" s="2" t="str">
        <f t="shared" si="81"/>
        <v/>
      </c>
      <c r="AE1754" s="2" t="str">
        <f t="shared" si="82"/>
        <v/>
      </c>
      <c r="AF1754" s="2" t="str">
        <f t="shared" si="83"/>
        <v/>
      </c>
      <c r="AG1754" s="2" t="str">
        <f>IF($L1754="","",IF(COUNTIF(LISTS!$A$2:$A$200,$H1754)=0,"NEW",""))</f>
        <v/>
      </c>
    </row>
    <row r="1755" spans="30:33" x14ac:dyDescent="0.25">
      <c r="AD1755" s="2" t="str">
        <f t="shared" si="81"/>
        <v/>
      </c>
      <c r="AE1755" s="2" t="str">
        <f t="shared" si="82"/>
        <v/>
      </c>
      <c r="AF1755" s="2" t="str">
        <f t="shared" si="83"/>
        <v/>
      </c>
      <c r="AG1755" s="2" t="str">
        <f>IF($L1755="","",IF(COUNTIF(LISTS!$A$2:$A$200,$H1755)=0,"NEW",""))</f>
        <v/>
      </c>
    </row>
    <row r="1756" spans="30:33" x14ac:dyDescent="0.25">
      <c r="AD1756" s="2" t="str">
        <f t="shared" si="81"/>
        <v/>
      </c>
      <c r="AE1756" s="2" t="str">
        <f t="shared" si="82"/>
        <v/>
      </c>
      <c r="AF1756" s="2" t="str">
        <f t="shared" si="83"/>
        <v/>
      </c>
      <c r="AG1756" s="2" t="str">
        <f>IF($L1756="","",IF(COUNTIF(LISTS!$A$2:$A$200,$H1756)=0,"NEW",""))</f>
        <v/>
      </c>
    </row>
    <row r="1757" spans="30:33" x14ac:dyDescent="0.25">
      <c r="AD1757" s="2" t="str">
        <f t="shared" si="81"/>
        <v/>
      </c>
      <c r="AE1757" s="2" t="str">
        <f t="shared" si="82"/>
        <v/>
      </c>
      <c r="AF1757" s="2" t="str">
        <f t="shared" si="83"/>
        <v/>
      </c>
      <c r="AG1757" s="2" t="str">
        <f>IF($L1757="","",IF(COUNTIF(LISTS!$A$2:$A$200,$H1757)=0,"NEW",""))</f>
        <v/>
      </c>
    </row>
    <row r="1758" spans="30:33" x14ac:dyDescent="0.25">
      <c r="AD1758" s="2" t="str">
        <f t="shared" si="81"/>
        <v/>
      </c>
      <c r="AE1758" s="2" t="str">
        <f t="shared" si="82"/>
        <v/>
      </c>
      <c r="AF1758" s="2" t="str">
        <f t="shared" si="83"/>
        <v/>
      </c>
      <c r="AG1758" s="2" t="str">
        <f>IF($L1758="","",IF(COUNTIF(LISTS!$A$2:$A$200,$H1758)=0,"NEW",""))</f>
        <v/>
      </c>
    </row>
    <row r="1759" spans="30:33" x14ac:dyDescent="0.25">
      <c r="AD1759" s="2" t="str">
        <f t="shared" si="81"/>
        <v/>
      </c>
      <c r="AE1759" s="2" t="str">
        <f t="shared" si="82"/>
        <v/>
      </c>
      <c r="AF1759" s="2" t="str">
        <f t="shared" si="83"/>
        <v/>
      </c>
      <c r="AG1759" s="2" t="str">
        <f>IF($L1759="","",IF(COUNTIF(LISTS!$A$2:$A$200,$H1759)=0,"NEW",""))</f>
        <v/>
      </c>
    </row>
    <row r="1760" spans="30:33" x14ac:dyDescent="0.25">
      <c r="AD1760" s="2" t="str">
        <f t="shared" si="81"/>
        <v/>
      </c>
      <c r="AE1760" s="2" t="str">
        <f t="shared" si="82"/>
        <v/>
      </c>
      <c r="AF1760" s="2" t="str">
        <f t="shared" si="83"/>
        <v/>
      </c>
      <c r="AG1760" s="2" t="str">
        <f>IF($L1760="","",IF(COUNTIF(LISTS!$A$2:$A$200,$H1760)=0,"NEW",""))</f>
        <v/>
      </c>
    </row>
    <row r="1761" spans="30:33" x14ac:dyDescent="0.25">
      <c r="AD1761" s="2" t="str">
        <f t="shared" si="81"/>
        <v/>
      </c>
      <c r="AE1761" s="2" t="str">
        <f t="shared" si="82"/>
        <v/>
      </c>
      <c r="AF1761" s="2" t="str">
        <f t="shared" si="83"/>
        <v/>
      </c>
      <c r="AG1761" s="2" t="str">
        <f>IF($L1761="","",IF(COUNTIF(LISTS!$A$2:$A$200,$H1761)=0,"NEW",""))</f>
        <v/>
      </c>
    </row>
    <row r="1762" spans="30:33" x14ac:dyDescent="0.25">
      <c r="AD1762" s="2" t="str">
        <f t="shared" si="81"/>
        <v/>
      </c>
      <c r="AE1762" s="2" t="str">
        <f t="shared" si="82"/>
        <v/>
      </c>
      <c r="AF1762" s="2" t="str">
        <f t="shared" si="83"/>
        <v/>
      </c>
      <c r="AG1762" s="2" t="str">
        <f>IF($L1762="","",IF(COUNTIF(LISTS!$A$2:$A$200,$H1762)=0,"NEW",""))</f>
        <v/>
      </c>
    </row>
    <row r="1763" spans="30:33" x14ac:dyDescent="0.25">
      <c r="AD1763" s="2" t="str">
        <f t="shared" si="81"/>
        <v/>
      </c>
      <c r="AE1763" s="2" t="str">
        <f t="shared" si="82"/>
        <v/>
      </c>
      <c r="AF1763" s="2" t="str">
        <f t="shared" si="83"/>
        <v/>
      </c>
      <c r="AG1763" s="2" t="str">
        <f>IF($L1763="","",IF(COUNTIF(LISTS!$A$2:$A$200,$H1763)=0,"NEW",""))</f>
        <v/>
      </c>
    </row>
    <row r="1764" spans="30:33" x14ac:dyDescent="0.25">
      <c r="AD1764" s="2" t="str">
        <f t="shared" si="81"/>
        <v/>
      </c>
      <c r="AE1764" s="2" t="str">
        <f t="shared" si="82"/>
        <v/>
      </c>
      <c r="AF1764" s="2" t="str">
        <f t="shared" si="83"/>
        <v/>
      </c>
      <c r="AG1764" s="2" t="str">
        <f>IF($L1764="","",IF(COUNTIF(LISTS!$A$2:$A$200,$H1764)=0,"NEW",""))</f>
        <v/>
      </c>
    </row>
    <row r="1765" spans="30:33" x14ac:dyDescent="0.25">
      <c r="AD1765" s="2" t="str">
        <f t="shared" si="81"/>
        <v/>
      </c>
      <c r="AE1765" s="2" t="str">
        <f t="shared" si="82"/>
        <v/>
      </c>
      <c r="AF1765" s="2" t="str">
        <f t="shared" si="83"/>
        <v/>
      </c>
      <c r="AG1765" s="2" t="str">
        <f>IF($L1765="","",IF(COUNTIF(LISTS!$A$2:$A$200,$H1765)=0,"NEW",""))</f>
        <v/>
      </c>
    </row>
    <row r="1766" spans="30:33" x14ac:dyDescent="0.25">
      <c r="AD1766" s="2" t="str">
        <f t="shared" si="81"/>
        <v/>
      </c>
      <c r="AE1766" s="2" t="str">
        <f t="shared" si="82"/>
        <v/>
      </c>
      <c r="AF1766" s="2" t="str">
        <f t="shared" si="83"/>
        <v/>
      </c>
      <c r="AG1766" s="2" t="str">
        <f>IF($L1766="","",IF(COUNTIF(LISTS!$A$2:$A$200,$H1766)=0,"NEW",""))</f>
        <v/>
      </c>
    </row>
    <row r="1767" spans="30:33" x14ac:dyDescent="0.25">
      <c r="AD1767" s="2" t="str">
        <f t="shared" si="81"/>
        <v/>
      </c>
      <c r="AE1767" s="2" t="str">
        <f t="shared" si="82"/>
        <v/>
      </c>
      <c r="AF1767" s="2" t="str">
        <f t="shared" si="83"/>
        <v/>
      </c>
      <c r="AG1767" s="2" t="str">
        <f>IF($L1767="","",IF(COUNTIF(LISTS!$A$2:$A$200,$H1767)=0,"NEW",""))</f>
        <v/>
      </c>
    </row>
    <row r="1768" spans="30:33" x14ac:dyDescent="0.25">
      <c r="AD1768" s="2" t="str">
        <f t="shared" si="81"/>
        <v/>
      </c>
      <c r="AE1768" s="2" t="str">
        <f t="shared" si="82"/>
        <v/>
      </c>
      <c r="AF1768" s="2" t="str">
        <f t="shared" si="83"/>
        <v/>
      </c>
      <c r="AG1768" s="2" t="str">
        <f>IF($L1768="","",IF(COUNTIF(LISTS!$A$2:$A$200,$H1768)=0,"NEW",""))</f>
        <v/>
      </c>
    </row>
    <row r="1769" spans="30:33" x14ac:dyDescent="0.25">
      <c r="AD1769" s="2" t="str">
        <f t="shared" si="81"/>
        <v/>
      </c>
      <c r="AE1769" s="2" t="str">
        <f t="shared" si="82"/>
        <v/>
      </c>
      <c r="AF1769" s="2" t="str">
        <f t="shared" si="83"/>
        <v/>
      </c>
      <c r="AG1769" s="2" t="str">
        <f>IF($L1769="","",IF(COUNTIF(LISTS!$A$2:$A$200,$H1769)=0,"NEW",""))</f>
        <v/>
      </c>
    </row>
    <row r="1770" spans="30:33" x14ac:dyDescent="0.25">
      <c r="AD1770" s="2" t="str">
        <f t="shared" si="81"/>
        <v/>
      </c>
      <c r="AE1770" s="2" t="str">
        <f t="shared" si="82"/>
        <v/>
      </c>
      <c r="AF1770" s="2" t="str">
        <f t="shared" si="83"/>
        <v/>
      </c>
      <c r="AG1770" s="2" t="str">
        <f>IF($L1770="","",IF(COUNTIF(LISTS!$A$2:$A$200,$H1770)=0,"NEW",""))</f>
        <v/>
      </c>
    </row>
    <row r="1771" spans="30:33" x14ac:dyDescent="0.25">
      <c r="AD1771" s="2" t="str">
        <f t="shared" si="81"/>
        <v/>
      </c>
      <c r="AE1771" s="2" t="str">
        <f t="shared" si="82"/>
        <v/>
      </c>
      <c r="AF1771" s="2" t="str">
        <f t="shared" si="83"/>
        <v/>
      </c>
      <c r="AG1771" s="2" t="str">
        <f>IF($L1771="","",IF(COUNTIF(LISTS!$A$2:$A$200,$H1771)=0,"NEW",""))</f>
        <v/>
      </c>
    </row>
    <row r="1772" spans="30:33" x14ac:dyDescent="0.25">
      <c r="AD1772" s="2" t="str">
        <f t="shared" si="81"/>
        <v/>
      </c>
      <c r="AE1772" s="2" t="str">
        <f t="shared" si="82"/>
        <v/>
      </c>
      <c r="AF1772" s="2" t="str">
        <f t="shared" si="83"/>
        <v/>
      </c>
      <c r="AG1772" s="2" t="str">
        <f>IF($L1772="","",IF(COUNTIF(LISTS!$A$2:$A$200,$H1772)=0,"NEW",""))</f>
        <v/>
      </c>
    </row>
    <row r="1773" spans="30:33" x14ac:dyDescent="0.25">
      <c r="AD1773" s="2" t="str">
        <f t="shared" si="81"/>
        <v/>
      </c>
      <c r="AE1773" s="2" t="str">
        <f t="shared" si="82"/>
        <v/>
      </c>
      <c r="AF1773" s="2" t="str">
        <f t="shared" si="83"/>
        <v/>
      </c>
      <c r="AG1773" s="2" t="str">
        <f>IF($L1773="","",IF(COUNTIF(LISTS!$A$2:$A$200,$H1773)=0,"NEW",""))</f>
        <v/>
      </c>
    </row>
    <row r="1774" spans="30:33" x14ac:dyDescent="0.25">
      <c r="AD1774" s="2" t="str">
        <f t="shared" si="81"/>
        <v/>
      </c>
      <c r="AE1774" s="2" t="str">
        <f t="shared" si="82"/>
        <v/>
      </c>
      <c r="AF1774" s="2" t="str">
        <f t="shared" si="83"/>
        <v/>
      </c>
      <c r="AG1774" s="2" t="str">
        <f>IF($L1774="","",IF(COUNTIF(LISTS!$A$2:$A$200,$H1774)=0,"NEW",""))</f>
        <v/>
      </c>
    </row>
    <row r="1775" spans="30:33" x14ac:dyDescent="0.25">
      <c r="AD1775" s="2" t="str">
        <f t="shared" si="81"/>
        <v/>
      </c>
      <c r="AE1775" s="2" t="str">
        <f t="shared" si="82"/>
        <v/>
      </c>
      <c r="AF1775" s="2" t="str">
        <f t="shared" si="83"/>
        <v/>
      </c>
      <c r="AG1775" s="2" t="str">
        <f>IF($L1775="","",IF(COUNTIF(LISTS!$A$2:$A$200,$H1775)=0,"NEW",""))</f>
        <v/>
      </c>
    </row>
    <row r="1776" spans="30:33" x14ac:dyDescent="0.25">
      <c r="AD1776" s="2" t="str">
        <f t="shared" si="81"/>
        <v/>
      </c>
      <c r="AE1776" s="2" t="str">
        <f t="shared" si="82"/>
        <v/>
      </c>
      <c r="AF1776" s="2" t="str">
        <f t="shared" si="83"/>
        <v/>
      </c>
      <c r="AG1776" s="2" t="str">
        <f>IF($L1776="","",IF(COUNTIF(LISTS!$A$2:$A$200,$H1776)=0,"NEW",""))</f>
        <v/>
      </c>
    </row>
    <row r="1777" spans="30:33" x14ac:dyDescent="0.25">
      <c r="AD1777" s="2" t="str">
        <f t="shared" si="81"/>
        <v/>
      </c>
      <c r="AE1777" s="2" t="str">
        <f t="shared" si="82"/>
        <v/>
      </c>
      <c r="AF1777" s="2" t="str">
        <f t="shared" si="83"/>
        <v/>
      </c>
      <c r="AG1777" s="2" t="str">
        <f>IF($L1777="","",IF(COUNTIF(LISTS!$A$2:$A$200,$H1777)=0,"NEW",""))</f>
        <v/>
      </c>
    </row>
    <row r="1778" spans="30:33" x14ac:dyDescent="0.25">
      <c r="AD1778" s="2" t="str">
        <f t="shared" si="81"/>
        <v/>
      </c>
      <c r="AE1778" s="2" t="str">
        <f t="shared" si="82"/>
        <v/>
      </c>
      <c r="AF1778" s="2" t="str">
        <f t="shared" si="83"/>
        <v/>
      </c>
      <c r="AG1778" s="2" t="str">
        <f>IF($L1778="","",IF(COUNTIF(LISTS!$A$2:$A$200,$H1778)=0,"NEW",""))</f>
        <v/>
      </c>
    </row>
    <row r="1779" spans="30:33" x14ac:dyDescent="0.25">
      <c r="AD1779" s="2" t="str">
        <f t="shared" si="81"/>
        <v/>
      </c>
      <c r="AE1779" s="2" t="str">
        <f t="shared" si="82"/>
        <v/>
      </c>
      <c r="AF1779" s="2" t="str">
        <f t="shared" si="83"/>
        <v/>
      </c>
      <c r="AG1779" s="2" t="str">
        <f>IF($L1779="","",IF(COUNTIF(LISTS!$A$2:$A$200,$H1779)=0,"NEW",""))</f>
        <v/>
      </c>
    </row>
    <row r="1780" spans="30:33" x14ac:dyDescent="0.25">
      <c r="AD1780" s="2" t="str">
        <f t="shared" si="81"/>
        <v/>
      </c>
      <c r="AE1780" s="2" t="str">
        <f t="shared" si="82"/>
        <v/>
      </c>
      <c r="AF1780" s="2" t="str">
        <f t="shared" si="83"/>
        <v/>
      </c>
      <c r="AG1780" s="2" t="str">
        <f>IF($L1780="","",IF(COUNTIF(LISTS!$A$2:$A$200,$H1780)=0,"NEW",""))</f>
        <v/>
      </c>
    </row>
    <row r="1781" spans="30:33" x14ac:dyDescent="0.25">
      <c r="AD1781" s="2" t="str">
        <f t="shared" si="81"/>
        <v/>
      </c>
      <c r="AE1781" s="2" t="str">
        <f t="shared" si="82"/>
        <v/>
      </c>
      <c r="AF1781" s="2" t="str">
        <f t="shared" si="83"/>
        <v/>
      </c>
      <c r="AG1781" s="2" t="str">
        <f>IF($L1781="","",IF(COUNTIF(LISTS!$A$2:$A$200,$H1781)=0,"NEW",""))</f>
        <v/>
      </c>
    </row>
    <row r="1782" spans="30:33" x14ac:dyDescent="0.25">
      <c r="AD1782" s="2" t="str">
        <f t="shared" si="81"/>
        <v/>
      </c>
      <c r="AE1782" s="2" t="str">
        <f t="shared" si="82"/>
        <v/>
      </c>
      <c r="AF1782" s="2" t="str">
        <f t="shared" si="83"/>
        <v/>
      </c>
      <c r="AG1782" s="2" t="str">
        <f>IF($L1782="","",IF(COUNTIF(LISTS!$A$2:$A$200,$H1782)=0,"NEW",""))</f>
        <v/>
      </c>
    </row>
    <row r="1783" spans="30:33" x14ac:dyDescent="0.25">
      <c r="AD1783" s="2" t="str">
        <f t="shared" si="81"/>
        <v/>
      </c>
      <c r="AE1783" s="2" t="str">
        <f t="shared" si="82"/>
        <v/>
      </c>
      <c r="AF1783" s="2" t="str">
        <f t="shared" si="83"/>
        <v/>
      </c>
      <c r="AG1783" s="2" t="str">
        <f>IF($L1783="","",IF(COUNTIF(LISTS!$A$2:$A$200,$H1783)=0,"NEW",""))</f>
        <v/>
      </c>
    </row>
    <row r="1784" spans="30:33" x14ac:dyDescent="0.25">
      <c r="AD1784" s="2" t="str">
        <f t="shared" si="81"/>
        <v/>
      </c>
      <c r="AE1784" s="2" t="str">
        <f t="shared" si="82"/>
        <v/>
      </c>
      <c r="AF1784" s="2" t="str">
        <f t="shared" si="83"/>
        <v/>
      </c>
      <c r="AG1784" s="2" t="str">
        <f>IF($L1784="","",IF(COUNTIF(LISTS!$A$2:$A$200,$H1784)=0,"NEW",""))</f>
        <v/>
      </c>
    </row>
    <row r="1785" spans="30:33" x14ac:dyDescent="0.25">
      <c r="AD1785" s="2" t="str">
        <f t="shared" si="81"/>
        <v/>
      </c>
      <c r="AE1785" s="2" t="str">
        <f t="shared" si="82"/>
        <v/>
      </c>
      <c r="AF1785" s="2" t="str">
        <f t="shared" si="83"/>
        <v/>
      </c>
      <c r="AG1785" s="2" t="str">
        <f>IF($L1785="","",IF(COUNTIF(LISTS!$A$2:$A$200,$H1785)=0,"NEW",""))</f>
        <v/>
      </c>
    </row>
    <row r="1786" spans="30:33" x14ac:dyDescent="0.25">
      <c r="AD1786" s="2" t="str">
        <f t="shared" si="81"/>
        <v/>
      </c>
      <c r="AE1786" s="2" t="str">
        <f t="shared" si="82"/>
        <v/>
      </c>
      <c r="AF1786" s="2" t="str">
        <f t="shared" si="83"/>
        <v/>
      </c>
      <c r="AG1786" s="2" t="str">
        <f>IF($L1786="","",IF(COUNTIF(LISTS!$A$2:$A$200,$H1786)=0,"NEW",""))</f>
        <v/>
      </c>
    </row>
    <row r="1787" spans="30:33" x14ac:dyDescent="0.25">
      <c r="AD1787" s="2" t="str">
        <f t="shared" si="81"/>
        <v/>
      </c>
      <c r="AE1787" s="2" t="str">
        <f t="shared" si="82"/>
        <v/>
      </c>
      <c r="AF1787" s="2" t="str">
        <f t="shared" si="83"/>
        <v/>
      </c>
      <c r="AG1787" s="2" t="str">
        <f>IF($L1787="","",IF(COUNTIF(LISTS!$A$2:$A$200,$H1787)=0,"NEW",""))</f>
        <v/>
      </c>
    </row>
    <row r="1788" spans="30:33" x14ac:dyDescent="0.25">
      <c r="AD1788" s="2" t="str">
        <f t="shared" si="81"/>
        <v/>
      </c>
      <c r="AE1788" s="2" t="str">
        <f t="shared" si="82"/>
        <v/>
      </c>
      <c r="AF1788" s="2" t="str">
        <f t="shared" si="83"/>
        <v/>
      </c>
      <c r="AG1788" s="2" t="str">
        <f>IF($L1788="","",IF(COUNTIF(LISTS!$A$2:$A$200,$H1788)=0,"NEW",""))</f>
        <v/>
      </c>
    </row>
    <row r="1789" spans="30:33" x14ac:dyDescent="0.25">
      <c r="AD1789" s="2" t="str">
        <f t="shared" si="81"/>
        <v/>
      </c>
      <c r="AE1789" s="2" t="str">
        <f t="shared" si="82"/>
        <v/>
      </c>
      <c r="AF1789" s="2" t="str">
        <f t="shared" si="83"/>
        <v/>
      </c>
      <c r="AG1789" s="2" t="str">
        <f>IF($L1789="","",IF(COUNTIF(LISTS!$A$2:$A$200,$H1789)=0,"NEW",""))</f>
        <v/>
      </c>
    </row>
    <row r="1790" spans="30:33" x14ac:dyDescent="0.25">
      <c r="AD1790" s="2" t="str">
        <f t="shared" si="81"/>
        <v/>
      </c>
      <c r="AE1790" s="2" t="str">
        <f t="shared" si="82"/>
        <v/>
      </c>
      <c r="AF1790" s="2" t="str">
        <f t="shared" si="83"/>
        <v/>
      </c>
      <c r="AG1790" s="2" t="str">
        <f>IF($L1790="","",IF(COUNTIF(LISTS!$A$2:$A$200,$H1790)=0,"NEW",""))</f>
        <v/>
      </c>
    </row>
    <row r="1791" spans="30:33" x14ac:dyDescent="0.25">
      <c r="AD1791" s="2" t="str">
        <f t="shared" si="81"/>
        <v/>
      </c>
      <c r="AE1791" s="2" t="str">
        <f t="shared" si="82"/>
        <v/>
      </c>
      <c r="AF1791" s="2" t="str">
        <f t="shared" si="83"/>
        <v/>
      </c>
      <c r="AG1791" s="2" t="str">
        <f>IF($L1791="","",IF(COUNTIF(LISTS!$A$2:$A$200,$H1791)=0,"NEW",""))</f>
        <v/>
      </c>
    </row>
    <row r="1792" spans="30:33" x14ac:dyDescent="0.25">
      <c r="AD1792" s="2" t="str">
        <f t="shared" si="81"/>
        <v/>
      </c>
      <c r="AE1792" s="2" t="str">
        <f t="shared" si="82"/>
        <v/>
      </c>
      <c r="AF1792" s="2" t="str">
        <f t="shared" si="83"/>
        <v/>
      </c>
      <c r="AG1792" s="2" t="str">
        <f>IF($L1792="","",IF(COUNTIF(LISTS!$A$2:$A$200,$H1792)=0,"NEW",""))</f>
        <v/>
      </c>
    </row>
    <row r="1793" spans="30:33" x14ac:dyDescent="0.25">
      <c r="AD1793" s="2" t="str">
        <f t="shared" si="81"/>
        <v/>
      </c>
      <c r="AE1793" s="2" t="str">
        <f t="shared" si="82"/>
        <v/>
      </c>
      <c r="AF1793" s="2" t="str">
        <f t="shared" si="83"/>
        <v/>
      </c>
      <c r="AG1793" s="2" t="str">
        <f>IF($L1793="","",IF(COUNTIF(LISTS!$A$2:$A$200,$H1793)=0,"NEW",""))</f>
        <v/>
      </c>
    </row>
    <row r="1794" spans="30:33" x14ac:dyDescent="0.25">
      <c r="AD1794" s="2" t="str">
        <f t="shared" ref="AD1794:AD1857" si="84">IF($L1794="","",IF(ISNUMBER(SEARCH("OFF ROAD",$H1794)),"OFF",IF(ISNUMBER(SEARCH("ON ROAD",$H1794)),"ON","")))</f>
        <v/>
      </c>
      <c r="AE1794" s="2" t="str">
        <f t="shared" ref="AE1794:AE1857" si="85">IF($AD1794="ON",""&amp;$L1794,"")</f>
        <v/>
      </c>
      <c r="AF1794" s="2" t="str">
        <f t="shared" ref="AF1794:AF1857" si="86">IF($L1794="","",IF($J1794&lt;&gt;"","Y",""))</f>
        <v/>
      </c>
      <c r="AG1794" s="2" t="str">
        <f>IF($L1794="","",IF(COUNTIF(LISTS!$A$2:$A$200,$H1794)=0,"NEW",""))</f>
        <v/>
      </c>
    </row>
    <row r="1795" spans="30:33" x14ac:dyDescent="0.25">
      <c r="AD1795" s="2" t="str">
        <f t="shared" si="84"/>
        <v/>
      </c>
      <c r="AE1795" s="2" t="str">
        <f t="shared" si="85"/>
        <v/>
      </c>
      <c r="AF1795" s="2" t="str">
        <f t="shared" si="86"/>
        <v/>
      </c>
      <c r="AG1795" s="2" t="str">
        <f>IF($L1795="","",IF(COUNTIF(LISTS!$A$2:$A$200,$H1795)=0,"NEW",""))</f>
        <v/>
      </c>
    </row>
    <row r="1796" spans="30:33" x14ac:dyDescent="0.25">
      <c r="AD1796" s="2" t="str">
        <f t="shared" si="84"/>
        <v/>
      </c>
      <c r="AE1796" s="2" t="str">
        <f t="shared" si="85"/>
        <v/>
      </c>
      <c r="AF1796" s="2" t="str">
        <f t="shared" si="86"/>
        <v/>
      </c>
      <c r="AG1796" s="2" t="str">
        <f>IF($L1796="","",IF(COUNTIF(LISTS!$A$2:$A$200,$H1796)=0,"NEW",""))</f>
        <v/>
      </c>
    </row>
    <row r="1797" spans="30:33" x14ac:dyDescent="0.25">
      <c r="AD1797" s="2" t="str">
        <f t="shared" si="84"/>
        <v/>
      </c>
      <c r="AE1797" s="2" t="str">
        <f t="shared" si="85"/>
        <v/>
      </c>
      <c r="AF1797" s="2" t="str">
        <f t="shared" si="86"/>
        <v/>
      </c>
      <c r="AG1797" s="2" t="str">
        <f>IF($L1797="","",IF(COUNTIF(LISTS!$A$2:$A$200,$H1797)=0,"NEW",""))</f>
        <v/>
      </c>
    </row>
    <row r="1798" spans="30:33" x14ac:dyDescent="0.25">
      <c r="AD1798" s="2" t="str">
        <f t="shared" si="84"/>
        <v/>
      </c>
      <c r="AE1798" s="2" t="str">
        <f t="shared" si="85"/>
        <v/>
      </c>
      <c r="AF1798" s="2" t="str">
        <f t="shared" si="86"/>
        <v/>
      </c>
      <c r="AG1798" s="2" t="str">
        <f>IF($L1798="","",IF(COUNTIF(LISTS!$A$2:$A$200,$H1798)=0,"NEW",""))</f>
        <v/>
      </c>
    </row>
    <row r="1799" spans="30:33" x14ac:dyDescent="0.25">
      <c r="AD1799" s="2" t="str">
        <f t="shared" si="84"/>
        <v/>
      </c>
      <c r="AE1799" s="2" t="str">
        <f t="shared" si="85"/>
        <v/>
      </c>
      <c r="AF1799" s="2" t="str">
        <f t="shared" si="86"/>
        <v/>
      </c>
      <c r="AG1799" s="2" t="str">
        <f>IF($L1799="","",IF(COUNTIF(LISTS!$A$2:$A$200,$H1799)=0,"NEW",""))</f>
        <v/>
      </c>
    </row>
    <row r="1800" spans="30:33" x14ac:dyDescent="0.25">
      <c r="AD1800" s="2" t="str">
        <f t="shared" si="84"/>
        <v/>
      </c>
      <c r="AE1800" s="2" t="str">
        <f t="shared" si="85"/>
        <v/>
      </c>
      <c r="AF1800" s="2" t="str">
        <f t="shared" si="86"/>
        <v/>
      </c>
      <c r="AG1800" s="2" t="str">
        <f>IF($L1800="","",IF(COUNTIF(LISTS!$A$2:$A$200,$H1800)=0,"NEW",""))</f>
        <v/>
      </c>
    </row>
    <row r="1801" spans="30:33" x14ac:dyDescent="0.25">
      <c r="AD1801" s="2" t="str">
        <f t="shared" si="84"/>
        <v/>
      </c>
      <c r="AE1801" s="2" t="str">
        <f t="shared" si="85"/>
        <v/>
      </c>
      <c r="AF1801" s="2" t="str">
        <f t="shared" si="86"/>
        <v/>
      </c>
      <c r="AG1801" s="2" t="str">
        <f>IF($L1801="","",IF(COUNTIF(LISTS!$A$2:$A$200,$H1801)=0,"NEW",""))</f>
        <v/>
      </c>
    </row>
    <row r="1802" spans="30:33" x14ac:dyDescent="0.25">
      <c r="AD1802" s="2" t="str">
        <f t="shared" si="84"/>
        <v/>
      </c>
      <c r="AE1802" s="2" t="str">
        <f t="shared" si="85"/>
        <v/>
      </c>
      <c r="AF1802" s="2" t="str">
        <f t="shared" si="86"/>
        <v/>
      </c>
      <c r="AG1802" s="2" t="str">
        <f>IF($L1802="","",IF(COUNTIF(LISTS!$A$2:$A$200,$H1802)=0,"NEW",""))</f>
        <v/>
      </c>
    </row>
    <row r="1803" spans="30:33" x14ac:dyDescent="0.25">
      <c r="AD1803" s="2" t="str">
        <f t="shared" si="84"/>
        <v/>
      </c>
      <c r="AE1803" s="2" t="str">
        <f t="shared" si="85"/>
        <v/>
      </c>
      <c r="AF1803" s="2" t="str">
        <f t="shared" si="86"/>
        <v/>
      </c>
      <c r="AG1803" s="2" t="str">
        <f>IF($L1803="","",IF(COUNTIF(LISTS!$A$2:$A$200,$H1803)=0,"NEW",""))</f>
        <v/>
      </c>
    </row>
    <row r="1804" spans="30:33" x14ac:dyDescent="0.25">
      <c r="AD1804" s="2" t="str">
        <f t="shared" si="84"/>
        <v/>
      </c>
      <c r="AE1804" s="2" t="str">
        <f t="shared" si="85"/>
        <v/>
      </c>
      <c r="AF1804" s="2" t="str">
        <f t="shared" si="86"/>
        <v/>
      </c>
      <c r="AG1804" s="2" t="str">
        <f>IF($L1804="","",IF(COUNTIF(LISTS!$A$2:$A$200,$H1804)=0,"NEW",""))</f>
        <v/>
      </c>
    </row>
    <row r="1805" spans="30:33" x14ac:dyDescent="0.25">
      <c r="AD1805" s="2" t="str">
        <f t="shared" si="84"/>
        <v/>
      </c>
      <c r="AE1805" s="2" t="str">
        <f t="shared" si="85"/>
        <v/>
      </c>
      <c r="AF1805" s="2" t="str">
        <f t="shared" si="86"/>
        <v/>
      </c>
      <c r="AG1805" s="2" t="str">
        <f>IF($L1805="","",IF(COUNTIF(LISTS!$A$2:$A$200,$H1805)=0,"NEW",""))</f>
        <v/>
      </c>
    </row>
    <row r="1806" spans="30:33" x14ac:dyDescent="0.25">
      <c r="AD1806" s="2" t="str">
        <f t="shared" si="84"/>
        <v/>
      </c>
      <c r="AE1806" s="2" t="str">
        <f t="shared" si="85"/>
        <v/>
      </c>
      <c r="AF1806" s="2" t="str">
        <f t="shared" si="86"/>
        <v/>
      </c>
      <c r="AG1806" s="2" t="str">
        <f>IF($L1806="","",IF(COUNTIF(LISTS!$A$2:$A$200,$H1806)=0,"NEW",""))</f>
        <v/>
      </c>
    </row>
    <row r="1807" spans="30:33" x14ac:dyDescent="0.25">
      <c r="AD1807" s="2" t="str">
        <f t="shared" si="84"/>
        <v/>
      </c>
      <c r="AE1807" s="2" t="str">
        <f t="shared" si="85"/>
        <v/>
      </c>
      <c r="AF1807" s="2" t="str">
        <f t="shared" si="86"/>
        <v/>
      </c>
      <c r="AG1807" s="2" t="str">
        <f>IF($L1807="","",IF(COUNTIF(LISTS!$A$2:$A$200,$H1807)=0,"NEW",""))</f>
        <v/>
      </c>
    </row>
    <row r="1808" spans="30:33" x14ac:dyDescent="0.25">
      <c r="AD1808" s="2" t="str">
        <f t="shared" si="84"/>
        <v/>
      </c>
      <c r="AE1808" s="2" t="str">
        <f t="shared" si="85"/>
        <v/>
      </c>
      <c r="AF1808" s="2" t="str">
        <f t="shared" si="86"/>
        <v/>
      </c>
      <c r="AG1808" s="2" t="str">
        <f>IF($L1808="","",IF(COUNTIF(LISTS!$A$2:$A$200,$H1808)=0,"NEW",""))</f>
        <v/>
      </c>
    </row>
    <row r="1809" spans="30:33" x14ac:dyDescent="0.25">
      <c r="AD1809" s="2" t="str">
        <f t="shared" si="84"/>
        <v/>
      </c>
      <c r="AE1809" s="2" t="str">
        <f t="shared" si="85"/>
        <v/>
      </c>
      <c r="AF1809" s="2" t="str">
        <f t="shared" si="86"/>
        <v/>
      </c>
      <c r="AG1809" s="2" t="str">
        <f>IF($L1809="","",IF(COUNTIF(LISTS!$A$2:$A$200,$H1809)=0,"NEW",""))</f>
        <v/>
      </c>
    </row>
    <row r="1810" spans="30:33" x14ac:dyDescent="0.25">
      <c r="AD1810" s="2" t="str">
        <f t="shared" si="84"/>
        <v/>
      </c>
      <c r="AE1810" s="2" t="str">
        <f t="shared" si="85"/>
        <v/>
      </c>
      <c r="AF1810" s="2" t="str">
        <f t="shared" si="86"/>
        <v/>
      </c>
      <c r="AG1810" s="2" t="str">
        <f>IF($L1810="","",IF(COUNTIF(LISTS!$A$2:$A$200,$H1810)=0,"NEW",""))</f>
        <v/>
      </c>
    </row>
    <row r="1811" spans="30:33" x14ac:dyDescent="0.25">
      <c r="AD1811" s="2" t="str">
        <f t="shared" si="84"/>
        <v/>
      </c>
      <c r="AE1811" s="2" t="str">
        <f t="shared" si="85"/>
        <v/>
      </c>
      <c r="AF1811" s="2" t="str">
        <f t="shared" si="86"/>
        <v/>
      </c>
      <c r="AG1811" s="2" t="str">
        <f>IF($L1811="","",IF(COUNTIF(LISTS!$A$2:$A$200,$H1811)=0,"NEW",""))</f>
        <v/>
      </c>
    </row>
    <row r="1812" spans="30:33" x14ac:dyDescent="0.25">
      <c r="AD1812" s="2" t="str">
        <f t="shared" si="84"/>
        <v/>
      </c>
      <c r="AE1812" s="2" t="str">
        <f t="shared" si="85"/>
        <v/>
      </c>
      <c r="AF1812" s="2" t="str">
        <f t="shared" si="86"/>
        <v/>
      </c>
      <c r="AG1812" s="2" t="str">
        <f>IF($L1812="","",IF(COUNTIF(LISTS!$A$2:$A$200,$H1812)=0,"NEW",""))</f>
        <v/>
      </c>
    </row>
    <row r="1813" spans="30:33" x14ac:dyDescent="0.25">
      <c r="AD1813" s="2" t="str">
        <f t="shared" si="84"/>
        <v/>
      </c>
      <c r="AE1813" s="2" t="str">
        <f t="shared" si="85"/>
        <v/>
      </c>
      <c r="AF1813" s="2" t="str">
        <f t="shared" si="86"/>
        <v/>
      </c>
      <c r="AG1813" s="2" t="str">
        <f>IF($L1813="","",IF(COUNTIF(LISTS!$A$2:$A$200,$H1813)=0,"NEW",""))</f>
        <v/>
      </c>
    </row>
    <row r="1814" spans="30:33" x14ac:dyDescent="0.25">
      <c r="AD1814" s="2" t="str">
        <f t="shared" si="84"/>
        <v/>
      </c>
      <c r="AE1814" s="2" t="str">
        <f t="shared" si="85"/>
        <v/>
      </c>
      <c r="AF1814" s="2" t="str">
        <f t="shared" si="86"/>
        <v/>
      </c>
      <c r="AG1814" s="2" t="str">
        <f>IF($L1814="","",IF(COUNTIF(LISTS!$A$2:$A$200,$H1814)=0,"NEW",""))</f>
        <v/>
      </c>
    </row>
    <row r="1815" spans="30:33" x14ac:dyDescent="0.25">
      <c r="AD1815" s="2" t="str">
        <f t="shared" si="84"/>
        <v/>
      </c>
      <c r="AE1815" s="2" t="str">
        <f t="shared" si="85"/>
        <v/>
      </c>
      <c r="AF1815" s="2" t="str">
        <f t="shared" si="86"/>
        <v/>
      </c>
      <c r="AG1815" s="2" t="str">
        <f>IF($L1815="","",IF(COUNTIF(LISTS!$A$2:$A$200,$H1815)=0,"NEW",""))</f>
        <v/>
      </c>
    </row>
    <row r="1816" spans="30:33" x14ac:dyDescent="0.25">
      <c r="AD1816" s="2" t="str">
        <f t="shared" si="84"/>
        <v/>
      </c>
      <c r="AE1816" s="2" t="str">
        <f t="shared" si="85"/>
        <v/>
      </c>
      <c r="AF1816" s="2" t="str">
        <f t="shared" si="86"/>
        <v/>
      </c>
      <c r="AG1816" s="2" t="str">
        <f>IF($L1816="","",IF(COUNTIF(LISTS!$A$2:$A$200,$H1816)=0,"NEW",""))</f>
        <v/>
      </c>
    </row>
    <row r="1817" spans="30:33" x14ac:dyDescent="0.25">
      <c r="AD1817" s="2" t="str">
        <f t="shared" si="84"/>
        <v/>
      </c>
      <c r="AE1817" s="2" t="str">
        <f t="shared" si="85"/>
        <v/>
      </c>
      <c r="AF1817" s="2" t="str">
        <f t="shared" si="86"/>
        <v/>
      </c>
      <c r="AG1817" s="2" t="str">
        <f>IF($L1817="","",IF(COUNTIF(LISTS!$A$2:$A$200,$H1817)=0,"NEW",""))</f>
        <v/>
      </c>
    </row>
    <row r="1818" spans="30:33" x14ac:dyDescent="0.25">
      <c r="AD1818" s="2" t="str">
        <f t="shared" si="84"/>
        <v/>
      </c>
      <c r="AE1818" s="2" t="str">
        <f t="shared" si="85"/>
        <v/>
      </c>
      <c r="AF1818" s="2" t="str">
        <f t="shared" si="86"/>
        <v/>
      </c>
      <c r="AG1818" s="2" t="str">
        <f>IF($L1818="","",IF(COUNTIF(LISTS!$A$2:$A$200,$H1818)=0,"NEW",""))</f>
        <v/>
      </c>
    </row>
    <row r="1819" spans="30:33" x14ac:dyDescent="0.25">
      <c r="AD1819" s="2" t="str">
        <f t="shared" si="84"/>
        <v/>
      </c>
      <c r="AE1819" s="2" t="str">
        <f t="shared" si="85"/>
        <v/>
      </c>
      <c r="AF1819" s="2" t="str">
        <f t="shared" si="86"/>
        <v/>
      </c>
      <c r="AG1819" s="2" t="str">
        <f>IF($L1819="","",IF(COUNTIF(LISTS!$A$2:$A$200,$H1819)=0,"NEW",""))</f>
        <v/>
      </c>
    </row>
    <row r="1820" spans="30:33" x14ac:dyDescent="0.25">
      <c r="AD1820" s="2" t="str">
        <f t="shared" si="84"/>
        <v/>
      </c>
      <c r="AE1820" s="2" t="str">
        <f t="shared" si="85"/>
        <v/>
      </c>
      <c r="AF1820" s="2" t="str">
        <f t="shared" si="86"/>
        <v/>
      </c>
      <c r="AG1820" s="2" t="str">
        <f>IF($L1820="","",IF(COUNTIF(LISTS!$A$2:$A$200,$H1820)=0,"NEW",""))</f>
        <v/>
      </c>
    </row>
    <row r="1821" spans="30:33" x14ac:dyDescent="0.25">
      <c r="AD1821" s="2" t="str">
        <f t="shared" si="84"/>
        <v/>
      </c>
      <c r="AE1821" s="2" t="str">
        <f t="shared" si="85"/>
        <v/>
      </c>
      <c r="AF1821" s="2" t="str">
        <f t="shared" si="86"/>
        <v/>
      </c>
      <c r="AG1821" s="2" t="str">
        <f>IF($L1821="","",IF(COUNTIF(LISTS!$A$2:$A$200,$H1821)=0,"NEW",""))</f>
        <v/>
      </c>
    </row>
    <row r="1822" spans="30:33" x14ac:dyDescent="0.25">
      <c r="AD1822" s="2" t="str">
        <f t="shared" si="84"/>
        <v/>
      </c>
      <c r="AE1822" s="2" t="str">
        <f t="shared" si="85"/>
        <v/>
      </c>
      <c r="AF1822" s="2" t="str">
        <f t="shared" si="86"/>
        <v/>
      </c>
      <c r="AG1822" s="2" t="str">
        <f>IF($L1822="","",IF(COUNTIF(LISTS!$A$2:$A$200,$H1822)=0,"NEW",""))</f>
        <v/>
      </c>
    </row>
    <row r="1823" spans="30:33" x14ac:dyDescent="0.25">
      <c r="AD1823" s="2" t="str">
        <f t="shared" si="84"/>
        <v/>
      </c>
      <c r="AE1823" s="2" t="str">
        <f t="shared" si="85"/>
        <v/>
      </c>
      <c r="AF1823" s="2" t="str">
        <f t="shared" si="86"/>
        <v/>
      </c>
      <c r="AG1823" s="2" t="str">
        <f>IF($L1823="","",IF(COUNTIF(LISTS!$A$2:$A$200,$H1823)=0,"NEW",""))</f>
        <v/>
      </c>
    </row>
    <row r="1824" spans="30:33" x14ac:dyDescent="0.25">
      <c r="AD1824" s="2" t="str">
        <f t="shared" si="84"/>
        <v/>
      </c>
      <c r="AE1824" s="2" t="str">
        <f t="shared" si="85"/>
        <v/>
      </c>
      <c r="AF1824" s="2" t="str">
        <f t="shared" si="86"/>
        <v/>
      </c>
      <c r="AG1824" s="2" t="str">
        <f>IF($L1824="","",IF(COUNTIF(LISTS!$A$2:$A$200,$H1824)=0,"NEW",""))</f>
        <v/>
      </c>
    </row>
    <row r="1825" spans="30:33" x14ac:dyDescent="0.25">
      <c r="AD1825" s="2" t="str">
        <f t="shared" si="84"/>
        <v/>
      </c>
      <c r="AE1825" s="2" t="str">
        <f t="shared" si="85"/>
        <v/>
      </c>
      <c r="AF1825" s="2" t="str">
        <f t="shared" si="86"/>
        <v/>
      </c>
      <c r="AG1825" s="2" t="str">
        <f>IF($L1825="","",IF(COUNTIF(LISTS!$A$2:$A$200,$H1825)=0,"NEW",""))</f>
        <v/>
      </c>
    </row>
    <row r="1826" spans="30:33" x14ac:dyDescent="0.25">
      <c r="AD1826" s="2" t="str">
        <f t="shared" si="84"/>
        <v/>
      </c>
      <c r="AE1826" s="2" t="str">
        <f t="shared" si="85"/>
        <v/>
      </c>
      <c r="AF1826" s="2" t="str">
        <f t="shared" si="86"/>
        <v/>
      </c>
      <c r="AG1826" s="2" t="str">
        <f>IF($L1826="","",IF(COUNTIF(LISTS!$A$2:$A$200,$H1826)=0,"NEW",""))</f>
        <v/>
      </c>
    </row>
    <row r="1827" spans="30:33" x14ac:dyDescent="0.25">
      <c r="AD1827" s="2" t="str">
        <f t="shared" si="84"/>
        <v/>
      </c>
      <c r="AE1827" s="2" t="str">
        <f t="shared" si="85"/>
        <v/>
      </c>
      <c r="AF1827" s="2" t="str">
        <f t="shared" si="86"/>
        <v/>
      </c>
      <c r="AG1827" s="2" t="str">
        <f>IF($L1827="","",IF(COUNTIF(LISTS!$A$2:$A$200,$H1827)=0,"NEW",""))</f>
        <v/>
      </c>
    </row>
    <row r="1828" spans="30:33" x14ac:dyDescent="0.25">
      <c r="AD1828" s="2" t="str">
        <f t="shared" si="84"/>
        <v/>
      </c>
      <c r="AE1828" s="2" t="str">
        <f t="shared" si="85"/>
        <v/>
      </c>
      <c r="AF1828" s="2" t="str">
        <f t="shared" si="86"/>
        <v/>
      </c>
      <c r="AG1828" s="2" t="str">
        <f>IF($L1828="","",IF(COUNTIF(LISTS!$A$2:$A$200,$H1828)=0,"NEW",""))</f>
        <v/>
      </c>
    </row>
    <row r="1829" spans="30:33" x14ac:dyDescent="0.25">
      <c r="AD1829" s="2" t="str">
        <f t="shared" si="84"/>
        <v/>
      </c>
      <c r="AE1829" s="2" t="str">
        <f t="shared" si="85"/>
        <v/>
      </c>
      <c r="AF1829" s="2" t="str">
        <f t="shared" si="86"/>
        <v/>
      </c>
      <c r="AG1829" s="2" t="str">
        <f>IF($L1829="","",IF(COUNTIF(LISTS!$A$2:$A$200,$H1829)=0,"NEW",""))</f>
        <v/>
      </c>
    </row>
    <row r="1830" spans="30:33" x14ac:dyDescent="0.25">
      <c r="AD1830" s="2" t="str">
        <f t="shared" si="84"/>
        <v/>
      </c>
      <c r="AE1830" s="2" t="str">
        <f t="shared" si="85"/>
        <v/>
      </c>
      <c r="AF1830" s="2" t="str">
        <f t="shared" si="86"/>
        <v/>
      </c>
      <c r="AG1830" s="2" t="str">
        <f>IF($L1830="","",IF(COUNTIF(LISTS!$A$2:$A$200,$H1830)=0,"NEW",""))</f>
        <v/>
      </c>
    </row>
    <row r="1831" spans="30:33" x14ac:dyDescent="0.25">
      <c r="AD1831" s="2" t="str">
        <f t="shared" si="84"/>
        <v/>
      </c>
      <c r="AE1831" s="2" t="str">
        <f t="shared" si="85"/>
        <v/>
      </c>
      <c r="AF1831" s="2" t="str">
        <f t="shared" si="86"/>
        <v/>
      </c>
      <c r="AG1831" s="2" t="str">
        <f>IF($L1831="","",IF(COUNTIF(LISTS!$A$2:$A$200,$H1831)=0,"NEW",""))</f>
        <v/>
      </c>
    </row>
    <row r="1832" spans="30:33" x14ac:dyDescent="0.25">
      <c r="AD1832" s="2" t="str">
        <f t="shared" si="84"/>
        <v/>
      </c>
      <c r="AE1832" s="2" t="str">
        <f t="shared" si="85"/>
        <v/>
      </c>
      <c r="AF1832" s="2" t="str">
        <f t="shared" si="86"/>
        <v/>
      </c>
      <c r="AG1832" s="2" t="str">
        <f>IF($L1832="","",IF(COUNTIF(LISTS!$A$2:$A$200,$H1832)=0,"NEW",""))</f>
        <v/>
      </c>
    </row>
    <row r="1833" spans="30:33" x14ac:dyDescent="0.25">
      <c r="AD1833" s="2" t="str">
        <f t="shared" si="84"/>
        <v/>
      </c>
      <c r="AE1833" s="2" t="str">
        <f t="shared" si="85"/>
        <v/>
      </c>
      <c r="AF1833" s="2" t="str">
        <f t="shared" si="86"/>
        <v/>
      </c>
      <c r="AG1833" s="2" t="str">
        <f>IF($L1833="","",IF(COUNTIF(LISTS!$A$2:$A$200,$H1833)=0,"NEW",""))</f>
        <v/>
      </c>
    </row>
    <row r="1834" spans="30:33" x14ac:dyDescent="0.25">
      <c r="AD1834" s="2" t="str">
        <f t="shared" si="84"/>
        <v/>
      </c>
      <c r="AE1834" s="2" t="str">
        <f t="shared" si="85"/>
        <v/>
      </c>
      <c r="AF1834" s="2" t="str">
        <f t="shared" si="86"/>
        <v/>
      </c>
      <c r="AG1834" s="2" t="str">
        <f>IF($L1834="","",IF(COUNTIF(LISTS!$A$2:$A$200,$H1834)=0,"NEW",""))</f>
        <v/>
      </c>
    </row>
    <row r="1835" spans="30:33" x14ac:dyDescent="0.25">
      <c r="AD1835" s="2" t="str">
        <f t="shared" si="84"/>
        <v/>
      </c>
      <c r="AE1835" s="2" t="str">
        <f t="shared" si="85"/>
        <v/>
      </c>
      <c r="AF1835" s="2" t="str">
        <f t="shared" si="86"/>
        <v/>
      </c>
      <c r="AG1835" s="2" t="str">
        <f>IF($L1835="","",IF(COUNTIF(LISTS!$A$2:$A$200,$H1835)=0,"NEW",""))</f>
        <v/>
      </c>
    </row>
    <row r="1836" spans="30:33" x14ac:dyDescent="0.25">
      <c r="AD1836" s="2" t="str">
        <f t="shared" si="84"/>
        <v/>
      </c>
      <c r="AE1836" s="2" t="str">
        <f t="shared" si="85"/>
        <v/>
      </c>
      <c r="AF1836" s="2" t="str">
        <f t="shared" si="86"/>
        <v/>
      </c>
      <c r="AG1836" s="2" t="str">
        <f>IF($L1836="","",IF(COUNTIF(LISTS!$A$2:$A$200,$H1836)=0,"NEW",""))</f>
        <v/>
      </c>
    </row>
    <row r="1837" spans="30:33" x14ac:dyDescent="0.25">
      <c r="AD1837" s="2" t="str">
        <f t="shared" si="84"/>
        <v/>
      </c>
      <c r="AE1837" s="2" t="str">
        <f t="shared" si="85"/>
        <v/>
      </c>
      <c r="AF1837" s="2" t="str">
        <f t="shared" si="86"/>
        <v/>
      </c>
      <c r="AG1837" s="2" t="str">
        <f>IF($L1837="","",IF(COUNTIF(LISTS!$A$2:$A$200,$H1837)=0,"NEW",""))</f>
        <v/>
      </c>
    </row>
    <row r="1838" spans="30:33" x14ac:dyDescent="0.25">
      <c r="AD1838" s="2" t="str">
        <f t="shared" si="84"/>
        <v/>
      </c>
      <c r="AE1838" s="2" t="str">
        <f t="shared" si="85"/>
        <v/>
      </c>
      <c r="AF1838" s="2" t="str">
        <f t="shared" si="86"/>
        <v/>
      </c>
      <c r="AG1838" s="2" t="str">
        <f>IF($L1838="","",IF(COUNTIF(LISTS!$A$2:$A$200,$H1838)=0,"NEW",""))</f>
        <v/>
      </c>
    </row>
    <row r="1839" spans="30:33" x14ac:dyDescent="0.25">
      <c r="AD1839" s="2" t="str">
        <f t="shared" si="84"/>
        <v/>
      </c>
      <c r="AE1839" s="2" t="str">
        <f t="shared" si="85"/>
        <v/>
      </c>
      <c r="AF1839" s="2" t="str">
        <f t="shared" si="86"/>
        <v/>
      </c>
      <c r="AG1839" s="2" t="str">
        <f>IF($L1839="","",IF(COUNTIF(LISTS!$A$2:$A$200,$H1839)=0,"NEW",""))</f>
        <v/>
      </c>
    </row>
    <row r="1840" spans="30:33" x14ac:dyDescent="0.25">
      <c r="AD1840" s="2" t="str">
        <f t="shared" si="84"/>
        <v/>
      </c>
      <c r="AE1840" s="2" t="str">
        <f t="shared" si="85"/>
        <v/>
      </c>
      <c r="AF1840" s="2" t="str">
        <f t="shared" si="86"/>
        <v/>
      </c>
      <c r="AG1840" s="2" t="str">
        <f>IF($L1840="","",IF(COUNTIF(LISTS!$A$2:$A$200,$H1840)=0,"NEW",""))</f>
        <v/>
      </c>
    </row>
    <row r="1841" spans="30:33" x14ac:dyDescent="0.25">
      <c r="AD1841" s="2" t="str">
        <f t="shared" si="84"/>
        <v/>
      </c>
      <c r="AE1841" s="2" t="str">
        <f t="shared" si="85"/>
        <v/>
      </c>
      <c r="AF1841" s="2" t="str">
        <f t="shared" si="86"/>
        <v/>
      </c>
      <c r="AG1841" s="2" t="str">
        <f>IF($L1841="","",IF(COUNTIF(LISTS!$A$2:$A$200,$H1841)=0,"NEW",""))</f>
        <v/>
      </c>
    </row>
    <row r="1842" spans="30:33" x14ac:dyDescent="0.25">
      <c r="AD1842" s="2" t="str">
        <f t="shared" si="84"/>
        <v/>
      </c>
      <c r="AE1842" s="2" t="str">
        <f t="shared" si="85"/>
        <v/>
      </c>
      <c r="AF1842" s="2" t="str">
        <f t="shared" si="86"/>
        <v/>
      </c>
      <c r="AG1842" s="2" t="str">
        <f>IF($L1842="","",IF(COUNTIF(LISTS!$A$2:$A$200,$H1842)=0,"NEW",""))</f>
        <v/>
      </c>
    </row>
    <row r="1843" spans="30:33" x14ac:dyDescent="0.25">
      <c r="AD1843" s="2" t="str">
        <f t="shared" si="84"/>
        <v/>
      </c>
      <c r="AE1843" s="2" t="str">
        <f t="shared" si="85"/>
        <v/>
      </c>
      <c r="AF1843" s="2" t="str">
        <f t="shared" si="86"/>
        <v/>
      </c>
      <c r="AG1843" s="2" t="str">
        <f>IF($L1843="","",IF(COUNTIF(LISTS!$A$2:$A$200,$H1843)=0,"NEW",""))</f>
        <v/>
      </c>
    </row>
    <row r="1844" spans="30:33" x14ac:dyDescent="0.25">
      <c r="AD1844" s="2" t="str">
        <f t="shared" si="84"/>
        <v/>
      </c>
      <c r="AE1844" s="2" t="str">
        <f t="shared" si="85"/>
        <v/>
      </c>
      <c r="AF1844" s="2" t="str">
        <f t="shared" si="86"/>
        <v/>
      </c>
      <c r="AG1844" s="2" t="str">
        <f>IF($L1844="","",IF(COUNTIF(LISTS!$A$2:$A$200,$H1844)=0,"NEW",""))</f>
        <v/>
      </c>
    </row>
    <row r="1845" spans="30:33" x14ac:dyDescent="0.25">
      <c r="AD1845" s="2" t="str">
        <f t="shared" si="84"/>
        <v/>
      </c>
      <c r="AE1845" s="2" t="str">
        <f t="shared" si="85"/>
        <v/>
      </c>
      <c r="AF1845" s="2" t="str">
        <f t="shared" si="86"/>
        <v/>
      </c>
      <c r="AG1845" s="2" t="str">
        <f>IF($L1845="","",IF(COUNTIF(LISTS!$A$2:$A$200,$H1845)=0,"NEW",""))</f>
        <v/>
      </c>
    </row>
    <row r="1846" spans="30:33" x14ac:dyDescent="0.25">
      <c r="AD1846" s="2" t="str">
        <f t="shared" si="84"/>
        <v/>
      </c>
      <c r="AE1846" s="2" t="str">
        <f t="shared" si="85"/>
        <v/>
      </c>
      <c r="AF1846" s="2" t="str">
        <f t="shared" si="86"/>
        <v/>
      </c>
      <c r="AG1846" s="2" t="str">
        <f>IF($L1846="","",IF(COUNTIF(LISTS!$A$2:$A$200,$H1846)=0,"NEW",""))</f>
        <v/>
      </c>
    </row>
    <row r="1847" spans="30:33" x14ac:dyDescent="0.25">
      <c r="AD1847" s="2" t="str">
        <f t="shared" si="84"/>
        <v/>
      </c>
      <c r="AE1847" s="2" t="str">
        <f t="shared" si="85"/>
        <v/>
      </c>
      <c r="AF1847" s="2" t="str">
        <f t="shared" si="86"/>
        <v/>
      </c>
      <c r="AG1847" s="2" t="str">
        <f>IF($L1847="","",IF(COUNTIF(LISTS!$A$2:$A$200,$H1847)=0,"NEW",""))</f>
        <v/>
      </c>
    </row>
    <row r="1848" spans="30:33" x14ac:dyDescent="0.25">
      <c r="AD1848" s="2" t="str">
        <f t="shared" si="84"/>
        <v/>
      </c>
      <c r="AE1848" s="2" t="str">
        <f t="shared" si="85"/>
        <v/>
      </c>
      <c r="AF1848" s="2" t="str">
        <f t="shared" si="86"/>
        <v/>
      </c>
      <c r="AG1848" s="2" t="str">
        <f>IF($L1848="","",IF(COUNTIF(LISTS!$A$2:$A$200,$H1848)=0,"NEW",""))</f>
        <v/>
      </c>
    </row>
    <row r="1849" spans="30:33" x14ac:dyDescent="0.25">
      <c r="AD1849" s="2" t="str">
        <f t="shared" si="84"/>
        <v/>
      </c>
      <c r="AE1849" s="2" t="str">
        <f t="shared" si="85"/>
        <v/>
      </c>
      <c r="AF1849" s="2" t="str">
        <f t="shared" si="86"/>
        <v/>
      </c>
      <c r="AG1849" s="2" t="str">
        <f>IF($L1849="","",IF(COUNTIF(LISTS!$A$2:$A$200,$H1849)=0,"NEW",""))</f>
        <v/>
      </c>
    </row>
    <row r="1850" spans="30:33" x14ac:dyDescent="0.25">
      <c r="AD1850" s="2" t="str">
        <f t="shared" si="84"/>
        <v/>
      </c>
      <c r="AE1850" s="2" t="str">
        <f t="shared" si="85"/>
        <v/>
      </c>
      <c r="AF1850" s="2" t="str">
        <f t="shared" si="86"/>
        <v/>
      </c>
      <c r="AG1850" s="2" t="str">
        <f>IF($L1850="","",IF(COUNTIF(LISTS!$A$2:$A$200,$H1850)=0,"NEW",""))</f>
        <v/>
      </c>
    </row>
    <row r="1851" spans="30:33" x14ac:dyDescent="0.25">
      <c r="AD1851" s="2" t="str">
        <f t="shared" si="84"/>
        <v/>
      </c>
      <c r="AE1851" s="2" t="str">
        <f t="shared" si="85"/>
        <v/>
      </c>
      <c r="AF1851" s="2" t="str">
        <f t="shared" si="86"/>
        <v/>
      </c>
      <c r="AG1851" s="2" t="str">
        <f>IF($L1851="","",IF(COUNTIF(LISTS!$A$2:$A$200,$H1851)=0,"NEW",""))</f>
        <v/>
      </c>
    </row>
    <row r="1852" spans="30:33" x14ac:dyDescent="0.25">
      <c r="AD1852" s="2" t="str">
        <f t="shared" si="84"/>
        <v/>
      </c>
      <c r="AE1852" s="2" t="str">
        <f t="shared" si="85"/>
        <v/>
      </c>
      <c r="AF1852" s="2" t="str">
        <f t="shared" si="86"/>
        <v/>
      </c>
      <c r="AG1852" s="2" t="str">
        <f>IF($L1852="","",IF(COUNTIF(LISTS!$A$2:$A$200,$H1852)=0,"NEW",""))</f>
        <v/>
      </c>
    </row>
    <row r="1853" spans="30:33" x14ac:dyDescent="0.25">
      <c r="AD1853" s="2" t="str">
        <f t="shared" si="84"/>
        <v/>
      </c>
      <c r="AE1853" s="2" t="str">
        <f t="shared" si="85"/>
        <v/>
      </c>
      <c r="AF1853" s="2" t="str">
        <f t="shared" si="86"/>
        <v/>
      </c>
      <c r="AG1853" s="2" t="str">
        <f>IF($L1853="","",IF(COUNTIF(LISTS!$A$2:$A$200,$H1853)=0,"NEW",""))</f>
        <v/>
      </c>
    </row>
    <row r="1854" spans="30:33" x14ac:dyDescent="0.25">
      <c r="AD1854" s="2" t="str">
        <f t="shared" si="84"/>
        <v/>
      </c>
      <c r="AE1854" s="2" t="str">
        <f t="shared" si="85"/>
        <v/>
      </c>
      <c r="AF1854" s="2" t="str">
        <f t="shared" si="86"/>
        <v/>
      </c>
      <c r="AG1854" s="2" t="str">
        <f>IF($L1854="","",IF(COUNTIF(LISTS!$A$2:$A$200,$H1854)=0,"NEW",""))</f>
        <v/>
      </c>
    </row>
    <row r="1855" spans="30:33" x14ac:dyDescent="0.25">
      <c r="AD1855" s="2" t="str">
        <f t="shared" si="84"/>
        <v/>
      </c>
      <c r="AE1855" s="2" t="str">
        <f t="shared" si="85"/>
        <v/>
      </c>
      <c r="AF1855" s="2" t="str">
        <f t="shared" si="86"/>
        <v/>
      </c>
      <c r="AG1855" s="2" t="str">
        <f>IF($L1855="","",IF(COUNTIF(LISTS!$A$2:$A$200,$H1855)=0,"NEW",""))</f>
        <v/>
      </c>
    </row>
    <row r="1856" spans="30:33" x14ac:dyDescent="0.25">
      <c r="AD1856" s="2" t="str">
        <f t="shared" si="84"/>
        <v/>
      </c>
      <c r="AE1856" s="2" t="str">
        <f t="shared" si="85"/>
        <v/>
      </c>
      <c r="AF1856" s="2" t="str">
        <f t="shared" si="86"/>
        <v/>
      </c>
      <c r="AG1856" s="2" t="str">
        <f>IF($L1856="","",IF(COUNTIF(LISTS!$A$2:$A$200,$H1856)=0,"NEW",""))</f>
        <v/>
      </c>
    </row>
    <row r="1857" spans="30:33" x14ac:dyDescent="0.25">
      <c r="AD1857" s="2" t="str">
        <f t="shared" si="84"/>
        <v/>
      </c>
      <c r="AE1857" s="2" t="str">
        <f t="shared" si="85"/>
        <v/>
      </c>
      <c r="AF1857" s="2" t="str">
        <f t="shared" si="86"/>
        <v/>
      </c>
      <c r="AG1857" s="2" t="str">
        <f>IF($L1857="","",IF(COUNTIF(LISTS!$A$2:$A$200,$H1857)=0,"NEW",""))</f>
        <v/>
      </c>
    </row>
    <row r="1858" spans="30:33" x14ac:dyDescent="0.25">
      <c r="AD1858" s="2" t="str">
        <f t="shared" ref="AD1858:AD1921" si="87">IF($L1858="","",IF(ISNUMBER(SEARCH("OFF ROAD",$H1858)),"OFF",IF(ISNUMBER(SEARCH("ON ROAD",$H1858)),"ON","")))</f>
        <v/>
      </c>
      <c r="AE1858" s="2" t="str">
        <f t="shared" ref="AE1858:AE1921" si="88">IF($AD1858="ON",""&amp;$L1858,"")</f>
        <v/>
      </c>
      <c r="AF1858" s="2" t="str">
        <f t="shared" ref="AF1858:AF1921" si="89">IF($L1858="","",IF($J1858&lt;&gt;"","Y",""))</f>
        <v/>
      </c>
      <c r="AG1858" s="2" t="str">
        <f>IF($L1858="","",IF(COUNTIF(LISTS!$A$2:$A$200,$H1858)=0,"NEW",""))</f>
        <v/>
      </c>
    </row>
    <row r="1859" spans="30:33" x14ac:dyDescent="0.25">
      <c r="AD1859" s="2" t="str">
        <f t="shared" si="87"/>
        <v/>
      </c>
      <c r="AE1859" s="2" t="str">
        <f t="shared" si="88"/>
        <v/>
      </c>
      <c r="AF1859" s="2" t="str">
        <f t="shared" si="89"/>
        <v/>
      </c>
      <c r="AG1859" s="2" t="str">
        <f>IF($L1859="","",IF(COUNTIF(LISTS!$A$2:$A$200,$H1859)=0,"NEW",""))</f>
        <v/>
      </c>
    </row>
    <row r="1860" spans="30:33" x14ac:dyDescent="0.25">
      <c r="AD1860" s="2" t="str">
        <f t="shared" si="87"/>
        <v/>
      </c>
      <c r="AE1860" s="2" t="str">
        <f t="shared" si="88"/>
        <v/>
      </c>
      <c r="AF1860" s="2" t="str">
        <f t="shared" si="89"/>
        <v/>
      </c>
      <c r="AG1860" s="2" t="str">
        <f>IF($L1860="","",IF(COUNTIF(LISTS!$A$2:$A$200,$H1860)=0,"NEW",""))</f>
        <v/>
      </c>
    </row>
    <row r="1861" spans="30:33" x14ac:dyDescent="0.25">
      <c r="AD1861" s="2" t="str">
        <f t="shared" si="87"/>
        <v/>
      </c>
      <c r="AE1861" s="2" t="str">
        <f t="shared" si="88"/>
        <v/>
      </c>
      <c r="AF1861" s="2" t="str">
        <f t="shared" si="89"/>
        <v/>
      </c>
      <c r="AG1861" s="2" t="str">
        <f>IF($L1861="","",IF(COUNTIF(LISTS!$A$2:$A$200,$H1861)=0,"NEW",""))</f>
        <v/>
      </c>
    </row>
    <row r="1862" spans="30:33" x14ac:dyDescent="0.25">
      <c r="AD1862" s="2" t="str">
        <f t="shared" si="87"/>
        <v/>
      </c>
      <c r="AE1862" s="2" t="str">
        <f t="shared" si="88"/>
        <v/>
      </c>
      <c r="AF1862" s="2" t="str">
        <f t="shared" si="89"/>
        <v/>
      </c>
      <c r="AG1862" s="2" t="str">
        <f>IF($L1862="","",IF(COUNTIF(LISTS!$A$2:$A$200,$H1862)=0,"NEW",""))</f>
        <v/>
      </c>
    </row>
    <row r="1863" spans="30:33" x14ac:dyDescent="0.25">
      <c r="AD1863" s="2" t="str">
        <f t="shared" si="87"/>
        <v/>
      </c>
      <c r="AE1863" s="2" t="str">
        <f t="shared" si="88"/>
        <v/>
      </c>
      <c r="AF1863" s="2" t="str">
        <f t="shared" si="89"/>
        <v/>
      </c>
      <c r="AG1863" s="2" t="str">
        <f>IF($L1863="","",IF(COUNTIF(LISTS!$A$2:$A$200,$H1863)=0,"NEW",""))</f>
        <v/>
      </c>
    </row>
    <row r="1864" spans="30:33" x14ac:dyDescent="0.25">
      <c r="AD1864" s="2" t="str">
        <f t="shared" si="87"/>
        <v/>
      </c>
      <c r="AE1864" s="2" t="str">
        <f t="shared" si="88"/>
        <v/>
      </c>
      <c r="AF1864" s="2" t="str">
        <f t="shared" si="89"/>
        <v/>
      </c>
      <c r="AG1864" s="2" t="str">
        <f>IF($L1864="","",IF(COUNTIF(LISTS!$A$2:$A$200,$H1864)=0,"NEW",""))</f>
        <v/>
      </c>
    </row>
    <row r="1865" spans="30:33" x14ac:dyDescent="0.25">
      <c r="AD1865" s="2" t="str">
        <f t="shared" si="87"/>
        <v/>
      </c>
      <c r="AE1865" s="2" t="str">
        <f t="shared" si="88"/>
        <v/>
      </c>
      <c r="AF1865" s="2" t="str">
        <f t="shared" si="89"/>
        <v/>
      </c>
      <c r="AG1865" s="2" t="str">
        <f>IF($L1865="","",IF(COUNTIF(LISTS!$A$2:$A$200,$H1865)=0,"NEW",""))</f>
        <v/>
      </c>
    </row>
    <row r="1866" spans="30:33" x14ac:dyDescent="0.25">
      <c r="AD1866" s="2" t="str">
        <f t="shared" si="87"/>
        <v/>
      </c>
      <c r="AE1866" s="2" t="str">
        <f t="shared" si="88"/>
        <v/>
      </c>
      <c r="AF1866" s="2" t="str">
        <f t="shared" si="89"/>
        <v/>
      </c>
      <c r="AG1866" s="2" t="str">
        <f>IF($L1866="","",IF(COUNTIF(LISTS!$A$2:$A$200,$H1866)=0,"NEW",""))</f>
        <v/>
      </c>
    </row>
    <row r="1867" spans="30:33" x14ac:dyDescent="0.25">
      <c r="AD1867" s="2" t="str">
        <f t="shared" si="87"/>
        <v/>
      </c>
      <c r="AE1867" s="2" t="str">
        <f t="shared" si="88"/>
        <v/>
      </c>
      <c r="AF1867" s="2" t="str">
        <f t="shared" si="89"/>
        <v/>
      </c>
      <c r="AG1867" s="2" t="str">
        <f>IF($L1867="","",IF(COUNTIF(LISTS!$A$2:$A$200,$H1867)=0,"NEW",""))</f>
        <v/>
      </c>
    </row>
    <row r="1868" spans="30:33" x14ac:dyDescent="0.25">
      <c r="AD1868" s="2" t="str">
        <f t="shared" si="87"/>
        <v/>
      </c>
      <c r="AE1868" s="2" t="str">
        <f t="shared" si="88"/>
        <v/>
      </c>
      <c r="AF1868" s="2" t="str">
        <f t="shared" si="89"/>
        <v/>
      </c>
      <c r="AG1868" s="2" t="str">
        <f>IF($L1868="","",IF(COUNTIF(LISTS!$A$2:$A$200,$H1868)=0,"NEW",""))</f>
        <v/>
      </c>
    </row>
    <row r="1869" spans="30:33" x14ac:dyDescent="0.25">
      <c r="AD1869" s="2" t="str">
        <f t="shared" si="87"/>
        <v/>
      </c>
      <c r="AE1869" s="2" t="str">
        <f t="shared" si="88"/>
        <v/>
      </c>
      <c r="AF1869" s="2" t="str">
        <f t="shared" si="89"/>
        <v/>
      </c>
      <c r="AG1869" s="2" t="str">
        <f>IF($L1869="","",IF(COUNTIF(LISTS!$A$2:$A$200,$H1869)=0,"NEW",""))</f>
        <v/>
      </c>
    </row>
    <row r="1870" spans="30:33" x14ac:dyDescent="0.25">
      <c r="AD1870" s="2" t="str">
        <f t="shared" si="87"/>
        <v/>
      </c>
      <c r="AE1870" s="2" t="str">
        <f t="shared" si="88"/>
        <v/>
      </c>
      <c r="AF1870" s="2" t="str">
        <f t="shared" si="89"/>
        <v/>
      </c>
      <c r="AG1870" s="2" t="str">
        <f>IF($L1870="","",IF(COUNTIF(LISTS!$A$2:$A$200,$H1870)=0,"NEW",""))</f>
        <v/>
      </c>
    </row>
    <row r="1871" spans="30:33" x14ac:dyDescent="0.25">
      <c r="AD1871" s="2" t="str">
        <f t="shared" si="87"/>
        <v/>
      </c>
      <c r="AE1871" s="2" t="str">
        <f t="shared" si="88"/>
        <v/>
      </c>
      <c r="AF1871" s="2" t="str">
        <f t="shared" si="89"/>
        <v/>
      </c>
      <c r="AG1871" s="2" t="str">
        <f>IF($L1871="","",IF(COUNTIF(LISTS!$A$2:$A$200,$H1871)=0,"NEW",""))</f>
        <v/>
      </c>
    </row>
    <row r="1872" spans="30:33" x14ac:dyDescent="0.25">
      <c r="AD1872" s="2" t="str">
        <f t="shared" si="87"/>
        <v/>
      </c>
      <c r="AE1872" s="2" t="str">
        <f t="shared" si="88"/>
        <v/>
      </c>
      <c r="AF1872" s="2" t="str">
        <f t="shared" si="89"/>
        <v/>
      </c>
      <c r="AG1872" s="2" t="str">
        <f>IF($L1872="","",IF(COUNTIF(LISTS!$A$2:$A$200,$H1872)=0,"NEW",""))</f>
        <v/>
      </c>
    </row>
    <row r="1873" spans="30:33" x14ac:dyDescent="0.25">
      <c r="AD1873" s="2" t="str">
        <f t="shared" si="87"/>
        <v/>
      </c>
      <c r="AE1873" s="2" t="str">
        <f t="shared" si="88"/>
        <v/>
      </c>
      <c r="AF1873" s="2" t="str">
        <f t="shared" si="89"/>
        <v/>
      </c>
      <c r="AG1873" s="2" t="str">
        <f>IF($L1873="","",IF(COUNTIF(LISTS!$A$2:$A$200,$H1873)=0,"NEW",""))</f>
        <v/>
      </c>
    </row>
    <row r="1874" spans="30:33" x14ac:dyDescent="0.25">
      <c r="AD1874" s="2" t="str">
        <f t="shared" si="87"/>
        <v/>
      </c>
      <c r="AE1874" s="2" t="str">
        <f t="shared" si="88"/>
        <v/>
      </c>
      <c r="AF1874" s="2" t="str">
        <f t="shared" si="89"/>
        <v/>
      </c>
      <c r="AG1874" s="2" t="str">
        <f>IF($L1874="","",IF(COUNTIF(LISTS!$A$2:$A$200,$H1874)=0,"NEW",""))</f>
        <v/>
      </c>
    </row>
    <row r="1875" spans="30:33" x14ac:dyDescent="0.25">
      <c r="AD1875" s="2" t="str">
        <f t="shared" si="87"/>
        <v/>
      </c>
      <c r="AE1875" s="2" t="str">
        <f t="shared" si="88"/>
        <v/>
      </c>
      <c r="AF1875" s="2" t="str">
        <f t="shared" si="89"/>
        <v/>
      </c>
      <c r="AG1875" s="2" t="str">
        <f>IF($L1875="","",IF(COUNTIF(LISTS!$A$2:$A$200,$H1875)=0,"NEW",""))</f>
        <v/>
      </c>
    </row>
    <row r="1876" spans="30:33" x14ac:dyDescent="0.25">
      <c r="AD1876" s="2" t="str">
        <f t="shared" si="87"/>
        <v/>
      </c>
      <c r="AE1876" s="2" t="str">
        <f t="shared" si="88"/>
        <v/>
      </c>
      <c r="AF1876" s="2" t="str">
        <f t="shared" si="89"/>
        <v/>
      </c>
      <c r="AG1876" s="2" t="str">
        <f>IF($L1876="","",IF(COUNTIF(LISTS!$A$2:$A$200,$H1876)=0,"NEW",""))</f>
        <v/>
      </c>
    </row>
    <row r="1877" spans="30:33" x14ac:dyDescent="0.25">
      <c r="AD1877" s="2" t="str">
        <f t="shared" si="87"/>
        <v/>
      </c>
      <c r="AE1877" s="2" t="str">
        <f t="shared" si="88"/>
        <v/>
      </c>
      <c r="AF1877" s="2" t="str">
        <f t="shared" si="89"/>
        <v/>
      </c>
      <c r="AG1877" s="2" t="str">
        <f>IF($L1877="","",IF(COUNTIF(LISTS!$A$2:$A$200,$H1877)=0,"NEW",""))</f>
        <v/>
      </c>
    </row>
    <row r="1878" spans="30:33" x14ac:dyDescent="0.25">
      <c r="AD1878" s="2" t="str">
        <f t="shared" si="87"/>
        <v/>
      </c>
      <c r="AE1878" s="2" t="str">
        <f t="shared" si="88"/>
        <v/>
      </c>
      <c r="AF1878" s="2" t="str">
        <f t="shared" si="89"/>
        <v/>
      </c>
      <c r="AG1878" s="2" t="str">
        <f>IF($L1878="","",IF(COUNTIF(LISTS!$A$2:$A$200,$H1878)=0,"NEW",""))</f>
        <v/>
      </c>
    </row>
    <row r="1879" spans="30:33" x14ac:dyDescent="0.25">
      <c r="AD1879" s="2" t="str">
        <f t="shared" si="87"/>
        <v/>
      </c>
      <c r="AE1879" s="2" t="str">
        <f t="shared" si="88"/>
        <v/>
      </c>
      <c r="AF1879" s="2" t="str">
        <f t="shared" si="89"/>
        <v/>
      </c>
      <c r="AG1879" s="2" t="str">
        <f>IF($L1879="","",IF(COUNTIF(LISTS!$A$2:$A$200,$H1879)=0,"NEW",""))</f>
        <v/>
      </c>
    </row>
    <row r="1880" spans="30:33" x14ac:dyDescent="0.25">
      <c r="AD1880" s="2" t="str">
        <f t="shared" si="87"/>
        <v/>
      </c>
      <c r="AE1880" s="2" t="str">
        <f t="shared" si="88"/>
        <v/>
      </c>
      <c r="AF1880" s="2" t="str">
        <f t="shared" si="89"/>
        <v/>
      </c>
      <c r="AG1880" s="2" t="str">
        <f>IF($L1880="","",IF(COUNTIF(LISTS!$A$2:$A$200,$H1880)=0,"NEW",""))</f>
        <v/>
      </c>
    </row>
    <row r="1881" spans="30:33" x14ac:dyDescent="0.25">
      <c r="AD1881" s="2" t="str">
        <f t="shared" si="87"/>
        <v/>
      </c>
      <c r="AE1881" s="2" t="str">
        <f t="shared" si="88"/>
        <v/>
      </c>
      <c r="AF1881" s="2" t="str">
        <f t="shared" si="89"/>
        <v/>
      </c>
      <c r="AG1881" s="2" t="str">
        <f>IF($L1881="","",IF(COUNTIF(LISTS!$A$2:$A$200,$H1881)=0,"NEW",""))</f>
        <v/>
      </c>
    </row>
    <row r="1882" spans="30:33" x14ac:dyDescent="0.25">
      <c r="AD1882" s="2" t="str">
        <f t="shared" si="87"/>
        <v/>
      </c>
      <c r="AE1882" s="2" t="str">
        <f t="shared" si="88"/>
        <v/>
      </c>
      <c r="AF1882" s="2" t="str">
        <f t="shared" si="89"/>
        <v/>
      </c>
      <c r="AG1882" s="2" t="str">
        <f>IF($L1882="","",IF(COUNTIF(LISTS!$A$2:$A$200,$H1882)=0,"NEW",""))</f>
        <v/>
      </c>
    </row>
    <row r="1883" spans="30:33" x14ac:dyDescent="0.25">
      <c r="AD1883" s="2" t="str">
        <f t="shared" si="87"/>
        <v/>
      </c>
      <c r="AE1883" s="2" t="str">
        <f t="shared" si="88"/>
        <v/>
      </c>
      <c r="AF1883" s="2" t="str">
        <f t="shared" si="89"/>
        <v/>
      </c>
      <c r="AG1883" s="2" t="str">
        <f>IF($L1883="","",IF(COUNTIF(LISTS!$A$2:$A$200,$H1883)=0,"NEW",""))</f>
        <v/>
      </c>
    </row>
    <row r="1884" spans="30:33" x14ac:dyDescent="0.25">
      <c r="AD1884" s="2" t="str">
        <f t="shared" si="87"/>
        <v/>
      </c>
      <c r="AE1884" s="2" t="str">
        <f t="shared" si="88"/>
        <v/>
      </c>
      <c r="AF1884" s="2" t="str">
        <f t="shared" si="89"/>
        <v/>
      </c>
      <c r="AG1884" s="2" t="str">
        <f>IF($L1884="","",IF(COUNTIF(LISTS!$A$2:$A$200,$H1884)=0,"NEW",""))</f>
        <v/>
      </c>
    </row>
    <row r="1885" spans="30:33" x14ac:dyDescent="0.25">
      <c r="AD1885" s="2" t="str">
        <f t="shared" si="87"/>
        <v/>
      </c>
      <c r="AE1885" s="2" t="str">
        <f t="shared" si="88"/>
        <v/>
      </c>
      <c r="AF1885" s="2" t="str">
        <f t="shared" si="89"/>
        <v/>
      </c>
      <c r="AG1885" s="2" t="str">
        <f>IF($L1885="","",IF(COUNTIF(LISTS!$A$2:$A$200,$H1885)=0,"NEW",""))</f>
        <v/>
      </c>
    </row>
    <row r="1886" spans="30:33" x14ac:dyDescent="0.25">
      <c r="AD1886" s="2" t="str">
        <f t="shared" si="87"/>
        <v/>
      </c>
      <c r="AE1886" s="2" t="str">
        <f t="shared" si="88"/>
        <v/>
      </c>
      <c r="AF1886" s="2" t="str">
        <f t="shared" si="89"/>
        <v/>
      </c>
      <c r="AG1886" s="2" t="str">
        <f>IF($L1886="","",IF(COUNTIF(LISTS!$A$2:$A$200,$H1886)=0,"NEW",""))</f>
        <v/>
      </c>
    </row>
    <row r="1887" spans="30:33" x14ac:dyDescent="0.25">
      <c r="AD1887" s="2" t="str">
        <f t="shared" si="87"/>
        <v/>
      </c>
      <c r="AE1887" s="2" t="str">
        <f t="shared" si="88"/>
        <v/>
      </c>
      <c r="AF1887" s="2" t="str">
        <f t="shared" si="89"/>
        <v/>
      </c>
      <c r="AG1887" s="2" t="str">
        <f>IF($L1887="","",IF(COUNTIF(LISTS!$A$2:$A$200,$H1887)=0,"NEW",""))</f>
        <v/>
      </c>
    </row>
    <row r="1888" spans="30:33" x14ac:dyDescent="0.25">
      <c r="AD1888" s="2" t="str">
        <f t="shared" si="87"/>
        <v/>
      </c>
      <c r="AE1888" s="2" t="str">
        <f t="shared" si="88"/>
        <v/>
      </c>
      <c r="AF1888" s="2" t="str">
        <f t="shared" si="89"/>
        <v/>
      </c>
      <c r="AG1888" s="2" t="str">
        <f>IF($L1888="","",IF(COUNTIF(LISTS!$A$2:$A$200,$H1888)=0,"NEW",""))</f>
        <v/>
      </c>
    </row>
    <row r="1889" spans="30:33" x14ac:dyDescent="0.25">
      <c r="AD1889" s="2" t="str">
        <f t="shared" si="87"/>
        <v/>
      </c>
      <c r="AE1889" s="2" t="str">
        <f t="shared" si="88"/>
        <v/>
      </c>
      <c r="AF1889" s="2" t="str">
        <f t="shared" si="89"/>
        <v/>
      </c>
      <c r="AG1889" s="2" t="str">
        <f>IF($L1889="","",IF(COUNTIF(LISTS!$A$2:$A$200,$H1889)=0,"NEW",""))</f>
        <v/>
      </c>
    </row>
    <row r="1890" spans="30:33" x14ac:dyDescent="0.25">
      <c r="AD1890" s="2" t="str">
        <f t="shared" si="87"/>
        <v/>
      </c>
      <c r="AE1890" s="2" t="str">
        <f t="shared" si="88"/>
        <v/>
      </c>
      <c r="AF1890" s="2" t="str">
        <f t="shared" si="89"/>
        <v/>
      </c>
      <c r="AG1890" s="2" t="str">
        <f>IF($L1890="","",IF(COUNTIF(LISTS!$A$2:$A$200,$H1890)=0,"NEW",""))</f>
        <v/>
      </c>
    </row>
    <row r="1891" spans="30:33" x14ac:dyDescent="0.25">
      <c r="AD1891" s="2" t="str">
        <f t="shared" si="87"/>
        <v/>
      </c>
      <c r="AE1891" s="2" t="str">
        <f t="shared" si="88"/>
        <v/>
      </c>
      <c r="AF1891" s="2" t="str">
        <f t="shared" si="89"/>
        <v/>
      </c>
      <c r="AG1891" s="2" t="str">
        <f>IF($L1891="","",IF(COUNTIF(LISTS!$A$2:$A$200,$H1891)=0,"NEW",""))</f>
        <v/>
      </c>
    </row>
    <row r="1892" spans="30:33" x14ac:dyDescent="0.25">
      <c r="AD1892" s="2" t="str">
        <f t="shared" si="87"/>
        <v/>
      </c>
      <c r="AE1892" s="2" t="str">
        <f t="shared" si="88"/>
        <v/>
      </c>
      <c r="AF1892" s="2" t="str">
        <f t="shared" si="89"/>
        <v/>
      </c>
      <c r="AG1892" s="2" t="str">
        <f>IF($L1892="","",IF(COUNTIF(LISTS!$A$2:$A$200,$H1892)=0,"NEW",""))</f>
        <v/>
      </c>
    </row>
    <row r="1893" spans="30:33" x14ac:dyDescent="0.25">
      <c r="AD1893" s="2" t="str">
        <f t="shared" si="87"/>
        <v/>
      </c>
      <c r="AE1893" s="2" t="str">
        <f t="shared" si="88"/>
        <v/>
      </c>
      <c r="AF1893" s="2" t="str">
        <f t="shared" si="89"/>
        <v/>
      </c>
      <c r="AG1893" s="2" t="str">
        <f>IF($L1893="","",IF(COUNTIF(LISTS!$A$2:$A$200,$H1893)=0,"NEW",""))</f>
        <v/>
      </c>
    </row>
    <row r="1894" spans="30:33" x14ac:dyDescent="0.25">
      <c r="AD1894" s="2" t="str">
        <f t="shared" si="87"/>
        <v/>
      </c>
      <c r="AE1894" s="2" t="str">
        <f t="shared" si="88"/>
        <v/>
      </c>
      <c r="AF1894" s="2" t="str">
        <f t="shared" si="89"/>
        <v/>
      </c>
      <c r="AG1894" s="2" t="str">
        <f>IF($L1894="","",IF(COUNTIF(LISTS!$A$2:$A$200,$H1894)=0,"NEW",""))</f>
        <v/>
      </c>
    </row>
    <row r="1895" spans="30:33" x14ac:dyDescent="0.25">
      <c r="AD1895" s="2" t="str">
        <f t="shared" si="87"/>
        <v/>
      </c>
      <c r="AE1895" s="2" t="str">
        <f t="shared" si="88"/>
        <v/>
      </c>
      <c r="AF1895" s="2" t="str">
        <f t="shared" si="89"/>
        <v/>
      </c>
      <c r="AG1895" s="2" t="str">
        <f>IF($L1895="","",IF(COUNTIF(LISTS!$A$2:$A$200,$H1895)=0,"NEW",""))</f>
        <v/>
      </c>
    </row>
    <row r="1896" spans="30:33" x14ac:dyDescent="0.25">
      <c r="AD1896" s="2" t="str">
        <f t="shared" si="87"/>
        <v/>
      </c>
      <c r="AE1896" s="2" t="str">
        <f t="shared" si="88"/>
        <v/>
      </c>
      <c r="AF1896" s="2" t="str">
        <f t="shared" si="89"/>
        <v/>
      </c>
      <c r="AG1896" s="2" t="str">
        <f>IF($L1896="","",IF(COUNTIF(LISTS!$A$2:$A$200,$H1896)=0,"NEW",""))</f>
        <v/>
      </c>
    </row>
    <row r="1897" spans="30:33" x14ac:dyDescent="0.25">
      <c r="AD1897" s="2" t="str">
        <f t="shared" si="87"/>
        <v/>
      </c>
      <c r="AE1897" s="2" t="str">
        <f t="shared" si="88"/>
        <v/>
      </c>
      <c r="AF1897" s="2" t="str">
        <f t="shared" si="89"/>
        <v/>
      </c>
      <c r="AG1897" s="2" t="str">
        <f>IF($L1897="","",IF(COUNTIF(LISTS!$A$2:$A$200,$H1897)=0,"NEW",""))</f>
        <v/>
      </c>
    </row>
    <row r="1898" spans="30:33" x14ac:dyDescent="0.25">
      <c r="AD1898" s="2" t="str">
        <f t="shared" si="87"/>
        <v/>
      </c>
      <c r="AE1898" s="2" t="str">
        <f t="shared" si="88"/>
        <v/>
      </c>
      <c r="AF1898" s="2" t="str">
        <f t="shared" si="89"/>
        <v/>
      </c>
      <c r="AG1898" s="2" t="str">
        <f>IF($L1898="","",IF(COUNTIF(LISTS!$A$2:$A$200,$H1898)=0,"NEW",""))</f>
        <v/>
      </c>
    </row>
    <row r="1899" spans="30:33" x14ac:dyDescent="0.25">
      <c r="AD1899" s="2" t="str">
        <f t="shared" si="87"/>
        <v/>
      </c>
      <c r="AE1899" s="2" t="str">
        <f t="shared" si="88"/>
        <v/>
      </c>
      <c r="AF1899" s="2" t="str">
        <f t="shared" si="89"/>
        <v/>
      </c>
      <c r="AG1899" s="2" t="str">
        <f>IF($L1899="","",IF(COUNTIF(LISTS!$A$2:$A$200,$H1899)=0,"NEW",""))</f>
        <v/>
      </c>
    </row>
    <row r="1900" spans="30:33" x14ac:dyDescent="0.25">
      <c r="AD1900" s="2" t="str">
        <f t="shared" si="87"/>
        <v/>
      </c>
      <c r="AE1900" s="2" t="str">
        <f t="shared" si="88"/>
        <v/>
      </c>
      <c r="AF1900" s="2" t="str">
        <f t="shared" si="89"/>
        <v/>
      </c>
      <c r="AG1900" s="2" t="str">
        <f>IF($L1900="","",IF(COUNTIF(LISTS!$A$2:$A$200,$H1900)=0,"NEW",""))</f>
        <v/>
      </c>
    </row>
    <row r="1901" spans="30:33" x14ac:dyDescent="0.25">
      <c r="AD1901" s="2" t="str">
        <f t="shared" si="87"/>
        <v/>
      </c>
      <c r="AE1901" s="2" t="str">
        <f t="shared" si="88"/>
        <v/>
      </c>
      <c r="AF1901" s="2" t="str">
        <f t="shared" si="89"/>
        <v/>
      </c>
      <c r="AG1901" s="2" t="str">
        <f>IF($L1901="","",IF(COUNTIF(LISTS!$A$2:$A$200,$H1901)=0,"NEW",""))</f>
        <v/>
      </c>
    </row>
    <row r="1902" spans="30:33" x14ac:dyDescent="0.25">
      <c r="AD1902" s="2" t="str">
        <f t="shared" si="87"/>
        <v/>
      </c>
      <c r="AE1902" s="2" t="str">
        <f t="shared" si="88"/>
        <v/>
      </c>
      <c r="AF1902" s="2" t="str">
        <f t="shared" si="89"/>
        <v/>
      </c>
      <c r="AG1902" s="2" t="str">
        <f>IF($L1902="","",IF(COUNTIF(LISTS!$A$2:$A$200,$H1902)=0,"NEW",""))</f>
        <v/>
      </c>
    </row>
    <row r="1903" spans="30:33" x14ac:dyDescent="0.25">
      <c r="AD1903" s="2" t="str">
        <f t="shared" si="87"/>
        <v/>
      </c>
      <c r="AE1903" s="2" t="str">
        <f t="shared" si="88"/>
        <v/>
      </c>
      <c r="AF1903" s="2" t="str">
        <f t="shared" si="89"/>
        <v/>
      </c>
      <c r="AG1903" s="2" t="str">
        <f>IF($L1903="","",IF(COUNTIF(LISTS!$A$2:$A$200,$H1903)=0,"NEW",""))</f>
        <v/>
      </c>
    </row>
    <row r="1904" spans="30:33" x14ac:dyDescent="0.25">
      <c r="AD1904" s="2" t="str">
        <f t="shared" si="87"/>
        <v/>
      </c>
      <c r="AE1904" s="2" t="str">
        <f t="shared" si="88"/>
        <v/>
      </c>
      <c r="AF1904" s="2" t="str">
        <f t="shared" si="89"/>
        <v/>
      </c>
      <c r="AG1904" s="2" t="str">
        <f>IF($L1904="","",IF(COUNTIF(LISTS!$A$2:$A$200,$H1904)=0,"NEW",""))</f>
        <v/>
      </c>
    </row>
    <row r="1905" spans="30:33" x14ac:dyDescent="0.25">
      <c r="AD1905" s="2" t="str">
        <f t="shared" si="87"/>
        <v/>
      </c>
      <c r="AE1905" s="2" t="str">
        <f t="shared" si="88"/>
        <v/>
      </c>
      <c r="AF1905" s="2" t="str">
        <f t="shared" si="89"/>
        <v/>
      </c>
      <c r="AG1905" s="2" t="str">
        <f>IF($L1905="","",IF(COUNTIF(LISTS!$A$2:$A$200,$H1905)=0,"NEW",""))</f>
        <v/>
      </c>
    </row>
    <row r="1906" spans="30:33" x14ac:dyDescent="0.25">
      <c r="AD1906" s="2" t="str">
        <f t="shared" si="87"/>
        <v/>
      </c>
      <c r="AE1906" s="2" t="str">
        <f t="shared" si="88"/>
        <v/>
      </c>
      <c r="AF1906" s="2" t="str">
        <f t="shared" si="89"/>
        <v/>
      </c>
      <c r="AG1906" s="2" t="str">
        <f>IF($L1906="","",IF(COUNTIF(LISTS!$A$2:$A$200,$H1906)=0,"NEW",""))</f>
        <v/>
      </c>
    </row>
    <row r="1907" spans="30:33" x14ac:dyDescent="0.25">
      <c r="AD1907" s="2" t="str">
        <f t="shared" si="87"/>
        <v/>
      </c>
      <c r="AE1907" s="2" t="str">
        <f t="shared" si="88"/>
        <v/>
      </c>
      <c r="AF1907" s="2" t="str">
        <f t="shared" si="89"/>
        <v/>
      </c>
      <c r="AG1907" s="2" t="str">
        <f>IF($L1907="","",IF(COUNTIF(LISTS!$A$2:$A$200,$H1907)=0,"NEW",""))</f>
        <v/>
      </c>
    </row>
    <row r="1908" spans="30:33" x14ac:dyDescent="0.25">
      <c r="AD1908" s="2" t="str">
        <f t="shared" si="87"/>
        <v/>
      </c>
      <c r="AE1908" s="2" t="str">
        <f t="shared" si="88"/>
        <v/>
      </c>
      <c r="AF1908" s="2" t="str">
        <f t="shared" si="89"/>
        <v/>
      </c>
      <c r="AG1908" s="2" t="str">
        <f>IF($L1908="","",IF(COUNTIF(LISTS!$A$2:$A$200,$H1908)=0,"NEW",""))</f>
        <v/>
      </c>
    </row>
    <row r="1909" spans="30:33" x14ac:dyDescent="0.25">
      <c r="AD1909" s="2" t="str">
        <f t="shared" si="87"/>
        <v/>
      </c>
      <c r="AE1909" s="2" t="str">
        <f t="shared" si="88"/>
        <v/>
      </c>
      <c r="AF1909" s="2" t="str">
        <f t="shared" si="89"/>
        <v/>
      </c>
      <c r="AG1909" s="2" t="str">
        <f>IF($L1909="","",IF(COUNTIF(LISTS!$A$2:$A$200,$H1909)=0,"NEW",""))</f>
        <v/>
      </c>
    </row>
    <row r="1910" spans="30:33" x14ac:dyDescent="0.25">
      <c r="AD1910" s="2" t="str">
        <f t="shared" si="87"/>
        <v/>
      </c>
      <c r="AE1910" s="2" t="str">
        <f t="shared" si="88"/>
        <v/>
      </c>
      <c r="AF1910" s="2" t="str">
        <f t="shared" si="89"/>
        <v/>
      </c>
      <c r="AG1910" s="2" t="str">
        <f>IF($L1910="","",IF(COUNTIF(LISTS!$A$2:$A$200,$H1910)=0,"NEW",""))</f>
        <v/>
      </c>
    </row>
    <row r="1911" spans="30:33" x14ac:dyDescent="0.25">
      <c r="AD1911" s="2" t="str">
        <f t="shared" si="87"/>
        <v/>
      </c>
      <c r="AE1911" s="2" t="str">
        <f t="shared" si="88"/>
        <v/>
      </c>
      <c r="AF1911" s="2" t="str">
        <f t="shared" si="89"/>
        <v/>
      </c>
      <c r="AG1911" s="2" t="str">
        <f>IF($L1911="","",IF(COUNTIF(LISTS!$A$2:$A$200,$H1911)=0,"NEW",""))</f>
        <v/>
      </c>
    </row>
    <row r="1912" spans="30:33" x14ac:dyDescent="0.25">
      <c r="AD1912" s="2" t="str">
        <f t="shared" si="87"/>
        <v/>
      </c>
      <c r="AE1912" s="2" t="str">
        <f t="shared" si="88"/>
        <v/>
      </c>
      <c r="AF1912" s="2" t="str">
        <f t="shared" si="89"/>
        <v/>
      </c>
      <c r="AG1912" s="2" t="str">
        <f>IF($L1912="","",IF(COUNTIF(LISTS!$A$2:$A$200,$H1912)=0,"NEW",""))</f>
        <v/>
      </c>
    </row>
    <row r="1913" spans="30:33" x14ac:dyDescent="0.25">
      <c r="AD1913" s="2" t="str">
        <f t="shared" si="87"/>
        <v/>
      </c>
      <c r="AE1913" s="2" t="str">
        <f t="shared" si="88"/>
        <v/>
      </c>
      <c r="AF1913" s="2" t="str">
        <f t="shared" si="89"/>
        <v/>
      </c>
      <c r="AG1913" s="2" t="str">
        <f>IF($L1913="","",IF(COUNTIF(LISTS!$A$2:$A$200,$H1913)=0,"NEW",""))</f>
        <v/>
      </c>
    </row>
    <row r="1914" spans="30:33" x14ac:dyDescent="0.25">
      <c r="AD1914" s="2" t="str">
        <f t="shared" si="87"/>
        <v/>
      </c>
      <c r="AE1914" s="2" t="str">
        <f t="shared" si="88"/>
        <v/>
      </c>
      <c r="AF1914" s="2" t="str">
        <f t="shared" si="89"/>
        <v/>
      </c>
      <c r="AG1914" s="2" t="str">
        <f>IF($L1914="","",IF(COUNTIF(LISTS!$A$2:$A$200,$H1914)=0,"NEW",""))</f>
        <v/>
      </c>
    </row>
    <row r="1915" spans="30:33" x14ac:dyDescent="0.25">
      <c r="AD1915" s="2" t="str">
        <f t="shared" si="87"/>
        <v/>
      </c>
      <c r="AE1915" s="2" t="str">
        <f t="shared" si="88"/>
        <v/>
      </c>
      <c r="AF1915" s="2" t="str">
        <f t="shared" si="89"/>
        <v/>
      </c>
      <c r="AG1915" s="2" t="str">
        <f>IF($L1915="","",IF(COUNTIF(LISTS!$A$2:$A$200,$H1915)=0,"NEW",""))</f>
        <v/>
      </c>
    </row>
    <row r="1916" spans="30:33" x14ac:dyDescent="0.25">
      <c r="AD1916" s="2" t="str">
        <f t="shared" si="87"/>
        <v/>
      </c>
      <c r="AE1916" s="2" t="str">
        <f t="shared" si="88"/>
        <v/>
      </c>
      <c r="AF1916" s="2" t="str">
        <f t="shared" si="89"/>
        <v/>
      </c>
      <c r="AG1916" s="2" t="str">
        <f>IF($L1916="","",IF(COUNTIF(LISTS!$A$2:$A$200,$H1916)=0,"NEW",""))</f>
        <v/>
      </c>
    </row>
    <row r="1917" spans="30:33" x14ac:dyDescent="0.25">
      <c r="AD1917" s="2" t="str">
        <f t="shared" si="87"/>
        <v/>
      </c>
      <c r="AE1917" s="2" t="str">
        <f t="shared" si="88"/>
        <v/>
      </c>
      <c r="AF1917" s="2" t="str">
        <f t="shared" si="89"/>
        <v/>
      </c>
      <c r="AG1917" s="2" t="str">
        <f>IF($L1917="","",IF(COUNTIF(LISTS!$A$2:$A$200,$H1917)=0,"NEW",""))</f>
        <v/>
      </c>
    </row>
    <row r="1918" spans="30:33" x14ac:dyDescent="0.25">
      <c r="AD1918" s="2" t="str">
        <f t="shared" si="87"/>
        <v/>
      </c>
      <c r="AE1918" s="2" t="str">
        <f t="shared" si="88"/>
        <v/>
      </c>
      <c r="AF1918" s="2" t="str">
        <f t="shared" si="89"/>
        <v/>
      </c>
      <c r="AG1918" s="2" t="str">
        <f>IF($L1918="","",IF(COUNTIF(LISTS!$A$2:$A$200,$H1918)=0,"NEW",""))</f>
        <v/>
      </c>
    </row>
    <row r="1919" spans="30:33" x14ac:dyDescent="0.25">
      <c r="AD1919" s="2" t="str">
        <f t="shared" si="87"/>
        <v/>
      </c>
      <c r="AE1919" s="2" t="str">
        <f t="shared" si="88"/>
        <v/>
      </c>
      <c r="AF1919" s="2" t="str">
        <f t="shared" si="89"/>
        <v/>
      </c>
      <c r="AG1919" s="2" t="str">
        <f>IF($L1919="","",IF(COUNTIF(LISTS!$A$2:$A$200,$H1919)=0,"NEW",""))</f>
        <v/>
      </c>
    </row>
    <row r="1920" spans="30:33" x14ac:dyDescent="0.25">
      <c r="AD1920" s="2" t="str">
        <f t="shared" si="87"/>
        <v/>
      </c>
      <c r="AE1920" s="2" t="str">
        <f t="shared" si="88"/>
        <v/>
      </c>
      <c r="AF1920" s="2" t="str">
        <f t="shared" si="89"/>
        <v/>
      </c>
      <c r="AG1920" s="2" t="str">
        <f>IF($L1920="","",IF(COUNTIF(LISTS!$A$2:$A$200,$H1920)=0,"NEW",""))</f>
        <v/>
      </c>
    </row>
    <row r="1921" spans="30:33" x14ac:dyDescent="0.25">
      <c r="AD1921" s="2" t="str">
        <f t="shared" si="87"/>
        <v/>
      </c>
      <c r="AE1921" s="2" t="str">
        <f t="shared" si="88"/>
        <v/>
      </c>
      <c r="AF1921" s="2" t="str">
        <f t="shared" si="89"/>
        <v/>
      </c>
      <c r="AG1921" s="2" t="str">
        <f>IF($L1921="","",IF(COUNTIF(LISTS!$A$2:$A$200,$H1921)=0,"NEW",""))</f>
        <v/>
      </c>
    </row>
    <row r="1922" spans="30:33" x14ac:dyDescent="0.25">
      <c r="AD1922" s="2" t="str">
        <f t="shared" ref="AD1922:AD1985" si="90">IF($L1922="","",IF(ISNUMBER(SEARCH("OFF ROAD",$H1922)),"OFF",IF(ISNUMBER(SEARCH("ON ROAD",$H1922)),"ON","")))</f>
        <v/>
      </c>
      <c r="AE1922" s="2" t="str">
        <f t="shared" ref="AE1922:AE1985" si="91">IF($AD1922="ON",""&amp;$L1922,"")</f>
        <v/>
      </c>
      <c r="AF1922" s="2" t="str">
        <f t="shared" ref="AF1922:AF1985" si="92">IF($L1922="","",IF($J1922&lt;&gt;"","Y",""))</f>
        <v/>
      </c>
      <c r="AG1922" s="2" t="str">
        <f>IF($L1922="","",IF(COUNTIF(LISTS!$A$2:$A$200,$H1922)=0,"NEW",""))</f>
        <v/>
      </c>
    </row>
    <row r="1923" spans="30:33" x14ac:dyDescent="0.25">
      <c r="AD1923" s="2" t="str">
        <f t="shared" si="90"/>
        <v/>
      </c>
      <c r="AE1923" s="2" t="str">
        <f t="shared" si="91"/>
        <v/>
      </c>
      <c r="AF1923" s="2" t="str">
        <f t="shared" si="92"/>
        <v/>
      </c>
      <c r="AG1923" s="2" t="str">
        <f>IF($L1923="","",IF(COUNTIF(LISTS!$A$2:$A$200,$H1923)=0,"NEW",""))</f>
        <v/>
      </c>
    </row>
    <row r="1924" spans="30:33" x14ac:dyDescent="0.25">
      <c r="AD1924" s="2" t="str">
        <f t="shared" si="90"/>
        <v/>
      </c>
      <c r="AE1924" s="2" t="str">
        <f t="shared" si="91"/>
        <v/>
      </c>
      <c r="AF1924" s="2" t="str">
        <f t="shared" si="92"/>
        <v/>
      </c>
      <c r="AG1924" s="2" t="str">
        <f>IF($L1924="","",IF(COUNTIF(LISTS!$A$2:$A$200,$H1924)=0,"NEW",""))</f>
        <v/>
      </c>
    </row>
    <row r="1925" spans="30:33" x14ac:dyDescent="0.25">
      <c r="AD1925" s="2" t="str">
        <f t="shared" si="90"/>
        <v/>
      </c>
      <c r="AE1925" s="2" t="str">
        <f t="shared" si="91"/>
        <v/>
      </c>
      <c r="AF1925" s="2" t="str">
        <f t="shared" si="92"/>
        <v/>
      </c>
      <c r="AG1925" s="2" t="str">
        <f>IF($L1925="","",IF(COUNTIF(LISTS!$A$2:$A$200,$H1925)=0,"NEW",""))</f>
        <v/>
      </c>
    </row>
    <row r="1926" spans="30:33" x14ac:dyDescent="0.25">
      <c r="AD1926" s="2" t="str">
        <f t="shared" si="90"/>
        <v/>
      </c>
      <c r="AE1926" s="2" t="str">
        <f t="shared" si="91"/>
        <v/>
      </c>
      <c r="AF1926" s="2" t="str">
        <f t="shared" si="92"/>
        <v/>
      </c>
      <c r="AG1926" s="2" t="str">
        <f>IF($L1926="","",IF(COUNTIF(LISTS!$A$2:$A$200,$H1926)=0,"NEW",""))</f>
        <v/>
      </c>
    </row>
    <row r="1927" spans="30:33" x14ac:dyDescent="0.25">
      <c r="AD1927" s="2" t="str">
        <f t="shared" si="90"/>
        <v/>
      </c>
      <c r="AE1927" s="2" t="str">
        <f t="shared" si="91"/>
        <v/>
      </c>
      <c r="AF1927" s="2" t="str">
        <f t="shared" si="92"/>
        <v/>
      </c>
      <c r="AG1927" s="2" t="str">
        <f>IF($L1927="","",IF(COUNTIF(LISTS!$A$2:$A$200,$H1927)=0,"NEW",""))</f>
        <v/>
      </c>
    </row>
    <row r="1928" spans="30:33" x14ac:dyDescent="0.25">
      <c r="AD1928" s="2" t="str">
        <f t="shared" si="90"/>
        <v/>
      </c>
      <c r="AE1928" s="2" t="str">
        <f t="shared" si="91"/>
        <v/>
      </c>
      <c r="AF1928" s="2" t="str">
        <f t="shared" si="92"/>
        <v/>
      </c>
      <c r="AG1928" s="2" t="str">
        <f>IF($L1928="","",IF(COUNTIF(LISTS!$A$2:$A$200,$H1928)=0,"NEW",""))</f>
        <v/>
      </c>
    </row>
    <row r="1929" spans="30:33" x14ac:dyDescent="0.25">
      <c r="AD1929" s="2" t="str">
        <f t="shared" si="90"/>
        <v/>
      </c>
      <c r="AE1929" s="2" t="str">
        <f t="shared" si="91"/>
        <v/>
      </c>
      <c r="AF1929" s="2" t="str">
        <f t="shared" si="92"/>
        <v/>
      </c>
      <c r="AG1929" s="2" t="str">
        <f>IF($L1929="","",IF(COUNTIF(LISTS!$A$2:$A$200,$H1929)=0,"NEW",""))</f>
        <v/>
      </c>
    </row>
    <row r="1930" spans="30:33" x14ac:dyDescent="0.25">
      <c r="AD1930" s="2" t="str">
        <f t="shared" si="90"/>
        <v/>
      </c>
      <c r="AE1930" s="2" t="str">
        <f t="shared" si="91"/>
        <v/>
      </c>
      <c r="AF1930" s="2" t="str">
        <f t="shared" si="92"/>
        <v/>
      </c>
      <c r="AG1930" s="2" t="str">
        <f>IF($L1930="","",IF(COUNTIF(LISTS!$A$2:$A$200,$H1930)=0,"NEW",""))</f>
        <v/>
      </c>
    </row>
    <row r="1931" spans="30:33" x14ac:dyDescent="0.25">
      <c r="AD1931" s="2" t="str">
        <f t="shared" si="90"/>
        <v/>
      </c>
      <c r="AE1931" s="2" t="str">
        <f t="shared" si="91"/>
        <v/>
      </c>
      <c r="AF1931" s="2" t="str">
        <f t="shared" si="92"/>
        <v/>
      </c>
      <c r="AG1931" s="2" t="str">
        <f>IF($L1931="","",IF(COUNTIF(LISTS!$A$2:$A$200,$H1931)=0,"NEW",""))</f>
        <v/>
      </c>
    </row>
    <row r="1932" spans="30:33" x14ac:dyDescent="0.25">
      <c r="AD1932" s="2" t="str">
        <f t="shared" si="90"/>
        <v/>
      </c>
      <c r="AE1932" s="2" t="str">
        <f t="shared" si="91"/>
        <v/>
      </c>
      <c r="AF1932" s="2" t="str">
        <f t="shared" si="92"/>
        <v/>
      </c>
      <c r="AG1932" s="2" t="str">
        <f>IF($L1932="","",IF(COUNTIF(LISTS!$A$2:$A$200,$H1932)=0,"NEW",""))</f>
        <v/>
      </c>
    </row>
    <row r="1933" spans="30:33" x14ac:dyDescent="0.25">
      <c r="AD1933" s="2" t="str">
        <f t="shared" si="90"/>
        <v/>
      </c>
      <c r="AE1933" s="2" t="str">
        <f t="shared" si="91"/>
        <v/>
      </c>
      <c r="AF1933" s="2" t="str">
        <f t="shared" si="92"/>
        <v/>
      </c>
      <c r="AG1933" s="2" t="str">
        <f>IF($L1933="","",IF(COUNTIF(LISTS!$A$2:$A$200,$H1933)=0,"NEW",""))</f>
        <v/>
      </c>
    </row>
    <row r="1934" spans="30:33" x14ac:dyDescent="0.25">
      <c r="AD1934" s="2" t="str">
        <f t="shared" si="90"/>
        <v/>
      </c>
      <c r="AE1934" s="2" t="str">
        <f t="shared" si="91"/>
        <v/>
      </c>
      <c r="AF1934" s="2" t="str">
        <f t="shared" si="92"/>
        <v/>
      </c>
      <c r="AG1934" s="2" t="str">
        <f>IF($L1934="","",IF(COUNTIF(LISTS!$A$2:$A$200,$H1934)=0,"NEW",""))</f>
        <v/>
      </c>
    </row>
    <row r="1935" spans="30:33" x14ac:dyDescent="0.25">
      <c r="AD1935" s="2" t="str">
        <f t="shared" si="90"/>
        <v/>
      </c>
      <c r="AE1935" s="2" t="str">
        <f t="shared" si="91"/>
        <v/>
      </c>
      <c r="AF1935" s="2" t="str">
        <f t="shared" si="92"/>
        <v/>
      </c>
      <c r="AG1935" s="2" t="str">
        <f>IF($L1935="","",IF(COUNTIF(LISTS!$A$2:$A$200,$H1935)=0,"NEW",""))</f>
        <v/>
      </c>
    </row>
    <row r="1936" spans="30:33" x14ac:dyDescent="0.25">
      <c r="AD1936" s="2" t="str">
        <f t="shared" si="90"/>
        <v/>
      </c>
      <c r="AE1936" s="2" t="str">
        <f t="shared" si="91"/>
        <v/>
      </c>
      <c r="AF1936" s="2" t="str">
        <f t="shared" si="92"/>
        <v/>
      </c>
      <c r="AG1936" s="2" t="str">
        <f>IF($L1936="","",IF(COUNTIF(LISTS!$A$2:$A$200,$H1936)=0,"NEW",""))</f>
        <v/>
      </c>
    </row>
    <row r="1937" spans="30:33" x14ac:dyDescent="0.25">
      <c r="AD1937" s="2" t="str">
        <f t="shared" si="90"/>
        <v/>
      </c>
      <c r="AE1937" s="2" t="str">
        <f t="shared" si="91"/>
        <v/>
      </c>
      <c r="AF1937" s="2" t="str">
        <f t="shared" si="92"/>
        <v/>
      </c>
      <c r="AG1937" s="2" t="str">
        <f>IF($L1937="","",IF(COUNTIF(LISTS!$A$2:$A$200,$H1937)=0,"NEW",""))</f>
        <v/>
      </c>
    </row>
    <row r="1938" spans="30:33" x14ac:dyDescent="0.25">
      <c r="AD1938" s="2" t="str">
        <f t="shared" si="90"/>
        <v/>
      </c>
      <c r="AE1938" s="2" t="str">
        <f t="shared" si="91"/>
        <v/>
      </c>
      <c r="AF1938" s="2" t="str">
        <f t="shared" si="92"/>
        <v/>
      </c>
      <c r="AG1938" s="2" t="str">
        <f>IF($L1938="","",IF(COUNTIF(LISTS!$A$2:$A$200,$H1938)=0,"NEW",""))</f>
        <v/>
      </c>
    </row>
    <row r="1939" spans="30:33" x14ac:dyDescent="0.25">
      <c r="AD1939" s="2" t="str">
        <f t="shared" si="90"/>
        <v/>
      </c>
      <c r="AE1939" s="2" t="str">
        <f t="shared" si="91"/>
        <v/>
      </c>
      <c r="AF1939" s="2" t="str">
        <f t="shared" si="92"/>
        <v/>
      </c>
      <c r="AG1939" s="2" t="str">
        <f>IF($L1939="","",IF(COUNTIF(LISTS!$A$2:$A$200,$H1939)=0,"NEW",""))</f>
        <v/>
      </c>
    </row>
    <row r="1940" spans="30:33" x14ac:dyDescent="0.25">
      <c r="AD1940" s="2" t="str">
        <f t="shared" si="90"/>
        <v/>
      </c>
      <c r="AE1940" s="2" t="str">
        <f t="shared" si="91"/>
        <v/>
      </c>
      <c r="AF1940" s="2" t="str">
        <f t="shared" si="92"/>
        <v/>
      </c>
      <c r="AG1940" s="2" t="str">
        <f>IF($L1940="","",IF(COUNTIF(LISTS!$A$2:$A$200,$H1940)=0,"NEW",""))</f>
        <v/>
      </c>
    </row>
    <row r="1941" spans="30:33" x14ac:dyDescent="0.25">
      <c r="AD1941" s="2" t="str">
        <f t="shared" si="90"/>
        <v/>
      </c>
      <c r="AE1941" s="2" t="str">
        <f t="shared" si="91"/>
        <v/>
      </c>
      <c r="AF1941" s="2" t="str">
        <f t="shared" si="92"/>
        <v/>
      </c>
      <c r="AG1941" s="2" t="str">
        <f>IF($L1941="","",IF(COUNTIF(LISTS!$A$2:$A$200,$H1941)=0,"NEW",""))</f>
        <v/>
      </c>
    </row>
    <row r="1942" spans="30:33" x14ac:dyDescent="0.25">
      <c r="AD1942" s="2" t="str">
        <f t="shared" si="90"/>
        <v/>
      </c>
      <c r="AE1942" s="2" t="str">
        <f t="shared" si="91"/>
        <v/>
      </c>
      <c r="AF1942" s="2" t="str">
        <f t="shared" si="92"/>
        <v/>
      </c>
      <c r="AG1942" s="2" t="str">
        <f>IF($L1942="","",IF(COUNTIF(LISTS!$A$2:$A$200,$H1942)=0,"NEW",""))</f>
        <v/>
      </c>
    </row>
    <row r="1943" spans="30:33" x14ac:dyDescent="0.25">
      <c r="AD1943" s="2" t="str">
        <f t="shared" si="90"/>
        <v/>
      </c>
      <c r="AE1943" s="2" t="str">
        <f t="shared" si="91"/>
        <v/>
      </c>
      <c r="AF1943" s="2" t="str">
        <f t="shared" si="92"/>
        <v/>
      </c>
      <c r="AG1943" s="2" t="str">
        <f>IF($L1943="","",IF(COUNTIF(LISTS!$A$2:$A$200,$H1943)=0,"NEW",""))</f>
        <v/>
      </c>
    </row>
    <row r="1944" spans="30:33" x14ac:dyDescent="0.25">
      <c r="AD1944" s="2" t="str">
        <f t="shared" si="90"/>
        <v/>
      </c>
      <c r="AE1944" s="2" t="str">
        <f t="shared" si="91"/>
        <v/>
      </c>
      <c r="AF1944" s="2" t="str">
        <f t="shared" si="92"/>
        <v/>
      </c>
      <c r="AG1944" s="2" t="str">
        <f>IF($L1944="","",IF(COUNTIF(LISTS!$A$2:$A$200,$H1944)=0,"NEW",""))</f>
        <v/>
      </c>
    </row>
    <row r="1945" spans="30:33" x14ac:dyDescent="0.25">
      <c r="AD1945" s="2" t="str">
        <f t="shared" si="90"/>
        <v/>
      </c>
      <c r="AE1945" s="2" t="str">
        <f t="shared" si="91"/>
        <v/>
      </c>
      <c r="AF1945" s="2" t="str">
        <f t="shared" si="92"/>
        <v/>
      </c>
      <c r="AG1945" s="2" t="str">
        <f>IF($L1945="","",IF(COUNTIF(LISTS!$A$2:$A$200,$H1945)=0,"NEW",""))</f>
        <v/>
      </c>
    </row>
    <row r="1946" spans="30:33" x14ac:dyDescent="0.25">
      <c r="AD1946" s="2" t="str">
        <f t="shared" si="90"/>
        <v/>
      </c>
      <c r="AE1946" s="2" t="str">
        <f t="shared" si="91"/>
        <v/>
      </c>
      <c r="AF1946" s="2" t="str">
        <f t="shared" si="92"/>
        <v/>
      </c>
      <c r="AG1946" s="2" t="str">
        <f>IF($L1946="","",IF(COUNTIF(LISTS!$A$2:$A$200,$H1946)=0,"NEW",""))</f>
        <v/>
      </c>
    </row>
    <row r="1947" spans="30:33" x14ac:dyDescent="0.25">
      <c r="AD1947" s="2" t="str">
        <f t="shared" si="90"/>
        <v/>
      </c>
      <c r="AE1947" s="2" t="str">
        <f t="shared" si="91"/>
        <v/>
      </c>
      <c r="AF1947" s="2" t="str">
        <f t="shared" si="92"/>
        <v/>
      </c>
      <c r="AG1947" s="2" t="str">
        <f>IF($L1947="","",IF(COUNTIF(LISTS!$A$2:$A$200,$H1947)=0,"NEW",""))</f>
        <v/>
      </c>
    </row>
    <row r="1948" spans="30:33" x14ac:dyDescent="0.25">
      <c r="AD1948" s="2" t="str">
        <f t="shared" si="90"/>
        <v/>
      </c>
      <c r="AE1948" s="2" t="str">
        <f t="shared" si="91"/>
        <v/>
      </c>
      <c r="AF1948" s="2" t="str">
        <f t="shared" si="92"/>
        <v/>
      </c>
      <c r="AG1948" s="2" t="str">
        <f>IF($L1948="","",IF(COUNTIF(LISTS!$A$2:$A$200,$H1948)=0,"NEW",""))</f>
        <v/>
      </c>
    </row>
    <row r="1949" spans="30:33" x14ac:dyDescent="0.25">
      <c r="AD1949" s="2" t="str">
        <f t="shared" si="90"/>
        <v/>
      </c>
      <c r="AE1949" s="2" t="str">
        <f t="shared" si="91"/>
        <v/>
      </c>
      <c r="AF1949" s="2" t="str">
        <f t="shared" si="92"/>
        <v/>
      </c>
      <c r="AG1949" s="2" t="str">
        <f>IF($L1949="","",IF(COUNTIF(LISTS!$A$2:$A$200,$H1949)=0,"NEW",""))</f>
        <v/>
      </c>
    </row>
    <row r="1950" spans="30:33" x14ac:dyDescent="0.25">
      <c r="AD1950" s="2" t="str">
        <f t="shared" si="90"/>
        <v/>
      </c>
      <c r="AE1950" s="2" t="str">
        <f t="shared" si="91"/>
        <v/>
      </c>
      <c r="AF1950" s="2" t="str">
        <f t="shared" si="92"/>
        <v/>
      </c>
      <c r="AG1950" s="2" t="str">
        <f>IF($L1950="","",IF(COUNTIF(LISTS!$A$2:$A$200,$H1950)=0,"NEW",""))</f>
        <v/>
      </c>
    </row>
    <row r="1951" spans="30:33" x14ac:dyDescent="0.25">
      <c r="AD1951" s="2" t="str">
        <f t="shared" si="90"/>
        <v/>
      </c>
      <c r="AE1951" s="2" t="str">
        <f t="shared" si="91"/>
        <v/>
      </c>
      <c r="AF1951" s="2" t="str">
        <f t="shared" si="92"/>
        <v/>
      </c>
      <c r="AG1951" s="2" t="str">
        <f>IF($L1951="","",IF(COUNTIF(LISTS!$A$2:$A$200,$H1951)=0,"NEW",""))</f>
        <v/>
      </c>
    </row>
    <row r="1952" spans="30:33" x14ac:dyDescent="0.25">
      <c r="AD1952" s="2" t="str">
        <f t="shared" si="90"/>
        <v/>
      </c>
      <c r="AE1952" s="2" t="str">
        <f t="shared" si="91"/>
        <v/>
      </c>
      <c r="AF1952" s="2" t="str">
        <f t="shared" si="92"/>
        <v/>
      </c>
      <c r="AG1952" s="2" t="str">
        <f>IF($L1952="","",IF(COUNTIF(LISTS!$A$2:$A$200,$H1952)=0,"NEW",""))</f>
        <v/>
      </c>
    </row>
    <row r="1953" spans="30:33" x14ac:dyDescent="0.25">
      <c r="AD1953" s="2" t="str">
        <f t="shared" si="90"/>
        <v/>
      </c>
      <c r="AE1953" s="2" t="str">
        <f t="shared" si="91"/>
        <v/>
      </c>
      <c r="AF1953" s="2" t="str">
        <f t="shared" si="92"/>
        <v/>
      </c>
      <c r="AG1953" s="2" t="str">
        <f>IF($L1953="","",IF(COUNTIF(LISTS!$A$2:$A$200,$H1953)=0,"NEW",""))</f>
        <v/>
      </c>
    </row>
    <row r="1954" spans="30:33" x14ac:dyDescent="0.25">
      <c r="AD1954" s="2" t="str">
        <f t="shared" si="90"/>
        <v/>
      </c>
      <c r="AE1954" s="2" t="str">
        <f t="shared" si="91"/>
        <v/>
      </c>
      <c r="AF1954" s="2" t="str">
        <f t="shared" si="92"/>
        <v/>
      </c>
      <c r="AG1954" s="2" t="str">
        <f>IF($L1954="","",IF(COUNTIF(LISTS!$A$2:$A$200,$H1954)=0,"NEW",""))</f>
        <v/>
      </c>
    </row>
    <row r="1955" spans="30:33" x14ac:dyDescent="0.25">
      <c r="AD1955" s="2" t="str">
        <f t="shared" si="90"/>
        <v/>
      </c>
      <c r="AE1955" s="2" t="str">
        <f t="shared" si="91"/>
        <v/>
      </c>
      <c r="AF1955" s="2" t="str">
        <f t="shared" si="92"/>
        <v/>
      </c>
      <c r="AG1955" s="2" t="str">
        <f>IF($L1955="","",IF(COUNTIF(LISTS!$A$2:$A$200,$H1955)=0,"NEW",""))</f>
        <v/>
      </c>
    </row>
    <row r="1956" spans="30:33" x14ac:dyDescent="0.25">
      <c r="AD1956" s="2" t="str">
        <f t="shared" si="90"/>
        <v/>
      </c>
      <c r="AE1956" s="2" t="str">
        <f t="shared" si="91"/>
        <v/>
      </c>
      <c r="AF1956" s="2" t="str">
        <f t="shared" si="92"/>
        <v/>
      </c>
      <c r="AG1956" s="2" t="str">
        <f>IF($L1956="","",IF(COUNTIF(LISTS!$A$2:$A$200,$H1956)=0,"NEW",""))</f>
        <v/>
      </c>
    </row>
    <row r="1957" spans="30:33" x14ac:dyDescent="0.25">
      <c r="AD1957" s="2" t="str">
        <f t="shared" si="90"/>
        <v/>
      </c>
      <c r="AE1957" s="2" t="str">
        <f t="shared" si="91"/>
        <v/>
      </c>
      <c r="AF1957" s="2" t="str">
        <f t="shared" si="92"/>
        <v/>
      </c>
      <c r="AG1957" s="2" t="str">
        <f>IF($L1957="","",IF(COUNTIF(LISTS!$A$2:$A$200,$H1957)=0,"NEW",""))</f>
        <v/>
      </c>
    </row>
    <row r="1958" spans="30:33" x14ac:dyDescent="0.25">
      <c r="AD1958" s="2" t="str">
        <f t="shared" si="90"/>
        <v/>
      </c>
      <c r="AE1958" s="2" t="str">
        <f t="shared" si="91"/>
        <v/>
      </c>
      <c r="AF1958" s="2" t="str">
        <f t="shared" si="92"/>
        <v/>
      </c>
      <c r="AG1958" s="2" t="str">
        <f>IF($L1958="","",IF(COUNTIF(LISTS!$A$2:$A$200,$H1958)=0,"NEW",""))</f>
        <v/>
      </c>
    </row>
    <row r="1959" spans="30:33" x14ac:dyDescent="0.25">
      <c r="AD1959" s="2" t="str">
        <f t="shared" si="90"/>
        <v/>
      </c>
      <c r="AE1959" s="2" t="str">
        <f t="shared" si="91"/>
        <v/>
      </c>
      <c r="AF1959" s="2" t="str">
        <f t="shared" si="92"/>
        <v/>
      </c>
      <c r="AG1959" s="2" t="str">
        <f>IF($L1959="","",IF(COUNTIF(LISTS!$A$2:$A$200,$H1959)=0,"NEW",""))</f>
        <v/>
      </c>
    </row>
    <row r="1960" spans="30:33" x14ac:dyDescent="0.25">
      <c r="AD1960" s="2" t="str">
        <f t="shared" si="90"/>
        <v/>
      </c>
      <c r="AE1960" s="2" t="str">
        <f t="shared" si="91"/>
        <v/>
      </c>
      <c r="AF1960" s="2" t="str">
        <f t="shared" si="92"/>
        <v/>
      </c>
      <c r="AG1960" s="2" t="str">
        <f>IF($L1960="","",IF(COUNTIF(LISTS!$A$2:$A$200,$H1960)=0,"NEW",""))</f>
        <v/>
      </c>
    </row>
    <row r="1961" spans="30:33" x14ac:dyDescent="0.25">
      <c r="AD1961" s="2" t="str">
        <f t="shared" si="90"/>
        <v/>
      </c>
      <c r="AE1961" s="2" t="str">
        <f t="shared" si="91"/>
        <v/>
      </c>
      <c r="AF1961" s="2" t="str">
        <f t="shared" si="92"/>
        <v/>
      </c>
      <c r="AG1961" s="2" t="str">
        <f>IF($L1961="","",IF(COUNTIF(LISTS!$A$2:$A$200,$H1961)=0,"NEW",""))</f>
        <v/>
      </c>
    </row>
    <row r="1962" spans="30:33" x14ac:dyDescent="0.25">
      <c r="AD1962" s="2" t="str">
        <f t="shared" si="90"/>
        <v/>
      </c>
      <c r="AE1962" s="2" t="str">
        <f t="shared" si="91"/>
        <v/>
      </c>
      <c r="AF1962" s="2" t="str">
        <f t="shared" si="92"/>
        <v/>
      </c>
      <c r="AG1962" s="2" t="str">
        <f>IF($L1962="","",IF(COUNTIF(LISTS!$A$2:$A$200,$H1962)=0,"NEW",""))</f>
        <v/>
      </c>
    </row>
    <row r="1963" spans="30:33" x14ac:dyDescent="0.25">
      <c r="AD1963" s="2" t="str">
        <f t="shared" si="90"/>
        <v/>
      </c>
      <c r="AE1963" s="2" t="str">
        <f t="shared" si="91"/>
        <v/>
      </c>
      <c r="AF1963" s="2" t="str">
        <f t="shared" si="92"/>
        <v/>
      </c>
      <c r="AG1963" s="2" t="str">
        <f>IF($L1963="","",IF(COUNTIF(LISTS!$A$2:$A$200,$H1963)=0,"NEW",""))</f>
        <v/>
      </c>
    </row>
    <row r="1964" spans="30:33" x14ac:dyDescent="0.25">
      <c r="AD1964" s="2" t="str">
        <f t="shared" si="90"/>
        <v/>
      </c>
      <c r="AE1964" s="2" t="str">
        <f t="shared" si="91"/>
        <v/>
      </c>
      <c r="AF1964" s="2" t="str">
        <f t="shared" si="92"/>
        <v/>
      </c>
      <c r="AG1964" s="2" t="str">
        <f>IF($L1964="","",IF(COUNTIF(LISTS!$A$2:$A$200,$H1964)=0,"NEW",""))</f>
        <v/>
      </c>
    </row>
    <row r="1965" spans="30:33" x14ac:dyDescent="0.25">
      <c r="AD1965" s="2" t="str">
        <f t="shared" si="90"/>
        <v/>
      </c>
      <c r="AE1965" s="2" t="str">
        <f t="shared" si="91"/>
        <v/>
      </c>
      <c r="AF1965" s="2" t="str">
        <f t="shared" si="92"/>
        <v/>
      </c>
      <c r="AG1965" s="2" t="str">
        <f>IF($L1965="","",IF(COUNTIF(LISTS!$A$2:$A$200,$H1965)=0,"NEW",""))</f>
        <v/>
      </c>
    </row>
    <row r="1966" spans="30:33" x14ac:dyDescent="0.25">
      <c r="AD1966" s="2" t="str">
        <f t="shared" si="90"/>
        <v/>
      </c>
      <c r="AE1966" s="2" t="str">
        <f t="shared" si="91"/>
        <v/>
      </c>
      <c r="AF1966" s="2" t="str">
        <f t="shared" si="92"/>
        <v/>
      </c>
      <c r="AG1966" s="2" t="str">
        <f>IF($L1966="","",IF(COUNTIF(LISTS!$A$2:$A$200,$H1966)=0,"NEW",""))</f>
        <v/>
      </c>
    </row>
    <row r="1967" spans="30:33" x14ac:dyDescent="0.25">
      <c r="AD1967" s="2" t="str">
        <f t="shared" si="90"/>
        <v/>
      </c>
      <c r="AE1967" s="2" t="str">
        <f t="shared" si="91"/>
        <v/>
      </c>
      <c r="AF1967" s="2" t="str">
        <f t="shared" si="92"/>
        <v/>
      </c>
      <c r="AG1967" s="2" t="str">
        <f>IF($L1967="","",IF(COUNTIF(LISTS!$A$2:$A$200,$H1967)=0,"NEW",""))</f>
        <v/>
      </c>
    </row>
    <row r="1968" spans="30:33" x14ac:dyDescent="0.25">
      <c r="AD1968" s="2" t="str">
        <f t="shared" si="90"/>
        <v/>
      </c>
      <c r="AE1968" s="2" t="str">
        <f t="shared" si="91"/>
        <v/>
      </c>
      <c r="AF1968" s="2" t="str">
        <f t="shared" si="92"/>
        <v/>
      </c>
      <c r="AG1968" s="2" t="str">
        <f>IF($L1968="","",IF(COUNTIF(LISTS!$A$2:$A$200,$H1968)=0,"NEW",""))</f>
        <v/>
      </c>
    </row>
    <row r="1969" spans="30:33" x14ac:dyDescent="0.25">
      <c r="AD1969" s="2" t="str">
        <f t="shared" si="90"/>
        <v/>
      </c>
      <c r="AE1969" s="2" t="str">
        <f t="shared" si="91"/>
        <v/>
      </c>
      <c r="AF1969" s="2" t="str">
        <f t="shared" si="92"/>
        <v/>
      </c>
      <c r="AG1969" s="2" t="str">
        <f>IF($L1969="","",IF(COUNTIF(LISTS!$A$2:$A$200,$H1969)=0,"NEW",""))</f>
        <v/>
      </c>
    </row>
    <row r="1970" spans="30:33" x14ac:dyDescent="0.25">
      <c r="AD1970" s="2" t="str">
        <f t="shared" si="90"/>
        <v/>
      </c>
      <c r="AE1970" s="2" t="str">
        <f t="shared" si="91"/>
        <v/>
      </c>
      <c r="AF1970" s="2" t="str">
        <f t="shared" si="92"/>
        <v/>
      </c>
      <c r="AG1970" s="2" t="str">
        <f>IF($L1970="","",IF(COUNTIF(LISTS!$A$2:$A$200,$H1970)=0,"NEW",""))</f>
        <v/>
      </c>
    </row>
    <row r="1971" spans="30:33" x14ac:dyDescent="0.25">
      <c r="AD1971" s="2" t="str">
        <f t="shared" si="90"/>
        <v/>
      </c>
      <c r="AE1971" s="2" t="str">
        <f t="shared" si="91"/>
        <v/>
      </c>
      <c r="AF1971" s="2" t="str">
        <f t="shared" si="92"/>
        <v/>
      </c>
      <c r="AG1971" s="2" t="str">
        <f>IF($L1971="","",IF(COUNTIF(LISTS!$A$2:$A$200,$H1971)=0,"NEW",""))</f>
        <v/>
      </c>
    </row>
    <row r="1972" spans="30:33" x14ac:dyDescent="0.25">
      <c r="AD1972" s="2" t="str">
        <f t="shared" si="90"/>
        <v/>
      </c>
      <c r="AE1972" s="2" t="str">
        <f t="shared" si="91"/>
        <v/>
      </c>
      <c r="AF1972" s="2" t="str">
        <f t="shared" si="92"/>
        <v/>
      </c>
      <c r="AG1972" s="2" t="str">
        <f>IF($L1972="","",IF(COUNTIF(LISTS!$A$2:$A$200,$H1972)=0,"NEW",""))</f>
        <v/>
      </c>
    </row>
    <row r="1973" spans="30:33" x14ac:dyDescent="0.25">
      <c r="AD1973" s="2" t="str">
        <f t="shared" si="90"/>
        <v/>
      </c>
      <c r="AE1973" s="2" t="str">
        <f t="shared" si="91"/>
        <v/>
      </c>
      <c r="AF1973" s="2" t="str">
        <f t="shared" si="92"/>
        <v/>
      </c>
      <c r="AG1973" s="2" t="str">
        <f>IF($L1973="","",IF(COUNTIF(LISTS!$A$2:$A$200,$H1973)=0,"NEW",""))</f>
        <v/>
      </c>
    </row>
    <row r="1974" spans="30:33" x14ac:dyDescent="0.25">
      <c r="AD1974" s="2" t="str">
        <f t="shared" si="90"/>
        <v/>
      </c>
      <c r="AE1974" s="2" t="str">
        <f t="shared" si="91"/>
        <v/>
      </c>
      <c r="AF1974" s="2" t="str">
        <f t="shared" si="92"/>
        <v/>
      </c>
      <c r="AG1974" s="2" t="str">
        <f>IF($L1974="","",IF(COUNTIF(LISTS!$A$2:$A$200,$H1974)=0,"NEW",""))</f>
        <v/>
      </c>
    </row>
    <row r="1975" spans="30:33" x14ac:dyDescent="0.25">
      <c r="AD1975" s="2" t="str">
        <f t="shared" si="90"/>
        <v/>
      </c>
      <c r="AE1975" s="2" t="str">
        <f t="shared" si="91"/>
        <v/>
      </c>
      <c r="AF1975" s="2" t="str">
        <f t="shared" si="92"/>
        <v/>
      </c>
      <c r="AG1975" s="2" t="str">
        <f>IF($L1975="","",IF(COUNTIF(LISTS!$A$2:$A$200,$H1975)=0,"NEW",""))</f>
        <v/>
      </c>
    </row>
    <row r="1976" spans="30:33" x14ac:dyDescent="0.25">
      <c r="AD1976" s="2" t="str">
        <f t="shared" si="90"/>
        <v/>
      </c>
      <c r="AE1976" s="2" t="str">
        <f t="shared" si="91"/>
        <v/>
      </c>
      <c r="AF1976" s="2" t="str">
        <f t="shared" si="92"/>
        <v/>
      </c>
      <c r="AG1976" s="2" t="str">
        <f>IF($L1976="","",IF(COUNTIF(LISTS!$A$2:$A$200,$H1976)=0,"NEW",""))</f>
        <v/>
      </c>
    </row>
    <row r="1977" spans="30:33" x14ac:dyDescent="0.25">
      <c r="AD1977" s="2" t="str">
        <f t="shared" si="90"/>
        <v/>
      </c>
      <c r="AE1977" s="2" t="str">
        <f t="shared" si="91"/>
        <v/>
      </c>
      <c r="AF1977" s="2" t="str">
        <f t="shared" si="92"/>
        <v/>
      </c>
      <c r="AG1977" s="2" t="str">
        <f>IF($L1977="","",IF(COUNTIF(LISTS!$A$2:$A$200,$H1977)=0,"NEW",""))</f>
        <v/>
      </c>
    </row>
    <row r="1978" spans="30:33" x14ac:dyDescent="0.25">
      <c r="AD1978" s="2" t="str">
        <f t="shared" si="90"/>
        <v/>
      </c>
      <c r="AE1978" s="2" t="str">
        <f t="shared" si="91"/>
        <v/>
      </c>
      <c r="AF1978" s="2" t="str">
        <f t="shared" si="92"/>
        <v/>
      </c>
      <c r="AG1978" s="2" t="str">
        <f>IF($L1978="","",IF(COUNTIF(LISTS!$A$2:$A$200,$H1978)=0,"NEW",""))</f>
        <v/>
      </c>
    </row>
    <row r="1979" spans="30:33" x14ac:dyDescent="0.25">
      <c r="AD1979" s="2" t="str">
        <f t="shared" si="90"/>
        <v/>
      </c>
      <c r="AE1979" s="2" t="str">
        <f t="shared" si="91"/>
        <v/>
      </c>
      <c r="AF1979" s="2" t="str">
        <f t="shared" si="92"/>
        <v/>
      </c>
      <c r="AG1979" s="2" t="str">
        <f>IF($L1979="","",IF(COUNTIF(LISTS!$A$2:$A$200,$H1979)=0,"NEW",""))</f>
        <v/>
      </c>
    </row>
    <row r="1980" spans="30:33" x14ac:dyDescent="0.25">
      <c r="AD1980" s="2" t="str">
        <f t="shared" si="90"/>
        <v/>
      </c>
      <c r="AE1980" s="2" t="str">
        <f t="shared" si="91"/>
        <v/>
      </c>
      <c r="AF1980" s="2" t="str">
        <f t="shared" si="92"/>
        <v/>
      </c>
      <c r="AG1980" s="2" t="str">
        <f>IF($L1980="","",IF(COUNTIF(LISTS!$A$2:$A$200,$H1980)=0,"NEW",""))</f>
        <v/>
      </c>
    </row>
    <row r="1981" spans="30:33" x14ac:dyDescent="0.25">
      <c r="AD1981" s="2" t="str">
        <f t="shared" si="90"/>
        <v/>
      </c>
      <c r="AE1981" s="2" t="str">
        <f t="shared" si="91"/>
        <v/>
      </c>
      <c r="AF1981" s="2" t="str">
        <f t="shared" si="92"/>
        <v/>
      </c>
      <c r="AG1981" s="2" t="str">
        <f>IF($L1981="","",IF(COUNTIF(LISTS!$A$2:$A$200,$H1981)=0,"NEW",""))</f>
        <v/>
      </c>
    </row>
    <row r="1982" spans="30:33" x14ac:dyDescent="0.25">
      <c r="AD1982" s="2" t="str">
        <f t="shared" si="90"/>
        <v/>
      </c>
      <c r="AE1982" s="2" t="str">
        <f t="shared" si="91"/>
        <v/>
      </c>
      <c r="AF1982" s="2" t="str">
        <f t="shared" si="92"/>
        <v/>
      </c>
      <c r="AG1982" s="2" t="str">
        <f>IF($L1982="","",IF(COUNTIF(LISTS!$A$2:$A$200,$H1982)=0,"NEW",""))</f>
        <v/>
      </c>
    </row>
    <row r="1983" spans="30:33" x14ac:dyDescent="0.25">
      <c r="AD1983" s="2" t="str">
        <f t="shared" si="90"/>
        <v/>
      </c>
      <c r="AE1983" s="2" t="str">
        <f t="shared" si="91"/>
        <v/>
      </c>
      <c r="AF1983" s="2" t="str">
        <f t="shared" si="92"/>
        <v/>
      </c>
      <c r="AG1983" s="2" t="str">
        <f>IF($L1983="","",IF(COUNTIF(LISTS!$A$2:$A$200,$H1983)=0,"NEW",""))</f>
        <v/>
      </c>
    </row>
    <row r="1984" spans="30:33" x14ac:dyDescent="0.25">
      <c r="AD1984" s="2" t="str">
        <f t="shared" si="90"/>
        <v/>
      </c>
      <c r="AE1984" s="2" t="str">
        <f t="shared" si="91"/>
        <v/>
      </c>
      <c r="AF1984" s="2" t="str">
        <f t="shared" si="92"/>
        <v/>
      </c>
      <c r="AG1984" s="2" t="str">
        <f>IF($L1984="","",IF(COUNTIF(LISTS!$A$2:$A$200,$H1984)=0,"NEW",""))</f>
        <v/>
      </c>
    </row>
    <row r="1985" spans="30:33" x14ac:dyDescent="0.25">
      <c r="AD1985" s="2" t="str">
        <f t="shared" si="90"/>
        <v/>
      </c>
      <c r="AE1985" s="2" t="str">
        <f t="shared" si="91"/>
        <v/>
      </c>
      <c r="AF1985" s="2" t="str">
        <f t="shared" si="92"/>
        <v/>
      </c>
      <c r="AG1985" s="2" t="str">
        <f>IF($L1985="","",IF(COUNTIF(LISTS!$A$2:$A$200,$H1985)=0,"NEW",""))</f>
        <v/>
      </c>
    </row>
    <row r="1986" spans="30:33" x14ac:dyDescent="0.25">
      <c r="AD1986" s="2" t="str">
        <f t="shared" ref="AD1986:AD2049" si="93">IF($L1986="","",IF(ISNUMBER(SEARCH("OFF ROAD",$H1986)),"OFF",IF(ISNUMBER(SEARCH("ON ROAD",$H1986)),"ON","")))</f>
        <v/>
      </c>
      <c r="AE1986" s="2" t="str">
        <f t="shared" ref="AE1986:AE2049" si="94">IF($AD1986="ON",""&amp;$L1986,"")</f>
        <v/>
      </c>
      <c r="AF1986" s="2" t="str">
        <f t="shared" ref="AF1986:AF2049" si="95">IF($L1986="","",IF($J1986&lt;&gt;"","Y",""))</f>
        <v/>
      </c>
      <c r="AG1986" s="2" t="str">
        <f>IF($L1986="","",IF(COUNTIF(LISTS!$A$2:$A$200,$H1986)=0,"NEW",""))</f>
        <v/>
      </c>
    </row>
    <row r="1987" spans="30:33" x14ac:dyDescent="0.25">
      <c r="AD1987" s="2" t="str">
        <f t="shared" si="93"/>
        <v/>
      </c>
      <c r="AE1987" s="2" t="str">
        <f t="shared" si="94"/>
        <v/>
      </c>
      <c r="AF1987" s="2" t="str">
        <f t="shared" si="95"/>
        <v/>
      </c>
      <c r="AG1987" s="2" t="str">
        <f>IF($L1987="","",IF(COUNTIF(LISTS!$A$2:$A$200,$H1987)=0,"NEW",""))</f>
        <v/>
      </c>
    </row>
    <row r="1988" spans="30:33" x14ac:dyDescent="0.25">
      <c r="AD1988" s="2" t="str">
        <f t="shared" si="93"/>
        <v/>
      </c>
      <c r="AE1988" s="2" t="str">
        <f t="shared" si="94"/>
        <v/>
      </c>
      <c r="AF1988" s="2" t="str">
        <f t="shared" si="95"/>
        <v/>
      </c>
      <c r="AG1988" s="2" t="str">
        <f>IF($L1988="","",IF(COUNTIF(LISTS!$A$2:$A$200,$H1988)=0,"NEW",""))</f>
        <v/>
      </c>
    </row>
    <row r="1989" spans="30:33" x14ac:dyDescent="0.25">
      <c r="AD1989" s="2" t="str">
        <f t="shared" si="93"/>
        <v/>
      </c>
      <c r="AE1989" s="2" t="str">
        <f t="shared" si="94"/>
        <v/>
      </c>
      <c r="AF1989" s="2" t="str">
        <f t="shared" si="95"/>
        <v/>
      </c>
      <c r="AG1989" s="2" t="str">
        <f>IF($L1989="","",IF(COUNTIF(LISTS!$A$2:$A$200,$H1989)=0,"NEW",""))</f>
        <v/>
      </c>
    </row>
    <row r="1990" spans="30:33" x14ac:dyDescent="0.25">
      <c r="AD1990" s="2" t="str">
        <f t="shared" si="93"/>
        <v/>
      </c>
      <c r="AE1990" s="2" t="str">
        <f t="shared" si="94"/>
        <v/>
      </c>
      <c r="AF1990" s="2" t="str">
        <f t="shared" si="95"/>
        <v/>
      </c>
      <c r="AG1990" s="2" t="str">
        <f>IF($L1990="","",IF(COUNTIF(LISTS!$A$2:$A$200,$H1990)=0,"NEW",""))</f>
        <v/>
      </c>
    </row>
    <row r="1991" spans="30:33" x14ac:dyDescent="0.25">
      <c r="AD1991" s="2" t="str">
        <f t="shared" si="93"/>
        <v/>
      </c>
      <c r="AE1991" s="2" t="str">
        <f t="shared" si="94"/>
        <v/>
      </c>
      <c r="AF1991" s="2" t="str">
        <f t="shared" si="95"/>
        <v/>
      </c>
      <c r="AG1991" s="2" t="str">
        <f>IF($L1991="","",IF(COUNTIF(LISTS!$A$2:$A$200,$H1991)=0,"NEW",""))</f>
        <v/>
      </c>
    </row>
    <row r="1992" spans="30:33" x14ac:dyDescent="0.25">
      <c r="AD1992" s="2" t="str">
        <f t="shared" si="93"/>
        <v/>
      </c>
      <c r="AE1992" s="2" t="str">
        <f t="shared" si="94"/>
        <v/>
      </c>
      <c r="AF1992" s="2" t="str">
        <f t="shared" si="95"/>
        <v/>
      </c>
      <c r="AG1992" s="2" t="str">
        <f>IF($L1992="","",IF(COUNTIF(LISTS!$A$2:$A$200,$H1992)=0,"NEW",""))</f>
        <v/>
      </c>
    </row>
    <row r="1993" spans="30:33" x14ac:dyDescent="0.25">
      <c r="AD1993" s="2" t="str">
        <f t="shared" si="93"/>
        <v/>
      </c>
      <c r="AE1993" s="2" t="str">
        <f t="shared" si="94"/>
        <v/>
      </c>
      <c r="AF1993" s="2" t="str">
        <f t="shared" si="95"/>
        <v/>
      </c>
      <c r="AG1993" s="2" t="str">
        <f>IF($L1993="","",IF(COUNTIF(LISTS!$A$2:$A$200,$H1993)=0,"NEW",""))</f>
        <v/>
      </c>
    </row>
    <row r="1994" spans="30:33" x14ac:dyDescent="0.25">
      <c r="AD1994" s="2" t="str">
        <f t="shared" si="93"/>
        <v/>
      </c>
      <c r="AE1994" s="2" t="str">
        <f t="shared" si="94"/>
        <v/>
      </c>
      <c r="AF1994" s="2" t="str">
        <f t="shared" si="95"/>
        <v/>
      </c>
      <c r="AG1994" s="2" t="str">
        <f>IF($L1994="","",IF(COUNTIF(LISTS!$A$2:$A$200,$H1994)=0,"NEW",""))</f>
        <v/>
      </c>
    </row>
    <row r="1995" spans="30:33" x14ac:dyDescent="0.25">
      <c r="AD1995" s="2" t="str">
        <f t="shared" si="93"/>
        <v/>
      </c>
      <c r="AE1995" s="2" t="str">
        <f t="shared" si="94"/>
        <v/>
      </c>
      <c r="AF1995" s="2" t="str">
        <f t="shared" si="95"/>
        <v/>
      </c>
      <c r="AG1995" s="2" t="str">
        <f>IF($L1995="","",IF(COUNTIF(LISTS!$A$2:$A$200,$H1995)=0,"NEW",""))</f>
        <v/>
      </c>
    </row>
    <row r="1996" spans="30:33" x14ac:dyDescent="0.25">
      <c r="AD1996" s="2" t="str">
        <f t="shared" si="93"/>
        <v/>
      </c>
      <c r="AE1996" s="2" t="str">
        <f t="shared" si="94"/>
        <v/>
      </c>
      <c r="AF1996" s="2" t="str">
        <f t="shared" si="95"/>
        <v/>
      </c>
      <c r="AG1996" s="2" t="str">
        <f>IF($L1996="","",IF(COUNTIF(LISTS!$A$2:$A$200,$H1996)=0,"NEW",""))</f>
        <v/>
      </c>
    </row>
    <row r="1997" spans="30:33" x14ac:dyDescent="0.25">
      <c r="AD1997" s="2" t="str">
        <f t="shared" si="93"/>
        <v/>
      </c>
      <c r="AE1997" s="2" t="str">
        <f t="shared" si="94"/>
        <v/>
      </c>
      <c r="AF1997" s="2" t="str">
        <f t="shared" si="95"/>
        <v/>
      </c>
      <c r="AG1997" s="2" t="str">
        <f>IF($L1997="","",IF(COUNTIF(LISTS!$A$2:$A$200,$H1997)=0,"NEW",""))</f>
        <v/>
      </c>
    </row>
    <row r="1998" spans="30:33" x14ac:dyDescent="0.25">
      <c r="AD1998" s="2" t="str">
        <f t="shared" si="93"/>
        <v/>
      </c>
      <c r="AE1998" s="2" t="str">
        <f t="shared" si="94"/>
        <v/>
      </c>
      <c r="AF1998" s="2" t="str">
        <f t="shared" si="95"/>
        <v/>
      </c>
      <c r="AG1998" s="2" t="str">
        <f>IF($L1998="","",IF(COUNTIF(LISTS!$A$2:$A$200,$H1998)=0,"NEW",""))</f>
        <v/>
      </c>
    </row>
    <row r="1999" spans="30:33" x14ac:dyDescent="0.25">
      <c r="AD1999" s="2" t="str">
        <f t="shared" si="93"/>
        <v/>
      </c>
      <c r="AE1999" s="2" t="str">
        <f t="shared" si="94"/>
        <v/>
      </c>
      <c r="AF1999" s="2" t="str">
        <f t="shared" si="95"/>
        <v/>
      </c>
      <c r="AG1999" s="2" t="str">
        <f>IF($L1999="","",IF(COUNTIF(LISTS!$A$2:$A$200,$H1999)=0,"NEW",""))</f>
        <v/>
      </c>
    </row>
    <row r="2000" spans="30:33" x14ac:dyDescent="0.25">
      <c r="AD2000" s="2" t="str">
        <f t="shared" si="93"/>
        <v/>
      </c>
      <c r="AE2000" s="2" t="str">
        <f t="shared" si="94"/>
        <v/>
      </c>
      <c r="AF2000" s="2" t="str">
        <f t="shared" si="95"/>
        <v/>
      </c>
      <c r="AG2000" s="2" t="str">
        <f>IF($L2000="","",IF(COUNTIF(LISTS!$A$2:$A$200,$H2000)=0,"NEW",""))</f>
        <v/>
      </c>
    </row>
    <row r="2001" spans="30:33" x14ac:dyDescent="0.25">
      <c r="AD2001" s="2" t="str">
        <f t="shared" si="93"/>
        <v/>
      </c>
      <c r="AE2001" s="2" t="str">
        <f t="shared" si="94"/>
        <v/>
      </c>
      <c r="AF2001" s="2" t="str">
        <f t="shared" si="95"/>
        <v/>
      </c>
      <c r="AG2001" s="2" t="str">
        <f>IF($L2001="","",IF(COUNTIF(LISTS!$A$2:$A$200,$H2001)=0,"NEW",""))</f>
        <v/>
      </c>
    </row>
    <row r="2002" spans="30:33" x14ac:dyDescent="0.25">
      <c r="AD2002" s="2" t="str">
        <f t="shared" si="93"/>
        <v/>
      </c>
      <c r="AE2002" s="2" t="str">
        <f t="shared" si="94"/>
        <v/>
      </c>
      <c r="AF2002" s="2" t="str">
        <f t="shared" si="95"/>
        <v/>
      </c>
      <c r="AG2002" s="2" t="str">
        <f>IF($L2002="","",IF(COUNTIF(LISTS!$A$2:$A$200,$H2002)=0,"NEW",""))</f>
        <v/>
      </c>
    </row>
    <row r="2003" spans="30:33" x14ac:dyDescent="0.25">
      <c r="AD2003" s="2" t="str">
        <f t="shared" si="93"/>
        <v/>
      </c>
      <c r="AE2003" s="2" t="str">
        <f t="shared" si="94"/>
        <v/>
      </c>
      <c r="AF2003" s="2" t="str">
        <f t="shared" si="95"/>
        <v/>
      </c>
      <c r="AG2003" s="2" t="str">
        <f>IF($L2003="","",IF(COUNTIF(LISTS!$A$2:$A$200,$H2003)=0,"NEW",""))</f>
        <v/>
      </c>
    </row>
    <row r="2004" spans="30:33" x14ac:dyDescent="0.25">
      <c r="AD2004" s="2" t="str">
        <f t="shared" si="93"/>
        <v/>
      </c>
      <c r="AE2004" s="2" t="str">
        <f t="shared" si="94"/>
        <v/>
      </c>
      <c r="AF2004" s="2" t="str">
        <f t="shared" si="95"/>
        <v/>
      </c>
      <c r="AG2004" s="2" t="str">
        <f>IF($L2004="","",IF(COUNTIF(LISTS!$A$2:$A$200,$H2004)=0,"NEW",""))</f>
        <v/>
      </c>
    </row>
    <row r="2005" spans="30:33" x14ac:dyDescent="0.25">
      <c r="AD2005" s="2" t="str">
        <f t="shared" si="93"/>
        <v/>
      </c>
      <c r="AE2005" s="2" t="str">
        <f t="shared" si="94"/>
        <v/>
      </c>
      <c r="AF2005" s="2" t="str">
        <f t="shared" si="95"/>
        <v/>
      </c>
      <c r="AG2005" s="2" t="str">
        <f>IF($L2005="","",IF(COUNTIF(LISTS!$A$2:$A$200,$H2005)=0,"NEW",""))</f>
        <v/>
      </c>
    </row>
    <row r="2006" spans="30:33" x14ac:dyDescent="0.25">
      <c r="AD2006" s="2" t="str">
        <f t="shared" si="93"/>
        <v/>
      </c>
      <c r="AE2006" s="2" t="str">
        <f t="shared" si="94"/>
        <v/>
      </c>
      <c r="AF2006" s="2" t="str">
        <f t="shared" si="95"/>
        <v/>
      </c>
      <c r="AG2006" s="2" t="str">
        <f>IF($L2006="","",IF(COUNTIF(LISTS!$A$2:$A$200,$H2006)=0,"NEW",""))</f>
        <v/>
      </c>
    </row>
    <row r="2007" spans="30:33" x14ac:dyDescent="0.25">
      <c r="AD2007" s="2" t="str">
        <f t="shared" si="93"/>
        <v/>
      </c>
      <c r="AE2007" s="2" t="str">
        <f t="shared" si="94"/>
        <v/>
      </c>
      <c r="AF2007" s="2" t="str">
        <f t="shared" si="95"/>
        <v/>
      </c>
      <c r="AG2007" s="2" t="str">
        <f>IF($L2007="","",IF(COUNTIF(LISTS!$A$2:$A$200,$H2007)=0,"NEW",""))</f>
        <v/>
      </c>
    </row>
    <row r="2008" spans="30:33" x14ac:dyDescent="0.25">
      <c r="AD2008" s="2" t="str">
        <f t="shared" si="93"/>
        <v/>
      </c>
      <c r="AE2008" s="2" t="str">
        <f t="shared" si="94"/>
        <v/>
      </c>
      <c r="AF2008" s="2" t="str">
        <f t="shared" si="95"/>
        <v/>
      </c>
      <c r="AG2008" s="2" t="str">
        <f>IF($L2008="","",IF(COUNTIF(LISTS!$A$2:$A$200,$H2008)=0,"NEW",""))</f>
        <v/>
      </c>
    </row>
    <row r="2009" spans="30:33" x14ac:dyDescent="0.25">
      <c r="AD2009" s="2" t="str">
        <f t="shared" si="93"/>
        <v/>
      </c>
      <c r="AE2009" s="2" t="str">
        <f t="shared" si="94"/>
        <v/>
      </c>
      <c r="AF2009" s="2" t="str">
        <f t="shared" si="95"/>
        <v/>
      </c>
      <c r="AG2009" s="2" t="str">
        <f>IF($L2009="","",IF(COUNTIF(LISTS!$A$2:$A$200,$H2009)=0,"NEW",""))</f>
        <v/>
      </c>
    </row>
    <row r="2010" spans="30:33" x14ac:dyDescent="0.25">
      <c r="AD2010" s="2" t="str">
        <f t="shared" si="93"/>
        <v/>
      </c>
      <c r="AE2010" s="2" t="str">
        <f t="shared" si="94"/>
        <v/>
      </c>
      <c r="AF2010" s="2" t="str">
        <f t="shared" si="95"/>
        <v/>
      </c>
      <c r="AG2010" s="2" t="str">
        <f>IF($L2010="","",IF(COUNTIF(LISTS!$A$2:$A$200,$H2010)=0,"NEW",""))</f>
        <v/>
      </c>
    </row>
    <row r="2011" spans="30:33" x14ac:dyDescent="0.25">
      <c r="AD2011" s="2" t="str">
        <f t="shared" si="93"/>
        <v/>
      </c>
      <c r="AE2011" s="2" t="str">
        <f t="shared" si="94"/>
        <v/>
      </c>
      <c r="AF2011" s="2" t="str">
        <f t="shared" si="95"/>
        <v/>
      </c>
      <c r="AG2011" s="2" t="str">
        <f>IF($L2011="","",IF(COUNTIF(LISTS!$A$2:$A$200,$H2011)=0,"NEW",""))</f>
        <v/>
      </c>
    </row>
    <row r="2012" spans="30:33" x14ac:dyDescent="0.25">
      <c r="AD2012" s="2" t="str">
        <f t="shared" si="93"/>
        <v/>
      </c>
      <c r="AE2012" s="2" t="str">
        <f t="shared" si="94"/>
        <v/>
      </c>
      <c r="AF2012" s="2" t="str">
        <f t="shared" si="95"/>
        <v/>
      </c>
      <c r="AG2012" s="2" t="str">
        <f>IF($L2012="","",IF(COUNTIF(LISTS!$A$2:$A$200,$H2012)=0,"NEW",""))</f>
        <v/>
      </c>
    </row>
    <row r="2013" spans="30:33" x14ac:dyDescent="0.25">
      <c r="AD2013" s="2" t="str">
        <f t="shared" si="93"/>
        <v/>
      </c>
      <c r="AE2013" s="2" t="str">
        <f t="shared" si="94"/>
        <v/>
      </c>
      <c r="AF2013" s="2" t="str">
        <f t="shared" si="95"/>
        <v/>
      </c>
      <c r="AG2013" s="2" t="str">
        <f>IF($L2013="","",IF(COUNTIF(LISTS!$A$2:$A$200,$H2013)=0,"NEW",""))</f>
        <v/>
      </c>
    </row>
    <row r="2014" spans="30:33" x14ac:dyDescent="0.25">
      <c r="AD2014" s="2" t="str">
        <f t="shared" si="93"/>
        <v/>
      </c>
      <c r="AE2014" s="2" t="str">
        <f t="shared" si="94"/>
        <v/>
      </c>
      <c r="AF2014" s="2" t="str">
        <f t="shared" si="95"/>
        <v/>
      </c>
      <c r="AG2014" s="2" t="str">
        <f>IF($L2014="","",IF(COUNTIF(LISTS!$A$2:$A$200,$H2014)=0,"NEW",""))</f>
        <v/>
      </c>
    </row>
    <row r="2015" spans="30:33" x14ac:dyDescent="0.25">
      <c r="AD2015" s="2" t="str">
        <f t="shared" si="93"/>
        <v/>
      </c>
      <c r="AE2015" s="2" t="str">
        <f t="shared" si="94"/>
        <v/>
      </c>
      <c r="AF2015" s="2" t="str">
        <f t="shared" si="95"/>
        <v/>
      </c>
      <c r="AG2015" s="2" t="str">
        <f>IF($L2015="","",IF(COUNTIF(LISTS!$A$2:$A$200,$H2015)=0,"NEW",""))</f>
        <v/>
      </c>
    </row>
    <row r="2016" spans="30:33" x14ac:dyDescent="0.25">
      <c r="AD2016" s="2" t="str">
        <f t="shared" si="93"/>
        <v/>
      </c>
      <c r="AE2016" s="2" t="str">
        <f t="shared" si="94"/>
        <v/>
      </c>
      <c r="AF2016" s="2" t="str">
        <f t="shared" si="95"/>
        <v/>
      </c>
      <c r="AG2016" s="2" t="str">
        <f>IF($L2016="","",IF(COUNTIF(LISTS!$A$2:$A$200,$H2016)=0,"NEW",""))</f>
        <v/>
      </c>
    </row>
    <row r="2017" spans="30:33" x14ac:dyDescent="0.25">
      <c r="AD2017" s="2" t="str">
        <f t="shared" si="93"/>
        <v/>
      </c>
      <c r="AE2017" s="2" t="str">
        <f t="shared" si="94"/>
        <v/>
      </c>
      <c r="AF2017" s="2" t="str">
        <f t="shared" si="95"/>
        <v/>
      </c>
      <c r="AG2017" s="2" t="str">
        <f>IF($L2017="","",IF(COUNTIF(LISTS!$A$2:$A$200,$H2017)=0,"NEW",""))</f>
        <v/>
      </c>
    </row>
    <row r="2018" spans="30:33" x14ac:dyDescent="0.25">
      <c r="AD2018" s="2" t="str">
        <f t="shared" si="93"/>
        <v/>
      </c>
      <c r="AE2018" s="2" t="str">
        <f t="shared" si="94"/>
        <v/>
      </c>
      <c r="AF2018" s="2" t="str">
        <f t="shared" si="95"/>
        <v/>
      </c>
      <c r="AG2018" s="2" t="str">
        <f>IF($L2018="","",IF(COUNTIF(LISTS!$A$2:$A$200,$H2018)=0,"NEW",""))</f>
        <v/>
      </c>
    </row>
    <row r="2019" spans="30:33" x14ac:dyDescent="0.25">
      <c r="AD2019" s="2" t="str">
        <f t="shared" si="93"/>
        <v/>
      </c>
      <c r="AE2019" s="2" t="str">
        <f t="shared" si="94"/>
        <v/>
      </c>
      <c r="AF2019" s="2" t="str">
        <f t="shared" si="95"/>
        <v/>
      </c>
      <c r="AG2019" s="2" t="str">
        <f>IF($L2019="","",IF(COUNTIF(LISTS!$A$2:$A$200,$H2019)=0,"NEW",""))</f>
        <v/>
      </c>
    </row>
    <row r="2020" spans="30:33" x14ac:dyDescent="0.25">
      <c r="AD2020" s="2" t="str">
        <f t="shared" si="93"/>
        <v/>
      </c>
      <c r="AE2020" s="2" t="str">
        <f t="shared" si="94"/>
        <v/>
      </c>
      <c r="AF2020" s="2" t="str">
        <f t="shared" si="95"/>
        <v/>
      </c>
      <c r="AG2020" s="2" t="str">
        <f>IF($L2020="","",IF(COUNTIF(LISTS!$A$2:$A$200,$H2020)=0,"NEW",""))</f>
        <v/>
      </c>
    </row>
    <row r="2021" spans="30:33" x14ac:dyDescent="0.25">
      <c r="AD2021" s="2" t="str">
        <f t="shared" si="93"/>
        <v/>
      </c>
      <c r="AE2021" s="2" t="str">
        <f t="shared" si="94"/>
        <v/>
      </c>
      <c r="AF2021" s="2" t="str">
        <f t="shared" si="95"/>
        <v/>
      </c>
      <c r="AG2021" s="2" t="str">
        <f>IF($L2021="","",IF(COUNTIF(LISTS!$A$2:$A$200,$H2021)=0,"NEW",""))</f>
        <v/>
      </c>
    </row>
    <row r="2022" spans="30:33" x14ac:dyDescent="0.25">
      <c r="AD2022" s="2" t="str">
        <f t="shared" si="93"/>
        <v/>
      </c>
      <c r="AE2022" s="2" t="str">
        <f t="shared" si="94"/>
        <v/>
      </c>
      <c r="AF2022" s="2" t="str">
        <f t="shared" si="95"/>
        <v/>
      </c>
      <c r="AG2022" s="2" t="str">
        <f>IF($L2022="","",IF(COUNTIF(LISTS!$A$2:$A$200,$H2022)=0,"NEW",""))</f>
        <v/>
      </c>
    </row>
    <row r="2023" spans="30:33" x14ac:dyDescent="0.25">
      <c r="AD2023" s="2" t="str">
        <f t="shared" si="93"/>
        <v/>
      </c>
      <c r="AE2023" s="2" t="str">
        <f t="shared" si="94"/>
        <v/>
      </c>
      <c r="AF2023" s="2" t="str">
        <f t="shared" si="95"/>
        <v/>
      </c>
      <c r="AG2023" s="2" t="str">
        <f>IF($L2023="","",IF(COUNTIF(LISTS!$A$2:$A$200,$H2023)=0,"NEW",""))</f>
        <v/>
      </c>
    </row>
    <row r="2024" spans="30:33" x14ac:dyDescent="0.25">
      <c r="AD2024" s="2" t="str">
        <f t="shared" si="93"/>
        <v/>
      </c>
      <c r="AE2024" s="2" t="str">
        <f t="shared" si="94"/>
        <v/>
      </c>
      <c r="AF2024" s="2" t="str">
        <f t="shared" si="95"/>
        <v/>
      </c>
      <c r="AG2024" s="2" t="str">
        <f>IF($L2024="","",IF(COUNTIF(LISTS!$A$2:$A$200,$H2024)=0,"NEW",""))</f>
        <v/>
      </c>
    </row>
    <row r="2025" spans="30:33" x14ac:dyDescent="0.25">
      <c r="AD2025" s="2" t="str">
        <f t="shared" si="93"/>
        <v/>
      </c>
      <c r="AE2025" s="2" t="str">
        <f t="shared" si="94"/>
        <v/>
      </c>
      <c r="AF2025" s="2" t="str">
        <f t="shared" si="95"/>
        <v/>
      </c>
      <c r="AG2025" s="2" t="str">
        <f>IF($L2025="","",IF(COUNTIF(LISTS!$A$2:$A$200,$H2025)=0,"NEW",""))</f>
        <v/>
      </c>
    </row>
    <row r="2026" spans="30:33" x14ac:dyDescent="0.25">
      <c r="AD2026" s="2" t="str">
        <f t="shared" si="93"/>
        <v/>
      </c>
      <c r="AE2026" s="2" t="str">
        <f t="shared" si="94"/>
        <v/>
      </c>
      <c r="AF2026" s="2" t="str">
        <f t="shared" si="95"/>
        <v/>
      </c>
      <c r="AG2026" s="2" t="str">
        <f>IF($L2026="","",IF(COUNTIF(LISTS!$A$2:$A$200,$H2026)=0,"NEW",""))</f>
        <v/>
      </c>
    </row>
    <row r="2027" spans="30:33" x14ac:dyDescent="0.25">
      <c r="AD2027" s="2" t="str">
        <f t="shared" si="93"/>
        <v/>
      </c>
      <c r="AE2027" s="2" t="str">
        <f t="shared" si="94"/>
        <v/>
      </c>
      <c r="AF2027" s="2" t="str">
        <f t="shared" si="95"/>
        <v/>
      </c>
      <c r="AG2027" s="2" t="str">
        <f>IF($L2027="","",IF(COUNTIF(LISTS!$A$2:$A$200,$H2027)=0,"NEW",""))</f>
        <v/>
      </c>
    </row>
    <row r="2028" spans="30:33" x14ac:dyDescent="0.25">
      <c r="AD2028" s="2" t="str">
        <f t="shared" si="93"/>
        <v/>
      </c>
      <c r="AE2028" s="2" t="str">
        <f t="shared" si="94"/>
        <v/>
      </c>
      <c r="AF2028" s="2" t="str">
        <f t="shared" si="95"/>
        <v/>
      </c>
      <c r="AG2028" s="2" t="str">
        <f>IF($L2028="","",IF(COUNTIF(LISTS!$A$2:$A$200,$H2028)=0,"NEW",""))</f>
        <v/>
      </c>
    </row>
    <row r="2029" spans="30:33" x14ac:dyDescent="0.25">
      <c r="AD2029" s="2" t="str">
        <f t="shared" si="93"/>
        <v/>
      </c>
      <c r="AE2029" s="2" t="str">
        <f t="shared" si="94"/>
        <v/>
      </c>
      <c r="AF2029" s="2" t="str">
        <f t="shared" si="95"/>
        <v/>
      </c>
      <c r="AG2029" s="2" t="str">
        <f>IF($L2029="","",IF(COUNTIF(LISTS!$A$2:$A$200,$H2029)=0,"NEW",""))</f>
        <v/>
      </c>
    </row>
    <row r="2030" spans="30:33" x14ac:dyDescent="0.25">
      <c r="AD2030" s="2" t="str">
        <f t="shared" si="93"/>
        <v/>
      </c>
      <c r="AE2030" s="2" t="str">
        <f t="shared" si="94"/>
        <v/>
      </c>
      <c r="AF2030" s="2" t="str">
        <f t="shared" si="95"/>
        <v/>
      </c>
      <c r="AG2030" s="2" t="str">
        <f>IF($L2030="","",IF(COUNTIF(LISTS!$A$2:$A$200,$H2030)=0,"NEW",""))</f>
        <v/>
      </c>
    </row>
    <row r="2031" spans="30:33" x14ac:dyDescent="0.25">
      <c r="AD2031" s="2" t="str">
        <f t="shared" si="93"/>
        <v/>
      </c>
      <c r="AE2031" s="2" t="str">
        <f t="shared" si="94"/>
        <v/>
      </c>
      <c r="AF2031" s="2" t="str">
        <f t="shared" si="95"/>
        <v/>
      </c>
      <c r="AG2031" s="2" t="str">
        <f>IF($L2031="","",IF(COUNTIF(LISTS!$A$2:$A$200,$H2031)=0,"NEW",""))</f>
        <v/>
      </c>
    </row>
    <row r="2032" spans="30:33" x14ac:dyDescent="0.25">
      <c r="AD2032" s="2" t="str">
        <f t="shared" si="93"/>
        <v/>
      </c>
      <c r="AE2032" s="2" t="str">
        <f t="shared" si="94"/>
        <v/>
      </c>
      <c r="AF2032" s="2" t="str">
        <f t="shared" si="95"/>
        <v/>
      </c>
      <c r="AG2032" s="2" t="str">
        <f>IF($L2032="","",IF(COUNTIF(LISTS!$A$2:$A$200,$H2032)=0,"NEW",""))</f>
        <v/>
      </c>
    </row>
    <row r="2033" spans="30:33" x14ac:dyDescent="0.25">
      <c r="AD2033" s="2" t="str">
        <f t="shared" si="93"/>
        <v/>
      </c>
      <c r="AE2033" s="2" t="str">
        <f t="shared" si="94"/>
        <v/>
      </c>
      <c r="AF2033" s="2" t="str">
        <f t="shared" si="95"/>
        <v/>
      </c>
      <c r="AG2033" s="2" t="str">
        <f>IF($L2033="","",IF(COUNTIF(LISTS!$A$2:$A$200,$H2033)=0,"NEW",""))</f>
        <v/>
      </c>
    </row>
    <row r="2034" spans="30:33" x14ac:dyDescent="0.25">
      <c r="AD2034" s="2" t="str">
        <f t="shared" si="93"/>
        <v/>
      </c>
      <c r="AE2034" s="2" t="str">
        <f t="shared" si="94"/>
        <v/>
      </c>
      <c r="AF2034" s="2" t="str">
        <f t="shared" si="95"/>
        <v/>
      </c>
      <c r="AG2034" s="2" t="str">
        <f>IF($L2034="","",IF(COUNTIF(LISTS!$A$2:$A$200,$H2034)=0,"NEW",""))</f>
        <v/>
      </c>
    </row>
    <row r="2035" spans="30:33" x14ac:dyDescent="0.25">
      <c r="AD2035" s="2" t="str">
        <f t="shared" si="93"/>
        <v/>
      </c>
      <c r="AE2035" s="2" t="str">
        <f t="shared" si="94"/>
        <v/>
      </c>
      <c r="AF2035" s="2" t="str">
        <f t="shared" si="95"/>
        <v/>
      </c>
      <c r="AG2035" s="2" t="str">
        <f>IF($L2035="","",IF(COUNTIF(LISTS!$A$2:$A$200,$H2035)=0,"NEW",""))</f>
        <v/>
      </c>
    </row>
    <row r="2036" spans="30:33" x14ac:dyDescent="0.25">
      <c r="AD2036" s="2" t="str">
        <f t="shared" si="93"/>
        <v/>
      </c>
      <c r="AE2036" s="2" t="str">
        <f t="shared" si="94"/>
        <v/>
      </c>
      <c r="AF2036" s="2" t="str">
        <f t="shared" si="95"/>
        <v/>
      </c>
      <c r="AG2036" s="2" t="str">
        <f>IF($L2036="","",IF(COUNTIF(LISTS!$A$2:$A$200,$H2036)=0,"NEW",""))</f>
        <v/>
      </c>
    </row>
    <row r="2037" spans="30:33" x14ac:dyDescent="0.25">
      <c r="AD2037" s="2" t="str">
        <f t="shared" si="93"/>
        <v/>
      </c>
      <c r="AE2037" s="2" t="str">
        <f t="shared" si="94"/>
        <v/>
      </c>
      <c r="AF2037" s="2" t="str">
        <f t="shared" si="95"/>
        <v/>
      </c>
      <c r="AG2037" s="2" t="str">
        <f>IF($L2037="","",IF(COUNTIF(LISTS!$A$2:$A$200,$H2037)=0,"NEW",""))</f>
        <v/>
      </c>
    </row>
    <row r="2038" spans="30:33" x14ac:dyDescent="0.25">
      <c r="AD2038" s="2" t="str">
        <f t="shared" si="93"/>
        <v/>
      </c>
      <c r="AE2038" s="2" t="str">
        <f t="shared" si="94"/>
        <v/>
      </c>
      <c r="AF2038" s="2" t="str">
        <f t="shared" si="95"/>
        <v/>
      </c>
      <c r="AG2038" s="2" t="str">
        <f>IF($L2038="","",IF(COUNTIF(LISTS!$A$2:$A$200,$H2038)=0,"NEW",""))</f>
        <v/>
      </c>
    </row>
    <row r="2039" spans="30:33" x14ac:dyDescent="0.25">
      <c r="AD2039" s="2" t="str">
        <f t="shared" si="93"/>
        <v/>
      </c>
      <c r="AE2039" s="2" t="str">
        <f t="shared" si="94"/>
        <v/>
      </c>
      <c r="AF2039" s="2" t="str">
        <f t="shared" si="95"/>
        <v/>
      </c>
      <c r="AG2039" s="2" t="str">
        <f>IF($L2039="","",IF(COUNTIF(LISTS!$A$2:$A$200,$H2039)=0,"NEW",""))</f>
        <v/>
      </c>
    </row>
    <row r="2040" spans="30:33" x14ac:dyDescent="0.25">
      <c r="AD2040" s="2" t="str">
        <f t="shared" si="93"/>
        <v/>
      </c>
      <c r="AE2040" s="2" t="str">
        <f t="shared" si="94"/>
        <v/>
      </c>
      <c r="AF2040" s="2" t="str">
        <f t="shared" si="95"/>
        <v/>
      </c>
      <c r="AG2040" s="2" t="str">
        <f>IF($L2040="","",IF(COUNTIF(LISTS!$A$2:$A$200,$H2040)=0,"NEW",""))</f>
        <v/>
      </c>
    </row>
    <row r="2041" spans="30:33" x14ac:dyDescent="0.25">
      <c r="AD2041" s="2" t="str">
        <f t="shared" si="93"/>
        <v/>
      </c>
      <c r="AE2041" s="2" t="str">
        <f t="shared" si="94"/>
        <v/>
      </c>
      <c r="AF2041" s="2" t="str">
        <f t="shared" si="95"/>
        <v/>
      </c>
      <c r="AG2041" s="2" t="str">
        <f>IF($L2041="","",IF(COUNTIF(LISTS!$A$2:$A$200,$H2041)=0,"NEW",""))</f>
        <v/>
      </c>
    </row>
    <row r="2042" spans="30:33" x14ac:dyDescent="0.25">
      <c r="AD2042" s="2" t="str">
        <f t="shared" si="93"/>
        <v/>
      </c>
      <c r="AE2042" s="2" t="str">
        <f t="shared" si="94"/>
        <v/>
      </c>
      <c r="AF2042" s="2" t="str">
        <f t="shared" si="95"/>
        <v/>
      </c>
      <c r="AG2042" s="2" t="str">
        <f>IF($L2042="","",IF(COUNTIF(LISTS!$A$2:$A$200,$H2042)=0,"NEW",""))</f>
        <v/>
      </c>
    </row>
    <row r="2043" spans="30:33" x14ac:dyDescent="0.25">
      <c r="AD2043" s="2" t="str">
        <f t="shared" si="93"/>
        <v/>
      </c>
      <c r="AE2043" s="2" t="str">
        <f t="shared" si="94"/>
        <v/>
      </c>
      <c r="AF2043" s="2" t="str">
        <f t="shared" si="95"/>
        <v/>
      </c>
      <c r="AG2043" s="2" t="str">
        <f>IF($L2043="","",IF(COUNTIF(LISTS!$A$2:$A$200,$H2043)=0,"NEW",""))</f>
        <v/>
      </c>
    </row>
    <row r="2044" spans="30:33" x14ac:dyDescent="0.25">
      <c r="AD2044" s="2" t="str">
        <f t="shared" si="93"/>
        <v/>
      </c>
      <c r="AE2044" s="2" t="str">
        <f t="shared" si="94"/>
        <v/>
      </c>
      <c r="AF2044" s="2" t="str">
        <f t="shared" si="95"/>
        <v/>
      </c>
      <c r="AG2044" s="2" t="str">
        <f>IF($L2044="","",IF(COUNTIF(LISTS!$A$2:$A$200,$H2044)=0,"NEW",""))</f>
        <v/>
      </c>
    </row>
    <row r="2045" spans="30:33" x14ac:dyDescent="0.25">
      <c r="AD2045" s="2" t="str">
        <f t="shared" si="93"/>
        <v/>
      </c>
      <c r="AE2045" s="2" t="str">
        <f t="shared" si="94"/>
        <v/>
      </c>
      <c r="AF2045" s="2" t="str">
        <f t="shared" si="95"/>
        <v/>
      </c>
      <c r="AG2045" s="2" t="str">
        <f>IF($L2045="","",IF(COUNTIF(LISTS!$A$2:$A$200,$H2045)=0,"NEW",""))</f>
        <v/>
      </c>
    </row>
    <row r="2046" spans="30:33" x14ac:dyDescent="0.25">
      <c r="AD2046" s="2" t="str">
        <f t="shared" si="93"/>
        <v/>
      </c>
      <c r="AE2046" s="2" t="str">
        <f t="shared" si="94"/>
        <v/>
      </c>
      <c r="AF2046" s="2" t="str">
        <f t="shared" si="95"/>
        <v/>
      </c>
      <c r="AG2046" s="2" t="str">
        <f>IF($L2046="","",IF(COUNTIF(LISTS!$A$2:$A$200,$H2046)=0,"NEW",""))</f>
        <v/>
      </c>
    </row>
    <row r="2047" spans="30:33" x14ac:dyDescent="0.25">
      <c r="AD2047" s="2" t="str">
        <f t="shared" si="93"/>
        <v/>
      </c>
      <c r="AE2047" s="2" t="str">
        <f t="shared" si="94"/>
        <v/>
      </c>
      <c r="AF2047" s="2" t="str">
        <f t="shared" si="95"/>
        <v/>
      </c>
      <c r="AG2047" s="2" t="str">
        <f>IF($L2047="","",IF(COUNTIF(LISTS!$A$2:$A$200,$H2047)=0,"NEW",""))</f>
        <v/>
      </c>
    </row>
    <row r="2048" spans="30:33" x14ac:dyDescent="0.25">
      <c r="AD2048" s="2" t="str">
        <f t="shared" si="93"/>
        <v/>
      </c>
      <c r="AE2048" s="2" t="str">
        <f t="shared" si="94"/>
        <v/>
      </c>
      <c r="AF2048" s="2" t="str">
        <f t="shared" si="95"/>
        <v/>
      </c>
      <c r="AG2048" s="2" t="str">
        <f>IF($L2048="","",IF(COUNTIF(LISTS!$A$2:$A$200,$H2048)=0,"NEW",""))</f>
        <v/>
      </c>
    </row>
    <row r="2049" spans="30:33" x14ac:dyDescent="0.25">
      <c r="AD2049" s="2" t="str">
        <f t="shared" si="93"/>
        <v/>
      </c>
      <c r="AE2049" s="2" t="str">
        <f t="shared" si="94"/>
        <v/>
      </c>
      <c r="AF2049" s="2" t="str">
        <f t="shared" si="95"/>
        <v/>
      </c>
      <c r="AG2049" s="2" t="str">
        <f>IF($L2049="","",IF(COUNTIF(LISTS!$A$2:$A$200,$H2049)=0,"NEW",""))</f>
        <v/>
      </c>
    </row>
    <row r="2050" spans="30:33" x14ac:dyDescent="0.25">
      <c r="AD2050" s="2" t="str">
        <f t="shared" ref="AD2050:AD2113" si="96">IF($L2050="","",IF(ISNUMBER(SEARCH("OFF ROAD",$H2050)),"OFF",IF(ISNUMBER(SEARCH("ON ROAD",$H2050)),"ON","")))</f>
        <v/>
      </c>
      <c r="AE2050" s="2" t="str">
        <f t="shared" ref="AE2050:AE2113" si="97">IF($AD2050="ON",""&amp;$L2050,"")</f>
        <v/>
      </c>
      <c r="AF2050" s="2" t="str">
        <f t="shared" ref="AF2050:AF2113" si="98">IF($L2050="","",IF($J2050&lt;&gt;"","Y",""))</f>
        <v/>
      </c>
      <c r="AG2050" s="2" t="str">
        <f>IF($L2050="","",IF(COUNTIF(LISTS!$A$2:$A$200,$H2050)=0,"NEW",""))</f>
        <v/>
      </c>
    </row>
    <row r="2051" spans="30:33" x14ac:dyDescent="0.25">
      <c r="AD2051" s="2" t="str">
        <f t="shared" si="96"/>
        <v/>
      </c>
      <c r="AE2051" s="2" t="str">
        <f t="shared" si="97"/>
        <v/>
      </c>
      <c r="AF2051" s="2" t="str">
        <f t="shared" si="98"/>
        <v/>
      </c>
      <c r="AG2051" s="2" t="str">
        <f>IF($L2051="","",IF(COUNTIF(LISTS!$A$2:$A$200,$H2051)=0,"NEW",""))</f>
        <v/>
      </c>
    </row>
    <row r="2052" spans="30:33" x14ac:dyDescent="0.25">
      <c r="AD2052" s="2" t="str">
        <f t="shared" si="96"/>
        <v/>
      </c>
      <c r="AE2052" s="2" t="str">
        <f t="shared" si="97"/>
        <v/>
      </c>
      <c r="AF2052" s="2" t="str">
        <f t="shared" si="98"/>
        <v/>
      </c>
      <c r="AG2052" s="2" t="str">
        <f>IF($L2052="","",IF(COUNTIF(LISTS!$A$2:$A$200,$H2052)=0,"NEW",""))</f>
        <v/>
      </c>
    </row>
    <row r="2053" spans="30:33" x14ac:dyDescent="0.25">
      <c r="AD2053" s="2" t="str">
        <f t="shared" si="96"/>
        <v/>
      </c>
      <c r="AE2053" s="2" t="str">
        <f t="shared" si="97"/>
        <v/>
      </c>
      <c r="AF2053" s="2" t="str">
        <f t="shared" si="98"/>
        <v/>
      </c>
      <c r="AG2053" s="2" t="str">
        <f>IF($L2053="","",IF(COUNTIF(LISTS!$A$2:$A$200,$H2053)=0,"NEW",""))</f>
        <v/>
      </c>
    </row>
    <row r="2054" spans="30:33" x14ac:dyDescent="0.25">
      <c r="AD2054" s="2" t="str">
        <f t="shared" si="96"/>
        <v/>
      </c>
      <c r="AE2054" s="2" t="str">
        <f t="shared" si="97"/>
        <v/>
      </c>
      <c r="AF2054" s="2" t="str">
        <f t="shared" si="98"/>
        <v/>
      </c>
      <c r="AG2054" s="2" t="str">
        <f>IF($L2054="","",IF(COUNTIF(LISTS!$A$2:$A$200,$H2054)=0,"NEW",""))</f>
        <v/>
      </c>
    </row>
    <row r="2055" spans="30:33" x14ac:dyDescent="0.25">
      <c r="AD2055" s="2" t="str">
        <f t="shared" si="96"/>
        <v/>
      </c>
      <c r="AE2055" s="2" t="str">
        <f t="shared" si="97"/>
        <v/>
      </c>
      <c r="AF2055" s="2" t="str">
        <f t="shared" si="98"/>
        <v/>
      </c>
      <c r="AG2055" s="2" t="str">
        <f>IF($L2055="","",IF(COUNTIF(LISTS!$A$2:$A$200,$H2055)=0,"NEW",""))</f>
        <v/>
      </c>
    </row>
    <row r="2056" spans="30:33" x14ac:dyDescent="0.25">
      <c r="AD2056" s="2" t="str">
        <f t="shared" si="96"/>
        <v/>
      </c>
      <c r="AE2056" s="2" t="str">
        <f t="shared" si="97"/>
        <v/>
      </c>
      <c r="AF2056" s="2" t="str">
        <f t="shared" si="98"/>
        <v/>
      </c>
      <c r="AG2056" s="2" t="str">
        <f>IF($L2056="","",IF(COUNTIF(LISTS!$A$2:$A$200,$H2056)=0,"NEW",""))</f>
        <v/>
      </c>
    </row>
    <row r="2057" spans="30:33" x14ac:dyDescent="0.25">
      <c r="AD2057" s="2" t="str">
        <f t="shared" si="96"/>
        <v/>
      </c>
      <c r="AE2057" s="2" t="str">
        <f t="shared" si="97"/>
        <v/>
      </c>
      <c r="AF2057" s="2" t="str">
        <f t="shared" si="98"/>
        <v/>
      </c>
      <c r="AG2057" s="2" t="str">
        <f>IF($L2057="","",IF(COUNTIF(LISTS!$A$2:$A$200,$H2057)=0,"NEW",""))</f>
        <v/>
      </c>
    </row>
    <row r="2058" spans="30:33" x14ac:dyDescent="0.25">
      <c r="AD2058" s="2" t="str">
        <f t="shared" si="96"/>
        <v/>
      </c>
      <c r="AE2058" s="2" t="str">
        <f t="shared" si="97"/>
        <v/>
      </c>
      <c r="AF2058" s="2" t="str">
        <f t="shared" si="98"/>
        <v/>
      </c>
      <c r="AG2058" s="2" t="str">
        <f>IF($L2058="","",IF(COUNTIF(LISTS!$A$2:$A$200,$H2058)=0,"NEW",""))</f>
        <v/>
      </c>
    </row>
    <row r="2059" spans="30:33" x14ac:dyDescent="0.25">
      <c r="AD2059" s="2" t="str">
        <f t="shared" si="96"/>
        <v/>
      </c>
      <c r="AE2059" s="2" t="str">
        <f t="shared" si="97"/>
        <v/>
      </c>
      <c r="AF2059" s="2" t="str">
        <f t="shared" si="98"/>
        <v/>
      </c>
      <c r="AG2059" s="2" t="str">
        <f>IF($L2059="","",IF(COUNTIF(LISTS!$A$2:$A$200,$H2059)=0,"NEW",""))</f>
        <v/>
      </c>
    </row>
    <row r="2060" spans="30:33" x14ac:dyDescent="0.25">
      <c r="AD2060" s="2" t="str">
        <f t="shared" si="96"/>
        <v/>
      </c>
      <c r="AE2060" s="2" t="str">
        <f t="shared" si="97"/>
        <v/>
      </c>
      <c r="AF2060" s="2" t="str">
        <f t="shared" si="98"/>
        <v/>
      </c>
      <c r="AG2060" s="2" t="str">
        <f>IF($L2060="","",IF(COUNTIF(LISTS!$A$2:$A$200,$H2060)=0,"NEW",""))</f>
        <v/>
      </c>
    </row>
    <row r="2061" spans="30:33" x14ac:dyDescent="0.25">
      <c r="AD2061" s="2" t="str">
        <f t="shared" si="96"/>
        <v/>
      </c>
      <c r="AE2061" s="2" t="str">
        <f t="shared" si="97"/>
        <v/>
      </c>
      <c r="AF2061" s="2" t="str">
        <f t="shared" si="98"/>
        <v/>
      </c>
      <c r="AG2061" s="2" t="str">
        <f>IF($L2061="","",IF(COUNTIF(LISTS!$A$2:$A$200,$H2061)=0,"NEW",""))</f>
        <v/>
      </c>
    </row>
    <row r="2062" spans="30:33" x14ac:dyDescent="0.25">
      <c r="AD2062" s="2" t="str">
        <f t="shared" si="96"/>
        <v/>
      </c>
      <c r="AE2062" s="2" t="str">
        <f t="shared" si="97"/>
        <v/>
      </c>
      <c r="AF2062" s="2" t="str">
        <f t="shared" si="98"/>
        <v/>
      </c>
      <c r="AG2062" s="2" t="str">
        <f>IF($L2062="","",IF(COUNTIF(LISTS!$A$2:$A$200,$H2062)=0,"NEW",""))</f>
        <v/>
      </c>
    </row>
    <row r="2063" spans="30:33" x14ac:dyDescent="0.25">
      <c r="AD2063" s="2" t="str">
        <f t="shared" si="96"/>
        <v/>
      </c>
      <c r="AE2063" s="2" t="str">
        <f t="shared" si="97"/>
        <v/>
      </c>
      <c r="AF2063" s="2" t="str">
        <f t="shared" si="98"/>
        <v/>
      </c>
      <c r="AG2063" s="2" t="str">
        <f>IF($L2063="","",IF(COUNTIF(LISTS!$A$2:$A$200,$H2063)=0,"NEW",""))</f>
        <v/>
      </c>
    </row>
    <row r="2064" spans="30:33" x14ac:dyDescent="0.25">
      <c r="AD2064" s="2" t="str">
        <f t="shared" si="96"/>
        <v/>
      </c>
      <c r="AE2064" s="2" t="str">
        <f t="shared" si="97"/>
        <v/>
      </c>
      <c r="AF2064" s="2" t="str">
        <f t="shared" si="98"/>
        <v/>
      </c>
      <c r="AG2064" s="2" t="str">
        <f>IF($L2064="","",IF(COUNTIF(LISTS!$A$2:$A$200,$H2064)=0,"NEW",""))</f>
        <v/>
      </c>
    </row>
    <row r="2065" spans="30:33" x14ac:dyDescent="0.25">
      <c r="AD2065" s="2" t="str">
        <f t="shared" si="96"/>
        <v/>
      </c>
      <c r="AE2065" s="2" t="str">
        <f t="shared" si="97"/>
        <v/>
      </c>
      <c r="AF2065" s="2" t="str">
        <f t="shared" si="98"/>
        <v/>
      </c>
      <c r="AG2065" s="2" t="str">
        <f>IF($L2065="","",IF(COUNTIF(LISTS!$A$2:$A$200,$H2065)=0,"NEW",""))</f>
        <v/>
      </c>
    </row>
    <row r="2066" spans="30:33" x14ac:dyDescent="0.25">
      <c r="AD2066" s="2" t="str">
        <f t="shared" si="96"/>
        <v/>
      </c>
      <c r="AE2066" s="2" t="str">
        <f t="shared" si="97"/>
        <v/>
      </c>
      <c r="AF2066" s="2" t="str">
        <f t="shared" si="98"/>
        <v/>
      </c>
      <c r="AG2066" s="2" t="str">
        <f>IF($L2066="","",IF(COUNTIF(LISTS!$A$2:$A$200,$H2066)=0,"NEW",""))</f>
        <v/>
      </c>
    </row>
    <row r="2067" spans="30:33" x14ac:dyDescent="0.25">
      <c r="AD2067" s="2" t="str">
        <f t="shared" si="96"/>
        <v/>
      </c>
      <c r="AE2067" s="2" t="str">
        <f t="shared" si="97"/>
        <v/>
      </c>
      <c r="AF2067" s="2" t="str">
        <f t="shared" si="98"/>
        <v/>
      </c>
      <c r="AG2067" s="2" t="str">
        <f>IF($L2067="","",IF(COUNTIF(LISTS!$A$2:$A$200,$H2067)=0,"NEW",""))</f>
        <v/>
      </c>
    </row>
    <row r="2068" spans="30:33" x14ac:dyDescent="0.25">
      <c r="AD2068" s="2" t="str">
        <f t="shared" si="96"/>
        <v/>
      </c>
      <c r="AE2068" s="2" t="str">
        <f t="shared" si="97"/>
        <v/>
      </c>
      <c r="AF2068" s="2" t="str">
        <f t="shared" si="98"/>
        <v/>
      </c>
      <c r="AG2068" s="2" t="str">
        <f>IF($L2068="","",IF(COUNTIF(LISTS!$A$2:$A$200,$H2068)=0,"NEW",""))</f>
        <v/>
      </c>
    </row>
    <row r="2069" spans="30:33" x14ac:dyDescent="0.25">
      <c r="AD2069" s="2" t="str">
        <f t="shared" si="96"/>
        <v/>
      </c>
      <c r="AE2069" s="2" t="str">
        <f t="shared" si="97"/>
        <v/>
      </c>
      <c r="AF2069" s="2" t="str">
        <f t="shared" si="98"/>
        <v/>
      </c>
      <c r="AG2069" s="2" t="str">
        <f>IF($L2069="","",IF(COUNTIF(LISTS!$A$2:$A$200,$H2069)=0,"NEW",""))</f>
        <v/>
      </c>
    </row>
    <row r="2070" spans="30:33" x14ac:dyDescent="0.25">
      <c r="AD2070" s="2" t="str">
        <f t="shared" si="96"/>
        <v/>
      </c>
      <c r="AE2070" s="2" t="str">
        <f t="shared" si="97"/>
        <v/>
      </c>
      <c r="AF2070" s="2" t="str">
        <f t="shared" si="98"/>
        <v/>
      </c>
      <c r="AG2070" s="2" t="str">
        <f>IF($L2070="","",IF(COUNTIF(LISTS!$A$2:$A$200,$H2070)=0,"NEW",""))</f>
        <v/>
      </c>
    </row>
    <row r="2071" spans="30:33" x14ac:dyDescent="0.25">
      <c r="AD2071" s="2" t="str">
        <f t="shared" si="96"/>
        <v/>
      </c>
      <c r="AE2071" s="2" t="str">
        <f t="shared" si="97"/>
        <v/>
      </c>
      <c r="AF2071" s="2" t="str">
        <f t="shared" si="98"/>
        <v/>
      </c>
      <c r="AG2071" s="2" t="str">
        <f>IF($L2071="","",IF(COUNTIF(LISTS!$A$2:$A$200,$H2071)=0,"NEW",""))</f>
        <v/>
      </c>
    </row>
    <row r="2072" spans="30:33" x14ac:dyDescent="0.25">
      <c r="AD2072" s="2" t="str">
        <f t="shared" si="96"/>
        <v/>
      </c>
      <c r="AE2072" s="2" t="str">
        <f t="shared" si="97"/>
        <v/>
      </c>
      <c r="AF2072" s="2" t="str">
        <f t="shared" si="98"/>
        <v/>
      </c>
      <c r="AG2072" s="2" t="str">
        <f>IF($L2072="","",IF(COUNTIF(LISTS!$A$2:$A$200,$H2072)=0,"NEW",""))</f>
        <v/>
      </c>
    </row>
    <row r="2073" spans="30:33" x14ac:dyDescent="0.25">
      <c r="AD2073" s="2" t="str">
        <f t="shared" si="96"/>
        <v/>
      </c>
      <c r="AE2073" s="2" t="str">
        <f t="shared" si="97"/>
        <v/>
      </c>
      <c r="AF2073" s="2" t="str">
        <f t="shared" si="98"/>
        <v/>
      </c>
      <c r="AG2073" s="2" t="str">
        <f>IF($L2073="","",IF(COUNTIF(LISTS!$A$2:$A$200,$H2073)=0,"NEW",""))</f>
        <v/>
      </c>
    </row>
    <row r="2074" spans="30:33" x14ac:dyDescent="0.25">
      <c r="AD2074" s="2" t="str">
        <f t="shared" si="96"/>
        <v/>
      </c>
      <c r="AE2074" s="2" t="str">
        <f t="shared" si="97"/>
        <v/>
      </c>
      <c r="AF2074" s="2" t="str">
        <f t="shared" si="98"/>
        <v/>
      </c>
      <c r="AG2074" s="2" t="str">
        <f>IF($L2074="","",IF(COUNTIF(LISTS!$A$2:$A$200,$H2074)=0,"NEW",""))</f>
        <v/>
      </c>
    </row>
    <row r="2075" spans="30:33" x14ac:dyDescent="0.25">
      <c r="AD2075" s="2" t="str">
        <f t="shared" si="96"/>
        <v/>
      </c>
      <c r="AE2075" s="2" t="str">
        <f t="shared" si="97"/>
        <v/>
      </c>
      <c r="AF2075" s="2" t="str">
        <f t="shared" si="98"/>
        <v/>
      </c>
      <c r="AG2075" s="2" t="str">
        <f>IF($L2075="","",IF(COUNTIF(LISTS!$A$2:$A$200,$H2075)=0,"NEW",""))</f>
        <v/>
      </c>
    </row>
    <row r="2076" spans="30:33" x14ac:dyDescent="0.25">
      <c r="AD2076" s="2" t="str">
        <f t="shared" si="96"/>
        <v/>
      </c>
      <c r="AE2076" s="2" t="str">
        <f t="shared" si="97"/>
        <v/>
      </c>
      <c r="AF2076" s="2" t="str">
        <f t="shared" si="98"/>
        <v/>
      </c>
      <c r="AG2076" s="2" t="str">
        <f>IF($L2076="","",IF(COUNTIF(LISTS!$A$2:$A$200,$H2076)=0,"NEW",""))</f>
        <v/>
      </c>
    </row>
    <row r="2077" spans="30:33" x14ac:dyDescent="0.25">
      <c r="AD2077" s="2" t="str">
        <f t="shared" si="96"/>
        <v/>
      </c>
      <c r="AE2077" s="2" t="str">
        <f t="shared" si="97"/>
        <v/>
      </c>
      <c r="AF2077" s="2" t="str">
        <f t="shared" si="98"/>
        <v/>
      </c>
      <c r="AG2077" s="2" t="str">
        <f>IF($L2077="","",IF(COUNTIF(LISTS!$A$2:$A$200,$H2077)=0,"NEW",""))</f>
        <v/>
      </c>
    </row>
    <row r="2078" spans="30:33" x14ac:dyDescent="0.25">
      <c r="AD2078" s="2" t="str">
        <f t="shared" si="96"/>
        <v/>
      </c>
      <c r="AE2078" s="2" t="str">
        <f t="shared" si="97"/>
        <v/>
      </c>
      <c r="AF2078" s="2" t="str">
        <f t="shared" si="98"/>
        <v/>
      </c>
      <c r="AG2078" s="2" t="str">
        <f>IF($L2078="","",IF(COUNTIF(LISTS!$A$2:$A$200,$H2078)=0,"NEW",""))</f>
        <v/>
      </c>
    </row>
    <row r="2079" spans="30:33" x14ac:dyDescent="0.25">
      <c r="AD2079" s="2" t="str">
        <f t="shared" si="96"/>
        <v/>
      </c>
      <c r="AE2079" s="2" t="str">
        <f t="shared" si="97"/>
        <v/>
      </c>
      <c r="AF2079" s="2" t="str">
        <f t="shared" si="98"/>
        <v/>
      </c>
      <c r="AG2079" s="2" t="str">
        <f>IF($L2079="","",IF(COUNTIF(LISTS!$A$2:$A$200,$H2079)=0,"NEW",""))</f>
        <v/>
      </c>
    </row>
    <row r="2080" spans="30:33" x14ac:dyDescent="0.25">
      <c r="AD2080" s="2" t="str">
        <f t="shared" si="96"/>
        <v/>
      </c>
      <c r="AE2080" s="2" t="str">
        <f t="shared" si="97"/>
        <v/>
      </c>
      <c r="AF2080" s="2" t="str">
        <f t="shared" si="98"/>
        <v/>
      </c>
      <c r="AG2080" s="2" t="str">
        <f>IF($L2080="","",IF(COUNTIF(LISTS!$A$2:$A$200,$H2080)=0,"NEW",""))</f>
        <v/>
      </c>
    </row>
    <row r="2081" spans="30:33" x14ac:dyDescent="0.25">
      <c r="AD2081" s="2" t="str">
        <f t="shared" si="96"/>
        <v/>
      </c>
      <c r="AE2081" s="2" t="str">
        <f t="shared" si="97"/>
        <v/>
      </c>
      <c r="AF2081" s="2" t="str">
        <f t="shared" si="98"/>
        <v/>
      </c>
      <c r="AG2081" s="2" t="str">
        <f>IF($L2081="","",IF(COUNTIF(LISTS!$A$2:$A$200,$H2081)=0,"NEW",""))</f>
        <v/>
      </c>
    </row>
    <row r="2082" spans="30:33" x14ac:dyDescent="0.25">
      <c r="AD2082" s="2" t="str">
        <f t="shared" si="96"/>
        <v/>
      </c>
      <c r="AE2082" s="2" t="str">
        <f t="shared" si="97"/>
        <v/>
      </c>
      <c r="AF2082" s="2" t="str">
        <f t="shared" si="98"/>
        <v/>
      </c>
      <c r="AG2082" s="2" t="str">
        <f>IF($L2082="","",IF(COUNTIF(LISTS!$A$2:$A$200,$H2082)=0,"NEW",""))</f>
        <v/>
      </c>
    </row>
    <row r="2083" spans="30:33" x14ac:dyDescent="0.25">
      <c r="AD2083" s="2" t="str">
        <f t="shared" si="96"/>
        <v/>
      </c>
      <c r="AE2083" s="2" t="str">
        <f t="shared" si="97"/>
        <v/>
      </c>
      <c r="AF2083" s="2" t="str">
        <f t="shared" si="98"/>
        <v/>
      </c>
      <c r="AG2083" s="2" t="str">
        <f>IF($L2083="","",IF(COUNTIF(LISTS!$A$2:$A$200,$H2083)=0,"NEW",""))</f>
        <v/>
      </c>
    </row>
    <row r="2084" spans="30:33" x14ac:dyDescent="0.25">
      <c r="AD2084" s="2" t="str">
        <f t="shared" si="96"/>
        <v/>
      </c>
      <c r="AE2084" s="2" t="str">
        <f t="shared" si="97"/>
        <v/>
      </c>
      <c r="AF2084" s="2" t="str">
        <f t="shared" si="98"/>
        <v/>
      </c>
      <c r="AG2084" s="2" t="str">
        <f>IF($L2084="","",IF(COUNTIF(LISTS!$A$2:$A$200,$H2084)=0,"NEW",""))</f>
        <v/>
      </c>
    </row>
    <row r="2085" spans="30:33" x14ac:dyDescent="0.25">
      <c r="AD2085" s="2" t="str">
        <f t="shared" si="96"/>
        <v/>
      </c>
      <c r="AE2085" s="2" t="str">
        <f t="shared" si="97"/>
        <v/>
      </c>
      <c r="AF2085" s="2" t="str">
        <f t="shared" si="98"/>
        <v/>
      </c>
      <c r="AG2085" s="2" t="str">
        <f>IF($L2085="","",IF(COUNTIF(LISTS!$A$2:$A$200,$H2085)=0,"NEW",""))</f>
        <v/>
      </c>
    </row>
    <row r="2086" spans="30:33" x14ac:dyDescent="0.25">
      <c r="AD2086" s="2" t="str">
        <f t="shared" si="96"/>
        <v/>
      </c>
      <c r="AE2086" s="2" t="str">
        <f t="shared" si="97"/>
        <v/>
      </c>
      <c r="AF2086" s="2" t="str">
        <f t="shared" si="98"/>
        <v/>
      </c>
      <c r="AG2086" s="2" t="str">
        <f>IF($L2086="","",IF(COUNTIF(LISTS!$A$2:$A$200,$H2086)=0,"NEW",""))</f>
        <v/>
      </c>
    </row>
    <row r="2087" spans="30:33" x14ac:dyDescent="0.25">
      <c r="AD2087" s="2" t="str">
        <f t="shared" si="96"/>
        <v/>
      </c>
      <c r="AE2087" s="2" t="str">
        <f t="shared" si="97"/>
        <v/>
      </c>
      <c r="AF2087" s="2" t="str">
        <f t="shared" si="98"/>
        <v/>
      </c>
      <c r="AG2087" s="2" t="str">
        <f>IF($L2087="","",IF(COUNTIF(LISTS!$A$2:$A$200,$H2087)=0,"NEW",""))</f>
        <v/>
      </c>
    </row>
    <row r="2088" spans="30:33" x14ac:dyDescent="0.25">
      <c r="AD2088" s="2" t="str">
        <f t="shared" si="96"/>
        <v/>
      </c>
      <c r="AE2088" s="2" t="str">
        <f t="shared" si="97"/>
        <v/>
      </c>
      <c r="AF2088" s="2" t="str">
        <f t="shared" si="98"/>
        <v/>
      </c>
      <c r="AG2088" s="2" t="str">
        <f>IF($L2088="","",IF(COUNTIF(LISTS!$A$2:$A$200,$H2088)=0,"NEW",""))</f>
        <v/>
      </c>
    </row>
    <row r="2089" spans="30:33" x14ac:dyDescent="0.25">
      <c r="AD2089" s="2" t="str">
        <f t="shared" si="96"/>
        <v/>
      </c>
      <c r="AE2089" s="2" t="str">
        <f t="shared" si="97"/>
        <v/>
      </c>
      <c r="AF2089" s="2" t="str">
        <f t="shared" si="98"/>
        <v/>
      </c>
      <c r="AG2089" s="2" t="str">
        <f>IF($L2089="","",IF(COUNTIF(LISTS!$A$2:$A$200,$H2089)=0,"NEW",""))</f>
        <v/>
      </c>
    </row>
    <row r="2090" spans="30:33" x14ac:dyDescent="0.25">
      <c r="AD2090" s="2" t="str">
        <f t="shared" si="96"/>
        <v/>
      </c>
      <c r="AE2090" s="2" t="str">
        <f t="shared" si="97"/>
        <v/>
      </c>
      <c r="AF2090" s="2" t="str">
        <f t="shared" si="98"/>
        <v/>
      </c>
      <c r="AG2090" s="2" t="str">
        <f>IF($L2090="","",IF(COUNTIF(LISTS!$A$2:$A$200,$H2090)=0,"NEW",""))</f>
        <v/>
      </c>
    </row>
    <row r="2091" spans="30:33" x14ac:dyDescent="0.25">
      <c r="AD2091" s="2" t="str">
        <f t="shared" si="96"/>
        <v/>
      </c>
      <c r="AE2091" s="2" t="str">
        <f t="shared" si="97"/>
        <v/>
      </c>
      <c r="AF2091" s="2" t="str">
        <f t="shared" si="98"/>
        <v/>
      </c>
      <c r="AG2091" s="2" t="str">
        <f>IF($L2091="","",IF(COUNTIF(LISTS!$A$2:$A$200,$H2091)=0,"NEW",""))</f>
        <v/>
      </c>
    </row>
    <row r="2092" spans="30:33" x14ac:dyDescent="0.25">
      <c r="AD2092" s="2" t="str">
        <f t="shared" si="96"/>
        <v/>
      </c>
      <c r="AE2092" s="2" t="str">
        <f t="shared" si="97"/>
        <v/>
      </c>
      <c r="AF2092" s="2" t="str">
        <f t="shared" si="98"/>
        <v/>
      </c>
      <c r="AG2092" s="2" t="str">
        <f>IF($L2092="","",IF(COUNTIF(LISTS!$A$2:$A$200,$H2092)=0,"NEW",""))</f>
        <v/>
      </c>
    </row>
    <row r="2093" spans="30:33" x14ac:dyDescent="0.25">
      <c r="AD2093" s="2" t="str">
        <f t="shared" si="96"/>
        <v/>
      </c>
      <c r="AE2093" s="2" t="str">
        <f t="shared" si="97"/>
        <v/>
      </c>
      <c r="AF2093" s="2" t="str">
        <f t="shared" si="98"/>
        <v/>
      </c>
      <c r="AG2093" s="2" t="str">
        <f>IF($L2093="","",IF(COUNTIF(LISTS!$A$2:$A$200,$H2093)=0,"NEW",""))</f>
        <v/>
      </c>
    </row>
    <row r="2094" spans="30:33" x14ac:dyDescent="0.25">
      <c r="AD2094" s="2" t="str">
        <f t="shared" si="96"/>
        <v/>
      </c>
      <c r="AE2094" s="2" t="str">
        <f t="shared" si="97"/>
        <v/>
      </c>
      <c r="AF2094" s="2" t="str">
        <f t="shared" si="98"/>
        <v/>
      </c>
      <c r="AG2094" s="2" t="str">
        <f>IF($L2094="","",IF(COUNTIF(LISTS!$A$2:$A$200,$H2094)=0,"NEW",""))</f>
        <v/>
      </c>
    </row>
    <row r="2095" spans="30:33" x14ac:dyDescent="0.25">
      <c r="AD2095" s="2" t="str">
        <f t="shared" si="96"/>
        <v/>
      </c>
      <c r="AE2095" s="2" t="str">
        <f t="shared" si="97"/>
        <v/>
      </c>
      <c r="AF2095" s="2" t="str">
        <f t="shared" si="98"/>
        <v/>
      </c>
      <c r="AG2095" s="2" t="str">
        <f>IF($L2095="","",IF(COUNTIF(LISTS!$A$2:$A$200,$H2095)=0,"NEW",""))</f>
        <v/>
      </c>
    </row>
    <row r="2096" spans="30:33" x14ac:dyDescent="0.25">
      <c r="AD2096" s="2" t="str">
        <f t="shared" si="96"/>
        <v/>
      </c>
      <c r="AE2096" s="2" t="str">
        <f t="shared" si="97"/>
        <v/>
      </c>
      <c r="AF2096" s="2" t="str">
        <f t="shared" si="98"/>
        <v/>
      </c>
      <c r="AG2096" s="2" t="str">
        <f>IF($L2096="","",IF(COUNTIF(LISTS!$A$2:$A$200,$H2096)=0,"NEW",""))</f>
        <v/>
      </c>
    </row>
    <row r="2097" spans="30:33" x14ac:dyDescent="0.25">
      <c r="AD2097" s="2" t="str">
        <f t="shared" si="96"/>
        <v/>
      </c>
      <c r="AE2097" s="2" t="str">
        <f t="shared" si="97"/>
        <v/>
      </c>
      <c r="AF2097" s="2" t="str">
        <f t="shared" si="98"/>
        <v/>
      </c>
      <c r="AG2097" s="2" t="str">
        <f>IF($L2097="","",IF(COUNTIF(LISTS!$A$2:$A$200,$H2097)=0,"NEW",""))</f>
        <v/>
      </c>
    </row>
    <row r="2098" spans="30:33" x14ac:dyDescent="0.25">
      <c r="AD2098" s="2" t="str">
        <f t="shared" si="96"/>
        <v/>
      </c>
      <c r="AE2098" s="2" t="str">
        <f t="shared" si="97"/>
        <v/>
      </c>
      <c r="AF2098" s="2" t="str">
        <f t="shared" si="98"/>
        <v/>
      </c>
      <c r="AG2098" s="2" t="str">
        <f>IF($L2098="","",IF(COUNTIF(LISTS!$A$2:$A$200,$H2098)=0,"NEW",""))</f>
        <v/>
      </c>
    </row>
    <row r="2099" spans="30:33" x14ac:dyDescent="0.25">
      <c r="AD2099" s="2" t="str">
        <f t="shared" si="96"/>
        <v/>
      </c>
      <c r="AE2099" s="2" t="str">
        <f t="shared" si="97"/>
        <v/>
      </c>
      <c r="AF2099" s="2" t="str">
        <f t="shared" si="98"/>
        <v/>
      </c>
      <c r="AG2099" s="2" t="str">
        <f>IF($L2099="","",IF(COUNTIF(LISTS!$A$2:$A$200,$H2099)=0,"NEW",""))</f>
        <v/>
      </c>
    </row>
    <row r="2100" spans="30:33" x14ac:dyDescent="0.25">
      <c r="AD2100" s="2" t="str">
        <f t="shared" si="96"/>
        <v/>
      </c>
      <c r="AE2100" s="2" t="str">
        <f t="shared" si="97"/>
        <v/>
      </c>
      <c r="AF2100" s="2" t="str">
        <f t="shared" si="98"/>
        <v/>
      </c>
      <c r="AG2100" s="2" t="str">
        <f>IF($L2100="","",IF(COUNTIF(LISTS!$A$2:$A$200,$H2100)=0,"NEW",""))</f>
        <v/>
      </c>
    </row>
    <row r="2101" spans="30:33" x14ac:dyDescent="0.25">
      <c r="AD2101" s="2" t="str">
        <f t="shared" si="96"/>
        <v/>
      </c>
      <c r="AE2101" s="2" t="str">
        <f t="shared" si="97"/>
        <v/>
      </c>
      <c r="AF2101" s="2" t="str">
        <f t="shared" si="98"/>
        <v/>
      </c>
      <c r="AG2101" s="2" t="str">
        <f>IF($L2101="","",IF(COUNTIF(LISTS!$A$2:$A$200,$H2101)=0,"NEW",""))</f>
        <v/>
      </c>
    </row>
    <row r="2102" spans="30:33" x14ac:dyDescent="0.25">
      <c r="AD2102" s="2" t="str">
        <f t="shared" si="96"/>
        <v/>
      </c>
      <c r="AE2102" s="2" t="str">
        <f t="shared" si="97"/>
        <v/>
      </c>
      <c r="AF2102" s="2" t="str">
        <f t="shared" si="98"/>
        <v/>
      </c>
      <c r="AG2102" s="2" t="str">
        <f>IF($L2102="","",IF(COUNTIF(LISTS!$A$2:$A$200,$H2102)=0,"NEW",""))</f>
        <v/>
      </c>
    </row>
    <row r="2103" spans="30:33" x14ac:dyDescent="0.25">
      <c r="AD2103" s="2" t="str">
        <f t="shared" si="96"/>
        <v/>
      </c>
      <c r="AE2103" s="2" t="str">
        <f t="shared" si="97"/>
        <v/>
      </c>
      <c r="AF2103" s="2" t="str">
        <f t="shared" si="98"/>
        <v/>
      </c>
      <c r="AG2103" s="2" t="str">
        <f>IF($L2103="","",IF(COUNTIF(LISTS!$A$2:$A$200,$H2103)=0,"NEW",""))</f>
        <v/>
      </c>
    </row>
    <row r="2104" spans="30:33" x14ac:dyDescent="0.25">
      <c r="AD2104" s="2" t="str">
        <f t="shared" si="96"/>
        <v/>
      </c>
      <c r="AE2104" s="2" t="str">
        <f t="shared" si="97"/>
        <v/>
      </c>
      <c r="AF2104" s="2" t="str">
        <f t="shared" si="98"/>
        <v/>
      </c>
      <c r="AG2104" s="2" t="str">
        <f>IF($L2104="","",IF(COUNTIF(LISTS!$A$2:$A$200,$H2104)=0,"NEW",""))</f>
        <v/>
      </c>
    </row>
    <row r="2105" spans="30:33" x14ac:dyDescent="0.25">
      <c r="AD2105" s="2" t="str">
        <f t="shared" si="96"/>
        <v/>
      </c>
      <c r="AE2105" s="2" t="str">
        <f t="shared" si="97"/>
        <v/>
      </c>
      <c r="AF2105" s="2" t="str">
        <f t="shared" si="98"/>
        <v/>
      </c>
      <c r="AG2105" s="2" t="str">
        <f>IF($L2105="","",IF(COUNTIF(LISTS!$A$2:$A$200,$H2105)=0,"NEW",""))</f>
        <v/>
      </c>
    </row>
    <row r="2106" spans="30:33" x14ac:dyDescent="0.25">
      <c r="AD2106" s="2" t="str">
        <f t="shared" si="96"/>
        <v/>
      </c>
      <c r="AE2106" s="2" t="str">
        <f t="shared" si="97"/>
        <v/>
      </c>
      <c r="AF2106" s="2" t="str">
        <f t="shared" si="98"/>
        <v/>
      </c>
      <c r="AG2106" s="2" t="str">
        <f>IF($L2106="","",IF(COUNTIF(LISTS!$A$2:$A$200,$H2106)=0,"NEW",""))</f>
        <v/>
      </c>
    </row>
    <row r="2107" spans="30:33" x14ac:dyDescent="0.25">
      <c r="AD2107" s="2" t="str">
        <f t="shared" si="96"/>
        <v/>
      </c>
      <c r="AE2107" s="2" t="str">
        <f t="shared" si="97"/>
        <v/>
      </c>
      <c r="AF2107" s="2" t="str">
        <f t="shared" si="98"/>
        <v/>
      </c>
      <c r="AG2107" s="2" t="str">
        <f>IF($L2107="","",IF(COUNTIF(LISTS!$A$2:$A$200,$H2107)=0,"NEW",""))</f>
        <v/>
      </c>
    </row>
    <row r="2108" spans="30:33" x14ac:dyDescent="0.25">
      <c r="AD2108" s="2" t="str">
        <f t="shared" si="96"/>
        <v/>
      </c>
      <c r="AE2108" s="2" t="str">
        <f t="shared" si="97"/>
        <v/>
      </c>
      <c r="AF2108" s="2" t="str">
        <f t="shared" si="98"/>
        <v/>
      </c>
      <c r="AG2108" s="2" t="str">
        <f>IF($L2108="","",IF(COUNTIF(LISTS!$A$2:$A$200,$H2108)=0,"NEW",""))</f>
        <v/>
      </c>
    </row>
    <row r="2109" spans="30:33" x14ac:dyDescent="0.25">
      <c r="AD2109" s="2" t="str">
        <f t="shared" si="96"/>
        <v/>
      </c>
      <c r="AE2109" s="2" t="str">
        <f t="shared" si="97"/>
        <v/>
      </c>
      <c r="AF2109" s="2" t="str">
        <f t="shared" si="98"/>
        <v/>
      </c>
      <c r="AG2109" s="2" t="str">
        <f>IF($L2109="","",IF(COUNTIF(LISTS!$A$2:$A$200,$H2109)=0,"NEW",""))</f>
        <v/>
      </c>
    </row>
    <row r="2110" spans="30:33" x14ac:dyDescent="0.25">
      <c r="AD2110" s="2" t="str">
        <f t="shared" si="96"/>
        <v/>
      </c>
      <c r="AE2110" s="2" t="str">
        <f t="shared" si="97"/>
        <v/>
      </c>
      <c r="AF2110" s="2" t="str">
        <f t="shared" si="98"/>
        <v/>
      </c>
      <c r="AG2110" s="2" t="str">
        <f>IF($L2110="","",IF(COUNTIF(LISTS!$A$2:$A$200,$H2110)=0,"NEW",""))</f>
        <v/>
      </c>
    </row>
    <row r="2111" spans="30:33" x14ac:dyDescent="0.25">
      <c r="AD2111" s="2" t="str">
        <f t="shared" si="96"/>
        <v/>
      </c>
      <c r="AE2111" s="2" t="str">
        <f t="shared" si="97"/>
        <v/>
      </c>
      <c r="AF2111" s="2" t="str">
        <f t="shared" si="98"/>
        <v/>
      </c>
      <c r="AG2111" s="2" t="str">
        <f>IF($L2111="","",IF(COUNTIF(LISTS!$A$2:$A$200,$H2111)=0,"NEW",""))</f>
        <v/>
      </c>
    </row>
    <row r="2112" spans="30:33" x14ac:dyDescent="0.25">
      <c r="AD2112" s="2" t="str">
        <f t="shared" si="96"/>
        <v/>
      </c>
      <c r="AE2112" s="2" t="str">
        <f t="shared" si="97"/>
        <v/>
      </c>
      <c r="AF2112" s="2" t="str">
        <f t="shared" si="98"/>
        <v/>
      </c>
      <c r="AG2112" s="2" t="str">
        <f>IF($L2112="","",IF(COUNTIF(LISTS!$A$2:$A$200,$H2112)=0,"NEW",""))</f>
        <v/>
      </c>
    </row>
    <row r="2113" spans="30:33" x14ac:dyDescent="0.25">
      <c r="AD2113" s="2" t="str">
        <f t="shared" si="96"/>
        <v/>
      </c>
      <c r="AE2113" s="2" t="str">
        <f t="shared" si="97"/>
        <v/>
      </c>
      <c r="AF2113" s="2" t="str">
        <f t="shared" si="98"/>
        <v/>
      </c>
      <c r="AG2113" s="2" t="str">
        <f>IF($L2113="","",IF(COUNTIF(LISTS!$A$2:$A$200,$H2113)=0,"NEW",""))</f>
        <v/>
      </c>
    </row>
    <row r="2114" spans="30:33" x14ac:dyDescent="0.25">
      <c r="AD2114" s="2" t="str">
        <f t="shared" ref="AD2114:AD2177" si="99">IF($L2114="","",IF(ISNUMBER(SEARCH("OFF ROAD",$H2114)),"OFF",IF(ISNUMBER(SEARCH("ON ROAD",$H2114)),"ON","")))</f>
        <v/>
      </c>
      <c r="AE2114" s="2" t="str">
        <f t="shared" ref="AE2114:AE2177" si="100">IF($AD2114="ON",""&amp;$L2114,"")</f>
        <v/>
      </c>
      <c r="AF2114" s="2" t="str">
        <f t="shared" ref="AF2114:AF2177" si="101">IF($L2114="","",IF($J2114&lt;&gt;"","Y",""))</f>
        <v/>
      </c>
      <c r="AG2114" s="2" t="str">
        <f>IF($L2114="","",IF(COUNTIF(LISTS!$A$2:$A$200,$H2114)=0,"NEW",""))</f>
        <v/>
      </c>
    </row>
    <row r="2115" spans="30:33" x14ac:dyDescent="0.25">
      <c r="AD2115" s="2" t="str">
        <f t="shared" si="99"/>
        <v/>
      </c>
      <c r="AE2115" s="2" t="str">
        <f t="shared" si="100"/>
        <v/>
      </c>
      <c r="AF2115" s="2" t="str">
        <f t="shared" si="101"/>
        <v/>
      </c>
      <c r="AG2115" s="2" t="str">
        <f>IF($L2115="","",IF(COUNTIF(LISTS!$A$2:$A$200,$H2115)=0,"NEW",""))</f>
        <v/>
      </c>
    </row>
    <row r="2116" spans="30:33" x14ac:dyDescent="0.25">
      <c r="AD2116" s="2" t="str">
        <f t="shared" si="99"/>
        <v/>
      </c>
      <c r="AE2116" s="2" t="str">
        <f t="shared" si="100"/>
        <v/>
      </c>
      <c r="AF2116" s="2" t="str">
        <f t="shared" si="101"/>
        <v/>
      </c>
      <c r="AG2116" s="2" t="str">
        <f>IF($L2116="","",IF(COUNTIF(LISTS!$A$2:$A$200,$H2116)=0,"NEW",""))</f>
        <v/>
      </c>
    </row>
    <row r="2117" spans="30:33" x14ac:dyDescent="0.25">
      <c r="AD2117" s="2" t="str">
        <f t="shared" si="99"/>
        <v/>
      </c>
      <c r="AE2117" s="2" t="str">
        <f t="shared" si="100"/>
        <v/>
      </c>
      <c r="AF2117" s="2" t="str">
        <f t="shared" si="101"/>
        <v/>
      </c>
      <c r="AG2117" s="2" t="str">
        <f>IF($L2117="","",IF(COUNTIF(LISTS!$A$2:$A$200,$H2117)=0,"NEW",""))</f>
        <v/>
      </c>
    </row>
    <row r="2118" spans="30:33" x14ac:dyDescent="0.25">
      <c r="AD2118" s="2" t="str">
        <f t="shared" si="99"/>
        <v/>
      </c>
      <c r="AE2118" s="2" t="str">
        <f t="shared" si="100"/>
        <v/>
      </c>
      <c r="AF2118" s="2" t="str">
        <f t="shared" si="101"/>
        <v/>
      </c>
      <c r="AG2118" s="2" t="str">
        <f>IF($L2118="","",IF(COUNTIF(LISTS!$A$2:$A$200,$H2118)=0,"NEW",""))</f>
        <v/>
      </c>
    </row>
    <row r="2119" spans="30:33" x14ac:dyDescent="0.25">
      <c r="AD2119" s="2" t="str">
        <f t="shared" si="99"/>
        <v/>
      </c>
      <c r="AE2119" s="2" t="str">
        <f t="shared" si="100"/>
        <v/>
      </c>
      <c r="AF2119" s="2" t="str">
        <f t="shared" si="101"/>
        <v/>
      </c>
      <c r="AG2119" s="2" t="str">
        <f>IF($L2119="","",IF(COUNTIF(LISTS!$A$2:$A$200,$H2119)=0,"NEW",""))</f>
        <v/>
      </c>
    </row>
    <row r="2120" spans="30:33" x14ac:dyDescent="0.25">
      <c r="AD2120" s="2" t="str">
        <f t="shared" si="99"/>
        <v/>
      </c>
      <c r="AE2120" s="2" t="str">
        <f t="shared" si="100"/>
        <v/>
      </c>
      <c r="AF2120" s="2" t="str">
        <f t="shared" si="101"/>
        <v/>
      </c>
      <c r="AG2120" s="2" t="str">
        <f>IF($L2120="","",IF(COUNTIF(LISTS!$A$2:$A$200,$H2120)=0,"NEW",""))</f>
        <v/>
      </c>
    </row>
    <row r="2121" spans="30:33" x14ac:dyDescent="0.25">
      <c r="AD2121" s="2" t="str">
        <f t="shared" si="99"/>
        <v/>
      </c>
      <c r="AE2121" s="2" t="str">
        <f t="shared" si="100"/>
        <v/>
      </c>
      <c r="AF2121" s="2" t="str">
        <f t="shared" si="101"/>
        <v/>
      </c>
      <c r="AG2121" s="2" t="str">
        <f>IF($L2121="","",IF(COUNTIF(LISTS!$A$2:$A$200,$H2121)=0,"NEW",""))</f>
        <v/>
      </c>
    </row>
    <row r="2122" spans="30:33" x14ac:dyDescent="0.25">
      <c r="AD2122" s="2" t="str">
        <f t="shared" si="99"/>
        <v/>
      </c>
      <c r="AE2122" s="2" t="str">
        <f t="shared" si="100"/>
        <v/>
      </c>
      <c r="AF2122" s="2" t="str">
        <f t="shared" si="101"/>
        <v/>
      </c>
      <c r="AG2122" s="2" t="str">
        <f>IF($L2122="","",IF(COUNTIF(LISTS!$A$2:$A$200,$H2122)=0,"NEW",""))</f>
        <v/>
      </c>
    </row>
    <row r="2123" spans="30:33" x14ac:dyDescent="0.25">
      <c r="AD2123" s="2" t="str">
        <f t="shared" si="99"/>
        <v/>
      </c>
      <c r="AE2123" s="2" t="str">
        <f t="shared" si="100"/>
        <v/>
      </c>
      <c r="AF2123" s="2" t="str">
        <f t="shared" si="101"/>
        <v/>
      </c>
      <c r="AG2123" s="2" t="str">
        <f>IF($L2123="","",IF(COUNTIF(LISTS!$A$2:$A$200,$H2123)=0,"NEW",""))</f>
        <v/>
      </c>
    </row>
    <row r="2124" spans="30:33" x14ac:dyDescent="0.25">
      <c r="AD2124" s="2" t="str">
        <f t="shared" si="99"/>
        <v/>
      </c>
      <c r="AE2124" s="2" t="str">
        <f t="shared" si="100"/>
        <v/>
      </c>
      <c r="AF2124" s="2" t="str">
        <f t="shared" si="101"/>
        <v/>
      </c>
      <c r="AG2124" s="2" t="str">
        <f>IF($L2124="","",IF(COUNTIF(LISTS!$A$2:$A$200,$H2124)=0,"NEW",""))</f>
        <v/>
      </c>
    </row>
    <row r="2125" spans="30:33" x14ac:dyDescent="0.25">
      <c r="AD2125" s="2" t="str">
        <f t="shared" si="99"/>
        <v/>
      </c>
      <c r="AE2125" s="2" t="str">
        <f t="shared" si="100"/>
        <v/>
      </c>
      <c r="AF2125" s="2" t="str">
        <f t="shared" si="101"/>
        <v/>
      </c>
      <c r="AG2125" s="2" t="str">
        <f>IF($L2125="","",IF(COUNTIF(LISTS!$A$2:$A$200,$H2125)=0,"NEW",""))</f>
        <v/>
      </c>
    </row>
    <row r="2126" spans="30:33" x14ac:dyDescent="0.25">
      <c r="AD2126" s="2" t="str">
        <f t="shared" si="99"/>
        <v/>
      </c>
      <c r="AE2126" s="2" t="str">
        <f t="shared" si="100"/>
        <v/>
      </c>
      <c r="AF2126" s="2" t="str">
        <f t="shared" si="101"/>
        <v/>
      </c>
      <c r="AG2126" s="2" t="str">
        <f>IF($L2126="","",IF(COUNTIF(LISTS!$A$2:$A$200,$H2126)=0,"NEW",""))</f>
        <v/>
      </c>
    </row>
    <row r="2127" spans="30:33" x14ac:dyDescent="0.25">
      <c r="AD2127" s="2" t="str">
        <f t="shared" si="99"/>
        <v/>
      </c>
      <c r="AE2127" s="2" t="str">
        <f t="shared" si="100"/>
        <v/>
      </c>
      <c r="AF2127" s="2" t="str">
        <f t="shared" si="101"/>
        <v/>
      </c>
      <c r="AG2127" s="2" t="str">
        <f>IF($L2127="","",IF(COUNTIF(LISTS!$A$2:$A$200,$H2127)=0,"NEW",""))</f>
        <v/>
      </c>
    </row>
    <row r="2128" spans="30:33" x14ac:dyDescent="0.25">
      <c r="AD2128" s="2" t="str">
        <f t="shared" si="99"/>
        <v/>
      </c>
      <c r="AE2128" s="2" t="str">
        <f t="shared" si="100"/>
        <v/>
      </c>
      <c r="AF2128" s="2" t="str">
        <f t="shared" si="101"/>
        <v/>
      </c>
      <c r="AG2128" s="2" t="str">
        <f>IF($L2128="","",IF(COUNTIF(LISTS!$A$2:$A$200,$H2128)=0,"NEW",""))</f>
        <v/>
      </c>
    </row>
    <row r="2129" spans="30:33" x14ac:dyDescent="0.25">
      <c r="AD2129" s="2" t="str">
        <f t="shared" si="99"/>
        <v/>
      </c>
      <c r="AE2129" s="2" t="str">
        <f t="shared" si="100"/>
        <v/>
      </c>
      <c r="AF2129" s="2" t="str">
        <f t="shared" si="101"/>
        <v/>
      </c>
      <c r="AG2129" s="2" t="str">
        <f>IF($L2129="","",IF(COUNTIF(LISTS!$A$2:$A$200,$H2129)=0,"NEW",""))</f>
        <v/>
      </c>
    </row>
    <row r="2130" spans="30:33" x14ac:dyDescent="0.25">
      <c r="AD2130" s="2" t="str">
        <f t="shared" si="99"/>
        <v/>
      </c>
      <c r="AE2130" s="2" t="str">
        <f t="shared" si="100"/>
        <v/>
      </c>
      <c r="AF2130" s="2" t="str">
        <f t="shared" si="101"/>
        <v/>
      </c>
      <c r="AG2130" s="2" t="str">
        <f>IF($L2130="","",IF(COUNTIF(LISTS!$A$2:$A$200,$H2130)=0,"NEW",""))</f>
        <v/>
      </c>
    </row>
    <row r="2131" spans="30:33" x14ac:dyDescent="0.25">
      <c r="AD2131" s="2" t="str">
        <f t="shared" si="99"/>
        <v/>
      </c>
      <c r="AE2131" s="2" t="str">
        <f t="shared" si="100"/>
        <v/>
      </c>
      <c r="AF2131" s="2" t="str">
        <f t="shared" si="101"/>
        <v/>
      </c>
      <c r="AG2131" s="2" t="str">
        <f>IF($L2131="","",IF(COUNTIF(LISTS!$A$2:$A$200,$H2131)=0,"NEW",""))</f>
        <v/>
      </c>
    </row>
    <row r="2132" spans="30:33" x14ac:dyDescent="0.25">
      <c r="AD2132" s="2" t="str">
        <f t="shared" si="99"/>
        <v/>
      </c>
      <c r="AE2132" s="2" t="str">
        <f t="shared" si="100"/>
        <v/>
      </c>
      <c r="AF2132" s="2" t="str">
        <f t="shared" si="101"/>
        <v/>
      </c>
      <c r="AG2132" s="2" t="str">
        <f>IF($L2132="","",IF(COUNTIF(LISTS!$A$2:$A$200,$H2132)=0,"NEW",""))</f>
        <v/>
      </c>
    </row>
    <row r="2133" spans="30:33" x14ac:dyDescent="0.25">
      <c r="AD2133" s="2" t="str">
        <f t="shared" si="99"/>
        <v/>
      </c>
      <c r="AE2133" s="2" t="str">
        <f t="shared" si="100"/>
        <v/>
      </c>
      <c r="AF2133" s="2" t="str">
        <f t="shared" si="101"/>
        <v/>
      </c>
      <c r="AG2133" s="2" t="str">
        <f>IF($L2133="","",IF(COUNTIF(LISTS!$A$2:$A$200,$H2133)=0,"NEW",""))</f>
        <v/>
      </c>
    </row>
    <row r="2134" spans="30:33" x14ac:dyDescent="0.25">
      <c r="AD2134" s="2" t="str">
        <f t="shared" si="99"/>
        <v/>
      </c>
      <c r="AE2134" s="2" t="str">
        <f t="shared" si="100"/>
        <v/>
      </c>
      <c r="AF2134" s="2" t="str">
        <f t="shared" si="101"/>
        <v/>
      </c>
      <c r="AG2134" s="2" t="str">
        <f>IF($L2134="","",IF(COUNTIF(LISTS!$A$2:$A$200,$H2134)=0,"NEW",""))</f>
        <v/>
      </c>
    </row>
    <row r="2135" spans="30:33" x14ac:dyDescent="0.25">
      <c r="AD2135" s="2" t="str">
        <f t="shared" si="99"/>
        <v/>
      </c>
      <c r="AE2135" s="2" t="str">
        <f t="shared" si="100"/>
        <v/>
      </c>
      <c r="AF2135" s="2" t="str">
        <f t="shared" si="101"/>
        <v/>
      </c>
      <c r="AG2135" s="2" t="str">
        <f>IF($L2135="","",IF(COUNTIF(LISTS!$A$2:$A$200,$H2135)=0,"NEW",""))</f>
        <v/>
      </c>
    </row>
    <row r="2136" spans="30:33" x14ac:dyDescent="0.25">
      <c r="AD2136" s="2" t="str">
        <f t="shared" si="99"/>
        <v/>
      </c>
      <c r="AE2136" s="2" t="str">
        <f t="shared" si="100"/>
        <v/>
      </c>
      <c r="AF2136" s="2" t="str">
        <f t="shared" si="101"/>
        <v/>
      </c>
      <c r="AG2136" s="2" t="str">
        <f>IF($L2136="","",IF(COUNTIF(LISTS!$A$2:$A$200,$H2136)=0,"NEW",""))</f>
        <v/>
      </c>
    </row>
    <row r="2137" spans="30:33" x14ac:dyDescent="0.25">
      <c r="AD2137" s="2" t="str">
        <f t="shared" si="99"/>
        <v/>
      </c>
      <c r="AE2137" s="2" t="str">
        <f t="shared" si="100"/>
        <v/>
      </c>
      <c r="AF2137" s="2" t="str">
        <f t="shared" si="101"/>
        <v/>
      </c>
      <c r="AG2137" s="2" t="str">
        <f>IF($L2137="","",IF(COUNTIF(LISTS!$A$2:$A$200,$H2137)=0,"NEW",""))</f>
        <v/>
      </c>
    </row>
    <row r="2138" spans="30:33" x14ac:dyDescent="0.25">
      <c r="AD2138" s="2" t="str">
        <f t="shared" si="99"/>
        <v/>
      </c>
      <c r="AE2138" s="2" t="str">
        <f t="shared" si="100"/>
        <v/>
      </c>
      <c r="AF2138" s="2" t="str">
        <f t="shared" si="101"/>
        <v/>
      </c>
      <c r="AG2138" s="2" t="str">
        <f>IF($L2138="","",IF(COUNTIF(LISTS!$A$2:$A$200,$H2138)=0,"NEW",""))</f>
        <v/>
      </c>
    </row>
    <row r="2139" spans="30:33" x14ac:dyDescent="0.25">
      <c r="AD2139" s="2" t="str">
        <f t="shared" si="99"/>
        <v/>
      </c>
      <c r="AE2139" s="2" t="str">
        <f t="shared" si="100"/>
        <v/>
      </c>
      <c r="AF2139" s="2" t="str">
        <f t="shared" si="101"/>
        <v/>
      </c>
      <c r="AG2139" s="2" t="str">
        <f>IF($L2139="","",IF(COUNTIF(LISTS!$A$2:$A$200,$H2139)=0,"NEW",""))</f>
        <v/>
      </c>
    </row>
    <row r="2140" spans="30:33" x14ac:dyDescent="0.25">
      <c r="AD2140" s="2" t="str">
        <f t="shared" si="99"/>
        <v/>
      </c>
      <c r="AE2140" s="2" t="str">
        <f t="shared" si="100"/>
        <v/>
      </c>
      <c r="AF2140" s="2" t="str">
        <f t="shared" si="101"/>
        <v/>
      </c>
      <c r="AG2140" s="2" t="str">
        <f>IF($L2140="","",IF(COUNTIF(LISTS!$A$2:$A$200,$H2140)=0,"NEW",""))</f>
        <v/>
      </c>
    </row>
    <row r="2141" spans="30:33" x14ac:dyDescent="0.25">
      <c r="AD2141" s="2" t="str">
        <f t="shared" si="99"/>
        <v/>
      </c>
      <c r="AE2141" s="2" t="str">
        <f t="shared" si="100"/>
        <v/>
      </c>
      <c r="AF2141" s="2" t="str">
        <f t="shared" si="101"/>
        <v/>
      </c>
      <c r="AG2141" s="2" t="str">
        <f>IF($L2141="","",IF(COUNTIF(LISTS!$A$2:$A$200,$H2141)=0,"NEW",""))</f>
        <v/>
      </c>
    </row>
    <row r="2142" spans="30:33" x14ac:dyDescent="0.25">
      <c r="AD2142" s="2" t="str">
        <f t="shared" si="99"/>
        <v/>
      </c>
      <c r="AE2142" s="2" t="str">
        <f t="shared" si="100"/>
        <v/>
      </c>
      <c r="AF2142" s="2" t="str">
        <f t="shared" si="101"/>
        <v/>
      </c>
      <c r="AG2142" s="2" t="str">
        <f>IF($L2142="","",IF(COUNTIF(LISTS!$A$2:$A$200,$H2142)=0,"NEW",""))</f>
        <v/>
      </c>
    </row>
    <row r="2143" spans="30:33" x14ac:dyDescent="0.25">
      <c r="AD2143" s="2" t="str">
        <f t="shared" si="99"/>
        <v/>
      </c>
      <c r="AE2143" s="2" t="str">
        <f t="shared" si="100"/>
        <v/>
      </c>
      <c r="AF2143" s="2" t="str">
        <f t="shared" si="101"/>
        <v/>
      </c>
      <c r="AG2143" s="2" t="str">
        <f>IF($L2143="","",IF(COUNTIF(LISTS!$A$2:$A$200,$H2143)=0,"NEW",""))</f>
        <v/>
      </c>
    </row>
    <row r="2144" spans="30:33" x14ac:dyDescent="0.25">
      <c r="AD2144" s="2" t="str">
        <f t="shared" si="99"/>
        <v/>
      </c>
      <c r="AE2144" s="2" t="str">
        <f t="shared" si="100"/>
        <v/>
      </c>
      <c r="AF2144" s="2" t="str">
        <f t="shared" si="101"/>
        <v/>
      </c>
      <c r="AG2144" s="2" t="str">
        <f>IF($L2144="","",IF(COUNTIF(LISTS!$A$2:$A$200,$H2144)=0,"NEW",""))</f>
        <v/>
      </c>
    </row>
    <row r="2145" spans="30:33" x14ac:dyDescent="0.25">
      <c r="AD2145" s="2" t="str">
        <f t="shared" si="99"/>
        <v/>
      </c>
      <c r="AE2145" s="2" t="str">
        <f t="shared" si="100"/>
        <v/>
      </c>
      <c r="AF2145" s="2" t="str">
        <f t="shared" si="101"/>
        <v/>
      </c>
      <c r="AG2145" s="2" t="str">
        <f>IF($L2145="","",IF(COUNTIF(LISTS!$A$2:$A$200,$H2145)=0,"NEW",""))</f>
        <v/>
      </c>
    </row>
    <row r="2146" spans="30:33" x14ac:dyDescent="0.25">
      <c r="AD2146" s="2" t="str">
        <f t="shared" si="99"/>
        <v/>
      </c>
      <c r="AE2146" s="2" t="str">
        <f t="shared" si="100"/>
        <v/>
      </c>
      <c r="AF2146" s="2" t="str">
        <f t="shared" si="101"/>
        <v/>
      </c>
      <c r="AG2146" s="2" t="str">
        <f>IF($L2146="","",IF(COUNTIF(LISTS!$A$2:$A$200,$H2146)=0,"NEW",""))</f>
        <v/>
      </c>
    </row>
    <row r="2147" spans="30:33" x14ac:dyDescent="0.25">
      <c r="AD2147" s="2" t="str">
        <f t="shared" si="99"/>
        <v/>
      </c>
      <c r="AE2147" s="2" t="str">
        <f t="shared" si="100"/>
        <v/>
      </c>
      <c r="AF2147" s="2" t="str">
        <f t="shared" si="101"/>
        <v/>
      </c>
      <c r="AG2147" s="2" t="str">
        <f>IF($L2147="","",IF(COUNTIF(LISTS!$A$2:$A$200,$H2147)=0,"NEW",""))</f>
        <v/>
      </c>
    </row>
    <row r="2148" spans="30:33" x14ac:dyDescent="0.25">
      <c r="AD2148" s="2" t="str">
        <f t="shared" si="99"/>
        <v/>
      </c>
      <c r="AE2148" s="2" t="str">
        <f t="shared" si="100"/>
        <v/>
      </c>
      <c r="AF2148" s="2" t="str">
        <f t="shared" si="101"/>
        <v/>
      </c>
      <c r="AG2148" s="2" t="str">
        <f>IF($L2148="","",IF(COUNTIF(LISTS!$A$2:$A$200,$H2148)=0,"NEW",""))</f>
        <v/>
      </c>
    </row>
    <row r="2149" spans="30:33" x14ac:dyDescent="0.25">
      <c r="AD2149" s="2" t="str">
        <f t="shared" si="99"/>
        <v/>
      </c>
      <c r="AE2149" s="2" t="str">
        <f t="shared" si="100"/>
        <v/>
      </c>
      <c r="AF2149" s="2" t="str">
        <f t="shared" si="101"/>
        <v/>
      </c>
      <c r="AG2149" s="2" t="str">
        <f>IF($L2149="","",IF(COUNTIF(LISTS!$A$2:$A$200,$H2149)=0,"NEW",""))</f>
        <v/>
      </c>
    </row>
    <row r="2150" spans="30:33" x14ac:dyDescent="0.25">
      <c r="AD2150" s="2" t="str">
        <f t="shared" si="99"/>
        <v/>
      </c>
      <c r="AE2150" s="2" t="str">
        <f t="shared" si="100"/>
        <v/>
      </c>
      <c r="AF2150" s="2" t="str">
        <f t="shared" si="101"/>
        <v/>
      </c>
      <c r="AG2150" s="2" t="str">
        <f>IF($L2150="","",IF(COUNTIF(LISTS!$A$2:$A$200,$H2150)=0,"NEW",""))</f>
        <v/>
      </c>
    </row>
    <row r="2151" spans="30:33" x14ac:dyDescent="0.25">
      <c r="AD2151" s="2" t="str">
        <f t="shared" si="99"/>
        <v/>
      </c>
      <c r="AE2151" s="2" t="str">
        <f t="shared" si="100"/>
        <v/>
      </c>
      <c r="AF2151" s="2" t="str">
        <f t="shared" si="101"/>
        <v/>
      </c>
      <c r="AG2151" s="2" t="str">
        <f>IF($L2151="","",IF(COUNTIF(LISTS!$A$2:$A$200,$H2151)=0,"NEW",""))</f>
        <v/>
      </c>
    </row>
    <row r="2152" spans="30:33" x14ac:dyDescent="0.25">
      <c r="AD2152" s="2" t="str">
        <f t="shared" si="99"/>
        <v/>
      </c>
      <c r="AE2152" s="2" t="str">
        <f t="shared" si="100"/>
        <v/>
      </c>
      <c r="AF2152" s="2" t="str">
        <f t="shared" si="101"/>
        <v/>
      </c>
      <c r="AG2152" s="2" t="str">
        <f>IF($L2152="","",IF(COUNTIF(LISTS!$A$2:$A$200,$H2152)=0,"NEW",""))</f>
        <v/>
      </c>
    </row>
    <row r="2153" spans="30:33" x14ac:dyDescent="0.25">
      <c r="AD2153" s="2" t="str">
        <f t="shared" si="99"/>
        <v/>
      </c>
      <c r="AE2153" s="2" t="str">
        <f t="shared" si="100"/>
        <v/>
      </c>
      <c r="AF2153" s="2" t="str">
        <f t="shared" si="101"/>
        <v/>
      </c>
      <c r="AG2153" s="2" t="str">
        <f>IF($L2153="","",IF(COUNTIF(LISTS!$A$2:$A$200,$H2153)=0,"NEW",""))</f>
        <v/>
      </c>
    </row>
    <row r="2154" spans="30:33" x14ac:dyDescent="0.25">
      <c r="AD2154" s="2" t="str">
        <f t="shared" si="99"/>
        <v/>
      </c>
      <c r="AE2154" s="2" t="str">
        <f t="shared" si="100"/>
        <v/>
      </c>
      <c r="AF2154" s="2" t="str">
        <f t="shared" si="101"/>
        <v/>
      </c>
      <c r="AG2154" s="2" t="str">
        <f>IF($L2154="","",IF(COUNTIF(LISTS!$A$2:$A$200,$H2154)=0,"NEW",""))</f>
        <v/>
      </c>
    </row>
    <row r="2155" spans="30:33" x14ac:dyDescent="0.25">
      <c r="AD2155" s="2" t="str">
        <f t="shared" si="99"/>
        <v/>
      </c>
      <c r="AE2155" s="2" t="str">
        <f t="shared" si="100"/>
        <v/>
      </c>
      <c r="AF2155" s="2" t="str">
        <f t="shared" si="101"/>
        <v/>
      </c>
      <c r="AG2155" s="2" t="str">
        <f>IF($L2155="","",IF(COUNTIF(LISTS!$A$2:$A$200,$H2155)=0,"NEW",""))</f>
        <v/>
      </c>
    </row>
    <row r="2156" spans="30:33" x14ac:dyDescent="0.25">
      <c r="AD2156" s="2" t="str">
        <f t="shared" si="99"/>
        <v/>
      </c>
      <c r="AE2156" s="2" t="str">
        <f t="shared" si="100"/>
        <v/>
      </c>
      <c r="AF2156" s="2" t="str">
        <f t="shared" si="101"/>
        <v/>
      </c>
      <c r="AG2156" s="2" t="str">
        <f>IF($L2156="","",IF(COUNTIF(LISTS!$A$2:$A$200,$H2156)=0,"NEW",""))</f>
        <v/>
      </c>
    </row>
    <row r="2157" spans="30:33" x14ac:dyDescent="0.25">
      <c r="AD2157" s="2" t="str">
        <f t="shared" si="99"/>
        <v/>
      </c>
      <c r="AE2157" s="2" t="str">
        <f t="shared" si="100"/>
        <v/>
      </c>
      <c r="AF2157" s="2" t="str">
        <f t="shared" si="101"/>
        <v/>
      </c>
      <c r="AG2157" s="2" t="str">
        <f>IF($L2157="","",IF(COUNTIF(LISTS!$A$2:$A$200,$H2157)=0,"NEW",""))</f>
        <v/>
      </c>
    </row>
    <row r="2158" spans="30:33" x14ac:dyDescent="0.25">
      <c r="AD2158" s="2" t="str">
        <f t="shared" si="99"/>
        <v/>
      </c>
      <c r="AE2158" s="2" t="str">
        <f t="shared" si="100"/>
        <v/>
      </c>
      <c r="AF2158" s="2" t="str">
        <f t="shared" si="101"/>
        <v/>
      </c>
      <c r="AG2158" s="2" t="str">
        <f>IF($L2158="","",IF(COUNTIF(LISTS!$A$2:$A$200,$H2158)=0,"NEW",""))</f>
        <v/>
      </c>
    </row>
    <row r="2159" spans="30:33" x14ac:dyDescent="0.25">
      <c r="AD2159" s="2" t="str">
        <f t="shared" si="99"/>
        <v/>
      </c>
      <c r="AE2159" s="2" t="str">
        <f t="shared" si="100"/>
        <v/>
      </c>
      <c r="AF2159" s="2" t="str">
        <f t="shared" si="101"/>
        <v/>
      </c>
      <c r="AG2159" s="2" t="str">
        <f>IF($L2159="","",IF(COUNTIF(LISTS!$A$2:$A$200,$H2159)=0,"NEW",""))</f>
        <v/>
      </c>
    </row>
    <row r="2160" spans="30:33" x14ac:dyDescent="0.25">
      <c r="AD2160" s="2" t="str">
        <f t="shared" si="99"/>
        <v/>
      </c>
      <c r="AE2160" s="2" t="str">
        <f t="shared" si="100"/>
        <v/>
      </c>
      <c r="AF2160" s="2" t="str">
        <f t="shared" si="101"/>
        <v/>
      </c>
      <c r="AG2160" s="2" t="str">
        <f>IF($L2160="","",IF(COUNTIF(LISTS!$A$2:$A$200,$H2160)=0,"NEW",""))</f>
        <v/>
      </c>
    </row>
    <row r="2161" spans="30:33" x14ac:dyDescent="0.25">
      <c r="AD2161" s="2" t="str">
        <f t="shared" si="99"/>
        <v/>
      </c>
      <c r="AE2161" s="2" t="str">
        <f t="shared" si="100"/>
        <v/>
      </c>
      <c r="AF2161" s="2" t="str">
        <f t="shared" si="101"/>
        <v/>
      </c>
      <c r="AG2161" s="2" t="str">
        <f>IF($L2161="","",IF(COUNTIF(LISTS!$A$2:$A$200,$H2161)=0,"NEW",""))</f>
        <v/>
      </c>
    </row>
    <row r="2162" spans="30:33" x14ac:dyDescent="0.25">
      <c r="AD2162" s="2" t="str">
        <f t="shared" si="99"/>
        <v/>
      </c>
      <c r="AE2162" s="2" t="str">
        <f t="shared" si="100"/>
        <v/>
      </c>
      <c r="AF2162" s="2" t="str">
        <f t="shared" si="101"/>
        <v/>
      </c>
      <c r="AG2162" s="2" t="str">
        <f>IF($L2162="","",IF(COUNTIF(LISTS!$A$2:$A$200,$H2162)=0,"NEW",""))</f>
        <v/>
      </c>
    </row>
    <row r="2163" spans="30:33" x14ac:dyDescent="0.25">
      <c r="AD2163" s="2" t="str">
        <f t="shared" si="99"/>
        <v/>
      </c>
      <c r="AE2163" s="2" t="str">
        <f t="shared" si="100"/>
        <v/>
      </c>
      <c r="AF2163" s="2" t="str">
        <f t="shared" si="101"/>
        <v/>
      </c>
      <c r="AG2163" s="2" t="str">
        <f>IF($L2163="","",IF(COUNTIF(LISTS!$A$2:$A$200,$H2163)=0,"NEW",""))</f>
        <v/>
      </c>
    </row>
    <row r="2164" spans="30:33" x14ac:dyDescent="0.25">
      <c r="AD2164" s="2" t="str">
        <f t="shared" si="99"/>
        <v/>
      </c>
      <c r="AE2164" s="2" t="str">
        <f t="shared" si="100"/>
        <v/>
      </c>
      <c r="AF2164" s="2" t="str">
        <f t="shared" si="101"/>
        <v/>
      </c>
      <c r="AG2164" s="2" t="str">
        <f>IF($L2164="","",IF(COUNTIF(LISTS!$A$2:$A$200,$H2164)=0,"NEW",""))</f>
        <v/>
      </c>
    </row>
    <row r="2165" spans="30:33" x14ac:dyDescent="0.25">
      <c r="AD2165" s="2" t="str">
        <f t="shared" si="99"/>
        <v/>
      </c>
      <c r="AE2165" s="2" t="str">
        <f t="shared" si="100"/>
        <v/>
      </c>
      <c r="AF2165" s="2" t="str">
        <f t="shared" si="101"/>
        <v/>
      </c>
      <c r="AG2165" s="2" t="str">
        <f>IF($L2165="","",IF(COUNTIF(LISTS!$A$2:$A$200,$H2165)=0,"NEW",""))</f>
        <v/>
      </c>
    </row>
    <row r="2166" spans="30:33" x14ac:dyDescent="0.25">
      <c r="AD2166" s="2" t="str">
        <f t="shared" si="99"/>
        <v/>
      </c>
      <c r="AE2166" s="2" t="str">
        <f t="shared" si="100"/>
        <v/>
      </c>
      <c r="AF2166" s="2" t="str">
        <f t="shared" si="101"/>
        <v/>
      </c>
      <c r="AG2166" s="2" t="str">
        <f>IF($L2166="","",IF(COUNTIF(LISTS!$A$2:$A$200,$H2166)=0,"NEW",""))</f>
        <v/>
      </c>
    </row>
    <row r="2167" spans="30:33" x14ac:dyDescent="0.25">
      <c r="AD2167" s="2" t="str">
        <f t="shared" si="99"/>
        <v/>
      </c>
      <c r="AE2167" s="2" t="str">
        <f t="shared" si="100"/>
        <v/>
      </c>
      <c r="AF2167" s="2" t="str">
        <f t="shared" si="101"/>
        <v/>
      </c>
      <c r="AG2167" s="2" t="str">
        <f>IF($L2167="","",IF(COUNTIF(LISTS!$A$2:$A$200,$H2167)=0,"NEW",""))</f>
        <v/>
      </c>
    </row>
    <row r="2168" spans="30:33" x14ac:dyDescent="0.25">
      <c r="AD2168" s="2" t="str">
        <f t="shared" si="99"/>
        <v/>
      </c>
      <c r="AE2168" s="2" t="str">
        <f t="shared" si="100"/>
        <v/>
      </c>
      <c r="AF2168" s="2" t="str">
        <f t="shared" si="101"/>
        <v/>
      </c>
      <c r="AG2168" s="2" t="str">
        <f>IF($L2168="","",IF(COUNTIF(LISTS!$A$2:$A$200,$H2168)=0,"NEW",""))</f>
        <v/>
      </c>
    </row>
    <row r="2169" spans="30:33" x14ac:dyDescent="0.25">
      <c r="AD2169" s="2" t="str">
        <f t="shared" si="99"/>
        <v/>
      </c>
      <c r="AE2169" s="2" t="str">
        <f t="shared" si="100"/>
        <v/>
      </c>
      <c r="AF2169" s="2" t="str">
        <f t="shared" si="101"/>
        <v/>
      </c>
      <c r="AG2169" s="2" t="str">
        <f>IF($L2169="","",IF(COUNTIF(LISTS!$A$2:$A$200,$H2169)=0,"NEW",""))</f>
        <v/>
      </c>
    </row>
    <row r="2170" spans="30:33" x14ac:dyDescent="0.25">
      <c r="AD2170" s="2" t="str">
        <f t="shared" si="99"/>
        <v/>
      </c>
      <c r="AE2170" s="2" t="str">
        <f t="shared" si="100"/>
        <v/>
      </c>
      <c r="AF2170" s="2" t="str">
        <f t="shared" si="101"/>
        <v/>
      </c>
      <c r="AG2170" s="2" t="str">
        <f>IF($L2170="","",IF(COUNTIF(LISTS!$A$2:$A$200,$H2170)=0,"NEW",""))</f>
        <v/>
      </c>
    </row>
    <row r="2171" spans="30:33" x14ac:dyDescent="0.25">
      <c r="AD2171" s="2" t="str">
        <f t="shared" si="99"/>
        <v/>
      </c>
      <c r="AE2171" s="2" t="str">
        <f t="shared" si="100"/>
        <v/>
      </c>
      <c r="AF2171" s="2" t="str">
        <f t="shared" si="101"/>
        <v/>
      </c>
      <c r="AG2171" s="2" t="str">
        <f>IF($L2171="","",IF(COUNTIF(LISTS!$A$2:$A$200,$H2171)=0,"NEW",""))</f>
        <v/>
      </c>
    </row>
    <row r="2172" spans="30:33" x14ac:dyDescent="0.25">
      <c r="AD2172" s="2" t="str">
        <f t="shared" si="99"/>
        <v/>
      </c>
      <c r="AE2172" s="2" t="str">
        <f t="shared" si="100"/>
        <v/>
      </c>
      <c r="AF2172" s="2" t="str">
        <f t="shared" si="101"/>
        <v/>
      </c>
      <c r="AG2172" s="2" t="str">
        <f>IF($L2172="","",IF(COUNTIF(LISTS!$A$2:$A$200,$H2172)=0,"NEW",""))</f>
        <v/>
      </c>
    </row>
    <row r="2173" spans="30:33" x14ac:dyDescent="0.25">
      <c r="AD2173" s="2" t="str">
        <f t="shared" si="99"/>
        <v/>
      </c>
      <c r="AE2173" s="2" t="str">
        <f t="shared" si="100"/>
        <v/>
      </c>
      <c r="AF2173" s="2" t="str">
        <f t="shared" si="101"/>
        <v/>
      </c>
      <c r="AG2173" s="2" t="str">
        <f>IF($L2173="","",IF(COUNTIF(LISTS!$A$2:$A$200,$H2173)=0,"NEW",""))</f>
        <v/>
      </c>
    </row>
    <row r="2174" spans="30:33" x14ac:dyDescent="0.25">
      <c r="AD2174" s="2" t="str">
        <f t="shared" si="99"/>
        <v/>
      </c>
      <c r="AE2174" s="2" t="str">
        <f t="shared" si="100"/>
        <v/>
      </c>
      <c r="AF2174" s="2" t="str">
        <f t="shared" si="101"/>
        <v/>
      </c>
      <c r="AG2174" s="2" t="str">
        <f>IF($L2174="","",IF(COUNTIF(LISTS!$A$2:$A$200,$H2174)=0,"NEW",""))</f>
        <v/>
      </c>
    </row>
    <row r="2175" spans="30:33" x14ac:dyDescent="0.25">
      <c r="AD2175" s="2" t="str">
        <f t="shared" si="99"/>
        <v/>
      </c>
      <c r="AE2175" s="2" t="str">
        <f t="shared" si="100"/>
        <v/>
      </c>
      <c r="AF2175" s="2" t="str">
        <f t="shared" si="101"/>
        <v/>
      </c>
      <c r="AG2175" s="2" t="str">
        <f>IF($L2175="","",IF(COUNTIF(LISTS!$A$2:$A$200,$H2175)=0,"NEW",""))</f>
        <v/>
      </c>
    </row>
    <row r="2176" spans="30:33" x14ac:dyDescent="0.25">
      <c r="AD2176" s="2" t="str">
        <f t="shared" si="99"/>
        <v/>
      </c>
      <c r="AE2176" s="2" t="str">
        <f t="shared" si="100"/>
        <v/>
      </c>
      <c r="AF2176" s="2" t="str">
        <f t="shared" si="101"/>
        <v/>
      </c>
      <c r="AG2176" s="2" t="str">
        <f>IF($L2176="","",IF(COUNTIF(LISTS!$A$2:$A$200,$H2176)=0,"NEW",""))</f>
        <v/>
      </c>
    </row>
    <row r="2177" spans="30:33" x14ac:dyDescent="0.25">
      <c r="AD2177" s="2" t="str">
        <f t="shared" si="99"/>
        <v/>
      </c>
      <c r="AE2177" s="2" t="str">
        <f t="shared" si="100"/>
        <v/>
      </c>
      <c r="AF2177" s="2" t="str">
        <f t="shared" si="101"/>
        <v/>
      </c>
      <c r="AG2177" s="2" t="str">
        <f>IF($L2177="","",IF(COUNTIF(LISTS!$A$2:$A$200,$H2177)=0,"NEW",""))</f>
        <v/>
      </c>
    </row>
    <row r="2178" spans="30:33" x14ac:dyDescent="0.25">
      <c r="AD2178" s="2" t="str">
        <f t="shared" ref="AD2178:AD2241" si="102">IF($L2178="","",IF(ISNUMBER(SEARCH("OFF ROAD",$H2178)),"OFF",IF(ISNUMBER(SEARCH("ON ROAD",$H2178)),"ON","")))</f>
        <v/>
      </c>
      <c r="AE2178" s="2" t="str">
        <f t="shared" ref="AE2178:AE2241" si="103">IF($AD2178="ON",""&amp;$L2178,"")</f>
        <v/>
      </c>
      <c r="AF2178" s="2" t="str">
        <f t="shared" ref="AF2178:AF2241" si="104">IF($L2178="","",IF($J2178&lt;&gt;"","Y",""))</f>
        <v/>
      </c>
      <c r="AG2178" s="2" t="str">
        <f>IF($L2178="","",IF(COUNTIF(LISTS!$A$2:$A$200,$H2178)=0,"NEW",""))</f>
        <v/>
      </c>
    </row>
    <row r="2179" spans="30:33" x14ac:dyDescent="0.25">
      <c r="AD2179" s="2" t="str">
        <f t="shared" si="102"/>
        <v/>
      </c>
      <c r="AE2179" s="2" t="str">
        <f t="shared" si="103"/>
        <v/>
      </c>
      <c r="AF2179" s="2" t="str">
        <f t="shared" si="104"/>
        <v/>
      </c>
      <c r="AG2179" s="2" t="str">
        <f>IF($L2179="","",IF(COUNTIF(LISTS!$A$2:$A$200,$H2179)=0,"NEW",""))</f>
        <v/>
      </c>
    </row>
    <row r="2180" spans="30:33" x14ac:dyDescent="0.25">
      <c r="AD2180" s="2" t="str">
        <f t="shared" si="102"/>
        <v/>
      </c>
      <c r="AE2180" s="2" t="str">
        <f t="shared" si="103"/>
        <v/>
      </c>
      <c r="AF2180" s="2" t="str">
        <f t="shared" si="104"/>
        <v/>
      </c>
      <c r="AG2180" s="2" t="str">
        <f>IF($L2180="","",IF(COUNTIF(LISTS!$A$2:$A$200,$H2180)=0,"NEW",""))</f>
        <v/>
      </c>
    </row>
    <row r="2181" spans="30:33" x14ac:dyDescent="0.25">
      <c r="AD2181" s="2" t="str">
        <f t="shared" si="102"/>
        <v/>
      </c>
      <c r="AE2181" s="2" t="str">
        <f t="shared" si="103"/>
        <v/>
      </c>
      <c r="AF2181" s="2" t="str">
        <f t="shared" si="104"/>
        <v/>
      </c>
      <c r="AG2181" s="2" t="str">
        <f>IF($L2181="","",IF(COUNTIF(LISTS!$A$2:$A$200,$H2181)=0,"NEW",""))</f>
        <v/>
      </c>
    </row>
    <row r="2182" spans="30:33" x14ac:dyDescent="0.25">
      <c r="AD2182" s="2" t="str">
        <f t="shared" si="102"/>
        <v/>
      </c>
      <c r="AE2182" s="2" t="str">
        <f t="shared" si="103"/>
        <v/>
      </c>
      <c r="AF2182" s="2" t="str">
        <f t="shared" si="104"/>
        <v/>
      </c>
      <c r="AG2182" s="2" t="str">
        <f>IF($L2182="","",IF(COUNTIF(LISTS!$A$2:$A$200,$H2182)=0,"NEW",""))</f>
        <v/>
      </c>
    </row>
    <row r="2183" spans="30:33" x14ac:dyDescent="0.25">
      <c r="AD2183" s="2" t="str">
        <f t="shared" si="102"/>
        <v/>
      </c>
      <c r="AE2183" s="2" t="str">
        <f t="shared" si="103"/>
        <v/>
      </c>
      <c r="AF2183" s="2" t="str">
        <f t="shared" si="104"/>
        <v/>
      </c>
      <c r="AG2183" s="2" t="str">
        <f>IF($L2183="","",IF(COUNTIF(LISTS!$A$2:$A$200,$H2183)=0,"NEW",""))</f>
        <v/>
      </c>
    </row>
    <row r="2184" spans="30:33" x14ac:dyDescent="0.25">
      <c r="AD2184" s="2" t="str">
        <f t="shared" si="102"/>
        <v/>
      </c>
      <c r="AE2184" s="2" t="str">
        <f t="shared" si="103"/>
        <v/>
      </c>
      <c r="AF2184" s="2" t="str">
        <f t="shared" si="104"/>
        <v/>
      </c>
      <c r="AG2184" s="2" t="str">
        <f>IF($L2184="","",IF(COUNTIF(LISTS!$A$2:$A$200,$H2184)=0,"NEW",""))</f>
        <v/>
      </c>
    </row>
    <row r="2185" spans="30:33" x14ac:dyDescent="0.25">
      <c r="AD2185" s="2" t="str">
        <f t="shared" si="102"/>
        <v/>
      </c>
      <c r="AE2185" s="2" t="str">
        <f t="shared" si="103"/>
        <v/>
      </c>
      <c r="AF2185" s="2" t="str">
        <f t="shared" si="104"/>
        <v/>
      </c>
      <c r="AG2185" s="2" t="str">
        <f>IF($L2185="","",IF(COUNTIF(LISTS!$A$2:$A$200,$H2185)=0,"NEW",""))</f>
        <v/>
      </c>
    </row>
    <row r="2186" spans="30:33" x14ac:dyDescent="0.25">
      <c r="AD2186" s="2" t="str">
        <f t="shared" si="102"/>
        <v/>
      </c>
      <c r="AE2186" s="2" t="str">
        <f t="shared" si="103"/>
        <v/>
      </c>
      <c r="AF2186" s="2" t="str">
        <f t="shared" si="104"/>
        <v/>
      </c>
      <c r="AG2186" s="2" t="str">
        <f>IF($L2186="","",IF(COUNTIF(LISTS!$A$2:$A$200,$H2186)=0,"NEW",""))</f>
        <v/>
      </c>
    </row>
    <row r="2187" spans="30:33" x14ac:dyDescent="0.25">
      <c r="AD2187" s="2" t="str">
        <f t="shared" si="102"/>
        <v/>
      </c>
      <c r="AE2187" s="2" t="str">
        <f t="shared" si="103"/>
        <v/>
      </c>
      <c r="AF2187" s="2" t="str">
        <f t="shared" si="104"/>
        <v/>
      </c>
      <c r="AG2187" s="2" t="str">
        <f>IF($L2187="","",IF(COUNTIF(LISTS!$A$2:$A$200,$H2187)=0,"NEW",""))</f>
        <v/>
      </c>
    </row>
    <row r="2188" spans="30:33" x14ac:dyDescent="0.25">
      <c r="AD2188" s="2" t="str">
        <f t="shared" si="102"/>
        <v/>
      </c>
      <c r="AE2188" s="2" t="str">
        <f t="shared" si="103"/>
        <v/>
      </c>
      <c r="AF2188" s="2" t="str">
        <f t="shared" si="104"/>
        <v/>
      </c>
      <c r="AG2188" s="2" t="str">
        <f>IF($L2188="","",IF(COUNTIF(LISTS!$A$2:$A$200,$H2188)=0,"NEW",""))</f>
        <v/>
      </c>
    </row>
    <row r="2189" spans="30:33" x14ac:dyDescent="0.25">
      <c r="AD2189" s="2" t="str">
        <f t="shared" si="102"/>
        <v/>
      </c>
      <c r="AE2189" s="2" t="str">
        <f t="shared" si="103"/>
        <v/>
      </c>
      <c r="AF2189" s="2" t="str">
        <f t="shared" si="104"/>
        <v/>
      </c>
      <c r="AG2189" s="2" t="str">
        <f>IF($L2189="","",IF(COUNTIF(LISTS!$A$2:$A$200,$H2189)=0,"NEW",""))</f>
        <v/>
      </c>
    </row>
    <row r="2190" spans="30:33" x14ac:dyDescent="0.25">
      <c r="AD2190" s="2" t="str">
        <f t="shared" si="102"/>
        <v/>
      </c>
      <c r="AE2190" s="2" t="str">
        <f t="shared" si="103"/>
        <v/>
      </c>
      <c r="AF2190" s="2" t="str">
        <f t="shared" si="104"/>
        <v/>
      </c>
      <c r="AG2190" s="2" t="str">
        <f>IF($L2190="","",IF(COUNTIF(LISTS!$A$2:$A$200,$H2190)=0,"NEW",""))</f>
        <v/>
      </c>
    </row>
    <row r="2191" spans="30:33" x14ac:dyDescent="0.25">
      <c r="AD2191" s="2" t="str">
        <f t="shared" si="102"/>
        <v/>
      </c>
      <c r="AE2191" s="2" t="str">
        <f t="shared" si="103"/>
        <v/>
      </c>
      <c r="AF2191" s="2" t="str">
        <f t="shared" si="104"/>
        <v/>
      </c>
      <c r="AG2191" s="2" t="str">
        <f>IF($L2191="","",IF(COUNTIF(LISTS!$A$2:$A$200,$H2191)=0,"NEW",""))</f>
        <v/>
      </c>
    </row>
    <row r="2192" spans="30:33" x14ac:dyDescent="0.25">
      <c r="AD2192" s="2" t="str">
        <f t="shared" si="102"/>
        <v/>
      </c>
      <c r="AE2192" s="2" t="str">
        <f t="shared" si="103"/>
        <v/>
      </c>
      <c r="AF2192" s="2" t="str">
        <f t="shared" si="104"/>
        <v/>
      </c>
      <c r="AG2192" s="2" t="str">
        <f>IF($L2192="","",IF(COUNTIF(LISTS!$A$2:$A$200,$H2192)=0,"NEW",""))</f>
        <v/>
      </c>
    </row>
    <row r="2193" spans="30:33" x14ac:dyDescent="0.25">
      <c r="AD2193" s="2" t="str">
        <f t="shared" si="102"/>
        <v/>
      </c>
      <c r="AE2193" s="2" t="str">
        <f t="shared" si="103"/>
        <v/>
      </c>
      <c r="AF2193" s="2" t="str">
        <f t="shared" si="104"/>
        <v/>
      </c>
      <c r="AG2193" s="2" t="str">
        <f>IF($L2193="","",IF(COUNTIF(LISTS!$A$2:$A$200,$H2193)=0,"NEW",""))</f>
        <v/>
      </c>
    </row>
    <row r="2194" spans="30:33" x14ac:dyDescent="0.25">
      <c r="AD2194" s="2" t="str">
        <f t="shared" si="102"/>
        <v/>
      </c>
      <c r="AE2194" s="2" t="str">
        <f t="shared" si="103"/>
        <v/>
      </c>
      <c r="AF2194" s="2" t="str">
        <f t="shared" si="104"/>
        <v/>
      </c>
      <c r="AG2194" s="2" t="str">
        <f>IF($L2194="","",IF(COUNTIF(LISTS!$A$2:$A$200,$H2194)=0,"NEW",""))</f>
        <v/>
      </c>
    </row>
    <row r="2195" spans="30:33" x14ac:dyDescent="0.25">
      <c r="AD2195" s="2" t="str">
        <f t="shared" si="102"/>
        <v/>
      </c>
      <c r="AE2195" s="2" t="str">
        <f t="shared" si="103"/>
        <v/>
      </c>
      <c r="AF2195" s="2" t="str">
        <f t="shared" si="104"/>
        <v/>
      </c>
      <c r="AG2195" s="2" t="str">
        <f>IF($L2195="","",IF(COUNTIF(LISTS!$A$2:$A$200,$H2195)=0,"NEW",""))</f>
        <v/>
      </c>
    </row>
    <row r="2196" spans="30:33" x14ac:dyDescent="0.25">
      <c r="AD2196" s="2" t="str">
        <f t="shared" si="102"/>
        <v/>
      </c>
      <c r="AE2196" s="2" t="str">
        <f t="shared" si="103"/>
        <v/>
      </c>
      <c r="AF2196" s="2" t="str">
        <f t="shared" si="104"/>
        <v/>
      </c>
      <c r="AG2196" s="2" t="str">
        <f>IF($L2196="","",IF(COUNTIF(LISTS!$A$2:$A$200,$H2196)=0,"NEW",""))</f>
        <v/>
      </c>
    </row>
    <row r="2197" spans="30:33" x14ac:dyDescent="0.25">
      <c r="AD2197" s="2" t="str">
        <f t="shared" si="102"/>
        <v/>
      </c>
      <c r="AE2197" s="2" t="str">
        <f t="shared" si="103"/>
        <v/>
      </c>
      <c r="AF2197" s="2" t="str">
        <f t="shared" si="104"/>
        <v/>
      </c>
      <c r="AG2197" s="2" t="str">
        <f>IF($L2197="","",IF(COUNTIF(LISTS!$A$2:$A$200,$H2197)=0,"NEW",""))</f>
        <v/>
      </c>
    </row>
    <row r="2198" spans="30:33" x14ac:dyDescent="0.25">
      <c r="AD2198" s="2" t="str">
        <f t="shared" si="102"/>
        <v/>
      </c>
      <c r="AE2198" s="2" t="str">
        <f t="shared" si="103"/>
        <v/>
      </c>
      <c r="AF2198" s="2" t="str">
        <f t="shared" si="104"/>
        <v/>
      </c>
      <c r="AG2198" s="2" t="str">
        <f>IF($L2198="","",IF(COUNTIF(LISTS!$A$2:$A$200,$H2198)=0,"NEW",""))</f>
        <v/>
      </c>
    </row>
    <row r="2199" spans="30:33" x14ac:dyDescent="0.25">
      <c r="AD2199" s="2" t="str">
        <f t="shared" si="102"/>
        <v/>
      </c>
      <c r="AE2199" s="2" t="str">
        <f t="shared" si="103"/>
        <v/>
      </c>
      <c r="AF2199" s="2" t="str">
        <f t="shared" si="104"/>
        <v/>
      </c>
      <c r="AG2199" s="2" t="str">
        <f>IF($L2199="","",IF(COUNTIF(LISTS!$A$2:$A$200,$H2199)=0,"NEW",""))</f>
        <v/>
      </c>
    </row>
    <row r="2200" spans="30:33" x14ac:dyDescent="0.25">
      <c r="AD2200" s="2" t="str">
        <f t="shared" si="102"/>
        <v/>
      </c>
      <c r="AE2200" s="2" t="str">
        <f t="shared" si="103"/>
        <v/>
      </c>
      <c r="AF2200" s="2" t="str">
        <f t="shared" si="104"/>
        <v/>
      </c>
      <c r="AG2200" s="2" t="str">
        <f>IF($L2200="","",IF(COUNTIF(LISTS!$A$2:$A$200,$H2200)=0,"NEW",""))</f>
        <v/>
      </c>
    </row>
    <row r="2201" spans="30:33" x14ac:dyDescent="0.25">
      <c r="AD2201" s="2" t="str">
        <f t="shared" si="102"/>
        <v/>
      </c>
      <c r="AE2201" s="2" t="str">
        <f t="shared" si="103"/>
        <v/>
      </c>
      <c r="AF2201" s="2" t="str">
        <f t="shared" si="104"/>
        <v/>
      </c>
      <c r="AG2201" s="2" t="str">
        <f>IF($L2201="","",IF(COUNTIF(LISTS!$A$2:$A$200,$H2201)=0,"NEW",""))</f>
        <v/>
      </c>
    </row>
    <row r="2202" spans="30:33" x14ac:dyDescent="0.25">
      <c r="AD2202" s="2" t="str">
        <f t="shared" si="102"/>
        <v/>
      </c>
      <c r="AE2202" s="2" t="str">
        <f t="shared" si="103"/>
        <v/>
      </c>
      <c r="AF2202" s="2" t="str">
        <f t="shared" si="104"/>
        <v/>
      </c>
      <c r="AG2202" s="2" t="str">
        <f>IF($L2202="","",IF(COUNTIF(LISTS!$A$2:$A$200,$H2202)=0,"NEW",""))</f>
        <v/>
      </c>
    </row>
    <row r="2203" spans="30:33" x14ac:dyDescent="0.25">
      <c r="AD2203" s="2" t="str">
        <f t="shared" si="102"/>
        <v/>
      </c>
      <c r="AE2203" s="2" t="str">
        <f t="shared" si="103"/>
        <v/>
      </c>
      <c r="AF2203" s="2" t="str">
        <f t="shared" si="104"/>
        <v/>
      </c>
      <c r="AG2203" s="2" t="str">
        <f>IF($L2203="","",IF(COUNTIF(LISTS!$A$2:$A$200,$H2203)=0,"NEW",""))</f>
        <v/>
      </c>
    </row>
    <row r="2204" spans="30:33" x14ac:dyDescent="0.25">
      <c r="AD2204" s="2" t="str">
        <f t="shared" si="102"/>
        <v/>
      </c>
      <c r="AE2204" s="2" t="str">
        <f t="shared" si="103"/>
        <v/>
      </c>
      <c r="AF2204" s="2" t="str">
        <f t="shared" si="104"/>
        <v/>
      </c>
      <c r="AG2204" s="2" t="str">
        <f>IF($L2204="","",IF(COUNTIF(LISTS!$A$2:$A$200,$H2204)=0,"NEW",""))</f>
        <v/>
      </c>
    </row>
    <row r="2205" spans="30:33" x14ac:dyDescent="0.25">
      <c r="AD2205" s="2" t="str">
        <f t="shared" si="102"/>
        <v/>
      </c>
      <c r="AE2205" s="2" t="str">
        <f t="shared" si="103"/>
        <v/>
      </c>
      <c r="AF2205" s="2" t="str">
        <f t="shared" si="104"/>
        <v/>
      </c>
      <c r="AG2205" s="2" t="str">
        <f>IF($L2205="","",IF(COUNTIF(LISTS!$A$2:$A$200,$H2205)=0,"NEW",""))</f>
        <v/>
      </c>
    </row>
    <row r="2206" spans="30:33" x14ac:dyDescent="0.25">
      <c r="AD2206" s="2" t="str">
        <f t="shared" si="102"/>
        <v/>
      </c>
      <c r="AE2206" s="2" t="str">
        <f t="shared" si="103"/>
        <v/>
      </c>
      <c r="AF2206" s="2" t="str">
        <f t="shared" si="104"/>
        <v/>
      </c>
      <c r="AG2206" s="2" t="str">
        <f>IF($L2206="","",IF(COUNTIF(LISTS!$A$2:$A$200,$H2206)=0,"NEW",""))</f>
        <v/>
      </c>
    </row>
    <row r="2207" spans="30:33" x14ac:dyDescent="0.25">
      <c r="AD2207" s="2" t="str">
        <f t="shared" si="102"/>
        <v/>
      </c>
      <c r="AE2207" s="2" t="str">
        <f t="shared" si="103"/>
        <v/>
      </c>
      <c r="AF2207" s="2" t="str">
        <f t="shared" si="104"/>
        <v/>
      </c>
      <c r="AG2207" s="2" t="str">
        <f>IF($L2207="","",IF(COUNTIF(LISTS!$A$2:$A$200,$H2207)=0,"NEW",""))</f>
        <v/>
      </c>
    </row>
    <row r="2208" spans="30:33" x14ac:dyDescent="0.25">
      <c r="AD2208" s="2" t="str">
        <f t="shared" si="102"/>
        <v/>
      </c>
      <c r="AE2208" s="2" t="str">
        <f t="shared" si="103"/>
        <v/>
      </c>
      <c r="AF2208" s="2" t="str">
        <f t="shared" si="104"/>
        <v/>
      </c>
      <c r="AG2208" s="2" t="str">
        <f>IF($L2208="","",IF(COUNTIF(LISTS!$A$2:$A$200,$H2208)=0,"NEW",""))</f>
        <v/>
      </c>
    </row>
    <row r="2209" spans="30:33" x14ac:dyDescent="0.25">
      <c r="AD2209" s="2" t="str">
        <f t="shared" si="102"/>
        <v/>
      </c>
      <c r="AE2209" s="2" t="str">
        <f t="shared" si="103"/>
        <v/>
      </c>
      <c r="AF2209" s="2" t="str">
        <f t="shared" si="104"/>
        <v/>
      </c>
      <c r="AG2209" s="2" t="str">
        <f>IF($L2209="","",IF(COUNTIF(LISTS!$A$2:$A$200,$H2209)=0,"NEW",""))</f>
        <v/>
      </c>
    </row>
    <row r="2210" spans="30:33" x14ac:dyDescent="0.25">
      <c r="AD2210" s="2" t="str">
        <f t="shared" si="102"/>
        <v/>
      </c>
      <c r="AE2210" s="2" t="str">
        <f t="shared" si="103"/>
        <v/>
      </c>
      <c r="AF2210" s="2" t="str">
        <f t="shared" si="104"/>
        <v/>
      </c>
      <c r="AG2210" s="2" t="str">
        <f>IF($L2210="","",IF(COUNTIF(LISTS!$A$2:$A$200,$H2210)=0,"NEW",""))</f>
        <v/>
      </c>
    </row>
    <row r="2211" spans="30:33" x14ac:dyDescent="0.25">
      <c r="AD2211" s="2" t="str">
        <f t="shared" si="102"/>
        <v/>
      </c>
      <c r="AE2211" s="2" t="str">
        <f t="shared" si="103"/>
        <v/>
      </c>
      <c r="AF2211" s="2" t="str">
        <f t="shared" si="104"/>
        <v/>
      </c>
      <c r="AG2211" s="2" t="str">
        <f>IF($L2211="","",IF(COUNTIF(LISTS!$A$2:$A$200,$H2211)=0,"NEW",""))</f>
        <v/>
      </c>
    </row>
    <row r="2212" spans="30:33" x14ac:dyDescent="0.25">
      <c r="AD2212" s="2" t="str">
        <f t="shared" si="102"/>
        <v/>
      </c>
      <c r="AE2212" s="2" t="str">
        <f t="shared" si="103"/>
        <v/>
      </c>
      <c r="AF2212" s="2" t="str">
        <f t="shared" si="104"/>
        <v/>
      </c>
      <c r="AG2212" s="2" t="str">
        <f>IF($L2212="","",IF(COUNTIF(LISTS!$A$2:$A$200,$H2212)=0,"NEW",""))</f>
        <v/>
      </c>
    </row>
    <row r="2213" spans="30:33" x14ac:dyDescent="0.25">
      <c r="AD2213" s="2" t="str">
        <f t="shared" si="102"/>
        <v/>
      </c>
      <c r="AE2213" s="2" t="str">
        <f t="shared" si="103"/>
        <v/>
      </c>
      <c r="AF2213" s="2" t="str">
        <f t="shared" si="104"/>
        <v/>
      </c>
      <c r="AG2213" s="2" t="str">
        <f>IF($L2213="","",IF(COUNTIF(LISTS!$A$2:$A$200,$H2213)=0,"NEW",""))</f>
        <v/>
      </c>
    </row>
    <row r="2214" spans="30:33" x14ac:dyDescent="0.25">
      <c r="AD2214" s="2" t="str">
        <f t="shared" si="102"/>
        <v/>
      </c>
      <c r="AE2214" s="2" t="str">
        <f t="shared" si="103"/>
        <v/>
      </c>
      <c r="AF2214" s="2" t="str">
        <f t="shared" si="104"/>
        <v/>
      </c>
      <c r="AG2214" s="2" t="str">
        <f>IF($L2214="","",IF(COUNTIF(LISTS!$A$2:$A$200,$H2214)=0,"NEW",""))</f>
        <v/>
      </c>
    </row>
    <row r="2215" spans="30:33" x14ac:dyDescent="0.25">
      <c r="AD2215" s="2" t="str">
        <f t="shared" si="102"/>
        <v/>
      </c>
      <c r="AE2215" s="2" t="str">
        <f t="shared" si="103"/>
        <v/>
      </c>
      <c r="AF2215" s="2" t="str">
        <f t="shared" si="104"/>
        <v/>
      </c>
      <c r="AG2215" s="2" t="str">
        <f>IF($L2215="","",IF(COUNTIF(LISTS!$A$2:$A$200,$H2215)=0,"NEW",""))</f>
        <v/>
      </c>
    </row>
    <row r="2216" spans="30:33" x14ac:dyDescent="0.25">
      <c r="AD2216" s="2" t="str">
        <f t="shared" si="102"/>
        <v/>
      </c>
      <c r="AE2216" s="2" t="str">
        <f t="shared" si="103"/>
        <v/>
      </c>
      <c r="AF2216" s="2" t="str">
        <f t="shared" si="104"/>
        <v/>
      </c>
      <c r="AG2216" s="2" t="str">
        <f>IF($L2216="","",IF(COUNTIF(LISTS!$A$2:$A$200,$H2216)=0,"NEW",""))</f>
        <v/>
      </c>
    </row>
    <row r="2217" spans="30:33" x14ac:dyDescent="0.25">
      <c r="AD2217" s="2" t="str">
        <f t="shared" si="102"/>
        <v/>
      </c>
      <c r="AE2217" s="2" t="str">
        <f t="shared" si="103"/>
        <v/>
      </c>
      <c r="AF2217" s="2" t="str">
        <f t="shared" si="104"/>
        <v/>
      </c>
      <c r="AG2217" s="2" t="str">
        <f>IF($L2217="","",IF(COUNTIF(LISTS!$A$2:$A$200,$H2217)=0,"NEW",""))</f>
        <v/>
      </c>
    </row>
    <row r="2218" spans="30:33" x14ac:dyDescent="0.25">
      <c r="AD2218" s="2" t="str">
        <f t="shared" si="102"/>
        <v/>
      </c>
      <c r="AE2218" s="2" t="str">
        <f t="shared" si="103"/>
        <v/>
      </c>
      <c r="AF2218" s="2" t="str">
        <f t="shared" si="104"/>
        <v/>
      </c>
      <c r="AG2218" s="2" t="str">
        <f>IF($L2218="","",IF(COUNTIF(LISTS!$A$2:$A$200,$H2218)=0,"NEW",""))</f>
        <v/>
      </c>
    </row>
    <row r="2219" spans="30:33" x14ac:dyDescent="0.25">
      <c r="AD2219" s="2" t="str">
        <f t="shared" si="102"/>
        <v/>
      </c>
      <c r="AE2219" s="2" t="str">
        <f t="shared" si="103"/>
        <v/>
      </c>
      <c r="AF2219" s="2" t="str">
        <f t="shared" si="104"/>
        <v/>
      </c>
      <c r="AG2219" s="2" t="str">
        <f>IF($L2219="","",IF(COUNTIF(LISTS!$A$2:$A$200,$H2219)=0,"NEW",""))</f>
        <v/>
      </c>
    </row>
    <row r="2220" spans="30:33" x14ac:dyDescent="0.25">
      <c r="AD2220" s="2" t="str">
        <f t="shared" si="102"/>
        <v/>
      </c>
      <c r="AE2220" s="2" t="str">
        <f t="shared" si="103"/>
        <v/>
      </c>
      <c r="AF2220" s="2" t="str">
        <f t="shared" si="104"/>
        <v/>
      </c>
      <c r="AG2220" s="2" t="str">
        <f>IF($L2220="","",IF(COUNTIF(LISTS!$A$2:$A$200,$H2220)=0,"NEW",""))</f>
        <v/>
      </c>
    </row>
    <row r="2221" spans="30:33" x14ac:dyDescent="0.25">
      <c r="AD2221" s="2" t="str">
        <f t="shared" si="102"/>
        <v/>
      </c>
      <c r="AE2221" s="2" t="str">
        <f t="shared" si="103"/>
        <v/>
      </c>
      <c r="AF2221" s="2" t="str">
        <f t="shared" si="104"/>
        <v/>
      </c>
      <c r="AG2221" s="2" t="str">
        <f>IF($L2221="","",IF(COUNTIF(LISTS!$A$2:$A$200,$H2221)=0,"NEW",""))</f>
        <v/>
      </c>
    </row>
    <row r="2222" spans="30:33" x14ac:dyDescent="0.25">
      <c r="AD2222" s="2" t="str">
        <f t="shared" si="102"/>
        <v/>
      </c>
      <c r="AE2222" s="2" t="str">
        <f t="shared" si="103"/>
        <v/>
      </c>
      <c r="AF2222" s="2" t="str">
        <f t="shared" si="104"/>
        <v/>
      </c>
      <c r="AG2222" s="2" t="str">
        <f>IF($L2222="","",IF(COUNTIF(LISTS!$A$2:$A$200,$H2222)=0,"NEW",""))</f>
        <v/>
      </c>
    </row>
    <row r="2223" spans="30:33" x14ac:dyDescent="0.25">
      <c r="AD2223" s="2" t="str">
        <f t="shared" si="102"/>
        <v/>
      </c>
      <c r="AE2223" s="2" t="str">
        <f t="shared" si="103"/>
        <v/>
      </c>
      <c r="AF2223" s="2" t="str">
        <f t="shared" si="104"/>
        <v/>
      </c>
      <c r="AG2223" s="2" t="str">
        <f>IF($L2223="","",IF(COUNTIF(LISTS!$A$2:$A$200,$H2223)=0,"NEW",""))</f>
        <v/>
      </c>
    </row>
    <row r="2224" spans="30:33" x14ac:dyDescent="0.25">
      <c r="AD2224" s="2" t="str">
        <f t="shared" si="102"/>
        <v/>
      </c>
      <c r="AE2224" s="2" t="str">
        <f t="shared" si="103"/>
        <v/>
      </c>
      <c r="AF2224" s="2" t="str">
        <f t="shared" si="104"/>
        <v/>
      </c>
      <c r="AG2224" s="2" t="str">
        <f>IF($L2224="","",IF(COUNTIF(LISTS!$A$2:$A$200,$H2224)=0,"NEW",""))</f>
        <v/>
      </c>
    </row>
    <row r="2225" spans="30:33" x14ac:dyDescent="0.25">
      <c r="AD2225" s="2" t="str">
        <f t="shared" si="102"/>
        <v/>
      </c>
      <c r="AE2225" s="2" t="str">
        <f t="shared" si="103"/>
        <v/>
      </c>
      <c r="AF2225" s="2" t="str">
        <f t="shared" si="104"/>
        <v/>
      </c>
      <c r="AG2225" s="2" t="str">
        <f>IF($L2225="","",IF(COUNTIF(LISTS!$A$2:$A$200,$H2225)=0,"NEW",""))</f>
        <v/>
      </c>
    </row>
    <row r="2226" spans="30:33" x14ac:dyDescent="0.25">
      <c r="AD2226" s="2" t="str">
        <f t="shared" si="102"/>
        <v/>
      </c>
      <c r="AE2226" s="2" t="str">
        <f t="shared" si="103"/>
        <v/>
      </c>
      <c r="AF2226" s="2" t="str">
        <f t="shared" si="104"/>
        <v/>
      </c>
      <c r="AG2226" s="2" t="str">
        <f>IF($L2226="","",IF(COUNTIF(LISTS!$A$2:$A$200,$H2226)=0,"NEW",""))</f>
        <v/>
      </c>
    </row>
    <row r="2227" spans="30:33" x14ac:dyDescent="0.25">
      <c r="AD2227" s="2" t="str">
        <f t="shared" si="102"/>
        <v/>
      </c>
      <c r="AE2227" s="2" t="str">
        <f t="shared" si="103"/>
        <v/>
      </c>
      <c r="AF2227" s="2" t="str">
        <f t="shared" si="104"/>
        <v/>
      </c>
      <c r="AG2227" s="2" t="str">
        <f>IF($L2227="","",IF(COUNTIF(LISTS!$A$2:$A$200,$H2227)=0,"NEW",""))</f>
        <v/>
      </c>
    </row>
    <row r="2228" spans="30:33" x14ac:dyDescent="0.25">
      <c r="AD2228" s="2" t="str">
        <f t="shared" si="102"/>
        <v/>
      </c>
      <c r="AE2228" s="2" t="str">
        <f t="shared" si="103"/>
        <v/>
      </c>
      <c r="AF2228" s="2" t="str">
        <f t="shared" si="104"/>
        <v/>
      </c>
      <c r="AG2228" s="2" t="str">
        <f>IF($L2228="","",IF(COUNTIF(LISTS!$A$2:$A$200,$H2228)=0,"NEW",""))</f>
        <v/>
      </c>
    </row>
    <row r="2229" spans="30:33" x14ac:dyDescent="0.25">
      <c r="AD2229" s="2" t="str">
        <f t="shared" si="102"/>
        <v/>
      </c>
      <c r="AE2229" s="2" t="str">
        <f t="shared" si="103"/>
        <v/>
      </c>
      <c r="AF2229" s="2" t="str">
        <f t="shared" si="104"/>
        <v/>
      </c>
      <c r="AG2229" s="2" t="str">
        <f>IF($L2229="","",IF(COUNTIF(LISTS!$A$2:$A$200,$H2229)=0,"NEW",""))</f>
        <v/>
      </c>
    </row>
    <row r="2230" spans="30:33" x14ac:dyDescent="0.25">
      <c r="AD2230" s="2" t="str">
        <f t="shared" si="102"/>
        <v/>
      </c>
      <c r="AE2230" s="2" t="str">
        <f t="shared" si="103"/>
        <v/>
      </c>
      <c r="AF2230" s="2" t="str">
        <f t="shared" si="104"/>
        <v/>
      </c>
      <c r="AG2230" s="2" t="str">
        <f>IF($L2230="","",IF(COUNTIF(LISTS!$A$2:$A$200,$H2230)=0,"NEW",""))</f>
        <v/>
      </c>
    </row>
    <row r="2231" spans="30:33" x14ac:dyDescent="0.25">
      <c r="AD2231" s="2" t="str">
        <f t="shared" si="102"/>
        <v/>
      </c>
      <c r="AE2231" s="2" t="str">
        <f t="shared" si="103"/>
        <v/>
      </c>
      <c r="AF2231" s="2" t="str">
        <f t="shared" si="104"/>
        <v/>
      </c>
      <c r="AG2231" s="2" t="str">
        <f>IF($L2231="","",IF(COUNTIF(LISTS!$A$2:$A$200,$H2231)=0,"NEW",""))</f>
        <v/>
      </c>
    </row>
    <row r="2232" spans="30:33" x14ac:dyDescent="0.25">
      <c r="AD2232" s="2" t="str">
        <f t="shared" si="102"/>
        <v/>
      </c>
      <c r="AE2232" s="2" t="str">
        <f t="shared" si="103"/>
        <v/>
      </c>
      <c r="AF2232" s="2" t="str">
        <f t="shared" si="104"/>
        <v/>
      </c>
      <c r="AG2232" s="2" t="str">
        <f>IF($L2232="","",IF(COUNTIF(LISTS!$A$2:$A$200,$H2232)=0,"NEW",""))</f>
        <v/>
      </c>
    </row>
    <row r="2233" spans="30:33" x14ac:dyDescent="0.25">
      <c r="AD2233" s="2" t="str">
        <f t="shared" si="102"/>
        <v/>
      </c>
      <c r="AE2233" s="2" t="str">
        <f t="shared" si="103"/>
        <v/>
      </c>
      <c r="AF2233" s="2" t="str">
        <f t="shared" si="104"/>
        <v/>
      </c>
      <c r="AG2233" s="2" t="str">
        <f>IF($L2233="","",IF(COUNTIF(LISTS!$A$2:$A$200,$H2233)=0,"NEW",""))</f>
        <v/>
      </c>
    </row>
    <row r="2234" spans="30:33" x14ac:dyDescent="0.25">
      <c r="AD2234" s="2" t="str">
        <f t="shared" si="102"/>
        <v/>
      </c>
      <c r="AE2234" s="2" t="str">
        <f t="shared" si="103"/>
        <v/>
      </c>
      <c r="AF2234" s="2" t="str">
        <f t="shared" si="104"/>
        <v/>
      </c>
      <c r="AG2234" s="2" t="str">
        <f>IF($L2234="","",IF(COUNTIF(LISTS!$A$2:$A$200,$H2234)=0,"NEW",""))</f>
        <v/>
      </c>
    </row>
    <row r="2235" spans="30:33" x14ac:dyDescent="0.25">
      <c r="AD2235" s="2" t="str">
        <f t="shared" si="102"/>
        <v/>
      </c>
      <c r="AE2235" s="2" t="str">
        <f t="shared" si="103"/>
        <v/>
      </c>
      <c r="AF2235" s="2" t="str">
        <f t="shared" si="104"/>
        <v/>
      </c>
      <c r="AG2235" s="2" t="str">
        <f>IF($L2235="","",IF(COUNTIF(LISTS!$A$2:$A$200,$H2235)=0,"NEW",""))</f>
        <v/>
      </c>
    </row>
    <row r="2236" spans="30:33" x14ac:dyDescent="0.25">
      <c r="AD2236" s="2" t="str">
        <f t="shared" si="102"/>
        <v/>
      </c>
      <c r="AE2236" s="2" t="str">
        <f t="shared" si="103"/>
        <v/>
      </c>
      <c r="AF2236" s="2" t="str">
        <f t="shared" si="104"/>
        <v/>
      </c>
      <c r="AG2236" s="2" t="str">
        <f>IF($L2236="","",IF(COUNTIF(LISTS!$A$2:$A$200,$H2236)=0,"NEW",""))</f>
        <v/>
      </c>
    </row>
    <row r="2237" spans="30:33" x14ac:dyDescent="0.25">
      <c r="AD2237" s="2" t="str">
        <f t="shared" si="102"/>
        <v/>
      </c>
      <c r="AE2237" s="2" t="str">
        <f t="shared" si="103"/>
        <v/>
      </c>
      <c r="AF2237" s="2" t="str">
        <f t="shared" si="104"/>
        <v/>
      </c>
      <c r="AG2237" s="2" t="str">
        <f>IF($L2237="","",IF(COUNTIF(LISTS!$A$2:$A$200,$H2237)=0,"NEW",""))</f>
        <v/>
      </c>
    </row>
    <row r="2238" spans="30:33" x14ac:dyDescent="0.25">
      <c r="AD2238" s="2" t="str">
        <f t="shared" si="102"/>
        <v/>
      </c>
      <c r="AE2238" s="2" t="str">
        <f t="shared" si="103"/>
        <v/>
      </c>
      <c r="AF2238" s="2" t="str">
        <f t="shared" si="104"/>
        <v/>
      </c>
      <c r="AG2238" s="2" t="str">
        <f>IF($L2238="","",IF(COUNTIF(LISTS!$A$2:$A$200,$H2238)=0,"NEW",""))</f>
        <v/>
      </c>
    </row>
    <row r="2239" spans="30:33" x14ac:dyDescent="0.25">
      <c r="AD2239" s="2" t="str">
        <f t="shared" si="102"/>
        <v/>
      </c>
      <c r="AE2239" s="2" t="str">
        <f t="shared" si="103"/>
        <v/>
      </c>
      <c r="AF2239" s="2" t="str">
        <f t="shared" si="104"/>
        <v/>
      </c>
      <c r="AG2239" s="2" t="str">
        <f>IF($L2239="","",IF(COUNTIF(LISTS!$A$2:$A$200,$H2239)=0,"NEW",""))</f>
        <v/>
      </c>
    </row>
    <row r="2240" spans="30:33" x14ac:dyDescent="0.25">
      <c r="AD2240" s="2" t="str">
        <f t="shared" si="102"/>
        <v/>
      </c>
      <c r="AE2240" s="2" t="str">
        <f t="shared" si="103"/>
        <v/>
      </c>
      <c r="AF2240" s="2" t="str">
        <f t="shared" si="104"/>
        <v/>
      </c>
      <c r="AG2240" s="2" t="str">
        <f>IF($L2240="","",IF(COUNTIF(LISTS!$A$2:$A$200,$H2240)=0,"NEW",""))</f>
        <v/>
      </c>
    </row>
    <row r="2241" spans="30:33" x14ac:dyDescent="0.25">
      <c r="AD2241" s="2" t="str">
        <f t="shared" si="102"/>
        <v/>
      </c>
      <c r="AE2241" s="2" t="str">
        <f t="shared" si="103"/>
        <v/>
      </c>
      <c r="AF2241" s="2" t="str">
        <f t="shared" si="104"/>
        <v/>
      </c>
      <c r="AG2241" s="2" t="str">
        <f>IF($L2241="","",IF(COUNTIF(LISTS!$A$2:$A$200,$H2241)=0,"NEW",""))</f>
        <v/>
      </c>
    </row>
    <row r="2242" spans="30:33" x14ac:dyDescent="0.25">
      <c r="AD2242" s="2" t="str">
        <f t="shared" ref="AD2242:AD2305" si="105">IF($L2242="","",IF(ISNUMBER(SEARCH("OFF ROAD",$H2242)),"OFF",IF(ISNUMBER(SEARCH("ON ROAD",$H2242)),"ON","")))</f>
        <v/>
      </c>
      <c r="AE2242" s="2" t="str">
        <f t="shared" ref="AE2242:AE2305" si="106">IF($AD2242="ON",""&amp;$L2242,"")</f>
        <v/>
      </c>
      <c r="AF2242" s="2" t="str">
        <f t="shared" ref="AF2242:AF2305" si="107">IF($L2242="","",IF($J2242&lt;&gt;"","Y",""))</f>
        <v/>
      </c>
      <c r="AG2242" s="2" t="str">
        <f>IF($L2242="","",IF(COUNTIF(LISTS!$A$2:$A$200,$H2242)=0,"NEW",""))</f>
        <v/>
      </c>
    </row>
    <row r="2243" spans="30:33" x14ac:dyDescent="0.25">
      <c r="AD2243" s="2" t="str">
        <f t="shared" si="105"/>
        <v/>
      </c>
      <c r="AE2243" s="2" t="str">
        <f t="shared" si="106"/>
        <v/>
      </c>
      <c r="AF2243" s="2" t="str">
        <f t="shared" si="107"/>
        <v/>
      </c>
      <c r="AG2243" s="2" t="str">
        <f>IF($L2243="","",IF(COUNTIF(LISTS!$A$2:$A$200,$H2243)=0,"NEW",""))</f>
        <v/>
      </c>
    </row>
    <row r="2244" spans="30:33" x14ac:dyDescent="0.25">
      <c r="AD2244" s="2" t="str">
        <f t="shared" si="105"/>
        <v/>
      </c>
      <c r="AE2244" s="2" t="str">
        <f t="shared" si="106"/>
        <v/>
      </c>
      <c r="AF2244" s="2" t="str">
        <f t="shared" si="107"/>
        <v/>
      </c>
      <c r="AG2244" s="2" t="str">
        <f>IF($L2244="","",IF(COUNTIF(LISTS!$A$2:$A$200,$H2244)=0,"NEW",""))</f>
        <v/>
      </c>
    </row>
    <row r="2245" spans="30:33" x14ac:dyDescent="0.25">
      <c r="AD2245" s="2" t="str">
        <f t="shared" si="105"/>
        <v/>
      </c>
      <c r="AE2245" s="2" t="str">
        <f t="shared" si="106"/>
        <v/>
      </c>
      <c r="AF2245" s="2" t="str">
        <f t="shared" si="107"/>
        <v/>
      </c>
      <c r="AG2245" s="2" t="str">
        <f>IF($L2245="","",IF(COUNTIF(LISTS!$A$2:$A$200,$H2245)=0,"NEW",""))</f>
        <v/>
      </c>
    </row>
    <row r="2246" spans="30:33" x14ac:dyDescent="0.25">
      <c r="AD2246" s="2" t="str">
        <f t="shared" si="105"/>
        <v/>
      </c>
      <c r="AE2246" s="2" t="str">
        <f t="shared" si="106"/>
        <v/>
      </c>
      <c r="AF2246" s="2" t="str">
        <f t="shared" si="107"/>
        <v/>
      </c>
      <c r="AG2246" s="2" t="str">
        <f>IF($L2246="","",IF(COUNTIF(LISTS!$A$2:$A$200,$H2246)=0,"NEW",""))</f>
        <v/>
      </c>
    </row>
    <row r="2247" spans="30:33" x14ac:dyDescent="0.25">
      <c r="AD2247" s="2" t="str">
        <f t="shared" si="105"/>
        <v/>
      </c>
      <c r="AE2247" s="2" t="str">
        <f t="shared" si="106"/>
        <v/>
      </c>
      <c r="AF2247" s="2" t="str">
        <f t="shared" si="107"/>
        <v/>
      </c>
      <c r="AG2247" s="2" t="str">
        <f>IF($L2247="","",IF(COUNTIF(LISTS!$A$2:$A$200,$H2247)=0,"NEW",""))</f>
        <v/>
      </c>
    </row>
    <row r="2248" spans="30:33" x14ac:dyDescent="0.25">
      <c r="AD2248" s="2" t="str">
        <f t="shared" si="105"/>
        <v/>
      </c>
      <c r="AE2248" s="2" t="str">
        <f t="shared" si="106"/>
        <v/>
      </c>
      <c r="AF2248" s="2" t="str">
        <f t="shared" si="107"/>
        <v/>
      </c>
      <c r="AG2248" s="2" t="str">
        <f>IF($L2248="","",IF(COUNTIF(LISTS!$A$2:$A$200,$H2248)=0,"NEW",""))</f>
        <v/>
      </c>
    </row>
    <row r="2249" spans="30:33" x14ac:dyDescent="0.25">
      <c r="AD2249" s="2" t="str">
        <f t="shared" si="105"/>
        <v/>
      </c>
      <c r="AE2249" s="2" t="str">
        <f t="shared" si="106"/>
        <v/>
      </c>
      <c r="AF2249" s="2" t="str">
        <f t="shared" si="107"/>
        <v/>
      </c>
      <c r="AG2249" s="2" t="str">
        <f>IF($L2249="","",IF(COUNTIF(LISTS!$A$2:$A$200,$H2249)=0,"NEW",""))</f>
        <v/>
      </c>
    </row>
    <row r="2250" spans="30:33" x14ac:dyDescent="0.25">
      <c r="AD2250" s="2" t="str">
        <f t="shared" si="105"/>
        <v/>
      </c>
      <c r="AE2250" s="2" t="str">
        <f t="shared" si="106"/>
        <v/>
      </c>
      <c r="AF2250" s="2" t="str">
        <f t="shared" si="107"/>
        <v/>
      </c>
      <c r="AG2250" s="2" t="str">
        <f>IF($L2250="","",IF(COUNTIF(LISTS!$A$2:$A$200,$H2250)=0,"NEW",""))</f>
        <v/>
      </c>
    </row>
    <row r="2251" spans="30:33" x14ac:dyDescent="0.25">
      <c r="AD2251" s="2" t="str">
        <f t="shared" si="105"/>
        <v/>
      </c>
      <c r="AE2251" s="2" t="str">
        <f t="shared" si="106"/>
        <v/>
      </c>
      <c r="AF2251" s="2" t="str">
        <f t="shared" si="107"/>
        <v/>
      </c>
      <c r="AG2251" s="2" t="str">
        <f>IF($L2251="","",IF(COUNTIF(LISTS!$A$2:$A$200,$H2251)=0,"NEW",""))</f>
        <v/>
      </c>
    </row>
    <row r="2252" spans="30:33" x14ac:dyDescent="0.25">
      <c r="AD2252" s="2" t="str">
        <f t="shared" si="105"/>
        <v/>
      </c>
      <c r="AE2252" s="2" t="str">
        <f t="shared" si="106"/>
        <v/>
      </c>
      <c r="AF2252" s="2" t="str">
        <f t="shared" si="107"/>
        <v/>
      </c>
      <c r="AG2252" s="2" t="str">
        <f>IF($L2252="","",IF(COUNTIF(LISTS!$A$2:$A$200,$H2252)=0,"NEW",""))</f>
        <v/>
      </c>
    </row>
    <row r="2253" spans="30:33" x14ac:dyDescent="0.25">
      <c r="AD2253" s="2" t="str">
        <f t="shared" si="105"/>
        <v/>
      </c>
      <c r="AE2253" s="2" t="str">
        <f t="shared" si="106"/>
        <v/>
      </c>
      <c r="AF2253" s="2" t="str">
        <f t="shared" si="107"/>
        <v/>
      </c>
      <c r="AG2253" s="2" t="str">
        <f>IF($L2253="","",IF(COUNTIF(LISTS!$A$2:$A$200,$H2253)=0,"NEW",""))</f>
        <v/>
      </c>
    </row>
    <row r="2254" spans="30:33" x14ac:dyDescent="0.25">
      <c r="AD2254" s="2" t="str">
        <f t="shared" si="105"/>
        <v/>
      </c>
      <c r="AE2254" s="2" t="str">
        <f t="shared" si="106"/>
        <v/>
      </c>
      <c r="AF2254" s="2" t="str">
        <f t="shared" si="107"/>
        <v/>
      </c>
      <c r="AG2254" s="2" t="str">
        <f>IF($L2254="","",IF(COUNTIF(LISTS!$A$2:$A$200,$H2254)=0,"NEW",""))</f>
        <v/>
      </c>
    </row>
    <row r="2255" spans="30:33" x14ac:dyDescent="0.25">
      <c r="AD2255" s="2" t="str">
        <f t="shared" si="105"/>
        <v/>
      </c>
      <c r="AE2255" s="2" t="str">
        <f t="shared" si="106"/>
        <v/>
      </c>
      <c r="AF2255" s="2" t="str">
        <f t="shared" si="107"/>
        <v/>
      </c>
      <c r="AG2255" s="2" t="str">
        <f>IF($L2255="","",IF(COUNTIF(LISTS!$A$2:$A$200,$H2255)=0,"NEW",""))</f>
        <v/>
      </c>
    </row>
    <row r="2256" spans="30:33" x14ac:dyDescent="0.25">
      <c r="AD2256" s="2" t="str">
        <f t="shared" si="105"/>
        <v/>
      </c>
      <c r="AE2256" s="2" t="str">
        <f t="shared" si="106"/>
        <v/>
      </c>
      <c r="AF2256" s="2" t="str">
        <f t="shared" si="107"/>
        <v/>
      </c>
      <c r="AG2256" s="2" t="str">
        <f>IF($L2256="","",IF(COUNTIF(LISTS!$A$2:$A$200,$H2256)=0,"NEW",""))</f>
        <v/>
      </c>
    </row>
    <row r="2257" spans="30:33" x14ac:dyDescent="0.25">
      <c r="AD2257" s="2" t="str">
        <f t="shared" si="105"/>
        <v/>
      </c>
      <c r="AE2257" s="2" t="str">
        <f t="shared" si="106"/>
        <v/>
      </c>
      <c r="AF2257" s="2" t="str">
        <f t="shared" si="107"/>
        <v/>
      </c>
      <c r="AG2257" s="2" t="str">
        <f>IF($L2257="","",IF(COUNTIF(LISTS!$A$2:$A$200,$H2257)=0,"NEW",""))</f>
        <v/>
      </c>
    </row>
    <row r="2258" spans="30:33" x14ac:dyDescent="0.25">
      <c r="AD2258" s="2" t="str">
        <f t="shared" si="105"/>
        <v/>
      </c>
      <c r="AE2258" s="2" t="str">
        <f t="shared" si="106"/>
        <v/>
      </c>
      <c r="AF2258" s="2" t="str">
        <f t="shared" si="107"/>
        <v/>
      </c>
      <c r="AG2258" s="2" t="str">
        <f>IF($L2258="","",IF(COUNTIF(LISTS!$A$2:$A$200,$H2258)=0,"NEW",""))</f>
        <v/>
      </c>
    </row>
    <row r="2259" spans="30:33" x14ac:dyDescent="0.25">
      <c r="AD2259" s="2" t="str">
        <f t="shared" si="105"/>
        <v/>
      </c>
      <c r="AE2259" s="2" t="str">
        <f t="shared" si="106"/>
        <v/>
      </c>
      <c r="AF2259" s="2" t="str">
        <f t="shared" si="107"/>
        <v/>
      </c>
      <c r="AG2259" s="2" t="str">
        <f>IF($L2259="","",IF(COUNTIF(LISTS!$A$2:$A$200,$H2259)=0,"NEW",""))</f>
        <v/>
      </c>
    </row>
    <row r="2260" spans="30:33" x14ac:dyDescent="0.25">
      <c r="AD2260" s="2" t="str">
        <f t="shared" si="105"/>
        <v/>
      </c>
      <c r="AE2260" s="2" t="str">
        <f t="shared" si="106"/>
        <v/>
      </c>
      <c r="AF2260" s="2" t="str">
        <f t="shared" si="107"/>
        <v/>
      </c>
      <c r="AG2260" s="2" t="str">
        <f>IF($L2260="","",IF(COUNTIF(LISTS!$A$2:$A$200,$H2260)=0,"NEW",""))</f>
        <v/>
      </c>
    </row>
    <row r="2261" spans="30:33" x14ac:dyDescent="0.25">
      <c r="AD2261" s="2" t="str">
        <f t="shared" si="105"/>
        <v/>
      </c>
      <c r="AE2261" s="2" t="str">
        <f t="shared" si="106"/>
        <v/>
      </c>
      <c r="AF2261" s="2" t="str">
        <f t="shared" si="107"/>
        <v/>
      </c>
      <c r="AG2261" s="2" t="str">
        <f>IF($L2261="","",IF(COUNTIF(LISTS!$A$2:$A$200,$H2261)=0,"NEW",""))</f>
        <v/>
      </c>
    </row>
    <row r="2262" spans="30:33" x14ac:dyDescent="0.25">
      <c r="AD2262" s="2" t="str">
        <f t="shared" si="105"/>
        <v/>
      </c>
      <c r="AE2262" s="2" t="str">
        <f t="shared" si="106"/>
        <v/>
      </c>
      <c r="AF2262" s="2" t="str">
        <f t="shared" si="107"/>
        <v/>
      </c>
      <c r="AG2262" s="2" t="str">
        <f>IF($L2262="","",IF(COUNTIF(LISTS!$A$2:$A$200,$H2262)=0,"NEW",""))</f>
        <v/>
      </c>
    </row>
    <row r="2263" spans="30:33" x14ac:dyDescent="0.25">
      <c r="AD2263" s="2" t="str">
        <f t="shared" si="105"/>
        <v/>
      </c>
      <c r="AE2263" s="2" t="str">
        <f t="shared" si="106"/>
        <v/>
      </c>
      <c r="AF2263" s="2" t="str">
        <f t="shared" si="107"/>
        <v/>
      </c>
      <c r="AG2263" s="2" t="str">
        <f>IF($L2263="","",IF(COUNTIF(LISTS!$A$2:$A$200,$H2263)=0,"NEW",""))</f>
        <v/>
      </c>
    </row>
    <row r="2264" spans="30:33" x14ac:dyDescent="0.25">
      <c r="AD2264" s="2" t="str">
        <f t="shared" si="105"/>
        <v/>
      </c>
      <c r="AE2264" s="2" t="str">
        <f t="shared" si="106"/>
        <v/>
      </c>
      <c r="AF2264" s="2" t="str">
        <f t="shared" si="107"/>
        <v/>
      </c>
      <c r="AG2264" s="2" t="str">
        <f>IF($L2264="","",IF(COUNTIF(LISTS!$A$2:$A$200,$H2264)=0,"NEW",""))</f>
        <v/>
      </c>
    </row>
    <row r="2265" spans="30:33" x14ac:dyDescent="0.25">
      <c r="AD2265" s="2" t="str">
        <f t="shared" si="105"/>
        <v/>
      </c>
      <c r="AE2265" s="2" t="str">
        <f t="shared" si="106"/>
        <v/>
      </c>
      <c r="AF2265" s="2" t="str">
        <f t="shared" si="107"/>
        <v/>
      </c>
      <c r="AG2265" s="2" t="str">
        <f>IF($L2265="","",IF(COUNTIF(LISTS!$A$2:$A$200,$H2265)=0,"NEW",""))</f>
        <v/>
      </c>
    </row>
    <row r="2266" spans="30:33" x14ac:dyDescent="0.25">
      <c r="AD2266" s="2" t="str">
        <f t="shared" si="105"/>
        <v/>
      </c>
      <c r="AE2266" s="2" t="str">
        <f t="shared" si="106"/>
        <v/>
      </c>
      <c r="AF2266" s="2" t="str">
        <f t="shared" si="107"/>
        <v/>
      </c>
      <c r="AG2266" s="2" t="str">
        <f>IF($L2266="","",IF(COUNTIF(LISTS!$A$2:$A$200,$H2266)=0,"NEW",""))</f>
        <v/>
      </c>
    </row>
    <row r="2267" spans="30:33" x14ac:dyDescent="0.25">
      <c r="AD2267" s="2" t="str">
        <f t="shared" si="105"/>
        <v/>
      </c>
      <c r="AE2267" s="2" t="str">
        <f t="shared" si="106"/>
        <v/>
      </c>
      <c r="AF2267" s="2" t="str">
        <f t="shared" si="107"/>
        <v/>
      </c>
      <c r="AG2267" s="2" t="str">
        <f>IF($L2267="","",IF(COUNTIF(LISTS!$A$2:$A$200,$H2267)=0,"NEW",""))</f>
        <v/>
      </c>
    </row>
    <row r="2268" spans="30:33" x14ac:dyDescent="0.25">
      <c r="AD2268" s="2" t="str">
        <f t="shared" si="105"/>
        <v/>
      </c>
      <c r="AE2268" s="2" t="str">
        <f t="shared" si="106"/>
        <v/>
      </c>
      <c r="AF2268" s="2" t="str">
        <f t="shared" si="107"/>
        <v/>
      </c>
      <c r="AG2268" s="2" t="str">
        <f>IF($L2268="","",IF(COUNTIF(LISTS!$A$2:$A$200,$H2268)=0,"NEW",""))</f>
        <v/>
      </c>
    </row>
    <row r="2269" spans="30:33" x14ac:dyDescent="0.25">
      <c r="AD2269" s="2" t="str">
        <f t="shared" si="105"/>
        <v/>
      </c>
      <c r="AE2269" s="2" t="str">
        <f t="shared" si="106"/>
        <v/>
      </c>
      <c r="AF2269" s="2" t="str">
        <f t="shared" si="107"/>
        <v/>
      </c>
      <c r="AG2269" s="2" t="str">
        <f>IF($L2269="","",IF(COUNTIF(LISTS!$A$2:$A$200,$H2269)=0,"NEW",""))</f>
        <v/>
      </c>
    </row>
    <row r="2270" spans="30:33" x14ac:dyDescent="0.25">
      <c r="AD2270" s="2" t="str">
        <f t="shared" si="105"/>
        <v/>
      </c>
      <c r="AE2270" s="2" t="str">
        <f t="shared" si="106"/>
        <v/>
      </c>
      <c r="AF2270" s="2" t="str">
        <f t="shared" si="107"/>
        <v/>
      </c>
      <c r="AG2270" s="2" t="str">
        <f>IF($L2270="","",IF(COUNTIF(LISTS!$A$2:$A$200,$H2270)=0,"NEW",""))</f>
        <v/>
      </c>
    </row>
    <row r="2271" spans="30:33" x14ac:dyDescent="0.25">
      <c r="AD2271" s="2" t="str">
        <f t="shared" si="105"/>
        <v/>
      </c>
      <c r="AE2271" s="2" t="str">
        <f t="shared" si="106"/>
        <v/>
      </c>
      <c r="AF2271" s="2" t="str">
        <f t="shared" si="107"/>
        <v/>
      </c>
      <c r="AG2271" s="2" t="str">
        <f>IF($L2271="","",IF(COUNTIF(LISTS!$A$2:$A$200,$H2271)=0,"NEW",""))</f>
        <v/>
      </c>
    </row>
    <row r="2272" spans="30:33" x14ac:dyDescent="0.25">
      <c r="AD2272" s="2" t="str">
        <f t="shared" si="105"/>
        <v/>
      </c>
      <c r="AE2272" s="2" t="str">
        <f t="shared" si="106"/>
        <v/>
      </c>
      <c r="AF2272" s="2" t="str">
        <f t="shared" si="107"/>
        <v/>
      </c>
      <c r="AG2272" s="2" t="str">
        <f>IF($L2272="","",IF(COUNTIF(LISTS!$A$2:$A$200,$H2272)=0,"NEW",""))</f>
        <v/>
      </c>
    </row>
    <row r="2273" spans="30:33" x14ac:dyDescent="0.25">
      <c r="AD2273" s="2" t="str">
        <f t="shared" si="105"/>
        <v/>
      </c>
      <c r="AE2273" s="2" t="str">
        <f t="shared" si="106"/>
        <v/>
      </c>
      <c r="AF2273" s="2" t="str">
        <f t="shared" si="107"/>
        <v/>
      </c>
      <c r="AG2273" s="2" t="str">
        <f>IF($L2273="","",IF(COUNTIF(LISTS!$A$2:$A$200,$H2273)=0,"NEW",""))</f>
        <v/>
      </c>
    </row>
    <row r="2274" spans="30:33" x14ac:dyDescent="0.25">
      <c r="AD2274" s="2" t="str">
        <f t="shared" si="105"/>
        <v/>
      </c>
      <c r="AE2274" s="2" t="str">
        <f t="shared" si="106"/>
        <v/>
      </c>
      <c r="AF2274" s="2" t="str">
        <f t="shared" si="107"/>
        <v/>
      </c>
      <c r="AG2274" s="2" t="str">
        <f>IF($L2274="","",IF(COUNTIF(LISTS!$A$2:$A$200,$H2274)=0,"NEW",""))</f>
        <v/>
      </c>
    </row>
    <row r="2275" spans="30:33" x14ac:dyDescent="0.25">
      <c r="AD2275" s="2" t="str">
        <f t="shared" si="105"/>
        <v/>
      </c>
      <c r="AE2275" s="2" t="str">
        <f t="shared" si="106"/>
        <v/>
      </c>
      <c r="AF2275" s="2" t="str">
        <f t="shared" si="107"/>
        <v/>
      </c>
      <c r="AG2275" s="2" t="str">
        <f>IF($L2275="","",IF(COUNTIF(LISTS!$A$2:$A$200,$H2275)=0,"NEW",""))</f>
        <v/>
      </c>
    </row>
    <row r="2276" spans="30:33" x14ac:dyDescent="0.25">
      <c r="AD2276" s="2" t="str">
        <f t="shared" si="105"/>
        <v/>
      </c>
      <c r="AE2276" s="2" t="str">
        <f t="shared" si="106"/>
        <v/>
      </c>
      <c r="AF2276" s="2" t="str">
        <f t="shared" si="107"/>
        <v/>
      </c>
      <c r="AG2276" s="2" t="str">
        <f>IF($L2276="","",IF(COUNTIF(LISTS!$A$2:$A$200,$H2276)=0,"NEW",""))</f>
        <v/>
      </c>
    </row>
    <row r="2277" spans="30:33" x14ac:dyDescent="0.25">
      <c r="AD2277" s="2" t="str">
        <f t="shared" si="105"/>
        <v/>
      </c>
      <c r="AE2277" s="2" t="str">
        <f t="shared" si="106"/>
        <v/>
      </c>
      <c r="AF2277" s="2" t="str">
        <f t="shared" si="107"/>
        <v/>
      </c>
      <c r="AG2277" s="2" t="str">
        <f>IF($L2277="","",IF(COUNTIF(LISTS!$A$2:$A$200,$H2277)=0,"NEW",""))</f>
        <v/>
      </c>
    </row>
    <row r="2278" spans="30:33" x14ac:dyDescent="0.25">
      <c r="AD2278" s="2" t="str">
        <f t="shared" si="105"/>
        <v/>
      </c>
      <c r="AE2278" s="2" t="str">
        <f t="shared" si="106"/>
        <v/>
      </c>
      <c r="AF2278" s="2" t="str">
        <f t="shared" si="107"/>
        <v/>
      </c>
      <c r="AG2278" s="2" t="str">
        <f>IF($L2278="","",IF(COUNTIF(LISTS!$A$2:$A$200,$H2278)=0,"NEW",""))</f>
        <v/>
      </c>
    </row>
    <row r="2279" spans="30:33" x14ac:dyDescent="0.25">
      <c r="AD2279" s="2" t="str">
        <f t="shared" si="105"/>
        <v/>
      </c>
      <c r="AE2279" s="2" t="str">
        <f t="shared" si="106"/>
        <v/>
      </c>
      <c r="AF2279" s="2" t="str">
        <f t="shared" si="107"/>
        <v/>
      </c>
      <c r="AG2279" s="2" t="str">
        <f>IF($L2279="","",IF(COUNTIF(LISTS!$A$2:$A$200,$H2279)=0,"NEW",""))</f>
        <v/>
      </c>
    </row>
    <row r="2280" spans="30:33" x14ac:dyDescent="0.25">
      <c r="AD2280" s="2" t="str">
        <f t="shared" si="105"/>
        <v/>
      </c>
      <c r="AE2280" s="2" t="str">
        <f t="shared" si="106"/>
        <v/>
      </c>
      <c r="AF2280" s="2" t="str">
        <f t="shared" si="107"/>
        <v/>
      </c>
      <c r="AG2280" s="2" t="str">
        <f>IF($L2280="","",IF(COUNTIF(LISTS!$A$2:$A$200,$H2280)=0,"NEW",""))</f>
        <v/>
      </c>
    </row>
    <row r="2281" spans="30:33" x14ac:dyDescent="0.25">
      <c r="AD2281" s="2" t="str">
        <f t="shared" si="105"/>
        <v/>
      </c>
      <c r="AE2281" s="2" t="str">
        <f t="shared" si="106"/>
        <v/>
      </c>
      <c r="AF2281" s="2" t="str">
        <f t="shared" si="107"/>
        <v/>
      </c>
      <c r="AG2281" s="2" t="str">
        <f>IF($L2281="","",IF(COUNTIF(LISTS!$A$2:$A$200,$H2281)=0,"NEW",""))</f>
        <v/>
      </c>
    </row>
    <row r="2282" spans="30:33" x14ac:dyDescent="0.25">
      <c r="AD2282" s="2" t="str">
        <f t="shared" si="105"/>
        <v/>
      </c>
      <c r="AE2282" s="2" t="str">
        <f t="shared" si="106"/>
        <v/>
      </c>
      <c r="AF2282" s="2" t="str">
        <f t="shared" si="107"/>
        <v/>
      </c>
      <c r="AG2282" s="2" t="str">
        <f>IF($L2282="","",IF(COUNTIF(LISTS!$A$2:$A$200,$H2282)=0,"NEW",""))</f>
        <v/>
      </c>
    </row>
    <row r="2283" spans="30:33" x14ac:dyDescent="0.25">
      <c r="AD2283" s="2" t="str">
        <f t="shared" si="105"/>
        <v/>
      </c>
      <c r="AE2283" s="2" t="str">
        <f t="shared" si="106"/>
        <v/>
      </c>
      <c r="AF2283" s="2" t="str">
        <f t="shared" si="107"/>
        <v/>
      </c>
      <c r="AG2283" s="2" t="str">
        <f>IF($L2283="","",IF(COUNTIF(LISTS!$A$2:$A$200,$H2283)=0,"NEW",""))</f>
        <v/>
      </c>
    </row>
    <row r="2284" spans="30:33" x14ac:dyDescent="0.25">
      <c r="AD2284" s="2" t="str">
        <f t="shared" si="105"/>
        <v/>
      </c>
      <c r="AE2284" s="2" t="str">
        <f t="shared" si="106"/>
        <v/>
      </c>
      <c r="AF2284" s="2" t="str">
        <f t="shared" si="107"/>
        <v/>
      </c>
      <c r="AG2284" s="2" t="str">
        <f>IF($L2284="","",IF(COUNTIF(LISTS!$A$2:$A$200,$H2284)=0,"NEW",""))</f>
        <v/>
      </c>
    </row>
    <row r="2285" spans="30:33" x14ac:dyDescent="0.25">
      <c r="AD2285" s="2" t="str">
        <f t="shared" si="105"/>
        <v/>
      </c>
      <c r="AE2285" s="2" t="str">
        <f t="shared" si="106"/>
        <v/>
      </c>
      <c r="AF2285" s="2" t="str">
        <f t="shared" si="107"/>
        <v/>
      </c>
      <c r="AG2285" s="2" t="str">
        <f>IF($L2285="","",IF(COUNTIF(LISTS!$A$2:$A$200,$H2285)=0,"NEW",""))</f>
        <v/>
      </c>
    </row>
    <row r="2286" spans="30:33" x14ac:dyDescent="0.25">
      <c r="AD2286" s="2" t="str">
        <f t="shared" si="105"/>
        <v/>
      </c>
      <c r="AE2286" s="2" t="str">
        <f t="shared" si="106"/>
        <v/>
      </c>
      <c r="AF2286" s="2" t="str">
        <f t="shared" si="107"/>
        <v/>
      </c>
      <c r="AG2286" s="2" t="str">
        <f>IF($L2286="","",IF(COUNTIF(LISTS!$A$2:$A$200,$H2286)=0,"NEW",""))</f>
        <v/>
      </c>
    </row>
    <row r="2287" spans="30:33" x14ac:dyDescent="0.25">
      <c r="AD2287" s="2" t="str">
        <f t="shared" si="105"/>
        <v/>
      </c>
      <c r="AE2287" s="2" t="str">
        <f t="shared" si="106"/>
        <v/>
      </c>
      <c r="AF2287" s="2" t="str">
        <f t="shared" si="107"/>
        <v/>
      </c>
      <c r="AG2287" s="2" t="str">
        <f>IF($L2287="","",IF(COUNTIF(LISTS!$A$2:$A$200,$H2287)=0,"NEW",""))</f>
        <v/>
      </c>
    </row>
    <row r="2288" spans="30:33" x14ac:dyDescent="0.25">
      <c r="AD2288" s="2" t="str">
        <f t="shared" si="105"/>
        <v/>
      </c>
      <c r="AE2288" s="2" t="str">
        <f t="shared" si="106"/>
        <v/>
      </c>
      <c r="AF2288" s="2" t="str">
        <f t="shared" si="107"/>
        <v/>
      </c>
      <c r="AG2288" s="2" t="str">
        <f>IF($L2288="","",IF(COUNTIF(LISTS!$A$2:$A$200,$H2288)=0,"NEW",""))</f>
        <v/>
      </c>
    </row>
    <row r="2289" spans="30:33" x14ac:dyDescent="0.25">
      <c r="AD2289" s="2" t="str">
        <f t="shared" si="105"/>
        <v/>
      </c>
      <c r="AE2289" s="2" t="str">
        <f t="shared" si="106"/>
        <v/>
      </c>
      <c r="AF2289" s="2" t="str">
        <f t="shared" si="107"/>
        <v/>
      </c>
      <c r="AG2289" s="2" t="str">
        <f>IF($L2289="","",IF(COUNTIF(LISTS!$A$2:$A$200,$H2289)=0,"NEW",""))</f>
        <v/>
      </c>
    </row>
    <row r="2290" spans="30:33" x14ac:dyDescent="0.25">
      <c r="AD2290" s="2" t="str">
        <f t="shared" si="105"/>
        <v/>
      </c>
      <c r="AE2290" s="2" t="str">
        <f t="shared" si="106"/>
        <v/>
      </c>
      <c r="AF2290" s="2" t="str">
        <f t="shared" si="107"/>
        <v/>
      </c>
      <c r="AG2290" s="2" t="str">
        <f>IF($L2290="","",IF(COUNTIF(LISTS!$A$2:$A$200,$H2290)=0,"NEW",""))</f>
        <v/>
      </c>
    </row>
    <row r="2291" spans="30:33" x14ac:dyDescent="0.25">
      <c r="AD2291" s="2" t="str">
        <f t="shared" si="105"/>
        <v/>
      </c>
      <c r="AE2291" s="2" t="str">
        <f t="shared" si="106"/>
        <v/>
      </c>
      <c r="AF2291" s="2" t="str">
        <f t="shared" si="107"/>
        <v/>
      </c>
      <c r="AG2291" s="2" t="str">
        <f>IF($L2291="","",IF(COUNTIF(LISTS!$A$2:$A$200,$H2291)=0,"NEW",""))</f>
        <v/>
      </c>
    </row>
    <row r="2292" spans="30:33" x14ac:dyDescent="0.25">
      <c r="AD2292" s="2" t="str">
        <f t="shared" si="105"/>
        <v/>
      </c>
      <c r="AE2292" s="2" t="str">
        <f t="shared" si="106"/>
        <v/>
      </c>
      <c r="AF2292" s="2" t="str">
        <f t="shared" si="107"/>
        <v/>
      </c>
      <c r="AG2292" s="2" t="str">
        <f>IF($L2292="","",IF(COUNTIF(LISTS!$A$2:$A$200,$H2292)=0,"NEW",""))</f>
        <v/>
      </c>
    </row>
    <row r="2293" spans="30:33" x14ac:dyDescent="0.25">
      <c r="AD2293" s="2" t="str">
        <f t="shared" si="105"/>
        <v/>
      </c>
      <c r="AE2293" s="2" t="str">
        <f t="shared" si="106"/>
        <v/>
      </c>
      <c r="AF2293" s="2" t="str">
        <f t="shared" si="107"/>
        <v/>
      </c>
      <c r="AG2293" s="2" t="str">
        <f>IF($L2293="","",IF(COUNTIF(LISTS!$A$2:$A$200,$H2293)=0,"NEW",""))</f>
        <v/>
      </c>
    </row>
    <row r="2294" spans="30:33" x14ac:dyDescent="0.25">
      <c r="AD2294" s="2" t="str">
        <f t="shared" si="105"/>
        <v/>
      </c>
      <c r="AE2294" s="2" t="str">
        <f t="shared" si="106"/>
        <v/>
      </c>
      <c r="AF2294" s="2" t="str">
        <f t="shared" si="107"/>
        <v/>
      </c>
      <c r="AG2294" s="2" t="str">
        <f>IF($L2294="","",IF(COUNTIF(LISTS!$A$2:$A$200,$H2294)=0,"NEW",""))</f>
        <v/>
      </c>
    </row>
    <row r="2295" spans="30:33" x14ac:dyDescent="0.25">
      <c r="AD2295" s="2" t="str">
        <f t="shared" si="105"/>
        <v/>
      </c>
      <c r="AE2295" s="2" t="str">
        <f t="shared" si="106"/>
        <v/>
      </c>
      <c r="AF2295" s="2" t="str">
        <f t="shared" si="107"/>
        <v/>
      </c>
      <c r="AG2295" s="2" t="str">
        <f>IF($L2295="","",IF(COUNTIF(LISTS!$A$2:$A$200,$H2295)=0,"NEW",""))</f>
        <v/>
      </c>
    </row>
    <row r="2296" spans="30:33" x14ac:dyDescent="0.25">
      <c r="AD2296" s="2" t="str">
        <f t="shared" si="105"/>
        <v/>
      </c>
      <c r="AE2296" s="2" t="str">
        <f t="shared" si="106"/>
        <v/>
      </c>
      <c r="AF2296" s="2" t="str">
        <f t="shared" si="107"/>
        <v/>
      </c>
      <c r="AG2296" s="2" t="str">
        <f>IF($L2296="","",IF(COUNTIF(LISTS!$A$2:$A$200,$H2296)=0,"NEW",""))</f>
        <v/>
      </c>
    </row>
    <row r="2297" spans="30:33" x14ac:dyDescent="0.25">
      <c r="AD2297" s="2" t="str">
        <f t="shared" si="105"/>
        <v/>
      </c>
      <c r="AE2297" s="2" t="str">
        <f t="shared" si="106"/>
        <v/>
      </c>
      <c r="AF2297" s="2" t="str">
        <f t="shared" si="107"/>
        <v/>
      </c>
      <c r="AG2297" s="2" t="str">
        <f>IF($L2297="","",IF(COUNTIF(LISTS!$A$2:$A$200,$H2297)=0,"NEW",""))</f>
        <v/>
      </c>
    </row>
    <row r="2298" spans="30:33" x14ac:dyDescent="0.25">
      <c r="AD2298" s="2" t="str">
        <f t="shared" si="105"/>
        <v/>
      </c>
      <c r="AE2298" s="2" t="str">
        <f t="shared" si="106"/>
        <v/>
      </c>
      <c r="AF2298" s="2" t="str">
        <f t="shared" si="107"/>
        <v/>
      </c>
      <c r="AG2298" s="2" t="str">
        <f>IF($L2298="","",IF(COUNTIF(LISTS!$A$2:$A$200,$H2298)=0,"NEW",""))</f>
        <v/>
      </c>
    </row>
    <row r="2299" spans="30:33" x14ac:dyDescent="0.25">
      <c r="AD2299" s="2" t="str">
        <f t="shared" si="105"/>
        <v/>
      </c>
      <c r="AE2299" s="2" t="str">
        <f t="shared" si="106"/>
        <v/>
      </c>
      <c r="AF2299" s="2" t="str">
        <f t="shared" si="107"/>
        <v/>
      </c>
      <c r="AG2299" s="2" t="str">
        <f>IF($L2299="","",IF(COUNTIF(LISTS!$A$2:$A$200,$H2299)=0,"NEW",""))</f>
        <v/>
      </c>
    </row>
    <row r="2300" spans="30:33" x14ac:dyDescent="0.25">
      <c r="AD2300" s="2" t="str">
        <f t="shared" si="105"/>
        <v/>
      </c>
      <c r="AE2300" s="2" t="str">
        <f t="shared" si="106"/>
        <v/>
      </c>
      <c r="AF2300" s="2" t="str">
        <f t="shared" si="107"/>
        <v/>
      </c>
      <c r="AG2300" s="2" t="str">
        <f>IF($L2300="","",IF(COUNTIF(LISTS!$A$2:$A$200,$H2300)=0,"NEW",""))</f>
        <v/>
      </c>
    </row>
    <row r="2301" spans="30:33" x14ac:dyDescent="0.25">
      <c r="AD2301" s="2" t="str">
        <f t="shared" si="105"/>
        <v/>
      </c>
      <c r="AE2301" s="2" t="str">
        <f t="shared" si="106"/>
        <v/>
      </c>
      <c r="AF2301" s="2" t="str">
        <f t="shared" si="107"/>
        <v/>
      </c>
      <c r="AG2301" s="2" t="str">
        <f>IF($L2301="","",IF(COUNTIF(LISTS!$A$2:$A$200,$H2301)=0,"NEW",""))</f>
        <v/>
      </c>
    </row>
    <row r="2302" spans="30:33" x14ac:dyDescent="0.25">
      <c r="AD2302" s="2" t="str">
        <f t="shared" si="105"/>
        <v/>
      </c>
      <c r="AE2302" s="2" t="str">
        <f t="shared" si="106"/>
        <v/>
      </c>
      <c r="AF2302" s="2" t="str">
        <f t="shared" si="107"/>
        <v/>
      </c>
      <c r="AG2302" s="2" t="str">
        <f>IF($L2302="","",IF(COUNTIF(LISTS!$A$2:$A$200,$H2302)=0,"NEW",""))</f>
        <v/>
      </c>
    </row>
    <row r="2303" spans="30:33" x14ac:dyDescent="0.25">
      <c r="AD2303" s="2" t="str">
        <f t="shared" si="105"/>
        <v/>
      </c>
      <c r="AE2303" s="2" t="str">
        <f t="shared" si="106"/>
        <v/>
      </c>
      <c r="AF2303" s="2" t="str">
        <f t="shared" si="107"/>
        <v/>
      </c>
      <c r="AG2303" s="2" t="str">
        <f>IF($L2303="","",IF(COUNTIF(LISTS!$A$2:$A$200,$H2303)=0,"NEW",""))</f>
        <v/>
      </c>
    </row>
    <row r="2304" spans="30:33" x14ac:dyDescent="0.25">
      <c r="AD2304" s="2" t="str">
        <f t="shared" si="105"/>
        <v/>
      </c>
      <c r="AE2304" s="2" t="str">
        <f t="shared" si="106"/>
        <v/>
      </c>
      <c r="AF2304" s="2" t="str">
        <f t="shared" si="107"/>
        <v/>
      </c>
      <c r="AG2304" s="2" t="str">
        <f>IF($L2304="","",IF(COUNTIF(LISTS!$A$2:$A$200,$H2304)=0,"NEW",""))</f>
        <v/>
      </c>
    </row>
    <row r="2305" spans="30:33" x14ac:dyDescent="0.25">
      <c r="AD2305" s="2" t="str">
        <f t="shared" si="105"/>
        <v/>
      </c>
      <c r="AE2305" s="2" t="str">
        <f t="shared" si="106"/>
        <v/>
      </c>
      <c r="AF2305" s="2" t="str">
        <f t="shared" si="107"/>
        <v/>
      </c>
      <c r="AG2305" s="2" t="str">
        <f>IF($L2305="","",IF(COUNTIF(LISTS!$A$2:$A$200,$H2305)=0,"NEW",""))</f>
        <v/>
      </c>
    </row>
    <row r="2306" spans="30:33" x14ac:dyDescent="0.25">
      <c r="AD2306" s="2" t="str">
        <f t="shared" ref="AD2306:AD2369" si="108">IF($L2306="","",IF(ISNUMBER(SEARCH("OFF ROAD",$H2306)),"OFF",IF(ISNUMBER(SEARCH("ON ROAD",$H2306)),"ON","")))</f>
        <v/>
      </c>
      <c r="AE2306" s="2" t="str">
        <f t="shared" ref="AE2306:AE2369" si="109">IF($AD2306="ON",""&amp;$L2306,"")</f>
        <v/>
      </c>
      <c r="AF2306" s="2" t="str">
        <f t="shared" ref="AF2306:AF2369" si="110">IF($L2306="","",IF($J2306&lt;&gt;"","Y",""))</f>
        <v/>
      </c>
      <c r="AG2306" s="2" t="str">
        <f>IF($L2306="","",IF(COUNTIF(LISTS!$A$2:$A$200,$H2306)=0,"NEW",""))</f>
        <v/>
      </c>
    </row>
    <row r="2307" spans="30:33" x14ac:dyDescent="0.25">
      <c r="AD2307" s="2" t="str">
        <f t="shared" si="108"/>
        <v/>
      </c>
      <c r="AE2307" s="2" t="str">
        <f t="shared" si="109"/>
        <v/>
      </c>
      <c r="AF2307" s="2" t="str">
        <f t="shared" si="110"/>
        <v/>
      </c>
      <c r="AG2307" s="2" t="str">
        <f>IF($L2307="","",IF(COUNTIF(LISTS!$A$2:$A$200,$H2307)=0,"NEW",""))</f>
        <v/>
      </c>
    </row>
    <row r="2308" spans="30:33" x14ac:dyDescent="0.25">
      <c r="AD2308" s="2" t="str">
        <f t="shared" si="108"/>
        <v/>
      </c>
      <c r="AE2308" s="2" t="str">
        <f t="shared" si="109"/>
        <v/>
      </c>
      <c r="AF2308" s="2" t="str">
        <f t="shared" si="110"/>
        <v/>
      </c>
      <c r="AG2308" s="2" t="str">
        <f>IF($L2308="","",IF(COUNTIF(LISTS!$A$2:$A$200,$H2308)=0,"NEW",""))</f>
        <v/>
      </c>
    </row>
    <row r="2309" spans="30:33" x14ac:dyDescent="0.25">
      <c r="AD2309" s="2" t="str">
        <f t="shared" si="108"/>
        <v/>
      </c>
      <c r="AE2309" s="2" t="str">
        <f t="shared" si="109"/>
        <v/>
      </c>
      <c r="AF2309" s="2" t="str">
        <f t="shared" si="110"/>
        <v/>
      </c>
      <c r="AG2309" s="2" t="str">
        <f>IF($L2309="","",IF(COUNTIF(LISTS!$A$2:$A$200,$H2309)=0,"NEW",""))</f>
        <v/>
      </c>
    </row>
    <row r="2310" spans="30:33" x14ac:dyDescent="0.25">
      <c r="AD2310" s="2" t="str">
        <f t="shared" si="108"/>
        <v/>
      </c>
      <c r="AE2310" s="2" t="str">
        <f t="shared" si="109"/>
        <v/>
      </c>
      <c r="AF2310" s="2" t="str">
        <f t="shared" si="110"/>
        <v/>
      </c>
      <c r="AG2310" s="2" t="str">
        <f>IF($L2310="","",IF(COUNTIF(LISTS!$A$2:$A$200,$H2310)=0,"NEW",""))</f>
        <v/>
      </c>
    </row>
    <row r="2311" spans="30:33" x14ac:dyDescent="0.25">
      <c r="AD2311" s="2" t="str">
        <f t="shared" si="108"/>
        <v/>
      </c>
      <c r="AE2311" s="2" t="str">
        <f t="shared" si="109"/>
        <v/>
      </c>
      <c r="AF2311" s="2" t="str">
        <f t="shared" si="110"/>
        <v/>
      </c>
      <c r="AG2311" s="2" t="str">
        <f>IF($L2311="","",IF(COUNTIF(LISTS!$A$2:$A$200,$H2311)=0,"NEW",""))</f>
        <v/>
      </c>
    </row>
    <row r="2312" spans="30:33" x14ac:dyDescent="0.25">
      <c r="AD2312" s="2" t="str">
        <f t="shared" si="108"/>
        <v/>
      </c>
      <c r="AE2312" s="2" t="str">
        <f t="shared" si="109"/>
        <v/>
      </c>
      <c r="AF2312" s="2" t="str">
        <f t="shared" si="110"/>
        <v/>
      </c>
      <c r="AG2312" s="2" t="str">
        <f>IF($L2312="","",IF(COUNTIF(LISTS!$A$2:$A$200,$H2312)=0,"NEW",""))</f>
        <v/>
      </c>
    </row>
    <row r="2313" spans="30:33" x14ac:dyDescent="0.25">
      <c r="AD2313" s="2" t="str">
        <f t="shared" si="108"/>
        <v/>
      </c>
      <c r="AE2313" s="2" t="str">
        <f t="shared" si="109"/>
        <v/>
      </c>
      <c r="AF2313" s="2" t="str">
        <f t="shared" si="110"/>
        <v/>
      </c>
      <c r="AG2313" s="2" t="str">
        <f>IF($L2313="","",IF(COUNTIF(LISTS!$A$2:$A$200,$H2313)=0,"NEW",""))</f>
        <v/>
      </c>
    </row>
    <row r="2314" spans="30:33" x14ac:dyDescent="0.25">
      <c r="AD2314" s="2" t="str">
        <f t="shared" si="108"/>
        <v/>
      </c>
      <c r="AE2314" s="2" t="str">
        <f t="shared" si="109"/>
        <v/>
      </c>
      <c r="AF2314" s="2" t="str">
        <f t="shared" si="110"/>
        <v/>
      </c>
      <c r="AG2314" s="2" t="str">
        <f>IF($L2314="","",IF(COUNTIF(LISTS!$A$2:$A$200,$H2314)=0,"NEW",""))</f>
        <v/>
      </c>
    </row>
    <row r="2315" spans="30:33" x14ac:dyDescent="0.25">
      <c r="AD2315" s="2" t="str">
        <f t="shared" si="108"/>
        <v/>
      </c>
      <c r="AE2315" s="2" t="str">
        <f t="shared" si="109"/>
        <v/>
      </c>
      <c r="AF2315" s="2" t="str">
        <f t="shared" si="110"/>
        <v/>
      </c>
      <c r="AG2315" s="2" t="str">
        <f>IF($L2315="","",IF(COUNTIF(LISTS!$A$2:$A$200,$H2315)=0,"NEW",""))</f>
        <v/>
      </c>
    </row>
    <row r="2316" spans="30:33" x14ac:dyDescent="0.25">
      <c r="AD2316" s="2" t="str">
        <f t="shared" si="108"/>
        <v/>
      </c>
      <c r="AE2316" s="2" t="str">
        <f t="shared" si="109"/>
        <v/>
      </c>
      <c r="AF2316" s="2" t="str">
        <f t="shared" si="110"/>
        <v/>
      </c>
      <c r="AG2316" s="2" t="str">
        <f>IF($L2316="","",IF(COUNTIF(LISTS!$A$2:$A$200,$H2316)=0,"NEW",""))</f>
        <v/>
      </c>
    </row>
    <row r="2317" spans="30:33" x14ac:dyDescent="0.25">
      <c r="AD2317" s="2" t="str">
        <f t="shared" si="108"/>
        <v/>
      </c>
      <c r="AE2317" s="2" t="str">
        <f t="shared" si="109"/>
        <v/>
      </c>
      <c r="AF2317" s="2" t="str">
        <f t="shared" si="110"/>
        <v/>
      </c>
      <c r="AG2317" s="2" t="str">
        <f>IF($L2317="","",IF(COUNTIF(LISTS!$A$2:$A$200,$H2317)=0,"NEW",""))</f>
        <v/>
      </c>
    </row>
    <row r="2318" spans="30:33" x14ac:dyDescent="0.25">
      <c r="AD2318" s="2" t="str">
        <f t="shared" si="108"/>
        <v/>
      </c>
      <c r="AE2318" s="2" t="str">
        <f t="shared" si="109"/>
        <v/>
      </c>
      <c r="AF2318" s="2" t="str">
        <f t="shared" si="110"/>
        <v/>
      </c>
      <c r="AG2318" s="2" t="str">
        <f>IF($L2318="","",IF(COUNTIF(LISTS!$A$2:$A$200,$H2318)=0,"NEW",""))</f>
        <v/>
      </c>
    </row>
    <row r="2319" spans="30:33" x14ac:dyDescent="0.25">
      <c r="AD2319" s="2" t="str">
        <f t="shared" si="108"/>
        <v/>
      </c>
      <c r="AE2319" s="2" t="str">
        <f t="shared" si="109"/>
        <v/>
      </c>
      <c r="AF2319" s="2" t="str">
        <f t="shared" si="110"/>
        <v/>
      </c>
      <c r="AG2319" s="2" t="str">
        <f>IF($L2319="","",IF(COUNTIF(LISTS!$A$2:$A$200,$H2319)=0,"NEW",""))</f>
        <v/>
      </c>
    </row>
    <row r="2320" spans="30:33" x14ac:dyDescent="0.25">
      <c r="AD2320" s="2" t="str">
        <f t="shared" si="108"/>
        <v/>
      </c>
      <c r="AE2320" s="2" t="str">
        <f t="shared" si="109"/>
        <v/>
      </c>
      <c r="AF2320" s="2" t="str">
        <f t="shared" si="110"/>
        <v/>
      </c>
      <c r="AG2320" s="2" t="str">
        <f>IF($L2320="","",IF(COUNTIF(LISTS!$A$2:$A$200,$H2320)=0,"NEW",""))</f>
        <v/>
      </c>
    </row>
    <row r="2321" spans="30:33" x14ac:dyDescent="0.25">
      <c r="AD2321" s="2" t="str">
        <f t="shared" si="108"/>
        <v/>
      </c>
      <c r="AE2321" s="2" t="str">
        <f t="shared" si="109"/>
        <v/>
      </c>
      <c r="AF2321" s="2" t="str">
        <f t="shared" si="110"/>
        <v/>
      </c>
      <c r="AG2321" s="2" t="str">
        <f>IF($L2321="","",IF(COUNTIF(LISTS!$A$2:$A$200,$H2321)=0,"NEW",""))</f>
        <v/>
      </c>
    </row>
    <row r="2322" spans="30:33" x14ac:dyDescent="0.25">
      <c r="AD2322" s="2" t="str">
        <f t="shared" si="108"/>
        <v/>
      </c>
      <c r="AE2322" s="2" t="str">
        <f t="shared" si="109"/>
        <v/>
      </c>
      <c r="AF2322" s="2" t="str">
        <f t="shared" si="110"/>
        <v/>
      </c>
      <c r="AG2322" s="2" t="str">
        <f>IF($L2322="","",IF(COUNTIF(LISTS!$A$2:$A$200,$H2322)=0,"NEW",""))</f>
        <v/>
      </c>
    </row>
    <row r="2323" spans="30:33" x14ac:dyDescent="0.25">
      <c r="AD2323" s="2" t="str">
        <f t="shared" si="108"/>
        <v/>
      </c>
      <c r="AE2323" s="2" t="str">
        <f t="shared" si="109"/>
        <v/>
      </c>
      <c r="AF2323" s="2" t="str">
        <f t="shared" si="110"/>
        <v/>
      </c>
      <c r="AG2323" s="2" t="str">
        <f>IF($L2323="","",IF(COUNTIF(LISTS!$A$2:$A$200,$H2323)=0,"NEW",""))</f>
        <v/>
      </c>
    </row>
    <row r="2324" spans="30:33" x14ac:dyDescent="0.25">
      <c r="AD2324" s="2" t="str">
        <f t="shared" si="108"/>
        <v/>
      </c>
      <c r="AE2324" s="2" t="str">
        <f t="shared" si="109"/>
        <v/>
      </c>
      <c r="AF2324" s="2" t="str">
        <f t="shared" si="110"/>
        <v/>
      </c>
      <c r="AG2324" s="2" t="str">
        <f>IF($L2324="","",IF(COUNTIF(LISTS!$A$2:$A$200,$H2324)=0,"NEW",""))</f>
        <v/>
      </c>
    </row>
    <row r="2325" spans="30:33" x14ac:dyDescent="0.25">
      <c r="AD2325" s="2" t="str">
        <f t="shared" si="108"/>
        <v/>
      </c>
      <c r="AE2325" s="2" t="str">
        <f t="shared" si="109"/>
        <v/>
      </c>
      <c r="AF2325" s="2" t="str">
        <f t="shared" si="110"/>
        <v/>
      </c>
      <c r="AG2325" s="2" t="str">
        <f>IF($L2325="","",IF(COUNTIF(LISTS!$A$2:$A$200,$H2325)=0,"NEW",""))</f>
        <v/>
      </c>
    </row>
    <row r="2326" spans="30:33" x14ac:dyDescent="0.25">
      <c r="AD2326" s="2" t="str">
        <f t="shared" si="108"/>
        <v/>
      </c>
      <c r="AE2326" s="2" t="str">
        <f t="shared" si="109"/>
        <v/>
      </c>
      <c r="AF2326" s="2" t="str">
        <f t="shared" si="110"/>
        <v/>
      </c>
      <c r="AG2326" s="2" t="str">
        <f>IF($L2326="","",IF(COUNTIF(LISTS!$A$2:$A$200,$H2326)=0,"NEW",""))</f>
        <v/>
      </c>
    </row>
    <row r="2327" spans="30:33" x14ac:dyDescent="0.25">
      <c r="AD2327" s="2" t="str">
        <f t="shared" si="108"/>
        <v/>
      </c>
      <c r="AE2327" s="2" t="str">
        <f t="shared" si="109"/>
        <v/>
      </c>
      <c r="AF2327" s="2" t="str">
        <f t="shared" si="110"/>
        <v/>
      </c>
      <c r="AG2327" s="2" t="str">
        <f>IF($L2327="","",IF(COUNTIF(LISTS!$A$2:$A$200,$H2327)=0,"NEW",""))</f>
        <v/>
      </c>
    </row>
    <row r="2328" spans="30:33" x14ac:dyDescent="0.25">
      <c r="AD2328" s="2" t="str">
        <f t="shared" si="108"/>
        <v/>
      </c>
      <c r="AE2328" s="2" t="str">
        <f t="shared" si="109"/>
        <v/>
      </c>
      <c r="AF2328" s="2" t="str">
        <f t="shared" si="110"/>
        <v/>
      </c>
      <c r="AG2328" s="2" t="str">
        <f>IF($L2328="","",IF(COUNTIF(LISTS!$A$2:$A$200,$H2328)=0,"NEW",""))</f>
        <v/>
      </c>
    </row>
    <row r="2329" spans="30:33" x14ac:dyDescent="0.25">
      <c r="AD2329" s="2" t="str">
        <f t="shared" si="108"/>
        <v/>
      </c>
      <c r="AE2329" s="2" t="str">
        <f t="shared" si="109"/>
        <v/>
      </c>
      <c r="AF2329" s="2" t="str">
        <f t="shared" si="110"/>
        <v/>
      </c>
      <c r="AG2329" s="2" t="str">
        <f>IF($L2329="","",IF(COUNTIF(LISTS!$A$2:$A$200,$H2329)=0,"NEW",""))</f>
        <v/>
      </c>
    </row>
    <row r="2330" spans="30:33" x14ac:dyDescent="0.25">
      <c r="AD2330" s="2" t="str">
        <f t="shared" si="108"/>
        <v/>
      </c>
      <c r="AE2330" s="2" t="str">
        <f t="shared" si="109"/>
        <v/>
      </c>
      <c r="AF2330" s="2" t="str">
        <f t="shared" si="110"/>
        <v/>
      </c>
      <c r="AG2330" s="2" t="str">
        <f>IF($L2330="","",IF(COUNTIF(LISTS!$A$2:$A$200,$H2330)=0,"NEW",""))</f>
        <v/>
      </c>
    </row>
    <row r="2331" spans="30:33" x14ac:dyDescent="0.25">
      <c r="AD2331" s="2" t="str">
        <f t="shared" si="108"/>
        <v/>
      </c>
      <c r="AE2331" s="2" t="str">
        <f t="shared" si="109"/>
        <v/>
      </c>
      <c r="AF2331" s="2" t="str">
        <f t="shared" si="110"/>
        <v/>
      </c>
      <c r="AG2331" s="2" t="str">
        <f>IF($L2331="","",IF(COUNTIF(LISTS!$A$2:$A$200,$H2331)=0,"NEW",""))</f>
        <v/>
      </c>
    </row>
    <row r="2332" spans="30:33" x14ac:dyDescent="0.25">
      <c r="AD2332" s="2" t="str">
        <f t="shared" si="108"/>
        <v/>
      </c>
      <c r="AE2332" s="2" t="str">
        <f t="shared" si="109"/>
        <v/>
      </c>
      <c r="AF2332" s="2" t="str">
        <f t="shared" si="110"/>
        <v/>
      </c>
      <c r="AG2332" s="2" t="str">
        <f>IF($L2332="","",IF(COUNTIF(LISTS!$A$2:$A$200,$H2332)=0,"NEW",""))</f>
        <v/>
      </c>
    </row>
    <row r="2333" spans="30:33" x14ac:dyDescent="0.25">
      <c r="AD2333" s="2" t="str">
        <f t="shared" si="108"/>
        <v/>
      </c>
      <c r="AE2333" s="2" t="str">
        <f t="shared" si="109"/>
        <v/>
      </c>
      <c r="AF2333" s="2" t="str">
        <f t="shared" si="110"/>
        <v/>
      </c>
      <c r="AG2333" s="2" t="str">
        <f>IF($L2333="","",IF(COUNTIF(LISTS!$A$2:$A$200,$H2333)=0,"NEW",""))</f>
        <v/>
      </c>
    </row>
    <row r="2334" spans="30:33" x14ac:dyDescent="0.25">
      <c r="AD2334" s="2" t="str">
        <f t="shared" si="108"/>
        <v/>
      </c>
      <c r="AE2334" s="2" t="str">
        <f t="shared" si="109"/>
        <v/>
      </c>
      <c r="AF2334" s="2" t="str">
        <f t="shared" si="110"/>
        <v/>
      </c>
      <c r="AG2334" s="2" t="str">
        <f>IF($L2334="","",IF(COUNTIF(LISTS!$A$2:$A$200,$H2334)=0,"NEW",""))</f>
        <v/>
      </c>
    </row>
    <row r="2335" spans="30:33" x14ac:dyDescent="0.25">
      <c r="AD2335" s="2" t="str">
        <f t="shared" si="108"/>
        <v/>
      </c>
      <c r="AE2335" s="2" t="str">
        <f t="shared" si="109"/>
        <v/>
      </c>
      <c r="AF2335" s="2" t="str">
        <f t="shared" si="110"/>
        <v/>
      </c>
      <c r="AG2335" s="2" t="str">
        <f>IF($L2335="","",IF(COUNTIF(LISTS!$A$2:$A$200,$H2335)=0,"NEW",""))</f>
        <v/>
      </c>
    </row>
    <row r="2336" spans="30:33" x14ac:dyDescent="0.25">
      <c r="AD2336" s="2" t="str">
        <f t="shared" si="108"/>
        <v/>
      </c>
      <c r="AE2336" s="2" t="str">
        <f t="shared" si="109"/>
        <v/>
      </c>
      <c r="AF2336" s="2" t="str">
        <f t="shared" si="110"/>
        <v/>
      </c>
      <c r="AG2336" s="2" t="str">
        <f>IF($L2336="","",IF(COUNTIF(LISTS!$A$2:$A$200,$H2336)=0,"NEW",""))</f>
        <v/>
      </c>
    </row>
    <row r="2337" spans="30:33" x14ac:dyDescent="0.25">
      <c r="AD2337" s="2" t="str">
        <f t="shared" si="108"/>
        <v/>
      </c>
      <c r="AE2337" s="2" t="str">
        <f t="shared" si="109"/>
        <v/>
      </c>
      <c r="AF2337" s="2" t="str">
        <f t="shared" si="110"/>
        <v/>
      </c>
      <c r="AG2337" s="2" t="str">
        <f>IF($L2337="","",IF(COUNTIF(LISTS!$A$2:$A$200,$H2337)=0,"NEW",""))</f>
        <v/>
      </c>
    </row>
    <row r="2338" spans="30:33" x14ac:dyDescent="0.25">
      <c r="AD2338" s="2" t="str">
        <f t="shared" si="108"/>
        <v/>
      </c>
      <c r="AE2338" s="2" t="str">
        <f t="shared" si="109"/>
        <v/>
      </c>
      <c r="AF2338" s="2" t="str">
        <f t="shared" si="110"/>
        <v/>
      </c>
      <c r="AG2338" s="2" t="str">
        <f>IF($L2338="","",IF(COUNTIF(LISTS!$A$2:$A$200,$H2338)=0,"NEW",""))</f>
        <v/>
      </c>
    </row>
    <row r="2339" spans="30:33" x14ac:dyDescent="0.25">
      <c r="AD2339" s="2" t="str">
        <f t="shared" si="108"/>
        <v/>
      </c>
      <c r="AE2339" s="2" t="str">
        <f t="shared" si="109"/>
        <v/>
      </c>
      <c r="AF2339" s="2" t="str">
        <f t="shared" si="110"/>
        <v/>
      </c>
      <c r="AG2339" s="2" t="str">
        <f>IF($L2339="","",IF(COUNTIF(LISTS!$A$2:$A$200,$H2339)=0,"NEW",""))</f>
        <v/>
      </c>
    </row>
    <row r="2340" spans="30:33" x14ac:dyDescent="0.25">
      <c r="AD2340" s="2" t="str">
        <f t="shared" si="108"/>
        <v/>
      </c>
      <c r="AE2340" s="2" t="str">
        <f t="shared" si="109"/>
        <v/>
      </c>
      <c r="AF2340" s="2" t="str">
        <f t="shared" si="110"/>
        <v/>
      </c>
      <c r="AG2340" s="2" t="str">
        <f>IF($L2340="","",IF(COUNTIF(LISTS!$A$2:$A$200,$H2340)=0,"NEW",""))</f>
        <v/>
      </c>
    </row>
    <row r="2341" spans="30:33" x14ac:dyDescent="0.25">
      <c r="AD2341" s="2" t="str">
        <f t="shared" si="108"/>
        <v/>
      </c>
      <c r="AE2341" s="2" t="str">
        <f t="shared" si="109"/>
        <v/>
      </c>
      <c r="AF2341" s="2" t="str">
        <f t="shared" si="110"/>
        <v/>
      </c>
      <c r="AG2341" s="2" t="str">
        <f>IF($L2341="","",IF(COUNTIF(LISTS!$A$2:$A$200,$H2341)=0,"NEW",""))</f>
        <v/>
      </c>
    </row>
    <row r="2342" spans="30:33" x14ac:dyDescent="0.25">
      <c r="AD2342" s="2" t="str">
        <f t="shared" si="108"/>
        <v/>
      </c>
      <c r="AE2342" s="2" t="str">
        <f t="shared" si="109"/>
        <v/>
      </c>
      <c r="AF2342" s="2" t="str">
        <f t="shared" si="110"/>
        <v/>
      </c>
      <c r="AG2342" s="2" t="str">
        <f>IF($L2342="","",IF(COUNTIF(LISTS!$A$2:$A$200,$H2342)=0,"NEW",""))</f>
        <v/>
      </c>
    </row>
    <row r="2343" spans="30:33" x14ac:dyDescent="0.25">
      <c r="AD2343" s="2" t="str">
        <f t="shared" si="108"/>
        <v/>
      </c>
      <c r="AE2343" s="2" t="str">
        <f t="shared" si="109"/>
        <v/>
      </c>
      <c r="AF2343" s="2" t="str">
        <f t="shared" si="110"/>
        <v/>
      </c>
      <c r="AG2343" s="2" t="str">
        <f>IF($L2343="","",IF(COUNTIF(LISTS!$A$2:$A$200,$H2343)=0,"NEW",""))</f>
        <v/>
      </c>
    </row>
    <row r="2344" spans="30:33" x14ac:dyDescent="0.25">
      <c r="AD2344" s="2" t="str">
        <f t="shared" si="108"/>
        <v/>
      </c>
      <c r="AE2344" s="2" t="str">
        <f t="shared" si="109"/>
        <v/>
      </c>
      <c r="AF2344" s="2" t="str">
        <f t="shared" si="110"/>
        <v/>
      </c>
      <c r="AG2344" s="2" t="str">
        <f>IF($L2344="","",IF(COUNTIF(LISTS!$A$2:$A$200,$H2344)=0,"NEW",""))</f>
        <v/>
      </c>
    </row>
    <row r="2345" spans="30:33" x14ac:dyDescent="0.25">
      <c r="AD2345" s="2" t="str">
        <f t="shared" si="108"/>
        <v/>
      </c>
      <c r="AE2345" s="2" t="str">
        <f t="shared" si="109"/>
        <v/>
      </c>
      <c r="AF2345" s="2" t="str">
        <f t="shared" si="110"/>
        <v/>
      </c>
      <c r="AG2345" s="2" t="str">
        <f>IF($L2345="","",IF(COUNTIF(LISTS!$A$2:$A$200,$H2345)=0,"NEW",""))</f>
        <v/>
      </c>
    </row>
    <row r="2346" spans="30:33" x14ac:dyDescent="0.25">
      <c r="AD2346" s="2" t="str">
        <f t="shared" si="108"/>
        <v/>
      </c>
      <c r="AE2346" s="2" t="str">
        <f t="shared" si="109"/>
        <v/>
      </c>
      <c r="AF2346" s="2" t="str">
        <f t="shared" si="110"/>
        <v/>
      </c>
      <c r="AG2346" s="2" t="str">
        <f>IF($L2346="","",IF(COUNTIF(LISTS!$A$2:$A$200,$H2346)=0,"NEW",""))</f>
        <v/>
      </c>
    </row>
    <row r="2347" spans="30:33" x14ac:dyDescent="0.25">
      <c r="AD2347" s="2" t="str">
        <f t="shared" si="108"/>
        <v/>
      </c>
      <c r="AE2347" s="2" t="str">
        <f t="shared" si="109"/>
        <v/>
      </c>
      <c r="AF2347" s="2" t="str">
        <f t="shared" si="110"/>
        <v/>
      </c>
      <c r="AG2347" s="2" t="str">
        <f>IF($L2347="","",IF(COUNTIF(LISTS!$A$2:$A$200,$H2347)=0,"NEW",""))</f>
        <v/>
      </c>
    </row>
    <row r="2348" spans="30:33" x14ac:dyDescent="0.25">
      <c r="AD2348" s="2" t="str">
        <f t="shared" si="108"/>
        <v/>
      </c>
      <c r="AE2348" s="2" t="str">
        <f t="shared" si="109"/>
        <v/>
      </c>
      <c r="AF2348" s="2" t="str">
        <f t="shared" si="110"/>
        <v/>
      </c>
      <c r="AG2348" s="2" t="str">
        <f>IF($L2348="","",IF(COUNTIF(LISTS!$A$2:$A$200,$H2348)=0,"NEW",""))</f>
        <v/>
      </c>
    </row>
    <row r="2349" spans="30:33" x14ac:dyDescent="0.25">
      <c r="AD2349" s="2" t="str">
        <f t="shared" si="108"/>
        <v/>
      </c>
      <c r="AE2349" s="2" t="str">
        <f t="shared" si="109"/>
        <v/>
      </c>
      <c r="AF2349" s="2" t="str">
        <f t="shared" si="110"/>
        <v/>
      </c>
      <c r="AG2349" s="2" t="str">
        <f>IF($L2349="","",IF(COUNTIF(LISTS!$A$2:$A$200,$H2349)=0,"NEW",""))</f>
        <v/>
      </c>
    </row>
    <row r="2350" spans="30:33" x14ac:dyDescent="0.25">
      <c r="AD2350" s="2" t="str">
        <f t="shared" si="108"/>
        <v/>
      </c>
      <c r="AE2350" s="2" t="str">
        <f t="shared" si="109"/>
        <v/>
      </c>
      <c r="AF2350" s="2" t="str">
        <f t="shared" si="110"/>
        <v/>
      </c>
      <c r="AG2350" s="2" t="str">
        <f>IF($L2350="","",IF(COUNTIF(LISTS!$A$2:$A$200,$H2350)=0,"NEW",""))</f>
        <v/>
      </c>
    </row>
    <row r="2351" spans="30:33" x14ac:dyDescent="0.25">
      <c r="AD2351" s="2" t="str">
        <f t="shared" si="108"/>
        <v/>
      </c>
      <c r="AE2351" s="2" t="str">
        <f t="shared" si="109"/>
        <v/>
      </c>
      <c r="AF2351" s="2" t="str">
        <f t="shared" si="110"/>
        <v/>
      </c>
      <c r="AG2351" s="2" t="str">
        <f>IF($L2351="","",IF(COUNTIF(LISTS!$A$2:$A$200,$H2351)=0,"NEW",""))</f>
        <v/>
      </c>
    </row>
    <row r="2352" spans="30:33" x14ac:dyDescent="0.25">
      <c r="AD2352" s="2" t="str">
        <f t="shared" si="108"/>
        <v/>
      </c>
      <c r="AE2352" s="2" t="str">
        <f t="shared" si="109"/>
        <v/>
      </c>
      <c r="AF2352" s="2" t="str">
        <f t="shared" si="110"/>
        <v/>
      </c>
      <c r="AG2352" s="2" t="str">
        <f>IF($L2352="","",IF(COUNTIF(LISTS!$A$2:$A$200,$H2352)=0,"NEW",""))</f>
        <v/>
      </c>
    </row>
    <row r="2353" spans="30:33" x14ac:dyDescent="0.25">
      <c r="AD2353" s="2" t="str">
        <f t="shared" si="108"/>
        <v/>
      </c>
      <c r="AE2353" s="2" t="str">
        <f t="shared" si="109"/>
        <v/>
      </c>
      <c r="AF2353" s="2" t="str">
        <f t="shared" si="110"/>
        <v/>
      </c>
      <c r="AG2353" s="2" t="str">
        <f>IF($L2353="","",IF(COUNTIF(LISTS!$A$2:$A$200,$H2353)=0,"NEW",""))</f>
        <v/>
      </c>
    </row>
    <row r="2354" spans="30:33" x14ac:dyDescent="0.25">
      <c r="AD2354" s="2" t="str">
        <f t="shared" si="108"/>
        <v/>
      </c>
      <c r="AE2354" s="2" t="str">
        <f t="shared" si="109"/>
        <v/>
      </c>
      <c r="AF2354" s="2" t="str">
        <f t="shared" si="110"/>
        <v/>
      </c>
      <c r="AG2354" s="2" t="str">
        <f>IF($L2354="","",IF(COUNTIF(LISTS!$A$2:$A$200,$H2354)=0,"NEW",""))</f>
        <v/>
      </c>
    </row>
    <row r="2355" spans="30:33" x14ac:dyDescent="0.25">
      <c r="AD2355" s="2" t="str">
        <f t="shared" si="108"/>
        <v/>
      </c>
      <c r="AE2355" s="2" t="str">
        <f t="shared" si="109"/>
        <v/>
      </c>
      <c r="AF2355" s="2" t="str">
        <f t="shared" si="110"/>
        <v/>
      </c>
      <c r="AG2355" s="2" t="str">
        <f>IF($L2355="","",IF(COUNTIF(LISTS!$A$2:$A$200,$H2355)=0,"NEW",""))</f>
        <v/>
      </c>
    </row>
    <row r="2356" spans="30:33" x14ac:dyDescent="0.25">
      <c r="AD2356" s="2" t="str">
        <f t="shared" si="108"/>
        <v/>
      </c>
      <c r="AE2356" s="2" t="str">
        <f t="shared" si="109"/>
        <v/>
      </c>
      <c r="AF2356" s="2" t="str">
        <f t="shared" si="110"/>
        <v/>
      </c>
      <c r="AG2356" s="2" t="str">
        <f>IF($L2356="","",IF(COUNTIF(LISTS!$A$2:$A$200,$H2356)=0,"NEW",""))</f>
        <v/>
      </c>
    </row>
    <row r="2357" spans="30:33" x14ac:dyDescent="0.25">
      <c r="AD2357" s="2" t="str">
        <f t="shared" si="108"/>
        <v/>
      </c>
      <c r="AE2357" s="2" t="str">
        <f t="shared" si="109"/>
        <v/>
      </c>
      <c r="AF2357" s="2" t="str">
        <f t="shared" si="110"/>
        <v/>
      </c>
      <c r="AG2357" s="2" t="str">
        <f>IF($L2357="","",IF(COUNTIF(LISTS!$A$2:$A$200,$H2357)=0,"NEW",""))</f>
        <v/>
      </c>
    </row>
    <row r="2358" spans="30:33" x14ac:dyDescent="0.25">
      <c r="AD2358" s="2" t="str">
        <f t="shared" si="108"/>
        <v/>
      </c>
      <c r="AE2358" s="2" t="str">
        <f t="shared" si="109"/>
        <v/>
      </c>
      <c r="AF2358" s="2" t="str">
        <f t="shared" si="110"/>
        <v/>
      </c>
      <c r="AG2358" s="2" t="str">
        <f>IF($L2358="","",IF(COUNTIF(LISTS!$A$2:$A$200,$H2358)=0,"NEW",""))</f>
        <v/>
      </c>
    </row>
    <row r="2359" spans="30:33" x14ac:dyDescent="0.25">
      <c r="AD2359" s="2" t="str">
        <f t="shared" si="108"/>
        <v/>
      </c>
      <c r="AE2359" s="2" t="str">
        <f t="shared" si="109"/>
        <v/>
      </c>
      <c r="AF2359" s="2" t="str">
        <f t="shared" si="110"/>
        <v/>
      </c>
      <c r="AG2359" s="2" t="str">
        <f>IF($L2359="","",IF(COUNTIF(LISTS!$A$2:$A$200,$H2359)=0,"NEW",""))</f>
        <v/>
      </c>
    </row>
    <row r="2360" spans="30:33" x14ac:dyDescent="0.25">
      <c r="AD2360" s="2" t="str">
        <f t="shared" si="108"/>
        <v/>
      </c>
      <c r="AE2360" s="2" t="str">
        <f t="shared" si="109"/>
        <v/>
      </c>
      <c r="AF2360" s="2" t="str">
        <f t="shared" si="110"/>
        <v/>
      </c>
      <c r="AG2360" s="2" t="str">
        <f>IF($L2360="","",IF(COUNTIF(LISTS!$A$2:$A$200,$H2360)=0,"NEW",""))</f>
        <v/>
      </c>
    </row>
    <row r="2361" spans="30:33" x14ac:dyDescent="0.25">
      <c r="AD2361" s="2" t="str">
        <f t="shared" si="108"/>
        <v/>
      </c>
      <c r="AE2361" s="2" t="str">
        <f t="shared" si="109"/>
        <v/>
      </c>
      <c r="AF2361" s="2" t="str">
        <f t="shared" si="110"/>
        <v/>
      </c>
      <c r="AG2361" s="2" t="str">
        <f>IF($L2361="","",IF(COUNTIF(LISTS!$A$2:$A$200,$H2361)=0,"NEW",""))</f>
        <v/>
      </c>
    </row>
    <row r="2362" spans="30:33" x14ac:dyDescent="0.25">
      <c r="AD2362" s="2" t="str">
        <f t="shared" si="108"/>
        <v/>
      </c>
      <c r="AE2362" s="2" t="str">
        <f t="shared" si="109"/>
        <v/>
      </c>
      <c r="AF2362" s="2" t="str">
        <f t="shared" si="110"/>
        <v/>
      </c>
      <c r="AG2362" s="2" t="str">
        <f>IF($L2362="","",IF(COUNTIF(LISTS!$A$2:$A$200,$H2362)=0,"NEW",""))</f>
        <v/>
      </c>
    </row>
    <row r="2363" spans="30:33" x14ac:dyDescent="0.25">
      <c r="AD2363" s="2" t="str">
        <f t="shared" si="108"/>
        <v/>
      </c>
      <c r="AE2363" s="2" t="str">
        <f t="shared" si="109"/>
        <v/>
      </c>
      <c r="AF2363" s="2" t="str">
        <f t="shared" si="110"/>
        <v/>
      </c>
      <c r="AG2363" s="2" t="str">
        <f>IF($L2363="","",IF(COUNTIF(LISTS!$A$2:$A$200,$H2363)=0,"NEW",""))</f>
        <v/>
      </c>
    </row>
    <row r="2364" spans="30:33" x14ac:dyDescent="0.25">
      <c r="AD2364" s="2" t="str">
        <f t="shared" si="108"/>
        <v/>
      </c>
      <c r="AE2364" s="2" t="str">
        <f t="shared" si="109"/>
        <v/>
      </c>
      <c r="AF2364" s="2" t="str">
        <f t="shared" si="110"/>
        <v/>
      </c>
      <c r="AG2364" s="2" t="str">
        <f>IF($L2364="","",IF(COUNTIF(LISTS!$A$2:$A$200,$H2364)=0,"NEW",""))</f>
        <v/>
      </c>
    </row>
    <row r="2365" spans="30:33" x14ac:dyDescent="0.25">
      <c r="AD2365" s="2" t="str">
        <f t="shared" si="108"/>
        <v/>
      </c>
      <c r="AE2365" s="2" t="str">
        <f t="shared" si="109"/>
        <v/>
      </c>
      <c r="AF2365" s="2" t="str">
        <f t="shared" si="110"/>
        <v/>
      </c>
      <c r="AG2365" s="2" t="str">
        <f>IF($L2365="","",IF(COUNTIF(LISTS!$A$2:$A$200,$H2365)=0,"NEW",""))</f>
        <v/>
      </c>
    </row>
    <row r="2366" spans="30:33" x14ac:dyDescent="0.25">
      <c r="AD2366" s="2" t="str">
        <f t="shared" si="108"/>
        <v/>
      </c>
      <c r="AE2366" s="2" t="str">
        <f t="shared" si="109"/>
        <v/>
      </c>
      <c r="AF2366" s="2" t="str">
        <f t="shared" si="110"/>
        <v/>
      </c>
      <c r="AG2366" s="2" t="str">
        <f>IF($L2366="","",IF(COUNTIF(LISTS!$A$2:$A$200,$H2366)=0,"NEW",""))</f>
        <v/>
      </c>
    </row>
    <row r="2367" spans="30:33" x14ac:dyDescent="0.25">
      <c r="AD2367" s="2" t="str">
        <f t="shared" si="108"/>
        <v/>
      </c>
      <c r="AE2367" s="2" t="str">
        <f t="shared" si="109"/>
        <v/>
      </c>
      <c r="AF2367" s="2" t="str">
        <f t="shared" si="110"/>
        <v/>
      </c>
      <c r="AG2367" s="2" t="str">
        <f>IF($L2367="","",IF(COUNTIF(LISTS!$A$2:$A$200,$H2367)=0,"NEW",""))</f>
        <v/>
      </c>
    </row>
    <row r="2368" spans="30:33" x14ac:dyDescent="0.25">
      <c r="AD2368" s="2" t="str">
        <f t="shared" si="108"/>
        <v/>
      </c>
      <c r="AE2368" s="2" t="str">
        <f t="shared" si="109"/>
        <v/>
      </c>
      <c r="AF2368" s="2" t="str">
        <f t="shared" si="110"/>
        <v/>
      </c>
      <c r="AG2368" s="2" t="str">
        <f>IF($L2368="","",IF(COUNTIF(LISTS!$A$2:$A$200,$H2368)=0,"NEW",""))</f>
        <v/>
      </c>
    </row>
    <row r="2369" spans="30:33" x14ac:dyDescent="0.25">
      <c r="AD2369" s="2" t="str">
        <f t="shared" si="108"/>
        <v/>
      </c>
      <c r="AE2369" s="2" t="str">
        <f t="shared" si="109"/>
        <v/>
      </c>
      <c r="AF2369" s="2" t="str">
        <f t="shared" si="110"/>
        <v/>
      </c>
      <c r="AG2369" s="2" t="str">
        <f>IF($L2369="","",IF(COUNTIF(LISTS!$A$2:$A$200,$H2369)=0,"NEW",""))</f>
        <v/>
      </c>
    </row>
    <row r="2370" spans="30:33" x14ac:dyDescent="0.25">
      <c r="AD2370" s="2" t="str">
        <f t="shared" ref="AD2370:AD2433" si="111">IF($L2370="","",IF(ISNUMBER(SEARCH("OFF ROAD",$H2370)),"OFF",IF(ISNUMBER(SEARCH("ON ROAD",$H2370)),"ON","")))</f>
        <v/>
      </c>
      <c r="AE2370" s="2" t="str">
        <f t="shared" ref="AE2370:AE2433" si="112">IF($AD2370="ON",""&amp;$L2370,"")</f>
        <v/>
      </c>
      <c r="AF2370" s="2" t="str">
        <f t="shared" ref="AF2370:AF2433" si="113">IF($L2370="","",IF($J2370&lt;&gt;"","Y",""))</f>
        <v/>
      </c>
      <c r="AG2370" s="2" t="str">
        <f>IF($L2370="","",IF(COUNTIF(LISTS!$A$2:$A$200,$H2370)=0,"NEW",""))</f>
        <v/>
      </c>
    </row>
    <row r="2371" spans="30:33" x14ac:dyDescent="0.25">
      <c r="AD2371" s="2" t="str">
        <f t="shared" si="111"/>
        <v/>
      </c>
      <c r="AE2371" s="2" t="str">
        <f t="shared" si="112"/>
        <v/>
      </c>
      <c r="AF2371" s="2" t="str">
        <f t="shared" si="113"/>
        <v/>
      </c>
      <c r="AG2371" s="2" t="str">
        <f>IF($L2371="","",IF(COUNTIF(LISTS!$A$2:$A$200,$H2371)=0,"NEW",""))</f>
        <v/>
      </c>
    </row>
    <row r="2372" spans="30:33" x14ac:dyDescent="0.25">
      <c r="AD2372" s="2" t="str">
        <f t="shared" si="111"/>
        <v/>
      </c>
      <c r="AE2372" s="2" t="str">
        <f t="shared" si="112"/>
        <v/>
      </c>
      <c r="AF2372" s="2" t="str">
        <f t="shared" si="113"/>
        <v/>
      </c>
      <c r="AG2372" s="2" t="str">
        <f>IF($L2372="","",IF(COUNTIF(LISTS!$A$2:$A$200,$H2372)=0,"NEW",""))</f>
        <v/>
      </c>
    </row>
    <row r="2373" spans="30:33" x14ac:dyDescent="0.25">
      <c r="AD2373" s="2" t="str">
        <f t="shared" si="111"/>
        <v/>
      </c>
      <c r="AE2373" s="2" t="str">
        <f t="shared" si="112"/>
        <v/>
      </c>
      <c r="AF2373" s="2" t="str">
        <f t="shared" si="113"/>
        <v/>
      </c>
      <c r="AG2373" s="2" t="str">
        <f>IF($L2373="","",IF(COUNTIF(LISTS!$A$2:$A$200,$H2373)=0,"NEW",""))</f>
        <v/>
      </c>
    </row>
    <row r="2374" spans="30:33" x14ac:dyDescent="0.25">
      <c r="AD2374" s="2" t="str">
        <f t="shared" si="111"/>
        <v/>
      </c>
      <c r="AE2374" s="2" t="str">
        <f t="shared" si="112"/>
        <v/>
      </c>
      <c r="AF2374" s="2" t="str">
        <f t="shared" si="113"/>
        <v/>
      </c>
      <c r="AG2374" s="2" t="str">
        <f>IF($L2374="","",IF(COUNTIF(LISTS!$A$2:$A$200,$H2374)=0,"NEW",""))</f>
        <v/>
      </c>
    </row>
    <row r="2375" spans="30:33" x14ac:dyDescent="0.25">
      <c r="AD2375" s="2" t="str">
        <f t="shared" si="111"/>
        <v/>
      </c>
      <c r="AE2375" s="2" t="str">
        <f t="shared" si="112"/>
        <v/>
      </c>
      <c r="AF2375" s="2" t="str">
        <f t="shared" si="113"/>
        <v/>
      </c>
      <c r="AG2375" s="2" t="str">
        <f>IF($L2375="","",IF(COUNTIF(LISTS!$A$2:$A$200,$H2375)=0,"NEW",""))</f>
        <v/>
      </c>
    </row>
    <row r="2376" spans="30:33" x14ac:dyDescent="0.25">
      <c r="AD2376" s="2" t="str">
        <f t="shared" si="111"/>
        <v/>
      </c>
      <c r="AE2376" s="2" t="str">
        <f t="shared" si="112"/>
        <v/>
      </c>
      <c r="AF2376" s="2" t="str">
        <f t="shared" si="113"/>
        <v/>
      </c>
      <c r="AG2376" s="2" t="str">
        <f>IF($L2376="","",IF(COUNTIF(LISTS!$A$2:$A$200,$H2376)=0,"NEW",""))</f>
        <v/>
      </c>
    </row>
    <row r="2377" spans="30:33" x14ac:dyDescent="0.25">
      <c r="AD2377" s="2" t="str">
        <f t="shared" si="111"/>
        <v/>
      </c>
      <c r="AE2377" s="2" t="str">
        <f t="shared" si="112"/>
        <v/>
      </c>
      <c r="AF2377" s="2" t="str">
        <f t="shared" si="113"/>
        <v/>
      </c>
      <c r="AG2377" s="2" t="str">
        <f>IF($L2377="","",IF(COUNTIF(LISTS!$A$2:$A$200,$H2377)=0,"NEW",""))</f>
        <v/>
      </c>
    </row>
    <row r="2378" spans="30:33" x14ac:dyDescent="0.25">
      <c r="AD2378" s="2" t="str">
        <f t="shared" si="111"/>
        <v/>
      </c>
      <c r="AE2378" s="2" t="str">
        <f t="shared" si="112"/>
        <v/>
      </c>
      <c r="AF2378" s="2" t="str">
        <f t="shared" si="113"/>
        <v/>
      </c>
      <c r="AG2378" s="2" t="str">
        <f>IF($L2378="","",IF(COUNTIF(LISTS!$A$2:$A$200,$H2378)=0,"NEW",""))</f>
        <v/>
      </c>
    </row>
    <row r="2379" spans="30:33" x14ac:dyDescent="0.25">
      <c r="AD2379" s="2" t="str">
        <f t="shared" si="111"/>
        <v/>
      </c>
      <c r="AE2379" s="2" t="str">
        <f t="shared" si="112"/>
        <v/>
      </c>
      <c r="AF2379" s="2" t="str">
        <f t="shared" si="113"/>
        <v/>
      </c>
      <c r="AG2379" s="2" t="str">
        <f>IF($L2379="","",IF(COUNTIF(LISTS!$A$2:$A$200,$H2379)=0,"NEW",""))</f>
        <v/>
      </c>
    </row>
    <row r="2380" spans="30:33" x14ac:dyDescent="0.25">
      <c r="AD2380" s="2" t="str">
        <f t="shared" si="111"/>
        <v/>
      </c>
      <c r="AE2380" s="2" t="str">
        <f t="shared" si="112"/>
        <v/>
      </c>
      <c r="AF2380" s="2" t="str">
        <f t="shared" si="113"/>
        <v/>
      </c>
      <c r="AG2380" s="2" t="str">
        <f>IF($L2380="","",IF(COUNTIF(LISTS!$A$2:$A$200,$H2380)=0,"NEW",""))</f>
        <v/>
      </c>
    </row>
    <row r="2381" spans="30:33" x14ac:dyDescent="0.25">
      <c r="AD2381" s="2" t="str">
        <f t="shared" si="111"/>
        <v/>
      </c>
      <c r="AE2381" s="2" t="str">
        <f t="shared" si="112"/>
        <v/>
      </c>
      <c r="AF2381" s="2" t="str">
        <f t="shared" si="113"/>
        <v/>
      </c>
      <c r="AG2381" s="2" t="str">
        <f>IF($L2381="","",IF(COUNTIF(LISTS!$A$2:$A$200,$H2381)=0,"NEW",""))</f>
        <v/>
      </c>
    </row>
    <row r="2382" spans="30:33" x14ac:dyDescent="0.25">
      <c r="AD2382" s="2" t="str">
        <f t="shared" si="111"/>
        <v/>
      </c>
      <c r="AE2382" s="2" t="str">
        <f t="shared" si="112"/>
        <v/>
      </c>
      <c r="AF2382" s="2" t="str">
        <f t="shared" si="113"/>
        <v/>
      </c>
      <c r="AG2382" s="2" t="str">
        <f>IF($L2382="","",IF(COUNTIF(LISTS!$A$2:$A$200,$H2382)=0,"NEW",""))</f>
        <v/>
      </c>
    </row>
    <row r="2383" spans="30:33" x14ac:dyDescent="0.25">
      <c r="AD2383" s="2" t="str">
        <f t="shared" si="111"/>
        <v/>
      </c>
      <c r="AE2383" s="2" t="str">
        <f t="shared" si="112"/>
        <v/>
      </c>
      <c r="AF2383" s="2" t="str">
        <f t="shared" si="113"/>
        <v/>
      </c>
      <c r="AG2383" s="2" t="str">
        <f>IF($L2383="","",IF(COUNTIF(LISTS!$A$2:$A$200,$H2383)=0,"NEW",""))</f>
        <v/>
      </c>
    </row>
    <row r="2384" spans="30:33" x14ac:dyDescent="0.25">
      <c r="AD2384" s="2" t="str">
        <f t="shared" si="111"/>
        <v/>
      </c>
      <c r="AE2384" s="2" t="str">
        <f t="shared" si="112"/>
        <v/>
      </c>
      <c r="AF2384" s="2" t="str">
        <f t="shared" si="113"/>
        <v/>
      </c>
      <c r="AG2384" s="2" t="str">
        <f>IF($L2384="","",IF(COUNTIF(LISTS!$A$2:$A$200,$H2384)=0,"NEW",""))</f>
        <v/>
      </c>
    </row>
    <row r="2385" spans="30:33" x14ac:dyDescent="0.25">
      <c r="AD2385" s="2" t="str">
        <f t="shared" si="111"/>
        <v/>
      </c>
      <c r="AE2385" s="2" t="str">
        <f t="shared" si="112"/>
        <v/>
      </c>
      <c r="AF2385" s="2" t="str">
        <f t="shared" si="113"/>
        <v/>
      </c>
      <c r="AG2385" s="2" t="str">
        <f>IF($L2385="","",IF(COUNTIF(LISTS!$A$2:$A$200,$H2385)=0,"NEW",""))</f>
        <v/>
      </c>
    </row>
    <row r="2386" spans="30:33" x14ac:dyDescent="0.25">
      <c r="AD2386" s="2" t="str">
        <f t="shared" si="111"/>
        <v/>
      </c>
      <c r="AE2386" s="2" t="str">
        <f t="shared" si="112"/>
        <v/>
      </c>
      <c r="AF2386" s="2" t="str">
        <f t="shared" si="113"/>
        <v/>
      </c>
      <c r="AG2386" s="2" t="str">
        <f>IF($L2386="","",IF(COUNTIF(LISTS!$A$2:$A$200,$H2386)=0,"NEW",""))</f>
        <v/>
      </c>
    </row>
    <row r="2387" spans="30:33" x14ac:dyDescent="0.25">
      <c r="AD2387" s="2" t="str">
        <f t="shared" si="111"/>
        <v/>
      </c>
      <c r="AE2387" s="2" t="str">
        <f t="shared" si="112"/>
        <v/>
      </c>
      <c r="AF2387" s="2" t="str">
        <f t="shared" si="113"/>
        <v/>
      </c>
      <c r="AG2387" s="2" t="str">
        <f>IF($L2387="","",IF(COUNTIF(LISTS!$A$2:$A$200,$H2387)=0,"NEW",""))</f>
        <v/>
      </c>
    </row>
    <row r="2388" spans="30:33" x14ac:dyDescent="0.25">
      <c r="AD2388" s="2" t="str">
        <f t="shared" si="111"/>
        <v/>
      </c>
      <c r="AE2388" s="2" t="str">
        <f t="shared" si="112"/>
        <v/>
      </c>
      <c r="AF2388" s="2" t="str">
        <f t="shared" si="113"/>
        <v/>
      </c>
      <c r="AG2388" s="2" t="str">
        <f>IF($L2388="","",IF(COUNTIF(LISTS!$A$2:$A$200,$H2388)=0,"NEW",""))</f>
        <v/>
      </c>
    </row>
    <row r="2389" spans="30:33" x14ac:dyDescent="0.25">
      <c r="AD2389" s="2" t="str">
        <f t="shared" si="111"/>
        <v/>
      </c>
      <c r="AE2389" s="2" t="str">
        <f t="shared" si="112"/>
        <v/>
      </c>
      <c r="AF2389" s="2" t="str">
        <f t="shared" si="113"/>
        <v/>
      </c>
      <c r="AG2389" s="2" t="str">
        <f>IF($L2389="","",IF(COUNTIF(LISTS!$A$2:$A$200,$H2389)=0,"NEW",""))</f>
        <v/>
      </c>
    </row>
    <row r="2390" spans="30:33" x14ac:dyDescent="0.25">
      <c r="AD2390" s="2" t="str">
        <f t="shared" si="111"/>
        <v/>
      </c>
      <c r="AE2390" s="2" t="str">
        <f t="shared" si="112"/>
        <v/>
      </c>
      <c r="AF2390" s="2" t="str">
        <f t="shared" si="113"/>
        <v/>
      </c>
      <c r="AG2390" s="2" t="str">
        <f>IF($L2390="","",IF(COUNTIF(LISTS!$A$2:$A$200,$H2390)=0,"NEW",""))</f>
        <v/>
      </c>
    </row>
    <row r="2391" spans="30:33" x14ac:dyDescent="0.25">
      <c r="AD2391" s="2" t="str">
        <f t="shared" si="111"/>
        <v/>
      </c>
      <c r="AE2391" s="2" t="str">
        <f t="shared" si="112"/>
        <v/>
      </c>
      <c r="AF2391" s="2" t="str">
        <f t="shared" si="113"/>
        <v/>
      </c>
      <c r="AG2391" s="2" t="str">
        <f>IF($L2391="","",IF(COUNTIF(LISTS!$A$2:$A$200,$H2391)=0,"NEW",""))</f>
        <v/>
      </c>
    </row>
    <row r="2392" spans="30:33" x14ac:dyDescent="0.25">
      <c r="AD2392" s="2" t="str">
        <f t="shared" si="111"/>
        <v/>
      </c>
      <c r="AE2392" s="2" t="str">
        <f t="shared" si="112"/>
        <v/>
      </c>
      <c r="AF2392" s="2" t="str">
        <f t="shared" si="113"/>
        <v/>
      </c>
      <c r="AG2392" s="2" t="str">
        <f>IF($L2392="","",IF(COUNTIF(LISTS!$A$2:$A$200,$H2392)=0,"NEW",""))</f>
        <v/>
      </c>
    </row>
    <row r="2393" spans="30:33" x14ac:dyDescent="0.25">
      <c r="AD2393" s="2" t="str">
        <f t="shared" si="111"/>
        <v/>
      </c>
      <c r="AE2393" s="2" t="str">
        <f t="shared" si="112"/>
        <v/>
      </c>
      <c r="AF2393" s="2" t="str">
        <f t="shared" si="113"/>
        <v/>
      </c>
      <c r="AG2393" s="2" t="str">
        <f>IF($L2393="","",IF(COUNTIF(LISTS!$A$2:$A$200,$H2393)=0,"NEW",""))</f>
        <v/>
      </c>
    </row>
    <row r="2394" spans="30:33" x14ac:dyDescent="0.25">
      <c r="AD2394" s="2" t="str">
        <f t="shared" si="111"/>
        <v/>
      </c>
      <c r="AE2394" s="2" t="str">
        <f t="shared" si="112"/>
        <v/>
      </c>
      <c r="AF2394" s="2" t="str">
        <f t="shared" si="113"/>
        <v/>
      </c>
      <c r="AG2394" s="2" t="str">
        <f>IF($L2394="","",IF(COUNTIF(LISTS!$A$2:$A$200,$H2394)=0,"NEW",""))</f>
        <v/>
      </c>
    </row>
    <row r="2395" spans="30:33" x14ac:dyDescent="0.25">
      <c r="AD2395" s="2" t="str">
        <f t="shared" si="111"/>
        <v/>
      </c>
      <c r="AE2395" s="2" t="str">
        <f t="shared" si="112"/>
        <v/>
      </c>
      <c r="AF2395" s="2" t="str">
        <f t="shared" si="113"/>
        <v/>
      </c>
      <c r="AG2395" s="2" t="str">
        <f>IF($L2395="","",IF(COUNTIF(LISTS!$A$2:$A$200,$H2395)=0,"NEW",""))</f>
        <v/>
      </c>
    </row>
    <row r="2396" spans="30:33" x14ac:dyDescent="0.25">
      <c r="AD2396" s="2" t="str">
        <f t="shared" si="111"/>
        <v/>
      </c>
      <c r="AE2396" s="2" t="str">
        <f t="shared" si="112"/>
        <v/>
      </c>
      <c r="AF2396" s="2" t="str">
        <f t="shared" si="113"/>
        <v/>
      </c>
      <c r="AG2396" s="2" t="str">
        <f>IF($L2396="","",IF(COUNTIF(LISTS!$A$2:$A$200,$H2396)=0,"NEW",""))</f>
        <v/>
      </c>
    </row>
    <row r="2397" spans="30:33" x14ac:dyDescent="0.25">
      <c r="AD2397" s="2" t="str">
        <f t="shared" si="111"/>
        <v/>
      </c>
      <c r="AE2397" s="2" t="str">
        <f t="shared" si="112"/>
        <v/>
      </c>
      <c r="AF2397" s="2" t="str">
        <f t="shared" si="113"/>
        <v/>
      </c>
      <c r="AG2397" s="2" t="str">
        <f>IF($L2397="","",IF(COUNTIF(LISTS!$A$2:$A$200,$H2397)=0,"NEW",""))</f>
        <v/>
      </c>
    </row>
    <row r="2398" spans="30:33" x14ac:dyDescent="0.25">
      <c r="AD2398" s="2" t="str">
        <f t="shared" si="111"/>
        <v/>
      </c>
      <c r="AE2398" s="2" t="str">
        <f t="shared" si="112"/>
        <v/>
      </c>
      <c r="AF2398" s="2" t="str">
        <f t="shared" si="113"/>
        <v/>
      </c>
      <c r="AG2398" s="2" t="str">
        <f>IF($L2398="","",IF(COUNTIF(LISTS!$A$2:$A$200,$H2398)=0,"NEW",""))</f>
        <v/>
      </c>
    </row>
    <row r="2399" spans="30:33" x14ac:dyDescent="0.25">
      <c r="AD2399" s="2" t="str">
        <f t="shared" si="111"/>
        <v/>
      </c>
      <c r="AE2399" s="2" t="str">
        <f t="shared" si="112"/>
        <v/>
      </c>
      <c r="AF2399" s="2" t="str">
        <f t="shared" si="113"/>
        <v/>
      </c>
      <c r="AG2399" s="2" t="str">
        <f>IF($L2399="","",IF(COUNTIF(LISTS!$A$2:$A$200,$H2399)=0,"NEW",""))</f>
        <v/>
      </c>
    </row>
    <row r="2400" spans="30:33" x14ac:dyDescent="0.25">
      <c r="AD2400" s="2" t="str">
        <f t="shared" si="111"/>
        <v/>
      </c>
      <c r="AE2400" s="2" t="str">
        <f t="shared" si="112"/>
        <v/>
      </c>
      <c r="AF2400" s="2" t="str">
        <f t="shared" si="113"/>
        <v/>
      </c>
      <c r="AG2400" s="2" t="str">
        <f>IF($L2400="","",IF(COUNTIF(LISTS!$A$2:$A$200,$H2400)=0,"NEW",""))</f>
        <v/>
      </c>
    </row>
    <row r="2401" spans="30:33" x14ac:dyDescent="0.25">
      <c r="AD2401" s="2" t="str">
        <f t="shared" si="111"/>
        <v/>
      </c>
      <c r="AE2401" s="2" t="str">
        <f t="shared" si="112"/>
        <v/>
      </c>
      <c r="AF2401" s="2" t="str">
        <f t="shared" si="113"/>
        <v/>
      </c>
      <c r="AG2401" s="2" t="str">
        <f>IF($L2401="","",IF(COUNTIF(LISTS!$A$2:$A$200,$H2401)=0,"NEW",""))</f>
        <v/>
      </c>
    </row>
    <row r="2402" spans="30:33" x14ac:dyDescent="0.25">
      <c r="AD2402" s="2" t="str">
        <f t="shared" si="111"/>
        <v/>
      </c>
      <c r="AE2402" s="2" t="str">
        <f t="shared" si="112"/>
        <v/>
      </c>
      <c r="AF2402" s="2" t="str">
        <f t="shared" si="113"/>
        <v/>
      </c>
      <c r="AG2402" s="2" t="str">
        <f>IF($L2402="","",IF(COUNTIF(LISTS!$A$2:$A$200,$H2402)=0,"NEW",""))</f>
        <v/>
      </c>
    </row>
    <row r="2403" spans="30:33" x14ac:dyDescent="0.25">
      <c r="AD2403" s="2" t="str">
        <f t="shared" si="111"/>
        <v/>
      </c>
      <c r="AE2403" s="2" t="str">
        <f t="shared" si="112"/>
        <v/>
      </c>
      <c r="AF2403" s="2" t="str">
        <f t="shared" si="113"/>
        <v/>
      </c>
      <c r="AG2403" s="2" t="str">
        <f>IF($L2403="","",IF(COUNTIF(LISTS!$A$2:$A$200,$H2403)=0,"NEW",""))</f>
        <v/>
      </c>
    </row>
    <row r="2404" spans="30:33" x14ac:dyDescent="0.25">
      <c r="AD2404" s="2" t="str">
        <f t="shared" si="111"/>
        <v/>
      </c>
      <c r="AE2404" s="2" t="str">
        <f t="shared" si="112"/>
        <v/>
      </c>
      <c r="AF2404" s="2" t="str">
        <f t="shared" si="113"/>
        <v/>
      </c>
      <c r="AG2404" s="2" t="str">
        <f>IF($L2404="","",IF(COUNTIF(LISTS!$A$2:$A$200,$H2404)=0,"NEW",""))</f>
        <v/>
      </c>
    </row>
    <row r="2405" spans="30:33" x14ac:dyDescent="0.25">
      <c r="AD2405" s="2" t="str">
        <f t="shared" si="111"/>
        <v/>
      </c>
      <c r="AE2405" s="2" t="str">
        <f t="shared" si="112"/>
        <v/>
      </c>
      <c r="AF2405" s="2" t="str">
        <f t="shared" si="113"/>
        <v/>
      </c>
      <c r="AG2405" s="2" t="str">
        <f>IF($L2405="","",IF(COUNTIF(LISTS!$A$2:$A$200,$H2405)=0,"NEW",""))</f>
        <v/>
      </c>
    </row>
    <row r="2406" spans="30:33" x14ac:dyDescent="0.25">
      <c r="AD2406" s="2" t="str">
        <f t="shared" si="111"/>
        <v/>
      </c>
      <c r="AE2406" s="2" t="str">
        <f t="shared" si="112"/>
        <v/>
      </c>
      <c r="AF2406" s="2" t="str">
        <f t="shared" si="113"/>
        <v/>
      </c>
      <c r="AG2406" s="2" t="str">
        <f>IF($L2406="","",IF(COUNTIF(LISTS!$A$2:$A$200,$H2406)=0,"NEW",""))</f>
        <v/>
      </c>
    </row>
    <row r="2407" spans="30:33" x14ac:dyDescent="0.25">
      <c r="AD2407" s="2" t="str">
        <f t="shared" si="111"/>
        <v/>
      </c>
      <c r="AE2407" s="2" t="str">
        <f t="shared" si="112"/>
        <v/>
      </c>
      <c r="AF2407" s="2" t="str">
        <f t="shared" si="113"/>
        <v/>
      </c>
      <c r="AG2407" s="2" t="str">
        <f>IF($L2407="","",IF(COUNTIF(LISTS!$A$2:$A$200,$H2407)=0,"NEW",""))</f>
        <v/>
      </c>
    </row>
    <row r="2408" spans="30:33" x14ac:dyDescent="0.25">
      <c r="AD2408" s="2" t="str">
        <f t="shared" si="111"/>
        <v/>
      </c>
      <c r="AE2408" s="2" t="str">
        <f t="shared" si="112"/>
        <v/>
      </c>
      <c r="AF2408" s="2" t="str">
        <f t="shared" si="113"/>
        <v/>
      </c>
      <c r="AG2408" s="2" t="str">
        <f>IF($L2408="","",IF(COUNTIF(LISTS!$A$2:$A$200,$H2408)=0,"NEW",""))</f>
        <v/>
      </c>
    </row>
    <row r="2409" spans="30:33" x14ac:dyDescent="0.25">
      <c r="AD2409" s="2" t="str">
        <f t="shared" si="111"/>
        <v/>
      </c>
      <c r="AE2409" s="2" t="str">
        <f t="shared" si="112"/>
        <v/>
      </c>
      <c r="AF2409" s="2" t="str">
        <f t="shared" si="113"/>
        <v/>
      </c>
      <c r="AG2409" s="2" t="str">
        <f>IF($L2409="","",IF(COUNTIF(LISTS!$A$2:$A$200,$H2409)=0,"NEW",""))</f>
        <v/>
      </c>
    </row>
    <row r="2410" spans="30:33" x14ac:dyDescent="0.25">
      <c r="AD2410" s="2" t="str">
        <f t="shared" si="111"/>
        <v/>
      </c>
      <c r="AE2410" s="2" t="str">
        <f t="shared" si="112"/>
        <v/>
      </c>
      <c r="AF2410" s="2" t="str">
        <f t="shared" si="113"/>
        <v/>
      </c>
      <c r="AG2410" s="2" t="str">
        <f>IF($L2410="","",IF(COUNTIF(LISTS!$A$2:$A$200,$H2410)=0,"NEW",""))</f>
        <v/>
      </c>
    </row>
    <row r="2411" spans="30:33" x14ac:dyDescent="0.25">
      <c r="AD2411" s="2" t="str">
        <f t="shared" si="111"/>
        <v/>
      </c>
      <c r="AE2411" s="2" t="str">
        <f t="shared" si="112"/>
        <v/>
      </c>
      <c r="AF2411" s="2" t="str">
        <f t="shared" si="113"/>
        <v/>
      </c>
      <c r="AG2411" s="2" t="str">
        <f>IF($L2411="","",IF(COUNTIF(LISTS!$A$2:$A$200,$H2411)=0,"NEW",""))</f>
        <v/>
      </c>
    </row>
    <row r="2412" spans="30:33" x14ac:dyDescent="0.25">
      <c r="AD2412" s="2" t="str">
        <f t="shared" si="111"/>
        <v/>
      </c>
      <c r="AE2412" s="2" t="str">
        <f t="shared" si="112"/>
        <v/>
      </c>
      <c r="AF2412" s="2" t="str">
        <f t="shared" si="113"/>
        <v/>
      </c>
      <c r="AG2412" s="2" t="str">
        <f>IF($L2412="","",IF(COUNTIF(LISTS!$A$2:$A$200,$H2412)=0,"NEW",""))</f>
        <v/>
      </c>
    </row>
    <row r="2413" spans="30:33" x14ac:dyDescent="0.25">
      <c r="AD2413" s="2" t="str">
        <f t="shared" si="111"/>
        <v/>
      </c>
      <c r="AE2413" s="2" t="str">
        <f t="shared" si="112"/>
        <v/>
      </c>
      <c r="AF2413" s="2" t="str">
        <f t="shared" si="113"/>
        <v/>
      </c>
      <c r="AG2413" s="2" t="str">
        <f>IF($L2413="","",IF(COUNTIF(LISTS!$A$2:$A$200,$H2413)=0,"NEW",""))</f>
        <v/>
      </c>
    </row>
    <row r="2414" spans="30:33" x14ac:dyDescent="0.25">
      <c r="AD2414" s="2" t="str">
        <f t="shared" si="111"/>
        <v/>
      </c>
      <c r="AE2414" s="2" t="str">
        <f t="shared" si="112"/>
        <v/>
      </c>
      <c r="AF2414" s="2" t="str">
        <f t="shared" si="113"/>
        <v/>
      </c>
      <c r="AG2414" s="2" t="str">
        <f>IF($L2414="","",IF(COUNTIF(LISTS!$A$2:$A$200,$H2414)=0,"NEW",""))</f>
        <v/>
      </c>
    </row>
    <row r="2415" spans="30:33" x14ac:dyDescent="0.25">
      <c r="AD2415" s="2" t="str">
        <f t="shared" si="111"/>
        <v/>
      </c>
      <c r="AE2415" s="2" t="str">
        <f t="shared" si="112"/>
        <v/>
      </c>
      <c r="AF2415" s="2" t="str">
        <f t="shared" si="113"/>
        <v/>
      </c>
      <c r="AG2415" s="2" t="str">
        <f>IF($L2415="","",IF(COUNTIF(LISTS!$A$2:$A$200,$H2415)=0,"NEW",""))</f>
        <v/>
      </c>
    </row>
    <row r="2416" spans="30:33" x14ac:dyDescent="0.25">
      <c r="AD2416" s="2" t="str">
        <f t="shared" si="111"/>
        <v/>
      </c>
      <c r="AE2416" s="2" t="str">
        <f t="shared" si="112"/>
        <v/>
      </c>
      <c r="AF2416" s="2" t="str">
        <f t="shared" si="113"/>
        <v/>
      </c>
      <c r="AG2416" s="2" t="str">
        <f>IF($L2416="","",IF(COUNTIF(LISTS!$A$2:$A$200,$H2416)=0,"NEW",""))</f>
        <v/>
      </c>
    </row>
    <row r="2417" spans="30:33" x14ac:dyDescent="0.25">
      <c r="AD2417" s="2" t="str">
        <f t="shared" si="111"/>
        <v/>
      </c>
      <c r="AE2417" s="2" t="str">
        <f t="shared" si="112"/>
        <v/>
      </c>
      <c r="AF2417" s="2" t="str">
        <f t="shared" si="113"/>
        <v/>
      </c>
      <c r="AG2417" s="2" t="str">
        <f>IF($L2417="","",IF(COUNTIF(LISTS!$A$2:$A$200,$H2417)=0,"NEW",""))</f>
        <v/>
      </c>
    </row>
    <row r="2418" spans="30:33" x14ac:dyDescent="0.25">
      <c r="AD2418" s="2" t="str">
        <f t="shared" si="111"/>
        <v/>
      </c>
      <c r="AE2418" s="2" t="str">
        <f t="shared" si="112"/>
        <v/>
      </c>
      <c r="AF2418" s="2" t="str">
        <f t="shared" si="113"/>
        <v/>
      </c>
      <c r="AG2418" s="2" t="str">
        <f>IF($L2418="","",IF(COUNTIF(LISTS!$A$2:$A$200,$H2418)=0,"NEW",""))</f>
        <v/>
      </c>
    </row>
    <row r="2419" spans="30:33" x14ac:dyDescent="0.25">
      <c r="AD2419" s="2" t="str">
        <f t="shared" si="111"/>
        <v/>
      </c>
      <c r="AE2419" s="2" t="str">
        <f t="shared" si="112"/>
        <v/>
      </c>
      <c r="AF2419" s="2" t="str">
        <f t="shared" si="113"/>
        <v/>
      </c>
      <c r="AG2419" s="2" t="str">
        <f>IF($L2419="","",IF(COUNTIF(LISTS!$A$2:$A$200,$H2419)=0,"NEW",""))</f>
        <v/>
      </c>
    </row>
    <row r="2420" spans="30:33" x14ac:dyDescent="0.25">
      <c r="AD2420" s="2" t="str">
        <f t="shared" si="111"/>
        <v/>
      </c>
      <c r="AE2420" s="2" t="str">
        <f t="shared" si="112"/>
        <v/>
      </c>
      <c r="AF2420" s="2" t="str">
        <f t="shared" si="113"/>
        <v/>
      </c>
      <c r="AG2420" s="2" t="str">
        <f>IF($L2420="","",IF(COUNTIF(LISTS!$A$2:$A$200,$H2420)=0,"NEW",""))</f>
        <v/>
      </c>
    </row>
    <row r="2421" spans="30:33" x14ac:dyDescent="0.25">
      <c r="AD2421" s="2" t="str">
        <f t="shared" si="111"/>
        <v/>
      </c>
      <c r="AE2421" s="2" t="str">
        <f t="shared" si="112"/>
        <v/>
      </c>
      <c r="AF2421" s="2" t="str">
        <f t="shared" si="113"/>
        <v/>
      </c>
      <c r="AG2421" s="2" t="str">
        <f>IF($L2421="","",IF(COUNTIF(LISTS!$A$2:$A$200,$H2421)=0,"NEW",""))</f>
        <v/>
      </c>
    </row>
    <row r="2422" spans="30:33" x14ac:dyDescent="0.25">
      <c r="AD2422" s="2" t="str">
        <f t="shared" si="111"/>
        <v/>
      </c>
      <c r="AE2422" s="2" t="str">
        <f t="shared" si="112"/>
        <v/>
      </c>
      <c r="AF2422" s="2" t="str">
        <f t="shared" si="113"/>
        <v/>
      </c>
      <c r="AG2422" s="2" t="str">
        <f>IF($L2422="","",IF(COUNTIF(LISTS!$A$2:$A$200,$H2422)=0,"NEW",""))</f>
        <v/>
      </c>
    </row>
    <row r="2423" spans="30:33" x14ac:dyDescent="0.25">
      <c r="AD2423" s="2" t="str">
        <f t="shared" si="111"/>
        <v/>
      </c>
      <c r="AE2423" s="2" t="str">
        <f t="shared" si="112"/>
        <v/>
      </c>
      <c r="AF2423" s="2" t="str">
        <f t="shared" si="113"/>
        <v/>
      </c>
      <c r="AG2423" s="2" t="str">
        <f>IF($L2423="","",IF(COUNTIF(LISTS!$A$2:$A$200,$H2423)=0,"NEW",""))</f>
        <v/>
      </c>
    </row>
    <row r="2424" spans="30:33" x14ac:dyDescent="0.25">
      <c r="AD2424" s="2" t="str">
        <f t="shared" si="111"/>
        <v/>
      </c>
      <c r="AE2424" s="2" t="str">
        <f t="shared" si="112"/>
        <v/>
      </c>
      <c r="AF2424" s="2" t="str">
        <f t="shared" si="113"/>
        <v/>
      </c>
      <c r="AG2424" s="2" t="str">
        <f>IF($L2424="","",IF(COUNTIF(LISTS!$A$2:$A$200,$H2424)=0,"NEW",""))</f>
        <v/>
      </c>
    </row>
    <row r="2425" spans="30:33" x14ac:dyDescent="0.25">
      <c r="AD2425" s="2" t="str">
        <f t="shared" si="111"/>
        <v/>
      </c>
      <c r="AE2425" s="2" t="str">
        <f t="shared" si="112"/>
        <v/>
      </c>
      <c r="AF2425" s="2" t="str">
        <f t="shared" si="113"/>
        <v/>
      </c>
      <c r="AG2425" s="2" t="str">
        <f>IF($L2425="","",IF(COUNTIF(LISTS!$A$2:$A$200,$H2425)=0,"NEW",""))</f>
        <v/>
      </c>
    </row>
    <row r="2426" spans="30:33" x14ac:dyDescent="0.25">
      <c r="AD2426" s="2" t="str">
        <f t="shared" si="111"/>
        <v/>
      </c>
      <c r="AE2426" s="2" t="str">
        <f t="shared" si="112"/>
        <v/>
      </c>
      <c r="AF2426" s="2" t="str">
        <f t="shared" si="113"/>
        <v/>
      </c>
      <c r="AG2426" s="2" t="str">
        <f>IF($L2426="","",IF(COUNTIF(LISTS!$A$2:$A$200,$H2426)=0,"NEW",""))</f>
        <v/>
      </c>
    </row>
    <row r="2427" spans="30:33" x14ac:dyDescent="0.25">
      <c r="AD2427" s="2" t="str">
        <f t="shared" si="111"/>
        <v/>
      </c>
      <c r="AE2427" s="2" t="str">
        <f t="shared" si="112"/>
        <v/>
      </c>
      <c r="AF2427" s="2" t="str">
        <f t="shared" si="113"/>
        <v/>
      </c>
      <c r="AG2427" s="2" t="str">
        <f>IF($L2427="","",IF(COUNTIF(LISTS!$A$2:$A$200,$H2427)=0,"NEW",""))</f>
        <v/>
      </c>
    </row>
    <row r="2428" spans="30:33" x14ac:dyDescent="0.25">
      <c r="AD2428" s="2" t="str">
        <f t="shared" si="111"/>
        <v/>
      </c>
      <c r="AE2428" s="2" t="str">
        <f t="shared" si="112"/>
        <v/>
      </c>
      <c r="AF2428" s="2" t="str">
        <f t="shared" si="113"/>
        <v/>
      </c>
      <c r="AG2428" s="2" t="str">
        <f>IF($L2428="","",IF(COUNTIF(LISTS!$A$2:$A$200,$H2428)=0,"NEW",""))</f>
        <v/>
      </c>
    </row>
    <row r="2429" spans="30:33" x14ac:dyDescent="0.25">
      <c r="AD2429" s="2" t="str">
        <f t="shared" si="111"/>
        <v/>
      </c>
      <c r="AE2429" s="2" t="str">
        <f t="shared" si="112"/>
        <v/>
      </c>
      <c r="AF2429" s="2" t="str">
        <f t="shared" si="113"/>
        <v/>
      </c>
      <c r="AG2429" s="2" t="str">
        <f>IF($L2429="","",IF(COUNTIF(LISTS!$A$2:$A$200,$H2429)=0,"NEW",""))</f>
        <v/>
      </c>
    </row>
    <row r="2430" spans="30:33" x14ac:dyDescent="0.25">
      <c r="AD2430" s="2" t="str">
        <f t="shared" si="111"/>
        <v/>
      </c>
      <c r="AE2430" s="2" t="str">
        <f t="shared" si="112"/>
        <v/>
      </c>
      <c r="AF2430" s="2" t="str">
        <f t="shared" si="113"/>
        <v/>
      </c>
      <c r="AG2430" s="2" t="str">
        <f>IF($L2430="","",IF(COUNTIF(LISTS!$A$2:$A$200,$H2430)=0,"NEW",""))</f>
        <v/>
      </c>
    </row>
    <row r="2431" spans="30:33" x14ac:dyDescent="0.25">
      <c r="AD2431" s="2" t="str">
        <f t="shared" si="111"/>
        <v/>
      </c>
      <c r="AE2431" s="2" t="str">
        <f t="shared" si="112"/>
        <v/>
      </c>
      <c r="AF2431" s="2" t="str">
        <f t="shared" si="113"/>
        <v/>
      </c>
      <c r="AG2431" s="2" t="str">
        <f>IF($L2431="","",IF(COUNTIF(LISTS!$A$2:$A$200,$H2431)=0,"NEW",""))</f>
        <v/>
      </c>
    </row>
    <row r="2432" spans="30:33" x14ac:dyDescent="0.25">
      <c r="AD2432" s="2" t="str">
        <f t="shared" si="111"/>
        <v/>
      </c>
      <c r="AE2432" s="2" t="str">
        <f t="shared" si="112"/>
        <v/>
      </c>
      <c r="AF2432" s="2" t="str">
        <f t="shared" si="113"/>
        <v/>
      </c>
      <c r="AG2432" s="2" t="str">
        <f>IF($L2432="","",IF(COUNTIF(LISTS!$A$2:$A$200,$H2432)=0,"NEW",""))</f>
        <v/>
      </c>
    </row>
    <row r="2433" spans="30:33" x14ac:dyDescent="0.25">
      <c r="AD2433" s="2" t="str">
        <f t="shared" si="111"/>
        <v/>
      </c>
      <c r="AE2433" s="2" t="str">
        <f t="shared" si="112"/>
        <v/>
      </c>
      <c r="AF2433" s="2" t="str">
        <f t="shared" si="113"/>
        <v/>
      </c>
      <c r="AG2433" s="2" t="str">
        <f>IF($L2433="","",IF(COUNTIF(LISTS!$A$2:$A$200,$H2433)=0,"NEW",""))</f>
        <v/>
      </c>
    </row>
    <row r="2434" spans="30:33" x14ac:dyDescent="0.25">
      <c r="AD2434" s="2" t="str">
        <f t="shared" ref="AD2434:AD2501" si="114">IF($L2434="","",IF(ISNUMBER(SEARCH("OFF ROAD",$H2434)),"OFF",IF(ISNUMBER(SEARCH("ON ROAD",$H2434)),"ON","")))</f>
        <v/>
      </c>
      <c r="AE2434" s="2" t="str">
        <f t="shared" ref="AE2434:AE2501" si="115">IF($AD2434="ON",""&amp;$L2434,"")</f>
        <v/>
      </c>
      <c r="AF2434" s="2" t="str">
        <f t="shared" ref="AF2434:AF2501" si="116">IF($L2434="","",IF($J2434&lt;&gt;"","Y",""))</f>
        <v/>
      </c>
      <c r="AG2434" s="2" t="str">
        <f>IF($L2434="","",IF(COUNTIF(LISTS!$A$2:$A$200,$H2434)=0,"NEW",""))</f>
        <v/>
      </c>
    </row>
    <row r="2435" spans="30:33" x14ac:dyDescent="0.25">
      <c r="AD2435" s="2" t="str">
        <f t="shared" si="114"/>
        <v/>
      </c>
      <c r="AE2435" s="2" t="str">
        <f t="shared" si="115"/>
        <v/>
      </c>
      <c r="AF2435" s="2" t="str">
        <f t="shared" si="116"/>
        <v/>
      </c>
      <c r="AG2435" s="2" t="str">
        <f>IF($L2435="","",IF(COUNTIF(LISTS!$A$2:$A$200,$H2435)=0,"NEW",""))</f>
        <v/>
      </c>
    </row>
    <row r="2436" spans="30:33" x14ac:dyDescent="0.25">
      <c r="AD2436" s="2" t="str">
        <f t="shared" si="114"/>
        <v/>
      </c>
      <c r="AE2436" s="2" t="str">
        <f t="shared" si="115"/>
        <v/>
      </c>
      <c r="AF2436" s="2" t="str">
        <f t="shared" si="116"/>
        <v/>
      </c>
      <c r="AG2436" s="2" t="str">
        <f>IF($L2436="","",IF(COUNTIF(LISTS!$A$2:$A$200,$H2436)=0,"NEW",""))</f>
        <v/>
      </c>
    </row>
    <row r="2437" spans="30:33" x14ac:dyDescent="0.25">
      <c r="AD2437" s="2" t="str">
        <f t="shared" si="114"/>
        <v/>
      </c>
      <c r="AE2437" s="2" t="str">
        <f t="shared" si="115"/>
        <v/>
      </c>
      <c r="AF2437" s="2" t="str">
        <f t="shared" si="116"/>
        <v/>
      </c>
      <c r="AG2437" s="2" t="str">
        <f>IF($L2437="","",IF(COUNTIF(LISTS!$A$2:$A$200,$H2437)=0,"NEW",""))</f>
        <v/>
      </c>
    </row>
    <row r="2438" spans="30:33" x14ac:dyDescent="0.25">
      <c r="AD2438" s="2" t="str">
        <f t="shared" si="114"/>
        <v/>
      </c>
      <c r="AE2438" s="2" t="str">
        <f t="shared" si="115"/>
        <v/>
      </c>
      <c r="AF2438" s="2" t="str">
        <f t="shared" si="116"/>
        <v/>
      </c>
      <c r="AG2438" s="2" t="str">
        <f>IF($L2438="","",IF(COUNTIF(LISTS!$A$2:$A$200,$H2438)=0,"NEW",""))</f>
        <v/>
      </c>
    </row>
    <row r="2439" spans="30:33" x14ac:dyDescent="0.25">
      <c r="AD2439" s="2" t="str">
        <f t="shared" si="114"/>
        <v/>
      </c>
      <c r="AE2439" s="2" t="str">
        <f t="shared" si="115"/>
        <v/>
      </c>
      <c r="AF2439" s="2" t="str">
        <f t="shared" si="116"/>
        <v/>
      </c>
      <c r="AG2439" s="2" t="str">
        <f>IF($L2439="","",IF(COUNTIF(LISTS!$A$2:$A$200,$H2439)=0,"NEW",""))</f>
        <v/>
      </c>
    </row>
    <row r="2440" spans="30:33" x14ac:dyDescent="0.25">
      <c r="AD2440" s="2" t="str">
        <f t="shared" si="114"/>
        <v/>
      </c>
      <c r="AE2440" s="2" t="str">
        <f t="shared" si="115"/>
        <v/>
      </c>
      <c r="AF2440" s="2" t="str">
        <f t="shared" si="116"/>
        <v/>
      </c>
      <c r="AG2440" s="2" t="str">
        <f>IF($L2440="","",IF(COUNTIF(LISTS!$A$2:$A$200,$H2440)=0,"NEW",""))</f>
        <v/>
      </c>
    </row>
    <row r="2441" spans="30:33" x14ac:dyDescent="0.25">
      <c r="AD2441" s="2" t="str">
        <f t="shared" si="114"/>
        <v/>
      </c>
      <c r="AE2441" s="2" t="str">
        <f t="shared" si="115"/>
        <v/>
      </c>
      <c r="AF2441" s="2" t="str">
        <f t="shared" si="116"/>
        <v/>
      </c>
      <c r="AG2441" s="2" t="str">
        <f>IF($L2441="","",IF(COUNTIF(LISTS!$A$2:$A$200,$H2441)=0,"NEW",""))</f>
        <v/>
      </c>
    </row>
    <row r="2442" spans="30:33" x14ac:dyDescent="0.25">
      <c r="AD2442" s="2" t="str">
        <f t="shared" si="114"/>
        <v/>
      </c>
      <c r="AE2442" s="2" t="str">
        <f t="shared" si="115"/>
        <v/>
      </c>
      <c r="AF2442" s="2" t="str">
        <f t="shared" si="116"/>
        <v/>
      </c>
      <c r="AG2442" s="2" t="str">
        <f>IF($L2442="","",IF(COUNTIF(LISTS!$A$2:$A$200,$H2442)=0,"NEW",""))</f>
        <v/>
      </c>
    </row>
    <row r="2443" spans="30:33" x14ac:dyDescent="0.25">
      <c r="AD2443" s="2" t="str">
        <f t="shared" si="114"/>
        <v/>
      </c>
      <c r="AE2443" s="2" t="str">
        <f t="shared" si="115"/>
        <v/>
      </c>
      <c r="AF2443" s="2" t="str">
        <f t="shared" si="116"/>
        <v/>
      </c>
      <c r="AG2443" s="2" t="str">
        <f>IF($L2443="","",IF(COUNTIF(LISTS!$A$2:$A$200,$H2443)=0,"NEW",""))</f>
        <v/>
      </c>
    </row>
    <row r="2444" spans="30:33" x14ac:dyDescent="0.25">
      <c r="AD2444" s="2" t="str">
        <f t="shared" si="114"/>
        <v/>
      </c>
      <c r="AE2444" s="2" t="str">
        <f t="shared" si="115"/>
        <v/>
      </c>
      <c r="AF2444" s="2" t="str">
        <f t="shared" si="116"/>
        <v/>
      </c>
      <c r="AG2444" s="2" t="str">
        <f>IF($L2444="","",IF(COUNTIF(LISTS!$A$2:$A$200,$H2444)=0,"NEW",""))</f>
        <v/>
      </c>
    </row>
    <row r="2445" spans="30:33" x14ac:dyDescent="0.25">
      <c r="AD2445" s="2" t="str">
        <f t="shared" si="114"/>
        <v/>
      </c>
      <c r="AE2445" s="2" t="str">
        <f t="shared" si="115"/>
        <v/>
      </c>
      <c r="AF2445" s="2" t="str">
        <f t="shared" si="116"/>
        <v/>
      </c>
      <c r="AG2445" s="2" t="str">
        <f>IF($L2445="","",IF(COUNTIF(LISTS!$A$2:$A$200,$H2445)=0,"NEW",""))</f>
        <v/>
      </c>
    </row>
    <row r="2446" spans="30:33" x14ac:dyDescent="0.25">
      <c r="AD2446" s="2" t="str">
        <f t="shared" si="114"/>
        <v/>
      </c>
      <c r="AE2446" s="2" t="str">
        <f t="shared" si="115"/>
        <v/>
      </c>
      <c r="AF2446" s="2" t="str">
        <f t="shared" si="116"/>
        <v/>
      </c>
      <c r="AG2446" s="2" t="str">
        <f>IF($L2446="","",IF(COUNTIF(LISTS!$A$2:$A$200,$H2446)=0,"NEW",""))</f>
        <v/>
      </c>
    </row>
    <row r="2447" spans="30:33" x14ac:dyDescent="0.25">
      <c r="AD2447" s="2" t="str">
        <f t="shared" si="114"/>
        <v/>
      </c>
      <c r="AE2447" s="2" t="str">
        <f t="shared" si="115"/>
        <v/>
      </c>
      <c r="AF2447" s="2" t="str">
        <f t="shared" si="116"/>
        <v/>
      </c>
      <c r="AG2447" s="2" t="str">
        <f>IF($L2447="","",IF(COUNTIF(LISTS!$A$2:$A$200,$H2447)=0,"NEW",""))</f>
        <v/>
      </c>
    </row>
    <row r="2448" spans="30:33" x14ac:dyDescent="0.25">
      <c r="AD2448" s="2" t="str">
        <f t="shared" si="114"/>
        <v/>
      </c>
      <c r="AE2448" s="2" t="str">
        <f t="shared" si="115"/>
        <v/>
      </c>
      <c r="AF2448" s="2" t="str">
        <f t="shared" si="116"/>
        <v/>
      </c>
      <c r="AG2448" s="2" t="str">
        <f>IF($L2448="","",IF(COUNTIF(LISTS!$A$2:$A$200,$H2448)=0,"NEW",""))</f>
        <v/>
      </c>
    </row>
    <row r="2449" spans="30:33" x14ac:dyDescent="0.25">
      <c r="AD2449" s="2" t="str">
        <f t="shared" si="114"/>
        <v/>
      </c>
      <c r="AE2449" s="2" t="str">
        <f t="shared" si="115"/>
        <v/>
      </c>
      <c r="AF2449" s="2" t="str">
        <f t="shared" si="116"/>
        <v/>
      </c>
      <c r="AG2449" s="2" t="str">
        <f>IF($L2449="","",IF(COUNTIF(LISTS!$A$2:$A$200,$H2449)=0,"NEW",""))</f>
        <v/>
      </c>
    </row>
    <row r="2450" spans="30:33" x14ac:dyDescent="0.25">
      <c r="AD2450" s="2" t="str">
        <f t="shared" si="114"/>
        <v/>
      </c>
      <c r="AE2450" s="2" t="str">
        <f t="shared" si="115"/>
        <v/>
      </c>
      <c r="AF2450" s="2" t="str">
        <f t="shared" si="116"/>
        <v/>
      </c>
      <c r="AG2450" s="2" t="str">
        <f>IF($L2450="","",IF(COUNTIF(LISTS!$A$2:$A$200,$H2450)=0,"NEW",""))</f>
        <v/>
      </c>
    </row>
    <row r="2451" spans="30:33" x14ac:dyDescent="0.25">
      <c r="AD2451" s="2" t="str">
        <f t="shared" si="114"/>
        <v/>
      </c>
      <c r="AE2451" s="2" t="str">
        <f t="shared" si="115"/>
        <v/>
      </c>
      <c r="AF2451" s="2" t="str">
        <f t="shared" si="116"/>
        <v/>
      </c>
      <c r="AG2451" s="2" t="str">
        <f>IF($L2451="","",IF(COUNTIF(LISTS!$A$2:$A$200,$H2451)=0,"NEW",""))</f>
        <v/>
      </c>
    </row>
    <row r="2452" spans="30:33" x14ac:dyDescent="0.25">
      <c r="AD2452" s="2" t="str">
        <f t="shared" si="114"/>
        <v/>
      </c>
      <c r="AE2452" s="2" t="str">
        <f t="shared" si="115"/>
        <v/>
      </c>
      <c r="AF2452" s="2" t="str">
        <f t="shared" si="116"/>
        <v/>
      </c>
      <c r="AG2452" s="2" t="str">
        <f>IF($L2452="","",IF(COUNTIF(LISTS!$A$2:$A$200,$H2452)=0,"NEW",""))</f>
        <v/>
      </c>
    </row>
    <row r="2453" spans="30:33" x14ac:dyDescent="0.25">
      <c r="AD2453" s="2" t="str">
        <f t="shared" si="114"/>
        <v/>
      </c>
      <c r="AE2453" s="2" t="str">
        <f t="shared" si="115"/>
        <v/>
      </c>
      <c r="AF2453" s="2" t="str">
        <f t="shared" si="116"/>
        <v/>
      </c>
      <c r="AG2453" s="2" t="str">
        <f>IF($L2453="","",IF(COUNTIF(LISTS!$A$2:$A$200,$H2453)=0,"NEW",""))</f>
        <v/>
      </c>
    </row>
    <row r="2454" spans="30:33" x14ac:dyDescent="0.25">
      <c r="AD2454" s="2" t="str">
        <f t="shared" si="114"/>
        <v/>
      </c>
      <c r="AE2454" s="2" t="str">
        <f t="shared" si="115"/>
        <v/>
      </c>
      <c r="AF2454" s="2" t="str">
        <f t="shared" si="116"/>
        <v/>
      </c>
      <c r="AG2454" s="2" t="str">
        <f>IF($L2454="","",IF(COUNTIF(LISTS!$A$2:$A$200,$H2454)=0,"NEW",""))</f>
        <v/>
      </c>
    </row>
    <row r="2455" spans="30:33" x14ac:dyDescent="0.25">
      <c r="AD2455" s="2" t="str">
        <f t="shared" si="114"/>
        <v/>
      </c>
      <c r="AE2455" s="2" t="str">
        <f t="shared" si="115"/>
        <v/>
      </c>
      <c r="AF2455" s="2" t="str">
        <f t="shared" si="116"/>
        <v/>
      </c>
      <c r="AG2455" s="2" t="str">
        <f>IF($L2455="","",IF(COUNTIF(LISTS!$A$2:$A$200,$H2455)=0,"NEW",""))</f>
        <v/>
      </c>
    </row>
    <row r="2456" spans="30:33" x14ac:dyDescent="0.25">
      <c r="AD2456" s="2" t="str">
        <f t="shared" si="114"/>
        <v/>
      </c>
      <c r="AE2456" s="2" t="str">
        <f t="shared" si="115"/>
        <v/>
      </c>
      <c r="AF2456" s="2" t="str">
        <f t="shared" si="116"/>
        <v/>
      </c>
      <c r="AG2456" s="2" t="str">
        <f>IF($L2456="","",IF(COUNTIF(LISTS!$A$2:$A$200,$H2456)=0,"NEW",""))</f>
        <v/>
      </c>
    </row>
    <row r="2457" spans="30:33" x14ac:dyDescent="0.25">
      <c r="AD2457" s="2" t="str">
        <f t="shared" si="114"/>
        <v/>
      </c>
      <c r="AE2457" s="2" t="str">
        <f t="shared" si="115"/>
        <v/>
      </c>
      <c r="AF2457" s="2" t="str">
        <f t="shared" si="116"/>
        <v/>
      </c>
      <c r="AG2457" s="2" t="str">
        <f>IF($L2457="","",IF(COUNTIF(LISTS!$A$2:$A$200,$H2457)=0,"NEW",""))</f>
        <v/>
      </c>
    </row>
    <row r="2458" spans="30:33" x14ac:dyDescent="0.25">
      <c r="AD2458" s="2" t="str">
        <f t="shared" si="114"/>
        <v/>
      </c>
      <c r="AE2458" s="2" t="str">
        <f t="shared" si="115"/>
        <v/>
      </c>
      <c r="AF2458" s="2" t="str">
        <f t="shared" si="116"/>
        <v/>
      </c>
      <c r="AG2458" s="2" t="str">
        <f>IF($L2458="","",IF(COUNTIF(LISTS!$A$2:$A$200,$H2458)=0,"NEW",""))</f>
        <v/>
      </c>
    </row>
    <row r="2459" spans="30:33" x14ac:dyDescent="0.25">
      <c r="AD2459" s="2" t="str">
        <f t="shared" si="114"/>
        <v/>
      </c>
      <c r="AE2459" s="2" t="str">
        <f t="shared" si="115"/>
        <v/>
      </c>
      <c r="AF2459" s="2" t="str">
        <f t="shared" si="116"/>
        <v/>
      </c>
      <c r="AG2459" s="2" t="str">
        <f>IF($L2459="","",IF(COUNTIF(LISTS!$A$2:$A$200,$H2459)=0,"NEW",""))</f>
        <v/>
      </c>
    </row>
    <row r="2460" spans="30:33" x14ac:dyDescent="0.25">
      <c r="AD2460" s="2" t="str">
        <f t="shared" si="114"/>
        <v/>
      </c>
      <c r="AE2460" s="2" t="str">
        <f t="shared" si="115"/>
        <v/>
      </c>
      <c r="AF2460" s="2" t="str">
        <f t="shared" si="116"/>
        <v/>
      </c>
      <c r="AG2460" s="2" t="str">
        <f>IF($L2460="","",IF(COUNTIF(LISTS!$A$2:$A$200,$H2460)=0,"NEW",""))</f>
        <v/>
      </c>
    </row>
    <row r="2461" spans="30:33" x14ac:dyDescent="0.25">
      <c r="AD2461" s="2" t="str">
        <f t="shared" si="114"/>
        <v/>
      </c>
      <c r="AE2461" s="2" t="str">
        <f t="shared" si="115"/>
        <v/>
      </c>
      <c r="AF2461" s="2" t="str">
        <f t="shared" si="116"/>
        <v/>
      </c>
      <c r="AG2461" s="2" t="str">
        <f>IF($L2461="","",IF(COUNTIF(LISTS!$A$2:$A$200,$H2461)=0,"NEW",""))</f>
        <v/>
      </c>
    </row>
    <row r="2462" spans="30:33" x14ac:dyDescent="0.25">
      <c r="AD2462" s="2" t="str">
        <f t="shared" si="114"/>
        <v/>
      </c>
      <c r="AE2462" s="2" t="str">
        <f t="shared" si="115"/>
        <v/>
      </c>
      <c r="AF2462" s="2" t="str">
        <f t="shared" si="116"/>
        <v/>
      </c>
      <c r="AG2462" s="2" t="str">
        <f>IF($L2462="","",IF(COUNTIF(LISTS!$A$2:$A$200,$H2462)=0,"NEW",""))</f>
        <v/>
      </c>
    </row>
    <row r="2463" spans="30:33" x14ac:dyDescent="0.25">
      <c r="AD2463" s="2" t="str">
        <f t="shared" si="114"/>
        <v/>
      </c>
      <c r="AE2463" s="2" t="str">
        <f t="shared" si="115"/>
        <v/>
      </c>
      <c r="AF2463" s="2" t="str">
        <f t="shared" si="116"/>
        <v/>
      </c>
      <c r="AG2463" s="2" t="str">
        <f>IF($L2463="","",IF(COUNTIF(LISTS!$A$2:$A$200,$H2463)=0,"NEW",""))</f>
        <v/>
      </c>
    </row>
    <row r="2464" spans="30:33" x14ac:dyDescent="0.25">
      <c r="AD2464" s="2" t="str">
        <f t="shared" si="114"/>
        <v/>
      </c>
      <c r="AE2464" s="2" t="str">
        <f t="shared" si="115"/>
        <v/>
      </c>
      <c r="AF2464" s="2" t="str">
        <f t="shared" si="116"/>
        <v/>
      </c>
      <c r="AG2464" s="2" t="str">
        <f>IF($L2464="","",IF(COUNTIF(LISTS!$A$2:$A$200,$H2464)=0,"NEW",""))</f>
        <v/>
      </c>
    </row>
    <row r="2465" spans="30:33" x14ac:dyDescent="0.25">
      <c r="AD2465" s="2" t="str">
        <f t="shared" si="114"/>
        <v/>
      </c>
      <c r="AE2465" s="2" t="str">
        <f t="shared" si="115"/>
        <v/>
      </c>
      <c r="AF2465" s="2" t="str">
        <f t="shared" si="116"/>
        <v/>
      </c>
      <c r="AG2465" s="2" t="str">
        <f>IF($L2465="","",IF(COUNTIF(LISTS!$A$2:$A$200,$H2465)=0,"NEW",""))</f>
        <v/>
      </c>
    </row>
    <row r="2466" spans="30:33" x14ac:dyDescent="0.25">
      <c r="AD2466" s="2" t="str">
        <f t="shared" si="114"/>
        <v/>
      </c>
      <c r="AE2466" s="2" t="str">
        <f t="shared" si="115"/>
        <v/>
      </c>
      <c r="AF2466" s="2" t="str">
        <f t="shared" si="116"/>
        <v/>
      </c>
      <c r="AG2466" s="2" t="str">
        <f>IF($L2466="","",IF(COUNTIF(LISTS!$A$2:$A$200,$H2466)=0,"NEW",""))</f>
        <v/>
      </c>
    </row>
    <row r="2467" spans="30:33" x14ac:dyDescent="0.25">
      <c r="AD2467" s="2" t="str">
        <f t="shared" si="114"/>
        <v/>
      </c>
      <c r="AE2467" s="2" t="str">
        <f t="shared" si="115"/>
        <v/>
      </c>
      <c r="AF2467" s="2" t="str">
        <f t="shared" si="116"/>
        <v/>
      </c>
      <c r="AG2467" s="2" t="str">
        <f>IF($L2467="","",IF(COUNTIF(LISTS!$A$2:$A$200,$H2467)=0,"NEW",""))</f>
        <v/>
      </c>
    </row>
    <row r="2468" spans="30:33" x14ac:dyDescent="0.25">
      <c r="AD2468" s="2" t="str">
        <f t="shared" si="114"/>
        <v/>
      </c>
      <c r="AE2468" s="2" t="str">
        <f t="shared" si="115"/>
        <v/>
      </c>
      <c r="AF2468" s="2" t="str">
        <f t="shared" si="116"/>
        <v/>
      </c>
      <c r="AG2468" s="2" t="str">
        <f>IF($L2468="","",IF(COUNTIF(LISTS!$A$2:$A$200,$H2468)=0,"NEW",""))</f>
        <v/>
      </c>
    </row>
    <row r="2469" spans="30:33" x14ac:dyDescent="0.25">
      <c r="AD2469" s="2" t="str">
        <f t="shared" si="114"/>
        <v/>
      </c>
      <c r="AE2469" s="2" t="str">
        <f t="shared" si="115"/>
        <v/>
      </c>
      <c r="AF2469" s="2" t="str">
        <f t="shared" si="116"/>
        <v/>
      </c>
      <c r="AG2469" s="2" t="str">
        <f>IF($L2469="","",IF(COUNTIF(LISTS!$A$2:$A$200,$H2469)=0,"NEW",""))</f>
        <v/>
      </c>
    </row>
    <row r="2470" spans="30:33" x14ac:dyDescent="0.25">
      <c r="AD2470" s="2" t="str">
        <f t="shared" si="114"/>
        <v/>
      </c>
      <c r="AE2470" s="2" t="str">
        <f t="shared" si="115"/>
        <v/>
      </c>
      <c r="AF2470" s="2" t="str">
        <f t="shared" si="116"/>
        <v/>
      </c>
      <c r="AG2470" s="2" t="str">
        <f>IF($L2470="","",IF(COUNTIF(LISTS!$A$2:$A$200,$H2470)=0,"NEW",""))</f>
        <v/>
      </c>
    </row>
    <row r="2471" spans="30:33" x14ac:dyDescent="0.25">
      <c r="AD2471" s="2" t="str">
        <f t="shared" si="114"/>
        <v/>
      </c>
      <c r="AE2471" s="2" t="str">
        <f t="shared" si="115"/>
        <v/>
      </c>
      <c r="AF2471" s="2" t="str">
        <f t="shared" si="116"/>
        <v/>
      </c>
      <c r="AG2471" s="2" t="str">
        <f>IF($L2471="","",IF(COUNTIF(LISTS!$A$2:$A$200,$H2471)=0,"NEW",""))</f>
        <v/>
      </c>
    </row>
    <row r="2472" spans="30:33" x14ac:dyDescent="0.25">
      <c r="AD2472" s="2" t="str">
        <f t="shared" si="114"/>
        <v/>
      </c>
      <c r="AE2472" s="2" t="str">
        <f t="shared" si="115"/>
        <v/>
      </c>
      <c r="AF2472" s="2" t="str">
        <f t="shared" si="116"/>
        <v/>
      </c>
      <c r="AG2472" s="2" t="str">
        <f>IF($L2472="","",IF(COUNTIF(LISTS!$A$2:$A$200,$H2472)=0,"NEW",""))</f>
        <v/>
      </c>
    </row>
    <row r="2473" spans="30:33" x14ac:dyDescent="0.25">
      <c r="AD2473" s="2" t="str">
        <f t="shared" si="114"/>
        <v/>
      </c>
      <c r="AE2473" s="2" t="str">
        <f t="shared" si="115"/>
        <v/>
      </c>
      <c r="AF2473" s="2" t="str">
        <f t="shared" si="116"/>
        <v/>
      </c>
      <c r="AG2473" s="2" t="str">
        <f>IF($L2473="","",IF(COUNTIF(LISTS!$A$2:$A$200,$H2473)=0,"NEW",""))</f>
        <v/>
      </c>
    </row>
    <row r="2474" spans="30:33" x14ac:dyDescent="0.25">
      <c r="AD2474" s="2" t="str">
        <f t="shared" si="114"/>
        <v/>
      </c>
      <c r="AE2474" s="2" t="str">
        <f t="shared" si="115"/>
        <v/>
      </c>
      <c r="AF2474" s="2" t="str">
        <f t="shared" si="116"/>
        <v/>
      </c>
      <c r="AG2474" s="2" t="str">
        <f>IF($L2474="","",IF(COUNTIF(LISTS!$A$2:$A$200,$H2474)=0,"NEW",""))</f>
        <v/>
      </c>
    </row>
    <row r="2475" spans="30:33" x14ac:dyDescent="0.25">
      <c r="AD2475" s="2" t="str">
        <f t="shared" si="114"/>
        <v/>
      </c>
      <c r="AE2475" s="2" t="str">
        <f t="shared" si="115"/>
        <v/>
      </c>
      <c r="AF2475" s="2" t="str">
        <f t="shared" si="116"/>
        <v/>
      </c>
      <c r="AG2475" s="2" t="str">
        <f>IF($L2475="","",IF(COUNTIF(LISTS!$A$2:$A$200,$H2475)=0,"NEW",""))</f>
        <v/>
      </c>
    </row>
    <row r="2476" spans="30:33" x14ac:dyDescent="0.25">
      <c r="AD2476" s="2" t="str">
        <f t="shared" si="114"/>
        <v/>
      </c>
      <c r="AE2476" s="2" t="str">
        <f t="shared" si="115"/>
        <v/>
      </c>
      <c r="AF2476" s="2" t="str">
        <f t="shared" si="116"/>
        <v/>
      </c>
      <c r="AG2476" s="2" t="str">
        <f>IF($L2476="","",IF(COUNTIF(LISTS!$A$2:$A$200,$H2476)=0,"NEW",""))</f>
        <v/>
      </c>
    </row>
    <row r="2477" spans="30:33" x14ac:dyDescent="0.25">
      <c r="AD2477" s="2" t="str">
        <f t="shared" si="114"/>
        <v/>
      </c>
      <c r="AE2477" s="2" t="str">
        <f t="shared" si="115"/>
        <v/>
      </c>
      <c r="AF2477" s="2" t="str">
        <f t="shared" si="116"/>
        <v/>
      </c>
      <c r="AG2477" s="2" t="str">
        <f>IF($L2477="","",IF(COUNTIF(LISTS!$A$2:$A$200,$H2477)=0,"NEW",""))</f>
        <v/>
      </c>
    </row>
    <row r="2478" spans="30:33" x14ac:dyDescent="0.25">
      <c r="AD2478" s="2" t="str">
        <f t="shared" si="114"/>
        <v/>
      </c>
      <c r="AE2478" s="2" t="str">
        <f t="shared" si="115"/>
        <v/>
      </c>
      <c r="AF2478" s="2" t="str">
        <f t="shared" si="116"/>
        <v/>
      </c>
      <c r="AG2478" s="2" t="str">
        <f>IF($L2478="","",IF(COUNTIF(LISTS!$A$2:$A$200,$H2478)=0,"NEW",""))</f>
        <v/>
      </c>
    </row>
    <row r="2479" spans="30:33" x14ac:dyDescent="0.25">
      <c r="AD2479" s="2" t="str">
        <f t="shared" si="114"/>
        <v/>
      </c>
      <c r="AE2479" s="2" t="str">
        <f t="shared" si="115"/>
        <v/>
      </c>
      <c r="AF2479" s="2" t="str">
        <f t="shared" si="116"/>
        <v/>
      </c>
      <c r="AG2479" s="2" t="str">
        <f>IF($L2479="","",IF(COUNTIF(LISTS!$A$2:$A$200,$H2479)=0,"NEW",""))</f>
        <v/>
      </c>
    </row>
    <row r="2480" spans="30:33" x14ac:dyDescent="0.25">
      <c r="AD2480" s="2" t="str">
        <f t="shared" si="114"/>
        <v/>
      </c>
      <c r="AE2480" s="2" t="str">
        <f t="shared" si="115"/>
        <v/>
      </c>
      <c r="AF2480" s="2" t="str">
        <f t="shared" si="116"/>
        <v/>
      </c>
      <c r="AG2480" s="2" t="str">
        <f>IF($L2480="","",IF(COUNTIF(LISTS!$A$2:$A$200,$H2480)=0,"NEW",""))</f>
        <v/>
      </c>
    </row>
    <row r="2481" spans="30:33" x14ac:dyDescent="0.25">
      <c r="AD2481" s="2" t="str">
        <f t="shared" si="114"/>
        <v/>
      </c>
      <c r="AE2481" s="2" t="str">
        <f t="shared" si="115"/>
        <v/>
      </c>
      <c r="AF2481" s="2" t="str">
        <f t="shared" si="116"/>
        <v/>
      </c>
      <c r="AG2481" s="2" t="str">
        <f>IF($L2481="","",IF(COUNTIF(LISTS!$A$2:$A$200,$H2481)=0,"NEW",""))</f>
        <v/>
      </c>
    </row>
    <row r="2482" spans="30:33" x14ac:dyDescent="0.25">
      <c r="AD2482" s="2" t="str">
        <f t="shared" si="114"/>
        <v/>
      </c>
      <c r="AE2482" s="2" t="str">
        <f t="shared" si="115"/>
        <v/>
      </c>
      <c r="AF2482" s="2" t="str">
        <f t="shared" si="116"/>
        <v/>
      </c>
      <c r="AG2482" s="2" t="str">
        <f>IF($L2482="","",IF(COUNTIF(LISTS!$A$2:$A$200,$H2482)=0,"NEW",""))</f>
        <v/>
      </c>
    </row>
    <row r="2483" spans="30:33" x14ac:dyDescent="0.25">
      <c r="AD2483" s="2" t="str">
        <f t="shared" si="114"/>
        <v/>
      </c>
      <c r="AE2483" s="2" t="str">
        <f t="shared" si="115"/>
        <v/>
      </c>
      <c r="AF2483" s="2" t="str">
        <f t="shared" si="116"/>
        <v/>
      </c>
      <c r="AG2483" s="2" t="str">
        <f>IF($L2483="","",IF(COUNTIF(LISTS!$A$2:$A$200,$H2483)=0,"NEW",""))</f>
        <v/>
      </c>
    </row>
    <row r="2484" spans="30:33" x14ac:dyDescent="0.25">
      <c r="AD2484" s="2" t="str">
        <f t="shared" si="114"/>
        <v/>
      </c>
      <c r="AE2484" s="2" t="str">
        <f t="shared" si="115"/>
        <v/>
      </c>
      <c r="AF2484" s="2" t="str">
        <f t="shared" si="116"/>
        <v/>
      </c>
      <c r="AG2484" s="2" t="str">
        <f>IF($L2484="","",IF(COUNTIF(LISTS!$A$2:$A$200,$H2484)=0,"NEW",""))</f>
        <v/>
      </c>
    </row>
    <row r="2485" spans="30:33" x14ac:dyDescent="0.25">
      <c r="AD2485" s="2" t="str">
        <f t="shared" si="114"/>
        <v/>
      </c>
      <c r="AE2485" s="2" t="str">
        <f t="shared" si="115"/>
        <v/>
      </c>
      <c r="AF2485" s="2" t="str">
        <f t="shared" si="116"/>
        <v/>
      </c>
      <c r="AG2485" s="2" t="str">
        <f>IF($L2485="","",IF(COUNTIF(LISTS!$A$2:$A$200,$H2485)=0,"NEW",""))</f>
        <v/>
      </c>
    </row>
    <row r="2486" spans="30:33" x14ac:dyDescent="0.25">
      <c r="AD2486" s="2" t="str">
        <f t="shared" si="114"/>
        <v/>
      </c>
      <c r="AE2486" s="2" t="str">
        <f t="shared" si="115"/>
        <v/>
      </c>
      <c r="AF2486" s="2" t="str">
        <f t="shared" si="116"/>
        <v/>
      </c>
      <c r="AG2486" s="2" t="str">
        <f>IF($L2486="","",IF(COUNTIF(LISTS!$A$2:$A$200,$H2486)=0,"NEW",""))</f>
        <v/>
      </c>
    </row>
    <row r="2487" spans="30:33" x14ac:dyDescent="0.25">
      <c r="AD2487" s="2" t="str">
        <f t="shared" si="114"/>
        <v/>
      </c>
      <c r="AE2487" s="2" t="str">
        <f t="shared" si="115"/>
        <v/>
      </c>
      <c r="AF2487" s="2" t="str">
        <f t="shared" si="116"/>
        <v/>
      </c>
      <c r="AG2487" s="2" t="str">
        <f>IF($L2487="","",IF(COUNTIF(LISTS!$A$2:$A$200,$H2487)=0,"NEW",""))</f>
        <v/>
      </c>
    </row>
    <row r="2488" spans="30:33" x14ac:dyDescent="0.25">
      <c r="AD2488" s="2" t="str">
        <f t="shared" si="114"/>
        <v/>
      </c>
      <c r="AE2488" s="2" t="str">
        <f t="shared" si="115"/>
        <v/>
      </c>
      <c r="AF2488" s="2" t="str">
        <f t="shared" si="116"/>
        <v/>
      </c>
      <c r="AG2488" s="2" t="str">
        <f>IF($L2488="","",IF(COUNTIF(LISTS!$A$2:$A$200,$H2488)=0,"NEW",""))</f>
        <v/>
      </c>
    </row>
    <row r="2489" spans="30:33" x14ac:dyDescent="0.25">
      <c r="AD2489" s="2" t="str">
        <f t="shared" si="114"/>
        <v/>
      </c>
      <c r="AE2489" s="2" t="str">
        <f t="shared" si="115"/>
        <v/>
      </c>
      <c r="AF2489" s="2" t="str">
        <f t="shared" si="116"/>
        <v/>
      </c>
      <c r="AG2489" s="2" t="str">
        <f>IF($L2489="","",IF(COUNTIF(LISTS!$A$2:$A$200,$H2489)=0,"NEW",""))</f>
        <v/>
      </c>
    </row>
    <row r="2490" spans="30:33" x14ac:dyDescent="0.25">
      <c r="AD2490" s="2" t="str">
        <f t="shared" si="114"/>
        <v/>
      </c>
      <c r="AE2490" s="2" t="str">
        <f t="shared" si="115"/>
        <v/>
      </c>
      <c r="AF2490" s="2" t="str">
        <f t="shared" si="116"/>
        <v/>
      </c>
      <c r="AG2490" s="2" t="str">
        <f>IF($L2490="","",IF(COUNTIF(LISTS!$A$2:$A$200,$H2490)=0,"NEW",""))</f>
        <v/>
      </c>
    </row>
    <row r="2491" spans="30:33" x14ac:dyDescent="0.25">
      <c r="AD2491" s="2" t="str">
        <f t="shared" si="114"/>
        <v/>
      </c>
      <c r="AE2491" s="2" t="str">
        <f t="shared" si="115"/>
        <v/>
      </c>
      <c r="AF2491" s="2" t="str">
        <f t="shared" si="116"/>
        <v/>
      </c>
      <c r="AG2491" s="2" t="str">
        <f>IF($L2491="","",IF(COUNTIF(LISTS!$A$2:$A$200,$H2491)=0,"NEW",""))</f>
        <v/>
      </c>
    </row>
    <row r="2492" spans="30:33" x14ac:dyDescent="0.25">
      <c r="AD2492" s="2" t="str">
        <f t="shared" si="114"/>
        <v/>
      </c>
      <c r="AE2492" s="2" t="str">
        <f t="shared" si="115"/>
        <v/>
      </c>
      <c r="AF2492" s="2" t="str">
        <f t="shared" si="116"/>
        <v/>
      </c>
      <c r="AG2492" s="2" t="str">
        <f>IF($L2492="","",IF(COUNTIF(LISTS!$A$2:$A$200,$H2492)=0,"NEW",""))</f>
        <v/>
      </c>
    </row>
    <row r="2493" spans="30:33" x14ac:dyDescent="0.25">
      <c r="AD2493" s="2" t="str">
        <f t="shared" si="114"/>
        <v/>
      </c>
      <c r="AE2493" s="2" t="str">
        <f t="shared" si="115"/>
        <v/>
      </c>
      <c r="AF2493" s="2" t="str">
        <f t="shared" si="116"/>
        <v/>
      </c>
      <c r="AG2493" s="2" t="str">
        <f>IF($L2493="","",IF(COUNTIF(LISTS!$A$2:$A$200,$H2493)=0,"NEW",""))</f>
        <v/>
      </c>
    </row>
    <row r="2494" spans="30:33" x14ac:dyDescent="0.25">
      <c r="AD2494" s="2" t="str">
        <f t="shared" si="114"/>
        <v/>
      </c>
      <c r="AE2494" s="2" t="str">
        <f t="shared" si="115"/>
        <v/>
      </c>
      <c r="AF2494" s="2" t="str">
        <f t="shared" si="116"/>
        <v/>
      </c>
      <c r="AG2494" s="2" t="str">
        <f>IF($L2494="","",IF(COUNTIF(LISTS!$A$2:$A$200,$H2494)=0,"NEW",""))</f>
        <v/>
      </c>
    </row>
    <row r="2495" spans="30:33" x14ac:dyDescent="0.25">
      <c r="AD2495" s="2" t="str">
        <f t="shared" si="114"/>
        <v/>
      </c>
      <c r="AE2495" s="2" t="str">
        <f t="shared" si="115"/>
        <v/>
      </c>
      <c r="AF2495" s="2" t="str">
        <f t="shared" si="116"/>
        <v/>
      </c>
      <c r="AG2495" s="2" t="str">
        <f>IF($L2495="","",IF(COUNTIF(LISTS!$A$2:$A$200,$H2495)=0,"NEW",""))</f>
        <v/>
      </c>
    </row>
    <row r="2496" spans="30:33" x14ac:dyDescent="0.25">
      <c r="AD2496" s="2" t="str">
        <f t="shared" si="114"/>
        <v/>
      </c>
      <c r="AE2496" s="2" t="str">
        <f t="shared" si="115"/>
        <v/>
      </c>
      <c r="AF2496" s="2" t="str">
        <f t="shared" si="116"/>
        <v/>
      </c>
      <c r="AG2496" s="2" t="str">
        <f>IF($L2496="","",IF(COUNTIF(LISTS!$A$2:$A$200,$H2496)=0,"NEW",""))</f>
        <v/>
      </c>
    </row>
    <row r="2497" spans="30:33" x14ac:dyDescent="0.25">
      <c r="AD2497" s="2" t="str">
        <f t="shared" si="114"/>
        <v/>
      </c>
      <c r="AE2497" s="2" t="str">
        <f t="shared" si="115"/>
        <v/>
      </c>
      <c r="AF2497" s="2" t="str">
        <f t="shared" si="116"/>
        <v/>
      </c>
      <c r="AG2497" s="2" t="str">
        <f>IF($L2497="","",IF(COUNTIF(LISTS!$A$2:$A$200,$H2497)=0,"NEW",""))</f>
        <v/>
      </c>
    </row>
    <row r="2498" spans="30:33" x14ac:dyDescent="0.25">
      <c r="AD2498" s="2" t="str">
        <f t="shared" si="114"/>
        <v/>
      </c>
      <c r="AE2498" s="2" t="str">
        <f t="shared" si="115"/>
        <v/>
      </c>
      <c r="AF2498" s="2" t="str">
        <f t="shared" si="116"/>
        <v/>
      </c>
      <c r="AG2498" s="2" t="str">
        <f>IF($L2498="","",IF(COUNTIF(LISTS!$A$2:$A$200,$H2498)=0,"NEW",""))</f>
        <v/>
      </c>
    </row>
    <row r="2499" spans="30:33" x14ac:dyDescent="0.25">
      <c r="AD2499" s="2" t="str">
        <f t="shared" si="114"/>
        <v/>
      </c>
      <c r="AE2499" s="2" t="str">
        <f t="shared" si="115"/>
        <v/>
      </c>
      <c r="AF2499" s="2" t="str">
        <f t="shared" si="116"/>
        <v/>
      </c>
      <c r="AG2499" s="2" t="str">
        <f>IF($L2499="","",IF(COUNTIF(LISTS!$A$2:$A$200,$H2499)=0,"NEW",""))</f>
        <v/>
      </c>
    </row>
    <row r="2500" spans="30:33" x14ac:dyDescent="0.25">
      <c r="AD2500" s="2" t="str">
        <f t="shared" si="114"/>
        <v/>
      </c>
      <c r="AE2500" s="2" t="str">
        <f t="shared" si="115"/>
        <v/>
      </c>
      <c r="AF2500" s="2" t="str">
        <f t="shared" si="116"/>
        <v/>
      </c>
      <c r="AG2500" s="2" t="str">
        <f>IF($L2500="","",IF(COUNTIF(LISTS!$A$2:$A$200,$H2500)=0,"NEW",""))</f>
        <v/>
      </c>
    </row>
    <row r="2501" spans="30:33" x14ac:dyDescent="0.25">
      <c r="AD2501" s="2" t="str">
        <f t="shared" si="114"/>
        <v/>
      </c>
      <c r="AE2501" s="2" t="str">
        <f t="shared" si="115"/>
        <v/>
      </c>
      <c r="AF2501" s="2" t="str">
        <f t="shared" si="116"/>
        <v/>
      </c>
      <c r="AG2501" s="2" t="str">
        <f>IF($L2501="","",IF(COUNTIF(LISTS!$A$2:$A$200,$H2501)=0,"NEW",""))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4472C4"/>
  </sheetPr>
  <dimension ref="A1:BB4001"/>
  <sheetViews>
    <sheetView workbookViewId="0">
      <pane ySplit="1" topLeftCell="A2" activePane="bottomLeft" state="frozen"/>
      <selection pane="bottomLeft"/>
    </sheetView>
  </sheetViews>
  <sheetFormatPr defaultRowHeight="15" outlineLevelCol="1" x14ac:dyDescent="0.25"/>
  <cols>
    <col min="46" max="54" width="13" hidden="1" customWidth="1" outlineLevel="1"/>
  </cols>
  <sheetData>
    <row r="1" spans="1:54" x14ac:dyDescent="0.25">
      <c r="A1" s="9" t="s">
        <v>487</v>
      </c>
      <c r="B1" s="9" t="s">
        <v>503</v>
      </c>
      <c r="C1" s="9" t="s">
        <v>486</v>
      </c>
      <c r="D1" s="9" t="s">
        <v>504</v>
      </c>
      <c r="E1" s="9" t="s">
        <v>505</v>
      </c>
      <c r="F1" s="9" t="s">
        <v>506</v>
      </c>
      <c r="G1" s="9" t="s">
        <v>507</v>
      </c>
      <c r="H1" s="9" t="s">
        <v>483</v>
      </c>
      <c r="I1" s="9" t="s">
        <v>490</v>
      </c>
      <c r="J1" s="9" t="s">
        <v>491</v>
      </c>
      <c r="K1" s="9" t="s">
        <v>492</v>
      </c>
      <c r="L1" s="9" t="s">
        <v>482</v>
      </c>
      <c r="M1" s="9" t="s">
        <v>508</v>
      </c>
      <c r="N1" s="9" t="s">
        <v>509</v>
      </c>
      <c r="O1" s="9" t="s">
        <v>207</v>
      </c>
      <c r="P1" s="9" t="s">
        <v>481</v>
      </c>
      <c r="Q1" s="9" t="s">
        <v>510</v>
      </c>
      <c r="R1" s="9" t="s">
        <v>511</v>
      </c>
      <c r="S1" s="9" t="s">
        <v>512</v>
      </c>
      <c r="T1" s="9" t="s">
        <v>513</v>
      </c>
      <c r="U1" s="9" t="s">
        <v>514</v>
      </c>
      <c r="V1" s="9" t="s">
        <v>515</v>
      </c>
      <c r="W1" s="9" t="s">
        <v>516</v>
      </c>
      <c r="X1" s="9" t="s">
        <v>517</v>
      </c>
      <c r="Y1" s="9" t="s">
        <v>518</v>
      </c>
      <c r="Z1" s="9" t="s">
        <v>519</v>
      </c>
      <c r="AA1" s="9" t="s">
        <v>520</v>
      </c>
      <c r="AB1" s="9" t="s">
        <v>521</v>
      </c>
      <c r="AC1" s="9" t="s">
        <v>522</v>
      </c>
      <c r="AD1" s="9" t="s">
        <v>523</v>
      </c>
      <c r="AE1" s="9" t="s">
        <v>524</v>
      </c>
      <c r="AF1" s="9" t="s">
        <v>484</v>
      </c>
      <c r="AG1" s="9" t="s">
        <v>485</v>
      </c>
      <c r="AH1" s="9" t="s">
        <v>473</v>
      </c>
      <c r="AI1" s="9" t="s">
        <v>525</v>
      </c>
      <c r="AJ1" s="9" t="s">
        <v>526</v>
      </c>
      <c r="AK1" s="9" t="s">
        <v>527</v>
      </c>
      <c r="AL1" s="9" t="s">
        <v>528</v>
      </c>
      <c r="AM1" s="9" t="s">
        <v>529</v>
      </c>
      <c r="AN1" s="9" t="s">
        <v>530</v>
      </c>
      <c r="AO1" s="9" t="s">
        <v>531</v>
      </c>
      <c r="AP1" s="9" t="s">
        <v>532</v>
      </c>
      <c r="AQ1" s="9" t="s">
        <v>533</v>
      </c>
      <c r="AR1" s="9" t="s">
        <v>534</v>
      </c>
      <c r="AS1" s="9" t="s">
        <v>535</v>
      </c>
      <c r="AT1" s="9" t="s">
        <v>536</v>
      </c>
      <c r="AU1" s="9" t="s">
        <v>537</v>
      </c>
      <c r="AV1" s="9" t="s">
        <v>538</v>
      </c>
      <c r="AW1" s="9" t="s">
        <v>539</v>
      </c>
      <c r="AX1" s="9" t="s">
        <v>540</v>
      </c>
      <c r="AY1" s="9" t="s">
        <v>541</v>
      </c>
      <c r="AZ1" s="9" t="s">
        <v>542</v>
      </c>
      <c r="BA1" s="9" t="s">
        <v>543</v>
      </c>
      <c r="BB1" s="9" t="s">
        <v>544</v>
      </c>
    </row>
    <row r="2" spans="1:54" x14ac:dyDescent="0.25">
      <c r="AT2" s="2" t="str">
        <f>IF($L2="","",IFERROR(INDEX('AR SALES'!$H$2:$H$2501,MATCH(""&amp;$L2,'AR SALES'!$AE$2:$AE$2501,0)),""))</f>
        <v/>
      </c>
      <c r="AU2" s="2" t="str">
        <f t="shared" ref="AU2:AU65" si="0">IF($L2="","",IF($A2&lt;&gt;"GA","",IF($E2="FULTON",IF(ISNUMBER(SEARCH("COLLEGE PARK",$AT2)),"FULTON (COLLEGE PARK)",IF(ISNUMBER(SEARCH("ATLANTA CITY",$AT2)),"FULTON (ATL LIMITS)","FULTON")),IF($E2="DEKALB",IF(ISNUMBER(SEARCH("ATLANTA CITY",$AT2)),"DEKALB (ATL LIMITS)","DEKALB"),$E2))))</f>
        <v/>
      </c>
      <c r="AV2" s="2" t="str">
        <f t="shared" ref="AV2:AV65" si="1">IF($L2="","",IF(""&amp;$F2="2","DIESEL",IF(OR(""&amp;$F2="G",""&amp;$F2="H"),"GAS","")))</f>
        <v/>
      </c>
      <c r="AW2" s="2" t="str">
        <f t="shared" ref="AW2:AW65" si="2">IF($AV2="","",$R2)</f>
        <v/>
      </c>
      <c r="AX2" s="2" t="str">
        <f t="shared" ref="AX2:AX65" si="3">IF($AV2="","",IF($AB2=0,$R2,0))</f>
        <v/>
      </c>
      <c r="AY2" s="2" t="str">
        <f>IF($AV2="","",IF(AND($Z2=0,COUNTIF('AR SALES'!$L$2:$L$2501,$L2)=0),"YES",""))</f>
        <v/>
      </c>
      <c r="AZ2" s="2" t="str">
        <f>IF($AV2="","",IF(COUNTIF(LISTS!$C$2:$C$250,$AU2)=0,"NEW",""))</f>
        <v/>
      </c>
      <c r="BA2" s="2" t="str">
        <f>IF(""&amp;$F2&lt;&gt;"4","",IF($AY2="YES","",IF(ROUND(SUMIFS($AE$2:$AE$4001,$L$2:$L$4001,$L2,$F$2:$F$4001,"4")-SUMIFS('AR SALES'!$Y$2:$Y$2501,'AR SALES'!$L$2:$L$2501,$L2,'AR SALES'!$AD$2:$AD$2501,"OFF"),2)=0,"","STALE")))</f>
        <v/>
      </c>
      <c r="BB2" s="2" t="str">
        <f>IF(OR(""&amp;$F2="2",""&amp;$F2="4",""&amp;$F2="G",""&amp;$F2="H"),IF($AY2="YES","",IF($AB2&lt;&gt;0,"",IF(COUNTIFS('AR SALES'!$L$2:$L$2501,$L2,'AR SALES'!$AD$2:$AD$2501,IF(""&amp;$F2="4","OFF","ON"),'AR SALES'!$AF$2:$AF$2501,"Y")&gt;0,"","NO EXEMPTION"))),"")</f>
        <v/>
      </c>
    </row>
    <row r="3" spans="1:54" x14ac:dyDescent="0.25">
      <c r="AT3" s="2" t="str">
        <f>IF($L3="","",IFERROR(INDEX('AR SALES'!$H$2:$H$2501,MATCH(""&amp;$L3,'AR SALES'!$AE$2:$AE$2501,0)),""))</f>
        <v/>
      </c>
      <c r="AU3" s="2" t="str">
        <f t="shared" si="0"/>
        <v/>
      </c>
      <c r="AV3" s="2" t="str">
        <f t="shared" si="1"/>
        <v/>
      </c>
      <c r="AW3" s="2" t="str">
        <f t="shared" si="2"/>
        <v/>
      </c>
      <c r="AX3" s="2" t="str">
        <f t="shared" si="3"/>
        <v/>
      </c>
      <c r="AY3" s="2" t="str">
        <f>IF($AV3="","",IF(AND($Z3=0,COUNTIF('AR SALES'!$L$2:$L$2501,$L3)=0),"YES",""))</f>
        <v/>
      </c>
      <c r="AZ3" s="2" t="str">
        <f>IF($AV3="","",IF(COUNTIF(LISTS!$C$2:$C$250,$AU3)=0,"NEW",""))</f>
        <v/>
      </c>
      <c r="BA3" s="2" t="str">
        <f>IF(""&amp;$F3&lt;&gt;"4","",IF($AY3="YES","",IF(ROUND(SUMIFS($AE$2:$AE$4001,$L$2:$L$4001,$L3,$F$2:$F$4001,"4")-SUMIFS('AR SALES'!$Y$2:$Y$2501,'AR SALES'!$L$2:$L$2501,$L3,'AR SALES'!$AD$2:$AD$2501,"OFF"),2)=0,"","STALE")))</f>
        <v/>
      </c>
      <c r="BB3" s="2" t="str">
        <f>IF(OR(""&amp;$F3="2",""&amp;$F3="4",""&amp;$F3="G",""&amp;$F3="H"),IF($AY3="YES","",IF($AB3&lt;&gt;0,"",IF(COUNTIFS('AR SALES'!$L$2:$L$2501,$L3,'AR SALES'!$AD$2:$AD$2501,IF(""&amp;$F3="4","OFF","ON"),'AR SALES'!$AF$2:$AF$2501,"Y")&gt;0,"","NO EXEMPTION"))),"")</f>
        <v/>
      </c>
    </row>
    <row r="4" spans="1:54" x14ac:dyDescent="0.25">
      <c r="AT4" s="2" t="str">
        <f>IF($L4="","",IFERROR(INDEX('AR SALES'!$H$2:$H$2501,MATCH(""&amp;$L4,'AR SALES'!$AE$2:$AE$2501,0)),""))</f>
        <v/>
      </c>
      <c r="AU4" s="2" t="str">
        <f t="shared" si="0"/>
        <v/>
      </c>
      <c r="AV4" s="2" t="str">
        <f t="shared" si="1"/>
        <v/>
      </c>
      <c r="AW4" s="2" t="str">
        <f t="shared" si="2"/>
        <v/>
      </c>
      <c r="AX4" s="2" t="str">
        <f t="shared" si="3"/>
        <v/>
      </c>
      <c r="AY4" s="2" t="str">
        <f>IF($AV4="","",IF(AND($Z4=0,COUNTIF('AR SALES'!$L$2:$L$2501,$L4)=0),"YES",""))</f>
        <v/>
      </c>
      <c r="AZ4" s="2" t="str">
        <f>IF($AV4="","",IF(COUNTIF(LISTS!$C$2:$C$250,$AU4)=0,"NEW",""))</f>
        <v/>
      </c>
      <c r="BA4" s="2" t="str">
        <f>IF(""&amp;$F4&lt;&gt;"4","",IF($AY4="YES","",IF(ROUND(SUMIFS($AE$2:$AE$4001,$L$2:$L$4001,$L4,$F$2:$F$4001,"4")-SUMIFS('AR SALES'!$Y$2:$Y$2501,'AR SALES'!$L$2:$L$2501,$L4,'AR SALES'!$AD$2:$AD$2501,"OFF"),2)=0,"","STALE")))</f>
        <v/>
      </c>
      <c r="BB4" s="2" t="str">
        <f>IF(OR(""&amp;$F4="2",""&amp;$F4="4",""&amp;$F4="G",""&amp;$F4="H"),IF($AY4="YES","",IF($AB4&lt;&gt;0,"",IF(COUNTIFS('AR SALES'!$L$2:$L$2501,$L4,'AR SALES'!$AD$2:$AD$2501,IF(""&amp;$F4="4","OFF","ON"),'AR SALES'!$AF$2:$AF$2501,"Y")&gt;0,"","NO EXEMPTION"))),"")</f>
        <v/>
      </c>
    </row>
    <row r="5" spans="1:54" x14ac:dyDescent="0.25">
      <c r="AT5" s="2" t="str">
        <f>IF($L5="","",IFERROR(INDEX('AR SALES'!$H$2:$H$2501,MATCH(""&amp;$L5,'AR SALES'!$AE$2:$AE$2501,0)),""))</f>
        <v/>
      </c>
      <c r="AU5" s="2" t="str">
        <f t="shared" si="0"/>
        <v/>
      </c>
      <c r="AV5" s="2" t="str">
        <f t="shared" si="1"/>
        <v/>
      </c>
      <c r="AW5" s="2" t="str">
        <f t="shared" si="2"/>
        <v/>
      </c>
      <c r="AX5" s="2" t="str">
        <f t="shared" si="3"/>
        <v/>
      </c>
      <c r="AY5" s="2" t="str">
        <f>IF($AV5="","",IF(AND($Z5=0,COUNTIF('AR SALES'!$L$2:$L$2501,$L5)=0),"YES",""))</f>
        <v/>
      </c>
      <c r="AZ5" s="2" t="str">
        <f>IF($AV5="","",IF(COUNTIF(LISTS!$C$2:$C$250,$AU5)=0,"NEW",""))</f>
        <v/>
      </c>
      <c r="BA5" s="2" t="str">
        <f>IF(""&amp;$F5&lt;&gt;"4","",IF($AY5="YES","",IF(ROUND(SUMIFS($AE$2:$AE$4001,$L$2:$L$4001,$L5,$F$2:$F$4001,"4")-SUMIFS('AR SALES'!$Y$2:$Y$2501,'AR SALES'!$L$2:$L$2501,$L5,'AR SALES'!$AD$2:$AD$2501,"OFF"),2)=0,"","STALE")))</f>
        <v/>
      </c>
      <c r="BB5" s="2" t="str">
        <f>IF(OR(""&amp;$F5="2",""&amp;$F5="4",""&amp;$F5="G",""&amp;$F5="H"),IF($AY5="YES","",IF($AB5&lt;&gt;0,"",IF(COUNTIFS('AR SALES'!$L$2:$L$2501,$L5,'AR SALES'!$AD$2:$AD$2501,IF(""&amp;$F5="4","OFF","ON"),'AR SALES'!$AF$2:$AF$2501,"Y")&gt;0,"","NO EXEMPTION"))),"")</f>
        <v/>
      </c>
    </row>
    <row r="6" spans="1:54" x14ac:dyDescent="0.25">
      <c r="AT6" s="2" t="str">
        <f>IF($L6="","",IFERROR(INDEX('AR SALES'!$H$2:$H$2501,MATCH(""&amp;$L6,'AR SALES'!$AE$2:$AE$2501,0)),""))</f>
        <v/>
      </c>
      <c r="AU6" s="2" t="str">
        <f t="shared" si="0"/>
        <v/>
      </c>
      <c r="AV6" s="2" t="str">
        <f t="shared" si="1"/>
        <v/>
      </c>
      <c r="AW6" s="2" t="str">
        <f t="shared" si="2"/>
        <v/>
      </c>
      <c r="AX6" s="2" t="str">
        <f t="shared" si="3"/>
        <v/>
      </c>
      <c r="AY6" s="2" t="str">
        <f>IF($AV6="","",IF(AND($Z6=0,COUNTIF('AR SALES'!$L$2:$L$2501,$L6)=0),"YES",""))</f>
        <v/>
      </c>
      <c r="AZ6" s="2" t="str">
        <f>IF($AV6="","",IF(COUNTIF(LISTS!$C$2:$C$250,$AU6)=0,"NEW",""))</f>
        <v/>
      </c>
      <c r="BA6" s="2" t="str">
        <f>IF(""&amp;$F6&lt;&gt;"4","",IF($AY6="YES","",IF(ROUND(SUMIFS($AE$2:$AE$4001,$L$2:$L$4001,$L6,$F$2:$F$4001,"4")-SUMIFS('AR SALES'!$Y$2:$Y$2501,'AR SALES'!$L$2:$L$2501,$L6,'AR SALES'!$AD$2:$AD$2501,"OFF"),2)=0,"","STALE")))</f>
        <v/>
      </c>
      <c r="BB6" s="2" t="str">
        <f>IF(OR(""&amp;$F6="2",""&amp;$F6="4",""&amp;$F6="G",""&amp;$F6="H"),IF($AY6="YES","",IF($AB6&lt;&gt;0,"",IF(COUNTIFS('AR SALES'!$L$2:$L$2501,$L6,'AR SALES'!$AD$2:$AD$2501,IF(""&amp;$F6="4","OFF","ON"),'AR SALES'!$AF$2:$AF$2501,"Y")&gt;0,"","NO EXEMPTION"))),"")</f>
        <v/>
      </c>
    </row>
    <row r="7" spans="1:54" x14ac:dyDescent="0.25">
      <c r="AT7" s="2" t="str">
        <f>IF($L7="","",IFERROR(INDEX('AR SALES'!$H$2:$H$2501,MATCH(""&amp;$L7,'AR SALES'!$AE$2:$AE$2501,0)),""))</f>
        <v/>
      </c>
      <c r="AU7" s="2" t="str">
        <f t="shared" si="0"/>
        <v/>
      </c>
      <c r="AV7" s="2" t="str">
        <f t="shared" si="1"/>
        <v/>
      </c>
      <c r="AW7" s="2" t="str">
        <f t="shared" si="2"/>
        <v/>
      </c>
      <c r="AX7" s="2" t="str">
        <f t="shared" si="3"/>
        <v/>
      </c>
      <c r="AY7" s="2" t="str">
        <f>IF($AV7="","",IF(AND($Z7=0,COUNTIF('AR SALES'!$L$2:$L$2501,$L7)=0),"YES",""))</f>
        <v/>
      </c>
      <c r="AZ7" s="2" t="str">
        <f>IF($AV7="","",IF(COUNTIF(LISTS!$C$2:$C$250,$AU7)=0,"NEW",""))</f>
        <v/>
      </c>
      <c r="BA7" s="2" t="str">
        <f>IF(""&amp;$F7&lt;&gt;"4","",IF($AY7="YES","",IF(ROUND(SUMIFS($AE$2:$AE$4001,$L$2:$L$4001,$L7,$F$2:$F$4001,"4")-SUMIFS('AR SALES'!$Y$2:$Y$2501,'AR SALES'!$L$2:$L$2501,$L7,'AR SALES'!$AD$2:$AD$2501,"OFF"),2)=0,"","STALE")))</f>
        <v/>
      </c>
      <c r="BB7" s="2" t="str">
        <f>IF(OR(""&amp;$F7="2",""&amp;$F7="4",""&amp;$F7="G",""&amp;$F7="H"),IF($AY7="YES","",IF($AB7&lt;&gt;0,"",IF(COUNTIFS('AR SALES'!$L$2:$L$2501,$L7,'AR SALES'!$AD$2:$AD$2501,IF(""&amp;$F7="4","OFF","ON"),'AR SALES'!$AF$2:$AF$2501,"Y")&gt;0,"","NO EXEMPTION"))),"")</f>
        <v/>
      </c>
    </row>
    <row r="8" spans="1:54" x14ac:dyDescent="0.25">
      <c r="AT8" s="2" t="str">
        <f>IF($L8="","",IFERROR(INDEX('AR SALES'!$H$2:$H$2501,MATCH(""&amp;$L8,'AR SALES'!$AE$2:$AE$2501,0)),""))</f>
        <v/>
      </c>
      <c r="AU8" s="2" t="str">
        <f t="shared" si="0"/>
        <v/>
      </c>
      <c r="AV8" s="2" t="str">
        <f t="shared" si="1"/>
        <v/>
      </c>
      <c r="AW8" s="2" t="str">
        <f t="shared" si="2"/>
        <v/>
      </c>
      <c r="AX8" s="2" t="str">
        <f t="shared" si="3"/>
        <v/>
      </c>
      <c r="AY8" s="2" t="str">
        <f>IF($AV8="","",IF(AND($Z8=0,COUNTIF('AR SALES'!$L$2:$L$2501,$L8)=0),"YES",""))</f>
        <v/>
      </c>
      <c r="AZ8" s="2" t="str">
        <f>IF($AV8="","",IF(COUNTIF(LISTS!$C$2:$C$250,$AU8)=0,"NEW",""))</f>
        <v/>
      </c>
      <c r="BA8" s="2" t="str">
        <f>IF(""&amp;$F8&lt;&gt;"4","",IF($AY8="YES","",IF(ROUND(SUMIFS($AE$2:$AE$4001,$L$2:$L$4001,$L8,$F$2:$F$4001,"4")-SUMIFS('AR SALES'!$Y$2:$Y$2501,'AR SALES'!$L$2:$L$2501,$L8,'AR SALES'!$AD$2:$AD$2501,"OFF"),2)=0,"","STALE")))</f>
        <v/>
      </c>
      <c r="BB8" s="2" t="str">
        <f>IF(OR(""&amp;$F8="2",""&amp;$F8="4",""&amp;$F8="G",""&amp;$F8="H"),IF($AY8="YES","",IF($AB8&lt;&gt;0,"",IF(COUNTIFS('AR SALES'!$L$2:$L$2501,$L8,'AR SALES'!$AD$2:$AD$2501,IF(""&amp;$F8="4","OFF","ON"),'AR SALES'!$AF$2:$AF$2501,"Y")&gt;0,"","NO EXEMPTION"))),"")</f>
        <v/>
      </c>
    </row>
    <row r="9" spans="1:54" x14ac:dyDescent="0.25">
      <c r="AT9" s="2" t="str">
        <f>IF($L9="","",IFERROR(INDEX('AR SALES'!$H$2:$H$2501,MATCH(""&amp;$L9,'AR SALES'!$AE$2:$AE$2501,0)),""))</f>
        <v/>
      </c>
      <c r="AU9" s="2" t="str">
        <f t="shared" si="0"/>
        <v/>
      </c>
      <c r="AV9" s="2" t="str">
        <f t="shared" si="1"/>
        <v/>
      </c>
      <c r="AW9" s="2" t="str">
        <f t="shared" si="2"/>
        <v/>
      </c>
      <c r="AX9" s="2" t="str">
        <f t="shared" si="3"/>
        <v/>
      </c>
      <c r="AY9" s="2" t="str">
        <f>IF($AV9="","",IF(AND($Z9=0,COUNTIF('AR SALES'!$L$2:$L$2501,$L9)=0),"YES",""))</f>
        <v/>
      </c>
      <c r="AZ9" s="2" t="str">
        <f>IF($AV9="","",IF(COUNTIF(LISTS!$C$2:$C$250,$AU9)=0,"NEW",""))</f>
        <v/>
      </c>
      <c r="BA9" s="2" t="str">
        <f>IF(""&amp;$F9&lt;&gt;"4","",IF($AY9="YES","",IF(ROUND(SUMIFS($AE$2:$AE$4001,$L$2:$L$4001,$L9,$F$2:$F$4001,"4")-SUMIFS('AR SALES'!$Y$2:$Y$2501,'AR SALES'!$L$2:$L$2501,$L9,'AR SALES'!$AD$2:$AD$2501,"OFF"),2)=0,"","STALE")))</f>
        <v/>
      </c>
      <c r="BB9" s="2" t="str">
        <f>IF(OR(""&amp;$F9="2",""&amp;$F9="4",""&amp;$F9="G",""&amp;$F9="H"),IF($AY9="YES","",IF($AB9&lt;&gt;0,"",IF(COUNTIFS('AR SALES'!$L$2:$L$2501,$L9,'AR SALES'!$AD$2:$AD$2501,IF(""&amp;$F9="4","OFF","ON"),'AR SALES'!$AF$2:$AF$2501,"Y")&gt;0,"","NO EXEMPTION"))),"")</f>
        <v/>
      </c>
    </row>
    <row r="10" spans="1:54" x14ac:dyDescent="0.25">
      <c r="AT10" s="2" t="str">
        <f>IF($L10="","",IFERROR(INDEX('AR SALES'!$H$2:$H$2501,MATCH(""&amp;$L10,'AR SALES'!$AE$2:$AE$2501,0)),""))</f>
        <v/>
      </c>
      <c r="AU10" s="2" t="str">
        <f t="shared" si="0"/>
        <v/>
      </c>
      <c r="AV10" s="2" t="str">
        <f t="shared" si="1"/>
        <v/>
      </c>
      <c r="AW10" s="2" t="str">
        <f t="shared" si="2"/>
        <v/>
      </c>
      <c r="AX10" s="2" t="str">
        <f t="shared" si="3"/>
        <v/>
      </c>
      <c r="AY10" s="2" t="str">
        <f>IF($AV10="","",IF(AND($Z10=0,COUNTIF('AR SALES'!$L$2:$L$2501,$L10)=0),"YES",""))</f>
        <v/>
      </c>
      <c r="AZ10" s="2" t="str">
        <f>IF($AV10="","",IF(COUNTIF(LISTS!$C$2:$C$250,$AU10)=0,"NEW",""))</f>
        <v/>
      </c>
      <c r="BA10" s="2" t="str">
        <f>IF(""&amp;$F10&lt;&gt;"4","",IF($AY10="YES","",IF(ROUND(SUMIFS($AE$2:$AE$4001,$L$2:$L$4001,$L10,$F$2:$F$4001,"4")-SUMIFS('AR SALES'!$Y$2:$Y$2501,'AR SALES'!$L$2:$L$2501,$L10,'AR SALES'!$AD$2:$AD$2501,"OFF"),2)=0,"","STALE")))</f>
        <v/>
      </c>
      <c r="BB10" s="2" t="str">
        <f>IF(OR(""&amp;$F10="2",""&amp;$F10="4",""&amp;$F10="G",""&amp;$F10="H"),IF($AY10="YES","",IF($AB10&lt;&gt;0,"",IF(COUNTIFS('AR SALES'!$L$2:$L$2501,$L10,'AR SALES'!$AD$2:$AD$2501,IF(""&amp;$F10="4","OFF","ON"),'AR SALES'!$AF$2:$AF$2501,"Y")&gt;0,"","NO EXEMPTION"))),"")</f>
        <v/>
      </c>
    </row>
    <row r="11" spans="1:54" x14ac:dyDescent="0.25">
      <c r="AT11" s="2" t="str">
        <f>IF($L11="","",IFERROR(INDEX('AR SALES'!$H$2:$H$2501,MATCH(""&amp;$L11,'AR SALES'!$AE$2:$AE$2501,0)),""))</f>
        <v/>
      </c>
      <c r="AU11" s="2" t="str">
        <f t="shared" si="0"/>
        <v/>
      </c>
      <c r="AV11" s="2" t="str">
        <f t="shared" si="1"/>
        <v/>
      </c>
      <c r="AW11" s="2" t="str">
        <f t="shared" si="2"/>
        <v/>
      </c>
      <c r="AX11" s="2" t="str">
        <f t="shared" si="3"/>
        <v/>
      </c>
      <c r="AY11" s="2" t="str">
        <f>IF($AV11="","",IF(AND($Z11=0,COUNTIF('AR SALES'!$L$2:$L$2501,$L11)=0),"YES",""))</f>
        <v/>
      </c>
      <c r="AZ11" s="2" t="str">
        <f>IF($AV11="","",IF(COUNTIF(LISTS!$C$2:$C$250,$AU11)=0,"NEW",""))</f>
        <v/>
      </c>
      <c r="BA11" s="2" t="str">
        <f>IF(""&amp;$F11&lt;&gt;"4","",IF($AY11="YES","",IF(ROUND(SUMIFS($AE$2:$AE$4001,$L$2:$L$4001,$L11,$F$2:$F$4001,"4")-SUMIFS('AR SALES'!$Y$2:$Y$2501,'AR SALES'!$L$2:$L$2501,$L11,'AR SALES'!$AD$2:$AD$2501,"OFF"),2)=0,"","STALE")))</f>
        <v/>
      </c>
      <c r="BB11" s="2" t="str">
        <f>IF(OR(""&amp;$F11="2",""&amp;$F11="4",""&amp;$F11="G",""&amp;$F11="H"),IF($AY11="YES","",IF($AB11&lt;&gt;0,"",IF(COUNTIFS('AR SALES'!$L$2:$L$2501,$L11,'AR SALES'!$AD$2:$AD$2501,IF(""&amp;$F11="4","OFF","ON"),'AR SALES'!$AF$2:$AF$2501,"Y")&gt;0,"","NO EXEMPTION"))),"")</f>
        <v/>
      </c>
    </row>
    <row r="12" spans="1:54" x14ac:dyDescent="0.25">
      <c r="AT12" s="2" t="str">
        <f>IF($L12="","",IFERROR(INDEX('AR SALES'!$H$2:$H$2501,MATCH(""&amp;$L12,'AR SALES'!$AE$2:$AE$2501,0)),""))</f>
        <v/>
      </c>
      <c r="AU12" s="2" t="str">
        <f t="shared" si="0"/>
        <v/>
      </c>
      <c r="AV12" s="2" t="str">
        <f t="shared" si="1"/>
        <v/>
      </c>
      <c r="AW12" s="2" t="str">
        <f t="shared" si="2"/>
        <v/>
      </c>
      <c r="AX12" s="2" t="str">
        <f t="shared" si="3"/>
        <v/>
      </c>
      <c r="AY12" s="2" t="str">
        <f>IF($AV12="","",IF(AND($Z12=0,COUNTIF('AR SALES'!$L$2:$L$2501,$L12)=0),"YES",""))</f>
        <v/>
      </c>
      <c r="AZ12" s="2" t="str">
        <f>IF($AV12="","",IF(COUNTIF(LISTS!$C$2:$C$250,$AU12)=0,"NEW",""))</f>
        <v/>
      </c>
      <c r="BA12" s="2" t="str">
        <f>IF(""&amp;$F12&lt;&gt;"4","",IF($AY12="YES","",IF(ROUND(SUMIFS($AE$2:$AE$4001,$L$2:$L$4001,$L12,$F$2:$F$4001,"4")-SUMIFS('AR SALES'!$Y$2:$Y$2501,'AR SALES'!$L$2:$L$2501,$L12,'AR SALES'!$AD$2:$AD$2501,"OFF"),2)=0,"","STALE")))</f>
        <v/>
      </c>
      <c r="BB12" s="2" t="str">
        <f>IF(OR(""&amp;$F12="2",""&amp;$F12="4",""&amp;$F12="G",""&amp;$F12="H"),IF($AY12="YES","",IF($AB12&lt;&gt;0,"",IF(COUNTIFS('AR SALES'!$L$2:$L$2501,$L12,'AR SALES'!$AD$2:$AD$2501,IF(""&amp;$F12="4","OFF","ON"),'AR SALES'!$AF$2:$AF$2501,"Y")&gt;0,"","NO EXEMPTION"))),"")</f>
        <v/>
      </c>
    </row>
    <row r="13" spans="1:54" x14ac:dyDescent="0.25">
      <c r="AT13" s="2" t="str">
        <f>IF($L13="","",IFERROR(INDEX('AR SALES'!$H$2:$H$2501,MATCH(""&amp;$L13,'AR SALES'!$AE$2:$AE$2501,0)),""))</f>
        <v/>
      </c>
      <c r="AU13" s="2" t="str">
        <f t="shared" si="0"/>
        <v/>
      </c>
      <c r="AV13" s="2" t="str">
        <f t="shared" si="1"/>
        <v/>
      </c>
      <c r="AW13" s="2" t="str">
        <f t="shared" si="2"/>
        <v/>
      </c>
      <c r="AX13" s="2" t="str">
        <f t="shared" si="3"/>
        <v/>
      </c>
      <c r="AY13" s="2" t="str">
        <f>IF($AV13="","",IF(AND($Z13=0,COUNTIF('AR SALES'!$L$2:$L$2501,$L13)=0),"YES",""))</f>
        <v/>
      </c>
      <c r="AZ13" s="2" t="str">
        <f>IF($AV13="","",IF(COUNTIF(LISTS!$C$2:$C$250,$AU13)=0,"NEW",""))</f>
        <v/>
      </c>
      <c r="BA13" s="2" t="str">
        <f>IF(""&amp;$F13&lt;&gt;"4","",IF($AY13="YES","",IF(ROUND(SUMIFS($AE$2:$AE$4001,$L$2:$L$4001,$L13,$F$2:$F$4001,"4")-SUMIFS('AR SALES'!$Y$2:$Y$2501,'AR SALES'!$L$2:$L$2501,$L13,'AR SALES'!$AD$2:$AD$2501,"OFF"),2)=0,"","STALE")))</f>
        <v/>
      </c>
      <c r="BB13" s="2" t="str">
        <f>IF(OR(""&amp;$F13="2",""&amp;$F13="4",""&amp;$F13="G",""&amp;$F13="H"),IF($AY13="YES","",IF($AB13&lt;&gt;0,"",IF(COUNTIFS('AR SALES'!$L$2:$L$2501,$L13,'AR SALES'!$AD$2:$AD$2501,IF(""&amp;$F13="4","OFF","ON"),'AR SALES'!$AF$2:$AF$2501,"Y")&gt;0,"","NO EXEMPTION"))),"")</f>
        <v/>
      </c>
    </row>
    <row r="14" spans="1:54" x14ac:dyDescent="0.25">
      <c r="AT14" s="2" t="str">
        <f>IF($L14="","",IFERROR(INDEX('AR SALES'!$H$2:$H$2501,MATCH(""&amp;$L14,'AR SALES'!$AE$2:$AE$2501,0)),""))</f>
        <v/>
      </c>
      <c r="AU14" s="2" t="str">
        <f t="shared" si="0"/>
        <v/>
      </c>
      <c r="AV14" s="2" t="str">
        <f t="shared" si="1"/>
        <v/>
      </c>
      <c r="AW14" s="2" t="str">
        <f t="shared" si="2"/>
        <v/>
      </c>
      <c r="AX14" s="2" t="str">
        <f t="shared" si="3"/>
        <v/>
      </c>
      <c r="AY14" s="2" t="str">
        <f>IF($AV14="","",IF(AND($Z14=0,COUNTIF('AR SALES'!$L$2:$L$2501,$L14)=0),"YES",""))</f>
        <v/>
      </c>
      <c r="AZ14" s="2" t="str">
        <f>IF($AV14="","",IF(COUNTIF(LISTS!$C$2:$C$250,$AU14)=0,"NEW",""))</f>
        <v/>
      </c>
      <c r="BA14" s="2" t="str">
        <f>IF(""&amp;$F14&lt;&gt;"4","",IF($AY14="YES","",IF(ROUND(SUMIFS($AE$2:$AE$4001,$L$2:$L$4001,$L14,$F$2:$F$4001,"4")-SUMIFS('AR SALES'!$Y$2:$Y$2501,'AR SALES'!$L$2:$L$2501,$L14,'AR SALES'!$AD$2:$AD$2501,"OFF"),2)=0,"","STALE")))</f>
        <v/>
      </c>
      <c r="BB14" s="2" t="str">
        <f>IF(OR(""&amp;$F14="2",""&amp;$F14="4",""&amp;$F14="G",""&amp;$F14="H"),IF($AY14="YES","",IF($AB14&lt;&gt;0,"",IF(COUNTIFS('AR SALES'!$L$2:$L$2501,$L14,'AR SALES'!$AD$2:$AD$2501,IF(""&amp;$F14="4","OFF","ON"),'AR SALES'!$AF$2:$AF$2501,"Y")&gt;0,"","NO EXEMPTION"))),"")</f>
        <v/>
      </c>
    </row>
    <row r="15" spans="1:54" x14ac:dyDescent="0.25">
      <c r="AT15" s="2" t="str">
        <f>IF($L15="","",IFERROR(INDEX('AR SALES'!$H$2:$H$2501,MATCH(""&amp;$L15,'AR SALES'!$AE$2:$AE$2501,0)),""))</f>
        <v/>
      </c>
      <c r="AU15" s="2" t="str">
        <f t="shared" si="0"/>
        <v/>
      </c>
      <c r="AV15" s="2" t="str">
        <f t="shared" si="1"/>
        <v/>
      </c>
      <c r="AW15" s="2" t="str">
        <f t="shared" si="2"/>
        <v/>
      </c>
      <c r="AX15" s="2" t="str">
        <f t="shared" si="3"/>
        <v/>
      </c>
      <c r="AY15" s="2" t="str">
        <f>IF($AV15="","",IF(AND($Z15=0,COUNTIF('AR SALES'!$L$2:$L$2501,$L15)=0),"YES",""))</f>
        <v/>
      </c>
      <c r="AZ15" s="2" t="str">
        <f>IF($AV15="","",IF(COUNTIF(LISTS!$C$2:$C$250,$AU15)=0,"NEW",""))</f>
        <v/>
      </c>
      <c r="BA15" s="2" t="str">
        <f>IF(""&amp;$F15&lt;&gt;"4","",IF($AY15="YES","",IF(ROUND(SUMIFS($AE$2:$AE$4001,$L$2:$L$4001,$L15,$F$2:$F$4001,"4")-SUMIFS('AR SALES'!$Y$2:$Y$2501,'AR SALES'!$L$2:$L$2501,$L15,'AR SALES'!$AD$2:$AD$2501,"OFF"),2)=0,"","STALE")))</f>
        <v/>
      </c>
      <c r="BB15" s="2" t="str">
        <f>IF(OR(""&amp;$F15="2",""&amp;$F15="4",""&amp;$F15="G",""&amp;$F15="H"),IF($AY15="YES","",IF($AB15&lt;&gt;0,"",IF(COUNTIFS('AR SALES'!$L$2:$L$2501,$L15,'AR SALES'!$AD$2:$AD$2501,IF(""&amp;$F15="4","OFF","ON"),'AR SALES'!$AF$2:$AF$2501,"Y")&gt;0,"","NO EXEMPTION"))),"")</f>
        <v/>
      </c>
    </row>
    <row r="16" spans="1:54" x14ac:dyDescent="0.25">
      <c r="AT16" s="2" t="str">
        <f>IF($L16="","",IFERROR(INDEX('AR SALES'!$H$2:$H$2501,MATCH(""&amp;$L16,'AR SALES'!$AE$2:$AE$2501,0)),""))</f>
        <v/>
      </c>
      <c r="AU16" s="2" t="str">
        <f t="shared" si="0"/>
        <v/>
      </c>
      <c r="AV16" s="2" t="str">
        <f t="shared" si="1"/>
        <v/>
      </c>
      <c r="AW16" s="2" t="str">
        <f t="shared" si="2"/>
        <v/>
      </c>
      <c r="AX16" s="2" t="str">
        <f t="shared" si="3"/>
        <v/>
      </c>
      <c r="AY16" s="2" t="str">
        <f>IF($AV16="","",IF(AND($Z16=0,COUNTIF('AR SALES'!$L$2:$L$2501,$L16)=0),"YES",""))</f>
        <v/>
      </c>
      <c r="AZ16" s="2" t="str">
        <f>IF($AV16="","",IF(COUNTIF(LISTS!$C$2:$C$250,$AU16)=0,"NEW",""))</f>
        <v/>
      </c>
      <c r="BA16" s="2" t="str">
        <f>IF(""&amp;$F16&lt;&gt;"4","",IF($AY16="YES","",IF(ROUND(SUMIFS($AE$2:$AE$4001,$L$2:$L$4001,$L16,$F$2:$F$4001,"4")-SUMIFS('AR SALES'!$Y$2:$Y$2501,'AR SALES'!$L$2:$L$2501,$L16,'AR SALES'!$AD$2:$AD$2501,"OFF"),2)=0,"","STALE")))</f>
        <v/>
      </c>
      <c r="BB16" s="2" t="str">
        <f>IF(OR(""&amp;$F16="2",""&amp;$F16="4",""&amp;$F16="G",""&amp;$F16="H"),IF($AY16="YES","",IF($AB16&lt;&gt;0,"",IF(COUNTIFS('AR SALES'!$L$2:$L$2501,$L16,'AR SALES'!$AD$2:$AD$2501,IF(""&amp;$F16="4","OFF","ON"),'AR SALES'!$AF$2:$AF$2501,"Y")&gt;0,"","NO EXEMPTION"))),"")</f>
        <v/>
      </c>
    </row>
    <row r="17" spans="46:54" x14ac:dyDescent="0.25">
      <c r="AT17" s="2" t="str">
        <f>IF($L17="","",IFERROR(INDEX('AR SALES'!$H$2:$H$2501,MATCH(""&amp;$L17,'AR SALES'!$AE$2:$AE$2501,0)),""))</f>
        <v/>
      </c>
      <c r="AU17" s="2" t="str">
        <f t="shared" si="0"/>
        <v/>
      </c>
      <c r="AV17" s="2" t="str">
        <f t="shared" si="1"/>
        <v/>
      </c>
      <c r="AW17" s="2" t="str">
        <f t="shared" si="2"/>
        <v/>
      </c>
      <c r="AX17" s="2" t="str">
        <f t="shared" si="3"/>
        <v/>
      </c>
      <c r="AY17" s="2" t="str">
        <f>IF($AV17="","",IF(AND($Z17=0,COUNTIF('AR SALES'!$L$2:$L$2501,$L17)=0),"YES",""))</f>
        <v/>
      </c>
      <c r="AZ17" s="2" t="str">
        <f>IF($AV17="","",IF(COUNTIF(LISTS!$C$2:$C$250,$AU17)=0,"NEW",""))</f>
        <v/>
      </c>
      <c r="BA17" s="2" t="str">
        <f>IF(""&amp;$F17&lt;&gt;"4","",IF($AY17="YES","",IF(ROUND(SUMIFS($AE$2:$AE$4001,$L$2:$L$4001,$L17,$F$2:$F$4001,"4")-SUMIFS('AR SALES'!$Y$2:$Y$2501,'AR SALES'!$L$2:$L$2501,$L17,'AR SALES'!$AD$2:$AD$2501,"OFF"),2)=0,"","STALE")))</f>
        <v/>
      </c>
      <c r="BB17" s="2" t="str">
        <f>IF(OR(""&amp;$F17="2",""&amp;$F17="4",""&amp;$F17="G",""&amp;$F17="H"),IF($AY17="YES","",IF($AB17&lt;&gt;0,"",IF(COUNTIFS('AR SALES'!$L$2:$L$2501,$L17,'AR SALES'!$AD$2:$AD$2501,IF(""&amp;$F17="4","OFF","ON"),'AR SALES'!$AF$2:$AF$2501,"Y")&gt;0,"","NO EXEMPTION"))),"")</f>
        <v/>
      </c>
    </row>
    <row r="18" spans="46:54" x14ac:dyDescent="0.25">
      <c r="AT18" s="2" t="str">
        <f>IF($L18="","",IFERROR(INDEX('AR SALES'!$H$2:$H$2501,MATCH(""&amp;$L18,'AR SALES'!$AE$2:$AE$2501,0)),""))</f>
        <v/>
      </c>
      <c r="AU18" s="2" t="str">
        <f t="shared" si="0"/>
        <v/>
      </c>
      <c r="AV18" s="2" t="str">
        <f t="shared" si="1"/>
        <v/>
      </c>
      <c r="AW18" s="2" t="str">
        <f t="shared" si="2"/>
        <v/>
      </c>
      <c r="AX18" s="2" t="str">
        <f t="shared" si="3"/>
        <v/>
      </c>
      <c r="AY18" s="2" t="str">
        <f>IF($AV18="","",IF(AND($Z18=0,COUNTIF('AR SALES'!$L$2:$L$2501,$L18)=0),"YES",""))</f>
        <v/>
      </c>
      <c r="AZ18" s="2" t="str">
        <f>IF($AV18="","",IF(COUNTIF(LISTS!$C$2:$C$250,$AU18)=0,"NEW",""))</f>
        <v/>
      </c>
      <c r="BA18" s="2" t="str">
        <f>IF(""&amp;$F18&lt;&gt;"4","",IF($AY18="YES","",IF(ROUND(SUMIFS($AE$2:$AE$4001,$L$2:$L$4001,$L18,$F$2:$F$4001,"4")-SUMIFS('AR SALES'!$Y$2:$Y$2501,'AR SALES'!$L$2:$L$2501,$L18,'AR SALES'!$AD$2:$AD$2501,"OFF"),2)=0,"","STALE")))</f>
        <v/>
      </c>
      <c r="BB18" s="2" t="str">
        <f>IF(OR(""&amp;$F18="2",""&amp;$F18="4",""&amp;$F18="G",""&amp;$F18="H"),IF($AY18="YES","",IF($AB18&lt;&gt;0,"",IF(COUNTIFS('AR SALES'!$L$2:$L$2501,$L18,'AR SALES'!$AD$2:$AD$2501,IF(""&amp;$F18="4","OFF","ON"),'AR SALES'!$AF$2:$AF$2501,"Y")&gt;0,"","NO EXEMPTION"))),"")</f>
        <v/>
      </c>
    </row>
    <row r="19" spans="46:54" x14ac:dyDescent="0.25">
      <c r="AT19" s="2" t="str">
        <f>IF($L19="","",IFERROR(INDEX('AR SALES'!$H$2:$H$2501,MATCH(""&amp;$L19,'AR SALES'!$AE$2:$AE$2501,0)),""))</f>
        <v/>
      </c>
      <c r="AU19" s="2" t="str">
        <f t="shared" si="0"/>
        <v/>
      </c>
      <c r="AV19" s="2" t="str">
        <f t="shared" si="1"/>
        <v/>
      </c>
      <c r="AW19" s="2" t="str">
        <f t="shared" si="2"/>
        <v/>
      </c>
      <c r="AX19" s="2" t="str">
        <f t="shared" si="3"/>
        <v/>
      </c>
      <c r="AY19" s="2" t="str">
        <f>IF($AV19="","",IF(AND($Z19=0,COUNTIF('AR SALES'!$L$2:$L$2501,$L19)=0),"YES",""))</f>
        <v/>
      </c>
      <c r="AZ19" s="2" t="str">
        <f>IF($AV19="","",IF(COUNTIF(LISTS!$C$2:$C$250,$AU19)=0,"NEW",""))</f>
        <v/>
      </c>
      <c r="BA19" s="2" t="str">
        <f>IF(""&amp;$F19&lt;&gt;"4","",IF($AY19="YES","",IF(ROUND(SUMIFS($AE$2:$AE$4001,$L$2:$L$4001,$L19,$F$2:$F$4001,"4")-SUMIFS('AR SALES'!$Y$2:$Y$2501,'AR SALES'!$L$2:$L$2501,$L19,'AR SALES'!$AD$2:$AD$2501,"OFF"),2)=0,"","STALE")))</f>
        <v/>
      </c>
      <c r="BB19" s="2" t="str">
        <f>IF(OR(""&amp;$F19="2",""&amp;$F19="4",""&amp;$F19="G",""&amp;$F19="H"),IF($AY19="YES","",IF($AB19&lt;&gt;0,"",IF(COUNTIFS('AR SALES'!$L$2:$L$2501,$L19,'AR SALES'!$AD$2:$AD$2501,IF(""&amp;$F19="4","OFF","ON"),'AR SALES'!$AF$2:$AF$2501,"Y")&gt;0,"","NO EXEMPTION"))),"")</f>
        <v/>
      </c>
    </row>
    <row r="20" spans="46:54" x14ac:dyDescent="0.25">
      <c r="AT20" s="2" t="str">
        <f>IF($L20="","",IFERROR(INDEX('AR SALES'!$H$2:$H$2501,MATCH(""&amp;$L20,'AR SALES'!$AE$2:$AE$2501,0)),""))</f>
        <v/>
      </c>
      <c r="AU20" s="2" t="str">
        <f t="shared" si="0"/>
        <v/>
      </c>
      <c r="AV20" s="2" t="str">
        <f t="shared" si="1"/>
        <v/>
      </c>
      <c r="AW20" s="2" t="str">
        <f t="shared" si="2"/>
        <v/>
      </c>
      <c r="AX20" s="2" t="str">
        <f t="shared" si="3"/>
        <v/>
      </c>
      <c r="AY20" s="2" t="str">
        <f>IF($AV20="","",IF(AND($Z20=0,COUNTIF('AR SALES'!$L$2:$L$2501,$L20)=0),"YES",""))</f>
        <v/>
      </c>
      <c r="AZ20" s="2" t="str">
        <f>IF($AV20="","",IF(COUNTIF(LISTS!$C$2:$C$250,$AU20)=0,"NEW",""))</f>
        <v/>
      </c>
      <c r="BA20" s="2" t="str">
        <f>IF(""&amp;$F20&lt;&gt;"4","",IF($AY20="YES","",IF(ROUND(SUMIFS($AE$2:$AE$4001,$L$2:$L$4001,$L20,$F$2:$F$4001,"4")-SUMIFS('AR SALES'!$Y$2:$Y$2501,'AR SALES'!$L$2:$L$2501,$L20,'AR SALES'!$AD$2:$AD$2501,"OFF"),2)=0,"","STALE")))</f>
        <v/>
      </c>
      <c r="BB20" s="2" t="str">
        <f>IF(OR(""&amp;$F20="2",""&amp;$F20="4",""&amp;$F20="G",""&amp;$F20="H"),IF($AY20="YES","",IF($AB20&lt;&gt;0,"",IF(COUNTIFS('AR SALES'!$L$2:$L$2501,$L20,'AR SALES'!$AD$2:$AD$2501,IF(""&amp;$F20="4","OFF","ON"),'AR SALES'!$AF$2:$AF$2501,"Y")&gt;0,"","NO EXEMPTION"))),"")</f>
        <v/>
      </c>
    </row>
    <row r="21" spans="46:54" x14ac:dyDescent="0.25">
      <c r="AT21" s="2" t="str">
        <f>IF($L21="","",IFERROR(INDEX('AR SALES'!$H$2:$H$2501,MATCH(""&amp;$L21,'AR SALES'!$AE$2:$AE$2501,0)),""))</f>
        <v/>
      </c>
      <c r="AU21" s="2" t="str">
        <f t="shared" si="0"/>
        <v/>
      </c>
      <c r="AV21" s="2" t="str">
        <f t="shared" si="1"/>
        <v/>
      </c>
      <c r="AW21" s="2" t="str">
        <f t="shared" si="2"/>
        <v/>
      </c>
      <c r="AX21" s="2" t="str">
        <f t="shared" si="3"/>
        <v/>
      </c>
      <c r="AY21" s="2" t="str">
        <f>IF($AV21="","",IF(AND($Z21=0,COUNTIF('AR SALES'!$L$2:$L$2501,$L21)=0),"YES",""))</f>
        <v/>
      </c>
      <c r="AZ21" s="2" t="str">
        <f>IF($AV21="","",IF(COUNTIF(LISTS!$C$2:$C$250,$AU21)=0,"NEW",""))</f>
        <v/>
      </c>
      <c r="BA21" s="2" t="str">
        <f>IF(""&amp;$F21&lt;&gt;"4","",IF($AY21="YES","",IF(ROUND(SUMIFS($AE$2:$AE$4001,$L$2:$L$4001,$L21,$F$2:$F$4001,"4")-SUMIFS('AR SALES'!$Y$2:$Y$2501,'AR SALES'!$L$2:$L$2501,$L21,'AR SALES'!$AD$2:$AD$2501,"OFF"),2)=0,"","STALE")))</f>
        <v/>
      </c>
      <c r="BB21" s="2" t="str">
        <f>IF(OR(""&amp;$F21="2",""&amp;$F21="4",""&amp;$F21="G",""&amp;$F21="H"),IF($AY21="YES","",IF($AB21&lt;&gt;0,"",IF(COUNTIFS('AR SALES'!$L$2:$L$2501,$L21,'AR SALES'!$AD$2:$AD$2501,IF(""&amp;$F21="4","OFF","ON"),'AR SALES'!$AF$2:$AF$2501,"Y")&gt;0,"","NO EXEMPTION"))),"")</f>
        <v/>
      </c>
    </row>
    <row r="22" spans="46:54" x14ac:dyDescent="0.25">
      <c r="AT22" s="2" t="str">
        <f>IF($L22="","",IFERROR(INDEX('AR SALES'!$H$2:$H$2501,MATCH(""&amp;$L22,'AR SALES'!$AE$2:$AE$2501,0)),""))</f>
        <v/>
      </c>
      <c r="AU22" s="2" t="str">
        <f t="shared" si="0"/>
        <v/>
      </c>
      <c r="AV22" s="2" t="str">
        <f t="shared" si="1"/>
        <v/>
      </c>
      <c r="AW22" s="2" t="str">
        <f t="shared" si="2"/>
        <v/>
      </c>
      <c r="AX22" s="2" t="str">
        <f t="shared" si="3"/>
        <v/>
      </c>
      <c r="AY22" s="2" t="str">
        <f>IF($AV22="","",IF(AND($Z22=0,COUNTIF('AR SALES'!$L$2:$L$2501,$L22)=0),"YES",""))</f>
        <v/>
      </c>
      <c r="AZ22" s="2" t="str">
        <f>IF($AV22="","",IF(COUNTIF(LISTS!$C$2:$C$250,$AU22)=0,"NEW",""))</f>
        <v/>
      </c>
      <c r="BA22" s="2" t="str">
        <f>IF(""&amp;$F22&lt;&gt;"4","",IF($AY22="YES","",IF(ROUND(SUMIFS($AE$2:$AE$4001,$L$2:$L$4001,$L22,$F$2:$F$4001,"4")-SUMIFS('AR SALES'!$Y$2:$Y$2501,'AR SALES'!$L$2:$L$2501,$L22,'AR SALES'!$AD$2:$AD$2501,"OFF"),2)=0,"","STALE")))</f>
        <v/>
      </c>
      <c r="BB22" s="2" t="str">
        <f>IF(OR(""&amp;$F22="2",""&amp;$F22="4",""&amp;$F22="G",""&amp;$F22="H"),IF($AY22="YES","",IF($AB22&lt;&gt;0,"",IF(COUNTIFS('AR SALES'!$L$2:$L$2501,$L22,'AR SALES'!$AD$2:$AD$2501,IF(""&amp;$F22="4","OFF","ON"),'AR SALES'!$AF$2:$AF$2501,"Y")&gt;0,"","NO EXEMPTION"))),"")</f>
        <v/>
      </c>
    </row>
    <row r="23" spans="46:54" x14ac:dyDescent="0.25">
      <c r="AT23" s="2" t="str">
        <f>IF($L23="","",IFERROR(INDEX('AR SALES'!$H$2:$H$2501,MATCH(""&amp;$L23,'AR SALES'!$AE$2:$AE$2501,0)),""))</f>
        <v/>
      </c>
      <c r="AU23" s="2" t="str">
        <f t="shared" si="0"/>
        <v/>
      </c>
      <c r="AV23" s="2" t="str">
        <f t="shared" si="1"/>
        <v/>
      </c>
      <c r="AW23" s="2" t="str">
        <f t="shared" si="2"/>
        <v/>
      </c>
      <c r="AX23" s="2" t="str">
        <f t="shared" si="3"/>
        <v/>
      </c>
      <c r="AY23" s="2" t="str">
        <f>IF($AV23="","",IF(AND($Z23=0,COUNTIF('AR SALES'!$L$2:$L$2501,$L23)=0),"YES",""))</f>
        <v/>
      </c>
      <c r="AZ23" s="2" t="str">
        <f>IF($AV23="","",IF(COUNTIF(LISTS!$C$2:$C$250,$AU23)=0,"NEW",""))</f>
        <v/>
      </c>
      <c r="BA23" s="2" t="str">
        <f>IF(""&amp;$F23&lt;&gt;"4","",IF($AY23="YES","",IF(ROUND(SUMIFS($AE$2:$AE$4001,$L$2:$L$4001,$L23,$F$2:$F$4001,"4")-SUMIFS('AR SALES'!$Y$2:$Y$2501,'AR SALES'!$L$2:$L$2501,$L23,'AR SALES'!$AD$2:$AD$2501,"OFF"),2)=0,"","STALE")))</f>
        <v/>
      </c>
      <c r="BB23" s="2" t="str">
        <f>IF(OR(""&amp;$F23="2",""&amp;$F23="4",""&amp;$F23="G",""&amp;$F23="H"),IF($AY23="YES","",IF($AB23&lt;&gt;0,"",IF(COUNTIFS('AR SALES'!$L$2:$L$2501,$L23,'AR SALES'!$AD$2:$AD$2501,IF(""&amp;$F23="4","OFF","ON"),'AR SALES'!$AF$2:$AF$2501,"Y")&gt;0,"","NO EXEMPTION"))),"")</f>
        <v/>
      </c>
    </row>
    <row r="24" spans="46:54" x14ac:dyDescent="0.25">
      <c r="AT24" s="2" t="str">
        <f>IF($L24="","",IFERROR(INDEX('AR SALES'!$H$2:$H$2501,MATCH(""&amp;$L24,'AR SALES'!$AE$2:$AE$2501,0)),""))</f>
        <v/>
      </c>
      <c r="AU24" s="2" t="str">
        <f t="shared" si="0"/>
        <v/>
      </c>
      <c r="AV24" s="2" t="str">
        <f t="shared" si="1"/>
        <v/>
      </c>
      <c r="AW24" s="2" t="str">
        <f t="shared" si="2"/>
        <v/>
      </c>
      <c r="AX24" s="2" t="str">
        <f t="shared" si="3"/>
        <v/>
      </c>
      <c r="AY24" s="2" t="str">
        <f>IF($AV24="","",IF(AND($Z24=0,COUNTIF('AR SALES'!$L$2:$L$2501,$L24)=0),"YES",""))</f>
        <v/>
      </c>
      <c r="AZ24" s="2" t="str">
        <f>IF($AV24="","",IF(COUNTIF(LISTS!$C$2:$C$250,$AU24)=0,"NEW",""))</f>
        <v/>
      </c>
      <c r="BA24" s="2" t="str">
        <f>IF(""&amp;$F24&lt;&gt;"4","",IF($AY24="YES","",IF(ROUND(SUMIFS($AE$2:$AE$4001,$L$2:$L$4001,$L24,$F$2:$F$4001,"4")-SUMIFS('AR SALES'!$Y$2:$Y$2501,'AR SALES'!$L$2:$L$2501,$L24,'AR SALES'!$AD$2:$AD$2501,"OFF"),2)=0,"","STALE")))</f>
        <v/>
      </c>
      <c r="BB24" s="2" t="str">
        <f>IF(OR(""&amp;$F24="2",""&amp;$F24="4",""&amp;$F24="G",""&amp;$F24="H"),IF($AY24="YES","",IF($AB24&lt;&gt;0,"",IF(COUNTIFS('AR SALES'!$L$2:$L$2501,$L24,'AR SALES'!$AD$2:$AD$2501,IF(""&amp;$F24="4","OFF","ON"),'AR SALES'!$AF$2:$AF$2501,"Y")&gt;0,"","NO EXEMPTION"))),"")</f>
        <v/>
      </c>
    </row>
    <row r="25" spans="46:54" x14ac:dyDescent="0.25">
      <c r="AT25" s="2" t="str">
        <f>IF($L25="","",IFERROR(INDEX('AR SALES'!$H$2:$H$2501,MATCH(""&amp;$L25,'AR SALES'!$AE$2:$AE$2501,0)),""))</f>
        <v/>
      </c>
      <c r="AU25" s="2" t="str">
        <f t="shared" si="0"/>
        <v/>
      </c>
      <c r="AV25" s="2" t="str">
        <f t="shared" si="1"/>
        <v/>
      </c>
      <c r="AW25" s="2" t="str">
        <f t="shared" si="2"/>
        <v/>
      </c>
      <c r="AX25" s="2" t="str">
        <f t="shared" si="3"/>
        <v/>
      </c>
      <c r="AY25" s="2" t="str">
        <f>IF($AV25="","",IF(AND($Z25=0,COUNTIF('AR SALES'!$L$2:$L$2501,$L25)=0),"YES",""))</f>
        <v/>
      </c>
      <c r="AZ25" s="2" t="str">
        <f>IF($AV25="","",IF(COUNTIF(LISTS!$C$2:$C$250,$AU25)=0,"NEW",""))</f>
        <v/>
      </c>
      <c r="BA25" s="2" t="str">
        <f>IF(""&amp;$F25&lt;&gt;"4","",IF($AY25="YES","",IF(ROUND(SUMIFS($AE$2:$AE$4001,$L$2:$L$4001,$L25,$F$2:$F$4001,"4")-SUMIFS('AR SALES'!$Y$2:$Y$2501,'AR SALES'!$L$2:$L$2501,$L25,'AR SALES'!$AD$2:$AD$2501,"OFF"),2)=0,"","STALE")))</f>
        <v/>
      </c>
      <c r="BB25" s="2" t="str">
        <f>IF(OR(""&amp;$F25="2",""&amp;$F25="4",""&amp;$F25="G",""&amp;$F25="H"),IF($AY25="YES","",IF($AB25&lt;&gt;0,"",IF(COUNTIFS('AR SALES'!$L$2:$L$2501,$L25,'AR SALES'!$AD$2:$AD$2501,IF(""&amp;$F25="4","OFF","ON"),'AR SALES'!$AF$2:$AF$2501,"Y")&gt;0,"","NO EXEMPTION"))),"")</f>
        <v/>
      </c>
    </row>
    <row r="26" spans="46:54" x14ac:dyDescent="0.25">
      <c r="AT26" s="2" t="str">
        <f>IF($L26="","",IFERROR(INDEX('AR SALES'!$H$2:$H$2501,MATCH(""&amp;$L26,'AR SALES'!$AE$2:$AE$2501,0)),""))</f>
        <v/>
      </c>
      <c r="AU26" s="2" t="str">
        <f t="shared" si="0"/>
        <v/>
      </c>
      <c r="AV26" s="2" t="str">
        <f t="shared" si="1"/>
        <v/>
      </c>
      <c r="AW26" s="2" t="str">
        <f t="shared" si="2"/>
        <v/>
      </c>
      <c r="AX26" s="2" t="str">
        <f t="shared" si="3"/>
        <v/>
      </c>
      <c r="AY26" s="2" t="str">
        <f>IF($AV26="","",IF(AND($Z26=0,COUNTIF('AR SALES'!$L$2:$L$2501,$L26)=0),"YES",""))</f>
        <v/>
      </c>
      <c r="AZ26" s="2" t="str">
        <f>IF($AV26="","",IF(COUNTIF(LISTS!$C$2:$C$250,$AU26)=0,"NEW",""))</f>
        <v/>
      </c>
      <c r="BA26" s="2" t="str">
        <f>IF(""&amp;$F26&lt;&gt;"4","",IF($AY26="YES","",IF(ROUND(SUMIFS($AE$2:$AE$4001,$L$2:$L$4001,$L26,$F$2:$F$4001,"4")-SUMIFS('AR SALES'!$Y$2:$Y$2501,'AR SALES'!$L$2:$L$2501,$L26,'AR SALES'!$AD$2:$AD$2501,"OFF"),2)=0,"","STALE")))</f>
        <v/>
      </c>
      <c r="BB26" s="2" t="str">
        <f>IF(OR(""&amp;$F26="2",""&amp;$F26="4",""&amp;$F26="G",""&amp;$F26="H"),IF($AY26="YES","",IF($AB26&lt;&gt;0,"",IF(COUNTIFS('AR SALES'!$L$2:$L$2501,$L26,'AR SALES'!$AD$2:$AD$2501,IF(""&amp;$F26="4","OFF","ON"),'AR SALES'!$AF$2:$AF$2501,"Y")&gt;0,"","NO EXEMPTION"))),"")</f>
        <v/>
      </c>
    </row>
    <row r="27" spans="46:54" x14ac:dyDescent="0.25">
      <c r="AT27" s="2" t="str">
        <f>IF($L27="","",IFERROR(INDEX('AR SALES'!$H$2:$H$2501,MATCH(""&amp;$L27,'AR SALES'!$AE$2:$AE$2501,0)),""))</f>
        <v/>
      </c>
      <c r="AU27" s="2" t="str">
        <f t="shared" si="0"/>
        <v/>
      </c>
      <c r="AV27" s="2" t="str">
        <f t="shared" si="1"/>
        <v/>
      </c>
      <c r="AW27" s="2" t="str">
        <f t="shared" si="2"/>
        <v/>
      </c>
      <c r="AX27" s="2" t="str">
        <f t="shared" si="3"/>
        <v/>
      </c>
      <c r="AY27" s="2" t="str">
        <f>IF($AV27="","",IF(AND($Z27=0,COUNTIF('AR SALES'!$L$2:$L$2501,$L27)=0),"YES",""))</f>
        <v/>
      </c>
      <c r="AZ27" s="2" t="str">
        <f>IF($AV27="","",IF(COUNTIF(LISTS!$C$2:$C$250,$AU27)=0,"NEW",""))</f>
        <v/>
      </c>
      <c r="BA27" s="2" t="str">
        <f>IF(""&amp;$F27&lt;&gt;"4","",IF($AY27="YES","",IF(ROUND(SUMIFS($AE$2:$AE$4001,$L$2:$L$4001,$L27,$F$2:$F$4001,"4")-SUMIFS('AR SALES'!$Y$2:$Y$2501,'AR SALES'!$L$2:$L$2501,$L27,'AR SALES'!$AD$2:$AD$2501,"OFF"),2)=0,"","STALE")))</f>
        <v/>
      </c>
      <c r="BB27" s="2" t="str">
        <f>IF(OR(""&amp;$F27="2",""&amp;$F27="4",""&amp;$F27="G",""&amp;$F27="H"),IF($AY27="YES","",IF($AB27&lt;&gt;0,"",IF(COUNTIFS('AR SALES'!$L$2:$L$2501,$L27,'AR SALES'!$AD$2:$AD$2501,IF(""&amp;$F27="4","OFF","ON"),'AR SALES'!$AF$2:$AF$2501,"Y")&gt;0,"","NO EXEMPTION"))),"")</f>
        <v/>
      </c>
    </row>
    <row r="28" spans="46:54" x14ac:dyDescent="0.25">
      <c r="AT28" s="2" t="str">
        <f>IF($L28="","",IFERROR(INDEX('AR SALES'!$H$2:$H$2501,MATCH(""&amp;$L28,'AR SALES'!$AE$2:$AE$2501,0)),""))</f>
        <v/>
      </c>
      <c r="AU28" s="2" t="str">
        <f t="shared" si="0"/>
        <v/>
      </c>
      <c r="AV28" s="2" t="str">
        <f t="shared" si="1"/>
        <v/>
      </c>
      <c r="AW28" s="2" t="str">
        <f t="shared" si="2"/>
        <v/>
      </c>
      <c r="AX28" s="2" t="str">
        <f t="shared" si="3"/>
        <v/>
      </c>
      <c r="AY28" s="2" t="str">
        <f>IF($AV28="","",IF(AND($Z28=0,COUNTIF('AR SALES'!$L$2:$L$2501,$L28)=0),"YES",""))</f>
        <v/>
      </c>
      <c r="AZ28" s="2" t="str">
        <f>IF($AV28="","",IF(COUNTIF(LISTS!$C$2:$C$250,$AU28)=0,"NEW",""))</f>
        <v/>
      </c>
      <c r="BA28" s="2" t="str">
        <f>IF(""&amp;$F28&lt;&gt;"4","",IF($AY28="YES","",IF(ROUND(SUMIFS($AE$2:$AE$4001,$L$2:$L$4001,$L28,$F$2:$F$4001,"4")-SUMIFS('AR SALES'!$Y$2:$Y$2501,'AR SALES'!$L$2:$L$2501,$L28,'AR SALES'!$AD$2:$AD$2501,"OFF"),2)=0,"","STALE")))</f>
        <v/>
      </c>
      <c r="BB28" s="2" t="str">
        <f>IF(OR(""&amp;$F28="2",""&amp;$F28="4",""&amp;$F28="G",""&amp;$F28="H"),IF($AY28="YES","",IF($AB28&lt;&gt;0,"",IF(COUNTIFS('AR SALES'!$L$2:$L$2501,$L28,'AR SALES'!$AD$2:$AD$2501,IF(""&amp;$F28="4","OFF","ON"),'AR SALES'!$AF$2:$AF$2501,"Y")&gt;0,"","NO EXEMPTION"))),"")</f>
        <v/>
      </c>
    </row>
    <row r="29" spans="46:54" x14ac:dyDescent="0.25">
      <c r="AT29" s="2" t="str">
        <f>IF($L29="","",IFERROR(INDEX('AR SALES'!$H$2:$H$2501,MATCH(""&amp;$L29,'AR SALES'!$AE$2:$AE$2501,0)),""))</f>
        <v/>
      </c>
      <c r="AU29" s="2" t="str">
        <f t="shared" si="0"/>
        <v/>
      </c>
      <c r="AV29" s="2" t="str">
        <f t="shared" si="1"/>
        <v/>
      </c>
      <c r="AW29" s="2" t="str">
        <f t="shared" si="2"/>
        <v/>
      </c>
      <c r="AX29" s="2" t="str">
        <f t="shared" si="3"/>
        <v/>
      </c>
      <c r="AY29" s="2" t="str">
        <f>IF($AV29="","",IF(AND($Z29=0,COUNTIF('AR SALES'!$L$2:$L$2501,$L29)=0),"YES",""))</f>
        <v/>
      </c>
      <c r="AZ29" s="2" t="str">
        <f>IF($AV29="","",IF(COUNTIF(LISTS!$C$2:$C$250,$AU29)=0,"NEW",""))</f>
        <v/>
      </c>
      <c r="BA29" s="2" t="str">
        <f>IF(""&amp;$F29&lt;&gt;"4","",IF($AY29="YES","",IF(ROUND(SUMIFS($AE$2:$AE$4001,$L$2:$L$4001,$L29,$F$2:$F$4001,"4")-SUMIFS('AR SALES'!$Y$2:$Y$2501,'AR SALES'!$L$2:$L$2501,$L29,'AR SALES'!$AD$2:$AD$2501,"OFF"),2)=0,"","STALE")))</f>
        <v/>
      </c>
      <c r="BB29" s="2" t="str">
        <f>IF(OR(""&amp;$F29="2",""&amp;$F29="4",""&amp;$F29="G",""&amp;$F29="H"),IF($AY29="YES","",IF($AB29&lt;&gt;0,"",IF(COUNTIFS('AR SALES'!$L$2:$L$2501,$L29,'AR SALES'!$AD$2:$AD$2501,IF(""&amp;$F29="4","OFF","ON"),'AR SALES'!$AF$2:$AF$2501,"Y")&gt;0,"","NO EXEMPTION"))),"")</f>
        <v/>
      </c>
    </row>
    <row r="30" spans="46:54" x14ac:dyDescent="0.25">
      <c r="AT30" s="2" t="str">
        <f>IF($L30="","",IFERROR(INDEX('AR SALES'!$H$2:$H$2501,MATCH(""&amp;$L30,'AR SALES'!$AE$2:$AE$2501,0)),""))</f>
        <v/>
      </c>
      <c r="AU30" s="2" t="str">
        <f t="shared" si="0"/>
        <v/>
      </c>
      <c r="AV30" s="2" t="str">
        <f t="shared" si="1"/>
        <v/>
      </c>
      <c r="AW30" s="2" t="str">
        <f t="shared" si="2"/>
        <v/>
      </c>
      <c r="AX30" s="2" t="str">
        <f t="shared" si="3"/>
        <v/>
      </c>
      <c r="AY30" s="2" t="str">
        <f>IF($AV30="","",IF(AND($Z30=0,COUNTIF('AR SALES'!$L$2:$L$2501,$L30)=0),"YES",""))</f>
        <v/>
      </c>
      <c r="AZ30" s="2" t="str">
        <f>IF($AV30="","",IF(COUNTIF(LISTS!$C$2:$C$250,$AU30)=0,"NEW",""))</f>
        <v/>
      </c>
      <c r="BA30" s="2" t="str">
        <f>IF(""&amp;$F30&lt;&gt;"4","",IF($AY30="YES","",IF(ROUND(SUMIFS($AE$2:$AE$4001,$L$2:$L$4001,$L30,$F$2:$F$4001,"4")-SUMIFS('AR SALES'!$Y$2:$Y$2501,'AR SALES'!$L$2:$L$2501,$L30,'AR SALES'!$AD$2:$AD$2501,"OFF"),2)=0,"","STALE")))</f>
        <v/>
      </c>
      <c r="BB30" s="2" t="str">
        <f>IF(OR(""&amp;$F30="2",""&amp;$F30="4",""&amp;$F30="G",""&amp;$F30="H"),IF($AY30="YES","",IF($AB30&lt;&gt;0,"",IF(COUNTIFS('AR SALES'!$L$2:$L$2501,$L30,'AR SALES'!$AD$2:$AD$2501,IF(""&amp;$F30="4","OFF","ON"),'AR SALES'!$AF$2:$AF$2501,"Y")&gt;0,"","NO EXEMPTION"))),"")</f>
        <v/>
      </c>
    </row>
    <row r="31" spans="46:54" x14ac:dyDescent="0.25">
      <c r="AT31" s="2" t="str">
        <f>IF($L31="","",IFERROR(INDEX('AR SALES'!$H$2:$H$2501,MATCH(""&amp;$L31,'AR SALES'!$AE$2:$AE$2501,0)),""))</f>
        <v/>
      </c>
      <c r="AU31" s="2" t="str">
        <f t="shared" si="0"/>
        <v/>
      </c>
      <c r="AV31" s="2" t="str">
        <f t="shared" si="1"/>
        <v/>
      </c>
      <c r="AW31" s="2" t="str">
        <f t="shared" si="2"/>
        <v/>
      </c>
      <c r="AX31" s="2" t="str">
        <f t="shared" si="3"/>
        <v/>
      </c>
      <c r="AY31" s="2" t="str">
        <f>IF($AV31="","",IF(AND($Z31=0,COUNTIF('AR SALES'!$L$2:$L$2501,$L31)=0),"YES",""))</f>
        <v/>
      </c>
      <c r="AZ31" s="2" t="str">
        <f>IF($AV31="","",IF(COUNTIF(LISTS!$C$2:$C$250,$AU31)=0,"NEW",""))</f>
        <v/>
      </c>
      <c r="BA31" s="2" t="str">
        <f>IF(""&amp;$F31&lt;&gt;"4","",IF($AY31="YES","",IF(ROUND(SUMIFS($AE$2:$AE$4001,$L$2:$L$4001,$L31,$F$2:$F$4001,"4")-SUMIFS('AR SALES'!$Y$2:$Y$2501,'AR SALES'!$L$2:$L$2501,$L31,'AR SALES'!$AD$2:$AD$2501,"OFF"),2)=0,"","STALE")))</f>
        <v/>
      </c>
      <c r="BB31" s="2" t="str">
        <f>IF(OR(""&amp;$F31="2",""&amp;$F31="4",""&amp;$F31="G",""&amp;$F31="H"),IF($AY31="YES","",IF($AB31&lt;&gt;0,"",IF(COUNTIFS('AR SALES'!$L$2:$L$2501,$L31,'AR SALES'!$AD$2:$AD$2501,IF(""&amp;$F31="4","OFF","ON"),'AR SALES'!$AF$2:$AF$2501,"Y")&gt;0,"","NO EXEMPTION"))),"")</f>
        <v/>
      </c>
    </row>
    <row r="32" spans="46:54" x14ac:dyDescent="0.25">
      <c r="AT32" s="2" t="str">
        <f>IF($L32="","",IFERROR(INDEX('AR SALES'!$H$2:$H$2501,MATCH(""&amp;$L32,'AR SALES'!$AE$2:$AE$2501,0)),""))</f>
        <v/>
      </c>
      <c r="AU32" s="2" t="str">
        <f t="shared" si="0"/>
        <v/>
      </c>
      <c r="AV32" s="2" t="str">
        <f t="shared" si="1"/>
        <v/>
      </c>
      <c r="AW32" s="2" t="str">
        <f t="shared" si="2"/>
        <v/>
      </c>
      <c r="AX32" s="2" t="str">
        <f t="shared" si="3"/>
        <v/>
      </c>
      <c r="AY32" s="2" t="str">
        <f>IF($AV32="","",IF(AND($Z32=0,COUNTIF('AR SALES'!$L$2:$L$2501,$L32)=0),"YES",""))</f>
        <v/>
      </c>
      <c r="AZ32" s="2" t="str">
        <f>IF($AV32="","",IF(COUNTIF(LISTS!$C$2:$C$250,$AU32)=0,"NEW",""))</f>
        <v/>
      </c>
      <c r="BA32" s="2" t="str">
        <f>IF(""&amp;$F32&lt;&gt;"4","",IF($AY32="YES","",IF(ROUND(SUMIFS($AE$2:$AE$4001,$L$2:$L$4001,$L32,$F$2:$F$4001,"4")-SUMIFS('AR SALES'!$Y$2:$Y$2501,'AR SALES'!$L$2:$L$2501,$L32,'AR SALES'!$AD$2:$AD$2501,"OFF"),2)=0,"","STALE")))</f>
        <v/>
      </c>
      <c r="BB32" s="2" t="str">
        <f>IF(OR(""&amp;$F32="2",""&amp;$F32="4",""&amp;$F32="G",""&amp;$F32="H"),IF($AY32="YES","",IF($AB32&lt;&gt;0,"",IF(COUNTIFS('AR SALES'!$L$2:$L$2501,$L32,'AR SALES'!$AD$2:$AD$2501,IF(""&amp;$F32="4","OFF","ON"),'AR SALES'!$AF$2:$AF$2501,"Y")&gt;0,"","NO EXEMPTION"))),"")</f>
        <v/>
      </c>
    </row>
    <row r="33" spans="46:54" x14ac:dyDescent="0.25">
      <c r="AT33" s="2" t="str">
        <f>IF($L33="","",IFERROR(INDEX('AR SALES'!$H$2:$H$2501,MATCH(""&amp;$L33,'AR SALES'!$AE$2:$AE$2501,0)),""))</f>
        <v/>
      </c>
      <c r="AU33" s="2" t="str">
        <f t="shared" si="0"/>
        <v/>
      </c>
      <c r="AV33" s="2" t="str">
        <f t="shared" si="1"/>
        <v/>
      </c>
      <c r="AW33" s="2" t="str">
        <f t="shared" si="2"/>
        <v/>
      </c>
      <c r="AX33" s="2" t="str">
        <f t="shared" si="3"/>
        <v/>
      </c>
      <c r="AY33" s="2" t="str">
        <f>IF($AV33="","",IF(AND($Z33=0,COUNTIF('AR SALES'!$L$2:$L$2501,$L33)=0),"YES",""))</f>
        <v/>
      </c>
      <c r="AZ33" s="2" t="str">
        <f>IF($AV33="","",IF(COUNTIF(LISTS!$C$2:$C$250,$AU33)=0,"NEW",""))</f>
        <v/>
      </c>
      <c r="BA33" s="2" t="str">
        <f>IF(""&amp;$F33&lt;&gt;"4","",IF($AY33="YES","",IF(ROUND(SUMIFS($AE$2:$AE$4001,$L$2:$L$4001,$L33,$F$2:$F$4001,"4")-SUMIFS('AR SALES'!$Y$2:$Y$2501,'AR SALES'!$L$2:$L$2501,$L33,'AR SALES'!$AD$2:$AD$2501,"OFF"),2)=0,"","STALE")))</f>
        <v/>
      </c>
      <c r="BB33" s="2" t="str">
        <f>IF(OR(""&amp;$F33="2",""&amp;$F33="4",""&amp;$F33="G",""&amp;$F33="H"),IF($AY33="YES","",IF($AB33&lt;&gt;0,"",IF(COUNTIFS('AR SALES'!$L$2:$L$2501,$L33,'AR SALES'!$AD$2:$AD$2501,IF(""&amp;$F33="4","OFF","ON"),'AR SALES'!$AF$2:$AF$2501,"Y")&gt;0,"","NO EXEMPTION"))),"")</f>
        <v/>
      </c>
    </row>
    <row r="34" spans="46:54" x14ac:dyDescent="0.25">
      <c r="AT34" s="2" t="str">
        <f>IF($L34="","",IFERROR(INDEX('AR SALES'!$H$2:$H$2501,MATCH(""&amp;$L34,'AR SALES'!$AE$2:$AE$2501,0)),""))</f>
        <v/>
      </c>
      <c r="AU34" s="2" t="str">
        <f t="shared" si="0"/>
        <v/>
      </c>
      <c r="AV34" s="2" t="str">
        <f t="shared" si="1"/>
        <v/>
      </c>
      <c r="AW34" s="2" t="str">
        <f t="shared" si="2"/>
        <v/>
      </c>
      <c r="AX34" s="2" t="str">
        <f t="shared" si="3"/>
        <v/>
      </c>
      <c r="AY34" s="2" t="str">
        <f>IF($AV34="","",IF(AND($Z34=0,COUNTIF('AR SALES'!$L$2:$L$2501,$L34)=0),"YES",""))</f>
        <v/>
      </c>
      <c r="AZ34" s="2" t="str">
        <f>IF($AV34="","",IF(COUNTIF(LISTS!$C$2:$C$250,$AU34)=0,"NEW",""))</f>
        <v/>
      </c>
      <c r="BA34" s="2" t="str">
        <f>IF(""&amp;$F34&lt;&gt;"4","",IF($AY34="YES","",IF(ROUND(SUMIFS($AE$2:$AE$4001,$L$2:$L$4001,$L34,$F$2:$F$4001,"4")-SUMIFS('AR SALES'!$Y$2:$Y$2501,'AR SALES'!$L$2:$L$2501,$L34,'AR SALES'!$AD$2:$AD$2501,"OFF"),2)=0,"","STALE")))</f>
        <v/>
      </c>
      <c r="BB34" s="2" t="str">
        <f>IF(OR(""&amp;$F34="2",""&amp;$F34="4",""&amp;$F34="G",""&amp;$F34="H"),IF($AY34="YES","",IF($AB34&lt;&gt;0,"",IF(COUNTIFS('AR SALES'!$L$2:$L$2501,$L34,'AR SALES'!$AD$2:$AD$2501,IF(""&amp;$F34="4","OFF","ON"),'AR SALES'!$AF$2:$AF$2501,"Y")&gt;0,"","NO EXEMPTION"))),"")</f>
        <v/>
      </c>
    </row>
    <row r="35" spans="46:54" x14ac:dyDescent="0.25">
      <c r="AT35" s="2" t="str">
        <f>IF($L35="","",IFERROR(INDEX('AR SALES'!$H$2:$H$2501,MATCH(""&amp;$L35,'AR SALES'!$AE$2:$AE$2501,0)),""))</f>
        <v/>
      </c>
      <c r="AU35" s="2" t="str">
        <f t="shared" si="0"/>
        <v/>
      </c>
      <c r="AV35" s="2" t="str">
        <f t="shared" si="1"/>
        <v/>
      </c>
      <c r="AW35" s="2" t="str">
        <f t="shared" si="2"/>
        <v/>
      </c>
      <c r="AX35" s="2" t="str">
        <f t="shared" si="3"/>
        <v/>
      </c>
      <c r="AY35" s="2" t="str">
        <f>IF($AV35="","",IF(AND($Z35=0,COUNTIF('AR SALES'!$L$2:$L$2501,$L35)=0),"YES",""))</f>
        <v/>
      </c>
      <c r="AZ35" s="2" t="str">
        <f>IF($AV35="","",IF(COUNTIF(LISTS!$C$2:$C$250,$AU35)=0,"NEW",""))</f>
        <v/>
      </c>
      <c r="BA35" s="2" t="str">
        <f>IF(""&amp;$F35&lt;&gt;"4","",IF($AY35="YES","",IF(ROUND(SUMIFS($AE$2:$AE$4001,$L$2:$L$4001,$L35,$F$2:$F$4001,"4")-SUMIFS('AR SALES'!$Y$2:$Y$2501,'AR SALES'!$L$2:$L$2501,$L35,'AR SALES'!$AD$2:$AD$2501,"OFF"),2)=0,"","STALE")))</f>
        <v/>
      </c>
      <c r="BB35" s="2" t="str">
        <f>IF(OR(""&amp;$F35="2",""&amp;$F35="4",""&amp;$F35="G",""&amp;$F35="H"),IF($AY35="YES","",IF($AB35&lt;&gt;0,"",IF(COUNTIFS('AR SALES'!$L$2:$L$2501,$L35,'AR SALES'!$AD$2:$AD$2501,IF(""&amp;$F35="4","OFF","ON"),'AR SALES'!$AF$2:$AF$2501,"Y")&gt;0,"","NO EXEMPTION"))),"")</f>
        <v/>
      </c>
    </row>
    <row r="36" spans="46:54" x14ac:dyDescent="0.25">
      <c r="AT36" s="2" t="str">
        <f>IF($L36="","",IFERROR(INDEX('AR SALES'!$H$2:$H$2501,MATCH(""&amp;$L36,'AR SALES'!$AE$2:$AE$2501,0)),""))</f>
        <v/>
      </c>
      <c r="AU36" s="2" t="str">
        <f t="shared" si="0"/>
        <v/>
      </c>
      <c r="AV36" s="2" t="str">
        <f t="shared" si="1"/>
        <v/>
      </c>
      <c r="AW36" s="2" t="str">
        <f t="shared" si="2"/>
        <v/>
      </c>
      <c r="AX36" s="2" t="str">
        <f t="shared" si="3"/>
        <v/>
      </c>
      <c r="AY36" s="2" t="str">
        <f>IF($AV36="","",IF(AND($Z36=0,COUNTIF('AR SALES'!$L$2:$L$2501,$L36)=0),"YES",""))</f>
        <v/>
      </c>
      <c r="AZ36" s="2" t="str">
        <f>IF($AV36="","",IF(COUNTIF(LISTS!$C$2:$C$250,$AU36)=0,"NEW",""))</f>
        <v/>
      </c>
      <c r="BA36" s="2" t="str">
        <f>IF(""&amp;$F36&lt;&gt;"4","",IF($AY36="YES","",IF(ROUND(SUMIFS($AE$2:$AE$4001,$L$2:$L$4001,$L36,$F$2:$F$4001,"4")-SUMIFS('AR SALES'!$Y$2:$Y$2501,'AR SALES'!$L$2:$L$2501,$L36,'AR SALES'!$AD$2:$AD$2501,"OFF"),2)=0,"","STALE")))</f>
        <v/>
      </c>
      <c r="BB36" s="2" t="str">
        <f>IF(OR(""&amp;$F36="2",""&amp;$F36="4",""&amp;$F36="G",""&amp;$F36="H"),IF($AY36="YES","",IF($AB36&lt;&gt;0,"",IF(COUNTIFS('AR SALES'!$L$2:$L$2501,$L36,'AR SALES'!$AD$2:$AD$2501,IF(""&amp;$F36="4","OFF","ON"),'AR SALES'!$AF$2:$AF$2501,"Y")&gt;0,"","NO EXEMPTION"))),"")</f>
        <v/>
      </c>
    </row>
    <row r="37" spans="46:54" x14ac:dyDescent="0.25">
      <c r="AT37" s="2" t="str">
        <f>IF($L37="","",IFERROR(INDEX('AR SALES'!$H$2:$H$2501,MATCH(""&amp;$L37,'AR SALES'!$AE$2:$AE$2501,0)),""))</f>
        <v/>
      </c>
      <c r="AU37" s="2" t="str">
        <f t="shared" si="0"/>
        <v/>
      </c>
      <c r="AV37" s="2" t="str">
        <f t="shared" si="1"/>
        <v/>
      </c>
      <c r="AW37" s="2" t="str">
        <f t="shared" si="2"/>
        <v/>
      </c>
      <c r="AX37" s="2" t="str">
        <f t="shared" si="3"/>
        <v/>
      </c>
      <c r="AY37" s="2" t="str">
        <f>IF($AV37="","",IF(AND($Z37=0,COUNTIF('AR SALES'!$L$2:$L$2501,$L37)=0),"YES",""))</f>
        <v/>
      </c>
      <c r="AZ37" s="2" t="str">
        <f>IF($AV37="","",IF(COUNTIF(LISTS!$C$2:$C$250,$AU37)=0,"NEW",""))</f>
        <v/>
      </c>
      <c r="BA37" s="2" t="str">
        <f>IF(""&amp;$F37&lt;&gt;"4","",IF($AY37="YES","",IF(ROUND(SUMIFS($AE$2:$AE$4001,$L$2:$L$4001,$L37,$F$2:$F$4001,"4")-SUMIFS('AR SALES'!$Y$2:$Y$2501,'AR SALES'!$L$2:$L$2501,$L37,'AR SALES'!$AD$2:$AD$2501,"OFF"),2)=0,"","STALE")))</f>
        <v/>
      </c>
      <c r="BB37" s="2" t="str">
        <f>IF(OR(""&amp;$F37="2",""&amp;$F37="4",""&amp;$F37="G",""&amp;$F37="H"),IF($AY37="YES","",IF($AB37&lt;&gt;0,"",IF(COUNTIFS('AR SALES'!$L$2:$L$2501,$L37,'AR SALES'!$AD$2:$AD$2501,IF(""&amp;$F37="4","OFF","ON"),'AR SALES'!$AF$2:$AF$2501,"Y")&gt;0,"","NO EXEMPTION"))),"")</f>
        <v/>
      </c>
    </row>
    <row r="38" spans="46:54" x14ac:dyDescent="0.25">
      <c r="AT38" s="2" t="str">
        <f>IF($L38="","",IFERROR(INDEX('AR SALES'!$H$2:$H$2501,MATCH(""&amp;$L38,'AR SALES'!$AE$2:$AE$2501,0)),""))</f>
        <v/>
      </c>
      <c r="AU38" s="2" t="str">
        <f t="shared" si="0"/>
        <v/>
      </c>
      <c r="AV38" s="2" t="str">
        <f t="shared" si="1"/>
        <v/>
      </c>
      <c r="AW38" s="2" t="str">
        <f t="shared" si="2"/>
        <v/>
      </c>
      <c r="AX38" s="2" t="str">
        <f t="shared" si="3"/>
        <v/>
      </c>
      <c r="AY38" s="2" t="str">
        <f>IF($AV38="","",IF(AND($Z38=0,COUNTIF('AR SALES'!$L$2:$L$2501,$L38)=0),"YES",""))</f>
        <v/>
      </c>
      <c r="AZ38" s="2" t="str">
        <f>IF($AV38="","",IF(COUNTIF(LISTS!$C$2:$C$250,$AU38)=0,"NEW",""))</f>
        <v/>
      </c>
      <c r="BA38" s="2" t="str">
        <f>IF(""&amp;$F38&lt;&gt;"4","",IF($AY38="YES","",IF(ROUND(SUMIFS($AE$2:$AE$4001,$L$2:$L$4001,$L38,$F$2:$F$4001,"4")-SUMIFS('AR SALES'!$Y$2:$Y$2501,'AR SALES'!$L$2:$L$2501,$L38,'AR SALES'!$AD$2:$AD$2501,"OFF"),2)=0,"","STALE")))</f>
        <v/>
      </c>
      <c r="BB38" s="2" t="str">
        <f>IF(OR(""&amp;$F38="2",""&amp;$F38="4",""&amp;$F38="G",""&amp;$F38="H"),IF($AY38="YES","",IF($AB38&lt;&gt;0,"",IF(COUNTIFS('AR SALES'!$L$2:$L$2501,$L38,'AR SALES'!$AD$2:$AD$2501,IF(""&amp;$F38="4","OFF","ON"),'AR SALES'!$AF$2:$AF$2501,"Y")&gt;0,"","NO EXEMPTION"))),"")</f>
        <v/>
      </c>
    </row>
    <row r="39" spans="46:54" x14ac:dyDescent="0.25">
      <c r="AT39" s="2" t="str">
        <f>IF($L39="","",IFERROR(INDEX('AR SALES'!$H$2:$H$2501,MATCH(""&amp;$L39,'AR SALES'!$AE$2:$AE$2501,0)),""))</f>
        <v/>
      </c>
      <c r="AU39" s="2" t="str">
        <f t="shared" si="0"/>
        <v/>
      </c>
      <c r="AV39" s="2" t="str">
        <f t="shared" si="1"/>
        <v/>
      </c>
      <c r="AW39" s="2" t="str">
        <f t="shared" si="2"/>
        <v/>
      </c>
      <c r="AX39" s="2" t="str">
        <f t="shared" si="3"/>
        <v/>
      </c>
      <c r="AY39" s="2" t="str">
        <f>IF($AV39="","",IF(AND($Z39=0,COUNTIF('AR SALES'!$L$2:$L$2501,$L39)=0),"YES",""))</f>
        <v/>
      </c>
      <c r="AZ39" s="2" t="str">
        <f>IF($AV39="","",IF(COUNTIF(LISTS!$C$2:$C$250,$AU39)=0,"NEW",""))</f>
        <v/>
      </c>
      <c r="BA39" s="2" t="str">
        <f>IF(""&amp;$F39&lt;&gt;"4","",IF($AY39="YES","",IF(ROUND(SUMIFS($AE$2:$AE$4001,$L$2:$L$4001,$L39,$F$2:$F$4001,"4")-SUMIFS('AR SALES'!$Y$2:$Y$2501,'AR SALES'!$L$2:$L$2501,$L39,'AR SALES'!$AD$2:$AD$2501,"OFF"),2)=0,"","STALE")))</f>
        <v/>
      </c>
      <c r="BB39" s="2" t="str">
        <f>IF(OR(""&amp;$F39="2",""&amp;$F39="4",""&amp;$F39="G",""&amp;$F39="H"),IF($AY39="YES","",IF($AB39&lt;&gt;0,"",IF(COUNTIFS('AR SALES'!$L$2:$L$2501,$L39,'AR SALES'!$AD$2:$AD$2501,IF(""&amp;$F39="4","OFF","ON"),'AR SALES'!$AF$2:$AF$2501,"Y")&gt;0,"","NO EXEMPTION"))),"")</f>
        <v/>
      </c>
    </row>
    <row r="40" spans="46:54" x14ac:dyDescent="0.25">
      <c r="AT40" s="2" t="str">
        <f>IF($L40="","",IFERROR(INDEX('AR SALES'!$H$2:$H$2501,MATCH(""&amp;$L40,'AR SALES'!$AE$2:$AE$2501,0)),""))</f>
        <v/>
      </c>
      <c r="AU40" s="2" t="str">
        <f t="shared" si="0"/>
        <v/>
      </c>
      <c r="AV40" s="2" t="str">
        <f t="shared" si="1"/>
        <v/>
      </c>
      <c r="AW40" s="2" t="str">
        <f t="shared" si="2"/>
        <v/>
      </c>
      <c r="AX40" s="2" t="str">
        <f t="shared" si="3"/>
        <v/>
      </c>
      <c r="AY40" s="2" t="str">
        <f>IF($AV40="","",IF(AND($Z40=0,COUNTIF('AR SALES'!$L$2:$L$2501,$L40)=0),"YES",""))</f>
        <v/>
      </c>
      <c r="AZ40" s="2" t="str">
        <f>IF($AV40="","",IF(COUNTIF(LISTS!$C$2:$C$250,$AU40)=0,"NEW",""))</f>
        <v/>
      </c>
      <c r="BA40" s="2" t="str">
        <f>IF(""&amp;$F40&lt;&gt;"4","",IF($AY40="YES","",IF(ROUND(SUMIFS($AE$2:$AE$4001,$L$2:$L$4001,$L40,$F$2:$F$4001,"4")-SUMIFS('AR SALES'!$Y$2:$Y$2501,'AR SALES'!$L$2:$L$2501,$L40,'AR SALES'!$AD$2:$AD$2501,"OFF"),2)=0,"","STALE")))</f>
        <v/>
      </c>
      <c r="BB40" s="2" t="str">
        <f>IF(OR(""&amp;$F40="2",""&amp;$F40="4",""&amp;$F40="G",""&amp;$F40="H"),IF($AY40="YES","",IF($AB40&lt;&gt;0,"",IF(COUNTIFS('AR SALES'!$L$2:$L$2501,$L40,'AR SALES'!$AD$2:$AD$2501,IF(""&amp;$F40="4","OFF","ON"),'AR SALES'!$AF$2:$AF$2501,"Y")&gt;0,"","NO EXEMPTION"))),"")</f>
        <v/>
      </c>
    </row>
    <row r="41" spans="46:54" x14ac:dyDescent="0.25">
      <c r="AT41" s="2" t="str">
        <f>IF($L41="","",IFERROR(INDEX('AR SALES'!$H$2:$H$2501,MATCH(""&amp;$L41,'AR SALES'!$AE$2:$AE$2501,0)),""))</f>
        <v/>
      </c>
      <c r="AU41" s="2" t="str">
        <f t="shared" si="0"/>
        <v/>
      </c>
      <c r="AV41" s="2" t="str">
        <f t="shared" si="1"/>
        <v/>
      </c>
      <c r="AW41" s="2" t="str">
        <f t="shared" si="2"/>
        <v/>
      </c>
      <c r="AX41" s="2" t="str">
        <f t="shared" si="3"/>
        <v/>
      </c>
      <c r="AY41" s="2" t="str">
        <f>IF($AV41="","",IF(AND($Z41=0,COUNTIF('AR SALES'!$L$2:$L$2501,$L41)=0),"YES",""))</f>
        <v/>
      </c>
      <c r="AZ41" s="2" t="str">
        <f>IF($AV41="","",IF(COUNTIF(LISTS!$C$2:$C$250,$AU41)=0,"NEW",""))</f>
        <v/>
      </c>
      <c r="BA41" s="2" t="str">
        <f>IF(""&amp;$F41&lt;&gt;"4","",IF($AY41="YES","",IF(ROUND(SUMIFS($AE$2:$AE$4001,$L$2:$L$4001,$L41,$F$2:$F$4001,"4")-SUMIFS('AR SALES'!$Y$2:$Y$2501,'AR SALES'!$L$2:$L$2501,$L41,'AR SALES'!$AD$2:$AD$2501,"OFF"),2)=0,"","STALE")))</f>
        <v/>
      </c>
      <c r="BB41" s="2" t="str">
        <f>IF(OR(""&amp;$F41="2",""&amp;$F41="4",""&amp;$F41="G",""&amp;$F41="H"),IF($AY41="YES","",IF($AB41&lt;&gt;0,"",IF(COUNTIFS('AR SALES'!$L$2:$L$2501,$L41,'AR SALES'!$AD$2:$AD$2501,IF(""&amp;$F41="4","OFF","ON"),'AR SALES'!$AF$2:$AF$2501,"Y")&gt;0,"","NO EXEMPTION"))),"")</f>
        <v/>
      </c>
    </row>
    <row r="42" spans="46:54" x14ac:dyDescent="0.25">
      <c r="AT42" s="2" t="str">
        <f>IF($L42="","",IFERROR(INDEX('AR SALES'!$H$2:$H$2501,MATCH(""&amp;$L42,'AR SALES'!$AE$2:$AE$2501,0)),""))</f>
        <v/>
      </c>
      <c r="AU42" s="2" t="str">
        <f t="shared" si="0"/>
        <v/>
      </c>
      <c r="AV42" s="2" t="str">
        <f t="shared" si="1"/>
        <v/>
      </c>
      <c r="AW42" s="2" t="str">
        <f t="shared" si="2"/>
        <v/>
      </c>
      <c r="AX42" s="2" t="str">
        <f t="shared" si="3"/>
        <v/>
      </c>
      <c r="AY42" s="2" t="str">
        <f>IF($AV42="","",IF(AND($Z42=0,COUNTIF('AR SALES'!$L$2:$L$2501,$L42)=0),"YES",""))</f>
        <v/>
      </c>
      <c r="AZ42" s="2" t="str">
        <f>IF($AV42="","",IF(COUNTIF(LISTS!$C$2:$C$250,$AU42)=0,"NEW",""))</f>
        <v/>
      </c>
      <c r="BA42" s="2" t="str">
        <f>IF(""&amp;$F42&lt;&gt;"4","",IF($AY42="YES","",IF(ROUND(SUMIFS($AE$2:$AE$4001,$L$2:$L$4001,$L42,$F$2:$F$4001,"4")-SUMIFS('AR SALES'!$Y$2:$Y$2501,'AR SALES'!$L$2:$L$2501,$L42,'AR SALES'!$AD$2:$AD$2501,"OFF"),2)=0,"","STALE")))</f>
        <v/>
      </c>
      <c r="BB42" s="2" t="str">
        <f>IF(OR(""&amp;$F42="2",""&amp;$F42="4",""&amp;$F42="G",""&amp;$F42="H"),IF($AY42="YES","",IF($AB42&lt;&gt;0,"",IF(COUNTIFS('AR SALES'!$L$2:$L$2501,$L42,'AR SALES'!$AD$2:$AD$2501,IF(""&amp;$F42="4","OFF","ON"),'AR SALES'!$AF$2:$AF$2501,"Y")&gt;0,"","NO EXEMPTION"))),"")</f>
        <v/>
      </c>
    </row>
    <row r="43" spans="46:54" x14ac:dyDescent="0.25">
      <c r="AT43" s="2" t="str">
        <f>IF($L43="","",IFERROR(INDEX('AR SALES'!$H$2:$H$2501,MATCH(""&amp;$L43,'AR SALES'!$AE$2:$AE$2501,0)),""))</f>
        <v/>
      </c>
      <c r="AU43" s="2" t="str">
        <f t="shared" si="0"/>
        <v/>
      </c>
      <c r="AV43" s="2" t="str">
        <f t="shared" si="1"/>
        <v/>
      </c>
      <c r="AW43" s="2" t="str">
        <f t="shared" si="2"/>
        <v/>
      </c>
      <c r="AX43" s="2" t="str">
        <f t="shared" si="3"/>
        <v/>
      </c>
      <c r="AY43" s="2" t="str">
        <f>IF($AV43="","",IF(AND($Z43=0,COUNTIF('AR SALES'!$L$2:$L$2501,$L43)=0),"YES",""))</f>
        <v/>
      </c>
      <c r="AZ43" s="2" t="str">
        <f>IF($AV43="","",IF(COUNTIF(LISTS!$C$2:$C$250,$AU43)=0,"NEW",""))</f>
        <v/>
      </c>
      <c r="BA43" s="2" t="str">
        <f>IF(""&amp;$F43&lt;&gt;"4","",IF($AY43="YES","",IF(ROUND(SUMIFS($AE$2:$AE$4001,$L$2:$L$4001,$L43,$F$2:$F$4001,"4")-SUMIFS('AR SALES'!$Y$2:$Y$2501,'AR SALES'!$L$2:$L$2501,$L43,'AR SALES'!$AD$2:$AD$2501,"OFF"),2)=0,"","STALE")))</f>
        <v/>
      </c>
      <c r="BB43" s="2" t="str">
        <f>IF(OR(""&amp;$F43="2",""&amp;$F43="4",""&amp;$F43="G",""&amp;$F43="H"),IF($AY43="YES","",IF($AB43&lt;&gt;0,"",IF(COUNTIFS('AR SALES'!$L$2:$L$2501,$L43,'AR SALES'!$AD$2:$AD$2501,IF(""&amp;$F43="4","OFF","ON"),'AR SALES'!$AF$2:$AF$2501,"Y")&gt;0,"","NO EXEMPTION"))),"")</f>
        <v/>
      </c>
    </row>
    <row r="44" spans="46:54" x14ac:dyDescent="0.25">
      <c r="AT44" s="2" t="str">
        <f>IF($L44="","",IFERROR(INDEX('AR SALES'!$H$2:$H$2501,MATCH(""&amp;$L44,'AR SALES'!$AE$2:$AE$2501,0)),""))</f>
        <v/>
      </c>
      <c r="AU44" s="2" t="str">
        <f t="shared" si="0"/>
        <v/>
      </c>
      <c r="AV44" s="2" t="str">
        <f t="shared" si="1"/>
        <v/>
      </c>
      <c r="AW44" s="2" t="str">
        <f t="shared" si="2"/>
        <v/>
      </c>
      <c r="AX44" s="2" t="str">
        <f t="shared" si="3"/>
        <v/>
      </c>
      <c r="AY44" s="2" t="str">
        <f>IF($AV44="","",IF(AND($Z44=0,COUNTIF('AR SALES'!$L$2:$L$2501,$L44)=0),"YES",""))</f>
        <v/>
      </c>
      <c r="AZ44" s="2" t="str">
        <f>IF($AV44="","",IF(COUNTIF(LISTS!$C$2:$C$250,$AU44)=0,"NEW",""))</f>
        <v/>
      </c>
      <c r="BA44" s="2" t="str">
        <f>IF(""&amp;$F44&lt;&gt;"4","",IF($AY44="YES","",IF(ROUND(SUMIFS($AE$2:$AE$4001,$L$2:$L$4001,$L44,$F$2:$F$4001,"4")-SUMIFS('AR SALES'!$Y$2:$Y$2501,'AR SALES'!$L$2:$L$2501,$L44,'AR SALES'!$AD$2:$AD$2501,"OFF"),2)=0,"","STALE")))</f>
        <v/>
      </c>
      <c r="BB44" s="2" t="str">
        <f>IF(OR(""&amp;$F44="2",""&amp;$F44="4",""&amp;$F44="G",""&amp;$F44="H"),IF($AY44="YES","",IF($AB44&lt;&gt;0,"",IF(COUNTIFS('AR SALES'!$L$2:$L$2501,$L44,'AR SALES'!$AD$2:$AD$2501,IF(""&amp;$F44="4","OFF","ON"),'AR SALES'!$AF$2:$AF$2501,"Y")&gt;0,"","NO EXEMPTION"))),"")</f>
        <v/>
      </c>
    </row>
    <row r="45" spans="46:54" x14ac:dyDescent="0.25">
      <c r="AT45" s="2" t="str">
        <f>IF($L45="","",IFERROR(INDEX('AR SALES'!$H$2:$H$2501,MATCH(""&amp;$L45,'AR SALES'!$AE$2:$AE$2501,0)),""))</f>
        <v/>
      </c>
      <c r="AU45" s="2" t="str">
        <f t="shared" si="0"/>
        <v/>
      </c>
      <c r="AV45" s="2" t="str">
        <f t="shared" si="1"/>
        <v/>
      </c>
      <c r="AW45" s="2" t="str">
        <f t="shared" si="2"/>
        <v/>
      </c>
      <c r="AX45" s="2" t="str">
        <f t="shared" si="3"/>
        <v/>
      </c>
      <c r="AY45" s="2" t="str">
        <f>IF($AV45="","",IF(AND($Z45=0,COUNTIF('AR SALES'!$L$2:$L$2501,$L45)=0),"YES",""))</f>
        <v/>
      </c>
      <c r="AZ45" s="2" t="str">
        <f>IF($AV45="","",IF(COUNTIF(LISTS!$C$2:$C$250,$AU45)=0,"NEW",""))</f>
        <v/>
      </c>
      <c r="BA45" s="2" t="str">
        <f>IF(""&amp;$F45&lt;&gt;"4","",IF($AY45="YES","",IF(ROUND(SUMIFS($AE$2:$AE$4001,$L$2:$L$4001,$L45,$F$2:$F$4001,"4")-SUMIFS('AR SALES'!$Y$2:$Y$2501,'AR SALES'!$L$2:$L$2501,$L45,'AR SALES'!$AD$2:$AD$2501,"OFF"),2)=0,"","STALE")))</f>
        <v/>
      </c>
      <c r="BB45" s="2" t="str">
        <f>IF(OR(""&amp;$F45="2",""&amp;$F45="4",""&amp;$F45="G",""&amp;$F45="H"),IF($AY45="YES","",IF($AB45&lt;&gt;0,"",IF(COUNTIFS('AR SALES'!$L$2:$L$2501,$L45,'AR SALES'!$AD$2:$AD$2501,IF(""&amp;$F45="4","OFF","ON"),'AR SALES'!$AF$2:$AF$2501,"Y")&gt;0,"","NO EXEMPTION"))),"")</f>
        <v/>
      </c>
    </row>
    <row r="46" spans="46:54" x14ac:dyDescent="0.25">
      <c r="AT46" s="2" t="str">
        <f>IF($L46="","",IFERROR(INDEX('AR SALES'!$H$2:$H$2501,MATCH(""&amp;$L46,'AR SALES'!$AE$2:$AE$2501,0)),""))</f>
        <v/>
      </c>
      <c r="AU46" s="2" t="str">
        <f t="shared" si="0"/>
        <v/>
      </c>
      <c r="AV46" s="2" t="str">
        <f t="shared" si="1"/>
        <v/>
      </c>
      <c r="AW46" s="2" t="str">
        <f t="shared" si="2"/>
        <v/>
      </c>
      <c r="AX46" s="2" t="str">
        <f t="shared" si="3"/>
        <v/>
      </c>
      <c r="AY46" s="2" t="str">
        <f>IF($AV46="","",IF(AND($Z46=0,COUNTIF('AR SALES'!$L$2:$L$2501,$L46)=0),"YES",""))</f>
        <v/>
      </c>
      <c r="AZ46" s="2" t="str">
        <f>IF($AV46="","",IF(COUNTIF(LISTS!$C$2:$C$250,$AU46)=0,"NEW",""))</f>
        <v/>
      </c>
      <c r="BA46" s="2" t="str">
        <f>IF(""&amp;$F46&lt;&gt;"4","",IF($AY46="YES","",IF(ROUND(SUMIFS($AE$2:$AE$4001,$L$2:$L$4001,$L46,$F$2:$F$4001,"4")-SUMIFS('AR SALES'!$Y$2:$Y$2501,'AR SALES'!$L$2:$L$2501,$L46,'AR SALES'!$AD$2:$AD$2501,"OFF"),2)=0,"","STALE")))</f>
        <v/>
      </c>
      <c r="BB46" s="2" t="str">
        <f>IF(OR(""&amp;$F46="2",""&amp;$F46="4",""&amp;$F46="G",""&amp;$F46="H"),IF($AY46="YES","",IF($AB46&lt;&gt;0,"",IF(COUNTIFS('AR SALES'!$L$2:$L$2501,$L46,'AR SALES'!$AD$2:$AD$2501,IF(""&amp;$F46="4","OFF","ON"),'AR SALES'!$AF$2:$AF$2501,"Y")&gt;0,"","NO EXEMPTION"))),"")</f>
        <v/>
      </c>
    </row>
    <row r="47" spans="46:54" x14ac:dyDescent="0.25">
      <c r="AT47" s="2" t="str">
        <f>IF($L47="","",IFERROR(INDEX('AR SALES'!$H$2:$H$2501,MATCH(""&amp;$L47,'AR SALES'!$AE$2:$AE$2501,0)),""))</f>
        <v/>
      </c>
      <c r="AU47" s="2" t="str">
        <f t="shared" si="0"/>
        <v/>
      </c>
      <c r="AV47" s="2" t="str">
        <f t="shared" si="1"/>
        <v/>
      </c>
      <c r="AW47" s="2" t="str">
        <f t="shared" si="2"/>
        <v/>
      </c>
      <c r="AX47" s="2" t="str">
        <f t="shared" si="3"/>
        <v/>
      </c>
      <c r="AY47" s="2" t="str">
        <f>IF($AV47="","",IF(AND($Z47=0,COUNTIF('AR SALES'!$L$2:$L$2501,$L47)=0),"YES",""))</f>
        <v/>
      </c>
      <c r="AZ47" s="2" t="str">
        <f>IF($AV47="","",IF(COUNTIF(LISTS!$C$2:$C$250,$AU47)=0,"NEW",""))</f>
        <v/>
      </c>
      <c r="BA47" s="2" t="str">
        <f>IF(""&amp;$F47&lt;&gt;"4","",IF($AY47="YES","",IF(ROUND(SUMIFS($AE$2:$AE$4001,$L$2:$L$4001,$L47,$F$2:$F$4001,"4")-SUMIFS('AR SALES'!$Y$2:$Y$2501,'AR SALES'!$L$2:$L$2501,$L47,'AR SALES'!$AD$2:$AD$2501,"OFF"),2)=0,"","STALE")))</f>
        <v/>
      </c>
      <c r="BB47" s="2" t="str">
        <f>IF(OR(""&amp;$F47="2",""&amp;$F47="4",""&amp;$F47="G",""&amp;$F47="H"),IF($AY47="YES","",IF($AB47&lt;&gt;0,"",IF(COUNTIFS('AR SALES'!$L$2:$L$2501,$L47,'AR SALES'!$AD$2:$AD$2501,IF(""&amp;$F47="4","OFF","ON"),'AR SALES'!$AF$2:$AF$2501,"Y")&gt;0,"","NO EXEMPTION"))),"")</f>
        <v/>
      </c>
    </row>
    <row r="48" spans="46:54" x14ac:dyDescent="0.25">
      <c r="AT48" s="2" t="str">
        <f>IF($L48="","",IFERROR(INDEX('AR SALES'!$H$2:$H$2501,MATCH(""&amp;$L48,'AR SALES'!$AE$2:$AE$2501,0)),""))</f>
        <v/>
      </c>
      <c r="AU48" s="2" t="str">
        <f t="shared" si="0"/>
        <v/>
      </c>
      <c r="AV48" s="2" t="str">
        <f t="shared" si="1"/>
        <v/>
      </c>
      <c r="AW48" s="2" t="str">
        <f t="shared" si="2"/>
        <v/>
      </c>
      <c r="AX48" s="2" t="str">
        <f t="shared" si="3"/>
        <v/>
      </c>
      <c r="AY48" s="2" t="str">
        <f>IF($AV48="","",IF(AND($Z48=0,COUNTIF('AR SALES'!$L$2:$L$2501,$L48)=0),"YES",""))</f>
        <v/>
      </c>
      <c r="AZ48" s="2" t="str">
        <f>IF($AV48="","",IF(COUNTIF(LISTS!$C$2:$C$250,$AU48)=0,"NEW",""))</f>
        <v/>
      </c>
      <c r="BA48" s="2" t="str">
        <f>IF(""&amp;$F48&lt;&gt;"4","",IF($AY48="YES","",IF(ROUND(SUMIFS($AE$2:$AE$4001,$L$2:$L$4001,$L48,$F$2:$F$4001,"4")-SUMIFS('AR SALES'!$Y$2:$Y$2501,'AR SALES'!$L$2:$L$2501,$L48,'AR SALES'!$AD$2:$AD$2501,"OFF"),2)=0,"","STALE")))</f>
        <v/>
      </c>
      <c r="BB48" s="2" t="str">
        <f>IF(OR(""&amp;$F48="2",""&amp;$F48="4",""&amp;$F48="G",""&amp;$F48="H"),IF($AY48="YES","",IF($AB48&lt;&gt;0,"",IF(COUNTIFS('AR SALES'!$L$2:$L$2501,$L48,'AR SALES'!$AD$2:$AD$2501,IF(""&amp;$F48="4","OFF","ON"),'AR SALES'!$AF$2:$AF$2501,"Y")&gt;0,"","NO EXEMPTION"))),"")</f>
        <v/>
      </c>
    </row>
    <row r="49" spans="46:54" x14ac:dyDescent="0.25">
      <c r="AT49" s="2" t="str">
        <f>IF($L49="","",IFERROR(INDEX('AR SALES'!$H$2:$H$2501,MATCH(""&amp;$L49,'AR SALES'!$AE$2:$AE$2501,0)),""))</f>
        <v/>
      </c>
      <c r="AU49" s="2" t="str">
        <f t="shared" si="0"/>
        <v/>
      </c>
      <c r="AV49" s="2" t="str">
        <f t="shared" si="1"/>
        <v/>
      </c>
      <c r="AW49" s="2" t="str">
        <f t="shared" si="2"/>
        <v/>
      </c>
      <c r="AX49" s="2" t="str">
        <f t="shared" si="3"/>
        <v/>
      </c>
      <c r="AY49" s="2" t="str">
        <f>IF($AV49="","",IF(AND($Z49=0,COUNTIF('AR SALES'!$L$2:$L$2501,$L49)=0),"YES",""))</f>
        <v/>
      </c>
      <c r="AZ49" s="2" t="str">
        <f>IF($AV49="","",IF(COUNTIF(LISTS!$C$2:$C$250,$AU49)=0,"NEW",""))</f>
        <v/>
      </c>
      <c r="BA49" s="2" t="str">
        <f>IF(""&amp;$F49&lt;&gt;"4","",IF($AY49="YES","",IF(ROUND(SUMIFS($AE$2:$AE$4001,$L$2:$L$4001,$L49,$F$2:$F$4001,"4")-SUMIFS('AR SALES'!$Y$2:$Y$2501,'AR SALES'!$L$2:$L$2501,$L49,'AR SALES'!$AD$2:$AD$2501,"OFF"),2)=0,"","STALE")))</f>
        <v/>
      </c>
      <c r="BB49" s="2" t="str">
        <f>IF(OR(""&amp;$F49="2",""&amp;$F49="4",""&amp;$F49="G",""&amp;$F49="H"),IF($AY49="YES","",IF($AB49&lt;&gt;0,"",IF(COUNTIFS('AR SALES'!$L$2:$L$2501,$L49,'AR SALES'!$AD$2:$AD$2501,IF(""&amp;$F49="4","OFF","ON"),'AR SALES'!$AF$2:$AF$2501,"Y")&gt;0,"","NO EXEMPTION"))),"")</f>
        <v/>
      </c>
    </row>
    <row r="50" spans="46:54" x14ac:dyDescent="0.25">
      <c r="AT50" s="2" t="str">
        <f>IF($L50="","",IFERROR(INDEX('AR SALES'!$H$2:$H$2501,MATCH(""&amp;$L50,'AR SALES'!$AE$2:$AE$2501,0)),""))</f>
        <v/>
      </c>
      <c r="AU50" s="2" t="str">
        <f t="shared" si="0"/>
        <v/>
      </c>
      <c r="AV50" s="2" t="str">
        <f t="shared" si="1"/>
        <v/>
      </c>
      <c r="AW50" s="2" t="str">
        <f t="shared" si="2"/>
        <v/>
      </c>
      <c r="AX50" s="2" t="str">
        <f t="shared" si="3"/>
        <v/>
      </c>
      <c r="AY50" s="2" t="str">
        <f>IF($AV50="","",IF(AND($Z50=0,COUNTIF('AR SALES'!$L$2:$L$2501,$L50)=0),"YES",""))</f>
        <v/>
      </c>
      <c r="AZ50" s="2" t="str">
        <f>IF($AV50="","",IF(COUNTIF(LISTS!$C$2:$C$250,$AU50)=0,"NEW",""))</f>
        <v/>
      </c>
      <c r="BA50" s="2" t="str">
        <f>IF(""&amp;$F50&lt;&gt;"4","",IF($AY50="YES","",IF(ROUND(SUMIFS($AE$2:$AE$4001,$L$2:$L$4001,$L50,$F$2:$F$4001,"4")-SUMIFS('AR SALES'!$Y$2:$Y$2501,'AR SALES'!$L$2:$L$2501,$L50,'AR SALES'!$AD$2:$AD$2501,"OFF"),2)=0,"","STALE")))</f>
        <v/>
      </c>
      <c r="BB50" s="2" t="str">
        <f>IF(OR(""&amp;$F50="2",""&amp;$F50="4",""&amp;$F50="G",""&amp;$F50="H"),IF($AY50="YES","",IF($AB50&lt;&gt;0,"",IF(COUNTIFS('AR SALES'!$L$2:$L$2501,$L50,'AR SALES'!$AD$2:$AD$2501,IF(""&amp;$F50="4","OFF","ON"),'AR SALES'!$AF$2:$AF$2501,"Y")&gt;0,"","NO EXEMPTION"))),"")</f>
        <v/>
      </c>
    </row>
    <row r="51" spans="46:54" x14ac:dyDescent="0.25">
      <c r="AT51" s="2" t="str">
        <f>IF($L51="","",IFERROR(INDEX('AR SALES'!$H$2:$H$2501,MATCH(""&amp;$L51,'AR SALES'!$AE$2:$AE$2501,0)),""))</f>
        <v/>
      </c>
      <c r="AU51" s="2" t="str">
        <f t="shared" si="0"/>
        <v/>
      </c>
      <c r="AV51" s="2" t="str">
        <f t="shared" si="1"/>
        <v/>
      </c>
      <c r="AW51" s="2" t="str">
        <f t="shared" si="2"/>
        <v/>
      </c>
      <c r="AX51" s="2" t="str">
        <f t="shared" si="3"/>
        <v/>
      </c>
      <c r="AY51" s="2" t="str">
        <f>IF($AV51="","",IF(AND($Z51=0,COUNTIF('AR SALES'!$L$2:$L$2501,$L51)=0),"YES",""))</f>
        <v/>
      </c>
      <c r="AZ51" s="2" t="str">
        <f>IF($AV51="","",IF(COUNTIF(LISTS!$C$2:$C$250,$AU51)=0,"NEW",""))</f>
        <v/>
      </c>
      <c r="BA51" s="2" t="str">
        <f>IF(""&amp;$F51&lt;&gt;"4","",IF($AY51="YES","",IF(ROUND(SUMIFS($AE$2:$AE$4001,$L$2:$L$4001,$L51,$F$2:$F$4001,"4")-SUMIFS('AR SALES'!$Y$2:$Y$2501,'AR SALES'!$L$2:$L$2501,$L51,'AR SALES'!$AD$2:$AD$2501,"OFF"),2)=0,"","STALE")))</f>
        <v/>
      </c>
      <c r="BB51" s="2" t="str">
        <f>IF(OR(""&amp;$F51="2",""&amp;$F51="4",""&amp;$F51="G",""&amp;$F51="H"),IF($AY51="YES","",IF($AB51&lt;&gt;0,"",IF(COUNTIFS('AR SALES'!$L$2:$L$2501,$L51,'AR SALES'!$AD$2:$AD$2501,IF(""&amp;$F51="4","OFF","ON"),'AR SALES'!$AF$2:$AF$2501,"Y")&gt;0,"","NO EXEMPTION"))),"")</f>
        <v/>
      </c>
    </row>
    <row r="52" spans="46:54" x14ac:dyDescent="0.25">
      <c r="AT52" s="2" t="str">
        <f>IF($L52="","",IFERROR(INDEX('AR SALES'!$H$2:$H$2501,MATCH(""&amp;$L52,'AR SALES'!$AE$2:$AE$2501,0)),""))</f>
        <v/>
      </c>
      <c r="AU52" s="2" t="str">
        <f t="shared" si="0"/>
        <v/>
      </c>
      <c r="AV52" s="2" t="str">
        <f t="shared" si="1"/>
        <v/>
      </c>
      <c r="AW52" s="2" t="str">
        <f t="shared" si="2"/>
        <v/>
      </c>
      <c r="AX52" s="2" t="str">
        <f t="shared" si="3"/>
        <v/>
      </c>
      <c r="AY52" s="2" t="str">
        <f>IF($AV52="","",IF(AND($Z52=0,COUNTIF('AR SALES'!$L$2:$L$2501,$L52)=0),"YES",""))</f>
        <v/>
      </c>
      <c r="AZ52" s="2" t="str">
        <f>IF($AV52="","",IF(COUNTIF(LISTS!$C$2:$C$250,$AU52)=0,"NEW",""))</f>
        <v/>
      </c>
      <c r="BA52" s="2" t="str">
        <f>IF(""&amp;$F52&lt;&gt;"4","",IF($AY52="YES","",IF(ROUND(SUMIFS($AE$2:$AE$4001,$L$2:$L$4001,$L52,$F$2:$F$4001,"4")-SUMIFS('AR SALES'!$Y$2:$Y$2501,'AR SALES'!$L$2:$L$2501,$L52,'AR SALES'!$AD$2:$AD$2501,"OFF"),2)=0,"","STALE")))</f>
        <v/>
      </c>
      <c r="BB52" s="2" t="str">
        <f>IF(OR(""&amp;$F52="2",""&amp;$F52="4",""&amp;$F52="G",""&amp;$F52="H"),IF($AY52="YES","",IF($AB52&lt;&gt;0,"",IF(COUNTIFS('AR SALES'!$L$2:$L$2501,$L52,'AR SALES'!$AD$2:$AD$2501,IF(""&amp;$F52="4","OFF","ON"),'AR SALES'!$AF$2:$AF$2501,"Y")&gt;0,"","NO EXEMPTION"))),"")</f>
        <v/>
      </c>
    </row>
    <row r="53" spans="46:54" x14ac:dyDescent="0.25">
      <c r="AT53" s="2" t="str">
        <f>IF($L53="","",IFERROR(INDEX('AR SALES'!$H$2:$H$2501,MATCH(""&amp;$L53,'AR SALES'!$AE$2:$AE$2501,0)),""))</f>
        <v/>
      </c>
      <c r="AU53" s="2" t="str">
        <f t="shared" si="0"/>
        <v/>
      </c>
      <c r="AV53" s="2" t="str">
        <f t="shared" si="1"/>
        <v/>
      </c>
      <c r="AW53" s="2" t="str">
        <f t="shared" si="2"/>
        <v/>
      </c>
      <c r="AX53" s="2" t="str">
        <f t="shared" si="3"/>
        <v/>
      </c>
      <c r="AY53" s="2" t="str">
        <f>IF($AV53="","",IF(AND($Z53=0,COUNTIF('AR SALES'!$L$2:$L$2501,$L53)=0),"YES",""))</f>
        <v/>
      </c>
      <c r="AZ53" s="2" t="str">
        <f>IF($AV53="","",IF(COUNTIF(LISTS!$C$2:$C$250,$AU53)=0,"NEW",""))</f>
        <v/>
      </c>
      <c r="BA53" s="2" t="str">
        <f>IF(""&amp;$F53&lt;&gt;"4","",IF($AY53="YES","",IF(ROUND(SUMIFS($AE$2:$AE$4001,$L$2:$L$4001,$L53,$F$2:$F$4001,"4")-SUMIFS('AR SALES'!$Y$2:$Y$2501,'AR SALES'!$L$2:$L$2501,$L53,'AR SALES'!$AD$2:$AD$2501,"OFF"),2)=0,"","STALE")))</f>
        <v/>
      </c>
      <c r="BB53" s="2" t="str">
        <f>IF(OR(""&amp;$F53="2",""&amp;$F53="4",""&amp;$F53="G",""&amp;$F53="H"),IF($AY53="YES","",IF($AB53&lt;&gt;0,"",IF(COUNTIFS('AR SALES'!$L$2:$L$2501,$L53,'AR SALES'!$AD$2:$AD$2501,IF(""&amp;$F53="4","OFF","ON"),'AR SALES'!$AF$2:$AF$2501,"Y")&gt;0,"","NO EXEMPTION"))),"")</f>
        <v/>
      </c>
    </row>
    <row r="54" spans="46:54" x14ac:dyDescent="0.25">
      <c r="AT54" s="2" t="str">
        <f>IF($L54="","",IFERROR(INDEX('AR SALES'!$H$2:$H$2501,MATCH(""&amp;$L54,'AR SALES'!$AE$2:$AE$2501,0)),""))</f>
        <v/>
      </c>
      <c r="AU54" s="2" t="str">
        <f t="shared" si="0"/>
        <v/>
      </c>
      <c r="AV54" s="2" t="str">
        <f t="shared" si="1"/>
        <v/>
      </c>
      <c r="AW54" s="2" t="str">
        <f t="shared" si="2"/>
        <v/>
      </c>
      <c r="AX54" s="2" t="str">
        <f t="shared" si="3"/>
        <v/>
      </c>
      <c r="AY54" s="2" t="str">
        <f>IF($AV54="","",IF(AND($Z54=0,COUNTIF('AR SALES'!$L$2:$L$2501,$L54)=0),"YES",""))</f>
        <v/>
      </c>
      <c r="AZ54" s="2" t="str">
        <f>IF($AV54="","",IF(COUNTIF(LISTS!$C$2:$C$250,$AU54)=0,"NEW",""))</f>
        <v/>
      </c>
      <c r="BA54" s="2" t="str">
        <f>IF(""&amp;$F54&lt;&gt;"4","",IF($AY54="YES","",IF(ROUND(SUMIFS($AE$2:$AE$4001,$L$2:$L$4001,$L54,$F$2:$F$4001,"4")-SUMIFS('AR SALES'!$Y$2:$Y$2501,'AR SALES'!$L$2:$L$2501,$L54,'AR SALES'!$AD$2:$AD$2501,"OFF"),2)=0,"","STALE")))</f>
        <v/>
      </c>
      <c r="BB54" s="2" t="str">
        <f>IF(OR(""&amp;$F54="2",""&amp;$F54="4",""&amp;$F54="G",""&amp;$F54="H"),IF($AY54="YES","",IF($AB54&lt;&gt;0,"",IF(COUNTIFS('AR SALES'!$L$2:$L$2501,$L54,'AR SALES'!$AD$2:$AD$2501,IF(""&amp;$F54="4","OFF","ON"),'AR SALES'!$AF$2:$AF$2501,"Y")&gt;0,"","NO EXEMPTION"))),"")</f>
        <v/>
      </c>
    </row>
    <row r="55" spans="46:54" x14ac:dyDescent="0.25">
      <c r="AT55" s="2" t="str">
        <f>IF($L55="","",IFERROR(INDEX('AR SALES'!$H$2:$H$2501,MATCH(""&amp;$L55,'AR SALES'!$AE$2:$AE$2501,0)),""))</f>
        <v/>
      </c>
      <c r="AU55" s="2" t="str">
        <f t="shared" si="0"/>
        <v/>
      </c>
      <c r="AV55" s="2" t="str">
        <f t="shared" si="1"/>
        <v/>
      </c>
      <c r="AW55" s="2" t="str">
        <f t="shared" si="2"/>
        <v/>
      </c>
      <c r="AX55" s="2" t="str">
        <f t="shared" si="3"/>
        <v/>
      </c>
      <c r="AY55" s="2" t="str">
        <f>IF($AV55="","",IF(AND($Z55=0,COUNTIF('AR SALES'!$L$2:$L$2501,$L55)=0),"YES",""))</f>
        <v/>
      </c>
      <c r="AZ55" s="2" t="str">
        <f>IF($AV55="","",IF(COUNTIF(LISTS!$C$2:$C$250,$AU55)=0,"NEW",""))</f>
        <v/>
      </c>
      <c r="BA55" s="2" t="str">
        <f>IF(""&amp;$F55&lt;&gt;"4","",IF($AY55="YES","",IF(ROUND(SUMIFS($AE$2:$AE$4001,$L$2:$L$4001,$L55,$F$2:$F$4001,"4")-SUMIFS('AR SALES'!$Y$2:$Y$2501,'AR SALES'!$L$2:$L$2501,$L55,'AR SALES'!$AD$2:$AD$2501,"OFF"),2)=0,"","STALE")))</f>
        <v/>
      </c>
      <c r="BB55" s="2" t="str">
        <f>IF(OR(""&amp;$F55="2",""&amp;$F55="4",""&amp;$F55="G",""&amp;$F55="H"),IF($AY55="YES","",IF($AB55&lt;&gt;0,"",IF(COUNTIFS('AR SALES'!$L$2:$L$2501,$L55,'AR SALES'!$AD$2:$AD$2501,IF(""&amp;$F55="4","OFF","ON"),'AR SALES'!$AF$2:$AF$2501,"Y")&gt;0,"","NO EXEMPTION"))),"")</f>
        <v/>
      </c>
    </row>
    <row r="56" spans="46:54" x14ac:dyDescent="0.25">
      <c r="AT56" s="2" t="str">
        <f>IF($L56="","",IFERROR(INDEX('AR SALES'!$H$2:$H$2501,MATCH(""&amp;$L56,'AR SALES'!$AE$2:$AE$2501,0)),""))</f>
        <v/>
      </c>
      <c r="AU56" s="2" t="str">
        <f t="shared" si="0"/>
        <v/>
      </c>
      <c r="AV56" s="2" t="str">
        <f t="shared" si="1"/>
        <v/>
      </c>
      <c r="AW56" s="2" t="str">
        <f t="shared" si="2"/>
        <v/>
      </c>
      <c r="AX56" s="2" t="str">
        <f t="shared" si="3"/>
        <v/>
      </c>
      <c r="AY56" s="2" t="str">
        <f>IF($AV56="","",IF(AND($Z56=0,COUNTIF('AR SALES'!$L$2:$L$2501,$L56)=0),"YES",""))</f>
        <v/>
      </c>
      <c r="AZ56" s="2" t="str">
        <f>IF($AV56="","",IF(COUNTIF(LISTS!$C$2:$C$250,$AU56)=0,"NEW",""))</f>
        <v/>
      </c>
      <c r="BA56" s="2" t="str">
        <f>IF(""&amp;$F56&lt;&gt;"4","",IF($AY56="YES","",IF(ROUND(SUMIFS($AE$2:$AE$4001,$L$2:$L$4001,$L56,$F$2:$F$4001,"4")-SUMIFS('AR SALES'!$Y$2:$Y$2501,'AR SALES'!$L$2:$L$2501,$L56,'AR SALES'!$AD$2:$AD$2501,"OFF"),2)=0,"","STALE")))</f>
        <v/>
      </c>
      <c r="BB56" s="2" t="str">
        <f>IF(OR(""&amp;$F56="2",""&amp;$F56="4",""&amp;$F56="G",""&amp;$F56="H"),IF($AY56="YES","",IF($AB56&lt;&gt;0,"",IF(COUNTIFS('AR SALES'!$L$2:$L$2501,$L56,'AR SALES'!$AD$2:$AD$2501,IF(""&amp;$F56="4","OFF","ON"),'AR SALES'!$AF$2:$AF$2501,"Y")&gt;0,"","NO EXEMPTION"))),"")</f>
        <v/>
      </c>
    </row>
    <row r="57" spans="46:54" x14ac:dyDescent="0.25">
      <c r="AT57" s="2" t="str">
        <f>IF($L57="","",IFERROR(INDEX('AR SALES'!$H$2:$H$2501,MATCH(""&amp;$L57,'AR SALES'!$AE$2:$AE$2501,0)),""))</f>
        <v/>
      </c>
      <c r="AU57" s="2" t="str">
        <f t="shared" si="0"/>
        <v/>
      </c>
      <c r="AV57" s="2" t="str">
        <f t="shared" si="1"/>
        <v/>
      </c>
      <c r="AW57" s="2" t="str">
        <f t="shared" si="2"/>
        <v/>
      </c>
      <c r="AX57" s="2" t="str">
        <f t="shared" si="3"/>
        <v/>
      </c>
      <c r="AY57" s="2" t="str">
        <f>IF($AV57="","",IF(AND($Z57=0,COUNTIF('AR SALES'!$L$2:$L$2501,$L57)=0),"YES",""))</f>
        <v/>
      </c>
      <c r="AZ57" s="2" t="str">
        <f>IF($AV57="","",IF(COUNTIF(LISTS!$C$2:$C$250,$AU57)=0,"NEW",""))</f>
        <v/>
      </c>
      <c r="BA57" s="2" t="str">
        <f>IF(""&amp;$F57&lt;&gt;"4","",IF($AY57="YES","",IF(ROUND(SUMIFS($AE$2:$AE$4001,$L$2:$L$4001,$L57,$F$2:$F$4001,"4")-SUMIFS('AR SALES'!$Y$2:$Y$2501,'AR SALES'!$L$2:$L$2501,$L57,'AR SALES'!$AD$2:$AD$2501,"OFF"),2)=0,"","STALE")))</f>
        <v/>
      </c>
      <c r="BB57" s="2" t="str">
        <f>IF(OR(""&amp;$F57="2",""&amp;$F57="4",""&amp;$F57="G",""&amp;$F57="H"),IF($AY57="YES","",IF($AB57&lt;&gt;0,"",IF(COUNTIFS('AR SALES'!$L$2:$L$2501,$L57,'AR SALES'!$AD$2:$AD$2501,IF(""&amp;$F57="4","OFF","ON"),'AR SALES'!$AF$2:$AF$2501,"Y")&gt;0,"","NO EXEMPTION"))),"")</f>
        <v/>
      </c>
    </row>
    <row r="58" spans="46:54" x14ac:dyDescent="0.25">
      <c r="AT58" s="2" t="str">
        <f>IF($L58="","",IFERROR(INDEX('AR SALES'!$H$2:$H$2501,MATCH(""&amp;$L58,'AR SALES'!$AE$2:$AE$2501,0)),""))</f>
        <v/>
      </c>
      <c r="AU58" s="2" t="str">
        <f t="shared" si="0"/>
        <v/>
      </c>
      <c r="AV58" s="2" t="str">
        <f t="shared" si="1"/>
        <v/>
      </c>
      <c r="AW58" s="2" t="str">
        <f t="shared" si="2"/>
        <v/>
      </c>
      <c r="AX58" s="2" t="str">
        <f t="shared" si="3"/>
        <v/>
      </c>
      <c r="AY58" s="2" t="str">
        <f>IF($AV58="","",IF(AND($Z58=0,COUNTIF('AR SALES'!$L$2:$L$2501,$L58)=0),"YES",""))</f>
        <v/>
      </c>
      <c r="AZ58" s="2" t="str">
        <f>IF($AV58="","",IF(COUNTIF(LISTS!$C$2:$C$250,$AU58)=0,"NEW",""))</f>
        <v/>
      </c>
      <c r="BA58" s="2" t="str">
        <f>IF(""&amp;$F58&lt;&gt;"4","",IF($AY58="YES","",IF(ROUND(SUMIFS($AE$2:$AE$4001,$L$2:$L$4001,$L58,$F$2:$F$4001,"4")-SUMIFS('AR SALES'!$Y$2:$Y$2501,'AR SALES'!$L$2:$L$2501,$L58,'AR SALES'!$AD$2:$AD$2501,"OFF"),2)=0,"","STALE")))</f>
        <v/>
      </c>
      <c r="BB58" s="2" t="str">
        <f>IF(OR(""&amp;$F58="2",""&amp;$F58="4",""&amp;$F58="G",""&amp;$F58="H"),IF($AY58="YES","",IF($AB58&lt;&gt;0,"",IF(COUNTIFS('AR SALES'!$L$2:$L$2501,$L58,'AR SALES'!$AD$2:$AD$2501,IF(""&amp;$F58="4","OFF","ON"),'AR SALES'!$AF$2:$AF$2501,"Y")&gt;0,"","NO EXEMPTION"))),"")</f>
        <v/>
      </c>
    </row>
    <row r="59" spans="46:54" x14ac:dyDescent="0.25">
      <c r="AT59" s="2" t="str">
        <f>IF($L59="","",IFERROR(INDEX('AR SALES'!$H$2:$H$2501,MATCH(""&amp;$L59,'AR SALES'!$AE$2:$AE$2501,0)),""))</f>
        <v/>
      </c>
      <c r="AU59" s="2" t="str">
        <f t="shared" si="0"/>
        <v/>
      </c>
      <c r="AV59" s="2" t="str">
        <f t="shared" si="1"/>
        <v/>
      </c>
      <c r="AW59" s="2" t="str">
        <f t="shared" si="2"/>
        <v/>
      </c>
      <c r="AX59" s="2" t="str">
        <f t="shared" si="3"/>
        <v/>
      </c>
      <c r="AY59" s="2" t="str">
        <f>IF($AV59="","",IF(AND($Z59=0,COUNTIF('AR SALES'!$L$2:$L$2501,$L59)=0),"YES",""))</f>
        <v/>
      </c>
      <c r="AZ59" s="2" t="str">
        <f>IF($AV59="","",IF(COUNTIF(LISTS!$C$2:$C$250,$AU59)=0,"NEW",""))</f>
        <v/>
      </c>
      <c r="BA59" s="2" t="str">
        <f>IF(""&amp;$F59&lt;&gt;"4","",IF($AY59="YES","",IF(ROUND(SUMIFS($AE$2:$AE$4001,$L$2:$L$4001,$L59,$F$2:$F$4001,"4")-SUMIFS('AR SALES'!$Y$2:$Y$2501,'AR SALES'!$L$2:$L$2501,$L59,'AR SALES'!$AD$2:$AD$2501,"OFF"),2)=0,"","STALE")))</f>
        <v/>
      </c>
      <c r="BB59" s="2" t="str">
        <f>IF(OR(""&amp;$F59="2",""&amp;$F59="4",""&amp;$F59="G",""&amp;$F59="H"),IF($AY59="YES","",IF($AB59&lt;&gt;0,"",IF(COUNTIFS('AR SALES'!$L$2:$L$2501,$L59,'AR SALES'!$AD$2:$AD$2501,IF(""&amp;$F59="4","OFF","ON"),'AR SALES'!$AF$2:$AF$2501,"Y")&gt;0,"","NO EXEMPTION"))),"")</f>
        <v/>
      </c>
    </row>
    <row r="60" spans="46:54" x14ac:dyDescent="0.25">
      <c r="AT60" s="2" t="str">
        <f>IF($L60="","",IFERROR(INDEX('AR SALES'!$H$2:$H$2501,MATCH(""&amp;$L60,'AR SALES'!$AE$2:$AE$2501,0)),""))</f>
        <v/>
      </c>
      <c r="AU60" s="2" t="str">
        <f t="shared" si="0"/>
        <v/>
      </c>
      <c r="AV60" s="2" t="str">
        <f t="shared" si="1"/>
        <v/>
      </c>
      <c r="AW60" s="2" t="str">
        <f t="shared" si="2"/>
        <v/>
      </c>
      <c r="AX60" s="2" t="str">
        <f t="shared" si="3"/>
        <v/>
      </c>
      <c r="AY60" s="2" t="str">
        <f>IF($AV60="","",IF(AND($Z60=0,COUNTIF('AR SALES'!$L$2:$L$2501,$L60)=0),"YES",""))</f>
        <v/>
      </c>
      <c r="AZ60" s="2" t="str">
        <f>IF($AV60="","",IF(COUNTIF(LISTS!$C$2:$C$250,$AU60)=0,"NEW",""))</f>
        <v/>
      </c>
      <c r="BA60" s="2" t="str">
        <f>IF(""&amp;$F60&lt;&gt;"4","",IF($AY60="YES","",IF(ROUND(SUMIFS($AE$2:$AE$4001,$L$2:$L$4001,$L60,$F$2:$F$4001,"4")-SUMIFS('AR SALES'!$Y$2:$Y$2501,'AR SALES'!$L$2:$L$2501,$L60,'AR SALES'!$AD$2:$AD$2501,"OFF"),2)=0,"","STALE")))</f>
        <v/>
      </c>
      <c r="BB60" s="2" t="str">
        <f>IF(OR(""&amp;$F60="2",""&amp;$F60="4",""&amp;$F60="G",""&amp;$F60="H"),IF($AY60="YES","",IF($AB60&lt;&gt;0,"",IF(COUNTIFS('AR SALES'!$L$2:$L$2501,$L60,'AR SALES'!$AD$2:$AD$2501,IF(""&amp;$F60="4","OFF","ON"),'AR SALES'!$AF$2:$AF$2501,"Y")&gt;0,"","NO EXEMPTION"))),"")</f>
        <v/>
      </c>
    </row>
    <row r="61" spans="46:54" x14ac:dyDescent="0.25">
      <c r="AT61" s="2" t="str">
        <f>IF($L61="","",IFERROR(INDEX('AR SALES'!$H$2:$H$2501,MATCH(""&amp;$L61,'AR SALES'!$AE$2:$AE$2501,0)),""))</f>
        <v/>
      </c>
      <c r="AU61" s="2" t="str">
        <f t="shared" si="0"/>
        <v/>
      </c>
      <c r="AV61" s="2" t="str">
        <f t="shared" si="1"/>
        <v/>
      </c>
      <c r="AW61" s="2" t="str">
        <f t="shared" si="2"/>
        <v/>
      </c>
      <c r="AX61" s="2" t="str">
        <f t="shared" si="3"/>
        <v/>
      </c>
      <c r="AY61" s="2" t="str">
        <f>IF($AV61="","",IF(AND($Z61=0,COUNTIF('AR SALES'!$L$2:$L$2501,$L61)=0),"YES",""))</f>
        <v/>
      </c>
      <c r="AZ61" s="2" t="str">
        <f>IF($AV61="","",IF(COUNTIF(LISTS!$C$2:$C$250,$AU61)=0,"NEW",""))</f>
        <v/>
      </c>
      <c r="BA61" s="2" t="str">
        <f>IF(""&amp;$F61&lt;&gt;"4","",IF($AY61="YES","",IF(ROUND(SUMIFS($AE$2:$AE$4001,$L$2:$L$4001,$L61,$F$2:$F$4001,"4")-SUMIFS('AR SALES'!$Y$2:$Y$2501,'AR SALES'!$L$2:$L$2501,$L61,'AR SALES'!$AD$2:$AD$2501,"OFF"),2)=0,"","STALE")))</f>
        <v/>
      </c>
      <c r="BB61" s="2" t="str">
        <f>IF(OR(""&amp;$F61="2",""&amp;$F61="4",""&amp;$F61="G",""&amp;$F61="H"),IF($AY61="YES","",IF($AB61&lt;&gt;0,"",IF(COUNTIFS('AR SALES'!$L$2:$L$2501,$L61,'AR SALES'!$AD$2:$AD$2501,IF(""&amp;$F61="4","OFF","ON"),'AR SALES'!$AF$2:$AF$2501,"Y")&gt;0,"","NO EXEMPTION"))),"")</f>
        <v/>
      </c>
    </row>
    <row r="62" spans="46:54" x14ac:dyDescent="0.25">
      <c r="AT62" s="2" t="str">
        <f>IF($L62="","",IFERROR(INDEX('AR SALES'!$H$2:$H$2501,MATCH(""&amp;$L62,'AR SALES'!$AE$2:$AE$2501,0)),""))</f>
        <v/>
      </c>
      <c r="AU62" s="2" t="str">
        <f t="shared" si="0"/>
        <v/>
      </c>
      <c r="AV62" s="2" t="str">
        <f t="shared" si="1"/>
        <v/>
      </c>
      <c r="AW62" s="2" t="str">
        <f t="shared" si="2"/>
        <v/>
      </c>
      <c r="AX62" s="2" t="str">
        <f t="shared" si="3"/>
        <v/>
      </c>
      <c r="AY62" s="2" t="str">
        <f>IF($AV62="","",IF(AND($Z62=0,COUNTIF('AR SALES'!$L$2:$L$2501,$L62)=0),"YES",""))</f>
        <v/>
      </c>
      <c r="AZ62" s="2" t="str">
        <f>IF($AV62="","",IF(COUNTIF(LISTS!$C$2:$C$250,$AU62)=0,"NEW",""))</f>
        <v/>
      </c>
      <c r="BA62" s="2" t="str">
        <f>IF(""&amp;$F62&lt;&gt;"4","",IF($AY62="YES","",IF(ROUND(SUMIFS($AE$2:$AE$4001,$L$2:$L$4001,$L62,$F$2:$F$4001,"4")-SUMIFS('AR SALES'!$Y$2:$Y$2501,'AR SALES'!$L$2:$L$2501,$L62,'AR SALES'!$AD$2:$AD$2501,"OFF"),2)=0,"","STALE")))</f>
        <v/>
      </c>
      <c r="BB62" s="2" t="str">
        <f>IF(OR(""&amp;$F62="2",""&amp;$F62="4",""&amp;$F62="G",""&amp;$F62="H"),IF($AY62="YES","",IF($AB62&lt;&gt;0,"",IF(COUNTIFS('AR SALES'!$L$2:$L$2501,$L62,'AR SALES'!$AD$2:$AD$2501,IF(""&amp;$F62="4","OFF","ON"),'AR SALES'!$AF$2:$AF$2501,"Y")&gt;0,"","NO EXEMPTION"))),"")</f>
        <v/>
      </c>
    </row>
    <row r="63" spans="46:54" x14ac:dyDescent="0.25">
      <c r="AT63" s="2" t="str">
        <f>IF($L63="","",IFERROR(INDEX('AR SALES'!$H$2:$H$2501,MATCH(""&amp;$L63,'AR SALES'!$AE$2:$AE$2501,0)),""))</f>
        <v/>
      </c>
      <c r="AU63" s="2" t="str">
        <f t="shared" si="0"/>
        <v/>
      </c>
      <c r="AV63" s="2" t="str">
        <f t="shared" si="1"/>
        <v/>
      </c>
      <c r="AW63" s="2" t="str">
        <f t="shared" si="2"/>
        <v/>
      </c>
      <c r="AX63" s="2" t="str">
        <f t="shared" si="3"/>
        <v/>
      </c>
      <c r="AY63" s="2" t="str">
        <f>IF($AV63="","",IF(AND($Z63=0,COUNTIF('AR SALES'!$L$2:$L$2501,$L63)=0),"YES",""))</f>
        <v/>
      </c>
      <c r="AZ63" s="2" t="str">
        <f>IF($AV63="","",IF(COUNTIF(LISTS!$C$2:$C$250,$AU63)=0,"NEW",""))</f>
        <v/>
      </c>
      <c r="BA63" s="2" t="str">
        <f>IF(""&amp;$F63&lt;&gt;"4","",IF($AY63="YES","",IF(ROUND(SUMIFS($AE$2:$AE$4001,$L$2:$L$4001,$L63,$F$2:$F$4001,"4")-SUMIFS('AR SALES'!$Y$2:$Y$2501,'AR SALES'!$L$2:$L$2501,$L63,'AR SALES'!$AD$2:$AD$2501,"OFF"),2)=0,"","STALE")))</f>
        <v/>
      </c>
      <c r="BB63" s="2" t="str">
        <f>IF(OR(""&amp;$F63="2",""&amp;$F63="4",""&amp;$F63="G",""&amp;$F63="H"),IF($AY63="YES","",IF($AB63&lt;&gt;0,"",IF(COUNTIFS('AR SALES'!$L$2:$L$2501,$L63,'AR SALES'!$AD$2:$AD$2501,IF(""&amp;$F63="4","OFF","ON"),'AR SALES'!$AF$2:$AF$2501,"Y")&gt;0,"","NO EXEMPTION"))),"")</f>
        <v/>
      </c>
    </row>
    <row r="64" spans="46:54" x14ac:dyDescent="0.25">
      <c r="AT64" s="2" t="str">
        <f>IF($L64="","",IFERROR(INDEX('AR SALES'!$H$2:$H$2501,MATCH(""&amp;$L64,'AR SALES'!$AE$2:$AE$2501,0)),""))</f>
        <v/>
      </c>
      <c r="AU64" s="2" t="str">
        <f t="shared" si="0"/>
        <v/>
      </c>
      <c r="AV64" s="2" t="str">
        <f t="shared" si="1"/>
        <v/>
      </c>
      <c r="AW64" s="2" t="str">
        <f t="shared" si="2"/>
        <v/>
      </c>
      <c r="AX64" s="2" t="str">
        <f t="shared" si="3"/>
        <v/>
      </c>
      <c r="AY64" s="2" t="str">
        <f>IF($AV64="","",IF(AND($Z64=0,COUNTIF('AR SALES'!$L$2:$L$2501,$L64)=0),"YES",""))</f>
        <v/>
      </c>
      <c r="AZ64" s="2" t="str">
        <f>IF($AV64="","",IF(COUNTIF(LISTS!$C$2:$C$250,$AU64)=0,"NEW",""))</f>
        <v/>
      </c>
      <c r="BA64" s="2" t="str">
        <f>IF(""&amp;$F64&lt;&gt;"4","",IF($AY64="YES","",IF(ROUND(SUMIFS($AE$2:$AE$4001,$L$2:$L$4001,$L64,$F$2:$F$4001,"4")-SUMIFS('AR SALES'!$Y$2:$Y$2501,'AR SALES'!$L$2:$L$2501,$L64,'AR SALES'!$AD$2:$AD$2501,"OFF"),2)=0,"","STALE")))</f>
        <v/>
      </c>
      <c r="BB64" s="2" t="str">
        <f>IF(OR(""&amp;$F64="2",""&amp;$F64="4",""&amp;$F64="G",""&amp;$F64="H"),IF($AY64="YES","",IF($AB64&lt;&gt;0,"",IF(COUNTIFS('AR SALES'!$L$2:$L$2501,$L64,'AR SALES'!$AD$2:$AD$2501,IF(""&amp;$F64="4","OFF","ON"),'AR SALES'!$AF$2:$AF$2501,"Y")&gt;0,"","NO EXEMPTION"))),"")</f>
        <v/>
      </c>
    </row>
    <row r="65" spans="46:54" x14ac:dyDescent="0.25">
      <c r="AT65" s="2" t="str">
        <f>IF($L65="","",IFERROR(INDEX('AR SALES'!$H$2:$H$2501,MATCH(""&amp;$L65,'AR SALES'!$AE$2:$AE$2501,0)),""))</f>
        <v/>
      </c>
      <c r="AU65" s="2" t="str">
        <f t="shared" si="0"/>
        <v/>
      </c>
      <c r="AV65" s="2" t="str">
        <f t="shared" si="1"/>
        <v/>
      </c>
      <c r="AW65" s="2" t="str">
        <f t="shared" si="2"/>
        <v/>
      </c>
      <c r="AX65" s="2" t="str">
        <f t="shared" si="3"/>
        <v/>
      </c>
      <c r="AY65" s="2" t="str">
        <f>IF($AV65="","",IF(AND($Z65=0,COUNTIF('AR SALES'!$L$2:$L$2501,$L65)=0),"YES",""))</f>
        <v/>
      </c>
      <c r="AZ65" s="2" t="str">
        <f>IF($AV65="","",IF(COUNTIF(LISTS!$C$2:$C$250,$AU65)=0,"NEW",""))</f>
        <v/>
      </c>
      <c r="BA65" s="2" t="str">
        <f>IF(""&amp;$F65&lt;&gt;"4","",IF($AY65="YES","",IF(ROUND(SUMIFS($AE$2:$AE$4001,$L$2:$L$4001,$L65,$F$2:$F$4001,"4")-SUMIFS('AR SALES'!$Y$2:$Y$2501,'AR SALES'!$L$2:$L$2501,$L65,'AR SALES'!$AD$2:$AD$2501,"OFF"),2)=0,"","STALE")))</f>
        <v/>
      </c>
      <c r="BB65" s="2" t="str">
        <f>IF(OR(""&amp;$F65="2",""&amp;$F65="4",""&amp;$F65="G",""&amp;$F65="H"),IF($AY65="YES","",IF($AB65&lt;&gt;0,"",IF(COUNTIFS('AR SALES'!$L$2:$L$2501,$L65,'AR SALES'!$AD$2:$AD$2501,IF(""&amp;$F65="4","OFF","ON"),'AR SALES'!$AF$2:$AF$2501,"Y")&gt;0,"","NO EXEMPTION"))),"")</f>
        <v/>
      </c>
    </row>
    <row r="66" spans="46:54" x14ac:dyDescent="0.25">
      <c r="AT66" s="2" t="str">
        <f>IF($L66="","",IFERROR(INDEX('AR SALES'!$H$2:$H$2501,MATCH(""&amp;$L66,'AR SALES'!$AE$2:$AE$2501,0)),""))</f>
        <v/>
      </c>
      <c r="AU66" s="2" t="str">
        <f t="shared" ref="AU66:AU129" si="4">IF($L66="","",IF($A66&lt;&gt;"GA","",IF($E66="FULTON",IF(ISNUMBER(SEARCH("COLLEGE PARK",$AT66)),"FULTON (COLLEGE PARK)",IF(ISNUMBER(SEARCH("ATLANTA CITY",$AT66)),"FULTON (ATL LIMITS)","FULTON")),IF($E66="DEKALB",IF(ISNUMBER(SEARCH("ATLANTA CITY",$AT66)),"DEKALB (ATL LIMITS)","DEKALB"),$E66))))</f>
        <v/>
      </c>
      <c r="AV66" s="2" t="str">
        <f t="shared" ref="AV66:AV129" si="5">IF($L66="","",IF(""&amp;$F66="2","DIESEL",IF(OR(""&amp;$F66="G",""&amp;$F66="H"),"GAS","")))</f>
        <v/>
      </c>
      <c r="AW66" s="2" t="str">
        <f t="shared" ref="AW66:AW129" si="6">IF($AV66="","",$R66)</f>
        <v/>
      </c>
      <c r="AX66" s="2" t="str">
        <f t="shared" ref="AX66:AX129" si="7">IF($AV66="","",IF($AB66=0,$R66,0))</f>
        <v/>
      </c>
      <c r="AY66" s="2" t="str">
        <f>IF($AV66="","",IF(AND($Z66=0,COUNTIF('AR SALES'!$L$2:$L$2501,$L66)=0),"YES",""))</f>
        <v/>
      </c>
      <c r="AZ66" s="2" t="str">
        <f>IF($AV66="","",IF(COUNTIF(LISTS!$C$2:$C$250,$AU66)=0,"NEW",""))</f>
        <v/>
      </c>
      <c r="BA66" s="2" t="str">
        <f>IF(""&amp;$F66&lt;&gt;"4","",IF($AY66="YES","",IF(ROUND(SUMIFS($AE$2:$AE$4001,$L$2:$L$4001,$L66,$F$2:$F$4001,"4")-SUMIFS('AR SALES'!$Y$2:$Y$2501,'AR SALES'!$L$2:$L$2501,$L66,'AR SALES'!$AD$2:$AD$2501,"OFF"),2)=0,"","STALE")))</f>
        <v/>
      </c>
      <c r="BB66" s="2" t="str">
        <f>IF(OR(""&amp;$F66="2",""&amp;$F66="4",""&amp;$F66="G",""&amp;$F66="H"),IF($AY66="YES","",IF($AB66&lt;&gt;0,"",IF(COUNTIFS('AR SALES'!$L$2:$L$2501,$L66,'AR SALES'!$AD$2:$AD$2501,IF(""&amp;$F66="4","OFF","ON"),'AR SALES'!$AF$2:$AF$2501,"Y")&gt;0,"","NO EXEMPTION"))),"")</f>
        <v/>
      </c>
    </row>
    <row r="67" spans="46:54" x14ac:dyDescent="0.25">
      <c r="AT67" s="2" t="str">
        <f>IF($L67="","",IFERROR(INDEX('AR SALES'!$H$2:$H$2501,MATCH(""&amp;$L67,'AR SALES'!$AE$2:$AE$2501,0)),""))</f>
        <v/>
      </c>
      <c r="AU67" s="2" t="str">
        <f t="shared" si="4"/>
        <v/>
      </c>
      <c r="AV67" s="2" t="str">
        <f t="shared" si="5"/>
        <v/>
      </c>
      <c r="AW67" s="2" t="str">
        <f t="shared" si="6"/>
        <v/>
      </c>
      <c r="AX67" s="2" t="str">
        <f t="shared" si="7"/>
        <v/>
      </c>
      <c r="AY67" s="2" t="str">
        <f>IF($AV67="","",IF(AND($Z67=0,COUNTIF('AR SALES'!$L$2:$L$2501,$L67)=0),"YES",""))</f>
        <v/>
      </c>
      <c r="AZ67" s="2" t="str">
        <f>IF($AV67="","",IF(COUNTIF(LISTS!$C$2:$C$250,$AU67)=0,"NEW",""))</f>
        <v/>
      </c>
      <c r="BA67" s="2" t="str">
        <f>IF(""&amp;$F67&lt;&gt;"4","",IF($AY67="YES","",IF(ROUND(SUMIFS($AE$2:$AE$4001,$L$2:$L$4001,$L67,$F$2:$F$4001,"4")-SUMIFS('AR SALES'!$Y$2:$Y$2501,'AR SALES'!$L$2:$L$2501,$L67,'AR SALES'!$AD$2:$AD$2501,"OFF"),2)=0,"","STALE")))</f>
        <v/>
      </c>
      <c r="BB67" s="2" t="str">
        <f>IF(OR(""&amp;$F67="2",""&amp;$F67="4",""&amp;$F67="G",""&amp;$F67="H"),IF($AY67="YES","",IF($AB67&lt;&gt;0,"",IF(COUNTIFS('AR SALES'!$L$2:$L$2501,$L67,'AR SALES'!$AD$2:$AD$2501,IF(""&amp;$F67="4","OFF","ON"),'AR SALES'!$AF$2:$AF$2501,"Y")&gt;0,"","NO EXEMPTION"))),"")</f>
        <v/>
      </c>
    </row>
    <row r="68" spans="46:54" x14ac:dyDescent="0.25">
      <c r="AT68" s="2" t="str">
        <f>IF($L68="","",IFERROR(INDEX('AR SALES'!$H$2:$H$2501,MATCH(""&amp;$L68,'AR SALES'!$AE$2:$AE$2501,0)),""))</f>
        <v/>
      </c>
      <c r="AU68" s="2" t="str">
        <f t="shared" si="4"/>
        <v/>
      </c>
      <c r="AV68" s="2" t="str">
        <f t="shared" si="5"/>
        <v/>
      </c>
      <c r="AW68" s="2" t="str">
        <f t="shared" si="6"/>
        <v/>
      </c>
      <c r="AX68" s="2" t="str">
        <f t="shared" si="7"/>
        <v/>
      </c>
      <c r="AY68" s="2" t="str">
        <f>IF($AV68="","",IF(AND($Z68=0,COUNTIF('AR SALES'!$L$2:$L$2501,$L68)=0),"YES",""))</f>
        <v/>
      </c>
      <c r="AZ68" s="2" t="str">
        <f>IF($AV68="","",IF(COUNTIF(LISTS!$C$2:$C$250,$AU68)=0,"NEW",""))</f>
        <v/>
      </c>
      <c r="BA68" s="2" t="str">
        <f>IF(""&amp;$F68&lt;&gt;"4","",IF($AY68="YES","",IF(ROUND(SUMIFS($AE$2:$AE$4001,$L$2:$L$4001,$L68,$F$2:$F$4001,"4")-SUMIFS('AR SALES'!$Y$2:$Y$2501,'AR SALES'!$L$2:$L$2501,$L68,'AR SALES'!$AD$2:$AD$2501,"OFF"),2)=0,"","STALE")))</f>
        <v/>
      </c>
      <c r="BB68" s="2" t="str">
        <f>IF(OR(""&amp;$F68="2",""&amp;$F68="4",""&amp;$F68="G",""&amp;$F68="H"),IF($AY68="YES","",IF($AB68&lt;&gt;0,"",IF(COUNTIFS('AR SALES'!$L$2:$L$2501,$L68,'AR SALES'!$AD$2:$AD$2501,IF(""&amp;$F68="4","OFF","ON"),'AR SALES'!$AF$2:$AF$2501,"Y")&gt;0,"","NO EXEMPTION"))),"")</f>
        <v/>
      </c>
    </row>
    <row r="69" spans="46:54" x14ac:dyDescent="0.25">
      <c r="AT69" s="2" t="str">
        <f>IF($L69="","",IFERROR(INDEX('AR SALES'!$H$2:$H$2501,MATCH(""&amp;$L69,'AR SALES'!$AE$2:$AE$2501,0)),""))</f>
        <v/>
      </c>
      <c r="AU69" s="2" t="str">
        <f t="shared" si="4"/>
        <v/>
      </c>
      <c r="AV69" s="2" t="str">
        <f t="shared" si="5"/>
        <v/>
      </c>
      <c r="AW69" s="2" t="str">
        <f t="shared" si="6"/>
        <v/>
      </c>
      <c r="AX69" s="2" t="str">
        <f t="shared" si="7"/>
        <v/>
      </c>
      <c r="AY69" s="2" t="str">
        <f>IF($AV69="","",IF(AND($Z69=0,COUNTIF('AR SALES'!$L$2:$L$2501,$L69)=0),"YES",""))</f>
        <v/>
      </c>
      <c r="AZ69" s="2" t="str">
        <f>IF($AV69="","",IF(COUNTIF(LISTS!$C$2:$C$250,$AU69)=0,"NEW",""))</f>
        <v/>
      </c>
      <c r="BA69" s="2" t="str">
        <f>IF(""&amp;$F69&lt;&gt;"4","",IF($AY69="YES","",IF(ROUND(SUMIFS($AE$2:$AE$4001,$L$2:$L$4001,$L69,$F$2:$F$4001,"4")-SUMIFS('AR SALES'!$Y$2:$Y$2501,'AR SALES'!$L$2:$L$2501,$L69,'AR SALES'!$AD$2:$AD$2501,"OFF"),2)=0,"","STALE")))</f>
        <v/>
      </c>
      <c r="BB69" s="2" t="str">
        <f>IF(OR(""&amp;$F69="2",""&amp;$F69="4",""&amp;$F69="G",""&amp;$F69="H"),IF($AY69="YES","",IF($AB69&lt;&gt;0,"",IF(COUNTIFS('AR SALES'!$L$2:$L$2501,$L69,'AR SALES'!$AD$2:$AD$2501,IF(""&amp;$F69="4","OFF","ON"),'AR SALES'!$AF$2:$AF$2501,"Y")&gt;0,"","NO EXEMPTION"))),"")</f>
        <v/>
      </c>
    </row>
    <row r="70" spans="46:54" x14ac:dyDescent="0.25">
      <c r="AT70" s="2" t="str">
        <f>IF($L70="","",IFERROR(INDEX('AR SALES'!$H$2:$H$2501,MATCH(""&amp;$L70,'AR SALES'!$AE$2:$AE$2501,0)),""))</f>
        <v/>
      </c>
      <c r="AU70" s="2" t="str">
        <f t="shared" si="4"/>
        <v/>
      </c>
      <c r="AV70" s="2" t="str">
        <f t="shared" si="5"/>
        <v/>
      </c>
      <c r="AW70" s="2" t="str">
        <f t="shared" si="6"/>
        <v/>
      </c>
      <c r="AX70" s="2" t="str">
        <f t="shared" si="7"/>
        <v/>
      </c>
      <c r="AY70" s="2" t="str">
        <f>IF($AV70="","",IF(AND($Z70=0,COUNTIF('AR SALES'!$L$2:$L$2501,$L70)=0),"YES",""))</f>
        <v/>
      </c>
      <c r="AZ70" s="2" t="str">
        <f>IF($AV70="","",IF(COUNTIF(LISTS!$C$2:$C$250,$AU70)=0,"NEW",""))</f>
        <v/>
      </c>
      <c r="BA70" s="2" t="str">
        <f>IF(""&amp;$F70&lt;&gt;"4","",IF($AY70="YES","",IF(ROUND(SUMIFS($AE$2:$AE$4001,$L$2:$L$4001,$L70,$F$2:$F$4001,"4")-SUMIFS('AR SALES'!$Y$2:$Y$2501,'AR SALES'!$L$2:$L$2501,$L70,'AR SALES'!$AD$2:$AD$2501,"OFF"),2)=0,"","STALE")))</f>
        <v/>
      </c>
      <c r="BB70" s="2" t="str">
        <f>IF(OR(""&amp;$F70="2",""&amp;$F70="4",""&amp;$F70="G",""&amp;$F70="H"),IF($AY70="YES","",IF($AB70&lt;&gt;0,"",IF(COUNTIFS('AR SALES'!$L$2:$L$2501,$L70,'AR SALES'!$AD$2:$AD$2501,IF(""&amp;$F70="4","OFF","ON"),'AR SALES'!$AF$2:$AF$2501,"Y")&gt;0,"","NO EXEMPTION"))),"")</f>
        <v/>
      </c>
    </row>
    <row r="71" spans="46:54" x14ac:dyDescent="0.25">
      <c r="AT71" s="2" t="str">
        <f>IF($L71="","",IFERROR(INDEX('AR SALES'!$H$2:$H$2501,MATCH(""&amp;$L71,'AR SALES'!$AE$2:$AE$2501,0)),""))</f>
        <v/>
      </c>
      <c r="AU71" s="2" t="str">
        <f t="shared" si="4"/>
        <v/>
      </c>
      <c r="AV71" s="2" t="str">
        <f t="shared" si="5"/>
        <v/>
      </c>
      <c r="AW71" s="2" t="str">
        <f t="shared" si="6"/>
        <v/>
      </c>
      <c r="AX71" s="2" t="str">
        <f t="shared" si="7"/>
        <v/>
      </c>
      <c r="AY71" s="2" t="str">
        <f>IF($AV71="","",IF(AND($Z71=0,COUNTIF('AR SALES'!$L$2:$L$2501,$L71)=0),"YES",""))</f>
        <v/>
      </c>
      <c r="AZ71" s="2" t="str">
        <f>IF($AV71="","",IF(COUNTIF(LISTS!$C$2:$C$250,$AU71)=0,"NEW",""))</f>
        <v/>
      </c>
      <c r="BA71" s="2" t="str">
        <f>IF(""&amp;$F71&lt;&gt;"4","",IF($AY71="YES","",IF(ROUND(SUMIFS($AE$2:$AE$4001,$L$2:$L$4001,$L71,$F$2:$F$4001,"4")-SUMIFS('AR SALES'!$Y$2:$Y$2501,'AR SALES'!$L$2:$L$2501,$L71,'AR SALES'!$AD$2:$AD$2501,"OFF"),2)=0,"","STALE")))</f>
        <v/>
      </c>
      <c r="BB71" s="2" t="str">
        <f>IF(OR(""&amp;$F71="2",""&amp;$F71="4",""&amp;$F71="G",""&amp;$F71="H"),IF($AY71="YES","",IF($AB71&lt;&gt;0,"",IF(COUNTIFS('AR SALES'!$L$2:$L$2501,$L71,'AR SALES'!$AD$2:$AD$2501,IF(""&amp;$F71="4","OFF","ON"),'AR SALES'!$AF$2:$AF$2501,"Y")&gt;0,"","NO EXEMPTION"))),"")</f>
        <v/>
      </c>
    </row>
    <row r="72" spans="46:54" x14ac:dyDescent="0.25">
      <c r="AT72" s="2" t="str">
        <f>IF($L72="","",IFERROR(INDEX('AR SALES'!$H$2:$H$2501,MATCH(""&amp;$L72,'AR SALES'!$AE$2:$AE$2501,0)),""))</f>
        <v/>
      </c>
      <c r="AU72" s="2" t="str">
        <f t="shared" si="4"/>
        <v/>
      </c>
      <c r="AV72" s="2" t="str">
        <f t="shared" si="5"/>
        <v/>
      </c>
      <c r="AW72" s="2" t="str">
        <f t="shared" si="6"/>
        <v/>
      </c>
      <c r="AX72" s="2" t="str">
        <f t="shared" si="7"/>
        <v/>
      </c>
      <c r="AY72" s="2" t="str">
        <f>IF($AV72="","",IF(AND($Z72=0,COUNTIF('AR SALES'!$L$2:$L$2501,$L72)=0),"YES",""))</f>
        <v/>
      </c>
      <c r="AZ72" s="2" t="str">
        <f>IF($AV72="","",IF(COUNTIF(LISTS!$C$2:$C$250,$AU72)=0,"NEW",""))</f>
        <v/>
      </c>
      <c r="BA72" s="2" t="str">
        <f>IF(""&amp;$F72&lt;&gt;"4","",IF($AY72="YES","",IF(ROUND(SUMIFS($AE$2:$AE$4001,$L$2:$L$4001,$L72,$F$2:$F$4001,"4")-SUMIFS('AR SALES'!$Y$2:$Y$2501,'AR SALES'!$L$2:$L$2501,$L72,'AR SALES'!$AD$2:$AD$2501,"OFF"),2)=0,"","STALE")))</f>
        <v/>
      </c>
      <c r="BB72" s="2" t="str">
        <f>IF(OR(""&amp;$F72="2",""&amp;$F72="4",""&amp;$F72="G",""&amp;$F72="H"),IF($AY72="YES","",IF($AB72&lt;&gt;0,"",IF(COUNTIFS('AR SALES'!$L$2:$L$2501,$L72,'AR SALES'!$AD$2:$AD$2501,IF(""&amp;$F72="4","OFF","ON"),'AR SALES'!$AF$2:$AF$2501,"Y")&gt;0,"","NO EXEMPTION"))),"")</f>
        <v/>
      </c>
    </row>
    <row r="73" spans="46:54" x14ac:dyDescent="0.25">
      <c r="AT73" s="2" t="str">
        <f>IF($L73="","",IFERROR(INDEX('AR SALES'!$H$2:$H$2501,MATCH(""&amp;$L73,'AR SALES'!$AE$2:$AE$2501,0)),""))</f>
        <v/>
      </c>
      <c r="AU73" s="2" t="str">
        <f t="shared" si="4"/>
        <v/>
      </c>
      <c r="AV73" s="2" t="str">
        <f t="shared" si="5"/>
        <v/>
      </c>
      <c r="AW73" s="2" t="str">
        <f t="shared" si="6"/>
        <v/>
      </c>
      <c r="AX73" s="2" t="str">
        <f t="shared" si="7"/>
        <v/>
      </c>
      <c r="AY73" s="2" t="str">
        <f>IF($AV73="","",IF(AND($Z73=0,COUNTIF('AR SALES'!$L$2:$L$2501,$L73)=0),"YES",""))</f>
        <v/>
      </c>
      <c r="AZ73" s="2" t="str">
        <f>IF($AV73="","",IF(COUNTIF(LISTS!$C$2:$C$250,$AU73)=0,"NEW",""))</f>
        <v/>
      </c>
      <c r="BA73" s="2" t="str">
        <f>IF(""&amp;$F73&lt;&gt;"4","",IF($AY73="YES","",IF(ROUND(SUMIFS($AE$2:$AE$4001,$L$2:$L$4001,$L73,$F$2:$F$4001,"4")-SUMIFS('AR SALES'!$Y$2:$Y$2501,'AR SALES'!$L$2:$L$2501,$L73,'AR SALES'!$AD$2:$AD$2501,"OFF"),2)=0,"","STALE")))</f>
        <v/>
      </c>
      <c r="BB73" s="2" t="str">
        <f>IF(OR(""&amp;$F73="2",""&amp;$F73="4",""&amp;$F73="G",""&amp;$F73="H"),IF($AY73="YES","",IF($AB73&lt;&gt;0,"",IF(COUNTIFS('AR SALES'!$L$2:$L$2501,$L73,'AR SALES'!$AD$2:$AD$2501,IF(""&amp;$F73="4","OFF","ON"),'AR SALES'!$AF$2:$AF$2501,"Y")&gt;0,"","NO EXEMPTION"))),"")</f>
        <v/>
      </c>
    </row>
    <row r="74" spans="46:54" x14ac:dyDescent="0.25">
      <c r="AT74" s="2" t="str">
        <f>IF($L74="","",IFERROR(INDEX('AR SALES'!$H$2:$H$2501,MATCH(""&amp;$L74,'AR SALES'!$AE$2:$AE$2501,0)),""))</f>
        <v/>
      </c>
      <c r="AU74" s="2" t="str">
        <f t="shared" si="4"/>
        <v/>
      </c>
      <c r="AV74" s="2" t="str">
        <f t="shared" si="5"/>
        <v/>
      </c>
      <c r="AW74" s="2" t="str">
        <f t="shared" si="6"/>
        <v/>
      </c>
      <c r="AX74" s="2" t="str">
        <f t="shared" si="7"/>
        <v/>
      </c>
      <c r="AY74" s="2" t="str">
        <f>IF($AV74="","",IF(AND($Z74=0,COUNTIF('AR SALES'!$L$2:$L$2501,$L74)=0),"YES",""))</f>
        <v/>
      </c>
      <c r="AZ74" s="2" t="str">
        <f>IF($AV74="","",IF(COUNTIF(LISTS!$C$2:$C$250,$AU74)=0,"NEW",""))</f>
        <v/>
      </c>
      <c r="BA74" s="2" t="str">
        <f>IF(""&amp;$F74&lt;&gt;"4","",IF($AY74="YES","",IF(ROUND(SUMIFS($AE$2:$AE$4001,$L$2:$L$4001,$L74,$F$2:$F$4001,"4")-SUMIFS('AR SALES'!$Y$2:$Y$2501,'AR SALES'!$L$2:$L$2501,$L74,'AR SALES'!$AD$2:$AD$2501,"OFF"),2)=0,"","STALE")))</f>
        <v/>
      </c>
      <c r="BB74" s="2" t="str">
        <f>IF(OR(""&amp;$F74="2",""&amp;$F74="4",""&amp;$F74="G",""&amp;$F74="H"),IF($AY74="YES","",IF($AB74&lt;&gt;0,"",IF(COUNTIFS('AR SALES'!$L$2:$L$2501,$L74,'AR SALES'!$AD$2:$AD$2501,IF(""&amp;$F74="4","OFF","ON"),'AR SALES'!$AF$2:$AF$2501,"Y")&gt;0,"","NO EXEMPTION"))),"")</f>
        <v/>
      </c>
    </row>
    <row r="75" spans="46:54" x14ac:dyDescent="0.25">
      <c r="AT75" s="2" t="str">
        <f>IF($L75="","",IFERROR(INDEX('AR SALES'!$H$2:$H$2501,MATCH(""&amp;$L75,'AR SALES'!$AE$2:$AE$2501,0)),""))</f>
        <v/>
      </c>
      <c r="AU75" s="2" t="str">
        <f t="shared" si="4"/>
        <v/>
      </c>
      <c r="AV75" s="2" t="str">
        <f t="shared" si="5"/>
        <v/>
      </c>
      <c r="AW75" s="2" t="str">
        <f t="shared" si="6"/>
        <v/>
      </c>
      <c r="AX75" s="2" t="str">
        <f t="shared" si="7"/>
        <v/>
      </c>
      <c r="AY75" s="2" t="str">
        <f>IF($AV75="","",IF(AND($Z75=0,COUNTIF('AR SALES'!$L$2:$L$2501,$L75)=0),"YES",""))</f>
        <v/>
      </c>
      <c r="AZ75" s="2" t="str">
        <f>IF($AV75="","",IF(COUNTIF(LISTS!$C$2:$C$250,$AU75)=0,"NEW",""))</f>
        <v/>
      </c>
      <c r="BA75" s="2" t="str">
        <f>IF(""&amp;$F75&lt;&gt;"4","",IF($AY75="YES","",IF(ROUND(SUMIFS($AE$2:$AE$4001,$L$2:$L$4001,$L75,$F$2:$F$4001,"4")-SUMIFS('AR SALES'!$Y$2:$Y$2501,'AR SALES'!$L$2:$L$2501,$L75,'AR SALES'!$AD$2:$AD$2501,"OFF"),2)=0,"","STALE")))</f>
        <v/>
      </c>
      <c r="BB75" s="2" t="str">
        <f>IF(OR(""&amp;$F75="2",""&amp;$F75="4",""&amp;$F75="G",""&amp;$F75="H"),IF($AY75="YES","",IF($AB75&lt;&gt;0,"",IF(COUNTIFS('AR SALES'!$L$2:$L$2501,$L75,'AR SALES'!$AD$2:$AD$2501,IF(""&amp;$F75="4","OFF","ON"),'AR SALES'!$AF$2:$AF$2501,"Y")&gt;0,"","NO EXEMPTION"))),"")</f>
        <v/>
      </c>
    </row>
    <row r="76" spans="46:54" x14ac:dyDescent="0.25">
      <c r="AT76" s="2" t="str">
        <f>IF($L76="","",IFERROR(INDEX('AR SALES'!$H$2:$H$2501,MATCH(""&amp;$L76,'AR SALES'!$AE$2:$AE$2501,0)),""))</f>
        <v/>
      </c>
      <c r="AU76" s="2" t="str">
        <f t="shared" si="4"/>
        <v/>
      </c>
      <c r="AV76" s="2" t="str">
        <f t="shared" si="5"/>
        <v/>
      </c>
      <c r="AW76" s="2" t="str">
        <f t="shared" si="6"/>
        <v/>
      </c>
      <c r="AX76" s="2" t="str">
        <f t="shared" si="7"/>
        <v/>
      </c>
      <c r="AY76" s="2" t="str">
        <f>IF($AV76="","",IF(AND($Z76=0,COUNTIF('AR SALES'!$L$2:$L$2501,$L76)=0),"YES",""))</f>
        <v/>
      </c>
      <c r="AZ76" s="2" t="str">
        <f>IF($AV76="","",IF(COUNTIF(LISTS!$C$2:$C$250,$AU76)=0,"NEW",""))</f>
        <v/>
      </c>
      <c r="BA76" s="2" t="str">
        <f>IF(""&amp;$F76&lt;&gt;"4","",IF($AY76="YES","",IF(ROUND(SUMIFS($AE$2:$AE$4001,$L$2:$L$4001,$L76,$F$2:$F$4001,"4")-SUMIFS('AR SALES'!$Y$2:$Y$2501,'AR SALES'!$L$2:$L$2501,$L76,'AR SALES'!$AD$2:$AD$2501,"OFF"),2)=0,"","STALE")))</f>
        <v/>
      </c>
      <c r="BB76" s="2" t="str">
        <f>IF(OR(""&amp;$F76="2",""&amp;$F76="4",""&amp;$F76="G",""&amp;$F76="H"),IF($AY76="YES","",IF($AB76&lt;&gt;0,"",IF(COUNTIFS('AR SALES'!$L$2:$L$2501,$L76,'AR SALES'!$AD$2:$AD$2501,IF(""&amp;$F76="4","OFF","ON"),'AR SALES'!$AF$2:$AF$2501,"Y")&gt;0,"","NO EXEMPTION"))),"")</f>
        <v/>
      </c>
    </row>
    <row r="77" spans="46:54" x14ac:dyDescent="0.25">
      <c r="AT77" s="2" t="str">
        <f>IF($L77="","",IFERROR(INDEX('AR SALES'!$H$2:$H$2501,MATCH(""&amp;$L77,'AR SALES'!$AE$2:$AE$2501,0)),""))</f>
        <v/>
      </c>
      <c r="AU77" s="2" t="str">
        <f t="shared" si="4"/>
        <v/>
      </c>
      <c r="AV77" s="2" t="str">
        <f t="shared" si="5"/>
        <v/>
      </c>
      <c r="AW77" s="2" t="str">
        <f t="shared" si="6"/>
        <v/>
      </c>
      <c r="AX77" s="2" t="str">
        <f t="shared" si="7"/>
        <v/>
      </c>
      <c r="AY77" s="2" t="str">
        <f>IF($AV77="","",IF(AND($Z77=0,COUNTIF('AR SALES'!$L$2:$L$2501,$L77)=0),"YES",""))</f>
        <v/>
      </c>
      <c r="AZ77" s="2" t="str">
        <f>IF($AV77="","",IF(COUNTIF(LISTS!$C$2:$C$250,$AU77)=0,"NEW",""))</f>
        <v/>
      </c>
      <c r="BA77" s="2" t="str">
        <f>IF(""&amp;$F77&lt;&gt;"4","",IF($AY77="YES","",IF(ROUND(SUMIFS($AE$2:$AE$4001,$L$2:$L$4001,$L77,$F$2:$F$4001,"4")-SUMIFS('AR SALES'!$Y$2:$Y$2501,'AR SALES'!$L$2:$L$2501,$L77,'AR SALES'!$AD$2:$AD$2501,"OFF"),2)=0,"","STALE")))</f>
        <v/>
      </c>
      <c r="BB77" s="2" t="str">
        <f>IF(OR(""&amp;$F77="2",""&amp;$F77="4",""&amp;$F77="G",""&amp;$F77="H"),IF($AY77="YES","",IF($AB77&lt;&gt;0,"",IF(COUNTIFS('AR SALES'!$L$2:$L$2501,$L77,'AR SALES'!$AD$2:$AD$2501,IF(""&amp;$F77="4","OFF","ON"),'AR SALES'!$AF$2:$AF$2501,"Y")&gt;0,"","NO EXEMPTION"))),"")</f>
        <v/>
      </c>
    </row>
    <row r="78" spans="46:54" x14ac:dyDescent="0.25">
      <c r="AT78" s="2" t="str">
        <f>IF($L78="","",IFERROR(INDEX('AR SALES'!$H$2:$H$2501,MATCH(""&amp;$L78,'AR SALES'!$AE$2:$AE$2501,0)),""))</f>
        <v/>
      </c>
      <c r="AU78" s="2" t="str">
        <f t="shared" si="4"/>
        <v/>
      </c>
      <c r="AV78" s="2" t="str">
        <f t="shared" si="5"/>
        <v/>
      </c>
      <c r="AW78" s="2" t="str">
        <f t="shared" si="6"/>
        <v/>
      </c>
      <c r="AX78" s="2" t="str">
        <f t="shared" si="7"/>
        <v/>
      </c>
      <c r="AY78" s="2" t="str">
        <f>IF($AV78="","",IF(AND($Z78=0,COUNTIF('AR SALES'!$L$2:$L$2501,$L78)=0),"YES",""))</f>
        <v/>
      </c>
      <c r="AZ78" s="2" t="str">
        <f>IF($AV78="","",IF(COUNTIF(LISTS!$C$2:$C$250,$AU78)=0,"NEW",""))</f>
        <v/>
      </c>
      <c r="BA78" s="2" t="str">
        <f>IF(""&amp;$F78&lt;&gt;"4","",IF($AY78="YES","",IF(ROUND(SUMIFS($AE$2:$AE$4001,$L$2:$L$4001,$L78,$F$2:$F$4001,"4")-SUMIFS('AR SALES'!$Y$2:$Y$2501,'AR SALES'!$L$2:$L$2501,$L78,'AR SALES'!$AD$2:$AD$2501,"OFF"),2)=0,"","STALE")))</f>
        <v/>
      </c>
      <c r="BB78" s="2" t="str">
        <f>IF(OR(""&amp;$F78="2",""&amp;$F78="4",""&amp;$F78="G",""&amp;$F78="H"),IF($AY78="YES","",IF($AB78&lt;&gt;0,"",IF(COUNTIFS('AR SALES'!$L$2:$L$2501,$L78,'AR SALES'!$AD$2:$AD$2501,IF(""&amp;$F78="4","OFF","ON"),'AR SALES'!$AF$2:$AF$2501,"Y")&gt;0,"","NO EXEMPTION"))),"")</f>
        <v/>
      </c>
    </row>
    <row r="79" spans="46:54" x14ac:dyDescent="0.25">
      <c r="AT79" s="2" t="str">
        <f>IF($L79="","",IFERROR(INDEX('AR SALES'!$H$2:$H$2501,MATCH(""&amp;$L79,'AR SALES'!$AE$2:$AE$2501,0)),""))</f>
        <v/>
      </c>
      <c r="AU79" s="2" t="str">
        <f t="shared" si="4"/>
        <v/>
      </c>
      <c r="AV79" s="2" t="str">
        <f t="shared" si="5"/>
        <v/>
      </c>
      <c r="AW79" s="2" t="str">
        <f t="shared" si="6"/>
        <v/>
      </c>
      <c r="AX79" s="2" t="str">
        <f t="shared" si="7"/>
        <v/>
      </c>
      <c r="AY79" s="2" t="str">
        <f>IF($AV79="","",IF(AND($Z79=0,COUNTIF('AR SALES'!$L$2:$L$2501,$L79)=0),"YES",""))</f>
        <v/>
      </c>
      <c r="AZ79" s="2" t="str">
        <f>IF($AV79="","",IF(COUNTIF(LISTS!$C$2:$C$250,$AU79)=0,"NEW",""))</f>
        <v/>
      </c>
      <c r="BA79" s="2" t="str">
        <f>IF(""&amp;$F79&lt;&gt;"4","",IF($AY79="YES","",IF(ROUND(SUMIFS($AE$2:$AE$4001,$L$2:$L$4001,$L79,$F$2:$F$4001,"4")-SUMIFS('AR SALES'!$Y$2:$Y$2501,'AR SALES'!$L$2:$L$2501,$L79,'AR SALES'!$AD$2:$AD$2501,"OFF"),2)=0,"","STALE")))</f>
        <v/>
      </c>
      <c r="BB79" s="2" t="str">
        <f>IF(OR(""&amp;$F79="2",""&amp;$F79="4",""&amp;$F79="G",""&amp;$F79="H"),IF($AY79="YES","",IF($AB79&lt;&gt;0,"",IF(COUNTIFS('AR SALES'!$L$2:$L$2501,$L79,'AR SALES'!$AD$2:$AD$2501,IF(""&amp;$F79="4","OFF","ON"),'AR SALES'!$AF$2:$AF$2501,"Y")&gt;0,"","NO EXEMPTION"))),"")</f>
        <v/>
      </c>
    </row>
    <row r="80" spans="46:54" x14ac:dyDescent="0.25">
      <c r="AT80" s="2" t="str">
        <f>IF($L80="","",IFERROR(INDEX('AR SALES'!$H$2:$H$2501,MATCH(""&amp;$L80,'AR SALES'!$AE$2:$AE$2501,0)),""))</f>
        <v/>
      </c>
      <c r="AU80" s="2" t="str">
        <f t="shared" si="4"/>
        <v/>
      </c>
      <c r="AV80" s="2" t="str">
        <f t="shared" si="5"/>
        <v/>
      </c>
      <c r="AW80" s="2" t="str">
        <f t="shared" si="6"/>
        <v/>
      </c>
      <c r="AX80" s="2" t="str">
        <f t="shared" si="7"/>
        <v/>
      </c>
      <c r="AY80" s="2" t="str">
        <f>IF($AV80="","",IF(AND($Z80=0,COUNTIF('AR SALES'!$L$2:$L$2501,$L80)=0),"YES",""))</f>
        <v/>
      </c>
      <c r="AZ80" s="2" t="str">
        <f>IF($AV80="","",IF(COUNTIF(LISTS!$C$2:$C$250,$AU80)=0,"NEW",""))</f>
        <v/>
      </c>
      <c r="BA80" s="2" t="str">
        <f>IF(""&amp;$F80&lt;&gt;"4","",IF($AY80="YES","",IF(ROUND(SUMIFS($AE$2:$AE$4001,$L$2:$L$4001,$L80,$F$2:$F$4001,"4")-SUMIFS('AR SALES'!$Y$2:$Y$2501,'AR SALES'!$L$2:$L$2501,$L80,'AR SALES'!$AD$2:$AD$2501,"OFF"),2)=0,"","STALE")))</f>
        <v/>
      </c>
      <c r="BB80" s="2" t="str">
        <f>IF(OR(""&amp;$F80="2",""&amp;$F80="4",""&amp;$F80="G",""&amp;$F80="H"),IF($AY80="YES","",IF($AB80&lt;&gt;0,"",IF(COUNTIFS('AR SALES'!$L$2:$L$2501,$L80,'AR SALES'!$AD$2:$AD$2501,IF(""&amp;$F80="4","OFF","ON"),'AR SALES'!$AF$2:$AF$2501,"Y")&gt;0,"","NO EXEMPTION"))),"")</f>
        <v/>
      </c>
    </row>
    <row r="81" spans="46:54" x14ac:dyDescent="0.25">
      <c r="AT81" s="2" t="str">
        <f>IF($L81="","",IFERROR(INDEX('AR SALES'!$H$2:$H$2501,MATCH(""&amp;$L81,'AR SALES'!$AE$2:$AE$2501,0)),""))</f>
        <v/>
      </c>
      <c r="AU81" s="2" t="str">
        <f t="shared" si="4"/>
        <v/>
      </c>
      <c r="AV81" s="2" t="str">
        <f t="shared" si="5"/>
        <v/>
      </c>
      <c r="AW81" s="2" t="str">
        <f t="shared" si="6"/>
        <v/>
      </c>
      <c r="AX81" s="2" t="str">
        <f t="shared" si="7"/>
        <v/>
      </c>
      <c r="AY81" s="2" t="str">
        <f>IF($AV81="","",IF(AND($Z81=0,COUNTIF('AR SALES'!$L$2:$L$2501,$L81)=0),"YES",""))</f>
        <v/>
      </c>
      <c r="AZ81" s="2" t="str">
        <f>IF($AV81="","",IF(COUNTIF(LISTS!$C$2:$C$250,$AU81)=0,"NEW",""))</f>
        <v/>
      </c>
      <c r="BA81" s="2" t="str">
        <f>IF(""&amp;$F81&lt;&gt;"4","",IF($AY81="YES","",IF(ROUND(SUMIFS($AE$2:$AE$4001,$L$2:$L$4001,$L81,$F$2:$F$4001,"4")-SUMIFS('AR SALES'!$Y$2:$Y$2501,'AR SALES'!$L$2:$L$2501,$L81,'AR SALES'!$AD$2:$AD$2501,"OFF"),2)=0,"","STALE")))</f>
        <v/>
      </c>
      <c r="BB81" s="2" t="str">
        <f>IF(OR(""&amp;$F81="2",""&amp;$F81="4",""&amp;$F81="G",""&amp;$F81="H"),IF($AY81="YES","",IF($AB81&lt;&gt;0,"",IF(COUNTIFS('AR SALES'!$L$2:$L$2501,$L81,'AR SALES'!$AD$2:$AD$2501,IF(""&amp;$F81="4","OFF","ON"),'AR SALES'!$AF$2:$AF$2501,"Y")&gt;0,"","NO EXEMPTION"))),"")</f>
        <v/>
      </c>
    </row>
    <row r="82" spans="46:54" x14ac:dyDescent="0.25">
      <c r="AT82" s="2" t="str">
        <f>IF($L82="","",IFERROR(INDEX('AR SALES'!$H$2:$H$2501,MATCH(""&amp;$L82,'AR SALES'!$AE$2:$AE$2501,0)),""))</f>
        <v/>
      </c>
      <c r="AU82" s="2" t="str">
        <f t="shared" si="4"/>
        <v/>
      </c>
      <c r="AV82" s="2" t="str">
        <f t="shared" si="5"/>
        <v/>
      </c>
      <c r="AW82" s="2" t="str">
        <f t="shared" si="6"/>
        <v/>
      </c>
      <c r="AX82" s="2" t="str">
        <f t="shared" si="7"/>
        <v/>
      </c>
      <c r="AY82" s="2" t="str">
        <f>IF($AV82="","",IF(AND($Z82=0,COUNTIF('AR SALES'!$L$2:$L$2501,$L82)=0),"YES",""))</f>
        <v/>
      </c>
      <c r="AZ82" s="2" t="str">
        <f>IF($AV82="","",IF(COUNTIF(LISTS!$C$2:$C$250,$AU82)=0,"NEW",""))</f>
        <v/>
      </c>
      <c r="BA82" s="2" t="str">
        <f>IF(""&amp;$F82&lt;&gt;"4","",IF($AY82="YES","",IF(ROUND(SUMIFS($AE$2:$AE$4001,$L$2:$L$4001,$L82,$F$2:$F$4001,"4")-SUMIFS('AR SALES'!$Y$2:$Y$2501,'AR SALES'!$L$2:$L$2501,$L82,'AR SALES'!$AD$2:$AD$2501,"OFF"),2)=0,"","STALE")))</f>
        <v/>
      </c>
      <c r="BB82" s="2" t="str">
        <f>IF(OR(""&amp;$F82="2",""&amp;$F82="4",""&amp;$F82="G",""&amp;$F82="H"),IF($AY82="YES","",IF($AB82&lt;&gt;0,"",IF(COUNTIFS('AR SALES'!$L$2:$L$2501,$L82,'AR SALES'!$AD$2:$AD$2501,IF(""&amp;$F82="4","OFF","ON"),'AR SALES'!$AF$2:$AF$2501,"Y")&gt;0,"","NO EXEMPTION"))),"")</f>
        <v/>
      </c>
    </row>
    <row r="83" spans="46:54" x14ac:dyDescent="0.25">
      <c r="AT83" s="2" t="str">
        <f>IF($L83="","",IFERROR(INDEX('AR SALES'!$H$2:$H$2501,MATCH(""&amp;$L83,'AR SALES'!$AE$2:$AE$2501,0)),""))</f>
        <v/>
      </c>
      <c r="AU83" s="2" t="str">
        <f t="shared" si="4"/>
        <v/>
      </c>
      <c r="AV83" s="2" t="str">
        <f t="shared" si="5"/>
        <v/>
      </c>
      <c r="AW83" s="2" t="str">
        <f t="shared" si="6"/>
        <v/>
      </c>
      <c r="AX83" s="2" t="str">
        <f t="shared" si="7"/>
        <v/>
      </c>
      <c r="AY83" s="2" t="str">
        <f>IF($AV83="","",IF(AND($Z83=0,COUNTIF('AR SALES'!$L$2:$L$2501,$L83)=0),"YES",""))</f>
        <v/>
      </c>
      <c r="AZ83" s="2" t="str">
        <f>IF($AV83="","",IF(COUNTIF(LISTS!$C$2:$C$250,$AU83)=0,"NEW",""))</f>
        <v/>
      </c>
      <c r="BA83" s="2" t="str">
        <f>IF(""&amp;$F83&lt;&gt;"4","",IF($AY83="YES","",IF(ROUND(SUMIFS($AE$2:$AE$4001,$L$2:$L$4001,$L83,$F$2:$F$4001,"4")-SUMIFS('AR SALES'!$Y$2:$Y$2501,'AR SALES'!$L$2:$L$2501,$L83,'AR SALES'!$AD$2:$AD$2501,"OFF"),2)=0,"","STALE")))</f>
        <v/>
      </c>
      <c r="BB83" s="2" t="str">
        <f>IF(OR(""&amp;$F83="2",""&amp;$F83="4",""&amp;$F83="G",""&amp;$F83="H"),IF($AY83="YES","",IF($AB83&lt;&gt;0,"",IF(COUNTIFS('AR SALES'!$L$2:$L$2501,$L83,'AR SALES'!$AD$2:$AD$2501,IF(""&amp;$F83="4","OFF","ON"),'AR SALES'!$AF$2:$AF$2501,"Y")&gt;0,"","NO EXEMPTION"))),"")</f>
        <v/>
      </c>
    </row>
    <row r="84" spans="46:54" x14ac:dyDescent="0.25">
      <c r="AT84" s="2" t="str">
        <f>IF($L84="","",IFERROR(INDEX('AR SALES'!$H$2:$H$2501,MATCH(""&amp;$L84,'AR SALES'!$AE$2:$AE$2501,0)),""))</f>
        <v/>
      </c>
      <c r="AU84" s="2" t="str">
        <f t="shared" si="4"/>
        <v/>
      </c>
      <c r="AV84" s="2" t="str">
        <f t="shared" si="5"/>
        <v/>
      </c>
      <c r="AW84" s="2" t="str">
        <f t="shared" si="6"/>
        <v/>
      </c>
      <c r="AX84" s="2" t="str">
        <f t="shared" si="7"/>
        <v/>
      </c>
      <c r="AY84" s="2" t="str">
        <f>IF($AV84="","",IF(AND($Z84=0,COUNTIF('AR SALES'!$L$2:$L$2501,$L84)=0),"YES",""))</f>
        <v/>
      </c>
      <c r="AZ84" s="2" t="str">
        <f>IF($AV84="","",IF(COUNTIF(LISTS!$C$2:$C$250,$AU84)=0,"NEW",""))</f>
        <v/>
      </c>
      <c r="BA84" s="2" t="str">
        <f>IF(""&amp;$F84&lt;&gt;"4","",IF($AY84="YES","",IF(ROUND(SUMIFS($AE$2:$AE$4001,$L$2:$L$4001,$L84,$F$2:$F$4001,"4")-SUMIFS('AR SALES'!$Y$2:$Y$2501,'AR SALES'!$L$2:$L$2501,$L84,'AR SALES'!$AD$2:$AD$2501,"OFF"),2)=0,"","STALE")))</f>
        <v/>
      </c>
      <c r="BB84" s="2" t="str">
        <f>IF(OR(""&amp;$F84="2",""&amp;$F84="4",""&amp;$F84="G",""&amp;$F84="H"),IF($AY84="YES","",IF($AB84&lt;&gt;0,"",IF(COUNTIFS('AR SALES'!$L$2:$L$2501,$L84,'AR SALES'!$AD$2:$AD$2501,IF(""&amp;$F84="4","OFF","ON"),'AR SALES'!$AF$2:$AF$2501,"Y")&gt;0,"","NO EXEMPTION"))),"")</f>
        <v/>
      </c>
    </row>
    <row r="85" spans="46:54" x14ac:dyDescent="0.25">
      <c r="AT85" s="2" t="str">
        <f>IF($L85="","",IFERROR(INDEX('AR SALES'!$H$2:$H$2501,MATCH(""&amp;$L85,'AR SALES'!$AE$2:$AE$2501,0)),""))</f>
        <v/>
      </c>
      <c r="AU85" s="2" t="str">
        <f t="shared" si="4"/>
        <v/>
      </c>
      <c r="AV85" s="2" t="str">
        <f t="shared" si="5"/>
        <v/>
      </c>
      <c r="AW85" s="2" t="str">
        <f t="shared" si="6"/>
        <v/>
      </c>
      <c r="AX85" s="2" t="str">
        <f t="shared" si="7"/>
        <v/>
      </c>
      <c r="AY85" s="2" t="str">
        <f>IF($AV85="","",IF(AND($Z85=0,COUNTIF('AR SALES'!$L$2:$L$2501,$L85)=0),"YES",""))</f>
        <v/>
      </c>
      <c r="AZ85" s="2" t="str">
        <f>IF($AV85="","",IF(COUNTIF(LISTS!$C$2:$C$250,$AU85)=0,"NEW",""))</f>
        <v/>
      </c>
      <c r="BA85" s="2" t="str">
        <f>IF(""&amp;$F85&lt;&gt;"4","",IF($AY85="YES","",IF(ROUND(SUMIFS($AE$2:$AE$4001,$L$2:$L$4001,$L85,$F$2:$F$4001,"4")-SUMIFS('AR SALES'!$Y$2:$Y$2501,'AR SALES'!$L$2:$L$2501,$L85,'AR SALES'!$AD$2:$AD$2501,"OFF"),2)=0,"","STALE")))</f>
        <v/>
      </c>
      <c r="BB85" s="2" t="str">
        <f>IF(OR(""&amp;$F85="2",""&amp;$F85="4",""&amp;$F85="G",""&amp;$F85="H"),IF($AY85="YES","",IF($AB85&lt;&gt;0,"",IF(COUNTIFS('AR SALES'!$L$2:$L$2501,$L85,'AR SALES'!$AD$2:$AD$2501,IF(""&amp;$F85="4","OFF","ON"),'AR SALES'!$AF$2:$AF$2501,"Y")&gt;0,"","NO EXEMPTION"))),"")</f>
        <v/>
      </c>
    </row>
    <row r="86" spans="46:54" x14ac:dyDescent="0.25">
      <c r="AT86" s="2" t="str">
        <f>IF($L86="","",IFERROR(INDEX('AR SALES'!$H$2:$H$2501,MATCH(""&amp;$L86,'AR SALES'!$AE$2:$AE$2501,0)),""))</f>
        <v/>
      </c>
      <c r="AU86" s="2" t="str">
        <f t="shared" si="4"/>
        <v/>
      </c>
      <c r="AV86" s="2" t="str">
        <f t="shared" si="5"/>
        <v/>
      </c>
      <c r="AW86" s="2" t="str">
        <f t="shared" si="6"/>
        <v/>
      </c>
      <c r="AX86" s="2" t="str">
        <f t="shared" si="7"/>
        <v/>
      </c>
      <c r="AY86" s="2" t="str">
        <f>IF($AV86="","",IF(AND($Z86=0,COUNTIF('AR SALES'!$L$2:$L$2501,$L86)=0),"YES",""))</f>
        <v/>
      </c>
      <c r="AZ86" s="2" t="str">
        <f>IF($AV86="","",IF(COUNTIF(LISTS!$C$2:$C$250,$AU86)=0,"NEW",""))</f>
        <v/>
      </c>
      <c r="BA86" s="2" t="str">
        <f>IF(""&amp;$F86&lt;&gt;"4","",IF($AY86="YES","",IF(ROUND(SUMIFS($AE$2:$AE$4001,$L$2:$L$4001,$L86,$F$2:$F$4001,"4")-SUMIFS('AR SALES'!$Y$2:$Y$2501,'AR SALES'!$L$2:$L$2501,$L86,'AR SALES'!$AD$2:$AD$2501,"OFF"),2)=0,"","STALE")))</f>
        <v/>
      </c>
      <c r="BB86" s="2" t="str">
        <f>IF(OR(""&amp;$F86="2",""&amp;$F86="4",""&amp;$F86="G",""&amp;$F86="H"),IF($AY86="YES","",IF($AB86&lt;&gt;0,"",IF(COUNTIFS('AR SALES'!$L$2:$L$2501,$L86,'AR SALES'!$AD$2:$AD$2501,IF(""&amp;$F86="4","OFF","ON"),'AR SALES'!$AF$2:$AF$2501,"Y")&gt;0,"","NO EXEMPTION"))),"")</f>
        <v/>
      </c>
    </row>
    <row r="87" spans="46:54" x14ac:dyDescent="0.25">
      <c r="AT87" s="2" t="str">
        <f>IF($L87="","",IFERROR(INDEX('AR SALES'!$H$2:$H$2501,MATCH(""&amp;$L87,'AR SALES'!$AE$2:$AE$2501,0)),""))</f>
        <v/>
      </c>
      <c r="AU87" s="2" t="str">
        <f t="shared" si="4"/>
        <v/>
      </c>
      <c r="AV87" s="2" t="str">
        <f t="shared" si="5"/>
        <v/>
      </c>
      <c r="AW87" s="2" t="str">
        <f t="shared" si="6"/>
        <v/>
      </c>
      <c r="AX87" s="2" t="str">
        <f t="shared" si="7"/>
        <v/>
      </c>
      <c r="AY87" s="2" t="str">
        <f>IF($AV87="","",IF(AND($Z87=0,COUNTIF('AR SALES'!$L$2:$L$2501,$L87)=0),"YES",""))</f>
        <v/>
      </c>
      <c r="AZ87" s="2" t="str">
        <f>IF($AV87="","",IF(COUNTIF(LISTS!$C$2:$C$250,$AU87)=0,"NEW",""))</f>
        <v/>
      </c>
      <c r="BA87" s="2" t="str">
        <f>IF(""&amp;$F87&lt;&gt;"4","",IF($AY87="YES","",IF(ROUND(SUMIFS($AE$2:$AE$4001,$L$2:$L$4001,$L87,$F$2:$F$4001,"4")-SUMIFS('AR SALES'!$Y$2:$Y$2501,'AR SALES'!$L$2:$L$2501,$L87,'AR SALES'!$AD$2:$AD$2501,"OFF"),2)=0,"","STALE")))</f>
        <v/>
      </c>
      <c r="BB87" s="2" t="str">
        <f>IF(OR(""&amp;$F87="2",""&amp;$F87="4",""&amp;$F87="G",""&amp;$F87="H"),IF($AY87="YES","",IF($AB87&lt;&gt;0,"",IF(COUNTIFS('AR SALES'!$L$2:$L$2501,$L87,'AR SALES'!$AD$2:$AD$2501,IF(""&amp;$F87="4","OFF","ON"),'AR SALES'!$AF$2:$AF$2501,"Y")&gt;0,"","NO EXEMPTION"))),"")</f>
        <v/>
      </c>
    </row>
    <row r="88" spans="46:54" x14ac:dyDescent="0.25">
      <c r="AT88" s="2" t="str">
        <f>IF($L88="","",IFERROR(INDEX('AR SALES'!$H$2:$H$2501,MATCH(""&amp;$L88,'AR SALES'!$AE$2:$AE$2501,0)),""))</f>
        <v/>
      </c>
      <c r="AU88" s="2" t="str">
        <f t="shared" si="4"/>
        <v/>
      </c>
      <c r="AV88" s="2" t="str">
        <f t="shared" si="5"/>
        <v/>
      </c>
      <c r="AW88" s="2" t="str">
        <f t="shared" si="6"/>
        <v/>
      </c>
      <c r="AX88" s="2" t="str">
        <f t="shared" si="7"/>
        <v/>
      </c>
      <c r="AY88" s="2" t="str">
        <f>IF($AV88="","",IF(AND($Z88=0,COUNTIF('AR SALES'!$L$2:$L$2501,$L88)=0),"YES",""))</f>
        <v/>
      </c>
      <c r="AZ88" s="2" t="str">
        <f>IF($AV88="","",IF(COUNTIF(LISTS!$C$2:$C$250,$AU88)=0,"NEW",""))</f>
        <v/>
      </c>
      <c r="BA88" s="2" t="str">
        <f>IF(""&amp;$F88&lt;&gt;"4","",IF($AY88="YES","",IF(ROUND(SUMIFS($AE$2:$AE$4001,$L$2:$L$4001,$L88,$F$2:$F$4001,"4")-SUMIFS('AR SALES'!$Y$2:$Y$2501,'AR SALES'!$L$2:$L$2501,$L88,'AR SALES'!$AD$2:$AD$2501,"OFF"),2)=0,"","STALE")))</f>
        <v/>
      </c>
      <c r="BB88" s="2" t="str">
        <f>IF(OR(""&amp;$F88="2",""&amp;$F88="4",""&amp;$F88="G",""&amp;$F88="H"),IF($AY88="YES","",IF($AB88&lt;&gt;0,"",IF(COUNTIFS('AR SALES'!$L$2:$L$2501,$L88,'AR SALES'!$AD$2:$AD$2501,IF(""&amp;$F88="4","OFF","ON"),'AR SALES'!$AF$2:$AF$2501,"Y")&gt;0,"","NO EXEMPTION"))),"")</f>
        <v/>
      </c>
    </row>
    <row r="89" spans="46:54" x14ac:dyDescent="0.25">
      <c r="AT89" s="2" t="str">
        <f>IF($L89="","",IFERROR(INDEX('AR SALES'!$H$2:$H$2501,MATCH(""&amp;$L89,'AR SALES'!$AE$2:$AE$2501,0)),""))</f>
        <v/>
      </c>
      <c r="AU89" s="2" t="str">
        <f t="shared" si="4"/>
        <v/>
      </c>
      <c r="AV89" s="2" t="str">
        <f t="shared" si="5"/>
        <v/>
      </c>
      <c r="AW89" s="2" t="str">
        <f t="shared" si="6"/>
        <v/>
      </c>
      <c r="AX89" s="2" t="str">
        <f t="shared" si="7"/>
        <v/>
      </c>
      <c r="AY89" s="2" t="str">
        <f>IF($AV89="","",IF(AND($Z89=0,COUNTIF('AR SALES'!$L$2:$L$2501,$L89)=0),"YES",""))</f>
        <v/>
      </c>
      <c r="AZ89" s="2" t="str">
        <f>IF($AV89="","",IF(COUNTIF(LISTS!$C$2:$C$250,$AU89)=0,"NEW",""))</f>
        <v/>
      </c>
      <c r="BA89" s="2" t="str">
        <f>IF(""&amp;$F89&lt;&gt;"4","",IF($AY89="YES","",IF(ROUND(SUMIFS($AE$2:$AE$4001,$L$2:$L$4001,$L89,$F$2:$F$4001,"4")-SUMIFS('AR SALES'!$Y$2:$Y$2501,'AR SALES'!$L$2:$L$2501,$L89,'AR SALES'!$AD$2:$AD$2501,"OFF"),2)=0,"","STALE")))</f>
        <v/>
      </c>
      <c r="BB89" s="2" t="str">
        <f>IF(OR(""&amp;$F89="2",""&amp;$F89="4",""&amp;$F89="G",""&amp;$F89="H"),IF($AY89="YES","",IF($AB89&lt;&gt;0,"",IF(COUNTIFS('AR SALES'!$L$2:$L$2501,$L89,'AR SALES'!$AD$2:$AD$2501,IF(""&amp;$F89="4","OFF","ON"),'AR SALES'!$AF$2:$AF$2501,"Y")&gt;0,"","NO EXEMPTION"))),"")</f>
        <v/>
      </c>
    </row>
    <row r="90" spans="46:54" x14ac:dyDescent="0.25">
      <c r="AT90" s="2" t="str">
        <f>IF($L90="","",IFERROR(INDEX('AR SALES'!$H$2:$H$2501,MATCH(""&amp;$L90,'AR SALES'!$AE$2:$AE$2501,0)),""))</f>
        <v/>
      </c>
      <c r="AU90" s="2" t="str">
        <f t="shared" si="4"/>
        <v/>
      </c>
      <c r="AV90" s="2" t="str">
        <f t="shared" si="5"/>
        <v/>
      </c>
      <c r="AW90" s="2" t="str">
        <f t="shared" si="6"/>
        <v/>
      </c>
      <c r="AX90" s="2" t="str">
        <f t="shared" si="7"/>
        <v/>
      </c>
      <c r="AY90" s="2" t="str">
        <f>IF($AV90="","",IF(AND($Z90=0,COUNTIF('AR SALES'!$L$2:$L$2501,$L90)=0),"YES",""))</f>
        <v/>
      </c>
      <c r="AZ90" s="2" t="str">
        <f>IF($AV90="","",IF(COUNTIF(LISTS!$C$2:$C$250,$AU90)=0,"NEW",""))</f>
        <v/>
      </c>
      <c r="BA90" s="2" t="str">
        <f>IF(""&amp;$F90&lt;&gt;"4","",IF($AY90="YES","",IF(ROUND(SUMIFS($AE$2:$AE$4001,$L$2:$L$4001,$L90,$F$2:$F$4001,"4")-SUMIFS('AR SALES'!$Y$2:$Y$2501,'AR SALES'!$L$2:$L$2501,$L90,'AR SALES'!$AD$2:$AD$2501,"OFF"),2)=0,"","STALE")))</f>
        <v/>
      </c>
      <c r="BB90" s="2" t="str">
        <f>IF(OR(""&amp;$F90="2",""&amp;$F90="4",""&amp;$F90="G",""&amp;$F90="H"),IF($AY90="YES","",IF($AB90&lt;&gt;0,"",IF(COUNTIFS('AR SALES'!$L$2:$L$2501,$L90,'AR SALES'!$AD$2:$AD$2501,IF(""&amp;$F90="4","OFF","ON"),'AR SALES'!$AF$2:$AF$2501,"Y")&gt;0,"","NO EXEMPTION"))),"")</f>
        <v/>
      </c>
    </row>
    <row r="91" spans="46:54" x14ac:dyDescent="0.25">
      <c r="AT91" s="2" t="str">
        <f>IF($L91="","",IFERROR(INDEX('AR SALES'!$H$2:$H$2501,MATCH(""&amp;$L91,'AR SALES'!$AE$2:$AE$2501,0)),""))</f>
        <v/>
      </c>
      <c r="AU91" s="2" t="str">
        <f t="shared" si="4"/>
        <v/>
      </c>
      <c r="AV91" s="2" t="str">
        <f t="shared" si="5"/>
        <v/>
      </c>
      <c r="AW91" s="2" t="str">
        <f t="shared" si="6"/>
        <v/>
      </c>
      <c r="AX91" s="2" t="str">
        <f t="shared" si="7"/>
        <v/>
      </c>
      <c r="AY91" s="2" t="str">
        <f>IF($AV91="","",IF(AND($Z91=0,COUNTIF('AR SALES'!$L$2:$L$2501,$L91)=0),"YES",""))</f>
        <v/>
      </c>
      <c r="AZ91" s="2" t="str">
        <f>IF($AV91="","",IF(COUNTIF(LISTS!$C$2:$C$250,$AU91)=0,"NEW",""))</f>
        <v/>
      </c>
      <c r="BA91" s="2" t="str">
        <f>IF(""&amp;$F91&lt;&gt;"4","",IF($AY91="YES","",IF(ROUND(SUMIFS($AE$2:$AE$4001,$L$2:$L$4001,$L91,$F$2:$F$4001,"4")-SUMIFS('AR SALES'!$Y$2:$Y$2501,'AR SALES'!$L$2:$L$2501,$L91,'AR SALES'!$AD$2:$AD$2501,"OFF"),2)=0,"","STALE")))</f>
        <v/>
      </c>
      <c r="BB91" s="2" t="str">
        <f>IF(OR(""&amp;$F91="2",""&amp;$F91="4",""&amp;$F91="G",""&amp;$F91="H"),IF($AY91="YES","",IF($AB91&lt;&gt;0,"",IF(COUNTIFS('AR SALES'!$L$2:$L$2501,$L91,'AR SALES'!$AD$2:$AD$2501,IF(""&amp;$F91="4","OFF","ON"),'AR SALES'!$AF$2:$AF$2501,"Y")&gt;0,"","NO EXEMPTION"))),"")</f>
        <v/>
      </c>
    </row>
    <row r="92" spans="46:54" x14ac:dyDescent="0.25">
      <c r="AT92" s="2" t="str">
        <f>IF($L92="","",IFERROR(INDEX('AR SALES'!$H$2:$H$2501,MATCH(""&amp;$L92,'AR SALES'!$AE$2:$AE$2501,0)),""))</f>
        <v/>
      </c>
      <c r="AU92" s="2" t="str">
        <f t="shared" si="4"/>
        <v/>
      </c>
      <c r="AV92" s="2" t="str">
        <f t="shared" si="5"/>
        <v/>
      </c>
      <c r="AW92" s="2" t="str">
        <f t="shared" si="6"/>
        <v/>
      </c>
      <c r="AX92" s="2" t="str">
        <f t="shared" si="7"/>
        <v/>
      </c>
      <c r="AY92" s="2" t="str">
        <f>IF($AV92="","",IF(AND($Z92=0,COUNTIF('AR SALES'!$L$2:$L$2501,$L92)=0),"YES",""))</f>
        <v/>
      </c>
      <c r="AZ92" s="2" t="str">
        <f>IF($AV92="","",IF(COUNTIF(LISTS!$C$2:$C$250,$AU92)=0,"NEW",""))</f>
        <v/>
      </c>
      <c r="BA92" s="2" t="str">
        <f>IF(""&amp;$F92&lt;&gt;"4","",IF($AY92="YES","",IF(ROUND(SUMIFS($AE$2:$AE$4001,$L$2:$L$4001,$L92,$F$2:$F$4001,"4")-SUMIFS('AR SALES'!$Y$2:$Y$2501,'AR SALES'!$L$2:$L$2501,$L92,'AR SALES'!$AD$2:$AD$2501,"OFF"),2)=0,"","STALE")))</f>
        <v/>
      </c>
      <c r="BB92" s="2" t="str">
        <f>IF(OR(""&amp;$F92="2",""&amp;$F92="4",""&amp;$F92="G",""&amp;$F92="H"),IF($AY92="YES","",IF($AB92&lt;&gt;0,"",IF(COUNTIFS('AR SALES'!$L$2:$L$2501,$L92,'AR SALES'!$AD$2:$AD$2501,IF(""&amp;$F92="4","OFF","ON"),'AR SALES'!$AF$2:$AF$2501,"Y")&gt;0,"","NO EXEMPTION"))),"")</f>
        <v/>
      </c>
    </row>
    <row r="93" spans="46:54" x14ac:dyDescent="0.25">
      <c r="AT93" s="2" t="str">
        <f>IF($L93="","",IFERROR(INDEX('AR SALES'!$H$2:$H$2501,MATCH(""&amp;$L93,'AR SALES'!$AE$2:$AE$2501,0)),""))</f>
        <v/>
      </c>
      <c r="AU93" s="2" t="str">
        <f t="shared" si="4"/>
        <v/>
      </c>
      <c r="AV93" s="2" t="str">
        <f t="shared" si="5"/>
        <v/>
      </c>
      <c r="AW93" s="2" t="str">
        <f t="shared" si="6"/>
        <v/>
      </c>
      <c r="AX93" s="2" t="str">
        <f t="shared" si="7"/>
        <v/>
      </c>
      <c r="AY93" s="2" t="str">
        <f>IF($AV93="","",IF(AND($Z93=0,COUNTIF('AR SALES'!$L$2:$L$2501,$L93)=0),"YES",""))</f>
        <v/>
      </c>
      <c r="AZ93" s="2" t="str">
        <f>IF($AV93="","",IF(COUNTIF(LISTS!$C$2:$C$250,$AU93)=0,"NEW",""))</f>
        <v/>
      </c>
      <c r="BA93" s="2" t="str">
        <f>IF(""&amp;$F93&lt;&gt;"4","",IF($AY93="YES","",IF(ROUND(SUMIFS($AE$2:$AE$4001,$L$2:$L$4001,$L93,$F$2:$F$4001,"4")-SUMIFS('AR SALES'!$Y$2:$Y$2501,'AR SALES'!$L$2:$L$2501,$L93,'AR SALES'!$AD$2:$AD$2501,"OFF"),2)=0,"","STALE")))</f>
        <v/>
      </c>
      <c r="BB93" s="2" t="str">
        <f>IF(OR(""&amp;$F93="2",""&amp;$F93="4",""&amp;$F93="G",""&amp;$F93="H"),IF($AY93="YES","",IF($AB93&lt;&gt;0,"",IF(COUNTIFS('AR SALES'!$L$2:$L$2501,$L93,'AR SALES'!$AD$2:$AD$2501,IF(""&amp;$F93="4","OFF","ON"),'AR SALES'!$AF$2:$AF$2501,"Y")&gt;0,"","NO EXEMPTION"))),"")</f>
        <v/>
      </c>
    </row>
    <row r="94" spans="46:54" x14ac:dyDescent="0.25">
      <c r="AT94" s="2" t="str">
        <f>IF($L94="","",IFERROR(INDEX('AR SALES'!$H$2:$H$2501,MATCH(""&amp;$L94,'AR SALES'!$AE$2:$AE$2501,0)),""))</f>
        <v/>
      </c>
      <c r="AU94" s="2" t="str">
        <f t="shared" si="4"/>
        <v/>
      </c>
      <c r="AV94" s="2" t="str">
        <f t="shared" si="5"/>
        <v/>
      </c>
      <c r="AW94" s="2" t="str">
        <f t="shared" si="6"/>
        <v/>
      </c>
      <c r="AX94" s="2" t="str">
        <f t="shared" si="7"/>
        <v/>
      </c>
      <c r="AY94" s="2" t="str">
        <f>IF($AV94="","",IF(AND($Z94=0,COUNTIF('AR SALES'!$L$2:$L$2501,$L94)=0),"YES",""))</f>
        <v/>
      </c>
      <c r="AZ94" s="2" t="str">
        <f>IF($AV94="","",IF(COUNTIF(LISTS!$C$2:$C$250,$AU94)=0,"NEW",""))</f>
        <v/>
      </c>
      <c r="BA94" s="2" t="str">
        <f>IF(""&amp;$F94&lt;&gt;"4","",IF($AY94="YES","",IF(ROUND(SUMIFS($AE$2:$AE$4001,$L$2:$L$4001,$L94,$F$2:$F$4001,"4")-SUMIFS('AR SALES'!$Y$2:$Y$2501,'AR SALES'!$L$2:$L$2501,$L94,'AR SALES'!$AD$2:$AD$2501,"OFF"),2)=0,"","STALE")))</f>
        <v/>
      </c>
      <c r="BB94" s="2" t="str">
        <f>IF(OR(""&amp;$F94="2",""&amp;$F94="4",""&amp;$F94="G",""&amp;$F94="H"),IF($AY94="YES","",IF($AB94&lt;&gt;0,"",IF(COUNTIFS('AR SALES'!$L$2:$L$2501,$L94,'AR SALES'!$AD$2:$AD$2501,IF(""&amp;$F94="4","OFF","ON"),'AR SALES'!$AF$2:$AF$2501,"Y")&gt;0,"","NO EXEMPTION"))),"")</f>
        <v/>
      </c>
    </row>
    <row r="95" spans="46:54" x14ac:dyDescent="0.25">
      <c r="AT95" s="2" t="str">
        <f>IF($L95="","",IFERROR(INDEX('AR SALES'!$H$2:$H$2501,MATCH(""&amp;$L95,'AR SALES'!$AE$2:$AE$2501,0)),""))</f>
        <v/>
      </c>
      <c r="AU95" s="2" t="str">
        <f t="shared" si="4"/>
        <v/>
      </c>
      <c r="AV95" s="2" t="str">
        <f t="shared" si="5"/>
        <v/>
      </c>
      <c r="AW95" s="2" t="str">
        <f t="shared" si="6"/>
        <v/>
      </c>
      <c r="AX95" s="2" t="str">
        <f t="shared" si="7"/>
        <v/>
      </c>
      <c r="AY95" s="2" t="str">
        <f>IF($AV95="","",IF(AND($Z95=0,COUNTIF('AR SALES'!$L$2:$L$2501,$L95)=0),"YES",""))</f>
        <v/>
      </c>
      <c r="AZ95" s="2" t="str">
        <f>IF($AV95="","",IF(COUNTIF(LISTS!$C$2:$C$250,$AU95)=0,"NEW",""))</f>
        <v/>
      </c>
      <c r="BA95" s="2" t="str">
        <f>IF(""&amp;$F95&lt;&gt;"4","",IF($AY95="YES","",IF(ROUND(SUMIFS($AE$2:$AE$4001,$L$2:$L$4001,$L95,$F$2:$F$4001,"4")-SUMIFS('AR SALES'!$Y$2:$Y$2501,'AR SALES'!$L$2:$L$2501,$L95,'AR SALES'!$AD$2:$AD$2501,"OFF"),2)=0,"","STALE")))</f>
        <v/>
      </c>
      <c r="BB95" s="2" t="str">
        <f>IF(OR(""&amp;$F95="2",""&amp;$F95="4",""&amp;$F95="G",""&amp;$F95="H"),IF($AY95="YES","",IF($AB95&lt;&gt;0,"",IF(COUNTIFS('AR SALES'!$L$2:$L$2501,$L95,'AR SALES'!$AD$2:$AD$2501,IF(""&amp;$F95="4","OFF","ON"),'AR SALES'!$AF$2:$AF$2501,"Y")&gt;0,"","NO EXEMPTION"))),"")</f>
        <v/>
      </c>
    </row>
    <row r="96" spans="46:54" x14ac:dyDescent="0.25">
      <c r="AT96" s="2" t="str">
        <f>IF($L96="","",IFERROR(INDEX('AR SALES'!$H$2:$H$2501,MATCH(""&amp;$L96,'AR SALES'!$AE$2:$AE$2501,0)),""))</f>
        <v/>
      </c>
      <c r="AU96" s="2" t="str">
        <f t="shared" si="4"/>
        <v/>
      </c>
      <c r="AV96" s="2" t="str">
        <f t="shared" si="5"/>
        <v/>
      </c>
      <c r="AW96" s="2" t="str">
        <f t="shared" si="6"/>
        <v/>
      </c>
      <c r="AX96" s="2" t="str">
        <f t="shared" si="7"/>
        <v/>
      </c>
      <c r="AY96" s="2" t="str">
        <f>IF($AV96="","",IF(AND($Z96=0,COUNTIF('AR SALES'!$L$2:$L$2501,$L96)=0),"YES",""))</f>
        <v/>
      </c>
      <c r="AZ96" s="2" t="str">
        <f>IF($AV96="","",IF(COUNTIF(LISTS!$C$2:$C$250,$AU96)=0,"NEW",""))</f>
        <v/>
      </c>
      <c r="BA96" s="2" t="str">
        <f>IF(""&amp;$F96&lt;&gt;"4","",IF($AY96="YES","",IF(ROUND(SUMIFS($AE$2:$AE$4001,$L$2:$L$4001,$L96,$F$2:$F$4001,"4")-SUMIFS('AR SALES'!$Y$2:$Y$2501,'AR SALES'!$L$2:$L$2501,$L96,'AR SALES'!$AD$2:$AD$2501,"OFF"),2)=0,"","STALE")))</f>
        <v/>
      </c>
      <c r="BB96" s="2" t="str">
        <f>IF(OR(""&amp;$F96="2",""&amp;$F96="4",""&amp;$F96="G",""&amp;$F96="H"),IF($AY96="YES","",IF($AB96&lt;&gt;0,"",IF(COUNTIFS('AR SALES'!$L$2:$L$2501,$L96,'AR SALES'!$AD$2:$AD$2501,IF(""&amp;$F96="4","OFF","ON"),'AR SALES'!$AF$2:$AF$2501,"Y")&gt;0,"","NO EXEMPTION"))),"")</f>
        <v/>
      </c>
    </row>
    <row r="97" spans="46:54" x14ac:dyDescent="0.25">
      <c r="AT97" s="2" t="str">
        <f>IF($L97="","",IFERROR(INDEX('AR SALES'!$H$2:$H$2501,MATCH(""&amp;$L97,'AR SALES'!$AE$2:$AE$2501,0)),""))</f>
        <v/>
      </c>
      <c r="AU97" s="2" t="str">
        <f t="shared" si="4"/>
        <v/>
      </c>
      <c r="AV97" s="2" t="str">
        <f t="shared" si="5"/>
        <v/>
      </c>
      <c r="AW97" s="2" t="str">
        <f t="shared" si="6"/>
        <v/>
      </c>
      <c r="AX97" s="2" t="str">
        <f t="shared" si="7"/>
        <v/>
      </c>
      <c r="AY97" s="2" t="str">
        <f>IF($AV97="","",IF(AND($Z97=0,COUNTIF('AR SALES'!$L$2:$L$2501,$L97)=0),"YES",""))</f>
        <v/>
      </c>
      <c r="AZ97" s="2" t="str">
        <f>IF($AV97="","",IF(COUNTIF(LISTS!$C$2:$C$250,$AU97)=0,"NEW",""))</f>
        <v/>
      </c>
      <c r="BA97" s="2" t="str">
        <f>IF(""&amp;$F97&lt;&gt;"4","",IF($AY97="YES","",IF(ROUND(SUMIFS($AE$2:$AE$4001,$L$2:$L$4001,$L97,$F$2:$F$4001,"4")-SUMIFS('AR SALES'!$Y$2:$Y$2501,'AR SALES'!$L$2:$L$2501,$L97,'AR SALES'!$AD$2:$AD$2501,"OFF"),2)=0,"","STALE")))</f>
        <v/>
      </c>
      <c r="BB97" s="2" t="str">
        <f>IF(OR(""&amp;$F97="2",""&amp;$F97="4",""&amp;$F97="G",""&amp;$F97="H"),IF($AY97="YES","",IF($AB97&lt;&gt;0,"",IF(COUNTIFS('AR SALES'!$L$2:$L$2501,$L97,'AR SALES'!$AD$2:$AD$2501,IF(""&amp;$F97="4","OFF","ON"),'AR SALES'!$AF$2:$AF$2501,"Y")&gt;0,"","NO EXEMPTION"))),"")</f>
        <v/>
      </c>
    </row>
    <row r="98" spans="46:54" x14ac:dyDescent="0.25">
      <c r="AT98" s="2" t="str">
        <f>IF($L98="","",IFERROR(INDEX('AR SALES'!$H$2:$H$2501,MATCH(""&amp;$L98,'AR SALES'!$AE$2:$AE$2501,0)),""))</f>
        <v/>
      </c>
      <c r="AU98" s="2" t="str">
        <f t="shared" si="4"/>
        <v/>
      </c>
      <c r="AV98" s="2" t="str">
        <f t="shared" si="5"/>
        <v/>
      </c>
      <c r="AW98" s="2" t="str">
        <f t="shared" si="6"/>
        <v/>
      </c>
      <c r="AX98" s="2" t="str">
        <f t="shared" si="7"/>
        <v/>
      </c>
      <c r="AY98" s="2" t="str">
        <f>IF($AV98="","",IF(AND($Z98=0,COUNTIF('AR SALES'!$L$2:$L$2501,$L98)=0),"YES",""))</f>
        <v/>
      </c>
      <c r="AZ98" s="2" t="str">
        <f>IF($AV98="","",IF(COUNTIF(LISTS!$C$2:$C$250,$AU98)=0,"NEW",""))</f>
        <v/>
      </c>
      <c r="BA98" s="2" t="str">
        <f>IF(""&amp;$F98&lt;&gt;"4","",IF($AY98="YES","",IF(ROUND(SUMIFS($AE$2:$AE$4001,$L$2:$L$4001,$L98,$F$2:$F$4001,"4")-SUMIFS('AR SALES'!$Y$2:$Y$2501,'AR SALES'!$L$2:$L$2501,$L98,'AR SALES'!$AD$2:$AD$2501,"OFF"),2)=0,"","STALE")))</f>
        <v/>
      </c>
      <c r="BB98" s="2" t="str">
        <f>IF(OR(""&amp;$F98="2",""&amp;$F98="4",""&amp;$F98="G",""&amp;$F98="H"),IF($AY98="YES","",IF($AB98&lt;&gt;0,"",IF(COUNTIFS('AR SALES'!$L$2:$L$2501,$L98,'AR SALES'!$AD$2:$AD$2501,IF(""&amp;$F98="4","OFF","ON"),'AR SALES'!$AF$2:$AF$2501,"Y")&gt;0,"","NO EXEMPTION"))),"")</f>
        <v/>
      </c>
    </row>
    <row r="99" spans="46:54" x14ac:dyDescent="0.25">
      <c r="AT99" s="2" t="str">
        <f>IF($L99="","",IFERROR(INDEX('AR SALES'!$H$2:$H$2501,MATCH(""&amp;$L99,'AR SALES'!$AE$2:$AE$2501,0)),""))</f>
        <v/>
      </c>
      <c r="AU99" s="2" t="str">
        <f t="shared" si="4"/>
        <v/>
      </c>
      <c r="AV99" s="2" t="str">
        <f t="shared" si="5"/>
        <v/>
      </c>
      <c r="AW99" s="2" t="str">
        <f t="shared" si="6"/>
        <v/>
      </c>
      <c r="AX99" s="2" t="str">
        <f t="shared" si="7"/>
        <v/>
      </c>
      <c r="AY99" s="2" t="str">
        <f>IF($AV99="","",IF(AND($Z99=0,COUNTIF('AR SALES'!$L$2:$L$2501,$L99)=0),"YES",""))</f>
        <v/>
      </c>
      <c r="AZ99" s="2" t="str">
        <f>IF($AV99="","",IF(COUNTIF(LISTS!$C$2:$C$250,$AU99)=0,"NEW",""))</f>
        <v/>
      </c>
      <c r="BA99" s="2" t="str">
        <f>IF(""&amp;$F99&lt;&gt;"4","",IF($AY99="YES","",IF(ROUND(SUMIFS($AE$2:$AE$4001,$L$2:$L$4001,$L99,$F$2:$F$4001,"4")-SUMIFS('AR SALES'!$Y$2:$Y$2501,'AR SALES'!$L$2:$L$2501,$L99,'AR SALES'!$AD$2:$AD$2501,"OFF"),2)=0,"","STALE")))</f>
        <v/>
      </c>
      <c r="BB99" s="2" t="str">
        <f>IF(OR(""&amp;$F99="2",""&amp;$F99="4",""&amp;$F99="G",""&amp;$F99="H"),IF($AY99="YES","",IF($AB99&lt;&gt;0,"",IF(COUNTIFS('AR SALES'!$L$2:$L$2501,$L99,'AR SALES'!$AD$2:$AD$2501,IF(""&amp;$F99="4","OFF","ON"),'AR SALES'!$AF$2:$AF$2501,"Y")&gt;0,"","NO EXEMPTION"))),"")</f>
        <v/>
      </c>
    </row>
    <row r="100" spans="46:54" x14ac:dyDescent="0.25">
      <c r="AT100" s="2" t="str">
        <f>IF($L100="","",IFERROR(INDEX('AR SALES'!$H$2:$H$2501,MATCH(""&amp;$L100,'AR SALES'!$AE$2:$AE$2501,0)),""))</f>
        <v/>
      </c>
      <c r="AU100" s="2" t="str">
        <f t="shared" si="4"/>
        <v/>
      </c>
      <c r="AV100" s="2" t="str">
        <f t="shared" si="5"/>
        <v/>
      </c>
      <c r="AW100" s="2" t="str">
        <f t="shared" si="6"/>
        <v/>
      </c>
      <c r="AX100" s="2" t="str">
        <f t="shared" si="7"/>
        <v/>
      </c>
      <c r="AY100" s="2" t="str">
        <f>IF($AV100="","",IF(AND($Z100=0,COUNTIF('AR SALES'!$L$2:$L$2501,$L100)=0),"YES",""))</f>
        <v/>
      </c>
      <c r="AZ100" s="2" t="str">
        <f>IF($AV100="","",IF(COUNTIF(LISTS!$C$2:$C$250,$AU100)=0,"NEW",""))</f>
        <v/>
      </c>
      <c r="BA100" s="2" t="str">
        <f>IF(""&amp;$F100&lt;&gt;"4","",IF($AY100="YES","",IF(ROUND(SUMIFS($AE$2:$AE$4001,$L$2:$L$4001,$L100,$F$2:$F$4001,"4")-SUMIFS('AR SALES'!$Y$2:$Y$2501,'AR SALES'!$L$2:$L$2501,$L100,'AR SALES'!$AD$2:$AD$2501,"OFF"),2)=0,"","STALE")))</f>
        <v/>
      </c>
      <c r="BB100" s="2" t="str">
        <f>IF(OR(""&amp;$F100="2",""&amp;$F100="4",""&amp;$F100="G",""&amp;$F100="H"),IF($AY100="YES","",IF($AB100&lt;&gt;0,"",IF(COUNTIFS('AR SALES'!$L$2:$L$2501,$L100,'AR SALES'!$AD$2:$AD$2501,IF(""&amp;$F100="4","OFF","ON"),'AR SALES'!$AF$2:$AF$2501,"Y")&gt;0,"","NO EXEMPTION"))),"")</f>
        <v/>
      </c>
    </row>
    <row r="101" spans="46:54" x14ac:dyDescent="0.25">
      <c r="AT101" s="2" t="str">
        <f>IF($L101="","",IFERROR(INDEX('AR SALES'!$H$2:$H$2501,MATCH(""&amp;$L101,'AR SALES'!$AE$2:$AE$2501,0)),""))</f>
        <v/>
      </c>
      <c r="AU101" s="2" t="str">
        <f t="shared" si="4"/>
        <v/>
      </c>
      <c r="AV101" s="2" t="str">
        <f t="shared" si="5"/>
        <v/>
      </c>
      <c r="AW101" s="2" t="str">
        <f t="shared" si="6"/>
        <v/>
      </c>
      <c r="AX101" s="2" t="str">
        <f t="shared" si="7"/>
        <v/>
      </c>
      <c r="AY101" s="2" t="str">
        <f>IF($AV101="","",IF(AND($Z101=0,COUNTIF('AR SALES'!$L$2:$L$2501,$L101)=0),"YES",""))</f>
        <v/>
      </c>
      <c r="AZ101" s="2" t="str">
        <f>IF($AV101="","",IF(COUNTIF(LISTS!$C$2:$C$250,$AU101)=0,"NEW",""))</f>
        <v/>
      </c>
      <c r="BA101" s="2" t="str">
        <f>IF(""&amp;$F101&lt;&gt;"4","",IF($AY101="YES","",IF(ROUND(SUMIFS($AE$2:$AE$4001,$L$2:$L$4001,$L101,$F$2:$F$4001,"4")-SUMIFS('AR SALES'!$Y$2:$Y$2501,'AR SALES'!$L$2:$L$2501,$L101,'AR SALES'!$AD$2:$AD$2501,"OFF"),2)=0,"","STALE")))</f>
        <v/>
      </c>
      <c r="BB101" s="2" t="str">
        <f>IF(OR(""&amp;$F101="2",""&amp;$F101="4",""&amp;$F101="G",""&amp;$F101="H"),IF($AY101="YES","",IF($AB101&lt;&gt;0,"",IF(COUNTIFS('AR SALES'!$L$2:$L$2501,$L101,'AR SALES'!$AD$2:$AD$2501,IF(""&amp;$F101="4","OFF","ON"),'AR SALES'!$AF$2:$AF$2501,"Y")&gt;0,"","NO EXEMPTION"))),"")</f>
        <v/>
      </c>
    </row>
    <row r="102" spans="46:54" x14ac:dyDescent="0.25">
      <c r="AT102" s="2" t="str">
        <f>IF($L102="","",IFERROR(INDEX('AR SALES'!$H$2:$H$2501,MATCH(""&amp;$L102,'AR SALES'!$AE$2:$AE$2501,0)),""))</f>
        <v/>
      </c>
      <c r="AU102" s="2" t="str">
        <f t="shared" si="4"/>
        <v/>
      </c>
      <c r="AV102" s="2" t="str">
        <f t="shared" si="5"/>
        <v/>
      </c>
      <c r="AW102" s="2" t="str">
        <f t="shared" si="6"/>
        <v/>
      </c>
      <c r="AX102" s="2" t="str">
        <f t="shared" si="7"/>
        <v/>
      </c>
      <c r="AY102" s="2" t="str">
        <f>IF($AV102="","",IF(AND($Z102=0,COUNTIF('AR SALES'!$L$2:$L$2501,$L102)=0),"YES",""))</f>
        <v/>
      </c>
      <c r="AZ102" s="2" t="str">
        <f>IF($AV102="","",IF(COUNTIF(LISTS!$C$2:$C$250,$AU102)=0,"NEW",""))</f>
        <v/>
      </c>
      <c r="BA102" s="2" t="str">
        <f>IF(""&amp;$F102&lt;&gt;"4","",IF($AY102="YES","",IF(ROUND(SUMIFS($AE$2:$AE$4001,$L$2:$L$4001,$L102,$F$2:$F$4001,"4")-SUMIFS('AR SALES'!$Y$2:$Y$2501,'AR SALES'!$L$2:$L$2501,$L102,'AR SALES'!$AD$2:$AD$2501,"OFF"),2)=0,"","STALE")))</f>
        <v/>
      </c>
      <c r="BB102" s="2" t="str">
        <f>IF(OR(""&amp;$F102="2",""&amp;$F102="4",""&amp;$F102="G",""&amp;$F102="H"),IF($AY102="YES","",IF($AB102&lt;&gt;0,"",IF(COUNTIFS('AR SALES'!$L$2:$L$2501,$L102,'AR SALES'!$AD$2:$AD$2501,IF(""&amp;$F102="4","OFF","ON"),'AR SALES'!$AF$2:$AF$2501,"Y")&gt;0,"","NO EXEMPTION"))),"")</f>
        <v/>
      </c>
    </row>
    <row r="103" spans="46:54" x14ac:dyDescent="0.25">
      <c r="AT103" s="2" t="str">
        <f>IF($L103="","",IFERROR(INDEX('AR SALES'!$H$2:$H$2501,MATCH(""&amp;$L103,'AR SALES'!$AE$2:$AE$2501,0)),""))</f>
        <v/>
      </c>
      <c r="AU103" s="2" t="str">
        <f t="shared" si="4"/>
        <v/>
      </c>
      <c r="AV103" s="2" t="str">
        <f t="shared" si="5"/>
        <v/>
      </c>
      <c r="AW103" s="2" t="str">
        <f t="shared" si="6"/>
        <v/>
      </c>
      <c r="AX103" s="2" t="str">
        <f t="shared" si="7"/>
        <v/>
      </c>
      <c r="AY103" s="2" t="str">
        <f>IF($AV103="","",IF(AND($Z103=0,COUNTIF('AR SALES'!$L$2:$L$2501,$L103)=0),"YES",""))</f>
        <v/>
      </c>
      <c r="AZ103" s="2" t="str">
        <f>IF($AV103="","",IF(COUNTIF(LISTS!$C$2:$C$250,$AU103)=0,"NEW",""))</f>
        <v/>
      </c>
      <c r="BA103" s="2" t="str">
        <f>IF(""&amp;$F103&lt;&gt;"4","",IF($AY103="YES","",IF(ROUND(SUMIFS($AE$2:$AE$4001,$L$2:$L$4001,$L103,$F$2:$F$4001,"4")-SUMIFS('AR SALES'!$Y$2:$Y$2501,'AR SALES'!$L$2:$L$2501,$L103,'AR SALES'!$AD$2:$AD$2501,"OFF"),2)=0,"","STALE")))</f>
        <v/>
      </c>
      <c r="BB103" s="2" t="str">
        <f>IF(OR(""&amp;$F103="2",""&amp;$F103="4",""&amp;$F103="G",""&amp;$F103="H"),IF($AY103="YES","",IF($AB103&lt;&gt;0,"",IF(COUNTIFS('AR SALES'!$L$2:$L$2501,$L103,'AR SALES'!$AD$2:$AD$2501,IF(""&amp;$F103="4","OFF","ON"),'AR SALES'!$AF$2:$AF$2501,"Y")&gt;0,"","NO EXEMPTION"))),"")</f>
        <v/>
      </c>
    </row>
    <row r="104" spans="46:54" x14ac:dyDescent="0.25">
      <c r="AT104" s="2" t="str">
        <f>IF($L104="","",IFERROR(INDEX('AR SALES'!$H$2:$H$2501,MATCH(""&amp;$L104,'AR SALES'!$AE$2:$AE$2501,0)),""))</f>
        <v/>
      </c>
      <c r="AU104" s="2" t="str">
        <f t="shared" si="4"/>
        <v/>
      </c>
      <c r="AV104" s="2" t="str">
        <f t="shared" si="5"/>
        <v/>
      </c>
      <c r="AW104" s="2" t="str">
        <f t="shared" si="6"/>
        <v/>
      </c>
      <c r="AX104" s="2" t="str">
        <f t="shared" si="7"/>
        <v/>
      </c>
      <c r="AY104" s="2" t="str">
        <f>IF($AV104="","",IF(AND($Z104=0,COUNTIF('AR SALES'!$L$2:$L$2501,$L104)=0),"YES",""))</f>
        <v/>
      </c>
      <c r="AZ104" s="2" t="str">
        <f>IF($AV104="","",IF(COUNTIF(LISTS!$C$2:$C$250,$AU104)=0,"NEW",""))</f>
        <v/>
      </c>
      <c r="BA104" s="2" t="str">
        <f>IF(""&amp;$F104&lt;&gt;"4","",IF($AY104="YES","",IF(ROUND(SUMIFS($AE$2:$AE$4001,$L$2:$L$4001,$L104,$F$2:$F$4001,"4")-SUMIFS('AR SALES'!$Y$2:$Y$2501,'AR SALES'!$L$2:$L$2501,$L104,'AR SALES'!$AD$2:$AD$2501,"OFF"),2)=0,"","STALE")))</f>
        <v/>
      </c>
      <c r="BB104" s="2" t="str">
        <f>IF(OR(""&amp;$F104="2",""&amp;$F104="4",""&amp;$F104="G",""&amp;$F104="H"),IF($AY104="YES","",IF($AB104&lt;&gt;0,"",IF(COUNTIFS('AR SALES'!$L$2:$L$2501,$L104,'AR SALES'!$AD$2:$AD$2501,IF(""&amp;$F104="4","OFF","ON"),'AR SALES'!$AF$2:$AF$2501,"Y")&gt;0,"","NO EXEMPTION"))),"")</f>
        <v/>
      </c>
    </row>
    <row r="105" spans="46:54" x14ac:dyDescent="0.25">
      <c r="AT105" s="2" t="str">
        <f>IF($L105="","",IFERROR(INDEX('AR SALES'!$H$2:$H$2501,MATCH(""&amp;$L105,'AR SALES'!$AE$2:$AE$2501,0)),""))</f>
        <v/>
      </c>
      <c r="AU105" s="2" t="str">
        <f t="shared" si="4"/>
        <v/>
      </c>
      <c r="AV105" s="2" t="str">
        <f t="shared" si="5"/>
        <v/>
      </c>
      <c r="AW105" s="2" t="str">
        <f t="shared" si="6"/>
        <v/>
      </c>
      <c r="AX105" s="2" t="str">
        <f t="shared" si="7"/>
        <v/>
      </c>
      <c r="AY105" s="2" t="str">
        <f>IF($AV105="","",IF(AND($Z105=0,COUNTIF('AR SALES'!$L$2:$L$2501,$L105)=0),"YES",""))</f>
        <v/>
      </c>
      <c r="AZ105" s="2" t="str">
        <f>IF($AV105="","",IF(COUNTIF(LISTS!$C$2:$C$250,$AU105)=0,"NEW",""))</f>
        <v/>
      </c>
      <c r="BA105" s="2" t="str">
        <f>IF(""&amp;$F105&lt;&gt;"4","",IF($AY105="YES","",IF(ROUND(SUMIFS($AE$2:$AE$4001,$L$2:$L$4001,$L105,$F$2:$F$4001,"4")-SUMIFS('AR SALES'!$Y$2:$Y$2501,'AR SALES'!$L$2:$L$2501,$L105,'AR SALES'!$AD$2:$AD$2501,"OFF"),2)=0,"","STALE")))</f>
        <v/>
      </c>
      <c r="BB105" s="2" t="str">
        <f>IF(OR(""&amp;$F105="2",""&amp;$F105="4",""&amp;$F105="G",""&amp;$F105="H"),IF($AY105="YES","",IF($AB105&lt;&gt;0,"",IF(COUNTIFS('AR SALES'!$L$2:$L$2501,$L105,'AR SALES'!$AD$2:$AD$2501,IF(""&amp;$F105="4","OFF","ON"),'AR SALES'!$AF$2:$AF$2501,"Y")&gt;0,"","NO EXEMPTION"))),"")</f>
        <v/>
      </c>
    </row>
    <row r="106" spans="46:54" x14ac:dyDescent="0.25">
      <c r="AT106" s="2" t="str">
        <f>IF($L106="","",IFERROR(INDEX('AR SALES'!$H$2:$H$2501,MATCH(""&amp;$L106,'AR SALES'!$AE$2:$AE$2501,0)),""))</f>
        <v/>
      </c>
      <c r="AU106" s="2" t="str">
        <f t="shared" si="4"/>
        <v/>
      </c>
      <c r="AV106" s="2" t="str">
        <f t="shared" si="5"/>
        <v/>
      </c>
      <c r="AW106" s="2" t="str">
        <f t="shared" si="6"/>
        <v/>
      </c>
      <c r="AX106" s="2" t="str">
        <f t="shared" si="7"/>
        <v/>
      </c>
      <c r="AY106" s="2" t="str">
        <f>IF($AV106="","",IF(AND($Z106=0,COUNTIF('AR SALES'!$L$2:$L$2501,$L106)=0),"YES",""))</f>
        <v/>
      </c>
      <c r="AZ106" s="2" t="str">
        <f>IF($AV106="","",IF(COUNTIF(LISTS!$C$2:$C$250,$AU106)=0,"NEW",""))</f>
        <v/>
      </c>
      <c r="BA106" s="2" t="str">
        <f>IF(""&amp;$F106&lt;&gt;"4","",IF($AY106="YES","",IF(ROUND(SUMIFS($AE$2:$AE$4001,$L$2:$L$4001,$L106,$F$2:$F$4001,"4")-SUMIFS('AR SALES'!$Y$2:$Y$2501,'AR SALES'!$L$2:$L$2501,$L106,'AR SALES'!$AD$2:$AD$2501,"OFF"),2)=0,"","STALE")))</f>
        <v/>
      </c>
      <c r="BB106" s="2" t="str">
        <f>IF(OR(""&amp;$F106="2",""&amp;$F106="4",""&amp;$F106="G",""&amp;$F106="H"),IF($AY106="YES","",IF($AB106&lt;&gt;0,"",IF(COUNTIFS('AR SALES'!$L$2:$L$2501,$L106,'AR SALES'!$AD$2:$AD$2501,IF(""&amp;$F106="4","OFF","ON"),'AR SALES'!$AF$2:$AF$2501,"Y")&gt;0,"","NO EXEMPTION"))),"")</f>
        <v/>
      </c>
    </row>
    <row r="107" spans="46:54" x14ac:dyDescent="0.25">
      <c r="AT107" s="2" t="str">
        <f>IF($L107="","",IFERROR(INDEX('AR SALES'!$H$2:$H$2501,MATCH(""&amp;$L107,'AR SALES'!$AE$2:$AE$2501,0)),""))</f>
        <v/>
      </c>
      <c r="AU107" s="2" t="str">
        <f t="shared" si="4"/>
        <v/>
      </c>
      <c r="AV107" s="2" t="str">
        <f t="shared" si="5"/>
        <v/>
      </c>
      <c r="AW107" s="2" t="str">
        <f t="shared" si="6"/>
        <v/>
      </c>
      <c r="AX107" s="2" t="str">
        <f t="shared" si="7"/>
        <v/>
      </c>
      <c r="AY107" s="2" t="str">
        <f>IF($AV107="","",IF(AND($Z107=0,COUNTIF('AR SALES'!$L$2:$L$2501,$L107)=0),"YES",""))</f>
        <v/>
      </c>
      <c r="AZ107" s="2" t="str">
        <f>IF($AV107="","",IF(COUNTIF(LISTS!$C$2:$C$250,$AU107)=0,"NEW",""))</f>
        <v/>
      </c>
      <c r="BA107" s="2" t="str">
        <f>IF(""&amp;$F107&lt;&gt;"4","",IF($AY107="YES","",IF(ROUND(SUMIFS($AE$2:$AE$4001,$L$2:$L$4001,$L107,$F$2:$F$4001,"4")-SUMIFS('AR SALES'!$Y$2:$Y$2501,'AR SALES'!$L$2:$L$2501,$L107,'AR SALES'!$AD$2:$AD$2501,"OFF"),2)=0,"","STALE")))</f>
        <v/>
      </c>
      <c r="BB107" s="2" t="str">
        <f>IF(OR(""&amp;$F107="2",""&amp;$F107="4",""&amp;$F107="G",""&amp;$F107="H"),IF($AY107="YES","",IF($AB107&lt;&gt;0,"",IF(COUNTIFS('AR SALES'!$L$2:$L$2501,$L107,'AR SALES'!$AD$2:$AD$2501,IF(""&amp;$F107="4","OFF","ON"),'AR SALES'!$AF$2:$AF$2501,"Y")&gt;0,"","NO EXEMPTION"))),"")</f>
        <v/>
      </c>
    </row>
    <row r="108" spans="46:54" x14ac:dyDescent="0.25">
      <c r="AT108" s="2" t="str">
        <f>IF($L108="","",IFERROR(INDEX('AR SALES'!$H$2:$H$2501,MATCH(""&amp;$L108,'AR SALES'!$AE$2:$AE$2501,0)),""))</f>
        <v/>
      </c>
      <c r="AU108" s="2" t="str">
        <f t="shared" si="4"/>
        <v/>
      </c>
      <c r="AV108" s="2" t="str">
        <f t="shared" si="5"/>
        <v/>
      </c>
      <c r="AW108" s="2" t="str">
        <f t="shared" si="6"/>
        <v/>
      </c>
      <c r="AX108" s="2" t="str">
        <f t="shared" si="7"/>
        <v/>
      </c>
      <c r="AY108" s="2" t="str">
        <f>IF($AV108="","",IF(AND($Z108=0,COUNTIF('AR SALES'!$L$2:$L$2501,$L108)=0),"YES",""))</f>
        <v/>
      </c>
      <c r="AZ108" s="2" t="str">
        <f>IF($AV108="","",IF(COUNTIF(LISTS!$C$2:$C$250,$AU108)=0,"NEW",""))</f>
        <v/>
      </c>
      <c r="BA108" s="2" t="str">
        <f>IF(""&amp;$F108&lt;&gt;"4","",IF($AY108="YES","",IF(ROUND(SUMIFS($AE$2:$AE$4001,$L$2:$L$4001,$L108,$F$2:$F$4001,"4")-SUMIFS('AR SALES'!$Y$2:$Y$2501,'AR SALES'!$L$2:$L$2501,$L108,'AR SALES'!$AD$2:$AD$2501,"OFF"),2)=0,"","STALE")))</f>
        <v/>
      </c>
      <c r="BB108" s="2" t="str">
        <f>IF(OR(""&amp;$F108="2",""&amp;$F108="4",""&amp;$F108="G",""&amp;$F108="H"),IF($AY108="YES","",IF($AB108&lt;&gt;0,"",IF(COUNTIFS('AR SALES'!$L$2:$L$2501,$L108,'AR SALES'!$AD$2:$AD$2501,IF(""&amp;$F108="4","OFF","ON"),'AR SALES'!$AF$2:$AF$2501,"Y")&gt;0,"","NO EXEMPTION"))),"")</f>
        <v/>
      </c>
    </row>
    <row r="109" spans="46:54" x14ac:dyDescent="0.25">
      <c r="AT109" s="2" t="str">
        <f>IF($L109="","",IFERROR(INDEX('AR SALES'!$H$2:$H$2501,MATCH(""&amp;$L109,'AR SALES'!$AE$2:$AE$2501,0)),""))</f>
        <v/>
      </c>
      <c r="AU109" s="2" t="str">
        <f t="shared" si="4"/>
        <v/>
      </c>
      <c r="AV109" s="2" t="str">
        <f t="shared" si="5"/>
        <v/>
      </c>
      <c r="AW109" s="2" t="str">
        <f t="shared" si="6"/>
        <v/>
      </c>
      <c r="AX109" s="2" t="str">
        <f t="shared" si="7"/>
        <v/>
      </c>
      <c r="AY109" s="2" t="str">
        <f>IF($AV109="","",IF(AND($Z109=0,COUNTIF('AR SALES'!$L$2:$L$2501,$L109)=0),"YES",""))</f>
        <v/>
      </c>
      <c r="AZ109" s="2" t="str">
        <f>IF($AV109="","",IF(COUNTIF(LISTS!$C$2:$C$250,$AU109)=0,"NEW",""))</f>
        <v/>
      </c>
      <c r="BA109" s="2" t="str">
        <f>IF(""&amp;$F109&lt;&gt;"4","",IF($AY109="YES","",IF(ROUND(SUMIFS($AE$2:$AE$4001,$L$2:$L$4001,$L109,$F$2:$F$4001,"4")-SUMIFS('AR SALES'!$Y$2:$Y$2501,'AR SALES'!$L$2:$L$2501,$L109,'AR SALES'!$AD$2:$AD$2501,"OFF"),2)=0,"","STALE")))</f>
        <v/>
      </c>
      <c r="BB109" s="2" t="str">
        <f>IF(OR(""&amp;$F109="2",""&amp;$F109="4",""&amp;$F109="G",""&amp;$F109="H"),IF($AY109="YES","",IF($AB109&lt;&gt;0,"",IF(COUNTIFS('AR SALES'!$L$2:$L$2501,$L109,'AR SALES'!$AD$2:$AD$2501,IF(""&amp;$F109="4","OFF","ON"),'AR SALES'!$AF$2:$AF$2501,"Y")&gt;0,"","NO EXEMPTION"))),"")</f>
        <v/>
      </c>
    </row>
    <row r="110" spans="46:54" x14ac:dyDescent="0.25">
      <c r="AT110" s="2" t="str">
        <f>IF($L110="","",IFERROR(INDEX('AR SALES'!$H$2:$H$2501,MATCH(""&amp;$L110,'AR SALES'!$AE$2:$AE$2501,0)),""))</f>
        <v/>
      </c>
      <c r="AU110" s="2" t="str">
        <f t="shared" si="4"/>
        <v/>
      </c>
      <c r="AV110" s="2" t="str">
        <f t="shared" si="5"/>
        <v/>
      </c>
      <c r="AW110" s="2" t="str">
        <f t="shared" si="6"/>
        <v/>
      </c>
      <c r="AX110" s="2" t="str">
        <f t="shared" si="7"/>
        <v/>
      </c>
      <c r="AY110" s="2" t="str">
        <f>IF($AV110="","",IF(AND($Z110=0,COUNTIF('AR SALES'!$L$2:$L$2501,$L110)=0),"YES",""))</f>
        <v/>
      </c>
      <c r="AZ110" s="2" t="str">
        <f>IF($AV110="","",IF(COUNTIF(LISTS!$C$2:$C$250,$AU110)=0,"NEW",""))</f>
        <v/>
      </c>
      <c r="BA110" s="2" t="str">
        <f>IF(""&amp;$F110&lt;&gt;"4","",IF($AY110="YES","",IF(ROUND(SUMIFS($AE$2:$AE$4001,$L$2:$L$4001,$L110,$F$2:$F$4001,"4")-SUMIFS('AR SALES'!$Y$2:$Y$2501,'AR SALES'!$L$2:$L$2501,$L110,'AR SALES'!$AD$2:$AD$2501,"OFF"),2)=0,"","STALE")))</f>
        <v/>
      </c>
      <c r="BB110" s="2" t="str">
        <f>IF(OR(""&amp;$F110="2",""&amp;$F110="4",""&amp;$F110="G",""&amp;$F110="H"),IF($AY110="YES","",IF($AB110&lt;&gt;0,"",IF(COUNTIFS('AR SALES'!$L$2:$L$2501,$L110,'AR SALES'!$AD$2:$AD$2501,IF(""&amp;$F110="4","OFF","ON"),'AR SALES'!$AF$2:$AF$2501,"Y")&gt;0,"","NO EXEMPTION"))),"")</f>
        <v/>
      </c>
    </row>
    <row r="111" spans="46:54" x14ac:dyDescent="0.25">
      <c r="AT111" s="2" t="str">
        <f>IF($L111="","",IFERROR(INDEX('AR SALES'!$H$2:$H$2501,MATCH(""&amp;$L111,'AR SALES'!$AE$2:$AE$2501,0)),""))</f>
        <v/>
      </c>
      <c r="AU111" s="2" t="str">
        <f t="shared" si="4"/>
        <v/>
      </c>
      <c r="AV111" s="2" t="str">
        <f t="shared" si="5"/>
        <v/>
      </c>
      <c r="AW111" s="2" t="str">
        <f t="shared" si="6"/>
        <v/>
      </c>
      <c r="AX111" s="2" t="str">
        <f t="shared" si="7"/>
        <v/>
      </c>
      <c r="AY111" s="2" t="str">
        <f>IF($AV111="","",IF(AND($Z111=0,COUNTIF('AR SALES'!$L$2:$L$2501,$L111)=0),"YES",""))</f>
        <v/>
      </c>
      <c r="AZ111" s="2" t="str">
        <f>IF($AV111="","",IF(COUNTIF(LISTS!$C$2:$C$250,$AU111)=0,"NEW",""))</f>
        <v/>
      </c>
      <c r="BA111" s="2" t="str">
        <f>IF(""&amp;$F111&lt;&gt;"4","",IF($AY111="YES","",IF(ROUND(SUMIFS($AE$2:$AE$4001,$L$2:$L$4001,$L111,$F$2:$F$4001,"4")-SUMIFS('AR SALES'!$Y$2:$Y$2501,'AR SALES'!$L$2:$L$2501,$L111,'AR SALES'!$AD$2:$AD$2501,"OFF"),2)=0,"","STALE")))</f>
        <v/>
      </c>
      <c r="BB111" s="2" t="str">
        <f>IF(OR(""&amp;$F111="2",""&amp;$F111="4",""&amp;$F111="G",""&amp;$F111="H"),IF($AY111="YES","",IF($AB111&lt;&gt;0,"",IF(COUNTIFS('AR SALES'!$L$2:$L$2501,$L111,'AR SALES'!$AD$2:$AD$2501,IF(""&amp;$F111="4","OFF","ON"),'AR SALES'!$AF$2:$AF$2501,"Y")&gt;0,"","NO EXEMPTION"))),"")</f>
        <v/>
      </c>
    </row>
    <row r="112" spans="46:54" x14ac:dyDescent="0.25">
      <c r="AT112" s="2" t="str">
        <f>IF($L112="","",IFERROR(INDEX('AR SALES'!$H$2:$H$2501,MATCH(""&amp;$L112,'AR SALES'!$AE$2:$AE$2501,0)),""))</f>
        <v/>
      </c>
      <c r="AU112" s="2" t="str">
        <f t="shared" si="4"/>
        <v/>
      </c>
      <c r="AV112" s="2" t="str">
        <f t="shared" si="5"/>
        <v/>
      </c>
      <c r="AW112" s="2" t="str">
        <f t="shared" si="6"/>
        <v/>
      </c>
      <c r="AX112" s="2" t="str">
        <f t="shared" si="7"/>
        <v/>
      </c>
      <c r="AY112" s="2" t="str">
        <f>IF($AV112="","",IF(AND($Z112=0,COUNTIF('AR SALES'!$L$2:$L$2501,$L112)=0),"YES",""))</f>
        <v/>
      </c>
      <c r="AZ112" s="2" t="str">
        <f>IF($AV112="","",IF(COUNTIF(LISTS!$C$2:$C$250,$AU112)=0,"NEW",""))</f>
        <v/>
      </c>
      <c r="BA112" s="2" t="str">
        <f>IF(""&amp;$F112&lt;&gt;"4","",IF($AY112="YES","",IF(ROUND(SUMIFS($AE$2:$AE$4001,$L$2:$L$4001,$L112,$F$2:$F$4001,"4")-SUMIFS('AR SALES'!$Y$2:$Y$2501,'AR SALES'!$L$2:$L$2501,$L112,'AR SALES'!$AD$2:$AD$2501,"OFF"),2)=0,"","STALE")))</f>
        <v/>
      </c>
      <c r="BB112" s="2" t="str">
        <f>IF(OR(""&amp;$F112="2",""&amp;$F112="4",""&amp;$F112="G",""&amp;$F112="H"),IF($AY112="YES","",IF($AB112&lt;&gt;0,"",IF(COUNTIFS('AR SALES'!$L$2:$L$2501,$L112,'AR SALES'!$AD$2:$AD$2501,IF(""&amp;$F112="4","OFF","ON"),'AR SALES'!$AF$2:$AF$2501,"Y")&gt;0,"","NO EXEMPTION"))),"")</f>
        <v/>
      </c>
    </row>
    <row r="113" spans="46:54" x14ac:dyDescent="0.25">
      <c r="AT113" s="2" t="str">
        <f>IF($L113="","",IFERROR(INDEX('AR SALES'!$H$2:$H$2501,MATCH(""&amp;$L113,'AR SALES'!$AE$2:$AE$2501,0)),""))</f>
        <v/>
      </c>
      <c r="AU113" s="2" t="str">
        <f t="shared" si="4"/>
        <v/>
      </c>
      <c r="AV113" s="2" t="str">
        <f t="shared" si="5"/>
        <v/>
      </c>
      <c r="AW113" s="2" t="str">
        <f t="shared" si="6"/>
        <v/>
      </c>
      <c r="AX113" s="2" t="str">
        <f t="shared" si="7"/>
        <v/>
      </c>
      <c r="AY113" s="2" t="str">
        <f>IF($AV113="","",IF(AND($Z113=0,COUNTIF('AR SALES'!$L$2:$L$2501,$L113)=0),"YES",""))</f>
        <v/>
      </c>
      <c r="AZ113" s="2" t="str">
        <f>IF($AV113="","",IF(COUNTIF(LISTS!$C$2:$C$250,$AU113)=0,"NEW",""))</f>
        <v/>
      </c>
      <c r="BA113" s="2" t="str">
        <f>IF(""&amp;$F113&lt;&gt;"4","",IF($AY113="YES","",IF(ROUND(SUMIFS($AE$2:$AE$4001,$L$2:$L$4001,$L113,$F$2:$F$4001,"4")-SUMIFS('AR SALES'!$Y$2:$Y$2501,'AR SALES'!$L$2:$L$2501,$L113,'AR SALES'!$AD$2:$AD$2501,"OFF"),2)=0,"","STALE")))</f>
        <v/>
      </c>
      <c r="BB113" s="2" t="str">
        <f>IF(OR(""&amp;$F113="2",""&amp;$F113="4",""&amp;$F113="G",""&amp;$F113="H"),IF($AY113="YES","",IF($AB113&lt;&gt;0,"",IF(COUNTIFS('AR SALES'!$L$2:$L$2501,$L113,'AR SALES'!$AD$2:$AD$2501,IF(""&amp;$F113="4","OFF","ON"),'AR SALES'!$AF$2:$AF$2501,"Y")&gt;0,"","NO EXEMPTION"))),"")</f>
        <v/>
      </c>
    </row>
    <row r="114" spans="46:54" x14ac:dyDescent="0.25">
      <c r="AT114" s="2" t="str">
        <f>IF($L114="","",IFERROR(INDEX('AR SALES'!$H$2:$H$2501,MATCH(""&amp;$L114,'AR SALES'!$AE$2:$AE$2501,0)),""))</f>
        <v/>
      </c>
      <c r="AU114" s="2" t="str">
        <f t="shared" si="4"/>
        <v/>
      </c>
      <c r="AV114" s="2" t="str">
        <f t="shared" si="5"/>
        <v/>
      </c>
      <c r="AW114" s="2" t="str">
        <f t="shared" si="6"/>
        <v/>
      </c>
      <c r="AX114" s="2" t="str">
        <f t="shared" si="7"/>
        <v/>
      </c>
      <c r="AY114" s="2" t="str">
        <f>IF($AV114="","",IF(AND($Z114=0,COUNTIF('AR SALES'!$L$2:$L$2501,$L114)=0),"YES",""))</f>
        <v/>
      </c>
      <c r="AZ114" s="2" t="str">
        <f>IF($AV114="","",IF(COUNTIF(LISTS!$C$2:$C$250,$AU114)=0,"NEW",""))</f>
        <v/>
      </c>
      <c r="BA114" s="2" t="str">
        <f>IF(""&amp;$F114&lt;&gt;"4","",IF($AY114="YES","",IF(ROUND(SUMIFS($AE$2:$AE$4001,$L$2:$L$4001,$L114,$F$2:$F$4001,"4")-SUMIFS('AR SALES'!$Y$2:$Y$2501,'AR SALES'!$L$2:$L$2501,$L114,'AR SALES'!$AD$2:$AD$2501,"OFF"),2)=0,"","STALE")))</f>
        <v/>
      </c>
      <c r="BB114" s="2" t="str">
        <f>IF(OR(""&amp;$F114="2",""&amp;$F114="4",""&amp;$F114="G",""&amp;$F114="H"),IF($AY114="YES","",IF($AB114&lt;&gt;0,"",IF(COUNTIFS('AR SALES'!$L$2:$L$2501,$L114,'AR SALES'!$AD$2:$AD$2501,IF(""&amp;$F114="4","OFF","ON"),'AR SALES'!$AF$2:$AF$2501,"Y")&gt;0,"","NO EXEMPTION"))),"")</f>
        <v/>
      </c>
    </row>
    <row r="115" spans="46:54" x14ac:dyDescent="0.25">
      <c r="AT115" s="2" t="str">
        <f>IF($L115="","",IFERROR(INDEX('AR SALES'!$H$2:$H$2501,MATCH(""&amp;$L115,'AR SALES'!$AE$2:$AE$2501,0)),""))</f>
        <v/>
      </c>
      <c r="AU115" s="2" t="str">
        <f t="shared" si="4"/>
        <v/>
      </c>
      <c r="AV115" s="2" t="str">
        <f t="shared" si="5"/>
        <v/>
      </c>
      <c r="AW115" s="2" t="str">
        <f t="shared" si="6"/>
        <v/>
      </c>
      <c r="AX115" s="2" t="str">
        <f t="shared" si="7"/>
        <v/>
      </c>
      <c r="AY115" s="2" t="str">
        <f>IF($AV115="","",IF(AND($Z115=0,COUNTIF('AR SALES'!$L$2:$L$2501,$L115)=0),"YES",""))</f>
        <v/>
      </c>
      <c r="AZ115" s="2" t="str">
        <f>IF($AV115="","",IF(COUNTIF(LISTS!$C$2:$C$250,$AU115)=0,"NEW",""))</f>
        <v/>
      </c>
      <c r="BA115" s="2" t="str">
        <f>IF(""&amp;$F115&lt;&gt;"4","",IF($AY115="YES","",IF(ROUND(SUMIFS($AE$2:$AE$4001,$L$2:$L$4001,$L115,$F$2:$F$4001,"4")-SUMIFS('AR SALES'!$Y$2:$Y$2501,'AR SALES'!$L$2:$L$2501,$L115,'AR SALES'!$AD$2:$AD$2501,"OFF"),2)=0,"","STALE")))</f>
        <v/>
      </c>
      <c r="BB115" s="2" t="str">
        <f>IF(OR(""&amp;$F115="2",""&amp;$F115="4",""&amp;$F115="G",""&amp;$F115="H"),IF($AY115="YES","",IF($AB115&lt;&gt;0,"",IF(COUNTIFS('AR SALES'!$L$2:$L$2501,$L115,'AR SALES'!$AD$2:$AD$2501,IF(""&amp;$F115="4","OFF","ON"),'AR SALES'!$AF$2:$AF$2501,"Y")&gt;0,"","NO EXEMPTION"))),"")</f>
        <v/>
      </c>
    </row>
    <row r="116" spans="46:54" x14ac:dyDescent="0.25">
      <c r="AT116" s="2" t="str">
        <f>IF($L116="","",IFERROR(INDEX('AR SALES'!$H$2:$H$2501,MATCH(""&amp;$L116,'AR SALES'!$AE$2:$AE$2501,0)),""))</f>
        <v/>
      </c>
      <c r="AU116" s="2" t="str">
        <f t="shared" si="4"/>
        <v/>
      </c>
      <c r="AV116" s="2" t="str">
        <f t="shared" si="5"/>
        <v/>
      </c>
      <c r="AW116" s="2" t="str">
        <f t="shared" si="6"/>
        <v/>
      </c>
      <c r="AX116" s="2" t="str">
        <f t="shared" si="7"/>
        <v/>
      </c>
      <c r="AY116" s="2" t="str">
        <f>IF($AV116="","",IF(AND($Z116=0,COUNTIF('AR SALES'!$L$2:$L$2501,$L116)=0),"YES",""))</f>
        <v/>
      </c>
      <c r="AZ116" s="2" t="str">
        <f>IF($AV116="","",IF(COUNTIF(LISTS!$C$2:$C$250,$AU116)=0,"NEW",""))</f>
        <v/>
      </c>
      <c r="BA116" s="2" t="str">
        <f>IF(""&amp;$F116&lt;&gt;"4","",IF($AY116="YES","",IF(ROUND(SUMIFS($AE$2:$AE$4001,$L$2:$L$4001,$L116,$F$2:$F$4001,"4")-SUMIFS('AR SALES'!$Y$2:$Y$2501,'AR SALES'!$L$2:$L$2501,$L116,'AR SALES'!$AD$2:$AD$2501,"OFF"),2)=0,"","STALE")))</f>
        <v/>
      </c>
      <c r="BB116" s="2" t="str">
        <f>IF(OR(""&amp;$F116="2",""&amp;$F116="4",""&amp;$F116="G",""&amp;$F116="H"),IF($AY116="YES","",IF($AB116&lt;&gt;0,"",IF(COUNTIFS('AR SALES'!$L$2:$L$2501,$L116,'AR SALES'!$AD$2:$AD$2501,IF(""&amp;$F116="4","OFF","ON"),'AR SALES'!$AF$2:$AF$2501,"Y")&gt;0,"","NO EXEMPTION"))),"")</f>
        <v/>
      </c>
    </row>
    <row r="117" spans="46:54" x14ac:dyDescent="0.25">
      <c r="AT117" s="2" t="str">
        <f>IF($L117="","",IFERROR(INDEX('AR SALES'!$H$2:$H$2501,MATCH(""&amp;$L117,'AR SALES'!$AE$2:$AE$2501,0)),""))</f>
        <v/>
      </c>
      <c r="AU117" s="2" t="str">
        <f t="shared" si="4"/>
        <v/>
      </c>
      <c r="AV117" s="2" t="str">
        <f t="shared" si="5"/>
        <v/>
      </c>
      <c r="AW117" s="2" t="str">
        <f t="shared" si="6"/>
        <v/>
      </c>
      <c r="AX117" s="2" t="str">
        <f t="shared" si="7"/>
        <v/>
      </c>
      <c r="AY117" s="2" t="str">
        <f>IF($AV117="","",IF(AND($Z117=0,COUNTIF('AR SALES'!$L$2:$L$2501,$L117)=0),"YES",""))</f>
        <v/>
      </c>
      <c r="AZ117" s="2" t="str">
        <f>IF($AV117="","",IF(COUNTIF(LISTS!$C$2:$C$250,$AU117)=0,"NEW",""))</f>
        <v/>
      </c>
      <c r="BA117" s="2" t="str">
        <f>IF(""&amp;$F117&lt;&gt;"4","",IF($AY117="YES","",IF(ROUND(SUMIFS($AE$2:$AE$4001,$L$2:$L$4001,$L117,$F$2:$F$4001,"4")-SUMIFS('AR SALES'!$Y$2:$Y$2501,'AR SALES'!$L$2:$L$2501,$L117,'AR SALES'!$AD$2:$AD$2501,"OFF"),2)=0,"","STALE")))</f>
        <v/>
      </c>
      <c r="BB117" s="2" t="str">
        <f>IF(OR(""&amp;$F117="2",""&amp;$F117="4",""&amp;$F117="G",""&amp;$F117="H"),IF($AY117="YES","",IF($AB117&lt;&gt;0,"",IF(COUNTIFS('AR SALES'!$L$2:$L$2501,$L117,'AR SALES'!$AD$2:$AD$2501,IF(""&amp;$F117="4","OFF","ON"),'AR SALES'!$AF$2:$AF$2501,"Y")&gt;0,"","NO EXEMPTION"))),"")</f>
        <v/>
      </c>
    </row>
    <row r="118" spans="46:54" x14ac:dyDescent="0.25">
      <c r="AT118" s="2" t="str">
        <f>IF($L118="","",IFERROR(INDEX('AR SALES'!$H$2:$H$2501,MATCH(""&amp;$L118,'AR SALES'!$AE$2:$AE$2501,0)),""))</f>
        <v/>
      </c>
      <c r="AU118" s="2" t="str">
        <f t="shared" si="4"/>
        <v/>
      </c>
      <c r="AV118" s="2" t="str">
        <f t="shared" si="5"/>
        <v/>
      </c>
      <c r="AW118" s="2" t="str">
        <f t="shared" si="6"/>
        <v/>
      </c>
      <c r="AX118" s="2" t="str">
        <f t="shared" si="7"/>
        <v/>
      </c>
      <c r="AY118" s="2" t="str">
        <f>IF($AV118="","",IF(AND($Z118=0,COUNTIF('AR SALES'!$L$2:$L$2501,$L118)=0),"YES",""))</f>
        <v/>
      </c>
      <c r="AZ118" s="2" t="str">
        <f>IF($AV118="","",IF(COUNTIF(LISTS!$C$2:$C$250,$AU118)=0,"NEW",""))</f>
        <v/>
      </c>
      <c r="BA118" s="2" t="str">
        <f>IF(""&amp;$F118&lt;&gt;"4","",IF($AY118="YES","",IF(ROUND(SUMIFS($AE$2:$AE$4001,$L$2:$L$4001,$L118,$F$2:$F$4001,"4")-SUMIFS('AR SALES'!$Y$2:$Y$2501,'AR SALES'!$L$2:$L$2501,$L118,'AR SALES'!$AD$2:$AD$2501,"OFF"),2)=0,"","STALE")))</f>
        <v/>
      </c>
      <c r="BB118" s="2" t="str">
        <f>IF(OR(""&amp;$F118="2",""&amp;$F118="4",""&amp;$F118="G",""&amp;$F118="H"),IF($AY118="YES","",IF($AB118&lt;&gt;0,"",IF(COUNTIFS('AR SALES'!$L$2:$L$2501,$L118,'AR SALES'!$AD$2:$AD$2501,IF(""&amp;$F118="4","OFF","ON"),'AR SALES'!$AF$2:$AF$2501,"Y")&gt;0,"","NO EXEMPTION"))),"")</f>
        <v/>
      </c>
    </row>
    <row r="119" spans="46:54" x14ac:dyDescent="0.25">
      <c r="AT119" s="2" t="str">
        <f>IF($L119="","",IFERROR(INDEX('AR SALES'!$H$2:$H$2501,MATCH(""&amp;$L119,'AR SALES'!$AE$2:$AE$2501,0)),""))</f>
        <v/>
      </c>
      <c r="AU119" s="2" t="str">
        <f t="shared" si="4"/>
        <v/>
      </c>
      <c r="AV119" s="2" t="str">
        <f t="shared" si="5"/>
        <v/>
      </c>
      <c r="AW119" s="2" t="str">
        <f t="shared" si="6"/>
        <v/>
      </c>
      <c r="AX119" s="2" t="str">
        <f t="shared" si="7"/>
        <v/>
      </c>
      <c r="AY119" s="2" t="str">
        <f>IF($AV119="","",IF(AND($Z119=0,COUNTIF('AR SALES'!$L$2:$L$2501,$L119)=0),"YES",""))</f>
        <v/>
      </c>
      <c r="AZ119" s="2" t="str">
        <f>IF($AV119="","",IF(COUNTIF(LISTS!$C$2:$C$250,$AU119)=0,"NEW",""))</f>
        <v/>
      </c>
      <c r="BA119" s="2" t="str">
        <f>IF(""&amp;$F119&lt;&gt;"4","",IF($AY119="YES","",IF(ROUND(SUMIFS($AE$2:$AE$4001,$L$2:$L$4001,$L119,$F$2:$F$4001,"4")-SUMIFS('AR SALES'!$Y$2:$Y$2501,'AR SALES'!$L$2:$L$2501,$L119,'AR SALES'!$AD$2:$AD$2501,"OFF"),2)=0,"","STALE")))</f>
        <v/>
      </c>
      <c r="BB119" s="2" t="str">
        <f>IF(OR(""&amp;$F119="2",""&amp;$F119="4",""&amp;$F119="G",""&amp;$F119="H"),IF($AY119="YES","",IF($AB119&lt;&gt;0,"",IF(COUNTIFS('AR SALES'!$L$2:$L$2501,$L119,'AR SALES'!$AD$2:$AD$2501,IF(""&amp;$F119="4","OFF","ON"),'AR SALES'!$AF$2:$AF$2501,"Y")&gt;0,"","NO EXEMPTION"))),"")</f>
        <v/>
      </c>
    </row>
    <row r="120" spans="46:54" x14ac:dyDescent="0.25">
      <c r="AT120" s="2" t="str">
        <f>IF($L120="","",IFERROR(INDEX('AR SALES'!$H$2:$H$2501,MATCH(""&amp;$L120,'AR SALES'!$AE$2:$AE$2501,0)),""))</f>
        <v/>
      </c>
      <c r="AU120" s="2" t="str">
        <f t="shared" si="4"/>
        <v/>
      </c>
      <c r="AV120" s="2" t="str">
        <f t="shared" si="5"/>
        <v/>
      </c>
      <c r="AW120" s="2" t="str">
        <f t="shared" si="6"/>
        <v/>
      </c>
      <c r="AX120" s="2" t="str">
        <f t="shared" si="7"/>
        <v/>
      </c>
      <c r="AY120" s="2" t="str">
        <f>IF($AV120="","",IF(AND($Z120=0,COUNTIF('AR SALES'!$L$2:$L$2501,$L120)=0),"YES",""))</f>
        <v/>
      </c>
      <c r="AZ120" s="2" t="str">
        <f>IF($AV120="","",IF(COUNTIF(LISTS!$C$2:$C$250,$AU120)=0,"NEW",""))</f>
        <v/>
      </c>
      <c r="BA120" s="2" t="str">
        <f>IF(""&amp;$F120&lt;&gt;"4","",IF($AY120="YES","",IF(ROUND(SUMIFS($AE$2:$AE$4001,$L$2:$L$4001,$L120,$F$2:$F$4001,"4")-SUMIFS('AR SALES'!$Y$2:$Y$2501,'AR SALES'!$L$2:$L$2501,$L120,'AR SALES'!$AD$2:$AD$2501,"OFF"),2)=0,"","STALE")))</f>
        <v/>
      </c>
      <c r="BB120" s="2" t="str">
        <f>IF(OR(""&amp;$F120="2",""&amp;$F120="4",""&amp;$F120="G",""&amp;$F120="H"),IF($AY120="YES","",IF($AB120&lt;&gt;0,"",IF(COUNTIFS('AR SALES'!$L$2:$L$2501,$L120,'AR SALES'!$AD$2:$AD$2501,IF(""&amp;$F120="4","OFF","ON"),'AR SALES'!$AF$2:$AF$2501,"Y")&gt;0,"","NO EXEMPTION"))),"")</f>
        <v/>
      </c>
    </row>
    <row r="121" spans="46:54" x14ac:dyDescent="0.25">
      <c r="AT121" s="2" t="str">
        <f>IF($L121="","",IFERROR(INDEX('AR SALES'!$H$2:$H$2501,MATCH(""&amp;$L121,'AR SALES'!$AE$2:$AE$2501,0)),""))</f>
        <v/>
      </c>
      <c r="AU121" s="2" t="str">
        <f t="shared" si="4"/>
        <v/>
      </c>
      <c r="AV121" s="2" t="str">
        <f t="shared" si="5"/>
        <v/>
      </c>
      <c r="AW121" s="2" t="str">
        <f t="shared" si="6"/>
        <v/>
      </c>
      <c r="AX121" s="2" t="str">
        <f t="shared" si="7"/>
        <v/>
      </c>
      <c r="AY121" s="2" t="str">
        <f>IF($AV121="","",IF(AND($Z121=0,COUNTIF('AR SALES'!$L$2:$L$2501,$L121)=0),"YES",""))</f>
        <v/>
      </c>
      <c r="AZ121" s="2" t="str">
        <f>IF($AV121="","",IF(COUNTIF(LISTS!$C$2:$C$250,$AU121)=0,"NEW",""))</f>
        <v/>
      </c>
      <c r="BA121" s="2" t="str">
        <f>IF(""&amp;$F121&lt;&gt;"4","",IF($AY121="YES","",IF(ROUND(SUMIFS($AE$2:$AE$4001,$L$2:$L$4001,$L121,$F$2:$F$4001,"4")-SUMIFS('AR SALES'!$Y$2:$Y$2501,'AR SALES'!$L$2:$L$2501,$L121,'AR SALES'!$AD$2:$AD$2501,"OFF"),2)=0,"","STALE")))</f>
        <v/>
      </c>
      <c r="BB121" s="2" t="str">
        <f>IF(OR(""&amp;$F121="2",""&amp;$F121="4",""&amp;$F121="G",""&amp;$F121="H"),IF($AY121="YES","",IF($AB121&lt;&gt;0,"",IF(COUNTIFS('AR SALES'!$L$2:$L$2501,$L121,'AR SALES'!$AD$2:$AD$2501,IF(""&amp;$F121="4","OFF","ON"),'AR SALES'!$AF$2:$AF$2501,"Y")&gt;0,"","NO EXEMPTION"))),"")</f>
        <v/>
      </c>
    </row>
    <row r="122" spans="46:54" x14ac:dyDescent="0.25">
      <c r="AT122" s="2" t="str">
        <f>IF($L122="","",IFERROR(INDEX('AR SALES'!$H$2:$H$2501,MATCH(""&amp;$L122,'AR SALES'!$AE$2:$AE$2501,0)),""))</f>
        <v/>
      </c>
      <c r="AU122" s="2" t="str">
        <f t="shared" si="4"/>
        <v/>
      </c>
      <c r="AV122" s="2" t="str">
        <f t="shared" si="5"/>
        <v/>
      </c>
      <c r="AW122" s="2" t="str">
        <f t="shared" si="6"/>
        <v/>
      </c>
      <c r="AX122" s="2" t="str">
        <f t="shared" si="7"/>
        <v/>
      </c>
      <c r="AY122" s="2" t="str">
        <f>IF($AV122="","",IF(AND($Z122=0,COUNTIF('AR SALES'!$L$2:$L$2501,$L122)=0),"YES",""))</f>
        <v/>
      </c>
      <c r="AZ122" s="2" t="str">
        <f>IF($AV122="","",IF(COUNTIF(LISTS!$C$2:$C$250,$AU122)=0,"NEW",""))</f>
        <v/>
      </c>
      <c r="BA122" s="2" t="str">
        <f>IF(""&amp;$F122&lt;&gt;"4","",IF($AY122="YES","",IF(ROUND(SUMIFS($AE$2:$AE$4001,$L$2:$L$4001,$L122,$F$2:$F$4001,"4")-SUMIFS('AR SALES'!$Y$2:$Y$2501,'AR SALES'!$L$2:$L$2501,$L122,'AR SALES'!$AD$2:$AD$2501,"OFF"),2)=0,"","STALE")))</f>
        <v/>
      </c>
      <c r="BB122" s="2" t="str">
        <f>IF(OR(""&amp;$F122="2",""&amp;$F122="4",""&amp;$F122="G",""&amp;$F122="H"),IF($AY122="YES","",IF($AB122&lt;&gt;0,"",IF(COUNTIFS('AR SALES'!$L$2:$L$2501,$L122,'AR SALES'!$AD$2:$AD$2501,IF(""&amp;$F122="4","OFF","ON"),'AR SALES'!$AF$2:$AF$2501,"Y")&gt;0,"","NO EXEMPTION"))),"")</f>
        <v/>
      </c>
    </row>
    <row r="123" spans="46:54" x14ac:dyDescent="0.25">
      <c r="AT123" s="2" t="str">
        <f>IF($L123="","",IFERROR(INDEX('AR SALES'!$H$2:$H$2501,MATCH(""&amp;$L123,'AR SALES'!$AE$2:$AE$2501,0)),""))</f>
        <v/>
      </c>
      <c r="AU123" s="2" t="str">
        <f t="shared" si="4"/>
        <v/>
      </c>
      <c r="AV123" s="2" t="str">
        <f t="shared" si="5"/>
        <v/>
      </c>
      <c r="AW123" s="2" t="str">
        <f t="shared" si="6"/>
        <v/>
      </c>
      <c r="AX123" s="2" t="str">
        <f t="shared" si="7"/>
        <v/>
      </c>
      <c r="AY123" s="2" t="str">
        <f>IF($AV123="","",IF(AND($Z123=0,COUNTIF('AR SALES'!$L$2:$L$2501,$L123)=0),"YES",""))</f>
        <v/>
      </c>
      <c r="AZ123" s="2" t="str">
        <f>IF($AV123="","",IF(COUNTIF(LISTS!$C$2:$C$250,$AU123)=0,"NEW",""))</f>
        <v/>
      </c>
      <c r="BA123" s="2" t="str">
        <f>IF(""&amp;$F123&lt;&gt;"4","",IF($AY123="YES","",IF(ROUND(SUMIFS($AE$2:$AE$4001,$L$2:$L$4001,$L123,$F$2:$F$4001,"4")-SUMIFS('AR SALES'!$Y$2:$Y$2501,'AR SALES'!$L$2:$L$2501,$L123,'AR SALES'!$AD$2:$AD$2501,"OFF"),2)=0,"","STALE")))</f>
        <v/>
      </c>
      <c r="BB123" s="2" t="str">
        <f>IF(OR(""&amp;$F123="2",""&amp;$F123="4",""&amp;$F123="G",""&amp;$F123="H"),IF($AY123="YES","",IF($AB123&lt;&gt;0,"",IF(COUNTIFS('AR SALES'!$L$2:$L$2501,$L123,'AR SALES'!$AD$2:$AD$2501,IF(""&amp;$F123="4","OFF","ON"),'AR SALES'!$AF$2:$AF$2501,"Y")&gt;0,"","NO EXEMPTION"))),"")</f>
        <v/>
      </c>
    </row>
    <row r="124" spans="46:54" x14ac:dyDescent="0.25">
      <c r="AT124" s="2" t="str">
        <f>IF($L124="","",IFERROR(INDEX('AR SALES'!$H$2:$H$2501,MATCH(""&amp;$L124,'AR SALES'!$AE$2:$AE$2501,0)),""))</f>
        <v/>
      </c>
      <c r="AU124" s="2" t="str">
        <f t="shared" si="4"/>
        <v/>
      </c>
      <c r="AV124" s="2" t="str">
        <f t="shared" si="5"/>
        <v/>
      </c>
      <c r="AW124" s="2" t="str">
        <f t="shared" si="6"/>
        <v/>
      </c>
      <c r="AX124" s="2" t="str">
        <f t="shared" si="7"/>
        <v/>
      </c>
      <c r="AY124" s="2" t="str">
        <f>IF($AV124="","",IF(AND($Z124=0,COUNTIF('AR SALES'!$L$2:$L$2501,$L124)=0),"YES",""))</f>
        <v/>
      </c>
      <c r="AZ124" s="2" t="str">
        <f>IF($AV124="","",IF(COUNTIF(LISTS!$C$2:$C$250,$AU124)=0,"NEW",""))</f>
        <v/>
      </c>
      <c r="BA124" s="2" t="str">
        <f>IF(""&amp;$F124&lt;&gt;"4","",IF($AY124="YES","",IF(ROUND(SUMIFS($AE$2:$AE$4001,$L$2:$L$4001,$L124,$F$2:$F$4001,"4")-SUMIFS('AR SALES'!$Y$2:$Y$2501,'AR SALES'!$L$2:$L$2501,$L124,'AR SALES'!$AD$2:$AD$2501,"OFF"),2)=0,"","STALE")))</f>
        <v/>
      </c>
      <c r="BB124" s="2" t="str">
        <f>IF(OR(""&amp;$F124="2",""&amp;$F124="4",""&amp;$F124="G",""&amp;$F124="H"),IF($AY124="YES","",IF($AB124&lt;&gt;0,"",IF(COUNTIFS('AR SALES'!$L$2:$L$2501,$L124,'AR SALES'!$AD$2:$AD$2501,IF(""&amp;$F124="4","OFF","ON"),'AR SALES'!$AF$2:$AF$2501,"Y")&gt;0,"","NO EXEMPTION"))),"")</f>
        <v/>
      </c>
    </row>
    <row r="125" spans="46:54" x14ac:dyDescent="0.25">
      <c r="AT125" s="2" t="str">
        <f>IF($L125="","",IFERROR(INDEX('AR SALES'!$H$2:$H$2501,MATCH(""&amp;$L125,'AR SALES'!$AE$2:$AE$2501,0)),""))</f>
        <v/>
      </c>
      <c r="AU125" s="2" t="str">
        <f t="shared" si="4"/>
        <v/>
      </c>
      <c r="AV125" s="2" t="str">
        <f t="shared" si="5"/>
        <v/>
      </c>
      <c r="AW125" s="2" t="str">
        <f t="shared" si="6"/>
        <v/>
      </c>
      <c r="AX125" s="2" t="str">
        <f t="shared" si="7"/>
        <v/>
      </c>
      <c r="AY125" s="2" t="str">
        <f>IF($AV125="","",IF(AND($Z125=0,COUNTIF('AR SALES'!$L$2:$L$2501,$L125)=0),"YES",""))</f>
        <v/>
      </c>
      <c r="AZ125" s="2" t="str">
        <f>IF($AV125="","",IF(COUNTIF(LISTS!$C$2:$C$250,$AU125)=0,"NEW",""))</f>
        <v/>
      </c>
      <c r="BA125" s="2" t="str">
        <f>IF(""&amp;$F125&lt;&gt;"4","",IF($AY125="YES","",IF(ROUND(SUMIFS($AE$2:$AE$4001,$L$2:$L$4001,$L125,$F$2:$F$4001,"4")-SUMIFS('AR SALES'!$Y$2:$Y$2501,'AR SALES'!$L$2:$L$2501,$L125,'AR SALES'!$AD$2:$AD$2501,"OFF"),2)=0,"","STALE")))</f>
        <v/>
      </c>
      <c r="BB125" s="2" t="str">
        <f>IF(OR(""&amp;$F125="2",""&amp;$F125="4",""&amp;$F125="G",""&amp;$F125="H"),IF($AY125="YES","",IF($AB125&lt;&gt;0,"",IF(COUNTIFS('AR SALES'!$L$2:$L$2501,$L125,'AR SALES'!$AD$2:$AD$2501,IF(""&amp;$F125="4","OFF","ON"),'AR SALES'!$AF$2:$AF$2501,"Y")&gt;0,"","NO EXEMPTION"))),"")</f>
        <v/>
      </c>
    </row>
    <row r="126" spans="46:54" x14ac:dyDescent="0.25">
      <c r="AT126" s="2" t="str">
        <f>IF($L126="","",IFERROR(INDEX('AR SALES'!$H$2:$H$2501,MATCH(""&amp;$L126,'AR SALES'!$AE$2:$AE$2501,0)),""))</f>
        <v/>
      </c>
      <c r="AU126" s="2" t="str">
        <f t="shared" si="4"/>
        <v/>
      </c>
      <c r="AV126" s="2" t="str">
        <f t="shared" si="5"/>
        <v/>
      </c>
      <c r="AW126" s="2" t="str">
        <f t="shared" si="6"/>
        <v/>
      </c>
      <c r="AX126" s="2" t="str">
        <f t="shared" si="7"/>
        <v/>
      </c>
      <c r="AY126" s="2" t="str">
        <f>IF($AV126="","",IF(AND($Z126=0,COUNTIF('AR SALES'!$L$2:$L$2501,$L126)=0),"YES",""))</f>
        <v/>
      </c>
      <c r="AZ126" s="2" t="str">
        <f>IF($AV126="","",IF(COUNTIF(LISTS!$C$2:$C$250,$AU126)=0,"NEW",""))</f>
        <v/>
      </c>
      <c r="BA126" s="2" t="str">
        <f>IF(""&amp;$F126&lt;&gt;"4","",IF($AY126="YES","",IF(ROUND(SUMIFS($AE$2:$AE$4001,$L$2:$L$4001,$L126,$F$2:$F$4001,"4")-SUMIFS('AR SALES'!$Y$2:$Y$2501,'AR SALES'!$L$2:$L$2501,$L126,'AR SALES'!$AD$2:$AD$2501,"OFF"),2)=0,"","STALE")))</f>
        <v/>
      </c>
      <c r="BB126" s="2" t="str">
        <f>IF(OR(""&amp;$F126="2",""&amp;$F126="4",""&amp;$F126="G",""&amp;$F126="H"),IF($AY126="YES","",IF($AB126&lt;&gt;0,"",IF(COUNTIFS('AR SALES'!$L$2:$L$2501,$L126,'AR SALES'!$AD$2:$AD$2501,IF(""&amp;$F126="4","OFF","ON"),'AR SALES'!$AF$2:$AF$2501,"Y")&gt;0,"","NO EXEMPTION"))),"")</f>
        <v/>
      </c>
    </row>
    <row r="127" spans="46:54" x14ac:dyDescent="0.25">
      <c r="AT127" s="2" t="str">
        <f>IF($L127="","",IFERROR(INDEX('AR SALES'!$H$2:$H$2501,MATCH(""&amp;$L127,'AR SALES'!$AE$2:$AE$2501,0)),""))</f>
        <v/>
      </c>
      <c r="AU127" s="2" t="str">
        <f t="shared" si="4"/>
        <v/>
      </c>
      <c r="AV127" s="2" t="str">
        <f t="shared" si="5"/>
        <v/>
      </c>
      <c r="AW127" s="2" t="str">
        <f t="shared" si="6"/>
        <v/>
      </c>
      <c r="AX127" s="2" t="str">
        <f t="shared" si="7"/>
        <v/>
      </c>
      <c r="AY127" s="2" t="str">
        <f>IF($AV127="","",IF(AND($Z127=0,COUNTIF('AR SALES'!$L$2:$L$2501,$L127)=0),"YES",""))</f>
        <v/>
      </c>
      <c r="AZ127" s="2" t="str">
        <f>IF($AV127="","",IF(COUNTIF(LISTS!$C$2:$C$250,$AU127)=0,"NEW",""))</f>
        <v/>
      </c>
      <c r="BA127" s="2" t="str">
        <f>IF(""&amp;$F127&lt;&gt;"4","",IF($AY127="YES","",IF(ROUND(SUMIFS($AE$2:$AE$4001,$L$2:$L$4001,$L127,$F$2:$F$4001,"4")-SUMIFS('AR SALES'!$Y$2:$Y$2501,'AR SALES'!$L$2:$L$2501,$L127,'AR SALES'!$AD$2:$AD$2501,"OFF"),2)=0,"","STALE")))</f>
        <v/>
      </c>
      <c r="BB127" s="2" t="str">
        <f>IF(OR(""&amp;$F127="2",""&amp;$F127="4",""&amp;$F127="G",""&amp;$F127="H"),IF($AY127="YES","",IF($AB127&lt;&gt;0,"",IF(COUNTIFS('AR SALES'!$L$2:$L$2501,$L127,'AR SALES'!$AD$2:$AD$2501,IF(""&amp;$F127="4","OFF","ON"),'AR SALES'!$AF$2:$AF$2501,"Y")&gt;0,"","NO EXEMPTION"))),"")</f>
        <v/>
      </c>
    </row>
    <row r="128" spans="46:54" x14ac:dyDescent="0.25">
      <c r="AT128" s="2" t="str">
        <f>IF($L128="","",IFERROR(INDEX('AR SALES'!$H$2:$H$2501,MATCH(""&amp;$L128,'AR SALES'!$AE$2:$AE$2501,0)),""))</f>
        <v/>
      </c>
      <c r="AU128" s="2" t="str">
        <f t="shared" si="4"/>
        <v/>
      </c>
      <c r="AV128" s="2" t="str">
        <f t="shared" si="5"/>
        <v/>
      </c>
      <c r="AW128" s="2" t="str">
        <f t="shared" si="6"/>
        <v/>
      </c>
      <c r="AX128" s="2" t="str">
        <f t="shared" si="7"/>
        <v/>
      </c>
      <c r="AY128" s="2" t="str">
        <f>IF($AV128="","",IF(AND($Z128=0,COUNTIF('AR SALES'!$L$2:$L$2501,$L128)=0),"YES",""))</f>
        <v/>
      </c>
      <c r="AZ128" s="2" t="str">
        <f>IF($AV128="","",IF(COUNTIF(LISTS!$C$2:$C$250,$AU128)=0,"NEW",""))</f>
        <v/>
      </c>
      <c r="BA128" s="2" t="str">
        <f>IF(""&amp;$F128&lt;&gt;"4","",IF($AY128="YES","",IF(ROUND(SUMIFS($AE$2:$AE$4001,$L$2:$L$4001,$L128,$F$2:$F$4001,"4")-SUMIFS('AR SALES'!$Y$2:$Y$2501,'AR SALES'!$L$2:$L$2501,$L128,'AR SALES'!$AD$2:$AD$2501,"OFF"),2)=0,"","STALE")))</f>
        <v/>
      </c>
      <c r="BB128" s="2" t="str">
        <f>IF(OR(""&amp;$F128="2",""&amp;$F128="4",""&amp;$F128="G",""&amp;$F128="H"),IF($AY128="YES","",IF($AB128&lt;&gt;0,"",IF(COUNTIFS('AR SALES'!$L$2:$L$2501,$L128,'AR SALES'!$AD$2:$AD$2501,IF(""&amp;$F128="4","OFF","ON"),'AR SALES'!$AF$2:$AF$2501,"Y")&gt;0,"","NO EXEMPTION"))),"")</f>
        <v/>
      </c>
    </row>
    <row r="129" spans="46:54" x14ac:dyDescent="0.25">
      <c r="AT129" s="2" t="str">
        <f>IF($L129="","",IFERROR(INDEX('AR SALES'!$H$2:$H$2501,MATCH(""&amp;$L129,'AR SALES'!$AE$2:$AE$2501,0)),""))</f>
        <v/>
      </c>
      <c r="AU129" s="2" t="str">
        <f t="shared" si="4"/>
        <v/>
      </c>
      <c r="AV129" s="2" t="str">
        <f t="shared" si="5"/>
        <v/>
      </c>
      <c r="AW129" s="2" t="str">
        <f t="shared" si="6"/>
        <v/>
      </c>
      <c r="AX129" s="2" t="str">
        <f t="shared" si="7"/>
        <v/>
      </c>
      <c r="AY129" s="2" t="str">
        <f>IF($AV129="","",IF(AND($Z129=0,COUNTIF('AR SALES'!$L$2:$L$2501,$L129)=0),"YES",""))</f>
        <v/>
      </c>
      <c r="AZ129" s="2" t="str">
        <f>IF($AV129="","",IF(COUNTIF(LISTS!$C$2:$C$250,$AU129)=0,"NEW",""))</f>
        <v/>
      </c>
      <c r="BA129" s="2" t="str">
        <f>IF(""&amp;$F129&lt;&gt;"4","",IF($AY129="YES","",IF(ROUND(SUMIFS($AE$2:$AE$4001,$L$2:$L$4001,$L129,$F$2:$F$4001,"4")-SUMIFS('AR SALES'!$Y$2:$Y$2501,'AR SALES'!$L$2:$L$2501,$L129,'AR SALES'!$AD$2:$AD$2501,"OFF"),2)=0,"","STALE")))</f>
        <v/>
      </c>
      <c r="BB129" s="2" t="str">
        <f>IF(OR(""&amp;$F129="2",""&amp;$F129="4",""&amp;$F129="G",""&amp;$F129="H"),IF($AY129="YES","",IF($AB129&lt;&gt;0,"",IF(COUNTIFS('AR SALES'!$L$2:$L$2501,$L129,'AR SALES'!$AD$2:$AD$2501,IF(""&amp;$F129="4","OFF","ON"),'AR SALES'!$AF$2:$AF$2501,"Y")&gt;0,"","NO EXEMPTION"))),"")</f>
        <v/>
      </c>
    </row>
    <row r="130" spans="46:54" x14ac:dyDescent="0.25">
      <c r="AT130" s="2" t="str">
        <f>IF($L130="","",IFERROR(INDEX('AR SALES'!$H$2:$H$2501,MATCH(""&amp;$L130,'AR SALES'!$AE$2:$AE$2501,0)),""))</f>
        <v/>
      </c>
      <c r="AU130" s="2" t="str">
        <f t="shared" ref="AU130:AU193" si="8">IF($L130="","",IF($A130&lt;&gt;"GA","",IF($E130="FULTON",IF(ISNUMBER(SEARCH("COLLEGE PARK",$AT130)),"FULTON (COLLEGE PARK)",IF(ISNUMBER(SEARCH("ATLANTA CITY",$AT130)),"FULTON (ATL LIMITS)","FULTON")),IF($E130="DEKALB",IF(ISNUMBER(SEARCH("ATLANTA CITY",$AT130)),"DEKALB (ATL LIMITS)","DEKALB"),$E130))))</f>
        <v/>
      </c>
      <c r="AV130" s="2" t="str">
        <f t="shared" ref="AV130:AV193" si="9">IF($L130="","",IF(""&amp;$F130="2","DIESEL",IF(OR(""&amp;$F130="G",""&amp;$F130="H"),"GAS","")))</f>
        <v/>
      </c>
      <c r="AW130" s="2" t="str">
        <f t="shared" ref="AW130:AW193" si="10">IF($AV130="","",$R130)</f>
        <v/>
      </c>
      <c r="AX130" s="2" t="str">
        <f t="shared" ref="AX130:AX193" si="11">IF($AV130="","",IF($AB130=0,$R130,0))</f>
        <v/>
      </c>
      <c r="AY130" s="2" t="str">
        <f>IF($AV130="","",IF(AND($Z130=0,COUNTIF('AR SALES'!$L$2:$L$2501,$L130)=0),"YES",""))</f>
        <v/>
      </c>
      <c r="AZ130" s="2" t="str">
        <f>IF($AV130="","",IF(COUNTIF(LISTS!$C$2:$C$250,$AU130)=0,"NEW",""))</f>
        <v/>
      </c>
      <c r="BA130" s="2" t="str">
        <f>IF(""&amp;$F130&lt;&gt;"4","",IF($AY130="YES","",IF(ROUND(SUMIFS($AE$2:$AE$4001,$L$2:$L$4001,$L130,$F$2:$F$4001,"4")-SUMIFS('AR SALES'!$Y$2:$Y$2501,'AR SALES'!$L$2:$L$2501,$L130,'AR SALES'!$AD$2:$AD$2501,"OFF"),2)=0,"","STALE")))</f>
        <v/>
      </c>
      <c r="BB130" s="2" t="str">
        <f>IF(OR(""&amp;$F130="2",""&amp;$F130="4",""&amp;$F130="G",""&amp;$F130="H"),IF($AY130="YES","",IF($AB130&lt;&gt;0,"",IF(COUNTIFS('AR SALES'!$L$2:$L$2501,$L130,'AR SALES'!$AD$2:$AD$2501,IF(""&amp;$F130="4","OFF","ON"),'AR SALES'!$AF$2:$AF$2501,"Y")&gt;0,"","NO EXEMPTION"))),"")</f>
        <v/>
      </c>
    </row>
    <row r="131" spans="46:54" x14ac:dyDescent="0.25">
      <c r="AT131" s="2" t="str">
        <f>IF($L131="","",IFERROR(INDEX('AR SALES'!$H$2:$H$2501,MATCH(""&amp;$L131,'AR SALES'!$AE$2:$AE$2501,0)),""))</f>
        <v/>
      </c>
      <c r="AU131" s="2" t="str">
        <f t="shared" si="8"/>
        <v/>
      </c>
      <c r="AV131" s="2" t="str">
        <f t="shared" si="9"/>
        <v/>
      </c>
      <c r="AW131" s="2" t="str">
        <f t="shared" si="10"/>
        <v/>
      </c>
      <c r="AX131" s="2" t="str">
        <f t="shared" si="11"/>
        <v/>
      </c>
      <c r="AY131" s="2" t="str">
        <f>IF($AV131="","",IF(AND($Z131=0,COUNTIF('AR SALES'!$L$2:$L$2501,$L131)=0),"YES",""))</f>
        <v/>
      </c>
      <c r="AZ131" s="2" t="str">
        <f>IF($AV131="","",IF(COUNTIF(LISTS!$C$2:$C$250,$AU131)=0,"NEW",""))</f>
        <v/>
      </c>
      <c r="BA131" s="2" t="str">
        <f>IF(""&amp;$F131&lt;&gt;"4","",IF($AY131="YES","",IF(ROUND(SUMIFS($AE$2:$AE$4001,$L$2:$L$4001,$L131,$F$2:$F$4001,"4")-SUMIFS('AR SALES'!$Y$2:$Y$2501,'AR SALES'!$L$2:$L$2501,$L131,'AR SALES'!$AD$2:$AD$2501,"OFF"),2)=0,"","STALE")))</f>
        <v/>
      </c>
      <c r="BB131" s="2" t="str">
        <f>IF(OR(""&amp;$F131="2",""&amp;$F131="4",""&amp;$F131="G",""&amp;$F131="H"),IF($AY131="YES","",IF($AB131&lt;&gt;0,"",IF(COUNTIFS('AR SALES'!$L$2:$L$2501,$L131,'AR SALES'!$AD$2:$AD$2501,IF(""&amp;$F131="4","OFF","ON"),'AR SALES'!$AF$2:$AF$2501,"Y")&gt;0,"","NO EXEMPTION"))),"")</f>
        <v/>
      </c>
    </row>
    <row r="132" spans="46:54" x14ac:dyDescent="0.25">
      <c r="AT132" s="2" t="str">
        <f>IF($L132="","",IFERROR(INDEX('AR SALES'!$H$2:$H$2501,MATCH(""&amp;$L132,'AR SALES'!$AE$2:$AE$2501,0)),""))</f>
        <v/>
      </c>
      <c r="AU132" s="2" t="str">
        <f t="shared" si="8"/>
        <v/>
      </c>
      <c r="AV132" s="2" t="str">
        <f t="shared" si="9"/>
        <v/>
      </c>
      <c r="AW132" s="2" t="str">
        <f t="shared" si="10"/>
        <v/>
      </c>
      <c r="AX132" s="2" t="str">
        <f t="shared" si="11"/>
        <v/>
      </c>
      <c r="AY132" s="2" t="str">
        <f>IF($AV132="","",IF(AND($Z132=0,COUNTIF('AR SALES'!$L$2:$L$2501,$L132)=0),"YES",""))</f>
        <v/>
      </c>
      <c r="AZ132" s="2" t="str">
        <f>IF($AV132="","",IF(COUNTIF(LISTS!$C$2:$C$250,$AU132)=0,"NEW",""))</f>
        <v/>
      </c>
      <c r="BA132" s="2" t="str">
        <f>IF(""&amp;$F132&lt;&gt;"4","",IF($AY132="YES","",IF(ROUND(SUMIFS($AE$2:$AE$4001,$L$2:$L$4001,$L132,$F$2:$F$4001,"4")-SUMIFS('AR SALES'!$Y$2:$Y$2501,'AR SALES'!$L$2:$L$2501,$L132,'AR SALES'!$AD$2:$AD$2501,"OFF"),2)=0,"","STALE")))</f>
        <v/>
      </c>
      <c r="BB132" s="2" t="str">
        <f>IF(OR(""&amp;$F132="2",""&amp;$F132="4",""&amp;$F132="G",""&amp;$F132="H"),IF($AY132="YES","",IF($AB132&lt;&gt;0,"",IF(COUNTIFS('AR SALES'!$L$2:$L$2501,$L132,'AR SALES'!$AD$2:$AD$2501,IF(""&amp;$F132="4","OFF","ON"),'AR SALES'!$AF$2:$AF$2501,"Y")&gt;0,"","NO EXEMPTION"))),"")</f>
        <v/>
      </c>
    </row>
    <row r="133" spans="46:54" x14ac:dyDescent="0.25">
      <c r="AT133" s="2" t="str">
        <f>IF($L133="","",IFERROR(INDEX('AR SALES'!$H$2:$H$2501,MATCH(""&amp;$L133,'AR SALES'!$AE$2:$AE$2501,0)),""))</f>
        <v/>
      </c>
      <c r="AU133" s="2" t="str">
        <f t="shared" si="8"/>
        <v/>
      </c>
      <c r="AV133" s="2" t="str">
        <f t="shared" si="9"/>
        <v/>
      </c>
      <c r="AW133" s="2" t="str">
        <f t="shared" si="10"/>
        <v/>
      </c>
      <c r="AX133" s="2" t="str">
        <f t="shared" si="11"/>
        <v/>
      </c>
      <c r="AY133" s="2" t="str">
        <f>IF($AV133="","",IF(AND($Z133=0,COUNTIF('AR SALES'!$L$2:$L$2501,$L133)=0),"YES",""))</f>
        <v/>
      </c>
      <c r="AZ133" s="2" t="str">
        <f>IF($AV133="","",IF(COUNTIF(LISTS!$C$2:$C$250,$AU133)=0,"NEW",""))</f>
        <v/>
      </c>
      <c r="BA133" s="2" t="str">
        <f>IF(""&amp;$F133&lt;&gt;"4","",IF($AY133="YES","",IF(ROUND(SUMIFS($AE$2:$AE$4001,$L$2:$L$4001,$L133,$F$2:$F$4001,"4")-SUMIFS('AR SALES'!$Y$2:$Y$2501,'AR SALES'!$L$2:$L$2501,$L133,'AR SALES'!$AD$2:$AD$2501,"OFF"),2)=0,"","STALE")))</f>
        <v/>
      </c>
      <c r="BB133" s="2" t="str">
        <f>IF(OR(""&amp;$F133="2",""&amp;$F133="4",""&amp;$F133="G",""&amp;$F133="H"),IF($AY133="YES","",IF($AB133&lt;&gt;0,"",IF(COUNTIFS('AR SALES'!$L$2:$L$2501,$L133,'AR SALES'!$AD$2:$AD$2501,IF(""&amp;$F133="4","OFF","ON"),'AR SALES'!$AF$2:$AF$2501,"Y")&gt;0,"","NO EXEMPTION"))),"")</f>
        <v/>
      </c>
    </row>
    <row r="134" spans="46:54" x14ac:dyDescent="0.25">
      <c r="AT134" s="2" t="str">
        <f>IF($L134="","",IFERROR(INDEX('AR SALES'!$H$2:$H$2501,MATCH(""&amp;$L134,'AR SALES'!$AE$2:$AE$2501,0)),""))</f>
        <v/>
      </c>
      <c r="AU134" s="2" t="str">
        <f t="shared" si="8"/>
        <v/>
      </c>
      <c r="AV134" s="2" t="str">
        <f t="shared" si="9"/>
        <v/>
      </c>
      <c r="AW134" s="2" t="str">
        <f t="shared" si="10"/>
        <v/>
      </c>
      <c r="AX134" s="2" t="str">
        <f t="shared" si="11"/>
        <v/>
      </c>
      <c r="AY134" s="2" t="str">
        <f>IF($AV134="","",IF(AND($Z134=0,COUNTIF('AR SALES'!$L$2:$L$2501,$L134)=0),"YES",""))</f>
        <v/>
      </c>
      <c r="AZ134" s="2" t="str">
        <f>IF($AV134="","",IF(COUNTIF(LISTS!$C$2:$C$250,$AU134)=0,"NEW",""))</f>
        <v/>
      </c>
      <c r="BA134" s="2" t="str">
        <f>IF(""&amp;$F134&lt;&gt;"4","",IF($AY134="YES","",IF(ROUND(SUMIFS($AE$2:$AE$4001,$L$2:$L$4001,$L134,$F$2:$F$4001,"4")-SUMIFS('AR SALES'!$Y$2:$Y$2501,'AR SALES'!$L$2:$L$2501,$L134,'AR SALES'!$AD$2:$AD$2501,"OFF"),2)=0,"","STALE")))</f>
        <v/>
      </c>
      <c r="BB134" s="2" t="str">
        <f>IF(OR(""&amp;$F134="2",""&amp;$F134="4",""&amp;$F134="G",""&amp;$F134="H"),IF($AY134="YES","",IF($AB134&lt;&gt;0,"",IF(COUNTIFS('AR SALES'!$L$2:$L$2501,$L134,'AR SALES'!$AD$2:$AD$2501,IF(""&amp;$F134="4","OFF","ON"),'AR SALES'!$AF$2:$AF$2501,"Y")&gt;0,"","NO EXEMPTION"))),"")</f>
        <v/>
      </c>
    </row>
    <row r="135" spans="46:54" x14ac:dyDescent="0.25">
      <c r="AT135" s="2" t="str">
        <f>IF($L135="","",IFERROR(INDEX('AR SALES'!$H$2:$H$2501,MATCH(""&amp;$L135,'AR SALES'!$AE$2:$AE$2501,0)),""))</f>
        <v/>
      </c>
      <c r="AU135" s="2" t="str">
        <f t="shared" si="8"/>
        <v/>
      </c>
      <c r="AV135" s="2" t="str">
        <f t="shared" si="9"/>
        <v/>
      </c>
      <c r="AW135" s="2" t="str">
        <f t="shared" si="10"/>
        <v/>
      </c>
      <c r="AX135" s="2" t="str">
        <f t="shared" si="11"/>
        <v/>
      </c>
      <c r="AY135" s="2" t="str">
        <f>IF($AV135="","",IF(AND($Z135=0,COUNTIF('AR SALES'!$L$2:$L$2501,$L135)=0),"YES",""))</f>
        <v/>
      </c>
      <c r="AZ135" s="2" t="str">
        <f>IF($AV135="","",IF(COUNTIF(LISTS!$C$2:$C$250,$AU135)=0,"NEW",""))</f>
        <v/>
      </c>
      <c r="BA135" s="2" t="str">
        <f>IF(""&amp;$F135&lt;&gt;"4","",IF($AY135="YES","",IF(ROUND(SUMIFS($AE$2:$AE$4001,$L$2:$L$4001,$L135,$F$2:$F$4001,"4")-SUMIFS('AR SALES'!$Y$2:$Y$2501,'AR SALES'!$L$2:$L$2501,$L135,'AR SALES'!$AD$2:$AD$2501,"OFF"),2)=0,"","STALE")))</f>
        <v/>
      </c>
      <c r="BB135" s="2" t="str">
        <f>IF(OR(""&amp;$F135="2",""&amp;$F135="4",""&amp;$F135="G",""&amp;$F135="H"),IF($AY135="YES","",IF($AB135&lt;&gt;0,"",IF(COUNTIFS('AR SALES'!$L$2:$L$2501,$L135,'AR SALES'!$AD$2:$AD$2501,IF(""&amp;$F135="4","OFF","ON"),'AR SALES'!$AF$2:$AF$2501,"Y")&gt;0,"","NO EXEMPTION"))),"")</f>
        <v/>
      </c>
    </row>
    <row r="136" spans="46:54" x14ac:dyDescent="0.25">
      <c r="AT136" s="2" t="str">
        <f>IF($L136="","",IFERROR(INDEX('AR SALES'!$H$2:$H$2501,MATCH(""&amp;$L136,'AR SALES'!$AE$2:$AE$2501,0)),""))</f>
        <v/>
      </c>
      <c r="AU136" s="2" t="str">
        <f t="shared" si="8"/>
        <v/>
      </c>
      <c r="AV136" s="2" t="str">
        <f t="shared" si="9"/>
        <v/>
      </c>
      <c r="AW136" s="2" t="str">
        <f t="shared" si="10"/>
        <v/>
      </c>
      <c r="AX136" s="2" t="str">
        <f t="shared" si="11"/>
        <v/>
      </c>
      <c r="AY136" s="2" t="str">
        <f>IF($AV136="","",IF(AND($Z136=0,COUNTIF('AR SALES'!$L$2:$L$2501,$L136)=0),"YES",""))</f>
        <v/>
      </c>
      <c r="AZ136" s="2" t="str">
        <f>IF($AV136="","",IF(COUNTIF(LISTS!$C$2:$C$250,$AU136)=0,"NEW",""))</f>
        <v/>
      </c>
      <c r="BA136" s="2" t="str">
        <f>IF(""&amp;$F136&lt;&gt;"4","",IF($AY136="YES","",IF(ROUND(SUMIFS($AE$2:$AE$4001,$L$2:$L$4001,$L136,$F$2:$F$4001,"4")-SUMIFS('AR SALES'!$Y$2:$Y$2501,'AR SALES'!$L$2:$L$2501,$L136,'AR SALES'!$AD$2:$AD$2501,"OFF"),2)=0,"","STALE")))</f>
        <v/>
      </c>
      <c r="BB136" s="2" t="str">
        <f>IF(OR(""&amp;$F136="2",""&amp;$F136="4",""&amp;$F136="G",""&amp;$F136="H"),IF($AY136="YES","",IF($AB136&lt;&gt;0,"",IF(COUNTIFS('AR SALES'!$L$2:$L$2501,$L136,'AR SALES'!$AD$2:$AD$2501,IF(""&amp;$F136="4","OFF","ON"),'AR SALES'!$AF$2:$AF$2501,"Y")&gt;0,"","NO EXEMPTION"))),"")</f>
        <v/>
      </c>
    </row>
    <row r="137" spans="46:54" x14ac:dyDescent="0.25">
      <c r="AT137" s="2" t="str">
        <f>IF($L137="","",IFERROR(INDEX('AR SALES'!$H$2:$H$2501,MATCH(""&amp;$L137,'AR SALES'!$AE$2:$AE$2501,0)),""))</f>
        <v/>
      </c>
      <c r="AU137" s="2" t="str">
        <f t="shared" si="8"/>
        <v/>
      </c>
      <c r="AV137" s="2" t="str">
        <f t="shared" si="9"/>
        <v/>
      </c>
      <c r="AW137" s="2" t="str">
        <f t="shared" si="10"/>
        <v/>
      </c>
      <c r="AX137" s="2" t="str">
        <f t="shared" si="11"/>
        <v/>
      </c>
      <c r="AY137" s="2" t="str">
        <f>IF($AV137="","",IF(AND($Z137=0,COUNTIF('AR SALES'!$L$2:$L$2501,$L137)=0),"YES",""))</f>
        <v/>
      </c>
      <c r="AZ137" s="2" t="str">
        <f>IF($AV137="","",IF(COUNTIF(LISTS!$C$2:$C$250,$AU137)=0,"NEW",""))</f>
        <v/>
      </c>
      <c r="BA137" s="2" t="str">
        <f>IF(""&amp;$F137&lt;&gt;"4","",IF($AY137="YES","",IF(ROUND(SUMIFS($AE$2:$AE$4001,$L$2:$L$4001,$L137,$F$2:$F$4001,"4")-SUMIFS('AR SALES'!$Y$2:$Y$2501,'AR SALES'!$L$2:$L$2501,$L137,'AR SALES'!$AD$2:$AD$2501,"OFF"),2)=0,"","STALE")))</f>
        <v/>
      </c>
      <c r="BB137" s="2" t="str">
        <f>IF(OR(""&amp;$F137="2",""&amp;$F137="4",""&amp;$F137="G",""&amp;$F137="H"),IF($AY137="YES","",IF($AB137&lt;&gt;0,"",IF(COUNTIFS('AR SALES'!$L$2:$L$2501,$L137,'AR SALES'!$AD$2:$AD$2501,IF(""&amp;$F137="4","OFF","ON"),'AR SALES'!$AF$2:$AF$2501,"Y")&gt;0,"","NO EXEMPTION"))),"")</f>
        <v/>
      </c>
    </row>
    <row r="138" spans="46:54" x14ac:dyDescent="0.25">
      <c r="AT138" s="2" t="str">
        <f>IF($L138="","",IFERROR(INDEX('AR SALES'!$H$2:$H$2501,MATCH(""&amp;$L138,'AR SALES'!$AE$2:$AE$2501,0)),""))</f>
        <v/>
      </c>
      <c r="AU138" s="2" t="str">
        <f t="shared" si="8"/>
        <v/>
      </c>
      <c r="AV138" s="2" t="str">
        <f t="shared" si="9"/>
        <v/>
      </c>
      <c r="AW138" s="2" t="str">
        <f t="shared" si="10"/>
        <v/>
      </c>
      <c r="AX138" s="2" t="str">
        <f t="shared" si="11"/>
        <v/>
      </c>
      <c r="AY138" s="2" t="str">
        <f>IF($AV138="","",IF(AND($Z138=0,COUNTIF('AR SALES'!$L$2:$L$2501,$L138)=0),"YES",""))</f>
        <v/>
      </c>
      <c r="AZ138" s="2" t="str">
        <f>IF($AV138="","",IF(COUNTIF(LISTS!$C$2:$C$250,$AU138)=0,"NEW",""))</f>
        <v/>
      </c>
      <c r="BA138" s="2" t="str">
        <f>IF(""&amp;$F138&lt;&gt;"4","",IF($AY138="YES","",IF(ROUND(SUMIFS($AE$2:$AE$4001,$L$2:$L$4001,$L138,$F$2:$F$4001,"4")-SUMIFS('AR SALES'!$Y$2:$Y$2501,'AR SALES'!$L$2:$L$2501,$L138,'AR SALES'!$AD$2:$AD$2501,"OFF"),2)=0,"","STALE")))</f>
        <v/>
      </c>
      <c r="BB138" s="2" t="str">
        <f>IF(OR(""&amp;$F138="2",""&amp;$F138="4",""&amp;$F138="G",""&amp;$F138="H"),IF($AY138="YES","",IF($AB138&lt;&gt;0,"",IF(COUNTIFS('AR SALES'!$L$2:$L$2501,$L138,'AR SALES'!$AD$2:$AD$2501,IF(""&amp;$F138="4","OFF","ON"),'AR SALES'!$AF$2:$AF$2501,"Y")&gt;0,"","NO EXEMPTION"))),"")</f>
        <v/>
      </c>
    </row>
    <row r="139" spans="46:54" x14ac:dyDescent="0.25">
      <c r="AT139" s="2" t="str">
        <f>IF($L139="","",IFERROR(INDEX('AR SALES'!$H$2:$H$2501,MATCH(""&amp;$L139,'AR SALES'!$AE$2:$AE$2501,0)),""))</f>
        <v/>
      </c>
      <c r="AU139" s="2" t="str">
        <f t="shared" si="8"/>
        <v/>
      </c>
      <c r="AV139" s="2" t="str">
        <f t="shared" si="9"/>
        <v/>
      </c>
      <c r="AW139" s="2" t="str">
        <f t="shared" si="10"/>
        <v/>
      </c>
      <c r="AX139" s="2" t="str">
        <f t="shared" si="11"/>
        <v/>
      </c>
      <c r="AY139" s="2" t="str">
        <f>IF($AV139="","",IF(AND($Z139=0,COUNTIF('AR SALES'!$L$2:$L$2501,$L139)=0),"YES",""))</f>
        <v/>
      </c>
      <c r="AZ139" s="2" t="str">
        <f>IF($AV139="","",IF(COUNTIF(LISTS!$C$2:$C$250,$AU139)=0,"NEW",""))</f>
        <v/>
      </c>
      <c r="BA139" s="2" t="str">
        <f>IF(""&amp;$F139&lt;&gt;"4","",IF($AY139="YES","",IF(ROUND(SUMIFS($AE$2:$AE$4001,$L$2:$L$4001,$L139,$F$2:$F$4001,"4")-SUMIFS('AR SALES'!$Y$2:$Y$2501,'AR SALES'!$L$2:$L$2501,$L139,'AR SALES'!$AD$2:$AD$2501,"OFF"),2)=0,"","STALE")))</f>
        <v/>
      </c>
      <c r="BB139" s="2" t="str">
        <f>IF(OR(""&amp;$F139="2",""&amp;$F139="4",""&amp;$F139="G",""&amp;$F139="H"),IF($AY139="YES","",IF($AB139&lt;&gt;0,"",IF(COUNTIFS('AR SALES'!$L$2:$L$2501,$L139,'AR SALES'!$AD$2:$AD$2501,IF(""&amp;$F139="4","OFF","ON"),'AR SALES'!$AF$2:$AF$2501,"Y")&gt;0,"","NO EXEMPTION"))),"")</f>
        <v/>
      </c>
    </row>
    <row r="140" spans="46:54" x14ac:dyDescent="0.25">
      <c r="AT140" s="2" t="str">
        <f>IF($L140="","",IFERROR(INDEX('AR SALES'!$H$2:$H$2501,MATCH(""&amp;$L140,'AR SALES'!$AE$2:$AE$2501,0)),""))</f>
        <v/>
      </c>
      <c r="AU140" s="2" t="str">
        <f t="shared" si="8"/>
        <v/>
      </c>
      <c r="AV140" s="2" t="str">
        <f t="shared" si="9"/>
        <v/>
      </c>
      <c r="AW140" s="2" t="str">
        <f t="shared" si="10"/>
        <v/>
      </c>
      <c r="AX140" s="2" t="str">
        <f t="shared" si="11"/>
        <v/>
      </c>
      <c r="AY140" s="2" t="str">
        <f>IF($AV140="","",IF(AND($Z140=0,COUNTIF('AR SALES'!$L$2:$L$2501,$L140)=0),"YES",""))</f>
        <v/>
      </c>
      <c r="AZ140" s="2" t="str">
        <f>IF($AV140="","",IF(COUNTIF(LISTS!$C$2:$C$250,$AU140)=0,"NEW",""))</f>
        <v/>
      </c>
      <c r="BA140" s="2" t="str">
        <f>IF(""&amp;$F140&lt;&gt;"4","",IF($AY140="YES","",IF(ROUND(SUMIFS($AE$2:$AE$4001,$L$2:$L$4001,$L140,$F$2:$F$4001,"4")-SUMIFS('AR SALES'!$Y$2:$Y$2501,'AR SALES'!$L$2:$L$2501,$L140,'AR SALES'!$AD$2:$AD$2501,"OFF"),2)=0,"","STALE")))</f>
        <v/>
      </c>
      <c r="BB140" s="2" t="str">
        <f>IF(OR(""&amp;$F140="2",""&amp;$F140="4",""&amp;$F140="G",""&amp;$F140="H"),IF($AY140="YES","",IF($AB140&lt;&gt;0,"",IF(COUNTIFS('AR SALES'!$L$2:$L$2501,$L140,'AR SALES'!$AD$2:$AD$2501,IF(""&amp;$F140="4","OFF","ON"),'AR SALES'!$AF$2:$AF$2501,"Y")&gt;0,"","NO EXEMPTION"))),"")</f>
        <v/>
      </c>
    </row>
    <row r="141" spans="46:54" x14ac:dyDescent="0.25">
      <c r="AT141" s="2" t="str">
        <f>IF($L141="","",IFERROR(INDEX('AR SALES'!$H$2:$H$2501,MATCH(""&amp;$L141,'AR SALES'!$AE$2:$AE$2501,0)),""))</f>
        <v/>
      </c>
      <c r="AU141" s="2" t="str">
        <f t="shared" si="8"/>
        <v/>
      </c>
      <c r="AV141" s="2" t="str">
        <f t="shared" si="9"/>
        <v/>
      </c>
      <c r="AW141" s="2" t="str">
        <f t="shared" si="10"/>
        <v/>
      </c>
      <c r="AX141" s="2" t="str">
        <f t="shared" si="11"/>
        <v/>
      </c>
      <c r="AY141" s="2" t="str">
        <f>IF($AV141="","",IF(AND($Z141=0,COUNTIF('AR SALES'!$L$2:$L$2501,$L141)=0),"YES",""))</f>
        <v/>
      </c>
      <c r="AZ141" s="2" t="str">
        <f>IF($AV141="","",IF(COUNTIF(LISTS!$C$2:$C$250,$AU141)=0,"NEW",""))</f>
        <v/>
      </c>
      <c r="BA141" s="2" t="str">
        <f>IF(""&amp;$F141&lt;&gt;"4","",IF($AY141="YES","",IF(ROUND(SUMIFS($AE$2:$AE$4001,$L$2:$L$4001,$L141,$F$2:$F$4001,"4")-SUMIFS('AR SALES'!$Y$2:$Y$2501,'AR SALES'!$L$2:$L$2501,$L141,'AR SALES'!$AD$2:$AD$2501,"OFF"),2)=0,"","STALE")))</f>
        <v/>
      </c>
      <c r="BB141" s="2" t="str">
        <f>IF(OR(""&amp;$F141="2",""&amp;$F141="4",""&amp;$F141="G",""&amp;$F141="H"),IF($AY141="YES","",IF($AB141&lt;&gt;0,"",IF(COUNTIFS('AR SALES'!$L$2:$L$2501,$L141,'AR SALES'!$AD$2:$AD$2501,IF(""&amp;$F141="4","OFF","ON"),'AR SALES'!$AF$2:$AF$2501,"Y")&gt;0,"","NO EXEMPTION"))),"")</f>
        <v/>
      </c>
    </row>
    <row r="142" spans="46:54" x14ac:dyDescent="0.25">
      <c r="AT142" s="2" t="str">
        <f>IF($L142="","",IFERROR(INDEX('AR SALES'!$H$2:$H$2501,MATCH(""&amp;$L142,'AR SALES'!$AE$2:$AE$2501,0)),""))</f>
        <v/>
      </c>
      <c r="AU142" s="2" t="str">
        <f t="shared" si="8"/>
        <v/>
      </c>
      <c r="AV142" s="2" t="str">
        <f t="shared" si="9"/>
        <v/>
      </c>
      <c r="AW142" s="2" t="str">
        <f t="shared" si="10"/>
        <v/>
      </c>
      <c r="AX142" s="2" t="str">
        <f t="shared" si="11"/>
        <v/>
      </c>
      <c r="AY142" s="2" t="str">
        <f>IF($AV142="","",IF(AND($Z142=0,COUNTIF('AR SALES'!$L$2:$L$2501,$L142)=0),"YES",""))</f>
        <v/>
      </c>
      <c r="AZ142" s="2" t="str">
        <f>IF($AV142="","",IF(COUNTIF(LISTS!$C$2:$C$250,$AU142)=0,"NEW",""))</f>
        <v/>
      </c>
      <c r="BA142" s="2" t="str">
        <f>IF(""&amp;$F142&lt;&gt;"4","",IF($AY142="YES","",IF(ROUND(SUMIFS($AE$2:$AE$4001,$L$2:$L$4001,$L142,$F$2:$F$4001,"4")-SUMIFS('AR SALES'!$Y$2:$Y$2501,'AR SALES'!$L$2:$L$2501,$L142,'AR SALES'!$AD$2:$AD$2501,"OFF"),2)=0,"","STALE")))</f>
        <v/>
      </c>
      <c r="BB142" s="2" t="str">
        <f>IF(OR(""&amp;$F142="2",""&amp;$F142="4",""&amp;$F142="G",""&amp;$F142="H"),IF($AY142="YES","",IF($AB142&lt;&gt;0,"",IF(COUNTIFS('AR SALES'!$L$2:$L$2501,$L142,'AR SALES'!$AD$2:$AD$2501,IF(""&amp;$F142="4","OFF","ON"),'AR SALES'!$AF$2:$AF$2501,"Y")&gt;0,"","NO EXEMPTION"))),"")</f>
        <v/>
      </c>
    </row>
    <row r="143" spans="46:54" x14ac:dyDescent="0.25">
      <c r="AT143" s="2" t="str">
        <f>IF($L143="","",IFERROR(INDEX('AR SALES'!$H$2:$H$2501,MATCH(""&amp;$L143,'AR SALES'!$AE$2:$AE$2501,0)),""))</f>
        <v/>
      </c>
      <c r="AU143" s="2" t="str">
        <f t="shared" si="8"/>
        <v/>
      </c>
      <c r="AV143" s="2" t="str">
        <f t="shared" si="9"/>
        <v/>
      </c>
      <c r="AW143" s="2" t="str">
        <f t="shared" si="10"/>
        <v/>
      </c>
      <c r="AX143" s="2" t="str">
        <f t="shared" si="11"/>
        <v/>
      </c>
      <c r="AY143" s="2" t="str">
        <f>IF($AV143="","",IF(AND($Z143=0,COUNTIF('AR SALES'!$L$2:$L$2501,$L143)=0),"YES",""))</f>
        <v/>
      </c>
      <c r="AZ143" s="2" t="str">
        <f>IF($AV143="","",IF(COUNTIF(LISTS!$C$2:$C$250,$AU143)=0,"NEW",""))</f>
        <v/>
      </c>
      <c r="BA143" s="2" t="str">
        <f>IF(""&amp;$F143&lt;&gt;"4","",IF($AY143="YES","",IF(ROUND(SUMIFS($AE$2:$AE$4001,$L$2:$L$4001,$L143,$F$2:$F$4001,"4")-SUMIFS('AR SALES'!$Y$2:$Y$2501,'AR SALES'!$L$2:$L$2501,$L143,'AR SALES'!$AD$2:$AD$2501,"OFF"),2)=0,"","STALE")))</f>
        <v/>
      </c>
      <c r="BB143" s="2" t="str">
        <f>IF(OR(""&amp;$F143="2",""&amp;$F143="4",""&amp;$F143="G",""&amp;$F143="H"),IF($AY143="YES","",IF($AB143&lt;&gt;0,"",IF(COUNTIFS('AR SALES'!$L$2:$L$2501,$L143,'AR SALES'!$AD$2:$AD$2501,IF(""&amp;$F143="4","OFF","ON"),'AR SALES'!$AF$2:$AF$2501,"Y")&gt;0,"","NO EXEMPTION"))),"")</f>
        <v/>
      </c>
    </row>
    <row r="144" spans="46:54" x14ac:dyDescent="0.25">
      <c r="AT144" s="2" t="str">
        <f>IF($L144="","",IFERROR(INDEX('AR SALES'!$H$2:$H$2501,MATCH(""&amp;$L144,'AR SALES'!$AE$2:$AE$2501,0)),""))</f>
        <v/>
      </c>
      <c r="AU144" s="2" t="str">
        <f t="shared" si="8"/>
        <v/>
      </c>
      <c r="AV144" s="2" t="str">
        <f t="shared" si="9"/>
        <v/>
      </c>
      <c r="AW144" s="2" t="str">
        <f t="shared" si="10"/>
        <v/>
      </c>
      <c r="AX144" s="2" t="str">
        <f t="shared" si="11"/>
        <v/>
      </c>
      <c r="AY144" s="2" t="str">
        <f>IF($AV144="","",IF(AND($Z144=0,COUNTIF('AR SALES'!$L$2:$L$2501,$L144)=0),"YES",""))</f>
        <v/>
      </c>
      <c r="AZ144" s="2" t="str">
        <f>IF($AV144="","",IF(COUNTIF(LISTS!$C$2:$C$250,$AU144)=0,"NEW",""))</f>
        <v/>
      </c>
      <c r="BA144" s="2" t="str">
        <f>IF(""&amp;$F144&lt;&gt;"4","",IF($AY144="YES","",IF(ROUND(SUMIFS($AE$2:$AE$4001,$L$2:$L$4001,$L144,$F$2:$F$4001,"4")-SUMIFS('AR SALES'!$Y$2:$Y$2501,'AR SALES'!$L$2:$L$2501,$L144,'AR SALES'!$AD$2:$AD$2501,"OFF"),2)=0,"","STALE")))</f>
        <v/>
      </c>
      <c r="BB144" s="2" t="str">
        <f>IF(OR(""&amp;$F144="2",""&amp;$F144="4",""&amp;$F144="G",""&amp;$F144="H"),IF($AY144="YES","",IF($AB144&lt;&gt;0,"",IF(COUNTIFS('AR SALES'!$L$2:$L$2501,$L144,'AR SALES'!$AD$2:$AD$2501,IF(""&amp;$F144="4","OFF","ON"),'AR SALES'!$AF$2:$AF$2501,"Y")&gt;0,"","NO EXEMPTION"))),"")</f>
        <v/>
      </c>
    </row>
    <row r="145" spans="46:54" x14ac:dyDescent="0.25">
      <c r="AT145" s="2" t="str">
        <f>IF($L145="","",IFERROR(INDEX('AR SALES'!$H$2:$H$2501,MATCH(""&amp;$L145,'AR SALES'!$AE$2:$AE$2501,0)),""))</f>
        <v/>
      </c>
      <c r="AU145" s="2" t="str">
        <f t="shared" si="8"/>
        <v/>
      </c>
      <c r="AV145" s="2" t="str">
        <f t="shared" si="9"/>
        <v/>
      </c>
      <c r="AW145" s="2" t="str">
        <f t="shared" si="10"/>
        <v/>
      </c>
      <c r="AX145" s="2" t="str">
        <f t="shared" si="11"/>
        <v/>
      </c>
      <c r="AY145" s="2" t="str">
        <f>IF($AV145="","",IF(AND($Z145=0,COUNTIF('AR SALES'!$L$2:$L$2501,$L145)=0),"YES",""))</f>
        <v/>
      </c>
      <c r="AZ145" s="2" t="str">
        <f>IF($AV145="","",IF(COUNTIF(LISTS!$C$2:$C$250,$AU145)=0,"NEW",""))</f>
        <v/>
      </c>
      <c r="BA145" s="2" t="str">
        <f>IF(""&amp;$F145&lt;&gt;"4","",IF($AY145="YES","",IF(ROUND(SUMIFS($AE$2:$AE$4001,$L$2:$L$4001,$L145,$F$2:$F$4001,"4")-SUMIFS('AR SALES'!$Y$2:$Y$2501,'AR SALES'!$L$2:$L$2501,$L145,'AR SALES'!$AD$2:$AD$2501,"OFF"),2)=0,"","STALE")))</f>
        <v/>
      </c>
      <c r="BB145" s="2" t="str">
        <f>IF(OR(""&amp;$F145="2",""&amp;$F145="4",""&amp;$F145="G",""&amp;$F145="H"),IF($AY145="YES","",IF($AB145&lt;&gt;0,"",IF(COUNTIFS('AR SALES'!$L$2:$L$2501,$L145,'AR SALES'!$AD$2:$AD$2501,IF(""&amp;$F145="4","OFF","ON"),'AR SALES'!$AF$2:$AF$2501,"Y")&gt;0,"","NO EXEMPTION"))),"")</f>
        <v/>
      </c>
    </row>
    <row r="146" spans="46:54" x14ac:dyDescent="0.25">
      <c r="AT146" s="2" t="str">
        <f>IF($L146="","",IFERROR(INDEX('AR SALES'!$H$2:$H$2501,MATCH(""&amp;$L146,'AR SALES'!$AE$2:$AE$2501,0)),""))</f>
        <v/>
      </c>
      <c r="AU146" s="2" t="str">
        <f t="shared" si="8"/>
        <v/>
      </c>
      <c r="AV146" s="2" t="str">
        <f t="shared" si="9"/>
        <v/>
      </c>
      <c r="AW146" s="2" t="str">
        <f t="shared" si="10"/>
        <v/>
      </c>
      <c r="AX146" s="2" t="str">
        <f t="shared" si="11"/>
        <v/>
      </c>
      <c r="AY146" s="2" t="str">
        <f>IF($AV146="","",IF(AND($Z146=0,COUNTIF('AR SALES'!$L$2:$L$2501,$L146)=0),"YES",""))</f>
        <v/>
      </c>
      <c r="AZ146" s="2" t="str">
        <f>IF($AV146="","",IF(COUNTIF(LISTS!$C$2:$C$250,$AU146)=0,"NEW",""))</f>
        <v/>
      </c>
      <c r="BA146" s="2" t="str">
        <f>IF(""&amp;$F146&lt;&gt;"4","",IF($AY146="YES","",IF(ROUND(SUMIFS($AE$2:$AE$4001,$L$2:$L$4001,$L146,$F$2:$F$4001,"4")-SUMIFS('AR SALES'!$Y$2:$Y$2501,'AR SALES'!$L$2:$L$2501,$L146,'AR SALES'!$AD$2:$AD$2501,"OFF"),2)=0,"","STALE")))</f>
        <v/>
      </c>
      <c r="BB146" s="2" t="str">
        <f>IF(OR(""&amp;$F146="2",""&amp;$F146="4",""&amp;$F146="G",""&amp;$F146="H"),IF($AY146="YES","",IF($AB146&lt;&gt;0,"",IF(COUNTIFS('AR SALES'!$L$2:$L$2501,$L146,'AR SALES'!$AD$2:$AD$2501,IF(""&amp;$F146="4","OFF","ON"),'AR SALES'!$AF$2:$AF$2501,"Y")&gt;0,"","NO EXEMPTION"))),"")</f>
        <v/>
      </c>
    </row>
    <row r="147" spans="46:54" x14ac:dyDescent="0.25">
      <c r="AT147" s="2" t="str">
        <f>IF($L147="","",IFERROR(INDEX('AR SALES'!$H$2:$H$2501,MATCH(""&amp;$L147,'AR SALES'!$AE$2:$AE$2501,0)),""))</f>
        <v/>
      </c>
      <c r="AU147" s="2" t="str">
        <f t="shared" si="8"/>
        <v/>
      </c>
      <c r="AV147" s="2" t="str">
        <f t="shared" si="9"/>
        <v/>
      </c>
      <c r="AW147" s="2" t="str">
        <f t="shared" si="10"/>
        <v/>
      </c>
      <c r="AX147" s="2" t="str">
        <f t="shared" si="11"/>
        <v/>
      </c>
      <c r="AY147" s="2" t="str">
        <f>IF($AV147="","",IF(AND($Z147=0,COUNTIF('AR SALES'!$L$2:$L$2501,$L147)=0),"YES",""))</f>
        <v/>
      </c>
      <c r="AZ147" s="2" t="str">
        <f>IF($AV147="","",IF(COUNTIF(LISTS!$C$2:$C$250,$AU147)=0,"NEW",""))</f>
        <v/>
      </c>
      <c r="BA147" s="2" t="str">
        <f>IF(""&amp;$F147&lt;&gt;"4","",IF($AY147="YES","",IF(ROUND(SUMIFS($AE$2:$AE$4001,$L$2:$L$4001,$L147,$F$2:$F$4001,"4")-SUMIFS('AR SALES'!$Y$2:$Y$2501,'AR SALES'!$L$2:$L$2501,$L147,'AR SALES'!$AD$2:$AD$2501,"OFF"),2)=0,"","STALE")))</f>
        <v/>
      </c>
      <c r="BB147" s="2" t="str">
        <f>IF(OR(""&amp;$F147="2",""&amp;$F147="4",""&amp;$F147="G",""&amp;$F147="H"),IF($AY147="YES","",IF($AB147&lt;&gt;0,"",IF(COUNTIFS('AR SALES'!$L$2:$L$2501,$L147,'AR SALES'!$AD$2:$AD$2501,IF(""&amp;$F147="4","OFF","ON"),'AR SALES'!$AF$2:$AF$2501,"Y")&gt;0,"","NO EXEMPTION"))),"")</f>
        <v/>
      </c>
    </row>
    <row r="148" spans="46:54" x14ac:dyDescent="0.25">
      <c r="AT148" s="2" t="str">
        <f>IF($L148="","",IFERROR(INDEX('AR SALES'!$H$2:$H$2501,MATCH(""&amp;$L148,'AR SALES'!$AE$2:$AE$2501,0)),""))</f>
        <v/>
      </c>
      <c r="AU148" s="2" t="str">
        <f t="shared" si="8"/>
        <v/>
      </c>
      <c r="AV148" s="2" t="str">
        <f t="shared" si="9"/>
        <v/>
      </c>
      <c r="AW148" s="2" t="str">
        <f t="shared" si="10"/>
        <v/>
      </c>
      <c r="AX148" s="2" t="str">
        <f t="shared" si="11"/>
        <v/>
      </c>
      <c r="AY148" s="2" t="str">
        <f>IF($AV148="","",IF(AND($Z148=0,COUNTIF('AR SALES'!$L$2:$L$2501,$L148)=0),"YES",""))</f>
        <v/>
      </c>
      <c r="AZ148" s="2" t="str">
        <f>IF($AV148="","",IF(COUNTIF(LISTS!$C$2:$C$250,$AU148)=0,"NEW",""))</f>
        <v/>
      </c>
      <c r="BA148" s="2" t="str">
        <f>IF(""&amp;$F148&lt;&gt;"4","",IF($AY148="YES","",IF(ROUND(SUMIFS($AE$2:$AE$4001,$L$2:$L$4001,$L148,$F$2:$F$4001,"4")-SUMIFS('AR SALES'!$Y$2:$Y$2501,'AR SALES'!$L$2:$L$2501,$L148,'AR SALES'!$AD$2:$AD$2501,"OFF"),2)=0,"","STALE")))</f>
        <v/>
      </c>
      <c r="BB148" s="2" t="str">
        <f>IF(OR(""&amp;$F148="2",""&amp;$F148="4",""&amp;$F148="G",""&amp;$F148="H"),IF($AY148="YES","",IF($AB148&lt;&gt;0,"",IF(COUNTIFS('AR SALES'!$L$2:$L$2501,$L148,'AR SALES'!$AD$2:$AD$2501,IF(""&amp;$F148="4","OFF","ON"),'AR SALES'!$AF$2:$AF$2501,"Y")&gt;0,"","NO EXEMPTION"))),"")</f>
        <v/>
      </c>
    </row>
    <row r="149" spans="46:54" x14ac:dyDescent="0.25">
      <c r="AT149" s="2" t="str">
        <f>IF($L149="","",IFERROR(INDEX('AR SALES'!$H$2:$H$2501,MATCH(""&amp;$L149,'AR SALES'!$AE$2:$AE$2501,0)),""))</f>
        <v/>
      </c>
      <c r="AU149" s="2" t="str">
        <f t="shared" si="8"/>
        <v/>
      </c>
      <c r="AV149" s="2" t="str">
        <f t="shared" si="9"/>
        <v/>
      </c>
      <c r="AW149" s="2" t="str">
        <f t="shared" si="10"/>
        <v/>
      </c>
      <c r="AX149" s="2" t="str">
        <f t="shared" si="11"/>
        <v/>
      </c>
      <c r="AY149" s="2" t="str">
        <f>IF($AV149="","",IF(AND($Z149=0,COUNTIF('AR SALES'!$L$2:$L$2501,$L149)=0),"YES",""))</f>
        <v/>
      </c>
      <c r="AZ149" s="2" t="str">
        <f>IF($AV149="","",IF(COUNTIF(LISTS!$C$2:$C$250,$AU149)=0,"NEW",""))</f>
        <v/>
      </c>
      <c r="BA149" s="2" t="str">
        <f>IF(""&amp;$F149&lt;&gt;"4","",IF($AY149="YES","",IF(ROUND(SUMIFS($AE$2:$AE$4001,$L$2:$L$4001,$L149,$F$2:$F$4001,"4")-SUMIFS('AR SALES'!$Y$2:$Y$2501,'AR SALES'!$L$2:$L$2501,$L149,'AR SALES'!$AD$2:$AD$2501,"OFF"),2)=0,"","STALE")))</f>
        <v/>
      </c>
      <c r="BB149" s="2" t="str">
        <f>IF(OR(""&amp;$F149="2",""&amp;$F149="4",""&amp;$F149="G",""&amp;$F149="H"),IF($AY149="YES","",IF($AB149&lt;&gt;0,"",IF(COUNTIFS('AR SALES'!$L$2:$L$2501,$L149,'AR SALES'!$AD$2:$AD$2501,IF(""&amp;$F149="4","OFF","ON"),'AR SALES'!$AF$2:$AF$2501,"Y")&gt;0,"","NO EXEMPTION"))),"")</f>
        <v/>
      </c>
    </row>
    <row r="150" spans="46:54" x14ac:dyDescent="0.25">
      <c r="AT150" s="2" t="str">
        <f>IF($L150="","",IFERROR(INDEX('AR SALES'!$H$2:$H$2501,MATCH(""&amp;$L150,'AR SALES'!$AE$2:$AE$2501,0)),""))</f>
        <v/>
      </c>
      <c r="AU150" s="2" t="str">
        <f t="shared" si="8"/>
        <v/>
      </c>
      <c r="AV150" s="2" t="str">
        <f t="shared" si="9"/>
        <v/>
      </c>
      <c r="AW150" s="2" t="str">
        <f t="shared" si="10"/>
        <v/>
      </c>
      <c r="AX150" s="2" t="str">
        <f t="shared" si="11"/>
        <v/>
      </c>
      <c r="AY150" s="2" t="str">
        <f>IF($AV150="","",IF(AND($Z150=0,COUNTIF('AR SALES'!$L$2:$L$2501,$L150)=0),"YES",""))</f>
        <v/>
      </c>
      <c r="AZ150" s="2" t="str">
        <f>IF($AV150="","",IF(COUNTIF(LISTS!$C$2:$C$250,$AU150)=0,"NEW",""))</f>
        <v/>
      </c>
      <c r="BA150" s="2" t="str">
        <f>IF(""&amp;$F150&lt;&gt;"4","",IF($AY150="YES","",IF(ROUND(SUMIFS($AE$2:$AE$4001,$L$2:$L$4001,$L150,$F$2:$F$4001,"4")-SUMIFS('AR SALES'!$Y$2:$Y$2501,'AR SALES'!$L$2:$L$2501,$L150,'AR SALES'!$AD$2:$AD$2501,"OFF"),2)=0,"","STALE")))</f>
        <v/>
      </c>
      <c r="BB150" s="2" t="str">
        <f>IF(OR(""&amp;$F150="2",""&amp;$F150="4",""&amp;$F150="G",""&amp;$F150="H"),IF($AY150="YES","",IF($AB150&lt;&gt;0,"",IF(COUNTIFS('AR SALES'!$L$2:$L$2501,$L150,'AR SALES'!$AD$2:$AD$2501,IF(""&amp;$F150="4","OFF","ON"),'AR SALES'!$AF$2:$AF$2501,"Y")&gt;0,"","NO EXEMPTION"))),"")</f>
        <v/>
      </c>
    </row>
    <row r="151" spans="46:54" x14ac:dyDescent="0.25">
      <c r="AT151" s="2" t="str">
        <f>IF($L151="","",IFERROR(INDEX('AR SALES'!$H$2:$H$2501,MATCH(""&amp;$L151,'AR SALES'!$AE$2:$AE$2501,0)),""))</f>
        <v/>
      </c>
      <c r="AU151" s="2" t="str">
        <f t="shared" si="8"/>
        <v/>
      </c>
      <c r="AV151" s="2" t="str">
        <f t="shared" si="9"/>
        <v/>
      </c>
      <c r="AW151" s="2" t="str">
        <f t="shared" si="10"/>
        <v/>
      </c>
      <c r="AX151" s="2" t="str">
        <f t="shared" si="11"/>
        <v/>
      </c>
      <c r="AY151" s="2" t="str">
        <f>IF($AV151="","",IF(AND($Z151=0,COUNTIF('AR SALES'!$L$2:$L$2501,$L151)=0),"YES",""))</f>
        <v/>
      </c>
      <c r="AZ151" s="2" t="str">
        <f>IF($AV151="","",IF(COUNTIF(LISTS!$C$2:$C$250,$AU151)=0,"NEW",""))</f>
        <v/>
      </c>
      <c r="BA151" s="2" t="str">
        <f>IF(""&amp;$F151&lt;&gt;"4","",IF($AY151="YES","",IF(ROUND(SUMIFS($AE$2:$AE$4001,$L$2:$L$4001,$L151,$F$2:$F$4001,"4")-SUMIFS('AR SALES'!$Y$2:$Y$2501,'AR SALES'!$L$2:$L$2501,$L151,'AR SALES'!$AD$2:$AD$2501,"OFF"),2)=0,"","STALE")))</f>
        <v/>
      </c>
      <c r="BB151" s="2" t="str">
        <f>IF(OR(""&amp;$F151="2",""&amp;$F151="4",""&amp;$F151="G",""&amp;$F151="H"),IF($AY151="YES","",IF($AB151&lt;&gt;0,"",IF(COUNTIFS('AR SALES'!$L$2:$L$2501,$L151,'AR SALES'!$AD$2:$AD$2501,IF(""&amp;$F151="4","OFF","ON"),'AR SALES'!$AF$2:$AF$2501,"Y")&gt;0,"","NO EXEMPTION"))),"")</f>
        <v/>
      </c>
    </row>
    <row r="152" spans="46:54" x14ac:dyDescent="0.25">
      <c r="AT152" s="2" t="str">
        <f>IF($L152="","",IFERROR(INDEX('AR SALES'!$H$2:$H$2501,MATCH(""&amp;$L152,'AR SALES'!$AE$2:$AE$2501,0)),""))</f>
        <v/>
      </c>
      <c r="AU152" s="2" t="str">
        <f t="shared" si="8"/>
        <v/>
      </c>
      <c r="AV152" s="2" t="str">
        <f t="shared" si="9"/>
        <v/>
      </c>
      <c r="AW152" s="2" t="str">
        <f t="shared" si="10"/>
        <v/>
      </c>
      <c r="AX152" s="2" t="str">
        <f t="shared" si="11"/>
        <v/>
      </c>
      <c r="AY152" s="2" t="str">
        <f>IF($AV152="","",IF(AND($Z152=0,COUNTIF('AR SALES'!$L$2:$L$2501,$L152)=0),"YES",""))</f>
        <v/>
      </c>
      <c r="AZ152" s="2" t="str">
        <f>IF($AV152="","",IF(COUNTIF(LISTS!$C$2:$C$250,$AU152)=0,"NEW",""))</f>
        <v/>
      </c>
      <c r="BA152" s="2" t="str">
        <f>IF(""&amp;$F152&lt;&gt;"4","",IF($AY152="YES","",IF(ROUND(SUMIFS($AE$2:$AE$4001,$L$2:$L$4001,$L152,$F$2:$F$4001,"4")-SUMIFS('AR SALES'!$Y$2:$Y$2501,'AR SALES'!$L$2:$L$2501,$L152,'AR SALES'!$AD$2:$AD$2501,"OFF"),2)=0,"","STALE")))</f>
        <v/>
      </c>
      <c r="BB152" s="2" t="str">
        <f>IF(OR(""&amp;$F152="2",""&amp;$F152="4",""&amp;$F152="G",""&amp;$F152="H"),IF($AY152="YES","",IF($AB152&lt;&gt;0,"",IF(COUNTIFS('AR SALES'!$L$2:$L$2501,$L152,'AR SALES'!$AD$2:$AD$2501,IF(""&amp;$F152="4","OFF","ON"),'AR SALES'!$AF$2:$AF$2501,"Y")&gt;0,"","NO EXEMPTION"))),"")</f>
        <v/>
      </c>
    </row>
    <row r="153" spans="46:54" x14ac:dyDescent="0.25">
      <c r="AT153" s="2" t="str">
        <f>IF($L153="","",IFERROR(INDEX('AR SALES'!$H$2:$H$2501,MATCH(""&amp;$L153,'AR SALES'!$AE$2:$AE$2501,0)),""))</f>
        <v/>
      </c>
      <c r="AU153" s="2" t="str">
        <f t="shared" si="8"/>
        <v/>
      </c>
      <c r="AV153" s="2" t="str">
        <f t="shared" si="9"/>
        <v/>
      </c>
      <c r="AW153" s="2" t="str">
        <f t="shared" si="10"/>
        <v/>
      </c>
      <c r="AX153" s="2" t="str">
        <f t="shared" si="11"/>
        <v/>
      </c>
      <c r="AY153" s="2" t="str">
        <f>IF($AV153="","",IF(AND($Z153=0,COUNTIF('AR SALES'!$L$2:$L$2501,$L153)=0),"YES",""))</f>
        <v/>
      </c>
      <c r="AZ153" s="2" t="str">
        <f>IF($AV153="","",IF(COUNTIF(LISTS!$C$2:$C$250,$AU153)=0,"NEW",""))</f>
        <v/>
      </c>
      <c r="BA153" s="2" t="str">
        <f>IF(""&amp;$F153&lt;&gt;"4","",IF($AY153="YES","",IF(ROUND(SUMIFS($AE$2:$AE$4001,$L$2:$L$4001,$L153,$F$2:$F$4001,"4")-SUMIFS('AR SALES'!$Y$2:$Y$2501,'AR SALES'!$L$2:$L$2501,$L153,'AR SALES'!$AD$2:$AD$2501,"OFF"),2)=0,"","STALE")))</f>
        <v/>
      </c>
      <c r="BB153" s="2" t="str">
        <f>IF(OR(""&amp;$F153="2",""&amp;$F153="4",""&amp;$F153="G",""&amp;$F153="H"),IF($AY153="YES","",IF($AB153&lt;&gt;0,"",IF(COUNTIFS('AR SALES'!$L$2:$L$2501,$L153,'AR SALES'!$AD$2:$AD$2501,IF(""&amp;$F153="4","OFF","ON"),'AR SALES'!$AF$2:$AF$2501,"Y")&gt;0,"","NO EXEMPTION"))),"")</f>
        <v/>
      </c>
    </row>
    <row r="154" spans="46:54" x14ac:dyDescent="0.25">
      <c r="AT154" s="2" t="str">
        <f>IF($L154="","",IFERROR(INDEX('AR SALES'!$H$2:$H$2501,MATCH(""&amp;$L154,'AR SALES'!$AE$2:$AE$2501,0)),""))</f>
        <v/>
      </c>
      <c r="AU154" s="2" t="str">
        <f t="shared" si="8"/>
        <v/>
      </c>
      <c r="AV154" s="2" t="str">
        <f t="shared" si="9"/>
        <v/>
      </c>
      <c r="AW154" s="2" t="str">
        <f t="shared" si="10"/>
        <v/>
      </c>
      <c r="AX154" s="2" t="str">
        <f t="shared" si="11"/>
        <v/>
      </c>
      <c r="AY154" s="2" t="str">
        <f>IF($AV154="","",IF(AND($Z154=0,COUNTIF('AR SALES'!$L$2:$L$2501,$L154)=0),"YES",""))</f>
        <v/>
      </c>
      <c r="AZ154" s="2" t="str">
        <f>IF($AV154="","",IF(COUNTIF(LISTS!$C$2:$C$250,$AU154)=0,"NEW",""))</f>
        <v/>
      </c>
      <c r="BA154" s="2" t="str">
        <f>IF(""&amp;$F154&lt;&gt;"4","",IF($AY154="YES","",IF(ROUND(SUMIFS($AE$2:$AE$4001,$L$2:$L$4001,$L154,$F$2:$F$4001,"4")-SUMIFS('AR SALES'!$Y$2:$Y$2501,'AR SALES'!$L$2:$L$2501,$L154,'AR SALES'!$AD$2:$AD$2501,"OFF"),2)=0,"","STALE")))</f>
        <v/>
      </c>
      <c r="BB154" s="2" t="str">
        <f>IF(OR(""&amp;$F154="2",""&amp;$F154="4",""&amp;$F154="G",""&amp;$F154="H"),IF($AY154="YES","",IF($AB154&lt;&gt;0,"",IF(COUNTIFS('AR SALES'!$L$2:$L$2501,$L154,'AR SALES'!$AD$2:$AD$2501,IF(""&amp;$F154="4","OFF","ON"),'AR SALES'!$AF$2:$AF$2501,"Y")&gt;0,"","NO EXEMPTION"))),"")</f>
        <v/>
      </c>
    </row>
    <row r="155" spans="46:54" x14ac:dyDescent="0.25">
      <c r="AT155" s="2" t="str">
        <f>IF($L155="","",IFERROR(INDEX('AR SALES'!$H$2:$H$2501,MATCH(""&amp;$L155,'AR SALES'!$AE$2:$AE$2501,0)),""))</f>
        <v/>
      </c>
      <c r="AU155" s="2" t="str">
        <f t="shared" si="8"/>
        <v/>
      </c>
      <c r="AV155" s="2" t="str">
        <f t="shared" si="9"/>
        <v/>
      </c>
      <c r="AW155" s="2" t="str">
        <f t="shared" si="10"/>
        <v/>
      </c>
      <c r="AX155" s="2" t="str">
        <f t="shared" si="11"/>
        <v/>
      </c>
      <c r="AY155" s="2" t="str">
        <f>IF($AV155="","",IF(AND($Z155=0,COUNTIF('AR SALES'!$L$2:$L$2501,$L155)=0),"YES",""))</f>
        <v/>
      </c>
      <c r="AZ155" s="2" t="str">
        <f>IF($AV155="","",IF(COUNTIF(LISTS!$C$2:$C$250,$AU155)=0,"NEW",""))</f>
        <v/>
      </c>
      <c r="BA155" s="2" t="str">
        <f>IF(""&amp;$F155&lt;&gt;"4","",IF($AY155="YES","",IF(ROUND(SUMIFS($AE$2:$AE$4001,$L$2:$L$4001,$L155,$F$2:$F$4001,"4")-SUMIFS('AR SALES'!$Y$2:$Y$2501,'AR SALES'!$L$2:$L$2501,$L155,'AR SALES'!$AD$2:$AD$2501,"OFF"),2)=0,"","STALE")))</f>
        <v/>
      </c>
      <c r="BB155" s="2" t="str">
        <f>IF(OR(""&amp;$F155="2",""&amp;$F155="4",""&amp;$F155="G",""&amp;$F155="H"),IF($AY155="YES","",IF($AB155&lt;&gt;0,"",IF(COUNTIFS('AR SALES'!$L$2:$L$2501,$L155,'AR SALES'!$AD$2:$AD$2501,IF(""&amp;$F155="4","OFF","ON"),'AR SALES'!$AF$2:$AF$2501,"Y")&gt;0,"","NO EXEMPTION"))),"")</f>
        <v/>
      </c>
    </row>
    <row r="156" spans="46:54" x14ac:dyDescent="0.25">
      <c r="AT156" s="2" t="str">
        <f>IF($L156="","",IFERROR(INDEX('AR SALES'!$H$2:$H$2501,MATCH(""&amp;$L156,'AR SALES'!$AE$2:$AE$2501,0)),""))</f>
        <v/>
      </c>
      <c r="AU156" s="2" t="str">
        <f t="shared" si="8"/>
        <v/>
      </c>
      <c r="AV156" s="2" t="str">
        <f t="shared" si="9"/>
        <v/>
      </c>
      <c r="AW156" s="2" t="str">
        <f t="shared" si="10"/>
        <v/>
      </c>
      <c r="AX156" s="2" t="str">
        <f t="shared" si="11"/>
        <v/>
      </c>
      <c r="AY156" s="2" t="str">
        <f>IF($AV156="","",IF(AND($Z156=0,COUNTIF('AR SALES'!$L$2:$L$2501,$L156)=0),"YES",""))</f>
        <v/>
      </c>
      <c r="AZ156" s="2" t="str">
        <f>IF($AV156="","",IF(COUNTIF(LISTS!$C$2:$C$250,$AU156)=0,"NEW",""))</f>
        <v/>
      </c>
      <c r="BA156" s="2" t="str">
        <f>IF(""&amp;$F156&lt;&gt;"4","",IF($AY156="YES","",IF(ROUND(SUMIFS($AE$2:$AE$4001,$L$2:$L$4001,$L156,$F$2:$F$4001,"4")-SUMIFS('AR SALES'!$Y$2:$Y$2501,'AR SALES'!$L$2:$L$2501,$L156,'AR SALES'!$AD$2:$AD$2501,"OFF"),2)=0,"","STALE")))</f>
        <v/>
      </c>
      <c r="BB156" s="2" t="str">
        <f>IF(OR(""&amp;$F156="2",""&amp;$F156="4",""&amp;$F156="G",""&amp;$F156="H"),IF($AY156="YES","",IF($AB156&lt;&gt;0,"",IF(COUNTIFS('AR SALES'!$L$2:$L$2501,$L156,'AR SALES'!$AD$2:$AD$2501,IF(""&amp;$F156="4","OFF","ON"),'AR SALES'!$AF$2:$AF$2501,"Y")&gt;0,"","NO EXEMPTION"))),"")</f>
        <v/>
      </c>
    </row>
    <row r="157" spans="46:54" x14ac:dyDescent="0.25">
      <c r="AT157" s="2" t="str">
        <f>IF($L157="","",IFERROR(INDEX('AR SALES'!$H$2:$H$2501,MATCH(""&amp;$L157,'AR SALES'!$AE$2:$AE$2501,0)),""))</f>
        <v/>
      </c>
      <c r="AU157" s="2" t="str">
        <f t="shared" si="8"/>
        <v/>
      </c>
      <c r="AV157" s="2" t="str">
        <f t="shared" si="9"/>
        <v/>
      </c>
      <c r="AW157" s="2" t="str">
        <f t="shared" si="10"/>
        <v/>
      </c>
      <c r="AX157" s="2" t="str">
        <f t="shared" si="11"/>
        <v/>
      </c>
      <c r="AY157" s="2" t="str">
        <f>IF($AV157="","",IF(AND($Z157=0,COUNTIF('AR SALES'!$L$2:$L$2501,$L157)=0),"YES",""))</f>
        <v/>
      </c>
      <c r="AZ157" s="2" t="str">
        <f>IF($AV157="","",IF(COUNTIF(LISTS!$C$2:$C$250,$AU157)=0,"NEW",""))</f>
        <v/>
      </c>
      <c r="BA157" s="2" t="str">
        <f>IF(""&amp;$F157&lt;&gt;"4","",IF($AY157="YES","",IF(ROUND(SUMIFS($AE$2:$AE$4001,$L$2:$L$4001,$L157,$F$2:$F$4001,"4")-SUMIFS('AR SALES'!$Y$2:$Y$2501,'AR SALES'!$L$2:$L$2501,$L157,'AR SALES'!$AD$2:$AD$2501,"OFF"),2)=0,"","STALE")))</f>
        <v/>
      </c>
      <c r="BB157" s="2" t="str">
        <f>IF(OR(""&amp;$F157="2",""&amp;$F157="4",""&amp;$F157="G",""&amp;$F157="H"),IF($AY157="YES","",IF($AB157&lt;&gt;0,"",IF(COUNTIFS('AR SALES'!$L$2:$L$2501,$L157,'AR SALES'!$AD$2:$AD$2501,IF(""&amp;$F157="4","OFF","ON"),'AR SALES'!$AF$2:$AF$2501,"Y")&gt;0,"","NO EXEMPTION"))),"")</f>
        <v/>
      </c>
    </row>
    <row r="158" spans="46:54" x14ac:dyDescent="0.25">
      <c r="AT158" s="2" t="str">
        <f>IF($L158="","",IFERROR(INDEX('AR SALES'!$H$2:$H$2501,MATCH(""&amp;$L158,'AR SALES'!$AE$2:$AE$2501,0)),""))</f>
        <v/>
      </c>
      <c r="AU158" s="2" t="str">
        <f t="shared" si="8"/>
        <v/>
      </c>
      <c r="AV158" s="2" t="str">
        <f t="shared" si="9"/>
        <v/>
      </c>
      <c r="AW158" s="2" t="str">
        <f t="shared" si="10"/>
        <v/>
      </c>
      <c r="AX158" s="2" t="str">
        <f t="shared" si="11"/>
        <v/>
      </c>
      <c r="AY158" s="2" t="str">
        <f>IF($AV158="","",IF(AND($Z158=0,COUNTIF('AR SALES'!$L$2:$L$2501,$L158)=0),"YES",""))</f>
        <v/>
      </c>
      <c r="AZ158" s="2" t="str">
        <f>IF($AV158="","",IF(COUNTIF(LISTS!$C$2:$C$250,$AU158)=0,"NEW",""))</f>
        <v/>
      </c>
      <c r="BA158" s="2" t="str">
        <f>IF(""&amp;$F158&lt;&gt;"4","",IF($AY158="YES","",IF(ROUND(SUMIFS($AE$2:$AE$4001,$L$2:$L$4001,$L158,$F$2:$F$4001,"4")-SUMIFS('AR SALES'!$Y$2:$Y$2501,'AR SALES'!$L$2:$L$2501,$L158,'AR SALES'!$AD$2:$AD$2501,"OFF"),2)=0,"","STALE")))</f>
        <v/>
      </c>
      <c r="BB158" s="2" t="str">
        <f>IF(OR(""&amp;$F158="2",""&amp;$F158="4",""&amp;$F158="G",""&amp;$F158="H"),IF($AY158="YES","",IF($AB158&lt;&gt;0,"",IF(COUNTIFS('AR SALES'!$L$2:$L$2501,$L158,'AR SALES'!$AD$2:$AD$2501,IF(""&amp;$F158="4","OFF","ON"),'AR SALES'!$AF$2:$AF$2501,"Y")&gt;0,"","NO EXEMPTION"))),"")</f>
        <v/>
      </c>
    </row>
    <row r="159" spans="46:54" x14ac:dyDescent="0.25">
      <c r="AT159" s="2" t="str">
        <f>IF($L159="","",IFERROR(INDEX('AR SALES'!$H$2:$H$2501,MATCH(""&amp;$L159,'AR SALES'!$AE$2:$AE$2501,0)),""))</f>
        <v/>
      </c>
      <c r="AU159" s="2" t="str">
        <f t="shared" si="8"/>
        <v/>
      </c>
      <c r="AV159" s="2" t="str">
        <f t="shared" si="9"/>
        <v/>
      </c>
      <c r="AW159" s="2" t="str">
        <f t="shared" si="10"/>
        <v/>
      </c>
      <c r="AX159" s="2" t="str">
        <f t="shared" si="11"/>
        <v/>
      </c>
      <c r="AY159" s="2" t="str">
        <f>IF($AV159="","",IF(AND($Z159=0,COUNTIF('AR SALES'!$L$2:$L$2501,$L159)=0),"YES",""))</f>
        <v/>
      </c>
      <c r="AZ159" s="2" t="str">
        <f>IF($AV159="","",IF(COUNTIF(LISTS!$C$2:$C$250,$AU159)=0,"NEW",""))</f>
        <v/>
      </c>
      <c r="BA159" s="2" t="str">
        <f>IF(""&amp;$F159&lt;&gt;"4","",IF($AY159="YES","",IF(ROUND(SUMIFS($AE$2:$AE$4001,$L$2:$L$4001,$L159,$F$2:$F$4001,"4")-SUMIFS('AR SALES'!$Y$2:$Y$2501,'AR SALES'!$L$2:$L$2501,$L159,'AR SALES'!$AD$2:$AD$2501,"OFF"),2)=0,"","STALE")))</f>
        <v/>
      </c>
      <c r="BB159" s="2" t="str">
        <f>IF(OR(""&amp;$F159="2",""&amp;$F159="4",""&amp;$F159="G",""&amp;$F159="H"),IF($AY159="YES","",IF($AB159&lt;&gt;0,"",IF(COUNTIFS('AR SALES'!$L$2:$L$2501,$L159,'AR SALES'!$AD$2:$AD$2501,IF(""&amp;$F159="4","OFF","ON"),'AR SALES'!$AF$2:$AF$2501,"Y")&gt;0,"","NO EXEMPTION"))),"")</f>
        <v/>
      </c>
    </row>
    <row r="160" spans="46:54" x14ac:dyDescent="0.25">
      <c r="AT160" s="2" t="str">
        <f>IF($L160="","",IFERROR(INDEX('AR SALES'!$H$2:$H$2501,MATCH(""&amp;$L160,'AR SALES'!$AE$2:$AE$2501,0)),""))</f>
        <v/>
      </c>
      <c r="AU160" s="2" t="str">
        <f t="shared" si="8"/>
        <v/>
      </c>
      <c r="AV160" s="2" t="str">
        <f t="shared" si="9"/>
        <v/>
      </c>
      <c r="AW160" s="2" t="str">
        <f t="shared" si="10"/>
        <v/>
      </c>
      <c r="AX160" s="2" t="str">
        <f t="shared" si="11"/>
        <v/>
      </c>
      <c r="AY160" s="2" t="str">
        <f>IF($AV160="","",IF(AND($Z160=0,COUNTIF('AR SALES'!$L$2:$L$2501,$L160)=0),"YES",""))</f>
        <v/>
      </c>
      <c r="AZ160" s="2" t="str">
        <f>IF($AV160="","",IF(COUNTIF(LISTS!$C$2:$C$250,$AU160)=0,"NEW",""))</f>
        <v/>
      </c>
      <c r="BA160" s="2" t="str">
        <f>IF(""&amp;$F160&lt;&gt;"4","",IF($AY160="YES","",IF(ROUND(SUMIFS($AE$2:$AE$4001,$L$2:$L$4001,$L160,$F$2:$F$4001,"4")-SUMIFS('AR SALES'!$Y$2:$Y$2501,'AR SALES'!$L$2:$L$2501,$L160,'AR SALES'!$AD$2:$AD$2501,"OFF"),2)=0,"","STALE")))</f>
        <v/>
      </c>
      <c r="BB160" s="2" t="str">
        <f>IF(OR(""&amp;$F160="2",""&amp;$F160="4",""&amp;$F160="G",""&amp;$F160="H"),IF($AY160="YES","",IF($AB160&lt;&gt;0,"",IF(COUNTIFS('AR SALES'!$L$2:$L$2501,$L160,'AR SALES'!$AD$2:$AD$2501,IF(""&amp;$F160="4","OFF","ON"),'AR SALES'!$AF$2:$AF$2501,"Y")&gt;0,"","NO EXEMPTION"))),"")</f>
        <v/>
      </c>
    </row>
    <row r="161" spans="46:54" x14ac:dyDescent="0.25">
      <c r="AT161" s="2" t="str">
        <f>IF($L161="","",IFERROR(INDEX('AR SALES'!$H$2:$H$2501,MATCH(""&amp;$L161,'AR SALES'!$AE$2:$AE$2501,0)),""))</f>
        <v/>
      </c>
      <c r="AU161" s="2" t="str">
        <f t="shared" si="8"/>
        <v/>
      </c>
      <c r="AV161" s="2" t="str">
        <f t="shared" si="9"/>
        <v/>
      </c>
      <c r="AW161" s="2" t="str">
        <f t="shared" si="10"/>
        <v/>
      </c>
      <c r="AX161" s="2" t="str">
        <f t="shared" si="11"/>
        <v/>
      </c>
      <c r="AY161" s="2" t="str">
        <f>IF($AV161="","",IF(AND($Z161=0,COUNTIF('AR SALES'!$L$2:$L$2501,$L161)=0),"YES",""))</f>
        <v/>
      </c>
      <c r="AZ161" s="2" t="str">
        <f>IF($AV161="","",IF(COUNTIF(LISTS!$C$2:$C$250,$AU161)=0,"NEW",""))</f>
        <v/>
      </c>
      <c r="BA161" s="2" t="str">
        <f>IF(""&amp;$F161&lt;&gt;"4","",IF($AY161="YES","",IF(ROUND(SUMIFS($AE$2:$AE$4001,$L$2:$L$4001,$L161,$F$2:$F$4001,"4")-SUMIFS('AR SALES'!$Y$2:$Y$2501,'AR SALES'!$L$2:$L$2501,$L161,'AR SALES'!$AD$2:$AD$2501,"OFF"),2)=0,"","STALE")))</f>
        <v/>
      </c>
      <c r="BB161" s="2" t="str">
        <f>IF(OR(""&amp;$F161="2",""&amp;$F161="4",""&amp;$F161="G",""&amp;$F161="H"),IF($AY161="YES","",IF($AB161&lt;&gt;0,"",IF(COUNTIFS('AR SALES'!$L$2:$L$2501,$L161,'AR SALES'!$AD$2:$AD$2501,IF(""&amp;$F161="4","OFF","ON"),'AR SALES'!$AF$2:$AF$2501,"Y")&gt;0,"","NO EXEMPTION"))),"")</f>
        <v/>
      </c>
    </row>
    <row r="162" spans="46:54" x14ac:dyDescent="0.25">
      <c r="AT162" s="2" t="str">
        <f>IF($L162="","",IFERROR(INDEX('AR SALES'!$H$2:$H$2501,MATCH(""&amp;$L162,'AR SALES'!$AE$2:$AE$2501,0)),""))</f>
        <v/>
      </c>
      <c r="AU162" s="2" t="str">
        <f t="shared" si="8"/>
        <v/>
      </c>
      <c r="AV162" s="2" t="str">
        <f t="shared" si="9"/>
        <v/>
      </c>
      <c r="AW162" s="2" t="str">
        <f t="shared" si="10"/>
        <v/>
      </c>
      <c r="AX162" s="2" t="str">
        <f t="shared" si="11"/>
        <v/>
      </c>
      <c r="AY162" s="2" t="str">
        <f>IF($AV162="","",IF(AND($Z162=0,COUNTIF('AR SALES'!$L$2:$L$2501,$L162)=0),"YES",""))</f>
        <v/>
      </c>
      <c r="AZ162" s="2" t="str">
        <f>IF($AV162="","",IF(COUNTIF(LISTS!$C$2:$C$250,$AU162)=0,"NEW",""))</f>
        <v/>
      </c>
      <c r="BA162" s="2" t="str">
        <f>IF(""&amp;$F162&lt;&gt;"4","",IF($AY162="YES","",IF(ROUND(SUMIFS($AE$2:$AE$4001,$L$2:$L$4001,$L162,$F$2:$F$4001,"4")-SUMIFS('AR SALES'!$Y$2:$Y$2501,'AR SALES'!$L$2:$L$2501,$L162,'AR SALES'!$AD$2:$AD$2501,"OFF"),2)=0,"","STALE")))</f>
        <v/>
      </c>
      <c r="BB162" s="2" t="str">
        <f>IF(OR(""&amp;$F162="2",""&amp;$F162="4",""&amp;$F162="G",""&amp;$F162="H"),IF($AY162="YES","",IF($AB162&lt;&gt;0,"",IF(COUNTIFS('AR SALES'!$L$2:$L$2501,$L162,'AR SALES'!$AD$2:$AD$2501,IF(""&amp;$F162="4","OFF","ON"),'AR SALES'!$AF$2:$AF$2501,"Y")&gt;0,"","NO EXEMPTION"))),"")</f>
        <v/>
      </c>
    </row>
    <row r="163" spans="46:54" x14ac:dyDescent="0.25">
      <c r="AT163" s="2" t="str">
        <f>IF($L163="","",IFERROR(INDEX('AR SALES'!$H$2:$H$2501,MATCH(""&amp;$L163,'AR SALES'!$AE$2:$AE$2501,0)),""))</f>
        <v/>
      </c>
      <c r="AU163" s="2" t="str">
        <f t="shared" si="8"/>
        <v/>
      </c>
      <c r="AV163" s="2" t="str">
        <f t="shared" si="9"/>
        <v/>
      </c>
      <c r="AW163" s="2" t="str">
        <f t="shared" si="10"/>
        <v/>
      </c>
      <c r="AX163" s="2" t="str">
        <f t="shared" si="11"/>
        <v/>
      </c>
      <c r="AY163" s="2" t="str">
        <f>IF($AV163="","",IF(AND($Z163=0,COUNTIF('AR SALES'!$L$2:$L$2501,$L163)=0),"YES",""))</f>
        <v/>
      </c>
      <c r="AZ163" s="2" t="str">
        <f>IF($AV163="","",IF(COUNTIF(LISTS!$C$2:$C$250,$AU163)=0,"NEW",""))</f>
        <v/>
      </c>
      <c r="BA163" s="2" t="str">
        <f>IF(""&amp;$F163&lt;&gt;"4","",IF($AY163="YES","",IF(ROUND(SUMIFS($AE$2:$AE$4001,$L$2:$L$4001,$L163,$F$2:$F$4001,"4")-SUMIFS('AR SALES'!$Y$2:$Y$2501,'AR SALES'!$L$2:$L$2501,$L163,'AR SALES'!$AD$2:$AD$2501,"OFF"),2)=0,"","STALE")))</f>
        <v/>
      </c>
      <c r="BB163" s="2" t="str">
        <f>IF(OR(""&amp;$F163="2",""&amp;$F163="4",""&amp;$F163="G",""&amp;$F163="H"),IF($AY163="YES","",IF($AB163&lt;&gt;0,"",IF(COUNTIFS('AR SALES'!$L$2:$L$2501,$L163,'AR SALES'!$AD$2:$AD$2501,IF(""&amp;$F163="4","OFF","ON"),'AR SALES'!$AF$2:$AF$2501,"Y")&gt;0,"","NO EXEMPTION"))),"")</f>
        <v/>
      </c>
    </row>
    <row r="164" spans="46:54" x14ac:dyDescent="0.25">
      <c r="AT164" s="2" t="str">
        <f>IF($L164="","",IFERROR(INDEX('AR SALES'!$H$2:$H$2501,MATCH(""&amp;$L164,'AR SALES'!$AE$2:$AE$2501,0)),""))</f>
        <v/>
      </c>
      <c r="AU164" s="2" t="str">
        <f t="shared" si="8"/>
        <v/>
      </c>
      <c r="AV164" s="2" t="str">
        <f t="shared" si="9"/>
        <v/>
      </c>
      <c r="AW164" s="2" t="str">
        <f t="shared" si="10"/>
        <v/>
      </c>
      <c r="AX164" s="2" t="str">
        <f t="shared" si="11"/>
        <v/>
      </c>
      <c r="AY164" s="2" t="str">
        <f>IF($AV164="","",IF(AND($Z164=0,COUNTIF('AR SALES'!$L$2:$L$2501,$L164)=0),"YES",""))</f>
        <v/>
      </c>
      <c r="AZ164" s="2" t="str">
        <f>IF($AV164="","",IF(COUNTIF(LISTS!$C$2:$C$250,$AU164)=0,"NEW",""))</f>
        <v/>
      </c>
      <c r="BA164" s="2" t="str">
        <f>IF(""&amp;$F164&lt;&gt;"4","",IF($AY164="YES","",IF(ROUND(SUMIFS($AE$2:$AE$4001,$L$2:$L$4001,$L164,$F$2:$F$4001,"4")-SUMIFS('AR SALES'!$Y$2:$Y$2501,'AR SALES'!$L$2:$L$2501,$L164,'AR SALES'!$AD$2:$AD$2501,"OFF"),2)=0,"","STALE")))</f>
        <v/>
      </c>
      <c r="BB164" s="2" t="str">
        <f>IF(OR(""&amp;$F164="2",""&amp;$F164="4",""&amp;$F164="G",""&amp;$F164="H"),IF($AY164="YES","",IF($AB164&lt;&gt;0,"",IF(COUNTIFS('AR SALES'!$L$2:$L$2501,$L164,'AR SALES'!$AD$2:$AD$2501,IF(""&amp;$F164="4","OFF","ON"),'AR SALES'!$AF$2:$AF$2501,"Y")&gt;0,"","NO EXEMPTION"))),"")</f>
        <v/>
      </c>
    </row>
    <row r="165" spans="46:54" x14ac:dyDescent="0.25">
      <c r="AT165" s="2" t="str">
        <f>IF($L165="","",IFERROR(INDEX('AR SALES'!$H$2:$H$2501,MATCH(""&amp;$L165,'AR SALES'!$AE$2:$AE$2501,0)),""))</f>
        <v/>
      </c>
      <c r="AU165" s="2" t="str">
        <f t="shared" si="8"/>
        <v/>
      </c>
      <c r="AV165" s="2" t="str">
        <f t="shared" si="9"/>
        <v/>
      </c>
      <c r="AW165" s="2" t="str">
        <f t="shared" si="10"/>
        <v/>
      </c>
      <c r="AX165" s="2" t="str">
        <f t="shared" si="11"/>
        <v/>
      </c>
      <c r="AY165" s="2" t="str">
        <f>IF($AV165="","",IF(AND($Z165=0,COUNTIF('AR SALES'!$L$2:$L$2501,$L165)=0),"YES",""))</f>
        <v/>
      </c>
      <c r="AZ165" s="2" t="str">
        <f>IF($AV165="","",IF(COUNTIF(LISTS!$C$2:$C$250,$AU165)=0,"NEW",""))</f>
        <v/>
      </c>
      <c r="BA165" s="2" t="str">
        <f>IF(""&amp;$F165&lt;&gt;"4","",IF($AY165="YES","",IF(ROUND(SUMIFS($AE$2:$AE$4001,$L$2:$L$4001,$L165,$F$2:$F$4001,"4")-SUMIFS('AR SALES'!$Y$2:$Y$2501,'AR SALES'!$L$2:$L$2501,$L165,'AR SALES'!$AD$2:$AD$2501,"OFF"),2)=0,"","STALE")))</f>
        <v/>
      </c>
      <c r="BB165" s="2" t="str">
        <f>IF(OR(""&amp;$F165="2",""&amp;$F165="4",""&amp;$F165="G",""&amp;$F165="H"),IF($AY165="YES","",IF($AB165&lt;&gt;0,"",IF(COUNTIFS('AR SALES'!$L$2:$L$2501,$L165,'AR SALES'!$AD$2:$AD$2501,IF(""&amp;$F165="4","OFF","ON"),'AR SALES'!$AF$2:$AF$2501,"Y")&gt;0,"","NO EXEMPTION"))),"")</f>
        <v/>
      </c>
    </row>
    <row r="166" spans="46:54" x14ac:dyDescent="0.25">
      <c r="AT166" s="2" t="str">
        <f>IF($L166="","",IFERROR(INDEX('AR SALES'!$H$2:$H$2501,MATCH(""&amp;$L166,'AR SALES'!$AE$2:$AE$2501,0)),""))</f>
        <v/>
      </c>
      <c r="AU166" s="2" t="str">
        <f t="shared" si="8"/>
        <v/>
      </c>
      <c r="AV166" s="2" t="str">
        <f t="shared" si="9"/>
        <v/>
      </c>
      <c r="AW166" s="2" t="str">
        <f t="shared" si="10"/>
        <v/>
      </c>
      <c r="AX166" s="2" t="str">
        <f t="shared" si="11"/>
        <v/>
      </c>
      <c r="AY166" s="2" t="str">
        <f>IF($AV166="","",IF(AND($Z166=0,COUNTIF('AR SALES'!$L$2:$L$2501,$L166)=0),"YES",""))</f>
        <v/>
      </c>
      <c r="AZ166" s="2" t="str">
        <f>IF($AV166="","",IF(COUNTIF(LISTS!$C$2:$C$250,$AU166)=0,"NEW",""))</f>
        <v/>
      </c>
      <c r="BA166" s="2" t="str">
        <f>IF(""&amp;$F166&lt;&gt;"4","",IF($AY166="YES","",IF(ROUND(SUMIFS($AE$2:$AE$4001,$L$2:$L$4001,$L166,$F$2:$F$4001,"4")-SUMIFS('AR SALES'!$Y$2:$Y$2501,'AR SALES'!$L$2:$L$2501,$L166,'AR SALES'!$AD$2:$AD$2501,"OFF"),2)=0,"","STALE")))</f>
        <v/>
      </c>
      <c r="BB166" s="2" t="str">
        <f>IF(OR(""&amp;$F166="2",""&amp;$F166="4",""&amp;$F166="G",""&amp;$F166="H"),IF($AY166="YES","",IF($AB166&lt;&gt;0,"",IF(COUNTIFS('AR SALES'!$L$2:$L$2501,$L166,'AR SALES'!$AD$2:$AD$2501,IF(""&amp;$F166="4","OFF","ON"),'AR SALES'!$AF$2:$AF$2501,"Y")&gt;0,"","NO EXEMPTION"))),"")</f>
        <v/>
      </c>
    </row>
    <row r="167" spans="46:54" x14ac:dyDescent="0.25">
      <c r="AT167" s="2" t="str">
        <f>IF($L167="","",IFERROR(INDEX('AR SALES'!$H$2:$H$2501,MATCH(""&amp;$L167,'AR SALES'!$AE$2:$AE$2501,0)),""))</f>
        <v/>
      </c>
      <c r="AU167" s="2" t="str">
        <f t="shared" si="8"/>
        <v/>
      </c>
      <c r="AV167" s="2" t="str">
        <f t="shared" si="9"/>
        <v/>
      </c>
      <c r="AW167" s="2" t="str">
        <f t="shared" si="10"/>
        <v/>
      </c>
      <c r="AX167" s="2" t="str">
        <f t="shared" si="11"/>
        <v/>
      </c>
      <c r="AY167" s="2" t="str">
        <f>IF($AV167="","",IF(AND($Z167=0,COUNTIF('AR SALES'!$L$2:$L$2501,$L167)=0),"YES",""))</f>
        <v/>
      </c>
      <c r="AZ167" s="2" t="str">
        <f>IF($AV167="","",IF(COUNTIF(LISTS!$C$2:$C$250,$AU167)=0,"NEW",""))</f>
        <v/>
      </c>
      <c r="BA167" s="2" t="str">
        <f>IF(""&amp;$F167&lt;&gt;"4","",IF($AY167="YES","",IF(ROUND(SUMIFS($AE$2:$AE$4001,$L$2:$L$4001,$L167,$F$2:$F$4001,"4")-SUMIFS('AR SALES'!$Y$2:$Y$2501,'AR SALES'!$L$2:$L$2501,$L167,'AR SALES'!$AD$2:$AD$2501,"OFF"),2)=0,"","STALE")))</f>
        <v/>
      </c>
      <c r="BB167" s="2" t="str">
        <f>IF(OR(""&amp;$F167="2",""&amp;$F167="4",""&amp;$F167="G",""&amp;$F167="H"),IF($AY167="YES","",IF($AB167&lt;&gt;0,"",IF(COUNTIFS('AR SALES'!$L$2:$L$2501,$L167,'AR SALES'!$AD$2:$AD$2501,IF(""&amp;$F167="4","OFF","ON"),'AR SALES'!$AF$2:$AF$2501,"Y")&gt;0,"","NO EXEMPTION"))),"")</f>
        <v/>
      </c>
    </row>
    <row r="168" spans="46:54" x14ac:dyDescent="0.25">
      <c r="AT168" s="2" t="str">
        <f>IF($L168="","",IFERROR(INDEX('AR SALES'!$H$2:$H$2501,MATCH(""&amp;$L168,'AR SALES'!$AE$2:$AE$2501,0)),""))</f>
        <v/>
      </c>
      <c r="AU168" s="2" t="str">
        <f t="shared" si="8"/>
        <v/>
      </c>
      <c r="AV168" s="2" t="str">
        <f t="shared" si="9"/>
        <v/>
      </c>
      <c r="AW168" s="2" t="str">
        <f t="shared" si="10"/>
        <v/>
      </c>
      <c r="AX168" s="2" t="str">
        <f t="shared" si="11"/>
        <v/>
      </c>
      <c r="AY168" s="2" t="str">
        <f>IF($AV168="","",IF(AND($Z168=0,COUNTIF('AR SALES'!$L$2:$L$2501,$L168)=0),"YES",""))</f>
        <v/>
      </c>
      <c r="AZ168" s="2" t="str">
        <f>IF($AV168="","",IF(COUNTIF(LISTS!$C$2:$C$250,$AU168)=0,"NEW",""))</f>
        <v/>
      </c>
      <c r="BA168" s="2" t="str">
        <f>IF(""&amp;$F168&lt;&gt;"4","",IF($AY168="YES","",IF(ROUND(SUMIFS($AE$2:$AE$4001,$L$2:$L$4001,$L168,$F$2:$F$4001,"4")-SUMIFS('AR SALES'!$Y$2:$Y$2501,'AR SALES'!$L$2:$L$2501,$L168,'AR SALES'!$AD$2:$AD$2501,"OFF"),2)=0,"","STALE")))</f>
        <v/>
      </c>
      <c r="BB168" s="2" t="str">
        <f>IF(OR(""&amp;$F168="2",""&amp;$F168="4",""&amp;$F168="G",""&amp;$F168="H"),IF($AY168="YES","",IF($AB168&lt;&gt;0,"",IF(COUNTIFS('AR SALES'!$L$2:$L$2501,$L168,'AR SALES'!$AD$2:$AD$2501,IF(""&amp;$F168="4","OFF","ON"),'AR SALES'!$AF$2:$AF$2501,"Y")&gt;0,"","NO EXEMPTION"))),"")</f>
        <v/>
      </c>
    </row>
    <row r="169" spans="46:54" x14ac:dyDescent="0.25">
      <c r="AT169" s="2" t="str">
        <f>IF($L169="","",IFERROR(INDEX('AR SALES'!$H$2:$H$2501,MATCH(""&amp;$L169,'AR SALES'!$AE$2:$AE$2501,0)),""))</f>
        <v/>
      </c>
      <c r="AU169" s="2" t="str">
        <f t="shared" si="8"/>
        <v/>
      </c>
      <c r="AV169" s="2" t="str">
        <f t="shared" si="9"/>
        <v/>
      </c>
      <c r="AW169" s="2" t="str">
        <f t="shared" si="10"/>
        <v/>
      </c>
      <c r="AX169" s="2" t="str">
        <f t="shared" si="11"/>
        <v/>
      </c>
      <c r="AY169" s="2" t="str">
        <f>IF($AV169="","",IF(AND($Z169=0,COUNTIF('AR SALES'!$L$2:$L$2501,$L169)=0),"YES",""))</f>
        <v/>
      </c>
      <c r="AZ169" s="2" t="str">
        <f>IF($AV169="","",IF(COUNTIF(LISTS!$C$2:$C$250,$AU169)=0,"NEW",""))</f>
        <v/>
      </c>
      <c r="BA169" s="2" t="str">
        <f>IF(""&amp;$F169&lt;&gt;"4","",IF($AY169="YES","",IF(ROUND(SUMIFS($AE$2:$AE$4001,$L$2:$L$4001,$L169,$F$2:$F$4001,"4")-SUMIFS('AR SALES'!$Y$2:$Y$2501,'AR SALES'!$L$2:$L$2501,$L169,'AR SALES'!$AD$2:$AD$2501,"OFF"),2)=0,"","STALE")))</f>
        <v/>
      </c>
      <c r="BB169" s="2" t="str">
        <f>IF(OR(""&amp;$F169="2",""&amp;$F169="4",""&amp;$F169="G",""&amp;$F169="H"),IF($AY169="YES","",IF($AB169&lt;&gt;0,"",IF(COUNTIFS('AR SALES'!$L$2:$L$2501,$L169,'AR SALES'!$AD$2:$AD$2501,IF(""&amp;$F169="4","OFF","ON"),'AR SALES'!$AF$2:$AF$2501,"Y")&gt;0,"","NO EXEMPTION"))),"")</f>
        <v/>
      </c>
    </row>
    <row r="170" spans="46:54" x14ac:dyDescent="0.25">
      <c r="AT170" s="2" t="str">
        <f>IF($L170="","",IFERROR(INDEX('AR SALES'!$H$2:$H$2501,MATCH(""&amp;$L170,'AR SALES'!$AE$2:$AE$2501,0)),""))</f>
        <v/>
      </c>
      <c r="AU170" s="2" t="str">
        <f t="shared" si="8"/>
        <v/>
      </c>
      <c r="AV170" s="2" t="str">
        <f t="shared" si="9"/>
        <v/>
      </c>
      <c r="AW170" s="2" t="str">
        <f t="shared" si="10"/>
        <v/>
      </c>
      <c r="AX170" s="2" t="str">
        <f t="shared" si="11"/>
        <v/>
      </c>
      <c r="AY170" s="2" t="str">
        <f>IF($AV170="","",IF(AND($Z170=0,COUNTIF('AR SALES'!$L$2:$L$2501,$L170)=0),"YES",""))</f>
        <v/>
      </c>
      <c r="AZ170" s="2" t="str">
        <f>IF($AV170="","",IF(COUNTIF(LISTS!$C$2:$C$250,$AU170)=0,"NEW",""))</f>
        <v/>
      </c>
      <c r="BA170" s="2" t="str">
        <f>IF(""&amp;$F170&lt;&gt;"4","",IF($AY170="YES","",IF(ROUND(SUMIFS($AE$2:$AE$4001,$L$2:$L$4001,$L170,$F$2:$F$4001,"4")-SUMIFS('AR SALES'!$Y$2:$Y$2501,'AR SALES'!$L$2:$L$2501,$L170,'AR SALES'!$AD$2:$AD$2501,"OFF"),2)=0,"","STALE")))</f>
        <v/>
      </c>
      <c r="BB170" s="2" t="str">
        <f>IF(OR(""&amp;$F170="2",""&amp;$F170="4",""&amp;$F170="G",""&amp;$F170="H"),IF($AY170="YES","",IF($AB170&lt;&gt;0,"",IF(COUNTIFS('AR SALES'!$L$2:$L$2501,$L170,'AR SALES'!$AD$2:$AD$2501,IF(""&amp;$F170="4","OFF","ON"),'AR SALES'!$AF$2:$AF$2501,"Y")&gt;0,"","NO EXEMPTION"))),"")</f>
        <v/>
      </c>
    </row>
    <row r="171" spans="46:54" x14ac:dyDescent="0.25">
      <c r="AT171" s="2" t="str">
        <f>IF($L171="","",IFERROR(INDEX('AR SALES'!$H$2:$H$2501,MATCH(""&amp;$L171,'AR SALES'!$AE$2:$AE$2501,0)),""))</f>
        <v/>
      </c>
      <c r="AU171" s="2" t="str">
        <f t="shared" si="8"/>
        <v/>
      </c>
      <c r="AV171" s="2" t="str">
        <f t="shared" si="9"/>
        <v/>
      </c>
      <c r="AW171" s="2" t="str">
        <f t="shared" si="10"/>
        <v/>
      </c>
      <c r="AX171" s="2" t="str">
        <f t="shared" si="11"/>
        <v/>
      </c>
      <c r="AY171" s="2" t="str">
        <f>IF($AV171="","",IF(AND($Z171=0,COUNTIF('AR SALES'!$L$2:$L$2501,$L171)=0),"YES",""))</f>
        <v/>
      </c>
      <c r="AZ171" s="2" t="str">
        <f>IF($AV171="","",IF(COUNTIF(LISTS!$C$2:$C$250,$AU171)=0,"NEW",""))</f>
        <v/>
      </c>
      <c r="BA171" s="2" t="str">
        <f>IF(""&amp;$F171&lt;&gt;"4","",IF($AY171="YES","",IF(ROUND(SUMIFS($AE$2:$AE$4001,$L$2:$L$4001,$L171,$F$2:$F$4001,"4")-SUMIFS('AR SALES'!$Y$2:$Y$2501,'AR SALES'!$L$2:$L$2501,$L171,'AR SALES'!$AD$2:$AD$2501,"OFF"),2)=0,"","STALE")))</f>
        <v/>
      </c>
      <c r="BB171" s="2" t="str">
        <f>IF(OR(""&amp;$F171="2",""&amp;$F171="4",""&amp;$F171="G",""&amp;$F171="H"),IF($AY171="YES","",IF($AB171&lt;&gt;0,"",IF(COUNTIFS('AR SALES'!$L$2:$L$2501,$L171,'AR SALES'!$AD$2:$AD$2501,IF(""&amp;$F171="4","OFF","ON"),'AR SALES'!$AF$2:$AF$2501,"Y")&gt;0,"","NO EXEMPTION"))),"")</f>
        <v/>
      </c>
    </row>
    <row r="172" spans="46:54" x14ac:dyDescent="0.25">
      <c r="AT172" s="2" t="str">
        <f>IF($L172="","",IFERROR(INDEX('AR SALES'!$H$2:$H$2501,MATCH(""&amp;$L172,'AR SALES'!$AE$2:$AE$2501,0)),""))</f>
        <v/>
      </c>
      <c r="AU172" s="2" t="str">
        <f t="shared" si="8"/>
        <v/>
      </c>
      <c r="AV172" s="2" t="str">
        <f t="shared" si="9"/>
        <v/>
      </c>
      <c r="AW172" s="2" t="str">
        <f t="shared" si="10"/>
        <v/>
      </c>
      <c r="AX172" s="2" t="str">
        <f t="shared" si="11"/>
        <v/>
      </c>
      <c r="AY172" s="2" t="str">
        <f>IF($AV172="","",IF(AND($Z172=0,COUNTIF('AR SALES'!$L$2:$L$2501,$L172)=0),"YES",""))</f>
        <v/>
      </c>
      <c r="AZ172" s="2" t="str">
        <f>IF($AV172="","",IF(COUNTIF(LISTS!$C$2:$C$250,$AU172)=0,"NEW",""))</f>
        <v/>
      </c>
      <c r="BA172" s="2" t="str">
        <f>IF(""&amp;$F172&lt;&gt;"4","",IF($AY172="YES","",IF(ROUND(SUMIFS($AE$2:$AE$4001,$L$2:$L$4001,$L172,$F$2:$F$4001,"4")-SUMIFS('AR SALES'!$Y$2:$Y$2501,'AR SALES'!$L$2:$L$2501,$L172,'AR SALES'!$AD$2:$AD$2501,"OFF"),2)=0,"","STALE")))</f>
        <v/>
      </c>
      <c r="BB172" s="2" t="str">
        <f>IF(OR(""&amp;$F172="2",""&amp;$F172="4",""&amp;$F172="G",""&amp;$F172="H"),IF($AY172="YES","",IF($AB172&lt;&gt;0,"",IF(COUNTIFS('AR SALES'!$L$2:$L$2501,$L172,'AR SALES'!$AD$2:$AD$2501,IF(""&amp;$F172="4","OFF","ON"),'AR SALES'!$AF$2:$AF$2501,"Y")&gt;0,"","NO EXEMPTION"))),"")</f>
        <v/>
      </c>
    </row>
    <row r="173" spans="46:54" x14ac:dyDescent="0.25">
      <c r="AT173" s="2" t="str">
        <f>IF($L173="","",IFERROR(INDEX('AR SALES'!$H$2:$H$2501,MATCH(""&amp;$L173,'AR SALES'!$AE$2:$AE$2501,0)),""))</f>
        <v/>
      </c>
      <c r="AU173" s="2" t="str">
        <f t="shared" si="8"/>
        <v/>
      </c>
      <c r="AV173" s="2" t="str">
        <f t="shared" si="9"/>
        <v/>
      </c>
      <c r="AW173" s="2" t="str">
        <f t="shared" si="10"/>
        <v/>
      </c>
      <c r="AX173" s="2" t="str">
        <f t="shared" si="11"/>
        <v/>
      </c>
      <c r="AY173" s="2" t="str">
        <f>IF($AV173="","",IF(AND($Z173=0,COUNTIF('AR SALES'!$L$2:$L$2501,$L173)=0),"YES",""))</f>
        <v/>
      </c>
      <c r="AZ173" s="2" t="str">
        <f>IF($AV173="","",IF(COUNTIF(LISTS!$C$2:$C$250,$AU173)=0,"NEW",""))</f>
        <v/>
      </c>
      <c r="BA173" s="2" t="str">
        <f>IF(""&amp;$F173&lt;&gt;"4","",IF($AY173="YES","",IF(ROUND(SUMIFS($AE$2:$AE$4001,$L$2:$L$4001,$L173,$F$2:$F$4001,"4")-SUMIFS('AR SALES'!$Y$2:$Y$2501,'AR SALES'!$L$2:$L$2501,$L173,'AR SALES'!$AD$2:$AD$2501,"OFF"),2)=0,"","STALE")))</f>
        <v/>
      </c>
      <c r="BB173" s="2" t="str">
        <f>IF(OR(""&amp;$F173="2",""&amp;$F173="4",""&amp;$F173="G",""&amp;$F173="H"),IF($AY173="YES","",IF($AB173&lt;&gt;0,"",IF(COUNTIFS('AR SALES'!$L$2:$L$2501,$L173,'AR SALES'!$AD$2:$AD$2501,IF(""&amp;$F173="4","OFF","ON"),'AR SALES'!$AF$2:$AF$2501,"Y")&gt;0,"","NO EXEMPTION"))),"")</f>
        <v/>
      </c>
    </row>
    <row r="174" spans="46:54" x14ac:dyDescent="0.25">
      <c r="AT174" s="2" t="str">
        <f>IF($L174="","",IFERROR(INDEX('AR SALES'!$H$2:$H$2501,MATCH(""&amp;$L174,'AR SALES'!$AE$2:$AE$2501,0)),""))</f>
        <v/>
      </c>
      <c r="AU174" s="2" t="str">
        <f t="shared" si="8"/>
        <v/>
      </c>
      <c r="AV174" s="2" t="str">
        <f t="shared" si="9"/>
        <v/>
      </c>
      <c r="AW174" s="2" t="str">
        <f t="shared" si="10"/>
        <v/>
      </c>
      <c r="AX174" s="2" t="str">
        <f t="shared" si="11"/>
        <v/>
      </c>
      <c r="AY174" s="2" t="str">
        <f>IF($AV174="","",IF(AND($Z174=0,COUNTIF('AR SALES'!$L$2:$L$2501,$L174)=0),"YES",""))</f>
        <v/>
      </c>
      <c r="AZ174" s="2" t="str">
        <f>IF($AV174="","",IF(COUNTIF(LISTS!$C$2:$C$250,$AU174)=0,"NEW",""))</f>
        <v/>
      </c>
      <c r="BA174" s="2" t="str">
        <f>IF(""&amp;$F174&lt;&gt;"4","",IF($AY174="YES","",IF(ROUND(SUMIFS($AE$2:$AE$4001,$L$2:$L$4001,$L174,$F$2:$F$4001,"4")-SUMIFS('AR SALES'!$Y$2:$Y$2501,'AR SALES'!$L$2:$L$2501,$L174,'AR SALES'!$AD$2:$AD$2501,"OFF"),2)=0,"","STALE")))</f>
        <v/>
      </c>
      <c r="BB174" s="2" t="str">
        <f>IF(OR(""&amp;$F174="2",""&amp;$F174="4",""&amp;$F174="G",""&amp;$F174="H"),IF($AY174="YES","",IF($AB174&lt;&gt;0,"",IF(COUNTIFS('AR SALES'!$L$2:$L$2501,$L174,'AR SALES'!$AD$2:$AD$2501,IF(""&amp;$F174="4","OFF","ON"),'AR SALES'!$AF$2:$AF$2501,"Y")&gt;0,"","NO EXEMPTION"))),"")</f>
        <v/>
      </c>
    </row>
    <row r="175" spans="46:54" x14ac:dyDescent="0.25">
      <c r="AT175" s="2" t="str">
        <f>IF($L175="","",IFERROR(INDEX('AR SALES'!$H$2:$H$2501,MATCH(""&amp;$L175,'AR SALES'!$AE$2:$AE$2501,0)),""))</f>
        <v/>
      </c>
      <c r="AU175" s="2" t="str">
        <f t="shared" si="8"/>
        <v/>
      </c>
      <c r="AV175" s="2" t="str">
        <f t="shared" si="9"/>
        <v/>
      </c>
      <c r="AW175" s="2" t="str">
        <f t="shared" si="10"/>
        <v/>
      </c>
      <c r="AX175" s="2" t="str">
        <f t="shared" si="11"/>
        <v/>
      </c>
      <c r="AY175" s="2" t="str">
        <f>IF($AV175="","",IF(AND($Z175=0,COUNTIF('AR SALES'!$L$2:$L$2501,$L175)=0),"YES",""))</f>
        <v/>
      </c>
      <c r="AZ175" s="2" t="str">
        <f>IF($AV175="","",IF(COUNTIF(LISTS!$C$2:$C$250,$AU175)=0,"NEW",""))</f>
        <v/>
      </c>
      <c r="BA175" s="2" t="str">
        <f>IF(""&amp;$F175&lt;&gt;"4","",IF($AY175="YES","",IF(ROUND(SUMIFS($AE$2:$AE$4001,$L$2:$L$4001,$L175,$F$2:$F$4001,"4")-SUMIFS('AR SALES'!$Y$2:$Y$2501,'AR SALES'!$L$2:$L$2501,$L175,'AR SALES'!$AD$2:$AD$2501,"OFF"),2)=0,"","STALE")))</f>
        <v/>
      </c>
      <c r="BB175" s="2" t="str">
        <f>IF(OR(""&amp;$F175="2",""&amp;$F175="4",""&amp;$F175="G",""&amp;$F175="H"),IF($AY175="YES","",IF($AB175&lt;&gt;0,"",IF(COUNTIFS('AR SALES'!$L$2:$L$2501,$L175,'AR SALES'!$AD$2:$AD$2501,IF(""&amp;$F175="4","OFF","ON"),'AR SALES'!$AF$2:$AF$2501,"Y")&gt;0,"","NO EXEMPTION"))),"")</f>
        <v/>
      </c>
    </row>
    <row r="176" spans="46:54" x14ac:dyDescent="0.25">
      <c r="AT176" s="2" t="str">
        <f>IF($L176="","",IFERROR(INDEX('AR SALES'!$H$2:$H$2501,MATCH(""&amp;$L176,'AR SALES'!$AE$2:$AE$2501,0)),""))</f>
        <v/>
      </c>
      <c r="AU176" s="2" t="str">
        <f t="shared" si="8"/>
        <v/>
      </c>
      <c r="AV176" s="2" t="str">
        <f t="shared" si="9"/>
        <v/>
      </c>
      <c r="AW176" s="2" t="str">
        <f t="shared" si="10"/>
        <v/>
      </c>
      <c r="AX176" s="2" t="str">
        <f t="shared" si="11"/>
        <v/>
      </c>
      <c r="AY176" s="2" t="str">
        <f>IF($AV176="","",IF(AND($Z176=0,COUNTIF('AR SALES'!$L$2:$L$2501,$L176)=0),"YES",""))</f>
        <v/>
      </c>
      <c r="AZ176" s="2" t="str">
        <f>IF($AV176="","",IF(COUNTIF(LISTS!$C$2:$C$250,$AU176)=0,"NEW",""))</f>
        <v/>
      </c>
      <c r="BA176" s="2" t="str">
        <f>IF(""&amp;$F176&lt;&gt;"4","",IF($AY176="YES","",IF(ROUND(SUMIFS($AE$2:$AE$4001,$L$2:$L$4001,$L176,$F$2:$F$4001,"4")-SUMIFS('AR SALES'!$Y$2:$Y$2501,'AR SALES'!$L$2:$L$2501,$L176,'AR SALES'!$AD$2:$AD$2501,"OFF"),2)=0,"","STALE")))</f>
        <v/>
      </c>
      <c r="BB176" s="2" t="str">
        <f>IF(OR(""&amp;$F176="2",""&amp;$F176="4",""&amp;$F176="G",""&amp;$F176="H"),IF($AY176="YES","",IF($AB176&lt;&gt;0,"",IF(COUNTIFS('AR SALES'!$L$2:$L$2501,$L176,'AR SALES'!$AD$2:$AD$2501,IF(""&amp;$F176="4","OFF","ON"),'AR SALES'!$AF$2:$AF$2501,"Y")&gt;0,"","NO EXEMPTION"))),"")</f>
        <v/>
      </c>
    </row>
    <row r="177" spans="46:54" x14ac:dyDescent="0.25">
      <c r="AT177" s="2" t="str">
        <f>IF($L177="","",IFERROR(INDEX('AR SALES'!$H$2:$H$2501,MATCH(""&amp;$L177,'AR SALES'!$AE$2:$AE$2501,0)),""))</f>
        <v/>
      </c>
      <c r="AU177" s="2" t="str">
        <f t="shared" si="8"/>
        <v/>
      </c>
      <c r="AV177" s="2" t="str">
        <f t="shared" si="9"/>
        <v/>
      </c>
      <c r="AW177" s="2" t="str">
        <f t="shared" si="10"/>
        <v/>
      </c>
      <c r="AX177" s="2" t="str">
        <f t="shared" si="11"/>
        <v/>
      </c>
      <c r="AY177" s="2" t="str">
        <f>IF($AV177="","",IF(AND($Z177=0,COUNTIF('AR SALES'!$L$2:$L$2501,$L177)=0),"YES",""))</f>
        <v/>
      </c>
      <c r="AZ177" s="2" t="str">
        <f>IF($AV177="","",IF(COUNTIF(LISTS!$C$2:$C$250,$AU177)=0,"NEW",""))</f>
        <v/>
      </c>
      <c r="BA177" s="2" t="str">
        <f>IF(""&amp;$F177&lt;&gt;"4","",IF($AY177="YES","",IF(ROUND(SUMIFS($AE$2:$AE$4001,$L$2:$L$4001,$L177,$F$2:$F$4001,"4")-SUMIFS('AR SALES'!$Y$2:$Y$2501,'AR SALES'!$L$2:$L$2501,$L177,'AR SALES'!$AD$2:$AD$2501,"OFF"),2)=0,"","STALE")))</f>
        <v/>
      </c>
      <c r="BB177" s="2" t="str">
        <f>IF(OR(""&amp;$F177="2",""&amp;$F177="4",""&amp;$F177="G",""&amp;$F177="H"),IF($AY177="YES","",IF($AB177&lt;&gt;0,"",IF(COUNTIFS('AR SALES'!$L$2:$L$2501,$L177,'AR SALES'!$AD$2:$AD$2501,IF(""&amp;$F177="4","OFF","ON"),'AR SALES'!$AF$2:$AF$2501,"Y")&gt;0,"","NO EXEMPTION"))),"")</f>
        <v/>
      </c>
    </row>
    <row r="178" spans="46:54" x14ac:dyDescent="0.25">
      <c r="AT178" s="2" t="str">
        <f>IF($L178="","",IFERROR(INDEX('AR SALES'!$H$2:$H$2501,MATCH(""&amp;$L178,'AR SALES'!$AE$2:$AE$2501,0)),""))</f>
        <v/>
      </c>
      <c r="AU178" s="2" t="str">
        <f t="shared" si="8"/>
        <v/>
      </c>
      <c r="AV178" s="2" t="str">
        <f t="shared" si="9"/>
        <v/>
      </c>
      <c r="AW178" s="2" t="str">
        <f t="shared" si="10"/>
        <v/>
      </c>
      <c r="AX178" s="2" t="str">
        <f t="shared" si="11"/>
        <v/>
      </c>
      <c r="AY178" s="2" t="str">
        <f>IF($AV178="","",IF(AND($Z178=0,COUNTIF('AR SALES'!$L$2:$L$2501,$L178)=0),"YES",""))</f>
        <v/>
      </c>
      <c r="AZ178" s="2" t="str">
        <f>IF($AV178="","",IF(COUNTIF(LISTS!$C$2:$C$250,$AU178)=0,"NEW",""))</f>
        <v/>
      </c>
      <c r="BA178" s="2" t="str">
        <f>IF(""&amp;$F178&lt;&gt;"4","",IF($AY178="YES","",IF(ROUND(SUMIFS($AE$2:$AE$4001,$L$2:$L$4001,$L178,$F$2:$F$4001,"4")-SUMIFS('AR SALES'!$Y$2:$Y$2501,'AR SALES'!$L$2:$L$2501,$L178,'AR SALES'!$AD$2:$AD$2501,"OFF"),2)=0,"","STALE")))</f>
        <v/>
      </c>
      <c r="BB178" s="2" t="str">
        <f>IF(OR(""&amp;$F178="2",""&amp;$F178="4",""&amp;$F178="G",""&amp;$F178="H"),IF($AY178="YES","",IF($AB178&lt;&gt;0,"",IF(COUNTIFS('AR SALES'!$L$2:$L$2501,$L178,'AR SALES'!$AD$2:$AD$2501,IF(""&amp;$F178="4","OFF","ON"),'AR SALES'!$AF$2:$AF$2501,"Y")&gt;0,"","NO EXEMPTION"))),"")</f>
        <v/>
      </c>
    </row>
    <row r="179" spans="46:54" x14ac:dyDescent="0.25">
      <c r="AT179" s="2" t="str">
        <f>IF($L179="","",IFERROR(INDEX('AR SALES'!$H$2:$H$2501,MATCH(""&amp;$L179,'AR SALES'!$AE$2:$AE$2501,0)),""))</f>
        <v/>
      </c>
      <c r="AU179" s="2" t="str">
        <f t="shared" si="8"/>
        <v/>
      </c>
      <c r="AV179" s="2" t="str">
        <f t="shared" si="9"/>
        <v/>
      </c>
      <c r="AW179" s="2" t="str">
        <f t="shared" si="10"/>
        <v/>
      </c>
      <c r="AX179" s="2" t="str">
        <f t="shared" si="11"/>
        <v/>
      </c>
      <c r="AY179" s="2" t="str">
        <f>IF($AV179="","",IF(AND($Z179=0,COUNTIF('AR SALES'!$L$2:$L$2501,$L179)=0),"YES",""))</f>
        <v/>
      </c>
      <c r="AZ179" s="2" t="str">
        <f>IF($AV179="","",IF(COUNTIF(LISTS!$C$2:$C$250,$AU179)=0,"NEW",""))</f>
        <v/>
      </c>
      <c r="BA179" s="2" t="str">
        <f>IF(""&amp;$F179&lt;&gt;"4","",IF($AY179="YES","",IF(ROUND(SUMIFS($AE$2:$AE$4001,$L$2:$L$4001,$L179,$F$2:$F$4001,"4")-SUMIFS('AR SALES'!$Y$2:$Y$2501,'AR SALES'!$L$2:$L$2501,$L179,'AR SALES'!$AD$2:$AD$2501,"OFF"),2)=0,"","STALE")))</f>
        <v/>
      </c>
      <c r="BB179" s="2" t="str">
        <f>IF(OR(""&amp;$F179="2",""&amp;$F179="4",""&amp;$F179="G",""&amp;$F179="H"),IF($AY179="YES","",IF($AB179&lt;&gt;0,"",IF(COUNTIFS('AR SALES'!$L$2:$L$2501,$L179,'AR SALES'!$AD$2:$AD$2501,IF(""&amp;$F179="4","OFF","ON"),'AR SALES'!$AF$2:$AF$2501,"Y")&gt;0,"","NO EXEMPTION"))),"")</f>
        <v/>
      </c>
    </row>
    <row r="180" spans="46:54" x14ac:dyDescent="0.25">
      <c r="AT180" s="2" t="str">
        <f>IF($L180="","",IFERROR(INDEX('AR SALES'!$H$2:$H$2501,MATCH(""&amp;$L180,'AR SALES'!$AE$2:$AE$2501,0)),""))</f>
        <v/>
      </c>
      <c r="AU180" s="2" t="str">
        <f t="shared" si="8"/>
        <v/>
      </c>
      <c r="AV180" s="2" t="str">
        <f t="shared" si="9"/>
        <v/>
      </c>
      <c r="AW180" s="2" t="str">
        <f t="shared" si="10"/>
        <v/>
      </c>
      <c r="AX180" s="2" t="str">
        <f t="shared" si="11"/>
        <v/>
      </c>
      <c r="AY180" s="2" t="str">
        <f>IF($AV180="","",IF(AND($Z180=0,COUNTIF('AR SALES'!$L$2:$L$2501,$L180)=0),"YES",""))</f>
        <v/>
      </c>
      <c r="AZ180" s="2" t="str">
        <f>IF($AV180="","",IF(COUNTIF(LISTS!$C$2:$C$250,$AU180)=0,"NEW",""))</f>
        <v/>
      </c>
      <c r="BA180" s="2" t="str">
        <f>IF(""&amp;$F180&lt;&gt;"4","",IF($AY180="YES","",IF(ROUND(SUMIFS($AE$2:$AE$4001,$L$2:$L$4001,$L180,$F$2:$F$4001,"4")-SUMIFS('AR SALES'!$Y$2:$Y$2501,'AR SALES'!$L$2:$L$2501,$L180,'AR SALES'!$AD$2:$AD$2501,"OFF"),2)=0,"","STALE")))</f>
        <v/>
      </c>
      <c r="BB180" s="2" t="str">
        <f>IF(OR(""&amp;$F180="2",""&amp;$F180="4",""&amp;$F180="G",""&amp;$F180="H"),IF($AY180="YES","",IF($AB180&lt;&gt;0,"",IF(COUNTIFS('AR SALES'!$L$2:$L$2501,$L180,'AR SALES'!$AD$2:$AD$2501,IF(""&amp;$F180="4","OFF","ON"),'AR SALES'!$AF$2:$AF$2501,"Y")&gt;0,"","NO EXEMPTION"))),"")</f>
        <v/>
      </c>
    </row>
    <row r="181" spans="46:54" x14ac:dyDescent="0.25">
      <c r="AT181" s="2" t="str">
        <f>IF($L181="","",IFERROR(INDEX('AR SALES'!$H$2:$H$2501,MATCH(""&amp;$L181,'AR SALES'!$AE$2:$AE$2501,0)),""))</f>
        <v/>
      </c>
      <c r="AU181" s="2" t="str">
        <f t="shared" si="8"/>
        <v/>
      </c>
      <c r="AV181" s="2" t="str">
        <f t="shared" si="9"/>
        <v/>
      </c>
      <c r="AW181" s="2" t="str">
        <f t="shared" si="10"/>
        <v/>
      </c>
      <c r="AX181" s="2" t="str">
        <f t="shared" si="11"/>
        <v/>
      </c>
      <c r="AY181" s="2" t="str">
        <f>IF($AV181="","",IF(AND($Z181=0,COUNTIF('AR SALES'!$L$2:$L$2501,$L181)=0),"YES",""))</f>
        <v/>
      </c>
      <c r="AZ181" s="2" t="str">
        <f>IF($AV181="","",IF(COUNTIF(LISTS!$C$2:$C$250,$AU181)=0,"NEW",""))</f>
        <v/>
      </c>
      <c r="BA181" s="2" t="str">
        <f>IF(""&amp;$F181&lt;&gt;"4","",IF($AY181="YES","",IF(ROUND(SUMIFS($AE$2:$AE$4001,$L$2:$L$4001,$L181,$F$2:$F$4001,"4")-SUMIFS('AR SALES'!$Y$2:$Y$2501,'AR SALES'!$L$2:$L$2501,$L181,'AR SALES'!$AD$2:$AD$2501,"OFF"),2)=0,"","STALE")))</f>
        <v/>
      </c>
      <c r="BB181" s="2" t="str">
        <f>IF(OR(""&amp;$F181="2",""&amp;$F181="4",""&amp;$F181="G",""&amp;$F181="H"),IF($AY181="YES","",IF($AB181&lt;&gt;0,"",IF(COUNTIFS('AR SALES'!$L$2:$L$2501,$L181,'AR SALES'!$AD$2:$AD$2501,IF(""&amp;$F181="4","OFF","ON"),'AR SALES'!$AF$2:$AF$2501,"Y")&gt;0,"","NO EXEMPTION"))),"")</f>
        <v/>
      </c>
    </row>
    <row r="182" spans="46:54" x14ac:dyDescent="0.25">
      <c r="AT182" s="2" t="str">
        <f>IF($L182="","",IFERROR(INDEX('AR SALES'!$H$2:$H$2501,MATCH(""&amp;$L182,'AR SALES'!$AE$2:$AE$2501,0)),""))</f>
        <v/>
      </c>
      <c r="AU182" s="2" t="str">
        <f t="shared" si="8"/>
        <v/>
      </c>
      <c r="AV182" s="2" t="str">
        <f t="shared" si="9"/>
        <v/>
      </c>
      <c r="AW182" s="2" t="str">
        <f t="shared" si="10"/>
        <v/>
      </c>
      <c r="AX182" s="2" t="str">
        <f t="shared" si="11"/>
        <v/>
      </c>
      <c r="AY182" s="2" t="str">
        <f>IF($AV182="","",IF(AND($Z182=0,COUNTIF('AR SALES'!$L$2:$L$2501,$L182)=0),"YES",""))</f>
        <v/>
      </c>
      <c r="AZ182" s="2" t="str">
        <f>IF($AV182="","",IF(COUNTIF(LISTS!$C$2:$C$250,$AU182)=0,"NEW",""))</f>
        <v/>
      </c>
      <c r="BA182" s="2" t="str">
        <f>IF(""&amp;$F182&lt;&gt;"4","",IF($AY182="YES","",IF(ROUND(SUMIFS($AE$2:$AE$4001,$L$2:$L$4001,$L182,$F$2:$F$4001,"4")-SUMIFS('AR SALES'!$Y$2:$Y$2501,'AR SALES'!$L$2:$L$2501,$L182,'AR SALES'!$AD$2:$AD$2501,"OFF"),2)=0,"","STALE")))</f>
        <v/>
      </c>
      <c r="BB182" s="2" t="str">
        <f>IF(OR(""&amp;$F182="2",""&amp;$F182="4",""&amp;$F182="G",""&amp;$F182="H"),IF($AY182="YES","",IF($AB182&lt;&gt;0,"",IF(COUNTIFS('AR SALES'!$L$2:$L$2501,$L182,'AR SALES'!$AD$2:$AD$2501,IF(""&amp;$F182="4","OFF","ON"),'AR SALES'!$AF$2:$AF$2501,"Y")&gt;0,"","NO EXEMPTION"))),"")</f>
        <v/>
      </c>
    </row>
    <row r="183" spans="46:54" x14ac:dyDescent="0.25">
      <c r="AT183" s="2" t="str">
        <f>IF($L183="","",IFERROR(INDEX('AR SALES'!$H$2:$H$2501,MATCH(""&amp;$L183,'AR SALES'!$AE$2:$AE$2501,0)),""))</f>
        <v/>
      </c>
      <c r="AU183" s="2" t="str">
        <f t="shared" si="8"/>
        <v/>
      </c>
      <c r="AV183" s="2" t="str">
        <f t="shared" si="9"/>
        <v/>
      </c>
      <c r="AW183" s="2" t="str">
        <f t="shared" si="10"/>
        <v/>
      </c>
      <c r="AX183" s="2" t="str">
        <f t="shared" si="11"/>
        <v/>
      </c>
      <c r="AY183" s="2" t="str">
        <f>IF($AV183="","",IF(AND($Z183=0,COUNTIF('AR SALES'!$L$2:$L$2501,$L183)=0),"YES",""))</f>
        <v/>
      </c>
      <c r="AZ183" s="2" t="str">
        <f>IF($AV183="","",IF(COUNTIF(LISTS!$C$2:$C$250,$AU183)=0,"NEW",""))</f>
        <v/>
      </c>
      <c r="BA183" s="2" t="str">
        <f>IF(""&amp;$F183&lt;&gt;"4","",IF($AY183="YES","",IF(ROUND(SUMIFS($AE$2:$AE$4001,$L$2:$L$4001,$L183,$F$2:$F$4001,"4")-SUMIFS('AR SALES'!$Y$2:$Y$2501,'AR SALES'!$L$2:$L$2501,$L183,'AR SALES'!$AD$2:$AD$2501,"OFF"),2)=0,"","STALE")))</f>
        <v/>
      </c>
      <c r="BB183" s="2" t="str">
        <f>IF(OR(""&amp;$F183="2",""&amp;$F183="4",""&amp;$F183="G",""&amp;$F183="H"),IF($AY183="YES","",IF($AB183&lt;&gt;0,"",IF(COUNTIFS('AR SALES'!$L$2:$L$2501,$L183,'AR SALES'!$AD$2:$AD$2501,IF(""&amp;$F183="4","OFF","ON"),'AR SALES'!$AF$2:$AF$2501,"Y")&gt;0,"","NO EXEMPTION"))),"")</f>
        <v/>
      </c>
    </row>
    <row r="184" spans="46:54" x14ac:dyDescent="0.25">
      <c r="AT184" s="2" t="str">
        <f>IF($L184="","",IFERROR(INDEX('AR SALES'!$H$2:$H$2501,MATCH(""&amp;$L184,'AR SALES'!$AE$2:$AE$2501,0)),""))</f>
        <v/>
      </c>
      <c r="AU184" s="2" t="str">
        <f t="shared" si="8"/>
        <v/>
      </c>
      <c r="AV184" s="2" t="str">
        <f t="shared" si="9"/>
        <v/>
      </c>
      <c r="AW184" s="2" t="str">
        <f t="shared" si="10"/>
        <v/>
      </c>
      <c r="AX184" s="2" t="str">
        <f t="shared" si="11"/>
        <v/>
      </c>
      <c r="AY184" s="2" t="str">
        <f>IF($AV184="","",IF(AND($Z184=0,COUNTIF('AR SALES'!$L$2:$L$2501,$L184)=0),"YES",""))</f>
        <v/>
      </c>
      <c r="AZ184" s="2" t="str">
        <f>IF($AV184="","",IF(COUNTIF(LISTS!$C$2:$C$250,$AU184)=0,"NEW",""))</f>
        <v/>
      </c>
      <c r="BA184" s="2" t="str">
        <f>IF(""&amp;$F184&lt;&gt;"4","",IF($AY184="YES","",IF(ROUND(SUMIFS($AE$2:$AE$4001,$L$2:$L$4001,$L184,$F$2:$F$4001,"4")-SUMIFS('AR SALES'!$Y$2:$Y$2501,'AR SALES'!$L$2:$L$2501,$L184,'AR SALES'!$AD$2:$AD$2501,"OFF"),2)=0,"","STALE")))</f>
        <v/>
      </c>
      <c r="BB184" s="2" t="str">
        <f>IF(OR(""&amp;$F184="2",""&amp;$F184="4",""&amp;$F184="G",""&amp;$F184="H"),IF($AY184="YES","",IF($AB184&lt;&gt;0,"",IF(COUNTIFS('AR SALES'!$L$2:$L$2501,$L184,'AR SALES'!$AD$2:$AD$2501,IF(""&amp;$F184="4","OFF","ON"),'AR SALES'!$AF$2:$AF$2501,"Y")&gt;0,"","NO EXEMPTION"))),"")</f>
        <v/>
      </c>
    </row>
    <row r="185" spans="46:54" x14ac:dyDescent="0.25">
      <c r="AT185" s="2" t="str">
        <f>IF($L185="","",IFERROR(INDEX('AR SALES'!$H$2:$H$2501,MATCH(""&amp;$L185,'AR SALES'!$AE$2:$AE$2501,0)),""))</f>
        <v/>
      </c>
      <c r="AU185" s="2" t="str">
        <f t="shared" si="8"/>
        <v/>
      </c>
      <c r="AV185" s="2" t="str">
        <f t="shared" si="9"/>
        <v/>
      </c>
      <c r="AW185" s="2" t="str">
        <f t="shared" si="10"/>
        <v/>
      </c>
      <c r="AX185" s="2" t="str">
        <f t="shared" si="11"/>
        <v/>
      </c>
      <c r="AY185" s="2" t="str">
        <f>IF($AV185="","",IF(AND($Z185=0,COUNTIF('AR SALES'!$L$2:$L$2501,$L185)=0),"YES",""))</f>
        <v/>
      </c>
      <c r="AZ185" s="2" t="str">
        <f>IF($AV185="","",IF(COUNTIF(LISTS!$C$2:$C$250,$AU185)=0,"NEW",""))</f>
        <v/>
      </c>
      <c r="BA185" s="2" t="str">
        <f>IF(""&amp;$F185&lt;&gt;"4","",IF($AY185="YES","",IF(ROUND(SUMIFS($AE$2:$AE$4001,$L$2:$L$4001,$L185,$F$2:$F$4001,"4")-SUMIFS('AR SALES'!$Y$2:$Y$2501,'AR SALES'!$L$2:$L$2501,$L185,'AR SALES'!$AD$2:$AD$2501,"OFF"),2)=0,"","STALE")))</f>
        <v/>
      </c>
      <c r="BB185" s="2" t="str">
        <f>IF(OR(""&amp;$F185="2",""&amp;$F185="4",""&amp;$F185="G",""&amp;$F185="H"),IF($AY185="YES","",IF($AB185&lt;&gt;0,"",IF(COUNTIFS('AR SALES'!$L$2:$L$2501,$L185,'AR SALES'!$AD$2:$AD$2501,IF(""&amp;$F185="4","OFF","ON"),'AR SALES'!$AF$2:$AF$2501,"Y")&gt;0,"","NO EXEMPTION"))),"")</f>
        <v/>
      </c>
    </row>
    <row r="186" spans="46:54" x14ac:dyDescent="0.25">
      <c r="AT186" s="2" t="str">
        <f>IF($L186="","",IFERROR(INDEX('AR SALES'!$H$2:$H$2501,MATCH(""&amp;$L186,'AR SALES'!$AE$2:$AE$2501,0)),""))</f>
        <v/>
      </c>
      <c r="AU186" s="2" t="str">
        <f t="shared" si="8"/>
        <v/>
      </c>
      <c r="AV186" s="2" t="str">
        <f t="shared" si="9"/>
        <v/>
      </c>
      <c r="AW186" s="2" t="str">
        <f t="shared" si="10"/>
        <v/>
      </c>
      <c r="AX186" s="2" t="str">
        <f t="shared" si="11"/>
        <v/>
      </c>
      <c r="AY186" s="2" t="str">
        <f>IF($AV186="","",IF(AND($Z186=0,COUNTIF('AR SALES'!$L$2:$L$2501,$L186)=0),"YES",""))</f>
        <v/>
      </c>
      <c r="AZ186" s="2" t="str">
        <f>IF($AV186="","",IF(COUNTIF(LISTS!$C$2:$C$250,$AU186)=0,"NEW",""))</f>
        <v/>
      </c>
      <c r="BA186" s="2" t="str">
        <f>IF(""&amp;$F186&lt;&gt;"4","",IF($AY186="YES","",IF(ROUND(SUMIFS($AE$2:$AE$4001,$L$2:$L$4001,$L186,$F$2:$F$4001,"4")-SUMIFS('AR SALES'!$Y$2:$Y$2501,'AR SALES'!$L$2:$L$2501,$L186,'AR SALES'!$AD$2:$AD$2501,"OFF"),2)=0,"","STALE")))</f>
        <v/>
      </c>
      <c r="BB186" s="2" t="str">
        <f>IF(OR(""&amp;$F186="2",""&amp;$F186="4",""&amp;$F186="G",""&amp;$F186="H"),IF($AY186="YES","",IF($AB186&lt;&gt;0,"",IF(COUNTIFS('AR SALES'!$L$2:$L$2501,$L186,'AR SALES'!$AD$2:$AD$2501,IF(""&amp;$F186="4","OFF","ON"),'AR SALES'!$AF$2:$AF$2501,"Y")&gt;0,"","NO EXEMPTION"))),"")</f>
        <v/>
      </c>
    </row>
    <row r="187" spans="46:54" x14ac:dyDescent="0.25">
      <c r="AT187" s="2" t="str">
        <f>IF($L187="","",IFERROR(INDEX('AR SALES'!$H$2:$H$2501,MATCH(""&amp;$L187,'AR SALES'!$AE$2:$AE$2501,0)),""))</f>
        <v/>
      </c>
      <c r="AU187" s="2" t="str">
        <f t="shared" si="8"/>
        <v/>
      </c>
      <c r="AV187" s="2" t="str">
        <f t="shared" si="9"/>
        <v/>
      </c>
      <c r="AW187" s="2" t="str">
        <f t="shared" si="10"/>
        <v/>
      </c>
      <c r="AX187" s="2" t="str">
        <f t="shared" si="11"/>
        <v/>
      </c>
      <c r="AY187" s="2" t="str">
        <f>IF($AV187="","",IF(AND($Z187=0,COUNTIF('AR SALES'!$L$2:$L$2501,$L187)=0),"YES",""))</f>
        <v/>
      </c>
      <c r="AZ187" s="2" t="str">
        <f>IF($AV187="","",IF(COUNTIF(LISTS!$C$2:$C$250,$AU187)=0,"NEW",""))</f>
        <v/>
      </c>
      <c r="BA187" s="2" t="str">
        <f>IF(""&amp;$F187&lt;&gt;"4","",IF($AY187="YES","",IF(ROUND(SUMIFS($AE$2:$AE$4001,$L$2:$L$4001,$L187,$F$2:$F$4001,"4")-SUMIFS('AR SALES'!$Y$2:$Y$2501,'AR SALES'!$L$2:$L$2501,$L187,'AR SALES'!$AD$2:$AD$2501,"OFF"),2)=0,"","STALE")))</f>
        <v/>
      </c>
      <c r="BB187" s="2" t="str">
        <f>IF(OR(""&amp;$F187="2",""&amp;$F187="4",""&amp;$F187="G",""&amp;$F187="H"),IF($AY187="YES","",IF($AB187&lt;&gt;0,"",IF(COUNTIFS('AR SALES'!$L$2:$L$2501,$L187,'AR SALES'!$AD$2:$AD$2501,IF(""&amp;$F187="4","OFF","ON"),'AR SALES'!$AF$2:$AF$2501,"Y")&gt;0,"","NO EXEMPTION"))),"")</f>
        <v/>
      </c>
    </row>
    <row r="188" spans="46:54" x14ac:dyDescent="0.25">
      <c r="AT188" s="2" t="str">
        <f>IF($L188="","",IFERROR(INDEX('AR SALES'!$H$2:$H$2501,MATCH(""&amp;$L188,'AR SALES'!$AE$2:$AE$2501,0)),""))</f>
        <v/>
      </c>
      <c r="AU188" s="2" t="str">
        <f t="shared" si="8"/>
        <v/>
      </c>
      <c r="AV188" s="2" t="str">
        <f t="shared" si="9"/>
        <v/>
      </c>
      <c r="AW188" s="2" t="str">
        <f t="shared" si="10"/>
        <v/>
      </c>
      <c r="AX188" s="2" t="str">
        <f t="shared" si="11"/>
        <v/>
      </c>
      <c r="AY188" s="2" t="str">
        <f>IF($AV188="","",IF(AND($Z188=0,COUNTIF('AR SALES'!$L$2:$L$2501,$L188)=0),"YES",""))</f>
        <v/>
      </c>
      <c r="AZ188" s="2" t="str">
        <f>IF($AV188="","",IF(COUNTIF(LISTS!$C$2:$C$250,$AU188)=0,"NEW",""))</f>
        <v/>
      </c>
      <c r="BA188" s="2" t="str">
        <f>IF(""&amp;$F188&lt;&gt;"4","",IF($AY188="YES","",IF(ROUND(SUMIFS($AE$2:$AE$4001,$L$2:$L$4001,$L188,$F$2:$F$4001,"4")-SUMIFS('AR SALES'!$Y$2:$Y$2501,'AR SALES'!$L$2:$L$2501,$L188,'AR SALES'!$AD$2:$AD$2501,"OFF"),2)=0,"","STALE")))</f>
        <v/>
      </c>
      <c r="BB188" s="2" t="str">
        <f>IF(OR(""&amp;$F188="2",""&amp;$F188="4",""&amp;$F188="G",""&amp;$F188="H"),IF($AY188="YES","",IF($AB188&lt;&gt;0,"",IF(COUNTIFS('AR SALES'!$L$2:$L$2501,$L188,'AR SALES'!$AD$2:$AD$2501,IF(""&amp;$F188="4","OFF","ON"),'AR SALES'!$AF$2:$AF$2501,"Y")&gt;0,"","NO EXEMPTION"))),"")</f>
        <v/>
      </c>
    </row>
    <row r="189" spans="46:54" x14ac:dyDescent="0.25">
      <c r="AT189" s="2" t="str">
        <f>IF($L189="","",IFERROR(INDEX('AR SALES'!$H$2:$H$2501,MATCH(""&amp;$L189,'AR SALES'!$AE$2:$AE$2501,0)),""))</f>
        <v/>
      </c>
      <c r="AU189" s="2" t="str">
        <f t="shared" si="8"/>
        <v/>
      </c>
      <c r="AV189" s="2" t="str">
        <f t="shared" si="9"/>
        <v/>
      </c>
      <c r="AW189" s="2" t="str">
        <f t="shared" si="10"/>
        <v/>
      </c>
      <c r="AX189" s="2" t="str">
        <f t="shared" si="11"/>
        <v/>
      </c>
      <c r="AY189" s="2" t="str">
        <f>IF($AV189="","",IF(AND($Z189=0,COUNTIF('AR SALES'!$L$2:$L$2501,$L189)=0),"YES",""))</f>
        <v/>
      </c>
      <c r="AZ189" s="2" t="str">
        <f>IF($AV189="","",IF(COUNTIF(LISTS!$C$2:$C$250,$AU189)=0,"NEW",""))</f>
        <v/>
      </c>
      <c r="BA189" s="2" t="str">
        <f>IF(""&amp;$F189&lt;&gt;"4","",IF($AY189="YES","",IF(ROUND(SUMIFS($AE$2:$AE$4001,$L$2:$L$4001,$L189,$F$2:$F$4001,"4")-SUMIFS('AR SALES'!$Y$2:$Y$2501,'AR SALES'!$L$2:$L$2501,$L189,'AR SALES'!$AD$2:$AD$2501,"OFF"),2)=0,"","STALE")))</f>
        <v/>
      </c>
      <c r="BB189" s="2" t="str">
        <f>IF(OR(""&amp;$F189="2",""&amp;$F189="4",""&amp;$F189="G",""&amp;$F189="H"),IF($AY189="YES","",IF($AB189&lt;&gt;0,"",IF(COUNTIFS('AR SALES'!$L$2:$L$2501,$L189,'AR SALES'!$AD$2:$AD$2501,IF(""&amp;$F189="4","OFF","ON"),'AR SALES'!$AF$2:$AF$2501,"Y")&gt;0,"","NO EXEMPTION"))),"")</f>
        <v/>
      </c>
    </row>
    <row r="190" spans="46:54" x14ac:dyDescent="0.25">
      <c r="AT190" s="2" t="str">
        <f>IF($L190="","",IFERROR(INDEX('AR SALES'!$H$2:$H$2501,MATCH(""&amp;$L190,'AR SALES'!$AE$2:$AE$2501,0)),""))</f>
        <v/>
      </c>
      <c r="AU190" s="2" t="str">
        <f t="shared" si="8"/>
        <v/>
      </c>
      <c r="AV190" s="2" t="str">
        <f t="shared" si="9"/>
        <v/>
      </c>
      <c r="AW190" s="2" t="str">
        <f t="shared" si="10"/>
        <v/>
      </c>
      <c r="AX190" s="2" t="str">
        <f t="shared" si="11"/>
        <v/>
      </c>
      <c r="AY190" s="2" t="str">
        <f>IF($AV190="","",IF(AND($Z190=0,COUNTIF('AR SALES'!$L$2:$L$2501,$L190)=0),"YES",""))</f>
        <v/>
      </c>
      <c r="AZ190" s="2" t="str">
        <f>IF($AV190="","",IF(COUNTIF(LISTS!$C$2:$C$250,$AU190)=0,"NEW",""))</f>
        <v/>
      </c>
      <c r="BA190" s="2" t="str">
        <f>IF(""&amp;$F190&lt;&gt;"4","",IF($AY190="YES","",IF(ROUND(SUMIFS($AE$2:$AE$4001,$L$2:$L$4001,$L190,$F$2:$F$4001,"4")-SUMIFS('AR SALES'!$Y$2:$Y$2501,'AR SALES'!$L$2:$L$2501,$L190,'AR SALES'!$AD$2:$AD$2501,"OFF"),2)=0,"","STALE")))</f>
        <v/>
      </c>
      <c r="BB190" s="2" t="str">
        <f>IF(OR(""&amp;$F190="2",""&amp;$F190="4",""&amp;$F190="G",""&amp;$F190="H"),IF($AY190="YES","",IF($AB190&lt;&gt;0,"",IF(COUNTIFS('AR SALES'!$L$2:$L$2501,$L190,'AR SALES'!$AD$2:$AD$2501,IF(""&amp;$F190="4","OFF","ON"),'AR SALES'!$AF$2:$AF$2501,"Y")&gt;0,"","NO EXEMPTION"))),"")</f>
        <v/>
      </c>
    </row>
    <row r="191" spans="46:54" x14ac:dyDescent="0.25">
      <c r="AT191" s="2" t="str">
        <f>IF($L191="","",IFERROR(INDEX('AR SALES'!$H$2:$H$2501,MATCH(""&amp;$L191,'AR SALES'!$AE$2:$AE$2501,0)),""))</f>
        <v/>
      </c>
      <c r="AU191" s="2" t="str">
        <f t="shared" si="8"/>
        <v/>
      </c>
      <c r="AV191" s="2" t="str">
        <f t="shared" si="9"/>
        <v/>
      </c>
      <c r="AW191" s="2" t="str">
        <f t="shared" si="10"/>
        <v/>
      </c>
      <c r="AX191" s="2" t="str">
        <f t="shared" si="11"/>
        <v/>
      </c>
      <c r="AY191" s="2" t="str">
        <f>IF($AV191="","",IF(AND($Z191=0,COUNTIF('AR SALES'!$L$2:$L$2501,$L191)=0),"YES",""))</f>
        <v/>
      </c>
      <c r="AZ191" s="2" t="str">
        <f>IF($AV191="","",IF(COUNTIF(LISTS!$C$2:$C$250,$AU191)=0,"NEW",""))</f>
        <v/>
      </c>
      <c r="BA191" s="2" t="str">
        <f>IF(""&amp;$F191&lt;&gt;"4","",IF($AY191="YES","",IF(ROUND(SUMIFS($AE$2:$AE$4001,$L$2:$L$4001,$L191,$F$2:$F$4001,"4")-SUMIFS('AR SALES'!$Y$2:$Y$2501,'AR SALES'!$L$2:$L$2501,$L191,'AR SALES'!$AD$2:$AD$2501,"OFF"),2)=0,"","STALE")))</f>
        <v/>
      </c>
      <c r="BB191" s="2" t="str">
        <f>IF(OR(""&amp;$F191="2",""&amp;$F191="4",""&amp;$F191="G",""&amp;$F191="H"),IF($AY191="YES","",IF($AB191&lt;&gt;0,"",IF(COUNTIFS('AR SALES'!$L$2:$L$2501,$L191,'AR SALES'!$AD$2:$AD$2501,IF(""&amp;$F191="4","OFF","ON"),'AR SALES'!$AF$2:$AF$2501,"Y")&gt;0,"","NO EXEMPTION"))),"")</f>
        <v/>
      </c>
    </row>
    <row r="192" spans="46:54" x14ac:dyDescent="0.25">
      <c r="AT192" s="2" t="str">
        <f>IF($L192="","",IFERROR(INDEX('AR SALES'!$H$2:$H$2501,MATCH(""&amp;$L192,'AR SALES'!$AE$2:$AE$2501,0)),""))</f>
        <v/>
      </c>
      <c r="AU192" s="2" t="str">
        <f t="shared" si="8"/>
        <v/>
      </c>
      <c r="AV192" s="2" t="str">
        <f t="shared" si="9"/>
        <v/>
      </c>
      <c r="AW192" s="2" t="str">
        <f t="shared" si="10"/>
        <v/>
      </c>
      <c r="AX192" s="2" t="str">
        <f t="shared" si="11"/>
        <v/>
      </c>
      <c r="AY192" s="2" t="str">
        <f>IF($AV192="","",IF(AND($Z192=0,COUNTIF('AR SALES'!$L$2:$L$2501,$L192)=0),"YES",""))</f>
        <v/>
      </c>
      <c r="AZ192" s="2" t="str">
        <f>IF($AV192="","",IF(COUNTIF(LISTS!$C$2:$C$250,$AU192)=0,"NEW",""))</f>
        <v/>
      </c>
      <c r="BA192" s="2" t="str">
        <f>IF(""&amp;$F192&lt;&gt;"4","",IF($AY192="YES","",IF(ROUND(SUMIFS($AE$2:$AE$4001,$L$2:$L$4001,$L192,$F$2:$F$4001,"4")-SUMIFS('AR SALES'!$Y$2:$Y$2501,'AR SALES'!$L$2:$L$2501,$L192,'AR SALES'!$AD$2:$AD$2501,"OFF"),2)=0,"","STALE")))</f>
        <v/>
      </c>
      <c r="BB192" s="2" t="str">
        <f>IF(OR(""&amp;$F192="2",""&amp;$F192="4",""&amp;$F192="G",""&amp;$F192="H"),IF($AY192="YES","",IF($AB192&lt;&gt;0,"",IF(COUNTIFS('AR SALES'!$L$2:$L$2501,$L192,'AR SALES'!$AD$2:$AD$2501,IF(""&amp;$F192="4","OFF","ON"),'AR SALES'!$AF$2:$AF$2501,"Y")&gt;0,"","NO EXEMPTION"))),"")</f>
        <v/>
      </c>
    </row>
    <row r="193" spans="46:54" x14ac:dyDescent="0.25">
      <c r="AT193" s="2" t="str">
        <f>IF($L193="","",IFERROR(INDEX('AR SALES'!$H$2:$H$2501,MATCH(""&amp;$L193,'AR SALES'!$AE$2:$AE$2501,0)),""))</f>
        <v/>
      </c>
      <c r="AU193" s="2" t="str">
        <f t="shared" si="8"/>
        <v/>
      </c>
      <c r="AV193" s="2" t="str">
        <f t="shared" si="9"/>
        <v/>
      </c>
      <c r="AW193" s="2" t="str">
        <f t="shared" si="10"/>
        <v/>
      </c>
      <c r="AX193" s="2" t="str">
        <f t="shared" si="11"/>
        <v/>
      </c>
      <c r="AY193" s="2" t="str">
        <f>IF($AV193="","",IF(AND($Z193=0,COUNTIF('AR SALES'!$L$2:$L$2501,$L193)=0),"YES",""))</f>
        <v/>
      </c>
      <c r="AZ193" s="2" t="str">
        <f>IF($AV193="","",IF(COUNTIF(LISTS!$C$2:$C$250,$AU193)=0,"NEW",""))</f>
        <v/>
      </c>
      <c r="BA193" s="2" t="str">
        <f>IF(""&amp;$F193&lt;&gt;"4","",IF($AY193="YES","",IF(ROUND(SUMIFS($AE$2:$AE$4001,$L$2:$L$4001,$L193,$F$2:$F$4001,"4")-SUMIFS('AR SALES'!$Y$2:$Y$2501,'AR SALES'!$L$2:$L$2501,$L193,'AR SALES'!$AD$2:$AD$2501,"OFF"),2)=0,"","STALE")))</f>
        <v/>
      </c>
      <c r="BB193" s="2" t="str">
        <f>IF(OR(""&amp;$F193="2",""&amp;$F193="4",""&amp;$F193="G",""&amp;$F193="H"),IF($AY193="YES","",IF($AB193&lt;&gt;0,"",IF(COUNTIFS('AR SALES'!$L$2:$L$2501,$L193,'AR SALES'!$AD$2:$AD$2501,IF(""&amp;$F193="4","OFF","ON"),'AR SALES'!$AF$2:$AF$2501,"Y")&gt;0,"","NO EXEMPTION"))),"")</f>
        <v/>
      </c>
    </row>
    <row r="194" spans="46:54" x14ac:dyDescent="0.25">
      <c r="AT194" s="2" t="str">
        <f>IF($L194="","",IFERROR(INDEX('AR SALES'!$H$2:$H$2501,MATCH(""&amp;$L194,'AR SALES'!$AE$2:$AE$2501,0)),""))</f>
        <v/>
      </c>
      <c r="AU194" s="2" t="str">
        <f t="shared" ref="AU194:AU257" si="12">IF($L194="","",IF($A194&lt;&gt;"GA","",IF($E194="FULTON",IF(ISNUMBER(SEARCH("COLLEGE PARK",$AT194)),"FULTON (COLLEGE PARK)",IF(ISNUMBER(SEARCH("ATLANTA CITY",$AT194)),"FULTON (ATL LIMITS)","FULTON")),IF($E194="DEKALB",IF(ISNUMBER(SEARCH("ATLANTA CITY",$AT194)),"DEKALB (ATL LIMITS)","DEKALB"),$E194))))</f>
        <v/>
      </c>
      <c r="AV194" s="2" t="str">
        <f t="shared" ref="AV194:AV257" si="13">IF($L194="","",IF(""&amp;$F194="2","DIESEL",IF(OR(""&amp;$F194="G",""&amp;$F194="H"),"GAS","")))</f>
        <v/>
      </c>
      <c r="AW194" s="2" t="str">
        <f t="shared" ref="AW194:AW257" si="14">IF($AV194="","",$R194)</f>
        <v/>
      </c>
      <c r="AX194" s="2" t="str">
        <f t="shared" ref="AX194:AX257" si="15">IF($AV194="","",IF($AB194=0,$R194,0))</f>
        <v/>
      </c>
      <c r="AY194" s="2" t="str">
        <f>IF($AV194="","",IF(AND($Z194=0,COUNTIF('AR SALES'!$L$2:$L$2501,$L194)=0),"YES",""))</f>
        <v/>
      </c>
      <c r="AZ194" s="2" t="str">
        <f>IF($AV194="","",IF(COUNTIF(LISTS!$C$2:$C$250,$AU194)=0,"NEW",""))</f>
        <v/>
      </c>
      <c r="BA194" s="2" t="str">
        <f>IF(""&amp;$F194&lt;&gt;"4","",IF($AY194="YES","",IF(ROUND(SUMIFS($AE$2:$AE$4001,$L$2:$L$4001,$L194,$F$2:$F$4001,"4")-SUMIFS('AR SALES'!$Y$2:$Y$2501,'AR SALES'!$L$2:$L$2501,$L194,'AR SALES'!$AD$2:$AD$2501,"OFF"),2)=0,"","STALE")))</f>
        <v/>
      </c>
      <c r="BB194" s="2" t="str">
        <f>IF(OR(""&amp;$F194="2",""&amp;$F194="4",""&amp;$F194="G",""&amp;$F194="H"),IF($AY194="YES","",IF($AB194&lt;&gt;0,"",IF(COUNTIFS('AR SALES'!$L$2:$L$2501,$L194,'AR SALES'!$AD$2:$AD$2501,IF(""&amp;$F194="4","OFF","ON"),'AR SALES'!$AF$2:$AF$2501,"Y")&gt;0,"","NO EXEMPTION"))),"")</f>
        <v/>
      </c>
    </row>
    <row r="195" spans="46:54" x14ac:dyDescent="0.25">
      <c r="AT195" s="2" t="str">
        <f>IF($L195="","",IFERROR(INDEX('AR SALES'!$H$2:$H$2501,MATCH(""&amp;$L195,'AR SALES'!$AE$2:$AE$2501,0)),""))</f>
        <v/>
      </c>
      <c r="AU195" s="2" t="str">
        <f t="shared" si="12"/>
        <v/>
      </c>
      <c r="AV195" s="2" t="str">
        <f t="shared" si="13"/>
        <v/>
      </c>
      <c r="AW195" s="2" t="str">
        <f t="shared" si="14"/>
        <v/>
      </c>
      <c r="AX195" s="2" t="str">
        <f t="shared" si="15"/>
        <v/>
      </c>
      <c r="AY195" s="2" t="str">
        <f>IF($AV195="","",IF(AND($Z195=0,COUNTIF('AR SALES'!$L$2:$L$2501,$L195)=0),"YES",""))</f>
        <v/>
      </c>
      <c r="AZ195" s="2" t="str">
        <f>IF($AV195="","",IF(COUNTIF(LISTS!$C$2:$C$250,$AU195)=0,"NEW",""))</f>
        <v/>
      </c>
      <c r="BA195" s="2" t="str">
        <f>IF(""&amp;$F195&lt;&gt;"4","",IF($AY195="YES","",IF(ROUND(SUMIFS($AE$2:$AE$4001,$L$2:$L$4001,$L195,$F$2:$F$4001,"4")-SUMIFS('AR SALES'!$Y$2:$Y$2501,'AR SALES'!$L$2:$L$2501,$L195,'AR SALES'!$AD$2:$AD$2501,"OFF"),2)=0,"","STALE")))</f>
        <v/>
      </c>
      <c r="BB195" s="2" t="str">
        <f>IF(OR(""&amp;$F195="2",""&amp;$F195="4",""&amp;$F195="G",""&amp;$F195="H"),IF($AY195="YES","",IF($AB195&lt;&gt;0,"",IF(COUNTIFS('AR SALES'!$L$2:$L$2501,$L195,'AR SALES'!$AD$2:$AD$2501,IF(""&amp;$F195="4","OFF","ON"),'AR SALES'!$AF$2:$AF$2501,"Y")&gt;0,"","NO EXEMPTION"))),"")</f>
        <v/>
      </c>
    </row>
    <row r="196" spans="46:54" x14ac:dyDescent="0.25">
      <c r="AT196" s="2" t="str">
        <f>IF($L196="","",IFERROR(INDEX('AR SALES'!$H$2:$H$2501,MATCH(""&amp;$L196,'AR SALES'!$AE$2:$AE$2501,0)),""))</f>
        <v/>
      </c>
      <c r="AU196" s="2" t="str">
        <f t="shared" si="12"/>
        <v/>
      </c>
      <c r="AV196" s="2" t="str">
        <f t="shared" si="13"/>
        <v/>
      </c>
      <c r="AW196" s="2" t="str">
        <f t="shared" si="14"/>
        <v/>
      </c>
      <c r="AX196" s="2" t="str">
        <f t="shared" si="15"/>
        <v/>
      </c>
      <c r="AY196" s="2" t="str">
        <f>IF($AV196="","",IF(AND($Z196=0,COUNTIF('AR SALES'!$L$2:$L$2501,$L196)=0),"YES",""))</f>
        <v/>
      </c>
      <c r="AZ196" s="2" t="str">
        <f>IF($AV196="","",IF(COUNTIF(LISTS!$C$2:$C$250,$AU196)=0,"NEW",""))</f>
        <v/>
      </c>
      <c r="BA196" s="2" t="str">
        <f>IF(""&amp;$F196&lt;&gt;"4","",IF($AY196="YES","",IF(ROUND(SUMIFS($AE$2:$AE$4001,$L$2:$L$4001,$L196,$F$2:$F$4001,"4")-SUMIFS('AR SALES'!$Y$2:$Y$2501,'AR SALES'!$L$2:$L$2501,$L196,'AR SALES'!$AD$2:$AD$2501,"OFF"),2)=0,"","STALE")))</f>
        <v/>
      </c>
      <c r="BB196" s="2" t="str">
        <f>IF(OR(""&amp;$F196="2",""&amp;$F196="4",""&amp;$F196="G",""&amp;$F196="H"),IF($AY196="YES","",IF($AB196&lt;&gt;0,"",IF(COUNTIFS('AR SALES'!$L$2:$L$2501,$L196,'AR SALES'!$AD$2:$AD$2501,IF(""&amp;$F196="4","OFF","ON"),'AR SALES'!$AF$2:$AF$2501,"Y")&gt;0,"","NO EXEMPTION"))),"")</f>
        <v/>
      </c>
    </row>
    <row r="197" spans="46:54" x14ac:dyDescent="0.25">
      <c r="AT197" s="2" t="str">
        <f>IF($L197="","",IFERROR(INDEX('AR SALES'!$H$2:$H$2501,MATCH(""&amp;$L197,'AR SALES'!$AE$2:$AE$2501,0)),""))</f>
        <v/>
      </c>
      <c r="AU197" s="2" t="str">
        <f t="shared" si="12"/>
        <v/>
      </c>
      <c r="AV197" s="2" t="str">
        <f t="shared" si="13"/>
        <v/>
      </c>
      <c r="AW197" s="2" t="str">
        <f t="shared" si="14"/>
        <v/>
      </c>
      <c r="AX197" s="2" t="str">
        <f t="shared" si="15"/>
        <v/>
      </c>
      <c r="AY197" s="2" t="str">
        <f>IF($AV197="","",IF(AND($Z197=0,COUNTIF('AR SALES'!$L$2:$L$2501,$L197)=0),"YES",""))</f>
        <v/>
      </c>
      <c r="AZ197" s="2" t="str">
        <f>IF($AV197="","",IF(COUNTIF(LISTS!$C$2:$C$250,$AU197)=0,"NEW",""))</f>
        <v/>
      </c>
      <c r="BA197" s="2" t="str">
        <f>IF(""&amp;$F197&lt;&gt;"4","",IF($AY197="YES","",IF(ROUND(SUMIFS($AE$2:$AE$4001,$L$2:$L$4001,$L197,$F$2:$F$4001,"4")-SUMIFS('AR SALES'!$Y$2:$Y$2501,'AR SALES'!$L$2:$L$2501,$L197,'AR SALES'!$AD$2:$AD$2501,"OFF"),2)=0,"","STALE")))</f>
        <v/>
      </c>
      <c r="BB197" s="2" t="str">
        <f>IF(OR(""&amp;$F197="2",""&amp;$F197="4",""&amp;$F197="G",""&amp;$F197="H"),IF($AY197="YES","",IF($AB197&lt;&gt;0,"",IF(COUNTIFS('AR SALES'!$L$2:$L$2501,$L197,'AR SALES'!$AD$2:$AD$2501,IF(""&amp;$F197="4","OFF","ON"),'AR SALES'!$AF$2:$AF$2501,"Y")&gt;0,"","NO EXEMPTION"))),"")</f>
        <v/>
      </c>
    </row>
    <row r="198" spans="46:54" x14ac:dyDescent="0.25">
      <c r="AT198" s="2" t="str">
        <f>IF($L198="","",IFERROR(INDEX('AR SALES'!$H$2:$H$2501,MATCH(""&amp;$L198,'AR SALES'!$AE$2:$AE$2501,0)),""))</f>
        <v/>
      </c>
      <c r="AU198" s="2" t="str">
        <f t="shared" si="12"/>
        <v/>
      </c>
      <c r="AV198" s="2" t="str">
        <f t="shared" si="13"/>
        <v/>
      </c>
      <c r="AW198" s="2" t="str">
        <f t="shared" si="14"/>
        <v/>
      </c>
      <c r="AX198" s="2" t="str">
        <f t="shared" si="15"/>
        <v/>
      </c>
      <c r="AY198" s="2" t="str">
        <f>IF($AV198="","",IF(AND($Z198=0,COUNTIF('AR SALES'!$L$2:$L$2501,$L198)=0),"YES",""))</f>
        <v/>
      </c>
      <c r="AZ198" s="2" t="str">
        <f>IF($AV198="","",IF(COUNTIF(LISTS!$C$2:$C$250,$AU198)=0,"NEW",""))</f>
        <v/>
      </c>
      <c r="BA198" s="2" t="str">
        <f>IF(""&amp;$F198&lt;&gt;"4","",IF($AY198="YES","",IF(ROUND(SUMIFS($AE$2:$AE$4001,$L$2:$L$4001,$L198,$F$2:$F$4001,"4")-SUMIFS('AR SALES'!$Y$2:$Y$2501,'AR SALES'!$L$2:$L$2501,$L198,'AR SALES'!$AD$2:$AD$2501,"OFF"),2)=0,"","STALE")))</f>
        <v/>
      </c>
      <c r="BB198" s="2" t="str">
        <f>IF(OR(""&amp;$F198="2",""&amp;$F198="4",""&amp;$F198="G",""&amp;$F198="H"),IF($AY198="YES","",IF($AB198&lt;&gt;0,"",IF(COUNTIFS('AR SALES'!$L$2:$L$2501,$L198,'AR SALES'!$AD$2:$AD$2501,IF(""&amp;$F198="4","OFF","ON"),'AR SALES'!$AF$2:$AF$2501,"Y")&gt;0,"","NO EXEMPTION"))),"")</f>
        <v/>
      </c>
    </row>
    <row r="199" spans="46:54" x14ac:dyDescent="0.25">
      <c r="AT199" s="2" t="str">
        <f>IF($L199="","",IFERROR(INDEX('AR SALES'!$H$2:$H$2501,MATCH(""&amp;$L199,'AR SALES'!$AE$2:$AE$2501,0)),""))</f>
        <v/>
      </c>
      <c r="AU199" s="2" t="str">
        <f t="shared" si="12"/>
        <v/>
      </c>
      <c r="AV199" s="2" t="str">
        <f t="shared" si="13"/>
        <v/>
      </c>
      <c r="AW199" s="2" t="str">
        <f t="shared" si="14"/>
        <v/>
      </c>
      <c r="AX199" s="2" t="str">
        <f t="shared" si="15"/>
        <v/>
      </c>
      <c r="AY199" s="2" t="str">
        <f>IF($AV199="","",IF(AND($Z199=0,COUNTIF('AR SALES'!$L$2:$L$2501,$L199)=0),"YES",""))</f>
        <v/>
      </c>
      <c r="AZ199" s="2" t="str">
        <f>IF($AV199="","",IF(COUNTIF(LISTS!$C$2:$C$250,$AU199)=0,"NEW",""))</f>
        <v/>
      </c>
      <c r="BA199" s="2" t="str">
        <f>IF(""&amp;$F199&lt;&gt;"4","",IF($AY199="YES","",IF(ROUND(SUMIFS($AE$2:$AE$4001,$L$2:$L$4001,$L199,$F$2:$F$4001,"4")-SUMIFS('AR SALES'!$Y$2:$Y$2501,'AR SALES'!$L$2:$L$2501,$L199,'AR SALES'!$AD$2:$AD$2501,"OFF"),2)=0,"","STALE")))</f>
        <v/>
      </c>
      <c r="BB199" s="2" t="str">
        <f>IF(OR(""&amp;$F199="2",""&amp;$F199="4",""&amp;$F199="G",""&amp;$F199="H"),IF($AY199="YES","",IF($AB199&lt;&gt;0,"",IF(COUNTIFS('AR SALES'!$L$2:$L$2501,$L199,'AR SALES'!$AD$2:$AD$2501,IF(""&amp;$F199="4","OFF","ON"),'AR SALES'!$AF$2:$AF$2501,"Y")&gt;0,"","NO EXEMPTION"))),"")</f>
        <v/>
      </c>
    </row>
    <row r="200" spans="46:54" x14ac:dyDescent="0.25">
      <c r="AT200" s="2" t="str">
        <f>IF($L200="","",IFERROR(INDEX('AR SALES'!$H$2:$H$2501,MATCH(""&amp;$L200,'AR SALES'!$AE$2:$AE$2501,0)),""))</f>
        <v/>
      </c>
      <c r="AU200" s="2" t="str">
        <f t="shared" si="12"/>
        <v/>
      </c>
      <c r="AV200" s="2" t="str">
        <f t="shared" si="13"/>
        <v/>
      </c>
      <c r="AW200" s="2" t="str">
        <f t="shared" si="14"/>
        <v/>
      </c>
      <c r="AX200" s="2" t="str">
        <f t="shared" si="15"/>
        <v/>
      </c>
      <c r="AY200" s="2" t="str">
        <f>IF($AV200="","",IF(AND($Z200=0,COUNTIF('AR SALES'!$L$2:$L$2501,$L200)=0),"YES",""))</f>
        <v/>
      </c>
      <c r="AZ200" s="2" t="str">
        <f>IF($AV200="","",IF(COUNTIF(LISTS!$C$2:$C$250,$AU200)=0,"NEW",""))</f>
        <v/>
      </c>
      <c r="BA200" s="2" t="str">
        <f>IF(""&amp;$F200&lt;&gt;"4","",IF($AY200="YES","",IF(ROUND(SUMIFS($AE$2:$AE$4001,$L$2:$L$4001,$L200,$F$2:$F$4001,"4")-SUMIFS('AR SALES'!$Y$2:$Y$2501,'AR SALES'!$L$2:$L$2501,$L200,'AR SALES'!$AD$2:$AD$2501,"OFF"),2)=0,"","STALE")))</f>
        <v/>
      </c>
      <c r="BB200" s="2" t="str">
        <f>IF(OR(""&amp;$F200="2",""&amp;$F200="4",""&amp;$F200="G",""&amp;$F200="H"),IF($AY200="YES","",IF($AB200&lt;&gt;0,"",IF(COUNTIFS('AR SALES'!$L$2:$L$2501,$L200,'AR SALES'!$AD$2:$AD$2501,IF(""&amp;$F200="4","OFF","ON"),'AR SALES'!$AF$2:$AF$2501,"Y")&gt;0,"","NO EXEMPTION"))),"")</f>
        <v/>
      </c>
    </row>
    <row r="201" spans="46:54" x14ac:dyDescent="0.25">
      <c r="AT201" s="2" t="str">
        <f>IF($L201="","",IFERROR(INDEX('AR SALES'!$H$2:$H$2501,MATCH(""&amp;$L201,'AR SALES'!$AE$2:$AE$2501,0)),""))</f>
        <v/>
      </c>
      <c r="AU201" s="2" t="str">
        <f t="shared" si="12"/>
        <v/>
      </c>
      <c r="AV201" s="2" t="str">
        <f t="shared" si="13"/>
        <v/>
      </c>
      <c r="AW201" s="2" t="str">
        <f t="shared" si="14"/>
        <v/>
      </c>
      <c r="AX201" s="2" t="str">
        <f t="shared" si="15"/>
        <v/>
      </c>
      <c r="AY201" s="2" t="str">
        <f>IF($AV201="","",IF(AND($Z201=0,COUNTIF('AR SALES'!$L$2:$L$2501,$L201)=0),"YES",""))</f>
        <v/>
      </c>
      <c r="AZ201" s="2" t="str">
        <f>IF($AV201="","",IF(COUNTIF(LISTS!$C$2:$C$250,$AU201)=0,"NEW",""))</f>
        <v/>
      </c>
      <c r="BA201" s="2" t="str">
        <f>IF(""&amp;$F201&lt;&gt;"4","",IF($AY201="YES","",IF(ROUND(SUMIFS($AE$2:$AE$4001,$L$2:$L$4001,$L201,$F$2:$F$4001,"4")-SUMIFS('AR SALES'!$Y$2:$Y$2501,'AR SALES'!$L$2:$L$2501,$L201,'AR SALES'!$AD$2:$AD$2501,"OFF"),2)=0,"","STALE")))</f>
        <v/>
      </c>
      <c r="BB201" s="2" t="str">
        <f>IF(OR(""&amp;$F201="2",""&amp;$F201="4",""&amp;$F201="G",""&amp;$F201="H"),IF($AY201="YES","",IF($AB201&lt;&gt;0,"",IF(COUNTIFS('AR SALES'!$L$2:$L$2501,$L201,'AR SALES'!$AD$2:$AD$2501,IF(""&amp;$F201="4","OFF","ON"),'AR SALES'!$AF$2:$AF$2501,"Y")&gt;0,"","NO EXEMPTION"))),"")</f>
        <v/>
      </c>
    </row>
    <row r="202" spans="46:54" x14ac:dyDescent="0.25">
      <c r="AT202" s="2" t="str">
        <f>IF($L202="","",IFERROR(INDEX('AR SALES'!$H$2:$H$2501,MATCH(""&amp;$L202,'AR SALES'!$AE$2:$AE$2501,0)),""))</f>
        <v/>
      </c>
      <c r="AU202" s="2" t="str">
        <f t="shared" si="12"/>
        <v/>
      </c>
      <c r="AV202" s="2" t="str">
        <f t="shared" si="13"/>
        <v/>
      </c>
      <c r="AW202" s="2" t="str">
        <f t="shared" si="14"/>
        <v/>
      </c>
      <c r="AX202" s="2" t="str">
        <f t="shared" si="15"/>
        <v/>
      </c>
      <c r="AY202" s="2" t="str">
        <f>IF($AV202="","",IF(AND($Z202=0,COUNTIF('AR SALES'!$L$2:$L$2501,$L202)=0),"YES",""))</f>
        <v/>
      </c>
      <c r="AZ202" s="2" t="str">
        <f>IF($AV202="","",IF(COUNTIF(LISTS!$C$2:$C$250,$AU202)=0,"NEW",""))</f>
        <v/>
      </c>
      <c r="BA202" s="2" t="str">
        <f>IF(""&amp;$F202&lt;&gt;"4","",IF($AY202="YES","",IF(ROUND(SUMIFS($AE$2:$AE$4001,$L$2:$L$4001,$L202,$F$2:$F$4001,"4")-SUMIFS('AR SALES'!$Y$2:$Y$2501,'AR SALES'!$L$2:$L$2501,$L202,'AR SALES'!$AD$2:$AD$2501,"OFF"),2)=0,"","STALE")))</f>
        <v/>
      </c>
      <c r="BB202" s="2" t="str">
        <f>IF(OR(""&amp;$F202="2",""&amp;$F202="4",""&amp;$F202="G",""&amp;$F202="H"),IF($AY202="YES","",IF($AB202&lt;&gt;0,"",IF(COUNTIFS('AR SALES'!$L$2:$L$2501,$L202,'AR SALES'!$AD$2:$AD$2501,IF(""&amp;$F202="4","OFF","ON"),'AR SALES'!$AF$2:$AF$2501,"Y")&gt;0,"","NO EXEMPTION"))),"")</f>
        <v/>
      </c>
    </row>
    <row r="203" spans="46:54" x14ac:dyDescent="0.25">
      <c r="AT203" s="2" t="str">
        <f>IF($L203="","",IFERROR(INDEX('AR SALES'!$H$2:$H$2501,MATCH(""&amp;$L203,'AR SALES'!$AE$2:$AE$2501,0)),""))</f>
        <v/>
      </c>
      <c r="AU203" s="2" t="str">
        <f t="shared" si="12"/>
        <v/>
      </c>
      <c r="AV203" s="2" t="str">
        <f t="shared" si="13"/>
        <v/>
      </c>
      <c r="AW203" s="2" t="str">
        <f t="shared" si="14"/>
        <v/>
      </c>
      <c r="AX203" s="2" t="str">
        <f t="shared" si="15"/>
        <v/>
      </c>
      <c r="AY203" s="2" t="str">
        <f>IF($AV203="","",IF(AND($Z203=0,COUNTIF('AR SALES'!$L$2:$L$2501,$L203)=0),"YES",""))</f>
        <v/>
      </c>
      <c r="AZ203" s="2" t="str">
        <f>IF($AV203="","",IF(COUNTIF(LISTS!$C$2:$C$250,$AU203)=0,"NEW",""))</f>
        <v/>
      </c>
      <c r="BA203" s="2" t="str">
        <f>IF(""&amp;$F203&lt;&gt;"4","",IF($AY203="YES","",IF(ROUND(SUMIFS($AE$2:$AE$4001,$L$2:$L$4001,$L203,$F$2:$F$4001,"4")-SUMIFS('AR SALES'!$Y$2:$Y$2501,'AR SALES'!$L$2:$L$2501,$L203,'AR SALES'!$AD$2:$AD$2501,"OFF"),2)=0,"","STALE")))</f>
        <v/>
      </c>
      <c r="BB203" s="2" t="str">
        <f>IF(OR(""&amp;$F203="2",""&amp;$F203="4",""&amp;$F203="G",""&amp;$F203="H"),IF($AY203="YES","",IF($AB203&lt;&gt;0,"",IF(COUNTIFS('AR SALES'!$L$2:$L$2501,$L203,'AR SALES'!$AD$2:$AD$2501,IF(""&amp;$F203="4","OFF","ON"),'AR SALES'!$AF$2:$AF$2501,"Y")&gt;0,"","NO EXEMPTION"))),"")</f>
        <v/>
      </c>
    </row>
    <row r="204" spans="46:54" x14ac:dyDescent="0.25">
      <c r="AT204" s="2" t="str">
        <f>IF($L204="","",IFERROR(INDEX('AR SALES'!$H$2:$H$2501,MATCH(""&amp;$L204,'AR SALES'!$AE$2:$AE$2501,0)),""))</f>
        <v/>
      </c>
      <c r="AU204" s="2" t="str">
        <f t="shared" si="12"/>
        <v/>
      </c>
      <c r="AV204" s="2" t="str">
        <f t="shared" si="13"/>
        <v/>
      </c>
      <c r="AW204" s="2" t="str">
        <f t="shared" si="14"/>
        <v/>
      </c>
      <c r="AX204" s="2" t="str">
        <f t="shared" si="15"/>
        <v/>
      </c>
      <c r="AY204" s="2" t="str">
        <f>IF($AV204="","",IF(AND($Z204=0,COUNTIF('AR SALES'!$L$2:$L$2501,$L204)=0),"YES",""))</f>
        <v/>
      </c>
      <c r="AZ204" s="2" t="str">
        <f>IF($AV204="","",IF(COUNTIF(LISTS!$C$2:$C$250,$AU204)=0,"NEW",""))</f>
        <v/>
      </c>
      <c r="BA204" s="2" t="str">
        <f>IF(""&amp;$F204&lt;&gt;"4","",IF($AY204="YES","",IF(ROUND(SUMIFS($AE$2:$AE$4001,$L$2:$L$4001,$L204,$F$2:$F$4001,"4")-SUMIFS('AR SALES'!$Y$2:$Y$2501,'AR SALES'!$L$2:$L$2501,$L204,'AR SALES'!$AD$2:$AD$2501,"OFF"),2)=0,"","STALE")))</f>
        <v/>
      </c>
      <c r="BB204" s="2" t="str">
        <f>IF(OR(""&amp;$F204="2",""&amp;$F204="4",""&amp;$F204="G",""&amp;$F204="H"),IF($AY204="YES","",IF($AB204&lt;&gt;0,"",IF(COUNTIFS('AR SALES'!$L$2:$L$2501,$L204,'AR SALES'!$AD$2:$AD$2501,IF(""&amp;$F204="4","OFF","ON"),'AR SALES'!$AF$2:$AF$2501,"Y")&gt;0,"","NO EXEMPTION"))),"")</f>
        <v/>
      </c>
    </row>
    <row r="205" spans="46:54" x14ac:dyDescent="0.25">
      <c r="AT205" s="2" t="str">
        <f>IF($L205="","",IFERROR(INDEX('AR SALES'!$H$2:$H$2501,MATCH(""&amp;$L205,'AR SALES'!$AE$2:$AE$2501,0)),""))</f>
        <v/>
      </c>
      <c r="AU205" s="2" t="str">
        <f t="shared" si="12"/>
        <v/>
      </c>
      <c r="AV205" s="2" t="str">
        <f t="shared" si="13"/>
        <v/>
      </c>
      <c r="AW205" s="2" t="str">
        <f t="shared" si="14"/>
        <v/>
      </c>
      <c r="AX205" s="2" t="str">
        <f t="shared" si="15"/>
        <v/>
      </c>
      <c r="AY205" s="2" t="str">
        <f>IF($AV205="","",IF(AND($Z205=0,COUNTIF('AR SALES'!$L$2:$L$2501,$L205)=0),"YES",""))</f>
        <v/>
      </c>
      <c r="AZ205" s="2" t="str">
        <f>IF($AV205="","",IF(COUNTIF(LISTS!$C$2:$C$250,$AU205)=0,"NEW",""))</f>
        <v/>
      </c>
      <c r="BA205" s="2" t="str">
        <f>IF(""&amp;$F205&lt;&gt;"4","",IF($AY205="YES","",IF(ROUND(SUMIFS($AE$2:$AE$4001,$L$2:$L$4001,$L205,$F$2:$F$4001,"4")-SUMIFS('AR SALES'!$Y$2:$Y$2501,'AR SALES'!$L$2:$L$2501,$L205,'AR SALES'!$AD$2:$AD$2501,"OFF"),2)=0,"","STALE")))</f>
        <v/>
      </c>
      <c r="BB205" s="2" t="str">
        <f>IF(OR(""&amp;$F205="2",""&amp;$F205="4",""&amp;$F205="G",""&amp;$F205="H"),IF($AY205="YES","",IF($AB205&lt;&gt;0,"",IF(COUNTIFS('AR SALES'!$L$2:$L$2501,$L205,'AR SALES'!$AD$2:$AD$2501,IF(""&amp;$F205="4","OFF","ON"),'AR SALES'!$AF$2:$AF$2501,"Y")&gt;0,"","NO EXEMPTION"))),"")</f>
        <v/>
      </c>
    </row>
    <row r="206" spans="46:54" x14ac:dyDescent="0.25">
      <c r="AT206" s="2" t="str">
        <f>IF($L206="","",IFERROR(INDEX('AR SALES'!$H$2:$H$2501,MATCH(""&amp;$L206,'AR SALES'!$AE$2:$AE$2501,0)),""))</f>
        <v/>
      </c>
      <c r="AU206" s="2" t="str">
        <f t="shared" si="12"/>
        <v/>
      </c>
      <c r="AV206" s="2" t="str">
        <f t="shared" si="13"/>
        <v/>
      </c>
      <c r="AW206" s="2" t="str">
        <f t="shared" si="14"/>
        <v/>
      </c>
      <c r="AX206" s="2" t="str">
        <f t="shared" si="15"/>
        <v/>
      </c>
      <c r="AY206" s="2" t="str">
        <f>IF($AV206="","",IF(AND($Z206=0,COUNTIF('AR SALES'!$L$2:$L$2501,$L206)=0),"YES",""))</f>
        <v/>
      </c>
      <c r="AZ206" s="2" t="str">
        <f>IF($AV206="","",IF(COUNTIF(LISTS!$C$2:$C$250,$AU206)=0,"NEW",""))</f>
        <v/>
      </c>
      <c r="BA206" s="2" t="str">
        <f>IF(""&amp;$F206&lt;&gt;"4","",IF($AY206="YES","",IF(ROUND(SUMIFS($AE$2:$AE$4001,$L$2:$L$4001,$L206,$F$2:$F$4001,"4")-SUMIFS('AR SALES'!$Y$2:$Y$2501,'AR SALES'!$L$2:$L$2501,$L206,'AR SALES'!$AD$2:$AD$2501,"OFF"),2)=0,"","STALE")))</f>
        <v/>
      </c>
      <c r="BB206" s="2" t="str">
        <f>IF(OR(""&amp;$F206="2",""&amp;$F206="4",""&amp;$F206="G",""&amp;$F206="H"),IF($AY206="YES","",IF($AB206&lt;&gt;0,"",IF(COUNTIFS('AR SALES'!$L$2:$L$2501,$L206,'AR SALES'!$AD$2:$AD$2501,IF(""&amp;$F206="4","OFF","ON"),'AR SALES'!$AF$2:$AF$2501,"Y")&gt;0,"","NO EXEMPTION"))),"")</f>
        <v/>
      </c>
    </row>
    <row r="207" spans="46:54" x14ac:dyDescent="0.25">
      <c r="AT207" s="2" t="str">
        <f>IF($L207="","",IFERROR(INDEX('AR SALES'!$H$2:$H$2501,MATCH(""&amp;$L207,'AR SALES'!$AE$2:$AE$2501,0)),""))</f>
        <v/>
      </c>
      <c r="AU207" s="2" t="str">
        <f t="shared" si="12"/>
        <v/>
      </c>
      <c r="AV207" s="2" t="str">
        <f t="shared" si="13"/>
        <v/>
      </c>
      <c r="AW207" s="2" t="str">
        <f t="shared" si="14"/>
        <v/>
      </c>
      <c r="AX207" s="2" t="str">
        <f t="shared" si="15"/>
        <v/>
      </c>
      <c r="AY207" s="2" t="str">
        <f>IF($AV207="","",IF(AND($Z207=0,COUNTIF('AR SALES'!$L$2:$L$2501,$L207)=0),"YES",""))</f>
        <v/>
      </c>
      <c r="AZ207" s="2" t="str">
        <f>IF($AV207="","",IF(COUNTIF(LISTS!$C$2:$C$250,$AU207)=0,"NEW",""))</f>
        <v/>
      </c>
      <c r="BA207" s="2" t="str">
        <f>IF(""&amp;$F207&lt;&gt;"4","",IF($AY207="YES","",IF(ROUND(SUMIFS($AE$2:$AE$4001,$L$2:$L$4001,$L207,$F$2:$F$4001,"4")-SUMIFS('AR SALES'!$Y$2:$Y$2501,'AR SALES'!$L$2:$L$2501,$L207,'AR SALES'!$AD$2:$AD$2501,"OFF"),2)=0,"","STALE")))</f>
        <v/>
      </c>
      <c r="BB207" s="2" t="str">
        <f>IF(OR(""&amp;$F207="2",""&amp;$F207="4",""&amp;$F207="G",""&amp;$F207="H"),IF($AY207="YES","",IF($AB207&lt;&gt;0,"",IF(COUNTIFS('AR SALES'!$L$2:$L$2501,$L207,'AR SALES'!$AD$2:$AD$2501,IF(""&amp;$F207="4","OFF","ON"),'AR SALES'!$AF$2:$AF$2501,"Y")&gt;0,"","NO EXEMPTION"))),"")</f>
        <v/>
      </c>
    </row>
    <row r="208" spans="46:54" x14ac:dyDescent="0.25">
      <c r="AT208" s="2" t="str">
        <f>IF($L208="","",IFERROR(INDEX('AR SALES'!$H$2:$H$2501,MATCH(""&amp;$L208,'AR SALES'!$AE$2:$AE$2501,0)),""))</f>
        <v/>
      </c>
      <c r="AU208" s="2" t="str">
        <f t="shared" si="12"/>
        <v/>
      </c>
      <c r="AV208" s="2" t="str">
        <f t="shared" si="13"/>
        <v/>
      </c>
      <c r="AW208" s="2" t="str">
        <f t="shared" si="14"/>
        <v/>
      </c>
      <c r="AX208" s="2" t="str">
        <f t="shared" si="15"/>
        <v/>
      </c>
      <c r="AY208" s="2" t="str">
        <f>IF($AV208="","",IF(AND($Z208=0,COUNTIF('AR SALES'!$L$2:$L$2501,$L208)=0),"YES",""))</f>
        <v/>
      </c>
      <c r="AZ208" s="2" t="str">
        <f>IF($AV208="","",IF(COUNTIF(LISTS!$C$2:$C$250,$AU208)=0,"NEW",""))</f>
        <v/>
      </c>
      <c r="BA208" s="2" t="str">
        <f>IF(""&amp;$F208&lt;&gt;"4","",IF($AY208="YES","",IF(ROUND(SUMIFS($AE$2:$AE$4001,$L$2:$L$4001,$L208,$F$2:$F$4001,"4")-SUMIFS('AR SALES'!$Y$2:$Y$2501,'AR SALES'!$L$2:$L$2501,$L208,'AR SALES'!$AD$2:$AD$2501,"OFF"),2)=0,"","STALE")))</f>
        <v/>
      </c>
      <c r="BB208" s="2" t="str">
        <f>IF(OR(""&amp;$F208="2",""&amp;$F208="4",""&amp;$F208="G",""&amp;$F208="H"),IF($AY208="YES","",IF($AB208&lt;&gt;0,"",IF(COUNTIFS('AR SALES'!$L$2:$L$2501,$L208,'AR SALES'!$AD$2:$AD$2501,IF(""&amp;$F208="4","OFF","ON"),'AR SALES'!$AF$2:$AF$2501,"Y")&gt;0,"","NO EXEMPTION"))),"")</f>
        <v/>
      </c>
    </row>
    <row r="209" spans="46:54" x14ac:dyDescent="0.25">
      <c r="AT209" s="2" t="str">
        <f>IF($L209="","",IFERROR(INDEX('AR SALES'!$H$2:$H$2501,MATCH(""&amp;$L209,'AR SALES'!$AE$2:$AE$2501,0)),""))</f>
        <v/>
      </c>
      <c r="AU209" s="2" t="str">
        <f t="shared" si="12"/>
        <v/>
      </c>
      <c r="AV209" s="2" t="str">
        <f t="shared" si="13"/>
        <v/>
      </c>
      <c r="AW209" s="2" t="str">
        <f t="shared" si="14"/>
        <v/>
      </c>
      <c r="AX209" s="2" t="str">
        <f t="shared" si="15"/>
        <v/>
      </c>
      <c r="AY209" s="2" t="str">
        <f>IF($AV209="","",IF(AND($Z209=0,COUNTIF('AR SALES'!$L$2:$L$2501,$L209)=0),"YES",""))</f>
        <v/>
      </c>
      <c r="AZ209" s="2" t="str">
        <f>IF($AV209="","",IF(COUNTIF(LISTS!$C$2:$C$250,$AU209)=0,"NEW",""))</f>
        <v/>
      </c>
      <c r="BA209" s="2" t="str">
        <f>IF(""&amp;$F209&lt;&gt;"4","",IF($AY209="YES","",IF(ROUND(SUMIFS($AE$2:$AE$4001,$L$2:$L$4001,$L209,$F$2:$F$4001,"4")-SUMIFS('AR SALES'!$Y$2:$Y$2501,'AR SALES'!$L$2:$L$2501,$L209,'AR SALES'!$AD$2:$AD$2501,"OFF"),2)=0,"","STALE")))</f>
        <v/>
      </c>
      <c r="BB209" s="2" t="str">
        <f>IF(OR(""&amp;$F209="2",""&amp;$F209="4",""&amp;$F209="G",""&amp;$F209="H"),IF($AY209="YES","",IF($AB209&lt;&gt;0,"",IF(COUNTIFS('AR SALES'!$L$2:$L$2501,$L209,'AR SALES'!$AD$2:$AD$2501,IF(""&amp;$F209="4","OFF","ON"),'AR SALES'!$AF$2:$AF$2501,"Y")&gt;0,"","NO EXEMPTION"))),"")</f>
        <v/>
      </c>
    </row>
    <row r="210" spans="46:54" x14ac:dyDescent="0.25">
      <c r="AT210" s="2" t="str">
        <f>IF($L210="","",IFERROR(INDEX('AR SALES'!$H$2:$H$2501,MATCH(""&amp;$L210,'AR SALES'!$AE$2:$AE$2501,0)),""))</f>
        <v/>
      </c>
      <c r="AU210" s="2" t="str">
        <f t="shared" si="12"/>
        <v/>
      </c>
      <c r="AV210" s="2" t="str">
        <f t="shared" si="13"/>
        <v/>
      </c>
      <c r="AW210" s="2" t="str">
        <f t="shared" si="14"/>
        <v/>
      </c>
      <c r="AX210" s="2" t="str">
        <f t="shared" si="15"/>
        <v/>
      </c>
      <c r="AY210" s="2" t="str">
        <f>IF($AV210="","",IF(AND($Z210=0,COUNTIF('AR SALES'!$L$2:$L$2501,$L210)=0),"YES",""))</f>
        <v/>
      </c>
      <c r="AZ210" s="2" t="str">
        <f>IF($AV210="","",IF(COUNTIF(LISTS!$C$2:$C$250,$AU210)=0,"NEW",""))</f>
        <v/>
      </c>
      <c r="BA210" s="2" t="str">
        <f>IF(""&amp;$F210&lt;&gt;"4","",IF($AY210="YES","",IF(ROUND(SUMIFS($AE$2:$AE$4001,$L$2:$L$4001,$L210,$F$2:$F$4001,"4")-SUMIFS('AR SALES'!$Y$2:$Y$2501,'AR SALES'!$L$2:$L$2501,$L210,'AR SALES'!$AD$2:$AD$2501,"OFF"),2)=0,"","STALE")))</f>
        <v/>
      </c>
      <c r="BB210" s="2" t="str">
        <f>IF(OR(""&amp;$F210="2",""&amp;$F210="4",""&amp;$F210="G",""&amp;$F210="H"),IF($AY210="YES","",IF($AB210&lt;&gt;0,"",IF(COUNTIFS('AR SALES'!$L$2:$L$2501,$L210,'AR SALES'!$AD$2:$AD$2501,IF(""&amp;$F210="4","OFF","ON"),'AR SALES'!$AF$2:$AF$2501,"Y")&gt;0,"","NO EXEMPTION"))),"")</f>
        <v/>
      </c>
    </row>
    <row r="211" spans="46:54" x14ac:dyDescent="0.25">
      <c r="AT211" s="2" t="str">
        <f>IF($L211="","",IFERROR(INDEX('AR SALES'!$H$2:$H$2501,MATCH(""&amp;$L211,'AR SALES'!$AE$2:$AE$2501,0)),""))</f>
        <v/>
      </c>
      <c r="AU211" s="2" t="str">
        <f t="shared" si="12"/>
        <v/>
      </c>
      <c r="AV211" s="2" t="str">
        <f t="shared" si="13"/>
        <v/>
      </c>
      <c r="AW211" s="2" t="str">
        <f t="shared" si="14"/>
        <v/>
      </c>
      <c r="AX211" s="2" t="str">
        <f t="shared" si="15"/>
        <v/>
      </c>
      <c r="AY211" s="2" t="str">
        <f>IF($AV211="","",IF(AND($Z211=0,COUNTIF('AR SALES'!$L$2:$L$2501,$L211)=0),"YES",""))</f>
        <v/>
      </c>
      <c r="AZ211" s="2" t="str">
        <f>IF($AV211="","",IF(COUNTIF(LISTS!$C$2:$C$250,$AU211)=0,"NEW",""))</f>
        <v/>
      </c>
      <c r="BA211" s="2" t="str">
        <f>IF(""&amp;$F211&lt;&gt;"4","",IF($AY211="YES","",IF(ROUND(SUMIFS($AE$2:$AE$4001,$L$2:$L$4001,$L211,$F$2:$F$4001,"4")-SUMIFS('AR SALES'!$Y$2:$Y$2501,'AR SALES'!$L$2:$L$2501,$L211,'AR SALES'!$AD$2:$AD$2501,"OFF"),2)=0,"","STALE")))</f>
        <v/>
      </c>
      <c r="BB211" s="2" t="str">
        <f>IF(OR(""&amp;$F211="2",""&amp;$F211="4",""&amp;$F211="G",""&amp;$F211="H"),IF($AY211="YES","",IF($AB211&lt;&gt;0,"",IF(COUNTIFS('AR SALES'!$L$2:$L$2501,$L211,'AR SALES'!$AD$2:$AD$2501,IF(""&amp;$F211="4","OFF","ON"),'AR SALES'!$AF$2:$AF$2501,"Y")&gt;0,"","NO EXEMPTION"))),"")</f>
        <v/>
      </c>
    </row>
    <row r="212" spans="46:54" x14ac:dyDescent="0.25">
      <c r="AT212" s="2" t="str">
        <f>IF($L212="","",IFERROR(INDEX('AR SALES'!$H$2:$H$2501,MATCH(""&amp;$L212,'AR SALES'!$AE$2:$AE$2501,0)),""))</f>
        <v/>
      </c>
      <c r="AU212" s="2" t="str">
        <f t="shared" si="12"/>
        <v/>
      </c>
      <c r="AV212" s="2" t="str">
        <f t="shared" si="13"/>
        <v/>
      </c>
      <c r="AW212" s="2" t="str">
        <f t="shared" si="14"/>
        <v/>
      </c>
      <c r="AX212" s="2" t="str">
        <f t="shared" si="15"/>
        <v/>
      </c>
      <c r="AY212" s="2" t="str">
        <f>IF($AV212="","",IF(AND($Z212=0,COUNTIF('AR SALES'!$L$2:$L$2501,$L212)=0),"YES",""))</f>
        <v/>
      </c>
      <c r="AZ212" s="2" t="str">
        <f>IF($AV212="","",IF(COUNTIF(LISTS!$C$2:$C$250,$AU212)=0,"NEW",""))</f>
        <v/>
      </c>
      <c r="BA212" s="2" t="str">
        <f>IF(""&amp;$F212&lt;&gt;"4","",IF($AY212="YES","",IF(ROUND(SUMIFS($AE$2:$AE$4001,$L$2:$L$4001,$L212,$F$2:$F$4001,"4")-SUMIFS('AR SALES'!$Y$2:$Y$2501,'AR SALES'!$L$2:$L$2501,$L212,'AR SALES'!$AD$2:$AD$2501,"OFF"),2)=0,"","STALE")))</f>
        <v/>
      </c>
      <c r="BB212" s="2" t="str">
        <f>IF(OR(""&amp;$F212="2",""&amp;$F212="4",""&amp;$F212="G",""&amp;$F212="H"),IF($AY212="YES","",IF($AB212&lt;&gt;0,"",IF(COUNTIFS('AR SALES'!$L$2:$L$2501,$L212,'AR SALES'!$AD$2:$AD$2501,IF(""&amp;$F212="4","OFF","ON"),'AR SALES'!$AF$2:$AF$2501,"Y")&gt;0,"","NO EXEMPTION"))),"")</f>
        <v/>
      </c>
    </row>
    <row r="213" spans="46:54" x14ac:dyDescent="0.25">
      <c r="AT213" s="2" t="str">
        <f>IF($L213="","",IFERROR(INDEX('AR SALES'!$H$2:$H$2501,MATCH(""&amp;$L213,'AR SALES'!$AE$2:$AE$2501,0)),""))</f>
        <v/>
      </c>
      <c r="AU213" s="2" t="str">
        <f t="shared" si="12"/>
        <v/>
      </c>
      <c r="AV213" s="2" t="str">
        <f t="shared" si="13"/>
        <v/>
      </c>
      <c r="AW213" s="2" t="str">
        <f t="shared" si="14"/>
        <v/>
      </c>
      <c r="AX213" s="2" t="str">
        <f t="shared" si="15"/>
        <v/>
      </c>
      <c r="AY213" s="2" t="str">
        <f>IF($AV213="","",IF(AND($Z213=0,COUNTIF('AR SALES'!$L$2:$L$2501,$L213)=0),"YES",""))</f>
        <v/>
      </c>
      <c r="AZ213" s="2" t="str">
        <f>IF($AV213="","",IF(COUNTIF(LISTS!$C$2:$C$250,$AU213)=0,"NEW",""))</f>
        <v/>
      </c>
      <c r="BA213" s="2" t="str">
        <f>IF(""&amp;$F213&lt;&gt;"4","",IF($AY213="YES","",IF(ROUND(SUMIFS($AE$2:$AE$4001,$L$2:$L$4001,$L213,$F$2:$F$4001,"4")-SUMIFS('AR SALES'!$Y$2:$Y$2501,'AR SALES'!$L$2:$L$2501,$L213,'AR SALES'!$AD$2:$AD$2501,"OFF"),2)=0,"","STALE")))</f>
        <v/>
      </c>
      <c r="BB213" s="2" t="str">
        <f>IF(OR(""&amp;$F213="2",""&amp;$F213="4",""&amp;$F213="G",""&amp;$F213="H"),IF($AY213="YES","",IF($AB213&lt;&gt;0,"",IF(COUNTIFS('AR SALES'!$L$2:$L$2501,$L213,'AR SALES'!$AD$2:$AD$2501,IF(""&amp;$F213="4","OFF","ON"),'AR SALES'!$AF$2:$AF$2501,"Y")&gt;0,"","NO EXEMPTION"))),"")</f>
        <v/>
      </c>
    </row>
    <row r="214" spans="46:54" x14ac:dyDescent="0.25">
      <c r="AT214" s="2" t="str">
        <f>IF($L214="","",IFERROR(INDEX('AR SALES'!$H$2:$H$2501,MATCH(""&amp;$L214,'AR SALES'!$AE$2:$AE$2501,0)),""))</f>
        <v/>
      </c>
      <c r="AU214" s="2" t="str">
        <f t="shared" si="12"/>
        <v/>
      </c>
      <c r="AV214" s="2" t="str">
        <f t="shared" si="13"/>
        <v/>
      </c>
      <c r="AW214" s="2" t="str">
        <f t="shared" si="14"/>
        <v/>
      </c>
      <c r="AX214" s="2" t="str">
        <f t="shared" si="15"/>
        <v/>
      </c>
      <c r="AY214" s="2" t="str">
        <f>IF($AV214="","",IF(AND($Z214=0,COUNTIF('AR SALES'!$L$2:$L$2501,$L214)=0),"YES",""))</f>
        <v/>
      </c>
      <c r="AZ214" s="2" t="str">
        <f>IF($AV214="","",IF(COUNTIF(LISTS!$C$2:$C$250,$AU214)=0,"NEW",""))</f>
        <v/>
      </c>
      <c r="BA214" s="2" t="str">
        <f>IF(""&amp;$F214&lt;&gt;"4","",IF($AY214="YES","",IF(ROUND(SUMIFS($AE$2:$AE$4001,$L$2:$L$4001,$L214,$F$2:$F$4001,"4")-SUMIFS('AR SALES'!$Y$2:$Y$2501,'AR SALES'!$L$2:$L$2501,$L214,'AR SALES'!$AD$2:$AD$2501,"OFF"),2)=0,"","STALE")))</f>
        <v/>
      </c>
      <c r="BB214" s="2" t="str">
        <f>IF(OR(""&amp;$F214="2",""&amp;$F214="4",""&amp;$F214="G",""&amp;$F214="H"),IF($AY214="YES","",IF($AB214&lt;&gt;0,"",IF(COUNTIFS('AR SALES'!$L$2:$L$2501,$L214,'AR SALES'!$AD$2:$AD$2501,IF(""&amp;$F214="4","OFF","ON"),'AR SALES'!$AF$2:$AF$2501,"Y")&gt;0,"","NO EXEMPTION"))),"")</f>
        <v/>
      </c>
    </row>
    <row r="215" spans="46:54" x14ac:dyDescent="0.25">
      <c r="AT215" s="2" t="str">
        <f>IF($L215="","",IFERROR(INDEX('AR SALES'!$H$2:$H$2501,MATCH(""&amp;$L215,'AR SALES'!$AE$2:$AE$2501,0)),""))</f>
        <v/>
      </c>
      <c r="AU215" s="2" t="str">
        <f t="shared" si="12"/>
        <v/>
      </c>
      <c r="AV215" s="2" t="str">
        <f t="shared" si="13"/>
        <v/>
      </c>
      <c r="AW215" s="2" t="str">
        <f t="shared" si="14"/>
        <v/>
      </c>
      <c r="AX215" s="2" t="str">
        <f t="shared" si="15"/>
        <v/>
      </c>
      <c r="AY215" s="2" t="str">
        <f>IF($AV215="","",IF(AND($Z215=0,COUNTIF('AR SALES'!$L$2:$L$2501,$L215)=0),"YES",""))</f>
        <v/>
      </c>
      <c r="AZ215" s="2" t="str">
        <f>IF($AV215="","",IF(COUNTIF(LISTS!$C$2:$C$250,$AU215)=0,"NEW",""))</f>
        <v/>
      </c>
      <c r="BA215" s="2" t="str">
        <f>IF(""&amp;$F215&lt;&gt;"4","",IF($AY215="YES","",IF(ROUND(SUMIFS($AE$2:$AE$4001,$L$2:$L$4001,$L215,$F$2:$F$4001,"4")-SUMIFS('AR SALES'!$Y$2:$Y$2501,'AR SALES'!$L$2:$L$2501,$L215,'AR SALES'!$AD$2:$AD$2501,"OFF"),2)=0,"","STALE")))</f>
        <v/>
      </c>
      <c r="BB215" s="2" t="str">
        <f>IF(OR(""&amp;$F215="2",""&amp;$F215="4",""&amp;$F215="G",""&amp;$F215="H"),IF($AY215="YES","",IF($AB215&lt;&gt;0,"",IF(COUNTIFS('AR SALES'!$L$2:$L$2501,$L215,'AR SALES'!$AD$2:$AD$2501,IF(""&amp;$F215="4","OFF","ON"),'AR SALES'!$AF$2:$AF$2501,"Y")&gt;0,"","NO EXEMPTION"))),"")</f>
        <v/>
      </c>
    </row>
    <row r="216" spans="46:54" x14ac:dyDescent="0.25">
      <c r="AT216" s="2" t="str">
        <f>IF($L216="","",IFERROR(INDEX('AR SALES'!$H$2:$H$2501,MATCH(""&amp;$L216,'AR SALES'!$AE$2:$AE$2501,0)),""))</f>
        <v/>
      </c>
      <c r="AU216" s="2" t="str">
        <f t="shared" si="12"/>
        <v/>
      </c>
      <c r="AV216" s="2" t="str">
        <f t="shared" si="13"/>
        <v/>
      </c>
      <c r="AW216" s="2" t="str">
        <f t="shared" si="14"/>
        <v/>
      </c>
      <c r="AX216" s="2" t="str">
        <f t="shared" si="15"/>
        <v/>
      </c>
      <c r="AY216" s="2" t="str">
        <f>IF($AV216="","",IF(AND($Z216=0,COUNTIF('AR SALES'!$L$2:$L$2501,$L216)=0),"YES",""))</f>
        <v/>
      </c>
      <c r="AZ216" s="2" t="str">
        <f>IF($AV216="","",IF(COUNTIF(LISTS!$C$2:$C$250,$AU216)=0,"NEW",""))</f>
        <v/>
      </c>
      <c r="BA216" s="2" t="str">
        <f>IF(""&amp;$F216&lt;&gt;"4","",IF($AY216="YES","",IF(ROUND(SUMIFS($AE$2:$AE$4001,$L$2:$L$4001,$L216,$F$2:$F$4001,"4")-SUMIFS('AR SALES'!$Y$2:$Y$2501,'AR SALES'!$L$2:$L$2501,$L216,'AR SALES'!$AD$2:$AD$2501,"OFF"),2)=0,"","STALE")))</f>
        <v/>
      </c>
      <c r="BB216" s="2" t="str">
        <f>IF(OR(""&amp;$F216="2",""&amp;$F216="4",""&amp;$F216="G",""&amp;$F216="H"),IF($AY216="YES","",IF($AB216&lt;&gt;0,"",IF(COUNTIFS('AR SALES'!$L$2:$L$2501,$L216,'AR SALES'!$AD$2:$AD$2501,IF(""&amp;$F216="4","OFF","ON"),'AR SALES'!$AF$2:$AF$2501,"Y")&gt;0,"","NO EXEMPTION"))),"")</f>
        <v/>
      </c>
    </row>
    <row r="217" spans="46:54" x14ac:dyDescent="0.25">
      <c r="AT217" s="2" t="str">
        <f>IF($L217="","",IFERROR(INDEX('AR SALES'!$H$2:$H$2501,MATCH(""&amp;$L217,'AR SALES'!$AE$2:$AE$2501,0)),""))</f>
        <v/>
      </c>
      <c r="AU217" s="2" t="str">
        <f t="shared" si="12"/>
        <v/>
      </c>
      <c r="AV217" s="2" t="str">
        <f t="shared" si="13"/>
        <v/>
      </c>
      <c r="AW217" s="2" t="str">
        <f t="shared" si="14"/>
        <v/>
      </c>
      <c r="AX217" s="2" t="str">
        <f t="shared" si="15"/>
        <v/>
      </c>
      <c r="AY217" s="2" t="str">
        <f>IF($AV217="","",IF(AND($Z217=0,COUNTIF('AR SALES'!$L$2:$L$2501,$L217)=0),"YES",""))</f>
        <v/>
      </c>
      <c r="AZ217" s="2" t="str">
        <f>IF($AV217="","",IF(COUNTIF(LISTS!$C$2:$C$250,$AU217)=0,"NEW",""))</f>
        <v/>
      </c>
      <c r="BA217" s="2" t="str">
        <f>IF(""&amp;$F217&lt;&gt;"4","",IF($AY217="YES","",IF(ROUND(SUMIFS($AE$2:$AE$4001,$L$2:$L$4001,$L217,$F$2:$F$4001,"4")-SUMIFS('AR SALES'!$Y$2:$Y$2501,'AR SALES'!$L$2:$L$2501,$L217,'AR SALES'!$AD$2:$AD$2501,"OFF"),2)=0,"","STALE")))</f>
        <v/>
      </c>
      <c r="BB217" s="2" t="str">
        <f>IF(OR(""&amp;$F217="2",""&amp;$F217="4",""&amp;$F217="G",""&amp;$F217="H"),IF($AY217="YES","",IF($AB217&lt;&gt;0,"",IF(COUNTIFS('AR SALES'!$L$2:$L$2501,$L217,'AR SALES'!$AD$2:$AD$2501,IF(""&amp;$F217="4","OFF","ON"),'AR SALES'!$AF$2:$AF$2501,"Y")&gt;0,"","NO EXEMPTION"))),"")</f>
        <v/>
      </c>
    </row>
    <row r="218" spans="46:54" x14ac:dyDescent="0.25">
      <c r="AT218" s="2" t="str">
        <f>IF($L218="","",IFERROR(INDEX('AR SALES'!$H$2:$H$2501,MATCH(""&amp;$L218,'AR SALES'!$AE$2:$AE$2501,0)),""))</f>
        <v/>
      </c>
      <c r="AU218" s="2" t="str">
        <f t="shared" si="12"/>
        <v/>
      </c>
      <c r="AV218" s="2" t="str">
        <f t="shared" si="13"/>
        <v/>
      </c>
      <c r="AW218" s="2" t="str">
        <f t="shared" si="14"/>
        <v/>
      </c>
      <c r="AX218" s="2" t="str">
        <f t="shared" si="15"/>
        <v/>
      </c>
      <c r="AY218" s="2" t="str">
        <f>IF($AV218="","",IF(AND($Z218=0,COUNTIF('AR SALES'!$L$2:$L$2501,$L218)=0),"YES",""))</f>
        <v/>
      </c>
      <c r="AZ218" s="2" t="str">
        <f>IF($AV218="","",IF(COUNTIF(LISTS!$C$2:$C$250,$AU218)=0,"NEW",""))</f>
        <v/>
      </c>
      <c r="BA218" s="2" t="str">
        <f>IF(""&amp;$F218&lt;&gt;"4","",IF($AY218="YES","",IF(ROUND(SUMIFS($AE$2:$AE$4001,$L$2:$L$4001,$L218,$F$2:$F$4001,"4")-SUMIFS('AR SALES'!$Y$2:$Y$2501,'AR SALES'!$L$2:$L$2501,$L218,'AR SALES'!$AD$2:$AD$2501,"OFF"),2)=0,"","STALE")))</f>
        <v/>
      </c>
      <c r="BB218" s="2" t="str">
        <f>IF(OR(""&amp;$F218="2",""&amp;$F218="4",""&amp;$F218="G",""&amp;$F218="H"),IF($AY218="YES","",IF($AB218&lt;&gt;0,"",IF(COUNTIFS('AR SALES'!$L$2:$L$2501,$L218,'AR SALES'!$AD$2:$AD$2501,IF(""&amp;$F218="4","OFF","ON"),'AR SALES'!$AF$2:$AF$2501,"Y")&gt;0,"","NO EXEMPTION"))),"")</f>
        <v/>
      </c>
    </row>
    <row r="219" spans="46:54" x14ac:dyDescent="0.25">
      <c r="AT219" s="2" t="str">
        <f>IF($L219="","",IFERROR(INDEX('AR SALES'!$H$2:$H$2501,MATCH(""&amp;$L219,'AR SALES'!$AE$2:$AE$2501,0)),""))</f>
        <v/>
      </c>
      <c r="AU219" s="2" t="str">
        <f t="shared" si="12"/>
        <v/>
      </c>
      <c r="AV219" s="2" t="str">
        <f t="shared" si="13"/>
        <v/>
      </c>
      <c r="AW219" s="2" t="str">
        <f t="shared" si="14"/>
        <v/>
      </c>
      <c r="AX219" s="2" t="str">
        <f t="shared" si="15"/>
        <v/>
      </c>
      <c r="AY219" s="2" t="str">
        <f>IF($AV219="","",IF(AND($Z219=0,COUNTIF('AR SALES'!$L$2:$L$2501,$L219)=0),"YES",""))</f>
        <v/>
      </c>
      <c r="AZ219" s="2" t="str">
        <f>IF($AV219="","",IF(COUNTIF(LISTS!$C$2:$C$250,$AU219)=0,"NEW",""))</f>
        <v/>
      </c>
      <c r="BA219" s="2" t="str">
        <f>IF(""&amp;$F219&lt;&gt;"4","",IF($AY219="YES","",IF(ROUND(SUMIFS($AE$2:$AE$4001,$L$2:$L$4001,$L219,$F$2:$F$4001,"4")-SUMIFS('AR SALES'!$Y$2:$Y$2501,'AR SALES'!$L$2:$L$2501,$L219,'AR SALES'!$AD$2:$AD$2501,"OFF"),2)=0,"","STALE")))</f>
        <v/>
      </c>
      <c r="BB219" s="2" t="str">
        <f>IF(OR(""&amp;$F219="2",""&amp;$F219="4",""&amp;$F219="G",""&amp;$F219="H"),IF($AY219="YES","",IF($AB219&lt;&gt;0,"",IF(COUNTIFS('AR SALES'!$L$2:$L$2501,$L219,'AR SALES'!$AD$2:$AD$2501,IF(""&amp;$F219="4","OFF","ON"),'AR SALES'!$AF$2:$AF$2501,"Y")&gt;0,"","NO EXEMPTION"))),"")</f>
        <v/>
      </c>
    </row>
    <row r="220" spans="46:54" x14ac:dyDescent="0.25">
      <c r="AT220" s="2" t="str">
        <f>IF($L220="","",IFERROR(INDEX('AR SALES'!$H$2:$H$2501,MATCH(""&amp;$L220,'AR SALES'!$AE$2:$AE$2501,0)),""))</f>
        <v/>
      </c>
      <c r="AU220" s="2" t="str">
        <f t="shared" si="12"/>
        <v/>
      </c>
      <c r="AV220" s="2" t="str">
        <f t="shared" si="13"/>
        <v/>
      </c>
      <c r="AW220" s="2" t="str">
        <f t="shared" si="14"/>
        <v/>
      </c>
      <c r="AX220" s="2" t="str">
        <f t="shared" si="15"/>
        <v/>
      </c>
      <c r="AY220" s="2" t="str">
        <f>IF($AV220="","",IF(AND($Z220=0,COUNTIF('AR SALES'!$L$2:$L$2501,$L220)=0),"YES",""))</f>
        <v/>
      </c>
      <c r="AZ220" s="2" t="str">
        <f>IF($AV220="","",IF(COUNTIF(LISTS!$C$2:$C$250,$AU220)=0,"NEW",""))</f>
        <v/>
      </c>
      <c r="BA220" s="2" t="str">
        <f>IF(""&amp;$F220&lt;&gt;"4","",IF($AY220="YES","",IF(ROUND(SUMIFS($AE$2:$AE$4001,$L$2:$L$4001,$L220,$F$2:$F$4001,"4")-SUMIFS('AR SALES'!$Y$2:$Y$2501,'AR SALES'!$L$2:$L$2501,$L220,'AR SALES'!$AD$2:$AD$2501,"OFF"),2)=0,"","STALE")))</f>
        <v/>
      </c>
      <c r="BB220" s="2" t="str">
        <f>IF(OR(""&amp;$F220="2",""&amp;$F220="4",""&amp;$F220="G",""&amp;$F220="H"),IF($AY220="YES","",IF($AB220&lt;&gt;0,"",IF(COUNTIFS('AR SALES'!$L$2:$L$2501,$L220,'AR SALES'!$AD$2:$AD$2501,IF(""&amp;$F220="4","OFF","ON"),'AR SALES'!$AF$2:$AF$2501,"Y")&gt;0,"","NO EXEMPTION"))),"")</f>
        <v/>
      </c>
    </row>
    <row r="221" spans="46:54" x14ac:dyDescent="0.25">
      <c r="AT221" s="2" t="str">
        <f>IF($L221="","",IFERROR(INDEX('AR SALES'!$H$2:$H$2501,MATCH(""&amp;$L221,'AR SALES'!$AE$2:$AE$2501,0)),""))</f>
        <v/>
      </c>
      <c r="AU221" s="2" t="str">
        <f t="shared" si="12"/>
        <v/>
      </c>
      <c r="AV221" s="2" t="str">
        <f t="shared" si="13"/>
        <v/>
      </c>
      <c r="AW221" s="2" t="str">
        <f t="shared" si="14"/>
        <v/>
      </c>
      <c r="AX221" s="2" t="str">
        <f t="shared" si="15"/>
        <v/>
      </c>
      <c r="AY221" s="2" t="str">
        <f>IF($AV221="","",IF(AND($Z221=0,COUNTIF('AR SALES'!$L$2:$L$2501,$L221)=0),"YES",""))</f>
        <v/>
      </c>
      <c r="AZ221" s="2" t="str">
        <f>IF($AV221="","",IF(COUNTIF(LISTS!$C$2:$C$250,$AU221)=0,"NEW",""))</f>
        <v/>
      </c>
      <c r="BA221" s="2" t="str">
        <f>IF(""&amp;$F221&lt;&gt;"4","",IF($AY221="YES","",IF(ROUND(SUMIFS($AE$2:$AE$4001,$L$2:$L$4001,$L221,$F$2:$F$4001,"4")-SUMIFS('AR SALES'!$Y$2:$Y$2501,'AR SALES'!$L$2:$L$2501,$L221,'AR SALES'!$AD$2:$AD$2501,"OFF"),2)=0,"","STALE")))</f>
        <v/>
      </c>
      <c r="BB221" s="2" t="str">
        <f>IF(OR(""&amp;$F221="2",""&amp;$F221="4",""&amp;$F221="G",""&amp;$F221="H"),IF($AY221="YES","",IF($AB221&lt;&gt;0,"",IF(COUNTIFS('AR SALES'!$L$2:$L$2501,$L221,'AR SALES'!$AD$2:$AD$2501,IF(""&amp;$F221="4","OFF","ON"),'AR SALES'!$AF$2:$AF$2501,"Y")&gt;0,"","NO EXEMPTION"))),"")</f>
        <v/>
      </c>
    </row>
    <row r="222" spans="46:54" x14ac:dyDescent="0.25">
      <c r="AT222" s="2" t="str">
        <f>IF($L222="","",IFERROR(INDEX('AR SALES'!$H$2:$H$2501,MATCH(""&amp;$L222,'AR SALES'!$AE$2:$AE$2501,0)),""))</f>
        <v/>
      </c>
      <c r="AU222" s="2" t="str">
        <f t="shared" si="12"/>
        <v/>
      </c>
      <c r="AV222" s="2" t="str">
        <f t="shared" si="13"/>
        <v/>
      </c>
      <c r="AW222" s="2" t="str">
        <f t="shared" si="14"/>
        <v/>
      </c>
      <c r="AX222" s="2" t="str">
        <f t="shared" si="15"/>
        <v/>
      </c>
      <c r="AY222" s="2" t="str">
        <f>IF($AV222="","",IF(AND($Z222=0,COUNTIF('AR SALES'!$L$2:$L$2501,$L222)=0),"YES",""))</f>
        <v/>
      </c>
      <c r="AZ222" s="2" t="str">
        <f>IF($AV222="","",IF(COUNTIF(LISTS!$C$2:$C$250,$AU222)=0,"NEW",""))</f>
        <v/>
      </c>
      <c r="BA222" s="2" t="str">
        <f>IF(""&amp;$F222&lt;&gt;"4","",IF($AY222="YES","",IF(ROUND(SUMIFS($AE$2:$AE$4001,$L$2:$L$4001,$L222,$F$2:$F$4001,"4")-SUMIFS('AR SALES'!$Y$2:$Y$2501,'AR SALES'!$L$2:$L$2501,$L222,'AR SALES'!$AD$2:$AD$2501,"OFF"),2)=0,"","STALE")))</f>
        <v/>
      </c>
      <c r="BB222" s="2" t="str">
        <f>IF(OR(""&amp;$F222="2",""&amp;$F222="4",""&amp;$F222="G",""&amp;$F222="H"),IF($AY222="YES","",IF($AB222&lt;&gt;0,"",IF(COUNTIFS('AR SALES'!$L$2:$L$2501,$L222,'AR SALES'!$AD$2:$AD$2501,IF(""&amp;$F222="4","OFF","ON"),'AR SALES'!$AF$2:$AF$2501,"Y")&gt;0,"","NO EXEMPTION"))),"")</f>
        <v/>
      </c>
    </row>
    <row r="223" spans="46:54" x14ac:dyDescent="0.25">
      <c r="AT223" s="2" t="str">
        <f>IF($L223="","",IFERROR(INDEX('AR SALES'!$H$2:$H$2501,MATCH(""&amp;$L223,'AR SALES'!$AE$2:$AE$2501,0)),""))</f>
        <v/>
      </c>
      <c r="AU223" s="2" t="str">
        <f t="shared" si="12"/>
        <v/>
      </c>
      <c r="AV223" s="2" t="str">
        <f t="shared" si="13"/>
        <v/>
      </c>
      <c r="AW223" s="2" t="str">
        <f t="shared" si="14"/>
        <v/>
      </c>
      <c r="AX223" s="2" t="str">
        <f t="shared" si="15"/>
        <v/>
      </c>
      <c r="AY223" s="2" t="str">
        <f>IF($AV223="","",IF(AND($Z223=0,COUNTIF('AR SALES'!$L$2:$L$2501,$L223)=0),"YES",""))</f>
        <v/>
      </c>
      <c r="AZ223" s="2" t="str">
        <f>IF($AV223="","",IF(COUNTIF(LISTS!$C$2:$C$250,$AU223)=0,"NEW",""))</f>
        <v/>
      </c>
      <c r="BA223" s="2" t="str">
        <f>IF(""&amp;$F223&lt;&gt;"4","",IF($AY223="YES","",IF(ROUND(SUMIFS($AE$2:$AE$4001,$L$2:$L$4001,$L223,$F$2:$F$4001,"4")-SUMIFS('AR SALES'!$Y$2:$Y$2501,'AR SALES'!$L$2:$L$2501,$L223,'AR SALES'!$AD$2:$AD$2501,"OFF"),2)=0,"","STALE")))</f>
        <v/>
      </c>
      <c r="BB223" s="2" t="str">
        <f>IF(OR(""&amp;$F223="2",""&amp;$F223="4",""&amp;$F223="G",""&amp;$F223="H"),IF($AY223="YES","",IF($AB223&lt;&gt;0,"",IF(COUNTIFS('AR SALES'!$L$2:$L$2501,$L223,'AR SALES'!$AD$2:$AD$2501,IF(""&amp;$F223="4","OFF","ON"),'AR SALES'!$AF$2:$AF$2501,"Y")&gt;0,"","NO EXEMPTION"))),"")</f>
        <v/>
      </c>
    </row>
    <row r="224" spans="46:54" x14ac:dyDescent="0.25">
      <c r="AT224" s="2" t="str">
        <f>IF($L224="","",IFERROR(INDEX('AR SALES'!$H$2:$H$2501,MATCH(""&amp;$L224,'AR SALES'!$AE$2:$AE$2501,0)),""))</f>
        <v/>
      </c>
      <c r="AU224" s="2" t="str">
        <f t="shared" si="12"/>
        <v/>
      </c>
      <c r="AV224" s="2" t="str">
        <f t="shared" si="13"/>
        <v/>
      </c>
      <c r="AW224" s="2" t="str">
        <f t="shared" si="14"/>
        <v/>
      </c>
      <c r="AX224" s="2" t="str">
        <f t="shared" si="15"/>
        <v/>
      </c>
      <c r="AY224" s="2" t="str">
        <f>IF($AV224="","",IF(AND($Z224=0,COUNTIF('AR SALES'!$L$2:$L$2501,$L224)=0),"YES",""))</f>
        <v/>
      </c>
      <c r="AZ224" s="2" t="str">
        <f>IF($AV224="","",IF(COUNTIF(LISTS!$C$2:$C$250,$AU224)=0,"NEW",""))</f>
        <v/>
      </c>
      <c r="BA224" s="2" t="str">
        <f>IF(""&amp;$F224&lt;&gt;"4","",IF($AY224="YES","",IF(ROUND(SUMIFS($AE$2:$AE$4001,$L$2:$L$4001,$L224,$F$2:$F$4001,"4")-SUMIFS('AR SALES'!$Y$2:$Y$2501,'AR SALES'!$L$2:$L$2501,$L224,'AR SALES'!$AD$2:$AD$2501,"OFF"),2)=0,"","STALE")))</f>
        <v/>
      </c>
      <c r="BB224" s="2" t="str">
        <f>IF(OR(""&amp;$F224="2",""&amp;$F224="4",""&amp;$F224="G",""&amp;$F224="H"),IF($AY224="YES","",IF($AB224&lt;&gt;0,"",IF(COUNTIFS('AR SALES'!$L$2:$L$2501,$L224,'AR SALES'!$AD$2:$AD$2501,IF(""&amp;$F224="4","OFF","ON"),'AR SALES'!$AF$2:$AF$2501,"Y")&gt;0,"","NO EXEMPTION"))),"")</f>
        <v/>
      </c>
    </row>
    <row r="225" spans="46:54" x14ac:dyDescent="0.25">
      <c r="AT225" s="2" t="str">
        <f>IF($L225="","",IFERROR(INDEX('AR SALES'!$H$2:$H$2501,MATCH(""&amp;$L225,'AR SALES'!$AE$2:$AE$2501,0)),""))</f>
        <v/>
      </c>
      <c r="AU225" s="2" t="str">
        <f t="shared" si="12"/>
        <v/>
      </c>
      <c r="AV225" s="2" t="str">
        <f t="shared" si="13"/>
        <v/>
      </c>
      <c r="AW225" s="2" t="str">
        <f t="shared" si="14"/>
        <v/>
      </c>
      <c r="AX225" s="2" t="str">
        <f t="shared" si="15"/>
        <v/>
      </c>
      <c r="AY225" s="2" t="str">
        <f>IF($AV225="","",IF(AND($Z225=0,COUNTIF('AR SALES'!$L$2:$L$2501,$L225)=0),"YES",""))</f>
        <v/>
      </c>
      <c r="AZ225" s="2" t="str">
        <f>IF($AV225="","",IF(COUNTIF(LISTS!$C$2:$C$250,$AU225)=0,"NEW",""))</f>
        <v/>
      </c>
      <c r="BA225" s="2" t="str">
        <f>IF(""&amp;$F225&lt;&gt;"4","",IF($AY225="YES","",IF(ROUND(SUMIFS($AE$2:$AE$4001,$L$2:$L$4001,$L225,$F$2:$F$4001,"4")-SUMIFS('AR SALES'!$Y$2:$Y$2501,'AR SALES'!$L$2:$L$2501,$L225,'AR SALES'!$AD$2:$AD$2501,"OFF"),2)=0,"","STALE")))</f>
        <v/>
      </c>
      <c r="BB225" s="2" t="str">
        <f>IF(OR(""&amp;$F225="2",""&amp;$F225="4",""&amp;$F225="G",""&amp;$F225="H"),IF($AY225="YES","",IF($AB225&lt;&gt;0,"",IF(COUNTIFS('AR SALES'!$L$2:$L$2501,$L225,'AR SALES'!$AD$2:$AD$2501,IF(""&amp;$F225="4","OFF","ON"),'AR SALES'!$AF$2:$AF$2501,"Y")&gt;0,"","NO EXEMPTION"))),"")</f>
        <v/>
      </c>
    </row>
    <row r="226" spans="46:54" x14ac:dyDescent="0.25">
      <c r="AT226" s="2" t="str">
        <f>IF($L226="","",IFERROR(INDEX('AR SALES'!$H$2:$H$2501,MATCH(""&amp;$L226,'AR SALES'!$AE$2:$AE$2501,0)),""))</f>
        <v/>
      </c>
      <c r="AU226" s="2" t="str">
        <f t="shared" si="12"/>
        <v/>
      </c>
      <c r="AV226" s="2" t="str">
        <f t="shared" si="13"/>
        <v/>
      </c>
      <c r="AW226" s="2" t="str">
        <f t="shared" si="14"/>
        <v/>
      </c>
      <c r="AX226" s="2" t="str">
        <f t="shared" si="15"/>
        <v/>
      </c>
      <c r="AY226" s="2" t="str">
        <f>IF($AV226="","",IF(AND($Z226=0,COUNTIF('AR SALES'!$L$2:$L$2501,$L226)=0),"YES",""))</f>
        <v/>
      </c>
      <c r="AZ226" s="2" t="str">
        <f>IF($AV226="","",IF(COUNTIF(LISTS!$C$2:$C$250,$AU226)=0,"NEW",""))</f>
        <v/>
      </c>
      <c r="BA226" s="2" t="str">
        <f>IF(""&amp;$F226&lt;&gt;"4","",IF($AY226="YES","",IF(ROUND(SUMIFS($AE$2:$AE$4001,$L$2:$L$4001,$L226,$F$2:$F$4001,"4")-SUMIFS('AR SALES'!$Y$2:$Y$2501,'AR SALES'!$L$2:$L$2501,$L226,'AR SALES'!$AD$2:$AD$2501,"OFF"),2)=0,"","STALE")))</f>
        <v/>
      </c>
      <c r="BB226" s="2" t="str">
        <f>IF(OR(""&amp;$F226="2",""&amp;$F226="4",""&amp;$F226="G",""&amp;$F226="H"),IF($AY226="YES","",IF($AB226&lt;&gt;0,"",IF(COUNTIFS('AR SALES'!$L$2:$L$2501,$L226,'AR SALES'!$AD$2:$AD$2501,IF(""&amp;$F226="4","OFF","ON"),'AR SALES'!$AF$2:$AF$2501,"Y")&gt;0,"","NO EXEMPTION"))),"")</f>
        <v/>
      </c>
    </row>
    <row r="227" spans="46:54" x14ac:dyDescent="0.25">
      <c r="AT227" s="2" t="str">
        <f>IF($L227="","",IFERROR(INDEX('AR SALES'!$H$2:$H$2501,MATCH(""&amp;$L227,'AR SALES'!$AE$2:$AE$2501,0)),""))</f>
        <v/>
      </c>
      <c r="AU227" s="2" t="str">
        <f t="shared" si="12"/>
        <v/>
      </c>
      <c r="AV227" s="2" t="str">
        <f t="shared" si="13"/>
        <v/>
      </c>
      <c r="AW227" s="2" t="str">
        <f t="shared" si="14"/>
        <v/>
      </c>
      <c r="AX227" s="2" t="str">
        <f t="shared" si="15"/>
        <v/>
      </c>
      <c r="AY227" s="2" t="str">
        <f>IF($AV227="","",IF(AND($Z227=0,COUNTIF('AR SALES'!$L$2:$L$2501,$L227)=0),"YES",""))</f>
        <v/>
      </c>
      <c r="AZ227" s="2" t="str">
        <f>IF($AV227="","",IF(COUNTIF(LISTS!$C$2:$C$250,$AU227)=0,"NEW",""))</f>
        <v/>
      </c>
      <c r="BA227" s="2" t="str">
        <f>IF(""&amp;$F227&lt;&gt;"4","",IF($AY227="YES","",IF(ROUND(SUMIFS($AE$2:$AE$4001,$L$2:$L$4001,$L227,$F$2:$F$4001,"4")-SUMIFS('AR SALES'!$Y$2:$Y$2501,'AR SALES'!$L$2:$L$2501,$L227,'AR SALES'!$AD$2:$AD$2501,"OFF"),2)=0,"","STALE")))</f>
        <v/>
      </c>
      <c r="BB227" s="2" t="str">
        <f>IF(OR(""&amp;$F227="2",""&amp;$F227="4",""&amp;$F227="G",""&amp;$F227="H"),IF($AY227="YES","",IF($AB227&lt;&gt;0,"",IF(COUNTIFS('AR SALES'!$L$2:$L$2501,$L227,'AR SALES'!$AD$2:$AD$2501,IF(""&amp;$F227="4","OFF","ON"),'AR SALES'!$AF$2:$AF$2501,"Y")&gt;0,"","NO EXEMPTION"))),"")</f>
        <v/>
      </c>
    </row>
    <row r="228" spans="46:54" x14ac:dyDescent="0.25">
      <c r="AT228" s="2" t="str">
        <f>IF($L228="","",IFERROR(INDEX('AR SALES'!$H$2:$H$2501,MATCH(""&amp;$L228,'AR SALES'!$AE$2:$AE$2501,0)),""))</f>
        <v/>
      </c>
      <c r="AU228" s="2" t="str">
        <f t="shared" si="12"/>
        <v/>
      </c>
      <c r="AV228" s="2" t="str">
        <f t="shared" si="13"/>
        <v/>
      </c>
      <c r="AW228" s="2" t="str">
        <f t="shared" si="14"/>
        <v/>
      </c>
      <c r="AX228" s="2" t="str">
        <f t="shared" si="15"/>
        <v/>
      </c>
      <c r="AY228" s="2" t="str">
        <f>IF($AV228="","",IF(AND($Z228=0,COUNTIF('AR SALES'!$L$2:$L$2501,$L228)=0),"YES",""))</f>
        <v/>
      </c>
      <c r="AZ228" s="2" t="str">
        <f>IF($AV228="","",IF(COUNTIF(LISTS!$C$2:$C$250,$AU228)=0,"NEW",""))</f>
        <v/>
      </c>
      <c r="BA228" s="2" t="str">
        <f>IF(""&amp;$F228&lt;&gt;"4","",IF($AY228="YES","",IF(ROUND(SUMIFS($AE$2:$AE$4001,$L$2:$L$4001,$L228,$F$2:$F$4001,"4")-SUMIFS('AR SALES'!$Y$2:$Y$2501,'AR SALES'!$L$2:$L$2501,$L228,'AR SALES'!$AD$2:$AD$2501,"OFF"),2)=0,"","STALE")))</f>
        <v/>
      </c>
      <c r="BB228" s="2" t="str">
        <f>IF(OR(""&amp;$F228="2",""&amp;$F228="4",""&amp;$F228="G",""&amp;$F228="H"),IF($AY228="YES","",IF($AB228&lt;&gt;0,"",IF(COUNTIFS('AR SALES'!$L$2:$L$2501,$L228,'AR SALES'!$AD$2:$AD$2501,IF(""&amp;$F228="4","OFF","ON"),'AR SALES'!$AF$2:$AF$2501,"Y")&gt;0,"","NO EXEMPTION"))),"")</f>
        <v/>
      </c>
    </row>
    <row r="229" spans="46:54" x14ac:dyDescent="0.25">
      <c r="AT229" s="2" t="str">
        <f>IF($L229="","",IFERROR(INDEX('AR SALES'!$H$2:$H$2501,MATCH(""&amp;$L229,'AR SALES'!$AE$2:$AE$2501,0)),""))</f>
        <v/>
      </c>
      <c r="AU229" s="2" t="str">
        <f t="shared" si="12"/>
        <v/>
      </c>
      <c r="AV229" s="2" t="str">
        <f t="shared" si="13"/>
        <v/>
      </c>
      <c r="AW229" s="2" t="str">
        <f t="shared" si="14"/>
        <v/>
      </c>
      <c r="AX229" s="2" t="str">
        <f t="shared" si="15"/>
        <v/>
      </c>
      <c r="AY229" s="2" t="str">
        <f>IF($AV229="","",IF(AND($Z229=0,COUNTIF('AR SALES'!$L$2:$L$2501,$L229)=0),"YES",""))</f>
        <v/>
      </c>
      <c r="AZ229" s="2" t="str">
        <f>IF($AV229="","",IF(COUNTIF(LISTS!$C$2:$C$250,$AU229)=0,"NEW",""))</f>
        <v/>
      </c>
      <c r="BA229" s="2" t="str">
        <f>IF(""&amp;$F229&lt;&gt;"4","",IF($AY229="YES","",IF(ROUND(SUMIFS($AE$2:$AE$4001,$L$2:$L$4001,$L229,$F$2:$F$4001,"4")-SUMIFS('AR SALES'!$Y$2:$Y$2501,'AR SALES'!$L$2:$L$2501,$L229,'AR SALES'!$AD$2:$AD$2501,"OFF"),2)=0,"","STALE")))</f>
        <v/>
      </c>
      <c r="BB229" s="2" t="str">
        <f>IF(OR(""&amp;$F229="2",""&amp;$F229="4",""&amp;$F229="G",""&amp;$F229="H"),IF($AY229="YES","",IF($AB229&lt;&gt;0,"",IF(COUNTIFS('AR SALES'!$L$2:$L$2501,$L229,'AR SALES'!$AD$2:$AD$2501,IF(""&amp;$F229="4","OFF","ON"),'AR SALES'!$AF$2:$AF$2501,"Y")&gt;0,"","NO EXEMPTION"))),"")</f>
        <v/>
      </c>
    </row>
    <row r="230" spans="46:54" x14ac:dyDescent="0.25">
      <c r="AT230" s="2" t="str">
        <f>IF($L230="","",IFERROR(INDEX('AR SALES'!$H$2:$H$2501,MATCH(""&amp;$L230,'AR SALES'!$AE$2:$AE$2501,0)),""))</f>
        <v/>
      </c>
      <c r="AU230" s="2" t="str">
        <f t="shared" si="12"/>
        <v/>
      </c>
      <c r="AV230" s="2" t="str">
        <f t="shared" si="13"/>
        <v/>
      </c>
      <c r="AW230" s="2" t="str">
        <f t="shared" si="14"/>
        <v/>
      </c>
      <c r="AX230" s="2" t="str">
        <f t="shared" si="15"/>
        <v/>
      </c>
      <c r="AY230" s="2" t="str">
        <f>IF($AV230="","",IF(AND($Z230=0,COUNTIF('AR SALES'!$L$2:$L$2501,$L230)=0),"YES",""))</f>
        <v/>
      </c>
      <c r="AZ230" s="2" t="str">
        <f>IF($AV230="","",IF(COUNTIF(LISTS!$C$2:$C$250,$AU230)=0,"NEW",""))</f>
        <v/>
      </c>
      <c r="BA230" s="2" t="str">
        <f>IF(""&amp;$F230&lt;&gt;"4","",IF($AY230="YES","",IF(ROUND(SUMIFS($AE$2:$AE$4001,$L$2:$L$4001,$L230,$F$2:$F$4001,"4")-SUMIFS('AR SALES'!$Y$2:$Y$2501,'AR SALES'!$L$2:$L$2501,$L230,'AR SALES'!$AD$2:$AD$2501,"OFF"),2)=0,"","STALE")))</f>
        <v/>
      </c>
      <c r="BB230" s="2" t="str">
        <f>IF(OR(""&amp;$F230="2",""&amp;$F230="4",""&amp;$F230="G",""&amp;$F230="H"),IF($AY230="YES","",IF($AB230&lt;&gt;0,"",IF(COUNTIFS('AR SALES'!$L$2:$L$2501,$L230,'AR SALES'!$AD$2:$AD$2501,IF(""&amp;$F230="4","OFF","ON"),'AR SALES'!$AF$2:$AF$2501,"Y")&gt;0,"","NO EXEMPTION"))),"")</f>
        <v/>
      </c>
    </row>
    <row r="231" spans="46:54" x14ac:dyDescent="0.25">
      <c r="AT231" s="2" t="str">
        <f>IF($L231="","",IFERROR(INDEX('AR SALES'!$H$2:$H$2501,MATCH(""&amp;$L231,'AR SALES'!$AE$2:$AE$2501,0)),""))</f>
        <v/>
      </c>
      <c r="AU231" s="2" t="str">
        <f t="shared" si="12"/>
        <v/>
      </c>
      <c r="AV231" s="2" t="str">
        <f t="shared" si="13"/>
        <v/>
      </c>
      <c r="AW231" s="2" t="str">
        <f t="shared" si="14"/>
        <v/>
      </c>
      <c r="AX231" s="2" t="str">
        <f t="shared" si="15"/>
        <v/>
      </c>
      <c r="AY231" s="2" t="str">
        <f>IF($AV231="","",IF(AND($Z231=0,COUNTIF('AR SALES'!$L$2:$L$2501,$L231)=0),"YES",""))</f>
        <v/>
      </c>
      <c r="AZ231" s="2" t="str">
        <f>IF($AV231="","",IF(COUNTIF(LISTS!$C$2:$C$250,$AU231)=0,"NEW",""))</f>
        <v/>
      </c>
      <c r="BA231" s="2" t="str">
        <f>IF(""&amp;$F231&lt;&gt;"4","",IF($AY231="YES","",IF(ROUND(SUMIFS($AE$2:$AE$4001,$L$2:$L$4001,$L231,$F$2:$F$4001,"4")-SUMIFS('AR SALES'!$Y$2:$Y$2501,'AR SALES'!$L$2:$L$2501,$L231,'AR SALES'!$AD$2:$AD$2501,"OFF"),2)=0,"","STALE")))</f>
        <v/>
      </c>
      <c r="BB231" s="2" t="str">
        <f>IF(OR(""&amp;$F231="2",""&amp;$F231="4",""&amp;$F231="G",""&amp;$F231="H"),IF($AY231="YES","",IF($AB231&lt;&gt;0,"",IF(COUNTIFS('AR SALES'!$L$2:$L$2501,$L231,'AR SALES'!$AD$2:$AD$2501,IF(""&amp;$F231="4","OFF","ON"),'AR SALES'!$AF$2:$AF$2501,"Y")&gt;0,"","NO EXEMPTION"))),"")</f>
        <v/>
      </c>
    </row>
    <row r="232" spans="46:54" x14ac:dyDescent="0.25">
      <c r="AT232" s="2" t="str">
        <f>IF($L232="","",IFERROR(INDEX('AR SALES'!$H$2:$H$2501,MATCH(""&amp;$L232,'AR SALES'!$AE$2:$AE$2501,0)),""))</f>
        <v/>
      </c>
      <c r="AU232" s="2" t="str">
        <f t="shared" si="12"/>
        <v/>
      </c>
      <c r="AV232" s="2" t="str">
        <f t="shared" si="13"/>
        <v/>
      </c>
      <c r="AW232" s="2" t="str">
        <f t="shared" si="14"/>
        <v/>
      </c>
      <c r="AX232" s="2" t="str">
        <f t="shared" si="15"/>
        <v/>
      </c>
      <c r="AY232" s="2" t="str">
        <f>IF($AV232="","",IF(AND($Z232=0,COUNTIF('AR SALES'!$L$2:$L$2501,$L232)=0),"YES",""))</f>
        <v/>
      </c>
      <c r="AZ232" s="2" t="str">
        <f>IF($AV232="","",IF(COUNTIF(LISTS!$C$2:$C$250,$AU232)=0,"NEW",""))</f>
        <v/>
      </c>
      <c r="BA232" s="2" t="str">
        <f>IF(""&amp;$F232&lt;&gt;"4","",IF($AY232="YES","",IF(ROUND(SUMIFS($AE$2:$AE$4001,$L$2:$L$4001,$L232,$F$2:$F$4001,"4")-SUMIFS('AR SALES'!$Y$2:$Y$2501,'AR SALES'!$L$2:$L$2501,$L232,'AR SALES'!$AD$2:$AD$2501,"OFF"),2)=0,"","STALE")))</f>
        <v/>
      </c>
      <c r="BB232" s="2" t="str">
        <f>IF(OR(""&amp;$F232="2",""&amp;$F232="4",""&amp;$F232="G",""&amp;$F232="H"),IF($AY232="YES","",IF($AB232&lt;&gt;0,"",IF(COUNTIFS('AR SALES'!$L$2:$L$2501,$L232,'AR SALES'!$AD$2:$AD$2501,IF(""&amp;$F232="4","OFF","ON"),'AR SALES'!$AF$2:$AF$2501,"Y")&gt;0,"","NO EXEMPTION"))),"")</f>
        <v/>
      </c>
    </row>
    <row r="233" spans="46:54" x14ac:dyDescent="0.25">
      <c r="AT233" s="2" t="str">
        <f>IF($L233="","",IFERROR(INDEX('AR SALES'!$H$2:$H$2501,MATCH(""&amp;$L233,'AR SALES'!$AE$2:$AE$2501,0)),""))</f>
        <v/>
      </c>
      <c r="AU233" s="2" t="str">
        <f t="shared" si="12"/>
        <v/>
      </c>
      <c r="AV233" s="2" t="str">
        <f t="shared" si="13"/>
        <v/>
      </c>
      <c r="AW233" s="2" t="str">
        <f t="shared" si="14"/>
        <v/>
      </c>
      <c r="AX233" s="2" t="str">
        <f t="shared" si="15"/>
        <v/>
      </c>
      <c r="AY233" s="2" t="str">
        <f>IF($AV233="","",IF(AND($Z233=0,COUNTIF('AR SALES'!$L$2:$L$2501,$L233)=0),"YES",""))</f>
        <v/>
      </c>
      <c r="AZ233" s="2" t="str">
        <f>IF($AV233="","",IF(COUNTIF(LISTS!$C$2:$C$250,$AU233)=0,"NEW",""))</f>
        <v/>
      </c>
      <c r="BA233" s="2" t="str">
        <f>IF(""&amp;$F233&lt;&gt;"4","",IF($AY233="YES","",IF(ROUND(SUMIFS($AE$2:$AE$4001,$L$2:$L$4001,$L233,$F$2:$F$4001,"4")-SUMIFS('AR SALES'!$Y$2:$Y$2501,'AR SALES'!$L$2:$L$2501,$L233,'AR SALES'!$AD$2:$AD$2501,"OFF"),2)=0,"","STALE")))</f>
        <v/>
      </c>
      <c r="BB233" s="2" t="str">
        <f>IF(OR(""&amp;$F233="2",""&amp;$F233="4",""&amp;$F233="G",""&amp;$F233="H"),IF($AY233="YES","",IF($AB233&lt;&gt;0,"",IF(COUNTIFS('AR SALES'!$L$2:$L$2501,$L233,'AR SALES'!$AD$2:$AD$2501,IF(""&amp;$F233="4","OFF","ON"),'AR SALES'!$AF$2:$AF$2501,"Y")&gt;0,"","NO EXEMPTION"))),"")</f>
        <v/>
      </c>
    </row>
    <row r="234" spans="46:54" x14ac:dyDescent="0.25">
      <c r="AT234" s="2" t="str">
        <f>IF($L234="","",IFERROR(INDEX('AR SALES'!$H$2:$H$2501,MATCH(""&amp;$L234,'AR SALES'!$AE$2:$AE$2501,0)),""))</f>
        <v/>
      </c>
      <c r="AU234" s="2" t="str">
        <f t="shared" si="12"/>
        <v/>
      </c>
      <c r="AV234" s="2" t="str">
        <f t="shared" si="13"/>
        <v/>
      </c>
      <c r="AW234" s="2" t="str">
        <f t="shared" si="14"/>
        <v/>
      </c>
      <c r="AX234" s="2" t="str">
        <f t="shared" si="15"/>
        <v/>
      </c>
      <c r="AY234" s="2" t="str">
        <f>IF($AV234="","",IF(AND($Z234=0,COUNTIF('AR SALES'!$L$2:$L$2501,$L234)=0),"YES",""))</f>
        <v/>
      </c>
      <c r="AZ234" s="2" t="str">
        <f>IF($AV234="","",IF(COUNTIF(LISTS!$C$2:$C$250,$AU234)=0,"NEW",""))</f>
        <v/>
      </c>
      <c r="BA234" s="2" t="str">
        <f>IF(""&amp;$F234&lt;&gt;"4","",IF($AY234="YES","",IF(ROUND(SUMIFS($AE$2:$AE$4001,$L$2:$L$4001,$L234,$F$2:$F$4001,"4")-SUMIFS('AR SALES'!$Y$2:$Y$2501,'AR SALES'!$L$2:$L$2501,$L234,'AR SALES'!$AD$2:$AD$2501,"OFF"),2)=0,"","STALE")))</f>
        <v/>
      </c>
      <c r="BB234" s="2" t="str">
        <f>IF(OR(""&amp;$F234="2",""&amp;$F234="4",""&amp;$F234="G",""&amp;$F234="H"),IF($AY234="YES","",IF($AB234&lt;&gt;0,"",IF(COUNTIFS('AR SALES'!$L$2:$L$2501,$L234,'AR SALES'!$AD$2:$AD$2501,IF(""&amp;$F234="4","OFF","ON"),'AR SALES'!$AF$2:$AF$2501,"Y")&gt;0,"","NO EXEMPTION"))),"")</f>
        <v/>
      </c>
    </row>
    <row r="235" spans="46:54" x14ac:dyDescent="0.25">
      <c r="AT235" s="2" t="str">
        <f>IF($L235="","",IFERROR(INDEX('AR SALES'!$H$2:$H$2501,MATCH(""&amp;$L235,'AR SALES'!$AE$2:$AE$2501,0)),""))</f>
        <v/>
      </c>
      <c r="AU235" s="2" t="str">
        <f t="shared" si="12"/>
        <v/>
      </c>
      <c r="AV235" s="2" t="str">
        <f t="shared" si="13"/>
        <v/>
      </c>
      <c r="AW235" s="2" t="str">
        <f t="shared" si="14"/>
        <v/>
      </c>
      <c r="AX235" s="2" t="str">
        <f t="shared" si="15"/>
        <v/>
      </c>
      <c r="AY235" s="2" t="str">
        <f>IF($AV235="","",IF(AND($Z235=0,COUNTIF('AR SALES'!$L$2:$L$2501,$L235)=0),"YES",""))</f>
        <v/>
      </c>
      <c r="AZ235" s="2" t="str">
        <f>IF($AV235="","",IF(COUNTIF(LISTS!$C$2:$C$250,$AU235)=0,"NEW",""))</f>
        <v/>
      </c>
      <c r="BA235" s="2" t="str">
        <f>IF(""&amp;$F235&lt;&gt;"4","",IF($AY235="YES","",IF(ROUND(SUMIFS($AE$2:$AE$4001,$L$2:$L$4001,$L235,$F$2:$F$4001,"4")-SUMIFS('AR SALES'!$Y$2:$Y$2501,'AR SALES'!$L$2:$L$2501,$L235,'AR SALES'!$AD$2:$AD$2501,"OFF"),2)=0,"","STALE")))</f>
        <v/>
      </c>
      <c r="BB235" s="2" t="str">
        <f>IF(OR(""&amp;$F235="2",""&amp;$F235="4",""&amp;$F235="G",""&amp;$F235="H"),IF($AY235="YES","",IF($AB235&lt;&gt;0,"",IF(COUNTIFS('AR SALES'!$L$2:$L$2501,$L235,'AR SALES'!$AD$2:$AD$2501,IF(""&amp;$F235="4","OFF","ON"),'AR SALES'!$AF$2:$AF$2501,"Y")&gt;0,"","NO EXEMPTION"))),"")</f>
        <v/>
      </c>
    </row>
    <row r="236" spans="46:54" x14ac:dyDescent="0.25">
      <c r="AT236" s="2" t="str">
        <f>IF($L236="","",IFERROR(INDEX('AR SALES'!$H$2:$H$2501,MATCH(""&amp;$L236,'AR SALES'!$AE$2:$AE$2501,0)),""))</f>
        <v/>
      </c>
      <c r="AU236" s="2" t="str">
        <f t="shared" si="12"/>
        <v/>
      </c>
      <c r="AV236" s="2" t="str">
        <f t="shared" si="13"/>
        <v/>
      </c>
      <c r="AW236" s="2" t="str">
        <f t="shared" si="14"/>
        <v/>
      </c>
      <c r="AX236" s="2" t="str">
        <f t="shared" si="15"/>
        <v/>
      </c>
      <c r="AY236" s="2" t="str">
        <f>IF($AV236="","",IF(AND($Z236=0,COUNTIF('AR SALES'!$L$2:$L$2501,$L236)=0),"YES",""))</f>
        <v/>
      </c>
      <c r="AZ236" s="2" t="str">
        <f>IF($AV236="","",IF(COUNTIF(LISTS!$C$2:$C$250,$AU236)=0,"NEW",""))</f>
        <v/>
      </c>
      <c r="BA236" s="2" t="str">
        <f>IF(""&amp;$F236&lt;&gt;"4","",IF($AY236="YES","",IF(ROUND(SUMIFS($AE$2:$AE$4001,$L$2:$L$4001,$L236,$F$2:$F$4001,"4")-SUMIFS('AR SALES'!$Y$2:$Y$2501,'AR SALES'!$L$2:$L$2501,$L236,'AR SALES'!$AD$2:$AD$2501,"OFF"),2)=0,"","STALE")))</f>
        <v/>
      </c>
      <c r="BB236" s="2" t="str">
        <f>IF(OR(""&amp;$F236="2",""&amp;$F236="4",""&amp;$F236="G",""&amp;$F236="H"),IF($AY236="YES","",IF($AB236&lt;&gt;0,"",IF(COUNTIFS('AR SALES'!$L$2:$L$2501,$L236,'AR SALES'!$AD$2:$AD$2501,IF(""&amp;$F236="4","OFF","ON"),'AR SALES'!$AF$2:$AF$2501,"Y")&gt;0,"","NO EXEMPTION"))),"")</f>
        <v/>
      </c>
    </row>
    <row r="237" spans="46:54" x14ac:dyDescent="0.25">
      <c r="AT237" s="2" t="str">
        <f>IF($L237="","",IFERROR(INDEX('AR SALES'!$H$2:$H$2501,MATCH(""&amp;$L237,'AR SALES'!$AE$2:$AE$2501,0)),""))</f>
        <v/>
      </c>
      <c r="AU237" s="2" t="str">
        <f t="shared" si="12"/>
        <v/>
      </c>
      <c r="AV237" s="2" t="str">
        <f t="shared" si="13"/>
        <v/>
      </c>
      <c r="AW237" s="2" t="str">
        <f t="shared" si="14"/>
        <v/>
      </c>
      <c r="AX237" s="2" t="str">
        <f t="shared" si="15"/>
        <v/>
      </c>
      <c r="AY237" s="2" t="str">
        <f>IF($AV237="","",IF(AND($Z237=0,COUNTIF('AR SALES'!$L$2:$L$2501,$L237)=0),"YES",""))</f>
        <v/>
      </c>
      <c r="AZ237" s="2" t="str">
        <f>IF($AV237="","",IF(COUNTIF(LISTS!$C$2:$C$250,$AU237)=0,"NEW",""))</f>
        <v/>
      </c>
      <c r="BA237" s="2" t="str">
        <f>IF(""&amp;$F237&lt;&gt;"4","",IF($AY237="YES","",IF(ROUND(SUMIFS($AE$2:$AE$4001,$L$2:$L$4001,$L237,$F$2:$F$4001,"4")-SUMIFS('AR SALES'!$Y$2:$Y$2501,'AR SALES'!$L$2:$L$2501,$L237,'AR SALES'!$AD$2:$AD$2501,"OFF"),2)=0,"","STALE")))</f>
        <v/>
      </c>
      <c r="BB237" s="2" t="str">
        <f>IF(OR(""&amp;$F237="2",""&amp;$F237="4",""&amp;$F237="G",""&amp;$F237="H"),IF($AY237="YES","",IF($AB237&lt;&gt;0,"",IF(COUNTIFS('AR SALES'!$L$2:$L$2501,$L237,'AR SALES'!$AD$2:$AD$2501,IF(""&amp;$F237="4","OFF","ON"),'AR SALES'!$AF$2:$AF$2501,"Y")&gt;0,"","NO EXEMPTION"))),"")</f>
        <v/>
      </c>
    </row>
    <row r="238" spans="46:54" x14ac:dyDescent="0.25">
      <c r="AT238" s="2" t="str">
        <f>IF($L238="","",IFERROR(INDEX('AR SALES'!$H$2:$H$2501,MATCH(""&amp;$L238,'AR SALES'!$AE$2:$AE$2501,0)),""))</f>
        <v/>
      </c>
      <c r="AU238" s="2" t="str">
        <f t="shared" si="12"/>
        <v/>
      </c>
      <c r="AV238" s="2" t="str">
        <f t="shared" si="13"/>
        <v/>
      </c>
      <c r="AW238" s="2" t="str">
        <f t="shared" si="14"/>
        <v/>
      </c>
      <c r="AX238" s="2" t="str">
        <f t="shared" si="15"/>
        <v/>
      </c>
      <c r="AY238" s="2" t="str">
        <f>IF($AV238="","",IF(AND($Z238=0,COUNTIF('AR SALES'!$L$2:$L$2501,$L238)=0),"YES",""))</f>
        <v/>
      </c>
      <c r="AZ238" s="2" t="str">
        <f>IF($AV238="","",IF(COUNTIF(LISTS!$C$2:$C$250,$AU238)=0,"NEW",""))</f>
        <v/>
      </c>
      <c r="BA238" s="2" t="str">
        <f>IF(""&amp;$F238&lt;&gt;"4","",IF($AY238="YES","",IF(ROUND(SUMIFS($AE$2:$AE$4001,$L$2:$L$4001,$L238,$F$2:$F$4001,"4")-SUMIFS('AR SALES'!$Y$2:$Y$2501,'AR SALES'!$L$2:$L$2501,$L238,'AR SALES'!$AD$2:$AD$2501,"OFF"),2)=0,"","STALE")))</f>
        <v/>
      </c>
      <c r="BB238" s="2" t="str">
        <f>IF(OR(""&amp;$F238="2",""&amp;$F238="4",""&amp;$F238="G",""&amp;$F238="H"),IF($AY238="YES","",IF($AB238&lt;&gt;0,"",IF(COUNTIFS('AR SALES'!$L$2:$L$2501,$L238,'AR SALES'!$AD$2:$AD$2501,IF(""&amp;$F238="4","OFF","ON"),'AR SALES'!$AF$2:$AF$2501,"Y")&gt;0,"","NO EXEMPTION"))),"")</f>
        <v/>
      </c>
    </row>
    <row r="239" spans="46:54" x14ac:dyDescent="0.25">
      <c r="AT239" s="2" t="str">
        <f>IF($L239="","",IFERROR(INDEX('AR SALES'!$H$2:$H$2501,MATCH(""&amp;$L239,'AR SALES'!$AE$2:$AE$2501,0)),""))</f>
        <v/>
      </c>
      <c r="AU239" s="2" t="str">
        <f t="shared" si="12"/>
        <v/>
      </c>
      <c r="AV239" s="2" t="str">
        <f t="shared" si="13"/>
        <v/>
      </c>
      <c r="AW239" s="2" t="str">
        <f t="shared" si="14"/>
        <v/>
      </c>
      <c r="AX239" s="2" t="str">
        <f t="shared" si="15"/>
        <v/>
      </c>
      <c r="AY239" s="2" t="str">
        <f>IF($AV239="","",IF(AND($Z239=0,COUNTIF('AR SALES'!$L$2:$L$2501,$L239)=0),"YES",""))</f>
        <v/>
      </c>
      <c r="AZ239" s="2" t="str">
        <f>IF($AV239="","",IF(COUNTIF(LISTS!$C$2:$C$250,$AU239)=0,"NEW",""))</f>
        <v/>
      </c>
      <c r="BA239" s="2" t="str">
        <f>IF(""&amp;$F239&lt;&gt;"4","",IF($AY239="YES","",IF(ROUND(SUMIFS($AE$2:$AE$4001,$L$2:$L$4001,$L239,$F$2:$F$4001,"4")-SUMIFS('AR SALES'!$Y$2:$Y$2501,'AR SALES'!$L$2:$L$2501,$L239,'AR SALES'!$AD$2:$AD$2501,"OFF"),2)=0,"","STALE")))</f>
        <v/>
      </c>
      <c r="BB239" s="2" t="str">
        <f>IF(OR(""&amp;$F239="2",""&amp;$F239="4",""&amp;$F239="G",""&amp;$F239="H"),IF($AY239="YES","",IF($AB239&lt;&gt;0,"",IF(COUNTIFS('AR SALES'!$L$2:$L$2501,$L239,'AR SALES'!$AD$2:$AD$2501,IF(""&amp;$F239="4","OFF","ON"),'AR SALES'!$AF$2:$AF$2501,"Y")&gt;0,"","NO EXEMPTION"))),"")</f>
        <v/>
      </c>
    </row>
    <row r="240" spans="46:54" x14ac:dyDescent="0.25">
      <c r="AT240" s="2" t="str">
        <f>IF($L240="","",IFERROR(INDEX('AR SALES'!$H$2:$H$2501,MATCH(""&amp;$L240,'AR SALES'!$AE$2:$AE$2501,0)),""))</f>
        <v/>
      </c>
      <c r="AU240" s="2" t="str">
        <f t="shared" si="12"/>
        <v/>
      </c>
      <c r="AV240" s="2" t="str">
        <f t="shared" si="13"/>
        <v/>
      </c>
      <c r="AW240" s="2" t="str">
        <f t="shared" si="14"/>
        <v/>
      </c>
      <c r="AX240" s="2" t="str">
        <f t="shared" si="15"/>
        <v/>
      </c>
      <c r="AY240" s="2" t="str">
        <f>IF($AV240="","",IF(AND($Z240=0,COUNTIF('AR SALES'!$L$2:$L$2501,$L240)=0),"YES",""))</f>
        <v/>
      </c>
      <c r="AZ240" s="2" t="str">
        <f>IF($AV240="","",IF(COUNTIF(LISTS!$C$2:$C$250,$AU240)=0,"NEW",""))</f>
        <v/>
      </c>
      <c r="BA240" s="2" t="str">
        <f>IF(""&amp;$F240&lt;&gt;"4","",IF($AY240="YES","",IF(ROUND(SUMIFS($AE$2:$AE$4001,$L$2:$L$4001,$L240,$F$2:$F$4001,"4")-SUMIFS('AR SALES'!$Y$2:$Y$2501,'AR SALES'!$L$2:$L$2501,$L240,'AR SALES'!$AD$2:$AD$2501,"OFF"),2)=0,"","STALE")))</f>
        <v/>
      </c>
      <c r="BB240" s="2" t="str">
        <f>IF(OR(""&amp;$F240="2",""&amp;$F240="4",""&amp;$F240="G",""&amp;$F240="H"),IF($AY240="YES","",IF($AB240&lt;&gt;0,"",IF(COUNTIFS('AR SALES'!$L$2:$L$2501,$L240,'AR SALES'!$AD$2:$AD$2501,IF(""&amp;$F240="4","OFF","ON"),'AR SALES'!$AF$2:$AF$2501,"Y")&gt;0,"","NO EXEMPTION"))),"")</f>
        <v/>
      </c>
    </row>
    <row r="241" spans="46:54" x14ac:dyDescent="0.25">
      <c r="AT241" s="2" t="str">
        <f>IF($L241="","",IFERROR(INDEX('AR SALES'!$H$2:$H$2501,MATCH(""&amp;$L241,'AR SALES'!$AE$2:$AE$2501,0)),""))</f>
        <v/>
      </c>
      <c r="AU241" s="2" t="str">
        <f t="shared" si="12"/>
        <v/>
      </c>
      <c r="AV241" s="2" t="str">
        <f t="shared" si="13"/>
        <v/>
      </c>
      <c r="AW241" s="2" t="str">
        <f t="shared" si="14"/>
        <v/>
      </c>
      <c r="AX241" s="2" t="str">
        <f t="shared" si="15"/>
        <v/>
      </c>
      <c r="AY241" s="2" t="str">
        <f>IF($AV241="","",IF(AND($Z241=0,COUNTIF('AR SALES'!$L$2:$L$2501,$L241)=0),"YES",""))</f>
        <v/>
      </c>
      <c r="AZ241" s="2" t="str">
        <f>IF($AV241="","",IF(COUNTIF(LISTS!$C$2:$C$250,$AU241)=0,"NEW",""))</f>
        <v/>
      </c>
      <c r="BA241" s="2" t="str">
        <f>IF(""&amp;$F241&lt;&gt;"4","",IF($AY241="YES","",IF(ROUND(SUMIFS($AE$2:$AE$4001,$L$2:$L$4001,$L241,$F$2:$F$4001,"4")-SUMIFS('AR SALES'!$Y$2:$Y$2501,'AR SALES'!$L$2:$L$2501,$L241,'AR SALES'!$AD$2:$AD$2501,"OFF"),2)=0,"","STALE")))</f>
        <v/>
      </c>
      <c r="BB241" s="2" t="str">
        <f>IF(OR(""&amp;$F241="2",""&amp;$F241="4",""&amp;$F241="G",""&amp;$F241="H"),IF($AY241="YES","",IF($AB241&lt;&gt;0,"",IF(COUNTIFS('AR SALES'!$L$2:$L$2501,$L241,'AR SALES'!$AD$2:$AD$2501,IF(""&amp;$F241="4","OFF","ON"),'AR SALES'!$AF$2:$AF$2501,"Y")&gt;0,"","NO EXEMPTION"))),"")</f>
        <v/>
      </c>
    </row>
    <row r="242" spans="46:54" x14ac:dyDescent="0.25">
      <c r="AT242" s="2" t="str">
        <f>IF($L242="","",IFERROR(INDEX('AR SALES'!$H$2:$H$2501,MATCH(""&amp;$L242,'AR SALES'!$AE$2:$AE$2501,0)),""))</f>
        <v/>
      </c>
      <c r="AU242" s="2" t="str">
        <f t="shared" si="12"/>
        <v/>
      </c>
      <c r="AV242" s="2" t="str">
        <f t="shared" si="13"/>
        <v/>
      </c>
      <c r="AW242" s="2" t="str">
        <f t="shared" si="14"/>
        <v/>
      </c>
      <c r="AX242" s="2" t="str">
        <f t="shared" si="15"/>
        <v/>
      </c>
      <c r="AY242" s="2" t="str">
        <f>IF($AV242="","",IF(AND($Z242=0,COUNTIF('AR SALES'!$L$2:$L$2501,$L242)=0),"YES",""))</f>
        <v/>
      </c>
      <c r="AZ242" s="2" t="str">
        <f>IF($AV242="","",IF(COUNTIF(LISTS!$C$2:$C$250,$AU242)=0,"NEW",""))</f>
        <v/>
      </c>
      <c r="BA242" s="2" t="str">
        <f>IF(""&amp;$F242&lt;&gt;"4","",IF($AY242="YES","",IF(ROUND(SUMIFS($AE$2:$AE$4001,$L$2:$L$4001,$L242,$F$2:$F$4001,"4")-SUMIFS('AR SALES'!$Y$2:$Y$2501,'AR SALES'!$L$2:$L$2501,$L242,'AR SALES'!$AD$2:$AD$2501,"OFF"),2)=0,"","STALE")))</f>
        <v/>
      </c>
      <c r="BB242" s="2" t="str">
        <f>IF(OR(""&amp;$F242="2",""&amp;$F242="4",""&amp;$F242="G",""&amp;$F242="H"),IF($AY242="YES","",IF($AB242&lt;&gt;0,"",IF(COUNTIFS('AR SALES'!$L$2:$L$2501,$L242,'AR SALES'!$AD$2:$AD$2501,IF(""&amp;$F242="4","OFF","ON"),'AR SALES'!$AF$2:$AF$2501,"Y")&gt;0,"","NO EXEMPTION"))),"")</f>
        <v/>
      </c>
    </row>
    <row r="243" spans="46:54" x14ac:dyDescent="0.25">
      <c r="AT243" s="2" t="str">
        <f>IF($L243="","",IFERROR(INDEX('AR SALES'!$H$2:$H$2501,MATCH(""&amp;$L243,'AR SALES'!$AE$2:$AE$2501,0)),""))</f>
        <v/>
      </c>
      <c r="AU243" s="2" t="str">
        <f t="shared" si="12"/>
        <v/>
      </c>
      <c r="AV243" s="2" t="str">
        <f t="shared" si="13"/>
        <v/>
      </c>
      <c r="AW243" s="2" t="str">
        <f t="shared" si="14"/>
        <v/>
      </c>
      <c r="AX243" s="2" t="str">
        <f t="shared" si="15"/>
        <v/>
      </c>
      <c r="AY243" s="2" t="str">
        <f>IF($AV243="","",IF(AND($Z243=0,COUNTIF('AR SALES'!$L$2:$L$2501,$L243)=0),"YES",""))</f>
        <v/>
      </c>
      <c r="AZ243" s="2" t="str">
        <f>IF($AV243="","",IF(COUNTIF(LISTS!$C$2:$C$250,$AU243)=0,"NEW",""))</f>
        <v/>
      </c>
      <c r="BA243" s="2" t="str">
        <f>IF(""&amp;$F243&lt;&gt;"4","",IF($AY243="YES","",IF(ROUND(SUMIFS($AE$2:$AE$4001,$L$2:$L$4001,$L243,$F$2:$F$4001,"4")-SUMIFS('AR SALES'!$Y$2:$Y$2501,'AR SALES'!$L$2:$L$2501,$L243,'AR SALES'!$AD$2:$AD$2501,"OFF"),2)=0,"","STALE")))</f>
        <v/>
      </c>
      <c r="BB243" s="2" t="str">
        <f>IF(OR(""&amp;$F243="2",""&amp;$F243="4",""&amp;$F243="G",""&amp;$F243="H"),IF($AY243="YES","",IF($AB243&lt;&gt;0,"",IF(COUNTIFS('AR SALES'!$L$2:$L$2501,$L243,'AR SALES'!$AD$2:$AD$2501,IF(""&amp;$F243="4","OFF","ON"),'AR SALES'!$AF$2:$AF$2501,"Y")&gt;0,"","NO EXEMPTION"))),"")</f>
        <v/>
      </c>
    </row>
    <row r="244" spans="46:54" x14ac:dyDescent="0.25">
      <c r="AT244" s="2" t="str">
        <f>IF($L244="","",IFERROR(INDEX('AR SALES'!$H$2:$H$2501,MATCH(""&amp;$L244,'AR SALES'!$AE$2:$AE$2501,0)),""))</f>
        <v/>
      </c>
      <c r="AU244" s="2" t="str">
        <f t="shared" si="12"/>
        <v/>
      </c>
      <c r="AV244" s="2" t="str">
        <f t="shared" si="13"/>
        <v/>
      </c>
      <c r="AW244" s="2" t="str">
        <f t="shared" si="14"/>
        <v/>
      </c>
      <c r="AX244" s="2" t="str">
        <f t="shared" si="15"/>
        <v/>
      </c>
      <c r="AY244" s="2" t="str">
        <f>IF($AV244="","",IF(AND($Z244=0,COUNTIF('AR SALES'!$L$2:$L$2501,$L244)=0),"YES",""))</f>
        <v/>
      </c>
      <c r="AZ244" s="2" t="str">
        <f>IF($AV244="","",IF(COUNTIF(LISTS!$C$2:$C$250,$AU244)=0,"NEW",""))</f>
        <v/>
      </c>
      <c r="BA244" s="2" t="str">
        <f>IF(""&amp;$F244&lt;&gt;"4","",IF($AY244="YES","",IF(ROUND(SUMIFS($AE$2:$AE$4001,$L$2:$L$4001,$L244,$F$2:$F$4001,"4")-SUMIFS('AR SALES'!$Y$2:$Y$2501,'AR SALES'!$L$2:$L$2501,$L244,'AR SALES'!$AD$2:$AD$2501,"OFF"),2)=0,"","STALE")))</f>
        <v/>
      </c>
      <c r="BB244" s="2" t="str">
        <f>IF(OR(""&amp;$F244="2",""&amp;$F244="4",""&amp;$F244="G",""&amp;$F244="H"),IF($AY244="YES","",IF($AB244&lt;&gt;0,"",IF(COUNTIFS('AR SALES'!$L$2:$L$2501,$L244,'AR SALES'!$AD$2:$AD$2501,IF(""&amp;$F244="4","OFF","ON"),'AR SALES'!$AF$2:$AF$2501,"Y")&gt;0,"","NO EXEMPTION"))),"")</f>
        <v/>
      </c>
    </row>
    <row r="245" spans="46:54" x14ac:dyDescent="0.25">
      <c r="AT245" s="2" t="str">
        <f>IF($L245="","",IFERROR(INDEX('AR SALES'!$H$2:$H$2501,MATCH(""&amp;$L245,'AR SALES'!$AE$2:$AE$2501,0)),""))</f>
        <v/>
      </c>
      <c r="AU245" s="2" t="str">
        <f t="shared" si="12"/>
        <v/>
      </c>
      <c r="AV245" s="2" t="str">
        <f t="shared" si="13"/>
        <v/>
      </c>
      <c r="AW245" s="2" t="str">
        <f t="shared" si="14"/>
        <v/>
      </c>
      <c r="AX245" s="2" t="str">
        <f t="shared" si="15"/>
        <v/>
      </c>
      <c r="AY245" s="2" t="str">
        <f>IF($AV245="","",IF(AND($Z245=0,COUNTIF('AR SALES'!$L$2:$L$2501,$L245)=0),"YES",""))</f>
        <v/>
      </c>
      <c r="AZ245" s="2" t="str">
        <f>IF($AV245="","",IF(COUNTIF(LISTS!$C$2:$C$250,$AU245)=0,"NEW",""))</f>
        <v/>
      </c>
      <c r="BA245" s="2" t="str">
        <f>IF(""&amp;$F245&lt;&gt;"4","",IF($AY245="YES","",IF(ROUND(SUMIFS($AE$2:$AE$4001,$L$2:$L$4001,$L245,$F$2:$F$4001,"4")-SUMIFS('AR SALES'!$Y$2:$Y$2501,'AR SALES'!$L$2:$L$2501,$L245,'AR SALES'!$AD$2:$AD$2501,"OFF"),2)=0,"","STALE")))</f>
        <v/>
      </c>
      <c r="BB245" s="2" t="str">
        <f>IF(OR(""&amp;$F245="2",""&amp;$F245="4",""&amp;$F245="G",""&amp;$F245="H"),IF($AY245="YES","",IF($AB245&lt;&gt;0,"",IF(COUNTIFS('AR SALES'!$L$2:$L$2501,$L245,'AR SALES'!$AD$2:$AD$2501,IF(""&amp;$F245="4","OFF","ON"),'AR SALES'!$AF$2:$AF$2501,"Y")&gt;0,"","NO EXEMPTION"))),"")</f>
        <v/>
      </c>
    </row>
    <row r="246" spans="46:54" x14ac:dyDescent="0.25">
      <c r="AT246" s="2" t="str">
        <f>IF($L246="","",IFERROR(INDEX('AR SALES'!$H$2:$H$2501,MATCH(""&amp;$L246,'AR SALES'!$AE$2:$AE$2501,0)),""))</f>
        <v/>
      </c>
      <c r="AU246" s="2" t="str">
        <f t="shared" si="12"/>
        <v/>
      </c>
      <c r="AV246" s="2" t="str">
        <f t="shared" si="13"/>
        <v/>
      </c>
      <c r="AW246" s="2" t="str">
        <f t="shared" si="14"/>
        <v/>
      </c>
      <c r="AX246" s="2" t="str">
        <f t="shared" si="15"/>
        <v/>
      </c>
      <c r="AY246" s="2" t="str">
        <f>IF($AV246="","",IF(AND($Z246=0,COUNTIF('AR SALES'!$L$2:$L$2501,$L246)=0),"YES",""))</f>
        <v/>
      </c>
      <c r="AZ246" s="2" t="str">
        <f>IF($AV246="","",IF(COUNTIF(LISTS!$C$2:$C$250,$AU246)=0,"NEW",""))</f>
        <v/>
      </c>
      <c r="BA246" s="2" t="str">
        <f>IF(""&amp;$F246&lt;&gt;"4","",IF($AY246="YES","",IF(ROUND(SUMIFS($AE$2:$AE$4001,$L$2:$L$4001,$L246,$F$2:$F$4001,"4")-SUMIFS('AR SALES'!$Y$2:$Y$2501,'AR SALES'!$L$2:$L$2501,$L246,'AR SALES'!$AD$2:$AD$2501,"OFF"),2)=0,"","STALE")))</f>
        <v/>
      </c>
      <c r="BB246" s="2" t="str">
        <f>IF(OR(""&amp;$F246="2",""&amp;$F246="4",""&amp;$F246="G",""&amp;$F246="H"),IF($AY246="YES","",IF($AB246&lt;&gt;0,"",IF(COUNTIFS('AR SALES'!$L$2:$L$2501,$L246,'AR SALES'!$AD$2:$AD$2501,IF(""&amp;$F246="4","OFF","ON"),'AR SALES'!$AF$2:$AF$2501,"Y")&gt;0,"","NO EXEMPTION"))),"")</f>
        <v/>
      </c>
    </row>
    <row r="247" spans="46:54" x14ac:dyDescent="0.25">
      <c r="AT247" s="2" t="str">
        <f>IF($L247="","",IFERROR(INDEX('AR SALES'!$H$2:$H$2501,MATCH(""&amp;$L247,'AR SALES'!$AE$2:$AE$2501,0)),""))</f>
        <v/>
      </c>
      <c r="AU247" s="2" t="str">
        <f t="shared" si="12"/>
        <v/>
      </c>
      <c r="AV247" s="2" t="str">
        <f t="shared" si="13"/>
        <v/>
      </c>
      <c r="AW247" s="2" t="str">
        <f t="shared" si="14"/>
        <v/>
      </c>
      <c r="AX247" s="2" t="str">
        <f t="shared" si="15"/>
        <v/>
      </c>
      <c r="AY247" s="2" t="str">
        <f>IF($AV247="","",IF(AND($Z247=0,COUNTIF('AR SALES'!$L$2:$L$2501,$L247)=0),"YES",""))</f>
        <v/>
      </c>
      <c r="AZ247" s="2" t="str">
        <f>IF($AV247="","",IF(COUNTIF(LISTS!$C$2:$C$250,$AU247)=0,"NEW",""))</f>
        <v/>
      </c>
      <c r="BA247" s="2" t="str">
        <f>IF(""&amp;$F247&lt;&gt;"4","",IF($AY247="YES","",IF(ROUND(SUMIFS($AE$2:$AE$4001,$L$2:$L$4001,$L247,$F$2:$F$4001,"4")-SUMIFS('AR SALES'!$Y$2:$Y$2501,'AR SALES'!$L$2:$L$2501,$L247,'AR SALES'!$AD$2:$AD$2501,"OFF"),2)=0,"","STALE")))</f>
        <v/>
      </c>
      <c r="BB247" s="2" t="str">
        <f>IF(OR(""&amp;$F247="2",""&amp;$F247="4",""&amp;$F247="G",""&amp;$F247="H"),IF($AY247="YES","",IF($AB247&lt;&gt;0,"",IF(COUNTIFS('AR SALES'!$L$2:$L$2501,$L247,'AR SALES'!$AD$2:$AD$2501,IF(""&amp;$F247="4","OFF","ON"),'AR SALES'!$AF$2:$AF$2501,"Y")&gt;0,"","NO EXEMPTION"))),"")</f>
        <v/>
      </c>
    </row>
    <row r="248" spans="46:54" x14ac:dyDescent="0.25">
      <c r="AT248" s="2" t="str">
        <f>IF($L248="","",IFERROR(INDEX('AR SALES'!$H$2:$H$2501,MATCH(""&amp;$L248,'AR SALES'!$AE$2:$AE$2501,0)),""))</f>
        <v/>
      </c>
      <c r="AU248" s="2" t="str">
        <f t="shared" si="12"/>
        <v/>
      </c>
      <c r="AV248" s="2" t="str">
        <f t="shared" si="13"/>
        <v/>
      </c>
      <c r="AW248" s="2" t="str">
        <f t="shared" si="14"/>
        <v/>
      </c>
      <c r="AX248" s="2" t="str">
        <f t="shared" si="15"/>
        <v/>
      </c>
      <c r="AY248" s="2" t="str">
        <f>IF($AV248="","",IF(AND($Z248=0,COUNTIF('AR SALES'!$L$2:$L$2501,$L248)=0),"YES",""))</f>
        <v/>
      </c>
      <c r="AZ248" s="2" t="str">
        <f>IF($AV248="","",IF(COUNTIF(LISTS!$C$2:$C$250,$AU248)=0,"NEW",""))</f>
        <v/>
      </c>
      <c r="BA248" s="2" t="str">
        <f>IF(""&amp;$F248&lt;&gt;"4","",IF($AY248="YES","",IF(ROUND(SUMIFS($AE$2:$AE$4001,$L$2:$L$4001,$L248,$F$2:$F$4001,"4")-SUMIFS('AR SALES'!$Y$2:$Y$2501,'AR SALES'!$L$2:$L$2501,$L248,'AR SALES'!$AD$2:$AD$2501,"OFF"),2)=0,"","STALE")))</f>
        <v/>
      </c>
      <c r="BB248" s="2" t="str">
        <f>IF(OR(""&amp;$F248="2",""&amp;$F248="4",""&amp;$F248="G",""&amp;$F248="H"),IF($AY248="YES","",IF($AB248&lt;&gt;0,"",IF(COUNTIFS('AR SALES'!$L$2:$L$2501,$L248,'AR SALES'!$AD$2:$AD$2501,IF(""&amp;$F248="4","OFF","ON"),'AR SALES'!$AF$2:$AF$2501,"Y")&gt;0,"","NO EXEMPTION"))),"")</f>
        <v/>
      </c>
    </row>
    <row r="249" spans="46:54" x14ac:dyDescent="0.25">
      <c r="AT249" s="2" t="str">
        <f>IF($L249="","",IFERROR(INDEX('AR SALES'!$H$2:$H$2501,MATCH(""&amp;$L249,'AR SALES'!$AE$2:$AE$2501,0)),""))</f>
        <v/>
      </c>
      <c r="AU249" s="2" t="str">
        <f t="shared" si="12"/>
        <v/>
      </c>
      <c r="AV249" s="2" t="str">
        <f t="shared" si="13"/>
        <v/>
      </c>
      <c r="AW249" s="2" t="str">
        <f t="shared" si="14"/>
        <v/>
      </c>
      <c r="AX249" s="2" t="str">
        <f t="shared" si="15"/>
        <v/>
      </c>
      <c r="AY249" s="2" t="str">
        <f>IF($AV249="","",IF(AND($Z249=0,COUNTIF('AR SALES'!$L$2:$L$2501,$L249)=0),"YES",""))</f>
        <v/>
      </c>
      <c r="AZ249" s="2" t="str">
        <f>IF($AV249="","",IF(COUNTIF(LISTS!$C$2:$C$250,$AU249)=0,"NEW",""))</f>
        <v/>
      </c>
      <c r="BA249" s="2" t="str">
        <f>IF(""&amp;$F249&lt;&gt;"4","",IF($AY249="YES","",IF(ROUND(SUMIFS($AE$2:$AE$4001,$L$2:$L$4001,$L249,$F$2:$F$4001,"4")-SUMIFS('AR SALES'!$Y$2:$Y$2501,'AR SALES'!$L$2:$L$2501,$L249,'AR SALES'!$AD$2:$AD$2501,"OFF"),2)=0,"","STALE")))</f>
        <v/>
      </c>
      <c r="BB249" s="2" t="str">
        <f>IF(OR(""&amp;$F249="2",""&amp;$F249="4",""&amp;$F249="G",""&amp;$F249="H"),IF($AY249="YES","",IF($AB249&lt;&gt;0,"",IF(COUNTIFS('AR SALES'!$L$2:$L$2501,$L249,'AR SALES'!$AD$2:$AD$2501,IF(""&amp;$F249="4","OFF","ON"),'AR SALES'!$AF$2:$AF$2501,"Y")&gt;0,"","NO EXEMPTION"))),"")</f>
        <v/>
      </c>
    </row>
    <row r="250" spans="46:54" x14ac:dyDescent="0.25">
      <c r="AT250" s="2" t="str">
        <f>IF($L250="","",IFERROR(INDEX('AR SALES'!$H$2:$H$2501,MATCH(""&amp;$L250,'AR SALES'!$AE$2:$AE$2501,0)),""))</f>
        <v/>
      </c>
      <c r="AU250" s="2" t="str">
        <f t="shared" si="12"/>
        <v/>
      </c>
      <c r="AV250" s="2" t="str">
        <f t="shared" si="13"/>
        <v/>
      </c>
      <c r="AW250" s="2" t="str">
        <f t="shared" si="14"/>
        <v/>
      </c>
      <c r="AX250" s="2" t="str">
        <f t="shared" si="15"/>
        <v/>
      </c>
      <c r="AY250" s="2" t="str">
        <f>IF($AV250="","",IF(AND($Z250=0,COUNTIF('AR SALES'!$L$2:$L$2501,$L250)=0),"YES",""))</f>
        <v/>
      </c>
      <c r="AZ250" s="2" t="str">
        <f>IF($AV250="","",IF(COUNTIF(LISTS!$C$2:$C$250,$AU250)=0,"NEW",""))</f>
        <v/>
      </c>
      <c r="BA250" s="2" t="str">
        <f>IF(""&amp;$F250&lt;&gt;"4","",IF($AY250="YES","",IF(ROUND(SUMIFS($AE$2:$AE$4001,$L$2:$L$4001,$L250,$F$2:$F$4001,"4")-SUMIFS('AR SALES'!$Y$2:$Y$2501,'AR SALES'!$L$2:$L$2501,$L250,'AR SALES'!$AD$2:$AD$2501,"OFF"),2)=0,"","STALE")))</f>
        <v/>
      </c>
      <c r="BB250" s="2" t="str">
        <f>IF(OR(""&amp;$F250="2",""&amp;$F250="4",""&amp;$F250="G",""&amp;$F250="H"),IF($AY250="YES","",IF($AB250&lt;&gt;0,"",IF(COUNTIFS('AR SALES'!$L$2:$L$2501,$L250,'AR SALES'!$AD$2:$AD$2501,IF(""&amp;$F250="4","OFF","ON"),'AR SALES'!$AF$2:$AF$2501,"Y")&gt;0,"","NO EXEMPTION"))),"")</f>
        <v/>
      </c>
    </row>
    <row r="251" spans="46:54" x14ac:dyDescent="0.25">
      <c r="AT251" s="2" t="str">
        <f>IF($L251="","",IFERROR(INDEX('AR SALES'!$H$2:$H$2501,MATCH(""&amp;$L251,'AR SALES'!$AE$2:$AE$2501,0)),""))</f>
        <v/>
      </c>
      <c r="AU251" s="2" t="str">
        <f t="shared" si="12"/>
        <v/>
      </c>
      <c r="AV251" s="2" t="str">
        <f t="shared" si="13"/>
        <v/>
      </c>
      <c r="AW251" s="2" t="str">
        <f t="shared" si="14"/>
        <v/>
      </c>
      <c r="AX251" s="2" t="str">
        <f t="shared" si="15"/>
        <v/>
      </c>
      <c r="AY251" s="2" t="str">
        <f>IF($AV251="","",IF(AND($Z251=0,COUNTIF('AR SALES'!$L$2:$L$2501,$L251)=0),"YES",""))</f>
        <v/>
      </c>
      <c r="AZ251" s="2" t="str">
        <f>IF($AV251="","",IF(COUNTIF(LISTS!$C$2:$C$250,$AU251)=0,"NEW",""))</f>
        <v/>
      </c>
      <c r="BA251" s="2" t="str">
        <f>IF(""&amp;$F251&lt;&gt;"4","",IF($AY251="YES","",IF(ROUND(SUMIFS($AE$2:$AE$4001,$L$2:$L$4001,$L251,$F$2:$F$4001,"4")-SUMIFS('AR SALES'!$Y$2:$Y$2501,'AR SALES'!$L$2:$L$2501,$L251,'AR SALES'!$AD$2:$AD$2501,"OFF"),2)=0,"","STALE")))</f>
        <v/>
      </c>
      <c r="BB251" s="2" t="str">
        <f>IF(OR(""&amp;$F251="2",""&amp;$F251="4",""&amp;$F251="G",""&amp;$F251="H"),IF($AY251="YES","",IF($AB251&lt;&gt;0,"",IF(COUNTIFS('AR SALES'!$L$2:$L$2501,$L251,'AR SALES'!$AD$2:$AD$2501,IF(""&amp;$F251="4","OFF","ON"),'AR SALES'!$AF$2:$AF$2501,"Y")&gt;0,"","NO EXEMPTION"))),"")</f>
        <v/>
      </c>
    </row>
    <row r="252" spans="46:54" x14ac:dyDescent="0.25">
      <c r="AT252" s="2" t="str">
        <f>IF($L252="","",IFERROR(INDEX('AR SALES'!$H$2:$H$2501,MATCH(""&amp;$L252,'AR SALES'!$AE$2:$AE$2501,0)),""))</f>
        <v/>
      </c>
      <c r="AU252" s="2" t="str">
        <f t="shared" si="12"/>
        <v/>
      </c>
      <c r="AV252" s="2" t="str">
        <f t="shared" si="13"/>
        <v/>
      </c>
      <c r="AW252" s="2" t="str">
        <f t="shared" si="14"/>
        <v/>
      </c>
      <c r="AX252" s="2" t="str">
        <f t="shared" si="15"/>
        <v/>
      </c>
      <c r="AY252" s="2" t="str">
        <f>IF($AV252="","",IF(AND($Z252=0,COUNTIF('AR SALES'!$L$2:$L$2501,$L252)=0),"YES",""))</f>
        <v/>
      </c>
      <c r="AZ252" s="2" t="str">
        <f>IF($AV252="","",IF(COUNTIF(LISTS!$C$2:$C$250,$AU252)=0,"NEW",""))</f>
        <v/>
      </c>
      <c r="BA252" s="2" t="str">
        <f>IF(""&amp;$F252&lt;&gt;"4","",IF($AY252="YES","",IF(ROUND(SUMIFS($AE$2:$AE$4001,$L$2:$L$4001,$L252,$F$2:$F$4001,"4")-SUMIFS('AR SALES'!$Y$2:$Y$2501,'AR SALES'!$L$2:$L$2501,$L252,'AR SALES'!$AD$2:$AD$2501,"OFF"),2)=0,"","STALE")))</f>
        <v/>
      </c>
      <c r="BB252" s="2" t="str">
        <f>IF(OR(""&amp;$F252="2",""&amp;$F252="4",""&amp;$F252="G",""&amp;$F252="H"),IF($AY252="YES","",IF($AB252&lt;&gt;0,"",IF(COUNTIFS('AR SALES'!$L$2:$L$2501,$L252,'AR SALES'!$AD$2:$AD$2501,IF(""&amp;$F252="4","OFF","ON"),'AR SALES'!$AF$2:$AF$2501,"Y")&gt;0,"","NO EXEMPTION"))),"")</f>
        <v/>
      </c>
    </row>
    <row r="253" spans="46:54" x14ac:dyDescent="0.25">
      <c r="AT253" s="2" t="str">
        <f>IF($L253="","",IFERROR(INDEX('AR SALES'!$H$2:$H$2501,MATCH(""&amp;$L253,'AR SALES'!$AE$2:$AE$2501,0)),""))</f>
        <v/>
      </c>
      <c r="AU253" s="2" t="str">
        <f t="shared" si="12"/>
        <v/>
      </c>
      <c r="AV253" s="2" t="str">
        <f t="shared" si="13"/>
        <v/>
      </c>
      <c r="AW253" s="2" t="str">
        <f t="shared" si="14"/>
        <v/>
      </c>
      <c r="AX253" s="2" t="str">
        <f t="shared" si="15"/>
        <v/>
      </c>
      <c r="AY253" s="2" t="str">
        <f>IF($AV253="","",IF(AND($Z253=0,COUNTIF('AR SALES'!$L$2:$L$2501,$L253)=0),"YES",""))</f>
        <v/>
      </c>
      <c r="AZ253" s="2" t="str">
        <f>IF($AV253="","",IF(COUNTIF(LISTS!$C$2:$C$250,$AU253)=0,"NEW",""))</f>
        <v/>
      </c>
      <c r="BA253" s="2" t="str">
        <f>IF(""&amp;$F253&lt;&gt;"4","",IF($AY253="YES","",IF(ROUND(SUMIFS($AE$2:$AE$4001,$L$2:$L$4001,$L253,$F$2:$F$4001,"4")-SUMIFS('AR SALES'!$Y$2:$Y$2501,'AR SALES'!$L$2:$L$2501,$L253,'AR SALES'!$AD$2:$AD$2501,"OFF"),2)=0,"","STALE")))</f>
        <v/>
      </c>
      <c r="BB253" s="2" t="str">
        <f>IF(OR(""&amp;$F253="2",""&amp;$F253="4",""&amp;$F253="G",""&amp;$F253="H"),IF($AY253="YES","",IF($AB253&lt;&gt;0,"",IF(COUNTIFS('AR SALES'!$L$2:$L$2501,$L253,'AR SALES'!$AD$2:$AD$2501,IF(""&amp;$F253="4","OFF","ON"),'AR SALES'!$AF$2:$AF$2501,"Y")&gt;0,"","NO EXEMPTION"))),"")</f>
        <v/>
      </c>
    </row>
    <row r="254" spans="46:54" x14ac:dyDescent="0.25">
      <c r="AT254" s="2" t="str">
        <f>IF($L254="","",IFERROR(INDEX('AR SALES'!$H$2:$H$2501,MATCH(""&amp;$L254,'AR SALES'!$AE$2:$AE$2501,0)),""))</f>
        <v/>
      </c>
      <c r="AU254" s="2" t="str">
        <f t="shared" si="12"/>
        <v/>
      </c>
      <c r="AV254" s="2" t="str">
        <f t="shared" si="13"/>
        <v/>
      </c>
      <c r="AW254" s="2" t="str">
        <f t="shared" si="14"/>
        <v/>
      </c>
      <c r="AX254" s="2" t="str">
        <f t="shared" si="15"/>
        <v/>
      </c>
      <c r="AY254" s="2" t="str">
        <f>IF($AV254="","",IF(AND($Z254=0,COUNTIF('AR SALES'!$L$2:$L$2501,$L254)=0),"YES",""))</f>
        <v/>
      </c>
      <c r="AZ254" s="2" t="str">
        <f>IF($AV254="","",IF(COUNTIF(LISTS!$C$2:$C$250,$AU254)=0,"NEW",""))</f>
        <v/>
      </c>
      <c r="BA254" s="2" t="str">
        <f>IF(""&amp;$F254&lt;&gt;"4","",IF($AY254="YES","",IF(ROUND(SUMIFS($AE$2:$AE$4001,$L$2:$L$4001,$L254,$F$2:$F$4001,"4")-SUMIFS('AR SALES'!$Y$2:$Y$2501,'AR SALES'!$L$2:$L$2501,$L254,'AR SALES'!$AD$2:$AD$2501,"OFF"),2)=0,"","STALE")))</f>
        <v/>
      </c>
      <c r="BB254" s="2" t="str">
        <f>IF(OR(""&amp;$F254="2",""&amp;$F254="4",""&amp;$F254="G",""&amp;$F254="H"),IF($AY254="YES","",IF($AB254&lt;&gt;0,"",IF(COUNTIFS('AR SALES'!$L$2:$L$2501,$L254,'AR SALES'!$AD$2:$AD$2501,IF(""&amp;$F254="4","OFF","ON"),'AR SALES'!$AF$2:$AF$2501,"Y")&gt;0,"","NO EXEMPTION"))),"")</f>
        <v/>
      </c>
    </row>
    <row r="255" spans="46:54" x14ac:dyDescent="0.25">
      <c r="AT255" s="2" t="str">
        <f>IF($L255="","",IFERROR(INDEX('AR SALES'!$H$2:$H$2501,MATCH(""&amp;$L255,'AR SALES'!$AE$2:$AE$2501,0)),""))</f>
        <v/>
      </c>
      <c r="AU255" s="2" t="str">
        <f t="shared" si="12"/>
        <v/>
      </c>
      <c r="AV255" s="2" t="str">
        <f t="shared" si="13"/>
        <v/>
      </c>
      <c r="AW255" s="2" t="str">
        <f t="shared" si="14"/>
        <v/>
      </c>
      <c r="AX255" s="2" t="str">
        <f t="shared" si="15"/>
        <v/>
      </c>
      <c r="AY255" s="2" t="str">
        <f>IF($AV255="","",IF(AND($Z255=0,COUNTIF('AR SALES'!$L$2:$L$2501,$L255)=0),"YES",""))</f>
        <v/>
      </c>
      <c r="AZ255" s="2" t="str">
        <f>IF($AV255="","",IF(COUNTIF(LISTS!$C$2:$C$250,$AU255)=0,"NEW",""))</f>
        <v/>
      </c>
      <c r="BA255" s="2" t="str">
        <f>IF(""&amp;$F255&lt;&gt;"4","",IF($AY255="YES","",IF(ROUND(SUMIFS($AE$2:$AE$4001,$L$2:$L$4001,$L255,$F$2:$F$4001,"4")-SUMIFS('AR SALES'!$Y$2:$Y$2501,'AR SALES'!$L$2:$L$2501,$L255,'AR SALES'!$AD$2:$AD$2501,"OFF"),2)=0,"","STALE")))</f>
        <v/>
      </c>
      <c r="BB255" s="2" t="str">
        <f>IF(OR(""&amp;$F255="2",""&amp;$F255="4",""&amp;$F255="G",""&amp;$F255="H"),IF($AY255="YES","",IF($AB255&lt;&gt;0,"",IF(COUNTIFS('AR SALES'!$L$2:$L$2501,$L255,'AR SALES'!$AD$2:$AD$2501,IF(""&amp;$F255="4","OFF","ON"),'AR SALES'!$AF$2:$AF$2501,"Y")&gt;0,"","NO EXEMPTION"))),"")</f>
        <v/>
      </c>
    </row>
    <row r="256" spans="46:54" x14ac:dyDescent="0.25">
      <c r="AT256" s="2" t="str">
        <f>IF($L256="","",IFERROR(INDEX('AR SALES'!$H$2:$H$2501,MATCH(""&amp;$L256,'AR SALES'!$AE$2:$AE$2501,0)),""))</f>
        <v/>
      </c>
      <c r="AU256" s="2" t="str">
        <f t="shared" si="12"/>
        <v/>
      </c>
      <c r="AV256" s="2" t="str">
        <f t="shared" si="13"/>
        <v/>
      </c>
      <c r="AW256" s="2" t="str">
        <f t="shared" si="14"/>
        <v/>
      </c>
      <c r="AX256" s="2" t="str">
        <f t="shared" si="15"/>
        <v/>
      </c>
      <c r="AY256" s="2" t="str">
        <f>IF($AV256="","",IF(AND($Z256=0,COUNTIF('AR SALES'!$L$2:$L$2501,$L256)=0),"YES",""))</f>
        <v/>
      </c>
      <c r="AZ256" s="2" t="str">
        <f>IF($AV256="","",IF(COUNTIF(LISTS!$C$2:$C$250,$AU256)=0,"NEW",""))</f>
        <v/>
      </c>
      <c r="BA256" s="2" t="str">
        <f>IF(""&amp;$F256&lt;&gt;"4","",IF($AY256="YES","",IF(ROUND(SUMIFS($AE$2:$AE$4001,$L$2:$L$4001,$L256,$F$2:$F$4001,"4")-SUMIFS('AR SALES'!$Y$2:$Y$2501,'AR SALES'!$L$2:$L$2501,$L256,'AR SALES'!$AD$2:$AD$2501,"OFF"),2)=0,"","STALE")))</f>
        <v/>
      </c>
      <c r="BB256" s="2" t="str">
        <f>IF(OR(""&amp;$F256="2",""&amp;$F256="4",""&amp;$F256="G",""&amp;$F256="H"),IF($AY256="YES","",IF($AB256&lt;&gt;0,"",IF(COUNTIFS('AR SALES'!$L$2:$L$2501,$L256,'AR SALES'!$AD$2:$AD$2501,IF(""&amp;$F256="4","OFF","ON"),'AR SALES'!$AF$2:$AF$2501,"Y")&gt;0,"","NO EXEMPTION"))),"")</f>
        <v/>
      </c>
    </row>
    <row r="257" spans="46:54" x14ac:dyDescent="0.25">
      <c r="AT257" s="2" t="str">
        <f>IF($L257="","",IFERROR(INDEX('AR SALES'!$H$2:$H$2501,MATCH(""&amp;$L257,'AR SALES'!$AE$2:$AE$2501,0)),""))</f>
        <v/>
      </c>
      <c r="AU257" s="2" t="str">
        <f t="shared" si="12"/>
        <v/>
      </c>
      <c r="AV257" s="2" t="str">
        <f t="shared" si="13"/>
        <v/>
      </c>
      <c r="AW257" s="2" t="str">
        <f t="shared" si="14"/>
        <v/>
      </c>
      <c r="AX257" s="2" t="str">
        <f t="shared" si="15"/>
        <v/>
      </c>
      <c r="AY257" s="2" t="str">
        <f>IF($AV257="","",IF(AND($Z257=0,COUNTIF('AR SALES'!$L$2:$L$2501,$L257)=0),"YES",""))</f>
        <v/>
      </c>
      <c r="AZ257" s="2" t="str">
        <f>IF($AV257="","",IF(COUNTIF(LISTS!$C$2:$C$250,$AU257)=0,"NEW",""))</f>
        <v/>
      </c>
      <c r="BA257" s="2" t="str">
        <f>IF(""&amp;$F257&lt;&gt;"4","",IF($AY257="YES","",IF(ROUND(SUMIFS($AE$2:$AE$4001,$L$2:$L$4001,$L257,$F$2:$F$4001,"4")-SUMIFS('AR SALES'!$Y$2:$Y$2501,'AR SALES'!$L$2:$L$2501,$L257,'AR SALES'!$AD$2:$AD$2501,"OFF"),2)=0,"","STALE")))</f>
        <v/>
      </c>
      <c r="BB257" s="2" t="str">
        <f>IF(OR(""&amp;$F257="2",""&amp;$F257="4",""&amp;$F257="G",""&amp;$F257="H"),IF($AY257="YES","",IF($AB257&lt;&gt;0,"",IF(COUNTIFS('AR SALES'!$L$2:$L$2501,$L257,'AR SALES'!$AD$2:$AD$2501,IF(""&amp;$F257="4","OFF","ON"),'AR SALES'!$AF$2:$AF$2501,"Y")&gt;0,"","NO EXEMPTION"))),"")</f>
        <v/>
      </c>
    </row>
    <row r="258" spans="46:54" x14ac:dyDescent="0.25">
      <c r="AT258" s="2" t="str">
        <f>IF($L258="","",IFERROR(INDEX('AR SALES'!$H$2:$H$2501,MATCH(""&amp;$L258,'AR SALES'!$AE$2:$AE$2501,0)),""))</f>
        <v/>
      </c>
      <c r="AU258" s="2" t="str">
        <f t="shared" ref="AU258:AU321" si="16">IF($L258="","",IF($A258&lt;&gt;"GA","",IF($E258="FULTON",IF(ISNUMBER(SEARCH("COLLEGE PARK",$AT258)),"FULTON (COLLEGE PARK)",IF(ISNUMBER(SEARCH("ATLANTA CITY",$AT258)),"FULTON (ATL LIMITS)","FULTON")),IF($E258="DEKALB",IF(ISNUMBER(SEARCH("ATLANTA CITY",$AT258)),"DEKALB (ATL LIMITS)","DEKALB"),$E258))))</f>
        <v/>
      </c>
      <c r="AV258" s="2" t="str">
        <f t="shared" ref="AV258:AV321" si="17">IF($L258="","",IF(""&amp;$F258="2","DIESEL",IF(OR(""&amp;$F258="G",""&amp;$F258="H"),"GAS","")))</f>
        <v/>
      </c>
      <c r="AW258" s="2" t="str">
        <f t="shared" ref="AW258:AW321" si="18">IF($AV258="","",$R258)</f>
        <v/>
      </c>
      <c r="AX258" s="2" t="str">
        <f t="shared" ref="AX258:AX321" si="19">IF($AV258="","",IF($AB258=0,$R258,0))</f>
        <v/>
      </c>
      <c r="AY258" s="2" t="str">
        <f>IF($AV258="","",IF(AND($Z258=0,COUNTIF('AR SALES'!$L$2:$L$2501,$L258)=0),"YES",""))</f>
        <v/>
      </c>
      <c r="AZ258" s="2" t="str">
        <f>IF($AV258="","",IF(COUNTIF(LISTS!$C$2:$C$250,$AU258)=0,"NEW",""))</f>
        <v/>
      </c>
      <c r="BA258" s="2" t="str">
        <f>IF(""&amp;$F258&lt;&gt;"4","",IF($AY258="YES","",IF(ROUND(SUMIFS($AE$2:$AE$4001,$L$2:$L$4001,$L258,$F$2:$F$4001,"4")-SUMIFS('AR SALES'!$Y$2:$Y$2501,'AR SALES'!$L$2:$L$2501,$L258,'AR SALES'!$AD$2:$AD$2501,"OFF"),2)=0,"","STALE")))</f>
        <v/>
      </c>
      <c r="BB258" s="2" t="str">
        <f>IF(OR(""&amp;$F258="2",""&amp;$F258="4",""&amp;$F258="G",""&amp;$F258="H"),IF($AY258="YES","",IF($AB258&lt;&gt;0,"",IF(COUNTIFS('AR SALES'!$L$2:$L$2501,$L258,'AR SALES'!$AD$2:$AD$2501,IF(""&amp;$F258="4","OFF","ON"),'AR SALES'!$AF$2:$AF$2501,"Y")&gt;0,"","NO EXEMPTION"))),"")</f>
        <v/>
      </c>
    </row>
    <row r="259" spans="46:54" x14ac:dyDescent="0.25">
      <c r="AT259" s="2" t="str">
        <f>IF($L259="","",IFERROR(INDEX('AR SALES'!$H$2:$H$2501,MATCH(""&amp;$L259,'AR SALES'!$AE$2:$AE$2501,0)),""))</f>
        <v/>
      </c>
      <c r="AU259" s="2" t="str">
        <f t="shared" si="16"/>
        <v/>
      </c>
      <c r="AV259" s="2" t="str">
        <f t="shared" si="17"/>
        <v/>
      </c>
      <c r="AW259" s="2" t="str">
        <f t="shared" si="18"/>
        <v/>
      </c>
      <c r="AX259" s="2" t="str">
        <f t="shared" si="19"/>
        <v/>
      </c>
      <c r="AY259" s="2" t="str">
        <f>IF($AV259="","",IF(AND($Z259=0,COUNTIF('AR SALES'!$L$2:$L$2501,$L259)=0),"YES",""))</f>
        <v/>
      </c>
      <c r="AZ259" s="2" t="str">
        <f>IF($AV259="","",IF(COUNTIF(LISTS!$C$2:$C$250,$AU259)=0,"NEW",""))</f>
        <v/>
      </c>
      <c r="BA259" s="2" t="str">
        <f>IF(""&amp;$F259&lt;&gt;"4","",IF($AY259="YES","",IF(ROUND(SUMIFS($AE$2:$AE$4001,$L$2:$L$4001,$L259,$F$2:$F$4001,"4")-SUMIFS('AR SALES'!$Y$2:$Y$2501,'AR SALES'!$L$2:$L$2501,$L259,'AR SALES'!$AD$2:$AD$2501,"OFF"),2)=0,"","STALE")))</f>
        <v/>
      </c>
      <c r="BB259" s="2" t="str">
        <f>IF(OR(""&amp;$F259="2",""&amp;$F259="4",""&amp;$F259="G",""&amp;$F259="H"),IF($AY259="YES","",IF($AB259&lt;&gt;0,"",IF(COUNTIFS('AR SALES'!$L$2:$L$2501,$L259,'AR SALES'!$AD$2:$AD$2501,IF(""&amp;$F259="4","OFF","ON"),'AR SALES'!$AF$2:$AF$2501,"Y")&gt;0,"","NO EXEMPTION"))),"")</f>
        <v/>
      </c>
    </row>
    <row r="260" spans="46:54" x14ac:dyDescent="0.25">
      <c r="AT260" s="2" t="str">
        <f>IF($L260="","",IFERROR(INDEX('AR SALES'!$H$2:$H$2501,MATCH(""&amp;$L260,'AR SALES'!$AE$2:$AE$2501,0)),""))</f>
        <v/>
      </c>
      <c r="AU260" s="2" t="str">
        <f t="shared" si="16"/>
        <v/>
      </c>
      <c r="AV260" s="2" t="str">
        <f t="shared" si="17"/>
        <v/>
      </c>
      <c r="AW260" s="2" t="str">
        <f t="shared" si="18"/>
        <v/>
      </c>
      <c r="AX260" s="2" t="str">
        <f t="shared" si="19"/>
        <v/>
      </c>
      <c r="AY260" s="2" t="str">
        <f>IF($AV260="","",IF(AND($Z260=0,COUNTIF('AR SALES'!$L$2:$L$2501,$L260)=0),"YES",""))</f>
        <v/>
      </c>
      <c r="AZ260" s="2" t="str">
        <f>IF($AV260="","",IF(COUNTIF(LISTS!$C$2:$C$250,$AU260)=0,"NEW",""))</f>
        <v/>
      </c>
      <c r="BA260" s="2" t="str">
        <f>IF(""&amp;$F260&lt;&gt;"4","",IF($AY260="YES","",IF(ROUND(SUMIFS($AE$2:$AE$4001,$L$2:$L$4001,$L260,$F$2:$F$4001,"4")-SUMIFS('AR SALES'!$Y$2:$Y$2501,'AR SALES'!$L$2:$L$2501,$L260,'AR SALES'!$AD$2:$AD$2501,"OFF"),2)=0,"","STALE")))</f>
        <v/>
      </c>
      <c r="BB260" s="2" t="str">
        <f>IF(OR(""&amp;$F260="2",""&amp;$F260="4",""&amp;$F260="G",""&amp;$F260="H"),IF($AY260="YES","",IF($AB260&lt;&gt;0,"",IF(COUNTIFS('AR SALES'!$L$2:$L$2501,$L260,'AR SALES'!$AD$2:$AD$2501,IF(""&amp;$F260="4","OFF","ON"),'AR SALES'!$AF$2:$AF$2501,"Y")&gt;0,"","NO EXEMPTION"))),"")</f>
        <v/>
      </c>
    </row>
    <row r="261" spans="46:54" x14ac:dyDescent="0.25">
      <c r="AT261" s="2" t="str">
        <f>IF($L261="","",IFERROR(INDEX('AR SALES'!$H$2:$H$2501,MATCH(""&amp;$L261,'AR SALES'!$AE$2:$AE$2501,0)),""))</f>
        <v/>
      </c>
      <c r="AU261" s="2" t="str">
        <f t="shared" si="16"/>
        <v/>
      </c>
      <c r="AV261" s="2" t="str">
        <f t="shared" si="17"/>
        <v/>
      </c>
      <c r="AW261" s="2" t="str">
        <f t="shared" si="18"/>
        <v/>
      </c>
      <c r="AX261" s="2" t="str">
        <f t="shared" si="19"/>
        <v/>
      </c>
      <c r="AY261" s="2" t="str">
        <f>IF($AV261="","",IF(AND($Z261=0,COUNTIF('AR SALES'!$L$2:$L$2501,$L261)=0),"YES",""))</f>
        <v/>
      </c>
      <c r="AZ261" s="2" t="str">
        <f>IF($AV261="","",IF(COUNTIF(LISTS!$C$2:$C$250,$AU261)=0,"NEW",""))</f>
        <v/>
      </c>
      <c r="BA261" s="2" t="str">
        <f>IF(""&amp;$F261&lt;&gt;"4","",IF($AY261="YES","",IF(ROUND(SUMIFS($AE$2:$AE$4001,$L$2:$L$4001,$L261,$F$2:$F$4001,"4")-SUMIFS('AR SALES'!$Y$2:$Y$2501,'AR SALES'!$L$2:$L$2501,$L261,'AR SALES'!$AD$2:$AD$2501,"OFF"),2)=0,"","STALE")))</f>
        <v/>
      </c>
      <c r="BB261" s="2" t="str">
        <f>IF(OR(""&amp;$F261="2",""&amp;$F261="4",""&amp;$F261="G",""&amp;$F261="H"),IF($AY261="YES","",IF($AB261&lt;&gt;0,"",IF(COUNTIFS('AR SALES'!$L$2:$L$2501,$L261,'AR SALES'!$AD$2:$AD$2501,IF(""&amp;$F261="4","OFF","ON"),'AR SALES'!$AF$2:$AF$2501,"Y")&gt;0,"","NO EXEMPTION"))),"")</f>
        <v/>
      </c>
    </row>
    <row r="262" spans="46:54" x14ac:dyDescent="0.25">
      <c r="AT262" s="2" t="str">
        <f>IF($L262="","",IFERROR(INDEX('AR SALES'!$H$2:$H$2501,MATCH(""&amp;$L262,'AR SALES'!$AE$2:$AE$2501,0)),""))</f>
        <v/>
      </c>
      <c r="AU262" s="2" t="str">
        <f t="shared" si="16"/>
        <v/>
      </c>
      <c r="AV262" s="2" t="str">
        <f t="shared" si="17"/>
        <v/>
      </c>
      <c r="AW262" s="2" t="str">
        <f t="shared" si="18"/>
        <v/>
      </c>
      <c r="AX262" s="2" t="str">
        <f t="shared" si="19"/>
        <v/>
      </c>
      <c r="AY262" s="2" t="str">
        <f>IF($AV262="","",IF(AND($Z262=0,COUNTIF('AR SALES'!$L$2:$L$2501,$L262)=0),"YES",""))</f>
        <v/>
      </c>
      <c r="AZ262" s="2" t="str">
        <f>IF($AV262="","",IF(COUNTIF(LISTS!$C$2:$C$250,$AU262)=0,"NEW",""))</f>
        <v/>
      </c>
      <c r="BA262" s="2" t="str">
        <f>IF(""&amp;$F262&lt;&gt;"4","",IF($AY262="YES","",IF(ROUND(SUMIFS($AE$2:$AE$4001,$L$2:$L$4001,$L262,$F$2:$F$4001,"4")-SUMIFS('AR SALES'!$Y$2:$Y$2501,'AR SALES'!$L$2:$L$2501,$L262,'AR SALES'!$AD$2:$AD$2501,"OFF"),2)=0,"","STALE")))</f>
        <v/>
      </c>
      <c r="BB262" s="2" t="str">
        <f>IF(OR(""&amp;$F262="2",""&amp;$F262="4",""&amp;$F262="G",""&amp;$F262="H"),IF($AY262="YES","",IF($AB262&lt;&gt;0,"",IF(COUNTIFS('AR SALES'!$L$2:$L$2501,$L262,'AR SALES'!$AD$2:$AD$2501,IF(""&amp;$F262="4","OFF","ON"),'AR SALES'!$AF$2:$AF$2501,"Y")&gt;0,"","NO EXEMPTION"))),"")</f>
        <v/>
      </c>
    </row>
    <row r="263" spans="46:54" x14ac:dyDescent="0.25">
      <c r="AT263" s="2" t="str">
        <f>IF($L263="","",IFERROR(INDEX('AR SALES'!$H$2:$H$2501,MATCH(""&amp;$L263,'AR SALES'!$AE$2:$AE$2501,0)),""))</f>
        <v/>
      </c>
      <c r="AU263" s="2" t="str">
        <f t="shared" si="16"/>
        <v/>
      </c>
      <c r="AV263" s="2" t="str">
        <f t="shared" si="17"/>
        <v/>
      </c>
      <c r="AW263" s="2" t="str">
        <f t="shared" si="18"/>
        <v/>
      </c>
      <c r="AX263" s="2" t="str">
        <f t="shared" si="19"/>
        <v/>
      </c>
      <c r="AY263" s="2" t="str">
        <f>IF($AV263="","",IF(AND($Z263=0,COUNTIF('AR SALES'!$L$2:$L$2501,$L263)=0),"YES",""))</f>
        <v/>
      </c>
      <c r="AZ263" s="2" t="str">
        <f>IF($AV263="","",IF(COUNTIF(LISTS!$C$2:$C$250,$AU263)=0,"NEW",""))</f>
        <v/>
      </c>
      <c r="BA263" s="2" t="str">
        <f>IF(""&amp;$F263&lt;&gt;"4","",IF($AY263="YES","",IF(ROUND(SUMIFS($AE$2:$AE$4001,$L$2:$L$4001,$L263,$F$2:$F$4001,"4")-SUMIFS('AR SALES'!$Y$2:$Y$2501,'AR SALES'!$L$2:$L$2501,$L263,'AR SALES'!$AD$2:$AD$2501,"OFF"),2)=0,"","STALE")))</f>
        <v/>
      </c>
      <c r="BB263" s="2" t="str">
        <f>IF(OR(""&amp;$F263="2",""&amp;$F263="4",""&amp;$F263="G",""&amp;$F263="H"),IF($AY263="YES","",IF($AB263&lt;&gt;0,"",IF(COUNTIFS('AR SALES'!$L$2:$L$2501,$L263,'AR SALES'!$AD$2:$AD$2501,IF(""&amp;$F263="4","OFF","ON"),'AR SALES'!$AF$2:$AF$2501,"Y")&gt;0,"","NO EXEMPTION"))),"")</f>
        <v/>
      </c>
    </row>
    <row r="264" spans="46:54" x14ac:dyDescent="0.25">
      <c r="AT264" s="2" t="str">
        <f>IF($L264="","",IFERROR(INDEX('AR SALES'!$H$2:$H$2501,MATCH(""&amp;$L264,'AR SALES'!$AE$2:$AE$2501,0)),""))</f>
        <v/>
      </c>
      <c r="AU264" s="2" t="str">
        <f t="shared" si="16"/>
        <v/>
      </c>
      <c r="AV264" s="2" t="str">
        <f t="shared" si="17"/>
        <v/>
      </c>
      <c r="AW264" s="2" t="str">
        <f t="shared" si="18"/>
        <v/>
      </c>
      <c r="AX264" s="2" t="str">
        <f t="shared" si="19"/>
        <v/>
      </c>
      <c r="AY264" s="2" t="str">
        <f>IF($AV264="","",IF(AND($Z264=0,COUNTIF('AR SALES'!$L$2:$L$2501,$L264)=0),"YES",""))</f>
        <v/>
      </c>
      <c r="AZ264" s="2" t="str">
        <f>IF($AV264="","",IF(COUNTIF(LISTS!$C$2:$C$250,$AU264)=0,"NEW",""))</f>
        <v/>
      </c>
      <c r="BA264" s="2" t="str">
        <f>IF(""&amp;$F264&lt;&gt;"4","",IF($AY264="YES","",IF(ROUND(SUMIFS($AE$2:$AE$4001,$L$2:$L$4001,$L264,$F$2:$F$4001,"4")-SUMIFS('AR SALES'!$Y$2:$Y$2501,'AR SALES'!$L$2:$L$2501,$L264,'AR SALES'!$AD$2:$AD$2501,"OFF"),2)=0,"","STALE")))</f>
        <v/>
      </c>
      <c r="BB264" s="2" t="str">
        <f>IF(OR(""&amp;$F264="2",""&amp;$F264="4",""&amp;$F264="G",""&amp;$F264="H"),IF($AY264="YES","",IF($AB264&lt;&gt;0,"",IF(COUNTIFS('AR SALES'!$L$2:$L$2501,$L264,'AR SALES'!$AD$2:$AD$2501,IF(""&amp;$F264="4","OFF","ON"),'AR SALES'!$AF$2:$AF$2501,"Y")&gt;0,"","NO EXEMPTION"))),"")</f>
        <v/>
      </c>
    </row>
    <row r="265" spans="46:54" x14ac:dyDescent="0.25">
      <c r="AT265" s="2" t="str">
        <f>IF($L265="","",IFERROR(INDEX('AR SALES'!$H$2:$H$2501,MATCH(""&amp;$L265,'AR SALES'!$AE$2:$AE$2501,0)),""))</f>
        <v/>
      </c>
      <c r="AU265" s="2" t="str">
        <f t="shared" si="16"/>
        <v/>
      </c>
      <c r="AV265" s="2" t="str">
        <f t="shared" si="17"/>
        <v/>
      </c>
      <c r="AW265" s="2" t="str">
        <f t="shared" si="18"/>
        <v/>
      </c>
      <c r="AX265" s="2" t="str">
        <f t="shared" si="19"/>
        <v/>
      </c>
      <c r="AY265" s="2" t="str">
        <f>IF($AV265="","",IF(AND($Z265=0,COUNTIF('AR SALES'!$L$2:$L$2501,$L265)=0),"YES",""))</f>
        <v/>
      </c>
      <c r="AZ265" s="2" t="str">
        <f>IF($AV265="","",IF(COUNTIF(LISTS!$C$2:$C$250,$AU265)=0,"NEW",""))</f>
        <v/>
      </c>
      <c r="BA265" s="2" t="str">
        <f>IF(""&amp;$F265&lt;&gt;"4","",IF($AY265="YES","",IF(ROUND(SUMIFS($AE$2:$AE$4001,$L$2:$L$4001,$L265,$F$2:$F$4001,"4")-SUMIFS('AR SALES'!$Y$2:$Y$2501,'AR SALES'!$L$2:$L$2501,$L265,'AR SALES'!$AD$2:$AD$2501,"OFF"),2)=0,"","STALE")))</f>
        <v/>
      </c>
      <c r="BB265" s="2" t="str">
        <f>IF(OR(""&amp;$F265="2",""&amp;$F265="4",""&amp;$F265="G",""&amp;$F265="H"),IF($AY265="YES","",IF($AB265&lt;&gt;0,"",IF(COUNTIFS('AR SALES'!$L$2:$L$2501,$L265,'AR SALES'!$AD$2:$AD$2501,IF(""&amp;$F265="4","OFF","ON"),'AR SALES'!$AF$2:$AF$2501,"Y")&gt;0,"","NO EXEMPTION"))),"")</f>
        <v/>
      </c>
    </row>
    <row r="266" spans="46:54" x14ac:dyDescent="0.25">
      <c r="AT266" s="2" t="str">
        <f>IF($L266="","",IFERROR(INDEX('AR SALES'!$H$2:$H$2501,MATCH(""&amp;$L266,'AR SALES'!$AE$2:$AE$2501,0)),""))</f>
        <v/>
      </c>
      <c r="AU266" s="2" t="str">
        <f t="shared" si="16"/>
        <v/>
      </c>
      <c r="AV266" s="2" t="str">
        <f t="shared" si="17"/>
        <v/>
      </c>
      <c r="AW266" s="2" t="str">
        <f t="shared" si="18"/>
        <v/>
      </c>
      <c r="AX266" s="2" t="str">
        <f t="shared" si="19"/>
        <v/>
      </c>
      <c r="AY266" s="2" t="str">
        <f>IF($AV266="","",IF(AND($Z266=0,COUNTIF('AR SALES'!$L$2:$L$2501,$L266)=0),"YES",""))</f>
        <v/>
      </c>
      <c r="AZ266" s="2" t="str">
        <f>IF($AV266="","",IF(COUNTIF(LISTS!$C$2:$C$250,$AU266)=0,"NEW",""))</f>
        <v/>
      </c>
      <c r="BA266" s="2" t="str">
        <f>IF(""&amp;$F266&lt;&gt;"4","",IF($AY266="YES","",IF(ROUND(SUMIFS($AE$2:$AE$4001,$L$2:$L$4001,$L266,$F$2:$F$4001,"4")-SUMIFS('AR SALES'!$Y$2:$Y$2501,'AR SALES'!$L$2:$L$2501,$L266,'AR SALES'!$AD$2:$AD$2501,"OFF"),2)=0,"","STALE")))</f>
        <v/>
      </c>
      <c r="BB266" s="2" t="str">
        <f>IF(OR(""&amp;$F266="2",""&amp;$F266="4",""&amp;$F266="G",""&amp;$F266="H"),IF($AY266="YES","",IF($AB266&lt;&gt;0,"",IF(COUNTIFS('AR SALES'!$L$2:$L$2501,$L266,'AR SALES'!$AD$2:$AD$2501,IF(""&amp;$F266="4","OFF","ON"),'AR SALES'!$AF$2:$AF$2501,"Y")&gt;0,"","NO EXEMPTION"))),"")</f>
        <v/>
      </c>
    </row>
    <row r="267" spans="46:54" x14ac:dyDescent="0.25">
      <c r="AT267" s="2" t="str">
        <f>IF($L267="","",IFERROR(INDEX('AR SALES'!$H$2:$H$2501,MATCH(""&amp;$L267,'AR SALES'!$AE$2:$AE$2501,0)),""))</f>
        <v/>
      </c>
      <c r="AU267" s="2" t="str">
        <f t="shared" si="16"/>
        <v/>
      </c>
      <c r="AV267" s="2" t="str">
        <f t="shared" si="17"/>
        <v/>
      </c>
      <c r="AW267" s="2" t="str">
        <f t="shared" si="18"/>
        <v/>
      </c>
      <c r="AX267" s="2" t="str">
        <f t="shared" si="19"/>
        <v/>
      </c>
      <c r="AY267" s="2" t="str">
        <f>IF($AV267="","",IF(AND($Z267=0,COUNTIF('AR SALES'!$L$2:$L$2501,$L267)=0),"YES",""))</f>
        <v/>
      </c>
      <c r="AZ267" s="2" t="str">
        <f>IF($AV267="","",IF(COUNTIF(LISTS!$C$2:$C$250,$AU267)=0,"NEW",""))</f>
        <v/>
      </c>
      <c r="BA267" s="2" t="str">
        <f>IF(""&amp;$F267&lt;&gt;"4","",IF($AY267="YES","",IF(ROUND(SUMIFS($AE$2:$AE$4001,$L$2:$L$4001,$L267,$F$2:$F$4001,"4")-SUMIFS('AR SALES'!$Y$2:$Y$2501,'AR SALES'!$L$2:$L$2501,$L267,'AR SALES'!$AD$2:$AD$2501,"OFF"),2)=0,"","STALE")))</f>
        <v/>
      </c>
      <c r="BB267" s="2" t="str">
        <f>IF(OR(""&amp;$F267="2",""&amp;$F267="4",""&amp;$F267="G",""&amp;$F267="H"),IF($AY267="YES","",IF($AB267&lt;&gt;0,"",IF(COUNTIFS('AR SALES'!$L$2:$L$2501,$L267,'AR SALES'!$AD$2:$AD$2501,IF(""&amp;$F267="4","OFF","ON"),'AR SALES'!$AF$2:$AF$2501,"Y")&gt;0,"","NO EXEMPTION"))),"")</f>
        <v/>
      </c>
    </row>
    <row r="268" spans="46:54" x14ac:dyDescent="0.25">
      <c r="AT268" s="2" t="str">
        <f>IF($L268="","",IFERROR(INDEX('AR SALES'!$H$2:$H$2501,MATCH(""&amp;$L268,'AR SALES'!$AE$2:$AE$2501,0)),""))</f>
        <v/>
      </c>
      <c r="AU268" s="2" t="str">
        <f t="shared" si="16"/>
        <v/>
      </c>
      <c r="AV268" s="2" t="str">
        <f t="shared" si="17"/>
        <v/>
      </c>
      <c r="AW268" s="2" t="str">
        <f t="shared" si="18"/>
        <v/>
      </c>
      <c r="AX268" s="2" t="str">
        <f t="shared" si="19"/>
        <v/>
      </c>
      <c r="AY268" s="2" t="str">
        <f>IF($AV268="","",IF(AND($Z268=0,COUNTIF('AR SALES'!$L$2:$L$2501,$L268)=0),"YES",""))</f>
        <v/>
      </c>
      <c r="AZ268" s="2" t="str">
        <f>IF($AV268="","",IF(COUNTIF(LISTS!$C$2:$C$250,$AU268)=0,"NEW",""))</f>
        <v/>
      </c>
      <c r="BA268" s="2" t="str">
        <f>IF(""&amp;$F268&lt;&gt;"4","",IF($AY268="YES","",IF(ROUND(SUMIFS($AE$2:$AE$4001,$L$2:$L$4001,$L268,$F$2:$F$4001,"4")-SUMIFS('AR SALES'!$Y$2:$Y$2501,'AR SALES'!$L$2:$L$2501,$L268,'AR SALES'!$AD$2:$AD$2501,"OFF"),2)=0,"","STALE")))</f>
        <v/>
      </c>
      <c r="BB268" s="2" t="str">
        <f>IF(OR(""&amp;$F268="2",""&amp;$F268="4",""&amp;$F268="G",""&amp;$F268="H"),IF($AY268="YES","",IF($AB268&lt;&gt;0,"",IF(COUNTIFS('AR SALES'!$L$2:$L$2501,$L268,'AR SALES'!$AD$2:$AD$2501,IF(""&amp;$F268="4","OFF","ON"),'AR SALES'!$AF$2:$AF$2501,"Y")&gt;0,"","NO EXEMPTION"))),"")</f>
        <v/>
      </c>
    </row>
    <row r="269" spans="46:54" x14ac:dyDescent="0.25">
      <c r="AT269" s="2" t="str">
        <f>IF($L269="","",IFERROR(INDEX('AR SALES'!$H$2:$H$2501,MATCH(""&amp;$L269,'AR SALES'!$AE$2:$AE$2501,0)),""))</f>
        <v/>
      </c>
      <c r="AU269" s="2" t="str">
        <f t="shared" si="16"/>
        <v/>
      </c>
      <c r="AV269" s="2" t="str">
        <f t="shared" si="17"/>
        <v/>
      </c>
      <c r="AW269" s="2" t="str">
        <f t="shared" si="18"/>
        <v/>
      </c>
      <c r="AX269" s="2" t="str">
        <f t="shared" si="19"/>
        <v/>
      </c>
      <c r="AY269" s="2" t="str">
        <f>IF($AV269="","",IF(AND($Z269=0,COUNTIF('AR SALES'!$L$2:$L$2501,$L269)=0),"YES",""))</f>
        <v/>
      </c>
      <c r="AZ269" s="2" t="str">
        <f>IF($AV269="","",IF(COUNTIF(LISTS!$C$2:$C$250,$AU269)=0,"NEW",""))</f>
        <v/>
      </c>
      <c r="BA269" s="2" t="str">
        <f>IF(""&amp;$F269&lt;&gt;"4","",IF($AY269="YES","",IF(ROUND(SUMIFS($AE$2:$AE$4001,$L$2:$L$4001,$L269,$F$2:$F$4001,"4")-SUMIFS('AR SALES'!$Y$2:$Y$2501,'AR SALES'!$L$2:$L$2501,$L269,'AR SALES'!$AD$2:$AD$2501,"OFF"),2)=0,"","STALE")))</f>
        <v/>
      </c>
      <c r="BB269" s="2" t="str">
        <f>IF(OR(""&amp;$F269="2",""&amp;$F269="4",""&amp;$F269="G",""&amp;$F269="H"),IF($AY269="YES","",IF($AB269&lt;&gt;0,"",IF(COUNTIFS('AR SALES'!$L$2:$L$2501,$L269,'AR SALES'!$AD$2:$AD$2501,IF(""&amp;$F269="4","OFF","ON"),'AR SALES'!$AF$2:$AF$2501,"Y")&gt;0,"","NO EXEMPTION"))),"")</f>
        <v/>
      </c>
    </row>
    <row r="270" spans="46:54" x14ac:dyDescent="0.25">
      <c r="AT270" s="2" t="str">
        <f>IF($L270="","",IFERROR(INDEX('AR SALES'!$H$2:$H$2501,MATCH(""&amp;$L270,'AR SALES'!$AE$2:$AE$2501,0)),""))</f>
        <v/>
      </c>
      <c r="AU270" s="2" t="str">
        <f t="shared" si="16"/>
        <v/>
      </c>
      <c r="AV270" s="2" t="str">
        <f t="shared" si="17"/>
        <v/>
      </c>
      <c r="AW270" s="2" t="str">
        <f t="shared" si="18"/>
        <v/>
      </c>
      <c r="AX270" s="2" t="str">
        <f t="shared" si="19"/>
        <v/>
      </c>
      <c r="AY270" s="2" t="str">
        <f>IF($AV270="","",IF(AND($Z270=0,COUNTIF('AR SALES'!$L$2:$L$2501,$L270)=0),"YES",""))</f>
        <v/>
      </c>
      <c r="AZ270" s="2" t="str">
        <f>IF($AV270="","",IF(COUNTIF(LISTS!$C$2:$C$250,$AU270)=0,"NEW",""))</f>
        <v/>
      </c>
      <c r="BA270" s="2" t="str">
        <f>IF(""&amp;$F270&lt;&gt;"4","",IF($AY270="YES","",IF(ROUND(SUMIFS($AE$2:$AE$4001,$L$2:$L$4001,$L270,$F$2:$F$4001,"4")-SUMIFS('AR SALES'!$Y$2:$Y$2501,'AR SALES'!$L$2:$L$2501,$L270,'AR SALES'!$AD$2:$AD$2501,"OFF"),2)=0,"","STALE")))</f>
        <v/>
      </c>
      <c r="BB270" s="2" t="str">
        <f>IF(OR(""&amp;$F270="2",""&amp;$F270="4",""&amp;$F270="G",""&amp;$F270="H"),IF($AY270="YES","",IF($AB270&lt;&gt;0,"",IF(COUNTIFS('AR SALES'!$L$2:$L$2501,$L270,'AR SALES'!$AD$2:$AD$2501,IF(""&amp;$F270="4","OFF","ON"),'AR SALES'!$AF$2:$AF$2501,"Y")&gt;0,"","NO EXEMPTION"))),"")</f>
        <v/>
      </c>
    </row>
    <row r="271" spans="46:54" x14ac:dyDescent="0.25">
      <c r="AT271" s="2" t="str">
        <f>IF($L271="","",IFERROR(INDEX('AR SALES'!$H$2:$H$2501,MATCH(""&amp;$L271,'AR SALES'!$AE$2:$AE$2501,0)),""))</f>
        <v/>
      </c>
      <c r="AU271" s="2" t="str">
        <f t="shared" si="16"/>
        <v/>
      </c>
      <c r="AV271" s="2" t="str">
        <f t="shared" si="17"/>
        <v/>
      </c>
      <c r="AW271" s="2" t="str">
        <f t="shared" si="18"/>
        <v/>
      </c>
      <c r="AX271" s="2" t="str">
        <f t="shared" si="19"/>
        <v/>
      </c>
      <c r="AY271" s="2" t="str">
        <f>IF($AV271="","",IF(AND($Z271=0,COUNTIF('AR SALES'!$L$2:$L$2501,$L271)=0),"YES",""))</f>
        <v/>
      </c>
      <c r="AZ271" s="2" t="str">
        <f>IF($AV271="","",IF(COUNTIF(LISTS!$C$2:$C$250,$AU271)=0,"NEW",""))</f>
        <v/>
      </c>
      <c r="BA271" s="2" t="str">
        <f>IF(""&amp;$F271&lt;&gt;"4","",IF($AY271="YES","",IF(ROUND(SUMIFS($AE$2:$AE$4001,$L$2:$L$4001,$L271,$F$2:$F$4001,"4")-SUMIFS('AR SALES'!$Y$2:$Y$2501,'AR SALES'!$L$2:$L$2501,$L271,'AR SALES'!$AD$2:$AD$2501,"OFF"),2)=0,"","STALE")))</f>
        <v/>
      </c>
      <c r="BB271" s="2" t="str">
        <f>IF(OR(""&amp;$F271="2",""&amp;$F271="4",""&amp;$F271="G",""&amp;$F271="H"),IF($AY271="YES","",IF($AB271&lt;&gt;0,"",IF(COUNTIFS('AR SALES'!$L$2:$L$2501,$L271,'AR SALES'!$AD$2:$AD$2501,IF(""&amp;$F271="4","OFF","ON"),'AR SALES'!$AF$2:$AF$2501,"Y")&gt;0,"","NO EXEMPTION"))),"")</f>
        <v/>
      </c>
    </row>
    <row r="272" spans="46:54" x14ac:dyDescent="0.25">
      <c r="AT272" s="2" t="str">
        <f>IF($L272="","",IFERROR(INDEX('AR SALES'!$H$2:$H$2501,MATCH(""&amp;$L272,'AR SALES'!$AE$2:$AE$2501,0)),""))</f>
        <v/>
      </c>
      <c r="AU272" s="2" t="str">
        <f t="shared" si="16"/>
        <v/>
      </c>
      <c r="AV272" s="2" t="str">
        <f t="shared" si="17"/>
        <v/>
      </c>
      <c r="AW272" s="2" t="str">
        <f t="shared" si="18"/>
        <v/>
      </c>
      <c r="AX272" s="2" t="str">
        <f t="shared" si="19"/>
        <v/>
      </c>
      <c r="AY272" s="2" t="str">
        <f>IF($AV272="","",IF(AND($Z272=0,COUNTIF('AR SALES'!$L$2:$L$2501,$L272)=0),"YES",""))</f>
        <v/>
      </c>
      <c r="AZ272" s="2" t="str">
        <f>IF($AV272="","",IF(COUNTIF(LISTS!$C$2:$C$250,$AU272)=0,"NEW",""))</f>
        <v/>
      </c>
      <c r="BA272" s="2" t="str">
        <f>IF(""&amp;$F272&lt;&gt;"4","",IF($AY272="YES","",IF(ROUND(SUMIFS($AE$2:$AE$4001,$L$2:$L$4001,$L272,$F$2:$F$4001,"4")-SUMIFS('AR SALES'!$Y$2:$Y$2501,'AR SALES'!$L$2:$L$2501,$L272,'AR SALES'!$AD$2:$AD$2501,"OFF"),2)=0,"","STALE")))</f>
        <v/>
      </c>
      <c r="BB272" s="2" t="str">
        <f>IF(OR(""&amp;$F272="2",""&amp;$F272="4",""&amp;$F272="G",""&amp;$F272="H"),IF($AY272="YES","",IF($AB272&lt;&gt;0,"",IF(COUNTIFS('AR SALES'!$L$2:$L$2501,$L272,'AR SALES'!$AD$2:$AD$2501,IF(""&amp;$F272="4","OFF","ON"),'AR SALES'!$AF$2:$AF$2501,"Y")&gt;0,"","NO EXEMPTION"))),"")</f>
        <v/>
      </c>
    </row>
    <row r="273" spans="46:54" x14ac:dyDescent="0.25">
      <c r="AT273" s="2" t="str">
        <f>IF($L273="","",IFERROR(INDEX('AR SALES'!$H$2:$H$2501,MATCH(""&amp;$L273,'AR SALES'!$AE$2:$AE$2501,0)),""))</f>
        <v/>
      </c>
      <c r="AU273" s="2" t="str">
        <f t="shared" si="16"/>
        <v/>
      </c>
      <c r="AV273" s="2" t="str">
        <f t="shared" si="17"/>
        <v/>
      </c>
      <c r="AW273" s="2" t="str">
        <f t="shared" si="18"/>
        <v/>
      </c>
      <c r="AX273" s="2" t="str">
        <f t="shared" si="19"/>
        <v/>
      </c>
      <c r="AY273" s="2" t="str">
        <f>IF($AV273="","",IF(AND($Z273=0,COUNTIF('AR SALES'!$L$2:$L$2501,$L273)=0),"YES",""))</f>
        <v/>
      </c>
      <c r="AZ273" s="2" t="str">
        <f>IF($AV273="","",IF(COUNTIF(LISTS!$C$2:$C$250,$AU273)=0,"NEW",""))</f>
        <v/>
      </c>
      <c r="BA273" s="2" t="str">
        <f>IF(""&amp;$F273&lt;&gt;"4","",IF($AY273="YES","",IF(ROUND(SUMIFS($AE$2:$AE$4001,$L$2:$L$4001,$L273,$F$2:$F$4001,"4")-SUMIFS('AR SALES'!$Y$2:$Y$2501,'AR SALES'!$L$2:$L$2501,$L273,'AR SALES'!$AD$2:$AD$2501,"OFF"),2)=0,"","STALE")))</f>
        <v/>
      </c>
      <c r="BB273" s="2" t="str">
        <f>IF(OR(""&amp;$F273="2",""&amp;$F273="4",""&amp;$F273="G",""&amp;$F273="H"),IF($AY273="YES","",IF($AB273&lt;&gt;0,"",IF(COUNTIFS('AR SALES'!$L$2:$L$2501,$L273,'AR SALES'!$AD$2:$AD$2501,IF(""&amp;$F273="4","OFF","ON"),'AR SALES'!$AF$2:$AF$2501,"Y")&gt;0,"","NO EXEMPTION"))),"")</f>
        <v/>
      </c>
    </row>
    <row r="274" spans="46:54" x14ac:dyDescent="0.25">
      <c r="AT274" s="2" t="str">
        <f>IF($L274="","",IFERROR(INDEX('AR SALES'!$H$2:$H$2501,MATCH(""&amp;$L274,'AR SALES'!$AE$2:$AE$2501,0)),""))</f>
        <v/>
      </c>
      <c r="AU274" s="2" t="str">
        <f t="shared" si="16"/>
        <v/>
      </c>
      <c r="AV274" s="2" t="str">
        <f t="shared" si="17"/>
        <v/>
      </c>
      <c r="AW274" s="2" t="str">
        <f t="shared" si="18"/>
        <v/>
      </c>
      <c r="AX274" s="2" t="str">
        <f t="shared" si="19"/>
        <v/>
      </c>
      <c r="AY274" s="2" t="str">
        <f>IF($AV274="","",IF(AND($Z274=0,COUNTIF('AR SALES'!$L$2:$L$2501,$L274)=0),"YES",""))</f>
        <v/>
      </c>
      <c r="AZ274" s="2" t="str">
        <f>IF($AV274="","",IF(COUNTIF(LISTS!$C$2:$C$250,$AU274)=0,"NEW",""))</f>
        <v/>
      </c>
      <c r="BA274" s="2" t="str">
        <f>IF(""&amp;$F274&lt;&gt;"4","",IF($AY274="YES","",IF(ROUND(SUMIFS($AE$2:$AE$4001,$L$2:$L$4001,$L274,$F$2:$F$4001,"4")-SUMIFS('AR SALES'!$Y$2:$Y$2501,'AR SALES'!$L$2:$L$2501,$L274,'AR SALES'!$AD$2:$AD$2501,"OFF"),2)=0,"","STALE")))</f>
        <v/>
      </c>
      <c r="BB274" s="2" t="str">
        <f>IF(OR(""&amp;$F274="2",""&amp;$F274="4",""&amp;$F274="G",""&amp;$F274="H"),IF($AY274="YES","",IF($AB274&lt;&gt;0,"",IF(COUNTIFS('AR SALES'!$L$2:$L$2501,$L274,'AR SALES'!$AD$2:$AD$2501,IF(""&amp;$F274="4","OFF","ON"),'AR SALES'!$AF$2:$AF$2501,"Y")&gt;0,"","NO EXEMPTION"))),"")</f>
        <v/>
      </c>
    </row>
    <row r="275" spans="46:54" x14ac:dyDescent="0.25">
      <c r="AT275" s="2" t="str">
        <f>IF($L275="","",IFERROR(INDEX('AR SALES'!$H$2:$H$2501,MATCH(""&amp;$L275,'AR SALES'!$AE$2:$AE$2501,0)),""))</f>
        <v/>
      </c>
      <c r="AU275" s="2" t="str">
        <f t="shared" si="16"/>
        <v/>
      </c>
      <c r="AV275" s="2" t="str">
        <f t="shared" si="17"/>
        <v/>
      </c>
      <c r="AW275" s="2" t="str">
        <f t="shared" si="18"/>
        <v/>
      </c>
      <c r="AX275" s="2" t="str">
        <f t="shared" si="19"/>
        <v/>
      </c>
      <c r="AY275" s="2" t="str">
        <f>IF($AV275="","",IF(AND($Z275=0,COUNTIF('AR SALES'!$L$2:$L$2501,$L275)=0),"YES",""))</f>
        <v/>
      </c>
      <c r="AZ275" s="2" t="str">
        <f>IF($AV275="","",IF(COUNTIF(LISTS!$C$2:$C$250,$AU275)=0,"NEW",""))</f>
        <v/>
      </c>
      <c r="BA275" s="2" t="str">
        <f>IF(""&amp;$F275&lt;&gt;"4","",IF($AY275="YES","",IF(ROUND(SUMIFS($AE$2:$AE$4001,$L$2:$L$4001,$L275,$F$2:$F$4001,"4")-SUMIFS('AR SALES'!$Y$2:$Y$2501,'AR SALES'!$L$2:$L$2501,$L275,'AR SALES'!$AD$2:$AD$2501,"OFF"),2)=0,"","STALE")))</f>
        <v/>
      </c>
      <c r="BB275" s="2" t="str">
        <f>IF(OR(""&amp;$F275="2",""&amp;$F275="4",""&amp;$F275="G",""&amp;$F275="H"),IF($AY275="YES","",IF($AB275&lt;&gt;0,"",IF(COUNTIFS('AR SALES'!$L$2:$L$2501,$L275,'AR SALES'!$AD$2:$AD$2501,IF(""&amp;$F275="4","OFF","ON"),'AR SALES'!$AF$2:$AF$2501,"Y")&gt;0,"","NO EXEMPTION"))),"")</f>
        <v/>
      </c>
    </row>
    <row r="276" spans="46:54" x14ac:dyDescent="0.25">
      <c r="AT276" s="2" t="str">
        <f>IF($L276="","",IFERROR(INDEX('AR SALES'!$H$2:$H$2501,MATCH(""&amp;$L276,'AR SALES'!$AE$2:$AE$2501,0)),""))</f>
        <v/>
      </c>
      <c r="AU276" s="2" t="str">
        <f t="shared" si="16"/>
        <v/>
      </c>
      <c r="AV276" s="2" t="str">
        <f t="shared" si="17"/>
        <v/>
      </c>
      <c r="AW276" s="2" t="str">
        <f t="shared" si="18"/>
        <v/>
      </c>
      <c r="AX276" s="2" t="str">
        <f t="shared" si="19"/>
        <v/>
      </c>
      <c r="AY276" s="2" t="str">
        <f>IF($AV276="","",IF(AND($Z276=0,COUNTIF('AR SALES'!$L$2:$L$2501,$L276)=0),"YES",""))</f>
        <v/>
      </c>
      <c r="AZ276" s="2" t="str">
        <f>IF($AV276="","",IF(COUNTIF(LISTS!$C$2:$C$250,$AU276)=0,"NEW",""))</f>
        <v/>
      </c>
      <c r="BA276" s="2" t="str">
        <f>IF(""&amp;$F276&lt;&gt;"4","",IF($AY276="YES","",IF(ROUND(SUMIFS($AE$2:$AE$4001,$L$2:$L$4001,$L276,$F$2:$F$4001,"4")-SUMIFS('AR SALES'!$Y$2:$Y$2501,'AR SALES'!$L$2:$L$2501,$L276,'AR SALES'!$AD$2:$AD$2501,"OFF"),2)=0,"","STALE")))</f>
        <v/>
      </c>
      <c r="BB276" s="2" t="str">
        <f>IF(OR(""&amp;$F276="2",""&amp;$F276="4",""&amp;$F276="G",""&amp;$F276="H"),IF($AY276="YES","",IF($AB276&lt;&gt;0,"",IF(COUNTIFS('AR SALES'!$L$2:$L$2501,$L276,'AR SALES'!$AD$2:$AD$2501,IF(""&amp;$F276="4","OFF","ON"),'AR SALES'!$AF$2:$AF$2501,"Y")&gt;0,"","NO EXEMPTION"))),"")</f>
        <v/>
      </c>
    </row>
    <row r="277" spans="46:54" x14ac:dyDescent="0.25">
      <c r="AT277" s="2" t="str">
        <f>IF($L277="","",IFERROR(INDEX('AR SALES'!$H$2:$H$2501,MATCH(""&amp;$L277,'AR SALES'!$AE$2:$AE$2501,0)),""))</f>
        <v/>
      </c>
      <c r="AU277" s="2" t="str">
        <f t="shared" si="16"/>
        <v/>
      </c>
      <c r="AV277" s="2" t="str">
        <f t="shared" si="17"/>
        <v/>
      </c>
      <c r="AW277" s="2" t="str">
        <f t="shared" si="18"/>
        <v/>
      </c>
      <c r="AX277" s="2" t="str">
        <f t="shared" si="19"/>
        <v/>
      </c>
      <c r="AY277" s="2" t="str">
        <f>IF($AV277="","",IF(AND($Z277=0,COUNTIF('AR SALES'!$L$2:$L$2501,$L277)=0),"YES",""))</f>
        <v/>
      </c>
      <c r="AZ277" s="2" t="str">
        <f>IF($AV277="","",IF(COUNTIF(LISTS!$C$2:$C$250,$AU277)=0,"NEW",""))</f>
        <v/>
      </c>
      <c r="BA277" s="2" t="str">
        <f>IF(""&amp;$F277&lt;&gt;"4","",IF($AY277="YES","",IF(ROUND(SUMIFS($AE$2:$AE$4001,$L$2:$L$4001,$L277,$F$2:$F$4001,"4")-SUMIFS('AR SALES'!$Y$2:$Y$2501,'AR SALES'!$L$2:$L$2501,$L277,'AR SALES'!$AD$2:$AD$2501,"OFF"),2)=0,"","STALE")))</f>
        <v/>
      </c>
      <c r="BB277" s="2" t="str">
        <f>IF(OR(""&amp;$F277="2",""&amp;$F277="4",""&amp;$F277="G",""&amp;$F277="H"),IF($AY277="YES","",IF($AB277&lt;&gt;0,"",IF(COUNTIFS('AR SALES'!$L$2:$L$2501,$L277,'AR SALES'!$AD$2:$AD$2501,IF(""&amp;$F277="4","OFF","ON"),'AR SALES'!$AF$2:$AF$2501,"Y")&gt;0,"","NO EXEMPTION"))),"")</f>
        <v/>
      </c>
    </row>
    <row r="278" spans="46:54" x14ac:dyDescent="0.25">
      <c r="AT278" s="2" t="str">
        <f>IF($L278="","",IFERROR(INDEX('AR SALES'!$H$2:$H$2501,MATCH(""&amp;$L278,'AR SALES'!$AE$2:$AE$2501,0)),""))</f>
        <v/>
      </c>
      <c r="AU278" s="2" t="str">
        <f t="shared" si="16"/>
        <v/>
      </c>
      <c r="AV278" s="2" t="str">
        <f t="shared" si="17"/>
        <v/>
      </c>
      <c r="AW278" s="2" t="str">
        <f t="shared" si="18"/>
        <v/>
      </c>
      <c r="AX278" s="2" t="str">
        <f t="shared" si="19"/>
        <v/>
      </c>
      <c r="AY278" s="2" t="str">
        <f>IF($AV278="","",IF(AND($Z278=0,COUNTIF('AR SALES'!$L$2:$L$2501,$L278)=0),"YES",""))</f>
        <v/>
      </c>
      <c r="AZ278" s="2" t="str">
        <f>IF($AV278="","",IF(COUNTIF(LISTS!$C$2:$C$250,$AU278)=0,"NEW",""))</f>
        <v/>
      </c>
      <c r="BA278" s="2" t="str">
        <f>IF(""&amp;$F278&lt;&gt;"4","",IF($AY278="YES","",IF(ROUND(SUMIFS($AE$2:$AE$4001,$L$2:$L$4001,$L278,$F$2:$F$4001,"4")-SUMIFS('AR SALES'!$Y$2:$Y$2501,'AR SALES'!$L$2:$L$2501,$L278,'AR SALES'!$AD$2:$AD$2501,"OFF"),2)=0,"","STALE")))</f>
        <v/>
      </c>
      <c r="BB278" s="2" t="str">
        <f>IF(OR(""&amp;$F278="2",""&amp;$F278="4",""&amp;$F278="G",""&amp;$F278="H"),IF($AY278="YES","",IF($AB278&lt;&gt;0,"",IF(COUNTIFS('AR SALES'!$L$2:$L$2501,$L278,'AR SALES'!$AD$2:$AD$2501,IF(""&amp;$F278="4","OFF","ON"),'AR SALES'!$AF$2:$AF$2501,"Y")&gt;0,"","NO EXEMPTION"))),"")</f>
        <v/>
      </c>
    </row>
    <row r="279" spans="46:54" x14ac:dyDescent="0.25">
      <c r="AT279" s="2" t="str">
        <f>IF($L279="","",IFERROR(INDEX('AR SALES'!$H$2:$H$2501,MATCH(""&amp;$L279,'AR SALES'!$AE$2:$AE$2501,0)),""))</f>
        <v/>
      </c>
      <c r="AU279" s="2" t="str">
        <f t="shared" si="16"/>
        <v/>
      </c>
      <c r="AV279" s="2" t="str">
        <f t="shared" si="17"/>
        <v/>
      </c>
      <c r="AW279" s="2" t="str">
        <f t="shared" si="18"/>
        <v/>
      </c>
      <c r="AX279" s="2" t="str">
        <f t="shared" si="19"/>
        <v/>
      </c>
      <c r="AY279" s="2" t="str">
        <f>IF($AV279="","",IF(AND($Z279=0,COUNTIF('AR SALES'!$L$2:$L$2501,$L279)=0),"YES",""))</f>
        <v/>
      </c>
      <c r="AZ279" s="2" t="str">
        <f>IF($AV279="","",IF(COUNTIF(LISTS!$C$2:$C$250,$AU279)=0,"NEW",""))</f>
        <v/>
      </c>
      <c r="BA279" s="2" t="str">
        <f>IF(""&amp;$F279&lt;&gt;"4","",IF($AY279="YES","",IF(ROUND(SUMIFS($AE$2:$AE$4001,$L$2:$L$4001,$L279,$F$2:$F$4001,"4")-SUMIFS('AR SALES'!$Y$2:$Y$2501,'AR SALES'!$L$2:$L$2501,$L279,'AR SALES'!$AD$2:$AD$2501,"OFF"),2)=0,"","STALE")))</f>
        <v/>
      </c>
      <c r="BB279" s="2" t="str">
        <f>IF(OR(""&amp;$F279="2",""&amp;$F279="4",""&amp;$F279="G",""&amp;$F279="H"),IF($AY279="YES","",IF($AB279&lt;&gt;0,"",IF(COUNTIFS('AR SALES'!$L$2:$L$2501,$L279,'AR SALES'!$AD$2:$AD$2501,IF(""&amp;$F279="4","OFF","ON"),'AR SALES'!$AF$2:$AF$2501,"Y")&gt;0,"","NO EXEMPTION"))),"")</f>
        <v/>
      </c>
    </row>
    <row r="280" spans="46:54" x14ac:dyDescent="0.25">
      <c r="AT280" s="2" t="str">
        <f>IF($L280="","",IFERROR(INDEX('AR SALES'!$H$2:$H$2501,MATCH(""&amp;$L280,'AR SALES'!$AE$2:$AE$2501,0)),""))</f>
        <v/>
      </c>
      <c r="AU280" s="2" t="str">
        <f t="shared" si="16"/>
        <v/>
      </c>
      <c r="AV280" s="2" t="str">
        <f t="shared" si="17"/>
        <v/>
      </c>
      <c r="AW280" s="2" t="str">
        <f t="shared" si="18"/>
        <v/>
      </c>
      <c r="AX280" s="2" t="str">
        <f t="shared" si="19"/>
        <v/>
      </c>
      <c r="AY280" s="2" t="str">
        <f>IF($AV280="","",IF(AND($Z280=0,COUNTIF('AR SALES'!$L$2:$L$2501,$L280)=0),"YES",""))</f>
        <v/>
      </c>
      <c r="AZ280" s="2" t="str">
        <f>IF($AV280="","",IF(COUNTIF(LISTS!$C$2:$C$250,$AU280)=0,"NEW",""))</f>
        <v/>
      </c>
      <c r="BA280" s="2" t="str">
        <f>IF(""&amp;$F280&lt;&gt;"4","",IF($AY280="YES","",IF(ROUND(SUMIFS($AE$2:$AE$4001,$L$2:$L$4001,$L280,$F$2:$F$4001,"4")-SUMIFS('AR SALES'!$Y$2:$Y$2501,'AR SALES'!$L$2:$L$2501,$L280,'AR SALES'!$AD$2:$AD$2501,"OFF"),2)=0,"","STALE")))</f>
        <v/>
      </c>
      <c r="BB280" s="2" t="str">
        <f>IF(OR(""&amp;$F280="2",""&amp;$F280="4",""&amp;$F280="G",""&amp;$F280="H"),IF($AY280="YES","",IF($AB280&lt;&gt;0,"",IF(COUNTIFS('AR SALES'!$L$2:$L$2501,$L280,'AR SALES'!$AD$2:$AD$2501,IF(""&amp;$F280="4","OFF","ON"),'AR SALES'!$AF$2:$AF$2501,"Y")&gt;0,"","NO EXEMPTION"))),"")</f>
        <v/>
      </c>
    </row>
    <row r="281" spans="46:54" x14ac:dyDescent="0.25">
      <c r="AT281" s="2" t="str">
        <f>IF($L281="","",IFERROR(INDEX('AR SALES'!$H$2:$H$2501,MATCH(""&amp;$L281,'AR SALES'!$AE$2:$AE$2501,0)),""))</f>
        <v/>
      </c>
      <c r="AU281" s="2" t="str">
        <f t="shared" si="16"/>
        <v/>
      </c>
      <c r="AV281" s="2" t="str">
        <f t="shared" si="17"/>
        <v/>
      </c>
      <c r="AW281" s="2" t="str">
        <f t="shared" si="18"/>
        <v/>
      </c>
      <c r="AX281" s="2" t="str">
        <f t="shared" si="19"/>
        <v/>
      </c>
      <c r="AY281" s="2" t="str">
        <f>IF($AV281="","",IF(AND($Z281=0,COUNTIF('AR SALES'!$L$2:$L$2501,$L281)=0),"YES",""))</f>
        <v/>
      </c>
      <c r="AZ281" s="2" t="str">
        <f>IF($AV281="","",IF(COUNTIF(LISTS!$C$2:$C$250,$AU281)=0,"NEW",""))</f>
        <v/>
      </c>
      <c r="BA281" s="2" t="str">
        <f>IF(""&amp;$F281&lt;&gt;"4","",IF($AY281="YES","",IF(ROUND(SUMIFS($AE$2:$AE$4001,$L$2:$L$4001,$L281,$F$2:$F$4001,"4")-SUMIFS('AR SALES'!$Y$2:$Y$2501,'AR SALES'!$L$2:$L$2501,$L281,'AR SALES'!$AD$2:$AD$2501,"OFF"),2)=0,"","STALE")))</f>
        <v/>
      </c>
      <c r="BB281" s="2" t="str">
        <f>IF(OR(""&amp;$F281="2",""&amp;$F281="4",""&amp;$F281="G",""&amp;$F281="H"),IF($AY281="YES","",IF($AB281&lt;&gt;0,"",IF(COUNTIFS('AR SALES'!$L$2:$L$2501,$L281,'AR SALES'!$AD$2:$AD$2501,IF(""&amp;$F281="4","OFF","ON"),'AR SALES'!$AF$2:$AF$2501,"Y")&gt;0,"","NO EXEMPTION"))),"")</f>
        <v/>
      </c>
    </row>
    <row r="282" spans="46:54" x14ac:dyDescent="0.25">
      <c r="AT282" s="2" t="str">
        <f>IF($L282="","",IFERROR(INDEX('AR SALES'!$H$2:$H$2501,MATCH(""&amp;$L282,'AR SALES'!$AE$2:$AE$2501,0)),""))</f>
        <v/>
      </c>
      <c r="AU282" s="2" t="str">
        <f t="shared" si="16"/>
        <v/>
      </c>
      <c r="AV282" s="2" t="str">
        <f t="shared" si="17"/>
        <v/>
      </c>
      <c r="AW282" s="2" t="str">
        <f t="shared" si="18"/>
        <v/>
      </c>
      <c r="AX282" s="2" t="str">
        <f t="shared" si="19"/>
        <v/>
      </c>
      <c r="AY282" s="2" t="str">
        <f>IF($AV282="","",IF(AND($Z282=0,COUNTIF('AR SALES'!$L$2:$L$2501,$L282)=0),"YES",""))</f>
        <v/>
      </c>
      <c r="AZ282" s="2" t="str">
        <f>IF($AV282="","",IF(COUNTIF(LISTS!$C$2:$C$250,$AU282)=0,"NEW",""))</f>
        <v/>
      </c>
      <c r="BA282" s="2" t="str">
        <f>IF(""&amp;$F282&lt;&gt;"4","",IF($AY282="YES","",IF(ROUND(SUMIFS($AE$2:$AE$4001,$L$2:$L$4001,$L282,$F$2:$F$4001,"4")-SUMIFS('AR SALES'!$Y$2:$Y$2501,'AR SALES'!$L$2:$L$2501,$L282,'AR SALES'!$AD$2:$AD$2501,"OFF"),2)=0,"","STALE")))</f>
        <v/>
      </c>
      <c r="BB282" s="2" t="str">
        <f>IF(OR(""&amp;$F282="2",""&amp;$F282="4",""&amp;$F282="G",""&amp;$F282="H"),IF($AY282="YES","",IF($AB282&lt;&gt;0,"",IF(COUNTIFS('AR SALES'!$L$2:$L$2501,$L282,'AR SALES'!$AD$2:$AD$2501,IF(""&amp;$F282="4","OFF","ON"),'AR SALES'!$AF$2:$AF$2501,"Y")&gt;0,"","NO EXEMPTION"))),"")</f>
        <v/>
      </c>
    </row>
    <row r="283" spans="46:54" x14ac:dyDescent="0.25">
      <c r="AT283" s="2" t="str">
        <f>IF($L283="","",IFERROR(INDEX('AR SALES'!$H$2:$H$2501,MATCH(""&amp;$L283,'AR SALES'!$AE$2:$AE$2501,0)),""))</f>
        <v/>
      </c>
      <c r="AU283" s="2" t="str">
        <f t="shared" si="16"/>
        <v/>
      </c>
      <c r="AV283" s="2" t="str">
        <f t="shared" si="17"/>
        <v/>
      </c>
      <c r="AW283" s="2" t="str">
        <f t="shared" si="18"/>
        <v/>
      </c>
      <c r="AX283" s="2" t="str">
        <f t="shared" si="19"/>
        <v/>
      </c>
      <c r="AY283" s="2" t="str">
        <f>IF($AV283="","",IF(AND($Z283=0,COUNTIF('AR SALES'!$L$2:$L$2501,$L283)=0),"YES",""))</f>
        <v/>
      </c>
      <c r="AZ283" s="2" t="str">
        <f>IF($AV283="","",IF(COUNTIF(LISTS!$C$2:$C$250,$AU283)=0,"NEW",""))</f>
        <v/>
      </c>
      <c r="BA283" s="2" t="str">
        <f>IF(""&amp;$F283&lt;&gt;"4","",IF($AY283="YES","",IF(ROUND(SUMIFS($AE$2:$AE$4001,$L$2:$L$4001,$L283,$F$2:$F$4001,"4")-SUMIFS('AR SALES'!$Y$2:$Y$2501,'AR SALES'!$L$2:$L$2501,$L283,'AR SALES'!$AD$2:$AD$2501,"OFF"),2)=0,"","STALE")))</f>
        <v/>
      </c>
      <c r="BB283" s="2" t="str">
        <f>IF(OR(""&amp;$F283="2",""&amp;$F283="4",""&amp;$F283="G",""&amp;$F283="H"),IF($AY283="YES","",IF($AB283&lt;&gt;0,"",IF(COUNTIFS('AR SALES'!$L$2:$L$2501,$L283,'AR SALES'!$AD$2:$AD$2501,IF(""&amp;$F283="4","OFF","ON"),'AR SALES'!$AF$2:$AF$2501,"Y")&gt;0,"","NO EXEMPTION"))),"")</f>
        <v/>
      </c>
    </row>
    <row r="284" spans="46:54" x14ac:dyDescent="0.25">
      <c r="AT284" s="2" t="str">
        <f>IF($L284="","",IFERROR(INDEX('AR SALES'!$H$2:$H$2501,MATCH(""&amp;$L284,'AR SALES'!$AE$2:$AE$2501,0)),""))</f>
        <v/>
      </c>
      <c r="AU284" s="2" t="str">
        <f t="shared" si="16"/>
        <v/>
      </c>
      <c r="AV284" s="2" t="str">
        <f t="shared" si="17"/>
        <v/>
      </c>
      <c r="AW284" s="2" t="str">
        <f t="shared" si="18"/>
        <v/>
      </c>
      <c r="AX284" s="2" t="str">
        <f t="shared" si="19"/>
        <v/>
      </c>
      <c r="AY284" s="2" t="str">
        <f>IF($AV284="","",IF(AND($Z284=0,COUNTIF('AR SALES'!$L$2:$L$2501,$L284)=0),"YES",""))</f>
        <v/>
      </c>
      <c r="AZ284" s="2" t="str">
        <f>IF($AV284="","",IF(COUNTIF(LISTS!$C$2:$C$250,$AU284)=0,"NEW",""))</f>
        <v/>
      </c>
      <c r="BA284" s="2" t="str">
        <f>IF(""&amp;$F284&lt;&gt;"4","",IF($AY284="YES","",IF(ROUND(SUMIFS($AE$2:$AE$4001,$L$2:$L$4001,$L284,$F$2:$F$4001,"4")-SUMIFS('AR SALES'!$Y$2:$Y$2501,'AR SALES'!$L$2:$L$2501,$L284,'AR SALES'!$AD$2:$AD$2501,"OFF"),2)=0,"","STALE")))</f>
        <v/>
      </c>
      <c r="BB284" s="2" t="str">
        <f>IF(OR(""&amp;$F284="2",""&amp;$F284="4",""&amp;$F284="G",""&amp;$F284="H"),IF($AY284="YES","",IF($AB284&lt;&gt;0,"",IF(COUNTIFS('AR SALES'!$L$2:$L$2501,$L284,'AR SALES'!$AD$2:$AD$2501,IF(""&amp;$F284="4","OFF","ON"),'AR SALES'!$AF$2:$AF$2501,"Y")&gt;0,"","NO EXEMPTION"))),"")</f>
        <v/>
      </c>
    </row>
    <row r="285" spans="46:54" x14ac:dyDescent="0.25">
      <c r="AT285" s="2" t="str">
        <f>IF($L285="","",IFERROR(INDEX('AR SALES'!$H$2:$H$2501,MATCH(""&amp;$L285,'AR SALES'!$AE$2:$AE$2501,0)),""))</f>
        <v/>
      </c>
      <c r="AU285" s="2" t="str">
        <f t="shared" si="16"/>
        <v/>
      </c>
      <c r="AV285" s="2" t="str">
        <f t="shared" si="17"/>
        <v/>
      </c>
      <c r="AW285" s="2" t="str">
        <f t="shared" si="18"/>
        <v/>
      </c>
      <c r="AX285" s="2" t="str">
        <f t="shared" si="19"/>
        <v/>
      </c>
      <c r="AY285" s="2" t="str">
        <f>IF($AV285="","",IF(AND($Z285=0,COUNTIF('AR SALES'!$L$2:$L$2501,$L285)=0),"YES",""))</f>
        <v/>
      </c>
      <c r="AZ285" s="2" t="str">
        <f>IF($AV285="","",IF(COUNTIF(LISTS!$C$2:$C$250,$AU285)=0,"NEW",""))</f>
        <v/>
      </c>
      <c r="BA285" s="2" t="str">
        <f>IF(""&amp;$F285&lt;&gt;"4","",IF($AY285="YES","",IF(ROUND(SUMIFS($AE$2:$AE$4001,$L$2:$L$4001,$L285,$F$2:$F$4001,"4")-SUMIFS('AR SALES'!$Y$2:$Y$2501,'AR SALES'!$L$2:$L$2501,$L285,'AR SALES'!$AD$2:$AD$2501,"OFF"),2)=0,"","STALE")))</f>
        <v/>
      </c>
      <c r="BB285" s="2" t="str">
        <f>IF(OR(""&amp;$F285="2",""&amp;$F285="4",""&amp;$F285="G",""&amp;$F285="H"),IF($AY285="YES","",IF($AB285&lt;&gt;0,"",IF(COUNTIFS('AR SALES'!$L$2:$L$2501,$L285,'AR SALES'!$AD$2:$AD$2501,IF(""&amp;$F285="4","OFF","ON"),'AR SALES'!$AF$2:$AF$2501,"Y")&gt;0,"","NO EXEMPTION"))),"")</f>
        <v/>
      </c>
    </row>
    <row r="286" spans="46:54" x14ac:dyDescent="0.25">
      <c r="AT286" s="2" t="str">
        <f>IF($L286="","",IFERROR(INDEX('AR SALES'!$H$2:$H$2501,MATCH(""&amp;$L286,'AR SALES'!$AE$2:$AE$2501,0)),""))</f>
        <v/>
      </c>
      <c r="AU286" s="2" t="str">
        <f t="shared" si="16"/>
        <v/>
      </c>
      <c r="AV286" s="2" t="str">
        <f t="shared" si="17"/>
        <v/>
      </c>
      <c r="AW286" s="2" t="str">
        <f t="shared" si="18"/>
        <v/>
      </c>
      <c r="AX286" s="2" t="str">
        <f t="shared" si="19"/>
        <v/>
      </c>
      <c r="AY286" s="2" t="str">
        <f>IF($AV286="","",IF(AND($Z286=0,COUNTIF('AR SALES'!$L$2:$L$2501,$L286)=0),"YES",""))</f>
        <v/>
      </c>
      <c r="AZ286" s="2" t="str">
        <f>IF($AV286="","",IF(COUNTIF(LISTS!$C$2:$C$250,$AU286)=0,"NEW",""))</f>
        <v/>
      </c>
      <c r="BA286" s="2" t="str">
        <f>IF(""&amp;$F286&lt;&gt;"4","",IF($AY286="YES","",IF(ROUND(SUMIFS($AE$2:$AE$4001,$L$2:$L$4001,$L286,$F$2:$F$4001,"4")-SUMIFS('AR SALES'!$Y$2:$Y$2501,'AR SALES'!$L$2:$L$2501,$L286,'AR SALES'!$AD$2:$AD$2501,"OFF"),2)=0,"","STALE")))</f>
        <v/>
      </c>
      <c r="BB286" s="2" t="str">
        <f>IF(OR(""&amp;$F286="2",""&amp;$F286="4",""&amp;$F286="G",""&amp;$F286="H"),IF($AY286="YES","",IF($AB286&lt;&gt;0,"",IF(COUNTIFS('AR SALES'!$L$2:$L$2501,$L286,'AR SALES'!$AD$2:$AD$2501,IF(""&amp;$F286="4","OFF","ON"),'AR SALES'!$AF$2:$AF$2501,"Y")&gt;0,"","NO EXEMPTION"))),"")</f>
        <v/>
      </c>
    </row>
    <row r="287" spans="46:54" x14ac:dyDescent="0.25">
      <c r="AT287" s="2" t="str">
        <f>IF($L287="","",IFERROR(INDEX('AR SALES'!$H$2:$H$2501,MATCH(""&amp;$L287,'AR SALES'!$AE$2:$AE$2501,0)),""))</f>
        <v/>
      </c>
      <c r="AU287" s="2" t="str">
        <f t="shared" si="16"/>
        <v/>
      </c>
      <c r="AV287" s="2" t="str">
        <f t="shared" si="17"/>
        <v/>
      </c>
      <c r="AW287" s="2" t="str">
        <f t="shared" si="18"/>
        <v/>
      </c>
      <c r="AX287" s="2" t="str">
        <f t="shared" si="19"/>
        <v/>
      </c>
      <c r="AY287" s="2" t="str">
        <f>IF($AV287="","",IF(AND($Z287=0,COUNTIF('AR SALES'!$L$2:$L$2501,$L287)=0),"YES",""))</f>
        <v/>
      </c>
      <c r="AZ287" s="2" t="str">
        <f>IF($AV287="","",IF(COUNTIF(LISTS!$C$2:$C$250,$AU287)=0,"NEW",""))</f>
        <v/>
      </c>
      <c r="BA287" s="2" t="str">
        <f>IF(""&amp;$F287&lt;&gt;"4","",IF($AY287="YES","",IF(ROUND(SUMIFS($AE$2:$AE$4001,$L$2:$L$4001,$L287,$F$2:$F$4001,"4")-SUMIFS('AR SALES'!$Y$2:$Y$2501,'AR SALES'!$L$2:$L$2501,$L287,'AR SALES'!$AD$2:$AD$2501,"OFF"),2)=0,"","STALE")))</f>
        <v/>
      </c>
      <c r="BB287" s="2" t="str">
        <f>IF(OR(""&amp;$F287="2",""&amp;$F287="4",""&amp;$F287="G",""&amp;$F287="H"),IF($AY287="YES","",IF($AB287&lt;&gt;0,"",IF(COUNTIFS('AR SALES'!$L$2:$L$2501,$L287,'AR SALES'!$AD$2:$AD$2501,IF(""&amp;$F287="4","OFF","ON"),'AR SALES'!$AF$2:$AF$2501,"Y")&gt;0,"","NO EXEMPTION"))),"")</f>
        <v/>
      </c>
    </row>
    <row r="288" spans="46:54" x14ac:dyDescent="0.25">
      <c r="AT288" s="2" t="str">
        <f>IF($L288="","",IFERROR(INDEX('AR SALES'!$H$2:$H$2501,MATCH(""&amp;$L288,'AR SALES'!$AE$2:$AE$2501,0)),""))</f>
        <v/>
      </c>
      <c r="AU288" s="2" t="str">
        <f t="shared" si="16"/>
        <v/>
      </c>
      <c r="AV288" s="2" t="str">
        <f t="shared" si="17"/>
        <v/>
      </c>
      <c r="AW288" s="2" t="str">
        <f t="shared" si="18"/>
        <v/>
      </c>
      <c r="AX288" s="2" t="str">
        <f t="shared" si="19"/>
        <v/>
      </c>
      <c r="AY288" s="2" t="str">
        <f>IF($AV288="","",IF(AND($Z288=0,COUNTIF('AR SALES'!$L$2:$L$2501,$L288)=0),"YES",""))</f>
        <v/>
      </c>
      <c r="AZ288" s="2" t="str">
        <f>IF($AV288="","",IF(COUNTIF(LISTS!$C$2:$C$250,$AU288)=0,"NEW",""))</f>
        <v/>
      </c>
      <c r="BA288" s="2" t="str">
        <f>IF(""&amp;$F288&lt;&gt;"4","",IF($AY288="YES","",IF(ROUND(SUMIFS($AE$2:$AE$4001,$L$2:$L$4001,$L288,$F$2:$F$4001,"4")-SUMIFS('AR SALES'!$Y$2:$Y$2501,'AR SALES'!$L$2:$L$2501,$L288,'AR SALES'!$AD$2:$AD$2501,"OFF"),2)=0,"","STALE")))</f>
        <v/>
      </c>
      <c r="BB288" s="2" t="str">
        <f>IF(OR(""&amp;$F288="2",""&amp;$F288="4",""&amp;$F288="G",""&amp;$F288="H"),IF($AY288="YES","",IF($AB288&lt;&gt;0,"",IF(COUNTIFS('AR SALES'!$L$2:$L$2501,$L288,'AR SALES'!$AD$2:$AD$2501,IF(""&amp;$F288="4","OFF","ON"),'AR SALES'!$AF$2:$AF$2501,"Y")&gt;0,"","NO EXEMPTION"))),"")</f>
        <v/>
      </c>
    </row>
    <row r="289" spans="46:54" x14ac:dyDescent="0.25">
      <c r="AT289" s="2" t="str">
        <f>IF($L289="","",IFERROR(INDEX('AR SALES'!$H$2:$H$2501,MATCH(""&amp;$L289,'AR SALES'!$AE$2:$AE$2501,0)),""))</f>
        <v/>
      </c>
      <c r="AU289" s="2" t="str">
        <f t="shared" si="16"/>
        <v/>
      </c>
      <c r="AV289" s="2" t="str">
        <f t="shared" si="17"/>
        <v/>
      </c>
      <c r="AW289" s="2" t="str">
        <f t="shared" si="18"/>
        <v/>
      </c>
      <c r="AX289" s="2" t="str">
        <f t="shared" si="19"/>
        <v/>
      </c>
      <c r="AY289" s="2" t="str">
        <f>IF($AV289="","",IF(AND($Z289=0,COUNTIF('AR SALES'!$L$2:$L$2501,$L289)=0),"YES",""))</f>
        <v/>
      </c>
      <c r="AZ289" s="2" t="str">
        <f>IF($AV289="","",IF(COUNTIF(LISTS!$C$2:$C$250,$AU289)=0,"NEW",""))</f>
        <v/>
      </c>
      <c r="BA289" s="2" t="str">
        <f>IF(""&amp;$F289&lt;&gt;"4","",IF($AY289="YES","",IF(ROUND(SUMIFS($AE$2:$AE$4001,$L$2:$L$4001,$L289,$F$2:$F$4001,"4")-SUMIFS('AR SALES'!$Y$2:$Y$2501,'AR SALES'!$L$2:$L$2501,$L289,'AR SALES'!$AD$2:$AD$2501,"OFF"),2)=0,"","STALE")))</f>
        <v/>
      </c>
      <c r="BB289" s="2" t="str">
        <f>IF(OR(""&amp;$F289="2",""&amp;$F289="4",""&amp;$F289="G",""&amp;$F289="H"),IF($AY289="YES","",IF($AB289&lt;&gt;0,"",IF(COUNTIFS('AR SALES'!$L$2:$L$2501,$L289,'AR SALES'!$AD$2:$AD$2501,IF(""&amp;$F289="4","OFF","ON"),'AR SALES'!$AF$2:$AF$2501,"Y")&gt;0,"","NO EXEMPTION"))),"")</f>
        <v/>
      </c>
    </row>
    <row r="290" spans="46:54" x14ac:dyDescent="0.25">
      <c r="AT290" s="2" t="str">
        <f>IF($L290="","",IFERROR(INDEX('AR SALES'!$H$2:$H$2501,MATCH(""&amp;$L290,'AR SALES'!$AE$2:$AE$2501,0)),""))</f>
        <v/>
      </c>
      <c r="AU290" s="2" t="str">
        <f t="shared" si="16"/>
        <v/>
      </c>
      <c r="AV290" s="2" t="str">
        <f t="shared" si="17"/>
        <v/>
      </c>
      <c r="AW290" s="2" t="str">
        <f t="shared" si="18"/>
        <v/>
      </c>
      <c r="AX290" s="2" t="str">
        <f t="shared" si="19"/>
        <v/>
      </c>
      <c r="AY290" s="2" t="str">
        <f>IF($AV290="","",IF(AND($Z290=0,COUNTIF('AR SALES'!$L$2:$L$2501,$L290)=0),"YES",""))</f>
        <v/>
      </c>
      <c r="AZ290" s="2" t="str">
        <f>IF($AV290="","",IF(COUNTIF(LISTS!$C$2:$C$250,$AU290)=0,"NEW",""))</f>
        <v/>
      </c>
      <c r="BA290" s="2" t="str">
        <f>IF(""&amp;$F290&lt;&gt;"4","",IF($AY290="YES","",IF(ROUND(SUMIFS($AE$2:$AE$4001,$L$2:$L$4001,$L290,$F$2:$F$4001,"4")-SUMIFS('AR SALES'!$Y$2:$Y$2501,'AR SALES'!$L$2:$L$2501,$L290,'AR SALES'!$AD$2:$AD$2501,"OFF"),2)=0,"","STALE")))</f>
        <v/>
      </c>
      <c r="BB290" s="2" t="str">
        <f>IF(OR(""&amp;$F290="2",""&amp;$F290="4",""&amp;$F290="G",""&amp;$F290="H"),IF($AY290="YES","",IF($AB290&lt;&gt;0,"",IF(COUNTIFS('AR SALES'!$L$2:$L$2501,$L290,'AR SALES'!$AD$2:$AD$2501,IF(""&amp;$F290="4","OFF","ON"),'AR SALES'!$AF$2:$AF$2501,"Y")&gt;0,"","NO EXEMPTION"))),"")</f>
        <v/>
      </c>
    </row>
    <row r="291" spans="46:54" x14ac:dyDescent="0.25">
      <c r="AT291" s="2" t="str">
        <f>IF($L291="","",IFERROR(INDEX('AR SALES'!$H$2:$H$2501,MATCH(""&amp;$L291,'AR SALES'!$AE$2:$AE$2501,0)),""))</f>
        <v/>
      </c>
      <c r="AU291" s="2" t="str">
        <f t="shared" si="16"/>
        <v/>
      </c>
      <c r="AV291" s="2" t="str">
        <f t="shared" si="17"/>
        <v/>
      </c>
      <c r="AW291" s="2" t="str">
        <f t="shared" si="18"/>
        <v/>
      </c>
      <c r="AX291" s="2" t="str">
        <f t="shared" si="19"/>
        <v/>
      </c>
      <c r="AY291" s="2" t="str">
        <f>IF($AV291="","",IF(AND($Z291=0,COUNTIF('AR SALES'!$L$2:$L$2501,$L291)=0),"YES",""))</f>
        <v/>
      </c>
      <c r="AZ291" s="2" t="str">
        <f>IF($AV291="","",IF(COUNTIF(LISTS!$C$2:$C$250,$AU291)=0,"NEW",""))</f>
        <v/>
      </c>
      <c r="BA291" s="2" t="str">
        <f>IF(""&amp;$F291&lt;&gt;"4","",IF($AY291="YES","",IF(ROUND(SUMIFS($AE$2:$AE$4001,$L$2:$L$4001,$L291,$F$2:$F$4001,"4")-SUMIFS('AR SALES'!$Y$2:$Y$2501,'AR SALES'!$L$2:$L$2501,$L291,'AR SALES'!$AD$2:$AD$2501,"OFF"),2)=0,"","STALE")))</f>
        <v/>
      </c>
      <c r="BB291" s="2" t="str">
        <f>IF(OR(""&amp;$F291="2",""&amp;$F291="4",""&amp;$F291="G",""&amp;$F291="H"),IF($AY291="YES","",IF($AB291&lt;&gt;0,"",IF(COUNTIFS('AR SALES'!$L$2:$L$2501,$L291,'AR SALES'!$AD$2:$AD$2501,IF(""&amp;$F291="4","OFF","ON"),'AR SALES'!$AF$2:$AF$2501,"Y")&gt;0,"","NO EXEMPTION"))),"")</f>
        <v/>
      </c>
    </row>
    <row r="292" spans="46:54" x14ac:dyDescent="0.25">
      <c r="AT292" s="2" t="str">
        <f>IF($L292="","",IFERROR(INDEX('AR SALES'!$H$2:$H$2501,MATCH(""&amp;$L292,'AR SALES'!$AE$2:$AE$2501,0)),""))</f>
        <v/>
      </c>
      <c r="AU292" s="2" t="str">
        <f t="shared" si="16"/>
        <v/>
      </c>
      <c r="AV292" s="2" t="str">
        <f t="shared" si="17"/>
        <v/>
      </c>
      <c r="AW292" s="2" t="str">
        <f t="shared" si="18"/>
        <v/>
      </c>
      <c r="AX292" s="2" t="str">
        <f t="shared" si="19"/>
        <v/>
      </c>
      <c r="AY292" s="2" t="str">
        <f>IF($AV292="","",IF(AND($Z292=0,COUNTIF('AR SALES'!$L$2:$L$2501,$L292)=0),"YES",""))</f>
        <v/>
      </c>
      <c r="AZ292" s="2" t="str">
        <f>IF($AV292="","",IF(COUNTIF(LISTS!$C$2:$C$250,$AU292)=0,"NEW",""))</f>
        <v/>
      </c>
      <c r="BA292" s="2" t="str">
        <f>IF(""&amp;$F292&lt;&gt;"4","",IF($AY292="YES","",IF(ROUND(SUMIFS($AE$2:$AE$4001,$L$2:$L$4001,$L292,$F$2:$F$4001,"4")-SUMIFS('AR SALES'!$Y$2:$Y$2501,'AR SALES'!$L$2:$L$2501,$L292,'AR SALES'!$AD$2:$AD$2501,"OFF"),2)=0,"","STALE")))</f>
        <v/>
      </c>
      <c r="BB292" s="2" t="str">
        <f>IF(OR(""&amp;$F292="2",""&amp;$F292="4",""&amp;$F292="G",""&amp;$F292="H"),IF($AY292="YES","",IF($AB292&lt;&gt;0,"",IF(COUNTIFS('AR SALES'!$L$2:$L$2501,$L292,'AR SALES'!$AD$2:$AD$2501,IF(""&amp;$F292="4","OFF","ON"),'AR SALES'!$AF$2:$AF$2501,"Y")&gt;0,"","NO EXEMPTION"))),"")</f>
        <v/>
      </c>
    </row>
    <row r="293" spans="46:54" x14ac:dyDescent="0.25">
      <c r="AT293" s="2" t="str">
        <f>IF($L293="","",IFERROR(INDEX('AR SALES'!$H$2:$H$2501,MATCH(""&amp;$L293,'AR SALES'!$AE$2:$AE$2501,0)),""))</f>
        <v/>
      </c>
      <c r="AU293" s="2" t="str">
        <f t="shared" si="16"/>
        <v/>
      </c>
      <c r="AV293" s="2" t="str">
        <f t="shared" si="17"/>
        <v/>
      </c>
      <c r="AW293" s="2" t="str">
        <f t="shared" si="18"/>
        <v/>
      </c>
      <c r="AX293" s="2" t="str">
        <f t="shared" si="19"/>
        <v/>
      </c>
      <c r="AY293" s="2" t="str">
        <f>IF($AV293="","",IF(AND($Z293=0,COUNTIF('AR SALES'!$L$2:$L$2501,$L293)=0),"YES",""))</f>
        <v/>
      </c>
      <c r="AZ293" s="2" t="str">
        <f>IF($AV293="","",IF(COUNTIF(LISTS!$C$2:$C$250,$AU293)=0,"NEW",""))</f>
        <v/>
      </c>
      <c r="BA293" s="2" t="str">
        <f>IF(""&amp;$F293&lt;&gt;"4","",IF($AY293="YES","",IF(ROUND(SUMIFS($AE$2:$AE$4001,$L$2:$L$4001,$L293,$F$2:$F$4001,"4")-SUMIFS('AR SALES'!$Y$2:$Y$2501,'AR SALES'!$L$2:$L$2501,$L293,'AR SALES'!$AD$2:$AD$2501,"OFF"),2)=0,"","STALE")))</f>
        <v/>
      </c>
      <c r="BB293" s="2" t="str">
        <f>IF(OR(""&amp;$F293="2",""&amp;$F293="4",""&amp;$F293="G",""&amp;$F293="H"),IF($AY293="YES","",IF($AB293&lt;&gt;0,"",IF(COUNTIFS('AR SALES'!$L$2:$L$2501,$L293,'AR SALES'!$AD$2:$AD$2501,IF(""&amp;$F293="4","OFF","ON"),'AR SALES'!$AF$2:$AF$2501,"Y")&gt;0,"","NO EXEMPTION"))),"")</f>
        <v/>
      </c>
    </row>
    <row r="294" spans="46:54" x14ac:dyDescent="0.25">
      <c r="AT294" s="2" t="str">
        <f>IF($L294="","",IFERROR(INDEX('AR SALES'!$H$2:$H$2501,MATCH(""&amp;$L294,'AR SALES'!$AE$2:$AE$2501,0)),""))</f>
        <v/>
      </c>
      <c r="AU294" s="2" t="str">
        <f t="shared" si="16"/>
        <v/>
      </c>
      <c r="AV294" s="2" t="str">
        <f t="shared" si="17"/>
        <v/>
      </c>
      <c r="AW294" s="2" t="str">
        <f t="shared" si="18"/>
        <v/>
      </c>
      <c r="AX294" s="2" t="str">
        <f t="shared" si="19"/>
        <v/>
      </c>
      <c r="AY294" s="2" t="str">
        <f>IF($AV294="","",IF(AND($Z294=0,COUNTIF('AR SALES'!$L$2:$L$2501,$L294)=0),"YES",""))</f>
        <v/>
      </c>
      <c r="AZ294" s="2" t="str">
        <f>IF($AV294="","",IF(COUNTIF(LISTS!$C$2:$C$250,$AU294)=0,"NEW",""))</f>
        <v/>
      </c>
      <c r="BA294" s="2" t="str">
        <f>IF(""&amp;$F294&lt;&gt;"4","",IF($AY294="YES","",IF(ROUND(SUMIFS($AE$2:$AE$4001,$L$2:$L$4001,$L294,$F$2:$F$4001,"4")-SUMIFS('AR SALES'!$Y$2:$Y$2501,'AR SALES'!$L$2:$L$2501,$L294,'AR SALES'!$AD$2:$AD$2501,"OFF"),2)=0,"","STALE")))</f>
        <v/>
      </c>
      <c r="BB294" s="2" t="str">
        <f>IF(OR(""&amp;$F294="2",""&amp;$F294="4",""&amp;$F294="G",""&amp;$F294="H"),IF($AY294="YES","",IF($AB294&lt;&gt;0,"",IF(COUNTIFS('AR SALES'!$L$2:$L$2501,$L294,'AR SALES'!$AD$2:$AD$2501,IF(""&amp;$F294="4","OFF","ON"),'AR SALES'!$AF$2:$AF$2501,"Y")&gt;0,"","NO EXEMPTION"))),"")</f>
        <v/>
      </c>
    </row>
    <row r="295" spans="46:54" x14ac:dyDescent="0.25">
      <c r="AT295" s="2" t="str">
        <f>IF($L295="","",IFERROR(INDEX('AR SALES'!$H$2:$H$2501,MATCH(""&amp;$L295,'AR SALES'!$AE$2:$AE$2501,0)),""))</f>
        <v/>
      </c>
      <c r="AU295" s="2" t="str">
        <f t="shared" si="16"/>
        <v/>
      </c>
      <c r="AV295" s="2" t="str">
        <f t="shared" si="17"/>
        <v/>
      </c>
      <c r="AW295" s="2" t="str">
        <f t="shared" si="18"/>
        <v/>
      </c>
      <c r="AX295" s="2" t="str">
        <f t="shared" si="19"/>
        <v/>
      </c>
      <c r="AY295" s="2" t="str">
        <f>IF($AV295="","",IF(AND($Z295=0,COUNTIF('AR SALES'!$L$2:$L$2501,$L295)=0),"YES",""))</f>
        <v/>
      </c>
      <c r="AZ295" s="2" t="str">
        <f>IF($AV295="","",IF(COUNTIF(LISTS!$C$2:$C$250,$AU295)=0,"NEW",""))</f>
        <v/>
      </c>
      <c r="BA295" s="2" t="str">
        <f>IF(""&amp;$F295&lt;&gt;"4","",IF($AY295="YES","",IF(ROUND(SUMIFS($AE$2:$AE$4001,$L$2:$L$4001,$L295,$F$2:$F$4001,"4")-SUMIFS('AR SALES'!$Y$2:$Y$2501,'AR SALES'!$L$2:$L$2501,$L295,'AR SALES'!$AD$2:$AD$2501,"OFF"),2)=0,"","STALE")))</f>
        <v/>
      </c>
      <c r="BB295" s="2" t="str">
        <f>IF(OR(""&amp;$F295="2",""&amp;$F295="4",""&amp;$F295="G",""&amp;$F295="H"),IF($AY295="YES","",IF($AB295&lt;&gt;0,"",IF(COUNTIFS('AR SALES'!$L$2:$L$2501,$L295,'AR SALES'!$AD$2:$AD$2501,IF(""&amp;$F295="4","OFF","ON"),'AR SALES'!$AF$2:$AF$2501,"Y")&gt;0,"","NO EXEMPTION"))),"")</f>
        <v/>
      </c>
    </row>
    <row r="296" spans="46:54" x14ac:dyDescent="0.25">
      <c r="AT296" s="2" t="str">
        <f>IF($L296="","",IFERROR(INDEX('AR SALES'!$H$2:$H$2501,MATCH(""&amp;$L296,'AR SALES'!$AE$2:$AE$2501,0)),""))</f>
        <v/>
      </c>
      <c r="AU296" s="2" t="str">
        <f t="shared" si="16"/>
        <v/>
      </c>
      <c r="AV296" s="2" t="str">
        <f t="shared" si="17"/>
        <v/>
      </c>
      <c r="AW296" s="2" t="str">
        <f t="shared" si="18"/>
        <v/>
      </c>
      <c r="AX296" s="2" t="str">
        <f t="shared" si="19"/>
        <v/>
      </c>
      <c r="AY296" s="2" t="str">
        <f>IF($AV296="","",IF(AND($Z296=0,COUNTIF('AR SALES'!$L$2:$L$2501,$L296)=0),"YES",""))</f>
        <v/>
      </c>
      <c r="AZ296" s="2" t="str">
        <f>IF($AV296="","",IF(COUNTIF(LISTS!$C$2:$C$250,$AU296)=0,"NEW",""))</f>
        <v/>
      </c>
      <c r="BA296" s="2" t="str">
        <f>IF(""&amp;$F296&lt;&gt;"4","",IF($AY296="YES","",IF(ROUND(SUMIFS($AE$2:$AE$4001,$L$2:$L$4001,$L296,$F$2:$F$4001,"4")-SUMIFS('AR SALES'!$Y$2:$Y$2501,'AR SALES'!$L$2:$L$2501,$L296,'AR SALES'!$AD$2:$AD$2501,"OFF"),2)=0,"","STALE")))</f>
        <v/>
      </c>
      <c r="BB296" s="2" t="str">
        <f>IF(OR(""&amp;$F296="2",""&amp;$F296="4",""&amp;$F296="G",""&amp;$F296="H"),IF($AY296="YES","",IF($AB296&lt;&gt;0,"",IF(COUNTIFS('AR SALES'!$L$2:$L$2501,$L296,'AR SALES'!$AD$2:$AD$2501,IF(""&amp;$F296="4","OFF","ON"),'AR SALES'!$AF$2:$AF$2501,"Y")&gt;0,"","NO EXEMPTION"))),"")</f>
        <v/>
      </c>
    </row>
    <row r="297" spans="46:54" x14ac:dyDescent="0.25">
      <c r="AT297" s="2" t="str">
        <f>IF($L297="","",IFERROR(INDEX('AR SALES'!$H$2:$H$2501,MATCH(""&amp;$L297,'AR SALES'!$AE$2:$AE$2501,0)),""))</f>
        <v/>
      </c>
      <c r="AU297" s="2" t="str">
        <f t="shared" si="16"/>
        <v/>
      </c>
      <c r="AV297" s="2" t="str">
        <f t="shared" si="17"/>
        <v/>
      </c>
      <c r="AW297" s="2" t="str">
        <f t="shared" si="18"/>
        <v/>
      </c>
      <c r="AX297" s="2" t="str">
        <f t="shared" si="19"/>
        <v/>
      </c>
      <c r="AY297" s="2" t="str">
        <f>IF($AV297="","",IF(AND($Z297=0,COUNTIF('AR SALES'!$L$2:$L$2501,$L297)=0),"YES",""))</f>
        <v/>
      </c>
      <c r="AZ297" s="2" t="str">
        <f>IF($AV297="","",IF(COUNTIF(LISTS!$C$2:$C$250,$AU297)=0,"NEW",""))</f>
        <v/>
      </c>
      <c r="BA297" s="2" t="str">
        <f>IF(""&amp;$F297&lt;&gt;"4","",IF($AY297="YES","",IF(ROUND(SUMIFS($AE$2:$AE$4001,$L$2:$L$4001,$L297,$F$2:$F$4001,"4")-SUMIFS('AR SALES'!$Y$2:$Y$2501,'AR SALES'!$L$2:$L$2501,$L297,'AR SALES'!$AD$2:$AD$2501,"OFF"),2)=0,"","STALE")))</f>
        <v/>
      </c>
      <c r="BB297" s="2" t="str">
        <f>IF(OR(""&amp;$F297="2",""&amp;$F297="4",""&amp;$F297="G",""&amp;$F297="H"),IF($AY297="YES","",IF($AB297&lt;&gt;0,"",IF(COUNTIFS('AR SALES'!$L$2:$L$2501,$L297,'AR SALES'!$AD$2:$AD$2501,IF(""&amp;$F297="4","OFF","ON"),'AR SALES'!$AF$2:$AF$2501,"Y")&gt;0,"","NO EXEMPTION"))),"")</f>
        <v/>
      </c>
    </row>
    <row r="298" spans="46:54" x14ac:dyDescent="0.25">
      <c r="AT298" s="2" t="str">
        <f>IF($L298="","",IFERROR(INDEX('AR SALES'!$H$2:$H$2501,MATCH(""&amp;$L298,'AR SALES'!$AE$2:$AE$2501,0)),""))</f>
        <v/>
      </c>
      <c r="AU298" s="2" t="str">
        <f t="shared" si="16"/>
        <v/>
      </c>
      <c r="AV298" s="2" t="str">
        <f t="shared" si="17"/>
        <v/>
      </c>
      <c r="AW298" s="2" t="str">
        <f t="shared" si="18"/>
        <v/>
      </c>
      <c r="AX298" s="2" t="str">
        <f t="shared" si="19"/>
        <v/>
      </c>
      <c r="AY298" s="2" t="str">
        <f>IF($AV298="","",IF(AND($Z298=0,COUNTIF('AR SALES'!$L$2:$L$2501,$L298)=0),"YES",""))</f>
        <v/>
      </c>
      <c r="AZ298" s="2" t="str">
        <f>IF($AV298="","",IF(COUNTIF(LISTS!$C$2:$C$250,$AU298)=0,"NEW",""))</f>
        <v/>
      </c>
      <c r="BA298" s="2" t="str">
        <f>IF(""&amp;$F298&lt;&gt;"4","",IF($AY298="YES","",IF(ROUND(SUMIFS($AE$2:$AE$4001,$L$2:$L$4001,$L298,$F$2:$F$4001,"4")-SUMIFS('AR SALES'!$Y$2:$Y$2501,'AR SALES'!$L$2:$L$2501,$L298,'AR SALES'!$AD$2:$AD$2501,"OFF"),2)=0,"","STALE")))</f>
        <v/>
      </c>
      <c r="BB298" s="2" t="str">
        <f>IF(OR(""&amp;$F298="2",""&amp;$F298="4",""&amp;$F298="G",""&amp;$F298="H"),IF($AY298="YES","",IF($AB298&lt;&gt;0,"",IF(COUNTIFS('AR SALES'!$L$2:$L$2501,$L298,'AR SALES'!$AD$2:$AD$2501,IF(""&amp;$F298="4","OFF","ON"),'AR SALES'!$AF$2:$AF$2501,"Y")&gt;0,"","NO EXEMPTION"))),"")</f>
        <v/>
      </c>
    </row>
    <row r="299" spans="46:54" x14ac:dyDescent="0.25">
      <c r="AT299" s="2" t="str">
        <f>IF($L299="","",IFERROR(INDEX('AR SALES'!$H$2:$H$2501,MATCH(""&amp;$L299,'AR SALES'!$AE$2:$AE$2501,0)),""))</f>
        <v/>
      </c>
      <c r="AU299" s="2" t="str">
        <f t="shared" si="16"/>
        <v/>
      </c>
      <c r="AV299" s="2" t="str">
        <f t="shared" si="17"/>
        <v/>
      </c>
      <c r="AW299" s="2" t="str">
        <f t="shared" si="18"/>
        <v/>
      </c>
      <c r="AX299" s="2" t="str">
        <f t="shared" si="19"/>
        <v/>
      </c>
      <c r="AY299" s="2" t="str">
        <f>IF($AV299="","",IF(AND($Z299=0,COUNTIF('AR SALES'!$L$2:$L$2501,$L299)=0),"YES",""))</f>
        <v/>
      </c>
      <c r="AZ299" s="2" t="str">
        <f>IF($AV299="","",IF(COUNTIF(LISTS!$C$2:$C$250,$AU299)=0,"NEW",""))</f>
        <v/>
      </c>
      <c r="BA299" s="2" t="str">
        <f>IF(""&amp;$F299&lt;&gt;"4","",IF($AY299="YES","",IF(ROUND(SUMIFS($AE$2:$AE$4001,$L$2:$L$4001,$L299,$F$2:$F$4001,"4")-SUMIFS('AR SALES'!$Y$2:$Y$2501,'AR SALES'!$L$2:$L$2501,$L299,'AR SALES'!$AD$2:$AD$2501,"OFF"),2)=0,"","STALE")))</f>
        <v/>
      </c>
      <c r="BB299" s="2" t="str">
        <f>IF(OR(""&amp;$F299="2",""&amp;$F299="4",""&amp;$F299="G",""&amp;$F299="H"),IF($AY299="YES","",IF($AB299&lt;&gt;0,"",IF(COUNTIFS('AR SALES'!$L$2:$L$2501,$L299,'AR SALES'!$AD$2:$AD$2501,IF(""&amp;$F299="4","OFF","ON"),'AR SALES'!$AF$2:$AF$2501,"Y")&gt;0,"","NO EXEMPTION"))),"")</f>
        <v/>
      </c>
    </row>
    <row r="300" spans="46:54" x14ac:dyDescent="0.25">
      <c r="AT300" s="2" t="str">
        <f>IF($L300="","",IFERROR(INDEX('AR SALES'!$H$2:$H$2501,MATCH(""&amp;$L300,'AR SALES'!$AE$2:$AE$2501,0)),""))</f>
        <v/>
      </c>
      <c r="AU300" s="2" t="str">
        <f t="shared" si="16"/>
        <v/>
      </c>
      <c r="AV300" s="2" t="str">
        <f t="shared" si="17"/>
        <v/>
      </c>
      <c r="AW300" s="2" t="str">
        <f t="shared" si="18"/>
        <v/>
      </c>
      <c r="AX300" s="2" t="str">
        <f t="shared" si="19"/>
        <v/>
      </c>
      <c r="AY300" s="2" t="str">
        <f>IF($AV300="","",IF(AND($Z300=0,COUNTIF('AR SALES'!$L$2:$L$2501,$L300)=0),"YES",""))</f>
        <v/>
      </c>
      <c r="AZ300" s="2" t="str">
        <f>IF($AV300="","",IF(COUNTIF(LISTS!$C$2:$C$250,$AU300)=0,"NEW",""))</f>
        <v/>
      </c>
      <c r="BA300" s="2" t="str">
        <f>IF(""&amp;$F300&lt;&gt;"4","",IF($AY300="YES","",IF(ROUND(SUMIFS($AE$2:$AE$4001,$L$2:$L$4001,$L300,$F$2:$F$4001,"4")-SUMIFS('AR SALES'!$Y$2:$Y$2501,'AR SALES'!$L$2:$L$2501,$L300,'AR SALES'!$AD$2:$AD$2501,"OFF"),2)=0,"","STALE")))</f>
        <v/>
      </c>
      <c r="BB300" s="2" t="str">
        <f>IF(OR(""&amp;$F300="2",""&amp;$F300="4",""&amp;$F300="G",""&amp;$F300="H"),IF($AY300="YES","",IF($AB300&lt;&gt;0,"",IF(COUNTIFS('AR SALES'!$L$2:$L$2501,$L300,'AR SALES'!$AD$2:$AD$2501,IF(""&amp;$F300="4","OFF","ON"),'AR SALES'!$AF$2:$AF$2501,"Y")&gt;0,"","NO EXEMPTION"))),"")</f>
        <v/>
      </c>
    </row>
    <row r="301" spans="46:54" x14ac:dyDescent="0.25">
      <c r="AT301" s="2" t="str">
        <f>IF($L301="","",IFERROR(INDEX('AR SALES'!$H$2:$H$2501,MATCH(""&amp;$L301,'AR SALES'!$AE$2:$AE$2501,0)),""))</f>
        <v/>
      </c>
      <c r="AU301" s="2" t="str">
        <f t="shared" si="16"/>
        <v/>
      </c>
      <c r="AV301" s="2" t="str">
        <f t="shared" si="17"/>
        <v/>
      </c>
      <c r="AW301" s="2" t="str">
        <f t="shared" si="18"/>
        <v/>
      </c>
      <c r="AX301" s="2" t="str">
        <f t="shared" si="19"/>
        <v/>
      </c>
      <c r="AY301" s="2" t="str">
        <f>IF($AV301="","",IF(AND($Z301=0,COUNTIF('AR SALES'!$L$2:$L$2501,$L301)=0),"YES",""))</f>
        <v/>
      </c>
      <c r="AZ301" s="2" t="str">
        <f>IF($AV301="","",IF(COUNTIF(LISTS!$C$2:$C$250,$AU301)=0,"NEW",""))</f>
        <v/>
      </c>
      <c r="BA301" s="2" t="str">
        <f>IF(""&amp;$F301&lt;&gt;"4","",IF($AY301="YES","",IF(ROUND(SUMIFS($AE$2:$AE$4001,$L$2:$L$4001,$L301,$F$2:$F$4001,"4")-SUMIFS('AR SALES'!$Y$2:$Y$2501,'AR SALES'!$L$2:$L$2501,$L301,'AR SALES'!$AD$2:$AD$2501,"OFF"),2)=0,"","STALE")))</f>
        <v/>
      </c>
      <c r="BB301" s="2" t="str">
        <f>IF(OR(""&amp;$F301="2",""&amp;$F301="4",""&amp;$F301="G",""&amp;$F301="H"),IF($AY301="YES","",IF($AB301&lt;&gt;0,"",IF(COUNTIFS('AR SALES'!$L$2:$L$2501,$L301,'AR SALES'!$AD$2:$AD$2501,IF(""&amp;$F301="4","OFF","ON"),'AR SALES'!$AF$2:$AF$2501,"Y")&gt;0,"","NO EXEMPTION"))),"")</f>
        <v/>
      </c>
    </row>
    <row r="302" spans="46:54" x14ac:dyDescent="0.25">
      <c r="AT302" s="2" t="str">
        <f>IF($L302="","",IFERROR(INDEX('AR SALES'!$H$2:$H$2501,MATCH(""&amp;$L302,'AR SALES'!$AE$2:$AE$2501,0)),""))</f>
        <v/>
      </c>
      <c r="AU302" s="2" t="str">
        <f t="shared" si="16"/>
        <v/>
      </c>
      <c r="AV302" s="2" t="str">
        <f t="shared" si="17"/>
        <v/>
      </c>
      <c r="AW302" s="2" t="str">
        <f t="shared" si="18"/>
        <v/>
      </c>
      <c r="AX302" s="2" t="str">
        <f t="shared" si="19"/>
        <v/>
      </c>
      <c r="AY302" s="2" t="str">
        <f>IF($AV302="","",IF(AND($Z302=0,COUNTIF('AR SALES'!$L$2:$L$2501,$L302)=0),"YES",""))</f>
        <v/>
      </c>
      <c r="AZ302" s="2" t="str">
        <f>IF($AV302="","",IF(COUNTIF(LISTS!$C$2:$C$250,$AU302)=0,"NEW",""))</f>
        <v/>
      </c>
      <c r="BA302" s="2" t="str">
        <f>IF(""&amp;$F302&lt;&gt;"4","",IF($AY302="YES","",IF(ROUND(SUMIFS($AE$2:$AE$4001,$L$2:$L$4001,$L302,$F$2:$F$4001,"4")-SUMIFS('AR SALES'!$Y$2:$Y$2501,'AR SALES'!$L$2:$L$2501,$L302,'AR SALES'!$AD$2:$AD$2501,"OFF"),2)=0,"","STALE")))</f>
        <v/>
      </c>
      <c r="BB302" s="2" t="str">
        <f>IF(OR(""&amp;$F302="2",""&amp;$F302="4",""&amp;$F302="G",""&amp;$F302="H"),IF($AY302="YES","",IF($AB302&lt;&gt;0,"",IF(COUNTIFS('AR SALES'!$L$2:$L$2501,$L302,'AR SALES'!$AD$2:$AD$2501,IF(""&amp;$F302="4","OFF","ON"),'AR SALES'!$AF$2:$AF$2501,"Y")&gt;0,"","NO EXEMPTION"))),"")</f>
        <v/>
      </c>
    </row>
    <row r="303" spans="46:54" x14ac:dyDescent="0.25">
      <c r="AT303" s="2" t="str">
        <f>IF($L303="","",IFERROR(INDEX('AR SALES'!$H$2:$H$2501,MATCH(""&amp;$L303,'AR SALES'!$AE$2:$AE$2501,0)),""))</f>
        <v/>
      </c>
      <c r="AU303" s="2" t="str">
        <f t="shared" si="16"/>
        <v/>
      </c>
      <c r="AV303" s="2" t="str">
        <f t="shared" si="17"/>
        <v/>
      </c>
      <c r="AW303" s="2" t="str">
        <f t="shared" si="18"/>
        <v/>
      </c>
      <c r="AX303" s="2" t="str">
        <f t="shared" si="19"/>
        <v/>
      </c>
      <c r="AY303" s="2" t="str">
        <f>IF($AV303="","",IF(AND($Z303=0,COUNTIF('AR SALES'!$L$2:$L$2501,$L303)=0),"YES",""))</f>
        <v/>
      </c>
      <c r="AZ303" s="2" t="str">
        <f>IF($AV303="","",IF(COUNTIF(LISTS!$C$2:$C$250,$AU303)=0,"NEW",""))</f>
        <v/>
      </c>
      <c r="BA303" s="2" t="str">
        <f>IF(""&amp;$F303&lt;&gt;"4","",IF($AY303="YES","",IF(ROUND(SUMIFS($AE$2:$AE$4001,$L$2:$L$4001,$L303,$F$2:$F$4001,"4")-SUMIFS('AR SALES'!$Y$2:$Y$2501,'AR SALES'!$L$2:$L$2501,$L303,'AR SALES'!$AD$2:$AD$2501,"OFF"),2)=0,"","STALE")))</f>
        <v/>
      </c>
      <c r="BB303" s="2" t="str">
        <f>IF(OR(""&amp;$F303="2",""&amp;$F303="4",""&amp;$F303="G",""&amp;$F303="H"),IF($AY303="YES","",IF($AB303&lt;&gt;0,"",IF(COUNTIFS('AR SALES'!$L$2:$L$2501,$L303,'AR SALES'!$AD$2:$AD$2501,IF(""&amp;$F303="4","OFF","ON"),'AR SALES'!$AF$2:$AF$2501,"Y")&gt;0,"","NO EXEMPTION"))),"")</f>
        <v/>
      </c>
    </row>
    <row r="304" spans="46:54" x14ac:dyDescent="0.25">
      <c r="AT304" s="2" t="str">
        <f>IF($L304="","",IFERROR(INDEX('AR SALES'!$H$2:$H$2501,MATCH(""&amp;$L304,'AR SALES'!$AE$2:$AE$2501,0)),""))</f>
        <v/>
      </c>
      <c r="AU304" s="2" t="str">
        <f t="shared" si="16"/>
        <v/>
      </c>
      <c r="AV304" s="2" t="str">
        <f t="shared" si="17"/>
        <v/>
      </c>
      <c r="AW304" s="2" t="str">
        <f t="shared" si="18"/>
        <v/>
      </c>
      <c r="AX304" s="2" t="str">
        <f t="shared" si="19"/>
        <v/>
      </c>
      <c r="AY304" s="2" t="str">
        <f>IF($AV304="","",IF(AND($Z304=0,COUNTIF('AR SALES'!$L$2:$L$2501,$L304)=0),"YES",""))</f>
        <v/>
      </c>
      <c r="AZ304" s="2" t="str">
        <f>IF($AV304="","",IF(COUNTIF(LISTS!$C$2:$C$250,$AU304)=0,"NEW",""))</f>
        <v/>
      </c>
      <c r="BA304" s="2" t="str">
        <f>IF(""&amp;$F304&lt;&gt;"4","",IF($AY304="YES","",IF(ROUND(SUMIFS($AE$2:$AE$4001,$L$2:$L$4001,$L304,$F$2:$F$4001,"4")-SUMIFS('AR SALES'!$Y$2:$Y$2501,'AR SALES'!$L$2:$L$2501,$L304,'AR SALES'!$AD$2:$AD$2501,"OFF"),2)=0,"","STALE")))</f>
        <v/>
      </c>
      <c r="BB304" s="2" t="str">
        <f>IF(OR(""&amp;$F304="2",""&amp;$F304="4",""&amp;$F304="G",""&amp;$F304="H"),IF($AY304="YES","",IF($AB304&lt;&gt;0,"",IF(COUNTIFS('AR SALES'!$L$2:$L$2501,$L304,'AR SALES'!$AD$2:$AD$2501,IF(""&amp;$F304="4","OFF","ON"),'AR SALES'!$AF$2:$AF$2501,"Y")&gt;0,"","NO EXEMPTION"))),"")</f>
        <v/>
      </c>
    </row>
    <row r="305" spans="46:54" x14ac:dyDescent="0.25">
      <c r="AT305" s="2" t="str">
        <f>IF($L305="","",IFERROR(INDEX('AR SALES'!$H$2:$H$2501,MATCH(""&amp;$L305,'AR SALES'!$AE$2:$AE$2501,0)),""))</f>
        <v/>
      </c>
      <c r="AU305" s="2" t="str">
        <f t="shared" si="16"/>
        <v/>
      </c>
      <c r="AV305" s="2" t="str">
        <f t="shared" si="17"/>
        <v/>
      </c>
      <c r="AW305" s="2" t="str">
        <f t="shared" si="18"/>
        <v/>
      </c>
      <c r="AX305" s="2" t="str">
        <f t="shared" si="19"/>
        <v/>
      </c>
      <c r="AY305" s="2" t="str">
        <f>IF($AV305="","",IF(AND($Z305=0,COUNTIF('AR SALES'!$L$2:$L$2501,$L305)=0),"YES",""))</f>
        <v/>
      </c>
      <c r="AZ305" s="2" t="str">
        <f>IF($AV305="","",IF(COUNTIF(LISTS!$C$2:$C$250,$AU305)=0,"NEW",""))</f>
        <v/>
      </c>
      <c r="BA305" s="2" t="str">
        <f>IF(""&amp;$F305&lt;&gt;"4","",IF($AY305="YES","",IF(ROUND(SUMIFS($AE$2:$AE$4001,$L$2:$L$4001,$L305,$F$2:$F$4001,"4")-SUMIFS('AR SALES'!$Y$2:$Y$2501,'AR SALES'!$L$2:$L$2501,$L305,'AR SALES'!$AD$2:$AD$2501,"OFF"),2)=0,"","STALE")))</f>
        <v/>
      </c>
      <c r="BB305" s="2" t="str">
        <f>IF(OR(""&amp;$F305="2",""&amp;$F305="4",""&amp;$F305="G",""&amp;$F305="H"),IF($AY305="YES","",IF($AB305&lt;&gt;0,"",IF(COUNTIFS('AR SALES'!$L$2:$L$2501,$L305,'AR SALES'!$AD$2:$AD$2501,IF(""&amp;$F305="4","OFF","ON"),'AR SALES'!$AF$2:$AF$2501,"Y")&gt;0,"","NO EXEMPTION"))),"")</f>
        <v/>
      </c>
    </row>
    <row r="306" spans="46:54" x14ac:dyDescent="0.25">
      <c r="AT306" s="2" t="str">
        <f>IF($L306="","",IFERROR(INDEX('AR SALES'!$H$2:$H$2501,MATCH(""&amp;$L306,'AR SALES'!$AE$2:$AE$2501,0)),""))</f>
        <v/>
      </c>
      <c r="AU306" s="2" t="str">
        <f t="shared" si="16"/>
        <v/>
      </c>
      <c r="AV306" s="2" t="str">
        <f t="shared" si="17"/>
        <v/>
      </c>
      <c r="AW306" s="2" t="str">
        <f t="shared" si="18"/>
        <v/>
      </c>
      <c r="AX306" s="2" t="str">
        <f t="shared" si="19"/>
        <v/>
      </c>
      <c r="AY306" s="2" t="str">
        <f>IF($AV306="","",IF(AND($Z306=0,COUNTIF('AR SALES'!$L$2:$L$2501,$L306)=0),"YES",""))</f>
        <v/>
      </c>
      <c r="AZ306" s="2" t="str">
        <f>IF($AV306="","",IF(COUNTIF(LISTS!$C$2:$C$250,$AU306)=0,"NEW",""))</f>
        <v/>
      </c>
      <c r="BA306" s="2" t="str">
        <f>IF(""&amp;$F306&lt;&gt;"4","",IF($AY306="YES","",IF(ROUND(SUMIFS($AE$2:$AE$4001,$L$2:$L$4001,$L306,$F$2:$F$4001,"4")-SUMIFS('AR SALES'!$Y$2:$Y$2501,'AR SALES'!$L$2:$L$2501,$L306,'AR SALES'!$AD$2:$AD$2501,"OFF"),2)=0,"","STALE")))</f>
        <v/>
      </c>
      <c r="BB306" s="2" t="str">
        <f>IF(OR(""&amp;$F306="2",""&amp;$F306="4",""&amp;$F306="G",""&amp;$F306="H"),IF($AY306="YES","",IF($AB306&lt;&gt;0,"",IF(COUNTIFS('AR SALES'!$L$2:$L$2501,$L306,'AR SALES'!$AD$2:$AD$2501,IF(""&amp;$F306="4","OFF","ON"),'AR SALES'!$AF$2:$AF$2501,"Y")&gt;0,"","NO EXEMPTION"))),"")</f>
        <v/>
      </c>
    </row>
    <row r="307" spans="46:54" x14ac:dyDescent="0.25">
      <c r="AT307" s="2" t="str">
        <f>IF($L307="","",IFERROR(INDEX('AR SALES'!$H$2:$H$2501,MATCH(""&amp;$L307,'AR SALES'!$AE$2:$AE$2501,0)),""))</f>
        <v/>
      </c>
      <c r="AU307" s="2" t="str">
        <f t="shared" si="16"/>
        <v/>
      </c>
      <c r="AV307" s="2" t="str">
        <f t="shared" si="17"/>
        <v/>
      </c>
      <c r="AW307" s="2" t="str">
        <f t="shared" si="18"/>
        <v/>
      </c>
      <c r="AX307" s="2" t="str">
        <f t="shared" si="19"/>
        <v/>
      </c>
      <c r="AY307" s="2" t="str">
        <f>IF($AV307="","",IF(AND($Z307=0,COUNTIF('AR SALES'!$L$2:$L$2501,$L307)=0),"YES",""))</f>
        <v/>
      </c>
      <c r="AZ307" s="2" t="str">
        <f>IF($AV307="","",IF(COUNTIF(LISTS!$C$2:$C$250,$AU307)=0,"NEW",""))</f>
        <v/>
      </c>
      <c r="BA307" s="2" t="str">
        <f>IF(""&amp;$F307&lt;&gt;"4","",IF($AY307="YES","",IF(ROUND(SUMIFS($AE$2:$AE$4001,$L$2:$L$4001,$L307,$F$2:$F$4001,"4")-SUMIFS('AR SALES'!$Y$2:$Y$2501,'AR SALES'!$L$2:$L$2501,$L307,'AR SALES'!$AD$2:$AD$2501,"OFF"),2)=0,"","STALE")))</f>
        <v/>
      </c>
      <c r="BB307" s="2" t="str">
        <f>IF(OR(""&amp;$F307="2",""&amp;$F307="4",""&amp;$F307="G",""&amp;$F307="H"),IF($AY307="YES","",IF($AB307&lt;&gt;0,"",IF(COUNTIFS('AR SALES'!$L$2:$L$2501,$L307,'AR SALES'!$AD$2:$AD$2501,IF(""&amp;$F307="4","OFF","ON"),'AR SALES'!$AF$2:$AF$2501,"Y")&gt;0,"","NO EXEMPTION"))),"")</f>
        <v/>
      </c>
    </row>
    <row r="308" spans="46:54" x14ac:dyDescent="0.25">
      <c r="AT308" s="2" t="str">
        <f>IF($L308="","",IFERROR(INDEX('AR SALES'!$H$2:$H$2501,MATCH(""&amp;$L308,'AR SALES'!$AE$2:$AE$2501,0)),""))</f>
        <v/>
      </c>
      <c r="AU308" s="2" t="str">
        <f t="shared" si="16"/>
        <v/>
      </c>
      <c r="AV308" s="2" t="str">
        <f t="shared" si="17"/>
        <v/>
      </c>
      <c r="AW308" s="2" t="str">
        <f t="shared" si="18"/>
        <v/>
      </c>
      <c r="AX308" s="2" t="str">
        <f t="shared" si="19"/>
        <v/>
      </c>
      <c r="AY308" s="2" t="str">
        <f>IF($AV308="","",IF(AND($Z308=0,COUNTIF('AR SALES'!$L$2:$L$2501,$L308)=0),"YES",""))</f>
        <v/>
      </c>
      <c r="AZ308" s="2" t="str">
        <f>IF($AV308="","",IF(COUNTIF(LISTS!$C$2:$C$250,$AU308)=0,"NEW",""))</f>
        <v/>
      </c>
      <c r="BA308" s="2" t="str">
        <f>IF(""&amp;$F308&lt;&gt;"4","",IF($AY308="YES","",IF(ROUND(SUMIFS($AE$2:$AE$4001,$L$2:$L$4001,$L308,$F$2:$F$4001,"4")-SUMIFS('AR SALES'!$Y$2:$Y$2501,'AR SALES'!$L$2:$L$2501,$L308,'AR SALES'!$AD$2:$AD$2501,"OFF"),2)=0,"","STALE")))</f>
        <v/>
      </c>
      <c r="BB308" s="2" t="str">
        <f>IF(OR(""&amp;$F308="2",""&amp;$F308="4",""&amp;$F308="G",""&amp;$F308="H"),IF($AY308="YES","",IF($AB308&lt;&gt;0,"",IF(COUNTIFS('AR SALES'!$L$2:$L$2501,$L308,'AR SALES'!$AD$2:$AD$2501,IF(""&amp;$F308="4","OFF","ON"),'AR SALES'!$AF$2:$AF$2501,"Y")&gt;0,"","NO EXEMPTION"))),"")</f>
        <v/>
      </c>
    </row>
    <row r="309" spans="46:54" x14ac:dyDescent="0.25">
      <c r="AT309" s="2" t="str">
        <f>IF($L309="","",IFERROR(INDEX('AR SALES'!$H$2:$H$2501,MATCH(""&amp;$L309,'AR SALES'!$AE$2:$AE$2501,0)),""))</f>
        <v/>
      </c>
      <c r="AU309" s="2" t="str">
        <f t="shared" si="16"/>
        <v/>
      </c>
      <c r="AV309" s="2" t="str">
        <f t="shared" si="17"/>
        <v/>
      </c>
      <c r="AW309" s="2" t="str">
        <f t="shared" si="18"/>
        <v/>
      </c>
      <c r="AX309" s="2" t="str">
        <f t="shared" si="19"/>
        <v/>
      </c>
      <c r="AY309" s="2" t="str">
        <f>IF($AV309="","",IF(AND($Z309=0,COUNTIF('AR SALES'!$L$2:$L$2501,$L309)=0),"YES",""))</f>
        <v/>
      </c>
      <c r="AZ309" s="2" t="str">
        <f>IF($AV309="","",IF(COUNTIF(LISTS!$C$2:$C$250,$AU309)=0,"NEW",""))</f>
        <v/>
      </c>
      <c r="BA309" s="2" t="str">
        <f>IF(""&amp;$F309&lt;&gt;"4","",IF($AY309="YES","",IF(ROUND(SUMIFS($AE$2:$AE$4001,$L$2:$L$4001,$L309,$F$2:$F$4001,"4")-SUMIFS('AR SALES'!$Y$2:$Y$2501,'AR SALES'!$L$2:$L$2501,$L309,'AR SALES'!$AD$2:$AD$2501,"OFF"),2)=0,"","STALE")))</f>
        <v/>
      </c>
      <c r="BB309" s="2" t="str">
        <f>IF(OR(""&amp;$F309="2",""&amp;$F309="4",""&amp;$F309="G",""&amp;$F309="H"),IF($AY309="YES","",IF($AB309&lt;&gt;0,"",IF(COUNTIFS('AR SALES'!$L$2:$L$2501,$L309,'AR SALES'!$AD$2:$AD$2501,IF(""&amp;$F309="4","OFF","ON"),'AR SALES'!$AF$2:$AF$2501,"Y")&gt;0,"","NO EXEMPTION"))),"")</f>
        <v/>
      </c>
    </row>
    <row r="310" spans="46:54" x14ac:dyDescent="0.25">
      <c r="AT310" s="2" t="str">
        <f>IF($L310="","",IFERROR(INDEX('AR SALES'!$H$2:$H$2501,MATCH(""&amp;$L310,'AR SALES'!$AE$2:$AE$2501,0)),""))</f>
        <v/>
      </c>
      <c r="AU310" s="2" t="str">
        <f t="shared" si="16"/>
        <v/>
      </c>
      <c r="AV310" s="2" t="str">
        <f t="shared" si="17"/>
        <v/>
      </c>
      <c r="AW310" s="2" t="str">
        <f t="shared" si="18"/>
        <v/>
      </c>
      <c r="AX310" s="2" t="str">
        <f t="shared" si="19"/>
        <v/>
      </c>
      <c r="AY310" s="2" t="str">
        <f>IF($AV310="","",IF(AND($Z310=0,COUNTIF('AR SALES'!$L$2:$L$2501,$L310)=0),"YES",""))</f>
        <v/>
      </c>
      <c r="AZ310" s="2" t="str">
        <f>IF($AV310="","",IF(COUNTIF(LISTS!$C$2:$C$250,$AU310)=0,"NEW",""))</f>
        <v/>
      </c>
      <c r="BA310" s="2" t="str">
        <f>IF(""&amp;$F310&lt;&gt;"4","",IF($AY310="YES","",IF(ROUND(SUMIFS($AE$2:$AE$4001,$L$2:$L$4001,$L310,$F$2:$F$4001,"4")-SUMIFS('AR SALES'!$Y$2:$Y$2501,'AR SALES'!$L$2:$L$2501,$L310,'AR SALES'!$AD$2:$AD$2501,"OFF"),2)=0,"","STALE")))</f>
        <v/>
      </c>
      <c r="BB310" s="2" t="str">
        <f>IF(OR(""&amp;$F310="2",""&amp;$F310="4",""&amp;$F310="G",""&amp;$F310="H"),IF($AY310="YES","",IF($AB310&lt;&gt;0,"",IF(COUNTIFS('AR SALES'!$L$2:$L$2501,$L310,'AR SALES'!$AD$2:$AD$2501,IF(""&amp;$F310="4","OFF","ON"),'AR SALES'!$AF$2:$AF$2501,"Y")&gt;0,"","NO EXEMPTION"))),"")</f>
        <v/>
      </c>
    </row>
    <row r="311" spans="46:54" x14ac:dyDescent="0.25">
      <c r="AT311" s="2" t="str">
        <f>IF($L311="","",IFERROR(INDEX('AR SALES'!$H$2:$H$2501,MATCH(""&amp;$L311,'AR SALES'!$AE$2:$AE$2501,0)),""))</f>
        <v/>
      </c>
      <c r="AU311" s="2" t="str">
        <f t="shared" si="16"/>
        <v/>
      </c>
      <c r="AV311" s="2" t="str">
        <f t="shared" si="17"/>
        <v/>
      </c>
      <c r="AW311" s="2" t="str">
        <f t="shared" si="18"/>
        <v/>
      </c>
      <c r="AX311" s="2" t="str">
        <f t="shared" si="19"/>
        <v/>
      </c>
      <c r="AY311" s="2" t="str">
        <f>IF($AV311="","",IF(AND($Z311=0,COUNTIF('AR SALES'!$L$2:$L$2501,$L311)=0),"YES",""))</f>
        <v/>
      </c>
      <c r="AZ311" s="2" t="str">
        <f>IF($AV311="","",IF(COUNTIF(LISTS!$C$2:$C$250,$AU311)=0,"NEW",""))</f>
        <v/>
      </c>
      <c r="BA311" s="2" t="str">
        <f>IF(""&amp;$F311&lt;&gt;"4","",IF($AY311="YES","",IF(ROUND(SUMIFS($AE$2:$AE$4001,$L$2:$L$4001,$L311,$F$2:$F$4001,"4")-SUMIFS('AR SALES'!$Y$2:$Y$2501,'AR SALES'!$L$2:$L$2501,$L311,'AR SALES'!$AD$2:$AD$2501,"OFF"),2)=0,"","STALE")))</f>
        <v/>
      </c>
      <c r="BB311" s="2" t="str">
        <f>IF(OR(""&amp;$F311="2",""&amp;$F311="4",""&amp;$F311="G",""&amp;$F311="H"),IF($AY311="YES","",IF($AB311&lt;&gt;0,"",IF(COUNTIFS('AR SALES'!$L$2:$L$2501,$L311,'AR SALES'!$AD$2:$AD$2501,IF(""&amp;$F311="4","OFF","ON"),'AR SALES'!$AF$2:$AF$2501,"Y")&gt;0,"","NO EXEMPTION"))),"")</f>
        <v/>
      </c>
    </row>
    <row r="312" spans="46:54" x14ac:dyDescent="0.25">
      <c r="AT312" s="2" t="str">
        <f>IF($L312="","",IFERROR(INDEX('AR SALES'!$H$2:$H$2501,MATCH(""&amp;$L312,'AR SALES'!$AE$2:$AE$2501,0)),""))</f>
        <v/>
      </c>
      <c r="AU312" s="2" t="str">
        <f t="shared" si="16"/>
        <v/>
      </c>
      <c r="AV312" s="2" t="str">
        <f t="shared" si="17"/>
        <v/>
      </c>
      <c r="AW312" s="2" t="str">
        <f t="shared" si="18"/>
        <v/>
      </c>
      <c r="AX312" s="2" t="str">
        <f t="shared" si="19"/>
        <v/>
      </c>
      <c r="AY312" s="2" t="str">
        <f>IF($AV312="","",IF(AND($Z312=0,COUNTIF('AR SALES'!$L$2:$L$2501,$L312)=0),"YES",""))</f>
        <v/>
      </c>
      <c r="AZ312" s="2" t="str">
        <f>IF($AV312="","",IF(COUNTIF(LISTS!$C$2:$C$250,$AU312)=0,"NEW",""))</f>
        <v/>
      </c>
      <c r="BA312" s="2" t="str">
        <f>IF(""&amp;$F312&lt;&gt;"4","",IF($AY312="YES","",IF(ROUND(SUMIFS($AE$2:$AE$4001,$L$2:$L$4001,$L312,$F$2:$F$4001,"4")-SUMIFS('AR SALES'!$Y$2:$Y$2501,'AR SALES'!$L$2:$L$2501,$L312,'AR SALES'!$AD$2:$AD$2501,"OFF"),2)=0,"","STALE")))</f>
        <v/>
      </c>
      <c r="BB312" s="2" t="str">
        <f>IF(OR(""&amp;$F312="2",""&amp;$F312="4",""&amp;$F312="G",""&amp;$F312="H"),IF($AY312="YES","",IF($AB312&lt;&gt;0,"",IF(COUNTIFS('AR SALES'!$L$2:$L$2501,$L312,'AR SALES'!$AD$2:$AD$2501,IF(""&amp;$F312="4","OFF","ON"),'AR SALES'!$AF$2:$AF$2501,"Y")&gt;0,"","NO EXEMPTION"))),"")</f>
        <v/>
      </c>
    </row>
    <row r="313" spans="46:54" x14ac:dyDescent="0.25">
      <c r="AT313" s="2" t="str">
        <f>IF($L313="","",IFERROR(INDEX('AR SALES'!$H$2:$H$2501,MATCH(""&amp;$L313,'AR SALES'!$AE$2:$AE$2501,0)),""))</f>
        <v/>
      </c>
      <c r="AU313" s="2" t="str">
        <f t="shared" si="16"/>
        <v/>
      </c>
      <c r="AV313" s="2" t="str">
        <f t="shared" si="17"/>
        <v/>
      </c>
      <c r="AW313" s="2" t="str">
        <f t="shared" si="18"/>
        <v/>
      </c>
      <c r="AX313" s="2" t="str">
        <f t="shared" si="19"/>
        <v/>
      </c>
      <c r="AY313" s="2" t="str">
        <f>IF($AV313="","",IF(AND($Z313=0,COUNTIF('AR SALES'!$L$2:$L$2501,$L313)=0),"YES",""))</f>
        <v/>
      </c>
      <c r="AZ313" s="2" t="str">
        <f>IF($AV313="","",IF(COUNTIF(LISTS!$C$2:$C$250,$AU313)=0,"NEW",""))</f>
        <v/>
      </c>
      <c r="BA313" s="2" t="str">
        <f>IF(""&amp;$F313&lt;&gt;"4","",IF($AY313="YES","",IF(ROUND(SUMIFS($AE$2:$AE$4001,$L$2:$L$4001,$L313,$F$2:$F$4001,"4")-SUMIFS('AR SALES'!$Y$2:$Y$2501,'AR SALES'!$L$2:$L$2501,$L313,'AR SALES'!$AD$2:$AD$2501,"OFF"),2)=0,"","STALE")))</f>
        <v/>
      </c>
      <c r="BB313" s="2" t="str">
        <f>IF(OR(""&amp;$F313="2",""&amp;$F313="4",""&amp;$F313="G",""&amp;$F313="H"),IF($AY313="YES","",IF($AB313&lt;&gt;0,"",IF(COUNTIFS('AR SALES'!$L$2:$L$2501,$L313,'AR SALES'!$AD$2:$AD$2501,IF(""&amp;$F313="4","OFF","ON"),'AR SALES'!$AF$2:$AF$2501,"Y")&gt;0,"","NO EXEMPTION"))),"")</f>
        <v/>
      </c>
    </row>
    <row r="314" spans="46:54" x14ac:dyDescent="0.25">
      <c r="AT314" s="2" t="str">
        <f>IF($L314="","",IFERROR(INDEX('AR SALES'!$H$2:$H$2501,MATCH(""&amp;$L314,'AR SALES'!$AE$2:$AE$2501,0)),""))</f>
        <v/>
      </c>
      <c r="AU314" s="2" t="str">
        <f t="shared" si="16"/>
        <v/>
      </c>
      <c r="AV314" s="2" t="str">
        <f t="shared" si="17"/>
        <v/>
      </c>
      <c r="AW314" s="2" t="str">
        <f t="shared" si="18"/>
        <v/>
      </c>
      <c r="AX314" s="2" t="str">
        <f t="shared" si="19"/>
        <v/>
      </c>
      <c r="AY314" s="2" t="str">
        <f>IF($AV314="","",IF(AND($Z314=0,COUNTIF('AR SALES'!$L$2:$L$2501,$L314)=0),"YES",""))</f>
        <v/>
      </c>
      <c r="AZ314" s="2" t="str">
        <f>IF($AV314="","",IF(COUNTIF(LISTS!$C$2:$C$250,$AU314)=0,"NEW",""))</f>
        <v/>
      </c>
      <c r="BA314" s="2" t="str">
        <f>IF(""&amp;$F314&lt;&gt;"4","",IF($AY314="YES","",IF(ROUND(SUMIFS($AE$2:$AE$4001,$L$2:$L$4001,$L314,$F$2:$F$4001,"4")-SUMIFS('AR SALES'!$Y$2:$Y$2501,'AR SALES'!$L$2:$L$2501,$L314,'AR SALES'!$AD$2:$AD$2501,"OFF"),2)=0,"","STALE")))</f>
        <v/>
      </c>
      <c r="BB314" s="2" t="str">
        <f>IF(OR(""&amp;$F314="2",""&amp;$F314="4",""&amp;$F314="G",""&amp;$F314="H"),IF($AY314="YES","",IF($AB314&lt;&gt;0,"",IF(COUNTIFS('AR SALES'!$L$2:$L$2501,$L314,'AR SALES'!$AD$2:$AD$2501,IF(""&amp;$F314="4","OFF","ON"),'AR SALES'!$AF$2:$AF$2501,"Y")&gt;0,"","NO EXEMPTION"))),"")</f>
        <v/>
      </c>
    </row>
    <row r="315" spans="46:54" x14ac:dyDescent="0.25">
      <c r="AT315" s="2" t="str">
        <f>IF($L315="","",IFERROR(INDEX('AR SALES'!$H$2:$H$2501,MATCH(""&amp;$L315,'AR SALES'!$AE$2:$AE$2501,0)),""))</f>
        <v/>
      </c>
      <c r="AU315" s="2" t="str">
        <f t="shared" si="16"/>
        <v/>
      </c>
      <c r="AV315" s="2" t="str">
        <f t="shared" si="17"/>
        <v/>
      </c>
      <c r="AW315" s="2" t="str">
        <f t="shared" si="18"/>
        <v/>
      </c>
      <c r="AX315" s="2" t="str">
        <f t="shared" si="19"/>
        <v/>
      </c>
      <c r="AY315" s="2" t="str">
        <f>IF($AV315="","",IF(AND($Z315=0,COUNTIF('AR SALES'!$L$2:$L$2501,$L315)=0),"YES",""))</f>
        <v/>
      </c>
      <c r="AZ315" s="2" t="str">
        <f>IF($AV315="","",IF(COUNTIF(LISTS!$C$2:$C$250,$AU315)=0,"NEW",""))</f>
        <v/>
      </c>
      <c r="BA315" s="2" t="str">
        <f>IF(""&amp;$F315&lt;&gt;"4","",IF($AY315="YES","",IF(ROUND(SUMIFS($AE$2:$AE$4001,$L$2:$L$4001,$L315,$F$2:$F$4001,"4")-SUMIFS('AR SALES'!$Y$2:$Y$2501,'AR SALES'!$L$2:$L$2501,$L315,'AR SALES'!$AD$2:$AD$2501,"OFF"),2)=0,"","STALE")))</f>
        <v/>
      </c>
      <c r="BB315" s="2" t="str">
        <f>IF(OR(""&amp;$F315="2",""&amp;$F315="4",""&amp;$F315="G",""&amp;$F315="H"),IF($AY315="YES","",IF($AB315&lt;&gt;0,"",IF(COUNTIFS('AR SALES'!$L$2:$L$2501,$L315,'AR SALES'!$AD$2:$AD$2501,IF(""&amp;$F315="4","OFF","ON"),'AR SALES'!$AF$2:$AF$2501,"Y")&gt;0,"","NO EXEMPTION"))),"")</f>
        <v/>
      </c>
    </row>
    <row r="316" spans="46:54" x14ac:dyDescent="0.25">
      <c r="AT316" s="2" t="str">
        <f>IF($L316="","",IFERROR(INDEX('AR SALES'!$H$2:$H$2501,MATCH(""&amp;$L316,'AR SALES'!$AE$2:$AE$2501,0)),""))</f>
        <v/>
      </c>
      <c r="AU316" s="2" t="str">
        <f t="shared" si="16"/>
        <v/>
      </c>
      <c r="AV316" s="2" t="str">
        <f t="shared" si="17"/>
        <v/>
      </c>
      <c r="AW316" s="2" t="str">
        <f t="shared" si="18"/>
        <v/>
      </c>
      <c r="AX316" s="2" t="str">
        <f t="shared" si="19"/>
        <v/>
      </c>
      <c r="AY316" s="2" t="str">
        <f>IF($AV316="","",IF(AND($Z316=0,COUNTIF('AR SALES'!$L$2:$L$2501,$L316)=0),"YES",""))</f>
        <v/>
      </c>
      <c r="AZ316" s="2" t="str">
        <f>IF($AV316="","",IF(COUNTIF(LISTS!$C$2:$C$250,$AU316)=0,"NEW",""))</f>
        <v/>
      </c>
      <c r="BA316" s="2" t="str">
        <f>IF(""&amp;$F316&lt;&gt;"4","",IF($AY316="YES","",IF(ROUND(SUMIFS($AE$2:$AE$4001,$L$2:$L$4001,$L316,$F$2:$F$4001,"4")-SUMIFS('AR SALES'!$Y$2:$Y$2501,'AR SALES'!$L$2:$L$2501,$L316,'AR SALES'!$AD$2:$AD$2501,"OFF"),2)=0,"","STALE")))</f>
        <v/>
      </c>
      <c r="BB316" s="2" t="str">
        <f>IF(OR(""&amp;$F316="2",""&amp;$F316="4",""&amp;$F316="G",""&amp;$F316="H"),IF($AY316="YES","",IF($AB316&lt;&gt;0,"",IF(COUNTIFS('AR SALES'!$L$2:$L$2501,$L316,'AR SALES'!$AD$2:$AD$2501,IF(""&amp;$F316="4","OFF","ON"),'AR SALES'!$AF$2:$AF$2501,"Y")&gt;0,"","NO EXEMPTION"))),"")</f>
        <v/>
      </c>
    </row>
    <row r="317" spans="46:54" x14ac:dyDescent="0.25">
      <c r="AT317" s="2" t="str">
        <f>IF($L317="","",IFERROR(INDEX('AR SALES'!$H$2:$H$2501,MATCH(""&amp;$L317,'AR SALES'!$AE$2:$AE$2501,0)),""))</f>
        <v/>
      </c>
      <c r="AU317" s="2" t="str">
        <f t="shared" si="16"/>
        <v/>
      </c>
      <c r="AV317" s="2" t="str">
        <f t="shared" si="17"/>
        <v/>
      </c>
      <c r="AW317" s="2" t="str">
        <f t="shared" si="18"/>
        <v/>
      </c>
      <c r="AX317" s="2" t="str">
        <f t="shared" si="19"/>
        <v/>
      </c>
      <c r="AY317" s="2" t="str">
        <f>IF($AV317="","",IF(AND($Z317=0,COUNTIF('AR SALES'!$L$2:$L$2501,$L317)=0),"YES",""))</f>
        <v/>
      </c>
      <c r="AZ317" s="2" t="str">
        <f>IF($AV317="","",IF(COUNTIF(LISTS!$C$2:$C$250,$AU317)=0,"NEW",""))</f>
        <v/>
      </c>
      <c r="BA317" s="2" t="str">
        <f>IF(""&amp;$F317&lt;&gt;"4","",IF($AY317="YES","",IF(ROUND(SUMIFS($AE$2:$AE$4001,$L$2:$L$4001,$L317,$F$2:$F$4001,"4")-SUMIFS('AR SALES'!$Y$2:$Y$2501,'AR SALES'!$L$2:$L$2501,$L317,'AR SALES'!$AD$2:$AD$2501,"OFF"),2)=0,"","STALE")))</f>
        <v/>
      </c>
      <c r="BB317" s="2" t="str">
        <f>IF(OR(""&amp;$F317="2",""&amp;$F317="4",""&amp;$F317="G",""&amp;$F317="H"),IF($AY317="YES","",IF($AB317&lt;&gt;0,"",IF(COUNTIFS('AR SALES'!$L$2:$L$2501,$L317,'AR SALES'!$AD$2:$AD$2501,IF(""&amp;$F317="4","OFF","ON"),'AR SALES'!$AF$2:$AF$2501,"Y")&gt;0,"","NO EXEMPTION"))),"")</f>
        <v/>
      </c>
    </row>
    <row r="318" spans="46:54" x14ac:dyDescent="0.25">
      <c r="AT318" s="2" t="str">
        <f>IF($L318="","",IFERROR(INDEX('AR SALES'!$H$2:$H$2501,MATCH(""&amp;$L318,'AR SALES'!$AE$2:$AE$2501,0)),""))</f>
        <v/>
      </c>
      <c r="AU318" s="2" t="str">
        <f t="shared" si="16"/>
        <v/>
      </c>
      <c r="AV318" s="2" t="str">
        <f t="shared" si="17"/>
        <v/>
      </c>
      <c r="AW318" s="2" t="str">
        <f t="shared" si="18"/>
        <v/>
      </c>
      <c r="AX318" s="2" t="str">
        <f t="shared" si="19"/>
        <v/>
      </c>
      <c r="AY318" s="2" t="str">
        <f>IF($AV318="","",IF(AND($Z318=0,COUNTIF('AR SALES'!$L$2:$L$2501,$L318)=0),"YES",""))</f>
        <v/>
      </c>
      <c r="AZ318" s="2" t="str">
        <f>IF($AV318="","",IF(COUNTIF(LISTS!$C$2:$C$250,$AU318)=0,"NEW",""))</f>
        <v/>
      </c>
      <c r="BA318" s="2" t="str">
        <f>IF(""&amp;$F318&lt;&gt;"4","",IF($AY318="YES","",IF(ROUND(SUMIFS($AE$2:$AE$4001,$L$2:$L$4001,$L318,$F$2:$F$4001,"4")-SUMIFS('AR SALES'!$Y$2:$Y$2501,'AR SALES'!$L$2:$L$2501,$L318,'AR SALES'!$AD$2:$AD$2501,"OFF"),2)=0,"","STALE")))</f>
        <v/>
      </c>
      <c r="BB318" s="2" t="str">
        <f>IF(OR(""&amp;$F318="2",""&amp;$F318="4",""&amp;$F318="G",""&amp;$F318="H"),IF($AY318="YES","",IF($AB318&lt;&gt;0,"",IF(COUNTIFS('AR SALES'!$L$2:$L$2501,$L318,'AR SALES'!$AD$2:$AD$2501,IF(""&amp;$F318="4","OFF","ON"),'AR SALES'!$AF$2:$AF$2501,"Y")&gt;0,"","NO EXEMPTION"))),"")</f>
        <v/>
      </c>
    </row>
    <row r="319" spans="46:54" x14ac:dyDescent="0.25">
      <c r="AT319" s="2" t="str">
        <f>IF($L319="","",IFERROR(INDEX('AR SALES'!$H$2:$H$2501,MATCH(""&amp;$L319,'AR SALES'!$AE$2:$AE$2501,0)),""))</f>
        <v/>
      </c>
      <c r="AU319" s="2" t="str">
        <f t="shared" si="16"/>
        <v/>
      </c>
      <c r="AV319" s="2" t="str">
        <f t="shared" si="17"/>
        <v/>
      </c>
      <c r="AW319" s="2" t="str">
        <f t="shared" si="18"/>
        <v/>
      </c>
      <c r="AX319" s="2" t="str">
        <f t="shared" si="19"/>
        <v/>
      </c>
      <c r="AY319" s="2" t="str">
        <f>IF($AV319="","",IF(AND($Z319=0,COUNTIF('AR SALES'!$L$2:$L$2501,$L319)=0),"YES",""))</f>
        <v/>
      </c>
      <c r="AZ319" s="2" t="str">
        <f>IF($AV319="","",IF(COUNTIF(LISTS!$C$2:$C$250,$AU319)=0,"NEW",""))</f>
        <v/>
      </c>
      <c r="BA319" s="2" t="str">
        <f>IF(""&amp;$F319&lt;&gt;"4","",IF($AY319="YES","",IF(ROUND(SUMIFS($AE$2:$AE$4001,$L$2:$L$4001,$L319,$F$2:$F$4001,"4")-SUMIFS('AR SALES'!$Y$2:$Y$2501,'AR SALES'!$L$2:$L$2501,$L319,'AR SALES'!$AD$2:$AD$2501,"OFF"),2)=0,"","STALE")))</f>
        <v/>
      </c>
      <c r="BB319" s="2" t="str">
        <f>IF(OR(""&amp;$F319="2",""&amp;$F319="4",""&amp;$F319="G",""&amp;$F319="H"),IF($AY319="YES","",IF($AB319&lt;&gt;0,"",IF(COUNTIFS('AR SALES'!$L$2:$L$2501,$L319,'AR SALES'!$AD$2:$AD$2501,IF(""&amp;$F319="4","OFF","ON"),'AR SALES'!$AF$2:$AF$2501,"Y")&gt;0,"","NO EXEMPTION"))),"")</f>
        <v/>
      </c>
    </row>
    <row r="320" spans="46:54" x14ac:dyDescent="0.25">
      <c r="AT320" s="2" t="str">
        <f>IF($L320="","",IFERROR(INDEX('AR SALES'!$H$2:$H$2501,MATCH(""&amp;$L320,'AR SALES'!$AE$2:$AE$2501,0)),""))</f>
        <v/>
      </c>
      <c r="AU320" s="2" t="str">
        <f t="shared" si="16"/>
        <v/>
      </c>
      <c r="AV320" s="2" t="str">
        <f t="shared" si="17"/>
        <v/>
      </c>
      <c r="AW320" s="2" t="str">
        <f t="shared" si="18"/>
        <v/>
      </c>
      <c r="AX320" s="2" t="str">
        <f t="shared" si="19"/>
        <v/>
      </c>
      <c r="AY320" s="2" t="str">
        <f>IF($AV320="","",IF(AND($Z320=0,COUNTIF('AR SALES'!$L$2:$L$2501,$L320)=0),"YES",""))</f>
        <v/>
      </c>
      <c r="AZ320" s="2" t="str">
        <f>IF($AV320="","",IF(COUNTIF(LISTS!$C$2:$C$250,$AU320)=0,"NEW",""))</f>
        <v/>
      </c>
      <c r="BA320" s="2" t="str">
        <f>IF(""&amp;$F320&lt;&gt;"4","",IF($AY320="YES","",IF(ROUND(SUMIFS($AE$2:$AE$4001,$L$2:$L$4001,$L320,$F$2:$F$4001,"4")-SUMIFS('AR SALES'!$Y$2:$Y$2501,'AR SALES'!$L$2:$L$2501,$L320,'AR SALES'!$AD$2:$AD$2501,"OFF"),2)=0,"","STALE")))</f>
        <v/>
      </c>
      <c r="BB320" s="2" t="str">
        <f>IF(OR(""&amp;$F320="2",""&amp;$F320="4",""&amp;$F320="G",""&amp;$F320="H"),IF($AY320="YES","",IF($AB320&lt;&gt;0,"",IF(COUNTIFS('AR SALES'!$L$2:$L$2501,$L320,'AR SALES'!$AD$2:$AD$2501,IF(""&amp;$F320="4","OFF","ON"),'AR SALES'!$AF$2:$AF$2501,"Y")&gt;0,"","NO EXEMPTION"))),"")</f>
        <v/>
      </c>
    </row>
    <row r="321" spans="46:54" x14ac:dyDescent="0.25">
      <c r="AT321" s="2" t="str">
        <f>IF($L321="","",IFERROR(INDEX('AR SALES'!$H$2:$H$2501,MATCH(""&amp;$L321,'AR SALES'!$AE$2:$AE$2501,0)),""))</f>
        <v/>
      </c>
      <c r="AU321" s="2" t="str">
        <f t="shared" si="16"/>
        <v/>
      </c>
      <c r="AV321" s="2" t="str">
        <f t="shared" si="17"/>
        <v/>
      </c>
      <c r="AW321" s="2" t="str">
        <f t="shared" si="18"/>
        <v/>
      </c>
      <c r="AX321" s="2" t="str">
        <f t="shared" si="19"/>
        <v/>
      </c>
      <c r="AY321" s="2" t="str">
        <f>IF($AV321="","",IF(AND($Z321=0,COUNTIF('AR SALES'!$L$2:$L$2501,$L321)=0),"YES",""))</f>
        <v/>
      </c>
      <c r="AZ321" s="2" t="str">
        <f>IF($AV321="","",IF(COUNTIF(LISTS!$C$2:$C$250,$AU321)=0,"NEW",""))</f>
        <v/>
      </c>
      <c r="BA321" s="2" t="str">
        <f>IF(""&amp;$F321&lt;&gt;"4","",IF($AY321="YES","",IF(ROUND(SUMIFS($AE$2:$AE$4001,$L$2:$L$4001,$L321,$F$2:$F$4001,"4")-SUMIFS('AR SALES'!$Y$2:$Y$2501,'AR SALES'!$L$2:$L$2501,$L321,'AR SALES'!$AD$2:$AD$2501,"OFF"),2)=0,"","STALE")))</f>
        <v/>
      </c>
      <c r="BB321" s="2" t="str">
        <f>IF(OR(""&amp;$F321="2",""&amp;$F321="4",""&amp;$F321="G",""&amp;$F321="H"),IF($AY321="YES","",IF($AB321&lt;&gt;0,"",IF(COUNTIFS('AR SALES'!$L$2:$L$2501,$L321,'AR SALES'!$AD$2:$AD$2501,IF(""&amp;$F321="4","OFF","ON"),'AR SALES'!$AF$2:$AF$2501,"Y")&gt;0,"","NO EXEMPTION"))),"")</f>
        <v/>
      </c>
    </row>
    <row r="322" spans="46:54" x14ac:dyDescent="0.25">
      <c r="AT322" s="2" t="str">
        <f>IF($L322="","",IFERROR(INDEX('AR SALES'!$H$2:$H$2501,MATCH(""&amp;$L322,'AR SALES'!$AE$2:$AE$2501,0)),""))</f>
        <v/>
      </c>
      <c r="AU322" s="2" t="str">
        <f t="shared" ref="AU322:AU385" si="20">IF($L322="","",IF($A322&lt;&gt;"GA","",IF($E322="FULTON",IF(ISNUMBER(SEARCH("COLLEGE PARK",$AT322)),"FULTON (COLLEGE PARK)",IF(ISNUMBER(SEARCH("ATLANTA CITY",$AT322)),"FULTON (ATL LIMITS)","FULTON")),IF($E322="DEKALB",IF(ISNUMBER(SEARCH("ATLANTA CITY",$AT322)),"DEKALB (ATL LIMITS)","DEKALB"),$E322))))</f>
        <v/>
      </c>
      <c r="AV322" s="2" t="str">
        <f t="shared" ref="AV322:AV385" si="21">IF($L322="","",IF(""&amp;$F322="2","DIESEL",IF(OR(""&amp;$F322="G",""&amp;$F322="H"),"GAS","")))</f>
        <v/>
      </c>
      <c r="AW322" s="2" t="str">
        <f t="shared" ref="AW322:AW385" si="22">IF($AV322="","",$R322)</f>
        <v/>
      </c>
      <c r="AX322" s="2" t="str">
        <f t="shared" ref="AX322:AX385" si="23">IF($AV322="","",IF($AB322=0,$R322,0))</f>
        <v/>
      </c>
      <c r="AY322" s="2" t="str">
        <f>IF($AV322="","",IF(AND($Z322=0,COUNTIF('AR SALES'!$L$2:$L$2501,$L322)=0),"YES",""))</f>
        <v/>
      </c>
      <c r="AZ322" s="2" t="str">
        <f>IF($AV322="","",IF(COUNTIF(LISTS!$C$2:$C$250,$AU322)=0,"NEW",""))</f>
        <v/>
      </c>
      <c r="BA322" s="2" t="str">
        <f>IF(""&amp;$F322&lt;&gt;"4","",IF($AY322="YES","",IF(ROUND(SUMIFS($AE$2:$AE$4001,$L$2:$L$4001,$L322,$F$2:$F$4001,"4")-SUMIFS('AR SALES'!$Y$2:$Y$2501,'AR SALES'!$L$2:$L$2501,$L322,'AR SALES'!$AD$2:$AD$2501,"OFF"),2)=0,"","STALE")))</f>
        <v/>
      </c>
      <c r="BB322" s="2" t="str">
        <f>IF(OR(""&amp;$F322="2",""&amp;$F322="4",""&amp;$F322="G",""&amp;$F322="H"),IF($AY322="YES","",IF($AB322&lt;&gt;0,"",IF(COUNTIFS('AR SALES'!$L$2:$L$2501,$L322,'AR SALES'!$AD$2:$AD$2501,IF(""&amp;$F322="4","OFF","ON"),'AR SALES'!$AF$2:$AF$2501,"Y")&gt;0,"","NO EXEMPTION"))),"")</f>
        <v/>
      </c>
    </row>
    <row r="323" spans="46:54" x14ac:dyDescent="0.25">
      <c r="AT323" s="2" t="str">
        <f>IF($L323="","",IFERROR(INDEX('AR SALES'!$H$2:$H$2501,MATCH(""&amp;$L323,'AR SALES'!$AE$2:$AE$2501,0)),""))</f>
        <v/>
      </c>
      <c r="AU323" s="2" t="str">
        <f t="shared" si="20"/>
        <v/>
      </c>
      <c r="AV323" s="2" t="str">
        <f t="shared" si="21"/>
        <v/>
      </c>
      <c r="AW323" s="2" t="str">
        <f t="shared" si="22"/>
        <v/>
      </c>
      <c r="AX323" s="2" t="str">
        <f t="shared" si="23"/>
        <v/>
      </c>
      <c r="AY323" s="2" t="str">
        <f>IF($AV323="","",IF(AND($Z323=0,COUNTIF('AR SALES'!$L$2:$L$2501,$L323)=0),"YES",""))</f>
        <v/>
      </c>
      <c r="AZ323" s="2" t="str">
        <f>IF($AV323="","",IF(COUNTIF(LISTS!$C$2:$C$250,$AU323)=0,"NEW",""))</f>
        <v/>
      </c>
      <c r="BA323" s="2" t="str">
        <f>IF(""&amp;$F323&lt;&gt;"4","",IF($AY323="YES","",IF(ROUND(SUMIFS($AE$2:$AE$4001,$L$2:$L$4001,$L323,$F$2:$F$4001,"4")-SUMIFS('AR SALES'!$Y$2:$Y$2501,'AR SALES'!$L$2:$L$2501,$L323,'AR SALES'!$AD$2:$AD$2501,"OFF"),2)=0,"","STALE")))</f>
        <v/>
      </c>
      <c r="BB323" s="2" t="str">
        <f>IF(OR(""&amp;$F323="2",""&amp;$F323="4",""&amp;$F323="G",""&amp;$F323="H"),IF($AY323="YES","",IF($AB323&lt;&gt;0,"",IF(COUNTIFS('AR SALES'!$L$2:$L$2501,$L323,'AR SALES'!$AD$2:$AD$2501,IF(""&amp;$F323="4","OFF","ON"),'AR SALES'!$AF$2:$AF$2501,"Y")&gt;0,"","NO EXEMPTION"))),"")</f>
        <v/>
      </c>
    </row>
    <row r="324" spans="46:54" x14ac:dyDescent="0.25">
      <c r="AT324" s="2" t="str">
        <f>IF($L324="","",IFERROR(INDEX('AR SALES'!$H$2:$H$2501,MATCH(""&amp;$L324,'AR SALES'!$AE$2:$AE$2501,0)),""))</f>
        <v/>
      </c>
      <c r="AU324" s="2" t="str">
        <f t="shared" si="20"/>
        <v/>
      </c>
      <c r="AV324" s="2" t="str">
        <f t="shared" si="21"/>
        <v/>
      </c>
      <c r="AW324" s="2" t="str">
        <f t="shared" si="22"/>
        <v/>
      </c>
      <c r="AX324" s="2" t="str">
        <f t="shared" si="23"/>
        <v/>
      </c>
      <c r="AY324" s="2" t="str">
        <f>IF($AV324="","",IF(AND($Z324=0,COUNTIF('AR SALES'!$L$2:$L$2501,$L324)=0),"YES",""))</f>
        <v/>
      </c>
      <c r="AZ324" s="2" t="str">
        <f>IF($AV324="","",IF(COUNTIF(LISTS!$C$2:$C$250,$AU324)=0,"NEW",""))</f>
        <v/>
      </c>
      <c r="BA324" s="2" t="str">
        <f>IF(""&amp;$F324&lt;&gt;"4","",IF($AY324="YES","",IF(ROUND(SUMIFS($AE$2:$AE$4001,$L$2:$L$4001,$L324,$F$2:$F$4001,"4")-SUMIFS('AR SALES'!$Y$2:$Y$2501,'AR SALES'!$L$2:$L$2501,$L324,'AR SALES'!$AD$2:$AD$2501,"OFF"),2)=0,"","STALE")))</f>
        <v/>
      </c>
      <c r="BB324" s="2" t="str">
        <f>IF(OR(""&amp;$F324="2",""&amp;$F324="4",""&amp;$F324="G",""&amp;$F324="H"),IF($AY324="YES","",IF($AB324&lt;&gt;0,"",IF(COUNTIFS('AR SALES'!$L$2:$L$2501,$L324,'AR SALES'!$AD$2:$AD$2501,IF(""&amp;$F324="4","OFF","ON"),'AR SALES'!$AF$2:$AF$2501,"Y")&gt;0,"","NO EXEMPTION"))),"")</f>
        <v/>
      </c>
    </row>
    <row r="325" spans="46:54" x14ac:dyDescent="0.25">
      <c r="AT325" s="2" t="str">
        <f>IF($L325="","",IFERROR(INDEX('AR SALES'!$H$2:$H$2501,MATCH(""&amp;$L325,'AR SALES'!$AE$2:$AE$2501,0)),""))</f>
        <v/>
      </c>
      <c r="AU325" s="2" t="str">
        <f t="shared" si="20"/>
        <v/>
      </c>
      <c r="AV325" s="2" t="str">
        <f t="shared" si="21"/>
        <v/>
      </c>
      <c r="AW325" s="2" t="str">
        <f t="shared" si="22"/>
        <v/>
      </c>
      <c r="AX325" s="2" t="str">
        <f t="shared" si="23"/>
        <v/>
      </c>
      <c r="AY325" s="2" t="str">
        <f>IF($AV325="","",IF(AND($Z325=0,COUNTIF('AR SALES'!$L$2:$L$2501,$L325)=0),"YES",""))</f>
        <v/>
      </c>
      <c r="AZ325" s="2" t="str">
        <f>IF($AV325="","",IF(COUNTIF(LISTS!$C$2:$C$250,$AU325)=0,"NEW",""))</f>
        <v/>
      </c>
      <c r="BA325" s="2" t="str">
        <f>IF(""&amp;$F325&lt;&gt;"4","",IF($AY325="YES","",IF(ROUND(SUMIFS($AE$2:$AE$4001,$L$2:$L$4001,$L325,$F$2:$F$4001,"4")-SUMIFS('AR SALES'!$Y$2:$Y$2501,'AR SALES'!$L$2:$L$2501,$L325,'AR SALES'!$AD$2:$AD$2501,"OFF"),2)=0,"","STALE")))</f>
        <v/>
      </c>
      <c r="BB325" s="2" t="str">
        <f>IF(OR(""&amp;$F325="2",""&amp;$F325="4",""&amp;$F325="G",""&amp;$F325="H"),IF($AY325="YES","",IF($AB325&lt;&gt;0,"",IF(COUNTIFS('AR SALES'!$L$2:$L$2501,$L325,'AR SALES'!$AD$2:$AD$2501,IF(""&amp;$F325="4","OFF","ON"),'AR SALES'!$AF$2:$AF$2501,"Y")&gt;0,"","NO EXEMPTION"))),"")</f>
        <v/>
      </c>
    </row>
    <row r="326" spans="46:54" x14ac:dyDescent="0.25">
      <c r="AT326" s="2" t="str">
        <f>IF($L326="","",IFERROR(INDEX('AR SALES'!$H$2:$H$2501,MATCH(""&amp;$L326,'AR SALES'!$AE$2:$AE$2501,0)),""))</f>
        <v/>
      </c>
      <c r="AU326" s="2" t="str">
        <f t="shared" si="20"/>
        <v/>
      </c>
      <c r="AV326" s="2" t="str">
        <f t="shared" si="21"/>
        <v/>
      </c>
      <c r="AW326" s="2" t="str">
        <f t="shared" si="22"/>
        <v/>
      </c>
      <c r="AX326" s="2" t="str">
        <f t="shared" si="23"/>
        <v/>
      </c>
      <c r="AY326" s="2" t="str">
        <f>IF($AV326="","",IF(AND($Z326=0,COUNTIF('AR SALES'!$L$2:$L$2501,$L326)=0),"YES",""))</f>
        <v/>
      </c>
      <c r="AZ326" s="2" t="str">
        <f>IF($AV326="","",IF(COUNTIF(LISTS!$C$2:$C$250,$AU326)=0,"NEW",""))</f>
        <v/>
      </c>
      <c r="BA326" s="2" t="str">
        <f>IF(""&amp;$F326&lt;&gt;"4","",IF($AY326="YES","",IF(ROUND(SUMIFS($AE$2:$AE$4001,$L$2:$L$4001,$L326,$F$2:$F$4001,"4")-SUMIFS('AR SALES'!$Y$2:$Y$2501,'AR SALES'!$L$2:$L$2501,$L326,'AR SALES'!$AD$2:$AD$2501,"OFF"),2)=0,"","STALE")))</f>
        <v/>
      </c>
      <c r="BB326" s="2" t="str">
        <f>IF(OR(""&amp;$F326="2",""&amp;$F326="4",""&amp;$F326="G",""&amp;$F326="H"),IF($AY326="YES","",IF($AB326&lt;&gt;0,"",IF(COUNTIFS('AR SALES'!$L$2:$L$2501,$L326,'AR SALES'!$AD$2:$AD$2501,IF(""&amp;$F326="4","OFF","ON"),'AR SALES'!$AF$2:$AF$2501,"Y")&gt;0,"","NO EXEMPTION"))),"")</f>
        <v/>
      </c>
    </row>
    <row r="327" spans="46:54" x14ac:dyDescent="0.25">
      <c r="AT327" s="2" t="str">
        <f>IF($L327="","",IFERROR(INDEX('AR SALES'!$H$2:$H$2501,MATCH(""&amp;$L327,'AR SALES'!$AE$2:$AE$2501,0)),""))</f>
        <v/>
      </c>
      <c r="AU327" s="2" t="str">
        <f t="shared" si="20"/>
        <v/>
      </c>
      <c r="AV327" s="2" t="str">
        <f t="shared" si="21"/>
        <v/>
      </c>
      <c r="AW327" s="2" t="str">
        <f t="shared" si="22"/>
        <v/>
      </c>
      <c r="AX327" s="2" t="str">
        <f t="shared" si="23"/>
        <v/>
      </c>
      <c r="AY327" s="2" t="str">
        <f>IF($AV327="","",IF(AND($Z327=0,COUNTIF('AR SALES'!$L$2:$L$2501,$L327)=0),"YES",""))</f>
        <v/>
      </c>
      <c r="AZ327" s="2" t="str">
        <f>IF($AV327="","",IF(COUNTIF(LISTS!$C$2:$C$250,$AU327)=0,"NEW",""))</f>
        <v/>
      </c>
      <c r="BA327" s="2" t="str">
        <f>IF(""&amp;$F327&lt;&gt;"4","",IF($AY327="YES","",IF(ROUND(SUMIFS($AE$2:$AE$4001,$L$2:$L$4001,$L327,$F$2:$F$4001,"4")-SUMIFS('AR SALES'!$Y$2:$Y$2501,'AR SALES'!$L$2:$L$2501,$L327,'AR SALES'!$AD$2:$AD$2501,"OFF"),2)=0,"","STALE")))</f>
        <v/>
      </c>
      <c r="BB327" s="2" t="str">
        <f>IF(OR(""&amp;$F327="2",""&amp;$F327="4",""&amp;$F327="G",""&amp;$F327="H"),IF($AY327="YES","",IF($AB327&lt;&gt;0,"",IF(COUNTIFS('AR SALES'!$L$2:$L$2501,$L327,'AR SALES'!$AD$2:$AD$2501,IF(""&amp;$F327="4","OFF","ON"),'AR SALES'!$AF$2:$AF$2501,"Y")&gt;0,"","NO EXEMPTION"))),"")</f>
        <v/>
      </c>
    </row>
    <row r="328" spans="46:54" x14ac:dyDescent="0.25">
      <c r="AT328" s="2" t="str">
        <f>IF($L328="","",IFERROR(INDEX('AR SALES'!$H$2:$H$2501,MATCH(""&amp;$L328,'AR SALES'!$AE$2:$AE$2501,0)),""))</f>
        <v/>
      </c>
      <c r="AU328" s="2" t="str">
        <f t="shared" si="20"/>
        <v/>
      </c>
      <c r="AV328" s="2" t="str">
        <f t="shared" si="21"/>
        <v/>
      </c>
      <c r="AW328" s="2" t="str">
        <f t="shared" si="22"/>
        <v/>
      </c>
      <c r="AX328" s="2" t="str">
        <f t="shared" si="23"/>
        <v/>
      </c>
      <c r="AY328" s="2" t="str">
        <f>IF($AV328="","",IF(AND($Z328=0,COUNTIF('AR SALES'!$L$2:$L$2501,$L328)=0),"YES",""))</f>
        <v/>
      </c>
      <c r="AZ328" s="2" t="str">
        <f>IF($AV328="","",IF(COUNTIF(LISTS!$C$2:$C$250,$AU328)=0,"NEW",""))</f>
        <v/>
      </c>
      <c r="BA328" s="2" t="str">
        <f>IF(""&amp;$F328&lt;&gt;"4","",IF($AY328="YES","",IF(ROUND(SUMIFS($AE$2:$AE$4001,$L$2:$L$4001,$L328,$F$2:$F$4001,"4")-SUMIFS('AR SALES'!$Y$2:$Y$2501,'AR SALES'!$L$2:$L$2501,$L328,'AR SALES'!$AD$2:$AD$2501,"OFF"),2)=0,"","STALE")))</f>
        <v/>
      </c>
      <c r="BB328" s="2" t="str">
        <f>IF(OR(""&amp;$F328="2",""&amp;$F328="4",""&amp;$F328="G",""&amp;$F328="H"),IF($AY328="YES","",IF($AB328&lt;&gt;0,"",IF(COUNTIFS('AR SALES'!$L$2:$L$2501,$L328,'AR SALES'!$AD$2:$AD$2501,IF(""&amp;$F328="4","OFF","ON"),'AR SALES'!$AF$2:$AF$2501,"Y")&gt;0,"","NO EXEMPTION"))),"")</f>
        <v/>
      </c>
    </row>
    <row r="329" spans="46:54" x14ac:dyDescent="0.25">
      <c r="AT329" s="2" t="str">
        <f>IF($L329="","",IFERROR(INDEX('AR SALES'!$H$2:$H$2501,MATCH(""&amp;$L329,'AR SALES'!$AE$2:$AE$2501,0)),""))</f>
        <v/>
      </c>
      <c r="AU329" s="2" t="str">
        <f t="shared" si="20"/>
        <v/>
      </c>
      <c r="AV329" s="2" t="str">
        <f t="shared" si="21"/>
        <v/>
      </c>
      <c r="AW329" s="2" t="str">
        <f t="shared" si="22"/>
        <v/>
      </c>
      <c r="AX329" s="2" t="str">
        <f t="shared" si="23"/>
        <v/>
      </c>
      <c r="AY329" s="2" t="str">
        <f>IF($AV329="","",IF(AND($Z329=0,COUNTIF('AR SALES'!$L$2:$L$2501,$L329)=0),"YES",""))</f>
        <v/>
      </c>
      <c r="AZ329" s="2" t="str">
        <f>IF($AV329="","",IF(COUNTIF(LISTS!$C$2:$C$250,$AU329)=0,"NEW",""))</f>
        <v/>
      </c>
      <c r="BA329" s="2" t="str">
        <f>IF(""&amp;$F329&lt;&gt;"4","",IF($AY329="YES","",IF(ROUND(SUMIFS($AE$2:$AE$4001,$L$2:$L$4001,$L329,$F$2:$F$4001,"4")-SUMIFS('AR SALES'!$Y$2:$Y$2501,'AR SALES'!$L$2:$L$2501,$L329,'AR SALES'!$AD$2:$AD$2501,"OFF"),2)=0,"","STALE")))</f>
        <v/>
      </c>
      <c r="BB329" s="2" t="str">
        <f>IF(OR(""&amp;$F329="2",""&amp;$F329="4",""&amp;$F329="G",""&amp;$F329="H"),IF($AY329="YES","",IF($AB329&lt;&gt;0,"",IF(COUNTIFS('AR SALES'!$L$2:$L$2501,$L329,'AR SALES'!$AD$2:$AD$2501,IF(""&amp;$F329="4","OFF","ON"),'AR SALES'!$AF$2:$AF$2501,"Y")&gt;0,"","NO EXEMPTION"))),"")</f>
        <v/>
      </c>
    </row>
    <row r="330" spans="46:54" x14ac:dyDescent="0.25">
      <c r="AT330" s="2" t="str">
        <f>IF($L330="","",IFERROR(INDEX('AR SALES'!$H$2:$H$2501,MATCH(""&amp;$L330,'AR SALES'!$AE$2:$AE$2501,0)),""))</f>
        <v/>
      </c>
      <c r="AU330" s="2" t="str">
        <f t="shared" si="20"/>
        <v/>
      </c>
      <c r="AV330" s="2" t="str">
        <f t="shared" si="21"/>
        <v/>
      </c>
      <c r="AW330" s="2" t="str">
        <f t="shared" si="22"/>
        <v/>
      </c>
      <c r="AX330" s="2" t="str">
        <f t="shared" si="23"/>
        <v/>
      </c>
      <c r="AY330" s="2" t="str">
        <f>IF($AV330="","",IF(AND($Z330=0,COUNTIF('AR SALES'!$L$2:$L$2501,$L330)=0),"YES",""))</f>
        <v/>
      </c>
      <c r="AZ330" s="2" t="str">
        <f>IF($AV330="","",IF(COUNTIF(LISTS!$C$2:$C$250,$AU330)=0,"NEW",""))</f>
        <v/>
      </c>
      <c r="BA330" s="2" t="str">
        <f>IF(""&amp;$F330&lt;&gt;"4","",IF($AY330="YES","",IF(ROUND(SUMIFS($AE$2:$AE$4001,$L$2:$L$4001,$L330,$F$2:$F$4001,"4")-SUMIFS('AR SALES'!$Y$2:$Y$2501,'AR SALES'!$L$2:$L$2501,$L330,'AR SALES'!$AD$2:$AD$2501,"OFF"),2)=0,"","STALE")))</f>
        <v/>
      </c>
      <c r="BB330" s="2" t="str">
        <f>IF(OR(""&amp;$F330="2",""&amp;$F330="4",""&amp;$F330="G",""&amp;$F330="H"),IF($AY330="YES","",IF($AB330&lt;&gt;0,"",IF(COUNTIFS('AR SALES'!$L$2:$L$2501,$L330,'AR SALES'!$AD$2:$AD$2501,IF(""&amp;$F330="4","OFF","ON"),'AR SALES'!$AF$2:$AF$2501,"Y")&gt;0,"","NO EXEMPTION"))),"")</f>
        <v/>
      </c>
    </row>
    <row r="331" spans="46:54" x14ac:dyDescent="0.25">
      <c r="AT331" s="2" t="str">
        <f>IF($L331="","",IFERROR(INDEX('AR SALES'!$H$2:$H$2501,MATCH(""&amp;$L331,'AR SALES'!$AE$2:$AE$2501,0)),""))</f>
        <v/>
      </c>
      <c r="AU331" s="2" t="str">
        <f t="shared" si="20"/>
        <v/>
      </c>
      <c r="AV331" s="2" t="str">
        <f t="shared" si="21"/>
        <v/>
      </c>
      <c r="AW331" s="2" t="str">
        <f t="shared" si="22"/>
        <v/>
      </c>
      <c r="AX331" s="2" t="str">
        <f t="shared" si="23"/>
        <v/>
      </c>
      <c r="AY331" s="2" t="str">
        <f>IF($AV331="","",IF(AND($Z331=0,COUNTIF('AR SALES'!$L$2:$L$2501,$L331)=0),"YES",""))</f>
        <v/>
      </c>
      <c r="AZ331" s="2" t="str">
        <f>IF($AV331="","",IF(COUNTIF(LISTS!$C$2:$C$250,$AU331)=0,"NEW",""))</f>
        <v/>
      </c>
      <c r="BA331" s="2" t="str">
        <f>IF(""&amp;$F331&lt;&gt;"4","",IF($AY331="YES","",IF(ROUND(SUMIFS($AE$2:$AE$4001,$L$2:$L$4001,$L331,$F$2:$F$4001,"4")-SUMIFS('AR SALES'!$Y$2:$Y$2501,'AR SALES'!$L$2:$L$2501,$L331,'AR SALES'!$AD$2:$AD$2501,"OFF"),2)=0,"","STALE")))</f>
        <v/>
      </c>
      <c r="BB331" s="2" t="str">
        <f>IF(OR(""&amp;$F331="2",""&amp;$F331="4",""&amp;$F331="G",""&amp;$F331="H"),IF($AY331="YES","",IF($AB331&lt;&gt;0,"",IF(COUNTIFS('AR SALES'!$L$2:$L$2501,$L331,'AR SALES'!$AD$2:$AD$2501,IF(""&amp;$F331="4","OFF","ON"),'AR SALES'!$AF$2:$AF$2501,"Y")&gt;0,"","NO EXEMPTION"))),"")</f>
        <v/>
      </c>
    </row>
    <row r="332" spans="46:54" x14ac:dyDescent="0.25">
      <c r="AT332" s="2" t="str">
        <f>IF($L332="","",IFERROR(INDEX('AR SALES'!$H$2:$H$2501,MATCH(""&amp;$L332,'AR SALES'!$AE$2:$AE$2501,0)),""))</f>
        <v/>
      </c>
      <c r="AU332" s="2" t="str">
        <f t="shared" si="20"/>
        <v/>
      </c>
      <c r="AV332" s="2" t="str">
        <f t="shared" si="21"/>
        <v/>
      </c>
      <c r="AW332" s="2" t="str">
        <f t="shared" si="22"/>
        <v/>
      </c>
      <c r="AX332" s="2" t="str">
        <f t="shared" si="23"/>
        <v/>
      </c>
      <c r="AY332" s="2" t="str">
        <f>IF($AV332="","",IF(AND($Z332=0,COUNTIF('AR SALES'!$L$2:$L$2501,$L332)=0),"YES",""))</f>
        <v/>
      </c>
      <c r="AZ332" s="2" t="str">
        <f>IF($AV332="","",IF(COUNTIF(LISTS!$C$2:$C$250,$AU332)=0,"NEW",""))</f>
        <v/>
      </c>
      <c r="BA332" s="2" t="str">
        <f>IF(""&amp;$F332&lt;&gt;"4","",IF($AY332="YES","",IF(ROUND(SUMIFS($AE$2:$AE$4001,$L$2:$L$4001,$L332,$F$2:$F$4001,"4")-SUMIFS('AR SALES'!$Y$2:$Y$2501,'AR SALES'!$L$2:$L$2501,$L332,'AR SALES'!$AD$2:$AD$2501,"OFF"),2)=0,"","STALE")))</f>
        <v/>
      </c>
      <c r="BB332" s="2" t="str">
        <f>IF(OR(""&amp;$F332="2",""&amp;$F332="4",""&amp;$F332="G",""&amp;$F332="H"),IF($AY332="YES","",IF($AB332&lt;&gt;0,"",IF(COUNTIFS('AR SALES'!$L$2:$L$2501,$L332,'AR SALES'!$AD$2:$AD$2501,IF(""&amp;$F332="4","OFF","ON"),'AR SALES'!$AF$2:$AF$2501,"Y")&gt;0,"","NO EXEMPTION"))),"")</f>
        <v/>
      </c>
    </row>
    <row r="333" spans="46:54" x14ac:dyDescent="0.25">
      <c r="AT333" s="2" t="str">
        <f>IF($L333="","",IFERROR(INDEX('AR SALES'!$H$2:$H$2501,MATCH(""&amp;$L333,'AR SALES'!$AE$2:$AE$2501,0)),""))</f>
        <v/>
      </c>
      <c r="AU333" s="2" t="str">
        <f t="shared" si="20"/>
        <v/>
      </c>
      <c r="AV333" s="2" t="str">
        <f t="shared" si="21"/>
        <v/>
      </c>
      <c r="AW333" s="2" t="str">
        <f t="shared" si="22"/>
        <v/>
      </c>
      <c r="AX333" s="2" t="str">
        <f t="shared" si="23"/>
        <v/>
      </c>
      <c r="AY333" s="2" t="str">
        <f>IF($AV333="","",IF(AND($Z333=0,COUNTIF('AR SALES'!$L$2:$L$2501,$L333)=0),"YES",""))</f>
        <v/>
      </c>
      <c r="AZ333" s="2" t="str">
        <f>IF($AV333="","",IF(COUNTIF(LISTS!$C$2:$C$250,$AU333)=0,"NEW",""))</f>
        <v/>
      </c>
      <c r="BA333" s="2" t="str">
        <f>IF(""&amp;$F333&lt;&gt;"4","",IF($AY333="YES","",IF(ROUND(SUMIFS($AE$2:$AE$4001,$L$2:$L$4001,$L333,$F$2:$F$4001,"4")-SUMIFS('AR SALES'!$Y$2:$Y$2501,'AR SALES'!$L$2:$L$2501,$L333,'AR SALES'!$AD$2:$AD$2501,"OFF"),2)=0,"","STALE")))</f>
        <v/>
      </c>
      <c r="BB333" s="2" t="str">
        <f>IF(OR(""&amp;$F333="2",""&amp;$F333="4",""&amp;$F333="G",""&amp;$F333="H"),IF($AY333="YES","",IF($AB333&lt;&gt;0,"",IF(COUNTIFS('AR SALES'!$L$2:$L$2501,$L333,'AR SALES'!$AD$2:$AD$2501,IF(""&amp;$F333="4","OFF","ON"),'AR SALES'!$AF$2:$AF$2501,"Y")&gt;0,"","NO EXEMPTION"))),"")</f>
        <v/>
      </c>
    </row>
    <row r="334" spans="46:54" x14ac:dyDescent="0.25">
      <c r="AT334" s="2" t="str">
        <f>IF($L334="","",IFERROR(INDEX('AR SALES'!$H$2:$H$2501,MATCH(""&amp;$L334,'AR SALES'!$AE$2:$AE$2501,0)),""))</f>
        <v/>
      </c>
      <c r="AU334" s="2" t="str">
        <f t="shared" si="20"/>
        <v/>
      </c>
      <c r="AV334" s="2" t="str">
        <f t="shared" si="21"/>
        <v/>
      </c>
      <c r="AW334" s="2" t="str">
        <f t="shared" si="22"/>
        <v/>
      </c>
      <c r="AX334" s="2" t="str">
        <f t="shared" si="23"/>
        <v/>
      </c>
      <c r="AY334" s="2" t="str">
        <f>IF($AV334="","",IF(AND($Z334=0,COUNTIF('AR SALES'!$L$2:$L$2501,$L334)=0),"YES",""))</f>
        <v/>
      </c>
      <c r="AZ334" s="2" t="str">
        <f>IF($AV334="","",IF(COUNTIF(LISTS!$C$2:$C$250,$AU334)=0,"NEW",""))</f>
        <v/>
      </c>
      <c r="BA334" s="2" t="str">
        <f>IF(""&amp;$F334&lt;&gt;"4","",IF($AY334="YES","",IF(ROUND(SUMIFS($AE$2:$AE$4001,$L$2:$L$4001,$L334,$F$2:$F$4001,"4")-SUMIFS('AR SALES'!$Y$2:$Y$2501,'AR SALES'!$L$2:$L$2501,$L334,'AR SALES'!$AD$2:$AD$2501,"OFF"),2)=0,"","STALE")))</f>
        <v/>
      </c>
      <c r="BB334" s="2" t="str">
        <f>IF(OR(""&amp;$F334="2",""&amp;$F334="4",""&amp;$F334="G",""&amp;$F334="H"),IF($AY334="YES","",IF($AB334&lt;&gt;0,"",IF(COUNTIFS('AR SALES'!$L$2:$L$2501,$L334,'AR SALES'!$AD$2:$AD$2501,IF(""&amp;$F334="4","OFF","ON"),'AR SALES'!$AF$2:$AF$2501,"Y")&gt;0,"","NO EXEMPTION"))),"")</f>
        <v/>
      </c>
    </row>
    <row r="335" spans="46:54" x14ac:dyDescent="0.25">
      <c r="AT335" s="2" t="str">
        <f>IF($L335="","",IFERROR(INDEX('AR SALES'!$H$2:$H$2501,MATCH(""&amp;$L335,'AR SALES'!$AE$2:$AE$2501,0)),""))</f>
        <v/>
      </c>
      <c r="AU335" s="2" t="str">
        <f t="shared" si="20"/>
        <v/>
      </c>
      <c r="AV335" s="2" t="str">
        <f t="shared" si="21"/>
        <v/>
      </c>
      <c r="AW335" s="2" t="str">
        <f t="shared" si="22"/>
        <v/>
      </c>
      <c r="AX335" s="2" t="str">
        <f t="shared" si="23"/>
        <v/>
      </c>
      <c r="AY335" s="2" t="str">
        <f>IF($AV335="","",IF(AND($Z335=0,COUNTIF('AR SALES'!$L$2:$L$2501,$L335)=0),"YES",""))</f>
        <v/>
      </c>
      <c r="AZ335" s="2" t="str">
        <f>IF($AV335="","",IF(COUNTIF(LISTS!$C$2:$C$250,$AU335)=0,"NEW",""))</f>
        <v/>
      </c>
      <c r="BA335" s="2" t="str">
        <f>IF(""&amp;$F335&lt;&gt;"4","",IF($AY335="YES","",IF(ROUND(SUMIFS($AE$2:$AE$4001,$L$2:$L$4001,$L335,$F$2:$F$4001,"4")-SUMIFS('AR SALES'!$Y$2:$Y$2501,'AR SALES'!$L$2:$L$2501,$L335,'AR SALES'!$AD$2:$AD$2501,"OFF"),2)=0,"","STALE")))</f>
        <v/>
      </c>
      <c r="BB335" s="2" t="str">
        <f>IF(OR(""&amp;$F335="2",""&amp;$F335="4",""&amp;$F335="G",""&amp;$F335="H"),IF($AY335="YES","",IF($AB335&lt;&gt;0,"",IF(COUNTIFS('AR SALES'!$L$2:$L$2501,$L335,'AR SALES'!$AD$2:$AD$2501,IF(""&amp;$F335="4","OFF","ON"),'AR SALES'!$AF$2:$AF$2501,"Y")&gt;0,"","NO EXEMPTION"))),"")</f>
        <v/>
      </c>
    </row>
    <row r="336" spans="46:54" x14ac:dyDescent="0.25">
      <c r="AT336" s="2" t="str">
        <f>IF($L336="","",IFERROR(INDEX('AR SALES'!$H$2:$H$2501,MATCH(""&amp;$L336,'AR SALES'!$AE$2:$AE$2501,0)),""))</f>
        <v/>
      </c>
      <c r="AU336" s="2" t="str">
        <f t="shared" si="20"/>
        <v/>
      </c>
      <c r="AV336" s="2" t="str">
        <f t="shared" si="21"/>
        <v/>
      </c>
      <c r="AW336" s="2" t="str">
        <f t="shared" si="22"/>
        <v/>
      </c>
      <c r="AX336" s="2" t="str">
        <f t="shared" si="23"/>
        <v/>
      </c>
      <c r="AY336" s="2" t="str">
        <f>IF($AV336="","",IF(AND($Z336=0,COUNTIF('AR SALES'!$L$2:$L$2501,$L336)=0),"YES",""))</f>
        <v/>
      </c>
      <c r="AZ336" s="2" t="str">
        <f>IF($AV336="","",IF(COUNTIF(LISTS!$C$2:$C$250,$AU336)=0,"NEW",""))</f>
        <v/>
      </c>
      <c r="BA336" s="2" t="str">
        <f>IF(""&amp;$F336&lt;&gt;"4","",IF($AY336="YES","",IF(ROUND(SUMIFS($AE$2:$AE$4001,$L$2:$L$4001,$L336,$F$2:$F$4001,"4")-SUMIFS('AR SALES'!$Y$2:$Y$2501,'AR SALES'!$L$2:$L$2501,$L336,'AR SALES'!$AD$2:$AD$2501,"OFF"),2)=0,"","STALE")))</f>
        <v/>
      </c>
      <c r="BB336" s="2" t="str">
        <f>IF(OR(""&amp;$F336="2",""&amp;$F336="4",""&amp;$F336="G",""&amp;$F336="H"),IF($AY336="YES","",IF($AB336&lt;&gt;0,"",IF(COUNTIFS('AR SALES'!$L$2:$L$2501,$L336,'AR SALES'!$AD$2:$AD$2501,IF(""&amp;$F336="4","OFF","ON"),'AR SALES'!$AF$2:$AF$2501,"Y")&gt;0,"","NO EXEMPTION"))),"")</f>
        <v/>
      </c>
    </row>
    <row r="337" spans="46:54" x14ac:dyDescent="0.25">
      <c r="AT337" s="2" t="str">
        <f>IF($L337="","",IFERROR(INDEX('AR SALES'!$H$2:$H$2501,MATCH(""&amp;$L337,'AR SALES'!$AE$2:$AE$2501,0)),""))</f>
        <v/>
      </c>
      <c r="AU337" s="2" t="str">
        <f t="shared" si="20"/>
        <v/>
      </c>
      <c r="AV337" s="2" t="str">
        <f t="shared" si="21"/>
        <v/>
      </c>
      <c r="AW337" s="2" t="str">
        <f t="shared" si="22"/>
        <v/>
      </c>
      <c r="AX337" s="2" t="str">
        <f t="shared" si="23"/>
        <v/>
      </c>
      <c r="AY337" s="2" t="str">
        <f>IF($AV337="","",IF(AND($Z337=0,COUNTIF('AR SALES'!$L$2:$L$2501,$L337)=0),"YES",""))</f>
        <v/>
      </c>
      <c r="AZ337" s="2" t="str">
        <f>IF($AV337="","",IF(COUNTIF(LISTS!$C$2:$C$250,$AU337)=0,"NEW",""))</f>
        <v/>
      </c>
      <c r="BA337" s="2" t="str">
        <f>IF(""&amp;$F337&lt;&gt;"4","",IF($AY337="YES","",IF(ROUND(SUMIFS($AE$2:$AE$4001,$L$2:$L$4001,$L337,$F$2:$F$4001,"4")-SUMIFS('AR SALES'!$Y$2:$Y$2501,'AR SALES'!$L$2:$L$2501,$L337,'AR SALES'!$AD$2:$AD$2501,"OFF"),2)=0,"","STALE")))</f>
        <v/>
      </c>
      <c r="BB337" s="2" t="str">
        <f>IF(OR(""&amp;$F337="2",""&amp;$F337="4",""&amp;$F337="G",""&amp;$F337="H"),IF($AY337="YES","",IF($AB337&lt;&gt;0,"",IF(COUNTIFS('AR SALES'!$L$2:$L$2501,$L337,'AR SALES'!$AD$2:$AD$2501,IF(""&amp;$F337="4","OFF","ON"),'AR SALES'!$AF$2:$AF$2501,"Y")&gt;0,"","NO EXEMPTION"))),"")</f>
        <v/>
      </c>
    </row>
    <row r="338" spans="46:54" x14ac:dyDescent="0.25">
      <c r="AT338" s="2" t="str">
        <f>IF($L338="","",IFERROR(INDEX('AR SALES'!$H$2:$H$2501,MATCH(""&amp;$L338,'AR SALES'!$AE$2:$AE$2501,0)),""))</f>
        <v/>
      </c>
      <c r="AU338" s="2" t="str">
        <f t="shared" si="20"/>
        <v/>
      </c>
      <c r="AV338" s="2" t="str">
        <f t="shared" si="21"/>
        <v/>
      </c>
      <c r="AW338" s="2" t="str">
        <f t="shared" si="22"/>
        <v/>
      </c>
      <c r="AX338" s="2" t="str">
        <f t="shared" si="23"/>
        <v/>
      </c>
      <c r="AY338" s="2" t="str">
        <f>IF($AV338="","",IF(AND($Z338=0,COUNTIF('AR SALES'!$L$2:$L$2501,$L338)=0),"YES",""))</f>
        <v/>
      </c>
      <c r="AZ338" s="2" t="str">
        <f>IF($AV338="","",IF(COUNTIF(LISTS!$C$2:$C$250,$AU338)=0,"NEW",""))</f>
        <v/>
      </c>
      <c r="BA338" s="2" t="str">
        <f>IF(""&amp;$F338&lt;&gt;"4","",IF($AY338="YES","",IF(ROUND(SUMIFS($AE$2:$AE$4001,$L$2:$L$4001,$L338,$F$2:$F$4001,"4")-SUMIFS('AR SALES'!$Y$2:$Y$2501,'AR SALES'!$L$2:$L$2501,$L338,'AR SALES'!$AD$2:$AD$2501,"OFF"),2)=0,"","STALE")))</f>
        <v/>
      </c>
      <c r="BB338" s="2" t="str">
        <f>IF(OR(""&amp;$F338="2",""&amp;$F338="4",""&amp;$F338="G",""&amp;$F338="H"),IF($AY338="YES","",IF($AB338&lt;&gt;0,"",IF(COUNTIFS('AR SALES'!$L$2:$L$2501,$L338,'AR SALES'!$AD$2:$AD$2501,IF(""&amp;$F338="4","OFF","ON"),'AR SALES'!$AF$2:$AF$2501,"Y")&gt;0,"","NO EXEMPTION"))),"")</f>
        <v/>
      </c>
    </row>
    <row r="339" spans="46:54" x14ac:dyDescent="0.25">
      <c r="AT339" s="2" t="str">
        <f>IF($L339="","",IFERROR(INDEX('AR SALES'!$H$2:$H$2501,MATCH(""&amp;$L339,'AR SALES'!$AE$2:$AE$2501,0)),""))</f>
        <v/>
      </c>
      <c r="AU339" s="2" t="str">
        <f t="shared" si="20"/>
        <v/>
      </c>
      <c r="AV339" s="2" t="str">
        <f t="shared" si="21"/>
        <v/>
      </c>
      <c r="AW339" s="2" t="str">
        <f t="shared" si="22"/>
        <v/>
      </c>
      <c r="AX339" s="2" t="str">
        <f t="shared" si="23"/>
        <v/>
      </c>
      <c r="AY339" s="2" t="str">
        <f>IF($AV339="","",IF(AND($Z339=0,COUNTIF('AR SALES'!$L$2:$L$2501,$L339)=0),"YES",""))</f>
        <v/>
      </c>
      <c r="AZ339" s="2" t="str">
        <f>IF($AV339="","",IF(COUNTIF(LISTS!$C$2:$C$250,$AU339)=0,"NEW",""))</f>
        <v/>
      </c>
      <c r="BA339" s="2" t="str">
        <f>IF(""&amp;$F339&lt;&gt;"4","",IF($AY339="YES","",IF(ROUND(SUMIFS($AE$2:$AE$4001,$L$2:$L$4001,$L339,$F$2:$F$4001,"4")-SUMIFS('AR SALES'!$Y$2:$Y$2501,'AR SALES'!$L$2:$L$2501,$L339,'AR SALES'!$AD$2:$AD$2501,"OFF"),2)=0,"","STALE")))</f>
        <v/>
      </c>
      <c r="BB339" s="2" t="str">
        <f>IF(OR(""&amp;$F339="2",""&amp;$F339="4",""&amp;$F339="G",""&amp;$F339="H"),IF($AY339="YES","",IF($AB339&lt;&gt;0,"",IF(COUNTIFS('AR SALES'!$L$2:$L$2501,$L339,'AR SALES'!$AD$2:$AD$2501,IF(""&amp;$F339="4","OFF","ON"),'AR SALES'!$AF$2:$AF$2501,"Y")&gt;0,"","NO EXEMPTION"))),"")</f>
        <v/>
      </c>
    </row>
    <row r="340" spans="46:54" x14ac:dyDescent="0.25">
      <c r="AT340" s="2" t="str">
        <f>IF($L340="","",IFERROR(INDEX('AR SALES'!$H$2:$H$2501,MATCH(""&amp;$L340,'AR SALES'!$AE$2:$AE$2501,0)),""))</f>
        <v/>
      </c>
      <c r="AU340" s="2" t="str">
        <f t="shared" si="20"/>
        <v/>
      </c>
      <c r="AV340" s="2" t="str">
        <f t="shared" si="21"/>
        <v/>
      </c>
      <c r="AW340" s="2" t="str">
        <f t="shared" si="22"/>
        <v/>
      </c>
      <c r="AX340" s="2" t="str">
        <f t="shared" si="23"/>
        <v/>
      </c>
      <c r="AY340" s="2" t="str">
        <f>IF($AV340="","",IF(AND($Z340=0,COUNTIF('AR SALES'!$L$2:$L$2501,$L340)=0),"YES",""))</f>
        <v/>
      </c>
      <c r="AZ340" s="2" t="str">
        <f>IF($AV340="","",IF(COUNTIF(LISTS!$C$2:$C$250,$AU340)=0,"NEW",""))</f>
        <v/>
      </c>
      <c r="BA340" s="2" t="str">
        <f>IF(""&amp;$F340&lt;&gt;"4","",IF($AY340="YES","",IF(ROUND(SUMIFS($AE$2:$AE$4001,$L$2:$L$4001,$L340,$F$2:$F$4001,"4")-SUMIFS('AR SALES'!$Y$2:$Y$2501,'AR SALES'!$L$2:$L$2501,$L340,'AR SALES'!$AD$2:$AD$2501,"OFF"),2)=0,"","STALE")))</f>
        <v/>
      </c>
      <c r="BB340" s="2" t="str">
        <f>IF(OR(""&amp;$F340="2",""&amp;$F340="4",""&amp;$F340="G",""&amp;$F340="H"),IF($AY340="YES","",IF($AB340&lt;&gt;0,"",IF(COUNTIFS('AR SALES'!$L$2:$L$2501,$L340,'AR SALES'!$AD$2:$AD$2501,IF(""&amp;$F340="4","OFF","ON"),'AR SALES'!$AF$2:$AF$2501,"Y")&gt;0,"","NO EXEMPTION"))),"")</f>
        <v/>
      </c>
    </row>
    <row r="341" spans="46:54" x14ac:dyDescent="0.25">
      <c r="AT341" s="2" t="str">
        <f>IF($L341="","",IFERROR(INDEX('AR SALES'!$H$2:$H$2501,MATCH(""&amp;$L341,'AR SALES'!$AE$2:$AE$2501,0)),""))</f>
        <v/>
      </c>
      <c r="AU341" s="2" t="str">
        <f t="shared" si="20"/>
        <v/>
      </c>
      <c r="AV341" s="2" t="str">
        <f t="shared" si="21"/>
        <v/>
      </c>
      <c r="AW341" s="2" t="str">
        <f t="shared" si="22"/>
        <v/>
      </c>
      <c r="AX341" s="2" t="str">
        <f t="shared" si="23"/>
        <v/>
      </c>
      <c r="AY341" s="2" t="str">
        <f>IF($AV341="","",IF(AND($Z341=0,COUNTIF('AR SALES'!$L$2:$L$2501,$L341)=0),"YES",""))</f>
        <v/>
      </c>
      <c r="AZ341" s="2" t="str">
        <f>IF($AV341="","",IF(COUNTIF(LISTS!$C$2:$C$250,$AU341)=0,"NEW",""))</f>
        <v/>
      </c>
      <c r="BA341" s="2" t="str">
        <f>IF(""&amp;$F341&lt;&gt;"4","",IF($AY341="YES","",IF(ROUND(SUMIFS($AE$2:$AE$4001,$L$2:$L$4001,$L341,$F$2:$F$4001,"4")-SUMIFS('AR SALES'!$Y$2:$Y$2501,'AR SALES'!$L$2:$L$2501,$L341,'AR SALES'!$AD$2:$AD$2501,"OFF"),2)=0,"","STALE")))</f>
        <v/>
      </c>
      <c r="BB341" s="2" t="str">
        <f>IF(OR(""&amp;$F341="2",""&amp;$F341="4",""&amp;$F341="G",""&amp;$F341="H"),IF($AY341="YES","",IF($AB341&lt;&gt;0,"",IF(COUNTIFS('AR SALES'!$L$2:$L$2501,$L341,'AR SALES'!$AD$2:$AD$2501,IF(""&amp;$F341="4","OFF","ON"),'AR SALES'!$AF$2:$AF$2501,"Y")&gt;0,"","NO EXEMPTION"))),"")</f>
        <v/>
      </c>
    </row>
    <row r="342" spans="46:54" x14ac:dyDescent="0.25">
      <c r="AT342" s="2" t="str">
        <f>IF($L342="","",IFERROR(INDEX('AR SALES'!$H$2:$H$2501,MATCH(""&amp;$L342,'AR SALES'!$AE$2:$AE$2501,0)),""))</f>
        <v/>
      </c>
      <c r="AU342" s="2" t="str">
        <f t="shared" si="20"/>
        <v/>
      </c>
      <c r="AV342" s="2" t="str">
        <f t="shared" si="21"/>
        <v/>
      </c>
      <c r="AW342" s="2" t="str">
        <f t="shared" si="22"/>
        <v/>
      </c>
      <c r="AX342" s="2" t="str">
        <f t="shared" si="23"/>
        <v/>
      </c>
      <c r="AY342" s="2" t="str">
        <f>IF($AV342="","",IF(AND($Z342=0,COUNTIF('AR SALES'!$L$2:$L$2501,$L342)=0),"YES",""))</f>
        <v/>
      </c>
      <c r="AZ342" s="2" t="str">
        <f>IF($AV342="","",IF(COUNTIF(LISTS!$C$2:$C$250,$AU342)=0,"NEW",""))</f>
        <v/>
      </c>
      <c r="BA342" s="2" t="str">
        <f>IF(""&amp;$F342&lt;&gt;"4","",IF($AY342="YES","",IF(ROUND(SUMIFS($AE$2:$AE$4001,$L$2:$L$4001,$L342,$F$2:$F$4001,"4")-SUMIFS('AR SALES'!$Y$2:$Y$2501,'AR SALES'!$L$2:$L$2501,$L342,'AR SALES'!$AD$2:$AD$2501,"OFF"),2)=0,"","STALE")))</f>
        <v/>
      </c>
      <c r="BB342" s="2" t="str">
        <f>IF(OR(""&amp;$F342="2",""&amp;$F342="4",""&amp;$F342="G",""&amp;$F342="H"),IF($AY342="YES","",IF($AB342&lt;&gt;0,"",IF(COUNTIFS('AR SALES'!$L$2:$L$2501,$L342,'AR SALES'!$AD$2:$AD$2501,IF(""&amp;$F342="4","OFF","ON"),'AR SALES'!$AF$2:$AF$2501,"Y")&gt;0,"","NO EXEMPTION"))),"")</f>
        <v/>
      </c>
    </row>
    <row r="343" spans="46:54" x14ac:dyDescent="0.25">
      <c r="AT343" s="2" t="str">
        <f>IF($L343="","",IFERROR(INDEX('AR SALES'!$H$2:$H$2501,MATCH(""&amp;$L343,'AR SALES'!$AE$2:$AE$2501,0)),""))</f>
        <v/>
      </c>
      <c r="AU343" s="2" t="str">
        <f t="shared" si="20"/>
        <v/>
      </c>
      <c r="AV343" s="2" t="str">
        <f t="shared" si="21"/>
        <v/>
      </c>
      <c r="AW343" s="2" t="str">
        <f t="shared" si="22"/>
        <v/>
      </c>
      <c r="AX343" s="2" t="str">
        <f t="shared" si="23"/>
        <v/>
      </c>
      <c r="AY343" s="2" t="str">
        <f>IF($AV343="","",IF(AND($Z343=0,COUNTIF('AR SALES'!$L$2:$L$2501,$L343)=0),"YES",""))</f>
        <v/>
      </c>
      <c r="AZ343" s="2" t="str">
        <f>IF($AV343="","",IF(COUNTIF(LISTS!$C$2:$C$250,$AU343)=0,"NEW",""))</f>
        <v/>
      </c>
      <c r="BA343" s="2" t="str">
        <f>IF(""&amp;$F343&lt;&gt;"4","",IF($AY343="YES","",IF(ROUND(SUMIFS($AE$2:$AE$4001,$L$2:$L$4001,$L343,$F$2:$F$4001,"4")-SUMIFS('AR SALES'!$Y$2:$Y$2501,'AR SALES'!$L$2:$L$2501,$L343,'AR SALES'!$AD$2:$AD$2501,"OFF"),2)=0,"","STALE")))</f>
        <v/>
      </c>
      <c r="BB343" s="2" t="str">
        <f>IF(OR(""&amp;$F343="2",""&amp;$F343="4",""&amp;$F343="G",""&amp;$F343="H"),IF($AY343="YES","",IF($AB343&lt;&gt;0,"",IF(COUNTIFS('AR SALES'!$L$2:$L$2501,$L343,'AR SALES'!$AD$2:$AD$2501,IF(""&amp;$F343="4","OFF","ON"),'AR SALES'!$AF$2:$AF$2501,"Y")&gt;0,"","NO EXEMPTION"))),"")</f>
        <v/>
      </c>
    </row>
    <row r="344" spans="46:54" x14ac:dyDescent="0.25">
      <c r="AT344" s="2" t="str">
        <f>IF($L344="","",IFERROR(INDEX('AR SALES'!$H$2:$H$2501,MATCH(""&amp;$L344,'AR SALES'!$AE$2:$AE$2501,0)),""))</f>
        <v/>
      </c>
      <c r="AU344" s="2" t="str">
        <f t="shared" si="20"/>
        <v/>
      </c>
      <c r="AV344" s="2" t="str">
        <f t="shared" si="21"/>
        <v/>
      </c>
      <c r="AW344" s="2" t="str">
        <f t="shared" si="22"/>
        <v/>
      </c>
      <c r="AX344" s="2" t="str">
        <f t="shared" si="23"/>
        <v/>
      </c>
      <c r="AY344" s="2" t="str">
        <f>IF($AV344="","",IF(AND($Z344=0,COUNTIF('AR SALES'!$L$2:$L$2501,$L344)=0),"YES",""))</f>
        <v/>
      </c>
      <c r="AZ344" s="2" t="str">
        <f>IF($AV344="","",IF(COUNTIF(LISTS!$C$2:$C$250,$AU344)=0,"NEW",""))</f>
        <v/>
      </c>
      <c r="BA344" s="2" t="str">
        <f>IF(""&amp;$F344&lt;&gt;"4","",IF($AY344="YES","",IF(ROUND(SUMIFS($AE$2:$AE$4001,$L$2:$L$4001,$L344,$F$2:$F$4001,"4")-SUMIFS('AR SALES'!$Y$2:$Y$2501,'AR SALES'!$L$2:$L$2501,$L344,'AR SALES'!$AD$2:$AD$2501,"OFF"),2)=0,"","STALE")))</f>
        <v/>
      </c>
      <c r="BB344" s="2" t="str">
        <f>IF(OR(""&amp;$F344="2",""&amp;$F344="4",""&amp;$F344="G",""&amp;$F344="H"),IF($AY344="YES","",IF($AB344&lt;&gt;0,"",IF(COUNTIFS('AR SALES'!$L$2:$L$2501,$L344,'AR SALES'!$AD$2:$AD$2501,IF(""&amp;$F344="4","OFF","ON"),'AR SALES'!$AF$2:$AF$2501,"Y")&gt;0,"","NO EXEMPTION"))),"")</f>
        <v/>
      </c>
    </row>
    <row r="345" spans="46:54" x14ac:dyDescent="0.25">
      <c r="AT345" s="2" t="str">
        <f>IF($L345="","",IFERROR(INDEX('AR SALES'!$H$2:$H$2501,MATCH(""&amp;$L345,'AR SALES'!$AE$2:$AE$2501,0)),""))</f>
        <v/>
      </c>
      <c r="AU345" s="2" t="str">
        <f t="shared" si="20"/>
        <v/>
      </c>
      <c r="AV345" s="2" t="str">
        <f t="shared" si="21"/>
        <v/>
      </c>
      <c r="AW345" s="2" t="str">
        <f t="shared" si="22"/>
        <v/>
      </c>
      <c r="AX345" s="2" t="str">
        <f t="shared" si="23"/>
        <v/>
      </c>
      <c r="AY345" s="2" t="str">
        <f>IF($AV345="","",IF(AND($Z345=0,COUNTIF('AR SALES'!$L$2:$L$2501,$L345)=0),"YES",""))</f>
        <v/>
      </c>
      <c r="AZ345" s="2" t="str">
        <f>IF($AV345="","",IF(COUNTIF(LISTS!$C$2:$C$250,$AU345)=0,"NEW",""))</f>
        <v/>
      </c>
      <c r="BA345" s="2" t="str">
        <f>IF(""&amp;$F345&lt;&gt;"4","",IF($AY345="YES","",IF(ROUND(SUMIFS($AE$2:$AE$4001,$L$2:$L$4001,$L345,$F$2:$F$4001,"4")-SUMIFS('AR SALES'!$Y$2:$Y$2501,'AR SALES'!$L$2:$L$2501,$L345,'AR SALES'!$AD$2:$AD$2501,"OFF"),2)=0,"","STALE")))</f>
        <v/>
      </c>
      <c r="BB345" s="2" t="str">
        <f>IF(OR(""&amp;$F345="2",""&amp;$F345="4",""&amp;$F345="G",""&amp;$F345="H"),IF($AY345="YES","",IF($AB345&lt;&gt;0,"",IF(COUNTIFS('AR SALES'!$L$2:$L$2501,$L345,'AR SALES'!$AD$2:$AD$2501,IF(""&amp;$F345="4","OFF","ON"),'AR SALES'!$AF$2:$AF$2501,"Y")&gt;0,"","NO EXEMPTION"))),"")</f>
        <v/>
      </c>
    </row>
    <row r="346" spans="46:54" x14ac:dyDescent="0.25">
      <c r="AT346" s="2" t="str">
        <f>IF($L346="","",IFERROR(INDEX('AR SALES'!$H$2:$H$2501,MATCH(""&amp;$L346,'AR SALES'!$AE$2:$AE$2501,0)),""))</f>
        <v/>
      </c>
      <c r="AU346" s="2" t="str">
        <f t="shared" si="20"/>
        <v/>
      </c>
      <c r="AV346" s="2" t="str">
        <f t="shared" si="21"/>
        <v/>
      </c>
      <c r="AW346" s="2" t="str">
        <f t="shared" si="22"/>
        <v/>
      </c>
      <c r="AX346" s="2" t="str">
        <f t="shared" si="23"/>
        <v/>
      </c>
      <c r="AY346" s="2" t="str">
        <f>IF($AV346="","",IF(AND($Z346=0,COUNTIF('AR SALES'!$L$2:$L$2501,$L346)=0),"YES",""))</f>
        <v/>
      </c>
      <c r="AZ346" s="2" t="str">
        <f>IF($AV346="","",IF(COUNTIF(LISTS!$C$2:$C$250,$AU346)=0,"NEW",""))</f>
        <v/>
      </c>
      <c r="BA346" s="2" t="str">
        <f>IF(""&amp;$F346&lt;&gt;"4","",IF($AY346="YES","",IF(ROUND(SUMIFS($AE$2:$AE$4001,$L$2:$L$4001,$L346,$F$2:$F$4001,"4")-SUMIFS('AR SALES'!$Y$2:$Y$2501,'AR SALES'!$L$2:$L$2501,$L346,'AR SALES'!$AD$2:$AD$2501,"OFF"),2)=0,"","STALE")))</f>
        <v/>
      </c>
      <c r="BB346" s="2" t="str">
        <f>IF(OR(""&amp;$F346="2",""&amp;$F346="4",""&amp;$F346="G",""&amp;$F346="H"),IF($AY346="YES","",IF($AB346&lt;&gt;0,"",IF(COUNTIFS('AR SALES'!$L$2:$L$2501,$L346,'AR SALES'!$AD$2:$AD$2501,IF(""&amp;$F346="4","OFF","ON"),'AR SALES'!$AF$2:$AF$2501,"Y")&gt;0,"","NO EXEMPTION"))),"")</f>
        <v/>
      </c>
    </row>
    <row r="347" spans="46:54" x14ac:dyDescent="0.25">
      <c r="AT347" s="2" t="str">
        <f>IF($L347="","",IFERROR(INDEX('AR SALES'!$H$2:$H$2501,MATCH(""&amp;$L347,'AR SALES'!$AE$2:$AE$2501,0)),""))</f>
        <v/>
      </c>
      <c r="AU347" s="2" t="str">
        <f t="shared" si="20"/>
        <v/>
      </c>
      <c r="AV347" s="2" t="str">
        <f t="shared" si="21"/>
        <v/>
      </c>
      <c r="AW347" s="2" t="str">
        <f t="shared" si="22"/>
        <v/>
      </c>
      <c r="AX347" s="2" t="str">
        <f t="shared" si="23"/>
        <v/>
      </c>
      <c r="AY347" s="2" t="str">
        <f>IF($AV347="","",IF(AND($Z347=0,COUNTIF('AR SALES'!$L$2:$L$2501,$L347)=0),"YES",""))</f>
        <v/>
      </c>
      <c r="AZ347" s="2" t="str">
        <f>IF($AV347="","",IF(COUNTIF(LISTS!$C$2:$C$250,$AU347)=0,"NEW",""))</f>
        <v/>
      </c>
      <c r="BA347" s="2" t="str">
        <f>IF(""&amp;$F347&lt;&gt;"4","",IF($AY347="YES","",IF(ROUND(SUMIFS($AE$2:$AE$4001,$L$2:$L$4001,$L347,$F$2:$F$4001,"4")-SUMIFS('AR SALES'!$Y$2:$Y$2501,'AR SALES'!$L$2:$L$2501,$L347,'AR SALES'!$AD$2:$AD$2501,"OFF"),2)=0,"","STALE")))</f>
        <v/>
      </c>
      <c r="BB347" s="2" t="str">
        <f>IF(OR(""&amp;$F347="2",""&amp;$F347="4",""&amp;$F347="G",""&amp;$F347="H"),IF($AY347="YES","",IF($AB347&lt;&gt;0,"",IF(COUNTIFS('AR SALES'!$L$2:$L$2501,$L347,'AR SALES'!$AD$2:$AD$2501,IF(""&amp;$F347="4","OFF","ON"),'AR SALES'!$AF$2:$AF$2501,"Y")&gt;0,"","NO EXEMPTION"))),"")</f>
        <v/>
      </c>
    </row>
    <row r="348" spans="46:54" x14ac:dyDescent="0.25">
      <c r="AT348" s="2" t="str">
        <f>IF($L348="","",IFERROR(INDEX('AR SALES'!$H$2:$H$2501,MATCH(""&amp;$L348,'AR SALES'!$AE$2:$AE$2501,0)),""))</f>
        <v/>
      </c>
      <c r="AU348" s="2" t="str">
        <f t="shared" si="20"/>
        <v/>
      </c>
      <c r="AV348" s="2" t="str">
        <f t="shared" si="21"/>
        <v/>
      </c>
      <c r="AW348" s="2" t="str">
        <f t="shared" si="22"/>
        <v/>
      </c>
      <c r="AX348" s="2" t="str">
        <f t="shared" si="23"/>
        <v/>
      </c>
      <c r="AY348" s="2" t="str">
        <f>IF($AV348="","",IF(AND($Z348=0,COUNTIF('AR SALES'!$L$2:$L$2501,$L348)=0),"YES",""))</f>
        <v/>
      </c>
      <c r="AZ348" s="2" t="str">
        <f>IF($AV348="","",IF(COUNTIF(LISTS!$C$2:$C$250,$AU348)=0,"NEW",""))</f>
        <v/>
      </c>
      <c r="BA348" s="2" t="str">
        <f>IF(""&amp;$F348&lt;&gt;"4","",IF($AY348="YES","",IF(ROUND(SUMIFS($AE$2:$AE$4001,$L$2:$L$4001,$L348,$F$2:$F$4001,"4")-SUMIFS('AR SALES'!$Y$2:$Y$2501,'AR SALES'!$L$2:$L$2501,$L348,'AR SALES'!$AD$2:$AD$2501,"OFF"),2)=0,"","STALE")))</f>
        <v/>
      </c>
      <c r="BB348" s="2" t="str">
        <f>IF(OR(""&amp;$F348="2",""&amp;$F348="4",""&amp;$F348="G",""&amp;$F348="H"),IF($AY348="YES","",IF($AB348&lt;&gt;0,"",IF(COUNTIFS('AR SALES'!$L$2:$L$2501,$L348,'AR SALES'!$AD$2:$AD$2501,IF(""&amp;$F348="4","OFF","ON"),'AR SALES'!$AF$2:$AF$2501,"Y")&gt;0,"","NO EXEMPTION"))),"")</f>
        <v/>
      </c>
    </row>
    <row r="349" spans="46:54" x14ac:dyDescent="0.25">
      <c r="AT349" s="2" t="str">
        <f>IF($L349="","",IFERROR(INDEX('AR SALES'!$H$2:$H$2501,MATCH(""&amp;$L349,'AR SALES'!$AE$2:$AE$2501,0)),""))</f>
        <v/>
      </c>
      <c r="AU349" s="2" t="str">
        <f t="shared" si="20"/>
        <v/>
      </c>
      <c r="AV349" s="2" t="str">
        <f t="shared" si="21"/>
        <v/>
      </c>
      <c r="AW349" s="2" t="str">
        <f t="shared" si="22"/>
        <v/>
      </c>
      <c r="AX349" s="2" t="str">
        <f t="shared" si="23"/>
        <v/>
      </c>
      <c r="AY349" s="2" t="str">
        <f>IF($AV349="","",IF(AND($Z349=0,COUNTIF('AR SALES'!$L$2:$L$2501,$L349)=0),"YES",""))</f>
        <v/>
      </c>
      <c r="AZ349" s="2" t="str">
        <f>IF($AV349="","",IF(COUNTIF(LISTS!$C$2:$C$250,$AU349)=0,"NEW",""))</f>
        <v/>
      </c>
      <c r="BA349" s="2" t="str">
        <f>IF(""&amp;$F349&lt;&gt;"4","",IF($AY349="YES","",IF(ROUND(SUMIFS($AE$2:$AE$4001,$L$2:$L$4001,$L349,$F$2:$F$4001,"4")-SUMIFS('AR SALES'!$Y$2:$Y$2501,'AR SALES'!$L$2:$L$2501,$L349,'AR SALES'!$AD$2:$AD$2501,"OFF"),2)=0,"","STALE")))</f>
        <v/>
      </c>
      <c r="BB349" s="2" t="str">
        <f>IF(OR(""&amp;$F349="2",""&amp;$F349="4",""&amp;$F349="G",""&amp;$F349="H"),IF($AY349="YES","",IF($AB349&lt;&gt;0,"",IF(COUNTIFS('AR SALES'!$L$2:$L$2501,$L349,'AR SALES'!$AD$2:$AD$2501,IF(""&amp;$F349="4","OFF","ON"),'AR SALES'!$AF$2:$AF$2501,"Y")&gt;0,"","NO EXEMPTION"))),"")</f>
        <v/>
      </c>
    </row>
    <row r="350" spans="46:54" x14ac:dyDescent="0.25">
      <c r="AT350" s="2" t="str">
        <f>IF($L350="","",IFERROR(INDEX('AR SALES'!$H$2:$H$2501,MATCH(""&amp;$L350,'AR SALES'!$AE$2:$AE$2501,0)),""))</f>
        <v/>
      </c>
      <c r="AU350" s="2" t="str">
        <f t="shared" si="20"/>
        <v/>
      </c>
      <c r="AV350" s="2" t="str">
        <f t="shared" si="21"/>
        <v/>
      </c>
      <c r="AW350" s="2" t="str">
        <f t="shared" si="22"/>
        <v/>
      </c>
      <c r="AX350" s="2" t="str">
        <f t="shared" si="23"/>
        <v/>
      </c>
      <c r="AY350" s="2" t="str">
        <f>IF($AV350="","",IF(AND($Z350=0,COUNTIF('AR SALES'!$L$2:$L$2501,$L350)=0),"YES",""))</f>
        <v/>
      </c>
      <c r="AZ350" s="2" t="str">
        <f>IF($AV350="","",IF(COUNTIF(LISTS!$C$2:$C$250,$AU350)=0,"NEW",""))</f>
        <v/>
      </c>
      <c r="BA350" s="2" t="str">
        <f>IF(""&amp;$F350&lt;&gt;"4","",IF($AY350="YES","",IF(ROUND(SUMIFS($AE$2:$AE$4001,$L$2:$L$4001,$L350,$F$2:$F$4001,"4")-SUMIFS('AR SALES'!$Y$2:$Y$2501,'AR SALES'!$L$2:$L$2501,$L350,'AR SALES'!$AD$2:$AD$2501,"OFF"),2)=0,"","STALE")))</f>
        <v/>
      </c>
      <c r="BB350" s="2" t="str">
        <f>IF(OR(""&amp;$F350="2",""&amp;$F350="4",""&amp;$F350="G",""&amp;$F350="H"),IF($AY350="YES","",IF($AB350&lt;&gt;0,"",IF(COUNTIFS('AR SALES'!$L$2:$L$2501,$L350,'AR SALES'!$AD$2:$AD$2501,IF(""&amp;$F350="4","OFF","ON"),'AR SALES'!$AF$2:$AF$2501,"Y")&gt;0,"","NO EXEMPTION"))),"")</f>
        <v/>
      </c>
    </row>
    <row r="351" spans="46:54" x14ac:dyDescent="0.25">
      <c r="AT351" s="2" t="str">
        <f>IF($L351="","",IFERROR(INDEX('AR SALES'!$H$2:$H$2501,MATCH(""&amp;$L351,'AR SALES'!$AE$2:$AE$2501,0)),""))</f>
        <v/>
      </c>
      <c r="AU351" s="2" t="str">
        <f t="shared" si="20"/>
        <v/>
      </c>
      <c r="AV351" s="2" t="str">
        <f t="shared" si="21"/>
        <v/>
      </c>
      <c r="AW351" s="2" t="str">
        <f t="shared" si="22"/>
        <v/>
      </c>
      <c r="AX351" s="2" t="str">
        <f t="shared" si="23"/>
        <v/>
      </c>
      <c r="AY351" s="2" t="str">
        <f>IF($AV351="","",IF(AND($Z351=0,COUNTIF('AR SALES'!$L$2:$L$2501,$L351)=0),"YES",""))</f>
        <v/>
      </c>
      <c r="AZ351" s="2" t="str">
        <f>IF($AV351="","",IF(COUNTIF(LISTS!$C$2:$C$250,$AU351)=0,"NEW",""))</f>
        <v/>
      </c>
      <c r="BA351" s="2" t="str">
        <f>IF(""&amp;$F351&lt;&gt;"4","",IF($AY351="YES","",IF(ROUND(SUMIFS($AE$2:$AE$4001,$L$2:$L$4001,$L351,$F$2:$F$4001,"4")-SUMIFS('AR SALES'!$Y$2:$Y$2501,'AR SALES'!$L$2:$L$2501,$L351,'AR SALES'!$AD$2:$AD$2501,"OFF"),2)=0,"","STALE")))</f>
        <v/>
      </c>
      <c r="BB351" s="2" t="str">
        <f>IF(OR(""&amp;$F351="2",""&amp;$F351="4",""&amp;$F351="G",""&amp;$F351="H"),IF($AY351="YES","",IF($AB351&lt;&gt;0,"",IF(COUNTIFS('AR SALES'!$L$2:$L$2501,$L351,'AR SALES'!$AD$2:$AD$2501,IF(""&amp;$F351="4","OFF","ON"),'AR SALES'!$AF$2:$AF$2501,"Y")&gt;0,"","NO EXEMPTION"))),"")</f>
        <v/>
      </c>
    </row>
    <row r="352" spans="46:54" x14ac:dyDescent="0.25">
      <c r="AT352" s="2" t="str">
        <f>IF($L352="","",IFERROR(INDEX('AR SALES'!$H$2:$H$2501,MATCH(""&amp;$L352,'AR SALES'!$AE$2:$AE$2501,0)),""))</f>
        <v/>
      </c>
      <c r="AU352" s="2" t="str">
        <f t="shared" si="20"/>
        <v/>
      </c>
      <c r="AV352" s="2" t="str">
        <f t="shared" si="21"/>
        <v/>
      </c>
      <c r="AW352" s="2" t="str">
        <f t="shared" si="22"/>
        <v/>
      </c>
      <c r="AX352" s="2" t="str">
        <f t="shared" si="23"/>
        <v/>
      </c>
      <c r="AY352" s="2" t="str">
        <f>IF($AV352="","",IF(AND($Z352=0,COUNTIF('AR SALES'!$L$2:$L$2501,$L352)=0),"YES",""))</f>
        <v/>
      </c>
      <c r="AZ352" s="2" t="str">
        <f>IF($AV352="","",IF(COUNTIF(LISTS!$C$2:$C$250,$AU352)=0,"NEW",""))</f>
        <v/>
      </c>
      <c r="BA352" s="2" t="str">
        <f>IF(""&amp;$F352&lt;&gt;"4","",IF($AY352="YES","",IF(ROUND(SUMIFS($AE$2:$AE$4001,$L$2:$L$4001,$L352,$F$2:$F$4001,"4")-SUMIFS('AR SALES'!$Y$2:$Y$2501,'AR SALES'!$L$2:$L$2501,$L352,'AR SALES'!$AD$2:$AD$2501,"OFF"),2)=0,"","STALE")))</f>
        <v/>
      </c>
      <c r="BB352" s="2" t="str">
        <f>IF(OR(""&amp;$F352="2",""&amp;$F352="4",""&amp;$F352="G",""&amp;$F352="H"),IF($AY352="YES","",IF($AB352&lt;&gt;0,"",IF(COUNTIFS('AR SALES'!$L$2:$L$2501,$L352,'AR SALES'!$AD$2:$AD$2501,IF(""&amp;$F352="4","OFF","ON"),'AR SALES'!$AF$2:$AF$2501,"Y")&gt;0,"","NO EXEMPTION"))),"")</f>
        <v/>
      </c>
    </row>
    <row r="353" spans="46:54" x14ac:dyDescent="0.25">
      <c r="AT353" s="2" t="str">
        <f>IF($L353="","",IFERROR(INDEX('AR SALES'!$H$2:$H$2501,MATCH(""&amp;$L353,'AR SALES'!$AE$2:$AE$2501,0)),""))</f>
        <v/>
      </c>
      <c r="AU353" s="2" t="str">
        <f t="shared" si="20"/>
        <v/>
      </c>
      <c r="AV353" s="2" t="str">
        <f t="shared" si="21"/>
        <v/>
      </c>
      <c r="AW353" s="2" t="str">
        <f t="shared" si="22"/>
        <v/>
      </c>
      <c r="AX353" s="2" t="str">
        <f t="shared" si="23"/>
        <v/>
      </c>
      <c r="AY353" s="2" t="str">
        <f>IF($AV353="","",IF(AND($Z353=0,COUNTIF('AR SALES'!$L$2:$L$2501,$L353)=0),"YES",""))</f>
        <v/>
      </c>
      <c r="AZ353" s="2" t="str">
        <f>IF($AV353="","",IF(COUNTIF(LISTS!$C$2:$C$250,$AU353)=0,"NEW",""))</f>
        <v/>
      </c>
      <c r="BA353" s="2" t="str">
        <f>IF(""&amp;$F353&lt;&gt;"4","",IF($AY353="YES","",IF(ROUND(SUMIFS($AE$2:$AE$4001,$L$2:$L$4001,$L353,$F$2:$F$4001,"4")-SUMIFS('AR SALES'!$Y$2:$Y$2501,'AR SALES'!$L$2:$L$2501,$L353,'AR SALES'!$AD$2:$AD$2501,"OFF"),2)=0,"","STALE")))</f>
        <v/>
      </c>
      <c r="BB353" s="2" t="str">
        <f>IF(OR(""&amp;$F353="2",""&amp;$F353="4",""&amp;$F353="G",""&amp;$F353="H"),IF($AY353="YES","",IF($AB353&lt;&gt;0,"",IF(COUNTIFS('AR SALES'!$L$2:$L$2501,$L353,'AR SALES'!$AD$2:$AD$2501,IF(""&amp;$F353="4","OFF","ON"),'AR SALES'!$AF$2:$AF$2501,"Y")&gt;0,"","NO EXEMPTION"))),"")</f>
        <v/>
      </c>
    </row>
    <row r="354" spans="46:54" x14ac:dyDescent="0.25">
      <c r="AT354" s="2" t="str">
        <f>IF($L354="","",IFERROR(INDEX('AR SALES'!$H$2:$H$2501,MATCH(""&amp;$L354,'AR SALES'!$AE$2:$AE$2501,0)),""))</f>
        <v/>
      </c>
      <c r="AU354" s="2" t="str">
        <f t="shared" si="20"/>
        <v/>
      </c>
      <c r="AV354" s="2" t="str">
        <f t="shared" si="21"/>
        <v/>
      </c>
      <c r="AW354" s="2" t="str">
        <f t="shared" si="22"/>
        <v/>
      </c>
      <c r="AX354" s="2" t="str">
        <f t="shared" si="23"/>
        <v/>
      </c>
      <c r="AY354" s="2" t="str">
        <f>IF($AV354="","",IF(AND($Z354=0,COUNTIF('AR SALES'!$L$2:$L$2501,$L354)=0),"YES",""))</f>
        <v/>
      </c>
      <c r="AZ354" s="2" t="str">
        <f>IF($AV354="","",IF(COUNTIF(LISTS!$C$2:$C$250,$AU354)=0,"NEW",""))</f>
        <v/>
      </c>
      <c r="BA354" s="2" t="str">
        <f>IF(""&amp;$F354&lt;&gt;"4","",IF($AY354="YES","",IF(ROUND(SUMIFS($AE$2:$AE$4001,$L$2:$L$4001,$L354,$F$2:$F$4001,"4")-SUMIFS('AR SALES'!$Y$2:$Y$2501,'AR SALES'!$L$2:$L$2501,$L354,'AR SALES'!$AD$2:$AD$2501,"OFF"),2)=0,"","STALE")))</f>
        <v/>
      </c>
      <c r="BB354" s="2" t="str">
        <f>IF(OR(""&amp;$F354="2",""&amp;$F354="4",""&amp;$F354="G",""&amp;$F354="H"),IF($AY354="YES","",IF($AB354&lt;&gt;0,"",IF(COUNTIFS('AR SALES'!$L$2:$L$2501,$L354,'AR SALES'!$AD$2:$AD$2501,IF(""&amp;$F354="4","OFF","ON"),'AR SALES'!$AF$2:$AF$2501,"Y")&gt;0,"","NO EXEMPTION"))),"")</f>
        <v/>
      </c>
    </row>
    <row r="355" spans="46:54" x14ac:dyDescent="0.25">
      <c r="AT355" s="2" t="str">
        <f>IF($L355="","",IFERROR(INDEX('AR SALES'!$H$2:$H$2501,MATCH(""&amp;$L355,'AR SALES'!$AE$2:$AE$2501,0)),""))</f>
        <v/>
      </c>
      <c r="AU355" s="2" t="str">
        <f t="shared" si="20"/>
        <v/>
      </c>
      <c r="AV355" s="2" t="str">
        <f t="shared" si="21"/>
        <v/>
      </c>
      <c r="AW355" s="2" t="str">
        <f t="shared" si="22"/>
        <v/>
      </c>
      <c r="AX355" s="2" t="str">
        <f t="shared" si="23"/>
        <v/>
      </c>
      <c r="AY355" s="2" t="str">
        <f>IF($AV355="","",IF(AND($Z355=0,COUNTIF('AR SALES'!$L$2:$L$2501,$L355)=0),"YES",""))</f>
        <v/>
      </c>
      <c r="AZ355" s="2" t="str">
        <f>IF($AV355="","",IF(COUNTIF(LISTS!$C$2:$C$250,$AU355)=0,"NEW",""))</f>
        <v/>
      </c>
      <c r="BA355" s="2" t="str">
        <f>IF(""&amp;$F355&lt;&gt;"4","",IF($AY355="YES","",IF(ROUND(SUMIFS($AE$2:$AE$4001,$L$2:$L$4001,$L355,$F$2:$F$4001,"4")-SUMIFS('AR SALES'!$Y$2:$Y$2501,'AR SALES'!$L$2:$L$2501,$L355,'AR SALES'!$AD$2:$AD$2501,"OFF"),2)=0,"","STALE")))</f>
        <v/>
      </c>
      <c r="BB355" s="2" t="str">
        <f>IF(OR(""&amp;$F355="2",""&amp;$F355="4",""&amp;$F355="G",""&amp;$F355="H"),IF($AY355="YES","",IF($AB355&lt;&gt;0,"",IF(COUNTIFS('AR SALES'!$L$2:$L$2501,$L355,'AR SALES'!$AD$2:$AD$2501,IF(""&amp;$F355="4","OFF","ON"),'AR SALES'!$AF$2:$AF$2501,"Y")&gt;0,"","NO EXEMPTION"))),"")</f>
        <v/>
      </c>
    </row>
    <row r="356" spans="46:54" x14ac:dyDescent="0.25">
      <c r="AT356" s="2" t="str">
        <f>IF($L356="","",IFERROR(INDEX('AR SALES'!$H$2:$H$2501,MATCH(""&amp;$L356,'AR SALES'!$AE$2:$AE$2501,0)),""))</f>
        <v/>
      </c>
      <c r="AU356" s="2" t="str">
        <f t="shared" si="20"/>
        <v/>
      </c>
      <c r="AV356" s="2" t="str">
        <f t="shared" si="21"/>
        <v/>
      </c>
      <c r="AW356" s="2" t="str">
        <f t="shared" si="22"/>
        <v/>
      </c>
      <c r="AX356" s="2" t="str">
        <f t="shared" si="23"/>
        <v/>
      </c>
      <c r="AY356" s="2" t="str">
        <f>IF($AV356="","",IF(AND($Z356=0,COUNTIF('AR SALES'!$L$2:$L$2501,$L356)=0),"YES",""))</f>
        <v/>
      </c>
      <c r="AZ356" s="2" t="str">
        <f>IF($AV356="","",IF(COUNTIF(LISTS!$C$2:$C$250,$AU356)=0,"NEW",""))</f>
        <v/>
      </c>
      <c r="BA356" s="2" t="str">
        <f>IF(""&amp;$F356&lt;&gt;"4","",IF($AY356="YES","",IF(ROUND(SUMIFS($AE$2:$AE$4001,$L$2:$L$4001,$L356,$F$2:$F$4001,"4")-SUMIFS('AR SALES'!$Y$2:$Y$2501,'AR SALES'!$L$2:$L$2501,$L356,'AR SALES'!$AD$2:$AD$2501,"OFF"),2)=0,"","STALE")))</f>
        <v/>
      </c>
      <c r="BB356" s="2" t="str">
        <f>IF(OR(""&amp;$F356="2",""&amp;$F356="4",""&amp;$F356="G",""&amp;$F356="H"),IF($AY356="YES","",IF($AB356&lt;&gt;0,"",IF(COUNTIFS('AR SALES'!$L$2:$L$2501,$L356,'AR SALES'!$AD$2:$AD$2501,IF(""&amp;$F356="4","OFF","ON"),'AR SALES'!$AF$2:$AF$2501,"Y")&gt;0,"","NO EXEMPTION"))),"")</f>
        <v/>
      </c>
    </row>
    <row r="357" spans="46:54" x14ac:dyDescent="0.25">
      <c r="AT357" s="2" t="str">
        <f>IF($L357="","",IFERROR(INDEX('AR SALES'!$H$2:$H$2501,MATCH(""&amp;$L357,'AR SALES'!$AE$2:$AE$2501,0)),""))</f>
        <v/>
      </c>
      <c r="AU357" s="2" t="str">
        <f t="shared" si="20"/>
        <v/>
      </c>
      <c r="AV357" s="2" t="str">
        <f t="shared" si="21"/>
        <v/>
      </c>
      <c r="AW357" s="2" t="str">
        <f t="shared" si="22"/>
        <v/>
      </c>
      <c r="AX357" s="2" t="str">
        <f t="shared" si="23"/>
        <v/>
      </c>
      <c r="AY357" s="2" t="str">
        <f>IF($AV357="","",IF(AND($Z357=0,COUNTIF('AR SALES'!$L$2:$L$2501,$L357)=0),"YES",""))</f>
        <v/>
      </c>
      <c r="AZ357" s="2" t="str">
        <f>IF($AV357="","",IF(COUNTIF(LISTS!$C$2:$C$250,$AU357)=0,"NEW",""))</f>
        <v/>
      </c>
      <c r="BA357" s="2" t="str">
        <f>IF(""&amp;$F357&lt;&gt;"4","",IF($AY357="YES","",IF(ROUND(SUMIFS($AE$2:$AE$4001,$L$2:$L$4001,$L357,$F$2:$F$4001,"4")-SUMIFS('AR SALES'!$Y$2:$Y$2501,'AR SALES'!$L$2:$L$2501,$L357,'AR SALES'!$AD$2:$AD$2501,"OFF"),2)=0,"","STALE")))</f>
        <v/>
      </c>
      <c r="BB357" s="2" t="str">
        <f>IF(OR(""&amp;$F357="2",""&amp;$F357="4",""&amp;$F357="G",""&amp;$F357="H"),IF($AY357="YES","",IF($AB357&lt;&gt;0,"",IF(COUNTIFS('AR SALES'!$L$2:$L$2501,$L357,'AR SALES'!$AD$2:$AD$2501,IF(""&amp;$F357="4","OFF","ON"),'AR SALES'!$AF$2:$AF$2501,"Y")&gt;0,"","NO EXEMPTION"))),"")</f>
        <v/>
      </c>
    </row>
    <row r="358" spans="46:54" x14ac:dyDescent="0.25">
      <c r="AT358" s="2" t="str">
        <f>IF($L358="","",IFERROR(INDEX('AR SALES'!$H$2:$H$2501,MATCH(""&amp;$L358,'AR SALES'!$AE$2:$AE$2501,0)),""))</f>
        <v/>
      </c>
      <c r="AU358" s="2" t="str">
        <f t="shared" si="20"/>
        <v/>
      </c>
      <c r="AV358" s="2" t="str">
        <f t="shared" si="21"/>
        <v/>
      </c>
      <c r="AW358" s="2" t="str">
        <f t="shared" si="22"/>
        <v/>
      </c>
      <c r="AX358" s="2" t="str">
        <f t="shared" si="23"/>
        <v/>
      </c>
      <c r="AY358" s="2" t="str">
        <f>IF($AV358="","",IF(AND($Z358=0,COUNTIF('AR SALES'!$L$2:$L$2501,$L358)=0),"YES",""))</f>
        <v/>
      </c>
      <c r="AZ358" s="2" t="str">
        <f>IF($AV358="","",IF(COUNTIF(LISTS!$C$2:$C$250,$AU358)=0,"NEW",""))</f>
        <v/>
      </c>
      <c r="BA358" s="2" t="str">
        <f>IF(""&amp;$F358&lt;&gt;"4","",IF($AY358="YES","",IF(ROUND(SUMIFS($AE$2:$AE$4001,$L$2:$L$4001,$L358,$F$2:$F$4001,"4")-SUMIFS('AR SALES'!$Y$2:$Y$2501,'AR SALES'!$L$2:$L$2501,$L358,'AR SALES'!$AD$2:$AD$2501,"OFF"),2)=0,"","STALE")))</f>
        <v/>
      </c>
      <c r="BB358" s="2" t="str">
        <f>IF(OR(""&amp;$F358="2",""&amp;$F358="4",""&amp;$F358="G",""&amp;$F358="H"),IF($AY358="YES","",IF($AB358&lt;&gt;0,"",IF(COUNTIFS('AR SALES'!$L$2:$L$2501,$L358,'AR SALES'!$AD$2:$AD$2501,IF(""&amp;$F358="4","OFF","ON"),'AR SALES'!$AF$2:$AF$2501,"Y")&gt;0,"","NO EXEMPTION"))),"")</f>
        <v/>
      </c>
    </row>
    <row r="359" spans="46:54" x14ac:dyDescent="0.25">
      <c r="AT359" s="2" t="str">
        <f>IF($L359="","",IFERROR(INDEX('AR SALES'!$H$2:$H$2501,MATCH(""&amp;$L359,'AR SALES'!$AE$2:$AE$2501,0)),""))</f>
        <v/>
      </c>
      <c r="AU359" s="2" t="str">
        <f t="shared" si="20"/>
        <v/>
      </c>
      <c r="AV359" s="2" t="str">
        <f t="shared" si="21"/>
        <v/>
      </c>
      <c r="AW359" s="2" t="str">
        <f t="shared" si="22"/>
        <v/>
      </c>
      <c r="AX359" s="2" t="str">
        <f t="shared" si="23"/>
        <v/>
      </c>
      <c r="AY359" s="2" t="str">
        <f>IF($AV359="","",IF(AND($Z359=0,COUNTIF('AR SALES'!$L$2:$L$2501,$L359)=0),"YES",""))</f>
        <v/>
      </c>
      <c r="AZ359" s="2" t="str">
        <f>IF($AV359="","",IF(COUNTIF(LISTS!$C$2:$C$250,$AU359)=0,"NEW",""))</f>
        <v/>
      </c>
      <c r="BA359" s="2" t="str">
        <f>IF(""&amp;$F359&lt;&gt;"4","",IF($AY359="YES","",IF(ROUND(SUMIFS($AE$2:$AE$4001,$L$2:$L$4001,$L359,$F$2:$F$4001,"4")-SUMIFS('AR SALES'!$Y$2:$Y$2501,'AR SALES'!$L$2:$L$2501,$L359,'AR SALES'!$AD$2:$AD$2501,"OFF"),2)=0,"","STALE")))</f>
        <v/>
      </c>
      <c r="BB359" s="2" t="str">
        <f>IF(OR(""&amp;$F359="2",""&amp;$F359="4",""&amp;$F359="G",""&amp;$F359="H"),IF($AY359="YES","",IF($AB359&lt;&gt;0,"",IF(COUNTIFS('AR SALES'!$L$2:$L$2501,$L359,'AR SALES'!$AD$2:$AD$2501,IF(""&amp;$F359="4","OFF","ON"),'AR SALES'!$AF$2:$AF$2501,"Y")&gt;0,"","NO EXEMPTION"))),"")</f>
        <v/>
      </c>
    </row>
    <row r="360" spans="46:54" x14ac:dyDescent="0.25">
      <c r="AT360" s="2" t="str">
        <f>IF($L360="","",IFERROR(INDEX('AR SALES'!$H$2:$H$2501,MATCH(""&amp;$L360,'AR SALES'!$AE$2:$AE$2501,0)),""))</f>
        <v/>
      </c>
      <c r="AU360" s="2" t="str">
        <f t="shared" si="20"/>
        <v/>
      </c>
      <c r="AV360" s="2" t="str">
        <f t="shared" si="21"/>
        <v/>
      </c>
      <c r="AW360" s="2" t="str">
        <f t="shared" si="22"/>
        <v/>
      </c>
      <c r="AX360" s="2" t="str">
        <f t="shared" si="23"/>
        <v/>
      </c>
      <c r="AY360" s="2" t="str">
        <f>IF($AV360="","",IF(AND($Z360=0,COUNTIF('AR SALES'!$L$2:$L$2501,$L360)=0),"YES",""))</f>
        <v/>
      </c>
      <c r="AZ360" s="2" t="str">
        <f>IF($AV360="","",IF(COUNTIF(LISTS!$C$2:$C$250,$AU360)=0,"NEW",""))</f>
        <v/>
      </c>
      <c r="BA360" s="2" t="str">
        <f>IF(""&amp;$F360&lt;&gt;"4","",IF($AY360="YES","",IF(ROUND(SUMIFS($AE$2:$AE$4001,$L$2:$L$4001,$L360,$F$2:$F$4001,"4")-SUMIFS('AR SALES'!$Y$2:$Y$2501,'AR SALES'!$L$2:$L$2501,$L360,'AR SALES'!$AD$2:$AD$2501,"OFF"),2)=0,"","STALE")))</f>
        <v/>
      </c>
      <c r="BB360" s="2" t="str">
        <f>IF(OR(""&amp;$F360="2",""&amp;$F360="4",""&amp;$F360="G",""&amp;$F360="H"),IF($AY360="YES","",IF($AB360&lt;&gt;0,"",IF(COUNTIFS('AR SALES'!$L$2:$L$2501,$L360,'AR SALES'!$AD$2:$AD$2501,IF(""&amp;$F360="4","OFF","ON"),'AR SALES'!$AF$2:$AF$2501,"Y")&gt;0,"","NO EXEMPTION"))),"")</f>
        <v/>
      </c>
    </row>
    <row r="361" spans="46:54" x14ac:dyDescent="0.25">
      <c r="AT361" s="2" t="str">
        <f>IF($L361="","",IFERROR(INDEX('AR SALES'!$H$2:$H$2501,MATCH(""&amp;$L361,'AR SALES'!$AE$2:$AE$2501,0)),""))</f>
        <v/>
      </c>
      <c r="AU361" s="2" t="str">
        <f t="shared" si="20"/>
        <v/>
      </c>
      <c r="AV361" s="2" t="str">
        <f t="shared" si="21"/>
        <v/>
      </c>
      <c r="AW361" s="2" t="str">
        <f t="shared" si="22"/>
        <v/>
      </c>
      <c r="AX361" s="2" t="str">
        <f t="shared" si="23"/>
        <v/>
      </c>
      <c r="AY361" s="2" t="str">
        <f>IF($AV361="","",IF(AND($Z361=0,COUNTIF('AR SALES'!$L$2:$L$2501,$L361)=0),"YES",""))</f>
        <v/>
      </c>
      <c r="AZ361" s="2" t="str">
        <f>IF($AV361="","",IF(COUNTIF(LISTS!$C$2:$C$250,$AU361)=0,"NEW",""))</f>
        <v/>
      </c>
      <c r="BA361" s="2" t="str">
        <f>IF(""&amp;$F361&lt;&gt;"4","",IF($AY361="YES","",IF(ROUND(SUMIFS($AE$2:$AE$4001,$L$2:$L$4001,$L361,$F$2:$F$4001,"4")-SUMIFS('AR SALES'!$Y$2:$Y$2501,'AR SALES'!$L$2:$L$2501,$L361,'AR SALES'!$AD$2:$AD$2501,"OFF"),2)=0,"","STALE")))</f>
        <v/>
      </c>
      <c r="BB361" s="2" t="str">
        <f>IF(OR(""&amp;$F361="2",""&amp;$F361="4",""&amp;$F361="G",""&amp;$F361="H"),IF($AY361="YES","",IF($AB361&lt;&gt;0,"",IF(COUNTIFS('AR SALES'!$L$2:$L$2501,$L361,'AR SALES'!$AD$2:$AD$2501,IF(""&amp;$F361="4","OFF","ON"),'AR SALES'!$AF$2:$AF$2501,"Y")&gt;0,"","NO EXEMPTION"))),"")</f>
        <v/>
      </c>
    </row>
    <row r="362" spans="46:54" x14ac:dyDescent="0.25">
      <c r="AT362" s="2" t="str">
        <f>IF($L362="","",IFERROR(INDEX('AR SALES'!$H$2:$H$2501,MATCH(""&amp;$L362,'AR SALES'!$AE$2:$AE$2501,0)),""))</f>
        <v/>
      </c>
      <c r="AU362" s="2" t="str">
        <f t="shared" si="20"/>
        <v/>
      </c>
      <c r="AV362" s="2" t="str">
        <f t="shared" si="21"/>
        <v/>
      </c>
      <c r="AW362" s="2" t="str">
        <f t="shared" si="22"/>
        <v/>
      </c>
      <c r="AX362" s="2" t="str">
        <f t="shared" si="23"/>
        <v/>
      </c>
      <c r="AY362" s="2" t="str">
        <f>IF($AV362="","",IF(AND($Z362=0,COUNTIF('AR SALES'!$L$2:$L$2501,$L362)=0),"YES",""))</f>
        <v/>
      </c>
      <c r="AZ362" s="2" t="str">
        <f>IF($AV362="","",IF(COUNTIF(LISTS!$C$2:$C$250,$AU362)=0,"NEW",""))</f>
        <v/>
      </c>
      <c r="BA362" s="2" t="str">
        <f>IF(""&amp;$F362&lt;&gt;"4","",IF($AY362="YES","",IF(ROUND(SUMIFS($AE$2:$AE$4001,$L$2:$L$4001,$L362,$F$2:$F$4001,"4")-SUMIFS('AR SALES'!$Y$2:$Y$2501,'AR SALES'!$L$2:$L$2501,$L362,'AR SALES'!$AD$2:$AD$2501,"OFF"),2)=0,"","STALE")))</f>
        <v/>
      </c>
      <c r="BB362" s="2" t="str">
        <f>IF(OR(""&amp;$F362="2",""&amp;$F362="4",""&amp;$F362="G",""&amp;$F362="H"),IF($AY362="YES","",IF($AB362&lt;&gt;0,"",IF(COUNTIFS('AR SALES'!$L$2:$L$2501,$L362,'AR SALES'!$AD$2:$AD$2501,IF(""&amp;$F362="4","OFF","ON"),'AR SALES'!$AF$2:$AF$2501,"Y")&gt;0,"","NO EXEMPTION"))),"")</f>
        <v/>
      </c>
    </row>
    <row r="363" spans="46:54" x14ac:dyDescent="0.25">
      <c r="AT363" s="2" t="str">
        <f>IF($L363="","",IFERROR(INDEX('AR SALES'!$H$2:$H$2501,MATCH(""&amp;$L363,'AR SALES'!$AE$2:$AE$2501,0)),""))</f>
        <v/>
      </c>
      <c r="AU363" s="2" t="str">
        <f t="shared" si="20"/>
        <v/>
      </c>
      <c r="AV363" s="2" t="str">
        <f t="shared" si="21"/>
        <v/>
      </c>
      <c r="AW363" s="2" t="str">
        <f t="shared" si="22"/>
        <v/>
      </c>
      <c r="AX363" s="2" t="str">
        <f t="shared" si="23"/>
        <v/>
      </c>
      <c r="AY363" s="2" t="str">
        <f>IF($AV363="","",IF(AND($Z363=0,COUNTIF('AR SALES'!$L$2:$L$2501,$L363)=0),"YES",""))</f>
        <v/>
      </c>
      <c r="AZ363" s="2" t="str">
        <f>IF($AV363="","",IF(COUNTIF(LISTS!$C$2:$C$250,$AU363)=0,"NEW",""))</f>
        <v/>
      </c>
      <c r="BA363" s="2" t="str">
        <f>IF(""&amp;$F363&lt;&gt;"4","",IF($AY363="YES","",IF(ROUND(SUMIFS($AE$2:$AE$4001,$L$2:$L$4001,$L363,$F$2:$F$4001,"4")-SUMIFS('AR SALES'!$Y$2:$Y$2501,'AR SALES'!$L$2:$L$2501,$L363,'AR SALES'!$AD$2:$AD$2501,"OFF"),2)=0,"","STALE")))</f>
        <v/>
      </c>
      <c r="BB363" s="2" t="str">
        <f>IF(OR(""&amp;$F363="2",""&amp;$F363="4",""&amp;$F363="G",""&amp;$F363="H"),IF($AY363="YES","",IF($AB363&lt;&gt;0,"",IF(COUNTIFS('AR SALES'!$L$2:$L$2501,$L363,'AR SALES'!$AD$2:$AD$2501,IF(""&amp;$F363="4","OFF","ON"),'AR SALES'!$AF$2:$AF$2501,"Y")&gt;0,"","NO EXEMPTION"))),"")</f>
        <v/>
      </c>
    </row>
    <row r="364" spans="46:54" x14ac:dyDescent="0.25">
      <c r="AT364" s="2" t="str">
        <f>IF($L364="","",IFERROR(INDEX('AR SALES'!$H$2:$H$2501,MATCH(""&amp;$L364,'AR SALES'!$AE$2:$AE$2501,0)),""))</f>
        <v/>
      </c>
      <c r="AU364" s="2" t="str">
        <f t="shared" si="20"/>
        <v/>
      </c>
      <c r="AV364" s="2" t="str">
        <f t="shared" si="21"/>
        <v/>
      </c>
      <c r="AW364" s="2" t="str">
        <f t="shared" si="22"/>
        <v/>
      </c>
      <c r="AX364" s="2" t="str">
        <f t="shared" si="23"/>
        <v/>
      </c>
      <c r="AY364" s="2" t="str">
        <f>IF($AV364="","",IF(AND($Z364=0,COUNTIF('AR SALES'!$L$2:$L$2501,$L364)=0),"YES",""))</f>
        <v/>
      </c>
      <c r="AZ364" s="2" t="str">
        <f>IF($AV364="","",IF(COUNTIF(LISTS!$C$2:$C$250,$AU364)=0,"NEW",""))</f>
        <v/>
      </c>
      <c r="BA364" s="2" t="str">
        <f>IF(""&amp;$F364&lt;&gt;"4","",IF($AY364="YES","",IF(ROUND(SUMIFS($AE$2:$AE$4001,$L$2:$L$4001,$L364,$F$2:$F$4001,"4")-SUMIFS('AR SALES'!$Y$2:$Y$2501,'AR SALES'!$L$2:$L$2501,$L364,'AR SALES'!$AD$2:$AD$2501,"OFF"),2)=0,"","STALE")))</f>
        <v/>
      </c>
      <c r="BB364" s="2" t="str">
        <f>IF(OR(""&amp;$F364="2",""&amp;$F364="4",""&amp;$F364="G",""&amp;$F364="H"),IF($AY364="YES","",IF($AB364&lt;&gt;0,"",IF(COUNTIFS('AR SALES'!$L$2:$L$2501,$L364,'AR SALES'!$AD$2:$AD$2501,IF(""&amp;$F364="4","OFF","ON"),'AR SALES'!$AF$2:$AF$2501,"Y")&gt;0,"","NO EXEMPTION"))),"")</f>
        <v/>
      </c>
    </row>
    <row r="365" spans="46:54" x14ac:dyDescent="0.25">
      <c r="AT365" s="2" t="str">
        <f>IF($L365="","",IFERROR(INDEX('AR SALES'!$H$2:$H$2501,MATCH(""&amp;$L365,'AR SALES'!$AE$2:$AE$2501,0)),""))</f>
        <v/>
      </c>
      <c r="AU365" s="2" t="str">
        <f t="shared" si="20"/>
        <v/>
      </c>
      <c r="AV365" s="2" t="str">
        <f t="shared" si="21"/>
        <v/>
      </c>
      <c r="AW365" s="2" t="str">
        <f t="shared" si="22"/>
        <v/>
      </c>
      <c r="AX365" s="2" t="str">
        <f t="shared" si="23"/>
        <v/>
      </c>
      <c r="AY365" s="2" t="str">
        <f>IF($AV365="","",IF(AND($Z365=0,COUNTIF('AR SALES'!$L$2:$L$2501,$L365)=0),"YES",""))</f>
        <v/>
      </c>
      <c r="AZ365" s="2" t="str">
        <f>IF($AV365="","",IF(COUNTIF(LISTS!$C$2:$C$250,$AU365)=0,"NEW",""))</f>
        <v/>
      </c>
      <c r="BA365" s="2" t="str">
        <f>IF(""&amp;$F365&lt;&gt;"4","",IF($AY365="YES","",IF(ROUND(SUMIFS($AE$2:$AE$4001,$L$2:$L$4001,$L365,$F$2:$F$4001,"4")-SUMIFS('AR SALES'!$Y$2:$Y$2501,'AR SALES'!$L$2:$L$2501,$L365,'AR SALES'!$AD$2:$AD$2501,"OFF"),2)=0,"","STALE")))</f>
        <v/>
      </c>
      <c r="BB365" s="2" t="str">
        <f>IF(OR(""&amp;$F365="2",""&amp;$F365="4",""&amp;$F365="G",""&amp;$F365="H"),IF($AY365="YES","",IF($AB365&lt;&gt;0,"",IF(COUNTIFS('AR SALES'!$L$2:$L$2501,$L365,'AR SALES'!$AD$2:$AD$2501,IF(""&amp;$F365="4","OFF","ON"),'AR SALES'!$AF$2:$AF$2501,"Y")&gt;0,"","NO EXEMPTION"))),"")</f>
        <v/>
      </c>
    </row>
    <row r="366" spans="46:54" x14ac:dyDescent="0.25">
      <c r="AT366" s="2" t="str">
        <f>IF($L366="","",IFERROR(INDEX('AR SALES'!$H$2:$H$2501,MATCH(""&amp;$L366,'AR SALES'!$AE$2:$AE$2501,0)),""))</f>
        <v/>
      </c>
      <c r="AU366" s="2" t="str">
        <f t="shared" si="20"/>
        <v/>
      </c>
      <c r="AV366" s="2" t="str">
        <f t="shared" si="21"/>
        <v/>
      </c>
      <c r="AW366" s="2" t="str">
        <f t="shared" si="22"/>
        <v/>
      </c>
      <c r="AX366" s="2" t="str">
        <f t="shared" si="23"/>
        <v/>
      </c>
      <c r="AY366" s="2" t="str">
        <f>IF($AV366="","",IF(AND($Z366=0,COUNTIF('AR SALES'!$L$2:$L$2501,$L366)=0),"YES",""))</f>
        <v/>
      </c>
      <c r="AZ366" s="2" t="str">
        <f>IF($AV366="","",IF(COUNTIF(LISTS!$C$2:$C$250,$AU366)=0,"NEW",""))</f>
        <v/>
      </c>
      <c r="BA366" s="2" t="str">
        <f>IF(""&amp;$F366&lt;&gt;"4","",IF($AY366="YES","",IF(ROUND(SUMIFS($AE$2:$AE$4001,$L$2:$L$4001,$L366,$F$2:$F$4001,"4")-SUMIFS('AR SALES'!$Y$2:$Y$2501,'AR SALES'!$L$2:$L$2501,$L366,'AR SALES'!$AD$2:$AD$2501,"OFF"),2)=0,"","STALE")))</f>
        <v/>
      </c>
      <c r="BB366" s="2" t="str">
        <f>IF(OR(""&amp;$F366="2",""&amp;$F366="4",""&amp;$F366="G",""&amp;$F366="H"),IF($AY366="YES","",IF($AB366&lt;&gt;0,"",IF(COUNTIFS('AR SALES'!$L$2:$L$2501,$L366,'AR SALES'!$AD$2:$AD$2501,IF(""&amp;$F366="4","OFF","ON"),'AR SALES'!$AF$2:$AF$2501,"Y")&gt;0,"","NO EXEMPTION"))),"")</f>
        <v/>
      </c>
    </row>
    <row r="367" spans="46:54" x14ac:dyDescent="0.25">
      <c r="AT367" s="2" t="str">
        <f>IF($L367="","",IFERROR(INDEX('AR SALES'!$H$2:$H$2501,MATCH(""&amp;$L367,'AR SALES'!$AE$2:$AE$2501,0)),""))</f>
        <v/>
      </c>
      <c r="AU367" s="2" t="str">
        <f t="shared" si="20"/>
        <v/>
      </c>
      <c r="AV367" s="2" t="str">
        <f t="shared" si="21"/>
        <v/>
      </c>
      <c r="AW367" s="2" t="str">
        <f t="shared" si="22"/>
        <v/>
      </c>
      <c r="AX367" s="2" t="str">
        <f t="shared" si="23"/>
        <v/>
      </c>
      <c r="AY367" s="2" t="str">
        <f>IF($AV367="","",IF(AND($Z367=0,COUNTIF('AR SALES'!$L$2:$L$2501,$L367)=0),"YES",""))</f>
        <v/>
      </c>
      <c r="AZ367" s="2" t="str">
        <f>IF($AV367="","",IF(COUNTIF(LISTS!$C$2:$C$250,$AU367)=0,"NEW",""))</f>
        <v/>
      </c>
      <c r="BA367" s="2" t="str">
        <f>IF(""&amp;$F367&lt;&gt;"4","",IF($AY367="YES","",IF(ROUND(SUMIFS($AE$2:$AE$4001,$L$2:$L$4001,$L367,$F$2:$F$4001,"4")-SUMIFS('AR SALES'!$Y$2:$Y$2501,'AR SALES'!$L$2:$L$2501,$L367,'AR SALES'!$AD$2:$AD$2501,"OFF"),2)=0,"","STALE")))</f>
        <v/>
      </c>
      <c r="BB367" s="2" t="str">
        <f>IF(OR(""&amp;$F367="2",""&amp;$F367="4",""&amp;$F367="G",""&amp;$F367="H"),IF($AY367="YES","",IF($AB367&lt;&gt;0,"",IF(COUNTIFS('AR SALES'!$L$2:$L$2501,$L367,'AR SALES'!$AD$2:$AD$2501,IF(""&amp;$F367="4","OFF","ON"),'AR SALES'!$AF$2:$AF$2501,"Y")&gt;0,"","NO EXEMPTION"))),"")</f>
        <v/>
      </c>
    </row>
    <row r="368" spans="46:54" x14ac:dyDescent="0.25">
      <c r="AT368" s="2" t="str">
        <f>IF($L368="","",IFERROR(INDEX('AR SALES'!$H$2:$H$2501,MATCH(""&amp;$L368,'AR SALES'!$AE$2:$AE$2501,0)),""))</f>
        <v/>
      </c>
      <c r="AU368" s="2" t="str">
        <f t="shared" si="20"/>
        <v/>
      </c>
      <c r="AV368" s="2" t="str">
        <f t="shared" si="21"/>
        <v/>
      </c>
      <c r="AW368" s="2" t="str">
        <f t="shared" si="22"/>
        <v/>
      </c>
      <c r="AX368" s="2" t="str">
        <f t="shared" si="23"/>
        <v/>
      </c>
      <c r="AY368" s="2" t="str">
        <f>IF($AV368="","",IF(AND($Z368=0,COUNTIF('AR SALES'!$L$2:$L$2501,$L368)=0),"YES",""))</f>
        <v/>
      </c>
      <c r="AZ368" s="2" t="str">
        <f>IF($AV368="","",IF(COUNTIF(LISTS!$C$2:$C$250,$AU368)=0,"NEW",""))</f>
        <v/>
      </c>
      <c r="BA368" s="2" t="str">
        <f>IF(""&amp;$F368&lt;&gt;"4","",IF($AY368="YES","",IF(ROUND(SUMIFS($AE$2:$AE$4001,$L$2:$L$4001,$L368,$F$2:$F$4001,"4")-SUMIFS('AR SALES'!$Y$2:$Y$2501,'AR SALES'!$L$2:$L$2501,$L368,'AR SALES'!$AD$2:$AD$2501,"OFF"),2)=0,"","STALE")))</f>
        <v/>
      </c>
      <c r="BB368" s="2" t="str">
        <f>IF(OR(""&amp;$F368="2",""&amp;$F368="4",""&amp;$F368="G",""&amp;$F368="H"),IF($AY368="YES","",IF($AB368&lt;&gt;0,"",IF(COUNTIFS('AR SALES'!$L$2:$L$2501,$L368,'AR SALES'!$AD$2:$AD$2501,IF(""&amp;$F368="4","OFF","ON"),'AR SALES'!$AF$2:$AF$2501,"Y")&gt;0,"","NO EXEMPTION"))),"")</f>
        <v/>
      </c>
    </row>
    <row r="369" spans="46:54" x14ac:dyDescent="0.25">
      <c r="AT369" s="2" t="str">
        <f>IF($L369="","",IFERROR(INDEX('AR SALES'!$H$2:$H$2501,MATCH(""&amp;$L369,'AR SALES'!$AE$2:$AE$2501,0)),""))</f>
        <v/>
      </c>
      <c r="AU369" s="2" t="str">
        <f t="shared" si="20"/>
        <v/>
      </c>
      <c r="AV369" s="2" t="str">
        <f t="shared" si="21"/>
        <v/>
      </c>
      <c r="AW369" s="2" t="str">
        <f t="shared" si="22"/>
        <v/>
      </c>
      <c r="AX369" s="2" t="str">
        <f t="shared" si="23"/>
        <v/>
      </c>
      <c r="AY369" s="2" t="str">
        <f>IF($AV369="","",IF(AND($Z369=0,COUNTIF('AR SALES'!$L$2:$L$2501,$L369)=0),"YES",""))</f>
        <v/>
      </c>
      <c r="AZ369" s="2" t="str">
        <f>IF($AV369="","",IF(COUNTIF(LISTS!$C$2:$C$250,$AU369)=0,"NEW",""))</f>
        <v/>
      </c>
      <c r="BA369" s="2" t="str">
        <f>IF(""&amp;$F369&lt;&gt;"4","",IF($AY369="YES","",IF(ROUND(SUMIFS($AE$2:$AE$4001,$L$2:$L$4001,$L369,$F$2:$F$4001,"4")-SUMIFS('AR SALES'!$Y$2:$Y$2501,'AR SALES'!$L$2:$L$2501,$L369,'AR SALES'!$AD$2:$AD$2501,"OFF"),2)=0,"","STALE")))</f>
        <v/>
      </c>
      <c r="BB369" s="2" t="str">
        <f>IF(OR(""&amp;$F369="2",""&amp;$F369="4",""&amp;$F369="G",""&amp;$F369="H"),IF($AY369="YES","",IF($AB369&lt;&gt;0,"",IF(COUNTIFS('AR SALES'!$L$2:$L$2501,$L369,'AR SALES'!$AD$2:$AD$2501,IF(""&amp;$F369="4","OFF","ON"),'AR SALES'!$AF$2:$AF$2501,"Y")&gt;0,"","NO EXEMPTION"))),"")</f>
        <v/>
      </c>
    </row>
    <row r="370" spans="46:54" x14ac:dyDescent="0.25">
      <c r="AT370" s="2" t="str">
        <f>IF($L370="","",IFERROR(INDEX('AR SALES'!$H$2:$H$2501,MATCH(""&amp;$L370,'AR SALES'!$AE$2:$AE$2501,0)),""))</f>
        <v/>
      </c>
      <c r="AU370" s="2" t="str">
        <f t="shared" si="20"/>
        <v/>
      </c>
      <c r="AV370" s="2" t="str">
        <f t="shared" si="21"/>
        <v/>
      </c>
      <c r="AW370" s="2" t="str">
        <f t="shared" si="22"/>
        <v/>
      </c>
      <c r="AX370" s="2" t="str">
        <f t="shared" si="23"/>
        <v/>
      </c>
      <c r="AY370" s="2" t="str">
        <f>IF($AV370="","",IF(AND($Z370=0,COUNTIF('AR SALES'!$L$2:$L$2501,$L370)=0),"YES",""))</f>
        <v/>
      </c>
      <c r="AZ370" s="2" t="str">
        <f>IF($AV370="","",IF(COUNTIF(LISTS!$C$2:$C$250,$AU370)=0,"NEW",""))</f>
        <v/>
      </c>
      <c r="BA370" s="2" t="str">
        <f>IF(""&amp;$F370&lt;&gt;"4","",IF($AY370="YES","",IF(ROUND(SUMIFS($AE$2:$AE$4001,$L$2:$L$4001,$L370,$F$2:$F$4001,"4")-SUMIFS('AR SALES'!$Y$2:$Y$2501,'AR SALES'!$L$2:$L$2501,$L370,'AR SALES'!$AD$2:$AD$2501,"OFF"),2)=0,"","STALE")))</f>
        <v/>
      </c>
      <c r="BB370" s="2" t="str">
        <f>IF(OR(""&amp;$F370="2",""&amp;$F370="4",""&amp;$F370="G",""&amp;$F370="H"),IF($AY370="YES","",IF($AB370&lt;&gt;0,"",IF(COUNTIFS('AR SALES'!$L$2:$L$2501,$L370,'AR SALES'!$AD$2:$AD$2501,IF(""&amp;$F370="4","OFF","ON"),'AR SALES'!$AF$2:$AF$2501,"Y")&gt;0,"","NO EXEMPTION"))),"")</f>
        <v/>
      </c>
    </row>
    <row r="371" spans="46:54" x14ac:dyDescent="0.25">
      <c r="AT371" s="2" t="str">
        <f>IF($L371="","",IFERROR(INDEX('AR SALES'!$H$2:$H$2501,MATCH(""&amp;$L371,'AR SALES'!$AE$2:$AE$2501,0)),""))</f>
        <v/>
      </c>
      <c r="AU371" s="2" t="str">
        <f t="shared" si="20"/>
        <v/>
      </c>
      <c r="AV371" s="2" t="str">
        <f t="shared" si="21"/>
        <v/>
      </c>
      <c r="AW371" s="2" t="str">
        <f t="shared" si="22"/>
        <v/>
      </c>
      <c r="AX371" s="2" t="str">
        <f t="shared" si="23"/>
        <v/>
      </c>
      <c r="AY371" s="2" t="str">
        <f>IF($AV371="","",IF(AND($Z371=0,COUNTIF('AR SALES'!$L$2:$L$2501,$L371)=0),"YES",""))</f>
        <v/>
      </c>
      <c r="AZ371" s="2" t="str">
        <f>IF($AV371="","",IF(COUNTIF(LISTS!$C$2:$C$250,$AU371)=0,"NEW",""))</f>
        <v/>
      </c>
      <c r="BA371" s="2" t="str">
        <f>IF(""&amp;$F371&lt;&gt;"4","",IF($AY371="YES","",IF(ROUND(SUMIFS($AE$2:$AE$4001,$L$2:$L$4001,$L371,$F$2:$F$4001,"4")-SUMIFS('AR SALES'!$Y$2:$Y$2501,'AR SALES'!$L$2:$L$2501,$L371,'AR SALES'!$AD$2:$AD$2501,"OFF"),2)=0,"","STALE")))</f>
        <v/>
      </c>
      <c r="BB371" s="2" t="str">
        <f>IF(OR(""&amp;$F371="2",""&amp;$F371="4",""&amp;$F371="G",""&amp;$F371="H"),IF($AY371="YES","",IF($AB371&lt;&gt;0,"",IF(COUNTIFS('AR SALES'!$L$2:$L$2501,$L371,'AR SALES'!$AD$2:$AD$2501,IF(""&amp;$F371="4","OFF","ON"),'AR SALES'!$AF$2:$AF$2501,"Y")&gt;0,"","NO EXEMPTION"))),"")</f>
        <v/>
      </c>
    </row>
    <row r="372" spans="46:54" x14ac:dyDescent="0.25">
      <c r="AT372" s="2" t="str">
        <f>IF($L372="","",IFERROR(INDEX('AR SALES'!$H$2:$H$2501,MATCH(""&amp;$L372,'AR SALES'!$AE$2:$AE$2501,0)),""))</f>
        <v/>
      </c>
      <c r="AU372" s="2" t="str">
        <f t="shared" si="20"/>
        <v/>
      </c>
      <c r="AV372" s="2" t="str">
        <f t="shared" si="21"/>
        <v/>
      </c>
      <c r="AW372" s="2" t="str">
        <f t="shared" si="22"/>
        <v/>
      </c>
      <c r="AX372" s="2" t="str">
        <f t="shared" si="23"/>
        <v/>
      </c>
      <c r="AY372" s="2" t="str">
        <f>IF($AV372="","",IF(AND($Z372=0,COUNTIF('AR SALES'!$L$2:$L$2501,$L372)=0),"YES",""))</f>
        <v/>
      </c>
      <c r="AZ372" s="2" t="str">
        <f>IF($AV372="","",IF(COUNTIF(LISTS!$C$2:$C$250,$AU372)=0,"NEW",""))</f>
        <v/>
      </c>
      <c r="BA372" s="2" t="str">
        <f>IF(""&amp;$F372&lt;&gt;"4","",IF($AY372="YES","",IF(ROUND(SUMIFS($AE$2:$AE$4001,$L$2:$L$4001,$L372,$F$2:$F$4001,"4")-SUMIFS('AR SALES'!$Y$2:$Y$2501,'AR SALES'!$L$2:$L$2501,$L372,'AR SALES'!$AD$2:$AD$2501,"OFF"),2)=0,"","STALE")))</f>
        <v/>
      </c>
      <c r="BB372" s="2" t="str">
        <f>IF(OR(""&amp;$F372="2",""&amp;$F372="4",""&amp;$F372="G",""&amp;$F372="H"),IF($AY372="YES","",IF($AB372&lt;&gt;0,"",IF(COUNTIFS('AR SALES'!$L$2:$L$2501,$L372,'AR SALES'!$AD$2:$AD$2501,IF(""&amp;$F372="4","OFF","ON"),'AR SALES'!$AF$2:$AF$2501,"Y")&gt;0,"","NO EXEMPTION"))),"")</f>
        <v/>
      </c>
    </row>
    <row r="373" spans="46:54" x14ac:dyDescent="0.25">
      <c r="AT373" s="2" t="str">
        <f>IF($L373="","",IFERROR(INDEX('AR SALES'!$H$2:$H$2501,MATCH(""&amp;$L373,'AR SALES'!$AE$2:$AE$2501,0)),""))</f>
        <v/>
      </c>
      <c r="AU373" s="2" t="str">
        <f t="shared" si="20"/>
        <v/>
      </c>
      <c r="AV373" s="2" t="str">
        <f t="shared" si="21"/>
        <v/>
      </c>
      <c r="AW373" s="2" t="str">
        <f t="shared" si="22"/>
        <v/>
      </c>
      <c r="AX373" s="2" t="str">
        <f t="shared" si="23"/>
        <v/>
      </c>
      <c r="AY373" s="2" t="str">
        <f>IF($AV373="","",IF(AND($Z373=0,COUNTIF('AR SALES'!$L$2:$L$2501,$L373)=0),"YES",""))</f>
        <v/>
      </c>
      <c r="AZ373" s="2" t="str">
        <f>IF($AV373="","",IF(COUNTIF(LISTS!$C$2:$C$250,$AU373)=0,"NEW",""))</f>
        <v/>
      </c>
      <c r="BA373" s="2" t="str">
        <f>IF(""&amp;$F373&lt;&gt;"4","",IF($AY373="YES","",IF(ROUND(SUMIFS($AE$2:$AE$4001,$L$2:$L$4001,$L373,$F$2:$F$4001,"4")-SUMIFS('AR SALES'!$Y$2:$Y$2501,'AR SALES'!$L$2:$L$2501,$L373,'AR SALES'!$AD$2:$AD$2501,"OFF"),2)=0,"","STALE")))</f>
        <v/>
      </c>
      <c r="BB373" s="2" t="str">
        <f>IF(OR(""&amp;$F373="2",""&amp;$F373="4",""&amp;$F373="G",""&amp;$F373="H"),IF($AY373="YES","",IF($AB373&lt;&gt;0,"",IF(COUNTIFS('AR SALES'!$L$2:$L$2501,$L373,'AR SALES'!$AD$2:$AD$2501,IF(""&amp;$F373="4","OFF","ON"),'AR SALES'!$AF$2:$AF$2501,"Y")&gt;0,"","NO EXEMPTION"))),"")</f>
        <v/>
      </c>
    </row>
    <row r="374" spans="46:54" x14ac:dyDescent="0.25">
      <c r="AT374" s="2" t="str">
        <f>IF($L374="","",IFERROR(INDEX('AR SALES'!$H$2:$H$2501,MATCH(""&amp;$L374,'AR SALES'!$AE$2:$AE$2501,0)),""))</f>
        <v/>
      </c>
      <c r="AU374" s="2" t="str">
        <f t="shared" si="20"/>
        <v/>
      </c>
      <c r="AV374" s="2" t="str">
        <f t="shared" si="21"/>
        <v/>
      </c>
      <c r="AW374" s="2" t="str">
        <f t="shared" si="22"/>
        <v/>
      </c>
      <c r="AX374" s="2" t="str">
        <f t="shared" si="23"/>
        <v/>
      </c>
      <c r="AY374" s="2" t="str">
        <f>IF($AV374="","",IF(AND($Z374=0,COUNTIF('AR SALES'!$L$2:$L$2501,$L374)=0),"YES",""))</f>
        <v/>
      </c>
      <c r="AZ374" s="2" t="str">
        <f>IF($AV374="","",IF(COUNTIF(LISTS!$C$2:$C$250,$AU374)=0,"NEW",""))</f>
        <v/>
      </c>
      <c r="BA374" s="2" t="str">
        <f>IF(""&amp;$F374&lt;&gt;"4","",IF($AY374="YES","",IF(ROUND(SUMIFS($AE$2:$AE$4001,$L$2:$L$4001,$L374,$F$2:$F$4001,"4")-SUMIFS('AR SALES'!$Y$2:$Y$2501,'AR SALES'!$L$2:$L$2501,$L374,'AR SALES'!$AD$2:$AD$2501,"OFF"),2)=0,"","STALE")))</f>
        <v/>
      </c>
      <c r="BB374" s="2" t="str">
        <f>IF(OR(""&amp;$F374="2",""&amp;$F374="4",""&amp;$F374="G",""&amp;$F374="H"),IF($AY374="YES","",IF($AB374&lt;&gt;0,"",IF(COUNTIFS('AR SALES'!$L$2:$L$2501,$L374,'AR SALES'!$AD$2:$AD$2501,IF(""&amp;$F374="4","OFF","ON"),'AR SALES'!$AF$2:$AF$2501,"Y")&gt;0,"","NO EXEMPTION"))),"")</f>
        <v/>
      </c>
    </row>
    <row r="375" spans="46:54" x14ac:dyDescent="0.25">
      <c r="AT375" s="2" t="str">
        <f>IF($L375="","",IFERROR(INDEX('AR SALES'!$H$2:$H$2501,MATCH(""&amp;$L375,'AR SALES'!$AE$2:$AE$2501,0)),""))</f>
        <v/>
      </c>
      <c r="AU375" s="2" t="str">
        <f t="shared" si="20"/>
        <v/>
      </c>
      <c r="AV375" s="2" t="str">
        <f t="shared" si="21"/>
        <v/>
      </c>
      <c r="AW375" s="2" t="str">
        <f t="shared" si="22"/>
        <v/>
      </c>
      <c r="AX375" s="2" t="str">
        <f t="shared" si="23"/>
        <v/>
      </c>
      <c r="AY375" s="2" t="str">
        <f>IF($AV375="","",IF(AND($Z375=0,COUNTIF('AR SALES'!$L$2:$L$2501,$L375)=0),"YES",""))</f>
        <v/>
      </c>
      <c r="AZ375" s="2" t="str">
        <f>IF($AV375="","",IF(COUNTIF(LISTS!$C$2:$C$250,$AU375)=0,"NEW",""))</f>
        <v/>
      </c>
      <c r="BA375" s="2" t="str">
        <f>IF(""&amp;$F375&lt;&gt;"4","",IF($AY375="YES","",IF(ROUND(SUMIFS($AE$2:$AE$4001,$L$2:$L$4001,$L375,$F$2:$F$4001,"4")-SUMIFS('AR SALES'!$Y$2:$Y$2501,'AR SALES'!$L$2:$L$2501,$L375,'AR SALES'!$AD$2:$AD$2501,"OFF"),2)=0,"","STALE")))</f>
        <v/>
      </c>
      <c r="BB375" s="2" t="str">
        <f>IF(OR(""&amp;$F375="2",""&amp;$F375="4",""&amp;$F375="G",""&amp;$F375="H"),IF($AY375="YES","",IF($AB375&lt;&gt;0,"",IF(COUNTIFS('AR SALES'!$L$2:$L$2501,$L375,'AR SALES'!$AD$2:$AD$2501,IF(""&amp;$F375="4","OFF","ON"),'AR SALES'!$AF$2:$AF$2501,"Y")&gt;0,"","NO EXEMPTION"))),"")</f>
        <v/>
      </c>
    </row>
    <row r="376" spans="46:54" x14ac:dyDescent="0.25">
      <c r="AT376" s="2" t="str">
        <f>IF($L376="","",IFERROR(INDEX('AR SALES'!$H$2:$H$2501,MATCH(""&amp;$L376,'AR SALES'!$AE$2:$AE$2501,0)),""))</f>
        <v/>
      </c>
      <c r="AU376" s="2" t="str">
        <f t="shared" si="20"/>
        <v/>
      </c>
      <c r="AV376" s="2" t="str">
        <f t="shared" si="21"/>
        <v/>
      </c>
      <c r="AW376" s="2" t="str">
        <f t="shared" si="22"/>
        <v/>
      </c>
      <c r="AX376" s="2" t="str">
        <f t="shared" si="23"/>
        <v/>
      </c>
      <c r="AY376" s="2" t="str">
        <f>IF($AV376="","",IF(AND($Z376=0,COUNTIF('AR SALES'!$L$2:$L$2501,$L376)=0),"YES",""))</f>
        <v/>
      </c>
      <c r="AZ376" s="2" t="str">
        <f>IF($AV376="","",IF(COUNTIF(LISTS!$C$2:$C$250,$AU376)=0,"NEW",""))</f>
        <v/>
      </c>
      <c r="BA376" s="2" t="str">
        <f>IF(""&amp;$F376&lt;&gt;"4","",IF($AY376="YES","",IF(ROUND(SUMIFS($AE$2:$AE$4001,$L$2:$L$4001,$L376,$F$2:$F$4001,"4")-SUMIFS('AR SALES'!$Y$2:$Y$2501,'AR SALES'!$L$2:$L$2501,$L376,'AR SALES'!$AD$2:$AD$2501,"OFF"),2)=0,"","STALE")))</f>
        <v/>
      </c>
      <c r="BB376" s="2" t="str">
        <f>IF(OR(""&amp;$F376="2",""&amp;$F376="4",""&amp;$F376="G",""&amp;$F376="H"),IF($AY376="YES","",IF($AB376&lt;&gt;0,"",IF(COUNTIFS('AR SALES'!$L$2:$L$2501,$L376,'AR SALES'!$AD$2:$AD$2501,IF(""&amp;$F376="4","OFF","ON"),'AR SALES'!$AF$2:$AF$2501,"Y")&gt;0,"","NO EXEMPTION"))),"")</f>
        <v/>
      </c>
    </row>
    <row r="377" spans="46:54" x14ac:dyDescent="0.25">
      <c r="AT377" s="2" t="str">
        <f>IF($L377="","",IFERROR(INDEX('AR SALES'!$H$2:$H$2501,MATCH(""&amp;$L377,'AR SALES'!$AE$2:$AE$2501,0)),""))</f>
        <v/>
      </c>
      <c r="AU377" s="2" t="str">
        <f t="shared" si="20"/>
        <v/>
      </c>
      <c r="AV377" s="2" t="str">
        <f t="shared" si="21"/>
        <v/>
      </c>
      <c r="AW377" s="2" t="str">
        <f t="shared" si="22"/>
        <v/>
      </c>
      <c r="AX377" s="2" t="str">
        <f t="shared" si="23"/>
        <v/>
      </c>
      <c r="AY377" s="2" t="str">
        <f>IF($AV377="","",IF(AND($Z377=0,COUNTIF('AR SALES'!$L$2:$L$2501,$L377)=0),"YES",""))</f>
        <v/>
      </c>
      <c r="AZ377" s="2" t="str">
        <f>IF($AV377="","",IF(COUNTIF(LISTS!$C$2:$C$250,$AU377)=0,"NEW",""))</f>
        <v/>
      </c>
      <c r="BA377" s="2" t="str">
        <f>IF(""&amp;$F377&lt;&gt;"4","",IF($AY377="YES","",IF(ROUND(SUMIFS($AE$2:$AE$4001,$L$2:$L$4001,$L377,$F$2:$F$4001,"4")-SUMIFS('AR SALES'!$Y$2:$Y$2501,'AR SALES'!$L$2:$L$2501,$L377,'AR SALES'!$AD$2:$AD$2501,"OFF"),2)=0,"","STALE")))</f>
        <v/>
      </c>
      <c r="BB377" s="2" t="str">
        <f>IF(OR(""&amp;$F377="2",""&amp;$F377="4",""&amp;$F377="G",""&amp;$F377="H"),IF($AY377="YES","",IF($AB377&lt;&gt;0,"",IF(COUNTIFS('AR SALES'!$L$2:$L$2501,$L377,'AR SALES'!$AD$2:$AD$2501,IF(""&amp;$F377="4","OFF","ON"),'AR SALES'!$AF$2:$AF$2501,"Y")&gt;0,"","NO EXEMPTION"))),"")</f>
        <v/>
      </c>
    </row>
    <row r="378" spans="46:54" x14ac:dyDescent="0.25">
      <c r="AT378" s="2" t="str">
        <f>IF($L378="","",IFERROR(INDEX('AR SALES'!$H$2:$H$2501,MATCH(""&amp;$L378,'AR SALES'!$AE$2:$AE$2501,0)),""))</f>
        <v/>
      </c>
      <c r="AU378" s="2" t="str">
        <f t="shared" si="20"/>
        <v/>
      </c>
      <c r="AV378" s="2" t="str">
        <f t="shared" si="21"/>
        <v/>
      </c>
      <c r="AW378" s="2" t="str">
        <f t="shared" si="22"/>
        <v/>
      </c>
      <c r="AX378" s="2" t="str">
        <f t="shared" si="23"/>
        <v/>
      </c>
      <c r="AY378" s="2" t="str">
        <f>IF($AV378="","",IF(AND($Z378=0,COUNTIF('AR SALES'!$L$2:$L$2501,$L378)=0),"YES",""))</f>
        <v/>
      </c>
      <c r="AZ378" s="2" t="str">
        <f>IF($AV378="","",IF(COUNTIF(LISTS!$C$2:$C$250,$AU378)=0,"NEW",""))</f>
        <v/>
      </c>
      <c r="BA378" s="2" t="str">
        <f>IF(""&amp;$F378&lt;&gt;"4","",IF($AY378="YES","",IF(ROUND(SUMIFS($AE$2:$AE$4001,$L$2:$L$4001,$L378,$F$2:$F$4001,"4")-SUMIFS('AR SALES'!$Y$2:$Y$2501,'AR SALES'!$L$2:$L$2501,$L378,'AR SALES'!$AD$2:$AD$2501,"OFF"),2)=0,"","STALE")))</f>
        <v/>
      </c>
      <c r="BB378" s="2" t="str">
        <f>IF(OR(""&amp;$F378="2",""&amp;$F378="4",""&amp;$F378="G",""&amp;$F378="H"),IF($AY378="YES","",IF($AB378&lt;&gt;0,"",IF(COUNTIFS('AR SALES'!$L$2:$L$2501,$L378,'AR SALES'!$AD$2:$AD$2501,IF(""&amp;$F378="4","OFF","ON"),'AR SALES'!$AF$2:$AF$2501,"Y")&gt;0,"","NO EXEMPTION"))),"")</f>
        <v/>
      </c>
    </row>
    <row r="379" spans="46:54" x14ac:dyDescent="0.25">
      <c r="AT379" s="2" t="str">
        <f>IF($L379="","",IFERROR(INDEX('AR SALES'!$H$2:$H$2501,MATCH(""&amp;$L379,'AR SALES'!$AE$2:$AE$2501,0)),""))</f>
        <v/>
      </c>
      <c r="AU379" s="2" t="str">
        <f t="shared" si="20"/>
        <v/>
      </c>
      <c r="AV379" s="2" t="str">
        <f t="shared" si="21"/>
        <v/>
      </c>
      <c r="AW379" s="2" t="str">
        <f t="shared" si="22"/>
        <v/>
      </c>
      <c r="AX379" s="2" t="str">
        <f t="shared" si="23"/>
        <v/>
      </c>
      <c r="AY379" s="2" t="str">
        <f>IF($AV379="","",IF(AND($Z379=0,COUNTIF('AR SALES'!$L$2:$L$2501,$L379)=0),"YES",""))</f>
        <v/>
      </c>
      <c r="AZ379" s="2" t="str">
        <f>IF($AV379="","",IF(COUNTIF(LISTS!$C$2:$C$250,$AU379)=0,"NEW",""))</f>
        <v/>
      </c>
      <c r="BA379" s="2" t="str">
        <f>IF(""&amp;$F379&lt;&gt;"4","",IF($AY379="YES","",IF(ROUND(SUMIFS($AE$2:$AE$4001,$L$2:$L$4001,$L379,$F$2:$F$4001,"4")-SUMIFS('AR SALES'!$Y$2:$Y$2501,'AR SALES'!$L$2:$L$2501,$L379,'AR SALES'!$AD$2:$AD$2501,"OFF"),2)=0,"","STALE")))</f>
        <v/>
      </c>
      <c r="BB379" s="2" t="str">
        <f>IF(OR(""&amp;$F379="2",""&amp;$F379="4",""&amp;$F379="G",""&amp;$F379="H"),IF($AY379="YES","",IF($AB379&lt;&gt;0,"",IF(COUNTIFS('AR SALES'!$L$2:$L$2501,$L379,'AR SALES'!$AD$2:$AD$2501,IF(""&amp;$F379="4","OFF","ON"),'AR SALES'!$AF$2:$AF$2501,"Y")&gt;0,"","NO EXEMPTION"))),"")</f>
        <v/>
      </c>
    </row>
    <row r="380" spans="46:54" x14ac:dyDescent="0.25">
      <c r="AT380" s="2" t="str">
        <f>IF($L380="","",IFERROR(INDEX('AR SALES'!$H$2:$H$2501,MATCH(""&amp;$L380,'AR SALES'!$AE$2:$AE$2501,0)),""))</f>
        <v/>
      </c>
      <c r="AU380" s="2" t="str">
        <f t="shared" si="20"/>
        <v/>
      </c>
      <c r="AV380" s="2" t="str">
        <f t="shared" si="21"/>
        <v/>
      </c>
      <c r="AW380" s="2" t="str">
        <f t="shared" si="22"/>
        <v/>
      </c>
      <c r="AX380" s="2" t="str">
        <f t="shared" si="23"/>
        <v/>
      </c>
      <c r="AY380" s="2" t="str">
        <f>IF($AV380="","",IF(AND($Z380=0,COUNTIF('AR SALES'!$L$2:$L$2501,$L380)=0),"YES",""))</f>
        <v/>
      </c>
      <c r="AZ380" s="2" t="str">
        <f>IF($AV380="","",IF(COUNTIF(LISTS!$C$2:$C$250,$AU380)=0,"NEW",""))</f>
        <v/>
      </c>
      <c r="BA380" s="2" t="str">
        <f>IF(""&amp;$F380&lt;&gt;"4","",IF($AY380="YES","",IF(ROUND(SUMIFS($AE$2:$AE$4001,$L$2:$L$4001,$L380,$F$2:$F$4001,"4")-SUMIFS('AR SALES'!$Y$2:$Y$2501,'AR SALES'!$L$2:$L$2501,$L380,'AR SALES'!$AD$2:$AD$2501,"OFF"),2)=0,"","STALE")))</f>
        <v/>
      </c>
      <c r="BB380" s="2" t="str">
        <f>IF(OR(""&amp;$F380="2",""&amp;$F380="4",""&amp;$F380="G",""&amp;$F380="H"),IF($AY380="YES","",IF($AB380&lt;&gt;0,"",IF(COUNTIFS('AR SALES'!$L$2:$L$2501,$L380,'AR SALES'!$AD$2:$AD$2501,IF(""&amp;$F380="4","OFF","ON"),'AR SALES'!$AF$2:$AF$2501,"Y")&gt;0,"","NO EXEMPTION"))),"")</f>
        <v/>
      </c>
    </row>
    <row r="381" spans="46:54" x14ac:dyDescent="0.25">
      <c r="AT381" s="2" t="str">
        <f>IF($L381="","",IFERROR(INDEX('AR SALES'!$H$2:$H$2501,MATCH(""&amp;$L381,'AR SALES'!$AE$2:$AE$2501,0)),""))</f>
        <v/>
      </c>
      <c r="AU381" s="2" t="str">
        <f t="shared" si="20"/>
        <v/>
      </c>
      <c r="AV381" s="2" t="str">
        <f t="shared" si="21"/>
        <v/>
      </c>
      <c r="AW381" s="2" t="str">
        <f t="shared" si="22"/>
        <v/>
      </c>
      <c r="AX381" s="2" t="str">
        <f t="shared" si="23"/>
        <v/>
      </c>
      <c r="AY381" s="2" t="str">
        <f>IF($AV381="","",IF(AND($Z381=0,COUNTIF('AR SALES'!$L$2:$L$2501,$L381)=0),"YES",""))</f>
        <v/>
      </c>
      <c r="AZ381" s="2" t="str">
        <f>IF($AV381="","",IF(COUNTIF(LISTS!$C$2:$C$250,$AU381)=0,"NEW",""))</f>
        <v/>
      </c>
      <c r="BA381" s="2" t="str">
        <f>IF(""&amp;$F381&lt;&gt;"4","",IF($AY381="YES","",IF(ROUND(SUMIFS($AE$2:$AE$4001,$L$2:$L$4001,$L381,$F$2:$F$4001,"4")-SUMIFS('AR SALES'!$Y$2:$Y$2501,'AR SALES'!$L$2:$L$2501,$L381,'AR SALES'!$AD$2:$AD$2501,"OFF"),2)=0,"","STALE")))</f>
        <v/>
      </c>
      <c r="BB381" s="2" t="str">
        <f>IF(OR(""&amp;$F381="2",""&amp;$F381="4",""&amp;$F381="G",""&amp;$F381="H"),IF($AY381="YES","",IF($AB381&lt;&gt;0,"",IF(COUNTIFS('AR SALES'!$L$2:$L$2501,$L381,'AR SALES'!$AD$2:$AD$2501,IF(""&amp;$F381="4","OFF","ON"),'AR SALES'!$AF$2:$AF$2501,"Y")&gt;0,"","NO EXEMPTION"))),"")</f>
        <v/>
      </c>
    </row>
    <row r="382" spans="46:54" x14ac:dyDescent="0.25">
      <c r="AT382" s="2" t="str">
        <f>IF($L382="","",IFERROR(INDEX('AR SALES'!$H$2:$H$2501,MATCH(""&amp;$L382,'AR SALES'!$AE$2:$AE$2501,0)),""))</f>
        <v/>
      </c>
      <c r="AU382" s="2" t="str">
        <f t="shared" si="20"/>
        <v/>
      </c>
      <c r="AV382" s="2" t="str">
        <f t="shared" si="21"/>
        <v/>
      </c>
      <c r="AW382" s="2" t="str">
        <f t="shared" si="22"/>
        <v/>
      </c>
      <c r="AX382" s="2" t="str">
        <f t="shared" si="23"/>
        <v/>
      </c>
      <c r="AY382" s="2" t="str">
        <f>IF($AV382="","",IF(AND($Z382=0,COUNTIF('AR SALES'!$L$2:$L$2501,$L382)=0),"YES",""))</f>
        <v/>
      </c>
      <c r="AZ382" s="2" t="str">
        <f>IF($AV382="","",IF(COUNTIF(LISTS!$C$2:$C$250,$AU382)=0,"NEW",""))</f>
        <v/>
      </c>
      <c r="BA382" s="2" t="str">
        <f>IF(""&amp;$F382&lt;&gt;"4","",IF($AY382="YES","",IF(ROUND(SUMIFS($AE$2:$AE$4001,$L$2:$L$4001,$L382,$F$2:$F$4001,"4")-SUMIFS('AR SALES'!$Y$2:$Y$2501,'AR SALES'!$L$2:$L$2501,$L382,'AR SALES'!$AD$2:$AD$2501,"OFF"),2)=0,"","STALE")))</f>
        <v/>
      </c>
      <c r="BB382" s="2" t="str">
        <f>IF(OR(""&amp;$F382="2",""&amp;$F382="4",""&amp;$F382="G",""&amp;$F382="H"),IF($AY382="YES","",IF($AB382&lt;&gt;0,"",IF(COUNTIFS('AR SALES'!$L$2:$L$2501,$L382,'AR SALES'!$AD$2:$AD$2501,IF(""&amp;$F382="4","OFF","ON"),'AR SALES'!$AF$2:$AF$2501,"Y")&gt;0,"","NO EXEMPTION"))),"")</f>
        <v/>
      </c>
    </row>
    <row r="383" spans="46:54" x14ac:dyDescent="0.25">
      <c r="AT383" s="2" t="str">
        <f>IF($L383="","",IFERROR(INDEX('AR SALES'!$H$2:$H$2501,MATCH(""&amp;$L383,'AR SALES'!$AE$2:$AE$2501,0)),""))</f>
        <v/>
      </c>
      <c r="AU383" s="2" t="str">
        <f t="shared" si="20"/>
        <v/>
      </c>
      <c r="AV383" s="2" t="str">
        <f t="shared" si="21"/>
        <v/>
      </c>
      <c r="AW383" s="2" t="str">
        <f t="shared" si="22"/>
        <v/>
      </c>
      <c r="AX383" s="2" t="str">
        <f t="shared" si="23"/>
        <v/>
      </c>
      <c r="AY383" s="2" t="str">
        <f>IF($AV383="","",IF(AND($Z383=0,COUNTIF('AR SALES'!$L$2:$L$2501,$L383)=0),"YES",""))</f>
        <v/>
      </c>
      <c r="AZ383" s="2" t="str">
        <f>IF($AV383="","",IF(COUNTIF(LISTS!$C$2:$C$250,$AU383)=0,"NEW",""))</f>
        <v/>
      </c>
      <c r="BA383" s="2" t="str">
        <f>IF(""&amp;$F383&lt;&gt;"4","",IF($AY383="YES","",IF(ROUND(SUMIFS($AE$2:$AE$4001,$L$2:$L$4001,$L383,$F$2:$F$4001,"4")-SUMIFS('AR SALES'!$Y$2:$Y$2501,'AR SALES'!$L$2:$L$2501,$L383,'AR SALES'!$AD$2:$AD$2501,"OFF"),2)=0,"","STALE")))</f>
        <v/>
      </c>
      <c r="BB383" s="2" t="str">
        <f>IF(OR(""&amp;$F383="2",""&amp;$F383="4",""&amp;$F383="G",""&amp;$F383="H"),IF($AY383="YES","",IF($AB383&lt;&gt;0,"",IF(COUNTIFS('AR SALES'!$L$2:$L$2501,$L383,'AR SALES'!$AD$2:$AD$2501,IF(""&amp;$F383="4","OFF","ON"),'AR SALES'!$AF$2:$AF$2501,"Y")&gt;0,"","NO EXEMPTION"))),"")</f>
        <v/>
      </c>
    </row>
    <row r="384" spans="46:54" x14ac:dyDescent="0.25">
      <c r="AT384" s="2" t="str">
        <f>IF($L384="","",IFERROR(INDEX('AR SALES'!$H$2:$H$2501,MATCH(""&amp;$L384,'AR SALES'!$AE$2:$AE$2501,0)),""))</f>
        <v/>
      </c>
      <c r="AU384" s="2" t="str">
        <f t="shared" si="20"/>
        <v/>
      </c>
      <c r="AV384" s="2" t="str">
        <f t="shared" si="21"/>
        <v/>
      </c>
      <c r="AW384" s="2" t="str">
        <f t="shared" si="22"/>
        <v/>
      </c>
      <c r="AX384" s="2" t="str">
        <f t="shared" si="23"/>
        <v/>
      </c>
      <c r="AY384" s="2" t="str">
        <f>IF($AV384="","",IF(AND($Z384=0,COUNTIF('AR SALES'!$L$2:$L$2501,$L384)=0),"YES",""))</f>
        <v/>
      </c>
      <c r="AZ384" s="2" t="str">
        <f>IF($AV384="","",IF(COUNTIF(LISTS!$C$2:$C$250,$AU384)=0,"NEW",""))</f>
        <v/>
      </c>
      <c r="BA384" s="2" t="str">
        <f>IF(""&amp;$F384&lt;&gt;"4","",IF($AY384="YES","",IF(ROUND(SUMIFS($AE$2:$AE$4001,$L$2:$L$4001,$L384,$F$2:$F$4001,"4")-SUMIFS('AR SALES'!$Y$2:$Y$2501,'AR SALES'!$L$2:$L$2501,$L384,'AR SALES'!$AD$2:$AD$2501,"OFF"),2)=0,"","STALE")))</f>
        <v/>
      </c>
      <c r="BB384" s="2" t="str">
        <f>IF(OR(""&amp;$F384="2",""&amp;$F384="4",""&amp;$F384="G",""&amp;$F384="H"),IF($AY384="YES","",IF($AB384&lt;&gt;0,"",IF(COUNTIFS('AR SALES'!$L$2:$L$2501,$L384,'AR SALES'!$AD$2:$AD$2501,IF(""&amp;$F384="4","OFF","ON"),'AR SALES'!$AF$2:$AF$2501,"Y")&gt;0,"","NO EXEMPTION"))),"")</f>
        <v/>
      </c>
    </row>
    <row r="385" spans="46:54" x14ac:dyDescent="0.25">
      <c r="AT385" s="2" t="str">
        <f>IF($L385="","",IFERROR(INDEX('AR SALES'!$H$2:$H$2501,MATCH(""&amp;$L385,'AR SALES'!$AE$2:$AE$2501,0)),""))</f>
        <v/>
      </c>
      <c r="AU385" s="2" t="str">
        <f t="shared" si="20"/>
        <v/>
      </c>
      <c r="AV385" s="2" t="str">
        <f t="shared" si="21"/>
        <v/>
      </c>
      <c r="AW385" s="2" t="str">
        <f t="shared" si="22"/>
        <v/>
      </c>
      <c r="AX385" s="2" t="str">
        <f t="shared" si="23"/>
        <v/>
      </c>
      <c r="AY385" s="2" t="str">
        <f>IF($AV385="","",IF(AND($Z385=0,COUNTIF('AR SALES'!$L$2:$L$2501,$L385)=0),"YES",""))</f>
        <v/>
      </c>
      <c r="AZ385" s="2" t="str">
        <f>IF($AV385="","",IF(COUNTIF(LISTS!$C$2:$C$250,$AU385)=0,"NEW",""))</f>
        <v/>
      </c>
      <c r="BA385" s="2" t="str">
        <f>IF(""&amp;$F385&lt;&gt;"4","",IF($AY385="YES","",IF(ROUND(SUMIFS($AE$2:$AE$4001,$L$2:$L$4001,$L385,$F$2:$F$4001,"4")-SUMIFS('AR SALES'!$Y$2:$Y$2501,'AR SALES'!$L$2:$L$2501,$L385,'AR SALES'!$AD$2:$AD$2501,"OFF"),2)=0,"","STALE")))</f>
        <v/>
      </c>
      <c r="BB385" s="2" t="str">
        <f>IF(OR(""&amp;$F385="2",""&amp;$F385="4",""&amp;$F385="G",""&amp;$F385="H"),IF($AY385="YES","",IF($AB385&lt;&gt;0,"",IF(COUNTIFS('AR SALES'!$L$2:$L$2501,$L385,'AR SALES'!$AD$2:$AD$2501,IF(""&amp;$F385="4","OFF","ON"),'AR SALES'!$AF$2:$AF$2501,"Y")&gt;0,"","NO EXEMPTION"))),"")</f>
        <v/>
      </c>
    </row>
    <row r="386" spans="46:54" x14ac:dyDescent="0.25">
      <c r="AT386" s="2" t="str">
        <f>IF($L386="","",IFERROR(INDEX('AR SALES'!$H$2:$H$2501,MATCH(""&amp;$L386,'AR SALES'!$AE$2:$AE$2501,0)),""))</f>
        <v/>
      </c>
      <c r="AU386" s="2" t="str">
        <f t="shared" ref="AU386:AU449" si="24">IF($L386="","",IF($A386&lt;&gt;"GA","",IF($E386="FULTON",IF(ISNUMBER(SEARCH("COLLEGE PARK",$AT386)),"FULTON (COLLEGE PARK)",IF(ISNUMBER(SEARCH("ATLANTA CITY",$AT386)),"FULTON (ATL LIMITS)","FULTON")),IF($E386="DEKALB",IF(ISNUMBER(SEARCH("ATLANTA CITY",$AT386)),"DEKALB (ATL LIMITS)","DEKALB"),$E386))))</f>
        <v/>
      </c>
      <c r="AV386" s="2" t="str">
        <f t="shared" ref="AV386:AV449" si="25">IF($L386="","",IF(""&amp;$F386="2","DIESEL",IF(OR(""&amp;$F386="G",""&amp;$F386="H"),"GAS","")))</f>
        <v/>
      </c>
      <c r="AW386" s="2" t="str">
        <f t="shared" ref="AW386:AW449" si="26">IF($AV386="","",$R386)</f>
        <v/>
      </c>
      <c r="AX386" s="2" t="str">
        <f t="shared" ref="AX386:AX449" si="27">IF($AV386="","",IF($AB386=0,$R386,0))</f>
        <v/>
      </c>
      <c r="AY386" s="2" t="str">
        <f>IF($AV386="","",IF(AND($Z386=0,COUNTIF('AR SALES'!$L$2:$L$2501,$L386)=0),"YES",""))</f>
        <v/>
      </c>
      <c r="AZ386" s="2" t="str">
        <f>IF($AV386="","",IF(COUNTIF(LISTS!$C$2:$C$250,$AU386)=0,"NEW",""))</f>
        <v/>
      </c>
      <c r="BA386" s="2" t="str">
        <f>IF(""&amp;$F386&lt;&gt;"4","",IF($AY386="YES","",IF(ROUND(SUMIFS($AE$2:$AE$4001,$L$2:$L$4001,$L386,$F$2:$F$4001,"4")-SUMIFS('AR SALES'!$Y$2:$Y$2501,'AR SALES'!$L$2:$L$2501,$L386,'AR SALES'!$AD$2:$AD$2501,"OFF"),2)=0,"","STALE")))</f>
        <v/>
      </c>
      <c r="BB386" s="2" t="str">
        <f>IF(OR(""&amp;$F386="2",""&amp;$F386="4",""&amp;$F386="G",""&amp;$F386="H"),IF($AY386="YES","",IF($AB386&lt;&gt;0,"",IF(COUNTIFS('AR SALES'!$L$2:$L$2501,$L386,'AR SALES'!$AD$2:$AD$2501,IF(""&amp;$F386="4","OFF","ON"),'AR SALES'!$AF$2:$AF$2501,"Y")&gt;0,"","NO EXEMPTION"))),"")</f>
        <v/>
      </c>
    </row>
    <row r="387" spans="46:54" x14ac:dyDescent="0.25">
      <c r="AT387" s="2" t="str">
        <f>IF($L387="","",IFERROR(INDEX('AR SALES'!$H$2:$H$2501,MATCH(""&amp;$L387,'AR SALES'!$AE$2:$AE$2501,0)),""))</f>
        <v/>
      </c>
      <c r="AU387" s="2" t="str">
        <f t="shared" si="24"/>
        <v/>
      </c>
      <c r="AV387" s="2" t="str">
        <f t="shared" si="25"/>
        <v/>
      </c>
      <c r="AW387" s="2" t="str">
        <f t="shared" si="26"/>
        <v/>
      </c>
      <c r="AX387" s="2" t="str">
        <f t="shared" si="27"/>
        <v/>
      </c>
      <c r="AY387" s="2" t="str">
        <f>IF($AV387="","",IF(AND($Z387=0,COUNTIF('AR SALES'!$L$2:$L$2501,$L387)=0),"YES",""))</f>
        <v/>
      </c>
      <c r="AZ387" s="2" t="str">
        <f>IF($AV387="","",IF(COUNTIF(LISTS!$C$2:$C$250,$AU387)=0,"NEW",""))</f>
        <v/>
      </c>
      <c r="BA387" s="2" t="str">
        <f>IF(""&amp;$F387&lt;&gt;"4","",IF($AY387="YES","",IF(ROUND(SUMIFS($AE$2:$AE$4001,$L$2:$L$4001,$L387,$F$2:$F$4001,"4")-SUMIFS('AR SALES'!$Y$2:$Y$2501,'AR SALES'!$L$2:$L$2501,$L387,'AR SALES'!$AD$2:$AD$2501,"OFF"),2)=0,"","STALE")))</f>
        <v/>
      </c>
      <c r="BB387" s="2" t="str">
        <f>IF(OR(""&amp;$F387="2",""&amp;$F387="4",""&amp;$F387="G",""&amp;$F387="H"),IF($AY387="YES","",IF($AB387&lt;&gt;0,"",IF(COUNTIFS('AR SALES'!$L$2:$L$2501,$L387,'AR SALES'!$AD$2:$AD$2501,IF(""&amp;$F387="4","OFF","ON"),'AR SALES'!$AF$2:$AF$2501,"Y")&gt;0,"","NO EXEMPTION"))),"")</f>
        <v/>
      </c>
    </row>
    <row r="388" spans="46:54" x14ac:dyDescent="0.25">
      <c r="AT388" s="2" t="str">
        <f>IF($L388="","",IFERROR(INDEX('AR SALES'!$H$2:$H$2501,MATCH(""&amp;$L388,'AR SALES'!$AE$2:$AE$2501,0)),""))</f>
        <v/>
      </c>
      <c r="AU388" s="2" t="str">
        <f t="shared" si="24"/>
        <v/>
      </c>
      <c r="AV388" s="2" t="str">
        <f t="shared" si="25"/>
        <v/>
      </c>
      <c r="AW388" s="2" t="str">
        <f t="shared" si="26"/>
        <v/>
      </c>
      <c r="AX388" s="2" t="str">
        <f t="shared" si="27"/>
        <v/>
      </c>
      <c r="AY388" s="2" t="str">
        <f>IF($AV388="","",IF(AND($Z388=0,COUNTIF('AR SALES'!$L$2:$L$2501,$L388)=0),"YES",""))</f>
        <v/>
      </c>
      <c r="AZ388" s="2" t="str">
        <f>IF($AV388="","",IF(COUNTIF(LISTS!$C$2:$C$250,$AU388)=0,"NEW",""))</f>
        <v/>
      </c>
      <c r="BA388" s="2" t="str">
        <f>IF(""&amp;$F388&lt;&gt;"4","",IF($AY388="YES","",IF(ROUND(SUMIFS($AE$2:$AE$4001,$L$2:$L$4001,$L388,$F$2:$F$4001,"4")-SUMIFS('AR SALES'!$Y$2:$Y$2501,'AR SALES'!$L$2:$L$2501,$L388,'AR SALES'!$AD$2:$AD$2501,"OFF"),2)=0,"","STALE")))</f>
        <v/>
      </c>
      <c r="BB388" s="2" t="str">
        <f>IF(OR(""&amp;$F388="2",""&amp;$F388="4",""&amp;$F388="G",""&amp;$F388="H"),IF($AY388="YES","",IF($AB388&lt;&gt;0,"",IF(COUNTIFS('AR SALES'!$L$2:$L$2501,$L388,'AR SALES'!$AD$2:$AD$2501,IF(""&amp;$F388="4","OFF","ON"),'AR SALES'!$AF$2:$AF$2501,"Y")&gt;0,"","NO EXEMPTION"))),"")</f>
        <v/>
      </c>
    </row>
    <row r="389" spans="46:54" x14ac:dyDescent="0.25">
      <c r="AT389" s="2" t="str">
        <f>IF($L389="","",IFERROR(INDEX('AR SALES'!$H$2:$H$2501,MATCH(""&amp;$L389,'AR SALES'!$AE$2:$AE$2501,0)),""))</f>
        <v/>
      </c>
      <c r="AU389" s="2" t="str">
        <f t="shared" si="24"/>
        <v/>
      </c>
      <c r="AV389" s="2" t="str">
        <f t="shared" si="25"/>
        <v/>
      </c>
      <c r="AW389" s="2" t="str">
        <f t="shared" si="26"/>
        <v/>
      </c>
      <c r="AX389" s="2" t="str">
        <f t="shared" si="27"/>
        <v/>
      </c>
      <c r="AY389" s="2" t="str">
        <f>IF($AV389="","",IF(AND($Z389=0,COUNTIF('AR SALES'!$L$2:$L$2501,$L389)=0),"YES",""))</f>
        <v/>
      </c>
      <c r="AZ389" s="2" t="str">
        <f>IF($AV389="","",IF(COUNTIF(LISTS!$C$2:$C$250,$AU389)=0,"NEW",""))</f>
        <v/>
      </c>
      <c r="BA389" s="2" t="str">
        <f>IF(""&amp;$F389&lt;&gt;"4","",IF($AY389="YES","",IF(ROUND(SUMIFS($AE$2:$AE$4001,$L$2:$L$4001,$L389,$F$2:$F$4001,"4")-SUMIFS('AR SALES'!$Y$2:$Y$2501,'AR SALES'!$L$2:$L$2501,$L389,'AR SALES'!$AD$2:$AD$2501,"OFF"),2)=0,"","STALE")))</f>
        <v/>
      </c>
      <c r="BB389" s="2" t="str">
        <f>IF(OR(""&amp;$F389="2",""&amp;$F389="4",""&amp;$F389="G",""&amp;$F389="H"),IF($AY389="YES","",IF($AB389&lt;&gt;0,"",IF(COUNTIFS('AR SALES'!$L$2:$L$2501,$L389,'AR SALES'!$AD$2:$AD$2501,IF(""&amp;$F389="4","OFF","ON"),'AR SALES'!$AF$2:$AF$2501,"Y")&gt;0,"","NO EXEMPTION"))),"")</f>
        <v/>
      </c>
    </row>
    <row r="390" spans="46:54" x14ac:dyDescent="0.25">
      <c r="AT390" s="2" t="str">
        <f>IF($L390="","",IFERROR(INDEX('AR SALES'!$H$2:$H$2501,MATCH(""&amp;$L390,'AR SALES'!$AE$2:$AE$2501,0)),""))</f>
        <v/>
      </c>
      <c r="AU390" s="2" t="str">
        <f t="shared" si="24"/>
        <v/>
      </c>
      <c r="AV390" s="2" t="str">
        <f t="shared" si="25"/>
        <v/>
      </c>
      <c r="AW390" s="2" t="str">
        <f t="shared" si="26"/>
        <v/>
      </c>
      <c r="AX390" s="2" t="str">
        <f t="shared" si="27"/>
        <v/>
      </c>
      <c r="AY390" s="2" t="str">
        <f>IF($AV390="","",IF(AND($Z390=0,COUNTIF('AR SALES'!$L$2:$L$2501,$L390)=0),"YES",""))</f>
        <v/>
      </c>
      <c r="AZ390" s="2" t="str">
        <f>IF($AV390="","",IF(COUNTIF(LISTS!$C$2:$C$250,$AU390)=0,"NEW",""))</f>
        <v/>
      </c>
      <c r="BA390" s="2" t="str">
        <f>IF(""&amp;$F390&lt;&gt;"4","",IF($AY390="YES","",IF(ROUND(SUMIFS($AE$2:$AE$4001,$L$2:$L$4001,$L390,$F$2:$F$4001,"4")-SUMIFS('AR SALES'!$Y$2:$Y$2501,'AR SALES'!$L$2:$L$2501,$L390,'AR SALES'!$AD$2:$AD$2501,"OFF"),2)=0,"","STALE")))</f>
        <v/>
      </c>
      <c r="BB390" s="2" t="str">
        <f>IF(OR(""&amp;$F390="2",""&amp;$F390="4",""&amp;$F390="G",""&amp;$F390="H"),IF($AY390="YES","",IF($AB390&lt;&gt;0,"",IF(COUNTIFS('AR SALES'!$L$2:$L$2501,$L390,'AR SALES'!$AD$2:$AD$2501,IF(""&amp;$F390="4","OFF","ON"),'AR SALES'!$AF$2:$AF$2501,"Y")&gt;0,"","NO EXEMPTION"))),"")</f>
        <v/>
      </c>
    </row>
    <row r="391" spans="46:54" x14ac:dyDescent="0.25">
      <c r="AT391" s="2" t="str">
        <f>IF($L391="","",IFERROR(INDEX('AR SALES'!$H$2:$H$2501,MATCH(""&amp;$L391,'AR SALES'!$AE$2:$AE$2501,0)),""))</f>
        <v/>
      </c>
      <c r="AU391" s="2" t="str">
        <f t="shared" si="24"/>
        <v/>
      </c>
      <c r="AV391" s="2" t="str">
        <f t="shared" si="25"/>
        <v/>
      </c>
      <c r="AW391" s="2" t="str">
        <f t="shared" si="26"/>
        <v/>
      </c>
      <c r="AX391" s="2" t="str">
        <f t="shared" si="27"/>
        <v/>
      </c>
      <c r="AY391" s="2" t="str">
        <f>IF($AV391="","",IF(AND($Z391=0,COUNTIF('AR SALES'!$L$2:$L$2501,$L391)=0),"YES",""))</f>
        <v/>
      </c>
      <c r="AZ391" s="2" t="str">
        <f>IF($AV391="","",IF(COUNTIF(LISTS!$C$2:$C$250,$AU391)=0,"NEW",""))</f>
        <v/>
      </c>
      <c r="BA391" s="2" t="str">
        <f>IF(""&amp;$F391&lt;&gt;"4","",IF($AY391="YES","",IF(ROUND(SUMIFS($AE$2:$AE$4001,$L$2:$L$4001,$L391,$F$2:$F$4001,"4")-SUMIFS('AR SALES'!$Y$2:$Y$2501,'AR SALES'!$L$2:$L$2501,$L391,'AR SALES'!$AD$2:$AD$2501,"OFF"),2)=0,"","STALE")))</f>
        <v/>
      </c>
      <c r="BB391" s="2" t="str">
        <f>IF(OR(""&amp;$F391="2",""&amp;$F391="4",""&amp;$F391="G",""&amp;$F391="H"),IF($AY391="YES","",IF($AB391&lt;&gt;0,"",IF(COUNTIFS('AR SALES'!$L$2:$L$2501,$L391,'AR SALES'!$AD$2:$AD$2501,IF(""&amp;$F391="4","OFF","ON"),'AR SALES'!$AF$2:$AF$2501,"Y")&gt;0,"","NO EXEMPTION"))),"")</f>
        <v/>
      </c>
    </row>
    <row r="392" spans="46:54" x14ac:dyDescent="0.25">
      <c r="AT392" s="2" t="str">
        <f>IF($L392="","",IFERROR(INDEX('AR SALES'!$H$2:$H$2501,MATCH(""&amp;$L392,'AR SALES'!$AE$2:$AE$2501,0)),""))</f>
        <v/>
      </c>
      <c r="AU392" s="2" t="str">
        <f t="shared" si="24"/>
        <v/>
      </c>
      <c r="AV392" s="2" t="str">
        <f t="shared" si="25"/>
        <v/>
      </c>
      <c r="AW392" s="2" t="str">
        <f t="shared" si="26"/>
        <v/>
      </c>
      <c r="AX392" s="2" t="str">
        <f t="shared" si="27"/>
        <v/>
      </c>
      <c r="AY392" s="2" t="str">
        <f>IF($AV392="","",IF(AND($Z392=0,COUNTIF('AR SALES'!$L$2:$L$2501,$L392)=0),"YES",""))</f>
        <v/>
      </c>
      <c r="AZ392" s="2" t="str">
        <f>IF($AV392="","",IF(COUNTIF(LISTS!$C$2:$C$250,$AU392)=0,"NEW",""))</f>
        <v/>
      </c>
      <c r="BA392" s="2" t="str">
        <f>IF(""&amp;$F392&lt;&gt;"4","",IF($AY392="YES","",IF(ROUND(SUMIFS($AE$2:$AE$4001,$L$2:$L$4001,$L392,$F$2:$F$4001,"4")-SUMIFS('AR SALES'!$Y$2:$Y$2501,'AR SALES'!$L$2:$L$2501,$L392,'AR SALES'!$AD$2:$AD$2501,"OFF"),2)=0,"","STALE")))</f>
        <v/>
      </c>
      <c r="BB392" s="2" t="str">
        <f>IF(OR(""&amp;$F392="2",""&amp;$F392="4",""&amp;$F392="G",""&amp;$F392="H"),IF($AY392="YES","",IF($AB392&lt;&gt;0,"",IF(COUNTIFS('AR SALES'!$L$2:$L$2501,$L392,'AR SALES'!$AD$2:$AD$2501,IF(""&amp;$F392="4","OFF","ON"),'AR SALES'!$AF$2:$AF$2501,"Y")&gt;0,"","NO EXEMPTION"))),"")</f>
        <v/>
      </c>
    </row>
    <row r="393" spans="46:54" x14ac:dyDescent="0.25">
      <c r="AT393" s="2" t="str">
        <f>IF($L393="","",IFERROR(INDEX('AR SALES'!$H$2:$H$2501,MATCH(""&amp;$L393,'AR SALES'!$AE$2:$AE$2501,0)),""))</f>
        <v/>
      </c>
      <c r="AU393" s="2" t="str">
        <f t="shared" si="24"/>
        <v/>
      </c>
      <c r="AV393" s="2" t="str">
        <f t="shared" si="25"/>
        <v/>
      </c>
      <c r="AW393" s="2" t="str">
        <f t="shared" si="26"/>
        <v/>
      </c>
      <c r="AX393" s="2" t="str">
        <f t="shared" si="27"/>
        <v/>
      </c>
      <c r="AY393" s="2" t="str">
        <f>IF($AV393="","",IF(AND($Z393=0,COUNTIF('AR SALES'!$L$2:$L$2501,$L393)=0),"YES",""))</f>
        <v/>
      </c>
      <c r="AZ393" s="2" t="str">
        <f>IF($AV393="","",IF(COUNTIF(LISTS!$C$2:$C$250,$AU393)=0,"NEW",""))</f>
        <v/>
      </c>
      <c r="BA393" s="2" t="str">
        <f>IF(""&amp;$F393&lt;&gt;"4","",IF($AY393="YES","",IF(ROUND(SUMIFS($AE$2:$AE$4001,$L$2:$L$4001,$L393,$F$2:$F$4001,"4")-SUMIFS('AR SALES'!$Y$2:$Y$2501,'AR SALES'!$L$2:$L$2501,$L393,'AR SALES'!$AD$2:$AD$2501,"OFF"),2)=0,"","STALE")))</f>
        <v/>
      </c>
      <c r="BB393" s="2" t="str">
        <f>IF(OR(""&amp;$F393="2",""&amp;$F393="4",""&amp;$F393="G",""&amp;$F393="H"),IF($AY393="YES","",IF($AB393&lt;&gt;0,"",IF(COUNTIFS('AR SALES'!$L$2:$L$2501,$L393,'AR SALES'!$AD$2:$AD$2501,IF(""&amp;$F393="4","OFF","ON"),'AR SALES'!$AF$2:$AF$2501,"Y")&gt;0,"","NO EXEMPTION"))),"")</f>
        <v/>
      </c>
    </row>
    <row r="394" spans="46:54" x14ac:dyDescent="0.25">
      <c r="AT394" s="2" t="str">
        <f>IF($L394="","",IFERROR(INDEX('AR SALES'!$H$2:$H$2501,MATCH(""&amp;$L394,'AR SALES'!$AE$2:$AE$2501,0)),""))</f>
        <v/>
      </c>
      <c r="AU394" s="2" t="str">
        <f t="shared" si="24"/>
        <v/>
      </c>
      <c r="AV394" s="2" t="str">
        <f t="shared" si="25"/>
        <v/>
      </c>
      <c r="AW394" s="2" t="str">
        <f t="shared" si="26"/>
        <v/>
      </c>
      <c r="AX394" s="2" t="str">
        <f t="shared" si="27"/>
        <v/>
      </c>
      <c r="AY394" s="2" t="str">
        <f>IF($AV394="","",IF(AND($Z394=0,COUNTIF('AR SALES'!$L$2:$L$2501,$L394)=0),"YES",""))</f>
        <v/>
      </c>
      <c r="AZ394" s="2" t="str">
        <f>IF($AV394="","",IF(COUNTIF(LISTS!$C$2:$C$250,$AU394)=0,"NEW",""))</f>
        <v/>
      </c>
      <c r="BA394" s="2" t="str">
        <f>IF(""&amp;$F394&lt;&gt;"4","",IF($AY394="YES","",IF(ROUND(SUMIFS($AE$2:$AE$4001,$L$2:$L$4001,$L394,$F$2:$F$4001,"4")-SUMIFS('AR SALES'!$Y$2:$Y$2501,'AR SALES'!$L$2:$L$2501,$L394,'AR SALES'!$AD$2:$AD$2501,"OFF"),2)=0,"","STALE")))</f>
        <v/>
      </c>
      <c r="BB394" s="2" t="str">
        <f>IF(OR(""&amp;$F394="2",""&amp;$F394="4",""&amp;$F394="G",""&amp;$F394="H"),IF($AY394="YES","",IF($AB394&lt;&gt;0,"",IF(COUNTIFS('AR SALES'!$L$2:$L$2501,$L394,'AR SALES'!$AD$2:$AD$2501,IF(""&amp;$F394="4","OFF","ON"),'AR SALES'!$AF$2:$AF$2501,"Y")&gt;0,"","NO EXEMPTION"))),"")</f>
        <v/>
      </c>
    </row>
    <row r="395" spans="46:54" x14ac:dyDescent="0.25">
      <c r="AT395" s="2" t="str">
        <f>IF($L395="","",IFERROR(INDEX('AR SALES'!$H$2:$H$2501,MATCH(""&amp;$L395,'AR SALES'!$AE$2:$AE$2501,0)),""))</f>
        <v/>
      </c>
      <c r="AU395" s="2" t="str">
        <f t="shared" si="24"/>
        <v/>
      </c>
      <c r="AV395" s="2" t="str">
        <f t="shared" si="25"/>
        <v/>
      </c>
      <c r="AW395" s="2" t="str">
        <f t="shared" si="26"/>
        <v/>
      </c>
      <c r="AX395" s="2" t="str">
        <f t="shared" si="27"/>
        <v/>
      </c>
      <c r="AY395" s="2" t="str">
        <f>IF($AV395="","",IF(AND($Z395=0,COUNTIF('AR SALES'!$L$2:$L$2501,$L395)=0),"YES",""))</f>
        <v/>
      </c>
      <c r="AZ395" s="2" t="str">
        <f>IF($AV395="","",IF(COUNTIF(LISTS!$C$2:$C$250,$AU395)=0,"NEW",""))</f>
        <v/>
      </c>
      <c r="BA395" s="2" t="str">
        <f>IF(""&amp;$F395&lt;&gt;"4","",IF($AY395="YES","",IF(ROUND(SUMIFS($AE$2:$AE$4001,$L$2:$L$4001,$L395,$F$2:$F$4001,"4")-SUMIFS('AR SALES'!$Y$2:$Y$2501,'AR SALES'!$L$2:$L$2501,$L395,'AR SALES'!$AD$2:$AD$2501,"OFF"),2)=0,"","STALE")))</f>
        <v/>
      </c>
      <c r="BB395" s="2" t="str">
        <f>IF(OR(""&amp;$F395="2",""&amp;$F395="4",""&amp;$F395="G",""&amp;$F395="H"),IF($AY395="YES","",IF($AB395&lt;&gt;0,"",IF(COUNTIFS('AR SALES'!$L$2:$L$2501,$L395,'AR SALES'!$AD$2:$AD$2501,IF(""&amp;$F395="4","OFF","ON"),'AR SALES'!$AF$2:$AF$2501,"Y")&gt;0,"","NO EXEMPTION"))),"")</f>
        <v/>
      </c>
    </row>
    <row r="396" spans="46:54" x14ac:dyDescent="0.25">
      <c r="AT396" s="2" t="str">
        <f>IF($L396="","",IFERROR(INDEX('AR SALES'!$H$2:$H$2501,MATCH(""&amp;$L396,'AR SALES'!$AE$2:$AE$2501,0)),""))</f>
        <v/>
      </c>
      <c r="AU396" s="2" t="str">
        <f t="shared" si="24"/>
        <v/>
      </c>
      <c r="AV396" s="2" t="str">
        <f t="shared" si="25"/>
        <v/>
      </c>
      <c r="AW396" s="2" t="str">
        <f t="shared" si="26"/>
        <v/>
      </c>
      <c r="AX396" s="2" t="str">
        <f t="shared" si="27"/>
        <v/>
      </c>
      <c r="AY396" s="2" t="str">
        <f>IF($AV396="","",IF(AND($Z396=0,COUNTIF('AR SALES'!$L$2:$L$2501,$L396)=0),"YES",""))</f>
        <v/>
      </c>
      <c r="AZ396" s="2" t="str">
        <f>IF($AV396="","",IF(COUNTIF(LISTS!$C$2:$C$250,$AU396)=0,"NEW",""))</f>
        <v/>
      </c>
      <c r="BA396" s="2" t="str">
        <f>IF(""&amp;$F396&lt;&gt;"4","",IF($AY396="YES","",IF(ROUND(SUMIFS($AE$2:$AE$4001,$L$2:$L$4001,$L396,$F$2:$F$4001,"4")-SUMIFS('AR SALES'!$Y$2:$Y$2501,'AR SALES'!$L$2:$L$2501,$L396,'AR SALES'!$AD$2:$AD$2501,"OFF"),2)=0,"","STALE")))</f>
        <v/>
      </c>
      <c r="BB396" s="2" t="str">
        <f>IF(OR(""&amp;$F396="2",""&amp;$F396="4",""&amp;$F396="G",""&amp;$F396="H"),IF($AY396="YES","",IF($AB396&lt;&gt;0,"",IF(COUNTIFS('AR SALES'!$L$2:$L$2501,$L396,'AR SALES'!$AD$2:$AD$2501,IF(""&amp;$F396="4","OFF","ON"),'AR SALES'!$AF$2:$AF$2501,"Y")&gt;0,"","NO EXEMPTION"))),"")</f>
        <v/>
      </c>
    </row>
    <row r="397" spans="46:54" x14ac:dyDescent="0.25">
      <c r="AT397" s="2" t="str">
        <f>IF($L397="","",IFERROR(INDEX('AR SALES'!$H$2:$H$2501,MATCH(""&amp;$L397,'AR SALES'!$AE$2:$AE$2501,0)),""))</f>
        <v/>
      </c>
      <c r="AU397" s="2" t="str">
        <f t="shared" si="24"/>
        <v/>
      </c>
      <c r="AV397" s="2" t="str">
        <f t="shared" si="25"/>
        <v/>
      </c>
      <c r="AW397" s="2" t="str">
        <f t="shared" si="26"/>
        <v/>
      </c>
      <c r="AX397" s="2" t="str">
        <f t="shared" si="27"/>
        <v/>
      </c>
      <c r="AY397" s="2" t="str">
        <f>IF($AV397="","",IF(AND($Z397=0,COUNTIF('AR SALES'!$L$2:$L$2501,$L397)=0),"YES",""))</f>
        <v/>
      </c>
      <c r="AZ397" s="2" t="str">
        <f>IF($AV397="","",IF(COUNTIF(LISTS!$C$2:$C$250,$AU397)=0,"NEW",""))</f>
        <v/>
      </c>
      <c r="BA397" s="2" t="str">
        <f>IF(""&amp;$F397&lt;&gt;"4","",IF($AY397="YES","",IF(ROUND(SUMIFS($AE$2:$AE$4001,$L$2:$L$4001,$L397,$F$2:$F$4001,"4")-SUMIFS('AR SALES'!$Y$2:$Y$2501,'AR SALES'!$L$2:$L$2501,$L397,'AR SALES'!$AD$2:$AD$2501,"OFF"),2)=0,"","STALE")))</f>
        <v/>
      </c>
      <c r="BB397" s="2" t="str">
        <f>IF(OR(""&amp;$F397="2",""&amp;$F397="4",""&amp;$F397="G",""&amp;$F397="H"),IF($AY397="YES","",IF($AB397&lt;&gt;0,"",IF(COUNTIFS('AR SALES'!$L$2:$L$2501,$L397,'AR SALES'!$AD$2:$AD$2501,IF(""&amp;$F397="4","OFF","ON"),'AR SALES'!$AF$2:$AF$2501,"Y")&gt;0,"","NO EXEMPTION"))),"")</f>
        <v/>
      </c>
    </row>
    <row r="398" spans="46:54" x14ac:dyDescent="0.25">
      <c r="AT398" s="2" t="str">
        <f>IF($L398="","",IFERROR(INDEX('AR SALES'!$H$2:$H$2501,MATCH(""&amp;$L398,'AR SALES'!$AE$2:$AE$2501,0)),""))</f>
        <v/>
      </c>
      <c r="AU398" s="2" t="str">
        <f t="shared" si="24"/>
        <v/>
      </c>
      <c r="AV398" s="2" t="str">
        <f t="shared" si="25"/>
        <v/>
      </c>
      <c r="AW398" s="2" t="str">
        <f t="shared" si="26"/>
        <v/>
      </c>
      <c r="AX398" s="2" t="str">
        <f t="shared" si="27"/>
        <v/>
      </c>
      <c r="AY398" s="2" t="str">
        <f>IF($AV398="","",IF(AND($Z398=0,COUNTIF('AR SALES'!$L$2:$L$2501,$L398)=0),"YES",""))</f>
        <v/>
      </c>
      <c r="AZ398" s="2" t="str">
        <f>IF($AV398="","",IF(COUNTIF(LISTS!$C$2:$C$250,$AU398)=0,"NEW",""))</f>
        <v/>
      </c>
      <c r="BA398" s="2" t="str">
        <f>IF(""&amp;$F398&lt;&gt;"4","",IF($AY398="YES","",IF(ROUND(SUMIFS($AE$2:$AE$4001,$L$2:$L$4001,$L398,$F$2:$F$4001,"4")-SUMIFS('AR SALES'!$Y$2:$Y$2501,'AR SALES'!$L$2:$L$2501,$L398,'AR SALES'!$AD$2:$AD$2501,"OFF"),2)=0,"","STALE")))</f>
        <v/>
      </c>
      <c r="BB398" s="2" t="str">
        <f>IF(OR(""&amp;$F398="2",""&amp;$F398="4",""&amp;$F398="G",""&amp;$F398="H"),IF($AY398="YES","",IF($AB398&lt;&gt;0,"",IF(COUNTIFS('AR SALES'!$L$2:$L$2501,$L398,'AR SALES'!$AD$2:$AD$2501,IF(""&amp;$F398="4","OFF","ON"),'AR SALES'!$AF$2:$AF$2501,"Y")&gt;0,"","NO EXEMPTION"))),"")</f>
        <v/>
      </c>
    </row>
    <row r="399" spans="46:54" x14ac:dyDescent="0.25">
      <c r="AT399" s="2" t="str">
        <f>IF($L399="","",IFERROR(INDEX('AR SALES'!$H$2:$H$2501,MATCH(""&amp;$L399,'AR SALES'!$AE$2:$AE$2501,0)),""))</f>
        <v/>
      </c>
      <c r="AU399" s="2" t="str">
        <f t="shared" si="24"/>
        <v/>
      </c>
      <c r="AV399" s="2" t="str">
        <f t="shared" si="25"/>
        <v/>
      </c>
      <c r="AW399" s="2" t="str">
        <f t="shared" si="26"/>
        <v/>
      </c>
      <c r="AX399" s="2" t="str">
        <f t="shared" si="27"/>
        <v/>
      </c>
      <c r="AY399" s="2" t="str">
        <f>IF($AV399="","",IF(AND($Z399=0,COUNTIF('AR SALES'!$L$2:$L$2501,$L399)=0),"YES",""))</f>
        <v/>
      </c>
      <c r="AZ399" s="2" t="str">
        <f>IF($AV399="","",IF(COUNTIF(LISTS!$C$2:$C$250,$AU399)=0,"NEW",""))</f>
        <v/>
      </c>
      <c r="BA399" s="2" t="str">
        <f>IF(""&amp;$F399&lt;&gt;"4","",IF($AY399="YES","",IF(ROUND(SUMIFS($AE$2:$AE$4001,$L$2:$L$4001,$L399,$F$2:$F$4001,"4")-SUMIFS('AR SALES'!$Y$2:$Y$2501,'AR SALES'!$L$2:$L$2501,$L399,'AR SALES'!$AD$2:$AD$2501,"OFF"),2)=0,"","STALE")))</f>
        <v/>
      </c>
      <c r="BB399" s="2" t="str">
        <f>IF(OR(""&amp;$F399="2",""&amp;$F399="4",""&amp;$F399="G",""&amp;$F399="H"),IF($AY399="YES","",IF($AB399&lt;&gt;0,"",IF(COUNTIFS('AR SALES'!$L$2:$L$2501,$L399,'AR SALES'!$AD$2:$AD$2501,IF(""&amp;$F399="4","OFF","ON"),'AR SALES'!$AF$2:$AF$2501,"Y")&gt;0,"","NO EXEMPTION"))),"")</f>
        <v/>
      </c>
    </row>
    <row r="400" spans="46:54" x14ac:dyDescent="0.25">
      <c r="AT400" s="2" t="str">
        <f>IF($L400="","",IFERROR(INDEX('AR SALES'!$H$2:$H$2501,MATCH(""&amp;$L400,'AR SALES'!$AE$2:$AE$2501,0)),""))</f>
        <v/>
      </c>
      <c r="AU400" s="2" t="str">
        <f t="shared" si="24"/>
        <v/>
      </c>
      <c r="AV400" s="2" t="str">
        <f t="shared" si="25"/>
        <v/>
      </c>
      <c r="AW400" s="2" t="str">
        <f t="shared" si="26"/>
        <v/>
      </c>
      <c r="AX400" s="2" t="str">
        <f t="shared" si="27"/>
        <v/>
      </c>
      <c r="AY400" s="2" t="str">
        <f>IF($AV400="","",IF(AND($Z400=0,COUNTIF('AR SALES'!$L$2:$L$2501,$L400)=0),"YES",""))</f>
        <v/>
      </c>
      <c r="AZ400" s="2" t="str">
        <f>IF($AV400="","",IF(COUNTIF(LISTS!$C$2:$C$250,$AU400)=0,"NEW",""))</f>
        <v/>
      </c>
      <c r="BA400" s="2" t="str">
        <f>IF(""&amp;$F400&lt;&gt;"4","",IF($AY400="YES","",IF(ROUND(SUMIFS($AE$2:$AE$4001,$L$2:$L$4001,$L400,$F$2:$F$4001,"4")-SUMIFS('AR SALES'!$Y$2:$Y$2501,'AR SALES'!$L$2:$L$2501,$L400,'AR SALES'!$AD$2:$AD$2501,"OFF"),2)=0,"","STALE")))</f>
        <v/>
      </c>
      <c r="BB400" s="2" t="str">
        <f>IF(OR(""&amp;$F400="2",""&amp;$F400="4",""&amp;$F400="G",""&amp;$F400="H"),IF($AY400="YES","",IF($AB400&lt;&gt;0,"",IF(COUNTIFS('AR SALES'!$L$2:$L$2501,$L400,'AR SALES'!$AD$2:$AD$2501,IF(""&amp;$F400="4","OFF","ON"),'AR SALES'!$AF$2:$AF$2501,"Y")&gt;0,"","NO EXEMPTION"))),"")</f>
        <v/>
      </c>
    </row>
    <row r="401" spans="46:54" x14ac:dyDescent="0.25">
      <c r="AT401" s="2" t="str">
        <f>IF($L401="","",IFERROR(INDEX('AR SALES'!$H$2:$H$2501,MATCH(""&amp;$L401,'AR SALES'!$AE$2:$AE$2501,0)),""))</f>
        <v/>
      </c>
      <c r="AU401" s="2" t="str">
        <f t="shared" si="24"/>
        <v/>
      </c>
      <c r="AV401" s="2" t="str">
        <f t="shared" si="25"/>
        <v/>
      </c>
      <c r="AW401" s="2" t="str">
        <f t="shared" si="26"/>
        <v/>
      </c>
      <c r="AX401" s="2" t="str">
        <f t="shared" si="27"/>
        <v/>
      </c>
      <c r="AY401" s="2" t="str">
        <f>IF($AV401="","",IF(AND($Z401=0,COUNTIF('AR SALES'!$L$2:$L$2501,$L401)=0),"YES",""))</f>
        <v/>
      </c>
      <c r="AZ401" s="2" t="str">
        <f>IF($AV401="","",IF(COUNTIF(LISTS!$C$2:$C$250,$AU401)=0,"NEW",""))</f>
        <v/>
      </c>
      <c r="BA401" s="2" t="str">
        <f>IF(""&amp;$F401&lt;&gt;"4","",IF($AY401="YES","",IF(ROUND(SUMIFS($AE$2:$AE$4001,$L$2:$L$4001,$L401,$F$2:$F$4001,"4")-SUMIFS('AR SALES'!$Y$2:$Y$2501,'AR SALES'!$L$2:$L$2501,$L401,'AR SALES'!$AD$2:$AD$2501,"OFF"),2)=0,"","STALE")))</f>
        <v/>
      </c>
      <c r="BB401" s="2" t="str">
        <f>IF(OR(""&amp;$F401="2",""&amp;$F401="4",""&amp;$F401="G",""&amp;$F401="H"),IF($AY401="YES","",IF($AB401&lt;&gt;0,"",IF(COUNTIFS('AR SALES'!$L$2:$L$2501,$L401,'AR SALES'!$AD$2:$AD$2501,IF(""&amp;$F401="4","OFF","ON"),'AR SALES'!$AF$2:$AF$2501,"Y")&gt;0,"","NO EXEMPTION"))),"")</f>
        <v/>
      </c>
    </row>
    <row r="402" spans="46:54" x14ac:dyDescent="0.25">
      <c r="AT402" s="2" t="str">
        <f>IF($L402="","",IFERROR(INDEX('AR SALES'!$H$2:$H$2501,MATCH(""&amp;$L402,'AR SALES'!$AE$2:$AE$2501,0)),""))</f>
        <v/>
      </c>
      <c r="AU402" s="2" t="str">
        <f t="shared" si="24"/>
        <v/>
      </c>
      <c r="AV402" s="2" t="str">
        <f t="shared" si="25"/>
        <v/>
      </c>
      <c r="AW402" s="2" t="str">
        <f t="shared" si="26"/>
        <v/>
      </c>
      <c r="AX402" s="2" t="str">
        <f t="shared" si="27"/>
        <v/>
      </c>
      <c r="AY402" s="2" t="str">
        <f>IF($AV402="","",IF(AND($Z402=0,COUNTIF('AR SALES'!$L$2:$L$2501,$L402)=0),"YES",""))</f>
        <v/>
      </c>
      <c r="AZ402" s="2" t="str">
        <f>IF($AV402="","",IF(COUNTIF(LISTS!$C$2:$C$250,$AU402)=0,"NEW",""))</f>
        <v/>
      </c>
      <c r="BA402" s="2" t="str">
        <f>IF(""&amp;$F402&lt;&gt;"4","",IF($AY402="YES","",IF(ROUND(SUMIFS($AE$2:$AE$4001,$L$2:$L$4001,$L402,$F$2:$F$4001,"4")-SUMIFS('AR SALES'!$Y$2:$Y$2501,'AR SALES'!$L$2:$L$2501,$L402,'AR SALES'!$AD$2:$AD$2501,"OFF"),2)=0,"","STALE")))</f>
        <v/>
      </c>
      <c r="BB402" s="2" t="str">
        <f>IF(OR(""&amp;$F402="2",""&amp;$F402="4",""&amp;$F402="G",""&amp;$F402="H"),IF($AY402="YES","",IF($AB402&lt;&gt;0,"",IF(COUNTIFS('AR SALES'!$L$2:$L$2501,$L402,'AR SALES'!$AD$2:$AD$2501,IF(""&amp;$F402="4","OFF","ON"),'AR SALES'!$AF$2:$AF$2501,"Y")&gt;0,"","NO EXEMPTION"))),"")</f>
        <v/>
      </c>
    </row>
    <row r="403" spans="46:54" x14ac:dyDescent="0.25">
      <c r="AT403" s="2" t="str">
        <f>IF($L403="","",IFERROR(INDEX('AR SALES'!$H$2:$H$2501,MATCH(""&amp;$L403,'AR SALES'!$AE$2:$AE$2501,0)),""))</f>
        <v/>
      </c>
      <c r="AU403" s="2" t="str">
        <f t="shared" si="24"/>
        <v/>
      </c>
      <c r="AV403" s="2" t="str">
        <f t="shared" si="25"/>
        <v/>
      </c>
      <c r="AW403" s="2" t="str">
        <f t="shared" si="26"/>
        <v/>
      </c>
      <c r="AX403" s="2" t="str">
        <f t="shared" si="27"/>
        <v/>
      </c>
      <c r="AY403" s="2" t="str">
        <f>IF($AV403="","",IF(AND($Z403=0,COUNTIF('AR SALES'!$L$2:$L$2501,$L403)=0),"YES",""))</f>
        <v/>
      </c>
      <c r="AZ403" s="2" t="str">
        <f>IF($AV403="","",IF(COUNTIF(LISTS!$C$2:$C$250,$AU403)=0,"NEW",""))</f>
        <v/>
      </c>
      <c r="BA403" s="2" t="str">
        <f>IF(""&amp;$F403&lt;&gt;"4","",IF($AY403="YES","",IF(ROUND(SUMIFS($AE$2:$AE$4001,$L$2:$L$4001,$L403,$F$2:$F$4001,"4")-SUMIFS('AR SALES'!$Y$2:$Y$2501,'AR SALES'!$L$2:$L$2501,$L403,'AR SALES'!$AD$2:$AD$2501,"OFF"),2)=0,"","STALE")))</f>
        <v/>
      </c>
      <c r="BB403" s="2" t="str">
        <f>IF(OR(""&amp;$F403="2",""&amp;$F403="4",""&amp;$F403="G",""&amp;$F403="H"),IF($AY403="YES","",IF($AB403&lt;&gt;0,"",IF(COUNTIFS('AR SALES'!$L$2:$L$2501,$L403,'AR SALES'!$AD$2:$AD$2501,IF(""&amp;$F403="4","OFF","ON"),'AR SALES'!$AF$2:$AF$2501,"Y")&gt;0,"","NO EXEMPTION"))),"")</f>
        <v/>
      </c>
    </row>
    <row r="404" spans="46:54" x14ac:dyDescent="0.25">
      <c r="AT404" s="2" t="str">
        <f>IF($L404="","",IFERROR(INDEX('AR SALES'!$H$2:$H$2501,MATCH(""&amp;$L404,'AR SALES'!$AE$2:$AE$2501,0)),""))</f>
        <v/>
      </c>
      <c r="AU404" s="2" t="str">
        <f t="shared" si="24"/>
        <v/>
      </c>
      <c r="AV404" s="2" t="str">
        <f t="shared" si="25"/>
        <v/>
      </c>
      <c r="AW404" s="2" t="str">
        <f t="shared" si="26"/>
        <v/>
      </c>
      <c r="AX404" s="2" t="str">
        <f t="shared" si="27"/>
        <v/>
      </c>
      <c r="AY404" s="2" t="str">
        <f>IF($AV404="","",IF(AND($Z404=0,COUNTIF('AR SALES'!$L$2:$L$2501,$L404)=0),"YES",""))</f>
        <v/>
      </c>
      <c r="AZ404" s="2" t="str">
        <f>IF($AV404="","",IF(COUNTIF(LISTS!$C$2:$C$250,$AU404)=0,"NEW",""))</f>
        <v/>
      </c>
      <c r="BA404" s="2" t="str">
        <f>IF(""&amp;$F404&lt;&gt;"4","",IF($AY404="YES","",IF(ROUND(SUMIFS($AE$2:$AE$4001,$L$2:$L$4001,$L404,$F$2:$F$4001,"4")-SUMIFS('AR SALES'!$Y$2:$Y$2501,'AR SALES'!$L$2:$L$2501,$L404,'AR SALES'!$AD$2:$AD$2501,"OFF"),2)=0,"","STALE")))</f>
        <v/>
      </c>
      <c r="BB404" s="2" t="str">
        <f>IF(OR(""&amp;$F404="2",""&amp;$F404="4",""&amp;$F404="G",""&amp;$F404="H"),IF($AY404="YES","",IF($AB404&lt;&gt;0,"",IF(COUNTIFS('AR SALES'!$L$2:$L$2501,$L404,'AR SALES'!$AD$2:$AD$2501,IF(""&amp;$F404="4","OFF","ON"),'AR SALES'!$AF$2:$AF$2501,"Y")&gt;0,"","NO EXEMPTION"))),"")</f>
        <v/>
      </c>
    </row>
    <row r="405" spans="46:54" x14ac:dyDescent="0.25">
      <c r="AT405" s="2" t="str">
        <f>IF($L405="","",IFERROR(INDEX('AR SALES'!$H$2:$H$2501,MATCH(""&amp;$L405,'AR SALES'!$AE$2:$AE$2501,0)),""))</f>
        <v/>
      </c>
      <c r="AU405" s="2" t="str">
        <f t="shared" si="24"/>
        <v/>
      </c>
      <c r="AV405" s="2" t="str">
        <f t="shared" si="25"/>
        <v/>
      </c>
      <c r="AW405" s="2" t="str">
        <f t="shared" si="26"/>
        <v/>
      </c>
      <c r="AX405" s="2" t="str">
        <f t="shared" si="27"/>
        <v/>
      </c>
      <c r="AY405" s="2" t="str">
        <f>IF($AV405="","",IF(AND($Z405=0,COUNTIF('AR SALES'!$L$2:$L$2501,$L405)=0),"YES",""))</f>
        <v/>
      </c>
      <c r="AZ405" s="2" t="str">
        <f>IF($AV405="","",IF(COUNTIF(LISTS!$C$2:$C$250,$AU405)=0,"NEW",""))</f>
        <v/>
      </c>
      <c r="BA405" s="2" t="str">
        <f>IF(""&amp;$F405&lt;&gt;"4","",IF($AY405="YES","",IF(ROUND(SUMIFS($AE$2:$AE$4001,$L$2:$L$4001,$L405,$F$2:$F$4001,"4")-SUMIFS('AR SALES'!$Y$2:$Y$2501,'AR SALES'!$L$2:$L$2501,$L405,'AR SALES'!$AD$2:$AD$2501,"OFF"),2)=0,"","STALE")))</f>
        <v/>
      </c>
      <c r="BB405" s="2" t="str">
        <f>IF(OR(""&amp;$F405="2",""&amp;$F405="4",""&amp;$F405="G",""&amp;$F405="H"),IF($AY405="YES","",IF($AB405&lt;&gt;0,"",IF(COUNTIFS('AR SALES'!$L$2:$L$2501,$L405,'AR SALES'!$AD$2:$AD$2501,IF(""&amp;$F405="4","OFF","ON"),'AR SALES'!$AF$2:$AF$2501,"Y")&gt;0,"","NO EXEMPTION"))),"")</f>
        <v/>
      </c>
    </row>
    <row r="406" spans="46:54" x14ac:dyDescent="0.25">
      <c r="AT406" s="2" t="str">
        <f>IF($L406="","",IFERROR(INDEX('AR SALES'!$H$2:$H$2501,MATCH(""&amp;$L406,'AR SALES'!$AE$2:$AE$2501,0)),""))</f>
        <v/>
      </c>
      <c r="AU406" s="2" t="str">
        <f t="shared" si="24"/>
        <v/>
      </c>
      <c r="AV406" s="2" t="str">
        <f t="shared" si="25"/>
        <v/>
      </c>
      <c r="AW406" s="2" t="str">
        <f t="shared" si="26"/>
        <v/>
      </c>
      <c r="AX406" s="2" t="str">
        <f t="shared" si="27"/>
        <v/>
      </c>
      <c r="AY406" s="2" t="str">
        <f>IF($AV406="","",IF(AND($Z406=0,COUNTIF('AR SALES'!$L$2:$L$2501,$L406)=0),"YES",""))</f>
        <v/>
      </c>
      <c r="AZ406" s="2" t="str">
        <f>IF($AV406="","",IF(COUNTIF(LISTS!$C$2:$C$250,$AU406)=0,"NEW",""))</f>
        <v/>
      </c>
      <c r="BA406" s="2" t="str">
        <f>IF(""&amp;$F406&lt;&gt;"4","",IF($AY406="YES","",IF(ROUND(SUMIFS($AE$2:$AE$4001,$L$2:$L$4001,$L406,$F$2:$F$4001,"4")-SUMIFS('AR SALES'!$Y$2:$Y$2501,'AR SALES'!$L$2:$L$2501,$L406,'AR SALES'!$AD$2:$AD$2501,"OFF"),2)=0,"","STALE")))</f>
        <v/>
      </c>
      <c r="BB406" s="2" t="str">
        <f>IF(OR(""&amp;$F406="2",""&amp;$F406="4",""&amp;$F406="G",""&amp;$F406="H"),IF($AY406="YES","",IF($AB406&lt;&gt;0,"",IF(COUNTIFS('AR SALES'!$L$2:$L$2501,$L406,'AR SALES'!$AD$2:$AD$2501,IF(""&amp;$F406="4","OFF","ON"),'AR SALES'!$AF$2:$AF$2501,"Y")&gt;0,"","NO EXEMPTION"))),"")</f>
        <v/>
      </c>
    </row>
    <row r="407" spans="46:54" x14ac:dyDescent="0.25">
      <c r="AT407" s="2" t="str">
        <f>IF($L407="","",IFERROR(INDEX('AR SALES'!$H$2:$H$2501,MATCH(""&amp;$L407,'AR SALES'!$AE$2:$AE$2501,0)),""))</f>
        <v/>
      </c>
      <c r="AU407" s="2" t="str">
        <f t="shared" si="24"/>
        <v/>
      </c>
      <c r="AV407" s="2" t="str">
        <f t="shared" si="25"/>
        <v/>
      </c>
      <c r="AW407" s="2" t="str">
        <f t="shared" si="26"/>
        <v/>
      </c>
      <c r="AX407" s="2" t="str">
        <f t="shared" si="27"/>
        <v/>
      </c>
      <c r="AY407" s="2" t="str">
        <f>IF($AV407="","",IF(AND($Z407=0,COUNTIF('AR SALES'!$L$2:$L$2501,$L407)=0),"YES",""))</f>
        <v/>
      </c>
      <c r="AZ407" s="2" t="str">
        <f>IF($AV407="","",IF(COUNTIF(LISTS!$C$2:$C$250,$AU407)=0,"NEW",""))</f>
        <v/>
      </c>
      <c r="BA407" s="2" t="str">
        <f>IF(""&amp;$F407&lt;&gt;"4","",IF($AY407="YES","",IF(ROUND(SUMIFS($AE$2:$AE$4001,$L$2:$L$4001,$L407,$F$2:$F$4001,"4")-SUMIFS('AR SALES'!$Y$2:$Y$2501,'AR SALES'!$L$2:$L$2501,$L407,'AR SALES'!$AD$2:$AD$2501,"OFF"),2)=0,"","STALE")))</f>
        <v/>
      </c>
      <c r="BB407" s="2" t="str">
        <f>IF(OR(""&amp;$F407="2",""&amp;$F407="4",""&amp;$F407="G",""&amp;$F407="H"),IF($AY407="YES","",IF($AB407&lt;&gt;0,"",IF(COUNTIFS('AR SALES'!$L$2:$L$2501,$L407,'AR SALES'!$AD$2:$AD$2501,IF(""&amp;$F407="4","OFF","ON"),'AR SALES'!$AF$2:$AF$2501,"Y")&gt;0,"","NO EXEMPTION"))),"")</f>
        <v/>
      </c>
    </row>
    <row r="408" spans="46:54" x14ac:dyDescent="0.25">
      <c r="AT408" s="2" t="str">
        <f>IF($L408="","",IFERROR(INDEX('AR SALES'!$H$2:$H$2501,MATCH(""&amp;$L408,'AR SALES'!$AE$2:$AE$2501,0)),""))</f>
        <v/>
      </c>
      <c r="AU408" s="2" t="str">
        <f t="shared" si="24"/>
        <v/>
      </c>
      <c r="AV408" s="2" t="str">
        <f t="shared" si="25"/>
        <v/>
      </c>
      <c r="AW408" s="2" t="str">
        <f t="shared" si="26"/>
        <v/>
      </c>
      <c r="AX408" s="2" t="str">
        <f t="shared" si="27"/>
        <v/>
      </c>
      <c r="AY408" s="2" t="str">
        <f>IF($AV408="","",IF(AND($Z408=0,COUNTIF('AR SALES'!$L$2:$L$2501,$L408)=0),"YES",""))</f>
        <v/>
      </c>
      <c r="AZ408" s="2" t="str">
        <f>IF($AV408="","",IF(COUNTIF(LISTS!$C$2:$C$250,$AU408)=0,"NEW",""))</f>
        <v/>
      </c>
      <c r="BA408" s="2" t="str">
        <f>IF(""&amp;$F408&lt;&gt;"4","",IF($AY408="YES","",IF(ROUND(SUMIFS($AE$2:$AE$4001,$L$2:$L$4001,$L408,$F$2:$F$4001,"4")-SUMIFS('AR SALES'!$Y$2:$Y$2501,'AR SALES'!$L$2:$L$2501,$L408,'AR SALES'!$AD$2:$AD$2501,"OFF"),2)=0,"","STALE")))</f>
        <v/>
      </c>
      <c r="BB408" s="2" t="str">
        <f>IF(OR(""&amp;$F408="2",""&amp;$F408="4",""&amp;$F408="G",""&amp;$F408="H"),IF($AY408="YES","",IF($AB408&lt;&gt;0,"",IF(COUNTIFS('AR SALES'!$L$2:$L$2501,$L408,'AR SALES'!$AD$2:$AD$2501,IF(""&amp;$F408="4","OFF","ON"),'AR SALES'!$AF$2:$AF$2501,"Y")&gt;0,"","NO EXEMPTION"))),"")</f>
        <v/>
      </c>
    </row>
    <row r="409" spans="46:54" x14ac:dyDescent="0.25">
      <c r="AT409" s="2" t="str">
        <f>IF($L409="","",IFERROR(INDEX('AR SALES'!$H$2:$H$2501,MATCH(""&amp;$L409,'AR SALES'!$AE$2:$AE$2501,0)),""))</f>
        <v/>
      </c>
      <c r="AU409" s="2" t="str">
        <f t="shared" si="24"/>
        <v/>
      </c>
      <c r="AV409" s="2" t="str">
        <f t="shared" si="25"/>
        <v/>
      </c>
      <c r="AW409" s="2" t="str">
        <f t="shared" si="26"/>
        <v/>
      </c>
      <c r="AX409" s="2" t="str">
        <f t="shared" si="27"/>
        <v/>
      </c>
      <c r="AY409" s="2" t="str">
        <f>IF($AV409="","",IF(AND($Z409=0,COUNTIF('AR SALES'!$L$2:$L$2501,$L409)=0),"YES",""))</f>
        <v/>
      </c>
      <c r="AZ409" s="2" t="str">
        <f>IF($AV409="","",IF(COUNTIF(LISTS!$C$2:$C$250,$AU409)=0,"NEW",""))</f>
        <v/>
      </c>
      <c r="BA409" s="2" t="str">
        <f>IF(""&amp;$F409&lt;&gt;"4","",IF($AY409="YES","",IF(ROUND(SUMIFS($AE$2:$AE$4001,$L$2:$L$4001,$L409,$F$2:$F$4001,"4")-SUMIFS('AR SALES'!$Y$2:$Y$2501,'AR SALES'!$L$2:$L$2501,$L409,'AR SALES'!$AD$2:$AD$2501,"OFF"),2)=0,"","STALE")))</f>
        <v/>
      </c>
      <c r="BB409" s="2" t="str">
        <f>IF(OR(""&amp;$F409="2",""&amp;$F409="4",""&amp;$F409="G",""&amp;$F409="H"),IF($AY409="YES","",IF($AB409&lt;&gt;0,"",IF(COUNTIFS('AR SALES'!$L$2:$L$2501,$L409,'AR SALES'!$AD$2:$AD$2501,IF(""&amp;$F409="4","OFF","ON"),'AR SALES'!$AF$2:$AF$2501,"Y")&gt;0,"","NO EXEMPTION"))),"")</f>
        <v/>
      </c>
    </row>
    <row r="410" spans="46:54" x14ac:dyDescent="0.25">
      <c r="AT410" s="2" t="str">
        <f>IF($L410="","",IFERROR(INDEX('AR SALES'!$H$2:$H$2501,MATCH(""&amp;$L410,'AR SALES'!$AE$2:$AE$2501,0)),""))</f>
        <v/>
      </c>
      <c r="AU410" s="2" t="str">
        <f t="shared" si="24"/>
        <v/>
      </c>
      <c r="AV410" s="2" t="str">
        <f t="shared" si="25"/>
        <v/>
      </c>
      <c r="AW410" s="2" t="str">
        <f t="shared" si="26"/>
        <v/>
      </c>
      <c r="AX410" s="2" t="str">
        <f t="shared" si="27"/>
        <v/>
      </c>
      <c r="AY410" s="2" t="str">
        <f>IF($AV410="","",IF(AND($Z410=0,COUNTIF('AR SALES'!$L$2:$L$2501,$L410)=0),"YES",""))</f>
        <v/>
      </c>
      <c r="AZ410" s="2" t="str">
        <f>IF($AV410="","",IF(COUNTIF(LISTS!$C$2:$C$250,$AU410)=0,"NEW",""))</f>
        <v/>
      </c>
      <c r="BA410" s="2" t="str">
        <f>IF(""&amp;$F410&lt;&gt;"4","",IF($AY410="YES","",IF(ROUND(SUMIFS($AE$2:$AE$4001,$L$2:$L$4001,$L410,$F$2:$F$4001,"4")-SUMIFS('AR SALES'!$Y$2:$Y$2501,'AR SALES'!$L$2:$L$2501,$L410,'AR SALES'!$AD$2:$AD$2501,"OFF"),2)=0,"","STALE")))</f>
        <v/>
      </c>
      <c r="BB410" s="2" t="str">
        <f>IF(OR(""&amp;$F410="2",""&amp;$F410="4",""&amp;$F410="G",""&amp;$F410="H"),IF($AY410="YES","",IF($AB410&lt;&gt;0,"",IF(COUNTIFS('AR SALES'!$L$2:$L$2501,$L410,'AR SALES'!$AD$2:$AD$2501,IF(""&amp;$F410="4","OFF","ON"),'AR SALES'!$AF$2:$AF$2501,"Y")&gt;0,"","NO EXEMPTION"))),"")</f>
        <v/>
      </c>
    </row>
    <row r="411" spans="46:54" x14ac:dyDescent="0.25">
      <c r="AT411" s="2" t="str">
        <f>IF($L411="","",IFERROR(INDEX('AR SALES'!$H$2:$H$2501,MATCH(""&amp;$L411,'AR SALES'!$AE$2:$AE$2501,0)),""))</f>
        <v/>
      </c>
      <c r="AU411" s="2" t="str">
        <f t="shared" si="24"/>
        <v/>
      </c>
      <c r="AV411" s="2" t="str">
        <f t="shared" si="25"/>
        <v/>
      </c>
      <c r="AW411" s="2" t="str">
        <f t="shared" si="26"/>
        <v/>
      </c>
      <c r="AX411" s="2" t="str">
        <f t="shared" si="27"/>
        <v/>
      </c>
      <c r="AY411" s="2" t="str">
        <f>IF($AV411="","",IF(AND($Z411=0,COUNTIF('AR SALES'!$L$2:$L$2501,$L411)=0),"YES",""))</f>
        <v/>
      </c>
      <c r="AZ411" s="2" t="str">
        <f>IF($AV411="","",IF(COUNTIF(LISTS!$C$2:$C$250,$AU411)=0,"NEW",""))</f>
        <v/>
      </c>
      <c r="BA411" s="2" t="str">
        <f>IF(""&amp;$F411&lt;&gt;"4","",IF($AY411="YES","",IF(ROUND(SUMIFS($AE$2:$AE$4001,$L$2:$L$4001,$L411,$F$2:$F$4001,"4")-SUMIFS('AR SALES'!$Y$2:$Y$2501,'AR SALES'!$L$2:$L$2501,$L411,'AR SALES'!$AD$2:$AD$2501,"OFF"),2)=0,"","STALE")))</f>
        <v/>
      </c>
      <c r="BB411" s="2" t="str">
        <f>IF(OR(""&amp;$F411="2",""&amp;$F411="4",""&amp;$F411="G",""&amp;$F411="H"),IF($AY411="YES","",IF($AB411&lt;&gt;0,"",IF(COUNTIFS('AR SALES'!$L$2:$L$2501,$L411,'AR SALES'!$AD$2:$AD$2501,IF(""&amp;$F411="4","OFF","ON"),'AR SALES'!$AF$2:$AF$2501,"Y")&gt;0,"","NO EXEMPTION"))),"")</f>
        <v/>
      </c>
    </row>
    <row r="412" spans="46:54" x14ac:dyDescent="0.25">
      <c r="AT412" s="2" t="str">
        <f>IF($L412="","",IFERROR(INDEX('AR SALES'!$H$2:$H$2501,MATCH(""&amp;$L412,'AR SALES'!$AE$2:$AE$2501,0)),""))</f>
        <v/>
      </c>
      <c r="AU412" s="2" t="str">
        <f t="shared" si="24"/>
        <v/>
      </c>
      <c r="AV412" s="2" t="str">
        <f t="shared" si="25"/>
        <v/>
      </c>
      <c r="AW412" s="2" t="str">
        <f t="shared" si="26"/>
        <v/>
      </c>
      <c r="AX412" s="2" t="str">
        <f t="shared" si="27"/>
        <v/>
      </c>
      <c r="AY412" s="2" t="str">
        <f>IF($AV412="","",IF(AND($Z412=0,COUNTIF('AR SALES'!$L$2:$L$2501,$L412)=0),"YES",""))</f>
        <v/>
      </c>
      <c r="AZ412" s="2" t="str">
        <f>IF($AV412="","",IF(COUNTIF(LISTS!$C$2:$C$250,$AU412)=0,"NEW",""))</f>
        <v/>
      </c>
      <c r="BA412" s="2" t="str">
        <f>IF(""&amp;$F412&lt;&gt;"4","",IF($AY412="YES","",IF(ROUND(SUMIFS($AE$2:$AE$4001,$L$2:$L$4001,$L412,$F$2:$F$4001,"4")-SUMIFS('AR SALES'!$Y$2:$Y$2501,'AR SALES'!$L$2:$L$2501,$L412,'AR SALES'!$AD$2:$AD$2501,"OFF"),2)=0,"","STALE")))</f>
        <v/>
      </c>
      <c r="BB412" s="2" t="str">
        <f>IF(OR(""&amp;$F412="2",""&amp;$F412="4",""&amp;$F412="G",""&amp;$F412="H"),IF($AY412="YES","",IF($AB412&lt;&gt;0,"",IF(COUNTIFS('AR SALES'!$L$2:$L$2501,$L412,'AR SALES'!$AD$2:$AD$2501,IF(""&amp;$F412="4","OFF","ON"),'AR SALES'!$AF$2:$AF$2501,"Y")&gt;0,"","NO EXEMPTION"))),"")</f>
        <v/>
      </c>
    </row>
    <row r="413" spans="46:54" x14ac:dyDescent="0.25">
      <c r="AT413" s="2" t="str">
        <f>IF($L413="","",IFERROR(INDEX('AR SALES'!$H$2:$H$2501,MATCH(""&amp;$L413,'AR SALES'!$AE$2:$AE$2501,0)),""))</f>
        <v/>
      </c>
      <c r="AU413" s="2" t="str">
        <f t="shared" si="24"/>
        <v/>
      </c>
      <c r="AV413" s="2" t="str">
        <f t="shared" si="25"/>
        <v/>
      </c>
      <c r="AW413" s="2" t="str">
        <f t="shared" si="26"/>
        <v/>
      </c>
      <c r="AX413" s="2" t="str">
        <f t="shared" si="27"/>
        <v/>
      </c>
      <c r="AY413" s="2" t="str">
        <f>IF($AV413="","",IF(AND($Z413=0,COUNTIF('AR SALES'!$L$2:$L$2501,$L413)=0),"YES",""))</f>
        <v/>
      </c>
      <c r="AZ413" s="2" t="str">
        <f>IF($AV413="","",IF(COUNTIF(LISTS!$C$2:$C$250,$AU413)=0,"NEW",""))</f>
        <v/>
      </c>
      <c r="BA413" s="2" t="str">
        <f>IF(""&amp;$F413&lt;&gt;"4","",IF($AY413="YES","",IF(ROUND(SUMIFS($AE$2:$AE$4001,$L$2:$L$4001,$L413,$F$2:$F$4001,"4")-SUMIFS('AR SALES'!$Y$2:$Y$2501,'AR SALES'!$L$2:$L$2501,$L413,'AR SALES'!$AD$2:$AD$2501,"OFF"),2)=0,"","STALE")))</f>
        <v/>
      </c>
      <c r="BB413" s="2" t="str">
        <f>IF(OR(""&amp;$F413="2",""&amp;$F413="4",""&amp;$F413="G",""&amp;$F413="H"),IF($AY413="YES","",IF($AB413&lt;&gt;0,"",IF(COUNTIFS('AR SALES'!$L$2:$L$2501,$L413,'AR SALES'!$AD$2:$AD$2501,IF(""&amp;$F413="4","OFF","ON"),'AR SALES'!$AF$2:$AF$2501,"Y")&gt;0,"","NO EXEMPTION"))),"")</f>
        <v/>
      </c>
    </row>
    <row r="414" spans="46:54" x14ac:dyDescent="0.25">
      <c r="AT414" s="2" t="str">
        <f>IF($L414="","",IFERROR(INDEX('AR SALES'!$H$2:$H$2501,MATCH(""&amp;$L414,'AR SALES'!$AE$2:$AE$2501,0)),""))</f>
        <v/>
      </c>
      <c r="AU414" s="2" t="str">
        <f t="shared" si="24"/>
        <v/>
      </c>
      <c r="AV414" s="2" t="str">
        <f t="shared" si="25"/>
        <v/>
      </c>
      <c r="AW414" s="2" t="str">
        <f t="shared" si="26"/>
        <v/>
      </c>
      <c r="AX414" s="2" t="str">
        <f t="shared" si="27"/>
        <v/>
      </c>
      <c r="AY414" s="2" t="str">
        <f>IF($AV414="","",IF(AND($Z414=0,COUNTIF('AR SALES'!$L$2:$L$2501,$L414)=0),"YES",""))</f>
        <v/>
      </c>
      <c r="AZ414" s="2" t="str">
        <f>IF($AV414="","",IF(COUNTIF(LISTS!$C$2:$C$250,$AU414)=0,"NEW",""))</f>
        <v/>
      </c>
      <c r="BA414" s="2" t="str">
        <f>IF(""&amp;$F414&lt;&gt;"4","",IF($AY414="YES","",IF(ROUND(SUMIFS($AE$2:$AE$4001,$L$2:$L$4001,$L414,$F$2:$F$4001,"4")-SUMIFS('AR SALES'!$Y$2:$Y$2501,'AR SALES'!$L$2:$L$2501,$L414,'AR SALES'!$AD$2:$AD$2501,"OFF"),2)=0,"","STALE")))</f>
        <v/>
      </c>
      <c r="BB414" s="2" t="str">
        <f>IF(OR(""&amp;$F414="2",""&amp;$F414="4",""&amp;$F414="G",""&amp;$F414="H"),IF($AY414="YES","",IF($AB414&lt;&gt;0,"",IF(COUNTIFS('AR SALES'!$L$2:$L$2501,$L414,'AR SALES'!$AD$2:$AD$2501,IF(""&amp;$F414="4","OFF","ON"),'AR SALES'!$AF$2:$AF$2501,"Y")&gt;0,"","NO EXEMPTION"))),"")</f>
        <v/>
      </c>
    </row>
    <row r="415" spans="46:54" x14ac:dyDescent="0.25">
      <c r="AT415" s="2" t="str">
        <f>IF($L415="","",IFERROR(INDEX('AR SALES'!$H$2:$H$2501,MATCH(""&amp;$L415,'AR SALES'!$AE$2:$AE$2501,0)),""))</f>
        <v/>
      </c>
      <c r="AU415" s="2" t="str">
        <f t="shared" si="24"/>
        <v/>
      </c>
      <c r="AV415" s="2" t="str">
        <f t="shared" si="25"/>
        <v/>
      </c>
      <c r="AW415" s="2" t="str">
        <f t="shared" si="26"/>
        <v/>
      </c>
      <c r="AX415" s="2" t="str">
        <f t="shared" si="27"/>
        <v/>
      </c>
      <c r="AY415" s="2" t="str">
        <f>IF($AV415="","",IF(AND($Z415=0,COUNTIF('AR SALES'!$L$2:$L$2501,$L415)=0),"YES",""))</f>
        <v/>
      </c>
      <c r="AZ415" s="2" t="str">
        <f>IF($AV415="","",IF(COUNTIF(LISTS!$C$2:$C$250,$AU415)=0,"NEW",""))</f>
        <v/>
      </c>
      <c r="BA415" s="2" t="str">
        <f>IF(""&amp;$F415&lt;&gt;"4","",IF($AY415="YES","",IF(ROUND(SUMIFS($AE$2:$AE$4001,$L$2:$L$4001,$L415,$F$2:$F$4001,"4")-SUMIFS('AR SALES'!$Y$2:$Y$2501,'AR SALES'!$L$2:$L$2501,$L415,'AR SALES'!$AD$2:$AD$2501,"OFF"),2)=0,"","STALE")))</f>
        <v/>
      </c>
      <c r="BB415" s="2" t="str">
        <f>IF(OR(""&amp;$F415="2",""&amp;$F415="4",""&amp;$F415="G",""&amp;$F415="H"),IF($AY415="YES","",IF($AB415&lt;&gt;0,"",IF(COUNTIFS('AR SALES'!$L$2:$L$2501,$L415,'AR SALES'!$AD$2:$AD$2501,IF(""&amp;$F415="4","OFF","ON"),'AR SALES'!$AF$2:$AF$2501,"Y")&gt;0,"","NO EXEMPTION"))),"")</f>
        <v/>
      </c>
    </row>
    <row r="416" spans="46:54" x14ac:dyDescent="0.25">
      <c r="AT416" s="2" t="str">
        <f>IF($L416="","",IFERROR(INDEX('AR SALES'!$H$2:$H$2501,MATCH(""&amp;$L416,'AR SALES'!$AE$2:$AE$2501,0)),""))</f>
        <v/>
      </c>
      <c r="AU416" s="2" t="str">
        <f t="shared" si="24"/>
        <v/>
      </c>
      <c r="AV416" s="2" t="str">
        <f t="shared" si="25"/>
        <v/>
      </c>
      <c r="AW416" s="2" t="str">
        <f t="shared" si="26"/>
        <v/>
      </c>
      <c r="AX416" s="2" t="str">
        <f t="shared" si="27"/>
        <v/>
      </c>
      <c r="AY416" s="2" t="str">
        <f>IF($AV416="","",IF(AND($Z416=0,COUNTIF('AR SALES'!$L$2:$L$2501,$L416)=0),"YES",""))</f>
        <v/>
      </c>
      <c r="AZ416" s="2" t="str">
        <f>IF($AV416="","",IF(COUNTIF(LISTS!$C$2:$C$250,$AU416)=0,"NEW",""))</f>
        <v/>
      </c>
      <c r="BA416" s="2" t="str">
        <f>IF(""&amp;$F416&lt;&gt;"4","",IF($AY416="YES","",IF(ROUND(SUMIFS($AE$2:$AE$4001,$L$2:$L$4001,$L416,$F$2:$F$4001,"4")-SUMIFS('AR SALES'!$Y$2:$Y$2501,'AR SALES'!$L$2:$L$2501,$L416,'AR SALES'!$AD$2:$AD$2501,"OFF"),2)=0,"","STALE")))</f>
        <v/>
      </c>
      <c r="BB416" s="2" t="str">
        <f>IF(OR(""&amp;$F416="2",""&amp;$F416="4",""&amp;$F416="G",""&amp;$F416="H"),IF($AY416="YES","",IF($AB416&lt;&gt;0,"",IF(COUNTIFS('AR SALES'!$L$2:$L$2501,$L416,'AR SALES'!$AD$2:$AD$2501,IF(""&amp;$F416="4","OFF","ON"),'AR SALES'!$AF$2:$AF$2501,"Y")&gt;0,"","NO EXEMPTION"))),"")</f>
        <v/>
      </c>
    </row>
    <row r="417" spans="46:54" x14ac:dyDescent="0.25">
      <c r="AT417" s="2" t="str">
        <f>IF($L417="","",IFERROR(INDEX('AR SALES'!$H$2:$H$2501,MATCH(""&amp;$L417,'AR SALES'!$AE$2:$AE$2501,0)),""))</f>
        <v/>
      </c>
      <c r="AU417" s="2" t="str">
        <f t="shared" si="24"/>
        <v/>
      </c>
      <c r="AV417" s="2" t="str">
        <f t="shared" si="25"/>
        <v/>
      </c>
      <c r="AW417" s="2" t="str">
        <f t="shared" si="26"/>
        <v/>
      </c>
      <c r="AX417" s="2" t="str">
        <f t="shared" si="27"/>
        <v/>
      </c>
      <c r="AY417" s="2" t="str">
        <f>IF($AV417="","",IF(AND($Z417=0,COUNTIF('AR SALES'!$L$2:$L$2501,$L417)=0),"YES",""))</f>
        <v/>
      </c>
      <c r="AZ417" s="2" t="str">
        <f>IF($AV417="","",IF(COUNTIF(LISTS!$C$2:$C$250,$AU417)=0,"NEW",""))</f>
        <v/>
      </c>
      <c r="BA417" s="2" t="str">
        <f>IF(""&amp;$F417&lt;&gt;"4","",IF($AY417="YES","",IF(ROUND(SUMIFS($AE$2:$AE$4001,$L$2:$L$4001,$L417,$F$2:$F$4001,"4")-SUMIFS('AR SALES'!$Y$2:$Y$2501,'AR SALES'!$L$2:$L$2501,$L417,'AR SALES'!$AD$2:$AD$2501,"OFF"),2)=0,"","STALE")))</f>
        <v/>
      </c>
      <c r="BB417" s="2" t="str">
        <f>IF(OR(""&amp;$F417="2",""&amp;$F417="4",""&amp;$F417="G",""&amp;$F417="H"),IF($AY417="YES","",IF($AB417&lt;&gt;0,"",IF(COUNTIFS('AR SALES'!$L$2:$L$2501,$L417,'AR SALES'!$AD$2:$AD$2501,IF(""&amp;$F417="4","OFF","ON"),'AR SALES'!$AF$2:$AF$2501,"Y")&gt;0,"","NO EXEMPTION"))),"")</f>
        <v/>
      </c>
    </row>
    <row r="418" spans="46:54" x14ac:dyDescent="0.25">
      <c r="AT418" s="2" t="str">
        <f>IF($L418="","",IFERROR(INDEX('AR SALES'!$H$2:$H$2501,MATCH(""&amp;$L418,'AR SALES'!$AE$2:$AE$2501,0)),""))</f>
        <v/>
      </c>
      <c r="AU418" s="2" t="str">
        <f t="shared" si="24"/>
        <v/>
      </c>
      <c r="AV418" s="2" t="str">
        <f t="shared" si="25"/>
        <v/>
      </c>
      <c r="AW418" s="2" t="str">
        <f t="shared" si="26"/>
        <v/>
      </c>
      <c r="AX418" s="2" t="str">
        <f t="shared" si="27"/>
        <v/>
      </c>
      <c r="AY418" s="2" t="str">
        <f>IF($AV418="","",IF(AND($Z418=0,COUNTIF('AR SALES'!$L$2:$L$2501,$L418)=0),"YES",""))</f>
        <v/>
      </c>
      <c r="AZ418" s="2" t="str">
        <f>IF($AV418="","",IF(COUNTIF(LISTS!$C$2:$C$250,$AU418)=0,"NEW",""))</f>
        <v/>
      </c>
      <c r="BA418" s="2" t="str">
        <f>IF(""&amp;$F418&lt;&gt;"4","",IF($AY418="YES","",IF(ROUND(SUMIFS($AE$2:$AE$4001,$L$2:$L$4001,$L418,$F$2:$F$4001,"4")-SUMIFS('AR SALES'!$Y$2:$Y$2501,'AR SALES'!$L$2:$L$2501,$L418,'AR SALES'!$AD$2:$AD$2501,"OFF"),2)=0,"","STALE")))</f>
        <v/>
      </c>
      <c r="BB418" s="2" t="str">
        <f>IF(OR(""&amp;$F418="2",""&amp;$F418="4",""&amp;$F418="G",""&amp;$F418="H"),IF($AY418="YES","",IF($AB418&lt;&gt;0,"",IF(COUNTIFS('AR SALES'!$L$2:$L$2501,$L418,'AR SALES'!$AD$2:$AD$2501,IF(""&amp;$F418="4","OFF","ON"),'AR SALES'!$AF$2:$AF$2501,"Y")&gt;0,"","NO EXEMPTION"))),"")</f>
        <v/>
      </c>
    </row>
    <row r="419" spans="46:54" x14ac:dyDescent="0.25">
      <c r="AT419" s="2" t="str">
        <f>IF($L419="","",IFERROR(INDEX('AR SALES'!$H$2:$H$2501,MATCH(""&amp;$L419,'AR SALES'!$AE$2:$AE$2501,0)),""))</f>
        <v/>
      </c>
      <c r="AU419" s="2" t="str">
        <f t="shared" si="24"/>
        <v/>
      </c>
      <c r="AV419" s="2" t="str">
        <f t="shared" si="25"/>
        <v/>
      </c>
      <c r="AW419" s="2" t="str">
        <f t="shared" si="26"/>
        <v/>
      </c>
      <c r="AX419" s="2" t="str">
        <f t="shared" si="27"/>
        <v/>
      </c>
      <c r="AY419" s="2" t="str">
        <f>IF($AV419="","",IF(AND($Z419=0,COUNTIF('AR SALES'!$L$2:$L$2501,$L419)=0),"YES",""))</f>
        <v/>
      </c>
      <c r="AZ419" s="2" t="str">
        <f>IF($AV419="","",IF(COUNTIF(LISTS!$C$2:$C$250,$AU419)=0,"NEW",""))</f>
        <v/>
      </c>
      <c r="BA419" s="2" t="str">
        <f>IF(""&amp;$F419&lt;&gt;"4","",IF($AY419="YES","",IF(ROUND(SUMIFS($AE$2:$AE$4001,$L$2:$L$4001,$L419,$F$2:$F$4001,"4")-SUMIFS('AR SALES'!$Y$2:$Y$2501,'AR SALES'!$L$2:$L$2501,$L419,'AR SALES'!$AD$2:$AD$2501,"OFF"),2)=0,"","STALE")))</f>
        <v/>
      </c>
      <c r="BB419" s="2" t="str">
        <f>IF(OR(""&amp;$F419="2",""&amp;$F419="4",""&amp;$F419="G",""&amp;$F419="H"),IF($AY419="YES","",IF($AB419&lt;&gt;0,"",IF(COUNTIFS('AR SALES'!$L$2:$L$2501,$L419,'AR SALES'!$AD$2:$AD$2501,IF(""&amp;$F419="4","OFF","ON"),'AR SALES'!$AF$2:$AF$2501,"Y")&gt;0,"","NO EXEMPTION"))),"")</f>
        <v/>
      </c>
    </row>
    <row r="420" spans="46:54" x14ac:dyDescent="0.25">
      <c r="AT420" s="2" t="str">
        <f>IF($L420="","",IFERROR(INDEX('AR SALES'!$H$2:$H$2501,MATCH(""&amp;$L420,'AR SALES'!$AE$2:$AE$2501,0)),""))</f>
        <v/>
      </c>
      <c r="AU420" s="2" t="str">
        <f t="shared" si="24"/>
        <v/>
      </c>
      <c r="AV420" s="2" t="str">
        <f t="shared" si="25"/>
        <v/>
      </c>
      <c r="AW420" s="2" t="str">
        <f t="shared" si="26"/>
        <v/>
      </c>
      <c r="AX420" s="2" t="str">
        <f t="shared" si="27"/>
        <v/>
      </c>
      <c r="AY420" s="2" t="str">
        <f>IF($AV420="","",IF(AND($Z420=0,COUNTIF('AR SALES'!$L$2:$L$2501,$L420)=0),"YES",""))</f>
        <v/>
      </c>
      <c r="AZ420" s="2" t="str">
        <f>IF($AV420="","",IF(COUNTIF(LISTS!$C$2:$C$250,$AU420)=0,"NEW",""))</f>
        <v/>
      </c>
      <c r="BA420" s="2" t="str">
        <f>IF(""&amp;$F420&lt;&gt;"4","",IF($AY420="YES","",IF(ROUND(SUMIFS($AE$2:$AE$4001,$L$2:$L$4001,$L420,$F$2:$F$4001,"4")-SUMIFS('AR SALES'!$Y$2:$Y$2501,'AR SALES'!$L$2:$L$2501,$L420,'AR SALES'!$AD$2:$AD$2501,"OFF"),2)=0,"","STALE")))</f>
        <v/>
      </c>
      <c r="BB420" s="2" t="str">
        <f>IF(OR(""&amp;$F420="2",""&amp;$F420="4",""&amp;$F420="G",""&amp;$F420="H"),IF($AY420="YES","",IF($AB420&lt;&gt;0,"",IF(COUNTIFS('AR SALES'!$L$2:$L$2501,$L420,'AR SALES'!$AD$2:$AD$2501,IF(""&amp;$F420="4","OFF","ON"),'AR SALES'!$AF$2:$AF$2501,"Y")&gt;0,"","NO EXEMPTION"))),"")</f>
        <v/>
      </c>
    </row>
    <row r="421" spans="46:54" x14ac:dyDescent="0.25">
      <c r="AT421" s="2" t="str">
        <f>IF($L421="","",IFERROR(INDEX('AR SALES'!$H$2:$H$2501,MATCH(""&amp;$L421,'AR SALES'!$AE$2:$AE$2501,0)),""))</f>
        <v/>
      </c>
      <c r="AU421" s="2" t="str">
        <f t="shared" si="24"/>
        <v/>
      </c>
      <c r="AV421" s="2" t="str">
        <f t="shared" si="25"/>
        <v/>
      </c>
      <c r="AW421" s="2" t="str">
        <f t="shared" si="26"/>
        <v/>
      </c>
      <c r="AX421" s="2" t="str">
        <f t="shared" si="27"/>
        <v/>
      </c>
      <c r="AY421" s="2" t="str">
        <f>IF($AV421="","",IF(AND($Z421=0,COUNTIF('AR SALES'!$L$2:$L$2501,$L421)=0),"YES",""))</f>
        <v/>
      </c>
      <c r="AZ421" s="2" t="str">
        <f>IF($AV421="","",IF(COUNTIF(LISTS!$C$2:$C$250,$AU421)=0,"NEW",""))</f>
        <v/>
      </c>
      <c r="BA421" s="2" t="str">
        <f>IF(""&amp;$F421&lt;&gt;"4","",IF($AY421="YES","",IF(ROUND(SUMIFS($AE$2:$AE$4001,$L$2:$L$4001,$L421,$F$2:$F$4001,"4")-SUMIFS('AR SALES'!$Y$2:$Y$2501,'AR SALES'!$L$2:$L$2501,$L421,'AR SALES'!$AD$2:$AD$2501,"OFF"),2)=0,"","STALE")))</f>
        <v/>
      </c>
      <c r="BB421" s="2" t="str">
        <f>IF(OR(""&amp;$F421="2",""&amp;$F421="4",""&amp;$F421="G",""&amp;$F421="H"),IF($AY421="YES","",IF($AB421&lt;&gt;0,"",IF(COUNTIFS('AR SALES'!$L$2:$L$2501,$L421,'AR SALES'!$AD$2:$AD$2501,IF(""&amp;$F421="4","OFF","ON"),'AR SALES'!$AF$2:$AF$2501,"Y")&gt;0,"","NO EXEMPTION"))),"")</f>
        <v/>
      </c>
    </row>
    <row r="422" spans="46:54" x14ac:dyDescent="0.25">
      <c r="AT422" s="2" t="str">
        <f>IF($L422="","",IFERROR(INDEX('AR SALES'!$H$2:$H$2501,MATCH(""&amp;$L422,'AR SALES'!$AE$2:$AE$2501,0)),""))</f>
        <v/>
      </c>
      <c r="AU422" s="2" t="str">
        <f t="shared" si="24"/>
        <v/>
      </c>
      <c r="AV422" s="2" t="str">
        <f t="shared" si="25"/>
        <v/>
      </c>
      <c r="AW422" s="2" t="str">
        <f t="shared" si="26"/>
        <v/>
      </c>
      <c r="AX422" s="2" t="str">
        <f t="shared" si="27"/>
        <v/>
      </c>
      <c r="AY422" s="2" t="str">
        <f>IF($AV422="","",IF(AND($Z422=0,COUNTIF('AR SALES'!$L$2:$L$2501,$L422)=0),"YES",""))</f>
        <v/>
      </c>
      <c r="AZ422" s="2" t="str">
        <f>IF($AV422="","",IF(COUNTIF(LISTS!$C$2:$C$250,$AU422)=0,"NEW",""))</f>
        <v/>
      </c>
      <c r="BA422" s="2" t="str">
        <f>IF(""&amp;$F422&lt;&gt;"4","",IF($AY422="YES","",IF(ROUND(SUMIFS($AE$2:$AE$4001,$L$2:$L$4001,$L422,$F$2:$F$4001,"4")-SUMIFS('AR SALES'!$Y$2:$Y$2501,'AR SALES'!$L$2:$L$2501,$L422,'AR SALES'!$AD$2:$AD$2501,"OFF"),2)=0,"","STALE")))</f>
        <v/>
      </c>
      <c r="BB422" s="2" t="str">
        <f>IF(OR(""&amp;$F422="2",""&amp;$F422="4",""&amp;$F422="G",""&amp;$F422="H"),IF($AY422="YES","",IF($AB422&lt;&gt;0,"",IF(COUNTIFS('AR SALES'!$L$2:$L$2501,$L422,'AR SALES'!$AD$2:$AD$2501,IF(""&amp;$F422="4","OFF","ON"),'AR SALES'!$AF$2:$AF$2501,"Y")&gt;0,"","NO EXEMPTION"))),"")</f>
        <v/>
      </c>
    </row>
    <row r="423" spans="46:54" x14ac:dyDescent="0.25">
      <c r="AT423" s="2" t="str">
        <f>IF($L423="","",IFERROR(INDEX('AR SALES'!$H$2:$H$2501,MATCH(""&amp;$L423,'AR SALES'!$AE$2:$AE$2501,0)),""))</f>
        <v/>
      </c>
      <c r="AU423" s="2" t="str">
        <f t="shared" si="24"/>
        <v/>
      </c>
      <c r="AV423" s="2" t="str">
        <f t="shared" si="25"/>
        <v/>
      </c>
      <c r="AW423" s="2" t="str">
        <f t="shared" si="26"/>
        <v/>
      </c>
      <c r="AX423" s="2" t="str">
        <f t="shared" si="27"/>
        <v/>
      </c>
      <c r="AY423" s="2" t="str">
        <f>IF($AV423="","",IF(AND($Z423=0,COUNTIF('AR SALES'!$L$2:$L$2501,$L423)=0),"YES",""))</f>
        <v/>
      </c>
      <c r="AZ423" s="2" t="str">
        <f>IF($AV423="","",IF(COUNTIF(LISTS!$C$2:$C$250,$AU423)=0,"NEW",""))</f>
        <v/>
      </c>
      <c r="BA423" s="2" t="str">
        <f>IF(""&amp;$F423&lt;&gt;"4","",IF($AY423="YES","",IF(ROUND(SUMIFS($AE$2:$AE$4001,$L$2:$L$4001,$L423,$F$2:$F$4001,"4")-SUMIFS('AR SALES'!$Y$2:$Y$2501,'AR SALES'!$L$2:$L$2501,$L423,'AR SALES'!$AD$2:$AD$2501,"OFF"),2)=0,"","STALE")))</f>
        <v/>
      </c>
      <c r="BB423" s="2" t="str">
        <f>IF(OR(""&amp;$F423="2",""&amp;$F423="4",""&amp;$F423="G",""&amp;$F423="H"),IF($AY423="YES","",IF($AB423&lt;&gt;0,"",IF(COUNTIFS('AR SALES'!$L$2:$L$2501,$L423,'AR SALES'!$AD$2:$AD$2501,IF(""&amp;$F423="4","OFF","ON"),'AR SALES'!$AF$2:$AF$2501,"Y")&gt;0,"","NO EXEMPTION"))),"")</f>
        <v/>
      </c>
    </row>
    <row r="424" spans="46:54" x14ac:dyDescent="0.25">
      <c r="AT424" s="2" t="str">
        <f>IF($L424="","",IFERROR(INDEX('AR SALES'!$H$2:$H$2501,MATCH(""&amp;$L424,'AR SALES'!$AE$2:$AE$2501,0)),""))</f>
        <v/>
      </c>
      <c r="AU424" s="2" t="str">
        <f t="shared" si="24"/>
        <v/>
      </c>
      <c r="AV424" s="2" t="str">
        <f t="shared" si="25"/>
        <v/>
      </c>
      <c r="AW424" s="2" t="str">
        <f t="shared" si="26"/>
        <v/>
      </c>
      <c r="AX424" s="2" t="str">
        <f t="shared" si="27"/>
        <v/>
      </c>
      <c r="AY424" s="2" t="str">
        <f>IF($AV424="","",IF(AND($Z424=0,COUNTIF('AR SALES'!$L$2:$L$2501,$L424)=0),"YES",""))</f>
        <v/>
      </c>
      <c r="AZ424" s="2" t="str">
        <f>IF($AV424="","",IF(COUNTIF(LISTS!$C$2:$C$250,$AU424)=0,"NEW",""))</f>
        <v/>
      </c>
      <c r="BA424" s="2" t="str">
        <f>IF(""&amp;$F424&lt;&gt;"4","",IF($AY424="YES","",IF(ROUND(SUMIFS($AE$2:$AE$4001,$L$2:$L$4001,$L424,$F$2:$F$4001,"4")-SUMIFS('AR SALES'!$Y$2:$Y$2501,'AR SALES'!$L$2:$L$2501,$L424,'AR SALES'!$AD$2:$AD$2501,"OFF"),2)=0,"","STALE")))</f>
        <v/>
      </c>
      <c r="BB424" s="2" t="str">
        <f>IF(OR(""&amp;$F424="2",""&amp;$F424="4",""&amp;$F424="G",""&amp;$F424="H"),IF($AY424="YES","",IF($AB424&lt;&gt;0,"",IF(COUNTIFS('AR SALES'!$L$2:$L$2501,$L424,'AR SALES'!$AD$2:$AD$2501,IF(""&amp;$F424="4","OFF","ON"),'AR SALES'!$AF$2:$AF$2501,"Y")&gt;0,"","NO EXEMPTION"))),"")</f>
        <v/>
      </c>
    </row>
    <row r="425" spans="46:54" x14ac:dyDescent="0.25">
      <c r="AT425" s="2" t="str">
        <f>IF($L425="","",IFERROR(INDEX('AR SALES'!$H$2:$H$2501,MATCH(""&amp;$L425,'AR SALES'!$AE$2:$AE$2501,0)),""))</f>
        <v/>
      </c>
      <c r="AU425" s="2" t="str">
        <f t="shared" si="24"/>
        <v/>
      </c>
      <c r="AV425" s="2" t="str">
        <f t="shared" si="25"/>
        <v/>
      </c>
      <c r="AW425" s="2" t="str">
        <f t="shared" si="26"/>
        <v/>
      </c>
      <c r="AX425" s="2" t="str">
        <f t="shared" si="27"/>
        <v/>
      </c>
      <c r="AY425" s="2" t="str">
        <f>IF($AV425="","",IF(AND($Z425=0,COUNTIF('AR SALES'!$L$2:$L$2501,$L425)=0),"YES",""))</f>
        <v/>
      </c>
      <c r="AZ425" s="2" t="str">
        <f>IF($AV425="","",IF(COUNTIF(LISTS!$C$2:$C$250,$AU425)=0,"NEW",""))</f>
        <v/>
      </c>
      <c r="BA425" s="2" t="str">
        <f>IF(""&amp;$F425&lt;&gt;"4","",IF($AY425="YES","",IF(ROUND(SUMIFS($AE$2:$AE$4001,$L$2:$L$4001,$L425,$F$2:$F$4001,"4")-SUMIFS('AR SALES'!$Y$2:$Y$2501,'AR SALES'!$L$2:$L$2501,$L425,'AR SALES'!$AD$2:$AD$2501,"OFF"),2)=0,"","STALE")))</f>
        <v/>
      </c>
      <c r="BB425" s="2" t="str">
        <f>IF(OR(""&amp;$F425="2",""&amp;$F425="4",""&amp;$F425="G",""&amp;$F425="H"),IF($AY425="YES","",IF($AB425&lt;&gt;0,"",IF(COUNTIFS('AR SALES'!$L$2:$L$2501,$L425,'AR SALES'!$AD$2:$AD$2501,IF(""&amp;$F425="4","OFF","ON"),'AR SALES'!$AF$2:$AF$2501,"Y")&gt;0,"","NO EXEMPTION"))),"")</f>
        <v/>
      </c>
    </row>
    <row r="426" spans="46:54" x14ac:dyDescent="0.25">
      <c r="AT426" s="2" t="str">
        <f>IF($L426="","",IFERROR(INDEX('AR SALES'!$H$2:$H$2501,MATCH(""&amp;$L426,'AR SALES'!$AE$2:$AE$2501,0)),""))</f>
        <v/>
      </c>
      <c r="AU426" s="2" t="str">
        <f t="shared" si="24"/>
        <v/>
      </c>
      <c r="AV426" s="2" t="str">
        <f t="shared" si="25"/>
        <v/>
      </c>
      <c r="AW426" s="2" t="str">
        <f t="shared" si="26"/>
        <v/>
      </c>
      <c r="AX426" s="2" t="str">
        <f t="shared" si="27"/>
        <v/>
      </c>
      <c r="AY426" s="2" t="str">
        <f>IF($AV426="","",IF(AND($Z426=0,COUNTIF('AR SALES'!$L$2:$L$2501,$L426)=0),"YES",""))</f>
        <v/>
      </c>
      <c r="AZ426" s="2" t="str">
        <f>IF($AV426="","",IF(COUNTIF(LISTS!$C$2:$C$250,$AU426)=0,"NEW",""))</f>
        <v/>
      </c>
      <c r="BA426" s="2" t="str">
        <f>IF(""&amp;$F426&lt;&gt;"4","",IF($AY426="YES","",IF(ROUND(SUMIFS($AE$2:$AE$4001,$L$2:$L$4001,$L426,$F$2:$F$4001,"4")-SUMIFS('AR SALES'!$Y$2:$Y$2501,'AR SALES'!$L$2:$L$2501,$L426,'AR SALES'!$AD$2:$AD$2501,"OFF"),2)=0,"","STALE")))</f>
        <v/>
      </c>
      <c r="BB426" s="2" t="str">
        <f>IF(OR(""&amp;$F426="2",""&amp;$F426="4",""&amp;$F426="G",""&amp;$F426="H"),IF($AY426="YES","",IF($AB426&lt;&gt;0,"",IF(COUNTIFS('AR SALES'!$L$2:$L$2501,$L426,'AR SALES'!$AD$2:$AD$2501,IF(""&amp;$F426="4","OFF","ON"),'AR SALES'!$AF$2:$AF$2501,"Y")&gt;0,"","NO EXEMPTION"))),"")</f>
        <v/>
      </c>
    </row>
    <row r="427" spans="46:54" x14ac:dyDescent="0.25">
      <c r="AT427" s="2" t="str">
        <f>IF($L427="","",IFERROR(INDEX('AR SALES'!$H$2:$H$2501,MATCH(""&amp;$L427,'AR SALES'!$AE$2:$AE$2501,0)),""))</f>
        <v/>
      </c>
      <c r="AU427" s="2" t="str">
        <f t="shared" si="24"/>
        <v/>
      </c>
      <c r="AV427" s="2" t="str">
        <f t="shared" si="25"/>
        <v/>
      </c>
      <c r="AW427" s="2" t="str">
        <f t="shared" si="26"/>
        <v/>
      </c>
      <c r="AX427" s="2" t="str">
        <f t="shared" si="27"/>
        <v/>
      </c>
      <c r="AY427" s="2" t="str">
        <f>IF($AV427="","",IF(AND($Z427=0,COUNTIF('AR SALES'!$L$2:$L$2501,$L427)=0),"YES",""))</f>
        <v/>
      </c>
      <c r="AZ427" s="2" t="str">
        <f>IF($AV427="","",IF(COUNTIF(LISTS!$C$2:$C$250,$AU427)=0,"NEW",""))</f>
        <v/>
      </c>
      <c r="BA427" s="2" t="str">
        <f>IF(""&amp;$F427&lt;&gt;"4","",IF($AY427="YES","",IF(ROUND(SUMIFS($AE$2:$AE$4001,$L$2:$L$4001,$L427,$F$2:$F$4001,"4")-SUMIFS('AR SALES'!$Y$2:$Y$2501,'AR SALES'!$L$2:$L$2501,$L427,'AR SALES'!$AD$2:$AD$2501,"OFF"),2)=0,"","STALE")))</f>
        <v/>
      </c>
      <c r="BB427" s="2" t="str">
        <f>IF(OR(""&amp;$F427="2",""&amp;$F427="4",""&amp;$F427="G",""&amp;$F427="H"),IF($AY427="YES","",IF($AB427&lt;&gt;0,"",IF(COUNTIFS('AR SALES'!$L$2:$L$2501,$L427,'AR SALES'!$AD$2:$AD$2501,IF(""&amp;$F427="4","OFF","ON"),'AR SALES'!$AF$2:$AF$2501,"Y")&gt;0,"","NO EXEMPTION"))),"")</f>
        <v/>
      </c>
    </row>
    <row r="428" spans="46:54" x14ac:dyDescent="0.25">
      <c r="AT428" s="2" t="str">
        <f>IF($L428="","",IFERROR(INDEX('AR SALES'!$H$2:$H$2501,MATCH(""&amp;$L428,'AR SALES'!$AE$2:$AE$2501,0)),""))</f>
        <v/>
      </c>
      <c r="AU428" s="2" t="str">
        <f t="shared" si="24"/>
        <v/>
      </c>
      <c r="AV428" s="2" t="str">
        <f t="shared" si="25"/>
        <v/>
      </c>
      <c r="AW428" s="2" t="str">
        <f t="shared" si="26"/>
        <v/>
      </c>
      <c r="AX428" s="2" t="str">
        <f t="shared" si="27"/>
        <v/>
      </c>
      <c r="AY428" s="2" t="str">
        <f>IF($AV428="","",IF(AND($Z428=0,COUNTIF('AR SALES'!$L$2:$L$2501,$L428)=0),"YES",""))</f>
        <v/>
      </c>
      <c r="AZ428" s="2" t="str">
        <f>IF($AV428="","",IF(COUNTIF(LISTS!$C$2:$C$250,$AU428)=0,"NEW",""))</f>
        <v/>
      </c>
      <c r="BA428" s="2" t="str">
        <f>IF(""&amp;$F428&lt;&gt;"4","",IF($AY428="YES","",IF(ROUND(SUMIFS($AE$2:$AE$4001,$L$2:$L$4001,$L428,$F$2:$F$4001,"4")-SUMIFS('AR SALES'!$Y$2:$Y$2501,'AR SALES'!$L$2:$L$2501,$L428,'AR SALES'!$AD$2:$AD$2501,"OFF"),2)=0,"","STALE")))</f>
        <v/>
      </c>
      <c r="BB428" s="2" t="str">
        <f>IF(OR(""&amp;$F428="2",""&amp;$F428="4",""&amp;$F428="G",""&amp;$F428="H"),IF($AY428="YES","",IF($AB428&lt;&gt;0,"",IF(COUNTIFS('AR SALES'!$L$2:$L$2501,$L428,'AR SALES'!$AD$2:$AD$2501,IF(""&amp;$F428="4","OFF","ON"),'AR SALES'!$AF$2:$AF$2501,"Y")&gt;0,"","NO EXEMPTION"))),"")</f>
        <v/>
      </c>
    </row>
    <row r="429" spans="46:54" x14ac:dyDescent="0.25">
      <c r="AT429" s="2" t="str">
        <f>IF($L429="","",IFERROR(INDEX('AR SALES'!$H$2:$H$2501,MATCH(""&amp;$L429,'AR SALES'!$AE$2:$AE$2501,0)),""))</f>
        <v/>
      </c>
      <c r="AU429" s="2" t="str">
        <f t="shared" si="24"/>
        <v/>
      </c>
      <c r="AV429" s="2" t="str">
        <f t="shared" si="25"/>
        <v/>
      </c>
      <c r="AW429" s="2" t="str">
        <f t="shared" si="26"/>
        <v/>
      </c>
      <c r="AX429" s="2" t="str">
        <f t="shared" si="27"/>
        <v/>
      </c>
      <c r="AY429" s="2" t="str">
        <f>IF($AV429="","",IF(AND($Z429=0,COUNTIF('AR SALES'!$L$2:$L$2501,$L429)=0),"YES",""))</f>
        <v/>
      </c>
      <c r="AZ429" s="2" t="str">
        <f>IF($AV429="","",IF(COUNTIF(LISTS!$C$2:$C$250,$AU429)=0,"NEW",""))</f>
        <v/>
      </c>
      <c r="BA429" s="2" t="str">
        <f>IF(""&amp;$F429&lt;&gt;"4","",IF($AY429="YES","",IF(ROUND(SUMIFS($AE$2:$AE$4001,$L$2:$L$4001,$L429,$F$2:$F$4001,"4")-SUMIFS('AR SALES'!$Y$2:$Y$2501,'AR SALES'!$L$2:$L$2501,$L429,'AR SALES'!$AD$2:$AD$2501,"OFF"),2)=0,"","STALE")))</f>
        <v/>
      </c>
      <c r="BB429" s="2" t="str">
        <f>IF(OR(""&amp;$F429="2",""&amp;$F429="4",""&amp;$F429="G",""&amp;$F429="H"),IF($AY429="YES","",IF($AB429&lt;&gt;0,"",IF(COUNTIFS('AR SALES'!$L$2:$L$2501,$L429,'AR SALES'!$AD$2:$AD$2501,IF(""&amp;$F429="4","OFF","ON"),'AR SALES'!$AF$2:$AF$2501,"Y")&gt;0,"","NO EXEMPTION"))),"")</f>
        <v/>
      </c>
    </row>
    <row r="430" spans="46:54" x14ac:dyDescent="0.25">
      <c r="AT430" s="2" t="str">
        <f>IF($L430="","",IFERROR(INDEX('AR SALES'!$H$2:$H$2501,MATCH(""&amp;$L430,'AR SALES'!$AE$2:$AE$2501,0)),""))</f>
        <v/>
      </c>
      <c r="AU430" s="2" t="str">
        <f t="shared" si="24"/>
        <v/>
      </c>
      <c r="AV430" s="2" t="str">
        <f t="shared" si="25"/>
        <v/>
      </c>
      <c r="AW430" s="2" t="str">
        <f t="shared" si="26"/>
        <v/>
      </c>
      <c r="AX430" s="2" t="str">
        <f t="shared" si="27"/>
        <v/>
      </c>
      <c r="AY430" s="2" t="str">
        <f>IF($AV430="","",IF(AND($Z430=0,COUNTIF('AR SALES'!$L$2:$L$2501,$L430)=0),"YES",""))</f>
        <v/>
      </c>
      <c r="AZ430" s="2" t="str">
        <f>IF($AV430="","",IF(COUNTIF(LISTS!$C$2:$C$250,$AU430)=0,"NEW",""))</f>
        <v/>
      </c>
      <c r="BA430" s="2" t="str">
        <f>IF(""&amp;$F430&lt;&gt;"4","",IF($AY430="YES","",IF(ROUND(SUMIFS($AE$2:$AE$4001,$L$2:$L$4001,$L430,$F$2:$F$4001,"4")-SUMIFS('AR SALES'!$Y$2:$Y$2501,'AR SALES'!$L$2:$L$2501,$L430,'AR SALES'!$AD$2:$AD$2501,"OFF"),2)=0,"","STALE")))</f>
        <v/>
      </c>
      <c r="BB430" s="2" t="str">
        <f>IF(OR(""&amp;$F430="2",""&amp;$F430="4",""&amp;$F430="G",""&amp;$F430="H"),IF($AY430="YES","",IF($AB430&lt;&gt;0,"",IF(COUNTIFS('AR SALES'!$L$2:$L$2501,$L430,'AR SALES'!$AD$2:$AD$2501,IF(""&amp;$F430="4","OFF","ON"),'AR SALES'!$AF$2:$AF$2501,"Y")&gt;0,"","NO EXEMPTION"))),"")</f>
        <v/>
      </c>
    </row>
    <row r="431" spans="46:54" x14ac:dyDescent="0.25">
      <c r="AT431" s="2" t="str">
        <f>IF($L431="","",IFERROR(INDEX('AR SALES'!$H$2:$H$2501,MATCH(""&amp;$L431,'AR SALES'!$AE$2:$AE$2501,0)),""))</f>
        <v/>
      </c>
      <c r="AU431" s="2" t="str">
        <f t="shared" si="24"/>
        <v/>
      </c>
      <c r="AV431" s="2" t="str">
        <f t="shared" si="25"/>
        <v/>
      </c>
      <c r="AW431" s="2" t="str">
        <f t="shared" si="26"/>
        <v/>
      </c>
      <c r="AX431" s="2" t="str">
        <f t="shared" si="27"/>
        <v/>
      </c>
      <c r="AY431" s="2" t="str">
        <f>IF($AV431="","",IF(AND($Z431=0,COUNTIF('AR SALES'!$L$2:$L$2501,$L431)=0),"YES",""))</f>
        <v/>
      </c>
      <c r="AZ431" s="2" t="str">
        <f>IF($AV431="","",IF(COUNTIF(LISTS!$C$2:$C$250,$AU431)=0,"NEW",""))</f>
        <v/>
      </c>
      <c r="BA431" s="2" t="str">
        <f>IF(""&amp;$F431&lt;&gt;"4","",IF($AY431="YES","",IF(ROUND(SUMIFS($AE$2:$AE$4001,$L$2:$L$4001,$L431,$F$2:$F$4001,"4")-SUMIFS('AR SALES'!$Y$2:$Y$2501,'AR SALES'!$L$2:$L$2501,$L431,'AR SALES'!$AD$2:$AD$2501,"OFF"),2)=0,"","STALE")))</f>
        <v/>
      </c>
      <c r="BB431" s="2" t="str">
        <f>IF(OR(""&amp;$F431="2",""&amp;$F431="4",""&amp;$F431="G",""&amp;$F431="H"),IF($AY431="YES","",IF($AB431&lt;&gt;0,"",IF(COUNTIFS('AR SALES'!$L$2:$L$2501,$L431,'AR SALES'!$AD$2:$AD$2501,IF(""&amp;$F431="4","OFF","ON"),'AR SALES'!$AF$2:$AF$2501,"Y")&gt;0,"","NO EXEMPTION"))),"")</f>
        <v/>
      </c>
    </row>
    <row r="432" spans="46:54" x14ac:dyDescent="0.25">
      <c r="AT432" s="2" t="str">
        <f>IF($L432="","",IFERROR(INDEX('AR SALES'!$H$2:$H$2501,MATCH(""&amp;$L432,'AR SALES'!$AE$2:$AE$2501,0)),""))</f>
        <v/>
      </c>
      <c r="AU432" s="2" t="str">
        <f t="shared" si="24"/>
        <v/>
      </c>
      <c r="AV432" s="2" t="str">
        <f t="shared" si="25"/>
        <v/>
      </c>
      <c r="AW432" s="2" t="str">
        <f t="shared" si="26"/>
        <v/>
      </c>
      <c r="AX432" s="2" t="str">
        <f t="shared" si="27"/>
        <v/>
      </c>
      <c r="AY432" s="2" t="str">
        <f>IF($AV432="","",IF(AND($Z432=0,COUNTIF('AR SALES'!$L$2:$L$2501,$L432)=0),"YES",""))</f>
        <v/>
      </c>
      <c r="AZ432" s="2" t="str">
        <f>IF($AV432="","",IF(COUNTIF(LISTS!$C$2:$C$250,$AU432)=0,"NEW",""))</f>
        <v/>
      </c>
      <c r="BA432" s="2" t="str">
        <f>IF(""&amp;$F432&lt;&gt;"4","",IF($AY432="YES","",IF(ROUND(SUMIFS($AE$2:$AE$4001,$L$2:$L$4001,$L432,$F$2:$F$4001,"4")-SUMIFS('AR SALES'!$Y$2:$Y$2501,'AR SALES'!$L$2:$L$2501,$L432,'AR SALES'!$AD$2:$AD$2501,"OFF"),2)=0,"","STALE")))</f>
        <v/>
      </c>
      <c r="BB432" s="2" t="str">
        <f>IF(OR(""&amp;$F432="2",""&amp;$F432="4",""&amp;$F432="G",""&amp;$F432="H"),IF($AY432="YES","",IF($AB432&lt;&gt;0,"",IF(COUNTIFS('AR SALES'!$L$2:$L$2501,$L432,'AR SALES'!$AD$2:$AD$2501,IF(""&amp;$F432="4","OFF","ON"),'AR SALES'!$AF$2:$AF$2501,"Y")&gt;0,"","NO EXEMPTION"))),"")</f>
        <v/>
      </c>
    </row>
    <row r="433" spans="46:54" x14ac:dyDescent="0.25">
      <c r="AT433" s="2" t="str">
        <f>IF($L433="","",IFERROR(INDEX('AR SALES'!$H$2:$H$2501,MATCH(""&amp;$L433,'AR SALES'!$AE$2:$AE$2501,0)),""))</f>
        <v/>
      </c>
      <c r="AU433" s="2" t="str">
        <f t="shared" si="24"/>
        <v/>
      </c>
      <c r="AV433" s="2" t="str">
        <f t="shared" si="25"/>
        <v/>
      </c>
      <c r="AW433" s="2" t="str">
        <f t="shared" si="26"/>
        <v/>
      </c>
      <c r="AX433" s="2" t="str">
        <f t="shared" si="27"/>
        <v/>
      </c>
      <c r="AY433" s="2" t="str">
        <f>IF($AV433="","",IF(AND($Z433=0,COUNTIF('AR SALES'!$L$2:$L$2501,$L433)=0),"YES",""))</f>
        <v/>
      </c>
      <c r="AZ433" s="2" t="str">
        <f>IF($AV433="","",IF(COUNTIF(LISTS!$C$2:$C$250,$AU433)=0,"NEW",""))</f>
        <v/>
      </c>
      <c r="BA433" s="2" t="str">
        <f>IF(""&amp;$F433&lt;&gt;"4","",IF($AY433="YES","",IF(ROUND(SUMIFS($AE$2:$AE$4001,$L$2:$L$4001,$L433,$F$2:$F$4001,"4")-SUMIFS('AR SALES'!$Y$2:$Y$2501,'AR SALES'!$L$2:$L$2501,$L433,'AR SALES'!$AD$2:$AD$2501,"OFF"),2)=0,"","STALE")))</f>
        <v/>
      </c>
      <c r="BB433" s="2" t="str">
        <f>IF(OR(""&amp;$F433="2",""&amp;$F433="4",""&amp;$F433="G",""&amp;$F433="H"),IF($AY433="YES","",IF($AB433&lt;&gt;0,"",IF(COUNTIFS('AR SALES'!$L$2:$L$2501,$L433,'AR SALES'!$AD$2:$AD$2501,IF(""&amp;$F433="4","OFF","ON"),'AR SALES'!$AF$2:$AF$2501,"Y")&gt;0,"","NO EXEMPTION"))),"")</f>
        <v/>
      </c>
    </row>
    <row r="434" spans="46:54" x14ac:dyDescent="0.25">
      <c r="AT434" s="2" t="str">
        <f>IF($L434="","",IFERROR(INDEX('AR SALES'!$H$2:$H$2501,MATCH(""&amp;$L434,'AR SALES'!$AE$2:$AE$2501,0)),""))</f>
        <v/>
      </c>
      <c r="AU434" s="2" t="str">
        <f t="shared" si="24"/>
        <v/>
      </c>
      <c r="AV434" s="2" t="str">
        <f t="shared" si="25"/>
        <v/>
      </c>
      <c r="AW434" s="2" t="str">
        <f t="shared" si="26"/>
        <v/>
      </c>
      <c r="AX434" s="2" t="str">
        <f t="shared" si="27"/>
        <v/>
      </c>
      <c r="AY434" s="2" t="str">
        <f>IF($AV434="","",IF(AND($Z434=0,COUNTIF('AR SALES'!$L$2:$L$2501,$L434)=0),"YES",""))</f>
        <v/>
      </c>
      <c r="AZ434" s="2" t="str">
        <f>IF($AV434="","",IF(COUNTIF(LISTS!$C$2:$C$250,$AU434)=0,"NEW",""))</f>
        <v/>
      </c>
      <c r="BA434" s="2" t="str">
        <f>IF(""&amp;$F434&lt;&gt;"4","",IF($AY434="YES","",IF(ROUND(SUMIFS($AE$2:$AE$4001,$L$2:$L$4001,$L434,$F$2:$F$4001,"4")-SUMIFS('AR SALES'!$Y$2:$Y$2501,'AR SALES'!$L$2:$L$2501,$L434,'AR SALES'!$AD$2:$AD$2501,"OFF"),2)=0,"","STALE")))</f>
        <v/>
      </c>
      <c r="BB434" s="2" t="str">
        <f>IF(OR(""&amp;$F434="2",""&amp;$F434="4",""&amp;$F434="G",""&amp;$F434="H"),IF($AY434="YES","",IF($AB434&lt;&gt;0,"",IF(COUNTIFS('AR SALES'!$L$2:$L$2501,$L434,'AR SALES'!$AD$2:$AD$2501,IF(""&amp;$F434="4","OFF","ON"),'AR SALES'!$AF$2:$AF$2501,"Y")&gt;0,"","NO EXEMPTION"))),"")</f>
        <v/>
      </c>
    </row>
    <row r="435" spans="46:54" x14ac:dyDescent="0.25">
      <c r="AT435" s="2" t="str">
        <f>IF($L435="","",IFERROR(INDEX('AR SALES'!$H$2:$H$2501,MATCH(""&amp;$L435,'AR SALES'!$AE$2:$AE$2501,0)),""))</f>
        <v/>
      </c>
      <c r="AU435" s="2" t="str">
        <f t="shared" si="24"/>
        <v/>
      </c>
      <c r="AV435" s="2" t="str">
        <f t="shared" si="25"/>
        <v/>
      </c>
      <c r="AW435" s="2" t="str">
        <f t="shared" si="26"/>
        <v/>
      </c>
      <c r="AX435" s="2" t="str">
        <f t="shared" si="27"/>
        <v/>
      </c>
      <c r="AY435" s="2" t="str">
        <f>IF($AV435="","",IF(AND($Z435=0,COUNTIF('AR SALES'!$L$2:$L$2501,$L435)=0),"YES",""))</f>
        <v/>
      </c>
      <c r="AZ435" s="2" t="str">
        <f>IF($AV435="","",IF(COUNTIF(LISTS!$C$2:$C$250,$AU435)=0,"NEW",""))</f>
        <v/>
      </c>
      <c r="BA435" s="2" t="str">
        <f>IF(""&amp;$F435&lt;&gt;"4","",IF($AY435="YES","",IF(ROUND(SUMIFS($AE$2:$AE$4001,$L$2:$L$4001,$L435,$F$2:$F$4001,"4")-SUMIFS('AR SALES'!$Y$2:$Y$2501,'AR SALES'!$L$2:$L$2501,$L435,'AR SALES'!$AD$2:$AD$2501,"OFF"),2)=0,"","STALE")))</f>
        <v/>
      </c>
      <c r="BB435" s="2" t="str">
        <f>IF(OR(""&amp;$F435="2",""&amp;$F435="4",""&amp;$F435="G",""&amp;$F435="H"),IF($AY435="YES","",IF($AB435&lt;&gt;0,"",IF(COUNTIFS('AR SALES'!$L$2:$L$2501,$L435,'AR SALES'!$AD$2:$AD$2501,IF(""&amp;$F435="4","OFF","ON"),'AR SALES'!$AF$2:$AF$2501,"Y")&gt;0,"","NO EXEMPTION"))),"")</f>
        <v/>
      </c>
    </row>
    <row r="436" spans="46:54" x14ac:dyDescent="0.25">
      <c r="AT436" s="2" t="str">
        <f>IF($L436="","",IFERROR(INDEX('AR SALES'!$H$2:$H$2501,MATCH(""&amp;$L436,'AR SALES'!$AE$2:$AE$2501,0)),""))</f>
        <v/>
      </c>
      <c r="AU436" s="2" t="str">
        <f t="shared" si="24"/>
        <v/>
      </c>
      <c r="AV436" s="2" t="str">
        <f t="shared" si="25"/>
        <v/>
      </c>
      <c r="AW436" s="2" t="str">
        <f t="shared" si="26"/>
        <v/>
      </c>
      <c r="AX436" s="2" t="str">
        <f t="shared" si="27"/>
        <v/>
      </c>
      <c r="AY436" s="2" t="str">
        <f>IF($AV436="","",IF(AND($Z436=0,COUNTIF('AR SALES'!$L$2:$L$2501,$L436)=0),"YES",""))</f>
        <v/>
      </c>
      <c r="AZ436" s="2" t="str">
        <f>IF($AV436="","",IF(COUNTIF(LISTS!$C$2:$C$250,$AU436)=0,"NEW",""))</f>
        <v/>
      </c>
      <c r="BA436" s="2" t="str">
        <f>IF(""&amp;$F436&lt;&gt;"4","",IF($AY436="YES","",IF(ROUND(SUMIFS($AE$2:$AE$4001,$L$2:$L$4001,$L436,$F$2:$F$4001,"4")-SUMIFS('AR SALES'!$Y$2:$Y$2501,'AR SALES'!$L$2:$L$2501,$L436,'AR SALES'!$AD$2:$AD$2501,"OFF"),2)=0,"","STALE")))</f>
        <v/>
      </c>
      <c r="BB436" s="2" t="str">
        <f>IF(OR(""&amp;$F436="2",""&amp;$F436="4",""&amp;$F436="G",""&amp;$F436="H"),IF($AY436="YES","",IF($AB436&lt;&gt;0,"",IF(COUNTIFS('AR SALES'!$L$2:$L$2501,$L436,'AR SALES'!$AD$2:$AD$2501,IF(""&amp;$F436="4","OFF","ON"),'AR SALES'!$AF$2:$AF$2501,"Y")&gt;0,"","NO EXEMPTION"))),"")</f>
        <v/>
      </c>
    </row>
    <row r="437" spans="46:54" x14ac:dyDescent="0.25">
      <c r="AT437" s="2" t="str">
        <f>IF($L437="","",IFERROR(INDEX('AR SALES'!$H$2:$H$2501,MATCH(""&amp;$L437,'AR SALES'!$AE$2:$AE$2501,0)),""))</f>
        <v/>
      </c>
      <c r="AU437" s="2" t="str">
        <f t="shared" si="24"/>
        <v/>
      </c>
      <c r="AV437" s="2" t="str">
        <f t="shared" si="25"/>
        <v/>
      </c>
      <c r="AW437" s="2" t="str">
        <f t="shared" si="26"/>
        <v/>
      </c>
      <c r="AX437" s="2" t="str">
        <f t="shared" si="27"/>
        <v/>
      </c>
      <c r="AY437" s="2" t="str">
        <f>IF($AV437="","",IF(AND($Z437=0,COUNTIF('AR SALES'!$L$2:$L$2501,$L437)=0),"YES",""))</f>
        <v/>
      </c>
      <c r="AZ437" s="2" t="str">
        <f>IF($AV437="","",IF(COUNTIF(LISTS!$C$2:$C$250,$AU437)=0,"NEW",""))</f>
        <v/>
      </c>
      <c r="BA437" s="2" t="str">
        <f>IF(""&amp;$F437&lt;&gt;"4","",IF($AY437="YES","",IF(ROUND(SUMIFS($AE$2:$AE$4001,$L$2:$L$4001,$L437,$F$2:$F$4001,"4")-SUMIFS('AR SALES'!$Y$2:$Y$2501,'AR SALES'!$L$2:$L$2501,$L437,'AR SALES'!$AD$2:$AD$2501,"OFF"),2)=0,"","STALE")))</f>
        <v/>
      </c>
      <c r="BB437" s="2" t="str">
        <f>IF(OR(""&amp;$F437="2",""&amp;$F437="4",""&amp;$F437="G",""&amp;$F437="H"),IF($AY437="YES","",IF($AB437&lt;&gt;0,"",IF(COUNTIFS('AR SALES'!$L$2:$L$2501,$L437,'AR SALES'!$AD$2:$AD$2501,IF(""&amp;$F437="4","OFF","ON"),'AR SALES'!$AF$2:$AF$2501,"Y")&gt;0,"","NO EXEMPTION"))),"")</f>
        <v/>
      </c>
    </row>
    <row r="438" spans="46:54" x14ac:dyDescent="0.25">
      <c r="AT438" s="2" t="str">
        <f>IF($L438="","",IFERROR(INDEX('AR SALES'!$H$2:$H$2501,MATCH(""&amp;$L438,'AR SALES'!$AE$2:$AE$2501,0)),""))</f>
        <v/>
      </c>
      <c r="AU438" s="2" t="str">
        <f t="shared" si="24"/>
        <v/>
      </c>
      <c r="AV438" s="2" t="str">
        <f t="shared" si="25"/>
        <v/>
      </c>
      <c r="AW438" s="2" t="str">
        <f t="shared" si="26"/>
        <v/>
      </c>
      <c r="AX438" s="2" t="str">
        <f t="shared" si="27"/>
        <v/>
      </c>
      <c r="AY438" s="2" t="str">
        <f>IF($AV438="","",IF(AND($Z438=0,COUNTIF('AR SALES'!$L$2:$L$2501,$L438)=0),"YES",""))</f>
        <v/>
      </c>
      <c r="AZ438" s="2" t="str">
        <f>IF($AV438="","",IF(COUNTIF(LISTS!$C$2:$C$250,$AU438)=0,"NEW",""))</f>
        <v/>
      </c>
      <c r="BA438" s="2" t="str">
        <f>IF(""&amp;$F438&lt;&gt;"4","",IF($AY438="YES","",IF(ROUND(SUMIFS($AE$2:$AE$4001,$L$2:$L$4001,$L438,$F$2:$F$4001,"4")-SUMIFS('AR SALES'!$Y$2:$Y$2501,'AR SALES'!$L$2:$L$2501,$L438,'AR SALES'!$AD$2:$AD$2501,"OFF"),2)=0,"","STALE")))</f>
        <v/>
      </c>
      <c r="BB438" s="2" t="str">
        <f>IF(OR(""&amp;$F438="2",""&amp;$F438="4",""&amp;$F438="G",""&amp;$F438="H"),IF($AY438="YES","",IF($AB438&lt;&gt;0,"",IF(COUNTIFS('AR SALES'!$L$2:$L$2501,$L438,'AR SALES'!$AD$2:$AD$2501,IF(""&amp;$F438="4","OFF","ON"),'AR SALES'!$AF$2:$AF$2501,"Y")&gt;0,"","NO EXEMPTION"))),"")</f>
        <v/>
      </c>
    </row>
    <row r="439" spans="46:54" x14ac:dyDescent="0.25">
      <c r="AT439" s="2" t="str">
        <f>IF($L439="","",IFERROR(INDEX('AR SALES'!$H$2:$H$2501,MATCH(""&amp;$L439,'AR SALES'!$AE$2:$AE$2501,0)),""))</f>
        <v/>
      </c>
      <c r="AU439" s="2" t="str">
        <f t="shared" si="24"/>
        <v/>
      </c>
      <c r="AV439" s="2" t="str">
        <f t="shared" si="25"/>
        <v/>
      </c>
      <c r="AW439" s="2" t="str">
        <f t="shared" si="26"/>
        <v/>
      </c>
      <c r="AX439" s="2" t="str">
        <f t="shared" si="27"/>
        <v/>
      </c>
      <c r="AY439" s="2" t="str">
        <f>IF($AV439="","",IF(AND($Z439=0,COUNTIF('AR SALES'!$L$2:$L$2501,$L439)=0),"YES",""))</f>
        <v/>
      </c>
      <c r="AZ439" s="2" t="str">
        <f>IF($AV439="","",IF(COUNTIF(LISTS!$C$2:$C$250,$AU439)=0,"NEW",""))</f>
        <v/>
      </c>
      <c r="BA439" s="2" t="str">
        <f>IF(""&amp;$F439&lt;&gt;"4","",IF($AY439="YES","",IF(ROUND(SUMIFS($AE$2:$AE$4001,$L$2:$L$4001,$L439,$F$2:$F$4001,"4")-SUMIFS('AR SALES'!$Y$2:$Y$2501,'AR SALES'!$L$2:$L$2501,$L439,'AR SALES'!$AD$2:$AD$2501,"OFF"),2)=0,"","STALE")))</f>
        <v/>
      </c>
      <c r="BB439" s="2" t="str">
        <f>IF(OR(""&amp;$F439="2",""&amp;$F439="4",""&amp;$F439="G",""&amp;$F439="H"),IF($AY439="YES","",IF($AB439&lt;&gt;0,"",IF(COUNTIFS('AR SALES'!$L$2:$L$2501,$L439,'AR SALES'!$AD$2:$AD$2501,IF(""&amp;$F439="4","OFF","ON"),'AR SALES'!$AF$2:$AF$2501,"Y")&gt;0,"","NO EXEMPTION"))),"")</f>
        <v/>
      </c>
    </row>
    <row r="440" spans="46:54" x14ac:dyDescent="0.25">
      <c r="AT440" s="2" t="str">
        <f>IF($L440="","",IFERROR(INDEX('AR SALES'!$H$2:$H$2501,MATCH(""&amp;$L440,'AR SALES'!$AE$2:$AE$2501,0)),""))</f>
        <v/>
      </c>
      <c r="AU440" s="2" t="str">
        <f t="shared" si="24"/>
        <v/>
      </c>
      <c r="AV440" s="2" t="str">
        <f t="shared" si="25"/>
        <v/>
      </c>
      <c r="AW440" s="2" t="str">
        <f t="shared" si="26"/>
        <v/>
      </c>
      <c r="AX440" s="2" t="str">
        <f t="shared" si="27"/>
        <v/>
      </c>
      <c r="AY440" s="2" t="str">
        <f>IF($AV440="","",IF(AND($Z440=0,COUNTIF('AR SALES'!$L$2:$L$2501,$L440)=0),"YES",""))</f>
        <v/>
      </c>
      <c r="AZ440" s="2" t="str">
        <f>IF($AV440="","",IF(COUNTIF(LISTS!$C$2:$C$250,$AU440)=0,"NEW",""))</f>
        <v/>
      </c>
      <c r="BA440" s="2" t="str">
        <f>IF(""&amp;$F440&lt;&gt;"4","",IF($AY440="YES","",IF(ROUND(SUMIFS($AE$2:$AE$4001,$L$2:$L$4001,$L440,$F$2:$F$4001,"4")-SUMIFS('AR SALES'!$Y$2:$Y$2501,'AR SALES'!$L$2:$L$2501,$L440,'AR SALES'!$AD$2:$AD$2501,"OFF"),2)=0,"","STALE")))</f>
        <v/>
      </c>
      <c r="BB440" s="2" t="str">
        <f>IF(OR(""&amp;$F440="2",""&amp;$F440="4",""&amp;$F440="G",""&amp;$F440="H"),IF($AY440="YES","",IF($AB440&lt;&gt;0,"",IF(COUNTIFS('AR SALES'!$L$2:$L$2501,$L440,'AR SALES'!$AD$2:$AD$2501,IF(""&amp;$F440="4","OFF","ON"),'AR SALES'!$AF$2:$AF$2501,"Y")&gt;0,"","NO EXEMPTION"))),"")</f>
        <v/>
      </c>
    </row>
    <row r="441" spans="46:54" x14ac:dyDescent="0.25">
      <c r="AT441" s="2" t="str">
        <f>IF($L441="","",IFERROR(INDEX('AR SALES'!$H$2:$H$2501,MATCH(""&amp;$L441,'AR SALES'!$AE$2:$AE$2501,0)),""))</f>
        <v/>
      </c>
      <c r="AU441" s="2" t="str">
        <f t="shared" si="24"/>
        <v/>
      </c>
      <c r="AV441" s="2" t="str">
        <f t="shared" si="25"/>
        <v/>
      </c>
      <c r="AW441" s="2" t="str">
        <f t="shared" si="26"/>
        <v/>
      </c>
      <c r="AX441" s="2" t="str">
        <f t="shared" si="27"/>
        <v/>
      </c>
      <c r="AY441" s="2" t="str">
        <f>IF($AV441="","",IF(AND($Z441=0,COUNTIF('AR SALES'!$L$2:$L$2501,$L441)=0),"YES",""))</f>
        <v/>
      </c>
      <c r="AZ441" s="2" t="str">
        <f>IF($AV441="","",IF(COUNTIF(LISTS!$C$2:$C$250,$AU441)=0,"NEW",""))</f>
        <v/>
      </c>
      <c r="BA441" s="2" t="str">
        <f>IF(""&amp;$F441&lt;&gt;"4","",IF($AY441="YES","",IF(ROUND(SUMIFS($AE$2:$AE$4001,$L$2:$L$4001,$L441,$F$2:$F$4001,"4")-SUMIFS('AR SALES'!$Y$2:$Y$2501,'AR SALES'!$L$2:$L$2501,$L441,'AR SALES'!$AD$2:$AD$2501,"OFF"),2)=0,"","STALE")))</f>
        <v/>
      </c>
      <c r="BB441" s="2" t="str">
        <f>IF(OR(""&amp;$F441="2",""&amp;$F441="4",""&amp;$F441="G",""&amp;$F441="H"),IF($AY441="YES","",IF($AB441&lt;&gt;0,"",IF(COUNTIFS('AR SALES'!$L$2:$L$2501,$L441,'AR SALES'!$AD$2:$AD$2501,IF(""&amp;$F441="4","OFF","ON"),'AR SALES'!$AF$2:$AF$2501,"Y")&gt;0,"","NO EXEMPTION"))),"")</f>
        <v/>
      </c>
    </row>
    <row r="442" spans="46:54" x14ac:dyDescent="0.25">
      <c r="AT442" s="2" t="str">
        <f>IF($L442="","",IFERROR(INDEX('AR SALES'!$H$2:$H$2501,MATCH(""&amp;$L442,'AR SALES'!$AE$2:$AE$2501,0)),""))</f>
        <v/>
      </c>
      <c r="AU442" s="2" t="str">
        <f t="shared" si="24"/>
        <v/>
      </c>
      <c r="AV442" s="2" t="str">
        <f t="shared" si="25"/>
        <v/>
      </c>
      <c r="AW442" s="2" t="str">
        <f t="shared" si="26"/>
        <v/>
      </c>
      <c r="AX442" s="2" t="str">
        <f t="shared" si="27"/>
        <v/>
      </c>
      <c r="AY442" s="2" t="str">
        <f>IF($AV442="","",IF(AND($Z442=0,COUNTIF('AR SALES'!$L$2:$L$2501,$L442)=0),"YES",""))</f>
        <v/>
      </c>
      <c r="AZ442" s="2" t="str">
        <f>IF($AV442="","",IF(COUNTIF(LISTS!$C$2:$C$250,$AU442)=0,"NEW",""))</f>
        <v/>
      </c>
      <c r="BA442" s="2" t="str">
        <f>IF(""&amp;$F442&lt;&gt;"4","",IF($AY442="YES","",IF(ROUND(SUMIFS($AE$2:$AE$4001,$L$2:$L$4001,$L442,$F$2:$F$4001,"4")-SUMIFS('AR SALES'!$Y$2:$Y$2501,'AR SALES'!$L$2:$L$2501,$L442,'AR SALES'!$AD$2:$AD$2501,"OFF"),2)=0,"","STALE")))</f>
        <v/>
      </c>
      <c r="BB442" s="2" t="str">
        <f>IF(OR(""&amp;$F442="2",""&amp;$F442="4",""&amp;$F442="G",""&amp;$F442="H"),IF($AY442="YES","",IF($AB442&lt;&gt;0,"",IF(COUNTIFS('AR SALES'!$L$2:$L$2501,$L442,'AR SALES'!$AD$2:$AD$2501,IF(""&amp;$F442="4","OFF","ON"),'AR SALES'!$AF$2:$AF$2501,"Y")&gt;0,"","NO EXEMPTION"))),"")</f>
        <v/>
      </c>
    </row>
    <row r="443" spans="46:54" x14ac:dyDescent="0.25">
      <c r="AT443" s="2" t="str">
        <f>IF($L443="","",IFERROR(INDEX('AR SALES'!$H$2:$H$2501,MATCH(""&amp;$L443,'AR SALES'!$AE$2:$AE$2501,0)),""))</f>
        <v/>
      </c>
      <c r="AU443" s="2" t="str">
        <f t="shared" si="24"/>
        <v/>
      </c>
      <c r="AV443" s="2" t="str">
        <f t="shared" si="25"/>
        <v/>
      </c>
      <c r="AW443" s="2" t="str">
        <f t="shared" si="26"/>
        <v/>
      </c>
      <c r="AX443" s="2" t="str">
        <f t="shared" si="27"/>
        <v/>
      </c>
      <c r="AY443" s="2" t="str">
        <f>IF($AV443="","",IF(AND($Z443=0,COUNTIF('AR SALES'!$L$2:$L$2501,$L443)=0),"YES",""))</f>
        <v/>
      </c>
      <c r="AZ443" s="2" t="str">
        <f>IF($AV443="","",IF(COUNTIF(LISTS!$C$2:$C$250,$AU443)=0,"NEW",""))</f>
        <v/>
      </c>
      <c r="BA443" s="2" t="str">
        <f>IF(""&amp;$F443&lt;&gt;"4","",IF($AY443="YES","",IF(ROUND(SUMIFS($AE$2:$AE$4001,$L$2:$L$4001,$L443,$F$2:$F$4001,"4")-SUMIFS('AR SALES'!$Y$2:$Y$2501,'AR SALES'!$L$2:$L$2501,$L443,'AR SALES'!$AD$2:$AD$2501,"OFF"),2)=0,"","STALE")))</f>
        <v/>
      </c>
      <c r="BB443" s="2" t="str">
        <f>IF(OR(""&amp;$F443="2",""&amp;$F443="4",""&amp;$F443="G",""&amp;$F443="H"),IF($AY443="YES","",IF($AB443&lt;&gt;0,"",IF(COUNTIFS('AR SALES'!$L$2:$L$2501,$L443,'AR SALES'!$AD$2:$AD$2501,IF(""&amp;$F443="4","OFF","ON"),'AR SALES'!$AF$2:$AF$2501,"Y")&gt;0,"","NO EXEMPTION"))),"")</f>
        <v/>
      </c>
    </row>
    <row r="444" spans="46:54" x14ac:dyDescent="0.25">
      <c r="AT444" s="2" t="str">
        <f>IF($L444="","",IFERROR(INDEX('AR SALES'!$H$2:$H$2501,MATCH(""&amp;$L444,'AR SALES'!$AE$2:$AE$2501,0)),""))</f>
        <v/>
      </c>
      <c r="AU444" s="2" t="str">
        <f t="shared" si="24"/>
        <v/>
      </c>
      <c r="AV444" s="2" t="str">
        <f t="shared" si="25"/>
        <v/>
      </c>
      <c r="AW444" s="2" t="str">
        <f t="shared" si="26"/>
        <v/>
      </c>
      <c r="AX444" s="2" t="str">
        <f t="shared" si="27"/>
        <v/>
      </c>
      <c r="AY444" s="2" t="str">
        <f>IF($AV444="","",IF(AND($Z444=0,COUNTIF('AR SALES'!$L$2:$L$2501,$L444)=0),"YES",""))</f>
        <v/>
      </c>
      <c r="AZ444" s="2" t="str">
        <f>IF($AV444="","",IF(COUNTIF(LISTS!$C$2:$C$250,$AU444)=0,"NEW",""))</f>
        <v/>
      </c>
      <c r="BA444" s="2" t="str">
        <f>IF(""&amp;$F444&lt;&gt;"4","",IF($AY444="YES","",IF(ROUND(SUMIFS($AE$2:$AE$4001,$L$2:$L$4001,$L444,$F$2:$F$4001,"4")-SUMIFS('AR SALES'!$Y$2:$Y$2501,'AR SALES'!$L$2:$L$2501,$L444,'AR SALES'!$AD$2:$AD$2501,"OFF"),2)=0,"","STALE")))</f>
        <v/>
      </c>
      <c r="BB444" s="2" t="str">
        <f>IF(OR(""&amp;$F444="2",""&amp;$F444="4",""&amp;$F444="G",""&amp;$F444="H"),IF($AY444="YES","",IF($AB444&lt;&gt;0,"",IF(COUNTIFS('AR SALES'!$L$2:$L$2501,$L444,'AR SALES'!$AD$2:$AD$2501,IF(""&amp;$F444="4","OFF","ON"),'AR SALES'!$AF$2:$AF$2501,"Y")&gt;0,"","NO EXEMPTION"))),"")</f>
        <v/>
      </c>
    </row>
    <row r="445" spans="46:54" x14ac:dyDescent="0.25">
      <c r="AT445" s="2" t="str">
        <f>IF($L445="","",IFERROR(INDEX('AR SALES'!$H$2:$H$2501,MATCH(""&amp;$L445,'AR SALES'!$AE$2:$AE$2501,0)),""))</f>
        <v/>
      </c>
      <c r="AU445" s="2" t="str">
        <f t="shared" si="24"/>
        <v/>
      </c>
      <c r="AV445" s="2" t="str">
        <f t="shared" si="25"/>
        <v/>
      </c>
      <c r="AW445" s="2" t="str">
        <f t="shared" si="26"/>
        <v/>
      </c>
      <c r="AX445" s="2" t="str">
        <f t="shared" si="27"/>
        <v/>
      </c>
      <c r="AY445" s="2" t="str">
        <f>IF($AV445="","",IF(AND($Z445=0,COUNTIF('AR SALES'!$L$2:$L$2501,$L445)=0),"YES",""))</f>
        <v/>
      </c>
      <c r="AZ445" s="2" t="str">
        <f>IF($AV445="","",IF(COUNTIF(LISTS!$C$2:$C$250,$AU445)=0,"NEW",""))</f>
        <v/>
      </c>
      <c r="BA445" s="2" t="str">
        <f>IF(""&amp;$F445&lt;&gt;"4","",IF($AY445="YES","",IF(ROUND(SUMIFS($AE$2:$AE$4001,$L$2:$L$4001,$L445,$F$2:$F$4001,"4")-SUMIFS('AR SALES'!$Y$2:$Y$2501,'AR SALES'!$L$2:$L$2501,$L445,'AR SALES'!$AD$2:$AD$2501,"OFF"),2)=0,"","STALE")))</f>
        <v/>
      </c>
      <c r="BB445" s="2" t="str">
        <f>IF(OR(""&amp;$F445="2",""&amp;$F445="4",""&amp;$F445="G",""&amp;$F445="H"),IF($AY445="YES","",IF($AB445&lt;&gt;0,"",IF(COUNTIFS('AR SALES'!$L$2:$L$2501,$L445,'AR SALES'!$AD$2:$AD$2501,IF(""&amp;$F445="4","OFF","ON"),'AR SALES'!$AF$2:$AF$2501,"Y")&gt;0,"","NO EXEMPTION"))),"")</f>
        <v/>
      </c>
    </row>
    <row r="446" spans="46:54" x14ac:dyDescent="0.25">
      <c r="AT446" s="2" t="str">
        <f>IF($L446="","",IFERROR(INDEX('AR SALES'!$H$2:$H$2501,MATCH(""&amp;$L446,'AR SALES'!$AE$2:$AE$2501,0)),""))</f>
        <v/>
      </c>
      <c r="AU446" s="2" t="str">
        <f t="shared" si="24"/>
        <v/>
      </c>
      <c r="AV446" s="2" t="str">
        <f t="shared" si="25"/>
        <v/>
      </c>
      <c r="AW446" s="2" t="str">
        <f t="shared" si="26"/>
        <v/>
      </c>
      <c r="AX446" s="2" t="str">
        <f t="shared" si="27"/>
        <v/>
      </c>
      <c r="AY446" s="2" t="str">
        <f>IF($AV446="","",IF(AND($Z446=0,COUNTIF('AR SALES'!$L$2:$L$2501,$L446)=0),"YES",""))</f>
        <v/>
      </c>
      <c r="AZ446" s="2" t="str">
        <f>IF($AV446="","",IF(COUNTIF(LISTS!$C$2:$C$250,$AU446)=0,"NEW",""))</f>
        <v/>
      </c>
      <c r="BA446" s="2" t="str">
        <f>IF(""&amp;$F446&lt;&gt;"4","",IF($AY446="YES","",IF(ROUND(SUMIFS($AE$2:$AE$4001,$L$2:$L$4001,$L446,$F$2:$F$4001,"4")-SUMIFS('AR SALES'!$Y$2:$Y$2501,'AR SALES'!$L$2:$L$2501,$L446,'AR SALES'!$AD$2:$AD$2501,"OFF"),2)=0,"","STALE")))</f>
        <v/>
      </c>
      <c r="BB446" s="2" t="str">
        <f>IF(OR(""&amp;$F446="2",""&amp;$F446="4",""&amp;$F446="G",""&amp;$F446="H"),IF($AY446="YES","",IF($AB446&lt;&gt;0,"",IF(COUNTIFS('AR SALES'!$L$2:$L$2501,$L446,'AR SALES'!$AD$2:$AD$2501,IF(""&amp;$F446="4","OFF","ON"),'AR SALES'!$AF$2:$AF$2501,"Y")&gt;0,"","NO EXEMPTION"))),"")</f>
        <v/>
      </c>
    </row>
    <row r="447" spans="46:54" x14ac:dyDescent="0.25">
      <c r="AT447" s="2" t="str">
        <f>IF($L447="","",IFERROR(INDEX('AR SALES'!$H$2:$H$2501,MATCH(""&amp;$L447,'AR SALES'!$AE$2:$AE$2501,0)),""))</f>
        <v/>
      </c>
      <c r="AU447" s="2" t="str">
        <f t="shared" si="24"/>
        <v/>
      </c>
      <c r="AV447" s="2" t="str">
        <f t="shared" si="25"/>
        <v/>
      </c>
      <c r="AW447" s="2" t="str">
        <f t="shared" si="26"/>
        <v/>
      </c>
      <c r="AX447" s="2" t="str">
        <f t="shared" si="27"/>
        <v/>
      </c>
      <c r="AY447" s="2" t="str">
        <f>IF($AV447="","",IF(AND($Z447=0,COUNTIF('AR SALES'!$L$2:$L$2501,$L447)=0),"YES",""))</f>
        <v/>
      </c>
      <c r="AZ447" s="2" t="str">
        <f>IF($AV447="","",IF(COUNTIF(LISTS!$C$2:$C$250,$AU447)=0,"NEW",""))</f>
        <v/>
      </c>
      <c r="BA447" s="2" t="str">
        <f>IF(""&amp;$F447&lt;&gt;"4","",IF($AY447="YES","",IF(ROUND(SUMIFS($AE$2:$AE$4001,$L$2:$L$4001,$L447,$F$2:$F$4001,"4")-SUMIFS('AR SALES'!$Y$2:$Y$2501,'AR SALES'!$L$2:$L$2501,$L447,'AR SALES'!$AD$2:$AD$2501,"OFF"),2)=0,"","STALE")))</f>
        <v/>
      </c>
      <c r="BB447" s="2" t="str">
        <f>IF(OR(""&amp;$F447="2",""&amp;$F447="4",""&amp;$F447="G",""&amp;$F447="H"),IF($AY447="YES","",IF($AB447&lt;&gt;0,"",IF(COUNTIFS('AR SALES'!$L$2:$L$2501,$L447,'AR SALES'!$AD$2:$AD$2501,IF(""&amp;$F447="4","OFF","ON"),'AR SALES'!$AF$2:$AF$2501,"Y")&gt;0,"","NO EXEMPTION"))),"")</f>
        <v/>
      </c>
    </row>
    <row r="448" spans="46:54" x14ac:dyDescent="0.25">
      <c r="AT448" s="2" t="str">
        <f>IF($L448="","",IFERROR(INDEX('AR SALES'!$H$2:$H$2501,MATCH(""&amp;$L448,'AR SALES'!$AE$2:$AE$2501,0)),""))</f>
        <v/>
      </c>
      <c r="AU448" s="2" t="str">
        <f t="shared" si="24"/>
        <v/>
      </c>
      <c r="AV448" s="2" t="str">
        <f t="shared" si="25"/>
        <v/>
      </c>
      <c r="AW448" s="2" t="str">
        <f t="shared" si="26"/>
        <v/>
      </c>
      <c r="AX448" s="2" t="str">
        <f t="shared" si="27"/>
        <v/>
      </c>
      <c r="AY448" s="2" t="str">
        <f>IF($AV448="","",IF(AND($Z448=0,COUNTIF('AR SALES'!$L$2:$L$2501,$L448)=0),"YES",""))</f>
        <v/>
      </c>
      <c r="AZ448" s="2" t="str">
        <f>IF($AV448="","",IF(COUNTIF(LISTS!$C$2:$C$250,$AU448)=0,"NEW",""))</f>
        <v/>
      </c>
      <c r="BA448" s="2" t="str">
        <f>IF(""&amp;$F448&lt;&gt;"4","",IF($AY448="YES","",IF(ROUND(SUMIFS($AE$2:$AE$4001,$L$2:$L$4001,$L448,$F$2:$F$4001,"4")-SUMIFS('AR SALES'!$Y$2:$Y$2501,'AR SALES'!$L$2:$L$2501,$L448,'AR SALES'!$AD$2:$AD$2501,"OFF"),2)=0,"","STALE")))</f>
        <v/>
      </c>
      <c r="BB448" s="2" t="str">
        <f>IF(OR(""&amp;$F448="2",""&amp;$F448="4",""&amp;$F448="G",""&amp;$F448="H"),IF($AY448="YES","",IF($AB448&lt;&gt;0,"",IF(COUNTIFS('AR SALES'!$L$2:$L$2501,$L448,'AR SALES'!$AD$2:$AD$2501,IF(""&amp;$F448="4","OFF","ON"),'AR SALES'!$AF$2:$AF$2501,"Y")&gt;0,"","NO EXEMPTION"))),"")</f>
        <v/>
      </c>
    </row>
    <row r="449" spans="46:54" x14ac:dyDescent="0.25">
      <c r="AT449" s="2" t="str">
        <f>IF($L449="","",IFERROR(INDEX('AR SALES'!$H$2:$H$2501,MATCH(""&amp;$L449,'AR SALES'!$AE$2:$AE$2501,0)),""))</f>
        <v/>
      </c>
      <c r="AU449" s="2" t="str">
        <f t="shared" si="24"/>
        <v/>
      </c>
      <c r="AV449" s="2" t="str">
        <f t="shared" si="25"/>
        <v/>
      </c>
      <c r="AW449" s="2" t="str">
        <f t="shared" si="26"/>
        <v/>
      </c>
      <c r="AX449" s="2" t="str">
        <f t="shared" si="27"/>
        <v/>
      </c>
      <c r="AY449" s="2" t="str">
        <f>IF($AV449="","",IF(AND($Z449=0,COUNTIF('AR SALES'!$L$2:$L$2501,$L449)=0),"YES",""))</f>
        <v/>
      </c>
      <c r="AZ449" s="2" t="str">
        <f>IF($AV449="","",IF(COUNTIF(LISTS!$C$2:$C$250,$AU449)=0,"NEW",""))</f>
        <v/>
      </c>
      <c r="BA449" s="2" t="str">
        <f>IF(""&amp;$F449&lt;&gt;"4","",IF($AY449="YES","",IF(ROUND(SUMIFS($AE$2:$AE$4001,$L$2:$L$4001,$L449,$F$2:$F$4001,"4")-SUMIFS('AR SALES'!$Y$2:$Y$2501,'AR SALES'!$L$2:$L$2501,$L449,'AR SALES'!$AD$2:$AD$2501,"OFF"),2)=0,"","STALE")))</f>
        <v/>
      </c>
      <c r="BB449" s="2" t="str">
        <f>IF(OR(""&amp;$F449="2",""&amp;$F449="4",""&amp;$F449="G",""&amp;$F449="H"),IF($AY449="YES","",IF($AB449&lt;&gt;0,"",IF(COUNTIFS('AR SALES'!$L$2:$L$2501,$L449,'AR SALES'!$AD$2:$AD$2501,IF(""&amp;$F449="4","OFF","ON"),'AR SALES'!$AF$2:$AF$2501,"Y")&gt;0,"","NO EXEMPTION"))),"")</f>
        <v/>
      </c>
    </row>
    <row r="450" spans="46:54" x14ac:dyDescent="0.25">
      <c r="AT450" s="2" t="str">
        <f>IF($L450="","",IFERROR(INDEX('AR SALES'!$H$2:$H$2501,MATCH(""&amp;$L450,'AR SALES'!$AE$2:$AE$2501,0)),""))</f>
        <v/>
      </c>
      <c r="AU450" s="2" t="str">
        <f t="shared" ref="AU450:AU513" si="28">IF($L450="","",IF($A450&lt;&gt;"GA","",IF($E450="FULTON",IF(ISNUMBER(SEARCH("COLLEGE PARK",$AT450)),"FULTON (COLLEGE PARK)",IF(ISNUMBER(SEARCH("ATLANTA CITY",$AT450)),"FULTON (ATL LIMITS)","FULTON")),IF($E450="DEKALB",IF(ISNUMBER(SEARCH("ATLANTA CITY",$AT450)),"DEKALB (ATL LIMITS)","DEKALB"),$E450))))</f>
        <v/>
      </c>
      <c r="AV450" s="2" t="str">
        <f t="shared" ref="AV450:AV513" si="29">IF($L450="","",IF(""&amp;$F450="2","DIESEL",IF(OR(""&amp;$F450="G",""&amp;$F450="H"),"GAS","")))</f>
        <v/>
      </c>
      <c r="AW450" s="2" t="str">
        <f t="shared" ref="AW450:AW513" si="30">IF($AV450="","",$R450)</f>
        <v/>
      </c>
      <c r="AX450" s="2" t="str">
        <f t="shared" ref="AX450:AX513" si="31">IF($AV450="","",IF($AB450=0,$R450,0))</f>
        <v/>
      </c>
      <c r="AY450" s="2" t="str">
        <f>IF($AV450="","",IF(AND($Z450=0,COUNTIF('AR SALES'!$L$2:$L$2501,$L450)=0),"YES",""))</f>
        <v/>
      </c>
      <c r="AZ450" s="2" t="str">
        <f>IF($AV450="","",IF(COUNTIF(LISTS!$C$2:$C$250,$AU450)=0,"NEW",""))</f>
        <v/>
      </c>
      <c r="BA450" s="2" t="str">
        <f>IF(""&amp;$F450&lt;&gt;"4","",IF($AY450="YES","",IF(ROUND(SUMIFS($AE$2:$AE$4001,$L$2:$L$4001,$L450,$F$2:$F$4001,"4")-SUMIFS('AR SALES'!$Y$2:$Y$2501,'AR SALES'!$L$2:$L$2501,$L450,'AR SALES'!$AD$2:$AD$2501,"OFF"),2)=0,"","STALE")))</f>
        <v/>
      </c>
      <c r="BB450" s="2" t="str">
        <f>IF(OR(""&amp;$F450="2",""&amp;$F450="4",""&amp;$F450="G",""&amp;$F450="H"),IF($AY450="YES","",IF($AB450&lt;&gt;0,"",IF(COUNTIFS('AR SALES'!$L$2:$L$2501,$L450,'AR SALES'!$AD$2:$AD$2501,IF(""&amp;$F450="4","OFF","ON"),'AR SALES'!$AF$2:$AF$2501,"Y")&gt;0,"","NO EXEMPTION"))),"")</f>
        <v/>
      </c>
    </row>
    <row r="451" spans="46:54" x14ac:dyDescent="0.25">
      <c r="AT451" s="2" t="str">
        <f>IF($L451="","",IFERROR(INDEX('AR SALES'!$H$2:$H$2501,MATCH(""&amp;$L451,'AR SALES'!$AE$2:$AE$2501,0)),""))</f>
        <v/>
      </c>
      <c r="AU451" s="2" t="str">
        <f t="shared" si="28"/>
        <v/>
      </c>
      <c r="AV451" s="2" t="str">
        <f t="shared" si="29"/>
        <v/>
      </c>
      <c r="AW451" s="2" t="str">
        <f t="shared" si="30"/>
        <v/>
      </c>
      <c r="AX451" s="2" t="str">
        <f t="shared" si="31"/>
        <v/>
      </c>
      <c r="AY451" s="2" t="str">
        <f>IF($AV451="","",IF(AND($Z451=0,COUNTIF('AR SALES'!$L$2:$L$2501,$L451)=0),"YES",""))</f>
        <v/>
      </c>
      <c r="AZ451" s="2" t="str">
        <f>IF($AV451="","",IF(COUNTIF(LISTS!$C$2:$C$250,$AU451)=0,"NEW",""))</f>
        <v/>
      </c>
      <c r="BA451" s="2" t="str">
        <f>IF(""&amp;$F451&lt;&gt;"4","",IF($AY451="YES","",IF(ROUND(SUMIFS($AE$2:$AE$4001,$L$2:$L$4001,$L451,$F$2:$F$4001,"4")-SUMIFS('AR SALES'!$Y$2:$Y$2501,'AR SALES'!$L$2:$L$2501,$L451,'AR SALES'!$AD$2:$AD$2501,"OFF"),2)=0,"","STALE")))</f>
        <v/>
      </c>
      <c r="BB451" s="2" t="str">
        <f>IF(OR(""&amp;$F451="2",""&amp;$F451="4",""&amp;$F451="G",""&amp;$F451="H"),IF($AY451="YES","",IF($AB451&lt;&gt;0,"",IF(COUNTIFS('AR SALES'!$L$2:$L$2501,$L451,'AR SALES'!$AD$2:$AD$2501,IF(""&amp;$F451="4","OFF","ON"),'AR SALES'!$AF$2:$AF$2501,"Y")&gt;0,"","NO EXEMPTION"))),"")</f>
        <v/>
      </c>
    </row>
    <row r="452" spans="46:54" x14ac:dyDescent="0.25">
      <c r="AT452" s="2" t="str">
        <f>IF($L452="","",IFERROR(INDEX('AR SALES'!$H$2:$H$2501,MATCH(""&amp;$L452,'AR SALES'!$AE$2:$AE$2501,0)),""))</f>
        <v/>
      </c>
      <c r="AU452" s="2" t="str">
        <f t="shared" si="28"/>
        <v/>
      </c>
      <c r="AV452" s="2" t="str">
        <f t="shared" si="29"/>
        <v/>
      </c>
      <c r="AW452" s="2" t="str">
        <f t="shared" si="30"/>
        <v/>
      </c>
      <c r="AX452" s="2" t="str">
        <f t="shared" si="31"/>
        <v/>
      </c>
      <c r="AY452" s="2" t="str">
        <f>IF($AV452="","",IF(AND($Z452=0,COUNTIF('AR SALES'!$L$2:$L$2501,$L452)=0),"YES",""))</f>
        <v/>
      </c>
      <c r="AZ452" s="2" t="str">
        <f>IF($AV452="","",IF(COUNTIF(LISTS!$C$2:$C$250,$AU452)=0,"NEW",""))</f>
        <v/>
      </c>
      <c r="BA452" s="2" t="str">
        <f>IF(""&amp;$F452&lt;&gt;"4","",IF($AY452="YES","",IF(ROUND(SUMIFS($AE$2:$AE$4001,$L$2:$L$4001,$L452,$F$2:$F$4001,"4")-SUMIFS('AR SALES'!$Y$2:$Y$2501,'AR SALES'!$L$2:$L$2501,$L452,'AR SALES'!$AD$2:$AD$2501,"OFF"),2)=0,"","STALE")))</f>
        <v/>
      </c>
      <c r="BB452" s="2" t="str">
        <f>IF(OR(""&amp;$F452="2",""&amp;$F452="4",""&amp;$F452="G",""&amp;$F452="H"),IF($AY452="YES","",IF($AB452&lt;&gt;0,"",IF(COUNTIFS('AR SALES'!$L$2:$L$2501,$L452,'AR SALES'!$AD$2:$AD$2501,IF(""&amp;$F452="4","OFF","ON"),'AR SALES'!$AF$2:$AF$2501,"Y")&gt;0,"","NO EXEMPTION"))),"")</f>
        <v/>
      </c>
    </row>
    <row r="453" spans="46:54" x14ac:dyDescent="0.25">
      <c r="AT453" s="2" t="str">
        <f>IF($L453="","",IFERROR(INDEX('AR SALES'!$H$2:$H$2501,MATCH(""&amp;$L453,'AR SALES'!$AE$2:$AE$2501,0)),""))</f>
        <v/>
      </c>
      <c r="AU453" s="2" t="str">
        <f t="shared" si="28"/>
        <v/>
      </c>
      <c r="AV453" s="2" t="str">
        <f t="shared" si="29"/>
        <v/>
      </c>
      <c r="AW453" s="2" t="str">
        <f t="shared" si="30"/>
        <v/>
      </c>
      <c r="AX453" s="2" t="str">
        <f t="shared" si="31"/>
        <v/>
      </c>
      <c r="AY453" s="2" t="str">
        <f>IF($AV453="","",IF(AND($Z453=0,COUNTIF('AR SALES'!$L$2:$L$2501,$L453)=0),"YES",""))</f>
        <v/>
      </c>
      <c r="AZ453" s="2" t="str">
        <f>IF($AV453="","",IF(COUNTIF(LISTS!$C$2:$C$250,$AU453)=0,"NEW",""))</f>
        <v/>
      </c>
      <c r="BA453" s="2" t="str">
        <f>IF(""&amp;$F453&lt;&gt;"4","",IF($AY453="YES","",IF(ROUND(SUMIFS($AE$2:$AE$4001,$L$2:$L$4001,$L453,$F$2:$F$4001,"4")-SUMIFS('AR SALES'!$Y$2:$Y$2501,'AR SALES'!$L$2:$L$2501,$L453,'AR SALES'!$AD$2:$AD$2501,"OFF"),2)=0,"","STALE")))</f>
        <v/>
      </c>
      <c r="BB453" s="2" t="str">
        <f>IF(OR(""&amp;$F453="2",""&amp;$F453="4",""&amp;$F453="G",""&amp;$F453="H"),IF($AY453="YES","",IF($AB453&lt;&gt;0,"",IF(COUNTIFS('AR SALES'!$L$2:$L$2501,$L453,'AR SALES'!$AD$2:$AD$2501,IF(""&amp;$F453="4","OFF","ON"),'AR SALES'!$AF$2:$AF$2501,"Y")&gt;0,"","NO EXEMPTION"))),"")</f>
        <v/>
      </c>
    </row>
    <row r="454" spans="46:54" x14ac:dyDescent="0.25">
      <c r="AT454" s="2" t="str">
        <f>IF($L454="","",IFERROR(INDEX('AR SALES'!$H$2:$H$2501,MATCH(""&amp;$L454,'AR SALES'!$AE$2:$AE$2501,0)),""))</f>
        <v/>
      </c>
      <c r="AU454" s="2" t="str">
        <f t="shared" si="28"/>
        <v/>
      </c>
      <c r="AV454" s="2" t="str">
        <f t="shared" si="29"/>
        <v/>
      </c>
      <c r="AW454" s="2" t="str">
        <f t="shared" si="30"/>
        <v/>
      </c>
      <c r="AX454" s="2" t="str">
        <f t="shared" si="31"/>
        <v/>
      </c>
      <c r="AY454" s="2" t="str">
        <f>IF($AV454="","",IF(AND($Z454=0,COUNTIF('AR SALES'!$L$2:$L$2501,$L454)=0),"YES",""))</f>
        <v/>
      </c>
      <c r="AZ454" s="2" t="str">
        <f>IF($AV454="","",IF(COUNTIF(LISTS!$C$2:$C$250,$AU454)=0,"NEW",""))</f>
        <v/>
      </c>
      <c r="BA454" s="2" t="str">
        <f>IF(""&amp;$F454&lt;&gt;"4","",IF($AY454="YES","",IF(ROUND(SUMIFS($AE$2:$AE$4001,$L$2:$L$4001,$L454,$F$2:$F$4001,"4")-SUMIFS('AR SALES'!$Y$2:$Y$2501,'AR SALES'!$L$2:$L$2501,$L454,'AR SALES'!$AD$2:$AD$2501,"OFF"),2)=0,"","STALE")))</f>
        <v/>
      </c>
      <c r="BB454" s="2" t="str">
        <f>IF(OR(""&amp;$F454="2",""&amp;$F454="4",""&amp;$F454="G",""&amp;$F454="H"),IF($AY454="YES","",IF($AB454&lt;&gt;0,"",IF(COUNTIFS('AR SALES'!$L$2:$L$2501,$L454,'AR SALES'!$AD$2:$AD$2501,IF(""&amp;$F454="4","OFF","ON"),'AR SALES'!$AF$2:$AF$2501,"Y")&gt;0,"","NO EXEMPTION"))),"")</f>
        <v/>
      </c>
    </row>
    <row r="455" spans="46:54" x14ac:dyDescent="0.25">
      <c r="AT455" s="2" t="str">
        <f>IF($L455="","",IFERROR(INDEX('AR SALES'!$H$2:$H$2501,MATCH(""&amp;$L455,'AR SALES'!$AE$2:$AE$2501,0)),""))</f>
        <v/>
      </c>
      <c r="AU455" s="2" t="str">
        <f t="shared" si="28"/>
        <v/>
      </c>
      <c r="AV455" s="2" t="str">
        <f t="shared" si="29"/>
        <v/>
      </c>
      <c r="AW455" s="2" t="str">
        <f t="shared" si="30"/>
        <v/>
      </c>
      <c r="AX455" s="2" t="str">
        <f t="shared" si="31"/>
        <v/>
      </c>
      <c r="AY455" s="2" t="str">
        <f>IF($AV455="","",IF(AND($Z455=0,COUNTIF('AR SALES'!$L$2:$L$2501,$L455)=0),"YES",""))</f>
        <v/>
      </c>
      <c r="AZ455" s="2" t="str">
        <f>IF($AV455="","",IF(COUNTIF(LISTS!$C$2:$C$250,$AU455)=0,"NEW",""))</f>
        <v/>
      </c>
      <c r="BA455" s="2" t="str">
        <f>IF(""&amp;$F455&lt;&gt;"4","",IF($AY455="YES","",IF(ROUND(SUMIFS($AE$2:$AE$4001,$L$2:$L$4001,$L455,$F$2:$F$4001,"4")-SUMIFS('AR SALES'!$Y$2:$Y$2501,'AR SALES'!$L$2:$L$2501,$L455,'AR SALES'!$AD$2:$AD$2501,"OFF"),2)=0,"","STALE")))</f>
        <v/>
      </c>
      <c r="BB455" s="2" t="str">
        <f>IF(OR(""&amp;$F455="2",""&amp;$F455="4",""&amp;$F455="G",""&amp;$F455="H"),IF($AY455="YES","",IF($AB455&lt;&gt;0,"",IF(COUNTIFS('AR SALES'!$L$2:$L$2501,$L455,'AR SALES'!$AD$2:$AD$2501,IF(""&amp;$F455="4","OFF","ON"),'AR SALES'!$AF$2:$AF$2501,"Y")&gt;0,"","NO EXEMPTION"))),"")</f>
        <v/>
      </c>
    </row>
    <row r="456" spans="46:54" x14ac:dyDescent="0.25">
      <c r="AT456" s="2" t="str">
        <f>IF($L456="","",IFERROR(INDEX('AR SALES'!$H$2:$H$2501,MATCH(""&amp;$L456,'AR SALES'!$AE$2:$AE$2501,0)),""))</f>
        <v/>
      </c>
      <c r="AU456" s="2" t="str">
        <f t="shared" si="28"/>
        <v/>
      </c>
      <c r="AV456" s="2" t="str">
        <f t="shared" si="29"/>
        <v/>
      </c>
      <c r="AW456" s="2" t="str">
        <f t="shared" si="30"/>
        <v/>
      </c>
      <c r="AX456" s="2" t="str">
        <f t="shared" si="31"/>
        <v/>
      </c>
      <c r="AY456" s="2" t="str">
        <f>IF($AV456="","",IF(AND($Z456=0,COUNTIF('AR SALES'!$L$2:$L$2501,$L456)=0),"YES",""))</f>
        <v/>
      </c>
      <c r="AZ456" s="2" t="str">
        <f>IF($AV456="","",IF(COUNTIF(LISTS!$C$2:$C$250,$AU456)=0,"NEW",""))</f>
        <v/>
      </c>
      <c r="BA456" s="2" t="str">
        <f>IF(""&amp;$F456&lt;&gt;"4","",IF($AY456="YES","",IF(ROUND(SUMIFS($AE$2:$AE$4001,$L$2:$L$4001,$L456,$F$2:$F$4001,"4")-SUMIFS('AR SALES'!$Y$2:$Y$2501,'AR SALES'!$L$2:$L$2501,$L456,'AR SALES'!$AD$2:$AD$2501,"OFF"),2)=0,"","STALE")))</f>
        <v/>
      </c>
      <c r="BB456" s="2" t="str">
        <f>IF(OR(""&amp;$F456="2",""&amp;$F456="4",""&amp;$F456="G",""&amp;$F456="H"),IF($AY456="YES","",IF($AB456&lt;&gt;0,"",IF(COUNTIFS('AR SALES'!$L$2:$L$2501,$L456,'AR SALES'!$AD$2:$AD$2501,IF(""&amp;$F456="4","OFF","ON"),'AR SALES'!$AF$2:$AF$2501,"Y")&gt;0,"","NO EXEMPTION"))),"")</f>
        <v/>
      </c>
    </row>
    <row r="457" spans="46:54" x14ac:dyDescent="0.25">
      <c r="AT457" s="2" t="str">
        <f>IF($L457="","",IFERROR(INDEX('AR SALES'!$H$2:$H$2501,MATCH(""&amp;$L457,'AR SALES'!$AE$2:$AE$2501,0)),""))</f>
        <v/>
      </c>
      <c r="AU457" s="2" t="str">
        <f t="shared" si="28"/>
        <v/>
      </c>
      <c r="AV457" s="2" t="str">
        <f t="shared" si="29"/>
        <v/>
      </c>
      <c r="AW457" s="2" t="str">
        <f t="shared" si="30"/>
        <v/>
      </c>
      <c r="AX457" s="2" t="str">
        <f t="shared" si="31"/>
        <v/>
      </c>
      <c r="AY457" s="2" t="str">
        <f>IF($AV457="","",IF(AND($Z457=0,COUNTIF('AR SALES'!$L$2:$L$2501,$L457)=0),"YES",""))</f>
        <v/>
      </c>
      <c r="AZ457" s="2" t="str">
        <f>IF($AV457="","",IF(COUNTIF(LISTS!$C$2:$C$250,$AU457)=0,"NEW",""))</f>
        <v/>
      </c>
      <c r="BA457" s="2" t="str">
        <f>IF(""&amp;$F457&lt;&gt;"4","",IF($AY457="YES","",IF(ROUND(SUMIFS($AE$2:$AE$4001,$L$2:$L$4001,$L457,$F$2:$F$4001,"4")-SUMIFS('AR SALES'!$Y$2:$Y$2501,'AR SALES'!$L$2:$L$2501,$L457,'AR SALES'!$AD$2:$AD$2501,"OFF"),2)=0,"","STALE")))</f>
        <v/>
      </c>
      <c r="BB457" s="2" t="str">
        <f>IF(OR(""&amp;$F457="2",""&amp;$F457="4",""&amp;$F457="G",""&amp;$F457="H"),IF($AY457="YES","",IF($AB457&lt;&gt;0,"",IF(COUNTIFS('AR SALES'!$L$2:$L$2501,$L457,'AR SALES'!$AD$2:$AD$2501,IF(""&amp;$F457="4","OFF","ON"),'AR SALES'!$AF$2:$AF$2501,"Y")&gt;0,"","NO EXEMPTION"))),"")</f>
        <v/>
      </c>
    </row>
    <row r="458" spans="46:54" x14ac:dyDescent="0.25">
      <c r="AT458" s="2" t="str">
        <f>IF($L458="","",IFERROR(INDEX('AR SALES'!$H$2:$H$2501,MATCH(""&amp;$L458,'AR SALES'!$AE$2:$AE$2501,0)),""))</f>
        <v/>
      </c>
      <c r="AU458" s="2" t="str">
        <f t="shared" si="28"/>
        <v/>
      </c>
      <c r="AV458" s="2" t="str">
        <f t="shared" si="29"/>
        <v/>
      </c>
      <c r="AW458" s="2" t="str">
        <f t="shared" si="30"/>
        <v/>
      </c>
      <c r="AX458" s="2" t="str">
        <f t="shared" si="31"/>
        <v/>
      </c>
      <c r="AY458" s="2" t="str">
        <f>IF($AV458="","",IF(AND($Z458=0,COUNTIF('AR SALES'!$L$2:$L$2501,$L458)=0),"YES",""))</f>
        <v/>
      </c>
      <c r="AZ458" s="2" t="str">
        <f>IF($AV458="","",IF(COUNTIF(LISTS!$C$2:$C$250,$AU458)=0,"NEW",""))</f>
        <v/>
      </c>
      <c r="BA458" s="2" t="str">
        <f>IF(""&amp;$F458&lt;&gt;"4","",IF($AY458="YES","",IF(ROUND(SUMIFS($AE$2:$AE$4001,$L$2:$L$4001,$L458,$F$2:$F$4001,"4")-SUMIFS('AR SALES'!$Y$2:$Y$2501,'AR SALES'!$L$2:$L$2501,$L458,'AR SALES'!$AD$2:$AD$2501,"OFF"),2)=0,"","STALE")))</f>
        <v/>
      </c>
      <c r="BB458" s="2" t="str">
        <f>IF(OR(""&amp;$F458="2",""&amp;$F458="4",""&amp;$F458="G",""&amp;$F458="H"),IF($AY458="YES","",IF($AB458&lt;&gt;0,"",IF(COUNTIFS('AR SALES'!$L$2:$L$2501,$L458,'AR SALES'!$AD$2:$AD$2501,IF(""&amp;$F458="4","OFF","ON"),'AR SALES'!$AF$2:$AF$2501,"Y")&gt;0,"","NO EXEMPTION"))),"")</f>
        <v/>
      </c>
    </row>
    <row r="459" spans="46:54" x14ac:dyDescent="0.25">
      <c r="AT459" s="2" t="str">
        <f>IF($L459="","",IFERROR(INDEX('AR SALES'!$H$2:$H$2501,MATCH(""&amp;$L459,'AR SALES'!$AE$2:$AE$2501,0)),""))</f>
        <v/>
      </c>
      <c r="AU459" s="2" t="str">
        <f t="shared" si="28"/>
        <v/>
      </c>
      <c r="AV459" s="2" t="str">
        <f t="shared" si="29"/>
        <v/>
      </c>
      <c r="AW459" s="2" t="str">
        <f t="shared" si="30"/>
        <v/>
      </c>
      <c r="AX459" s="2" t="str">
        <f t="shared" si="31"/>
        <v/>
      </c>
      <c r="AY459" s="2" t="str">
        <f>IF($AV459="","",IF(AND($Z459=0,COUNTIF('AR SALES'!$L$2:$L$2501,$L459)=0),"YES",""))</f>
        <v/>
      </c>
      <c r="AZ459" s="2" t="str">
        <f>IF($AV459="","",IF(COUNTIF(LISTS!$C$2:$C$250,$AU459)=0,"NEW",""))</f>
        <v/>
      </c>
      <c r="BA459" s="2" t="str">
        <f>IF(""&amp;$F459&lt;&gt;"4","",IF($AY459="YES","",IF(ROUND(SUMIFS($AE$2:$AE$4001,$L$2:$L$4001,$L459,$F$2:$F$4001,"4")-SUMIFS('AR SALES'!$Y$2:$Y$2501,'AR SALES'!$L$2:$L$2501,$L459,'AR SALES'!$AD$2:$AD$2501,"OFF"),2)=0,"","STALE")))</f>
        <v/>
      </c>
      <c r="BB459" s="2" t="str">
        <f>IF(OR(""&amp;$F459="2",""&amp;$F459="4",""&amp;$F459="G",""&amp;$F459="H"),IF($AY459="YES","",IF($AB459&lt;&gt;0,"",IF(COUNTIFS('AR SALES'!$L$2:$L$2501,$L459,'AR SALES'!$AD$2:$AD$2501,IF(""&amp;$F459="4","OFF","ON"),'AR SALES'!$AF$2:$AF$2501,"Y")&gt;0,"","NO EXEMPTION"))),"")</f>
        <v/>
      </c>
    </row>
    <row r="460" spans="46:54" x14ac:dyDescent="0.25">
      <c r="AT460" s="2" t="str">
        <f>IF($L460="","",IFERROR(INDEX('AR SALES'!$H$2:$H$2501,MATCH(""&amp;$L460,'AR SALES'!$AE$2:$AE$2501,0)),""))</f>
        <v/>
      </c>
      <c r="AU460" s="2" t="str">
        <f t="shared" si="28"/>
        <v/>
      </c>
      <c r="AV460" s="2" t="str">
        <f t="shared" si="29"/>
        <v/>
      </c>
      <c r="AW460" s="2" t="str">
        <f t="shared" si="30"/>
        <v/>
      </c>
      <c r="AX460" s="2" t="str">
        <f t="shared" si="31"/>
        <v/>
      </c>
      <c r="AY460" s="2" t="str">
        <f>IF($AV460="","",IF(AND($Z460=0,COUNTIF('AR SALES'!$L$2:$L$2501,$L460)=0),"YES",""))</f>
        <v/>
      </c>
      <c r="AZ460" s="2" t="str">
        <f>IF($AV460="","",IF(COUNTIF(LISTS!$C$2:$C$250,$AU460)=0,"NEW",""))</f>
        <v/>
      </c>
      <c r="BA460" s="2" t="str">
        <f>IF(""&amp;$F460&lt;&gt;"4","",IF($AY460="YES","",IF(ROUND(SUMIFS($AE$2:$AE$4001,$L$2:$L$4001,$L460,$F$2:$F$4001,"4")-SUMIFS('AR SALES'!$Y$2:$Y$2501,'AR SALES'!$L$2:$L$2501,$L460,'AR SALES'!$AD$2:$AD$2501,"OFF"),2)=0,"","STALE")))</f>
        <v/>
      </c>
      <c r="BB460" s="2" t="str">
        <f>IF(OR(""&amp;$F460="2",""&amp;$F460="4",""&amp;$F460="G",""&amp;$F460="H"),IF($AY460="YES","",IF($AB460&lt;&gt;0,"",IF(COUNTIFS('AR SALES'!$L$2:$L$2501,$L460,'AR SALES'!$AD$2:$AD$2501,IF(""&amp;$F460="4","OFF","ON"),'AR SALES'!$AF$2:$AF$2501,"Y")&gt;0,"","NO EXEMPTION"))),"")</f>
        <v/>
      </c>
    </row>
    <row r="461" spans="46:54" x14ac:dyDescent="0.25">
      <c r="AT461" s="2" t="str">
        <f>IF($L461="","",IFERROR(INDEX('AR SALES'!$H$2:$H$2501,MATCH(""&amp;$L461,'AR SALES'!$AE$2:$AE$2501,0)),""))</f>
        <v/>
      </c>
      <c r="AU461" s="2" t="str">
        <f t="shared" si="28"/>
        <v/>
      </c>
      <c r="AV461" s="2" t="str">
        <f t="shared" si="29"/>
        <v/>
      </c>
      <c r="AW461" s="2" t="str">
        <f t="shared" si="30"/>
        <v/>
      </c>
      <c r="AX461" s="2" t="str">
        <f t="shared" si="31"/>
        <v/>
      </c>
      <c r="AY461" s="2" t="str">
        <f>IF($AV461="","",IF(AND($Z461=0,COUNTIF('AR SALES'!$L$2:$L$2501,$L461)=0),"YES",""))</f>
        <v/>
      </c>
      <c r="AZ461" s="2" t="str">
        <f>IF($AV461="","",IF(COUNTIF(LISTS!$C$2:$C$250,$AU461)=0,"NEW",""))</f>
        <v/>
      </c>
      <c r="BA461" s="2" t="str">
        <f>IF(""&amp;$F461&lt;&gt;"4","",IF($AY461="YES","",IF(ROUND(SUMIFS($AE$2:$AE$4001,$L$2:$L$4001,$L461,$F$2:$F$4001,"4")-SUMIFS('AR SALES'!$Y$2:$Y$2501,'AR SALES'!$L$2:$L$2501,$L461,'AR SALES'!$AD$2:$AD$2501,"OFF"),2)=0,"","STALE")))</f>
        <v/>
      </c>
      <c r="BB461" s="2" t="str">
        <f>IF(OR(""&amp;$F461="2",""&amp;$F461="4",""&amp;$F461="G",""&amp;$F461="H"),IF($AY461="YES","",IF($AB461&lt;&gt;0,"",IF(COUNTIFS('AR SALES'!$L$2:$L$2501,$L461,'AR SALES'!$AD$2:$AD$2501,IF(""&amp;$F461="4","OFF","ON"),'AR SALES'!$AF$2:$AF$2501,"Y")&gt;0,"","NO EXEMPTION"))),"")</f>
        <v/>
      </c>
    </row>
    <row r="462" spans="46:54" x14ac:dyDescent="0.25">
      <c r="AT462" s="2" t="str">
        <f>IF($L462="","",IFERROR(INDEX('AR SALES'!$H$2:$H$2501,MATCH(""&amp;$L462,'AR SALES'!$AE$2:$AE$2501,0)),""))</f>
        <v/>
      </c>
      <c r="AU462" s="2" t="str">
        <f t="shared" si="28"/>
        <v/>
      </c>
      <c r="AV462" s="2" t="str">
        <f t="shared" si="29"/>
        <v/>
      </c>
      <c r="AW462" s="2" t="str">
        <f t="shared" si="30"/>
        <v/>
      </c>
      <c r="AX462" s="2" t="str">
        <f t="shared" si="31"/>
        <v/>
      </c>
      <c r="AY462" s="2" t="str">
        <f>IF($AV462="","",IF(AND($Z462=0,COUNTIF('AR SALES'!$L$2:$L$2501,$L462)=0),"YES",""))</f>
        <v/>
      </c>
      <c r="AZ462" s="2" t="str">
        <f>IF($AV462="","",IF(COUNTIF(LISTS!$C$2:$C$250,$AU462)=0,"NEW",""))</f>
        <v/>
      </c>
      <c r="BA462" s="2" t="str">
        <f>IF(""&amp;$F462&lt;&gt;"4","",IF($AY462="YES","",IF(ROUND(SUMIFS($AE$2:$AE$4001,$L$2:$L$4001,$L462,$F$2:$F$4001,"4")-SUMIFS('AR SALES'!$Y$2:$Y$2501,'AR SALES'!$L$2:$L$2501,$L462,'AR SALES'!$AD$2:$AD$2501,"OFF"),2)=0,"","STALE")))</f>
        <v/>
      </c>
      <c r="BB462" s="2" t="str">
        <f>IF(OR(""&amp;$F462="2",""&amp;$F462="4",""&amp;$F462="G",""&amp;$F462="H"),IF($AY462="YES","",IF($AB462&lt;&gt;0,"",IF(COUNTIFS('AR SALES'!$L$2:$L$2501,$L462,'AR SALES'!$AD$2:$AD$2501,IF(""&amp;$F462="4","OFF","ON"),'AR SALES'!$AF$2:$AF$2501,"Y")&gt;0,"","NO EXEMPTION"))),"")</f>
        <v/>
      </c>
    </row>
    <row r="463" spans="46:54" x14ac:dyDescent="0.25">
      <c r="AT463" s="2" t="str">
        <f>IF($L463="","",IFERROR(INDEX('AR SALES'!$H$2:$H$2501,MATCH(""&amp;$L463,'AR SALES'!$AE$2:$AE$2501,0)),""))</f>
        <v/>
      </c>
      <c r="AU463" s="2" t="str">
        <f t="shared" si="28"/>
        <v/>
      </c>
      <c r="AV463" s="2" t="str">
        <f t="shared" si="29"/>
        <v/>
      </c>
      <c r="AW463" s="2" t="str">
        <f t="shared" si="30"/>
        <v/>
      </c>
      <c r="AX463" s="2" t="str">
        <f t="shared" si="31"/>
        <v/>
      </c>
      <c r="AY463" s="2" t="str">
        <f>IF($AV463="","",IF(AND($Z463=0,COUNTIF('AR SALES'!$L$2:$L$2501,$L463)=0),"YES",""))</f>
        <v/>
      </c>
      <c r="AZ463" s="2" t="str">
        <f>IF($AV463="","",IF(COUNTIF(LISTS!$C$2:$C$250,$AU463)=0,"NEW",""))</f>
        <v/>
      </c>
      <c r="BA463" s="2" t="str">
        <f>IF(""&amp;$F463&lt;&gt;"4","",IF($AY463="YES","",IF(ROUND(SUMIFS($AE$2:$AE$4001,$L$2:$L$4001,$L463,$F$2:$F$4001,"4")-SUMIFS('AR SALES'!$Y$2:$Y$2501,'AR SALES'!$L$2:$L$2501,$L463,'AR SALES'!$AD$2:$AD$2501,"OFF"),2)=0,"","STALE")))</f>
        <v/>
      </c>
      <c r="BB463" s="2" t="str">
        <f>IF(OR(""&amp;$F463="2",""&amp;$F463="4",""&amp;$F463="G",""&amp;$F463="H"),IF($AY463="YES","",IF($AB463&lt;&gt;0,"",IF(COUNTIFS('AR SALES'!$L$2:$L$2501,$L463,'AR SALES'!$AD$2:$AD$2501,IF(""&amp;$F463="4","OFF","ON"),'AR SALES'!$AF$2:$AF$2501,"Y")&gt;0,"","NO EXEMPTION"))),"")</f>
        <v/>
      </c>
    </row>
    <row r="464" spans="46:54" x14ac:dyDescent="0.25">
      <c r="AT464" s="2" t="str">
        <f>IF($L464="","",IFERROR(INDEX('AR SALES'!$H$2:$H$2501,MATCH(""&amp;$L464,'AR SALES'!$AE$2:$AE$2501,0)),""))</f>
        <v/>
      </c>
      <c r="AU464" s="2" t="str">
        <f t="shared" si="28"/>
        <v/>
      </c>
      <c r="AV464" s="2" t="str">
        <f t="shared" si="29"/>
        <v/>
      </c>
      <c r="AW464" s="2" t="str">
        <f t="shared" si="30"/>
        <v/>
      </c>
      <c r="AX464" s="2" t="str">
        <f t="shared" si="31"/>
        <v/>
      </c>
      <c r="AY464" s="2" t="str">
        <f>IF($AV464="","",IF(AND($Z464=0,COUNTIF('AR SALES'!$L$2:$L$2501,$L464)=0),"YES",""))</f>
        <v/>
      </c>
      <c r="AZ464" s="2" t="str">
        <f>IF($AV464="","",IF(COUNTIF(LISTS!$C$2:$C$250,$AU464)=0,"NEW",""))</f>
        <v/>
      </c>
      <c r="BA464" s="2" t="str">
        <f>IF(""&amp;$F464&lt;&gt;"4","",IF($AY464="YES","",IF(ROUND(SUMIFS($AE$2:$AE$4001,$L$2:$L$4001,$L464,$F$2:$F$4001,"4")-SUMIFS('AR SALES'!$Y$2:$Y$2501,'AR SALES'!$L$2:$L$2501,$L464,'AR SALES'!$AD$2:$AD$2501,"OFF"),2)=0,"","STALE")))</f>
        <v/>
      </c>
      <c r="BB464" s="2" t="str">
        <f>IF(OR(""&amp;$F464="2",""&amp;$F464="4",""&amp;$F464="G",""&amp;$F464="H"),IF($AY464="YES","",IF($AB464&lt;&gt;0,"",IF(COUNTIFS('AR SALES'!$L$2:$L$2501,$L464,'AR SALES'!$AD$2:$AD$2501,IF(""&amp;$F464="4","OFF","ON"),'AR SALES'!$AF$2:$AF$2501,"Y")&gt;0,"","NO EXEMPTION"))),"")</f>
        <v/>
      </c>
    </row>
    <row r="465" spans="46:54" x14ac:dyDescent="0.25">
      <c r="AT465" s="2" t="str">
        <f>IF($L465="","",IFERROR(INDEX('AR SALES'!$H$2:$H$2501,MATCH(""&amp;$L465,'AR SALES'!$AE$2:$AE$2501,0)),""))</f>
        <v/>
      </c>
      <c r="AU465" s="2" t="str">
        <f t="shared" si="28"/>
        <v/>
      </c>
      <c r="AV465" s="2" t="str">
        <f t="shared" si="29"/>
        <v/>
      </c>
      <c r="AW465" s="2" t="str">
        <f t="shared" si="30"/>
        <v/>
      </c>
      <c r="AX465" s="2" t="str">
        <f t="shared" si="31"/>
        <v/>
      </c>
      <c r="AY465" s="2" t="str">
        <f>IF($AV465="","",IF(AND($Z465=0,COUNTIF('AR SALES'!$L$2:$L$2501,$L465)=0),"YES",""))</f>
        <v/>
      </c>
      <c r="AZ465" s="2" t="str">
        <f>IF($AV465="","",IF(COUNTIF(LISTS!$C$2:$C$250,$AU465)=0,"NEW",""))</f>
        <v/>
      </c>
      <c r="BA465" s="2" t="str">
        <f>IF(""&amp;$F465&lt;&gt;"4","",IF($AY465="YES","",IF(ROUND(SUMIFS($AE$2:$AE$4001,$L$2:$L$4001,$L465,$F$2:$F$4001,"4")-SUMIFS('AR SALES'!$Y$2:$Y$2501,'AR SALES'!$L$2:$L$2501,$L465,'AR SALES'!$AD$2:$AD$2501,"OFF"),2)=0,"","STALE")))</f>
        <v/>
      </c>
      <c r="BB465" s="2" t="str">
        <f>IF(OR(""&amp;$F465="2",""&amp;$F465="4",""&amp;$F465="G",""&amp;$F465="H"),IF($AY465="YES","",IF($AB465&lt;&gt;0,"",IF(COUNTIFS('AR SALES'!$L$2:$L$2501,$L465,'AR SALES'!$AD$2:$AD$2501,IF(""&amp;$F465="4","OFF","ON"),'AR SALES'!$AF$2:$AF$2501,"Y")&gt;0,"","NO EXEMPTION"))),"")</f>
        <v/>
      </c>
    </row>
    <row r="466" spans="46:54" x14ac:dyDescent="0.25">
      <c r="AT466" s="2" t="str">
        <f>IF($L466="","",IFERROR(INDEX('AR SALES'!$H$2:$H$2501,MATCH(""&amp;$L466,'AR SALES'!$AE$2:$AE$2501,0)),""))</f>
        <v/>
      </c>
      <c r="AU466" s="2" t="str">
        <f t="shared" si="28"/>
        <v/>
      </c>
      <c r="AV466" s="2" t="str">
        <f t="shared" si="29"/>
        <v/>
      </c>
      <c r="AW466" s="2" t="str">
        <f t="shared" si="30"/>
        <v/>
      </c>
      <c r="AX466" s="2" t="str">
        <f t="shared" si="31"/>
        <v/>
      </c>
      <c r="AY466" s="2" t="str">
        <f>IF($AV466="","",IF(AND($Z466=0,COUNTIF('AR SALES'!$L$2:$L$2501,$L466)=0),"YES",""))</f>
        <v/>
      </c>
      <c r="AZ466" s="2" t="str">
        <f>IF($AV466="","",IF(COUNTIF(LISTS!$C$2:$C$250,$AU466)=0,"NEW",""))</f>
        <v/>
      </c>
      <c r="BA466" s="2" t="str">
        <f>IF(""&amp;$F466&lt;&gt;"4","",IF($AY466="YES","",IF(ROUND(SUMIFS($AE$2:$AE$4001,$L$2:$L$4001,$L466,$F$2:$F$4001,"4")-SUMIFS('AR SALES'!$Y$2:$Y$2501,'AR SALES'!$L$2:$L$2501,$L466,'AR SALES'!$AD$2:$AD$2501,"OFF"),2)=0,"","STALE")))</f>
        <v/>
      </c>
      <c r="BB466" s="2" t="str">
        <f>IF(OR(""&amp;$F466="2",""&amp;$F466="4",""&amp;$F466="G",""&amp;$F466="H"),IF($AY466="YES","",IF($AB466&lt;&gt;0,"",IF(COUNTIFS('AR SALES'!$L$2:$L$2501,$L466,'AR SALES'!$AD$2:$AD$2501,IF(""&amp;$F466="4","OFF","ON"),'AR SALES'!$AF$2:$AF$2501,"Y")&gt;0,"","NO EXEMPTION"))),"")</f>
        <v/>
      </c>
    </row>
    <row r="467" spans="46:54" x14ac:dyDescent="0.25">
      <c r="AT467" s="2" t="str">
        <f>IF($L467="","",IFERROR(INDEX('AR SALES'!$H$2:$H$2501,MATCH(""&amp;$L467,'AR SALES'!$AE$2:$AE$2501,0)),""))</f>
        <v/>
      </c>
      <c r="AU467" s="2" t="str">
        <f t="shared" si="28"/>
        <v/>
      </c>
      <c r="AV467" s="2" t="str">
        <f t="shared" si="29"/>
        <v/>
      </c>
      <c r="AW467" s="2" t="str">
        <f t="shared" si="30"/>
        <v/>
      </c>
      <c r="AX467" s="2" t="str">
        <f t="shared" si="31"/>
        <v/>
      </c>
      <c r="AY467" s="2" t="str">
        <f>IF($AV467="","",IF(AND($Z467=0,COUNTIF('AR SALES'!$L$2:$L$2501,$L467)=0),"YES",""))</f>
        <v/>
      </c>
      <c r="AZ467" s="2" t="str">
        <f>IF($AV467="","",IF(COUNTIF(LISTS!$C$2:$C$250,$AU467)=0,"NEW",""))</f>
        <v/>
      </c>
      <c r="BA467" s="2" t="str">
        <f>IF(""&amp;$F467&lt;&gt;"4","",IF($AY467="YES","",IF(ROUND(SUMIFS($AE$2:$AE$4001,$L$2:$L$4001,$L467,$F$2:$F$4001,"4")-SUMIFS('AR SALES'!$Y$2:$Y$2501,'AR SALES'!$L$2:$L$2501,$L467,'AR SALES'!$AD$2:$AD$2501,"OFF"),2)=0,"","STALE")))</f>
        <v/>
      </c>
      <c r="BB467" s="2" t="str">
        <f>IF(OR(""&amp;$F467="2",""&amp;$F467="4",""&amp;$F467="G",""&amp;$F467="H"),IF($AY467="YES","",IF($AB467&lt;&gt;0,"",IF(COUNTIFS('AR SALES'!$L$2:$L$2501,$L467,'AR SALES'!$AD$2:$AD$2501,IF(""&amp;$F467="4","OFF","ON"),'AR SALES'!$AF$2:$AF$2501,"Y")&gt;0,"","NO EXEMPTION"))),"")</f>
        <v/>
      </c>
    </row>
    <row r="468" spans="46:54" x14ac:dyDescent="0.25">
      <c r="AT468" s="2" t="str">
        <f>IF($L468="","",IFERROR(INDEX('AR SALES'!$H$2:$H$2501,MATCH(""&amp;$L468,'AR SALES'!$AE$2:$AE$2501,0)),""))</f>
        <v/>
      </c>
      <c r="AU468" s="2" t="str">
        <f t="shared" si="28"/>
        <v/>
      </c>
      <c r="AV468" s="2" t="str">
        <f t="shared" si="29"/>
        <v/>
      </c>
      <c r="AW468" s="2" t="str">
        <f t="shared" si="30"/>
        <v/>
      </c>
      <c r="AX468" s="2" t="str">
        <f t="shared" si="31"/>
        <v/>
      </c>
      <c r="AY468" s="2" t="str">
        <f>IF($AV468="","",IF(AND($Z468=0,COUNTIF('AR SALES'!$L$2:$L$2501,$L468)=0),"YES",""))</f>
        <v/>
      </c>
      <c r="AZ468" s="2" t="str">
        <f>IF($AV468="","",IF(COUNTIF(LISTS!$C$2:$C$250,$AU468)=0,"NEW",""))</f>
        <v/>
      </c>
      <c r="BA468" s="2" t="str">
        <f>IF(""&amp;$F468&lt;&gt;"4","",IF($AY468="YES","",IF(ROUND(SUMIFS($AE$2:$AE$4001,$L$2:$L$4001,$L468,$F$2:$F$4001,"4")-SUMIFS('AR SALES'!$Y$2:$Y$2501,'AR SALES'!$L$2:$L$2501,$L468,'AR SALES'!$AD$2:$AD$2501,"OFF"),2)=0,"","STALE")))</f>
        <v/>
      </c>
      <c r="BB468" s="2" t="str">
        <f>IF(OR(""&amp;$F468="2",""&amp;$F468="4",""&amp;$F468="G",""&amp;$F468="H"),IF($AY468="YES","",IF($AB468&lt;&gt;0,"",IF(COUNTIFS('AR SALES'!$L$2:$L$2501,$L468,'AR SALES'!$AD$2:$AD$2501,IF(""&amp;$F468="4","OFF","ON"),'AR SALES'!$AF$2:$AF$2501,"Y")&gt;0,"","NO EXEMPTION"))),"")</f>
        <v/>
      </c>
    </row>
    <row r="469" spans="46:54" x14ac:dyDescent="0.25">
      <c r="AT469" s="2" t="str">
        <f>IF($L469="","",IFERROR(INDEX('AR SALES'!$H$2:$H$2501,MATCH(""&amp;$L469,'AR SALES'!$AE$2:$AE$2501,0)),""))</f>
        <v/>
      </c>
      <c r="AU469" s="2" t="str">
        <f t="shared" si="28"/>
        <v/>
      </c>
      <c r="AV469" s="2" t="str">
        <f t="shared" si="29"/>
        <v/>
      </c>
      <c r="AW469" s="2" t="str">
        <f t="shared" si="30"/>
        <v/>
      </c>
      <c r="AX469" s="2" t="str">
        <f t="shared" si="31"/>
        <v/>
      </c>
      <c r="AY469" s="2" t="str">
        <f>IF($AV469="","",IF(AND($Z469=0,COUNTIF('AR SALES'!$L$2:$L$2501,$L469)=0),"YES",""))</f>
        <v/>
      </c>
      <c r="AZ469" s="2" t="str">
        <f>IF($AV469="","",IF(COUNTIF(LISTS!$C$2:$C$250,$AU469)=0,"NEW",""))</f>
        <v/>
      </c>
      <c r="BA469" s="2" t="str">
        <f>IF(""&amp;$F469&lt;&gt;"4","",IF($AY469="YES","",IF(ROUND(SUMIFS($AE$2:$AE$4001,$L$2:$L$4001,$L469,$F$2:$F$4001,"4")-SUMIFS('AR SALES'!$Y$2:$Y$2501,'AR SALES'!$L$2:$L$2501,$L469,'AR SALES'!$AD$2:$AD$2501,"OFF"),2)=0,"","STALE")))</f>
        <v/>
      </c>
      <c r="BB469" s="2" t="str">
        <f>IF(OR(""&amp;$F469="2",""&amp;$F469="4",""&amp;$F469="G",""&amp;$F469="H"),IF($AY469="YES","",IF($AB469&lt;&gt;0,"",IF(COUNTIFS('AR SALES'!$L$2:$L$2501,$L469,'AR SALES'!$AD$2:$AD$2501,IF(""&amp;$F469="4","OFF","ON"),'AR SALES'!$AF$2:$AF$2501,"Y")&gt;0,"","NO EXEMPTION"))),"")</f>
        <v/>
      </c>
    </row>
    <row r="470" spans="46:54" x14ac:dyDescent="0.25">
      <c r="AT470" s="2" t="str">
        <f>IF($L470="","",IFERROR(INDEX('AR SALES'!$H$2:$H$2501,MATCH(""&amp;$L470,'AR SALES'!$AE$2:$AE$2501,0)),""))</f>
        <v/>
      </c>
      <c r="AU470" s="2" t="str">
        <f t="shared" si="28"/>
        <v/>
      </c>
      <c r="AV470" s="2" t="str">
        <f t="shared" si="29"/>
        <v/>
      </c>
      <c r="AW470" s="2" t="str">
        <f t="shared" si="30"/>
        <v/>
      </c>
      <c r="AX470" s="2" t="str">
        <f t="shared" si="31"/>
        <v/>
      </c>
      <c r="AY470" s="2" t="str">
        <f>IF($AV470="","",IF(AND($Z470=0,COUNTIF('AR SALES'!$L$2:$L$2501,$L470)=0),"YES",""))</f>
        <v/>
      </c>
      <c r="AZ470" s="2" t="str">
        <f>IF($AV470="","",IF(COUNTIF(LISTS!$C$2:$C$250,$AU470)=0,"NEW",""))</f>
        <v/>
      </c>
      <c r="BA470" s="2" t="str">
        <f>IF(""&amp;$F470&lt;&gt;"4","",IF($AY470="YES","",IF(ROUND(SUMIFS($AE$2:$AE$4001,$L$2:$L$4001,$L470,$F$2:$F$4001,"4")-SUMIFS('AR SALES'!$Y$2:$Y$2501,'AR SALES'!$L$2:$L$2501,$L470,'AR SALES'!$AD$2:$AD$2501,"OFF"),2)=0,"","STALE")))</f>
        <v/>
      </c>
      <c r="BB470" s="2" t="str">
        <f>IF(OR(""&amp;$F470="2",""&amp;$F470="4",""&amp;$F470="G",""&amp;$F470="H"),IF($AY470="YES","",IF($AB470&lt;&gt;0,"",IF(COUNTIFS('AR SALES'!$L$2:$L$2501,$L470,'AR SALES'!$AD$2:$AD$2501,IF(""&amp;$F470="4","OFF","ON"),'AR SALES'!$AF$2:$AF$2501,"Y")&gt;0,"","NO EXEMPTION"))),"")</f>
        <v/>
      </c>
    </row>
    <row r="471" spans="46:54" x14ac:dyDescent="0.25">
      <c r="AT471" s="2" t="str">
        <f>IF($L471="","",IFERROR(INDEX('AR SALES'!$H$2:$H$2501,MATCH(""&amp;$L471,'AR SALES'!$AE$2:$AE$2501,0)),""))</f>
        <v/>
      </c>
      <c r="AU471" s="2" t="str">
        <f t="shared" si="28"/>
        <v/>
      </c>
      <c r="AV471" s="2" t="str">
        <f t="shared" si="29"/>
        <v/>
      </c>
      <c r="AW471" s="2" t="str">
        <f t="shared" si="30"/>
        <v/>
      </c>
      <c r="AX471" s="2" t="str">
        <f t="shared" si="31"/>
        <v/>
      </c>
      <c r="AY471" s="2" t="str">
        <f>IF($AV471="","",IF(AND($Z471=0,COUNTIF('AR SALES'!$L$2:$L$2501,$L471)=0),"YES",""))</f>
        <v/>
      </c>
      <c r="AZ471" s="2" t="str">
        <f>IF($AV471="","",IF(COUNTIF(LISTS!$C$2:$C$250,$AU471)=0,"NEW",""))</f>
        <v/>
      </c>
      <c r="BA471" s="2" t="str">
        <f>IF(""&amp;$F471&lt;&gt;"4","",IF($AY471="YES","",IF(ROUND(SUMIFS($AE$2:$AE$4001,$L$2:$L$4001,$L471,$F$2:$F$4001,"4")-SUMIFS('AR SALES'!$Y$2:$Y$2501,'AR SALES'!$L$2:$L$2501,$L471,'AR SALES'!$AD$2:$AD$2501,"OFF"),2)=0,"","STALE")))</f>
        <v/>
      </c>
      <c r="BB471" s="2" t="str">
        <f>IF(OR(""&amp;$F471="2",""&amp;$F471="4",""&amp;$F471="G",""&amp;$F471="H"),IF($AY471="YES","",IF($AB471&lt;&gt;0,"",IF(COUNTIFS('AR SALES'!$L$2:$L$2501,$L471,'AR SALES'!$AD$2:$AD$2501,IF(""&amp;$F471="4","OFF","ON"),'AR SALES'!$AF$2:$AF$2501,"Y")&gt;0,"","NO EXEMPTION"))),"")</f>
        <v/>
      </c>
    </row>
    <row r="472" spans="46:54" x14ac:dyDescent="0.25">
      <c r="AT472" s="2" t="str">
        <f>IF($L472="","",IFERROR(INDEX('AR SALES'!$H$2:$H$2501,MATCH(""&amp;$L472,'AR SALES'!$AE$2:$AE$2501,0)),""))</f>
        <v/>
      </c>
      <c r="AU472" s="2" t="str">
        <f t="shared" si="28"/>
        <v/>
      </c>
      <c r="AV472" s="2" t="str">
        <f t="shared" si="29"/>
        <v/>
      </c>
      <c r="AW472" s="2" t="str">
        <f t="shared" si="30"/>
        <v/>
      </c>
      <c r="AX472" s="2" t="str">
        <f t="shared" si="31"/>
        <v/>
      </c>
      <c r="AY472" s="2" t="str">
        <f>IF($AV472="","",IF(AND($Z472=0,COUNTIF('AR SALES'!$L$2:$L$2501,$L472)=0),"YES",""))</f>
        <v/>
      </c>
      <c r="AZ472" s="2" t="str">
        <f>IF($AV472="","",IF(COUNTIF(LISTS!$C$2:$C$250,$AU472)=0,"NEW",""))</f>
        <v/>
      </c>
      <c r="BA472" s="2" t="str">
        <f>IF(""&amp;$F472&lt;&gt;"4","",IF($AY472="YES","",IF(ROUND(SUMIFS($AE$2:$AE$4001,$L$2:$L$4001,$L472,$F$2:$F$4001,"4")-SUMIFS('AR SALES'!$Y$2:$Y$2501,'AR SALES'!$L$2:$L$2501,$L472,'AR SALES'!$AD$2:$AD$2501,"OFF"),2)=0,"","STALE")))</f>
        <v/>
      </c>
      <c r="BB472" s="2" t="str">
        <f>IF(OR(""&amp;$F472="2",""&amp;$F472="4",""&amp;$F472="G",""&amp;$F472="H"),IF($AY472="YES","",IF($AB472&lt;&gt;0,"",IF(COUNTIFS('AR SALES'!$L$2:$L$2501,$L472,'AR SALES'!$AD$2:$AD$2501,IF(""&amp;$F472="4","OFF","ON"),'AR SALES'!$AF$2:$AF$2501,"Y")&gt;0,"","NO EXEMPTION"))),"")</f>
        <v/>
      </c>
    </row>
    <row r="473" spans="46:54" x14ac:dyDescent="0.25">
      <c r="AT473" s="2" t="str">
        <f>IF($L473="","",IFERROR(INDEX('AR SALES'!$H$2:$H$2501,MATCH(""&amp;$L473,'AR SALES'!$AE$2:$AE$2501,0)),""))</f>
        <v/>
      </c>
      <c r="AU473" s="2" t="str">
        <f t="shared" si="28"/>
        <v/>
      </c>
      <c r="AV473" s="2" t="str">
        <f t="shared" si="29"/>
        <v/>
      </c>
      <c r="AW473" s="2" t="str">
        <f t="shared" si="30"/>
        <v/>
      </c>
      <c r="AX473" s="2" t="str">
        <f t="shared" si="31"/>
        <v/>
      </c>
      <c r="AY473" s="2" t="str">
        <f>IF($AV473="","",IF(AND($Z473=0,COUNTIF('AR SALES'!$L$2:$L$2501,$L473)=0),"YES",""))</f>
        <v/>
      </c>
      <c r="AZ473" s="2" t="str">
        <f>IF($AV473="","",IF(COUNTIF(LISTS!$C$2:$C$250,$AU473)=0,"NEW",""))</f>
        <v/>
      </c>
      <c r="BA473" s="2" t="str">
        <f>IF(""&amp;$F473&lt;&gt;"4","",IF($AY473="YES","",IF(ROUND(SUMIFS($AE$2:$AE$4001,$L$2:$L$4001,$L473,$F$2:$F$4001,"4")-SUMIFS('AR SALES'!$Y$2:$Y$2501,'AR SALES'!$L$2:$L$2501,$L473,'AR SALES'!$AD$2:$AD$2501,"OFF"),2)=0,"","STALE")))</f>
        <v/>
      </c>
      <c r="BB473" s="2" t="str">
        <f>IF(OR(""&amp;$F473="2",""&amp;$F473="4",""&amp;$F473="G",""&amp;$F473="H"),IF($AY473="YES","",IF($AB473&lt;&gt;0,"",IF(COUNTIFS('AR SALES'!$L$2:$L$2501,$L473,'AR SALES'!$AD$2:$AD$2501,IF(""&amp;$F473="4","OFF","ON"),'AR SALES'!$AF$2:$AF$2501,"Y")&gt;0,"","NO EXEMPTION"))),"")</f>
        <v/>
      </c>
    </row>
    <row r="474" spans="46:54" x14ac:dyDescent="0.25">
      <c r="AT474" s="2" t="str">
        <f>IF($L474="","",IFERROR(INDEX('AR SALES'!$H$2:$H$2501,MATCH(""&amp;$L474,'AR SALES'!$AE$2:$AE$2501,0)),""))</f>
        <v/>
      </c>
      <c r="AU474" s="2" t="str">
        <f t="shared" si="28"/>
        <v/>
      </c>
      <c r="AV474" s="2" t="str">
        <f t="shared" si="29"/>
        <v/>
      </c>
      <c r="AW474" s="2" t="str">
        <f t="shared" si="30"/>
        <v/>
      </c>
      <c r="AX474" s="2" t="str">
        <f t="shared" si="31"/>
        <v/>
      </c>
      <c r="AY474" s="2" t="str">
        <f>IF($AV474="","",IF(AND($Z474=0,COUNTIF('AR SALES'!$L$2:$L$2501,$L474)=0),"YES",""))</f>
        <v/>
      </c>
      <c r="AZ474" s="2" t="str">
        <f>IF($AV474="","",IF(COUNTIF(LISTS!$C$2:$C$250,$AU474)=0,"NEW",""))</f>
        <v/>
      </c>
      <c r="BA474" s="2" t="str">
        <f>IF(""&amp;$F474&lt;&gt;"4","",IF($AY474="YES","",IF(ROUND(SUMIFS($AE$2:$AE$4001,$L$2:$L$4001,$L474,$F$2:$F$4001,"4")-SUMIFS('AR SALES'!$Y$2:$Y$2501,'AR SALES'!$L$2:$L$2501,$L474,'AR SALES'!$AD$2:$AD$2501,"OFF"),2)=0,"","STALE")))</f>
        <v/>
      </c>
      <c r="BB474" s="2" t="str">
        <f>IF(OR(""&amp;$F474="2",""&amp;$F474="4",""&amp;$F474="G",""&amp;$F474="H"),IF($AY474="YES","",IF($AB474&lt;&gt;0,"",IF(COUNTIFS('AR SALES'!$L$2:$L$2501,$L474,'AR SALES'!$AD$2:$AD$2501,IF(""&amp;$F474="4","OFF","ON"),'AR SALES'!$AF$2:$AF$2501,"Y")&gt;0,"","NO EXEMPTION"))),"")</f>
        <v/>
      </c>
    </row>
    <row r="475" spans="46:54" x14ac:dyDescent="0.25">
      <c r="AT475" s="2" t="str">
        <f>IF($L475="","",IFERROR(INDEX('AR SALES'!$H$2:$H$2501,MATCH(""&amp;$L475,'AR SALES'!$AE$2:$AE$2501,0)),""))</f>
        <v/>
      </c>
      <c r="AU475" s="2" t="str">
        <f t="shared" si="28"/>
        <v/>
      </c>
      <c r="AV475" s="2" t="str">
        <f t="shared" si="29"/>
        <v/>
      </c>
      <c r="AW475" s="2" t="str">
        <f t="shared" si="30"/>
        <v/>
      </c>
      <c r="AX475" s="2" t="str">
        <f t="shared" si="31"/>
        <v/>
      </c>
      <c r="AY475" s="2" t="str">
        <f>IF($AV475="","",IF(AND($Z475=0,COUNTIF('AR SALES'!$L$2:$L$2501,$L475)=0),"YES",""))</f>
        <v/>
      </c>
      <c r="AZ475" s="2" t="str">
        <f>IF($AV475="","",IF(COUNTIF(LISTS!$C$2:$C$250,$AU475)=0,"NEW",""))</f>
        <v/>
      </c>
      <c r="BA475" s="2" t="str">
        <f>IF(""&amp;$F475&lt;&gt;"4","",IF($AY475="YES","",IF(ROUND(SUMIFS($AE$2:$AE$4001,$L$2:$L$4001,$L475,$F$2:$F$4001,"4")-SUMIFS('AR SALES'!$Y$2:$Y$2501,'AR SALES'!$L$2:$L$2501,$L475,'AR SALES'!$AD$2:$AD$2501,"OFF"),2)=0,"","STALE")))</f>
        <v/>
      </c>
      <c r="BB475" s="2" t="str">
        <f>IF(OR(""&amp;$F475="2",""&amp;$F475="4",""&amp;$F475="G",""&amp;$F475="H"),IF($AY475="YES","",IF($AB475&lt;&gt;0,"",IF(COUNTIFS('AR SALES'!$L$2:$L$2501,$L475,'AR SALES'!$AD$2:$AD$2501,IF(""&amp;$F475="4","OFF","ON"),'AR SALES'!$AF$2:$AF$2501,"Y")&gt;0,"","NO EXEMPTION"))),"")</f>
        <v/>
      </c>
    </row>
    <row r="476" spans="46:54" x14ac:dyDescent="0.25">
      <c r="AT476" s="2" t="str">
        <f>IF($L476="","",IFERROR(INDEX('AR SALES'!$H$2:$H$2501,MATCH(""&amp;$L476,'AR SALES'!$AE$2:$AE$2501,0)),""))</f>
        <v/>
      </c>
      <c r="AU476" s="2" t="str">
        <f t="shared" si="28"/>
        <v/>
      </c>
      <c r="AV476" s="2" t="str">
        <f t="shared" si="29"/>
        <v/>
      </c>
      <c r="AW476" s="2" t="str">
        <f t="shared" si="30"/>
        <v/>
      </c>
      <c r="AX476" s="2" t="str">
        <f t="shared" si="31"/>
        <v/>
      </c>
      <c r="AY476" s="2" t="str">
        <f>IF($AV476="","",IF(AND($Z476=0,COUNTIF('AR SALES'!$L$2:$L$2501,$L476)=0),"YES",""))</f>
        <v/>
      </c>
      <c r="AZ476" s="2" t="str">
        <f>IF($AV476="","",IF(COUNTIF(LISTS!$C$2:$C$250,$AU476)=0,"NEW",""))</f>
        <v/>
      </c>
      <c r="BA476" s="2" t="str">
        <f>IF(""&amp;$F476&lt;&gt;"4","",IF($AY476="YES","",IF(ROUND(SUMIFS($AE$2:$AE$4001,$L$2:$L$4001,$L476,$F$2:$F$4001,"4")-SUMIFS('AR SALES'!$Y$2:$Y$2501,'AR SALES'!$L$2:$L$2501,$L476,'AR SALES'!$AD$2:$AD$2501,"OFF"),2)=0,"","STALE")))</f>
        <v/>
      </c>
      <c r="BB476" s="2" t="str">
        <f>IF(OR(""&amp;$F476="2",""&amp;$F476="4",""&amp;$F476="G",""&amp;$F476="H"),IF($AY476="YES","",IF($AB476&lt;&gt;0,"",IF(COUNTIFS('AR SALES'!$L$2:$L$2501,$L476,'AR SALES'!$AD$2:$AD$2501,IF(""&amp;$F476="4","OFF","ON"),'AR SALES'!$AF$2:$AF$2501,"Y")&gt;0,"","NO EXEMPTION"))),"")</f>
        <v/>
      </c>
    </row>
    <row r="477" spans="46:54" x14ac:dyDescent="0.25">
      <c r="AT477" s="2" t="str">
        <f>IF($L477="","",IFERROR(INDEX('AR SALES'!$H$2:$H$2501,MATCH(""&amp;$L477,'AR SALES'!$AE$2:$AE$2501,0)),""))</f>
        <v/>
      </c>
      <c r="AU477" s="2" t="str">
        <f t="shared" si="28"/>
        <v/>
      </c>
      <c r="AV477" s="2" t="str">
        <f t="shared" si="29"/>
        <v/>
      </c>
      <c r="AW477" s="2" t="str">
        <f t="shared" si="30"/>
        <v/>
      </c>
      <c r="AX477" s="2" t="str">
        <f t="shared" si="31"/>
        <v/>
      </c>
      <c r="AY477" s="2" t="str">
        <f>IF($AV477="","",IF(AND($Z477=0,COUNTIF('AR SALES'!$L$2:$L$2501,$L477)=0),"YES",""))</f>
        <v/>
      </c>
      <c r="AZ477" s="2" t="str">
        <f>IF($AV477="","",IF(COUNTIF(LISTS!$C$2:$C$250,$AU477)=0,"NEW",""))</f>
        <v/>
      </c>
      <c r="BA477" s="2" t="str">
        <f>IF(""&amp;$F477&lt;&gt;"4","",IF($AY477="YES","",IF(ROUND(SUMIFS($AE$2:$AE$4001,$L$2:$L$4001,$L477,$F$2:$F$4001,"4")-SUMIFS('AR SALES'!$Y$2:$Y$2501,'AR SALES'!$L$2:$L$2501,$L477,'AR SALES'!$AD$2:$AD$2501,"OFF"),2)=0,"","STALE")))</f>
        <v/>
      </c>
      <c r="BB477" s="2" t="str">
        <f>IF(OR(""&amp;$F477="2",""&amp;$F477="4",""&amp;$F477="G",""&amp;$F477="H"),IF($AY477="YES","",IF($AB477&lt;&gt;0,"",IF(COUNTIFS('AR SALES'!$L$2:$L$2501,$L477,'AR SALES'!$AD$2:$AD$2501,IF(""&amp;$F477="4","OFF","ON"),'AR SALES'!$AF$2:$AF$2501,"Y")&gt;0,"","NO EXEMPTION"))),"")</f>
        <v/>
      </c>
    </row>
    <row r="478" spans="46:54" x14ac:dyDescent="0.25">
      <c r="AT478" s="2" t="str">
        <f>IF($L478="","",IFERROR(INDEX('AR SALES'!$H$2:$H$2501,MATCH(""&amp;$L478,'AR SALES'!$AE$2:$AE$2501,0)),""))</f>
        <v/>
      </c>
      <c r="AU478" s="2" t="str">
        <f t="shared" si="28"/>
        <v/>
      </c>
      <c r="AV478" s="2" t="str">
        <f t="shared" si="29"/>
        <v/>
      </c>
      <c r="AW478" s="2" t="str">
        <f t="shared" si="30"/>
        <v/>
      </c>
      <c r="AX478" s="2" t="str">
        <f t="shared" si="31"/>
        <v/>
      </c>
      <c r="AY478" s="2" t="str">
        <f>IF($AV478="","",IF(AND($Z478=0,COUNTIF('AR SALES'!$L$2:$L$2501,$L478)=0),"YES",""))</f>
        <v/>
      </c>
      <c r="AZ478" s="2" t="str">
        <f>IF($AV478="","",IF(COUNTIF(LISTS!$C$2:$C$250,$AU478)=0,"NEW",""))</f>
        <v/>
      </c>
      <c r="BA478" s="2" t="str">
        <f>IF(""&amp;$F478&lt;&gt;"4","",IF($AY478="YES","",IF(ROUND(SUMIFS($AE$2:$AE$4001,$L$2:$L$4001,$L478,$F$2:$F$4001,"4")-SUMIFS('AR SALES'!$Y$2:$Y$2501,'AR SALES'!$L$2:$L$2501,$L478,'AR SALES'!$AD$2:$AD$2501,"OFF"),2)=0,"","STALE")))</f>
        <v/>
      </c>
      <c r="BB478" s="2" t="str">
        <f>IF(OR(""&amp;$F478="2",""&amp;$F478="4",""&amp;$F478="G",""&amp;$F478="H"),IF($AY478="YES","",IF($AB478&lt;&gt;0,"",IF(COUNTIFS('AR SALES'!$L$2:$L$2501,$L478,'AR SALES'!$AD$2:$AD$2501,IF(""&amp;$F478="4","OFF","ON"),'AR SALES'!$AF$2:$AF$2501,"Y")&gt;0,"","NO EXEMPTION"))),"")</f>
        <v/>
      </c>
    </row>
    <row r="479" spans="46:54" x14ac:dyDescent="0.25">
      <c r="AT479" s="2" t="str">
        <f>IF($L479="","",IFERROR(INDEX('AR SALES'!$H$2:$H$2501,MATCH(""&amp;$L479,'AR SALES'!$AE$2:$AE$2501,0)),""))</f>
        <v/>
      </c>
      <c r="AU479" s="2" t="str">
        <f t="shared" si="28"/>
        <v/>
      </c>
      <c r="AV479" s="2" t="str">
        <f t="shared" si="29"/>
        <v/>
      </c>
      <c r="AW479" s="2" t="str">
        <f t="shared" si="30"/>
        <v/>
      </c>
      <c r="AX479" s="2" t="str">
        <f t="shared" si="31"/>
        <v/>
      </c>
      <c r="AY479" s="2" t="str">
        <f>IF($AV479="","",IF(AND($Z479=0,COUNTIF('AR SALES'!$L$2:$L$2501,$L479)=0),"YES",""))</f>
        <v/>
      </c>
      <c r="AZ479" s="2" t="str">
        <f>IF($AV479="","",IF(COUNTIF(LISTS!$C$2:$C$250,$AU479)=0,"NEW",""))</f>
        <v/>
      </c>
      <c r="BA479" s="2" t="str">
        <f>IF(""&amp;$F479&lt;&gt;"4","",IF($AY479="YES","",IF(ROUND(SUMIFS($AE$2:$AE$4001,$L$2:$L$4001,$L479,$F$2:$F$4001,"4")-SUMIFS('AR SALES'!$Y$2:$Y$2501,'AR SALES'!$L$2:$L$2501,$L479,'AR SALES'!$AD$2:$AD$2501,"OFF"),2)=0,"","STALE")))</f>
        <v/>
      </c>
      <c r="BB479" s="2" t="str">
        <f>IF(OR(""&amp;$F479="2",""&amp;$F479="4",""&amp;$F479="G",""&amp;$F479="H"),IF($AY479="YES","",IF($AB479&lt;&gt;0,"",IF(COUNTIFS('AR SALES'!$L$2:$L$2501,$L479,'AR SALES'!$AD$2:$AD$2501,IF(""&amp;$F479="4","OFF","ON"),'AR SALES'!$AF$2:$AF$2501,"Y")&gt;0,"","NO EXEMPTION"))),"")</f>
        <v/>
      </c>
    </row>
    <row r="480" spans="46:54" x14ac:dyDescent="0.25">
      <c r="AT480" s="2" t="str">
        <f>IF($L480="","",IFERROR(INDEX('AR SALES'!$H$2:$H$2501,MATCH(""&amp;$L480,'AR SALES'!$AE$2:$AE$2501,0)),""))</f>
        <v/>
      </c>
      <c r="AU480" s="2" t="str">
        <f t="shared" si="28"/>
        <v/>
      </c>
      <c r="AV480" s="2" t="str">
        <f t="shared" si="29"/>
        <v/>
      </c>
      <c r="AW480" s="2" t="str">
        <f t="shared" si="30"/>
        <v/>
      </c>
      <c r="AX480" s="2" t="str">
        <f t="shared" si="31"/>
        <v/>
      </c>
      <c r="AY480" s="2" t="str">
        <f>IF($AV480="","",IF(AND($Z480=0,COUNTIF('AR SALES'!$L$2:$L$2501,$L480)=0),"YES",""))</f>
        <v/>
      </c>
      <c r="AZ480" s="2" t="str">
        <f>IF($AV480="","",IF(COUNTIF(LISTS!$C$2:$C$250,$AU480)=0,"NEW",""))</f>
        <v/>
      </c>
      <c r="BA480" s="2" t="str">
        <f>IF(""&amp;$F480&lt;&gt;"4","",IF($AY480="YES","",IF(ROUND(SUMIFS($AE$2:$AE$4001,$L$2:$L$4001,$L480,$F$2:$F$4001,"4")-SUMIFS('AR SALES'!$Y$2:$Y$2501,'AR SALES'!$L$2:$L$2501,$L480,'AR SALES'!$AD$2:$AD$2501,"OFF"),2)=0,"","STALE")))</f>
        <v/>
      </c>
      <c r="BB480" s="2" t="str">
        <f>IF(OR(""&amp;$F480="2",""&amp;$F480="4",""&amp;$F480="G",""&amp;$F480="H"),IF($AY480="YES","",IF($AB480&lt;&gt;0,"",IF(COUNTIFS('AR SALES'!$L$2:$L$2501,$L480,'AR SALES'!$AD$2:$AD$2501,IF(""&amp;$F480="4","OFF","ON"),'AR SALES'!$AF$2:$AF$2501,"Y")&gt;0,"","NO EXEMPTION"))),"")</f>
        <v/>
      </c>
    </row>
    <row r="481" spans="46:54" x14ac:dyDescent="0.25">
      <c r="AT481" s="2" t="str">
        <f>IF($L481="","",IFERROR(INDEX('AR SALES'!$H$2:$H$2501,MATCH(""&amp;$L481,'AR SALES'!$AE$2:$AE$2501,0)),""))</f>
        <v/>
      </c>
      <c r="AU481" s="2" t="str">
        <f t="shared" si="28"/>
        <v/>
      </c>
      <c r="AV481" s="2" t="str">
        <f t="shared" si="29"/>
        <v/>
      </c>
      <c r="AW481" s="2" t="str">
        <f t="shared" si="30"/>
        <v/>
      </c>
      <c r="AX481" s="2" t="str">
        <f t="shared" si="31"/>
        <v/>
      </c>
      <c r="AY481" s="2" t="str">
        <f>IF($AV481="","",IF(AND($Z481=0,COUNTIF('AR SALES'!$L$2:$L$2501,$L481)=0),"YES",""))</f>
        <v/>
      </c>
      <c r="AZ481" s="2" t="str">
        <f>IF($AV481="","",IF(COUNTIF(LISTS!$C$2:$C$250,$AU481)=0,"NEW",""))</f>
        <v/>
      </c>
      <c r="BA481" s="2" t="str">
        <f>IF(""&amp;$F481&lt;&gt;"4","",IF($AY481="YES","",IF(ROUND(SUMIFS($AE$2:$AE$4001,$L$2:$L$4001,$L481,$F$2:$F$4001,"4")-SUMIFS('AR SALES'!$Y$2:$Y$2501,'AR SALES'!$L$2:$L$2501,$L481,'AR SALES'!$AD$2:$AD$2501,"OFF"),2)=0,"","STALE")))</f>
        <v/>
      </c>
      <c r="BB481" s="2" t="str">
        <f>IF(OR(""&amp;$F481="2",""&amp;$F481="4",""&amp;$F481="G",""&amp;$F481="H"),IF($AY481="YES","",IF($AB481&lt;&gt;0,"",IF(COUNTIFS('AR SALES'!$L$2:$L$2501,$L481,'AR SALES'!$AD$2:$AD$2501,IF(""&amp;$F481="4","OFF","ON"),'AR SALES'!$AF$2:$AF$2501,"Y")&gt;0,"","NO EXEMPTION"))),"")</f>
        <v/>
      </c>
    </row>
    <row r="482" spans="46:54" x14ac:dyDescent="0.25">
      <c r="AT482" s="2" t="str">
        <f>IF($L482="","",IFERROR(INDEX('AR SALES'!$H$2:$H$2501,MATCH(""&amp;$L482,'AR SALES'!$AE$2:$AE$2501,0)),""))</f>
        <v/>
      </c>
      <c r="AU482" s="2" t="str">
        <f t="shared" si="28"/>
        <v/>
      </c>
      <c r="AV482" s="2" t="str">
        <f t="shared" si="29"/>
        <v/>
      </c>
      <c r="AW482" s="2" t="str">
        <f t="shared" si="30"/>
        <v/>
      </c>
      <c r="AX482" s="2" t="str">
        <f t="shared" si="31"/>
        <v/>
      </c>
      <c r="AY482" s="2" t="str">
        <f>IF($AV482="","",IF(AND($Z482=0,COUNTIF('AR SALES'!$L$2:$L$2501,$L482)=0),"YES",""))</f>
        <v/>
      </c>
      <c r="AZ482" s="2" t="str">
        <f>IF($AV482="","",IF(COUNTIF(LISTS!$C$2:$C$250,$AU482)=0,"NEW",""))</f>
        <v/>
      </c>
      <c r="BA482" s="2" t="str">
        <f>IF(""&amp;$F482&lt;&gt;"4","",IF($AY482="YES","",IF(ROUND(SUMIFS($AE$2:$AE$4001,$L$2:$L$4001,$L482,$F$2:$F$4001,"4")-SUMIFS('AR SALES'!$Y$2:$Y$2501,'AR SALES'!$L$2:$L$2501,$L482,'AR SALES'!$AD$2:$AD$2501,"OFF"),2)=0,"","STALE")))</f>
        <v/>
      </c>
      <c r="BB482" s="2" t="str">
        <f>IF(OR(""&amp;$F482="2",""&amp;$F482="4",""&amp;$F482="G",""&amp;$F482="H"),IF($AY482="YES","",IF($AB482&lt;&gt;0,"",IF(COUNTIFS('AR SALES'!$L$2:$L$2501,$L482,'AR SALES'!$AD$2:$AD$2501,IF(""&amp;$F482="4","OFF","ON"),'AR SALES'!$AF$2:$AF$2501,"Y")&gt;0,"","NO EXEMPTION"))),"")</f>
        <v/>
      </c>
    </row>
    <row r="483" spans="46:54" x14ac:dyDescent="0.25">
      <c r="AT483" s="2" t="str">
        <f>IF($L483="","",IFERROR(INDEX('AR SALES'!$H$2:$H$2501,MATCH(""&amp;$L483,'AR SALES'!$AE$2:$AE$2501,0)),""))</f>
        <v/>
      </c>
      <c r="AU483" s="2" t="str">
        <f t="shared" si="28"/>
        <v/>
      </c>
      <c r="AV483" s="2" t="str">
        <f t="shared" si="29"/>
        <v/>
      </c>
      <c r="AW483" s="2" t="str">
        <f t="shared" si="30"/>
        <v/>
      </c>
      <c r="AX483" s="2" t="str">
        <f t="shared" si="31"/>
        <v/>
      </c>
      <c r="AY483" s="2" t="str">
        <f>IF($AV483="","",IF(AND($Z483=0,COUNTIF('AR SALES'!$L$2:$L$2501,$L483)=0),"YES",""))</f>
        <v/>
      </c>
      <c r="AZ483" s="2" t="str">
        <f>IF($AV483="","",IF(COUNTIF(LISTS!$C$2:$C$250,$AU483)=0,"NEW",""))</f>
        <v/>
      </c>
      <c r="BA483" s="2" t="str">
        <f>IF(""&amp;$F483&lt;&gt;"4","",IF($AY483="YES","",IF(ROUND(SUMIFS($AE$2:$AE$4001,$L$2:$L$4001,$L483,$F$2:$F$4001,"4")-SUMIFS('AR SALES'!$Y$2:$Y$2501,'AR SALES'!$L$2:$L$2501,$L483,'AR SALES'!$AD$2:$AD$2501,"OFF"),2)=0,"","STALE")))</f>
        <v/>
      </c>
      <c r="BB483" s="2" t="str">
        <f>IF(OR(""&amp;$F483="2",""&amp;$F483="4",""&amp;$F483="G",""&amp;$F483="H"),IF($AY483="YES","",IF($AB483&lt;&gt;0,"",IF(COUNTIFS('AR SALES'!$L$2:$L$2501,$L483,'AR SALES'!$AD$2:$AD$2501,IF(""&amp;$F483="4","OFF","ON"),'AR SALES'!$AF$2:$AF$2501,"Y")&gt;0,"","NO EXEMPTION"))),"")</f>
        <v/>
      </c>
    </row>
    <row r="484" spans="46:54" x14ac:dyDescent="0.25">
      <c r="AT484" s="2" t="str">
        <f>IF($L484="","",IFERROR(INDEX('AR SALES'!$H$2:$H$2501,MATCH(""&amp;$L484,'AR SALES'!$AE$2:$AE$2501,0)),""))</f>
        <v/>
      </c>
      <c r="AU484" s="2" t="str">
        <f t="shared" si="28"/>
        <v/>
      </c>
      <c r="AV484" s="2" t="str">
        <f t="shared" si="29"/>
        <v/>
      </c>
      <c r="AW484" s="2" t="str">
        <f t="shared" si="30"/>
        <v/>
      </c>
      <c r="AX484" s="2" t="str">
        <f t="shared" si="31"/>
        <v/>
      </c>
      <c r="AY484" s="2" t="str">
        <f>IF($AV484="","",IF(AND($Z484=0,COUNTIF('AR SALES'!$L$2:$L$2501,$L484)=0),"YES",""))</f>
        <v/>
      </c>
      <c r="AZ484" s="2" t="str">
        <f>IF($AV484="","",IF(COUNTIF(LISTS!$C$2:$C$250,$AU484)=0,"NEW",""))</f>
        <v/>
      </c>
      <c r="BA484" s="2" t="str">
        <f>IF(""&amp;$F484&lt;&gt;"4","",IF($AY484="YES","",IF(ROUND(SUMIFS($AE$2:$AE$4001,$L$2:$L$4001,$L484,$F$2:$F$4001,"4")-SUMIFS('AR SALES'!$Y$2:$Y$2501,'AR SALES'!$L$2:$L$2501,$L484,'AR SALES'!$AD$2:$AD$2501,"OFF"),2)=0,"","STALE")))</f>
        <v/>
      </c>
      <c r="BB484" s="2" t="str">
        <f>IF(OR(""&amp;$F484="2",""&amp;$F484="4",""&amp;$F484="G",""&amp;$F484="H"),IF($AY484="YES","",IF($AB484&lt;&gt;0,"",IF(COUNTIFS('AR SALES'!$L$2:$L$2501,$L484,'AR SALES'!$AD$2:$AD$2501,IF(""&amp;$F484="4","OFF","ON"),'AR SALES'!$AF$2:$AF$2501,"Y")&gt;0,"","NO EXEMPTION"))),"")</f>
        <v/>
      </c>
    </row>
    <row r="485" spans="46:54" x14ac:dyDescent="0.25">
      <c r="AT485" s="2" t="str">
        <f>IF($L485="","",IFERROR(INDEX('AR SALES'!$H$2:$H$2501,MATCH(""&amp;$L485,'AR SALES'!$AE$2:$AE$2501,0)),""))</f>
        <v/>
      </c>
      <c r="AU485" s="2" t="str">
        <f t="shared" si="28"/>
        <v/>
      </c>
      <c r="AV485" s="2" t="str">
        <f t="shared" si="29"/>
        <v/>
      </c>
      <c r="AW485" s="2" t="str">
        <f t="shared" si="30"/>
        <v/>
      </c>
      <c r="AX485" s="2" t="str">
        <f t="shared" si="31"/>
        <v/>
      </c>
      <c r="AY485" s="2" t="str">
        <f>IF($AV485="","",IF(AND($Z485=0,COUNTIF('AR SALES'!$L$2:$L$2501,$L485)=0),"YES",""))</f>
        <v/>
      </c>
      <c r="AZ485" s="2" t="str">
        <f>IF($AV485="","",IF(COUNTIF(LISTS!$C$2:$C$250,$AU485)=0,"NEW",""))</f>
        <v/>
      </c>
      <c r="BA485" s="2" t="str">
        <f>IF(""&amp;$F485&lt;&gt;"4","",IF($AY485="YES","",IF(ROUND(SUMIFS($AE$2:$AE$4001,$L$2:$L$4001,$L485,$F$2:$F$4001,"4")-SUMIFS('AR SALES'!$Y$2:$Y$2501,'AR SALES'!$L$2:$L$2501,$L485,'AR SALES'!$AD$2:$AD$2501,"OFF"),2)=0,"","STALE")))</f>
        <v/>
      </c>
      <c r="BB485" s="2" t="str">
        <f>IF(OR(""&amp;$F485="2",""&amp;$F485="4",""&amp;$F485="G",""&amp;$F485="H"),IF($AY485="YES","",IF($AB485&lt;&gt;0,"",IF(COUNTIFS('AR SALES'!$L$2:$L$2501,$L485,'AR SALES'!$AD$2:$AD$2501,IF(""&amp;$F485="4","OFF","ON"),'AR SALES'!$AF$2:$AF$2501,"Y")&gt;0,"","NO EXEMPTION"))),"")</f>
        <v/>
      </c>
    </row>
    <row r="486" spans="46:54" x14ac:dyDescent="0.25">
      <c r="AT486" s="2" t="str">
        <f>IF($L486="","",IFERROR(INDEX('AR SALES'!$H$2:$H$2501,MATCH(""&amp;$L486,'AR SALES'!$AE$2:$AE$2501,0)),""))</f>
        <v/>
      </c>
      <c r="AU486" s="2" t="str">
        <f t="shared" si="28"/>
        <v/>
      </c>
      <c r="AV486" s="2" t="str">
        <f t="shared" si="29"/>
        <v/>
      </c>
      <c r="AW486" s="2" t="str">
        <f t="shared" si="30"/>
        <v/>
      </c>
      <c r="AX486" s="2" t="str">
        <f t="shared" si="31"/>
        <v/>
      </c>
      <c r="AY486" s="2" t="str">
        <f>IF($AV486="","",IF(AND($Z486=0,COUNTIF('AR SALES'!$L$2:$L$2501,$L486)=0),"YES",""))</f>
        <v/>
      </c>
      <c r="AZ486" s="2" t="str">
        <f>IF($AV486="","",IF(COUNTIF(LISTS!$C$2:$C$250,$AU486)=0,"NEW",""))</f>
        <v/>
      </c>
      <c r="BA486" s="2" t="str">
        <f>IF(""&amp;$F486&lt;&gt;"4","",IF($AY486="YES","",IF(ROUND(SUMIFS($AE$2:$AE$4001,$L$2:$L$4001,$L486,$F$2:$F$4001,"4")-SUMIFS('AR SALES'!$Y$2:$Y$2501,'AR SALES'!$L$2:$L$2501,$L486,'AR SALES'!$AD$2:$AD$2501,"OFF"),2)=0,"","STALE")))</f>
        <v/>
      </c>
      <c r="BB486" s="2" t="str">
        <f>IF(OR(""&amp;$F486="2",""&amp;$F486="4",""&amp;$F486="G",""&amp;$F486="H"),IF($AY486="YES","",IF($AB486&lt;&gt;0,"",IF(COUNTIFS('AR SALES'!$L$2:$L$2501,$L486,'AR SALES'!$AD$2:$AD$2501,IF(""&amp;$F486="4","OFF","ON"),'AR SALES'!$AF$2:$AF$2501,"Y")&gt;0,"","NO EXEMPTION"))),"")</f>
        <v/>
      </c>
    </row>
    <row r="487" spans="46:54" x14ac:dyDescent="0.25">
      <c r="AT487" s="2" t="str">
        <f>IF($L487="","",IFERROR(INDEX('AR SALES'!$H$2:$H$2501,MATCH(""&amp;$L487,'AR SALES'!$AE$2:$AE$2501,0)),""))</f>
        <v/>
      </c>
      <c r="AU487" s="2" t="str">
        <f t="shared" si="28"/>
        <v/>
      </c>
      <c r="AV487" s="2" t="str">
        <f t="shared" si="29"/>
        <v/>
      </c>
      <c r="AW487" s="2" t="str">
        <f t="shared" si="30"/>
        <v/>
      </c>
      <c r="AX487" s="2" t="str">
        <f t="shared" si="31"/>
        <v/>
      </c>
      <c r="AY487" s="2" t="str">
        <f>IF($AV487="","",IF(AND($Z487=0,COUNTIF('AR SALES'!$L$2:$L$2501,$L487)=0),"YES",""))</f>
        <v/>
      </c>
      <c r="AZ487" s="2" t="str">
        <f>IF($AV487="","",IF(COUNTIF(LISTS!$C$2:$C$250,$AU487)=0,"NEW",""))</f>
        <v/>
      </c>
      <c r="BA487" s="2" t="str">
        <f>IF(""&amp;$F487&lt;&gt;"4","",IF($AY487="YES","",IF(ROUND(SUMIFS($AE$2:$AE$4001,$L$2:$L$4001,$L487,$F$2:$F$4001,"4")-SUMIFS('AR SALES'!$Y$2:$Y$2501,'AR SALES'!$L$2:$L$2501,$L487,'AR SALES'!$AD$2:$AD$2501,"OFF"),2)=0,"","STALE")))</f>
        <v/>
      </c>
      <c r="BB487" s="2" t="str">
        <f>IF(OR(""&amp;$F487="2",""&amp;$F487="4",""&amp;$F487="G",""&amp;$F487="H"),IF($AY487="YES","",IF($AB487&lt;&gt;0,"",IF(COUNTIFS('AR SALES'!$L$2:$L$2501,$L487,'AR SALES'!$AD$2:$AD$2501,IF(""&amp;$F487="4","OFF","ON"),'AR SALES'!$AF$2:$AF$2501,"Y")&gt;0,"","NO EXEMPTION"))),"")</f>
        <v/>
      </c>
    </row>
    <row r="488" spans="46:54" x14ac:dyDescent="0.25">
      <c r="AT488" s="2" t="str">
        <f>IF($L488="","",IFERROR(INDEX('AR SALES'!$H$2:$H$2501,MATCH(""&amp;$L488,'AR SALES'!$AE$2:$AE$2501,0)),""))</f>
        <v/>
      </c>
      <c r="AU488" s="2" t="str">
        <f t="shared" si="28"/>
        <v/>
      </c>
      <c r="AV488" s="2" t="str">
        <f t="shared" si="29"/>
        <v/>
      </c>
      <c r="AW488" s="2" t="str">
        <f t="shared" si="30"/>
        <v/>
      </c>
      <c r="AX488" s="2" t="str">
        <f t="shared" si="31"/>
        <v/>
      </c>
      <c r="AY488" s="2" t="str">
        <f>IF($AV488="","",IF(AND($Z488=0,COUNTIF('AR SALES'!$L$2:$L$2501,$L488)=0),"YES",""))</f>
        <v/>
      </c>
      <c r="AZ488" s="2" t="str">
        <f>IF($AV488="","",IF(COUNTIF(LISTS!$C$2:$C$250,$AU488)=0,"NEW",""))</f>
        <v/>
      </c>
      <c r="BA488" s="2" t="str">
        <f>IF(""&amp;$F488&lt;&gt;"4","",IF($AY488="YES","",IF(ROUND(SUMIFS($AE$2:$AE$4001,$L$2:$L$4001,$L488,$F$2:$F$4001,"4")-SUMIFS('AR SALES'!$Y$2:$Y$2501,'AR SALES'!$L$2:$L$2501,$L488,'AR SALES'!$AD$2:$AD$2501,"OFF"),2)=0,"","STALE")))</f>
        <v/>
      </c>
      <c r="BB488" s="2" t="str">
        <f>IF(OR(""&amp;$F488="2",""&amp;$F488="4",""&amp;$F488="G",""&amp;$F488="H"),IF($AY488="YES","",IF($AB488&lt;&gt;0,"",IF(COUNTIFS('AR SALES'!$L$2:$L$2501,$L488,'AR SALES'!$AD$2:$AD$2501,IF(""&amp;$F488="4","OFF","ON"),'AR SALES'!$AF$2:$AF$2501,"Y")&gt;0,"","NO EXEMPTION"))),"")</f>
        <v/>
      </c>
    </row>
    <row r="489" spans="46:54" x14ac:dyDescent="0.25">
      <c r="AT489" s="2" t="str">
        <f>IF($L489="","",IFERROR(INDEX('AR SALES'!$H$2:$H$2501,MATCH(""&amp;$L489,'AR SALES'!$AE$2:$AE$2501,0)),""))</f>
        <v/>
      </c>
      <c r="AU489" s="2" t="str">
        <f t="shared" si="28"/>
        <v/>
      </c>
      <c r="AV489" s="2" t="str">
        <f t="shared" si="29"/>
        <v/>
      </c>
      <c r="AW489" s="2" t="str">
        <f t="shared" si="30"/>
        <v/>
      </c>
      <c r="AX489" s="2" t="str">
        <f t="shared" si="31"/>
        <v/>
      </c>
      <c r="AY489" s="2" t="str">
        <f>IF($AV489="","",IF(AND($Z489=0,COUNTIF('AR SALES'!$L$2:$L$2501,$L489)=0),"YES",""))</f>
        <v/>
      </c>
      <c r="AZ489" s="2" t="str">
        <f>IF($AV489="","",IF(COUNTIF(LISTS!$C$2:$C$250,$AU489)=0,"NEW",""))</f>
        <v/>
      </c>
      <c r="BA489" s="2" t="str">
        <f>IF(""&amp;$F489&lt;&gt;"4","",IF($AY489="YES","",IF(ROUND(SUMIFS($AE$2:$AE$4001,$L$2:$L$4001,$L489,$F$2:$F$4001,"4")-SUMIFS('AR SALES'!$Y$2:$Y$2501,'AR SALES'!$L$2:$L$2501,$L489,'AR SALES'!$AD$2:$AD$2501,"OFF"),2)=0,"","STALE")))</f>
        <v/>
      </c>
      <c r="BB489" s="2" t="str">
        <f>IF(OR(""&amp;$F489="2",""&amp;$F489="4",""&amp;$F489="G",""&amp;$F489="H"),IF($AY489="YES","",IF($AB489&lt;&gt;0,"",IF(COUNTIFS('AR SALES'!$L$2:$L$2501,$L489,'AR SALES'!$AD$2:$AD$2501,IF(""&amp;$F489="4","OFF","ON"),'AR SALES'!$AF$2:$AF$2501,"Y")&gt;0,"","NO EXEMPTION"))),"")</f>
        <v/>
      </c>
    </row>
    <row r="490" spans="46:54" x14ac:dyDescent="0.25">
      <c r="AT490" s="2" t="str">
        <f>IF($L490="","",IFERROR(INDEX('AR SALES'!$H$2:$H$2501,MATCH(""&amp;$L490,'AR SALES'!$AE$2:$AE$2501,0)),""))</f>
        <v/>
      </c>
      <c r="AU490" s="2" t="str">
        <f t="shared" si="28"/>
        <v/>
      </c>
      <c r="AV490" s="2" t="str">
        <f t="shared" si="29"/>
        <v/>
      </c>
      <c r="AW490" s="2" t="str">
        <f t="shared" si="30"/>
        <v/>
      </c>
      <c r="AX490" s="2" t="str">
        <f t="shared" si="31"/>
        <v/>
      </c>
      <c r="AY490" s="2" t="str">
        <f>IF($AV490="","",IF(AND($Z490=0,COUNTIF('AR SALES'!$L$2:$L$2501,$L490)=0),"YES",""))</f>
        <v/>
      </c>
      <c r="AZ490" s="2" t="str">
        <f>IF($AV490="","",IF(COUNTIF(LISTS!$C$2:$C$250,$AU490)=0,"NEW",""))</f>
        <v/>
      </c>
      <c r="BA490" s="2" t="str">
        <f>IF(""&amp;$F490&lt;&gt;"4","",IF($AY490="YES","",IF(ROUND(SUMIFS($AE$2:$AE$4001,$L$2:$L$4001,$L490,$F$2:$F$4001,"4")-SUMIFS('AR SALES'!$Y$2:$Y$2501,'AR SALES'!$L$2:$L$2501,$L490,'AR SALES'!$AD$2:$AD$2501,"OFF"),2)=0,"","STALE")))</f>
        <v/>
      </c>
      <c r="BB490" s="2" t="str">
        <f>IF(OR(""&amp;$F490="2",""&amp;$F490="4",""&amp;$F490="G",""&amp;$F490="H"),IF($AY490="YES","",IF($AB490&lt;&gt;0,"",IF(COUNTIFS('AR SALES'!$L$2:$L$2501,$L490,'AR SALES'!$AD$2:$AD$2501,IF(""&amp;$F490="4","OFF","ON"),'AR SALES'!$AF$2:$AF$2501,"Y")&gt;0,"","NO EXEMPTION"))),"")</f>
        <v/>
      </c>
    </row>
    <row r="491" spans="46:54" x14ac:dyDescent="0.25">
      <c r="AT491" s="2" t="str">
        <f>IF($L491="","",IFERROR(INDEX('AR SALES'!$H$2:$H$2501,MATCH(""&amp;$L491,'AR SALES'!$AE$2:$AE$2501,0)),""))</f>
        <v/>
      </c>
      <c r="AU491" s="2" t="str">
        <f t="shared" si="28"/>
        <v/>
      </c>
      <c r="AV491" s="2" t="str">
        <f t="shared" si="29"/>
        <v/>
      </c>
      <c r="AW491" s="2" t="str">
        <f t="shared" si="30"/>
        <v/>
      </c>
      <c r="AX491" s="2" t="str">
        <f t="shared" si="31"/>
        <v/>
      </c>
      <c r="AY491" s="2" t="str">
        <f>IF($AV491="","",IF(AND($Z491=0,COUNTIF('AR SALES'!$L$2:$L$2501,$L491)=0),"YES",""))</f>
        <v/>
      </c>
      <c r="AZ491" s="2" t="str">
        <f>IF($AV491="","",IF(COUNTIF(LISTS!$C$2:$C$250,$AU491)=0,"NEW",""))</f>
        <v/>
      </c>
      <c r="BA491" s="2" t="str">
        <f>IF(""&amp;$F491&lt;&gt;"4","",IF($AY491="YES","",IF(ROUND(SUMIFS($AE$2:$AE$4001,$L$2:$L$4001,$L491,$F$2:$F$4001,"4")-SUMIFS('AR SALES'!$Y$2:$Y$2501,'AR SALES'!$L$2:$L$2501,$L491,'AR SALES'!$AD$2:$AD$2501,"OFF"),2)=0,"","STALE")))</f>
        <v/>
      </c>
      <c r="BB491" s="2" t="str">
        <f>IF(OR(""&amp;$F491="2",""&amp;$F491="4",""&amp;$F491="G",""&amp;$F491="H"),IF($AY491="YES","",IF($AB491&lt;&gt;0,"",IF(COUNTIFS('AR SALES'!$L$2:$L$2501,$L491,'AR SALES'!$AD$2:$AD$2501,IF(""&amp;$F491="4","OFF","ON"),'AR SALES'!$AF$2:$AF$2501,"Y")&gt;0,"","NO EXEMPTION"))),"")</f>
        <v/>
      </c>
    </row>
    <row r="492" spans="46:54" x14ac:dyDescent="0.25">
      <c r="AT492" s="2" t="str">
        <f>IF($L492="","",IFERROR(INDEX('AR SALES'!$H$2:$H$2501,MATCH(""&amp;$L492,'AR SALES'!$AE$2:$AE$2501,0)),""))</f>
        <v/>
      </c>
      <c r="AU492" s="2" t="str">
        <f t="shared" si="28"/>
        <v/>
      </c>
      <c r="AV492" s="2" t="str">
        <f t="shared" si="29"/>
        <v/>
      </c>
      <c r="AW492" s="2" t="str">
        <f t="shared" si="30"/>
        <v/>
      </c>
      <c r="AX492" s="2" t="str">
        <f t="shared" si="31"/>
        <v/>
      </c>
      <c r="AY492" s="2" t="str">
        <f>IF($AV492="","",IF(AND($Z492=0,COUNTIF('AR SALES'!$L$2:$L$2501,$L492)=0),"YES",""))</f>
        <v/>
      </c>
      <c r="AZ492" s="2" t="str">
        <f>IF($AV492="","",IF(COUNTIF(LISTS!$C$2:$C$250,$AU492)=0,"NEW",""))</f>
        <v/>
      </c>
      <c r="BA492" s="2" t="str">
        <f>IF(""&amp;$F492&lt;&gt;"4","",IF($AY492="YES","",IF(ROUND(SUMIFS($AE$2:$AE$4001,$L$2:$L$4001,$L492,$F$2:$F$4001,"4")-SUMIFS('AR SALES'!$Y$2:$Y$2501,'AR SALES'!$L$2:$L$2501,$L492,'AR SALES'!$AD$2:$AD$2501,"OFF"),2)=0,"","STALE")))</f>
        <v/>
      </c>
      <c r="BB492" s="2" t="str">
        <f>IF(OR(""&amp;$F492="2",""&amp;$F492="4",""&amp;$F492="G",""&amp;$F492="H"),IF($AY492="YES","",IF($AB492&lt;&gt;0,"",IF(COUNTIFS('AR SALES'!$L$2:$L$2501,$L492,'AR SALES'!$AD$2:$AD$2501,IF(""&amp;$F492="4","OFF","ON"),'AR SALES'!$AF$2:$AF$2501,"Y")&gt;0,"","NO EXEMPTION"))),"")</f>
        <v/>
      </c>
    </row>
    <row r="493" spans="46:54" x14ac:dyDescent="0.25">
      <c r="AT493" s="2" t="str">
        <f>IF($L493="","",IFERROR(INDEX('AR SALES'!$H$2:$H$2501,MATCH(""&amp;$L493,'AR SALES'!$AE$2:$AE$2501,0)),""))</f>
        <v/>
      </c>
      <c r="AU493" s="2" t="str">
        <f t="shared" si="28"/>
        <v/>
      </c>
      <c r="AV493" s="2" t="str">
        <f t="shared" si="29"/>
        <v/>
      </c>
      <c r="AW493" s="2" t="str">
        <f t="shared" si="30"/>
        <v/>
      </c>
      <c r="AX493" s="2" t="str">
        <f t="shared" si="31"/>
        <v/>
      </c>
      <c r="AY493" s="2" t="str">
        <f>IF($AV493="","",IF(AND($Z493=0,COUNTIF('AR SALES'!$L$2:$L$2501,$L493)=0),"YES",""))</f>
        <v/>
      </c>
      <c r="AZ493" s="2" t="str">
        <f>IF($AV493="","",IF(COUNTIF(LISTS!$C$2:$C$250,$AU493)=0,"NEW",""))</f>
        <v/>
      </c>
      <c r="BA493" s="2" t="str">
        <f>IF(""&amp;$F493&lt;&gt;"4","",IF($AY493="YES","",IF(ROUND(SUMIFS($AE$2:$AE$4001,$L$2:$L$4001,$L493,$F$2:$F$4001,"4")-SUMIFS('AR SALES'!$Y$2:$Y$2501,'AR SALES'!$L$2:$L$2501,$L493,'AR SALES'!$AD$2:$AD$2501,"OFF"),2)=0,"","STALE")))</f>
        <v/>
      </c>
      <c r="BB493" s="2" t="str">
        <f>IF(OR(""&amp;$F493="2",""&amp;$F493="4",""&amp;$F493="G",""&amp;$F493="H"),IF($AY493="YES","",IF($AB493&lt;&gt;0,"",IF(COUNTIFS('AR SALES'!$L$2:$L$2501,$L493,'AR SALES'!$AD$2:$AD$2501,IF(""&amp;$F493="4","OFF","ON"),'AR SALES'!$AF$2:$AF$2501,"Y")&gt;0,"","NO EXEMPTION"))),"")</f>
        <v/>
      </c>
    </row>
    <row r="494" spans="46:54" x14ac:dyDescent="0.25">
      <c r="AT494" s="2" t="str">
        <f>IF($L494="","",IFERROR(INDEX('AR SALES'!$H$2:$H$2501,MATCH(""&amp;$L494,'AR SALES'!$AE$2:$AE$2501,0)),""))</f>
        <v/>
      </c>
      <c r="AU494" s="2" t="str">
        <f t="shared" si="28"/>
        <v/>
      </c>
      <c r="AV494" s="2" t="str">
        <f t="shared" si="29"/>
        <v/>
      </c>
      <c r="AW494" s="2" t="str">
        <f t="shared" si="30"/>
        <v/>
      </c>
      <c r="AX494" s="2" t="str">
        <f t="shared" si="31"/>
        <v/>
      </c>
      <c r="AY494" s="2" t="str">
        <f>IF($AV494="","",IF(AND($Z494=0,COUNTIF('AR SALES'!$L$2:$L$2501,$L494)=0),"YES",""))</f>
        <v/>
      </c>
      <c r="AZ494" s="2" t="str">
        <f>IF($AV494="","",IF(COUNTIF(LISTS!$C$2:$C$250,$AU494)=0,"NEW",""))</f>
        <v/>
      </c>
      <c r="BA494" s="2" t="str">
        <f>IF(""&amp;$F494&lt;&gt;"4","",IF($AY494="YES","",IF(ROUND(SUMIFS($AE$2:$AE$4001,$L$2:$L$4001,$L494,$F$2:$F$4001,"4")-SUMIFS('AR SALES'!$Y$2:$Y$2501,'AR SALES'!$L$2:$L$2501,$L494,'AR SALES'!$AD$2:$AD$2501,"OFF"),2)=0,"","STALE")))</f>
        <v/>
      </c>
      <c r="BB494" s="2" t="str">
        <f>IF(OR(""&amp;$F494="2",""&amp;$F494="4",""&amp;$F494="G",""&amp;$F494="H"),IF($AY494="YES","",IF($AB494&lt;&gt;0,"",IF(COUNTIFS('AR SALES'!$L$2:$L$2501,$L494,'AR SALES'!$AD$2:$AD$2501,IF(""&amp;$F494="4","OFF","ON"),'AR SALES'!$AF$2:$AF$2501,"Y")&gt;0,"","NO EXEMPTION"))),"")</f>
        <v/>
      </c>
    </row>
    <row r="495" spans="46:54" x14ac:dyDescent="0.25">
      <c r="AT495" s="2" t="str">
        <f>IF($L495="","",IFERROR(INDEX('AR SALES'!$H$2:$H$2501,MATCH(""&amp;$L495,'AR SALES'!$AE$2:$AE$2501,0)),""))</f>
        <v/>
      </c>
      <c r="AU495" s="2" t="str">
        <f t="shared" si="28"/>
        <v/>
      </c>
      <c r="AV495" s="2" t="str">
        <f t="shared" si="29"/>
        <v/>
      </c>
      <c r="AW495" s="2" t="str">
        <f t="shared" si="30"/>
        <v/>
      </c>
      <c r="AX495" s="2" t="str">
        <f t="shared" si="31"/>
        <v/>
      </c>
      <c r="AY495" s="2" t="str">
        <f>IF($AV495="","",IF(AND($Z495=0,COUNTIF('AR SALES'!$L$2:$L$2501,$L495)=0),"YES",""))</f>
        <v/>
      </c>
      <c r="AZ495" s="2" t="str">
        <f>IF($AV495="","",IF(COUNTIF(LISTS!$C$2:$C$250,$AU495)=0,"NEW",""))</f>
        <v/>
      </c>
      <c r="BA495" s="2" t="str">
        <f>IF(""&amp;$F495&lt;&gt;"4","",IF($AY495="YES","",IF(ROUND(SUMIFS($AE$2:$AE$4001,$L$2:$L$4001,$L495,$F$2:$F$4001,"4")-SUMIFS('AR SALES'!$Y$2:$Y$2501,'AR SALES'!$L$2:$L$2501,$L495,'AR SALES'!$AD$2:$AD$2501,"OFF"),2)=0,"","STALE")))</f>
        <v/>
      </c>
      <c r="BB495" s="2" t="str">
        <f>IF(OR(""&amp;$F495="2",""&amp;$F495="4",""&amp;$F495="G",""&amp;$F495="H"),IF($AY495="YES","",IF($AB495&lt;&gt;0,"",IF(COUNTIFS('AR SALES'!$L$2:$L$2501,$L495,'AR SALES'!$AD$2:$AD$2501,IF(""&amp;$F495="4","OFF","ON"),'AR SALES'!$AF$2:$AF$2501,"Y")&gt;0,"","NO EXEMPTION"))),"")</f>
        <v/>
      </c>
    </row>
    <row r="496" spans="46:54" x14ac:dyDescent="0.25">
      <c r="AT496" s="2" t="str">
        <f>IF($L496="","",IFERROR(INDEX('AR SALES'!$H$2:$H$2501,MATCH(""&amp;$L496,'AR SALES'!$AE$2:$AE$2501,0)),""))</f>
        <v/>
      </c>
      <c r="AU496" s="2" t="str">
        <f t="shared" si="28"/>
        <v/>
      </c>
      <c r="AV496" s="2" t="str">
        <f t="shared" si="29"/>
        <v/>
      </c>
      <c r="AW496" s="2" t="str">
        <f t="shared" si="30"/>
        <v/>
      </c>
      <c r="AX496" s="2" t="str">
        <f t="shared" si="31"/>
        <v/>
      </c>
      <c r="AY496" s="2" t="str">
        <f>IF($AV496="","",IF(AND($Z496=0,COUNTIF('AR SALES'!$L$2:$L$2501,$L496)=0),"YES",""))</f>
        <v/>
      </c>
      <c r="AZ496" s="2" t="str">
        <f>IF($AV496="","",IF(COUNTIF(LISTS!$C$2:$C$250,$AU496)=0,"NEW",""))</f>
        <v/>
      </c>
      <c r="BA496" s="2" t="str">
        <f>IF(""&amp;$F496&lt;&gt;"4","",IF($AY496="YES","",IF(ROUND(SUMIFS($AE$2:$AE$4001,$L$2:$L$4001,$L496,$F$2:$F$4001,"4")-SUMIFS('AR SALES'!$Y$2:$Y$2501,'AR SALES'!$L$2:$L$2501,$L496,'AR SALES'!$AD$2:$AD$2501,"OFF"),2)=0,"","STALE")))</f>
        <v/>
      </c>
      <c r="BB496" s="2" t="str">
        <f>IF(OR(""&amp;$F496="2",""&amp;$F496="4",""&amp;$F496="G",""&amp;$F496="H"),IF($AY496="YES","",IF($AB496&lt;&gt;0,"",IF(COUNTIFS('AR SALES'!$L$2:$L$2501,$L496,'AR SALES'!$AD$2:$AD$2501,IF(""&amp;$F496="4","OFF","ON"),'AR SALES'!$AF$2:$AF$2501,"Y")&gt;0,"","NO EXEMPTION"))),"")</f>
        <v/>
      </c>
    </row>
    <row r="497" spans="46:54" x14ac:dyDescent="0.25">
      <c r="AT497" s="2" t="str">
        <f>IF($L497="","",IFERROR(INDEX('AR SALES'!$H$2:$H$2501,MATCH(""&amp;$L497,'AR SALES'!$AE$2:$AE$2501,0)),""))</f>
        <v/>
      </c>
      <c r="AU497" s="2" t="str">
        <f t="shared" si="28"/>
        <v/>
      </c>
      <c r="AV497" s="2" t="str">
        <f t="shared" si="29"/>
        <v/>
      </c>
      <c r="AW497" s="2" t="str">
        <f t="shared" si="30"/>
        <v/>
      </c>
      <c r="AX497" s="2" t="str">
        <f t="shared" si="31"/>
        <v/>
      </c>
      <c r="AY497" s="2" t="str">
        <f>IF($AV497="","",IF(AND($Z497=0,COUNTIF('AR SALES'!$L$2:$L$2501,$L497)=0),"YES",""))</f>
        <v/>
      </c>
      <c r="AZ497" s="2" t="str">
        <f>IF($AV497="","",IF(COUNTIF(LISTS!$C$2:$C$250,$AU497)=0,"NEW",""))</f>
        <v/>
      </c>
      <c r="BA497" s="2" t="str">
        <f>IF(""&amp;$F497&lt;&gt;"4","",IF($AY497="YES","",IF(ROUND(SUMIFS($AE$2:$AE$4001,$L$2:$L$4001,$L497,$F$2:$F$4001,"4")-SUMIFS('AR SALES'!$Y$2:$Y$2501,'AR SALES'!$L$2:$L$2501,$L497,'AR SALES'!$AD$2:$AD$2501,"OFF"),2)=0,"","STALE")))</f>
        <v/>
      </c>
      <c r="BB497" s="2" t="str">
        <f>IF(OR(""&amp;$F497="2",""&amp;$F497="4",""&amp;$F497="G",""&amp;$F497="H"),IF($AY497="YES","",IF($AB497&lt;&gt;0,"",IF(COUNTIFS('AR SALES'!$L$2:$L$2501,$L497,'AR SALES'!$AD$2:$AD$2501,IF(""&amp;$F497="4","OFF","ON"),'AR SALES'!$AF$2:$AF$2501,"Y")&gt;0,"","NO EXEMPTION"))),"")</f>
        <v/>
      </c>
    </row>
    <row r="498" spans="46:54" x14ac:dyDescent="0.25">
      <c r="AT498" s="2" t="str">
        <f>IF($L498="","",IFERROR(INDEX('AR SALES'!$H$2:$H$2501,MATCH(""&amp;$L498,'AR SALES'!$AE$2:$AE$2501,0)),""))</f>
        <v/>
      </c>
      <c r="AU498" s="2" t="str">
        <f t="shared" si="28"/>
        <v/>
      </c>
      <c r="AV498" s="2" t="str">
        <f t="shared" si="29"/>
        <v/>
      </c>
      <c r="AW498" s="2" t="str">
        <f t="shared" si="30"/>
        <v/>
      </c>
      <c r="AX498" s="2" t="str">
        <f t="shared" si="31"/>
        <v/>
      </c>
      <c r="AY498" s="2" t="str">
        <f>IF($AV498="","",IF(AND($Z498=0,COUNTIF('AR SALES'!$L$2:$L$2501,$L498)=0),"YES",""))</f>
        <v/>
      </c>
      <c r="AZ498" s="2" t="str">
        <f>IF($AV498="","",IF(COUNTIF(LISTS!$C$2:$C$250,$AU498)=0,"NEW",""))</f>
        <v/>
      </c>
      <c r="BA498" s="2" t="str">
        <f>IF(""&amp;$F498&lt;&gt;"4","",IF($AY498="YES","",IF(ROUND(SUMIFS($AE$2:$AE$4001,$L$2:$L$4001,$L498,$F$2:$F$4001,"4")-SUMIFS('AR SALES'!$Y$2:$Y$2501,'AR SALES'!$L$2:$L$2501,$L498,'AR SALES'!$AD$2:$AD$2501,"OFF"),2)=0,"","STALE")))</f>
        <v/>
      </c>
      <c r="BB498" s="2" t="str">
        <f>IF(OR(""&amp;$F498="2",""&amp;$F498="4",""&amp;$F498="G",""&amp;$F498="H"),IF($AY498="YES","",IF($AB498&lt;&gt;0,"",IF(COUNTIFS('AR SALES'!$L$2:$L$2501,$L498,'AR SALES'!$AD$2:$AD$2501,IF(""&amp;$F498="4","OFF","ON"),'AR SALES'!$AF$2:$AF$2501,"Y")&gt;0,"","NO EXEMPTION"))),"")</f>
        <v/>
      </c>
    </row>
    <row r="499" spans="46:54" x14ac:dyDescent="0.25">
      <c r="AT499" s="2" t="str">
        <f>IF($L499="","",IFERROR(INDEX('AR SALES'!$H$2:$H$2501,MATCH(""&amp;$L499,'AR SALES'!$AE$2:$AE$2501,0)),""))</f>
        <v/>
      </c>
      <c r="AU499" s="2" t="str">
        <f t="shared" si="28"/>
        <v/>
      </c>
      <c r="AV499" s="2" t="str">
        <f t="shared" si="29"/>
        <v/>
      </c>
      <c r="AW499" s="2" t="str">
        <f t="shared" si="30"/>
        <v/>
      </c>
      <c r="AX499" s="2" t="str">
        <f t="shared" si="31"/>
        <v/>
      </c>
      <c r="AY499" s="2" t="str">
        <f>IF($AV499="","",IF(AND($Z499=0,COUNTIF('AR SALES'!$L$2:$L$2501,$L499)=0),"YES",""))</f>
        <v/>
      </c>
      <c r="AZ499" s="2" t="str">
        <f>IF($AV499="","",IF(COUNTIF(LISTS!$C$2:$C$250,$AU499)=0,"NEW",""))</f>
        <v/>
      </c>
      <c r="BA499" s="2" t="str">
        <f>IF(""&amp;$F499&lt;&gt;"4","",IF($AY499="YES","",IF(ROUND(SUMIFS($AE$2:$AE$4001,$L$2:$L$4001,$L499,$F$2:$F$4001,"4")-SUMIFS('AR SALES'!$Y$2:$Y$2501,'AR SALES'!$L$2:$L$2501,$L499,'AR SALES'!$AD$2:$AD$2501,"OFF"),2)=0,"","STALE")))</f>
        <v/>
      </c>
      <c r="BB499" s="2" t="str">
        <f>IF(OR(""&amp;$F499="2",""&amp;$F499="4",""&amp;$F499="G",""&amp;$F499="H"),IF($AY499="YES","",IF($AB499&lt;&gt;0,"",IF(COUNTIFS('AR SALES'!$L$2:$L$2501,$L499,'AR SALES'!$AD$2:$AD$2501,IF(""&amp;$F499="4","OFF","ON"),'AR SALES'!$AF$2:$AF$2501,"Y")&gt;0,"","NO EXEMPTION"))),"")</f>
        <v/>
      </c>
    </row>
    <row r="500" spans="46:54" x14ac:dyDescent="0.25">
      <c r="AT500" s="2" t="str">
        <f>IF($L500="","",IFERROR(INDEX('AR SALES'!$H$2:$H$2501,MATCH(""&amp;$L500,'AR SALES'!$AE$2:$AE$2501,0)),""))</f>
        <v/>
      </c>
      <c r="AU500" s="2" t="str">
        <f t="shared" si="28"/>
        <v/>
      </c>
      <c r="AV500" s="2" t="str">
        <f t="shared" si="29"/>
        <v/>
      </c>
      <c r="AW500" s="2" t="str">
        <f t="shared" si="30"/>
        <v/>
      </c>
      <c r="AX500" s="2" t="str">
        <f t="shared" si="31"/>
        <v/>
      </c>
      <c r="AY500" s="2" t="str">
        <f>IF($AV500="","",IF(AND($Z500=0,COUNTIF('AR SALES'!$L$2:$L$2501,$L500)=0),"YES",""))</f>
        <v/>
      </c>
      <c r="AZ500" s="2" t="str">
        <f>IF($AV500="","",IF(COUNTIF(LISTS!$C$2:$C$250,$AU500)=0,"NEW",""))</f>
        <v/>
      </c>
      <c r="BA500" s="2" t="str">
        <f>IF(""&amp;$F500&lt;&gt;"4","",IF($AY500="YES","",IF(ROUND(SUMIFS($AE$2:$AE$4001,$L$2:$L$4001,$L500,$F$2:$F$4001,"4")-SUMIFS('AR SALES'!$Y$2:$Y$2501,'AR SALES'!$L$2:$L$2501,$L500,'AR SALES'!$AD$2:$AD$2501,"OFF"),2)=0,"","STALE")))</f>
        <v/>
      </c>
      <c r="BB500" s="2" t="str">
        <f>IF(OR(""&amp;$F500="2",""&amp;$F500="4",""&amp;$F500="G",""&amp;$F500="H"),IF($AY500="YES","",IF($AB500&lt;&gt;0,"",IF(COUNTIFS('AR SALES'!$L$2:$L$2501,$L500,'AR SALES'!$AD$2:$AD$2501,IF(""&amp;$F500="4","OFF","ON"),'AR SALES'!$AF$2:$AF$2501,"Y")&gt;0,"","NO EXEMPTION"))),"")</f>
        <v/>
      </c>
    </row>
    <row r="501" spans="46:54" x14ac:dyDescent="0.25">
      <c r="AT501" s="2" t="str">
        <f>IF($L501="","",IFERROR(INDEX('AR SALES'!$H$2:$H$2501,MATCH(""&amp;$L501,'AR SALES'!$AE$2:$AE$2501,0)),""))</f>
        <v/>
      </c>
      <c r="AU501" s="2" t="str">
        <f t="shared" si="28"/>
        <v/>
      </c>
      <c r="AV501" s="2" t="str">
        <f t="shared" si="29"/>
        <v/>
      </c>
      <c r="AW501" s="2" t="str">
        <f t="shared" si="30"/>
        <v/>
      </c>
      <c r="AX501" s="2" t="str">
        <f t="shared" si="31"/>
        <v/>
      </c>
      <c r="AY501" s="2" t="str">
        <f>IF($AV501="","",IF(AND($Z501=0,COUNTIF('AR SALES'!$L$2:$L$2501,$L501)=0),"YES",""))</f>
        <v/>
      </c>
      <c r="AZ501" s="2" t="str">
        <f>IF($AV501="","",IF(COUNTIF(LISTS!$C$2:$C$250,$AU501)=0,"NEW",""))</f>
        <v/>
      </c>
      <c r="BA501" s="2" t="str">
        <f>IF(""&amp;$F501&lt;&gt;"4","",IF($AY501="YES","",IF(ROUND(SUMIFS($AE$2:$AE$4001,$L$2:$L$4001,$L501,$F$2:$F$4001,"4")-SUMIFS('AR SALES'!$Y$2:$Y$2501,'AR SALES'!$L$2:$L$2501,$L501,'AR SALES'!$AD$2:$AD$2501,"OFF"),2)=0,"","STALE")))</f>
        <v/>
      </c>
      <c r="BB501" s="2" t="str">
        <f>IF(OR(""&amp;$F501="2",""&amp;$F501="4",""&amp;$F501="G",""&amp;$F501="H"),IF($AY501="YES","",IF($AB501&lt;&gt;0,"",IF(COUNTIFS('AR SALES'!$L$2:$L$2501,$L501,'AR SALES'!$AD$2:$AD$2501,IF(""&amp;$F501="4","OFF","ON"),'AR SALES'!$AF$2:$AF$2501,"Y")&gt;0,"","NO EXEMPTION"))),"")</f>
        <v/>
      </c>
    </row>
    <row r="502" spans="46:54" x14ac:dyDescent="0.25">
      <c r="AT502" s="2" t="str">
        <f>IF($L502="","",IFERROR(INDEX('AR SALES'!$H$2:$H$2501,MATCH(""&amp;$L502,'AR SALES'!$AE$2:$AE$2501,0)),""))</f>
        <v/>
      </c>
      <c r="AU502" s="2" t="str">
        <f t="shared" si="28"/>
        <v/>
      </c>
      <c r="AV502" s="2" t="str">
        <f t="shared" si="29"/>
        <v/>
      </c>
      <c r="AW502" s="2" t="str">
        <f t="shared" si="30"/>
        <v/>
      </c>
      <c r="AX502" s="2" t="str">
        <f t="shared" si="31"/>
        <v/>
      </c>
      <c r="AY502" s="2" t="str">
        <f>IF($AV502="","",IF(AND($Z502=0,COUNTIF('AR SALES'!$L$2:$L$2501,$L502)=0),"YES",""))</f>
        <v/>
      </c>
      <c r="AZ502" s="2" t="str">
        <f>IF($AV502="","",IF(COUNTIF(LISTS!$C$2:$C$250,$AU502)=0,"NEW",""))</f>
        <v/>
      </c>
      <c r="BA502" s="2" t="str">
        <f>IF(""&amp;$F502&lt;&gt;"4","",IF($AY502="YES","",IF(ROUND(SUMIFS($AE$2:$AE$4001,$L$2:$L$4001,$L502,$F$2:$F$4001,"4")-SUMIFS('AR SALES'!$Y$2:$Y$2501,'AR SALES'!$L$2:$L$2501,$L502,'AR SALES'!$AD$2:$AD$2501,"OFF"),2)=0,"","STALE")))</f>
        <v/>
      </c>
      <c r="BB502" s="2" t="str">
        <f>IF(OR(""&amp;$F502="2",""&amp;$F502="4",""&amp;$F502="G",""&amp;$F502="H"),IF($AY502="YES","",IF($AB502&lt;&gt;0,"",IF(COUNTIFS('AR SALES'!$L$2:$L$2501,$L502,'AR SALES'!$AD$2:$AD$2501,IF(""&amp;$F502="4","OFF","ON"),'AR SALES'!$AF$2:$AF$2501,"Y")&gt;0,"","NO EXEMPTION"))),"")</f>
        <v/>
      </c>
    </row>
    <row r="503" spans="46:54" x14ac:dyDescent="0.25">
      <c r="AT503" s="2" t="str">
        <f>IF($L503="","",IFERROR(INDEX('AR SALES'!$H$2:$H$2501,MATCH(""&amp;$L503,'AR SALES'!$AE$2:$AE$2501,0)),""))</f>
        <v/>
      </c>
      <c r="AU503" s="2" t="str">
        <f t="shared" si="28"/>
        <v/>
      </c>
      <c r="AV503" s="2" t="str">
        <f t="shared" si="29"/>
        <v/>
      </c>
      <c r="AW503" s="2" t="str">
        <f t="shared" si="30"/>
        <v/>
      </c>
      <c r="AX503" s="2" t="str">
        <f t="shared" si="31"/>
        <v/>
      </c>
      <c r="AY503" s="2" t="str">
        <f>IF($AV503="","",IF(AND($Z503=0,COUNTIF('AR SALES'!$L$2:$L$2501,$L503)=0),"YES",""))</f>
        <v/>
      </c>
      <c r="AZ503" s="2" t="str">
        <f>IF($AV503="","",IF(COUNTIF(LISTS!$C$2:$C$250,$AU503)=0,"NEW",""))</f>
        <v/>
      </c>
      <c r="BA503" s="2" t="str">
        <f>IF(""&amp;$F503&lt;&gt;"4","",IF($AY503="YES","",IF(ROUND(SUMIFS($AE$2:$AE$4001,$L$2:$L$4001,$L503,$F$2:$F$4001,"4")-SUMIFS('AR SALES'!$Y$2:$Y$2501,'AR SALES'!$L$2:$L$2501,$L503,'AR SALES'!$AD$2:$AD$2501,"OFF"),2)=0,"","STALE")))</f>
        <v/>
      </c>
      <c r="BB503" s="2" t="str">
        <f>IF(OR(""&amp;$F503="2",""&amp;$F503="4",""&amp;$F503="G",""&amp;$F503="H"),IF($AY503="YES","",IF($AB503&lt;&gt;0,"",IF(COUNTIFS('AR SALES'!$L$2:$L$2501,$L503,'AR SALES'!$AD$2:$AD$2501,IF(""&amp;$F503="4","OFF","ON"),'AR SALES'!$AF$2:$AF$2501,"Y")&gt;0,"","NO EXEMPTION"))),"")</f>
        <v/>
      </c>
    </row>
    <row r="504" spans="46:54" x14ac:dyDescent="0.25">
      <c r="AT504" s="2" t="str">
        <f>IF($L504="","",IFERROR(INDEX('AR SALES'!$H$2:$H$2501,MATCH(""&amp;$L504,'AR SALES'!$AE$2:$AE$2501,0)),""))</f>
        <v/>
      </c>
      <c r="AU504" s="2" t="str">
        <f t="shared" si="28"/>
        <v/>
      </c>
      <c r="AV504" s="2" t="str">
        <f t="shared" si="29"/>
        <v/>
      </c>
      <c r="AW504" s="2" t="str">
        <f t="shared" si="30"/>
        <v/>
      </c>
      <c r="AX504" s="2" t="str">
        <f t="shared" si="31"/>
        <v/>
      </c>
      <c r="AY504" s="2" t="str">
        <f>IF($AV504="","",IF(AND($Z504=0,COUNTIF('AR SALES'!$L$2:$L$2501,$L504)=0),"YES",""))</f>
        <v/>
      </c>
      <c r="AZ504" s="2" t="str">
        <f>IF($AV504="","",IF(COUNTIF(LISTS!$C$2:$C$250,$AU504)=0,"NEW",""))</f>
        <v/>
      </c>
      <c r="BA504" s="2" t="str">
        <f>IF(""&amp;$F504&lt;&gt;"4","",IF($AY504="YES","",IF(ROUND(SUMIFS($AE$2:$AE$4001,$L$2:$L$4001,$L504,$F$2:$F$4001,"4")-SUMIFS('AR SALES'!$Y$2:$Y$2501,'AR SALES'!$L$2:$L$2501,$L504,'AR SALES'!$AD$2:$AD$2501,"OFF"),2)=0,"","STALE")))</f>
        <v/>
      </c>
      <c r="BB504" s="2" t="str">
        <f>IF(OR(""&amp;$F504="2",""&amp;$F504="4",""&amp;$F504="G",""&amp;$F504="H"),IF($AY504="YES","",IF($AB504&lt;&gt;0,"",IF(COUNTIFS('AR SALES'!$L$2:$L$2501,$L504,'AR SALES'!$AD$2:$AD$2501,IF(""&amp;$F504="4","OFF","ON"),'AR SALES'!$AF$2:$AF$2501,"Y")&gt;0,"","NO EXEMPTION"))),"")</f>
        <v/>
      </c>
    </row>
    <row r="505" spans="46:54" x14ac:dyDescent="0.25">
      <c r="AT505" s="2" t="str">
        <f>IF($L505="","",IFERROR(INDEX('AR SALES'!$H$2:$H$2501,MATCH(""&amp;$L505,'AR SALES'!$AE$2:$AE$2501,0)),""))</f>
        <v/>
      </c>
      <c r="AU505" s="2" t="str">
        <f t="shared" si="28"/>
        <v/>
      </c>
      <c r="AV505" s="2" t="str">
        <f t="shared" si="29"/>
        <v/>
      </c>
      <c r="AW505" s="2" t="str">
        <f t="shared" si="30"/>
        <v/>
      </c>
      <c r="AX505" s="2" t="str">
        <f t="shared" si="31"/>
        <v/>
      </c>
      <c r="AY505" s="2" t="str">
        <f>IF($AV505="","",IF(AND($Z505=0,COUNTIF('AR SALES'!$L$2:$L$2501,$L505)=0),"YES",""))</f>
        <v/>
      </c>
      <c r="AZ505" s="2" t="str">
        <f>IF($AV505="","",IF(COUNTIF(LISTS!$C$2:$C$250,$AU505)=0,"NEW",""))</f>
        <v/>
      </c>
      <c r="BA505" s="2" t="str">
        <f>IF(""&amp;$F505&lt;&gt;"4","",IF($AY505="YES","",IF(ROUND(SUMIFS($AE$2:$AE$4001,$L$2:$L$4001,$L505,$F$2:$F$4001,"4")-SUMIFS('AR SALES'!$Y$2:$Y$2501,'AR SALES'!$L$2:$L$2501,$L505,'AR SALES'!$AD$2:$AD$2501,"OFF"),2)=0,"","STALE")))</f>
        <v/>
      </c>
      <c r="BB505" s="2" t="str">
        <f>IF(OR(""&amp;$F505="2",""&amp;$F505="4",""&amp;$F505="G",""&amp;$F505="H"),IF($AY505="YES","",IF($AB505&lt;&gt;0,"",IF(COUNTIFS('AR SALES'!$L$2:$L$2501,$L505,'AR SALES'!$AD$2:$AD$2501,IF(""&amp;$F505="4","OFF","ON"),'AR SALES'!$AF$2:$AF$2501,"Y")&gt;0,"","NO EXEMPTION"))),"")</f>
        <v/>
      </c>
    </row>
    <row r="506" spans="46:54" x14ac:dyDescent="0.25">
      <c r="AT506" s="2" t="str">
        <f>IF($L506="","",IFERROR(INDEX('AR SALES'!$H$2:$H$2501,MATCH(""&amp;$L506,'AR SALES'!$AE$2:$AE$2501,0)),""))</f>
        <v/>
      </c>
      <c r="AU506" s="2" t="str">
        <f t="shared" si="28"/>
        <v/>
      </c>
      <c r="AV506" s="2" t="str">
        <f t="shared" si="29"/>
        <v/>
      </c>
      <c r="AW506" s="2" t="str">
        <f t="shared" si="30"/>
        <v/>
      </c>
      <c r="AX506" s="2" t="str">
        <f t="shared" si="31"/>
        <v/>
      </c>
      <c r="AY506" s="2" t="str">
        <f>IF($AV506="","",IF(AND($Z506=0,COUNTIF('AR SALES'!$L$2:$L$2501,$L506)=0),"YES",""))</f>
        <v/>
      </c>
      <c r="AZ506" s="2" t="str">
        <f>IF($AV506="","",IF(COUNTIF(LISTS!$C$2:$C$250,$AU506)=0,"NEW",""))</f>
        <v/>
      </c>
      <c r="BA506" s="2" t="str">
        <f>IF(""&amp;$F506&lt;&gt;"4","",IF($AY506="YES","",IF(ROUND(SUMIFS($AE$2:$AE$4001,$L$2:$L$4001,$L506,$F$2:$F$4001,"4")-SUMIFS('AR SALES'!$Y$2:$Y$2501,'AR SALES'!$L$2:$L$2501,$L506,'AR SALES'!$AD$2:$AD$2501,"OFF"),2)=0,"","STALE")))</f>
        <v/>
      </c>
      <c r="BB506" s="2" t="str">
        <f>IF(OR(""&amp;$F506="2",""&amp;$F506="4",""&amp;$F506="G",""&amp;$F506="H"),IF($AY506="YES","",IF($AB506&lt;&gt;0,"",IF(COUNTIFS('AR SALES'!$L$2:$L$2501,$L506,'AR SALES'!$AD$2:$AD$2501,IF(""&amp;$F506="4","OFF","ON"),'AR SALES'!$AF$2:$AF$2501,"Y")&gt;0,"","NO EXEMPTION"))),"")</f>
        <v/>
      </c>
    </row>
    <row r="507" spans="46:54" x14ac:dyDescent="0.25">
      <c r="AT507" s="2" t="str">
        <f>IF($L507="","",IFERROR(INDEX('AR SALES'!$H$2:$H$2501,MATCH(""&amp;$L507,'AR SALES'!$AE$2:$AE$2501,0)),""))</f>
        <v/>
      </c>
      <c r="AU507" s="2" t="str">
        <f t="shared" si="28"/>
        <v/>
      </c>
      <c r="AV507" s="2" t="str">
        <f t="shared" si="29"/>
        <v/>
      </c>
      <c r="AW507" s="2" t="str">
        <f t="shared" si="30"/>
        <v/>
      </c>
      <c r="AX507" s="2" t="str">
        <f t="shared" si="31"/>
        <v/>
      </c>
      <c r="AY507" s="2" t="str">
        <f>IF($AV507="","",IF(AND($Z507=0,COUNTIF('AR SALES'!$L$2:$L$2501,$L507)=0),"YES",""))</f>
        <v/>
      </c>
      <c r="AZ507" s="2" t="str">
        <f>IF($AV507="","",IF(COUNTIF(LISTS!$C$2:$C$250,$AU507)=0,"NEW",""))</f>
        <v/>
      </c>
      <c r="BA507" s="2" t="str">
        <f>IF(""&amp;$F507&lt;&gt;"4","",IF($AY507="YES","",IF(ROUND(SUMIFS($AE$2:$AE$4001,$L$2:$L$4001,$L507,$F$2:$F$4001,"4")-SUMIFS('AR SALES'!$Y$2:$Y$2501,'AR SALES'!$L$2:$L$2501,$L507,'AR SALES'!$AD$2:$AD$2501,"OFF"),2)=0,"","STALE")))</f>
        <v/>
      </c>
      <c r="BB507" s="2" t="str">
        <f>IF(OR(""&amp;$F507="2",""&amp;$F507="4",""&amp;$F507="G",""&amp;$F507="H"),IF($AY507="YES","",IF($AB507&lt;&gt;0,"",IF(COUNTIFS('AR SALES'!$L$2:$L$2501,$L507,'AR SALES'!$AD$2:$AD$2501,IF(""&amp;$F507="4","OFF","ON"),'AR SALES'!$AF$2:$AF$2501,"Y")&gt;0,"","NO EXEMPTION"))),"")</f>
        <v/>
      </c>
    </row>
    <row r="508" spans="46:54" x14ac:dyDescent="0.25">
      <c r="AT508" s="2" t="str">
        <f>IF($L508="","",IFERROR(INDEX('AR SALES'!$H$2:$H$2501,MATCH(""&amp;$L508,'AR SALES'!$AE$2:$AE$2501,0)),""))</f>
        <v/>
      </c>
      <c r="AU508" s="2" t="str">
        <f t="shared" si="28"/>
        <v/>
      </c>
      <c r="AV508" s="2" t="str">
        <f t="shared" si="29"/>
        <v/>
      </c>
      <c r="AW508" s="2" t="str">
        <f t="shared" si="30"/>
        <v/>
      </c>
      <c r="AX508" s="2" t="str">
        <f t="shared" si="31"/>
        <v/>
      </c>
      <c r="AY508" s="2" t="str">
        <f>IF($AV508="","",IF(AND($Z508=0,COUNTIF('AR SALES'!$L$2:$L$2501,$L508)=0),"YES",""))</f>
        <v/>
      </c>
      <c r="AZ508" s="2" t="str">
        <f>IF($AV508="","",IF(COUNTIF(LISTS!$C$2:$C$250,$AU508)=0,"NEW",""))</f>
        <v/>
      </c>
      <c r="BA508" s="2" t="str">
        <f>IF(""&amp;$F508&lt;&gt;"4","",IF($AY508="YES","",IF(ROUND(SUMIFS($AE$2:$AE$4001,$L$2:$L$4001,$L508,$F$2:$F$4001,"4")-SUMIFS('AR SALES'!$Y$2:$Y$2501,'AR SALES'!$L$2:$L$2501,$L508,'AR SALES'!$AD$2:$AD$2501,"OFF"),2)=0,"","STALE")))</f>
        <v/>
      </c>
      <c r="BB508" s="2" t="str">
        <f>IF(OR(""&amp;$F508="2",""&amp;$F508="4",""&amp;$F508="G",""&amp;$F508="H"),IF($AY508="YES","",IF($AB508&lt;&gt;0,"",IF(COUNTIFS('AR SALES'!$L$2:$L$2501,$L508,'AR SALES'!$AD$2:$AD$2501,IF(""&amp;$F508="4","OFF","ON"),'AR SALES'!$AF$2:$AF$2501,"Y")&gt;0,"","NO EXEMPTION"))),"")</f>
        <v/>
      </c>
    </row>
    <row r="509" spans="46:54" x14ac:dyDescent="0.25">
      <c r="AT509" s="2" t="str">
        <f>IF($L509="","",IFERROR(INDEX('AR SALES'!$H$2:$H$2501,MATCH(""&amp;$L509,'AR SALES'!$AE$2:$AE$2501,0)),""))</f>
        <v/>
      </c>
      <c r="AU509" s="2" t="str">
        <f t="shared" si="28"/>
        <v/>
      </c>
      <c r="AV509" s="2" t="str">
        <f t="shared" si="29"/>
        <v/>
      </c>
      <c r="AW509" s="2" t="str">
        <f t="shared" si="30"/>
        <v/>
      </c>
      <c r="AX509" s="2" t="str">
        <f t="shared" si="31"/>
        <v/>
      </c>
      <c r="AY509" s="2" t="str">
        <f>IF($AV509="","",IF(AND($Z509=0,COUNTIF('AR SALES'!$L$2:$L$2501,$L509)=0),"YES",""))</f>
        <v/>
      </c>
      <c r="AZ509" s="2" t="str">
        <f>IF($AV509="","",IF(COUNTIF(LISTS!$C$2:$C$250,$AU509)=0,"NEW",""))</f>
        <v/>
      </c>
      <c r="BA509" s="2" t="str">
        <f>IF(""&amp;$F509&lt;&gt;"4","",IF($AY509="YES","",IF(ROUND(SUMIFS($AE$2:$AE$4001,$L$2:$L$4001,$L509,$F$2:$F$4001,"4")-SUMIFS('AR SALES'!$Y$2:$Y$2501,'AR SALES'!$L$2:$L$2501,$L509,'AR SALES'!$AD$2:$AD$2501,"OFF"),2)=0,"","STALE")))</f>
        <v/>
      </c>
      <c r="BB509" s="2" t="str">
        <f>IF(OR(""&amp;$F509="2",""&amp;$F509="4",""&amp;$F509="G",""&amp;$F509="H"),IF($AY509="YES","",IF($AB509&lt;&gt;0,"",IF(COUNTIFS('AR SALES'!$L$2:$L$2501,$L509,'AR SALES'!$AD$2:$AD$2501,IF(""&amp;$F509="4","OFF","ON"),'AR SALES'!$AF$2:$AF$2501,"Y")&gt;0,"","NO EXEMPTION"))),"")</f>
        <v/>
      </c>
    </row>
    <row r="510" spans="46:54" x14ac:dyDescent="0.25">
      <c r="AT510" s="2" t="str">
        <f>IF($L510="","",IFERROR(INDEX('AR SALES'!$H$2:$H$2501,MATCH(""&amp;$L510,'AR SALES'!$AE$2:$AE$2501,0)),""))</f>
        <v/>
      </c>
      <c r="AU510" s="2" t="str">
        <f t="shared" si="28"/>
        <v/>
      </c>
      <c r="AV510" s="2" t="str">
        <f t="shared" si="29"/>
        <v/>
      </c>
      <c r="AW510" s="2" t="str">
        <f t="shared" si="30"/>
        <v/>
      </c>
      <c r="AX510" s="2" t="str">
        <f t="shared" si="31"/>
        <v/>
      </c>
      <c r="AY510" s="2" t="str">
        <f>IF($AV510="","",IF(AND($Z510=0,COUNTIF('AR SALES'!$L$2:$L$2501,$L510)=0),"YES",""))</f>
        <v/>
      </c>
      <c r="AZ510" s="2" t="str">
        <f>IF($AV510="","",IF(COUNTIF(LISTS!$C$2:$C$250,$AU510)=0,"NEW",""))</f>
        <v/>
      </c>
      <c r="BA510" s="2" t="str">
        <f>IF(""&amp;$F510&lt;&gt;"4","",IF($AY510="YES","",IF(ROUND(SUMIFS($AE$2:$AE$4001,$L$2:$L$4001,$L510,$F$2:$F$4001,"4")-SUMIFS('AR SALES'!$Y$2:$Y$2501,'AR SALES'!$L$2:$L$2501,$L510,'AR SALES'!$AD$2:$AD$2501,"OFF"),2)=0,"","STALE")))</f>
        <v/>
      </c>
      <c r="BB510" s="2" t="str">
        <f>IF(OR(""&amp;$F510="2",""&amp;$F510="4",""&amp;$F510="G",""&amp;$F510="H"),IF($AY510="YES","",IF($AB510&lt;&gt;0,"",IF(COUNTIFS('AR SALES'!$L$2:$L$2501,$L510,'AR SALES'!$AD$2:$AD$2501,IF(""&amp;$F510="4","OFF","ON"),'AR SALES'!$AF$2:$AF$2501,"Y")&gt;0,"","NO EXEMPTION"))),"")</f>
        <v/>
      </c>
    </row>
    <row r="511" spans="46:54" x14ac:dyDescent="0.25">
      <c r="AT511" s="2" t="str">
        <f>IF($L511="","",IFERROR(INDEX('AR SALES'!$H$2:$H$2501,MATCH(""&amp;$L511,'AR SALES'!$AE$2:$AE$2501,0)),""))</f>
        <v/>
      </c>
      <c r="AU511" s="2" t="str">
        <f t="shared" si="28"/>
        <v/>
      </c>
      <c r="AV511" s="2" t="str">
        <f t="shared" si="29"/>
        <v/>
      </c>
      <c r="AW511" s="2" t="str">
        <f t="shared" si="30"/>
        <v/>
      </c>
      <c r="AX511" s="2" t="str">
        <f t="shared" si="31"/>
        <v/>
      </c>
      <c r="AY511" s="2" t="str">
        <f>IF($AV511="","",IF(AND($Z511=0,COUNTIF('AR SALES'!$L$2:$L$2501,$L511)=0),"YES",""))</f>
        <v/>
      </c>
      <c r="AZ511" s="2" t="str">
        <f>IF($AV511="","",IF(COUNTIF(LISTS!$C$2:$C$250,$AU511)=0,"NEW",""))</f>
        <v/>
      </c>
      <c r="BA511" s="2" t="str">
        <f>IF(""&amp;$F511&lt;&gt;"4","",IF($AY511="YES","",IF(ROUND(SUMIFS($AE$2:$AE$4001,$L$2:$L$4001,$L511,$F$2:$F$4001,"4")-SUMIFS('AR SALES'!$Y$2:$Y$2501,'AR SALES'!$L$2:$L$2501,$L511,'AR SALES'!$AD$2:$AD$2501,"OFF"),2)=0,"","STALE")))</f>
        <v/>
      </c>
      <c r="BB511" s="2" t="str">
        <f>IF(OR(""&amp;$F511="2",""&amp;$F511="4",""&amp;$F511="G",""&amp;$F511="H"),IF($AY511="YES","",IF($AB511&lt;&gt;0,"",IF(COUNTIFS('AR SALES'!$L$2:$L$2501,$L511,'AR SALES'!$AD$2:$AD$2501,IF(""&amp;$F511="4","OFF","ON"),'AR SALES'!$AF$2:$AF$2501,"Y")&gt;0,"","NO EXEMPTION"))),"")</f>
        <v/>
      </c>
    </row>
    <row r="512" spans="46:54" x14ac:dyDescent="0.25">
      <c r="AT512" s="2" t="str">
        <f>IF($L512="","",IFERROR(INDEX('AR SALES'!$H$2:$H$2501,MATCH(""&amp;$L512,'AR SALES'!$AE$2:$AE$2501,0)),""))</f>
        <v/>
      </c>
      <c r="AU512" s="2" t="str">
        <f t="shared" si="28"/>
        <v/>
      </c>
      <c r="AV512" s="2" t="str">
        <f t="shared" si="29"/>
        <v/>
      </c>
      <c r="AW512" s="2" t="str">
        <f t="shared" si="30"/>
        <v/>
      </c>
      <c r="AX512" s="2" t="str">
        <f t="shared" si="31"/>
        <v/>
      </c>
      <c r="AY512" s="2" t="str">
        <f>IF($AV512="","",IF(AND($Z512=0,COUNTIF('AR SALES'!$L$2:$L$2501,$L512)=0),"YES",""))</f>
        <v/>
      </c>
      <c r="AZ512" s="2" t="str">
        <f>IF($AV512="","",IF(COUNTIF(LISTS!$C$2:$C$250,$AU512)=0,"NEW",""))</f>
        <v/>
      </c>
      <c r="BA512" s="2" t="str">
        <f>IF(""&amp;$F512&lt;&gt;"4","",IF($AY512="YES","",IF(ROUND(SUMIFS($AE$2:$AE$4001,$L$2:$L$4001,$L512,$F$2:$F$4001,"4")-SUMIFS('AR SALES'!$Y$2:$Y$2501,'AR SALES'!$L$2:$L$2501,$L512,'AR SALES'!$AD$2:$AD$2501,"OFF"),2)=0,"","STALE")))</f>
        <v/>
      </c>
      <c r="BB512" s="2" t="str">
        <f>IF(OR(""&amp;$F512="2",""&amp;$F512="4",""&amp;$F512="G",""&amp;$F512="H"),IF($AY512="YES","",IF($AB512&lt;&gt;0,"",IF(COUNTIFS('AR SALES'!$L$2:$L$2501,$L512,'AR SALES'!$AD$2:$AD$2501,IF(""&amp;$F512="4","OFF","ON"),'AR SALES'!$AF$2:$AF$2501,"Y")&gt;0,"","NO EXEMPTION"))),"")</f>
        <v/>
      </c>
    </row>
    <row r="513" spans="46:54" x14ac:dyDescent="0.25">
      <c r="AT513" s="2" t="str">
        <f>IF($L513="","",IFERROR(INDEX('AR SALES'!$H$2:$H$2501,MATCH(""&amp;$L513,'AR SALES'!$AE$2:$AE$2501,0)),""))</f>
        <v/>
      </c>
      <c r="AU513" s="2" t="str">
        <f t="shared" si="28"/>
        <v/>
      </c>
      <c r="AV513" s="2" t="str">
        <f t="shared" si="29"/>
        <v/>
      </c>
      <c r="AW513" s="2" t="str">
        <f t="shared" si="30"/>
        <v/>
      </c>
      <c r="AX513" s="2" t="str">
        <f t="shared" si="31"/>
        <v/>
      </c>
      <c r="AY513" s="2" t="str">
        <f>IF($AV513="","",IF(AND($Z513=0,COUNTIF('AR SALES'!$L$2:$L$2501,$L513)=0),"YES",""))</f>
        <v/>
      </c>
      <c r="AZ513" s="2" t="str">
        <f>IF($AV513="","",IF(COUNTIF(LISTS!$C$2:$C$250,$AU513)=0,"NEW",""))</f>
        <v/>
      </c>
      <c r="BA513" s="2" t="str">
        <f>IF(""&amp;$F513&lt;&gt;"4","",IF($AY513="YES","",IF(ROUND(SUMIFS($AE$2:$AE$4001,$L$2:$L$4001,$L513,$F$2:$F$4001,"4")-SUMIFS('AR SALES'!$Y$2:$Y$2501,'AR SALES'!$L$2:$L$2501,$L513,'AR SALES'!$AD$2:$AD$2501,"OFF"),2)=0,"","STALE")))</f>
        <v/>
      </c>
      <c r="BB513" s="2" t="str">
        <f>IF(OR(""&amp;$F513="2",""&amp;$F513="4",""&amp;$F513="G",""&amp;$F513="H"),IF($AY513="YES","",IF($AB513&lt;&gt;0,"",IF(COUNTIFS('AR SALES'!$L$2:$L$2501,$L513,'AR SALES'!$AD$2:$AD$2501,IF(""&amp;$F513="4","OFF","ON"),'AR SALES'!$AF$2:$AF$2501,"Y")&gt;0,"","NO EXEMPTION"))),"")</f>
        <v/>
      </c>
    </row>
    <row r="514" spans="46:54" x14ac:dyDescent="0.25">
      <c r="AT514" s="2" t="str">
        <f>IF($L514="","",IFERROR(INDEX('AR SALES'!$H$2:$H$2501,MATCH(""&amp;$L514,'AR SALES'!$AE$2:$AE$2501,0)),""))</f>
        <v/>
      </c>
      <c r="AU514" s="2" t="str">
        <f t="shared" ref="AU514:AU577" si="32">IF($L514="","",IF($A514&lt;&gt;"GA","",IF($E514="FULTON",IF(ISNUMBER(SEARCH("COLLEGE PARK",$AT514)),"FULTON (COLLEGE PARK)",IF(ISNUMBER(SEARCH("ATLANTA CITY",$AT514)),"FULTON (ATL LIMITS)","FULTON")),IF($E514="DEKALB",IF(ISNUMBER(SEARCH("ATLANTA CITY",$AT514)),"DEKALB (ATL LIMITS)","DEKALB"),$E514))))</f>
        <v/>
      </c>
      <c r="AV514" s="2" t="str">
        <f t="shared" ref="AV514:AV577" si="33">IF($L514="","",IF(""&amp;$F514="2","DIESEL",IF(OR(""&amp;$F514="G",""&amp;$F514="H"),"GAS","")))</f>
        <v/>
      </c>
      <c r="AW514" s="2" t="str">
        <f t="shared" ref="AW514:AW577" si="34">IF($AV514="","",$R514)</f>
        <v/>
      </c>
      <c r="AX514" s="2" t="str">
        <f t="shared" ref="AX514:AX577" si="35">IF($AV514="","",IF($AB514=0,$R514,0))</f>
        <v/>
      </c>
      <c r="AY514" s="2" t="str">
        <f>IF($AV514="","",IF(AND($Z514=0,COUNTIF('AR SALES'!$L$2:$L$2501,$L514)=0),"YES",""))</f>
        <v/>
      </c>
      <c r="AZ514" s="2" t="str">
        <f>IF($AV514="","",IF(COUNTIF(LISTS!$C$2:$C$250,$AU514)=0,"NEW",""))</f>
        <v/>
      </c>
      <c r="BA514" s="2" t="str">
        <f>IF(""&amp;$F514&lt;&gt;"4","",IF($AY514="YES","",IF(ROUND(SUMIFS($AE$2:$AE$4001,$L$2:$L$4001,$L514,$F$2:$F$4001,"4")-SUMIFS('AR SALES'!$Y$2:$Y$2501,'AR SALES'!$L$2:$L$2501,$L514,'AR SALES'!$AD$2:$AD$2501,"OFF"),2)=0,"","STALE")))</f>
        <v/>
      </c>
      <c r="BB514" s="2" t="str">
        <f>IF(OR(""&amp;$F514="2",""&amp;$F514="4",""&amp;$F514="G",""&amp;$F514="H"),IF($AY514="YES","",IF($AB514&lt;&gt;0,"",IF(COUNTIFS('AR SALES'!$L$2:$L$2501,$L514,'AR SALES'!$AD$2:$AD$2501,IF(""&amp;$F514="4","OFF","ON"),'AR SALES'!$AF$2:$AF$2501,"Y")&gt;0,"","NO EXEMPTION"))),"")</f>
        <v/>
      </c>
    </row>
    <row r="515" spans="46:54" x14ac:dyDescent="0.25">
      <c r="AT515" s="2" t="str">
        <f>IF($L515="","",IFERROR(INDEX('AR SALES'!$H$2:$H$2501,MATCH(""&amp;$L515,'AR SALES'!$AE$2:$AE$2501,0)),""))</f>
        <v/>
      </c>
      <c r="AU515" s="2" t="str">
        <f t="shared" si="32"/>
        <v/>
      </c>
      <c r="AV515" s="2" t="str">
        <f t="shared" si="33"/>
        <v/>
      </c>
      <c r="AW515" s="2" t="str">
        <f t="shared" si="34"/>
        <v/>
      </c>
      <c r="AX515" s="2" t="str">
        <f t="shared" si="35"/>
        <v/>
      </c>
      <c r="AY515" s="2" t="str">
        <f>IF($AV515="","",IF(AND($Z515=0,COUNTIF('AR SALES'!$L$2:$L$2501,$L515)=0),"YES",""))</f>
        <v/>
      </c>
      <c r="AZ515" s="2" t="str">
        <f>IF($AV515="","",IF(COUNTIF(LISTS!$C$2:$C$250,$AU515)=0,"NEW",""))</f>
        <v/>
      </c>
      <c r="BA515" s="2" t="str">
        <f>IF(""&amp;$F515&lt;&gt;"4","",IF($AY515="YES","",IF(ROUND(SUMIFS($AE$2:$AE$4001,$L$2:$L$4001,$L515,$F$2:$F$4001,"4")-SUMIFS('AR SALES'!$Y$2:$Y$2501,'AR SALES'!$L$2:$L$2501,$L515,'AR SALES'!$AD$2:$AD$2501,"OFF"),2)=0,"","STALE")))</f>
        <v/>
      </c>
      <c r="BB515" s="2" t="str">
        <f>IF(OR(""&amp;$F515="2",""&amp;$F515="4",""&amp;$F515="G",""&amp;$F515="H"),IF($AY515="YES","",IF($AB515&lt;&gt;0,"",IF(COUNTIFS('AR SALES'!$L$2:$L$2501,$L515,'AR SALES'!$AD$2:$AD$2501,IF(""&amp;$F515="4","OFF","ON"),'AR SALES'!$AF$2:$AF$2501,"Y")&gt;0,"","NO EXEMPTION"))),"")</f>
        <v/>
      </c>
    </row>
    <row r="516" spans="46:54" x14ac:dyDescent="0.25">
      <c r="AT516" s="2" t="str">
        <f>IF($L516="","",IFERROR(INDEX('AR SALES'!$H$2:$H$2501,MATCH(""&amp;$L516,'AR SALES'!$AE$2:$AE$2501,0)),""))</f>
        <v/>
      </c>
      <c r="AU516" s="2" t="str">
        <f t="shared" si="32"/>
        <v/>
      </c>
      <c r="AV516" s="2" t="str">
        <f t="shared" si="33"/>
        <v/>
      </c>
      <c r="AW516" s="2" t="str">
        <f t="shared" si="34"/>
        <v/>
      </c>
      <c r="AX516" s="2" t="str">
        <f t="shared" si="35"/>
        <v/>
      </c>
      <c r="AY516" s="2" t="str">
        <f>IF($AV516="","",IF(AND($Z516=0,COUNTIF('AR SALES'!$L$2:$L$2501,$L516)=0),"YES",""))</f>
        <v/>
      </c>
      <c r="AZ516" s="2" t="str">
        <f>IF($AV516="","",IF(COUNTIF(LISTS!$C$2:$C$250,$AU516)=0,"NEW",""))</f>
        <v/>
      </c>
      <c r="BA516" s="2" t="str">
        <f>IF(""&amp;$F516&lt;&gt;"4","",IF($AY516="YES","",IF(ROUND(SUMIFS($AE$2:$AE$4001,$L$2:$L$4001,$L516,$F$2:$F$4001,"4")-SUMIFS('AR SALES'!$Y$2:$Y$2501,'AR SALES'!$L$2:$L$2501,$L516,'AR SALES'!$AD$2:$AD$2501,"OFF"),2)=0,"","STALE")))</f>
        <v/>
      </c>
      <c r="BB516" s="2" t="str">
        <f>IF(OR(""&amp;$F516="2",""&amp;$F516="4",""&amp;$F516="G",""&amp;$F516="H"),IF($AY516="YES","",IF($AB516&lt;&gt;0,"",IF(COUNTIFS('AR SALES'!$L$2:$L$2501,$L516,'AR SALES'!$AD$2:$AD$2501,IF(""&amp;$F516="4","OFF","ON"),'AR SALES'!$AF$2:$AF$2501,"Y")&gt;0,"","NO EXEMPTION"))),"")</f>
        <v/>
      </c>
    </row>
    <row r="517" spans="46:54" x14ac:dyDescent="0.25">
      <c r="AT517" s="2" t="str">
        <f>IF($L517="","",IFERROR(INDEX('AR SALES'!$H$2:$H$2501,MATCH(""&amp;$L517,'AR SALES'!$AE$2:$AE$2501,0)),""))</f>
        <v/>
      </c>
      <c r="AU517" s="2" t="str">
        <f t="shared" si="32"/>
        <v/>
      </c>
      <c r="AV517" s="2" t="str">
        <f t="shared" si="33"/>
        <v/>
      </c>
      <c r="AW517" s="2" t="str">
        <f t="shared" si="34"/>
        <v/>
      </c>
      <c r="AX517" s="2" t="str">
        <f t="shared" si="35"/>
        <v/>
      </c>
      <c r="AY517" s="2" t="str">
        <f>IF($AV517="","",IF(AND($Z517=0,COUNTIF('AR SALES'!$L$2:$L$2501,$L517)=0),"YES",""))</f>
        <v/>
      </c>
      <c r="AZ517" s="2" t="str">
        <f>IF($AV517="","",IF(COUNTIF(LISTS!$C$2:$C$250,$AU517)=0,"NEW",""))</f>
        <v/>
      </c>
      <c r="BA517" s="2" t="str">
        <f>IF(""&amp;$F517&lt;&gt;"4","",IF($AY517="YES","",IF(ROUND(SUMIFS($AE$2:$AE$4001,$L$2:$L$4001,$L517,$F$2:$F$4001,"4")-SUMIFS('AR SALES'!$Y$2:$Y$2501,'AR SALES'!$L$2:$L$2501,$L517,'AR SALES'!$AD$2:$AD$2501,"OFF"),2)=0,"","STALE")))</f>
        <v/>
      </c>
      <c r="BB517" s="2" t="str">
        <f>IF(OR(""&amp;$F517="2",""&amp;$F517="4",""&amp;$F517="G",""&amp;$F517="H"),IF($AY517="YES","",IF($AB517&lt;&gt;0,"",IF(COUNTIFS('AR SALES'!$L$2:$L$2501,$L517,'AR SALES'!$AD$2:$AD$2501,IF(""&amp;$F517="4","OFF","ON"),'AR SALES'!$AF$2:$AF$2501,"Y")&gt;0,"","NO EXEMPTION"))),"")</f>
        <v/>
      </c>
    </row>
    <row r="518" spans="46:54" x14ac:dyDescent="0.25">
      <c r="AT518" s="2" t="str">
        <f>IF($L518="","",IFERROR(INDEX('AR SALES'!$H$2:$H$2501,MATCH(""&amp;$L518,'AR SALES'!$AE$2:$AE$2501,0)),""))</f>
        <v/>
      </c>
      <c r="AU518" s="2" t="str">
        <f t="shared" si="32"/>
        <v/>
      </c>
      <c r="AV518" s="2" t="str">
        <f t="shared" si="33"/>
        <v/>
      </c>
      <c r="AW518" s="2" t="str">
        <f t="shared" si="34"/>
        <v/>
      </c>
      <c r="AX518" s="2" t="str">
        <f t="shared" si="35"/>
        <v/>
      </c>
      <c r="AY518" s="2" t="str">
        <f>IF($AV518="","",IF(AND($Z518=0,COUNTIF('AR SALES'!$L$2:$L$2501,$L518)=0),"YES",""))</f>
        <v/>
      </c>
      <c r="AZ518" s="2" t="str">
        <f>IF($AV518="","",IF(COUNTIF(LISTS!$C$2:$C$250,$AU518)=0,"NEW",""))</f>
        <v/>
      </c>
      <c r="BA518" s="2" t="str">
        <f>IF(""&amp;$F518&lt;&gt;"4","",IF($AY518="YES","",IF(ROUND(SUMIFS($AE$2:$AE$4001,$L$2:$L$4001,$L518,$F$2:$F$4001,"4")-SUMIFS('AR SALES'!$Y$2:$Y$2501,'AR SALES'!$L$2:$L$2501,$L518,'AR SALES'!$AD$2:$AD$2501,"OFF"),2)=0,"","STALE")))</f>
        <v/>
      </c>
      <c r="BB518" s="2" t="str">
        <f>IF(OR(""&amp;$F518="2",""&amp;$F518="4",""&amp;$F518="G",""&amp;$F518="H"),IF($AY518="YES","",IF($AB518&lt;&gt;0,"",IF(COUNTIFS('AR SALES'!$L$2:$L$2501,$L518,'AR SALES'!$AD$2:$AD$2501,IF(""&amp;$F518="4","OFF","ON"),'AR SALES'!$AF$2:$AF$2501,"Y")&gt;0,"","NO EXEMPTION"))),"")</f>
        <v/>
      </c>
    </row>
    <row r="519" spans="46:54" x14ac:dyDescent="0.25">
      <c r="AT519" s="2" t="str">
        <f>IF($L519="","",IFERROR(INDEX('AR SALES'!$H$2:$H$2501,MATCH(""&amp;$L519,'AR SALES'!$AE$2:$AE$2501,0)),""))</f>
        <v/>
      </c>
      <c r="AU519" s="2" t="str">
        <f t="shared" si="32"/>
        <v/>
      </c>
      <c r="AV519" s="2" t="str">
        <f t="shared" si="33"/>
        <v/>
      </c>
      <c r="AW519" s="2" t="str">
        <f t="shared" si="34"/>
        <v/>
      </c>
      <c r="AX519" s="2" t="str">
        <f t="shared" si="35"/>
        <v/>
      </c>
      <c r="AY519" s="2" t="str">
        <f>IF($AV519="","",IF(AND($Z519=0,COUNTIF('AR SALES'!$L$2:$L$2501,$L519)=0),"YES",""))</f>
        <v/>
      </c>
      <c r="AZ519" s="2" t="str">
        <f>IF($AV519="","",IF(COUNTIF(LISTS!$C$2:$C$250,$AU519)=0,"NEW",""))</f>
        <v/>
      </c>
      <c r="BA519" s="2" t="str">
        <f>IF(""&amp;$F519&lt;&gt;"4","",IF($AY519="YES","",IF(ROUND(SUMIFS($AE$2:$AE$4001,$L$2:$L$4001,$L519,$F$2:$F$4001,"4")-SUMIFS('AR SALES'!$Y$2:$Y$2501,'AR SALES'!$L$2:$L$2501,$L519,'AR SALES'!$AD$2:$AD$2501,"OFF"),2)=0,"","STALE")))</f>
        <v/>
      </c>
      <c r="BB519" s="2" t="str">
        <f>IF(OR(""&amp;$F519="2",""&amp;$F519="4",""&amp;$F519="G",""&amp;$F519="H"),IF($AY519="YES","",IF($AB519&lt;&gt;0,"",IF(COUNTIFS('AR SALES'!$L$2:$L$2501,$L519,'AR SALES'!$AD$2:$AD$2501,IF(""&amp;$F519="4","OFF","ON"),'AR SALES'!$AF$2:$AF$2501,"Y")&gt;0,"","NO EXEMPTION"))),"")</f>
        <v/>
      </c>
    </row>
    <row r="520" spans="46:54" x14ac:dyDescent="0.25">
      <c r="AT520" s="2" t="str">
        <f>IF($L520="","",IFERROR(INDEX('AR SALES'!$H$2:$H$2501,MATCH(""&amp;$L520,'AR SALES'!$AE$2:$AE$2501,0)),""))</f>
        <v/>
      </c>
      <c r="AU520" s="2" t="str">
        <f t="shared" si="32"/>
        <v/>
      </c>
      <c r="AV520" s="2" t="str">
        <f t="shared" si="33"/>
        <v/>
      </c>
      <c r="AW520" s="2" t="str">
        <f t="shared" si="34"/>
        <v/>
      </c>
      <c r="AX520" s="2" t="str">
        <f t="shared" si="35"/>
        <v/>
      </c>
      <c r="AY520" s="2" t="str">
        <f>IF($AV520="","",IF(AND($Z520=0,COUNTIF('AR SALES'!$L$2:$L$2501,$L520)=0),"YES",""))</f>
        <v/>
      </c>
      <c r="AZ520" s="2" t="str">
        <f>IF($AV520="","",IF(COUNTIF(LISTS!$C$2:$C$250,$AU520)=0,"NEW",""))</f>
        <v/>
      </c>
      <c r="BA520" s="2" t="str">
        <f>IF(""&amp;$F520&lt;&gt;"4","",IF($AY520="YES","",IF(ROUND(SUMIFS($AE$2:$AE$4001,$L$2:$L$4001,$L520,$F$2:$F$4001,"4")-SUMIFS('AR SALES'!$Y$2:$Y$2501,'AR SALES'!$L$2:$L$2501,$L520,'AR SALES'!$AD$2:$AD$2501,"OFF"),2)=0,"","STALE")))</f>
        <v/>
      </c>
      <c r="BB520" s="2" t="str">
        <f>IF(OR(""&amp;$F520="2",""&amp;$F520="4",""&amp;$F520="G",""&amp;$F520="H"),IF($AY520="YES","",IF($AB520&lt;&gt;0,"",IF(COUNTIFS('AR SALES'!$L$2:$L$2501,$L520,'AR SALES'!$AD$2:$AD$2501,IF(""&amp;$F520="4","OFF","ON"),'AR SALES'!$AF$2:$AF$2501,"Y")&gt;0,"","NO EXEMPTION"))),"")</f>
        <v/>
      </c>
    </row>
    <row r="521" spans="46:54" x14ac:dyDescent="0.25">
      <c r="AT521" s="2" t="str">
        <f>IF($L521="","",IFERROR(INDEX('AR SALES'!$H$2:$H$2501,MATCH(""&amp;$L521,'AR SALES'!$AE$2:$AE$2501,0)),""))</f>
        <v/>
      </c>
      <c r="AU521" s="2" t="str">
        <f t="shared" si="32"/>
        <v/>
      </c>
      <c r="AV521" s="2" t="str">
        <f t="shared" si="33"/>
        <v/>
      </c>
      <c r="AW521" s="2" t="str">
        <f t="shared" si="34"/>
        <v/>
      </c>
      <c r="AX521" s="2" t="str">
        <f t="shared" si="35"/>
        <v/>
      </c>
      <c r="AY521" s="2" t="str">
        <f>IF($AV521="","",IF(AND($Z521=0,COUNTIF('AR SALES'!$L$2:$L$2501,$L521)=0),"YES",""))</f>
        <v/>
      </c>
      <c r="AZ521" s="2" t="str">
        <f>IF($AV521="","",IF(COUNTIF(LISTS!$C$2:$C$250,$AU521)=0,"NEW",""))</f>
        <v/>
      </c>
      <c r="BA521" s="2" t="str">
        <f>IF(""&amp;$F521&lt;&gt;"4","",IF($AY521="YES","",IF(ROUND(SUMIFS($AE$2:$AE$4001,$L$2:$L$4001,$L521,$F$2:$F$4001,"4")-SUMIFS('AR SALES'!$Y$2:$Y$2501,'AR SALES'!$L$2:$L$2501,$L521,'AR SALES'!$AD$2:$AD$2501,"OFF"),2)=0,"","STALE")))</f>
        <v/>
      </c>
      <c r="BB521" s="2" t="str">
        <f>IF(OR(""&amp;$F521="2",""&amp;$F521="4",""&amp;$F521="G",""&amp;$F521="H"),IF($AY521="YES","",IF($AB521&lt;&gt;0,"",IF(COUNTIFS('AR SALES'!$L$2:$L$2501,$L521,'AR SALES'!$AD$2:$AD$2501,IF(""&amp;$F521="4","OFF","ON"),'AR SALES'!$AF$2:$AF$2501,"Y")&gt;0,"","NO EXEMPTION"))),"")</f>
        <v/>
      </c>
    </row>
    <row r="522" spans="46:54" x14ac:dyDescent="0.25">
      <c r="AT522" s="2" t="str">
        <f>IF($L522="","",IFERROR(INDEX('AR SALES'!$H$2:$H$2501,MATCH(""&amp;$L522,'AR SALES'!$AE$2:$AE$2501,0)),""))</f>
        <v/>
      </c>
      <c r="AU522" s="2" t="str">
        <f t="shared" si="32"/>
        <v/>
      </c>
      <c r="AV522" s="2" t="str">
        <f t="shared" si="33"/>
        <v/>
      </c>
      <c r="AW522" s="2" t="str">
        <f t="shared" si="34"/>
        <v/>
      </c>
      <c r="AX522" s="2" t="str">
        <f t="shared" si="35"/>
        <v/>
      </c>
      <c r="AY522" s="2" t="str">
        <f>IF($AV522="","",IF(AND($Z522=0,COUNTIF('AR SALES'!$L$2:$L$2501,$L522)=0),"YES",""))</f>
        <v/>
      </c>
      <c r="AZ522" s="2" t="str">
        <f>IF($AV522="","",IF(COUNTIF(LISTS!$C$2:$C$250,$AU522)=0,"NEW",""))</f>
        <v/>
      </c>
      <c r="BA522" s="2" t="str">
        <f>IF(""&amp;$F522&lt;&gt;"4","",IF($AY522="YES","",IF(ROUND(SUMIFS($AE$2:$AE$4001,$L$2:$L$4001,$L522,$F$2:$F$4001,"4")-SUMIFS('AR SALES'!$Y$2:$Y$2501,'AR SALES'!$L$2:$L$2501,$L522,'AR SALES'!$AD$2:$AD$2501,"OFF"),2)=0,"","STALE")))</f>
        <v/>
      </c>
      <c r="BB522" s="2" t="str">
        <f>IF(OR(""&amp;$F522="2",""&amp;$F522="4",""&amp;$F522="G",""&amp;$F522="H"),IF($AY522="YES","",IF($AB522&lt;&gt;0,"",IF(COUNTIFS('AR SALES'!$L$2:$L$2501,$L522,'AR SALES'!$AD$2:$AD$2501,IF(""&amp;$F522="4","OFF","ON"),'AR SALES'!$AF$2:$AF$2501,"Y")&gt;0,"","NO EXEMPTION"))),"")</f>
        <v/>
      </c>
    </row>
    <row r="523" spans="46:54" x14ac:dyDescent="0.25">
      <c r="AT523" s="2" t="str">
        <f>IF($L523="","",IFERROR(INDEX('AR SALES'!$H$2:$H$2501,MATCH(""&amp;$L523,'AR SALES'!$AE$2:$AE$2501,0)),""))</f>
        <v/>
      </c>
      <c r="AU523" s="2" t="str">
        <f t="shared" si="32"/>
        <v/>
      </c>
      <c r="AV523" s="2" t="str">
        <f t="shared" si="33"/>
        <v/>
      </c>
      <c r="AW523" s="2" t="str">
        <f t="shared" si="34"/>
        <v/>
      </c>
      <c r="AX523" s="2" t="str">
        <f t="shared" si="35"/>
        <v/>
      </c>
      <c r="AY523" s="2" t="str">
        <f>IF($AV523="","",IF(AND($Z523=0,COUNTIF('AR SALES'!$L$2:$L$2501,$L523)=0),"YES",""))</f>
        <v/>
      </c>
      <c r="AZ523" s="2" t="str">
        <f>IF($AV523="","",IF(COUNTIF(LISTS!$C$2:$C$250,$AU523)=0,"NEW",""))</f>
        <v/>
      </c>
      <c r="BA523" s="2" t="str">
        <f>IF(""&amp;$F523&lt;&gt;"4","",IF($AY523="YES","",IF(ROUND(SUMIFS($AE$2:$AE$4001,$L$2:$L$4001,$L523,$F$2:$F$4001,"4")-SUMIFS('AR SALES'!$Y$2:$Y$2501,'AR SALES'!$L$2:$L$2501,$L523,'AR SALES'!$AD$2:$AD$2501,"OFF"),2)=0,"","STALE")))</f>
        <v/>
      </c>
      <c r="BB523" s="2" t="str">
        <f>IF(OR(""&amp;$F523="2",""&amp;$F523="4",""&amp;$F523="G",""&amp;$F523="H"),IF($AY523="YES","",IF($AB523&lt;&gt;0,"",IF(COUNTIFS('AR SALES'!$L$2:$L$2501,$L523,'AR SALES'!$AD$2:$AD$2501,IF(""&amp;$F523="4","OFF","ON"),'AR SALES'!$AF$2:$AF$2501,"Y")&gt;0,"","NO EXEMPTION"))),"")</f>
        <v/>
      </c>
    </row>
    <row r="524" spans="46:54" x14ac:dyDescent="0.25">
      <c r="AT524" s="2" t="str">
        <f>IF($L524="","",IFERROR(INDEX('AR SALES'!$H$2:$H$2501,MATCH(""&amp;$L524,'AR SALES'!$AE$2:$AE$2501,0)),""))</f>
        <v/>
      </c>
      <c r="AU524" s="2" t="str">
        <f t="shared" si="32"/>
        <v/>
      </c>
      <c r="AV524" s="2" t="str">
        <f t="shared" si="33"/>
        <v/>
      </c>
      <c r="AW524" s="2" t="str">
        <f t="shared" si="34"/>
        <v/>
      </c>
      <c r="AX524" s="2" t="str">
        <f t="shared" si="35"/>
        <v/>
      </c>
      <c r="AY524" s="2" t="str">
        <f>IF($AV524="","",IF(AND($Z524=0,COUNTIF('AR SALES'!$L$2:$L$2501,$L524)=0),"YES",""))</f>
        <v/>
      </c>
      <c r="AZ524" s="2" t="str">
        <f>IF($AV524="","",IF(COUNTIF(LISTS!$C$2:$C$250,$AU524)=0,"NEW",""))</f>
        <v/>
      </c>
      <c r="BA524" s="2" t="str">
        <f>IF(""&amp;$F524&lt;&gt;"4","",IF($AY524="YES","",IF(ROUND(SUMIFS($AE$2:$AE$4001,$L$2:$L$4001,$L524,$F$2:$F$4001,"4")-SUMIFS('AR SALES'!$Y$2:$Y$2501,'AR SALES'!$L$2:$L$2501,$L524,'AR SALES'!$AD$2:$AD$2501,"OFF"),2)=0,"","STALE")))</f>
        <v/>
      </c>
      <c r="BB524" s="2" t="str">
        <f>IF(OR(""&amp;$F524="2",""&amp;$F524="4",""&amp;$F524="G",""&amp;$F524="H"),IF($AY524="YES","",IF($AB524&lt;&gt;0,"",IF(COUNTIFS('AR SALES'!$L$2:$L$2501,$L524,'AR SALES'!$AD$2:$AD$2501,IF(""&amp;$F524="4","OFF","ON"),'AR SALES'!$AF$2:$AF$2501,"Y")&gt;0,"","NO EXEMPTION"))),"")</f>
        <v/>
      </c>
    </row>
    <row r="525" spans="46:54" x14ac:dyDescent="0.25">
      <c r="AT525" s="2" t="str">
        <f>IF($L525="","",IFERROR(INDEX('AR SALES'!$H$2:$H$2501,MATCH(""&amp;$L525,'AR SALES'!$AE$2:$AE$2501,0)),""))</f>
        <v/>
      </c>
      <c r="AU525" s="2" t="str">
        <f t="shared" si="32"/>
        <v/>
      </c>
      <c r="AV525" s="2" t="str">
        <f t="shared" si="33"/>
        <v/>
      </c>
      <c r="AW525" s="2" t="str">
        <f t="shared" si="34"/>
        <v/>
      </c>
      <c r="AX525" s="2" t="str">
        <f t="shared" si="35"/>
        <v/>
      </c>
      <c r="AY525" s="2" t="str">
        <f>IF($AV525="","",IF(AND($Z525=0,COUNTIF('AR SALES'!$L$2:$L$2501,$L525)=0),"YES",""))</f>
        <v/>
      </c>
      <c r="AZ525" s="2" t="str">
        <f>IF($AV525="","",IF(COUNTIF(LISTS!$C$2:$C$250,$AU525)=0,"NEW",""))</f>
        <v/>
      </c>
      <c r="BA525" s="2" t="str">
        <f>IF(""&amp;$F525&lt;&gt;"4","",IF($AY525="YES","",IF(ROUND(SUMIFS($AE$2:$AE$4001,$L$2:$L$4001,$L525,$F$2:$F$4001,"4")-SUMIFS('AR SALES'!$Y$2:$Y$2501,'AR SALES'!$L$2:$L$2501,$L525,'AR SALES'!$AD$2:$AD$2501,"OFF"),2)=0,"","STALE")))</f>
        <v/>
      </c>
      <c r="BB525" s="2" t="str">
        <f>IF(OR(""&amp;$F525="2",""&amp;$F525="4",""&amp;$F525="G",""&amp;$F525="H"),IF($AY525="YES","",IF($AB525&lt;&gt;0,"",IF(COUNTIFS('AR SALES'!$L$2:$L$2501,$L525,'AR SALES'!$AD$2:$AD$2501,IF(""&amp;$F525="4","OFF","ON"),'AR SALES'!$AF$2:$AF$2501,"Y")&gt;0,"","NO EXEMPTION"))),"")</f>
        <v/>
      </c>
    </row>
    <row r="526" spans="46:54" x14ac:dyDescent="0.25">
      <c r="AT526" s="2" t="str">
        <f>IF($L526="","",IFERROR(INDEX('AR SALES'!$H$2:$H$2501,MATCH(""&amp;$L526,'AR SALES'!$AE$2:$AE$2501,0)),""))</f>
        <v/>
      </c>
      <c r="AU526" s="2" t="str">
        <f t="shared" si="32"/>
        <v/>
      </c>
      <c r="AV526" s="2" t="str">
        <f t="shared" si="33"/>
        <v/>
      </c>
      <c r="AW526" s="2" t="str">
        <f t="shared" si="34"/>
        <v/>
      </c>
      <c r="AX526" s="2" t="str">
        <f t="shared" si="35"/>
        <v/>
      </c>
      <c r="AY526" s="2" t="str">
        <f>IF($AV526="","",IF(AND($Z526=0,COUNTIF('AR SALES'!$L$2:$L$2501,$L526)=0),"YES",""))</f>
        <v/>
      </c>
      <c r="AZ526" s="2" t="str">
        <f>IF($AV526="","",IF(COUNTIF(LISTS!$C$2:$C$250,$AU526)=0,"NEW",""))</f>
        <v/>
      </c>
      <c r="BA526" s="2" t="str">
        <f>IF(""&amp;$F526&lt;&gt;"4","",IF($AY526="YES","",IF(ROUND(SUMIFS($AE$2:$AE$4001,$L$2:$L$4001,$L526,$F$2:$F$4001,"4")-SUMIFS('AR SALES'!$Y$2:$Y$2501,'AR SALES'!$L$2:$L$2501,$L526,'AR SALES'!$AD$2:$AD$2501,"OFF"),2)=0,"","STALE")))</f>
        <v/>
      </c>
      <c r="BB526" s="2" t="str">
        <f>IF(OR(""&amp;$F526="2",""&amp;$F526="4",""&amp;$F526="G",""&amp;$F526="H"),IF($AY526="YES","",IF($AB526&lt;&gt;0,"",IF(COUNTIFS('AR SALES'!$L$2:$L$2501,$L526,'AR SALES'!$AD$2:$AD$2501,IF(""&amp;$F526="4","OFF","ON"),'AR SALES'!$AF$2:$AF$2501,"Y")&gt;0,"","NO EXEMPTION"))),"")</f>
        <v/>
      </c>
    </row>
    <row r="527" spans="46:54" x14ac:dyDescent="0.25">
      <c r="AT527" s="2" t="str">
        <f>IF($L527="","",IFERROR(INDEX('AR SALES'!$H$2:$H$2501,MATCH(""&amp;$L527,'AR SALES'!$AE$2:$AE$2501,0)),""))</f>
        <v/>
      </c>
      <c r="AU527" s="2" t="str">
        <f t="shared" si="32"/>
        <v/>
      </c>
      <c r="AV527" s="2" t="str">
        <f t="shared" si="33"/>
        <v/>
      </c>
      <c r="AW527" s="2" t="str">
        <f t="shared" si="34"/>
        <v/>
      </c>
      <c r="AX527" s="2" t="str">
        <f t="shared" si="35"/>
        <v/>
      </c>
      <c r="AY527" s="2" t="str">
        <f>IF($AV527="","",IF(AND($Z527=0,COUNTIF('AR SALES'!$L$2:$L$2501,$L527)=0),"YES",""))</f>
        <v/>
      </c>
      <c r="AZ527" s="2" t="str">
        <f>IF($AV527="","",IF(COUNTIF(LISTS!$C$2:$C$250,$AU527)=0,"NEW",""))</f>
        <v/>
      </c>
      <c r="BA527" s="2" t="str">
        <f>IF(""&amp;$F527&lt;&gt;"4","",IF($AY527="YES","",IF(ROUND(SUMIFS($AE$2:$AE$4001,$L$2:$L$4001,$L527,$F$2:$F$4001,"4")-SUMIFS('AR SALES'!$Y$2:$Y$2501,'AR SALES'!$L$2:$L$2501,$L527,'AR SALES'!$AD$2:$AD$2501,"OFF"),2)=0,"","STALE")))</f>
        <v/>
      </c>
      <c r="BB527" s="2" t="str">
        <f>IF(OR(""&amp;$F527="2",""&amp;$F527="4",""&amp;$F527="G",""&amp;$F527="H"),IF($AY527="YES","",IF($AB527&lt;&gt;0,"",IF(COUNTIFS('AR SALES'!$L$2:$L$2501,$L527,'AR SALES'!$AD$2:$AD$2501,IF(""&amp;$F527="4","OFF","ON"),'AR SALES'!$AF$2:$AF$2501,"Y")&gt;0,"","NO EXEMPTION"))),"")</f>
        <v/>
      </c>
    </row>
    <row r="528" spans="46:54" x14ac:dyDescent="0.25">
      <c r="AT528" s="2" t="str">
        <f>IF($L528="","",IFERROR(INDEX('AR SALES'!$H$2:$H$2501,MATCH(""&amp;$L528,'AR SALES'!$AE$2:$AE$2501,0)),""))</f>
        <v/>
      </c>
      <c r="AU528" s="2" t="str">
        <f t="shared" si="32"/>
        <v/>
      </c>
      <c r="AV528" s="2" t="str">
        <f t="shared" si="33"/>
        <v/>
      </c>
      <c r="AW528" s="2" t="str">
        <f t="shared" si="34"/>
        <v/>
      </c>
      <c r="AX528" s="2" t="str">
        <f t="shared" si="35"/>
        <v/>
      </c>
      <c r="AY528" s="2" t="str">
        <f>IF($AV528="","",IF(AND($Z528=0,COUNTIF('AR SALES'!$L$2:$L$2501,$L528)=0),"YES",""))</f>
        <v/>
      </c>
      <c r="AZ528" s="2" t="str">
        <f>IF($AV528="","",IF(COUNTIF(LISTS!$C$2:$C$250,$AU528)=0,"NEW",""))</f>
        <v/>
      </c>
      <c r="BA528" s="2" t="str">
        <f>IF(""&amp;$F528&lt;&gt;"4","",IF($AY528="YES","",IF(ROUND(SUMIFS($AE$2:$AE$4001,$L$2:$L$4001,$L528,$F$2:$F$4001,"4")-SUMIFS('AR SALES'!$Y$2:$Y$2501,'AR SALES'!$L$2:$L$2501,$L528,'AR SALES'!$AD$2:$AD$2501,"OFF"),2)=0,"","STALE")))</f>
        <v/>
      </c>
      <c r="BB528" s="2" t="str">
        <f>IF(OR(""&amp;$F528="2",""&amp;$F528="4",""&amp;$F528="G",""&amp;$F528="H"),IF($AY528="YES","",IF($AB528&lt;&gt;0,"",IF(COUNTIFS('AR SALES'!$L$2:$L$2501,$L528,'AR SALES'!$AD$2:$AD$2501,IF(""&amp;$F528="4","OFF","ON"),'AR SALES'!$AF$2:$AF$2501,"Y")&gt;0,"","NO EXEMPTION"))),"")</f>
        <v/>
      </c>
    </row>
    <row r="529" spans="46:54" x14ac:dyDescent="0.25">
      <c r="AT529" s="2" t="str">
        <f>IF($L529="","",IFERROR(INDEX('AR SALES'!$H$2:$H$2501,MATCH(""&amp;$L529,'AR SALES'!$AE$2:$AE$2501,0)),""))</f>
        <v/>
      </c>
      <c r="AU529" s="2" t="str">
        <f t="shared" si="32"/>
        <v/>
      </c>
      <c r="AV529" s="2" t="str">
        <f t="shared" si="33"/>
        <v/>
      </c>
      <c r="AW529" s="2" t="str">
        <f t="shared" si="34"/>
        <v/>
      </c>
      <c r="AX529" s="2" t="str">
        <f t="shared" si="35"/>
        <v/>
      </c>
      <c r="AY529" s="2" t="str">
        <f>IF($AV529="","",IF(AND($Z529=0,COUNTIF('AR SALES'!$L$2:$L$2501,$L529)=0),"YES",""))</f>
        <v/>
      </c>
      <c r="AZ529" s="2" t="str">
        <f>IF($AV529="","",IF(COUNTIF(LISTS!$C$2:$C$250,$AU529)=0,"NEW",""))</f>
        <v/>
      </c>
      <c r="BA529" s="2" t="str">
        <f>IF(""&amp;$F529&lt;&gt;"4","",IF($AY529="YES","",IF(ROUND(SUMIFS($AE$2:$AE$4001,$L$2:$L$4001,$L529,$F$2:$F$4001,"4")-SUMIFS('AR SALES'!$Y$2:$Y$2501,'AR SALES'!$L$2:$L$2501,$L529,'AR SALES'!$AD$2:$AD$2501,"OFF"),2)=0,"","STALE")))</f>
        <v/>
      </c>
      <c r="BB529" s="2" t="str">
        <f>IF(OR(""&amp;$F529="2",""&amp;$F529="4",""&amp;$F529="G",""&amp;$F529="H"),IF($AY529="YES","",IF($AB529&lt;&gt;0,"",IF(COUNTIFS('AR SALES'!$L$2:$L$2501,$L529,'AR SALES'!$AD$2:$AD$2501,IF(""&amp;$F529="4","OFF","ON"),'AR SALES'!$AF$2:$AF$2501,"Y")&gt;0,"","NO EXEMPTION"))),"")</f>
        <v/>
      </c>
    </row>
    <row r="530" spans="46:54" x14ac:dyDescent="0.25">
      <c r="AT530" s="2" t="str">
        <f>IF($L530="","",IFERROR(INDEX('AR SALES'!$H$2:$H$2501,MATCH(""&amp;$L530,'AR SALES'!$AE$2:$AE$2501,0)),""))</f>
        <v/>
      </c>
      <c r="AU530" s="2" t="str">
        <f t="shared" si="32"/>
        <v/>
      </c>
      <c r="AV530" s="2" t="str">
        <f t="shared" si="33"/>
        <v/>
      </c>
      <c r="AW530" s="2" t="str">
        <f t="shared" si="34"/>
        <v/>
      </c>
      <c r="AX530" s="2" t="str">
        <f t="shared" si="35"/>
        <v/>
      </c>
      <c r="AY530" s="2" t="str">
        <f>IF($AV530="","",IF(AND($Z530=0,COUNTIF('AR SALES'!$L$2:$L$2501,$L530)=0),"YES",""))</f>
        <v/>
      </c>
      <c r="AZ530" s="2" t="str">
        <f>IF($AV530="","",IF(COUNTIF(LISTS!$C$2:$C$250,$AU530)=0,"NEW",""))</f>
        <v/>
      </c>
      <c r="BA530" s="2" t="str">
        <f>IF(""&amp;$F530&lt;&gt;"4","",IF($AY530="YES","",IF(ROUND(SUMIFS($AE$2:$AE$4001,$L$2:$L$4001,$L530,$F$2:$F$4001,"4")-SUMIFS('AR SALES'!$Y$2:$Y$2501,'AR SALES'!$L$2:$L$2501,$L530,'AR SALES'!$AD$2:$AD$2501,"OFF"),2)=0,"","STALE")))</f>
        <v/>
      </c>
      <c r="BB530" s="2" t="str">
        <f>IF(OR(""&amp;$F530="2",""&amp;$F530="4",""&amp;$F530="G",""&amp;$F530="H"),IF($AY530="YES","",IF($AB530&lt;&gt;0,"",IF(COUNTIFS('AR SALES'!$L$2:$L$2501,$L530,'AR SALES'!$AD$2:$AD$2501,IF(""&amp;$F530="4","OFF","ON"),'AR SALES'!$AF$2:$AF$2501,"Y")&gt;0,"","NO EXEMPTION"))),"")</f>
        <v/>
      </c>
    </row>
    <row r="531" spans="46:54" x14ac:dyDescent="0.25">
      <c r="AT531" s="2" t="str">
        <f>IF($L531="","",IFERROR(INDEX('AR SALES'!$H$2:$H$2501,MATCH(""&amp;$L531,'AR SALES'!$AE$2:$AE$2501,0)),""))</f>
        <v/>
      </c>
      <c r="AU531" s="2" t="str">
        <f t="shared" si="32"/>
        <v/>
      </c>
      <c r="AV531" s="2" t="str">
        <f t="shared" si="33"/>
        <v/>
      </c>
      <c r="AW531" s="2" t="str">
        <f t="shared" si="34"/>
        <v/>
      </c>
      <c r="AX531" s="2" t="str">
        <f t="shared" si="35"/>
        <v/>
      </c>
      <c r="AY531" s="2" t="str">
        <f>IF($AV531="","",IF(AND($Z531=0,COUNTIF('AR SALES'!$L$2:$L$2501,$L531)=0),"YES",""))</f>
        <v/>
      </c>
      <c r="AZ531" s="2" t="str">
        <f>IF($AV531="","",IF(COUNTIF(LISTS!$C$2:$C$250,$AU531)=0,"NEW",""))</f>
        <v/>
      </c>
      <c r="BA531" s="2" t="str">
        <f>IF(""&amp;$F531&lt;&gt;"4","",IF($AY531="YES","",IF(ROUND(SUMIFS($AE$2:$AE$4001,$L$2:$L$4001,$L531,$F$2:$F$4001,"4")-SUMIFS('AR SALES'!$Y$2:$Y$2501,'AR SALES'!$L$2:$L$2501,$L531,'AR SALES'!$AD$2:$AD$2501,"OFF"),2)=0,"","STALE")))</f>
        <v/>
      </c>
      <c r="BB531" s="2" t="str">
        <f>IF(OR(""&amp;$F531="2",""&amp;$F531="4",""&amp;$F531="G",""&amp;$F531="H"),IF($AY531="YES","",IF($AB531&lt;&gt;0,"",IF(COUNTIFS('AR SALES'!$L$2:$L$2501,$L531,'AR SALES'!$AD$2:$AD$2501,IF(""&amp;$F531="4","OFF","ON"),'AR SALES'!$AF$2:$AF$2501,"Y")&gt;0,"","NO EXEMPTION"))),"")</f>
        <v/>
      </c>
    </row>
    <row r="532" spans="46:54" x14ac:dyDescent="0.25">
      <c r="AT532" s="2" t="str">
        <f>IF($L532="","",IFERROR(INDEX('AR SALES'!$H$2:$H$2501,MATCH(""&amp;$L532,'AR SALES'!$AE$2:$AE$2501,0)),""))</f>
        <v/>
      </c>
      <c r="AU532" s="2" t="str">
        <f t="shared" si="32"/>
        <v/>
      </c>
      <c r="AV532" s="2" t="str">
        <f t="shared" si="33"/>
        <v/>
      </c>
      <c r="AW532" s="2" t="str">
        <f t="shared" si="34"/>
        <v/>
      </c>
      <c r="AX532" s="2" t="str">
        <f t="shared" si="35"/>
        <v/>
      </c>
      <c r="AY532" s="2" t="str">
        <f>IF($AV532="","",IF(AND($Z532=0,COUNTIF('AR SALES'!$L$2:$L$2501,$L532)=0),"YES",""))</f>
        <v/>
      </c>
      <c r="AZ532" s="2" t="str">
        <f>IF($AV532="","",IF(COUNTIF(LISTS!$C$2:$C$250,$AU532)=0,"NEW",""))</f>
        <v/>
      </c>
      <c r="BA532" s="2" t="str">
        <f>IF(""&amp;$F532&lt;&gt;"4","",IF($AY532="YES","",IF(ROUND(SUMIFS($AE$2:$AE$4001,$L$2:$L$4001,$L532,$F$2:$F$4001,"4")-SUMIFS('AR SALES'!$Y$2:$Y$2501,'AR SALES'!$L$2:$L$2501,$L532,'AR SALES'!$AD$2:$AD$2501,"OFF"),2)=0,"","STALE")))</f>
        <v/>
      </c>
      <c r="BB532" s="2" t="str">
        <f>IF(OR(""&amp;$F532="2",""&amp;$F532="4",""&amp;$F532="G",""&amp;$F532="H"),IF($AY532="YES","",IF($AB532&lt;&gt;0,"",IF(COUNTIFS('AR SALES'!$L$2:$L$2501,$L532,'AR SALES'!$AD$2:$AD$2501,IF(""&amp;$F532="4","OFF","ON"),'AR SALES'!$AF$2:$AF$2501,"Y")&gt;0,"","NO EXEMPTION"))),"")</f>
        <v/>
      </c>
    </row>
    <row r="533" spans="46:54" x14ac:dyDescent="0.25">
      <c r="AT533" s="2" t="str">
        <f>IF($L533="","",IFERROR(INDEX('AR SALES'!$H$2:$H$2501,MATCH(""&amp;$L533,'AR SALES'!$AE$2:$AE$2501,0)),""))</f>
        <v/>
      </c>
      <c r="AU533" s="2" t="str">
        <f t="shared" si="32"/>
        <v/>
      </c>
      <c r="AV533" s="2" t="str">
        <f t="shared" si="33"/>
        <v/>
      </c>
      <c r="AW533" s="2" t="str">
        <f t="shared" si="34"/>
        <v/>
      </c>
      <c r="AX533" s="2" t="str">
        <f t="shared" si="35"/>
        <v/>
      </c>
      <c r="AY533" s="2" t="str">
        <f>IF($AV533="","",IF(AND($Z533=0,COUNTIF('AR SALES'!$L$2:$L$2501,$L533)=0),"YES",""))</f>
        <v/>
      </c>
      <c r="AZ533" s="2" t="str">
        <f>IF($AV533="","",IF(COUNTIF(LISTS!$C$2:$C$250,$AU533)=0,"NEW",""))</f>
        <v/>
      </c>
      <c r="BA533" s="2" t="str">
        <f>IF(""&amp;$F533&lt;&gt;"4","",IF($AY533="YES","",IF(ROUND(SUMIFS($AE$2:$AE$4001,$L$2:$L$4001,$L533,$F$2:$F$4001,"4")-SUMIFS('AR SALES'!$Y$2:$Y$2501,'AR SALES'!$L$2:$L$2501,$L533,'AR SALES'!$AD$2:$AD$2501,"OFF"),2)=0,"","STALE")))</f>
        <v/>
      </c>
      <c r="BB533" s="2" t="str">
        <f>IF(OR(""&amp;$F533="2",""&amp;$F533="4",""&amp;$F533="G",""&amp;$F533="H"),IF($AY533="YES","",IF($AB533&lt;&gt;0,"",IF(COUNTIFS('AR SALES'!$L$2:$L$2501,$L533,'AR SALES'!$AD$2:$AD$2501,IF(""&amp;$F533="4","OFF","ON"),'AR SALES'!$AF$2:$AF$2501,"Y")&gt;0,"","NO EXEMPTION"))),"")</f>
        <v/>
      </c>
    </row>
    <row r="534" spans="46:54" x14ac:dyDescent="0.25">
      <c r="AT534" s="2" t="str">
        <f>IF($L534="","",IFERROR(INDEX('AR SALES'!$H$2:$H$2501,MATCH(""&amp;$L534,'AR SALES'!$AE$2:$AE$2501,0)),""))</f>
        <v/>
      </c>
      <c r="AU534" s="2" t="str">
        <f t="shared" si="32"/>
        <v/>
      </c>
      <c r="AV534" s="2" t="str">
        <f t="shared" si="33"/>
        <v/>
      </c>
      <c r="AW534" s="2" t="str">
        <f t="shared" si="34"/>
        <v/>
      </c>
      <c r="AX534" s="2" t="str">
        <f t="shared" si="35"/>
        <v/>
      </c>
      <c r="AY534" s="2" t="str">
        <f>IF($AV534="","",IF(AND($Z534=0,COUNTIF('AR SALES'!$L$2:$L$2501,$L534)=0),"YES",""))</f>
        <v/>
      </c>
      <c r="AZ534" s="2" t="str">
        <f>IF($AV534="","",IF(COUNTIF(LISTS!$C$2:$C$250,$AU534)=0,"NEW",""))</f>
        <v/>
      </c>
      <c r="BA534" s="2" t="str">
        <f>IF(""&amp;$F534&lt;&gt;"4","",IF($AY534="YES","",IF(ROUND(SUMIFS($AE$2:$AE$4001,$L$2:$L$4001,$L534,$F$2:$F$4001,"4")-SUMIFS('AR SALES'!$Y$2:$Y$2501,'AR SALES'!$L$2:$L$2501,$L534,'AR SALES'!$AD$2:$AD$2501,"OFF"),2)=0,"","STALE")))</f>
        <v/>
      </c>
      <c r="BB534" s="2" t="str">
        <f>IF(OR(""&amp;$F534="2",""&amp;$F534="4",""&amp;$F534="G",""&amp;$F534="H"),IF($AY534="YES","",IF($AB534&lt;&gt;0,"",IF(COUNTIFS('AR SALES'!$L$2:$L$2501,$L534,'AR SALES'!$AD$2:$AD$2501,IF(""&amp;$F534="4","OFF","ON"),'AR SALES'!$AF$2:$AF$2501,"Y")&gt;0,"","NO EXEMPTION"))),"")</f>
        <v/>
      </c>
    </row>
    <row r="535" spans="46:54" x14ac:dyDescent="0.25">
      <c r="AT535" s="2" t="str">
        <f>IF($L535="","",IFERROR(INDEX('AR SALES'!$H$2:$H$2501,MATCH(""&amp;$L535,'AR SALES'!$AE$2:$AE$2501,0)),""))</f>
        <v/>
      </c>
      <c r="AU535" s="2" t="str">
        <f t="shared" si="32"/>
        <v/>
      </c>
      <c r="AV535" s="2" t="str">
        <f t="shared" si="33"/>
        <v/>
      </c>
      <c r="AW535" s="2" t="str">
        <f t="shared" si="34"/>
        <v/>
      </c>
      <c r="AX535" s="2" t="str">
        <f t="shared" si="35"/>
        <v/>
      </c>
      <c r="AY535" s="2" t="str">
        <f>IF($AV535="","",IF(AND($Z535=0,COUNTIF('AR SALES'!$L$2:$L$2501,$L535)=0),"YES",""))</f>
        <v/>
      </c>
      <c r="AZ535" s="2" t="str">
        <f>IF($AV535="","",IF(COUNTIF(LISTS!$C$2:$C$250,$AU535)=0,"NEW",""))</f>
        <v/>
      </c>
      <c r="BA535" s="2" t="str">
        <f>IF(""&amp;$F535&lt;&gt;"4","",IF($AY535="YES","",IF(ROUND(SUMIFS($AE$2:$AE$4001,$L$2:$L$4001,$L535,$F$2:$F$4001,"4")-SUMIFS('AR SALES'!$Y$2:$Y$2501,'AR SALES'!$L$2:$L$2501,$L535,'AR SALES'!$AD$2:$AD$2501,"OFF"),2)=0,"","STALE")))</f>
        <v/>
      </c>
      <c r="BB535" s="2" t="str">
        <f>IF(OR(""&amp;$F535="2",""&amp;$F535="4",""&amp;$F535="G",""&amp;$F535="H"),IF($AY535="YES","",IF($AB535&lt;&gt;0,"",IF(COUNTIFS('AR SALES'!$L$2:$L$2501,$L535,'AR SALES'!$AD$2:$AD$2501,IF(""&amp;$F535="4","OFF","ON"),'AR SALES'!$AF$2:$AF$2501,"Y")&gt;0,"","NO EXEMPTION"))),"")</f>
        <v/>
      </c>
    </row>
    <row r="536" spans="46:54" x14ac:dyDescent="0.25">
      <c r="AT536" s="2" t="str">
        <f>IF($L536="","",IFERROR(INDEX('AR SALES'!$H$2:$H$2501,MATCH(""&amp;$L536,'AR SALES'!$AE$2:$AE$2501,0)),""))</f>
        <v/>
      </c>
      <c r="AU536" s="2" t="str">
        <f t="shared" si="32"/>
        <v/>
      </c>
      <c r="AV536" s="2" t="str">
        <f t="shared" si="33"/>
        <v/>
      </c>
      <c r="AW536" s="2" t="str">
        <f t="shared" si="34"/>
        <v/>
      </c>
      <c r="AX536" s="2" t="str">
        <f t="shared" si="35"/>
        <v/>
      </c>
      <c r="AY536" s="2" t="str">
        <f>IF($AV536="","",IF(AND($Z536=0,COUNTIF('AR SALES'!$L$2:$L$2501,$L536)=0),"YES",""))</f>
        <v/>
      </c>
      <c r="AZ536" s="2" t="str">
        <f>IF($AV536="","",IF(COUNTIF(LISTS!$C$2:$C$250,$AU536)=0,"NEW",""))</f>
        <v/>
      </c>
      <c r="BA536" s="2" t="str">
        <f>IF(""&amp;$F536&lt;&gt;"4","",IF($AY536="YES","",IF(ROUND(SUMIFS($AE$2:$AE$4001,$L$2:$L$4001,$L536,$F$2:$F$4001,"4")-SUMIFS('AR SALES'!$Y$2:$Y$2501,'AR SALES'!$L$2:$L$2501,$L536,'AR SALES'!$AD$2:$AD$2501,"OFF"),2)=0,"","STALE")))</f>
        <v/>
      </c>
      <c r="BB536" s="2" t="str">
        <f>IF(OR(""&amp;$F536="2",""&amp;$F536="4",""&amp;$F536="G",""&amp;$F536="H"),IF($AY536="YES","",IF($AB536&lt;&gt;0,"",IF(COUNTIFS('AR SALES'!$L$2:$L$2501,$L536,'AR SALES'!$AD$2:$AD$2501,IF(""&amp;$F536="4","OFF","ON"),'AR SALES'!$AF$2:$AF$2501,"Y")&gt;0,"","NO EXEMPTION"))),"")</f>
        <v/>
      </c>
    </row>
    <row r="537" spans="46:54" x14ac:dyDescent="0.25">
      <c r="AT537" s="2" t="str">
        <f>IF($L537="","",IFERROR(INDEX('AR SALES'!$H$2:$H$2501,MATCH(""&amp;$L537,'AR SALES'!$AE$2:$AE$2501,0)),""))</f>
        <v/>
      </c>
      <c r="AU537" s="2" t="str">
        <f t="shared" si="32"/>
        <v/>
      </c>
      <c r="AV537" s="2" t="str">
        <f t="shared" si="33"/>
        <v/>
      </c>
      <c r="AW537" s="2" t="str">
        <f t="shared" si="34"/>
        <v/>
      </c>
      <c r="AX537" s="2" t="str">
        <f t="shared" si="35"/>
        <v/>
      </c>
      <c r="AY537" s="2" t="str">
        <f>IF($AV537="","",IF(AND($Z537=0,COUNTIF('AR SALES'!$L$2:$L$2501,$L537)=0),"YES",""))</f>
        <v/>
      </c>
      <c r="AZ537" s="2" t="str">
        <f>IF($AV537="","",IF(COUNTIF(LISTS!$C$2:$C$250,$AU537)=0,"NEW",""))</f>
        <v/>
      </c>
      <c r="BA537" s="2" t="str">
        <f>IF(""&amp;$F537&lt;&gt;"4","",IF($AY537="YES","",IF(ROUND(SUMIFS($AE$2:$AE$4001,$L$2:$L$4001,$L537,$F$2:$F$4001,"4")-SUMIFS('AR SALES'!$Y$2:$Y$2501,'AR SALES'!$L$2:$L$2501,$L537,'AR SALES'!$AD$2:$AD$2501,"OFF"),2)=0,"","STALE")))</f>
        <v/>
      </c>
      <c r="BB537" s="2" t="str">
        <f>IF(OR(""&amp;$F537="2",""&amp;$F537="4",""&amp;$F537="G",""&amp;$F537="H"),IF($AY537="YES","",IF($AB537&lt;&gt;0,"",IF(COUNTIFS('AR SALES'!$L$2:$L$2501,$L537,'AR SALES'!$AD$2:$AD$2501,IF(""&amp;$F537="4","OFF","ON"),'AR SALES'!$AF$2:$AF$2501,"Y")&gt;0,"","NO EXEMPTION"))),"")</f>
        <v/>
      </c>
    </row>
    <row r="538" spans="46:54" x14ac:dyDescent="0.25">
      <c r="AT538" s="2" t="str">
        <f>IF($L538="","",IFERROR(INDEX('AR SALES'!$H$2:$H$2501,MATCH(""&amp;$L538,'AR SALES'!$AE$2:$AE$2501,0)),""))</f>
        <v/>
      </c>
      <c r="AU538" s="2" t="str">
        <f t="shared" si="32"/>
        <v/>
      </c>
      <c r="AV538" s="2" t="str">
        <f t="shared" si="33"/>
        <v/>
      </c>
      <c r="AW538" s="2" t="str">
        <f t="shared" si="34"/>
        <v/>
      </c>
      <c r="AX538" s="2" t="str">
        <f t="shared" si="35"/>
        <v/>
      </c>
      <c r="AY538" s="2" t="str">
        <f>IF($AV538="","",IF(AND($Z538=0,COUNTIF('AR SALES'!$L$2:$L$2501,$L538)=0),"YES",""))</f>
        <v/>
      </c>
      <c r="AZ538" s="2" t="str">
        <f>IF($AV538="","",IF(COUNTIF(LISTS!$C$2:$C$250,$AU538)=0,"NEW",""))</f>
        <v/>
      </c>
      <c r="BA538" s="2" t="str">
        <f>IF(""&amp;$F538&lt;&gt;"4","",IF($AY538="YES","",IF(ROUND(SUMIFS($AE$2:$AE$4001,$L$2:$L$4001,$L538,$F$2:$F$4001,"4")-SUMIFS('AR SALES'!$Y$2:$Y$2501,'AR SALES'!$L$2:$L$2501,$L538,'AR SALES'!$AD$2:$AD$2501,"OFF"),2)=0,"","STALE")))</f>
        <v/>
      </c>
      <c r="BB538" s="2" t="str">
        <f>IF(OR(""&amp;$F538="2",""&amp;$F538="4",""&amp;$F538="G",""&amp;$F538="H"),IF($AY538="YES","",IF($AB538&lt;&gt;0,"",IF(COUNTIFS('AR SALES'!$L$2:$L$2501,$L538,'AR SALES'!$AD$2:$AD$2501,IF(""&amp;$F538="4","OFF","ON"),'AR SALES'!$AF$2:$AF$2501,"Y")&gt;0,"","NO EXEMPTION"))),"")</f>
        <v/>
      </c>
    </row>
    <row r="539" spans="46:54" x14ac:dyDescent="0.25">
      <c r="AT539" s="2" t="str">
        <f>IF($L539="","",IFERROR(INDEX('AR SALES'!$H$2:$H$2501,MATCH(""&amp;$L539,'AR SALES'!$AE$2:$AE$2501,0)),""))</f>
        <v/>
      </c>
      <c r="AU539" s="2" t="str">
        <f t="shared" si="32"/>
        <v/>
      </c>
      <c r="AV539" s="2" t="str">
        <f t="shared" si="33"/>
        <v/>
      </c>
      <c r="AW539" s="2" t="str">
        <f t="shared" si="34"/>
        <v/>
      </c>
      <c r="AX539" s="2" t="str">
        <f t="shared" si="35"/>
        <v/>
      </c>
      <c r="AY539" s="2" t="str">
        <f>IF($AV539="","",IF(AND($Z539=0,COUNTIF('AR SALES'!$L$2:$L$2501,$L539)=0),"YES",""))</f>
        <v/>
      </c>
      <c r="AZ539" s="2" t="str">
        <f>IF($AV539="","",IF(COUNTIF(LISTS!$C$2:$C$250,$AU539)=0,"NEW",""))</f>
        <v/>
      </c>
      <c r="BA539" s="2" t="str">
        <f>IF(""&amp;$F539&lt;&gt;"4","",IF($AY539="YES","",IF(ROUND(SUMIFS($AE$2:$AE$4001,$L$2:$L$4001,$L539,$F$2:$F$4001,"4")-SUMIFS('AR SALES'!$Y$2:$Y$2501,'AR SALES'!$L$2:$L$2501,$L539,'AR SALES'!$AD$2:$AD$2501,"OFF"),2)=0,"","STALE")))</f>
        <v/>
      </c>
      <c r="BB539" s="2" t="str">
        <f>IF(OR(""&amp;$F539="2",""&amp;$F539="4",""&amp;$F539="G",""&amp;$F539="H"),IF($AY539="YES","",IF($AB539&lt;&gt;0,"",IF(COUNTIFS('AR SALES'!$L$2:$L$2501,$L539,'AR SALES'!$AD$2:$AD$2501,IF(""&amp;$F539="4","OFF","ON"),'AR SALES'!$AF$2:$AF$2501,"Y")&gt;0,"","NO EXEMPTION"))),"")</f>
        <v/>
      </c>
    </row>
    <row r="540" spans="46:54" x14ac:dyDescent="0.25">
      <c r="AT540" s="2" t="str">
        <f>IF($L540="","",IFERROR(INDEX('AR SALES'!$H$2:$H$2501,MATCH(""&amp;$L540,'AR SALES'!$AE$2:$AE$2501,0)),""))</f>
        <v/>
      </c>
      <c r="AU540" s="2" t="str">
        <f t="shared" si="32"/>
        <v/>
      </c>
      <c r="AV540" s="2" t="str">
        <f t="shared" si="33"/>
        <v/>
      </c>
      <c r="AW540" s="2" t="str">
        <f t="shared" si="34"/>
        <v/>
      </c>
      <c r="AX540" s="2" t="str">
        <f t="shared" si="35"/>
        <v/>
      </c>
      <c r="AY540" s="2" t="str">
        <f>IF($AV540="","",IF(AND($Z540=0,COUNTIF('AR SALES'!$L$2:$L$2501,$L540)=0),"YES",""))</f>
        <v/>
      </c>
      <c r="AZ540" s="2" t="str">
        <f>IF($AV540="","",IF(COUNTIF(LISTS!$C$2:$C$250,$AU540)=0,"NEW",""))</f>
        <v/>
      </c>
      <c r="BA540" s="2" t="str">
        <f>IF(""&amp;$F540&lt;&gt;"4","",IF($AY540="YES","",IF(ROUND(SUMIFS($AE$2:$AE$4001,$L$2:$L$4001,$L540,$F$2:$F$4001,"4")-SUMIFS('AR SALES'!$Y$2:$Y$2501,'AR SALES'!$L$2:$L$2501,$L540,'AR SALES'!$AD$2:$AD$2501,"OFF"),2)=0,"","STALE")))</f>
        <v/>
      </c>
      <c r="BB540" s="2" t="str">
        <f>IF(OR(""&amp;$F540="2",""&amp;$F540="4",""&amp;$F540="G",""&amp;$F540="H"),IF($AY540="YES","",IF($AB540&lt;&gt;0,"",IF(COUNTIFS('AR SALES'!$L$2:$L$2501,$L540,'AR SALES'!$AD$2:$AD$2501,IF(""&amp;$F540="4","OFF","ON"),'AR SALES'!$AF$2:$AF$2501,"Y")&gt;0,"","NO EXEMPTION"))),"")</f>
        <v/>
      </c>
    </row>
    <row r="541" spans="46:54" x14ac:dyDescent="0.25">
      <c r="AT541" s="2" t="str">
        <f>IF($L541="","",IFERROR(INDEX('AR SALES'!$H$2:$H$2501,MATCH(""&amp;$L541,'AR SALES'!$AE$2:$AE$2501,0)),""))</f>
        <v/>
      </c>
      <c r="AU541" s="2" t="str">
        <f t="shared" si="32"/>
        <v/>
      </c>
      <c r="AV541" s="2" t="str">
        <f t="shared" si="33"/>
        <v/>
      </c>
      <c r="AW541" s="2" t="str">
        <f t="shared" si="34"/>
        <v/>
      </c>
      <c r="AX541" s="2" t="str">
        <f t="shared" si="35"/>
        <v/>
      </c>
      <c r="AY541" s="2" t="str">
        <f>IF($AV541="","",IF(AND($Z541=0,COUNTIF('AR SALES'!$L$2:$L$2501,$L541)=0),"YES",""))</f>
        <v/>
      </c>
      <c r="AZ541" s="2" t="str">
        <f>IF($AV541="","",IF(COUNTIF(LISTS!$C$2:$C$250,$AU541)=0,"NEW",""))</f>
        <v/>
      </c>
      <c r="BA541" s="2" t="str">
        <f>IF(""&amp;$F541&lt;&gt;"4","",IF($AY541="YES","",IF(ROUND(SUMIFS($AE$2:$AE$4001,$L$2:$L$4001,$L541,$F$2:$F$4001,"4")-SUMIFS('AR SALES'!$Y$2:$Y$2501,'AR SALES'!$L$2:$L$2501,$L541,'AR SALES'!$AD$2:$AD$2501,"OFF"),2)=0,"","STALE")))</f>
        <v/>
      </c>
      <c r="BB541" s="2" t="str">
        <f>IF(OR(""&amp;$F541="2",""&amp;$F541="4",""&amp;$F541="G",""&amp;$F541="H"),IF($AY541="YES","",IF($AB541&lt;&gt;0,"",IF(COUNTIFS('AR SALES'!$L$2:$L$2501,$L541,'AR SALES'!$AD$2:$AD$2501,IF(""&amp;$F541="4","OFF","ON"),'AR SALES'!$AF$2:$AF$2501,"Y")&gt;0,"","NO EXEMPTION"))),"")</f>
        <v/>
      </c>
    </row>
    <row r="542" spans="46:54" x14ac:dyDescent="0.25">
      <c r="AT542" s="2" t="str">
        <f>IF($L542="","",IFERROR(INDEX('AR SALES'!$H$2:$H$2501,MATCH(""&amp;$L542,'AR SALES'!$AE$2:$AE$2501,0)),""))</f>
        <v/>
      </c>
      <c r="AU542" s="2" t="str">
        <f t="shared" si="32"/>
        <v/>
      </c>
      <c r="AV542" s="2" t="str">
        <f t="shared" si="33"/>
        <v/>
      </c>
      <c r="AW542" s="2" t="str">
        <f t="shared" si="34"/>
        <v/>
      </c>
      <c r="AX542" s="2" t="str">
        <f t="shared" si="35"/>
        <v/>
      </c>
      <c r="AY542" s="2" t="str">
        <f>IF($AV542="","",IF(AND($Z542=0,COUNTIF('AR SALES'!$L$2:$L$2501,$L542)=0),"YES",""))</f>
        <v/>
      </c>
      <c r="AZ542" s="2" t="str">
        <f>IF($AV542="","",IF(COUNTIF(LISTS!$C$2:$C$250,$AU542)=0,"NEW",""))</f>
        <v/>
      </c>
      <c r="BA542" s="2" t="str">
        <f>IF(""&amp;$F542&lt;&gt;"4","",IF($AY542="YES","",IF(ROUND(SUMIFS($AE$2:$AE$4001,$L$2:$L$4001,$L542,$F$2:$F$4001,"4")-SUMIFS('AR SALES'!$Y$2:$Y$2501,'AR SALES'!$L$2:$L$2501,$L542,'AR SALES'!$AD$2:$AD$2501,"OFF"),2)=0,"","STALE")))</f>
        <v/>
      </c>
      <c r="BB542" s="2" t="str">
        <f>IF(OR(""&amp;$F542="2",""&amp;$F542="4",""&amp;$F542="G",""&amp;$F542="H"),IF($AY542="YES","",IF($AB542&lt;&gt;0,"",IF(COUNTIFS('AR SALES'!$L$2:$L$2501,$L542,'AR SALES'!$AD$2:$AD$2501,IF(""&amp;$F542="4","OFF","ON"),'AR SALES'!$AF$2:$AF$2501,"Y")&gt;0,"","NO EXEMPTION"))),"")</f>
        <v/>
      </c>
    </row>
    <row r="543" spans="46:54" x14ac:dyDescent="0.25">
      <c r="AT543" s="2" t="str">
        <f>IF($L543="","",IFERROR(INDEX('AR SALES'!$H$2:$H$2501,MATCH(""&amp;$L543,'AR SALES'!$AE$2:$AE$2501,0)),""))</f>
        <v/>
      </c>
      <c r="AU543" s="2" t="str">
        <f t="shared" si="32"/>
        <v/>
      </c>
      <c r="AV543" s="2" t="str">
        <f t="shared" si="33"/>
        <v/>
      </c>
      <c r="AW543" s="2" t="str">
        <f t="shared" si="34"/>
        <v/>
      </c>
      <c r="AX543" s="2" t="str">
        <f t="shared" si="35"/>
        <v/>
      </c>
      <c r="AY543" s="2" t="str">
        <f>IF($AV543="","",IF(AND($Z543=0,COUNTIF('AR SALES'!$L$2:$L$2501,$L543)=0),"YES",""))</f>
        <v/>
      </c>
      <c r="AZ543" s="2" t="str">
        <f>IF($AV543="","",IF(COUNTIF(LISTS!$C$2:$C$250,$AU543)=0,"NEW",""))</f>
        <v/>
      </c>
      <c r="BA543" s="2" t="str">
        <f>IF(""&amp;$F543&lt;&gt;"4","",IF($AY543="YES","",IF(ROUND(SUMIFS($AE$2:$AE$4001,$L$2:$L$4001,$L543,$F$2:$F$4001,"4")-SUMIFS('AR SALES'!$Y$2:$Y$2501,'AR SALES'!$L$2:$L$2501,$L543,'AR SALES'!$AD$2:$AD$2501,"OFF"),2)=0,"","STALE")))</f>
        <v/>
      </c>
      <c r="BB543" s="2" t="str">
        <f>IF(OR(""&amp;$F543="2",""&amp;$F543="4",""&amp;$F543="G",""&amp;$F543="H"),IF($AY543="YES","",IF($AB543&lt;&gt;0,"",IF(COUNTIFS('AR SALES'!$L$2:$L$2501,$L543,'AR SALES'!$AD$2:$AD$2501,IF(""&amp;$F543="4","OFF","ON"),'AR SALES'!$AF$2:$AF$2501,"Y")&gt;0,"","NO EXEMPTION"))),"")</f>
        <v/>
      </c>
    </row>
    <row r="544" spans="46:54" x14ac:dyDescent="0.25">
      <c r="AT544" s="2" t="str">
        <f>IF($L544="","",IFERROR(INDEX('AR SALES'!$H$2:$H$2501,MATCH(""&amp;$L544,'AR SALES'!$AE$2:$AE$2501,0)),""))</f>
        <v/>
      </c>
      <c r="AU544" s="2" t="str">
        <f t="shared" si="32"/>
        <v/>
      </c>
      <c r="AV544" s="2" t="str">
        <f t="shared" si="33"/>
        <v/>
      </c>
      <c r="AW544" s="2" t="str">
        <f t="shared" si="34"/>
        <v/>
      </c>
      <c r="AX544" s="2" t="str">
        <f t="shared" si="35"/>
        <v/>
      </c>
      <c r="AY544" s="2" t="str">
        <f>IF($AV544="","",IF(AND($Z544=0,COUNTIF('AR SALES'!$L$2:$L$2501,$L544)=0),"YES",""))</f>
        <v/>
      </c>
      <c r="AZ544" s="2" t="str">
        <f>IF($AV544="","",IF(COUNTIF(LISTS!$C$2:$C$250,$AU544)=0,"NEW",""))</f>
        <v/>
      </c>
      <c r="BA544" s="2" t="str">
        <f>IF(""&amp;$F544&lt;&gt;"4","",IF($AY544="YES","",IF(ROUND(SUMIFS($AE$2:$AE$4001,$L$2:$L$4001,$L544,$F$2:$F$4001,"4")-SUMIFS('AR SALES'!$Y$2:$Y$2501,'AR SALES'!$L$2:$L$2501,$L544,'AR SALES'!$AD$2:$AD$2501,"OFF"),2)=0,"","STALE")))</f>
        <v/>
      </c>
      <c r="BB544" s="2" t="str">
        <f>IF(OR(""&amp;$F544="2",""&amp;$F544="4",""&amp;$F544="G",""&amp;$F544="H"),IF($AY544="YES","",IF($AB544&lt;&gt;0,"",IF(COUNTIFS('AR SALES'!$L$2:$L$2501,$L544,'AR SALES'!$AD$2:$AD$2501,IF(""&amp;$F544="4","OFF","ON"),'AR SALES'!$AF$2:$AF$2501,"Y")&gt;0,"","NO EXEMPTION"))),"")</f>
        <v/>
      </c>
    </row>
    <row r="545" spans="46:54" x14ac:dyDescent="0.25">
      <c r="AT545" s="2" t="str">
        <f>IF($L545="","",IFERROR(INDEX('AR SALES'!$H$2:$H$2501,MATCH(""&amp;$L545,'AR SALES'!$AE$2:$AE$2501,0)),""))</f>
        <v/>
      </c>
      <c r="AU545" s="2" t="str">
        <f t="shared" si="32"/>
        <v/>
      </c>
      <c r="AV545" s="2" t="str">
        <f t="shared" si="33"/>
        <v/>
      </c>
      <c r="AW545" s="2" t="str">
        <f t="shared" si="34"/>
        <v/>
      </c>
      <c r="AX545" s="2" t="str">
        <f t="shared" si="35"/>
        <v/>
      </c>
      <c r="AY545" s="2" t="str">
        <f>IF($AV545="","",IF(AND($Z545=0,COUNTIF('AR SALES'!$L$2:$L$2501,$L545)=0),"YES",""))</f>
        <v/>
      </c>
      <c r="AZ545" s="2" t="str">
        <f>IF($AV545="","",IF(COUNTIF(LISTS!$C$2:$C$250,$AU545)=0,"NEW",""))</f>
        <v/>
      </c>
      <c r="BA545" s="2" t="str">
        <f>IF(""&amp;$F545&lt;&gt;"4","",IF($AY545="YES","",IF(ROUND(SUMIFS($AE$2:$AE$4001,$L$2:$L$4001,$L545,$F$2:$F$4001,"4")-SUMIFS('AR SALES'!$Y$2:$Y$2501,'AR SALES'!$L$2:$L$2501,$L545,'AR SALES'!$AD$2:$AD$2501,"OFF"),2)=0,"","STALE")))</f>
        <v/>
      </c>
      <c r="BB545" s="2" t="str">
        <f>IF(OR(""&amp;$F545="2",""&amp;$F545="4",""&amp;$F545="G",""&amp;$F545="H"),IF($AY545="YES","",IF($AB545&lt;&gt;0,"",IF(COUNTIFS('AR SALES'!$L$2:$L$2501,$L545,'AR SALES'!$AD$2:$AD$2501,IF(""&amp;$F545="4","OFF","ON"),'AR SALES'!$AF$2:$AF$2501,"Y")&gt;0,"","NO EXEMPTION"))),"")</f>
        <v/>
      </c>
    </row>
    <row r="546" spans="46:54" x14ac:dyDescent="0.25">
      <c r="AT546" s="2" t="str">
        <f>IF($L546="","",IFERROR(INDEX('AR SALES'!$H$2:$H$2501,MATCH(""&amp;$L546,'AR SALES'!$AE$2:$AE$2501,0)),""))</f>
        <v/>
      </c>
      <c r="AU546" s="2" t="str">
        <f t="shared" si="32"/>
        <v/>
      </c>
      <c r="AV546" s="2" t="str">
        <f t="shared" si="33"/>
        <v/>
      </c>
      <c r="AW546" s="2" t="str">
        <f t="shared" si="34"/>
        <v/>
      </c>
      <c r="AX546" s="2" t="str">
        <f t="shared" si="35"/>
        <v/>
      </c>
      <c r="AY546" s="2" t="str">
        <f>IF($AV546="","",IF(AND($Z546=0,COUNTIF('AR SALES'!$L$2:$L$2501,$L546)=0),"YES",""))</f>
        <v/>
      </c>
      <c r="AZ546" s="2" t="str">
        <f>IF($AV546="","",IF(COUNTIF(LISTS!$C$2:$C$250,$AU546)=0,"NEW",""))</f>
        <v/>
      </c>
      <c r="BA546" s="2" t="str">
        <f>IF(""&amp;$F546&lt;&gt;"4","",IF($AY546="YES","",IF(ROUND(SUMIFS($AE$2:$AE$4001,$L$2:$L$4001,$L546,$F$2:$F$4001,"4")-SUMIFS('AR SALES'!$Y$2:$Y$2501,'AR SALES'!$L$2:$L$2501,$L546,'AR SALES'!$AD$2:$AD$2501,"OFF"),2)=0,"","STALE")))</f>
        <v/>
      </c>
      <c r="BB546" s="2" t="str">
        <f>IF(OR(""&amp;$F546="2",""&amp;$F546="4",""&amp;$F546="G",""&amp;$F546="H"),IF($AY546="YES","",IF($AB546&lt;&gt;0,"",IF(COUNTIFS('AR SALES'!$L$2:$L$2501,$L546,'AR SALES'!$AD$2:$AD$2501,IF(""&amp;$F546="4","OFF","ON"),'AR SALES'!$AF$2:$AF$2501,"Y")&gt;0,"","NO EXEMPTION"))),"")</f>
        <v/>
      </c>
    </row>
    <row r="547" spans="46:54" x14ac:dyDescent="0.25">
      <c r="AT547" s="2" t="str">
        <f>IF($L547="","",IFERROR(INDEX('AR SALES'!$H$2:$H$2501,MATCH(""&amp;$L547,'AR SALES'!$AE$2:$AE$2501,0)),""))</f>
        <v/>
      </c>
      <c r="AU547" s="2" t="str">
        <f t="shared" si="32"/>
        <v/>
      </c>
      <c r="AV547" s="2" t="str">
        <f t="shared" si="33"/>
        <v/>
      </c>
      <c r="AW547" s="2" t="str">
        <f t="shared" si="34"/>
        <v/>
      </c>
      <c r="AX547" s="2" t="str">
        <f t="shared" si="35"/>
        <v/>
      </c>
      <c r="AY547" s="2" t="str">
        <f>IF($AV547="","",IF(AND($Z547=0,COUNTIF('AR SALES'!$L$2:$L$2501,$L547)=0),"YES",""))</f>
        <v/>
      </c>
      <c r="AZ547" s="2" t="str">
        <f>IF($AV547="","",IF(COUNTIF(LISTS!$C$2:$C$250,$AU547)=0,"NEW",""))</f>
        <v/>
      </c>
      <c r="BA547" s="2" t="str">
        <f>IF(""&amp;$F547&lt;&gt;"4","",IF($AY547="YES","",IF(ROUND(SUMIFS($AE$2:$AE$4001,$L$2:$L$4001,$L547,$F$2:$F$4001,"4")-SUMIFS('AR SALES'!$Y$2:$Y$2501,'AR SALES'!$L$2:$L$2501,$L547,'AR SALES'!$AD$2:$AD$2501,"OFF"),2)=0,"","STALE")))</f>
        <v/>
      </c>
      <c r="BB547" s="2" t="str">
        <f>IF(OR(""&amp;$F547="2",""&amp;$F547="4",""&amp;$F547="G",""&amp;$F547="H"),IF($AY547="YES","",IF($AB547&lt;&gt;0,"",IF(COUNTIFS('AR SALES'!$L$2:$L$2501,$L547,'AR SALES'!$AD$2:$AD$2501,IF(""&amp;$F547="4","OFF","ON"),'AR SALES'!$AF$2:$AF$2501,"Y")&gt;0,"","NO EXEMPTION"))),"")</f>
        <v/>
      </c>
    </row>
    <row r="548" spans="46:54" x14ac:dyDescent="0.25">
      <c r="AT548" s="2" t="str">
        <f>IF($L548="","",IFERROR(INDEX('AR SALES'!$H$2:$H$2501,MATCH(""&amp;$L548,'AR SALES'!$AE$2:$AE$2501,0)),""))</f>
        <v/>
      </c>
      <c r="AU548" s="2" t="str">
        <f t="shared" si="32"/>
        <v/>
      </c>
      <c r="AV548" s="2" t="str">
        <f t="shared" si="33"/>
        <v/>
      </c>
      <c r="AW548" s="2" t="str">
        <f t="shared" si="34"/>
        <v/>
      </c>
      <c r="AX548" s="2" t="str">
        <f t="shared" si="35"/>
        <v/>
      </c>
      <c r="AY548" s="2" t="str">
        <f>IF($AV548="","",IF(AND($Z548=0,COUNTIF('AR SALES'!$L$2:$L$2501,$L548)=0),"YES",""))</f>
        <v/>
      </c>
      <c r="AZ548" s="2" t="str">
        <f>IF($AV548="","",IF(COUNTIF(LISTS!$C$2:$C$250,$AU548)=0,"NEW",""))</f>
        <v/>
      </c>
      <c r="BA548" s="2" t="str">
        <f>IF(""&amp;$F548&lt;&gt;"4","",IF($AY548="YES","",IF(ROUND(SUMIFS($AE$2:$AE$4001,$L$2:$L$4001,$L548,$F$2:$F$4001,"4")-SUMIFS('AR SALES'!$Y$2:$Y$2501,'AR SALES'!$L$2:$L$2501,$L548,'AR SALES'!$AD$2:$AD$2501,"OFF"),2)=0,"","STALE")))</f>
        <v/>
      </c>
      <c r="BB548" s="2" t="str">
        <f>IF(OR(""&amp;$F548="2",""&amp;$F548="4",""&amp;$F548="G",""&amp;$F548="H"),IF($AY548="YES","",IF($AB548&lt;&gt;0,"",IF(COUNTIFS('AR SALES'!$L$2:$L$2501,$L548,'AR SALES'!$AD$2:$AD$2501,IF(""&amp;$F548="4","OFF","ON"),'AR SALES'!$AF$2:$AF$2501,"Y")&gt;0,"","NO EXEMPTION"))),"")</f>
        <v/>
      </c>
    </row>
    <row r="549" spans="46:54" x14ac:dyDescent="0.25">
      <c r="AT549" s="2" t="str">
        <f>IF($L549="","",IFERROR(INDEX('AR SALES'!$H$2:$H$2501,MATCH(""&amp;$L549,'AR SALES'!$AE$2:$AE$2501,0)),""))</f>
        <v/>
      </c>
      <c r="AU549" s="2" t="str">
        <f t="shared" si="32"/>
        <v/>
      </c>
      <c r="AV549" s="2" t="str">
        <f t="shared" si="33"/>
        <v/>
      </c>
      <c r="AW549" s="2" t="str">
        <f t="shared" si="34"/>
        <v/>
      </c>
      <c r="AX549" s="2" t="str">
        <f t="shared" si="35"/>
        <v/>
      </c>
      <c r="AY549" s="2" t="str">
        <f>IF($AV549="","",IF(AND($Z549=0,COUNTIF('AR SALES'!$L$2:$L$2501,$L549)=0),"YES",""))</f>
        <v/>
      </c>
      <c r="AZ549" s="2" t="str">
        <f>IF($AV549="","",IF(COUNTIF(LISTS!$C$2:$C$250,$AU549)=0,"NEW",""))</f>
        <v/>
      </c>
      <c r="BA549" s="2" t="str">
        <f>IF(""&amp;$F549&lt;&gt;"4","",IF($AY549="YES","",IF(ROUND(SUMIFS($AE$2:$AE$4001,$L$2:$L$4001,$L549,$F$2:$F$4001,"4")-SUMIFS('AR SALES'!$Y$2:$Y$2501,'AR SALES'!$L$2:$L$2501,$L549,'AR SALES'!$AD$2:$AD$2501,"OFF"),2)=0,"","STALE")))</f>
        <v/>
      </c>
      <c r="BB549" s="2" t="str">
        <f>IF(OR(""&amp;$F549="2",""&amp;$F549="4",""&amp;$F549="G",""&amp;$F549="H"),IF($AY549="YES","",IF($AB549&lt;&gt;0,"",IF(COUNTIFS('AR SALES'!$L$2:$L$2501,$L549,'AR SALES'!$AD$2:$AD$2501,IF(""&amp;$F549="4","OFF","ON"),'AR SALES'!$AF$2:$AF$2501,"Y")&gt;0,"","NO EXEMPTION"))),"")</f>
        <v/>
      </c>
    </row>
    <row r="550" spans="46:54" x14ac:dyDescent="0.25">
      <c r="AT550" s="2" t="str">
        <f>IF($L550="","",IFERROR(INDEX('AR SALES'!$H$2:$H$2501,MATCH(""&amp;$L550,'AR SALES'!$AE$2:$AE$2501,0)),""))</f>
        <v/>
      </c>
      <c r="AU550" s="2" t="str">
        <f t="shared" si="32"/>
        <v/>
      </c>
      <c r="AV550" s="2" t="str">
        <f t="shared" si="33"/>
        <v/>
      </c>
      <c r="AW550" s="2" t="str">
        <f t="shared" si="34"/>
        <v/>
      </c>
      <c r="AX550" s="2" t="str">
        <f t="shared" si="35"/>
        <v/>
      </c>
      <c r="AY550" s="2" t="str">
        <f>IF($AV550="","",IF(AND($Z550=0,COUNTIF('AR SALES'!$L$2:$L$2501,$L550)=0),"YES",""))</f>
        <v/>
      </c>
      <c r="AZ550" s="2" t="str">
        <f>IF($AV550="","",IF(COUNTIF(LISTS!$C$2:$C$250,$AU550)=0,"NEW",""))</f>
        <v/>
      </c>
      <c r="BA550" s="2" t="str">
        <f>IF(""&amp;$F550&lt;&gt;"4","",IF($AY550="YES","",IF(ROUND(SUMIFS($AE$2:$AE$4001,$L$2:$L$4001,$L550,$F$2:$F$4001,"4")-SUMIFS('AR SALES'!$Y$2:$Y$2501,'AR SALES'!$L$2:$L$2501,$L550,'AR SALES'!$AD$2:$AD$2501,"OFF"),2)=0,"","STALE")))</f>
        <v/>
      </c>
      <c r="BB550" s="2" t="str">
        <f>IF(OR(""&amp;$F550="2",""&amp;$F550="4",""&amp;$F550="G",""&amp;$F550="H"),IF($AY550="YES","",IF($AB550&lt;&gt;0,"",IF(COUNTIFS('AR SALES'!$L$2:$L$2501,$L550,'AR SALES'!$AD$2:$AD$2501,IF(""&amp;$F550="4","OFF","ON"),'AR SALES'!$AF$2:$AF$2501,"Y")&gt;0,"","NO EXEMPTION"))),"")</f>
        <v/>
      </c>
    </row>
    <row r="551" spans="46:54" x14ac:dyDescent="0.25">
      <c r="AT551" s="2" t="str">
        <f>IF($L551="","",IFERROR(INDEX('AR SALES'!$H$2:$H$2501,MATCH(""&amp;$L551,'AR SALES'!$AE$2:$AE$2501,0)),""))</f>
        <v/>
      </c>
      <c r="AU551" s="2" t="str">
        <f t="shared" si="32"/>
        <v/>
      </c>
      <c r="AV551" s="2" t="str">
        <f t="shared" si="33"/>
        <v/>
      </c>
      <c r="AW551" s="2" t="str">
        <f t="shared" si="34"/>
        <v/>
      </c>
      <c r="AX551" s="2" t="str">
        <f t="shared" si="35"/>
        <v/>
      </c>
      <c r="AY551" s="2" t="str">
        <f>IF($AV551="","",IF(AND($Z551=0,COUNTIF('AR SALES'!$L$2:$L$2501,$L551)=0),"YES",""))</f>
        <v/>
      </c>
      <c r="AZ551" s="2" t="str">
        <f>IF($AV551="","",IF(COUNTIF(LISTS!$C$2:$C$250,$AU551)=0,"NEW",""))</f>
        <v/>
      </c>
      <c r="BA551" s="2" t="str">
        <f>IF(""&amp;$F551&lt;&gt;"4","",IF($AY551="YES","",IF(ROUND(SUMIFS($AE$2:$AE$4001,$L$2:$L$4001,$L551,$F$2:$F$4001,"4")-SUMIFS('AR SALES'!$Y$2:$Y$2501,'AR SALES'!$L$2:$L$2501,$L551,'AR SALES'!$AD$2:$AD$2501,"OFF"),2)=0,"","STALE")))</f>
        <v/>
      </c>
      <c r="BB551" s="2" t="str">
        <f>IF(OR(""&amp;$F551="2",""&amp;$F551="4",""&amp;$F551="G",""&amp;$F551="H"),IF($AY551="YES","",IF($AB551&lt;&gt;0,"",IF(COUNTIFS('AR SALES'!$L$2:$L$2501,$L551,'AR SALES'!$AD$2:$AD$2501,IF(""&amp;$F551="4","OFF","ON"),'AR SALES'!$AF$2:$AF$2501,"Y")&gt;0,"","NO EXEMPTION"))),"")</f>
        <v/>
      </c>
    </row>
    <row r="552" spans="46:54" x14ac:dyDescent="0.25">
      <c r="AT552" s="2" t="str">
        <f>IF($L552="","",IFERROR(INDEX('AR SALES'!$H$2:$H$2501,MATCH(""&amp;$L552,'AR SALES'!$AE$2:$AE$2501,0)),""))</f>
        <v/>
      </c>
      <c r="AU552" s="2" t="str">
        <f t="shared" si="32"/>
        <v/>
      </c>
      <c r="AV552" s="2" t="str">
        <f t="shared" si="33"/>
        <v/>
      </c>
      <c r="AW552" s="2" t="str">
        <f t="shared" si="34"/>
        <v/>
      </c>
      <c r="AX552" s="2" t="str">
        <f t="shared" si="35"/>
        <v/>
      </c>
      <c r="AY552" s="2" t="str">
        <f>IF($AV552="","",IF(AND($Z552=0,COUNTIF('AR SALES'!$L$2:$L$2501,$L552)=0),"YES",""))</f>
        <v/>
      </c>
      <c r="AZ552" s="2" t="str">
        <f>IF($AV552="","",IF(COUNTIF(LISTS!$C$2:$C$250,$AU552)=0,"NEW",""))</f>
        <v/>
      </c>
      <c r="BA552" s="2" t="str">
        <f>IF(""&amp;$F552&lt;&gt;"4","",IF($AY552="YES","",IF(ROUND(SUMIFS($AE$2:$AE$4001,$L$2:$L$4001,$L552,$F$2:$F$4001,"4")-SUMIFS('AR SALES'!$Y$2:$Y$2501,'AR SALES'!$L$2:$L$2501,$L552,'AR SALES'!$AD$2:$AD$2501,"OFF"),2)=0,"","STALE")))</f>
        <v/>
      </c>
      <c r="BB552" s="2" t="str">
        <f>IF(OR(""&amp;$F552="2",""&amp;$F552="4",""&amp;$F552="G",""&amp;$F552="H"),IF($AY552="YES","",IF($AB552&lt;&gt;0,"",IF(COUNTIFS('AR SALES'!$L$2:$L$2501,$L552,'AR SALES'!$AD$2:$AD$2501,IF(""&amp;$F552="4","OFF","ON"),'AR SALES'!$AF$2:$AF$2501,"Y")&gt;0,"","NO EXEMPTION"))),"")</f>
        <v/>
      </c>
    </row>
    <row r="553" spans="46:54" x14ac:dyDescent="0.25">
      <c r="AT553" s="2" t="str">
        <f>IF($L553="","",IFERROR(INDEX('AR SALES'!$H$2:$H$2501,MATCH(""&amp;$L553,'AR SALES'!$AE$2:$AE$2501,0)),""))</f>
        <v/>
      </c>
      <c r="AU553" s="2" t="str">
        <f t="shared" si="32"/>
        <v/>
      </c>
      <c r="AV553" s="2" t="str">
        <f t="shared" si="33"/>
        <v/>
      </c>
      <c r="AW553" s="2" t="str">
        <f t="shared" si="34"/>
        <v/>
      </c>
      <c r="AX553" s="2" t="str">
        <f t="shared" si="35"/>
        <v/>
      </c>
      <c r="AY553" s="2" t="str">
        <f>IF($AV553="","",IF(AND($Z553=0,COUNTIF('AR SALES'!$L$2:$L$2501,$L553)=0),"YES",""))</f>
        <v/>
      </c>
      <c r="AZ553" s="2" t="str">
        <f>IF($AV553="","",IF(COUNTIF(LISTS!$C$2:$C$250,$AU553)=0,"NEW",""))</f>
        <v/>
      </c>
      <c r="BA553" s="2" t="str">
        <f>IF(""&amp;$F553&lt;&gt;"4","",IF($AY553="YES","",IF(ROUND(SUMIFS($AE$2:$AE$4001,$L$2:$L$4001,$L553,$F$2:$F$4001,"4")-SUMIFS('AR SALES'!$Y$2:$Y$2501,'AR SALES'!$L$2:$L$2501,$L553,'AR SALES'!$AD$2:$AD$2501,"OFF"),2)=0,"","STALE")))</f>
        <v/>
      </c>
      <c r="BB553" s="2" t="str">
        <f>IF(OR(""&amp;$F553="2",""&amp;$F553="4",""&amp;$F553="G",""&amp;$F553="H"),IF($AY553="YES","",IF($AB553&lt;&gt;0,"",IF(COUNTIFS('AR SALES'!$L$2:$L$2501,$L553,'AR SALES'!$AD$2:$AD$2501,IF(""&amp;$F553="4","OFF","ON"),'AR SALES'!$AF$2:$AF$2501,"Y")&gt;0,"","NO EXEMPTION"))),"")</f>
        <v/>
      </c>
    </row>
    <row r="554" spans="46:54" x14ac:dyDescent="0.25">
      <c r="AT554" s="2" t="str">
        <f>IF($L554="","",IFERROR(INDEX('AR SALES'!$H$2:$H$2501,MATCH(""&amp;$L554,'AR SALES'!$AE$2:$AE$2501,0)),""))</f>
        <v/>
      </c>
      <c r="AU554" s="2" t="str">
        <f t="shared" si="32"/>
        <v/>
      </c>
      <c r="AV554" s="2" t="str">
        <f t="shared" si="33"/>
        <v/>
      </c>
      <c r="AW554" s="2" t="str">
        <f t="shared" si="34"/>
        <v/>
      </c>
      <c r="AX554" s="2" t="str">
        <f t="shared" si="35"/>
        <v/>
      </c>
      <c r="AY554" s="2" t="str">
        <f>IF($AV554="","",IF(AND($Z554=0,COUNTIF('AR SALES'!$L$2:$L$2501,$L554)=0),"YES",""))</f>
        <v/>
      </c>
      <c r="AZ554" s="2" t="str">
        <f>IF($AV554="","",IF(COUNTIF(LISTS!$C$2:$C$250,$AU554)=0,"NEW",""))</f>
        <v/>
      </c>
      <c r="BA554" s="2" t="str">
        <f>IF(""&amp;$F554&lt;&gt;"4","",IF($AY554="YES","",IF(ROUND(SUMIFS($AE$2:$AE$4001,$L$2:$L$4001,$L554,$F$2:$F$4001,"4")-SUMIFS('AR SALES'!$Y$2:$Y$2501,'AR SALES'!$L$2:$L$2501,$L554,'AR SALES'!$AD$2:$AD$2501,"OFF"),2)=0,"","STALE")))</f>
        <v/>
      </c>
      <c r="BB554" s="2" t="str">
        <f>IF(OR(""&amp;$F554="2",""&amp;$F554="4",""&amp;$F554="G",""&amp;$F554="H"),IF($AY554="YES","",IF($AB554&lt;&gt;0,"",IF(COUNTIFS('AR SALES'!$L$2:$L$2501,$L554,'AR SALES'!$AD$2:$AD$2501,IF(""&amp;$F554="4","OFF","ON"),'AR SALES'!$AF$2:$AF$2501,"Y")&gt;0,"","NO EXEMPTION"))),"")</f>
        <v/>
      </c>
    </row>
    <row r="555" spans="46:54" x14ac:dyDescent="0.25">
      <c r="AT555" s="2" t="str">
        <f>IF($L555="","",IFERROR(INDEX('AR SALES'!$H$2:$H$2501,MATCH(""&amp;$L555,'AR SALES'!$AE$2:$AE$2501,0)),""))</f>
        <v/>
      </c>
      <c r="AU555" s="2" t="str">
        <f t="shared" si="32"/>
        <v/>
      </c>
      <c r="AV555" s="2" t="str">
        <f t="shared" si="33"/>
        <v/>
      </c>
      <c r="AW555" s="2" t="str">
        <f t="shared" si="34"/>
        <v/>
      </c>
      <c r="AX555" s="2" t="str">
        <f t="shared" si="35"/>
        <v/>
      </c>
      <c r="AY555" s="2" t="str">
        <f>IF($AV555="","",IF(AND($Z555=0,COUNTIF('AR SALES'!$L$2:$L$2501,$L555)=0),"YES",""))</f>
        <v/>
      </c>
      <c r="AZ555" s="2" t="str">
        <f>IF($AV555="","",IF(COUNTIF(LISTS!$C$2:$C$250,$AU555)=0,"NEW",""))</f>
        <v/>
      </c>
      <c r="BA555" s="2" t="str">
        <f>IF(""&amp;$F555&lt;&gt;"4","",IF($AY555="YES","",IF(ROUND(SUMIFS($AE$2:$AE$4001,$L$2:$L$4001,$L555,$F$2:$F$4001,"4")-SUMIFS('AR SALES'!$Y$2:$Y$2501,'AR SALES'!$L$2:$L$2501,$L555,'AR SALES'!$AD$2:$AD$2501,"OFF"),2)=0,"","STALE")))</f>
        <v/>
      </c>
      <c r="BB555" s="2" t="str">
        <f>IF(OR(""&amp;$F555="2",""&amp;$F555="4",""&amp;$F555="G",""&amp;$F555="H"),IF($AY555="YES","",IF($AB555&lt;&gt;0,"",IF(COUNTIFS('AR SALES'!$L$2:$L$2501,$L555,'AR SALES'!$AD$2:$AD$2501,IF(""&amp;$F555="4","OFF","ON"),'AR SALES'!$AF$2:$AF$2501,"Y")&gt;0,"","NO EXEMPTION"))),"")</f>
        <v/>
      </c>
    </row>
    <row r="556" spans="46:54" x14ac:dyDescent="0.25">
      <c r="AT556" s="2" t="str">
        <f>IF($L556="","",IFERROR(INDEX('AR SALES'!$H$2:$H$2501,MATCH(""&amp;$L556,'AR SALES'!$AE$2:$AE$2501,0)),""))</f>
        <v/>
      </c>
      <c r="AU556" s="2" t="str">
        <f t="shared" si="32"/>
        <v/>
      </c>
      <c r="AV556" s="2" t="str">
        <f t="shared" si="33"/>
        <v/>
      </c>
      <c r="AW556" s="2" t="str">
        <f t="shared" si="34"/>
        <v/>
      </c>
      <c r="AX556" s="2" t="str">
        <f t="shared" si="35"/>
        <v/>
      </c>
      <c r="AY556" s="2" t="str">
        <f>IF($AV556="","",IF(AND($Z556=0,COUNTIF('AR SALES'!$L$2:$L$2501,$L556)=0),"YES",""))</f>
        <v/>
      </c>
      <c r="AZ556" s="2" t="str">
        <f>IF($AV556="","",IF(COUNTIF(LISTS!$C$2:$C$250,$AU556)=0,"NEW",""))</f>
        <v/>
      </c>
      <c r="BA556" s="2" t="str">
        <f>IF(""&amp;$F556&lt;&gt;"4","",IF($AY556="YES","",IF(ROUND(SUMIFS($AE$2:$AE$4001,$L$2:$L$4001,$L556,$F$2:$F$4001,"4")-SUMIFS('AR SALES'!$Y$2:$Y$2501,'AR SALES'!$L$2:$L$2501,$L556,'AR SALES'!$AD$2:$AD$2501,"OFF"),2)=0,"","STALE")))</f>
        <v/>
      </c>
      <c r="BB556" s="2" t="str">
        <f>IF(OR(""&amp;$F556="2",""&amp;$F556="4",""&amp;$F556="G",""&amp;$F556="H"),IF($AY556="YES","",IF($AB556&lt;&gt;0,"",IF(COUNTIFS('AR SALES'!$L$2:$L$2501,$L556,'AR SALES'!$AD$2:$AD$2501,IF(""&amp;$F556="4","OFF","ON"),'AR SALES'!$AF$2:$AF$2501,"Y")&gt;0,"","NO EXEMPTION"))),"")</f>
        <v/>
      </c>
    </row>
    <row r="557" spans="46:54" x14ac:dyDescent="0.25">
      <c r="AT557" s="2" t="str">
        <f>IF($L557="","",IFERROR(INDEX('AR SALES'!$H$2:$H$2501,MATCH(""&amp;$L557,'AR SALES'!$AE$2:$AE$2501,0)),""))</f>
        <v/>
      </c>
      <c r="AU557" s="2" t="str">
        <f t="shared" si="32"/>
        <v/>
      </c>
      <c r="AV557" s="2" t="str">
        <f t="shared" si="33"/>
        <v/>
      </c>
      <c r="AW557" s="2" t="str">
        <f t="shared" si="34"/>
        <v/>
      </c>
      <c r="AX557" s="2" t="str">
        <f t="shared" si="35"/>
        <v/>
      </c>
      <c r="AY557" s="2" t="str">
        <f>IF($AV557="","",IF(AND($Z557=0,COUNTIF('AR SALES'!$L$2:$L$2501,$L557)=0),"YES",""))</f>
        <v/>
      </c>
      <c r="AZ557" s="2" t="str">
        <f>IF($AV557="","",IF(COUNTIF(LISTS!$C$2:$C$250,$AU557)=0,"NEW",""))</f>
        <v/>
      </c>
      <c r="BA557" s="2" t="str">
        <f>IF(""&amp;$F557&lt;&gt;"4","",IF($AY557="YES","",IF(ROUND(SUMIFS($AE$2:$AE$4001,$L$2:$L$4001,$L557,$F$2:$F$4001,"4")-SUMIFS('AR SALES'!$Y$2:$Y$2501,'AR SALES'!$L$2:$L$2501,$L557,'AR SALES'!$AD$2:$AD$2501,"OFF"),2)=0,"","STALE")))</f>
        <v/>
      </c>
      <c r="BB557" s="2" t="str">
        <f>IF(OR(""&amp;$F557="2",""&amp;$F557="4",""&amp;$F557="G",""&amp;$F557="H"),IF($AY557="YES","",IF($AB557&lt;&gt;0,"",IF(COUNTIFS('AR SALES'!$L$2:$L$2501,$L557,'AR SALES'!$AD$2:$AD$2501,IF(""&amp;$F557="4","OFF","ON"),'AR SALES'!$AF$2:$AF$2501,"Y")&gt;0,"","NO EXEMPTION"))),"")</f>
        <v/>
      </c>
    </row>
    <row r="558" spans="46:54" x14ac:dyDescent="0.25">
      <c r="AT558" s="2" t="str">
        <f>IF($L558="","",IFERROR(INDEX('AR SALES'!$H$2:$H$2501,MATCH(""&amp;$L558,'AR SALES'!$AE$2:$AE$2501,0)),""))</f>
        <v/>
      </c>
      <c r="AU558" s="2" t="str">
        <f t="shared" si="32"/>
        <v/>
      </c>
      <c r="AV558" s="2" t="str">
        <f t="shared" si="33"/>
        <v/>
      </c>
      <c r="AW558" s="2" t="str">
        <f t="shared" si="34"/>
        <v/>
      </c>
      <c r="AX558" s="2" t="str">
        <f t="shared" si="35"/>
        <v/>
      </c>
      <c r="AY558" s="2" t="str">
        <f>IF($AV558="","",IF(AND($Z558=0,COUNTIF('AR SALES'!$L$2:$L$2501,$L558)=0),"YES",""))</f>
        <v/>
      </c>
      <c r="AZ558" s="2" t="str">
        <f>IF($AV558="","",IF(COUNTIF(LISTS!$C$2:$C$250,$AU558)=0,"NEW",""))</f>
        <v/>
      </c>
      <c r="BA558" s="2" t="str">
        <f>IF(""&amp;$F558&lt;&gt;"4","",IF($AY558="YES","",IF(ROUND(SUMIFS($AE$2:$AE$4001,$L$2:$L$4001,$L558,$F$2:$F$4001,"4")-SUMIFS('AR SALES'!$Y$2:$Y$2501,'AR SALES'!$L$2:$L$2501,$L558,'AR SALES'!$AD$2:$AD$2501,"OFF"),2)=0,"","STALE")))</f>
        <v/>
      </c>
      <c r="BB558" s="2" t="str">
        <f>IF(OR(""&amp;$F558="2",""&amp;$F558="4",""&amp;$F558="G",""&amp;$F558="H"),IF($AY558="YES","",IF($AB558&lt;&gt;0,"",IF(COUNTIFS('AR SALES'!$L$2:$L$2501,$L558,'AR SALES'!$AD$2:$AD$2501,IF(""&amp;$F558="4","OFF","ON"),'AR SALES'!$AF$2:$AF$2501,"Y")&gt;0,"","NO EXEMPTION"))),"")</f>
        <v/>
      </c>
    </row>
    <row r="559" spans="46:54" x14ac:dyDescent="0.25">
      <c r="AT559" s="2" t="str">
        <f>IF($L559="","",IFERROR(INDEX('AR SALES'!$H$2:$H$2501,MATCH(""&amp;$L559,'AR SALES'!$AE$2:$AE$2501,0)),""))</f>
        <v/>
      </c>
      <c r="AU559" s="2" t="str">
        <f t="shared" si="32"/>
        <v/>
      </c>
      <c r="AV559" s="2" t="str">
        <f t="shared" si="33"/>
        <v/>
      </c>
      <c r="AW559" s="2" t="str">
        <f t="shared" si="34"/>
        <v/>
      </c>
      <c r="AX559" s="2" t="str">
        <f t="shared" si="35"/>
        <v/>
      </c>
      <c r="AY559" s="2" t="str">
        <f>IF($AV559="","",IF(AND($Z559=0,COUNTIF('AR SALES'!$L$2:$L$2501,$L559)=0),"YES",""))</f>
        <v/>
      </c>
      <c r="AZ559" s="2" t="str">
        <f>IF($AV559="","",IF(COUNTIF(LISTS!$C$2:$C$250,$AU559)=0,"NEW",""))</f>
        <v/>
      </c>
      <c r="BA559" s="2" t="str">
        <f>IF(""&amp;$F559&lt;&gt;"4","",IF($AY559="YES","",IF(ROUND(SUMIFS($AE$2:$AE$4001,$L$2:$L$4001,$L559,$F$2:$F$4001,"4")-SUMIFS('AR SALES'!$Y$2:$Y$2501,'AR SALES'!$L$2:$L$2501,$L559,'AR SALES'!$AD$2:$AD$2501,"OFF"),2)=0,"","STALE")))</f>
        <v/>
      </c>
      <c r="BB559" s="2" t="str">
        <f>IF(OR(""&amp;$F559="2",""&amp;$F559="4",""&amp;$F559="G",""&amp;$F559="H"),IF($AY559="YES","",IF($AB559&lt;&gt;0,"",IF(COUNTIFS('AR SALES'!$L$2:$L$2501,$L559,'AR SALES'!$AD$2:$AD$2501,IF(""&amp;$F559="4","OFF","ON"),'AR SALES'!$AF$2:$AF$2501,"Y")&gt;0,"","NO EXEMPTION"))),"")</f>
        <v/>
      </c>
    </row>
    <row r="560" spans="46:54" x14ac:dyDescent="0.25">
      <c r="AT560" s="2" t="str">
        <f>IF($L560="","",IFERROR(INDEX('AR SALES'!$H$2:$H$2501,MATCH(""&amp;$L560,'AR SALES'!$AE$2:$AE$2501,0)),""))</f>
        <v/>
      </c>
      <c r="AU560" s="2" t="str">
        <f t="shared" si="32"/>
        <v/>
      </c>
      <c r="AV560" s="2" t="str">
        <f t="shared" si="33"/>
        <v/>
      </c>
      <c r="AW560" s="2" t="str">
        <f t="shared" si="34"/>
        <v/>
      </c>
      <c r="AX560" s="2" t="str">
        <f t="shared" si="35"/>
        <v/>
      </c>
      <c r="AY560" s="2" t="str">
        <f>IF($AV560="","",IF(AND($Z560=0,COUNTIF('AR SALES'!$L$2:$L$2501,$L560)=0),"YES",""))</f>
        <v/>
      </c>
      <c r="AZ560" s="2" t="str">
        <f>IF($AV560="","",IF(COUNTIF(LISTS!$C$2:$C$250,$AU560)=0,"NEW",""))</f>
        <v/>
      </c>
      <c r="BA560" s="2" t="str">
        <f>IF(""&amp;$F560&lt;&gt;"4","",IF($AY560="YES","",IF(ROUND(SUMIFS($AE$2:$AE$4001,$L$2:$L$4001,$L560,$F$2:$F$4001,"4")-SUMIFS('AR SALES'!$Y$2:$Y$2501,'AR SALES'!$L$2:$L$2501,$L560,'AR SALES'!$AD$2:$AD$2501,"OFF"),2)=0,"","STALE")))</f>
        <v/>
      </c>
      <c r="BB560" s="2" t="str">
        <f>IF(OR(""&amp;$F560="2",""&amp;$F560="4",""&amp;$F560="G",""&amp;$F560="H"),IF($AY560="YES","",IF($AB560&lt;&gt;0,"",IF(COUNTIFS('AR SALES'!$L$2:$L$2501,$L560,'AR SALES'!$AD$2:$AD$2501,IF(""&amp;$F560="4","OFF","ON"),'AR SALES'!$AF$2:$AF$2501,"Y")&gt;0,"","NO EXEMPTION"))),"")</f>
        <v/>
      </c>
    </row>
    <row r="561" spans="46:54" x14ac:dyDescent="0.25">
      <c r="AT561" s="2" t="str">
        <f>IF($L561="","",IFERROR(INDEX('AR SALES'!$H$2:$H$2501,MATCH(""&amp;$L561,'AR SALES'!$AE$2:$AE$2501,0)),""))</f>
        <v/>
      </c>
      <c r="AU561" s="2" t="str">
        <f t="shared" si="32"/>
        <v/>
      </c>
      <c r="AV561" s="2" t="str">
        <f t="shared" si="33"/>
        <v/>
      </c>
      <c r="AW561" s="2" t="str">
        <f t="shared" si="34"/>
        <v/>
      </c>
      <c r="AX561" s="2" t="str">
        <f t="shared" si="35"/>
        <v/>
      </c>
      <c r="AY561" s="2" t="str">
        <f>IF($AV561="","",IF(AND($Z561=0,COUNTIF('AR SALES'!$L$2:$L$2501,$L561)=0),"YES",""))</f>
        <v/>
      </c>
      <c r="AZ561" s="2" t="str">
        <f>IF($AV561="","",IF(COUNTIF(LISTS!$C$2:$C$250,$AU561)=0,"NEW",""))</f>
        <v/>
      </c>
      <c r="BA561" s="2" t="str">
        <f>IF(""&amp;$F561&lt;&gt;"4","",IF($AY561="YES","",IF(ROUND(SUMIFS($AE$2:$AE$4001,$L$2:$L$4001,$L561,$F$2:$F$4001,"4")-SUMIFS('AR SALES'!$Y$2:$Y$2501,'AR SALES'!$L$2:$L$2501,$L561,'AR SALES'!$AD$2:$AD$2501,"OFF"),2)=0,"","STALE")))</f>
        <v/>
      </c>
      <c r="BB561" s="2" t="str">
        <f>IF(OR(""&amp;$F561="2",""&amp;$F561="4",""&amp;$F561="G",""&amp;$F561="H"),IF($AY561="YES","",IF($AB561&lt;&gt;0,"",IF(COUNTIFS('AR SALES'!$L$2:$L$2501,$L561,'AR SALES'!$AD$2:$AD$2501,IF(""&amp;$F561="4","OFF","ON"),'AR SALES'!$AF$2:$AF$2501,"Y")&gt;0,"","NO EXEMPTION"))),"")</f>
        <v/>
      </c>
    </row>
    <row r="562" spans="46:54" x14ac:dyDescent="0.25">
      <c r="AT562" s="2" t="str">
        <f>IF($L562="","",IFERROR(INDEX('AR SALES'!$H$2:$H$2501,MATCH(""&amp;$L562,'AR SALES'!$AE$2:$AE$2501,0)),""))</f>
        <v/>
      </c>
      <c r="AU562" s="2" t="str">
        <f t="shared" si="32"/>
        <v/>
      </c>
      <c r="AV562" s="2" t="str">
        <f t="shared" si="33"/>
        <v/>
      </c>
      <c r="AW562" s="2" t="str">
        <f t="shared" si="34"/>
        <v/>
      </c>
      <c r="AX562" s="2" t="str">
        <f t="shared" si="35"/>
        <v/>
      </c>
      <c r="AY562" s="2" t="str">
        <f>IF($AV562="","",IF(AND($Z562=0,COUNTIF('AR SALES'!$L$2:$L$2501,$L562)=0),"YES",""))</f>
        <v/>
      </c>
      <c r="AZ562" s="2" t="str">
        <f>IF($AV562="","",IF(COUNTIF(LISTS!$C$2:$C$250,$AU562)=0,"NEW",""))</f>
        <v/>
      </c>
      <c r="BA562" s="2" t="str">
        <f>IF(""&amp;$F562&lt;&gt;"4","",IF($AY562="YES","",IF(ROUND(SUMIFS($AE$2:$AE$4001,$L$2:$L$4001,$L562,$F$2:$F$4001,"4")-SUMIFS('AR SALES'!$Y$2:$Y$2501,'AR SALES'!$L$2:$L$2501,$L562,'AR SALES'!$AD$2:$AD$2501,"OFF"),2)=0,"","STALE")))</f>
        <v/>
      </c>
      <c r="BB562" s="2" t="str">
        <f>IF(OR(""&amp;$F562="2",""&amp;$F562="4",""&amp;$F562="G",""&amp;$F562="H"),IF($AY562="YES","",IF($AB562&lt;&gt;0,"",IF(COUNTIFS('AR SALES'!$L$2:$L$2501,$L562,'AR SALES'!$AD$2:$AD$2501,IF(""&amp;$F562="4","OFF","ON"),'AR SALES'!$AF$2:$AF$2501,"Y")&gt;0,"","NO EXEMPTION"))),"")</f>
        <v/>
      </c>
    </row>
    <row r="563" spans="46:54" x14ac:dyDescent="0.25">
      <c r="AT563" s="2" t="str">
        <f>IF($L563="","",IFERROR(INDEX('AR SALES'!$H$2:$H$2501,MATCH(""&amp;$L563,'AR SALES'!$AE$2:$AE$2501,0)),""))</f>
        <v/>
      </c>
      <c r="AU563" s="2" t="str">
        <f t="shared" si="32"/>
        <v/>
      </c>
      <c r="AV563" s="2" t="str">
        <f t="shared" si="33"/>
        <v/>
      </c>
      <c r="AW563" s="2" t="str">
        <f t="shared" si="34"/>
        <v/>
      </c>
      <c r="AX563" s="2" t="str">
        <f t="shared" si="35"/>
        <v/>
      </c>
      <c r="AY563" s="2" t="str">
        <f>IF($AV563="","",IF(AND($Z563=0,COUNTIF('AR SALES'!$L$2:$L$2501,$L563)=0),"YES",""))</f>
        <v/>
      </c>
      <c r="AZ563" s="2" t="str">
        <f>IF($AV563="","",IF(COUNTIF(LISTS!$C$2:$C$250,$AU563)=0,"NEW",""))</f>
        <v/>
      </c>
      <c r="BA563" s="2" t="str">
        <f>IF(""&amp;$F563&lt;&gt;"4","",IF($AY563="YES","",IF(ROUND(SUMIFS($AE$2:$AE$4001,$L$2:$L$4001,$L563,$F$2:$F$4001,"4")-SUMIFS('AR SALES'!$Y$2:$Y$2501,'AR SALES'!$L$2:$L$2501,$L563,'AR SALES'!$AD$2:$AD$2501,"OFF"),2)=0,"","STALE")))</f>
        <v/>
      </c>
      <c r="BB563" s="2" t="str">
        <f>IF(OR(""&amp;$F563="2",""&amp;$F563="4",""&amp;$F563="G",""&amp;$F563="H"),IF($AY563="YES","",IF($AB563&lt;&gt;0,"",IF(COUNTIFS('AR SALES'!$L$2:$L$2501,$L563,'AR SALES'!$AD$2:$AD$2501,IF(""&amp;$F563="4","OFF","ON"),'AR SALES'!$AF$2:$AF$2501,"Y")&gt;0,"","NO EXEMPTION"))),"")</f>
        <v/>
      </c>
    </row>
    <row r="564" spans="46:54" x14ac:dyDescent="0.25">
      <c r="AT564" s="2" t="str">
        <f>IF($L564="","",IFERROR(INDEX('AR SALES'!$H$2:$H$2501,MATCH(""&amp;$L564,'AR SALES'!$AE$2:$AE$2501,0)),""))</f>
        <v/>
      </c>
      <c r="AU564" s="2" t="str">
        <f t="shared" si="32"/>
        <v/>
      </c>
      <c r="AV564" s="2" t="str">
        <f t="shared" si="33"/>
        <v/>
      </c>
      <c r="AW564" s="2" t="str">
        <f t="shared" si="34"/>
        <v/>
      </c>
      <c r="AX564" s="2" t="str">
        <f t="shared" si="35"/>
        <v/>
      </c>
      <c r="AY564" s="2" t="str">
        <f>IF($AV564="","",IF(AND($Z564=0,COUNTIF('AR SALES'!$L$2:$L$2501,$L564)=0),"YES",""))</f>
        <v/>
      </c>
      <c r="AZ564" s="2" t="str">
        <f>IF($AV564="","",IF(COUNTIF(LISTS!$C$2:$C$250,$AU564)=0,"NEW",""))</f>
        <v/>
      </c>
      <c r="BA564" s="2" t="str">
        <f>IF(""&amp;$F564&lt;&gt;"4","",IF($AY564="YES","",IF(ROUND(SUMIFS($AE$2:$AE$4001,$L$2:$L$4001,$L564,$F$2:$F$4001,"4")-SUMIFS('AR SALES'!$Y$2:$Y$2501,'AR SALES'!$L$2:$L$2501,$L564,'AR SALES'!$AD$2:$AD$2501,"OFF"),2)=0,"","STALE")))</f>
        <v/>
      </c>
      <c r="BB564" s="2" t="str">
        <f>IF(OR(""&amp;$F564="2",""&amp;$F564="4",""&amp;$F564="G",""&amp;$F564="H"),IF($AY564="YES","",IF($AB564&lt;&gt;0,"",IF(COUNTIFS('AR SALES'!$L$2:$L$2501,$L564,'AR SALES'!$AD$2:$AD$2501,IF(""&amp;$F564="4","OFF","ON"),'AR SALES'!$AF$2:$AF$2501,"Y")&gt;0,"","NO EXEMPTION"))),"")</f>
        <v/>
      </c>
    </row>
    <row r="565" spans="46:54" x14ac:dyDescent="0.25">
      <c r="AT565" s="2" t="str">
        <f>IF($L565="","",IFERROR(INDEX('AR SALES'!$H$2:$H$2501,MATCH(""&amp;$L565,'AR SALES'!$AE$2:$AE$2501,0)),""))</f>
        <v/>
      </c>
      <c r="AU565" s="2" t="str">
        <f t="shared" si="32"/>
        <v/>
      </c>
      <c r="AV565" s="2" t="str">
        <f t="shared" si="33"/>
        <v/>
      </c>
      <c r="AW565" s="2" t="str">
        <f t="shared" si="34"/>
        <v/>
      </c>
      <c r="AX565" s="2" t="str">
        <f t="shared" si="35"/>
        <v/>
      </c>
      <c r="AY565" s="2" t="str">
        <f>IF($AV565="","",IF(AND($Z565=0,COUNTIF('AR SALES'!$L$2:$L$2501,$L565)=0),"YES",""))</f>
        <v/>
      </c>
      <c r="AZ565" s="2" t="str">
        <f>IF($AV565="","",IF(COUNTIF(LISTS!$C$2:$C$250,$AU565)=0,"NEW",""))</f>
        <v/>
      </c>
      <c r="BA565" s="2" t="str">
        <f>IF(""&amp;$F565&lt;&gt;"4","",IF($AY565="YES","",IF(ROUND(SUMIFS($AE$2:$AE$4001,$L$2:$L$4001,$L565,$F$2:$F$4001,"4")-SUMIFS('AR SALES'!$Y$2:$Y$2501,'AR SALES'!$L$2:$L$2501,$L565,'AR SALES'!$AD$2:$AD$2501,"OFF"),2)=0,"","STALE")))</f>
        <v/>
      </c>
      <c r="BB565" s="2" t="str">
        <f>IF(OR(""&amp;$F565="2",""&amp;$F565="4",""&amp;$F565="G",""&amp;$F565="H"),IF($AY565="YES","",IF($AB565&lt;&gt;0,"",IF(COUNTIFS('AR SALES'!$L$2:$L$2501,$L565,'AR SALES'!$AD$2:$AD$2501,IF(""&amp;$F565="4","OFF","ON"),'AR SALES'!$AF$2:$AF$2501,"Y")&gt;0,"","NO EXEMPTION"))),"")</f>
        <v/>
      </c>
    </row>
    <row r="566" spans="46:54" x14ac:dyDescent="0.25">
      <c r="AT566" s="2" t="str">
        <f>IF($L566="","",IFERROR(INDEX('AR SALES'!$H$2:$H$2501,MATCH(""&amp;$L566,'AR SALES'!$AE$2:$AE$2501,0)),""))</f>
        <v/>
      </c>
      <c r="AU566" s="2" t="str">
        <f t="shared" si="32"/>
        <v/>
      </c>
      <c r="AV566" s="2" t="str">
        <f t="shared" si="33"/>
        <v/>
      </c>
      <c r="AW566" s="2" t="str">
        <f t="shared" si="34"/>
        <v/>
      </c>
      <c r="AX566" s="2" t="str">
        <f t="shared" si="35"/>
        <v/>
      </c>
      <c r="AY566" s="2" t="str">
        <f>IF($AV566="","",IF(AND($Z566=0,COUNTIF('AR SALES'!$L$2:$L$2501,$L566)=0),"YES",""))</f>
        <v/>
      </c>
      <c r="AZ566" s="2" t="str">
        <f>IF($AV566="","",IF(COUNTIF(LISTS!$C$2:$C$250,$AU566)=0,"NEW",""))</f>
        <v/>
      </c>
      <c r="BA566" s="2" t="str">
        <f>IF(""&amp;$F566&lt;&gt;"4","",IF($AY566="YES","",IF(ROUND(SUMIFS($AE$2:$AE$4001,$L$2:$L$4001,$L566,$F$2:$F$4001,"4")-SUMIFS('AR SALES'!$Y$2:$Y$2501,'AR SALES'!$L$2:$L$2501,$L566,'AR SALES'!$AD$2:$AD$2501,"OFF"),2)=0,"","STALE")))</f>
        <v/>
      </c>
      <c r="BB566" s="2" t="str">
        <f>IF(OR(""&amp;$F566="2",""&amp;$F566="4",""&amp;$F566="G",""&amp;$F566="H"),IF($AY566="YES","",IF($AB566&lt;&gt;0,"",IF(COUNTIFS('AR SALES'!$L$2:$L$2501,$L566,'AR SALES'!$AD$2:$AD$2501,IF(""&amp;$F566="4","OFF","ON"),'AR SALES'!$AF$2:$AF$2501,"Y")&gt;0,"","NO EXEMPTION"))),"")</f>
        <v/>
      </c>
    </row>
    <row r="567" spans="46:54" x14ac:dyDescent="0.25">
      <c r="AT567" s="2" t="str">
        <f>IF($L567="","",IFERROR(INDEX('AR SALES'!$H$2:$H$2501,MATCH(""&amp;$L567,'AR SALES'!$AE$2:$AE$2501,0)),""))</f>
        <v/>
      </c>
      <c r="AU567" s="2" t="str">
        <f t="shared" si="32"/>
        <v/>
      </c>
      <c r="AV567" s="2" t="str">
        <f t="shared" si="33"/>
        <v/>
      </c>
      <c r="AW567" s="2" t="str">
        <f t="shared" si="34"/>
        <v/>
      </c>
      <c r="AX567" s="2" t="str">
        <f t="shared" si="35"/>
        <v/>
      </c>
      <c r="AY567" s="2" t="str">
        <f>IF($AV567="","",IF(AND($Z567=0,COUNTIF('AR SALES'!$L$2:$L$2501,$L567)=0),"YES",""))</f>
        <v/>
      </c>
      <c r="AZ567" s="2" t="str">
        <f>IF($AV567="","",IF(COUNTIF(LISTS!$C$2:$C$250,$AU567)=0,"NEW",""))</f>
        <v/>
      </c>
      <c r="BA567" s="2" t="str">
        <f>IF(""&amp;$F567&lt;&gt;"4","",IF($AY567="YES","",IF(ROUND(SUMIFS($AE$2:$AE$4001,$L$2:$L$4001,$L567,$F$2:$F$4001,"4")-SUMIFS('AR SALES'!$Y$2:$Y$2501,'AR SALES'!$L$2:$L$2501,$L567,'AR SALES'!$AD$2:$AD$2501,"OFF"),2)=0,"","STALE")))</f>
        <v/>
      </c>
      <c r="BB567" s="2" t="str">
        <f>IF(OR(""&amp;$F567="2",""&amp;$F567="4",""&amp;$F567="G",""&amp;$F567="H"),IF($AY567="YES","",IF($AB567&lt;&gt;0,"",IF(COUNTIFS('AR SALES'!$L$2:$L$2501,$L567,'AR SALES'!$AD$2:$AD$2501,IF(""&amp;$F567="4","OFF","ON"),'AR SALES'!$AF$2:$AF$2501,"Y")&gt;0,"","NO EXEMPTION"))),"")</f>
        <v/>
      </c>
    </row>
    <row r="568" spans="46:54" x14ac:dyDescent="0.25">
      <c r="AT568" s="2" t="str">
        <f>IF($L568="","",IFERROR(INDEX('AR SALES'!$H$2:$H$2501,MATCH(""&amp;$L568,'AR SALES'!$AE$2:$AE$2501,0)),""))</f>
        <v/>
      </c>
      <c r="AU568" s="2" t="str">
        <f t="shared" si="32"/>
        <v/>
      </c>
      <c r="AV568" s="2" t="str">
        <f t="shared" si="33"/>
        <v/>
      </c>
      <c r="AW568" s="2" t="str">
        <f t="shared" si="34"/>
        <v/>
      </c>
      <c r="AX568" s="2" t="str">
        <f t="shared" si="35"/>
        <v/>
      </c>
      <c r="AY568" s="2" t="str">
        <f>IF($AV568="","",IF(AND($Z568=0,COUNTIF('AR SALES'!$L$2:$L$2501,$L568)=0),"YES",""))</f>
        <v/>
      </c>
      <c r="AZ568" s="2" t="str">
        <f>IF($AV568="","",IF(COUNTIF(LISTS!$C$2:$C$250,$AU568)=0,"NEW",""))</f>
        <v/>
      </c>
      <c r="BA568" s="2" t="str">
        <f>IF(""&amp;$F568&lt;&gt;"4","",IF($AY568="YES","",IF(ROUND(SUMIFS($AE$2:$AE$4001,$L$2:$L$4001,$L568,$F$2:$F$4001,"4")-SUMIFS('AR SALES'!$Y$2:$Y$2501,'AR SALES'!$L$2:$L$2501,$L568,'AR SALES'!$AD$2:$AD$2501,"OFF"),2)=0,"","STALE")))</f>
        <v/>
      </c>
      <c r="BB568" s="2" t="str">
        <f>IF(OR(""&amp;$F568="2",""&amp;$F568="4",""&amp;$F568="G",""&amp;$F568="H"),IF($AY568="YES","",IF($AB568&lt;&gt;0,"",IF(COUNTIFS('AR SALES'!$L$2:$L$2501,$L568,'AR SALES'!$AD$2:$AD$2501,IF(""&amp;$F568="4","OFF","ON"),'AR SALES'!$AF$2:$AF$2501,"Y")&gt;0,"","NO EXEMPTION"))),"")</f>
        <v/>
      </c>
    </row>
    <row r="569" spans="46:54" x14ac:dyDescent="0.25">
      <c r="AT569" s="2" t="str">
        <f>IF($L569="","",IFERROR(INDEX('AR SALES'!$H$2:$H$2501,MATCH(""&amp;$L569,'AR SALES'!$AE$2:$AE$2501,0)),""))</f>
        <v/>
      </c>
      <c r="AU569" s="2" t="str">
        <f t="shared" si="32"/>
        <v/>
      </c>
      <c r="AV569" s="2" t="str">
        <f t="shared" si="33"/>
        <v/>
      </c>
      <c r="AW569" s="2" t="str">
        <f t="shared" si="34"/>
        <v/>
      </c>
      <c r="AX569" s="2" t="str">
        <f t="shared" si="35"/>
        <v/>
      </c>
      <c r="AY569" s="2" t="str">
        <f>IF($AV569="","",IF(AND($Z569=0,COUNTIF('AR SALES'!$L$2:$L$2501,$L569)=0),"YES",""))</f>
        <v/>
      </c>
      <c r="AZ569" s="2" t="str">
        <f>IF($AV569="","",IF(COUNTIF(LISTS!$C$2:$C$250,$AU569)=0,"NEW",""))</f>
        <v/>
      </c>
      <c r="BA569" s="2" t="str">
        <f>IF(""&amp;$F569&lt;&gt;"4","",IF($AY569="YES","",IF(ROUND(SUMIFS($AE$2:$AE$4001,$L$2:$L$4001,$L569,$F$2:$F$4001,"4")-SUMIFS('AR SALES'!$Y$2:$Y$2501,'AR SALES'!$L$2:$L$2501,$L569,'AR SALES'!$AD$2:$AD$2501,"OFF"),2)=0,"","STALE")))</f>
        <v/>
      </c>
      <c r="BB569" s="2" t="str">
        <f>IF(OR(""&amp;$F569="2",""&amp;$F569="4",""&amp;$F569="G",""&amp;$F569="H"),IF($AY569="YES","",IF($AB569&lt;&gt;0,"",IF(COUNTIFS('AR SALES'!$L$2:$L$2501,$L569,'AR SALES'!$AD$2:$AD$2501,IF(""&amp;$F569="4","OFF","ON"),'AR SALES'!$AF$2:$AF$2501,"Y")&gt;0,"","NO EXEMPTION"))),"")</f>
        <v/>
      </c>
    </row>
    <row r="570" spans="46:54" x14ac:dyDescent="0.25">
      <c r="AT570" s="2" t="str">
        <f>IF($L570="","",IFERROR(INDEX('AR SALES'!$H$2:$H$2501,MATCH(""&amp;$L570,'AR SALES'!$AE$2:$AE$2501,0)),""))</f>
        <v/>
      </c>
      <c r="AU570" s="2" t="str">
        <f t="shared" si="32"/>
        <v/>
      </c>
      <c r="AV570" s="2" t="str">
        <f t="shared" si="33"/>
        <v/>
      </c>
      <c r="AW570" s="2" t="str">
        <f t="shared" si="34"/>
        <v/>
      </c>
      <c r="AX570" s="2" t="str">
        <f t="shared" si="35"/>
        <v/>
      </c>
      <c r="AY570" s="2" t="str">
        <f>IF($AV570="","",IF(AND($Z570=0,COUNTIF('AR SALES'!$L$2:$L$2501,$L570)=0),"YES",""))</f>
        <v/>
      </c>
      <c r="AZ570" s="2" t="str">
        <f>IF($AV570="","",IF(COUNTIF(LISTS!$C$2:$C$250,$AU570)=0,"NEW",""))</f>
        <v/>
      </c>
      <c r="BA570" s="2" t="str">
        <f>IF(""&amp;$F570&lt;&gt;"4","",IF($AY570="YES","",IF(ROUND(SUMIFS($AE$2:$AE$4001,$L$2:$L$4001,$L570,$F$2:$F$4001,"4")-SUMIFS('AR SALES'!$Y$2:$Y$2501,'AR SALES'!$L$2:$L$2501,$L570,'AR SALES'!$AD$2:$AD$2501,"OFF"),2)=0,"","STALE")))</f>
        <v/>
      </c>
      <c r="BB570" s="2" t="str">
        <f>IF(OR(""&amp;$F570="2",""&amp;$F570="4",""&amp;$F570="G",""&amp;$F570="H"),IF($AY570="YES","",IF($AB570&lt;&gt;0,"",IF(COUNTIFS('AR SALES'!$L$2:$L$2501,$L570,'AR SALES'!$AD$2:$AD$2501,IF(""&amp;$F570="4","OFF","ON"),'AR SALES'!$AF$2:$AF$2501,"Y")&gt;0,"","NO EXEMPTION"))),"")</f>
        <v/>
      </c>
    </row>
    <row r="571" spans="46:54" x14ac:dyDescent="0.25">
      <c r="AT571" s="2" t="str">
        <f>IF($L571="","",IFERROR(INDEX('AR SALES'!$H$2:$H$2501,MATCH(""&amp;$L571,'AR SALES'!$AE$2:$AE$2501,0)),""))</f>
        <v/>
      </c>
      <c r="AU571" s="2" t="str">
        <f t="shared" si="32"/>
        <v/>
      </c>
      <c r="AV571" s="2" t="str">
        <f t="shared" si="33"/>
        <v/>
      </c>
      <c r="AW571" s="2" t="str">
        <f t="shared" si="34"/>
        <v/>
      </c>
      <c r="AX571" s="2" t="str">
        <f t="shared" si="35"/>
        <v/>
      </c>
      <c r="AY571" s="2" t="str">
        <f>IF($AV571="","",IF(AND($Z571=0,COUNTIF('AR SALES'!$L$2:$L$2501,$L571)=0),"YES",""))</f>
        <v/>
      </c>
      <c r="AZ571" s="2" t="str">
        <f>IF($AV571="","",IF(COUNTIF(LISTS!$C$2:$C$250,$AU571)=0,"NEW",""))</f>
        <v/>
      </c>
      <c r="BA571" s="2" t="str">
        <f>IF(""&amp;$F571&lt;&gt;"4","",IF($AY571="YES","",IF(ROUND(SUMIFS($AE$2:$AE$4001,$L$2:$L$4001,$L571,$F$2:$F$4001,"4")-SUMIFS('AR SALES'!$Y$2:$Y$2501,'AR SALES'!$L$2:$L$2501,$L571,'AR SALES'!$AD$2:$AD$2501,"OFF"),2)=0,"","STALE")))</f>
        <v/>
      </c>
      <c r="BB571" s="2" t="str">
        <f>IF(OR(""&amp;$F571="2",""&amp;$F571="4",""&amp;$F571="G",""&amp;$F571="H"),IF($AY571="YES","",IF($AB571&lt;&gt;0,"",IF(COUNTIFS('AR SALES'!$L$2:$L$2501,$L571,'AR SALES'!$AD$2:$AD$2501,IF(""&amp;$F571="4","OFF","ON"),'AR SALES'!$AF$2:$AF$2501,"Y")&gt;0,"","NO EXEMPTION"))),"")</f>
        <v/>
      </c>
    </row>
    <row r="572" spans="46:54" x14ac:dyDescent="0.25">
      <c r="AT572" s="2" t="str">
        <f>IF($L572="","",IFERROR(INDEX('AR SALES'!$H$2:$H$2501,MATCH(""&amp;$L572,'AR SALES'!$AE$2:$AE$2501,0)),""))</f>
        <v/>
      </c>
      <c r="AU572" s="2" t="str">
        <f t="shared" si="32"/>
        <v/>
      </c>
      <c r="AV572" s="2" t="str">
        <f t="shared" si="33"/>
        <v/>
      </c>
      <c r="AW572" s="2" t="str">
        <f t="shared" si="34"/>
        <v/>
      </c>
      <c r="AX572" s="2" t="str">
        <f t="shared" si="35"/>
        <v/>
      </c>
      <c r="AY572" s="2" t="str">
        <f>IF($AV572="","",IF(AND($Z572=0,COUNTIF('AR SALES'!$L$2:$L$2501,$L572)=0),"YES",""))</f>
        <v/>
      </c>
      <c r="AZ572" s="2" t="str">
        <f>IF($AV572="","",IF(COUNTIF(LISTS!$C$2:$C$250,$AU572)=0,"NEW",""))</f>
        <v/>
      </c>
      <c r="BA572" s="2" t="str">
        <f>IF(""&amp;$F572&lt;&gt;"4","",IF($AY572="YES","",IF(ROUND(SUMIFS($AE$2:$AE$4001,$L$2:$L$4001,$L572,$F$2:$F$4001,"4")-SUMIFS('AR SALES'!$Y$2:$Y$2501,'AR SALES'!$L$2:$L$2501,$L572,'AR SALES'!$AD$2:$AD$2501,"OFF"),2)=0,"","STALE")))</f>
        <v/>
      </c>
      <c r="BB572" s="2" t="str">
        <f>IF(OR(""&amp;$F572="2",""&amp;$F572="4",""&amp;$F572="G",""&amp;$F572="H"),IF($AY572="YES","",IF($AB572&lt;&gt;0,"",IF(COUNTIFS('AR SALES'!$L$2:$L$2501,$L572,'AR SALES'!$AD$2:$AD$2501,IF(""&amp;$F572="4","OFF","ON"),'AR SALES'!$AF$2:$AF$2501,"Y")&gt;0,"","NO EXEMPTION"))),"")</f>
        <v/>
      </c>
    </row>
    <row r="573" spans="46:54" x14ac:dyDescent="0.25">
      <c r="AT573" s="2" t="str">
        <f>IF($L573="","",IFERROR(INDEX('AR SALES'!$H$2:$H$2501,MATCH(""&amp;$L573,'AR SALES'!$AE$2:$AE$2501,0)),""))</f>
        <v/>
      </c>
      <c r="AU573" s="2" t="str">
        <f t="shared" si="32"/>
        <v/>
      </c>
      <c r="AV573" s="2" t="str">
        <f t="shared" si="33"/>
        <v/>
      </c>
      <c r="AW573" s="2" t="str">
        <f t="shared" si="34"/>
        <v/>
      </c>
      <c r="AX573" s="2" t="str">
        <f t="shared" si="35"/>
        <v/>
      </c>
      <c r="AY573" s="2" t="str">
        <f>IF($AV573="","",IF(AND($Z573=0,COUNTIF('AR SALES'!$L$2:$L$2501,$L573)=0),"YES",""))</f>
        <v/>
      </c>
      <c r="AZ573" s="2" t="str">
        <f>IF($AV573="","",IF(COUNTIF(LISTS!$C$2:$C$250,$AU573)=0,"NEW",""))</f>
        <v/>
      </c>
      <c r="BA573" s="2" t="str">
        <f>IF(""&amp;$F573&lt;&gt;"4","",IF($AY573="YES","",IF(ROUND(SUMIFS($AE$2:$AE$4001,$L$2:$L$4001,$L573,$F$2:$F$4001,"4")-SUMIFS('AR SALES'!$Y$2:$Y$2501,'AR SALES'!$L$2:$L$2501,$L573,'AR SALES'!$AD$2:$AD$2501,"OFF"),2)=0,"","STALE")))</f>
        <v/>
      </c>
      <c r="BB573" s="2" t="str">
        <f>IF(OR(""&amp;$F573="2",""&amp;$F573="4",""&amp;$F573="G",""&amp;$F573="H"),IF($AY573="YES","",IF($AB573&lt;&gt;0,"",IF(COUNTIFS('AR SALES'!$L$2:$L$2501,$L573,'AR SALES'!$AD$2:$AD$2501,IF(""&amp;$F573="4","OFF","ON"),'AR SALES'!$AF$2:$AF$2501,"Y")&gt;0,"","NO EXEMPTION"))),"")</f>
        <v/>
      </c>
    </row>
    <row r="574" spans="46:54" x14ac:dyDescent="0.25">
      <c r="AT574" s="2" t="str">
        <f>IF($L574="","",IFERROR(INDEX('AR SALES'!$H$2:$H$2501,MATCH(""&amp;$L574,'AR SALES'!$AE$2:$AE$2501,0)),""))</f>
        <v/>
      </c>
      <c r="AU574" s="2" t="str">
        <f t="shared" si="32"/>
        <v/>
      </c>
      <c r="AV574" s="2" t="str">
        <f t="shared" si="33"/>
        <v/>
      </c>
      <c r="AW574" s="2" t="str">
        <f t="shared" si="34"/>
        <v/>
      </c>
      <c r="AX574" s="2" t="str">
        <f t="shared" si="35"/>
        <v/>
      </c>
      <c r="AY574" s="2" t="str">
        <f>IF($AV574="","",IF(AND($Z574=0,COUNTIF('AR SALES'!$L$2:$L$2501,$L574)=0),"YES",""))</f>
        <v/>
      </c>
      <c r="AZ574" s="2" t="str">
        <f>IF($AV574="","",IF(COUNTIF(LISTS!$C$2:$C$250,$AU574)=0,"NEW",""))</f>
        <v/>
      </c>
      <c r="BA574" s="2" t="str">
        <f>IF(""&amp;$F574&lt;&gt;"4","",IF($AY574="YES","",IF(ROUND(SUMIFS($AE$2:$AE$4001,$L$2:$L$4001,$L574,$F$2:$F$4001,"4")-SUMIFS('AR SALES'!$Y$2:$Y$2501,'AR SALES'!$L$2:$L$2501,$L574,'AR SALES'!$AD$2:$AD$2501,"OFF"),2)=0,"","STALE")))</f>
        <v/>
      </c>
      <c r="BB574" s="2" t="str">
        <f>IF(OR(""&amp;$F574="2",""&amp;$F574="4",""&amp;$F574="G",""&amp;$F574="H"),IF($AY574="YES","",IF($AB574&lt;&gt;0,"",IF(COUNTIFS('AR SALES'!$L$2:$L$2501,$L574,'AR SALES'!$AD$2:$AD$2501,IF(""&amp;$F574="4","OFF","ON"),'AR SALES'!$AF$2:$AF$2501,"Y")&gt;0,"","NO EXEMPTION"))),"")</f>
        <v/>
      </c>
    </row>
    <row r="575" spans="46:54" x14ac:dyDescent="0.25">
      <c r="AT575" s="2" t="str">
        <f>IF($L575="","",IFERROR(INDEX('AR SALES'!$H$2:$H$2501,MATCH(""&amp;$L575,'AR SALES'!$AE$2:$AE$2501,0)),""))</f>
        <v/>
      </c>
      <c r="AU575" s="2" t="str">
        <f t="shared" si="32"/>
        <v/>
      </c>
      <c r="AV575" s="2" t="str">
        <f t="shared" si="33"/>
        <v/>
      </c>
      <c r="AW575" s="2" t="str">
        <f t="shared" si="34"/>
        <v/>
      </c>
      <c r="AX575" s="2" t="str">
        <f t="shared" si="35"/>
        <v/>
      </c>
      <c r="AY575" s="2" t="str">
        <f>IF($AV575="","",IF(AND($Z575=0,COUNTIF('AR SALES'!$L$2:$L$2501,$L575)=0),"YES",""))</f>
        <v/>
      </c>
      <c r="AZ575" s="2" t="str">
        <f>IF($AV575="","",IF(COUNTIF(LISTS!$C$2:$C$250,$AU575)=0,"NEW",""))</f>
        <v/>
      </c>
      <c r="BA575" s="2" t="str">
        <f>IF(""&amp;$F575&lt;&gt;"4","",IF($AY575="YES","",IF(ROUND(SUMIFS($AE$2:$AE$4001,$L$2:$L$4001,$L575,$F$2:$F$4001,"4")-SUMIFS('AR SALES'!$Y$2:$Y$2501,'AR SALES'!$L$2:$L$2501,$L575,'AR SALES'!$AD$2:$AD$2501,"OFF"),2)=0,"","STALE")))</f>
        <v/>
      </c>
      <c r="BB575" s="2" t="str">
        <f>IF(OR(""&amp;$F575="2",""&amp;$F575="4",""&amp;$F575="G",""&amp;$F575="H"),IF($AY575="YES","",IF($AB575&lt;&gt;0,"",IF(COUNTIFS('AR SALES'!$L$2:$L$2501,$L575,'AR SALES'!$AD$2:$AD$2501,IF(""&amp;$F575="4","OFF","ON"),'AR SALES'!$AF$2:$AF$2501,"Y")&gt;0,"","NO EXEMPTION"))),"")</f>
        <v/>
      </c>
    </row>
    <row r="576" spans="46:54" x14ac:dyDescent="0.25">
      <c r="AT576" s="2" t="str">
        <f>IF($L576="","",IFERROR(INDEX('AR SALES'!$H$2:$H$2501,MATCH(""&amp;$L576,'AR SALES'!$AE$2:$AE$2501,0)),""))</f>
        <v/>
      </c>
      <c r="AU576" s="2" t="str">
        <f t="shared" si="32"/>
        <v/>
      </c>
      <c r="AV576" s="2" t="str">
        <f t="shared" si="33"/>
        <v/>
      </c>
      <c r="AW576" s="2" t="str">
        <f t="shared" si="34"/>
        <v/>
      </c>
      <c r="AX576" s="2" t="str">
        <f t="shared" si="35"/>
        <v/>
      </c>
      <c r="AY576" s="2" t="str">
        <f>IF($AV576="","",IF(AND($Z576=0,COUNTIF('AR SALES'!$L$2:$L$2501,$L576)=0),"YES",""))</f>
        <v/>
      </c>
      <c r="AZ576" s="2" t="str">
        <f>IF($AV576="","",IF(COUNTIF(LISTS!$C$2:$C$250,$AU576)=0,"NEW",""))</f>
        <v/>
      </c>
      <c r="BA576" s="2" t="str">
        <f>IF(""&amp;$F576&lt;&gt;"4","",IF($AY576="YES","",IF(ROUND(SUMIFS($AE$2:$AE$4001,$L$2:$L$4001,$L576,$F$2:$F$4001,"4")-SUMIFS('AR SALES'!$Y$2:$Y$2501,'AR SALES'!$L$2:$L$2501,$L576,'AR SALES'!$AD$2:$AD$2501,"OFF"),2)=0,"","STALE")))</f>
        <v/>
      </c>
      <c r="BB576" s="2" t="str">
        <f>IF(OR(""&amp;$F576="2",""&amp;$F576="4",""&amp;$F576="G",""&amp;$F576="H"),IF($AY576="YES","",IF($AB576&lt;&gt;0,"",IF(COUNTIFS('AR SALES'!$L$2:$L$2501,$L576,'AR SALES'!$AD$2:$AD$2501,IF(""&amp;$F576="4","OFF","ON"),'AR SALES'!$AF$2:$AF$2501,"Y")&gt;0,"","NO EXEMPTION"))),"")</f>
        <v/>
      </c>
    </row>
    <row r="577" spans="46:54" x14ac:dyDescent="0.25">
      <c r="AT577" s="2" t="str">
        <f>IF($L577="","",IFERROR(INDEX('AR SALES'!$H$2:$H$2501,MATCH(""&amp;$L577,'AR SALES'!$AE$2:$AE$2501,0)),""))</f>
        <v/>
      </c>
      <c r="AU577" s="2" t="str">
        <f t="shared" si="32"/>
        <v/>
      </c>
      <c r="AV577" s="2" t="str">
        <f t="shared" si="33"/>
        <v/>
      </c>
      <c r="AW577" s="2" t="str">
        <f t="shared" si="34"/>
        <v/>
      </c>
      <c r="AX577" s="2" t="str">
        <f t="shared" si="35"/>
        <v/>
      </c>
      <c r="AY577" s="2" t="str">
        <f>IF($AV577="","",IF(AND($Z577=0,COUNTIF('AR SALES'!$L$2:$L$2501,$L577)=0),"YES",""))</f>
        <v/>
      </c>
      <c r="AZ577" s="2" t="str">
        <f>IF($AV577="","",IF(COUNTIF(LISTS!$C$2:$C$250,$AU577)=0,"NEW",""))</f>
        <v/>
      </c>
      <c r="BA577" s="2" t="str">
        <f>IF(""&amp;$F577&lt;&gt;"4","",IF($AY577="YES","",IF(ROUND(SUMIFS($AE$2:$AE$4001,$L$2:$L$4001,$L577,$F$2:$F$4001,"4")-SUMIFS('AR SALES'!$Y$2:$Y$2501,'AR SALES'!$L$2:$L$2501,$L577,'AR SALES'!$AD$2:$AD$2501,"OFF"),2)=0,"","STALE")))</f>
        <v/>
      </c>
      <c r="BB577" s="2" t="str">
        <f>IF(OR(""&amp;$F577="2",""&amp;$F577="4",""&amp;$F577="G",""&amp;$F577="H"),IF($AY577="YES","",IF($AB577&lt;&gt;0,"",IF(COUNTIFS('AR SALES'!$L$2:$L$2501,$L577,'AR SALES'!$AD$2:$AD$2501,IF(""&amp;$F577="4","OFF","ON"),'AR SALES'!$AF$2:$AF$2501,"Y")&gt;0,"","NO EXEMPTION"))),"")</f>
        <v/>
      </c>
    </row>
    <row r="578" spans="46:54" x14ac:dyDescent="0.25">
      <c r="AT578" s="2" t="str">
        <f>IF($L578="","",IFERROR(INDEX('AR SALES'!$H$2:$H$2501,MATCH(""&amp;$L578,'AR SALES'!$AE$2:$AE$2501,0)),""))</f>
        <v/>
      </c>
      <c r="AU578" s="2" t="str">
        <f t="shared" ref="AU578:AU641" si="36">IF($L578="","",IF($A578&lt;&gt;"GA","",IF($E578="FULTON",IF(ISNUMBER(SEARCH("COLLEGE PARK",$AT578)),"FULTON (COLLEGE PARK)",IF(ISNUMBER(SEARCH("ATLANTA CITY",$AT578)),"FULTON (ATL LIMITS)","FULTON")),IF($E578="DEKALB",IF(ISNUMBER(SEARCH("ATLANTA CITY",$AT578)),"DEKALB (ATL LIMITS)","DEKALB"),$E578))))</f>
        <v/>
      </c>
      <c r="AV578" s="2" t="str">
        <f t="shared" ref="AV578:AV641" si="37">IF($L578="","",IF(""&amp;$F578="2","DIESEL",IF(OR(""&amp;$F578="G",""&amp;$F578="H"),"GAS","")))</f>
        <v/>
      </c>
      <c r="AW578" s="2" t="str">
        <f t="shared" ref="AW578:AW641" si="38">IF($AV578="","",$R578)</f>
        <v/>
      </c>
      <c r="AX578" s="2" t="str">
        <f t="shared" ref="AX578:AX641" si="39">IF($AV578="","",IF($AB578=0,$R578,0))</f>
        <v/>
      </c>
      <c r="AY578" s="2" t="str">
        <f>IF($AV578="","",IF(AND($Z578=0,COUNTIF('AR SALES'!$L$2:$L$2501,$L578)=0),"YES",""))</f>
        <v/>
      </c>
      <c r="AZ578" s="2" t="str">
        <f>IF($AV578="","",IF(COUNTIF(LISTS!$C$2:$C$250,$AU578)=0,"NEW",""))</f>
        <v/>
      </c>
      <c r="BA578" s="2" t="str">
        <f>IF(""&amp;$F578&lt;&gt;"4","",IF($AY578="YES","",IF(ROUND(SUMIFS($AE$2:$AE$4001,$L$2:$L$4001,$L578,$F$2:$F$4001,"4")-SUMIFS('AR SALES'!$Y$2:$Y$2501,'AR SALES'!$L$2:$L$2501,$L578,'AR SALES'!$AD$2:$AD$2501,"OFF"),2)=0,"","STALE")))</f>
        <v/>
      </c>
      <c r="BB578" s="2" t="str">
        <f>IF(OR(""&amp;$F578="2",""&amp;$F578="4",""&amp;$F578="G",""&amp;$F578="H"),IF($AY578="YES","",IF($AB578&lt;&gt;0,"",IF(COUNTIFS('AR SALES'!$L$2:$L$2501,$L578,'AR SALES'!$AD$2:$AD$2501,IF(""&amp;$F578="4","OFF","ON"),'AR SALES'!$AF$2:$AF$2501,"Y")&gt;0,"","NO EXEMPTION"))),"")</f>
        <v/>
      </c>
    </row>
    <row r="579" spans="46:54" x14ac:dyDescent="0.25">
      <c r="AT579" s="2" t="str">
        <f>IF($L579="","",IFERROR(INDEX('AR SALES'!$H$2:$H$2501,MATCH(""&amp;$L579,'AR SALES'!$AE$2:$AE$2501,0)),""))</f>
        <v/>
      </c>
      <c r="AU579" s="2" t="str">
        <f t="shared" si="36"/>
        <v/>
      </c>
      <c r="AV579" s="2" t="str">
        <f t="shared" si="37"/>
        <v/>
      </c>
      <c r="AW579" s="2" t="str">
        <f t="shared" si="38"/>
        <v/>
      </c>
      <c r="AX579" s="2" t="str">
        <f t="shared" si="39"/>
        <v/>
      </c>
      <c r="AY579" s="2" t="str">
        <f>IF($AV579="","",IF(AND($Z579=0,COUNTIF('AR SALES'!$L$2:$L$2501,$L579)=0),"YES",""))</f>
        <v/>
      </c>
      <c r="AZ579" s="2" t="str">
        <f>IF($AV579="","",IF(COUNTIF(LISTS!$C$2:$C$250,$AU579)=0,"NEW",""))</f>
        <v/>
      </c>
      <c r="BA579" s="2" t="str">
        <f>IF(""&amp;$F579&lt;&gt;"4","",IF($AY579="YES","",IF(ROUND(SUMIFS($AE$2:$AE$4001,$L$2:$L$4001,$L579,$F$2:$F$4001,"4")-SUMIFS('AR SALES'!$Y$2:$Y$2501,'AR SALES'!$L$2:$L$2501,$L579,'AR SALES'!$AD$2:$AD$2501,"OFF"),2)=0,"","STALE")))</f>
        <v/>
      </c>
      <c r="BB579" s="2" t="str">
        <f>IF(OR(""&amp;$F579="2",""&amp;$F579="4",""&amp;$F579="G",""&amp;$F579="H"),IF($AY579="YES","",IF($AB579&lt;&gt;0,"",IF(COUNTIFS('AR SALES'!$L$2:$L$2501,$L579,'AR SALES'!$AD$2:$AD$2501,IF(""&amp;$F579="4","OFF","ON"),'AR SALES'!$AF$2:$AF$2501,"Y")&gt;0,"","NO EXEMPTION"))),"")</f>
        <v/>
      </c>
    </row>
    <row r="580" spans="46:54" x14ac:dyDescent="0.25">
      <c r="AT580" s="2" t="str">
        <f>IF($L580="","",IFERROR(INDEX('AR SALES'!$H$2:$H$2501,MATCH(""&amp;$L580,'AR SALES'!$AE$2:$AE$2501,0)),""))</f>
        <v/>
      </c>
      <c r="AU580" s="2" t="str">
        <f t="shared" si="36"/>
        <v/>
      </c>
      <c r="AV580" s="2" t="str">
        <f t="shared" si="37"/>
        <v/>
      </c>
      <c r="AW580" s="2" t="str">
        <f t="shared" si="38"/>
        <v/>
      </c>
      <c r="AX580" s="2" t="str">
        <f t="shared" si="39"/>
        <v/>
      </c>
      <c r="AY580" s="2" t="str">
        <f>IF($AV580="","",IF(AND($Z580=0,COUNTIF('AR SALES'!$L$2:$L$2501,$L580)=0),"YES",""))</f>
        <v/>
      </c>
      <c r="AZ580" s="2" t="str">
        <f>IF($AV580="","",IF(COUNTIF(LISTS!$C$2:$C$250,$AU580)=0,"NEW",""))</f>
        <v/>
      </c>
      <c r="BA580" s="2" t="str">
        <f>IF(""&amp;$F580&lt;&gt;"4","",IF($AY580="YES","",IF(ROUND(SUMIFS($AE$2:$AE$4001,$L$2:$L$4001,$L580,$F$2:$F$4001,"4")-SUMIFS('AR SALES'!$Y$2:$Y$2501,'AR SALES'!$L$2:$L$2501,$L580,'AR SALES'!$AD$2:$AD$2501,"OFF"),2)=0,"","STALE")))</f>
        <v/>
      </c>
      <c r="BB580" s="2" t="str">
        <f>IF(OR(""&amp;$F580="2",""&amp;$F580="4",""&amp;$F580="G",""&amp;$F580="H"),IF($AY580="YES","",IF($AB580&lt;&gt;0,"",IF(COUNTIFS('AR SALES'!$L$2:$L$2501,$L580,'AR SALES'!$AD$2:$AD$2501,IF(""&amp;$F580="4","OFF","ON"),'AR SALES'!$AF$2:$AF$2501,"Y")&gt;0,"","NO EXEMPTION"))),"")</f>
        <v/>
      </c>
    </row>
    <row r="581" spans="46:54" x14ac:dyDescent="0.25">
      <c r="AT581" s="2" t="str">
        <f>IF($L581="","",IFERROR(INDEX('AR SALES'!$H$2:$H$2501,MATCH(""&amp;$L581,'AR SALES'!$AE$2:$AE$2501,0)),""))</f>
        <v/>
      </c>
      <c r="AU581" s="2" t="str">
        <f t="shared" si="36"/>
        <v/>
      </c>
      <c r="AV581" s="2" t="str">
        <f t="shared" si="37"/>
        <v/>
      </c>
      <c r="AW581" s="2" t="str">
        <f t="shared" si="38"/>
        <v/>
      </c>
      <c r="AX581" s="2" t="str">
        <f t="shared" si="39"/>
        <v/>
      </c>
      <c r="AY581" s="2" t="str">
        <f>IF($AV581="","",IF(AND($Z581=0,COUNTIF('AR SALES'!$L$2:$L$2501,$L581)=0),"YES",""))</f>
        <v/>
      </c>
      <c r="AZ581" s="2" t="str">
        <f>IF($AV581="","",IF(COUNTIF(LISTS!$C$2:$C$250,$AU581)=0,"NEW",""))</f>
        <v/>
      </c>
      <c r="BA581" s="2" t="str">
        <f>IF(""&amp;$F581&lt;&gt;"4","",IF($AY581="YES","",IF(ROUND(SUMIFS($AE$2:$AE$4001,$L$2:$L$4001,$L581,$F$2:$F$4001,"4")-SUMIFS('AR SALES'!$Y$2:$Y$2501,'AR SALES'!$L$2:$L$2501,$L581,'AR SALES'!$AD$2:$AD$2501,"OFF"),2)=0,"","STALE")))</f>
        <v/>
      </c>
      <c r="BB581" s="2" t="str">
        <f>IF(OR(""&amp;$F581="2",""&amp;$F581="4",""&amp;$F581="G",""&amp;$F581="H"),IF($AY581="YES","",IF($AB581&lt;&gt;0,"",IF(COUNTIFS('AR SALES'!$L$2:$L$2501,$L581,'AR SALES'!$AD$2:$AD$2501,IF(""&amp;$F581="4","OFF","ON"),'AR SALES'!$AF$2:$AF$2501,"Y")&gt;0,"","NO EXEMPTION"))),"")</f>
        <v/>
      </c>
    </row>
    <row r="582" spans="46:54" x14ac:dyDescent="0.25">
      <c r="AT582" s="2" t="str">
        <f>IF($L582="","",IFERROR(INDEX('AR SALES'!$H$2:$H$2501,MATCH(""&amp;$L582,'AR SALES'!$AE$2:$AE$2501,0)),""))</f>
        <v/>
      </c>
      <c r="AU582" s="2" t="str">
        <f t="shared" si="36"/>
        <v/>
      </c>
      <c r="AV582" s="2" t="str">
        <f t="shared" si="37"/>
        <v/>
      </c>
      <c r="AW582" s="2" t="str">
        <f t="shared" si="38"/>
        <v/>
      </c>
      <c r="AX582" s="2" t="str">
        <f t="shared" si="39"/>
        <v/>
      </c>
      <c r="AY582" s="2" t="str">
        <f>IF($AV582="","",IF(AND($Z582=0,COUNTIF('AR SALES'!$L$2:$L$2501,$L582)=0),"YES",""))</f>
        <v/>
      </c>
      <c r="AZ582" s="2" t="str">
        <f>IF($AV582="","",IF(COUNTIF(LISTS!$C$2:$C$250,$AU582)=0,"NEW",""))</f>
        <v/>
      </c>
      <c r="BA582" s="2" t="str">
        <f>IF(""&amp;$F582&lt;&gt;"4","",IF($AY582="YES","",IF(ROUND(SUMIFS($AE$2:$AE$4001,$L$2:$L$4001,$L582,$F$2:$F$4001,"4")-SUMIFS('AR SALES'!$Y$2:$Y$2501,'AR SALES'!$L$2:$L$2501,$L582,'AR SALES'!$AD$2:$AD$2501,"OFF"),2)=0,"","STALE")))</f>
        <v/>
      </c>
      <c r="BB582" s="2" t="str">
        <f>IF(OR(""&amp;$F582="2",""&amp;$F582="4",""&amp;$F582="G",""&amp;$F582="H"),IF($AY582="YES","",IF($AB582&lt;&gt;0,"",IF(COUNTIFS('AR SALES'!$L$2:$L$2501,$L582,'AR SALES'!$AD$2:$AD$2501,IF(""&amp;$F582="4","OFF","ON"),'AR SALES'!$AF$2:$AF$2501,"Y")&gt;0,"","NO EXEMPTION"))),"")</f>
        <v/>
      </c>
    </row>
    <row r="583" spans="46:54" x14ac:dyDescent="0.25">
      <c r="AT583" s="2" t="str">
        <f>IF($L583="","",IFERROR(INDEX('AR SALES'!$H$2:$H$2501,MATCH(""&amp;$L583,'AR SALES'!$AE$2:$AE$2501,0)),""))</f>
        <v/>
      </c>
      <c r="AU583" s="2" t="str">
        <f t="shared" si="36"/>
        <v/>
      </c>
      <c r="AV583" s="2" t="str">
        <f t="shared" si="37"/>
        <v/>
      </c>
      <c r="AW583" s="2" t="str">
        <f t="shared" si="38"/>
        <v/>
      </c>
      <c r="AX583" s="2" t="str">
        <f t="shared" si="39"/>
        <v/>
      </c>
      <c r="AY583" s="2" t="str">
        <f>IF($AV583="","",IF(AND($Z583=0,COUNTIF('AR SALES'!$L$2:$L$2501,$L583)=0),"YES",""))</f>
        <v/>
      </c>
      <c r="AZ583" s="2" t="str">
        <f>IF($AV583="","",IF(COUNTIF(LISTS!$C$2:$C$250,$AU583)=0,"NEW",""))</f>
        <v/>
      </c>
      <c r="BA583" s="2" t="str">
        <f>IF(""&amp;$F583&lt;&gt;"4","",IF($AY583="YES","",IF(ROUND(SUMIFS($AE$2:$AE$4001,$L$2:$L$4001,$L583,$F$2:$F$4001,"4")-SUMIFS('AR SALES'!$Y$2:$Y$2501,'AR SALES'!$L$2:$L$2501,$L583,'AR SALES'!$AD$2:$AD$2501,"OFF"),2)=0,"","STALE")))</f>
        <v/>
      </c>
      <c r="BB583" s="2" t="str">
        <f>IF(OR(""&amp;$F583="2",""&amp;$F583="4",""&amp;$F583="G",""&amp;$F583="H"),IF($AY583="YES","",IF($AB583&lt;&gt;0,"",IF(COUNTIFS('AR SALES'!$L$2:$L$2501,$L583,'AR SALES'!$AD$2:$AD$2501,IF(""&amp;$F583="4","OFF","ON"),'AR SALES'!$AF$2:$AF$2501,"Y")&gt;0,"","NO EXEMPTION"))),"")</f>
        <v/>
      </c>
    </row>
    <row r="584" spans="46:54" x14ac:dyDescent="0.25">
      <c r="AT584" s="2" t="str">
        <f>IF($L584="","",IFERROR(INDEX('AR SALES'!$H$2:$H$2501,MATCH(""&amp;$L584,'AR SALES'!$AE$2:$AE$2501,0)),""))</f>
        <v/>
      </c>
      <c r="AU584" s="2" t="str">
        <f t="shared" si="36"/>
        <v/>
      </c>
      <c r="AV584" s="2" t="str">
        <f t="shared" si="37"/>
        <v/>
      </c>
      <c r="AW584" s="2" t="str">
        <f t="shared" si="38"/>
        <v/>
      </c>
      <c r="AX584" s="2" t="str">
        <f t="shared" si="39"/>
        <v/>
      </c>
      <c r="AY584" s="2" t="str">
        <f>IF($AV584="","",IF(AND($Z584=0,COUNTIF('AR SALES'!$L$2:$L$2501,$L584)=0),"YES",""))</f>
        <v/>
      </c>
      <c r="AZ584" s="2" t="str">
        <f>IF($AV584="","",IF(COUNTIF(LISTS!$C$2:$C$250,$AU584)=0,"NEW",""))</f>
        <v/>
      </c>
      <c r="BA584" s="2" t="str">
        <f>IF(""&amp;$F584&lt;&gt;"4","",IF($AY584="YES","",IF(ROUND(SUMIFS($AE$2:$AE$4001,$L$2:$L$4001,$L584,$F$2:$F$4001,"4")-SUMIFS('AR SALES'!$Y$2:$Y$2501,'AR SALES'!$L$2:$L$2501,$L584,'AR SALES'!$AD$2:$AD$2501,"OFF"),2)=0,"","STALE")))</f>
        <v/>
      </c>
      <c r="BB584" s="2" t="str">
        <f>IF(OR(""&amp;$F584="2",""&amp;$F584="4",""&amp;$F584="G",""&amp;$F584="H"),IF($AY584="YES","",IF($AB584&lt;&gt;0,"",IF(COUNTIFS('AR SALES'!$L$2:$L$2501,$L584,'AR SALES'!$AD$2:$AD$2501,IF(""&amp;$F584="4","OFF","ON"),'AR SALES'!$AF$2:$AF$2501,"Y")&gt;0,"","NO EXEMPTION"))),"")</f>
        <v/>
      </c>
    </row>
    <row r="585" spans="46:54" x14ac:dyDescent="0.25">
      <c r="AT585" s="2" t="str">
        <f>IF($L585="","",IFERROR(INDEX('AR SALES'!$H$2:$H$2501,MATCH(""&amp;$L585,'AR SALES'!$AE$2:$AE$2501,0)),""))</f>
        <v/>
      </c>
      <c r="AU585" s="2" t="str">
        <f t="shared" si="36"/>
        <v/>
      </c>
      <c r="AV585" s="2" t="str">
        <f t="shared" si="37"/>
        <v/>
      </c>
      <c r="AW585" s="2" t="str">
        <f t="shared" si="38"/>
        <v/>
      </c>
      <c r="AX585" s="2" t="str">
        <f t="shared" si="39"/>
        <v/>
      </c>
      <c r="AY585" s="2" t="str">
        <f>IF($AV585="","",IF(AND($Z585=0,COUNTIF('AR SALES'!$L$2:$L$2501,$L585)=0),"YES",""))</f>
        <v/>
      </c>
      <c r="AZ585" s="2" t="str">
        <f>IF($AV585="","",IF(COUNTIF(LISTS!$C$2:$C$250,$AU585)=0,"NEW",""))</f>
        <v/>
      </c>
      <c r="BA585" s="2" t="str">
        <f>IF(""&amp;$F585&lt;&gt;"4","",IF($AY585="YES","",IF(ROUND(SUMIFS($AE$2:$AE$4001,$L$2:$L$4001,$L585,$F$2:$F$4001,"4")-SUMIFS('AR SALES'!$Y$2:$Y$2501,'AR SALES'!$L$2:$L$2501,$L585,'AR SALES'!$AD$2:$AD$2501,"OFF"),2)=0,"","STALE")))</f>
        <v/>
      </c>
      <c r="BB585" s="2" t="str">
        <f>IF(OR(""&amp;$F585="2",""&amp;$F585="4",""&amp;$F585="G",""&amp;$F585="H"),IF($AY585="YES","",IF($AB585&lt;&gt;0,"",IF(COUNTIFS('AR SALES'!$L$2:$L$2501,$L585,'AR SALES'!$AD$2:$AD$2501,IF(""&amp;$F585="4","OFF","ON"),'AR SALES'!$AF$2:$AF$2501,"Y")&gt;0,"","NO EXEMPTION"))),"")</f>
        <v/>
      </c>
    </row>
    <row r="586" spans="46:54" x14ac:dyDescent="0.25">
      <c r="AT586" s="2" t="str">
        <f>IF($L586="","",IFERROR(INDEX('AR SALES'!$H$2:$H$2501,MATCH(""&amp;$L586,'AR SALES'!$AE$2:$AE$2501,0)),""))</f>
        <v/>
      </c>
      <c r="AU586" s="2" t="str">
        <f t="shared" si="36"/>
        <v/>
      </c>
      <c r="AV586" s="2" t="str">
        <f t="shared" si="37"/>
        <v/>
      </c>
      <c r="AW586" s="2" t="str">
        <f t="shared" si="38"/>
        <v/>
      </c>
      <c r="AX586" s="2" t="str">
        <f t="shared" si="39"/>
        <v/>
      </c>
      <c r="AY586" s="2" t="str">
        <f>IF($AV586="","",IF(AND($Z586=0,COUNTIF('AR SALES'!$L$2:$L$2501,$L586)=0),"YES",""))</f>
        <v/>
      </c>
      <c r="AZ586" s="2" t="str">
        <f>IF($AV586="","",IF(COUNTIF(LISTS!$C$2:$C$250,$AU586)=0,"NEW",""))</f>
        <v/>
      </c>
      <c r="BA586" s="2" t="str">
        <f>IF(""&amp;$F586&lt;&gt;"4","",IF($AY586="YES","",IF(ROUND(SUMIFS($AE$2:$AE$4001,$L$2:$L$4001,$L586,$F$2:$F$4001,"4")-SUMIFS('AR SALES'!$Y$2:$Y$2501,'AR SALES'!$L$2:$L$2501,$L586,'AR SALES'!$AD$2:$AD$2501,"OFF"),2)=0,"","STALE")))</f>
        <v/>
      </c>
      <c r="BB586" s="2" t="str">
        <f>IF(OR(""&amp;$F586="2",""&amp;$F586="4",""&amp;$F586="G",""&amp;$F586="H"),IF($AY586="YES","",IF($AB586&lt;&gt;0,"",IF(COUNTIFS('AR SALES'!$L$2:$L$2501,$L586,'AR SALES'!$AD$2:$AD$2501,IF(""&amp;$F586="4","OFF","ON"),'AR SALES'!$AF$2:$AF$2501,"Y")&gt;0,"","NO EXEMPTION"))),"")</f>
        <v/>
      </c>
    </row>
    <row r="587" spans="46:54" x14ac:dyDescent="0.25">
      <c r="AT587" s="2" t="str">
        <f>IF($L587="","",IFERROR(INDEX('AR SALES'!$H$2:$H$2501,MATCH(""&amp;$L587,'AR SALES'!$AE$2:$AE$2501,0)),""))</f>
        <v/>
      </c>
      <c r="AU587" s="2" t="str">
        <f t="shared" si="36"/>
        <v/>
      </c>
      <c r="AV587" s="2" t="str">
        <f t="shared" si="37"/>
        <v/>
      </c>
      <c r="AW587" s="2" t="str">
        <f t="shared" si="38"/>
        <v/>
      </c>
      <c r="AX587" s="2" t="str">
        <f t="shared" si="39"/>
        <v/>
      </c>
      <c r="AY587" s="2" t="str">
        <f>IF($AV587="","",IF(AND($Z587=0,COUNTIF('AR SALES'!$L$2:$L$2501,$L587)=0),"YES",""))</f>
        <v/>
      </c>
      <c r="AZ587" s="2" t="str">
        <f>IF($AV587="","",IF(COUNTIF(LISTS!$C$2:$C$250,$AU587)=0,"NEW",""))</f>
        <v/>
      </c>
      <c r="BA587" s="2" t="str">
        <f>IF(""&amp;$F587&lt;&gt;"4","",IF($AY587="YES","",IF(ROUND(SUMIFS($AE$2:$AE$4001,$L$2:$L$4001,$L587,$F$2:$F$4001,"4")-SUMIFS('AR SALES'!$Y$2:$Y$2501,'AR SALES'!$L$2:$L$2501,$L587,'AR SALES'!$AD$2:$AD$2501,"OFF"),2)=0,"","STALE")))</f>
        <v/>
      </c>
      <c r="BB587" s="2" t="str">
        <f>IF(OR(""&amp;$F587="2",""&amp;$F587="4",""&amp;$F587="G",""&amp;$F587="H"),IF($AY587="YES","",IF($AB587&lt;&gt;0,"",IF(COUNTIFS('AR SALES'!$L$2:$L$2501,$L587,'AR SALES'!$AD$2:$AD$2501,IF(""&amp;$F587="4","OFF","ON"),'AR SALES'!$AF$2:$AF$2501,"Y")&gt;0,"","NO EXEMPTION"))),"")</f>
        <v/>
      </c>
    </row>
    <row r="588" spans="46:54" x14ac:dyDescent="0.25">
      <c r="AT588" s="2" t="str">
        <f>IF($L588="","",IFERROR(INDEX('AR SALES'!$H$2:$H$2501,MATCH(""&amp;$L588,'AR SALES'!$AE$2:$AE$2501,0)),""))</f>
        <v/>
      </c>
      <c r="AU588" s="2" t="str">
        <f t="shared" si="36"/>
        <v/>
      </c>
      <c r="AV588" s="2" t="str">
        <f t="shared" si="37"/>
        <v/>
      </c>
      <c r="AW588" s="2" t="str">
        <f t="shared" si="38"/>
        <v/>
      </c>
      <c r="AX588" s="2" t="str">
        <f t="shared" si="39"/>
        <v/>
      </c>
      <c r="AY588" s="2" t="str">
        <f>IF($AV588="","",IF(AND($Z588=0,COUNTIF('AR SALES'!$L$2:$L$2501,$L588)=0),"YES",""))</f>
        <v/>
      </c>
      <c r="AZ588" s="2" t="str">
        <f>IF($AV588="","",IF(COUNTIF(LISTS!$C$2:$C$250,$AU588)=0,"NEW",""))</f>
        <v/>
      </c>
      <c r="BA588" s="2" t="str">
        <f>IF(""&amp;$F588&lt;&gt;"4","",IF($AY588="YES","",IF(ROUND(SUMIFS($AE$2:$AE$4001,$L$2:$L$4001,$L588,$F$2:$F$4001,"4")-SUMIFS('AR SALES'!$Y$2:$Y$2501,'AR SALES'!$L$2:$L$2501,$L588,'AR SALES'!$AD$2:$AD$2501,"OFF"),2)=0,"","STALE")))</f>
        <v/>
      </c>
      <c r="BB588" s="2" t="str">
        <f>IF(OR(""&amp;$F588="2",""&amp;$F588="4",""&amp;$F588="G",""&amp;$F588="H"),IF($AY588="YES","",IF($AB588&lt;&gt;0,"",IF(COUNTIFS('AR SALES'!$L$2:$L$2501,$L588,'AR SALES'!$AD$2:$AD$2501,IF(""&amp;$F588="4","OFF","ON"),'AR SALES'!$AF$2:$AF$2501,"Y")&gt;0,"","NO EXEMPTION"))),"")</f>
        <v/>
      </c>
    </row>
    <row r="589" spans="46:54" x14ac:dyDescent="0.25">
      <c r="AT589" s="2" t="str">
        <f>IF($L589="","",IFERROR(INDEX('AR SALES'!$H$2:$H$2501,MATCH(""&amp;$L589,'AR SALES'!$AE$2:$AE$2501,0)),""))</f>
        <v/>
      </c>
      <c r="AU589" s="2" t="str">
        <f t="shared" si="36"/>
        <v/>
      </c>
      <c r="AV589" s="2" t="str">
        <f t="shared" si="37"/>
        <v/>
      </c>
      <c r="AW589" s="2" t="str">
        <f t="shared" si="38"/>
        <v/>
      </c>
      <c r="AX589" s="2" t="str">
        <f t="shared" si="39"/>
        <v/>
      </c>
      <c r="AY589" s="2" t="str">
        <f>IF($AV589="","",IF(AND($Z589=0,COUNTIF('AR SALES'!$L$2:$L$2501,$L589)=0),"YES",""))</f>
        <v/>
      </c>
      <c r="AZ589" s="2" t="str">
        <f>IF($AV589="","",IF(COUNTIF(LISTS!$C$2:$C$250,$AU589)=0,"NEW",""))</f>
        <v/>
      </c>
      <c r="BA589" s="2" t="str">
        <f>IF(""&amp;$F589&lt;&gt;"4","",IF($AY589="YES","",IF(ROUND(SUMIFS($AE$2:$AE$4001,$L$2:$L$4001,$L589,$F$2:$F$4001,"4")-SUMIFS('AR SALES'!$Y$2:$Y$2501,'AR SALES'!$L$2:$L$2501,$L589,'AR SALES'!$AD$2:$AD$2501,"OFF"),2)=0,"","STALE")))</f>
        <v/>
      </c>
      <c r="BB589" s="2" t="str">
        <f>IF(OR(""&amp;$F589="2",""&amp;$F589="4",""&amp;$F589="G",""&amp;$F589="H"),IF($AY589="YES","",IF($AB589&lt;&gt;0,"",IF(COUNTIFS('AR SALES'!$L$2:$L$2501,$L589,'AR SALES'!$AD$2:$AD$2501,IF(""&amp;$F589="4","OFF","ON"),'AR SALES'!$AF$2:$AF$2501,"Y")&gt;0,"","NO EXEMPTION"))),"")</f>
        <v/>
      </c>
    </row>
    <row r="590" spans="46:54" x14ac:dyDescent="0.25">
      <c r="AT590" s="2" t="str">
        <f>IF($L590="","",IFERROR(INDEX('AR SALES'!$H$2:$H$2501,MATCH(""&amp;$L590,'AR SALES'!$AE$2:$AE$2501,0)),""))</f>
        <v/>
      </c>
      <c r="AU590" s="2" t="str">
        <f t="shared" si="36"/>
        <v/>
      </c>
      <c r="AV590" s="2" t="str">
        <f t="shared" si="37"/>
        <v/>
      </c>
      <c r="AW590" s="2" t="str">
        <f t="shared" si="38"/>
        <v/>
      </c>
      <c r="AX590" s="2" t="str">
        <f t="shared" si="39"/>
        <v/>
      </c>
      <c r="AY590" s="2" t="str">
        <f>IF($AV590="","",IF(AND($Z590=0,COUNTIF('AR SALES'!$L$2:$L$2501,$L590)=0),"YES",""))</f>
        <v/>
      </c>
      <c r="AZ590" s="2" t="str">
        <f>IF($AV590="","",IF(COUNTIF(LISTS!$C$2:$C$250,$AU590)=0,"NEW",""))</f>
        <v/>
      </c>
      <c r="BA590" s="2" t="str">
        <f>IF(""&amp;$F590&lt;&gt;"4","",IF($AY590="YES","",IF(ROUND(SUMIFS($AE$2:$AE$4001,$L$2:$L$4001,$L590,$F$2:$F$4001,"4")-SUMIFS('AR SALES'!$Y$2:$Y$2501,'AR SALES'!$L$2:$L$2501,$L590,'AR SALES'!$AD$2:$AD$2501,"OFF"),2)=0,"","STALE")))</f>
        <v/>
      </c>
      <c r="BB590" s="2" t="str">
        <f>IF(OR(""&amp;$F590="2",""&amp;$F590="4",""&amp;$F590="G",""&amp;$F590="H"),IF($AY590="YES","",IF($AB590&lt;&gt;0,"",IF(COUNTIFS('AR SALES'!$L$2:$L$2501,$L590,'AR SALES'!$AD$2:$AD$2501,IF(""&amp;$F590="4","OFF","ON"),'AR SALES'!$AF$2:$AF$2501,"Y")&gt;0,"","NO EXEMPTION"))),"")</f>
        <v/>
      </c>
    </row>
    <row r="591" spans="46:54" x14ac:dyDescent="0.25">
      <c r="AT591" s="2" t="str">
        <f>IF($L591="","",IFERROR(INDEX('AR SALES'!$H$2:$H$2501,MATCH(""&amp;$L591,'AR SALES'!$AE$2:$AE$2501,0)),""))</f>
        <v/>
      </c>
      <c r="AU591" s="2" t="str">
        <f t="shared" si="36"/>
        <v/>
      </c>
      <c r="AV591" s="2" t="str">
        <f t="shared" si="37"/>
        <v/>
      </c>
      <c r="AW591" s="2" t="str">
        <f t="shared" si="38"/>
        <v/>
      </c>
      <c r="AX591" s="2" t="str">
        <f t="shared" si="39"/>
        <v/>
      </c>
      <c r="AY591" s="2" t="str">
        <f>IF($AV591="","",IF(AND($Z591=0,COUNTIF('AR SALES'!$L$2:$L$2501,$L591)=0),"YES",""))</f>
        <v/>
      </c>
      <c r="AZ591" s="2" t="str">
        <f>IF($AV591="","",IF(COUNTIF(LISTS!$C$2:$C$250,$AU591)=0,"NEW",""))</f>
        <v/>
      </c>
      <c r="BA591" s="2" t="str">
        <f>IF(""&amp;$F591&lt;&gt;"4","",IF($AY591="YES","",IF(ROUND(SUMIFS($AE$2:$AE$4001,$L$2:$L$4001,$L591,$F$2:$F$4001,"4")-SUMIFS('AR SALES'!$Y$2:$Y$2501,'AR SALES'!$L$2:$L$2501,$L591,'AR SALES'!$AD$2:$AD$2501,"OFF"),2)=0,"","STALE")))</f>
        <v/>
      </c>
      <c r="BB591" s="2" t="str">
        <f>IF(OR(""&amp;$F591="2",""&amp;$F591="4",""&amp;$F591="G",""&amp;$F591="H"),IF($AY591="YES","",IF($AB591&lt;&gt;0,"",IF(COUNTIFS('AR SALES'!$L$2:$L$2501,$L591,'AR SALES'!$AD$2:$AD$2501,IF(""&amp;$F591="4","OFF","ON"),'AR SALES'!$AF$2:$AF$2501,"Y")&gt;0,"","NO EXEMPTION"))),"")</f>
        <v/>
      </c>
    </row>
    <row r="592" spans="46:54" x14ac:dyDescent="0.25">
      <c r="AT592" s="2" t="str">
        <f>IF($L592="","",IFERROR(INDEX('AR SALES'!$H$2:$H$2501,MATCH(""&amp;$L592,'AR SALES'!$AE$2:$AE$2501,0)),""))</f>
        <v/>
      </c>
      <c r="AU592" s="2" t="str">
        <f t="shared" si="36"/>
        <v/>
      </c>
      <c r="AV592" s="2" t="str">
        <f t="shared" si="37"/>
        <v/>
      </c>
      <c r="AW592" s="2" t="str">
        <f t="shared" si="38"/>
        <v/>
      </c>
      <c r="AX592" s="2" t="str">
        <f t="shared" si="39"/>
        <v/>
      </c>
      <c r="AY592" s="2" t="str">
        <f>IF($AV592="","",IF(AND($Z592=0,COUNTIF('AR SALES'!$L$2:$L$2501,$L592)=0),"YES",""))</f>
        <v/>
      </c>
      <c r="AZ592" s="2" t="str">
        <f>IF($AV592="","",IF(COUNTIF(LISTS!$C$2:$C$250,$AU592)=0,"NEW",""))</f>
        <v/>
      </c>
      <c r="BA592" s="2" t="str">
        <f>IF(""&amp;$F592&lt;&gt;"4","",IF($AY592="YES","",IF(ROUND(SUMIFS($AE$2:$AE$4001,$L$2:$L$4001,$L592,$F$2:$F$4001,"4")-SUMIFS('AR SALES'!$Y$2:$Y$2501,'AR SALES'!$L$2:$L$2501,$L592,'AR SALES'!$AD$2:$AD$2501,"OFF"),2)=0,"","STALE")))</f>
        <v/>
      </c>
      <c r="BB592" s="2" t="str">
        <f>IF(OR(""&amp;$F592="2",""&amp;$F592="4",""&amp;$F592="G",""&amp;$F592="H"),IF($AY592="YES","",IF($AB592&lt;&gt;0,"",IF(COUNTIFS('AR SALES'!$L$2:$L$2501,$L592,'AR SALES'!$AD$2:$AD$2501,IF(""&amp;$F592="4","OFF","ON"),'AR SALES'!$AF$2:$AF$2501,"Y")&gt;0,"","NO EXEMPTION"))),"")</f>
        <v/>
      </c>
    </row>
    <row r="593" spans="46:54" x14ac:dyDescent="0.25">
      <c r="AT593" s="2" t="str">
        <f>IF($L593="","",IFERROR(INDEX('AR SALES'!$H$2:$H$2501,MATCH(""&amp;$L593,'AR SALES'!$AE$2:$AE$2501,0)),""))</f>
        <v/>
      </c>
      <c r="AU593" s="2" t="str">
        <f t="shared" si="36"/>
        <v/>
      </c>
      <c r="AV593" s="2" t="str">
        <f t="shared" si="37"/>
        <v/>
      </c>
      <c r="AW593" s="2" t="str">
        <f t="shared" si="38"/>
        <v/>
      </c>
      <c r="AX593" s="2" t="str">
        <f t="shared" si="39"/>
        <v/>
      </c>
      <c r="AY593" s="2" t="str">
        <f>IF($AV593="","",IF(AND($Z593=0,COUNTIF('AR SALES'!$L$2:$L$2501,$L593)=0),"YES",""))</f>
        <v/>
      </c>
      <c r="AZ593" s="2" t="str">
        <f>IF($AV593="","",IF(COUNTIF(LISTS!$C$2:$C$250,$AU593)=0,"NEW",""))</f>
        <v/>
      </c>
      <c r="BA593" s="2" t="str">
        <f>IF(""&amp;$F593&lt;&gt;"4","",IF($AY593="YES","",IF(ROUND(SUMIFS($AE$2:$AE$4001,$L$2:$L$4001,$L593,$F$2:$F$4001,"4")-SUMIFS('AR SALES'!$Y$2:$Y$2501,'AR SALES'!$L$2:$L$2501,$L593,'AR SALES'!$AD$2:$AD$2501,"OFF"),2)=0,"","STALE")))</f>
        <v/>
      </c>
      <c r="BB593" s="2" t="str">
        <f>IF(OR(""&amp;$F593="2",""&amp;$F593="4",""&amp;$F593="G",""&amp;$F593="H"),IF($AY593="YES","",IF($AB593&lt;&gt;0,"",IF(COUNTIFS('AR SALES'!$L$2:$L$2501,$L593,'AR SALES'!$AD$2:$AD$2501,IF(""&amp;$F593="4","OFF","ON"),'AR SALES'!$AF$2:$AF$2501,"Y")&gt;0,"","NO EXEMPTION"))),"")</f>
        <v/>
      </c>
    </row>
    <row r="594" spans="46:54" x14ac:dyDescent="0.25">
      <c r="AT594" s="2" t="str">
        <f>IF($L594="","",IFERROR(INDEX('AR SALES'!$H$2:$H$2501,MATCH(""&amp;$L594,'AR SALES'!$AE$2:$AE$2501,0)),""))</f>
        <v/>
      </c>
      <c r="AU594" s="2" t="str">
        <f t="shared" si="36"/>
        <v/>
      </c>
      <c r="AV594" s="2" t="str">
        <f t="shared" si="37"/>
        <v/>
      </c>
      <c r="AW594" s="2" t="str">
        <f t="shared" si="38"/>
        <v/>
      </c>
      <c r="AX594" s="2" t="str">
        <f t="shared" si="39"/>
        <v/>
      </c>
      <c r="AY594" s="2" t="str">
        <f>IF($AV594="","",IF(AND($Z594=0,COUNTIF('AR SALES'!$L$2:$L$2501,$L594)=0),"YES",""))</f>
        <v/>
      </c>
      <c r="AZ594" s="2" t="str">
        <f>IF($AV594="","",IF(COUNTIF(LISTS!$C$2:$C$250,$AU594)=0,"NEW",""))</f>
        <v/>
      </c>
      <c r="BA594" s="2" t="str">
        <f>IF(""&amp;$F594&lt;&gt;"4","",IF($AY594="YES","",IF(ROUND(SUMIFS($AE$2:$AE$4001,$L$2:$L$4001,$L594,$F$2:$F$4001,"4")-SUMIFS('AR SALES'!$Y$2:$Y$2501,'AR SALES'!$L$2:$L$2501,$L594,'AR SALES'!$AD$2:$AD$2501,"OFF"),2)=0,"","STALE")))</f>
        <v/>
      </c>
      <c r="BB594" s="2" t="str">
        <f>IF(OR(""&amp;$F594="2",""&amp;$F594="4",""&amp;$F594="G",""&amp;$F594="H"),IF($AY594="YES","",IF($AB594&lt;&gt;0,"",IF(COUNTIFS('AR SALES'!$L$2:$L$2501,$L594,'AR SALES'!$AD$2:$AD$2501,IF(""&amp;$F594="4","OFF","ON"),'AR SALES'!$AF$2:$AF$2501,"Y")&gt;0,"","NO EXEMPTION"))),"")</f>
        <v/>
      </c>
    </row>
    <row r="595" spans="46:54" x14ac:dyDescent="0.25">
      <c r="AT595" s="2" t="str">
        <f>IF($L595="","",IFERROR(INDEX('AR SALES'!$H$2:$H$2501,MATCH(""&amp;$L595,'AR SALES'!$AE$2:$AE$2501,0)),""))</f>
        <v/>
      </c>
      <c r="AU595" s="2" t="str">
        <f t="shared" si="36"/>
        <v/>
      </c>
      <c r="AV595" s="2" t="str">
        <f t="shared" si="37"/>
        <v/>
      </c>
      <c r="AW595" s="2" t="str">
        <f t="shared" si="38"/>
        <v/>
      </c>
      <c r="AX595" s="2" t="str">
        <f t="shared" si="39"/>
        <v/>
      </c>
      <c r="AY595" s="2" t="str">
        <f>IF($AV595="","",IF(AND($Z595=0,COUNTIF('AR SALES'!$L$2:$L$2501,$L595)=0),"YES",""))</f>
        <v/>
      </c>
      <c r="AZ595" s="2" t="str">
        <f>IF($AV595="","",IF(COUNTIF(LISTS!$C$2:$C$250,$AU595)=0,"NEW",""))</f>
        <v/>
      </c>
      <c r="BA595" s="2" t="str">
        <f>IF(""&amp;$F595&lt;&gt;"4","",IF($AY595="YES","",IF(ROUND(SUMIFS($AE$2:$AE$4001,$L$2:$L$4001,$L595,$F$2:$F$4001,"4")-SUMIFS('AR SALES'!$Y$2:$Y$2501,'AR SALES'!$L$2:$L$2501,$L595,'AR SALES'!$AD$2:$AD$2501,"OFF"),2)=0,"","STALE")))</f>
        <v/>
      </c>
      <c r="BB595" s="2" t="str">
        <f>IF(OR(""&amp;$F595="2",""&amp;$F595="4",""&amp;$F595="G",""&amp;$F595="H"),IF($AY595="YES","",IF($AB595&lt;&gt;0,"",IF(COUNTIFS('AR SALES'!$L$2:$L$2501,$L595,'AR SALES'!$AD$2:$AD$2501,IF(""&amp;$F595="4","OFF","ON"),'AR SALES'!$AF$2:$AF$2501,"Y")&gt;0,"","NO EXEMPTION"))),"")</f>
        <v/>
      </c>
    </row>
    <row r="596" spans="46:54" x14ac:dyDescent="0.25">
      <c r="AT596" s="2" t="str">
        <f>IF($L596="","",IFERROR(INDEX('AR SALES'!$H$2:$H$2501,MATCH(""&amp;$L596,'AR SALES'!$AE$2:$AE$2501,0)),""))</f>
        <v/>
      </c>
      <c r="AU596" s="2" t="str">
        <f t="shared" si="36"/>
        <v/>
      </c>
      <c r="AV596" s="2" t="str">
        <f t="shared" si="37"/>
        <v/>
      </c>
      <c r="AW596" s="2" t="str">
        <f t="shared" si="38"/>
        <v/>
      </c>
      <c r="AX596" s="2" t="str">
        <f t="shared" si="39"/>
        <v/>
      </c>
      <c r="AY596" s="2" t="str">
        <f>IF($AV596="","",IF(AND($Z596=0,COUNTIF('AR SALES'!$L$2:$L$2501,$L596)=0),"YES",""))</f>
        <v/>
      </c>
      <c r="AZ596" s="2" t="str">
        <f>IF($AV596="","",IF(COUNTIF(LISTS!$C$2:$C$250,$AU596)=0,"NEW",""))</f>
        <v/>
      </c>
      <c r="BA596" s="2" t="str">
        <f>IF(""&amp;$F596&lt;&gt;"4","",IF($AY596="YES","",IF(ROUND(SUMIFS($AE$2:$AE$4001,$L$2:$L$4001,$L596,$F$2:$F$4001,"4")-SUMIFS('AR SALES'!$Y$2:$Y$2501,'AR SALES'!$L$2:$L$2501,$L596,'AR SALES'!$AD$2:$AD$2501,"OFF"),2)=0,"","STALE")))</f>
        <v/>
      </c>
      <c r="BB596" s="2" t="str">
        <f>IF(OR(""&amp;$F596="2",""&amp;$F596="4",""&amp;$F596="G",""&amp;$F596="H"),IF($AY596="YES","",IF($AB596&lt;&gt;0,"",IF(COUNTIFS('AR SALES'!$L$2:$L$2501,$L596,'AR SALES'!$AD$2:$AD$2501,IF(""&amp;$F596="4","OFF","ON"),'AR SALES'!$AF$2:$AF$2501,"Y")&gt;0,"","NO EXEMPTION"))),"")</f>
        <v/>
      </c>
    </row>
    <row r="597" spans="46:54" x14ac:dyDescent="0.25">
      <c r="AT597" s="2" t="str">
        <f>IF($L597="","",IFERROR(INDEX('AR SALES'!$H$2:$H$2501,MATCH(""&amp;$L597,'AR SALES'!$AE$2:$AE$2501,0)),""))</f>
        <v/>
      </c>
      <c r="AU597" s="2" t="str">
        <f t="shared" si="36"/>
        <v/>
      </c>
      <c r="AV597" s="2" t="str">
        <f t="shared" si="37"/>
        <v/>
      </c>
      <c r="AW597" s="2" t="str">
        <f t="shared" si="38"/>
        <v/>
      </c>
      <c r="AX597" s="2" t="str">
        <f t="shared" si="39"/>
        <v/>
      </c>
      <c r="AY597" s="2" t="str">
        <f>IF($AV597="","",IF(AND($Z597=0,COUNTIF('AR SALES'!$L$2:$L$2501,$L597)=0),"YES",""))</f>
        <v/>
      </c>
      <c r="AZ597" s="2" t="str">
        <f>IF($AV597="","",IF(COUNTIF(LISTS!$C$2:$C$250,$AU597)=0,"NEW",""))</f>
        <v/>
      </c>
      <c r="BA597" s="2" t="str">
        <f>IF(""&amp;$F597&lt;&gt;"4","",IF($AY597="YES","",IF(ROUND(SUMIFS($AE$2:$AE$4001,$L$2:$L$4001,$L597,$F$2:$F$4001,"4")-SUMIFS('AR SALES'!$Y$2:$Y$2501,'AR SALES'!$L$2:$L$2501,$L597,'AR SALES'!$AD$2:$AD$2501,"OFF"),2)=0,"","STALE")))</f>
        <v/>
      </c>
      <c r="BB597" s="2" t="str">
        <f>IF(OR(""&amp;$F597="2",""&amp;$F597="4",""&amp;$F597="G",""&amp;$F597="H"),IF($AY597="YES","",IF($AB597&lt;&gt;0,"",IF(COUNTIFS('AR SALES'!$L$2:$L$2501,$L597,'AR SALES'!$AD$2:$AD$2501,IF(""&amp;$F597="4","OFF","ON"),'AR SALES'!$AF$2:$AF$2501,"Y")&gt;0,"","NO EXEMPTION"))),"")</f>
        <v/>
      </c>
    </row>
    <row r="598" spans="46:54" x14ac:dyDescent="0.25">
      <c r="AT598" s="2" t="str">
        <f>IF($L598="","",IFERROR(INDEX('AR SALES'!$H$2:$H$2501,MATCH(""&amp;$L598,'AR SALES'!$AE$2:$AE$2501,0)),""))</f>
        <v/>
      </c>
      <c r="AU598" s="2" t="str">
        <f t="shared" si="36"/>
        <v/>
      </c>
      <c r="AV598" s="2" t="str">
        <f t="shared" si="37"/>
        <v/>
      </c>
      <c r="AW598" s="2" t="str">
        <f t="shared" si="38"/>
        <v/>
      </c>
      <c r="AX598" s="2" t="str">
        <f t="shared" si="39"/>
        <v/>
      </c>
      <c r="AY598" s="2" t="str">
        <f>IF($AV598="","",IF(AND($Z598=0,COUNTIF('AR SALES'!$L$2:$L$2501,$L598)=0),"YES",""))</f>
        <v/>
      </c>
      <c r="AZ598" s="2" t="str">
        <f>IF($AV598="","",IF(COUNTIF(LISTS!$C$2:$C$250,$AU598)=0,"NEW",""))</f>
        <v/>
      </c>
      <c r="BA598" s="2" t="str">
        <f>IF(""&amp;$F598&lt;&gt;"4","",IF($AY598="YES","",IF(ROUND(SUMIFS($AE$2:$AE$4001,$L$2:$L$4001,$L598,$F$2:$F$4001,"4")-SUMIFS('AR SALES'!$Y$2:$Y$2501,'AR SALES'!$L$2:$L$2501,$L598,'AR SALES'!$AD$2:$AD$2501,"OFF"),2)=0,"","STALE")))</f>
        <v/>
      </c>
      <c r="BB598" s="2" t="str">
        <f>IF(OR(""&amp;$F598="2",""&amp;$F598="4",""&amp;$F598="G",""&amp;$F598="H"),IF($AY598="YES","",IF($AB598&lt;&gt;0,"",IF(COUNTIFS('AR SALES'!$L$2:$L$2501,$L598,'AR SALES'!$AD$2:$AD$2501,IF(""&amp;$F598="4","OFF","ON"),'AR SALES'!$AF$2:$AF$2501,"Y")&gt;0,"","NO EXEMPTION"))),"")</f>
        <v/>
      </c>
    </row>
    <row r="599" spans="46:54" x14ac:dyDescent="0.25">
      <c r="AT599" s="2" t="str">
        <f>IF($L599="","",IFERROR(INDEX('AR SALES'!$H$2:$H$2501,MATCH(""&amp;$L599,'AR SALES'!$AE$2:$AE$2501,0)),""))</f>
        <v/>
      </c>
      <c r="AU599" s="2" t="str">
        <f t="shared" si="36"/>
        <v/>
      </c>
      <c r="AV599" s="2" t="str">
        <f t="shared" si="37"/>
        <v/>
      </c>
      <c r="AW599" s="2" t="str">
        <f t="shared" si="38"/>
        <v/>
      </c>
      <c r="AX599" s="2" t="str">
        <f t="shared" si="39"/>
        <v/>
      </c>
      <c r="AY599" s="2" t="str">
        <f>IF($AV599="","",IF(AND($Z599=0,COUNTIF('AR SALES'!$L$2:$L$2501,$L599)=0),"YES",""))</f>
        <v/>
      </c>
      <c r="AZ599" s="2" t="str">
        <f>IF($AV599="","",IF(COUNTIF(LISTS!$C$2:$C$250,$AU599)=0,"NEW",""))</f>
        <v/>
      </c>
      <c r="BA599" s="2" t="str">
        <f>IF(""&amp;$F599&lt;&gt;"4","",IF($AY599="YES","",IF(ROUND(SUMIFS($AE$2:$AE$4001,$L$2:$L$4001,$L599,$F$2:$F$4001,"4")-SUMIFS('AR SALES'!$Y$2:$Y$2501,'AR SALES'!$L$2:$L$2501,$L599,'AR SALES'!$AD$2:$AD$2501,"OFF"),2)=0,"","STALE")))</f>
        <v/>
      </c>
      <c r="BB599" s="2" t="str">
        <f>IF(OR(""&amp;$F599="2",""&amp;$F599="4",""&amp;$F599="G",""&amp;$F599="H"),IF($AY599="YES","",IF($AB599&lt;&gt;0,"",IF(COUNTIFS('AR SALES'!$L$2:$L$2501,$L599,'AR SALES'!$AD$2:$AD$2501,IF(""&amp;$F599="4","OFF","ON"),'AR SALES'!$AF$2:$AF$2501,"Y")&gt;0,"","NO EXEMPTION"))),"")</f>
        <v/>
      </c>
    </row>
    <row r="600" spans="46:54" x14ac:dyDescent="0.25">
      <c r="AT600" s="2" t="str">
        <f>IF($L600="","",IFERROR(INDEX('AR SALES'!$H$2:$H$2501,MATCH(""&amp;$L600,'AR SALES'!$AE$2:$AE$2501,0)),""))</f>
        <v/>
      </c>
      <c r="AU600" s="2" t="str">
        <f t="shared" si="36"/>
        <v/>
      </c>
      <c r="AV600" s="2" t="str">
        <f t="shared" si="37"/>
        <v/>
      </c>
      <c r="AW600" s="2" t="str">
        <f t="shared" si="38"/>
        <v/>
      </c>
      <c r="AX600" s="2" t="str">
        <f t="shared" si="39"/>
        <v/>
      </c>
      <c r="AY600" s="2" t="str">
        <f>IF($AV600="","",IF(AND($Z600=0,COUNTIF('AR SALES'!$L$2:$L$2501,$L600)=0),"YES",""))</f>
        <v/>
      </c>
      <c r="AZ600" s="2" t="str">
        <f>IF($AV600="","",IF(COUNTIF(LISTS!$C$2:$C$250,$AU600)=0,"NEW",""))</f>
        <v/>
      </c>
      <c r="BA600" s="2" t="str">
        <f>IF(""&amp;$F600&lt;&gt;"4","",IF($AY600="YES","",IF(ROUND(SUMIFS($AE$2:$AE$4001,$L$2:$L$4001,$L600,$F$2:$F$4001,"4")-SUMIFS('AR SALES'!$Y$2:$Y$2501,'AR SALES'!$L$2:$L$2501,$L600,'AR SALES'!$AD$2:$AD$2501,"OFF"),2)=0,"","STALE")))</f>
        <v/>
      </c>
      <c r="BB600" s="2" t="str">
        <f>IF(OR(""&amp;$F600="2",""&amp;$F600="4",""&amp;$F600="G",""&amp;$F600="H"),IF($AY600="YES","",IF($AB600&lt;&gt;0,"",IF(COUNTIFS('AR SALES'!$L$2:$L$2501,$L600,'AR SALES'!$AD$2:$AD$2501,IF(""&amp;$F600="4","OFF","ON"),'AR SALES'!$AF$2:$AF$2501,"Y")&gt;0,"","NO EXEMPTION"))),"")</f>
        <v/>
      </c>
    </row>
    <row r="601" spans="46:54" x14ac:dyDescent="0.25">
      <c r="AT601" s="2" t="str">
        <f>IF($L601="","",IFERROR(INDEX('AR SALES'!$H$2:$H$2501,MATCH(""&amp;$L601,'AR SALES'!$AE$2:$AE$2501,0)),""))</f>
        <v/>
      </c>
      <c r="AU601" s="2" t="str">
        <f t="shared" si="36"/>
        <v/>
      </c>
      <c r="AV601" s="2" t="str">
        <f t="shared" si="37"/>
        <v/>
      </c>
      <c r="AW601" s="2" t="str">
        <f t="shared" si="38"/>
        <v/>
      </c>
      <c r="AX601" s="2" t="str">
        <f t="shared" si="39"/>
        <v/>
      </c>
      <c r="AY601" s="2" t="str">
        <f>IF($AV601="","",IF(AND($Z601=0,COUNTIF('AR SALES'!$L$2:$L$2501,$L601)=0),"YES",""))</f>
        <v/>
      </c>
      <c r="AZ601" s="2" t="str">
        <f>IF($AV601="","",IF(COUNTIF(LISTS!$C$2:$C$250,$AU601)=0,"NEW",""))</f>
        <v/>
      </c>
      <c r="BA601" s="2" t="str">
        <f>IF(""&amp;$F601&lt;&gt;"4","",IF($AY601="YES","",IF(ROUND(SUMIFS($AE$2:$AE$4001,$L$2:$L$4001,$L601,$F$2:$F$4001,"4")-SUMIFS('AR SALES'!$Y$2:$Y$2501,'AR SALES'!$L$2:$L$2501,$L601,'AR SALES'!$AD$2:$AD$2501,"OFF"),2)=0,"","STALE")))</f>
        <v/>
      </c>
      <c r="BB601" s="2" t="str">
        <f>IF(OR(""&amp;$F601="2",""&amp;$F601="4",""&amp;$F601="G",""&amp;$F601="H"),IF($AY601="YES","",IF($AB601&lt;&gt;0,"",IF(COUNTIFS('AR SALES'!$L$2:$L$2501,$L601,'AR SALES'!$AD$2:$AD$2501,IF(""&amp;$F601="4","OFF","ON"),'AR SALES'!$AF$2:$AF$2501,"Y")&gt;0,"","NO EXEMPTION"))),"")</f>
        <v/>
      </c>
    </row>
    <row r="602" spans="46:54" x14ac:dyDescent="0.25">
      <c r="AT602" s="2" t="str">
        <f>IF($L602="","",IFERROR(INDEX('AR SALES'!$H$2:$H$2501,MATCH(""&amp;$L602,'AR SALES'!$AE$2:$AE$2501,0)),""))</f>
        <v/>
      </c>
      <c r="AU602" s="2" t="str">
        <f t="shared" si="36"/>
        <v/>
      </c>
      <c r="AV602" s="2" t="str">
        <f t="shared" si="37"/>
        <v/>
      </c>
      <c r="AW602" s="2" t="str">
        <f t="shared" si="38"/>
        <v/>
      </c>
      <c r="AX602" s="2" t="str">
        <f t="shared" si="39"/>
        <v/>
      </c>
      <c r="AY602" s="2" t="str">
        <f>IF($AV602="","",IF(AND($Z602=0,COUNTIF('AR SALES'!$L$2:$L$2501,$L602)=0),"YES",""))</f>
        <v/>
      </c>
      <c r="AZ602" s="2" t="str">
        <f>IF($AV602="","",IF(COUNTIF(LISTS!$C$2:$C$250,$AU602)=0,"NEW",""))</f>
        <v/>
      </c>
      <c r="BA602" s="2" t="str">
        <f>IF(""&amp;$F602&lt;&gt;"4","",IF($AY602="YES","",IF(ROUND(SUMIFS($AE$2:$AE$4001,$L$2:$L$4001,$L602,$F$2:$F$4001,"4")-SUMIFS('AR SALES'!$Y$2:$Y$2501,'AR SALES'!$L$2:$L$2501,$L602,'AR SALES'!$AD$2:$AD$2501,"OFF"),2)=0,"","STALE")))</f>
        <v/>
      </c>
      <c r="BB602" s="2" t="str">
        <f>IF(OR(""&amp;$F602="2",""&amp;$F602="4",""&amp;$F602="G",""&amp;$F602="H"),IF($AY602="YES","",IF($AB602&lt;&gt;0,"",IF(COUNTIFS('AR SALES'!$L$2:$L$2501,$L602,'AR SALES'!$AD$2:$AD$2501,IF(""&amp;$F602="4","OFF","ON"),'AR SALES'!$AF$2:$AF$2501,"Y")&gt;0,"","NO EXEMPTION"))),"")</f>
        <v/>
      </c>
    </row>
    <row r="603" spans="46:54" x14ac:dyDescent="0.25">
      <c r="AT603" s="2" t="str">
        <f>IF($L603="","",IFERROR(INDEX('AR SALES'!$H$2:$H$2501,MATCH(""&amp;$L603,'AR SALES'!$AE$2:$AE$2501,0)),""))</f>
        <v/>
      </c>
      <c r="AU603" s="2" t="str">
        <f t="shared" si="36"/>
        <v/>
      </c>
      <c r="AV603" s="2" t="str">
        <f t="shared" si="37"/>
        <v/>
      </c>
      <c r="AW603" s="2" t="str">
        <f t="shared" si="38"/>
        <v/>
      </c>
      <c r="AX603" s="2" t="str">
        <f t="shared" si="39"/>
        <v/>
      </c>
      <c r="AY603" s="2" t="str">
        <f>IF($AV603="","",IF(AND($Z603=0,COUNTIF('AR SALES'!$L$2:$L$2501,$L603)=0),"YES",""))</f>
        <v/>
      </c>
      <c r="AZ603" s="2" t="str">
        <f>IF($AV603="","",IF(COUNTIF(LISTS!$C$2:$C$250,$AU603)=0,"NEW",""))</f>
        <v/>
      </c>
      <c r="BA603" s="2" t="str">
        <f>IF(""&amp;$F603&lt;&gt;"4","",IF($AY603="YES","",IF(ROUND(SUMIFS($AE$2:$AE$4001,$L$2:$L$4001,$L603,$F$2:$F$4001,"4")-SUMIFS('AR SALES'!$Y$2:$Y$2501,'AR SALES'!$L$2:$L$2501,$L603,'AR SALES'!$AD$2:$AD$2501,"OFF"),2)=0,"","STALE")))</f>
        <v/>
      </c>
      <c r="BB603" s="2" t="str">
        <f>IF(OR(""&amp;$F603="2",""&amp;$F603="4",""&amp;$F603="G",""&amp;$F603="H"),IF($AY603="YES","",IF($AB603&lt;&gt;0,"",IF(COUNTIFS('AR SALES'!$L$2:$L$2501,$L603,'AR SALES'!$AD$2:$AD$2501,IF(""&amp;$F603="4","OFF","ON"),'AR SALES'!$AF$2:$AF$2501,"Y")&gt;0,"","NO EXEMPTION"))),"")</f>
        <v/>
      </c>
    </row>
    <row r="604" spans="46:54" x14ac:dyDescent="0.25">
      <c r="AT604" s="2" t="str">
        <f>IF($L604="","",IFERROR(INDEX('AR SALES'!$H$2:$H$2501,MATCH(""&amp;$L604,'AR SALES'!$AE$2:$AE$2501,0)),""))</f>
        <v/>
      </c>
      <c r="AU604" s="2" t="str">
        <f t="shared" si="36"/>
        <v/>
      </c>
      <c r="AV604" s="2" t="str">
        <f t="shared" si="37"/>
        <v/>
      </c>
      <c r="AW604" s="2" t="str">
        <f t="shared" si="38"/>
        <v/>
      </c>
      <c r="AX604" s="2" t="str">
        <f t="shared" si="39"/>
        <v/>
      </c>
      <c r="AY604" s="2" t="str">
        <f>IF($AV604="","",IF(AND($Z604=0,COUNTIF('AR SALES'!$L$2:$L$2501,$L604)=0),"YES",""))</f>
        <v/>
      </c>
      <c r="AZ604" s="2" t="str">
        <f>IF($AV604="","",IF(COUNTIF(LISTS!$C$2:$C$250,$AU604)=0,"NEW",""))</f>
        <v/>
      </c>
      <c r="BA604" s="2" t="str">
        <f>IF(""&amp;$F604&lt;&gt;"4","",IF($AY604="YES","",IF(ROUND(SUMIFS($AE$2:$AE$4001,$L$2:$L$4001,$L604,$F$2:$F$4001,"4")-SUMIFS('AR SALES'!$Y$2:$Y$2501,'AR SALES'!$L$2:$L$2501,$L604,'AR SALES'!$AD$2:$AD$2501,"OFF"),2)=0,"","STALE")))</f>
        <v/>
      </c>
      <c r="BB604" s="2" t="str">
        <f>IF(OR(""&amp;$F604="2",""&amp;$F604="4",""&amp;$F604="G",""&amp;$F604="H"),IF($AY604="YES","",IF($AB604&lt;&gt;0,"",IF(COUNTIFS('AR SALES'!$L$2:$L$2501,$L604,'AR SALES'!$AD$2:$AD$2501,IF(""&amp;$F604="4","OFF","ON"),'AR SALES'!$AF$2:$AF$2501,"Y")&gt;0,"","NO EXEMPTION"))),"")</f>
        <v/>
      </c>
    </row>
    <row r="605" spans="46:54" x14ac:dyDescent="0.25">
      <c r="AT605" s="2" t="str">
        <f>IF($L605="","",IFERROR(INDEX('AR SALES'!$H$2:$H$2501,MATCH(""&amp;$L605,'AR SALES'!$AE$2:$AE$2501,0)),""))</f>
        <v/>
      </c>
      <c r="AU605" s="2" t="str">
        <f t="shared" si="36"/>
        <v/>
      </c>
      <c r="AV605" s="2" t="str">
        <f t="shared" si="37"/>
        <v/>
      </c>
      <c r="AW605" s="2" t="str">
        <f t="shared" si="38"/>
        <v/>
      </c>
      <c r="AX605" s="2" t="str">
        <f t="shared" si="39"/>
        <v/>
      </c>
      <c r="AY605" s="2" t="str">
        <f>IF($AV605="","",IF(AND($Z605=0,COUNTIF('AR SALES'!$L$2:$L$2501,$L605)=0),"YES",""))</f>
        <v/>
      </c>
      <c r="AZ605" s="2" t="str">
        <f>IF($AV605="","",IF(COUNTIF(LISTS!$C$2:$C$250,$AU605)=0,"NEW",""))</f>
        <v/>
      </c>
      <c r="BA605" s="2" t="str">
        <f>IF(""&amp;$F605&lt;&gt;"4","",IF($AY605="YES","",IF(ROUND(SUMIFS($AE$2:$AE$4001,$L$2:$L$4001,$L605,$F$2:$F$4001,"4")-SUMIFS('AR SALES'!$Y$2:$Y$2501,'AR SALES'!$L$2:$L$2501,$L605,'AR SALES'!$AD$2:$AD$2501,"OFF"),2)=0,"","STALE")))</f>
        <v/>
      </c>
      <c r="BB605" s="2" t="str">
        <f>IF(OR(""&amp;$F605="2",""&amp;$F605="4",""&amp;$F605="G",""&amp;$F605="H"),IF($AY605="YES","",IF($AB605&lt;&gt;0,"",IF(COUNTIFS('AR SALES'!$L$2:$L$2501,$L605,'AR SALES'!$AD$2:$AD$2501,IF(""&amp;$F605="4","OFF","ON"),'AR SALES'!$AF$2:$AF$2501,"Y")&gt;0,"","NO EXEMPTION"))),"")</f>
        <v/>
      </c>
    </row>
    <row r="606" spans="46:54" x14ac:dyDescent="0.25">
      <c r="AT606" s="2" t="str">
        <f>IF($L606="","",IFERROR(INDEX('AR SALES'!$H$2:$H$2501,MATCH(""&amp;$L606,'AR SALES'!$AE$2:$AE$2501,0)),""))</f>
        <v/>
      </c>
      <c r="AU606" s="2" t="str">
        <f t="shared" si="36"/>
        <v/>
      </c>
      <c r="AV606" s="2" t="str">
        <f t="shared" si="37"/>
        <v/>
      </c>
      <c r="AW606" s="2" t="str">
        <f t="shared" si="38"/>
        <v/>
      </c>
      <c r="AX606" s="2" t="str">
        <f t="shared" si="39"/>
        <v/>
      </c>
      <c r="AY606" s="2" t="str">
        <f>IF($AV606="","",IF(AND($Z606=0,COUNTIF('AR SALES'!$L$2:$L$2501,$L606)=0),"YES",""))</f>
        <v/>
      </c>
      <c r="AZ606" s="2" t="str">
        <f>IF($AV606="","",IF(COUNTIF(LISTS!$C$2:$C$250,$AU606)=0,"NEW",""))</f>
        <v/>
      </c>
      <c r="BA606" s="2" t="str">
        <f>IF(""&amp;$F606&lt;&gt;"4","",IF($AY606="YES","",IF(ROUND(SUMIFS($AE$2:$AE$4001,$L$2:$L$4001,$L606,$F$2:$F$4001,"4")-SUMIFS('AR SALES'!$Y$2:$Y$2501,'AR SALES'!$L$2:$L$2501,$L606,'AR SALES'!$AD$2:$AD$2501,"OFF"),2)=0,"","STALE")))</f>
        <v/>
      </c>
      <c r="BB606" s="2" t="str">
        <f>IF(OR(""&amp;$F606="2",""&amp;$F606="4",""&amp;$F606="G",""&amp;$F606="H"),IF($AY606="YES","",IF($AB606&lt;&gt;0,"",IF(COUNTIFS('AR SALES'!$L$2:$L$2501,$L606,'AR SALES'!$AD$2:$AD$2501,IF(""&amp;$F606="4","OFF","ON"),'AR SALES'!$AF$2:$AF$2501,"Y")&gt;0,"","NO EXEMPTION"))),"")</f>
        <v/>
      </c>
    </row>
    <row r="607" spans="46:54" x14ac:dyDescent="0.25">
      <c r="AT607" s="2" t="str">
        <f>IF($L607="","",IFERROR(INDEX('AR SALES'!$H$2:$H$2501,MATCH(""&amp;$L607,'AR SALES'!$AE$2:$AE$2501,0)),""))</f>
        <v/>
      </c>
      <c r="AU607" s="2" t="str">
        <f t="shared" si="36"/>
        <v/>
      </c>
      <c r="AV607" s="2" t="str">
        <f t="shared" si="37"/>
        <v/>
      </c>
      <c r="AW607" s="2" t="str">
        <f t="shared" si="38"/>
        <v/>
      </c>
      <c r="AX607" s="2" t="str">
        <f t="shared" si="39"/>
        <v/>
      </c>
      <c r="AY607" s="2" t="str">
        <f>IF($AV607="","",IF(AND($Z607=0,COUNTIF('AR SALES'!$L$2:$L$2501,$L607)=0),"YES",""))</f>
        <v/>
      </c>
      <c r="AZ607" s="2" t="str">
        <f>IF($AV607="","",IF(COUNTIF(LISTS!$C$2:$C$250,$AU607)=0,"NEW",""))</f>
        <v/>
      </c>
      <c r="BA607" s="2" t="str">
        <f>IF(""&amp;$F607&lt;&gt;"4","",IF($AY607="YES","",IF(ROUND(SUMIFS($AE$2:$AE$4001,$L$2:$L$4001,$L607,$F$2:$F$4001,"4")-SUMIFS('AR SALES'!$Y$2:$Y$2501,'AR SALES'!$L$2:$L$2501,$L607,'AR SALES'!$AD$2:$AD$2501,"OFF"),2)=0,"","STALE")))</f>
        <v/>
      </c>
      <c r="BB607" s="2" t="str">
        <f>IF(OR(""&amp;$F607="2",""&amp;$F607="4",""&amp;$F607="G",""&amp;$F607="H"),IF($AY607="YES","",IF($AB607&lt;&gt;0,"",IF(COUNTIFS('AR SALES'!$L$2:$L$2501,$L607,'AR SALES'!$AD$2:$AD$2501,IF(""&amp;$F607="4","OFF","ON"),'AR SALES'!$AF$2:$AF$2501,"Y")&gt;0,"","NO EXEMPTION"))),"")</f>
        <v/>
      </c>
    </row>
    <row r="608" spans="46:54" x14ac:dyDescent="0.25">
      <c r="AT608" s="2" t="str">
        <f>IF($L608="","",IFERROR(INDEX('AR SALES'!$H$2:$H$2501,MATCH(""&amp;$L608,'AR SALES'!$AE$2:$AE$2501,0)),""))</f>
        <v/>
      </c>
      <c r="AU608" s="2" t="str">
        <f t="shared" si="36"/>
        <v/>
      </c>
      <c r="AV608" s="2" t="str">
        <f t="shared" si="37"/>
        <v/>
      </c>
      <c r="AW608" s="2" t="str">
        <f t="shared" si="38"/>
        <v/>
      </c>
      <c r="AX608" s="2" t="str">
        <f t="shared" si="39"/>
        <v/>
      </c>
      <c r="AY608" s="2" t="str">
        <f>IF($AV608="","",IF(AND($Z608=0,COUNTIF('AR SALES'!$L$2:$L$2501,$L608)=0),"YES",""))</f>
        <v/>
      </c>
      <c r="AZ608" s="2" t="str">
        <f>IF($AV608="","",IF(COUNTIF(LISTS!$C$2:$C$250,$AU608)=0,"NEW",""))</f>
        <v/>
      </c>
      <c r="BA608" s="2" t="str">
        <f>IF(""&amp;$F608&lt;&gt;"4","",IF($AY608="YES","",IF(ROUND(SUMIFS($AE$2:$AE$4001,$L$2:$L$4001,$L608,$F$2:$F$4001,"4")-SUMIFS('AR SALES'!$Y$2:$Y$2501,'AR SALES'!$L$2:$L$2501,$L608,'AR SALES'!$AD$2:$AD$2501,"OFF"),2)=0,"","STALE")))</f>
        <v/>
      </c>
      <c r="BB608" s="2" t="str">
        <f>IF(OR(""&amp;$F608="2",""&amp;$F608="4",""&amp;$F608="G",""&amp;$F608="H"),IF($AY608="YES","",IF($AB608&lt;&gt;0,"",IF(COUNTIFS('AR SALES'!$L$2:$L$2501,$L608,'AR SALES'!$AD$2:$AD$2501,IF(""&amp;$F608="4","OFF","ON"),'AR SALES'!$AF$2:$AF$2501,"Y")&gt;0,"","NO EXEMPTION"))),"")</f>
        <v/>
      </c>
    </row>
    <row r="609" spans="46:54" x14ac:dyDescent="0.25">
      <c r="AT609" s="2" t="str">
        <f>IF($L609="","",IFERROR(INDEX('AR SALES'!$H$2:$H$2501,MATCH(""&amp;$L609,'AR SALES'!$AE$2:$AE$2501,0)),""))</f>
        <v/>
      </c>
      <c r="AU609" s="2" t="str">
        <f t="shared" si="36"/>
        <v/>
      </c>
      <c r="AV609" s="2" t="str">
        <f t="shared" si="37"/>
        <v/>
      </c>
      <c r="AW609" s="2" t="str">
        <f t="shared" si="38"/>
        <v/>
      </c>
      <c r="AX609" s="2" t="str">
        <f t="shared" si="39"/>
        <v/>
      </c>
      <c r="AY609" s="2" t="str">
        <f>IF($AV609="","",IF(AND($Z609=0,COUNTIF('AR SALES'!$L$2:$L$2501,$L609)=0),"YES",""))</f>
        <v/>
      </c>
      <c r="AZ609" s="2" t="str">
        <f>IF($AV609="","",IF(COUNTIF(LISTS!$C$2:$C$250,$AU609)=0,"NEW",""))</f>
        <v/>
      </c>
      <c r="BA609" s="2" t="str">
        <f>IF(""&amp;$F609&lt;&gt;"4","",IF($AY609="YES","",IF(ROUND(SUMIFS($AE$2:$AE$4001,$L$2:$L$4001,$L609,$F$2:$F$4001,"4")-SUMIFS('AR SALES'!$Y$2:$Y$2501,'AR SALES'!$L$2:$L$2501,$L609,'AR SALES'!$AD$2:$AD$2501,"OFF"),2)=0,"","STALE")))</f>
        <v/>
      </c>
      <c r="BB609" s="2" t="str">
        <f>IF(OR(""&amp;$F609="2",""&amp;$F609="4",""&amp;$F609="G",""&amp;$F609="H"),IF($AY609="YES","",IF($AB609&lt;&gt;0,"",IF(COUNTIFS('AR SALES'!$L$2:$L$2501,$L609,'AR SALES'!$AD$2:$AD$2501,IF(""&amp;$F609="4","OFF","ON"),'AR SALES'!$AF$2:$AF$2501,"Y")&gt;0,"","NO EXEMPTION"))),"")</f>
        <v/>
      </c>
    </row>
    <row r="610" spans="46:54" x14ac:dyDescent="0.25">
      <c r="AT610" s="2" t="str">
        <f>IF($L610="","",IFERROR(INDEX('AR SALES'!$H$2:$H$2501,MATCH(""&amp;$L610,'AR SALES'!$AE$2:$AE$2501,0)),""))</f>
        <v/>
      </c>
      <c r="AU610" s="2" t="str">
        <f t="shared" si="36"/>
        <v/>
      </c>
      <c r="AV610" s="2" t="str">
        <f t="shared" si="37"/>
        <v/>
      </c>
      <c r="AW610" s="2" t="str">
        <f t="shared" si="38"/>
        <v/>
      </c>
      <c r="AX610" s="2" t="str">
        <f t="shared" si="39"/>
        <v/>
      </c>
      <c r="AY610" s="2" t="str">
        <f>IF($AV610="","",IF(AND($Z610=0,COUNTIF('AR SALES'!$L$2:$L$2501,$L610)=0),"YES",""))</f>
        <v/>
      </c>
      <c r="AZ610" s="2" t="str">
        <f>IF($AV610="","",IF(COUNTIF(LISTS!$C$2:$C$250,$AU610)=0,"NEW",""))</f>
        <v/>
      </c>
      <c r="BA610" s="2" t="str">
        <f>IF(""&amp;$F610&lt;&gt;"4","",IF($AY610="YES","",IF(ROUND(SUMIFS($AE$2:$AE$4001,$L$2:$L$4001,$L610,$F$2:$F$4001,"4")-SUMIFS('AR SALES'!$Y$2:$Y$2501,'AR SALES'!$L$2:$L$2501,$L610,'AR SALES'!$AD$2:$AD$2501,"OFF"),2)=0,"","STALE")))</f>
        <v/>
      </c>
      <c r="BB610" s="2" t="str">
        <f>IF(OR(""&amp;$F610="2",""&amp;$F610="4",""&amp;$F610="G",""&amp;$F610="H"),IF($AY610="YES","",IF($AB610&lt;&gt;0,"",IF(COUNTIFS('AR SALES'!$L$2:$L$2501,$L610,'AR SALES'!$AD$2:$AD$2501,IF(""&amp;$F610="4","OFF","ON"),'AR SALES'!$AF$2:$AF$2501,"Y")&gt;0,"","NO EXEMPTION"))),"")</f>
        <v/>
      </c>
    </row>
    <row r="611" spans="46:54" x14ac:dyDescent="0.25">
      <c r="AT611" s="2" t="str">
        <f>IF($L611="","",IFERROR(INDEX('AR SALES'!$H$2:$H$2501,MATCH(""&amp;$L611,'AR SALES'!$AE$2:$AE$2501,0)),""))</f>
        <v/>
      </c>
      <c r="AU611" s="2" t="str">
        <f t="shared" si="36"/>
        <v/>
      </c>
      <c r="AV611" s="2" t="str">
        <f t="shared" si="37"/>
        <v/>
      </c>
      <c r="AW611" s="2" t="str">
        <f t="shared" si="38"/>
        <v/>
      </c>
      <c r="AX611" s="2" t="str">
        <f t="shared" si="39"/>
        <v/>
      </c>
      <c r="AY611" s="2" t="str">
        <f>IF($AV611="","",IF(AND($Z611=0,COUNTIF('AR SALES'!$L$2:$L$2501,$L611)=0),"YES",""))</f>
        <v/>
      </c>
      <c r="AZ611" s="2" t="str">
        <f>IF($AV611="","",IF(COUNTIF(LISTS!$C$2:$C$250,$AU611)=0,"NEW",""))</f>
        <v/>
      </c>
      <c r="BA611" s="2" t="str">
        <f>IF(""&amp;$F611&lt;&gt;"4","",IF($AY611="YES","",IF(ROUND(SUMIFS($AE$2:$AE$4001,$L$2:$L$4001,$L611,$F$2:$F$4001,"4")-SUMIFS('AR SALES'!$Y$2:$Y$2501,'AR SALES'!$L$2:$L$2501,$L611,'AR SALES'!$AD$2:$AD$2501,"OFF"),2)=0,"","STALE")))</f>
        <v/>
      </c>
      <c r="BB611" s="2" t="str">
        <f>IF(OR(""&amp;$F611="2",""&amp;$F611="4",""&amp;$F611="G",""&amp;$F611="H"),IF($AY611="YES","",IF($AB611&lt;&gt;0,"",IF(COUNTIFS('AR SALES'!$L$2:$L$2501,$L611,'AR SALES'!$AD$2:$AD$2501,IF(""&amp;$F611="4","OFF","ON"),'AR SALES'!$AF$2:$AF$2501,"Y")&gt;0,"","NO EXEMPTION"))),"")</f>
        <v/>
      </c>
    </row>
    <row r="612" spans="46:54" x14ac:dyDescent="0.25">
      <c r="AT612" s="2" t="str">
        <f>IF($L612="","",IFERROR(INDEX('AR SALES'!$H$2:$H$2501,MATCH(""&amp;$L612,'AR SALES'!$AE$2:$AE$2501,0)),""))</f>
        <v/>
      </c>
      <c r="AU612" s="2" t="str">
        <f t="shared" si="36"/>
        <v/>
      </c>
      <c r="AV612" s="2" t="str">
        <f t="shared" si="37"/>
        <v/>
      </c>
      <c r="AW612" s="2" t="str">
        <f t="shared" si="38"/>
        <v/>
      </c>
      <c r="AX612" s="2" t="str">
        <f t="shared" si="39"/>
        <v/>
      </c>
      <c r="AY612" s="2" t="str">
        <f>IF($AV612="","",IF(AND($Z612=0,COUNTIF('AR SALES'!$L$2:$L$2501,$L612)=0),"YES",""))</f>
        <v/>
      </c>
      <c r="AZ612" s="2" t="str">
        <f>IF($AV612="","",IF(COUNTIF(LISTS!$C$2:$C$250,$AU612)=0,"NEW",""))</f>
        <v/>
      </c>
      <c r="BA612" s="2" t="str">
        <f>IF(""&amp;$F612&lt;&gt;"4","",IF($AY612="YES","",IF(ROUND(SUMIFS($AE$2:$AE$4001,$L$2:$L$4001,$L612,$F$2:$F$4001,"4")-SUMIFS('AR SALES'!$Y$2:$Y$2501,'AR SALES'!$L$2:$L$2501,$L612,'AR SALES'!$AD$2:$AD$2501,"OFF"),2)=0,"","STALE")))</f>
        <v/>
      </c>
      <c r="BB612" s="2" t="str">
        <f>IF(OR(""&amp;$F612="2",""&amp;$F612="4",""&amp;$F612="G",""&amp;$F612="H"),IF($AY612="YES","",IF($AB612&lt;&gt;0,"",IF(COUNTIFS('AR SALES'!$L$2:$L$2501,$L612,'AR SALES'!$AD$2:$AD$2501,IF(""&amp;$F612="4","OFF","ON"),'AR SALES'!$AF$2:$AF$2501,"Y")&gt;0,"","NO EXEMPTION"))),"")</f>
        <v/>
      </c>
    </row>
    <row r="613" spans="46:54" x14ac:dyDescent="0.25">
      <c r="AT613" s="2" t="str">
        <f>IF($L613="","",IFERROR(INDEX('AR SALES'!$H$2:$H$2501,MATCH(""&amp;$L613,'AR SALES'!$AE$2:$AE$2501,0)),""))</f>
        <v/>
      </c>
      <c r="AU613" s="2" t="str">
        <f t="shared" si="36"/>
        <v/>
      </c>
      <c r="AV613" s="2" t="str">
        <f t="shared" si="37"/>
        <v/>
      </c>
      <c r="AW613" s="2" t="str">
        <f t="shared" si="38"/>
        <v/>
      </c>
      <c r="AX613" s="2" t="str">
        <f t="shared" si="39"/>
        <v/>
      </c>
      <c r="AY613" s="2" t="str">
        <f>IF($AV613="","",IF(AND($Z613=0,COUNTIF('AR SALES'!$L$2:$L$2501,$L613)=0),"YES",""))</f>
        <v/>
      </c>
      <c r="AZ613" s="2" t="str">
        <f>IF($AV613="","",IF(COUNTIF(LISTS!$C$2:$C$250,$AU613)=0,"NEW",""))</f>
        <v/>
      </c>
      <c r="BA613" s="2" t="str">
        <f>IF(""&amp;$F613&lt;&gt;"4","",IF($AY613="YES","",IF(ROUND(SUMIFS($AE$2:$AE$4001,$L$2:$L$4001,$L613,$F$2:$F$4001,"4")-SUMIFS('AR SALES'!$Y$2:$Y$2501,'AR SALES'!$L$2:$L$2501,$L613,'AR SALES'!$AD$2:$AD$2501,"OFF"),2)=0,"","STALE")))</f>
        <v/>
      </c>
      <c r="BB613" s="2" t="str">
        <f>IF(OR(""&amp;$F613="2",""&amp;$F613="4",""&amp;$F613="G",""&amp;$F613="H"),IF($AY613="YES","",IF($AB613&lt;&gt;0,"",IF(COUNTIFS('AR SALES'!$L$2:$L$2501,$L613,'AR SALES'!$AD$2:$AD$2501,IF(""&amp;$F613="4","OFF","ON"),'AR SALES'!$AF$2:$AF$2501,"Y")&gt;0,"","NO EXEMPTION"))),"")</f>
        <v/>
      </c>
    </row>
    <row r="614" spans="46:54" x14ac:dyDescent="0.25">
      <c r="AT614" s="2" t="str">
        <f>IF($L614="","",IFERROR(INDEX('AR SALES'!$H$2:$H$2501,MATCH(""&amp;$L614,'AR SALES'!$AE$2:$AE$2501,0)),""))</f>
        <v/>
      </c>
      <c r="AU614" s="2" t="str">
        <f t="shared" si="36"/>
        <v/>
      </c>
      <c r="AV614" s="2" t="str">
        <f t="shared" si="37"/>
        <v/>
      </c>
      <c r="AW614" s="2" t="str">
        <f t="shared" si="38"/>
        <v/>
      </c>
      <c r="AX614" s="2" t="str">
        <f t="shared" si="39"/>
        <v/>
      </c>
      <c r="AY614" s="2" t="str">
        <f>IF($AV614="","",IF(AND($Z614=0,COUNTIF('AR SALES'!$L$2:$L$2501,$L614)=0),"YES",""))</f>
        <v/>
      </c>
      <c r="AZ614" s="2" t="str">
        <f>IF($AV614="","",IF(COUNTIF(LISTS!$C$2:$C$250,$AU614)=0,"NEW",""))</f>
        <v/>
      </c>
      <c r="BA614" s="2" t="str">
        <f>IF(""&amp;$F614&lt;&gt;"4","",IF($AY614="YES","",IF(ROUND(SUMIFS($AE$2:$AE$4001,$L$2:$L$4001,$L614,$F$2:$F$4001,"4")-SUMIFS('AR SALES'!$Y$2:$Y$2501,'AR SALES'!$L$2:$L$2501,$L614,'AR SALES'!$AD$2:$AD$2501,"OFF"),2)=0,"","STALE")))</f>
        <v/>
      </c>
      <c r="BB614" s="2" t="str">
        <f>IF(OR(""&amp;$F614="2",""&amp;$F614="4",""&amp;$F614="G",""&amp;$F614="H"),IF($AY614="YES","",IF($AB614&lt;&gt;0,"",IF(COUNTIFS('AR SALES'!$L$2:$L$2501,$L614,'AR SALES'!$AD$2:$AD$2501,IF(""&amp;$F614="4","OFF","ON"),'AR SALES'!$AF$2:$AF$2501,"Y")&gt;0,"","NO EXEMPTION"))),"")</f>
        <v/>
      </c>
    </row>
    <row r="615" spans="46:54" x14ac:dyDescent="0.25">
      <c r="AT615" s="2" t="str">
        <f>IF($L615="","",IFERROR(INDEX('AR SALES'!$H$2:$H$2501,MATCH(""&amp;$L615,'AR SALES'!$AE$2:$AE$2501,0)),""))</f>
        <v/>
      </c>
      <c r="AU615" s="2" t="str">
        <f t="shared" si="36"/>
        <v/>
      </c>
      <c r="AV615" s="2" t="str">
        <f t="shared" si="37"/>
        <v/>
      </c>
      <c r="AW615" s="2" t="str">
        <f t="shared" si="38"/>
        <v/>
      </c>
      <c r="AX615" s="2" t="str">
        <f t="shared" si="39"/>
        <v/>
      </c>
      <c r="AY615" s="2" t="str">
        <f>IF($AV615="","",IF(AND($Z615=0,COUNTIF('AR SALES'!$L$2:$L$2501,$L615)=0),"YES",""))</f>
        <v/>
      </c>
      <c r="AZ615" s="2" t="str">
        <f>IF($AV615="","",IF(COUNTIF(LISTS!$C$2:$C$250,$AU615)=0,"NEW",""))</f>
        <v/>
      </c>
      <c r="BA615" s="2" t="str">
        <f>IF(""&amp;$F615&lt;&gt;"4","",IF($AY615="YES","",IF(ROUND(SUMIFS($AE$2:$AE$4001,$L$2:$L$4001,$L615,$F$2:$F$4001,"4")-SUMIFS('AR SALES'!$Y$2:$Y$2501,'AR SALES'!$L$2:$L$2501,$L615,'AR SALES'!$AD$2:$AD$2501,"OFF"),2)=0,"","STALE")))</f>
        <v/>
      </c>
      <c r="BB615" s="2" t="str">
        <f>IF(OR(""&amp;$F615="2",""&amp;$F615="4",""&amp;$F615="G",""&amp;$F615="H"),IF($AY615="YES","",IF($AB615&lt;&gt;0,"",IF(COUNTIFS('AR SALES'!$L$2:$L$2501,$L615,'AR SALES'!$AD$2:$AD$2501,IF(""&amp;$F615="4","OFF","ON"),'AR SALES'!$AF$2:$AF$2501,"Y")&gt;0,"","NO EXEMPTION"))),"")</f>
        <v/>
      </c>
    </row>
    <row r="616" spans="46:54" x14ac:dyDescent="0.25">
      <c r="AT616" s="2" t="str">
        <f>IF($L616="","",IFERROR(INDEX('AR SALES'!$H$2:$H$2501,MATCH(""&amp;$L616,'AR SALES'!$AE$2:$AE$2501,0)),""))</f>
        <v/>
      </c>
      <c r="AU616" s="2" t="str">
        <f t="shared" si="36"/>
        <v/>
      </c>
      <c r="AV616" s="2" t="str">
        <f t="shared" si="37"/>
        <v/>
      </c>
      <c r="AW616" s="2" t="str">
        <f t="shared" si="38"/>
        <v/>
      </c>
      <c r="AX616" s="2" t="str">
        <f t="shared" si="39"/>
        <v/>
      </c>
      <c r="AY616" s="2" t="str">
        <f>IF($AV616="","",IF(AND($Z616=0,COUNTIF('AR SALES'!$L$2:$L$2501,$L616)=0),"YES",""))</f>
        <v/>
      </c>
      <c r="AZ616" s="2" t="str">
        <f>IF($AV616="","",IF(COUNTIF(LISTS!$C$2:$C$250,$AU616)=0,"NEW",""))</f>
        <v/>
      </c>
      <c r="BA616" s="2" t="str">
        <f>IF(""&amp;$F616&lt;&gt;"4","",IF($AY616="YES","",IF(ROUND(SUMIFS($AE$2:$AE$4001,$L$2:$L$4001,$L616,$F$2:$F$4001,"4")-SUMIFS('AR SALES'!$Y$2:$Y$2501,'AR SALES'!$L$2:$L$2501,$L616,'AR SALES'!$AD$2:$AD$2501,"OFF"),2)=0,"","STALE")))</f>
        <v/>
      </c>
      <c r="BB616" s="2" t="str">
        <f>IF(OR(""&amp;$F616="2",""&amp;$F616="4",""&amp;$F616="G",""&amp;$F616="H"),IF($AY616="YES","",IF($AB616&lt;&gt;0,"",IF(COUNTIFS('AR SALES'!$L$2:$L$2501,$L616,'AR SALES'!$AD$2:$AD$2501,IF(""&amp;$F616="4","OFF","ON"),'AR SALES'!$AF$2:$AF$2501,"Y")&gt;0,"","NO EXEMPTION"))),"")</f>
        <v/>
      </c>
    </row>
    <row r="617" spans="46:54" x14ac:dyDescent="0.25">
      <c r="AT617" s="2" t="str">
        <f>IF($L617="","",IFERROR(INDEX('AR SALES'!$H$2:$H$2501,MATCH(""&amp;$L617,'AR SALES'!$AE$2:$AE$2501,0)),""))</f>
        <v/>
      </c>
      <c r="AU617" s="2" t="str">
        <f t="shared" si="36"/>
        <v/>
      </c>
      <c r="AV617" s="2" t="str">
        <f t="shared" si="37"/>
        <v/>
      </c>
      <c r="AW617" s="2" t="str">
        <f t="shared" si="38"/>
        <v/>
      </c>
      <c r="AX617" s="2" t="str">
        <f t="shared" si="39"/>
        <v/>
      </c>
      <c r="AY617" s="2" t="str">
        <f>IF($AV617="","",IF(AND($Z617=0,COUNTIF('AR SALES'!$L$2:$L$2501,$L617)=0),"YES",""))</f>
        <v/>
      </c>
      <c r="AZ617" s="2" t="str">
        <f>IF($AV617="","",IF(COUNTIF(LISTS!$C$2:$C$250,$AU617)=0,"NEW",""))</f>
        <v/>
      </c>
      <c r="BA617" s="2" t="str">
        <f>IF(""&amp;$F617&lt;&gt;"4","",IF($AY617="YES","",IF(ROUND(SUMIFS($AE$2:$AE$4001,$L$2:$L$4001,$L617,$F$2:$F$4001,"4")-SUMIFS('AR SALES'!$Y$2:$Y$2501,'AR SALES'!$L$2:$L$2501,$L617,'AR SALES'!$AD$2:$AD$2501,"OFF"),2)=0,"","STALE")))</f>
        <v/>
      </c>
      <c r="BB617" s="2" t="str">
        <f>IF(OR(""&amp;$F617="2",""&amp;$F617="4",""&amp;$F617="G",""&amp;$F617="H"),IF($AY617="YES","",IF($AB617&lt;&gt;0,"",IF(COUNTIFS('AR SALES'!$L$2:$L$2501,$L617,'AR SALES'!$AD$2:$AD$2501,IF(""&amp;$F617="4","OFF","ON"),'AR SALES'!$AF$2:$AF$2501,"Y")&gt;0,"","NO EXEMPTION"))),"")</f>
        <v/>
      </c>
    </row>
    <row r="618" spans="46:54" x14ac:dyDescent="0.25">
      <c r="AT618" s="2" t="str">
        <f>IF($L618="","",IFERROR(INDEX('AR SALES'!$H$2:$H$2501,MATCH(""&amp;$L618,'AR SALES'!$AE$2:$AE$2501,0)),""))</f>
        <v/>
      </c>
      <c r="AU618" s="2" t="str">
        <f t="shared" si="36"/>
        <v/>
      </c>
      <c r="AV618" s="2" t="str">
        <f t="shared" si="37"/>
        <v/>
      </c>
      <c r="AW618" s="2" t="str">
        <f t="shared" si="38"/>
        <v/>
      </c>
      <c r="AX618" s="2" t="str">
        <f t="shared" si="39"/>
        <v/>
      </c>
      <c r="AY618" s="2" t="str">
        <f>IF($AV618="","",IF(AND($Z618=0,COUNTIF('AR SALES'!$L$2:$L$2501,$L618)=0),"YES",""))</f>
        <v/>
      </c>
      <c r="AZ618" s="2" t="str">
        <f>IF($AV618="","",IF(COUNTIF(LISTS!$C$2:$C$250,$AU618)=0,"NEW",""))</f>
        <v/>
      </c>
      <c r="BA618" s="2" t="str">
        <f>IF(""&amp;$F618&lt;&gt;"4","",IF($AY618="YES","",IF(ROUND(SUMIFS($AE$2:$AE$4001,$L$2:$L$4001,$L618,$F$2:$F$4001,"4")-SUMIFS('AR SALES'!$Y$2:$Y$2501,'AR SALES'!$L$2:$L$2501,$L618,'AR SALES'!$AD$2:$AD$2501,"OFF"),2)=0,"","STALE")))</f>
        <v/>
      </c>
      <c r="BB618" s="2" t="str">
        <f>IF(OR(""&amp;$F618="2",""&amp;$F618="4",""&amp;$F618="G",""&amp;$F618="H"),IF($AY618="YES","",IF($AB618&lt;&gt;0,"",IF(COUNTIFS('AR SALES'!$L$2:$L$2501,$L618,'AR SALES'!$AD$2:$AD$2501,IF(""&amp;$F618="4","OFF","ON"),'AR SALES'!$AF$2:$AF$2501,"Y")&gt;0,"","NO EXEMPTION"))),"")</f>
        <v/>
      </c>
    </row>
    <row r="619" spans="46:54" x14ac:dyDescent="0.25">
      <c r="AT619" s="2" t="str">
        <f>IF($L619="","",IFERROR(INDEX('AR SALES'!$H$2:$H$2501,MATCH(""&amp;$L619,'AR SALES'!$AE$2:$AE$2501,0)),""))</f>
        <v/>
      </c>
      <c r="AU619" s="2" t="str">
        <f t="shared" si="36"/>
        <v/>
      </c>
      <c r="AV619" s="2" t="str">
        <f t="shared" si="37"/>
        <v/>
      </c>
      <c r="AW619" s="2" t="str">
        <f t="shared" si="38"/>
        <v/>
      </c>
      <c r="AX619" s="2" t="str">
        <f t="shared" si="39"/>
        <v/>
      </c>
      <c r="AY619" s="2" t="str">
        <f>IF($AV619="","",IF(AND($Z619=0,COUNTIF('AR SALES'!$L$2:$L$2501,$L619)=0),"YES",""))</f>
        <v/>
      </c>
      <c r="AZ619" s="2" t="str">
        <f>IF($AV619="","",IF(COUNTIF(LISTS!$C$2:$C$250,$AU619)=0,"NEW",""))</f>
        <v/>
      </c>
      <c r="BA619" s="2" t="str">
        <f>IF(""&amp;$F619&lt;&gt;"4","",IF($AY619="YES","",IF(ROUND(SUMIFS($AE$2:$AE$4001,$L$2:$L$4001,$L619,$F$2:$F$4001,"4")-SUMIFS('AR SALES'!$Y$2:$Y$2501,'AR SALES'!$L$2:$L$2501,$L619,'AR SALES'!$AD$2:$AD$2501,"OFF"),2)=0,"","STALE")))</f>
        <v/>
      </c>
      <c r="BB619" s="2" t="str">
        <f>IF(OR(""&amp;$F619="2",""&amp;$F619="4",""&amp;$F619="G",""&amp;$F619="H"),IF($AY619="YES","",IF($AB619&lt;&gt;0,"",IF(COUNTIFS('AR SALES'!$L$2:$L$2501,$L619,'AR SALES'!$AD$2:$AD$2501,IF(""&amp;$F619="4","OFF","ON"),'AR SALES'!$AF$2:$AF$2501,"Y")&gt;0,"","NO EXEMPTION"))),"")</f>
        <v/>
      </c>
    </row>
    <row r="620" spans="46:54" x14ac:dyDescent="0.25">
      <c r="AT620" s="2" t="str">
        <f>IF($L620="","",IFERROR(INDEX('AR SALES'!$H$2:$H$2501,MATCH(""&amp;$L620,'AR SALES'!$AE$2:$AE$2501,0)),""))</f>
        <v/>
      </c>
      <c r="AU620" s="2" t="str">
        <f t="shared" si="36"/>
        <v/>
      </c>
      <c r="AV620" s="2" t="str">
        <f t="shared" si="37"/>
        <v/>
      </c>
      <c r="AW620" s="2" t="str">
        <f t="shared" si="38"/>
        <v/>
      </c>
      <c r="AX620" s="2" t="str">
        <f t="shared" si="39"/>
        <v/>
      </c>
      <c r="AY620" s="2" t="str">
        <f>IF($AV620="","",IF(AND($Z620=0,COUNTIF('AR SALES'!$L$2:$L$2501,$L620)=0),"YES",""))</f>
        <v/>
      </c>
      <c r="AZ620" s="2" t="str">
        <f>IF($AV620="","",IF(COUNTIF(LISTS!$C$2:$C$250,$AU620)=0,"NEW",""))</f>
        <v/>
      </c>
      <c r="BA620" s="2" t="str">
        <f>IF(""&amp;$F620&lt;&gt;"4","",IF($AY620="YES","",IF(ROUND(SUMIFS($AE$2:$AE$4001,$L$2:$L$4001,$L620,$F$2:$F$4001,"4")-SUMIFS('AR SALES'!$Y$2:$Y$2501,'AR SALES'!$L$2:$L$2501,$L620,'AR SALES'!$AD$2:$AD$2501,"OFF"),2)=0,"","STALE")))</f>
        <v/>
      </c>
      <c r="BB620" s="2" t="str">
        <f>IF(OR(""&amp;$F620="2",""&amp;$F620="4",""&amp;$F620="G",""&amp;$F620="H"),IF($AY620="YES","",IF($AB620&lt;&gt;0,"",IF(COUNTIFS('AR SALES'!$L$2:$L$2501,$L620,'AR SALES'!$AD$2:$AD$2501,IF(""&amp;$F620="4","OFF","ON"),'AR SALES'!$AF$2:$AF$2501,"Y")&gt;0,"","NO EXEMPTION"))),"")</f>
        <v/>
      </c>
    </row>
    <row r="621" spans="46:54" x14ac:dyDescent="0.25">
      <c r="AT621" s="2" t="str">
        <f>IF($L621="","",IFERROR(INDEX('AR SALES'!$H$2:$H$2501,MATCH(""&amp;$L621,'AR SALES'!$AE$2:$AE$2501,0)),""))</f>
        <v/>
      </c>
      <c r="AU621" s="2" t="str">
        <f t="shared" si="36"/>
        <v/>
      </c>
      <c r="AV621" s="2" t="str">
        <f t="shared" si="37"/>
        <v/>
      </c>
      <c r="AW621" s="2" t="str">
        <f t="shared" si="38"/>
        <v/>
      </c>
      <c r="AX621" s="2" t="str">
        <f t="shared" si="39"/>
        <v/>
      </c>
      <c r="AY621" s="2" t="str">
        <f>IF($AV621="","",IF(AND($Z621=0,COUNTIF('AR SALES'!$L$2:$L$2501,$L621)=0),"YES",""))</f>
        <v/>
      </c>
      <c r="AZ621" s="2" t="str">
        <f>IF($AV621="","",IF(COUNTIF(LISTS!$C$2:$C$250,$AU621)=0,"NEW",""))</f>
        <v/>
      </c>
      <c r="BA621" s="2" t="str">
        <f>IF(""&amp;$F621&lt;&gt;"4","",IF($AY621="YES","",IF(ROUND(SUMIFS($AE$2:$AE$4001,$L$2:$L$4001,$L621,$F$2:$F$4001,"4")-SUMIFS('AR SALES'!$Y$2:$Y$2501,'AR SALES'!$L$2:$L$2501,$L621,'AR SALES'!$AD$2:$AD$2501,"OFF"),2)=0,"","STALE")))</f>
        <v/>
      </c>
      <c r="BB621" s="2" t="str">
        <f>IF(OR(""&amp;$F621="2",""&amp;$F621="4",""&amp;$F621="G",""&amp;$F621="H"),IF($AY621="YES","",IF($AB621&lt;&gt;0,"",IF(COUNTIFS('AR SALES'!$L$2:$L$2501,$L621,'AR SALES'!$AD$2:$AD$2501,IF(""&amp;$F621="4","OFF","ON"),'AR SALES'!$AF$2:$AF$2501,"Y")&gt;0,"","NO EXEMPTION"))),"")</f>
        <v/>
      </c>
    </row>
    <row r="622" spans="46:54" x14ac:dyDescent="0.25">
      <c r="AT622" s="2" t="str">
        <f>IF($L622="","",IFERROR(INDEX('AR SALES'!$H$2:$H$2501,MATCH(""&amp;$L622,'AR SALES'!$AE$2:$AE$2501,0)),""))</f>
        <v/>
      </c>
      <c r="AU622" s="2" t="str">
        <f t="shared" si="36"/>
        <v/>
      </c>
      <c r="AV622" s="2" t="str">
        <f t="shared" si="37"/>
        <v/>
      </c>
      <c r="AW622" s="2" t="str">
        <f t="shared" si="38"/>
        <v/>
      </c>
      <c r="AX622" s="2" t="str">
        <f t="shared" si="39"/>
        <v/>
      </c>
      <c r="AY622" s="2" t="str">
        <f>IF($AV622="","",IF(AND($Z622=0,COUNTIF('AR SALES'!$L$2:$L$2501,$L622)=0),"YES",""))</f>
        <v/>
      </c>
      <c r="AZ622" s="2" t="str">
        <f>IF($AV622="","",IF(COUNTIF(LISTS!$C$2:$C$250,$AU622)=0,"NEW",""))</f>
        <v/>
      </c>
      <c r="BA622" s="2" t="str">
        <f>IF(""&amp;$F622&lt;&gt;"4","",IF($AY622="YES","",IF(ROUND(SUMIFS($AE$2:$AE$4001,$L$2:$L$4001,$L622,$F$2:$F$4001,"4")-SUMIFS('AR SALES'!$Y$2:$Y$2501,'AR SALES'!$L$2:$L$2501,$L622,'AR SALES'!$AD$2:$AD$2501,"OFF"),2)=0,"","STALE")))</f>
        <v/>
      </c>
      <c r="BB622" s="2" t="str">
        <f>IF(OR(""&amp;$F622="2",""&amp;$F622="4",""&amp;$F622="G",""&amp;$F622="H"),IF($AY622="YES","",IF($AB622&lt;&gt;0,"",IF(COUNTIFS('AR SALES'!$L$2:$L$2501,$L622,'AR SALES'!$AD$2:$AD$2501,IF(""&amp;$F622="4","OFF","ON"),'AR SALES'!$AF$2:$AF$2501,"Y")&gt;0,"","NO EXEMPTION"))),"")</f>
        <v/>
      </c>
    </row>
    <row r="623" spans="46:54" x14ac:dyDescent="0.25">
      <c r="AT623" s="2" t="str">
        <f>IF($L623="","",IFERROR(INDEX('AR SALES'!$H$2:$H$2501,MATCH(""&amp;$L623,'AR SALES'!$AE$2:$AE$2501,0)),""))</f>
        <v/>
      </c>
      <c r="AU623" s="2" t="str">
        <f t="shared" si="36"/>
        <v/>
      </c>
      <c r="AV623" s="2" t="str">
        <f t="shared" si="37"/>
        <v/>
      </c>
      <c r="AW623" s="2" t="str">
        <f t="shared" si="38"/>
        <v/>
      </c>
      <c r="AX623" s="2" t="str">
        <f t="shared" si="39"/>
        <v/>
      </c>
      <c r="AY623" s="2" t="str">
        <f>IF($AV623="","",IF(AND($Z623=0,COUNTIF('AR SALES'!$L$2:$L$2501,$L623)=0),"YES",""))</f>
        <v/>
      </c>
      <c r="AZ623" s="2" t="str">
        <f>IF($AV623="","",IF(COUNTIF(LISTS!$C$2:$C$250,$AU623)=0,"NEW",""))</f>
        <v/>
      </c>
      <c r="BA623" s="2" t="str">
        <f>IF(""&amp;$F623&lt;&gt;"4","",IF($AY623="YES","",IF(ROUND(SUMIFS($AE$2:$AE$4001,$L$2:$L$4001,$L623,$F$2:$F$4001,"4")-SUMIFS('AR SALES'!$Y$2:$Y$2501,'AR SALES'!$L$2:$L$2501,$L623,'AR SALES'!$AD$2:$AD$2501,"OFF"),2)=0,"","STALE")))</f>
        <v/>
      </c>
      <c r="BB623" s="2" t="str">
        <f>IF(OR(""&amp;$F623="2",""&amp;$F623="4",""&amp;$F623="G",""&amp;$F623="H"),IF($AY623="YES","",IF($AB623&lt;&gt;0,"",IF(COUNTIFS('AR SALES'!$L$2:$L$2501,$L623,'AR SALES'!$AD$2:$AD$2501,IF(""&amp;$F623="4","OFF","ON"),'AR SALES'!$AF$2:$AF$2501,"Y")&gt;0,"","NO EXEMPTION"))),"")</f>
        <v/>
      </c>
    </row>
    <row r="624" spans="46:54" x14ac:dyDescent="0.25">
      <c r="AT624" s="2" t="str">
        <f>IF($L624="","",IFERROR(INDEX('AR SALES'!$H$2:$H$2501,MATCH(""&amp;$L624,'AR SALES'!$AE$2:$AE$2501,0)),""))</f>
        <v/>
      </c>
      <c r="AU624" s="2" t="str">
        <f t="shared" si="36"/>
        <v/>
      </c>
      <c r="AV624" s="2" t="str">
        <f t="shared" si="37"/>
        <v/>
      </c>
      <c r="AW624" s="2" t="str">
        <f t="shared" si="38"/>
        <v/>
      </c>
      <c r="AX624" s="2" t="str">
        <f t="shared" si="39"/>
        <v/>
      </c>
      <c r="AY624" s="2" t="str">
        <f>IF($AV624="","",IF(AND($Z624=0,COUNTIF('AR SALES'!$L$2:$L$2501,$L624)=0),"YES",""))</f>
        <v/>
      </c>
      <c r="AZ624" s="2" t="str">
        <f>IF($AV624="","",IF(COUNTIF(LISTS!$C$2:$C$250,$AU624)=0,"NEW",""))</f>
        <v/>
      </c>
      <c r="BA624" s="2" t="str">
        <f>IF(""&amp;$F624&lt;&gt;"4","",IF($AY624="YES","",IF(ROUND(SUMIFS($AE$2:$AE$4001,$L$2:$L$4001,$L624,$F$2:$F$4001,"4")-SUMIFS('AR SALES'!$Y$2:$Y$2501,'AR SALES'!$L$2:$L$2501,$L624,'AR SALES'!$AD$2:$AD$2501,"OFF"),2)=0,"","STALE")))</f>
        <v/>
      </c>
      <c r="BB624" s="2" t="str">
        <f>IF(OR(""&amp;$F624="2",""&amp;$F624="4",""&amp;$F624="G",""&amp;$F624="H"),IF($AY624="YES","",IF($AB624&lt;&gt;0,"",IF(COUNTIFS('AR SALES'!$L$2:$L$2501,$L624,'AR SALES'!$AD$2:$AD$2501,IF(""&amp;$F624="4","OFF","ON"),'AR SALES'!$AF$2:$AF$2501,"Y")&gt;0,"","NO EXEMPTION"))),"")</f>
        <v/>
      </c>
    </row>
    <row r="625" spans="46:54" x14ac:dyDescent="0.25">
      <c r="AT625" s="2" t="str">
        <f>IF($L625="","",IFERROR(INDEX('AR SALES'!$H$2:$H$2501,MATCH(""&amp;$L625,'AR SALES'!$AE$2:$AE$2501,0)),""))</f>
        <v/>
      </c>
      <c r="AU625" s="2" t="str">
        <f t="shared" si="36"/>
        <v/>
      </c>
      <c r="AV625" s="2" t="str">
        <f t="shared" si="37"/>
        <v/>
      </c>
      <c r="AW625" s="2" t="str">
        <f t="shared" si="38"/>
        <v/>
      </c>
      <c r="AX625" s="2" t="str">
        <f t="shared" si="39"/>
        <v/>
      </c>
      <c r="AY625" s="2" t="str">
        <f>IF($AV625="","",IF(AND($Z625=0,COUNTIF('AR SALES'!$L$2:$L$2501,$L625)=0),"YES",""))</f>
        <v/>
      </c>
      <c r="AZ625" s="2" t="str">
        <f>IF($AV625="","",IF(COUNTIF(LISTS!$C$2:$C$250,$AU625)=0,"NEW",""))</f>
        <v/>
      </c>
      <c r="BA625" s="2" t="str">
        <f>IF(""&amp;$F625&lt;&gt;"4","",IF($AY625="YES","",IF(ROUND(SUMIFS($AE$2:$AE$4001,$L$2:$L$4001,$L625,$F$2:$F$4001,"4")-SUMIFS('AR SALES'!$Y$2:$Y$2501,'AR SALES'!$L$2:$L$2501,$L625,'AR SALES'!$AD$2:$AD$2501,"OFF"),2)=0,"","STALE")))</f>
        <v/>
      </c>
      <c r="BB625" s="2" t="str">
        <f>IF(OR(""&amp;$F625="2",""&amp;$F625="4",""&amp;$F625="G",""&amp;$F625="H"),IF($AY625="YES","",IF($AB625&lt;&gt;0,"",IF(COUNTIFS('AR SALES'!$L$2:$L$2501,$L625,'AR SALES'!$AD$2:$AD$2501,IF(""&amp;$F625="4","OFF","ON"),'AR SALES'!$AF$2:$AF$2501,"Y")&gt;0,"","NO EXEMPTION"))),"")</f>
        <v/>
      </c>
    </row>
    <row r="626" spans="46:54" x14ac:dyDescent="0.25">
      <c r="AT626" s="2" t="str">
        <f>IF($L626="","",IFERROR(INDEX('AR SALES'!$H$2:$H$2501,MATCH(""&amp;$L626,'AR SALES'!$AE$2:$AE$2501,0)),""))</f>
        <v/>
      </c>
      <c r="AU626" s="2" t="str">
        <f t="shared" si="36"/>
        <v/>
      </c>
      <c r="AV626" s="2" t="str">
        <f t="shared" si="37"/>
        <v/>
      </c>
      <c r="AW626" s="2" t="str">
        <f t="shared" si="38"/>
        <v/>
      </c>
      <c r="AX626" s="2" t="str">
        <f t="shared" si="39"/>
        <v/>
      </c>
      <c r="AY626" s="2" t="str">
        <f>IF($AV626="","",IF(AND($Z626=0,COUNTIF('AR SALES'!$L$2:$L$2501,$L626)=0),"YES",""))</f>
        <v/>
      </c>
      <c r="AZ626" s="2" t="str">
        <f>IF($AV626="","",IF(COUNTIF(LISTS!$C$2:$C$250,$AU626)=0,"NEW",""))</f>
        <v/>
      </c>
      <c r="BA626" s="2" t="str">
        <f>IF(""&amp;$F626&lt;&gt;"4","",IF($AY626="YES","",IF(ROUND(SUMIFS($AE$2:$AE$4001,$L$2:$L$4001,$L626,$F$2:$F$4001,"4")-SUMIFS('AR SALES'!$Y$2:$Y$2501,'AR SALES'!$L$2:$L$2501,$L626,'AR SALES'!$AD$2:$AD$2501,"OFF"),2)=0,"","STALE")))</f>
        <v/>
      </c>
      <c r="BB626" s="2" t="str">
        <f>IF(OR(""&amp;$F626="2",""&amp;$F626="4",""&amp;$F626="G",""&amp;$F626="H"),IF($AY626="YES","",IF($AB626&lt;&gt;0,"",IF(COUNTIFS('AR SALES'!$L$2:$L$2501,$L626,'AR SALES'!$AD$2:$AD$2501,IF(""&amp;$F626="4","OFF","ON"),'AR SALES'!$AF$2:$AF$2501,"Y")&gt;0,"","NO EXEMPTION"))),"")</f>
        <v/>
      </c>
    </row>
    <row r="627" spans="46:54" x14ac:dyDescent="0.25">
      <c r="AT627" s="2" t="str">
        <f>IF($L627="","",IFERROR(INDEX('AR SALES'!$H$2:$H$2501,MATCH(""&amp;$L627,'AR SALES'!$AE$2:$AE$2501,0)),""))</f>
        <v/>
      </c>
      <c r="AU627" s="2" t="str">
        <f t="shared" si="36"/>
        <v/>
      </c>
      <c r="AV627" s="2" t="str">
        <f t="shared" si="37"/>
        <v/>
      </c>
      <c r="AW627" s="2" t="str">
        <f t="shared" si="38"/>
        <v/>
      </c>
      <c r="AX627" s="2" t="str">
        <f t="shared" si="39"/>
        <v/>
      </c>
      <c r="AY627" s="2" t="str">
        <f>IF($AV627="","",IF(AND($Z627=0,COUNTIF('AR SALES'!$L$2:$L$2501,$L627)=0),"YES",""))</f>
        <v/>
      </c>
      <c r="AZ627" s="2" t="str">
        <f>IF($AV627="","",IF(COUNTIF(LISTS!$C$2:$C$250,$AU627)=0,"NEW",""))</f>
        <v/>
      </c>
      <c r="BA627" s="2" t="str">
        <f>IF(""&amp;$F627&lt;&gt;"4","",IF($AY627="YES","",IF(ROUND(SUMIFS($AE$2:$AE$4001,$L$2:$L$4001,$L627,$F$2:$F$4001,"4")-SUMIFS('AR SALES'!$Y$2:$Y$2501,'AR SALES'!$L$2:$L$2501,$L627,'AR SALES'!$AD$2:$AD$2501,"OFF"),2)=0,"","STALE")))</f>
        <v/>
      </c>
      <c r="BB627" s="2" t="str">
        <f>IF(OR(""&amp;$F627="2",""&amp;$F627="4",""&amp;$F627="G",""&amp;$F627="H"),IF($AY627="YES","",IF($AB627&lt;&gt;0,"",IF(COUNTIFS('AR SALES'!$L$2:$L$2501,$L627,'AR SALES'!$AD$2:$AD$2501,IF(""&amp;$F627="4","OFF","ON"),'AR SALES'!$AF$2:$AF$2501,"Y")&gt;0,"","NO EXEMPTION"))),"")</f>
        <v/>
      </c>
    </row>
    <row r="628" spans="46:54" x14ac:dyDescent="0.25">
      <c r="AT628" s="2" t="str">
        <f>IF($L628="","",IFERROR(INDEX('AR SALES'!$H$2:$H$2501,MATCH(""&amp;$L628,'AR SALES'!$AE$2:$AE$2501,0)),""))</f>
        <v/>
      </c>
      <c r="AU628" s="2" t="str">
        <f t="shared" si="36"/>
        <v/>
      </c>
      <c r="AV628" s="2" t="str">
        <f t="shared" si="37"/>
        <v/>
      </c>
      <c r="AW628" s="2" t="str">
        <f t="shared" si="38"/>
        <v/>
      </c>
      <c r="AX628" s="2" t="str">
        <f t="shared" si="39"/>
        <v/>
      </c>
      <c r="AY628" s="2" t="str">
        <f>IF($AV628="","",IF(AND($Z628=0,COUNTIF('AR SALES'!$L$2:$L$2501,$L628)=0),"YES",""))</f>
        <v/>
      </c>
      <c r="AZ628" s="2" t="str">
        <f>IF($AV628="","",IF(COUNTIF(LISTS!$C$2:$C$250,$AU628)=0,"NEW",""))</f>
        <v/>
      </c>
      <c r="BA628" s="2" t="str">
        <f>IF(""&amp;$F628&lt;&gt;"4","",IF($AY628="YES","",IF(ROUND(SUMIFS($AE$2:$AE$4001,$L$2:$L$4001,$L628,$F$2:$F$4001,"4")-SUMIFS('AR SALES'!$Y$2:$Y$2501,'AR SALES'!$L$2:$L$2501,$L628,'AR SALES'!$AD$2:$AD$2501,"OFF"),2)=0,"","STALE")))</f>
        <v/>
      </c>
      <c r="BB628" s="2" t="str">
        <f>IF(OR(""&amp;$F628="2",""&amp;$F628="4",""&amp;$F628="G",""&amp;$F628="H"),IF($AY628="YES","",IF($AB628&lt;&gt;0,"",IF(COUNTIFS('AR SALES'!$L$2:$L$2501,$L628,'AR SALES'!$AD$2:$AD$2501,IF(""&amp;$F628="4","OFF","ON"),'AR SALES'!$AF$2:$AF$2501,"Y")&gt;0,"","NO EXEMPTION"))),"")</f>
        <v/>
      </c>
    </row>
    <row r="629" spans="46:54" x14ac:dyDescent="0.25">
      <c r="AT629" s="2" t="str">
        <f>IF($L629="","",IFERROR(INDEX('AR SALES'!$H$2:$H$2501,MATCH(""&amp;$L629,'AR SALES'!$AE$2:$AE$2501,0)),""))</f>
        <v/>
      </c>
      <c r="AU629" s="2" t="str">
        <f t="shared" si="36"/>
        <v/>
      </c>
      <c r="AV629" s="2" t="str">
        <f t="shared" si="37"/>
        <v/>
      </c>
      <c r="AW629" s="2" t="str">
        <f t="shared" si="38"/>
        <v/>
      </c>
      <c r="AX629" s="2" t="str">
        <f t="shared" si="39"/>
        <v/>
      </c>
      <c r="AY629" s="2" t="str">
        <f>IF($AV629="","",IF(AND($Z629=0,COUNTIF('AR SALES'!$L$2:$L$2501,$L629)=0),"YES",""))</f>
        <v/>
      </c>
      <c r="AZ629" s="2" t="str">
        <f>IF($AV629="","",IF(COUNTIF(LISTS!$C$2:$C$250,$AU629)=0,"NEW",""))</f>
        <v/>
      </c>
      <c r="BA629" s="2" t="str">
        <f>IF(""&amp;$F629&lt;&gt;"4","",IF($AY629="YES","",IF(ROUND(SUMIFS($AE$2:$AE$4001,$L$2:$L$4001,$L629,$F$2:$F$4001,"4")-SUMIFS('AR SALES'!$Y$2:$Y$2501,'AR SALES'!$L$2:$L$2501,$L629,'AR SALES'!$AD$2:$AD$2501,"OFF"),2)=0,"","STALE")))</f>
        <v/>
      </c>
      <c r="BB629" s="2" t="str">
        <f>IF(OR(""&amp;$F629="2",""&amp;$F629="4",""&amp;$F629="G",""&amp;$F629="H"),IF($AY629="YES","",IF($AB629&lt;&gt;0,"",IF(COUNTIFS('AR SALES'!$L$2:$L$2501,$L629,'AR SALES'!$AD$2:$AD$2501,IF(""&amp;$F629="4","OFF","ON"),'AR SALES'!$AF$2:$AF$2501,"Y")&gt;0,"","NO EXEMPTION"))),"")</f>
        <v/>
      </c>
    </row>
    <row r="630" spans="46:54" x14ac:dyDescent="0.25">
      <c r="AT630" s="2" t="str">
        <f>IF($L630="","",IFERROR(INDEX('AR SALES'!$H$2:$H$2501,MATCH(""&amp;$L630,'AR SALES'!$AE$2:$AE$2501,0)),""))</f>
        <v/>
      </c>
      <c r="AU630" s="2" t="str">
        <f t="shared" si="36"/>
        <v/>
      </c>
      <c r="AV630" s="2" t="str">
        <f t="shared" si="37"/>
        <v/>
      </c>
      <c r="AW630" s="2" t="str">
        <f t="shared" si="38"/>
        <v/>
      </c>
      <c r="AX630" s="2" t="str">
        <f t="shared" si="39"/>
        <v/>
      </c>
      <c r="AY630" s="2" t="str">
        <f>IF($AV630="","",IF(AND($Z630=0,COUNTIF('AR SALES'!$L$2:$L$2501,$L630)=0),"YES",""))</f>
        <v/>
      </c>
      <c r="AZ630" s="2" t="str">
        <f>IF($AV630="","",IF(COUNTIF(LISTS!$C$2:$C$250,$AU630)=0,"NEW",""))</f>
        <v/>
      </c>
      <c r="BA630" s="2" t="str">
        <f>IF(""&amp;$F630&lt;&gt;"4","",IF($AY630="YES","",IF(ROUND(SUMIFS($AE$2:$AE$4001,$L$2:$L$4001,$L630,$F$2:$F$4001,"4")-SUMIFS('AR SALES'!$Y$2:$Y$2501,'AR SALES'!$L$2:$L$2501,$L630,'AR SALES'!$AD$2:$AD$2501,"OFF"),2)=0,"","STALE")))</f>
        <v/>
      </c>
      <c r="BB630" s="2" t="str">
        <f>IF(OR(""&amp;$F630="2",""&amp;$F630="4",""&amp;$F630="G",""&amp;$F630="H"),IF($AY630="YES","",IF($AB630&lt;&gt;0,"",IF(COUNTIFS('AR SALES'!$L$2:$L$2501,$L630,'AR SALES'!$AD$2:$AD$2501,IF(""&amp;$F630="4","OFF","ON"),'AR SALES'!$AF$2:$AF$2501,"Y")&gt;0,"","NO EXEMPTION"))),"")</f>
        <v/>
      </c>
    </row>
    <row r="631" spans="46:54" x14ac:dyDescent="0.25">
      <c r="AT631" s="2" t="str">
        <f>IF($L631="","",IFERROR(INDEX('AR SALES'!$H$2:$H$2501,MATCH(""&amp;$L631,'AR SALES'!$AE$2:$AE$2501,0)),""))</f>
        <v/>
      </c>
      <c r="AU631" s="2" t="str">
        <f t="shared" si="36"/>
        <v/>
      </c>
      <c r="AV631" s="2" t="str">
        <f t="shared" si="37"/>
        <v/>
      </c>
      <c r="AW631" s="2" t="str">
        <f t="shared" si="38"/>
        <v/>
      </c>
      <c r="AX631" s="2" t="str">
        <f t="shared" si="39"/>
        <v/>
      </c>
      <c r="AY631" s="2" t="str">
        <f>IF($AV631="","",IF(AND($Z631=0,COUNTIF('AR SALES'!$L$2:$L$2501,$L631)=0),"YES",""))</f>
        <v/>
      </c>
      <c r="AZ631" s="2" t="str">
        <f>IF($AV631="","",IF(COUNTIF(LISTS!$C$2:$C$250,$AU631)=0,"NEW",""))</f>
        <v/>
      </c>
      <c r="BA631" s="2" t="str">
        <f>IF(""&amp;$F631&lt;&gt;"4","",IF($AY631="YES","",IF(ROUND(SUMIFS($AE$2:$AE$4001,$L$2:$L$4001,$L631,$F$2:$F$4001,"4")-SUMIFS('AR SALES'!$Y$2:$Y$2501,'AR SALES'!$L$2:$L$2501,$L631,'AR SALES'!$AD$2:$AD$2501,"OFF"),2)=0,"","STALE")))</f>
        <v/>
      </c>
      <c r="BB631" s="2" t="str">
        <f>IF(OR(""&amp;$F631="2",""&amp;$F631="4",""&amp;$F631="G",""&amp;$F631="H"),IF($AY631="YES","",IF($AB631&lt;&gt;0,"",IF(COUNTIFS('AR SALES'!$L$2:$L$2501,$L631,'AR SALES'!$AD$2:$AD$2501,IF(""&amp;$F631="4","OFF","ON"),'AR SALES'!$AF$2:$AF$2501,"Y")&gt;0,"","NO EXEMPTION"))),"")</f>
        <v/>
      </c>
    </row>
    <row r="632" spans="46:54" x14ac:dyDescent="0.25">
      <c r="AT632" s="2" t="str">
        <f>IF($L632="","",IFERROR(INDEX('AR SALES'!$H$2:$H$2501,MATCH(""&amp;$L632,'AR SALES'!$AE$2:$AE$2501,0)),""))</f>
        <v/>
      </c>
      <c r="AU632" s="2" t="str">
        <f t="shared" si="36"/>
        <v/>
      </c>
      <c r="AV632" s="2" t="str">
        <f t="shared" si="37"/>
        <v/>
      </c>
      <c r="AW632" s="2" t="str">
        <f t="shared" si="38"/>
        <v/>
      </c>
      <c r="AX632" s="2" t="str">
        <f t="shared" si="39"/>
        <v/>
      </c>
      <c r="AY632" s="2" t="str">
        <f>IF($AV632="","",IF(AND($Z632=0,COUNTIF('AR SALES'!$L$2:$L$2501,$L632)=0),"YES",""))</f>
        <v/>
      </c>
      <c r="AZ632" s="2" t="str">
        <f>IF($AV632="","",IF(COUNTIF(LISTS!$C$2:$C$250,$AU632)=0,"NEW",""))</f>
        <v/>
      </c>
      <c r="BA632" s="2" t="str">
        <f>IF(""&amp;$F632&lt;&gt;"4","",IF($AY632="YES","",IF(ROUND(SUMIFS($AE$2:$AE$4001,$L$2:$L$4001,$L632,$F$2:$F$4001,"4")-SUMIFS('AR SALES'!$Y$2:$Y$2501,'AR SALES'!$L$2:$L$2501,$L632,'AR SALES'!$AD$2:$AD$2501,"OFF"),2)=0,"","STALE")))</f>
        <v/>
      </c>
      <c r="BB632" s="2" t="str">
        <f>IF(OR(""&amp;$F632="2",""&amp;$F632="4",""&amp;$F632="G",""&amp;$F632="H"),IF($AY632="YES","",IF($AB632&lt;&gt;0,"",IF(COUNTIFS('AR SALES'!$L$2:$L$2501,$L632,'AR SALES'!$AD$2:$AD$2501,IF(""&amp;$F632="4","OFF","ON"),'AR SALES'!$AF$2:$AF$2501,"Y")&gt;0,"","NO EXEMPTION"))),"")</f>
        <v/>
      </c>
    </row>
    <row r="633" spans="46:54" x14ac:dyDescent="0.25">
      <c r="AT633" s="2" t="str">
        <f>IF($L633="","",IFERROR(INDEX('AR SALES'!$H$2:$H$2501,MATCH(""&amp;$L633,'AR SALES'!$AE$2:$AE$2501,0)),""))</f>
        <v/>
      </c>
      <c r="AU633" s="2" t="str">
        <f t="shared" si="36"/>
        <v/>
      </c>
      <c r="AV633" s="2" t="str">
        <f t="shared" si="37"/>
        <v/>
      </c>
      <c r="AW633" s="2" t="str">
        <f t="shared" si="38"/>
        <v/>
      </c>
      <c r="AX633" s="2" t="str">
        <f t="shared" si="39"/>
        <v/>
      </c>
      <c r="AY633" s="2" t="str">
        <f>IF($AV633="","",IF(AND($Z633=0,COUNTIF('AR SALES'!$L$2:$L$2501,$L633)=0),"YES",""))</f>
        <v/>
      </c>
      <c r="AZ633" s="2" t="str">
        <f>IF($AV633="","",IF(COUNTIF(LISTS!$C$2:$C$250,$AU633)=0,"NEW",""))</f>
        <v/>
      </c>
      <c r="BA633" s="2" t="str">
        <f>IF(""&amp;$F633&lt;&gt;"4","",IF($AY633="YES","",IF(ROUND(SUMIFS($AE$2:$AE$4001,$L$2:$L$4001,$L633,$F$2:$F$4001,"4")-SUMIFS('AR SALES'!$Y$2:$Y$2501,'AR SALES'!$L$2:$L$2501,$L633,'AR SALES'!$AD$2:$AD$2501,"OFF"),2)=0,"","STALE")))</f>
        <v/>
      </c>
      <c r="BB633" s="2" t="str">
        <f>IF(OR(""&amp;$F633="2",""&amp;$F633="4",""&amp;$F633="G",""&amp;$F633="H"),IF($AY633="YES","",IF($AB633&lt;&gt;0,"",IF(COUNTIFS('AR SALES'!$L$2:$L$2501,$L633,'AR SALES'!$AD$2:$AD$2501,IF(""&amp;$F633="4","OFF","ON"),'AR SALES'!$AF$2:$AF$2501,"Y")&gt;0,"","NO EXEMPTION"))),"")</f>
        <v/>
      </c>
    </row>
    <row r="634" spans="46:54" x14ac:dyDescent="0.25">
      <c r="AT634" s="2" t="str">
        <f>IF($L634="","",IFERROR(INDEX('AR SALES'!$H$2:$H$2501,MATCH(""&amp;$L634,'AR SALES'!$AE$2:$AE$2501,0)),""))</f>
        <v/>
      </c>
      <c r="AU634" s="2" t="str">
        <f t="shared" si="36"/>
        <v/>
      </c>
      <c r="AV634" s="2" t="str">
        <f t="shared" si="37"/>
        <v/>
      </c>
      <c r="AW634" s="2" t="str">
        <f t="shared" si="38"/>
        <v/>
      </c>
      <c r="AX634" s="2" t="str">
        <f t="shared" si="39"/>
        <v/>
      </c>
      <c r="AY634" s="2" t="str">
        <f>IF($AV634="","",IF(AND($Z634=0,COUNTIF('AR SALES'!$L$2:$L$2501,$L634)=0),"YES",""))</f>
        <v/>
      </c>
      <c r="AZ634" s="2" t="str">
        <f>IF($AV634="","",IF(COUNTIF(LISTS!$C$2:$C$250,$AU634)=0,"NEW",""))</f>
        <v/>
      </c>
      <c r="BA634" s="2" t="str">
        <f>IF(""&amp;$F634&lt;&gt;"4","",IF($AY634="YES","",IF(ROUND(SUMIFS($AE$2:$AE$4001,$L$2:$L$4001,$L634,$F$2:$F$4001,"4")-SUMIFS('AR SALES'!$Y$2:$Y$2501,'AR SALES'!$L$2:$L$2501,$L634,'AR SALES'!$AD$2:$AD$2501,"OFF"),2)=0,"","STALE")))</f>
        <v/>
      </c>
      <c r="BB634" s="2" t="str">
        <f>IF(OR(""&amp;$F634="2",""&amp;$F634="4",""&amp;$F634="G",""&amp;$F634="H"),IF($AY634="YES","",IF($AB634&lt;&gt;0,"",IF(COUNTIFS('AR SALES'!$L$2:$L$2501,$L634,'AR SALES'!$AD$2:$AD$2501,IF(""&amp;$F634="4","OFF","ON"),'AR SALES'!$AF$2:$AF$2501,"Y")&gt;0,"","NO EXEMPTION"))),"")</f>
        <v/>
      </c>
    </row>
    <row r="635" spans="46:54" x14ac:dyDescent="0.25">
      <c r="AT635" s="2" t="str">
        <f>IF($L635="","",IFERROR(INDEX('AR SALES'!$H$2:$H$2501,MATCH(""&amp;$L635,'AR SALES'!$AE$2:$AE$2501,0)),""))</f>
        <v/>
      </c>
      <c r="AU635" s="2" t="str">
        <f t="shared" si="36"/>
        <v/>
      </c>
      <c r="AV635" s="2" t="str">
        <f t="shared" si="37"/>
        <v/>
      </c>
      <c r="AW635" s="2" t="str">
        <f t="shared" si="38"/>
        <v/>
      </c>
      <c r="AX635" s="2" t="str">
        <f t="shared" si="39"/>
        <v/>
      </c>
      <c r="AY635" s="2" t="str">
        <f>IF($AV635="","",IF(AND($Z635=0,COUNTIF('AR SALES'!$L$2:$L$2501,$L635)=0),"YES",""))</f>
        <v/>
      </c>
      <c r="AZ635" s="2" t="str">
        <f>IF($AV635="","",IF(COUNTIF(LISTS!$C$2:$C$250,$AU635)=0,"NEW",""))</f>
        <v/>
      </c>
      <c r="BA635" s="2" t="str">
        <f>IF(""&amp;$F635&lt;&gt;"4","",IF($AY635="YES","",IF(ROUND(SUMIFS($AE$2:$AE$4001,$L$2:$L$4001,$L635,$F$2:$F$4001,"4")-SUMIFS('AR SALES'!$Y$2:$Y$2501,'AR SALES'!$L$2:$L$2501,$L635,'AR SALES'!$AD$2:$AD$2501,"OFF"),2)=0,"","STALE")))</f>
        <v/>
      </c>
      <c r="BB635" s="2" t="str">
        <f>IF(OR(""&amp;$F635="2",""&amp;$F635="4",""&amp;$F635="G",""&amp;$F635="H"),IF($AY635="YES","",IF($AB635&lt;&gt;0,"",IF(COUNTIFS('AR SALES'!$L$2:$L$2501,$L635,'AR SALES'!$AD$2:$AD$2501,IF(""&amp;$F635="4","OFF","ON"),'AR SALES'!$AF$2:$AF$2501,"Y")&gt;0,"","NO EXEMPTION"))),"")</f>
        <v/>
      </c>
    </row>
    <row r="636" spans="46:54" x14ac:dyDescent="0.25">
      <c r="AT636" s="2" t="str">
        <f>IF($L636="","",IFERROR(INDEX('AR SALES'!$H$2:$H$2501,MATCH(""&amp;$L636,'AR SALES'!$AE$2:$AE$2501,0)),""))</f>
        <v/>
      </c>
      <c r="AU636" s="2" t="str">
        <f t="shared" si="36"/>
        <v/>
      </c>
      <c r="AV636" s="2" t="str">
        <f t="shared" si="37"/>
        <v/>
      </c>
      <c r="AW636" s="2" t="str">
        <f t="shared" si="38"/>
        <v/>
      </c>
      <c r="AX636" s="2" t="str">
        <f t="shared" si="39"/>
        <v/>
      </c>
      <c r="AY636" s="2" t="str">
        <f>IF($AV636="","",IF(AND($Z636=0,COUNTIF('AR SALES'!$L$2:$L$2501,$L636)=0),"YES",""))</f>
        <v/>
      </c>
      <c r="AZ636" s="2" t="str">
        <f>IF($AV636="","",IF(COUNTIF(LISTS!$C$2:$C$250,$AU636)=0,"NEW",""))</f>
        <v/>
      </c>
      <c r="BA636" s="2" t="str">
        <f>IF(""&amp;$F636&lt;&gt;"4","",IF($AY636="YES","",IF(ROUND(SUMIFS($AE$2:$AE$4001,$L$2:$L$4001,$L636,$F$2:$F$4001,"4")-SUMIFS('AR SALES'!$Y$2:$Y$2501,'AR SALES'!$L$2:$L$2501,$L636,'AR SALES'!$AD$2:$AD$2501,"OFF"),2)=0,"","STALE")))</f>
        <v/>
      </c>
      <c r="BB636" s="2" t="str">
        <f>IF(OR(""&amp;$F636="2",""&amp;$F636="4",""&amp;$F636="G",""&amp;$F636="H"),IF($AY636="YES","",IF($AB636&lt;&gt;0,"",IF(COUNTIFS('AR SALES'!$L$2:$L$2501,$L636,'AR SALES'!$AD$2:$AD$2501,IF(""&amp;$F636="4","OFF","ON"),'AR SALES'!$AF$2:$AF$2501,"Y")&gt;0,"","NO EXEMPTION"))),"")</f>
        <v/>
      </c>
    </row>
    <row r="637" spans="46:54" x14ac:dyDescent="0.25">
      <c r="AT637" s="2" t="str">
        <f>IF($L637="","",IFERROR(INDEX('AR SALES'!$H$2:$H$2501,MATCH(""&amp;$L637,'AR SALES'!$AE$2:$AE$2501,0)),""))</f>
        <v/>
      </c>
      <c r="AU637" s="2" t="str">
        <f t="shared" si="36"/>
        <v/>
      </c>
      <c r="AV637" s="2" t="str">
        <f t="shared" si="37"/>
        <v/>
      </c>
      <c r="AW637" s="2" t="str">
        <f t="shared" si="38"/>
        <v/>
      </c>
      <c r="AX637" s="2" t="str">
        <f t="shared" si="39"/>
        <v/>
      </c>
      <c r="AY637" s="2" t="str">
        <f>IF($AV637="","",IF(AND($Z637=0,COUNTIF('AR SALES'!$L$2:$L$2501,$L637)=0),"YES",""))</f>
        <v/>
      </c>
      <c r="AZ637" s="2" t="str">
        <f>IF($AV637="","",IF(COUNTIF(LISTS!$C$2:$C$250,$AU637)=0,"NEW",""))</f>
        <v/>
      </c>
      <c r="BA637" s="2" t="str">
        <f>IF(""&amp;$F637&lt;&gt;"4","",IF($AY637="YES","",IF(ROUND(SUMIFS($AE$2:$AE$4001,$L$2:$L$4001,$L637,$F$2:$F$4001,"4")-SUMIFS('AR SALES'!$Y$2:$Y$2501,'AR SALES'!$L$2:$L$2501,$L637,'AR SALES'!$AD$2:$AD$2501,"OFF"),2)=0,"","STALE")))</f>
        <v/>
      </c>
      <c r="BB637" s="2" t="str">
        <f>IF(OR(""&amp;$F637="2",""&amp;$F637="4",""&amp;$F637="G",""&amp;$F637="H"),IF($AY637="YES","",IF($AB637&lt;&gt;0,"",IF(COUNTIFS('AR SALES'!$L$2:$L$2501,$L637,'AR SALES'!$AD$2:$AD$2501,IF(""&amp;$F637="4","OFF","ON"),'AR SALES'!$AF$2:$AF$2501,"Y")&gt;0,"","NO EXEMPTION"))),"")</f>
        <v/>
      </c>
    </row>
    <row r="638" spans="46:54" x14ac:dyDescent="0.25">
      <c r="AT638" s="2" t="str">
        <f>IF($L638="","",IFERROR(INDEX('AR SALES'!$H$2:$H$2501,MATCH(""&amp;$L638,'AR SALES'!$AE$2:$AE$2501,0)),""))</f>
        <v/>
      </c>
      <c r="AU638" s="2" t="str">
        <f t="shared" si="36"/>
        <v/>
      </c>
      <c r="AV638" s="2" t="str">
        <f t="shared" si="37"/>
        <v/>
      </c>
      <c r="AW638" s="2" t="str">
        <f t="shared" si="38"/>
        <v/>
      </c>
      <c r="AX638" s="2" t="str">
        <f t="shared" si="39"/>
        <v/>
      </c>
      <c r="AY638" s="2" t="str">
        <f>IF($AV638="","",IF(AND($Z638=0,COUNTIF('AR SALES'!$L$2:$L$2501,$L638)=0),"YES",""))</f>
        <v/>
      </c>
      <c r="AZ638" s="2" t="str">
        <f>IF($AV638="","",IF(COUNTIF(LISTS!$C$2:$C$250,$AU638)=0,"NEW",""))</f>
        <v/>
      </c>
      <c r="BA638" s="2" t="str">
        <f>IF(""&amp;$F638&lt;&gt;"4","",IF($AY638="YES","",IF(ROUND(SUMIFS($AE$2:$AE$4001,$L$2:$L$4001,$L638,$F$2:$F$4001,"4")-SUMIFS('AR SALES'!$Y$2:$Y$2501,'AR SALES'!$L$2:$L$2501,$L638,'AR SALES'!$AD$2:$AD$2501,"OFF"),2)=0,"","STALE")))</f>
        <v/>
      </c>
      <c r="BB638" s="2" t="str">
        <f>IF(OR(""&amp;$F638="2",""&amp;$F638="4",""&amp;$F638="G",""&amp;$F638="H"),IF($AY638="YES","",IF($AB638&lt;&gt;0,"",IF(COUNTIFS('AR SALES'!$L$2:$L$2501,$L638,'AR SALES'!$AD$2:$AD$2501,IF(""&amp;$F638="4","OFF","ON"),'AR SALES'!$AF$2:$AF$2501,"Y")&gt;0,"","NO EXEMPTION"))),"")</f>
        <v/>
      </c>
    </row>
    <row r="639" spans="46:54" x14ac:dyDescent="0.25">
      <c r="AT639" s="2" t="str">
        <f>IF($L639="","",IFERROR(INDEX('AR SALES'!$H$2:$H$2501,MATCH(""&amp;$L639,'AR SALES'!$AE$2:$AE$2501,0)),""))</f>
        <v/>
      </c>
      <c r="AU639" s="2" t="str">
        <f t="shared" si="36"/>
        <v/>
      </c>
      <c r="AV639" s="2" t="str">
        <f t="shared" si="37"/>
        <v/>
      </c>
      <c r="AW639" s="2" t="str">
        <f t="shared" si="38"/>
        <v/>
      </c>
      <c r="AX639" s="2" t="str">
        <f t="shared" si="39"/>
        <v/>
      </c>
      <c r="AY639" s="2" t="str">
        <f>IF($AV639="","",IF(AND($Z639=0,COUNTIF('AR SALES'!$L$2:$L$2501,$L639)=0),"YES",""))</f>
        <v/>
      </c>
      <c r="AZ639" s="2" t="str">
        <f>IF($AV639="","",IF(COUNTIF(LISTS!$C$2:$C$250,$AU639)=0,"NEW",""))</f>
        <v/>
      </c>
      <c r="BA639" s="2" t="str">
        <f>IF(""&amp;$F639&lt;&gt;"4","",IF($AY639="YES","",IF(ROUND(SUMIFS($AE$2:$AE$4001,$L$2:$L$4001,$L639,$F$2:$F$4001,"4")-SUMIFS('AR SALES'!$Y$2:$Y$2501,'AR SALES'!$L$2:$L$2501,$L639,'AR SALES'!$AD$2:$AD$2501,"OFF"),2)=0,"","STALE")))</f>
        <v/>
      </c>
      <c r="BB639" s="2" t="str">
        <f>IF(OR(""&amp;$F639="2",""&amp;$F639="4",""&amp;$F639="G",""&amp;$F639="H"),IF($AY639="YES","",IF($AB639&lt;&gt;0,"",IF(COUNTIFS('AR SALES'!$L$2:$L$2501,$L639,'AR SALES'!$AD$2:$AD$2501,IF(""&amp;$F639="4","OFF","ON"),'AR SALES'!$AF$2:$AF$2501,"Y")&gt;0,"","NO EXEMPTION"))),"")</f>
        <v/>
      </c>
    </row>
    <row r="640" spans="46:54" x14ac:dyDescent="0.25">
      <c r="AT640" s="2" t="str">
        <f>IF($L640="","",IFERROR(INDEX('AR SALES'!$H$2:$H$2501,MATCH(""&amp;$L640,'AR SALES'!$AE$2:$AE$2501,0)),""))</f>
        <v/>
      </c>
      <c r="AU640" s="2" t="str">
        <f t="shared" si="36"/>
        <v/>
      </c>
      <c r="AV640" s="2" t="str">
        <f t="shared" si="37"/>
        <v/>
      </c>
      <c r="AW640" s="2" t="str">
        <f t="shared" si="38"/>
        <v/>
      </c>
      <c r="AX640" s="2" t="str">
        <f t="shared" si="39"/>
        <v/>
      </c>
      <c r="AY640" s="2" t="str">
        <f>IF($AV640="","",IF(AND($Z640=0,COUNTIF('AR SALES'!$L$2:$L$2501,$L640)=0),"YES",""))</f>
        <v/>
      </c>
      <c r="AZ640" s="2" t="str">
        <f>IF($AV640="","",IF(COUNTIF(LISTS!$C$2:$C$250,$AU640)=0,"NEW",""))</f>
        <v/>
      </c>
      <c r="BA640" s="2" t="str">
        <f>IF(""&amp;$F640&lt;&gt;"4","",IF($AY640="YES","",IF(ROUND(SUMIFS($AE$2:$AE$4001,$L$2:$L$4001,$L640,$F$2:$F$4001,"4")-SUMIFS('AR SALES'!$Y$2:$Y$2501,'AR SALES'!$L$2:$L$2501,$L640,'AR SALES'!$AD$2:$AD$2501,"OFF"),2)=0,"","STALE")))</f>
        <v/>
      </c>
      <c r="BB640" s="2" t="str">
        <f>IF(OR(""&amp;$F640="2",""&amp;$F640="4",""&amp;$F640="G",""&amp;$F640="H"),IF($AY640="YES","",IF($AB640&lt;&gt;0,"",IF(COUNTIFS('AR SALES'!$L$2:$L$2501,$L640,'AR SALES'!$AD$2:$AD$2501,IF(""&amp;$F640="4","OFF","ON"),'AR SALES'!$AF$2:$AF$2501,"Y")&gt;0,"","NO EXEMPTION"))),"")</f>
        <v/>
      </c>
    </row>
    <row r="641" spans="46:54" x14ac:dyDescent="0.25">
      <c r="AT641" s="2" t="str">
        <f>IF($L641="","",IFERROR(INDEX('AR SALES'!$H$2:$H$2501,MATCH(""&amp;$L641,'AR SALES'!$AE$2:$AE$2501,0)),""))</f>
        <v/>
      </c>
      <c r="AU641" s="2" t="str">
        <f t="shared" si="36"/>
        <v/>
      </c>
      <c r="AV641" s="2" t="str">
        <f t="shared" si="37"/>
        <v/>
      </c>
      <c r="AW641" s="2" t="str">
        <f t="shared" si="38"/>
        <v/>
      </c>
      <c r="AX641" s="2" t="str">
        <f t="shared" si="39"/>
        <v/>
      </c>
      <c r="AY641" s="2" t="str">
        <f>IF($AV641="","",IF(AND($Z641=0,COUNTIF('AR SALES'!$L$2:$L$2501,$L641)=0),"YES",""))</f>
        <v/>
      </c>
      <c r="AZ641" s="2" t="str">
        <f>IF($AV641="","",IF(COUNTIF(LISTS!$C$2:$C$250,$AU641)=0,"NEW",""))</f>
        <v/>
      </c>
      <c r="BA641" s="2" t="str">
        <f>IF(""&amp;$F641&lt;&gt;"4","",IF($AY641="YES","",IF(ROUND(SUMIFS($AE$2:$AE$4001,$L$2:$L$4001,$L641,$F$2:$F$4001,"4")-SUMIFS('AR SALES'!$Y$2:$Y$2501,'AR SALES'!$L$2:$L$2501,$L641,'AR SALES'!$AD$2:$AD$2501,"OFF"),2)=0,"","STALE")))</f>
        <v/>
      </c>
      <c r="BB641" s="2" t="str">
        <f>IF(OR(""&amp;$F641="2",""&amp;$F641="4",""&amp;$F641="G",""&amp;$F641="H"),IF($AY641="YES","",IF($AB641&lt;&gt;0,"",IF(COUNTIFS('AR SALES'!$L$2:$L$2501,$L641,'AR SALES'!$AD$2:$AD$2501,IF(""&amp;$F641="4","OFF","ON"),'AR SALES'!$AF$2:$AF$2501,"Y")&gt;0,"","NO EXEMPTION"))),"")</f>
        <v/>
      </c>
    </row>
    <row r="642" spans="46:54" x14ac:dyDescent="0.25">
      <c r="AT642" s="2" t="str">
        <f>IF($L642="","",IFERROR(INDEX('AR SALES'!$H$2:$H$2501,MATCH(""&amp;$L642,'AR SALES'!$AE$2:$AE$2501,0)),""))</f>
        <v/>
      </c>
      <c r="AU642" s="2" t="str">
        <f t="shared" ref="AU642:AU705" si="40">IF($L642="","",IF($A642&lt;&gt;"GA","",IF($E642="FULTON",IF(ISNUMBER(SEARCH("COLLEGE PARK",$AT642)),"FULTON (COLLEGE PARK)",IF(ISNUMBER(SEARCH("ATLANTA CITY",$AT642)),"FULTON (ATL LIMITS)","FULTON")),IF($E642="DEKALB",IF(ISNUMBER(SEARCH("ATLANTA CITY",$AT642)),"DEKALB (ATL LIMITS)","DEKALB"),$E642))))</f>
        <v/>
      </c>
      <c r="AV642" s="2" t="str">
        <f t="shared" ref="AV642:AV705" si="41">IF($L642="","",IF(""&amp;$F642="2","DIESEL",IF(OR(""&amp;$F642="G",""&amp;$F642="H"),"GAS","")))</f>
        <v/>
      </c>
      <c r="AW642" s="2" t="str">
        <f t="shared" ref="AW642:AW705" si="42">IF($AV642="","",$R642)</f>
        <v/>
      </c>
      <c r="AX642" s="2" t="str">
        <f t="shared" ref="AX642:AX705" si="43">IF($AV642="","",IF($AB642=0,$R642,0))</f>
        <v/>
      </c>
      <c r="AY642" s="2" t="str">
        <f>IF($AV642="","",IF(AND($Z642=0,COUNTIF('AR SALES'!$L$2:$L$2501,$L642)=0),"YES",""))</f>
        <v/>
      </c>
      <c r="AZ642" s="2" t="str">
        <f>IF($AV642="","",IF(COUNTIF(LISTS!$C$2:$C$250,$AU642)=0,"NEW",""))</f>
        <v/>
      </c>
      <c r="BA642" s="2" t="str">
        <f>IF(""&amp;$F642&lt;&gt;"4","",IF($AY642="YES","",IF(ROUND(SUMIFS($AE$2:$AE$4001,$L$2:$L$4001,$L642,$F$2:$F$4001,"4")-SUMIFS('AR SALES'!$Y$2:$Y$2501,'AR SALES'!$L$2:$L$2501,$L642,'AR SALES'!$AD$2:$AD$2501,"OFF"),2)=0,"","STALE")))</f>
        <v/>
      </c>
      <c r="BB642" s="2" t="str">
        <f>IF(OR(""&amp;$F642="2",""&amp;$F642="4",""&amp;$F642="G",""&amp;$F642="H"),IF($AY642="YES","",IF($AB642&lt;&gt;0,"",IF(COUNTIFS('AR SALES'!$L$2:$L$2501,$L642,'AR SALES'!$AD$2:$AD$2501,IF(""&amp;$F642="4","OFF","ON"),'AR SALES'!$AF$2:$AF$2501,"Y")&gt;0,"","NO EXEMPTION"))),"")</f>
        <v/>
      </c>
    </row>
    <row r="643" spans="46:54" x14ac:dyDescent="0.25">
      <c r="AT643" s="2" t="str">
        <f>IF($L643="","",IFERROR(INDEX('AR SALES'!$H$2:$H$2501,MATCH(""&amp;$L643,'AR SALES'!$AE$2:$AE$2501,0)),""))</f>
        <v/>
      </c>
      <c r="AU643" s="2" t="str">
        <f t="shared" si="40"/>
        <v/>
      </c>
      <c r="AV643" s="2" t="str">
        <f t="shared" si="41"/>
        <v/>
      </c>
      <c r="AW643" s="2" t="str">
        <f t="shared" si="42"/>
        <v/>
      </c>
      <c r="AX643" s="2" t="str">
        <f t="shared" si="43"/>
        <v/>
      </c>
      <c r="AY643" s="2" t="str">
        <f>IF($AV643="","",IF(AND($Z643=0,COUNTIF('AR SALES'!$L$2:$L$2501,$L643)=0),"YES",""))</f>
        <v/>
      </c>
      <c r="AZ643" s="2" t="str">
        <f>IF($AV643="","",IF(COUNTIF(LISTS!$C$2:$C$250,$AU643)=0,"NEW",""))</f>
        <v/>
      </c>
      <c r="BA643" s="2" t="str">
        <f>IF(""&amp;$F643&lt;&gt;"4","",IF($AY643="YES","",IF(ROUND(SUMIFS($AE$2:$AE$4001,$L$2:$L$4001,$L643,$F$2:$F$4001,"4")-SUMIFS('AR SALES'!$Y$2:$Y$2501,'AR SALES'!$L$2:$L$2501,$L643,'AR SALES'!$AD$2:$AD$2501,"OFF"),2)=0,"","STALE")))</f>
        <v/>
      </c>
      <c r="BB643" s="2" t="str">
        <f>IF(OR(""&amp;$F643="2",""&amp;$F643="4",""&amp;$F643="G",""&amp;$F643="H"),IF($AY643="YES","",IF($AB643&lt;&gt;0,"",IF(COUNTIFS('AR SALES'!$L$2:$L$2501,$L643,'AR SALES'!$AD$2:$AD$2501,IF(""&amp;$F643="4","OFF","ON"),'AR SALES'!$AF$2:$AF$2501,"Y")&gt;0,"","NO EXEMPTION"))),"")</f>
        <v/>
      </c>
    </row>
    <row r="644" spans="46:54" x14ac:dyDescent="0.25">
      <c r="AT644" s="2" t="str">
        <f>IF($L644="","",IFERROR(INDEX('AR SALES'!$H$2:$H$2501,MATCH(""&amp;$L644,'AR SALES'!$AE$2:$AE$2501,0)),""))</f>
        <v/>
      </c>
      <c r="AU644" s="2" t="str">
        <f t="shared" si="40"/>
        <v/>
      </c>
      <c r="AV644" s="2" t="str">
        <f t="shared" si="41"/>
        <v/>
      </c>
      <c r="AW644" s="2" t="str">
        <f t="shared" si="42"/>
        <v/>
      </c>
      <c r="AX644" s="2" t="str">
        <f t="shared" si="43"/>
        <v/>
      </c>
      <c r="AY644" s="2" t="str">
        <f>IF($AV644="","",IF(AND($Z644=0,COUNTIF('AR SALES'!$L$2:$L$2501,$L644)=0),"YES",""))</f>
        <v/>
      </c>
      <c r="AZ644" s="2" t="str">
        <f>IF($AV644="","",IF(COUNTIF(LISTS!$C$2:$C$250,$AU644)=0,"NEW",""))</f>
        <v/>
      </c>
      <c r="BA644" s="2" t="str">
        <f>IF(""&amp;$F644&lt;&gt;"4","",IF($AY644="YES","",IF(ROUND(SUMIFS($AE$2:$AE$4001,$L$2:$L$4001,$L644,$F$2:$F$4001,"4")-SUMIFS('AR SALES'!$Y$2:$Y$2501,'AR SALES'!$L$2:$L$2501,$L644,'AR SALES'!$AD$2:$AD$2501,"OFF"),2)=0,"","STALE")))</f>
        <v/>
      </c>
      <c r="BB644" s="2" t="str">
        <f>IF(OR(""&amp;$F644="2",""&amp;$F644="4",""&amp;$F644="G",""&amp;$F644="H"),IF($AY644="YES","",IF($AB644&lt;&gt;0,"",IF(COUNTIFS('AR SALES'!$L$2:$L$2501,$L644,'AR SALES'!$AD$2:$AD$2501,IF(""&amp;$F644="4","OFF","ON"),'AR SALES'!$AF$2:$AF$2501,"Y")&gt;0,"","NO EXEMPTION"))),"")</f>
        <v/>
      </c>
    </row>
    <row r="645" spans="46:54" x14ac:dyDescent="0.25">
      <c r="AT645" s="2" t="str">
        <f>IF($L645="","",IFERROR(INDEX('AR SALES'!$H$2:$H$2501,MATCH(""&amp;$L645,'AR SALES'!$AE$2:$AE$2501,0)),""))</f>
        <v/>
      </c>
      <c r="AU645" s="2" t="str">
        <f t="shared" si="40"/>
        <v/>
      </c>
      <c r="AV645" s="2" t="str">
        <f t="shared" si="41"/>
        <v/>
      </c>
      <c r="AW645" s="2" t="str">
        <f t="shared" si="42"/>
        <v/>
      </c>
      <c r="AX645" s="2" t="str">
        <f t="shared" si="43"/>
        <v/>
      </c>
      <c r="AY645" s="2" t="str">
        <f>IF($AV645="","",IF(AND($Z645=0,COUNTIF('AR SALES'!$L$2:$L$2501,$L645)=0),"YES",""))</f>
        <v/>
      </c>
      <c r="AZ645" s="2" t="str">
        <f>IF($AV645="","",IF(COUNTIF(LISTS!$C$2:$C$250,$AU645)=0,"NEW",""))</f>
        <v/>
      </c>
      <c r="BA645" s="2" t="str">
        <f>IF(""&amp;$F645&lt;&gt;"4","",IF($AY645="YES","",IF(ROUND(SUMIFS($AE$2:$AE$4001,$L$2:$L$4001,$L645,$F$2:$F$4001,"4")-SUMIFS('AR SALES'!$Y$2:$Y$2501,'AR SALES'!$L$2:$L$2501,$L645,'AR SALES'!$AD$2:$AD$2501,"OFF"),2)=0,"","STALE")))</f>
        <v/>
      </c>
      <c r="BB645" s="2" t="str">
        <f>IF(OR(""&amp;$F645="2",""&amp;$F645="4",""&amp;$F645="G",""&amp;$F645="H"),IF($AY645="YES","",IF($AB645&lt;&gt;0,"",IF(COUNTIFS('AR SALES'!$L$2:$L$2501,$L645,'AR SALES'!$AD$2:$AD$2501,IF(""&amp;$F645="4","OFF","ON"),'AR SALES'!$AF$2:$AF$2501,"Y")&gt;0,"","NO EXEMPTION"))),"")</f>
        <v/>
      </c>
    </row>
    <row r="646" spans="46:54" x14ac:dyDescent="0.25">
      <c r="AT646" s="2" t="str">
        <f>IF($L646="","",IFERROR(INDEX('AR SALES'!$H$2:$H$2501,MATCH(""&amp;$L646,'AR SALES'!$AE$2:$AE$2501,0)),""))</f>
        <v/>
      </c>
      <c r="AU646" s="2" t="str">
        <f t="shared" si="40"/>
        <v/>
      </c>
      <c r="AV646" s="2" t="str">
        <f t="shared" si="41"/>
        <v/>
      </c>
      <c r="AW646" s="2" t="str">
        <f t="shared" si="42"/>
        <v/>
      </c>
      <c r="AX646" s="2" t="str">
        <f t="shared" si="43"/>
        <v/>
      </c>
      <c r="AY646" s="2" t="str">
        <f>IF($AV646="","",IF(AND($Z646=0,COUNTIF('AR SALES'!$L$2:$L$2501,$L646)=0),"YES",""))</f>
        <v/>
      </c>
      <c r="AZ646" s="2" t="str">
        <f>IF($AV646="","",IF(COUNTIF(LISTS!$C$2:$C$250,$AU646)=0,"NEW",""))</f>
        <v/>
      </c>
      <c r="BA646" s="2" t="str">
        <f>IF(""&amp;$F646&lt;&gt;"4","",IF($AY646="YES","",IF(ROUND(SUMIFS($AE$2:$AE$4001,$L$2:$L$4001,$L646,$F$2:$F$4001,"4")-SUMIFS('AR SALES'!$Y$2:$Y$2501,'AR SALES'!$L$2:$L$2501,$L646,'AR SALES'!$AD$2:$AD$2501,"OFF"),2)=0,"","STALE")))</f>
        <v/>
      </c>
      <c r="BB646" s="2" t="str">
        <f>IF(OR(""&amp;$F646="2",""&amp;$F646="4",""&amp;$F646="G",""&amp;$F646="H"),IF($AY646="YES","",IF($AB646&lt;&gt;0,"",IF(COUNTIFS('AR SALES'!$L$2:$L$2501,$L646,'AR SALES'!$AD$2:$AD$2501,IF(""&amp;$F646="4","OFF","ON"),'AR SALES'!$AF$2:$AF$2501,"Y")&gt;0,"","NO EXEMPTION"))),"")</f>
        <v/>
      </c>
    </row>
    <row r="647" spans="46:54" x14ac:dyDescent="0.25">
      <c r="AT647" s="2" t="str">
        <f>IF($L647="","",IFERROR(INDEX('AR SALES'!$H$2:$H$2501,MATCH(""&amp;$L647,'AR SALES'!$AE$2:$AE$2501,0)),""))</f>
        <v/>
      </c>
      <c r="AU647" s="2" t="str">
        <f t="shared" si="40"/>
        <v/>
      </c>
      <c r="AV647" s="2" t="str">
        <f t="shared" si="41"/>
        <v/>
      </c>
      <c r="AW647" s="2" t="str">
        <f t="shared" si="42"/>
        <v/>
      </c>
      <c r="AX647" s="2" t="str">
        <f t="shared" si="43"/>
        <v/>
      </c>
      <c r="AY647" s="2" t="str">
        <f>IF($AV647="","",IF(AND($Z647=0,COUNTIF('AR SALES'!$L$2:$L$2501,$L647)=0),"YES",""))</f>
        <v/>
      </c>
      <c r="AZ647" s="2" t="str">
        <f>IF($AV647="","",IF(COUNTIF(LISTS!$C$2:$C$250,$AU647)=0,"NEW",""))</f>
        <v/>
      </c>
      <c r="BA647" s="2" t="str">
        <f>IF(""&amp;$F647&lt;&gt;"4","",IF($AY647="YES","",IF(ROUND(SUMIFS($AE$2:$AE$4001,$L$2:$L$4001,$L647,$F$2:$F$4001,"4")-SUMIFS('AR SALES'!$Y$2:$Y$2501,'AR SALES'!$L$2:$L$2501,$L647,'AR SALES'!$AD$2:$AD$2501,"OFF"),2)=0,"","STALE")))</f>
        <v/>
      </c>
      <c r="BB647" s="2" t="str">
        <f>IF(OR(""&amp;$F647="2",""&amp;$F647="4",""&amp;$F647="G",""&amp;$F647="H"),IF($AY647="YES","",IF($AB647&lt;&gt;0,"",IF(COUNTIFS('AR SALES'!$L$2:$L$2501,$L647,'AR SALES'!$AD$2:$AD$2501,IF(""&amp;$F647="4","OFF","ON"),'AR SALES'!$AF$2:$AF$2501,"Y")&gt;0,"","NO EXEMPTION"))),"")</f>
        <v/>
      </c>
    </row>
    <row r="648" spans="46:54" x14ac:dyDescent="0.25">
      <c r="AT648" s="2" t="str">
        <f>IF($L648="","",IFERROR(INDEX('AR SALES'!$H$2:$H$2501,MATCH(""&amp;$L648,'AR SALES'!$AE$2:$AE$2501,0)),""))</f>
        <v/>
      </c>
      <c r="AU648" s="2" t="str">
        <f t="shared" si="40"/>
        <v/>
      </c>
      <c r="AV648" s="2" t="str">
        <f t="shared" si="41"/>
        <v/>
      </c>
      <c r="AW648" s="2" t="str">
        <f t="shared" si="42"/>
        <v/>
      </c>
      <c r="AX648" s="2" t="str">
        <f t="shared" si="43"/>
        <v/>
      </c>
      <c r="AY648" s="2" t="str">
        <f>IF($AV648="","",IF(AND($Z648=0,COUNTIF('AR SALES'!$L$2:$L$2501,$L648)=0),"YES",""))</f>
        <v/>
      </c>
      <c r="AZ648" s="2" t="str">
        <f>IF($AV648="","",IF(COUNTIF(LISTS!$C$2:$C$250,$AU648)=0,"NEW",""))</f>
        <v/>
      </c>
      <c r="BA648" s="2" t="str">
        <f>IF(""&amp;$F648&lt;&gt;"4","",IF($AY648="YES","",IF(ROUND(SUMIFS($AE$2:$AE$4001,$L$2:$L$4001,$L648,$F$2:$F$4001,"4")-SUMIFS('AR SALES'!$Y$2:$Y$2501,'AR SALES'!$L$2:$L$2501,$L648,'AR SALES'!$AD$2:$AD$2501,"OFF"),2)=0,"","STALE")))</f>
        <v/>
      </c>
      <c r="BB648" s="2" t="str">
        <f>IF(OR(""&amp;$F648="2",""&amp;$F648="4",""&amp;$F648="G",""&amp;$F648="H"),IF($AY648="YES","",IF($AB648&lt;&gt;0,"",IF(COUNTIFS('AR SALES'!$L$2:$L$2501,$L648,'AR SALES'!$AD$2:$AD$2501,IF(""&amp;$F648="4","OFF","ON"),'AR SALES'!$AF$2:$AF$2501,"Y")&gt;0,"","NO EXEMPTION"))),"")</f>
        <v/>
      </c>
    </row>
    <row r="649" spans="46:54" x14ac:dyDescent="0.25">
      <c r="AT649" s="2" t="str">
        <f>IF($L649="","",IFERROR(INDEX('AR SALES'!$H$2:$H$2501,MATCH(""&amp;$L649,'AR SALES'!$AE$2:$AE$2501,0)),""))</f>
        <v/>
      </c>
      <c r="AU649" s="2" t="str">
        <f t="shared" si="40"/>
        <v/>
      </c>
      <c r="AV649" s="2" t="str">
        <f t="shared" si="41"/>
        <v/>
      </c>
      <c r="AW649" s="2" t="str">
        <f t="shared" si="42"/>
        <v/>
      </c>
      <c r="AX649" s="2" t="str">
        <f t="shared" si="43"/>
        <v/>
      </c>
      <c r="AY649" s="2" t="str">
        <f>IF($AV649="","",IF(AND($Z649=0,COUNTIF('AR SALES'!$L$2:$L$2501,$L649)=0),"YES",""))</f>
        <v/>
      </c>
      <c r="AZ649" s="2" t="str">
        <f>IF($AV649="","",IF(COUNTIF(LISTS!$C$2:$C$250,$AU649)=0,"NEW",""))</f>
        <v/>
      </c>
      <c r="BA649" s="2" t="str">
        <f>IF(""&amp;$F649&lt;&gt;"4","",IF($AY649="YES","",IF(ROUND(SUMIFS($AE$2:$AE$4001,$L$2:$L$4001,$L649,$F$2:$F$4001,"4")-SUMIFS('AR SALES'!$Y$2:$Y$2501,'AR SALES'!$L$2:$L$2501,$L649,'AR SALES'!$AD$2:$AD$2501,"OFF"),2)=0,"","STALE")))</f>
        <v/>
      </c>
      <c r="BB649" s="2" t="str">
        <f>IF(OR(""&amp;$F649="2",""&amp;$F649="4",""&amp;$F649="G",""&amp;$F649="H"),IF($AY649="YES","",IF($AB649&lt;&gt;0,"",IF(COUNTIFS('AR SALES'!$L$2:$L$2501,$L649,'AR SALES'!$AD$2:$AD$2501,IF(""&amp;$F649="4","OFF","ON"),'AR SALES'!$AF$2:$AF$2501,"Y")&gt;0,"","NO EXEMPTION"))),"")</f>
        <v/>
      </c>
    </row>
    <row r="650" spans="46:54" x14ac:dyDescent="0.25">
      <c r="AT650" s="2" t="str">
        <f>IF($L650="","",IFERROR(INDEX('AR SALES'!$H$2:$H$2501,MATCH(""&amp;$L650,'AR SALES'!$AE$2:$AE$2501,0)),""))</f>
        <v/>
      </c>
      <c r="AU650" s="2" t="str">
        <f t="shared" si="40"/>
        <v/>
      </c>
      <c r="AV650" s="2" t="str">
        <f t="shared" si="41"/>
        <v/>
      </c>
      <c r="AW650" s="2" t="str">
        <f t="shared" si="42"/>
        <v/>
      </c>
      <c r="AX650" s="2" t="str">
        <f t="shared" si="43"/>
        <v/>
      </c>
      <c r="AY650" s="2" t="str">
        <f>IF($AV650="","",IF(AND($Z650=0,COUNTIF('AR SALES'!$L$2:$L$2501,$L650)=0),"YES",""))</f>
        <v/>
      </c>
      <c r="AZ650" s="2" t="str">
        <f>IF($AV650="","",IF(COUNTIF(LISTS!$C$2:$C$250,$AU650)=0,"NEW",""))</f>
        <v/>
      </c>
      <c r="BA650" s="2" t="str">
        <f>IF(""&amp;$F650&lt;&gt;"4","",IF($AY650="YES","",IF(ROUND(SUMIFS($AE$2:$AE$4001,$L$2:$L$4001,$L650,$F$2:$F$4001,"4")-SUMIFS('AR SALES'!$Y$2:$Y$2501,'AR SALES'!$L$2:$L$2501,$L650,'AR SALES'!$AD$2:$AD$2501,"OFF"),2)=0,"","STALE")))</f>
        <v/>
      </c>
      <c r="BB650" s="2" t="str">
        <f>IF(OR(""&amp;$F650="2",""&amp;$F650="4",""&amp;$F650="G",""&amp;$F650="H"),IF($AY650="YES","",IF($AB650&lt;&gt;0,"",IF(COUNTIFS('AR SALES'!$L$2:$L$2501,$L650,'AR SALES'!$AD$2:$AD$2501,IF(""&amp;$F650="4","OFF","ON"),'AR SALES'!$AF$2:$AF$2501,"Y")&gt;0,"","NO EXEMPTION"))),"")</f>
        <v/>
      </c>
    </row>
    <row r="651" spans="46:54" x14ac:dyDescent="0.25">
      <c r="AT651" s="2" t="str">
        <f>IF($L651="","",IFERROR(INDEX('AR SALES'!$H$2:$H$2501,MATCH(""&amp;$L651,'AR SALES'!$AE$2:$AE$2501,0)),""))</f>
        <v/>
      </c>
      <c r="AU651" s="2" t="str">
        <f t="shared" si="40"/>
        <v/>
      </c>
      <c r="AV651" s="2" t="str">
        <f t="shared" si="41"/>
        <v/>
      </c>
      <c r="AW651" s="2" t="str">
        <f t="shared" si="42"/>
        <v/>
      </c>
      <c r="AX651" s="2" t="str">
        <f t="shared" si="43"/>
        <v/>
      </c>
      <c r="AY651" s="2" t="str">
        <f>IF($AV651="","",IF(AND($Z651=0,COUNTIF('AR SALES'!$L$2:$L$2501,$L651)=0),"YES",""))</f>
        <v/>
      </c>
      <c r="AZ651" s="2" t="str">
        <f>IF($AV651="","",IF(COUNTIF(LISTS!$C$2:$C$250,$AU651)=0,"NEW",""))</f>
        <v/>
      </c>
      <c r="BA651" s="2" t="str">
        <f>IF(""&amp;$F651&lt;&gt;"4","",IF($AY651="YES","",IF(ROUND(SUMIFS($AE$2:$AE$4001,$L$2:$L$4001,$L651,$F$2:$F$4001,"4")-SUMIFS('AR SALES'!$Y$2:$Y$2501,'AR SALES'!$L$2:$L$2501,$L651,'AR SALES'!$AD$2:$AD$2501,"OFF"),2)=0,"","STALE")))</f>
        <v/>
      </c>
      <c r="BB651" s="2" t="str">
        <f>IF(OR(""&amp;$F651="2",""&amp;$F651="4",""&amp;$F651="G",""&amp;$F651="H"),IF($AY651="YES","",IF($AB651&lt;&gt;0,"",IF(COUNTIFS('AR SALES'!$L$2:$L$2501,$L651,'AR SALES'!$AD$2:$AD$2501,IF(""&amp;$F651="4","OFF","ON"),'AR SALES'!$AF$2:$AF$2501,"Y")&gt;0,"","NO EXEMPTION"))),"")</f>
        <v/>
      </c>
    </row>
    <row r="652" spans="46:54" x14ac:dyDescent="0.25">
      <c r="AT652" s="2" t="str">
        <f>IF($L652="","",IFERROR(INDEX('AR SALES'!$H$2:$H$2501,MATCH(""&amp;$L652,'AR SALES'!$AE$2:$AE$2501,0)),""))</f>
        <v/>
      </c>
      <c r="AU652" s="2" t="str">
        <f t="shared" si="40"/>
        <v/>
      </c>
      <c r="AV652" s="2" t="str">
        <f t="shared" si="41"/>
        <v/>
      </c>
      <c r="AW652" s="2" t="str">
        <f t="shared" si="42"/>
        <v/>
      </c>
      <c r="AX652" s="2" t="str">
        <f t="shared" si="43"/>
        <v/>
      </c>
      <c r="AY652" s="2" t="str">
        <f>IF($AV652="","",IF(AND($Z652=0,COUNTIF('AR SALES'!$L$2:$L$2501,$L652)=0),"YES",""))</f>
        <v/>
      </c>
      <c r="AZ652" s="2" t="str">
        <f>IF($AV652="","",IF(COUNTIF(LISTS!$C$2:$C$250,$AU652)=0,"NEW",""))</f>
        <v/>
      </c>
      <c r="BA652" s="2" t="str">
        <f>IF(""&amp;$F652&lt;&gt;"4","",IF($AY652="YES","",IF(ROUND(SUMIFS($AE$2:$AE$4001,$L$2:$L$4001,$L652,$F$2:$F$4001,"4")-SUMIFS('AR SALES'!$Y$2:$Y$2501,'AR SALES'!$L$2:$L$2501,$L652,'AR SALES'!$AD$2:$AD$2501,"OFF"),2)=0,"","STALE")))</f>
        <v/>
      </c>
      <c r="BB652" s="2" t="str">
        <f>IF(OR(""&amp;$F652="2",""&amp;$F652="4",""&amp;$F652="G",""&amp;$F652="H"),IF($AY652="YES","",IF($AB652&lt;&gt;0,"",IF(COUNTIFS('AR SALES'!$L$2:$L$2501,$L652,'AR SALES'!$AD$2:$AD$2501,IF(""&amp;$F652="4","OFF","ON"),'AR SALES'!$AF$2:$AF$2501,"Y")&gt;0,"","NO EXEMPTION"))),"")</f>
        <v/>
      </c>
    </row>
    <row r="653" spans="46:54" x14ac:dyDescent="0.25">
      <c r="AT653" s="2" t="str">
        <f>IF($L653="","",IFERROR(INDEX('AR SALES'!$H$2:$H$2501,MATCH(""&amp;$L653,'AR SALES'!$AE$2:$AE$2501,0)),""))</f>
        <v/>
      </c>
      <c r="AU653" s="2" t="str">
        <f t="shared" si="40"/>
        <v/>
      </c>
      <c r="AV653" s="2" t="str">
        <f t="shared" si="41"/>
        <v/>
      </c>
      <c r="AW653" s="2" t="str">
        <f t="shared" si="42"/>
        <v/>
      </c>
      <c r="AX653" s="2" t="str">
        <f t="shared" si="43"/>
        <v/>
      </c>
      <c r="AY653" s="2" t="str">
        <f>IF($AV653="","",IF(AND($Z653=0,COUNTIF('AR SALES'!$L$2:$L$2501,$L653)=0),"YES",""))</f>
        <v/>
      </c>
      <c r="AZ653" s="2" t="str">
        <f>IF($AV653="","",IF(COUNTIF(LISTS!$C$2:$C$250,$AU653)=0,"NEW",""))</f>
        <v/>
      </c>
      <c r="BA653" s="2" t="str">
        <f>IF(""&amp;$F653&lt;&gt;"4","",IF($AY653="YES","",IF(ROUND(SUMIFS($AE$2:$AE$4001,$L$2:$L$4001,$L653,$F$2:$F$4001,"4")-SUMIFS('AR SALES'!$Y$2:$Y$2501,'AR SALES'!$L$2:$L$2501,$L653,'AR SALES'!$AD$2:$AD$2501,"OFF"),2)=0,"","STALE")))</f>
        <v/>
      </c>
      <c r="BB653" s="2" t="str">
        <f>IF(OR(""&amp;$F653="2",""&amp;$F653="4",""&amp;$F653="G",""&amp;$F653="H"),IF($AY653="YES","",IF($AB653&lt;&gt;0,"",IF(COUNTIFS('AR SALES'!$L$2:$L$2501,$L653,'AR SALES'!$AD$2:$AD$2501,IF(""&amp;$F653="4","OFF","ON"),'AR SALES'!$AF$2:$AF$2501,"Y")&gt;0,"","NO EXEMPTION"))),"")</f>
        <v/>
      </c>
    </row>
    <row r="654" spans="46:54" x14ac:dyDescent="0.25">
      <c r="AT654" s="2" t="str">
        <f>IF($L654="","",IFERROR(INDEX('AR SALES'!$H$2:$H$2501,MATCH(""&amp;$L654,'AR SALES'!$AE$2:$AE$2501,0)),""))</f>
        <v/>
      </c>
      <c r="AU654" s="2" t="str">
        <f t="shared" si="40"/>
        <v/>
      </c>
      <c r="AV654" s="2" t="str">
        <f t="shared" si="41"/>
        <v/>
      </c>
      <c r="AW654" s="2" t="str">
        <f t="shared" si="42"/>
        <v/>
      </c>
      <c r="AX654" s="2" t="str">
        <f t="shared" si="43"/>
        <v/>
      </c>
      <c r="AY654" s="2" t="str">
        <f>IF($AV654="","",IF(AND($Z654=0,COUNTIF('AR SALES'!$L$2:$L$2501,$L654)=0),"YES",""))</f>
        <v/>
      </c>
      <c r="AZ654" s="2" t="str">
        <f>IF($AV654="","",IF(COUNTIF(LISTS!$C$2:$C$250,$AU654)=0,"NEW",""))</f>
        <v/>
      </c>
      <c r="BA654" s="2" t="str">
        <f>IF(""&amp;$F654&lt;&gt;"4","",IF($AY654="YES","",IF(ROUND(SUMIFS($AE$2:$AE$4001,$L$2:$L$4001,$L654,$F$2:$F$4001,"4")-SUMIFS('AR SALES'!$Y$2:$Y$2501,'AR SALES'!$L$2:$L$2501,$L654,'AR SALES'!$AD$2:$AD$2501,"OFF"),2)=0,"","STALE")))</f>
        <v/>
      </c>
      <c r="BB654" s="2" t="str">
        <f>IF(OR(""&amp;$F654="2",""&amp;$F654="4",""&amp;$F654="G",""&amp;$F654="H"),IF($AY654="YES","",IF($AB654&lt;&gt;0,"",IF(COUNTIFS('AR SALES'!$L$2:$L$2501,$L654,'AR SALES'!$AD$2:$AD$2501,IF(""&amp;$F654="4","OFF","ON"),'AR SALES'!$AF$2:$AF$2501,"Y")&gt;0,"","NO EXEMPTION"))),"")</f>
        <v/>
      </c>
    </row>
    <row r="655" spans="46:54" x14ac:dyDescent="0.25">
      <c r="AT655" s="2" t="str">
        <f>IF($L655="","",IFERROR(INDEX('AR SALES'!$H$2:$H$2501,MATCH(""&amp;$L655,'AR SALES'!$AE$2:$AE$2501,0)),""))</f>
        <v/>
      </c>
      <c r="AU655" s="2" t="str">
        <f t="shared" si="40"/>
        <v/>
      </c>
      <c r="AV655" s="2" t="str">
        <f t="shared" si="41"/>
        <v/>
      </c>
      <c r="AW655" s="2" t="str">
        <f t="shared" si="42"/>
        <v/>
      </c>
      <c r="AX655" s="2" t="str">
        <f t="shared" si="43"/>
        <v/>
      </c>
      <c r="AY655" s="2" t="str">
        <f>IF($AV655="","",IF(AND($Z655=0,COUNTIF('AR SALES'!$L$2:$L$2501,$L655)=0),"YES",""))</f>
        <v/>
      </c>
      <c r="AZ655" s="2" t="str">
        <f>IF($AV655="","",IF(COUNTIF(LISTS!$C$2:$C$250,$AU655)=0,"NEW",""))</f>
        <v/>
      </c>
      <c r="BA655" s="2" t="str">
        <f>IF(""&amp;$F655&lt;&gt;"4","",IF($AY655="YES","",IF(ROUND(SUMIFS($AE$2:$AE$4001,$L$2:$L$4001,$L655,$F$2:$F$4001,"4")-SUMIFS('AR SALES'!$Y$2:$Y$2501,'AR SALES'!$L$2:$L$2501,$L655,'AR SALES'!$AD$2:$AD$2501,"OFF"),2)=0,"","STALE")))</f>
        <v/>
      </c>
      <c r="BB655" s="2" t="str">
        <f>IF(OR(""&amp;$F655="2",""&amp;$F655="4",""&amp;$F655="G",""&amp;$F655="H"),IF($AY655="YES","",IF($AB655&lt;&gt;0,"",IF(COUNTIFS('AR SALES'!$L$2:$L$2501,$L655,'AR SALES'!$AD$2:$AD$2501,IF(""&amp;$F655="4","OFF","ON"),'AR SALES'!$AF$2:$AF$2501,"Y")&gt;0,"","NO EXEMPTION"))),"")</f>
        <v/>
      </c>
    </row>
    <row r="656" spans="46:54" x14ac:dyDescent="0.25">
      <c r="AT656" s="2" t="str">
        <f>IF($L656="","",IFERROR(INDEX('AR SALES'!$H$2:$H$2501,MATCH(""&amp;$L656,'AR SALES'!$AE$2:$AE$2501,0)),""))</f>
        <v/>
      </c>
      <c r="AU656" s="2" t="str">
        <f t="shared" si="40"/>
        <v/>
      </c>
      <c r="AV656" s="2" t="str">
        <f t="shared" si="41"/>
        <v/>
      </c>
      <c r="AW656" s="2" t="str">
        <f t="shared" si="42"/>
        <v/>
      </c>
      <c r="AX656" s="2" t="str">
        <f t="shared" si="43"/>
        <v/>
      </c>
      <c r="AY656" s="2" t="str">
        <f>IF($AV656="","",IF(AND($Z656=0,COUNTIF('AR SALES'!$L$2:$L$2501,$L656)=0),"YES",""))</f>
        <v/>
      </c>
      <c r="AZ656" s="2" t="str">
        <f>IF($AV656="","",IF(COUNTIF(LISTS!$C$2:$C$250,$AU656)=0,"NEW",""))</f>
        <v/>
      </c>
      <c r="BA656" s="2" t="str">
        <f>IF(""&amp;$F656&lt;&gt;"4","",IF($AY656="YES","",IF(ROUND(SUMIFS($AE$2:$AE$4001,$L$2:$L$4001,$L656,$F$2:$F$4001,"4")-SUMIFS('AR SALES'!$Y$2:$Y$2501,'AR SALES'!$L$2:$L$2501,$L656,'AR SALES'!$AD$2:$AD$2501,"OFF"),2)=0,"","STALE")))</f>
        <v/>
      </c>
      <c r="BB656" s="2" t="str">
        <f>IF(OR(""&amp;$F656="2",""&amp;$F656="4",""&amp;$F656="G",""&amp;$F656="H"),IF($AY656="YES","",IF($AB656&lt;&gt;0,"",IF(COUNTIFS('AR SALES'!$L$2:$L$2501,$L656,'AR SALES'!$AD$2:$AD$2501,IF(""&amp;$F656="4","OFF","ON"),'AR SALES'!$AF$2:$AF$2501,"Y")&gt;0,"","NO EXEMPTION"))),"")</f>
        <v/>
      </c>
    </row>
    <row r="657" spans="46:54" x14ac:dyDescent="0.25">
      <c r="AT657" s="2" t="str">
        <f>IF($L657="","",IFERROR(INDEX('AR SALES'!$H$2:$H$2501,MATCH(""&amp;$L657,'AR SALES'!$AE$2:$AE$2501,0)),""))</f>
        <v/>
      </c>
      <c r="AU657" s="2" t="str">
        <f t="shared" si="40"/>
        <v/>
      </c>
      <c r="AV657" s="2" t="str">
        <f t="shared" si="41"/>
        <v/>
      </c>
      <c r="AW657" s="2" t="str">
        <f t="shared" si="42"/>
        <v/>
      </c>
      <c r="AX657" s="2" t="str">
        <f t="shared" si="43"/>
        <v/>
      </c>
      <c r="AY657" s="2" t="str">
        <f>IF($AV657="","",IF(AND($Z657=0,COUNTIF('AR SALES'!$L$2:$L$2501,$L657)=0),"YES",""))</f>
        <v/>
      </c>
      <c r="AZ657" s="2" t="str">
        <f>IF($AV657="","",IF(COUNTIF(LISTS!$C$2:$C$250,$AU657)=0,"NEW",""))</f>
        <v/>
      </c>
      <c r="BA657" s="2" t="str">
        <f>IF(""&amp;$F657&lt;&gt;"4","",IF($AY657="YES","",IF(ROUND(SUMIFS($AE$2:$AE$4001,$L$2:$L$4001,$L657,$F$2:$F$4001,"4")-SUMIFS('AR SALES'!$Y$2:$Y$2501,'AR SALES'!$L$2:$L$2501,$L657,'AR SALES'!$AD$2:$AD$2501,"OFF"),2)=0,"","STALE")))</f>
        <v/>
      </c>
      <c r="BB657" s="2" t="str">
        <f>IF(OR(""&amp;$F657="2",""&amp;$F657="4",""&amp;$F657="G",""&amp;$F657="H"),IF($AY657="YES","",IF($AB657&lt;&gt;0,"",IF(COUNTIFS('AR SALES'!$L$2:$L$2501,$L657,'AR SALES'!$AD$2:$AD$2501,IF(""&amp;$F657="4","OFF","ON"),'AR SALES'!$AF$2:$AF$2501,"Y")&gt;0,"","NO EXEMPTION"))),"")</f>
        <v/>
      </c>
    </row>
    <row r="658" spans="46:54" x14ac:dyDescent="0.25">
      <c r="AT658" s="2" t="str">
        <f>IF($L658="","",IFERROR(INDEX('AR SALES'!$H$2:$H$2501,MATCH(""&amp;$L658,'AR SALES'!$AE$2:$AE$2501,0)),""))</f>
        <v/>
      </c>
      <c r="AU658" s="2" t="str">
        <f t="shared" si="40"/>
        <v/>
      </c>
      <c r="AV658" s="2" t="str">
        <f t="shared" si="41"/>
        <v/>
      </c>
      <c r="AW658" s="2" t="str">
        <f t="shared" si="42"/>
        <v/>
      </c>
      <c r="AX658" s="2" t="str">
        <f t="shared" si="43"/>
        <v/>
      </c>
      <c r="AY658" s="2" t="str">
        <f>IF($AV658="","",IF(AND($Z658=0,COUNTIF('AR SALES'!$L$2:$L$2501,$L658)=0),"YES",""))</f>
        <v/>
      </c>
      <c r="AZ658" s="2" t="str">
        <f>IF($AV658="","",IF(COUNTIF(LISTS!$C$2:$C$250,$AU658)=0,"NEW",""))</f>
        <v/>
      </c>
      <c r="BA658" s="2" t="str">
        <f>IF(""&amp;$F658&lt;&gt;"4","",IF($AY658="YES","",IF(ROUND(SUMIFS($AE$2:$AE$4001,$L$2:$L$4001,$L658,$F$2:$F$4001,"4")-SUMIFS('AR SALES'!$Y$2:$Y$2501,'AR SALES'!$L$2:$L$2501,$L658,'AR SALES'!$AD$2:$AD$2501,"OFF"),2)=0,"","STALE")))</f>
        <v/>
      </c>
      <c r="BB658" s="2" t="str">
        <f>IF(OR(""&amp;$F658="2",""&amp;$F658="4",""&amp;$F658="G",""&amp;$F658="H"),IF($AY658="YES","",IF($AB658&lt;&gt;0,"",IF(COUNTIFS('AR SALES'!$L$2:$L$2501,$L658,'AR SALES'!$AD$2:$AD$2501,IF(""&amp;$F658="4","OFF","ON"),'AR SALES'!$AF$2:$AF$2501,"Y")&gt;0,"","NO EXEMPTION"))),"")</f>
        <v/>
      </c>
    </row>
    <row r="659" spans="46:54" x14ac:dyDescent="0.25">
      <c r="AT659" s="2" t="str">
        <f>IF($L659="","",IFERROR(INDEX('AR SALES'!$H$2:$H$2501,MATCH(""&amp;$L659,'AR SALES'!$AE$2:$AE$2501,0)),""))</f>
        <v/>
      </c>
      <c r="AU659" s="2" t="str">
        <f t="shared" si="40"/>
        <v/>
      </c>
      <c r="AV659" s="2" t="str">
        <f t="shared" si="41"/>
        <v/>
      </c>
      <c r="AW659" s="2" t="str">
        <f t="shared" si="42"/>
        <v/>
      </c>
      <c r="AX659" s="2" t="str">
        <f t="shared" si="43"/>
        <v/>
      </c>
      <c r="AY659" s="2" t="str">
        <f>IF($AV659="","",IF(AND($Z659=0,COUNTIF('AR SALES'!$L$2:$L$2501,$L659)=0),"YES",""))</f>
        <v/>
      </c>
      <c r="AZ659" s="2" t="str">
        <f>IF($AV659="","",IF(COUNTIF(LISTS!$C$2:$C$250,$AU659)=0,"NEW",""))</f>
        <v/>
      </c>
      <c r="BA659" s="2" t="str">
        <f>IF(""&amp;$F659&lt;&gt;"4","",IF($AY659="YES","",IF(ROUND(SUMIFS($AE$2:$AE$4001,$L$2:$L$4001,$L659,$F$2:$F$4001,"4")-SUMIFS('AR SALES'!$Y$2:$Y$2501,'AR SALES'!$L$2:$L$2501,$L659,'AR SALES'!$AD$2:$AD$2501,"OFF"),2)=0,"","STALE")))</f>
        <v/>
      </c>
      <c r="BB659" s="2" t="str">
        <f>IF(OR(""&amp;$F659="2",""&amp;$F659="4",""&amp;$F659="G",""&amp;$F659="H"),IF($AY659="YES","",IF($AB659&lt;&gt;0,"",IF(COUNTIFS('AR SALES'!$L$2:$L$2501,$L659,'AR SALES'!$AD$2:$AD$2501,IF(""&amp;$F659="4","OFF","ON"),'AR SALES'!$AF$2:$AF$2501,"Y")&gt;0,"","NO EXEMPTION"))),"")</f>
        <v/>
      </c>
    </row>
    <row r="660" spans="46:54" x14ac:dyDescent="0.25">
      <c r="AT660" s="2" t="str">
        <f>IF($L660="","",IFERROR(INDEX('AR SALES'!$H$2:$H$2501,MATCH(""&amp;$L660,'AR SALES'!$AE$2:$AE$2501,0)),""))</f>
        <v/>
      </c>
      <c r="AU660" s="2" t="str">
        <f t="shared" si="40"/>
        <v/>
      </c>
      <c r="AV660" s="2" t="str">
        <f t="shared" si="41"/>
        <v/>
      </c>
      <c r="AW660" s="2" t="str">
        <f t="shared" si="42"/>
        <v/>
      </c>
      <c r="AX660" s="2" t="str">
        <f t="shared" si="43"/>
        <v/>
      </c>
      <c r="AY660" s="2" t="str">
        <f>IF($AV660="","",IF(AND($Z660=0,COUNTIF('AR SALES'!$L$2:$L$2501,$L660)=0),"YES",""))</f>
        <v/>
      </c>
      <c r="AZ660" s="2" t="str">
        <f>IF($AV660="","",IF(COUNTIF(LISTS!$C$2:$C$250,$AU660)=0,"NEW",""))</f>
        <v/>
      </c>
      <c r="BA660" s="2" t="str">
        <f>IF(""&amp;$F660&lt;&gt;"4","",IF($AY660="YES","",IF(ROUND(SUMIFS($AE$2:$AE$4001,$L$2:$L$4001,$L660,$F$2:$F$4001,"4")-SUMIFS('AR SALES'!$Y$2:$Y$2501,'AR SALES'!$L$2:$L$2501,$L660,'AR SALES'!$AD$2:$AD$2501,"OFF"),2)=0,"","STALE")))</f>
        <v/>
      </c>
      <c r="BB660" s="2" t="str">
        <f>IF(OR(""&amp;$F660="2",""&amp;$F660="4",""&amp;$F660="G",""&amp;$F660="H"),IF($AY660="YES","",IF($AB660&lt;&gt;0,"",IF(COUNTIFS('AR SALES'!$L$2:$L$2501,$L660,'AR SALES'!$AD$2:$AD$2501,IF(""&amp;$F660="4","OFF","ON"),'AR SALES'!$AF$2:$AF$2501,"Y")&gt;0,"","NO EXEMPTION"))),"")</f>
        <v/>
      </c>
    </row>
    <row r="661" spans="46:54" x14ac:dyDescent="0.25">
      <c r="AT661" s="2" t="str">
        <f>IF($L661="","",IFERROR(INDEX('AR SALES'!$H$2:$H$2501,MATCH(""&amp;$L661,'AR SALES'!$AE$2:$AE$2501,0)),""))</f>
        <v/>
      </c>
      <c r="AU661" s="2" t="str">
        <f t="shared" si="40"/>
        <v/>
      </c>
      <c r="AV661" s="2" t="str">
        <f t="shared" si="41"/>
        <v/>
      </c>
      <c r="AW661" s="2" t="str">
        <f t="shared" si="42"/>
        <v/>
      </c>
      <c r="AX661" s="2" t="str">
        <f t="shared" si="43"/>
        <v/>
      </c>
      <c r="AY661" s="2" t="str">
        <f>IF($AV661="","",IF(AND($Z661=0,COUNTIF('AR SALES'!$L$2:$L$2501,$L661)=0),"YES",""))</f>
        <v/>
      </c>
      <c r="AZ661" s="2" t="str">
        <f>IF($AV661="","",IF(COUNTIF(LISTS!$C$2:$C$250,$AU661)=0,"NEW",""))</f>
        <v/>
      </c>
      <c r="BA661" s="2" t="str">
        <f>IF(""&amp;$F661&lt;&gt;"4","",IF($AY661="YES","",IF(ROUND(SUMIFS($AE$2:$AE$4001,$L$2:$L$4001,$L661,$F$2:$F$4001,"4")-SUMIFS('AR SALES'!$Y$2:$Y$2501,'AR SALES'!$L$2:$L$2501,$L661,'AR SALES'!$AD$2:$AD$2501,"OFF"),2)=0,"","STALE")))</f>
        <v/>
      </c>
      <c r="BB661" s="2" t="str">
        <f>IF(OR(""&amp;$F661="2",""&amp;$F661="4",""&amp;$F661="G",""&amp;$F661="H"),IF($AY661="YES","",IF($AB661&lt;&gt;0,"",IF(COUNTIFS('AR SALES'!$L$2:$L$2501,$L661,'AR SALES'!$AD$2:$AD$2501,IF(""&amp;$F661="4","OFF","ON"),'AR SALES'!$AF$2:$AF$2501,"Y")&gt;0,"","NO EXEMPTION"))),"")</f>
        <v/>
      </c>
    </row>
    <row r="662" spans="46:54" x14ac:dyDescent="0.25">
      <c r="AT662" s="2" t="str">
        <f>IF($L662="","",IFERROR(INDEX('AR SALES'!$H$2:$H$2501,MATCH(""&amp;$L662,'AR SALES'!$AE$2:$AE$2501,0)),""))</f>
        <v/>
      </c>
      <c r="AU662" s="2" t="str">
        <f t="shared" si="40"/>
        <v/>
      </c>
      <c r="AV662" s="2" t="str">
        <f t="shared" si="41"/>
        <v/>
      </c>
      <c r="AW662" s="2" t="str">
        <f t="shared" si="42"/>
        <v/>
      </c>
      <c r="AX662" s="2" t="str">
        <f t="shared" si="43"/>
        <v/>
      </c>
      <c r="AY662" s="2" t="str">
        <f>IF($AV662="","",IF(AND($Z662=0,COUNTIF('AR SALES'!$L$2:$L$2501,$L662)=0),"YES",""))</f>
        <v/>
      </c>
      <c r="AZ662" s="2" t="str">
        <f>IF($AV662="","",IF(COUNTIF(LISTS!$C$2:$C$250,$AU662)=0,"NEW",""))</f>
        <v/>
      </c>
      <c r="BA662" s="2" t="str">
        <f>IF(""&amp;$F662&lt;&gt;"4","",IF($AY662="YES","",IF(ROUND(SUMIFS($AE$2:$AE$4001,$L$2:$L$4001,$L662,$F$2:$F$4001,"4")-SUMIFS('AR SALES'!$Y$2:$Y$2501,'AR SALES'!$L$2:$L$2501,$L662,'AR SALES'!$AD$2:$AD$2501,"OFF"),2)=0,"","STALE")))</f>
        <v/>
      </c>
      <c r="BB662" s="2" t="str">
        <f>IF(OR(""&amp;$F662="2",""&amp;$F662="4",""&amp;$F662="G",""&amp;$F662="H"),IF($AY662="YES","",IF($AB662&lt;&gt;0,"",IF(COUNTIFS('AR SALES'!$L$2:$L$2501,$L662,'AR SALES'!$AD$2:$AD$2501,IF(""&amp;$F662="4","OFF","ON"),'AR SALES'!$AF$2:$AF$2501,"Y")&gt;0,"","NO EXEMPTION"))),"")</f>
        <v/>
      </c>
    </row>
    <row r="663" spans="46:54" x14ac:dyDescent="0.25">
      <c r="AT663" s="2" t="str">
        <f>IF($L663="","",IFERROR(INDEX('AR SALES'!$H$2:$H$2501,MATCH(""&amp;$L663,'AR SALES'!$AE$2:$AE$2501,0)),""))</f>
        <v/>
      </c>
      <c r="AU663" s="2" t="str">
        <f t="shared" si="40"/>
        <v/>
      </c>
      <c r="AV663" s="2" t="str">
        <f t="shared" si="41"/>
        <v/>
      </c>
      <c r="AW663" s="2" t="str">
        <f t="shared" si="42"/>
        <v/>
      </c>
      <c r="AX663" s="2" t="str">
        <f t="shared" si="43"/>
        <v/>
      </c>
      <c r="AY663" s="2" t="str">
        <f>IF($AV663="","",IF(AND($Z663=0,COUNTIF('AR SALES'!$L$2:$L$2501,$L663)=0),"YES",""))</f>
        <v/>
      </c>
      <c r="AZ663" s="2" t="str">
        <f>IF($AV663="","",IF(COUNTIF(LISTS!$C$2:$C$250,$AU663)=0,"NEW",""))</f>
        <v/>
      </c>
      <c r="BA663" s="2" t="str">
        <f>IF(""&amp;$F663&lt;&gt;"4","",IF($AY663="YES","",IF(ROUND(SUMIFS($AE$2:$AE$4001,$L$2:$L$4001,$L663,$F$2:$F$4001,"4")-SUMIFS('AR SALES'!$Y$2:$Y$2501,'AR SALES'!$L$2:$L$2501,$L663,'AR SALES'!$AD$2:$AD$2501,"OFF"),2)=0,"","STALE")))</f>
        <v/>
      </c>
      <c r="BB663" s="2" t="str">
        <f>IF(OR(""&amp;$F663="2",""&amp;$F663="4",""&amp;$F663="G",""&amp;$F663="H"),IF($AY663="YES","",IF($AB663&lt;&gt;0,"",IF(COUNTIFS('AR SALES'!$L$2:$L$2501,$L663,'AR SALES'!$AD$2:$AD$2501,IF(""&amp;$F663="4","OFF","ON"),'AR SALES'!$AF$2:$AF$2501,"Y")&gt;0,"","NO EXEMPTION"))),"")</f>
        <v/>
      </c>
    </row>
    <row r="664" spans="46:54" x14ac:dyDescent="0.25">
      <c r="AT664" s="2" t="str">
        <f>IF($L664="","",IFERROR(INDEX('AR SALES'!$H$2:$H$2501,MATCH(""&amp;$L664,'AR SALES'!$AE$2:$AE$2501,0)),""))</f>
        <v/>
      </c>
      <c r="AU664" s="2" t="str">
        <f t="shared" si="40"/>
        <v/>
      </c>
      <c r="AV664" s="2" t="str">
        <f t="shared" si="41"/>
        <v/>
      </c>
      <c r="AW664" s="2" t="str">
        <f t="shared" si="42"/>
        <v/>
      </c>
      <c r="AX664" s="2" t="str">
        <f t="shared" si="43"/>
        <v/>
      </c>
      <c r="AY664" s="2" t="str">
        <f>IF($AV664="","",IF(AND($Z664=0,COUNTIF('AR SALES'!$L$2:$L$2501,$L664)=0),"YES",""))</f>
        <v/>
      </c>
      <c r="AZ664" s="2" t="str">
        <f>IF($AV664="","",IF(COUNTIF(LISTS!$C$2:$C$250,$AU664)=0,"NEW",""))</f>
        <v/>
      </c>
      <c r="BA664" s="2" t="str">
        <f>IF(""&amp;$F664&lt;&gt;"4","",IF($AY664="YES","",IF(ROUND(SUMIFS($AE$2:$AE$4001,$L$2:$L$4001,$L664,$F$2:$F$4001,"4")-SUMIFS('AR SALES'!$Y$2:$Y$2501,'AR SALES'!$L$2:$L$2501,$L664,'AR SALES'!$AD$2:$AD$2501,"OFF"),2)=0,"","STALE")))</f>
        <v/>
      </c>
      <c r="BB664" s="2" t="str">
        <f>IF(OR(""&amp;$F664="2",""&amp;$F664="4",""&amp;$F664="G",""&amp;$F664="H"),IF($AY664="YES","",IF($AB664&lt;&gt;0,"",IF(COUNTIFS('AR SALES'!$L$2:$L$2501,$L664,'AR SALES'!$AD$2:$AD$2501,IF(""&amp;$F664="4","OFF","ON"),'AR SALES'!$AF$2:$AF$2501,"Y")&gt;0,"","NO EXEMPTION"))),"")</f>
        <v/>
      </c>
    </row>
    <row r="665" spans="46:54" x14ac:dyDescent="0.25">
      <c r="AT665" s="2" t="str">
        <f>IF($L665="","",IFERROR(INDEX('AR SALES'!$H$2:$H$2501,MATCH(""&amp;$L665,'AR SALES'!$AE$2:$AE$2501,0)),""))</f>
        <v/>
      </c>
      <c r="AU665" s="2" t="str">
        <f t="shared" si="40"/>
        <v/>
      </c>
      <c r="AV665" s="2" t="str">
        <f t="shared" si="41"/>
        <v/>
      </c>
      <c r="AW665" s="2" t="str">
        <f t="shared" si="42"/>
        <v/>
      </c>
      <c r="AX665" s="2" t="str">
        <f t="shared" si="43"/>
        <v/>
      </c>
      <c r="AY665" s="2" t="str">
        <f>IF($AV665="","",IF(AND($Z665=0,COUNTIF('AR SALES'!$L$2:$L$2501,$L665)=0),"YES",""))</f>
        <v/>
      </c>
      <c r="AZ665" s="2" t="str">
        <f>IF($AV665="","",IF(COUNTIF(LISTS!$C$2:$C$250,$AU665)=0,"NEW",""))</f>
        <v/>
      </c>
      <c r="BA665" s="2" t="str">
        <f>IF(""&amp;$F665&lt;&gt;"4","",IF($AY665="YES","",IF(ROUND(SUMIFS($AE$2:$AE$4001,$L$2:$L$4001,$L665,$F$2:$F$4001,"4")-SUMIFS('AR SALES'!$Y$2:$Y$2501,'AR SALES'!$L$2:$L$2501,$L665,'AR SALES'!$AD$2:$AD$2501,"OFF"),2)=0,"","STALE")))</f>
        <v/>
      </c>
      <c r="BB665" s="2" t="str">
        <f>IF(OR(""&amp;$F665="2",""&amp;$F665="4",""&amp;$F665="G",""&amp;$F665="H"),IF($AY665="YES","",IF($AB665&lt;&gt;0,"",IF(COUNTIFS('AR SALES'!$L$2:$L$2501,$L665,'AR SALES'!$AD$2:$AD$2501,IF(""&amp;$F665="4","OFF","ON"),'AR SALES'!$AF$2:$AF$2501,"Y")&gt;0,"","NO EXEMPTION"))),"")</f>
        <v/>
      </c>
    </row>
    <row r="666" spans="46:54" x14ac:dyDescent="0.25">
      <c r="AT666" s="2" t="str">
        <f>IF($L666="","",IFERROR(INDEX('AR SALES'!$H$2:$H$2501,MATCH(""&amp;$L666,'AR SALES'!$AE$2:$AE$2501,0)),""))</f>
        <v/>
      </c>
      <c r="AU666" s="2" t="str">
        <f t="shared" si="40"/>
        <v/>
      </c>
      <c r="AV666" s="2" t="str">
        <f t="shared" si="41"/>
        <v/>
      </c>
      <c r="AW666" s="2" t="str">
        <f t="shared" si="42"/>
        <v/>
      </c>
      <c r="AX666" s="2" t="str">
        <f t="shared" si="43"/>
        <v/>
      </c>
      <c r="AY666" s="2" t="str">
        <f>IF($AV666="","",IF(AND($Z666=0,COUNTIF('AR SALES'!$L$2:$L$2501,$L666)=0),"YES",""))</f>
        <v/>
      </c>
      <c r="AZ666" s="2" t="str">
        <f>IF($AV666="","",IF(COUNTIF(LISTS!$C$2:$C$250,$AU666)=0,"NEW",""))</f>
        <v/>
      </c>
      <c r="BA666" s="2" t="str">
        <f>IF(""&amp;$F666&lt;&gt;"4","",IF($AY666="YES","",IF(ROUND(SUMIFS($AE$2:$AE$4001,$L$2:$L$4001,$L666,$F$2:$F$4001,"4")-SUMIFS('AR SALES'!$Y$2:$Y$2501,'AR SALES'!$L$2:$L$2501,$L666,'AR SALES'!$AD$2:$AD$2501,"OFF"),2)=0,"","STALE")))</f>
        <v/>
      </c>
      <c r="BB666" s="2" t="str">
        <f>IF(OR(""&amp;$F666="2",""&amp;$F666="4",""&amp;$F666="G",""&amp;$F666="H"),IF($AY666="YES","",IF($AB666&lt;&gt;0,"",IF(COUNTIFS('AR SALES'!$L$2:$L$2501,$L666,'AR SALES'!$AD$2:$AD$2501,IF(""&amp;$F666="4","OFF","ON"),'AR SALES'!$AF$2:$AF$2501,"Y")&gt;0,"","NO EXEMPTION"))),"")</f>
        <v/>
      </c>
    </row>
    <row r="667" spans="46:54" x14ac:dyDescent="0.25">
      <c r="AT667" s="2" t="str">
        <f>IF($L667="","",IFERROR(INDEX('AR SALES'!$H$2:$H$2501,MATCH(""&amp;$L667,'AR SALES'!$AE$2:$AE$2501,0)),""))</f>
        <v/>
      </c>
      <c r="AU667" s="2" t="str">
        <f t="shared" si="40"/>
        <v/>
      </c>
      <c r="AV667" s="2" t="str">
        <f t="shared" si="41"/>
        <v/>
      </c>
      <c r="AW667" s="2" t="str">
        <f t="shared" si="42"/>
        <v/>
      </c>
      <c r="AX667" s="2" t="str">
        <f t="shared" si="43"/>
        <v/>
      </c>
      <c r="AY667" s="2" t="str">
        <f>IF($AV667="","",IF(AND($Z667=0,COUNTIF('AR SALES'!$L$2:$L$2501,$L667)=0),"YES",""))</f>
        <v/>
      </c>
      <c r="AZ667" s="2" t="str">
        <f>IF($AV667="","",IF(COUNTIF(LISTS!$C$2:$C$250,$AU667)=0,"NEW",""))</f>
        <v/>
      </c>
      <c r="BA667" s="2" t="str">
        <f>IF(""&amp;$F667&lt;&gt;"4","",IF($AY667="YES","",IF(ROUND(SUMIFS($AE$2:$AE$4001,$L$2:$L$4001,$L667,$F$2:$F$4001,"4")-SUMIFS('AR SALES'!$Y$2:$Y$2501,'AR SALES'!$L$2:$L$2501,$L667,'AR SALES'!$AD$2:$AD$2501,"OFF"),2)=0,"","STALE")))</f>
        <v/>
      </c>
      <c r="BB667" s="2" t="str">
        <f>IF(OR(""&amp;$F667="2",""&amp;$F667="4",""&amp;$F667="G",""&amp;$F667="H"),IF($AY667="YES","",IF($AB667&lt;&gt;0,"",IF(COUNTIFS('AR SALES'!$L$2:$L$2501,$L667,'AR SALES'!$AD$2:$AD$2501,IF(""&amp;$F667="4","OFF","ON"),'AR SALES'!$AF$2:$AF$2501,"Y")&gt;0,"","NO EXEMPTION"))),"")</f>
        <v/>
      </c>
    </row>
    <row r="668" spans="46:54" x14ac:dyDescent="0.25">
      <c r="AT668" s="2" t="str">
        <f>IF($L668="","",IFERROR(INDEX('AR SALES'!$H$2:$H$2501,MATCH(""&amp;$L668,'AR SALES'!$AE$2:$AE$2501,0)),""))</f>
        <v/>
      </c>
      <c r="AU668" s="2" t="str">
        <f t="shared" si="40"/>
        <v/>
      </c>
      <c r="AV668" s="2" t="str">
        <f t="shared" si="41"/>
        <v/>
      </c>
      <c r="AW668" s="2" t="str">
        <f t="shared" si="42"/>
        <v/>
      </c>
      <c r="AX668" s="2" t="str">
        <f t="shared" si="43"/>
        <v/>
      </c>
      <c r="AY668" s="2" t="str">
        <f>IF($AV668="","",IF(AND($Z668=0,COUNTIF('AR SALES'!$L$2:$L$2501,$L668)=0),"YES",""))</f>
        <v/>
      </c>
      <c r="AZ668" s="2" t="str">
        <f>IF($AV668="","",IF(COUNTIF(LISTS!$C$2:$C$250,$AU668)=0,"NEW",""))</f>
        <v/>
      </c>
      <c r="BA668" s="2" t="str">
        <f>IF(""&amp;$F668&lt;&gt;"4","",IF($AY668="YES","",IF(ROUND(SUMIFS($AE$2:$AE$4001,$L$2:$L$4001,$L668,$F$2:$F$4001,"4")-SUMIFS('AR SALES'!$Y$2:$Y$2501,'AR SALES'!$L$2:$L$2501,$L668,'AR SALES'!$AD$2:$AD$2501,"OFF"),2)=0,"","STALE")))</f>
        <v/>
      </c>
      <c r="BB668" s="2" t="str">
        <f>IF(OR(""&amp;$F668="2",""&amp;$F668="4",""&amp;$F668="G",""&amp;$F668="H"),IF($AY668="YES","",IF($AB668&lt;&gt;0,"",IF(COUNTIFS('AR SALES'!$L$2:$L$2501,$L668,'AR SALES'!$AD$2:$AD$2501,IF(""&amp;$F668="4","OFF","ON"),'AR SALES'!$AF$2:$AF$2501,"Y")&gt;0,"","NO EXEMPTION"))),"")</f>
        <v/>
      </c>
    </row>
    <row r="669" spans="46:54" x14ac:dyDescent="0.25">
      <c r="AT669" s="2" t="str">
        <f>IF($L669="","",IFERROR(INDEX('AR SALES'!$H$2:$H$2501,MATCH(""&amp;$L669,'AR SALES'!$AE$2:$AE$2501,0)),""))</f>
        <v/>
      </c>
      <c r="AU669" s="2" t="str">
        <f t="shared" si="40"/>
        <v/>
      </c>
      <c r="AV669" s="2" t="str">
        <f t="shared" si="41"/>
        <v/>
      </c>
      <c r="AW669" s="2" t="str">
        <f t="shared" si="42"/>
        <v/>
      </c>
      <c r="AX669" s="2" t="str">
        <f t="shared" si="43"/>
        <v/>
      </c>
      <c r="AY669" s="2" t="str">
        <f>IF($AV669="","",IF(AND($Z669=0,COUNTIF('AR SALES'!$L$2:$L$2501,$L669)=0),"YES",""))</f>
        <v/>
      </c>
      <c r="AZ669" s="2" t="str">
        <f>IF($AV669="","",IF(COUNTIF(LISTS!$C$2:$C$250,$AU669)=0,"NEW",""))</f>
        <v/>
      </c>
      <c r="BA669" s="2" t="str">
        <f>IF(""&amp;$F669&lt;&gt;"4","",IF($AY669="YES","",IF(ROUND(SUMIFS($AE$2:$AE$4001,$L$2:$L$4001,$L669,$F$2:$F$4001,"4")-SUMIFS('AR SALES'!$Y$2:$Y$2501,'AR SALES'!$L$2:$L$2501,$L669,'AR SALES'!$AD$2:$AD$2501,"OFF"),2)=0,"","STALE")))</f>
        <v/>
      </c>
      <c r="BB669" s="2" t="str">
        <f>IF(OR(""&amp;$F669="2",""&amp;$F669="4",""&amp;$F669="G",""&amp;$F669="H"),IF($AY669="YES","",IF($AB669&lt;&gt;0,"",IF(COUNTIFS('AR SALES'!$L$2:$L$2501,$L669,'AR SALES'!$AD$2:$AD$2501,IF(""&amp;$F669="4","OFF","ON"),'AR SALES'!$AF$2:$AF$2501,"Y")&gt;0,"","NO EXEMPTION"))),"")</f>
        <v/>
      </c>
    </row>
    <row r="670" spans="46:54" x14ac:dyDescent="0.25">
      <c r="AT670" s="2" t="str">
        <f>IF($L670="","",IFERROR(INDEX('AR SALES'!$H$2:$H$2501,MATCH(""&amp;$L670,'AR SALES'!$AE$2:$AE$2501,0)),""))</f>
        <v/>
      </c>
      <c r="AU670" s="2" t="str">
        <f t="shared" si="40"/>
        <v/>
      </c>
      <c r="AV670" s="2" t="str">
        <f t="shared" si="41"/>
        <v/>
      </c>
      <c r="AW670" s="2" t="str">
        <f t="shared" si="42"/>
        <v/>
      </c>
      <c r="AX670" s="2" t="str">
        <f t="shared" si="43"/>
        <v/>
      </c>
      <c r="AY670" s="2" t="str">
        <f>IF($AV670="","",IF(AND($Z670=0,COUNTIF('AR SALES'!$L$2:$L$2501,$L670)=0),"YES",""))</f>
        <v/>
      </c>
      <c r="AZ670" s="2" t="str">
        <f>IF($AV670="","",IF(COUNTIF(LISTS!$C$2:$C$250,$AU670)=0,"NEW",""))</f>
        <v/>
      </c>
      <c r="BA670" s="2" t="str">
        <f>IF(""&amp;$F670&lt;&gt;"4","",IF($AY670="YES","",IF(ROUND(SUMIFS($AE$2:$AE$4001,$L$2:$L$4001,$L670,$F$2:$F$4001,"4")-SUMIFS('AR SALES'!$Y$2:$Y$2501,'AR SALES'!$L$2:$L$2501,$L670,'AR SALES'!$AD$2:$AD$2501,"OFF"),2)=0,"","STALE")))</f>
        <v/>
      </c>
      <c r="BB670" s="2" t="str">
        <f>IF(OR(""&amp;$F670="2",""&amp;$F670="4",""&amp;$F670="G",""&amp;$F670="H"),IF($AY670="YES","",IF($AB670&lt;&gt;0,"",IF(COUNTIFS('AR SALES'!$L$2:$L$2501,$L670,'AR SALES'!$AD$2:$AD$2501,IF(""&amp;$F670="4","OFF","ON"),'AR SALES'!$AF$2:$AF$2501,"Y")&gt;0,"","NO EXEMPTION"))),"")</f>
        <v/>
      </c>
    </row>
    <row r="671" spans="46:54" x14ac:dyDescent="0.25">
      <c r="AT671" s="2" t="str">
        <f>IF($L671="","",IFERROR(INDEX('AR SALES'!$H$2:$H$2501,MATCH(""&amp;$L671,'AR SALES'!$AE$2:$AE$2501,0)),""))</f>
        <v/>
      </c>
      <c r="AU671" s="2" t="str">
        <f t="shared" si="40"/>
        <v/>
      </c>
      <c r="AV671" s="2" t="str">
        <f t="shared" si="41"/>
        <v/>
      </c>
      <c r="AW671" s="2" t="str">
        <f t="shared" si="42"/>
        <v/>
      </c>
      <c r="AX671" s="2" t="str">
        <f t="shared" si="43"/>
        <v/>
      </c>
      <c r="AY671" s="2" t="str">
        <f>IF($AV671="","",IF(AND($Z671=0,COUNTIF('AR SALES'!$L$2:$L$2501,$L671)=0),"YES",""))</f>
        <v/>
      </c>
      <c r="AZ671" s="2" t="str">
        <f>IF($AV671="","",IF(COUNTIF(LISTS!$C$2:$C$250,$AU671)=0,"NEW",""))</f>
        <v/>
      </c>
      <c r="BA671" s="2" t="str">
        <f>IF(""&amp;$F671&lt;&gt;"4","",IF($AY671="YES","",IF(ROUND(SUMIFS($AE$2:$AE$4001,$L$2:$L$4001,$L671,$F$2:$F$4001,"4")-SUMIFS('AR SALES'!$Y$2:$Y$2501,'AR SALES'!$L$2:$L$2501,$L671,'AR SALES'!$AD$2:$AD$2501,"OFF"),2)=0,"","STALE")))</f>
        <v/>
      </c>
      <c r="BB671" s="2" t="str">
        <f>IF(OR(""&amp;$F671="2",""&amp;$F671="4",""&amp;$F671="G",""&amp;$F671="H"),IF($AY671="YES","",IF($AB671&lt;&gt;0,"",IF(COUNTIFS('AR SALES'!$L$2:$L$2501,$L671,'AR SALES'!$AD$2:$AD$2501,IF(""&amp;$F671="4","OFF","ON"),'AR SALES'!$AF$2:$AF$2501,"Y")&gt;0,"","NO EXEMPTION"))),"")</f>
        <v/>
      </c>
    </row>
    <row r="672" spans="46:54" x14ac:dyDescent="0.25">
      <c r="AT672" s="2" t="str">
        <f>IF($L672="","",IFERROR(INDEX('AR SALES'!$H$2:$H$2501,MATCH(""&amp;$L672,'AR SALES'!$AE$2:$AE$2501,0)),""))</f>
        <v/>
      </c>
      <c r="AU672" s="2" t="str">
        <f t="shared" si="40"/>
        <v/>
      </c>
      <c r="AV672" s="2" t="str">
        <f t="shared" si="41"/>
        <v/>
      </c>
      <c r="AW672" s="2" t="str">
        <f t="shared" si="42"/>
        <v/>
      </c>
      <c r="AX672" s="2" t="str">
        <f t="shared" si="43"/>
        <v/>
      </c>
      <c r="AY672" s="2" t="str">
        <f>IF($AV672="","",IF(AND($Z672=0,COUNTIF('AR SALES'!$L$2:$L$2501,$L672)=0),"YES",""))</f>
        <v/>
      </c>
      <c r="AZ672" s="2" t="str">
        <f>IF($AV672="","",IF(COUNTIF(LISTS!$C$2:$C$250,$AU672)=0,"NEW",""))</f>
        <v/>
      </c>
      <c r="BA672" s="2" t="str">
        <f>IF(""&amp;$F672&lt;&gt;"4","",IF($AY672="YES","",IF(ROUND(SUMIFS($AE$2:$AE$4001,$L$2:$L$4001,$L672,$F$2:$F$4001,"4")-SUMIFS('AR SALES'!$Y$2:$Y$2501,'AR SALES'!$L$2:$L$2501,$L672,'AR SALES'!$AD$2:$AD$2501,"OFF"),2)=0,"","STALE")))</f>
        <v/>
      </c>
      <c r="BB672" s="2" t="str">
        <f>IF(OR(""&amp;$F672="2",""&amp;$F672="4",""&amp;$F672="G",""&amp;$F672="H"),IF($AY672="YES","",IF($AB672&lt;&gt;0,"",IF(COUNTIFS('AR SALES'!$L$2:$L$2501,$L672,'AR SALES'!$AD$2:$AD$2501,IF(""&amp;$F672="4","OFF","ON"),'AR SALES'!$AF$2:$AF$2501,"Y")&gt;0,"","NO EXEMPTION"))),"")</f>
        <v/>
      </c>
    </row>
    <row r="673" spans="46:54" x14ac:dyDescent="0.25">
      <c r="AT673" s="2" t="str">
        <f>IF($L673="","",IFERROR(INDEX('AR SALES'!$H$2:$H$2501,MATCH(""&amp;$L673,'AR SALES'!$AE$2:$AE$2501,0)),""))</f>
        <v/>
      </c>
      <c r="AU673" s="2" t="str">
        <f t="shared" si="40"/>
        <v/>
      </c>
      <c r="AV673" s="2" t="str">
        <f t="shared" si="41"/>
        <v/>
      </c>
      <c r="AW673" s="2" t="str">
        <f t="shared" si="42"/>
        <v/>
      </c>
      <c r="AX673" s="2" t="str">
        <f t="shared" si="43"/>
        <v/>
      </c>
      <c r="AY673" s="2" t="str">
        <f>IF($AV673="","",IF(AND($Z673=0,COUNTIF('AR SALES'!$L$2:$L$2501,$L673)=0),"YES",""))</f>
        <v/>
      </c>
      <c r="AZ673" s="2" t="str">
        <f>IF($AV673="","",IF(COUNTIF(LISTS!$C$2:$C$250,$AU673)=0,"NEW",""))</f>
        <v/>
      </c>
      <c r="BA673" s="2" t="str">
        <f>IF(""&amp;$F673&lt;&gt;"4","",IF($AY673="YES","",IF(ROUND(SUMIFS($AE$2:$AE$4001,$L$2:$L$4001,$L673,$F$2:$F$4001,"4")-SUMIFS('AR SALES'!$Y$2:$Y$2501,'AR SALES'!$L$2:$L$2501,$L673,'AR SALES'!$AD$2:$AD$2501,"OFF"),2)=0,"","STALE")))</f>
        <v/>
      </c>
      <c r="BB673" s="2" t="str">
        <f>IF(OR(""&amp;$F673="2",""&amp;$F673="4",""&amp;$F673="G",""&amp;$F673="H"),IF($AY673="YES","",IF($AB673&lt;&gt;0,"",IF(COUNTIFS('AR SALES'!$L$2:$L$2501,$L673,'AR SALES'!$AD$2:$AD$2501,IF(""&amp;$F673="4","OFF","ON"),'AR SALES'!$AF$2:$AF$2501,"Y")&gt;0,"","NO EXEMPTION"))),"")</f>
        <v/>
      </c>
    </row>
    <row r="674" spans="46:54" x14ac:dyDescent="0.25">
      <c r="AT674" s="2" t="str">
        <f>IF($L674="","",IFERROR(INDEX('AR SALES'!$H$2:$H$2501,MATCH(""&amp;$L674,'AR SALES'!$AE$2:$AE$2501,0)),""))</f>
        <v/>
      </c>
      <c r="AU674" s="2" t="str">
        <f t="shared" si="40"/>
        <v/>
      </c>
      <c r="AV674" s="2" t="str">
        <f t="shared" si="41"/>
        <v/>
      </c>
      <c r="AW674" s="2" t="str">
        <f t="shared" si="42"/>
        <v/>
      </c>
      <c r="AX674" s="2" t="str">
        <f t="shared" si="43"/>
        <v/>
      </c>
      <c r="AY674" s="2" t="str">
        <f>IF($AV674="","",IF(AND($Z674=0,COUNTIF('AR SALES'!$L$2:$L$2501,$L674)=0),"YES",""))</f>
        <v/>
      </c>
      <c r="AZ674" s="2" t="str">
        <f>IF($AV674="","",IF(COUNTIF(LISTS!$C$2:$C$250,$AU674)=0,"NEW",""))</f>
        <v/>
      </c>
      <c r="BA674" s="2" t="str">
        <f>IF(""&amp;$F674&lt;&gt;"4","",IF($AY674="YES","",IF(ROUND(SUMIFS($AE$2:$AE$4001,$L$2:$L$4001,$L674,$F$2:$F$4001,"4")-SUMIFS('AR SALES'!$Y$2:$Y$2501,'AR SALES'!$L$2:$L$2501,$L674,'AR SALES'!$AD$2:$AD$2501,"OFF"),2)=0,"","STALE")))</f>
        <v/>
      </c>
      <c r="BB674" s="2" t="str">
        <f>IF(OR(""&amp;$F674="2",""&amp;$F674="4",""&amp;$F674="G",""&amp;$F674="H"),IF($AY674="YES","",IF($AB674&lt;&gt;0,"",IF(COUNTIFS('AR SALES'!$L$2:$L$2501,$L674,'AR SALES'!$AD$2:$AD$2501,IF(""&amp;$F674="4","OFF","ON"),'AR SALES'!$AF$2:$AF$2501,"Y")&gt;0,"","NO EXEMPTION"))),"")</f>
        <v/>
      </c>
    </row>
    <row r="675" spans="46:54" x14ac:dyDescent="0.25">
      <c r="AT675" s="2" t="str">
        <f>IF($L675="","",IFERROR(INDEX('AR SALES'!$H$2:$H$2501,MATCH(""&amp;$L675,'AR SALES'!$AE$2:$AE$2501,0)),""))</f>
        <v/>
      </c>
      <c r="AU675" s="2" t="str">
        <f t="shared" si="40"/>
        <v/>
      </c>
      <c r="AV675" s="2" t="str">
        <f t="shared" si="41"/>
        <v/>
      </c>
      <c r="AW675" s="2" t="str">
        <f t="shared" si="42"/>
        <v/>
      </c>
      <c r="AX675" s="2" t="str">
        <f t="shared" si="43"/>
        <v/>
      </c>
      <c r="AY675" s="2" t="str">
        <f>IF($AV675="","",IF(AND($Z675=0,COUNTIF('AR SALES'!$L$2:$L$2501,$L675)=0),"YES",""))</f>
        <v/>
      </c>
      <c r="AZ675" s="2" t="str">
        <f>IF($AV675="","",IF(COUNTIF(LISTS!$C$2:$C$250,$AU675)=0,"NEW",""))</f>
        <v/>
      </c>
      <c r="BA675" s="2" t="str">
        <f>IF(""&amp;$F675&lt;&gt;"4","",IF($AY675="YES","",IF(ROUND(SUMIFS($AE$2:$AE$4001,$L$2:$L$4001,$L675,$F$2:$F$4001,"4")-SUMIFS('AR SALES'!$Y$2:$Y$2501,'AR SALES'!$L$2:$L$2501,$L675,'AR SALES'!$AD$2:$AD$2501,"OFF"),2)=0,"","STALE")))</f>
        <v/>
      </c>
      <c r="BB675" s="2" t="str">
        <f>IF(OR(""&amp;$F675="2",""&amp;$F675="4",""&amp;$F675="G",""&amp;$F675="H"),IF($AY675="YES","",IF($AB675&lt;&gt;0,"",IF(COUNTIFS('AR SALES'!$L$2:$L$2501,$L675,'AR SALES'!$AD$2:$AD$2501,IF(""&amp;$F675="4","OFF","ON"),'AR SALES'!$AF$2:$AF$2501,"Y")&gt;0,"","NO EXEMPTION"))),"")</f>
        <v/>
      </c>
    </row>
    <row r="676" spans="46:54" x14ac:dyDescent="0.25">
      <c r="AT676" s="2" t="str">
        <f>IF($L676="","",IFERROR(INDEX('AR SALES'!$H$2:$H$2501,MATCH(""&amp;$L676,'AR SALES'!$AE$2:$AE$2501,0)),""))</f>
        <v/>
      </c>
      <c r="AU676" s="2" t="str">
        <f t="shared" si="40"/>
        <v/>
      </c>
      <c r="AV676" s="2" t="str">
        <f t="shared" si="41"/>
        <v/>
      </c>
      <c r="AW676" s="2" t="str">
        <f t="shared" si="42"/>
        <v/>
      </c>
      <c r="AX676" s="2" t="str">
        <f t="shared" si="43"/>
        <v/>
      </c>
      <c r="AY676" s="2" t="str">
        <f>IF($AV676="","",IF(AND($Z676=0,COUNTIF('AR SALES'!$L$2:$L$2501,$L676)=0),"YES",""))</f>
        <v/>
      </c>
      <c r="AZ676" s="2" t="str">
        <f>IF($AV676="","",IF(COUNTIF(LISTS!$C$2:$C$250,$AU676)=0,"NEW",""))</f>
        <v/>
      </c>
      <c r="BA676" s="2" t="str">
        <f>IF(""&amp;$F676&lt;&gt;"4","",IF($AY676="YES","",IF(ROUND(SUMIFS($AE$2:$AE$4001,$L$2:$L$4001,$L676,$F$2:$F$4001,"4")-SUMIFS('AR SALES'!$Y$2:$Y$2501,'AR SALES'!$L$2:$L$2501,$L676,'AR SALES'!$AD$2:$AD$2501,"OFF"),2)=0,"","STALE")))</f>
        <v/>
      </c>
      <c r="BB676" s="2" t="str">
        <f>IF(OR(""&amp;$F676="2",""&amp;$F676="4",""&amp;$F676="G",""&amp;$F676="H"),IF($AY676="YES","",IF($AB676&lt;&gt;0,"",IF(COUNTIFS('AR SALES'!$L$2:$L$2501,$L676,'AR SALES'!$AD$2:$AD$2501,IF(""&amp;$F676="4","OFF","ON"),'AR SALES'!$AF$2:$AF$2501,"Y")&gt;0,"","NO EXEMPTION"))),"")</f>
        <v/>
      </c>
    </row>
    <row r="677" spans="46:54" x14ac:dyDescent="0.25">
      <c r="AT677" s="2" t="str">
        <f>IF($L677="","",IFERROR(INDEX('AR SALES'!$H$2:$H$2501,MATCH(""&amp;$L677,'AR SALES'!$AE$2:$AE$2501,0)),""))</f>
        <v/>
      </c>
      <c r="AU677" s="2" t="str">
        <f t="shared" si="40"/>
        <v/>
      </c>
      <c r="AV677" s="2" t="str">
        <f t="shared" si="41"/>
        <v/>
      </c>
      <c r="AW677" s="2" t="str">
        <f t="shared" si="42"/>
        <v/>
      </c>
      <c r="AX677" s="2" t="str">
        <f t="shared" si="43"/>
        <v/>
      </c>
      <c r="AY677" s="2" t="str">
        <f>IF($AV677="","",IF(AND($Z677=0,COUNTIF('AR SALES'!$L$2:$L$2501,$L677)=0),"YES",""))</f>
        <v/>
      </c>
      <c r="AZ677" s="2" t="str">
        <f>IF($AV677="","",IF(COUNTIF(LISTS!$C$2:$C$250,$AU677)=0,"NEW",""))</f>
        <v/>
      </c>
      <c r="BA677" s="2" t="str">
        <f>IF(""&amp;$F677&lt;&gt;"4","",IF($AY677="YES","",IF(ROUND(SUMIFS($AE$2:$AE$4001,$L$2:$L$4001,$L677,$F$2:$F$4001,"4")-SUMIFS('AR SALES'!$Y$2:$Y$2501,'AR SALES'!$L$2:$L$2501,$L677,'AR SALES'!$AD$2:$AD$2501,"OFF"),2)=0,"","STALE")))</f>
        <v/>
      </c>
      <c r="BB677" s="2" t="str">
        <f>IF(OR(""&amp;$F677="2",""&amp;$F677="4",""&amp;$F677="G",""&amp;$F677="H"),IF($AY677="YES","",IF($AB677&lt;&gt;0,"",IF(COUNTIFS('AR SALES'!$L$2:$L$2501,$L677,'AR SALES'!$AD$2:$AD$2501,IF(""&amp;$F677="4","OFF","ON"),'AR SALES'!$AF$2:$AF$2501,"Y")&gt;0,"","NO EXEMPTION"))),"")</f>
        <v/>
      </c>
    </row>
    <row r="678" spans="46:54" x14ac:dyDescent="0.25">
      <c r="AT678" s="2" t="str">
        <f>IF($L678="","",IFERROR(INDEX('AR SALES'!$H$2:$H$2501,MATCH(""&amp;$L678,'AR SALES'!$AE$2:$AE$2501,0)),""))</f>
        <v/>
      </c>
      <c r="AU678" s="2" t="str">
        <f t="shared" si="40"/>
        <v/>
      </c>
      <c r="AV678" s="2" t="str">
        <f t="shared" si="41"/>
        <v/>
      </c>
      <c r="AW678" s="2" t="str">
        <f t="shared" si="42"/>
        <v/>
      </c>
      <c r="AX678" s="2" t="str">
        <f t="shared" si="43"/>
        <v/>
      </c>
      <c r="AY678" s="2" t="str">
        <f>IF($AV678="","",IF(AND($Z678=0,COUNTIF('AR SALES'!$L$2:$L$2501,$L678)=0),"YES",""))</f>
        <v/>
      </c>
      <c r="AZ678" s="2" t="str">
        <f>IF($AV678="","",IF(COUNTIF(LISTS!$C$2:$C$250,$AU678)=0,"NEW",""))</f>
        <v/>
      </c>
      <c r="BA678" s="2" t="str">
        <f>IF(""&amp;$F678&lt;&gt;"4","",IF($AY678="YES","",IF(ROUND(SUMIFS($AE$2:$AE$4001,$L$2:$L$4001,$L678,$F$2:$F$4001,"4")-SUMIFS('AR SALES'!$Y$2:$Y$2501,'AR SALES'!$L$2:$L$2501,$L678,'AR SALES'!$AD$2:$AD$2501,"OFF"),2)=0,"","STALE")))</f>
        <v/>
      </c>
      <c r="BB678" s="2" t="str">
        <f>IF(OR(""&amp;$F678="2",""&amp;$F678="4",""&amp;$F678="G",""&amp;$F678="H"),IF($AY678="YES","",IF($AB678&lt;&gt;0,"",IF(COUNTIFS('AR SALES'!$L$2:$L$2501,$L678,'AR SALES'!$AD$2:$AD$2501,IF(""&amp;$F678="4","OFF","ON"),'AR SALES'!$AF$2:$AF$2501,"Y")&gt;0,"","NO EXEMPTION"))),"")</f>
        <v/>
      </c>
    </row>
    <row r="679" spans="46:54" x14ac:dyDescent="0.25">
      <c r="AT679" s="2" t="str">
        <f>IF($L679="","",IFERROR(INDEX('AR SALES'!$H$2:$H$2501,MATCH(""&amp;$L679,'AR SALES'!$AE$2:$AE$2501,0)),""))</f>
        <v/>
      </c>
      <c r="AU679" s="2" t="str">
        <f t="shared" si="40"/>
        <v/>
      </c>
      <c r="AV679" s="2" t="str">
        <f t="shared" si="41"/>
        <v/>
      </c>
      <c r="AW679" s="2" t="str">
        <f t="shared" si="42"/>
        <v/>
      </c>
      <c r="AX679" s="2" t="str">
        <f t="shared" si="43"/>
        <v/>
      </c>
      <c r="AY679" s="2" t="str">
        <f>IF($AV679="","",IF(AND($Z679=0,COUNTIF('AR SALES'!$L$2:$L$2501,$L679)=0),"YES",""))</f>
        <v/>
      </c>
      <c r="AZ679" s="2" t="str">
        <f>IF($AV679="","",IF(COUNTIF(LISTS!$C$2:$C$250,$AU679)=0,"NEW",""))</f>
        <v/>
      </c>
      <c r="BA679" s="2" t="str">
        <f>IF(""&amp;$F679&lt;&gt;"4","",IF($AY679="YES","",IF(ROUND(SUMIFS($AE$2:$AE$4001,$L$2:$L$4001,$L679,$F$2:$F$4001,"4")-SUMIFS('AR SALES'!$Y$2:$Y$2501,'AR SALES'!$L$2:$L$2501,$L679,'AR SALES'!$AD$2:$AD$2501,"OFF"),2)=0,"","STALE")))</f>
        <v/>
      </c>
      <c r="BB679" s="2" t="str">
        <f>IF(OR(""&amp;$F679="2",""&amp;$F679="4",""&amp;$F679="G",""&amp;$F679="H"),IF($AY679="YES","",IF($AB679&lt;&gt;0,"",IF(COUNTIFS('AR SALES'!$L$2:$L$2501,$L679,'AR SALES'!$AD$2:$AD$2501,IF(""&amp;$F679="4","OFF","ON"),'AR SALES'!$AF$2:$AF$2501,"Y")&gt;0,"","NO EXEMPTION"))),"")</f>
        <v/>
      </c>
    </row>
    <row r="680" spans="46:54" x14ac:dyDescent="0.25">
      <c r="AT680" s="2" t="str">
        <f>IF($L680="","",IFERROR(INDEX('AR SALES'!$H$2:$H$2501,MATCH(""&amp;$L680,'AR SALES'!$AE$2:$AE$2501,0)),""))</f>
        <v/>
      </c>
      <c r="AU680" s="2" t="str">
        <f t="shared" si="40"/>
        <v/>
      </c>
      <c r="AV680" s="2" t="str">
        <f t="shared" si="41"/>
        <v/>
      </c>
      <c r="AW680" s="2" t="str">
        <f t="shared" si="42"/>
        <v/>
      </c>
      <c r="AX680" s="2" t="str">
        <f t="shared" si="43"/>
        <v/>
      </c>
      <c r="AY680" s="2" t="str">
        <f>IF($AV680="","",IF(AND($Z680=0,COUNTIF('AR SALES'!$L$2:$L$2501,$L680)=0),"YES",""))</f>
        <v/>
      </c>
      <c r="AZ680" s="2" t="str">
        <f>IF($AV680="","",IF(COUNTIF(LISTS!$C$2:$C$250,$AU680)=0,"NEW",""))</f>
        <v/>
      </c>
      <c r="BA680" s="2" t="str">
        <f>IF(""&amp;$F680&lt;&gt;"4","",IF($AY680="YES","",IF(ROUND(SUMIFS($AE$2:$AE$4001,$L$2:$L$4001,$L680,$F$2:$F$4001,"4")-SUMIFS('AR SALES'!$Y$2:$Y$2501,'AR SALES'!$L$2:$L$2501,$L680,'AR SALES'!$AD$2:$AD$2501,"OFF"),2)=0,"","STALE")))</f>
        <v/>
      </c>
      <c r="BB680" s="2" t="str">
        <f>IF(OR(""&amp;$F680="2",""&amp;$F680="4",""&amp;$F680="G",""&amp;$F680="H"),IF($AY680="YES","",IF($AB680&lt;&gt;0,"",IF(COUNTIFS('AR SALES'!$L$2:$L$2501,$L680,'AR SALES'!$AD$2:$AD$2501,IF(""&amp;$F680="4","OFF","ON"),'AR SALES'!$AF$2:$AF$2501,"Y")&gt;0,"","NO EXEMPTION"))),"")</f>
        <v/>
      </c>
    </row>
    <row r="681" spans="46:54" x14ac:dyDescent="0.25">
      <c r="AT681" s="2" t="str">
        <f>IF($L681="","",IFERROR(INDEX('AR SALES'!$H$2:$H$2501,MATCH(""&amp;$L681,'AR SALES'!$AE$2:$AE$2501,0)),""))</f>
        <v/>
      </c>
      <c r="AU681" s="2" t="str">
        <f t="shared" si="40"/>
        <v/>
      </c>
      <c r="AV681" s="2" t="str">
        <f t="shared" si="41"/>
        <v/>
      </c>
      <c r="AW681" s="2" t="str">
        <f t="shared" si="42"/>
        <v/>
      </c>
      <c r="AX681" s="2" t="str">
        <f t="shared" si="43"/>
        <v/>
      </c>
      <c r="AY681" s="2" t="str">
        <f>IF($AV681="","",IF(AND($Z681=0,COUNTIF('AR SALES'!$L$2:$L$2501,$L681)=0),"YES",""))</f>
        <v/>
      </c>
      <c r="AZ681" s="2" t="str">
        <f>IF($AV681="","",IF(COUNTIF(LISTS!$C$2:$C$250,$AU681)=0,"NEW",""))</f>
        <v/>
      </c>
      <c r="BA681" s="2" t="str">
        <f>IF(""&amp;$F681&lt;&gt;"4","",IF($AY681="YES","",IF(ROUND(SUMIFS($AE$2:$AE$4001,$L$2:$L$4001,$L681,$F$2:$F$4001,"4")-SUMIFS('AR SALES'!$Y$2:$Y$2501,'AR SALES'!$L$2:$L$2501,$L681,'AR SALES'!$AD$2:$AD$2501,"OFF"),2)=0,"","STALE")))</f>
        <v/>
      </c>
      <c r="BB681" s="2" t="str">
        <f>IF(OR(""&amp;$F681="2",""&amp;$F681="4",""&amp;$F681="G",""&amp;$F681="H"),IF($AY681="YES","",IF($AB681&lt;&gt;0,"",IF(COUNTIFS('AR SALES'!$L$2:$L$2501,$L681,'AR SALES'!$AD$2:$AD$2501,IF(""&amp;$F681="4","OFF","ON"),'AR SALES'!$AF$2:$AF$2501,"Y")&gt;0,"","NO EXEMPTION"))),"")</f>
        <v/>
      </c>
    </row>
    <row r="682" spans="46:54" x14ac:dyDescent="0.25">
      <c r="AT682" s="2" t="str">
        <f>IF($L682="","",IFERROR(INDEX('AR SALES'!$H$2:$H$2501,MATCH(""&amp;$L682,'AR SALES'!$AE$2:$AE$2501,0)),""))</f>
        <v/>
      </c>
      <c r="AU682" s="2" t="str">
        <f t="shared" si="40"/>
        <v/>
      </c>
      <c r="AV682" s="2" t="str">
        <f t="shared" si="41"/>
        <v/>
      </c>
      <c r="AW682" s="2" t="str">
        <f t="shared" si="42"/>
        <v/>
      </c>
      <c r="AX682" s="2" t="str">
        <f t="shared" si="43"/>
        <v/>
      </c>
      <c r="AY682" s="2" t="str">
        <f>IF($AV682="","",IF(AND($Z682=0,COUNTIF('AR SALES'!$L$2:$L$2501,$L682)=0),"YES",""))</f>
        <v/>
      </c>
      <c r="AZ682" s="2" t="str">
        <f>IF($AV682="","",IF(COUNTIF(LISTS!$C$2:$C$250,$AU682)=0,"NEW",""))</f>
        <v/>
      </c>
      <c r="BA682" s="2" t="str">
        <f>IF(""&amp;$F682&lt;&gt;"4","",IF($AY682="YES","",IF(ROUND(SUMIFS($AE$2:$AE$4001,$L$2:$L$4001,$L682,$F$2:$F$4001,"4")-SUMIFS('AR SALES'!$Y$2:$Y$2501,'AR SALES'!$L$2:$L$2501,$L682,'AR SALES'!$AD$2:$AD$2501,"OFF"),2)=0,"","STALE")))</f>
        <v/>
      </c>
      <c r="BB682" s="2" t="str">
        <f>IF(OR(""&amp;$F682="2",""&amp;$F682="4",""&amp;$F682="G",""&amp;$F682="H"),IF($AY682="YES","",IF($AB682&lt;&gt;0,"",IF(COUNTIFS('AR SALES'!$L$2:$L$2501,$L682,'AR SALES'!$AD$2:$AD$2501,IF(""&amp;$F682="4","OFF","ON"),'AR SALES'!$AF$2:$AF$2501,"Y")&gt;0,"","NO EXEMPTION"))),"")</f>
        <v/>
      </c>
    </row>
    <row r="683" spans="46:54" x14ac:dyDescent="0.25">
      <c r="AT683" s="2" t="str">
        <f>IF($L683="","",IFERROR(INDEX('AR SALES'!$H$2:$H$2501,MATCH(""&amp;$L683,'AR SALES'!$AE$2:$AE$2501,0)),""))</f>
        <v/>
      </c>
      <c r="AU683" s="2" t="str">
        <f t="shared" si="40"/>
        <v/>
      </c>
      <c r="AV683" s="2" t="str">
        <f t="shared" si="41"/>
        <v/>
      </c>
      <c r="AW683" s="2" t="str">
        <f t="shared" si="42"/>
        <v/>
      </c>
      <c r="AX683" s="2" t="str">
        <f t="shared" si="43"/>
        <v/>
      </c>
      <c r="AY683" s="2" t="str">
        <f>IF($AV683="","",IF(AND($Z683=0,COUNTIF('AR SALES'!$L$2:$L$2501,$L683)=0),"YES",""))</f>
        <v/>
      </c>
      <c r="AZ683" s="2" t="str">
        <f>IF($AV683="","",IF(COUNTIF(LISTS!$C$2:$C$250,$AU683)=0,"NEW",""))</f>
        <v/>
      </c>
      <c r="BA683" s="2" t="str">
        <f>IF(""&amp;$F683&lt;&gt;"4","",IF($AY683="YES","",IF(ROUND(SUMIFS($AE$2:$AE$4001,$L$2:$L$4001,$L683,$F$2:$F$4001,"4")-SUMIFS('AR SALES'!$Y$2:$Y$2501,'AR SALES'!$L$2:$L$2501,$L683,'AR SALES'!$AD$2:$AD$2501,"OFF"),2)=0,"","STALE")))</f>
        <v/>
      </c>
      <c r="BB683" s="2" t="str">
        <f>IF(OR(""&amp;$F683="2",""&amp;$F683="4",""&amp;$F683="G",""&amp;$F683="H"),IF($AY683="YES","",IF($AB683&lt;&gt;0,"",IF(COUNTIFS('AR SALES'!$L$2:$L$2501,$L683,'AR SALES'!$AD$2:$AD$2501,IF(""&amp;$F683="4","OFF","ON"),'AR SALES'!$AF$2:$AF$2501,"Y")&gt;0,"","NO EXEMPTION"))),"")</f>
        <v/>
      </c>
    </row>
    <row r="684" spans="46:54" x14ac:dyDescent="0.25">
      <c r="AT684" s="2" t="str">
        <f>IF($L684="","",IFERROR(INDEX('AR SALES'!$H$2:$H$2501,MATCH(""&amp;$L684,'AR SALES'!$AE$2:$AE$2501,0)),""))</f>
        <v/>
      </c>
      <c r="AU684" s="2" t="str">
        <f t="shared" si="40"/>
        <v/>
      </c>
      <c r="AV684" s="2" t="str">
        <f t="shared" si="41"/>
        <v/>
      </c>
      <c r="AW684" s="2" t="str">
        <f t="shared" si="42"/>
        <v/>
      </c>
      <c r="AX684" s="2" t="str">
        <f t="shared" si="43"/>
        <v/>
      </c>
      <c r="AY684" s="2" t="str">
        <f>IF($AV684="","",IF(AND($Z684=0,COUNTIF('AR SALES'!$L$2:$L$2501,$L684)=0),"YES",""))</f>
        <v/>
      </c>
      <c r="AZ684" s="2" t="str">
        <f>IF($AV684="","",IF(COUNTIF(LISTS!$C$2:$C$250,$AU684)=0,"NEW",""))</f>
        <v/>
      </c>
      <c r="BA684" s="2" t="str">
        <f>IF(""&amp;$F684&lt;&gt;"4","",IF($AY684="YES","",IF(ROUND(SUMIFS($AE$2:$AE$4001,$L$2:$L$4001,$L684,$F$2:$F$4001,"4")-SUMIFS('AR SALES'!$Y$2:$Y$2501,'AR SALES'!$L$2:$L$2501,$L684,'AR SALES'!$AD$2:$AD$2501,"OFF"),2)=0,"","STALE")))</f>
        <v/>
      </c>
      <c r="BB684" s="2" t="str">
        <f>IF(OR(""&amp;$F684="2",""&amp;$F684="4",""&amp;$F684="G",""&amp;$F684="H"),IF($AY684="YES","",IF($AB684&lt;&gt;0,"",IF(COUNTIFS('AR SALES'!$L$2:$L$2501,$L684,'AR SALES'!$AD$2:$AD$2501,IF(""&amp;$F684="4","OFF","ON"),'AR SALES'!$AF$2:$AF$2501,"Y")&gt;0,"","NO EXEMPTION"))),"")</f>
        <v/>
      </c>
    </row>
    <row r="685" spans="46:54" x14ac:dyDescent="0.25">
      <c r="AT685" s="2" t="str">
        <f>IF($L685="","",IFERROR(INDEX('AR SALES'!$H$2:$H$2501,MATCH(""&amp;$L685,'AR SALES'!$AE$2:$AE$2501,0)),""))</f>
        <v/>
      </c>
      <c r="AU685" s="2" t="str">
        <f t="shared" si="40"/>
        <v/>
      </c>
      <c r="AV685" s="2" t="str">
        <f t="shared" si="41"/>
        <v/>
      </c>
      <c r="AW685" s="2" t="str">
        <f t="shared" si="42"/>
        <v/>
      </c>
      <c r="AX685" s="2" t="str">
        <f t="shared" si="43"/>
        <v/>
      </c>
      <c r="AY685" s="2" t="str">
        <f>IF($AV685="","",IF(AND($Z685=0,COUNTIF('AR SALES'!$L$2:$L$2501,$L685)=0),"YES",""))</f>
        <v/>
      </c>
      <c r="AZ685" s="2" t="str">
        <f>IF($AV685="","",IF(COUNTIF(LISTS!$C$2:$C$250,$AU685)=0,"NEW",""))</f>
        <v/>
      </c>
      <c r="BA685" s="2" t="str">
        <f>IF(""&amp;$F685&lt;&gt;"4","",IF($AY685="YES","",IF(ROUND(SUMIFS($AE$2:$AE$4001,$L$2:$L$4001,$L685,$F$2:$F$4001,"4")-SUMIFS('AR SALES'!$Y$2:$Y$2501,'AR SALES'!$L$2:$L$2501,$L685,'AR SALES'!$AD$2:$AD$2501,"OFF"),2)=0,"","STALE")))</f>
        <v/>
      </c>
      <c r="BB685" s="2" t="str">
        <f>IF(OR(""&amp;$F685="2",""&amp;$F685="4",""&amp;$F685="G",""&amp;$F685="H"),IF($AY685="YES","",IF($AB685&lt;&gt;0,"",IF(COUNTIFS('AR SALES'!$L$2:$L$2501,$L685,'AR SALES'!$AD$2:$AD$2501,IF(""&amp;$F685="4","OFF","ON"),'AR SALES'!$AF$2:$AF$2501,"Y")&gt;0,"","NO EXEMPTION"))),"")</f>
        <v/>
      </c>
    </row>
    <row r="686" spans="46:54" x14ac:dyDescent="0.25">
      <c r="AT686" s="2" t="str">
        <f>IF($L686="","",IFERROR(INDEX('AR SALES'!$H$2:$H$2501,MATCH(""&amp;$L686,'AR SALES'!$AE$2:$AE$2501,0)),""))</f>
        <v/>
      </c>
      <c r="AU686" s="2" t="str">
        <f t="shared" si="40"/>
        <v/>
      </c>
      <c r="AV686" s="2" t="str">
        <f t="shared" si="41"/>
        <v/>
      </c>
      <c r="AW686" s="2" t="str">
        <f t="shared" si="42"/>
        <v/>
      </c>
      <c r="AX686" s="2" t="str">
        <f t="shared" si="43"/>
        <v/>
      </c>
      <c r="AY686" s="2" t="str">
        <f>IF($AV686="","",IF(AND($Z686=0,COUNTIF('AR SALES'!$L$2:$L$2501,$L686)=0),"YES",""))</f>
        <v/>
      </c>
      <c r="AZ686" s="2" t="str">
        <f>IF($AV686="","",IF(COUNTIF(LISTS!$C$2:$C$250,$AU686)=0,"NEW",""))</f>
        <v/>
      </c>
      <c r="BA686" s="2" t="str">
        <f>IF(""&amp;$F686&lt;&gt;"4","",IF($AY686="YES","",IF(ROUND(SUMIFS($AE$2:$AE$4001,$L$2:$L$4001,$L686,$F$2:$F$4001,"4")-SUMIFS('AR SALES'!$Y$2:$Y$2501,'AR SALES'!$L$2:$L$2501,$L686,'AR SALES'!$AD$2:$AD$2501,"OFF"),2)=0,"","STALE")))</f>
        <v/>
      </c>
      <c r="BB686" s="2" t="str">
        <f>IF(OR(""&amp;$F686="2",""&amp;$F686="4",""&amp;$F686="G",""&amp;$F686="H"),IF($AY686="YES","",IF($AB686&lt;&gt;0,"",IF(COUNTIFS('AR SALES'!$L$2:$L$2501,$L686,'AR SALES'!$AD$2:$AD$2501,IF(""&amp;$F686="4","OFF","ON"),'AR SALES'!$AF$2:$AF$2501,"Y")&gt;0,"","NO EXEMPTION"))),"")</f>
        <v/>
      </c>
    </row>
    <row r="687" spans="46:54" x14ac:dyDescent="0.25">
      <c r="AT687" s="2" t="str">
        <f>IF($L687="","",IFERROR(INDEX('AR SALES'!$H$2:$H$2501,MATCH(""&amp;$L687,'AR SALES'!$AE$2:$AE$2501,0)),""))</f>
        <v/>
      </c>
      <c r="AU687" s="2" t="str">
        <f t="shared" si="40"/>
        <v/>
      </c>
      <c r="AV687" s="2" t="str">
        <f t="shared" si="41"/>
        <v/>
      </c>
      <c r="AW687" s="2" t="str">
        <f t="shared" si="42"/>
        <v/>
      </c>
      <c r="AX687" s="2" t="str">
        <f t="shared" si="43"/>
        <v/>
      </c>
      <c r="AY687" s="2" t="str">
        <f>IF($AV687="","",IF(AND($Z687=0,COUNTIF('AR SALES'!$L$2:$L$2501,$L687)=0),"YES",""))</f>
        <v/>
      </c>
      <c r="AZ687" s="2" t="str">
        <f>IF($AV687="","",IF(COUNTIF(LISTS!$C$2:$C$250,$AU687)=0,"NEW",""))</f>
        <v/>
      </c>
      <c r="BA687" s="2" t="str">
        <f>IF(""&amp;$F687&lt;&gt;"4","",IF($AY687="YES","",IF(ROUND(SUMIFS($AE$2:$AE$4001,$L$2:$L$4001,$L687,$F$2:$F$4001,"4")-SUMIFS('AR SALES'!$Y$2:$Y$2501,'AR SALES'!$L$2:$L$2501,$L687,'AR SALES'!$AD$2:$AD$2501,"OFF"),2)=0,"","STALE")))</f>
        <v/>
      </c>
      <c r="BB687" s="2" t="str">
        <f>IF(OR(""&amp;$F687="2",""&amp;$F687="4",""&amp;$F687="G",""&amp;$F687="H"),IF($AY687="YES","",IF($AB687&lt;&gt;0,"",IF(COUNTIFS('AR SALES'!$L$2:$L$2501,$L687,'AR SALES'!$AD$2:$AD$2501,IF(""&amp;$F687="4","OFF","ON"),'AR SALES'!$AF$2:$AF$2501,"Y")&gt;0,"","NO EXEMPTION"))),"")</f>
        <v/>
      </c>
    </row>
    <row r="688" spans="46:54" x14ac:dyDescent="0.25">
      <c r="AT688" s="2" t="str">
        <f>IF($L688="","",IFERROR(INDEX('AR SALES'!$H$2:$H$2501,MATCH(""&amp;$L688,'AR SALES'!$AE$2:$AE$2501,0)),""))</f>
        <v/>
      </c>
      <c r="AU688" s="2" t="str">
        <f t="shared" si="40"/>
        <v/>
      </c>
      <c r="AV688" s="2" t="str">
        <f t="shared" si="41"/>
        <v/>
      </c>
      <c r="AW688" s="2" t="str">
        <f t="shared" si="42"/>
        <v/>
      </c>
      <c r="AX688" s="2" t="str">
        <f t="shared" si="43"/>
        <v/>
      </c>
      <c r="AY688" s="2" t="str">
        <f>IF($AV688="","",IF(AND($Z688=0,COUNTIF('AR SALES'!$L$2:$L$2501,$L688)=0),"YES",""))</f>
        <v/>
      </c>
      <c r="AZ688" s="2" t="str">
        <f>IF($AV688="","",IF(COUNTIF(LISTS!$C$2:$C$250,$AU688)=0,"NEW",""))</f>
        <v/>
      </c>
      <c r="BA688" s="2" t="str">
        <f>IF(""&amp;$F688&lt;&gt;"4","",IF($AY688="YES","",IF(ROUND(SUMIFS($AE$2:$AE$4001,$L$2:$L$4001,$L688,$F$2:$F$4001,"4")-SUMIFS('AR SALES'!$Y$2:$Y$2501,'AR SALES'!$L$2:$L$2501,$L688,'AR SALES'!$AD$2:$AD$2501,"OFF"),2)=0,"","STALE")))</f>
        <v/>
      </c>
      <c r="BB688" s="2" t="str">
        <f>IF(OR(""&amp;$F688="2",""&amp;$F688="4",""&amp;$F688="G",""&amp;$F688="H"),IF($AY688="YES","",IF($AB688&lt;&gt;0,"",IF(COUNTIFS('AR SALES'!$L$2:$L$2501,$L688,'AR SALES'!$AD$2:$AD$2501,IF(""&amp;$F688="4","OFF","ON"),'AR SALES'!$AF$2:$AF$2501,"Y")&gt;0,"","NO EXEMPTION"))),"")</f>
        <v/>
      </c>
    </row>
    <row r="689" spans="46:54" x14ac:dyDescent="0.25">
      <c r="AT689" s="2" t="str">
        <f>IF($L689="","",IFERROR(INDEX('AR SALES'!$H$2:$H$2501,MATCH(""&amp;$L689,'AR SALES'!$AE$2:$AE$2501,0)),""))</f>
        <v/>
      </c>
      <c r="AU689" s="2" t="str">
        <f t="shared" si="40"/>
        <v/>
      </c>
      <c r="AV689" s="2" t="str">
        <f t="shared" si="41"/>
        <v/>
      </c>
      <c r="AW689" s="2" t="str">
        <f t="shared" si="42"/>
        <v/>
      </c>
      <c r="AX689" s="2" t="str">
        <f t="shared" si="43"/>
        <v/>
      </c>
      <c r="AY689" s="2" t="str">
        <f>IF($AV689="","",IF(AND($Z689=0,COUNTIF('AR SALES'!$L$2:$L$2501,$L689)=0),"YES",""))</f>
        <v/>
      </c>
      <c r="AZ689" s="2" t="str">
        <f>IF($AV689="","",IF(COUNTIF(LISTS!$C$2:$C$250,$AU689)=0,"NEW",""))</f>
        <v/>
      </c>
      <c r="BA689" s="2" t="str">
        <f>IF(""&amp;$F689&lt;&gt;"4","",IF($AY689="YES","",IF(ROUND(SUMIFS($AE$2:$AE$4001,$L$2:$L$4001,$L689,$F$2:$F$4001,"4")-SUMIFS('AR SALES'!$Y$2:$Y$2501,'AR SALES'!$L$2:$L$2501,$L689,'AR SALES'!$AD$2:$AD$2501,"OFF"),2)=0,"","STALE")))</f>
        <v/>
      </c>
      <c r="BB689" s="2" t="str">
        <f>IF(OR(""&amp;$F689="2",""&amp;$F689="4",""&amp;$F689="G",""&amp;$F689="H"),IF($AY689="YES","",IF($AB689&lt;&gt;0,"",IF(COUNTIFS('AR SALES'!$L$2:$L$2501,$L689,'AR SALES'!$AD$2:$AD$2501,IF(""&amp;$F689="4","OFF","ON"),'AR SALES'!$AF$2:$AF$2501,"Y")&gt;0,"","NO EXEMPTION"))),"")</f>
        <v/>
      </c>
    </row>
    <row r="690" spans="46:54" x14ac:dyDescent="0.25">
      <c r="AT690" s="2" t="str">
        <f>IF($L690="","",IFERROR(INDEX('AR SALES'!$H$2:$H$2501,MATCH(""&amp;$L690,'AR SALES'!$AE$2:$AE$2501,0)),""))</f>
        <v/>
      </c>
      <c r="AU690" s="2" t="str">
        <f t="shared" si="40"/>
        <v/>
      </c>
      <c r="AV690" s="2" t="str">
        <f t="shared" si="41"/>
        <v/>
      </c>
      <c r="AW690" s="2" t="str">
        <f t="shared" si="42"/>
        <v/>
      </c>
      <c r="AX690" s="2" t="str">
        <f t="shared" si="43"/>
        <v/>
      </c>
      <c r="AY690" s="2" t="str">
        <f>IF($AV690="","",IF(AND($Z690=0,COUNTIF('AR SALES'!$L$2:$L$2501,$L690)=0),"YES",""))</f>
        <v/>
      </c>
      <c r="AZ690" s="2" t="str">
        <f>IF($AV690="","",IF(COUNTIF(LISTS!$C$2:$C$250,$AU690)=0,"NEW",""))</f>
        <v/>
      </c>
      <c r="BA690" s="2" t="str">
        <f>IF(""&amp;$F690&lt;&gt;"4","",IF($AY690="YES","",IF(ROUND(SUMIFS($AE$2:$AE$4001,$L$2:$L$4001,$L690,$F$2:$F$4001,"4")-SUMIFS('AR SALES'!$Y$2:$Y$2501,'AR SALES'!$L$2:$L$2501,$L690,'AR SALES'!$AD$2:$AD$2501,"OFF"),2)=0,"","STALE")))</f>
        <v/>
      </c>
      <c r="BB690" s="2" t="str">
        <f>IF(OR(""&amp;$F690="2",""&amp;$F690="4",""&amp;$F690="G",""&amp;$F690="H"),IF($AY690="YES","",IF($AB690&lt;&gt;0,"",IF(COUNTIFS('AR SALES'!$L$2:$L$2501,$L690,'AR SALES'!$AD$2:$AD$2501,IF(""&amp;$F690="4","OFF","ON"),'AR SALES'!$AF$2:$AF$2501,"Y")&gt;0,"","NO EXEMPTION"))),"")</f>
        <v/>
      </c>
    </row>
    <row r="691" spans="46:54" x14ac:dyDescent="0.25">
      <c r="AT691" s="2" t="str">
        <f>IF($L691="","",IFERROR(INDEX('AR SALES'!$H$2:$H$2501,MATCH(""&amp;$L691,'AR SALES'!$AE$2:$AE$2501,0)),""))</f>
        <v/>
      </c>
      <c r="AU691" s="2" t="str">
        <f t="shared" si="40"/>
        <v/>
      </c>
      <c r="AV691" s="2" t="str">
        <f t="shared" si="41"/>
        <v/>
      </c>
      <c r="AW691" s="2" t="str">
        <f t="shared" si="42"/>
        <v/>
      </c>
      <c r="AX691" s="2" t="str">
        <f t="shared" si="43"/>
        <v/>
      </c>
      <c r="AY691" s="2" t="str">
        <f>IF($AV691="","",IF(AND($Z691=0,COUNTIF('AR SALES'!$L$2:$L$2501,$L691)=0),"YES",""))</f>
        <v/>
      </c>
      <c r="AZ691" s="2" t="str">
        <f>IF($AV691="","",IF(COUNTIF(LISTS!$C$2:$C$250,$AU691)=0,"NEW",""))</f>
        <v/>
      </c>
      <c r="BA691" s="2" t="str">
        <f>IF(""&amp;$F691&lt;&gt;"4","",IF($AY691="YES","",IF(ROUND(SUMIFS($AE$2:$AE$4001,$L$2:$L$4001,$L691,$F$2:$F$4001,"4")-SUMIFS('AR SALES'!$Y$2:$Y$2501,'AR SALES'!$L$2:$L$2501,$L691,'AR SALES'!$AD$2:$AD$2501,"OFF"),2)=0,"","STALE")))</f>
        <v/>
      </c>
      <c r="BB691" s="2" t="str">
        <f>IF(OR(""&amp;$F691="2",""&amp;$F691="4",""&amp;$F691="G",""&amp;$F691="H"),IF($AY691="YES","",IF($AB691&lt;&gt;0,"",IF(COUNTIFS('AR SALES'!$L$2:$L$2501,$L691,'AR SALES'!$AD$2:$AD$2501,IF(""&amp;$F691="4","OFF","ON"),'AR SALES'!$AF$2:$AF$2501,"Y")&gt;0,"","NO EXEMPTION"))),"")</f>
        <v/>
      </c>
    </row>
    <row r="692" spans="46:54" x14ac:dyDescent="0.25">
      <c r="AT692" s="2" t="str">
        <f>IF($L692="","",IFERROR(INDEX('AR SALES'!$H$2:$H$2501,MATCH(""&amp;$L692,'AR SALES'!$AE$2:$AE$2501,0)),""))</f>
        <v/>
      </c>
      <c r="AU692" s="2" t="str">
        <f t="shared" si="40"/>
        <v/>
      </c>
      <c r="AV692" s="2" t="str">
        <f t="shared" si="41"/>
        <v/>
      </c>
      <c r="AW692" s="2" t="str">
        <f t="shared" si="42"/>
        <v/>
      </c>
      <c r="AX692" s="2" t="str">
        <f t="shared" si="43"/>
        <v/>
      </c>
      <c r="AY692" s="2" t="str">
        <f>IF($AV692="","",IF(AND($Z692=0,COUNTIF('AR SALES'!$L$2:$L$2501,$L692)=0),"YES",""))</f>
        <v/>
      </c>
      <c r="AZ692" s="2" t="str">
        <f>IF($AV692="","",IF(COUNTIF(LISTS!$C$2:$C$250,$AU692)=0,"NEW",""))</f>
        <v/>
      </c>
      <c r="BA692" s="2" t="str">
        <f>IF(""&amp;$F692&lt;&gt;"4","",IF($AY692="YES","",IF(ROUND(SUMIFS($AE$2:$AE$4001,$L$2:$L$4001,$L692,$F$2:$F$4001,"4")-SUMIFS('AR SALES'!$Y$2:$Y$2501,'AR SALES'!$L$2:$L$2501,$L692,'AR SALES'!$AD$2:$AD$2501,"OFF"),2)=0,"","STALE")))</f>
        <v/>
      </c>
      <c r="BB692" s="2" t="str">
        <f>IF(OR(""&amp;$F692="2",""&amp;$F692="4",""&amp;$F692="G",""&amp;$F692="H"),IF($AY692="YES","",IF($AB692&lt;&gt;0,"",IF(COUNTIFS('AR SALES'!$L$2:$L$2501,$L692,'AR SALES'!$AD$2:$AD$2501,IF(""&amp;$F692="4","OFF","ON"),'AR SALES'!$AF$2:$AF$2501,"Y")&gt;0,"","NO EXEMPTION"))),"")</f>
        <v/>
      </c>
    </row>
    <row r="693" spans="46:54" x14ac:dyDescent="0.25">
      <c r="AT693" s="2" t="str">
        <f>IF($L693="","",IFERROR(INDEX('AR SALES'!$H$2:$H$2501,MATCH(""&amp;$L693,'AR SALES'!$AE$2:$AE$2501,0)),""))</f>
        <v/>
      </c>
      <c r="AU693" s="2" t="str">
        <f t="shared" si="40"/>
        <v/>
      </c>
      <c r="AV693" s="2" t="str">
        <f t="shared" si="41"/>
        <v/>
      </c>
      <c r="AW693" s="2" t="str">
        <f t="shared" si="42"/>
        <v/>
      </c>
      <c r="AX693" s="2" t="str">
        <f t="shared" si="43"/>
        <v/>
      </c>
      <c r="AY693" s="2" t="str">
        <f>IF($AV693="","",IF(AND($Z693=0,COUNTIF('AR SALES'!$L$2:$L$2501,$L693)=0),"YES",""))</f>
        <v/>
      </c>
      <c r="AZ693" s="2" t="str">
        <f>IF($AV693="","",IF(COUNTIF(LISTS!$C$2:$C$250,$AU693)=0,"NEW",""))</f>
        <v/>
      </c>
      <c r="BA693" s="2" t="str">
        <f>IF(""&amp;$F693&lt;&gt;"4","",IF($AY693="YES","",IF(ROUND(SUMIFS($AE$2:$AE$4001,$L$2:$L$4001,$L693,$F$2:$F$4001,"4")-SUMIFS('AR SALES'!$Y$2:$Y$2501,'AR SALES'!$L$2:$L$2501,$L693,'AR SALES'!$AD$2:$AD$2501,"OFF"),2)=0,"","STALE")))</f>
        <v/>
      </c>
      <c r="BB693" s="2" t="str">
        <f>IF(OR(""&amp;$F693="2",""&amp;$F693="4",""&amp;$F693="G",""&amp;$F693="H"),IF($AY693="YES","",IF($AB693&lt;&gt;0,"",IF(COUNTIFS('AR SALES'!$L$2:$L$2501,$L693,'AR SALES'!$AD$2:$AD$2501,IF(""&amp;$F693="4","OFF","ON"),'AR SALES'!$AF$2:$AF$2501,"Y")&gt;0,"","NO EXEMPTION"))),"")</f>
        <v/>
      </c>
    </row>
    <row r="694" spans="46:54" x14ac:dyDescent="0.25">
      <c r="AT694" s="2" t="str">
        <f>IF($L694="","",IFERROR(INDEX('AR SALES'!$H$2:$H$2501,MATCH(""&amp;$L694,'AR SALES'!$AE$2:$AE$2501,0)),""))</f>
        <v/>
      </c>
      <c r="AU694" s="2" t="str">
        <f t="shared" si="40"/>
        <v/>
      </c>
      <c r="AV694" s="2" t="str">
        <f t="shared" si="41"/>
        <v/>
      </c>
      <c r="AW694" s="2" t="str">
        <f t="shared" si="42"/>
        <v/>
      </c>
      <c r="AX694" s="2" t="str">
        <f t="shared" si="43"/>
        <v/>
      </c>
      <c r="AY694" s="2" t="str">
        <f>IF($AV694="","",IF(AND($Z694=0,COUNTIF('AR SALES'!$L$2:$L$2501,$L694)=0),"YES",""))</f>
        <v/>
      </c>
      <c r="AZ694" s="2" t="str">
        <f>IF($AV694="","",IF(COUNTIF(LISTS!$C$2:$C$250,$AU694)=0,"NEW",""))</f>
        <v/>
      </c>
      <c r="BA694" s="2" t="str">
        <f>IF(""&amp;$F694&lt;&gt;"4","",IF($AY694="YES","",IF(ROUND(SUMIFS($AE$2:$AE$4001,$L$2:$L$4001,$L694,$F$2:$F$4001,"4")-SUMIFS('AR SALES'!$Y$2:$Y$2501,'AR SALES'!$L$2:$L$2501,$L694,'AR SALES'!$AD$2:$AD$2501,"OFF"),2)=0,"","STALE")))</f>
        <v/>
      </c>
      <c r="BB694" s="2" t="str">
        <f>IF(OR(""&amp;$F694="2",""&amp;$F694="4",""&amp;$F694="G",""&amp;$F694="H"),IF($AY694="YES","",IF($AB694&lt;&gt;0,"",IF(COUNTIFS('AR SALES'!$L$2:$L$2501,$L694,'AR SALES'!$AD$2:$AD$2501,IF(""&amp;$F694="4","OFF","ON"),'AR SALES'!$AF$2:$AF$2501,"Y")&gt;0,"","NO EXEMPTION"))),"")</f>
        <v/>
      </c>
    </row>
    <row r="695" spans="46:54" x14ac:dyDescent="0.25">
      <c r="AT695" s="2" t="str">
        <f>IF($L695="","",IFERROR(INDEX('AR SALES'!$H$2:$H$2501,MATCH(""&amp;$L695,'AR SALES'!$AE$2:$AE$2501,0)),""))</f>
        <v/>
      </c>
      <c r="AU695" s="2" t="str">
        <f t="shared" si="40"/>
        <v/>
      </c>
      <c r="AV695" s="2" t="str">
        <f t="shared" si="41"/>
        <v/>
      </c>
      <c r="AW695" s="2" t="str">
        <f t="shared" si="42"/>
        <v/>
      </c>
      <c r="AX695" s="2" t="str">
        <f t="shared" si="43"/>
        <v/>
      </c>
      <c r="AY695" s="2" t="str">
        <f>IF($AV695="","",IF(AND($Z695=0,COUNTIF('AR SALES'!$L$2:$L$2501,$L695)=0),"YES",""))</f>
        <v/>
      </c>
      <c r="AZ695" s="2" t="str">
        <f>IF($AV695="","",IF(COUNTIF(LISTS!$C$2:$C$250,$AU695)=0,"NEW",""))</f>
        <v/>
      </c>
      <c r="BA695" s="2" t="str">
        <f>IF(""&amp;$F695&lt;&gt;"4","",IF($AY695="YES","",IF(ROUND(SUMIFS($AE$2:$AE$4001,$L$2:$L$4001,$L695,$F$2:$F$4001,"4")-SUMIFS('AR SALES'!$Y$2:$Y$2501,'AR SALES'!$L$2:$L$2501,$L695,'AR SALES'!$AD$2:$AD$2501,"OFF"),2)=0,"","STALE")))</f>
        <v/>
      </c>
      <c r="BB695" s="2" t="str">
        <f>IF(OR(""&amp;$F695="2",""&amp;$F695="4",""&amp;$F695="G",""&amp;$F695="H"),IF($AY695="YES","",IF($AB695&lt;&gt;0,"",IF(COUNTIFS('AR SALES'!$L$2:$L$2501,$L695,'AR SALES'!$AD$2:$AD$2501,IF(""&amp;$F695="4","OFF","ON"),'AR SALES'!$AF$2:$AF$2501,"Y")&gt;0,"","NO EXEMPTION"))),"")</f>
        <v/>
      </c>
    </row>
    <row r="696" spans="46:54" x14ac:dyDescent="0.25">
      <c r="AT696" s="2" t="str">
        <f>IF($L696="","",IFERROR(INDEX('AR SALES'!$H$2:$H$2501,MATCH(""&amp;$L696,'AR SALES'!$AE$2:$AE$2501,0)),""))</f>
        <v/>
      </c>
      <c r="AU696" s="2" t="str">
        <f t="shared" si="40"/>
        <v/>
      </c>
      <c r="AV696" s="2" t="str">
        <f t="shared" si="41"/>
        <v/>
      </c>
      <c r="AW696" s="2" t="str">
        <f t="shared" si="42"/>
        <v/>
      </c>
      <c r="AX696" s="2" t="str">
        <f t="shared" si="43"/>
        <v/>
      </c>
      <c r="AY696" s="2" t="str">
        <f>IF($AV696="","",IF(AND($Z696=0,COUNTIF('AR SALES'!$L$2:$L$2501,$L696)=0),"YES",""))</f>
        <v/>
      </c>
      <c r="AZ696" s="2" t="str">
        <f>IF($AV696="","",IF(COUNTIF(LISTS!$C$2:$C$250,$AU696)=0,"NEW",""))</f>
        <v/>
      </c>
      <c r="BA696" s="2" t="str">
        <f>IF(""&amp;$F696&lt;&gt;"4","",IF($AY696="YES","",IF(ROUND(SUMIFS($AE$2:$AE$4001,$L$2:$L$4001,$L696,$F$2:$F$4001,"4")-SUMIFS('AR SALES'!$Y$2:$Y$2501,'AR SALES'!$L$2:$L$2501,$L696,'AR SALES'!$AD$2:$AD$2501,"OFF"),2)=0,"","STALE")))</f>
        <v/>
      </c>
      <c r="BB696" s="2" t="str">
        <f>IF(OR(""&amp;$F696="2",""&amp;$F696="4",""&amp;$F696="G",""&amp;$F696="H"),IF($AY696="YES","",IF($AB696&lt;&gt;0,"",IF(COUNTIFS('AR SALES'!$L$2:$L$2501,$L696,'AR SALES'!$AD$2:$AD$2501,IF(""&amp;$F696="4","OFF","ON"),'AR SALES'!$AF$2:$AF$2501,"Y")&gt;0,"","NO EXEMPTION"))),"")</f>
        <v/>
      </c>
    </row>
    <row r="697" spans="46:54" x14ac:dyDescent="0.25">
      <c r="AT697" s="2" t="str">
        <f>IF($L697="","",IFERROR(INDEX('AR SALES'!$H$2:$H$2501,MATCH(""&amp;$L697,'AR SALES'!$AE$2:$AE$2501,0)),""))</f>
        <v/>
      </c>
      <c r="AU697" s="2" t="str">
        <f t="shared" si="40"/>
        <v/>
      </c>
      <c r="AV697" s="2" t="str">
        <f t="shared" si="41"/>
        <v/>
      </c>
      <c r="AW697" s="2" t="str">
        <f t="shared" si="42"/>
        <v/>
      </c>
      <c r="AX697" s="2" t="str">
        <f t="shared" si="43"/>
        <v/>
      </c>
      <c r="AY697" s="2" t="str">
        <f>IF($AV697="","",IF(AND($Z697=0,COUNTIF('AR SALES'!$L$2:$L$2501,$L697)=0),"YES",""))</f>
        <v/>
      </c>
      <c r="AZ697" s="2" t="str">
        <f>IF($AV697="","",IF(COUNTIF(LISTS!$C$2:$C$250,$AU697)=0,"NEW",""))</f>
        <v/>
      </c>
      <c r="BA697" s="2" t="str">
        <f>IF(""&amp;$F697&lt;&gt;"4","",IF($AY697="YES","",IF(ROUND(SUMIFS($AE$2:$AE$4001,$L$2:$L$4001,$L697,$F$2:$F$4001,"4")-SUMIFS('AR SALES'!$Y$2:$Y$2501,'AR SALES'!$L$2:$L$2501,$L697,'AR SALES'!$AD$2:$AD$2501,"OFF"),2)=0,"","STALE")))</f>
        <v/>
      </c>
      <c r="BB697" s="2" t="str">
        <f>IF(OR(""&amp;$F697="2",""&amp;$F697="4",""&amp;$F697="G",""&amp;$F697="H"),IF($AY697="YES","",IF($AB697&lt;&gt;0,"",IF(COUNTIFS('AR SALES'!$L$2:$L$2501,$L697,'AR SALES'!$AD$2:$AD$2501,IF(""&amp;$F697="4","OFF","ON"),'AR SALES'!$AF$2:$AF$2501,"Y")&gt;0,"","NO EXEMPTION"))),"")</f>
        <v/>
      </c>
    </row>
    <row r="698" spans="46:54" x14ac:dyDescent="0.25">
      <c r="AT698" s="2" t="str">
        <f>IF($L698="","",IFERROR(INDEX('AR SALES'!$H$2:$H$2501,MATCH(""&amp;$L698,'AR SALES'!$AE$2:$AE$2501,0)),""))</f>
        <v/>
      </c>
      <c r="AU698" s="2" t="str">
        <f t="shared" si="40"/>
        <v/>
      </c>
      <c r="AV698" s="2" t="str">
        <f t="shared" si="41"/>
        <v/>
      </c>
      <c r="AW698" s="2" t="str">
        <f t="shared" si="42"/>
        <v/>
      </c>
      <c r="AX698" s="2" t="str">
        <f t="shared" si="43"/>
        <v/>
      </c>
      <c r="AY698" s="2" t="str">
        <f>IF($AV698="","",IF(AND($Z698=0,COUNTIF('AR SALES'!$L$2:$L$2501,$L698)=0),"YES",""))</f>
        <v/>
      </c>
      <c r="AZ698" s="2" t="str">
        <f>IF($AV698="","",IF(COUNTIF(LISTS!$C$2:$C$250,$AU698)=0,"NEW",""))</f>
        <v/>
      </c>
      <c r="BA698" s="2" t="str">
        <f>IF(""&amp;$F698&lt;&gt;"4","",IF($AY698="YES","",IF(ROUND(SUMIFS($AE$2:$AE$4001,$L$2:$L$4001,$L698,$F$2:$F$4001,"4")-SUMIFS('AR SALES'!$Y$2:$Y$2501,'AR SALES'!$L$2:$L$2501,$L698,'AR SALES'!$AD$2:$AD$2501,"OFF"),2)=0,"","STALE")))</f>
        <v/>
      </c>
      <c r="BB698" s="2" t="str">
        <f>IF(OR(""&amp;$F698="2",""&amp;$F698="4",""&amp;$F698="G",""&amp;$F698="H"),IF($AY698="YES","",IF($AB698&lt;&gt;0,"",IF(COUNTIFS('AR SALES'!$L$2:$L$2501,$L698,'AR SALES'!$AD$2:$AD$2501,IF(""&amp;$F698="4","OFF","ON"),'AR SALES'!$AF$2:$AF$2501,"Y")&gt;0,"","NO EXEMPTION"))),"")</f>
        <v/>
      </c>
    </row>
    <row r="699" spans="46:54" x14ac:dyDescent="0.25">
      <c r="AT699" s="2" t="str">
        <f>IF($L699="","",IFERROR(INDEX('AR SALES'!$H$2:$H$2501,MATCH(""&amp;$L699,'AR SALES'!$AE$2:$AE$2501,0)),""))</f>
        <v/>
      </c>
      <c r="AU699" s="2" t="str">
        <f t="shared" si="40"/>
        <v/>
      </c>
      <c r="AV699" s="2" t="str">
        <f t="shared" si="41"/>
        <v/>
      </c>
      <c r="AW699" s="2" t="str">
        <f t="shared" si="42"/>
        <v/>
      </c>
      <c r="AX699" s="2" t="str">
        <f t="shared" si="43"/>
        <v/>
      </c>
      <c r="AY699" s="2" t="str">
        <f>IF($AV699="","",IF(AND($Z699=0,COUNTIF('AR SALES'!$L$2:$L$2501,$L699)=0),"YES",""))</f>
        <v/>
      </c>
      <c r="AZ699" s="2" t="str">
        <f>IF($AV699="","",IF(COUNTIF(LISTS!$C$2:$C$250,$AU699)=0,"NEW",""))</f>
        <v/>
      </c>
      <c r="BA699" s="2" t="str">
        <f>IF(""&amp;$F699&lt;&gt;"4","",IF($AY699="YES","",IF(ROUND(SUMIFS($AE$2:$AE$4001,$L$2:$L$4001,$L699,$F$2:$F$4001,"4")-SUMIFS('AR SALES'!$Y$2:$Y$2501,'AR SALES'!$L$2:$L$2501,$L699,'AR SALES'!$AD$2:$AD$2501,"OFF"),2)=0,"","STALE")))</f>
        <v/>
      </c>
      <c r="BB699" s="2" t="str">
        <f>IF(OR(""&amp;$F699="2",""&amp;$F699="4",""&amp;$F699="G",""&amp;$F699="H"),IF($AY699="YES","",IF($AB699&lt;&gt;0,"",IF(COUNTIFS('AR SALES'!$L$2:$L$2501,$L699,'AR SALES'!$AD$2:$AD$2501,IF(""&amp;$F699="4","OFF","ON"),'AR SALES'!$AF$2:$AF$2501,"Y")&gt;0,"","NO EXEMPTION"))),"")</f>
        <v/>
      </c>
    </row>
    <row r="700" spans="46:54" x14ac:dyDescent="0.25">
      <c r="AT700" s="2" t="str">
        <f>IF($L700="","",IFERROR(INDEX('AR SALES'!$H$2:$H$2501,MATCH(""&amp;$L700,'AR SALES'!$AE$2:$AE$2501,0)),""))</f>
        <v/>
      </c>
      <c r="AU700" s="2" t="str">
        <f t="shared" si="40"/>
        <v/>
      </c>
      <c r="AV700" s="2" t="str">
        <f t="shared" si="41"/>
        <v/>
      </c>
      <c r="AW700" s="2" t="str">
        <f t="shared" si="42"/>
        <v/>
      </c>
      <c r="AX700" s="2" t="str">
        <f t="shared" si="43"/>
        <v/>
      </c>
      <c r="AY700" s="2" t="str">
        <f>IF($AV700="","",IF(AND($Z700=0,COUNTIF('AR SALES'!$L$2:$L$2501,$L700)=0),"YES",""))</f>
        <v/>
      </c>
      <c r="AZ700" s="2" t="str">
        <f>IF($AV700="","",IF(COUNTIF(LISTS!$C$2:$C$250,$AU700)=0,"NEW",""))</f>
        <v/>
      </c>
      <c r="BA700" s="2" t="str">
        <f>IF(""&amp;$F700&lt;&gt;"4","",IF($AY700="YES","",IF(ROUND(SUMIFS($AE$2:$AE$4001,$L$2:$L$4001,$L700,$F$2:$F$4001,"4")-SUMIFS('AR SALES'!$Y$2:$Y$2501,'AR SALES'!$L$2:$L$2501,$L700,'AR SALES'!$AD$2:$AD$2501,"OFF"),2)=0,"","STALE")))</f>
        <v/>
      </c>
      <c r="BB700" s="2" t="str">
        <f>IF(OR(""&amp;$F700="2",""&amp;$F700="4",""&amp;$F700="G",""&amp;$F700="H"),IF($AY700="YES","",IF($AB700&lt;&gt;0,"",IF(COUNTIFS('AR SALES'!$L$2:$L$2501,$L700,'AR SALES'!$AD$2:$AD$2501,IF(""&amp;$F700="4","OFF","ON"),'AR SALES'!$AF$2:$AF$2501,"Y")&gt;0,"","NO EXEMPTION"))),"")</f>
        <v/>
      </c>
    </row>
    <row r="701" spans="46:54" x14ac:dyDescent="0.25">
      <c r="AT701" s="2" t="str">
        <f>IF($L701="","",IFERROR(INDEX('AR SALES'!$H$2:$H$2501,MATCH(""&amp;$L701,'AR SALES'!$AE$2:$AE$2501,0)),""))</f>
        <v/>
      </c>
      <c r="AU701" s="2" t="str">
        <f t="shared" si="40"/>
        <v/>
      </c>
      <c r="AV701" s="2" t="str">
        <f t="shared" si="41"/>
        <v/>
      </c>
      <c r="AW701" s="2" t="str">
        <f t="shared" si="42"/>
        <v/>
      </c>
      <c r="AX701" s="2" t="str">
        <f t="shared" si="43"/>
        <v/>
      </c>
      <c r="AY701" s="2" t="str">
        <f>IF($AV701="","",IF(AND($Z701=0,COUNTIF('AR SALES'!$L$2:$L$2501,$L701)=0),"YES",""))</f>
        <v/>
      </c>
      <c r="AZ701" s="2" t="str">
        <f>IF($AV701="","",IF(COUNTIF(LISTS!$C$2:$C$250,$AU701)=0,"NEW",""))</f>
        <v/>
      </c>
      <c r="BA701" s="2" t="str">
        <f>IF(""&amp;$F701&lt;&gt;"4","",IF($AY701="YES","",IF(ROUND(SUMIFS($AE$2:$AE$4001,$L$2:$L$4001,$L701,$F$2:$F$4001,"4")-SUMIFS('AR SALES'!$Y$2:$Y$2501,'AR SALES'!$L$2:$L$2501,$L701,'AR SALES'!$AD$2:$AD$2501,"OFF"),2)=0,"","STALE")))</f>
        <v/>
      </c>
      <c r="BB701" s="2" t="str">
        <f>IF(OR(""&amp;$F701="2",""&amp;$F701="4",""&amp;$F701="G",""&amp;$F701="H"),IF($AY701="YES","",IF($AB701&lt;&gt;0,"",IF(COUNTIFS('AR SALES'!$L$2:$L$2501,$L701,'AR SALES'!$AD$2:$AD$2501,IF(""&amp;$F701="4","OFF","ON"),'AR SALES'!$AF$2:$AF$2501,"Y")&gt;0,"","NO EXEMPTION"))),"")</f>
        <v/>
      </c>
    </row>
    <row r="702" spans="46:54" x14ac:dyDescent="0.25">
      <c r="AT702" s="2" t="str">
        <f>IF($L702="","",IFERROR(INDEX('AR SALES'!$H$2:$H$2501,MATCH(""&amp;$L702,'AR SALES'!$AE$2:$AE$2501,0)),""))</f>
        <v/>
      </c>
      <c r="AU702" s="2" t="str">
        <f t="shared" si="40"/>
        <v/>
      </c>
      <c r="AV702" s="2" t="str">
        <f t="shared" si="41"/>
        <v/>
      </c>
      <c r="AW702" s="2" t="str">
        <f t="shared" si="42"/>
        <v/>
      </c>
      <c r="AX702" s="2" t="str">
        <f t="shared" si="43"/>
        <v/>
      </c>
      <c r="AY702" s="2" t="str">
        <f>IF($AV702="","",IF(AND($Z702=0,COUNTIF('AR SALES'!$L$2:$L$2501,$L702)=0),"YES",""))</f>
        <v/>
      </c>
      <c r="AZ702" s="2" t="str">
        <f>IF($AV702="","",IF(COUNTIF(LISTS!$C$2:$C$250,$AU702)=0,"NEW",""))</f>
        <v/>
      </c>
      <c r="BA702" s="2" t="str">
        <f>IF(""&amp;$F702&lt;&gt;"4","",IF($AY702="YES","",IF(ROUND(SUMIFS($AE$2:$AE$4001,$L$2:$L$4001,$L702,$F$2:$F$4001,"4")-SUMIFS('AR SALES'!$Y$2:$Y$2501,'AR SALES'!$L$2:$L$2501,$L702,'AR SALES'!$AD$2:$AD$2501,"OFF"),2)=0,"","STALE")))</f>
        <v/>
      </c>
      <c r="BB702" s="2" t="str">
        <f>IF(OR(""&amp;$F702="2",""&amp;$F702="4",""&amp;$F702="G",""&amp;$F702="H"),IF($AY702="YES","",IF($AB702&lt;&gt;0,"",IF(COUNTIFS('AR SALES'!$L$2:$L$2501,$L702,'AR SALES'!$AD$2:$AD$2501,IF(""&amp;$F702="4","OFF","ON"),'AR SALES'!$AF$2:$AF$2501,"Y")&gt;0,"","NO EXEMPTION"))),"")</f>
        <v/>
      </c>
    </row>
    <row r="703" spans="46:54" x14ac:dyDescent="0.25">
      <c r="AT703" s="2" t="str">
        <f>IF($L703="","",IFERROR(INDEX('AR SALES'!$H$2:$H$2501,MATCH(""&amp;$L703,'AR SALES'!$AE$2:$AE$2501,0)),""))</f>
        <v/>
      </c>
      <c r="AU703" s="2" t="str">
        <f t="shared" si="40"/>
        <v/>
      </c>
      <c r="AV703" s="2" t="str">
        <f t="shared" si="41"/>
        <v/>
      </c>
      <c r="AW703" s="2" t="str">
        <f t="shared" si="42"/>
        <v/>
      </c>
      <c r="AX703" s="2" t="str">
        <f t="shared" si="43"/>
        <v/>
      </c>
      <c r="AY703" s="2" t="str">
        <f>IF($AV703="","",IF(AND($Z703=0,COUNTIF('AR SALES'!$L$2:$L$2501,$L703)=0),"YES",""))</f>
        <v/>
      </c>
      <c r="AZ703" s="2" t="str">
        <f>IF($AV703="","",IF(COUNTIF(LISTS!$C$2:$C$250,$AU703)=0,"NEW",""))</f>
        <v/>
      </c>
      <c r="BA703" s="2" t="str">
        <f>IF(""&amp;$F703&lt;&gt;"4","",IF($AY703="YES","",IF(ROUND(SUMIFS($AE$2:$AE$4001,$L$2:$L$4001,$L703,$F$2:$F$4001,"4")-SUMIFS('AR SALES'!$Y$2:$Y$2501,'AR SALES'!$L$2:$L$2501,$L703,'AR SALES'!$AD$2:$AD$2501,"OFF"),2)=0,"","STALE")))</f>
        <v/>
      </c>
      <c r="BB703" s="2" t="str">
        <f>IF(OR(""&amp;$F703="2",""&amp;$F703="4",""&amp;$F703="G",""&amp;$F703="H"),IF($AY703="YES","",IF($AB703&lt;&gt;0,"",IF(COUNTIFS('AR SALES'!$L$2:$L$2501,$L703,'AR SALES'!$AD$2:$AD$2501,IF(""&amp;$F703="4","OFF","ON"),'AR SALES'!$AF$2:$AF$2501,"Y")&gt;0,"","NO EXEMPTION"))),"")</f>
        <v/>
      </c>
    </row>
    <row r="704" spans="46:54" x14ac:dyDescent="0.25">
      <c r="AT704" s="2" t="str">
        <f>IF($L704="","",IFERROR(INDEX('AR SALES'!$H$2:$H$2501,MATCH(""&amp;$L704,'AR SALES'!$AE$2:$AE$2501,0)),""))</f>
        <v/>
      </c>
      <c r="AU704" s="2" t="str">
        <f t="shared" si="40"/>
        <v/>
      </c>
      <c r="AV704" s="2" t="str">
        <f t="shared" si="41"/>
        <v/>
      </c>
      <c r="AW704" s="2" t="str">
        <f t="shared" si="42"/>
        <v/>
      </c>
      <c r="AX704" s="2" t="str">
        <f t="shared" si="43"/>
        <v/>
      </c>
      <c r="AY704" s="2" t="str">
        <f>IF($AV704="","",IF(AND($Z704=0,COUNTIF('AR SALES'!$L$2:$L$2501,$L704)=0),"YES",""))</f>
        <v/>
      </c>
      <c r="AZ704" s="2" t="str">
        <f>IF($AV704="","",IF(COUNTIF(LISTS!$C$2:$C$250,$AU704)=0,"NEW",""))</f>
        <v/>
      </c>
      <c r="BA704" s="2" t="str">
        <f>IF(""&amp;$F704&lt;&gt;"4","",IF($AY704="YES","",IF(ROUND(SUMIFS($AE$2:$AE$4001,$L$2:$L$4001,$L704,$F$2:$F$4001,"4")-SUMIFS('AR SALES'!$Y$2:$Y$2501,'AR SALES'!$L$2:$L$2501,$L704,'AR SALES'!$AD$2:$AD$2501,"OFF"),2)=0,"","STALE")))</f>
        <v/>
      </c>
      <c r="BB704" s="2" t="str">
        <f>IF(OR(""&amp;$F704="2",""&amp;$F704="4",""&amp;$F704="G",""&amp;$F704="H"),IF($AY704="YES","",IF($AB704&lt;&gt;0,"",IF(COUNTIFS('AR SALES'!$L$2:$L$2501,$L704,'AR SALES'!$AD$2:$AD$2501,IF(""&amp;$F704="4","OFF","ON"),'AR SALES'!$AF$2:$AF$2501,"Y")&gt;0,"","NO EXEMPTION"))),"")</f>
        <v/>
      </c>
    </row>
    <row r="705" spans="46:54" x14ac:dyDescent="0.25">
      <c r="AT705" s="2" t="str">
        <f>IF($L705="","",IFERROR(INDEX('AR SALES'!$H$2:$H$2501,MATCH(""&amp;$L705,'AR SALES'!$AE$2:$AE$2501,0)),""))</f>
        <v/>
      </c>
      <c r="AU705" s="2" t="str">
        <f t="shared" si="40"/>
        <v/>
      </c>
      <c r="AV705" s="2" t="str">
        <f t="shared" si="41"/>
        <v/>
      </c>
      <c r="AW705" s="2" t="str">
        <f t="shared" si="42"/>
        <v/>
      </c>
      <c r="AX705" s="2" t="str">
        <f t="shared" si="43"/>
        <v/>
      </c>
      <c r="AY705" s="2" t="str">
        <f>IF($AV705="","",IF(AND($Z705=0,COUNTIF('AR SALES'!$L$2:$L$2501,$L705)=0),"YES",""))</f>
        <v/>
      </c>
      <c r="AZ705" s="2" t="str">
        <f>IF($AV705="","",IF(COUNTIF(LISTS!$C$2:$C$250,$AU705)=0,"NEW",""))</f>
        <v/>
      </c>
      <c r="BA705" s="2" t="str">
        <f>IF(""&amp;$F705&lt;&gt;"4","",IF($AY705="YES","",IF(ROUND(SUMIFS($AE$2:$AE$4001,$L$2:$L$4001,$L705,$F$2:$F$4001,"4")-SUMIFS('AR SALES'!$Y$2:$Y$2501,'AR SALES'!$L$2:$L$2501,$L705,'AR SALES'!$AD$2:$AD$2501,"OFF"),2)=0,"","STALE")))</f>
        <v/>
      </c>
      <c r="BB705" s="2" t="str">
        <f>IF(OR(""&amp;$F705="2",""&amp;$F705="4",""&amp;$F705="G",""&amp;$F705="H"),IF($AY705="YES","",IF($AB705&lt;&gt;0,"",IF(COUNTIFS('AR SALES'!$L$2:$L$2501,$L705,'AR SALES'!$AD$2:$AD$2501,IF(""&amp;$F705="4","OFF","ON"),'AR SALES'!$AF$2:$AF$2501,"Y")&gt;0,"","NO EXEMPTION"))),"")</f>
        <v/>
      </c>
    </row>
    <row r="706" spans="46:54" x14ac:dyDescent="0.25">
      <c r="AT706" s="2" t="str">
        <f>IF($L706="","",IFERROR(INDEX('AR SALES'!$H$2:$H$2501,MATCH(""&amp;$L706,'AR SALES'!$AE$2:$AE$2501,0)),""))</f>
        <v/>
      </c>
      <c r="AU706" s="2" t="str">
        <f t="shared" ref="AU706:AU769" si="44">IF($L706="","",IF($A706&lt;&gt;"GA","",IF($E706="FULTON",IF(ISNUMBER(SEARCH("COLLEGE PARK",$AT706)),"FULTON (COLLEGE PARK)",IF(ISNUMBER(SEARCH("ATLANTA CITY",$AT706)),"FULTON (ATL LIMITS)","FULTON")),IF($E706="DEKALB",IF(ISNUMBER(SEARCH("ATLANTA CITY",$AT706)),"DEKALB (ATL LIMITS)","DEKALB"),$E706))))</f>
        <v/>
      </c>
      <c r="AV706" s="2" t="str">
        <f t="shared" ref="AV706:AV769" si="45">IF($L706="","",IF(""&amp;$F706="2","DIESEL",IF(OR(""&amp;$F706="G",""&amp;$F706="H"),"GAS","")))</f>
        <v/>
      </c>
      <c r="AW706" s="2" t="str">
        <f t="shared" ref="AW706:AW769" si="46">IF($AV706="","",$R706)</f>
        <v/>
      </c>
      <c r="AX706" s="2" t="str">
        <f t="shared" ref="AX706:AX769" si="47">IF($AV706="","",IF($AB706=0,$R706,0))</f>
        <v/>
      </c>
      <c r="AY706" s="2" t="str">
        <f>IF($AV706="","",IF(AND($Z706=0,COUNTIF('AR SALES'!$L$2:$L$2501,$L706)=0),"YES",""))</f>
        <v/>
      </c>
      <c r="AZ706" s="2" t="str">
        <f>IF($AV706="","",IF(COUNTIF(LISTS!$C$2:$C$250,$AU706)=0,"NEW",""))</f>
        <v/>
      </c>
      <c r="BA706" s="2" t="str">
        <f>IF(""&amp;$F706&lt;&gt;"4","",IF($AY706="YES","",IF(ROUND(SUMIFS($AE$2:$AE$4001,$L$2:$L$4001,$L706,$F$2:$F$4001,"4")-SUMIFS('AR SALES'!$Y$2:$Y$2501,'AR SALES'!$L$2:$L$2501,$L706,'AR SALES'!$AD$2:$AD$2501,"OFF"),2)=0,"","STALE")))</f>
        <v/>
      </c>
      <c r="BB706" s="2" t="str">
        <f>IF(OR(""&amp;$F706="2",""&amp;$F706="4",""&amp;$F706="G",""&amp;$F706="H"),IF($AY706="YES","",IF($AB706&lt;&gt;0,"",IF(COUNTIFS('AR SALES'!$L$2:$L$2501,$L706,'AR SALES'!$AD$2:$AD$2501,IF(""&amp;$F706="4","OFF","ON"),'AR SALES'!$AF$2:$AF$2501,"Y")&gt;0,"","NO EXEMPTION"))),"")</f>
        <v/>
      </c>
    </row>
    <row r="707" spans="46:54" x14ac:dyDescent="0.25">
      <c r="AT707" s="2" t="str">
        <f>IF($L707="","",IFERROR(INDEX('AR SALES'!$H$2:$H$2501,MATCH(""&amp;$L707,'AR SALES'!$AE$2:$AE$2501,0)),""))</f>
        <v/>
      </c>
      <c r="AU707" s="2" t="str">
        <f t="shared" si="44"/>
        <v/>
      </c>
      <c r="AV707" s="2" t="str">
        <f t="shared" si="45"/>
        <v/>
      </c>
      <c r="AW707" s="2" t="str">
        <f t="shared" si="46"/>
        <v/>
      </c>
      <c r="AX707" s="2" t="str">
        <f t="shared" si="47"/>
        <v/>
      </c>
      <c r="AY707" s="2" t="str">
        <f>IF($AV707="","",IF(AND($Z707=0,COUNTIF('AR SALES'!$L$2:$L$2501,$L707)=0),"YES",""))</f>
        <v/>
      </c>
      <c r="AZ707" s="2" t="str">
        <f>IF($AV707="","",IF(COUNTIF(LISTS!$C$2:$C$250,$AU707)=0,"NEW",""))</f>
        <v/>
      </c>
      <c r="BA707" s="2" t="str">
        <f>IF(""&amp;$F707&lt;&gt;"4","",IF($AY707="YES","",IF(ROUND(SUMIFS($AE$2:$AE$4001,$L$2:$L$4001,$L707,$F$2:$F$4001,"4")-SUMIFS('AR SALES'!$Y$2:$Y$2501,'AR SALES'!$L$2:$L$2501,$L707,'AR SALES'!$AD$2:$AD$2501,"OFF"),2)=0,"","STALE")))</f>
        <v/>
      </c>
      <c r="BB707" s="2" t="str">
        <f>IF(OR(""&amp;$F707="2",""&amp;$F707="4",""&amp;$F707="G",""&amp;$F707="H"),IF($AY707="YES","",IF($AB707&lt;&gt;0,"",IF(COUNTIFS('AR SALES'!$L$2:$L$2501,$L707,'AR SALES'!$AD$2:$AD$2501,IF(""&amp;$F707="4","OFF","ON"),'AR SALES'!$AF$2:$AF$2501,"Y")&gt;0,"","NO EXEMPTION"))),"")</f>
        <v/>
      </c>
    </row>
    <row r="708" spans="46:54" x14ac:dyDescent="0.25">
      <c r="AT708" s="2" t="str">
        <f>IF($L708="","",IFERROR(INDEX('AR SALES'!$H$2:$H$2501,MATCH(""&amp;$L708,'AR SALES'!$AE$2:$AE$2501,0)),""))</f>
        <v/>
      </c>
      <c r="AU708" s="2" t="str">
        <f t="shared" si="44"/>
        <v/>
      </c>
      <c r="AV708" s="2" t="str">
        <f t="shared" si="45"/>
        <v/>
      </c>
      <c r="AW708" s="2" t="str">
        <f t="shared" si="46"/>
        <v/>
      </c>
      <c r="AX708" s="2" t="str">
        <f t="shared" si="47"/>
        <v/>
      </c>
      <c r="AY708" s="2" t="str">
        <f>IF($AV708="","",IF(AND($Z708=0,COUNTIF('AR SALES'!$L$2:$L$2501,$L708)=0),"YES",""))</f>
        <v/>
      </c>
      <c r="AZ708" s="2" t="str">
        <f>IF($AV708="","",IF(COUNTIF(LISTS!$C$2:$C$250,$AU708)=0,"NEW",""))</f>
        <v/>
      </c>
      <c r="BA708" s="2" t="str">
        <f>IF(""&amp;$F708&lt;&gt;"4","",IF($AY708="YES","",IF(ROUND(SUMIFS($AE$2:$AE$4001,$L$2:$L$4001,$L708,$F$2:$F$4001,"4")-SUMIFS('AR SALES'!$Y$2:$Y$2501,'AR SALES'!$L$2:$L$2501,$L708,'AR SALES'!$AD$2:$AD$2501,"OFF"),2)=0,"","STALE")))</f>
        <v/>
      </c>
      <c r="BB708" s="2" t="str">
        <f>IF(OR(""&amp;$F708="2",""&amp;$F708="4",""&amp;$F708="G",""&amp;$F708="H"),IF($AY708="YES","",IF($AB708&lt;&gt;0,"",IF(COUNTIFS('AR SALES'!$L$2:$L$2501,$L708,'AR SALES'!$AD$2:$AD$2501,IF(""&amp;$F708="4","OFF","ON"),'AR SALES'!$AF$2:$AF$2501,"Y")&gt;0,"","NO EXEMPTION"))),"")</f>
        <v/>
      </c>
    </row>
    <row r="709" spans="46:54" x14ac:dyDescent="0.25">
      <c r="AT709" s="2" t="str">
        <f>IF($L709="","",IFERROR(INDEX('AR SALES'!$H$2:$H$2501,MATCH(""&amp;$L709,'AR SALES'!$AE$2:$AE$2501,0)),""))</f>
        <v/>
      </c>
      <c r="AU709" s="2" t="str">
        <f t="shared" si="44"/>
        <v/>
      </c>
      <c r="AV709" s="2" t="str">
        <f t="shared" si="45"/>
        <v/>
      </c>
      <c r="AW709" s="2" t="str">
        <f t="shared" si="46"/>
        <v/>
      </c>
      <c r="AX709" s="2" t="str">
        <f t="shared" si="47"/>
        <v/>
      </c>
      <c r="AY709" s="2" t="str">
        <f>IF($AV709="","",IF(AND($Z709=0,COUNTIF('AR SALES'!$L$2:$L$2501,$L709)=0),"YES",""))</f>
        <v/>
      </c>
      <c r="AZ709" s="2" t="str">
        <f>IF($AV709="","",IF(COUNTIF(LISTS!$C$2:$C$250,$AU709)=0,"NEW",""))</f>
        <v/>
      </c>
      <c r="BA709" s="2" t="str">
        <f>IF(""&amp;$F709&lt;&gt;"4","",IF($AY709="YES","",IF(ROUND(SUMIFS($AE$2:$AE$4001,$L$2:$L$4001,$L709,$F$2:$F$4001,"4")-SUMIFS('AR SALES'!$Y$2:$Y$2501,'AR SALES'!$L$2:$L$2501,$L709,'AR SALES'!$AD$2:$AD$2501,"OFF"),2)=0,"","STALE")))</f>
        <v/>
      </c>
      <c r="BB709" s="2" t="str">
        <f>IF(OR(""&amp;$F709="2",""&amp;$F709="4",""&amp;$F709="G",""&amp;$F709="H"),IF($AY709="YES","",IF($AB709&lt;&gt;0,"",IF(COUNTIFS('AR SALES'!$L$2:$L$2501,$L709,'AR SALES'!$AD$2:$AD$2501,IF(""&amp;$F709="4","OFF","ON"),'AR SALES'!$AF$2:$AF$2501,"Y")&gt;0,"","NO EXEMPTION"))),"")</f>
        <v/>
      </c>
    </row>
    <row r="710" spans="46:54" x14ac:dyDescent="0.25">
      <c r="AT710" s="2" t="str">
        <f>IF($L710="","",IFERROR(INDEX('AR SALES'!$H$2:$H$2501,MATCH(""&amp;$L710,'AR SALES'!$AE$2:$AE$2501,0)),""))</f>
        <v/>
      </c>
      <c r="AU710" s="2" t="str">
        <f t="shared" si="44"/>
        <v/>
      </c>
      <c r="AV710" s="2" t="str">
        <f t="shared" si="45"/>
        <v/>
      </c>
      <c r="AW710" s="2" t="str">
        <f t="shared" si="46"/>
        <v/>
      </c>
      <c r="AX710" s="2" t="str">
        <f t="shared" si="47"/>
        <v/>
      </c>
      <c r="AY710" s="2" t="str">
        <f>IF($AV710="","",IF(AND($Z710=0,COUNTIF('AR SALES'!$L$2:$L$2501,$L710)=0),"YES",""))</f>
        <v/>
      </c>
      <c r="AZ710" s="2" t="str">
        <f>IF($AV710="","",IF(COUNTIF(LISTS!$C$2:$C$250,$AU710)=0,"NEW",""))</f>
        <v/>
      </c>
      <c r="BA710" s="2" t="str">
        <f>IF(""&amp;$F710&lt;&gt;"4","",IF($AY710="YES","",IF(ROUND(SUMIFS($AE$2:$AE$4001,$L$2:$L$4001,$L710,$F$2:$F$4001,"4")-SUMIFS('AR SALES'!$Y$2:$Y$2501,'AR SALES'!$L$2:$L$2501,$L710,'AR SALES'!$AD$2:$AD$2501,"OFF"),2)=0,"","STALE")))</f>
        <v/>
      </c>
      <c r="BB710" s="2" t="str">
        <f>IF(OR(""&amp;$F710="2",""&amp;$F710="4",""&amp;$F710="G",""&amp;$F710="H"),IF($AY710="YES","",IF($AB710&lt;&gt;0,"",IF(COUNTIFS('AR SALES'!$L$2:$L$2501,$L710,'AR SALES'!$AD$2:$AD$2501,IF(""&amp;$F710="4","OFF","ON"),'AR SALES'!$AF$2:$AF$2501,"Y")&gt;0,"","NO EXEMPTION"))),"")</f>
        <v/>
      </c>
    </row>
    <row r="711" spans="46:54" x14ac:dyDescent="0.25">
      <c r="AT711" s="2" t="str">
        <f>IF($L711="","",IFERROR(INDEX('AR SALES'!$H$2:$H$2501,MATCH(""&amp;$L711,'AR SALES'!$AE$2:$AE$2501,0)),""))</f>
        <v/>
      </c>
      <c r="AU711" s="2" t="str">
        <f t="shared" si="44"/>
        <v/>
      </c>
      <c r="AV711" s="2" t="str">
        <f t="shared" si="45"/>
        <v/>
      </c>
      <c r="AW711" s="2" t="str">
        <f t="shared" si="46"/>
        <v/>
      </c>
      <c r="AX711" s="2" t="str">
        <f t="shared" si="47"/>
        <v/>
      </c>
      <c r="AY711" s="2" t="str">
        <f>IF($AV711="","",IF(AND($Z711=0,COUNTIF('AR SALES'!$L$2:$L$2501,$L711)=0),"YES",""))</f>
        <v/>
      </c>
      <c r="AZ711" s="2" t="str">
        <f>IF($AV711="","",IF(COUNTIF(LISTS!$C$2:$C$250,$AU711)=0,"NEW",""))</f>
        <v/>
      </c>
      <c r="BA711" s="2" t="str">
        <f>IF(""&amp;$F711&lt;&gt;"4","",IF($AY711="YES","",IF(ROUND(SUMIFS($AE$2:$AE$4001,$L$2:$L$4001,$L711,$F$2:$F$4001,"4")-SUMIFS('AR SALES'!$Y$2:$Y$2501,'AR SALES'!$L$2:$L$2501,$L711,'AR SALES'!$AD$2:$AD$2501,"OFF"),2)=0,"","STALE")))</f>
        <v/>
      </c>
      <c r="BB711" s="2" t="str">
        <f>IF(OR(""&amp;$F711="2",""&amp;$F711="4",""&amp;$F711="G",""&amp;$F711="H"),IF($AY711="YES","",IF($AB711&lt;&gt;0,"",IF(COUNTIFS('AR SALES'!$L$2:$L$2501,$L711,'AR SALES'!$AD$2:$AD$2501,IF(""&amp;$F711="4","OFF","ON"),'AR SALES'!$AF$2:$AF$2501,"Y")&gt;0,"","NO EXEMPTION"))),"")</f>
        <v/>
      </c>
    </row>
    <row r="712" spans="46:54" x14ac:dyDescent="0.25">
      <c r="AT712" s="2" t="str">
        <f>IF($L712="","",IFERROR(INDEX('AR SALES'!$H$2:$H$2501,MATCH(""&amp;$L712,'AR SALES'!$AE$2:$AE$2501,0)),""))</f>
        <v/>
      </c>
      <c r="AU712" s="2" t="str">
        <f t="shared" si="44"/>
        <v/>
      </c>
      <c r="AV712" s="2" t="str">
        <f t="shared" si="45"/>
        <v/>
      </c>
      <c r="AW712" s="2" t="str">
        <f t="shared" si="46"/>
        <v/>
      </c>
      <c r="AX712" s="2" t="str">
        <f t="shared" si="47"/>
        <v/>
      </c>
      <c r="AY712" s="2" t="str">
        <f>IF($AV712="","",IF(AND($Z712=0,COUNTIF('AR SALES'!$L$2:$L$2501,$L712)=0),"YES",""))</f>
        <v/>
      </c>
      <c r="AZ712" s="2" t="str">
        <f>IF($AV712="","",IF(COUNTIF(LISTS!$C$2:$C$250,$AU712)=0,"NEW",""))</f>
        <v/>
      </c>
      <c r="BA712" s="2" t="str">
        <f>IF(""&amp;$F712&lt;&gt;"4","",IF($AY712="YES","",IF(ROUND(SUMIFS($AE$2:$AE$4001,$L$2:$L$4001,$L712,$F$2:$F$4001,"4")-SUMIFS('AR SALES'!$Y$2:$Y$2501,'AR SALES'!$L$2:$L$2501,$L712,'AR SALES'!$AD$2:$AD$2501,"OFF"),2)=0,"","STALE")))</f>
        <v/>
      </c>
      <c r="BB712" s="2" t="str">
        <f>IF(OR(""&amp;$F712="2",""&amp;$F712="4",""&amp;$F712="G",""&amp;$F712="H"),IF($AY712="YES","",IF($AB712&lt;&gt;0,"",IF(COUNTIFS('AR SALES'!$L$2:$L$2501,$L712,'AR SALES'!$AD$2:$AD$2501,IF(""&amp;$F712="4","OFF","ON"),'AR SALES'!$AF$2:$AF$2501,"Y")&gt;0,"","NO EXEMPTION"))),"")</f>
        <v/>
      </c>
    </row>
    <row r="713" spans="46:54" x14ac:dyDescent="0.25">
      <c r="AT713" s="2" t="str">
        <f>IF($L713="","",IFERROR(INDEX('AR SALES'!$H$2:$H$2501,MATCH(""&amp;$L713,'AR SALES'!$AE$2:$AE$2501,0)),""))</f>
        <v/>
      </c>
      <c r="AU713" s="2" t="str">
        <f t="shared" si="44"/>
        <v/>
      </c>
      <c r="AV713" s="2" t="str">
        <f t="shared" si="45"/>
        <v/>
      </c>
      <c r="AW713" s="2" t="str">
        <f t="shared" si="46"/>
        <v/>
      </c>
      <c r="AX713" s="2" t="str">
        <f t="shared" si="47"/>
        <v/>
      </c>
      <c r="AY713" s="2" t="str">
        <f>IF($AV713="","",IF(AND($Z713=0,COUNTIF('AR SALES'!$L$2:$L$2501,$L713)=0),"YES",""))</f>
        <v/>
      </c>
      <c r="AZ713" s="2" t="str">
        <f>IF($AV713="","",IF(COUNTIF(LISTS!$C$2:$C$250,$AU713)=0,"NEW",""))</f>
        <v/>
      </c>
      <c r="BA713" s="2" t="str">
        <f>IF(""&amp;$F713&lt;&gt;"4","",IF($AY713="YES","",IF(ROUND(SUMIFS($AE$2:$AE$4001,$L$2:$L$4001,$L713,$F$2:$F$4001,"4")-SUMIFS('AR SALES'!$Y$2:$Y$2501,'AR SALES'!$L$2:$L$2501,$L713,'AR SALES'!$AD$2:$AD$2501,"OFF"),2)=0,"","STALE")))</f>
        <v/>
      </c>
      <c r="BB713" s="2" t="str">
        <f>IF(OR(""&amp;$F713="2",""&amp;$F713="4",""&amp;$F713="G",""&amp;$F713="H"),IF($AY713="YES","",IF($AB713&lt;&gt;0,"",IF(COUNTIFS('AR SALES'!$L$2:$L$2501,$L713,'AR SALES'!$AD$2:$AD$2501,IF(""&amp;$F713="4","OFF","ON"),'AR SALES'!$AF$2:$AF$2501,"Y")&gt;0,"","NO EXEMPTION"))),"")</f>
        <v/>
      </c>
    </row>
    <row r="714" spans="46:54" x14ac:dyDescent="0.25">
      <c r="AT714" s="2" t="str">
        <f>IF($L714="","",IFERROR(INDEX('AR SALES'!$H$2:$H$2501,MATCH(""&amp;$L714,'AR SALES'!$AE$2:$AE$2501,0)),""))</f>
        <v/>
      </c>
      <c r="AU714" s="2" t="str">
        <f t="shared" si="44"/>
        <v/>
      </c>
      <c r="AV714" s="2" t="str">
        <f t="shared" si="45"/>
        <v/>
      </c>
      <c r="AW714" s="2" t="str">
        <f t="shared" si="46"/>
        <v/>
      </c>
      <c r="AX714" s="2" t="str">
        <f t="shared" si="47"/>
        <v/>
      </c>
      <c r="AY714" s="2" t="str">
        <f>IF($AV714="","",IF(AND($Z714=0,COUNTIF('AR SALES'!$L$2:$L$2501,$L714)=0),"YES",""))</f>
        <v/>
      </c>
      <c r="AZ714" s="2" t="str">
        <f>IF($AV714="","",IF(COUNTIF(LISTS!$C$2:$C$250,$AU714)=0,"NEW",""))</f>
        <v/>
      </c>
      <c r="BA714" s="2" t="str">
        <f>IF(""&amp;$F714&lt;&gt;"4","",IF($AY714="YES","",IF(ROUND(SUMIFS($AE$2:$AE$4001,$L$2:$L$4001,$L714,$F$2:$F$4001,"4")-SUMIFS('AR SALES'!$Y$2:$Y$2501,'AR SALES'!$L$2:$L$2501,$L714,'AR SALES'!$AD$2:$AD$2501,"OFF"),2)=0,"","STALE")))</f>
        <v/>
      </c>
      <c r="BB714" s="2" t="str">
        <f>IF(OR(""&amp;$F714="2",""&amp;$F714="4",""&amp;$F714="G",""&amp;$F714="H"),IF($AY714="YES","",IF($AB714&lt;&gt;0,"",IF(COUNTIFS('AR SALES'!$L$2:$L$2501,$L714,'AR SALES'!$AD$2:$AD$2501,IF(""&amp;$F714="4","OFF","ON"),'AR SALES'!$AF$2:$AF$2501,"Y")&gt;0,"","NO EXEMPTION"))),"")</f>
        <v/>
      </c>
    </row>
    <row r="715" spans="46:54" x14ac:dyDescent="0.25">
      <c r="AT715" s="2" t="str">
        <f>IF($L715="","",IFERROR(INDEX('AR SALES'!$H$2:$H$2501,MATCH(""&amp;$L715,'AR SALES'!$AE$2:$AE$2501,0)),""))</f>
        <v/>
      </c>
      <c r="AU715" s="2" t="str">
        <f t="shared" si="44"/>
        <v/>
      </c>
      <c r="AV715" s="2" t="str">
        <f t="shared" si="45"/>
        <v/>
      </c>
      <c r="AW715" s="2" t="str">
        <f t="shared" si="46"/>
        <v/>
      </c>
      <c r="AX715" s="2" t="str">
        <f t="shared" si="47"/>
        <v/>
      </c>
      <c r="AY715" s="2" t="str">
        <f>IF($AV715="","",IF(AND($Z715=0,COUNTIF('AR SALES'!$L$2:$L$2501,$L715)=0),"YES",""))</f>
        <v/>
      </c>
      <c r="AZ715" s="2" t="str">
        <f>IF($AV715="","",IF(COUNTIF(LISTS!$C$2:$C$250,$AU715)=0,"NEW",""))</f>
        <v/>
      </c>
      <c r="BA715" s="2" t="str">
        <f>IF(""&amp;$F715&lt;&gt;"4","",IF($AY715="YES","",IF(ROUND(SUMIFS($AE$2:$AE$4001,$L$2:$L$4001,$L715,$F$2:$F$4001,"4")-SUMIFS('AR SALES'!$Y$2:$Y$2501,'AR SALES'!$L$2:$L$2501,$L715,'AR SALES'!$AD$2:$AD$2501,"OFF"),2)=0,"","STALE")))</f>
        <v/>
      </c>
      <c r="BB715" s="2" t="str">
        <f>IF(OR(""&amp;$F715="2",""&amp;$F715="4",""&amp;$F715="G",""&amp;$F715="H"),IF($AY715="YES","",IF($AB715&lt;&gt;0,"",IF(COUNTIFS('AR SALES'!$L$2:$L$2501,$L715,'AR SALES'!$AD$2:$AD$2501,IF(""&amp;$F715="4","OFF","ON"),'AR SALES'!$AF$2:$AF$2501,"Y")&gt;0,"","NO EXEMPTION"))),"")</f>
        <v/>
      </c>
    </row>
    <row r="716" spans="46:54" x14ac:dyDescent="0.25">
      <c r="AT716" s="2" t="str">
        <f>IF($L716="","",IFERROR(INDEX('AR SALES'!$H$2:$H$2501,MATCH(""&amp;$L716,'AR SALES'!$AE$2:$AE$2501,0)),""))</f>
        <v/>
      </c>
      <c r="AU716" s="2" t="str">
        <f t="shared" si="44"/>
        <v/>
      </c>
      <c r="AV716" s="2" t="str">
        <f t="shared" si="45"/>
        <v/>
      </c>
      <c r="AW716" s="2" t="str">
        <f t="shared" si="46"/>
        <v/>
      </c>
      <c r="AX716" s="2" t="str">
        <f t="shared" si="47"/>
        <v/>
      </c>
      <c r="AY716" s="2" t="str">
        <f>IF($AV716="","",IF(AND($Z716=0,COUNTIF('AR SALES'!$L$2:$L$2501,$L716)=0),"YES",""))</f>
        <v/>
      </c>
      <c r="AZ716" s="2" t="str">
        <f>IF($AV716="","",IF(COUNTIF(LISTS!$C$2:$C$250,$AU716)=0,"NEW",""))</f>
        <v/>
      </c>
      <c r="BA716" s="2" t="str">
        <f>IF(""&amp;$F716&lt;&gt;"4","",IF($AY716="YES","",IF(ROUND(SUMIFS($AE$2:$AE$4001,$L$2:$L$4001,$L716,$F$2:$F$4001,"4")-SUMIFS('AR SALES'!$Y$2:$Y$2501,'AR SALES'!$L$2:$L$2501,$L716,'AR SALES'!$AD$2:$AD$2501,"OFF"),2)=0,"","STALE")))</f>
        <v/>
      </c>
      <c r="BB716" s="2" t="str">
        <f>IF(OR(""&amp;$F716="2",""&amp;$F716="4",""&amp;$F716="G",""&amp;$F716="H"),IF($AY716="YES","",IF($AB716&lt;&gt;0,"",IF(COUNTIFS('AR SALES'!$L$2:$L$2501,$L716,'AR SALES'!$AD$2:$AD$2501,IF(""&amp;$F716="4","OFF","ON"),'AR SALES'!$AF$2:$AF$2501,"Y")&gt;0,"","NO EXEMPTION"))),"")</f>
        <v/>
      </c>
    </row>
    <row r="717" spans="46:54" x14ac:dyDescent="0.25">
      <c r="AT717" s="2" t="str">
        <f>IF($L717="","",IFERROR(INDEX('AR SALES'!$H$2:$H$2501,MATCH(""&amp;$L717,'AR SALES'!$AE$2:$AE$2501,0)),""))</f>
        <v/>
      </c>
      <c r="AU717" s="2" t="str">
        <f t="shared" si="44"/>
        <v/>
      </c>
      <c r="AV717" s="2" t="str">
        <f t="shared" si="45"/>
        <v/>
      </c>
      <c r="AW717" s="2" t="str">
        <f t="shared" si="46"/>
        <v/>
      </c>
      <c r="AX717" s="2" t="str">
        <f t="shared" si="47"/>
        <v/>
      </c>
      <c r="AY717" s="2" t="str">
        <f>IF($AV717="","",IF(AND($Z717=0,COUNTIF('AR SALES'!$L$2:$L$2501,$L717)=0),"YES",""))</f>
        <v/>
      </c>
      <c r="AZ717" s="2" t="str">
        <f>IF($AV717="","",IF(COUNTIF(LISTS!$C$2:$C$250,$AU717)=0,"NEW",""))</f>
        <v/>
      </c>
      <c r="BA717" s="2" t="str">
        <f>IF(""&amp;$F717&lt;&gt;"4","",IF($AY717="YES","",IF(ROUND(SUMIFS($AE$2:$AE$4001,$L$2:$L$4001,$L717,$F$2:$F$4001,"4")-SUMIFS('AR SALES'!$Y$2:$Y$2501,'AR SALES'!$L$2:$L$2501,$L717,'AR SALES'!$AD$2:$AD$2501,"OFF"),2)=0,"","STALE")))</f>
        <v/>
      </c>
      <c r="BB717" s="2" t="str">
        <f>IF(OR(""&amp;$F717="2",""&amp;$F717="4",""&amp;$F717="G",""&amp;$F717="H"),IF($AY717="YES","",IF($AB717&lt;&gt;0,"",IF(COUNTIFS('AR SALES'!$L$2:$L$2501,$L717,'AR SALES'!$AD$2:$AD$2501,IF(""&amp;$F717="4","OFF","ON"),'AR SALES'!$AF$2:$AF$2501,"Y")&gt;0,"","NO EXEMPTION"))),"")</f>
        <v/>
      </c>
    </row>
    <row r="718" spans="46:54" x14ac:dyDescent="0.25">
      <c r="AT718" s="2" t="str">
        <f>IF($L718="","",IFERROR(INDEX('AR SALES'!$H$2:$H$2501,MATCH(""&amp;$L718,'AR SALES'!$AE$2:$AE$2501,0)),""))</f>
        <v/>
      </c>
      <c r="AU718" s="2" t="str">
        <f t="shared" si="44"/>
        <v/>
      </c>
      <c r="AV718" s="2" t="str">
        <f t="shared" si="45"/>
        <v/>
      </c>
      <c r="AW718" s="2" t="str">
        <f t="shared" si="46"/>
        <v/>
      </c>
      <c r="AX718" s="2" t="str">
        <f t="shared" si="47"/>
        <v/>
      </c>
      <c r="AY718" s="2" t="str">
        <f>IF($AV718="","",IF(AND($Z718=0,COUNTIF('AR SALES'!$L$2:$L$2501,$L718)=0),"YES",""))</f>
        <v/>
      </c>
      <c r="AZ718" s="2" t="str">
        <f>IF($AV718="","",IF(COUNTIF(LISTS!$C$2:$C$250,$AU718)=0,"NEW",""))</f>
        <v/>
      </c>
      <c r="BA718" s="2" t="str">
        <f>IF(""&amp;$F718&lt;&gt;"4","",IF($AY718="YES","",IF(ROUND(SUMIFS($AE$2:$AE$4001,$L$2:$L$4001,$L718,$F$2:$F$4001,"4")-SUMIFS('AR SALES'!$Y$2:$Y$2501,'AR SALES'!$L$2:$L$2501,$L718,'AR SALES'!$AD$2:$AD$2501,"OFF"),2)=0,"","STALE")))</f>
        <v/>
      </c>
      <c r="BB718" s="2" t="str">
        <f>IF(OR(""&amp;$F718="2",""&amp;$F718="4",""&amp;$F718="G",""&amp;$F718="H"),IF($AY718="YES","",IF($AB718&lt;&gt;0,"",IF(COUNTIFS('AR SALES'!$L$2:$L$2501,$L718,'AR SALES'!$AD$2:$AD$2501,IF(""&amp;$F718="4","OFF","ON"),'AR SALES'!$AF$2:$AF$2501,"Y")&gt;0,"","NO EXEMPTION"))),"")</f>
        <v/>
      </c>
    </row>
    <row r="719" spans="46:54" x14ac:dyDescent="0.25">
      <c r="AT719" s="2" t="str">
        <f>IF($L719="","",IFERROR(INDEX('AR SALES'!$H$2:$H$2501,MATCH(""&amp;$L719,'AR SALES'!$AE$2:$AE$2501,0)),""))</f>
        <v/>
      </c>
      <c r="AU719" s="2" t="str">
        <f t="shared" si="44"/>
        <v/>
      </c>
      <c r="AV719" s="2" t="str">
        <f t="shared" si="45"/>
        <v/>
      </c>
      <c r="AW719" s="2" t="str">
        <f t="shared" si="46"/>
        <v/>
      </c>
      <c r="AX719" s="2" t="str">
        <f t="shared" si="47"/>
        <v/>
      </c>
      <c r="AY719" s="2" t="str">
        <f>IF($AV719="","",IF(AND($Z719=0,COUNTIF('AR SALES'!$L$2:$L$2501,$L719)=0),"YES",""))</f>
        <v/>
      </c>
      <c r="AZ719" s="2" t="str">
        <f>IF($AV719="","",IF(COUNTIF(LISTS!$C$2:$C$250,$AU719)=0,"NEW",""))</f>
        <v/>
      </c>
      <c r="BA719" s="2" t="str">
        <f>IF(""&amp;$F719&lt;&gt;"4","",IF($AY719="YES","",IF(ROUND(SUMIFS($AE$2:$AE$4001,$L$2:$L$4001,$L719,$F$2:$F$4001,"4")-SUMIFS('AR SALES'!$Y$2:$Y$2501,'AR SALES'!$L$2:$L$2501,$L719,'AR SALES'!$AD$2:$AD$2501,"OFF"),2)=0,"","STALE")))</f>
        <v/>
      </c>
      <c r="BB719" s="2" t="str">
        <f>IF(OR(""&amp;$F719="2",""&amp;$F719="4",""&amp;$F719="G",""&amp;$F719="H"),IF($AY719="YES","",IF($AB719&lt;&gt;0,"",IF(COUNTIFS('AR SALES'!$L$2:$L$2501,$L719,'AR SALES'!$AD$2:$AD$2501,IF(""&amp;$F719="4","OFF","ON"),'AR SALES'!$AF$2:$AF$2501,"Y")&gt;0,"","NO EXEMPTION"))),"")</f>
        <v/>
      </c>
    </row>
    <row r="720" spans="46:54" x14ac:dyDescent="0.25">
      <c r="AT720" s="2" t="str">
        <f>IF($L720="","",IFERROR(INDEX('AR SALES'!$H$2:$H$2501,MATCH(""&amp;$L720,'AR SALES'!$AE$2:$AE$2501,0)),""))</f>
        <v/>
      </c>
      <c r="AU720" s="2" t="str">
        <f t="shared" si="44"/>
        <v/>
      </c>
      <c r="AV720" s="2" t="str">
        <f t="shared" si="45"/>
        <v/>
      </c>
      <c r="AW720" s="2" t="str">
        <f t="shared" si="46"/>
        <v/>
      </c>
      <c r="AX720" s="2" t="str">
        <f t="shared" si="47"/>
        <v/>
      </c>
      <c r="AY720" s="2" t="str">
        <f>IF($AV720="","",IF(AND($Z720=0,COUNTIF('AR SALES'!$L$2:$L$2501,$L720)=0),"YES",""))</f>
        <v/>
      </c>
      <c r="AZ720" s="2" t="str">
        <f>IF($AV720="","",IF(COUNTIF(LISTS!$C$2:$C$250,$AU720)=0,"NEW",""))</f>
        <v/>
      </c>
      <c r="BA720" s="2" t="str">
        <f>IF(""&amp;$F720&lt;&gt;"4","",IF($AY720="YES","",IF(ROUND(SUMIFS($AE$2:$AE$4001,$L$2:$L$4001,$L720,$F$2:$F$4001,"4")-SUMIFS('AR SALES'!$Y$2:$Y$2501,'AR SALES'!$L$2:$L$2501,$L720,'AR SALES'!$AD$2:$AD$2501,"OFF"),2)=0,"","STALE")))</f>
        <v/>
      </c>
      <c r="BB720" s="2" t="str">
        <f>IF(OR(""&amp;$F720="2",""&amp;$F720="4",""&amp;$F720="G",""&amp;$F720="H"),IF($AY720="YES","",IF($AB720&lt;&gt;0,"",IF(COUNTIFS('AR SALES'!$L$2:$L$2501,$L720,'AR SALES'!$AD$2:$AD$2501,IF(""&amp;$F720="4","OFF","ON"),'AR SALES'!$AF$2:$AF$2501,"Y")&gt;0,"","NO EXEMPTION"))),"")</f>
        <v/>
      </c>
    </row>
    <row r="721" spans="46:54" x14ac:dyDescent="0.25">
      <c r="AT721" s="2" t="str">
        <f>IF($L721="","",IFERROR(INDEX('AR SALES'!$H$2:$H$2501,MATCH(""&amp;$L721,'AR SALES'!$AE$2:$AE$2501,0)),""))</f>
        <v/>
      </c>
      <c r="AU721" s="2" t="str">
        <f t="shared" si="44"/>
        <v/>
      </c>
      <c r="AV721" s="2" t="str">
        <f t="shared" si="45"/>
        <v/>
      </c>
      <c r="AW721" s="2" t="str">
        <f t="shared" si="46"/>
        <v/>
      </c>
      <c r="AX721" s="2" t="str">
        <f t="shared" si="47"/>
        <v/>
      </c>
      <c r="AY721" s="2" t="str">
        <f>IF($AV721="","",IF(AND($Z721=0,COUNTIF('AR SALES'!$L$2:$L$2501,$L721)=0),"YES",""))</f>
        <v/>
      </c>
      <c r="AZ721" s="2" t="str">
        <f>IF($AV721="","",IF(COUNTIF(LISTS!$C$2:$C$250,$AU721)=0,"NEW",""))</f>
        <v/>
      </c>
      <c r="BA721" s="2" t="str">
        <f>IF(""&amp;$F721&lt;&gt;"4","",IF($AY721="YES","",IF(ROUND(SUMIFS($AE$2:$AE$4001,$L$2:$L$4001,$L721,$F$2:$F$4001,"4")-SUMIFS('AR SALES'!$Y$2:$Y$2501,'AR SALES'!$L$2:$L$2501,$L721,'AR SALES'!$AD$2:$AD$2501,"OFF"),2)=0,"","STALE")))</f>
        <v/>
      </c>
      <c r="BB721" s="2" t="str">
        <f>IF(OR(""&amp;$F721="2",""&amp;$F721="4",""&amp;$F721="G",""&amp;$F721="H"),IF($AY721="YES","",IF($AB721&lt;&gt;0,"",IF(COUNTIFS('AR SALES'!$L$2:$L$2501,$L721,'AR SALES'!$AD$2:$AD$2501,IF(""&amp;$F721="4","OFF","ON"),'AR SALES'!$AF$2:$AF$2501,"Y")&gt;0,"","NO EXEMPTION"))),"")</f>
        <v/>
      </c>
    </row>
    <row r="722" spans="46:54" x14ac:dyDescent="0.25">
      <c r="AT722" s="2" t="str">
        <f>IF($L722="","",IFERROR(INDEX('AR SALES'!$H$2:$H$2501,MATCH(""&amp;$L722,'AR SALES'!$AE$2:$AE$2501,0)),""))</f>
        <v/>
      </c>
      <c r="AU722" s="2" t="str">
        <f t="shared" si="44"/>
        <v/>
      </c>
      <c r="AV722" s="2" t="str">
        <f t="shared" si="45"/>
        <v/>
      </c>
      <c r="AW722" s="2" t="str">
        <f t="shared" si="46"/>
        <v/>
      </c>
      <c r="AX722" s="2" t="str">
        <f t="shared" si="47"/>
        <v/>
      </c>
      <c r="AY722" s="2" t="str">
        <f>IF($AV722="","",IF(AND($Z722=0,COUNTIF('AR SALES'!$L$2:$L$2501,$L722)=0),"YES",""))</f>
        <v/>
      </c>
      <c r="AZ722" s="2" t="str">
        <f>IF($AV722="","",IF(COUNTIF(LISTS!$C$2:$C$250,$AU722)=0,"NEW",""))</f>
        <v/>
      </c>
      <c r="BA722" s="2" t="str">
        <f>IF(""&amp;$F722&lt;&gt;"4","",IF($AY722="YES","",IF(ROUND(SUMIFS($AE$2:$AE$4001,$L$2:$L$4001,$L722,$F$2:$F$4001,"4")-SUMIFS('AR SALES'!$Y$2:$Y$2501,'AR SALES'!$L$2:$L$2501,$L722,'AR SALES'!$AD$2:$AD$2501,"OFF"),2)=0,"","STALE")))</f>
        <v/>
      </c>
      <c r="BB722" s="2" t="str">
        <f>IF(OR(""&amp;$F722="2",""&amp;$F722="4",""&amp;$F722="G",""&amp;$F722="H"),IF($AY722="YES","",IF($AB722&lt;&gt;0,"",IF(COUNTIFS('AR SALES'!$L$2:$L$2501,$L722,'AR SALES'!$AD$2:$AD$2501,IF(""&amp;$F722="4","OFF","ON"),'AR SALES'!$AF$2:$AF$2501,"Y")&gt;0,"","NO EXEMPTION"))),"")</f>
        <v/>
      </c>
    </row>
    <row r="723" spans="46:54" x14ac:dyDescent="0.25">
      <c r="AT723" s="2" t="str">
        <f>IF($L723="","",IFERROR(INDEX('AR SALES'!$H$2:$H$2501,MATCH(""&amp;$L723,'AR SALES'!$AE$2:$AE$2501,0)),""))</f>
        <v/>
      </c>
      <c r="AU723" s="2" t="str">
        <f t="shared" si="44"/>
        <v/>
      </c>
      <c r="AV723" s="2" t="str">
        <f t="shared" si="45"/>
        <v/>
      </c>
      <c r="AW723" s="2" t="str">
        <f t="shared" si="46"/>
        <v/>
      </c>
      <c r="AX723" s="2" t="str">
        <f t="shared" si="47"/>
        <v/>
      </c>
      <c r="AY723" s="2" t="str">
        <f>IF($AV723="","",IF(AND($Z723=0,COUNTIF('AR SALES'!$L$2:$L$2501,$L723)=0),"YES",""))</f>
        <v/>
      </c>
      <c r="AZ723" s="2" t="str">
        <f>IF($AV723="","",IF(COUNTIF(LISTS!$C$2:$C$250,$AU723)=0,"NEW",""))</f>
        <v/>
      </c>
      <c r="BA723" s="2" t="str">
        <f>IF(""&amp;$F723&lt;&gt;"4","",IF($AY723="YES","",IF(ROUND(SUMIFS($AE$2:$AE$4001,$L$2:$L$4001,$L723,$F$2:$F$4001,"4")-SUMIFS('AR SALES'!$Y$2:$Y$2501,'AR SALES'!$L$2:$L$2501,$L723,'AR SALES'!$AD$2:$AD$2501,"OFF"),2)=0,"","STALE")))</f>
        <v/>
      </c>
      <c r="BB723" s="2" t="str">
        <f>IF(OR(""&amp;$F723="2",""&amp;$F723="4",""&amp;$F723="G",""&amp;$F723="H"),IF($AY723="YES","",IF($AB723&lt;&gt;0,"",IF(COUNTIFS('AR SALES'!$L$2:$L$2501,$L723,'AR SALES'!$AD$2:$AD$2501,IF(""&amp;$F723="4","OFF","ON"),'AR SALES'!$AF$2:$AF$2501,"Y")&gt;0,"","NO EXEMPTION"))),"")</f>
        <v/>
      </c>
    </row>
    <row r="724" spans="46:54" x14ac:dyDescent="0.25">
      <c r="AT724" s="2" t="str">
        <f>IF($L724="","",IFERROR(INDEX('AR SALES'!$H$2:$H$2501,MATCH(""&amp;$L724,'AR SALES'!$AE$2:$AE$2501,0)),""))</f>
        <v/>
      </c>
      <c r="AU724" s="2" t="str">
        <f t="shared" si="44"/>
        <v/>
      </c>
      <c r="AV724" s="2" t="str">
        <f t="shared" si="45"/>
        <v/>
      </c>
      <c r="AW724" s="2" t="str">
        <f t="shared" si="46"/>
        <v/>
      </c>
      <c r="AX724" s="2" t="str">
        <f t="shared" si="47"/>
        <v/>
      </c>
      <c r="AY724" s="2" t="str">
        <f>IF($AV724="","",IF(AND($Z724=0,COUNTIF('AR SALES'!$L$2:$L$2501,$L724)=0),"YES",""))</f>
        <v/>
      </c>
      <c r="AZ724" s="2" t="str">
        <f>IF($AV724="","",IF(COUNTIF(LISTS!$C$2:$C$250,$AU724)=0,"NEW",""))</f>
        <v/>
      </c>
      <c r="BA724" s="2" t="str">
        <f>IF(""&amp;$F724&lt;&gt;"4","",IF($AY724="YES","",IF(ROUND(SUMIFS($AE$2:$AE$4001,$L$2:$L$4001,$L724,$F$2:$F$4001,"4")-SUMIFS('AR SALES'!$Y$2:$Y$2501,'AR SALES'!$L$2:$L$2501,$L724,'AR SALES'!$AD$2:$AD$2501,"OFF"),2)=0,"","STALE")))</f>
        <v/>
      </c>
      <c r="BB724" s="2" t="str">
        <f>IF(OR(""&amp;$F724="2",""&amp;$F724="4",""&amp;$F724="G",""&amp;$F724="H"),IF($AY724="YES","",IF($AB724&lt;&gt;0,"",IF(COUNTIFS('AR SALES'!$L$2:$L$2501,$L724,'AR SALES'!$AD$2:$AD$2501,IF(""&amp;$F724="4","OFF","ON"),'AR SALES'!$AF$2:$AF$2501,"Y")&gt;0,"","NO EXEMPTION"))),"")</f>
        <v/>
      </c>
    </row>
    <row r="725" spans="46:54" x14ac:dyDescent="0.25">
      <c r="AT725" s="2" t="str">
        <f>IF($L725="","",IFERROR(INDEX('AR SALES'!$H$2:$H$2501,MATCH(""&amp;$L725,'AR SALES'!$AE$2:$AE$2501,0)),""))</f>
        <v/>
      </c>
      <c r="AU725" s="2" t="str">
        <f t="shared" si="44"/>
        <v/>
      </c>
      <c r="AV725" s="2" t="str">
        <f t="shared" si="45"/>
        <v/>
      </c>
      <c r="AW725" s="2" t="str">
        <f t="shared" si="46"/>
        <v/>
      </c>
      <c r="AX725" s="2" t="str">
        <f t="shared" si="47"/>
        <v/>
      </c>
      <c r="AY725" s="2" t="str">
        <f>IF($AV725="","",IF(AND($Z725=0,COUNTIF('AR SALES'!$L$2:$L$2501,$L725)=0),"YES",""))</f>
        <v/>
      </c>
      <c r="AZ725" s="2" t="str">
        <f>IF($AV725="","",IF(COUNTIF(LISTS!$C$2:$C$250,$AU725)=0,"NEW",""))</f>
        <v/>
      </c>
      <c r="BA725" s="2" t="str">
        <f>IF(""&amp;$F725&lt;&gt;"4","",IF($AY725="YES","",IF(ROUND(SUMIFS($AE$2:$AE$4001,$L$2:$L$4001,$L725,$F$2:$F$4001,"4")-SUMIFS('AR SALES'!$Y$2:$Y$2501,'AR SALES'!$L$2:$L$2501,$L725,'AR SALES'!$AD$2:$AD$2501,"OFF"),2)=0,"","STALE")))</f>
        <v/>
      </c>
      <c r="BB725" s="2" t="str">
        <f>IF(OR(""&amp;$F725="2",""&amp;$F725="4",""&amp;$F725="G",""&amp;$F725="H"),IF($AY725="YES","",IF($AB725&lt;&gt;0,"",IF(COUNTIFS('AR SALES'!$L$2:$L$2501,$L725,'AR SALES'!$AD$2:$AD$2501,IF(""&amp;$F725="4","OFF","ON"),'AR SALES'!$AF$2:$AF$2501,"Y")&gt;0,"","NO EXEMPTION"))),"")</f>
        <v/>
      </c>
    </row>
    <row r="726" spans="46:54" x14ac:dyDescent="0.25">
      <c r="AT726" s="2" t="str">
        <f>IF($L726="","",IFERROR(INDEX('AR SALES'!$H$2:$H$2501,MATCH(""&amp;$L726,'AR SALES'!$AE$2:$AE$2501,0)),""))</f>
        <v/>
      </c>
      <c r="AU726" s="2" t="str">
        <f t="shared" si="44"/>
        <v/>
      </c>
      <c r="AV726" s="2" t="str">
        <f t="shared" si="45"/>
        <v/>
      </c>
      <c r="AW726" s="2" t="str">
        <f t="shared" si="46"/>
        <v/>
      </c>
      <c r="AX726" s="2" t="str">
        <f t="shared" si="47"/>
        <v/>
      </c>
      <c r="AY726" s="2" t="str">
        <f>IF($AV726="","",IF(AND($Z726=0,COUNTIF('AR SALES'!$L$2:$L$2501,$L726)=0),"YES",""))</f>
        <v/>
      </c>
      <c r="AZ726" s="2" t="str">
        <f>IF($AV726="","",IF(COUNTIF(LISTS!$C$2:$C$250,$AU726)=0,"NEW",""))</f>
        <v/>
      </c>
      <c r="BA726" s="2" t="str">
        <f>IF(""&amp;$F726&lt;&gt;"4","",IF($AY726="YES","",IF(ROUND(SUMIFS($AE$2:$AE$4001,$L$2:$L$4001,$L726,$F$2:$F$4001,"4")-SUMIFS('AR SALES'!$Y$2:$Y$2501,'AR SALES'!$L$2:$L$2501,$L726,'AR SALES'!$AD$2:$AD$2501,"OFF"),2)=0,"","STALE")))</f>
        <v/>
      </c>
      <c r="BB726" s="2" t="str">
        <f>IF(OR(""&amp;$F726="2",""&amp;$F726="4",""&amp;$F726="G",""&amp;$F726="H"),IF($AY726="YES","",IF($AB726&lt;&gt;0,"",IF(COUNTIFS('AR SALES'!$L$2:$L$2501,$L726,'AR SALES'!$AD$2:$AD$2501,IF(""&amp;$F726="4","OFF","ON"),'AR SALES'!$AF$2:$AF$2501,"Y")&gt;0,"","NO EXEMPTION"))),"")</f>
        <v/>
      </c>
    </row>
    <row r="727" spans="46:54" x14ac:dyDescent="0.25">
      <c r="AT727" s="2" t="str">
        <f>IF($L727="","",IFERROR(INDEX('AR SALES'!$H$2:$H$2501,MATCH(""&amp;$L727,'AR SALES'!$AE$2:$AE$2501,0)),""))</f>
        <v/>
      </c>
      <c r="AU727" s="2" t="str">
        <f t="shared" si="44"/>
        <v/>
      </c>
      <c r="AV727" s="2" t="str">
        <f t="shared" si="45"/>
        <v/>
      </c>
      <c r="AW727" s="2" t="str">
        <f t="shared" si="46"/>
        <v/>
      </c>
      <c r="AX727" s="2" t="str">
        <f t="shared" si="47"/>
        <v/>
      </c>
      <c r="AY727" s="2" t="str">
        <f>IF($AV727="","",IF(AND($Z727=0,COUNTIF('AR SALES'!$L$2:$L$2501,$L727)=0),"YES",""))</f>
        <v/>
      </c>
      <c r="AZ727" s="2" t="str">
        <f>IF($AV727="","",IF(COUNTIF(LISTS!$C$2:$C$250,$AU727)=0,"NEW",""))</f>
        <v/>
      </c>
      <c r="BA727" s="2" t="str">
        <f>IF(""&amp;$F727&lt;&gt;"4","",IF($AY727="YES","",IF(ROUND(SUMIFS($AE$2:$AE$4001,$L$2:$L$4001,$L727,$F$2:$F$4001,"4")-SUMIFS('AR SALES'!$Y$2:$Y$2501,'AR SALES'!$L$2:$L$2501,$L727,'AR SALES'!$AD$2:$AD$2501,"OFF"),2)=0,"","STALE")))</f>
        <v/>
      </c>
      <c r="BB727" s="2" t="str">
        <f>IF(OR(""&amp;$F727="2",""&amp;$F727="4",""&amp;$F727="G",""&amp;$F727="H"),IF($AY727="YES","",IF($AB727&lt;&gt;0,"",IF(COUNTIFS('AR SALES'!$L$2:$L$2501,$L727,'AR SALES'!$AD$2:$AD$2501,IF(""&amp;$F727="4","OFF","ON"),'AR SALES'!$AF$2:$AF$2501,"Y")&gt;0,"","NO EXEMPTION"))),"")</f>
        <v/>
      </c>
    </row>
    <row r="728" spans="46:54" x14ac:dyDescent="0.25">
      <c r="AT728" s="2" t="str">
        <f>IF($L728="","",IFERROR(INDEX('AR SALES'!$H$2:$H$2501,MATCH(""&amp;$L728,'AR SALES'!$AE$2:$AE$2501,0)),""))</f>
        <v/>
      </c>
      <c r="AU728" s="2" t="str">
        <f t="shared" si="44"/>
        <v/>
      </c>
      <c r="AV728" s="2" t="str">
        <f t="shared" si="45"/>
        <v/>
      </c>
      <c r="AW728" s="2" t="str">
        <f t="shared" si="46"/>
        <v/>
      </c>
      <c r="AX728" s="2" t="str">
        <f t="shared" si="47"/>
        <v/>
      </c>
      <c r="AY728" s="2" t="str">
        <f>IF($AV728="","",IF(AND($Z728=0,COUNTIF('AR SALES'!$L$2:$L$2501,$L728)=0),"YES",""))</f>
        <v/>
      </c>
      <c r="AZ728" s="2" t="str">
        <f>IF($AV728="","",IF(COUNTIF(LISTS!$C$2:$C$250,$AU728)=0,"NEW",""))</f>
        <v/>
      </c>
      <c r="BA728" s="2" t="str">
        <f>IF(""&amp;$F728&lt;&gt;"4","",IF($AY728="YES","",IF(ROUND(SUMIFS($AE$2:$AE$4001,$L$2:$L$4001,$L728,$F$2:$F$4001,"4")-SUMIFS('AR SALES'!$Y$2:$Y$2501,'AR SALES'!$L$2:$L$2501,$L728,'AR SALES'!$AD$2:$AD$2501,"OFF"),2)=0,"","STALE")))</f>
        <v/>
      </c>
      <c r="BB728" s="2" t="str">
        <f>IF(OR(""&amp;$F728="2",""&amp;$F728="4",""&amp;$F728="G",""&amp;$F728="H"),IF($AY728="YES","",IF($AB728&lt;&gt;0,"",IF(COUNTIFS('AR SALES'!$L$2:$L$2501,$L728,'AR SALES'!$AD$2:$AD$2501,IF(""&amp;$F728="4","OFF","ON"),'AR SALES'!$AF$2:$AF$2501,"Y")&gt;0,"","NO EXEMPTION"))),"")</f>
        <v/>
      </c>
    </row>
    <row r="729" spans="46:54" x14ac:dyDescent="0.25">
      <c r="AT729" s="2" t="str">
        <f>IF($L729="","",IFERROR(INDEX('AR SALES'!$H$2:$H$2501,MATCH(""&amp;$L729,'AR SALES'!$AE$2:$AE$2501,0)),""))</f>
        <v/>
      </c>
      <c r="AU729" s="2" t="str">
        <f t="shared" si="44"/>
        <v/>
      </c>
      <c r="AV729" s="2" t="str">
        <f t="shared" si="45"/>
        <v/>
      </c>
      <c r="AW729" s="2" t="str">
        <f t="shared" si="46"/>
        <v/>
      </c>
      <c r="AX729" s="2" t="str">
        <f t="shared" si="47"/>
        <v/>
      </c>
      <c r="AY729" s="2" t="str">
        <f>IF($AV729="","",IF(AND($Z729=0,COUNTIF('AR SALES'!$L$2:$L$2501,$L729)=0),"YES",""))</f>
        <v/>
      </c>
      <c r="AZ729" s="2" t="str">
        <f>IF($AV729="","",IF(COUNTIF(LISTS!$C$2:$C$250,$AU729)=0,"NEW",""))</f>
        <v/>
      </c>
      <c r="BA729" s="2" t="str">
        <f>IF(""&amp;$F729&lt;&gt;"4","",IF($AY729="YES","",IF(ROUND(SUMIFS($AE$2:$AE$4001,$L$2:$L$4001,$L729,$F$2:$F$4001,"4")-SUMIFS('AR SALES'!$Y$2:$Y$2501,'AR SALES'!$L$2:$L$2501,$L729,'AR SALES'!$AD$2:$AD$2501,"OFF"),2)=0,"","STALE")))</f>
        <v/>
      </c>
      <c r="BB729" s="2" t="str">
        <f>IF(OR(""&amp;$F729="2",""&amp;$F729="4",""&amp;$F729="G",""&amp;$F729="H"),IF($AY729="YES","",IF($AB729&lt;&gt;0,"",IF(COUNTIFS('AR SALES'!$L$2:$L$2501,$L729,'AR SALES'!$AD$2:$AD$2501,IF(""&amp;$F729="4","OFF","ON"),'AR SALES'!$AF$2:$AF$2501,"Y")&gt;0,"","NO EXEMPTION"))),"")</f>
        <v/>
      </c>
    </row>
    <row r="730" spans="46:54" x14ac:dyDescent="0.25">
      <c r="AT730" s="2" t="str">
        <f>IF($L730="","",IFERROR(INDEX('AR SALES'!$H$2:$H$2501,MATCH(""&amp;$L730,'AR SALES'!$AE$2:$AE$2501,0)),""))</f>
        <v/>
      </c>
      <c r="AU730" s="2" t="str">
        <f t="shared" si="44"/>
        <v/>
      </c>
      <c r="AV730" s="2" t="str">
        <f t="shared" si="45"/>
        <v/>
      </c>
      <c r="AW730" s="2" t="str">
        <f t="shared" si="46"/>
        <v/>
      </c>
      <c r="AX730" s="2" t="str">
        <f t="shared" si="47"/>
        <v/>
      </c>
      <c r="AY730" s="2" t="str">
        <f>IF($AV730="","",IF(AND($Z730=0,COUNTIF('AR SALES'!$L$2:$L$2501,$L730)=0),"YES",""))</f>
        <v/>
      </c>
      <c r="AZ730" s="2" t="str">
        <f>IF($AV730="","",IF(COUNTIF(LISTS!$C$2:$C$250,$AU730)=0,"NEW",""))</f>
        <v/>
      </c>
      <c r="BA730" s="2" t="str">
        <f>IF(""&amp;$F730&lt;&gt;"4","",IF($AY730="YES","",IF(ROUND(SUMIFS($AE$2:$AE$4001,$L$2:$L$4001,$L730,$F$2:$F$4001,"4")-SUMIFS('AR SALES'!$Y$2:$Y$2501,'AR SALES'!$L$2:$L$2501,$L730,'AR SALES'!$AD$2:$AD$2501,"OFF"),2)=0,"","STALE")))</f>
        <v/>
      </c>
      <c r="BB730" s="2" t="str">
        <f>IF(OR(""&amp;$F730="2",""&amp;$F730="4",""&amp;$F730="G",""&amp;$F730="H"),IF($AY730="YES","",IF($AB730&lt;&gt;0,"",IF(COUNTIFS('AR SALES'!$L$2:$L$2501,$L730,'AR SALES'!$AD$2:$AD$2501,IF(""&amp;$F730="4","OFF","ON"),'AR SALES'!$AF$2:$AF$2501,"Y")&gt;0,"","NO EXEMPTION"))),"")</f>
        <v/>
      </c>
    </row>
    <row r="731" spans="46:54" x14ac:dyDescent="0.25">
      <c r="AT731" s="2" t="str">
        <f>IF($L731="","",IFERROR(INDEX('AR SALES'!$H$2:$H$2501,MATCH(""&amp;$L731,'AR SALES'!$AE$2:$AE$2501,0)),""))</f>
        <v/>
      </c>
      <c r="AU731" s="2" t="str">
        <f t="shared" si="44"/>
        <v/>
      </c>
      <c r="AV731" s="2" t="str">
        <f t="shared" si="45"/>
        <v/>
      </c>
      <c r="AW731" s="2" t="str">
        <f t="shared" si="46"/>
        <v/>
      </c>
      <c r="AX731" s="2" t="str">
        <f t="shared" si="47"/>
        <v/>
      </c>
      <c r="AY731" s="2" t="str">
        <f>IF($AV731="","",IF(AND($Z731=0,COUNTIF('AR SALES'!$L$2:$L$2501,$L731)=0),"YES",""))</f>
        <v/>
      </c>
      <c r="AZ731" s="2" t="str">
        <f>IF($AV731="","",IF(COUNTIF(LISTS!$C$2:$C$250,$AU731)=0,"NEW",""))</f>
        <v/>
      </c>
      <c r="BA731" s="2" t="str">
        <f>IF(""&amp;$F731&lt;&gt;"4","",IF($AY731="YES","",IF(ROUND(SUMIFS($AE$2:$AE$4001,$L$2:$L$4001,$L731,$F$2:$F$4001,"4")-SUMIFS('AR SALES'!$Y$2:$Y$2501,'AR SALES'!$L$2:$L$2501,$L731,'AR SALES'!$AD$2:$AD$2501,"OFF"),2)=0,"","STALE")))</f>
        <v/>
      </c>
      <c r="BB731" s="2" t="str">
        <f>IF(OR(""&amp;$F731="2",""&amp;$F731="4",""&amp;$F731="G",""&amp;$F731="H"),IF($AY731="YES","",IF($AB731&lt;&gt;0,"",IF(COUNTIFS('AR SALES'!$L$2:$L$2501,$L731,'AR SALES'!$AD$2:$AD$2501,IF(""&amp;$F731="4","OFF","ON"),'AR SALES'!$AF$2:$AF$2501,"Y")&gt;0,"","NO EXEMPTION"))),"")</f>
        <v/>
      </c>
    </row>
    <row r="732" spans="46:54" x14ac:dyDescent="0.25">
      <c r="AT732" s="2" t="str">
        <f>IF($L732="","",IFERROR(INDEX('AR SALES'!$H$2:$H$2501,MATCH(""&amp;$L732,'AR SALES'!$AE$2:$AE$2501,0)),""))</f>
        <v/>
      </c>
      <c r="AU732" s="2" t="str">
        <f t="shared" si="44"/>
        <v/>
      </c>
      <c r="AV732" s="2" t="str">
        <f t="shared" si="45"/>
        <v/>
      </c>
      <c r="AW732" s="2" t="str">
        <f t="shared" si="46"/>
        <v/>
      </c>
      <c r="AX732" s="2" t="str">
        <f t="shared" si="47"/>
        <v/>
      </c>
      <c r="AY732" s="2" t="str">
        <f>IF($AV732="","",IF(AND($Z732=0,COUNTIF('AR SALES'!$L$2:$L$2501,$L732)=0),"YES",""))</f>
        <v/>
      </c>
      <c r="AZ732" s="2" t="str">
        <f>IF($AV732="","",IF(COUNTIF(LISTS!$C$2:$C$250,$AU732)=0,"NEW",""))</f>
        <v/>
      </c>
      <c r="BA732" s="2" t="str">
        <f>IF(""&amp;$F732&lt;&gt;"4","",IF($AY732="YES","",IF(ROUND(SUMIFS($AE$2:$AE$4001,$L$2:$L$4001,$L732,$F$2:$F$4001,"4")-SUMIFS('AR SALES'!$Y$2:$Y$2501,'AR SALES'!$L$2:$L$2501,$L732,'AR SALES'!$AD$2:$AD$2501,"OFF"),2)=0,"","STALE")))</f>
        <v/>
      </c>
      <c r="BB732" s="2" t="str">
        <f>IF(OR(""&amp;$F732="2",""&amp;$F732="4",""&amp;$F732="G",""&amp;$F732="H"),IF($AY732="YES","",IF($AB732&lt;&gt;0,"",IF(COUNTIFS('AR SALES'!$L$2:$L$2501,$L732,'AR SALES'!$AD$2:$AD$2501,IF(""&amp;$F732="4","OFF","ON"),'AR SALES'!$AF$2:$AF$2501,"Y")&gt;0,"","NO EXEMPTION"))),"")</f>
        <v/>
      </c>
    </row>
    <row r="733" spans="46:54" x14ac:dyDescent="0.25">
      <c r="AT733" s="2" t="str">
        <f>IF($L733="","",IFERROR(INDEX('AR SALES'!$H$2:$H$2501,MATCH(""&amp;$L733,'AR SALES'!$AE$2:$AE$2501,0)),""))</f>
        <v/>
      </c>
      <c r="AU733" s="2" t="str">
        <f t="shared" si="44"/>
        <v/>
      </c>
      <c r="AV733" s="2" t="str">
        <f t="shared" si="45"/>
        <v/>
      </c>
      <c r="AW733" s="2" t="str">
        <f t="shared" si="46"/>
        <v/>
      </c>
      <c r="AX733" s="2" t="str">
        <f t="shared" si="47"/>
        <v/>
      </c>
      <c r="AY733" s="2" t="str">
        <f>IF($AV733="","",IF(AND($Z733=0,COUNTIF('AR SALES'!$L$2:$L$2501,$L733)=0),"YES",""))</f>
        <v/>
      </c>
      <c r="AZ733" s="2" t="str">
        <f>IF($AV733="","",IF(COUNTIF(LISTS!$C$2:$C$250,$AU733)=0,"NEW",""))</f>
        <v/>
      </c>
      <c r="BA733" s="2" t="str">
        <f>IF(""&amp;$F733&lt;&gt;"4","",IF($AY733="YES","",IF(ROUND(SUMIFS($AE$2:$AE$4001,$L$2:$L$4001,$L733,$F$2:$F$4001,"4")-SUMIFS('AR SALES'!$Y$2:$Y$2501,'AR SALES'!$L$2:$L$2501,$L733,'AR SALES'!$AD$2:$AD$2501,"OFF"),2)=0,"","STALE")))</f>
        <v/>
      </c>
      <c r="BB733" s="2" t="str">
        <f>IF(OR(""&amp;$F733="2",""&amp;$F733="4",""&amp;$F733="G",""&amp;$F733="H"),IF($AY733="YES","",IF($AB733&lt;&gt;0,"",IF(COUNTIFS('AR SALES'!$L$2:$L$2501,$L733,'AR SALES'!$AD$2:$AD$2501,IF(""&amp;$F733="4","OFF","ON"),'AR SALES'!$AF$2:$AF$2501,"Y")&gt;0,"","NO EXEMPTION"))),"")</f>
        <v/>
      </c>
    </row>
    <row r="734" spans="46:54" x14ac:dyDescent="0.25">
      <c r="AT734" s="2" t="str">
        <f>IF($L734="","",IFERROR(INDEX('AR SALES'!$H$2:$H$2501,MATCH(""&amp;$L734,'AR SALES'!$AE$2:$AE$2501,0)),""))</f>
        <v/>
      </c>
      <c r="AU734" s="2" t="str">
        <f t="shared" si="44"/>
        <v/>
      </c>
      <c r="AV734" s="2" t="str">
        <f t="shared" si="45"/>
        <v/>
      </c>
      <c r="AW734" s="2" t="str">
        <f t="shared" si="46"/>
        <v/>
      </c>
      <c r="AX734" s="2" t="str">
        <f t="shared" si="47"/>
        <v/>
      </c>
      <c r="AY734" s="2" t="str">
        <f>IF($AV734="","",IF(AND($Z734=0,COUNTIF('AR SALES'!$L$2:$L$2501,$L734)=0),"YES",""))</f>
        <v/>
      </c>
      <c r="AZ734" s="2" t="str">
        <f>IF($AV734="","",IF(COUNTIF(LISTS!$C$2:$C$250,$AU734)=0,"NEW",""))</f>
        <v/>
      </c>
      <c r="BA734" s="2" t="str">
        <f>IF(""&amp;$F734&lt;&gt;"4","",IF($AY734="YES","",IF(ROUND(SUMIFS($AE$2:$AE$4001,$L$2:$L$4001,$L734,$F$2:$F$4001,"4")-SUMIFS('AR SALES'!$Y$2:$Y$2501,'AR SALES'!$L$2:$L$2501,$L734,'AR SALES'!$AD$2:$AD$2501,"OFF"),2)=0,"","STALE")))</f>
        <v/>
      </c>
      <c r="BB734" s="2" t="str">
        <f>IF(OR(""&amp;$F734="2",""&amp;$F734="4",""&amp;$F734="G",""&amp;$F734="H"),IF($AY734="YES","",IF($AB734&lt;&gt;0,"",IF(COUNTIFS('AR SALES'!$L$2:$L$2501,$L734,'AR SALES'!$AD$2:$AD$2501,IF(""&amp;$F734="4","OFF","ON"),'AR SALES'!$AF$2:$AF$2501,"Y")&gt;0,"","NO EXEMPTION"))),"")</f>
        <v/>
      </c>
    </row>
    <row r="735" spans="46:54" x14ac:dyDescent="0.25">
      <c r="AT735" s="2" t="str">
        <f>IF($L735="","",IFERROR(INDEX('AR SALES'!$H$2:$H$2501,MATCH(""&amp;$L735,'AR SALES'!$AE$2:$AE$2501,0)),""))</f>
        <v/>
      </c>
      <c r="AU735" s="2" t="str">
        <f t="shared" si="44"/>
        <v/>
      </c>
      <c r="AV735" s="2" t="str">
        <f t="shared" si="45"/>
        <v/>
      </c>
      <c r="AW735" s="2" t="str">
        <f t="shared" si="46"/>
        <v/>
      </c>
      <c r="AX735" s="2" t="str">
        <f t="shared" si="47"/>
        <v/>
      </c>
      <c r="AY735" s="2" t="str">
        <f>IF($AV735="","",IF(AND($Z735=0,COUNTIF('AR SALES'!$L$2:$L$2501,$L735)=0),"YES",""))</f>
        <v/>
      </c>
      <c r="AZ735" s="2" t="str">
        <f>IF($AV735="","",IF(COUNTIF(LISTS!$C$2:$C$250,$AU735)=0,"NEW",""))</f>
        <v/>
      </c>
      <c r="BA735" s="2" t="str">
        <f>IF(""&amp;$F735&lt;&gt;"4","",IF($AY735="YES","",IF(ROUND(SUMIFS($AE$2:$AE$4001,$L$2:$L$4001,$L735,$F$2:$F$4001,"4")-SUMIFS('AR SALES'!$Y$2:$Y$2501,'AR SALES'!$L$2:$L$2501,$L735,'AR SALES'!$AD$2:$AD$2501,"OFF"),2)=0,"","STALE")))</f>
        <v/>
      </c>
      <c r="BB735" s="2" t="str">
        <f>IF(OR(""&amp;$F735="2",""&amp;$F735="4",""&amp;$F735="G",""&amp;$F735="H"),IF($AY735="YES","",IF($AB735&lt;&gt;0,"",IF(COUNTIFS('AR SALES'!$L$2:$L$2501,$L735,'AR SALES'!$AD$2:$AD$2501,IF(""&amp;$F735="4","OFF","ON"),'AR SALES'!$AF$2:$AF$2501,"Y")&gt;0,"","NO EXEMPTION"))),"")</f>
        <v/>
      </c>
    </row>
    <row r="736" spans="46:54" x14ac:dyDescent="0.25">
      <c r="AT736" s="2" t="str">
        <f>IF($L736="","",IFERROR(INDEX('AR SALES'!$H$2:$H$2501,MATCH(""&amp;$L736,'AR SALES'!$AE$2:$AE$2501,0)),""))</f>
        <v/>
      </c>
      <c r="AU736" s="2" t="str">
        <f t="shared" si="44"/>
        <v/>
      </c>
      <c r="AV736" s="2" t="str">
        <f t="shared" si="45"/>
        <v/>
      </c>
      <c r="AW736" s="2" t="str">
        <f t="shared" si="46"/>
        <v/>
      </c>
      <c r="AX736" s="2" t="str">
        <f t="shared" si="47"/>
        <v/>
      </c>
      <c r="AY736" s="2" t="str">
        <f>IF($AV736="","",IF(AND($Z736=0,COUNTIF('AR SALES'!$L$2:$L$2501,$L736)=0),"YES",""))</f>
        <v/>
      </c>
      <c r="AZ736" s="2" t="str">
        <f>IF($AV736="","",IF(COUNTIF(LISTS!$C$2:$C$250,$AU736)=0,"NEW",""))</f>
        <v/>
      </c>
      <c r="BA736" s="2" t="str">
        <f>IF(""&amp;$F736&lt;&gt;"4","",IF($AY736="YES","",IF(ROUND(SUMIFS($AE$2:$AE$4001,$L$2:$L$4001,$L736,$F$2:$F$4001,"4")-SUMIFS('AR SALES'!$Y$2:$Y$2501,'AR SALES'!$L$2:$L$2501,$L736,'AR SALES'!$AD$2:$AD$2501,"OFF"),2)=0,"","STALE")))</f>
        <v/>
      </c>
      <c r="BB736" s="2" t="str">
        <f>IF(OR(""&amp;$F736="2",""&amp;$F736="4",""&amp;$F736="G",""&amp;$F736="H"),IF($AY736="YES","",IF($AB736&lt;&gt;0,"",IF(COUNTIFS('AR SALES'!$L$2:$L$2501,$L736,'AR SALES'!$AD$2:$AD$2501,IF(""&amp;$F736="4","OFF","ON"),'AR SALES'!$AF$2:$AF$2501,"Y")&gt;0,"","NO EXEMPTION"))),"")</f>
        <v/>
      </c>
    </row>
    <row r="737" spans="46:54" x14ac:dyDescent="0.25">
      <c r="AT737" s="2" t="str">
        <f>IF($L737="","",IFERROR(INDEX('AR SALES'!$H$2:$H$2501,MATCH(""&amp;$L737,'AR SALES'!$AE$2:$AE$2501,0)),""))</f>
        <v/>
      </c>
      <c r="AU737" s="2" t="str">
        <f t="shared" si="44"/>
        <v/>
      </c>
      <c r="AV737" s="2" t="str">
        <f t="shared" si="45"/>
        <v/>
      </c>
      <c r="AW737" s="2" t="str">
        <f t="shared" si="46"/>
        <v/>
      </c>
      <c r="AX737" s="2" t="str">
        <f t="shared" si="47"/>
        <v/>
      </c>
      <c r="AY737" s="2" t="str">
        <f>IF($AV737="","",IF(AND($Z737=0,COUNTIF('AR SALES'!$L$2:$L$2501,$L737)=0),"YES",""))</f>
        <v/>
      </c>
      <c r="AZ737" s="2" t="str">
        <f>IF($AV737="","",IF(COUNTIF(LISTS!$C$2:$C$250,$AU737)=0,"NEW",""))</f>
        <v/>
      </c>
      <c r="BA737" s="2" t="str">
        <f>IF(""&amp;$F737&lt;&gt;"4","",IF($AY737="YES","",IF(ROUND(SUMIFS($AE$2:$AE$4001,$L$2:$L$4001,$L737,$F$2:$F$4001,"4")-SUMIFS('AR SALES'!$Y$2:$Y$2501,'AR SALES'!$L$2:$L$2501,$L737,'AR SALES'!$AD$2:$AD$2501,"OFF"),2)=0,"","STALE")))</f>
        <v/>
      </c>
      <c r="BB737" s="2" t="str">
        <f>IF(OR(""&amp;$F737="2",""&amp;$F737="4",""&amp;$F737="G",""&amp;$F737="H"),IF($AY737="YES","",IF($AB737&lt;&gt;0,"",IF(COUNTIFS('AR SALES'!$L$2:$L$2501,$L737,'AR SALES'!$AD$2:$AD$2501,IF(""&amp;$F737="4","OFF","ON"),'AR SALES'!$AF$2:$AF$2501,"Y")&gt;0,"","NO EXEMPTION"))),"")</f>
        <v/>
      </c>
    </row>
    <row r="738" spans="46:54" x14ac:dyDescent="0.25">
      <c r="AT738" s="2" t="str">
        <f>IF($L738="","",IFERROR(INDEX('AR SALES'!$H$2:$H$2501,MATCH(""&amp;$L738,'AR SALES'!$AE$2:$AE$2501,0)),""))</f>
        <v/>
      </c>
      <c r="AU738" s="2" t="str">
        <f t="shared" si="44"/>
        <v/>
      </c>
      <c r="AV738" s="2" t="str">
        <f t="shared" si="45"/>
        <v/>
      </c>
      <c r="AW738" s="2" t="str">
        <f t="shared" si="46"/>
        <v/>
      </c>
      <c r="AX738" s="2" t="str">
        <f t="shared" si="47"/>
        <v/>
      </c>
      <c r="AY738" s="2" t="str">
        <f>IF($AV738="","",IF(AND($Z738=0,COUNTIF('AR SALES'!$L$2:$L$2501,$L738)=0),"YES",""))</f>
        <v/>
      </c>
      <c r="AZ738" s="2" t="str">
        <f>IF($AV738="","",IF(COUNTIF(LISTS!$C$2:$C$250,$AU738)=0,"NEW",""))</f>
        <v/>
      </c>
      <c r="BA738" s="2" t="str">
        <f>IF(""&amp;$F738&lt;&gt;"4","",IF($AY738="YES","",IF(ROUND(SUMIFS($AE$2:$AE$4001,$L$2:$L$4001,$L738,$F$2:$F$4001,"4")-SUMIFS('AR SALES'!$Y$2:$Y$2501,'AR SALES'!$L$2:$L$2501,$L738,'AR SALES'!$AD$2:$AD$2501,"OFF"),2)=0,"","STALE")))</f>
        <v/>
      </c>
      <c r="BB738" s="2" t="str">
        <f>IF(OR(""&amp;$F738="2",""&amp;$F738="4",""&amp;$F738="G",""&amp;$F738="H"),IF($AY738="YES","",IF($AB738&lt;&gt;0,"",IF(COUNTIFS('AR SALES'!$L$2:$L$2501,$L738,'AR SALES'!$AD$2:$AD$2501,IF(""&amp;$F738="4","OFF","ON"),'AR SALES'!$AF$2:$AF$2501,"Y")&gt;0,"","NO EXEMPTION"))),"")</f>
        <v/>
      </c>
    </row>
    <row r="739" spans="46:54" x14ac:dyDescent="0.25">
      <c r="AT739" s="2" t="str">
        <f>IF($L739="","",IFERROR(INDEX('AR SALES'!$H$2:$H$2501,MATCH(""&amp;$L739,'AR SALES'!$AE$2:$AE$2501,0)),""))</f>
        <v/>
      </c>
      <c r="AU739" s="2" t="str">
        <f t="shared" si="44"/>
        <v/>
      </c>
      <c r="AV739" s="2" t="str">
        <f t="shared" si="45"/>
        <v/>
      </c>
      <c r="AW739" s="2" t="str">
        <f t="shared" si="46"/>
        <v/>
      </c>
      <c r="AX739" s="2" t="str">
        <f t="shared" si="47"/>
        <v/>
      </c>
      <c r="AY739" s="2" t="str">
        <f>IF($AV739="","",IF(AND($Z739=0,COUNTIF('AR SALES'!$L$2:$L$2501,$L739)=0),"YES",""))</f>
        <v/>
      </c>
      <c r="AZ739" s="2" t="str">
        <f>IF($AV739="","",IF(COUNTIF(LISTS!$C$2:$C$250,$AU739)=0,"NEW",""))</f>
        <v/>
      </c>
      <c r="BA739" s="2" t="str">
        <f>IF(""&amp;$F739&lt;&gt;"4","",IF($AY739="YES","",IF(ROUND(SUMIFS($AE$2:$AE$4001,$L$2:$L$4001,$L739,$F$2:$F$4001,"4")-SUMIFS('AR SALES'!$Y$2:$Y$2501,'AR SALES'!$L$2:$L$2501,$L739,'AR SALES'!$AD$2:$AD$2501,"OFF"),2)=0,"","STALE")))</f>
        <v/>
      </c>
      <c r="BB739" s="2" t="str">
        <f>IF(OR(""&amp;$F739="2",""&amp;$F739="4",""&amp;$F739="G",""&amp;$F739="H"),IF($AY739="YES","",IF($AB739&lt;&gt;0,"",IF(COUNTIFS('AR SALES'!$L$2:$L$2501,$L739,'AR SALES'!$AD$2:$AD$2501,IF(""&amp;$F739="4","OFF","ON"),'AR SALES'!$AF$2:$AF$2501,"Y")&gt;0,"","NO EXEMPTION"))),"")</f>
        <v/>
      </c>
    </row>
    <row r="740" spans="46:54" x14ac:dyDescent="0.25">
      <c r="AT740" s="2" t="str">
        <f>IF($L740="","",IFERROR(INDEX('AR SALES'!$H$2:$H$2501,MATCH(""&amp;$L740,'AR SALES'!$AE$2:$AE$2501,0)),""))</f>
        <v/>
      </c>
      <c r="AU740" s="2" t="str">
        <f t="shared" si="44"/>
        <v/>
      </c>
      <c r="AV740" s="2" t="str">
        <f t="shared" si="45"/>
        <v/>
      </c>
      <c r="AW740" s="2" t="str">
        <f t="shared" si="46"/>
        <v/>
      </c>
      <c r="AX740" s="2" t="str">
        <f t="shared" si="47"/>
        <v/>
      </c>
      <c r="AY740" s="2" t="str">
        <f>IF($AV740="","",IF(AND($Z740=0,COUNTIF('AR SALES'!$L$2:$L$2501,$L740)=0),"YES",""))</f>
        <v/>
      </c>
      <c r="AZ740" s="2" t="str">
        <f>IF($AV740="","",IF(COUNTIF(LISTS!$C$2:$C$250,$AU740)=0,"NEW",""))</f>
        <v/>
      </c>
      <c r="BA740" s="2" t="str">
        <f>IF(""&amp;$F740&lt;&gt;"4","",IF($AY740="YES","",IF(ROUND(SUMIFS($AE$2:$AE$4001,$L$2:$L$4001,$L740,$F$2:$F$4001,"4")-SUMIFS('AR SALES'!$Y$2:$Y$2501,'AR SALES'!$L$2:$L$2501,$L740,'AR SALES'!$AD$2:$AD$2501,"OFF"),2)=0,"","STALE")))</f>
        <v/>
      </c>
      <c r="BB740" s="2" t="str">
        <f>IF(OR(""&amp;$F740="2",""&amp;$F740="4",""&amp;$F740="G",""&amp;$F740="H"),IF($AY740="YES","",IF($AB740&lt;&gt;0,"",IF(COUNTIFS('AR SALES'!$L$2:$L$2501,$L740,'AR SALES'!$AD$2:$AD$2501,IF(""&amp;$F740="4","OFF","ON"),'AR SALES'!$AF$2:$AF$2501,"Y")&gt;0,"","NO EXEMPTION"))),"")</f>
        <v/>
      </c>
    </row>
    <row r="741" spans="46:54" x14ac:dyDescent="0.25">
      <c r="AT741" s="2" t="str">
        <f>IF($L741="","",IFERROR(INDEX('AR SALES'!$H$2:$H$2501,MATCH(""&amp;$L741,'AR SALES'!$AE$2:$AE$2501,0)),""))</f>
        <v/>
      </c>
      <c r="AU741" s="2" t="str">
        <f t="shared" si="44"/>
        <v/>
      </c>
      <c r="AV741" s="2" t="str">
        <f t="shared" si="45"/>
        <v/>
      </c>
      <c r="AW741" s="2" t="str">
        <f t="shared" si="46"/>
        <v/>
      </c>
      <c r="AX741" s="2" t="str">
        <f t="shared" si="47"/>
        <v/>
      </c>
      <c r="AY741" s="2" t="str">
        <f>IF($AV741="","",IF(AND($Z741=0,COUNTIF('AR SALES'!$L$2:$L$2501,$L741)=0),"YES",""))</f>
        <v/>
      </c>
      <c r="AZ741" s="2" t="str">
        <f>IF($AV741="","",IF(COUNTIF(LISTS!$C$2:$C$250,$AU741)=0,"NEW",""))</f>
        <v/>
      </c>
      <c r="BA741" s="2" t="str">
        <f>IF(""&amp;$F741&lt;&gt;"4","",IF($AY741="YES","",IF(ROUND(SUMIFS($AE$2:$AE$4001,$L$2:$L$4001,$L741,$F$2:$F$4001,"4")-SUMIFS('AR SALES'!$Y$2:$Y$2501,'AR SALES'!$L$2:$L$2501,$L741,'AR SALES'!$AD$2:$AD$2501,"OFF"),2)=0,"","STALE")))</f>
        <v/>
      </c>
      <c r="BB741" s="2" t="str">
        <f>IF(OR(""&amp;$F741="2",""&amp;$F741="4",""&amp;$F741="G",""&amp;$F741="H"),IF($AY741="YES","",IF($AB741&lt;&gt;0,"",IF(COUNTIFS('AR SALES'!$L$2:$L$2501,$L741,'AR SALES'!$AD$2:$AD$2501,IF(""&amp;$F741="4","OFF","ON"),'AR SALES'!$AF$2:$AF$2501,"Y")&gt;0,"","NO EXEMPTION"))),"")</f>
        <v/>
      </c>
    </row>
    <row r="742" spans="46:54" x14ac:dyDescent="0.25">
      <c r="AT742" s="2" t="str">
        <f>IF($L742="","",IFERROR(INDEX('AR SALES'!$H$2:$H$2501,MATCH(""&amp;$L742,'AR SALES'!$AE$2:$AE$2501,0)),""))</f>
        <v/>
      </c>
      <c r="AU742" s="2" t="str">
        <f t="shared" si="44"/>
        <v/>
      </c>
      <c r="AV742" s="2" t="str">
        <f t="shared" si="45"/>
        <v/>
      </c>
      <c r="AW742" s="2" t="str">
        <f t="shared" si="46"/>
        <v/>
      </c>
      <c r="AX742" s="2" t="str">
        <f t="shared" si="47"/>
        <v/>
      </c>
      <c r="AY742" s="2" t="str">
        <f>IF($AV742="","",IF(AND($Z742=0,COUNTIF('AR SALES'!$L$2:$L$2501,$L742)=0),"YES",""))</f>
        <v/>
      </c>
      <c r="AZ742" s="2" t="str">
        <f>IF($AV742="","",IF(COUNTIF(LISTS!$C$2:$C$250,$AU742)=0,"NEW",""))</f>
        <v/>
      </c>
      <c r="BA742" s="2" t="str">
        <f>IF(""&amp;$F742&lt;&gt;"4","",IF($AY742="YES","",IF(ROUND(SUMIFS($AE$2:$AE$4001,$L$2:$L$4001,$L742,$F$2:$F$4001,"4")-SUMIFS('AR SALES'!$Y$2:$Y$2501,'AR SALES'!$L$2:$L$2501,$L742,'AR SALES'!$AD$2:$AD$2501,"OFF"),2)=0,"","STALE")))</f>
        <v/>
      </c>
      <c r="BB742" s="2" t="str">
        <f>IF(OR(""&amp;$F742="2",""&amp;$F742="4",""&amp;$F742="G",""&amp;$F742="H"),IF($AY742="YES","",IF($AB742&lt;&gt;0,"",IF(COUNTIFS('AR SALES'!$L$2:$L$2501,$L742,'AR SALES'!$AD$2:$AD$2501,IF(""&amp;$F742="4","OFF","ON"),'AR SALES'!$AF$2:$AF$2501,"Y")&gt;0,"","NO EXEMPTION"))),"")</f>
        <v/>
      </c>
    </row>
    <row r="743" spans="46:54" x14ac:dyDescent="0.25">
      <c r="AT743" s="2" t="str">
        <f>IF($L743="","",IFERROR(INDEX('AR SALES'!$H$2:$H$2501,MATCH(""&amp;$L743,'AR SALES'!$AE$2:$AE$2501,0)),""))</f>
        <v/>
      </c>
      <c r="AU743" s="2" t="str">
        <f t="shared" si="44"/>
        <v/>
      </c>
      <c r="AV743" s="2" t="str">
        <f t="shared" si="45"/>
        <v/>
      </c>
      <c r="AW743" s="2" t="str">
        <f t="shared" si="46"/>
        <v/>
      </c>
      <c r="AX743" s="2" t="str">
        <f t="shared" si="47"/>
        <v/>
      </c>
      <c r="AY743" s="2" t="str">
        <f>IF($AV743="","",IF(AND($Z743=0,COUNTIF('AR SALES'!$L$2:$L$2501,$L743)=0),"YES",""))</f>
        <v/>
      </c>
      <c r="AZ743" s="2" t="str">
        <f>IF($AV743="","",IF(COUNTIF(LISTS!$C$2:$C$250,$AU743)=0,"NEW",""))</f>
        <v/>
      </c>
      <c r="BA743" s="2" t="str">
        <f>IF(""&amp;$F743&lt;&gt;"4","",IF($AY743="YES","",IF(ROUND(SUMIFS($AE$2:$AE$4001,$L$2:$L$4001,$L743,$F$2:$F$4001,"4")-SUMIFS('AR SALES'!$Y$2:$Y$2501,'AR SALES'!$L$2:$L$2501,$L743,'AR SALES'!$AD$2:$AD$2501,"OFF"),2)=0,"","STALE")))</f>
        <v/>
      </c>
      <c r="BB743" s="2" t="str">
        <f>IF(OR(""&amp;$F743="2",""&amp;$F743="4",""&amp;$F743="G",""&amp;$F743="H"),IF($AY743="YES","",IF($AB743&lt;&gt;0,"",IF(COUNTIFS('AR SALES'!$L$2:$L$2501,$L743,'AR SALES'!$AD$2:$AD$2501,IF(""&amp;$F743="4","OFF","ON"),'AR SALES'!$AF$2:$AF$2501,"Y")&gt;0,"","NO EXEMPTION"))),"")</f>
        <v/>
      </c>
    </row>
    <row r="744" spans="46:54" x14ac:dyDescent="0.25">
      <c r="AT744" s="2" t="str">
        <f>IF($L744="","",IFERROR(INDEX('AR SALES'!$H$2:$H$2501,MATCH(""&amp;$L744,'AR SALES'!$AE$2:$AE$2501,0)),""))</f>
        <v/>
      </c>
      <c r="AU744" s="2" t="str">
        <f t="shared" si="44"/>
        <v/>
      </c>
      <c r="AV744" s="2" t="str">
        <f t="shared" si="45"/>
        <v/>
      </c>
      <c r="AW744" s="2" t="str">
        <f t="shared" si="46"/>
        <v/>
      </c>
      <c r="AX744" s="2" t="str">
        <f t="shared" si="47"/>
        <v/>
      </c>
      <c r="AY744" s="2" t="str">
        <f>IF($AV744="","",IF(AND($Z744=0,COUNTIF('AR SALES'!$L$2:$L$2501,$L744)=0),"YES",""))</f>
        <v/>
      </c>
      <c r="AZ744" s="2" t="str">
        <f>IF($AV744="","",IF(COUNTIF(LISTS!$C$2:$C$250,$AU744)=0,"NEW",""))</f>
        <v/>
      </c>
      <c r="BA744" s="2" t="str">
        <f>IF(""&amp;$F744&lt;&gt;"4","",IF($AY744="YES","",IF(ROUND(SUMIFS($AE$2:$AE$4001,$L$2:$L$4001,$L744,$F$2:$F$4001,"4")-SUMIFS('AR SALES'!$Y$2:$Y$2501,'AR SALES'!$L$2:$L$2501,$L744,'AR SALES'!$AD$2:$AD$2501,"OFF"),2)=0,"","STALE")))</f>
        <v/>
      </c>
      <c r="BB744" s="2" t="str">
        <f>IF(OR(""&amp;$F744="2",""&amp;$F744="4",""&amp;$F744="G",""&amp;$F744="H"),IF($AY744="YES","",IF($AB744&lt;&gt;0,"",IF(COUNTIFS('AR SALES'!$L$2:$L$2501,$L744,'AR SALES'!$AD$2:$AD$2501,IF(""&amp;$F744="4","OFF","ON"),'AR SALES'!$AF$2:$AF$2501,"Y")&gt;0,"","NO EXEMPTION"))),"")</f>
        <v/>
      </c>
    </row>
    <row r="745" spans="46:54" x14ac:dyDescent="0.25">
      <c r="AT745" s="2" t="str">
        <f>IF($L745="","",IFERROR(INDEX('AR SALES'!$H$2:$H$2501,MATCH(""&amp;$L745,'AR SALES'!$AE$2:$AE$2501,0)),""))</f>
        <v/>
      </c>
      <c r="AU745" s="2" t="str">
        <f t="shared" si="44"/>
        <v/>
      </c>
      <c r="AV745" s="2" t="str">
        <f t="shared" si="45"/>
        <v/>
      </c>
      <c r="AW745" s="2" t="str">
        <f t="shared" si="46"/>
        <v/>
      </c>
      <c r="AX745" s="2" t="str">
        <f t="shared" si="47"/>
        <v/>
      </c>
      <c r="AY745" s="2" t="str">
        <f>IF($AV745="","",IF(AND($Z745=0,COUNTIF('AR SALES'!$L$2:$L$2501,$L745)=0),"YES",""))</f>
        <v/>
      </c>
      <c r="AZ745" s="2" t="str">
        <f>IF($AV745="","",IF(COUNTIF(LISTS!$C$2:$C$250,$AU745)=0,"NEW",""))</f>
        <v/>
      </c>
      <c r="BA745" s="2" t="str">
        <f>IF(""&amp;$F745&lt;&gt;"4","",IF($AY745="YES","",IF(ROUND(SUMIFS($AE$2:$AE$4001,$L$2:$L$4001,$L745,$F$2:$F$4001,"4")-SUMIFS('AR SALES'!$Y$2:$Y$2501,'AR SALES'!$L$2:$L$2501,$L745,'AR SALES'!$AD$2:$AD$2501,"OFF"),2)=0,"","STALE")))</f>
        <v/>
      </c>
      <c r="BB745" s="2" t="str">
        <f>IF(OR(""&amp;$F745="2",""&amp;$F745="4",""&amp;$F745="G",""&amp;$F745="H"),IF($AY745="YES","",IF($AB745&lt;&gt;0,"",IF(COUNTIFS('AR SALES'!$L$2:$L$2501,$L745,'AR SALES'!$AD$2:$AD$2501,IF(""&amp;$F745="4","OFF","ON"),'AR SALES'!$AF$2:$AF$2501,"Y")&gt;0,"","NO EXEMPTION"))),"")</f>
        <v/>
      </c>
    </row>
    <row r="746" spans="46:54" x14ac:dyDescent="0.25">
      <c r="AT746" s="2" t="str">
        <f>IF($L746="","",IFERROR(INDEX('AR SALES'!$H$2:$H$2501,MATCH(""&amp;$L746,'AR SALES'!$AE$2:$AE$2501,0)),""))</f>
        <v/>
      </c>
      <c r="AU746" s="2" t="str">
        <f t="shared" si="44"/>
        <v/>
      </c>
      <c r="AV746" s="2" t="str">
        <f t="shared" si="45"/>
        <v/>
      </c>
      <c r="AW746" s="2" t="str">
        <f t="shared" si="46"/>
        <v/>
      </c>
      <c r="AX746" s="2" t="str">
        <f t="shared" si="47"/>
        <v/>
      </c>
      <c r="AY746" s="2" t="str">
        <f>IF($AV746="","",IF(AND($Z746=0,COUNTIF('AR SALES'!$L$2:$L$2501,$L746)=0),"YES",""))</f>
        <v/>
      </c>
      <c r="AZ746" s="2" t="str">
        <f>IF($AV746="","",IF(COUNTIF(LISTS!$C$2:$C$250,$AU746)=0,"NEW",""))</f>
        <v/>
      </c>
      <c r="BA746" s="2" t="str">
        <f>IF(""&amp;$F746&lt;&gt;"4","",IF($AY746="YES","",IF(ROUND(SUMIFS($AE$2:$AE$4001,$L$2:$L$4001,$L746,$F$2:$F$4001,"4")-SUMIFS('AR SALES'!$Y$2:$Y$2501,'AR SALES'!$L$2:$L$2501,$L746,'AR SALES'!$AD$2:$AD$2501,"OFF"),2)=0,"","STALE")))</f>
        <v/>
      </c>
      <c r="BB746" s="2" t="str">
        <f>IF(OR(""&amp;$F746="2",""&amp;$F746="4",""&amp;$F746="G",""&amp;$F746="H"),IF($AY746="YES","",IF($AB746&lt;&gt;0,"",IF(COUNTIFS('AR SALES'!$L$2:$L$2501,$L746,'AR SALES'!$AD$2:$AD$2501,IF(""&amp;$F746="4","OFF","ON"),'AR SALES'!$AF$2:$AF$2501,"Y")&gt;0,"","NO EXEMPTION"))),"")</f>
        <v/>
      </c>
    </row>
    <row r="747" spans="46:54" x14ac:dyDescent="0.25">
      <c r="AT747" s="2" t="str">
        <f>IF($L747="","",IFERROR(INDEX('AR SALES'!$H$2:$H$2501,MATCH(""&amp;$L747,'AR SALES'!$AE$2:$AE$2501,0)),""))</f>
        <v/>
      </c>
      <c r="AU747" s="2" t="str">
        <f t="shared" si="44"/>
        <v/>
      </c>
      <c r="AV747" s="2" t="str">
        <f t="shared" si="45"/>
        <v/>
      </c>
      <c r="AW747" s="2" t="str">
        <f t="shared" si="46"/>
        <v/>
      </c>
      <c r="AX747" s="2" t="str">
        <f t="shared" si="47"/>
        <v/>
      </c>
      <c r="AY747" s="2" t="str">
        <f>IF($AV747="","",IF(AND($Z747=0,COUNTIF('AR SALES'!$L$2:$L$2501,$L747)=0),"YES",""))</f>
        <v/>
      </c>
      <c r="AZ747" s="2" t="str">
        <f>IF($AV747="","",IF(COUNTIF(LISTS!$C$2:$C$250,$AU747)=0,"NEW",""))</f>
        <v/>
      </c>
      <c r="BA747" s="2" t="str">
        <f>IF(""&amp;$F747&lt;&gt;"4","",IF($AY747="YES","",IF(ROUND(SUMIFS($AE$2:$AE$4001,$L$2:$L$4001,$L747,$F$2:$F$4001,"4")-SUMIFS('AR SALES'!$Y$2:$Y$2501,'AR SALES'!$L$2:$L$2501,$L747,'AR SALES'!$AD$2:$AD$2501,"OFF"),2)=0,"","STALE")))</f>
        <v/>
      </c>
      <c r="BB747" s="2" t="str">
        <f>IF(OR(""&amp;$F747="2",""&amp;$F747="4",""&amp;$F747="G",""&amp;$F747="H"),IF($AY747="YES","",IF($AB747&lt;&gt;0,"",IF(COUNTIFS('AR SALES'!$L$2:$L$2501,$L747,'AR SALES'!$AD$2:$AD$2501,IF(""&amp;$F747="4","OFF","ON"),'AR SALES'!$AF$2:$AF$2501,"Y")&gt;0,"","NO EXEMPTION"))),"")</f>
        <v/>
      </c>
    </row>
    <row r="748" spans="46:54" x14ac:dyDescent="0.25">
      <c r="AT748" s="2" t="str">
        <f>IF($L748="","",IFERROR(INDEX('AR SALES'!$H$2:$H$2501,MATCH(""&amp;$L748,'AR SALES'!$AE$2:$AE$2501,0)),""))</f>
        <v/>
      </c>
      <c r="AU748" s="2" t="str">
        <f t="shared" si="44"/>
        <v/>
      </c>
      <c r="AV748" s="2" t="str">
        <f t="shared" si="45"/>
        <v/>
      </c>
      <c r="AW748" s="2" t="str">
        <f t="shared" si="46"/>
        <v/>
      </c>
      <c r="AX748" s="2" t="str">
        <f t="shared" si="47"/>
        <v/>
      </c>
      <c r="AY748" s="2" t="str">
        <f>IF($AV748="","",IF(AND($Z748=0,COUNTIF('AR SALES'!$L$2:$L$2501,$L748)=0),"YES",""))</f>
        <v/>
      </c>
      <c r="AZ748" s="2" t="str">
        <f>IF($AV748="","",IF(COUNTIF(LISTS!$C$2:$C$250,$AU748)=0,"NEW",""))</f>
        <v/>
      </c>
      <c r="BA748" s="2" t="str">
        <f>IF(""&amp;$F748&lt;&gt;"4","",IF($AY748="YES","",IF(ROUND(SUMIFS($AE$2:$AE$4001,$L$2:$L$4001,$L748,$F$2:$F$4001,"4")-SUMIFS('AR SALES'!$Y$2:$Y$2501,'AR SALES'!$L$2:$L$2501,$L748,'AR SALES'!$AD$2:$AD$2501,"OFF"),2)=0,"","STALE")))</f>
        <v/>
      </c>
      <c r="BB748" s="2" t="str">
        <f>IF(OR(""&amp;$F748="2",""&amp;$F748="4",""&amp;$F748="G",""&amp;$F748="H"),IF($AY748="YES","",IF($AB748&lt;&gt;0,"",IF(COUNTIFS('AR SALES'!$L$2:$L$2501,$L748,'AR SALES'!$AD$2:$AD$2501,IF(""&amp;$F748="4","OFF","ON"),'AR SALES'!$AF$2:$AF$2501,"Y")&gt;0,"","NO EXEMPTION"))),"")</f>
        <v/>
      </c>
    </row>
    <row r="749" spans="46:54" x14ac:dyDescent="0.25">
      <c r="AT749" s="2" t="str">
        <f>IF($L749="","",IFERROR(INDEX('AR SALES'!$H$2:$H$2501,MATCH(""&amp;$L749,'AR SALES'!$AE$2:$AE$2501,0)),""))</f>
        <v/>
      </c>
      <c r="AU749" s="2" t="str">
        <f t="shared" si="44"/>
        <v/>
      </c>
      <c r="AV749" s="2" t="str">
        <f t="shared" si="45"/>
        <v/>
      </c>
      <c r="AW749" s="2" t="str">
        <f t="shared" si="46"/>
        <v/>
      </c>
      <c r="AX749" s="2" t="str">
        <f t="shared" si="47"/>
        <v/>
      </c>
      <c r="AY749" s="2" t="str">
        <f>IF($AV749="","",IF(AND($Z749=0,COUNTIF('AR SALES'!$L$2:$L$2501,$L749)=0),"YES",""))</f>
        <v/>
      </c>
      <c r="AZ749" s="2" t="str">
        <f>IF($AV749="","",IF(COUNTIF(LISTS!$C$2:$C$250,$AU749)=0,"NEW",""))</f>
        <v/>
      </c>
      <c r="BA749" s="2" t="str">
        <f>IF(""&amp;$F749&lt;&gt;"4","",IF($AY749="YES","",IF(ROUND(SUMIFS($AE$2:$AE$4001,$L$2:$L$4001,$L749,$F$2:$F$4001,"4")-SUMIFS('AR SALES'!$Y$2:$Y$2501,'AR SALES'!$L$2:$L$2501,$L749,'AR SALES'!$AD$2:$AD$2501,"OFF"),2)=0,"","STALE")))</f>
        <v/>
      </c>
      <c r="BB749" s="2" t="str">
        <f>IF(OR(""&amp;$F749="2",""&amp;$F749="4",""&amp;$F749="G",""&amp;$F749="H"),IF($AY749="YES","",IF($AB749&lt;&gt;0,"",IF(COUNTIFS('AR SALES'!$L$2:$L$2501,$L749,'AR SALES'!$AD$2:$AD$2501,IF(""&amp;$F749="4","OFF","ON"),'AR SALES'!$AF$2:$AF$2501,"Y")&gt;0,"","NO EXEMPTION"))),"")</f>
        <v/>
      </c>
    </row>
    <row r="750" spans="46:54" x14ac:dyDescent="0.25">
      <c r="AT750" s="2" t="str">
        <f>IF($L750="","",IFERROR(INDEX('AR SALES'!$H$2:$H$2501,MATCH(""&amp;$L750,'AR SALES'!$AE$2:$AE$2501,0)),""))</f>
        <v/>
      </c>
      <c r="AU750" s="2" t="str">
        <f t="shared" si="44"/>
        <v/>
      </c>
      <c r="AV750" s="2" t="str">
        <f t="shared" si="45"/>
        <v/>
      </c>
      <c r="AW750" s="2" t="str">
        <f t="shared" si="46"/>
        <v/>
      </c>
      <c r="AX750" s="2" t="str">
        <f t="shared" si="47"/>
        <v/>
      </c>
      <c r="AY750" s="2" t="str">
        <f>IF($AV750="","",IF(AND($Z750=0,COUNTIF('AR SALES'!$L$2:$L$2501,$L750)=0),"YES",""))</f>
        <v/>
      </c>
      <c r="AZ750" s="2" t="str">
        <f>IF($AV750="","",IF(COUNTIF(LISTS!$C$2:$C$250,$AU750)=0,"NEW",""))</f>
        <v/>
      </c>
      <c r="BA750" s="2" t="str">
        <f>IF(""&amp;$F750&lt;&gt;"4","",IF($AY750="YES","",IF(ROUND(SUMIFS($AE$2:$AE$4001,$L$2:$L$4001,$L750,$F$2:$F$4001,"4")-SUMIFS('AR SALES'!$Y$2:$Y$2501,'AR SALES'!$L$2:$L$2501,$L750,'AR SALES'!$AD$2:$AD$2501,"OFF"),2)=0,"","STALE")))</f>
        <v/>
      </c>
      <c r="BB750" s="2" t="str">
        <f>IF(OR(""&amp;$F750="2",""&amp;$F750="4",""&amp;$F750="G",""&amp;$F750="H"),IF($AY750="YES","",IF($AB750&lt;&gt;0,"",IF(COUNTIFS('AR SALES'!$L$2:$L$2501,$L750,'AR SALES'!$AD$2:$AD$2501,IF(""&amp;$F750="4","OFF","ON"),'AR SALES'!$AF$2:$AF$2501,"Y")&gt;0,"","NO EXEMPTION"))),"")</f>
        <v/>
      </c>
    </row>
    <row r="751" spans="46:54" x14ac:dyDescent="0.25">
      <c r="AT751" s="2" t="str">
        <f>IF($L751="","",IFERROR(INDEX('AR SALES'!$H$2:$H$2501,MATCH(""&amp;$L751,'AR SALES'!$AE$2:$AE$2501,0)),""))</f>
        <v/>
      </c>
      <c r="AU751" s="2" t="str">
        <f t="shared" si="44"/>
        <v/>
      </c>
      <c r="AV751" s="2" t="str">
        <f t="shared" si="45"/>
        <v/>
      </c>
      <c r="AW751" s="2" t="str">
        <f t="shared" si="46"/>
        <v/>
      </c>
      <c r="AX751" s="2" t="str">
        <f t="shared" si="47"/>
        <v/>
      </c>
      <c r="AY751" s="2" t="str">
        <f>IF($AV751="","",IF(AND($Z751=0,COUNTIF('AR SALES'!$L$2:$L$2501,$L751)=0),"YES",""))</f>
        <v/>
      </c>
      <c r="AZ751" s="2" t="str">
        <f>IF($AV751="","",IF(COUNTIF(LISTS!$C$2:$C$250,$AU751)=0,"NEW",""))</f>
        <v/>
      </c>
      <c r="BA751" s="2" t="str">
        <f>IF(""&amp;$F751&lt;&gt;"4","",IF($AY751="YES","",IF(ROUND(SUMIFS($AE$2:$AE$4001,$L$2:$L$4001,$L751,$F$2:$F$4001,"4")-SUMIFS('AR SALES'!$Y$2:$Y$2501,'AR SALES'!$L$2:$L$2501,$L751,'AR SALES'!$AD$2:$AD$2501,"OFF"),2)=0,"","STALE")))</f>
        <v/>
      </c>
      <c r="BB751" s="2" t="str">
        <f>IF(OR(""&amp;$F751="2",""&amp;$F751="4",""&amp;$F751="G",""&amp;$F751="H"),IF($AY751="YES","",IF($AB751&lt;&gt;0,"",IF(COUNTIFS('AR SALES'!$L$2:$L$2501,$L751,'AR SALES'!$AD$2:$AD$2501,IF(""&amp;$F751="4","OFF","ON"),'AR SALES'!$AF$2:$AF$2501,"Y")&gt;0,"","NO EXEMPTION"))),"")</f>
        <v/>
      </c>
    </row>
    <row r="752" spans="46:54" x14ac:dyDescent="0.25">
      <c r="AT752" s="2" t="str">
        <f>IF($L752="","",IFERROR(INDEX('AR SALES'!$H$2:$H$2501,MATCH(""&amp;$L752,'AR SALES'!$AE$2:$AE$2501,0)),""))</f>
        <v/>
      </c>
      <c r="AU752" s="2" t="str">
        <f t="shared" si="44"/>
        <v/>
      </c>
      <c r="AV752" s="2" t="str">
        <f t="shared" si="45"/>
        <v/>
      </c>
      <c r="AW752" s="2" t="str">
        <f t="shared" si="46"/>
        <v/>
      </c>
      <c r="AX752" s="2" t="str">
        <f t="shared" si="47"/>
        <v/>
      </c>
      <c r="AY752" s="2" t="str">
        <f>IF($AV752="","",IF(AND($Z752=0,COUNTIF('AR SALES'!$L$2:$L$2501,$L752)=0),"YES",""))</f>
        <v/>
      </c>
      <c r="AZ752" s="2" t="str">
        <f>IF($AV752="","",IF(COUNTIF(LISTS!$C$2:$C$250,$AU752)=0,"NEW",""))</f>
        <v/>
      </c>
      <c r="BA752" s="2" t="str">
        <f>IF(""&amp;$F752&lt;&gt;"4","",IF($AY752="YES","",IF(ROUND(SUMIFS($AE$2:$AE$4001,$L$2:$L$4001,$L752,$F$2:$F$4001,"4")-SUMIFS('AR SALES'!$Y$2:$Y$2501,'AR SALES'!$L$2:$L$2501,$L752,'AR SALES'!$AD$2:$AD$2501,"OFF"),2)=0,"","STALE")))</f>
        <v/>
      </c>
      <c r="BB752" s="2" t="str">
        <f>IF(OR(""&amp;$F752="2",""&amp;$F752="4",""&amp;$F752="G",""&amp;$F752="H"),IF($AY752="YES","",IF($AB752&lt;&gt;0,"",IF(COUNTIFS('AR SALES'!$L$2:$L$2501,$L752,'AR SALES'!$AD$2:$AD$2501,IF(""&amp;$F752="4","OFF","ON"),'AR SALES'!$AF$2:$AF$2501,"Y")&gt;0,"","NO EXEMPTION"))),"")</f>
        <v/>
      </c>
    </row>
    <row r="753" spans="46:54" x14ac:dyDescent="0.25">
      <c r="AT753" s="2" t="str">
        <f>IF($L753="","",IFERROR(INDEX('AR SALES'!$H$2:$H$2501,MATCH(""&amp;$L753,'AR SALES'!$AE$2:$AE$2501,0)),""))</f>
        <v/>
      </c>
      <c r="AU753" s="2" t="str">
        <f t="shared" si="44"/>
        <v/>
      </c>
      <c r="AV753" s="2" t="str">
        <f t="shared" si="45"/>
        <v/>
      </c>
      <c r="AW753" s="2" t="str">
        <f t="shared" si="46"/>
        <v/>
      </c>
      <c r="AX753" s="2" t="str">
        <f t="shared" si="47"/>
        <v/>
      </c>
      <c r="AY753" s="2" t="str">
        <f>IF($AV753="","",IF(AND($Z753=0,COUNTIF('AR SALES'!$L$2:$L$2501,$L753)=0),"YES",""))</f>
        <v/>
      </c>
      <c r="AZ753" s="2" t="str">
        <f>IF($AV753="","",IF(COUNTIF(LISTS!$C$2:$C$250,$AU753)=0,"NEW",""))</f>
        <v/>
      </c>
      <c r="BA753" s="2" t="str">
        <f>IF(""&amp;$F753&lt;&gt;"4","",IF($AY753="YES","",IF(ROUND(SUMIFS($AE$2:$AE$4001,$L$2:$L$4001,$L753,$F$2:$F$4001,"4")-SUMIFS('AR SALES'!$Y$2:$Y$2501,'AR SALES'!$L$2:$L$2501,$L753,'AR SALES'!$AD$2:$AD$2501,"OFF"),2)=0,"","STALE")))</f>
        <v/>
      </c>
      <c r="BB753" s="2" t="str">
        <f>IF(OR(""&amp;$F753="2",""&amp;$F753="4",""&amp;$F753="G",""&amp;$F753="H"),IF($AY753="YES","",IF($AB753&lt;&gt;0,"",IF(COUNTIFS('AR SALES'!$L$2:$L$2501,$L753,'AR SALES'!$AD$2:$AD$2501,IF(""&amp;$F753="4","OFF","ON"),'AR SALES'!$AF$2:$AF$2501,"Y")&gt;0,"","NO EXEMPTION"))),"")</f>
        <v/>
      </c>
    </row>
    <row r="754" spans="46:54" x14ac:dyDescent="0.25">
      <c r="AT754" s="2" t="str">
        <f>IF($L754="","",IFERROR(INDEX('AR SALES'!$H$2:$H$2501,MATCH(""&amp;$L754,'AR SALES'!$AE$2:$AE$2501,0)),""))</f>
        <v/>
      </c>
      <c r="AU754" s="2" t="str">
        <f t="shared" si="44"/>
        <v/>
      </c>
      <c r="AV754" s="2" t="str">
        <f t="shared" si="45"/>
        <v/>
      </c>
      <c r="AW754" s="2" t="str">
        <f t="shared" si="46"/>
        <v/>
      </c>
      <c r="AX754" s="2" t="str">
        <f t="shared" si="47"/>
        <v/>
      </c>
      <c r="AY754" s="2" t="str">
        <f>IF($AV754="","",IF(AND($Z754=0,COUNTIF('AR SALES'!$L$2:$L$2501,$L754)=0),"YES",""))</f>
        <v/>
      </c>
      <c r="AZ754" s="2" t="str">
        <f>IF($AV754="","",IF(COUNTIF(LISTS!$C$2:$C$250,$AU754)=0,"NEW",""))</f>
        <v/>
      </c>
      <c r="BA754" s="2" t="str">
        <f>IF(""&amp;$F754&lt;&gt;"4","",IF($AY754="YES","",IF(ROUND(SUMIFS($AE$2:$AE$4001,$L$2:$L$4001,$L754,$F$2:$F$4001,"4")-SUMIFS('AR SALES'!$Y$2:$Y$2501,'AR SALES'!$L$2:$L$2501,$L754,'AR SALES'!$AD$2:$AD$2501,"OFF"),2)=0,"","STALE")))</f>
        <v/>
      </c>
      <c r="BB754" s="2" t="str">
        <f>IF(OR(""&amp;$F754="2",""&amp;$F754="4",""&amp;$F754="G",""&amp;$F754="H"),IF($AY754="YES","",IF($AB754&lt;&gt;0,"",IF(COUNTIFS('AR SALES'!$L$2:$L$2501,$L754,'AR SALES'!$AD$2:$AD$2501,IF(""&amp;$F754="4","OFF","ON"),'AR SALES'!$AF$2:$AF$2501,"Y")&gt;0,"","NO EXEMPTION"))),"")</f>
        <v/>
      </c>
    </row>
    <row r="755" spans="46:54" x14ac:dyDescent="0.25">
      <c r="AT755" s="2" t="str">
        <f>IF($L755="","",IFERROR(INDEX('AR SALES'!$H$2:$H$2501,MATCH(""&amp;$L755,'AR SALES'!$AE$2:$AE$2501,0)),""))</f>
        <v/>
      </c>
      <c r="AU755" s="2" t="str">
        <f t="shared" si="44"/>
        <v/>
      </c>
      <c r="AV755" s="2" t="str">
        <f t="shared" si="45"/>
        <v/>
      </c>
      <c r="AW755" s="2" t="str">
        <f t="shared" si="46"/>
        <v/>
      </c>
      <c r="AX755" s="2" t="str">
        <f t="shared" si="47"/>
        <v/>
      </c>
      <c r="AY755" s="2" t="str">
        <f>IF($AV755="","",IF(AND($Z755=0,COUNTIF('AR SALES'!$L$2:$L$2501,$L755)=0),"YES",""))</f>
        <v/>
      </c>
      <c r="AZ755" s="2" t="str">
        <f>IF($AV755="","",IF(COUNTIF(LISTS!$C$2:$C$250,$AU755)=0,"NEW",""))</f>
        <v/>
      </c>
      <c r="BA755" s="2" t="str">
        <f>IF(""&amp;$F755&lt;&gt;"4","",IF($AY755="YES","",IF(ROUND(SUMIFS($AE$2:$AE$4001,$L$2:$L$4001,$L755,$F$2:$F$4001,"4")-SUMIFS('AR SALES'!$Y$2:$Y$2501,'AR SALES'!$L$2:$L$2501,$L755,'AR SALES'!$AD$2:$AD$2501,"OFF"),2)=0,"","STALE")))</f>
        <v/>
      </c>
      <c r="BB755" s="2" t="str">
        <f>IF(OR(""&amp;$F755="2",""&amp;$F755="4",""&amp;$F755="G",""&amp;$F755="H"),IF($AY755="YES","",IF($AB755&lt;&gt;0,"",IF(COUNTIFS('AR SALES'!$L$2:$L$2501,$L755,'AR SALES'!$AD$2:$AD$2501,IF(""&amp;$F755="4","OFF","ON"),'AR SALES'!$AF$2:$AF$2501,"Y")&gt;0,"","NO EXEMPTION"))),"")</f>
        <v/>
      </c>
    </row>
    <row r="756" spans="46:54" x14ac:dyDescent="0.25">
      <c r="AT756" s="2" t="str">
        <f>IF($L756="","",IFERROR(INDEX('AR SALES'!$H$2:$H$2501,MATCH(""&amp;$L756,'AR SALES'!$AE$2:$AE$2501,0)),""))</f>
        <v/>
      </c>
      <c r="AU756" s="2" t="str">
        <f t="shared" si="44"/>
        <v/>
      </c>
      <c r="AV756" s="2" t="str">
        <f t="shared" si="45"/>
        <v/>
      </c>
      <c r="AW756" s="2" t="str">
        <f t="shared" si="46"/>
        <v/>
      </c>
      <c r="AX756" s="2" t="str">
        <f t="shared" si="47"/>
        <v/>
      </c>
      <c r="AY756" s="2" t="str">
        <f>IF($AV756="","",IF(AND($Z756=0,COUNTIF('AR SALES'!$L$2:$L$2501,$L756)=0),"YES",""))</f>
        <v/>
      </c>
      <c r="AZ756" s="2" t="str">
        <f>IF($AV756="","",IF(COUNTIF(LISTS!$C$2:$C$250,$AU756)=0,"NEW",""))</f>
        <v/>
      </c>
      <c r="BA756" s="2" t="str">
        <f>IF(""&amp;$F756&lt;&gt;"4","",IF($AY756="YES","",IF(ROUND(SUMIFS($AE$2:$AE$4001,$L$2:$L$4001,$L756,$F$2:$F$4001,"4")-SUMIFS('AR SALES'!$Y$2:$Y$2501,'AR SALES'!$L$2:$L$2501,$L756,'AR SALES'!$AD$2:$AD$2501,"OFF"),2)=0,"","STALE")))</f>
        <v/>
      </c>
      <c r="BB756" s="2" t="str">
        <f>IF(OR(""&amp;$F756="2",""&amp;$F756="4",""&amp;$F756="G",""&amp;$F756="H"),IF($AY756="YES","",IF($AB756&lt;&gt;0,"",IF(COUNTIFS('AR SALES'!$L$2:$L$2501,$L756,'AR SALES'!$AD$2:$AD$2501,IF(""&amp;$F756="4","OFF","ON"),'AR SALES'!$AF$2:$AF$2501,"Y")&gt;0,"","NO EXEMPTION"))),"")</f>
        <v/>
      </c>
    </row>
    <row r="757" spans="46:54" x14ac:dyDescent="0.25">
      <c r="AT757" s="2" t="str">
        <f>IF($L757="","",IFERROR(INDEX('AR SALES'!$H$2:$H$2501,MATCH(""&amp;$L757,'AR SALES'!$AE$2:$AE$2501,0)),""))</f>
        <v/>
      </c>
      <c r="AU757" s="2" t="str">
        <f t="shared" si="44"/>
        <v/>
      </c>
      <c r="AV757" s="2" t="str">
        <f t="shared" si="45"/>
        <v/>
      </c>
      <c r="AW757" s="2" t="str">
        <f t="shared" si="46"/>
        <v/>
      </c>
      <c r="AX757" s="2" t="str">
        <f t="shared" si="47"/>
        <v/>
      </c>
      <c r="AY757" s="2" t="str">
        <f>IF($AV757="","",IF(AND($Z757=0,COUNTIF('AR SALES'!$L$2:$L$2501,$L757)=0),"YES",""))</f>
        <v/>
      </c>
      <c r="AZ757" s="2" t="str">
        <f>IF($AV757="","",IF(COUNTIF(LISTS!$C$2:$C$250,$AU757)=0,"NEW",""))</f>
        <v/>
      </c>
      <c r="BA757" s="2" t="str">
        <f>IF(""&amp;$F757&lt;&gt;"4","",IF($AY757="YES","",IF(ROUND(SUMIFS($AE$2:$AE$4001,$L$2:$L$4001,$L757,$F$2:$F$4001,"4")-SUMIFS('AR SALES'!$Y$2:$Y$2501,'AR SALES'!$L$2:$L$2501,$L757,'AR SALES'!$AD$2:$AD$2501,"OFF"),2)=0,"","STALE")))</f>
        <v/>
      </c>
      <c r="BB757" s="2" t="str">
        <f>IF(OR(""&amp;$F757="2",""&amp;$F757="4",""&amp;$F757="G",""&amp;$F757="H"),IF($AY757="YES","",IF($AB757&lt;&gt;0,"",IF(COUNTIFS('AR SALES'!$L$2:$L$2501,$L757,'AR SALES'!$AD$2:$AD$2501,IF(""&amp;$F757="4","OFF","ON"),'AR SALES'!$AF$2:$AF$2501,"Y")&gt;0,"","NO EXEMPTION"))),"")</f>
        <v/>
      </c>
    </row>
    <row r="758" spans="46:54" x14ac:dyDescent="0.25">
      <c r="AT758" s="2" t="str">
        <f>IF($L758="","",IFERROR(INDEX('AR SALES'!$H$2:$H$2501,MATCH(""&amp;$L758,'AR SALES'!$AE$2:$AE$2501,0)),""))</f>
        <v/>
      </c>
      <c r="AU758" s="2" t="str">
        <f t="shared" si="44"/>
        <v/>
      </c>
      <c r="AV758" s="2" t="str">
        <f t="shared" si="45"/>
        <v/>
      </c>
      <c r="AW758" s="2" t="str">
        <f t="shared" si="46"/>
        <v/>
      </c>
      <c r="AX758" s="2" t="str">
        <f t="shared" si="47"/>
        <v/>
      </c>
      <c r="AY758" s="2" t="str">
        <f>IF($AV758="","",IF(AND($Z758=0,COUNTIF('AR SALES'!$L$2:$L$2501,$L758)=0),"YES",""))</f>
        <v/>
      </c>
      <c r="AZ758" s="2" t="str">
        <f>IF($AV758="","",IF(COUNTIF(LISTS!$C$2:$C$250,$AU758)=0,"NEW",""))</f>
        <v/>
      </c>
      <c r="BA758" s="2" t="str">
        <f>IF(""&amp;$F758&lt;&gt;"4","",IF($AY758="YES","",IF(ROUND(SUMIFS($AE$2:$AE$4001,$L$2:$L$4001,$L758,$F$2:$F$4001,"4")-SUMIFS('AR SALES'!$Y$2:$Y$2501,'AR SALES'!$L$2:$L$2501,$L758,'AR SALES'!$AD$2:$AD$2501,"OFF"),2)=0,"","STALE")))</f>
        <v/>
      </c>
      <c r="BB758" s="2" t="str">
        <f>IF(OR(""&amp;$F758="2",""&amp;$F758="4",""&amp;$F758="G",""&amp;$F758="H"),IF($AY758="YES","",IF($AB758&lt;&gt;0,"",IF(COUNTIFS('AR SALES'!$L$2:$L$2501,$L758,'AR SALES'!$AD$2:$AD$2501,IF(""&amp;$F758="4","OFF","ON"),'AR SALES'!$AF$2:$AF$2501,"Y")&gt;0,"","NO EXEMPTION"))),"")</f>
        <v/>
      </c>
    </row>
    <row r="759" spans="46:54" x14ac:dyDescent="0.25">
      <c r="AT759" s="2" t="str">
        <f>IF($L759="","",IFERROR(INDEX('AR SALES'!$H$2:$H$2501,MATCH(""&amp;$L759,'AR SALES'!$AE$2:$AE$2501,0)),""))</f>
        <v/>
      </c>
      <c r="AU759" s="2" t="str">
        <f t="shared" si="44"/>
        <v/>
      </c>
      <c r="AV759" s="2" t="str">
        <f t="shared" si="45"/>
        <v/>
      </c>
      <c r="AW759" s="2" t="str">
        <f t="shared" si="46"/>
        <v/>
      </c>
      <c r="AX759" s="2" t="str">
        <f t="shared" si="47"/>
        <v/>
      </c>
      <c r="AY759" s="2" t="str">
        <f>IF($AV759="","",IF(AND($Z759=0,COUNTIF('AR SALES'!$L$2:$L$2501,$L759)=0),"YES",""))</f>
        <v/>
      </c>
      <c r="AZ759" s="2" t="str">
        <f>IF($AV759="","",IF(COUNTIF(LISTS!$C$2:$C$250,$AU759)=0,"NEW",""))</f>
        <v/>
      </c>
      <c r="BA759" s="2" t="str">
        <f>IF(""&amp;$F759&lt;&gt;"4","",IF($AY759="YES","",IF(ROUND(SUMIFS($AE$2:$AE$4001,$L$2:$L$4001,$L759,$F$2:$F$4001,"4")-SUMIFS('AR SALES'!$Y$2:$Y$2501,'AR SALES'!$L$2:$L$2501,$L759,'AR SALES'!$AD$2:$AD$2501,"OFF"),2)=0,"","STALE")))</f>
        <v/>
      </c>
      <c r="BB759" s="2" t="str">
        <f>IF(OR(""&amp;$F759="2",""&amp;$F759="4",""&amp;$F759="G",""&amp;$F759="H"),IF($AY759="YES","",IF($AB759&lt;&gt;0,"",IF(COUNTIFS('AR SALES'!$L$2:$L$2501,$L759,'AR SALES'!$AD$2:$AD$2501,IF(""&amp;$F759="4","OFF","ON"),'AR SALES'!$AF$2:$AF$2501,"Y")&gt;0,"","NO EXEMPTION"))),"")</f>
        <v/>
      </c>
    </row>
    <row r="760" spans="46:54" x14ac:dyDescent="0.25">
      <c r="AT760" s="2" t="str">
        <f>IF($L760="","",IFERROR(INDEX('AR SALES'!$H$2:$H$2501,MATCH(""&amp;$L760,'AR SALES'!$AE$2:$AE$2501,0)),""))</f>
        <v/>
      </c>
      <c r="AU760" s="2" t="str">
        <f t="shared" si="44"/>
        <v/>
      </c>
      <c r="AV760" s="2" t="str">
        <f t="shared" si="45"/>
        <v/>
      </c>
      <c r="AW760" s="2" t="str">
        <f t="shared" si="46"/>
        <v/>
      </c>
      <c r="AX760" s="2" t="str">
        <f t="shared" si="47"/>
        <v/>
      </c>
      <c r="AY760" s="2" t="str">
        <f>IF($AV760="","",IF(AND($Z760=0,COUNTIF('AR SALES'!$L$2:$L$2501,$L760)=0),"YES",""))</f>
        <v/>
      </c>
      <c r="AZ760" s="2" t="str">
        <f>IF($AV760="","",IF(COUNTIF(LISTS!$C$2:$C$250,$AU760)=0,"NEW",""))</f>
        <v/>
      </c>
      <c r="BA760" s="2" t="str">
        <f>IF(""&amp;$F760&lt;&gt;"4","",IF($AY760="YES","",IF(ROUND(SUMIFS($AE$2:$AE$4001,$L$2:$L$4001,$L760,$F$2:$F$4001,"4")-SUMIFS('AR SALES'!$Y$2:$Y$2501,'AR SALES'!$L$2:$L$2501,$L760,'AR SALES'!$AD$2:$AD$2501,"OFF"),2)=0,"","STALE")))</f>
        <v/>
      </c>
      <c r="BB760" s="2" t="str">
        <f>IF(OR(""&amp;$F760="2",""&amp;$F760="4",""&amp;$F760="G",""&amp;$F760="H"),IF($AY760="YES","",IF($AB760&lt;&gt;0,"",IF(COUNTIFS('AR SALES'!$L$2:$L$2501,$L760,'AR SALES'!$AD$2:$AD$2501,IF(""&amp;$F760="4","OFF","ON"),'AR SALES'!$AF$2:$AF$2501,"Y")&gt;0,"","NO EXEMPTION"))),"")</f>
        <v/>
      </c>
    </row>
    <row r="761" spans="46:54" x14ac:dyDescent="0.25">
      <c r="AT761" s="2" t="str">
        <f>IF($L761="","",IFERROR(INDEX('AR SALES'!$H$2:$H$2501,MATCH(""&amp;$L761,'AR SALES'!$AE$2:$AE$2501,0)),""))</f>
        <v/>
      </c>
      <c r="AU761" s="2" t="str">
        <f t="shared" si="44"/>
        <v/>
      </c>
      <c r="AV761" s="2" t="str">
        <f t="shared" si="45"/>
        <v/>
      </c>
      <c r="AW761" s="2" t="str">
        <f t="shared" si="46"/>
        <v/>
      </c>
      <c r="AX761" s="2" t="str">
        <f t="shared" si="47"/>
        <v/>
      </c>
      <c r="AY761" s="2" t="str">
        <f>IF($AV761="","",IF(AND($Z761=0,COUNTIF('AR SALES'!$L$2:$L$2501,$L761)=0),"YES",""))</f>
        <v/>
      </c>
      <c r="AZ761" s="2" t="str">
        <f>IF($AV761="","",IF(COUNTIF(LISTS!$C$2:$C$250,$AU761)=0,"NEW",""))</f>
        <v/>
      </c>
      <c r="BA761" s="2" t="str">
        <f>IF(""&amp;$F761&lt;&gt;"4","",IF($AY761="YES","",IF(ROUND(SUMIFS($AE$2:$AE$4001,$L$2:$L$4001,$L761,$F$2:$F$4001,"4")-SUMIFS('AR SALES'!$Y$2:$Y$2501,'AR SALES'!$L$2:$L$2501,$L761,'AR SALES'!$AD$2:$AD$2501,"OFF"),2)=0,"","STALE")))</f>
        <v/>
      </c>
      <c r="BB761" s="2" t="str">
        <f>IF(OR(""&amp;$F761="2",""&amp;$F761="4",""&amp;$F761="G",""&amp;$F761="H"),IF($AY761="YES","",IF($AB761&lt;&gt;0,"",IF(COUNTIFS('AR SALES'!$L$2:$L$2501,$L761,'AR SALES'!$AD$2:$AD$2501,IF(""&amp;$F761="4","OFF","ON"),'AR SALES'!$AF$2:$AF$2501,"Y")&gt;0,"","NO EXEMPTION"))),"")</f>
        <v/>
      </c>
    </row>
    <row r="762" spans="46:54" x14ac:dyDescent="0.25">
      <c r="AT762" s="2" t="str">
        <f>IF($L762="","",IFERROR(INDEX('AR SALES'!$H$2:$H$2501,MATCH(""&amp;$L762,'AR SALES'!$AE$2:$AE$2501,0)),""))</f>
        <v/>
      </c>
      <c r="AU762" s="2" t="str">
        <f t="shared" si="44"/>
        <v/>
      </c>
      <c r="AV762" s="2" t="str">
        <f t="shared" si="45"/>
        <v/>
      </c>
      <c r="AW762" s="2" t="str">
        <f t="shared" si="46"/>
        <v/>
      </c>
      <c r="AX762" s="2" t="str">
        <f t="shared" si="47"/>
        <v/>
      </c>
      <c r="AY762" s="2" t="str">
        <f>IF($AV762="","",IF(AND($Z762=0,COUNTIF('AR SALES'!$L$2:$L$2501,$L762)=0),"YES",""))</f>
        <v/>
      </c>
      <c r="AZ762" s="2" t="str">
        <f>IF($AV762="","",IF(COUNTIF(LISTS!$C$2:$C$250,$AU762)=0,"NEW",""))</f>
        <v/>
      </c>
      <c r="BA762" s="2" t="str">
        <f>IF(""&amp;$F762&lt;&gt;"4","",IF($AY762="YES","",IF(ROUND(SUMIFS($AE$2:$AE$4001,$L$2:$L$4001,$L762,$F$2:$F$4001,"4")-SUMIFS('AR SALES'!$Y$2:$Y$2501,'AR SALES'!$L$2:$L$2501,$L762,'AR SALES'!$AD$2:$AD$2501,"OFF"),2)=0,"","STALE")))</f>
        <v/>
      </c>
      <c r="BB762" s="2" t="str">
        <f>IF(OR(""&amp;$F762="2",""&amp;$F762="4",""&amp;$F762="G",""&amp;$F762="H"),IF($AY762="YES","",IF($AB762&lt;&gt;0,"",IF(COUNTIFS('AR SALES'!$L$2:$L$2501,$L762,'AR SALES'!$AD$2:$AD$2501,IF(""&amp;$F762="4","OFF","ON"),'AR SALES'!$AF$2:$AF$2501,"Y")&gt;0,"","NO EXEMPTION"))),"")</f>
        <v/>
      </c>
    </row>
    <row r="763" spans="46:54" x14ac:dyDescent="0.25">
      <c r="AT763" s="2" t="str">
        <f>IF($L763="","",IFERROR(INDEX('AR SALES'!$H$2:$H$2501,MATCH(""&amp;$L763,'AR SALES'!$AE$2:$AE$2501,0)),""))</f>
        <v/>
      </c>
      <c r="AU763" s="2" t="str">
        <f t="shared" si="44"/>
        <v/>
      </c>
      <c r="AV763" s="2" t="str">
        <f t="shared" si="45"/>
        <v/>
      </c>
      <c r="AW763" s="2" t="str">
        <f t="shared" si="46"/>
        <v/>
      </c>
      <c r="AX763" s="2" t="str">
        <f t="shared" si="47"/>
        <v/>
      </c>
      <c r="AY763" s="2" t="str">
        <f>IF($AV763="","",IF(AND($Z763=0,COUNTIF('AR SALES'!$L$2:$L$2501,$L763)=0),"YES",""))</f>
        <v/>
      </c>
      <c r="AZ763" s="2" t="str">
        <f>IF($AV763="","",IF(COUNTIF(LISTS!$C$2:$C$250,$AU763)=0,"NEW",""))</f>
        <v/>
      </c>
      <c r="BA763" s="2" t="str">
        <f>IF(""&amp;$F763&lt;&gt;"4","",IF($AY763="YES","",IF(ROUND(SUMIFS($AE$2:$AE$4001,$L$2:$L$4001,$L763,$F$2:$F$4001,"4")-SUMIFS('AR SALES'!$Y$2:$Y$2501,'AR SALES'!$L$2:$L$2501,$L763,'AR SALES'!$AD$2:$AD$2501,"OFF"),2)=0,"","STALE")))</f>
        <v/>
      </c>
      <c r="BB763" s="2" t="str">
        <f>IF(OR(""&amp;$F763="2",""&amp;$F763="4",""&amp;$F763="G",""&amp;$F763="H"),IF($AY763="YES","",IF($AB763&lt;&gt;0,"",IF(COUNTIFS('AR SALES'!$L$2:$L$2501,$L763,'AR SALES'!$AD$2:$AD$2501,IF(""&amp;$F763="4","OFF","ON"),'AR SALES'!$AF$2:$AF$2501,"Y")&gt;0,"","NO EXEMPTION"))),"")</f>
        <v/>
      </c>
    </row>
    <row r="764" spans="46:54" x14ac:dyDescent="0.25">
      <c r="AT764" s="2" t="str">
        <f>IF($L764="","",IFERROR(INDEX('AR SALES'!$H$2:$H$2501,MATCH(""&amp;$L764,'AR SALES'!$AE$2:$AE$2501,0)),""))</f>
        <v/>
      </c>
      <c r="AU764" s="2" t="str">
        <f t="shared" si="44"/>
        <v/>
      </c>
      <c r="AV764" s="2" t="str">
        <f t="shared" si="45"/>
        <v/>
      </c>
      <c r="AW764" s="2" t="str">
        <f t="shared" si="46"/>
        <v/>
      </c>
      <c r="AX764" s="2" t="str">
        <f t="shared" si="47"/>
        <v/>
      </c>
      <c r="AY764" s="2" t="str">
        <f>IF($AV764="","",IF(AND($Z764=0,COUNTIF('AR SALES'!$L$2:$L$2501,$L764)=0),"YES",""))</f>
        <v/>
      </c>
      <c r="AZ764" s="2" t="str">
        <f>IF($AV764="","",IF(COUNTIF(LISTS!$C$2:$C$250,$AU764)=0,"NEW",""))</f>
        <v/>
      </c>
      <c r="BA764" s="2" t="str">
        <f>IF(""&amp;$F764&lt;&gt;"4","",IF($AY764="YES","",IF(ROUND(SUMIFS($AE$2:$AE$4001,$L$2:$L$4001,$L764,$F$2:$F$4001,"4")-SUMIFS('AR SALES'!$Y$2:$Y$2501,'AR SALES'!$L$2:$L$2501,$L764,'AR SALES'!$AD$2:$AD$2501,"OFF"),2)=0,"","STALE")))</f>
        <v/>
      </c>
      <c r="BB764" s="2" t="str">
        <f>IF(OR(""&amp;$F764="2",""&amp;$F764="4",""&amp;$F764="G",""&amp;$F764="H"),IF($AY764="YES","",IF($AB764&lt;&gt;0,"",IF(COUNTIFS('AR SALES'!$L$2:$L$2501,$L764,'AR SALES'!$AD$2:$AD$2501,IF(""&amp;$F764="4","OFF","ON"),'AR SALES'!$AF$2:$AF$2501,"Y")&gt;0,"","NO EXEMPTION"))),"")</f>
        <v/>
      </c>
    </row>
    <row r="765" spans="46:54" x14ac:dyDescent="0.25">
      <c r="AT765" s="2" t="str">
        <f>IF($L765="","",IFERROR(INDEX('AR SALES'!$H$2:$H$2501,MATCH(""&amp;$L765,'AR SALES'!$AE$2:$AE$2501,0)),""))</f>
        <v/>
      </c>
      <c r="AU765" s="2" t="str">
        <f t="shared" si="44"/>
        <v/>
      </c>
      <c r="AV765" s="2" t="str">
        <f t="shared" si="45"/>
        <v/>
      </c>
      <c r="AW765" s="2" t="str">
        <f t="shared" si="46"/>
        <v/>
      </c>
      <c r="AX765" s="2" t="str">
        <f t="shared" si="47"/>
        <v/>
      </c>
      <c r="AY765" s="2" t="str">
        <f>IF($AV765="","",IF(AND($Z765=0,COUNTIF('AR SALES'!$L$2:$L$2501,$L765)=0),"YES",""))</f>
        <v/>
      </c>
      <c r="AZ765" s="2" t="str">
        <f>IF($AV765="","",IF(COUNTIF(LISTS!$C$2:$C$250,$AU765)=0,"NEW",""))</f>
        <v/>
      </c>
      <c r="BA765" s="2" t="str">
        <f>IF(""&amp;$F765&lt;&gt;"4","",IF($AY765="YES","",IF(ROUND(SUMIFS($AE$2:$AE$4001,$L$2:$L$4001,$L765,$F$2:$F$4001,"4")-SUMIFS('AR SALES'!$Y$2:$Y$2501,'AR SALES'!$L$2:$L$2501,$L765,'AR SALES'!$AD$2:$AD$2501,"OFF"),2)=0,"","STALE")))</f>
        <v/>
      </c>
      <c r="BB765" s="2" t="str">
        <f>IF(OR(""&amp;$F765="2",""&amp;$F765="4",""&amp;$F765="G",""&amp;$F765="H"),IF($AY765="YES","",IF($AB765&lt;&gt;0,"",IF(COUNTIFS('AR SALES'!$L$2:$L$2501,$L765,'AR SALES'!$AD$2:$AD$2501,IF(""&amp;$F765="4","OFF","ON"),'AR SALES'!$AF$2:$AF$2501,"Y")&gt;0,"","NO EXEMPTION"))),"")</f>
        <v/>
      </c>
    </row>
    <row r="766" spans="46:54" x14ac:dyDescent="0.25">
      <c r="AT766" s="2" t="str">
        <f>IF($L766="","",IFERROR(INDEX('AR SALES'!$H$2:$H$2501,MATCH(""&amp;$L766,'AR SALES'!$AE$2:$AE$2501,0)),""))</f>
        <v/>
      </c>
      <c r="AU766" s="2" t="str">
        <f t="shared" si="44"/>
        <v/>
      </c>
      <c r="AV766" s="2" t="str">
        <f t="shared" si="45"/>
        <v/>
      </c>
      <c r="AW766" s="2" t="str">
        <f t="shared" si="46"/>
        <v/>
      </c>
      <c r="AX766" s="2" t="str">
        <f t="shared" si="47"/>
        <v/>
      </c>
      <c r="AY766" s="2" t="str">
        <f>IF($AV766="","",IF(AND($Z766=0,COUNTIF('AR SALES'!$L$2:$L$2501,$L766)=0),"YES",""))</f>
        <v/>
      </c>
      <c r="AZ766" s="2" t="str">
        <f>IF($AV766="","",IF(COUNTIF(LISTS!$C$2:$C$250,$AU766)=0,"NEW",""))</f>
        <v/>
      </c>
      <c r="BA766" s="2" t="str">
        <f>IF(""&amp;$F766&lt;&gt;"4","",IF($AY766="YES","",IF(ROUND(SUMIFS($AE$2:$AE$4001,$L$2:$L$4001,$L766,$F$2:$F$4001,"4")-SUMIFS('AR SALES'!$Y$2:$Y$2501,'AR SALES'!$L$2:$L$2501,$L766,'AR SALES'!$AD$2:$AD$2501,"OFF"),2)=0,"","STALE")))</f>
        <v/>
      </c>
      <c r="BB766" s="2" t="str">
        <f>IF(OR(""&amp;$F766="2",""&amp;$F766="4",""&amp;$F766="G",""&amp;$F766="H"),IF($AY766="YES","",IF($AB766&lt;&gt;0,"",IF(COUNTIFS('AR SALES'!$L$2:$L$2501,$L766,'AR SALES'!$AD$2:$AD$2501,IF(""&amp;$F766="4","OFF","ON"),'AR SALES'!$AF$2:$AF$2501,"Y")&gt;0,"","NO EXEMPTION"))),"")</f>
        <v/>
      </c>
    </row>
    <row r="767" spans="46:54" x14ac:dyDescent="0.25">
      <c r="AT767" s="2" t="str">
        <f>IF($L767="","",IFERROR(INDEX('AR SALES'!$H$2:$H$2501,MATCH(""&amp;$L767,'AR SALES'!$AE$2:$AE$2501,0)),""))</f>
        <v/>
      </c>
      <c r="AU767" s="2" t="str">
        <f t="shared" si="44"/>
        <v/>
      </c>
      <c r="AV767" s="2" t="str">
        <f t="shared" si="45"/>
        <v/>
      </c>
      <c r="AW767" s="2" t="str">
        <f t="shared" si="46"/>
        <v/>
      </c>
      <c r="AX767" s="2" t="str">
        <f t="shared" si="47"/>
        <v/>
      </c>
      <c r="AY767" s="2" t="str">
        <f>IF($AV767="","",IF(AND($Z767=0,COUNTIF('AR SALES'!$L$2:$L$2501,$L767)=0),"YES",""))</f>
        <v/>
      </c>
      <c r="AZ767" s="2" t="str">
        <f>IF($AV767="","",IF(COUNTIF(LISTS!$C$2:$C$250,$AU767)=0,"NEW",""))</f>
        <v/>
      </c>
      <c r="BA767" s="2" t="str">
        <f>IF(""&amp;$F767&lt;&gt;"4","",IF($AY767="YES","",IF(ROUND(SUMIFS($AE$2:$AE$4001,$L$2:$L$4001,$L767,$F$2:$F$4001,"4")-SUMIFS('AR SALES'!$Y$2:$Y$2501,'AR SALES'!$L$2:$L$2501,$L767,'AR SALES'!$AD$2:$AD$2501,"OFF"),2)=0,"","STALE")))</f>
        <v/>
      </c>
      <c r="BB767" s="2" t="str">
        <f>IF(OR(""&amp;$F767="2",""&amp;$F767="4",""&amp;$F767="G",""&amp;$F767="H"),IF($AY767="YES","",IF($AB767&lt;&gt;0,"",IF(COUNTIFS('AR SALES'!$L$2:$L$2501,$L767,'AR SALES'!$AD$2:$AD$2501,IF(""&amp;$F767="4","OFF","ON"),'AR SALES'!$AF$2:$AF$2501,"Y")&gt;0,"","NO EXEMPTION"))),"")</f>
        <v/>
      </c>
    </row>
    <row r="768" spans="46:54" x14ac:dyDescent="0.25">
      <c r="AT768" s="2" t="str">
        <f>IF($L768="","",IFERROR(INDEX('AR SALES'!$H$2:$H$2501,MATCH(""&amp;$L768,'AR SALES'!$AE$2:$AE$2501,0)),""))</f>
        <v/>
      </c>
      <c r="AU768" s="2" t="str">
        <f t="shared" si="44"/>
        <v/>
      </c>
      <c r="AV768" s="2" t="str">
        <f t="shared" si="45"/>
        <v/>
      </c>
      <c r="AW768" s="2" t="str">
        <f t="shared" si="46"/>
        <v/>
      </c>
      <c r="AX768" s="2" t="str">
        <f t="shared" si="47"/>
        <v/>
      </c>
      <c r="AY768" s="2" t="str">
        <f>IF($AV768="","",IF(AND($Z768=0,COUNTIF('AR SALES'!$L$2:$L$2501,$L768)=0),"YES",""))</f>
        <v/>
      </c>
      <c r="AZ768" s="2" t="str">
        <f>IF($AV768="","",IF(COUNTIF(LISTS!$C$2:$C$250,$AU768)=0,"NEW",""))</f>
        <v/>
      </c>
      <c r="BA768" s="2" t="str">
        <f>IF(""&amp;$F768&lt;&gt;"4","",IF($AY768="YES","",IF(ROUND(SUMIFS($AE$2:$AE$4001,$L$2:$L$4001,$L768,$F$2:$F$4001,"4")-SUMIFS('AR SALES'!$Y$2:$Y$2501,'AR SALES'!$L$2:$L$2501,$L768,'AR SALES'!$AD$2:$AD$2501,"OFF"),2)=0,"","STALE")))</f>
        <v/>
      </c>
      <c r="BB768" s="2" t="str">
        <f>IF(OR(""&amp;$F768="2",""&amp;$F768="4",""&amp;$F768="G",""&amp;$F768="H"),IF($AY768="YES","",IF($AB768&lt;&gt;0,"",IF(COUNTIFS('AR SALES'!$L$2:$L$2501,$L768,'AR SALES'!$AD$2:$AD$2501,IF(""&amp;$F768="4","OFF","ON"),'AR SALES'!$AF$2:$AF$2501,"Y")&gt;0,"","NO EXEMPTION"))),"")</f>
        <v/>
      </c>
    </row>
    <row r="769" spans="46:54" x14ac:dyDescent="0.25">
      <c r="AT769" s="2" t="str">
        <f>IF($L769="","",IFERROR(INDEX('AR SALES'!$H$2:$H$2501,MATCH(""&amp;$L769,'AR SALES'!$AE$2:$AE$2501,0)),""))</f>
        <v/>
      </c>
      <c r="AU769" s="2" t="str">
        <f t="shared" si="44"/>
        <v/>
      </c>
      <c r="AV769" s="2" t="str">
        <f t="shared" si="45"/>
        <v/>
      </c>
      <c r="AW769" s="2" t="str">
        <f t="shared" si="46"/>
        <v/>
      </c>
      <c r="AX769" s="2" t="str">
        <f t="shared" si="47"/>
        <v/>
      </c>
      <c r="AY769" s="2" t="str">
        <f>IF($AV769="","",IF(AND($Z769=0,COUNTIF('AR SALES'!$L$2:$L$2501,$L769)=0),"YES",""))</f>
        <v/>
      </c>
      <c r="AZ769" s="2" t="str">
        <f>IF($AV769="","",IF(COUNTIF(LISTS!$C$2:$C$250,$AU769)=0,"NEW",""))</f>
        <v/>
      </c>
      <c r="BA769" s="2" t="str">
        <f>IF(""&amp;$F769&lt;&gt;"4","",IF($AY769="YES","",IF(ROUND(SUMIFS($AE$2:$AE$4001,$L$2:$L$4001,$L769,$F$2:$F$4001,"4")-SUMIFS('AR SALES'!$Y$2:$Y$2501,'AR SALES'!$L$2:$L$2501,$L769,'AR SALES'!$AD$2:$AD$2501,"OFF"),2)=0,"","STALE")))</f>
        <v/>
      </c>
      <c r="BB769" s="2" t="str">
        <f>IF(OR(""&amp;$F769="2",""&amp;$F769="4",""&amp;$F769="G",""&amp;$F769="H"),IF($AY769="YES","",IF($AB769&lt;&gt;0,"",IF(COUNTIFS('AR SALES'!$L$2:$L$2501,$L769,'AR SALES'!$AD$2:$AD$2501,IF(""&amp;$F769="4","OFF","ON"),'AR SALES'!$AF$2:$AF$2501,"Y")&gt;0,"","NO EXEMPTION"))),"")</f>
        <v/>
      </c>
    </row>
    <row r="770" spans="46:54" x14ac:dyDescent="0.25">
      <c r="AT770" s="2" t="str">
        <f>IF($L770="","",IFERROR(INDEX('AR SALES'!$H$2:$H$2501,MATCH(""&amp;$L770,'AR SALES'!$AE$2:$AE$2501,0)),""))</f>
        <v/>
      </c>
      <c r="AU770" s="2" t="str">
        <f t="shared" ref="AU770:AU833" si="48">IF($L770="","",IF($A770&lt;&gt;"GA","",IF($E770="FULTON",IF(ISNUMBER(SEARCH("COLLEGE PARK",$AT770)),"FULTON (COLLEGE PARK)",IF(ISNUMBER(SEARCH("ATLANTA CITY",$AT770)),"FULTON (ATL LIMITS)","FULTON")),IF($E770="DEKALB",IF(ISNUMBER(SEARCH("ATLANTA CITY",$AT770)),"DEKALB (ATL LIMITS)","DEKALB"),$E770))))</f>
        <v/>
      </c>
      <c r="AV770" s="2" t="str">
        <f t="shared" ref="AV770:AV833" si="49">IF($L770="","",IF(""&amp;$F770="2","DIESEL",IF(OR(""&amp;$F770="G",""&amp;$F770="H"),"GAS","")))</f>
        <v/>
      </c>
      <c r="AW770" s="2" t="str">
        <f t="shared" ref="AW770:AW833" si="50">IF($AV770="","",$R770)</f>
        <v/>
      </c>
      <c r="AX770" s="2" t="str">
        <f t="shared" ref="AX770:AX833" si="51">IF($AV770="","",IF($AB770=0,$R770,0))</f>
        <v/>
      </c>
      <c r="AY770" s="2" t="str">
        <f>IF($AV770="","",IF(AND($Z770=0,COUNTIF('AR SALES'!$L$2:$L$2501,$L770)=0),"YES",""))</f>
        <v/>
      </c>
      <c r="AZ770" s="2" t="str">
        <f>IF($AV770="","",IF(COUNTIF(LISTS!$C$2:$C$250,$AU770)=0,"NEW",""))</f>
        <v/>
      </c>
      <c r="BA770" s="2" t="str">
        <f>IF(""&amp;$F770&lt;&gt;"4","",IF($AY770="YES","",IF(ROUND(SUMIFS($AE$2:$AE$4001,$L$2:$L$4001,$L770,$F$2:$F$4001,"4")-SUMIFS('AR SALES'!$Y$2:$Y$2501,'AR SALES'!$L$2:$L$2501,$L770,'AR SALES'!$AD$2:$AD$2501,"OFF"),2)=0,"","STALE")))</f>
        <v/>
      </c>
      <c r="BB770" s="2" t="str">
        <f>IF(OR(""&amp;$F770="2",""&amp;$F770="4",""&amp;$F770="G",""&amp;$F770="H"),IF($AY770="YES","",IF($AB770&lt;&gt;0,"",IF(COUNTIFS('AR SALES'!$L$2:$L$2501,$L770,'AR SALES'!$AD$2:$AD$2501,IF(""&amp;$F770="4","OFF","ON"),'AR SALES'!$AF$2:$AF$2501,"Y")&gt;0,"","NO EXEMPTION"))),"")</f>
        <v/>
      </c>
    </row>
    <row r="771" spans="46:54" x14ac:dyDescent="0.25">
      <c r="AT771" s="2" t="str">
        <f>IF($L771="","",IFERROR(INDEX('AR SALES'!$H$2:$H$2501,MATCH(""&amp;$L771,'AR SALES'!$AE$2:$AE$2501,0)),""))</f>
        <v/>
      </c>
      <c r="AU771" s="2" t="str">
        <f t="shared" si="48"/>
        <v/>
      </c>
      <c r="AV771" s="2" t="str">
        <f t="shared" si="49"/>
        <v/>
      </c>
      <c r="AW771" s="2" t="str">
        <f t="shared" si="50"/>
        <v/>
      </c>
      <c r="AX771" s="2" t="str">
        <f t="shared" si="51"/>
        <v/>
      </c>
      <c r="AY771" s="2" t="str">
        <f>IF($AV771="","",IF(AND($Z771=0,COUNTIF('AR SALES'!$L$2:$L$2501,$L771)=0),"YES",""))</f>
        <v/>
      </c>
      <c r="AZ771" s="2" t="str">
        <f>IF($AV771="","",IF(COUNTIF(LISTS!$C$2:$C$250,$AU771)=0,"NEW",""))</f>
        <v/>
      </c>
      <c r="BA771" s="2" t="str">
        <f>IF(""&amp;$F771&lt;&gt;"4","",IF($AY771="YES","",IF(ROUND(SUMIFS($AE$2:$AE$4001,$L$2:$L$4001,$L771,$F$2:$F$4001,"4")-SUMIFS('AR SALES'!$Y$2:$Y$2501,'AR SALES'!$L$2:$L$2501,$L771,'AR SALES'!$AD$2:$AD$2501,"OFF"),2)=0,"","STALE")))</f>
        <v/>
      </c>
      <c r="BB771" s="2" t="str">
        <f>IF(OR(""&amp;$F771="2",""&amp;$F771="4",""&amp;$F771="G",""&amp;$F771="H"),IF($AY771="YES","",IF($AB771&lt;&gt;0,"",IF(COUNTIFS('AR SALES'!$L$2:$L$2501,$L771,'AR SALES'!$AD$2:$AD$2501,IF(""&amp;$F771="4","OFF","ON"),'AR SALES'!$AF$2:$AF$2501,"Y")&gt;0,"","NO EXEMPTION"))),"")</f>
        <v/>
      </c>
    </row>
    <row r="772" spans="46:54" x14ac:dyDescent="0.25">
      <c r="AT772" s="2" t="str">
        <f>IF($L772="","",IFERROR(INDEX('AR SALES'!$H$2:$H$2501,MATCH(""&amp;$L772,'AR SALES'!$AE$2:$AE$2501,0)),""))</f>
        <v/>
      </c>
      <c r="AU772" s="2" t="str">
        <f t="shared" si="48"/>
        <v/>
      </c>
      <c r="AV772" s="2" t="str">
        <f t="shared" si="49"/>
        <v/>
      </c>
      <c r="AW772" s="2" t="str">
        <f t="shared" si="50"/>
        <v/>
      </c>
      <c r="AX772" s="2" t="str">
        <f t="shared" si="51"/>
        <v/>
      </c>
      <c r="AY772" s="2" t="str">
        <f>IF($AV772="","",IF(AND($Z772=0,COUNTIF('AR SALES'!$L$2:$L$2501,$L772)=0),"YES",""))</f>
        <v/>
      </c>
      <c r="AZ772" s="2" t="str">
        <f>IF($AV772="","",IF(COUNTIF(LISTS!$C$2:$C$250,$AU772)=0,"NEW",""))</f>
        <v/>
      </c>
      <c r="BA772" s="2" t="str">
        <f>IF(""&amp;$F772&lt;&gt;"4","",IF($AY772="YES","",IF(ROUND(SUMIFS($AE$2:$AE$4001,$L$2:$L$4001,$L772,$F$2:$F$4001,"4")-SUMIFS('AR SALES'!$Y$2:$Y$2501,'AR SALES'!$L$2:$L$2501,$L772,'AR SALES'!$AD$2:$AD$2501,"OFF"),2)=0,"","STALE")))</f>
        <v/>
      </c>
      <c r="BB772" s="2" t="str">
        <f>IF(OR(""&amp;$F772="2",""&amp;$F772="4",""&amp;$F772="G",""&amp;$F772="H"),IF($AY772="YES","",IF($AB772&lt;&gt;0,"",IF(COUNTIFS('AR SALES'!$L$2:$L$2501,$L772,'AR SALES'!$AD$2:$AD$2501,IF(""&amp;$F772="4","OFF","ON"),'AR SALES'!$AF$2:$AF$2501,"Y")&gt;0,"","NO EXEMPTION"))),"")</f>
        <v/>
      </c>
    </row>
    <row r="773" spans="46:54" x14ac:dyDescent="0.25">
      <c r="AT773" s="2" t="str">
        <f>IF($L773="","",IFERROR(INDEX('AR SALES'!$H$2:$H$2501,MATCH(""&amp;$L773,'AR SALES'!$AE$2:$AE$2501,0)),""))</f>
        <v/>
      </c>
      <c r="AU773" s="2" t="str">
        <f t="shared" si="48"/>
        <v/>
      </c>
      <c r="AV773" s="2" t="str">
        <f t="shared" si="49"/>
        <v/>
      </c>
      <c r="AW773" s="2" t="str">
        <f t="shared" si="50"/>
        <v/>
      </c>
      <c r="AX773" s="2" t="str">
        <f t="shared" si="51"/>
        <v/>
      </c>
      <c r="AY773" s="2" t="str">
        <f>IF($AV773="","",IF(AND($Z773=0,COUNTIF('AR SALES'!$L$2:$L$2501,$L773)=0),"YES",""))</f>
        <v/>
      </c>
      <c r="AZ773" s="2" t="str">
        <f>IF($AV773="","",IF(COUNTIF(LISTS!$C$2:$C$250,$AU773)=0,"NEW",""))</f>
        <v/>
      </c>
      <c r="BA773" s="2" t="str">
        <f>IF(""&amp;$F773&lt;&gt;"4","",IF($AY773="YES","",IF(ROUND(SUMIFS($AE$2:$AE$4001,$L$2:$L$4001,$L773,$F$2:$F$4001,"4")-SUMIFS('AR SALES'!$Y$2:$Y$2501,'AR SALES'!$L$2:$L$2501,$L773,'AR SALES'!$AD$2:$AD$2501,"OFF"),2)=0,"","STALE")))</f>
        <v/>
      </c>
      <c r="BB773" s="2" t="str">
        <f>IF(OR(""&amp;$F773="2",""&amp;$F773="4",""&amp;$F773="G",""&amp;$F773="H"),IF($AY773="YES","",IF($AB773&lt;&gt;0,"",IF(COUNTIFS('AR SALES'!$L$2:$L$2501,$L773,'AR SALES'!$AD$2:$AD$2501,IF(""&amp;$F773="4","OFF","ON"),'AR SALES'!$AF$2:$AF$2501,"Y")&gt;0,"","NO EXEMPTION"))),"")</f>
        <v/>
      </c>
    </row>
    <row r="774" spans="46:54" x14ac:dyDescent="0.25">
      <c r="AT774" s="2" t="str">
        <f>IF($L774="","",IFERROR(INDEX('AR SALES'!$H$2:$H$2501,MATCH(""&amp;$L774,'AR SALES'!$AE$2:$AE$2501,0)),""))</f>
        <v/>
      </c>
      <c r="AU774" s="2" t="str">
        <f t="shared" si="48"/>
        <v/>
      </c>
      <c r="AV774" s="2" t="str">
        <f t="shared" si="49"/>
        <v/>
      </c>
      <c r="AW774" s="2" t="str">
        <f t="shared" si="50"/>
        <v/>
      </c>
      <c r="AX774" s="2" t="str">
        <f t="shared" si="51"/>
        <v/>
      </c>
      <c r="AY774" s="2" t="str">
        <f>IF($AV774="","",IF(AND($Z774=0,COUNTIF('AR SALES'!$L$2:$L$2501,$L774)=0),"YES",""))</f>
        <v/>
      </c>
      <c r="AZ774" s="2" t="str">
        <f>IF($AV774="","",IF(COUNTIF(LISTS!$C$2:$C$250,$AU774)=0,"NEW",""))</f>
        <v/>
      </c>
      <c r="BA774" s="2" t="str">
        <f>IF(""&amp;$F774&lt;&gt;"4","",IF($AY774="YES","",IF(ROUND(SUMIFS($AE$2:$AE$4001,$L$2:$L$4001,$L774,$F$2:$F$4001,"4")-SUMIFS('AR SALES'!$Y$2:$Y$2501,'AR SALES'!$L$2:$L$2501,$L774,'AR SALES'!$AD$2:$AD$2501,"OFF"),2)=0,"","STALE")))</f>
        <v/>
      </c>
      <c r="BB774" s="2" t="str">
        <f>IF(OR(""&amp;$F774="2",""&amp;$F774="4",""&amp;$F774="G",""&amp;$F774="H"),IF($AY774="YES","",IF($AB774&lt;&gt;0,"",IF(COUNTIFS('AR SALES'!$L$2:$L$2501,$L774,'AR SALES'!$AD$2:$AD$2501,IF(""&amp;$F774="4","OFF","ON"),'AR SALES'!$AF$2:$AF$2501,"Y")&gt;0,"","NO EXEMPTION"))),"")</f>
        <v/>
      </c>
    </row>
    <row r="775" spans="46:54" x14ac:dyDescent="0.25">
      <c r="AT775" s="2" t="str">
        <f>IF($L775="","",IFERROR(INDEX('AR SALES'!$H$2:$H$2501,MATCH(""&amp;$L775,'AR SALES'!$AE$2:$AE$2501,0)),""))</f>
        <v/>
      </c>
      <c r="AU775" s="2" t="str">
        <f t="shared" si="48"/>
        <v/>
      </c>
      <c r="AV775" s="2" t="str">
        <f t="shared" si="49"/>
        <v/>
      </c>
      <c r="AW775" s="2" t="str">
        <f t="shared" si="50"/>
        <v/>
      </c>
      <c r="AX775" s="2" t="str">
        <f t="shared" si="51"/>
        <v/>
      </c>
      <c r="AY775" s="2" t="str">
        <f>IF($AV775="","",IF(AND($Z775=0,COUNTIF('AR SALES'!$L$2:$L$2501,$L775)=0),"YES",""))</f>
        <v/>
      </c>
      <c r="AZ775" s="2" t="str">
        <f>IF($AV775="","",IF(COUNTIF(LISTS!$C$2:$C$250,$AU775)=0,"NEW",""))</f>
        <v/>
      </c>
      <c r="BA775" s="2" t="str">
        <f>IF(""&amp;$F775&lt;&gt;"4","",IF($AY775="YES","",IF(ROUND(SUMIFS($AE$2:$AE$4001,$L$2:$L$4001,$L775,$F$2:$F$4001,"4")-SUMIFS('AR SALES'!$Y$2:$Y$2501,'AR SALES'!$L$2:$L$2501,$L775,'AR SALES'!$AD$2:$AD$2501,"OFF"),2)=0,"","STALE")))</f>
        <v/>
      </c>
      <c r="BB775" s="2" t="str">
        <f>IF(OR(""&amp;$F775="2",""&amp;$F775="4",""&amp;$F775="G",""&amp;$F775="H"),IF($AY775="YES","",IF($AB775&lt;&gt;0,"",IF(COUNTIFS('AR SALES'!$L$2:$L$2501,$L775,'AR SALES'!$AD$2:$AD$2501,IF(""&amp;$F775="4","OFF","ON"),'AR SALES'!$AF$2:$AF$2501,"Y")&gt;0,"","NO EXEMPTION"))),"")</f>
        <v/>
      </c>
    </row>
    <row r="776" spans="46:54" x14ac:dyDescent="0.25">
      <c r="AT776" s="2" t="str">
        <f>IF($L776="","",IFERROR(INDEX('AR SALES'!$H$2:$H$2501,MATCH(""&amp;$L776,'AR SALES'!$AE$2:$AE$2501,0)),""))</f>
        <v/>
      </c>
      <c r="AU776" s="2" t="str">
        <f t="shared" si="48"/>
        <v/>
      </c>
      <c r="AV776" s="2" t="str">
        <f t="shared" si="49"/>
        <v/>
      </c>
      <c r="AW776" s="2" t="str">
        <f t="shared" si="50"/>
        <v/>
      </c>
      <c r="AX776" s="2" t="str">
        <f t="shared" si="51"/>
        <v/>
      </c>
      <c r="AY776" s="2" t="str">
        <f>IF($AV776="","",IF(AND($Z776=0,COUNTIF('AR SALES'!$L$2:$L$2501,$L776)=0),"YES",""))</f>
        <v/>
      </c>
      <c r="AZ776" s="2" t="str">
        <f>IF($AV776="","",IF(COUNTIF(LISTS!$C$2:$C$250,$AU776)=0,"NEW",""))</f>
        <v/>
      </c>
      <c r="BA776" s="2" t="str">
        <f>IF(""&amp;$F776&lt;&gt;"4","",IF($AY776="YES","",IF(ROUND(SUMIFS($AE$2:$AE$4001,$L$2:$L$4001,$L776,$F$2:$F$4001,"4")-SUMIFS('AR SALES'!$Y$2:$Y$2501,'AR SALES'!$L$2:$L$2501,$L776,'AR SALES'!$AD$2:$AD$2501,"OFF"),2)=0,"","STALE")))</f>
        <v/>
      </c>
      <c r="BB776" s="2" t="str">
        <f>IF(OR(""&amp;$F776="2",""&amp;$F776="4",""&amp;$F776="G",""&amp;$F776="H"),IF($AY776="YES","",IF($AB776&lt;&gt;0,"",IF(COUNTIFS('AR SALES'!$L$2:$L$2501,$L776,'AR SALES'!$AD$2:$AD$2501,IF(""&amp;$F776="4","OFF","ON"),'AR SALES'!$AF$2:$AF$2501,"Y")&gt;0,"","NO EXEMPTION"))),"")</f>
        <v/>
      </c>
    </row>
    <row r="777" spans="46:54" x14ac:dyDescent="0.25">
      <c r="AT777" s="2" t="str">
        <f>IF($L777="","",IFERROR(INDEX('AR SALES'!$H$2:$H$2501,MATCH(""&amp;$L777,'AR SALES'!$AE$2:$AE$2501,0)),""))</f>
        <v/>
      </c>
      <c r="AU777" s="2" t="str">
        <f t="shared" si="48"/>
        <v/>
      </c>
      <c r="AV777" s="2" t="str">
        <f t="shared" si="49"/>
        <v/>
      </c>
      <c r="AW777" s="2" t="str">
        <f t="shared" si="50"/>
        <v/>
      </c>
      <c r="AX777" s="2" t="str">
        <f t="shared" si="51"/>
        <v/>
      </c>
      <c r="AY777" s="2" t="str">
        <f>IF($AV777="","",IF(AND($Z777=0,COUNTIF('AR SALES'!$L$2:$L$2501,$L777)=0),"YES",""))</f>
        <v/>
      </c>
      <c r="AZ777" s="2" t="str">
        <f>IF($AV777="","",IF(COUNTIF(LISTS!$C$2:$C$250,$AU777)=0,"NEW",""))</f>
        <v/>
      </c>
      <c r="BA777" s="2" t="str">
        <f>IF(""&amp;$F777&lt;&gt;"4","",IF($AY777="YES","",IF(ROUND(SUMIFS($AE$2:$AE$4001,$L$2:$L$4001,$L777,$F$2:$F$4001,"4")-SUMIFS('AR SALES'!$Y$2:$Y$2501,'AR SALES'!$L$2:$L$2501,$L777,'AR SALES'!$AD$2:$AD$2501,"OFF"),2)=0,"","STALE")))</f>
        <v/>
      </c>
      <c r="BB777" s="2" t="str">
        <f>IF(OR(""&amp;$F777="2",""&amp;$F777="4",""&amp;$F777="G",""&amp;$F777="H"),IF($AY777="YES","",IF($AB777&lt;&gt;0,"",IF(COUNTIFS('AR SALES'!$L$2:$L$2501,$L777,'AR SALES'!$AD$2:$AD$2501,IF(""&amp;$F777="4","OFF","ON"),'AR SALES'!$AF$2:$AF$2501,"Y")&gt;0,"","NO EXEMPTION"))),"")</f>
        <v/>
      </c>
    </row>
    <row r="778" spans="46:54" x14ac:dyDescent="0.25">
      <c r="AT778" s="2" t="str">
        <f>IF($L778="","",IFERROR(INDEX('AR SALES'!$H$2:$H$2501,MATCH(""&amp;$L778,'AR SALES'!$AE$2:$AE$2501,0)),""))</f>
        <v/>
      </c>
      <c r="AU778" s="2" t="str">
        <f t="shared" si="48"/>
        <v/>
      </c>
      <c r="AV778" s="2" t="str">
        <f t="shared" si="49"/>
        <v/>
      </c>
      <c r="AW778" s="2" t="str">
        <f t="shared" si="50"/>
        <v/>
      </c>
      <c r="AX778" s="2" t="str">
        <f t="shared" si="51"/>
        <v/>
      </c>
      <c r="AY778" s="2" t="str">
        <f>IF($AV778="","",IF(AND($Z778=0,COUNTIF('AR SALES'!$L$2:$L$2501,$L778)=0),"YES",""))</f>
        <v/>
      </c>
      <c r="AZ778" s="2" t="str">
        <f>IF($AV778="","",IF(COUNTIF(LISTS!$C$2:$C$250,$AU778)=0,"NEW",""))</f>
        <v/>
      </c>
      <c r="BA778" s="2" t="str">
        <f>IF(""&amp;$F778&lt;&gt;"4","",IF($AY778="YES","",IF(ROUND(SUMIFS($AE$2:$AE$4001,$L$2:$L$4001,$L778,$F$2:$F$4001,"4")-SUMIFS('AR SALES'!$Y$2:$Y$2501,'AR SALES'!$L$2:$L$2501,$L778,'AR SALES'!$AD$2:$AD$2501,"OFF"),2)=0,"","STALE")))</f>
        <v/>
      </c>
      <c r="BB778" s="2" t="str">
        <f>IF(OR(""&amp;$F778="2",""&amp;$F778="4",""&amp;$F778="G",""&amp;$F778="H"),IF($AY778="YES","",IF($AB778&lt;&gt;0,"",IF(COUNTIFS('AR SALES'!$L$2:$L$2501,$L778,'AR SALES'!$AD$2:$AD$2501,IF(""&amp;$F778="4","OFF","ON"),'AR SALES'!$AF$2:$AF$2501,"Y")&gt;0,"","NO EXEMPTION"))),"")</f>
        <v/>
      </c>
    </row>
    <row r="779" spans="46:54" x14ac:dyDescent="0.25">
      <c r="AT779" s="2" t="str">
        <f>IF($L779="","",IFERROR(INDEX('AR SALES'!$H$2:$H$2501,MATCH(""&amp;$L779,'AR SALES'!$AE$2:$AE$2501,0)),""))</f>
        <v/>
      </c>
      <c r="AU779" s="2" t="str">
        <f t="shared" si="48"/>
        <v/>
      </c>
      <c r="AV779" s="2" t="str">
        <f t="shared" si="49"/>
        <v/>
      </c>
      <c r="AW779" s="2" t="str">
        <f t="shared" si="50"/>
        <v/>
      </c>
      <c r="AX779" s="2" t="str">
        <f t="shared" si="51"/>
        <v/>
      </c>
      <c r="AY779" s="2" t="str">
        <f>IF($AV779="","",IF(AND($Z779=0,COUNTIF('AR SALES'!$L$2:$L$2501,$L779)=0),"YES",""))</f>
        <v/>
      </c>
      <c r="AZ779" s="2" t="str">
        <f>IF($AV779="","",IF(COUNTIF(LISTS!$C$2:$C$250,$AU779)=0,"NEW",""))</f>
        <v/>
      </c>
      <c r="BA779" s="2" t="str">
        <f>IF(""&amp;$F779&lt;&gt;"4","",IF($AY779="YES","",IF(ROUND(SUMIFS($AE$2:$AE$4001,$L$2:$L$4001,$L779,$F$2:$F$4001,"4")-SUMIFS('AR SALES'!$Y$2:$Y$2501,'AR SALES'!$L$2:$L$2501,$L779,'AR SALES'!$AD$2:$AD$2501,"OFF"),2)=0,"","STALE")))</f>
        <v/>
      </c>
      <c r="BB779" s="2" t="str">
        <f>IF(OR(""&amp;$F779="2",""&amp;$F779="4",""&amp;$F779="G",""&amp;$F779="H"),IF($AY779="YES","",IF($AB779&lt;&gt;0,"",IF(COUNTIFS('AR SALES'!$L$2:$L$2501,$L779,'AR SALES'!$AD$2:$AD$2501,IF(""&amp;$F779="4","OFF","ON"),'AR SALES'!$AF$2:$AF$2501,"Y")&gt;0,"","NO EXEMPTION"))),"")</f>
        <v/>
      </c>
    </row>
    <row r="780" spans="46:54" x14ac:dyDescent="0.25">
      <c r="AT780" s="2" t="str">
        <f>IF($L780="","",IFERROR(INDEX('AR SALES'!$H$2:$H$2501,MATCH(""&amp;$L780,'AR SALES'!$AE$2:$AE$2501,0)),""))</f>
        <v/>
      </c>
      <c r="AU780" s="2" t="str">
        <f t="shared" si="48"/>
        <v/>
      </c>
      <c r="AV780" s="2" t="str">
        <f t="shared" si="49"/>
        <v/>
      </c>
      <c r="AW780" s="2" t="str">
        <f t="shared" si="50"/>
        <v/>
      </c>
      <c r="AX780" s="2" t="str">
        <f t="shared" si="51"/>
        <v/>
      </c>
      <c r="AY780" s="2" t="str">
        <f>IF($AV780="","",IF(AND($Z780=0,COUNTIF('AR SALES'!$L$2:$L$2501,$L780)=0),"YES",""))</f>
        <v/>
      </c>
      <c r="AZ780" s="2" t="str">
        <f>IF($AV780="","",IF(COUNTIF(LISTS!$C$2:$C$250,$AU780)=0,"NEW",""))</f>
        <v/>
      </c>
      <c r="BA780" s="2" t="str">
        <f>IF(""&amp;$F780&lt;&gt;"4","",IF($AY780="YES","",IF(ROUND(SUMIFS($AE$2:$AE$4001,$L$2:$L$4001,$L780,$F$2:$F$4001,"4")-SUMIFS('AR SALES'!$Y$2:$Y$2501,'AR SALES'!$L$2:$L$2501,$L780,'AR SALES'!$AD$2:$AD$2501,"OFF"),2)=0,"","STALE")))</f>
        <v/>
      </c>
      <c r="BB780" s="2" t="str">
        <f>IF(OR(""&amp;$F780="2",""&amp;$F780="4",""&amp;$F780="G",""&amp;$F780="H"),IF($AY780="YES","",IF($AB780&lt;&gt;0,"",IF(COUNTIFS('AR SALES'!$L$2:$L$2501,$L780,'AR SALES'!$AD$2:$AD$2501,IF(""&amp;$F780="4","OFF","ON"),'AR SALES'!$AF$2:$AF$2501,"Y")&gt;0,"","NO EXEMPTION"))),"")</f>
        <v/>
      </c>
    </row>
    <row r="781" spans="46:54" x14ac:dyDescent="0.25">
      <c r="AT781" s="2" t="str">
        <f>IF($L781="","",IFERROR(INDEX('AR SALES'!$H$2:$H$2501,MATCH(""&amp;$L781,'AR SALES'!$AE$2:$AE$2501,0)),""))</f>
        <v/>
      </c>
      <c r="AU781" s="2" t="str">
        <f t="shared" si="48"/>
        <v/>
      </c>
      <c r="AV781" s="2" t="str">
        <f t="shared" si="49"/>
        <v/>
      </c>
      <c r="AW781" s="2" t="str">
        <f t="shared" si="50"/>
        <v/>
      </c>
      <c r="AX781" s="2" t="str">
        <f t="shared" si="51"/>
        <v/>
      </c>
      <c r="AY781" s="2" t="str">
        <f>IF($AV781="","",IF(AND($Z781=0,COUNTIF('AR SALES'!$L$2:$L$2501,$L781)=0),"YES",""))</f>
        <v/>
      </c>
      <c r="AZ781" s="2" t="str">
        <f>IF($AV781="","",IF(COUNTIF(LISTS!$C$2:$C$250,$AU781)=0,"NEW",""))</f>
        <v/>
      </c>
      <c r="BA781" s="2" t="str">
        <f>IF(""&amp;$F781&lt;&gt;"4","",IF($AY781="YES","",IF(ROUND(SUMIFS($AE$2:$AE$4001,$L$2:$L$4001,$L781,$F$2:$F$4001,"4")-SUMIFS('AR SALES'!$Y$2:$Y$2501,'AR SALES'!$L$2:$L$2501,$L781,'AR SALES'!$AD$2:$AD$2501,"OFF"),2)=0,"","STALE")))</f>
        <v/>
      </c>
      <c r="BB781" s="2" t="str">
        <f>IF(OR(""&amp;$F781="2",""&amp;$F781="4",""&amp;$F781="G",""&amp;$F781="H"),IF($AY781="YES","",IF($AB781&lt;&gt;0,"",IF(COUNTIFS('AR SALES'!$L$2:$L$2501,$L781,'AR SALES'!$AD$2:$AD$2501,IF(""&amp;$F781="4","OFF","ON"),'AR SALES'!$AF$2:$AF$2501,"Y")&gt;0,"","NO EXEMPTION"))),"")</f>
        <v/>
      </c>
    </row>
    <row r="782" spans="46:54" x14ac:dyDescent="0.25">
      <c r="AT782" s="2" t="str">
        <f>IF($L782="","",IFERROR(INDEX('AR SALES'!$H$2:$H$2501,MATCH(""&amp;$L782,'AR SALES'!$AE$2:$AE$2501,0)),""))</f>
        <v/>
      </c>
      <c r="AU782" s="2" t="str">
        <f t="shared" si="48"/>
        <v/>
      </c>
      <c r="AV782" s="2" t="str">
        <f t="shared" si="49"/>
        <v/>
      </c>
      <c r="AW782" s="2" t="str">
        <f t="shared" si="50"/>
        <v/>
      </c>
      <c r="AX782" s="2" t="str">
        <f t="shared" si="51"/>
        <v/>
      </c>
      <c r="AY782" s="2" t="str">
        <f>IF($AV782="","",IF(AND($Z782=0,COUNTIF('AR SALES'!$L$2:$L$2501,$L782)=0),"YES",""))</f>
        <v/>
      </c>
      <c r="AZ782" s="2" t="str">
        <f>IF($AV782="","",IF(COUNTIF(LISTS!$C$2:$C$250,$AU782)=0,"NEW",""))</f>
        <v/>
      </c>
      <c r="BA782" s="2" t="str">
        <f>IF(""&amp;$F782&lt;&gt;"4","",IF($AY782="YES","",IF(ROUND(SUMIFS($AE$2:$AE$4001,$L$2:$L$4001,$L782,$F$2:$F$4001,"4")-SUMIFS('AR SALES'!$Y$2:$Y$2501,'AR SALES'!$L$2:$L$2501,$L782,'AR SALES'!$AD$2:$AD$2501,"OFF"),2)=0,"","STALE")))</f>
        <v/>
      </c>
      <c r="BB782" s="2" t="str">
        <f>IF(OR(""&amp;$F782="2",""&amp;$F782="4",""&amp;$F782="G",""&amp;$F782="H"),IF($AY782="YES","",IF($AB782&lt;&gt;0,"",IF(COUNTIFS('AR SALES'!$L$2:$L$2501,$L782,'AR SALES'!$AD$2:$AD$2501,IF(""&amp;$F782="4","OFF","ON"),'AR SALES'!$AF$2:$AF$2501,"Y")&gt;0,"","NO EXEMPTION"))),"")</f>
        <v/>
      </c>
    </row>
    <row r="783" spans="46:54" x14ac:dyDescent="0.25">
      <c r="AT783" s="2" t="str">
        <f>IF($L783="","",IFERROR(INDEX('AR SALES'!$H$2:$H$2501,MATCH(""&amp;$L783,'AR SALES'!$AE$2:$AE$2501,0)),""))</f>
        <v/>
      </c>
      <c r="AU783" s="2" t="str">
        <f t="shared" si="48"/>
        <v/>
      </c>
      <c r="AV783" s="2" t="str">
        <f t="shared" si="49"/>
        <v/>
      </c>
      <c r="AW783" s="2" t="str">
        <f t="shared" si="50"/>
        <v/>
      </c>
      <c r="AX783" s="2" t="str">
        <f t="shared" si="51"/>
        <v/>
      </c>
      <c r="AY783" s="2" t="str">
        <f>IF($AV783="","",IF(AND($Z783=0,COUNTIF('AR SALES'!$L$2:$L$2501,$L783)=0),"YES",""))</f>
        <v/>
      </c>
      <c r="AZ783" s="2" t="str">
        <f>IF($AV783="","",IF(COUNTIF(LISTS!$C$2:$C$250,$AU783)=0,"NEW",""))</f>
        <v/>
      </c>
      <c r="BA783" s="2" t="str">
        <f>IF(""&amp;$F783&lt;&gt;"4","",IF($AY783="YES","",IF(ROUND(SUMIFS($AE$2:$AE$4001,$L$2:$L$4001,$L783,$F$2:$F$4001,"4")-SUMIFS('AR SALES'!$Y$2:$Y$2501,'AR SALES'!$L$2:$L$2501,$L783,'AR SALES'!$AD$2:$AD$2501,"OFF"),2)=0,"","STALE")))</f>
        <v/>
      </c>
      <c r="BB783" s="2" t="str">
        <f>IF(OR(""&amp;$F783="2",""&amp;$F783="4",""&amp;$F783="G",""&amp;$F783="H"),IF($AY783="YES","",IF($AB783&lt;&gt;0,"",IF(COUNTIFS('AR SALES'!$L$2:$L$2501,$L783,'AR SALES'!$AD$2:$AD$2501,IF(""&amp;$F783="4","OFF","ON"),'AR SALES'!$AF$2:$AF$2501,"Y")&gt;0,"","NO EXEMPTION"))),"")</f>
        <v/>
      </c>
    </row>
    <row r="784" spans="46:54" x14ac:dyDescent="0.25">
      <c r="AT784" s="2" t="str">
        <f>IF($L784="","",IFERROR(INDEX('AR SALES'!$H$2:$H$2501,MATCH(""&amp;$L784,'AR SALES'!$AE$2:$AE$2501,0)),""))</f>
        <v/>
      </c>
      <c r="AU784" s="2" t="str">
        <f t="shared" si="48"/>
        <v/>
      </c>
      <c r="AV784" s="2" t="str">
        <f t="shared" si="49"/>
        <v/>
      </c>
      <c r="AW784" s="2" t="str">
        <f t="shared" si="50"/>
        <v/>
      </c>
      <c r="AX784" s="2" t="str">
        <f t="shared" si="51"/>
        <v/>
      </c>
      <c r="AY784" s="2" t="str">
        <f>IF($AV784="","",IF(AND($Z784=0,COUNTIF('AR SALES'!$L$2:$L$2501,$L784)=0),"YES",""))</f>
        <v/>
      </c>
      <c r="AZ784" s="2" t="str">
        <f>IF($AV784="","",IF(COUNTIF(LISTS!$C$2:$C$250,$AU784)=0,"NEW",""))</f>
        <v/>
      </c>
      <c r="BA784" s="2" t="str">
        <f>IF(""&amp;$F784&lt;&gt;"4","",IF($AY784="YES","",IF(ROUND(SUMIFS($AE$2:$AE$4001,$L$2:$L$4001,$L784,$F$2:$F$4001,"4")-SUMIFS('AR SALES'!$Y$2:$Y$2501,'AR SALES'!$L$2:$L$2501,$L784,'AR SALES'!$AD$2:$AD$2501,"OFF"),2)=0,"","STALE")))</f>
        <v/>
      </c>
      <c r="BB784" s="2" t="str">
        <f>IF(OR(""&amp;$F784="2",""&amp;$F784="4",""&amp;$F784="G",""&amp;$F784="H"),IF($AY784="YES","",IF($AB784&lt;&gt;0,"",IF(COUNTIFS('AR SALES'!$L$2:$L$2501,$L784,'AR SALES'!$AD$2:$AD$2501,IF(""&amp;$F784="4","OFF","ON"),'AR SALES'!$AF$2:$AF$2501,"Y")&gt;0,"","NO EXEMPTION"))),"")</f>
        <v/>
      </c>
    </row>
    <row r="785" spans="46:54" x14ac:dyDescent="0.25">
      <c r="AT785" s="2" t="str">
        <f>IF($L785="","",IFERROR(INDEX('AR SALES'!$H$2:$H$2501,MATCH(""&amp;$L785,'AR SALES'!$AE$2:$AE$2501,0)),""))</f>
        <v/>
      </c>
      <c r="AU785" s="2" t="str">
        <f t="shared" si="48"/>
        <v/>
      </c>
      <c r="AV785" s="2" t="str">
        <f t="shared" si="49"/>
        <v/>
      </c>
      <c r="AW785" s="2" t="str">
        <f t="shared" si="50"/>
        <v/>
      </c>
      <c r="AX785" s="2" t="str">
        <f t="shared" si="51"/>
        <v/>
      </c>
      <c r="AY785" s="2" t="str">
        <f>IF($AV785="","",IF(AND($Z785=0,COUNTIF('AR SALES'!$L$2:$L$2501,$L785)=0),"YES",""))</f>
        <v/>
      </c>
      <c r="AZ785" s="2" t="str">
        <f>IF($AV785="","",IF(COUNTIF(LISTS!$C$2:$C$250,$AU785)=0,"NEW",""))</f>
        <v/>
      </c>
      <c r="BA785" s="2" t="str">
        <f>IF(""&amp;$F785&lt;&gt;"4","",IF($AY785="YES","",IF(ROUND(SUMIFS($AE$2:$AE$4001,$L$2:$L$4001,$L785,$F$2:$F$4001,"4")-SUMIFS('AR SALES'!$Y$2:$Y$2501,'AR SALES'!$L$2:$L$2501,$L785,'AR SALES'!$AD$2:$AD$2501,"OFF"),2)=0,"","STALE")))</f>
        <v/>
      </c>
      <c r="BB785" s="2" t="str">
        <f>IF(OR(""&amp;$F785="2",""&amp;$F785="4",""&amp;$F785="G",""&amp;$F785="H"),IF($AY785="YES","",IF($AB785&lt;&gt;0,"",IF(COUNTIFS('AR SALES'!$L$2:$L$2501,$L785,'AR SALES'!$AD$2:$AD$2501,IF(""&amp;$F785="4","OFF","ON"),'AR SALES'!$AF$2:$AF$2501,"Y")&gt;0,"","NO EXEMPTION"))),"")</f>
        <v/>
      </c>
    </row>
    <row r="786" spans="46:54" x14ac:dyDescent="0.25">
      <c r="AT786" s="2" t="str">
        <f>IF($L786="","",IFERROR(INDEX('AR SALES'!$H$2:$H$2501,MATCH(""&amp;$L786,'AR SALES'!$AE$2:$AE$2501,0)),""))</f>
        <v/>
      </c>
      <c r="AU786" s="2" t="str">
        <f t="shared" si="48"/>
        <v/>
      </c>
      <c r="AV786" s="2" t="str">
        <f t="shared" si="49"/>
        <v/>
      </c>
      <c r="AW786" s="2" t="str">
        <f t="shared" si="50"/>
        <v/>
      </c>
      <c r="AX786" s="2" t="str">
        <f t="shared" si="51"/>
        <v/>
      </c>
      <c r="AY786" s="2" t="str">
        <f>IF($AV786="","",IF(AND($Z786=0,COUNTIF('AR SALES'!$L$2:$L$2501,$L786)=0),"YES",""))</f>
        <v/>
      </c>
      <c r="AZ786" s="2" t="str">
        <f>IF($AV786="","",IF(COUNTIF(LISTS!$C$2:$C$250,$AU786)=0,"NEW",""))</f>
        <v/>
      </c>
      <c r="BA786" s="2" t="str">
        <f>IF(""&amp;$F786&lt;&gt;"4","",IF($AY786="YES","",IF(ROUND(SUMIFS($AE$2:$AE$4001,$L$2:$L$4001,$L786,$F$2:$F$4001,"4")-SUMIFS('AR SALES'!$Y$2:$Y$2501,'AR SALES'!$L$2:$L$2501,$L786,'AR SALES'!$AD$2:$AD$2501,"OFF"),2)=0,"","STALE")))</f>
        <v/>
      </c>
      <c r="BB786" s="2" t="str">
        <f>IF(OR(""&amp;$F786="2",""&amp;$F786="4",""&amp;$F786="G",""&amp;$F786="H"),IF($AY786="YES","",IF($AB786&lt;&gt;0,"",IF(COUNTIFS('AR SALES'!$L$2:$L$2501,$L786,'AR SALES'!$AD$2:$AD$2501,IF(""&amp;$F786="4","OFF","ON"),'AR SALES'!$AF$2:$AF$2501,"Y")&gt;0,"","NO EXEMPTION"))),"")</f>
        <v/>
      </c>
    </row>
    <row r="787" spans="46:54" x14ac:dyDescent="0.25">
      <c r="AT787" s="2" t="str">
        <f>IF($L787="","",IFERROR(INDEX('AR SALES'!$H$2:$H$2501,MATCH(""&amp;$L787,'AR SALES'!$AE$2:$AE$2501,0)),""))</f>
        <v/>
      </c>
      <c r="AU787" s="2" t="str">
        <f t="shared" si="48"/>
        <v/>
      </c>
      <c r="AV787" s="2" t="str">
        <f t="shared" si="49"/>
        <v/>
      </c>
      <c r="AW787" s="2" t="str">
        <f t="shared" si="50"/>
        <v/>
      </c>
      <c r="AX787" s="2" t="str">
        <f t="shared" si="51"/>
        <v/>
      </c>
      <c r="AY787" s="2" t="str">
        <f>IF($AV787="","",IF(AND($Z787=0,COUNTIF('AR SALES'!$L$2:$L$2501,$L787)=0),"YES",""))</f>
        <v/>
      </c>
      <c r="AZ787" s="2" t="str">
        <f>IF($AV787="","",IF(COUNTIF(LISTS!$C$2:$C$250,$AU787)=0,"NEW",""))</f>
        <v/>
      </c>
      <c r="BA787" s="2" t="str">
        <f>IF(""&amp;$F787&lt;&gt;"4","",IF($AY787="YES","",IF(ROUND(SUMIFS($AE$2:$AE$4001,$L$2:$L$4001,$L787,$F$2:$F$4001,"4")-SUMIFS('AR SALES'!$Y$2:$Y$2501,'AR SALES'!$L$2:$L$2501,$L787,'AR SALES'!$AD$2:$AD$2501,"OFF"),2)=0,"","STALE")))</f>
        <v/>
      </c>
      <c r="BB787" s="2" t="str">
        <f>IF(OR(""&amp;$F787="2",""&amp;$F787="4",""&amp;$F787="G",""&amp;$F787="H"),IF($AY787="YES","",IF($AB787&lt;&gt;0,"",IF(COUNTIFS('AR SALES'!$L$2:$L$2501,$L787,'AR SALES'!$AD$2:$AD$2501,IF(""&amp;$F787="4","OFF","ON"),'AR SALES'!$AF$2:$AF$2501,"Y")&gt;0,"","NO EXEMPTION"))),"")</f>
        <v/>
      </c>
    </row>
    <row r="788" spans="46:54" x14ac:dyDescent="0.25">
      <c r="AT788" s="2" t="str">
        <f>IF($L788="","",IFERROR(INDEX('AR SALES'!$H$2:$H$2501,MATCH(""&amp;$L788,'AR SALES'!$AE$2:$AE$2501,0)),""))</f>
        <v/>
      </c>
      <c r="AU788" s="2" t="str">
        <f t="shared" si="48"/>
        <v/>
      </c>
      <c r="AV788" s="2" t="str">
        <f t="shared" si="49"/>
        <v/>
      </c>
      <c r="AW788" s="2" t="str">
        <f t="shared" si="50"/>
        <v/>
      </c>
      <c r="AX788" s="2" t="str">
        <f t="shared" si="51"/>
        <v/>
      </c>
      <c r="AY788" s="2" t="str">
        <f>IF($AV788="","",IF(AND($Z788=0,COUNTIF('AR SALES'!$L$2:$L$2501,$L788)=0),"YES",""))</f>
        <v/>
      </c>
      <c r="AZ788" s="2" t="str">
        <f>IF($AV788="","",IF(COUNTIF(LISTS!$C$2:$C$250,$AU788)=0,"NEW",""))</f>
        <v/>
      </c>
      <c r="BA788" s="2" t="str">
        <f>IF(""&amp;$F788&lt;&gt;"4","",IF($AY788="YES","",IF(ROUND(SUMIFS($AE$2:$AE$4001,$L$2:$L$4001,$L788,$F$2:$F$4001,"4")-SUMIFS('AR SALES'!$Y$2:$Y$2501,'AR SALES'!$L$2:$L$2501,$L788,'AR SALES'!$AD$2:$AD$2501,"OFF"),2)=0,"","STALE")))</f>
        <v/>
      </c>
      <c r="BB788" s="2" t="str">
        <f>IF(OR(""&amp;$F788="2",""&amp;$F788="4",""&amp;$F788="G",""&amp;$F788="H"),IF($AY788="YES","",IF($AB788&lt;&gt;0,"",IF(COUNTIFS('AR SALES'!$L$2:$L$2501,$L788,'AR SALES'!$AD$2:$AD$2501,IF(""&amp;$F788="4","OFF","ON"),'AR SALES'!$AF$2:$AF$2501,"Y")&gt;0,"","NO EXEMPTION"))),"")</f>
        <v/>
      </c>
    </row>
    <row r="789" spans="46:54" x14ac:dyDescent="0.25">
      <c r="AT789" s="2" t="str">
        <f>IF($L789="","",IFERROR(INDEX('AR SALES'!$H$2:$H$2501,MATCH(""&amp;$L789,'AR SALES'!$AE$2:$AE$2501,0)),""))</f>
        <v/>
      </c>
      <c r="AU789" s="2" t="str">
        <f t="shared" si="48"/>
        <v/>
      </c>
      <c r="AV789" s="2" t="str">
        <f t="shared" si="49"/>
        <v/>
      </c>
      <c r="AW789" s="2" t="str">
        <f t="shared" si="50"/>
        <v/>
      </c>
      <c r="AX789" s="2" t="str">
        <f t="shared" si="51"/>
        <v/>
      </c>
      <c r="AY789" s="2" t="str">
        <f>IF($AV789="","",IF(AND($Z789=0,COUNTIF('AR SALES'!$L$2:$L$2501,$L789)=0),"YES",""))</f>
        <v/>
      </c>
      <c r="AZ789" s="2" t="str">
        <f>IF($AV789="","",IF(COUNTIF(LISTS!$C$2:$C$250,$AU789)=0,"NEW",""))</f>
        <v/>
      </c>
      <c r="BA789" s="2" t="str">
        <f>IF(""&amp;$F789&lt;&gt;"4","",IF($AY789="YES","",IF(ROUND(SUMIFS($AE$2:$AE$4001,$L$2:$L$4001,$L789,$F$2:$F$4001,"4")-SUMIFS('AR SALES'!$Y$2:$Y$2501,'AR SALES'!$L$2:$L$2501,$L789,'AR SALES'!$AD$2:$AD$2501,"OFF"),2)=0,"","STALE")))</f>
        <v/>
      </c>
      <c r="BB789" s="2" t="str">
        <f>IF(OR(""&amp;$F789="2",""&amp;$F789="4",""&amp;$F789="G",""&amp;$F789="H"),IF($AY789="YES","",IF($AB789&lt;&gt;0,"",IF(COUNTIFS('AR SALES'!$L$2:$L$2501,$L789,'AR SALES'!$AD$2:$AD$2501,IF(""&amp;$F789="4","OFF","ON"),'AR SALES'!$AF$2:$AF$2501,"Y")&gt;0,"","NO EXEMPTION"))),"")</f>
        <v/>
      </c>
    </row>
    <row r="790" spans="46:54" x14ac:dyDescent="0.25">
      <c r="AT790" s="2" t="str">
        <f>IF($L790="","",IFERROR(INDEX('AR SALES'!$H$2:$H$2501,MATCH(""&amp;$L790,'AR SALES'!$AE$2:$AE$2501,0)),""))</f>
        <v/>
      </c>
      <c r="AU790" s="2" t="str">
        <f t="shared" si="48"/>
        <v/>
      </c>
      <c r="AV790" s="2" t="str">
        <f t="shared" si="49"/>
        <v/>
      </c>
      <c r="AW790" s="2" t="str">
        <f t="shared" si="50"/>
        <v/>
      </c>
      <c r="AX790" s="2" t="str">
        <f t="shared" si="51"/>
        <v/>
      </c>
      <c r="AY790" s="2" t="str">
        <f>IF($AV790="","",IF(AND($Z790=0,COUNTIF('AR SALES'!$L$2:$L$2501,$L790)=0),"YES",""))</f>
        <v/>
      </c>
      <c r="AZ790" s="2" t="str">
        <f>IF($AV790="","",IF(COUNTIF(LISTS!$C$2:$C$250,$AU790)=0,"NEW",""))</f>
        <v/>
      </c>
      <c r="BA790" s="2" t="str">
        <f>IF(""&amp;$F790&lt;&gt;"4","",IF($AY790="YES","",IF(ROUND(SUMIFS($AE$2:$AE$4001,$L$2:$L$4001,$L790,$F$2:$F$4001,"4")-SUMIFS('AR SALES'!$Y$2:$Y$2501,'AR SALES'!$L$2:$L$2501,$L790,'AR SALES'!$AD$2:$AD$2501,"OFF"),2)=0,"","STALE")))</f>
        <v/>
      </c>
      <c r="BB790" s="2" t="str">
        <f>IF(OR(""&amp;$F790="2",""&amp;$F790="4",""&amp;$F790="G",""&amp;$F790="H"),IF($AY790="YES","",IF($AB790&lt;&gt;0,"",IF(COUNTIFS('AR SALES'!$L$2:$L$2501,$L790,'AR SALES'!$AD$2:$AD$2501,IF(""&amp;$F790="4","OFF","ON"),'AR SALES'!$AF$2:$AF$2501,"Y")&gt;0,"","NO EXEMPTION"))),"")</f>
        <v/>
      </c>
    </row>
    <row r="791" spans="46:54" x14ac:dyDescent="0.25">
      <c r="AT791" s="2" t="str">
        <f>IF($L791="","",IFERROR(INDEX('AR SALES'!$H$2:$H$2501,MATCH(""&amp;$L791,'AR SALES'!$AE$2:$AE$2501,0)),""))</f>
        <v/>
      </c>
      <c r="AU791" s="2" t="str">
        <f t="shared" si="48"/>
        <v/>
      </c>
      <c r="AV791" s="2" t="str">
        <f t="shared" si="49"/>
        <v/>
      </c>
      <c r="AW791" s="2" t="str">
        <f t="shared" si="50"/>
        <v/>
      </c>
      <c r="AX791" s="2" t="str">
        <f t="shared" si="51"/>
        <v/>
      </c>
      <c r="AY791" s="2" t="str">
        <f>IF($AV791="","",IF(AND($Z791=0,COUNTIF('AR SALES'!$L$2:$L$2501,$L791)=0),"YES",""))</f>
        <v/>
      </c>
      <c r="AZ791" s="2" t="str">
        <f>IF($AV791="","",IF(COUNTIF(LISTS!$C$2:$C$250,$AU791)=0,"NEW",""))</f>
        <v/>
      </c>
      <c r="BA791" s="2" t="str">
        <f>IF(""&amp;$F791&lt;&gt;"4","",IF($AY791="YES","",IF(ROUND(SUMIFS($AE$2:$AE$4001,$L$2:$L$4001,$L791,$F$2:$F$4001,"4")-SUMIFS('AR SALES'!$Y$2:$Y$2501,'AR SALES'!$L$2:$L$2501,$L791,'AR SALES'!$AD$2:$AD$2501,"OFF"),2)=0,"","STALE")))</f>
        <v/>
      </c>
      <c r="BB791" s="2" t="str">
        <f>IF(OR(""&amp;$F791="2",""&amp;$F791="4",""&amp;$F791="G",""&amp;$F791="H"),IF($AY791="YES","",IF($AB791&lt;&gt;0,"",IF(COUNTIFS('AR SALES'!$L$2:$L$2501,$L791,'AR SALES'!$AD$2:$AD$2501,IF(""&amp;$F791="4","OFF","ON"),'AR SALES'!$AF$2:$AF$2501,"Y")&gt;0,"","NO EXEMPTION"))),"")</f>
        <v/>
      </c>
    </row>
    <row r="792" spans="46:54" x14ac:dyDescent="0.25">
      <c r="AT792" s="2" t="str">
        <f>IF($L792="","",IFERROR(INDEX('AR SALES'!$H$2:$H$2501,MATCH(""&amp;$L792,'AR SALES'!$AE$2:$AE$2501,0)),""))</f>
        <v/>
      </c>
      <c r="AU792" s="2" t="str">
        <f t="shared" si="48"/>
        <v/>
      </c>
      <c r="AV792" s="2" t="str">
        <f t="shared" si="49"/>
        <v/>
      </c>
      <c r="AW792" s="2" t="str">
        <f t="shared" si="50"/>
        <v/>
      </c>
      <c r="AX792" s="2" t="str">
        <f t="shared" si="51"/>
        <v/>
      </c>
      <c r="AY792" s="2" t="str">
        <f>IF($AV792="","",IF(AND($Z792=0,COUNTIF('AR SALES'!$L$2:$L$2501,$L792)=0),"YES",""))</f>
        <v/>
      </c>
      <c r="AZ792" s="2" t="str">
        <f>IF($AV792="","",IF(COUNTIF(LISTS!$C$2:$C$250,$AU792)=0,"NEW",""))</f>
        <v/>
      </c>
      <c r="BA792" s="2" t="str">
        <f>IF(""&amp;$F792&lt;&gt;"4","",IF($AY792="YES","",IF(ROUND(SUMIFS($AE$2:$AE$4001,$L$2:$L$4001,$L792,$F$2:$F$4001,"4")-SUMIFS('AR SALES'!$Y$2:$Y$2501,'AR SALES'!$L$2:$L$2501,$L792,'AR SALES'!$AD$2:$AD$2501,"OFF"),2)=0,"","STALE")))</f>
        <v/>
      </c>
      <c r="BB792" s="2" t="str">
        <f>IF(OR(""&amp;$F792="2",""&amp;$F792="4",""&amp;$F792="G",""&amp;$F792="H"),IF($AY792="YES","",IF($AB792&lt;&gt;0,"",IF(COUNTIFS('AR SALES'!$L$2:$L$2501,$L792,'AR SALES'!$AD$2:$AD$2501,IF(""&amp;$F792="4","OFF","ON"),'AR SALES'!$AF$2:$AF$2501,"Y")&gt;0,"","NO EXEMPTION"))),"")</f>
        <v/>
      </c>
    </row>
    <row r="793" spans="46:54" x14ac:dyDescent="0.25">
      <c r="AT793" s="2" t="str">
        <f>IF($L793="","",IFERROR(INDEX('AR SALES'!$H$2:$H$2501,MATCH(""&amp;$L793,'AR SALES'!$AE$2:$AE$2501,0)),""))</f>
        <v/>
      </c>
      <c r="AU793" s="2" t="str">
        <f t="shared" si="48"/>
        <v/>
      </c>
      <c r="AV793" s="2" t="str">
        <f t="shared" si="49"/>
        <v/>
      </c>
      <c r="AW793" s="2" t="str">
        <f t="shared" si="50"/>
        <v/>
      </c>
      <c r="AX793" s="2" t="str">
        <f t="shared" si="51"/>
        <v/>
      </c>
      <c r="AY793" s="2" t="str">
        <f>IF($AV793="","",IF(AND($Z793=0,COUNTIF('AR SALES'!$L$2:$L$2501,$L793)=0),"YES",""))</f>
        <v/>
      </c>
      <c r="AZ793" s="2" t="str">
        <f>IF($AV793="","",IF(COUNTIF(LISTS!$C$2:$C$250,$AU793)=0,"NEW",""))</f>
        <v/>
      </c>
      <c r="BA793" s="2" t="str">
        <f>IF(""&amp;$F793&lt;&gt;"4","",IF($AY793="YES","",IF(ROUND(SUMIFS($AE$2:$AE$4001,$L$2:$L$4001,$L793,$F$2:$F$4001,"4")-SUMIFS('AR SALES'!$Y$2:$Y$2501,'AR SALES'!$L$2:$L$2501,$L793,'AR SALES'!$AD$2:$AD$2501,"OFF"),2)=0,"","STALE")))</f>
        <v/>
      </c>
      <c r="BB793" s="2" t="str">
        <f>IF(OR(""&amp;$F793="2",""&amp;$F793="4",""&amp;$F793="G",""&amp;$F793="H"),IF($AY793="YES","",IF($AB793&lt;&gt;0,"",IF(COUNTIFS('AR SALES'!$L$2:$L$2501,$L793,'AR SALES'!$AD$2:$AD$2501,IF(""&amp;$F793="4","OFF","ON"),'AR SALES'!$AF$2:$AF$2501,"Y")&gt;0,"","NO EXEMPTION"))),"")</f>
        <v/>
      </c>
    </row>
    <row r="794" spans="46:54" x14ac:dyDescent="0.25">
      <c r="AT794" s="2" t="str">
        <f>IF($L794="","",IFERROR(INDEX('AR SALES'!$H$2:$H$2501,MATCH(""&amp;$L794,'AR SALES'!$AE$2:$AE$2501,0)),""))</f>
        <v/>
      </c>
      <c r="AU794" s="2" t="str">
        <f t="shared" si="48"/>
        <v/>
      </c>
      <c r="AV794" s="2" t="str">
        <f t="shared" si="49"/>
        <v/>
      </c>
      <c r="AW794" s="2" t="str">
        <f t="shared" si="50"/>
        <v/>
      </c>
      <c r="AX794" s="2" t="str">
        <f t="shared" si="51"/>
        <v/>
      </c>
      <c r="AY794" s="2" t="str">
        <f>IF($AV794="","",IF(AND($Z794=0,COUNTIF('AR SALES'!$L$2:$L$2501,$L794)=0),"YES",""))</f>
        <v/>
      </c>
      <c r="AZ794" s="2" t="str">
        <f>IF($AV794="","",IF(COUNTIF(LISTS!$C$2:$C$250,$AU794)=0,"NEW",""))</f>
        <v/>
      </c>
      <c r="BA794" s="2" t="str">
        <f>IF(""&amp;$F794&lt;&gt;"4","",IF($AY794="YES","",IF(ROUND(SUMIFS($AE$2:$AE$4001,$L$2:$L$4001,$L794,$F$2:$F$4001,"4")-SUMIFS('AR SALES'!$Y$2:$Y$2501,'AR SALES'!$L$2:$L$2501,$L794,'AR SALES'!$AD$2:$AD$2501,"OFF"),2)=0,"","STALE")))</f>
        <v/>
      </c>
      <c r="BB794" s="2" t="str">
        <f>IF(OR(""&amp;$F794="2",""&amp;$F794="4",""&amp;$F794="G",""&amp;$F794="H"),IF($AY794="YES","",IF($AB794&lt;&gt;0,"",IF(COUNTIFS('AR SALES'!$L$2:$L$2501,$L794,'AR SALES'!$AD$2:$AD$2501,IF(""&amp;$F794="4","OFF","ON"),'AR SALES'!$AF$2:$AF$2501,"Y")&gt;0,"","NO EXEMPTION"))),"")</f>
        <v/>
      </c>
    </row>
    <row r="795" spans="46:54" x14ac:dyDescent="0.25">
      <c r="AT795" s="2" t="str">
        <f>IF($L795="","",IFERROR(INDEX('AR SALES'!$H$2:$H$2501,MATCH(""&amp;$L795,'AR SALES'!$AE$2:$AE$2501,0)),""))</f>
        <v/>
      </c>
      <c r="AU795" s="2" t="str">
        <f t="shared" si="48"/>
        <v/>
      </c>
      <c r="AV795" s="2" t="str">
        <f t="shared" si="49"/>
        <v/>
      </c>
      <c r="AW795" s="2" t="str">
        <f t="shared" si="50"/>
        <v/>
      </c>
      <c r="AX795" s="2" t="str">
        <f t="shared" si="51"/>
        <v/>
      </c>
      <c r="AY795" s="2" t="str">
        <f>IF($AV795="","",IF(AND($Z795=0,COUNTIF('AR SALES'!$L$2:$L$2501,$L795)=0),"YES",""))</f>
        <v/>
      </c>
      <c r="AZ795" s="2" t="str">
        <f>IF($AV795="","",IF(COUNTIF(LISTS!$C$2:$C$250,$AU795)=0,"NEW",""))</f>
        <v/>
      </c>
      <c r="BA795" s="2" t="str">
        <f>IF(""&amp;$F795&lt;&gt;"4","",IF($AY795="YES","",IF(ROUND(SUMIFS($AE$2:$AE$4001,$L$2:$L$4001,$L795,$F$2:$F$4001,"4")-SUMIFS('AR SALES'!$Y$2:$Y$2501,'AR SALES'!$L$2:$L$2501,$L795,'AR SALES'!$AD$2:$AD$2501,"OFF"),2)=0,"","STALE")))</f>
        <v/>
      </c>
      <c r="BB795" s="2" t="str">
        <f>IF(OR(""&amp;$F795="2",""&amp;$F795="4",""&amp;$F795="G",""&amp;$F795="H"),IF($AY795="YES","",IF($AB795&lt;&gt;0,"",IF(COUNTIFS('AR SALES'!$L$2:$L$2501,$L795,'AR SALES'!$AD$2:$AD$2501,IF(""&amp;$F795="4","OFF","ON"),'AR SALES'!$AF$2:$AF$2501,"Y")&gt;0,"","NO EXEMPTION"))),"")</f>
        <v/>
      </c>
    </row>
    <row r="796" spans="46:54" x14ac:dyDescent="0.25">
      <c r="AT796" s="2" t="str">
        <f>IF($L796="","",IFERROR(INDEX('AR SALES'!$H$2:$H$2501,MATCH(""&amp;$L796,'AR SALES'!$AE$2:$AE$2501,0)),""))</f>
        <v/>
      </c>
      <c r="AU796" s="2" t="str">
        <f t="shared" si="48"/>
        <v/>
      </c>
      <c r="AV796" s="2" t="str">
        <f t="shared" si="49"/>
        <v/>
      </c>
      <c r="AW796" s="2" t="str">
        <f t="shared" si="50"/>
        <v/>
      </c>
      <c r="AX796" s="2" t="str">
        <f t="shared" si="51"/>
        <v/>
      </c>
      <c r="AY796" s="2" t="str">
        <f>IF($AV796="","",IF(AND($Z796=0,COUNTIF('AR SALES'!$L$2:$L$2501,$L796)=0),"YES",""))</f>
        <v/>
      </c>
      <c r="AZ796" s="2" t="str">
        <f>IF($AV796="","",IF(COUNTIF(LISTS!$C$2:$C$250,$AU796)=0,"NEW",""))</f>
        <v/>
      </c>
      <c r="BA796" s="2" t="str">
        <f>IF(""&amp;$F796&lt;&gt;"4","",IF($AY796="YES","",IF(ROUND(SUMIFS($AE$2:$AE$4001,$L$2:$L$4001,$L796,$F$2:$F$4001,"4")-SUMIFS('AR SALES'!$Y$2:$Y$2501,'AR SALES'!$L$2:$L$2501,$L796,'AR SALES'!$AD$2:$AD$2501,"OFF"),2)=0,"","STALE")))</f>
        <v/>
      </c>
      <c r="BB796" s="2" t="str">
        <f>IF(OR(""&amp;$F796="2",""&amp;$F796="4",""&amp;$F796="G",""&amp;$F796="H"),IF($AY796="YES","",IF($AB796&lt;&gt;0,"",IF(COUNTIFS('AR SALES'!$L$2:$L$2501,$L796,'AR SALES'!$AD$2:$AD$2501,IF(""&amp;$F796="4","OFF","ON"),'AR SALES'!$AF$2:$AF$2501,"Y")&gt;0,"","NO EXEMPTION"))),"")</f>
        <v/>
      </c>
    </row>
    <row r="797" spans="46:54" x14ac:dyDescent="0.25">
      <c r="AT797" s="2" t="str">
        <f>IF($L797="","",IFERROR(INDEX('AR SALES'!$H$2:$H$2501,MATCH(""&amp;$L797,'AR SALES'!$AE$2:$AE$2501,0)),""))</f>
        <v/>
      </c>
      <c r="AU797" s="2" t="str">
        <f t="shared" si="48"/>
        <v/>
      </c>
      <c r="AV797" s="2" t="str">
        <f t="shared" si="49"/>
        <v/>
      </c>
      <c r="AW797" s="2" t="str">
        <f t="shared" si="50"/>
        <v/>
      </c>
      <c r="AX797" s="2" t="str">
        <f t="shared" si="51"/>
        <v/>
      </c>
      <c r="AY797" s="2" t="str">
        <f>IF($AV797="","",IF(AND($Z797=0,COUNTIF('AR SALES'!$L$2:$L$2501,$L797)=0),"YES",""))</f>
        <v/>
      </c>
      <c r="AZ797" s="2" t="str">
        <f>IF($AV797="","",IF(COUNTIF(LISTS!$C$2:$C$250,$AU797)=0,"NEW",""))</f>
        <v/>
      </c>
      <c r="BA797" s="2" t="str">
        <f>IF(""&amp;$F797&lt;&gt;"4","",IF($AY797="YES","",IF(ROUND(SUMIFS($AE$2:$AE$4001,$L$2:$L$4001,$L797,$F$2:$F$4001,"4")-SUMIFS('AR SALES'!$Y$2:$Y$2501,'AR SALES'!$L$2:$L$2501,$L797,'AR SALES'!$AD$2:$AD$2501,"OFF"),2)=0,"","STALE")))</f>
        <v/>
      </c>
      <c r="BB797" s="2" t="str">
        <f>IF(OR(""&amp;$F797="2",""&amp;$F797="4",""&amp;$F797="G",""&amp;$F797="H"),IF($AY797="YES","",IF($AB797&lt;&gt;0,"",IF(COUNTIFS('AR SALES'!$L$2:$L$2501,$L797,'AR SALES'!$AD$2:$AD$2501,IF(""&amp;$F797="4","OFF","ON"),'AR SALES'!$AF$2:$AF$2501,"Y")&gt;0,"","NO EXEMPTION"))),"")</f>
        <v/>
      </c>
    </row>
    <row r="798" spans="46:54" x14ac:dyDescent="0.25">
      <c r="AT798" s="2" t="str">
        <f>IF($L798="","",IFERROR(INDEX('AR SALES'!$H$2:$H$2501,MATCH(""&amp;$L798,'AR SALES'!$AE$2:$AE$2501,0)),""))</f>
        <v/>
      </c>
      <c r="AU798" s="2" t="str">
        <f t="shared" si="48"/>
        <v/>
      </c>
      <c r="AV798" s="2" t="str">
        <f t="shared" si="49"/>
        <v/>
      </c>
      <c r="AW798" s="2" t="str">
        <f t="shared" si="50"/>
        <v/>
      </c>
      <c r="AX798" s="2" t="str">
        <f t="shared" si="51"/>
        <v/>
      </c>
      <c r="AY798" s="2" t="str">
        <f>IF($AV798="","",IF(AND($Z798=0,COUNTIF('AR SALES'!$L$2:$L$2501,$L798)=0),"YES",""))</f>
        <v/>
      </c>
      <c r="AZ798" s="2" t="str">
        <f>IF($AV798="","",IF(COUNTIF(LISTS!$C$2:$C$250,$AU798)=0,"NEW",""))</f>
        <v/>
      </c>
      <c r="BA798" s="2" t="str">
        <f>IF(""&amp;$F798&lt;&gt;"4","",IF($AY798="YES","",IF(ROUND(SUMIFS($AE$2:$AE$4001,$L$2:$L$4001,$L798,$F$2:$F$4001,"4")-SUMIFS('AR SALES'!$Y$2:$Y$2501,'AR SALES'!$L$2:$L$2501,$L798,'AR SALES'!$AD$2:$AD$2501,"OFF"),2)=0,"","STALE")))</f>
        <v/>
      </c>
      <c r="BB798" s="2" t="str">
        <f>IF(OR(""&amp;$F798="2",""&amp;$F798="4",""&amp;$F798="G",""&amp;$F798="H"),IF($AY798="YES","",IF($AB798&lt;&gt;0,"",IF(COUNTIFS('AR SALES'!$L$2:$L$2501,$L798,'AR SALES'!$AD$2:$AD$2501,IF(""&amp;$F798="4","OFF","ON"),'AR SALES'!$AF$2:$AF$2501,"Y")&gt;0,"","NO EXEMPTION"))),"")</f>
        <v/>
      </c>
    </row>
    <row r="799" spans="46:54" x14ac:dyDescent="0.25">
      <c r="AT799" s="2" t="str">
        <f>IF($L799="","",IFERROR(INDEX('AR SALES'!$H$2:$H$2501,MATCH(""&amp;$L799,'AR SALES'!$AE$2:$AE$2501,0)),""))</f>
        <v/>
      </c>
      <c r="AU799" s="2" t="str">
        <f t="shared" si="48"/>
        <v/>
      </c>
      <c r="AV799" s="2" t="str">
        <f t="shared" si="49"/>
        <v/>
      </c>
      <c r="AW799" s="2" t="str">
        <f t="shared" si="50"/>
        <v/>
      </c>
      <c r="AX799" s="2" t="str">
        <f t="shared" si="51"/>
        <v/>
      </c>
      <c r="AY799" s="2" t="str">
        <f>IF($AV799="","",IF(AND($Z799=0,COUNTIF('AR SALES'!$L$2:$L$2501,$L799)=0),"YES",""))</f>
        <v/>
      </c>
      <c r="AZ799" s="2" t="str">
        <f>IF($AV799="","",IF(COUNTIF(LISTS!$C$2:$C$250,$AU799)=0,"NEW",""))</f>
        <v/>
      </c>
      <c r="BA799" s="2" t="str">
        <f>IF(""&amp;$F799&lt;&gt;"4","",IF($AY799="YES","",IF(ROUND(SUMIFS($AE$2:$AE$4001,$L$2:$L$4001,$L799,$F$2:$F$4001,"4")-SUMIFS('AR SALES'!$Y$2:$Y$2501,'AR SALES'!$L$2:$L$2501,$L799,'AR SALES'!$AD$2:$AD$2501,"OFF"),2)=0,"","STALE")))</f>
        <v/>
      </c>
      <c r="BB799" s="2" t="str">
        <f>IF(OR(""&amp;$F799="2",""&amp;$F799="4",""&amp;$F799="G",""&amp;$F799="H"),IF($AY799="YES","",IF($AB799&lt;&gt;0,"",IF(COUNTIFS('AR SALES'!$L$2:$L$2501,$L799,'AR SALES'!$AD$2:$AD$2501,IF(""&amp;$F799="4","OFF","ON"),'AR SALES'!$AF$2:$AF$2501,"Y")&gt;0,"","NO EXEMPTION"))),"")</f>
        <v/>
      </c>
    </row>
    <row r="800" spans="46:54" x14ac:dyDescent="0.25">
      <c r="AT800" s="2" t="str">
        <f>IF($L800="","",IFERROR(INDEX('AR SALES'!$H$2:$H$2501,MATCH(""&amp;$L800,'AR SALES'!$AE$2:$AE$2501,0)),""))</f>
        <v/>
      </c>
      <c r="AU800" s="2" t="str">
        <f t="shared" si="48"/>
        <v/>
      </c>
      <c r="AV800" s="2" t="str">
        <f t="shared" si="49"/>
        <v/>
      </c>
      <c r="AW800" s="2" t="str">
        <f t="shared" si="50"/>
        <v/>
      </c>
      <c r="AX800" s="2" t="str">
        <f t="shared" si="51"/>
        <v/>
      </c>
      <c r="AY800" s="2" t="str">
        <f>IF($AV800="","",IF(AND($Z800=0,COUNTIF('AR SALES'!$L$2:$L$2501,$L800)=0),"YES",""))</f>
        <v/>
      </c>
      <c r="AZ800" s="2" t="str">
        <f>IF($AV800="","",IF(COUNTIF(LISTS!$C$2:$C$250,$AU800)=0,"NEW",""))</f>
        <v/>
      </c>
      <c r="BA800" s="2" t="str">
        <f>IF(""&amp;$F800&lt;&gt;"4","",IF($AY800="YES","",IF(ROUND(SUMIFS($AE$2:$AE$4001,$L$2:$L$4001,$L800,$F$2:$F$4001,"4")-SUMIFS('AR SALES'!$Y$2:$Y$2501,'AR SALES'!$L$2:$L$2501,$L800,'AR SALES'!$AD$2:$AD$2501,"OFF"),2)=0,"","STALE")))</f>
        <v/>
      </c>
      <c r="BB800" s="2" t="str">
        <f>IF(OR(""&amp;$F800="2",""&amp;$F800="4",""&amp;$F800="G",""&amp;$F800="H"),IF($AY800="YES","",IF($AB800&lt;&gt;0,"",IF(COUNTIFS('AR SALES'!$L$2:$L$2501,$L800,'AR SALES'!$AD$2:$AD$2501,IF(""&amp;$F800="4","OFF","ON"),'AR SALES'!$AF$2:$AF$2501,"Y")&gt;0,"","NO EXEMPTION"))),"")</f>
        <v/>
      </c>
    </row>
    <row r="801" spans="46:54" x14ac:dyDescent="0.25">
      <c r="AT801" s="2" t="str">
        <f>IF($L801="","",IFERROR(INDEX('AR SALES'!$H$2:$H$2501,MATCH(""&amp;$L801,'AR SALES'!$AE$2:$AE$2501,0)),""))</f>
        <v/>
      </c>
      <c r="AU801" s="2" t="str">
        <f t="shared" si="48"/>
        <v/>
      </c>
      <c r="AV801" s="2" t="str">
        <f t="shared" si="49"/>
        <v/>
      </c>
      <c r="AW801" s="2" t="str">
        <f t="shared" si="50"/>
        <v/>
      </c>
      <c r="AX801" s="2" t="str">
        <f t="shared" si="51"/>
        <v/>
      </c>
      <c r="AY801" s="2" t="str">
        <f>IF($AV801="","",IF(AND($Z801=0,COUNTIF('AR SALES'!$L$2:$L$2501,$L801)=0),"YES",""))</f>
        <v/>
      </c>
      <c r="AZ801" s="2" t="str">
        <f>IF($AV801="","",IF(COUNTIF(LISTS!$C$2:$C$250,$AU801)=0,"NEW",""))</f>
        <v/>
      </c>
      <c r="BA801" s="2" t="str">
        <f>IF(""&amp;$F801&lt;&gt;"4","",IF($AY801="YES","",IF(ROUND(SUMIFS($AE$2:$AE$4001,$L$2:$L$4001,$L801,$F$2:$F$4001,"4")-SUMIFS('AR SALES'!$Y$2:$Y$2501,'AR SALES'!$L$2:$L$2501,$L801,'AR SALES'!$AD$2:$AD$2501,"OFF"),2)=0,"","STALE")))</f>
        <v/>
      </c>
      <c r="BB801" s="2" t="str">
        <f>IF(OR(""&amp;$F801="2",""&amp;$F801="4",""&amp;$F801="G",""&amp;$F801="H"),IF($AY801="YES","",IF($AB801&lt;&gt;0,"",IF(COUNTIFS('AR SALES'!$L$2:$L$2501,$L801,'AR SALES'!$AD$2:$AD$2501,IF(""&amp;$F801="4","OFF","ON"),'AR SALES'!$AF$2:$AF$2501,"Y")&gt;0,"","NO EXEMPTION"))),"")</f>
        <v/>
      </c>
    </row>
    <row r="802" spans="46:54" x14ac:dyDescent="0.25">
      <c r="AT802" s="2" t="str">
        <f>IF($L802="","",IFERROR(INDEX('AR SALES'!$H$2:$H$2501,MATCH(""&amp;$L802,'AR SALES'!$AE$2:$AE$2501,0)),""))</f>
        <v/>
      </c>
      <c r="AU802" s="2" t="str">
        <f t="shared" si="48"/>
        <v/>
      </c>
      <c r="AV802" s="2" t="str">
        <f t="shared" si="49"/>
        <v/>
      </c>
      <c r="AW802" s="2" t="str">
        <f t="shared" si="50"/>
        <v/>
      </c>
      <c r="AX802" s="2" t="str">
        <f t="shared" si="51"/>
        <v/>
      </c>
      <c r="AY802" s="2" t="str">
        <f>IF($AV802="","",IF(AND($Z802=0,COUNTIF('AR SALES'!$L$2:$L$2501,$L802)=0),"YES",""))</f>
        <v/>
      </c>
      <c r="AZ802" s="2" t="str">
        <f>IF($AV802="","",IF(COUNTIF(LISTS!$C$2:$C$250,$AU802)=0,"NEW",""))</f>
        <v/>
      </c>
      <c r="BA802" s="2" t="str">
        <f>IF(""&amp;$F802&lt;&gt;"4","",IF($AY802="YES","",IF(ROUND(SUMIFS($AE$2:$AE$4001,$L$2:$L$4001,$L802,$F$2:$F$4001,"4")-SUMIFS('AR SALES'!$Y$2:$Y$2501,'AR SALES'!$L$2:$L$2501,$L802,'AR SALES'!$AD$2:$AD$2501,"OFF"),2)=0,"","STALE")))</f>
        <v/>
      </c>
      <c r="BB802" s="2" t="str">
        <f>IF(OR(""&amp;$F802="2",""&amp;$F802="4",""&amp;$F802="G",""&amp;$F802="H"),IF($AY802="YES","",IF($AB802&lt;&gt;0,"",IF(COUNTIFS('AR SALES'!$L$2:$L$2501,$L802,'AR SALES'!$AD$2:$AD$2501,IF(""&amp;$F802="4","OFF","ON"),'AR SALES'!$AF$2:$AF$2501,"Y")&gt;0,"","NO EXEMPTION"))),"")</f>
        <v/>
      </c>
    </row>
    <row r="803" spans="46:54" x14ac:dyDescent="0.25">
      <c r="AT803" s="2" t="str">
        <f>IF($L803="","",IFERROR(INDEX('AR SALES'!$H$2:$H$2501,MATCH(""&amp;$L803,'AR SALES'!$AE$2:$AE$2501,0)),""))</f>
        <v/>
      </c>
      <c r="AU803" s="2" t="str">
        <f t="shared" si="48"/>
        <v/>
      </c>
      <c r="AV803" s="2" t="str">
        <f t="shared" si="49"/>
        <v/>
      </c>
      <c r="AW803" s="2" t="str">
        <f t="shared" si="50"/>
        <v/>
      </c>
      <c r="AX803" s="2" t="str">
        <f t="shared" si="51"/>
        <v/>
      </c>
      <c r="AY803" s="2" t="str">
        <f>IF($AV803="","",IF(AND($Z803=0,COUNTIF('AR SALES'!$L$2:$L$2501,$L803)=0),"YES",""))</f>
        <v/>
      </c>
      <c r="AZ803" s="2" t="str">
        <f>IF($AV803="","",IF(COUNTIF(LISTS!$C$2:$C$250,$AU803)=0,"NEW",""))</f>
        <v/>
      </c>
      <c r="BA803" s="2" t="str">
        <f>IF(""&amp;$F803&lt;&gt;"4","",IF($AY803="YES","",IF(ROUND(SUMIFS($AE$2:$AE$4001,$L$2:$L$4001,$L803,$F$2:$F$4001,"4")-SUMIFS('AR SALES'!$Y$2:$Y$2501,'AR SALES'!$L$2:$L$2501,$L803,'AR SALES'!$AD$2:$AD$2501,"OFF"),2)=0,"","STALE")))</f>
        <v/>
      </c>
      <c r="BB803" s="2" t="str">
        <f>IF(OR(""&amp;$F803="2",""&amp;$F803="4",""&amp;$F803="G",""&amp;$F803="H"),IF($AY803="YES","",IF($AB803&lt;&gt;0,"",IF(COUNTIFS('AR SALES'!$L$2:$L$2501,$L803,'AR SALES'!$AD$2:$AD$2501,IF(""&amp;$F803="4","OFF","ON"),'AR SALES'!$AF$2:$AF$2501,"Y")&gt;0,"","NO EXEMPTION"))),"")</f>
        <v/>
      </c>
    </row>
    <row r="804" spans="46:54" x14ac:dyDescent="0.25">
      <c r="AT804" s="2" t="str">
        <f>IF($L804="","",IFERROR(INDEX('AR SALES'!$H$2:$H$2501,MATCH(""&amp;$L804,'AR SALES'!$AE$2:$AE$2501,0)),""))</f>
        <v/>
      </c>
      <c r="AU804" s="2" t="str">
        <f t="shared" si="48"/>
        <v/>
      </c>
      <c r="AV804" s="2" t="str">
        <f t="shared" si="49"/>
        <v/>
      </c>
      <c r="AW804" s="2" t="str">
        <f t="shared" si="50"/>
        <v/>
      </c>
      <c r="AX804" s="2" t="str">
        <f t="shared" si="51"/>
        <v/>
      </c>
      <c r="AY804" s="2" t="str">
        <f>IF($AV804="","",IF(AND($Z804=0,COUNTIF('AR SALES'!$L$2:$L$2501,$L804)=0),"YES",""))</f>
        <v/>
      </c>
      <c r="AZ804" s="2" t="str">
        <f>IF($AV804="","",IF(COUNTIF(LISTS!$C$2:$C$250,$AU804)=0,"NEW",""))</f>
        <v/>
      </c>
      <c r="BA804" s="2" t="str">
        <f>IF(""&amp;$F804&lt;&gt;"4","",IF($AY804="YES","",IF(ROUND(SUMIFS($AE$2:$AE$4001,$L$2:$L$4001,$L804,$F$2:$F$4001,"4")-SUMIFS('AR SALES'!$Y$2:$Y$2501,'AR SALES'!$L$2:$L$2501,$L804,'AR SALES'!$AD$2:$AD$2501,"OFF"),2)=0,"","STALE")))</f>
        <v/>
      </c>
      <c r="BB804" s="2" t="str">
        <f>IF(OR(""&amp;$F804="2",""&amp;$F804="4",""&amp;$F804="G",""&amp;$F804="H"),IF($AY804="YES","",IF($AB804&lt;&gt;0,"",IF(COUNTIFS('AR SALES'!$L$2:$L$2501,$L804,'AR SALES'!$AD$2:$AD$2501,IF(""&amp;$F804="4","OFF","ON"),'AR SALES'!$AF$2:$AF$2501,"Y")&gt;0,"","NO EXEMPTION"))),"")</f>
        <v/>
      </c>
    </row>
    <row r="805" spans="46:54" x14ac:dyDescent="0.25">
      <c r="AT805" s="2" t="str">
        <f>IF($L805="","",IFERROR(INDEX('AR SALES'!$H$2:$H$2501,MATCH(""&amp;$L805,'AR SALES'!$AE$2:$AE$2501,0)),""))</f>
        <v/>
      </c>
      <c r="AU805" s="2" t="str">
        <f t="shared" si="48"/>
        <v/>
      </c>
      <c r="AV805" s="2" t="str">
        <f t="shared" si="49"/>
        <v/>
      </c>
      <c r="AW805" s="2" t="str">
        <f t="shared" si="50"/>
        <v/>
      </c>
      <c r="AX805" s="2" t="str">
        <f t="shared" si="51"/>
        <v/>
      </c>
      <c r="AY805" s="2" t="str">
        <f>IF($AV805="","",IF(AND($Z805=0,COUNTIF('AR SALES'!$L$2:$L$2501,$L805)=0),"YES",""))</f>
        <v/>
      </c>
      <c r="AZ805" s="2" t="str">
        <f>IF($AV805="","",IF(COUNTIF(LISTS!$C$2:$C$250,$AU805)=0,"NEW",""))</f>
        <v/>
      </c>
      <c r="BA805" s="2" t="str">
        <f>IF(""&amp;$F805&lt;&gt;"4","",IF($AY805="YES","",IF(ROUND(SUMIFS($AE$2:$AE$4001,$L$2:$L$4001,$L805,$F$2:$F$4001,"4")-SUMIFS('AR SALES'!$Y$2:$Y$2501,'AR SALES'!$L$2:$L$2501,$L805,'AR SALES'!$AD$2:$AD$2501,"OFF"),2)=0,"","STALE")))</f>
        <v/>
      </c>
      <c r="BB805" s="2" t="str">
        <f>IF(OR(""&amp;$F805="2",""&amp;$F805="4",""&amp;$F805="G",""&amp;$F805="H"),IF($AY805="YES","",IF($AB805&lt;&gt;0,"",IF(COUNTIFS('AR SALES'!$L$2:$L$2501,$L805,'AR SALES'!$AD$2:$AD$2501,IF(""&amp;$F805="4","OFF","ON"),'AR SALES'!$AF$2:$AF$2501,"Y")&gt;0,"","NO EXEMPTION"))),"")</f>
        <v/>
      </c>
    </row>
    <row r="806" spans="46:54" x14ac:dyDescent="0.25">
      <c r="AT806" s="2" t="str">
        <f>IF($L806="","",IFERROR(INDEX('AR SALES'!$H$2:$H$2501,MATCH(""&amp;$L806,'AR SALES'!$AE$2:$AE$2501,0)),""))</f>
        <v/>
      </c>
      <c r="AU806" s="2" t="str">
        <f t="shared" si="48"/>
        <v/>
      </c>
      <c r="AV806" s="2" t="str">
        <f t="shared" si="49"/>
        <v/>
      </c>
      <c r="AW806" s="2" t="str">
        <f t="shared" si="50"/>
        <v/>
      </c>
      <c r="AX806" s="2" t="str">
        <f t="shared" si="51"/>
        <v/>
      </c>
      <c r="AY806" s="2" t="str">
        <f>IF($AV806="","",IF(AND($Z806=0,COUNTIF('AR SALES'!$L$2:$L$2501,$L806)=0),"YES",""))</f>
        <v/>
      </c>
      <c r="AZ806" s="2" t="str">
        <f>IF($AV806="","",IF(COUNTIF(LISTS!$C$2:$C$250,$AU806)=0,"NEW",""))</f>
        <v/>
      </c>
      <c r="BA806" s="2" t="str">
        <f>IF(""&amp;$F806&lt;&gt;"4","",IF($AY806="YES","",IF(ROUND(SUMIFS($AE$2:$AE$4001,$L$2:$L$4001,$L806,$F$2:$F$4001,"4")-SUMIFS('AR SALES'!$Y$2:$Y$2501,'AR SALES'!$L$2:$L$2501,$L806,'AR SALES'!$AD$2:$AD$2501,"OFF"),2)=0,"","STALE")))</f>
        <v/>
      </c>
      <c r="BB806" s="2" t="str">
        <f>IF(OR(""&amp;$F806="2",""&amp;$F806="4",""&amp;$F806="G",""&amp;$F806="H"),IF($AY806="YES","",IF($AB806&lt;&gt;0,"",IF(COUNTIFS('AR SALES'!$L$2:$L$2501,$L806,'AR SALES'!$AD$2:$AD$2501,IF(""&amp;$F806="4","OFF","ON"),'AR SALES'!$AF$2:$AF$2501,"Y")&gt;0,"","NO EXEMPTION"))),"")</f>
        <v/>
      </c>
    </row>
    <row r="807" spans="46:54" x14ac:dyDescent="0.25">
      <c r="AT807" s="2" t="str">
        <f>IF($L807="","",IFERROR(INDEX('AR SALES'!$H$2:$H$2501,MATCH(""&amp;$L807,'AR SALES'!$AE$2:$AE$2501,0)),""))</f>
        <v/>
      </c>
      <c r="AU807" s="2" t="str">
        <f t="shared" si="48"/>
        <v/>
      </c>
      <c r="AV807" s="2" t="str">
        <f t="shared" si="49"/>
        <v/>
      </c>
      <c r="AW807" s="2" t="str">
        <f t="shared" si="50"/>
        <v/>
      </c>
      <c r="AX807" s="2" t="str">
        <f t="shared" si="51"/>
        <v/>
      </c>
      <c r="AY807" s="2" t="str">
        <f>IF($AV807="","",IF(AND($Z807=0,COUNTIF('AR SALES'!$L$2:$L$2501,$L807)=0),"YES",""))</f>
        <v/>
      </c>
      <c r="AZ807" s="2" t="str">
        <f>IF($AV807="","",IF(COUNTIF(LISTS!$C$2:$C$250,$AU807)=0,"NEW",""))</f>
        <v/>
      </c>
      <c r="BA807" s="2" t="str">
        <f>IF(""&amp;$F807&lt;&gt;"4","",IF($AY807="YES","",IF(ROUND(SUMIFS($AE$2:$AE$4001,$L$2:$L$4001,$L807,$F$2:$F$4001,"4")-SUMIFS('AR SALES'!$Y$2:$Y$2501,'AR SALES'!$L$2:$L$2501,$L807,'AR SALES'!$AD$2:$AD$2501,"OFF"),2)=0,"","STALE")))</f>
        <v/>
      </c>
      <c r="BB807" s="2" t="str">
        <f>IF(OR(""&amp;$F807="2",""&amp;$F807="4",""&amp;$F807="G",""&amp;$F807="H"),IF($AY807="YES","",IF($AB807&lt;&gt;0,"",IF(COUNTIFS('AR SALES'!$L$2:$L$2501,$L807,'AR SALES'!$AD$2:$AD$2501,IF(""&amp;$F807="4","OFF","ON"),'AR SALES'!$AF$2:$AF$2501,"Y")&gt;0,"","NO EXEMPTION"))),"")</f>
        <v/>
      </c>
    </row>
    <row r="808" spans="46:54" x14ac:dyDescent="0.25">
      <c r="AT808" s="2" t="str">
        <f>IF($L808="","",IFERROR(INDEX('AR SALES'!$H$2:$H$2501,MATCH(""&amp;$L808,'AR SALES'!$AE$2:$AE$2501,0)),""))</f>
        <v/>
      </c>
      <c r="AU808" s="2" t="str">
        <f t="shared" si="48"/>
        <v/>
      </c>
      <c r="AV808" s="2" t="str">
        <f t="shared" si="49"/>
        <v/>
      </c>
      <c r="AW808" s="2" t="str">
        <f t="shared" si="50"/>
        <v/>
      </c>
      <c r="AX808" s="2" t="str">
        <f t="shared" si="51"/>
        <v/>
      </c>
      <c r="AY808" s="2" t="str">
        <f>IF($AV808="","",IF(AND($Z808=0,COUNTIF('AR SALES'!$L$2:$L$2501,$L808)=0),"YES",""))</f>
        <v/>
      </c>
      <c r="AZ808" s="2" t="str">
        <f>IF($AV808="","",IF(COUNTIF(LISTS!$C$2:$C$250,$AU808)=0,"NEW",""))</f>
        <v/>
      </c>
      <c r="BA808" s="2" t="str">
        <f>IF(""&amp;$F808&lt;&gt;"4","",IF($AY808="YES","",IF(ROUND(SUMIFS($AE$2:$AE$4001,$L$2:$L$4001,$L808,$F$2:$F$4001,"4")-SUMIFS('AR SALES'!$Y$2:$Y$2501,'AR SALES'!$L$2:$L$2501,$L808,'AR SALES'!$AD$2:$AD$2501,"OFF"),2)=0,"","STALE")))</f>
        <v/>
      </c>
      <c r="BB808" s="2" t="str">
        <f>IF(OR(""&amp;$F808="2",""&amp;$F808="4",""&amp;$F808="G",""&amp;$F808="H"),IF($AY808="YES","",IF($AB808&lt;&gt;0,"",IF(COUNTIFS('AR SALES'!$L$2:$L$2501,$L808,'AR SALES'!$AD$2:$AD$2501,IF(""&amp;$F808="4","OFF","ON"),'AR SALES'!$AF$2:$AF$2501,"Y")&gt;0,"","NO EXEMPTION"))),"")</f>
        <v/>
      </c>
    </row>
    <row r="809" spans="46:54" x14ac:dyDescent="0.25">
      <c r="AT809" s="2" t="str">
        <f>IF($L809="","",IFERROR(INDEX('AR SALES'!$H$2:$H$2501,MATCH(""&amp;$L809,'AR SALES'!$AE$2:$AE$2501,0)),""))</f>
        <v/>
      </c>
      <c r="AU809" s="2" t="str">
        <f t="shared" si="48"/>
        <v/>
      </c>
      <c r="AV809" s="2" t="str">
        <f t="shared" si="49"/>
        <v/>
      </c>
      <c r="AW809" s="2" t="str">
        <f t="shared" si="50"/>
        <v/>
      </c>
      <c r="AX809" s="2" t="str">
        <f t="shared" si="51"/>
        <v/>
      </c>
      <c r="AY809" s="2" t="str">
        <f>IF($AV809="","",IF(AND($Z809=0,COUNTIF('AR SALES'!$L$2:$L$2501,$L809)=0),"YES",""))</f>
        <v/>
      </c>
      <c r="AZ809" s="2" t="str">
        <f>IF($AV809="","",IF(COUNTIF(LISTS!$C$2:$C$250,$AU809)=0,"NEW",""))</f>
        <v/>
      </c>
      <c r="BA809" s="2" t="str">
        <f>IF(""&amp;$F809&lt;&gt;"4","",IF($AY809="YES","",IF(ROUND(SUMIFS($AE$2:$AE$4001,$L$2:$L$4001,$L809,$F$2:$F$4001,"4")-SUMIFS('AR SALES'!$Y$2:$Y$2501,'AR SALES'!$L$2:$L$2501,$L809,'AR SALES'!$AD$2:$AD$2501,"OFF"),2)=0,"","STALE")))</f>
        <v/>
      </c>
      <c r="BB809" s="2" t="str">
        <f>IF(OR(""&amp;$F809="2",""&amp;$F809="4",""&amp;$F809="G",""&amp;$F809="H"),IF($AY809="YES","",IF($AB809&lt;&gt;0,"",IF(COUNTIFS('AR SALES'!$L$2:$L$2501,$L809,'AR SALES'!$AD$2:$AD$2501,IF(""&amp;$F809="4","OFF","ON"),'AR SALES'!$AF$2:$AF$2501,"Y")&gt;0,"","NO EXEMPTION"))),"")</f>
        <v/>
      </c>
    </row>
    <row r="810" spans="46:54" x14ac:dyDescent="0.25">
      <c r="AT810" s="2" t="str">
        <f>IF($L810="","",IFERROR(INDEX('AR SALES'!$H$2:$H$2501,MATCH(""&amp;$L810,'AR SALES'!$AE$2:$AE$2501,0)),""))</f>
        <v/>
      </c>
      <c r="AU810" s="2" t="str">
        <f t="shared" si="48"/>
        <v/>
      </c>
      <c r="AV810" s="2" t="str">
        <f t="shared" si="49"/>
        <v/>
      </c>
      <c r="AW810" s="2" t="str">
        <f t="shared" si="50"/>
        <v/>
      </c>
      <c r="AX810" s="2" t="str">
        <f t="shared" si="51"/>
        <v/>
      </c>
      <c r="AY810" s="2" t="str">
        <f>IF($AV810="","",IF(AND($Z810=0,COUNTIF('AR SALES'!$L$2:$L$2501,$L810)=0),"YES",""))</f>
        <v/>
      </c>
      <c r="AZ810" s="2" t="str">
        <f>IF($AV810="","",IF(COUNTIF(LISTS!$C$2:$C$250,$AU810)=0,"NEW",""))</f>
        <v/>
      </c>
      <c r="BA810" s="2" t="str">
        <f>IF(""&amp;$F810&lt;&gt;"4","",IF($AY810="YES","",IF(ROUND(SUMIFS($AE$2:$AE$4001,$L$2:$L$4001,$L810,$F$2:$F$4001,"4")-SUMIFS('AR SALES'!$Y$2:$Y$2501,'AR SALES'!$L$2:$L$2501,$L810,'AR SALES'!$AD$2:$AD$2501,"OFF"),2)=0,"","STALE")))</f>
        <v/>
      </c>
      <c r="BB810" s="2" t="str">
        <f>IF(OR(""&amp;$F810="2",""&amp;$F810="4",""&amp;$F810="G",""&amp;$F810="H"),IF($AY810="YES","",IF($AB810&lt;&gt;0,"",IF(COUNTIFS('AR SALES'!$L$2:$L$2501,$L810,'AR SALES'!$AD$2:$AD$2501,IF(""&amp;$F810="4","OFF","ON"),'AR SALES'!$AF$2:$AF$2501,"Y")&gt;0,"","NO EXEMPTION"))),"")</f>
        <v/>
      </c>
    </row>
    <row r="811" spans="46:54" x14ac:dyDescent="0.25">
      <c r="AT811" s="2" t="str">
        <f>IF($L811="","",IFERROR(INDEX('AR SALES'!$H$2:$H$2501,MATCH(""&amp;$L811,'AR SALES'!$AE$2:$AE$2501,0)),""))</f>
        <v/>
      </c>
      <c r="AU811" s="2" t="str">
        <f t="shared" si="48"/>
        <v/>
      </c>
      <c r="AV811" s="2" t="str">
        <f t="shared" si="49"/>
        <v/>
      </c>
      <c r="AW811" s="2" t="str">
        <f t="shared" si="50"/>
        <v/>
      </c>
      <c r="AX811" s="2" t="str">
        <f t="shared" si="51"/>
        <v/>
      </c>
      <c r="AY811" s="2" t="str">
        <f>IF($AV811="","",IF(AND($Z811=0,COUNTIF('AR SALES'!$L$2:$L$2501,$L811)=0),"YES",""))</f>
        <v/>
      </c>
      <c r="AZ811" s="2" t="str">
        <f>IF($AV811="","",IF(COUNTIF(LISTS!$C$2:$C$250,$AU811)=0,"NEW",""))</f>
        <v/>
      </c>
      <c r="BA811" s="2" t="str">
        <f>IF(""&amp;$F811&lt;&gt;"4","",IF($AY811="YES","",IF(ROUND(SUMIFS($AE$2:$AE$4001,$L$2:$L$4001,$L811,$F$2:$F$4001,"4")-SUMIFS('AR SALES'!$Y$2:$Y$2501,'AR SALES'!$L$2:$L$2501,$L811,'AR SALES'!$AD$2:$AD$2501,"OFF"),2)=0,"","STALE")))</f>
        <v/>
      </c>
      <c r="BB811" s="2" t="str">
        <f>IF(OR(""&amp;$F811="2",""&amp;$F811="4",""&amp;$F811="G",""&amp;$F811="H"),IF($AY811="YES","",IF($AB811&lt;&gt;0,"",IF(COUNTIFS('AR SALES'!$L$2:$L$2501,$L811,'AR SALES'!$AD$2:$AD$2501,IF(""&amp;$F811="4","OFF","ON"),'AR SALES'!$AF$2:$AF$2501,"Y")&gt;0,"","NO EXEMPTION"))),"")</f>
        <v/>
      </c>
    </row>
    <row r="812" spans="46:54" x14ac:dyDescent="0.25">
      <c r="AT812" s="2" t="str">
        <f>IF($L812="","",IFERROR(INDEX('AR SALES'!$H$2:$H$2501,MATCH(""&amp;$L812,'AR SALES'!$AE$2:$AE$2501,0)),""))</f>
        <v/>
      </c>
      <c r="AU812" s="2" t="str">
        <f t="shared" si="48"/>
        <v/>
      </c>
      <c r="AV812" s="2" t="str">
        <f t="shared" si="49"/>
        <v/>
      </c>
      <c r="AW812" s="2" t="str">
        <f t="shared" si="50"/>
        <v/>
      </c>
      <c r="AX812" s="2" t="str">
        <f t="shared" si="51"/>
        <v/>
      </c>
      <c r="AY812" s="2" t="str">
        <f>IF($AV812="","",IF(AND($Z812=0,COUNTIF('AR SALES'!$L$2:$L$2501,$L812)=0),"YES",""))</f>
        <v/>
      </c>
      <c r="AZ812" s="2" t="str">
        <f>IF($AV812="","",IF(COUNTIF(LISTS!$C$2:$C$250,$AU812)=0,"NEW",""))</f>
        <v/>
      </c>
      <c r="BA812" s="2" t="str">
        <f>IF(""&amp;$F812&lt;&gt;"4","",IF($AY812="YES","",IF(ROUND(SUMIFS($AE$2:$AE$4001,$L$2:$L$4001,$L812,$F$2:$F$4001,"4")-SUMIFS('AR SALES'!$Y$2:$Y$2501,'AR SALES'!$L$2:$L$2501,$L812,'AR SALES'!$AD$2:$AD$2501,"OFF"),2)=0,"","STALE")))</f>
        <v/>
      </c>
      <c r="BB812" s="2" t="str">
        <f>IF(OR(""&amp;$F812="2",""&amp;$F812="4",""&amp;$F812="G",""&amp;$F812="H"),IF($AY812="YES","",IF($AB812&lt;&gt;0,"",IF(COUNTIFS('AR SALES'!$L$2:$L$2501,$L812,'AR SALES'!$AD$2:$AD$2501,IF(""&amp;$F812="4","OFF","ON"),'AR SALES'!$AF$2:$AF$2501,"Y")&gt;0,"","NO EXEMPTION"))),"")</f>
        <v/>
      </c>
    </row>
    <row r="813" spans="46:54" x14ac:dyDescent="0.25">
      <c r="AT813" s="2" t="str">
        <f>IF($L813="","",IFERROR(INDEX('AR SALES'!$H$2:$H$2501,MATCH(""&amp;$L813,'AR SALES'!$AE$2:$AE$2501,0)),""))</f>
        <v/>
      </c>
      <c r="AU813" s="2" t="str">
        <f t="shared" si="48"/>
        <v/>
      </c>
      <c r="AV813" s="2" t="str">
        <f t="shared" si="49"/>
        <v/>
      </c>
      <c r="AW813" s="2" t="str">
        <f t="shared" si="50"/>
        <v/>
      </c>
      <c r="AX813" s="2" t="str">
        <f t="shared" si="51"/>
        <v/>
      </c>
      <c r="AY813" s="2" t="str">
        <f>IF($AV813="","",IF(AND($Z813=0,COUNTIF('AR SALES'!$L$2:$L$2501,$L813)=0),"YES",""))</f>
        <v/>
      </c>
      <c r="AZ813" s="2" t="str">
        <f>IF($AV813="","",IF(COUNTIF(LISTS!$C$2:$C$250,$AU813)=0,"NEW",""))</f>
        <v/>
      </c>
      <c r="BA813" s="2" t="str">
        <f>IF(""&amp;$F813&lt;&gt;"4","",IF($AY813="YES","",IF(ROUND(SUMIFS($AE$2:$AE$4001,$L$2:$L$4001,$L813,$F$2:$F$4001,"4")-SUMIFS('AR SALES'!$Y$2:$Y$2501,'AR SALES'!$L$2:$L$2501,$L813,'AR SALES'!$AD$2:$AD$2501,"OFF"),2)=0,"","STALE")))</f>
        <v/>
      </c>
      <c r="BB813" s="2" t="str">
        <f>IF(OR(""&amp;$F813="2",""&amp;$F813="4",""&amp;$F813="G",""&amp;$F813="H"),IF($AY813="YES","",IF($AB813&lt;&gt;0,"",IF(COUNTIFS('AR SALES'!$L$2:$L$2501,$L813,'AR SALES'!$AD$2:$AD$2501,IF(""&amp;$F813="4","OFF","ON"),'AR SALES'!$AF$2:$AF$2501,"Y")&gt;0,"","NO EXEMPTION"))),"")</f>
        <v/>
      </c>
    </row>
    <row r="814" spans="46:54" x14ac:dyDescent="0.25">
      <c r="AT814" s="2" t="str">
        <f>IF($L814="","",IFERROR(INDEX('AR SALES'!$H$2:$H$2501,MATCH(""&amp;$L814,'AR SALES'!$AE$2:$AE$2501,0)),""))</f>
        <v/>
      </c>
      <c r="AU814" s="2" t="str">
        <f t="shared" si="48"/>
        <v/>
      </c>
      <c r="AV814" s="2" t="str">
        <f t="shared" si="49"/>
        <v/>
      </c>
      <c r="AW814" s="2" t="str">
        <f t="shared" si="50"/>
        <v/>
      </c>
      <c r="AX814" s="2" t="str">
        <f t="shared" si="51"/>
        <v/>
      </c>
      <c r="AY814" s="2" t="str">
        <f>IF($AV814="","",IF(AND($Z814=0,COUNTIF('AR SALES'!$L$2:$L$2501,$L814)=0),"YES",""))</f>
        <v/>
      </c>
      <c r="AZ814" s="2" t="str">
        <f>IF($AV814="","",IF(COUNTIF(LISTS!$C$2:$C$250,$AU814)=0,"NEW",""))</f>
        <v/>
      </c>
      <c r="BA814" s="2" t="str">
        <f>IF(""&amp;$F814&lt;&gt;"4","",IF($AY814="YES","",IF(ROUND(SUMIFS($AE$2:$AE$4001,$L$2:$L$4001,$L814,$F$2:$F$4001,"4")-SUMIFS('AR SALES'!$Y$2:$Y$2501,'AR SALES'!$L$2:$L$2501,$L814,'AR SALES'!$AD$2:$AD$2501,"OFF"),2)=0,"","STALE")))</f>
        <v/>
      </c>
      <c r="BB814" s="2" t="str">
        <f>IF(OR(""&amp;$F814="2",""&amp;$F814="4",""&amp;$F814="G",""&amp;$F814="H"),IF($AY814="YES","",IF($AB814&lt;&gt;0,"",IF(COUNTIFS('AR SALES'!$L$2:$L$2501,$L814,'AR SALES'!$AD$2:$AD$2501,IF(""&amp;$F814="4","OFF","ON"),'AR SALES'!$AF$2:$AF$2501,"Y")&gt;0,"","NO EXEMPTION"))),"")</f>
        <v/>
      </c>
    </row>
    <row r="815" spans="46:54" x14ac:dyDescent="0.25">
      <c r="AT815" s="2" t="str">
        <f>IF($L815="","",IFERROR(INDEX('AR SALES'!$H$2:$H$2501,MATCH(""&amp;$L815,'AR SALES'!$AE$2:$AE$2501,0)),""))</f>
        <v/>
      </c>
      <c r="AU815" s="2" t="str">
        <f t="shared" si="48"/>
        <v/>
      </c>
      <c r="AV815" s="2" t="str">
        <f t="shared" si="49"/>
        <v/>
      </c>
      <c r="AW815" s="2" t="str">
        <f t="shared" si="50"/>
        <v/>
      </c>
      <c r="AX815" s="2" t="str">
        <f t="shared" si="51"/>
        <v/>
      </c>
      <c r="AY815" s="2" t="str">
        <f>IF($AV815="","",IF(AND($Z815=0,COUNTIF('AR SALES'!$L$2:$L$2501,$L815)=0),"YES",""))</f>
        <v/>
      </c>
      <c r="AZ815" s="2" t="str">
        <f>IF($AV815="","",IF(COUNTIF(LISTS!$C$2:$C$250,$AU815)=0,"NEW",""))</f>
        <v/>
      </c>
      <c r="BA815" s="2" t="str">
        <f>IF(""&amp;$F815&lt;&gt;"4","",IF($AY815="YES","",IF(ROUND(SUMIFS($AE$2:$AE$4001,$L$2:$L$4001,$L815,$F$2:$F$4001,"4")-SUMIFS('AR SALES'!$Y$2:$Y$2501,'AR SALES'!$L$2:$L$2501,$L815,'AR SALES'!$AD$2:$AD$2501,"OFF"),2)=0,"","STALE")))</f>
        <v/>
      </c>
      <c r="BB815" s="2" t="str">
        <f>IF(OR(""&amp;$F815="2",""&amp;$F815="4",""&amp;$F815="G",""&amp;$F815="H"),IF($AY815="YES","",IF($AB815&lt;&gt;0,"",IF(COUNTIFS('AR SALES'!$L$2:$L$2501,$L815,'AR SALES'!$AD$2:$AD$2501,IF(""&amp;$F815="4","OFF","ON"),'AR SALES'!$AF$2:$AF$2501,"Y")&gt;0,"","NO EXEMPTION"))),"")</f>
        <v/>
      </c>
    </row>
    <row r="816" spans="46:54" x14ac:dyDescent="0.25">
      <c r="AT816" s="2" t="str">
        <f>IF($L816="","",IFERROR(INDEX('AR SALES'!$H$2:$H$2501,MATCH(""&amp;$L816,'AR SALES'!$AE$2:$AE$2501,0)),""))</f>
        <v/>
      </c>
      <c r="AU816" s="2" t="str">
        <f t="shared" si="48"/>
        <v/>
      </c>
      <c r="AV816" s="2" t="str">
        <f t="shared" si="49"/>
        <v/>
      </c>
      <c r="AW816" s="2" t="str">
        <f t="shared" si="50"/>
        <v/>
      </c>
      <c r="AX816" s="2" t="str">
        <f t="shared" si="51"/>
        <v/>
      </c>
      <c r="AY816" s="2" t="str">
        <f>IF($AV816="","",IF(AND($Z816=0,COUNTIF('AR SALES'!$L$2:$L$2501,$L816)=0),"YES",""))</f>
        <v/>
      </c>
      <c r="AZ816" s="2" t="str">
        <f>IF($AV816="","",IF(COUNTIF(LISTS!$C$2:$C$250,$AU816)=0,"NEW",""))</f>
        <v/>
      </c>
      <c r="BA816" s="2" t="str">
        <f>IF(""&amp;$F816&lt;&gt;"4","",IF($AY816="YES","",IF(ROUND(SUMIFS($AE$2:$AE$4001,$L$2:$L$4001,$L816,$F$2:$F$4001,"4")-SUMIFS('AR SALES'!$Y$2:$Y$2501,'AR SALES'!$L$2:$L$2501,$L816,'AR SALES'!$AD$2:$AD$2501,"OFF"),2)=0,"","STALE")))</f>
        <v/>
      </c>
      <c r="BB816" s="2" t="str">
        <f>IF(OR(""&amp;$F816="2",""&amp;$F816="4",""&amp;$F816="G",""&amp;$F816="H"),IF($AY816="YES","",IF($AB816&lt;&gt;0,"",IF(COUNTIFS('AR SALES'!$L$2:$L$2501,$L816,'AR SALES'!$AD$2:$AD$2501,IF(""&amp;$F816="4","OFF","ON"),'AR SALES'!$AF$2:$AF$2501,"Y")&gt;0,"","NO EXEMPTION"))),"")</f>
        <v/>
      </c>
    </row>
    <row r="817" spans="46:54" x14ac:dyDescent="0.25">
      <c r="AT817" s="2" t="str">
        <f>IF($L817="","",IFERROR(INDEX('AR SALES'!$H$2:$H$2501,MATCH(""&amp;$L817,'AR SALES'!$AE$2:$AE$2501,0)),""))</f>
        <v/>
      </c>
      <c r="AU817" s="2" t="str">
        <f t="shared" si="48"/>
        <v/>
      </c>
      <c r="AV817" s="2" t="str">
        <f t="shared" si="49"/>
        <v/>
      </c>
      <c r="AW817" s="2" t="str">
        <f t="shared" si="50"/>
        <v/>
      </c>
      <c r="AX817" s="2" t="str">
        <f t="shared" si="51"/>
        <v/>
      </c>
      <c r="AY817" s="2" t="str">
        <f>IF($AV817="","",IF(AND($Z817=0,COUNTIF('AR SALES'!$L$2:$L$2501,$L817)=0),"YES",""))</f>
        <v/>
      </c>
      <c r="AZ817" s="2" t="str">
        <f>IF($AV817="","",IF(COUNTIF(LISTS!$C$2:$C$250,$AU817)=0,"NEW",""))</f>
        <v/>
      </c>
      <c r="BA817" s="2" t="str">
        <f>IF(""&amp;$F817&lt;&gt;"4","",IF($AY817="YES","",IF(ROUND(SUMIFS($AE$2:$AE$4001,$L$2:$L$4001,$L817,$F$2:$F$4001,"4")-SUMIFS('AR SALES'!$Y$2:$Y$2501,'AR SALES'!$L$2:$L$2501,$L817,'AR SALES'!$AD$2:$AD$2501,"OFF"),2)=0,"","STALE")))</f>
        <v/>
      </c>
      <c r="BB817" s="2" t="str">
        <f>IF(OR(""&amp;$F817="2",""&amp;$F817="4",""&amp;$F817="G",""&amp;$F817="H"),IF($AY817="YES","",IF($AB817&lt;&gt;0,"",IF(COUNTIFS('AR SALES'!$L$2:$L$2501,$L817,'AR SALES'!$AD$2:$AD$2501,IF(""&amp;$F817="4","OFF","ON"),'AR SALES'!$AF$2:$AF$2501,"Y")&gt;0,"","NO EXEMPTION"))),"")</f>
        <v/>
      </c>
    </row>
    <row r="818" spans="46:54" x14ac:dyDescent="0.25">
      <c r="AT818" s="2" t="str">
        <f>IF($L818="","",IFERROR(INDEX('AR SALES'!$H$2:$H$2501,MATCH(""&amp;$L818,'AR SALES'!$AE$2:$AE$2501,0)),""))</f>
        <v/>
      </c>
      <c r="AU818" s="2" t="str">
        <f t="shared" si="48"/>
        <v/>
      </c>
      <c r="AV818" s="2" t="str">
        <f t="shared" si="49"/>
        <v/>
      </c>
      <c r="AW818" s="2" t="str">
        <f t="shared" si="50"/>
        <v/>
      </c>
      <c r="AX818" s="2" t="str">
        <f t="shared" si="51"/>
        <v/>
      </c>
      <c r="AY818" s="2" t="str">
        <f>IF($AV818="","",IF(AND($Z818=0,COUNTIF('AR SALES'!$L$2:$L$2501,$L818)=0),"YES",""))</f>
        <v/>
      </c>
      <c r="AZ818" s="2" t="str">
        <f>IF($AV818="","",IF(COUNTIF(LISTS!$C$2:$C$250,$AU818)=0,"NEW",""))</f>
        <v/>
      </c>
      <c r="BA818" s="2" t="str">
        <f>IF(""&amp;$F818&lt;&gt;"4","",IF($AY818="YES","",IF(ROUND(SUMIFS($AE$2:$AE$4001,$L$2:$L$4001,$L818,$F$2:$F$4001,"4")-SUMIFS('AR SALES'!$Y$2:$Y$2501,'AR SALES'!$L$2:$L$2501,$L818,'AR SALES'!$AD$2:$AD$2501,"OFF"),2)=0,"","STALE")))</f>
        <v/>
      </c>
      <c r="BB818" s="2" t="str">
        <f>IF(OR(""&amp;$F818="2",""&amp;$F818="4",""&amp;$F818="G",""&amp;$F818="H"),IF($AY818="YES","",IF($AB818&lt;&gt;0,"",IF(COUNTIFS('AR SALES'!$L$2:$L$2501,$L818,'AR SALES'!$AD$2:$AD$2501,IF(""&amp;$F818="4","OFF","ON"),'AR SALES'!$AF$2:$AF$2501,"Y")&gt;0,"","NO EXEMPTION"))),"")</f>
        <v/>
      </c>
    </row>
    <row r="819" spans="46:54" x14ac:dyDescent="0.25">
      <c r="AT819" s="2" t="str">
        <f>IF($L819="","",IFERROR(INDEX('AR SALES'!$H$2:$H$2501,MATCH(""&amp;$L819,'AR SALES'!$AE$2:$AE$2501,0)),""))</f>
        <v/>
      </c>
      <c r="AU819" s="2" t="str">
        <f t="shared" si="48"/>
        <v/>
      </c>
      <c r="AV819" s="2" t="str">
        <f t="shared" si="49"/>
        <v/>
      </c>
      <c r="AW819" s="2" t="str">
        <f t="shared" si="50"/>
        <v/>
      </c>
      <c r="AX819" s="2" t="str">
        <f t="shared" si="51"/>
        <v/>
      </c>
      <c r="AY819" s="2" t="str">
        <f>IF($AV819="","",IF(AND($Z819=0,COUNTIF('AR SALES'!$L$2:$L$2501,$L819)=0),"YES",""))</f>
        <v/>
      </c>
      <c r="AZ819" s="2" t="str">
        <f>IF($AV819="","",IF(COUNTIF(LISTS!$C$2:$C$250,$AU819)=0,"NEW",""))</f>
        <v/>
      </c>
      <c r="BA819" s="2" t="str">
        <f>IF(""&amp;$F819&lt;&gt;"4","",IF($AY819="YES","",IF(ROUND(SUMIFS($AE$2:$AE$4001,$L$2:$L$4001,$L819,$F$2:$F$4001,"4")-SUMIFS('AR SALES'!$Y$2:$Y$2501,'AR SALES'!$L$2:$L$2501,$L819,'AR SALES'!$AD$2:$AD$2501,"OFF"),2)=0,"","STALE")))</f>
        <v/>
      </c>
      <c r="BB819" s="2" t="str">
        <f>IF(OR(""&amp;$F819="2",""&amp;$F819="4",""&amp;$F819="G",""&amp;$F819="H"),IF($AY819="YES","",IF($AB819&lt;&gt;0,"",IF(COUNTIFS('AR SALES'!$L$2:$L$2501,$L819,'AR SALES'!$AD$2:$AD$2501,IF(""&amp;$F819="4","OFF","ON"),'AR SALES'!$AF$2:$AF$2501,"Y")&gt;0,"","NO EXEMPTION"))),"")</f>
        <v/>
      </c>
    </row>
    <row r="820" spans="46:54" x14ac:dyDescent="0.25">
      <c r="AT820" s="2" t="str">
        <f>IF($L820="","",IFERROR(INDEX('AR SALES'!$H$2:$H$2501,MATCH(""&amp;$L820,'AR SALES'!$AE$2:$AE$2501,0)),""))</f>
        <v/>
      </c>
      <c r="AU820" s="2" t="str">
        <f t="shared" si="48"/>
        <v/>
      </c>
      <c r="AV820" s="2" t="str">
        <f t="shared" si="49"/>
        <v/>
      </c>
      <c r="AW820" s="2" t="str">
        <f t="shared" si="50"/>
        <v/>
      </c>
      <c r="AX820" s="2" t="str">
        <f t="shared" si="51"/>
        <v/>
      </c>
      <c r="AY820" s="2" t="str">
        <f>IF($AV820="","",IF(AND($Z820=0,COUNTIF('AR SALES'!$L$2:$L$2501,$L820)=0),"YES",""))</f>
        <v/>
      </c>
      <c r="AZ820" s="2" t="str">
        <f>IF($AV820="","",IF(COUNTIF(LISTS!$C$2:$C$250,$AU820)=0,"NEW",""))</f>
        <v/>
      </c>
      <c r="BA820" s="2" t="str">
        <f>IF(""&amp;$F820&lt;&gt;"4","",IF($AY820="YES","",IF(ROUND(SUMIFS($AE$2:$AE$4001,$L$2:$L$4001,$L820,$F$2:$F$4001,"4")-SUMIFS('AR SALES'!$Y$2:$Y$2501,'AR SALES'!$L$2:$L$2501,$L820,'AR SALES'!$AD$2:$AD$2501,"OFF"),2)=0,"","STALE")))</f>
        <v/>
      </c>
      <c r="BB820" s="2" t="str">
        <f>IF(OR(""&amp;$F820="2",""&amp;$F820="4",""&amp;$F820="G",""&amp;$F820="H"),IF($AY820="YES","",IF($AB820&lt;&gt;0,"",IF(COUNTIFS('AR SALES'!$L$2:$L$2501,$L820,'AR SALES'!$AD$2:$AD$2501,IF(""&amp;$F820="4","OFF","ON"),'AR SALES'!$AF$2:$AF$2501,"Y")&gt;0,"","NO EXEMPTION"))),"")</f>
        <v/>
      </c>
    </row>
    <row r="821" spans="46:54" x14ac:dyDescent="0.25">
      <c r="AT821" s="2" t="str">
        <f>IF($L821="","",IFERROR(INDEX('AR SALES'!$H$2:$H$2501,MATCH(""&amp;$L821,'AR SALES'!$AE$2:$AE$2501,0)),""))</f>
        <v/>
      </c>
      <c r="AU821" s="2" t="str">
        <f t="shared" si="48"/>
        <v/>
      </c>
      <c r="AV821" s="2" t="str">
        <f t="shared" si="49"/>
        <v/>
      </c>
      <c r="AW821" s="2" t="str">
        <f t="shared" si="50"/>
        <v/>
      </c>
      <c r="AX821" s="2" t="str">
        <f t="shared" si="51"/>
        <v/>
      </c>
      <c r="AY821" s="2" t="str">
        <f>IF($AV821="","",IF(AND($Z821=0,COUNTIF('AR SALES'!$L$2:$L$2501,$L821)=0),"YES",""))</f>
        <v/>
      </c>
      <c r="AZ821" s="2" t="str">
        <f>IF($AV821="","",IF(COUNTIF(LISTS!$C$2:$C$250,$AU821)=0,"NEW",""))</f>
        <v/>
      </c>
      <c r="BA821" s="2" t="str">
        <f>IF(""&amp;$F821&lt;&gt;"4","",IF($AY821="YES","",IF(ROUND(SUMIFS($AE$2:$AE$4001,$L$2:$L$4001,$L821,$F$2:$F$4001,"4")-SUMIFS('AR SALES'!$Y$2:$Y$2501,'AR SALES'!$L$2:$L$2501,$L821,'AR SALES'!$AD$2:$AD$2501,"OFF"),2)=0,"","STALE")))</f>
        <v/>
      </c>
      <c r="BB821" s="2" t="str">
        <f>IF(OR(""&amp;$F821="2",""&amp;$F821="4",""&amp;$F821="G",""&amp;$F821="H"),IF($AY821="YES","",IF($AB821&lt;&gt;0,"",IF(COUNTIFS('AR SALES'!$L$2:$L$2501,$L821,'AR SALES'!$AD$2:$AD$2501,IF(""&amp;$F821="4","OFF","ON"),'AR SALES'!$AF$2:$AF$2501,"Y")&gt;0,"","NO EXEMPTION"))),"")</f>
        <v/>
      </c>
    </row>
    <row r="822" spans="46:54" x14ac:dyDescent="0.25">
      <c r="AT822" s="2" t="str">
        <f>IF($L822="","",IFERROR(INDEX('AR SALES'!$H$2:$H$2501,MATCH(""&amp;$L822,'AR SALES'!$AE$2:$AE$2501,0)),""))</f>
        <v/>
      </c>
      <c r="AU822" s="2" t="str">
        <f t="shared" si="48"/>
        <v/>
      </c>
      <c r="AV822" s="2" t="str">
        <f t="shared" si="49"/>
        <v/>
      </c>
      <c r="AW822" s="2" t="str">
        <f t="shared" si="50"/>
        <v/>
      </c>
      <c r="AX822" s="2" t="str">
        <f t="shared" si="51"/>
        <v/>
      </c>
      <c r="AY822" s="2" t="str">
        <f>IF($AV822="","",IF(AND($Z822=0,COUNTIF('AR SALES'!$L$2:$L$2501,$L822)=0),"YES",""))</f>
        <v/>
      </c>
      <c r="AZ822" s="2" t="str">
        <f>IF($AV822="","",IF(COUNTIF(LISTS!$C$2:$C$250,$AU822)=0,"NEW",""))</f>
        <v/>
      </c>
      <c r="BA822" s="2" t="str">
        <f>IF(""&amp;$F822&lt;&gt;"4","",IF($AY822="YES","",IF(ROUND(SUMIFS($AE$2:$AE$4001,$L$2:$L$4001,$L822,$F$2:$F$4001,"4")-SUMIFS('AR SALES'!$Y$2:$Y$2501,'AR SALES'!$L$2:$L$2501,$L822,'AR SALES'!$AD$2:$AD$2501,"OFF"),2)=0,"","STALE")))</f>
        <v/>
      </c>
      <c r="BB822" s="2" t="str">
        <f>IF(OR(""&amp;$F822="2",""&amp;$F822="4",""&amp;$F822="G",""&amp;$F822="H"),IF($AY822="YES","",IF($AB822&lt;&gt;0,"",IF(COUNTIFS('AR SALES'!$L$2:$L$2501,$L822,'AR SALES'!$AD$2:$AD$2501,IF(""&amp;$F822="4","OFF","ON"),'AR SALES'!$AF$2:$AF$2501,"Y")&gt;0,"","NO EXEMPTION"))),"")</f>
        <v/>
      </c>
    </row>
    <row r="823" spans="46:54" x14ac:dyDescent="0.25">
      <c r="AT823" s="2" t="str">
        <f>IF($L823="","",IFERROR(INDEX('AR SALES'!$H$2:$H$2501,MATCH(""&amp;$L823,'AR SALES'!$AE$2:$AE$2501,0)),""))</f>
        <v/>
      </c>
      <c r="AU823" s="2" t="str">
        <f t="shared" si="48"/>
        <v/>
      </c>
      <c r="AV823" s="2" t="str">
        <f t="shared" si="49"/>
        <v/>
      </c>
      <c r="AW823" s="2" t="str">
        <f t="shared" si="50"/>
        <v/>
      </c>
      <c r="AX823" s="2" t="str">
        <f t="shared" si="51"/>
        <v/>
      </c>
      <c r="AY823" s="2" t="str">
        <f>IF($AV823="","",IF(AND($Z823=0,COUNTIF('AR SALES'!$L$2:$L$2501,$L823)=0),"YES",""))</f>
        <v/>
      </c>
      <c r="AZ823" s="2" t="str">
        <f>IF($AV823="","",IF(COUNTIF(LISTS!$C$2:$C$250,$AU823)=0,"NEW",""))</f>
        <v/>
      </c>
      <c r="BA823" s="2" t="str">
        <f>IF(""&amp;$F823&lt;&gt;"4","",IF($AY823="YES","",IF(ROUND(SUMIFS($AE$2:$AE$4001,$L$2:$L$4001,$L823,$F$2:$F$4001,"4")-SUMIFS('AR SALES'!$Y$2:$Y$2501,'AR SALES'!$L$2:$L$2501,$L823,'AR SALES'!$AD$2:$AD$2501,"OFF"),2)=0,"","STALE")))</f>
        <v/>
      </c>
      <c r="BB823" s="2" t="str">
        <f>IF(OR(""&amp;$F823="2",""&amp;$F823="4",""&amp;$F823="G",""&amp;$F823="H"),IF($AY823="YES","",IF($AB823&lt;&gt;0,"",IF(COUNTIFS('AR SALES'!$L$2:$L$2501,$L823,'AR SALES'!$AD$2:$AD$2501,IF(""&amp;$F823="4","OFF","ON"),'AR SALES'!$AF$2:$AF$2501,"Y")&gt;0,"","NO EXEMPTION"))),"")</f>
        <v/>
      </c>
    </row>
    <row r="824" spans="46:54" x14ac:dyDescent="0.25">
      <c r="AT824" s="2" t="str">
        <f>IF($L824="","",IFERROR(INDEX('AR SALES'!$H$2:$H$2501,MATCH(""&amp;$L824,'AR SALES'!$AE$2:$AE$2501,0)),""))</f>
        <v/>
      </c>
      <c r="AU824" s="2" t="str">
        <f t="shared" si="48"/>
        <v/>
      </c>
      <c r="AV824" s="2" t="str">
        <f t="shared" si="49"/>
        <v/>
      </c>
      <c r="AW824" s="2" t="str">
        <f t="shared" si="50"/>
        <v/>
      </c>
      <c r="AX824" s="2" t="str">
        <f t="shared" si="51"/>
        <v/>
      </c>
      <c r="AY824" s="2" t="str">
        <f>IF($AV824="","",IF(AND($Z824=0,COUNTIF('AR SALES'!$L$2:$L$2501,$L824)=0),"YES",""))</f>
        <v/>
      </c>
      <c r="AZ824" s="2" t="str">
        <f>IF($AV824="","",IF(COUNTIF(LISTS!$C$2:$C$250,$AU824)=0,"NEW",""))</f>
        <v/>
      </c>
      <c r="BA824" s="2" t="str">
        <f>IF(""&amp;$F824&lt;&gt;"4","",IF($AY824="YES","",IF(ROUND(SUMIFS($AE$2:$AE$4001,$L$2:$L$4001,$L824,$F$2:$F$4001,"4")-SUMIFS('AR SALES'!$Y$2:$Y$2501,'AR SALES'!$L$2:$L$2501,$L824,'AR SALES'!$AD$2:$AD$2501,"OFF"),2)=0,"","STALE")))</f>
        <v/>
      </c>
      <c r="BB824" s="2" t="str">
        <f>IF(OR(""&amp;$F824="2",""&amp;$F824="4",""&amp;$F824="G",""&amp;$F824="H"),IF($AY824="YES","",IF($AB824&lt;&gt;0,"",IF(COUNTIFS('AR SALES'!$L$2:$L$2501,$L824,'AR SALES'!$AD$2:$AD$2501,IF(""&amp;$F824="4","OFF","ON"),'AR SALES'!$AF$2:$AF$2501,"Y")&gt;0,"","NO EXEMPTION"))),"")</f>
        <v/>
      </c>
    </row>
    <row r="825" spans="46:54" x14ac:dyDescent="0.25">
      <c r="AT825" s="2" t="str">
        <f>IF($L825="","",IFERROR(INDEX('AR SALES'!$H$2:$H$2501,MATCH(""&amp;$L825,'AR SALES'!$AE$2:$AE$2501,0)),""))</f>
        <v/>
      </c>
      <c r="AU825" s="2" t="str">
        <f t="shared" si="48"/>
        <v/>
      </c>
      <c r="AV825" s="2" t="str">
        <f t="shared" si="49"/>
        <v/>
      </c>
      <c r="AW825" s="2" t="str">
        <f t="shared" si="50"/>
        <v/>
      </c>
      <c r="AX825" s="2" t="str">
        <f t="shared" si="51"/>
        <v/>
      </c>
      <c r="AY825" s="2" t="str">
        <f>IF($AV825="","",IF(AND($Z825=0,COUNTIF('AR SALES'!$L$2:$L$2501,$L825)=0),"YES",""))</f>
        <v/>
      </c>
      <c r="AZ825" s="2" t="str">
        <f>IF($AV825="","",IF(COUNTIF(LISTS!$C$2:$C$250,$AU825)=0,"NEW",""))</f>
        <v/>
      </c>
      <c r="BA825" s="2" t="str">
        <f>IF(""&amp;$F825&lt;&gt;"4","",IF($AY825="YES","",IF(ROUND(SUMIFS($AE$2:$AE$4001,$L$2:$L$4001,$L825,$F$2:$F$4001,"4")-SUMIFS('AR SALES'!$Y$2:$Y$2501,'AR SALES'!$L$2:$L$2501,$L825,'AR SALES'!$AD$2:$AD$2501,"OFF"),2)=0,"","STALE")))</f>
        <v/>
      </c>
      <c r="BB825" s="2" t="str">
        <f>IF(OR(""&amp;$F825="2",""&amp;$F825="4",""&amp;$F825="G",""&amp;$F825="H"),IF($AY825="YES","",IF($AB825&lt;&gt;0,"",IF(COUNTIFS('AR SALES'!$L$2:$L$2501,$L825,'AR SALES'!$AD$2:$AD$2501,IF(""&amp;$F825="4","OFF","ON"),'AR SALES'!$AF$2:$AF$2501,"Y")&gt;0,"","NO EXEMPTION"))),"")</f>
        <v/>
      </c>
    </row>
    <row r="826" spans="46:54" x14ac:dyDescent="0.25">
      <c r="AT826" s="2" t="str">
        <f>IF($L826="","",IFERROR(INDEX('AR SALES'!$H$2:$H$2501,MATCH(""&amp;$L826,'AR SALES'!$AE$2:$AE$2501,0)),""))</f>
        <v/>
      </c>
      <c r="AU826" s="2" t="str">
        <f t="shared" si="48"/>
        <v/>
      </c>
      <c r="AV826" s="2" t="str">
        <f t="shared" si="49"/>
        <v/>
      </c>
      <c r="AW826" s="2" t="str">
        <f t="shared" si="50"/>
        <v/>
      </c>
      <c r="AX826" s="2" t="str">
        <f t="shared" si="51"/>
        <v/>
      </c>
      <c r="AY826" s="2" t="str">
        <f>IF($AV826="","",IF(AND($Z826=0,COUNTIF('AR SALES'!$L$2:$L$2501,$L826)=0),"YES",""))</f>
        <v/>
      </c>
      <c r="AZ826" s="2" t="str">
        <f>IF($AV826="","",IF(COUNTIF(LISTS!$C$2:$C$250,$AU826)=0,"NEW",""))</f>
        <v/>
      </c>
      <c r="BA826" s="2" t="str">
        <f>IF(""&amp;$F826&lt;&gt;"4","",IF($AY826="YES","",IF(ROUND(SUMIFS($AE$2:$AE$4001,$L$2:$L$4001,$L826,$F$2:$F$4001,"4")-SUMIFS('AR SALES'!$Y$2:$Y$2501,'AR SALES'!$L$2:$L$2501,$L826,'AR SALES'!$AD$2:$AD$2501,"OFF"),2)=0,"","STALE")))</f>
        <v/>
      </c>
      <c r="BB826" s="2" t="str">
        <f>IF(OR(""&amp;$F826="2",""&amp;$F826="4",""&amp;$F826="G",""&amp;$F826="H"),IF($AY826="YES","",IF($AB826&lt;&gt;0,"",IF(COUNTIFS('AR SALES'!$L$2:$L$2501,$L826,'AR SALES'!$AD$2:$AD$2501,IF(""&amp;$F826="4","OFF","ON"),'AR SALES'!$AF$2:$AF$2501,"Y")&gt;0,"","NO EXEMPTION"))),"")</f>
        <v/>
      </c>
    </row>
    <row r="827" spans="46:54" x14ac:dyDescent="0.25">
      <c r="AT827" s="2" t="str">
        <f>IF($L827="","",IFERROR(INDEX('AR SALES'!$H$2:$H$2501,MATCH(""&amp;$L827,'AR SALES'!$AE$2:$AE$2501,0)),""))</f>
        <v/>
      </c>
      <c r="AU827" s="2" t="str">
        <f t="shared" si="48"/>
        <v/>
      </c>
      <c r="AV827" s="2" t="str">
        <f t="shared" si="49"/>
        <v/>
      </c>
      <c r="AW827" s="2" t="str">
        <f t="shared" si="50"/>
        <v/>
      </c>
      <c r="AX827" s="2" t="str">
        <f t="shared" si="51"/>
        <v/>
      </c>
      <c r="AY827" s="2" t="str">
        <f>IF($AV827="","",IF(AND($Z827=0,COUNTIF('AR SALES'!$L$2:$L$2501,$L827)=0),"YES",""))</f>
        <v/>
      </c>
      <c r="AZ827" s="2" t="str">
        <f>IF($AV827="","",IF(COUNTIF(LISTS!$C$2:$C$250,$AU827)=0,"NEW",""))</f>
        <v/>
      </c>
      <c r="BA827" s="2" t="str">
        <f>IF(""&amp;$F827&lt;&gt;"4","",IF($AY827="YES","",IF(ROUND(SUMIFS($AE$2:$AE$4001,$L$2:$L$4001,$L827,$F$2:$F$4001,"4")-SUMIFS('AR SALES'!$Y$2:$Y$2501,'AR SALES'!$L$2:$L$2501,$L827,'AR SALES'!$AD$2:$AD$2501,"OFF"),2)=0,"","STALE")))</f>
        <v/>
      </c>
      <c r="BB827" s="2" t="str">
        <f>IF(OR(""&amp;$F827="2",""&amp;$F827="4",""&amp;$F827="G",""&amp;$F827="H"),IF($AY827="YES","",IF($AB827&lt;&gt;0,"",IF(COUNTIFS('AR SALES'!$L$2:$L$2501,$L827,'AR SALES'!$AD$2:$AD$2501,IF(""&amp;$F827="4","OFF","ON"),'AR SALES'!$AF$2:$AF$2501,"Y")&gt;0,"","NO EXEMPTION"))),"")</f>
        <v/>
      </c>
    </row>
    <row r="828" spans="46:54" x14ac:dyDescent="0.25">
      <c r="AT828" s="2" t="str">
        <f>IF($L828="","",IFERROR(INDEX('AR SALES'!$H$2:$H$2501,MATCH(""&amp;$L828,'AR SALES'!$AE$2:$AE$2501,0)),""))</f>
        <v/>
      </c>
      <c r="AU828" s="2" t="str">
        <f t="shared" si="48"/>
        <v/>
      </c>
      <c r="AV828" s="2" t="str">
        <f t="shared" si="49"/>
        <v/>
      </c>
      <c r="AW828" s="2" t="str">
        <f t="shared" si="50"/>
        <v/>
      </c>
      <c r="AX828" s="2" t="str">
        <f t="shared" si="51"/>
        <v/>
      </c>
      <c r="AY828" s="2" t="str">
        <f>IF($AV828="","",IF(AND($Z828=0,COUNTIF('AR SALES'!$L$2:$L$2501,$L828)=0),"YES",""))</f>
        <v/>
      </c>
      <c r="AZ828" s="2" t="str">
        <f>IF($AV828="","",IF(COUNTIF(LISTS!$C$2:$C$250,$AU828)=0,"NEW",""))</f>
        <v/>
      </c>
      <c r="BA828" s="2" t="str">
        <f>IF(""&amp;$F828&lt;&gt;"4","",IF($AY828="YES","",IF(ROUND(SUMIFS($AE$2:$AE$4001,$L$2:$L$4001,$L828,$F$2:$F$4001,"4")-SUMIFS('AR SALES'!$Y$2:$Y$2501,'AR SALES'!$L$2:$L$2501,$L828,'AR SALES'!$AD$2:$AD$2501,"OFF"),2)=0,"","STALE")))</f>
        <v/>
      </c>
      <c r="BB828" s="2" t="str">
        <f>IF(OR(""&amp;$F828="2",""&amp;$F828="4",""&amp;$F828="G",""&amp;$F828="H"),IF($AY828="YES","",IF($AB828&lt;&gt;0,"",IF(COUNTIFS('AR SALES'!$L$2:$L$2501,$L828,'AR SALES'!$AD$2:$AD$2501,IF(""&amp;$F828="4","OFF","ON"),'AR SALES'!$AF$2:$AF$2501,"Y")&gt;0,"","NO EXEMPTION"))),"")</f>
        <v/>
      </c>
    </row>
    <row r="829" spans="46:54" x14ac:dyDescent="0.25">
      <c r="AT829" s="2" t="str">
        <f>IF($L829="","",IFERROR(INDEX('AR SALES'!$H$2:$H$2501,MATCH(""&amp;$L829,'AR SALES'!$AE$2:$AE$2501,0)),""))</f>
        <v/>
      </c>
      <c r="AU829" s="2" t="str">
        <f t="shared" si="48"/>
        <v/>
      </c>
      <c r="AV829" s="2" t="str">
        <f t="shared" si="49"/>
        <v/>
      </c>
      <c r="AW829" s="2" t="str">
        <f t="shared" si="50"/>
        <v/>
      </c>
      <c r="AX829" s="2" t="str">
        <f t="shared" si="51"/>
        <v/>
      </c>
      <c r="AY829" s="2" t="str">
        <f>IF($AV829="","",IF(AND($Z829=0,COUNTIF('AR SALES'!$L$2:$L$2501,$L829)=0),"YES",""))</f>
        <v/>
      </c>
      <c r="AZ829" s="2" t="str">
        <f>IF($AV829="","",IF(COUNTIF(LISTS!$C$2:$C$250,$AU829)=0,"NEW",""))</f>
        <v/>
      </c>
      <c r="BA829" s="2" t="str">
        <f>IF(""&amp;$F829&lt;&gt;"4","",IF($AY829="YES","",IF(ROUND(SUMIFS($AE$2:$AE$4001,$L$2:$L$4001,$L829,$F$2:$F$4001,"4")-SUMIFS('AR SALES'!$Y$2:$Y$2501,'AR SALES'!$L$2:$L$2501,$L829,'AR SALES'!$AD$2:$AD$2501,"OFF"),2)=0,"","STALE")))</f>
        <v/>
      </c>
      <c r="BB829" s="2" t="str">
        <f>IF(OR(""&amp;$F829="2",""&amp;$F829="4",""&amp;$F829="G",""&amp;$F829="H"),IF($AY829="YES","",IF($AB829&lt;&gt;0,"",IF(COUNTIFS('AR SALES'!$L$2:$L$2501,$L829,'AR SALES'!$AD$2:$AD$2501,IF(""&amp;$F829="4","OFF","ON"),'AR SALES'!$AF$2:$AF$2501,"Y")&gt;0,"","NO EXEMPTION"))),"")</f>
        <v/>
      </c>
    </row>
    <row r="830" spans="46:54" x14ac:dyDescent="0.25">
      <c r="AT830" s="2" t="str">
        <f>IF($L830="","",IFERROR(INDEX('AR SALES'!$H$2:$H$2501,MATCH(""&amp;$L830,'AR SALES'!$AE$2:$AE$2501,0)),""))</f>
        <v/>
      </c>
      <c r="AU830" s="2" t="str">
        <f t="shared" si="48"/>
        <v/>
      </c>
      <c r="AV830" s="2" t="str">
        <f t="shared" si="49"/>
        <v/>
      </c>
      <c r="AW830" s="2" t="str">
        <f t="shared" si="50"/>
        <v/>
      </c>
      <c r="AX830" s="2" t="str">
        <f t="shared" si="51"/>
        <v/>
      </c>
      <c r="AY830" s="2" t="str">
        <f>IF($AV830="","",IF(AND($Z830=0,COUNTIF('AR SALES'!$L$2:$L$2501,$L830)=0),"YES",""))</f>
        <v/>
      </c>
      <c r="AZ830" s="2" t="str">
        <f>IF($AV830="","",IF(COUNTIF(LISTS!$C$2:$C$250,$AU830)=0,"NEW",""))</f>
        <v/>
      </c>
      <c r="BA830" s="2" t="str">
        <f>IF(""&amp;$F830&lt;&gt;"4","",IF($AY830="YES","",IF(ROUND(SUMIFS($AE$2:$AE$4001,$L$2:$L$4001,$L830,$F$2:$F$4001,"4")-SUMIFS('AR SALES'!$Y$2:$Y$2501,'AR SALES'!$L$2:$L$2501,$L830,'AR SALES'!$AD$2:$AD$2501,"OFF"),2)=0,"","STALE")))</f>
        <v/>
      </c>
      <c r="BB830" s="2" t="str">
        <f>IF(OR(""&amp;$F830="2",""&amp;$F830="4",""&amp;$F830="G",""&amp;$F830="H"),IF($AY830="YES","",IF($AB830&lt;&gt;0,"",IF(COUNTIFS('AR SALES'!$L$2:$L$2501,$L830,'AR SALES'!$AD$2:$AD$2501,IF(""&amp;$F830="4","OFF","ON"),'AR SALES'!$AF$2:$AF$2501,"Y")&gt;0,"","NO EXEMPTION"))),"")</f>
        <v/>
      </c>
    </row>
    <row r="831" spans="46:54" x14ac:dyDescent="0.25">
      <c r="AT831" s="2" t="str">
        <f>IF($L831="","",IFERROR(INDEX('AR SALES'!$H$2:$H$2501,MATCH(""&amp;$L831,'AR SALES'!$AE$2:$AE$2501,0)),""))</f>
        <v/>
      </c>
      <c r="AU831" s="2" t="str">
        <f t="shared" si="48"/>
        <v/>
      </c>
      <c r="AV831" s="2" t="str">
        <f t="shared" si="49"/>
        <v/>
      </c>
      <c r="AW831" s="2" t="str">
        <f t="shared" si="50"/>
        <v/>
      </c>
      <c r="AX831" s="2" t="str">
        <f t="shared" si="51"/>
        <v/>
      </c>
      <c r="AY831" s="2" t="str">
        <f>IF($AV831="","",IF(AND($Z831=0,COUNTIF('AR SALES'!$L$2:$L$2501,$L831)=0),"YES",""))</f>
        <v/>
      </c>
      <c r="AZ831" s="2" t="str">
        <f>IF($AV831="","",IF(COUNTIF(LISTS!$C$2:$C$250,$AU831)=0,"NEW",""))</f>
        <v/>
      </c>
      <c r="BA831" s="2" t="str">
        <f>IF(""&amp;$F831&lt;&gt;"4","",IF($AY831="YES","",IF(ROUND(SUMIFS($AE$2:$AE$4001,$L$2:$L$4001,$L831,$F$2:$F$4001,"4")-SUMIFS('AR SALES'!$Y$2:$Y$2501,'AR SALES'!$L$2:$L$2501,$L831,'AR SALES'!$AD$2:$AD$2501,"OFF"),2)=0,"","STALE")))</f>
        <v/>
      </c>
      <c r="BB831" s="2" t="str">
        <f>IF(OR(""&amp;$F831="2",""&amp;$F831="4",""&amp;$F831="G",""&amp;$F831="H"),IF($AY831="YES","",IF($AB831&lt;&gt;0,"",IF(COUNTIFS('AR SALES'!$L$2:$L$2501,$L831,'AR SALES'!$AD$2:$AD$2501,IF(""&amp;$F831="4","OFF","ON"),'AR SALES'!$AF$2:$AF$2501,"Y")&gt;0,"","NO EXEMPTION"))),"")</f>
        <v/>
      </c>
    </row>
    <row r="832" spans="46:54" x14ac:dyDescent="0.25">
      <c r="AT832" s="2" t="str">
        <f>IF($L832="","",IFERROR(INDEX('AR SALES'!$H$2:$H$2501,MATCH(""&amp;$L832,'AR SALES'!$AE$2:$AE$2501,0)),""))</f>
        <v/>
      </c>
      <c r="AU832" s="2" t="str">
        <f t="shared" si="48"/>
        <v/>
      </c>
      <c r="AV832" s="2" t="str">
        <f t="shared" si="49"/>
        <v/>
      </c>
      <c r="AW832" s="2" t="str">
        <f t="shared" si="50"/>
        <v/>
      </c>
      <c r="AX832" s="2" t="str">
        <f t="shared" si="51"/>
        <v/>
      </c>
      <c r="AY832" s="2" t="str">
        <f>IF($AV832="","",IF(AND($Z832=0,COUNTIF('AR SALES'!$L$2:$L$2501,$L832)=0),"YES",""))</f>
        <v/>
      </c>
      <c r="AZ832" s="2" t="str">
        <f>IF($AV832="","",IF(COUNTIF(LISTS!$C$2:$C$250,$AU832)=0,"NEW",""))</f>
        <v/>
      </c>
      <c r="BA832" s="2" t="str">
        <f>IF(""&amp;$F832&lt;&gt;"4","",IF($AY832="YES","",IF(ROUND(SUMIFS($AE$2:$AE$4001,$L$2:$L$4001,$L832,$F$2:$F$4001,"4")-SUMIFS('AR SALES'!$Y$2:$Y$2501,'AR SALES'!$L$2:$L$2501,$L832,'AR SALES'!$AD$2:$AD$2501,"OFF"),2)=0,"","STALE")))</f>
        <v/>
      </c>
      <c r="BB832" s="2" t="str">
        <f>IF(OR(""&amp;$F832="2",""&amp;$F832="4",""&amp;$F832="G",""&amp;$F832="H"),IF($AY832="YES","",IF($AB832&lt;&gt;0,"",IF(COUNTIFS('AR SALES'!$L$2:$L$2501,$L832,'AR SALES'!$AD$2:$AD$2501,IF(""&amp;$F832="4","OFF","ON"),'AR SALES'!$AF$2:$AF$2501,"Y")&gt;0,"","NO EXEMPTION"))),"")</f>
        <v/>
      </c>
    </row>
    <row r="833" spans="46:54" x14ac:dyDescent="0.25">
      <c r="AT833" s="2" t="str">
        <f>IF($L833="","",IFERROR(INDEX('AR SALES'!$H$2:$H$2501,MATCH(""&amp;$L833,'AR SALES'!$AE$2:$AE$2501,0)),""))</f>
        <v/>
      </c>
      <c r="AU833" s="2" t="str">
        <f t="shared" si="48"/>
        <v/>
      </c>
      <c r="AV833" s="2" t="str">
        <f t="shared" si="49"/>
        <v/>
      </c>
      <c r="AW833" s="2" t="str">
        <f t="shared" si="50"/>
        <v/>
      </c>
      <c r="AX833" s="2" t="str">
        <f t="shared" si="51"/>
        <v/>
      </c>
      <c r="AY833" s="2" t="str">
        <f>IF($AV833="","",IF(AND($Z833=0,COUNTIF('AR SALES'!$L$2:$L$2501,$L833)=0),"YES",""))</f>
        <v/>
      </c>
      <c r="AZ833" s="2" t="str">
        <f>IF($AV833="","",IF(COUNTIF(LISTS!$C$2:$C$250,$AU833)=0,"NEW",""))</f>
        <v/>
      </c>
      <c r="BA833" s="2" t="str">
        <f>IF(""&amp;$F833&lt;&gt;"4","",IF($AY833="YES","",IF(ROUND(SUMIFS($AE$2:$AE$4001,$L$2:$L$4001,$L833,$F$2:$F$4001,"4")-SUMIFS('AR SALES'!$Y$2:$Y$2501,'AR SALES'!$L$2:$L$2501,$L833,'AR SALES'!$AD$2:$AD$2501,"OFF"),2)=0,"","STALE")))</f>
        <v/>
      </c>
      <c r="BB833" s="2" t="str">
        <f>IF(OR(""&amp;$F833="2",""&amp;$F833="4",""&amp;$F833="G",""&amp;$F833="H"),IF($AY833="YES","",IF($AB833&lt;&gt;0,"",IF(COUNTIFS('AR SALES'!$L$2:$L$2501,$L833,'AR SALES'!$AD$2:$AD$2501,IF(""&amp;$F833="4","OFF","ON"),'AR SALES'!$AF$2:$AF$2501,"Y")&gt;0,"","NO EXEMPTION"))),"")</f>
        <v/>
      </c>
    </row>
    <row r="834" spans="46:54" x14ac:dyDescent="0.25">
      <c r="AT834" s="2" t="str">
        <f>IF($L834="","",IFERROR(INDEX('AR SALES'!$H$2:$H$2501,MATCH(""&amp;$L834,'AR SALES'!$AE$2:$AE$2501,0)),""))</f>
        <v/>
      </c>
      <c r="AU834" s="2" t="str">
        <f t="shared" ref="AU834:AU897" si="52">IF($L834="","",IF($A834&lt;&gt;"GA","",IF($E834="FULTON",IF(ISNUMBER(SEARCH("COLLEGE PARK",$AT834)),"FULTON (COLLEGE PARK)",IF(ISNUMBER(SEARCH("ATLANTA CITY",$AT834)),"FULTON (ATL LIMITS)","FULTON")),IF($E834="DEKALB",IF(ISNUMBER(SEARCH("ATLANTA CITY",$AT834)),"DEKALB (ATL LIMITS)","DEKALB"),$E834))))</f>
        <v/>
      </c>
      <c r="AV834" s="2" t="str">
        <f t="shared" ref="AV834:AV897" si="53">IF($L834="","",IF(""&amp;$F834="2","DIESEL",IF(OR(""&amp;$F834="G",""&amp;$F834="H"),"GAS","")))</f>
        <v/>
      </c>
      <c r="AW834" s="2" t="str">
        <f t="shared" ref="AW834:AW897" si="54">IF($AV834="","",$R834)</f>
        <v/>
      </c>
      <c r="AX834" s="2" t="str">
        <f t="shared" ref="AX834:AX897" si="55">IF($AV834="","",IF($AB834=0,$R834,0))</f>
        <v/>
      </c>
      <c r="AY834" s="2" t="str">
        <f>IF($AV834="","",IF(AND($Z834=0,COUNTIF('AR SALES'!$L$2:$L$2501,$L834)=0),"YES",""))</f>
        <v/>
      </c>
      <c r="AZ834" s="2" t="str">
        <f>IF($AV834="","",IF(COUNTIF(LISTS!$C$2:$C$250,$AU834)=0,"NEW",""))</f>
        <v/>
      </c>
      <c r="BA834" s="2" t="str">
        <f>IF(""&amp;$F834&lt;&gt;"4","",IF($AY834="YES","",IF(ROUND(SUMIFS($AE$2:$AE$4001,$L$2:$L$4001,$L834,$F$2:$F$4001,"4")-SUMIFS('AR SALES'!$Y$2:$Y$2501,'AR SALES'!$L$2:$L$2501,$L834,'AR SALES'!$AD$2:$AD$2501,"OFF"),2)=0,"","STALE")))</f>
        <v/>
      </c>
      <c r="BB834" s="2" t="str">
        <f>IF(OR(""&amp;$F834="2",""&amp;$F834="4",""&amp;$F834="G",""&amp;$F834="H"),IF($AY834="YES","",IF($AB834&lt;&gt;0,"",IF(COUNTIFS('AR SALES'!$L$2:$L$2501,$L834,'AR SALES'!$AD$2:$AD$2501,IF(""&amp;$F834="4","OFF","ON"),'AR SALES'!$AF$2:$AF$2501,"Y")&gt;0,"","NO EXEMPTION"))),"")</f>
        <v/>
      </c>
    </row>
    <row r="835" spans="46:54" x14ac:dyDescent="0.25">
      <c r="AT835" s="2" t="str">
        <f>IF($L835="","",IFERROR(INDEX('AR SALES'!$H$2:$H$2501,MATCH(""&amp;$L835,'AR SALES'!$AE$2:$AE$2501,0)),""))</f>
        <v/>
      </c>
      <c r="AU835" s="2" t="str">
        <f t="shared" si="52"/>
        <v/>
      </c>
      <c r="AV835" s="2" t="str">
        <f t="shared" si="53"/>
        <v/>
      </c>
      <c r="AW835" s="2" t="str">
        <f t="shared" si="54"/>
        <v/>
      </c>
      <c r="AX835" s="2" t="str">
        <f t="shared" si="55"/>
        <v/>
      </c>
      <c r="AY835" s="2" t="str">
        <f>IF($AV835="","",IF(AND($Z835=0,COUNTIF('AR SALES'!$L$2:$L$2501,$L835)=0),"YES",""))</f>
        <v/>
      </c>
      <c r="AZ835" s="2" t="str">
        <f>IF($AV835="","",IF(COUNTIF(LISTS!$C$2:$C$250,$AU835)=0,"NEW",""))</f>
        <v/>
      </c>
      <c r="BA835" s="2" t="str">
        <f>IF(""&amp;$F835&lt;&gt;"4","",IF($AY835="YES","",IF(ROUND(SUMIFS($AE$2:$AE$4001,$L$2:$L$4001,$L835,$F$2:$F$4001,"4")-SUMIFS('AR SALES'!$Y$2:$Y$2501,'AR SALES'!$L$2:$L$2501,$L835,'AR SALES'!$AD$2:$AD$2501,"OFF"),2)=0,"","STALE")))</f>
        <v/>
      </c>
      <c r="BB835" s="2" t="str">
        <f>IF(OR(""&amp;$F835="2",""&amp;$F835="4",""&amp;$F835="G",""&amp;$F835="H"),IF($AY835="YES","",IF($AB835&lt;&gt;0,"",IF(COUNTIFS('AR SALES'!$L$2:$L$2501,$L835,'AR SALES'!$AD$2:$AD$2501,IF(""&amp;$F835="4","OFF","ON"),'AR SALES'!$AF$2:$AF$2501,"Y")&gt;0,"","NO EXEMPTION"))),"")</f>
        <v/>
      </c>
    </row>
    <row r="836" spans="46:54" x14ac:dyDescent="0.25">
      <c r="AT836" s="2" t="str">
        <f>IF($L836="","",IFERROR(INDEX('AR SALES'!$H$2:$H$2501,MATCH(""&amp;$L836,'AR SALES'!$AE$2:$AE$2501,0)),""))</f>
        <v/>
      </c>
      <c r="AU836" s="2" t="str">
        <f t="shared" si="52"/>
        <v/>
      </c>
      <c r="AV836" s="2" t="str">
        <f t="shared" si="53"/>
        <v/>
      </c>
      <c r="AW836" s="2" t="str">
        <f t="shared" si="54"/>
        <v/>
      </c>
      <c r="AX836" s="2" t="str">
        <f t="shared" si="55"/>
        <v/>
      </c>
      <c r="AY836" s="2" t="str">
        <f>IF($AV836="","",IF(AND($Z836=0,COUNTIF('AR SALES'!$L$2:$L$2501,$L836)=0),"YES",""))</f>
        <v/>
      </c>
      <c r="AZ836" s="2" t="str">
        <f>IF($AV836="","",IF(COUNTIF(LISTS!$C$2:$C$250,$AU836)=0,"NEW",""))</f>
        <v/>
      </c>
      <c r="BA836" s="2" t="str">
        <f>IF(""&amp;$F836&lt;&gt;"4","",IF($AY836="YES","",IF(ROUND(SUMIFS($AE$2:$AE$4001,$L$2:$L$4001,$L836,$F$2:$F$4001,"4")-SUMIFS('AR SALES'!$Y$2:$Y$2501,'AR SALES'!$L$2:$L$2501,$L836,'AR SALES'!$AD$2:$AD$2501,"OFF"),2)=0,"","STALE")))</f>
        <v/>
      </c>
      <c r="BB836" s="2" t="str">
        <f>IF(OR(""&amp;$F836="2",""&amp;$F836="4",""&amp;$F836="G",""&amp;$F836="H"),IF($AY836="YES","",IF($AB836&lt;&gt;0,"",IF(COUNTIFS('AR SALES'!$L$2:$L$2501,$L836,'AR SALES'!$AD$2:$AD$2501,IF(""&amp;$F836="4","OFF","ON"),'AR SALES'!$AF$2:$AF$2501,"Y")&gt;0,"","NO EXEMPTION"))),"")</f>
        <v/>
      </c>
    </row>
    <row r="837" spans="46:54" x14ac:dyDescent="0.25">
      <c r="AT837" s="2" t="str">
        <f>IF($L837="","",IFERROR(INDEX('AR SALES'!$H$2:$H$2501,MATCH(""&amp;$L837,'AR SALES'!$AE$2:$AE$2501,0)),""))</f>
        <v/>
      </c>
      <c r="AU837" s="2" t="str">
        <f t="shared" si="52"/>
        <v/>
      </c>
      <c r="AV837" s="2" t="str">
        <f t="shared" si="53"/>
        <v/>
      </c>
      <c r="AW837" s="2" t="str">
        <f t="shared" si="54"/>
        <v/>
      </c>
      <c r="AX837" s="2" t="str">
        <f t="shared" si="55"/>
        <v/>
      </c>
      <c r="AY837" s="2" t="str">
        <f>IF($AV837="","",IF(AND($Z837=0,COUNTIF('AR SALES'!$L$2:$L$2501,$L837)=0),"YES",""))</f>
        <v/>
      </c>
      <c r="AZ837" s="2" t="str">
        <f>IF($AV837="","",IF(COUNTIF(LISTS!$C$2:$C$250,$AU837)=0,"NEW",""))</f>
        <v/>
      </c>
      <c r="BA837" s="2" t="str">
        <f>IF(""&amp;$F837&lt;&gt;"4","",IF($AY837="YES","",IF(ROUND(SUMIFS($AE$2:$AE$4001,$L$2:$L$4001,$L837,$F$2:$F$4001,"4")-SUMIFS('AR SALES'!$Y$2:$Y$2501,'AR SALES'!$L$2:$L$2501,$L837,'AR SALES'!$AD$2:$AD$2501,"OFF"),2)=0,"","STALE")))</f>
        <v/>
      </c>
      <c r="BB837" s="2" t="str">
        <f>IF(OR(""&amp;$F837="2",""&amp;$F837="4",""&amp;$F837="G",""&amp;$F837="H"),IF($AY837="YES","",IF($AB837&lt;&gt;0,"",IF(COUNTIFS('AR SALES'!$L$2:$L$2501,$L837,'AR SALES'!$AD$2:$AD$2501,IF(""&amp;$F837="4","OFF","ON"),'AR SALES'!$AF$2:$AF$2501,"Y")&gt;0,"","NO EXEMPTION"))),"")</f>
        <v/>
      </c>
    </row>
    <row r="838" spans="46:54" x14ac:dyDescent="0.25">
      <c r="AT838" s="2" t="str">
        <f>IF($L838="","",IFERROR(INDEX('AR SALES'!$H$2:$H$2501,MATCH(""&amp;$L838,'AR SALES'!$AE$2:$AE$2501,0)),""))</f>
        <v/>
      </c>
      <c r="AU838" s="2" t="str">
        <f t="shared" si="52"/>
        <v/>
      </c>
      <c r="AV838" s="2" t="str">
        <f t="shared" si="53"/>
        <v/>
      </c>
      <c r="AW838" s="2" t="str">
        <f t="shared" si="54"/>
        <v/>
      </c>
      <c r="AX838" s="2" t="str">
        <f t="shared" si="55"/>
        <v/>
      </c>
      <c r="AY838" s="2" t="str">
        <f>IF($AV838="","",IF(AND($Z838=0,COUNTIF('AR SALES'!$L$2:$L$2501,$L838)=0),"YES",""))</f>
        <v/>
      </c>
      <c r="AZ838" s="2" t="str">
        <f>IF($AV838="","",IF(COUNTIF(LISTS!$C$2:$C$250,$AU838)=0,"NEW",""))</f>
        <v/>
      </c>
      <c r="BA838" s="2" t="str">
        <f>IF(""&amp;$F838&lt;&gt;"4","",IF($AY838="YES","",IF(ROUND(SUMIFS($AE$2:$AE$4001,$L$2:$L$4001,$L838,$F$2:$F$4001,"4")-SUMIFS('AR SALES'!$Y$2:$Y$2501,'AR SALES'!$L$2:$L$2501,$L838,'AR SALES'!$AD$2:$AD$2501,"OFF"),2)=0,"","STALE")))</f>
        <v/>
      </c>
      <c r="BB838" s="2" t="str">
        <f>IF(OR(""&amp;$F838="2",""&amp;$F838="4",""&amp;$F838="G",""&amp;$F838="H"),IF($AY838="YES","",IF($AB838&lt;&gt;0,"",IF(COUNTIFS('AR SALES'!$L$2:$L$2501,$L838,'AR SALES'!$AD$2:$AD$2501,IF(""&amp;$F838="4","OFF","ON"),'AR SALES'!$AF$2:$AF$2501,"Y")&gt;0,"","NO EXEMPTION"))),"")</f>
        <v/>
      </c>
    </row>
    <row r="839" spans="46:54" x14ac:dyDescent="0.25">
      <c r="AT839" s="2" t="str">
        <f>IF($L839="","",IFERROR(INDEX('AR SALES'!$H$2:$H$2501,MATCH(""&amp;$L839,'AR SALES'!$AE$2:$AE$2501,0)),""))</f>
        <v/>
      </c>
      <c r="AU839" s="2" t="str">
        <f t="shared" si="52"/>
        <v/>
      </c>
      <c r="AV839" s="2" t="str">
        <f t="shared" si="53"/>
        <v/>
      </c>
      <c r="AW839" s="2" t="str">
        <f t="shared" si="54"/>
        <v/>
      </c>
      <c r="AX839" s="2" t="str">
        <f t="shared" si="55"/>
        <v/>
      </c>
      <c r="AY839" s="2" t="str">
        <f>IF($AV839="","",IF(AND($Z839=0,COUNTIF('AR SALES'!$L$2:$L$2501,$L839)=0),"YES",""))</f>
        <v/>
      </c>
      <c r="AZ839" s="2" t="str">
        <f>IF($AV839="","",IF(COUNTIF(LISTS!$C$2:$C$250,$AU839)=0,"NEW",""))</f>
        <v/>
      </c>
      <c r="BA839" s="2" t="str">
        <f>IF(""&amp;$F839&lt;&gt;"4","",IF($AY839="YES","",IF(ROUND(SUMIFS($AE$2:$AE$4001,$L$2:$L$4001,$L839,$F$2:$F$4001,"4")-SUMIFS('AR SALES'!$Y$2:$Y$2501,'AR SALES'!$L$2:$L$2501,$L839,'AR SALES'!$AD$2:$AD$2501,"OFF"),2)=0,"","STALE")))</f>
        <v/>
      </c>
      <c r="BB839" s="2" t="str">
        <f>IF(OR(""&amp;$F839="2",""&amp;$F839="4",""&amp;$F839="G",""&amp;$F839="H"),IF($AY839="YES","",IF($AB839&lt;&gt;0,"",IF(COUNTIFS('AR SALES'!$L$2:$L$2501,$L839,'AR SALES'!$AD$2:$AD$2501,IF(""&amp;$F839="4","OFF","ON"),'AR SALES'!$AF$2:$AF$2501,"Y")&gt;0,"","NO EXEMPTION"))),"")</f>
        <v/>
      </c>
    </row>
    <row r="840" spans="46:54" x14ac:dyDescent="0.25">
      <c r="AT840" s="2" t="str">
        <f>IF($L840="","",IFERROR(INDEX('AR SALES'!$H$2:$H$2501,MATCH(""&amp;$L840,'AR SALES'!$AE$2:$AE$2501,0)),""))</f>
        <v/>
      </c>
      <c r="AU840" s="2" t="str">
        <f t="shared" si="52"/>
        <v/>
      </c>
      <c r="AV840" s="2" t="str">
        <f t="shared" si="53"/>
        <v/>
      </c>
      <c r="AW840" s="2" t="str">
        <f t="shared" si="54"/>
        <v/>
      </c>
      <c r="AX840" s="2" t="str">
        <f t="shared" si="55"/>
        <v/>
      </c>
      <c r="AY840" s="2" t="str">
        <f>IF($AV840="","",IF(AND($Z840=0,COUNTIF('AR SALES'!$L$2:$L$2501,$L840)=0),"YES",""))</f>
        <v/>
      </c>
      <c r="AZ840" s="2" t="str">
        <f>IF($AV840="","",IF(COUNTIF(LISTS!$C$2:$C$250,$AU840)=0,"NEW",""))</f>
        <v/>
      </c>
      <c r="BA840" s="2" t="str">
        <f>IF(""&amp;$F840&lt;&gt;"4","",IF($AY840="YES","",IF(ROUND(SUMIFS($AE$2:$AE$4001,$L$2:$L$4001,$L840,$F$2:$F$4001,"4")-SUMIFS('AR SALES'!$Y$2:$Y$2501,'AR SALES'!$L$2:$L$2501,$L840,'AR SALES'!$AD$2:$AD$2501,"OFF"),2)=0,"","STALE")))</f>
        <v/>
      </c>
      <c r="BB840" s="2" t="str">
        <f>IF(OR(""&amp;$F840="2",""&amp;$F840="4",""&amp;$F840="G",""&amp;$F840="H"),IF($AY840="YES","",IF($AB840&lt;&gt;0,"",IF(COUNTIFS('AR SALES'!$L$2:$L$2501,$L840,'AR SALES'!$AD$2:$AD$2501,IF(""&amp;$F840="4","OFF","ON"),'AR SALES'!$AF$2:$AF$2501,"Y")&gt;0,"","NO EXEMPTION"))),"")</f>
        <v/>
      </c>
    </row>
    <row r="841" spans="46:54" x14ac:dyDescent="0.25">
      <c r="AT841" s="2" t="str">
        <f>IF($L841="","",IFERROR(INDEX('AR SALES'!$H$2:$H$2501,MATCH(""&amp;$L841,'AR SALES'!$AE$2:$AE$2501,0)),""))</f>
        <v/>
      </c>
      <c r="AU841" s="2" t="str">
        <f t="shared" si="52"/>
        <v/>
      </c>
      <c r="AV841" s="2" t="str">
        <f t="shared" si="53"/>
        <v/>
      </c>
      <c r="AW841" s="2" t="str">
        <f t="shared" si="54"/>
        <v/>
      </c>
      <c r="AX841" s="2" t="str">
        <f t="shared" si="55"/>
        <v/>
      </c>
      <c r="AY841" s="2" t="str">
        <f>IF($AV841="","",IF(AND($Z841=0,COUNTIF('AR SALES'!$L$2:$L$2501,$L841)=0),"YES",""))</f>
        <v/>
      </c>
      <c r="AZ841" s="2" t="str">
        <f>IF($AV841="","",IF(COUNTIF(LISTS!$C$2:$C$250,$AU841)=0,"NEW",""))</f>
        <v/>
      </c>
      <c r="BA841" s="2" t="str">
        <f>IF(""&amp;$F841&lt;&gt;"4","",IF($AY841="YES","",IF(ROUND(SUMIFS($AE$2:$AE$4001,$L$2:$L$4001,$L841,$F$2:$F$4001,"4")-SUMIFS('AR SALES'!$Y$2:$Y$2501,'AR SALES'!$L$2:$L$2501,$L841,'AR SALES'!$AD$2:$AD$2501,"OFF"),2)=0,"","STALE")))</f>
        <v/>
      </c>
      <c r="BB841" s="2" t="str">
        <f>IF(OR(""&amp;$F841="2",""&amp;$F841="4",""&amp;$F841="G",""&amp;$F841="H"),IF($AY841="YES","",IF($AB841&lt;&gt;0,"",IF(COUNTIFS('AR SALES'!$L$2:$L$2501,$L841,'AR SALES'!$AD$2:$AD$2501,IF(""&amp;$F841="4","OFF","ON"),'AR SALES'!$AF$2:$AF$2501,"Y")&gt;0,"","NO EXEMPTION"))),"")</f>
        <v/>
      </c>
    </row>
    <row r="842" spans="46:54" x14ac:dyDescent="0.25">
      <c r="AT842" s="2" t="str">
        <f>IF($L842="","",IFERROR(INDEX('AR SALES'!$H$2:$H$2501,MATCH(""&amp;$L842,'AR SALES'!$AE$2:$AE$2501,0)),""))</f>
        <v/>
      </c>
      <c r="AU842" s="2" t="str">
        <f t="shared" si="52"/>
        <v/>
      </c>
      <c r="AV842" s="2" t="str">
        <f t="shared" si="53"/>
        <v/>
      </c>
      <c r="AW842" s="2" t="str">
        <f t="shared" si="54"/>
        <v/>
      </c>
      <c r="AX842" s="2" t="str">
        <f t="shared" si="55"/>
        <v/>
      </c>
      <c r="AY842" s="2" t="str">
        <f>IF($AV842="","",IF(AND($Z842=0,COUNTIF('AR SALES'!$L$2:$L$2501,$L842)=0),"YES",""))</f>
        <v/>
      </c>
      <c r="AZ842" s="2" t="str">
        <f>IF($AV842="","",IF(COUNTIF(LISTS!$C$2:$C$250,$AU842)=0,"NEW",""))</f>
        <v/>
      </c>
      <c r="BA842" s="2" t="str">
        <f>IF(""&amp;$F842&lt;&gt;"4","",IF($AY842="YES","",IF(ROUND(SUMIFS($AE$2:$AE$4001,$L$2:$L$4001,$L842,$F$2:$F$4001,"4")-SUMIFS('AR SALES'!$Y$2:$Y$2501,'AR SALES'!$L$2:$L$2501,$L842,'AR SALES'!$AD$2:$AD$2501,"OFF"),2)=0,"","STALE")))</f>
        <v/>
      </c>
      <c r="BB842" s="2" t="str">
        <f>IF(OR(""&amp;$F842="2",""&amp;$F842="4",""&amp;$F842="G",""&amp;$F842="H"),IF($AY842="YES","",IF($AB842&lt;&gt;0,"",IF(COUNTIFS('AR SALES'!$L$2:$L$2501,$L842,'AR SALES'!$AD$2:$AD$2501,IF(""&amp;$F842="4","OFF","ON"),'AR SALES'!$AF$2:$AF$2501,"Y")&gt;0,"","NO EXEMPTION"))),"")</f>
        <v/>
      </c>
    </row>
    <row r="843" spans="46:54" x14ac:dyDescent="0.25">
      <c r="AT843" s="2" t="str">
        <f>IF($L843="","",IFERROR(INDEX('AR SALES'!$H$2:$H$2501,MATCH(""&amp;$L843,'AR SALES'!$AE$2:$AE$2501,0)),""))</f>
        <v/>
      </c>
      <c r="AU843" s="2" t="str">
        <f t="shared" si="52"/>
        <v/>
      </c>
      <c r="AV843" s="2" t="str">
        <f t="shared" si="53"/>
        <v/>
      </c>
      <c r="AW843" s="2" t="str">
        <f t="shared" si="54"/>
        <v/>
      </c>
      <c r="AX843" s="2" t="str">
        <f t="shared" si="55"/>
        <v/>
      </c>
      <c r="AY843" s="2" t="str">
        <f>IF($AV843="","",IF(AND($Z843=0,COUNTIF('AR SALES'!$L$2:$L$2501,$L843)=0),"YES",""))</f>
        <v/>
      </c>
      <c r="AZ843" s="2" t="str">
        <f>IF($AV843="","",IF(COUNTIF(LISTS!$C$2:$C$250,$AU843)=0,"NEW",""))</f>
        <v/>
      </c>
      <c r="BA843" s="2" t="str">
        <f>IF(""&amp;$F843&lt;&gt;"4","",IF($AY843="YES","",IF(ROUND(SUMIFS($AE$2:$AE$4001,$L$2:$L$4001,$L843,$F$2:$F$4001,"4")-SUMIFS('AR SALES'!$Y$2:$Y$2501,'AR SALES'!$L$2:$L$2501,$L843,'AR SALES'!$AD$2:$AD$2501,"OFF"),2)=0,"","STALE")))</f>
        <v/>
      </c>
      <c r="BB843" s="2" t="str">
        <f>IF(OR(""&amp;$F843="2",""&amp;$F843="4",""&amp;$F843="G",""&amp;$F843="H"),IF($AY843="YES","",IF($AB843&lt;&gt;0,"",IF(COUNTIFS('AR SALES'!$L$2:$L$2501,$L843,'AR SALES'!$AD$2:$AD$2501,IF(""&amp;$F843="4","OFF","ON"),'AR SALES'!$AF$2:$AF$2501,"Y")&gt;0,"","NO EXEMPTION"))),"")</f>
        <v/>
      </c>
    </row>
    <row r="844" spans="46:54" x14ac:dyDescent="0.25">
      <c r="AT844" s="2" t="str">
        <f>IF($L844="","",IFERROR(INDEX('AR SALES'!$H$2:$H$2501,MATCH(""&amp;$L844,'AR SALES'!$AE$2:$AE$2501,0)),""))</f>
        <v/>
      </c>
      <c r="AU844" s="2" t="str">
        <f t="shared" si="52"/>
        <v/>
      </c>
      <c r="AV844" s="2" t="str">
        <f t="shared" si="53"/>
        <v/>
      </c>
      <c r="AW844" s="2" t="str">
        <f t="shared" si="54"/>
        <v/>
      </c>
      <c r="AX844" s="2" t="str">
        <f t="shared" si="55"/>
        <v/>
      </c>
      <c r="AY844" s="2" t="str">
        <f>IF($AV844="","",IF(AND($Z844=0,COUNTIF('AR SALES'!$L$2:$L$2501,$L844)=0),"YES",""))</f>
        <v/>
      </c>
      <c r="AZ844" s="2" t="str">
        <f>IF($AV844="","",IF(COUNTIF(LISTS!$C$2:$C$250,$AU844)=0,"NEW",""))</f>
        <v/>
      </c>
      <c r="BA844" s="2" t="str">
        <f>IF(""&amp;$F844&lt;&gt;"4","",IF($AY844="YES","",IF(ROUND(SUMIFS($AE$2:$AE$4001,$L$2:$L$4001,$L844,$F$2:$F$4001,"4")-SUMIFS('AR SALES'!$Y$2:$Y$2501,'AR SALES'!$L$2:$L$2501,$L844,'AR SALES'!$AD$2:$AD$2501,"OFF"),2)=0,"","STALE")))</f>
        <v/>
      </c>
      <c r="BB844" s="2" t="str">
        <f>IF(OR(""&amp;$F844="2",""&amp;$F844="4",""&amp;$F844="G",""&amp;$F844="H"),IF($AY844="YES","",IF($AB844&lt;&gt;0,"",IF(COUNTIFS('AR SALES'!$L$2:$L$2501,$L844,'AR SALES'!$AD$2:$AD$2501,IF(""&amp;$F844="4","OFF","ON"),'AR SALES'!$AF$2:$AF$2501,"Y")&gt;0,"","NO EXEMPTION"))),"")</f>
        <v/>
      </c>
    </row>
    <row r="845" spans="46:54" x14ac:dyDescent="0.25">
      <c r="AT845" s="2" t="str">
        <f>IF($L845="","",IFERROR(INDEX('AR SALES'!$H$2:$H$2501,MATCH(""&amp;$L845,'AR SALES'!$AE$2:$AE$2501,0)),""))</f>
        <v/>
      </c>
      <c r="AU845" s="2" t="str">
        <f t="shared" si="52"/>
        <v/>
      </c>
      <c r="AV845" s="2" t="str">
        <f t="shared" si="53"/>
        <v/>
      </c>
      <c r="AW845" s="2" t="str">
        <f t="shared" si="54"/>
        <v/>
      </c>
      <c r="AX845" s="2" t="str">
        <f t="shared" si="55"/>
        <v/>
      </c>
      <c r="AY845" s="2" t="str">
        <f>IF($AV845="","",IF(AND($Z845=0,COUNTIF('AR SALES'!$L$2:$L$2501,$L845)=0),"YES",""))</f>
        <v/>
      </c>
      <c r="AZ845" s="2" t="str">
        <f>IF($AV845="","",IF(COUNTIF(LISTS!$C$2:$C$250,$AU845)=0,"NEW",""))</f>
        <v/>
      </c>
      <c r="BA845" s="2" t="str">
        <f>IF(""&amp;$F845&lt;&gt;"4","",IF($AY845="YES","",IF(ROUND(SUMIFS($AE$2:$AE$4001,$L$2:$L$4001,$L845,$F$2:$F$4001,"4")-SUMIFS('AR SALES'!$Y$2:$Y$2501,'AR SALES'!$L$2:$L$2501,$L845,'AR SALES'!$AD$2:$AD$2501,"OFF"),2)=0,"","STALE")))</f>
        <v/>
      </c>
      <c r="BB845" s="2" t="str">
        <f>IF(OR(""&amp;$F845="2",""&amp;$F845="4",""&amp;$F845="G",""&amp;$F845="H"),IF($AY845="YES","",IF($AB845&lt;&gt;0,"",IF(COUNTIFS('AR SALES'!$L$2:$L$2501,$L845,'AR SALES'!$AD$2:$AD$2501,IF(""&amp;$F845="4","OFF","ON"),'AR SALES'!$AF$2:$AF$2501,"Y")&gt;0,"","NO EXEMPTION"))),"")</f>
        <v/>
      </c>
    </row>
    <row r="846" spans="46:54" x14ac:dyDescent="0.25">
      <c r="AT846" s="2" t="str">
        <f>IF($L846="","",IFERROR(INDEX('AR SALES'!$H$2:$H$2501,MATCH(""&amp;$L846,'AR SALES'!$AE$2:$AE$2501,0)),""))</f>
        <v/>
      </c>
      <c r="AU846" s="2" t="str">
        <f t="shared" si="52"/>
        <v/>
      </c>
      <c r="AV846" s="2" t="str">
        <f t="shared" si="53"/>
        <v/>
      </c>
      <c r="AW846" s="2" t="str">
        <f t="shared" si="54"/>
        <v/>
      </c>
      <c r="AX846" s="2" t="str">
        <f t="shared" si="55"/>
        <v/>
      </c>
      <c r="AY846" s="2" t="str">
        <f>IF($AV846="","",IF(AND($Z846=0,COUNTIF('AR SALES'!$L$2:$L$2501,$L846)=0),"YES",""))</f>
        <v/>
      </c>
      <c r="AZ846" s="2" t="str">
        <f>IF($AV846="","",IF(COUNTIF(LISTS!$C$2:$C$250,$AU846)=0,"NEW",""))</f>
        <v/>
      </c>
      <c r="BA846" s="2" t="str">
        <f>IF(""&amp;$F846&lt;&gt;"4","",IF($AY846="YES","",IF(ROUND(SUMIFS($AE$2:$AE$4001,$L$2:$L$4001,$L846,$F$2:$F$4001,"4")-SUMIFS('AR SALES'!$Y$2:$Y$2501,'AR SALES'!$L$2:$L$2501,$L846,'AR SALES'!$AD$2:$AD$2501,"OFF"),2)=0,"","STALE")))</f>
        <v/>
      </c>
      <c r="BB846" s="2" t="str">
        <f>IF(OR(""&amp;$F846="2",""&amp;$F846="4",""&amp;$F846="G",""&amp;$F846="H"),IF($AY846="YES","",IF($AB846&lt;&gt;0,"",IF(COUNTIFS('AR SALES'!$L$2:$L$2501,$L846,'AR SALES'!$AD$2:$AD$2501,IF(""&amp;$F846="4","OFF","ON"),'AR SALES'!$AF$2:$AF$2501,"Y")&gt;0,"","NO EXEMPTION"))),"")</f>
        <v/>
      </c>
    </row>
    <row r="847" spans="46:54" x14ac:dyDescent="0.25">
      <c r="AT847" s="2" t="str">
        <f>IF($L847="","",IFERROR(INDEX('AR SALES'!$H$2:$H$2501,MATCH(""&amp;$L847,'AR SALES'!$AE$2:$AE$2501,0)),""))</f>
        <v/>
      </c>
      <c r="AU847" s="2" t="str">
        <f t="shared" si="52"/>
        <v/>
      </c>
      <c r="AV847" s="2" t="str">
        <f t="shared" si="53"/>
        <v/>
      </c>
      <c r="AW847" s="2" t="str">
        <f t="shared" si="54"/>
        <v/>
      </c>
      <c r="AX847" s="2" t="str">
        <f t="shared" si="55"/>
        <v/>
      </c>
      <c r="AY847" s="2" t="str">
        <f>IF($AV847="","",IF(AND($Z847=0,COUNTIF('AR SALES'!$L$2:$L$2501,$L847)=0),"YES",""))</f>
        <v/>
      </c>
      <c r="AZ847" s="2" t="str">
        <f>IF($AV847="","",IF(COUNTIF(LISTS!$C$2:$C$250,$AU847)=0,"NEW",""))</f>
        <v/>
      </c>
      <c r="BA847" s="2" t="str">
        <f>IF(""&amp;$F847&lt;&gt;"4","",IF($AY847="YES","",IF(ROUND(SUMIFS($AE$2:$AE$4001,$L$2:$L$4001,$L847,$F$2:$F$4001,"4")-SUMIFS('AR SALES'!$Y$2:$Y$2501,'AR SALES'!$L$2:$L$2501,$L847,'AR SALES'!$AD$2:$AD$2501,"OFF"),2)=0,"","STALE")))</f>
        <v/>
      </c>
      <c r="BB847" s="2" t="str">
        <f>IF(OR(""&amp;$F847="2",""&amp;$F847="4",""&amp;$F847="G",""&amp;$F847="H"),IF($AY847="YES","",IF($AB847&lt;&gt;0,"",IF(COUNTIFS('AR SALES'!$L$2:$L$2501,$L847,'AR SALES'!$AD$2:$AD$2501,IF(""&amp;$F847="4","OFF","ON"),'AR SALES'!$AF$2:$AF$2501,"Y")&gt;0,"","NO EXEMPTION"))),"")</f>
        <v/>
      </c>
    </row>
    <row r="848" spans="46:54" x14ac:dyDescent="0.25">
      <c r="AT848" s="2" t="str">
        <f>IF($L848="","",IFERROR(INDEX('AR SALES'!$H$2:$H$2501,MATCH(""&amp;$L848,'AR SALES'!$AE$2:$AE$2501,0)),""))</f>
        <v/>
      </c>
      <c r="AU848" s="2" t="str">
        <f t="shared" si="52"/>
        <v/>
      </c>
      <c r="AV848" s="2" t="str">
        <f t="shared" si="53"/>
        <v/>
      </c>
      <c r="AW848" s="2" t="str">
        <f t="shared" si="54"/>
        <v/>
      </c>
      <c r="AX848" s="2" t="str">
        <f t="shared" si="55"/>
        <v/>
      </c>
      <c r="AY848" s="2" t="str">
        <f>IF($AV848="","",IF(AND($Z848=0,COUNTIF('AR SALES'!$L$2:$L$2501,$L848)=0),"YES",""))</f>
        <v/>
      </c>
      <c r="AZ848" s="2" t="str">
        <f>IF($AV848="","",IF(COUNTIF(LISTS!$C$2:$C$250,$AU848)=0,"NEW",""))</f>
        <v/>
      </c>
      <c r="BA848" s="2" t="str">
        <f>IF(""&amp;$F848&lt;&gt;"4","",IF($AY848="YES","",IF(ROUND(SUMIFS($AE$2:$AE$4001,$L$2:$L$4001,$L848,$F$2:$F$4001,"4")-SUMIFS('AR SALES'!$Y$2:$Y$2501,'AR SALES'!$L$2:$L$2501,$L848,'AR SALES'!$AD$2:$AD$2501,"OFF"),2)=0,"","STALE")))</f>
        <v/>
      </c>
      <c r="BB848" s="2" t="str">
        <f>IF(OR(""&amp;$F848="2",""&amp;$F848="4",""&amp;$F848="G",""&amp;$F848="H"),IF($AY848="YES","",IF($AB848&lt;&gt;0,"",IF(COUNTIFS('AR SALES'!$L$2:$L$2501,$L848,'AR SALES'!$AD$2:$AD$2501,IF(""&amp;$F848="4","OFF","ON"),'AR SALES'!$AF$2:$AF$2501,"Y")&gt;0,"","NO EXEMPTION"))),"")</f>
        <v/>
      </c>
    </row>
    <row r="849" spans="46:54" x14ac:dyDescent="0.25">
      <c r="AT849" s="2" t="str">
        <f>IF($L849="","",IFERROR(INDEX('AR SALES'!$H$2:$H$2501,MATCH(""&amp;$L849,'AR SALES'!$AE$2:$AE$2501,0)),""))</f>
        <v/>
      </c>
      <c r="AU849" s="2" t="str">
        <f t="shared" si="52"/>
        <v/>
      </c>
      <c r="AV849" s="2" t="str">
        <f t="shared" si="53"/>
        <v/>
      </c>
      <c r="AW849" s="2" t="str">
        <f t="shared" si="54"/>
        <v/>
      </c>
      <c r="AX849" s="2" t="str">
        <f t="shared" si="55"/>
        <v/>
      </c>
      <c r="AY849" s="2" t="str">
        <f>IF($AV849="","",IF(AND($Z849=0,COUNTIF('AR SALES'!$L$2:$L$2501,$L849)=0),"YES",""))</f>
        <v/>
      </c>
      <c r="AZ849" s="2" t="str">
        <f>IF($AV849="","",IF(COUNTIF(LISTS!$C$2:$C$250,$AU849)=0,"NEW",""))</f>
        <v/>
      </c>
      <c r="BA849" s="2" t="str">
        <f>IF(""&amp;$F849&lt;&gt;"4","",IF($AY849="YES","",IF(ROUND(SUMIFS($AE$2:$AE$4001,$L$2:$L$4001,$L849,$F$2:$F$4001,"4")-SUMIFS('AR SALES'!$Y$2:$Y$2501,'AR SALES'!$L$2:$L$2501,$L849,'AR SALES'!$AD$2:$AD$2501,"OFF"),2)=0,"","STALE")))</f>
        <v/>
      </c>
      <c r="BB849" s="2" t="str">
        <f>IF(OR(""&amp;$F849="2",""&amp;$F849="4",""&amp;$F849="G",""&amp;$F849="H"),IF($AY849="YES","",IF($AB849&lt;&gt;0,"",IF(COUNTIFS('AR SALES'!$L$2:$L$2501,$L849,'AR SALES'!$AD$2:$AD$2501,IF(""&amp;$F849="4","OFF","ON"),'AR SALES'!$AF$2:$AF$2501,"Y")&gt;0,"","NO EXEMPTION"))),"")</f>
        <v/>
      </c>
    </row>
    <row r="850" spans="46:54" x14ac:dyDescent="0.25">
      <c r="AT850" s="2" t="str">
        <f>IF($L850="","",IFERROR(INDEX('AR SALES'!$H$2:$H$2501,MATCH(""&amp;$L850,'AR SALES'!$AE$2:$AE$2501,0)),""))</f>
        <v/>
      </c>
      <c r="AU850" s="2" t="str">
        <f t="shared" si="52"/>
        <v/>
      </c>
      <c r="AV850" s="2" t="str">
        <f t="shared" si="53"/>
        <v/>
      </c>
      <c r="AW850" s="2" t="str">
        <f t="shared" si="54"/>
        <v/>
      </c>
      <c r="AX850" s="2" t="str">
        <f t="shared" si="55"/>
        <v/>
      </c>
      <c r="AY850" s="2" t="str">
        <f>IF($AV850="","",IF(AND($Z850=0,COUNTIF('AR SALES'!$L$2:$L$2501,$L850)=0),"YES",""))</f>
        <v/>
      </c>
      <c r="AZ850" s="2" t="str">
        <f>IF($AV850="","",IF(COUNTIF(LISTS!$C$2:$C$250,$AU850)=0,"NEW",""))</f>
        <v/>
      </c>
      <c r="BA850" s="2" t="str">
        <f>IF(""&amp;$F850&lt;&gt;"4","",IF($AY850="YES","",IF(ROUND(SUMIFS($AE$2:$AE$4001,$L$2:$L$4001,$L850,$F$2:$F$4001,"4")-SUMIFS('AR SALES'!$Y$2:$Y$2501,'AR SALES'!$L$2:$L$2501,$L850,'AR SALES'!$AD$2:$AD$2501,"OFF"),2)=0,"","STALE")))</f>
        <v/>
      </c>
      <c r="BB850" s="2" t="str">
        <f>IF(OR(""&amp;$F850="2",""&amp;$F850="4",""&amp;$F850="G",""&amp;$F850="H"),IF($AY850="YES","",IF($AB850&lt;&gt;0,"",IF(COUNTIFS('AR SALES'!$L$2:$L$2501,$L850,'AR SALES'!$AD$2:$AD$2501,IF(""&amp;$F850="4","OFF","ON"),'AR SALES'!$AF$2:$AF$2501,"Y")&gt;0,"","NO EXEMPTION"))),"")</f>
        <v/>
      </c>
    </row>
    <row r="851" spans="46:54" x14ac:dyDescent="0.25">
      <c r="AT851" s="2" t="str">
        <f>IF($L851="","",IFERROR(INDEX('AR SALES'!$H$2:$H$2501,MATCH(""&amp;$L851,'AR SALES'!$AE$2:$AE$2501,0)),""))</f>
        <v/>
      </c>
      <c r="AU851" s="2" t="str">
        <f t="shared" si="52"/>
        <v/>
      </c>
      <c r="AV851" s="2" t="str">
        <f t="shared" si="53"/>
        <v/>
      </c>
      <c r="AW851" s="2" t="str">
        <f t="shared" si="54"/>
        <v/>
      </c>
      <c r="AX851" s="2" t="str">
        <f t="shared" si="55"/>
        <v/>
      </c>
      <c r="AY851" s="2" t="str">
        <f>IF($AV851="","",IF(AND($Z851=0,COUNTIF('AR SALES'!$L$2:$L$2501,$L851)=0),"YES",""))</f>
        <v/>
      </c>
      <c r="AZ851" s="2" t="str">
        <f>IF($AV851="","",IF(COUNTIF(LISTS!$C$2:$C$250,$AU851)=0,"NEW",""))</f>
        <v/>
      </c>
      <c r="BA851" s="2" t="str">
        <f>IF(""&amp;$F851&lt;&gt;"4","",IF($AY851="YES","",IF(ROUND(SUMIFS($AE$2:$AE$4001,$L$2:$L$4001,$L851,$F$2:$F$4001,"4")-SUMIFS('AR SALES'!$Y$2:$Y$2501,'AR SALES'!$L$2:$L$2501,$L851,'AR SALES'!$AD$2:$AD$2501,"OFF"),2)=0,"","STALE")))</f>
        <v/>
      </c>
      <c r="BB851" s="2" t="str">
        <f>IF(OR(""&amp;$F851="2",""&amp;$F851="4",""&amp;$F851="G",""&amp;$F851="H"),IF($AY851="YES","",IF($AB851&lt;&gt;0,"",IF(COUNTIFS('AR SALES'!$L$2:$L$2501,$L851,'AR SALES'!$AD$2:$AD$2501,IF(""&amp;$F851="4","OFF","ON"),'AR SALES'!$AF$2:$AF$2501,"Y")&gt;0,"","NO EXEMPTION"))),"")</f>
        <v/>
      </c>
    </row>
    <row r="852" spans="46:54" x14ac:dyDescent="0.25">
      <c r="AT852" s="2" t="str">
        <f>IF($L852="","",IFERROR(INDEX('AR SALES'!$H$2:$H$2501,MATCH(""&amp;$L852,'AR SALES'!$AE$2:$AE$2501,0)),""))</f>
        <v/>
      </c>
      <c r="AU852" s="2" t="str">
        <f t="shared" si="52"/>
        <v/>
      </c>
      <c r="AV852" s="2" t="str">
        <f t="shared" si="53"/>
        <v/>
      </c>
      <c r="AW852" s="2" t="str">
        <f t="shared" si="54"/>
        <v/>
      </c>
      <c r="AX852" s="2" t="str">
        <f t="shared" si="55"/>
        <v/>
      </c>
      <c r="AY852" s="2" t="str">
        <f>IF($AV852="","",IF(AND($Z852=0,COUNTIF('AR SALES'!$L$2:$L$2501,$L852)=0),"YES",""))</f>
        <v/>
      </c>
      <c r="AZ852" s="2" t="str">
        <f>IF($AV852="","",IF(COUNTIF(LISTS!$C$2:$C$250,$AU852)=0,"NEW",""))</f>
        <v/>
      </c>
      <c r="BA852" s="2" t="str">
        <f>IF(""&amp;$F852&lt;&gt;"4","",IF($AY852="YES","",IF(ROUND(SUMIFS($AE$2:$AE$4001,$L$2:$L$4001,$L852,$F$2:$F$4001,"4")-SUMIFS('AR SALES'!$Y$2:$Y$2501,'AR SALES'!$L$2:$L$2501,$L852,'AR SALES'!$AD$2:$AD$2501,"OFF"),2)=0,"","STALE")))</f>
        <v/>
      </c>
      <c r="BB852" s="2" t="str">
        <f>IF(OR(""&amp;$F852="2",""&amp;$F852="4",""&amp;$F852="G",""&amp;$F852="H"),IF($AY852="YES","",IF($AB852&lt;&gt;0,"",IF(COUNTIFS('AR SALES'!$L$2:$L$2501,$L852,'AR SALES'!$AD$2:$AD$2501,IF(""&amp;$F852="4","OFF","ON"),'AR SALES'!$AF$2:$AF$2501,"Y")&gt;0,"","NO EXEMPTION"))),"")</f>
        <v/>
      </c>
    </row>
    <row r="853" spans="46:54" x14ac:dyDescent="0.25">
      <c r="AT853" s="2" t="str">
        <f>IF($L853="","",IFERROR(INDEX('AR SALES'!$H$2:$H$2501,MATCH(""&amp;$L853,'AR SALES'!$AE$2:$AE$2501,0)),""))</f>
        <v/>
      </c>
      <c r="AU853" s="2" t="str">
        <f t="shared" si="52"/>
        <v/>
      </c>
      <c r="AV853" s="2" t="str">
        <f t="shared" si="53"/>
        <v/>
      </c>
      <c r="AW853" s="2" t="str">
        <f t="shared" si="54"/>
        <v/>
      </c>
      <c r="AX853" s="2" t="str">
        <f t="shared" si="55"/>
        <v/>
      </c>
      <c r="AY853" s="2" t="str">
        <f>IF($AV853="","",IF(AND($Z853=0,COUNTIF('AR SALES'!$L$2:$L$2501,$L853)=0),"YES",""))</f>
        <v/>
      </c>
      <c r="AZ853" s="2" t="str">
        <f>IF($AV853="","",IF(COUNTIF(LISTS!$C$2:$C$250,$AU853)=0,"NEW",""))</f>
        <v/>
      </c>
      <c r="BA853" s="2" t="str">
        <f>IF(""&amp;$F853&lt;&gt;"4","",IF($AY853="YES","",IF(ROUND(SUMIFS($AE$2:$AE$4001,$L$2:$L$4001,$L853,$F$2:$F$4001,"4")-SUMIFS('AR SALES'!$Y$2:$Y$2501,'AR SALES'!$L$2:$L$2501,$L853,'AR SALES'!$AD$2:$AD$2501,"OFF"),2)=0,"","STALE")))</f>
        <v/>
      </c>
      <c r="BB853" s="2" t="str">
        <f>IF(OR(""&amp;$F853="2",""&amp;$F853="4",""&amp;$F853="G",""&amp;$F853="H"),IF($AY853="YES","",IF($AB853&lt;&gt;0,"",IF(COUNTIFS('AR SALES'!$L$2:$L$2501,$L853,'AR SALES'!$AD$2:$AD$2501,IF(""&amp;$F853="4","OFF","ON"),'AR SALES'!$AF$2:$AF$2501,"Y")&gt;0,"","NO EXEMPTION"))),"")</f>
        <v/>
      </c>
    </row>
    <row r="854" spans="46:54" x14ac:dyDescent="0.25">
      <c r="AT854" s="2" t="str">
        <f>IF($L854="","",IFERROR(INDEX('AR SALES'!$H$2:$H$2501,MATCH(""&amp;$L854,'AR SALES'!$AE$2:$AE$2501,0)),""))</f>
        <v/>
      </c>
      <c r="AU854" s="2" t="str">
        <f t="shared" si="52"/>
        <v/>
      </c>
      <c r="AV854" s="2" t="str">
        <f t="shared" si="53"/>
        <v/>
      </c>
      <c r="AW854" s="2" t="str">
        <f t="shared" si="54"/>
        <v/>
      </c>
      <c r="AX854" s="2" t="str">
        <f t="shared" si="55"/>
        <v/>
      </c>
      <c r="AY854" s="2" t="str">
        <f>IF($AV854="","",IF(AND($Z854=0,COUNTIF('AR SALES'!$L$2:$L$2501,$L854)=0),"YES",""))</f>
        <v/>
      </c>
      <c r="AZ854" s="2" t="str">
        <f>IF($AV854="","",IF(COUNTIF(LISTS!$C$2:$C$250,$AU854)=0,"NEW",""))</f>
        <v/>
      </c>
      <c r="BA854" s="2" t="str">
        <f>IF(""&amp;$F854&lt;&gt;"4","",IF($AY854="YES","",IF(ROUND(SUMIFS($AE$2:$AE$4001,$L$2:$L$4001,$L854,$F$2:$F$4001,"4")-SUMIFS('AR SALES'!$Y$2:$Y$2501,'AR SALES'!$L$2:$L$2501,$L854,'AR SALES'!$AD$2:$AD$2501,"OFF"),2)=0,"","STALE")))</f>
        <v/>
      </c>
      <c r="BB854" s="2" t="str">
        <f>IF(OR(""&amp;$F854="2",""&amp;$F854="4",""&amp;$F854="G",""&amp;$F854="H"),IF($AY854="YES","",IF($AB854&lt;&gt;0,"",IF(COUNTIFS('AR SALES'!$L$2:$L$2501,$L854,'AR SALES'!$AD$2:$AD$2501,IF(""&amp;$F854="4","OFF","ON"),'AR SALES'!$AF$2:$AF$2501,"Y")&gt;0,"","NO EXEMPTION"))),"")</f>
        <v/>
      </c>
    </row>
    <row r="855" spans="46:54" x14ac:dyDescent="0.25">
      <c r="AT855" s="2" t="str">
        <f>IF($L855="","",IFERROR(INDEX('AR SALES'!$H$2:$H$2501,MATCH(""&amp;$L855,'AR SALES'!$AE$2:$AE$2501,0)),""))</f>
        <v/>
      </c>
      <c r="AU855" s="2" t="str">
        <f t="shared" si="52"/>
        <v/>
      </c>
      <c r="AV855" s="2" t="str">
        <f t="shared" si="53"/>
        <v/>
      </c>
      <c r="AW855" s="2" t="str">
        <f t="shared" si="54"/>
        <v/>
      </c>
      <c r="AX855" s="2" t="str">
        <f t="shared" si="55"/>
        <v/>
      </c>
      <c r="AY855" s="2" t="str">
        <f>IF($AV855="","",IF(AND($Z855=0,COUNTIF('AR SALES'!$L$2:$L$2501,$L855)=0),"YES",""))</f>
        <v/>
      </c>
      <c r="AZ855" s="2" t="str">
        <f>IF($AV855="","",IF(COUNTIF(LISTS!$C$2:$C$250,$AU855)=0,"NEW",""))</f>
        <v/>
      </c>
      <c r="BA855" s="2" t="str">
        <f>IF(""&amp;$F855&lt;&gt;"4","",IF($AY855="YES","",IF(ROUND(SUMIFS($AE$2:$AE$4001,$L$2:$L$4001,$L855,$F$2:$F$4001,"4")-SUMIFS('AR SALES'!$Y$2:$Y$2501,'AR SALES'!$L$2:$L$2501,$L855,'AR SALES'!$AD$2:$AD$2501,"OFF"),2)=0,"","STALE")))</f>
        <v/>
      </c>
      <c r="BB855" s="2" t="str">
        <f>IF(OR(""&amp;$F855="2",""&amp;$F855="4",""&amp;$F855="G",""&amp;$F855="H"),IF($AY855="YES","",IF($AB855&lt;&gt;0,"",IF(COUNTIFS('AR SALES'!$L$2:$L$2501,$L855,'AR SALES'!$AD$2:$AD$2501,IF(""&amp;$F855="4","OFF","ON"),'AR SALES'!$AF$2:$AF$2501,"Y")&gt;0,"","NO EXEMPTION"))),"")</f>
        <v/>
      </c>
    </row>
    <row r="856" spans="46:54" x14ac:dyDescent="0.25">
      <c r="AT856" s="2" t="str">
        <f>IF($L856="","",IFERROR(INDEX('AR SALES'!$H$2:$H$2501,MATCH(""&amp;$L856,'AR SALES'!$AE$2:$AE$2501,0)),""))</f>
        <v/>
      </c>
      <c r="AU856" s="2" t="str">
        <f t="shared" si="52"/>
        <v/>
      </c>
      <c r="AV856" s="2" t="str">
        <f t="shared" si="53"/>
        <v/>
      </c>
      <c r="AW856" s="2" t="str">
        <f t="shared" si="54"/>
        <v/>
      </c>
      <c r="AX856" s="2" t="str">
        <f t="shared" si="55"/>
        <v/>
      </c>
      <c r="AY856" s="2" t="str">
        <f>IF($AV856="","",IF(AND($Z856=0,COUNTIF('AR SALES'!$L$2:$L$2501,$L856)=0),"YES",""))</f>
        <v/>
      </c>
      <c r="AZ856" s="2" t="str">
        <f>IF($AV856="","",IF(COUNTIF(LISTS!$C$2:$C$250,$AU856)=0,"NEW",""))</f>
        <v/>
      </c>
      <c r="BA856" s="2" t="str">
        <f>IF(""&amp;$F856&lt;&gt;"4","",IF($AY856="YES","",IF(ROUND(SUMIFS($AE$2:$AE$4001,$L$2:$L$4001,$L856,$F$2:$F$4001,"4")-SUMIFS('AR SALES'!$Y$2:$Y$2501,'AR SALES'!$L$2:$L$2501,$L856,'AR SALES'!$AD$2:$AD$2501,"OFF"),2)=0,"","STALE")))</f>
        <v/>
      </c>
      <c r="BB856" s="2" t="str">
        <f>IF(OR(""&amp;$F856="2",""&amp;$F856="4",""&amp;$F856="G",""&amp;$F856="H"),IF($AY856="YES","",IF($AB856&lt;&gt;0,"",IF(COUNTIFS('AR SALES'!$L$2:$L$2501,$L856,'AR SALES'!$AD$2:$AD$2501,IF(""&amp;$F856="4","OFF","ON"),'AR SALES'!$AF$2:$AF$2501,"Y")&gt;0,"","NO EXEMPTION"))),"")</f>
        <v/>
      </c>
    </row>
    <row r="857" spans="46:54" x14ac:dyDescent="0.25">
      <c r="AT857" s="2" t="str">
        <f>IF($L857="","",IFERROR(INDEX('AR SALES'!$H$2:$H$2501,MATCH(""&amp;$L857,'AR SALES'!$AE$2:$AE$2501,0)),""))</f>
        <v/>
      </c>
      <c r="AU857" s="2" t="str">
        <f t="shared" si="52"/>
        <v/>
      </c>
      <c r="AV857" s="2" t="str">
        <f t="shared" si="53"/>
        <v/>
      </c>
      <c r="AW857" s="2" t="str">
        <f t="shared" si="54"/>
        <v/>
      </c>
      <c r="AX857" s="2" t="str">
        <f t="shared" si="55"/>
        <v/>
      </c>
      <c r="AY857" s="2" t="str">
        <f>IF($AV857="","",IF(AND($Z857=0,COUNTIF('AR SALES'!$L$2:$L$2501,$L857)=0),"YES",""))</f>
        <v/>
      </c>
      <c r="AZ857" s="2" t="str">
        <f>IF($AV857="","",IF(COUNTIF(LISTS!$C$2:$C$250,$AU857)=0,"NEW",""))</f>
        <v/>
      </c>
      <c r="BA857" s="2" t="str">
        <f>IF(""&amp;$F857&lt;&gt;"4","",IF($AY857="YES","",IF(ROUND(SUMIFS($AE$2:$AE$4001,$L$2:$L$4001,$L857,$F$2:$F$4001,"4")-SUMIFS('AR SALES'!$Y$2:$Y$2501,'AR SALES'!$L$2:$L$2501,$L857,'AR SALES'!$AD$2:$AD$2501,"OFF"),2)=0,"","STALE")))</f>
        <v/>
      </c>
      <c r="BB857" s="2" t="str">
        <f>IF(OR(""&amp;$F857="2",""&amp;$F857="4",""&amp;$F857="G",""&amp;$F857="H"),IF($AY857="YES","",IF($AB857&lt;&gt;0,"",IF(COUNTIFS('AR SALES'!$L$2:$L$2501,$L857,'AR SALES'!$AD$2:$AD$2501,IF(""&amp;$F857="4","OFF","ON"),'AR SALES'!$AF$2:$AF$2501,"Y")&gt;0,"","NO EXEMPTION"))),"")</f>
        <v/>
      </c>
    </row>
    <row r="858" spans="46:54" x14ac:dyDescent="0.25">
      <c r="AT858" s="2" t="str">
        <f>IF($L858="","",IFERROR(INDEX('AR SALES'!$H$2:$H$2501,MATCH(""&amp;$L858,'AR SALES'!$AE$2:$AE$2501,0)),""))</f>
        <v/>
      </c>
      <c r="AU858" s="2" t="str">
        <f t="shared" si="52"/>
        <v/>
      </c>
      <c r="AV858" s="2" t="str">
        <f t="shared" si="53"/>
        <v/>
      </c>
      <c r="AW858" s="2" t="str">
        <f t="shared" si="54"/>
        <v/>
      </c>
      <c r="AX858" s="2" t="str">
        <f t="shared" si="55"/>
        <v/>
      </c>
      <c r="AY858" s="2" t="str">
        <f>IF($AV858="","",IF(AND($Z858=0,COUNTIF('AR SALES'!$L$2:$L$2501,$L858)=0),"YES",""))</f>
        <v/>
      </c>
      <c r="AZ858" s="2" t="str">
        <f>IF($AV858="","",IF(COUNTIF(LISTS!$C$2:$C$250,$AU858)=0,"NEW",""))</f>
        <v/>
      </c>
      <c r="BA858" s="2" t="str">
        <f>IF(""&amp;$F858&lt;&gt;"4","",IF($AY858="YES","",IF(ROUND(SUMIFS($AE$2:$AE$4001,$L$2:$L$4001,$L858,$F$2:$F$4001,"4")-SUMIFS('AR SALES'!$Y$2:$Y$2501,'AR SALES'!$L$2:$L$2501,$L858,'AR SALES'!$AD$2:$AD$2501,"OFF"),2)=0,"","STALE")))</f>
        <v/>
      </c>
      <c r="BB858" s="2" t="str">
        <f>IF(OR(""&amp;$F858="2",""&amp;$F858="4",""&amp;$F858="G",""&amp;$F858="H"),IF($AY858="YES","",IF($AB858&lt;&gt;0,"",IF(COUNTIFS('AR SALES'!$L$2:$L$2501,$L858,'AR SALES'!$AD$2:$AD$2501,IF(""&amp;$F858="4","OFF","ON"),'AR SALES'!$AF$2:$AF$2501,"Y")&gt;0,"","NO EXEMPTION"))),"")</f>
        <v/>
      </c>
    </row>
    <row r="859" spans="46:54" x14ac:dyDescent="0.25">
      <c r="AT859" s="2" t="str">
        <f>IF($L859="","",IFERROR(INDEX('AR SALES'!$H$2:$H$2501,MATCH(""&amp;$L859,'AR SALES'!$AE$2:$AE$2501,0)),""))</f>
        <v/>
      </c>
      <c r="AU859" s="2" t="str">
        <f t="shared" si="52"/>
        <v/>
      </c>
      <c r="AV859" s="2" t="str">
        <f t="shared" si="53"/>
        <v/>
      </c>
      <c r="AW859" s="2" t="str">
        <f t="shared" si="54"/>
        <v/>
      </c>
      <c r="AX859" s="2" t="str">
        <f t="shared" si="55"/>
        <v/>
      </c>
      <c r="AY859" s="2" t="str">
        <f>IF($AV859="","",IF(AND($Z859=0,COUNTIF('AR SALES'!$L$2:$L$2501,$L859)=0),"YES",""))</f>
        <v/>
      </c>
      <c r="AZ859" s="2" t="str">
        <f>IF($AV859="","",IF(COUNTIF(LISTS!$C$2:$C$250,$AU859)=0,"NEW",""))</f>
        <v/>
      </c>
      <c r="BA859" s="2" t="str">
        <f>IF(""&amp;$F859&lt;&gt;"4","",IF($AY859="YES","",IF(ROUND(SUMIFS($AE$2:$AE$4001,$L$2:$L$4001,$L859,$F$2:$F$4001,"4")-SUMIFS('AR SALES'!$Y$2:$Y$2501,'AR SALES'!$L$2:$L$2501,$L859,'AR SALES'!$AD$2:$AD$2501,"OFF"),2)=0,"","STALE")))</f>
        <v/>
      </c>
      <c r="BB859" s="2" t="str">
        <f>IF(OR(""&amp;$F859="2",""&amp;$F859="4",""&amp;$F859="G",""&amp;$F859="H"),IF($AY859="YES","",IF($AB859&lt;&gt;0,"",IF(COUNTIFS('AR SALES'!$L$2:$L$2501,$L859,'AR SALES'!$AD$2:$AD$2501,IF(""&amp;$F859="4","OFF","ON"),'AR SALES'!$AF$2:$AF$2501,"Y")&gt;0,"","NO EXEMPTION"))),"")</f>
        <v/>
      </c>
    </row>
    <row r="860" spans="46:54" x14ac:dyDescent="0.25">
      <c r="AT860" s="2" t="str">
        <f>IF($L860="","",IFERROR(INDEX('AR SALES'!$H$2:$H$2501,MATCH(""&amp;$L860,'AR SALES'!$AE$2:$AE$2501,0)),""))</f>
        <v/>
      </c>
      <c r="AU860" s="2" t="str">
        <f t="shared" si="52"/>
        <v/>
      </c>
      <c r="AV860" s="2" t="str">
        <f t="shared" si="53"/>
        <v/>
      </c>
      <c r="AW860" s="2" t="str">
        <f t="shared" si="54"/>
        <v/>
      </c>
      <c r="AX860" s="2" t="str">
        <f t="shared" si="55"/>
        <v/>
      </c>
      <c r="AY860" s="2" t="str">
        <f>IF($AV860="","",IF(AND($Z860=0,COUNTIF('AR SALES'!$L$2:$L$2501,$L860)=0),"YES",""))</f>
        <v/>
      </c>
      <c r="AZ860" s="2" t="str">
        <f>IF($AV860="","",IF(COUNTIF(LISTS!$C$2:$C$250,$AU860)=0,"NEW",""))</f>
        <v/>
      </c>
      <c r="BA860" s="2" t="str">
        <f>IF(""&amp;$F860&lt;&gt;"4","",IF($AY860="YES","",IF(ROUND(SUMIFS($AE$2:$AE$4001,$L$2:$L$4001,$L860,$F$2:$F$4001,"4")-SUMIFS('AR SALES'!$Y$2:$Y$2501,'AR SALES'!$L$2:$L$2501,$L860,'AR SALES'!$AD$2:$AD$2501,"OFF"),2)=0,"","STALE")))</f>
        <v/>
      </c>
      <c r="BB860" s="2" t="str">
        <f>IF(OR(""&amp;$F860="2",""&amp;$F860="4",""&amp;$F860="G",""&amp;$F860="H"),IF($AY860="YES","",IF($AB860&lt;&gt;0,"",IF(COUNTIFS('AR SALES'!$L$2:$L$2501,$L860,'AR SALES'!$AD$2:$AD$2501,IF(""&amp;$F860="4","OFF","ON"),'AR SALES'!$AF$2:$AF$2501,"Y")&gt;0,"","NO EXEMPTION"))),"")</f>
        <v/>
      </c>
    </row>
    <row r="861" spans="46:54" x14ac:dyDescent="0.25">
      <c r="AT861" s="2" t="str">
        <f>IF($L861="","",IFERROR(INDEX('AR SALES'!$H$2:$H$2501,MATCH(""&amp;$L861,'AR SALES'!$AE$2:$AE$2501,0)),""))</f>
        <v/>
      </c>
      <c r="AU861" s="2" t="str">
        <f t="shared" si="52"/>
        <v/>
      </c>
      <c r="AV861" s="2" t="str">
        <f t="shared" si="53"/>
        <v/>
      </c>
      <c r="AW861" s="2" t="str">
        <f t="shared" si="54"/>
        <v/>
      </c>
      <c r="AX861" s="2" t="str">
        <f t="shared" si="55"/>
        <v/>
      </c>
      <c r="AY861" s="2" t="str">
        <f>IF($AV861="","",IF(AND($Z861=0,COUNTIF('AR SALES'!$L$2:$L$2501,$L861)=0),"YES",""))</f>
        <v/>
      </c>
      <c r="AZ861" s="2" t="str">
        <f>IF($AV861="","",IF(COUNTIF(LISTS!$C$2:$C$250,$AU861)=0,"NEW",""))</f>
        <v/>
      </c>
      <c r="BA861" s="2" t="str">
        <f>IF(""&amp;$F861&lt;&gt;"4","",IF($AY861="YES","",IF(ROUND(SUMIFS($AE$2:$AE$4001,$L$2:$L$4001,$L861,$F$2:$F$4001,"4")-SUMIFS('AR SALES'!$Y$2:$Y$2501,'AR SALES'!$L$2:$L$2501,$L861,'AR SALES'!$AD$2:$AD$2501,"OFF"),2)=0,"","STALE")))</f>
        <v/>
      </c>
      <c r="BB861" s="2" t="str">
        <f>IF(OR(""&amp;$F861="2",""&amp;$F861="4",""&amp;$F861="G",""&amp;$F861="H"),IF($AY861="YES","",IF($AB861&lt;&gt;0,"",IF(COUNTIFS('AR SALES'!$L$2:$L$2501,$L861,'AR SALES'!$AD$2:$AD$2501,IF(""&amp;$F861="4","OFF","ON"),'AR SALES'!$AF$2:$AF$2501,"Y")&gt;0,"","NO EXEMPTION"))),"")</f>
        <v/>
      </c>
    </row>
    <row r="862" spans="46:54" x14ac:dyDescent="0.25">
      <c r="AT862" s="2" t="str">
        <f>IF($L862="","",IFERROR(INDEX('AR SALES'!$H$2:$H$2501,MATCH(""&amp;$L862,'AR SALES'!$AE$2:$AE$2501,0)),""))</f>
        <v/>
      </c>
      <c r="AU862" s="2" t="str">
        <f t="shared" si="52"/>
        <v/>
      </c>
      <c r="AV862" s="2" t="str">
        <f t="shared" si="53"/>
        <v/>
      </c>
      <c r="AW862" s="2" t="str">
        <f t="shared" si="54"/>
        <v/>
      </c>
      <c r="AX862" s="2" t="str">
        <f t="shared" si="55"/>
        <v/>
      </c>
      <c r="AY862" s="2" t="str">
        <f>IF($AV862="","",IF(AND($Z862=0,COUNTIF('AR SALES'!$L$2:$L$2501,$L862)=0),"YES",""))</f>
        <v/>
      </c>
      <c r="AZ862" s="2" t="str">
        <f>IF($AV862="","",IF(COUNTIF(LISTS!$C$2:$C$250,$AU862)=0,"NEW",""))</f>
        <v/>
      </c>
      <c r="BA862" s="2" t="str">
        <f>IF(""&amp;$F862&lt;&gt;"4","",IF($AY862="YES","",IF(ROUND(SUMIFS($AE$2:$AE$4001,$L$2:$L$4001,$L862,$F$2:$F$4001,"4")-SUMIFS('AR SALES'!$Y$2:$Y$2501,'AR SALES'!$L$2:$L$2501,$L862,'AR SALES'!$AD$2:$AD$2501,"OFF"),2)=0,"","STALE")))</f>
        <v/>
      </c>
      <c r="BB862" s="2" t="str">
        <f>IF(OR(""&amp;$F862="2",""&amp;$F862="4",""&amp;$F862="G",""&amp;$F862="H"),IF($AY862="YES","",IF($AB862&lt;&gt;0,"",IF(COUNTIFS('AR SALES'!$L$2:$L$2501,$L862,'AR SALES'!$AD$2:$AD$2501,IF(""&amp;$F862="4","OFF","ON"),'AR SALES'!$AF$2:$AF$2501,"Y")&gt;0,"","NO EXEMPTION"))),"")</f>
        <v/>
      </c>
    </row>
    <row r="863" spans="46:54" x14ac:dyDescent="0.25">
      <c r="AT863" s="2" t="str">
        <f>IF($L863="","",IFERROR(INDEX('AR SALES'!$H$2:$H$2501,MATCH(""&amp;$L863,'AR SALES'!$AE$2:$AE$2501,0)),""))</f>
        <v/>
      </c>
      <c r="AU863" s="2" t="str">
        <f t="shared" si="52"/>
        <v/>
      </c>
      <c r="AV863" s="2" t="str">
        <f t="shared" si="53"/>
        <v/>
      </c>
      <c r="AW863" s="2" t="str">
        <f t="shared" si="54"/>
        <v/>
      </c>
      <c r="AX863" s="2" t="str">
        <f t="shared" si="55"/>
        <v/>
      </c>
      <c r="AY863" s="2" t="str">
        <f>IF($AV863="","",IF(AND($Z863=0,COUNTIF('AR SALES'!$L$2:$L$2501,$L863)=0),"YES",""))</f>
        <v/>
      </c>
      <c r="AZ863" s="2" t="str">
        <f>IF($AV863="","",IF(COUNTIF(LISTS!$C$2:$C$250,$AU863)=0,"NEW",""))</f>
        <v/>
      </c>
      <c r="BA863" s="2" t="str">
        <f>IF(""&amp;$F863&lt;&gt;"4","",IF($AY863="YES","",IF(ROUND(SUMIFS($AE$2:$AE$4001,$L$2:$L$4001,$L863,$F$2:$F$4001,"4")-SUMIFS('AR SALES'!$Y$2:$Y$2501,'AR SALES'!$L$2:$L$2501,$L863,'AR SALES'!$AD$2:$AD$2501,"OFF"),2)=0,"","STALE")))</f>
        <v/>
      </c>
      <c r="BB863" s="2" t="str">
        <f>IF(OR(""&amp;$F863="2",""&amp;$F863="4",""&amp;$F863="G",""&amp;$F863="H"),IF($AY863="YES","",IF($AB863&lt;&gt;0,"",IF(COUNTIFS('AR SALES'!$L$2:$L$2501,$L863,'AR SALES'!$AD$2:$AD$2501,IF(""&amp;$F863="4","OFF","ON"),'AR SALES'!$AF$2:$AF$2501,"Y")&gt;0,"","NO EXEMPTION"))),"")</f>
        <v/>
      </c>
    </row>
    <row r="864" spans="46:54" x14ac:dyDescent="0.25">
      <c r="AT864" s="2" t="str">
        <f>IF($L864="","",IFERROR(INDEX('AR SALES'!$H$2:$H$2501,MATCH(""&amp;$L864,'AR SALES'!$AE$2:$AE$2501,0)),""))</f>
        <v/>
      </c>
      <c r="AU864" s="2" t="str">
        <f t="shared" si="52"/>
        <v/>
      </c>
      <c r="AV864" s="2" t="str">
        <f t="shared" si="53"/>
        <v/>
      </c>
      <c r="AW864" s="2" t="str">
        <f t="shared" si="54"/>
        <v/>
      </c>
      <c r="AX864" s="2" t="str">
        <f t="shared" si="55"/>
        <v/>
      </c>
      <c r="AY864" s="2" t="str">
        <f>IF($AV864="","",IF(AND($Z864=0,COUNTIF('AR SALES'!$L$2:$L$2501,$L864)=0),"YES",""))</f>
        <v/>
      </c>
      <c r="AZ864" s="2" t="str">
        <f>IF($AV864="","",IF(COUNTIF(LISTS!$C$2:$C$250,$AU864)=0,"NEW",""))</f>
        <v/>
      </c>
      <c r="BA864" s="2" t="str">
        <f>IF(""&amp;$F864&lt;&gt;"4","",IF($AY864="YES","",IF(ROUND(SUMIFS($AE$2:$AE$4001,$L$2:$L$4001,$L864,$F$2:$F$4001,"4")-SUMIFS('AR SALES'!$Y$2:$Y$2501,'AR SALES'!$L$2:$L$2501,$L864,'AR SALES'!$AD$2:$AD$2501,"OFF"),2)=0,"","STALE")))</f>
        <v/>
      </c>
      <c r="BB864" s="2" t="str">
        <f>IF(OR(""&amp;$F864="2",""&amp;$F864="4",""&amp;$F864="G",""&amp;$F864="H"),IF($AY864="YES","",IF($AB864&lt;&gt;0,"",IF(COUNTIFS('AR SALES'!$L$2:$L$2501,$L864,'AR SALES'!$AD$2:$AD$2501,IF(""&amp;$F864="4","OFF","ON"),'AR SALES'!$AF$2:$AF$2501,"Y")&gt;0,"","NO EXEMPTION"))),"")</f>
        <v/>
      </c>
    </row>
    <row r="865" spans="46:54" x14ac:dyDescent="0.25">
      <c r="AT865" s="2" t="str">
        <f>IF($L865="","",IFERROR(INDEX('AR SALES'!$H$2:$H$2501,MATCH(""&amp;$L865,'AR SALES'!$AE$2:$AE$2501,0)),""))</f>
        <v/>
      </c>
      <c r="AU865" s="2" t="str">
        <f t="shared" si="52"/>
        <v/>
      </c>
      <c r="AV865" s="2" t="str">
        <f t="shared" si="53"/>
        <v/>
      </c>
      <c r="AW865" s="2" t="str">
        <f t="shared" si="54"/>
        <v/>
      </c>
      <c r="AX865" s="2" t="str">
        <f t="shared" si="55"/>
        <v/>
      </c>
      <c r="AY865" s="2" t="str">
        <f>IF($AV865="","",IF(AND($Z865=0,COUNTIF('AR SALES'!$L$2:$L$2501,$L865)=0),"YES",""))</f>
        <v/>
      </c>
      <c r="AZ865" s="2" t="str">
        <f>IF($AV865="","",IF(COUNTIF(LISTS!$C$2:$C$250,$AU865)=0,"NEW",""))</f>
        <v/>
      </c>
      <c r="BA865" s="2" t="str">
        <f>IF(""&amp;$F865&lt;&gt;"4","",IF($AY865="YES","",IF(ROUND(SUMIFS($AE$2:$AE$4001,$L$2:$L$4001,$L865,$F$2:$F$4001,"4")-SUMIFS('AR SALES'!$Y$2:$Y$2501,'AR SALES'!$L$2:$L$2501,$L865,'AR SALES'!$AD$2:$AD$2501,"OFF"),2)=0,"","STALE")))</f>
        <v/>
      </c>
      <c r="BB865" s="2" t="str">
        <f>IF(OR(""&amp;$F865="2",""&amp;$F865="4",""&amp;$F865="G",""&amp;$F865="H"),IF($AY865="YES","",IF($AB865&lt;&gt;0,"",IF(COUNTIFS('AR SALES'!$L$2:$L$2501,$L865,'AR SALES'!$AD$2:$AD$2501,IF(""&amp;$F865="4","OFF","ON"),'AR SALES'!$AF$2:$AF$2501,"Y")&gt;0,"","NO EXEMPTION"))),"")</f>
        <v/>
      </c>
    </row>
    <row r="866" spans="46:54" x14ac:dyDescent="0.25">
      <c r="AT866" s="2" t="str">
        <f>IF($L866="","",IFERROR(INDEX('AR SALES'!$H$2:$H$2501,MATCH(""&amp;$L866,'AR SALES'!$AE$2:$AE$2501,0)),""))</f>
        <v/>
      </c>
      <c r="AU866" s="2" t="str">
        <f t="shared" si="52"/>
        <v/>
      </c>
      <c r="AV866" s="2" t="str">
        <f t="shared" si="53"/>
        <v/>
      </c>
      <c r="AW866" s="2" t="str">
        <f t="shared" si="54"/>
        <v/>
      </c>
      <c r="AX866" s="2" t="str">
        <f t="shared" si="55"/>
        <v/>
      </c>
      <c r="AY866" s="2" t="str">
        <f>IF($AV866="","",IF(AND($Z866=0,COUNTIF('AR SALES'!$L$2:$L$2501,$L866)=0),"YES",""))</f>
        <v/>
      </c>
      <c r="AZ866" s="2" t="str">
        <f>IF($AV866="","",IF(COUNTIF(LISTS!$C$2:$C$250,$AU866)=0,"NEW",""))</f>
        <v/>
      </c>
      <c r="BA866" s="2" t="str">
        <f>IF(""&amp;$F866&lt;&gt;"4","",IF($AY866="YES","",IF(ROUND(SUMIFS($AE$2:$AE$4001,$L$2:$L$4001,$L866,$F$2:$F$4001,"4")-SUMIFS('AR SALES'!$Y$2:$Y$2501,'AR SALES'!$L$2:$L$2501,$L866,'AR SALES'!$AD$2:$AD$2501,"OFF"),2)=0,"","STALE")))</f>
        <v/>
      </c>
      <c r="BB866" s="2" t="str">
        <f>IF(OR(""&amp;$F866="2",""&amp;$F866="4",""&amp;$F866="G",""&amp;$F866="H"),IF($AY866="YES","",IF($AB866&lt;&gt;0,"",IF(COUNTIFS('AR SALES'!$L$2:$L$2501,$L866,'AR SALES'!$AD$2:$AD$2501,IF(""&amp;$F866="4","OFF","ON"),'AR SALES'!$AF$2:$AF$2501,"Y")&gt;0,"","NO EXEMPTION"))),"")</f>
        <v/>
      </c>
    </row>
    <row r="867" spans="46:54" x14ac:dyDescent="0.25">
      <c r="AT867" s="2" t="str">
        <f>IF($L867="","",IFERROR(INDEX('AR SALES'!$H$2:$H$2501,MATCH(""&amp;$L867,'AR SALES'!$AE$2:$AE$2501,0)),""))</f>
        <v/>
      </c>
      <c r="AU867" s="2" t="str">
        <f t="shared" si="52"/>
        <v/>
      </c>
      <c r="AV867" s="2" t="str">
        <f t="shared" si="53"/>
        <v/>
      </c>
      <c r="AW867" s="2" t="str">
        <f t="shared" si="54"/>
        <v/>
      </c>
      <c r="AX867" s="2" t="str">
        <f t="shared" si="55"/>
        <v/>
      </c>
      <c r="AY867" s="2" t="str">
        <f>IF($AV867="","",IF(AND($Z867=0,COUNTIF('AR SALES'!$L$2:$L$2501,$L867)=0),"YES",""))</f>
        <v/>
      </c>
      <c r="AZ867" s="2" t="str">
        <f>IF($AV867="","",IF(COUNTIF(LISTS!$C$2:$C$250,$AU867)=0,"NEW",""))</f>
        <v/>
      </c>
      <c r="BA867" s="2" t="str">
        <f>IF(""&amp;$F867&lt;&gt;"4","",IF($AY867="YES","",IF(ROUND(SUMIFS($AE$2:$AE$4001,$L$2:$L$4001,$L867,$F$2:$F$4001,"4")-SUMIFS('AR SALES'!$Y$2:$Y$2501,'AR SALES'!$L$2:$L$2501,$L867,'AR SALES'!$AD$2:$AD$2501,"OFF"),2)=0,"","STALE")))</f>
        <v/>
      </c>
      <c r="BB867" s="2" t="str">
        <f>IF(OR(""&amp;$F867="2",""&amp;$F867="4",""&amp;$F867="G",""&amp;$F867="H"),IF($AY867="YES","",IF($AB867&lt;&gt;0,"",IF(COUNTIFS('AR SALES'!$L$2:$L$2501,$L867,'AR SALES'!$AD$2:$AD$2501,IF(""&amp;$F867="4","OFF","ON"),'AR SALES'!$AF$2:$AF$2501,"Y")&gt;0,"","NO EXEMPTION"))),"")</f>
        <v/>
      </c>
    </row>
    <row r="868" spans="46:54" x14ac:dyDescent="0.25">
      <c r="AT868" s="2" t="str">
        <f>IF($L868="","",IFERROR(INDEX('AR SALES'!$H$2:$H$2501,MATCH(""&amp;$L868,'AR SALES'!$AE$2:$AE$2501,0)),""))</f>
        <v/>
      </c>
      <c r="AU868" s="2" t="str">
        <f t="shared" si="52"/>
        <v/>
      </c>
      <c r="AV868" s="2" t="str">
        <f t="shared" si="53"/>
        <v/>
      </c>
      <c r="AW868" s="2" t="str">
        <f t="shared" si="54"/>
        <v/>
      </c>
      <c r="AX868" s="2" t="str">
        <f t="shared" si="55"/>
        <v/>
      </c>
      <c r="AY868" s="2" t="str">
        <f>IF($AV868="","",IF(AND($Z868=0,COUNTIF('AR SALES'!$L$2:$L$2501,$L868)=0),"YES",""))</f>
        <v/>
      </c>
      <c r="AZ868" s="2" t="str">
        <f>IF($AV868="","",IF(COUNTIF(LISTS!$C$2:$C$250,$AU868)=0,"NEW",""))</f>
        <v/>
      </c>
      <c r="BA868" s="2" t="str">
        <f>IF(""&amp;$F868&lt;&gt;"4","",IF($AY868="YES","",IF(ROUND(SUMIFS($AE$2:$AE$4001,$L$2:$L$4001,$L868,$F$2:$F$4001,"4")-SUMIFS('AR SALES'!$Y$2:$Y$2501,'AR SALES'!$L$2:$L$2501,$L868,'AR SALES'!$AD$2:$AD$2501,"OFF"),2)=0,"","STALE")))</f>
        <v/>
      </c>
      <c r="BB868" s="2" t="str">
        <f>IF(OR(""&amp;$F868="2",""&amp;$F868="4",""&amp;$F868="G",""&amp;$F868="H"),IF($AY868="YES","",IF($AB868&lt;&gt;0,"",IF(COUNTIFS('AR SALES'!$L$2:$L$2501,$L868,'AR SALES'!$AD$2:$AD$2501,IF(""&amp;$F868="4","OFF","ON"),'AR SALES'!$AF$2:$AF$2501,"Y")&gt;0,"","NO EXEMPTION"))),"")</f>
        <v/>
      </c>
    </row>
    <row r="869" spans="46:54" x14ac:dyDescent="0.25">
      <c r="AT869" s="2" t="str">
        <f>IF($L869="","",IFERROR(INDEX('AR SALES'!$H$2:$H$2501,MATCH(""&amp;$L869,'AR SALES'!$AE$2:$AE$2501,0)),""))</f>
        <v/>
      </c>
      <c r="AU869" s="2" t="str">
        <f t="shared" si="52"/>
        <v/>
      </c>
      <c r="AV869" s="2" t="str">
        <f t="shared" si="53"/>
        <v/>
      </c>
      <c r="AW869" s="2" t="str">
        <f t="shared" si="54"/>
        <v/>
      </c>
      <c r="AX869" s="2" t="str">
        <f t="shared" si="55"/>
        <v/>
      </c>
      <c r="AY869" s="2" t="str">
        <f>IF($AV869="","",IF(AND($Z869=0,COUNTIF('AR SALES'!$L$2:$L$2501,$L869)=0),"YES",""))</f>
        <v/>
      </c>
      <c r="AZ869" s="2" t="str">
        <f>IF($AV869="","",IF(COUNTIF(LISTS!$C$2:$C$250,$AU869)=0,"NEW",""))</f>
        <v/>
      </c>
      <c r="BA869" s="2" t="str">
        <f>IF(""&amp;$F869&lt;&gt;"4","",IF($AY869="YES","",IF(ROUND(SUMIFS($AE$2:$AE$4001,$L$2:$L$4001,$L869,$F$2:$F$4001,"4")-SUMIFS('AR SALES'!$Y$2:$Y$2501,'AR SALES'!$L$2:$L$2501,$L869,'AR SALES'!$AD$2:$AD$2501,"OFF"),2)=0,"","STALE")))</f>
        <v/>
      </c>
      <c r="BB869" s="2" t="str">
        <f>IF(OR(""&amp;$F869="2",""&amp;$F869="4",""&amp;$F869="G",""&amp;$F869="H"),IF($AY869="YES","",IF($AB869&lt;&gt;0,"",IF(COUNTIFS('AR SALES'!$L$2:$L$2501,$L869,'AR SALES'!$AD$2:$AD$2501,IF(""&amp;$F869="4","OFF","ON"),'AR SALES'!$AF$2:$AF$2501,"Y")&gt;0,"","NO EXEMPTION"))),"")</f>
        <v/>
      </c>
    </row>
    <row r="870" spans="46:54" x14ac:dyDescent="0.25">
      <c r="AT870" s="2" t="str">
        <f>IF($L870="","",IFERROR(INDEX('AR SALES'!$H$2:$H$2501,MATCH(""&amp;$L870,'AR SALES'!$AE$2:$AE$2501,0)),""))</f>
        <v/>
      </c>
      <c r="AU870" s="2" t="str">
        <f t="shared" si="52"/>
        <v/>
      </c>
      <c r="AV870" s="2" t="str">
        <f t="shared" si="53"/>
        <v/>
      </c>
      <c r="AW870" s="2" t="str">
        <f t="shared" si="54"/>
        <v/>
      </c>
      <c r="AX870" s="2" t="str">
        <f t="shared" si="55"/>
        <v/>
      </c>
      <c r="AY870" s="2" t="str">
        <f>IF($AV870="","",IF(AND($Z870=0,COUNTIF('AR SALES'!$L$2:$L$2501,$L870)=0),"YES",""))</f>
        <v/>
      </c>
      <c r="AZ870" s="2" t="str">
        <f>IF($AV870="","",IF(COUNTIF(LISTS!$C$2:$C$250,$AU870)=0,"NEW",""))</f>
        <v/>
      </c>
      <c r="BA870" s="2" t="str">
        <f>IF(""&amp;$F870&lt;&gt;"4","",IF($AY870="YES","",IF(ROUND(SUMIFS($AE$2:$AE$4001,$L$2:$L$4001,$L870,$F$2:$F$4001,"4")-SUMIFS('AR SALES'!$Y$2:$Y$2501,'AR SALES'!$L$2:$L$2501,$L870,'AR SALES'!$AD$2:$AD$2501,"OFF"),2)=0,"","STALE")))</f>
        <v/>
      </c>
      <c r="BB870" s="2" t="str">
        <f>IF(OR(""&amp;$F870="2",""&amp;$F870="4",""&amp;$F870="G",""&amp;$F870="H"),IF($AY870="YES","",IF($AB870&lt;&gt;0,"",IF(COUNTIFS('AR SALES'!$L$2:$L$2501,$L870,'AR SALES'!$AD$2:$AD$2501,IF(""&amp;$F870="4","OFF","ON"),'AR SALES'!$AF$2:$AF$2501,"Y")&gt;0,"","NO EXEMPTION"))),"")</f>
        <v/>
      </c>
    </row>
    <row r="871" spans="46:54" x14ac:dyDescent="0.25">
      <c r="AT871" s="2" t="str">
        <f>IF($L871="","",IFERROR(INDEX('AR SALES'!$H$2:$H$2501,MATCH(""&amp;$L871,'AR SALES'!$AE$2:$AE$2501,0)),""))</f>
        <v/>
      </c>
      <c r="AU871" s="2" t="str">
        <f t="shared" si="52"/>
        <v/>
      </c>
      <c r="AV871" s="2" t="str">
        <f t="shared" si="53"/>
        <v/>
      </c>
      <c r="AW871" s="2" t="str">
        <f t="shared" si="54"/>
        <v/>
      </c>
      <c r="AX871" s="2" t="str">
        <f t="shared" si="55"/>
        <v/>
      </c>
      <c r="AY871" s="2" t="str">
        <f>IF($AV871="","",IF(AND($Z871=0,COUNTIF('AR SALES'!$L$2:$L$2501,$L871)=0),"YES",""))</f>
        <v/>
      </c>
      <c r="AZ871" s="2" t="str">
        <f>IF($AV871="","",IF(COUNTIF(LISTS!$C$2:$C$250,$AU871)=0,"NEW",""))</f>
        <v/>
      </c>
      <c r="BA871" s="2" t="str">
        <f>IF(""&amp;$F871&lt;&gt;"4","",IF($AY871="YES","",IF(ROUND(SUMIFS($AE$2:$AE$4001,$L$2:$L$4001,$L871,$F$2:$F$4001,"4")-SUMIFS('AR SALES'!$Y$2:$Y$2501,'AR SALES'!$L$2:$L$2501,$L871,'AR SALES'!$AD$2:$AD$2501,"OFF"),2)=0,"","STALE")))</f>
        <v/>
      </c>
      <c r="BB871" s="2" t="str">
        <f>IF(OR(""&amp;$F871="2",""&amp;$F871="4",""&amp;$F871="G",""&amp;$F871="H"),IF($AY871="YES","",IF($AB871&lt;&gt;0,"",IF(COUNTIFS('AR SALES'!$L$2:$L$2501,$L871,'AR SALES'!$AD$2:$AD$2501,IF(""&amp;$F871="4","OFF","ON"),'AR SALES'!$AF$2:$AF$2501,"Y")&gt;0,"","NO EXEMPTION"))),"")</f>
        <v/>
      </c>
    </row>
    <row r="872" spans="46:54" x14ac:dyDescent="0.25">
      <c r="AT872" s="2" t="str">
        <f>IF($L872="","",IFERROR(INDEX('AR SALES'!$H$2:$H$2501,MATCH(""&amp;$L872,'AR SALES'!$AE$2:$AE$2501,0)),""))</f>
        <v/>
      </c>
      <c r="AU872" s="2" t="str">
        <f t="shared" si="52"/>
        <v/>
      </c>
      <c r="AV872" s="2" t="str">
        <f t="shared" si="53"/>
        <v/>
      </c>
      <c r="AW872" s="2" t="str">
        <f t="shared" si="54"/>
        <v/>
      </c>
      <c r="AX872" s="2" t="str">
        <f t="shared" si="55"/>
        <v/>
      </c>
      <c r="AY872" s="2" t="str">
        <f>IF($AV872="","",IF(AND($Z872=0,COUNTIF('AR SALES'!$L$2:$L$2501,$L872)=0),"YES",""))</f>
        <v/>
      </c>
      <c r="AZ872" s="2" t="str">
        <f>IF($AV872="","",IF(COUNTIF(LISTS!$C$2:$C$250,$AU872)=0,"NEW",""))</f>
        <v/>
      </c>
      <c r="BA872" s="2" t="str">
        <f>IF(""&amp;$F872&lt;&gt;"4","",IF($AY872="YES","",IF(ROUND(SUMIFS($AE$2:$AE$4001,$L$2:$L$4001,$L872,$F$2:$F$4001,"4")-SUMIFS('AR SALES'!$Y$2:$Y$2501,'AR SALES'!$L$2:$L$2501,$L872,'AR SALES'!$AD$2:$AD$2501,"OFF"),2)=0,"","STALE")))</f>
        <v/>
      </c>
      <c r="BB872" s="2" t="str">
        <f>IF(OR(""&amp;$F872="2",""&amp;$F872="4",""&amp;$F872="G",""&amp;$F872="H"),IF($AY872="YES","",IF($AB872&lt;&gt;0,"",IF(COUNTIFS('AR SALES'!$L$2:$L$2501,$L872,'AR SALES'!$AD$2:$AD$2501,IF(""&amp;$F872="4","OFF","ON"),'AR SALES'!$AF$2:$AF$2501,"Y")&gt;0,"","NO EXEMPTION"))),"")</f>
        <v/>
      </c>
    </row>
    <row r="873" spans="46:54" x14ac:dyDescent="0.25">
      <c r="AT873" s="2" t="str">
        <f>IF($L873="","",IFERROR(INDEX('AR SALES'!$H$2:$H$2501,MATCH(""&amp;$L873,'AR SALES'!$AE$2:$AE$2501,0)),""))</f>
        <v/>
      </c>
      <c r="AU873" s="2" t="str">
        <f t="shared" si="52"/>
        <v/>
      </c>
      <c r="AV873" s="2" t="str">
        <f t="shared" si="53"/>
        <v/>
      </c>
      <c r="AW873" s="2" t="str">
        <f t="shared" si="54"/>
        <v/>
      </c>
      <c r="AX873" s="2" t="str">
        <f t="shared" si="55"/>
        <v/>
      </c>
      <c r="AY873" s="2" t="str">
        <f>IF($AV873="","",IF(AND($Z873=0,COUNTIF('AR SALES'!$L$2:$L$2501,$L873)=0),"YES",""))</f>
        <v/>
      </c>
      <c r="AZ873" s="2" t="str">
        <f>IF($AV873="","",IF(COUNTIF(LISTS!$C$2:$C$250,$AU873)=0,"NEW",""))</f>
        <v/>
      </c>
      <c r="BA873" s="2" t="str">
        <f>IF(""&amp;$F873&lt;&gt;"4","",IF($AY873="YES","",IF(ROUND(SUMIFS($AE$2:$AE$4001,$L$2:$L$4001,$L873,$F$2:$F$4001,"4")-SUMIFS('AR SALES'!$Y$2:$Y$2501,'AR SALES'!$L$2:$L$2501,$L873,'AR SALES'!$AD$2:$AD$2501,"OFF"),2)=0,"","STALE")))</f>
        <v/>
      </c>
      <c r="BB873" s="2" t="str">
        <f>IF(OR(""&amp;$F873="2",""&amp;$F873="4",""&amp;$F873="G",""&amp;$F873="H"),IF($AY873="YES","",IF($AB873&lt;&gt;0,"",IF(COUNTIFS('AR SALES'!$L$2:$L$2501,$L873,'AR SALES'!$AD$2:$AD$2501,IF(""&amp;$F873="4","OFF","ON"),'AR SALES'!$AF$2:$AF$2501,"Y")&gt;0,"","NO EXEMPTION"))),"")</f>
        <v/>
      </c>
    </row>
    <row r="874" spans="46:54" x14ac:dyDescent="0.25">
      <c r="AT874" s="2" t="str">
        <f>IF($L874="","",IFERROR(INDEX('AR SALES'!$H$2:$H$2501,MATCH(""&amp;$L874,'AR SALES'!$AE$2:$AE$2501,0)),""))</f>
        <v/>
      </c>
      <c r="AU874" s="2" t="str">
        <f t="shared" si="52"/>
        <v/>
      </c>
      <c r="AV874" s="2" t="str">
        <f t="shared" si="53"/>
        <v/>
      </c>
      <c r="AW874" s="2" t="str">
        <f t="shared" si="54"/>
        <v/>
      </c>
      <c r="AX874" s="2" t="str">
        <f t="shared" si="55"/>
        <v/>
      </c>
      <c r="AY874" s="2" t="str">
        <f>IF($AV874="","",IF(AND($Z874=0,COUNTIF('AR SALES'!$L$2:$L$2501,$L874)=0),"YES",""))</f>
        <v/>
      </c>
      <c r="AZ874" s="2" t="str">
        <f>IF($AV874="","",IF(COUNTIF(LISTS!$C$2:$C$250,$AU874)=0,"NEW",""))</f>
        <v/>
      </c>
      <c r="BA874" s="2" t="str">
        <f>IF(""&amp;$F874&lt;&gt;"4","",IF($AY874="YES","",IF(ROUND(SUMIFS($AE$2:$AE$4001,$L$2:$L$4001,$L874,$F$2:$F$4001,"4")-SUMIFS('AR SALES'!$Y$2:$Y$2501,'AR SALES'!$L$2:$L$2501,$L874,'AR SALES'!$AD$2:$AD$2501,"OFF"),2)=0,"","STALE")))</f>
        <v/>
      </c>
      <c r="BB874" s="2" t="str">
        <f>IF(OR(""&amp;$F874="2",""&amp;$F874="4",""&amp;$F874="G",""&amp;$F874="H"),IF($AY874="YES","",IF($AB874&lt;&gt;0,"",IF(COUNTIFS('AR SALES'!$L$2:$L$2501,$L874,'AR SALES'!$AD$2:$AD$2501,IF(""&amp;$F874="4","OFF","ON"),'AR SALES'!$AF$2:$AF$2501,"Y")&gt;0,"","NO EXEMPTION"))),"")</f>
        <v/>
      </c>
    </row>
    <row r="875" spans="46:54" x14ac:dyDescent="0.25">
      <c r="AT875" s="2" t="str">
        <f>IF($L875="","",IFERROR(INDEX('AR SALES'!$H$2:$H$2501,MATCH(""&amp;$L875,'AR SALES'!$AE$2:$AE$2501,0)),""))</f>
        <v/>
      </c>
      <c r="AU875" s="2" t="str">
        <f t="shared" si="52"/>
        <v/>
      </c>
      <c r="AV875" s="2" t="str">
        <f t="shared" si="53"/>
        <v/>
      </c>
      <c r="AW875" s="2" t="str">
        <f t="shared" si="54"/>
        <v/>
      </c>
      <c r="AX875" s="2" t="str">
        <f t="shared" si="55"/>
        <v/>
      </c>
      <c r="AY875" s="2" t="str">
        <f>IF($AV875="","",IF(AND($Z875=0,COUNTIF('AR SALES'!$L$2:$L$2501,$L875)=0),"YES",""))</f>
        <v/>
      </c>
      <c r="AZ875" s="2" t="str">
        <f>IF($AV875="","",IF(COUNTIF(LISTS!$C$2:$C$250,$AU875)=0,"NEW",""))</f>
        <v/>
      </c>
      <c r="BA875" s="2" t="str">
        <f>IF(""&amp;$F875&lt;&gt;"4","",IF($AY875="YES","",IF(ROUND(SUMIFS($AE$2:$AE$4001,$L$2:$L$4001,$L875,$F$2:$F$4001,"4")-SUMIFS('AR SALES'!$Y$2:$Y$2501,'AR SALES'!$L$2:$L$2501,$L875,'AR SALES'!$AD$2:$AD$2501,"OFF"),2)=0,"","STALE")))</f>
        <v/>
      </c>
      <c r="BB875" s="2" t="str">
        <f>IF(OR(""&amp;$F875="2",""&amp;$F875="4",""&amp;$F875="G",""&amp;$F875="H"),IF($AY875="YES","",IF($AB875&lt;&gt;0,"",IF(COUNTIFS('AR SALES'!$L$2:$L$2501,$L875,'AR SALES'!$AD$2:$AD$2501,IF(""&amp;$F875="4","OFF","ON"),'AR SALES'!$AF$2:$AF$2501,"Y")&gt;0,"","NO EXEMPTION"))),"")</f>
        <v/>
      </c>
    </row>
    <row r="876" spans="46:54" x14ac:dyDescent="0.25">
      <c r="AT876" s="2" t="str">
        <f>IF($L876="","",IFERROR(INDEX('AR SALES'!$H$2:$H$2501,MATCH(""&amp;$L876,'AR SALES'!$AE$2:$AE$2501,0)),""))</f>
        <v/>
      </c>
      <c r="AU876" s="2" t="str">
        <f t="shared" si="52"/>
        <v/>
      </c>
      <c r="AV876" s="2" t="str">
        <f t="shared" si="53"/>
        <v/>
      </c>
      <c r="AW876" s="2" t="str">
        <f t="shared" si="54"/>
        <v/>
      </c>
      <c r="AX876" s="2" t="str">
        <f t="shared" si="55"/>
        <v/>
      </c>
      <c r="AY876" s="2" t="str">
        <f>IF($AV876="","",IF(AND($Z876=0,COUNTIF('AR SALES'!$L$2:$L$2501,$L876)=0),"YES",""))</f>
        <v/>
      </c>
      <c r="AZ876" s="2" t="str">
        <f>IF($AV876="","",IF(COUNTIF(LISTS!$C$2:$C$250,$AU876)=0,"NEW",""))</f>
        <v/>
      </c>
      <c r="BA876" s="2" t="str">
        <f>IF(""&amp;$F876&lt;&gt;"4","",IF($AY876="YES","",IF(ROUND(SUMIFS($AE$2:$AE$4001,$L$2:$L$4001,$L876,$F$2:$F$4001,"4")-SUMIFS('AR SALES'!$Y$2:$Y$2501,'AR SALES'!$L$2:$L$2501,$L876,'AR SALES'!$AD$2:$AD$2501,"OFF"),2)=0,"","STALE")))</f>
        <v/>
      </c>
      <c r="BB876" s="2" t="str">
        <f>IF(OR(""&amp;$F876="2",""&amp;$F876="4",""&amp;$F876="G",""&amp;$F876="H"),IF($AY876="YES","",IF($AB876&lt;&gt;0,"",IF(COUNTIFS('AR SALES'!$L$2:$L$2501,$L876,'AR SALES'!$AD$2:$AD$2501,IF(""&amp;$F876="4","OFF","ON"),'AR SALES'!$AF$2:$AF$2501,"Y")&gt;0,"","NO EXEMPTION"))),"")</f>
        <v/>
      </c>
    </row>
    <row r="877" spans="46:54" x14ac:dyDescent="0.25">
      <c r="AT877" s="2" t="str">
        <f>IF($L877="","",IFERROR(INDEX('AR SALES'!$H$2:$H$2501,MATCH(""&amp;$L877,'AR SALES'!$AE$2:$AE$2501,0)),""))</f>
        <v/>
      </c>
      <c r="AU877" s="2" t="str">
        <f t="shared" si="52"/>
        <v/>
      </c>
      <c r="AV877" s="2" t="str">
        <f t="shared" si="53"/>
        <v/>
      </c>
      <c r="AW877" s="2" t="str">
        <f t="shared" si="54"/>
        <v/>
      </c>
      <c r="AX877" s="2" t="str">
        <f t="shared" si="55"/>
        <v/>
      </c>
      <c r="AY877" s="2" t="str">
        <f>IF($AV877="","",IF(AND($Z877=0,COUNTIF('AR SALES'!$L$2:$L$2501,$L877)=0),"YES",""))</f>
        <v/>
      </c>
      <c r="AZ877" s="2" t="str">
        <f>IF($AV877="","",IF(COUNTIF(LISTS!$C$2:$C$250,$AU877)=0,"NEW",""))</f>
        <v/>
      </c>
      <c r="BA877" s="2" t="str">
        <f>IF(""&amp;$F877&lt;&gt;"4","",IF($AY877="YES","",IF(ROUND(SUMIFS($AE$2:$AE$4001,$L$2:$L$4001,$L877,$F$2:$F$4001,"4")-SUMIFS('AR SALES'!$Y$2:$Y$2501,'AR SALES'!$L$2:$L$2501,$L877,'AR SALES'!$AD$2:$AD$2501,"OFF"),2)=0,"","STALE")))</f>
        <v/>
      </c>
      <c r="BB877" s="2" t="str">
        <f>IF(OR(""&amp;$F877="2",""&amp;$F877="4",""&amp;$F877="G",""&amp;$F877="H"),IF($AY877="YES","",IF($AB877&lt;&gt;0,"",IF(COUNTIFS('AR SALES'!$L$2:$L$2501,$L877,'AR SALES'!$AD$2:$AD$2501,IF(""&amp;$F877="4","OFF","ON"),'AR SALES'!$AF$2:$AF$2501,"Y")&gt;0,"","NO EXEMPTION"))),"")</f>
        <v/>
      </c>
    </row>
    <row r="878" spans="46:54" x14ac:dyDescent="0.25">
      <c r="AT878" s="2" t="str">
        <f>IF($L878="","",IFERROR(INDEX('AR SALES'!$H$2:$H$2501,MATCH(""&amp;$L878,'AR SALES'!$AE$2:$AE$2501,0)),""))</f>
        <v/>
      </c>
      <c r="AU878" s="2" t="str">
        <f t="shared" si="52"/>
        <v/>
      </c>
      <c r="AV878" s="2" t="str">
        <f t="shared" si="53"/>
        <v/>
      </c>
      <c r="AW878" s="2" t="str">
        <f t="shared" si="54"/>
        <v/>
      </c>
      <c r="AX878" s="2" t="str">
        <f t="shared" si="55"/>
        <v/>
      </c>
      <c r="AY878" s="2" t="str">
        <f>IF($AV878="","",IF(AND($Z878=0,COUNTIF('AR SALES'!$L$2:$L$2501,$L878)=0),"YES",""))</f>
        <v/>
      </c>
      <c r="AZ878" s="2" t="str">
        <f>IF($AV878="","",IF(COUNTIF(LISTS!$C$2:$C$250,$AU878)=0,"NEW",""))</f>
        <v/>
      </c>
      <c r="BA878" s="2" t="str">
        <f>IF(""&amp;$F878&lt;&gt;"4","",IF($AY878="YES","",IF(ROUND(SUMIFS($AE$2:$AE$4001,$L$2:$L$4001,$L878,$F$2:$F$4001,"4")-SUMIFS('AR SALES'!$Y$2:$Y$2501,'AR SALES'!$L$2:$L$2501,$L878,'AR SALES'!$AD$2:$AD$2501,"OFF"),2)=0,"","STALE")))</f>
        <v/>
      </c>
      <c r="BB878" s="2" t="str">
        <f>IF(OR(""&amp;$F878="2",""&amp;$F878="4",""&amp;$F878="G",""&amp;$F878="H"),IF($AY878="YES","",IF($AB878&lt;&gt;0,"",IF(COUNTIFS('AR SALES'!$L$2:$L$2501,$L878,'AR SALES'!$AD$2:$AD$2501,IF(""&amp;$F878="4","OFF","ON"),'AR SALES'!$AF$2:$AF$2501,"Y")&gt;0,"","NO EXEMPTION"))),"")</f>
        <v/>
      </c>
    </row>
    <row r="879" spans="46:54" x14ac:dyDescent="0.25">
      <c r="AT879" s="2" t="str">
        <f>IF($L879="","",IFERROR(INDEX('AR SALES'!$H$2:$H$2501,MATCH(""&amp;$L879,'AR SALES'!$AE$2:$AE$2501,0)),""))</f>
        <v/>
      </c>
      <c r="AU879" s="2" t="str">
        <f t="shared" si="52"/>
        <v/>
      </c>
      <c r="AV879" s="2" t="str">
        <f t="shared" si="53"/>
        <v/>
      </c>
      <c r="AW879" s="2" t="str">
        <f t="shared" si="54"/>
        <v/>
      </c>
      <c r="AX879" s="2" t="str">
        <f t="shared" si="55"/>
        <v/>
      </c>
      <c r="AY879" s="2" t="str">
        <f>IF($AV879="","",IF(AND($Z879=0,COUNTIF('AR SALES'!$L$2:$L$2501,$L879)=0),"YES",""))</f>
        <v/>
      </c>
      <c r="AZ879" s="2" t="str">
        <f>IF($AV879="","",IF(COUNTIF(LISTS!$C$2:$C$250,$AU879)=0,"NEW",""))</f>
        <v/>
      </c>
      <c r="BA879" s="2" t="str">
        <f>IF(""&amp;$F879&lt;&gt;"4","",IF($AY879="YES","",IF(ROUND(SUMIFS($AE$2:$AE$4001,$L$2:$L$4001,$L879,$F$2:$F$4001,"4")-SUMIFS('AR SALES'!$Y$2:$Y$2501,'AR SALES'!$L$2:$L$2501,$L879,'AR SALES'!$AD$2:$AD$2501,"OFF"),2)=0,"","STALE")))</f>
        <v/>
      </c>
      <c r="BB879" s="2" t="str">
        <f>IF(OR(""&amp;$F879="2",""&amp;$F879="4",""&amp;$F879="G",""&amp;$F879="H"),IF($AY879="YES","",IF($AB879&lt;&gt;0,"",IF(COUNTIFS('AR SALES'!$L$2:$L$2501,$L879,'AR SALES'!$AD$2:$AD$2501,IF(""&amp;$F879="4","OFF","ON"),'AR SALES'!$AF$2:$AF$2501,"Y")&gt;0,"","NO EXEMPTION"))),"")</f>
        <v/>
      </c>
    </row>
    <row r="880" spans="46:54" x14ac:dyDescent="0.25">
      <c r="AT880" s="2" t="str">
        <f>IF($L880="","",IFERROR(INDEX('AR SALES'!$H$2:$H$2501,MATCH(""&amp;$L880,'AR SALES'!$AE$2:$AE$2501,0)),""))</f>
        <v/>
      </c>
      <c r="AU880" s="2" t="str">
        <f t="shared" si="52"/>
        <v/>
      </c>
      <c r="AV880" s="2" t="str">
        <f t="shared" si="53"/>
        <v/>
      </c>
      <c r="AW880" s="2" t="str">
        <f t="shared" si="54"/>
        <v/>
      </c>
      <c r="AX880" s="2" t="str">
        <f t="shared" si="55"/>
        <v/>
      </c>
      <c r="AY880" s="2" t="str">
        <f>IF($AV880="","",IF(AND($Z880=0,COUNTIF('AR SALES'!$L$2:$L$2501,$L880)=0),"YES",""))</f>
        <v/>
      </c>
      <c r="AZ880" s="2" t="str">
        <f>IF($AV880="","",IF(COUNTIF(LISTS!$C$2:$C$250,$AU880)=0,"NEW",""))</f>
        <v/>
      </c>
      <c r="BA880" s="2" t="str">
        <f>IF(""&amp;$F880&lt;&gt;"4","",IF($AY880="YES","",IF(ROUND(SUMIFS($AE$2:$AE$4001,$L$2:$L$4001,$L880,$F$2:$F$4001,"4")-SUMIFS('AR SALES'!$Y$2:$Y$2501,'AR SALES'!$L$2:$L$2501,$L880,'AR SALES'!$AD$2:$AD$2501,"OFF"),2)=0,"","STALE")))</f>
        <v/>
      </c>
      <c r="BB880" s="2" t="str">
        <f>IF(OR(""&amp;$F880="2",""&amp;$F880="4",""&amp;$F880="G",""&amp;$F880="H"),IF($AY880="YES","",IF($AB880&lt;&gt;0,"",IF(COUNTIFS('AR SALES'!$L$2:$L$2501,$L880,'AR SALES'!$AD$2:$AD$2501,IF(""&amp;$F880="4","OFF","ON"),'AR SALES'!$AF$2:$AF$2501,"Y")&gt;0,"","NO EXEMPTION"))),"")</f>
        <v/>
      </c>
    </row>
    <row r="881" spans="46:54" x14ac:dyDescent="0.25">
      <c r="AT881" s="2" t="str">
        <f>IF($L881="","",IFERROR(INDEX('AR SALES'!$H$2:$H$2501,MATCH(""&amp;$L881,'AR SALES'!$AE$2:$AE$2501,0)),""))</f>
        <v/>
      </c>
      <c r="AU881" s="2" t="str">
        <f t="shared" si="52"/>
        <v/>
      </c>
      <c r="AV881" s="2" t="str">
        <f t="shared" si="53"/>
        <v/>
      </c>
      <c r="AW881" s="2" t="str">
        <f t="shared" si="54"/>
        <v/>
      </c>
      <c r="AX881" s="2" t="str">
        <f t="shared" si="55"/>
        <v/>
      </c>
      <c r="AY881" s="2" t="str">
        <f>IF($AV881="","",IF(AND($Z881=0,COUNTIF('AR SALES'!$L$2:$L$2501,$L881)=0),"YES",""))</f>
        <v/>
      </c>
      <c r="AZ881" s="2" t="str">
        <f>IF($AV881="","",IF(COUNTIF(LISTS!$C$2:$C$250,$AU881)=0,"NEW",""))</f>
        <v/>
      </c>
      <c r="BA881" s="2" t="str">
        <f>IF(""&amp;$F881&lt;&gt;"4","",IF($AY881="YES","",IF(ROUND(SUMIFS($AE$2:$AE$4001,$L$2:$L$4001,$L881,$F$2:$F$4001,"4")-SUMIFS('AR SALES'!$Y$2:$Y$2501,'AR SALES'!$L$2:$L$2501,$L881,'AR SALES'!$AD$2:$AD$2501,"OFF"),2)=0,"","STALE")))</f>
        <v/>
      </c>
      <c r="BB881" s="2" t="str">
        <f>IF(OR(""&amp;$F881="2",""&amp;$F881="4",""&amp;$F881="G",""&amp;$F881="H"),IF($AY881="YES","",IF($AB881&lt;&gt;0,"",IF(COUNTIFS('AR SALES'!$L$2:$L$2501,$L881,'AR SALES'!$AD$2:$AD$2501,IF(""&amp;$F881="4","OFF","ON"),'AR SALES'!$AF$2:$AF$2501,"Y")&gt;0,"","NO EXEMPTION"))),"")</f>
        <v/>
      </c>
    </row>
    <row r="882" spans="46:54" x14ac:dyDescent="0.25">
      <c r="AT882" s="2" t="str">
        <f>IF($L882="","",IFERROR(INDEX('AR SALES'!$H$2:$H$2501,MATCH(""&amp;$L882,'AR SALES'!$AE$2:$AE$2501,0)),""))</f>
        <v/>
      </c>
      <c r="AU882" s="2" t="str">
        <f t="shared" si="52"/>
        <v/>
      </c>
      <c r="AV882" s="2" t="str">
        <f t="shared" si="53"/>
        <v/>
      </c>
      <c r="AW882" s="2" t="str">
        <f t="shared" si="54"/>
        <v/>
      </c>
      <c r="AX882" s="2" t="str">
        <f t="shared" si="55"/>
        <v/>
      </c>
      <c r="AY882" s="2" t="str">
        <f>IF($AV882="","",IF(AND($Z882=0,COUNTIF('AR SALES'!$L$2:$L$2501,$L882)=0),"YES",""))</f>
        <v/>
      </c>
      <c r="AZ882" s="2" t="str">
        <f>IF($AV882="","",IF(COUNTIF(LISTS!$C$2:$C$250,$AU882)=0,"NEW",""))</f>
        <v/>
      </c>
      <c r="BA882" s="2" t="str">
        <f>IF(""&amp;$F882&lt;&gt;"4","",IF($AY882="YES","",IF(ROUND(SUMIFS($AE$2:$AE$4001,$L$2:$L$4001,$L882,$F$2:$F$4001,"4")-SUMIFS('AR SALES'!$Y$2:$Y$2501,'AR SALES'!$L$2:$L$2501,$L882,'AR SALES'!$AD$2:$AD$2501,"OFF"),2)=0,"","STALE")))</f>
        <v/>
      </c>
      <c r="BB882" s="2" t="str">
        <f>IF(OR(""&amp;$F882="2",""&amp;$F882="4",""&amp;$F882="G",""&amp;$F882="H"),IF($AY882="YES","",IF($AB882&lt;&gt;0,"",IF(COUNTIFS('AR SALES'!$L$2:$L$2501,$L882,'AR SALES'!$AD$2:$AD$2501,IF(""&amp;$F882="4","OFF","ON"),'AR SALES'!$AF$2:$AF$2501,"Y")&gt;0,"","NO EXEMPTION"))),"")</f>
        <v/>
      </c>
    </row>
    <row r="883" spans="46:54" x14ac:dyDescent="0.25">
      <c r="AT883" s="2" t="str">
        <f>IF($L883="","",IFERROR(INDEX('AR SALES'!$H$2:$H$2501,MATCH(""&amp;$L883,'AR SALES'!$AE$2:$AE$2501,0)),""))</f>
        <v/>
      </c>
      <c r="AU883" s="2" t="str">
        <f t="shared" si="52"/>
        <v/>
      </c>
      <c r="AV883" s="2" t="str">
        <f t="shared" si="53"/>
        <v/>
      </c>
      <c r="AW883" s="2" t="str">
        <f t="shared" si="54"/>
        <v/>
      </c>
      <c r="AX883" s="2" t="str">
        <f t="shared" si="55"/>
        <v/>
      </c>
      <c r="AY883" s="2" t="str">
        <f>IF($AV883="","",IF(AND($Z883=0,COUNTIF('AR SALES'!$L$2:$L$2501,$L883)=0),"YES",""))</f>
        <v/>
      </c>
      <c r="AZ883" s="2" t="str">
        <f>IF($AV883="","",IF(COUNTIF(LISTS!$C$2:$C$250,$AU883)=0,"NEW",""))</f>
        <v/>
      </c>
      <c r="BA883" s="2" t="str">
        <f>IF(""&amp;$F883&lt;&gt;"4","",IF($AY883="YES","",IF(ROUND(SUMIFS($AE$2:$AE$4001,$L$2:$L$4001,$L883,$F$2:$F$4001,"4")-SUMIFS('AR SALES'!$Y$2:$Y$2501,'AR SALES'!$L$2:$L$2501,$L883,'AR SALES'!$AD$2:$AD$2501,"OFF"),2)=0,"","STALE")))</f>
        <v/>
      </c>
      <c r="BB883" s="2" t="str">
        <f>IF(OR(""&amp;$F883="2",""&amp;$F883="4",""&amp;$F883="G",""&amp;$F883="H"),IF($AY883="YES","",IF($AB883&lt;&gt;0,"",IF(COUNTIFS('AR SALES'!$L$2:$L$2501,$L883,'AR SALES'!$AD$2:$AD$2501,IF(""&amp;$F883="4","OFF","ON"),'AR SALES'!$AF$2:$AF$2501,"Y")&gt;0,"","NO EXEMPTION"))),"")</f>
        <v/>
      </c>
    </row>
    <row r="884" spans="46:54" x14ac:dyDescent="0.25">
      <c r="AT884" s="2" t="str">
        <f>IF($L884="","",IFERROR(INDEX('AR SALES'!$H$2:$H$2501,MATCH(""&amp;$L884,'AR SALES'!$AE$2:$AE$2501,0)),""))</f>
        <v/>
      </c>
      <c r="AU884" s="2" t="str">
        <f t="shared" si="52"/>
        <v/>
      </c>
      <c r="AV884" s="2" t="str">
        <f t="shared" si="53"/>
        <v/>
      </c>
      <c r="AW884" s="2" t="str">
        <f t="shared" si="54"/>
        <v/>
      </c>
      <c r="AX884" s="2" t="str">
        <f t="shared" si="55"/>
        <v/>
      </c>
      <c r="AY884" s="2" t="str">
        <f>IF($AV884="","",IF(AND($Z884=0,COUNTIF('AR SALES'!$L$2:$L$2501,$L884)=0),"YES",""))</f>
        <v/>
      </c>
      <c r="AZ884" s="2" t="str">
        <f>IF($AV884="","",IF(COUNTIF(LISTS!$C$2:$C$250,$AU884)=0,"NEW",""))</f>
        <v/>
      </c>
      <c r="BA884" s="2" t="str">
        <f>IF(""&amp;$F884&lt;&gt;"4","",IF($AY884="YES","",IF(ROUND(SUMIFS($AE$2:$AE$4001,$L$2:$L$4001,$L884,$F$2:$F$4001,"4")-SUMIFS('AR SALES'!$Y$2:$Y$2501,'AR SALES'!$L$2:$L$2501,$L884,'AR SALES'!$AD$2:$AD$2501,"OFF"),2)=0,"","STALE")))</f>
        <v/>
      </c>
      <c r="BB884" s="2" t="str">
        <f>IF(OR(""&amp;$F884="2",""&amp;$F884="4",""&amp;$F884="G",""&amp;$F884="H"),IF($AY884="YES","",IF($AB884&lt;&gt;0,"",IF(COUNTIFS('AR SALES'!$L$2:$L$2501,$L884,'AR SALES'!$AD$2:$AD$2501,IF(""&amp;$F884="4","OFF","ON"),'AR SALES'!$AF$2:$AF$2501,"Y")&gt;0,"","NO EXEMPTION"))),"")</f>
        <v/>
      </c>
    </row>
    <row r="885" spans="46:54" x14ac:dyDescent="0.25">
      <c r="AT885" s="2" t="str">
        <f>IF($L885="","",IFERROR(INDEX('AR SALES'!$H$2:$H$2501,MATCH(""&amp;$L885,'AR SALES'!$AE$2:$AE$2501,0)),""))</f>
        <v/>
      </c>
      <c r="AU885" s="2" t="str">
        <f t="shared" si="52"/>
        <v/>
      </c>
      <c r="AV885" s="2" t="str">
        <f t="shared" si="53"/>
        <v/>
      </c>
      <c r="AW885" s="2" t="str">
        <f t="shared" si="54"/>
        <v/>
      </c>
      <c r="AX885" s="2" t="str">
        <f t="shared" si="55"/>
        <v/>
      </c>
      <c r="AY885" s="2" t="str">
        <f>IF($AV885="","",IF(AND($Z885=0,COUNTIF('AR SALES'!$L$2:$L$2501,$L885)=0),"YES",""))</f>
        <v/>
      </c>
      <c r="AZ885" s="2" t="str">
        <f>IF($AV885="","",IF(COUNTIF(LISTS!$C$2:$C$250,$AU885)=0,"NEW",""))</f>
        <v/>
      </c>
      <c r="BA885" s="2" t="str">
        <f>IF(""&amp;$F885&lt;&gt;"4","",IF($AY885="YES","",IF(ROUND(SUMIFS($AE$2:$AE$4001,$L$2:$L$4001,$L885,$F$2:$F$4001,"4")-SUMIFS('AR SALES'!$Y$2:$Y$2501,'AR SALES'!$L$2:$L$2501,$L885,'AR SALES'!$AD$2:$AD$2501,"OFF"),2)=0,"","STALE")))</f>
        <v/>
      </c>
      <c r="BB885" s="2" t="str">
        <f>IF(OR(""&amp;$F885="2",""&amp;$F885="4",""&amp;$F885="G",""&amp;$F885="H"),IF($AY885="YES","",IF($AB885&lt;&gt;0,"",IF(COUNTIFS('AR SALES'!$L$2:$L$2501,$L885,'AR SALES'!$AD$2:$AD$2501,IF(""&amp;$F885="4","OFF","ON"),'AR SALES'!$AF$2:$AF$2501,"Y")&gt;0,"","NO EXEMPTION"))),"")</f>
        <v/>
      </c>
    </row>
    <row r="886" spans="46:54" x14ac:dyDescent="0.25">
      <c r="AT886" s="2" t="str">
        <f>IF($L886="","",IFERROR(INDEX('AR SALES'!$H$2:$H$2501,MATCH(""&amp;$L886,'AR SALES'!$AE$2:$AE$2501,0)),""))</f>
        <v/>
      </c>
      <c r="AU886" s="2" t="str">
        <f t="shared" si="52"/>
        <v/>
      </c>
      <c r="AV886" s="2" t="str">
        <f t="shared" si="53"/>
        <v/>
      </c>
      <c r="AW886" s="2" t="str">
        <f t="shared" si="54"/>
        <v/>
      </c>
      <c r="AX886" s="2" t="str">
        <f t="shared" si="55"/>
        <v/>
      </c>
      <c r="AY886" s="2" t="str">
        <f>IF($AV886="","",IF(AND($Z886=0,COUNTIF('AR SALES'!$L$2:$L$2501,$L886)=0),"YES",""))</f>
        <v/>
      </c>
      <c r="AZ886" s="2" t="str">
        <f>IF($AV886="","",IF(COUNTIF(LISTS!$C$2:$C$250,$AU886)=0,"NEW",""))</f>
        <v/>
      </c>
      <c r="BA886" s="2" t="str">
        <f>IF(""&amp;$F886&lt;&gt;"4","",IF($AY886="YES","",IF(ROUND(SUMIFS($AE$2:$AE$4001,$L$2:$L$4001,$L886,$F$2:$F$4001,"4")-SUMIFS('AR SALES'!$Y$2:$Y$2501,'AR SALES'!$L$2:$L$2501,$L886,'AR SALES'!$AD$2:$AD$2501,"OFF"),2)=0,"","STALE")))</f>
        <v/>
      </c>
      <c r="BB886" s="2" t="str">
        <f>IF(OR(""&amp;$F886="2",""&amp;$F886="4",""&amp;$F886="G",""&amp;$F886="H"),IF($AY886="YES","",IF($AB886&lt;&gt;0,"",IF(COUNTIFS('AR SALES'!$L$2:$L$2501,$L886,'AR SALES'!$AD$2:$AD$2501,IF(""&amp;$F886="4","OFF","ON"),'AR SALES'!$AF$2:$AF$2501,"Y")&gt;0,"","NO EXEMPTION"))),"")</f>
        <v/>
      </c>
    </row>
    <row r="887" spans="46:54" x14ac:dyDescent="0.25">
      <c r="AT887" s="2" t="str">
        <f>IF($L887="","",IFERROR(INDEX('AR SALES'!$H$2:$H$2501,MATCH(""&amp;$L887,'AR SALES'!$AE$2:$AE$2501,0)),""))</f>
        <v/>
      </c>
      <c r="AU887" s="2" t="str">
        <f t="shared" si="52"/>
        <v/>
      </c>
      <c r="AV887" s="2" t="str">
        <f t="shared" si="53"/>
        <v/>
      </c>
      <c r="AW887" s="2" t="str">
        <f t="shared" si="54"/>
        <v/>
      </c>
      <c r="AX887" s="2" t="str">
        <f t="shared" si="55"/>
        <v/>
      </c>
      <c r="AY887" s="2" t="str">
        <f>IF($AV887="","",IF(AND($Z887=0,COUNTIF('AR SALES'!$L$2:$L$2501,$L887)=0),"YES",""))</f>
        <v/>
      </c>
      <c r="AZ887" s="2" t="str">
        <f>IF($AV887="","",IF(COUNTIF(LISTS!$C$2:$C$250,$AU887)=0,"NEW",""))</f>
        <v/>
      </c>
      <c r="BA887" s="2" t="str">
        <f>IF(""&amp;$F887&lt;&gt;"4","",IF($AY887="YES","",IF(ROUND(SUMIFS($AE$2:$AE$4001,$L$2:$L$4001,$L887,$F$2:$F$4001,"4")-SUMIFS('AR SALES'!$Y$2:$Y$2501,'AR SALES'!$L$2:$L$2501,$L887,'AR SALES'!$AD$2:$AD$2501,"OFF"),2)=0,"","STALE")))</f>
        <v/>
      </c>
      <c r="BB887" s="2" t="str">
        <f>IF(OR(""&amp;$F887="2",""&amp;$F887="4",""&amp;$F887="G",""&amp;$F887="H"),IF($AY887="YES","",IF($AB887&lt;&gt;0,"",IF(COUNTIFS('AR SALES'!$L$2:$L$2501,$L887,'AR SALES'!$AD$2:$AD$2501,IF(""&amp;$F887="4","OFF","ON"),'AR SALES'!$AF$2:$AF$2501,"Y")&gt;0,"","NO EXEMPTION"))),"")</f>
        <v/>
      </c>
    </row>
    <row r="888" spans="46:54" x14ac:dyDescent="0.25">
      <c r="AT888" s="2" t="str">
        <f>IF($L888="","",IFERROR(INDEX('AR SALES'!$H$2:$H$2501,MATCH(""&amp;$L888,'AR SALES'!$AE$2:$AE$2501,0)),""))</f>
        <v/>
      </c>
      <c r="AU888" s="2" t="str">
        <f t="shared" si="52"/>
        <v/>
      </c>
      <c r="AV888" s="2" t="str">
        <f t="shared" si="53"/>
        <v/>
      </c>
      <c r="AW888" s="2" t="str">
        <f t="shared" si="54"/>
        <v/>
      </c>
      <c r="AX888" s="2" t="str">
        <f t="shared" si="55"/>
        <v/>
      </c>
      <c r="AY888" s="2" t="str">
        <f>IF($AV888="","",IF(AND($Z888=0,COUNTIF('AR SALES'!$L$2:$L$2501,$L888)=0),"YES",""))</f>
        <v/>
      </c>
      <c r="AZ888" s="2" t="str">
        <f>IF($AV888="","",IF(COUNTIF(LISTS!$C$2:$C$250,$AU888)=0,"NEW",""))</f>
        <v/>
      </c>
      <c r="BA888" s="2" t="str">
        <f>IF(""&amp;$F888&lt;&gt;"4","",IF($AY888="YES","",IF(ROUND(SUMIFS($AE$2:$AE$4001,$L$2:$L$4001,$L888,$F$2:$F$4001,"4")-SUMIFS('AR SALES'!$Y$2:$Y$2501,'AR SALES'!$L$2:$L$2501,$L888,'AR SALES'!$AD$2:$AD$2501,"OFF"),2)=0,"","STALE")))</f>
        <v/>
      </c>
      <c r="BB888" s="2" t="str">
        <f>IF(OR(""&amp;$F888="2",""&amp;$F888="4",""&amp;$F888="G",""&amp;$F888="H"),IF($AY888="YES","",IF($AB888&lt;&gt;0,"",IF(COUNTIFS('AR SALES'!$L$2:$L$2501,$L888,'AR SALES'!$AD$2:$AD$2501,IF(""&amp;$F888="4","OFF","ON"),'AR SALES'!$AF$2:$AF$2501,"Y")&gt;0,"","NO EXEMPTION"))),"")</f>
        <v/>
      </c>
    </row>
    <row r="889" spans="46:54" x14ac:dyDescent="0.25">
      <c r="AT889" s="2" t="str">
        <f>IF($L889="","",IFERROR(INDEX('AR SALES'!$H$2:$H$2501,MATCH(""&amp;$L889,'AR SALES'!$AE$2:$AE$2501,0)),""))</f>
        <v/>
      </c>
      <c r="AU889" s="2" t="str">
        <f t="shared" si="52"/>
        <v/>
      </c>
      <c r="AV889" s="2" t="str">
        <f t="shared" si="53"/>
        <v/>
      </c>
      <c r="AW889" s="2" t="str">
        <f t="shared" si="54"/>
        <v/>
      </c>
      <c r="AX889" s="2" t="str">
        <f t="shared" si="55"/>
        <v/>
      </c>
      <c r="AY889" s="2" t="str">
        <f>IF($AV889="","",IF(AND($Z889=0,COUNTIF('AR SALES'!$L$2:$L$2501,$L889)=0),"YES",""))</f>
        <v/>
      </c>
      <c r="AZ889" s="2" t="str">
        <f>IF($AV889="","",IF(COUNTIF(LISTS!$C$2:$C$250,$AU889)=0,"NEW",""))</f>
        <v/>
      </c>
      <c r="BA889" s="2" t="str">
        <f>IF(""&amp;$F889&lt;&gt;"4","",IF($AY889="YES","",IF(ROUND(SUMIFS($AE$2:$AE$4001,$L$2:$L$4001,$L889,$F$2:$F$4001,"4")-SUMIFS('AR SALES'!$Y$2:$Y$2501,'AR SALES'!$L$2:$L$2501,$L889,'AR SALES'!$AD$2:$AD$2501,"OFF"),2)=0,"","STALE")))</f>
        <v/>
      </c>
      <c r="BB889" s="2" t="str">
        <f>IF(OR(""&amp;$F889="2",""&amp;$F889="4",""&amp;$F889="G",""&amp;$F889="H"),IF($AY889="YES","",IF($AB889&lt;&gt;0,"",IF(COUNTIFS('AR SALES'!$L$2:$L$2501,$L889,'AR SALES'!$AD$2:$AD$2501,IF(""&amp;$F889="4","OFF","ON"),'AR SALES'!$AF$2:$AF$2501,"Y")&gt;0,"","NO EXEMPTION"))),"")</f>
        <v/>
      </c>
    </row>
    <row r="890" spans="46:54" x14ac:dyDescent="0.25">
      <c r="AT890" s="2" t="str">
        <f>IF($L890="","",IFERROR(INDEX('AR SALES'!$H$2:$H$2501,MATCH(""&amp;$L890,'AR SALES'!$AE$2:$AE$2501,0)),""))</f>
        <v/>
      </c>
      <c r="AU890" s="2" t="str">
        <f t="shared" si="52"/>
        <v/>
      </c>
      <c r="AV890" s="2" t="str">
        <f t="shared" si="53"/>
        <v/>
      </c>
      <c r="AW890" s="2" t="str">
        <f t="shared" si="54"/>
        <v/>
      </c>
      <c r="AX890" s="2" t="str">
        <f t="shared" si="55"/>
        <v/>
      </c>
      <c r="AY890" s="2" t="str">
        <f>IF($AV890="","",IF(AND($Z890=0,COUNTIF('AR SALES'!$L$2:$L$2501,$L890)=0),"YES",""))</f>
        <v/>
      </c>
      <c r="AZ890" s="2" t="str">
        <f>IF($AV890="","",IF(COUNTIF(LISTS!$C$2:$C$250,$AU890)=0,"NEW",""))</f>
        <v/>
      </c>
      <c r="BA890" s="2" t="str">
        <f>IF(""&amp;$F890&lt;&gt;"4","",IF($AY890="YES","",IF(ROUND(SUMIFS($AE$2:$AE$4001,$L$2:$L$4001,$L890,$F$2:$F$4001,"4")-SUMIFS('AR SALES'!$Y$2:$Y$2501,'AR SALES'!$L$2:$L$2501,$L890,'AR SALES'!$AD$2:$AD$2501,"OFF"),2)=0,"","STALE")))</f>
        <v/>
      </c>
      <c r="BB890" s="2" t="str">
        <f>IF(OR(""&amp;$F890="2",""&amp;$F890="4",""&amp;$F890="G",""&amp;$F890="H"),IF($AY890="YES","",IF($AB890&lt;&gt;0,"",IF(COUNTIFS('AR SALES'!$L$2:$L$2501,$L890,'AR SALES'!$AD$2:$AD$2501,IF(""&amp;$F890="4","OFF","ON"),'AR SALES'!$AF$2:$AF$2501,"Y")&gt;0,"","NO EXEMPTION"))),"")</f>
        <v/>
      </c>
    </row>
    <row r="891" spans="46:54" x14ac:dyDescent="0.25">
      <c r="AT891" s="2" t="str">
        <f>IF($L891="","",IFERROR(INDEX('AR SALES'!$H$2:$H$2501,MATCH(""&amp;$L891,'AR SALES'!$AE$2:$AE$2501,0)),""))</f>
        <v/>
      </c>
      <c r="AU891" s="2" t="str">
        <f t="shared" si="52"/>
        <v/>
      </c>
      <c r="AV891" s="2" t="str">
        <f t="shared" si="53"/>
        <v/>
      </c>
      <c r="AW891" s="2" t="str">
        <f t="shared" si="54"/>
        <v/>
      </c>
      <c r="AX891" s="2" t="str">
        <f t="shared" si="55"/>
        <v/>
      </c>
      <c r="AY891" s="2" t="str">
        <f>IF($AV891="","",IF(AND($Z891=0,COUNTIF('AR SALES'!$L$2:$L$2501,$L891)=0),"YES",""))</f>
        <v/>
      </c>
      <c r="AZ891" s="2" t="str">
        <f>IF($AV891="","",IF(COUNTIF(LISTS!$C$2:$C$250,$AU891)=0,"NEW",""))</f>
        <v/>
      </c>
      <c r="BA891" s="2" t="str">
        <f>IF(""&amp;$F891&lt;&gt;"4","",IF($AY891="YES","",IF(ROUND(SUMIFS($AE$2:$AE$4001,$L$2:$L$4001,$L891,$F$2:$F$4001,"4")-SUMIFS('AR SALES'!$Y$2:$Y$2501,'AR SALES'!$L$2:$L$2501,$L891,'AR SALES'!$AD$2:$AD$2501,"OFF"),2)=0,"","STALE")))</f>
        <v/>
      </c>
      <c r="BB891" s="2" t="str">
        <f>IF(OR(""&amp;$F891="2",""&amp;$F891="4",""&amp;$F891="G",""&amp;$F891="H"),IF($AY891="YES","",IF($AB891&lt;&gt;0,"",IF(COUNTIFS('AR SALES'!$L$2:$L$2501,$L891,'AR SALES'!$AD$2:$AD$2501,IF(""&amp;$F891="4","OFF","ON"),'AR SALES'!$AF$2:$AF$2501,"Y")&gt;0,"","NO EXEMPTION"))),"")</f>
        <v/>
      </c>
    </row>
    <row r="892" spans="46:54" x14ac:dyDescent="0.25">
      <c r="AT892" s="2" t="str">
        <f>IF($L892="","",IFERROR(INDEX('AR SALES'!$H$2:$H$2501,MATCH(""&amp;$L892,'AR SALES'!$AE$2:$AE$2501,0)),""))</f>
        <v/>
      </c>
      <c r="AU892" s="2" t="str">
        <f t="shared" si="52"/>
        <v/>
      </c>
      <c r="AV892" s="2" t="str">
        <f t="shared" si="53"/>
        <v/>
      </c>
      <c r="AW892" s="2" t="str">
        <f t="shared" si="54"/>
        <v/>
      </c>
      <c r="AX892" s="2" t="str">
        <f t="shared" si="55"/>
        <v/>
      </c>
      <c r="AY892" s="2" t="str">
        <f>IF($AV892="","",IF(AND($Z892=0,COUNTIF('AR SALES'!$L$2:$L$2501,$L892)=0),"YES",""))</f>
        <v/>
      </c>
      <c r="AZ892" s="2" t="str">
        <f>IF($AV892="","",IF(COUNTIF(LISTS!$C$2:$C$250,$AU892)=0,"NEW",""))</f>
        <v/>
      </c>
      <c r="BA892" s="2" t="str">
        <f>IF(""&amp;$F892&lt;&gt;"4","",IF($AY892="YES","",IF(ROUND(SUMIFS($AE$2:$AE$4001,$L$2:$L$4001,$L892,$F$2:$F$4001,"4")-SUMIFS('AR SALES'!$Y$2:$Y$2501,'AR SALES'!$L$2:$L$2501,$L892,'AR SALES'!$AD$2:$AD$2501,"OFF"),2)=0,"","STALE")))</f>
        <v/>
      </c>
      <c r="BB892" s="2" t="str">
        <f>IF(OR(""&amp;$F892="2",""&amp;$F892="4",""&amp;$F892="G",""&amp;$F892="H"),IF($AY892="YES","",IF($AB892&lt;&gt;0,"",IF(COUNTIFS('AR SALES'!$L$2:$L$2501,$L892,'AR SALES'!$AD$2:$AD$2501,IF(""&amp;$F892="4","OFF","ON"),'AR SALES'!$AF$2:$AF$2501,"Y")&gt;0,"","NO EXEMPTION"))),"")</f>
        <v/>
      </c>
    </row>
    <row r="893" spans="46:54" x14ac:dyDescent="0.25">
      <c r="AT893" s="2" t="str">
        <f>IF($L893="","",IFERROR(INDEX('AR SALES'!$H$2:$H$2501,MATCH(""&amp;$L893,'AR SALES'!$AE$2:$AE$2501,0)),""))</f>
        <v/>
      </c>
      <c r="AU893" s="2" t="str">
        <f t="shared" si="52"/>
        <v/>
      </c>
      <c r="AV893" s="2" t="str">
        <f t="shared" si="53"/>
        <v/>
      </c>
      <c r="AW893" s="2" t="str">
        <f t="shared" si="54"/>
        <v/>
      </c>
      <c r="AX893" s="2" t="str">
        <f t="shared" si="55"/>
        <v/>
      </c>
      <c r="AY893" s="2" t="str">
        <f>IF($AV893="","",IF(AND($Z893=0,COUNTIF('AR SALES'!$L$2:$L$2501,$L893)=0),"YES",""))</f>
        <v/>
      </c>
      <c r="AZ893" s="2" t="str">
        <f>IF($AV893="","",IF(COUNTIF(LISTS!$C$2:$C$250,$AU893)=0,"NEW",""))</f>
        <v/>
      </c>
      <c r="BA893" s="2" t="str">
        <f>IF(""&amp;$F893&lt;&gt;"4","",IF($AY893="YES","",IF(ROUND(SUMIFS($AE$2:$AE$4001,$L$2:$L$4001,$L893,$F$2:$F$4001,"4")-SUMIFS('AR SALES'!$Y$2:$Y$2501,'AR SALES'!$L$2:$L$2501,$L893,'AR SALES'!$AD$2:$AD$2501,"OFF"),2)=0,"","STALE")))</f>
        <v/>
      </c>
      <c r="BB893" s="2" t="str">
        <f>IF(OR(""&amp;$F893="2",""&amp;$F893="4",""&amp;$F893="G",""&amp;$F893="H"),IF($AY893="YES","",IF($AB893&lt;&gt;0,"",IF(COUNTIFS('AR SALES'!$L$2:$L$2501,$L893,'AR SALES'!$AD$2:$AD$2501,IF(""&amp;$F893="4","OFF","ON"),'AR SALES'!$AF$2:$AF$2501,"Y")&gt;0,"","NO EXEMPTION"))),"")</f>
        <v/>
      </c>
    </row>
    <row r="894" spans="46:54" x14ac:dyDescent="0.25">
      <c r="AT894" s="2" t="str">
        <f>IF($L894="","",IFERROR(INDEX('AR SALES'!$H$2:$H$2501,MATCH(""&amp;$L894,'AR SALES'!$AE$2:$AE$2501,0)),""))</f>
        <v/>
      </c>
      <c r="AU894" s="2" t="str">
        <f t="shared" si="52"/>
        <v/>
      </c>
      <c r="AV894" s="2" t="str">
        <f t="shared" si="53"/>
        <v/>
      </c>
      <c r="AW894" s="2" t="str">
        <f t="shared" si="54"/>
        <v/>
      </c>
      <c r="AX894" s="2" t="str">
        <f t="shared" si="55"/>
        <v/>
      </c>
      <c r="AY894" s="2" t="str">
        <f>IF($AV894="","",IF(AND($Z894=0,COUNTIF('AR SALES'!$L$2:$L$2501,$L894)=0),"YES",""))</f>
        <v/>
      </c>
      <c r="AZ894" s="2" t="str">
        <f>IF($AV894="","",IF(COUNTIF(LISTS!$C$2:$C$250,$AU894)=0,"NEW",""))</f>
        <v/>
      </c>
      <c r="BA894" s="2" t="str">
        <f>IF(""&amp;$F894&lt;&gt;"4","",IF($AY894="YES","",IF(ROUND(SUMIFS($AE$2:$AE$4001,$L$2:$L$4001,$L894,$F$2:$F$4001,"4")-SUMIFS('AR SALES'!$Y$2:$Y$2501,'AR SALES'!$L$2:$L$2501,$L894,'AR SALES'!$AD$2:$AD$2501,"OFF"),2)=0,"","STALE")))</f>
        <v/>
      </c>
      <c r="BB894" s="2" t="str">
        <f>IF(OR(""&amp;$F894="2",""&amp;$F894="4",""&amp;$F894="G",""&amp;$F894="H"),IF($AY894="YES","",IF($AB894&lt;&gt;0,"",IF(COUNTIFS('AR SALES'!$L$2:$L$2501,$L894,'AR SALES'!$AD$2:$AD$2501,IF(""&amp;$F894="4","OFF","ON"),'AR SALES'!$AF$2:$AF$2501,"Y")&gt;0,"","NO EXEMPTION"))),"")</f>
        <v/>
      </c>
    </row>
    <row r="895" spans="46:54" x14ac:dyDescent="0.25">
      <c r="AT895" s="2" t="str">
        <f>IF($L895="","",IFERROR(INDEX('AR SALES'!$H$2:$H$2501,MATCH(""&amp;$L895,'AR SALES'!$AE$2:$AE$2501,0)),""))</f>
        <v/>
      </c>
      <c r="AU895" s="2" t="str">
        <f t="shared" si="52"/>
        <v/>
      </c>
      <c r="AV895" s="2" t="str">
        <f t="shared" si="53"/>
        <v/>
      </c>
      <c r="AW895" s="2" t="str">
        <f t="shared" si="54"/>
        <v/>
      </c>
      <c r="AX895" s="2" t="str">
        <f t="shared" si="55"/>
        <v/>
      </c>
      <c r="AY895" s="2" t="str">
        <f>IF($AV895="","",IF(AND($Z895=0,COUNTIF('AR SALES'!$L$2:$L$2501,$L895)=0),"YES",""))</f>
        <v/>
      </c>
      <c r="AZ895" s="2" t="str">
        <f>IF($AV895="","",IF(COUNTIF(LISTS!$C$2:$C$250,$AU895)=0,"NEW",""))</f>
        <v/>
      </c>
      <c r="BA895" s="2" t="str">
        <f>IF(""&amp;$F895&lt;&gt;"4","",IF($AY895="YES","",IF(ROUND(SUMIFS($AE$2:$AE$4001,$L$2:$L$4001,$L895,$F$2:$F$4001,"4")-SUMIFS('AR SALES'!$Y$2:$Y$2501,'AR SALES'!$L$2:$L$2501,$L895,'AR SALES'!$AD$2:$AD$2501,"OFF"),2)=0,"","STALE")))</f>
        <v/>
      </c>
      <c r="BB895" s="2" t="str">
        <f>IF(OR(""&amp;$F895="2",""&amp;$F895="4",""&amp;$F895="G",""&amp;$F895="H"),IF($AY895="YES","",IF($AB895&lt;&gt;0,"",IF(COUNTIFS('AR SALES'!$L$2:$L$2501,$L895,'AR SALES'!$AD$2:$AD$2501,IF(""&amp;$F895="4","OFF","ON"),'AR SALES'!$AF$2:$AF$2501,"Y")&gt;0,"","NO EXEMPTION"))),"")</f>
        <v/>
      </c>
    </row>
    <row r="896" spans="46:54" x14ac:dyDescent="0.25">
      <c r="AT896" s="2" t="str">
        <f>IF($L896="","",IFERROR(INDEX('AR SALES'!$H$2:$H$2501,MATCH(""&amp;$L896,'AR SALES'!$AE$2:$AE$2501,0)),""))</f>
        <v/>
      </c>
      <c r="AU896" s="2" t="str">
        <f t="shared" si="52"/>
        <v/>
      </c>
      <c r="AV896" s="2" t="str">
        <f t="shared" si="53"/>
        <v/>
      </c>
      <c r="AW896" s="2" t="str">
        <f t="shared" si="54"/>
        <v/>
      </c>
      <c r="AX896" s="2" t="str">
        <f t="shared" si="55"/>
        <v/>
      </c>
      <c r="AY896" s="2" t="str">
        <f>IF($AV896="","",IF(AND($Z896=0,COUNTIF('AR SALES'!$L$2:$L$2501,$L896)=0),"YES",""))</f>
        <v/>
      </c>
      <c r="AZ896" s="2" t="str">
        <f>IF($AV896="","",IF(COUNTIF(LISTS!$C$2:$C$250,$AU896)=0,"NEW",""))</f>
        <v/>
      </c>
      <c r="BA896" s="2" t="str">
        <f>IF(""&amp;$F896&lt;&gt;"4","",IF($AY896="YES","",IF(ROUND(SUMIFS($AE$2:$AE$4001,$L$2:$L$4001,$L896,$F$2:$F$4001,"4")-SUMIFS('AR SALES'!$Y$2:$Y$2501,'AR SALES'!$L$2:$L$2501,$L896,'AR SALES'!$AD$2:$AD$2501,"OFF"),2)=0,"","STALE")))</f>
        <v/>
      </c>
      <c r="BB896" s="2" t="str">
        <f>IF(OR(""&amp;$F896="2",""&amp;$F896="4",""&amp;$F896="G",""&amp;$F896="H"),IF($AY896="YES","",IF($AB896&lt;&gt;0,"",IF(COUNTIFS('AR SALES'!$L$2:$L$2501,$L896,'AR SALES'!$AD$2:$AD$2501,IF(""&amp;$F896="4","OFF","ON"),'AR SALES'!$AF$2:$AF$2501,"Y")&gt;0,"","NO EXEMPTION"))),"")</f>
        <v/>
      </c>
    </row>
    <row r="897" spans="46:54" x14ac:dyDescent="0.25">
      <c r="AT897" s="2" t="str">
        <f>IF($L897="","",IFERROR(INDEX('AR SALES'!$H$2:$H$2501,MATCH(""&amp;$L897,'AR SALES'!$AE$2:$AE$2501,0)),""))</f>
        <v/>
      </c>
      <c r="AU897" s="2" t="str">
        <f t="shared" si="52"/>
        <v/>
      </c>
      <c r="AV897" s="2" t="str">
        <f t="shared" si="53"/>
        <v/>
      </c>
      <c r="AW897" s="2" t="str">
        <f t="shared" si="54"/>
        <v/>
      </c>
      <c r="AX897" s="2" t="str">
        <f t="shared" si="55"/>
        <v/>
      </c>
      <c r="AY897" s="2" t="str">
        <f>IF($AV897="","",IF(AND($Z897=0,COUNTIF('AR SALES'!$L$2:$L$2501,$L897)=0),"YES",""))</f>
        <v/>
      </c>
      <c r="AZ897" s="2" t="str">
        <f>IF($AV897="","",IF(COUNTIF(LISTS!$C$2:$C$250,$AU897)=0,"NEW",""))</f>
        <v/>
      </c>
      <c r="BA897" s="2" t="str">
        <f>IF(""&amp;$F897&lt;&gt;"4","",IF($AY897="YES","",IF(ROUND(SUMIFS($AE$2:$AE$4001,$L$2:$L$4001,$L897,$F$2:$F$4001,"4")-SUMIFS('AR SALES'!$Y$2:$Y$2501,'AR SALES'!$L$2:$L$2501,$L897,'AR SALES'!$AD$2:$AD$2501,"OFF"),2)=0,"","STALE")))</f>
        <v/>
      </c>
      <c r="BB897" s="2" t="str">
        <f>IF(OR(""&amp;$F897="2",""&amp;$F897="4",""&amp;$F897="G",""&amp;$F897="H"),IF($AY897="YES","",IF($AB897&lt;&gt;0,"",IF(COUNTIFS('AR SALES'!$L$2:$L$2501,$L897,'AR SALES'!$AD$2:$AD$2501,IF(""&amp;$F897="4","OFF","ON"),'AR SALES'!$AF$2:$AF$2501,"Y")&gt;0,"","NO EXEMPTION"))),"")</f>
        <v/>
      </c>
    </row>
    <row r="898" spans="46:54" x14ac:dyDescent="0.25">
      <c r="AT898" s="2" t="str">
        <f>IF($L898="","",IFERROR(INDEX('AR SALES'!$H$2:$H$2501,MATCH(""&amp;$L898,'AR SALES'!$AE$2:$AE$2501,0)),""))</f>
        <v/>
      </c>
      <c r="AU898" s="2" t="str">
        <f t="shared" ref="AU898:AU961" si="56">IF($L898="","",IF($A898&lt;&gt;"GA","",IF($E898="FULTON",IF(ISNUMBER(SEARCH("COLLEGE PARK",$AT898)),"FULTON (COLLEGE PARK)",IF(ISNUMBER(SEARCH("ATLANTA CITY",$AT898)),"FULTON (ATL LIMITS)","FULTON")),IF($E898="DEKALB",IF(ISNUMBER(SEARCH("ATLANTA CITY",$AT898)),"DEKALB (ATL LIMITS)","DEKALB"),$E898))))</f>
        <v/>
      </c>
      <c r="AV898" s="2" t="str">
        <f t="shared" ref="AV898:AV961" si="57">IF($L898="","",IF(""&amp;$F898="2","DIESEL",IF(OR(""&amp;$F898="G",""&amp;$F898="H"),"GAS","")))</f>
        <v/>
      </c>
      <c r="AW898" s="2" t="str">
        <f t="shared" ref="AW898:AW961" si="58">IF($AV898="","",$R898)</f>
        <v/>
      </c>
      <c r="AX898" s="2" t="str">
        <f t="shared" ref="AX898:AX961" si="59">IF($AV898="","",IF($AB898=0,$R898,0))</f>
        <v/>
      </c>
      <c r="AY898" s="2" t="str">
        <f>IF($AV898="","",IF(AND($Z898=0,COUNTIF('AR SALES'!$L$2:$L$2501,$L898)=0),"YES",""))</f>
        <v/>
      </c>
      <c r="AZ898" s="2" t="str">
        <f>IF($AV898="","",IF(COUNTIF(LISTS!$C$2:$C$250,$AU898)=0,"NEW",""))</f>
        <v/>
      </c>
      <c r="BA898" s="2" t="str">
        <f>IF(""&amp;$F898&lt;&gt;"4","",IF($AY898="YES","",IF(ROUND(SUMIFS($AE$2:$AE$4001,$L$2:$L$4001,$L898,$F$2:$F$4001,"4")-SUMIFS('AR SALES'!$Y$2:$Y$2501,'AR SALES'!$L$2:$L$2501,$L898,'AR SALES'!$AD$2:$AD$2501,"OFF"),2)=0,"","STALE")))</f>
        <v/>
      </c>
      <c r="BB898" s="2" t="str">
        <f>IF(OR(""&amp;$F898="2",""&amp;$F898="4",""&amp;$F898="G",""&amp;$F898="H"),IF($AY898="YES","",IF($AB898&lt;&gt;0,"",IF(COUNTIFS('AR SALES'!$L$2:$L$2501,$L898,'AR SALES'!$AD$2:$AD$2501,IF(""&amp;$F898="4","OFF","ON"),'AR SALES'!$AF$2:$AF$2501,"Y")&gt;0,"","NO EXEMPTION"))),"")</f>
        <v/>
      </c>
    </row>
    <row r="899" spans="46:54" x14ac:dyDescent="0.25">
      <c r="AT899" s="2" t="str">
        <f>IF($L899="","",IFERROR(INDEX('AR SALES'!$H$2:$H$2501,MATCH(""&amp;$L899,'AR SALES'!$AE$2:$AE$2501,0)),""))</f>
        <v/>
      </c>
      <c r="AU899" s="2" t="str">
        <f t="shared" si="56"/>
        <v/>
      </c>
      <c r="AV899" s="2" t="str">
        <f t="shared" si="57"/>
        <v/>
      </c>
      <c r="AW899" s="2" t="str">
        <f t="shared" si="58"/>
        <v/>
      </c>
      <c r="AX899" s="2" t="str">
        <f t="shared" si="59"/>
        <v/>
      </c>
      <c r="AY899" s="2" t="str">
        <f>IF($AV899="","",IF(AND($Z899=0,COUNTIF('AR SALES'!$L$2:$L$2501,$L899)=0),"YES",""))</f>
        <v/>
      </c>
      <c r="AZ899" s="2" t="str">
        <f>IF($AV899="","",IF(COUNTIF(LISTS!$C$2:$C$250,$AU899)=0,"NEW",""))</f>
        <v/>
      </c>
      <c r="BA899" s="2" t="str">
        <f>IF(""&amp;$F899&lt;&gt;"4","",IF($AY899="YES","",IF(ROUND(SUMIFS($AE$2:$AE$4001,$L$2:$L$4001,$L899,$F$2:$F$4001,"4")-SUMIFS('AR SALES'!$Y$2:$Y$2501,'AR SALES'!$L$2:$L$2501,$L899,'AR SALES'!$AD$2:$AD$2501,"OFF"),2)=0,"","STALE")))</f>
        <v/>
      </c>
      <c r="BB899" s="2" t="str">
        <f>IF(OR(""&amp;$F899="2",""&amp;$F899="4",""&amp;$F899="G",""&amp;$F899="H"),IF($AY899="YES","",IF($AB899&lt;&gt;0,"",IF(COUNTIFS('AR SALES'!$L$2:$L$2501,$L899,'AR SALES'!$AD$2:$AD$2501,IF(""&amp;$F899="4","OFF","ON"),'AR SALES'!$AF$2:$AF$2501,"Y")&gt;0,"","NO EXEMPTION"))),"")</f>
        <v/>
      </c>
    </row>
    <row r="900" spans="46:54" x14ac:dyDescent="0.25">
      <c r="AT900" s="2" t="str">
        <f>IF($L900="","",IFERROR(INDEX('AR SALES'!$H$2:$H$2501,MATCH(""&amp;$L900,'AR SALES'!$AE$2:$AE$2501,0)),""))</f>
        <v/>
      </c>
      <c r="AU900" s="2" t="str">
        <f t="shared" si="56"/>
        <v/>
      </c>
      <c r="AV900" s="2" t="str">
        <f t="shared" si="57"/>
        <v/>
      </c>
      <c r="AW900" s="2" t="str">
        <f t="shared" si="58"/>
        <v/>
      </c>
      <c r="AX900" s="2" t="str">
        <f t="shared" si="59"/>
        <v/>
      </c>
      <c r="AY900" s="2" t="str">
        <f>IF($AV900="","",IF(AND($Z900=0,COUNTIF('AR SALES'!$L$2:$L$2501,$L900)=0),"YES",""))</f>
        <v/>
      </c>
      <c r="AZ900" s="2" t="str">
        <f>IF($AV900="","",IF(COUNTIF(LISTS!$C$2:$C$250,$AU900)=0,"NEW",""))</f>
        <v/>
      </c>
      <c r="BA900" s="2" t="str">
        <f>IF(""&amp;$F900&lt;&gt;"4","",IF($AY900="YES","",IF(ROUND(SUMIFS($AE$2:$AE$4001,$L$2:$L$4001,$L900,$F$2:$F$4001,"4")-SUMIFS('AR SALES'!$Y$2:$Y$2501,'AR SALES'!$L$2:$L$2501,$L900,'AR SALES'!$AD$2:$AD$2501,"OFF"),2)=0,"","STALE")))</f>
        <v/>
      </c>
      <c r="BB900" s="2" t="str">
        <f>IF(OR(""&amp;$F900="2",""&amp;$F900="4",""&amp;$F900="G",""&amp;$F900="H"),IF($AY900="YES","",IF($AB900&lt;&gt;0,"",IF(COUNTIFS('AR SALES'!$L$2:$L$2501,$L900,'AR SALES'!$AD$2:$AD$2501,IF(""&amp;$F900="4","OFF","ON"),'AR SALES'!$AF$2:$AF$2501,"Y")&gt;0,"","NO EXEMPTION"))),"")</f>
        <v/>
      </c>
    </row>
    <row r="901" spans="46:54" x14ac:dyDescent="0.25">
      <c r="AT901" s="2" t="str">
        <f>IF($L901="","",IFERROR(INDEX('AR SALES'!$H$2:$H$2501,MATCH(""&amp;$L901,'AR SALES'!$AE$2:$AE$2501,0)),""))</f>
        <v/>
      </c>
      <c r="AU901" s="2" t="str">
        <f t="shared" si="56"/>
        <v/>
      </c>
      <c r="AV901" s="2" t="str">
        <f t="shared" si="57"/>
        <v/>
      </c>
      <c r="AW901" s="2" t="str">
        <f t="shared" si="58"/>
        <v/>
      </c>
      <c r="AX901" s="2" t="str">
        <f t="shared" si="59"/>
        <v/>
      </c>
      <c r="AY901" s="2" t="str">
        <f>IF($AV901="","",IF(AND($Z901=0,COUNTIF('AR SALES'!$L$2:$L$2501,$L901)=0),"YES",""))</f>
        <v/>
      </c>
      <c r="AZ901" s="2" t="str">
        <f>IF($AV901="","",IF(COUNTIF(LISTS!$C$2:$C$250,$AU901)=0,"NEW",""))</f>
        <v/>
      </c>
      <c r="BA901" s="2" t="str">
        <f>IF(""&amp;$F901&lt;&gt;"4","",IF($AY901="YES","",IF(ROUND(SUMIFS($AE$2:$AE$4001,$L$2:$L$4001,$L901,$F$2:$F$4001,"4")-SUMIFS('AR SALES'!$Y$2:$Y$2501,'AR SALES'!$L$2:$L$2501,$L901,'AR SALES'!$AD$2:$AD$2501,"OFF"),2)=0,"","STALE")))</f>
        <v/>
      </c>
      <c r="BB901" s="2" t="str">
        <f>IF(OR(""&amp;$F901="2",""&amp;$F901="4",""&amp;$F901="G",""&amp;$F901="H"),IF($AY901="YES","",IF($AB901&lt;&gt;0,"",IF(COUNTIFS('AR SALES'!$L$2:$L$2501,$L901,'AR SALES'!$AD$2:$AD$2501,IF(""&amp;$F901="4","OFF","ON"),'AR SALES'!$AF$2:$AF$2501,"Y")&gt;0,"","NO EXEMPTION"))),"")</f>
        <v/>
      </c>
    </row>
    <row r="902" spans="46:54" x14ac:dyDescent="0.25">
      <c r="AT902" s="2" t="str">
        <f>IF($L902="","",IFERROR(INDEX('AR SALES'!$H$2:$H$2501,MATCH(""&amp;$L902,'AR SALES'!$AE$2:$AE$2501,0)),""))</f>
        <v/>
      </c>
      <c r="AU902" s="2" t="str">
        <f t="shared" si="56"/>
        <v/>
      </c>
      <c r="AV902" s="2" t="str">
        <f t="shared" si="57"/>
        <v/>
      </c>
      <c r="AW902" s="2" t="str">
        <f t="shared" si="58"/>
        <v/>
      </c>
      <c r="AX902" s="2" t="str">
        <f t="shared" si="59"/>
        <v/>
      </c>
      <c r="AY902" s="2" t="str">
        <f>IF($AV902="","",IF(AND($Z902=0,COUNTIF('AR SALES'!$L$2:$L$2501,$L902)=0),"YES",""))</f>
        <v/>
      </c>
      <c r="AZ902" s="2" t="str">
        <f>IF($AV902="","",IF(COUNTIF(LISTS!$C$2:$C$250,$AU902)=0,"NEW",""))</f>
        <v/>
      </c>
      <c r="BA902" s="2" t="str">
        <f>IF(""&amp;$F902&lt;&gt;"4","",IF($AY902="YES","",IF(ROUND(SUMIFS($AE$2:$AE$4001,$L$2:$L$4001,$L902,$F$2:$F$4001,"4")-SUMIFS('AR SALES'!$Y$2:$Y$2501,'AR SALES'!$L$2:$L$2501,$L902,'AR SALES'!$AD$2:$AD$2501,"OFF"),2)=0,"","STALE")))</f>
        <v/>
      </c>
      <c r="BB902" s="2" t="str">
        <f>IF(OR(""&amp;$F902="2",""&amp;$F902="4",""&amp;$F902="G",""&amp;$F902="H"),IF($AY902="YES","",IF($AB902&lt;&gt;0,"",IF(COUNTIFS('AR SALES'!$L$2:$L$2501,$L902,'AR SALES'!$AD$2:$AD$2501,IF(""&amp;$F902="4","OFF","ON"),'AR SALES'!$AF$2:$AF$2501,"Y")&gt;0,"","NO EXEMPTION"))),"")</f>
        <v/>
      </c>
    </row>
    <row r="903" spans="46:54" x14ac:dyDescent="0.25">
      <c r="AT903" s="2" t="str">
        <f>IF($L903="","",IFERROR(INDEX('AR SALES'!$H$2:$H$2501,MATCH(""&amp;$L903,'AR SALES'!$AE$2:$AE$2501,0)),""))</f>
        <v/>
      </c>
      <c r="AU903" s="2" t="str">
        <f t="shared" si="56"/>
        <v/>
      </c>
      <c r="AV903" s="2" t="str">
        <f t="shared" si="57"/>
        <v/>
      </c>
      <c r="AW903" s="2" t="str">
        <f t="shared" si="58"/>
        <v/>
      </c>
      <c r="AX903" s="2" t="str">
        <f t="shared" si="59"/>
        <v/>
      </c>
      <c r="AY903" s="2" t="str">
        <f>IF($AV903="","",IF(AND($Z903=0,COUNTIF('AR SALES'!$L$2:$L$2501,$L903)=0),"YES",""))</f>
        <v/>
      </c>
      <c r="AZ903" s="2" t="str">
        <f>IF($AV903="","",IF(COUNTIF(LISTS!$C$2:$C$250,$AU903)=0,"NEW",""))</f>
        <v/>
      </c>
      <c r="BA903" s="2" t="str">
        <f>IF(""&amp;$F903&lt;&gt;"4","",IF($AY903="YES","",IF(ROUND(SUMIFS($AE$2:$AE$4001,$L$2:$L$4001,$L903,$F$2:$F$4001,"4")-SUMIFS('AR SALES'!$Y$2:$Y$2501,'AR SALES'!$L$2:$L$2501,$L903,'AR SALES'!$AD$2:$AD$2501,"OFF"),2)=0,"","STALE")))</f>
        <v/>
      </c>
      <c r="BB903" s="2" t="str">
        <f>IF(OR(""&amp;$F903="2",""&amp;$F903="4",""&amp;$F903="G",""&amp;$F903="H"),IF($AY903="YES","",IF($AB903&lt;&gt;0,"",IF(COUNTIFS('AR SALES'!$L$2:$L$2501,$L903,'AR SALES'!$AD$2:$AD$2501,IF(""&amp;$F903="4","OFF","ON"),'AR SALES'!$AF$2:$AF$2501,"Y")&gt;0,"","NO EXEMPTION"))),"")</f>
        <v/>
      </c>
    </row>
    <row r="904" spans="46:54" x14ac:dyDescent="0.25">
      <c r="AT904" s="2" t="str">
        <f>IF($L904="","",IFERROR(INDEX('AR SALES'!$H$2:$H$2501,MATCH(""&amp;$L904,'AR SALES'!$AE$2:$AE$2501,0)),""))</f>
        <v/>
      </c>
      <c r="AU904" s="2" t="str">
        <f t="shared" si="56"/>
        <v/>
      </c>
      <c r="AV904" s="2" t="str">
        <f t="shared" si="57"/>
        <v/>
      </c>
      <c r="AW904" s="2" t="str">
        <f t="shared" si="58"/>
        <v/>
      </c>
      <c r="AX904" s="2" t="str">
        <f t="shared" si="59"/>
        <v/>
      </c>
      <c r="AY904" s="2" t="str">
        <f>IF($AV904="","",IF(AND($Z904=0,COUNTIF('AR SALES'!$L$2:$L$2501,$L904)=0),"YES",""))</f>
        <v/>
      </c>
      <c r="AZ904" s="2" t="str">
        <f>IF($AV904="","",IF(COUNTIF(LISTS!$C$2:$C$250,$AU904)=0,"NEW",""))</f>
        <v/>
      </c>
      <c r="BA904" s="2" t="str">
        <f>IF(""&amp;$F904&lt;&gt;"4","",IF($AY904="YES","",IF(ROUND(SUMIFS($AE$2:$AE$4001,$L$2:$L$4001,$L904,$F$2:$F$4001,"4")-SUMIFS('AR SALES'!$Y$2:$Y$2501,'AR SALES'!$L$2:$L$2501,$L904,'AR SALES'!$AD$2:$AD$2501,"OFF"),2)=0,"","STALE")))</f>
        <v/>
      </c>
      <c r="BB904" s="2" t="str">
        <f>IF(OR(""&amp;$F904="2",""&amp;$F904="4",""&amp;$F904="G",""&amp;$F904="H"),IF($AY904="YES","",IF($AB904&lt;&gt;0,"",IF(COUNTIFS('AR SALES'!$L$2:$L$2501,$L904,'AR SALES'!$AD$2:$AD$2501,IF(""&amp;$F904="4","OFF","ON"),'AR SALES'!$AF$2:$AF$2501,"Y")&gt;0,"","NO EXEMPTION"))),"")</f>
        <v/>
      </c>
    </row>
    <row r="905" spans="46:54" x14ac:dyDescent="0.25">
      <c r="AT905" s="2" t="str">
        <f>IF($L905="","",IFERROR(INDEX('AR SALES'!$H$2:$H$2501,MATCH(""&amp;$L905,'AR SALES'!$AE$2:$AE$2501,0)),""))</f>
        <v/>
      </c>
      <c r="AU905" s="2" t="str">
        <f t="shared" si="56"/>
        <v/>
      </c>
      <c r="AV905" s="2" t="str">
        <f t="shared" si="57"/>
        <v/>
      </c>
      <c r="AW905" s="2" t="str">
        <f t="shared" si="58"/>
        <v/>
      </c>
      <c r="AX905" s="2" t="str">
        <f t="shared" si="59"/>
        <v/>
      </c>
      <c r="AY905" s="2" t="str">
        <f>IF($AV905="","",IF(AND($Z905=0,COUNTIF('AR SALES'!$L$2:$L$2501,$L905)=0),"YES",""))</f>
        <v/>
      </c>
      <c r="AZ905" s="2" t="str">
        <f>IF($AV905="","",IF(COUNTIF(LISTS!$C$2:$C$250,$AU905)=0,"NEW",""))</f>
        <v/>
      </c>
      <c r="BA905" s="2" t="str">
        <f>IF(""&amp;$F905&lt;&gt;"4","",IF($AY905="YES","",IF(ROUND(SUMIFS($AE$2:$AE$4001,$L$2:$L$4001,$L905,$F$2:$F$4001,"4")-SUMIFS('AR SALES'!$Y$2:$Y$2501,'AR SALES'!$L$2:$L$2501,$L905,'AR SALES'!$AD$2:$AD$2501,"OFF"),2)=0,"","STALE")))</f>
        <v/>
      </c>
      <c r="BB905" s="2" t="str">
        <f>IF(OR(""&amp;$F905="2",""&amp;$F905="4",""&amp;$F905="G",""&amp;$F905="H"),IF($AY905="YES","",IF($AB905&lt;&gt;0,"",IF(COUNTIFS('AR SALES'!$L$2:$L$2501,$L905,'AR SALES'!$AD$2:$AD$2501,IF(""&amp;$F905="4","OFF","ON"),'AR SALES'!$AF$2:$AF$2501,"Y")&gt;0,"","NO EXEMPTION"))),"")</f>
        <v/>
      </c>
    </row>
    <row r="906" spans="46:54" x14ac:dyDescent="0.25">
      <c r="AT906" s="2" t="str">
        <f>IF($L906="","",IFERROR(INDEX('AR SALES'!$H$2:$H$2501,MATCH(""&amp;$L906,'AR SALES'!$AE$2:$AE$2501,0)),""))</f>
        <v/>
      </c>
      <c r="AU906" s="2" t="str">
        <f t="shared" si="56"/>
        <v/>
      </c>
      <c r="AV906" s="2" t="str">
        <f t="shared" si="57"/>
        <v/>
      </c>
      <c r="AW906" s="2" t="str">
        <f t="shared" si="58"/>
        <v/>
      </c>
      <c r="AX906" s="2" t="str">
        <f t="shared" si="59"/>
        <v/>
      </c>
      <c r="AY906" s="2" t="str">
        <f>IF($AV906="","",IF(AND($Z906=0,COUNTIF('AR SALES'!$L$2:$L$2501,$L906)=0),"YES",""))</f>
        <v/>
      </c>
      <c r="AZ906" s="2" t="str">
        <f>IF($AV906="","",IF(COUNTIF(LISTS!$C$2:$C$250,$AU906)=0,"NEW",""))</f>
        <v/>
      </c>
      <c r="BA906" s="2" t="str">
        <f>IF(""&amp;$F906&lt;&gt;"4","",IF($AY906="YES","",IF(ROUND(SUMIFS($AE$2:$AE$4001,$L$2:$L$4001,$L906,$F$2:$F$4001,"4")-SUMIFS('AR SALES'!$Y$2:$Y$2501,'AR SALES'!$L$2:$L$2501,$L906,'AR SALES'!$AD$2:$AD$2501,"OFF"),2)=0,"","STALE")))</f>
        <v/>
      </c>
      <c r="BB906" s="2" t="str">
        <f>IF(OR(""&amp;$F906="2",""&amp;$F906="4",""&amp;$F906="G",""&amp;$F906="H"),IF($AY906="YES","",IF($AB906&lt;&gt;0,"",IF(COUNTIFS('AR SALES'!$L$2:$L$2501,$L906,'AR SALES'!$AD$2:$AD$2501,IF(""&amp;$F906="4","OFF","ON"),'AR SALES'!$AF$2:$AF$2501,"Y")&gt;0,"","NO EXEMPTION"))),"")</f>
        <v/>
      </c>
    </row>
    <row r="907" spans="46:54" x14ac:dyDescent="0.25">
      <c r="AT907" s="2" t="str">
        <f>IF($L907="","",IFERROR(INDEX('AR SALES'!$H$2:$H$2501,MATCH(""&amp;$L907,'AR SALES'!$AE$2:$AE$2501,0)),""))</f>
        <v/>
      </c>
      <c r="AU907" s="2" t="str">
        <f t="shared" si="56"/>
        <v/>
      </c>
      <c r="AV907" s="2" t="str">
        <f t="shared" si="57"/>
        <v/>
      </c>
      <c r="AW907" s="2" t="str">
        <f t="shared" si="58"/>
        <v/>
      </c>
      <c r="AX907" s="2" t="str">
        <f t="shared" si="59"/>
        <v/>
      </c>
      <c r="AY907" s="2" t="str">
        <f>IF($AV907="","",IF(AND($Z907=0,COUNTIF('AR SALES'!$L$2:$L$2501,$L907)=0),"YES",""))</f>
        <v/>
      </c>
      <c r="AZ907" s="2" t="str">
        <f>IF($AV907="","",IF(COUNTIF(LISTS!$C$2:$C$250,$AU907)=0,"NEW",""))</f>
        <v/>
      </c>
      <c r="BA907" s="2" t="str">
        <f>IF(""&amp;$F907&lt;&gt;"4","",IF($AY907="YES","",IF(ROUND(SUMIFS($AE$2:$AE$4001,$L$2:$L$4001,$L907,$F$2:$F$4001,"4")-SUMIFS('AR SALES'!$Y$2:$Y$2501,'AR SALES'!$L$2:$L$2501,$L907,'AR SALES'!$AD$2:$AD$2501,"OFF"),2)=0,"","STALE")))</f>
        <v/>
      </c>
      <c r="BB907" s="2" t="str">
        <f>IF(OR(""&amp;$F907="2",""&amp;$F907="4",""&amp;$F907="G",""&amp;$F907="H"),IF($AY907="YES","",IF($AB907&lt;&gt;0,"",IF(COUNTIFS('AR SALES'!$L$2:$L$2501,$L907,'AR SALES'!$AD$2:$AD$2501,IF(""&amp;$F907="4","OFF","ON"),'AR SALES'!$AF$2:$AF$2501,"Y")&gt;0,"","NO EXEMPTION"))),"")</f>
        <v/>
      </c>
    </row>
    <row r="908" spans="46:54" x14ac:dyDescent="0.25">
      <c r="AT908" s="2" t="str">
        <f>IF($L908="","",IFERROR(INDEX('AR SALES'!$H$2:$H$2501,MATCH(""&amp;$L908,'AR SALES'!$AE$2:$AE$2501,0)),""))</f>
        <v/>
      </c>
      <c r="AU908" s="2" t="str">
        <f t="shared" si="56"/>
        <v/>
      </c>
      <c r="AV908" s="2" t="str">
        <f t="shared" si="57"/>
        <v/>
      </c>
      <c r="AW908" s="2" t="str">
        <f t="shared" si="58"/>
        <v/>
      </c>
      <c r="AX908" s="2" t="str">
        <f t="shared" si="59"/>
        <v/>
      </c>
      <c r="AY908" s="2" t="str">
        <f>IF($AV908="","",IF(AND($Z908=0,COUNTIF('AR SALES'!$L$2:$L$2501,$L908)=0),"YES",""))</f>
        <v/>
      </c>
      <c r="AZ908" s="2" t="str">
        <f>IF($AV908="","",IF(COUNTIF(LISTS!$C$2:$C$250,$AU908)=0,"NEW",""))</f>
        <v/>
      </c>
      <c r="BA908" s="2" t="str">
        <f>IF(""&amp;$F908&lt;&gt;"4","",IF($AY908="YES","",IF(ROUND(SUMIFS($AE$2:$AE$4001,$L$2:$L$4001,$L908,$F$2:$F$4001,"4")-SUMIFS('AR SALES'!$Y$2:$Y$2501,'AR SALES'!$L$2:$L$2501,$L908,'AR SALES'!$AD$2:$AD$2501,"OFF"),2)=0,"","STALE")))</f>
        <v/>
      </c>
      <c r="BB908" s="2" t="str">
        <f>IF(OR(""&amp;$F908="2",""&amp;$F908="4",""&amp;$F908="G",""&amp;$F908="H"),IF($AY908="YES","",IF($AB908&lt;&gt;0,"",IF(COUNTIFS('AR SALES'!$L$2:$L$2501,$L908,'AR SALES'!$AD$2:$AD$2501,IF(""&amp;$F908="4","OFF","ON"),'AR SALES'!$AF$2:$AF$2501,"Y")&gt;0,"","NO EXEMPTION"))),"")</f>
        <v/>
      </c>
    </row>
    <row r="909" spans="46:54" x14ac:dyDescent="0.25">
      <c r="AT909" s="2" t="str">
        <f>IF($L909="","",IFERROR(INDEX('AR SALES'!$H$2:$H$2501,MATCH(""&amp;$L909,'AR SALES'!$AE$2:$AE$2501,0)),""))</f>
        <v/>
      </c>
      <c r="AU909" s="2" t="str">
        <f t="shared" si="56"/>
        <v/>
      </c>
      <c r="AV909" s="2" t="str">
        <f t="shared" si="57"/>
        <v/>
      </c>
      <c r="AW909" s="2" t="str">
        <f t="shared" si="58"/>
        <v/>
      </c>
      <c r="AX909" s="2" t="str">
        <f t="shared" si="59"/>
        <v/>
      </c>
      <c r="AY909" s="2" t="str">
        <f>IF($AV909="","",IF(AND($Z909=0,COUNTIF('AR SALES'!$L$2:$L$2501,$L909)=0),"YES",""))</f>
        <v/>
      </c>
      <c r="AZ909" s="2" t="str">
        <f>IF($AV909="","",IF(COUNTIF(LISTS!$C$2:$C$250,$AU909)=0,"NEW",""))</f>
        <v/>
      </c>
      <c r="BA909" s="2" t="str">
        <f>IF(""&amp;$F909&lt;&gt;"4","",IF($AY909="YES","",IF(ROUND(SUMIFS($AE$2:$AE$4001,$L$2:$L$4001,$L909,$F$2:$F$4001,"4")-SUMIFS('AR SALES'!$Y$2:$Y$2501,'AR SALES'!$L$2:$L$2501,$L909,'AR SALES'!$AD$2:$AD$2501,"OFF"),2)=0,"","STALE")))</f>
        <v/>
      </c>
      <c r="BB909" s="2" t="str">
        <f>IF(OR(""&amp;$F909="2",""&amp;$F909="4",""&amp;$F909="G",""&amp;$F909="H"),IF($AY909="YES","",IF($AB909&lt;&gt;0,"",IF(COUNTIFS('AR SALES'!$L$2:$L$2501,$L909,'AR SALES'!$AD$2:$AD$2501,IF(""&amp;$F909="4","OFF","ON"),'AR SALES'!$AF$2:$AF$2501,"Y")&gt;0,"","NO EXEMPTION"))),"")</f>
        <v/>
      </c>
    </row>
    <row r="910" spans="46:54" x14ac:dyDescent="0.25">
      <c r="AT910" s="2" t="str">
        <f>IF($L910="","",IFERROR(INDEX('AR SALES'!$H$2:$H$2501,MATCH(""&amp;$L910,'AR SALES'!$AE$2:$AE$2501,0)),""))</f>
        <v/>
      </c>
      <c r="AU910" s="2" t="str">
        <f t="shared" si="56"/>
        <v/>
      </c>
      <c r="AV910" s="2" t="str">
        <f t="shared" si="57"/>
        <v/>
      </c>
      <c r="AW910" s="2" t="str">
        <f t="shared" si="58"/>
        <v/>
      </c>
      <c r="AX910" s="2" t="str">
        <f t="shared" si="59"/>
        <v/>
      </c>
      <c r="AY910" s="2" t="str">
        <f>IF($AV910="","",IF(AND($Z910=0,COUNTIF('AR SALES'!$L$2:$L$2501,$L910)=0),"YES",""))</f>
        <v/>
      </c>
      <c r="AZ910" s="2" t="str">
        <f>IF($AV910="","",IF(COUNTIF(LISTS!$C$2:$C$250,$AU910)=0,"NEW",""))</f>
        <v/>
      </c>
      <c r="BA910" s="2" t="str">
        <f>IF(""&amp;$F910&lt;&gt;"4","",IF($AY910="YES","",IF(ROUND(SUMIFS($AE$2:$AE$4001,$L$2:$L$4001,$L910,$F$2:$F$4001,"4")-SUMIFS('AR SALES'!$Y$2:$Y$2501,'AR SALES'!$L$2:$L$2501,$L910,'AR SALES'!$AD$2:$AD$2501,"OFF"),2)=0,"","STALE")))</f>
        <v/>
      </c>
      <c r="BB910" s="2" t="str">
        <f>IF(OR(""&amp;$F910="2",""&amp;$F910="4",""&amp;$F910="G",""&amp;$F910="H"),IF($AY910="YES","",IF($AB910&lt;&gt;0,"",IF(COUNTIFS('AR SALES'!$L$2:$L$2501,$L910,'AR SALES'!$AD$2:$AD$2501,IF(""&amp;$F910="4","OFF","ON"),'AR SALES'!$AF$2:$AF$2501,"Y")&gt;0,"","NO EXEMPTION"))),"")</f>
        <v/>
      </c>
    </row>
    <row r="911" spans="46:54" x14ac:dyDescent="0.25">
      <c r="AT911" s="2" t="str">
        <f>IF($L911="","",IFERROR(INDEX('AR SALES'!$H$2:$H$2501,MATCH(""&amp;$L911,'AR SALES'!$AE$2:$AE$2501,0)),""))</f>
        <v/>
      </c>
      <c r="AU911" s="2" t="str">
        <f t="shared" si="56"/>
        <v/>
      </c>
      <c r="AV911" s="2" t="str">
        <f t="shared" si="57"/>
        <v/>
      </c>
      <c r="AW911" s="2" t="str">
        <f t="shared" si="58"/>
        <v/>
      </c>
      <c r="AX911" s="2" t="str">
        <f t="shared" si="59"/>
        <v/>
      </c>
      <c r="AY911" s="2" t="str">
        <f>IF($AV911="","",IF(AND($Z911=0,COUNTIF('AR SALES'!$L$2:$L$2501,$L911)=0),"YES",""))</f>
        <v/>
      </c>
      <c r="AZ911" s="2" t="str">
        <f>IF($AV911="","",IF(COUNTIF(LISTS!$C$2:$C$250,$AU911)=0,"NEW",""))</f>
        <v/>
      </c>
      <c r="BA911" s="2" t="str">
        <f>IF(""&amp;$F911&lt;&gt;"4","",IF($AY911="YES","",IF(ROUND(SUMIFS($AE$2:$AE$4001,$L$2:$L$4001,$L911,$F$2:$F$4001,"4")-SUMIFS('AR SALES'!$Y$2:$Y$2501,'AR SALES'!$L$2:$L$2501,$L911,'AR SALES'!$AD$2:$AD$2501,"OFF"),2)=0,"","STALE")))</f>
        <v/>
      </c>
      <c r="BB911" s="2" t="str">
        <f>IF(OR(""&amp;$F911="2",""&amp;$F911="4",""&amp;$F911="G",""&amp;$F911="H"),IF($AY911="YES","",IF($AB911&lt;&gt;0,"",IF(COUNTIFS('AR SALES'!$L$2:$L$2501,$L911,'AR SALES'!$AD$2:$AD$2501,IF(""&amp;$F911="4","OFF","ON"),'AR SALES'!$AF$2:$AF$2501,"Y")&gt;0,"","NO EXEMPTION"))),"")</f>
        <v/>
      </c>
    </row>
    <row r="912" spans="46:54" x14ac:dyDescent="0.25">
      <c r="AT912" s="2" t="str">
        <f>IF($L912="","",IFERROR(INDEX('AR SALES'!$H$2:$H$2501,MATCH(""&amp;$L912,'AR SALES'!$AE$2:$AE$2501,0)),""))</f>
        <v/>
      </c>
      <c r="AU912" s="2" t="str">
        <f t="shared" si="56"/>
        <v/>
      </c>
      <c r="AV912" s="2" t="str">
        <f t="shared" si="57"/>
        <v/>
      </c>
      <c r="AW912" s="2" t="str">
        <f t="shared" si="58"/>
        <v/>
      </c>
      <c r="AX912" s="2" t="str">
        <f t="shared" si="59"/>
        <v/>
      </c>
      <c r="AY912" s="2" t="str">
        <f>IF($AV912="","",IF(AND($Z912=0,COUNTIF('AR SALES'!$L$2:$L$2501,$L912)=0),"YES",""))</f>
        <v/>
      </c>
      <c r="AZ912" s="2" t="str">
        <f>IF($AV912="","",IF(COUNTIF(LISTS!$C$2:$C$250,$AU912)=0,"NEW",""))</f>
        <v/>
      </c>
      <c r="BA912" s="2" t="str">
        <f>IF(""&amp;$F912&lt;&gt;"4","",IF($AY912="YES","",IF(ROUND(SUMIFS($AE$2:$AE$4001,$L$2:$L$4001,$L912,$F$2:$F$4001,"4")-SUMIFS('AR SALES'!$Y$2:$Y$2501,'AR SALES'!$L$2:$L$2501,$L912,'AR SALES'!$AD$2:$AD$2501,"OFF"),2)=0,"","STALE")))</f>
        <v/>
      </c>
      <c r="BB912" s="2" t="str">
        <f>IF(OR(""&amp;$F912="2",""&amp;$F912="4",""&amp;$F912="G",""&amp;$F912="H"),IF($AY912="YES","",IF($AB912&lt;&gt;0,"",IF(COUNTIFS('AR SALES'!$L$2:$L$2501,$L912,'AR SALES'!$AD$2:$AD$2501,IF(""&amp;$F912="4","OFF","ON"),'AR SALES'!$AF$2:$AF$2501,"Y")&gt;0,"","NO EXEMPTION"))),"")</f>
        <v/>
      </c>
    </row>
    <row r="913" spans="46:54" x14ac:dyDescent="0.25">
      <c r="AT913" s="2" t="str">
        <f>IF($L913="","",IFERROR(INDEX('AR SALES'!$H$2:$H$2501,MATCH(""&amp;$L913,'AR SALES'!$AE$2:$AE$2501,0)),""))</f>
        <v/>
      </c>
      <c r="AU913" s="2" t="str">
        <f t="shared" si="56"/>
        <v/>
      </c>
      <c r="AV913" s="2" t="str">
        <f t="shared" si="57"/>
        <v/>
      </c>
      <c r="AW913" s="2" t="str">
        <f t="shared" si="58"/>
        <v/>
      </c>
      <c r="AX913" s="2" t="str">
        <f t="shared" si="59"/>
        <v/>
      </c>
      <c r="AY913" s="2" t="str">
        <f>IF($AV913="","",IF(AND($Z913=0,COUNTIF('AR SALES'!$L$2:$L$2501,$L913)=0),"YES",""))</f>
        <v/>
      </c>
      <c r="AZ913" s="2" t="str">
        <f>IF($AV913="","",IF(COUNTIF(LISTS!$C$2:$C$250,$AU913)=0,"NEW",""))</f>
        <v/>
      </c>
      <c r="BA913" s="2" t="str">
        <f>IF(""&amp;$F913&lt;&gt;"4","",IF($AY913="YES","",IF(ROUND(SUMIFS($AE$2:$AE$4001,$L$2:$L$4001,$L913,$F$2:$F$4001,"4")-SUMIFS('AR SALES'!$Y$2:$Y$2501,'AR SALES'!$L$2:$L$2501,$L913,'AR SALES'!$AD$2:$AD$2501,"OFF"),2)=0,"","STALE")))</f>
        <v/>
      </c>
      <c r="BB913" s="2" t="str">
        <f>IF(OR(""&amp;$F913="2",""&amp;$F913="4",""&amp;$F913="G",""&amp;$F913="H"),IF($AY913="YES","",IF($AB913&lt;&gt;0,"",IF(COUNTIFS('AR SALES'!$L$2:$L$2501,$L913,'AR SALES'!$AD$2:$AD$2501,IF(""&amp;$F913="4","OFF","ON"),'AR SALES'!$AF$2:$AF$2501,"Y")&gt;0,"","NO EXEMPTION"))),"")</f>
        <v/>
      </c>
    </row>
    <row r="914" spans="46:54" x14ac:dyDescent="0.25">
      <c r="AT914" s="2" t="str">
        <f>IF($L914="","",IFERROR(INDEX('AR SALES'!$H$2:$H$2501,MATCH(""&amp;$L914,'AR SALES'!$AE$2:$AE$2501,0)),""))</f>
        <v/>
      </c>
      <c r="AU914" s="2" t="str">
        <f t="shared" si="56"/>
        <v/>
      </c>
      <c r="AV914" s="2" t="str">
        <f t="shared" si="57"/>
        <v/>
      </c>
      <c r="AW914" s="2" t="str">
        <f t="shared" si="58"/>
        <v/>
      </c>
      <c r="AX914" s="2" t="str">
        <f t="shared" si="59"/>
        <v/>
      </c>
      <c r="AY914" s="2" t="str">
        <f>IF($AV914="","",IF(AND($Z914=0,COUNTIF('AR SALES'!$L$2:$L$2501,$L914)=0),"YES",""))</f>
        <v/>
      </c>
      <c r="AZ914" s="2" t="str">
        <f>IF($AV914="","",IF(COUNTIF(LISTS!$C$2:$C$250,$AU914)=0,"NEW",""))</f>
        <v/>
      </c>
      <c r="BA914" s="2" t="str">
        <f>IF(""&amp;$F914&lt;&gt;"4","",IF($AY914="YES","",IF(ROUND(SUMIFS($AE$2:$AE$4001,$L$2:$L$4001,$L914,$F$2:$F$4001,"4")-SUMIFS('AR SALES'!$Y$2:$Y$2501,'AR SALES'!$L$2:$L$2501,$L914,'AR SALES'!$AD$2:$AD$2501,"OFF"),2)=0,"","STALE")))</f>
        <v/>
      </c>
      <c r="BB914" s="2" t="str">
        <f>IF(OR(""&amp;$F914="2",""&amp;$F914="4",""&amp;$F914="G",""&amp;$F914="H"),IF($AY914="YES","",IF($AB914&lt;&gt;0,"",IF(COUNTIFS('AR SALES'!$L$2:$L$2501,$L914,'AR SALES'!$AD$2:$AD$2501,IF(""&amp;$F914="4","OFF","ON"),'AR SALES'!$AF$2:$AF$2501,"Y")&gt;0,"","NO EXEMPTION"))),"")</f>
        <v/>
      </c>
    </row>
    <row r="915" spans="46:54" x14ac:dyDescent="0.25">
      <c r="AT915" s="2" t="str">
        <f>IF($L915="","",IFERROR(INDEX('AR SALES'!$H$2:$H$2501,MATCH(""&amp;$L915,'AR SALES'!$AE$2:$AE$2501,0)),""))</f>
        <v/>
      </c>
      <c r="AU915" s="2" t="str">
        <f t="shared" si="56"/>
        <v/>
      </c>
      <c r="AV915" s="2" t="str">
        <f t="shared" si="57"/>
        <v/>
      </c>
      <c r="AW915" s="2" t="str">
        <f t="shared" si="58"/>
        <v/>
      </c>
      <c r="AX915" s="2" t="str">
        <f t="shared" si="59"/>
        <v/>
      </c>
      <c r="AY915" s="2" t="str">
        <f>IF($AV915="","",IF(AND($Z915=0,COUNTIF('AR SALES'!$L$2:$L$2501,$L915)=0),"YES",""))</f>
        <v/>
      </c>
      <c r="AZ915" s="2" t="str">
        <f>IF($AV915="","",IF(COUNTIF(LISTS!$C$2:$C$250,$AU915)=0,"NEW",""))</f>
        <v/>
      </c>
      <c r="BA915" s="2" t="str">
        <f>IF(""&amp;$F915&lt;&gt;"4","",IF($AY915="YES","",IF(ROUND(SUMIFS($AE$2:$AE$4001,$L$2:$L$4001,$L915,$F$2:$F$4001,"4")-SUMIFS('AR SALES'!$Y$2:$Y$2501,'AR SALES'!$L$2:$L$2501,$L915,'AR SALES'!$AD$2:$AD$2501,"OFF"),2)=0,"","STALE")))</f>
        <v/>
      </c>
      <c r="BB915" s="2" t="str">
        <f>IF(OR(""&amp;$F915="2",""&amp;$F915="4",""&amp;$F915="G",""&amp;$F915="H"),IF($AY915="YES","",IF($AB915&lt;&gt;0,"",IF(COUNTIFS('AR SALES'!$L$2:$L$2501,$L915,'AR SALES'!$AD$2:$AD$2501,IF(""&amp;$F915="4","OFF","ON"),'AR SALES'!$AF$2:$AF$2501,"Y")&gt;0,"","NO EXEMPTION"))),"")</f>
        <v/>
      </c>
    </row>
    <row r="916" spans="46:54" x14ac:dyDescent="0.25">
      <c r="AT916" s="2" t="str">
        <f>IF($L916="","",IFERROR(INDEX('AR SALES'!$H$2:$H$2501,MATCH(""&amp;$L916,'AR SALES'!$AE$2:$AE$2501,0)),""))</f>
        <v/>
      </c>
      <c r="AU916" s="2" t="str">
        <f t="shared" si="56"/>
        <v/>
      </c>
      <c r="AV916" s="2" t="str">
        <f t="shared" si="57"/>
        <v/>
      </c>
      <c r="AW916" s="2" t="str">
        <f t="shared" si="58"/>
        <v/>
      </c>
      <c r="AX916" s="2" t="str">
        <f t="shared" si="59"/>
        <v/>
      </c>
      <c r="AY916" s="2" t="str">
        <f>IF($AV916="","",IF(AND($Z916=0,COUNTIF('AR SALES'!$L$2:$L$2501,$L916)=0),"YES",""))</f>
        <v/>
      </c>
      <c r="AZ916" s="2" t="str">
        <f>IF($AV916="","",IF(COUNTIF(LISTS!$C$2:$C$250,$AU916)=0,"NEW",""))</f>
        <v/>
      </c>
      <c r="BA916" s="2" t="str">
        <f>IF(""&amp;$F916&lt;&gt;"4","",IF($AY916="YES","",IF(ROUND(SUMIFS($AE$2:$AE$4001,$L$2:$L$4001,$L916,$F$2:$F$4001,"4")-SUMIFS('AR SALES'!$Y$2:$Y$2501,'AR SALES'!$L$2:$L$2501,$L916,'AR SALES'!$AD$2:$AD$2501,"OFF"),2)=0,"","STALE")))</f>
        <v/>
      </c>
      <c r="BB916" s="2" t="str">
        <f>IF(OR(""&amp;$F916="2",""&amp;$F916="4",""&amp;$F916="G",""&amp;$F916="H"),IF($AY916="YES","",IF($AB916&lt;&gt;0,"",IF(COUNTIFS('AR SALES'!$L$2:$L$2501,$L916,'AR SALES'!$AD$2:$AD$2501,IF(""&amp;$F916="4","OFF","ON"),'AR SALES'!$AF$2:$AF$2501,"Y")&gt;0,"","NO EXEMPTION"))),"")</f>
        <v/>
      </c>
    </row>
    <row r="917" spans="46:54" x14ac:dyDescent="0.25">
      <c r="AT917" s="2" t="str">
        <f>IF($L917="","",IFERROR(INDEX('AR SALES'!$H$2:$H$2501,MATCH(""&amp;$L917,'AR SALES'!$AE$2:$AE$2501,0)),""))</f>
        <v/>
      </c>
      <c r="AU917" s="2" t="str">
        <f t="shared" si="56"/>
        <v/>
      </c>
      <c r="AV917" s="2" t="str">
        <f t="shared" si="57"/>
        <v/>
      </c>
      <c r="AW917" s="2" t="str">
        <f t="shared" si="58"/>
        <v/>
      </c>
      <c r="AX917" s="2" t="str">
        <f t="shared" si="59"/>
        <v/>
      </c>
      <c r="AY917" s="2" t="str">
        <f>IF($AV917="","",IF(AND($Z917=0,COUNTIF('AR SALES'!$L$2:$L$2501,$L917)=0),"YES",""))</f>
        <v/>
      </c>
      <c r="AZ917" s="2" t="str">
        <f>IF($AV917="","",IF(COUNTIF(LISTS!$C$2:$C$250,$AU917)=0,"NEW",""))</f>
        <v/>
      </c>
      <c r="BA917" s="2" t="str">
        <f>IF(""&amp;$F917&lt;&gt;"4","",IF($AY917="YES","",IF(ROUND(SUMIFS($AE$2:$AE$4001,$L$2:$L$4001,$L917,$F$2:$F$4001,"4")-SUMIFS('AR SALES'!$Y$2:$Y$2501,'AR SALES'!$L$2:$L$2501,$L917,'AR SALES'!$AD$2:$AD$2501,"OFF"),2)=0,"","STALE")))</f>
        <v/>
      </c>
      <c r="BB917" s="2" t="str">
        <f>IF(OR(""&amp;$F917="2",""&amp;$F917="4",""&amp;$F917="G",""&amp;$F917="H"),IF($AY917="YES","",IF($AB917&lt;&gt;0,"",IF(COUNTIFS('AR SALES'!$L$2:$L$2501,$L917,'AR SALES'!$AD$2:$AD$2501,IF(""&amp;$F917="4","OFF","ON"),'AR SALES'!$AF$2:$AF$2501,"Y")&gt;0,"","NO EXEMPTION"))),"")</f>
        <v/>
      </c>
    </row>
    <row r="918" spans="46:54" x14ac:dyDescent="0.25">
      <c r="AT918" s="2" t="str">
        <f>IF($L918="","",IFERROR(INDEX('AR SALES'!$H$2:$H$2501,MATCH(""&amp;$L918,'AR SALES'!$AE$2:$AE$2501,0)),""))</f>
        <v/>
      </c>
      <c r="AU918" s="2" t="str">
        <f t="shared" si="56"/>
        <v/>
      </c>
      <c r="AV918" s="2" t="str">
        <f t="shared" si="57"/>
        <v/>
      </c>
      <c r="AW918" s="2" t="str">
        <f t="shared" si="58"/>
        <v/>
      </c>
      <c r="AX918" s="2" t="str">
        <f t="shared" si="59"/>
        <v/>
      </c>
      <c r="AY918" s="2" t="str">
        <f>IF($AV918="","",IF(AND($Z918=0,COUNTIF('AR SALES'!$L$2:$L$2501,$L918)=0),"YES",""))</f>
        <v/>
      </c>
      <c r="AZ918" s="2" t="str">
        <f>IF($AV918="","",IF(COUNTIF(LISTS!$C$2:$C$250,$AU918)=0,"NEW",""))</f>
        <v/>
      </c>
      <c r="BA918" s="2" t="str">
        <f>IF(""&amp;$F918&lt;&gt;"4","",IF($AY918="YES","",IF(ROUND(SUMIFS($AE$2:$AE$4001,$L$2:$L$4001,$L918,$F$2:$F$4001,"4")-SUMIFS('AR SALES'!$Y$2:$Y$2501,'AR SALES'!$L$2:$L$2501,$L918,'AR SALES'!$AD$2:$AD$2501,"OFF"),2)=0,"","STALE")))</f>
        <v/>
      </c>
      <c r="BB918" s="2" t="str">
        <f>IF(OR(""&amp;$F918="2",""&amp;$F918="4",""&amp;$F918="G",""&amp;$F918="H"),IF($AY918="YES","",IF($AB918&lt;&gt;0,"",IF(COUNTIFS('AR SALES'!$L$2:$L$2501,$L918,'AR SALES'!$AD$2:$AD$2501,IF(""&amp;$F918="4","OFF","ON"),'AR SALES'!$AF$2:$AF$2501,"Y")&gt;0,"","NO EXEMPTION"))),"")</f>
        <v/>
      </c>
    </row>
    <row r="919" spans="46:54" x14ac:dyDescent="0.25">
      <c r="AT919" s="2" t="str">
        <f>IF($L919="","",IFERROR(INDEX('AR SALES'!$H$2:$H$2501,MATCH(""&amp;$L919,'AR SALES'!$AE$2:$AE$2501,0)),""))</f>
        <v/>
      </c>
      <c r="AU919" s="2" t="str">
        <f t="shared" si="56"/>
        <v/>
      </c>
      <c r="AV919" s="2" t="str">
        <f t="shared" si="57"/>
        <v/>
      </c>
      <c r="AW919" s="2" t="str">
        <f t="shared" si="58"/>
        <v/>
      </c>
      <c r="AX919" s="2" t="str">
        <f t="shared" si="59"/>
        <v/>
      </c>
      <c r="AY919" s="2" t="str">
        <f>IF($AV919="","",IF(AND($Z919=0,COUNTIF('AR SALES'!$L$2:$L$2501,$L919)=0),"YES",""))</f>
        <v/>
      </c>
      <c r="AZ919" s="2" t="str">
        <f>IF($AV919="","",IF(COUNTIF(LISTS!$C$2:$C$250,$AU919)=0,"NEW",""))</f>
        <v/>
      </c>
      <c r="BA919" s="2" t="str">
        <f>IF(""&amp;$F919&lt;&gt;"4","",IF($AY919="YES","",IF(ROUND(SUMIFS($AE$2:$AE$4001,$L$2:$L$4001,$L919,$F$2:$F$4001,"4")-SUMIFS('AR SALES'!$Y$2:$Y$2501,'AR SALES'!$L$2:$L$2501,$L919,'AR SALES'!$AD$2:$AD$2501,"OFF"),2)=0,"","STALE")))</f>
        <v/>
      </c>
      <c r="BB919" s="2" t="str">
        <f>IF(OR(""&amp;$F919="2",""&amp;$F919="4",""&amp;$F919="G",""&amp;$F919="H"),IF($AY919="YES","",IF($AB919&lt;&gt;0,"",IF(COUNTIFS('AR SALES'!$L$2:$L$2501,$L919,'AR SALES'!$AD$2:$AD$2501,IF(""&amp;$F919="4","OFF","ON"),'AR SALES'!$AF$2:$AF$2501,"Y")&gt;0,"","NO EXEMPTION"))),"")</f>
        <v/>
      </c>
    </row>
    <row r="920" spans="46:54" x14ac:dyDescent="0.25">
      <c r="AT920" s="2" t="str">
        <f>IF($L920="","",IFERROR(INDEX('AR SALES'!$H$2:$H$2501,MATCH(""&amp;$L920,'AR SALES'!$AE$2:$AE$2501,0)),""))</f>
        <v/>
      </c>
      <c r="AU920" s="2" t="str">
        <f t="shared" si="56"/>
        <v/>
      </c>
      <c r="AV920" s="2" t="str">
        <f t="shared" si="57"/>
        <v/>
      </c>
      <c r="AW920" s="2" t="str">
        <f t="shared" si="58"/>
        <v/>
      </c>
      <c r="AX920" s="2" t="str">
        <f t="shared" si="59"/>
        <v/>
      </c>
      <c r="AY920" s="2" t="str">
        <f>IF($AV920="","",IF(AND($Z920=0,COUNTIF('AR SALES'!$L$2:$L$2501,$L920)=0),"YES",""))</f>
        <v/>
      </c>
      <c r="AZ920" s="2" t="str">
        <f>IF($AV920="","",IF(COUNTIF(LISTS!$C$2:$C$250,$AU920)=0,"NEW",""))</f>
        <v/>
      </c>
      <c r="BA920" s="2" t="str">
        <f>IF(""&amp;$F920&lt;&gt;"4","",IF($AY920="YES","",IF(ROUND(SUMIFS($AE$2:$AE$4001,$L$2:$L$4001,$L920,$F$2:$F$4001,"4")-SUMIFS('AR SALES'!$Y$2:$Y$2501,'AR SALES'!$L$2:$L$2501,$L920,'AR SALES'!$AD$2:$AD$2501,"OFF"),2)=0,"","STALE")))</f>
        <v/>
      </c>
      <c r="BB920" s="2" t="str">
        <f>IF(OR(""&amp;$F920="2",""&amp;$F920="4",""&amp;$F920="G",""&amp;$F920="H"),IF($AY920="YES","",IF($AB920&lt;&gt;0,"",IF(COUNTIFS('AR SALES'!$L$2:$L$2501,$L920,'AR SALES'!$AD$2:$AD$2501,IF(""&amp;$F920="4","OFF","ON"),'AR SALES'!$AF$2:$AF$2501,"Y")&gt;0,"","NO EXEMPTION"))),"")</f>
        <v/>
      </c>
    </row>
    <row r="921" spans="46:54" x14ac:dyDescent="0.25">
      <c r="AT921" s="2" t="str">
        <f>IF($L921="","",IFERROR(INDEX('AR SALES'!$H$2:$H$2501,MATCH(""&amp;$L921,'AR SALES'!$AE$2:$AE$2501,0)),""))</f>
        <v/>
      </c>
      <c r="AU921" s="2" t="str">
        <f t="shared" si="56"/>
        <v/>
      </c>
      <c r="AV921" s="2" t="str">
        <f t="shared" si="57"/>
        <v/>
      </c>
      <c r="AW921" s="2" t="str">
        <f t="shared" si="58"/>
        <v/>
      </c>
      <c r="AX921" s="2" t="str">
        <f t="shared" si="59"/>
        <v/>
      </c>
      <c r="AY921" s="2" t="str">
        <f>IF($AV921="","",IF(AND($Z921=0,COUNTIF('AR SALES'!$L$2:$L$2501,$L921)=0),"YES",""))</f>
        <v/>
      </c>
      <c r="AZ921" s="2" t="str">
        <f>IF($AV921="","",IF(COUNTIF(LISTS!$C$2:$C$250,$AU921)=0,"NEW",""))</f>
        <v/>
      </c>
      <c r="BA921" s="2" t="str">
        <f>IF(""&amp;$F921&lt;&gt;"4","",IF($AY921="YES","",IF(ROUND(SUMIFS($AE$2:$AE$4001,$L$2:$L$4001,$L921,$F$2:$F$4001,"4")-SUMIFS('AR SALES'!$Y$2:$Y$2501,'AR SALES'!$L$2:$L$2501,$L921,'AR SALES'!$AD$2:$AD$2501,"OFF"),2)=0,"","STALE")))</f>
        <v/>
      </c>
      <c r="BB921" s="2" t="str">
        <f>IF(OR(""&amp;$F921="2",""&amp;$F921="4",""&amp;$F921="G",""&amp;$F921="H"),IF($AY921="YES","",IF($AB921&lt;&gt;0,"",IF(COUNTIFS('AR SALES'!$L$2:$L$2501,$L921,'AR SALES'!$AD$2:$AD$2501,IF(""&amp;$F921="4","OFF","ON"),'AR SALES'!$AF$2:$AF$2501,"Y")&gt;0,"","NO EXEMPTION"))),"")</f>
        <v/>
      </c>
    </row>
    <row r="922" spans="46:54" x14ac:dyDescent="0.25">
      <c r="AT922" s="2" t="str">
        <f>IF($L922="","",IFERROR(INDEX('AR SALES'!$H$2:$H$2501,MATCH(""&amp;$L922,'AR SALES'!$AE$2:$AE$2501,0)),""))</f>
        <v/>
      </c>
      <c r="AU922" s="2" t="str">
        <f t="shared" si="56"/>
        <v/>
      </c>
      <c r="AV922" s="2" t="str">
        <f t="shared" si="57"/>
        <v/>
      </c>
      <c r="AW922" s="2" t="str">
        <f t="shared" si="58"/>
        <v/>
      </c>
      <c r="AX922" s="2" t="str">
        <f t="shared" si="59"/>
        <v/>
      </c>
      <c r="AY922" s="2" t="str">
        <f>IF($AV922="","",IF(AND($Z922=0,COUNTIF('AR SALES'!$L$2:$L$2501,$L922)=0),"YES",""))</f>
        <v/>
      </c>
      <c r="AZ922" s="2" t="str">
        <f>IF($AV922="","",IF(COUNTIF(LISTS!$C$2:$C$250,$AU922)=0,"NEW",""))</f>
        <v/>
      </c>
      <c r="BA922" s="2" t="str">
        <f>IF(""&amp;$F922&lt;&gt;"4","",IF($AY922="YES","",IF(ROUND(SUMIFS($AE$2:$AE$4001,$L$2:$L$4001,$L922,$F$2:$F$4001,"4")-SUMIFS('AR SALES'!$Y$2:$Y$2501,'AR SALES'!$L$2:$L$2501,$L922,'AR SALES'!$AD$2:$AD$2501,"OFF"),2)=0,"","STALE")))</f>
        <v/>
      </c>
      <c r="BB922" s="2" t="str">
        <f>IF(OR(""&amp;$F922="2",""&amp;$F922="4",""&amp;$F922="G",""&amp;$F922="H"),IF($AY922="YES","",IF($AB922&lt;&gt;0,"",IF(COUNTIFS('AR SALES'!$L$2:$L$2501,$L922,'AR SALES'!$AD$2:$AD$2501,IF(""&amp;$F922="4","OFF","ON"),'AR SALES'!$AF$2:$AF$2501,"Y")&gt;0,"","NO EXEMPTION"))),"")</f>
        <v/>
      </c>
    </row>
    <row r="923" spans="46:54" x14ac:dyDescent="0.25">
      <c r="AT923" s="2" t="str">
        <f>IF($L923="","",IFERROR(INDEX('AR SALES'!$H$2:$H$2501,MATCH(""&amp;$L923,'AR SALES'!$AE$2:$AE$2501,0)),""))</f>
        <v/>
      </c>
      <c r="AU923" s="2" t="str">
        <f t="shared" si="56"/>
        <v/>
      </c>
      <c r="AV923" s="2" t="str">
        <f t="shared" si="57"/>
        <v/>
      </c>
      <c r="AW923" s="2" t="str">
        <f t="shared" si="58"/>
        <v/>
      </c>
      <c r="AX923" s="2" t="str">
        <f t="shared" si="59"/>
        <v/>
      </c>
      <c r="AY923" s="2" t="str">
        <f>IF($AV923="","",IF(AND($Z923=0,COUNTIF('AR SALES'!$L$2:$L$2501,$L923)=0),"YES",""))</f>
        <v/>
      </c>
      <c r="AZ923" s="2" t="str">
        <f>IF($AV923="","",IF(COUNTIF(LISTS!$C$2:$C$250,$AU923)=0,"NEW",""))</f>
        <v/>
      </c>
      <c r="BA923" s="2" t="str">
        <f>IF(""&amp;$F923&lt;&gt;"4","",IF($AY923="YES","",IF(ROUND(SUMIFS($AE$2:$AE$4001,$L$2:$L$4001,$L923,$F$2:$F$4001,"4")-SUMIFS('AR SALES'!$Y$2:$Y$2501,'AR SALES'!$L$2:$L$2501,$L923,'AR SALES'!$AD$2:$AD$2501,"OFF"),2)=0,"","STALE")))</f>
        <v/>
      </c>
      <c r="BB923" s="2" t="str">
        <f>IF(OR(""&amp;$F923="2",""&amp;$F923="4",""&amp;$F923="G",""&amp;$F923="H"),IF($AY923="YES","",IF($AB923&lt;&gt;0,"",IF(COUNTIFS('AR SALES'!$L$2:$L$2501,$L923,'AR SALES'!$AD$2:$AD$2501,IF(""&amp;$F923="4","OFF","ON"),'AR SALES'!$AF$2:$AF$2501,"Y")&gt;0,"","NO EXEMPTION"))),"")</f>
        <v/>
      </c>
    </row>
    <row r="924" spans="46:54" x14ac:dyDescent="0.25">
      <c r="AT924" s="2" t="str">
        <f>IF($L924="","",IFERROR(INDEX('AR SALES'!$H$2:$H$2501,MATCH(""&amp;$L924,'AR SALES'!$AE$2:$AE$2501,0)),""))</f>
        <v/>
      </c>
      <c r="AU924" s="2" t="str">
        <f t="shared" si="56"/>
        <v/>
      </c>
      <c r="AV924" s="2" t="str">
        <f t="shared" si="57"/>
        <v/>
      </c>
      <c r="AW924" s="2" t="str">
        <f t="shared" si="58"/>
        <v/>
      </c>
      <c r="AX924" s="2" t="str">
        <f t="shared" si="59"/>
        <v/>
      </c>
      <c r="AY924" s="2" t="str">
        <f>IF($AV924="","",IF(AND($Z924=0,COUNTIF('AR SALES'!$L$2:$L$2501,$L924)=0),"YES",""))</f>
        <v/>
      </c>
      <c r="AZ924" s="2" t="str">
        <f>IF($AV924="","",IF(COUNTIF(LISTS!$C$2:$C$250,$AU924)=0,"NEW",""))</f>
        <v/>
      </c>
      <c r="BA924" s="2" t="str">
        <f>IF(""&amp;$F924&lt;&gt;"4","",IF($AY924="YES","",IF(ROUND(SUMIFS($AE$2:$AE$4001,$L$2:$L$4001,$L924,$F$2:$F$4001,"4")-SUMIFS('AR SALES'!$Y$2:$Y$2501,'AR SALES'!$L$2:$L$2501,$L924,'AR SALES'!$AD$2:$AD$2501,"OFF"),2)=0,"","STALE")))</f>
        <v/>
      </c>
      <c r="BB924" s="2" t="str">
        <f>IF(OR(""&amp;$F924="2",""&amp;$F924="4",""&amp;$F924="G",""&amp;$F924="H"),IF($AY924="YES","",IF($AB924&lt;&gt;0,"",IF(COUNTIFS('AR SALES'!$L$2:$L$2501,$L924,'AR SALES'!$AD$2:$AD$2501,IF(""&amp;$F924="4","OFF","ON"),'AR SALES'!$AF$2:$AF$2501,"Y")&gt;0,"","NO EXEMPTION"))),"")</f>
        <v/>
      </c>
    </row>
    <row r="925" spans="46:54" x14ac:dyDescent="0.25">
      <c r="AT925" s="2" t="str">
        <f>IF($L925="","",IFERROR(INDEX('AR SALES'!$H$2:$H$2501,MATCH(""&amp;$L925,'AR SALES'!$AE$2:$AE$2501,0)),""))</f>
        <v/>
      </c>
      <c r="AU925" s="2" t="str">
        <f t="shared" si="56"/>
        <v/>
      </c>
      <c r="AV925" s="2" t="str">
        <f t="shared" si="57"/>
        <v/>
      </c>
      <c r="AW925" s="2" t="str">
        <f t="shared" si="58"/>
        <v/>
      </c>
      <c r="AX925" s="2" t="str">
        <f t="shared" si="59"/>
        <v/>
      </c>
      <c r="AY925" s="2" t="str">
        <f>IF($AV925="","",IF(AND($Z925=0,COUNTIF('AR SALES'!$L$2:$L$2501,$L925)=0),"YES",""))</f>
        <v/>
      </c>
      <c r="AZ925" s="2" t="str">
        <f>IF($AV925="","",IF(COUNTIF(LISTS!$C$2:$C$250,$AU925)=0,"NEW",""))</f>
        <v/>
      </c>
      <c r="BA925" s="2" t="str">
        <f>IF(""&amp;$F925&lt;&gt;"4","",IF($AY925="YES","",IF(ROUND(SUMIFS($AE$2:$AE$4001,$L$2:$L$4001,$L925,$F$2:$F$4001,"4")-SUMIFS('AR SALES'!$Y$2:$Y$2501,'AR SALES'!$L$2:$L$2501,$L925,'AR SALES'!$AD$2:$AD$2501,"OFF"),2)=0,"","STALE")))</f>
        <v/>
      </c>
      <c r="BB925" s="2" t="str">
        <f>IF(OR(""&amp;$F925="2",""&amp;$F925="4",""&amp;$F925="G",""&amp;$F925="H"),IF($AY925="YES","",IF($AB925&lt;&gt;0,"",IF(COUNTIFS('AR SALES'!$L$2:$L$2501,$L925,'AR SALES'!$AD$2:$AD$2501,IF(""&amp;$F925="4","OFF","ON"),'AR SALES'!$AF$2:$AF$2501,"Y")&gt;0,"","NO EXEMPTION"))),"")</f>
        <v/>
      </c>
    </row>
    <row r="926" spans="46:54" x14ac:dyDescent="0.25">
      <c r="AT926" s="2" t="str">
        <f>IF($L926="","",IFERROR(INDEX('AR SALES'!$H$2:$H$2501,MATCH(""&amp;$L926,'AR SALES'!$AE$2:$AE$2501,0)),""))</f>
        <v/>
      </c>
      <c r="AU926" s="2" t="str">
        <f t="shared" si="56"/>
        <v/>
      </c>
      <c r="AV926" s="2" t="str">
        <f t="shared" si="57"/>
        <v/>
      </c>
      <c r="AW926" s="2" t="str">
        <f t="shared" si="58"/>
        <v/>
      </c>
      <c r="AX926" s="2" t="str">
        <f t="shared" si="59"/>
        <v/>
      </c>
      <c r="AY926" s="2" t="str">
        <f>IF($AV926="","",IF(AND($Z926=0,COUNTIF('AR SALES'!$L$2:$L$2501,$L926)=0),"YES",""))</f>
        <v/>
      </c>
      <c r="AZ926" s="2" t="str">
        <f>IF($AV926="","",IF(COUNTIF(LISTS!$C$2:$C$250,$AU926)=0,"NEW",""))</f>
        <v/>
      </c>
      <c r="BA926" s="2" t="str">
        <f>IF(""&amp;$F926&lt;&gt;"4","",IF($AY926="YES","",IF(ROUND(SUMIFS($AE$2:$AE$4001,$L$2:$L$4001,$L926,$F$2:$F$4001,"4")-SUMIFS('AR SALES'!$Y$2:$Y$2501,'AR SALES'!$L$2:$L$2501,$L926,'AR SALES'!$AD$2:$AD$2501,"OFF"),2)=0,"","STALE")))</f>
        <v/>
      </c>
      <c r="BB926" s="2" t="str">
        <f>IF(OR(""&amp;$F926="2",""&amp;$F926="4",""&amp;$F926="G",""&amp;$F926="H"),IF($AY926="YES","",IF($AB926&lt;&gt;0,"",IF(COUNTIFS('AR SALES'!$L$2:$L$2501,$L926,'AR SALES'!$AD$2:$AD$2501,IF(""&amp;$F926="4","OFF","ON"),'AR SALES'!$AF$2:$AF$2501,"Y")&gt;0,"","NO EXEMPTION"))),"")</f>
        <v/>
      </c>
    </row>
    <row r="927" spans="46:54" x14ac:dyDescent="0.25">
      <c r="AT927" s="2" t="str">
        <f>IF($L927="","",IFERROR(INDEX('AR SALES'!$H$2:$H$2501,MATCH(""&amp;$L927,'AR SALES'!$AE$2:$AE$2501,0)),""))</f>
        <v/>
      </c>
      <c r="AU927" s="2" t="str">
        <f t="shared" si="56"/>
        <v/>
      </c>
      <c r="AV927" s="2" t="str">
        <f t="shared" si="57"/>
        <v/>
      </c>
      <c r="AW927" s="2" t="str">
        <f t="shared" si="58"/>
        <v/>
      </c>
      <c r="AX927" s="2" t="str">
        <f t="shared" si="59"/>
        <v/>
      </c>
      <c r="AY927" s="2" t="str">
        <f>IF($AV927="","",IF(AND($Z927=0,COUNTIF('AR SALES'!$L$2:$L$2501,$L927)=0),"YES",""))</f>
        <v/>
      </c>
      <c r="AZ927" s="2" t="str">
        <f>IF($AV927="","",IF(COUNTIF(LISTS!$C$2:$C$250,$AU927)=0,"NEW",""))</f>
        <v/>
      </c>
      <c r="BA927" s="2" t="str">
        <f>IF(""&amp;$F927&lt;&gt;"4","",IF($AY927="YES","",IF(ROUND(SUMIFS($AE$2:$AE$4001,$L$2:$L$4001,$L927,$F$2:$F$4001,"4")-SUMIFS('AR SALES'!$Y$2:$Y$2501,'AR SALES'!$L$2:$L$2501,$L927,'AR SALES'!$AD$2:$AD$2501,"OFF"),2)=0,"","STALE")))</f>
        <v/>
      </c>
      <c r="BB927" s="2" t="str">
        <f>IF(OR(""&amp;$F927="2",""&amp;$F927="4",""&amp;$F927="G",""&amp;$F927="H"),IF($AY927="YES","",IF($AB927&lt;&gt;0,"",IF(COUNTIFS('AR SALES'!$L$2:$L$2501,$L927,'AR SALES'!$AD$2:$AD$2501,IF(""&amp;$F927="4","OFF","ON"),'AR SALES'!$AF$2:$AF$2501,"Y")&gt;0,"","NO EXEMPTION"))),"")</f>
        <v/>
      </c>
    </row>
    <row r="928" spans="46:54" x14ac:dyDescent="0.25">
      <c r="AT928" s="2" t="str">
        <f>IF($L928="","",IFERROR(INDEX('AR SALES'!$H$2:$H$2501,MATCH(""&amp;$L928,'AR SALES'!$AE$2:$AE$2501,0)),""))</f>
        <v/>
      </c>
      <c r="AU928" s="2" t="str">
        <f t="shared" si="56"/>
        <v/>
      </c>
      <c r="AV928" s="2" t="str">
        <f t="shared" si="57"/>
        <v/>
      </c>
      <c r="AW928" s="2" t="str">
        <f t="shared" si="58"/>
        <v/>
      </c>
      <c r="AX928" s="2" t="str">
        <f t="shared" si="59"/>
        <v/>
      </c>
      <c r="AY928" s="2" t="str">
        <f>IF($AV928="","",IF(AND($Z928=0,COUNTIF('AR SALES'!$L$2:$L$2501,$L928)=0),"YES",""))</f>
        <v/>
      </c>
      <c r="AZ928" s="2" t="str">
        <f>IF($AV928="","",IF(COUNTIF(LISTS!$C$2:$C$250,$AU928)=0,"NEW",""))</f>
        <v/>
      </c>
      <c r="BA928" s="2" t="str">
        <f>IF(""&amp;$F928&lt;&gt;"4","",IF($AY928="YES","",IF(ROUND(SUMIFS($AE$2:$AE$4001,$L$2:$L$4001,$L928,$F$2:$F$4001,"4")-SUMIFS('AR SALES'!$Y$2:$Y$2501,'AR SALES'!$L$2:$L$2501,$L928,'AR SALES'!$AD$2:$AD$2501,"OFF"),2)=0,"","STALE")))</f>
        <v/>
      </c>
      <c r="BB928" s="2" t="str">
        <f>IF(OR(""&amp;$F928="2",""&amp;$F928="4",""&amp;$F928="G",""&amp;$F928="H"),IF($AY928="YES","",IF($AB928&lt;&gt;0,"",IF(COUNTIFS('AR SALES'!$L$2:$L$2501,$L928,'AR SALES'!$AD$2:$AD$2501,IF(""&amp;$F928="4","OFF","ON"),'AR SALES'!$AF$2:$AF$2501,"Y")&gt;0,"","NO EXEMPTION"))),"")</f>
        <v/>
      </c>
    </row>
    <row r="929" spans="46:54" x14ac:dyDescent="0.25">
      <c r="AT929" s="2" t="str">
        <f>IF($L929="","",IFERROR(INDEX('AR SALES'!$H$2:$H$2501,MATCH(""&amp;$L929,'AR SALES'!$AE$2:$AE$2501,0)),""))</f>
        <v/>
      </c>
      <c r="AU929" s="2" t="str">
        <f t="shared" si="56"/>
        <v/>
      </c>
      <c r="AV929" s="2" t="str">
        <f t="shared" si="57"/>
        <v/>
      </c>
      <c r="AW929" s="2" t="str">
        <f t="shared" si="58"/>
        <v/>
      </c>
      <c r="AX929" s="2" t="str">
        <f t="shared" si="59"/>
        <v/>
      </c>
      <c r="AY929" s="2" t="str">
        <f>IF($AV929="","",IF(AND($Z929=0,COUNTIF('AR SALES'!$L$2:$L$2501,$L929)=0),"YES",""))</f>
        <v/>
      </c>
      <c r="AZ929" s="2" t="str">
        <f>IF($AV929="","",IF(COUNTIF(LISTS!$C$2:$C$250,$AU929)=0,"NEW",""))</f>
        <v/>
      </c>
      <c r="BA929" s="2" t="str">
        <f>IF(""&amp;$F929&lt;&gt;"4","",IF($AY929="YES","",IF(ROUND(SUMIFS($AE$2:$AE$4001,$L$2:$L$4001,$L929,$F$2:$F$4001,"4")-SUMIFS('AR SALES'!$Y$2:$Y$2501,'AR SALES'!$L$2:$L$2501,$L929,'AR SALES'!$AD$2:$AD$2501,"OFF"),2)=0,"","STALE")))</f>
        <v/>
      </c>
      <c r="BB929" s="2" t="str">
        <f>IF(OR(""&amp;$F929="2",""&amp;$F929="4",""&amp;$F929="G",""&amp;$F929="H"),IF($AY929="YES","",IF($AB929&lt;&gt;0,"",IF(COUNTIFS('AR SALES'!$L$2:$L$2501,$L929,'AR SALES'!$AD$2:$AD$2501,IF(""&amp;$F929="4","OFF","ON"),'AR SALES'!$AF$2:$AF$2501,"Y")&gt;0,"","NO EXEMPTION"))),"")</f>
        <v/>
      </c>
    </row>
    <row r="930" spans="46:54" x14ac:dyDescent="0.25">
      <c r="AT930" s="2" t="str">
        <f>IF($L930="","",IFERROR(INDEX('AR SALES'!$H$2:$H$2501,MATCH(""&amp;$L930,'AR SALES'!$AE$2:$AE$2501,0)),""))</f>
        <v/>
      </c>
      <c r="AU930" s="2" t="str">
        <f t="shared" si="56"/>
        <v/>
      </c>
      <c r="AV930" s="2" t="str">
        <f t="shared" si="57"/>
        <v/>
      </c>
      <c r="AW930" s="2" t="str">
        <f t="shared" si="58"/>
        <v/>
      </c>
      <c r="AX930" s="2" t="str">
        <f t="shared" si="59"/>
        <v/>
      </c>
      <c r="AY930" s="2" t="str">
        <f>IF($AV930="","",IF(AND($Z930=0,COUNTIF('AR SALES'!$L$2:$L$2501,$L930)=0),"YES",""))</f>
        <v/>
      </c>
      <c r="AZ930" s="2" t="str">
        <f>IF($AV930="","",IF(COUNTIF(LISTS!$C$2:$C$250,$AU930)=0,"NEW",""))</f>
        <v/>
      </c>
      <c r="BA930" s="2" t="str">
        <f>IF(""&amp;$F930&lt;&gt;"4","",IF($AY930="YES","",IF(ROUND(SUMIFS($AE$2:$AE$4001,$L$2:$L$4001,$L930,$F$2:$F$4001,"4")-SUMIFS('AR SALES'!$Y$2:$Y$2501,'AR SALES'!$L$2:$L$2501,$L930,'AR SALES'!$AD$2:$AD$2501,"OFF"),2)=0,"","STALE")))</f>
        <v/>
      </c>
      <c r="BB930" s="2" t="str">
        <f>IF(OR(""&amp;$F930="2",""&amp;$F930="4",""&amp;$F930="G",""&amp;$F930="H"),IF($AY930="YES","",IF($AB930&lt;&gt;0,"",IF(COUNTIFS('AR SALES'!$L$2:$L$2501,$L930,'AR SALES'!$AD$2:$AD$2501,IF(""&amp;$F930="4","OFF","ON"),'AR SALES'!$AF$2:$AF$2501,"Y")&gt;0,"","NO EXEMPTION"))),"")</f>
        <v/>
      </c>
    </row>
    <row r="931" spans="46:54" x14ac:dyDescent="0.25">
      <c r="AT931" s="2" t="str">
        <f>IF($L931="","",IFERROR(INDEX('AR SALES'!$H$2:$H$2501,MATCH(""&amp;$L931,'AR SALES'!$AE$2:$AE$2501,0)),""))</f>
        <v/>
      </c>
      <c r="AU931" s="2" t="str">
        <f t="shared" si="56"/>
        <v/>
      </c>
      <c r="AV931" s="2" t="str">
        <f t="shared" si="57"/>
        <v/>
      </c>
      <c r="AW931" s="2" t="str">
        <f t="shared" si="58"/>
        <v/>
      </c>
      <c r="AX931" s="2" t="str">
        <f t="shared" si="59"/>
        <v/>
      </c>
      <c r="AY931" s="2" t="str">
        <f>IF($AV931="","",IF(AND($Z931=0,COUNTIF('AR SALES'!$L$2:$L$2501,$L931)=0),"YES",""))</f>
        <v/>
      </c>
      <c r="AZ931" s="2" t="str">
        <f>IF($AV931="","",IF(COUNTIF(LISTS!$C$2:$C$250,$AU931)=0,"NEW",""))</f>
        <v/>
      </c>
      <c r="BA931" s="2" t="str">
        <f>IF(""&amp;$F931&lt;&gt;"4","",IF($AY931="YES","",IF(ROUND(SUMIFS($AE$2:$AE$4001,$L$2:$L$4001,$L931,$F$2:$F$4001,"4")-SUMIFS('AR SALES'!$Y$2:$Y$2501,'AR SALES'!$L$2:$L$2501,$L931,'AR SALES'!$AD$2:$AD$2501,"OFF"),2)=0,"","STALE")))</f>
        <v/>
      </c>
      <c r="BB931" s="2" t="str">
        <f>IF(OR(""&amp;$F931="2",""&amp;$F931="4",""&amp;$F931="G",""&amp;$F931="H"),IF($AY931="YES","",IF($AB931&lt;&gt;0,"",IF(COUNTIFS('AR SALES'!$L$2:$L$2501,$L931,'AR SALES'!$AD$2:$AD$2501,IF(""&amp;$F931="4","OFF","ON"),'AR SALES'!$AF$2:$AF$2501,"Y")&gt;0,"","NO EXEMPTION"))),"")</f>
        <v/>
      </c>
    </row>
    <row r="932" spans="46:54" x14ac:dyDescent="0.25">
      <c r="AT932" s="2" t="str">
        <f>IF($L932="","",IFERROR(INDEX('AR SALES'!$H$2:$H$2501,MATCH(""&amp;$L932,'AR SALES'!$AE$2:$AE$2501,0)),""))</f>
        <v/>
      </c>
      <c r="AU932" s="2" t="str">
        <f t="shared" si="56"/>
        <v/>
      </c>
      <c r="AV932" s="2" t="str">
        <f t="shared" si="57"/>
        <v/>
      </c>
      <c r="AW932" s="2" t="str">
        <f t="shared" si="58"/>
        <v/>
      </c>
      <c r="AX932" s="2" t="str">
        <f t="shared" si="59"/>
        <v/>
      </c>
      <c r="AY932" s="2" t="str">
        <f>IF($AV932="","",IF(AND($Z932=0,COUNTIF('AR SALES'!$L$2:$L$2501,$L932)=0),"YES",""))</f>
        <v/>
      </c>
      <c r="AZ932" s="2" t="str">
        <f>IF($AV932="","",IF(COUNTIF(LISTS!$C$2:$C$250,$AU932)=0,"NEW",""))</f>
        <v/>
      </c>
      <c r="BA932" s="2" t="str">
        <f>IF(""&amp;$F932&lt;&gt;"4","",IF($AY932="YES","",IF(ROUND(SUMIFS($AE$2:$AE$4001,$L$2:$L$4001,$L932,$F$2:$F$4001,"4")-SUMIFS('AR SALES'!$Y$2:$Y$2501,'AR SALES'!$L$2:$L$2501,$L932,'AR SALES'!$AD$2:$AD$2501,"OFF"),2)=0,"","STALE")))</f>
        <v/>
      </c>
      <c r="BB932" s="2" t="str">
        <f>IF(OR(""&amp;$F932="2",""&amp;$F932="4",""&amp;$F932="G",""&amp;$F932="H"),IF($AY932="YES","",IF($AB932&lt;&gt;0,"",IF(COUNTIFS('AR SALES'!$L$2:$L$2501,$L932,'AR SALES'!$AD$2:$AD$2501,IF(""&amp;$F932="4","OFF","ON"),'AR SALES'!$AF$2:$AF$2501,"Y")&gt;0,"","NO EXEMPTION"))),"")</f>
        <v/>
      </c>
    </row>
    <row r="933" spans="46:54" x14ac:dyDescent="0.25">
      <c r="AT933" s="2" t="str">
        <f>IF($L933="","",IFERROR(INDEX('AR SALES'!$H$2:$H$2501,MATCH(""&amp;$L933,'AR SALES'!$AE$2:$AE$2501,0)),""))</f>
        <v/>
      </c>
      <c r="AU933" s="2" t="str">
        <f t="shared" si="56"/>
        <v/>
      </c>
      <c r="AV933" s="2" t="str">
        <f t="shared" si="57"/>
        <v/>
      </c>
      <c r="AW933" s="2" t="str">
        <f t="shared" si="58"/>
        <v/>
      </c>
      <c r="AX933" s="2" t="str">
        <f t="shared" si="59"/>
        <v/>
      </c>
      <c r="AY933" s="2" t="str">
        <f>IF($AV933="","",IF(AND($Z933=0,COUNTIF('AR SALES'!$L$2:$L$2501,$L933)=0),"YES",""))</f>
        <v/>
      </c>
      <c r="AZ933" s="2" t="str">
        <f>IF($AV933="","",IF(COUNTIF(LISTS!$C$2:$C$250,$AU933)=0,"NEW",""))</f>
        <v/>
      </c>
      <c r="BA933" s="2" t="str">
        <f>IF(""&amp;$F933&lt;&gt;"4","",IF($AY933="YES","",IF(ROUND(SUMIFS($AE$2:$AE$4001,$L$2:$L$4001,$L933,$F$2:$F$4001,"4")-SUMIFS('AR SALES'!$Y$2:$Y$2501,'AR SALES'!$L$2:$L$2501,$L933,'AR SALES'!$AD$2:$AD$2501,"OFF"),2)=0,"","STALE")))</f>
        <v/>
      </c>
      <c r="BB933" s="2" t="str">
        <f>IF(OR(""&amp;$F933="2",""&amp;$F933="4",""&amp;$F933="G",""&amp;$F933="H"),IF($AY933="YES","",IF($AB933&lt;&gt;0,"",IF(COUNTIFS('AR SALES'!$L$2:$L$2501,$L933,'AR SALES'!$AD$2:$AD$2501,IF(""&amp;$F933="4","OFF","ON"),'AR SALES'!$AF$2:$AF$2501,"Y")&gt;0,"","NO EXEMPTION"))),"")</f>
        <v/>
      </c>
    </row>
    <row r="934" spans="46:54" x14ac:dyDescent="0.25">
      <c r="AT934" s="2" t="str">
        <f>IF($L934="","",IFERROR(INDEX('AR SALES'!$H$2:$H$2501,MATCH(""&amp;$L934,'AR SALES'!$AE$2:$AE$2501,0)),""))</f>
        <v/>
      </c>
      <c r="AU934" s="2" t="str">
        <f t="shared" si="56"/>
        <v/>
      </c>
      <c r="AV934" s="2" t="str">
        <f t="shared" si="57"/>
        <v/>
      </c>
      <c r="AW934" s="2" t="str">
        <f t="shared" si="58"/>
        <v/>
      </c>
      <c r="AX934" s="2" t="str">
        <f t="shared" si="59"/>
        <v/>
      </c>
      <c r="AY934" s="2" t="str">
        <f>IF($AV934="","",IF(AND($Z934=0,COUNTIF('AR SALES'!$L$2:$L$2501,$L934)=0),"YES",""))</f>
        <v/>
      </c>
      <c r="AZ934" s="2" t="str">
        <f>IF($AV934="","",IF(COUNTIF(LISTS!$C$2:$C$250,$AU934)=0,"NEW",""))</f>
        <v/>
      </c>
      <c r="BA934" s="2" t="str">
        <f>IF(""&amp;$F934&lt;&gt;"4","",IF($AY934="YES","",IF(ROUND(SUMIFS($AE$2:$AE$4001,$L$2:$L$4001,$L934,$F$2:$F$4001,"4")-SUMIFS('AR SALES'!$Y$2:$Y$2501,'AR SALES'!$L$2:$L$2501,$L934,'AR SALES'!$AD$2:$AD$2501,"OFF"),2)=0,"","STALE")))</f>
        <v/>
      </c>
      <c r="BB934" s="2" t="str">
        <f>IF(OR(""&amp;$F934="2",""&amp;$F934="4",""&amp;$F934="G",""&amp;$F934="H"),IF($AY934="YES","",IF($AB934&lt;&gt;0,"",IF(COUNTIFS('AR SALES'!$L$2:$L$2501,$L934,'AR SALES'!$AD$2:$AD$2501,IF(""&amp;$F934="4","OFF","ON"),'AR SALES'!$AF$2:$AF$2501,"Y")&gt;0,"","NO EXEMPTION"))),"")</f>
        <v/>
      </c>
    </row>
    <row r="935" spans="46:54" x14ac:dyDescent="0.25">
      <c r="AT935" s="2" t="str">
        <f>IF($L935="","",IFERROR(INDEX('AR SALES'!$H$2:$H$2501,MATCH(""&amp;$L935,'AR SALES'!$AE$2:$AE$2501,0)),""))</f>
        <v/>
      </c>
      <c r="AU935" s="2" t="str">
        <f t="shared" si="56"/>
        <v/>
      </c>
      <c r="AV935" s="2" t="str">
        <f t="shared" si="57"/>
        <v/>
      </c>
      <c r="AW935" s="2" t="str">
        <f t="shared" si="58"/>
        <v/>
      </c>
      <c r="AX935" s="2" t="str">
        <f t="shared" si="59"/>
        <v/>
      </c>
      <c r="AY935" s="2" t="str">
        <f>IF($AV935="","",IF(AND($Z935=0,COUNTIF('AR SALES'!$L$2:$L$2501,$L935)=0),"YES",""))</f>
        <v/>
      </c>
      <c r="AZ935" s="2" t="str">
        <f>IF($AV935="","",IF(COUNTIF(LISTS!$C$2:$C$250,$AU935)=0,"NEW",""))</f>
        <v/>
      </c>
      <c r="BA935" s="2" t="str">
        <f>IF(""&amp;$F935&lt;&gt;"4","",IF($AY935="YES","",IF(ROUND(SUMIFS($AE$2:$AE$4001,$L$2:$L$4001,$L935,$F$2:$F$4001,"4")-SUMIFS('AR SALES'!$Y$2:$Y$2501,'AR SALES'!$L$2:$L$2501,$L935,'AR SALES'!$AD$2:$AD$2501,"OFF"),2)=0,"","STALE")))</f>
        <v/>
      </c>
      <c r="BB935" s="2" t="str">
        <f>IF(OR(""&amp;$F935="2",""&amp;$F935="4",""&amp;$F935="G",""&amp;$F935="H"),IF($AY935="YES","",IF($AB935&lt;&gt;0,"",IF(COUNTIFS('AR SALES'!$L$2:$L$2501,$L935,'AR SALES'!$AD$2:$AD$2501,IF(""&amp;$F935="4","OFF","ON"),'AR SALES'!$AF$2:$AF$2501,"Y")&gt;0,"","NO EXEMPTION"))),"")</f>
        <v/>
      </c>
    </row>
    <row r="936" spans="46:54" x14ac:dyDescent="0.25">
      <c r="AT936" s="2" t="str">
        <f>IF($L936="","",IFERROR(INDEX('AR SALES'!$H$2:$H$2501,MATCH(""&amp;$L936,'AR SALES'!$AE$2:$AE$2501,0)),""))</f>
        <v/>
      </c>
      <c r="AU936" s="2" t="str">
        <f t="shared" si="56"/>
        <v/>
      </c>
      <c r="AV936" s="2" t="str">
        <f t="shared" si="57"/>
        <v/>
      </c>
      <c r="AW936" s="2" t="str">
        <f t="shared" si="58"/>
        <v/>
      </c>
      <c r="AX936" s="2" t="str">
        <f t="shared" si="59"/>
        <v/>
      </c>
      <c r="AY936" s="2" t="str">
        <f>IF($AV936="","",IF(AND($Z936=0,COUNTIF('AR SALES'!$L$2:$L$2501,$L936)=0),"YES",""))</f>
        <v/>
      </c>
      <c r="AZ936" s="2" t="str">
        <f>IF($AV936="","",IF(COUNTIF(LISTS!$C$2:$C$250,$AU936)=0,"NEW",""))</f>
        <v/>
      </c>
      <c r="BA936" s="2" t="str">
        <f>IF(""&amp;$F936&lt;&gt;"4","",IF($AY936="YES","",IF(ROUND(SUMIFS($AE$2:$AE$4001,$L$2:$L$4001,$L936,$F$2:$F$4001,"4")-SUMIFS('AR SALES'!$Y$2:$Y$2501,'AR SALES'!$L$2:$L$2501,$L936,'AR SALES'!$AD$2:$AD$2501,"OFF"),2)=0,"","STALE")))</f>
        <v/>
      </c>
      <c r="BB936" s="2" t="str">
        <f>IF(OR(""&amp;$F936="2",""&amp;$F936="4",""&amp;$F936="G",""&amp;$F936="H"),IF($AY936="YES","",IF($AB936&lt;&gt;0,"",IF(COUNTIFS('AR SALES'!$L$2:$L$2501,$L936,'AR SALES'!$AD$2:$AD$2501,IF(""&amp;$F936="4","OFF","ON"),'AR SALES'!$AF$2:$AF$2501,"Y")&gt;0,"","NO EXEMPTION"))),"")</f>
        <v/>
      </c>
    </row>
    <row r="937" spans="46:54" x14ac:dyDescent="0.25">
      <c r="AT937" s="2" t="str">
        <f>IF($L937="","",IFERROR(INDEX('AR SALES'!$H$2:$H$2501,MATCH(""&amp;$L937,'AR SALES'!$AE$2:$AE$2501,0)),""))</f>
        <v/>
      </c>
      <c r="AU937" s="2" t="str">
        <f t="shared" si="56"/>
        <v/>
      </c>
      <c r="AV937" s="2" t="str">
        <f t="shared" si="57"/>
        <v/>
      </c>
      <c r="AW937" s="2" t="str">
        <f t="shared" si="58"/>
        <v/>
      </c>
      <c r="AX937" s="2" t="str">
        <f t="shared" si="59"/>
        <v/>
      </c>
      <c r="AY937" s="2" t="str">
        <f>IF($AV937="","",IF(AND($Z937=0,COUNTIF('AR SALES'!$L$2:$L$2501,$L937)=0),"YES",""))</f>
        <v/>
      </c>
      <c r="AZ937" s="2" t="str">
        <f>IF($AV937="","",IF(COUNTIF(LISTS!$C$2:$C$250,$AU937)=0,"NEW",""))</f>
        <v/>
      </c>
      <c r="BA937" s="2" t="str">
        <f>IF(""&amp;$F937&lt;&gt;"4","",IF($AY937="YES","",IF(ROUND(SUMIFS($AE$2:$AE$4001,$L$2:$L$4001,$L937,$F$2:$F$4001,"4")-SUMIFS('AR SALES'!$Y$2:$Y$2501,'AR SALES'!$L$2:$L$2501,$L937,'AR SALES'!$AD$2:$AD$2501,"OFF"),2)=0,"","STALE")))</f>
        <v/>
      </c>
      <c r="BB937" s="2" t="str">
        <f>IF(OR(""&amp;$F937="2",""&amp;$F937="4",""&amp;$F937="G",""&amp;$F937="H"),IF($AY937="YES","",IF($AB937&lt;&gt;0,"",IF(COUNTIFS('AR SALES'!$L$2:$L$2501,$L937,'AR SALES'!$AD$2:$AD$2501,IF(""&amp;$F937="4","OFF","ON"),'AR SALES'!$AF$2:$AF$2501,"Y")&gt;0,"","NO EXEMPTION"))),"")</f>
        <v/>
      </c>
    </row>
    <row r="938" spans="46:54" x14ac:dyDescent="0.25">
      <c r="AT938" s="2" t="str">
        <f>IF($L938="","",IFERROR(INDEX('AR SALES'!$H$2:$H$2501,MATCH(""&amp;$L938,'AR SALES'!$AE$2:$AE$2501,0)),""))</f>
        <v/>
      </c>
      <c r="AU938" s="2" t="str">
        <f t="shared" si="56"/>
        <v/>
      </c>
      <c r="AV938" s="2" t="str">
        <f t="shared" si="57"/>
        <v/>
      </c>
      <c r="AW938" s="2" t="str">
        <f t="shared" si="58"/>
        <v/>
      </c>
      <c r="AX938" s="2" t="str">
        <f t="shared" si="59"/>
        <v/>
      </c>
      <c r="AY938" s="2" t="str">
        <f>IF($AV938="","",IF(AND($Z938=0,COUNTIF('AR SALES'!$L$2:$L$2501,$L938)=0),"YES",""))</f>
        <v/>
      </c>
      <c r="AZ938" s="2" t="str">
        <f>IF($AV938="","",IF(COUNTIF(LISTS!$C$2:$C$250,$AU938)=0,"NEW",""))</f>
        <v/>
      </c>
      <c r="BA938" s="2" t="str">
        <f>IF(""&amp;$F938&lt;&gt;"4","",IF($AY938="YES","",IF(ROUND(SUMIFS($AE$2:$AE$4001,$L$2:$L$4001,$L938,$F$2:$F$4001,"4")-SUMIFS('AR SALES'!$Y$2:$Y$2501,'AR SALES'!$L$2:$L$2501,$L938,'AR SALES'!$AD$2:$AD$2501,"OFF"),2)=0,"","STALE")))</f>
        <v/>
      </c>
      <c r="BB938" s="2" t="str">
        <f>IF(OR(""&amp;$F938="2",""&amp;$F938="4",""&amp;$F938="G",""&amp;$F938="H"),IF($AY938="YES","",IF($AB938&lt;&gt;0,"",IF(COUNTIFS('AR SALES'!$L$2:$L$2501,$L938,'AR SALES'!$AD$2:$AD$2501,IF(""&amp;$F938="4","OFF","ON"),'AR SALES'!$AF$2:$AF$2501,"Y")&gt;0,"","NO EXEMPTION"))),"")</f>
        <v/>
      </c>
    </row>
    <row r="939" spans="46:54" x14ac:dyDescent="0.25">
      <c r="AT939" s="2" t="str">
        <f>IF($L939="","",IFERROR(INDEX('AR SALES'!$H$2:$H$2501,MATCH(""&amp;$L939,'AR SALES'!$AE$2:$AE$2501,0)),""))</f>
        <v/>
      </c>
      <c r="AU939" s="2" t="str">
        <f t="shared" si="56"/>
        <v/>
      </c>
      <c r="AV939" s="2" t="str">
        <f t="shared" si="57"/>
        <v/>
      </c>
      <c r="AW939" s="2" t="str">
        <f t="shared" si="58"/>
        <v/>
      </c>
      <c r="AX939" s="2" t="str">
        <f t="shared" si="59"/>
        <v/>
      </c>
      <c r="AY939" s="2" t="str">
        <f>IF($AV939="","",IF(AND($Z939=0,COUNTIF('AR SALES'!$L$2:$L$2501,$L939)=0),"YES",""))</f>
        <v/>
      </c>
      <c r="AZ939" s="2" t="str">
        <f>IF($AV939="","",IF(COUNTIF(LISTS!$C$2:$C$250,$AU939)=0,"NEW",""))</f>
        <v/>
      </c>
      <c r="BA939" s="2" t="str">
        <f>IF(""&amp;$F939&lt;&gt;"4","",IF($AY939="YES","",IF(ROUND(SUMIFS($AE$2:$AE$4001,$L$2:$L$4001,$L939,$F$2:$F$4001,"4")-SUMIFS('AR SALES'!$Y$2:$Y$2501,'AR SALES'!$L$2:$L$2501,$L939,'AR SALES'!$AD$2:$AD$2501,"OFF"),2)=0,"","STALE")))</f>
        <v/>
      </c>
      <c r="BB939" s="2" t="str">
        <f>IF(OR(""&amp;$F939="2",""&amp;$F939="4",""&amp;$F939="G",""&amp;$F939="H"),IF($AY939="YES","",IF($AB939&lt;&gt;0,"",IF(COUNTIFS('AR SALES'!$L$2:$L$2501,$L939,'AR SALES'!$AD$2:$AD$2501,IF(""&amp;$F939="4","OFF","ON"),'AR SALES'!$AF$2:$AF$2501,"Y")&gt;0,"","NO EXEMPTION"))),"")</f>
        <v/>
      </c>
    </row>
    <row r="940" spans="46:54" x14ac:dyDescent="0.25">
      <c r="AT940" s="2" t="str">
        <f>IF($L940="","",IFERROR(INDEX('AR SALES'!$H$2:$H$2501,MATCH(""&amp;$L940,'AR SALES'!$AE$2:$AE$2501,0)),""))</f>
        <v/>
      </c>
      <c r="AU940" s="2" t="str">
        <f t="shared" si="56"/>
        <v/>
      </c>
      <c r="AV940" s="2" t="str">
        <f t="shared" si="57"/>
        <v/>
      </c>
      <c r="AW940" s="2" t="str">
        <f t="shared" si="58"/>
        <v/>
      </c>
      <c r="AX940" s="2" t="str">
        <f t="shared" si="59"/>
        <v/>
      </c>
      <c r="AY940" s="2" t="str">
        <f>IF($AV940="","",IF(AND($Z940=0,COUNTIF('AR SALES'!$L$2:$L$2501,$L940)=0),"YES",""))</f>
        <v/>
      </c>
      <c r="AZ940" s="2" t="str">
        <f>IF($AV940="","",IF(COUNTIF(LISTS!$C$2:$C$250,$AU940)=0,"NEW",""))</f>
        <v/>
      </c>
      <c r="BA940" s="2" t="str">
        <f>IF(""&amp;$F940&lt;&gt;"4","",IF($AY940="YES","",IF(ROUND(SUMIFS($AE$2:$AE$4001,$L$2:$L$4001,$L940,$F$2:$F$4001,"4")-SUMIFS('AR SALES'!$Y$2:$Y$2501,'AR SALES'!$L$2:$L$2501,$L940,'AR SALES'!$AD$2:$AD$2501,"OFF"),2)=0,"","STALE")))</f>
        <v/>
      </c>
      <c r="BB940" s="2" t="str">
        <f>IF(OR(""&amp;$F940="2",""&amp;$F940="4",""&amp;$F940="G",""&amp;$F940="H"),IF($AY940="YES","",IF($AB940&lt;&gt;0,"",IF(COUNTIFS('AR SALES'!$L$2:$L$2501,$L940,'AR SALES'!$AD$2:$AD$2501,IF(""&amp;$F940="4","OFF","ON"),'AR SALES'!$AF$2:$AF$2501,"Y")&gt;0,"","NO EXEMPTION"))),"")</f>
        <v/>
      </c>
    </row>
    <row r="941" spans="46:54" x14ac:dyDescent="0.25">
      <c r="AT941" s="2" t="str">
        <f>IF($L941="","",IFERROR(INDEX('AR SALES'!$H$2:$H$2501,MATCH(""&amp;$L941,'AR SALES'!$AE$2:$AE$2501,0)),""))</f>
        <v/>
      </c>
      <c r="AU941" s="2" t="str">
        <f t="shared" si="56"/>
        <v/>
      </c>
      <c r="AV941" s="2" t="str">
        <f t="shared" si="57"/>
        <v/>
      </c>
      <c r="AW941" s="2" t="str">
        <f t="shared" si="58"/>
        <v/>
      </c>
      <c r="AX941" s="2" t="str">
        <f t="shared" si="59"/>
        <v/>
      </c>
      <c r="AY941" s="2" t="str">
        <f>IF($AV941="","",IF(AND($Z941=0,COUNTIF('AR SALES'!$L$2:$L$2501,$L941)=0),"YES",""))</f>
        <v/>
      </c>
      <c r="AZ941" s="2" t="str">
        <f>IF($AV941="","",IF(COUNTIF(LISTS!$C$2:$C$250,$AU941)=0,"NEW",""))</f>
        <v/>
      </c>
      <c r="BA941" s="2" t="str">
        <f>IF(""&amp;$F941&lt;&gt;"4","",IF($AY941="YES","",IF(ROUND(SUMIFS($AE$2:$AE$4001,$L$2:$L$4001,$L941,$F$2:$F$4001,"4")-SUMIFS('AR SALES'!$Y$2:$Y$2501,'AR SALES'!$L$2:$L$2501,$L941,'AR SALES'!$AD$2:$AD$2501,"OFF"),2)=0,"","STALE")))</f>
        <v/>
      </c>
      <c r="BB941" s="2" t="str">
        <f>IF(OR(""&amp;$F941="2",""&amp;$F941="4",""&amp;$F941="G",""&amp;$F941="H"),IF($AY941="YES","",IF($AB941&lt;&gt;0,"",IF(COUNTIFS('AR SALES'!$L$2:$L$2501,$L941,'AR SALES'!$AD$2:$AD$2501,IF(""&amp;$F941="4","OFF","ON"),'AR SALES'!$AF$2:$AF$2501,"Y")&gt;0,"","NO EXEMPTION"))),"")</f>
        <v/>
      </c>
    </row>
    <row r="942" spans="46:54" x14ac:dyDescent="0.25">
      <c r="AT942" s="2" t="str">
        <f>IF($L942="","",IFERROR(INDEX('AR SALES'!$H$2:$H$2501,MATCH(""&amp;$L942,'AR SALES'!$AE$2:$AE$2501,0)),""))</f>
        <v/>
      </c>
      <c r="AU942" s="2" t="str">
        <f t="shared" si="56"/>
        <v/>
      </c>
      <c r="AV942" s="2" t="str">
        <f t="shared" si="57"/>
        <v/>
      </c>
      <c r="AW942" s="2" t="str">
        <f t="shared" si="58"/>
        <v/>
      </c>
      <c r="AX942" s="2" t="str">
        <f t="shared" si="59"/>
        <v/>
      </c>
      <c r="AY942" s="2" t="str">
        <f>IF($AV942="","",IF(AND($Z942=0,COUNTIF('AR SALES'!$L$2:$L$2501,$L942)=0),"YES",""))</f>
        <v/>
      </c>
      <c r="AZ942" s="2" t="str">
        <f>IF($AV942="","",IF(COUNTIF(LISTS!$C$2:$C$250,$AU942)=0,"NEW",""))</f>
        <v/>
      </c>
      <c r="BA942" s="2" t="str">
        <f>IF(""&amp;$F942&lt;&gt;"4","",IF($AY942="YES","",IF(ROUND(SUMIFS($AE$2:$AE$4001,$L$2:$L$4001,$L942,$F$2:$F$4001,"4")-SUMIFS('AR SALES'!$Y$2:$Y$2501,'AR SALES'!$L$2:$L$2501,$L942,'AR SALES'!$AD$2:$AD$2501,"OFF"),2)=0,"","STALE")))</f>
        <v/>
      </c>
      <c r="BB942" s="2" t="str">
        <f>IF(OR(""&amp;$F942="2",""&amp;$F942="4",""&amp;$F942="G",""&amp;$F942="H"),IF($AY942="YES","",IF($AB942&lt;&gt;0,"",IF(COUNTIFS('AR SALES'!$L$2:$L$2501,$L942,'AR SALES'!$AD$2:$AD$2501,IF(""&amp;$F942="4","OFF","ON"),'AR SALES'!$AF$2:$AF$2501,"Y")&gt;0,"","NO EXEMPTION"))),"")</f>
        <v/>
      </c>
    </row>
    <row r="943" spans="46:54" x14ac:dyDescent="0.25">
      <c r="AT943" s="2" t="str">
        <f>IF($L943="","",IFERROR(INDEX('AR SALES'!$H$2:$H$2501,MATCH(""&amp;$L943,'AR SALES'!$AE$2:$AE$2501,0)),""))</f>
        <v/>
      </c>
      <c r="AU943" s="2" t="str">
        <f t="shared" si="56"/>
        <v/>
      </c>
      <c r="AV943" s="2" t="str">
        <f t="shared" si="57"/>
        <v/>
      </c>
      <c r="AW943" s="2" t="str">
        <f t="shared" si="58"/>
        <v/>
      </c>
      <c r="AX943" s="2" t="str">
        <f t="shared" si="59"/>
        <v/>
      </c>
      <c r="AY943" s="2" t="str">
        <f>IF($AV943="","",IF(AND($Z943=0,COUNTIF('AR SALES'!$L$2:$L$2501,$L943)=0),"YES",""))</f>
        <v/>
      </c>
      <c r="AZ943" s="2" t="str">
        <f>IF($AV943="","",IF(COUNTIF(LISTS!$C$2:$C$250,$AU943)=0,"NEW",""))</f>
        <v/>
      </c>
      <c r="BA943" s="2" t="str">
        <f>IF(""&amp;$F943&lt;&gt;"4","",IF($AY943="YES","",IF(ROUND(SUMIFS($AE$2:$AE$4001,$L$2:$L$4001,$L943,$F$2:$F$4001,"4")-SUMIFS('AR SALES'!$Y$2:$Y$2501,'AR SALES'!$L$2:$L$2501,$L943,'AR SALES'!$AD$2:$AD$2501,"OFF"),2)=0,"","STALE")))</f>
        <v/>
      </c>
      <c r="BB943" s="2" t="str">
        <f>IF(OR(""&amp;$F943="2",""&amp;$F943="4",""&amp;$F943="G",""&amp;$F943="H"),IF($AY943="YES","",IF($AB943&lt;&gt;0,"",IF(COUNTIFS('AR SALES'!$L$2:$L$2501,$L943,'AR SALES'!$AD$2:$AD$2501,IF(""&amp;$F943="4","OFF","ON"),'AR SALES'!$AF$2:$AF$2501,"Y")&gt;0,"","NO EXEMPTION"))),"")</f>
        <v/>
      </c>
    </row>
    <row r="944" spans="46:54" x14ac:dyDescent="0.25">
      <c r="AT944" s="2" t="str">
        <f>IF($L944="","",IFERROR(INDEX('AR SALES'!$H$2:$H$2501,MATCH(""&amp;$L944,'AR SALES'!$AE$2:$AE$2501,0)),""))</f>
        <v/>
      </c>
      <c r="AU944" s="2" t="str">
        <f t="shared" si="56"/>
        <v/>
      </c>
      <c r="AV944" s="2" t="str">
        <f t="shared" si="57"/>
        <v/>
      </c>
      <c r="AW944" s="2" t="str">
        <f t="shared" si="58"/>
        <v/>
      </c>
      <c r="AX944" s="2" t="str">
        <f t="shared" si="59"/>
        <v/>
      </c>
      <c r="AY944" s="2" t="str">
        <f>IF($AV944="","",IF(AND($Z944=0,COUNTIF('AR SALES'!$L$2:$L$2501,$L944)=0),"YES",""))</f>
        <v/>
      </c>
      <c r="AZ944" s="2" t="str">
        <f>IF($AV944="","",IF(COUNTIF(LISTS!$C$2:$C$250,$AU944)=0,"NEW",""))</f>
        <v/>
      </c>
      <c r="BA944" s="2" t="str">
        <f>IF(""&amp;$F944&lt;&gt;"4","",IF($AY944="YES","",IF(ROUND(SUMIFS($AE$2:$AE$4001,$L$2:$L$4001,$L944,$F$2:$F$4001,"4")-SUMIFS('AR SALES'!$Y$2:$Y$2501,'AR SALES'!$L$2:$L$2501,$L944,'AR SALES'!$AD$2:$AD$2501,"OFF"),2)=0,"","STALE")))</f>
        <v/>
      </c>
      <c r="BB944" s="2" t="str">
        <f>IF(OR(""&amp;$F944="2",""&amp;$F944="4",""&amp;$F944="G",""&amp;$F944="H"),IF($AY944="YES","",IF($AB944&lt;&gt;0,"",IF(COUNTIFS('AR SALES'!$L$2:$L$2501,$L944,'AR SALES'!$AD$2:$AD$2501,IF(""&amp;$F944="4","OFF","ON"),'AR SALES'!$AF$2:$AF$2501,"Y")&gt;0,"","NO EXEMPTION"))),"")</f>
        <v/>
      </c>
    </row>
    <row r="945" spans="46:54" x14ac:dyDescent="0.25">
      <c r="AT945" s="2" t="str">
        <f>IF($L945="","",IFERROR(INDEX('AR SALES'!$H$2:$H$2501,MATCH(""&amp;$L945,'AR SALES'!$AE$2:$AE$2501,0)),""))</f>
        <v/>
      </c>
      <c r="AU945" s="2" t="str">
        <f t="shared" si="56"/>
        <v/>
      </c>
      <c r="AV945" s="2" t="str">
        <f t="shared" si="57"/>
        <v/>
      </c>
      <c r="AW945" s="2" t="str">
        <f t="shared" si="58"/>
        <v/>
      </c>
      <c r="AX945" s="2" t="str">
        <f t="shared" si="59"/>
        <v/>
      </c>
      <c r="AY945" s="2" t="str">
        <f>IF($AV945="","",IF(AND($Z945=0,COUNTIF('AR SALES'!$L$2:$L$2501,$L945)=0),"YES",""))</f>
        <v/>
      </c>
      <c r="AZ945" s="2" t="str">
        <f>IF($AV945="","",IF(COUNTIF(LISTS!$C$2:$C$250,$AU945)=0,"NEW",""))</f>
        <v/>
      </c>
      <c r="BA945" s="2" t="str">
        <f>IF(""&amp;$F945&lt;&gt;"4","",IF($AY945="YES","",IF(ROUND(SUMIFS($AE$2:$AE$4001,$L$2:$L$4001,$L945,$F$2:$F$4001,"4")-SUMIFS('AR SALES'!$Y$2:$Y$2501,'AR SALES'!$L$2:$L$2501,$L945,'AR SALES'!$AD$2:$AD$2501,"OFF"),2)=0,"","STALE")))</f>
        <v/>
      </c>
      <c r="BB945" s="2" t="str">
        <f>IF(OR(""&amp;$F945="2",""&amp;$F945="4",""&amp;$F945="G",""&amp;$F945="H"),IF($AY945="YES","",IF($AB945&lt;&gt;0,"",IF(COUNTIFS('AR SALES'!$L$2:$L$2501,$L945,'AR SALES'!$AD$2:$AD$2501,IF(""&amp;$F945="4","OFF","ON"),'AR SALES'!$AF$2:$AF$2501,"Y")&gt;0,"","NO EXEMPTION"))),"")</f>
        <v/>
      </c>
    </row>
    <row r="946" spans="46:54" x14ac:dyDescent="0.25">
      <c r="AT946" s="2" t="str">
        <f>IF($L946="","",IFERROR(INDEX('AR SALES'!$H$2:$H$2501,MATCH(""&amp;$L946,'AR SALES'!$AE$2:$AE$2501,0)),""))</f>
        <v/>
      </c>
      <c r="AU946" s="2" t="str">
        <f t="shared" si="56"/>
        <v/>
      </c>
      <c r="AV946" s="2" t="str">
        <f t="shared" si="57"/>
        <v/>
      </c>
      <c r="AW946" s="2" t="str">
        <f t="shared" si="58"/>
        <v/>
      </c>
      <c r="AX946" s="2" t="str">
        <f t="shared" si="59"/>
        <v/>
      </c>
      <c r="AY946" s="2" t="str">
        <f>IF($AV946="","",IF(AND($Z946=0,COUNTIF('AR SALES'!$L$2:$L$2501,$L946)=0),"YES",""))</f>
        <v/>
      </c>
      <c r="AZ946" s="2" t="str">
        <f>IF($AV946="","",IF(COUNTIF(LISTS!$C$2:$C$250,$AU946)=0,"NEW",""))</f>
        <v/>
      </c>
      <c r="BA946" s="2" t="str">
        <f>IF(""&amp;$F946&lt;&gt;"4","",IF($AY946="YES","",IF(ROUND(SUMIFS($AE$2:$AE$4001,$L$2:$L$4001,$L946,$F$2:$F$4001,"4")-SUMIFS('AR SALES'!$Y$2:$Y$2501,'AR SALES'!$L$2:$L$2501,$L946,'AR SALES'!$AD$2:$AD$2501,"OFF"),2)=0,"","STALE")))</f>
        <v/>
      </c>
      <c r="BB946" s="2" t="str">
        <f>IF(OR(""&amp;$F946="2",""&amp;$F946="4",""&amp;$F946="G",""&amp;$F946="H"),IF($AY946="YES","",IF($AB946&lt;&gt;0,"",IF(COUNTIFS('AR SALES'!$L$2:$L$2501,$L946,'AR SALES'!$AD$2:$AD$2501,IF(""&amp;$F946="4","OFF","ON"),'AR SALES'!$AF$2:$AF$2501,"Y")&gt;0,"","NO EXEMPTION"))),"")</f>
        <v/>
      </c>
    </row>
    <row r="947" spans="46:54" x14ac:dyDescent="0.25">
      <c r="AT947" s="2" t="str">
        <f>IF($L947="","",IFERROR(INDEX('AR SALES'!$H$2:$H$2501,MATCH(""&amp;$L947,'AR SALES'!$AE$2:$AE$2501,0)),""))</f>
        <v/>
      </c>
      <c r="AU947" s="2" t="str">
        <f t="shared" si="56"/>
        <v/>
      </c>
      <c r="AV947" s="2" t="str">
        <f t="shared" si="57"/>
        <v/>
      </c>
      <c r="AW947" s="2" t="str">
        <f t="shared" si="58"/>
        <v/>
      </c>
      <c r="AX947" s="2" t="str">
        <f t="shared" si="59"/>
        <v/>
      </c>
      <c r="AY947" s="2" t="str">
        <f>IF($AV947="","",IF(AND($Z947=0,COUNTIF('AR SALES'!$L$2:$L$2501,$L947)=0),"YES",""))</f>
        <v/>
      </c>
      <c r="AZ947" s="2" t="str">
        <f>IF($AV947="","",IF(COUNTIF(LISTS!$C$2:$C$250,$AU947)=0,"NEW",""))</f>
        <v/>
      </c>
      <c r="BA947" s="2" t="str">
        <f>IF(""&amp;$F947&lt;&gt;"4","",IF($AY947="YES","",IF(ROUND(SUMIFS($AE$2:$AE$4001,$L$2:$L$4001,$L947,$F$2:$F$4001,"4")-SUMIFS('AR SALES'!$Y$2:$Y$2501,'AR SALES'!$L$2:$L$2501,$L947,'AR SALES'!$AD$2:$AD$2501,"OFF"),2)=0,"","STALE")))</f>
        <v/>
      </c>
      <c r="BB947" s="2" t="str">
        <f>IF(OR(""&amp;$F947="2",""&amp;$F947="4",""&amp;$F947="G",""&amp;$F947="H"),IF($AY947="YES","",IF($AB947&lt;&gt;0,"",IF(COUNTIFS('AR SALES'!$L$2:$L$2501,$L947,'AR SALES'!$AD$2:$AD$2501,IF(""&amp;$F947="4","OFF","ON"),'AR SALES'!$AF$2:$AF$2501,"Y")&gt;0,"","NO EXEMPTION"))),"")</f>
        <v/>
      </c>
    </row>
    <row r="948" spans="46:54" x14ac:dyDescent="0.25">
      <c r="AT948" s="2" t="str">
        <f>IF($L948="","",IFERROR(INDEX('AR SALES'!$H$2:$H$2501,MATCH(""&amp;$L948,'AR SALES'!$AE$2:$AE$2501,0)),""))</f>
        <v/>
      </c>
      <c r="AU948" s="2" t="str">
        <f t="shared" si="56"/>
        <v/>
      </c>
      <c r="AV948" s="2" t="str">
        <f t="shared" si="57"/>
        <v/>
      </c>
      <c r="AW948" s="2" t="str">
        <f t="shared" si="58"/>
        <v/>
      </c>
      <c r="AX948" s="2" t="str">
        <f t="shared" si="59"/>
        <v/>
      </c>
      <c r="AY948" s="2" t="str">
        <f>IF($AV948="","",IF(AND($Z948=0,COUNTIF('AR SALES'!$L$2:$L$2501,$L948)=0),"YES",""))</f>
        <v/>
      </c>
      <c r="AZ948" s="2" t="str">
        <f>IF($AV948="","",IF(COUNTIF(LISTS!$C$2:$C$250,$AU948)=0,"NEW",""))</f>
        <v/>
      </c>
      <c r="BA948" s="2" t="str">
        <f>IF(""&amp;$F948&lt;&gt;"4","",IF($AY948="YES","",IF(ROUND(SUMIFS($AE$2:$AE$4001,$L$2:$L$4001,$L948,$F$2:$F$4001,"4")-SUMIFS('AR SALES'!$Y$2:$Y$2501,'AR SALES'!$L$2:$L$2501,$L948,'AR SALES'!$AD$2:$AD$2501,"OFF"),2)=0,"","STALE")))</f>
        <v/>
      </c>
      <c r="BB948" s="2" t="str">
        <f>IF(OR(""&amp;$F948="2",""&amp;$F948="4",""&amp;$F948="G",""&amp;$F948="H"),IF($AY948="YES","",IF($AB948&lt;&gt;0,"",IF(COUNTIFS('AR SALES'!$L$2:$L$2501,$L948,'AR SALES'!$AD$2:$AD$2501,IF(""&amp;$F948="4","OFF","ON"),'AR SALES'!$AF$2:$AF$2501,"Y")&gt;0,"","NO EXEMPTION"))),"")</f>
        <v/>
      </c>
    </row>
    <row r="949" spans="46:54" x14ac:dyDescent="0.25">
      <c r="AT949" s="2" t="str">
        <f>IF($L949="","",IFERROR(INDEX('AR SALES'!$H$2:$H$2501,MATCH(""&amp;$L949,'AR SALES'!$AE$2:$AE$2501,0)),""))</f>
        <v/>
      </c>
      <c r="AU949" s="2" t="str">
        <f t="shared" si="56"/>
        <v/>
      </c>
      <c r="AV949" s="2" t="str">
        <f t="shared" si="57"/>
        <v/>
      </c>
      <c r="AW949" s="2" t="str">
        <f t="shared" si="58"/>
        <v/>
      </c>
      <c r="AX949" s="2" t="str">
        <f t="shared" si="59"/>
        <v/>
      </c>
      <c r="AY949" s="2" t="str">
        <f>IF($AV949="","",IF(AND($Z949=0,COUNTIF('AR SALES'!$L$2:$L$2501,$L949)=0),"YES",""))</f>
        <v/>
      </c>
      <c r="AZ949" s="2" t="str">
        <f>IF($AV949="","",IF(COUNTIF(LISTS!$C$2:$C$250,$AU949)=0,"NEW",""))</f>
        <v/>
      </c>
      <c r="BA949" s="2" t="str">
        <f>IF(""&amp;$F949&lt;&gt;"4","",IF($AY949="YES","",IF(ROUND(SUMIFS($AE$2:$AE$4001,$L$2:$L$4001,$L949,$F$2:$F$4001,"4")-SUMIFS('AR SALES'!$Y$2:$Y$2501,'AR SALES'!$L$2:$L$2501,$L949,'AR SALES'!$AD$2:$AD$2501,"OFF"),2)=0,"","STALE")))</f>
        <v/>
      </c>
      <c r="BB949" s="2" t="str">
        <f>IF(OR(""&amp;$F949="2",""&amp;$F949="4",""&amp;$F949="G",""&amp;$F949="H"),IF($AY949="YES","",IF($AB949&lt;&gt;0,"",IF(COUNTIFS('AR SALES'!$L$2:$L$2501,$L949,'AR SALES'!$AD$2:$AD$2501,IF(""&amp;$F949="4","OFF","ON"),'AR SALES'!$AF$2:$AF$2501,"Y")&gt;0,"","NO EXEMPTION"))),"")</f>
        <v/>
      </c>
    </row>
    <row r="950" spans="46:54" x14ac:dyDescent="0.25">
      <c r="AT950" s="2" t="str">
        <f>IF($L950="","",IFERROR(INDEX('AR SALES'!$H$2:$H$2501,MATCH(""&amp;$L950,'AR SALES'!$AE$2:$AE$2501,0)),""))</f>
        <v/>
      </c>
      <c r="AU950" s="2" t="str">
        <f t="shared" si="56"/>
        <v/>
      </c>
      <c r="AV950" s="2" t="str">
        <f t="shared" si="57"/>
        <v/>
      </c>
      <c r="AW950" s="2" t="str">
        <f t="shared" si="58"/>
        <v/>
      </c>
      <c r="AX950" s="2" t="str">
        <f t="shared" si="59"/>
        <v/>
      </c>
      <c r="AY950" s="2" t="str">
        <f>IF($AV950="","",IF(AND($Z950=0,COUNTIF('AR SALES'!$L$2:$L$2501,$L950)=0),"YES",""))</f>
        <v/>
      </c>
      <c r="AZ950" s="2" t="str">
        <f>IF($AV950="","",IF(COUNTIF(LISTS!$C$2:$C$250,$AU950)=0,"NEW",""))</f>
        <v/>
      </c>
      <c r="BA950" s="2" t="str">
        <f>IF(""&amp;$F950&lt;&gt;"4","",IF($AY950="YES","",IF(ROUND(SUMIFS($AE$2:$AE$4001,$L$2:$L$4001,$L950,$F$2:$F$4001,"4")-SUMIFS('AR SALES'!$Y$2:$Y$2501,'AR SALES'!$L$2:$L$2501,$L950,'AR SALES'!$AD$2:$AD$2501,"OFF"),2)=0,"","STALE")))</f>
        <v/>
      </c>
      <c r="BB950" s="2" t="str">
        <f>IF(OR(""&amp;$F950="2",""&amp;$F950="4",""&amp;$F950="G",""&amp;$F950="H"),IF($AY950="YES","",IF($AB950&lt;&gt;0,"",IF(COUNTIFS('AR SALES'!$L$2:$L$2501,$L950,'AR SALES'!$AD$2:$AD$2501,IF(""&amp;$F950="4","OFF","ON"),'AR SALES'!$AF$2:$AF$2501,"Y")&gt;0,"","NO EXEMPTION"))),"")</f>
        <v/>
      </c>
    </row>
    <row r="951" spans="46:54" x14ac:dyDescent="0.25">
      <c r="AT951" s="2" t="str">
        <f>IF($L951="","",IFERROR(INDEX('AR SALES'!$H$2:$H$2501,MATCH(""&amp;$L951,'AR SALES'!$AE$2:$AE$2501,0)),""))</f>
        <v/>
      </c>
      <c r="AU951" s="2" t="str">
        <f t="shared" si="56"/>
        <v/>
      </c>
      <c r="AV951" s="2" t="str">
        <f t="shared" si="57"/>
        <v/>
      </c>
      <c r="AW951" s="2" t="str">
        <f t="shared" si="58"/>
        <v/>
      </c>
      <c r="AX951" s="2" t="str">
        <f t="shared" si="59"/>
        <v/>
      </c>
      <c r="AY951" s="2" t="str">
        <f>IF($AV951="","",IF(AND($Z951=0,COUNTIF('AR SALES'!$L$2:$L$2501,$L951)=0),"YES",""))</f>
        <v/>
      </c>
      <c r="AZ951" s="2" t="str">
        <f>IF($AV951="","",IF(COUNTIF(LISTS!$C$2:$C$250,$AU951)=0,"NEW",""))</f>
        <v/>
      </c>
      <c r="BA951" s="2" t="str">
        <f>IF(""&amp;$F951&lt;&gt;"4","",IF($AY951="YES","",IF(ROUND(SUMIFS($AE$2:$AE$4001,$L$2:$L$4001,$L951,$F$2:$F$4001,"4")-SUMIFS('AR SALES'!$Y$2:$Y$2501,'AR SALES'!$L$2:$L$2501,$L951,'AR SALES'!$AD$2:$AD$2501,"OFF"),2)=0,"","STALE")))</f>
        <v/>
      </c>
      <c r="BB951" s="2" t="str">
        <f>IF(OR(""&amp;$F951="2",""&amp;$F951="4",""&amp;$F951="G",""&amp;$F951="H"),IF($AY951="YES","",IF($AB951&lt;&gt;0,"",IF(COUNTIFS('AR SALES'!$L$2:$L$2501,$L951,'AR SALES'!$AD$2:$AD$2501,IF(""&amp;$F951="4","OFF","ON"),'AR SALES'!$AF$2:$AF$2501,"Y")&gt;0,"","NO EXEMPTION"))),"")</f>
        <v/>
      </c>
    </row>
    <row r="952" spans="46:54" x14ac:dyDescent="0.25">
      <c r="AT952" s="2" t="str">
        <f>IF($L952="","",IFERROR(INDEX('AR SALES'!$H$2:$H$2501,MATCH(""&amp;$L952,'AR SALES'!$AE$2:$AE$2501,0)),""))</f>
        <v/>
      </c>
      <c r="AU952" s="2" t="str">
        <f t="shared" si="56"/>
        <v/>
      </c>
      <c r="AV952" s="2" t="str">
        <f t="shared" si="57"/>
        <v/>
      </c>
      <c r="AW952" s="2" t="str">
        <f t="shared" si="58"/>
        <v/>
      </c>
      <c r="AX952" s="2" t="str">
        <f t="shared" si="59"/>
        <v/>
      </c>
      <c r="AY952" s="2" t="str">
        <f>IF($AV952="","",IF(AND($Z952=0,COUNTIF('AR SALES'!$L$2:$L$2501,$L952)=0),"YES",""))</f>
        <v/>
      </c>
      <c r="AZ952" s="2" t="str">
        <f>IF($AV952="","",IF(COUNTIF(LISTS!$C$2:$C$250,$AU952)=0,"NEW",""))</f>
        <v/>
      </c>
      <c r="BA952" s="2" t="str">
        <f>IF(""&amp;$F952&lt;&gt;"4","",IF($AY952="YES","",IF(ROUND(SUMIFS($AE$2:$AE$4001,$L$2:$L$4001,$L952,$F$2:$F$4001,"4")-SUMIFS('AR SALES'!$Y$2:$Y$2501,'AR SALES'!$L$2:$L$2501,$L952,'AR SALES'!$AD$2:$AD$2501,"OFF"),2)=0,"","STALE")))</f>
        <v/>
      </c>
      <c r="BB952" s="2" t="str">
        <f>IF(OR(""&amp;$F952="2",""&amp;$F952="4",""&amp;$F952="G",""&amp;$F952="H"),IF($AY952="YES","",IF($AB952&lt;&gt;0,"",IF(COUNTIFS('AR SALES'!$L$2:$L$2501,$L952,'AR SALES'!$AD$2:$AD$2501,IF(""&amp;$F952="4","OFF","ON"),'AR SALES'!$AF$2:$AF$2501,"Y")&gt;0,"","NO EXEMPTION"))),"")</f>
        <v/>
      </c>
    </row>
    <row r="953" spans="46:54" x14ac:dyDescent="0.25">
      <c r="AT953" s="2" t="str">
        <f>IF($L953="","",IFERROR(INDEX('AR SALES'!$H$2:$H$2501,MATCH(""&amp;$L953,'AR SALES'!$AE$2:$AE$2501,0)),""))</f>
        <v/>
      </c>
      <c r="AU953" s="2" t="str">
        <f t="shared" si="56"/>
        <v/>
      </c>
      <c r="AV953" s="2" t="str">
        <f t="shared" si="57"/>
        <v/>
      </c>
      <c r="AW953" s="2" t="str">
        <f t="shared" si="58"/>
        <v/>
      </c>
      <c r="AX953" s="2" t="str">
        <f t="shared" si="59"/>
        <v/>
      </c>
      <c r="AY953" s="2" t="str">
        <f>IF($AV953="","",IF(AND($Z953=0,COUNTIF('AR SALES'!$L$2:$L$2501,$L953)=0),"YES",""))</f>
        <v/>
      </c>
      <c r="AZ953" s="2" t="str">
        <f>IF($AV953="","",IF(COUNTIF(LISTS!$C$2:$C$250,$AU953)=0,"NEW",""))</f>
        <v/>
      </c>
      <c r="BA953" s="2" t="str">
        <f>IF(""&amp;$F953&lt;&gt;"4","",IF($AY953="YES","",IF(ROUND(SUMIFS($AE$2:$AE$4001,$L$2:$L$4001,$L953,$F$2:$F$4001,"4")-SUMIFS('AR SALES'!$Y$2:$Y$2501,'AR SALES'!$L$2:$L$2501,$L953,'AR SALES'!$AD$2:$AD$2501,"OFF"),2)=0,"","STALE")))</f>
        <v/>
      </c>
      <c r="BB953" s="2" t="str">
        <f>IF(OR(""&amp;$F953="2",""&amp;$F953="4",""&amp;$F953="G",""&amp;$F953="H"),IF($AY953="YES","",IF($AB953&lt;&gt;0,"",IF(COUNTIFS('AR SALES'!$L$2:$L$2501,$L953,'AR SALES'!$AD$2:$AD$2501,IF(""&amp;$F953="4","OFF","ON"),'AR SALES'!$AF$2:$AF$2501,"Y")&gt;0,"","NO EXEMPTION"))),"")</f>
        <v/>
      </c>
    </row>
    <row r="954" spans="46:54" x14ac:dyDescent="0.25">
      <c r="AT954" s="2" t="str">
        <f>IF($L954="","",IFERROR(INDEX('AR SALES'!$H$2:$H$2501,MATCH(""&amp;$L954,'AR SALES'!$AE$2:$AE$2501,0)),""))</f>
        <v/>
      </c>
      <c r="AU954" s="2" t="str">
        <f t="shared" si="56"/>
        <v/>
      </c>
      <c r="AV954" s="2" t="str">
        <f t="shared" si="57"/>
        <v/>
      </c>
      <c r="AW954" s="2" t="str">
        <f t="shared" si="58"/>
        <v/>
      </c>
      <c r="AX954" s="2" t="str">
        <f t="shared" si="59"/>
        <v/>
      </c>
      <c r="AY954" s="2" t="str">
        <f>IF($AV954="","",IF(AND($Z954=0,COUNTIF('AR SALES'!$L$2:$L$2501,$L954)=0),"YES",""))</f>
        <v/>
      </c>
      <c r="AZ954" s="2" t="str">
        <f>IF($AV954="","",IF(COUNTIF(LISTS!$C$2:$C$250,$AU954)=0,"NEW",""))</f>
        <v/>
      </c>
      <c r="BA954" s="2" t="str">
        <f>IF(""&amp;$F954&lt;&gt;"4","",IF($AY954="YES","",IF(ROUND(SUMIFS($AE$2:$AE$4001,$L$2:$L$4001,$L954,$F$2:$F$4001,"4")-SUMIFS('AR SALES'!$Y$2:$Y$2501,'AR SALES'!$L$2:$L$2501,$L954,'AR SALES'!$AD$2:$AD$2501,"OFF"),2)=0,"","STALE")))</f>
        <v/>
      </c>
      <c r="BB954" s="2" t="str">
        <f>IF(OR(""&amp;$F954="2",""&amp;$F954="4",""&amp;$F954="G",""&amp;$F954="H"),IF($AY954="YES","",IF($AB954&lt;&gt;0,"",IF(COUNTIFS('AR SALES'!$L$2:$L$2501,$L954,'AR SALES'!$AD$2:$AD$2501,IF(""&amp;$F954="4","OFF","ON"),'AR SALES'!$AF$2:$AF$2501,"Y")&gt;0,"","NO EXEMPTION"))),"")</f>
        <v/>
      </c>
    </row>
    <row r="955" spans="46:54" x14ac:dyDescent="0.25">
      <c r="AT955" s="2" t="str">
        <f>IF($L955="","",IFERROR(INDEX('AR SALES'!$H$2:$H$2501,MATCH(""&amp;$L955,'AR SALES'!$AE$2:$AE$2501,0)),""))</f>
        <v/>
      </c>
      <c r="AU955" s="2" t="str">
        <f t="shared" si="56"/>
        <v/>
      </c>
      <c r="AV955" s="2" t="str">
        <f t="shared" si="57"/>
        <v/>
      </c>
      <c r="AW955" s="2" t="str">
        <f t="shared" si="58"/>
        <v/>
      </c>
      <c r="AX955" s="2" t="str">
        <f t="shared" si="59"/>
        <v/>
      </c>
      <c r="AY955" s="2" t="str">
        <f>IF($AV955="","",IF(AND($Z955=0,COUNTIF('AR SALES'!$L$2:$L$2501,$L955)=0),"YES",""))</f>
        <v/>
      </c>
      <c r="AZ955" s="2" t="str">
        <f>IF($AV955="","",IF(COUNTIF(LISTS!$C$2:$C$250,$AU955)=0,"NEW",""))</f>
        <v/>
      </c>
      <c r="BA955" s="2" t="str">
        <f>IF(""&amp;$F955&lt;&gt;"4","",IF($AY955="YES","",IF(ROUND(SUMIFS($AE$2:$AE$4001,$L$2:$L$4001,$L955,$F$2:$F$4001,"4")-SUMIFS('AR SALES'!$Y$2:$Y$2501,'AR SALES'!$L$2:$L$2501,$L955,'AR SALES'!$AD$2:$AD$2501,"OFF"),2)=0,"","STALE")))</f>
        <v/>
      </c>
      <c r="BB955" s="2" t="str">
        <f>IF(OR(""&amp;$F955="2",""&amp;$F955="4",""&amp;$F955="G",""&amp;$F955="H"),IF($AY955="YES","",IF($AB955&lt;&gt;0,"",IF(COUNTIFS('AR SALES'!$L$2:$L$2501,$L955,'AR SALES'!$AD$2:$AD$2501,IF(""&amp;$F955="4","OFF","ON"),'AR SALES'!$AF$2:$AF$2501,"Y")&gt;0,"","NO EXEMPTION"))),"")</f>
        <v/>
      </c>
    </row>
    <row r="956" spans="46:54" x14ac:dyDescent="0.25">
      <c r="AT956" s="2" t="str">
        <f>IF($L956="","",IFERROR(INDEX('AR SALES'!$H$2:$H$2501,MATCH(""&amp;$L956,'AR SALES'!$AE$2:$AE$2501,0)),""))</f>
        <v/>
      </c>
      <c r="AU956" s="2" t="str">
        <f t="shared" si="56"/>
        <v/>
      </c>
      <c r="AV956" s="2" t="str">
        <f t="shared" si="57"/>
        <v/>
      </c>
      <c r="AW956" s="2" t="str">
        <f t="shared" si="58"/>
        <v/>
      </c>
      <c r="AX956" s="2" t="str">
        <f t="shared" si="59"/>
        <v/>
      </c>
      <c r="AY956" s="2" t="str">
        <f>IF($AV956="","",IF(AND($Z956=0,COUNTIF('AR SALES'!$L$2:$L$2501,$L956)=0),"YES",""))</f>
        <v/>
      </c>
      <c r="AZ956" s="2" t="str">
        <f>IF($AV956="","",IF(COUNTIF(LISTS!$C$2:$C$250,$AU956)=0,"NEW",""))</f>
        <v/>
      </c>
      <c r="BA956" s="2" t="str">
        <f>IF(""&amp;$F956&lt;&gt;"4","",IF($AY956="YES","",IF(ROUND(SUMIFS($AE$2:$AE$4001,$L$2:$L$4001,$L956,$F$2:$F$4001,"4")-SUMIFS('AR SALES'!$Y$2:$Y$2501,'AR SALES'!$L$2:$L$2501,$L956,'AR SALES'!$AD$2:$AD$2501,"OFF"),2)=0,"","STALE")))</f>
        <v/>
      </c>
      <c r="BB956" s="2" t="str">
        <f>IF(OR(""&amp;$F956="2",""&amp;$F956="4",""&amp;$F956="G",""&amp;$F956="H"),IF($AY956="YES","",IF($AB956&lt;&gt;0,"",IF(COUNTIFS('AR SALES'!$L$2:$L$2501,$L956,'AR SALES'!$AD$2:$AD$2501,IF(""&amp;$F956="4","OFF","ON"),'AR SALES'!$AF$2:$AF$2501,"Y")&gt;0,"","NO EXEMPTION"))),"")</f>
        <v/>
      </c>
    </row>
    <row r="957" spans="46:54" x14ac:dyDescent="0.25">
      <c r="AT957" s="2" t="str">
        <f>IF($L957="","",IFERROR(INDEX('AR SALES'!$H$2:$H$2501,MATCH(""&amp;$L957,'AR SALES'!$AE$2:$AE$2501,0)),""))</f>
        <v/>
      </c>
      <c r="AU957" s="2" t="str">
        <f t="shared" si="56"/>
        <v/>
      </c>
      <c r="AV957" s="2" t="str">
        <f t="shared" si="57"/>
        <v/>
      </c>
      <c r="AW957" s="2" t="str">
        <f t="shared" si="58"/>
        <v/>
      </c>
      <c r="AX957" s="2" t="str">
        <f t="shared" si="59"/>
        <v/>
      </c>
      <c r="AY957" s="2" t="str">
        <f>IF($AV957="","",IF(AND($Z957=0,COUNTIF('AR SALES'!$L$2:$L$2501,$L957)=0),"YES",""))</f>
        <v/>
      </c>
      <c r="AZ957" s="2" t="str">
        <f>IF($AV957="","",IF(COUNTIF(LISTS!$C$2:$C$250,$AU957)=0,"NEW",""))</f>
        <v/>
      </c>
      <c r="BA957" s="2" t="str">
        <f>IF(""&amp;$F957&lt;&gt;"4","",IF($AY957="YES","",IF(ROUND(SUMIFS($AE$2:$AE$4001,$L$2:$L$4001,$L957,$F$2:$F$4001,"4")-SUMIFS('AR SALES'!$Y$2:$Y$2501,'AR SALES'!$L$2:$L$2501,$L957,'AR SALES'!$AD$2:$AD$2501,"OFF"),2)=0,"","STALE")))</f>
        <v/>
      </c>
      <c r="BB957" s="2" t="str">
        <f>IF(OR(""&amp;$F957="2",""&amp;$F957="4",""&amp;$F957="G",""&amp;$F957="H"),IF($AY957="YES","",IF($AB957&lt;&gt;0,"",IF(COUNTIFS('AR SALES'!$L$2:$L$2501,$L957,'AR SALES'!$AD$2:$AD$2501,IF(""&amp;$F957="4","OFF","ON"),'AR SALES'!$AF$2:$AF$2501,"Y")&gt;0,"","NO EXEMPTION"))),"")</f>
        <v/>
      </c>
    </row>
    <row r="958" spans="46:54" x14ac:dyDescent="0.25">
      <c r="AT958" s="2" t="str">
        <f>IF($L958="","",IFERROR(INDEX('AR SALES'!$H$2:$H$2501,MATCH(""&amp;$L958,'AR SALES'!$AE$2:$AE$2501,0)),""))</f>
        <v/>
      </c>
      <c r="AU958" s="2" t="str">
        <f t="shared" si="56"/>
        <v/>
      </c>
      <c r="AV958" s="2" t="str">
        <f t="shared" si="57"/>
        <v/>
      </c>
      <c r="AW958" s="2" t="str">
        <f t="shared" si="58"/>
        <v/>
      </c>
      <c r="AX958" s="2" t="str">
        <f t="shared" si="59"/>
        <v/>
      </c>
      <c r="AY958" s="2" t="str">
        <f>IF($AV958="","",IF(AND($Z958=0,COUNTIF('AR SALES'!$L$2:$L$2501,$L958)=0),"YES",""))</f>
        <v/>
      </c>
      <c r="AZ958" s="2" t="str">
        <f>IF($AV958="","",IF(COUNTIF(LISTS!$C$2:$C$250,$AU958)=0,"NEW",""))</f>
        <v/>
      </c>
      <c r="BA958" s="2" t="str">
        <f>IF(""&amp;$F958&lt;&gt;"4","",IF($AY958="YES","",IF(ROUND(SUMIFS($AE$2:$AE$4001,$L$2:$L$4001,$L958,$F$2:$F$4001,"4")-SUMIFS('AR SALES'!$Y$2:$Y$2501,'AR SALES'!$L$2:$L$2501,$L958,'AR SALES'!$AD$2:$AD$2501,"OFF"),2)=0,"","STALE")))</f>
        <v/>
      </c>
      <c r="BB958" s="2" t="str">
        <f>IF(OR(""&amp;$F958="2",""&amp;$F958="4",""&amp;$F958="G",""&amp;$F958="H"),IF($AY958="YES","",IF($AB958&lt;&gt;0,"",IF(COUNTIFS('AR SALES'!$L$2:$L$2501,$L958,'AR SALES'!$AD$2:$AD$2501,IF(""&amp;$F958="4","OFF","ON"),'AR SALES'!$AF$2:$AF$2501,"Y")&gt;0,"","NO EXEMPTION"))),"")</f>
        <v/>
      </c>
    </row>
    <row r="959" spans="46:54" x14ac:dyDescent="0.25">
      <c r="AT959" s="2" t="str">
        <f>IF($L959="","",IFERROR(INDEX('AR SALES'!$H$2:$H$2501,MATCH(""&amp;$L959,'AR SALES'!$AE$2:$AE$2501,0)),""))</f>
        <v/>
      </c>
      <c r="AU959" s="2" t="str">
        <f t="shared" si="56"/>
        <v/>
      </c>
      <c r="AV959" s="2" t="str">
        <f t="shared" si="57"/>
        <v/>
      </c>
      <c r="AW959" s="2" t="str">
        <f t="shared" si="58"/>
        <v/>
      </c>
      <c r="AX959" s="2" t="str">
        <f t="shared" si="59"/>
        <v/>
      </c>
      <c r="AY959" s="2" t="str">
        <f>IF($AV959="","",IF(AND($Z959=0,COUNTIF('AR SALES'!$L$2:$L$2501,$L959)=0),"YES",""))</f>
        <v/>
      </c>
      <c r="AZ959" s="2" t="str">
        <f>IF($AV959="","",IF(COUNTIF(LISTS!$C$2:$C$250,$AU959)=0,"NEW",""))</f>
        <v/>
      </c>
      <c r="BA959" s="2" t="str">
        <f>IF(""&amp;$F959&lt;&gt;"4","",IF($AY959="YES","",IF(ROUND(SUMIFS($AE$2:$AE$4001,$L$2:$L$4001,$L959,$F$2:$F$4001,"4")-SUMIFS('AR SALES'!$Y$2:$Y$2501,'AR SALES'!$L$2:$L$2501,$L959,'AR SALES'!$AD$2:$AD$2501,"OFF"),2)=0,"","STALE")))</f>
        <v/>
      </c>
      <c r="BB959" s="2" t="str">
        <f>IF(OR(""&amp;$F959="2",""&amp;$F959="4",""&amp;$F959="G",""&amp;$F959="H"),IF($AY959="YES","",IF($AB959&lt;&gt;0,"",IF(COUNTIFS('AR SALES'!$L$2:$L$2501,$L959,'AR SALES'!$AD$2:$AD$2501,IF(""&amp;$F959="4","OFF","ON"),'AR SALES'!$AF$2:$AF$2501,"Y")&gt;0,"","NO EXEMPTION"))),"")</f>
        <v/>
      </c>
    </row>
    <row r="960" spans="46:54" x14ac:dyDescent="0.25">
      <c r="AT960" s="2" t="str">
        <f>IF($L960="","",IFERROR(INDEX('AR SALES'!$H$2:$H$2501,MATCH(""&amp;$L960,'AR SALES'!$AE$2:$AE$2501,0)),""))</f>
        <v/>
      </c>
      <c r="AU960" s="2" t="str">
        <f t="shared" si="56"/>
        <v/>
      </c>
      <c r="AV960" s="2" t="str">
        <f t="shared" si="57"/>
        <v/>
      </c>
      <c r="AW960" s="2" t="str">
        <f t="shared" si="58"/>
        <v/>
      </c>
      <c r="AX960" s="2" t="str">
        <f t="shared" si="59"/>
        <v/>
      </c>
      <c r="AY960" s="2" t="str">
        <f>IF($AV960="","",IF(AND($Z960=0,COUNTIF('AR SALES'!$L$2:$L$2501,$L960)=0),"YES",""))</f>
        <v/>
      </c>
      <c r="AZ960" s="2" t="str">
        <f>IF($AV960="","",IF(COUNTIF(LISTS!$C$2:$C$250,$AU960)=0,"NEW",""))</f>
        <v/>
      </c>
      <c r="BA960" s="2" t="str">
        <f>IF(""&amp;$F960&lt;&gt;"4","",IF($AY960="YES","",IF(ROUND(SUMIFS($AE$2:$AE$4001,$L$2:$L$4001,$L960,$F$2:$F$4001,"4")-SUMIFS('AR SALES'!$Y$2:$Y$2501,'AR SALES'!$L$2:$L$2501,$L960,'AR SALES'!$AD$2:$AD$2501,"OFF"),2)=0,"","STALE")))</f>
        <v/>
      </c>
      <c r="BB960" s="2" t="str">
        <f>IF(OR(""&amp;$F960="2",""&amp;$F960="4",""&amp;$F960="G",""&amp;$F960="H"),IF($AY960="YES","",IF($AB960&lt;&gt;0,"",IF(COUNTIFS('AR SALES'!$L$2:$L$2501,$L960,'AR SALES'!$AD$2:$AD$2501,IF(""&amp;$F960="4","OFF","ON"),'AR SALES'!$AF$2:$AF$2501,"Y")&gt;0,"","NO EXEMPTION"))),"")</f>
        <v/>
      </c>
    </row>
    <row r="961" spans="46:54" x14ac:dyDescent="0.25">
      <c r="AT961" s="2" t="str">
        <f>IF($L961="","",IFERROR(INDEX('AR SALES'!$H$2:$H$2501,MATCH(""&amp;$L961,'AR SALES'!$AE$2:$AE$2501,0)),""))</f>
        <v/>
      </c>
      <c r="AU961" s="2" t="str">
        <f t="shared" si="56"/>
        <v/>
      </c>
      <c r="AV961" s="2" t="str">
        <f t="shared" si="57"/>
        <v/>
      </c>
      <c r="AW961" s="2" t="str">
        <f t="shared" si="58"/>
        <v/>
      </c>
      <c r="AX961" s="2" t="str">
        <f t="shared" si="59"/>
        <v/>
      </c>
      <c r="AY961" s="2" t="str">
        <f>IF($AV961="","",IF(AND($Z961=0,COUNTIF('AR SALES'!$L$2:$L$2501,$L961)=0),"YES",""))</f>
        <v/>
      </c>
      <c r="AZ961" s="2" t="str">
        <f>IF($AV961="","",IF(COUNTIF(LISTS!$C$2:$C$250,$AU961)=0,"NEW",""))</f>
        <v/>
      </c>
      <c r="BA961" s="2" t="str">
        <f>IF(""&amp;$F961&lt;&gt;"4","",IF($AY961="YES","",IF(ROUND(SUMIFS($AE$2:$AE$4001,$L$2:$L$4001,$L961,$F$2:$F$4001,"4")-SUMIFS('AR SALES'!$Y$2:$Y$2501,'AR SALES'!$L$2:$L$2501,$L961,'AR SALES'!$AD$2:$AD$2501,"OFF"),2)=0,"","STALE")))</f>
        <v/>
      </c>
      <c r="BB961" s="2" t="str">
        <f>IF(OR(""&amp;$F961="2",""&amp;$F961="4",""&amp;$F961="G",""&amp;$F961="H"),IF($AY961="YES","",IF($AB961&lt;&gt;0,"",IF(COUNTIFS('AR SALES'!$L$2:$L$2501,$L961,'AR SALES'!$AD$2:$AD$2501,IF(""&amp;$F961="4","OFF","ON"),'AR SALES'!$AF$2:$AF$2501,"Y")&gt;0,"","NO EXEMPTION"))),"")</f>
        <v/>
      </c>
    </row>
    <row r="962" spans="46:54" x14ac:dyDescent="0.25">
      <c r="AT962" s="2" t="str">
        <f>IF($L962="","",IFERROR(INDEX('AR SALES'!$H$2:$H$2501,MATCH(""&amp;$L962,'AR SALES'!$AE$2:$AE$2501,0)),""))</f>
        <v/>
      </c>
      <c r="AU962" s="2" t="str">
        <f t="shared" ref="AU962:AU1025" si="60">IF($L962="","",IF($A962&lt;&gt;"GA","",IF($E962="FULTON",IF(ISNUMBER(SEARCH("COLLEGE PARK",$AT962)),"FULTON (COLLEGE PARK)",IF(ISNUMBER(SEARCH("ATLANTA CITY",$AT962)),"FULTON (ATL LIMITS)","FULTON")),IF($E962="DEKALB",IF(ISNUMBER(SEARCH("ATLANTA CITY",$AT962)),"DEKALB (ATL LIMITS)","DEKALB"),$E962))))</f>
        <v/>
      </c>
      <c r="AV962" s="2" t="str">
        <f t="shared" ref="AV962:AV1025" si="61">IF($L962="","",IF(""&amp;$F962="2","DIESEL",IF(OR(""&amp;$F962="G",""&amp;$F962="H"),"GAS","")))</f>
        <v/>
      </c>
      <c r="AW962" s="2" t="str">
        <f t="shared" ref="AW962:AW1025" si="62">IF($AV962="","",$R962)</f>
        <v/>
      </c>
      <c r="AX962" s="2" t="str">
        <f t="shared" ref="AX962:AX1025" si="63">IF($AV962="","",IF($AB962=0,$R962,0))</f>
        <v/>
      </c>
      <c r="AY962" s="2" t="str">
        <f>IF($AV962="","",IF(AND($Z962=0,COUNTIF('AR SALES'!$L$2:$L$2501,$L962)=0),"YES",""))</f>
        <v/>
      </c>
      <c r="AZ962" s="2" t="str">
        <f>IF($AV962="","",IF(COUNTIF(LISTS!$C$2:$C$250,$AU962)=0,"NEW",""))</f>
        <v/>
      </c>
      <c r="BA962" s="2" t="str">
        <f>IF(""&amp;$F962&lt;&gt;"4","",IF($AY962="YES","",IF(ROUND(SUMIFS($AE$2:$AE$4001,$L$2:$L$4001,$L962,$F$2:$F$4001,"4")-SUMIFS('AR SALES'!$Y$2:$Y$2501,'AR SALES'!$L$2:$L$2501,$L962,'AR SALES'!$AD$2:$AD$2501,"OFF"),2)=0,"","STALE")))</f>
        <v/>
      </c>
      <c r="BB962" s="2" t="str">
        <f>IF(OR(""&amp;$F962="2",""&amp;$F962="4",""&amp;$F962="G",""&amp;$F962="H"),IF($AY962="YES","",IF($AB962&lt;&gt;0,"",IF(COUNTIFS('AR SALES'!$L$2:$L$2501,$L962,'AR SALES'!$AD$2:$AD$2501,IF(""&amp;$F962="4","OFF","ON"),'AR SALES'!$AF$2:$AF$2501,"Y")&gt;0,"","NO EXEMPTION"))),"")</f>
        <v/>
      </c>
    </row>
    <row r="963" spans="46:54" x14ac:dyDescent="0.25">
      <c r="AT963" s="2" t="str">
        <f>IF($L963="","",IFERROR(INDEX('AR SALES'!$H$2:$H$2501,MATCH(""&amp;$L963,'AR SALES'!$AE$2:$AE$2501,0)),""))</f>
        <v/>
      </c>
      <c r="AU963" s="2" t="str">
        <f t="shared" si="60"/>
        <v/>
      </c>
      <c r="AV963" s="2" t="str">
        <f t="shared" si="61"/>
        <v/>
      </c>
      <c r="AW963" s="2" t="str">
        <f t="shared" si="62"/>
        <v/>
      </c>
      <c r="AX963" s="2" t="str">
        <f t="shared" si="63"/>
        <v/>
      </c>
      <c r="AY963" s="2" t="str">
        <f>IF($AV963="","",IF(AND($Z963=0,COUNTIF('AR SALES'!$L$2:$L$2501,$L963)=0),"YES",""))</f>
        <v/>
      </c>
      <c r="AZ963" s="2" t="str">
        <f>IF($AV963="","",IF(COUNTIF(LISTS!$C$2:$C$250,$AU963)=0,"NEW",""))</f>
        <v/>
      </c>
      <c r="BA963" s="2" t="str">
        <f>IF(""&amp;$F963&lt;&gt;"4","",IF($AY963="YES","",IF(ROUND(SUMIFS($AE$2:$AE$4001,$L$2:$L$4001,$L963,$F$2:$F$4001,"4")-SUMIFS('AR SALES'!$Y$2:$Y$2501,'AR SALES'!$L$2:$L$2501,$L963,'AR SALES'!$AD$2:$AD$2501,"OFF"),2)=0,"","STALE")))</f>
        <v/>
      </c>
      <c r="BB963" s="2" t="str">
        <f>IF(OR(""&amp;$F963="2",""&amp;$F963="4",""&amp;$F963="G",""&amp;$F963="H"),IF($AY963="YES","",IF($AB963&lt;&gt;0,"",IF(COUNTIFS('AR SALES'!$L$2:$L$2501,$L963,'AR SALES'!$AD$2:$AD$2501,IF(""&amp;$F963="4","OFF","ON"),'AR SALES'!$AF$2:$AF$2501,"Y")&gt;0,"","NO EXEMPTION"))),"")</f>
        <v/>
      </c>
    </row>
    <row r="964" spans="46:54" x14ac:dyDescent="0.25">
      <c r="AT964" s="2" t="str">
        <f>IF($L964="","",IFERROR(INDEX('AR SALES'!$H$2:$H$2501,MATCH(""&amp;$L964,'AR SALES'!$AE$2:$AE$2501,0)),""))</f>
        <v/>
      </c>
      <c r="AU964" s="2" t="str">
        <f t="shared" si="60"/>
        <v/>
      </c>
      <c r="AV964" s="2" t="str">
        <f t="shared" si="61"/>
        <v/>
      </c>
      <c r="AW964" s="2" t="str">
        <f t="shared" si="62"/>
        <v/>
      </c>
      <c r="AX964" s="2" t="str">
        <f t="shared" si="63"/>
        <v/>
      </c>
      <c r="AY964" s="2" t="str">
        <f>IF($AV964="","",IF(AND($Z964=0,COUNTIF('AR SALES'!$L$2:$L$2501,$L964)=0),"YES",""))</f>
        <v/>
      </c>
      <c r="AZ964" s="2" t="str">
        <f>IF($AV964="","",IF(COUNTIF(LISTS!$C$2:$C$250,$AU964)=0,"NEW",""))</f>
        <v/>
      </c>
      <c r="BA964" s="2" t="str">
        <f>IF(""&amp;$F964&lt;&gt;"4","",IF($AY964="YES","",IF(ROUND(SUMIFS($AE$2:$AE$4001,$L$2:$L$4001,$L964,$F$2:$F$4001,"4")-SUMIFS('AR SALES'!$Y$2:$Y$2501,'AR SALES'!$L$2:$L$2501,$L964,'AR SALES'!$AD$2:$AD$2501,"OFF"),2)=0,"","STALE")))</f>
        <v/>
      </c>
      <c r="BB964" s="2" t="str">
        <f>IF(OR(""&amp;$F964="2",""&amp;$F964="4",""&amp;$F964="G",""&amp;$F964="H"),IF($AY964="YES","",IF($AB964&lt;&gt;0,"",IF(COUNTIFS('AR SALES'!$L$2:$L$2501,$L964,'AR SALES'!$AD$2:$AD$2501,IF(""&amp;$F964="4","OFF","ON"),'AR SALES'!$AF$2:$AF$2501,"Y")&gt;0,"","NO EXEMPTION"))),"")</f>
        <v/>
      </c>
    </row>
    <row r="965" spans="46:54" x14ac:dyDescent="0.25">
      <c r="AT965" s="2" t="str">
        <f>IF($L965="","",IFERROR(INDEX('AR SALES'!$H$2:$H$2501,MATCH(""&amp;$L965,'AR SALES'!$AE$2:$AE$2501,0)),""))</f>
        <v/>
      </c>
      <c r="AU965" s="2" t="str">
        <f t="shared" si="60"/>
        <v/>
      </c>
      <c r="AV965" s="2" t="str">
        <f t="shared" si="61"/>
        <v/>
      </c>
      <c r="AW965" s="2" t="str">
        <f t="shared" si="62"/>
        <v/>
      </c>
      <c r="AX965" s="2" t="str">
        <f t="shared" si="63"/>
        <v/>
      </c>
      <c r="AY965" s="2" t="str">
        <f>IF($AV965="","",IF(AND($Z965=0,COUNTIF('AR SALES'!$L$2:$L$2501,$L965)=0),"YES",""))</f>
        <v/>
      </c>
      <c r="AZ965" s="2" t="str">
        <f>IF($AV965="","",IF(COUNTIF(LISTS!$C$2:$C$250,$AU965)=0,"NEW",""))</f>
        <v/>
      </c>
      <c r="BA965" s="2" t="str">
        <f>IF(""&amp;$F965&lt;&gt;"4","",IF($AY965="YES","",IF(ROUND(SUMIFS($AE$2:$AE$4001,$L$2:$L$4001,$L965,$F$2:$F$4001,"4")-SUMIFS('AR SALES'!$Y$2:$Y$2501,'AR SALES'!$L$2:$L$2501,$L965,'AR SALES'!$AD$2:$AD$2501,"OFF"),2)=0,"","STALE")))</f>
        <v/>
      </c>
      <c r="BB965" s="2" t="str">
        <f>IF(OR(""&amp;$F965="2",""&amp;$F965="4",""&amp;$F965="G",""&amp;$F965="H"),IF($AY965="YES","",IF($AB965&lt;&gt;0,"",IF(COUNTIFS('AR SALES'!$L$2:$L$2501,$L965,'AR SALES'!$AD$2:$AD$2501,IF(""&amp;$F965="4","OFF","ON"),'AR SALES'!$AF$2:$AF$2501,"Y")&gt;0,"","NO EXEMPTION"))),"")</f>
        <v/>
      </c>
    </row>
    <row r="966" spans="46:54" x14ac:dyDescent="0.25">
      <c r="AT966" s="2" t="str">
        <f>IF($L966="","",IFERROR(INDEX('AR SALES'!$H$2:$H$2501,MATCH(""&amp;$L966,'AR SALES'!$AE$2:$AE$2501,0)),""))</f>
        <v/>
      </c>
      <c r="AU966" s="2" t="str">
        <f t="shared" si="60"/>
        <v/>
      </c>
      <c r="AV966" s="2" t="str">
        <f t="shared" si="61"/>
        <v/>
      </c>
      <c r="AW966" s="2" t="str">
        <f t="shared" si="62"/>
        <v/>
      </c>
      <c r="AX966" s="2" t="str">
        <f t="shared" si="63"/>
        <v/>
      </c>
      <c r="AY966" s="2" t="str">
        <f>IF($AV966="","",IF(AND($Z966=0,COUNTIF('AR SALES'!$L$2:$L$2501,$L966)=0),"YES",""))</f>
        <v/>
      </c>
      <c r="AZ966" s="2" t="str">
        <f>IF($AV966="","",IF(COUNTIF(LISTS!$C$2:$C$250,$AU966)=0,"NEW",""))</f>
        <v/>
      </c>
      <c r="BA966" s="2" t="str">
        <f>IF(""&amp;$F966&lt;&gt;"4","",IF($AY966="YES","",IF(ROUND(SUMIFS($AE$2:$AE$4001,$L$2:$L$4001,$L966,$F$2:$F$4001,"4")-SUMIFS('AR SALES'!$Y$2:$Y$2501,'AR SALES'!$L$2:$L$2501,$L966,'AR SALES'!$AD$2:$AD$2501,"OFF"),2)=0,"","STALE")))</f>
        <v/>
      </c>
      <c r="BB966" s="2" t="str">
        <f>IF(OR(""&amp;$F966="2",""&amp;$F966="4",""&amp;$F966="G",""&amp;$F966="H"),IF($AY966="YES","",IF($AB966&lt;&gt;0,"",IF(COUNTIFS('AR SALES'!$L$2:$L$2501,$L966,'AR SALES'!$AD$2:$AD$2501,IF(""&amp;$F966="4","OFF","ON"),'AR SALES'!$AF$2:$AF$2501,"Y")&gt;0,"","NO EXEMPTION"))),"")</f>
        <v/>
      </c>
    </row>
    <row r="967" spans="46:54" x14ac:dyDescent="0.25">
      <c r="AT967" s="2" t="str">
        <f>IF($L967="","",IFERROR(INDEX('AR SALES'!$H$2:$H$2501,MATCH(""&amp;$L967,'AR SALES'!$AE$2:$AE$2501,0)),""))</f>
        <v/>
      </c>
      <c r="AU967" s="2" t="str">
        <f t="shared" si="60"/>
        <v/>
      </c>
      <c r="AV967" s="2" t="str">
        <f t="shared" si="61"/>
        <v/>
      </c>
      <c r="AW967" s="2" t="str">
        <f t="shared" si="62"/>
        <v/>
      </c>
      <c r="AX967" s="2" t="str">
        <f t="shared" si="63"/>
        <v/>
      </c>
      <c r="AY967" s="2" t="str">
        <f>IF($AV967="","",IF(AND($Z967=0,COUNTIF('AR SALES'!$L$2:$L$2501,$L967)=0),"YES",""))</f>
        <v/>
      </c>
      <c r="AZ967" s="2" t="str">
        <f>IF($AV967="","",IF(COUNTIF(LISTS!$C$2:$C$250,$AU967)=0,"NEW",""))</f>
        <v/>
      </c>
      <c r="BA967" s="2" t="str">
        <f>IF(""&amp;$F967&lt;&gt;"4","",IF($AY967="YES","",IF(ROUND(SUMIFS($AE$2:$AE$4001,$L$2:$L$4001,$L967,$F$2:$F$4001,"4")-SUMIFS('AR SALES'!$Y$2:$Y$2501,'AR SALES'!$L$2:$L$2501,$L967,'AR SALES'!$AD$2:$AD$2501,"OFF"),2)=0,"","STALE")))</f>
        <v/>
      </c>
      <c r="BB967" s="2" t="str">
        <f>IF(OR(""&amp;$F967="2",""&amp;$F967="4",""&amp;$F967="G",""&amp;$F967="H"),IF($AY967="YES","",IF($AB967&lt;&gt;0,"",IF(COUNTIFS('AR SALES'!$L$2:$L$2501,$L967,'AR SALES'!$AD$2:$AD$2501,IF(""&amp;$F967="4","OFF","ON"),'AR SALES'!$AF$2:$AF$2501,"Y")&gt;0,"","NO EXEMPTION"))),"")</f>
        <v/>
      </c>
    </row>
    <row r="968" spans="46:54" x14ac:dyDescent="0.25">
      <c r="AT968" s="2" t="str">
        <f>IF($L968="","",IFERROR(INDEX('AR SALES'!$H$2:$H$2501,MATCH(""&amp;$L968,'AR SALES'!$AE$2:$AE$2501,0)),""))</f>
        <v/>
      </c>
      <c r="AU968" s="2" t="str">
        <f t="shared" si="60"/>
        <v/>
      </c>
      <c r="AV968" s="2" t="str">
        <f t="shared" si="61"/>
        <v/>
      </c>
      <c r="AW968" s="2" t="str">
        <f t="shared" si="62"/>
        <v/>
      </c>
      <c r="AX968" s="2" t="str">
        <f t="shared" si="63"/>
        <v/>
      </c>
      <c r="AY968" s="2" t="str">
        <f>IF($AV968="","",IF(AND($Z968=0,COUNTIF('AR SALES'!$L$2:$L$2501,$L968)=0),"YES",""))</f>
        <v/>
      </c>
      <c r="AZ968" s="2" t="str">
        <f>IF($AV968="","",IF(COUNTIF(LISTS!$C$2:$C$250,$AU968)=0,"NEW",""))</f>
        <v/>
      </c>
      <c r="BA968" s="2" t="str">
        <f>IF(""&amp;$F968&lt;&gt;"4","",IF($AY968="YES","",IF(ROUND(SUMIFS($AE$2:$AE$4001,$L$2:$L$4001,$L968,$F$2:$F$4001,"4")-SUMIFS('AR SALES'!$Y$2:$Y$2501,'AR SALES'!$L$2:$L$2501,$L968,'AR SALES'!$AD$2:$AD$2501,"OFF"),2)=0,"","STALE")))</f>
        <v/>
      </c>
      <c r="BB968" s="2" t="str">
        <f>IF(OR(""&amp;$F968="2",""&amp;$F968="4",""&amp;$F968="G",""&amp;$F968="H"),IF($AY968="YES","",IF($AB968&lt;&gt;0,"",IF(COUNTIFS('AR SALES'!$L$2:$L$2501,$L968,'AR SALES'!$AD$2:$AD$2501,IF(""&amp;$F968="4","OFF","ON"),'AR SALES'!$AF$2:$AF$2501,"Y")&gt;0,"","NO EXEMPTION"))),"")</f>
        <v/>
      </c>
    </row>
    <row r="969" spans="46:54" x14ac:dyDescent="0.25">
      <c r="AT969" s="2" t="str">
        <f>IF($L969="","",IFERROR(INDEX('AR SALES'!$H$2:$H$2501,MATCH(""&amp;$L969,'AR SALES'!$AE$2:$AE$2501,0)),""))</f>
        <v/>
      </c>
      <c r="AU969" s="2" t="str">
        <f t="shared" si="60"/>
        <v/>
      </c>
      <c r="AV969" s="2" t="str">
        <f t="shared" si="61"/>
        <v/>
      </c>
      <c r="AW969" s="2" t="str">
        <f t="shared" si="62"/>
        <v/>
      </c>
      <c r="AX969" s="2" t="str">
        <f t="shared" si="63"/>
        <v/>
      </c>
      <c r="AY969" s="2" t="str">
        <f>IF($AV969="","",IF(AND($Z969=0,COUNTIF('AR SALES'!$L$2:$L$2501,$L969)=0),"YES",""))</f>
        <v/>
      </c>
      <c r="AZ969" s="2" t="str">
        <f>IF($AV969="","",IF(COUNTIF(LISTS!$C$2:$C$250,$AU969)=0,"NEW",""))</f>
        <v/>
      </c>
      <c r="BA969" s="2" t="str">
        <f>IF(""&amp;$F969&lt;&gt;"4","",IF($AY969="YES","",IF(ROUND(SUMIFS($AE$2:$AE$4001,$L$2:$L$4001,$L969,$F$2:$F$4001,"4")-SUMIFS('AR SALES'!$Y$2:$Y$2501,'AR SALES'!$L$2:$L$2501,$L969,'AR SALES'!$AD$2:$AD$2501,"OFF"),2)=0,"","STALE")))</f>
        <v/>
      </c>
      <c r="BB969" s="2" t="str">
        <f>IF(OR(""&amp;$F969="2",""&amp;$F969="4",""&amp;$F969="G",""&amp;$F969="H"),IF($AY969="YES","",IF($AB969&lt;&gt;0,"",IF(COUNTIFS('AR SALES'!$L$2:$L$2501,$L969,'AR SALES'!$AD$2:$AD$2501,IF(""&amp;$F969="4","OFF","ON"),'AR SALES'!$AF$2:$AF$2501,"Y")&gt;0,"","NO EXEMPTION"))),"")</f>
        <v/>
      </c>
    </row>
    <row r="970" spans="46:54" x14ac:dyDescent="0.25">
      <c r="AT970" s="2" t="str">
        <f>IF($L970="","",IFERROR(INDEX('AR SALES'!$H$2:$H$2501,MATCH(""&amp;$L970,'AR SALES'!$AE$2:$AE$2501,0)),""))</f>
        <v/>
      </c>
      <c r="AU970" s="2" t="str">
        <f t="shared" si="60"/>
        <v/>
      </c>
      <c r="AV970" s="2" t="str">
        <f t="shared" si="61"/>
        <v/>
      </c>
      <c r="AW970" s="2" t="str">
        <f t="shared" si="62"/>
        <v/>
      </c>
      <c r="AX970" s="2" t="str">
        <f t="shared" si="63"/>
        <v/>
      </c>
      <c r="AY970" s="2" t="str">
        <f>IF($AV970="","",IF(AND($Z970=0,COUNTIF('AR SALES'!$L$2:$L$2501,$L970)=0),"YES",""))</f>
        <v/>
      </c>
      <c r="AZ970" s="2" t="str">
        <f>IF($AV970="","",IF(COUNTIF(LISTS!$C$2:$C$250,$AU970)=0,"NEW",""))</f>
        <v/>
      </c>
      <c r="BA970" s="2" t="str">
        <f>IF(""&amp;$F970&lt;&gt;"4","",IF($AY970="YES","",IF(ROUND(SUMIFS($AE$2:$AE$4001,$L$2:$L$4001,$L970,$F$2:$F$4001,"4")-SUMIFS('AR SALES'!$Y$2:$Y$2501,'AR SALES'!$L$2:$L$2501,$L970,'AR SALES'!$AD$2:$AD$2501,"OFF"),2)=0,"","STALE")))</f>
        <v/>
      </c>
      <c r="BB970" s="2" t="str">
        <f>IF(OR(""&amp;$F970="2",""&amp;$F970="4",""&amp;$F970="G",""&amp;$F970="H"),IF($AY970="YES","",IF($AB970&lt;&gt;0,"",IF(COUNTIFS('AR SALES'!$L$2:$L$2501,$L970,'AR SALES'!$AD$2:$AD$2501,IF(""&amp;$F970="4","OFF","ON"),'AR SALES'!$AF$2:$AF$2501,"Y")&gt;0,"","NO EXEMPTION"))),"")</f>
        <v/>
      </c>
    </row>
    <row r="971" spans="46:54" x14ac:dyDescent="0.25">
      <c r="AT971" s="2" t="str">
        <f>IF($L971="","",IFERROR(INDEX('AR SALES'!$H$2:$H$2501,MATCH(""&amp;$L971,'AR SALES'!$AE$2:$AE$2501,0)),""))</f>
        <v/>
      </c>
      <c r="AU971" s="2" t="str">
        <f t="shared" si="60"/>
        <v/>
      </c>
      <c r="AV971" s="2" t="str">
        <f t="shared" si="61"/>
        <v/>
      </c>
      <c r="AW971" s="2" t="str">
        <f t="shared" si="62"/>
        <v/>
      </c>
      <c r="AX971" s="2" t="str">
        <f t="shared" si="63"/>
        <v/>
      </c>
      <c r="AY971" s="2" t="str">
        <f>IF($AV971="","",IF(AND($Z971=0,COUNTIF('AR SALES'!$L$2:$L$2501,$L971)=0),"YES",""))</f>
        <v/>
      </c>
      <c r="AZ971" s="2" t="str">
        <f>IF($AV971="","",IF(COUNTIF(LISTS!$C$2:$C$250,$AU971)=0,"NEW",""))</f>
        <v/>
      </c>
      <c r="BA971" s="2" t="str">
        <f>IF(""&amp;$F971&lt;&gt;"4","",IF($AY971="YES","",IF(ROUND(SUMIFS($AE$2:$AE$4001,$L$2:$L$4001,$L971,$F$2:$F$4001,"4")-SUMIFS('AR SALES'!$Y$2:$Y$2501,'AR SALES'!$L$2:$L$2501,$L971,'AR SALES'!$AD$2:$AD$2501,"OFF"),2)=0,"","STALE")))</f>
        <v/>
      </c>
      <c r="BB971" s="2" t="str">
        <f>IF(OR(""&amp;$F971="2",""&amp;$F971="4",""&amp;$F971="G",""&amp;$F971="H"),IF($AY971="YES","",IF($AB971&lt;&gt;0,"",IF(COUNTIFS('AR SALES'!$L$2:$L$2501,$L971,'AR SALES'!$AD$2:$AD$2501,IF(""&amp;$F971="4","OFF","ON"),'AR SALES'!$AF$2:$AF$2501,"Y")&gt;0,"","NO EXEMPTION"))),"")</f>
        <v/>
      </c>
    </row>
    <row r="972" spans="46:54" x14ac:dyDescent="0.25">
      <c r="AT972" s="2" t="str">
        <f>IF($L972="","",IFERROR(INDEX('AR SALES'!$H$2:$H$2501,MATCH(""&amp;$L972,'AR SALES'!$AE$2:$AE$2501,0)),""))</f>
        <v/>
      </c>
      <c r="AU972" s="2" t="str">
        <f t="shared" si="60"/>
        <v/>
      </c>
      <c r="AV972" s="2" t="str">
        <f t="shared" si="61"/>
        <v/>
      </c>
      <c r="AW972" s="2" t="str">
        <f t="shared" si="62"/>
        <v/>
      </c>
      <c r="AX972" s="2" t="str">
        <f t="shared" si="63"/>
        <v/>
      </c>
      <c r="AY972" s="2" t="str">
        <f>IF($AV972="","",IF(AND($Z972=0,COUNTIF('AR SALES'!$L$2:$L$2501,$L972)=0),"YES",""))</f>
        <v/>
      </c>
      <c r="AZ972" s="2" t="str">
        <f>IF($AV972="","",IF(COUNTIF(LISTS!$C$2:$C$250,$AU972)=0,"NEW",""))</f>
        <v/>
      </c>
      <c r="BA972" s="2" t="str">
        <f>IF(""&amp;$F972&lt;&gt;"4","",IF($AY972="YES","",IF(ROUND(SUMIFS($AE$2:$AE$4001,$L$2:$L$4001,$L972,$F$2:$F$4001,"4")-SUMIFS('AR SALES'!$Y$2:$Y$2501,'AR SALES'!$L$2:$L$2501,$L972,'AR SALES'!$AD$2:$AD$2501,"OFF"),2)=0,"","STALE")))</f>
        <v/>
      </c>
      <c r="BB972" s="2" t="str">
        <f>IF(OR(""&amp;$F972="2",""&amp;$F972="4",""&amp;$F972="G",""&amp;$F972="H"),IF($AY972="YES","",IF($AB972&lt;&gt;0,"",IF(COUNTIFS('AR SALES'!$L$2:$L$2501,$L972,'AR SALES'!$AD$2:$AD$2501,IF(""&amp;$F972="4","OFF","ON"),'AR SALES'!$AF$2:$AF$2501,"Y")&gt;0,"","NO EXEMPTION"))),"")</f>
        <v/>
      </c>
    </row>
    <row r="973" spans="46:54" x14ac:dyDescent="0.25">
      <c r="AT973" s="2" t="str">
        <f>IF($L973="","",IFERROR(INDEX('AR SALES'!$H$2:$H$2501,MATCH(""&amp;$L973,'AR SALES'!$AE$2:$AE$2501,0)),""))</f>
        <v/>
      </c>
      <c r="AU973" s="2" t="str">
        <f t="shared" si="60"/>
        <v/>
      </c>
      <c r="AV973" s="2" t="str">
        <f t="shared" si="61"/>
        <v/>
      </c>
      <c r="AW973" s="2" t="str">
        <f t="shared" si="62"/>
        <v/>
      </c>
      <c r="AX973" s="2" t="str">
        <f t="shared" si="63"/>
        <v/>
      </c>
      <c r="AY973" s="2" t="str">
        <f>IF($AV973="","",IF(AND($Z973=0,COUNTIF('AR SALES'!$L$2:$L$2501,$L973)=0),"YES",""))</f>
        <v/>
      </c>
      <c r="AZ973" s="2" t="str">
        <f>IF($AV973="","",IF(COUNTIF(LISTS!$C$2:$C$250,$AU973)=0,"NEW",""))</f>
        <v/>
      </c>
      <c r="BA973" s="2" t="str">
        <f>IF(""&amp;$F973&lt;&gt;"4","",IF($AY973="YES","",IF(ROUND(SUMIFS($AE$2:$AE$4001,$L$2:$L$4001,$L973,$F$2:$F$4001,"4")-SUMIFS('AR SALES'!$Y$2:$Y$2501,'AR SALES'!$L$2:$L$2501,$L973,'AR SALES'!$AD$2:$AD$2501,"OFF"),2)=0,"","STALE")))</f>
        <v/>
      </c>
      <c r="BB973" s="2" t="str">
        <f>IF(OR(""&amp;$F973="2",""&amp;$F973="4",""&amp;$F973="G",""&amp;$F973="H"),IF($AY973="YES","",IF($AB973&lt;&gt;0,"",IF(COUNTIFS('AR SALES'!$L$2:$L$2501,$L973,'AR SALES'!$AD$2:$AD$2501,IF(""&amp;$F973="4","OFF","ON"),'AR SALES'!$AF$2:$AF$2501,"Y")&gt;0,"","NO EXEMPTION"))),"")</f>
        <v/>
      </c>
    </row>
    <row r="974" spans="46:54" x14ac:dyDescent="0.25">
      <c r="AT974" s="2" t="str">
        <f>IF($L974="","",IFERROR(INDEX('AR SALES'!$H$2:$H$2501,MATCH(""&amp;$L974,'AR SALES'!$AE$2:$AE$2501,0)),""))</f>
        <v/>
      </c>
      <c r="AU974" s="2" t="str">
        <f t="shared" si="60"/>
        <v/>
      </c>
      <c r="AV974" s="2" t="str">
        <f t="shared" si="61"/>
        <v/>
      </c>
      <c r="AW974" s="2" t="str">
        <f t="shared" si="62"/>
        <v/>
      </c>
      <c r="AX974" s="2" t="str">
        <f t="shared" si="63"/>
        <v/>
      </c>
      <c r="AY974" s="2" t="str">
        <f>IF($AV974="","",IF(AND($Z974=0,COUNTIF('AR SALES'!$L$2:$L$2501,$L974)=0),"YES",""))</f>
        <v/>
      </c>
      <c r="AZ974" s="2" t="str">
        <f>IF($AV974="","",IF(COUNTIF(LISTS!$C$2:$C$250,$AU974)=0,"NEW",""))</f>
        <v/>
      </c>
      <c r="BA974" s="2" t="str">
        <f>IF(""&amp;$F974&lt;&gt;"4","",IF($AY974="YES","",IF(ROUND(SUMIFS($AE$2:$AE$4001,$L$2:$L$4001,$L974,$F$2:$F$4001,"4")-SUMIFS('AR SALES'!$Y$2:$Y$2501,'AR SALES'!$L$2:$L$2501,$L974,'AR SALES'!$AD$2:$AD$2501,"OFF"),2)=0,"","STALE")))</f>
        <v/>
      </c>
      <c r="BB974" s="2" t="str">
        <f>IF(OR(""&amp;$F974="2",""&amp;$F974="4",""&amp;$F974="G",""&amp;$F974="H"),IF($AY974="YES","",IF($AB974&lt;&gt;0,"",IF(COUNTIFS('AR SALES'!$L$2:$L$2501,$L974,'AR SALES'!$AD$2:$AD$2501,IF(""&amp;$F974="4","OFF","ON"),'AR SALES'!$AF$2:$AF$2501,"Y")&gt;0,"","NO EXEMPTION"))),"")</f>
        <v/>
      </c>
    </row>
    <row r="975" spans="46:54" x14ac:dyDescent="0.25">
      <c r="AT975" s="2" t="str">
        <f>IF($L975="","",IFERROR(INDEX('AR SALES'!$H$2:$H$2501,MATCH(""&amp;$L975,'AR SALES'!$AE$2:$AE$2501,0)),""))</f>
        <v/>
      </c>
      <c r="AU975" s="2" t="str">
        <f t="shared" si="60"/>
        <v/>
      </c>
      <c r="AV975" s="2" t="str">
        <f t="shared" si="61"/>
        <v/>
      </c>
      <c r="AW975" s="2" t="str">
        <f t="shared" si="62"/>
        <v/>
      </c>
      <c r="AX975" s="2" t="str">
        <f t="shared" si="63"/>
        <v/>
      </c>
      <c r="AY975" s="2" t="str">
        <f>IF($AV975="","",IF(AND($Z975=0,COUNTIF('AR SALES'!$L$2:$L$2501,$L975)=0),"YES",""))</f>
        <v/>
      </c>
      <c r="AZ975" s="2" t="str">
        <f>IF($AV975="","",IF(COUNTIF(LISTS!$C$2:$C$250,$AU975)=0,"NEW",""))</f>
        <v/>
      </c>
      <c r="BA975" s="2" t="str">
        <f>IF(""&amp;$F975&lt;&gt;"4","",IF($AY975="YES","",IF(ROUND(SUMIFS($AE$2:$AE$4001,$L$2:$L$4001,$L975,$F$2:$F$4001,"4")-SUMIFS('AR SALES'!$Y$2:$Y$2501,'AR SALES'!$L$2:$L$2501,$L975,'AR SALES'!$AD$2:$AD$2501,"OFF"),2)=0,"","STALE")))</f>
        <v/>
      </c>
      <c r="BB975" s="2" t="str">
        <f>IF(OR(""&amp;$F975="2",""&amp;$F975="4",""&amp;$F975="G",""&amp;$F975="H"),IF($AY975="YES","",IF($AB975&lt;&gt;0,"",IF(COUNTIFS('AR SALES'!$L$2:$L$2501,$L975,'AR SALES'!$AD$2:$AD$2501,IF(""&amp;$F975="4","OFF","ON"),'AR SALES'!$AF$2:$AF$2501,"Y")&gt;0,"","NO EXEMPTION"))),"")</f>
        <v/>
      </c>
    </row>
    <row r="976" spans="46:54" x14ac:dyDescent="0.25">
      <c r="AT976" s="2" t="str">
        <f>IF($L976="","",IFERROR(INDEX('AR SALES'!$H$2:$H$2501,MATCH(""&amp;$L976,'AR SALES'!$AE$2:$AE$2501,0)),""))</f>
        <v/>
      </c>
      <c r="AU976" s="2" t="str">
        <f t="shared" si="60"/>
        <v/>
      </c>
      <c r="AV976" s="2" t="str">
        <f t="shared" si="61"/>
        <v/>
      </c>
      <c r="AW976" s="2" t="str">
        <f t="shared" si="62"/>
        <v/>
      </c>
      <c r="AX976" s="2" t="str">
        <f t="shared" si="63"/>
        <v/>
      </c>
      <c r="AY976" s="2" t="str">
        <f>IF($AV976="","",IF(AND($Z976=0,COUNTIF('AR SALES'!$L$2:$L$2501,$L976)=0),"YES",""))</f>
        <v/>
      </c>
      <c r="AZ976" s="2" t="str">
        <f>IF($AV976="","",IF(COUNTIF(LISTS!$C$2:$C$250,$AU976)=0,"NEW",""))</f>
        <v/>
      </c>
      <c r="BA976" s="2" t="str">
        <f>IF(""&amp;$F976&lt;&gt;"4","",IF($AY976="YES","",IF(ROUND(SUMIFS($AE$2:$AE$4001,$L$2:$L$4001,$L976,$F$2:$F$4001,"4")-SUMIFS('AR SALES'!$Y$2:$Y$2501,'AR SALES'!$L$2:$L$2501,$L976,'AR SALES'!$AD$2:$AD$2501,"OFF"),2)=0,"","STALE")))</f>
        <v/>
      </c>
      <c r="BB976" s="2" t="str">
        <f>IF(OR(""&amp;$F976="2",""&amp;$F976="4",""&amp;$F976="G",""&amp;$F976="H"),IF($AY976="YES","",IF($AB976&lt;&gt;0,"",IF(COUNTIFS('AR SALES'!$L$2:$L$2501,$L976,'AR SALES'!$AD$2:$AD$2501,IF(""&amp;$F976="4","OFF","ON"),'AR SALES'!$AF$2:$AF$2501,"Y")&gt;0,"","NO EXEMPTION"))),"")</f>
        <v/>
      </c>
    </row>
    <row r="977" spans="46:54" x14ac:dyDescent="0.25">
      <c r="AT977" s="2" t="str">
        <f>IF($L977="","",IFERROR(INDEX('AR SALES'!$H$2:$H$2501,MATCH(""&amp;$L977,'AR SALES'!$AE$2:$AE$2501,0)),""))</f>
        <v/>
      </c>
      <c r="AU977" s="2" t="str">
        <f t="shared" si="60"/>
        <v/>
      </c>
      <c r="AV977" s="2" t="str">
        <f t="shared" si="61"/>
        <v/>
      </c>
      <c r="AW977" s="2" t="str">
        <f t="shared" si="62"/>
        <v/>
      </c>
      <c r="AX977" s="2" t="str">
        <f t="shared" si="63"/>
        <v/>
      </c>
      <c r="AY977" s="2" t="str">
        <f>IF($AV977="","",IF(AND($Z977=0,COUNTIF('AR SALES'!$L$2:$L$2501,$L977)=0),"YES",""))</f>
        <v/>
      </c>
      <c r="AZ977" s="2" t="str">
        <f>IF($AV977="","",IF(COUNTIF(LISTS!$C$2:$C$250,$AU977)=0,"NEW",""))</f>
        <v/>
      </c>
      <c r="BA977" s="2" t="str">
        <f>IF(""&amp;$F977&lt;&gt;"4","",IF($AY977="YES","",IF(ROUND(SUMIFS($AE$2:$AE$4001,$L$2:$L$4001,$L977,$F$2:$F$4001,"4")-SUMIFS('AR SALES'!$Y$2:$Y$2501,'AR SALES'!$L$2:$L$2501,$L977,'AR SALES'!$AD$2:$AD$2501,"OFF"),2)=0,"","STALE")))</f>
        <v/>
      </c>
      <c r="BB977" s="2" t="str">
        <f>IF(OR(""&amp;$F977="2",""&amp;$F977="4",""&amp;$F977="G",""&amp;$F977="H"),IF($AY977="YES","",IF($AB977&lt;&gt;0,"",IF(COUNTIFS('AR SALES'!$L$2:$L$2501,$L977,'AR SALES'!$AD$2:$AD$2501,IF(""&amp;$F977="4","OFF","ON"),'AR SALES'!$AF$2:$AF$2501,"Y")&gt;0,"","NO EXEMPTION"))),"")</f>
        <v/>
      </c>
    </row>
    <row r="978" spans="46:54" x14ac:dyDescent="0.25">
      <c r="AT978" s="2" t="str">
        <f>IF($L978="","",IFERROR(INDEX('AR SALES'!$H$2:$H$2501,MATCH(""&amp;$L978,'AR SALES'!$AE$2:$AE$2501,0)),""))</f>
        <v/>
      </c>
      <c r="AU978" s="2" t="str">
        <f t="shared" si="60"/>
        <v/>
      </c>
      <c r="AV978" s="2" t="str">
        <f t="shared" si="61"/>
        <v/>
      </c>
      <c r="AW978" s="2" t="str">
        <f t="shared" si="62"/>
        <v/>
      </c>
      <c r="AX978" s="2" t="str">
        <f t="shared" si="63"/>
        <v/>
      </c>
      <c r="AY978" s="2" t="str">
        <f>IF($AV978="","",IF(AND($Z978=0,COUNTIF('AR SALES'!$L$2:$L$2501,$L978)=0),"YES",""))</f>
        <v/>
      </c>
      <c r="AZ978" s="2" t="str">
        <f>IF($AV978="","",IF(COUNTIF(LISTS!$C$2:$C$250,$AU978)=0,"NEW",""))</f>
        <v/>
      </c>
      <c r="BA978" s="2" t="str">
        <f>IF(""&amp;$F978&lt;&gt;"4","",IF($AY978="YES","",IF(ROUND(SUMIFS($AE$2:$AE$4001,$L$2:$L$4001,$L978,$F$2:$F$4001,"4")-SUMIFS('AR SALES'!$Y$2:$Y$2501,'AR SALES'!$L$2:$L$2501,$L978,'AR SALES'!$AD$2:$AD$2501,"OFF"),2)=0,"","STALE")))</f>
        <v/>
      </c>
      <c r="BB978" s="2" t="str">
        <f>IF(OR(""&amp;$F978="2",""&amp;$F978="4",""&amp;$F978="G",""&amp;$F978="H"),IF($AY978="YES","",IF($AB978&lt;&gt;0,"",IF(COUNTIFS('AR SALES'!$L$2:$L$2501,$L978,'AR SALES'!$AD$2:$AD$2501,IF(""&amp;$F978="4","OFF","ON"),'AR SALES'!$AF$2:$AF$2501,"Y")&gt;0,"","NO EXEMPTION"))),"")</f>
        <v/>
      </c>
    </row>
    <row r="979" spans="46:54" x14ac:dyDescent="0.25">
      <c r="AT979" s="2" t="str">
        <f>IF($L979="","",IFERROR(INDEX('AR SALES'!$H$2:$H$2501,MATCH(""&amp;$L979,'AR SALES'!$AE$2:$AE$2501,0)),""))</f>
        <v/>
      </c>
      <c r="AU979" s="2" t="str">
        <f t="shared" si="60"/>
        <v/>
      </c>
      <c r="AV979" s="2" t="str">
        <f t="shared" si="61"/>
        <v/>
      </c>
      <c r="AW979" s="2" t="str">
        <f t="shared" si="62"/>
        <v/>
      </c>
      <c r="AX979" s="2" t="str">
        <f t="shared" si="63"/>
        <v/>
      </c>
      <c r="AY979" s="2" t="str">
        <f>IF($AV979="","",IF(AND($Z979=0,COUNTIF('AR SALES'!$L$2:$L$2501,$L979)=0),"YES",""))</f>
        <v/>
      </c>
      <c r="AZ979" s="2" t="str">
        <f>IF($AV979="","",IF(COUNTIF(LISTS!$C$2:$C$250,$AU979)=0,"NEW",""))</f>
        <v/>
      </c>
      <c r="BA979" s="2" t="str">
        <f>IF(""&amp;$F979&lt;&gt;"4","",IF($AY979="YES","",IF(ROUND(SUMIFS($AE$2:$AE$4001,$L$2:$L$4001,$L979,$F$2:$F$4001,"4")-SUMIFS('AR SALES'!$Y$2:$Y$2501,'AR SALES'!$L$2:$L$2501,$L979,'AR SALES'!$AD$2:$AD$2501,"OFF"),2)=0,"","STALE")))</f>
        <v/>
      </c>
      <c r="BB979" s="2" t="str">
        <f>IF(OR(""&amp;$F979="2",""&amp;$F979="4",""&amp;$F979="G",""&amp;$F979="H"),IF($AY979="YES","",IF($AB979&lt;&gt;0,"",IF(COUNTIFS('AR SALES'!$L$2:$L$2501,$L979,'AR SALES'!$AD$2:$AD$2501,IF(""&amp;$F979="4","OFF","ON"),'AR SALES'!$AF$2:$AF$2501,"Y")&gt;0,"","NO EXEMPTION"))),"")</f>
        <v/>
      </c>
    </row>
    <row r="980" spans="46:54" x14ac:dyDescent="0.25">
      <c r="AT980" s="2" t="str">
        <f>IF($L980="","",IFERROR(INDEX('AR SALES'!$H$2:$H$2501,MATCH(""&amp;$L980,'AR SALES'!$AE$2:$AE$2501,0)),""))</f>
        <v/>
      </c>
      <c r="AU980" s="2" t="str">
        <f t="shared" si="60"/>
        <v/>
      </c>
      <c r="AV980" s="2" t="str">
        <f t="shared" si="61"/>
        <v/>
      </c>
      <c r="AW980" s="2" t="str">
        <f t="shared" si="62"/>
        <v/>
      </c>
      <c r="AX980" s="2" t="str">
        <f t="shared" si="63"/>
        <v/>
      </c>
      <c r="AY980" s="2" t="str">
        <f>IF($AV980="","",IF(AND($Z980=0,COUNTIF('AR SALES'!$L$2:$L$2501,$L980)=0),"YES",""))</f>
        <v/>
      </c>
      <c r="AZ980" s="2" t="str">
        <f>IF($AV980="","",IF(COUNTIF(LISTS!$C$2:$C$250,$AU980)=0,"NEW",""))</f>
        <v/>
      </c>
      <c r="BA980" s="2" t="str">
        <f>IF(""&amp;$F980&lt;&gt;"4","",IF($AY980="YES","",IF(ROUND(SUMIFS($AE$2:$AE$4001,$L$2:$L$4001,$L980,$F$2:$F$4001,"4")-SUMIFS('AR SALES'!$Y$2:$Y$2501,'AR SALES'!$L$2:$L$2501,$L980,'AR SALES'!$AD$2:$AD$2501,"OFF"),2)=0,"","STALE")))</f>
        <v/>
      </c>
      <c r="BB980" s="2" t="str">
        <f>IF(OR(""&amp;$F980="2",""&amp;$F980="4",""&amp;$F980="G",""&amp;$F980="H"),IF($AY980="YES","",IF($AB980&lt;&gt;0,"",IF(COUNTIFS('AR SALES'!$L$2:$L$2501,$L980,'AR SALES'!$AD$2:$AD$2501,IF(""&amp;$F980="4","OFF","ON"),'AR SALES'!$AF$2:$AF$2501,"Y")&gt;0,"","NO EXEMPTION"))),"")</f>
        <v/>
      </c>
    </row>
    <row r="981" spans="46:54" x14ac:dyDescent="0.25">
      <c r="AT981" s="2" t="str">
        <f>IF($L981="","",IFERROR(INDEX('AR SALES'!$H$2:$H$2501,MATCH(""&amp;$L981,'AR SALES'!$AE$2:$AE$2501,0)),""))</f>
        <v/>
      </c>
      <c r="AU981" s="2" t="str">
        <f t="shared" si="60"/>
        <v/>
      </c>
      <c r="AV981" s="2" t="str">
        <f t="shared" si="61"/>
        <v/>
      </c>
      <c r="AW981" s="2" t="str">
        <f t="shared" si="62"/>
        <v/>
      </c>
      <c r="AX981" s="2" t="str">
        <f t="shared" si="63"/>
        <v/>
      </c>
      <c r="AY981" s="2" t="str">
        <f>IF($AV981="","",IF(AND($Z981=0,COUNTIF('AR SALES'!$L$2:$L$2501,$L981)=0),"YES",""))</f>
        <v/>
      </c>
      <c r="AZ981" s="2" t="str">
        <f>IF($AV981="","",IF(COUNTIF(LISTS!$C$2:$C$250,$AU981)=0,"NEW",""))</f>
        <v/>
      </c>
      <c r="BA981" s="2" t="str">
        <f>IF(""&amp;$F981&lt;&gt;"4","",IF($AY981="YES","",IF(ROUND(SUMIFS($AE$2:$AE$4001,$L$2:$L$4001,$L981,$F$2:$F$4001,"4")-SUMIFS('AR SALES'!$Y$2:$Y$2501,'AR SALES'!$L$2:$L$2501,$L981,'AR SALES'!$AD$2:$AD$2501,"OFF"),2)=0,"","STALE")))</f>
        <v/>
      </c>
      <c r="BB981" s="2" t="str">
        <f>IF(OR(""&amp;$F981="2",""&amp;$F981="4",""&amp;$F981="G",""&amp;$F981="H"),IF($AY981="YES","",IF($AB981&lt;&gt;0,"",IF(COUNTIFS('AR SALES'!$L$2:$L$2501,$L981,'AR SALES'!$AD$2:$AD$2501,IF(""&amp;$F981="4","OFF","ON"),'AR SALES'!$AF$2:$AF$2501,"Y")&gt;0,"","NO EXEMPTION"))),"")</f>
        <v/>
      </c>
    </row>
    <row r="982" spans="46:54" x14ac:dyDescent="0.25">
      <c r="AT982" s="2" t="str">
        <f>IF($L982="","",IFERROR(INDEX('AR SALES'!$H$2:$H$2501,MATCH(""&amp;$L982,'AR SALES'!$AE$2:$AE$2501,0)),""))</f>
        <v/>
      </c>
      <c r="AU982" s="2" t="str">
        <f t="shared" si="60"/>
        <v/>
      </c>
      <c r="AV982" s="2" t="str">
        <f t="shared" si="61"/>
        <v/>
      </c>
      <c r="AW982" s="2" t="str">
        <f t="shared" si="62"/>
        <v/>
      </c>
      <c r="AX982" s="2" t="str">
        <f t="shared" si="63"/>
        <v/>
      </c>
      <c r="AY982" s="2" t="str">
        <f>IF($AV982="","",IF(AND($Z982=0,COUNTIF('AR SALES'!$L$2:$L$2501,$L982)=0),"YES",""))</f>
        <v/>
      </c>
      <c r="AZ982" s="2" t="str">
        <f>IF($AV982="","",IF(COUNTIF(LISTS!$C$2:$C$250,$AU982)=0,"NEW",""))</f>
        <v/>
      </c>
      <c r="BA982" s="2" t="str">
        <f>IF(""&amp;$F982&lt;&gt;"4","",IF($AY982="YES","",IF(ROUND(SUMIFS($AE$2:$AE$4001,$L$2:$L$4001,$L982,$F$2:$F$4001,"4")-SUMIFS('AR SALES'!$Y$2:$Y$2501,'AR SALES'!$L$2:$L$2501,$L982,'AR SALES'!$AD$2:$AD$2501,"OFF"),2)=0,"","STALE")))</f>
        <v/>
      </c>
      <c r="BB982" s="2" t="str">
        <f>IF(OR(""&amp;$F982="2",""&amp;$F982="4",""&amp;$F982="G",""&amp;$F982="H"),IF($AY982="YES","",IF($AB982&lt;&gt;0,"",IF(COUNTIFS('AR SALES'!$L$2:$L$2501,$L982,'AR SALES'!$AD$2:$AD$2501,IF(""&amp;$F982="4","OFF","ON"),'AR SALES'!$AF$2:$AF$2501,"Y")&gt;0,"","NO EXEMPTION"))),"")</f>
        <v/>
      </c>
    </row>
    <row r="983" spans="46:54" x14ac:dyDescent="0.25">
      <c r="AT983" s="2" t="str">
        <f>IF($L983="","",IFERROR(INDEX('AR SALES'!$H$2:$H$2501,MATCH(""&amp;$L983,'AR SALES'!$AE$2:$AE$2501,0)),""))</f>
        <v/>
      </c>
      <c r="AU983" s="2" t="str">
        <f t="shared" si="60"/>
        <v/>
      </c>
      <c r="AV983" s="2" t="str">
        <f t="shared" si="61"/>
        <v/>
      </c>
      <c r="AW983" s="2" t="str">
        <f t="shared" si="62"/>
        <v/>
      </c>
      <c r="AX983" s="2" t="str">
        <f t="shared" si="63"/>
        <v/>
      </c>
      <c r="AY983" s="2" t="str">
        <f>IF($AV983="","",IF(AND($Z983=0,COUNTIF('AR SALES'!$L$2:$L$2501,$L983)=0),"YES",""))</f>
        <v/>
      </c>
      <c r="AZ983" s="2" t="str">
        <f>IF($AV983="","",IF(COUNTIF(LISTS!$C$2:$C$250,$AU983)=0,"NEW",""))</f>
        <v/>
      </c>
      <c r="BA983" s="2" t="str">
        <f>IF(""&amp;$F983&lt;&gt;"4","",IF($AY983="YES","",IF(ROUND(SUMIFS($AE$2:$AE$4001,$L$2:$L$4001,$L983,$F$2:$F$4001,"4")-SUMIFS('AR SALES'!$Y$2:$Y$2501,'AR SALES'!$L$2:$L$2501,$L983,'AR SALES'!$AD$2:$AD$2501,"OFF"),2)=0,"","STALE")))</f>
        <v/>
      </c>
      <c r="BB983" s="2" t="str">
        <f>IF(OR(""&amp;$F983="2",""&amp;$F983="4",""&amp;$F983="G",""&amp;$F983="H"),IF($AY983="YES","",IF($AB983&lt;&gt;0,"",IF(COUNTIFS('AR SALES'!$L$2:$L$2501,$L983,'AR SALES'!$AD$2:$AD$2501,IF(""&amp;$F983="4","OFF","ON"),'AR SALES'!$AF$2:$AF$2501,"Y")&gt;0,"","NO EXEMPTION"))),"")</f>
        <v/>
      </c>
    </row>
    <row r="984" spans="46:54" x14ac:dyDescent="0.25">
      <c r="AT984" s="2" t="str">
        <f>IF($L984="","",IFERROR(INDEX('AR SALES'!$H$2:$H$2501,MATCH(""&amp;$L984,'AR SALES'!$AE$2:$AE$2501,0)),""))</f>
        <v/>
      </c>
      <c r="AU984" s="2" t="str">
        <f t="shared" si="60"/>
        <v/>
      </c>
      <c r="AV984" s="2" t="str">
        <f t="shared" si="61"/>
        <v/>
      </c>
      <c r="AW984" s="2" t="str">
        <f t="shared" si="62"/>
        <v/>
      </c>
      <c r="AX984" s="2" t="str">
        <f t="shared" si="63"/>
        <v/>
      </c>
      <c r="AY984" s="2" t="str">
        <f>IF($AV984="","",IF(AND($Z984=0,COUNTIF('AR SALES'!$L$2:$L$2501,$L984)=0),"YES",""))</f>
        <v/>
      </c>
      <c r="AZ984" s="2" t="str">
        <f>IF($AV984="","",IF(COUNTIF(LISTS!$C$2:$C$250,$AU984)=0,"NEW",""))</f>
        <v/>
      </c>
      <c r="BA984" s="2" t="str">
        <f>IF(""&amp;$F984&lt;&gt;"4","",IF($AY984="YES","",IF(ROUND(SUMIFS($AE$2:$AE$4001,$L$2:$L$4001,$L984,$F$2:$F$4001,"4")-SUMIFS('AR SALES'!$Y$2:$Y$2501,'AR SALES'!$L$2:$L$2501,$L984,'AR SALES'!$AD$2:$AD$2501,"OFF"),2)=0,"","STALE")))</f>
        <v/>
      </c>
      <c r="BB984" s="2" t="str">
        <f>IF(OR(""&amp;$F984="2",""&amp;$F984="4",""&amp;$F984="G",""&amp;$F984="H"),IF($AY984="YES","",IF($AB984&lt;&gt;0,"",IF(COUNTIFS('AR SALES'!$L$2:$L$2501,$L984,'AR SALES'!$AD$2:$AD$2501,IF(""&amp;$F984="4","OFF","ON"),'AR SALES'!$AF$2:$AF$2501,"Y")&gt;0,"","NO EXEMPTION"))),"")</f>
        <v/>
      </c>
    </row>
    <row r="985" spans="46:54" x14ac:dyDescent="0.25">
      <c r="AT985" s="2" t="str">
        <f>IF($L985="","",IFERROR(INDEX('AR SALES'!$H$2:$H$2501,MATCH(""&amp;$L985,'AR SALES'!$AE$2:$AE$2501,0)),""))</f>
        <v/>
      </c>
      <c r="AU985" s="2" t="str">
        <f t="shared" si="60"/>
        <v/>
      </c>
      <c r="AV985" s="2" t="str">
        <f t="shared" si="61"/>
        <v/>
      </c>
      <c r="AW985" s="2" t="str">
        <f t="shared" si="62"/>
        <v/>
      </c>
      <c r="AX985" s="2" t="str">
        <f t="shared" si="63"/>
        <v/>
      </c>
      <c r="AY985" s="2" t="str">
        <f>IF($AV985="","",IF(AND($Z985=0,COUNTIF('AR SALES'!$L$2:$L$2501,$L985)=0),"YES",""))</f>
        <v/>
      </c>
      <c r="AZ985" s="2" t="str">
        <f>IF($AV985="","",IF(COUNTIF(LISTS!$C$2:$C$250,$AU985)=0,"NEW",""))</f>
        <v/>
      </c>
      <c r="BA985" s="2" t="str">
        <f>IF(""&amp;$F985&lt;&gt;"4","",IF($AY985="YES","",IF(ROUND(SUMIFS($AE$2:$AE$4001,$L$2:$L$4001,$L985,$F$2:$F$4001,"4")-SUMIFS('AR SALES'!$Y$2:$Y$2501,'AR SALES'!$L$2:$L$2501,$L985,'AR SALES'!$AD$2:$AD$2501,"OFF"),2)=0,"","STALE")))</f>
        <v/>
      </c>
      <c r="BB985" s="2" t="str">
        <f>IF(OR(""&amp;$F985="2",""&amp;$F985="4",""&amp;$F985="G",""&amp;$F985="H"),IF($AY985="YES","",IF($AB985&lt;&gt;0,"",IF(COUNTIFS('AR SALES'!$L$2:$L$2501,$L985,'AR SALES'!$AD$2:$AD$2501,IF(""&amp;$F985="4","OFF","ON"),'AR SALES'!$AF$2:$AF$2501,"Y")&gt;0,"","NO EXEMPTION"))),"")</f>
        <v/>
      </c>
    </row>
    <row r="986" spans="46:54" x14ac:dyDescent="0.25">
      <c r="AT986" s="2" t="str">
        <f>IF($L986="","",IFERROR(INDEX('AR SALES'!$H$2:$H$2501,MATCH(""&amp;$L986,'AR SALES'!$AE$2:$AE$2501,0)),""))</f>
        <v/>
      </c>
      <c r="AU986" s="2" t="str">
        <f t="shared" si="60"/>
        <v/>
      </c>
      <c r="AV986" s="2" t="str">
        <f t="shared" si="61"/>
        <v/>
      </c>
      <c r="AW986" s="2" t="str">
        <f t="shared" si="62"/>
        <v/>
      </c>
      <c r="AX986" s="2" t="str">
        <f t="shared" si="63"/>
        <v/>
      </c>
      <c r="AY986" s="2" t="str">
        <f>IF($AV986="","",IF(AND($Z986=0,COUNTIF('AR SALES'!$L$2:$L$2501,$L986)=0),"YES",""))</f>
        <v/>
      </c>
      <c r="AZ986" s="2" t="str">
        <f>IF($AV986="","",IF(COUNTIF(LISTS!$C$2:$C$250,$AU986)=0,"NEW",""))</f>
        <v/>
      </c>
      <c r="BA986" s="2" t="str">
        <f>IF(""&amp;$F986&lt;&gt;"4","",IF($AY986="YES","",IF(ROUND(SUMIFS($AE$2:$AE$4001,$L$2:$L$4001,$L986,$F$2:$F$4001,"4")-SUMIFS('AR SALES'!$Y$2:$Y$2501,'AR SALES'!$L$2:$L$2501,$L986,'AR SALES'!$AD$2:$AD$2501,"OFF"),2)=0,"","STALE")))</f>
        <v/>
      </c>
      <c r="BB986" s="2" t="str">
        <f>IF(OR(""&amp;$F986="2",""&amp;$F986="4",""&amp;$F986="G",""&amp;$F986="H"),IF($AY986="YES","",IF($AB986&lt;&gt;0,"",IF(COUNTIFS('AR SALES'!$L$2:$L$2501,$L986,'AR SALES'!$AD$2:$AD$2501,IF(""&amp;$F986="4","OFF","ON"),'AR SALES'!$AF$2:$AF$2501,"Y")&gt;0,"","NO EXEMPTION"))),"")</f>
        <v/>
      </c>
    </row>
    <row r="987" spans="46:54" x14ac:dyDescent="0.25">
      <c r="AT987" s="2" t="str">
        <f>IF($L987="","",IFERROR(INDEX('AR SALES'!$H$2:$H$2501,MATCH(""&amp;$L987,'AR SALES'!$AE$2:$AE$2501,0)),""))</f>
        <v/>
      </c>
      <c r="AU987" s="2" t="str">
        <f t="shared" si="60"/>
        <v/>
      </c>
      <c r="AV987" s="2" t="str">
        <f t="shared" si="61"/>
        <v/>
      </c>
      <c r="AW987" s="2" t="str">
        <f t="shared" si="62"/>
        <v/>
      </c>
      <c r="AX987" s="2" t="str">
        <f t="shared" si="63"/>
        <v/>
      </c>
      <c r="AY987" s="2" t="str">
        <f>IF($AV987="","",IF(AND($Z987=0,COUNTIF('AR SALES'!$L$2:$L$2501,$L987)=0),"YES",""))</f>
        <v/>
      </c>
      <c r="AZ987" s="2" t="str">
        <f>IF($AV987="","",IF(COUNTIF(LISTS!$C$2:$C$250,$AU987)=0,"NEW",""))</f>
        <v/>
      </c>
      <c r="BA987" s="2" t="str">
        <f>IF(""&amp;$F987&lt;&gt;"4","",IF($AY987="YES","",IF(ROUND(SUMIFS($AE$2:$AE$4001,$L$2:$L$4001,$L987,$F$2:$F$4001,"4")-SUMIFS('AR SALES'!$Y$2:$Y$2501,'AR SALES'!$L$2:$L$2501,$L987,'AR SALES'!$AD$2:$AD$2501,"OFF"),2)=0,"","STALE")))</f>
        <v/>
      </c>
      <c r="BB987" s="2" t="str">
        <f>IF(OR(""&amp;$F987="2",""&amp;$F987="4",""&amp;$F987="G",""&amp;$F987="H"),IF($AY987="YES","",IF($AB987&lt;&gt;0,"",IF(COUNTIFS('AR SALES'!$L$2:$L$2501,$L987,'AR SALES'!$AD$2:$AD$2501,IF(""&amp;$F987="4","OFF","ON"),'AR SALES'!$AF$2:$AF$2501,"Y")&gt;0,"","NO EXEMPTION"))),"")</f>
        <v/>
      </c>
    </row>
    <row r="988" spans="46:54" x14ac:dyDescent="0.25">
      <c r="AT988" s="2" t="str">
        <f>IF($L988="","",IFERROR(INDEX('AR SALES'!$H$2:$H$2501,MATCH(""&amp;$L988,'AR SALES'!$AE$2:$AE$2501,0)),""))</f>
        <v/>
      </c>
      <c r="AU988" s="2" t="str">
        <f t="shared" si="60"/>
        <v/>
      </c>
      <c r="AV988" s="2" t="str">
        <f t="shared" si="61"/>
        <v/>
      </c>
      <c r="AW988" s="2" t="str">
        <f t="shared" si="62"/>
        <v/>
      </c>
      <c r="AX988" s="2" t="str">
        <f t="shared" si="63"/>
        <v/>
      </c>
      <c r="AY988" s="2" t="str">
        <f>IF($AV988="","",IF(AND($Z988=0,COUNTIF('AR SALES'!$L$2:$L$2501,$L988)=0),"YES",""))</f>
        <v/>
      </c>
      <c r="AZ988" s="2" t="str">
        <f>IF($AV988="","",IF(COUNTIF(LISTS!$C$2:$C$250,$AU988)=0,"NEW",""))</f>
        <v/>
      </c>
      <c r="BA988" s="2" t="str">
        <f>IF(""&amp;$F988&lt;&gt;"4","",IF($AY988="YES","",IF(ROUND(SUMIFS($AE$2:$AE$4001,$L$2:$L$4001,$L988,$F$2:$F$4001,"4")-SUMIFS('AR SALES'!$Y$2:$Y$2501,'AR SALES'!$L$2:$L$2501,$L988,'AR SALES'!$AD$2:$AD$2501,"OFF"),2)=0,"","STALE")))</f>
        <v/>
      </c>
      <c r="BB988" s="2" t="str">
        <f>IF(OR(""&amp;$F988="2",""&amp;$F988="4",""&amp;$F988="G",""&amp;$F988="H"),IF($AY988="YES","",IF($AB988&lt;&gt;0,"",IF(COUNTIFS('AR SALES'!$L$2:$L$2501,$L988,'AR SALES'!$AD$2:$AD$2501,IF(""&amp;$F988="4","OFF","ON"),'AR SALES'!$AF$2:$AF$2501,"Y")&gt;0,"","NO EXEMPTION"))),"")</f>
        <v/>
      </c>
    </row>
    <row r="989" spans="46:54" x14ac:dyDescent="0.25">
      <c r="AT989" s="2" t="str">
        <f>IF($L989="","",IFERROR(INDEX('AR SALES'!$H$2:$H$2501,MATCH(""&amp;$L989,'AR SALES'!$AE$2:$AE$2501,0)),""))</f>
        <v/>
      </c>
      <c r="AU989" s="2" t="str">
        <f t="shared" si="60"/>
        <v/>
      </c>
      <c r="AV989" s="2" t="str">
        <f t="shared" si="61"/>
        <v/>
      </c>
      <c r="AW989" s="2" t="str">
        <f t="shared" si="62"/>
        <v/>
      </c>
      <c r="AX989" s="2" t="str">
        <f t="shared" si="63"/>
        <v/>
      </c>
      <c r="AY989" s="2" t="str">
        <f>IF($AV989="","",IF(AND($Z989=0,COUNTIF('AR SALES'!$L$2:$L$2501,$L989)=0),"YES",""))</f>
        <v/>
      </c>
      <c r="AZ989" s="2" t="str">
        <f>IF($AV989="","",IF(COUNTIF(LISTS!$C$2:$C$250,$AU989)=0,"NEW",""))</f>
        <v/>
      </c>
      <c r="BA989" s="2" t="str">
        <f>IF(""&amp;$F989&lt;&gt;"4","",IF($AY989="YES","",IF(ROUND(SUMIFS($AE$2:$AE$4001,$L$2:$L$4001,$L989,$F$2:$F$4001,"4")-SUMIFS('AR SALES'!$Y$2:$Y$2501,'AR SALES'!$L$2:$L$2501,$L989,'AR SALES'!$AD$2:$AD$2501,"OFF"),2)=0,"","STALE")))</f>
        <v/>
      </c>
      <c r="BB989" s="2" t="str">
        <f>IF(OR(""&amp;$F989="2",""&amp;$F989="4",""&amp;$F989="G",""&amp;$F989="H"),IF($AY989="YES","",IF($AB989&lt;&gt;0,"",IF(COUNTIFS('AR SALES'!$L$2:$L$2501,$L989,'AR SALES'!$AD$2:$AD$2501,IF(""&amp;$F989="4","OFF","ON"),'AR SALES'!$AF$2:$AF$2501,"Y")&gt;0,"","NO EXEMPTION"))),"")</f>
        <v/>
      </c>
    </row>
    <row r="990" spans="46:54" x14ac:dyDescent="0.25">
      <c r="AT990" s="2" t="str">
        <f>IF($L990="","",IFERROR(INDEX('AR SALES'!$H$2:$H$2501,MATCH(""&amp;$L990,'AR SALES'!$AE$2:$AE$2501,0)),""))</f>
        <v/>
      </c>
      <c r="AU990" s="2" t="str">
        <f t="shared" si="60"/>
        <v/>
      </c>
      <c r="AV990" s="2" t="str">
        <f t="shared" si="61"/>
        <v/>
      </c>
      <c r="AW990" s="2" t="str">
        <f t="shared" si="62"/>
        <v/>
      </c>
      <c r="AX990" s="2" t="str">
        <f t="shared" si="63"/>
        <v/>
      </c>
      <c r="AY990" s="2" t="str">
        <f>IF($AV990="","",IF(AND($Z990=0,COUNTIF('AR SALES'!$L$2:$L$2501,$L990)=0),"YES",""))</f>
        <v/>
      </c>
      <c r="AZ990" s="2" t="str">
        <f>IF($AV990="","",IF(COUNTIF(LISTS!$C$2:$C$250,$AU990)=0,"NEW",""))</f>
        <v/>
      </c>
      <c r="BA990" s="2" t="str">
        <f>IF(""&amp;$F990&lt;&gt;"4","",IF($AY990="YES","",IF(ROUND(SUMIFS($AE$2:$AE$4001,$L$2:$L$4001,$L990,$F$2:$F$4001,"4")-SUMIFS('AR SALES'!$Y$2:$Y$2501,'AR SALES'!$L$2:$L$2501,$L990,'AR SALES'!$AD$2:$AD$2501,"OFF"),2)=0,"","STALE")))</f>
        <v/>
      </c>
      <c r="BB990" s="2" t="str">
        <f>IF(OR(""&amp;$F990="2",""&amp;$F990="4",""&amp;$F990="G",""&amp;$F990="H"),IF($AY990="YES","",IF($AB990&lt;&gt;0,"",IF(COUNTIFS('AR SALES'!$L$2:$L$2501,$L990,'AR SALES'!$AD$2:$AD$2501,IF(""&amp;$F990="4","OFF","ON"),'AR SALES'!$AF$2:$AF$2501,"Y")&gt;0,"","NO EXEMPTION"))),"")</f>
        <v/>
      </c>
    </row>
    <row r="991" spans="46:54" x14ac:dyDescent="0.25">
      <c r="AT991" s="2" t="str">
        <f>IF($L991="","",IFERROR(INDEX('AR SALES'!$H$2:$H$2501,MATCH(""&amp;$L991,'AR SALES'!$AE$2:$AE$2501,0)),""))</f>
        <v/>
      </c>
      <c r="AU991" s="2" t="str">
        <f t="shared" si="60"/>
        <v/>
      </c>
      <c r="AV991" s="2" t="str">
        <f t="shared" si="61"/>
        <v/>
      </c>
      <c r="AW991" s="2" t="str">
        <f t="shared" si="62"/>
        <v/>
      </c>
      <c r="AX991" s="2" t="str">
        <f t="shared" si="63"/>
        <v/>
      </c>
      <c r="AY991" s="2" t="str">
        <f>IF($AV991="","",IF(AND($Z991=0,COUNTIF('AR SALES'!$L$2:$L$2501,$L991)=0),"YES",""))</f>
        <v/>
      </c>
      <c r="AZ991" s="2" t="str">
        <f>IF($AV991="","",IF(COUNTIF(LISTS!$C$2:$C$250,$AU991)=0,"NEW",""))</f>
        <v/>
      </c>
      <c r="BA991" s="2" t="str">
        <f>IF(""&amp;$F991&lt;&gt;"4","",IF($AY991="YES","",IF(ROUND(SUMIFS($AE$2:$AE$4001,$L$2:$L$4001,$L991,$F$2:$F$4001,"4")-SUMIFS('AR SALES'!$Y$2:$Y$2501,'AR SALES'!$L$2:$L$2501,$L991,'AR SALES'!$AD$2:$AD$2501,"OFF"),2)=0,"","STALE")))</f>
        <v/>
      </c>
      <c r="BB991" s="2" t="str">
        <f>IF(OR(""&amp;$F991="2",""&amp;$F991="4",""&amp;$F991="G",""&amp;$F991="H"),IF($AY991="YES","",IF($AB991&lt;&gt;0,"",IF(COUNTIFS('AR SALES'!$L$2:$L$2501,$L991,'AR SALES'!$AD$2:$AD$2501,IF(""&amp;$F991="4","OFF","ON"),'AR SALES'!$AF$2:$AF$2501,"Y")&gt;0,"","NO EXEMPTION"))),"")</f>
        <v/>
      </c>
    </row>
    <row r="992" spans="46:54" x14ac:dyDescent="0.25">
      <c r="AT992" s="2" t="str">
        <f>IF($L992="","",IFERROR(INDEX('AR SALES'!$H$2:$H$2501,MATCH(""&amp;$L992,'AR SALES'!$AE$2:$AE$2501,0)),""))</f>
        <v/>
      </c>
      <c r="AU992" s="2" t="str">
        <f t="shared" si="60"/>
        <v/>
      </c>
      <c r="AV992" s="2" t="str">
        <f t="shared" si="61"/>
        <v/>
      </c>
      <c r="AW992" s="2" t="str">
        <f t="shared" si="62"/>
        <v/>
      </c>
      <c r="AX992" s="2" t="str">
        <f t="shared" si="63"/>
        <v/>
      </c>
      <c r="AY992" s="2" t="str">
        <f>IF($AV992="","",IF(AND($Z992=0,COUNTIF('AR SALES'!$L$2:$L$2501,$L992)=0),"YES",""))</f>
        <v/>
      </c>
      <c r="AZ992" s="2" t="str">
        <f>IF($AV992="","",IF(COUNTIF(LISTS!$C$2:$C$250,$AU992)=0,"NEW",""))</f>
        <v/>
      </c>
      <c r="BA992" s="2" t="str">
        <f>IF(""&amp;$F992&lt;&gt;"4","",IF($AY992="YES","",IF(ROUND(SUMIFS($AE$2:$AE$4001,$L$2:$L$4001,$L992,$F$2:$F$4001,"4")-SUMIFS('AR SALES'!$Y$2:$Y$2501,'AR SALES'!$L$2:$L$2501,$L992,'AR SALES'!$AD$2:$AD$2501,"OFF"),2)=0,"","STALE")))</f>
        <v/>
      </c>
      <c r="BB992" s="2" t="str">
        <f>IF(OR(""&amp;$F992="2",""&amp;$F992="4",""&amp;$F992="G",""&amp;$F992="H"),IF($AY992="YES","",IF($AB992&lt;&gt;0,"",IF(COUNTIFS('AR SALES'!$L$2:$L$2501,$L992,'AR SALES'!$AD$2:$AD$2501,IF(""&amp;$F992="4","OFF","ON"),'AR SALES'!$AF$2:$AF$2501,"Y")&gt;0,"","NO EXEMPTION"))),"")</f>
        <v/>
      </c>
    </row>
    <row r="993" spans="46:54" x14ac:dyDescent="0.25">
      <c r="AT993" s="2" t="str">
        <f>IF($L993="","",IFERROR(INDEX('AR SALES'!$H$2:$H$2501,MATCH(""&amp;$L993,'AR SALES'!$AE$2:$AE$2501,0)),""))</f>
        <v/>
      </c>
      <c r="AU993" s="2" t="str">
        <f t="shared" si="60"/>
        <v/>
      </c>
      <c r="AV993" s="2" t="str">
        <f t="shared" si="61"/>
        <v/>
      </c>
      <c r="AW993" s="2" t="str">
        <f t="shared" si="62"/>
        <v/>
      </c>
      <c r="AX993" s="2" t="str">
        <f t="shared" si="63"/>
        <v/>
      </c>
      <c r="AY993" s="2" t="str">
        <f>IF($AV993="","",IF(AND($Z993=0,COUNTIF('AR SALES'!$L$2:$L$2501,$L993)=0),"YES",""))</f>
        <v/>
      </c>
      <c r="AZ993" s="2" t="str">
        <f>IF($AV993="","",IF(COUNTIF(LISTS!$C$2:$C$250,$AU993)=0,"NEW",""))</f>
        <v/>
      </c>
      <c r="BA993" s="2" t="str">
        <f>IF(""&amp;$F993&lt;&gt;"4","",IF($AY993="YES","",IF(ROUND(SUMIFS($AE$2:$AE$4001,$L$2:$L$4001,$L993,$F$2:$F$4001,"4")-SUMIFS('AR SALES'!$Y$2:$Y$2501,'AR SALES'!$L$2:$L$2501,$L993,'AR SALES'!$AD$2:$AD$2501,"OFF"),2)=0,"","STALE")))</f>
        <v/>
      </c>
      <c r="BB993" s="2" t="str">
        <f>IF(OR(""&amp;$F993="2",""&amp;$F993="4",""&amp;$F993="G",""&amp;$F993="H"),IF($AY993="YES","",IF($AB993&lt;&gt;0,"",IF(COUNTIFS('AR SALES'!$L$2:$L$2501,$L993,'AR SALES'!$AD$2:$AD$2501,IF(""&amp;$F993="4","OFF","ON"),'AR SALES'!$AF$2:$AF$2501,"Y")&gt;0,"","NO EXEMPTION"))),"")</f>
        <v/>
      </c>
    </row>
    <row r="994" spans="46:54" x14ac:dyDescent="0.25">
      <c r="AT994" s="2" t="str">
        <f>IF($L994="","",IFERROR(INDEX('AR SALES'!$H$2:$H$2501,MATCH(""&amp;$L994,'AR SALES'!$AE$2:$AE$2501,0)),""))</f>
        <v/>
      </c>
      <c r="AU994" s="2" t="str">
        <f t="shared" si="60"/>
        <v/>
      </c>
      <c r="AV994" s="2" t="str">
        <f t="shared" si="61"/>
        <v/>
      </c>
      <c r="AW994" s="2" t="str">
        <f t="shared" si="62"/>
        <v/>
      </c>
      <c r="AX994" s="2" t="str">
        <f t="shared" si="63"/>
        <v/>
      </c>
      <c r="AY994" s="2" t="str">
        <f>IF($AV994="","",IF(AND($Z994=0,COUNTIF('AR SALES'!$L$2:$L$2501,$L994)=0),"YES",""))</f>
        <v/>
      </c>
      <c r="AZ994" s="2" t="str">
        <f>IF($AV994="","",IF(COUNTIF(LISTS!$C$2:$C$250,$AU994)=0,"NEW",""))</f>
        <v/>
      </c>
      <c r="BA994" s="2" t="str">
        <f>IF(""&amp;$F994&lt;&gt;"4","",IF($AY994="YES","",IF(ROUND(SUMIFS($AE$2:$AE$4001,$L$2:$L$4001,$L994,$F$2:$F$4001,"4")-SUMIFS('AR SALES'!$Y$2:$Y$2501,'AR SALES'!$L$2:$L$2501,$L994,'AR SALES'!$AD$2:$AD$2501,"OFF"),2)=0,"","STALE")))</f>
        <v/>
      </c>
      <c r="BB994" s="2" t="str">
        <f>IF(OR(""&amp;$F994="2",""&amp;$F994="4",""&amp;$F994="G",""&amp;$F994="H"),IF($AY994="YES","",IF($AB994&lt;&gt;0,"",IF(COUNTIFS('AR SALES'!$L$2:$L$2501,$L994,'AR SALES'!$AD$2:$AD$2501,IF(""&amp;$F994="4","OFF","ON"),'AR SALES'!$AF$2:$AF$2501,"Y")&gt;0,"","NO EXEMPTION"))),"")</f>
        <v/>
      </c>
    </row>
    <row r="995" spans="46:54" x14ac:dyDescent="0.25">
      <c r="AT995" s="2" t="str">
        <f>IF($L995="","",IFERROR(INDEX('AR SALES'!$H$2:$H$2501,MATCH(""&amp;$L995,'AR SALES'!$AE$2:$AE$2501,0)),""))</f>
        <v/>
      </c>
      <c r="AU995" s="2" t="str">
        <f t="shared" si="60"/>
        <v/>
      </c>
      <c r="AV995" s="2" t="str">
        <f t="shared" si="61"/>
        <v/>
      </c>
      <c r="AW995" s="2" t="str">
        <f t="shared" si="62"/>
        <v/>
      </c>
      <c r="AX995" s="2" t="str">
        <f t="shared" si="63"/>
        <v/>
      </c>
      <c r="AY995" s="2" t="str">
        <f>IF($AV995="","",IF(AND($Z995=0,COUNTIF('AR SALES'!$L$2:$L$2501,$L995)=0),"YES",""))</f>
        <v/>
      </c>
      <c r="AZ995" s="2" t="str">
        <f>IF($AV995="","",IF(COUNTIF(LISTS!$C$2:$C$250,$AU995)=0,"NEW",""))</f>
        <v/>
      </c>
      <c r="BA995" s="2" t="str">
        <f>IF(""&amp;$F995&lt;&gt;"4","",IF($AY995="YES","",IF(ROUND(SUMIFS($AE$2:$AE$4001,$L$2:$L$4001,$L995,$F$2:$F$4001,"4")-SUMIFS('AR SALES'!$Y$2:$Y$2501,'AR SALES'!$L$2:$L$2501,$L995,'AR SALES'!$AD$2:$AD$2501,"OFF"),2)=0,"","STALE")))</f>
        <v/>
      </c>
      <c r="BB995" s="2" t="str">
        <f>IF(OR(""&amp;$F995="2",""&amp;$F995="4",""&amp;$F995="G",""&amp;$F995="H"),IF($AY995="YES","",IF($AB995&lt;&gt;0,"",IF(COUNTIFS('AR SALES'!$L$2:$L$2501,$L995,'AR SALES'!$AD$2:$AD$2501,IF(""&amp;$F995="4","OFF","ON"),'AR SALES'!$AF$2:$AF$2501,"Y")&gt;0,"","NO EXEMPTION"))),"")</f>
        <v/>
      </c>
    </row>
    <row r="996" spans="46:54" x14ac:dyDescent="0.25">
      <c r="AT996" s="2" t="str">
        <f>IF($L996="","",IFERROR(INDEX('AR SALES'!$H$2:$H$2501,MATCH(""&amp;$L996,'AR SALES'!$AE$2:$AE$2501,0)),""))</f>
        <v/>
      </c>
      <c r="AU996" s="2" t="str">
        <f t="shared" si="60"/>
        <v/>
      </c>
      <c r="AV996" s="2" t="str">
        <f t="shared" si="61"/>
        <v/>
      </c>
      <c r="AW996" s="2" t="str">
        <f t="shared" si="62"/>
        <v/>
      </c>
      <c r="AX996" s="2" t="str">
        <f t="shared" si="63"/>
        <v/>
      </c>
      <c r="AY996" s="2" t="str">
        <f>IF($AV996="","",IF(AND($Z996=0,COUNTIF('AR SALES'!$L$2:$L$2501,$L996)=0),"YES",""))</f>
        <v/>
      </c>
      <c r="AZ996" s="2" t="str">
        <f>IF($AV996="","",IF(COUNTIF(LISTS!$C$2:$C$250,$AU996)=0,"NEW",""))</f>
        <v/>
      </c>
      <c r="BA996" s="2" t="str">
        <f>IF(""&amp;$F996&lt;&gt;"4","",IF($AY996="YES","",IF(ROUND(SUMIFS($AE$2:$AE$4001,$L$2:$L$4001,$L996,$F$2:$F$4001,"4")-SUMIFS('AR SALES'!$Y$2:$Y$2501,'AR SALES'!$L$2:$L$2501,$L996,'AR SALES'!$AD$2:$AD$2501,"OFF"),2)=0,"","STALE")))</f>
        <v/>
      </c>
      <c r="BB996" s="2" t="str">
        <f>IF(OR(""&amp;$F996="2",""&amp;$F996="4",""&amp;$F996="G",""&amp;$F996="H"),IF($AY996="YES","",IF($AB996&lt;&gt;0,"",IF(COUNTIFS('AR SALES'!$L$2:$L$2501,$L996,'AR SALES'!$AD$2:$AD$2501,IF(""&amp;$F996="4","OFF","ON"),'AR SALES'!$AF$2:$AF$2501,"Y")&gt;0,"","NO EXEMPTION"))),"")</f>
        <v/>
      </c>
    </row>
    <row r="997" spans="46:54" x14ac:dyDescent="0.25">
      <c r="AT997" s="2" t="str">
        <f>IF($L997="","",IFERROR(INDEX('AR SALES'!$H$2:$H$2501,MATCH(""&amp;$L997,'AR SALES'!$AE$2:$AE$2501,0)),""))</f>
        <v/>
      </c>
      <c r="AU997" s="2" t="str">
        <f t="shared" si="60"/>
        <v/>
      </c>
      <c r="AV997" s="2" t="str">
        <f t="shared" si="61"/>
        <v/>
      </c>
      <c r="AW997" s="2" t="str">
        <f t="shared" si="62"/>
        <v/>
      </c>
      <c r="AX997" s="2" t="str">
        <f t="shared" si="63"/>
        <v/>
      </c>
      <c r="AY997" s="2" t="str">
        <f>IF($AV997="","",IF(AND($Z997=0,COUNTIF('AR SALES'!$L$2:$L$2501,$L997)=0),"YES",""))</f>
        <v/>
      </c>
      <c r="AZ997" s="2" t="str">
        <f>IF($AV997="","",IF(COUNTIF(LISTS!$C$2:$C$250,$AU997)=0,"NEW",""))</f>
        <v/>
      </c>
      <c r="BA997" s="2" t="str">
        <f>IF(""&amp;$F997&lt;&gt;"4","",IF($AY997="YES","",IF(ROUND(SUMIFS($AE$2:$AE$4001,$L$2:$L$4001,$L997,$F$2:$F$4001,"4")-SUMIFS('AR SALES'!$Y$2:$Y$2501,'AR SALES'!$L$2:$L$2501,$L997,'AR SALES'!$AD$2:$AD$2501,"OFF"),2)=0,"","STALE")))</f>
        <v/>
      </c>
      <c r="BB997" s="2" t="str">
        <f>IF(OR(""&amp;$F997="2",""&amp;$F997="4",""&amp;$F997="G",""&amp;$F997="H"),IF($AY997="YES","",IF($AB997&lt;&gt;0,"",IF(COUNTIFS('AR SALES'!$L$2:$L$2501,$L997,'AR SALES'!$AD$2:$AD$2501,IF(""&amp;$F997="4","OFF","ON"),'AR SALES'!$AF$2:$AF$2501,"Y")&gt;0,"","NO EXEMPTION"))),"")</f>
        <v/>
      </c>
    </row>
    <row r="998" spans="46:54" x14ac:dyDescent="0.25">
      <c r="AT998" s="2" t="str">
        <f>IF($L998="","",IFERROR(INDEX('AR SALES'!$H$2:$H$2501,MATCH(""&amp;$L998,'AR SALES'!$AE$2:$AE$2501,0)),""))</f>
        <v/>
      </c>
      <c r="AU998" s="2" t="str">
        <f t="shared" si="60"/>
        <v/>
      </c>
      <c r="AV998" s="2" t="str">
        <f t="shared" si="61"/>
        <v/>
      </c>
      <c r="AW998" s="2" t="str">
        <f t="shared" si="62"/>
        <v/>
      </c>
      <c r="AX998" s="2" t="str">
        <f t="shared" si="63"/>
        <v/>
      </c>
      <c r="AY998" s="2" t="str">
        <f>IF($AV998="","",IF(AND($Z998=0,COUNTIF('AR SALES'!$L$2:$L$2501,$L998)=0),"YES",""))</f>
        <v/>
      </c>
      <c r="AZ998" s="2" t="str">
        <f>IF($AV998="","",IF(COUNTIF(LISTS!$C$2:$C$250,$AU998)=0,"NEW",""))</f>
        <v/>
      </c>
      <c r="BA998" s="2" t="str">
        <f>IF(""&amp;$F998&lt;&gt;"4","",IF($AY998="YES","",IF(ROUND(SUMIFS($AE$2:$AE$4001,$L$2:$L$4001,$L998,$F$2:$F$4001,"4")-SUMIFS('AR SALES'!$Y$2:$Y$2501,'AR SALES'!$L$2:$L$2501,$L998,'AR SALES'!$AD$2:$AD$2501,"OFF"),2)=0,"","STALE")))</f>
        <v/>
      </c>
      <c r="BB998" s="2" t="str">
        <f>IF(OR(""&amp;$F998="2",""&amp;$F998="4",""&amp;$F998="G",""&amp;$F998="H"),IF($AY998="YES","",IF($AB998&lt;&gt;0,"",IF(COUNTIFS('AR SALES'!$L$2:$L$2501,$L998,'AR SALES'!$AD$2:$AD$2501,IF(""&amp;$F998="4","OFF","ON"),'AR SALES'!$AF$2:$AF$2501,"Y")&gt;0,"","NO EXEMPTION"))),"")</f>
        <v/>
      </c>
    </row>
    <row r="999" spans="46:54" x14ac:dyDescent="0.25">
      <c r="AT999" s="2" t="str">
        <f>IF($L999="","",IFERROR(INDEX('AR SALES'!$H$2:$H$2501,MATCH(""&amp;$L999,'AR SALES'!$AE$2:$AE$2501,0)),""))</f>
        <v/>
      </c>
      <c r="AU999" s="2" t="str">
        <f t="shared" si="60"/>
        <v/>
      </c>
      <c r="AV999" s="2" t="str">
        <f t="shared" si="61"/>
        <v/>
      </c>
      <c r="AW999" s="2" t="str">
        <f t="shared" si="62"/>
        <v/>
      </c>
      <c r="AX999" s="2" t="str">
        <f t="shared" si="63"/>
        <v/>
      </c>
      <c r="AY999" s="2" t="str">
        <f>IF($AV999="","",IF(AND($Z999=0,COUNTIF('AR SALES'!$L$2:$L$2501,$L999)=0),"YES",""))</f>
        <v/>
      </c>
      <c r="AZ999" s="2" t="str">
        <f>IF($AV999="","",IF(COUNTIF(LISTS!$C$2:$C$250,$AU999)=0,"NEW",""))</f>
        <v/>
      </c>
      <c r="BA999" s="2" t="str">
        <f>IF(""&amp;$F999&lt;&gt;"4","",IF($AY999="YES","",IF(ROUND(SUMIFS($AE$2:$AE$4001,$L$2:$L$4001,$L999,$F$2:$F$4001,"4")-SUMIFS('AR SALES'!$Y$2:$Y$2501,'AR SALES'!$L$2:$L$2501,$L999,'AR SALES'!$AD$2:$AD$2501,"OFF"),2)=0,"","STALE")))</f>
        <v/>
      </c>
      <c r="BB999" s="2" t="str">
        <f>IF(OR(""&amp;$F999="2",""&amp;$F999="4",""&amp;$F999="G",""&amp;$F999="H"),IF($AY999="YES","",IF($AB999&lt;&gt;0,"",IF(COUNTIFS('AR SALES'!$L$2:$L$2501,$L999,'AR SALES'!$AD$2:$AD$2501,IF(""&amp;$F999="4","OFF","ON"),'AR SALES'!$AF$2:$AF$2501,"Y")&gt;0,"","NO EXEMPTION"))),"")</f>
        <v/>
      </c>
    </row>
    <row r="1000" spans="46:54" x14ac:dyDescent="0.25">
      <c r="AT1000" s="2" t="str">
        <f>IF($L1000="","",IFERROR(INDEX('AR SALES'!$H$2:$H$2501,MATCH(""&amp;$L1000,'AR SALES'!$AE$2:$AE$2501,0)),""))</f>
        <v/>
      </c>
      <c r="AU1000" s="2" t="str">
        <f t="shared" si="60"/>
        <v/>
      </c>
      <c r="AV1000" s="2" t="str">
        <f t="shared" si="61"/>
        <v/>
      </c>
      <c r="AW1000" s="2" t="str">
        <f t="shared" si="62"/>
        <v/>
      </c>
      <c r="AX1000" s="2" t="str">
        <f t="shared" si="63"/>
        <v/>
      </c>
      <c r="AY1000" s="2" t="str">
        <f>IF($AV1000="","",IF(AND($Z1000=0,COUNTIF('AR SALES'!$L$2:$L$2501,$L1000)=0),"YES",""))</f>
        <v/>
      </c>
      <c r="AZ1000" s="2" t="str">
        <f>IF($AV1000="","",IF(COUNTIF(LISTS!$C$2:$C$250,$AU1000)=0,"NEW",""))</f>
        <v/>
      </c>
      <c r="BA1000" s="2" t="str">
        <f>IF(""&amp;$F1000&lt;&gt;"4","",IF($AY1000="YES","",IF(ROUND(SUMIFS($AE$2:$AE$4001,$L$2:$L$4001,$L1000,$F$2:$F$4001,"4")-SUMIFS('AR SALES'!$Y$2:$Y$2501,'AR SALES'!$L$2:$L$2501,$L1000,'AR SALES'!$AD$2:$AD$2501,"OFF"),2)=0,"","STALE")))</f>
        <v/>
      </c>
      <c r="BB1000" s="2" t="str">
        <f>IF(OR(""&amp;$F1000="2",""&amp;$F1000="4",""&amp;$F1000="G",""&amp;$F1000="H"),IF($AY1000="YES","",IF($AB1000&lt;&gt;0,"",IF(COUNTIFS('AR SALES'!$L$2:$L$2501,$L1000,'AR SALES'!$AD$2:$AD$2501,IF(""&amp;$F1000="4","OFF","ON"),'AR SALES'!$AF$2:$AF$2501,"Y")&gt;0,"","NO EXEMPTION"))),"")</f>
        <v/>
      </c>
    </row>
    <row r="1001" spans="46:54" x14ac:dyDescent="0.25">
      <c r="AT1001" s="2" t="str">
        <f>IF($L1001="","",IFERROR(INDEX('AR SALES'!$H$2:$H$2501,MATCH(""&amp;$L1001,'AR SALES'!$AE$2:$AE$2501,0)),""))</f>
        <v/>
      </c>
      <c r="AU1001" s="2" t="str">
        <f t="shared" si="60"/>
        <v/>
      </c>
      <c r="AV1001" s="2" t="str">
        <f t="shared" si="61"/>
        <v/>
      </c>
      <c r="AW1001" s="2" t="str">
        <f t="shared" si="62"/>
        <v/>
      </c>
      <c r="AX1001" s="2" t="str">
        <f t="shared" si="63"/>
        <v/>
      </c>
      <c r="AY1001" s="2" t="str">
        <f>IF($AV1001="","",IF(AND($Z1001=0,COUNTIF('AR SALES'!$L$2:$L$2501,$L1001)=0),"YES",""))</f>
        <v/>
      </c>
      <c r="AZ1001" s="2" t="str">
        <f>IF($AV1001="","",IF(COUNTIF(LISTS!$C$2:$C$250,$AU1001)=0,"NEW",""))</f>
        <v/>
      </c>
      <c r="BA1001" s="2" t="str">
        <f>IF(""&amp;$F1001&lt;&gt;"4","",IF($AY1001="YES","",IF(ROUND(SUMIFS($AE$2:$AE$4001,$L$2:$L$4001,$L1001,$F$2:$F$4001,"4")-SUMIFS('AR SALES'!$Y$2:$Y$2501,'AR SALES'!$L$2:$L$2501,$L1001,'AR SALES'!$AD$2:$AD$2501,"OFF"),2)=0,"","STALE")))</f>
        <v/>
      </c>
      <c r="BB1001" s="2" t="str">
        <f>IF(OR(""&amp;$F1001="2",""&amp;$F1001="4",""&amp;$F1001="G",""&amp;$F1001="H"),IF($AY1001="YES","",IF($AB1001&lt;&gt;0,"",IF(COUNTIFS('AR SALES'!$L$2:$L$2501,$L1001,'AR SALES'!$AD$2:$AD$2501,IF(""&amp;$F1001="4","OFF","ON"),'AR SALES'!$AF$2:$AF$2501,"Y")&gt;0,"","NO EXEMPTION"))),"")</f>
        <v/>
      </c>
    </row>
    <row r="1002" spans="46:54" x14ac:dyDescent="0.25">
      <c r="AT1002" s="2" t="str">
        <f>IF($L1002="","",IFERROR(INDEX('AR SALES'!$H$2:$H$2501,MATCH(""&amp;$L1002,'AR SALES'!$AE$2:$AE$2501,0)),""))</f>
        <v/>
      </c>
      <c r="AU1002" s="2" t="str">
        <f t="shared" si="60"/>
        <v/>
      </c>
      <c r="AV1002" s="2" t="str">
        <f t="shared" si="61"/>
        <v/>
      </c>
      <c r="AW1002" s="2" t="str">
        <f t="shared" si="62"/>
        <v/>
      </c>
      <c r="AX1002" s="2" t="str">
        <f t="shared" si="63"/>
        <v/>
      </c>
      <c r="AY1002" s="2" t="str">
        <f>IF($AV1002="","",IF(AND($Z1002=0,COUNTIF('AR SALES'!$L$2:$L$2501,$L1002)=0),"YES",""))</f>
        <v/>
      </c>
      <c r="AZ1002" s="2" t="str">
        <f>IF($AV1002="","",IF(COUNTIF(LISTS!$C$2:$C$250,$AU1002)=0,"NEW",""))</f>
        <v/>
      </c>
      <c r="BA1002" s="2" t="str">
        <f>IF(""&amp;$F1002&lt;&gt;"4","",IF($AY1002="YES","",IF(ROUND(SUMIFS($AE$2:$AE$4001,$L$2:$L$4001,$L1002,$F$2:$F$4001,"4")-SUMIFS('AR SALES'!$Y$2:$Y$2501,'AR SALES'!$L$2:$L$2501,$L1002,'AR SALES'!$AD$2:$AD$2501,"OFF"),2)=0,"","STALE")))</f>
        <v/>
      </c>
      <c r="BB1002" s="2" t="str">
        <f>IF(OR(""&amp;$F1002="2",""&amp;$F1002="4",""&amp;$F1002="G",""&amp;$F1002="H"),IF($AY1002="YES","",IF($AB1002&lt;&gt;0,"",IF(COUNTIFS('AR SALES'!$L$2:$L$2501,$L1002,'AR SALES'!$AD$2:$AD$2501,IF(""&amp;$F1002="4","OFF","ON"),'AR SALES'!$AF$2:$AF$2501,"Y")&gt;0,"","NO EXEMPTION"))),"")</f>
        <v/>
      </c>
    </row>
    <row r="1003" spans="46:54" x14ac:dyDescent="0.25">
      <c r="AT1003" s="2" t="str">
        <f>IF($L1003="","",IFERROR(INDEX('AR SALES'!$H$2:$H$2501,MATCH(""&amp;$L1003,'AR SALES'!$AE$2:$AE$2501,0)),""))</f>
        <v/>
      </c>
      <c r="AU1003" s="2" t="str">
        <f t="shared" si="60"/>
        <v/>
      </c>
      <c r="AV1003" s="2" t="str">
        <f t="shared" si="61"/>
        <v/>
      </c>
      <c r="AW1003" s="2" t="str">
        <f t="shared" si="62"/>
        <v/>
      </c>
      <c r="AX1003" s="2" t="str">
        <f t="shared" si="63"/>
        <v/>
      </c>
      <c r="AY1003" s="2" t="str">
        <f>IF($AV1003="","",IF(AND($Z1003=0,COUNTIF('AR SALES'!$L$2:$L$2501,$L1003)=0),"YES",""))</f>
        <v/>
      </c>
      <c r="AZ1003" s="2" t="str">
        <f>IF($AV1003="","",IF(COUNTIF(LISTS!$C$2:$C$250,$AU1003)=0,"NEW",""))</f>
        <v/>
      </c>
      <c r="BA1003" s="2" t="str">
        <f>IF(""&amp;$F1003&lt;&gt;"4","",IF($AY1003="YES","",IF(ROUND(SUMIFS($AE$2:$AE$4001,$L$2:$L$4001,$L1003,$F$2:$F$4001,"4")-SUMIFS('AR SALES'!$Y$2:$Y$2501,'AR SALES'!$L$2:$L$2501,$L1003,'AR SALES'!$AD$2:$AD$2501,"OFF"),2)=0,"","STALE")))</f>
        <v/>
      </c>
      <c r="BB1003" s="2" t="str">
        <f>IF(OR(""&amp;$F1003="2",""&amp;$F1003="4",""&amp;$F1003="G",""&amp;$F1003="H"),IF($AY1003="YES","",IF($AB1003&lt;&gt;0,"",IF(COUNTIFS('AR SALES'!$L$2:$L$2501,$L1003,'AR SALES'!$AD$2:$AD$2501,IF(""&amp;$F1003="4","OFF","ON"),'AR SALES'!$AF$2:$AF$2501,"Y")&gt;0,"","NO EXEMPTION"))),"")</f>
        <v/>
      </c>
    </row>
    <row r="1004" spans="46:54" x14ac:dyDescent="0.25">
      <c r="AT1004" s="2" t="str">
        <f>IF($L1004="","",IFERROR(INDEX('AR SALES'!$H$2:$H$2501,MATCH(""&amp;$L1004,'AR SALES'!$AE$2:$AE$2501,0)),""))</f>
        <v/>
      </c>
      <c r="AU1004" s="2" t="str">
        <f t="shared" si="60"/>
        <v/>
      </c>
      <c r="AV1004" s="2" t="str">
        <f t="shared" si="61"/>
        <v/>
      </c>
      <c r="AW1004" s="2" t="str">
        <f t="shared" si="62"/>
        <v/>
      </c>
      <c r="AX1004" s="2" t="str">
        <f t="shared" si="63"/>
        <v/>
      </c>
      <c r="AY1004" s="2" t="str">
        <f>IF($AV1004="","",IF(AND($Z1004=0,COUNTIF('AR SALES'!$L$2:$L$2501,$L1004)=0),"YES",""))</f>
        <v/>
      </c>
      <c r="AZ1004" s="2" t="str">
        <f>IF($AV1004="","",IF(COUNTIF(LISTS!$C$2:$C$250,$AU1004)=0,"NEW",""))</f>
        <v/>
      </c>
      <c r="BA1004" s="2" t="str">
        <f>IF(""&amp;$F1004&lt;&gt;"4","",IF($AY1004="YES","",IF(ROUND(SUMIFS($AE$2:$AE$4001,$L$2:$L$4001,$L1004,$F$2:$F$4001,"4")-SUMIFS('AR SALES'!$Y$2:$Y$2501,'AR SALES'!$L$2:$L$2501,$L1004,'AR SALES'!$AD$2:$AD$2501,"OFF"),2)=0,"","STALE")))</f>
        <v/>
      </c>
      <c r="BB1004" s="2" t="str">
        <f>IF(OR(""&amp;$F1004="2",""&amp;$F1004="4",""&amp;$F1004="G",""&amp;$F1004="H"),IF($AY1004="YES","",IF($AB1004&lt;&gt;0,"",IF(COUNTIFS('AR SALES'!$L$2:$L$2501,$L1004,'AR SALES'!$AD$2:$AD$2501,IF(""&amp;$F1004="4","OFF","ON"),'AR SALES'!$AF$2:$AF$2501,"Y")&gt;0,"","NO EXEMPTION"))),"")</f>
        <v/>
      </c>
    </row>
    <row r="1005" spans="46:54" x14ac:dyDescent="0.25">
      <c r="AT1005" s="2" t="str">
        <f>IF($L1005="","",IFERROR(INDEX('AR SALES'!$H$2:$H$2501,MATCH(""&amp;$L1005,'AR SALES'!$AE$2:$AE$2501,0)),""))</f>
        <v/>
      </c>
      <c r="AU1005" s="2" t="str">
        <f t="shared" si="60"/>
        <v/>
      </c>
      <c r="AV1005" s="2" t="str">
        <f t="shared" si="61"/>
        <v/>
      </c>
      <c r="AW1005" s="2" t="str">
        <f t="shared" si="62"/>
        <v/>
      </c>
      <c r="AX1005" s="2" t="str">
        <f t="shared" si="63"/>
        <v/>
      </c>
      <c r="AY1005" s="2" t="str">
        <f>IF($AV1005="","",IF(AND($Z1005=0,COUNTIF('AR SALES'!$L$2:$L$2501,$L1005)=0),"YES",""))</f>
        <v/>
      </c>
      <c r="AZ1005" s="2" t="str">
        <f>IF($AV1005="","",IF(COUNTIF(LISTS!$C$2:$C$250,$AU1005)=0,"NEW",""))</f>
        <v/>
      </c>
      <c r="BA1005" s="2" t="str">
        <f>IF(""&amp;$F1005&lt;&gt;"4","",IF($AY1005="YES","",IF(ROUND(SUMIFS($AE$2:$AE$4001,$L$2:$L$4001,$L1005,$F$2:$F$4001,"4")-SUMIFS('AR SALES'!$Y$2:$Y$2501,'AR SALES'!$L$2:$L$2501,$L1005,'AR SALES'!$AD$2:$AD$2501,"OFF"),2)=0,"","STALE")))</f>
        <v/>
      </c>
      <c r="BB1005" s="2" t="str">
        <f>IF(OR(""&amp;$F1005="2",""&amp;$F1005="4",""&amp;$F1005="G",""&amp;$F1005="H"),IF($AY1005="YES","",IF($AB1005&lt;&gt;0,"",IF(COUNTIFS('AR SALES'!$L$2:$L$2501,$L1005,'AR SALES'!$AD$2:$AD$2501,IF(""&amp;$F1005="4","OFF","ON"),'AR SALES'!$AF$2:$AF$2501,"Y")&gt;0,"","NO EXEMPTION"))),"")</f>
        <v/>
      </c>
    </row>
    <row r="1006" spans="46:54" x14ac:dyDescent="0.25">
      <c r="AT1006" s="2" t="str">
        <f>IF($L1006="","",IFERROR(INDEX('AR SALES'!$H$2:$H$2501,MATCH(""&amp;$L1006,'AR SALES'!$AE$2:$AE$2501,0)),""))</f>
        <v/>
      </c>
      <c r="AU1006" s="2" t="str">
        <f t="shared" si="60"/>
        <v/>
      </c>
      <c r="AV1006" s="2" t="str">
        <f t="shared" si="61"/>
        <v/>
      </c>
      <c r="AW1006" s="2" t="str">
        <f t="shared" si="62"/>
        <v/>
      </c>
      <c r="AX1006" s="2" t="str">
        <f t="shared" si="63"/>
        <v/>
      </c>
      <c r="AY1006" s="2" t="str">
        <f>IF($AV1006="","",IF(AND($Z1006=0,COUNTIF('AR SALES'!$L$2:$L$2501,$L1006)=0),"YES",""))</f>
        <v/>
      </c>
      <c r="AZ1006" s="2" t="str">
        <f>IF($AV1006="","",IF(COUNTIF(LISTS!$C$2:$C$250,$AU1006)=0,"NEW",""))</f>
        <v/>
      </c>
      <c r="BA1006" s="2" t="str">
        <f>IF(""&amp;$F1006&lt;&gt;"4","",IF($AY1006="YES","",IF(ROUND(SUMIFS($AE$2:$AE$4001,$L$2:$L$4001,$L1006,$F$2:$F$4001,"4")-SUMIFS('AR SALES'!$Y$2:$Y$2501,'AR SALES'!$L$2:$L$2501,$L1006,'AR SALES'!$AD$2:$AD$2501,"OFF"),2)=0,"","STALE")))</f>
        <v/>
      </c>
      <c r="BB1006" s="2" t="str">
        <f>IF(OR(""&amp;$F1006="2",""&amp;$F1006="4",""&amp;$F1006="G",""&amp;$F1006="H"),IF($AY1006="YES","",IF($AB1006&lt;&gt;0,"",IF(COUNTIFS('AR SALES'!$L$2:$L$2501,$L1006,'AR SALES'!$AD$2:$AD$2501,IF(""&amp;$F1006="4","OFF","ON"),'AR SALES'!$AF$2:$AF$2501,"Y")&gt;0,"","NO EXEMPTION"))),"")</f>
        <v/>
      </c>
    </row>
    <row r="1007" spans="46:54" x14ac:dyDescent="0.25">
      <c r="AT1007" s="2" t="str">
        <f>IF($L1007="","",IFERROR(INDEX('AR SALES'!$H$2:$H$2501,MATCH(""&amp;$L1007,'AR SALES'!$AE$2:$AE$2501,0)),""))</f>
        <v/>
      </c>
      <c r="AU1007" s="2" t="str">
        <f t="shared" si="60"/>
        <v/>
      </c>
      <c r="AV1007" s="2" t="str">
        <f t="shared" si="61"/>
        <v/>
      </c>
      <c r="AW1007" s="2" t="str">
        <f t="shared" si="62"/>
        <v/>
      </c>
      <c r="AX1007" s="2" t="str">
        <f t="shared" si="63"/>
        <v/>
      </c>
      <c r="AY1007" s="2" t="str">
        <f>IF($AV1007="","",IF(AND($Z1007=0,COUNTIF('AR SALES'!$L$2:$L$2501,$L1007)=0),"YES",""))</f>
        <v/>
      </c>
      <c r="AZ1007" s="2" t="str">
        <f>IF($AV1007="","",IF(COUNTIF(LISTS!$C$2:$C$250,$AU1007)=0,"NEW",""))</f>
        <v/>
      </c>
      <c r="BA1007" s="2" t="str">
        <f>IF(""&amp;$F1007&lt;&gt;"4","",IF($AY1007="YES","",IF(ROUND(SUMIFS($AE$2:$AE$4001,$L$2:$L$4001,$L1007,$F$2:$F$4001,"4")-SUMIFS('AR SALES'!$Y$2:$Y$2501,'AR SALES'!$L$2:$L$2501,$L1007,'AR SALES'!$AD$2:$AD$2501,"OFF"),2)=0,"","STALE")))</f>
        <v/>
      </c>
      <c r="BB1007" s="2" t="str">
        <f>IF(OR(""&amp;$F1007="2",""&amp;$F1007="4",""&amp;$F1007="G",""&amp;$F1007="H"),IF($AY1007="YES","",IF($AB1007&lt;&gt;0,"",IF(COUNTIFS('AR SALES'!$L$2:$L$2501,$L1007,'AR SALES'!$AD$2:$AD$2501,IF(""&amp;$F1007="4","OFF","ON"),'AR SALES'!$AF$2:$AF$2501,"Y")&gt;0,"","NO EXEMPTION"))),"")</f>
        <v/>
      </c>
    </row>
    <row r="1008" spans="46:54" x14ac:dyDescent="0.25">
      <c r="AT1008" s="2" t="str">
        <f>IF($L1008="","",IFERROR(INDEX('AR SALES'!$H$2:$H$2501,MATCH(""&amp;$L1008,'AR SALES'!$AE$2:$AE$2501,0)),""))</f>
        <v/>
      </c>
      <c r="AU1008" s="2" t="str">
        <f t="shared" si="60"/>
        <v/>
      </c>
      <c r="AV1008" s="2" t="str">
        <f t="shared" si="61"/>
        <v/>
      </c>
      <c r="AW1008" s="2" t="str">
        <f t="shared" si="62"/>
        <v/>
      </c>
      <c r="AX1008" s="2" t="str">
        <f t="shared" si="63"/>
        <v/>
      </c>
      <c r="AY1008" s="2" t="str">
        <f>IF($AV1008="","",IF(AND($Z1008=0,COUNTIF('AR SALES'!$L$2:$L$2501,$L1008)=0),"YES",""))</f>
        <v/>
      </c>
      <c r="AZ1008" s="2" t="str">
        <f>IF($AV1008="","",IF(COUNTIF(LISTS!$C$2:$C$250,$AU1008)=0,"NEW",""))</f>
        <v/>
      </c>
      <c r="BA1008" s="2" t="str">
        <f>IF(""&amp;$F1008&lt;&gt;"4","",IF($AY1008="YES","",IF(ROUND(SUMIFS($AE$2:$AE$4001,$L$2:$L$4001,$L1008,$F$2:$F$4001,"4")-SUMIFS('AR SALES'!$Y$2:$Y$2501,'AR SALES'!$L$2:$L$2501,$L1008,'AR SALES'!$AD$2:$AD$2501,"OFF"),2)=0,"","STALE")))</f>
        <v/>
      </c>
      <c r="BB1008" s="2" t="str">
        <f>IF(OR(""&amp;$F1008="2",""&amp;$F1008="4",""&amp;$F1008="G",""&amp;$F1008="H"),IF($AY1008="YES","",IF($AB1008&lt;&gt;0,"",IF(COUNTIFS('AR SALES'!$L$2:$L$2501,$L1008,'AR SALES'!$AD$2:$AD$2501,IF(""&amp;$F1008="4","OFF","ON"),'AR SALES'!$AF$2:$AF$2501,"Y")&gt;0,"","NO EXEMPTION"))),"")</f>
        <v/>
      </c>
    </row>
    <row r="1009" spans="46:54" x14ac:dyDescent="0.25">
      <c r="AT1009" s="2" t="str">
        <f>IF($L1009="","",IFERROR(INDEX('AR SALES'!$H$2:$H$2501,MATCH(""&amp;$L1009,'AR SALES'!$AE$2:$AE$2501,0)),""))</f>
        <v/>
      </c>
      <c r="AU1009" s="2" t="str">
        <f t="shared" si="60"/>
        <v/>
      </c>
      <c r="AV1009" s="2" t="str">
        <f t="shared" si="61"/>
        <v/>
      </c>
      <c r="AW1009" s="2" t="str">
        <f t="shared" si="62"/>
        <v/>
      </c>
      <c r="AX1009" s="2" t="str">
        <f t="shared" si="63"/>
        <v/>
      </c>
      <c r="AY1009" s="2" t="str">
        <f>IF($AV1009="","",IF(AND($Z1009=0,COUNTIF('AR SALES'!$L$2:$L$2501,$L1009)=0),"YES",""))</f>
        <v/>
      </c>
      <c r="AZ1009" s="2" t="str">
        <f>IF($AV1009="","",IF(COUNTIF(LISTS!$C$2:$C$250,$AU1009)=0,"NEW",""))</f>
        <v/>
      </c>
      <c r="BA1009" s="2" t="str">
        <f>IF(""&amp;$F1009&lt;&gt;"4","",IF($AY1009="YES","",IF(ROUND(SUMIFS($AE$2:$AE$4001,$L$2:$L$4001,$L1009,$F$2:$F$4001,"4")-SUMIFS('AR SALES'!$Y$2:$Y$2501,'AR SALES'!$L$2:$L$2501,$L1009,'AR SALES'!$AD$2:$AD$2501,"OFF"),2)=0,"","STALE")))</f>
        <v/>
      </c>
      <c r="BB1009" s="2" t="str">
        <f>IF(OR(""&amp;$F1009="2",""&amp;$F1009="4",""&amp;$F1009="G",""&amp;$F1009="H"),IF($AY1009="YES","",IF($AB1009&lt;&gt;0,"",IF(COUNTIFS('AR SALES'!$L$2:$L$2501,$L1009,'AR SALES'!$AD$2:$AD$2501,IF(""&amp;$F1009="4","OFF","ON"),'AR SALES'!$AF$2:$AF$2501,"Y")&gt;0,"","NO EXEMPTION"))),"")</f>
        <v/>
      </c>
    </row>
    <row r="1010" spans="46:54" x14ac:dyDescent="0.25">
      <c r="AT1010" s="2" t="str">
        <f>IF($L1010="","",IFERROR(INDEX('AR SALES'!$H$2:$H$2501,MATCH(""&amp;$L1010,'AR SALES'!$AE$2:$AE$2501,0)),""))</f>
        <v/>
      </c>
      <c r="AU1010" s="2" t="str">
        <f t="shared" si="60"/>
        <v/>
      </c>
      <c r="AV1010" s="2" t="str">
        <f t="shared" si="61"/>
        <v/>
      </c>
      <c r="AW1010" s="2" t="str">
        <f t="shared" si="62"/>
        <v/>
      </c>
      <c r="AX1010" s="2" t="str">
        <f t="shared" si="63"/>
        <v/>
      </c>
      <c r="AY1010" s="2" t="str">
        <f>IF($AV1010="","",IF(AND($Z1010=0,COUNTIF('AR SALES'!$L$2:$L$2501,$L1010)=0),"YES",""))</f>
        <v/>
      </c>
      <c r="AZ1010" s="2" t="str">
        <f>IF($AV1010="","",IF(COUNTIF(LISTS!$C$2:$C$250,$AU1010)=0,"NEW",""))</f>
        <v/>
      </c>
      <c r="BA1010" s="2" t="str">
        <f>IF(""&amp;$F1010&lt;&gt;"4","",IF($AY1010="YES","",IF(ROUND(SUMIFS($AE$2:$AE$4001,$L$2:$L$4001,$L1010,$F$2:$F$4001,"4")-SUMIFS('AR SALES'!$Y$2:$Y$2501,'AR SALES'!$L$2:$L$2501,$L1010,'AR SALES'!$AD$2:$AD$2501,"OFF"),2)=0,"","STALE")))</f>
        <v/>
      </c>
      <c r="BB1010" s="2" t="str">
        <f>IF(OR(""&amp;$F1010="2",""&amp;$F1010="4",""&amp;$F1010="G",""&amp;$F1010="H"),IF($AY1010="YES","",IF($AB1010&lt;&gt;0,"",IF(COUNTIFS('AR SALES'!$L$2:$L$2501,$L1010,'AR SALES'!$AD$2:$AD$2501,IF(""&amp;$F1010="4","OFF","ON"),'AR SALES'!$AF$2:$AF$2501,"Y")&gt;0,"","NO EXEMPTION"))),"")</f>
        <v/>
      </c>
    </row>
    <row r="1011" spans="46:54" x14ac:dyDescent="0.25">
      <c r="AT1011" s="2" t="str">
        <f>IF($L1011="","",IFERROR(INDEX('AR SALES'!$H$2:$H$2501,MATCH(""&amp;$L1011,'AR SALES'!$AE$2:$AE$2501,0)),""))</f>
        <v/>
      </c>
      <c r="AU1011" s="2" t="str">
        <f t="shared" si="60"/>
        <v/>
      </c>
      <c r="AV1011" s="2" t="str">
        <f t="shared" si="61"/>
        <v/>
      </c>
      <c r="AW1011" s="2" t="str">
        <f t="shared" si="62"/>
        <v/>
      </c>
      <c r="AX1011" s="2" t="str">
        <f t="shared" si="63"/>
        <v/>
      </c>
      <c r="AY1011" s="2" t="str">
        <f>IF($AV1011="","",IF(AND($Z1011=0,COUNTIF('AR SALES'!$L$2:$L$2501,$L1011)=0),"YES",""))</f>
        <v/>
      </c>
      <c r="AZ1011" s="2" t="str">
        <f>IF($AV1011="","",IF(COUNTIF(LISTS!$C$2:$C$250,$AU1011)=0,"NEW",""))</f>
        <v/>
      </c>
      <c r="BA1011" s="2" t="str">
        <f>IF(""&amp;$F1011&lt;&gt;"4","",IF($AY1011="YES","",IF(ROUND(SUMIFS($AE$2:$AE$4001,$L$2:$L$4001,$L1011,$F$2:$F$4001,"4")-SUMIFS('AR SALES'!$Y$2:$Y$2501,'AR SALES'!$L$2:$L$2501,$L1011,'AR SALES'!$AD$2:$AD$2501,"OFF"),2)=0,"","STALE")))</f>
        <v/>
      </c>
      <c r="BB1011" s="2" t="str">
        <f>IF(OR(""&amp;$F1011="2",""&amp;$F1011="4",""&amp;$F1011="G",""&amp;$F1011="H"),IF($AY1011="YES","",IF($AB1011&lt;&gt;0,"",IF(COUNTIFS('AR SALES'!$L$2:$L$2501,$L1011,'AR SALES'!$AD$2:$AD$2501,IF(""&amp;$F1011="4","OFF","ON"),'AR SALES'!$AF$2:$AF$2501,"Y")&gt;0,"","NO EXEMPTION"))),"")</f>
        <v/>
      </c>
    </row>
    <row r="1012" spans="46:54" x14ac:dyDescent="0.25">
      <c r="AT1012" s="2" t="str">
        <f>IF($L1012="","",IFERROR(INDEX('AR SALES'!$H$2:$H$2501,MATCH(""&amp;$L1012,'AR SALES'!$AE$2:$AE$2501,0)),""))</f>
        <v/>
      </c>
      <c r="AU1012" s="2" t="str">
        <f t="shared" si="60"/>
        <v/>
      </c>
      <c r="AV1012" s="2" t="str">
        <f t="shared" si="61"/>
        <v/>
      </c>
      <c r="AW1012" s="2" t="str">
        <f t="shared" si="62"/>
        <v/>
      </c>
      <c r="AX1012" s="2" t="str">
        <f t="shared" si="63"/>
        <v/>
      </c>
      <c r="AY1012" s="2" t="str">
        <f>IF($AV1012="","",IF(AND($Z1012=0,COUNTIF('AR SALES'!$L$2:$L$2501,$L1012)=0),"YES",""))</f>
        <v/>
      </c>
      <c r="AZ1012" s="2" t="str">
        <f>IF($AV1012="","",IF(COUNTIF(LISTS!$C$2:$C$250,$AU1012)=0,"NEW",""))</f>
        <v/>
      </c>
      <c r="BA1012" s="2" t="str">
        <f>IF(""&amp;$F1012&lt;&gt;"4","",IF($AY1012="YES","",IF(ROUND(SUMIFS($AE$2:$AE$4001,$L$2:$L$4001,$L1012,$F$2:$F$4001,"4")-SUMIFS('AR SALES'!$Y$2:$Y$2501,'AR SALES'!$L$2:$L$2501,$L1012,'AR SALES'!$AD$2:$AD$2501,"OFF"),2)=0,"","STALE")))</f>
        <v/>
      </c>
      <c r="BB1012" s="2" t="str">
        <f>IF(OR(""&amp;$F1012="2",""&amp;$F1012="4",""&amp;$F1012="G",""&amp;$F1012="H"),IF($AY1012="YES","",IF($AB1012&lt;&gt;0,"",IF(COUNTIFS('AR SALES'!$L$2:$L$2501,$L1012,'AR SALES'!$AD$2:$AD$2501,IF(""&amp;$F1012="4","OFF","ON"),'AR SALES'!$AF$2:$AF$2501,"Y")&gt;0,"","NO EXEMPTION"))),"")</f>
        <v/>
      </c>
    </row>
    <row r="1013" spans="46:54" x14ac:dyDescent="0.25">
      <c r="AT1013" s="2" t="str">
        <f>IF($L1013="","",IFERROR(INDEX('AR SALES'!$H$2:$H$2501,MATCH(""&amp;$L1013,'AR SALES'!$AE$2:$AE$2501,0)),""))</f>
        <v/>
      </c>
      <c r="AU1013" s="2" t="str">
        <f t="shared" si="60"/>
        <v/>
      </c>
      <c r="AV1013" s="2" t="str">
        <f t="shared" si="61"/>
        <v/>
      </c>
      <c r="AW1013" s="2" t="str">
        <f t="shared" si="62"/>
        <v/>
      </c>
      <c r="AX1013" s="2" t="str">
        <f t="shared" si="63"/>
        <v/>
      </c>
      <c r="AY1013" s="2" t="str">
        <f>IF($AV1013="","",IF(AND($Z1013=0,COUNTIF('AR SALES'!$L$2:$L$2501,$L1013)=0),"YES",""))</f>
        <v/>
      </c>
      <c r="AZ1013" s="2" t="str">
        <f>IF($AV1013="","",IF(COUNTIF(LISTS!$C$2:$C$250,$AU1013)=0,"NEW",""))</f>
        <v/>
      </c>
      <c r="BA1013" s="2" t="str">
        <f>IF(""&amp;$F1013&lt;&gt;"4","",IF($AY1013="YES","",IF(ROUND(SUMIFS($AE$2:$AE$4001,$L$2:$L$4001,$L1013,$F$2:$F$4001,"4")-SUMIFS('AR SALES'!$Y$2:$Y$2501,'AR SALES'!$L$2:$L$2501,$L1013,'AR SALES'!$AD$2:$AD$2501,"OFF"),2)=0,"","STALE")))</f>
        <v/>
      </c>
      <c r="BB1013" s="2" t="str">
        <f>IF(OR(""&amp;$F1013="2",""&amp;$F1013="4",""&amp;$F1013="G",""&amp;$F1013="H"),IF($AY1013="YES","",IF($AB1013&lt;&gt;0,"",IF(COUNTIFS('AR SALES'!$L$2:$L$2501,$L1013,'AR SALES'!$AD$2:$AD$2501,IF(""&amp;$F1013="4","OFF","ON"),'AR SALES'!$AF$2:$AF$2501,"Y")&gt;0,"","NO EXEMPTION"))),"")</f>
        <v/>
      </c>
    </row>
    <row r="1014" spans="46:54" x14ac:dyDescent="0.25">
      <c r="AT1014" s="2" t="str">
        <f>IF($L1014="","",IFERROR(INDEX('AR SALES'!$H$2:$H$2501,MATCH(""&amp;$L1014,'AR SALES'!$AE$2:$AE$2501,0)),""))</f>
        <v/>
      </c>
      <c r="AU1014" s="2" t="str">
        <f t="shared" si="60"/>
        <v/>
      </c>
      <c r="AV1014" s="2" t="str">
        <f t="shared" si="61"/>
        <v/>
      </c>
      <c r="AW1014" s="2" t="str">
        <f t="shared" si="62"/>
        <v/>
      </c>
      <c r="AX1014" s="2" t="str">
        <f t="shared" si="63"/>
        <v/>
      </c>
      <c r="AY1014" s="2" t="str">
        <f>IF($AV1014="","",IF(AND($Z1014=0,COUNTIF('AR SALES'!$L$2:$L$2501,$L1014)=0),"YES",""))</f>
        <v/>
      </c>
      <c r="AZ1014" s="2" t="str">
        <f>IF($AV1014="","",IF(COUNTIF(LISTS!$C$2:$C$250,$AU1014)=0,"NEW",""))</f>
        <v/>
      </c>
      <c r="BA1014" s="2" t="str">
        <f>IF(""&amp;$F1014&lt;&gt;"4","",IF($AY1014="YES","",IF(ROUND(SUMIFS($AE$2:$AE$4001,$L$2:$L$4001,$L1014,$F$2:$F$4001,"4")-SUMIFS('AR SALES'!$Y$2:$Y$2501,'AR SALES'!$L$2:$L$2501,$L1014,'AR SALES'!$AD$2:$AD$2501,"OFF"),2)=0,"","STALE")))</f>
        <v/>
      </c>
      <c r="BB1014" s="2" t="str">
        <f>IF(OR(""&amp;$F1014="2",""&amp;$F1014="4",""&amp;$F1014="G",""&amp;$F1014="H"),IF($AY1014="YES","",IF($AB1014&lt;&gt;0,"",IF(COUNTIFS('AR SALES'!$L$2:$L$2501,$L1014,'AR SALES'!$AD$2:$AD$2501,IF(""&amp;$F1014="4","OFF","ON"),'AR SALES'!$AF$2:$AF$2501,"Y")&gt;0,"","NO EXEMPTION"))),"")</f>
        <v/>
      </c>
    </row>
    <row r="1015" spans="46:54" x14ac:dyDescent="0.25">
      <c r="AT1015" s="2" t="str">
        <f>IF($L1015="","",IFERROR(INDEX('AR SALES'!$H$2:$H$2501,MATCH(""&amp;$L1015,'AR SALES'!$AE$2:$AE$2501,0)),""))</f>
        <v/>
      </c>
      <c r="AU1015" s="2" t="str">
        <f t="shared" si="60"/>
        <v/>
      </c>
      <c r="AV1015" s="2" t="str">
        <f t="shared" si="61"/>
        <v/>
      </c>
      <c r="AW1015" s="2" t="str">
        <f t="shared" si="62"/>
        <v/>
      </c>
      <c r="AX1015" s="2" t="str">
        <f t="shared" si="63"/>
        <v/>
      </c>
      <c r="AY1015" s="2" t="str">
        <f>IF($AV1015="","",IF(AND($Z1015=0,COUNTIF('AR SALES'!$L$2:$L$2501,$L1015)=0),"YES",""))</f>
        <v/>
      </c>
      <c r="AZ1015" s="2" t="str">
        <f>IF($AV1015="","",IF(COUNTIF(LISTS!$C$2:$C$250,$AU1015)=0,"NEW",""))</f>
        <v/>
      </c>
      <c r="BA1015" s="2" t="str">
        <f>IF(""&amp;$F1015&lt;&gt;"4","",IF($AY1015="YES","",IF(ROUND(SUMIFS($AE$2:$AE$4001,$L$2:$L$4001,$L1015,$F$2:$F$4001,"4")-SUMIFS('AR SALES'!$Y$2:$Y$2501,'AR SALES'!$L$2:$L$2501,$L1015,'AR SALES'!$AD$2:$AD$2501,"OFF"),2)=0,"","STALE")))</f>
        <v/>
      </c>
      <c r="BB1015" s="2" t="str">
        <f>IF(OR(""&amp;$F1015="2",""&amp;$F1015="4",""&amp;$F1015="G",""&amp;$F1015="H"),IF($AY1015="YES","",IF($AB1015&lt;&gt;0,"",IF(COUNTIFS('AR SALES'!$L$2:$L$2501,$L1015,'AR SALES'!$AD$2:$AD$2501,IF(""&amp;$F1015="4","OFF","ON"),'AR SALES'!$AF$2:$AF$2501,"Y")&gt;0,"","NO EXEMPTION"))),"")</f>
        <v/>
      </c>
    </row>
    <row r="1016" spans="46:54" x14ac:dyDescent="0.25">
      <c r="AT1016" s="2" t="str">
        <f>IF($L1016="","",IFERROR(INDEX('AR SALES'!$H$2:$H$2501,MATCH(""&amp;$L1016,'AR SALES'!$AE$2:$AE$2501,0)),""))</f>
        <v/>
      </c>
      <c r="AU1016" s="2" t="str">
        <f t="shared" si="60"/>
        <v/>
      </c>
      <c r="AV1016" s="2" t="str">
        <f t="shared" si="61"/>
        <v/>
      </c>
      <c r="AW1016" s="2" t="str">
        <f t="shared" si="62"/>
        <v/>
      </c>
      <c r="AX1016" s="2" t="str">
        <f t="shared" si="63"/>
        <v/>
      </c>
      <c r="AY1016" s="2" t="str">
        <f>IF($AV1016="","",IF(AND($Z1016=0,COUNTIF('AR SALES'!$L$2:$L$2501,$L1016)=0),"YES",""))</f>
        <v/>
      </c>
      <c r="AZ1016" s="2" t="str">
        <f>IF($AV1016="","",IF(COUNTIF(LISTS!$C$2:$C$250,$AU1016)=0,"NEW",""))</f>
        <v/>
      </c>
      <c r="BA1016" s="2" t="str">
        <f>IF(""&amp;$F1016&lt;&gt;"4","",IF($AY1016="YES","",IF(ROUND(SUMIFS($AE$2:$AE$4001,$L$2:$L$4001,$L1016,$F$2:$F$4001,"4")-SUMIFS('AR SALES'!$Y$2:$Y$2501,'AR SALES'!$L$2:$L$2501,$L1016,'AR SALES'!$AD$2:$AD$2501,"OFF"),2)=0,"","STALE")))</f>
        <v/>
      </c>
      <c r="BB1016" s="2" t="str">
        <f>IF(OR(""&amp;$F1016="2",""&amp;$F1016="4",""&amp;$F1016="G",""&amp;$F1016="H"),IF($AY1016="YES","",IF($AB1016&lt;&gt;0,"",IF(COUNTIFS('AR SALES'!$L$2:$L$2501,$L1016,'AR SALES'!$AD$2:$AD$2501,IF(""&amp;$F1016="4","OFF","ON"),'AR SALES'!$AF$2:$AF$2501,"Y")&gt;0,"","NO EXEMPTION"))),"")</f>
        <v/>
      </c>
    </row>
    <row r="1017" spans="46:54" x14ac:dyDescent="0.25">
      <c r="AT1017" s="2" t="str">
        <f>IF($L1017="","",IFERROR(INDEX('AR SALES'!$H$2:$H$2501,MATCH(""&amp;$L1017,'AR SALES'!$AE$2:$AE$2501,0)),""))</f>
        <v/>
      </c>
      <c r="AU1017" s="2" t="str">
        <f t="shared" si="60"/>
        <v/>
      </c>
      <c r="AV1017" s="2" t="str">
        <f t="shared" si="61"/>
        <v/>
      </c>
      <c r="AW1017" s="2" t="str">
        <f t="shared" si="62"/>
        <v/>
      </c>
      <c r="AX1017" s="2" t="str">
        <f t="shared" si="63"/>
        <v/>
      </c>
      <c r="AY1017" s="2" t="str">
        <f>IF($AV1017="","",IF(AND($Z1017=0,COUNTIF('AR SALES'!$L$2:$L$2501,$L1017)=0),"YES",""))</f>
        <v/>
      </c>
      <c r="AZ1017" s="2" t="str">
        <f>IF($AV1017="","",IF(COUNTIF(LISTS!$C$2:$C$250,$AU1017)=0,"NEW",""))</f>
        <v/>
      </c>
      <c r="BA1017" s="2" t="str">
        <f>IF(""&amp;$F1017&lt;&gt;"4","",IF($AY1017="YES","",IF(ROUND(SUMIFS($AE$2:$AE$4001,$L$2:$L$4001,$L1017,$F$2:$F$4001,"4")-SUMIFS('AR SALES'!$Y$2:$Y$2501,'AR SALES'!$L$2:$L$2501,$L1017,'AR SALES'!$AD$2:$AD$2501,"OFF"),2)=0,"","STALE")))</f>
        <v/>
      </c>
      <c r="BB1017" s="2" t="str">
        <f>IF(OR(""&amp;$F1017="2",""&amp;$F1017="4",""&amp;$F1017="G",""&amp;$F1017="H"),IF($AY1017="YES","",IF($AB1017&lt;&gt;0,"",IF(COUNTIFS('AR SALES'!$L$2:$L$2501,$L1017,'AR SALES'!$AD$2:$AD$2501,IF(""&amp;$F1017="4","OFF","ON"),'AR SALES'!$AF$2:$AF$2501,"Y")&gt;0,"","NO EXEMPTION"))),"")</f>
        <v/>
      </c>
    </row>
    <row r="1018" spans="46:54" x14ac:dyDescent="0.25">
      <c r="AT1018" s="2" t="str">
        <f>IF($L1018="","",IFERROR(INDEX('AR SALES'!$H$2:$H$2501,MATCH(""&amp;$L1018,'AR SALES'!$AE$2:$AE$2501,0)),""))</f>
        <v/>
      </c>
      <c r="AU1018" s="2" t="str">
        <f t="shared" si="60"/>
        <v/>
      </c>
      <c r="AV1018" s="2" t="str">
        <f t="shared" si="61"/>
        <v/>
      </c>
      <c r="AW1018" s="2" t="str">
        <f t="shared" si="62"/>
        <v/>
      </c>
      <c r="AX1018" s="2" t="str">
        <f t="shared" si="63"/>
        <v/>
      </c>
      <c r="AY1018" s="2" t="str">
        <f>IF($AV1018="","",IF(AND($Z1018=0,COUNTIF('AR SALES'!$L$2:$L$2501,$L1018)=0),"YES",""))</f>
        <v/>
      </c>
      <c r="AZ1018" s="2" t="str">
        <f>IF($AV1018="","",IF(COUNTIF(LISTS!$C$2:$C$250,$AU1018)=0,"NEW",""))</f>
        <v/>
      </c>
      <c r="BA1018" s="2" t="str">
        <f>IF(""&amp;$F1018&lt;&gt;"4","",IF($AY1018="YES","",IF(ROUND(SUMIFS($AE$2:$AE$4001,$L$2:$L$4001,$L1018,$F$2:$F$4001,"4")-SUMIFS('AR SALES'!$Y$2:$Y$2501,'AR SALES'!$L$2:$L$2501,$L1018,'AR SALES'!$AD$2:$AD$2501,"OFF"),2)=0,"","STALE")))</f>
        <v/>
      </c>
      <c r="BB1018" s="2" t="str">
        <f>IF(OR(""&amp;$F1018="2",""&amp;$F1018="4",""&amp;$F1018="G",""&amp;$F1018="H"),IF($AY1018="YES","",IF($AB1018&lt;&gt;0,"",IF(COUNTIFS('AR SALES'!$L$2:$L$2501,$L1018,'AR SALES'!$AD$2:$AD$2501,IF(""&amp;$F1018="4","OFF","ON"),'AR SALES'!$AF$2:$AF$2501,"Y")&gt;0,"","NO EXEMPTION"))),"")</f>
        <v/>
      </c>
    </row>
    <row r="1019" spans="46:54" x14ac:dyDescent="0.25">
      <c r="AT1019" s="2" t="str">
        <f>IF($L1019="","",IFERROR(INDEX('AR SALES'!$H$2:$H$2501,MATCH(""&amp;$L1019,'AR SALES'!$AE$2:$AE$2501,0)),""))</f>
        <v/>
      </c>
      <c r="AU1019" s="2" t="str">
        <f t="shared" si="60"/>
        <v/>
      </c>
      <c r="AV1019" s="2" t="str">
        <f t="shared" si="61"/>
        <v/>
      </c>
      <c r="AW1019" s="2" t="str">
        <f t="shared" si="62"/>
        <v/>
      </c>
      <c r="AX1019" s="2" t="str">
        <f t="shared" si="63"/>
        <v/>
      </c>
      <c r="AY1019" s="2" t="str">
        <f>IF($AV1019="","",IF(AND($Z1019=0,COUNTIF('AR SALES'!$L$2:$L$2501,$L1019)=0),"YES",""))</f>
        <v/>
      </c>
      <c r="AZ1019" s="2" t="str">
        <f>IF($AV1019="","",IF(COUNTIF(LISTS!$C$2:$C$250,$AU1019)=0,"NEW",""))</f>
        <v/>
      </c>
      <c r="BA1019" s="2" t="str">
        <f>IF(""&amp;$F1019&lt;&gt;"4","",IF($AY1019="YES","",IF(ROUND(SUMIFS($AE$2:$AE$4001,$L$2:$L$4001,$L1019,$F$2:$F$4001,"4")-SUMIFS('AR SALES'!$Y$2:$Y$2501,'AR SALES'!$L$2:$L$2501,$L1019,'AR SALES'!$AD$2:$AD$2501,"OFF"),2)=0,"","STALE")))</f>
        <v/>
      </c>
      <c r="BB1019" s="2" t="str">
        <f>IF(OR(""&amp;$F1019="2",""&amp;$F1019="4",""&amp;$F1019="G",""&amp;$F1019="H"),IF($AY1019="YES","",IF($AB1019&lt;&gt;0,"",IF(COUNTIFS('AR SALES'!$L$2:$L$2501,$L1019,'AR SALES'!$AD$2:$AD$2501,IF(""&amp;$F1019="4","OFF","ON"),'AR SALES'!$AF$2:$AF$2501,"Y")&gt;0,"","NO EXEMPTION"))),"")</f>
        <v/>
      </c>
    </row>
    <row r="1020" spans="46:54" x14ac:dyDescent="0.25">
      <c r="AT1020" s="2" t="str">
        <f>IF($L1020="","",IFERROR(INDEX('AR SALES'!$H$2:$H$2501,MATCH(""&amp;$L1020,'AR SALES'!$AE$2:$AE$2501,0)),""))</f>
        <v/>
      </c>
      <c r="AU1020" s="2" t="str">
        <f t="shared" si="60"/>
        <v/>
      </c>
      <c r="AV1020" s="2" t="str">
        <f t="shared" si="61"/>
        <v/>
      </c>
      <c r="AW1020" s="2" t="str">
        <f t="shared" si="62"/>
        <v/>
      </c>
      <c r="AX1020" s="2" t="str">
        <f t="shared" si="63"/>
        <v/>
      </c>
      <c r="AY1020" s="2" t="str">
        <f>IF($AV1020="","",IF(AND($Z1020=0,COUNTIF('AR SALES'!$L$2:$L$2501,$L1020)=0),"YES",""))</f>
        <v/>
      </c>
      <c r="AZ1020" s="2" t="str">
        <f>IF($AV1020="","",IF(COUNTIF(LISTS!$C$2:$C$250,$AU1020)=0,"NEW",""))</f>
        <v/>
      </c>
      <c r="BA1020" s="2" t="str">
        <f>IF(""&amp;$F1020&lt;&gt;"4","",IF($AY1020="YES","",IF(ROUND(SUMIFS($AE$2:$AE$4001,$L$2:$L$4001,$L1020,$F$2:$F$4001,"4")-SUMIFS('AR SALES'!$Y$2:$Y$2501,'AR SALES'!$L$2:$L$2501,$L1020,'AR SALES'!$AD$2:$AD$2501,"OFF"),2)=0,"","STALE")))</f>
        <v/>
      </c>
      <c r="BB1020" s="2" t="str">
        <f>IF(OR(""&amp;$F1020="2",""&amp;$F1020="4",""&amp;$F1020="G",""&amp;$F1020="H"),IF($AY1020="YES","",IF($AB1020&lt;&gt;0,"",IF(COUNTIFS('AR SALES'!$L$2:$L$2501,$L1020,'AR SALES'!$AD$2:$AD$2501,IF(""&amp;$F1020="4","OFF","ON"),'AR SALES'!$AF$2:$AF$2501,"Y")&gt;0,"","NO EXEMPTION"))),"")</f>
        <v/>
      </c>
    </row>
    <row r="1021" spans="46:54" x14ac:dyDescent="0.25">
      <c r="AT1021" s="2" t="str">
        <f>IF($L1021="","",IFERROR(INDEX('AR SALES'!$H$2:$H$2501,MATCH(""&amp;$L1021,'AR SALES'!$AE$2:$AE$2501,0)),""))</f>
        <v/>
      </c>
      <c r="AU1021" s="2" t="str">
        <f t="shared" si="60"/>
        <v/>
      </c>
      <c r="AV1021" s="2" t="str">
        <f t="shared" si="61"/>
        <v/>
      </c>
      <c r="AW1021" s="2" t="str">
        <f t="shared" si="62"/>
        <v/>
      </c>
      <c r="AX1021" s="2" t="str">
        <f t="shared" si="63"/>
        <v/>
      </c>
      <c r="AY1021" s="2" t="str">
        <f>IF($AV1021="","",IF(AND($Z1021=0,COUNTIF('AR SALES'!$L$2:$L$2501,$L1021)=0),"YES",""))</f>
        <v/>
      </c>
      <c r="AZ1021" s="2" t="str">
        <f>IF($AV1021="","",IF(COUNTIF(LISTS!$C$2:$C$250,$AU1021)=0,"NEW",""))</f>
        <v/>
      </c>
      <c r="BA1021" s="2" t="str">
        <f>IF(""&amp;$F1021&lt;&gt;"4","",IF($AY1021="YES","",IF(ROUND(SUMIFS($AE$2:$AE$4001,$L$2:$L$4001,$L1021,$F$2:$F$4001,"4")-SUMIFS('AR SALES'!$Y$2:$Y$2501,'AR SALES'!$L$2:$L$2501,$L1021,'AR SALES'!$AD$2:$AD$2501,"OFF"),2)=0,"","STALE")))</f>
        <v/>
      </c>
      <c r="BB1021" s="2" t="str">
        <f>IF(OR(""&amp;$F1021="2",""&amp;$F1021="4",""&amp;$F1021="G",""&amp;$F1021="H"),IF($AY1021="YES","",IF($AB1021&lt;&gt;0,"",IF(COUNTIFS('AR SALES'!$L$2:$L$2501,$L1021,'AR SALES'!$AD$2:$AD$2501,IF(""&amp;$F1021="4","OFF","ON"),'AR SALES'!$AF$2:$AF$2501,"Y")&gt;0,"","NO EXEMPTION"))),"")</f>
        <v/>
      </c>
    </row>
    <row r="1022" spans="46:54" x14ac:dyDescent="0.25">
      <c r="AT1022" s="2" t="str">
        <f>IF($L1022="","",IFERROR(INDEX('AR SALES'!$H$2:$H$2501,MATCH(""&amp;$L1022,'AR SALES'!$AE$2:$AE$2501,0)),""))</f>
        <v/>
      </c>
      <c r="AU1022" s="2" t="str">
        <f t="shared" si="60"/>
        <v/>
      </c>
      <c r="AV1022" s="2" t="str">
        <f t="shared" si="61"/>
        <v/>
      </c>
      <c r="AW1022" s="2" t="str">
        <f t="shared" si="62"/>
        <v/>
      </c>
      <c r="AX1022" s="2" t="str">
        <f t="shared" si="63"/>
        <v/>
      </c>
      <c r="AY1022" s="2" t="str">
        <f>IF($AV1022="","",IF(AND($Z1022=0,COUNTIF('AR SALES'!$L$2:$L$2501,$L1022)=0),"YES",""))</f>
        <v/>
      </c>
      <c r="AZ1022" s="2" t="str">
        <f>IF($AV1022="","",IF(COUNTIF(LISTS!$C$2:$C$250,$AU1022)=0,"NEW",""))</f>
        <v/>
      </c>
      <c r="BA1022" s="2" t="str">
        <f>IF(""&amp;$F1022&lt;&gt;"4","",IF($AY1022="YES","",IF(ROUND(SUMIFS($AE$2:$AE$4001,$L$2:$L$4001,$L1022,$F$2:$F$4001,"4")-SUMIFS('AR SALES'!$Y$2:$Y$2501,'AR SALES'!$L$2:$L$2501,$L1022,'AR SALES'!$AD$2:$AD$2501,"OFF"),2)=0,"","STALE")))</f>
        <v/>
      </c>
      <c r="BB1022" s="2" t="str">
        <f>IF(OR(""&amp;$F1022="2",""&amp;$F1022="4",""&amp;$F1022="G",""&amp;$F1022="H"),IF($AY1022="YES","",IF($AB1022&lt;&gt;0,"",IF(COUNTIFS('AR SALES'!$L$2:$L$2501,$L1022,'AR SALES'!$AD$2:$AD$2501,IF(""&amp;$F1022="4","OFF","ON"),'AR SALES'!$AF$2:$AF$2501,"Y")&gt;0,"","NO EXEMPTION"))),"")</f>
        <v/>
      </c>
    </row>
    <row r="1023" spans="46:54" x14ac:dyDescent="0.25">
      <c r="AT1023" s="2" t="str">
        <f>IF($L1023="","",IFERROR(INDEX('AR SALES'!$H$2:$H$2501,MATCH(""&amp;$L1023,'AR SALES'!$AE$2:$AE$2501,0)),""))</f>
        <v/>
      </c>
      <c r="AU1023" s="2" t="str">
        <f t="shared" si="60"/>
        <v/>
      </c>
      <c r="AV1023" s="2" t="str">
        <f t="shared" si="61"/>
        <v/>
      </c>
      <c r="AW1023" s="2" t="str">
        <f t="shared" si="62"/>
        <v/>
      </c>
      <c r="AX1023" s="2" t="str">
        <f t="shared" si="63"/>
        <v/>
      </c>
      <c r="AY1023" s="2" t="str">
        <f>IF($AV1023="","",IF(AND($Z1023=0,COUNTIF('AR SALES'!$L$2:$L$2501,$L1023)=0),"YES",""))</f>
        <v/>
      </c>
      <c r="AZ1023" s="2" t="str">
        <f>IF($AV1023="","",IF(COUNTIF(LISTS!$C$2:$C$250,$AU1023)=0,"NEW",""))</f>
        <v/>
      </c>
      <c r="BA1023" s="2" t="str">
        <f>IF(""&amp;$F1023&lt;&gt;"4","",IF($AY1023="YES","",IF(ROUND(SUMIFS($AE$2:$AE$4001,$L$2:$L$4001,$L1023,$F$2:$F$4001,"4")-SUMIFS('AR SALES'!$Y$2:$Y$2501,'AR SALES'!$L$2:$L$2501,$L1023,'AR SALES'!$AD$2:$AD$2501,"OFF"),2)=0,"","STALE")))</f>
        <v/>
      </c>
      <c r="BB1023" s="2" t="str">
        <f>IF(OR(""&amp;$F1023="2",""&amp;$F1023="4",""&amp;$F1023="G",""&amp;$F1023="H"),IF($AY1023="YES","",IF($AB1023&lt;&gt;0,"",IF(COUNTIFS('AR SALES'!$L$2:$L$2501,$L1023,'AR SALES'!$AD$2:$AD$2501,IF(""&amp;$F1023="4","OFF","ON"),'AR SALES'!$AF$2:$AF$2501,"Y")&gt;0,"","NO EXEMPTION"))),"")</f>
        <v/>
      </c>
    </row>
    <row r="1024" spans="46:54" x14ac:dyDescent="0.25">
      <c r="AT1024" s="2" t="str">
        <f>IF($L1024="","",IFERROR(INDEX('AR SALES'!$H$2:$H$2501,MATCH(""&amp;$L1024,'AR SALES'!$AE$2:$AE$2501,0)),""))</f>
        <v/>
      </c>
      <c r="AU1024" s="2" t="str">
        <f t="shared" si="60"/>
        <v/>
      </c>
      <c r="AV1024" s="2" t="str">
        <f t="shared" si="61"/>
        <v/>
      </c>
      <c r="AW1024" s="2" t="str">
        <f t="shared" si="62"/>
        <v/>
      </c>
      <c r="AX1024" s="2" t="str">
        <f t="shared" si="63"/>
        <v/>
      </c>
      <c r="AY1024" s="2" t="str">
        <f>IF($AV1024="","",IF(AND($Z1024=0,COUNTIF('AR SALES'!$L$2:$L$2501,$L1024)=0),"YES",""))</f>
        <v/>
      </c>
      <c r="AZ1024" s="2" t="str">
        <f>IF($AV1024="","",IF(COUNTIF(LISTS!$C$2:$C$250,$AU1024)=0,"NEW",""))</f>
        <v/>
      </c>
      <c r="BA1024" s="2" t="str">
        <f>IF(""&amp;$F1024&lt;&gt;"4","",IF($AY1024="YES","",IF(ROUND(SUMIFS($AE$2:$AE$4001,$L$2:$L$4001,$L1024,$F$2:$F$4001,"4")-SUMIFS('AR SALES'!$Y$2:$Y$2501,'AR SALES'!$L$2:$L$2501,$L1024,'AR SALES'!$AD$2:$AD$2501,"OFF"),2)=0,"","STALE")))</f>
        <v/>
      </c>
      <c r="BB1024" s="2" t="str">
        <f>IF(OR(""&amp;$F1024="2",""&amp;$F1024="4",""&amp;$F1024="G",""&amp;$F1024="H"),IF($AY1024="YES","",IF($AB1024&lt;&gt;0,"",IF(COUNTIFS('AR SALES'!$L$2:$L$2501,$L1024,'AR SALES'!$AD$2:$AD$2501,IF(""&amp;$F1024="4","OFF","ON"),'AR SALES'!$AF$2:$AF$2501,"Y")&gt;0,"","NO EXEMPTION"))),"")</f>
        <v/>
      </c>
    </row>
    <row r="1025" spans="46:54" x14ac:dyDescent="0.25">
      <c r="AT1025" s="2" t="str">
        <f>IF($L1025="","",IFERROR(INDEX('AR SALES'!$H$2:$H$2501,MATCH(""&amp;$L1025,'AR SALES'!$AE$2:$AE$2501,0)),""))</f>
        <v/>
      </c>
      <c r="AU1025" s="2" t="str">
        <f t="shared" si="60"/>
        <v/>
      </c>
      <c r="AV1025" s="2" t="str">
        <f t="shared" si="61"/>
        <v/>
      </c>
      <c r="AW1025" s="2" t="str">
        <f t="shared" si="62"/>
        <v/>
      </c>
      <c r="AX1025" s="2" t="str">
        <f t="shared" si="63"/>
        <v/>
      </c>
      <c r="AY1025" s="2" t="str">
        <f>IF($AV1025="","",IF(AND($Z1025=0,COUNTIF('AR SALES'!$L$2:$L$2501,$L1025)=0),"YES",""))</f>
        <v/>
      </c>
      <c r="AZ1025" s="2" t="str">
        <f>IF($AV1025="","",IF(COUNTIF(LISTS!$C$2:$C$250,$AU1025)=0,"NEW",""))</f>
        <v/>
      </c>
      <c r="BA1025" s="2" t="str">
        <f>IF(""&amp;$F1025&lt;&gt;"4","",IF($AY1025="YES","",IF(ROUND(SUMIFS($AE$2:$AE$4001,$L$2:$L$4001,$L1025,$F$2:$F$4001,"4")-SUMIFS('AR SALES'!$Y$2:$Y$2501,'AR SALES'!$L$2:$L$2501,$L1025,'AR SALES'!$AD$2:$AD$2501,"OFF"),2)=0,"","STALE")))</f>
        <v/>
      </c>
      <c r="BB1025" s="2" t="str">
        <f>IF(OR(""&amp;$F1025="2",""&amp;$F1025="4",""&amp;$F1025="G",""&amp;$F1025="H"),IF($AY1025="YES","",IF($AB1025&lt;&gt;0,"",IF(COUNTIFS('AR SALES'!$L$2:$L$2501,$L1025,'AR SALES'!$AD$2:$AD$2501,IF(""&amp;$F1025="4","OFF","ON"),'AR SALES'!$AF$2:$AF$2501,"Y")&gt;0,"","NO EXEMPTION"))),"")</f>
        <v/>
      </c>
    </row>
    <row r="1026" spans="46:54" x14ac:dyDescent="0.25">
      <c r="AT1026" s="2" t="str">
        <f>IF($L1026="","",IFERROR(INDEX('AR SALES'!$H$2:$H$2501,MATCH(""&amp;$L1026,'AR SALES'!$AE$2:$AE$2501,0)),""))</f>
        <v/>
      </c>
      <c r="AU1026" s="2" t="str">
        <f t="shared" ref="AU1026:AU1089" si="64">IF($L1026="","",IF($A1026&lt;&gt;"GA","",IF($E1026="FULTON",IF(ISNUMBER(SEARCH("COLLEGE PARK",$AT1026)),"FULTON (COLLEGE PARK)",IF(ISNUMBER(SEARCH("ATLANTA CITY",$AT1026)),"FULTON (ATL LIMITS)","FULTON")),IF($E1026="DEKALB",IF(ISNUMBER(SEARCH("ATLANTA CITY",$AT1026)),"DEKALB (ATL LIMITS)","DEKALB"),$E1026))))</f>
        <v/>
      </c>
      <c r="AV1026" s="2" t="str">
        <f t="shared" ref="AV1026:AV1089" si="65">IF($L1026="","",IF(""&amp;$F1026="2","DIESEL",IF(OR(""&amp;$F1026="G",""&amp;$F1026="H"),"GAS","")))</f>
        <v/>
      </c>
      <c r="AW1026" s="2" t="str">
        <f t="shared" ref="AW1026:AW1089" si="66">IF($AV1026="","",$R1026)</f>
        <v/>
      </c>
      <c r="AX1026" s="2" t="str">
        <f t="shared" ref="AX1026:AX1089" si="67">IF($AV1026="","",IF($AB1026=0,$R1026,0))</f>
        <v/>
      </c>
      <c r="AY1026" s="2" t="str">
        <f>IF($AV1026="","",IF(AND($Z1026=0,COUNTIF('AR SALES'!$L$2:$L$2501,$L1026)=0),"YES",""))</f>
        <v/>
      </c>
      <c r="AZ1026" s="2" t="str">
        <f>IF($AV1026="","",IF(COUNTIF(LISTS!$C$2:$C$250,$AU1026)=0,"NEW",""))</f>
        <v/>
      </c>
      <c r="BA1026" s="2" t="str">
        <f>IF(""&amp;$F1026&lt;&gt;"4","",IF($AY1026="YES","",IF(ROUND(SUMIFS($AE$2:$AE$4001,$L$2:$L$4001,$L1026,$F$2:$F$4001,"4")-SUMIFS('AR SALES'!$Y$2:$Y$2501,'AR SALES'!$L$2:$L$2501,$L1026,'AR SALES'!$AD$2:$AD$2501,"OFF"),2)=0,"","STALE")))</f>
        <v/>
      </c>
      <c r="BB1026" s="2" t="str">
        <f>IF(OR(""&amp;$F1026="2",""&amp;$F1026="4",""&amp;$F1026="G",""&amp;$F1026="H"),IF($AY1026="YES","",IF($AB1026&lt;&gt;0,"",IF(COUNTIFS('AR SALES'!$L$2:$L$2501,$L1026,'AR SALES'!$AD$2:$AD$2501,IF(""&amp;$F1026="4","OFF","ON"),'AR SALES'!$AF$2:$AF$2501,"Y")&gt;0,"","NO EXEMPTION"))),"")</f>
        <v/>
      </c>
    </row>
    <row r="1027" spans="46:54" x14ac:dyDescent="0.25">
      <c r="AT1027" s="2" t="str">
        <f>IF($L1027="","",IFERROR(INDEX('AR SALES'!$H$2:$H$2501,MATCH(""&amp;$L1027,'AR SALES'!$AE$2:$AE$2501,0)),""))</f>
        <v/>
      </c>
      <c r="AU1027" s="2" t="str">
        <f t="shared" si="64"/>
        <v/>
      </c>
      <c r="AV1027" s="2" t="str">
        <f t="shared" si="65"/>
        <v/>
      </c>
      <c r="AW1027" s="2" t="str">
        <f t="shared" si="66"/>
        <v/>
      </c>
      <c r="AX1027" s="2" t="str">
        <f t="shared" si="67"/>
        <v/>
      </c>
      <c r="AY1027" s="2" t="str">
        <f>IF($AV1027="","",IF(AND($Z1027=0,COUNTIF('AR SALES'!$L$2:$L$2501,$L1027)=0),"YES",""))</f>
        <v/>
      </c>
      <c r="AZ1027" s="2" t="str">
        <f>IF($AV1027="","",IF(COUNTIF(LISTS!$C$2:$C$250,$AU1027)=0,"NEW",""))</f>
        <v/>
      </c>
      <c r="BA1027" s="2" t="str">
        <f>IF(""&amp;$F1027&lt;&gt;"4","",IF($AY1027="YES","",IF(ROUND(SUMIFS($AE$2:$AE$4001,$L$2:$L$4001,$L1027,$F$2:$F$4001,"4")-SUMIFS('AR SALES'!$Y$2:$Y$2501,'AR SALES'!$L$2:$L$2501,$L1027,'AR SALES'!$AD$2:$AD$2501,"OFF"),2)=0,"","STALE")))</f>
        <v/>
      </c>
      <c r="BB1027" s="2" t="str">
        <f>IF(OR(""&amp;$F1027="2",""&amp;$F1027="4",""&amp;$F1027="G",""&amp;$F1027="H"),IF($AY1027="YES","",IF($AB1027&lt;&gt;0,"",IF(COUNTIFS('AR SALES'!$L$2:$L$2501,$L1027,'AR SALES'!$AD$2:$AD$2501,IF(""&amp;$F1027="4","OFF","ON"),'AR SALES'!$AF$2:$AF$2501,"Y")&gt;0,"","NO EXEMPTION"))),"")</f>
        <v/>
      </c>
    </row>
    <row r="1028" spans="46:54" x14ac:dyDescent="0.25">
      <c r="AT1028" s="2" t="str">
        <f>IF($L1028="","",IFERROR(INDEX('AR SALES'!$H$2:$H$2501,MATCH(""&amp;$L1028,'AR SALES'!$AE$2:$AE$2501,0)),""))</f>
        <v/>
      </c>
      <c r="AU1028" s="2" t="str">
        <f t="shared" si="64"/>
        <v/>
      </c>
      <c r="AV1028" s="2" t="str">
        <f t="shared" si="65"/>
        <v/>
      </c>
      <c r="AW1028" s="2" t="str">
        <f t="shared" si="66"/>
        <v/>
      </c>
      <c r="AX1028" s="2" t="str">
        <f t="shared" si="67"/>
        <v/>
      </c>
      <c r="AY1028" s="2" t="str">
        <f>IF($AV1028="","",IF(AND($Z1028=0,COUNTIF('AR SALES'!$L$2:$L$2501,$L1028)=0),"YES",""))</f>
        <v/>
      </c>
      <c r="AZ1028" s="2" t="str">
        <f>IF($AV1028="","",IF(COUNTIF(LISTS!$C$2:$C$250,$AU1028)=0,"NEW",""))</f>
        <v/>
      </c>
      <c r="BA1028" s="2" t="str">
        <f>IF(""&amp;$F1028&lt;&gt;"4","",IF($AY1028="YES","",IF(ROUND(SUMIFS($AE$2:$AE$4001,$L$2:$L$4001,$L1028,$F$2:$F$4001,"4")-SUMIFS('AR SALES'!$Y$2:$Y$2501,'AR SALES'!$L$2:$L$2501,$L1028,'AR SALES'!$AD$2:$AD$2501,"OFF"),2)=0,"","STALE")))</f>
        <v/>
      </c>
      <c r="BB1028" s="2" t="str">
        <f>IF(OR(""&amp;$F1028="2",""&amp;$F1028="4",""&amp;$F1028="G",""&amp;$F1028="H"),IF($AY1028="YES","",IF($AB1028&lt;&gt;0,"",IF(COUNTIFS('AR SALES'!$L$2:$L$2501,$L1028,'AR SALES'!$AD$2:$AD$2501,IF(""&amp;$F1028="4","OFF","ON"),'AR SALES'!$AF$2:$AF$2501,"Y")&gt;0,"","NO EXEMPTION"))),"")</f>
        <v/>
      </c>
    </row>
    <row r="1029" spans="46:54" x14ac:dyDescent="0.25">
      <c r="AT1029" s="2" t="str">
        <f>IF($L1029="","",IFERROR(INDEX('AR SALES'!$H$2:$H$2501,MATCH(""&amp;$L1029,'AR SALES'!$AE$2:$AE$2501,0)),""))</f>
        <v/>
      </c>
      <c r="AU1029" s="2" t="str">
        <f t="shared" si="64"/>
        <v/>
      </c>
      <c r="AV1029" s="2" t="str">
        <f t="shared" si="65"/>
        <v/>
      </c>
      <c r="AW1029" s="2" t="str">
        <f t="shared" si="66"/>
        <v/>
      </c>
      <c r="AX1029" s="2" t="str">
        <f t="shared" si="67"/>
        <v/>
      </c>
      <c r="AY1029" s="2" t="str">
        <f>IF($AV1029="","",IF(AND($Z1029=0,COUNTIF('AR SALES'!$L$2:$L$2501,$L1029)=0),"YES",""))</f>
        <v/>
      </c>
      <c r="AZ1029" s="2" t="str">
        <f>IF($AV1029="","",IF(COUNTIF(LISTS!$C$2:$C$250,$AU1029)=0,"NEW",""))</f>
        <v/>
      </c>
      <c r="BA1029" s="2" t="str">
        <f>IF(""&amp;$F1029&lt;&gt;"4","",IF($AY1029="YES","",IF(ROUND(SUMIFS($AE$2:$AE$4001,$L$2:$L$4001,$L1029,$F$2:$F$4001,"4")-SUMIFS('AR SALES'!$Y$2:$Y$2501,'AR SALES'!$L$2:$L$2501,$L1029,'AR SALES'!$AD$2:$AD$2501,"OFF"),2)=0,"","STALE")))</f>
        <v/>
      </c>
      <c r="BB1029" s="2" t="str">
        <f>IF(OR(""&amp;$F1029="2",""&amp;$F1029="4",""&amp;$F1029="G",""&amp;$F1029="H"),IF($AY1029="YES","",IF($AB1029&lt;&gt;0,"",IF(COUNTIFS('AR SALES'!$L$2:$L$2501,$L1029,'AR SALES'!$AD$2:$AD$2501,IF(""&amp;$F1029="4","OFF","ON"),'AR SALES'!$AF$2:$AF$2501,"Y")&gt;0,"","NO EXEMPTION"))),"")</f>
        <v/>
      </c>
    </row>
    <row r="1030" spans="46:54" x14ac:dyDescent="0.25">
      <c r="AT1030" s="2" t="str">
        <f>IF($L1030="","",IFERROR(INDEX('AR SALES'!$H$2:$H$2501,MATCH(""&amp;$L1030,'AR SALES'!$AE$2:$AE$2501,0)),""))</f>
        <v/>
      </c>
      <c r="AU1030" s="2" t="str">
        <f t="shared" si="64"/>
        <v/>
      </c>
      <c r="AV1030" s="2" t="str">
        <f t="shared" si="65"/>
        <v/>
      </c>
      <c r="AW1030" s="2" t="str">
        <f t="shared" si="66"/>
        <v/>
      </c>
      <c r="AX1030" s="2" t="str">
        <f t="shared" si="67"/>
        <v/>
      </c>
      <c r="AY1030" s="2" t="str">
        <f>IF($AV1030="","",IF(AND($Z1030=0,COUNTIF('AR SALES'!$L$2:$L$2501,$L1030)=0),"YES",""))</f>
        <v/>
      </c>
      <c r="AZ1030" s="2" t="str">
        <f>IF($AV1030="","",IF(COUNTIF(LISTS!$C$2:$C$250,$AU1030)=0,"NEW",""))</f>
        <v/>
      </c>
      <c r="BA1030" s="2" t="str">
        <f>IF(""&amp;$F1030&lt;&gt;"4","",IF($AY1030="YES","",IF(ROUND(SUMIFS($AE$2:$AE$4001,$L$2:$L$4001,$L1030,$F$2:$F$4001,"4")-SUMIFS('AR SALES'!$Y$2:$Y$2501,'AR SALES'!$L$2:$L$2501,$L1030,'AR SALES'!$AD$2:$AD$2501,"OFF"),2)=0,"","STALE")))</f>
        <v/>
      </c>
      <c r="BB1030" s="2" t="str">
        <f>IF(OR(""&amp;$F1030="2",""&amp;$F1030="4",""&amp;$F1030="G",""&amp;$F1030="H"),IF($AY1030="YES","",IF($AB1030&lt;&gt;0,"",IF(COUNTIFS('AR SALES'!$L$2:$L$2501,$L1030,'AR SALES'!$AD$2:$AD$2501,IF(""&amp;$F1030="4","OFF","ON"),'AR SALES'!$AF$2:$AF$2501,"Y")&gt;0,"","NO EXEMPTION"))),"")</f>
        <v/>
      </c>
    </row>
    <row r="1031" spans="46:54" x14ac:dyDescent="0.25">
      <c r="AT1031" s="2" t="str">
        <f>IF($L1031="","",IFERROR(INDEX('AR SALES'!$H$2:$H$2501,MATCH(""&amp;$L1031,'AR SALES'!$AE$2:$AE$2501,0)),""))</f>
        <v/>
      </c>
      <c r="AU1031" s="2" t="str">
        <f t="shared" si="64"/>
        <v/>
      </c>
      <c r="AV1031" s="2" t="str">
        <f t="shared" si="65"/>
        <v/>
      </c>
      <c r="AW1031" s="2" t="str">
        <f t="shared" si="66"/>
        <v/>
      </c>
      <c r="AX1031" s="2" t="str">
        <f t="shared" si="67"/>
        <v/>
      </c>
      <c r="AY1031" s="2" t="str">
        <f>IF($AV1031="","",IF(AND($Z1031=0,COUNTIF('AR SALES'!$L$2:$L$2501,$L1031)=0),"YES",""))</f>
        <v/>
      </c>
      <c r="AZ1031" s="2" t="str">
        <f>IF($AV1031="","",IF(COUNTIF(LISTS!$C$2:$C$250,$AU1031)=0,"NEW",""))</f>
        <v/>
      </c>
      <c r="BA1031" s="2" t="str">
        <f>IF(""&amp;$F1031&lt;&gt;"4","",IF($AY1031="YES","",IF(ROUND(SUMIFS($AE$2:$AE$4001,$L$2:$L$4001,$L1031,$F$2:$F$4001,"4")-SUMIFS('AR SALES'!$Y$2:$Y$2501,'AR SALES'!$L$2:$L$2501,$L1031,'AR SALES'!$AD$2:$AD$2501,"OFF"),2)=0,"","STALE")))</f>
        <v/>
      </c>
      <c r="BB1031" s="2" t="str">
        <f>IF(OR(""&amp;$F1031="2",""&amp;$F1031="4",""&amp;$F1031="G",""&amp;$F1031="H"),IF($AY1031="YES","",IF($AB1031&lt;&gt;0,"",IF(COUNTIFS('AR SALES'!$L$2:$L$2501,$L1031,'AR SALES'!$AD$2:$AD$2501,IF(""&amp;$F1031="4","OFF","ON"),'AR SALES'!$AF$2:$AF$2501,"Y")&gt;0,"","NO EXEMPTION"))),"")</f>
        <v/>
      </c>
    </row>
    <row r="1032" spans="46:54" x14ac:dyDescent="0.25">
      <c r="AT1032" s="2" t="str">
        <f>IF($L1032="","",IFERROR(INDEX('AR SALES'!$H$2:$H$2501,MATCH(""&amp;$L1032,'AR SALES'!$AE$2:$AE$2501,0)),""))</f>
        <v/>
      </c>
      <c r="AU1032" s="2" t="str">
        <f t="shared" si="64"/>
        <v/>
      </c>
      <c r="AV1032" s="2" t="str">
        <f t="shared" si="65"/>
        <v/>
      </c>
      <c r="AW1032" s="2" t="str">
        <f t="shared" si="66"/>
        <v/>
      </c>
      <c r="AX1032" s="2" t="str">
        <f t="shared" si="67"/>
        <v/>
      </c>
      <c r="AY1032" s="2" t="str">
        <f>IF($AV1032="","",IF(AND($Z1032=0,COUNTIF('AR SALES'!$L$2:$L$2501,$L1032)=0),"YES",""))</f>
        <v/>
      </c>
      <c r="AZ1032" s="2" t="str">
        <f>IF($AV1032="","",IF(COUNTIF(LISTS!$C$2:$C$250,$AU1032)=0,"NEW",""))</f>
        <v/>
      </c>
      <c r="BA1032" s="2" t="str">
        <f>IF(""&amp;$F1032&lt;&gt;"4","",IF($AY1032="YES","",IF(ROUND(SUMIFS($AE$2:$AE$4001,$L$2:$L$4001,$L1032,$F$2:$F$4001,"4")-SUMIFS('AR SALES'!$Y$2:$Y$2501,'AR SALES'!$L$2:$L$2501,$L1032,'AR SALES'!$AD$2:$AD$2501,"OFF"),2)=0,"","STALE")))</f>
        <v/>
      </c>
      <c r="BB1032" s="2" t="str">
        <f>IF(OR(""&amp;$F1032="2",""&amp;$F1032="4",""&amp;$F1032="G",""&amp;$F1032="H"),IF($AY1032="YES","",IF($AB1032&lt;&gt;0,"",IF(COUNTIFS('AR SALES'!$L$2:$L$2501,$L1032,'AR SALES'!$AD$2:$AD$2501,IF(""&amp;$F1032="4","OFF","ON"),'AR SALES'!$AF$2:$AF$2501,"Y")&gt;0,"","NO EXEMPTION"))),"")</f>
        <v/>
      </c>
    </row>
    <row r="1033" spans="46:54" x14ac:dyDescent="0.25">
      <c r="AT1033" s="2" t="str">
        <f>IF($L1033="","",IFERROR(INDEX('AR SALES'!$H$2:$H$2501,MATCH(""&amp;$L1033,'AR SALES'!$AE$2:$AE$2501,0)),""))</f>
        <v/>
      </c>
      <c r="AU1033" s="2" t="str">
        <f t="shared" si="64"/>
        <v/>
      </c>
      <c r="AV1033" s="2" t="str">
        <f t="shared" si="65"/>
        <v/>
      </c>
      <c r="AW1033" s="2" t="str">
        <f t="shared" si="66"/>
        <v/>
      </c>
      <c r="AX1033" s="2" t="str">
        <f t="shared" si="67"/>
        <v/>
      </c>
      <c r="AY1033" s="2" t="str">
        <f>IF($AV1033="","",IF(AND($Z1033=0,COUNTIF('AR SALES'!$L$2:$L$2501,$L1033)=0),"YES",""))</f>
        <v/>
      </c>
      <c r="AZ1033" s="2" t="str">
        <f>IF($AV1033="","",IF(COUNTIF(LISTS!$C$2:$C$250,$AU1033)=0,"NEW",""))</f>
        <v/>
      </c>
      <c r="BA1033" s="2" t="str">
        <f>IF(""&amp;$F1033&lt;&gt;"4","",IF($AY1033="YES","",IF(ROUND(SUMIFS($AE$2:$AE$4001,$L$2:$L$4001,$L1033,$F$2:$F$4001,"4")-SUMIFS('AR SALES'!$Y$2:$Y$2501,'AR SALES'!$L$2:$L$2501,$L1033,'AR SALES'!$AD$2:$AD$2501,"OFF"),2)=0,"","STALE")))</f>
        <v/>
      </c>
      <c r="BB1033" s="2" t="str">
        <f>IF(OR(""&amp;$F1033="2",""&amp;$F1033="4",""&amp;$F1033="G",""&amp;$F1033="H"),IF($AY1033="YES","",IF($AB1033&lt;&gt;0,"",IF(COUNTIFS('AR SALES'!$L$2:$L$2501,$L1033,'AR SALES'!$AD$2:$AD$2501,IF(""&amp;$F1033="4","OFF","ON"),'AR SALES'!$AF$2:$AF$2501,"Y")&gt;0,"","NO EXEMPTION"))),"")</f>
        <v/>
      </c>
    </row>
    <row r="1034" spans="46:54" x14ac:dyDescent="0.25">
      <c r="AT1034" s="2" t="str">
        <f>IF($L1034="","",IFERROR(INDEX('AR SALES'!$H$2:$H$2501,MATCH(""&amp;$L1034,'AR SALES'!$AE$2:$AE$2501,0)),""))</f>
        <v/>
      </c>
      <c r="AU1034" s="2" t="str">
        <f t="shared" si="64"/>
        <v/>
      </c>
      <c r="AV1034" s="2" t="str">
        <f t="shared" si="65"/>
        <v/>
      </c>
      <c r="AW1034" s="2" t="str">
        <f t="shared" si="66"/>
        <v/>
      </c>
      <c r="AX1034" s="2" t="str">
        <f t="shared" si="67"/>
        <v/>
      </c>
      <c r="AY1034" s="2" t="str">
        <f>IF($AV1034="","",IF(AND($Z1034=0,COUNTIF('AR SALES'!$L$2:$L$2501,$L1034)=0),"YES",""))</f>
        <v/>
      </c>
      <c r="AZ1034" s="2" t="str">
        <f>IF($AV1034="","",IF(COUNTIF(LISTS!$C$2:$C$250,$AU1034)=0,"NEW",""))</f>
        <v/>
      </c>
      <c r="BA1034" s="2" t="str">
        <f>IF(""&amp;$F1034&lt;&gt;"4","",IF($AY1034="YES","",IF(ROUND(SUMIFS($AE$2:$AE$4001,$L$2:$L$4001,$L1034,$F$2:$F$4001,"4")-SUMIFS('AR SALES'!$Y$2:$Y$2501,'AR SALES'!$L$2:$L$2501,$L1034,'AR SALES'!$AD$2:$AD$2501,"OFF"),2)=0,"","STALE")))</f>
        <v/>
      </c>
      <c r="BB1034" s="2" t="str">
        <f>IF(OR(""&amp;$F1034="2",""&amp;$F1034="4",""&amp;$F1034="G",""&amp;$F1034="H"),IF($AY1034="YES","",IF($AB1034&lt;&gt;0,"",IF(COUNTIFS('AR SALES'!$L$2:$L$2501,$L1034,'AR SALES'!$AD$2:$AD$2501,IF(""&amp;$F1034="4","OFF","ON"),'AR SALES'!$AF$2:$AF$2501,"Y")&gt;0,"","NO EXEMPTION"))),"")</f>
        <v/>
      </c>
    </row>
    <row r="1035" spans="46:54" x14ac:dyDescent="0.25">
      <c r="AT1035" s="2" t="str">
        <f>IF($L1035="","",IFERROR(INDEX('AR SALES'!$H$2:$H$2501,MATCH(""&amp;$L1035,'AR SALES'!$AE$2:$AE$2501,0)),""))</f>
        <v/>
      </c>
      <c r="AU1035" s="2" t="str">
        <f t="shared" si="64"/>
        <v/>
      </c>
      <c r="AV1035" s="2" t="str">
        <f t="shared" si="65"/>
        <v/>
      </c>
      <c r="AW1035" s="2" t="str">
        <f t="shared" si="66"/>
        <v/>
      </c>
      <c r="AX1035" s="2" t="str">
        <f t="shared" si="67"/>
        <v/>
      </c>
      <c r="AY1035" s="2" t="str">
        <f>IF($AV1035="","",IF(AND($Z1035=0,COUNTIF('AR SALES'!$L$2:$L$2501,$L1035)=0),"YES",""))</f>
        <v/>
      </c>
      <c r="AZ1035" s="2" t="str">
        <f>IF($AV1035="","",IF(COUNTIF(LISTS!$C$2:$C$250,$AU1035)=0,"NEW",""))</f>
        <v/>
      </c>
      <c r="BA1035" s="2" t="str">
        <f>IF(""&amp;$F1035&lt;&gt;"4","",IF($AY1035="YES","",IF(ROUND(SUMIFS($AE$2:$AE$4001,$L$2:$L$4001,$L1035,$F$2:$F$4001,"4")-SUMIFS('AR SALES'!$Y$2:$Y$2501,'AR SALES'!$L$2:$L$2501,$L1035,'AR SALES'!$AD$2:$AD$2501,"OFF"),2)=0,"","STALE")))</f>
        <v/>
      </c>
      <c r="BB1035" s="2" t="str">
        <f>IF(OR(""&amp;$F1035="2",""&amp;$F1035="4",""&amp;$F1035="G",""&amp;$F1035="H"),IF($AY1035="YES","",IF($AB1035&lt;&gt;0,"",IF(COUNTIFS('AR SALES'!$L$2:$L$2501,$L1035,'AR SALES'!$AD$2:$AD$2501,IF(""&amp;$F1035="4","OFF","ON"),'AR SALES'!$AF$2:$AF$2501,"Y")&gt;0,"","NO EXEMPTION"))),"")</f>
        <v/>
      </c>
    </row>
    <row r="1036" spans="46:54" x14ac:dyDescent="0.25">
      <c r="AT1036" s="2" t="str">
        <f>IF($L1036="","",IFERROR(INDEX('AR SALES'!$H$2:$H$2501,MATCH(""&amp;$L1036,'AR SALES'!$AE$2:$AE$2501,0)),""))</f>
        <v/>
      </c>
      <c r="AU1036" s="2" t="str">
        <f t="shared" si="64"/>
        <v/>
      </c>
      <c r="AV1036" s="2" t="str">
        <f t="shared" si="65"/>
        <v/>
      </c>
      <c r="AW1036" s="2" t="str">
        <f t="shared" si="66"/>
        <v/>
      </c>
      <c r="AX1036" s="2" t="str">
        <f t="shared" si="67"/>
        <v/>
      </c>
      <c r="AY1036" s="2" t="str">
        <f>IF($AV1036="","",IF(AND($Z1036=0,COUNTIF('AR SALES'!$L$2:$L$2501,$L1036)=0),"YES",""))</f>
        <v/>
      </c>
      <c r="AZ1036" s="2" t="str">
        <f>IF($AV1036="","",IF(COUNTIF(LISTS!$C$2:$C$250,$AU1036)=0,"NEW",""))</f>
        <v/>
      </c>
      <c r="BA1036" s="2" t="str">
        <f>IF(""&amp;$F1036&lt;&gt;"4","",IF($AY1036="YES","",IF(ROUND(SUMIFS($AE$2:$AE$4001,$L$2:$L$4001,$L1036,$F$2:$F$4001,"4")-SUMIFS('AR SALES'!$Y$2:$Y$2501,'AR SALES'!$L$2:$L$2501,$L1036,'AR SALES'!$AD$2:$AD$2501,"OFF"),2)=0,"","STALE")))</f>
        <v/>
      </c>
      <c r="BB1036" s="2" t="str">
        <f>IF(OR(""&amp;$F1036="2",""&amp;$F1036="4",""&amp;$F1036="G",""&amp;$F1036="H"),IF($AY1036="YES","",IF($AB1036&lt;&gt;0,"",IF(COUNTIFS('AR SALES'!$L$2:$L$2501,$L1036,'AR SALES'!$AD$2:$AD$2501,IF(""&amp;$F1036="4","OFF","ON"),'AR SALES'!$AF$2:$AF$2501,"Y")&gt;0,"","NO EXEMPTION"))),"")</f>
        <v/>
      </c>
    </row>
    <row r="1037" spans="46:54" x14ac:dyDescent="0.25">
      <c r="AT1037" s="2" t="str">
        <f>IF($L1037="","",IFERROR(INDEX('AR SALES'!$H$2:$H$2501,MATCH(""&amp;$L1037,'AR SALES'!$AE$2:$AE$2501,0)),""))</f>
        <v/>
      </c>
      <c r="AU1037" s="2" t="str">
        <f t="shared" si="64"/>
        <v/>
      </c>
      <c r="AV1037" s="2" t="str">
        <f t="shared" si="65"/>
        <v/>
      </c>
      <c r="AW1037" s="2" t="str">
        <f t="shared" si="66"/>
        <v/>
      </c>
      <c r="AX1037" s="2" t="str">
        <f t="shared" si="67"/>
        <v/>
      </c>
      <c r="AY1037" s="2" t="str">
        <f>IF($AV1037="","",IF(AND($Z1037=0,COUNTIF('AR SALES'!$L$2:$L$2501,$L1037)=0),"YES",""))</f>
        <v/>
      </c>
      <c r="AZ1037" s="2" t="str">
        <f>IF($AV1037="","",IF(COUNTIF(LISTS!$C$2:$C$250,$AU1037)=0,"NEW",""))</f>
        <v/>
      </c>
      <c r="BA1037" s="2" t="str">
        <f>IF(""&amp;$F1037&lt;&gt;"4","",IF($AY1037="YES","",IF(ROUND(SUMIFS($AE$2:$AE$4001,$L$2:$L$4001,$L1037,$F$2:$F$4001,"4")-SUMIFS('AR SALES'!$Y$2:$Y$2501,'AR SALES'!$L$2:$L$2501,$L1037,'AR SALES'!$AD$2:$AD$2501,"OFF"),2)=0,"","STALE")))</f>
        <v/>
      </c>
      <c r="BB1037" s="2" t="str">
        <f>IF(OR(""&amp;$F1037="2",""&amp;$F1037="4",""&amp;$F1037="G",""&amp;$F1037="H"),IF($AY1037="YES","",IF($AB1037&lt;&gt;0,"",IF(COUNTIFS('AR SALES'!$L$2:$L$2501,$L1037,'AR SALES'!$AD$2:$AD$2501,IF(""&amp;$F1037="4","OFF","ON"),'AR SALES'!$AF$2:$AF$2501,"Y")&gt;0,"","NO EXEMPTION"))),"")</f>
        <v/>
      </c>
    </row>
    <row r="1038" spans="46:54" x14ac:dyDescent="0.25">
      <c r="AT1038" s="2" t="str">
        <f>IF($L1038="","",IFERROR(INDEX('AR SALES'!$H$2:$H$2501,MATCH(""&amp;$L1038,'AR SALES'!$AE$2:$AE$2501,0)),""))</f>
        <v/>
      </c>
      <c r="AU1038" s="2" t="str">
        <f t="shared" si="64"/>
        <v/>
      </c>
      <c r="AV1038" s="2" t="str">
        <f t="shared" si="65"/>
        <v/>
      </c>
      <c r="AW1038" s="2" t="str">
        <f t="shared" si="66"/>
        <v/>
      </c>
      <c r="AX1038" s="2" t="str">
        <f t="shared" si="67"/>
        <v/>
      </c>
      <c r="AY1038" s="2" t="str">
        <f>IF($AV1038="","",IF(AND($Z1038=0,COUNTIF('AR SALES'!$L$2:$L$2501,$L1038)=0),"YES",""))</f>
        <v/>
      </c>
      <c r="AZ1038" s="2" t="str">
        <f>IF($AV1038="","",IF(COUNTIF(LISTS!$C$2:$C$250,$AU1038)=0,"NEW",""))</f>
        <v/>
      </c>
      <c r="BA1038" s="2" t="str">
        <f>IF(""&amp;$F1038&lt;&gt;"4","",IF($AY1038="YES","",IF(ROUND(SUMIFS($AE$2:$AE$4001,$L$2:$L$4001,$L1038,$F$2:$F$4001,"4")-SUMIFS('AR SALES'!$Y$2:$Y$2501,'AR SALES'!$L$2:$L$2501,$L1038,'AR SALES'!$AD$2:$AD$2501,"OFF"),2)=0,"","STALE")))</f>
        <v/>
      </c>
      <c r="BB1038" s="2" t="str">
        <f>IF(OR(""&amp;$F1038="2",""&amp;$F1038="4",""&amp;$F1038="G",""&amp;$F1038="H"),IF($AY1038="YES","",IF($AB1038&lt;&gt;0,"",IF(COUNTIFS('AR SALES'!$L$2:$L$2501,$L1038,'AR SALES'!$AD$2:$AD$2501,IF(""&amp;$F1038="4","OFF","ON"),'AR SALES'!$AF$2:$AF$2501,"Y")&gt;0,"","NO EXEMPTION"))),"")</f>
        <v/>
      </c>
    </row>
    <row r="1039" spans="46:54" x14ac:dyDescent="0.25">
      <c r="AT1039" s="2" t="str">
        <f>IF($L1039="","",IFERROR(INDEX('AR SALES'!$H$2:$H$2501,MATCH(""&amp;$L1039,'AR SALES'!$AE$2:$AE$2501,0)),""))</f>
        <v/>
      </c>
      <c r="AU1039" s="2" t="str">
        <f t="shared" si="64"/>
        <v/>
      </c>
      <c r="AV1039" s="2" t="str">
        <f t="shared" si="65"/>
        <v/>
      </c>
      <c r="AW1039" s="2" t="str">
        <f t="shared" si="66"/>
        <v/>
      </c>
      <c r="AX1039" s="2" t="str">
        <f t="shared" si="67"/>
        <v/>
      </c>
      <c r="AY1039" s="2" t="str">
        <f>IF($AV1039="","",IF(AND($Z1039=0,COUNTIF('AR SALES'!$L$2:$L$2501,$L1039)=0),"YES",""))</f>
        <v/>
      </c>
      <c r="AZ1039" s="2" t="str">
        <f>IF($AV1039="","",IF(COUNTIF(LISTS!$C$2:$C$250,$AU1039)=0,"NEW",""))</f>
        <v/>
      </c>
      <c r="BA1039" s="2" t="str">
        <f>IF(""&amp;$F1039&lt;&gt;"4","",IF($AY1039="YES","",IF(ROUND(SUMIFS($AE$2:$AE$4001,$L$2:$L$4001,$L1039,$F$2:$F$4001,"4")-SUMIFS('AR SALES'!$Y$2:$Y$2501,'AR SALES'!$L$2:$L$2501,$L1039,'AR SALES'!$AD$2:$AD$2501,"OFF"),2)=0,"","STALE")))</f>
        <v/>
      </c>
      <c r="BB1039" s="2" t="str">
        <f>IF(OR(""&amp;$F1039="2",""&amp;$F1039="4",""&amp;$F1039="G",""&amp;$F1039="H"),IF($AY1039="YES","",IF($AB1039&lt;&gt;0,"",IF(COUNTIFS('AR SALES'!$L$2:$L$2501,$L1039,'AR SALES'!$AD$2:$AD$2501,IF(""&amp;$F1039="4","OFF","ON"),'AR SALES'!$AF$2:$AF$2501,"Y")&gt;0,"","NO EXEMPTION"))),"")</f>
        <v/>
      </c>
    </row>
    <row r="1040" spans="46:54" x14ac:dyDescent="0.25">
      <c r="AT1040" s="2" t="str">
        <f>IF($L1040="","",IFERROR(INDEX('AR SALES'!$H$2:$H$2501,MATCH(""&amp;$L1040,'AR SALES'!$AE$2:$AE$2501,0)),""))</f>
        <v/>
      </c>
      <c r="AU1040" s="2" t="str">
        <f t="shared" si="64"/>
        <v/>
      </c>
      <c r="AV1040" s="2" t="str">
        <f t="shared" si="65"/>
        <v/>
      </c>
      <c r="AW1040" s="2" t="str">
        <f t="shared" si="66"/>
        <v/>
      </c>
      <c r="AX1040" s="2" t="str">
        <f t="shared" si="67"/>
        <v/>
      </c>
      <c r="AY1040" s="2" t="str">
        <f>IF($AV1040="","",IF(AND($Z1040=0,COUNTIF('AR SALES'!$L$2:$L$2501,$L1040)=0),"YES",""))</f>
        <v/>
      </c>
      <c r="AZ1040" s="2" t="str">
        <f>IF($AV1040="","",IF(COUNTIF(LISTS!$C$2:$C$250,$AU1040)=0,"NEW",""))</f>
        <v/>
      </c>
      <c r="BA1040" s="2" t="str">
        <f>IF(""&amp;$F1040&lt;&gt;"4","",IF($AY1040="YES","",IF(ROUND(SUMIFS($AE$2:$AE$4001,$L$2:$L$4001,$L1040,$F$2:$F$4001,"4")-SUMIFS('AR SALES'!$Y$2:$Y$2501,'AR SALES'!$L$2:$L$2501,$L1040,'AR SALES'!$AD$2:$AD$2501,"OFF"),2)=0,"","STALE")))</f>
        <v/>
      </c>
      <c r="BB1040" s="2" t="str">
        <f>IF(OR(""&amp;$F1040="2",""&amp;$F1040="4",""&amp;$F1040="G",""&amp;$F1040="H"),IF($AY1040="YES","",IF($AB1040&lt;&gt;0,"",IF(COUNTIFS('AR SALES'!$L$2:$L$2501,$L1040,'AR SALES'!$AD$2:$AD$2501,IF(""&amp;$F1040="4","OFF","ON"),'AR SALES'!$AF$2:$AF$2501,"Y")&gt;0,"","NO EXEMPTION"))),"")</f>
        <v/>
      </c>
    </row>
    <row r="1041" spans="46:54" x14ac:dyDescent="0.25">
      <c r="AT1041" s="2" t="str">
        <f>IF($L1041="","",IFERROR(INDEX('AR SALES'!$H$2:$H$2501,MATCH(""&amp;$L1041,'AR SALES'!$AE$2:$AE$2501,0)),""))</f>
        <v/>
      </c>
      <c r="AU1041" s="2" t="str">
        <f t="shared" si="64"/>
        <v/>
      </c>
      <c r="AV1041" s="2" t="str">
        <f t="shared" si="65"/>
        <v/>
      </c>
      <c r="AW1041" s="2" t="str">
        <f t="shared" si="66"/>
        <v/>
      </c>
      <c r="AX1041" s="2" t="str">
        <f t="shared" si="67"/>
        <v/>
      </c>
      <c r="AY1041" s="2" t="str">
        <f>IF($AV1041="","",IF(AND($Z1041=0,COUNTIF('AR SALES'!$L$2:$L$2501,$L1041)=0),"YES",""))</f>
        <v/>
      </c>
      <c r="AZ1041" s="2" t="str">
        <f>IF($AV1041="","",IF(COUNTIF(LISTS!$C$2:$C$250,$AU1041)=0,"NEW",""))</f>
        <v/>
      </c>
      <c r="BA1041" s="2" t="str">
        <f>IF(""&amp;$F1041&lt;&gt;"4","",IF($AY1041="YES","",IF(ROUND(SUMIFS($AE$2:$AE$4001,$L$2:$L$4001,$L1041,$F$2:$F$4001,"4")-SUMIFS('AR SALES'!$Y$2:$Y$2501,'AR SALES'!$L$2:$L$2501,$L1041,'AR SALES'!$AD$2:$AD$2501,"OFF"),2)=0,"","STALE")))</f>
        <v/>
      </c>
      <c r="BB1041" s="2" t="str">
        <f>IF(OR(""&amp;$F1041="2",""&amp;$F1041="4",""&amp;$F1041="G",""&amp;$F1041="H"),IF($AY1041="YES","",IF($AB1041&lt;&gt;0,"",IF(COUNTIFS('AR SALES'!$L$2:$L$2501,$L1041,'AR SALES'!$AD$2:$AD$2501,IF(""&amp;$F1041="4","OFF","ON"),'AR SALES'!$AF$2:$AF$2501,"Y")&gt;0,"","NO EXEMPTION"))),"")</f>
        <v/>
      </c>
    </row>
    <row r="1042" spans="46:54" x14ac:dyDescent="0.25">
      <c r="AT1042" s="2" t="str">
        <f>IF($L1042="","",IFERROR(INDEX('AR SALES'!$H$2:$H$2501,MATCH(""&amp;$L1042,'AR SALES'!$AE$2:$AE$2501,0)),""))</f>
        <v/>
      </c>
      <c r="AU1042" s="2" t="str">
        <f t="shared" si="64"/>
        <v/>
      </c>
      <c r="AV1042" s="2" t="str">
        <f t="shared" si="65"/>
        <v/>
      </c>
      <c r="AW1042" s="2" t="str">
        <f t="shared" si="66"/>
        <v/>
      </c>
      <c r="AX1042" s="2" t="str">
        <f t="shared" si="67"/>
        <v/>
      </c>
      <c r="AY1042" s="2" t="str">
        <f>IF($AV1042="","",IF(AND($Z1042=0,COUNTIF('AR SALES'!$L$2:$L$2501,$L1042)=0),"YES",""))</f>
        <v/>
      </c>
      <c r="AZ1042" s="2" t="str">
        <f>IF($AV1042="","",IF(COUNTIF(LISTS!$C$2:$C$250,$AU1042)=0,"NEW",""))</f>
        <v/>
      </c>
      <c r="BA1042" s="2" t="str">
        <f>IF(""&amp;$F1042&lt;&gt;"4","",IF($AY1042="YES","",IF(ROUND(SUMIFS($AE$2:$AE$4001,$L$2:$L$4001,$L1042,$F$2:$F$4001,"4")-SUMIFS('AR SALES'!$Y$2:$Y$2501,'AR SALES'!$L$2:$L$2501,$L1042,'AR SALES'!$AD$2:$AD$2501,"OFF"),2)=0,"","STALE")))</f>
        <v/>
      </c>
      <c r="BB1042" s="2" t="str">
        <f>IF(OR(""&amp;$F1042="2",""&amp;$F1042="4",""&amp;$F1042="G",""&amp;$F1042="H"),IF($AY1042="YES","",IF($AB1042&lt;&gt;0,"",IF(COUNTIFS('AR SALES'!$L$2:$L$2501,$L1042,'AR SALES'!$AD$2:$AD$2501,IF(""&amp;$F1042="4","OFF","ON"),'AR SALES'!$AF$2:$AF$2501,"Y")&gt;0,"","NO EXEMPTION"))),"")</f>
        <v/>
      </c>
    </row>
    <row r="1043" spans="46:54" x14ac:dyDescent="0.25">
      <c r="AT1043" s="2" t="str">
        <f>IF($L1043="","",IFERROR(INDEX('AR SALES'!$H$2:$H$2501,MATCH(""&amp;$L1043,'AR SALES'!$AE$2:$AE$2501,0)),""))</f>
        <v/>
      </c>
      <c r="AU1043" s="2" t="str">
        <f t="shared" si="64"/>
        <v/>
      </c>
      <c r="AV1043" s="2" t="str">
        <f t="shared" si="65"/>
        <v/>
      </c>
      <c r="AW1043" s="2" t="str">
        <f t="shared" si="66"/>
        <v/>
      </c>
      <c r="AX1043" s="2" t="str">
        <f t="shared" si="67"/>
        <v/>
      </c>
      <c r="AY1043" s="2" t="str">
        <f>IF($AV1043="","",IF(AND($Z1043=0,COUNTIF('AR SALES'!$L$2:$L$2501,$L1043)=0),"YES",""))</f>
        <v/>
      </c>
      <c r="AZ1043" s="2" t="str">
        <f>IF($AV1043="","",IF(COUNTIF(LISTS!$C$2:$C$250,$AU1043)=0,"NEW",""))</f>
        <v/>
      </c>
      <c r="BA1043" s="2" t="str">
        <f>IF(""&amp;$F1043&lt;&gt;"4","",IF($AY1043="YES","",IF(ROUND(SUMIFS($AE$2:$AE$4001,$L$2:$L$4001,$L1043,$F$2:$F$4001,"4")-SUMIFS('AR SALES'!$Y$2:$Y$2501,'AR SALES'!$L$2:$L$2501,$L1043,'AR SALES'!$AD$2:$AD$2501,"OFF"),2)=0,"","STALE")))</f>
        <v/>
      </c>
      <c r="BB1043" s="2" t="str">
        <f>IF(OR(""&amp;$F1043="2",""&amp;$F1043="4",""&amp;$F1043="G",""&amp;$F1043="H"),IF($AY1043="YES","",IF($AB1043&lt;&gt;0,"",IF(COUNTIFS('AR SALES'!$L$2:$L$2501,$L1043,'AR SALES'!$AD$2:$AD$2501,IF(""&amp;$F1043="4","OFF","ON"),'AR SALES'!$AF$2:$AF$2501,"Y")&gt;0,"","NO EXEMPTION"))),"")</f>
        <v/>
      </c>
    </row>
    <row r="1044" spans="46:54" x14ac:dyDescent="0.25">
      <c r="AT1044" s="2" t="str">
        <f>IF($L1044="","",IFERROR(INDEX('AR SALES'!$H$2:$H$2501,MATCH(""&amp;$L1044,'AR SALES'!$AE$2:$AE$2501,0)),""))</f>
        <v/>
      </c>
      <c r="AU1044" s="2" t="str">
        <f t="shared" si="64"/>
        <v/>
      </c>
      <c r="AV1044" s="2" t="str">
        <f t="shared" si="65"/>
        <v/>
      </c>
      <c r="AW1044" s="2" t="str">
        <f t="shared" si="66"/>
        <v/>
      </c>
      <c r="AX1044" s="2" t="str">
        <f t="shared" si="67"/>
        <v/>
      </c>
      <c r="AY1044" s="2" t="str">
        <f>IF($AV1044="","",IF(AND($Z1044=0,COUNTIF('AR SALES'!$L$2:$L$2501,$L1044)=0),"YES",""))</f>
        <v/>
      </c>
      <c r="AZ1044" s="2" t="str">
        <f>IF($AV1044="","",IF(COUNTIF(LISTS!$C$2:$C$250,$AU1044)=0,"NEW",""))</f>
        <v/>
      </c>
      <c r="BA1044" s="2" t="str">
        <f>IF(""&amp;$F1044&lt;&gt;"4","",IF($AY1044="YES","",IF(ROUND(SUMIFS($AE$2:$AE$4001,$L$2:$L$4001,$L1044,$F$2:$F$4001,"4")-SUMIFS('AR SALES'!$Y$2:$Y$2501,'AR SALES'!$L$2:$L$2501,$L1044,'AR SALES'!$AD$2:$AD$2501,"OFF"),2)=0,"","STALE")))</f>
        <v/>
      </c>
      <c r="BB1044" s="2" t="str">
        <f>IF(OR(""&amp;$F1044="2",""&amp;$F1044="4",""&amp;$F1044="G",""&amp;$F1044="H"),IF($AY1044="YES","",IF($AB1044&lt;&gt;0,"",IF(COUNTIFS('AR SALES'!$L$2:$L$2501,$L1044,'AR SALES'!$AD$2:$AD$2501,IF(""&amp;$F1044="4","OFF","ON"),'AR SALES'!$AF$2:$AF$2501,"Y")&gt;0,"","NO EXEMPTION"))),"")</f>
        <v/>
      </c>
    </row>
    <row r="1045" spans="46:54" x14ac:dyDescent="0.25">
      <c r="AT1045" s="2" t="str">
        <f>IF($L1045="","",IFERROR(INDEX('AR SALES'!$H$2:$H$2501,MATCH(""&amp;$L1045,'AR SALES'!$AE$2:$AE$2501,0)),""))</f>
        <v/>
      </c>
      <c r="AU1045" s="2" t="str">
        <f t="shared" si="64"/>
        <v/>
      </c>
      <c r="AV1045" s="2" t="str">
        <f t="shared" si="65"/>
        <v/>
      </c>
      <c r="AW1045" s="2" t="str">
        <f t="shared" si="66"/>
        <v/>
      </c>
      <c r="AX1045" s="2" t="str">
        <f t="shared" si="67"/>
        <v/>
      </c>
      <c r="AY1045" s="2" t="str">
        <f>IF($AV1045="","",IF(AND($Z1045=0,COUNTIF('AR SALES'!$L$2:$L$2501,$L1045)=0),"YES",""))</f>
        <v/>
      </c>
      <c r="AZ1045" s="2" t="str">
        <f>IF($AV1045="","",IF(COUNTIF(LISTS!$C$2:$C$250,$AU1045)=0,"NEW",""))</f>
        <v/>
      </c>
      <c r="BA1045" s="2" t="str">
        <f>IF(""&amp;$F1045&lt;&gt;"4","",IF($AY1045="YES","",IF(ROUND(SUMIFS($AE$2:$AE$4001,$L$2:$L$4001,$L1045,$F$2:$F$4001,"4")-SUMIFS('AR SALES'!$Y$2:$Y$2501,'AR SALES'!$L$2:$L$2501,$L1045,'AR SALES'!$AD$2:$AD$2501,"OFF"),2)=0,"","STALE")))</f>
        <v/>
      </c>
      <c r="BB1045" s="2" t="str">
        <f>IF(OR(""&amp;$F1045="2",""&amp;$F1045="4",""&amp;$F1045="G",""&amp;$F1045="H"),IF($AY1045="YES","",IF($AB1045&lt;&gt;0,"",IF(COUNTIFS('AR SALES'!$L$2:$L$2501,$L1045,'AR SALES'!$AD$2:$AD$2501,IF(""&amp;$F1045="4","OFF","ON"),'AR SALES'!$AF$2:$AF$2501,"Y")&gt;0,"","NO EXEMPTION"))),"")</f>
        <v/>
      </c>
    </row>
    <row r="1046" spans="46:54" x14ac:dyDescent="0.25">
      <c r="AT1046" s="2" t="str">
        <f>IF($L1046="","",IFERROR(INDEX('AR SALES'!$H$2:$H$2501,MATCH(""&amp;$L1046,'AR SALES'!$AE$2:$AE$2501,0)),""))</f>
        <v/>
      </c>
      <c r="AU1046" s="2" t="str">
        <f t="shared" si="64"/>
        <v/>
      </c>
      <c r="AV1046" s="2" t="str">
        <f t="shared" si="65"/>
        <v/>
      </c>
      <c r="AW1046" s="2" t="str">
        <f t="shared" si="66"/>
        <v/>
      </c>
      <c r="AX1046" s="2" t="str">
        <f t="shared" si="67"/>
        <v/>
      </c>
      <c r="AY1046" s="2" t="str">
        <f>IF($AV1046="","",IF(AND($Z1046=0,COUNTIF('AR SALES'!$L$2:$L$2501,$L1046)=0),"YES",""))</f>
        <v/>
      </c>
      <c r="AZ1046" s="2" t="str">
        <f>IF($AV1046="","",IF(COUNTIF(LISTS!$C$2:$C$250,$AU1046)=0,"NEW",""))</f>
        <v/>
      </c>
      <c r="BA1046" s="2" t="str">
        <f>IF(""&amp;$F1046&lt;&gt;"4","",IF($AY1046="YES","",IF(ROUND(SUMIFS($AE$2:$AE$4001,$L$2:$L$4001,$L1046,$F$2:$F$4001,"4")-SUMIFS('AR SALES'!$Y$2:$Y$2501,'AR SALES'!$L$2:$L$2501,$L1046,'AR SALES'!$AD$2:$AD$2501,"OFF"),2)=0,"","STALE")))</f>
        <v/>
      </c>
      <c r="BB1046" s="2" t="str">
        <f>IF(OR(""&amp;$F1046="2",""&amp;$F1046="4",""&amp;$F1046="G",""&amp;$F1046="H"),IF($AY1046="YES","",IF($AB1046&lt;&gt;0,"",IF(COUNTIFS('AR SALES'!$L$2:$L$2501,$L1046,'AR SALES'!$AD$2:$AD$2501,IF(""&amp;$F1046="4","OFF","ON"),'AR SALES'!$AF$2:$AF$2501,"Y")&gt;0,"","NO EXEMPTION"))),"")</f>
        <v/>
      </c>
    </row>
    <row r="1047" spans="46:54" x14ac:dyDescent="0.25">
      <c r="AT1047" s="2" t="str">
        <f>IF($L1047="","",IFERROR(INDEX('AR SALES'!$H$2:$H$2501,MATCH(""&amp;$L1047,'AR SALES'!$AE$2:$AE$2501,0)),""))</f>
        <v/>
      </c>
      <c r="AU1047" s="2" t="str">
        <f t="shared" si="64"/>
        <v/>
      </c>
      <c r="AV1047" s="2" t="str">
        <f t="shared" si="65"/>
        <v/>
      </c>
      <c r="AW1047" s="2" t="str">
        <f t="shared" si="66"/>
        <v/>
      </c>
      <c r="AX1047" s="2" t="str">
        <f t="shared" si="67"/>
        <v/>
      </c>
      <c r="AY1047" s="2" t="str">
        <f>IF($AV1047="","",IF(AND($Z1047=0,COUNTIF('AR SALES'!$L$2:$L$2501,$L1047)=0),"YES",""))</f>
        <v/>
      </c>
      <c r="AZ1047" s="2" t="str">
        <f>IF($AV1047="","",IF(COUNTIF(LISTS!$C$2:$C$250,$AU1047)=0,"NEW",""))</f>
        <v/>
      </c>
      <c r="BA1047" s="2" t="str">
        <f>IF(""&amp;$F1047&lt;&gt;"4","",IF($AY1047="YES","",IF(ROUND(SUMIFS($AE$2:$AE$4001,$L$2:$L$4001,$L1047,$F$2:$F$4001,"4")-SUMIFS('AR SALES'!$Y$2:$Y$2501,'AR SALES'!$L$2:$L$2501,$L1047,'AR SALES'!$AD$2:$AD$2501,"OFF"),2)=0,"","STALE")))</f>
        <v/>
      </c>
      <c r="BB1047" s="2" t="str">
        <f>IF(OR(""&amp;$F1047="2",""&amp;$F1047="4",""&amp;$F1047="G",""&amp;$F1047="H"),IF($AY1047="YES","",IF($AB1047&lt;&gt;0,"",IF(COUNTIFS('AR SALES'!$L$2:$L$2501,$L1047,'AR SALES'!$AD$2:$AD$2501,IF(""&amp;$F1047="4","OFF","ON"),'AR SALES'!$AF$2:$AF$2501,"Y")&gt;0,"","NO EXEMPTION"))),"")</f>
        <v/>
      </c>
    </row>
    <row r="1048" spans="46:54" x14ac:dyDescent="0.25">
      <c r="AT1048" s="2" t="str">
        <f>IF($L1048="","",IFERROR(INDEX('AR SALES'!$H$2:$H$2501,MATCH(""&amp;$L1048,'AR SALES'!$AE$2:$AE$2501,0)),""))</f>
        <v/>
      </c>
      <c r="AU1048" s="2" t="str">
        <f t="shared" si="64"/>
        <v/>
      </c>
      <c r="AV1048" s="2" t="str">
        <f t="shared" si="65"/>
        <v/>
      </c>
      <c r="AW1048" s="2" t="str">
        <f t="shared" si="66"/>
        <v/>
      </c>
      <c r="AX1048" s="2" t="str">
        <f t="shared" si="67"/>
        <v/>
      </c>
      <c r="AY1048" s="2" t="str">
        <f>IF($AV1048="","",IF(AND($Z1048=0,COUNTIF('AR SALES'!$L$2:$L$2501,$L1048)=0),"YES",""))</f>
        <v/>
      </c>
      <c r="AZ1048" s="2" t="str">
        <f>IF($AV1048="","",IF(COUNTIF(LISTS!$C$2:$C$250,$AU1048)=0,"NEW",""))</f>
        <v/>
      </c>
      <c r="BA1048" s="2" t="str">
        <f>IF(""&amp;$F1048&lt;&gt;"4","",IF($AY1048="YES","",IF(ROUND(SUMIFS($AE$2:$AE$4001,$L$2:$L$4001,$L1048,$F$2:$F$4001,"4")-SUMIFS('AR SALES'!$Y$2:$Y$2501,'AR SALES'!$L$2:$L$2501,$L1048,'AR SALES'!$AD$2:$AD$2501,"OFF"),2)=0,"","STALE")))</f>
        <v/>
      </c>
      <c r="BB1048" s="2" t="str">
        <f>IF(OR(""&amp;$F1048="2",""&amp;$F1048="4",""&amp;$F1048="G",""&amp;$F1048="H"),IF($AY1048="YES","",IF($AB1048&lt;&gt;0,"",IF(COUNTIFS('AR SALES'!$L$2:$L$2501,$L1048,'AR SALES'!$AD$2:$AD$2501,IF(""&amp;$F1048="4","OFF","ON"),'AR SALES'!$AF$2:$AF$2501,"Y")&gt;0,"","NO EXEMPTION"))),"")</f>
        <v/>
      </c>
    </row>
    <row r="1049" spans="46:54" x14ac:dyDescent="0.25">
      <c r="AT1049" s="2" t="str">
        <f>IF($L1049="","",IFERROR(INDEX('AR SALES'!$H$2:$H$2501,MATCH(""&amp;$L1049,'AR SALES'!$AE$2:$AE$2501,0)),""))</f>
        <v/>
      </c>
      <c r="AU1049" s="2" t="str">
        <f t="shared" si="64"/>
        <v/>
      </c>
      <c r="AV1049" s="2" t="str">
        <f t="shared" si="65"/>
        <v/>
      </c>
      <c r="AW1049" s="2" t="str">
        <f t="shared" si="66"/>
        <v/>
      </c>
      <c r="AX1049" s="2" t="str">
        <f t="shared" si="67"/>
        <v/>
      </c>
      <c r="AY1049" s="2" t="str">
        <f>IF($AV1049="","",IF(AND($Z1049=0,COUNTIF('AR SALES'!$L$2:$L$2501,$L1049)=0),"YES",""))</f>
        <v/>
      </c>
      <c r="AZ1049" s="2" t="str">
        <f>IF($AV1049="","",IF(COUNTIF(LISTS!$C$2:$C$250,$AU1049)=0,"NEW",""))</f>
        <v/>
      </c>
      <c r="BA1049" s="2" t="str">
        <f>IF(""&amp;$F1049&lt;&gt;"4","",IF($AY1049="YES","",IF(ROUND(SUMIFS($AE$2:$AE$4001,$L$2:$L$4001,$L1049,$F$2:$F$4001,"4")-SUMIFS('AR SALES'!$Y$2:$Y$2501,'AR SALES'!$L$2:$L$2501,$L1049,'AR SALES'!$AD$2:$AD$2501,"OFF"),2)=0,"","STALE")))</f>
        <v/>
      </c>
      <c r="BB1049" s="2" t="str">
        <f>IF(OR(""&amp;$F1049="2",""&amp;$F1049="4",""&amp;$F1049="G",""&amp;$F1049="H"),IF($AY1049="YES","",IF($AB1049&lt;&gt;0,"",IF(COUNTIFS('AR SALES'!$L$2:$L$2501,$L1049,'AR SALES'!$AD$2:$AD$2501,IF(""&amp;$F1049="4","OFF","ON"),'AR SALES'!$AF$2:$AF$2501,"Y")&gt;0,"","NO EXEMPTION"))),"")</f>
        <v/>
      </c>
    </row>
    <row r="1050" spans="46:54" x14ac:dyDescent="0.25">
      <c r="AT1050" s="2" t="str">
        <f>IF($L1050="","",IFERROR(INDEX('AR SALES'!$H$2:$H$2501,MATCH(""&amp;$L1050,'AR SALES'!$AE$2:$AE$2501,0)),""))</f>
        <v/>
      </c>
      <c r="AU1050" s="2" t="str">
        <f t="shared" si="64"/>
        <v/>
      </c>
      <c r="AV1050" s="2" t="str">
        <f t="shared" si="65"/>
        <v/>
      </c>
      <c r="AW1050" s="2" t="str">
        <f t="shared" si="66"/>
        <v/>
      </c>
      <c r="AX1050" s="2" t="str">
        <f t="shared" si="67"/>
        <v/>
      </c>
      <c r="AY1050" s="2" t="str">
        <f>IF($AV1050="","",IF(AND($Z1050=0,COUNTIF('AR SALES'!$L$2:$L$2501,$L1050)=0),"YES",""))</f>
        <v/>
      </c>
      <c r="AZ1050" s="2" t="str">
        <f>IF($AV1050="","",IF(COUNTIF(LISTS!$C$2:$C$250,$AU1050)=0,"NEW",""))</f>
        <v/>
      </c>
      <c r="BA1050" s="2" t="str">
        <f>IF(""&amp;$F1050&lt;&gt;"4","",IF($AY1050="YES","",IF(ROUND(SUMIFS($AE$2:$AE$4001,$L$2:$L$4001,$L1050,$F$2:$F$4001,"4")-SUMIFS('AR SALES'!$Y$2:$Y$2501,'AR SALES'!$L$2:$L$2501,$L1050,'AR SALES'!$AD$2:$AD$2501,"OFF"),2)=0,"","STALE")))</f>
        <v/>
      </c>
      <c r="BB1050" s="2" t="str">
        <f>IF(OR(""&amp;$F1050="2",""&amp;$F1050="4",""&amp;$F1050="G",""&amp;$F1050="H"),IF($AY1050="YES","",IF($AB1050&lt;&gt;0,"",IF(COUNTIFS('AR SALES'!$L$2:$L$2501,$L1050,'AR SALES'!$AD$2:$AD$2501,IF(""&amp;$F1050="4","OFF","ON"),'AR SALES'!$AF$2:$AF$2501,"Y")&gt;0,"","NO EXEMPTION"))),"")</f>
        <v/>
      </c>
    </row>
    <row r="1051" spans="46:54" x14ac:dyDescent="0.25">
      <c r="AT1051" s="2" t="str">
        <f>IF($L1051="","",IFERROR(INDEX('AR SALES'!$H$2:$H$2501,MATCH(""&amp;$L1051,'AR SALES'!$AE$2:$AE$2501,0)),""))</f>
        <v/>
      </c>
      <c r="AU1051" s="2" t="str">
        <f t="shared" si="64"/>
        <v/>
      </c>
      <c r="AV1051" s="2" t="str">
        <f t="shared" si="65"/>
        <v/>
      </c>
      <c r="AW1051" s="2" t="str">
        <f t="shared" si="66"/>
        <v/>
      </c>
      <c r="AX1051" s="2" t="str">
        <f t="shared" si="67"/>
        <v/>
      </c>
      <c r="AY1051" s="2" t="str">
        <f>IF($AV1051="","",IF(AND($Z1051=0,COUNTIF('AR SALES'!$L$2:$L$2501,$L1051)=0),"YES",""))</f>
        <v/>
      </c>
      <c r="AZ1051" s="2" t="str">
        <f>IF($AV1051="","",IF(COUNTIF(LISTS!$C$2:$C$250,$AU1051)=0,"NEW",""))</f>
        <v/>
      </c>
      <c r="BA1051" s="2" t="str">
        <f>IF(""&amp;$F1051&lt;&gt;"4","",IF($AY1051="YES","",IF(ROUND(SUMIFS($AE$2:$AE$4001,$L$2:$L$4001,$L1051,$F$2:$F$4001,"4")-SUMIFS('AR SALES'!$Y$2:$Y$2501,'AR SALES'!$L$2:$L$2501,$L1051,'AR SALES'!$AD$2:$AD$2501,"OFF"),2)=0,"","STALE")))</f>
        <v/>
      </c>
      <c r="BB1051" s="2" t="str">
        <f>IF(OR(""&amp;$F1051="2",""&amp;$F1051="4",""&amp;$F1051="G",""&amp;$F1051="H"),IF($AY1051="YES","",IF($AB1051&lt;&gt;0,"",IF(COUNTIFS('AR SALES'!$L$2:$L$2501,$L1051,'AR SALES'!$AD$2:$AD$2501,IF(""&amp;$F1051="4","OFF","ON"),'AR SALES'!$AF$2:$AF$2501,"Y")&gt;0,"","NO EXEMPTION"))),"")</f>
        <v/>
      </c>
    </row>
    <row r="1052" spans="46:54" x14ac:dyDescent="0.25">
      <c r="AT1052" s="2" t="str">
        <f>IF($L1052="","",IFERROR(INDEX('AR SALES'!$H$2:$H$2501,MATCH(""&amp;$L1052,'AR SALES'!$AE$2:$AE$2501,0)),""))</f>
        <v/>
      </c>
      <c r="AU1052" s="2" t="str">
        <f t="shared" si="64"/>
        <v/>
      </c>
      <c r="AV1052" s="2" t="str">
        <f t="shared" si="65"/>
        <v/>
      </c>
      <c r="AW1052" s="2" t="str">
        <f t="shared" si="66"/>
        <v/>
      </c>
      <c r="AX1052" s="2" t="str">
        <f t="shared" si="67"/>
        <v/>
      </c>
      <c r="AY1052" s="2" t="str">
        <f>IF($AV1052="","",IF(AND($Z1052=0,COUNTIF('AR SALES'!$L$2:$L$2501,$L1052)=0),"YES",""))</f>
        <v/>
      </c>
      <c r="AZ1052" s="2" t="str">
        <f>IF($AV1052="","",IF(COUNTIF(LISTS!$C$2:$C$250,$AU1052)=0,"NEW",""))</f>
        <v/>
      </c>
      <c r="BA1052" s="2" t="str">
        <f>IF(""&amp;$F1052&lt;&gt;"4","",IF($AY1052="YES","",IF(ROUND(SUMIFS($AE$2:$AE$4001,$L$2:$L$4001,$L1052,$F$2:$F$4001,"4")-SUMIFS('AR SALES'!$Y$2:$Y$2501,'AR SALES'!$L$2:$L$2501,$L1052,'AR SALES'!$AD$2:$AD$2501,"OFF"),2)=0,"","STALE")))</f>
        <v/>
      </c>
      <c r="BB1052" s="2" t="str">
        <f>IF(OR(""&amp;$F1052="2",""&amp;$F1052="4",""&amp;$F1052="G",""&amp;$F1052="H"),IF($AY1052="YES","",IF($AB1052&lt;&gt;0,"",IF(COUNTIFS('AR SALES'!$L$2:$L$2501,$L1052,'AR SALES'!$AD$2:$AD$2501,IF(""&amp;$F1052="4","OFF","ON"),'AR SALES'!$AF$2:$AF$2501,"Y")&gt;0,"","NO EXEMPTION"))),"")</f>
        <v/>
      </c>
    </row>
    <row r="1053" spans="46:54" x14ac:dyDescent="0.25">
      <c r="AT1053" s="2" t="str">
        <f>IF($L1053="","",IFERROR(INDEX('AR SALES'!$H$2:$H$2501,MATCH(""&amp;$L1053,'AR SALES'!$AE$2:$AE$2501,0)),""))</f>
        <v/>
      </c>
      <c r="AU1053" s="2" t="str">
        <f t="shared" si="64"/>
        <v/>
      </c>
      <c r="AV1053" s="2" t="str">
        <f t="shared" si="65"/>
        <v/>
      </c>
      <c r="AW1053" s="2" t="str">
        <f t="shared" si="66"/>
        <v/>
      </c>
      <c r="AX1053" s="2" t="str">
        <f t="shared" si="67"/>
        <v/>
      </c>
      <c r="AY1053" s="2" t="str">
        <f>IF($AV1053="","",IF(AND($Z1053=0,COUNTIF('AR SALES'!$L$2:$L$2501,$L1053)=0),"YES",""))</f>
        <v/>
      </c>
      <c r="AZ1053" s="2" t="str">
        <f>IF($AV1053="","",IF(COUNTIF(LISTS!$C$2:$C$250,$AU1053)=0,"NEW",""))</f>
        <v/>
      </c>
      <c r="BA1053" s="2" t="str">
        <f>IF(""&amp;$F1053&lt;&gt;"4","",IF($AY1053="YES","",IF(ROUND(SUMIFS($AE$2:$AE$4001,$L$2:$L$4001,$L1053,$F$2:$F$4001,"4")-SUMIFS('AR SALES'!$Y$2:$Y$2501,'AR SALES'!$L$2:$L$2501,$L1053,'AR SALES'!$AD$2:$AD$2501,"OFF"),2)=0,"","STALE")))</f>
        <v/>
      </c>
      <c r="BB1053" s="2" t="str">
        <f>IF(OR(""&amp;$F1053="2",""&amp;$F1053="4",""&amp;$F1053="G",""&amp;$F1053="H"),IF($AY1053="YES","",IF($AB1053&lt;&gt;0,"",IF(COUNTIFS('AR SALES'!$L$2:$L$2501,$L1053,'AR SALES'!$AD$2:$AD$2501,IF(""&amp;$F1053="4","OFF","ON"),'AR SALES'!$AF$2:$AF$2501,"Y")&gt;0,"","NO EXEMPTION"))),"")</f>
        <v/>
      </c>
    </row>
    <row r="1054" spans="46:54" x14ac:dyDescent="0.25">
      <c r="AT1054" s="2" t="str">
        <f>IF($L1054="","",IFERROR(INDEX('AR SALES'!$H$2:$H$2501,MATCH(""&amp;$L1054,'AR SALES'!$AE$2:$AE$2501,0)),""))</f>
        <v/>
      </c>
      <c r="AU1054" s="2" t="str">
        <f t="shared" si="64"/>
        <v/>
      </c>
      <c r="AV1054" s="2" t="str">
        <f t="shared" si="65"/>
        <v/>
      </c>
      <c r="AW1054" s="2" t="str">
        <f t="shared" si="66"/>
        <v/>
      </c>
      <c r="AX1054" s="2" t="str">
        <f t="shared" si="67"/>
        <v/>
      </c>
      <c r="AY1054" s="2" t="str">
        <f>IF($AV1054="","",IF(AND($Z1054=0,COUNTIF('AR SALES'!$L$2:$L$2501,$L1054)=0),"YES",""))</f>
        <v/>
      </c>
      <c r="AZ1054" s="2" t="str">
        <f>IF($AV1054="","",IF(COUNTIF(LISTS!$C$2:$C$250,$AU1054)=0,"NEW",""))</f>
        <v/>
      </c>
      <c r="BA1054" s="2" t="str">
        <f>IF(""&amp;$F1054&lt;&gt;"4","",IF($AY1054="YES","",IF(ROUND(SUMIFS($AE$2:$AE$4001,$L$2:$L$4001,$L1054,$F$2:$F$4001,"4")-SUMIFS('AR SALES'!$Y$2:$Y$2501,'AR SALES'!$L$2:$L$2501,$L1054,'AR SALES'!$AD$2:$AD$2501,"OFF"),2)=0,"","STALE")))</f>
        <v/>
      </c>
      <c r="BB1054" s="2" t="str">
        <f>IF(OR(""&amp;$F1054="2",""&amp;$F1054="4",""&amp;$F1054="G",""&amp;$F1054="H"),IF($AY1054="YES","",IF($AB1054&lt;&gt;0,"",IF(COUNTIFS('AR SALES'!$L$2:$L$2501,$L1054,'AR SALES'!$AD$2:$AD$2501,IF(""&amp;$F1054="4","OFF","ON"),'AR SALES'!$AF$2:$AF$2501,"Y")&gt;0,"","NO EXEMPTION"))),"")</f>
        <v/>
      </c>
    </row>
    <row r="1055" spans="46:54" x14ac:dyDescent="0.25">
      <c r="AT1055" s="2" t="str">
        <f>IF($L1055="","",IFERROR(INDEX('AR SALES'!$H$2:$H$2501,MATCH(""&amp;$L1055,'AR SALES'!$AE$2:$AE$2501,0)),""))</f>
        <v/>
      </c>
      <c r="AU1055" s="2" t="str">
        <f t="shared" si="64"/>
        <v/>
      </c>
      <c r="AV1055" s="2" t="str">
        <f t="shared" si="65"/>
        <v/>
      </c>
      <c r="AW1055" s="2" t="str">
        <f t="shared" si="66"/>
        <v/>
      </c>
      <c r="AX1055" s="2" t="str">
        <f t="shared" si="67"/>
        <v/>
      </c>
      <c r="AY1055" s="2" t="str">
        <f>IF($AV1055="","",IF(AND($Z1055=0,COUNTIF('AR SALES'!$L$2:$L$2501,$L1055)=0),"YES",""))</f>
        <v/>
      </c>
      <c r="AZ1055" s="2" t="str">
        <f>IF($AV1055="","",IF(COUNTIF(LISTS!$C$2:$C$250,$AU1055)=0,"NEW",""))</f>
        <v/>
      </c>
      <c r="BA1055" s="2" t="str">
        <f>IF(""&amp;$F1055&lt;&gt;"4","",IF($AY1055="YES","",IF(ROUND(SUMIFS($AE$2:$AE$4001,$L$2:$L$4001,$L1055,$F$2:$F$4001,"4")-SUMIFS('AR SALES'!$Y$2:$Y$2501,'AR SALES'!$L$2:$L$2501,$L1055,'AR SALES'!$AD$2:$AD$2501,"OFF"),2)=0,"","STALE")))</f>
        <v/>
      </c>
      <c r="BB1055" s="2" t="str">
        <f>IF(OR(""&amp;$F1055="2",""&amp;$F1055="4",""&amp;$F1055="G",""&amp;$F1055="H"),IF($AY1055="YES","",IF($AB1055&lt;&gt;0,"",IF(COUNTIFS('AR SALES'!$L$2:$L$2501,$L1055,'AR SALES'!$AD$2:$AD$2501,IF(""&amp;$F1055="4","OFF","ON"),'AR SALES'!$AF$2:$AF$2501,"Y")&gt;0,"","NO EXEMPTION"))),"")</f>
        <v/>
      </c>
    </row>
    <row r="1056" spans="46:54" x14ac:dyDescent="0.25">
      <c r="AT1056" s="2" t="str">
        <f>IF($L1056="","",IFERROR(INDEX('AR SALES'!$H$2:$H$2501,MATCH(""&amp;$L1056,'AR SALES'!$AE$2:$AE$2501,0)),""))</f>
        <v/>
      </c>
      <c r="AU1056" s="2" t="str">
        <f t="shared" si="64"/>
        <v/>
      </c>
      <c r="AV1056" s="2" t="str">
        <f t="shared" si="65"/>
        <v/>
      </c>
      <c r="AW1056" s="2" t="str">
        <f t="shared" si="66"/>
        <v/>
      </c>
      <c r="AX1056" s="2" t="str">
        <f t="shared" si="67"/>
        <v/>
      </c>
      <c r="AY1056" s="2" t="str">
        <f>IF($AV1056="","",IF(AND($Z1056=0,COUNTIF('AR SALES'!$L$2:$L$2501,$L1056)=0),"YES",""))</f>
        <v/>
      </c>
      <c r="AZ1056" s="2" t="str">
        <f>IF($AV1056="","",IF(COUNTIF(LISTS!$C$2:$C$250,$AU1056)=0,"NEW",""))</f>
        <v/>
      </c>
      <c r="BA1056" s="2" t="str">
        <f>IF(""&amp;$F1056&lt;&gt;"4","",IF($AY1056="YES","",IF(ROUND(SUMIFS($AE$2:$AE$4001,$L$2:$L$4001,$L1056,$F$2:$F$4001,"4")-SUMIFS('AR SALES'!$Y$2:$Y$2501,'AR SALES'!$L$2:$L$2501,$L1056,'AR SALES'!$AD$2:$AD$2501,"OFF"),2)=0,"","STALE")))</f>
        <v/>
      </c>
      <c r="BB1056" s="2" t="str">
        <f>IF(OR(""&amp;$F1056="2",""&amp;$F1056="4",""&amp;$F1056="G",""&amp;$F1056="H"),IF($AY1056="YES","",IF($AB1056&lt;&gt;0,"",IF(COUNTIFS('AR SALES'!$L$2:$L$2501,$L1056,'AR SALES'!$AD$2:$AD$2501,IF(""&amp;$F1056="4","OFF","ON"),'AR SALES'!$AF$2:$AF$2501,"Y")&gt;0,"","NO EXEMPTION"))),"")</f>
        <v/>
      </c>
    </row>
    <row r="1057" spans="46:54" x14ac:dyDescent="0.25">
      <c r="AT1057" s="2" t="str">
        <f>IF($L1057="","",IFERROR(INDEX('AR SALES'!$H$2:$H$2501,MATCH(""&amp;$L1057,'AR SALES'!$AE$2:$AE$2501,0)),""))</f>
        <v/>
      </c>
      <c r="AU1057" s="2" t="str">
        <f t="shared" si="64"/>
        <v/>
      </c>
      <c r="AV1057" s="2" t="str">
        <f t="shared" si="65"/>
        <v/>
      </c>
      <c r="AW1057" s="2" t="str">
        <f t="shared" si="66"/>
        <v/>
      </c>
      <c r="AX1057" s="2" t="str">
        <f t="shared" si="67"/>
        <v/>
      </c>
      <c r="AY1057" s="2" t="str">
        <f>IF($AV1057="","",IF(AND($Z1057=0,COUNTIF('AR SALES'!$L$2:$L$2501,$L1057)=0),"YES",""))</f>
        <v/>
      </c>
      <c r="AZ1057" s="2" t="str">
        <f>IF($AV1057="","",IF(COUNTIF(LISTS!$C$2:$C$250,$AU1057)=0,"NEW",""))</f>
        <v/>
      </c>
      <c r="BA1057" s="2" t="str">
        <f>IF(""&amp;$F1057&lt;&gt;"4","",IF($AY1057="YES","",IF(ROUND(SUMIFS($AE$2:$AE$4001,$L$2:$L$4001,$L1057,$F$2:$F$4001,"4")-SUMIFS('AR SALES'!$Y$2:$Y$2501,'AR SALES'!$L$2:$L$2501,$L1057,'AR SALES'!$AD$2:$AD$2501,"OFF"),2)=0,"","STALE")))</f>
        <v/>
      </c>
      <c r="BB1057" s="2" t="str">
        <f>IF(OR(""&amp;$F1057="2",""&amp;$F1057="4",""&amp;$F1057="G",""&amp;$F1057="H"),IF($AY1057="YES","",IF($AB1057&lt;&gt;0,"",IF(COUNTIFS('AR SALES'!$L$2:$L$2501,$L1057,'AR SALES'!$AD$2:$AD$2501,IF(""&amp;$F1057="4","OFF","ON"),'AR SALES'!$AF$2:$AF$2501,"Y")&gt;0,"","NO EXEMPTION"))),"")</f>
        <v/>
      </c>
    </row>
    <row r="1058" spans="46:54" x14ac:dyDescent="0.25">
      <c r="AT1058" s="2" t="str">
        <f>IF($L1058="","",IFERROR(INDEX('AR SALES'!$H$2:$H$2501,MATCH(""&amp;$L1058,'AR SALES'!$AE$2:$AE$2501,0)),""))</f>
        <v/>
      </c>
      <c r="AU1058" s="2" t="str">
        <f t="shared" si="64"/>
        <v/>
      </c>
      <c r="AV1058" s="2" t="str">
        <f t="shared" si="65"/>
        <v/>
      </c>
      <c r="AW1058" s="2" t="str">
        <f t="shared" si="66"/>
        <v/>
      </c>
      <c r="AX1058" s="2" t="str">
        <f t="shared" si="67"/>
        <v/>
      </c>
      <c r="AY1058" s="2" t="str">
        <f>IF($AV1058="","",IF(AND($Z1058=0,COUNTIF('AR SALES'!$L$2:$L$2501,$L1058)=0),"YES",""))</f>
        <v/>
      </c>
      <c r="AZ1058" s="2" t="str">
        <f>IF($AV1058="","",IF(COUNTIF(LISTS!$C$2:$C$250,$AU1058)=0,"NEW",""))</f>
        <v/>
      </c>
      <c r="BA1058" s="2" t="str">
        <f>IF(""&amp;$F1058&lt;&gt;"4","",IF($AY1058="YES","",IF(ROUND(SUMIFS($AE$2:$AE$4001,$L$2:$L$4001,$L1058,$F$2:$F$4001,"4")-SUMIFS('AR SALES'!$Y$2:$Y$2501,'AR SALES'!$L$2:$L$2501,$L1058,'AR SALES'!$AD$2:$AD$2501,"OFF"),2)=0,"","STALE")))</f>
        <v/>
      </c>
      <c r="BB1058" s="2" t="str">
        <f>IF(OR(""&amp;$F1058="2",""&amp;$F1058="4",""&amp;$F1058="G",""&amp;$F1058="H"),IF($AY1058="YES","",IF($AB1058&lt;&gt;0,"",IF(COUNTIFS('AR SALES'!$L$2:$L$2501,$L1058,'AR SALES'!$AD$2:$AD$2501,IF(""&amp;$F1058="4","OFF","ON"),'AR SALES'!$AF$2:$AF$2501,"Y")&gt;0,"","NO EXEMPTION"))),"")</f>
        <v/>
      </c>
    </row>
    <row r="1059" spans="46:54" x14ac:dyDescent="0.25">
      <c r="AT1059" s="2" t="str">
        <f>IF($L1059="","",IFERROR(INDEX('AR SALES'!$H$2:$H$2501,MATCH(""&amp;$L1059,'AR SALES'!$AE$2:$AE$2501,0)),""))</f>
        <v/>
      </c>
      <c r="AU1059" s="2" t="str">
        <f t="shared" si="64"/>
        <v/>
      </c>
      <c r="AV1059" s="2" t="str">
        <f t="shared" si="65"/>
        <v/>
      </c>
      <c r="AW1059" s="2" t="str">
        <f t="shared" si="66"/>
        <v/>
      </c>
      <c r="AX1059" s="2" t="str">
        <f t="shared" si="67"/>
        <v/>
      </c>
      <c r="AY1059" s="2" t="str">
        <f>IF($AV1059="","",IF(AND($Z1059=0,COUNTIF('AR SALES'!$L$2:$L$2501,$L1059)=0),"YES",""))</f>
        <v/>
      </c>
      <c r="AZ1059" s="2" t="str">
        <f>IF($AV1059="","",IF(COUNTIF(LISTS!$C$2:$C$250,$AU1059)=0,"NEW",""))</f>
        <v/>
      </c>
      <c r="BA1059" s="2" t="str">
        <f>IF(""&amp;$F1059&lt;&gt;"4","",IF($AY1059="YES","",IF(ROUND(SUMIFS($AE$2:$AE$4001,$L$2:$L$4001,$L1059,$F$2:$F$4001,"4")-SUMIFS('AR SALES'!$Y$2:$Y$2501,'AR SALES'!$L$2:$L$2501,$L1059,'AR SALES'!$AD$2:$AD$2501,"OFF"),2)=0,"","STALE")))</f>
        <v/>
      </c>
      <c r="BB1059" s="2" t="str">
        <f>IF(OR(""&amp;$F1059="2",""&amp;$F1059="4",""&amp;$F1059="G",""&amp;$F1059="H"),IF($AY1059="YES","",IF($AB1059&lt;&gt;0,"",IF(COUNTIFS('AR SALES'!$L$2:$L$2501,$L1059,'AR SALES'!$AD$2:$AD$2501,IF(""&amp;$F1059="4","OFF","ON"),'AR SALES'!$AF$2:$AF$2501,"Y")&gt;0,"","NO EXEMPTION"))),"")</f>
        <v/>
      </c>
    </row>
    <row r="1060" spans="46:54" x14ac:dyDescent="0.25">
      <c r="AT1060" s="2" t="str">
        <f>IF($L1060="","",IFERROR(INDEX('AR SALES'!$H$2:$H$2501,MATCH(""&amp;$L1060,'AR SALES'!$AE$2:$AE$2501,0)),""))</f>
        <v/>
      </c>
      <c r="AU1060" s="2" t="str">
        <f t="shared" si="64"/>
        <v/>
      </c>
      <c r="AV1060" s="2" t="str">
        <f t="shared" si="65"/>
        <v/>
      </c>
      <c r="AW1060" s="2" t="str">
        <f t="shared" si="66"/>
        <v/>
      </c>
      <c r="AX1060" s="2" t="str">
        <f t="shared" si="67"/>
        <v/>
      </c>
      <c r="AY1060" s="2" t="str">
        <f>IF($AV1060="","",IF(AND($Z1060=0,COUNTIF('AR SALES'!$L$2:$L$2501,$L1060)=0),"YES",""))</f>
        <v/>
      </c>
      <c r="AZ1060" s="2" t="str">
        <f>IF($AV1060="","",IF(COUNTIF(LISTS!$C$2:$C$250,$AU1060)=0,"NEW",""))</f>
        <v/>
      </c>
      <c r="BA1060" s="2" t="str">
        <f>IF(""&amp;$F1060&lt;&gt;"4","",IF($AY1060="YES","",IF(ROUND(SUMIFS($AE$2:$AE$4001,$L$2:$L$4001,$L1060,$F$2:$F$4001,"4")-SUMIFS('AR SALES'!$Y$2:$Y$2501,'AR SALES'!$L$2:$L$2501,$L1060,'AR SALES'!$AD$2:$AD$2501,"OFF"),2)=0,"","STALE")))</f>
        <v/>
      </c>
      <c r="BB1060" s="2" t="str">
        <f>IF(OR(""&amp;$F1060="2",""&amp;$F1060="4",""&amp;$F1060="G",""&amp;$F1060="H"),IF($AY1060="YES","",IF($AB1060&lt;&gt;0,"",IF(COUNTIFS('AR SALES'!$L$2:$L$2501,$L1060,'AR SALES'!$AD$2:$AD$2501,IF(""&amp;$F1060="4","OFF","ON"),'AR SALES'!$AF$2:$AF$2501,"Y")&gt;0,"","NO EXEMPTION"))),"")</f>
        <v/>
      </c>
    </row>
    <row r="1061" spans="46:54" x14ac:dyDescent="0.25">
      <c r="AT1061" s="2" t="str">
        <f>IF($L1061="","",IFERROR(INDEX('AR SALES'!$H$2:$H$2501,MATCH(""&amp;$L1061,'AR SALES'!$AE$2:$AE$2501,0)),""))</f>
        <v/>
      </c>
      <c r="AU1061" s="2" t="str">
        <f t="shared" si="64"/>
        <v/>
      </c>
      <c r="AV1061" s="2" t="str">
        <f t="shared" si="65"/>
        <v/>
      </c>
      <c r="AW1061" s="2" t="str">
        <f t="shared" si="66"/>
        <v/>
      </c>
      <c r="AX1061" s="2" t="str">
        <f t="shared" si="67"/>
        <v/>
      </c>
      <c r="AY1061" s="2" t="str">
        <f>IF($AV1061="","",IF(AND($Z1061=0,COUNTIF('AR SALES'!$L$2:$L$2501,$L1061)=0),"YES",""))</f>
        <v/>
      </c>
      <c r="AZ1061" s="2" t="str">
        <f>IF($AV1061="","",IF(COUNTIF(LISTS!$C$2:$C$250,$AU1061)=0,"NEW",""))</f>
        <v/>
      </c>
      <c r="BA1061" s="2" t="str">
        <f>IF(""&amp;$F1061&lt;&gt;"4","",IF($AY1061="YES","",IF(ROUND(SUMIFS($AE$2:$AE$4001,$L$2:$L$4001,$L1061,$F$2:$F$4001,"4")-SUMIFS('AR SALES'!$Y$2:$Y$2501,'AR SALES'!$L$2:$L$2501,$L1061,'AR SALES'!$AD$2:$AD$2501,"OFF"),2)=0,"","STALE")))</f>
        <v/>
      </c>
      <c r="BB1061" s="2" t="str">
        <f>IF(OR(""&amp;$F1061="2",""&amp;$F1061="4",""&amp;$F1061="G",""&amp;$F1061="H"),IF($AY1061="YES","",IF($AB1061&lt;&gt;0,"",IF(COUNTIFS('AR SALES'!$L$2:$L$2501,$L1061,'AR SALES'!$AD$2:$AD$2501,IF(""&amp;$F1061="4","OFF","ON"),'AR SALES'!$AF$2:$AF$2501,"Y")&gt;0,"","NO EXEMPTION"))),"")</f>
        <v/>
      </c>
    </row>
    <row r="1062" spans="46:54" x14ac:dyDescent="0.25">
      <c r="AT1062" s="2" t="str">
        <f>IF($L1062="","",IFERROR(INDEX('AR SALES'!$H$2:$H$2501,MATCH(""&amp;$L1062,'AR SALES'!$AE$2:$AE$2501,0)),""))</f>
        <v/>
      </c>
      <c r="AU1062" s="2" t="str">
        <f t="shared" si="64"/>
        <v/>
      </c>
      <c r="AV1062" s="2" t="str">
        <f t="shared" si="65"/>
        <v/>
      </c>
      <c r="AW1062" s="2" t="str">
        <f t="shared" si="66"/>
        <v/>
      </c>
      <c r="AX1062" s="2" t="str">
        <f t="shared" si="67"/>
        <v/>
      </c>
      <c r="AY1062" s="2" t="str">
        <f>IF($AV1062="","",IF(AND($Z1062=0,COUNTIF('AR SALES'!$L$2:$L$2501,$L1062)=0),"YES",""))</f>
        <v/>
      </c>
      <c r="AZ1062" s="2" t="str">
        <f>IF($AV1062="","",IF(COUNTIF(LISTS!$C$2:$C$250,$AU1062)=0,"NEW",""))</f>
        <v/>
      </c>
      <c r="BA1062" s="2" t="str">
        <f>IF(""&amp;$F1062&lt;&gt;"4","",IF($AY1062="YES","",IF(ROUND(SUMIFS($AE$2:$AE$4001,$L$2:$L$4001,$L1062,$F$2:$F$4001,"4")-SUMIFS('AR SALES'!$Y$2:$Y$2501,'AR SALES'!$L$2:$L$2501,$L1062,'AR SALES'!$AD$2:$AD$2501,"OFF"),2)=0,"","STALE")))</f>
        <v/>
      </c>
      <c r="BB1062" s="2" t="str">
        <f>IF(OR(""&amp;$F1062="2",""&amp;$F1062="4",""&amp;$F1062="G",""&amp;$F1062="H"),IF($AY1062="YES","",IF($AB1062&lt;&gt;0,"",IF(COUNTIFS('AR SALES'!$L$2:$L$2501,$L1062,'AR SALES'!$AD$2:$AD$2501,IF(""&amp;$F1062="4","OFF","ON"),'AR SALES'!$AF$2:$AF$2501,"Y")&gt;0,"","NO EXEMPTION"))),"")</f>
        <v/>
      </c>
    </row>
    <row r="1063" spans="46:54" x14ac:dyDescent="0.25">
      <c r="AT1063" s="2" t="str">
        <f>IF($L1063="","",IFERROR(INDEX('AR SALES'!$H$2:$H$2501,MATCH(""&amp;$L1063,'AR SALES'!$AE$2:$AE$2501,0)),""))</f>
        <v/>
      </c>
      <c r="AU1063" s="2" t="str">
        <f t="shared" si="64"/>
        <v/>
      </c>
      <c r="AV1063" s="2" t="str">
        <f t="shared" si="65"/>
        <v/>
      </c>
      <c r="AW1063" s="2" t="str">
        <f t="shared" si="66"/>
        <v/>
      </c>
      <c r="AX1063" s="2" t="str">
        <f t="shared" si="67"/>
        <v/>
      </c>
      <c r="AY1063" s="2" t="str">
        <f>IF($AV1063="","",IF(AND($Z1063=0,COUNTIF('AR SALES'!$L$2:$L$2501,$L1063)=0),"YES",""))</f>
        <v/>
      </c>
      <c r="AZ1063" s="2" t="str">
        <f>IF($AV1063="","",IF(COUNTIF(LISTS!$C$2:$C$250,$AU1063)=0,"NEW",""))</f>
        <v/>
      </c>
      <c r="BA1063" s="2" t="str">
        <f>IF(""&amp;$F1063&lt;&gt;"4","",IF($AY1063="YES","",IF(ROUND(SUMIFS($AE$2:$AE$4001,$L$2:$L$4001,$L1063,$F$2:$F$4001,"4")-SUMIFS('AR SALES'!$Y$2:$Y$2501,'AR SALES'!$L$2:$L$2501,$L1063,'AR SALES'!$AD$2:$AD$2501,"OFF"),2)=0,"","STALE")))</f>
        <v/>
      </c>
      <c r="BB1063" s="2" t="str">
        <f>IF(OR(""&amp;$F1063="2",""&amp;$F1063="4",""&amp;$F1063="G",""&amp;$F1063="H"),IF($AY1063="YES","",IF($AB1063&lt;&gt;0,"",IF(COUNTIFS('AR SALES'!$L$2:$L$2501,$L1063,'AR SALES'!$AD$2:$AD$2501,IF(""&amp;$F1063="4","OFF","ON"),'AR SALES'!$AF$2:$AF$2501,"Y")&gt;0,"","NO EXEMPTION"))),"")</f>
        <v/>
      </c>
    </row>
    <row r="1064" spans="46:54" x14ac:dyDescent="0.25">
      <c r="AT1064" s="2" t="str">
        <f>IF($L1064="","",IFERROR(INDEX('AR SALES'!$H$2:$H$2501,MATCH(""&amp;$L1064,'AR SALES'!$AE$2:$AE$2501,0)),""))</f>
        <v/>
      </c>
      <c r="AU1064" s="2" t="str">
        <f t="shared" si="64"/>
        <v/>
      </c>
      <c r="AV1064" s="2" t="str">
        <f t="shared" si="65"/>
        <v/>
      </c>
      <c r="AW1064" s="2" t="str">
        <f t="shared" si="66"/>
        <v/>
      </c>
      <c r="AX1064" s="2" t="str">
        <f t="shared" si="67"/>
        <v/>
      </c>
      <c r="AY1064" s="2" t="str">
        <f>IF($AV1064="","",IF(AND($Z1064=0,COUNTIF('AR SALES'!$L$2:$L$2501,$L1064)=0),"YES",""))</f>
        <v/>
      </c>
      <c r="AZ1064" s="2" t="str">
        <f>IF($AV1064="","",IF(COUNTIF(LISTS!$C$2:$C$250,$AU1064)=0,"NEW",""))</f>
        <v/>
      </c>
      <c r="BA1064" s="2" t="str">
        <f>IF(""&amp;$F1064&lt;&gt;"4","",IF($AY1064="YES","",IF(ROUND(SUMIFS($AE$2:$AE$4001,$L$2:$L$4001,$L1064,$F$2:$F$4001,"4")-SUMIFS('AR SALES'!$Y$2:$Y$2501,'AR SALES'!$L$2:$L$2501,$L1064,'AR SALES'!$AD$2:$AD$2501,"OFF"),2)=0,"","STALE")))</f>
        <v/>
      </c>
      <c r="BB1064" s="2" t="str">
        <f>IF(OR(""&amp;$F1064="2",""&amp;$F1064="4",""&amp;$F1064="G",""&amp;$F1064="H"),IF($AY1064="YES","",IF($AB1064&lt;&gt;0,"",IF(COUNTIFS('AR SALES'!$L$2:$L$2501,$L1064,'AR SALES'!$AD$2:$AD$2501,IF(""&amp;$F1064="4","OFF","ON"),'AR SALES'!$AF$2:$AF$2501,"Y")&gt;0,"","NO EXEMPTION"))),"")</f>
        <v/>
      </c>
    </row>
    <row r="1065" spans="46:54" x14ac:dyDescent="0.25">
      <c r="AT1065" s="2" t="str">
        <f>IF($L1065="","",IFERROR(INDEX('AR SALES'!$H$2:$H$2501,MATCH(""&amp;$L1065,'AR SALES'!$AE$2:$AE$2501,0)),""))</f>
        <v/>
      </c>
      <c r="AU1065" s="2" t="str">
        <f t="shared" si="64"/>
        <v/>
      </c>
      <c r="AV1065" s="2" t="str">
        <f t="shared" si="65"/>
        <v/>
      </c>
      <c r="AW1065" s="2" t="str">
        <f t="shared" si="66"/>
        <v/>
      </c>
      <c r="AX1065" s="2" t="str">
        <f t="shared" si="67"/>
        <v/>
      </c>
      <c r="AY1065" s="2" t="str">
        <f>IF($AV1065="","",IF(AND($Z1065=0,COUNTIF('AR SALES'!$L$2:$L$2501,$L1065)=0),"YES",""))</f>
        <v/>
      </c>
      <c r="AZ1065" s="2" t="str">
        <f>IF($AV1065="","",IF(COUNTIF(LISTS!$C$2:$C$250,$AU1065)=0,"NEW",""))</f>
        <v/>
      </c>
      <c r="BA1065" s="2" t="str">
        <f>IF(""&amp;$F1065&lt;&gt;"4","",IF($AY1065="YES","",IF(ROUND(SUMIFS($AE$2:$AE$4001,$L$2:$L$4001,$L1065,$F$2:$F$4001,"4")-SUMIFS('AR SALES'!$Y$2:$Y$2501,'AR SALES'!$L$2:$L$2501,$L1065,'AR SALES'!$AD$2:$AD$2501,"OFF"),2)=0,"","STALE")))</f>
        <v/>
      </c>
      <c r="BB1065" s="2" t="str">
        <f>IF(OR(""&amp;$F1065="2",""&amp;$F1065="4",""&amp;$F1065="G",""&amp;$F1065="H"),IF($AY1065="YES","",IF($AB1065&lt;&gt;0,"",IF(COUNTIFS('AR SALES'!$L$2:$L$2501,$L1065,'AR SALES'!$AD$2:$AD$2501,IF(""&amp;$F1065="4","OFF","ON"),'AR SALES'!$AF$2:$AF$2501,"Y")&gt;0,"","NO EXEMPTION"))),"")</f>
        <v/>
      </c>
    </row>
    <row r="1066" spans="46:54" x14ac:dyDescent="0.25">
      <c r="AT1066" s="2" t="str">
        <f>IF($L1066="","",IFERROR(INDEX('AR SALES'!$H$2:$H$2501,MATCH(""&amp;$L1066,'AR SALES'!$AE$2:$AE$2501,0)),""))</f>
        <v/>
      </c>
      <c r="AU1066" s="2" t="str">
        <f t="shared" si="64"/>
        <v/>
      </c>
      <c r="AV1066" s="2" t="str">
        <f t="shared" si="65"/>
        <v/>
      </c>
      <c r="AW1066" s="2" t="str">
        <f t="shared" si="66"/>
        <v/>
      </c>
      <c r="AX1066" s="2" t="str">
        <f t="shared" si="67"/>
        <v/>
      </c>
      <c r="AY1066" s="2" t="str">
        <f>IF($AV1066="","",IF(AND($Z1066=0,COUNTIF('AR SALES'!$L$2:$L$2501,$L1066)=0),"YES",""))</f>
        <v/>
      </c>
      <c r="AZ1066" s="2" t="str">
        <f>IF($AV1066="","",IF(COUNTIF(LISTS!$C$2:$C$250,$AU1066)=0,"NEW",""))</f>
        <v/>
      </c>
      <c r="BA1066" s="2" t="str">
        <f>IF(""&amp;$F1066&lt;&gt;"4","",IF($AY1066="YES","",IF(ROUND(SUMIFS($AE$2:$AE$4001,$L$2:$L$4001,$L1066,$F$2:$F$4001,"4")-SUMIFS('AR SALES'!$Y$2:$Y$2501,'AR SALES'!$L$2:$L$2501,$L1066,'AR SALES'!$AD$2:$AD$2501,"OFF"),2)=0,"","STALE")))</f>
        <v/>
      </c>
      <c r="BB1066" s="2" t="str">
        <f>IF(OR(""&amp;$F1066="2",""&amp;$F1066="4",""&amp;$F1066="G",""&amp;$F1066="H"),IF($AY1066="YES","",IF($AB1066&lt;&gt;0,"",IF(COUNTIFS('AR SALES'!$L$2:$L$2501,$L1066,'AR SALES'!$AD$2:$AD$2501,IF(""&amp;$F1066="4","OFF","ON"),'AR SALES'!$AF$2:$AF$2501,"Y")&gt;0,"","NO EXEMPTION"))),"")</f>
        <v/>
      </c>
    </row>
    <row r="1067" spans="46:54" x14ac:dyDescent="0.25">
      <c r="AT1067" s="2" t="str">
        <f>IF($L1067="","",IFERROR(INDEX('AR SALES'!$H$2:$H$2501,MATCH(""&amp;$L1067,'AR SALES'!$AE$2:$AE$2501,0)),""))</f>
        <v/>
      </c>
      <c r="AU1067" s="2" t="str">
        <f t="shared" si="64"/>
        <v/>
      </c>
      <c r="AV1067" s="2" t="str">
        <f t="shared" si="65"/>
        <v/>
      </c>
      <c r="AW1067" s="2" t="str">
        <f t="shared" si="66"/>
        <v/>
      </c>
      <c r="AX1067" s="2" t="str">
        <f t="shared" si="67"/>
        <v/>
      </c>
      <c r="AY1067" s="2" t="str">
        <f>IF($AV1067="","",IF(AND($Z1067=0,COUNTIF('AR SALES'!$L$2:$L$2501,$L1067)=0),"YES",""))</f>
        <v/>
      </c>
      <c r="AZ1067" s="2" t="str">
        <f>IF($AV1067="","",IF(COUNTIF(LISTS!$C$2:$C$250,$AU1067)=0,"NEW",""))</f>
        <v/>
      </c>
      <c r="BA1067" s="2" t="str">
        <f>IF(""&amp;$F1067&lt;&gt;"4","",IF($AY1067="YES","",IF(ROUND(SUMIFS($AE$2:$AE$4001,$L$2:$L$4001,$L1067,$F$2:$F$4001,"4")-SUMIFS('AR SALES'!$Y$2:$Y$2501,'AR SALES'!$L$2:$L$2501,$L1067,'AR SALES'!$AD$2:$AD$2501,"OFF"),2)=0,"","STALE")))</f>
        <v/>
      </c>
      <c r="BB1067" s="2" t="str">
        <f>IF(OR(""&amp;$F1067="2",""&amp;$F1067="4",""&amp;$F1067="G",""&amp;$F1067="H"),IF($AY1067="YES","",IF($AB1067&lt;&gt;0,"",IF(COUNTIFS('AR SALES'!$L$2:$L$2501,$L1067,'AR SALES'!$AD$2:$AD$2501,IF(""&amp;$F1067="4","OFF","ON"),'AR SALES'!$AF$2:$AF$2501,"Y")&gt;0,"","NO EXEMPTION"))),"")</f>
        <v/>
      </c>
    </row>
    <row r="1068" spans="46:54" x14ac:dyDescent="0.25">
      <c r="AT1068" s="2" t="str">
        <f>IF($L1068="","",IFERROR(INDEX('AR SALES'!$H$2:$H$2501,MATCH(""&amp;$L1068,'AR SALES'!$AE$2:$AE$2501,0)),""))</f>
        <v/>
      </c>
      <c r="AU1068" s="2" t="str">
        <f t="shared" si="64"/>
        <v/>
      </c>
      <c r="AV1068" s="2" t="str">
        <f t="shared" si="65"/>
        <v/>
      </c>
      <c r="AW1068" s="2" t="str">
        <f t="shared" si="66"/>
        <v/>
      </c>
      <c r="AX1068" s="2" t="str">
        <f t="shared" si="67"/>
        <v/>
      </c>
      <c r="AY1068" s="2" t="str">
        <f>IF($AV1068="","",IF(AND($Z1068=0,COUNTIF('AR SALES'!$L$2:$L$2501,$L1068)=0),"YES",""))</f>
        <v/>
      </c>
      <c r="AZ1068" s="2" t="str">
        <f>IF($AV1068="","",IF(COUNTIF(LISTS!$C$2:$C$250,$AU1068)=0,"NEW",""))</f>
        <v/>
      </c>
      <c r="BA1068" s="2" t="str">
        <f>IF(""&amp;$F1068&lt;&gt;"4","",IF($AY1068="YES","",IF(ROUND(SUMIFS($AE$2:$AE$4001,$L$2:$L$4001,$L1068,$F$2:$F$4001,"4")-SUMIFS('AR SALES'!$Y$2:$Y$2501,'AR SALES'!$L$2:$L$2501,$L1068,'AR SALES'!$AD$2:$AD$2501,"OFF"),2)=0,"","STALE")))</f>
        <v/>
      </c>
      <c r="BB1068" s="2" t="str">
        <f>IF(OR(""&amp;$F1068="2",""&amp;$F1068="4",""&amp;$F1068="G",""&amp;$F1068="H"),IF($AY1068="YES","",IF($AB1068&lt;&gt;0,"",IF(COUNTIFS('AR SALES'!$L$2:$L$2501,$L1068,'AR SALES'!$AD$2:$AD$2501,IF(""&amp;$F1068="4","OFF","ON"),'AR SALES'!$AF$2:$AF$2501,"Y")&gt;0,"","NO EXEMPTION"))),"")</f>
        <v/>
      </c>
    </row>
    <row r="1069" spans="46:54" x14ac:dyDescent="0.25">
      <c r="AT1069" s="2" t="str">
        <f>IF($L1069="","",IFERROR(INDEX('AR SALES'!$H$2:$H$2501,MATCH(""&amp;$L1069,'AR SALES'!$AE$2:$AE$2501,0)),""))</f>
        <v/>
      </c>
      <c r="AU1069" s="2" t="str">
        <f t="shared" si="64"/>
        <v/>
      </c>
      <c r="AV1069" s="2" t="str">
        <f t="shared" si="65"/>
        <v/>
      </c>
      <c r="AW1069" s="2" t="str">
        <f t="shared" si="66"/>
        <v/>
      </c>
      <c r="AX1069" s="2" t="str">
        <f t="shared" si="67"/>
        <v/>
      </c>
      <c r="AY1069" s="2" t="str">
        <f>IF($AV1069="","",IF(AND($Z1069=0,COUNTIF('AR SALES'!$L$2:$L$2501,$L1069)=0),"YES",""))</f>
        <v/>
      </c>
      <c r="AZ1069" s="2" t="str">
        <f>IF($AV1069="","",IF(COUNTIF(LISTS!$C$2:$C$250,$AU1069)=0,"NEW",""))</f>
        <v/>
      </c>
      <c r="BA1069" s="2" t="str">
        <f>IF(""&amp;$F1069&lt;&gt;"4","",IF($AY1069="YES","",IF(ROUND(SUMIFS($AE$2:$AE$4001,$L$2:$L$4001,$L1069,$F$2:$F$4001,"4")-SUMIFS('AR SALES'!$Y$2:$Y$2501,'AR SALES'!$L$2:$L$2501,$L1069,'AR SALES'!$AD$2:$AD$2501,"OFF"),2)=0,"","STALE")))</f>
        <v/>
      </c>
      <c r="BB1069" s="2" t="str">
        <f>IF(OR(""&amp;$F1069="2",""&amp;$F1069="4",""&amp;$F1069="G",""&amp;$F1069="H"),IF($AY1069="YES","",IF($AB1069&lt;&gt;0,"",IF(COUNTIFS('AR SALES'!$L$2:$L$2501,$L1069,'AR SALES'!$AD$2:$AD$2501,IF(""&amp;$F1069="4","OFF","ON"),'AR SALES'!$AF$2:$AF$2501,"Y")&gt;0,"","NO EXEMPTION"))),"")</f>
        <v/>
      </c>
    </row>
    <row r="1070" spans="46:54" x14ac:dyDescent="0.25">
      <c r="AT1070" s="2" t="str">
        <f>IF($L1070="","",IFERROR(INDEX('AR SALES'!$H$2:$H$2501,MATCH(""&amp;$L1070,'AR SALES'!$AE$2:$AE$2501,0)),""))</f>
        <v/>
      </c>
      <c r="AU1070" s="2" t="str">
        <f t="shared" si="64"/>
        <v/>
      </c>
      <c r="AV1070" s="2" t="str">
        <f t="shared" si="65"/>
        <v/>
      </c>
      <c r="AW1070" s="2" t="str">
        <f t="shared" si="66"/>
        <v/>
      </c>
      <c r="AX1070" s="2" t="str">
        <f t="shared" si="67"/>
        <v/>
      </c>
      <c r="AY1070" s="2" t="str">
        <f>IF($AV1070="","",IF(AND($Z1070=0,COUNTIF('AR SALES'!$L$2:$L$2501,$L1070)=0),"YES",""))</f>
        <v/>
      </c>
      <c r="AZ1070" s="2" t="str">
        <f>IF($AV1070="","",IF(COUNTIF(LISTS!$C$2:$C$250,$AU1070)=0,"NEW",""))</f>
        <v/>
      </c>
      <c r="BA1070" s="2" t="str">
        <f>IF(""&amp;$F1070&lt;&gt;"4","",IF($AY1070="YES","",IF(ROUND(SUMIFS($AE$2:$AE$4001,$L$2:$L$4001,$L1070,$F$2:$F$4001,"4")-SUMIFS('AR SALES'!$Y$2:$Y$2501,'AR SALES'!$L$2:$L$2501,$L1070,'AR SALES'!$AD$2:$AD$2501,"OFF"),2)=0,"","STALE")))</f>
        <v/>
      </c>
      <c r="BB1070" s="2" t="str">
        <f>IF(OR(""&amp;$F1070="2",""&amp;$F1070="4",""&amp;$F1070="G",""&amp;$F1070="H"),IF($AY1070="YES","",IF($AB1070&lt;&gt;0,"",IF(COUNTIFS('AR SALES'!$L$2:$L$2501,$L1070,'AR SALES'!$AD$2:$AD$2501,IF(""&amp;$F1070="4","OFF","ON"),'AR SALES'!$AF$2:$AF$2501,"Y")&gt;0,"","NO EXEMPTION"))),"")</f>
        <v/>
      </c>
    </row>
    <row r="1071" spans="46:54" x14ac:dyDescent="0.25">
      <c r="AT1071" s="2" t="str">
        <f>IF($L1071="","",IFERROR(INDEX('AR SALES'!$H$2:$H$2501,MATCH(""&amp;$L1071,'AR SALES'!$AE$2:$AE$2501,0)),""))</f>
        <v/>
      </c>
      <c r="AU1071" s="2" t="str">
        <f t="shared" si="64"/>
        <v/>
      </c>
      <c r="AV1071" s="2" t="str">
        <f t="shared" si="65"/>
        <v/>
      </c>
      <c r="AW1071" s="2" t="str">
        <f t="shared" si="66"/>
        <v/>
      </c>
      <c r="AX1071" s="2" t="str">
        <f t="shared" si="67"/>
        <v/>
      </c>
      <c r="AY1071" s="2" t="str">
        <f>IF($AV1071="","",IF(AND($Z1071=0,COUNTIF('AR SALES'!$L$2:$L$2501,$L1071)=0),"YES",""))</f>
        <v/>
      </c>
      <c r="AZ1071" s="2" t="str">
        <f>IF($AV1071="","",IF(COUNTIF(LISTS!$C$2:$C$250,$AU1071)=0,"NEW",""))</f>
        <v/>
      </c>
      <c r="BA1071" s="2" t="str">
        <f>IF(""&amp;$F1071&lt;&gt;"4","",IF($AY1071="YES","",IF(ROUND(SUMIFS($AE$2:$AE$4001,$L$2:$L$4001,$L1071,$F$2:$F$4001,"4")-SUMIFS('AR SALES'!$Y$2:$Y$2501,'AR SALES'!$L$2:$L$2501,$L1071,'AR SALES'!$AD$2:$AD$2501,"OFF"),2)=0,"","STALE")))</f>
        <v/>
      </c>
      <c r="BB1071" s="2" t="str">
        <f>IF(OR(""&amp;$F1071="2",""&amp;$F1071="4",""&amp;$F1071="G",""&amp;$F1071="H"),IF($AY1071="YES","",IF($AB1071&lt;&gt;0,"",IF(COUNTIFS('AR SALES'!$L$2:$L$2501,$L1071,'AR SALES'!$AD$2:$AD$2501,IF(""&amp;$F1071="4","OFF","ON"),'AR SALES'!$AF$2:$AF$2501,"Y")&gt;0,"","NO EXEMPTION"))),"")</f>
        <v/>
      </c>
    </row>
    <row r="1072" spans="46:54" x14ac:dyDescent="0.25">
      <c r="AT1072" s="2" t="str">
        <f>IF($L1072="","",IFERROR(INDEX('AR SALES'!$H$2:$H$2501,MATCH(""&amp;$L1072,'AR SALES'!$AE$2:$AE$2501,0)),""))</f>
        <v/>
      </c>
      <c r="AU1072" s="2" t="str">
        <f t="shared" si="64"/>
        <v/>
      </c>
      <c r="AV1072" s="2" t="str">
        <f t="shared" si="65"/>
        <v/>
      </c>
      <c r="AW1072" s="2" t="str">
        <f t="shared" si="66"/>
        <v/>
      </c>
      <c r="AX1072" s="2" t="str">
        <f t="shared" si="67"/>
        <v/>
      </c>
      <c r="AY1072" s="2" t="str">
        <f>IF($AV1072="","",IF(AND($Z1072=0,COUNTIF('AR SALES'!$L$2:$L$2501,$L1072)=0),"YES",""))</f>
        <v/>
      </c>
      <c r="AZ1072" s="2" t="str">
        <f>IF($AV1072="","",IF(COUNTIF(LISTS!$C$2:$C$250,$AU1072)=0,"NEW",""))</f>
        <v/>
      </c>
      <c r="BA1072" s="2" t="str">
        <f>IF(""&amp;$F1072&lt;&gt;"4","",IF($AY1072="YES","",IF(ROUND(SUMIFS($AE$2:$AE$4001,$L$2:$L$4001,$L1072,$F$2:$F$4001,"4")-SUMIFS('AR SALES'!$Y$2:$Y$2501,'AR SALES'!$L$2:$L$2501,$L1072,'AR SALES'!$AD$2:$AD$2501,"OFF"),2)=0,"","STALE")))</f>
        <v/>
      </c>
      <c r="BB1072" s="2" t="str">
        <f>IF(OR(""&amp;$F1072="2",""&amp;$F1072="4",""&amp;$F1072="G",""&amp;$F1072="H"),IF($AY1072="YES","",IF($AB1072&lt;&gt;0,"",IF(COUNTIFS('AR SALES'!$L$2:$L$2501,$L1072,'AR SALES'!$AD$2:$AD$2501,IF(""&amp;$F1072="4","OFF","ON"),'AR SALES'!$AF$2:$AF$2501,"Y")&gt;0,"","NO EXEMPTION"))),"")</f>
        <v/>
      </c>
    </row>
    <row r="1073" spans="46:54" x14ac:dyDescent="0.25">
      <c r="AT1073" s="2" t="str">
        <f>IF($L1073="","",IFERROR(INDEX('AR SALES'!$H$2:$H$2501,MATCH(""&amp;$L1073,'AR SALES'!$AE$2:$AE$2501,0)),""))</f>
        <v/>
      </c>
      <c r="AU1073" s="2" t="str">
        <f t="shared" si="64"/>
        <v/>
      </c>
      <c r="AV1073" s="2" t="str">
        <f t="shared" si="65"/>
        <v/>
      </c>
      <c r="AW1073" s="2" t="str">
        <f t="shared" si="66"/>
        <v/>
      </c>
      <c r="AX1073" s="2" t="str">
        <f t="shared" si="67"/>
        <v/>
      </c>
      <c r="AY1073" s="2" t="str">
        <f>IF($AV1073="","",IF(AND($Z1073=0,COUNTIF('AR SALES'!$L$2:$L$2501,$L1073)=0),"YES",""))</f>
        <v/>
      </c>
      <c r="AZ1073" s="2" t="str">
        <f>IF($AV1073="","",IF(COUNTIF(LISTS!$C$2:$C$250,$AU1073)=0,"NEW",""))</f>
        <v/>
      </c>
      <c r="BA1073" s="2" t="str">
        <f>IF(""&amp;$F1073&lt;&gt;"4","",IF($AY1073="YES","",IF(ROUND(SUMIFS($AE$2:$AE$4001,$L$2:$L$4001,$L1073,$F$2:$F$4001,"4")-SUMIFS('AR SALES'!$Y$2:$Y$2501,'AR SALES'!$L$2:$L$2501,$L1073,'AR SALES'!$AD$2:$AD$2501,"OFF"),2)=0,"","STALE")))</f>
        <v/>
      </c>
      <c r="BB1073" s="2" t="str">
        <f>IF(OR(""&amp;$F1073="2",""&amp;$F1073="4",""&amp;$F1073="G",""&amp;$F1073="H"),IF($AY1073="YES","",IF($AB1073&lt;&gt;0,"",IF(COUNTIFS('AR SALES'!$L$2:$L$2501,$L1073,'AR SALES'!$AD$2:$AD$2501,IF(""&amp;$F1073="4","OFF","ON"),'AR SALES'!$AF$2:$AF$2501,"Y")&gt;0,"","NO EXEMPTION"))),"")</f>
        <v/>
      </c>
    </row>
    <row r="1074" spans="46:54" x14ac:dyDescent="0.25">
      <c r="AT1074" s="2" t="str">
        <f>IF($L1074="","",IFERROR(INDEX('AR SALES'!$H$2:$H$2501,MATCH(""&amp;$L1074,'AR SALES'!$AE$2:$AE$2501,0)),""))</f>
        <v/>
      </c>
      <c r="AU1074" s="2" t="str">
        <f t="shared" si="64"/>
        <v/>
      </c>
      <c r="AV1074" s="2" t="str">
        <f t="shared" si="65"/>
        <v/>
      </c>
      <c r="AW1074" s="2" t="str">
        <f t="shared" si="66"/>
        <v/>
      </c>
      <c r="AX1074" s="2" t="str">
        <f t="shared" si="67"/>
        <v/>
      </c>
      <c r="AY1074" s="2" t="str">
        <f>IF($AV1074="","",IF(AND($Z1074=0,COUNTIF('AR SALES'!$L$2:$L$2501,$L1074)=0),"YES",""))</f>
        <v/>
      </c>
      <c r="AZ1074" s="2" t="str">
        <f>IF($AV1074="","",IF(COUNTIF(LISTS!$C$2:$C$250,$AU1074)=0,"NEW",""))</f>
        <v/>
      </c>
      <c r="BA1074" s="2" t="str">
        <f>IF(""&amp;$F1074&lt;&gt;"4","",IF($AY1074="YES","",IF(ROUND(SUMIFS($AE$2:$AE$4001,$L$2:$L$4001,$L1074,$F$2:$F$4001,"4")-SUMIFS('AR SALES'!$Y$2:$Y$2501,'AR SALES'!$L$2:$L$2501,$L1074,'AR SALES'!$AD$2:$AD$2501,"OFF"),2)=0,"","STALE")))</f>
        <v/>
      </c>
      <c r="BB1074" s="2" t="str">
        <f>IF(OR(""&amp;$F1074="2",""&amp;$F1074="4",""&amp;$F1074="G",""&amp;$F1074="H"),IF($AY1074="YES","",IF($AB1074&lt;&gt;0,"",IF(COUNTIFS('AR SALES'!$L$2:$L$2501,$L1074,'AR SALES'!$AD$2:$AD$2501,IF(""&amp;$F1074="4","OFF","ON"),'AR SALES'!$AF$2:$AF$2501,"Y")&gt;0,"","NO EXEMPTION"))),"")</f>
        <v/>
      </c>
    </row>
    <row r="1075" spans="46:54" x14ac:dyDescent="0.25">
      <c r="AT1075" s="2" t="str">
        <f>IF($L1075="","",IFERROR(INDEX('AR SALES'!$H$2:$H$2501,MATCH(""&amp;$L1075,'AR SALES'!$AE$2:$AE$2501,0)),""))</f>
        <v/>
      </c>
      <c r="AU1075" s="2" t="str">
        <f t="shared" si="64"/>
        <v/>
      </c>
      <c r="AV1075" s="2" t="str">
        <f t="shared" si="65"/>
        <v/>
      </c>
      <c r="AW1075" s="2" t="str">
        <f t="shared" si="66"/>
        <v/>
      </c>
      <c r="AX1075" s="2" t="str">
        <f t="shared" si="67"/>
        <v/>
      </c>
      <c r="AY1075" s="2" t="str">
        <f>IF($AV1075="","",IF(AND($Z1075=0,COUNTIF('AR SALES'!$L$2:$L$2501,$L1075)=0),"YES",""))</f>
        <v/>
      </c>
      <c r="AZ1075" s="2" t="str">
        <f>IF($AV1075="","",IF(COUNTIF(LISTS!$C$2:$C$250,$AU1075)=0,"NEW",""))</f>
        <v/>
      </c>
      <c r="BA1075" s="2" t="str">
        <f>IF(""&amp;$F1075&lt;&gt;"4","",IF($AY1075="YES","",IF(ROUND(SUMIFS($AE$2:$AE$4001,$L$2:$L$4001,$L1075,$F$2:$F$4001,"4")-SUMIFS('AR SALES'!$Y$2:$Y$2501,'AR SALES'!$L$2:$L$2501,$L1075,'AR SALES'!$AD$2:$AD$2501,"OFF"),2)=0,"","STALE")))</f>
        <v/>
      </c>
      <c r="BB1075" s="2" t="str">
        <f>IF(OR(""&amp;$F1075="2",""&amp;$F1075="4",""&amp;$F1075="G",""&amp;$F1075="H"),IF($AY1075="YES","",IF($AB1075&lt;&gt;0,"",IF(COUNTIFS('AR SALES'!$L$2:$L$2501,$L1075,'AR SALES'!$AD$2:$AD$2501,IF(""&amp;$F1075="4","OFF","ON"),'AR SALES'!$AF$2:$AF$2501,"Y")&gt;0,"","NO EXEMPTION"))),"")</f>
        <v/>
      </c>
    </row>
    <row r="1076" spans="46:54" x14ac:dyDescent="0.25">
      <c r="AT1076" s="2" t="str">
        <f>IF($L1076="","",IFERROR(INDEX('AR SALES'!$H$2:$H$2501,MATCH(""&amp;$L1076,'AR SALES'!$AE$2:$AE$2501,0)),""))</f>
        <v/>
      </c>
      <c r="AU1076" s="2" t="str">
        <f t="shared" si="64"/>
        <v/>
      </c>
      <c r="AV1076" s="2" t="str">
        <f t="shared" si="65"/>
        <v/>
      </c>
      <c r="AW1076" s="2" t="str">
        <f t="shared" si="66"/>
        <v/>
      </c>
      <c r="AX1076" s="2" t="str">
        <f t="shared" si="67"/>
        <v/>
      </c>
      <c r="AY1076" s="2" t="str">
        <f>IF($AV1076="","",IF(AND($Z1076=0,COUNTIF('AR SALES'!$L$2:$L$2501,$L1076)=0),"YES",""))</f>
        <v/>
      </c>
      <c r="AZ1076" s="2" t="str">
        <f>IF($AV1076="","",IF(COUNTIF(LISTS!$C$2:$C$250,$AU1076)=0,"NEW",""))</f>
        <v/>
      </c>
      <c r="BA1076" s="2" t="str">
        <f>IF(""&amp;$F1076&lt;&gt;"4","",IF($AY1076="YES","",IF(ROUND(SUMIFS($AE$2:$AE$4001,$L$2:$L$4001,$L1076,$F$2:$F$4001,"4")-SUMIFS('AR SALES'!$Y$2:$Y$2501,'AR SALES'!$L$2:$L$2501,$L1076,'AR SALES'!$AD$2:$AD$2501,"OFF"),2)=0,"","STALE")))</f>
        <v/>
      </c>
      <c r="BB1076" s="2" t="str">
        <f>IF(OR(""&amp;$F1076="2",""&amp;$F1076="4",""&amp;$F1076="G",""&amp;$F1076="H"),IF($AY1076="YES","",IF($AB1076&lt;&gt;0,"",IF(COUNTIFS('AR SALES'!$L$2:$L$2501,$L1076,'AR SALES'!$AD$2:$AD$2501,IF(""&amp;$F1076="4","OFF","ON"),'AR SALES'!$AF$2:$AF$2501,"Y")&gt;0,"","NO EXEMPTION"))),"")</f>
        <v/>
      </c>
    </row>
    <row r="1077" spans="46:54" x14ac:dyDescent="0.25">
      <c r="AT1077" s="2" t="str">
        <f>IF($L1077="","",IFERROR(INDEX('AR SALES'!$H$2:$H$2501,MATCH(""&amp;$L1077,'AR SALES'!$AE$2:$AE$2501,0)),""))</f>
        <v/>
      </c>
      <c r="AU1077" s="2" t="str">
        <f t="shared" si="64"/>
        <v/>
      </c>
      <c r="AV1077" s="2" t="str">
        <f t="shared" si="65"/>
        <v/>
      </c>
      <c r="AW1077" s="2" t="str">
        <f t="shared" si="66"/>
        <v/>
      </c>
      <c r="AX1077" s="2" t="str">
        <f t="shared" si="67"/>
        <v/>
      </c>
      <c r="AY1077" s="2" t="str">
        <f>IF($AV1077="","",IF(AND($Z1077=0,COUNTIF('AR SALES'!$L$2:$L$2501,$L1077)=0),"YES",""))</f>
        <v/>
      </c>
      <c r="AZ1077" s="2" t="str">
        <f>IF($AV1077="","",IF(COUNTIF(LISTS!$C$2:$C$250,$AU1077)=0,"NEW",""))</f>
        <v/>
      </c>
      <c r="BA1077" s="2" t="str">
        <f>IF(""&amp;$F1077&lt;&gt;"4","",IF($AY1077="YES","",IF(ROUND(SUMIFS($AE$2:$AE$4001,$L$2:$L$4001,$L1077,$F$2:$F$4001,"4")-SUMIFS('AR SALES'!$Y$2:$Y$2501,'AR SALES'!$L$2:$L$2501,$L1077,'AR SALES'!$AD$2:$AD$2501,"OFF"),2)=0,"","STALE")))</f>
        <v/>
      </c>
      <c r="BB1077" s="2" t="str">
        <f>IF(OR(""&amp;$F1077="2",""&amp;$F1077="4",""&amp;$F1077="G",""&amp;$F1077="H"),IF($AY1077="YES","",IF($AB1077&lt;&gt;0,"",IF(COUNTIFS('AR SALES'!$L$2:$L$2501,$L1077,'AR SALES'!$AD$2:$AD$2501,IF(""&amp;$F1077="4","OFF","ON"),'AR SALES'!$AF$2:$AF$2501,"Y")&gt;0,"","NO EXEMPTION"))),"")</f>
        <v/>
      </c>
    </row>
    <row r="1078" spans="46:54" x14ac:dyDescent="0.25">
      <c r="AT1078" s="2" t="str">
        <f>IF($L1078="","",IFERROR(INDEX('AR SALES'!$H$2:$H$2501,MATCH(""&amp;$L1078,'AR SALES'!$AE$2:$AE$2501,0)),""))</f>
        <v/>
      </c>
      <c r="AU1078" s="2" t="str">
        <f t="shared" si="64"/>
        <v/>
      </c>
      <c r="AV1078" s="2" t="str">
        <f t="shared" si="65"/>
        <v/>
      </c>
      <c r="AW1078" s="2" t="str">
        <f t="shared" si="66"/>
        <v/>
      </c>
      <c r="AX1078" s="2" t="str">
        <f t="shared" si="67"/>
        <v/>
      </c>
      <c r="AY1078" s="2" t="str">
        <f>IF($AV1078="","",IF(AND($Z1078=0,COUNTIF('AR SALES'!$L$2:$L$2501,$L1078)=0),"YES",""))</f>
        <v/>
      </c>
      <c r="AZ1078" s="2" t="str">
        <f>IF($AV1078="","",IF(COUNTIF(LISTS!$C$2:$C$250,$AU1078)=0,"NEW",""))</f>
        <v/>
      </c>
      <c r="BA1078" s="2" t="str">
        <f>IF(""&amp;$F1078&lt;&gt;"4","",IF($AY1078="YES","",IF(ROUND(SUMIFS($AE$2:$AE$4001,$L$2:$L$4001,$L1078,$F$2:$F$4001,"4")-SUMIFS('AR SALES'!$Y$2:$Y$2501,'AR SALES'!$L$2:$L$2501,$L1078,'AR SALES'!$AD$2:$AD$2501,"OFF"),2)=0,"","STALE")))</f>
        <v/>
      </c>
      <c r="BB1078" s="2" t="str">
        <f>IF(OR(""&amp;$F1078="2",""&amp;$F1078="4",""&amp;$F1078="G",""&amp;$F1078="H"),IF($AY1078="YES","",IF($AB1078&lt;&gt;0,"",IF(COUNTIFS('AR SALES'!$L$2:$L$2501,$L1078,'AR SALES'!$AD$2:$AD$2501,IF(""&amp;$F1078="4","OFF","ON"),'AR SALES'!$AF$2:$AF$2501,"Y")&gt;0,"","NO EXEMPTION"))),"")</f>
        <v/>
      </c>
    </row>
    <row r="1079" spans="46:54" x14ac:dyDescent="0.25">
      <c r="AT1079" s="2" t="str">
        <f>IF($L1079="","",IFERROR(INDEX('AR SALES'!$H$2:$H$2501,MATCH(""&amp;$L1079,'AR SALES'!$AE$2:$AE$2501,0)),""))</f>
        <v/>
      </c>
      <c r="AU1079" s="2" t="str">
        <f t="shared" si="64"/>
        <v/>
      </c>
      <c r="AV1079" s="2" t="str">
        <f t="shared" si="65"/>
        <v/>
      </c>
      <c r="AW1079" s="2" t="str">
        <f t="shared" si="66"/>
        <v/>
      </c>
      <c r="AX1079" s="2" t="str">
        <f t="shared" si="67"/>
        <v/>
      </c>
      <c r="AY1079" s="2" t="str">
        <f>IF($AV1079="","",IF(AND($Z1079=0,COUNTIF('AR SALES'!$L$2:$L$2501,$L1079)=0),"YES",""))</f>
        <v/>
      </c>
      <c r="AZ1079" s="2" t="str">
        <f>IF($AV1079="","",IF(COUNTIF(LISTS!$C$2:$C$250,$AU1079)=0,"NEW",""))</f>
        <v/>
      </c>
      <c r="BA1079" s="2" t="str">
        <f>IF(""&amp;$F1079&lt;&gt;"4","",IF($AY1079="YES","",IF(ROUND(SUMIFS($AE$2:$AE$4001,$L$2:$L$4001,$L1079,$F$2:$F$4001,"4")-SUMIFS('AR SALES'!$Y$2:$Y$2501,'AR SALES'!$L$2:$L$2501,$L1079,'AR SALES'!$AD$2:$AD$2501,"OFF"),2)=0,"","STALE")))</f>
        <v/>
      </c>
      <c r="BB1079" s="2" t="str">
        <f>IF(OR(""&amp;$F1079="2",""&amp;$F1079="4",""&amp;$F1079="G",""&amp;$F1079="H"),IF($AY1079="YES","",IF($AB1079&lt;&gt;0,"",IF(COUNTIFS('AR SALES'!$L$2:$L$2501,$L1079,'AR SALES'!$AD$2:$AD$2501,IF(""&amp;$F1079="4","OFF","ON"),'AR SALES'!$AF$2:$AF$2501,"Y")&gt;0,"","NO EXEMPTION"))),"")</f>
        <v/>
      </c>
    </row>
    <row r="1080" spans="46:54" x14ac:dyDescent="0.25">
      <c r="AT1080" s="2" t="str">
        <f>IF($L1080="","",IFERROR(INDEX('AR SALES'!$H$2:$H$2501,MATCH(""&amp;$L1080,'AR SALES'!$AE$2:$AE$2501,0)),""))</f>
        <v/>
      </c>
      <c r="AU1080" s="2" t="str">
        <f t="shared" si="64"/>
        <v/>
      </c>
      <c r="AV1080" s="2" t="str">
        <f t="shared" si="65"/>
        <v/>
      </c>
      <c r="AW1080" s="2" t="str">
        <f t="shared" si="66"/>
        <v/>
      </c>
      <c r="AX1080" s="2" t="str">
        <f t="shared" si="67"/>
        <v/>
      </c>
      <c r="AY1080" s="2" t="str">
        <f>IF($AV1080="","",IF(AND($Z1080=0,COUNTIF('AR SALES'!$L$2:$L$2501,$L1080)=0),"YES",""))</f>
        <v/>
      </c>
      <c r="AZ1080" s="2" t="str">
        <f>IF($AV1080="","",IF(COUNTIF(LISTS!$C$2:$C$250,$AU1080)=0,"NEW",""))</f>
        <v/>
      </c>
      <c r="BA1080" s="2" t="str">
        <f>IF(""&amp;$F1080&lt;&gt;"4","",IF($AY1080="YES","",IF(ROUND(SUMIFS($AE$2:$AE$4001,$L$2:$L$4001,$L1080,$F$2:$F$4001,"4")-SUMIFS('AR SALES'!$Y$2:$Y$2501,'AR SALES'!$L$2:$L$2501,$L1080,'AR SALES'!$AD$2:$AD$2501,"OFF"),2)=0,"","STALE")))</f>
        <v/>
      </c>
      <c r="BB1080" s="2" t="str">
        <f>IF(OR(""&amp;$F1080="2",""&amp;$F1080="4",""&amp;$F1080="G",""&amp;$F1080="H"),IF($AY1080="YES","",IF($AB1080&lt;&gt;0,"",IF(COUNTIFS('AR SALES'!$L$2:$L$2501,$L1080,'AR SALES'!$AD$2:$AD$2501,IF(""&amp;$F1080="4","OFF","ON"),'AR SALES'!$AF$2:$AF$2501,"Y")&gt;0,"","NO EXEMPTION"))),"")</f>
        <v/>
      </c>
    </row>
    <row r="1081" spans="46:54" x14ac:dyDescent="0.25">
      <c r="AT1081" s="2" t="str">
        <f>IF($L1081="","",IFERROR(INDEX('AR SALES'!$H$2:$H$2501,MATCH(""&amp;$L1081,'AR SALES'!$AE$2:$AE$2501,0)),""))</f>
        <v/>
      </c>
      <c r="AU1081" s="2" t="str">
        <f t="shared" si="64"/>
        <v/>
      </c>
      <c r="AV1081" s="2" t="str">
        <f t="shared" si="65"/>
        <v/>
      </c>
      <c r="AW1081" s="2" t="str">
        <f t="shared" si="66"/>
        <v/>
      </c>
      <c r="AX1081" s="2" t="str">
        <f t="shared" si="67"/>
        <v/>
      </c>
      <c r="AY1081" s="2" t="str">
        <f>IF($AV1081="","",IF(AND($Z1081=0,COUNTIF('AR SALES'!$L$2:$L$2501,$L1081)=0),"YES",""))</f>
        <v/>
      </c>
      <c r="AZ1081" s="2" t="str">
        <f>IF($AV1081="","",IF(COUNTIF(LISTS!$C$2:$C$250,$AU1081)=0,"NEW",""))</f>
        <v/>
      </c>
      <c r="BA1081" s="2" t="str">
        <f>IF(""&amp;$F1081&lt;&gt;"4","",IF($AY1081="YES","",IF(ROUND(SUMIFS($AE$2:$AE$4001,$L$2:$L$4001,$L1081,$F$2:$F$4001,"4")-SUMIFS('AR SALES'!$Y$2:$Y$2501,'AR SALES'!$L$2:$L$2501,$L1081,'AR SALES'!$AD$2:$AD$2501,"OFF"),2)=0,"","STALE")))</f>
        <v/>
      </c>
      <c r="BB1081" s="2" t="str">
        <f>IF(OR(""&amp;$F1081="2",""&amp;$F1081="4",""&amp;$F1081="G",""&amp;$F1081="H"),IF($AY1081="YES","",IF($AB1081&lt;&gt;0,"",IF(COUNTIFS('AR SALES'!$L$2:$L$2501,$L1081,'AR SALES'!$AD$2:$AD$2501,IF(""&amp;$F1081="4","OFF","ON"),'AR SALES'!$AF$2:$AF$2501,"Y")&gt;0,"","NO EXEMPTION"))),"")</f>
        <v/>
      </c>
    </row>
    <row r="1082" spans="46:54" x14ac:dyDescent="0.25">
      <c r="AT1082" s="2" t="str">
        <f>IF($L1082="","",IFERROR(INDEX('AR SALES'!$H$2:$H$2501,MATCH(""&amp;$L1082,'AR SALES'!$AE$2:$AE$2501,0)),""))</f>
        <v/>
      </c>
      <c r="AU1082" s="2" t="str">
        <f t="shared" si="64"/>
        <v/>
      </c>
      <c r="AV1082" s="2" t="str">
        <f t="shared" si="65"/>
        <v/>
      </c>
      <c r="AW1082" s="2" t="str">
        <f t="shared" si="66"/>
        <v/>
      </c>
      <c r="AX1082" s="2" t="str">
        <f t="shared" si="67"/>
        <v/>
      </c>
      <c r="AY1082" s="2" t="str">
        <f>IF($AV1082="","",IF(AND($Z1082=0,COUNTIF('AR SALES'!$L$2:$L$2501,$L1082)=0),"YES",""))</f>
        <v/>
      </c>
      <c r="AZ1082" s="2" t="str">
        <f>IF($AV1082="","",IF(COUNTIF(LISTS!$C$2:$C$250,$AU1082)=0,"NEW",""))</f>
        <v/>
      </c>
      <c r="BA1082" s="2" t="str">
        <f>IF(""&amp;$F1082&lt;&gt;"4","",IF($AY1082="YES","",IF(ROUND(SUMIFS($AE$2:$AE$4001,$L$2:$L$4001,$L1082,$F$2:$F$4001,"4")-SUMIFS('AR SALES'!$Y$2:$Y$2501,'AR SALES'!$L$2:$L$2501,$L1082,'AR SALES'!$AD$2:$AD$2501,"OFF"),2)=0,"","STALE")))</f>
        <v/>
      </c>
      <c r="BB1082" s="2" t="str">
        <f>IF(OR(""&amp;$F1082="2",""&amp;$F1082="4",""&amp;$F1082="G",""&amp;$F1082="H"),IF($AY1082="YES","",IF($AB1082&lt;&gt;0,"",IF(COUNTIFS('AR SALES'!$L$2:$L$2501,$L1082,'AR SALES'!$AD$2:$AD$2501,IF(""&amp;$F1082="4","OFF","ON"),'AR SALES'!$AF$2:$AF$2501,"Y")&gt;0,"","NO EXEMPTION"))),"")</f>
        <v/>
      </c>
    </row>
    <row r="1083" spans="46:54" x14ac:dyDescent="0.25">
      <c r="AT1083" s="2" t="str">
        <f>IF($L1083="","",IFERROR(INDEX('AR SALES'!$H$2:$H$2501,MATCH(""&amp;$L1083,'AR SALES'!$AE$2:$AE$2501,0)),""))</f>
        <v/>
      </c>
      <c r="AU1083" s="2" t="str">
        <f t="shared" si="64"/>
        <v/>
      </c>
      <c r="AV1083" s="2" t="str">
        <f t="shared" si="65"/>
        <v/>
      </c>
      <c r="AW1083" s="2" t="str">
        <f t="shared" si="66"/>
        <v/>
      </c>
      <c r="AX1083" s="2" t="str">
        <f t="shared" si="67"/>
        <v/>
      </c>
      <c r="AY1083" s="2" t="str">
        <f>IF($AV1083="","",IF(AND($Z1083=0,COUNTIF('AR SALES'!$L$2:$L$2501,$L1083)=0),"YES",""))</f>
        <v/>
      </c>
      <c r="AZ1083" s="2" t="str">
        <f>IF($AV1083="","",IF(COUNTIF(LISTS!$C$2:$C$250,$AU1083)=0,"NEW",""))</f>
        <v/>
      </c>
      <c r="BA1083" s="2" t="str">
        <f>IF(""&amp;$F1083&lt;&gt;"4","",IF($AY1083="YES","",IF(ROUND(SUMIFS($AE$2:$AE$4001,$L$2:$L$4001,$L1083,$F$2:$F$4001,"4")-SUMIFS('AR SALES'!$Y$2:$Y$2501,'AR SALES'!$L$2:$L$2501,$L1083,'AR SALES'!$AD$2:$AD$2501,"OFF"),2)=0,"","STALE")))</f>
        <v/>
      </c>
      <c r="BB1083" s="2" t="str">
        <f>IF(OR(""&amp;$F1083="2",""&amp;$F1083="4",""&amp;$F1083="G",""&amp;$F1083="H"),IF($AY1083="YES","",IF($AB1083&lt;&gt;0,"",IF(COUNTIFS('AR SALES'!$L$2:$L$2501,$L1083,'AR SALES'!$AD$2:$AD$2501,IF(""&amp;$F1083="4","OFF","ON"),'AR SALES'!$AF$2:$AF$2501,"Y")&gt;0,"","NO EXEMPTION"))),"")</f>
        <v/>
      </c>
    </row>
    <row r="1084" spans="46:54" x14ac:dyDescent="0.25">
      <c r="AT1084" s="2" t="str">
        <f>IF($L1084="","",IFERROR(INDEX('AR SALES'!$H$2:$H$2501,MATCH(""&amp;$L1084,'AR SALES'!$AE$2:$AE$2501,0)),""))</f>
        <v/>
      </c>
      <c r="AU1084" s="2" t="str">
        <f t="shared" si="64"/>
        <v/>
      </c>
      <c r="AV1084" s="2" t="str">
        <f t="shared" si="65"/>
        <v/>
      </c>
      <c r="AW1084" s="2" t="str">
        <f t="shared" si="66"/>
        <v/>
      </c>
      <c r="AX1084" s="2" t="str">
        <f t="shared" si="67"/>
        <v/>
      </c>
      <c r="AY1084" s="2" t="str">
        <f>IF($AV1084="","",IF(AND($Z1084=0,COUNTIF('AR SALES'!$L$2:$L$2501,$L1084)=0),"YES",""))</f>
        <v/>
      </c>
      <c r="AZ1084" s="2" t="str">
        <f>IF($AV1084="","",IF(COUNTIF(LISTS!$C$2:$C$250,$AU1084)=0,"NEW",""))</f>
        <v/>
      </c>
      <c r="BA1084" s="2" t="str">
        <f>IF(""&amp;$F1084&lt;&gt;"4","",IF($AY1084="YES","",IF(ROUND(SUMIFS($AE$2:$AE$4001,$L$2:$L$4001,$L1084,$F$2:$F$4001,"4")-SUMIFS('AR SALES'!$Y$2:$Y$2501,'AR SALES'!$L$2:$L$2501,$L1084,'AR SALES'!$AD$2:$AD$2501,"OFF"),2)=0,"","STALE")))</f>
        <v/>
      </c>
      <c r="BB1084" s="2" t="str">
        <f>IF(OR(""&amp;$F1084="2",""&amp;$F1084="4",""&amp;$F1084="G",""&amp;$F1084="H"),IF($AY1084="YES","",IF($AB1084&lt;&gt;0,"",IF(COUNTIFS('AR SALES'!$L$2:$L$2501,$L1084,'AR SALES'!$AD$2:$AD$2501,IF(""&amp;$F1084="4","OFF","ON"),'AR SALES'!$AF$2:$AF$2501,"Y")&gt;0,"","NO EXEMPTION"))),"")</f>
        <v/>
      </c>
    </row>
    <row r="1085" spans="46:54" x14ac:dyDescent="0.25">
      <c r="AT1085" s="2" t="str">
        <f>IF($L1085="","",IFERROR(INDEX('AR SALES'!$H$2:$H$2501,MATCH(""&amp;$L1085,'AR SALES'!$AE$2:$AE$2501,0)),""))</f>
        <v/>
      </c>
      <c r="AU1085" s="2" t="str">
        <f t="shared" si="64"/>
        <v/>
      </c>
      <c r="AV1085" s="2" t="str">
        <f t="shared" si="65"/>
        <v/>
      </c>
      <c r="AW1085" s="2" t="str">
        <f t="shared" si="66"/>
        <v/>
      </c>
      <c r="AX1085" s="2" t="str">
        <f t="shared" si="67"/>
        <v/>
      </c>
      <c r="AY1085" s="2" t="str">
        <f>IF($AV1085="","",IF(AND($Z1085=0,COUNTIF('AR SALES'!$L$2:$L$2501,$L1085)=0),"YES",""))</f>
        <v/>
      </c>
      <c r="AZ1085" s="2" t="str">
        <f>IF($AV1085="","",IF(COUNTIF(LISTS!$C$2:$C$250,$AU1085)=0,"NEW",""))</f>
        <v/>
      </c>
      <c r="BA1085" s="2" t="str">
        <f>IF(""&amp;$F1085&lt;&gt;"4","",IF($AY1085="YES","",IF(ROUND(SUMIFS($AE$2:$AE$4001,$L$2:$L$4001,$L1085,$F$2:$F$4001,"4")-SUMIFS('AR SALES'!$Y$2:$Y$2501,'AR SALES'!$L$2:$L$2501,$L1085,'AR SALES'!$AD$2:$AD$2501,"OFF"),2)=0,"","STALE")))</f>
        <v/>
      </c>
      <c r="BB1085" s="2" t="str">
        <f>IF(OR(""&amp;$F1085="2",""&amp;$F1085="4",""&amp;$F1085="G",""&amp;$F1085="H"),IF($AY1085="YES","",IF($AB1085&lt;&gt;0,"",IF(COUNTIFS('AR SALES'!$L$2:$L$2501,$L1085,'AR SALES'!$AD$2:$AD$2501,IF(""&amp;$F1085="4","OFF","ON"),'AR SALES'!$AF$2:$AF$2501,"Y")&gt;0,"","NO EXEMPTION"))),"")</f>
        <v/>
      </c>
    </row>
    <row r="1086" spans="46:54" x14ac:dyDescent="0.25">
      <c r="AT1086" s="2" t="str">
        <f>IF($L1086="","",IFERROR(INDEX('AR SALES'!$H$2:$H$2501,MATCH(""&amp;$L1086,'AR SALES'!$AE$2:$AE$2501,0)),""))</f>
        <v/>
      </c>
      <c r="AU1086" s="2" t="str">
        <f t="shared" si="64"/>
        <v/>
      </c>
      <c r="AV1086" s="2" t="str">
        <f t="shared" si="65"/>
        <v/>
      </c>
      <c r="AW1086" s="2" t="str">
        <f t="shared" si="66"/>
        <v/>
      </c>
      <c r="AX1086" s="2" t="str">
        <f t="shared" si="67"/>
        <v/>
      </c>
      <c r="AY1086" s="2" t="str">
        <f>IF($AV1086="","",IF(AND($Z1086=0,COUNTIF('AR SALES'!$L$2:$L$2501,$L1086)=0),"YES",""))</f>
        <v/>
      </c>
      <c r="AZ1086" s="2" t="str">
        <f>IF($AV1086="","",IF(COUNTIF(LISTS!$C$2:$C$250,$AU1086)=0,"NEW",""))</f>
        <v/>
      </c>
      <c r="BA1086" s="2" t="str">
        <f>IF(""&amp;$F1086&lt;&gt;"4","",IF($AY1086="YES","",IF(ROUND(SUMIFS($AE$2:$AE$4001,$L$2:$L$4001,$L1086,$F$2:$F$4001,"4")-SUMIFS('AR SALES'!$Y$2:$Y$2501,'AR SALES'!$L$2:$L$2501,$L1086,'AR SALES'!$AD$2:$AD$2501,"OFF"),2)=0,"","STALE")))</f>
        <v/>
      </c>
      <c r="BB1086" s="2" t="str">
        <f>IF(OR(""&amp;$F1086="2",""&amp;$F1086="4",""&amp;$F1086="G",""&amp;$F1086="H"),IF($AY1086="YES","",IF($AB1086&lt;&gt;0,"",IF(COUNTIFS('AR SALES'!$L$2:$L$2501,$L1086,'AR SALES'!$AD$2:$AD$2501,IF(""&amp;$F1086="4","OFF","ON"),'AR SALES'!$AF$2:$AF$2501,"Y")&gt;0,"","NO EXEMPTION"))),"")</f>
        <v/>
      </c>
    </row>
    <row r="1087" spans="46:54" x14ac:dyDescent="0.25">
      <c r="AT1087" s="2" t="str">
        <f>IF($L1087="","",IFERROR(INDEX('AR SALES'!$H$2:$H$2501,MATCH(""&amp;$L1087,'AR SALES'!$AE$2:$AE$2501,0)),""))</f>
        <v/>
      </c>
      <c r="AU1087" s="2" t="str">
        <f t="shared" si="64"/>
        <v/>
      </c>
      <c r="AV1087" s="2" t="str">
        <f t="shared" si="65"/>
        <v/>
      </c>
      <c r="AW1087" s="2" t="str">
        <f t="shared" si="66"/>
        <v/>
      </c>
      <c r="AX1087" s="2" t="str">
        <f t="shared" si="67"/>
        <v/>
      </c>
      <c r="AY1087" s="2" t="str">
        <f>IF($AV1087="","",IF(AND($Z1087=0,COUNTIF('AR SALES'!$L$2:$L$2501,$L1087)=0),"YES",""))</f>
        <v/>
      </c>
      <c r="AZ1087" s="2" t="str">
        <f>IF($AV1087="","",IF(COUNTIF(LISTS!$C$2:$C$250,$AU1087)=0,"NEW",""))</f>
        <v/>
      </c>
      <c r="BA1087" s="2" t="str">
        <f>IF(""&amp;$F1087&lt;&gt;"4","",IF($AY1087="YES","",IF(ROUND(SUMIFS($AE$2:$AE$4001,$L$2:$L$4001,$L1087,$F$2:$F$4001,"4")-SUMIFS('AR SALES'!$Y$2:$Y$2501,'AR SALES'!$L$2:$L$2501,$L1087,'AR SALES'!$AD$2:$AD$2501,"OFF"),2)=0,"","STALE")))</f>
        <v/>
      </c>
      <c r="BB1087" s="2" t="str">
        <f>IF(OR(""&amp;$F1087="2",""&amp;$F1087="4",""&amp;$F1087="G",""&amp;$F1087="H"),IF($AY1087="YES","",IF($AB1087&lt;&gt;0,"",IF(COUNTIFS('AR SALES'!$L$2:$L$2501,$L1087,'AR SALES'!$AD$2:$AD$2501,IF(""&amp;$F1087="4","OFF","ON"),'AR SALES'!$AF$2:$AF$2501,"Y")&gt;0,"","NO EXEMPTION"))),"")</f>
        <v/>
      </c>
    </row>
    <row r="1088" spans="46:54" x14ac:dyDescent="0.25">
      <c r="AT1088" s="2" t="str">
        <f>IF($L1088="","",IFERROR(INDEX('AR SALES'!$H$2:$H$2501,MATCH(""&amp;$L1088,'AR SALES'!$AE$2:$AE$2501,0)),""))</f>
        <v/>
      </c>
      <c r="AU1088" s="2" t="str">
        <f t="shared" si="64"/>
        <v/>
      </c>
      <c r="AV1088" s="2" t="str">
        <f t="shared" si="65"/>
        <v/>
      </c>
      <c r="AW1088" s="2" t="str">
        <f t="shared" si="66"/>
        <v/>
      </c>
      <c r="AX1088" s="2" t="str">
        <f t="shared" si="67"/>
        <v/>
      </c>
      <c r="AY1088" s="2" t="str">
        <f>IF($AV1088="","",IF(AND($Z1088=0,COUNTIF('AR SALES'!$L$2:$L$2501,$L1088)=0),"YES",""))</f>
        <v/>
      </c>
      <c r="AZ1088" s="2" t="str">
        <f>IF($AV1088="","",IF(COUNTIF(LISTS!$C$2:$C$250,$AU1088)=0,"NEW",""))</f>
        <v/>
      </c>
      <c r="BA1088" s="2" t="str">
        <f>IF(""&amp;$F1088&lt;&gt;"4","",IF($AY1088="YES","",IF(ROUND(SUMIFS($AE$2:$AE$4001,$L$2:$L$4001,$L1088,$F$2:$F$4001,"4")-SUMIFS('AR SALES'!$Y$2:$Y$2501,'AR SALES'!$L$2:$L$2501,$L1088,'AR SALES'!$AD$2:$AD$2501,"OFF"),2)=0,"","STALE")))</f>
        <v/>
      </c>
      <c r="BB1088" s="2" t="str">
        <f>IF(OR(""&amp;$F1088="2",""&amp;$F1088="4",""&amp;$F1088="G",""&amp;$F1088="H"),IF($AY1088="YES","",IF($AB1088&lt;&gt;0,"",IF(COUNTIFS('AR SALES'!$L$2:$L$2501,$L1088,'AR SALES'!$AD$2:$AD$2501,IF(""&amp;$F1088="4","OFF","ON"),'AR SALES'!$AF$2:$AF$2501,"Y")&gt;0,"","NO EXEMPTION"))),"")</f>
        <v/>
      </c>
    </row>
    <row r="1089" spans="46:54" x14ac:dyDescent="0.25">
      <c r="AT1089" s="2" t="str">
        <f>IF($L1089="","",IFERROR(INDEX('AR SALES'!$H$2:$H$2501,MATCH(""&amp;$L1089,'AR SALES'!$AE$2:$AE$2501,0)),""))</f>
        <v/>
      </c>
      <c r="AU1089" s="2" t="str">
        <f t="shared" si="64"/>
        <v/>
      </c>
      <c r="AV1089" s="2" t="str">
        <f t="shared" si="65"/>
        <v/>
      </c>
      <c r="AW1089" s="2" t="str">
        <f t="shared" si="66"/>
        <v/>
      </c>
      <c r="AX1089" s="2" t="str">
        <f t="shared" si="67"/>
        <v/>
      </c>
      <c r="AY1089" s="2" t="str">
        <f>IF($AV1089="","",IF(AND($Z1089=0,COUNTIF('AR SALES'!$L$2:$L$2501,$L1089)=0),"YES",""))</f>
        <v/>
      </c>
      <c r="AZ1089" s="2" t="str">
        <f>IF($AV1089="","",IF(COUNTIF(LISTS!$C$2:$C$250,$AU1089)=0,"NEW",""))</f>
        <v/>
      </c>
      <c r="BA1089" s="2" t="str">
        <f>IF(""&amp;$F1089&lt;&gt;"4","",IF($AY1089="YES","",IF(ROUND(SUMIFS($AE$2:$AE$4001,$L$2:$L$4001,$L1089,$F$2:$F$4001,"4")-SUMIFS('AR SALES'!$Y$2:$Y$2501,'AR SALES'!$L$2:$L$2501,$L1089,'AR SALES'!$AD$2:$AD$2501,"OFF"),2)=0,"","STALE")))</f>
        <v/>
      </c>
      <c r="BB1089" s="2" t="str">
        <f>IF(OR(""&amp;$F1089="2",""&amp;$F1089="4",""&amp;$F1089="G",""&amp;$F1089="H"),IF($AY1089="YES","",IF($AB1089&lt;&gt;0,"",IF(COUNTIFS('AR SALES'!$L$2:$L$2501,$L1089,'AR SALES'!$AD$2:$AD$2501,IF(""&amp;$F1089="4","OFF","ON"),'AR SALES'!$AF$2:$AF$2501,"Y")&gt;0,"","NO EXEMPTION"))),"")</f>
        <v/>
      </c>
    </row>
    <row r="1090" spans="46:54" x14ac:dyDescent="0.25">
      <c r="AT1090" s="2" t="str">
        <f>IF($L1090="","",IFERROR(INDEX('AR SALES'!$H$2:$H$2501,MATCH(""&amp;$L1090,'AR SALES'!$AE$2:$AE$2501,0)),""))</f>
        <v/>
      </c>
      <c r="AU1090" s="2" t="str">
        <f t="shared" ref="AU1090:AU1153" si="68">IF($L1090="","",IF($A1090&lt;&gt;"GA","",IF($E1090="FULTON",IF(ISNUMBER(SEARCH("COLLEGE PARK",$AT1090)),"FULTON (COLLEGE PARK)",IF(ISNUMBER(SEARCH("ATLANTA CITY",$AT1090)),"FULTON (ATL LIMITS)","FULTON")),IF($E1090="DEKALB",IF(ISNUMBER(SEARCH("ATLANTA CITY",$AT1090)),"DEKALB (ATL LIMITS)","DEKALB"),$E1090))))</f>
        <v/>
      </c>
      <c r="AV1090" s="2" t="str">
        <f t="shared" ref="AV1090:AV1153" si="69">IF($L1090="","",IF(""&amp;$F1090="2","DIESEL",IF(OR(""&amp;$F1090="G",""&amp;$F1090="H"),"GAS","")))</f>
        <v/>
      </c>
      <c r="AW1090" s="2" t="str">
        <f t="shared" ref="AW1090:AW1153" si="70">IF($AV1090="","",$R1090)</f>
        <v/>
      </c>
      <c r="AX1090" s="2" t="str">
        <f t="shared" ref="AX1090:AX1153" si="71">IF($AV1090="","",IF($AB1090=0,$R1090,0))</f>
        <v/>
      </c>
      <c r="AY1090" s="2" t="str">
        <f>IF($AV1090="","",IF(AND($Z1090=0,COUNTIF('AR SALES'!$L$2:$L$2501,$L1090)=0),"YES",""))</f>
        <v/>
      </c>
      <c r="AZ1090" s="2" t="str">
        <f>IF($AV1090="","",IF(COUNTIF(LISTS!$C$2:$C$250,$AU1090)=0,"NEW",""))</f>
        <v/>
      </c>
      <c r="BA1090" s="2" t="str">
        <f>IF(""&amp;$F1090&lt;&gt;"4","",IF($AY1090="YES","",IF(ROUND(SUMIFS($AE$2:$AE$4001,$L$2:$L$4001,$L1090,$F$2:$F$4001,"4")-SUMIFS('AR SALES'!$Y$2:$Y$2501,'AR SALES'!$L$2:$L$2501,$L1090,'AR SALES'!$AD$2:$AD$2501,"OFF"),2)=0,"","STALE")))</f>
        <v/>
      </c>
      <c r="BB1090" s="2" t="str">
        <f>IF(OR(""&amp;$F1090="2",""&amp;$F1090="4",""&amp;$F1090="G",""&amp;$F1090="H"),IF($AY1090="YES","",IF($AB1090&lt;&gt;0,"",IF(COUNTIFS('AR SALES'!$L$2:$L$2501,$L1090,'AR SALES'!$AD$2:$AD$2501,IF(""&amp;$F1090="4","OFF","ON"),'AR SALES'!$AF$2:$AF$2501,"Y")&gt;0,"","NO EXEMPTION"))),"")</f>
        <v/>
      </c>
    </row>
    <row r="1091" spans="46:54" x14ac:dyDescent="0.25">
      <c r="AT1091" s="2" t="str">
        <f>IF($L1091="","",IFERROR(INDEX('AR SALES'!$H$2:$H$2501,MATCH(""&amp;$L1091,'AR SALES'!$AE$2:$AE$2501,0)),""))</f>
        <v/>
      </c>
      <c r="AU1091" s="2" t="str">
        <f t="shared" si="68"/>
        <v/>
      </c>
      <c r="AV1091" s="2" t="str">
        <f t="shared" si="69"/>
        <v/>
      </c>
      <c r="AW1091" s="2" t="str">
        <f t="shared" si="70"/>
        <v/>
      </c>
      <c r="AX1091" s="2" t="str">
        <f t="shared" si="71"/>
        <v/>
      </c>
      <c r="AY1091" s="2" t="str">
        <f>IF($AV1091="","",IF(AND($Z1091=0,COUNTIF('AR SALES'!$L$2:$L$2501,$L1091)=0),"YES",""))</f>
        <v/>
      </c>
      <c r="AZ1091" s="2" t="str">
        <f>IF($AV1091="","",IF(COUNTIF(LISTS!$C$2:$C$250,$AU1091)=0,"NEW",""))</f>
        <v/>
      </c>
      <c r="BA1091" s="2" t="str">
        <f>IF(""&amp;$F1091&lt;&gt;"4","",IF($AY1091="YES","",IF(ROUND(SUMIFS($AE$2:$AE$4001,$L$2:$L$4001,$L1091,$F$2:$F$4001,"4")-SUMIFS('AR SALES'!$Y$2:$Y$2501,'AR SALES'!$L$2:$L$2501,$L1091,'AR SALES'!$AD$2:$AD$2501,"OFF"),2)=0,"","STALE")))</f>
        <v/>
      </c>
      <c r="BB1091" s="2" t="str">
        <f>IF(OR(""&amp;$F1091="2",""&amp;$F1091="4",""&amp;$F1091="G",""&amp;$F1091="H"),IF($AY1091="YES","",IF($AB1091&lt;&gt;0,"",IF(COUNTIFS('AR SALES'!$L$2:$L$2501,$L1091,'AR SALES'!$AD$2:$AD$2501,IF(""&amp;$F1091="4","OFF","ON"),'AR SALES'!$AF$2:$AF$2501,"Y")&gt;0,"","NO EXEMPTION"))),"")</f>
        <v/>
      </c>
    </row>
    <row r="1092" spans="46:54" x14ac:dyDescent="0.25">
      <c r="AT1092" s="2" t="str">
        <f>IF($L1092="","",IFERROR(INDEX('AR SALES'!$H$2:$H$2501,MATCH(""&amp;$L1092,'AR SALES'!$AE$2:$AE$2501,0)),""))</f>
        <v/>
      </c>
      <c r="AU1092" s="2" t="str">
        <f t="shared" si="68"/>
        <v/>
      </c>
      <c r="AV1092" s="2" t="str">
        <f t="shared" si="69"/>
        <v/>
      </c>
      <c r="AW1092" s="2" t="str">
        <f t="shared" si="70"/>
        <v/>
      </c>
      <c r="AX1092" s="2" t="str">
        <f t="shared" si="71"/>
        <v/>
      </c>
      <c r="AY1092" s="2" t="str">
        <f>IF($AV1092="","",IF(AND($Z1092=0,COUNTIF('AR SALES'!$L$2:$L$2501,$L1092)=0),"YES",""))</f>
        <v/>
      </c>
      <c r="AZ1092" s="2" t="str">
        <f>IF($AV1092="","",IF(COUNTIF(LISTS!$C$2:$C$250,$AU1092)=0,"NEW",""))</f>
        <v/>
      </c>
      <c r="BA1092" s="2" t="str">
        <f>IF(""&amp;$F1092&lt;&gt;"4","",IF($AY1092="YES","",IF(ROUND(SUMIFS($AE$2:$AE$4001,$L$2:$L$4001,$L1092,$F$2:$F$4001,"4")-SUMIFS('AR SALES'!$Y$2:$Y$2501,'AR SALES'!$L$2:$L$2501,$L1092,'AR SALES'!$AD$2:$AD$2501,"OFF"),2)=0,"","STALE")))</f>
        <v/>
      </c>
      <c r="BB1092" s="2" t="str">
        <f>IF(OR(""&amp;$F1092="2",""&amp;$F1092="4",""&amp;$F1092="G",""&amp;$F1092="H"),IF($AY1092="YES","",IF($AB1092&lt;&gt;0,"",IF(COUNTIFS('AR SALES'!$L$2:$L$2501,$L1092,'AR SALES'!$AD$2:$AD$2501,IF(""&amp;$F1092="4","OFF","ON"),'AR SALES'!$AF$2:$AF$2501,"Y")&gt;0,"","NO EXEMPTION"))),"")</f>
        <v/>
      </c>
    </row>
    <row r="1093" spans="46:54" x14ac:dyDescent="0.25">
      <c r="AT1093" s="2" t="str">
        <f>IF($L1093="","",IFERROR(INDEX('AR SALES'!$H$2:$H$2501,MATCH(""&amp;$L1093,'AR SALES'!$AE$2:$AE$2501,0)),""))</f>
        <v/>
      </c>
      <c r="AU1093" s="2" t="str">
        <f t="shared" si="68"/>
        <v/>
      </c>
      <c r="AV1093" s="2" t="str">
        <f t="shared" si="69"/>
        <v/>
      </c>
      <c r="AW1093" s="2" t="str">
        <f t="shared" si="70"/>
        <v/>
      </c>
      <c r="AX1093" s="2" t="str">
        <f t="shared" si="71"/>
        <v/>
      </c>
      <c r="AY1093" s="2" t="str">
        <f>IF($AV1093="","",IF(AND($Z1093=0,COUNTIF('AR SALES'!$L$2:$L$2501,$L1093)=0),"YES",""))</f>
        <v/>
      </c>
      <c r="AZ1093" s="2" t="str">
        <f>IF($AV1093="","",IF(COUNTIF(LISTS!$C$2:$C$250,$AU1093)=0,"NEW",""))</f>
        <v/>
      </c>
      <c r="BA1093" s="2" t="str">
        <f>IF(""&amp;$F1093&lt;&gt;"4","",IF($AY1093="YES","",IF(ROUND(SUMIFS($AE$2:$AE$4001,$L$2:$L$4001,$L1093,$F$2:$F$4001,"4")-SUMIFS('AR SALES'!$Y$2:$Y$2501,'AR SALES'!$L$2:$L$2501,$L1093,'AR SALES'!$AD$2:$AD$2501,"OFF"),2)=0,"","STALE")))</f>
        <v/>
      </c>
      <c r="BB1093" s="2" t="str">
        <f>IF(OR(""&amp;$F1093="2",""&amp;$F1093="4",""&amp;$F1093="G",""&amp;$F1093="H"),IF($AY1093="YES","",IF($AB1093&lt;&gt;0,"",IF(COUNTIFS('AR SALES'!$L$2:$L$2501,$L1093,'AR SALES'!$AD$2:$AD$2501,IF(""&amp;$F1093="4","OFF","ON"),'AR SALES'!$AF$2:$AF$2501,"Y")&gt;0,"","NO EXEMPTION"))),"")</f>
        <v/>
      </c>
    </row>
    <row r="1094" spans="46:54" x14ac:dyDescent="0.25">
      <c r="AT1094" s="2" t="str">
        <f>IF($L1094="","",IFERROR(INDEX('AR SALES'!$H$2:$H$2501,MATCH(""&amp;$L1094,'AR SALES'!$AE$2:$AE$2501,0)),""))</f>
        <v/>
      </c>
      <c r="AU1094" s="2" t="str">
        <f t="shared" si="68"/>
        <v/>
      </c>
      <c r="AV1094" s="2" t="str">
        <f t="shared" si="69"/>
        <v/>
      </c>
      <c r="AW1094" s="2" t="str">
        <f t="shared" si="70"/>
        <v/>
      </c>
      <c r="AX1094" s="2" t="str">
        <f t="shared" si="71"/>
        <v/>
      </c>
      <c r="AY1094" s="2" t="str">
        <f>IF($AV1094="","",IF(AND($Z1094=0,COUNTIF('AR SALES'!$L$2:$L$2501,$L1094)=0),"YES",""))</f>
        <v/>
      </c>
      <c r="AZ1094" s="2" t="str">
        <f>IF($AV1094="","",IF(COUNTIF(LISTS!$C$2:$C$250,$AU1094)=0,"NEW",""))</f>
        <v/>
      </c>
      <c r="BA1094" s="2" t="str">
        <f>IF(""&amp;$F1094&lt;&gt;"4","",IF($AY1094="YES","",IF(ROUND(SUMIFS($AE$2:$AE$4001,$L$2:$L$4001,$L1094,$F$2:$F$4001,"4")-SUMIFS('AR SALES'!$Y$2:$Y$2501,'AR SALES'!$L$2:$L$2501,$L1094,'AR SALES'!$AD$2:$AD$2501,"OFF"),2)=0,"","STALE")))</f>
        <v/>
      </c>
      <c r="BB1094" s="2" t="str">
        <f>IF(OR(""&amp;$F1094="2",""&amp;$F1094="4",""&amp;$F1094="G",""&amp;$F1094="H"),IF($AY1094="YES","",IF($AB1094&lt;&gt;0,"",IF(COUNTIFS('AR SALES'!$L$2:$L$2501,$L1094,'AR SALES'!$AD$2:$AD$2501,IF(""&amp;$F1094="4","OFF","ON"),'AR SALES'!$AF$2:$AF$2501,"Y")&gt;0,"","NO EXEMPTION"))),"")</f>
        <v/>
      </c>
    </row>
    <row r="1095" spans="46:54" x14ac:dyDescent="0.25">
      <c r="AT1095" s="2" t="str">
        <f>IF($L1095="","",IFERROR(INDEX('AR SALES'!$H$2:$H$2501,MATCH(""&amp;$L1095,'AR SALES'!$AE$2:$AE$2501,0)),""))</f>
        <v/>
      </c>
      <c r="AU1095" s="2" t="str">
        <f t="shared" si="68"/>
        <v/>
      </c>
      <c r="AV1095" s="2" t="str">
        <f t="shared" si="69"/>
        <v/>
      </c>
      <c r="AW1095" s="2" t="str">
        <f t="shared" si="70"/>
        <v/>
      </c>
      <c r="AX1095" s="2" t="str">
        <f t="shared" si="71"/>
        <v/>
      </c>
      <c r="AY1095" s="2" t="str">
        <f>IF($AV1095="","",IF(AND($Z1095=0,COUNTIF('AR SALES'!$L$2:$L$2501,$L1095)=0),"YES",""))</f>
        <v/>
      </c>
      <c r="AZ1095" s="2" t="str">
        <f>IF($AV1095="","",IF(COUNTIF(LISTS!$C$2:$C$250,$AU1095)=0,"NEW",""))</f>
        <v/>
      </c>
      <c r="BA1095" s="2" t="str">
        <f>IF(""&amp;$F1095&lt;&gt;"4","",IF($AY1095="YES","",IF(ROUND(SUMIFS($AE$2:$AE$4001,$L$2:$L$4001,$L1095,$F$2:$F$4001,"4")-SUMIFS('AR SALES'!$Y$2:$Y$2501,'AR SALES'!$L$2:$L$2501,$L1095,'AR SALES'!$AD$2:$AD$2501,"OFF"),2)=0,"","STALE")))</f>
        <v/>
      </c>
      <c r="BB1095" s="2" t="str">
        <f>IF(OR(""&amp;$F1095="2",""&amp;$F1095="4",""&amp;$F1095="G",""&amp;$F1095="H"),IF($AY1095="YES","",IF($AB1095&lt;&gt;0,"",IF(COUNTIFS('AR SALES'!$L$2:$L$2501,$L1095,'AR SALES'!$AD$2:$AD$2501,IF(""&amp;$F1095="4","OFF","ON"),'AR SALES'!$AF$2:$AF$2501,"Y")&gt;0,"","NO EXEMPTION"))),"")</f>
        <v/>
      </c>
    </row>
    <row r="1096" spans="46:54" x14ac:dyDescent="0.25">
      <c r="AT1096" s="2" t="str">
        <f>IF($L1096="","",IFERROR(INDEX('AR SALES'!$H$2:$H$2501,MATCH(""&amp;$L1096,'AR SALES'!$AE$2:$AE$2501,0)),""))</f>
        <v/>
      </c>
      <c r="AU1096" s="2" t="str">
        <f t="shared" si="68"/>
        <v/>
      </c>
      <c r="AV1096" s="2" t="str">
        <f t="shared" si="69"/>
        <v/>
      </c>
      <c r="AW1096" s="2" t="str">
        <f t="shared" si="70"/>
        <v/>
      </c>
      <c r="AX1096" s="2" t="str">
        <f t="shared" si="71"/>
        <v/>
      </c>
      <c r="AY1096" s="2" t="str">
        <f>IF($AV1096="","",IF(AND($Z1096=0,COUNTIF('AR SALES'!$L$2:$L$2501,$L1096)=0),"YES",""))</f>
        <v/>
      </c>
      <c r="AZ1096" s="2" t="str">
        <f>IF($AV1096="","",IF(COUNTIF(LISTS!$C$2:$C$250,$AU1096)=0,"NEW",""))</f>
        <v/>
      </c>
      <c r="BA1096" s="2" t="str">
        <f>IF(""&amp;$F1096&lt;&gt;"4","",IF($AY1096="YES","",IF(ROUND(SUMIFS($AE$2:$AE$4001,$L$2:$L$4001,$L1096,$F$2:$F$4001,"4")-SUMIFS('AR SALES'!$Y$2:$Y$2501,'AR SALES'!$L$2:$L$2501,$L1096,'AR SALES'!$AD$2:$AD$2501,"OFF"),2)=0,"","STALE")))</f>
        <v/>
      </c>
      <c r="BB1096" s="2" t="str">
        <f>IF(OR(""&amp;$F1096="2",""&amp;$F1096="4",""&amp;$F1096="G",""&amp;$F1096="H"),IF($AY1096="YES","",IF($AB1096&lt;&gt;0,"",IF(COUNTIFS('AR SALES'!$L$2:$L$2501,$L1096,'AR SALES'!$AD$2:$AD$2501,IF(""&amp;$F1096="4","OFF","ON"),'AR SALES'!$AF$2:$AF$2501,"Y")&gt;0,"","NO EXEMPTION"))),"")</f>
        <v/>
      </c>
    </row>
    <row r="1097" spans="46:54" x14ac:dyDescent="0.25">
      <c r="AT1097" s="2" t="str">
        <f>IF($L1097="","",IFERROR(INDEX('AR SALES'!$H$2:$H$2501,MATCH(""&amp;$L1097,'AR SALES'!$AE$2:$AE$2501,0)),""))</f>
        <v/>
      </c>
      <c r="AU1097" s="2" t="str">
        <f t="shared" si="68"/>
        <v/>
      </c>
      <c r="AV1097" s="2" t="str">
        <f t="shared" si="69"/>
        <v/>
      </c>
      <c r="AW1097" s="2" t="str">
        <f t="shared" si="70"/>
        <v/>
      </c>
      <c r="AX1097" s="2" t="str">
        <f t="shared" si="71"/>
        <v/>
      </c>
      <c r="AY1097" s="2" t="str">
        <f>IF($AV1097="","",IF(AND($Z1097=0,COUNTIF('AR SALES'!$L$2:$L$2501,$L1097)=0),"YES",""))</f>
        <v/>
      </c>
      <c r="AZ1097" s="2" t="str">
        <f>IF($AV1097="","",IF(COUNTIF(LISTS!$C$2:$C$250,$AU1097)=0,"NEW",""))</f>
        <v/>
      </c>
      <c r="BA1097" s="2" t="str">
        <f>IF(""&amp;$F1097&lt;&gt;"4","",IF($AY1097="YES","",IF(ROUND(SUMIFS($AE$2:$AE$4001,$L$2:$L$4001,$L1097,$F$2:$F$4001,"4")-SUMIFS('AR SALES'!$Y$2:$Y$2501,'AR SALES'!$L$2:$L$2501,$L1097,'AR SALES'!$AD$2:$AD$2501,"OFF"),2)=0,"","STALE")))</f>
        <v/>
      </c>
      <c r="BB1097" s="2" t="str">
        <f>IF(OR(""&amp;$F1097="2",""&amp;$F1097="4",""&amp;$F1097="G",""&amp;$F1097="H"),IF($AY1097="YES","",IF($AB1097&lt;&gt;0,"",IF(COUNTIFS('AR SALES'!$L$2:$L$2501,$L1097,'AR SALES'!$AD$2:$AD$2501,IF(""&amp;$F1097="4","OFF","ON"),'AR SALES'!$AF$2:$AF$2501,"Y")&gt;0,"","NO EXEMPTION"))),"")</f>
        <v/>
      </c>
    </row>
    <row r="1098" spans="46:54" x14ac:dyDescent="0.25">
      <c r="AT1098" s="2" t="str">
        <f>IF($L1098="","",IFERROR(INDEX('AR SALES'!$H$2:$H$2501,MATCH(""&amp;$L1098,'AR SALES'!$AE$2:$AE$2501,0)),""))</f>
        <v/>
      </c>
      <c r="AU1098" s="2" t="str">
        <f t="shared" si="68"/>
        <v/>
      </c>
      <c r="AV1098" s="2" t="str">
        <f t="shared" si="69"/>
        <v/>
      </c>
      <c r="AW1098" s="2" t="str">
        <f t="shared" si="70"/>
        <v/>
      </c>
      <c r="AX1098" s="2" t="str">
        <f t="shared" si="71"/>
        <v/>
      </c>
      <c r="AY1098" s="2" t="str">
        <f>IF($AV1098="","",IF(AND($Z1098=0,COUNTIF('AR SALES'!$L$2:$L$2501,$L1098)=0),"YES",""))</f>
        <v/>
      </c>
      <c r="AZ1098" s="2" t="str">
        <f>IF($AV1098="","",IF(COUNTIF(LISTS!$C$2:$C$250,$AU1098)=0,"NEW",""))</f>
        <v/>
      </c>
      <c r="BA1098" s="2" t="str">
        <f>IF(""&amp;$F1098&lt;&gt;"4","",IF($AY1098="YES","",IF(ROUND(SUMIFS($AE$2:$AE$4001,$L$2:$L$4001,$L1098,$F$2:$F$4001,"4")-SUMIFS('AR SALES'!$Y$2:$Y$2501,'AR SALES'!$L$2:$L$2501,$L1098,'AR SALES'!$AD$2:$AD$2501,"OFF"),2)=0,"","STALE")))</f>
        <v/>
      </c>
      <c r="BB1098" s="2" t="str">
        <f>IF(OR(""&amp;$F1098="2",""&amp;$F1098="4",""&amp;$F1098="G",""&amp;$F1098="H"),IF($AY1098="YES","",IF($AB1098&lt;&gt;0,"",IF(COUNTIFS('AR SALES'!$L$2:$L$2501,$L1098,'AR SALES'!$AD$2:$AD$2501,IF(""&amp;$F1098="4","OFF","ON"),'AR SALES'!$AF$2:$AF$2501,"Y")&gt;0,"","NO EXEMPTION"))),"")</f>
        <v/>
      </c>
    </row>
    <row r="1099" spans="46:54" x14ac:dyDescent="0.25">
      <c r="AT1099" s="2" t="str">
        <f>IF($L1099="","",IFERROR(INDEX('AR SALES'!$H$2:$H$2501,MATCH(""&amp;$L1099,'AR SALES'!$AE$2:$AE$2501,0)),""))</f>
        <v/>
      </c>
      <c r="AU1099" s="2" t="str">
        <f t="shared" si="68"/>
        <v/>
      </c>
      <c r="AV1099" s="2" t="str">
        <f t="shared" si="69"/>
        <v/>
      </c>
      <c r="AW1099" s="2" t="str">
        <f t="shared" si="70"/>
        <v/>
      </c>
      <c r="AX1099" s="2" t="str">
        <f t="shared" si="71"/>
        <v/>
      </c>
      <c r="AY1099" s="2" t="str">
        <f>IF($AV1099="","",IF(AND($Z1099=0,COUNTIF('AR SALES'!$L$2:$L$2501,$L1099)=0),"YES",""))</f>
        <v/>
      </c>
      <c r="AZ1099" s="2" t="str">
        <f>IF($AV1099="","",IF(COUNTIF(LISTS!$C$2:$C$250,$AU1099)=0,"NEW",""))</f>
        <v/>
      </c>
      <c r="BA1099" s="2" t="str">
        <f>IF(""&amp;$F1099&lt;&gt;"4","",IF($AY1099="YES","",IF(ROUND(SUMIFS($AE$2:$AE$4001,$L$2:$L$4001,$L1099,$F$2:$F$4001,"4")-SUMIFS('AR SALES'!$Y$2:$Y$2501,'AR SALES'!$L$2:$L$2501,$L1099,'AR SALES'!$AD$2:$AD$2501,"OFF"),2)=0,"","STALE")))</f>
        <v/>
      </c>
      <c r="BB1099" s="2" t="str">
        <f>IF(OR(""&amp;$F1099="2",""&amp;$F1099="4",""&amp;$F1099="G",""&amp;$F1099="H"),IF($AY1099="YES","",IF($AB1099&lt;&gt;0,"",IF(COUNTIFS('AR SALES'!$L$2:$L$2501,$L1099,'AR SALES'!$AD$2:$AD$2501,IF(""&amp;$F1099="4","OFF","ON"),'AR SALES'!$AF$2:$AF$2501,"Y")&gt;0,"","NO EXEMPTION"))),"")</f>
        <v/>
      </c>
    </row>
    <row r="1100" spans="46:54" x14ac:dyDescent="0.25">
      <c r="AT1100" s="2" t="str">
        <f>IF($L1100="","",IFERROR(INDEX('AR SALES'!$H$2:$H$2501,MATCH(""&amp;$L1100,'AR SALES'!$AE$2:$AE$2501,0)),""))</f>
        <v/>
      </c>
      <c r="AU1100" s="2" t="str">
        <f t="shared" si="68"/>
        <v/>
      </c>
      <c r="AV1100" s="2" t="str">
        <f t="shared" si="69"/>
        <v/>
      </c>
      <c r="AW1100" s="2" t="str">
        <f t="shared" si="70"/>
        <v/>
      </c>
      <c r="AX1100" s="2" t="str">
        <f t="shared" si="71"/>
        <v/>
      </c>
      <c r="AY1100" s="2" t="str">
        <f>IF($AV1100="","",IF(AND($Z1100=0,COUNTIF('AR SALES'!$L$2:$L$2501,$L1100)=0),"YES",""))</f>
        <v/>
      </c>
      <c r="AZ1100" s="2" t="str">
        <f>IF($AV1100="","",IF(COUNTIF(LISTS!$C$2:$C$250,$AU1100)=0,"NEW",""))</f>
        <v/>
      </c>
      <c r="BA1100" s="2" t="str">
        <f>IF(""&amp;$F1100&lt;&gt;"4","",IF($AY1100="YES","",IF(ROUND(SUMIFS($AE$2:$AE$4001,$L$2:$L$4001,$L1100,$F$2:$F$4001,"4")-SUMIFS('AR SALES'!$Y$2:$Y$2501,'AR SALES'!$L$2:$L$2501,$L1100,'AR SALES'!$AD$2:$AD$2501,"OFF"),2)=0,"","STALE")))</f>
        <v/>
      </c>
      <c r="BB1100" s="2" t="str">
        <f>IF(OR(""&amp;$F1100="2",""&amp;$F1100="4",""&amp;$F1100="G",""&amp;$F1100="H"),IF($AY1100="YES","",IF($AB1100&lt;&gt;0,"",IF(COUNTIFS('AR SALES'!$L$2:$L$2501,$L1100,'AR SALES'!$AD$2:$AD$2501,IF(""&amp;$F1100="4","OFF","ON"),'AR SALES'!$AF$2:$AF$2501,"Y")&gt;0,"","NO EXEMPTION"))),"")</f>
        <v/>
      </c>
    </row>
    <row r="1101" spans="46:54" x14ac:dyDescent="0.25">
      <c r="AT1101" s="2" t="str">
        <f>IF($L1101="","",IFERROR(INDEX('AR SALES'!$H$2:$H$2501,MATCH(""&amp;$L1101,'AR SALES'!$AE$2:$AE$2501,0)),""))</f>
        <v/>
      </c>
      <c r="AU1101" s="2" t="str">
        <f t="shared" si="68"/>
        <v/>
      </c>
      <c r="AV1101" s="2" t="str">
        <f t="shared" si="69"/>
        <v/>
      </c>
      <c r="AW1101" s="2" t="str">
        <f t="shared" si="70"/>
        <v/>
      </c>
      <c r="AX1101" s="2" t="str">
        <f t="shared" si="71"/>
        <v/>
      </c>
      <c r="AY1101" s="2" t="str">
        <f>IF($AV1101="","",IF(AND($Z1101=0,COUNTIF('AR SALES'!$L$2:$L$2501,$L1101)=0),"YES",""))</f>
        <v/>
      </c>
      <c r="AZ1101" s="2" t="str">
        <f>IF($AV1101="","",IF(COUNTIF(LISTS!$C$2:$C$250,$AU1101)=0,"NEW",""))</f>
        <v/>
      </c>
      <c r="BA1101" s="2" t="str">
        <f>IF(""&amp;$F1101&lt;&gt;"4","",IF($AY1101="YES","",IF(ROUND(SUMIFS($AE$2:$AE$4001,$L$2:$L$4001,$L1101,$F$2:$F$4001,"4")-SUMIFS('AR SALES'!$Y$2:$Y$2501,'AR SALES'!$L$2:$L$2501,$L1101,'AR SALES'!$AD$2:$AD$2501,"OFF"),2)=0,"","STALE")))</f>
        <v/>
      </c>
      <c r="BB1101" s="2" t="str">
        <f>IF(OR(""&amp;$F1101="2",""&amp;$F1101="4",""&amp;$F1101="G",""&amp;$F1101="H"),IF($AY1101="YES","",IF($AB1101&lt;&gt;0,"",IF(COUNTIFS('AR SALES'!$L$2:$L$2501,$L1101,'AR SALES'!$AD$2:$AD$2501,IF(""&amp;$F1101="4","OFF","ON"),'AR SALES'!$AF$2:$AF$2501,"Y")&gt;0,"","NO EXEMPTION"))),"")</f>
        <v/>
      </c>
    </row>
    <row r="1102" spans="46:54" x14ac:dyDescent="0.25">
      <c r="AT1102" s="2" t="str">
        <f>IF($L1102="","",IFERROR(INDEX('AR SALES'!$H$2:$H$2501,MATCH(""&amp;$L1102,'AR SALES'!$AE$2:$AE$2501,0)),""))</f>
        <v/>
      </c>
      <c r="AU1102" s="2" t="str">
        <f t="shared" si="68"/>
        <v/>
      </c>
      <c r="AV1102" s="2" t="str">
        <f t="shared" si="69"/>
        <v/>
      </c>
      <c r="AW1102" s="2" t="str">
        <f t="shared" si="70"/>
        <v/>
      </c>
      <c r="AX1102" s="2" t="str">
        <f t="shared" si="71"/>
        <v/>
      </c>
      <c r="AY1102" s="2" t="str">
        <f>IF($AV1102="","",IF(AND($Z1102=0,COUNTIF('AR SALES'!$L$2:$L$2501,$L1102)=0),"YES",""))</f>
        <v/>
      </c>
      <c r="AZ1102" s="2" t="str">
        <f>IF($AV1102="","",IF(COUNTIF(LISTS!$C$2:$C$250,$AU1102)=0,"NEW",""))</f>
        <v/>
      </c>
      <c r="BA1102" s="2" t="str">
        <f>IF(""&amp;$F1102&lt;&gt;"4","",IF($AY1102="YES","",IF(ROUND(SUMIFS($AE$2:$AE$4001,$L$2:$L$4001,$L1102,$F$2:$F$4001,"4")-SUMIFS('AR SALES'!$Y$2:$Y$2501,'AR SALES'!$L$2:$L$2501,$L1102,'AR SALES'!$AD$2:$AD$2501,"OFF"),2)=0,"","STALE")))</f>
        <v/>
      </c>
      <c r="BB1102" s="2" t="str">
        <f>IF(OR(""&amp;$F1102="2",""&amp;$F1102="4",""&amp;$F1102="G",""&amp;$F1102="H"),IF($AY1102="YES","",IF($AB1102&lt;&gt;0,"",IF(COUNTIFS('AR SALES'!$L$2:$L$2501,$L1102,'AR SALES'!$AD$2:$AD$2501,IF(""&amp;$F1102="4","OFF","ON"),'AR SALES'!$AF$2:$AF$2501,"Y")&gt;0,"","NO EXEMPTION"))),"")</f>
        <v/>
      </c>
    </row>
    <row r="1103" spans="46:54" x14ac:dyDescent="0.25">
      <c r="AT1103" s="2" t="str">
        <f>IF($L1103="","",IFERROR(INDEX('AR SALES'!$H$2:$H$2501,MATCH(""&amp;$L1103,'AR SALES'!$AE$2:$AE$2501,0)),""))</f>
        <v/>
      </c>
      <c r="AU1103" s="2" t="str">
        <f t="shared" si="68"/>
        <v/>
      </c>
      <c r="AV1103" s="2" t="str">
        <f t="shared" si="69"/>
        <v/>
      </c>
      <c r="AW1103" s="2" t="str">
        <f t="shared" si="70"/>
        <v/>
      </c>
      <c r="AX1103" s="2" t="str">
        <f t="shared" si="71"/>
        <v/>
      </c>
      <c r="AY1103" s="2" t="str">
        <f>IF($AV1103="","",IF(AND($Z1103=0,COUNTIF('AR SALES'!$L$2:$L$2501,$L1103)=0),"YES",""))</f>
        <v/>
      </c>
      <c r="AZ1103" s="2" t="str">
        <f>IF($AV1103="","",IF(COUNTIF(LISTS!$C$2:$C$250,$AU1103)=0,"NEW",""))</f>
        <v/>
      </c>
      <c r="BA1103" s="2" t="str">
        <f>IF(""&amp;$F1103&lt;&gt;"4","",IF($AY1103="YES","",IF(ROUND(SUMIFS($AE$2:$AE$4001,$L$2:$L$4001,$L1103,$F$2:$F$4001,"4")-SUMIFS('AR SALES'!$Y$2:$Y$2501,'AR SALES'!$L$2:$L$2501,$L1103,'AR SALES'!$AD$2:$AD$2501,"OFF"),2)=0,"","STALE")))</f>
        <v/>
      </c>
      <c r="BB1103" s="2" t="str">
        <f>IF(OR(""&amp;$F1103="2",""&amp;$F1103="4",""&amp;$F1103="G",""&amp;$F1103="H"),IF($AY1103="YES","",IF($AB1103&lt;&gt;0,"",IF(COUNTIFS('AR SALES'!$L$2:$L$2501,$L1103,'AR SALES'!$AD$2:$AD$2501,IF(""&amp;$F1103="4","OFF","ON"),'AR SALES'!$AF$2:$AF$2501,"Y")&gt;0,"","NO EXEMPTION"))),"")</f>
        <v/>
      </c>
    </row>
    <row r="1104" spans="46:54" x14ac:dyDescent="0.25">
      <c r="AT1104" s="2" t="str">
        <f>IF($L1104="","",IFERROR(INDEX('AR SALES'!$H$2:$H$2501,MATCH(""&amp;$L1104,'AR SALES'!$AE$2:$AE$2501,0)),""))</f>
        <v/>
      </c>
      <c r="AU1104" s="2" t="str">
        <f t="shared" si="68"/>
        <v/>
      </c>
      <c r="AV1104" s="2" t="str">
        <f t="shared" si="69"/>
        <v/>
      </c>
      <c r="AW1104" s="2" t="str">
        <f t="shared" si="70"/>
        <v/>
      </c>
      <c r="AX1104" s="2" t="str">
        <f t="shared" si="71"/>
        <v/>
      </c>
      <c r="AY1104" s="2" t="str">
        <f>IF($AV1104="","",IF(AND($Z1104=0,COUNTIF('AR SALES'!$L$2:$L$2501,$L1104)=0),"YES",""))</f>
        <v/>
      </c>
      <c r="AZ1104" s="2" t="str">
        <f>IF($AV1104="","",IF(COUNTIF(LISTS!$C$2:$C$250,$AU1104)=0,"NEW",""))</f>
        <v/>
      </c>
      <c r="BA1104" s="2" t="str">
        <f>IF(""&amp;$F1104&lt;&gt;"4","",IF($AY1104="YES","",IF(ROUND(SUMIFS($AE$2:$AE$4001,$L$2:$L$4001,$L1104,$F$2:$F$4001,"4")-SUMIFS('AR SALES'!$Y$2:$Y$2501,'AR SALES'!$L$2:$L$2501,$L1104,'AR SALES'!$AD$2:$AD$2501,"OFF"),2)=0,"","STALE")))</f>
        <v/>
      </c>
      <c r="BB1104" s="2" t="str">
        <f>IF(OR(""&amp;$F1104="2",""&amp;$F1104="4",""&amp;$F1104="G",""&amp;$F1104="H"),IF($AY1104="YES","",IF($AB1104&lt;&gt;0,"",IF(COUNTIFS('AR SALES'!$L$2:$L$2501,$L1104,'AR SALES'!$AD$2:$AD$2501,IF(""&amp;$F1104="4","OFF","ON"),'AR SALES'!$AF$2:$AF$2501,"Y")&gt;0,"","NO EXEMPTION"))),"")</f>
        <v/>
      </c>
    </row>
    <row r="1105" spans="46:54" x14ac:dyDescent="0.25">
      <c r="AT1105" s="2" t="str">
        <f>IF($L1105="","",IFERROR(INDEX('AR SALES'!$H$2:$H$2501,MATCH(""&amp;$L1105,'AR SALES'!$AE$2:$AE$2501,0)),""))</f>
        <v/>
      </c>
      <c r="AU1105" s="2" t="str">
        <f t="shared" si="68"/>
        <v/>
      </c>
      <c r="AV1105" s="2" t="str">
        <f t="shared" si="69"/>
        <v/>
      </c>
      <c r="AW1105" s="2" t="str">
        <f t="shared" si="70"/>
        <v/>
      </c>
      <c r="AX1105" s="2" t="str">
        <f t="shared" si="71"/>
        <v/>
      </c>
      <c r="AY1105" s="2" t="str">
        <f>IF($AV1105="","",IF(AND($Z1105=0,COUNTIF('AR SALES'!$L$2:$L$2501,$L1105)=0),"YES",""))</f>
        <v/>
      </c>
      <c r="AZ1105" s="2" t="str">
        <f>IF($AV1105="","",IF(COUNTIF(LISTS!$C$2:$C$250,$AU1105)=0,"NEW",""))</f>
        <v/>
      </c>
      <c r="BA1105" s="2" t="str">
        <f>IF(""&amp;$F1105&lt;&gt;"4","",IF($AY1105="YES","",IF(ROUND(SUMIFS($AE$2:$AE$4001,$L$2:$L$4001,$L1105,$F$2:$F$4001,"4")-SUMIFS('AR SALES'!$Y$2:$Y$2501,'AR SALES'!$L$2:$L$2501,$L1105,'AR SALES'!$AD$2:$AD$2501,"OFF"),2)=0,"","STALE")))</f>
        <v/>
      </c>
      <c r="BB1105" s="2" t="str">
        <f>IF(OR(""&amp;$F1105="2",""&amp;$F1105="4",""&amp;$F1105="G",""&amp;$F1105="H"),IF($AY1105="YES","",IF($AB1105&lt;&gt;0,"",IF(COUNTIFS('AR SALES'!$L$2:$L$2501,$L1105,'AR SALES'!$AD$2:$AD$2501,IF(""&amp;$F1105="4","OFF","ON"),'AR SALES'!$AF$2:$AF$2501,"Y")&gt;0,"","NO EXEMPTION"))),"")</f>
        <v/>
      </c>
    </row>
    <row r="1106" spans="46:54" x14ac:dyDescent="0.25">
      <c r="AT1106" s="2" t="str">
        <f>IF($L1106="","",IFERROR(INDEX('AR SALES'!$H$2:$H$2501,MATCH(""&amp;$L1106,'AR SALES'!$AE$2:$AE$2501,0)),""))</f>
        <v/>
      </c>
      <c r="AU1106" s="2" t="str">
        <f t="shared" si="68"/>
        <v/>
      </c>
      <c r="AV1106" s="2" t="str">
        <f t="shared" si="69"/>
        <v/>
      </c>
      <c r="AW1106" s="2" t="str">
        <f t="shared" si="70"/>
        <v/>
      </c>
      <c r="AX1106" s="2" t="str">
        <f t="shared" si="71"/>
        <v/>
      </c>
      <c r="AY1106" s="2" t="str">
        <f>IF($AV1106="","",IF(AND($Z1106=0,COUNTIF('AR SALES'!$L$2:$L$2501,$L1106)=0),"YES",""))</f>
        <v/>
      </c>
      <c r="AZ1106" s="2" t="str">
        <f>IF($AV1106="","",IF(COUNTIF(LISTS!$C$2:$C$250,$AU1106)=0,"NEW",""))</f>
        <v/>
      </c>
      <c r="BA1106" s="2" t="str">
        <f>IF(""&amp;$F1106&lt;&gt;"4","",IF($AY1106="YES","",IF(ROUND(SUMIFS($AE$2:$AE$4001,$L$2:$L$4001,$L1106,$F$2:$F$4001,"4")-SUMIFS('AR SALES'!$Y$2:$Y$2501,'AR SALES'!$L$2:$L$2501,$L1106,'AR SALES'!$AD$2:$AD$2501,"OFF"),2)=0,"","STALE")))</f>
        <v/>
      </c>
      <c r="BB1106" s="2" t="str">
        <f>IF(OR(""&amp;$F1106="2",""&amp;$F1106="4",""&amp;$F1106="G",""&amp;$F1106="H"),IF($AY1106="YES","",IF($AB1106&lt;&gt;0,"",IF(COUNTIFS('AR SALES'!$L$2:$L$2501,$L1106,'AR SALES'!$AD$2:$AD$2501,IF(""&amp;$F1106="4","OFF","ON"),'AR SALES'!$AF$2:$AF$2501,"Y")&gt;0,"","NO EXEMPTION"))),"")</f>
        <v/>
      </c>
    </row>
    <row r="1107" spans="46:54" x14ac:dyDescent="0.25">
      <c r="AT1107" s="2" t="str">
        <f>IF($L1107="","",IFERROR(INDEX('AR SALES'!$H$2:$H$2501,MATCH(""&amp;$L1107,'AR SALES'!$AE$2:$AE$2501,0)),""))</f>
        <v/>
      </c>
      <c r="AU1107" s="2" t="str">
        <f t="shared" si="68"/>
        <v/>
      </c>
      <c r="AV1107" s="2" t="str">
        <f t="shared" si="69"/>
        <v/>
      </c>
      <c r="AW1107" s="2" t="str">
        <f t="shared" si="70"/>
        <v/>
      </c>
      <c r="AX1107" s="2" t="str">
        <f t="shared" si="71"/>
        <v/>
      </c>
      <c r="AY1107" s="2" t="str">
        <f>IF($AV1107="","",IF(AND($Z1107=0,COUNTIF('AR SALES'!$L$2:$L$2501,$L1107)=0),"YES",""))</f>
        <v/>
      </c>
      <c r="AZ1107" s="2" t="str">
        <f>IF($AV1107="","",IF(COUNTIF(LISTS!$C$2:$C$250,$AU1107)=0,"NEW",""))</f>
        <v/>
      </c>
      <c r="BA1107" s="2" t="str">
        <f>IF(""&amp;$F1107&lt;&gt;"4","",IF($AY1107="YES","",IF(ROUND(SUMIFS($AE$2:$AE$4001,$L$2:$L$4001,$L1107,$F$2:$F$4001,"4")-SUMIFS('AR SALES'!$Y$2:$Y$2501,'AR SALES'!$L$2:$L$2501,$L1107,'AR SALES'!$AD$2:$AD$2501,"OFF"),2)=0,"","STALE")))</f>
        <v/>
      </c>
      <c r="BB1107" s="2" t="str">
        <f>IF(OR(""&amp;$F1107="2",""&amp;$F1107="4",""&amp;$F1107="G",""&amp;$F1107="H"),IF($AY1107="YES","",IF($AB1107&lt;&gt;0,"",IF(COUNTIFS('AR SALES'!$L$2:$L$2501,$L1107,'AR SALES'!$AD$2:$AD$2501,IF(""&amp;$F1107="4","OFF","ON"),'AR SALES'!$AF$2:$AF$2501,"Y")&gt;0,"","NO EXEMPTION"))),"")</f>
        <v/>
      </c>
    </row>
    <row r="1108" spans="46:54" x14ac:dyDescent="0.25">
      <c r="AT1108" s="2" t="str">
        <f>IF($L1108="","",IFERROR(INDEX('AR SALES'!$H$2:$H$2501,MATCH(""&amp;$L1108,'AR SALES'!$AE$2:$AE$2501,0)),""))</f>
        <v/>
      </c>
      <c r="AU1108" s="2" t="str">
        <f t="shared" si="68"/>
        <v/>
      </c>
      <c r="AV1108" s="2" t="str">
        <f t="shared" si="69"/>
        <v/>
      </c>
      <c r="AW1108" s="2" t="str">
        <f t="shared" si="70"/>
        <v/>
      </c>
      <c r="AX1108" s="2" t="str">
        <f t="shared" si="71"/>
        <v/>
      </c>
      <c r="AY1108" s="2" t="str">
        <f>IF($AV1108="","",IF(AND($Z1108=0,COUNTIF('AR SALES'!$L$2:$L$2501,$L1108)=0),"YES",""))</f>
        <v/>
      </c>
      <c r="AZ1108" s="2" t="str">
        <f>IF($AV1108="","",IF(COUNTIF(LISTS!$C$2:$C$250,$AU1108)=0,"NEW",""))</f>
        <v/>
      </c>
      <c r="BA1108" s="2" t="str">
        <f>IF(""&amp;$F1108&lt;&gt;"4","",IF($AY1108="YES","",IF(ROUND(SUMIFS($AE$2:$AE$4001,$L$2:$L$4001,$L1108,$F$2:$F$4001,"4")-SUMIFS('AR SALES'!$Y$2:$Y$2501,'AR SALES'!$L$2:$L$2501,$L1108,'AR SALES'!$AD$2:$AD$2501,"OFF"),2)=0,"","STALE")))</f>
        <v/>
      </c>
      <c r="BB1108" s="2" t="str">
        <f>IF(OR(""&amp;$F1108="2",""&amp;$F1108="4",""&amp;$F1108="G",""&amp;$F1108="H"),IF($AY1108="YES","",IF($AB1108&lt;&gt;0,"",IF(COUNTIFS('AR SALES'!$L$2:$L$2501,$L1108,'AR SALES'!$AD$2:$AD$2501,IF(""&amp;$F1108="4","OFF","ON"),'AR SALES'!$AF$2:$AF$2501,"Y")&gt;0,"","NO EXEMPTION"))),"")</f>
        <v/>
      </c>
    </row>
    <row r="1109" spans="46:54" x14ac:dyDescent="0.25">
      <c r="AT1109" s="2" t="str">
        <f>IF($L1109="","",IFERROR(INDEX('AR SALES'!$H$2:$H$2501,MATCH(""&amp;$L1109,'AR SALES'!$AE$2:$AE$2501,0)),""))</f>
        <v/>
      </c>
      <c r="AU1109" s="2" t="str">
        <f t="shared" si="68"/>
        <v/>
      </c>
      <c r="AV1109" s="2" t="str">
        <f t="shared" si="69"/>
        <v/>
      </c>
      <c r="AW1109" s="2" t="str">
        <f t="shared" si="70"/>
        <v/>
      </c>
      <c r="AX1109" s="2" t="str">
        <f t="shared" si="71"/>
        <v/>
      </c>
      <c r="AY1109" s="2" t="str">
        <f>IF($AV1109="","",IF(AND($Z1109=0,COUNTIF('AR SALES'!$L$2:$L$2501,$L1109)=0),"YES",""))</f>
        <v/>
      </c>
      <c r="AZ1109" s="2" t="str">
        <f>IF($AV1109="","",IF(COUNTIF(LISTS!$C$2:$C$250,$AU1109)=0,"NEW",""))</f>
        <v/>
      </c>
      <c r="BA1109" s="2" t="str">
        <f>IF(""&amp;$F1109&lt;&gt;"4","",IF($AY1109="YES","",IF(ROUND(SUMIFS($AE$2:$AE$4001,$L$2:$L$4001,$L1109,$F$2:$F$4001,"4")-SUMIFS('AR SALES'!$Y$2:$Y$2501,'AR SALES'!$L$2:$L$2501,$L1109,'AR SALES'!$AD$2:$AD$2501,"OFF"),2)=0,"","STALE")))</f>
        <v/>
      </c>
      <c r="BB1109" s="2" t="str">
        <f>IF(OR(""&amp;$F1109="2",""&amp;$F1109="4",""&amp;$F1109="G",""&amp;$F1109="H"),IF($AY1109="YES","",IF($AB1109&lt;&gt;0,"",IF(COUNTIFS('AR SALES'!$L$2:$L$2501,$L1109,'AR SALES'!$AD$2:$AD$2501,IF(""&amp;$F1109="4","OFF","ON"),'AR SALES'!$AF$2:$AF$2501,"Y")&gt;0,"","NO EXEMPTION"))),"")</f>
        <v/>
      </c>
    </row>
    <row r="1110" spans="46:54" x14ac:dyDescent="0.25">
      <c r="AT1110" s="2" t="str">
        <f>IF($L1110="","",IFERROR(INDEX('AR SALES'!$H$2:$H$2501,MATCH(""&amp;$L1110,'AR SALES'!$AE$2:$AE$2501,0)),""))</f>
        <v/>
      </c>
      <c r="AU1110" s="2" t="str">
        <f t="shared" si="68"/>
        <v/>
      </c>
      <c r="AV1110" s="2" t="str">
        <f t="shared" si="69"/>
        <v/>
      </c>
      <c r="AW1110" s="2" t="str">
        <f t="shared" si="70"/>
        <v/>
      </c>
      <c r="AX1110" s="2" t="str">
        <f t="shared" si="71"/>
        <v/>
      </c>
      <c r="AY1110" s="2" t="str">
        <f>IF($AV1110="","",IF(AND($Z1110=0,COUNTIF('AR SALES'!$L$2:$L$2501,$L1110)=0),"YES",""))</f>
        <v/>
      </c>
      <c r="AZ1110" s="2" t="str">
        <f>IF($AV1110="","",IF(COUNTIF(LISTS!$C$2:$C$250,$AU1110)=0,"NEW",""))</f>
        <v/>
      </c>
      <c r="BA1110" s="2" t="str">
        <f>IF(""&amp;$F1110&lt;&gt;"4","",IF($AY1110="YES","",IF(ROUND(SUMIFS($AE$2:$AE$4001,$L$2:$L$4001,$L1110,$F$2:$F$4001,"4")-SUMIFS('AR SALES'!$Y$2:$Y$2501,'AR SALES'!$L$2:$L$2501,$L1110,'AR SALES'!$AD$2:$AD$2501,"OFF"),2)=0,"","STALE")))</f>
        <v/>
      </c>
      <c r="BB1110" s="2" t="str">
        <f>IF(OR(""&amp;$F1110="2",""&amp;$F1110="4",""&amp;$F1110="G",""&amp;$F1110="H"),IF($AY1110="YES","",IF($AB1110&lt;&gt;0,"",IF(COUNTIFS('AR SALES'!$L$2:$L$2501,$L1110,'AR SALES'!$AD$2:$AD$2501,IF(""&amp;$F1110="4","OFF","ON"),'AR SALES'!$AF$2:$AF$2501,"Y")&gt;0,"","NO EXEMPTION"))),"")</f>
        <v/>
      </c>
    </row>
    <row r="1111" spans="46:54" x14ac:dyDescent="0.25">
      <c r="AT1111" s="2" t="str">
        <f>IF($L1111="","",IFERROR(INDEX('AR SALES'!$H$2:$H$2501,MATCH(""&amp;$L1111,'AR SALES'!$AE$2:$AE$2501,0)),""))</f>
        <v/>
      </c>
      <c r="AU1111" s="2" t="str">
        <f t="shared" si="68"/>
        <v/>
      </c>
      <c r="AV1111" s="2" t="str">
        <f t="shared" si="69"/>
        <v/>
      </c>
      <c r="AW1111" s="2" t="str">
        <f t="shared" si="70"/>
        <v/>
      </c>
      <c r="AX1111" s="2" t="str">
        <f t="shared" si="71"/>
        <v/>
      </c>
      <c r="AY1111" s="2" t="str">
        <f>IF($AV1111="","",IF(AND($Z1111=0,COUNTIF('AR SALES'!$L$2:$L$2501,$L1111)=0),"YES",""))</f>
        <v/>
      </c>
      <c r="AZ1111" s="2" t="str">
        <f>IF($AV1111="","",IF(COUNTIF(LISTS!$C$2:$C$250,$AU1111)=0,"NEW",""))</f>
        <v/>
      </c>
      <c r="BA1111" s="2" t="str">
        <f>IF(""&amp;$F1111&lt;&gt;"4","",IF($AY1111="YES","",IF(ROUND(SUMIFS($AE$2:$AE$4001,$L$2:$L$4001,$L1111,$F$2:$F$4001,"4")-SUMIFS('AR SALES'!$Y$2:$Y$2501,'AR SALES'!$L$2:$L$2501,$L1111,'AR SALES'!$AD$2:$AD$2501,"OFF"),2)=0,"","STALE")))</f>
        <v/>
      </c>
      <c r="BB1111" s="2" t="str">
        <f>IF(OR(""&amp;$F1111="2",""&amp;$F1111="4",""&amp;$F1111="G",""&amp;$F1111="H"),IF($AY1111="YES","",IF($AB1111&lt;&gt;0,"",IF(COUNTIFS('AR SALES'!$L$2:$L$2501,$L1111,'AR SALES'!$AD$2:$AD$2501,IF(""&amp;$F1111="4","OFF","ON"),'AR SALES'!$AF$2:$AF$2501,"Y")&gt;0,"","NO EXEMPTION"))),"")</f>
        <v/>
      </c>
    </row>
    <row r="1112" spans="46:54" x14ac:dyDescent="0.25">
      <c r="AT1112" s="2" t="str">
        <f>IF($L1112="","",IFERROR(INDEX('AR SALES'!$H$2:$H$2501,MATCH(""&amp;$L1112,'AR SALES'!$AE$2:$AE$2501,0)),""))</f>
        <v/>
      </c>
      <c r="AU1112" s="2" t="str">
        <f t="shared" si="68"/>
        <v/>
      </c>
      <c r="AV1112" s="2" t="str">
        <f t="shared" si="69"/>
        <v/>
      </c>
      <c r="AW1112" s="2" t="str">
        <f t="shared" si="70"/>
        <v/>
      </c>
      <c r="AX1112" s="2" t="str">
        <f t="shared" si="71"/>
        <v/>
      </c>
      <c r="AY1112" s="2" t="str">
        <f>IF($AV1112="","",IF(AND($Z1112=0,COUNTIF('AR SALES'!$L$2:$L$2501,$L1112)=0),"YES",""))</f>
        <v/>
      </c>
      <c r="AZ1112" s="2" t="str">
        <f>IF($AV1112="","",IF(COUNTIF(LISTS!$C$2:$C$250,$AU1112)=0,"NEW",""))</f>
        <v/>
      </c>
      <c r="BA1112" s="2" t="str">
        <f>IF(""&amp;$F1112&lt;&gt;"4","",IF($AY1112="YES","",IF(ROUND(SUMIFS($AE$2:$AE$4001,$L$2:$L$4001,$L1112,$F$2:$F$4001,"4")-SUMIFS('AR SALES'!$Y$2:$Y$2501,'AR SALES'!$L$2:$L$2501,$L1112,'AR SALES'!$AD$2:$AD$2501,"OFF"),2)=0,"","STALE")))</f>
        <v/>
      </c>
      <c r="BB1112" s="2" t="str">
        <f>IF(OR(""&amp;$F1112="2",""&amp;$F1112="4",""&amp;$F1112="G",""&amp;$F1112="H"),IF($AY1112="YES","",IF($AB1112&lt;&gt;0,"",IF(COUNTIFS('AR SALES'!$L$2:$L$2501,$L1112,'AR SALES'!$AD$2:$AD$2501,IF(""&amp;$F1112="4","OFF","ON"),'AR SALES'!$AF$2:$AF$2501,"Y")&gt;0,"","NO EXEMPTION"))),"")</f>
        <v/>
      </c>
    </row>
    <row r="1113" spans="46:54" x14ac:dyDescent="0.25">
      <c r="AT1113" s="2" t="str">
        <f>IF($L1113="","",IFERROR(INDEX('AR SALES'!$H$2:$H$2501,MATCH(""&amp;$L1113,'AR SALES'!$AE$2:$AE$2501,0)),""))</f>
        <v/>
      </c>
      <c r="AU1113" s="2" t="str">
        <f t="shared" si="68"/>
        <v/>
      </c>
      <c r="AV1113" s="2" t="str">
        <f t="shared" si="69"/>
        <v/>
      </c>
      <c r="AW1113" s="2" t="str">
        <f t="shared" si="70"/>
        <v/>
      </c>
      <c r="AX1113" s="2" t="str">
        <f t="shared" si="71"/>
        <v/>
      </c>
      <c r="AY1113" s="2" t="str">
        <f>IF($AV1113="","",IF(AND($Z1113=0,COUNTIF('AR SALES'!$L$2:$L$2501,$L1113)=0),"YES",""))</f>
        <v/>
      </c>
      <c r="AZ1113" s="2" t="str">
        <f>IF($AV1113="","",IF(COUNTIF(LISTS!$C$2:$C$250,$AU1113)=0,"NEW",""))</f>
        <v/>
      </c>
      <c r="BA1113" s="2" t="str">
        <f>IF(""&amp;$F1113&lt;&gt;"4","",IF($AY1113="YES","",IF(ROUND(SUMIFS($AE$2:$AE$4001,$L$2:$L$4001,$L1113,$F$2:$F$4001,"4")-SUMIFS('AR SALES'!$Y$2:$Y$2501,'AR SALES'!$L$2:$L$2501,$L1113,'AR SALES'!$AD$2:$AD$2501,"OFF"),2)=0,"","STALE")))</f>
        <v/>
      </c>
      <c r="BB1113" s="2" t="str">
        <f>IF(OR(""&amp;$F1113="2",""&amp;$F1113="4",""&amp;$F1113="G",""&amp;$F1113="H"),IF($AY1113="YES","",IF($AB1113&lt;&gt;0,"",IF(COUNTIFS('AR SALES'!$L$2:$L$2501,$L1113,'AR SALES'!$AD$2:$AD$2501,IF(""&amp;$F1113="4","OFF","ON"),'AR SALES'!$AF$2:$AF$2501,"Y")&gt;0,"","NO EXEMPTION"))),"")</f>
        <v/>
      </c>
    </row>
    <row r="1114" spans="46:54" x14ac:dyDescent="0.25">
      <c r="AT1114" s="2" t="str">
        <f>IF($L1114="","",IFERROR(INDEX('AR SALES'!$H$2:$H$2501,MATCH(""&amp;$L1114,'AR SALES'!$AE$2:$AE$2501,0)),""))</f>
        <v/>
      </c>
      <c r="AU1114" s="2" t="str">
        <f t="shared" si="68"/>
        <v/>
      </c>
      <c r="AV1114" s="2" t="str">
        <f t="shared" si="69"/>
        <v/>
      </c>
      <c r="AW1114" s="2" t="str">
        <f t="shared" si="70"/>
        <v/>
      </c>
      <c r="AX1114" s="2" t="str">
        <f t="shared" si="71"/>
        <v/>
      </c>
      <c r="AY1114" s="2" t="str">
        <f>IF($AV1114="","",IF(AND($Z1114=0,COUNTIF('AR SALES'!$L$2:$L$2501,$L1114)=0),"YES",""))</f>
        <v/>
      </c>
      <c r="AZ1114" s="2" t="str">
        <f>IF($AV1114="","",IF(COUNTIF(LISTS!$C$2:$C$250,$AU1114)=0,"NEW",""))</f>
        <v/>
      </c>
      <c r="BA1114" s="2" t="str">
        <f>IF(""&amp;$F1114&lt;&gt;"4","",IF($AY1114="YES","",IF(ROUND(SUMIFS($AE$2:$AE$4001,$L$2:$L$4001,$L1114,$F$2:$F$4001,"4")-SUMIFS('AR SALES'!$Y$2:$Y$2501,'AR SALES'!$L$2:$L$2501,$L1114,'AR SALES'!$AD$2:$AD$2501,"OFF"),2)=0,"","STALE")))</f>
        <v/>
      </c>
      <c r="BB1114" s="2" t="str">
        <f>IF(OR(""&amp;$F1114="2",""&amp;$F1114="4",""&amp;$F1114="G",""&amp;$F1114="H"),IF($AY1114="YES","",IF($AB1114&lt;&gt;0,"",IF(COUNTIFS('AR SALES'!$L$2:$L$2501,$L1114,'AR SALES'!$AD$2:$AD$2501,IF(""&amp;$F1114="4","OFF","ON"),'AR SALES'!$AF$2:$AF$2501,"Y")&gt;0,"","NO EXEMPTION"))),"")</f>
        <v/>
      </c>
    </row>
    <row r="1115" spans="46:54" x14ac:dyDescent="0.25">
      <c r="AT1115" s="2" t="str">
        <f>IF($L1115="","",IFERROR(INDEX('AR SALES'!$H$2:$H$2501,MATCH(""&amp;$L1115,'AR SALES'!$AE$2:$AE$2501,0)),""))</f>
        <v/>
      </c>
      <c r="AU1115" s="2" t="str">
        <f t="shared" si="68"/>
        <v/>
      </c>
      <c r="AV1115" s="2" t="str">
        <f t="shared" si="69"/>
        <v/>
      </c>
      <c r="AW1115" s="2" t="str">
        <f t="shared" si="70"/>
        <v/>
      </c>
      <c r="AX1115" s="2" t="str">
        <f t="shared" si="71"/>
        <v/>
      </c>
      <c r="AY1115" s="2" t="str">
        <f>IF($AV1115="","",IF(AND($Z1115=0,COUNTIF('AR SALES'!$L$2:$L$2501,$L1115)=0),"YES",""))</f>
        <v/>
      </c>
      <c r="AZ1115" s="2" t="str">
        <f>IF($AV1115="","",IF(COUNTIF(LISTS!$C$2:$C$250,$AU1115)=0,"NEW",""))</f>
        <v/>
      </c>
      <c r="BA1115" s="2" t="str">
        <f>IF(""&amp;$F1115&lt;&gt;"4","",IF($AY1115="YES","",IF(ROUND(SUMIFS($AE$2:$AE$4001,$L$2:$L$4001,$L1115,$F$2:$F$4001,"4")-SUMIFS('AR SALES'!$Y$2:$Y$2501,'AR SALES'!$L$2:$L$2501,$L1115,'AR SALES'!$AD$2:$AD$2501,"OFF"),2)=0,"","STALE")))</f>
        <v/>
      </c>
      <c r="BB1115" s="2" t="str">
        <f>IF(OR(""&amp;$F1115="2",""&amp;$F1115="4",""&amp;$F1115="G",""&amp;$F1115="H"),IF($AY1115="YES","",IF($AB1115&lt;&gt;0,"",IF(COUNTIFS('AR SALES'!$L$2:$L$2501,$L1115,'AR SALES'!$AD$2:$AD$2501,IF(""&amp;$F1115="4","OFF","ON"),'AR SALES'!$AF$2:$AF$2501,"Y")&gt;0,"","NO EXEMPTION"))),"")</f>
        <v/>
      </c>
    </row>
    <row r="1116" spans="46:54" x14ac:dyDescent="0.25">
      <c r="AT1116" s="2" t="str">
        <f>IF($L1116="","",IFERROR(INDEX('AR SALES'!$H$2:$H$2501,MATCH(""&amp;$L1116,'AR SALES'!$AE$2:$AE$2501,0)),""))</f>
        <v/>
      </c>
      <c r="AU1116" s="2" t="str">
        <f t="shared" si="68"/>
        <v/>
      </c>
      <c r="AV1116" s="2" t="str">
        <f t="shared" si="69"/>
        <v/>
      </c>
      <c r="AW1116" s="2" t="str">
        <f t="shared" si="70"/>
        <v/>
      </c>
      <c r="AX1116" s="2" t="str">
        <f t="shared" si="71"/>
        <v/>
      </c>
      <c r="AY1116" s="2" t="str">
        <f>IF($AV1116="","",IF(AND($Z1116=0,COUNTIF('AR SALES'!$L$2:$L$2501,$L1116)=0),"YES",""))</f>
        <v/>
      </c>
      <c r="AZ1116" s="2" t="str">
        <f>IF($AV1116="","",IF(COUNTIF(LISTS!$C$2:$C$250,$AU1116)=0,"NEW",""))</f>
        <v/>
      </c>
      <c r="BA1116" s="2" t="str">
        <f>IF(""&amp;$F1116&lt;&gt;"4","",IF($AY1116="YES","",IF(ROUND(SUMIFS($AE$2:$AE$4001,$L$2:$L$4001,$L1116,$F$2:$F$4001,"4")-SUMIFS('AR SALES'!$Y$2:$Y$2501,'AR SALES'!$L$2:$L$2501,$L1116,'AR SALES'!$AD$2:$AD$2501,"OFF"),2)=0,"","STALE")))</f>
        <v/>
      </c>
      <c r="BB1116" s="2" t="str">
        <f>IF(OR(""&amp;$F1116="2",""&amp;$F1116="4",""&amp;$F1116="G",""&amp;$F1116="H"),IF($AY1116="YES","",IF($AB1116&lt;&gt;0,"",IF(COUNTIFS('AR SALES'!$L$2:$L$2501,$L1116,'AR SALES'!$AD$2:$AD$2501,IF(""&amp;$F1116="4","OFF","ON"),'AR SALES'!$AF$2:$AF$2501,"Y")&gt;0,"","NO EXEMPTION"))),"")</f>
        <v/>
      </c>
    </row>
    <row r="1117" spans="46:54" x14ac:dyDescent="0.25">
      <c r="AT1117" s="2" t="str">
        <f>IF($L1117="","",IFERROR(INDEX('AR SALES'!$H$2:$H$2501,MATCH(""&amp;$L1117,'AR SALES'!$AE$2:$AE$2501,0)),""))</f>
        <v/>
      </c>
      <c r="AU1117" s="2" t="str">
        <f t="shared" si="68"/>
        <v/>
      </c>
      <c r="AV1117" s="2" t="str">
        <f t="shared" si="69"/>
        <v/>
      </c>
      <c r="AW1117" s="2" t="str">
        <f t="shared" si="70"/>
        <v/>
      </c>
      <c r="AX1117" s="2" t="str">
        <f t="shared" si="71"/>
        <v/>
      </c>
      <c r="AY1117" s="2" t="str">
        <f>IF($AV1117="","",IF(AND($Z1117=0,COUNTIF('AR SALES'!$L$2:$L$2501,$L1117)=0),"YES",""))</f>
        <v/>
      </c>
      <c r="AZ1117" s="2" t="str">
        <f>IF($AV1117="","",IF(COUNTIF(LISTS!$C$2:$C$250,$AU1117)=0,"NEW",""))</f>
        <v/>
      </c>
      <c r="BA1117" s="2" t="str">
        <f>IF(""&amp;$F1117&lt;&gt;"4","",IF($AY1117="YES","",IF(ROUND(SUMIFS($AE$2:$AE$4001,$L$2:$L$4001,$L1117,$F$2:$F$4001,"4")-SUMIFS('AR SALES'!$Y$2:$Y$2501,'AR SALES'!$L$2:$L$2501,$L1117,'AR SALES'!$AD$2:$AD$2501,"OFF"),2)=0,"","STALE")))</f>
        <v/>
      </c>
      <c r="BB1117" s="2" t="str">
        <f>IF(OR(""&amp;$F1117="2",""&amp;$F1117="4",""&amp;$F1117="G",""&amp;$F1117="H"),IF($AY1117="YES","",IF($AB1117&lt;&gt;0,"",IF(COUNTIFS('AR SALES'!$L$2:$L$2501,$L1117,'AR SALES'!$AD$2:$AD$2501,IF(""&amp;$F1117="4","OFF","ON"),'AR SALES'!$AF$2:$AF$2501,"Y")&gt;0,"","NO EXEMPTION"))),"")</f>
        <v/>
      </c>
    </row>
    <row r="1118" spans="46:54" x14ac:dyDescent="0.25">
      <c r="AT1118" s="2" t="str">
        <f>IF($L1118="","",IFERROR(INDEX('AR SALES'!$H$2:$H$2501,MATCH(""&amp;$L1118,'AR SALES'!$AE$2:$AE$2501,0)),""))</f>
        <v/>
      </c>
      <c r="AU1118" s="2" t="str">
        <f t="shared" si="68"/>
        <v/>
      </c>
      <c r="AV1118" s="2" t="str">
        <f t="shared" si="69"/>
        <v/>
      </c>
      <c r="AW1118" s="2" t="str">
        <f t="shared" si="70"/>
        <v/>
      </c>
      <c r="AX1118" s="2" t="str">
        <f t="shared" si="71"/>
        <v/>
      </c>
      <c r="AY1118" s="2" t="str">
        <f>IF($AV1118="","",IF(AND($Z1118=0,COUNTIF('AR SALES'!$L$2:$L$2501,$L1118)=0),"YES",""))</f>
        <v/>
      </c>
      <c r="AZ1118" s="2" t="str">
        <f>IF($AV1118="","",IF(COUNTIF(LISTS!$C$2:$C$250,$AU1118)=0,"NEW",""))</f>
        <v/>
      </c>
      <c r="BA1118" s="2" t="str">
        <f>IF(""&amp;$F1118&lt;&gt;"4","",IF($AY1118="YES","",IF(ROUND(SUMIFS($AE$2:$AE$4001,$L$2:$L$4001,$L1118,$F$2:$F$4001,"4")-SUMIFS('AR SALES'!$Y$2:$Y$2501,'AR SALES'!$L$2:$L$2501,$L1118,'AR SALES'!$AD$2:$AD$2501,"OFF"),2)=0,"","STALE")))</f>
        <v/>
      </c>
      <c r="BB1118" s="2" t="str">
        <f>IF(OR(""&amp;$F1118="2",""&amp;$F1118="4",""&amp;$F1118="G",""&amp;$F1118="H"),IF($AY1118="YES","",IF($AB1118&lt;&gt;0,"",IF(COUNTIFS('AR SALES'!$L$2:$L$2501,$L1118,'AR SALES'!$AD$2:$AD$2501,IF(""&amp;$F1118="4","OFF","ON"),'AR SALES'!$AF$2:$AF$2501,"Y")&gt;0,"","NO EXEMPTION"))),"")</f>
        <v/>
      </c>
    </row>
    <row r="1119" spans="46:54" x14ac:dyDescent="0.25">
      <c r="AT1119" s="2" t="str">
        <f>IF($L1119="","",IFERROR(INDEX('AR SALES'!$H$2:$H$2501,MATCH(""&amp;$L1119,'AR SALES'!$AE$2:$AE$2501,0)),""))</f>
        <v/>
      </c>
      <c r="AU1119" s="2" t="str">
        <f t="shared" si="68"/>
        <v/>
      </c>
      <c r="AV1119" s="2" t="str">
        <f t="shared" si="69"/>
        <v/>
      </c>
      <c r="AW1119" s="2" t="str">
        <f t="shared" si="70"/>
        <v/>
      </c>
      <c r="AX1119" s="2" t="str">
        <f t="shared" si="71"/>
        <v/>
      </c>
      <c r="AY1119" s="2" t="str">
        <f>IF($AV1119="","",IF(AND($Z1119=0,COUNTIF('AR SALES'!$L$2:$L$2501,$L1119)=0),"YES",""))</f>
        <v/>
      </c>
      <c r="AZ1119" s="2" t="str">
        <f>IF($AV1119="","",IF(COUNTIF(LISTS!$C$2:$C$250,$AU1119)=0,"NEW",""))</f>
        <v/>
      </c>
      <c r="BA1119" s="2" t="str">
        <f>IF(""&amp;$F1119&lt;&gt;"4","",IF($AY1119="YES","",IF(ROUND(SUMIFS($AE$2:$AE$4001,$L$2:$L$4001,$L1119,$F$2:$F$4001,"4")-SUMIFS('AR SALES'!$Y$2:$Y$2501,'AR SALES'!$L$2:$L$2501,$L1119,'AR SALES'!$AD$2:$AD$2501,"OFF"),2)=0,"","STALE")))</f>
        <v/>
      </c>
      <c r="BB1119" s="2" t="str">
        <f>IF(OR(""&amp;$F1119="2",""&amp;$F1119="4",""&amp;$F1119="G",""&amp;$F1119="H"),IF($AY1119="YES","",IF($AB1119&lt;&gt;0,"",IF(COUNTIFS('AR SALES'!$L$2:$L$2501,$L1119,'AR SALES'!$AD$2:$AD$2501,IF(""&amp;$F1119="4","OFF","ON"),'AR SALES'!$AF$2:$AF$2501,"Y")&gt;0,"","NO EXEMPTION"))),"")</f>
        <v/>
      </c>
    </row>
    <row r="1120" spans="46:54" x14ac:dyDescent="0.25">
      <c r="AT1120" s="2" t="str">
        <f>IF($L1120="","",IFERROR(INDEX('AR SALES'!$H$2:$H$2501,MATCH(""&amp;$L1120,'AR SALES'!$AE$2:$AE$2501,0)),""))</f>
        <v/>
      </c>
      <c r="AU1120" s="2" t="str">
        <f t="shared" si="68"/>
        <v/>
      </c>
      <c r="AV1120" s="2" t="str">
        <f t="shared" si="69"/>
        <v/>
      </c>
      <c r="AW1120" s="2" t="str">
        <f t="shared" si="70"/>
        <v/>
      </c>
      <c r="AX1120" s="2" t="str">
        <f t="shared" si="71"/>
        <v/>
      </c>
      <c r="AY1120" s="2" t="str">
        <f>IF($AV1120="","",IF(AND($Z1120=0,COUNTIF('AR SALES'!$L$2:$L$2501,$L1120)=0),"YES",""))</f>
        <v/>
      </c>
      <c r="AZ1120" s="2" t="str">
        <f>IF($AV1120="","",IF(COUNTIF(LISTS!$C$2:$C$250,$AU1120)=0,"NEW",""))</f>
        <v/>
      </c>
      <c r="BA1120" s="2" t="str">
        <f>IF(""&amp;$F1120&lt;&gt;"4","",IF($AY1120="YES","",IF(ROUND(SUMIFS($AE$2:$AE$4001,$L$2:$L$4001,$L1120,$F$2:$F$4001,"4")-SUMIFS('AR SALES'!$Y$2:$Y$2501,'AR SALES'!$L$2:$L$2501,$L1120,'AR SALES'!$AD$2:$AD$2501,"OFF"),2)=0,"","STALE")))</f>
        <v/>
      </c>
      <c r="BB1120" s="2" t="str">
        <f>IF(OR(""&amp;$F1120="2",""&amp;$F1120="4",""&amp;$F1120="G",""&amp;$F1120="H"),IF($AY1120="YES","",IF($AB1120&lt;&gt;0,"",IF(COUNTIFS('AR SALES'!$L$2:$L$2501,$L1120,'AR SALES'!$AD$2:$AD$2501,IF(""&amp;$F1120="4","OFF","ON"),'AR SALES'!$AF$2:$AF$2501,"Y")&gt;0,"","NO EXEMPTION"))),"")</f>
        <v/>
      </c>
    </row>
    <row r="1121" spans="46:54" x14ac:dyDescent="0.25">
      <c r="AT1121" s="2" t="str">
        <f>IF($L1121="","",IFERROR(INDEX('AR SALES'!$H$2:$H$2501,MATCH(""&amp;$L1121,'AR SALES'!$AE$2:$AE$2501,0)),""))</f>
        <v/>
      </c>
      <c r="AU1121" s="2" t="str">
        <f t="shared" si="68"/>
        <v/>
      </c>
      <c r="AV1121" s="2" t="str">
        <f t="shared" si="69"/>
        <v/>
      </c>
      <c r="AW1121" s="2" t="str">
        <f t="shared" si="70"/>
        <v/>
      </c>
      <c r="AX1121" s="2" t="str">
        <f t="shared" si="71"/>
        <v/>
      </c>
      <c r="AY1121" s="2" t="str">
        <f>IF($AV1121="","",IF(AND($Z1121=0,COUNTIF('AR SALES'!$L$2:$L$2501,$L1121)=0),"YES",""))</f>
        <v/>
      </c>
      <c r="AZ1121" s="2" t="str">
        <f>IF($AV1121="","",IF(COUNTIF(LISTS!$C$2:$C$250,$AU1121)=0,"NEW",""))</f>
        <v/>
      </c>
      <c r="BA1121" s="2" t="str">
        <f>IF(""&amp;$F1121&lt;&gt;"4","",IF($AY1121="YES","",IF(ROUND(SUMIFS($AE$2:$AE$4001,$L$2:$L$4001,$L1121,$F$2:$F$4001,"4")-SUMIFS('AR SALES'!$Y$2:$Y$2501,'AR SALES'!$L$2:$L$2501,$L1121,'AR SALES'!$AD$2:$AD$2501,"OFF"),2)=0,"","STALE")))</f>
        <v/>
      </c>
      <c r="BB1121" s="2" t="str">
        <f>IF(OR(""&amp;$F1121="2",""&amp;$F1121="4",""&amp;$F1121="G",""&amp;$F1121="H"),IF($AY1121="YES","",IF($AB1121&lt;&gt;0,"",IF(COUNTIFS('AR SALES'!$L$2:$L$2501,$L1121,'AR SALES'!$AD$2:$AD$2501,IF(""&amp;$F1121="4","OFF","ON"),'AR SALES'!$AF$2:$AF$2501,"Y")&gt;0,"","NO EXEMPTION"))),"")</f>
        <v/>
      </c>
    </row>
    <row r="1122" spans="46:54" x14ac:dyDescent="0.25">
      <c r="AT1122" s="2" t="str">
        <f>IF($L1122="","",IFERROR(INDEX('AR SALES'!$H$2:$H$2501,MATCH(""&amp;$L1122,'AR SALES'!$AE$2:$AE$2501,0)),""))</f>
        <v/>
      </c>
      <c r="AU1122" s="2" t="str">
        <f t="shared" si="68"/>
        <v/>
      </c>
      <c r="AV1122" s="2" t="str">
        <f t="shared" si="69"/>
        <v/>
      </c>
      <c r="AW1122" s="2" t="str">
        <f t="shared" si="70"/>
        <v/>
      </c>
      <c r="AX1122" s="2" t="str">
        <f t="shared" si="71"/>
        <v/>
      </c>
      <c r="AY1122" s="2" t="str">
        <f>IF($AV1122="","",IF(AND($Z1122=0,COUNTIF('AR SALES'!$L$2:$L$2501,$L1122)=0),"YES",""))</f>
        <v/>
      </c>
      <c r="AZ1122" s="2" t="str">
        <f>IF($AV1122="","",IF(COUNTIF(LISTS!$C$2:$C$250,$AU1122)=0,"NEW",""))</f>
        <v/>
      </c>
      <c r="BA1122" s="2" t="str">
        <f>IF(""&amp;$F1122&lt;&gt;"4","",IF($AY1122="YES","",IF(ROUND(SUMIFS($AE$2:$AE$4001,$L$2:$L$4001,$L1122,$F$2:$F$4001,"4")-SUMIFS('AR SALES'!$Y$2:$Y$2501,'AR SALES'!$L$2:$L$2501,$L1122,'AR SALES'!$AD$2:$AD$2501,"OFF"),2)=0,"","STALE")))</f>
        <v/>
      </c>
      <c r="BB1122" s="2" t="str">
        <f>IF(OR(""&amp;$F1122="2",""&amp;$F1122="4",""&amp;$F1122="G",""&amp;$F1122="H"),IF($AY1122="YES","",IF($AB1122&lt;&gt;0,"",IF(COUNTIFS('AR SALES'!$L$2:$L$2501,$L1122,'AR SALES'!$AD$2:$AD$2501,IF(""&amp;$F1122="4","OFF","ON"),'AR SALES'!$AF$2:$AF$2501,"Y")&gt;0,"","NO EXEMPTION"))),"")</f>
        <v/>
      </c>
    </row>
    <row r="1123" spans="46:54" x14ac:dyDescent="0.25">
      <c r="AT1123" s="2" t="str">
        <f>IF($L1123="","",IFERROR(INDEX('AR SALES'!$H$2:$H$2501,MATCH(""&amp;$L1123,'AR SALES'!$AE$2:$AE$2501,0)),""))</f>
        <v/>
      </c>
      <c r="AU1123" s="2" t="str">
        <f t="shared" si="68"/>
        <v/>
      </c>
      <c r="AV1123" s="2" t="str">
        <f t="shared" si="69"/>
        <v/>
      </c>
      <c r="AW1123" s="2" t="str">
        <f t="shared" si="70"/>
        <v/>
      </c>
      <c r="AX1123" s="2" t="str">
        <f t="shared" si="71"/>
        <v/>
      </c>
      <c r="AY1123" s="2" t="str">
        <f>IF($AV1123="","",IF(AND($Z1123=0,COUNTIF('AR SALES'!$L$2:$L$2501,$L1123)=0),"YES",""))</f>
        <v/>
      </c>
      <c r="AZ1123" s="2" t="str">
        <f>IF($AV1123="","",IF(COUNTIF(LISTS!$C$2:$C$250,$AU1123)=0,"NEW",""))</f>
        <v/>
      </c>
      <c r="BA1123" s="2" t="str">
        <f>IF(""&amp;$F1123&lt;&gt;"4","",IF($AY1123="YES","",IF(ROUND(SUMIFS($AE$2:$AE$4001,$L$2:$L$4001,$L1123,$F$2:$F$4001,"4")-SUMIFS('AR SALES'!$Y$2:$Y$2501,'AR SALES'!$L$2:$L$2501,$L1123,'AR SALES'!$AD$2:$AD$2501,"OFF"),2)=0,"","STALE")))</f>
        <v/>
      </c>
      <c r="BB1123" s="2" t="str">
        <f>IF(OR(""&amp;$F1123="2",""&amp;$F1123="4",""&amp;$F1123="G",""&amp;$F1123="H"),IF($AY1123="YES","",IF($AB1123&lt;&gt;0,"",IF(COUNTIFS('AR SALES'!$L$2:$L$2501,$L1123,'AR SALES'!$AD$2:$AD$2501,IF(""&amp;$F1123="4","OFF","ON"),'AR SALES'!$AF$2:$AF$2501,"Y")&gt;0,"","NO EXEMPTION"))),"")</f>
        <v/>
      </c>
    </row>
    <row r="1124" spans="46:54" x14ac:dyDescent="0.25">
      <c r="AT1124" s="2" t="str">
        <f>IF($L1124="","",IFERROR(INDEX('AR SALES'!$H$2:$H$2501,MATCH(""&amp;$L1124,'AR SALES'!$AE$2:$AE$2501,0)),""))</f>
        <v/>
      </c>
      <c r="AU1124" s="2" t="str">
        <f t="shared" si="68"/>
        <v/>
      </c>
      <c r="AV1124" s="2" t="str">
        <f t="shared" si="69"/>
        <v/>
      </c>
      <c r="AW1124" s="2" t="str">
        <f t="shared" si="70"/>
        <v/>
      </c>
      <c r="AX1124" s="2" t="str">
        <f t="shared" si="71"/>
        <v/>
      </c>
      <c r="AY1124" s="2" t="str">
        <f>IF($AV1124="","",IF(AND($Z1124=0,COUNTIF('AR SALES'!$L$2:$L$2501,$L1124)=0),"YES",""))</f>
        <v/>
      </c>
      <c r="AZ1124" s="2" t="str">
        <f>IF($AV1124="","",IF(COUNTIF(LISTS!$C$2:$C$250,$AU1124)=0,"NEW",""))</f>
        <v/>
      </c>
      <c r="BA1124" s="2" t="str">
        <f>IF(""&amp;$F1124&lt;&gt;"4","",IF($AY1124="YES","",IF(ROUND(SUMIFS($AE$2:$AE$4001,$L$2:$L$4001,$L1124,$F$2:$F$4001,"4")-SUMIFS('AR SALES'!$Y$2:$Y$2501,'AR SALES'!$L$2:$L$2501,$L1124,'AR SALES'!$AD$2:$AD$2501,"OFF"),2)=0,"","STALE")))</f>
        <v/>
      </c>
      <c r="BB1124" s="2" t="str">
        <f>IF(OR(""&amp;$F1124="2",""&amp;$F1124="4",""&amp;$F1124="G",""&amp;$F1124="H"),IF($AY1124="YES","",IF($AB1124&lt;&gt;0,"",IF(COUNTIFS('AR SALES'!$L$2:$L$2501,$L1124,'AR SALES'!$AD$2:$AD$2501,IF(""&amp;$F1124="4","OFF","ON"),'AR SALES'!$AF$2:$AF$2501,"Y")&gt;0,"","NO EXEMPTION"))),"")</f>
        <v/>
      </c>
    </row>
    <row r="1125" spans="46:54" x14ac:dyDescent="0.25">
      <c r="AT1125" s="2" t="str">
        <f>IF($L1125="","",IFERROR(INDEX('AR SALES'!$H$2:$H$2501,MATCH(""&amp;$L1125,'AR SALES'!$AE$2:$AE$2501,0)),""))</f>
        <v/>
      </c>
      <c r="AU1125" s="2" t="str">
        <f t="shared" si="68"/>
        <v/>
      </c>
      <c r="AV1125" s="2" t="str">
        <f t="shared" si="69"/>
        <v/>
      </c>
      <c r="AW1125" s="2" t="str">
        <f t="shared" si="70"/>
        <v/>
      </c>
      <c r="AX1125" s="2" t="str">
        <f t="shared" si="71"/>
        <v/>
      </c>
      <c r="AY1125" s="2" t="str">
        <f>IF($AV1125="","",IF(AND($Z1125=0,COUNTIF('AR SALES'!$L$2:$L$2501,$L1125)=0),"YES",""))</f>
        <v/>
      </c>
      <c r="AZ1125" s="2" t="str">
        <f>IF($AV1125="","",IF(COUNTIF(LISTS!$C$2:$C$250,$AU1125)=0,"NEW",""))</f>
        <v/>
      </c>
      <c r="BA1125" s="2" t="str">
        <f>IF(""&amp;$F1125&lt;&gt;"4","",IF($AY1125="YES","",IF(ROUND(SUMIFS($AE$2:$AE$4001,$L$2:$L$4001,$L1125,$F$2:$F$4001,"4")-SUMIFS('AR SALES'!$Y$2:$Y$2501,'AR SALES'!$L$2:$L$2501,$L1125,'AR SALES'!$AD$2:$AD$2501,"OFF"),2)=0,"","STALE")))</f>
        <v/>
      </c>
      <c r="BB1125" s="2" t="str">
        <f>IF(OR(""&amp;$F1125="2",""&amp;$F1125="4",""&amp;$F1125="G",""&amp;$F1125="H"),IF($AY1125="YES","",IF($AB1125&lt;&gt;0,"",IF(COUNTIFS('AR SALES'!$L$2:$L$2501,$L1125,'AR SALES'!$AD$2:$AD$2501,IF(""&amp;$F1125="4","OFF","ON"),'AR SALES'!$AF$2:$AF$2501,"Y")&gt;0,"","NO EXEMPTION"))),"")</f>
        <v/>
      </c>
    </row>
    <row r="1126" spans="46:54" x14ac:dyDescent="0.25">
      <c r="AT1126" s="2" t="str">
        <f>IF($L1126="","",IFERROR(INDEX('AR SALES'!$H$2:$H$2501,MATCH(""&amp;$L1126,'AR SALES'!$AE$2:$AE$2501,0)),""))</f>
        <v/>
      </c>
      <c r="AU1126" s="2" t="str">
        <f t="shared" si="68"/>
        <v/>
      </c>
      <c r="AV1126" s="2" t="str">
        <f t="shared" si="69"/>
        <v/>
      </c>
      <c r="AW1126" s="2" t="str">
        <f t="shared" si="70"/>
        <v/>
      </c>
      <c r="AX1126" s="2" t="str">
        <f t="shared" si="71"/>
        <v/>
      </c>
      <c r="AY1126" s="2" t="str">
        <f>IF($AV1126="","",IF(AND($Z1126=0,COUNTIF('AR SALES'!$L$2:$L$2501,$L1126)=0),"YES",""))</f>
        <v/>
      </c>
      <c r="AZ1126" s="2" t="str">
        <f>IF($AV1126="","",IF(COUNTIF(LISTS!$C$2:$C$250,$AU1126)=0,"NEW",""))</f>
        <v/>
      </c>
      <c r="BA1126" s="2" t="str">
        <f>IF(""&amp;$F1126&lt;&gt;"4","",IF($AY1126="YES","",IF(ROUND(SUMIFS($AE$2:$AE$4001,$L$2:$L$4001,$L1126,$F$2:$F$4001,"4")-SUMIFS('AR SALES'!$Y$2:$Y$2501,'AR SALES'!$L$2:$L$2501,$L1126,'AR SALES'!$AD$2:$AD$2501,"OFF"),2)=0,"","STALE")))</f>
        <v/>
      </c>
      <c r="BB1126" s="2" t="str">
        <f>IF(OR(""&amp;$F1126="2",""&amp;$F1126="4",""&amp;$F1126="G",""&amp;$F1126="H"),IF($AY1126="YES","",IF($AB1126&lt;&gt;0,"",IF(COUNTIFS('AR SALES'!$L$2:$L$2501,$L1126,'AR SALES'!$AD$2:$AD$2501,IF(""&amp;$F1126="4","OFF","ON"),'AR SALES'!$AF$2:$AF$2501,"Y")&gt;0,"","NO EXEMPTION"))),"")</f>
        <v/>
      </c>
    </row>
    <row r="1127" spans="46:54" x14ac:dyDescent="0.25">
      <c r="AT1127" s="2" t="str">
        <f>IF($L1127="","",IFERROR(INDEX('AR SALES'!$H$2:$H$2501,MATCH(""&amp;$L1127,'AR SALES'!$AE$2:$AE$2501,0)),""))</f>
        <v/>
      </c>
      <c r="AU1127" s="2" t="str">
        <f t="shared" si="68"/>
        <v/>
      </c>
      <c r="AV1127" s="2" t="str">
        <f t="shared" si="69"/>
        <v/>
      </c>
      <c r="AW1127" s="2" t="str">
        <f t="shared" si="70"/>
        <v/>
      </c>
      <c r="AX1127" s="2" t="str">
        <f t="shared" si="71"/>
        <v/>
      </c>
      <c r="AY1127" s="2" t="str">
        <f>IF($AV1127="","",IF(AND($Z1127=0,COUNTIF('AR SALES'!$L$2:$L$2501,$L1127)=0),"YES",""))</f>
        <v/>
      </c>
      <c r="AZ1127" s="2" t="str">
        <f>IF($AV1127="","",IF(COUNTIF(LISTS!$C$2:$C$250,$AU1127)=0,"NEW",""))</f>
        <v/>
      </c>
      <c r="BA1127" s="2" t="str">
        <f>IF(""&amp;$F1127&lt;&gt;"4","",IF($AY1127="YES","",IF(ROUND(SUMIFS($AE$2:$AE$4001,$L$2:$L$4001,$L1127,$F$2:$F$4001,"4")-SUMIFS('AR SALES'!$Y$2:$Y$2501,'AR SALES'!$L$2:$L$2501,$L1127,'AR SALES'!$AD$2:$AD$2501,"OFF"),2)=0,"","STALE")))</f>
        <v/>
      </c>
      <c r="BB1127" s="2" t="str">
        <f>IF(OR(""&amp;$F1127="2",""&amp;$F1127="4",""&amp;$F1127="G",""&amp;$F1127="H"),IF($AY1127="YES","",IF($AB1127&lt;&gt;0,"",IF(COUNTIFS('AR SALES'!$L$2:$L$2501,$L1127,'AR SALES'!$AD$2:$AD$2501,IF(""&amp;$F1127="4","OFF","ON"),'AR SALES'!$AF$2:$AF$2501,"Y")&gt;0,"","NO EXEMPTION"))),"")</f>
        <v/>
      </c>
    </row>
    <row r="1128" spans="46:54" x14ac:dyDescent="0.25">
      <c r="AT1128" s="2" t="str">
        <f>IF($L1128="","",IFERROR(INDEX('AR SALES'!$H$2:$H$2501,MATCH(""&amp;$L1128,'AR SALES'!$AE$2:$AE$2501,0)),""))</f>
        <v/>
      </c>
      <c r="AU1128" s="2" t="str">
        <f t="shared" si="68"/>
        <v/>
      </c>
      <c r="AV1128" s="2" t="str">
        <f t="shared" si="69"/>
        <v/>
      </c>
      <c r="AW1128" s="2" t="str">
        <f t="shared" si="70"/>
        <v/>
      </c>
      <c r="AX1128" s="2" t="str">
        <f t="shared" si="71"/>
        <v/>
      </c>
      <c r="AY1128" s="2" t="str">
        <f>IF($AV1128="","",IF(AND($Z1128=0,COUNTIF('AR SALES'!$L$2:$L$2501,$L1128)=0),"YES",""))</f>
        <v/>
      </c>
      <c r="AZ1128" s="2" t="str">
        <f>IF($AV1128="","",IF(COUNTIF(LISTS!$C$2:$C$250,$AU1128)=0,"NEW",""))</f>
        <v/>
      </c>
      <c r="BA1128" s="2" t="str">
        <f>IF(""&amp;$F1128&lt;&gt;"4","",IF($AY1128="YES","",IF(ROUND(SUMIFS($AE$2:$AE$4001,$L$2:$L$4001,$L1128,$F$2:$F$4001,"4")-SUMIFS('AR SALES'!$Y$2:$Y$2501,'AR SALES'!$L$2:$L$2501,$L1128,'AR SALES'!$AD$2:$AD$2501,"OFF"),2)=0,"","STALE")))</f>
        <v/>
      </c>
      <c r="BB1128" s="2" t="str">
        <f>IF(OR(""&amp;$F1128="2",""&amp;$F1128="4",""&amp;$F1128="G",""&amp;$F1128="H"),IF($AY1128="YES","",IF($AB1128&lt;&gt;0,"",IF(COUNTIFS('AR SALES'!$L$2:$L$2501,$L1128,'AR SALES'!$AD$2:$AD$2501,IF(""&amp;$F1128="4","OFF","ON"),'AR SALES'!$AF$2:$AF$2501,"Y")&gt;0,"","NO EXEMPTION"))),"")</f>
        <v/>
      </c>
    </row>
    <row r="1129" spans="46:54" x14ac:dyDescent="0.25">
      <c r="AT1129" s="2" t="str">
        <f>IF($L1129="","",IFERROR(INDEX('AR SALES'!$H$2:$H$2501,MATCH(""&amp;$L1129,'AR SALES'!$AE$2:$AE$2501,0)),""))</f>
        <v/>
      </c>
      <c r="AU1129" s="2" t="str">
        <f t="shared" si="68"/>
        <v/>
      </c>
      <c r="AV1129" s="2" t="str">
        <f t="shared" si="69"/>
        <v/>
      </c>
      <c r="AW1129" s="2" t="str">
        <f t="shared" si="70"/>
        <v/>
      </c>
      <c r="AX1129" s="2" t="str">
        <f t="shared" si="71"/>
        <v/>
      </c>
      <c r="AY1129" s="2" t="str">
        <f>IF($AV1129="","",IF(AND($Z1129=0,COUNTIF('AR SALES'!$L$2:$L$2501,$L1129)=0),"YES",""))</f>
        <v/>
      </c>
      <c r="AZ1129" s="2" t="str">
        <f>IF($AV1129="","",IF(COUNTIF(LISTS!$C$2:$C$250,$AU1129)=0,"NEW",""))</f>
        <v/>
      </c>
      <c r="BA1129" s="2" t="str">
        <f>IF(""&amp;$F1129&lt;&gt;"4","",IF($AY1129="YES","",IF(ROUND(SUMIFS($AE$2:$AE$4001,$L$2:$L$4001,$L1129,$F$2:$F$4001,"4")-SUMIFS('AR SALES'!$Y$2:$Y$2501,'AR SALES'!$L$2:$L$2501,$L1129,'AR SALES'!$AD$2:$AD$2501,"OFF"),2)=0,"","STALE")))</f>
        <v/>
      </c>
      <c r="BB1129" s="2" t="str">
        <f>IF(OR(""&amp;$F1129="2",""&amp;$F1129="4",""&amp;$F1129="G",""&amp;$F1129="H"),IF($AY1129="YES","",IF($AB1129&lt;&gt;0,"",IF(COUNTIFS('AR SALES'!$L$2:$L$2501,$L1129,'AR SALES'!$AD$2:$AD$2501,IF(""&amp;$F1129="4","OFF","ON"),'AR SALES'!$AF$2:$AF$2501,"Y")&gt;0,"","NO EXEMPTION"))),"")</f>
        <v/>
      </c>
    </row>
    <row r="1130" spans="46:54" x14ac:dyDescent="0.25">
      <c r="AT1130" s="2" t="str">
        <f>IF($L1130="","",IFERROR(INDEX('AR SALES'!$H$2:$H$2501,MATCH(""&amp;$L1130,'AR SALES'!$AE$2:$AE$2501,0)),""))</f>
        <v/>
      </c>
      <c r="AU1130" s="2" t="str">
        <f t="shared" si="68"/>
        <v/>
      </c>
      <c r="AV1130" s="2" t="str">
        <f t="shared" si="69"/>
        <v/>
      </c>
      <c r="AW1130" s="2" t="str">
        <f t="shared" si="70"/>
        <v/>
      </c>
      <c r="AX1130" s="2" t="str">
        <f t="shared" si="71"/>
        <v/>
      </c>
      <c r="AY1130" s="2" t="str">
        <f>IF($AV1130="","",IF(AND($Z1130=0,COUNTIF('AR SALES'!$L$2:$L$2501,$L1130)=0),"YES",""))</f>
        <v/>
      </c>
      <c r="AZ1130" s="2" t="str">
        <f>IF($AV1130="","",IF(COUNTIF(LISTS!$C$2:$C$250,$AU1130)=0,"NEW",""))</f>
        <v/>
      </c>
      <c r="BA1130" s="2" t="str">
        <f>IF(""&amp;$F1130&lt;&gt;"4","",IF($AY1130="YES","",IF(ROUND(SUMIFS($AE$2:$AE$4001,$L$2:$L$4001,$L1130,$F$2:$F$4001,"4")-SUMIFS('AR SALES'!$Y$2:$Y$2501,'AR SALES'!$L$2:$L$2501,$L1130,'AR SALES'!$AD$2:$AD$2501,"OFF"),2)=0,"","STALE")))</f>
        <v/>
      </c>
      <c r="BB1130" s="2" t="str">
        <f>IF(OR(""&amp;$F1130="2",""&amp;$F1130="4",""&amp;$F1130="G",""&amp;$F1130="H"),IF($AY1130="YES","",IF($AB1130&lt;&gt;0,"",IF(COUNTIFS('AR SALES'!$L$2:$L$2501,$L1130,'AR SALES'!$AD$2:$AD$2501,IF(""&amp;$F1130="4","OFF","ON"),'AR SALES'!$AF$2:$AF$2501,"Y")&gt;0,"","NO EXEMPTION"))),"")</f>
        <v/>
      </c>
    </row>
    <row r="1131" spans="46:54" x14ac:dyDescent="0.25">
      <c r="AT1131" s="2" t="str">
        <f>IF($L1131="","",IFERROR(INDEX('AR SALES'!$H$2:$H$2501,MATCH(""&amp;$L1131,'AR SALES'!$AE$2:$AE$2501,0)),""))</f>
        <v/>
      </c>
      <c r="AU1131" s="2" t="str">
        <f t="shared" si="68"/>
        <v/>
      </c>
      <c r="AV1131" s="2" t="str">
        <f t="shared" si="69"/>
        <v/>
      </c>
      <c r="AW1131" s="2" t="str">
        <f t="shared" si="70"/>
        <v/>
      </c>
      <c r="AX1131" s="2" t="str">
        <f t="shared" si="71"/>
        <v/>
      </c>
      <c r="AY1131" s="2" t="str">
        <f>IF($AV1131="","",IF(AND($Z1131=0,COUNTIF('AR SALES'!$L$2:$L$2501,$L1131)=0),"YES",""))</f>
        <v/>
      </c>
      <c r="AZ1131" s="2" t="str">
        <f>IF($AV1131="","",IF(COUNTIF(LISTS!$C$2:$C$250,$AU1131)=0,"NEW",""))</f>
        <v/>
      </c>
      <c r="BA1131" s="2" t="str">
        <f>IF(""&amp;$F1131&lt;&gt;"4","",IF($AY1131="YES","",IF(ROUND(SUMIFS($AE$2:$AE$4001,$L$2:$L$4001,$L1131,$F$2:$F$4001,"4")-SUMIFS('AR SALES'!$Y$2:$Y$2501,'AR SALES'!$L$2:$L$2501,$L1131,'AR SALES'!$AD$2:$AD$2501,"OFF"),2)=0,"","STALE")))</f>
        <v/>
      </c>
      <c r="BB1131" s="2" t="str">
        <f>IF(OR(""&amp;$F1131="2",""&amp;$F1131="4",""&amp;$F1131="G",""&amp;$F1131="H"),IF($AY1131="YES","",IF($AB1131&lt;&gt;0,"",IF(COUNTIFS('AR SALES'!$L$2:$L$2501,$L1131,'AR SALES'!$AD$2:$AD$2501,IF(""&amp;$F1131="4","OFF","ON"),'AR SALES'!$AF$2:$AF$2501,"Y")&gt;0,"","NO EXEMPTION"))),"")</f>
        <v/>
      </c>
    </row>
    <row r="1132" spans="46:54" x14ac:dyDescent="0.25">
      <c r="AT1132" s="2" t="str">
        <f>IF($L1132="","",IFERROR(INDEX('AR SALES'!$H$2:$H$2501,MATCH(""&amp;$L1132,'AR SALES'!$AE$2:$AE$2501,0)),""))</f>
        <v/>
      </c>
      <c r="AU1132" s="2" t="str">
        <f t="shared" si="68"/>
        <v/>
      </c>
      <c r="AV1132" s="2" t="str">
        <f t="shared" si="69"/>
        <v/>
      </c>
      <c r="AW1132" s="2" t="str">
        <f t="shared" si="70"/>
        <v/>
      </c>
      <c r="AX1132" s="2" t="str">
        <f t="shared" si="71"/>
        <v/>
      </c>
      <c r="AY1132" s="2" t="str">
        <f>IF($AV1132="","",IF(AND($Z1132=0,COUNTIF('AR SALES'!$L$2:$L$2501,$L1132)=0),"YES",""))</f>
        <v/>
      </c>
      <c r="AZ1132" s="2" t="str">
        <f>IF($AV1132="","",IF(COUNTIF(LISTS!$C$2:$C$250,$AU1132)=0,"NEW",""))</f>
        <v/>
      </c>
      <c r="BA1132" s="2" t="str">
        <f>IF(""&amp;$F1132&lt;&gt;"4","",IF($AY1132="YES","",IF(ROUND(SUMIFS($AE$2:$AE$4001,$L$2:$L$4001,$L1132,$F$2:$F$4001,"4")-SUMIFS('AR SALES'!$Y$2:$Y$2501,'AR SALES'!$L$2:$L$2501,$L1132,'AR SALES'!$AD$2:$AD$2501,"OFF"),2)=0,"","STALE")))</f>
        <v/>
      </c>
      <c r="BB1132" s="2" t="str">
        <f>IF(OR(""&amp;$F1132="2",""&amp;$F1132="4",""&amp;$F1132="G",""&amp;$F1132="H"),IF($AY1132="YES","",IF($AB1132&lt;&gt;0,"",IF(COUNTIFS('AR SALES'!$L$2:$L$2501,$L1132,'AR SALES'!$AD$2:$AD$2501,IF(""&amp;$F1132="4","OFF","ON"),'AR SALES'!$AF$2:$AF$2501,"Y")&gt;0,"","NO EXEMPTION"))),"")</f>
        <v/>
      </c>
    </row>
    <row r="1133" spans="46:54" x14ac:dyDescent="0.25">
      <c r="AT1133" s="2" t="str">
        <f>IF($L1133="","",IFERROR(INDEX('AR SALES'!$H$2:$H$2501,MATCH(""&amp;$L1133,'AR SALES'!$AE$2:$AE$2501,0)),""))</f>
        <v/>
      </c>
      <c r="AU1133" s="2" t="str">
        <f t="shared" si="68"/>
        <v/>
      </c>
      <c r="AV1133" s="2" t="str">
        <f t="shared" si="69"/>
        <v/>
      </c>
      <c r="AW1133" s="2" t="str">
        <f t="shared" si="70"/>
        <v/>
      </c>
      <c r="AX1133" s="2" t="str">
        <f t="shared" si="71"/>
        <v/>
      </c>
      <c r="AY1133" s="2" t="str">
        <f>IF($AV1133="","",IF(AND($Z1133=0,COUNTIF('AR SALES'!$L$2:$L$2501,$L1133)=0),"YES",""))</f>
        <v/>
      </c>
      <c r="AZ1133" s="2" t="str">
        <f>IF($AV1133="","",IF(COUNTIF(LISTS!$C$2:$C$250,$AU1133)=0,"NEW",""))</f>
        <v/>
      </c>
      <c r="BA1133" s="2" t="str">
        <f>IF(""&amp;$F1133&lt;&gt;"4","",IF($AY1133="YES","",IF(ROUND(SUMIFS($AE$2:$AE$4001,$L$2:$L$4001,$L1133,$F$2:$F$4001,"4")-SUMIFS('AR SALES'!$Y$2:$Y$2501,'AR SALES'!$L$2:$L$2501,$L1133,'AR SALES'!$AD$2:$AD$2501,"OFF"),2)=0,"","STALE")))</f>
        <v/>
      </c>
      <c r="BB1133" s="2" t="str">
        <f>IF(OR(""&amp;$F1133="2",""&amp;$F1133="4",""&amp;$F1133="G",""&amp;$F1133="H"),IF($AY1133="YES","",IF($AB1133&lt;&gt;0,"",IF(COUNTIFS('AR SALES'!$L$2:$L$2501,$L1133,'AR SALES'!$AD$2:$AD$2501,IF(""&amp;$F1133="4","OFF","ON"),'AR SALES'!$AF$2:$AF$2501,"Y")&gt;0,"","NO EXEMPTION"))),"")</f>
        <v/>
      </c>
    </row>
    <row r="1134" spans="46:54" x14ac:dyDescent="0.25">
      <c r="AT1134" s="2" t="str">
        <f>IF($L1134="","",IFERROR(INDEX('AR SALES'!$H$2:$H$2501,MATCH(""&amp;$L1134,'AR SALES'!$AE$2:$AE$2501,0)),""))</f>
        <v/>
      </c>
      <c r="AU1134" s="2" t="str">
        <f t="shared" si="68"/>
        <v/>
      </c>
      <c r="AV1134" s="2" t="str">
        <f t="shared" si="69"/>
        <v/>
      </c>
      <c r="AW1134" s="2" t="str">
        <f t="shared" si="70"/>
        <v/>
      </c>
      <c r="AX1134" s="2" t="str">
        <f t="shared" si="71"/>
        <v/>
      </c>
      <c r="AY1134" s="2" t="str">
        <f>IF($AV1134="","",IF(AND($Z1134=0,COUNTIF('AR SALES'!$L$2:$L$2501,$L1134)=0),"YES",""))</f>
        <v/>
      </c>
      <c r="AZ1134" s="2" t="str">
        <f>IF($AV1134="","",IF(COUNTIF(LISTS!$C$2:$C$250,$AU1134)=0,"NEW",""))</f>
        <v/>
      </c>
      <c r="BA1134" s="2" t="str">
        <f>IF(""&amp;$F1134&lt;&gt;"4","",IF($AY1134="YES","",IF(ROUND(SUMIFS($AE$2:$AE$4001,$L$2:$L$4001,$L1134,$F$2:$F$4001,"4")-SUMIFS('AR SALES'!$Y$2:$Y$2501,'AR SALES'!$L$2:$L$2501,$L1134,'AR SALES'!$AD$2:$AD$2501,"OFF"),2)=0,"","STALE")))</f>
        <v/>
      </c>
      <c r="BB1134" s="2" t="str">
        <f>IF(OR(""&amp;$F1134="2",""&amp;$F1134="4",""&amp;$F1134="G",""&amp;$F1134="H"),IF($AY1134="YES","",IF($AB1134&lt;&gt;0,"",IF(COUNTIFS('AR SALES'!$L$2:$L$2501,$L1134,'AR SALES'!$AD$2:$AD$2501,IF(""&amp;$F1134="4","OFF","ON"),'AR SALES'!$AF$2:$AF$2501,"Y")&gt;0,"","NO EXEMPTION"))),"")</f>
        <v/>
      </c>
    </row>
    <row r="1135" spans="46:54" x14ac:dyDescent="0.25">
      <c r="AT1135" s="2" t="str">
        <f>IF($L1135="","",IFERROR(INDEX('AR SALES'!$H$2:$H$2501,MATCH(""&amp;$L1135,'AR SALES'!$AE$2:$AE$2501,0)),""))</f>
        <v/>
      </c>
      <c r="AU1135" s="2" t="str">
        <f t="shared" si="68"/>
        <v/>
      </c>
      <c r="AV1135" s="2" t="str">
        <f t="shared" si="69"/>
        <v/>
      </c>
      <c r="AW1135" s="2" t="str">
        <f t="shared" si="70"/>
        <v/>
      </c>
      <c r="AX1135" s="2" t="str">
        <f t="shared" si="71"/>
        <v/>
      </c>
      <c r="AY1135" s="2" t="str">
        <f>IF($AV1135="","",IF(AND($Z1135=0,COUNTIF('AR SALES'!$L$2:$L$2501,$L1135)=0),"YES",""))</f>
        <v/>
      </c>
      <c r="AZ1135" s="2" t="str">
        <f>IF($AV1135="","",IF(COUNTIF(LISTS!$C$2:$C$250,$AU1135)=0,"NEW",""))</f>
        <v/>
      </c>
      <c r="BA1135" s="2" t="str">
        <f>IF(""&amp;$F1135&lt;&gt;"4","",IF($AY1135="YES","",IF(ROUND(SUMIFS($AE$2:$AE$4001,$L$2:$L$4001,$L1135,$F$2:$F$4001,"4")-SUMIFS('AR SALES'!$Y$2:$Y$2501,'AR SALES'!$L$2:$L$2501,$L1135,'AR SALES'!$AD$2:$AD$2501,"OFF"),2)=0,"","STALE")))</f>
        <v/>
      </c>
      <c r="BB1135" s="2" t="str">
        <f>IF(OR(""&amp;$F1135="2",""&amp;$F1135="4",""&amp;$F1135="G",""&amp;$F1135="H"),IF($AY1135="YES","",IF($AB1135&lt;&gt;0,"",IF(COUNTIFS('AR SALES'!$L$2:$L$2501,$L1135,'AR SALES'!$AD$2:$AD$2501,IF(""&amp;$F1135="4","OFF","ON"),'AR SALES'!$AF$2:$AF$2501,"Y")&gt;0,"","NO EXEMPTION"))),"")</f>
        <v/>
      </c>
    </row>
    <row r="1136" spans="46:54" x14ac:dyDescent="0.25">
      <c r="AT1136" s="2" t="str">
        <f>IF($L1136="","",IFERROR(INDEX('AR SALES'!$H$2:$H$2501,MATCH(""&amp;$L1136,'AR SALES'!$AE$2:$AE$2501,0)),""))</f>
        <v/>
      </c>
      <c r="AU1136" s="2" t="str">
        <f t="shared" si="68"/>
        <v/>
      </c>
      <c r="AV1136" s="2" t="str">
        <f t="shared" si="69"/>
        <v/>
      </c>
      <c r="AW1136" s="2" t="str">
        <f t="shared" si="70"/>
        <v/>
      </c>
      <c r="AX1136" s="2" t="str">
        <f t="shared" si="71"/>
        <v/>
      </c>
      <c r="AY1136" s="2" t="str">
        <f>IF($AV1136="","",IF(AND($Z1136=0,COUNTIF('AR SALES'!$L$2:$L$2501,$L1136)=0),"YES",""))</f>
        <v/>
      </c>
      <c r="AZ1136" s="2" t="str">
        <f>IF($AV1136="","",IF(COUNTIF(LISTS!$C$2:$C$250,$AU1136)=0,"NEW",""))</f>
        <v/>
      </c>
      <c r="BA1136" s="2" t="str">
        <f>IF(""&amp;$F1136&lt;&gt;"4","",IF($AY1136="YES","",IF(ROUND(SUMIFS($AE$2:$AE$4001,$L$2:$L$4001,$L1136,$F$2:$F$4001,"4")-SUMIFS('AR SALES'!$Y$2:$Y$2501,'AR SALES'!$L$2:$L$2501,$L1136,'AR SALES'!$AD$2:$AD$2501,"OFF"),2)=0,"","STALE")))</f>
        <v/>
      </c>
      <c r="BB1136" s="2" t="str">
        <f>IF(OR(""&amp;$F1136="2",""&amp;$F1136="4",""&amp;$F1136="G",""&amp;$F1136="H"),IF($AY1136="YES","",IF($AB1136&lt;&gt;0,"",IF(COUNTIFS('AR SALES'!$L$2:$L$2501,$L1136,'AR SALES'!$AD$2:$AD$2501,IF(""&amp;$F1136="4","OFF","ON"),'AR SALES'!$AF$2:$AF$2501,"Y")&gt;0,"","NO EXEMPTION"))),"")</f>
        <v/>
      </c>
    </row>
    <row r="1137" spans="46:54" x14ac:dyDescent="0.25">
      <c r="AT1137" s="2" t="str">
        <f>IF($L1137="","",IFERROR(INDEX('AR SALES'!$H$2:$H$2501,MATCH(""&amp;$L1137,'AR SALES'!$AE$2:$AE$2501,0)),""))</f>
        <v/>
      </c>
      <c r="AU1137" s="2" t="str">
        <f t="shared" si="68"/>
        <v/>
      </c>
      <c r="AV1137" s="2" t="str">
        <f t="shared" si="69"/>
        <v/>
      </c>
      <c r="AW1137" s="2" t="str">
        <f t="shared" si="70"/>
        <v/>
      </c>
      <c r="AX1137" s="2" t="str">
        <f t="shared" si="71"/>
        <v/>
      </c>
      <c r="AY1137" s="2" t="str">
        <f>IF($AV1137="","",IF(AND($Z1137=0,COUNTIF('AR SALES'!$L$2:$L$2501,$L1137)=0),"YES",""))</f>
        <v/>
      </c>
      <c r="AZ1137" s="2" t="str">
        <f>IF($AV1137="","",IF(COUNTIF(LISTS!$C$2:$C$250,$AU1137)=0,"NEW",""))</f>
        <v/>
      </c>
      <c r="BA1137" s="2" t="str">
        <f>IF(""&amp;$F1137&lt;&gt;"4","",IF($AY1137="YES","",IF(ROUND(SUMIFS($AE$2:$AE$4001,$L$2:$L$4001,$L1137,$F$2:$F$4001,"4")-SUMIFS('AR SALES'!$Y$2:$Y$2501,'AR SALES'!$L$2:$L$2501,$L1137,'AR SALES'!$AD$2:$AD$2501,"OFF"),2)=0,"","STALE")))</f>
        <v/>
      </c>
      <c r="BB1137" s="2" t="str">
        <f>IF(OR(""&amp;$F1137="2",""&amp;$F1137="4",""&amp;$F1137="G",""&amp;$F1137="H"),IF($AY1137="YES","",IF($AB1137&lt;&gt;0,"",IF(COUNTIFS('AR SALES'!$L$2:$L$2501,$L1137,'AR SALES'!$AD$2:$AD$2501,IF(""&amp;$F1137="4","OFF","ON"),'AR SALES'!$AF$2:$AF$2501,"Y")&gt;0,"","NO EXEMPTION"))),"")</f>
        <v/>
      </c>
    </row>
    <row r="1138" spans="46:54" x14ac:dyDescent="0.25">
      <c r="AT1138" s="2" t="str">
        <f>IF($L1138="","",IFERROR(INDEX('AR SALES'!$H$2:$H$2501,MATCH(""&amp;$L1138,'AR SALES'!$AE$2:$AE$2501,0)),""))</f>
        <v/>
      </c>
      <c r="AU1138" s="2" t="str">
        <f t="shared" si="68"/>
        <v/>
      </c>
      <c r="AV1138" s="2" t="str">
        <f t="shared" si="69"/>
        <v/>
      </c>
      <c r="AW1138" s="2" t="str">
        <f t="shared" si="70"/>
        <v/>
      </c>
      <c r="AX1138" s="2" t="str">
        <f t="shared" si="71"/>
        <v/>
      </c>
      <c r="AY1138" s="2" t="str">
        <f>IF($AV1138="","",IF(AND($Z1138=0,COUNTIF('AR SALES'!$L$2:$L$2501,$L1138)=0),"YES",""))</f>
        <v/>
      </c>
      <c r="AZ1138" s="2" t="str">
        <f>IF($AV1138="","",IF(COUNTIF(LISTS!$C$2:$C$250,$AU1138)=0,"NEW",""))</f>
        <v/>
      </c>
      <c r="BA1138" s="2" t="str">
        <f>IF(""&amp;$F1138&lt;&gt;"4","",IF($AY1138="YES","",IF(ROUND(SUMIFS($AE$2:$AE$4001,$L$2:$L$4001,$L1138,$F$2:$F$4001,"4")-SUMIFS('AR SALES'!$Y$2:$Y$2501,'AR SALES'!$L$2:$L$2501,$L1138,'AR SALES'!$AD$2:$AD$2501,"OFF"),2)=0,"","STALE")))</f>
        <v/>
      </c>
      <c r="BB1138" s="2" t="str">
        <f>IF(OR(""&amp;$F1138="2",""&amp;$F1138="4",""&amp;$F1138="G",""&amp;$F1138="H"),IF($AY1138="YES","",IF($AB1138&lt;&gt;0,"",IF(COUNTIFS('AR SALES'!$L$2:$L$2501,$L1138,'AR SALES'!$AD$2:$AD$2501,IF(""&amp;$F1138="4","OFF","ON"),'AR SALES'!$AF$2:$AF$2501,"Y")&gt;0,"","NO EXEMPTION"))),"")</f>
        <v/>
      </c>
    </row>
    <row r="1139" spans="46:54" x14ac:dyDescent="0.25">
      <c r="AT1139" s="2" t="str">
        <f>IF($L1139="","",IFERROR(INDEX('AR SALES'!$H$2:$H$2501,MATCH(""&amp;$L1139,'AR SALES'!$AE$2:$AE$2501,0)),""))</f>
        <v/>
      </c>
      <c r="AU1139" s="2" t="str">
        <f t="shared" si="68"/>
        <v/>
      </c>
      <c r="AV1139" s="2" t="str">
        <f t="shared" si="69"/>
        <v/>
      </c>
      <c r="AW1139" s="2" t="str">
        <f t="shared" si="70"/>
        <v/>
      </c>
      <c r="AX1139" s="2" t="str">
        <f t="shared" si="71"/>
        <v/>
      </c>
      <c r="AY1139" s="2" t="str">
        <f>IF($AV1139="","",IF(AND($Z1139=0,COUNTIF('AR SALES'!$L$2:$L$2501,$L1139)=0),"YES",""))</f>
        <v/>
      </c>
      <c r="AZ1139" s="2" t="str">
        <f>IF($AV1139="","",IF(COUNTIF(LISTS!$C$2:$C$250,$AU1139)=0,"NEW",""))</f>
        <v/>
      </c>
      <c r="BA1139" s="2" t="str">
        <f>IF(""&amp;$F1139&lt;&gt;"4","",IF($AY1139="YES","",IF(ROUND(SUMIFS($AE$2:$AE$4001,$L$2:$L$4001,$L1139,$F$2:$F$4001,"4")-SUMIFS('AR SALES'!$Y$2:$Y$2501,'AR SALES'!$L$2:$L$2501,$L1139,'AR SALES'!$AD$2:$AD$2501,"OFF"),2)=0,"","STALE")))</f>
        <v/>
      </c>
      <c r="BB1139" s="2" t="str">
        <f>IF(OR(""&amp;$F1139="2",""&amp;$F1139="4",""&amp;$F1139="G",""&amp;$F1139="H"),IF($AY1139="YES","",IF($AB1139&lt;&gt;0,"",IF(COUNTIFS('AR SALES'!$L$2:$L$2501,$L1139,'AR SALES'!$AD$2:$AD$2501,IF(""&amp;$F1139="4","OFF","ON"),'AR SALES'!$AF$2:$AF$2501,"Y")&gt;0,"","NO EXEMPTION"))),"")</f>
        <v/>
      </c>
    </row>
    <row r="1140" spans="46:54" x14ac:dyDescent="0.25">
      <c r="AT1140" s="2" t="str">
        <f>IF($L1140="","",IFERROR(INDEX('AR SALES'!$H$2:$H$2501,MATCH(""&amp;$L1140,'AR SALES'!$AE$2:$AE$2501,0)),""))</f>
        <v/>
      </c>
      <c r="AU1140" s="2" t="str">
        <f t="shared" si="68"/>
        <v/>
      </c>
      <c r="AV1140" s="2" t="str">
        <f t="shared" si="69"/>
        <v/>
      </c>
      <c r="AW1140" s="2" t="str">
        <f t="shared" si="70"/>
        <v/>
      </c>
      <c r="AX1140" s="2" t="str">
        <f t="shared" si="71"/>
        <v/>
      </c>
      <c r="AY1140" s="2" t="str">
        <f>IF($AV1140="","",IF(AND($Z1140=0,COUNTIF('AR SALES'!$L$2:$L$2501,$L1140)=0),"YES",""))</f>
        <v/>
      </c>
      <c r="AZ1140" s="2" t="str">
        <f>IF($AV1140="","",IF(COUNTIF(LISTS!$C$2:$C$250,$AU1140)=0,"NEW",""))</f>
        <v/>
      </c>
      <c r="BA1140" s="2" t="str">
        <f>IF(""&amp;$F1140&lt;&gt;"4","",IF($AY1140="YES","",IF(ROUND(SUMIFS($AE$2:$AE$4001,$L$2:$L$4001,$L1140,$F$2:$F$4001,"4")-SUMIFS('AR SALES'!$Y$2:$Y$2501,'AR SALES'!$L$2:$L$2501,$L1140,'AR SALES'!$AD$2:$AD$2501,"OFF"),2)=0,"","STALE")))</f>
        <v/>
      </c>
      <c r="BB1140" s="2" t="str">
        <f>IF(OR(""&amp;$F1140="2",""&amp;$F1140="4",""&amp;$F1140="G",""&amp;$F1140="H"),IF($AY1140="YES","",IF($AB1140&lt;&gt;0,"",IF(COUNTIFS('AR SALES'!$L$2:$L$2501,$L1140,'AR SALES'!$AD$2:$AD$2501,IF(""&amp;$F1140="4","OFF","ON"),'AR SALES'!$AF$2:$AF$2501,"Y")&gt;0,"","NO EXEMPTION"))),"")</f>
        <v/>
      </c>
    </row>
    <row r="1141" spans="46:54" x14ac:dyDescent="0.25">
      <c r="AT1141" s="2" t="str">
        <f>IF($L1141="","",IFERROR(INDEX('AR SALES'!$H$2:$H$2501,MATCH(""&amp;$L1141,'AR SALES'!$AE$2:$AE$2501,0)),""))</f>
        <v/>
      </c>
      <c r="AU1141" s="2" t="str">
        <f t="shared" si="68"/>
        <v/>
      </c>
      <c r="AV1141" s="2" t="str">
        <f t="shared" si="69"/>
        <v/>
      </c>
      <c r="AW1141" s="2" t="str">
        <f t="shared" si="70"/>
        <v/>
      </c>
      <c r="AX1141" s="2" t="str">
        <f t="shared" si="71"/>
        <v/>
      </c>
      <c r="AY1141" s="2" t="str">
        <f>IF($AV1141="","",IF(AND($Z1141=0,COUNTIF('AR SALES'!$L$2:$L$2501,$L1141)=0),"YES",""))</f>
        <v/>
      </c>
      <c r="AZ1141" s="2" t="str">
        <f>IF($AV1141="","",IF(COUNTIF(LISTS!$C$2:$C$250,$AU1141)=0,"NEW",""))</f>
        <v/>
      </c>
      <c r="BA1141" s="2" t="str">
        <f>IF(""&amp;$F1141&lt;&gt;"4","",IF($AY1141="YES","",IF(ROUND(SUMIFS($AE$2:$AE$4001,$L$2:$L$4001,$L1141,$F$2:$F$4001,"4")-SUMIFS('AR SALES'!$Y$2:$Y$2501,'AR SALES'!$L$2:$L$2501,$L1141,'AR SALES'!$AD$2:$AD$2501,"OFF"),2)=0,"","STALE")))</f>
        <v/>
      </c>
      <c r="BB1141" s="2" t="str">
        <f>IF(OR(""&amp;$F1141="2",""&amp;$F1141="4",""&amp;$F1141="G",""&amp;$F1141="H"),IF($AY1141="YES","",IF($AB1141&lt;&gt;0,"",IF(COUNTIFS('AR SALES'!$L$2:$L$2501,$L1141,'AR SALES'!$AD$2:$AD$2501,IF(""&amp;$F1141="4","OFF","ON"),'AR SALES'!$AF$2:$AF$2501,"Y")&gt;0,"","NO EXEMPTION"))),"")</f>
        <v/>
      </c>
    </row>
    <row r="1142" spans="46:54" x14ac:dyDescent="0.25">
      <c r="AT1142" s="2" t="str">
        <f>IF($L1142="","",IFERROR(INDEX('AR SALES'!$H$2:$H$2501,MATCH(""&amp;$L1142,'AR SALES'!$AE$2:$AE$2501,0)),""))</f>
        <v/>
      </c>
      <c r="AU1142" s="2" t="str">
        <f t="shared" si="68"/>
        <v/>
      </c>
      <c r="AV1142" s="2" t="str">
        <f t="shared" si="69"/>
        <v/>
      </c>
      <c r="AW1142" s="2" t="str">
        <f t="shared" si="70"/>
        <v/>
      </c>
      <c r="AX1142" s="2" t="str">
        <f t="shared" si="71"/>
        <v/>
      </c>
      <c r="AY1142" s="2" t="str">
        <f>IF($AV1142="","",IF(AND($Z1142=0,COUNTIF('AR SALES'!$L$2:$L$2501,$L1142)=0),"YES",""))</f>
        <v/>
      </c>
      <c r="AZ1142" s="2" t="str">
        <f>IF($AV1142="","",IF(COUNTIF(LISTS!$C$2:$C$250,$AU1142)=0,"NEW",""))</f>
        <v/>
      </c>
      <c r="BA1142" s="2" t="str">
        <f>IF(""&amp;$F1142&lt;&gt;"4","",IF($AY1142="YES","",IF(ROUND(SUMIFS($AE$2:$AE$4001,$L$2:$L$4001,$L1142,$F$2:$F$4001,"4")-SUMIFS('AR SALES'!$Y$2:$Y$2501,'AR SALES'!$L$2:$L$2501,$L1142,'AR SALES'!$AD$2:$AD$2501,"OFF"),2)=0,"","STALE")))</f>
        <v/>
      </c>
      <c r="BB1142" s="2" t="str">
        <f>IF(OR(""&amp;$F1142="2",""&amp;$F1142="4",""&amp;$F1142="G",""&amp;$F1142="H"),IF($AY1142="YES","",IF($AB1142&lt;&gt;0,"",IF(COUNTIFS('AR SALES'!$L$2:$L$2501,$L1142,'AR SALES'!$AD$2:$AD$2501,IF(""&amp;$F1142="4","OFF","ON"),'AR SALES'!$AF$2:$AF$2501,"Y")&gt;0,"","NO EXEMPTION"))),"")</f>
        <v/>
      </c>
    </row>
    <row r="1143" spans="46:54" x14ac:dyDescent="0.25">
      <c r="AT1143" s="2" t="str">
        <f>IF($L1143="","",IFERROR(INDEX('AR SALES'!$H$2:$H$2501,MATCH(""&amp;$L1143,'AR SALES'!$AE$2:$AE$2501,0)),""))</f>
        <v/>
      </c>
      <c r="AU1143" s="2" t="str">
        <f t="shared" si="68"/>
        <v/>
      </c>
      <c r="AV1143" s="2" t="str">
        <f t="shared" si="69"/>
        <v/>
      </c>
      <c r="AW1143" s="2" t="str">
        <f t="shared" si="70"/>
        <v/>
      </c>
      <c r="AX1143" s="2" t="str">
        <f t="shared" si="71"/>
        <v/>
      </c>
      <c r="AY1143" s="2" t="str">
        <f>IF($AV1143="","",IF(AND($Z1143=0,COUNTIF('AR SALES'!$L$2:$L$2501,$L1143)=0),"YES",""))</f>
        <v/>
      </c>
      <c r="AZ1143" s="2" t="str">
        <f>IF($AV1143="","",IF(COUNTIF(LISTS!$C$2:$C$250,$AU1143)=0,"NEW",""))</f>
        <v/>
      </c>
      <c r="BA1143" s="2" t="str">
        <f>IF(""&amp;$F1143&lt;&gt;"4","",IF($AY1143="YES","",IF(ROUND(SUMIFS($AE$2:$AE$4001,$L$2:$L$4001,$L1143,$F$2:$F$4001,"4")-SUMIFS('AR SALES'!$Y$2:$Y$2501,'AR SALES'!$L$2:$L$2501,$L1143,'AR SALES'!$AD$2:$AD$2501,"OFF"),2)=0,"","STALE")))</f>
        <v/>
      </c>
      <c r="BB1143" s="2" t="str">
        <f>IF(OR(""&amp;$F1143="2",""&amp;$F1143="4",""&amp;$F1143="G",""&amp;$F1143="H"),IF($AY1143="YES","",IF($AB1143&lt;&gt;0,"",IF(COUNTIFS('AR SALES'!$L$2:$L$2501,$L1143,'AR SALES'!$AD$2:$AD$2501,IF(""&amp;$F1143="4","OFF","ON"),'AR SALES'!$AF$2:$AF$2501,"Y")&gt;0,"","NO EXEMPTION"))),"")</f>
        <v/>
      </c>
    </row>
    <row r="1144" spans="46:54" x14ac:dyDescent="0.25">
      <c r="AT1144" s="2" t="str">
        <f>IF($L1144="","",IFERROR(INDEX('AR SALES'!$H$2:$H$2501,MATCH(""&amp;$L1144,'AR SALES'!$AE$2:$AE$2501,0)),""))</f>
        <v/>
      </c>
      <c r="AU1144" s="2" t="str">
        <f t="shared" si="68"/>
        <v/>
      </c>
      <c r="AV1144" s="2" t="str">
        <f t="shared" si="69"/>
        <v/>
      </c>
      <c r="AW1144" s="2" t="str">
        <f t="shared" si="70"/>
        <v/>
      </c>
      <c r="AX1144" s="2" t="str">
        <f t="shared" si="71"/>
        <v/>
      </c>
      <c r="AY1144" s="2" t="str">
        <f>IF($AV1144="","",IF(AND($Z1144=0,COUNTIF('AR SALES'!$L$2:$L$2501,$L1144)=0),"YES",""))</f>
        <v/>
      </c>
      <c r="AZ1144" s="2" t="str">
        <f>IF($AV1144="","",IF(COUNTIF(LISTS!$C$2:$C$250,$AU1144)=0,"NEW",""))</f>
        <v/>
      </c>
      <c r="BA1144" s="2" t="str">
        <f>IF(""&amp;$F1144&lt;&gt;"4","",IF($AY1144="YES","",IF(ROUND(SUMIFS($AE$2:$AE$4001,$L$2:$L$4001,$L1144,$F$2:$F$4001,"4")-SUMIFS('AR SALES'!$Y$2:$Y$2501,'AR SALES'!$L$2:$L$2501,$L1144,'AR SALES'!$AD$2:$AD$2501,"OFF"),2)=0,"","STALE")))</f>
        <v/>
      </c>
      <c r="BB1144" s="2" t="str">
        <f>IF(OR(""&amp;$F1144="2",""&amp;$F1144="4",""&amp;$F1144="G",""&amp;$F1144="H"),IF($AY1144="YES","",IF($AB1144&lt;&gt;0,"",IF(COUNTIFS('AR SALES'!$L$2:$L$2501,$L1144,'AR SALES'!$AD$2:$AD$2501,IF(""&amp;$F1144="4","OFF","ON"),'AR SALES'!$AF$2:$AF$2501,"Y")&gt;0,"","NO EXEMPTION"))),"")</f>
        <v/>
      </c>
    </row>
    <row r="1145" spans="46:54" x14ac:dyDescent="0.25">
      <c r="AT1145" s="2" t="str">
        <f>IF($L1145="","",IFERROR(INDEX('AR SALES'!$H$2:$H$2501,MATCH(""&amp;$L1145,'AR SALES'!$AE$2:$AE$2501,0)),""))</f>
        <v/>
      </c>
      <c r="AU1145" s="2" t="str">
        <f t="shared" si="68"/>
        <v/>
      </c>
      <c r="AV1145" s="2" t="str">
        <f t="shared" si="69"/>
        <v/>
      </c>
      <c r="AW1145" s="2" t="str">
        <f t="shared" si="70"/>
        <v/>
      </c>
      <c r="AX1145" s="2" t="str">
        <f t="shared" si="71"/>
        <v/>
      </c>
      <c r="AY1145" s="2" t="str">
        <f>IF($AV1145="","",IF(AND($Z1145=0,COUNTIF('AR SALES'!$L$2:$L$2501,$L1145)=0),"YES",""))</f>
        <v/>
      </c>
      <c r="AZ1145" s="2" t="str">
        <f>IF($AV1145="","",IF(COUNTIF(LISTS!$C$2:$C$250,$AU1145)=0,"NEW",""))</f>
        <v/>
      </c>
      <c r="BA1145" s="2" t="str">
        <f>IF(""&amp;$F1145&lt;&gt;"4","",IF($AY1145="YES","",IF(ROUND(SUMIFS($AE$2:$AE$4001,$L$2:$L$4001,$L1145,$F$2:$F$4001,"4")-SUMIFS('AR SALES'!$Y$2:$Y$2501,'AR SALES'!$L$2:$L$2501,$L1145,'AR SALES'!$AD$2:$AD$2501,"OFF"),2)=0,"","STALE")))</f>
        <v/>
      </c>
      <c r="BB1145" s="2" t="str">
        <f>IF(OR(""&amp;$F1145="2",""&amp;$F1145="4",""&amp;$F1145="G",""&amp;$F1145="H"),IF($AY1145="YES","",IF($AB1145&lt;&gt;0,"",IF(COUNTIFS('AR SALES'!$L$2:$L$2501,$L1145,'AR SALES'!$AD$2:$AD$2501,IF(""&amp;$F1145="4","OFF","ON"),'AR SALES'!$AF$2:$AF$2501,"Y")&gt;0,"","NO EXEMPTION"))),"")</f>
        <v/>
      </c>
    </row>
    <row r="1146" spans="46:54" x14ac:dyDescent="0.25">
      <c r="AT1146" s="2" t="str">
        <f>IF($L1146="","",IFERROR(INDEX('AR SALES'!$H$2:$H$2501,MATCH(""&amp;$L1146,'AR SALES'!$AE$2:$AE$2501,0)),""))</f>
        <v/>
      </c>
      <c r="AU1146" s="2" t="str">
        <f t="shared" si="68"/>
        <v/>
      </c>
      <c r="AV1146" s="2" t="str">
        <f t="shared" si="69"/>
        <v/>
      </c>
      <c r="AW1146" s="2" t="str">
        <f t="shared" si="70"/>
        <v/>
      </c>
      <c r="AX1146" s="2" t="str">
        <f t="shared" si="71"/>
        <v/>
      </c>
      <c r="AY1146" s="2" t="str">
        <f>IF($AV1146="","",IF(AND($Z1146=0,COUNTIF('AR SALES'!$L$2:$L$2501,$L1146)=0),"YES",""))</f>
        <v/>
      </c>
      <c r="AZ1146" s="2" t="str">
        <f>IF($AV1146="","",IF(COUNTIF(LISTS!$C$2:$C$250,$AU1146)=0,"NEW",""))</f>
        <v/>
      </c>
      <c r="BA1146" s="2" t="str">
        <f>IF(""&amp;$F1146&lt;&gt;"4","",IF($AY1146="YES","",IF(ROUND(SUMIFS($AE$2:$AE$4001,$L$2:$L$4001,$L1146,$F$2:$F$4001,"4")-SUMIFS('AR SALES'!$Y$2:$Y$2501,'AR SALES'!$L$2:$L$2501,$L1146,'AR SALES'!$AD$2:$AD$2501,"OFF"),2)=0,"","STALE")))</f>
        <v/>
      </c>
      <c r="BB1146" s="2" t="str">
        <f>IF(OR(""&amp;$F1146="2",""&amp;$F1146="4",""&amp;$F1146="G",""&amp;$F1146="H"),IF($AY1146="YES","",IF($AB1146&lt;&gt;0,"",IF(COUNTIFS('AR SALES'!$L$2:$L$2501,$L1146,'AR SALES'!$AD$2:$AD$2501,IF(""&amp;$F1146="4","OFF","ON"),'AR SALES'!$AF$2:$AF$2501,"Y")&gt;0,"","NO EXEMPTION"))),"")</f>
        <v/>
      </c>
    </row>
    <row r="1147" spans="46:54" x14ac:dyDescent="0.25">
      <c r="AT1147" s="2" t="str">
        <f>IF($L1147="","",IFERROR(INDEX('AR SALES'!$H$2:$H$2501,MATCH(""&amp;$L1147,'AR SALES'!$AE$2:$AE$2501,0)),""))</f>
        <v/>
      </c>
      <c r="AU1147" s="2" t="str">
        <f t="shared" si="68"/>
        <v/>
      </c>
      <c r="AV1147" s="2" t="str">
        <f t="shared" si="69"/>
        <v/>
      </c>
      <c r="AW1147" s="2" t="str">
        <f t="shared" si="70"/>
        <v/>
      </c>
      <c r="AX1147" s="2" t="str">
        <f t="shared" si="71"/>
        <v/>
      </c>
      <c r="AY1147" s="2" t="str">
        <f>IF($AV1147="","",IF(AND($Z1147=0,COUNTIF('AR SALES'!$L$2:$L$2501,$L1147)=0),"YES",""))</f>
        <v/>
      </c>
      <c r="AZ1147" s="2" t="str">
        <f>IF($AV1147="","",IF(COUNTIF(LISTS!$C$2:$C$250,$AU1147)=0,"NEW",""))</f>
        <v/>
      </c>
      <c r="BA1147" s="2" t="str">
        <f>IF(""&amp;$F1147&lt;&gt;"4","",IF($AY1147="YES","",IF(ROUND(SUMIFS($AE$2:$AE$4001,$L$2:$L$4001,$L1147,$F$2:$F$4001,"4")-SUMIFS('AR SALES'!$Y$2:$Y$2501,'AR SALES'!$L$2:$L$2501,$L1147,'AR SALES'!$AD$2:$AD$2501,"OFF"),2)=0,"","STALE")))</f>
        <v/>
      </c>
      <c r="BB1147" s="2" t="str">
        <f>IF(OR(""&amp;$F1147="2",""&amp;$F1147="4",""&amp;$F1147="G",""&amp;$F1147="H"),IF($AY1147="YES","",IF($AB1147&lt;&gt;0,"",IF(COUNTIFS('AR SALES'!$L$2:$L$2501,$L1147,'AR SALES'!$AD$2:$AD$2501,IF(""&amp;$F1147="4","OFF","ON"),'AR SALES'!$AF$2:$AF$2501,"Y")&gt;0,"","NO EXEMPTION"))),"")</f>
        <v/>
      </c>
    </row>
    <row r="1148" spans="46:54" x14ac:dyDescent="0.25">
      <c r="AT1148" s="2" t="str">
        <f>IF($L1148="","",IFERROR(INDEX('AR SALES'!$H$2:$H$2501,MATCH(""&amp;$L1148,'AR SALES'!$AE$2:$AE$2501,0)),""))</f>
        <v/>
      </c>
      <c r="AU1148" s="2" t="str">
        <f t="shared" si="68"/>
        <v/>
      </c>
      <c r="AV1148" s="2" t="str">
        <f t="shared" si="69"/>
        <v/>
      </c>
      <c r="AW1148" s="2" t="str">
        <f t="shared" si="70"/>
        <v/>
      </c>
      <c r="AX1148" s="2" t="str">
        <f t="shared" si="71"/>
        <v/>
      </c>
      <c r="AY1148" s="2" t="str">
        <f>IF($AV1148="","",IF(AND($Z1148=0,COUNTIF('AR SALES'!$L$2:$L$2501,$L1148)=0),"YES",""))</f>
        <v/>
      </c>
      <c r="AZ1148" s="2" t="str">
        <f>IF($AV1148="","",IF(COUNTIF(LISTS!$C$2:$C$250,$AU1148)=0,"NEW",""))</f>
        <v/>
      </c>
      <c r="BA1148" s="2" t="str">
        <f>IF(""&amp;$F1148&lt;&gt;"4","",IF($AY1148="YES","",IF(ROUND(SUMIFS($AE$2:$AE$4001,$L$2:$L$4001,$L1148,$F$2:$F$4001,"4")-SUMIFS('AR SALES'!$Y$2:$Y$2501,'AR SALES'!$L$2:$L$2501,$L1148,'AR SALES'!$AD$2:$AD$2501,"OFF"),2)=0,"","STALE")))</f>
        <v/>
      </c>
      <c r="BB1148" s="2" t="str">
        <f>IF(OR(""&amp;$F1148="2",""&amp;$F1148="4",""&amp;$F1148="G",""&amp;$F1148="H"),IF($AY1148="YES","",IF($AB1148&lt;&gt;0,"",IF(COUNTIFS('AR SALES'!$L$2:$L$2501,$L1148,'AR SALES'!$AD$2:$AD$2501,IF(""&amp;$F1148="4","OFF","ON"),'AR SALES'!$AF$2:$AF$2501,"Y")&gt;0,"","NO EXEMPTION"))),"")</f>
        <v/>
      </c>
    </row>
    <row r="1149" spans="46:54" x14ac:dyDescent="0.25">
      <c r="AT1149" s="2" t="str">
        <f>IF($L1149="","",IFERROR(INDEX('AR SALES'!$H$2:$H$2501,MATCH(""&amp;$L1149,'AR SALES'!$AE$2:$AE$2501,0)),""))</f>
        <v/>
      </c>
      <c r="AU1149" s="2" t="str">
        <f t="shared" si="68"/>
        <v/>
      </c>
      <c r="AV1149" s="2" t="str">
        <f t="shared" si="69"/>
        <v/>
      </c>
      <c r="AW1149" s="2" t="str">
        <f t="shared" si="70"/>
        <v/>
      </c>
      <c r="AX1149" s="2" t="str">
        <f t="shared" si="71"/>
        <v/>
      </c>
      <c r="AY1149" s="2" t="str">
        <f>IF($AV1149="","",IF(AND($Z1149=0,COUNTIF('AR SALES'!$L$2:$L$2501,$L1149)=0),"YES",""))</f>
        <v/>
      </c>
      <c r="AZ1149" s="2" t="str">
        <f>IF($AV1149="","",IF(COUNTIF(LISTS!$C$2:$C$250,$AU1149)=0,"NEW",""))</f>
        <v/>
      </c>
      <c r="BA1149" s="2" t="str">
        <f>IF(""&amp;$F1149&lt;&gt;"4","",IF($AY1149="YES","",IF(ROUND(SUMIFS($AE$2:$AE$4001,$L$2:$L$4001,$L1149,$F$2:$F$4001,"4")-SUMIFS('AR SALES'!$Y$2:$Y$2501,'AR SALES'!$L$2:$L$2501,$L1149,'AR SALES'!$AD$2:$AD$2501,"OFF"),2)=0,"","STALE")))</f>
        <v/>
      </c>
      <c r="BB1149" s="2" t="str">
        <f>IF(OR(""&amp;$F1149="2",""&amp;$F1149="4",""&amp;$F1149="G",""&amp;$F1149="H"),IF($AY1149="YES","",IF($AB1149&lt;&gt;0,"",IF(COUNTIFS('AR SALES'!$L$2:$L$2501,$L1149,'AR SALES'!$AD$2:$AD$2501,IF(""&amp;$F1149="4","OFF","ON"),'AR SALES'!$AF$2:$AF$2501,"Y")&gt;0,"","NO EXEMPTION"))),"")</f>
        <v/>
      </c>
    </row>
    <row r="1150" spans="46:54" x14ac:dyDescent="0.25">
      <c r="AT1150" s="2" t="str">
        <f>IF($L1150="","",IFERROR(INDEX('AR SALES'!$H$2:$H$2501,MATCH(""&amp;$L1150,'AR SALES'!$AE$2:$AE$2501,0)),""))</f>
        <v/>
      </c>
      <c r="AU1150" s="2" t="str">
        <f t="shared" si="68"/>
        <v/>
      </c>
      <c r="AV1150" s="2" t="str">
        <f t="shared" si="69"/>
        <v/>
      </c>
      <c r="AW1150" s="2" t="str">
        <f t="shared" si="70"/>
        <v/>
      </c>
      <c r="AX1150" s="2" t="str">
        <f t="shared" si="71"/>
        <v/>
      </c>
      <c r="AY1150" s="2" t="str">
        <f>IF($AV1150="","",IF(AND($Z1150=0,COUNTIF('AR SALES'!$L$2:$L$2501,$L1150)=0),"YES",""))</f>
        <v/>
      </c>
      <c r="AZ1150" s="2" t="str">
        <f>IF($AV1150="","",IF(COUNTIF(LISTS!$C$2:$C$250,$AU1150)=0,"NEW",""))</f>
        <v/>
      </c>
      <c r="BA1150" s="2" t="str">
        <f>IF(""&amp;$F1150&lt;&gt;"4","",IF($AY1150="YES","",IF(ROUND(SUMIFS($AE$2:$AE$4001,$L$2:$L$4001,$L1150,$F$2:$F$4001,"4")-SUMIFS('AR SALES'!$Y$2:$Y$2501,'AR SALES'!$L$2:$L$2501,$L1150,'AR SALES'!$AD$2:$AD$2501,"OFF"),2)=0,"","STALE")))</f>
        <v/>
      </c>
      <c r="BB1150" s="2" t="str">
        <f>IF(OR(""&amp;$F1150="2",""&amp;$F1150="4",""&amp;$F1150="G",""&amp;$F1150="H"),IF($AY1150="YES","",IF($AB1150&lt;&gt;0,"",IF(COUNTIFS('AR SALES'!$L$2:$L$2501,$L1150,'AR SALES'!$AD$2:$AD$2501,IF(""&amp;$F1150="4","OFF","ON"),'AR SALES'!$AF$2:$AF$2501,"Y")&gt;0,"","NO EXEMPTION"))),"")</f>
        <v/>
      </c>
    </row>
    <row r="1151" spans="46:54" x14ac:dyDescent="0.25">
      <c r="AT1151" s="2" t="str">
        <f>IF($L1151="","",IFERROR(INDEX('AR SALES'!$H$2:$H$2501,MATCH(""&amp;$L1151,'AR SALES'!$AE$2:$AE$2501,0)),""))</f>
        <v/>
      </c>
      <c r="AU1151" s="2" t="str">
        <f t="shared" si="68"/>
        <v/>
      </c>
      <c r="AV1151" s="2" t="str">
        <f t="shared" si="69"/>
        <v/>
      </c>
      <c r="AW1151" s="2" t="str">
        <f t="shared" si="70"/>
        <v/>
      </c>
      <c r="AX1151" s="2" t="str">
        <f t="shared" si="71"/>
        <v/>
      </c>
      <c r="AY1151" s="2" t="str">
        <f>IF($AV1151="","",IF(AND($Z1151=0,COUNTIF('AR SALES'!$L$2:$L$2501,$L1151)=0),"YES",""))</f>
        <v/>
      </c>
      <c r="AZ1151" s="2" t="str">
        <f>IF($AV1151="","",IF(COUNTIF(LISTS!$C$2:$C$250,$AU1151)=0,"NEW",""))</f>
        <v/>
      </c>
      <c r="BA1151" s="2" t="str">
        <f>IF(""&amp;$F1151&lt;&gt;"4","",IF($AY1151="YES","",IF(ROUND(SUMIFS($AE$2:$AE$4001,$L$2:$L$4001,$L1151,$F$2:$F$4001,"4")-SUMIFS('AR SALES'!$Y$2:$Y$2501,'AR SALES'!$L$2:$L$2501,$L1151,'AR SALES'!$AD$2:$AD$2501,"OFF"),2)=0,"","STALE")))</f>
        <v/>
      </c>
      <c r="BB1151" s="2" t="str">
        <f>IF(OR(""&amp;$F1151="2",""&amp;$F1151="4",""&amp;$F1151="G",""&amp;$F1151="H"),IF($AY1151="YES","",IF($AB1151&lt;&gt;0,"",IF(COUNTIFS('AR SALES'!$L$2:$L$2501,$L1151,'AR SALES'!$AD$2:$AD$2501,IF(""&amp;$F1151="4","OFF","ON"),'AR SALES'!$AF$2:$AF$2501,"Y")&gt;0,"","NO EXEMPTION"))),"")</f>
        <v/>
      </c>
    </row>
    <row r="1152" spans="46:54" x14ac:dyDescent="0.25">
      <c r="AT1152" s="2" t="str">
        <f>IF($L1152="","",IFERROR(INDEX('AR SALES'!$H$2:$H$2501,MATCH(""&amp;$L1152,'AR SALES'!$AE$2:$AE$2501,0)),""))</f>
        <v/>
      </c>
      <c r="AU1152" s="2" t="str">
        <f t="shared" si="68"/>
        <v/>
      </c>
      <c r="AV1152" s="2" t="str">
        <f t="shared" si="69"/>
        <v/>
      </c>
      <c r="AW1152" s="2" t="str">
        <f t="shared" si="70"/>
        <v/>
      </c>
      <c r="AX1152" s="2" t="str">
        <f t="shared" si="71"/>
        <v/>
      </c>
      <c r="AY1152" s="2" t="str">
        <f>IF($AV1152="","",IF(AND($Z1152=0,COUNTIF('AR SALES'!$L$2:$L$2501,$L1152)=0),"YES",""))</f>
        <v/>
      </c>
      <c r="AZ1152" s="2" t="str">
        <f>IF($AV1152="","",IF(COUNTIF(LISTS!$C$2:$C$250,$AU1152)=0,"NEW",""))</f>
        <v/>
      </c>
      <c r="BA1152" s="2" t="str">
        <f>IF(""&amp;$F1152&lt;&gt;"4","",IF($AY1152="YES","",IF(ROUND(SUMIFS($AE$2:$AE$4001,$L$2:$L$4001,$L1152,$F$2:$F$4001,"4")-SUMIFS('AR SALES'!$Y$2:$Y$2501,'AR SALES'!$L$2:$L$2501,$L1152,'AR SALES'!$AD$2:$AD$2501,"OFF"),2)=0,"","STALE")))</f>
        <v/>
      </c>
      <c r="BB1152" s="2" t="str">
        <f>IF(OR(""&amp;$F1152="2",""&amp;$F1152="4",""&amp;$F1152="G",""&amp;$F1152="H"),IF($AY1152="YES","",IF($AB1152&lt;&gt;0,"",IF(COUNTIFS('AR SALES'!$L$2:$L$2501,$L1152,'AR SALES'!$AD$2:$AD$2501,IF(""&amp;$F1152="4","OFF","ON"),'AR SALES'!$AF$2:$AF$2501,"Y")&gt;0,"","NO EXEMPTION"))),"")</f>
        <v/>
      </c>
    </row>
    <row r="1153" spans="46:54" x14ac:dyDescent="0.25">
      <c r="AT1153" s="2" t="str">
        <f>IF($L1153="","",IFERROR(INDEX('AR SALES'!$H$2:$H$2501,MATCH(""&amp;$L1153,'AR SALES'!$AE$2:$AE$2501,0)),""))</f>
        <v/>
      </c>
      <c r="AU1153" s="2" t="str">
        <f t="shared" si="68"/>
        <v/>
      </c>
      <c r="AV1153" s="2" t="str">
        <f t="shared" si="69"/>
        <v/>
      </c>
      <c r="AW1153" s="2" t="str">
        <f t="shared" si="70"/>
        <v/>
      </c>
      <c r="AX1153" s="2" t="str">
        <f t="shared" si="71"/>
        <v/>
      </c>
      <c r="AY1153" s="2" t="str">
        <f>IF($AV1153="","",IF(AND($Z1153=0,COUNTIF('AR SALES'!$L$2:$L$2501,$L1153)=0),"YES",""))</f>
        <v/>
      </c>
      <c r="AZ1153" s="2" t="str">
        <f>IF($AV1153="","",IF(COUNTIF(LISTS!$C$2:$C$250,$AU1153)=0,"NEW",""))</f>
        <v/>
      </c>
      <c r="BA1153" s="2" t="str">
        <f>IF(""&amp;$F1153&lt;&gt;"4","",IF($AY1153="YES","",IF(ROUND(SUMIFS($AE$2:$AE$4001,$L$2:$L$4001,$L1153,$F$2:$F$4001,"4")-SUMIFS('AR SALES'!$Y$2:$Y$2501,'AR SALES'!$L$2:$L$2501,$L1153,'AR SALES'!$AD$2:$AD$2501,"OFF"),2)=0,"","STALE")))</f>
        <v/>
      </c>
      <c r="BB1153" s="2" t="str">
        <f>IF(OR(""&amp;$F1153="2",""&amp;$F1153="4",""&amp;$F1153="G",""&amp;$F1153="H"),IF($AY1153="YES","",IF($AB1153&lt;&gt;0,"",IF(COUNTIFS('AR SALES'!$L$2:$L$2501,$L1153,'AR SALES'!$AD$2:$AD$2501,IF(""&amp;$F1153="4","OFF","ON"),'AR SALES'!$AF$2:$AF$2501,"Y")&gt;0,"","NO EXEMPTION"))),"")</f>
        <v/>
      </c>
    </row>
    <row r="1154" spans="46:54" x14ac:dyDescent="0.25">
      <c r="AT1154" s="2" t="str">
        <f>IF($L1154="","",IFERROR(INDEX('AR SALES'!$H$2:$H$2501,MATCH(""&amp;$L1154,'AR SALES'!$AE$2:$AE$2501,0)),""))</f>
        <v/>
      </c>
      <c r="AU1154" s="2" t="str">
        <f t="shared" ref="AU1154:AU1217" si="72">IF($L1154="","",IF($A1154&lt;&gt;"GA","",IF($E1154="FULTON",IF(ISNUMBER(SEARCH("COLLEGE PARK",$AT1154)),"FULTON (COLLEGE PARK)",IF(ISNUMBER(SEARCH("ATLANTA CITY",$AT1154)),"FULTON (ATL LIMITS)","FULTON")),IF($E1154="DEKALB",IF(ISNUMBER(SEARCH("ATLANTA CITY",$AT1154)),"DEKALB (ATL LIMITS)","DEKALB"),$E1154))))</f>
        <v/>
      </c>
      <c r="AV1154" s="2" t="str">
        <f t="shared" ref="AV1154:AV1217" si="73">IF($L1154="","",IF(""&amp;$F1154="2","DIESEL",IF(OR(""&amp;$F1154="G",""&amp;$F1154="H"),"GAS","")))</f>
        <v/>
      </c>
      <c r="AW1154" s="2" t="str">
        <f t="shared" ref="AW1154:AW1217" si="74">IF($AV1154="","",$R1154)</f>
        <v/>
      </c>
      <c r="AX1154" s="2" t="str">
        <f t="shared" ref="AX1154:AX1217" si="75">IF($AV1154="","",IF($AB1154=0,$R1154,0))</f>
        <v/>
      </c>
      <c r="AY1154" s="2" t="str">
        <f>IF($AV1154="","",IF(AND($Z1154=0,COUNTIF('AR SALES'!$L$2:$L$2501,$L1154)=0),"YES",""))</f>
        <v/>
      </c>
      <c r="AZ1154" s="2" t="str">
        <f>IF($AV1154="","",IF(COUNTIF(LISTS!$C$2:$C$250,$AU1154)=0,"NEW",""))</f>
        <v/>
      </c>
      <c r="BA1154" s="2" t="str">
        <f>IF(""&amp;$F1154&lt;&gt;"4","",IF($AY1154="YES","",IF(ROUND(SUMIFS($AE$2:$AE$4001,$L$2:$L$4001,$L1154,$F$2:$F$4001,"4")-SUMIFS('AR SALES'!$Y$2:$Y$2501,'AR SALES'!$L$2:$L$2501,$L1154,'AR SALES'!$AD$2:$AD$2501,"OFF"),2)=0,"","STALE")))</f>
        <v/>
      </c>
      <c r="BB1154" s="2" t="str">
        <f>IF(OR(""&amp;$F1154="2",""&amp;$F1154="4",""&amp;$F1154="G",""&amp;$F1154="H"),IF($AY1154="YES","",IF($AB1154&lt;&gt;0,"",IF(COUNTIFS('AR SALES'!$L$2:$L$2501,$L1154,'AR SALES'!$AD$2:$AD$2501,IF(""&amp;$F1154="4","OFF","ON"),'AR SALES'!$AF$2:$AF$2501,"Y")&gt;0,"","NO EXEMPTION"))),"")</f>
        <v/>
      </c>
    </row>
    <row r="1155" spans="46:54" x14ac:dyDescent="0.25">
      <c r="AT1155" s="2" t="str">
        <f>IF($L1155="","",IFERROR(INDEX('AR SALES'!$H$2:$H$2501,MATCH(""&amp;$L1155,'AR SALES'!$AE$2:$AE$2501,0)),""))</f>
        <v/>
      </c>
      <c r="AU1155" s="2" t="str">
        <f t="shared" si="72"/>
        <v/>
      </c>
      <c r="AV1155" s="2" t="str">
        <f t="shared" si="73"/>
        <v/>
      </c>
      <c r="AW1155" s="2" t="str">
        <f t="shared" si="74"/>
        <v/>
      </c>
      <c r="AX1155" s="2" t="str">
        <f t="shared" si="75"/>
        <v/>
      </c>
      <c r="AY1155" s="2" t="str">
        <f>IF($AV1155="","",IF(AND($Z1155=0,COUNTIF('AR SALES'!$L$2:$L$2501,$L1155)=0),"YES",""))</f>
        <v/>
      </c>
      <c r="AZ1155" s="2" t="str">
        <f>IF($AV1155="","",IF(COUNTIF(LISTS!$C$2:$C$250,$AU1155)=0,"NEW",""))</f>
        <v/>
      </c>
      <c r="BA1155" s="2" t="str">
        <f>IF(""&amp;$F1155&lt;&gt;"4","",IF($AY1155="YES","",IF(ROUND(SUMIFS($AE$2:$AE$4001,$L$2:$L$4001,$L1155,$F$2:$F$4001,"4")-SUMIFS('AR SALES'!$Y$2:$Y$2501,'AR SALES'!$L$2:$L$2501,$L1155,'AR SALES'!$AD$2:$AD$2501,"OFF"),2)=0,"","STALE")))</f>
        <v/>
      </c>
      <c r="BB1155" s="2" t="str">
        <f>IF(OR(""&amp;$F1155="2",""&amp;$F1155="4",""&amp;$F1155="G",""&amp;$F1155="H"),IF($AY1155="YES","",IF($AB1155&lt;&gt;0,"",IF(COUNTIFS('AR SALES'!$L$2:$L$2501,$L1155,'AR SALES'!$AD$2:$AD$2501,IF(""&amp;$F1155="4","OFF","ON"),'AR SALES'!$AF$2:$AF$2501,"Y")&gt;0,"","NO EXEMPTION"))),"")</f>
        <v/>
      </c>
    </row>
    <row r="1156" spans="46:54" x14ac:dyDescent="0.25">
      <c r="AT1156" s="2" t="str">
        <f>IF($L1156="","",IFERROR(INDEX('AR SALES'!$H$2:$H$2501,MATCH(""&amp;$L1156,'AR SALES'!$AE$2:$AE$2501,0)),""))</f>
        <v/>
      </c>
      <c r="AU1156" s="2" t="str">
        <f t="shared" si="72"/>
        <v/>
      </c>
      <c r="AV1156" s="2" t="str">
        <f t="shared" si="73"/>
        <v/>
      </c>
      <c r="AW1156" s="2" t="str">
        <f t="shared" si="74"/>
        <v/>
      </c>
      <c r="AX1156" s="2" t="str">
        <f t="shared" si="75"/>
        <v/>
      </c>
      <c r="AY1156" s="2" t="str">
        <f>IF($AV1156="","",IF(AND($Z1156=0,COUNTIF('AR SALES'!$L$2:$L$2501,$L1156)=0),"YES",""))</f>
        <v/>
      </c>
      <c r="AZ1156" s="2" t="str">
        <f>IF($AV1156="","",IF(COUNTIF(LISTS!$C$2:$C$250,$AU1156)=0,"NEW",""))</f>
        <v/>
      </c>
      <c r="BA1156" s="2" t="str">
        <f>IF(""&amp;$F1156&lt;&gt;"4","",IF($AY1156="YES","",IF(ROUND(SUMIFS($AE$2:$AE$4001,$L$2:$L$4001,$L1156,$F$2:$F$4001,"4")-SUMIFS('AR SALES'!$Y$2:$Y$2501,'AR SALES'!$L$2:$L$2501,$L1156,'AR SALES'!$AD$2:$AD$2501,"OFF"),2)=0,"","STALE")))</f>
        <v/>
      </c>
      <c r="BB1156" s="2" t="str">
        <f>IF(OR(""&amp;$F1156="2",""&amp;$F1156="4",""&amp;$F1156="G",""&amp;$F1156="H"),IF($AY1156="YES","",IF($AB1156&lt;&gt;0,"",IF(COUNTIFS('AR SALES'!$L$2:$L$2501,$L1156,'AR SALES'!$AD$2:$AD$2501,IF(""&amp;$F1156="4","OFF","ON"),'AR SALES'!$AF$2:$AF$2501,"Y")&gt;0,"","NO EXEMPTION"))),"")</f>
        <v/>
      </c>
    </row>
    <row r="1157" spans="46:54" x14ac:dyDescent="0.25">
      <c r="AT1157" s="2" t="str">
        <f>IF($L1157="","",IFERROR(INDEX('AR SALES'!$H$2:$H$2501,MATCH(""&amp;$L1157,'AR SALES'!$AE$2:$AE$2501,0)),""))</f>
        <v/>
      </c>
      <c r="AU1157" s="2" t="str">
        <f t="shared" si="72"/>
        <v/>
      </c>
      <c r="AV1157" s="2" t="str">
        <f t="shared" si="73"/>
        <v/>
      </c>
      <c r="AW1157" s="2" t="str">
        <f t="shared" si="74"/>
        <v/>
      </c>
      <c r="AX1157" s="2" t="str">
        <f t="shared" si="75"/>
        <v/>
      </c>
      <c r="AY1157" s="2" t="str">
        <f>IF($AV1157="","",IF(AND($Z1157=0,COUNTIF('AR SALES'!$L$2:$L$2501,$L1157)=0),"YES",""))</f>
        <v/>
      </c>
      <c r="AZ1157" s="2" t="str">
        <f>IF($AV1157="","",IF(COUNTIF(LISTS!$C$2:$C$250,$AU1157)=0,"NEW",""))</f>
        <v/>
      </c>
      <c r="BA1157" s="2" t="str">
        <f>IF(""&amp;$F1157&lt;&gt;"4","",IF($AY1157="YES","",IF(ROUND(SUMIFS($AE$2:$AE$4001,$L$2:$L$4001,$L1157,$F$2:$F$4001,"4")-SUMIFS('AR SALES'!$Y$2:$Y$2501,'AR SALES'!$L$2:$L$2501,$L1157,'AR SALES'!$AD$2:$AD$2501,"OFF"),2)=0,"","STALE")))</f>
        <v/>
      </c>
      <c r="BB1157" s="2" t="str">
        <f>IF(OR(""&amp;$F1157="2",""&amp;$F1157="4",""&amp;$F1157="G",""&amp;$F1157="H"),IF($AY1157="YES","",IF($AB1157&lt;&gt;0,"",IF(COUNTIFS('AR SALES'!$L$2:$L$2501,$L1157,'AR SALES'!$AD$2:$AD$2501,IF(""&amp;$F1157="4","OFF","ON"),'AR SALES'!$AF$2:$AF$2501,"Y")&gt;0,"","NO EXEMPTION"))),"")</f>
        <v/>
      </c>
    </row>
    <row r="1158" spans="46:54" x14ac:dyDescent="0.25">
      <c r="AT1158" s="2" t="str">
        <f>IF($L1158="","",IFERROR(INDEX('AR SALES'!$H$2:$H$2501,MATCH(""&amp;$L1158,'AR SALES'!$AE$2:$AE$2501,0)),""))</f>
        <v/>
      </c>
      <c r="AU1158" s="2" t="str">
        <f t="shared" si="72"/>
        <v/>
      </c>
      <c r="AV1158" s="2" t="str">
        <f t="shared" si="73"/>
        <v/>
      </c>
      <c r="AW1158" s="2" t="str">
        <f t="shared" si="74"/>
        <v/>
      </c>
      <c r="AX1158" s="2" t="str">
        <f t="shared" si="75"/>
        <v/>
      </c>
      <c r="AY1158" s="2" t="str">
        <f>IF($AV1158="","",IF(AND($Z1158=0,COUNTIF('AR SALES'!$L$2:$L$2501,$L1158)=0),"YES",""))</f>
        <v/>
      </c>
      <c r="AZ1158" s="2" t="str">
        <f>IF($AV1158="","",IF(COUNTIF(LISTS!$C$2:$C$250,$AU1158)=0,"NEW",""))</f>
        <v/>
      </c>
      <c r="BA1158" s="2" t="str">
        <f>IF(""&amp;$F1158&lt;&gt;"4","",IF($AY1158="YES","",IF(ROUND(SUMIFS($AE$2:$AE$4001,$L$2:$L$4001,$L1158,$F$2:$F$4001,"4")-SUMIFS('AR SALES'!$Y$2:$Y$2501,'AR SALES'!$L$2:$L$2501,$L1158,'AR SALES'!$AD$2:$AD$2501,"OFF"),2)=0,"","STALE")))</f>
        <v/>
      </c>
      <c r="BB1158" s="2" t="str">
        <f>IF(OR(""&amp;$F1158="2",""&amp;$F1158="4",""&amp;$F1158="G",""&amp;$F1158="H"),IF($AY1158="YES","",IF($AB1158&lt;&gt;0,"",IF(COUNTIFS('AR SALES'!$L$2:$L$2501,$L1158,'AR SALES'!$AD$2:$AD$2501,IF(""&amp;$F1158="4","OFF","ON"),'AR SALES'!$AF$2:$AF$2501,"Y")&gt;0,"","NO EXEMPTION"))),"")</f>
        <v/>
      </c>
    </row>
    <row r="1159" spans="46:54" x14ac:dyDescent="0.25">
      <c r="AT1159" s="2" t="str">
        <f>IF($L1159="","",IFERROR(INDEX('AR SALES'!$H$2:$H$2501,MATCH(""&amp;$L1159,'AR SALES'!$AE$2:$AE$2501,0)),""))</f>
        <v/>
      </c>
      <c r="AU1159" s="2" t="str">
        <f t="shared" si="72"/>
        <v/>
      </c>
      <c r="AV1159" s="2" t="str">
        <f t="shared" si="73"/>
        <v/>
      </c>
      <c r="AW1159" s="2" t="str">
        <f t="shared" si="74"/>
        <v/>
      </c>
      <c r="AX1159" s="2" t="str">
        <f t="shared" si="75"/>
        <v/>
      </c>
      <c r="AY1159" s="2" t="str">
        <f>IF($AV1159="","",IF(AND($Z1159=0,COUNTIF('AR SALES'!$L$2:$L$2501,$L1159)=0),"YES",""))</f>
        <v/>
      </c>
      <c r="AZ1159" s="2" t="str">
        <f>IF($AV1159="","",IF(COUNTIF(LISTS!$C$2:$C$250,$AU1159)=0,"NEW",""))</f>
        <v/>
      </c>
      <c r="BA1159" s="2" t="str">
        <f>IF(""&amp;$F1159&lt;&gt;"4","",IF($AY1159="YES","",IF(ROUND(SUMIFS($AE$2:$AE$4001,$L$2:$L$4001,$L1159,$F$2:$F$4001,"4")-SUMIFS('AR SALES'!$Y$2:$Y$2501,'AR SALES'!$L$2:$L$2501,$L1159,'AR SALES'!$AD$2:$AD$2501,"OFF"),2)=0,"","STALE")))</f>
        <v/>
      </c>
      <c r="BB1159" s="2" t="str">
        <f>IF(OR(""&amp;$F1159="2",""&amp;$F1159="4",""&amp;$F1159="G",""&amp;$F1159="H"),IF($AY1159="YES","",IF($AB1159&lt;&gt;0,"",IF(COUNTIFS('AR SALES'!$L$2:$L$2501,$L1159,'AR SALES'!$AD$2:$AD$2501,IF(""&amp;$F1159="4","OFF","ON"),'AR SALES'!$AF$2:$AF$2501,"Y")&gt;0,"","NO EXEMPTION"))),"")</f>
        <v/>
      </c>
    </row>
    <row r="1160" spans="46:54" x14ac:dyDescent="0.25">
      <c r="AT1160" s="2" t="str">
        <f>IF($L1160="","",IFERROR(INDEX('AR SALES'!$H$2:$H$2501,MATCH(""&amp;$L1160,'AR SALES'!$AE$2:$AE$2501,0)),""))</f>
        <v/>
      </c>
      <c r="AU1160" s="2" t="str">
        <f t="shared" si="72"/>
        <v/>
      </c>
      <c r="AV1160" s="2" t="str">
        <f t="shared" si="73"/>
        <v/>
      </c>
      <c r="AW1160" s="2" t="str">
        <f t="shared" si="74"/>
        <v/>
      </c>
      <c r="AX1160" s="2" t="str">
        <f t="shared" si="75"/>
        <v/>
      </c>
      <c r="AY1160" s="2" t="str">
        <f>IF($AV1160="","",IF(AND($Z1160=0,COUNTIF('AR SALES'!$L$2:$L$2501,$L1160)=0),"YES",""))</f>
        <v/>
      </c>
      <c r="AZ1160" s="2" t="str">
        <f>IF($AV1160="","",IF(COUNTIF(LISTS!$C$2:$C$250,$AU1160)=0,"NEW",""))</f>
        <v/>
      </c>
      <c r="BA1160" s="2" t="str">
        <f>IF(""&amp;$F1160&lt;&gt;"4","",IF($AY1160="YES","",IF(ROUND(SUMIFS($AE$2:$AE$4001,$L$2:$L$4001,$L1160,$F$2:$F$4001,"4")-SUMIFS('AR SALES'!$Y$2:$Y$2501,'AR SALES'!$L$2:$L$2501,$L1160,'AR SALES'!$AD$2:$AD$2501,"OFF"),2)=0,"","STALE")))</f>
        <v/>
      </c>
      <c r="BB1160" s="2" t="str">
        <f>IF(OR(""&amp;$F1160="2",""&amp;$F1160="4",""&amp;$F1160="G",""&amp;$F1160="H"),IF($AY1160="YES","",IF($AB1160&lt;&gt;0,"",IF(COUNTIFS('AR SALES'!$L$2:$L$2501,$L1160,'AR SALES'!$AD$2:$AD$2501,IF(""&amp;$F1160="4","OFF","ON"),'AR SALES'!$AF$2:$AF$2501,"Y")&gt;0,"","NO EXEMPTION"))),"")</f>
        <v/>
      </c>
    </row>
    <row r="1161" spans="46:54" x14ac:dyDescent="0.25">
      <c r="AT1161" s="2" t="str">
        <f>IF($L1161="","",IFERROR(INDEX('AR SALES'!$H$2:$H$2501,MATCH(""&amp;$L1161,'AR SALES'!$AE$2:$AE$2501,0)),""))</f>
        <v/>
      </c>
      <c r="AU1161" s="2" t="str">
        <f t="shared" si="72"/>
        <v/>
      </c>
      <c r="AV1161" s="2" t="str">
        <f t="shared" si="73"/>
        <v/>
      </c>
      <c r="AW1161" s="2" t="str">
        <f t="shared" si="74"/>
        <v/>
      </c>
      <c r="AX1161" s="2" t="str">
        <f t="shared" si="75"/>
        <v/>
      </c>
      <c r="AY1161" s="2" t="str">
        <f>IF($AV1161="","",IF(AND($Z1161=0,COUNTIF('AR SALES'!$L$2:$L$2501,$L1161)=0),"YES",""))</f>
        <v/>
      </c>
      <c r="AZ1161" s="2" t="str">
        <f>IF($AV1161="","",IF(COUNTIF(LISTS!$C$2:$C$250,$AU1161)=0,"NEW",""))</f>
        <v/>
      </c>
      <c r="BA1161" s="2" t="str">
        <f>IF(""&amp;$F1161&lt;&gt;"4","",IF($AY1161="YES","",IF(ROUND(SUMIFS($AE$2:$AE$4001,$L$2:$L$4001,$L1161,$F$2:$F$4001,"4")-SUMIFS('AR SALES'!$Y$2:$Y$2501,'AR SALES'!$L$2:$L$2501,$L1161,'AR SALES'!$AD$2:$AD$2501,"OFF"),2)=0,"","STALE")))</f>
        <v/>
      </c>
      <c r="BB1161" s="2" t="str">
        <f>IF(OR(""&amp;$F1161="2",""&amp;$F1161="4",""&amp;$F1161="G",""&amp;$F1161="H"),IF($AY1161="YES","",IF($AB1161&lt;&gt;0,"",IF(COUNTIFS('AR SALES'!$L$2:$L$2501,$L1161,'AR SALES'!$AD$2:$AD$2501,IF(""&amp;$F1161="4","OFF","ON"),'AR SALES'!$AF$2:$AF$2501,"Y")&gt;0,"","NO EXEMPTION"))),"")</f>
        <v/>
      </c>
    </row>
    <row r="1162" spans="46:54" x14ac:dyDescent="0.25">
      <c r="AT1162" s="2" t="str">
        <f>IF($L1162="","",IFERROR(INDEX('AR SALES'!$H$2:$H$2501,MATCH(""&amp;$L1162,'AR SALES'!$AE$2:$AE$2501,0)),""))</f>
        <v/>
      </c>
      <c r="AU1162" s="2" t="str">
        <f t="shared" si="72"/>
        <v/>
      </c>
      <c r="AV1162" s="2" t="str">
        <f t="shared" si="73"/>
        <v/>
      </c>
      <c r="AW1162" s="2" t="str">
        <f t="shared" si="74"/>
        <v/>
      </c>
      <c r="AX1162" s="2" t="str">
        <f t="shared" si="75"/>
        <v/>
      </c>
      <c r="AY1162" s="2" t="str">
        <f>IF($AV1162="","",IF(AND($Z1162=0,COUNTIF('AR SALES'!$L$2:$L$2501,$L1162)=0),"YES",""))</f>
        <v/>
      </c>
      <c r="AZ1162" s="2" t="str">
        <f>IF($AV1162="","",IF(COUNTIF(LISTS!$C$2:$C$250,$AU1162)=0,"NEW",""))</f>
        <v/>
      </c>
      <c r="BA1162" s="2" t="str">
        <f>IF(""&amp;$F1162&lt;&gt;"4","",IF($AY1162="YES","",IF(ROUND(SUMIFS($AE$2:$AE$4001,$L$2:$L$4001,$L1162,$F$2:$F$4001,"4")-SUMIFS('AR SALES'!$Y$2:$Y$2501,'AR SALES'!$L$2:$L$2501,$L1162,'AR SALES'!$AD$2:$AD$2501,"OFF"),2)=0,"","STALE")))</f>
        <v/>
      </c>
      <c r="BB1162" s="2" t="str">
        <f>IF(OR(""&amp;$F1162="2",""&amp;$F1162="4",""&amp;$F1162="G",""&amp;$F1162="H"),IF($AY1162="YES","",IF($AB1162&lt;&gt;0,"",IF(COUNTIFS('AR SALES'!$L$2:$L$2501,$L1162,'AR SALES'!$AD$2:$AD$2501,IF(""&amp;$F1162="4","OFF","ON"),'AR SALES'!$AF$2:$AF$2501,"Y")&gt;0,"","NO EXEMPTION"))),"")</f>
        <v/>
      </c>
    </row>
    <row r="1163" spans="46:54" x14ac:dyDescent="0.25">
      <c r="AT1163" s="2" t="str">
        <f>IF($L1163="","",IFERROR(INDEX('AR SALES'!$H$2:$H$2501,MATCH(""&amp;$L1163,'AR SALES'!$AE$2:$AE$2501,0)),""))</f>
        <v/>
      </c>
      <c r="AU1163" s="2" t="str">
        <f t="shared" si="72"/>
        <v/>
      </c>
      <c r="AV1163" s="2" t="str">
        <f t="shared" si="73"/>
        <v/>
      </c>
      <c r="AW1163" s="2" t="str">
        <f t="shared" si="74"/>
        <v/>
      </c>
      <c r="AX1163" s="2" t="str">
        <f t="shared" si="75"/>
        <v/>
      </c>
      <c r="AY1163" s="2" t="str">
        <f>IF($AV1163="","",IF(AND($Z1163=0,COUNTIF('AR SALES'!$L$2:$L$2501,$L1163)=0),"YES",""))</f>
        <v/>
      </c>
      <c r="AZ1163" s="2" t="str">
        <f>IF($AV1163="","",IF(COUNTIF(LISTS!$C$2:$C$250,$AU1163)=0,"NEW",""))</f>
        <v/>
      </c>
      <c r="BA1163" s="2" t="str">
        <f>IF(""&amp;$F1163&lt;&gt;"4","",IF($AY1163="YES","",IF(ROUND(SUMIFS($AE$2:$AE$4001,$L$2:$L$4001,$L1163,$F$2:$F$4001,"4")-SUMIFS('AR SALES'!$Y$2:$Y$2501,'AR SALES'!$L$2:$L$2501,$L1163,'AR SALES'!$AD$2:$AD$2501,"OFF"),2)=0,"","STALE")))</f>
        <v/>
      </c>
      <c r="BB1163" s="2" t="str">
        <f>IF(OR(""&amp;$F1163="2",""&amp;$F1163="4",""&amp;$F1163="G",""&amp;$F1163="H"),IF($AY1163="YES","",IF($AB1163&lt;&gt;0,"",IF(COUNTIFS('AR SALES'!$L$2:$L$2501,$L1163,'AR SALES'!$AD$2:$AD$2501,IF(""&amp;$F1163="4","OFF","ON"),'AR SALES'!$AF$2:$AF$2501,"Y")&gt;0,"","NO EXEMPTION"))),"")</f>
        <v/>
      </c>
    </row>
    <row r="1164" spans="46:54" x14ac:dyDescent="0.25">
      <c r="AT1164" s="2" t="str">
        <f>IF($L1164="","",IFERROR(INDEX('AR SALES'!$H$2:$H$2501,MATCH(""&amp;$L1164,'AR SALES'!$AE$2:$AE$2501,0)),""))</f>
        <v/>
      </c>
      <c r="AU1164" s="2" t="str">
        <f t="shared" si="72"/>
        <v/>
      </c>
      <c r="AV1164" s="2" t="str">
        <f t="shared" si="73"/>
        <v/>
      </c>
      <c r="AW1164" s="2" t="str">
        <f t="shared" si="74"/>
        <v/>
      </c>
      <c r="AX1164" s="2" t="str">
        <f t="shared" si="75"/>
        <v/>
      </c>
      <c r="AY1164" s="2" t="str">
        <f>IF($AV1164="","",IF(AND($Z1164=0,COUNTIF('AR SALES'!$L$2:$L$2501,$L1164)=0),"YES",""))</f>
        <v/>
      </c>
      <c r="AZ1164" s="2" t="str">
        <f>IF($AV1164="","",IF(COUNTIF(LISTS!$C$2:$C$250,$AU1164)=0,"NEW",""))</f>
        <v/>
      </c>
      <c r="BA1164" s="2" t="str">
        <f>IF(""&amp;$F1164&lt;&gt;"4","",IF($AY1164="YES","",IF(ROUND(SUMIFS($AE$2:$AE$4001,$L$2:$L$4001,$L1164,$F$2:$F$4001,"4")-SUMIFS('AR SALES'!$Y$2:$Y$2501,'AR SALES'!$L$2:$L$2501,$L1164,'AR SALES'!$AD$2:$AD$2501,"OFF"),2)=0,"","STALE")))</f>
        <v/>
      </c>
      <c r="BB1164" s="2" t="str">
        <f>IF(OR(""&amp;$F1164="2",""&amp;$F1164="4",""&amp;$F1164="G",""&amp;$F1164="H"),IF($AY1164="YES","",IF($AB1164&lt;&gt;0,"",IF(COUNTIFS('AR SALES'!$L$2:$L$2501,$L1164,'AR SALES'!$AD$2:$AD$2501,IF(""&amp;$F1164="4","OFF","ON"),'AR SALES'!$AF$2:$AF$2501,"Y")&gt;0,"","NO EXEMPTION"))),"")</f>
        <v/>
      </c>
    </row>
    <row r="1165" spans="46:54" x14ac:dyDescent="0.25">
      <c r="AT1165" s="2" t="str">
        <f>IF($L1165="","",IFERROR(INDEX('AR SALES'!$H$2:$H$2501,MATCH(""&amp;$L1165,'AR SALES'!$AE$2:$AE$2501,0)),""))</f>
        <v/>
      </c>
      <c r="AU1165" s="2" t="str">
        <f t="shared" si="72"/>
        <v/>
      </c>
      <c r="AV1165" s="2" t="str">
        <f t="shared" si="73"/>
        <v/>
      </c>
      <c r="AW1165" s="2" t="str">
        <f t="shared" si="74"/>
        <v/>
      </c>
      <c r="AX1165" s="2" t="str">
        <f t="shared" si="75"/>
        <v/>
      </c>
      <c r="AY1165" s="2" t="str">
        <f>IF($AV1165="","",IF(AND($Z1165=0,COUNTIF('AR SALES'!$L$2:$L$2501,$L1165)=0),"YES",""))</f>
        <v/>
      </c>
      <c r="AZ1165" s="2" t="str">
        <f>IF($AV1165="","",IF(COUNTIF(LISTS!$C$2:$C$250,$AU1165)=0,"NEW",""))</f>
        <v/>
      </c>
      <c r="BA1165" s="2" t="str">
        <f>IF(""&amp;$F1165&lt;&gt;"4","",IF($AY1165="YES","",IF(ROUND(SUMIFS($AE$2:$AE$4001,$L$2:$L$4001,$L1165,$F$2:$F$4001,"4")-SUMIFS('AR SALES'!$Y$2:$Y$2501,'AR SALES'!$L$2:$L$2501,$L1165,'AR SALES'!$AD$2:$AD$2501,"OFF"),2)=0,"","STALE")))</f>
        <v/>
      </c>
      <c r="BB1165" s="2" t="str">
        <f>IF(OR(""&amp;$F1165="2",""&amp;$F1165="4",""&amp;$F1165="G",""&amp;$F1165="H"),IF($AY1165="YES","",IF($AB1165&lt;&gt;0,"",IF(COUNTIFS('AR SALES'!$L$2:$L$2501,$L1165,'AR SALES'!$AD$2:$AD$2501,IF(""&amp;$F1165="4","OFF","ON"),'AR SALES'!$AF$2:$AF$2501,"Y")&gt;0,"","NO EXEMPTION"))),"")</f>
        <v/>
      </c>
    </row>
    <row r="1166" spans="46:54" x14ac:dyDescent="0.25">
      <c r="AT1166" s="2" t="str">
        <f>IF($L1166="","",IFERROR(INDEX('AR SALES'!$H$2:$H$2501,MATCH(""&amp;$L1166,'AR SALES'!$AE$2:$AE$2501,0)),""))</f>
        <v/>
      </c>
      <c r="AU1166" s="2" t="str">
        <f t="shared" si="72"/>
        <v/>
      </c>
      <c r="AV1166" s="2" t="str">
        <f t="shared" si="73"/>
        <v/>
      </c>
      <c r="AW1166" s="2" t="str">
        <f t="shared" si="74"/>
        <v/>
      </c>
      <c r="AX1166" s="2" t="str">
        <f t="shared" si="75"/>
        <v/>
      </c>
      <c r="AY1166" s="2" t="str">
        <f>IF($AV1166="","",IF(AND($Z1166=0,COUNTIF('AR SALES'!$L$2:$L$2501,$L1166)=0),"YES",""))</f>
        <v/>
      </c>
      <c r="AZ1166" s="2" t="str">
        <f>IF($AV1166="","",IF(COUNTIF(LISTS!$C$2:$C$250,$AU1166)=0,"NEW",""))</f>
        <v/>
      </c>
      <c r="BA1166" s="2" t="str">
        <f>IF(""&amp;$F1166&lt;&gt;"4","",IF($AY1166="YES","",IF(ROUND(SUMIFS($AE$2:$AE$4001,$L$2:$L$4001,$L1166,$F$2:$F$4001,"4")-SUMIFS('AR SALES'!$Y$2:$Y$2501,'AR SALES'!$L$2:$L$2501,$L1166,'AR SALES'!$AD$2:$AD$2501,"OFF"),2)=0,"","STALE")))</f>
        <v/>
      </c>
      <c r="BB1166" s="2" t="str">
        <f>IF(OR(""&amp;$F1166="2",""&amp;$F1166="4",""&amp;$F1166="G",""&amp;$F1166="H"),IF($AY1166="YES","",IF($AB1166&lt;&gt;0,"",IF(COUNTIFS('AR SALES'!$L$2:$L$2501,$L1166,'AR SALES'!$AD$2:$AD$2501,IF(""&amp;$F1166="4","OFF","ON"),'AR SALES'!$AF$2:$AF$2501,"Y")&gt;0,"","NO EXEMPTION"))),"")</f>
        <v/>
      </c>
    </row>
    <row r="1167" spans="46:54" x14ac:dyDescent="0.25">
      <c r="AT1167" s="2" t="str">
        <f>IF($L1167="","",IFERROR(INDEX('AR SALES'!$H$2:$H$2501,MATCH(""&amp;$L1167,'AR SALES'!$AE$2:$AE$2501,0)),""))</f>
        <v/>
      </c>
      <c r="AU1167" s="2" t="str">
        <f t="shared" si="72"/>
        <v/>
      </c>
      <c r="AV1167" s="2" t="str">
        <f t="shared" si="73"/>
        <v/>
      </c>
      <c r="AW1167" s="2" t="str">
        <f t="shared" si="74"/>
        <v/>
      </c>
      <c r="AX1167" s="2" t="str">
        <f t="shared" si="75"/>
        <v/>
      </c>
      <c r="AY1167" s="2" t="str">
        <f>IF($AV1167="","",IF(AND($Z1167=0,COUNTIF('AR SALES'!$L$2:$L$2501,$L1167)=0),"YES",""))</f>
        <v/>
      </c>
      <c r="AZ1167" s="2" t="str">
        <f>IF($AV1167="","",IF(COUNTIF(LISTS!$C$2:$C$250,$AU1167)=0,"NEW",""))</f>
        <v/>
      </c>
      <c r="BA1167" s="2" t="str">
        <f>IF(""&amp;$F1167&lt;&gt;"4","",IF($AY1167="YES","",IF(ROUND(SUMIFS($AE$2:$AE$4001,$L$2:$L$4001,$L1167,$F$2:$F$4001,"4")-SUMIFS('AR SALES'!$Y$2:$Y$2501,'AR SALES'!$L$2:$L$2501,$L1167,'AR SALES'!$AD$2:$AD$2501,"OFF"),2)=0,"","STALE")))</f>
        <v/>
      </c>
      <c r="BB1167" s="2" t="str">
        <f>IF(OR(""&amp;$F1167="2",""&amp;$F1167="4",""&amp;$F1167="G",""&amp;$F1167="H"),IF($AY1167="YES","",IF($AB1167&lt;&gt;0,"",IF(COUNTIFS('AR SALES'!$L$2:$L$2501,$L1167,'AR SALES'!$AD$2:$AD$2501,IF(""&amp;$F1167="4","OFF","ON"),'AR SALES'!$AF$2:$AF$2501,"Y")&gt;0,"","NO EXEMPTION"))),"")</f>
        <v/>
      </c>
    </row>
    <row r="1168" spans="46:54" x14ac:dyDescent="0.25">
      <c r="AT1168" s="2" t="str">
        <f>IF($L1168="","",IFERROR(INDEX('AR SALES'!$H$2:$H$2501,MATCH(""&amp;$L1168,'AR SALES'!$AE$2:$AE$2501,0)),""))</f>
        <v/>
      </c>
      <c r="AU1168" s="2" t="str">
        <f t="shared" si="72"/>
        <v/>
      </c>
      <c r="AV1168" s="2" t="str">
        <f t="shared" si="73"/>
        <v/>
      </c>
      <c r="AW1168" s="2" t="str">
        <f t="shared" si="74"/>
        <v/>
      </c>
      <c r="AX1168" s="2" t="str">
        <f t="shared" si="75"/>
        <v/>
      </c>
      <c r="AY1168" s="2" t="str">
        <f>IF($AV1168="","",IF(AND($Z1168=0,COUNTIF('AR SALES'!$L$2:$L$2501,$L1168)=0),"YES",""))</f>
        <v/>
      </c>
      <c r="AZ1168" s="2" t="str">
        <f>IF($AV1168="","",IF(COUNTIF(LISTS!$C$2:$C$250,$AU1168)=0,"NEW",""))</f>
        <v/>
      </c>
      <c r="BA1168" s="2" t="str">
        <f>IF(""&amp;$F1168&lt;&gt;"4","",IF($AY1168="YES","",IF(ROUND(SUMIFS($AE$2:$AE$4001,$L$2:$L$4001,$L1168,$F$2:$F$4001,"4")-SUMIFS('AR SALES'!$Y$2:$Y$2501,'AR SALES'!$L$2:$L$2501,$L1168,'AR SALES'!$AD$2:$AD$2501,"OFF"),2)=0,"","STALE")))</f>
        <v/>
      </c>
      <c r="BB1168" s="2" t="str">
        <f>IF(OR(""&amp;$F1168="2",""&amp;$F1168="4",""&amp;$F1168="G",""&amp;$F1168="H"),IF($AY1168="YES","",IF($AB1168&lt;&gt;0,"",IF(COUNTIFS('AR SALES'!$L$2:$L$2501,$L1168,'AR SALES'!$AD$2:$AD$2501,IF(""&amp;$F1168="4","OFF","ON"),'AR SALES'!$AF$2:$AF$2501,"Y")&gt;0,"","NO EXEMPTION"))),"")</f>
        <v/>
      </c>
    </row>
    <row r="1169" spans="46:54" x14ac:dyDescent="0.25">
      <c r="AT1169" s="2" t="str">
        <f>IF($L1169="","",IFERROR(INDEX('AR SALES'!$H$2:$H$2501,MATCH(""&amp;$L1169,'AR SALES'!$AE$2:$AE$2501,0)),""))</f>
        <v/>
      </c>
      <c r="AU1169" s="2" t="str">
        <f t="shared" si="72"/>
        <v/>
      </c>
      <c r="AV1169" s="2" t="str">
        <f t="shared" si="73"/>
        <v/>
      </c>
      <c r="AW1169" s="2" t="str">
        <f t="shared" si="74"/>
        <v/>
      </c>
      <c r="AX1169" s="2" t="str">
        <f t="shared" si="75"/>
        <v/>
      </c>
      <c r="AY1169" s="2" t="str">
        <f>IF($AV1169="","",IF(AND($Z1169=0,COUNTIF('AR SALES'!$L$2:$L$2501,$L1169)=0),"YES",""))</f>
        <v/>
      </c>
      <c r="AZ1169" s="2" t="str">
        <f>IF($AV1169="","",IF(COUNTIF(LISTS!$C$2:$C$250,$AU1169)=0,"NEW",""))</f>
        <v/>
      </c>
      <c r="BA1169" s="2" t="str">
        <f>IF(""&amp;$F1169&lt;&gt;"4","",IF($AY1169="YES","",IF(ROUND(SUMIFS($AE$2:$AE$4001,$L$2:$L$4001,$L1169,$F$2:$F$4001,"4")-SUMIFS('AR SALES'!$Y$2:$Y$2501,'AR SALES'!$L$2:$L$2501,$L1169,'AR SALES'!$AD$2:$AD$2501,"OFF"),2)=0,"","STALE")))</f>
        <v/>
      </c>
      <c r="BB1169" s="2" t="str">
        <f>IF(OR(""&amp;$F1169="2",""&amp;$F1169="4",""&amp;$F1169="G",""&amp;$F1169="H"),IF($AY1169="YES","",IF($AB1169&lt;&gt;0,"",IF(COUNTIFS('AR SALES'!$L$2:$L$2501,$L1169,'AR SALES'!$AD$2:$AD$2501,IF(""&amp;$F1169="4","OFF","ON"),'AR SALES'!$AF$2:$AF$2501,"Y")&gt;0,"","NO EXEMPTION"))),"")</f>
        <v/>
      </c>
    </row>
    <row r="1170" spans="46:54" x14ac:dyDescent="0.25">
      <c r="AT1170" s="2" t="str">
        <f>IF($L1170="","",IFERROR(INDEX('AR SALES'!$H$2:$H$2501,MATCH(""&amp;$L1170,'AR SALES'!$AE$2:$AE$2501,0)),""))</f>
        <v/>
      </c>
      <c r="AU1170" s="2" t="str">
        <f t="shared" si="72"/>
        <v/>
      </c>
      <c r="AV1170" s="2" t="str">
        <f t="shared" si="73"/>
        <v/>
      </c>
      <c r="AW1170" s="2" t="str">
        <f t="shared" si="74"/>
        <v/>
      </c>
      <c r="AX1170" s="2" t="str">
        <f t="shared" si="75"/>
        <v/>
      </c>
      <c r="AY1170" s="2" t="str">
        <f>IF($AV1170="","",IF(AND($Z1170=0,COUNTIF('AR SALES'!$L$2:$L$2501,$L1170)=0),"YES",""))</f>
        <v/>
      </c>
      <c r="AZ1170" s="2" t="str">
        <f>IF($AV1170="","",IF(COUNTIF(LISTS!$C$2:$C$250,$AU1170)=0,"NEW",""))</f>
        <v/>
      </c>
      <c r="BA1170" s="2" t="str">
        <f>IF(""&amp;$F1170&lt;&gt;"4","",IF($AY1170="YES","",IF(ROUND(SUMIFS($AE$2:$AE$4001,$L$2:$L$4001,$L1170,$F$2:$F$4001,"4")-SUMIFS('AR SALES'!$Y$2:$Y$2501,'AR SALES'!$L$2:$L$2501,$L1170,'AR SALES'!$AD$2:$AD$2501,"OFF"),2)=0,"","STALE")))</f>
        <v/>
      </c>
      <c r="BB1170" s="2" t="str">
        <f>IF(OR(""&amp;$F1170="2",""&amp;$F1170="4",""&amp;$F1170="G",""&amp;$F1170="H"),IF($AY1170="YES","",IF($AB1170&lt;&gt;0,"",IF(COUNTIFS('AR SALES'!$L$2:$L$2501,$L1170,'AR SALES'!$AD$2:$AD$2501,IF(""&amp;$F1170="4","OFF","ON"),'AR SALES'!$AF$2:$AF$2501,"Y")&gt;0,"","NO EXEMPTION"))),"")</f>
        <v/>
      </c>
    </row>
    <row r="1171" spans="46:54" x14ac:dyDescent="0.25">
      <c r="AT1171" s="2" t="str">
        <f>IF($L1171="","",IFERROR(INDEX('AR SALES'!$H$2:$H$2501,MATCH(""&amp;$L1171,'AR SALES'!$AE$2:$AE$2501,0)),""))</f>
        <v/>
      </c>
      <c r="AU1171" s="2" t="str">
        <f t="shared" si="72"/>
        <v/>
      </c>
      <c r="AV1171" s="2" t="str">
        <f t="shared" si="73"/>
        <v/>
      </c>
      <c r="AW1171" s="2" t="str">
        <f t="shared" si="74"/>
        <v/>
      </c>
      <c r="AX1171" s="2" t="str">
        <f t="shared" si="75"/>
        <v/>
      </c>
      <c r="AY1171" s="2" t="str">
        <f>IF($AV1171="","",IF(AND($Z1171=0,COUNTIF('AR SALES'!$L$2:$L$2501,$L1171)=0),"YES",""))</f>
        <v/>
      </c>
      <c r="AZ1171" s="2" t="str">
        <f>IF($AV1171="","",IF(COUNTIF(LISTS!$C$2:$C$250,$AU1171)=0,"NEW",""))</f>
        <v/>
      </c>
      <c r="BA1171" s="2" t="str">
        <f>IF(""&amp;$F1171&lt;&gt;"4","",IF($AY1171="YES","",IF(ROUND(SUMIFS($AE$2:$AE$4001,$L$2:$L$4001,$L1171,$F$2:$F$4001,"4")-SUMIFS('AR SALES'!$Y$2:$Y$2501,'AR SALES'!$L$2:$L$2501,$L1171,'AR SALES'!$AD$2:$AD$2501,"OFF"),2)=0,"","STALE")))</f>
        <v/>
      </c>
      <c r="BB1171" s="2" t="str">
        <f>IF(OR(""&amp;$F1171="2",""&amp;$F1171="4",""&amp;$F1171="G",""&amp;$F1171="H"),IF($AY1171="YES","",IF($AB1171&lt;&gt;0,"",IF(COUNTIFS('AR SALES'!$L$2:$L$2501,$L1171,'AR SALES'!$AD$2:$AD$2501,IF(""&amp;$F1171="4","OFF","ON"),'AR SALES'!$AF$2:$AF$2501,"Y")&gt;0,"","NO EXEMPTION"))),"")</f>
        <v/>
      </c>
    </row>
    <row r="1172" spans="46:54" x14ac:dyDescent="0.25">
      <c r="AT1172" s="2" t="str">
        <f>IF($L1172="","",IFERROR(INDEX('AR SALES'!$H$2:$H$2501,MATCH(""&amp;$L1172,'AR SALES'!$AE$2:$AE$2501,0)),""))</f>
        <v/>
      </c>
      <c r="AU1172" s="2" t="str">
        <f t="shared" si="72"/>
        <v/>
      </c>
      <c r="AV1172" s="2" t="str">
        <f t="shared" si="73"/>
        <v/>
      </c>
      <c r="AW1172" s="2" t="str">
        <f t="shared" si="74"/>
        <v/>
      </c>
      <c r="AX1172" s="2" t="str">
        <f t="shared" si="75"/>
        <v/>
      </c>
      <c r="AY1172" s="2" t="str">
        <f>IF($AV1172="","",IF(AND($Z1172=0,COUNTIF('AR SALES'!$L$2:$L$2501,$L1172)=0),"YES",""))</f>
        <v/>
      </c>
      <c r="AZ1172" s="2" t="str">
        <f>IF($AV1172="","",IF(COUNTIF(LISTS!$C$2:$C$250,$AU1172)=0,"NEW",""))</f>
        <v/>
      </c>
      <c r="BA1172" s="2" t="str">
        <f>IF(""&amp;$F1172&lt;&gt;"4","",IF($AY1172="YES","",IF(ROUND(SUMIFS($AE$2:$AE$4001,$L$2:$L$4001,$L1172,$F$2:$F$4001,"4")-SUMIFS('AR SALES'!$Y$2:$Y$2501,'AR SALES'!$L$2:$L$2501,$L1172,'AR SALES'!$AD$2:$AD$2501,"OFF"),2)=0,"","STALE")))</f>
        <v/>
      </c>
      <c r="BB1172" s="2" t="str">
        <f>IF(OR(""&amp;$F1172="2",""&amp;$F1172="4",""&amp;$F1172="G",""&amp;$F1172="H"),IF($AY1172="YES","",IF($AB1172&lt;&gt;0,"",IF(COUNTIFS('AR SALES'!$L$2:$L$2501,$L1172,'AR SALES'!$AD$2:$AD$2501,IF(""&amp;$F1172="4","OFF","ON"),'AR SALES'!$AF$2:$AF$2501,"Y")&gt;0,"","NO EXEMPTION"))),"")</f>
        <v/>
      </c>
    </row>
    <row r="1173" spans="46:54" x14ac:dyDescent="0.25">
      <c r="AT1173" s="2" t="str">
        <f>IF($L1173="","",IFERROR(INDEX('AR SALES'!$H$2:$H$2501,MATCH(""&amp;$L1173,'AR SALES'!$AE$2:$AE$2501,0)),""))</f>
        <v/>
      </c>
      <c r="AU1173" s="2" t="str">
        <f t="shared" si="72"/>
        <v/>
      </c>
      <c r="AV1173" s="2" t="str">
        <f t="shared" si="73"/>
        <v/>
      </c>
      <c r="AW1173" s="2" t="str">
        <f t="shared" si="74"/>
        <v/>
      </c>
      <c r="AX1173" s="2" t="str">
        <f t="shared" si="75"/>
        <v/>
      </c>
      <c r="AY1173" s="2" t="str">
        <f>IF($AV1173="","",IF(AND($Z1173=0,COUNTIF('AR SALES'!$L$2:$L$2501,$L1173)=0),"YES",""))</f>
        <v/>
      </c>
      <c r="AZ1173" s="2" t="str">
        <f>IF($AV1173="","",IF(COUNTIF(LISTS!$C$2:$C$250,$AU1173)=0,"NEW",""))</f>
        <v/>
      </c>
      <c r="BA1173" s="2" t="str">
        <f>IF(""&amp;$F1173&lt;&gt;"4","",IF($AY1173="YES","",IF(ROUND(SUMIFS($AE$2:$AE$4001,$L$2:$L$4001,$L1173,$F$2:$F$4001,"4")-SUMIFS('AR SALES'!$Y$2:$Y$2501,'AR SALES'!$L$2:$L$2501,$L1173,'AR SALES'!$AD$2:$AD$2501,"OFF"),2)=0,"","STALE")))</f>
        <v/>
      </c>
      <c r="BB1173" s="2" t="str">
        <f>IF(OR(""&amp;$F1173="2",""&amp;$F1173="4",""&amp;$F1173="G",""&amp;$F1173="H"),IF($AY1173="YES","",IF($AB1173&lt;&gt;0,"",IF(COUNTIFS('AR SALES'!$L$2:$L$2501,$L1173,'AR SALES'!$AD$2:$AD$2501,IF(""&amp;$F1173="4","OFF","ON"),'AR SALES'!$AF$2:$AF$2501,"Y")&gt;0,"","NO EXEMPTION"))),"")</f>
        <v/>
      </c>
    </row>
    <row r="1174" spans="46:54" x14ac:dyDescent="0.25">
      <c r="AT1174" s="2" t="str">
        <f>IF($L1174="","",IFERROR(INDEX('AR SALES'!$H$2:$H$2501,MATCH(""&amp;$L1174,'AR SALES'!$AE$2:$AE$2501,0)),""))</f>
        <v/>
      </c>
      <c r="AU1174" s="2" t="str">
        <f t="shared" si="72"/>
        <v/>
      </c>
      <c r="AV1174" s="2" t="str">
        <f t="shared" si="73"/>
        <v/>
      </c>
      <c r="AW1174" s="2" t="str">
        <f t="shared" si="74"/>
        <v/>
      </c>
      <c r="AX1174" s="2" t="str">
        <f t="shared" si="75"/>
        <v/>
      </c>
      <c r="AY1174" s="2" t="str">
        <f>IF($AV1174="","",IF(AND($Z1174=0,COUNTIF('AR SALES'!$L$2:$L$2501,$L1174)=0),"YES",""))</f>
        <v/>
      </c>
      <c r="AZ1174" s="2" t="str">
        <f>IF($AV1174="","",IF(COUNTIF(LISTS!$C$2:$C$250,$AU1174)=0,"NEW",""))</f>
        <v/>
      </c>
      <c r="BA1174" s="2" t="str">
        <f>IF(""&amp;$F1174&lt;&gt;"4","",IF($AY1174="YES","",IF(ROUND(SUMIFS($AE$2:$AE$4001,$L$2:$L$4001,$L1174,$F$2:$F$4001,"4")-SUMIFS('AR SALES'!$Y$2:$Y$2501,'AR SALES'!$L$2:$L$2501,$L1174,'AR SALES'!$AD$2:$AD$2501,"OFF"),2)=0,"","STALE")))</f>
        <v/>
      </c>
      <c r="BB1174" s="2" t="str">
        <f>IF(OR(""&amp;$F1174="2",""&amp;$F1174="4",""&amp;$F1174="G",""&amp;$F1174="H"),IF($AY1174="YES","",IF($AB1174&lt;&gt;0,"",IF(COUNTIFS('AR SALES'!$L$2:$L$2501,$L1174,'AR SALES'!$AD$2:$AD$2501,IF(""&amp;$F1174="4","OFF","ON"),'AR SALES'!$AF$2:$AF$2501,"Y")&gt;0,"","NO EXEMPTION"))),"")</f>
        <v/>
      </c>
    </row>
    <row r="1175" spans="46:54" x14ac:dyDescent="0.25">
      <c r="AT1175" s="2" t="str">
        <f>IF($L1175="","",IFERROR(INDEX('AR SALES'!$H$2:$H$2501,MATCH(""&amp;$L1175,'AR SALES'!$AE$2:$AE$2501,0)),""))</f>
        <v/>
      </c>
      <c r="AU1175" s="2" t="str">
        <f t="shared" si="72"/>
        <v/>
      </c>
      <c r="AV1175" s="2" t="str">
        <f t="shared" si="73"/>
        <v/>
      </c>
      <c r="AW1175" s="2" t="str">
        <f t="shared" si="74"/>
        <v/>
      </c>
      <c r="AX1175" s="2" t="str">
        <f t="shared" si="75"/>
        <v/>
      </c>
      <c r="AY1175" s="2" t="str">
        <f>IF($AV1175="","",IF(AND($Z1175=0,COUNTIF('AR SALES'!$L$2:$L$2501,$L1175)=0),"YES",""))</f>
        <v/>
      </c>
      <c r="AZ1175" s="2" t="str">
        <f>IF($AV1175="","",IF(COUNTIF(LISTS!$C$2:$C$250,$AU1175)=0,"NEW",""))</f>
        <v/>
      </c>
      <c r="BA1175" s="2" t="str">
        <f>IF(""&amp;$F1175&lt;&gt;"4","",IF($AY1175="YES","",IF(ROUND(SUMIFS($AE$2:$AE$4001,$L$2:$L$4001,$L1175,$F$2:$F$4001,"4")-SUMIFS('AR SALES'!$Y$2:$Y$2501,'AR SALES'!$L$2:$L$2501,$L1175,'AR SALES'!$AD$2:$AD$2501,"OFF"),2)=0,"","STALE")))</f>
        <v/>
      </c>
      <c r="BB1175" s="2" t="str">
        <f>IF(OR(""&amp;$F1175="2",""&amp;$F1175="4",""&amp;$F1175="G",""&amp;$F1175="H"),IF($AY1175="YES","",IF($AB1175&lt;&gt;0,"",IF(COUNTIFS('AR SALES'!$L$2:$L$2501,$L1175,'AR SALES'!$AD$2:$AD$2501,IF(""&amp;$F1175="4","OFF","ON"),'AR SALES'!$AF$2:$AF$2501,"Y")&gt;0,"","NO EXEMPTION"))),"")</f>
        <v/>
      </c>
    </row>
    <row r="1176" spans="46:54" x14ac:dyDescent="0.25">
      <c r="AT1176" s="2" t="str">
        <f>IF($L1176="","",IFERROR(INDEX('AR SALES'!$H$2:$H$2501,MATCH(""&amp;$L1176,'AR SALES'!$AE$2:$AE$2501,0)),""))</f>
        <v/>
      </c>
      <c r="AU1176" s="2" t="str">
        <f t="shared" si="72"/>
        <v/>
      </c>
      <c r="AV1176" s="2" t="str">
        <f t="shared" si="73"/>
        <v/>
      </c>
      <c r="AW1176" s="2" t="str">
        <f t="shared" si="74"/>
        <v/>
      </c>
      <c r="AX1176" s="2" t="str">
        <f t="shared" si="75"/>
        <v/>
      </c>
      <c r="AY1176" s="2" t="str">
        <f>IF($AV1176="","",IF(AND($Z1176=0,COUNTIF('AR SALES'!$L$2:$L$2501,$L1176)=0),"YES",""))</f>
        <v/>
      </c>
      <c r="AZ1176" s="2" t="str">
        <f>IF($AV1176="","",IF(COUNTIF(LISTS!$C$2:$C$250,$AU1176)=0,"NEW",""))</f>
        <v/>
      </c>
      <c r="BA1176" s="2" t="str">
        <f>IF(""&amp;$F1176&lt;&gt;"4","",IF($AY1176="YES","",IF(ROUND(SUMIFS($AE$2:$AE$4001,$L$2:$L$4001,$L1176,$F$2:$F$4001,"4")-SUMIFS('AR SALES'!$Y$2:$Y$2501,'AR SALES'!$L$2:$L$2501,$L1176,'AR SALES'!$AD$2:$AD$2501,"OFF"),2)=0,"","STALE")))</f>
        <v/>
      </c>
      <c r="BB1176" s="2" t="str">
        <f>IF(OR(""&amp;$F1176="2",""&amp;$F1176="4",""&amp;$F1176="G",""&amp;$F1176="H"),IF($AY1176="YES","",IF($AB1176&lt;&gt;0,"",IF(COUNTIFS('AR SALES'!$L$2:$L$2501,$L1176,'AR SALES'!$AD$2:$AD$2501,IF(""&amp;$F1176="4","OFF","ON"),'AR SALES'!$AF$2:$AF$2501,"Y")&gt;0,"","NO EXEMPTION"))),"")</f>
        <v/>
      </c>
    </row>
    <row r="1177" spans="46:54" x14ac:dyDescent="0.25">
      <c r="AT1177" s="2" t="str">
        <f>IF($L1177="","",IFERROR(INDEX('AR SALES'!$H$2:$H$2501,MATCH(""&amp;$L1177,'AR SALES'!$AE$2:$AE$2501,0)),""))</f>
        <v/>
      </c>
      <c r="AU1177" s="2" t="str">
        <f t="shared" si="72"/>
        <v/>
      </c>
      <c r="AV1177" s="2" t="str">
        <f t="shared" si="73"/>
        <v/>
      </c>
      <c r="AW1177" s="2" t="str">
        <f t="shared" si="74"/>
        <v/>
      </c>
      <c r="AX1177" s="2" t="str">
        <f t="shared" si="75"/>
        <v/>
      </c>
      <c r="AY1177" s="2" t="str">
        <f>IF($AV1177="","",IF(AND($Z1177=0,COUNTIF('AR SALES'!$L$2:$L$2501,$L1177)=0),"YES",""))</f>
        <v/>
      </c>
      <c r="AZ1177" s="2" t="str">
        <f>IF($AV1177="","",IF(COUNTIF(LISTS!$C$2:$C$250,$AU1177)=0,"NEW",""))</f>
        <v/>
      </c>
      <c r="BA1177" s="2" t="str">
        <f>IF(""&amp;$F1177&lt;&gt;"4","",IF($AY1177="YES","",IF(ROUND(SUMIFS($AE$2:$AE$4001,$L$2:$L$4001,$L1177,$F$2:$F$4001,"4")-SUMIFS('AR SALES'!$Y$2:$Y$2501,'AR SALES'!$L$2:$L$2501,$L1177,'AR SALES'!$AD$2:$AD$2501,"OFF"),2)=0,"","STALE")))</f>
        <v/>
      </c>
      <c r="BB1177" s="2" t="str">
        <f>IF(OR(""&amp;$F1177="2",""&amp;$F1177="4",""&amp;$F1177="G",""&amp;$F1177="H"),IF($AY1177="YES","",IF($AB1177&lt;&gt;0,"",IF(COUNTIFS('AR SALES'!$L$2:$L$2501,$L1177,'AR SALES'!$AD$2:$AD$2501,IF(""&amp;$F1177="4","OFF","ON"),'AR SALES'!$AF$2:$AF$2501,"Y")&gt;0,"","NO EXEMPTION"))),"")</f>
        <v/>
      </c>
    </row>
    <row r="1178" spans="46:54" x14ac:dyDescent="0.25">
      <c r="AT1178" s="2" t="str">
        <f>IF($L1178="","",IFERROR(INDEX('AR SALES'!$H$2:$H$2501,MATCH(""&amp;$L1178,'AR SALES'!$AE$2:$AE$2501,0)),""))</f>
        <v/>
      </c>
      <c r="AU1178" s="2" t="str">
        <f t="shared" si="72"/>
        <v/>
      </c>
      <c r="AV1178" s="2" t="str">
        <f t="shared" si="73"/>
        <v/>
      </c>
      <c r="AW1178" s="2" t="str">
        <f t="shared" si="74"/>
        <v/>
      </c>
      <c r="AX1178" s="2" t="str">
        <f t="shared" si="75"/>
        <v/>
      </c>
      <c r="AY1178" s="2" t="str">
        <f>IF($AV1178="","",IF(AND($Z1178=0,COUNTIF('AR SALES'!$L$2:$L$2501,$L1178)=0),"YES",""))</f>
        <v/>
      </c>
      <c r="AZ1178" s="2" t="str">
        <f>IF($AV1178="","",IF(COUNTIF(LISTS!$C$2:$C$250,$AU1178)=0,"NEW",""))</f>
        <v/>
      </c>
      <c r="BA1178" s="2" t="str">
        <f>IF(""&amp;$F1178&lt;&gt;"4","",IF($AY1178="YES","",IF(ROUND(SUMIFS($AE$2:$AE$4001,$L$2:$L$4001,$L1178,$F$2:$F$4001,"4")-SUMIFS('AR SALES'!$Y$2:$Y$2501,'AR SALES'!$L$2:$L$2501,$L1178,'AR SALES'!$AD$2:$AD$2501,"OFF"),2)=0,"","STALE")))</f>
        <v/>
      </c>
      <c r="BB1178" s="2" t="str">
        <f>IF(OR(""&amp;$F1178="2",""&amp;$F1178="4",""&amp;$F1178="G",""&amp;$F1178="H"),IF($AY1178="YES","",IF($AB1178&lt;&gt;0,"",IF(COUNTIFS('AR SALES'!$L$2:$L$2501,$L1178,'AR SALES'!$AD$2:$AD$2501,IF(""&amp;$F1178="4","OFF","ON"),'AR SALES'!$AF$2:$AF$2501,"Y")&gt;0,"","NO EXEMPTION"))),"")</f>
        <v/>
      </c>
    </row>
    <row r="1179" spans="46:54" x14ac:dyDescent="0.25">
      <c r="AT1179" s="2" t="str">
        <f>IF($L1179="","",IFERROR(INDEX('AR SALES'!$H$2:$H$2501,MATCH(""&amp;$L1179,'AR SALES'!$AE$2:$AE$2501,0)),""))</f>
        <v/>
      </c>
      <c r="AU1179" s="2" t="str">
        <f t="shared" si="72"/>
        <v/>
      </c>
      <c r="AV1179" s="2" t="str">
        <f t="shared" si="73"/>
        <v/>
      </c>
      <c r="AW1179" s="2" t="str">
        <f t="shared" si="74"/>
        <v/>
      </c>
      <c r="AX1179" s="2" t="str">
        <f t="shared" si="75"/>
        <v/>
      </c>
      <c r="AY1179" s="2" t="str">
        <f>IF($AV1179="","",IF(AND($Z1179=0,COUNTIF('AR SALES'!$L$2:$L$2501,$L1179)=0),"YES",""))</f>
        <v/>
      </c>
      <c r="AZ1179" s="2" t="str">
        <f>IF($AV1179="","",IF(COUNTIF(LISTS!$C$2:$C$250,$AU1179)=0,"NEW",""))</f>
        <v/>
      </c>
      <c r="BA1179" s="2" t="str">
        <f>IF(""&amp;$F1179&lt;&gt;"4","",IF($AY1179="YES","",IF(ROUND(SUMIFS($AE$2:$AE$4001,$L$2:$L$4001,$L1179,$F$2:$F$4001,"4")-SUMIFS('AR SALES'!$Y$2:$Y$2501,'AR SALES'!$L$2:$L$2501,$L1179,'AR SALES'!$AD$2:$AD$2501,"OFF"),2)=0,"","STALE")))</f>
        <v/>
      </c>
      <c r="BB1179" s="2" t="str">
        <f>IF(OR(""&amp;$F1179="2",""&amp;$F1179="4",""&amp;$F1179="G",""&amp;$F1179="H"),IF($AY1179="YES","",IF($AB1179&lt;&gt;0,"",IF(COUNTIFS('AR SALES'!$L$2:$L$2501,$L1179,'AR SALES'!$AD$2:$AD$2501,IF(""&amp;$F1179="4","OFF","ON"),'AR SALES'!$AF$2:$AF$2501,"Y")&gt;0,"","NO EXEMPTION"))),"")</f>
        <v/>
      </c>
    </row>
    <row r="1180" spans="46:54" x14ac:dyDescent="0.25">
      <c r="AT1180" s="2" t="str">
        <f>IF($L1180="","",IFERROR(INDEX('AR SALES'!$H$2:$H$2501,MATCH(""&amp;$L1180,'AR SALES'!$AE$2:$AE$2501,0)),""))</f>
        <v/>
      </c>
      <c r="AU1180" s="2" t="str">
        <f t="shared" si="72"/>
        <v/>
      </c>
      <c r="AV1180" s="2" t="str">
        <f t="shared" si="73"/>
        <v/>
      </c>
      <c r="AW1180" s="2" t="str">
        <f t="shared" si="74"/>
        <v/>
      </c>
      <c r="AX1180" s="2" t="str">
        <f t="shared" si="75"/>
        <v/>
      </c>
      <c r="AY1180" s="2" t="str">
        <f>IF($AV1180="","",IF(AND($Z1180=0,COUNTIF('AR SALES'!$L$2:$L$2501,$L1180)=0),"YES",""))</f>
        <v/>
      </c>
      <c r="AZ1180" s="2" t="str">
        <f>IF($AV1180="","",IF(COUNTIF(LISTS!$C$2:$C$250,$AU1180)=0,"NEW",""))</f>
        <v/>
      </c>
      <c r="BA1180" s="2" t="str">
        <f>IF(""&amp;$F1180&lt;&gt;"4","",IF($AY1180="YES","",IF(ROUND(SUMIFS($AE$2:$AE$4001,$L$2:$L$4001,$L1180,$F$2:$F$4001,"4")-SUMIFS('AR SALES'!$Y$2:$Y$2501,'AR SALES'!$L$2:$L$2501,$L1180,'AR SALES'!$AD$2:$AD$2501,"OFF"),2)=0,"","STALE")))</f>
        <v/>
      </c>
      <c r="BB1180" s="2" t="str">
        <f>IF(OR(""&amp;$F1180="2",""&amp;$F1180="4",""&amp;$F1180="G",""&amp;$F1180="H"),IF($AY1180="YES","",IF($AB1180&lt;&gt;0,"",IF(COUNTIFS('AR SALES'!$L$2:$L$2501,$L1180,'AR SALES'!$AD$2:$AD$2501,IF(""&amp;$F1180="4","OFF","ON"),'AR SALES'!$AF$2:$AF$2501,"Y")&gt;0,"","NO EXEMPTION"))),"")</f>
        <v/>
      </c>
    </row>
    <row r="1181" spans="46:54" x14ac:dyDescent="0.25">
      <c r="AT1181" s="2" t="str">
        <f>IF($L1181="","",IFERROR(INDEX('AR SALES'!$H$2:$H$2501,MATCH(""&amp;$L1181,'AR SALES'!$AE$2:$AE$2501,0)),""))</f>
        <v/>
      </c>
      <c r="AU1181" s="2" t="str">
        <f t="shared" si="72"/>
        <v/>
      </c>
      <c r="AV1181" s="2" t="str">
        <f t="shared" si="73"/>
        <v/>
      </c>
      <c r="AW1181" s="2" t="str">
        <f t="shared" si="74"/>
        <v/>
      </c>
      <c r="AX1181" s="2" t="str">
        <f t="shared" si="75"/>
        <v/>
      </c>
      <c r="AY1181" s="2" t="str">
        <f>IF($AV1181="","",IF(AND($Z1181=0,COUNTIF('AR SALES'!$L$2:$L$2501,$L1181)=0),"YES",""))</f>
        <v/>
      </c>
      <c r="AZ1181" s="2" t="str">
        <f>IF($AV1181="","",IF(COUNTIF(LISTS!$C$2:$C$250,$AU1181)=0,"NEW",""))</f>
        <v/>
      </c>
      <c r="BA1181" s="2" t="str">
        <f>IF(""&amp;$F1181&lt;&gt;"4","",IF($AY1181="YES","",IF(ROUND(SUMIFS($AE$2:$AE$4001,$L$2:$L$4001,$L1181,$F$2:$F$4001,"4")-SUMIFS('AR SALES'!$Y$2:$Y$2501,'AR SALES'!$L$2:$L$2501,$L1181,'AR SALES'!$AD$2:$AD$2501,"OFF"),2)=0,"","STALE")))</f>
        <v/>
      </c>
      <c r="BB1181" s="2" t="str">
        <f>IF(OR(""&amp;$F1181="2",""&amp;$F1181="4",""&amp;$F1181="G",""&amp;$F1181="H"),IF($AY1181="YES","",IF($AB1181&lt;&gt;0,"",IF(COUNTIFS('AR SALES'!$L$2:$L$2501,$L1181,'AR SALES'!$AD$2:$AD$2501,IF(""&amp;$F1181="4","OFF","ON"),'AR SALES'!$AF$2:$AF$2501,"Y")&gt;0,"","NO EXEMPTION"))),"")</f>
        <v/>
      </c>
    </row>
    <row r="1182" spans="46:54" x14ac:dyDescent="0.25">
      <c r="AT1182" s="2" t="str">
        <f>IF($L1182="","",IFERROR(INDEX('AR SALES'!$H$2:$H$2501,MATCH(""&amp;$L1182,'AR SALES'!$AE$2:$AE$2501,0)),""))</f>
        <v/>
      </c>
      <c r="AU1182" s="2" t="str">
        <f t="shared" si="72"/>
        <v/>
      </c>
      <c r="AV1182" s="2" t="str">
        <f t="shared" si="73"/>
        <v/>
      </c>
      <c r="AW1182" s="2" t="str">
        <f t="shared" si="74"/>
        <v/>
      </c>
      <c r="AX1182" s="2" t="str">
        <f t="shared" si="75"/>
        <v/>
      </c>
      <c r="AY1182" s="2" t="str">
        <f>IF($AV1182="","",IF(AND($Z1182=0,COUNTIF('AR SALES'!$L$2:$L$2501,$L1182)=0),"YES",""))</f>
        <v/>
      </c>
      <c r="AZ1182" s="2" t="str">
        <f>IF($AV1182="","",IF(COUNTIF(LISTS!$C$2:$C$250,$AU1182)=0,"NEW",""))</f>
        <v/>
      </c>
      <c r="BA1182" s="2" t="str">
        <f>IF(""&amp;$F1182&lt;&gt;"4","",IF($AY1182="YES","",IF(ROUND(SUMIFS($AE$2:$AE$4001,$L$2:$L$4001,$L1182,$F$2:$F$4001,"4")-SUMIFS('AR SALES'!$Y$2:$Y$2501,'AR SALES'!$L$2:$L$2501,$L1182,'AR SALES'!$AD$2:$AD$2501,"OFF"),2)=0,"","STALE")))</f>
        <v/>
      </c>
      <c r="BB1182" s="2" t="str">
        <f>IF(OR(""&amp;$F1182="2",""&amp;$F1182="4",""&amp;$F1182="G",""&amp;$F1182="H"),IF($AY1182="YES","",IF($AB1182&lt;&gt;0,"",IF(COUNTIFS('AR SALES'!$L$2:$L$2501,$L1182,'AR SALES'!$AD$2:$AD$2501,IF(""&amp;$F1182="4","OFF","ON"),'AR SALES'!$AF$2:$AF$2501,"Y")&gt;0,"","NO EXEMPTION"))),"")</f>
        <v/>
      </c>
    </row>
    <row r="1183" spans="46:54" x14ac:dyDescent="0.25">
      <c r="AT1183" s="2" t="str">
        <f>IF($L1183="","",IFERROR(INDEX('AR SALES'!$H$2:$H$2501,MATCH(""&amp;$L1183,'AR SALES'!$AE$2:$AE$2501,0)),""))</f>
        <v/>
      </c>
      <c r="AU1183" s="2" t="str">
        <f t="shared" si="72"/>
        <v/>
      </c>
      <c r="AV1183" s="2" t="str">
        <f t="shared" si="73"/>
        <v/>
      </c>
      <c r="AW1183" s="2" t="str">
        <f t="shared" si="74"/>
        <v/>
      </c>
      <c r="AX1183" s="2" t="str">
        <f t="shared" si="75"/>
        <v/>
      </c>
      <c r="AY1183" s="2" t="str">
        <f>IF($AV1183="","",IF(AND($Z1183=0,COUNTIF('AR SALES'!$L$2:$L$2501,$L1183)=0),"YES",""))</f>
        <v/>
      </c>
      <c r="AZ1183" s="2" t="str">
        <f>IF($AV1183="","",IF(COUNTIF(LISTS!$C$2:$C$250,$AU1183)=0,"NEW",""))</f>
        <v/>
      </c>
      <c r="BA1183" s="2" t="str">
        <f>IF(""&amp;$F1183&lt;&gt;"4","",IF($AY1183="YES","",IF(ROUND(SUMIFS($AE$2:$AE$4001,$L$2:$L$4001,$L1183,$F$2:$F$4001,"4")-SUMIFS('AR SALES'!$Y$2:$Y$2501,'AR SALES'!$L$2:$L$2501,$L1183,'AR SALES'!$AD$2:$AD$2501,"OFF"),2)=0,"","STALE")))</f>
        <v/>
      </c>
      <c r="BB1183" s="2" t="str">
        <f>IF(OR(""&amp;$F1183="2",""&amp;$F1183="4",""&amp;$F1183="G",""&amp;$F1183="H"),IF($AY1183="YES","",IF($AB1183&lt;&gt;0,"",IF(COUNTIFS('AR SALES'!$L$2:$L$2501,$L1183,'AR SALES'!$AD$2:$AD$2501,IF(""&amp;$F1183="4","OFF","ON"),'AR SALES'!$AF$2:$AF$2501,"Y")&gt;0,"","NO EXEMPTION"))),"")</f>
        <v/>
      </c>
    </row>
    <row r="1184" spans="46:54" x14ac:dyDescent="0.25">
      <c r="AT1184" s="2" t="str">
        <f>IF($L1184="","",IFERROR(INDEX('AR SALES'!$H$2:$H$2501,MATCH(""&amp;$L1184,'AR SALES'!$AE$2:$AE$2501,0)),""))</f>
        <v/>
      </c>
      <c r="AU1184" s="2" t="str">
        <f t="shared" si="72"/>
        <v/>
      </c>
      <c r="AV1184" s="2" t="str">
        <f t="shared" si="73"/>
        <v/>
      </c>
      <c r="AW1184" s="2" t="str">
        <f t="shared" si="74"/>
        <v/>
      </c>
      <c r="AX1184" s="2" t="str">
        <f t="shared" si="75"/>
        <v/>
      </c>
      <c r="AY1184" s="2" t="str">
        <f>IF($AV1184="","",IF(AND($Z1184=0,COUNTIF('AR SALES'!$L$2:$L$2501,$L1184)=0),"YES",""))</f>
        <v/>
      </c>
      <c r="AZ1184" s="2" t="str">
        <f>IF($AV1184="","",IF(COUNTIF(LISTS!$C$2:$C$250,$AU1184)=0,"NEW",""))</f>
        <v/>
      </c>
      <c r="BA1184" s="2" t="str">
        <f>IF(""&amp;$F1184&lt;&gt;"4","",IF($AY1184="YES","",IF(ROUND(SUMIFS($AE$2:$AE$4001,$L$2:$L$4001,$L1184,$F$2:$F$4001,"4")-SUMIFS('AR SALES'!$Y$2:$Y$2501,'AR SALES'!$L$2:$L$2501,$L1184,'AR SALES'!$AD$2:$AD$2501,"OFF"),2)=0,"","STALE")))</f>
        <v/>
      </c>
      <c r="BB1184" s="2" t="str">
        <f>IF(OR(""&amp;$F1184="2",""&amp;$F1184="4",""&amp;$F1184="G",""&amp;$F1184="H"),IF($AY1184="YES","",IF($AB1184&lt;&gt;0,"",IF(COUNTIFS('AR SALES'!$L$2:$L$2501,$L1184,'AR SALES'!$AD$2:$AD$2501,IF(""&amp;$F1184="4","OFF","ON"),'AR SALES'!$AF$2:$AF$2501,"Y")&gt;0,"","NO EXEMPTION"))),"")</f>
        <v/>
      </c>
    </row>
    <row r="1185" spans="46:54" x14ac:dyDescent="0.25">
      <c r="AT1185" s="2" t="str">
        <f>IF($L1185="","",IFERROR(INDEX('AR SALES'!$H$2:$H$2501,MATCH(""&amp;$L1185,'AR SALES'!$AE$2:$AE$2501,0)),""))</f>
        <v/>
      </c>
      <c r="AU1185" s="2" t="str">
        <f t="shared" si="72"/>
        <v/>
      </c>
      <c r="AV1185" s="2" t="str">
        <f t="shared" si="73"/>
        <v/>
      </c>
      <c r="AW1185" s="2" t="str">
        <f t="shared" si="74"/>
        <v/>
      </c>
      <c r="AX1185" s="2" t="str">
        <f t="shared" si="75"/>
        <v/>
      </c>
      <c r="AY1185" s="2" t="str">
        <f>IF($AV1185="","",IF(AND($Z1185=0,COUNTIF('AR SALES'!$L$2:$L$2501,$L1185)=0),"YES",""))</f>
        <v/>
      </c>
      <c r="AZ1185" s="2" t="str">
        <f>IF($AV1185="","",IF(COUNTIF(LISTS!$C$2:$C$250,$AU1185)=0,"NEW",""))</f>
        <v/>
      </c>
      <c r="BA1185" s="2" t="str">
        <f>IF(""&amp;$F1185&lt;&gt;"4","",IF($AY1185="YES","",IF(ROUND(SUMIFS($AE$2:$AE$4001,$L$2:$L$4001,$L1185,$F$2:$F$4001,"4")-SUMIFS('AR SALES'!$Y$2:$Y$2501,'AR SALES'!$L$2:$L$2501,$L1185,'AR SALES'!$AD$2:$AD$2501,"OFF"),2)=0,"","STALE")))</f>
        <v/>
      </c>
      <c r="BB1185" s="2" t="str">
        <f>IF(OR(""&amp;$F1185="2",""&amp;$F1185="4",""&amp;$F1185="G",""&amp;$F1185="H"),IF($AY1185="YES","",IF($AB1185&lt;&gt;0,"",IF(COUNTIFS('AR SALES'!$L$2:$L$2501,$L1185,'AR SALES'!$AD$2:$AD$2501,IF(""&amp;$F1185="4","OFF","ON"),'AR SALES'!$AF$2:$AF$2501,"Y")&gt;0,"","NO EXEMPTION"))),"")</f>
        <v/>
      </c>
    </row>
    <row r="1186" spans="46:54" x14ac:dyDescent="0.25">
      <c r="AT1186" s="2" t="str">
        <f>IF($L1186="","",IFERROR(INDEX('AR SALES'!$H$2:$H$2501,MATCH(""&amp;$L1186,'AR SALES'!$AE$2:$AE$2501,0)),""))</f>
        <v/>
      </c>
      <c r="AU1186" s="2" t="str">
        <f t="shared" si="72"/>
        <v/>
      </c>
      <c r="AV1186" s="2" t="str">
        <f t="shared" si="73"/>
        <v/>
      </c>
      <c r="AW1186" s="2" t="str">
        <f t="shared" si="74"/>
        <v/>
      </c>
      <c r="AX1186" s="2" t="str">
        <f t="shared" si="75"/>
        <v/>
      </c>
      <c r="AY1186" s="2" t="str">
        <f>IF($AV1186="","",IF(AND($Z1186=0,COUNTIF('AR SALES'!$L$2:$L$2501,$L1186)=0),"YES",""))</f>
        <v/>
      </c>
      <c r="AZ1186" s="2" t="str">
        <f>IF($AV1186="","",IF(COUNTIF(LISTS!$C$2:$C$250,$AU1186)=0,"NEW",""))</f>
        <v/>
      </c>
      <c r="BA1186" s="2" t="str">
        <f>IF(""&amp;$F1186&lt;&gt;"4","",IF($AY1186="YES","",IF(ROUND(SUMIFS($AE$2:$AE$4001,$L$2:$L$4001,$L1186,$F$2:$F$4001,"4")-SUMIFS('AR SALES'!$Y$2:$Y$2501,'AR SALES'!$L$2:$L$2501,$L1186,'AR SALES'!$AD$2:$AD$2501,"OFF"),2)=0,"","STALE")))</f>
        <v/>
      </c>
      <c r="BB1186" s="2" t="str">
        <f>IF(OR(""&amp;$F1186="2",""&amp;$F1186="4",""&amp;$F1186="G",""&amp;$F1186="H"),IF($AY1186="YES","",IF($AB1186&lt;&gt;0,"",IF(COUNTIFS('AR SALES'!$L$2:$L$2501,$L1186,'AR SALES'!$AD$2:$AD$2501,IF(""&amp;$F1186="4","OFF","ON"),'AR SALES'!$AF$2:$AF$2501,"Y")&gt;0,"","NO EXEMPTION"))),"")</f>
        <v/>
      </c>
    </row>
    <row r="1187" spans="46:54" x14ac:dyDescent="0.25">
      <c r="AT1187" s="2" t="str">
        <f>IF($L1187="","",IFERROR(INDEX('AR SALES'!$H$2:$H$2501,MATCH(""&amp;$L1187,'AR SALES'!$AE$2:$AE$2501,0)),""))</f>
        <v/>
      </c>
      <c r="AU1187" s="2" t="str">
        <f t="shared" si="72"/>
        <v/>
      </c>
      <c r="AV1187" s="2" t="str">
        <f t="shared" si="73"/>
        <v/>
      </c>
      <c r="AW1187" s="2" t="str">
        <f t="shared" si="74"/>
        <v/>
      </c>
      <c r="AX1187" s="2" t="str">
        <f t="shared" si="75"/>
        <v/>
      </c>
      <c r="AY1187" s="2" t="str">
        <f>IF($AV1187="","",IF(AND($Z1187=0,COUNTIF('AR SALES'!$L$2:$L$2501,$L1187)=0),"YES",""))</f>
        <v/>
      </c>
      <c r="AZ1187" s="2" t="str">
        <f>IF($AV1187="","",IF(COUNTIF(LISTS!$C$2:$C$250,$AU1187)=0,"NEW",""))</f>
        <v/>
      </c>
      <c r="BA1187" s="2" t="str">
        <f>IF(""&amp;$F1187&lt;&gt;"4","",IF($AY1187="YES","",IF(ROUND(SUMIFS($AE$2:$AE$4001,$L$2:$L$4001,$L1187,$F$2:$F$4001,"4")-SUMIFS('AR SALES'!$Y$2:$Y$2501,'AR SALES'!$L$2:$L$2501,$L1187,'AR SALES'!$AD$2:$AD$2501,"OFF"),2)=0,"","STALE")))</f>
        <v/>
      </c>
      <c r="BB1187" s="2" t="str">
        <f>IF(OR(""&amp;$F1187="2",""&amp;$F1187="4",""&amp;$F1187="G",""&amp;$F1187="H"),IF($AY1187="YES","",IF($AB1187&lt;&gt;0,"",IF(COUNTIFS('AR SALES'!$L$2:$L$2501,$L1187,'AR SALES'!$AD$2:$AD$2501,IF(""&amp;$F1187="4","OFF","ON"),'AR SALES'!$AF$2:$AF$2501,"Y")&gt;0,"","NO EXEMPTION"))),"")</f>
        <v/>
      </c>
    </row>
    <row r="1188" spans="46:54" x14ac:dyDescent="0.25">
      <c r="AT1188" s="2" t="str">
        <f>IF($L1188="","",IFERROR(INDEX('AR SALES'!$H$2:$H$2501,MATCH(""&amp;$L1188,'AR SALES'!$AE$2:$AE$2501,0)),""))</f>
        <v/>
      </c>
      <c r="AU1188" s="2" t="str">
        <f t="shared" si="72"/>
        <v/>
      </c>
      <c r="AV1188" s="2" t="str">
        <f t="shared" si="73"/>
        <v/>
      </c>
      <c r="AW1188" s="2" t="str">
        <f t="shared" si="74"/>
        <v/>
      </c>
      <c r="AX1188" s="2" t="str">
        <f t="shared" si="75"/>
        <v/>
      </c>
      <c r="AY1188" s="2" t="str">
        <f>IF($AV1188="","",IF(AND($Z1188=0,COUNTIF('AR SALES'!$L$2:$L$2501,$L1188)=0),"YES",""))</f>
        <v/>
      </c>
      <c r="AZ1188" s="2" t="str">
        <f>IF($AV1188="","",IF(COUNTIF(LISTS!$C$2:$C$250,$AU1188)=0,"NEW",""))</f>
        <v/>
      </c>
      <c r="BA1188" s="2" t="str">
        <f>IF(""&amp;$F1188&lt;&gt;"4","",IF($AY1188="YES","",IF(ROUND(SUMIFS($AE$2:$AE$4001,$L$2:$L$4001,$L1188,$F$2:$F$4001,"4")-SUMIFS('AR SALES'!$Y$2:$Y$2501,'AR SALES'!$L$2:$L$2501,$L1188,'AR SALES'!$AD$2:$AD$2501,"OFF"),2)=0,"","STALE")))</f>
        <v/>
      </c>
      <c r="BB1188" s="2" t="str">
        <f>IF(OR(""&amp;$F1188="2",""&amp;$F1188="4",""&amp;$F1188="G",""&amp;$F1188="H"),IF($AY1188="YES","",IF($AB1188&lt;&gt;0,"",IF(COUNTIFS('AR SALES'!$L$2:$L$2501,$L1188,'AR SALES'!$AD$2:$AD$2501,IF(""&amp;$F1188="4","OFF","ON"),'AR SALES'!$AF$2:$AF$2501,"Y")&gt;0,"","NO EXEMPTION"))),"")</f>
        <v/>
      </c>
    </row>
    <row r="1189" spans="46:54" x14ac:dyDescent="0.25">
      <c r="AT1189" s="2" t="str">
        <f>IF($L1189="","",IFERROR(INDEX('AR SALES'!$H$2:$H$2501,MATCH(""&amp;$L1189,'AR SALES'!$AE$2:$AE$2501,0)),""))</f>
        <v/>
      </c>
      <c r="AU1189" s="2" t="str">
        <f t="shared" si="72"/>
        <v/>
      </c>
      <c r="AV1189" s="2" t="str">
        <f t="shared" si="73"/>
        <v/>
      </c>
      <c r="AW1189" s="2" t="str">
        <f t="shared" si="74"/>
        <v/>
      </c>
      <c r="AX1189" s="2" t="str">
        <f t="shared" si="75"/>
        <v/>
      </c>
      <c r="AY1189" s="2" t="str">
        <f>IF($AV1189="","",IF(AND($Z1189=0,COUNTIF('AR SALES'!$L$2:$L$2501,$L1189)=0),"YES",""))</f>
        <v/>
      </c>
      <c r="AZ1189" s="2" t="str">
        <f>IF($AV1189="","",IF(COUNTIF(LISTS!$C$2:$C$250,$AU1189)=0,"NEW",""))</f>
        <v/>
      </c>
      <c r="BA1189" s="2" t="str">
        <f>IF(""&amp;$F1189&lt;&gt;"4","",IF($AY1189="YES","",IF(ROUND(SUMIFS($AE$2:$AE$4001,$L$2:$L$4001,$L1189,$F$2:$F$4001,"4")-SUMIFS('AR SALES'!$Y$2:$Y$2501,'AR SALES'!$L$2:$L$2501,$L1189,'AR SALES'!$AD$2:$AD$2501,"OFF"),2)=0,"","STALE")))</f>
        <v/>
      </c>
      <c r="BB1189" s="2" t="str">
        <f>IF(OR(""&amp;$F1189="2",""&amp;$F1189="4",""&amp;$F1189="G",""&amp;$F1189="H"),IF($AY1189="YES","",IF($AB1189&lt;&gt;0,"",IF(COUNTIFS('AR SALES'!$L$2:$L$2501,$L1189,'AR SALES'!$AD$2:$AD$2501,IF(""&amp;$F1189="4","OFF","ON"),'AR SALES'!$AF$2:$AF$2501,"Y")&gt;0,"","NO EXEMPTION"))),"")</f>
        <v/>
      </c>
    </row>
    <row r="1190" spans="46:54" x14ac:dyDescent="0.25">
      <c r="AT1190" s="2" t="str">
        <f>IF($L1190="","",IFERROR(INDEX('AR SALES'!$H$2:$H$2501,MATCH(""&amp;$L1190,'AR SALES'!$AE$2:$AE$2501,0)),""))</f>
        <v/>
      </c>
      <c r="AU1190" s="2" t="str">
        <f t="shared" si="72"/>
        <v/>
      </c>
      <c r="AV1190" s="2" t="str">
        <f t="shared" si="73"/>
        <v/>
      </c>
      <c r="AW1190" s="2" t="str">
        <f t="shared" si="74"/>
        <v/>
      </c>
      <c r="AX1190" s="2" t="str">
        <f t="shared" si="75"/>
        <v/>
      </c>
      <c r="AY1190" s="2" t="str">
        <f>IF($AV1190="","",IF(AND($Z1190=0,COUNTIF('AR SALES'!$L$2:$L$2501,$L1190)=0),"YES",""))</f>
        <v/>
      </c>
      <c r="AZ1190" s="2" t="str">
        <f>IF($AV1190="","",IF(COUNTIF(LISTS!$C$2:$C$250,$AU1190)=0,"NEW",""))</f>
        <v/>
      </c>
      <c r="BA1190" s="2" t="str">
        <f>IF(""&amp;$F1190&lt;&gt;"4","",IF($AY1190="YES","",IF(ROUND(SUMIFS($AE$2:$AE$4001,$L$2:$L$4001,$L1190,$F$2:$F$4001,"4")-SUMIFS('AR SALES'!$Y$2:$Y$2501,'AR SALES'!$L$2:$L$2501,$L1190,'AR SALES'!$AD$2:$AD$2501,"OFF"),2)=0,"","STALE")))</f>
        <v/>
      </c>
      <c r="BB1190" s="2" t="str">
        <f>IF(OR(""&amp;$F1190="2",""&amp;$F1190="4",""&amp;$F1190="G",""&amp;$F1190="H"),IF($AY1190="YES","",IF($AB1190&lt;&gt;0,"",IF(COUNTIFS('AR SALES'!$L$2:$L$2501,$L1190,'AR SALES'!$AD$2:$AD$2501,IF(""&amp;$F1190="4","OFF","ON"),'AR SALES'!$AF$2:$AF$2501,"Y")&gt;0,"","NO EXEMPTION"))),"")</f>
        <v/>
      </c>
    </row>
    <row r="1191" spans="46:54" x14ac:dyDescent="0.25">
      <c r="AT1191" s="2" t="str">
        <f>IF($L1191="","",IFERROR(INDEX('AR SALES'!$H$2:$H$2501,MATCH(""&amp;$L1191,'AR SALES'!$AE$2:$AE$2501,0)),""))</f>
        <v/>
      </c>
      <c r="AU1191" s="2" t="str">
        <f t="shared" si="72"/>
        <v/>
      </c>
      <c r="AV1191" s="2" t="str">
        <f t="shared" si="73"/>
        <v/>
      </c>
      <c r="AW1191" s="2" t="str">
        <f t="shared" si="74"/>
        <v/>
      </c>
      <c r="AX1191" s="2" t="str">
        <f t="shared" si="75"/>
        <v/>
      </c>
      <c r="AY1191" s="2" t="str">
        <f>IF($AV1191="","",IF(AND($Z1191=0,COUNTIF('AR SALES'!$L$2:$L$2501,$L1191)=0),"YES",""))</f>
        <v/>
      </c>
      <c r="AZ1191" s="2" t="str">
        <f>IF($AV1191="","",IF(COUNTIF(LISTS!$C$2:$C$250,$AU1191)=0,"NEW",""))</f>
        <v/>
      </c>
      <c r="BA1191" s="2" t="str">
        <f>IF(""&amp;$F1191&lt;&gt;"4","",IF($AY1191="YES","",IF(ROUND(SUMIFS($AE$2:$AE$4001,$L$2:$L$4001,$L1191,$F$2:$F$4001,"4")-SUMIFS('AR SALES'!$Y$2:$Y$2501,'AR SALES'!$L$2:$L$2501,$L1191,'AR SALES'!$AD$2:$AD$2501,"OFF"),2)=0,"","STALE")))</f>
        <v/>
      </c>
      <c r="BB1191" s="2" t="str">
        <f>IF(OR(""&amp;$F1191="2",""&amp;$F1191="4",""&amp;$F1191="G",""&amp;$F1191="H"),IF($AY1191="YES","",IF($AB1191&lt;&gt;0,"",IF(COUNTIFS('AR SALES'!$L$2:$L$2501,$L1191,'AR SALES'!$AD$2:$AD$2501,IF(""&amp;$F1191="4","OFF","ON"),'AR SALES'!$AF$2:$AF$2501,"Y")&gt;0,"","NO EXEMPTION"))),"")</f>
        <v/>
      </c>
    </row>
    <row r="1192" spans="46:54" x14ac:dyDescent="0.25">
      <c r="AT1192" s="2" t="str">
        <f>IF($L1192="","",IFERROR(INDEX('AR SALES'!$H$2:$H$2501,MATCH(""&amp;$L1192,'AR SALES'!$AE$2:$AE$2501,0)),""))</f>
        <v/>
      </c>
      <c r="AU1192" s="2" t="str">
        <f t="shared" si="72"/>
        <v/>
      </c>
      <c r="AV1192" s="2" t="str">
        <f t="shared" si="73"/>
        <v/>
      </c>
      <c r="AW1192" s="2" t="str">
        <f t="shared" si="74"/>
        <v/>
      </c>
      <c r="AX1192" s="2" t="str">
        <f t="shared" si="75"/>
        <v/>
      </c>
      <c r="AY1192" s="2" t="str">
        <f>IF($AV1192="","",IF(AND($Z1192=0,COUNTIF('AR SALES'!$L$2:$L$2501,$L1192)=0),"YES",""))</f>
        <v/>
      </c>
      <c r="AZ1192" s="2" t="str">
        <f>IF($AV1192="","",IF(COUNTIF(LISTS!$C$2:$C$250,$AU1192)=0,"NEW",""))</f>
        <v/>
      </c>
      <c r="BA1192" s="2" t="str">
        <f>IF(""&amp;$F1192&lt;&gt;"4","",IF($AY1192="YES","",IF(ROUND(SUMIFS($AE$2:$AE$4001,$L$2:$L$4001,$L1192,$F$2:$F$4001,"4")-SUMIFS('AR SALES'!$Y$2:$Y$2501,'AR SALES'!$L$2:$L$2501,$L1192,'AR SALES'!$AD$2:$AD$2501,"OFF"),2)=0,"","STALE")))</f>
        <v/>
      </c>
      <c r="BB1192" s="2" t="str">
        <f>IF(OR(""&amp;$F1192="2",""&amp;$F1192="4",""&amp;$F1192="G",""&amp;$F1192="H"),IF($AY1192="YES","",IF($AB1192&lt;&gt;0,"",IF(COUNTIFS('AR SALES'!$L$2:$L$2501,$L1192,'AR SALES'!$AD$2:$AD$2501,IF(""&amp;$F1192="4","OFF","ON"),'AR SALES'!$AF$2:$AF$2501,"Y")&gt;0,"","NO EXEMPTION"))),"")</f>
        <v/>
      </c>
    </row>
    <row r="1193" spans="46:54" x14ac:dyDescent="0.25">
      <c r="AT1193" s="2" t="str">
        <f>IF($L1193="","",IFERROR(INDEX('AR SALES'!$H$2:$H$2501,MATCH(""&amp;$L1193,'AR SALES'!$AE$2:$AE$2501,0)),""))</f>
        <v/>
      </c>
      <c r="AU1193" s="2" t="str">
        <f t="shared" si="72"/>
        <v/>
      </c>
      <c r="AV1193" s="2" t="str">
        <f t="shared" si="73"/>
        <v/>
      </c>
      <c r="AW1193" s="2" t="str">
        <f t="shared" si="74"/>
        <v/>
      </c>
      <c r="AX1193" s="2" t="str">
        <f t="shared" si="75"/>
        <v/>
      </c>
      <c r="AY1193" s="2" t="str">
        <f>IF($AV1193="","",IF(AND($Z1193=0,COUNTIF('AR SALES'!$L$2:$L$2501,$L1193)=0),"YES",""))</f>
        <v/>
      </c>
      <c r="AZ1193" s="2" t="str">
        <f>IF($AV1193="","",IF(COUNTIF(LISTS!$C$2:$C$250,$AU1193)=0,"NEW",""))</f>
        <v/>
      </c>
      <c r="BA1193" s="2" t="str">
        <f>IF(""&amp;$F1193&lt;&gt;"4","",IF($AY1193="YES","",IF(ROUND(SUMIFS($AE$2:$AE$4001,$L$2:$L$4001,$L1193,$F$2:$F$4001,"4")-SUMIFS('AR SALES'!$Y$2:$Y$2501,'AR SALES'!$L$2:$L$2501,$L1193,'AR SALES'!$AD$2:$AD$2501,"OFF"),2)=0,"","STALE")))</f>
        <v/>
      </c>
      <c r="BB1193" s="2" t="str">
        <f>IF(OR(""&amp;$F1193="2",""&amp;$F1193="4",""&amp;$F1193="G",""&amp;$F1193="H"),IF($AY1193="YES","",IF($AB1193&lt;&gt;0,"",IF(COUNTIFS('AR SALES'!$L$2:$L$2501,$L1193,'AR SALES'!$AD$2:$AD$2501,IF(""&amp;$F1193="4","OFF","ON"),'AR SALES'!$AF$2:$AF$2501,"Y")&gt;0,"","NO EXEMPTION"))),"")</f>
        <v/>
      </c>
    </row>
    <row r="1194" spans="46:54" x14ac:dyDescent="0.25">
      <c r="AT1194" s="2" t="str">
        <f>IF($L1194="","",IFERROR(INDEX('AR SALES'!$H$2:$H$2501,MATCH(""&amp;$L1194,'AR SALES'!$AE$2:$AE$2501,0)),""))</f>
        <v/>
      </c>
      <c r="AU1194" s="2" t="str">
        <f t="shared" si="72"/>
        <v/>
      </c>
      <c r="AV1194" s="2" t="str">
        <f t="shared" si="73"/>
        <v/>
      </c>
      <c r="AW1194" s="2" t="str">
        <f t="shared" si="74"/>
        <v/>
      </c>
      <c r="AX1194" s="2" t="str">
        <f t="shared" si="75"/>
        <v/>
      </c>
      <c r="AY1194" s="2" t="str">
        <f>IF($AV1194="","",IF(AND($Z1194=0,COUNTIF('AR SALES'!$L$2:$L$2501,$L1194)=0),"YES",""))</f>
        <v/>
      </c>
      <c r="AZ1194" s="2" t="str">
        <f>IF($AV1194="","",IF(COUNTIF(LISTS!$C$2:$C$250,$AU1194)=0,"NEW",""))</f>
        <v/>
      </c>
      <c r="BA1194" s="2" t="str">
        <f>IF(""&amp;$F1194&lt;&gt;"4","",IF($AY1194="YES","",IF(ROUND(SUMIFS($AE$2:$AE$4001,$L$2:$L$4001,$L1194,$F$2:$F$4001,"4")-SUMIFS('AR SALES'!$Y$2:$Y$2501,'AR SALES'!$L$2:$L$2501,$L1194,'AR SALES'!$AD$2:$AD$2501,"OFF"),2)=0,"","STALE")))</f>
        <v/>
      </c>
      <c r="BB1194" s="2" t="str">
        <f>IF(OR(""&amp;$F1194="2",""&amp;$F1194="4",""&amp;$F1194="G",""&amp;$F1194="H"),IF($AY1194="YES","",IF($AB1194&lt;&gt;0,"",IF(COUNTIFS('AR SALES'!$L$2:$L$2501,$L1194,'AR SALES'!$AD$2:$AD$2501,IF(""&amp;$F1194="4","OFF","ON"),'AR SALES'!$AF$2:$AF$2501,"Y")&gt;0,"","NO EXEMPTION"))),"")</f>
        <v/>
      </c>
    </row>
    <row r="1195" spans="46:54" x14ac:dyDescent="0.25">
      <c r="AT1195" s="2" t="str">
        <f>IF($L1195="","",IFERROR(INDEX('AR SALES'!$H$2:$H$2501,MATCH(""&amp;$L1195,'AR SALES'!$AE$2:$AE$2501,0)),""))</f>
        <v/>
      </c>
      <c r="AU1195" s="2" t="str">
        <f t="shared" si="72"/>
        <v/>
      </c>
      <c r="AV1195" s="2" t="str">
        <f t="shared" si="73"/>
        <v/>
      </c>
      <c r="AW1195" s="2" t="str">
        <f t="shared" si="74"/>
        <v/>
      </c>
      <c r="AX1195" s="2" t="str">
        <f t="shared" si="75"/>
        <v/>
      </c>
      <c r="AY1195" s="2" t="str">
        <f>IF($AV1195="","",IF(AND($Z1195=0,COUNTIF('AR SALES'!$L$2:$L$2501,$L1195)=0),"YES",""))</f>
        <v/>
      </c>
      <c r="AZ1195" s="2" t="str">
        <f>IF($AV1195="","",IF(COUNTIF(LISTS!$C$2:$C$250,$AU1195)=0,"NEW",""))</f>
        <v/>
      </c>
      <c r="BA1195" s="2" t="str">
        <f>IF(""&amp;$F1195&lt;&gt;"4","",IF($AY1195="YES","",IF(ROUND(SUMIFS($AE$2:$AE$4001,$L$2:$L$4001,$L1195,$F$2:$F$4001,"4")-SUMIFS('AR SALES'!$Y$2:$Y$2501,'AR SALES'!$L$2:$L$2501,$L1195,'AR SALES'!$AD$2:$AD$2501,"OFF"),2)=0,"","STALE")))</f>
        <v/>
      </c>
      <c r="BB1195" s="2" t="str">
        <f>IF(OR(""&amp;$F1195="2",""&amp;$F1195="4",""&amp;$F1195="G",""&amp;$F1195="H"),IF($AY1195="YES","",IF($AB1195&lt;&gt;0,"",IF(COUNTIFS('AR SALES'!$L$2:$L$2501,$L1195,'AR SALES'!$AD$2:$AD$2501,IF(""&amp;$F1195="4","OFF","ON"),'AR SALES'!$AF$2:$AF$2501,"Y")&gt;0,"","NO EXEMPTION"))),"")</f>
        <v/>
      </c>
    </row>
    <row r="1196" spans="46:54" x14ac:dyDescent="0.25">
      <c r="AT1196" s="2" t="str">
        <f>IF($L1196="","",IFERROR(INDEX('AR SALES'!$H$2:$H$2501,MATCH(""&amp;$L1196,'AR SALES'!$AE$2:$AE$2501,0)),""))</f>
        <v/>
      </c>
      <c r="AU1196" s="2" t="str">
        <f t="shared" si="72"/>
        <v/>
      </c>
      <c r="AV1196" s="2" t="str">
        <f t="shared" si="73"/>
        <v/>
      </c>
      <c r="AW1196" s="2" t="str">
        <f t="shared" si="74"/>
        <v/>
      </c>
      <c r="AX1196" s="2" t="str">
        <f t="shared" si="75"/>
        <v/>
      </c>
      <c r="AY1196" s="2" t="str">
        <f>IF($AV1196="","",IF(AND($Z1196=0,COUNTIF('AR SALES'!$L$2:$L$2501,$L1196)=0),"YES",""))</f>
        <v/>
      </c>
      <c r="AZ1196" s="2" t="str">
        <f>IF($AV1196="","",IF(COUNTIF(LISTS!$C$2:$C$250,$AU1196)=0,"NEW",""))</f>
        <v/>
      </c>
      <c r="BA1196" s="2" t="str">
        <f>IF(""&amp;$F1196&lt;&gt;"4","",IF($AY1196="YES","",IF(ROUND(SUMIFS($AE$2:$AE$4001,$L$2:$L$4001,$L1196,$F$2:$F$4001,"4")-SUMIFS('AR SALES'!$Y$2:$Y$2501,'AR SALES'!$L$2:$L$2501,$L1196,'AR SALES'!$AD$2:$AD$2501,"OFF"),2)=0,"","STALE")))</f>
        <v/>
      </c>
      <c r="BB1196" s="2" t="str">
        <f>IF(OR(""&amp;$F1196="2",""&amp;$F1196="4",""&amp;$F1196="G",""&amp;$F1196="H"),IF($AY1196="YES","",IF($AB1196&lt;&gt;0,"",IF(COUNTIFS('AR SALES'!$L$2:$L$2501,$L1196,'AR SALES'!$AD$2:$AD$2501,IF(""&amp;$F1196="4","OFF","ON"),'AR SALES'!$AF$2:$AF$2501,"Y")&gt;0,"","NO EXEMPTION"))),"")</f>
        <v/>
      </c>
    </row>
    <row r="1197" spans="46:54" x14ac:dyDescent="0.25">
      <c r="AT1197" s="2" t="str">
        <f>IF($L1197="","",IFERROR(INDEX('AR SALES'!$H$2:$H$2501,MATCH(""&amp;$L1197,'AR SALES'!$AE$2:$AE$2501,0)),""))</f>
        <v/>
      </c>
      <c r="AU1197" s="2" t="str">
        <f t="shared" si="72"/>
        <v/>
      </c>
      <c r="AV1197" s="2" t="str">
        <f t="shared" si="73"/>
        <v/>
      </c>
      <c r="AW1197" s="2" t="str">
        <f t="shared" si="74"/>
        <v/>
      </c>
      <c r="AX1197" s="2" t="str">
        <f t="shared" si="75"/>
        <v/>
      </c>
      <c r="AY1197" s="2" t="str">
        <f>IF($AV1197="","",IF(AND($Z1197=0,COUNTIF('AR SALES'!$L$2:$L$2501,$L1197)=0),"YES",""))</f>
        <v/>
      </c>
      <c r="AZ1197" s="2" t="str">
        <f>IF($AV1197="","",IF(COUNTIF(LISTS!$C$2:$C$250,$AU1197)=0,"NEW",""))</f>
        <v/>
      </c>
      <c r="BA1197" s="2" t="str">
        <f>IF(""&amp;$F1197&lt;&gt;"4","",IF($AY1197="YES","",IF(ROUND(SUMIFS($AE$2:$AE$4001,$L$2:$L$4001,$L1197,$F$2:$F$4001,"4")-SUMIFS('AR SALES'!$Y$2:$Y$2501,'AR SALES'!$L$2:$L$2501,$L1197,'AR SALES'!$AD$2:$AD$2501,"OFF"),2)=0,"","STALE")))</f>
        <v/>
      </c>
      <c r="BB1197" s="2" t="str">
        <f>IF(OR(""&amp;$F1197="2",""&amp;$F1197="4",""&amp;$F1197="G",""&amp;$F1197="H"),IF($AY1197="YES","",IF($AB1197&lt;&gt;0,"",IF(COUNTIFS('AR SALES'!$L$2:$L$2501,$L1197,'AR SALES'!$AD$2:$AD$2501,IF(""&amp;$F1197="4","OFF","ON"),'AR SALES'!$AF$2:$AF$2501,"Y")&gt;0,"","NO EXEMPTION"))),"")</f>
        <v/>
      </c>
    </row>
    <row r="1198" spans="46:54" x14ac:dyDescent="0.25">
      <c r="AT1198" s="2" t="str">
        <f>IF($L1198="","",IFERROR(INDEX('AR SALES'!$H$2:$H$2501,MATCH(""&amp;$L1198,'AR SALES'!$AE$2:$AE$2501,0)),""))</f>
        <v/>
      </c>
      <c r="AU1198" s="2" t="str">
        <f t="shared" si="72"/>
        <v/>
      </c>
      <c r="AV1198" s="2" t="str">
        <f t="shared" si="73"/>
        <v/>
      </c>
      <c r="AW1198" s="2" t="str">
        <f t="shared" si="74"/>
        <v/>
      </c>
      <c r="AX1198" s="2" t="str">
        <f t="shared" si="75"/>
        <v/>
      </c>
      <c r="AY1198" s="2" t="str">
        <f>IF($AV1198="","",IF(AND($Z1198=0,COUNTIF('AR SALES'!$L$2:$L$2501,$L1198)=0),"YES",""))</f>
        <v/>
      </c>
      <c r="AZ1198" s="2" t="str">
        <f>IF($AV1198="","",IF(COUNTIF(LISTS!$C$2:$C$250,$AU1198)=0,"NEW",""))</f>
        <v/>
      </c>
      <c r="BA1198" s="2" t="str">
        <f>IF(""&amp;$F1198&lt;&gt;"4","",IF($AY1198="YES","",IF(ROUND(SUMIFS($AE$2:$AE$4001,$L$2:$L$4001,$L1198,$F$2:$F$4001,"4")-SUMIFS('AR SALES'!$Y$2:$Y$2501,'AR SALES'!$L$2:$L$2501,$L1198,'AR SALES'!$AD$2:$AD$2501,"OFF"),2)=0,"","STALE")))</f>
        <v/>
      </c>
      <c r="BB1198" s="2" t="str">
        <f>IF(OR(""&amp;$F1198="2",""&amp;$F1198="4",""&amp;$F1198="G",""&amp;$F1198="H"),IF($AY1198="YES","",IF($AB1198&lt;&gt;0,"",IF(COUNTIFS('AR SALES'!$L$2:$L$2501,$L1198,'AR SALES'!$AD$2:$AD$2501,IF(""&amp;$F1198="4","OFF","ON"),'AR SALES'!$AF$2:$AF$2501,"Y")&gt;0,"","NO EXEMPTION"))),"")</f>
        <v/>
      </c>
    </row>
    <row r="1199" spans="46:54" x14ac:dyDescent="0.25">
      <c r="AT1199" s="2" t="str">
        <f>IF($L1199="","",IFERROR(INDEX('AR SALES'!$H$2:$H$2501,MATCH(""&amp;$L1199,'AR SALES'!$AE$2:$AE$2501,0)),""))</f>
        <v/>
      </c>
      <c r="AU1199" s="2" t="str">
        <f t="shared" si="72"/>
        <v/>
      </c>
      <c r="AV1199" s="2" t="str">
        <f t="shared" si="73"/>
        <v/>
      </c>
      <c r="AW1199" s="2" t="str">
        <f t="shared" si="74"/>
        <v/>
      </c>
      <c r="AX1199" s="2" t="str">
        <f t="shared" si="75"/>
        <v/>
      </c>
      <c r="AY1199" s="2" t="str">
        <f>IF($AV1199="","",IF(AND($Z1199=0,COUNTIF('AR SALES'!$L$2:$L$2501,$L1199)=0),"YES",""))</f>
        <v/>
      </c>
      <c r="AZ1199" s="2" t="str">
        <f>IF($AV1199="","",IF(COUNTIF(LISTS!$C$2:$C$250,$AU1199)=0,"NEW",""))</f>
        <v/>
      </c>
      <c r="BA1199" s="2" t="str">
        <f>IF(""&amp;$F1199&lt;&gt;"4","",IF($AY1199="YES","",IF(ROUND(SUMIFS($AE$2:$AE$4001,$L$2:$L$4001,$L1199,$F$2:$F$4001,"4")-SUMIFS('AR SALES'!$Y$2:$Y$2501,'AR SALES'!$L$2:$L$2501,$L1199,'AR SALES'!$AD$2:$AD$2501,"OFF"),2)=0,"","STALE")))</f>
        <v/>
      </c>
      <c r="BB1199" s="2" t="str">
        <f>IF(OR(""&amp;$F1199="2",""&amp;$F1199="4",""&amp;$F1199="G",""&amp;$F1199="H"),IF($AY1199="YES","",IF($AB1199&lt;&gt;0,"",IF(COUNTIFS('AR SALES'!$L$2:$L$2501,$L1199,'AR SALES'!$AD$2:$AD$2501,IF(""&amp;$F1199="4","OFF","ON"),'AR SALES'!$AF$2:$AF$2501,"Y")&gt;0,"","NO EXEMPTION"))),"")</f>
        <v/>
      </c>
    </row>
    <row r="1200" spans="46:54" x14ac:dyDescent="0.25">
      <c r="AT1200" s="2" t="str">
        <f>IF($L1200="","",IFERROR(INDEX('AR SALES'!$H$2:$H$2501,MATCH(""&amp;$L1200,'AR SALES'!$AE$2:$AE$2501,0)),""))</f>
        <v/>
      </c>
      <c r="AU1200" s="2" t="str">
        <f t="shared" si="72"/>
        <v/>
      </c>
      <c r="AV1200" s="2" t="str">
        <f t="shared" si="73"/>
        <v/>
      </c>
      <c r="AW1200" s="2" t="str">
        <f t="shared" si="74"/>
        <v/>
      </c>
      <c r="AX1200" s="2" t="str">
        <f t="shared" si="75"/>
        <v/>
      </c>
      <c r="AY1200" s="2" t="str">
        <f>IF($AV1200="","",IF(AND($Z1200=0,COUNTIF('AR SALES'!$L$2:$L$2501,$L1200)=0),"YES",""))</f>
        <v/>
      </c>
      <c r="AZ1200" s="2" t="str">
        <f>IF($AV1200="","",IF(COUNTIF(LISTS!$C$2:$C$250,$AU1200)=0,"NEW",""))</f>
        <v/>
      </c>
      <c r="BA1200" s="2" t="str">
        <f>IF(""&amp;$F1200&lt;&gt;"4","",IF($AY1200="YES","",IF(ROUND(SUMIFS($AE$2:$AE$4001,$L$2:$L$4001,$L1200,$F$2:$F$4001,"4")-SUMIFS('AR SALES'!$Y$2:$Y$2501,'AR SALES'!$L$2:$L$2501,$L1200,'AR SALES'!$AD$2:$AD$2501,"OFF"),2)=0,"","STALE")))</f>
        <v/>
      </c>
      <c r="BB1200" s="2" t="str">
        <f>IF(OR(""&amp;$F1200="2",""&amp;$F1200="4",""&amp;$F1200="G",""&amp;$F1200="H"),IF($AY1200="YES","",IF($AB1200&lt;&gt;0,"",IF(COUNTIFS('AR SALES'!$L$2:$L$2501,$L1200,'AR SALES'!$AD$2:$AD$2501,IF(""&amp;$F1200="4","OFF","ON"),'AR SALES'!$AF$2:$AF$2501,"Y")&gt;0,"","NO EXEMPTION"))),"")</f>
        <v/>
      </c>
    </row>
    <row r="1201" spans="46:54" x14ac:dyDescent="0.25">
      <c r="AT1201" s="2" t="str">
        <f>IF($L1201="","",IFERROR(INDEX('AR SALES'!$H$2:$H$2501,MATCH(""&amp;$L1201,'AR SALES'!$AE$2:$AE$2501,0)),""))</f>
        <v/>
      </c>
      <c r="AU1201" s="2" t="str">
        <f t="shared" si="72"/>
        <v/>
      </c>
      <c r="AV1201" s="2" t="str">
        <f t="shared" si="73"/>
        <v/>
      </c>
      <c r="AW1201" s="2" t="str">
        <f t="shared" si="74"/>
        <v/>
      </c>
      <c r="AX1201" s="2" t="str">
        <f t="shared" si="75"/>
        <v/>
      </c>
      <c r="AY1201" s="2" t="str">
        <f>IF($AV1201="","",IF(AND($Z1201=0,COUNTIF('AR SALES'!$L$2:$L$2501,$L1201)=0),"YES",""))</f>
        <v/>
      </c>
      <c r="AZ1201" s="2" t="str">
        <f>IF($AV1201="","",IF(COUNTIF(LISTS!$C$2:$C$250,$AU1201)=0,"NEW",""))</f>
        <v/>
      </c>
      <c r="BA1201" s="2" t="str">
        <f>IF(""&amp;$F1201&lt;&gt;"4","",IF($AY1201="YES","",IF(ROUND(SUMIFS($AE$2:$AE$4001,$L$2:$L$4001,$L1201,$F$2:$F$4001,"4")-SUMIFS('AR SALES'!$Y$2:$Y$2501,'AR SALES'!$L$2:$L$2501,$L1201,'AR SALES'!$AD$2:$AD$2501,"OFF"),2)=0,"","STALE")))</f>
        <v/>
      </c>
      <c r="BB1201" s="2" t="str">
        <f>IF(OR(""&amp;$F1201="2",""&amp;$F1201="4",""&amp;$F1201="G",""&amp;$F1201="H"),IF($AY1201="YES","",IF($AB1201&lt;&gt;0,"",IF(COUNTIFS('AR SALES'!$L$2:$L$2501,$L1201,'AR SALES'!$AD$2:$AD$2501,IF(""&amp;$F1201="4","OFF","ON"),'AR SALES'!$AF$2:$AF$2501,"Y")&gt;0,"","NO EXEMPTION"))),"")</f>
        <v/>
      </c>
    </row>
    <row r="1202" spans="46:54" x14ac:dyDescent="0.25">
      <c r="AT1202" s="2" t="str">
        <f>IF($L1202="","",IFERROR(INDEX('AR SALES'!$H$2:$H$2501,MATCH(""&amp;$L1202,'AR SALES'!$AE$2:$AE$2501,0)),""))</f>
        <v/>
      </c>
      <c r="AU1202" s="2" t="str">
        <f t="shared" si="72"/>
        <v/>
      </c>
      <c r="AV1202" s="2" t="str">
        <f t="shared" si="73"/>
        <v/>
      </c>
      <c r="AW1202" s="2" t="str">
        <f t="shared" si="74"/>
        <v/>
      </c>
      <c r="AX1202" s="2" t="str">
        <f t="shared" si="75"/>
        <v/>
      </c>
      <c r="AY1202" s="2" t="str">
        <f>IF($AV1202="","",IF(AND($Z1202=0,COUNTIF('AR SALES'!$L$2:$L$2501,$L1202)=0),"YES",""))</f>
        <v/>
      </c>
      <c r="AZ1202" s="2" t="str">
        <f>IF($AV1202="","",IF(COUNTIF(LISTS!$C$2:$C$250,$AU1202)=0,"NEW",""))</f>
        <v/>
      </c>
      <c r="BA1202" s="2" t="str">
        <f>IF(""&amp;$F1202&lt;&gt;"4","",IF($AY1202="YES","",IF(ROUND(SUMIFS($AE$2:$AE$4001,$L$2:$L$4001,$L1202,$F$2:$F$4001,"4")-SUMIFS('AR SALES'!$Y$2:$Y$2501,'AR SALES'!$L$2:$L$2501,$L1202,'AR SALES'!$AD$2:$AD$2501,"OFF"),2)=0,"","STALE")))</f>
        <v/>
      </c>
      <c r="BB1202" s="2" t="str">
        <f>IF(OR(""&amp;$F1202="2",""&amp;$F1202="4",""&amp;$F1202="G",""&amp;$F1202="H"),IF($AY1202="YES","",IF($AB1202&lt;&gt;0,"",IF(COUNTIFS('AR SALES'!$L$2:$L$2501,$L1202,'AR SALES'!$AD$2:$AD$2501,IF(""&amp;$F1202="4","OFF","ON"),'AR SALES'!$AF$2:$AF$2501,"Y")&gt;0,"","NO EXEMPTION"))),"")</f>
        <v/>
      </c>
    </row>
    <row r="1203" spans="46:54" x14ac:dyDescent="0.25">
      <c r="AT1203" s="2" t="str">
        <f>IF($L1203="","",IFERROR(INDEX('AR SALES'!$H$2:$H$2501,MATCH(""&amp;$L1203,'AR SALES'!$AE$2:$AE$2501,0)),""))</f>
        <v/>
      </c>
      <c r="AU1203" s="2" t="str">
        <f t="shared" si="72"/>
        <v/>
      </c>
      <c r="AV1203" s="2" t="str">
        <f t="shared" si="73"/>
        <v/>
      </c>
      <c r="AW1203" s="2" t="str">
        <f t="shared" si="74"/>
        <v/>
      </c>
      <c r="AX1203" s="2" t="str">
        <f t="shared" si="75"/>
        <v/>
      </c>
      <c r="AY1203" s="2" t="str">
        <f>IF($AV1203="","",IF(AND($Z1203=0,COUNTIF('AR SALES'!$L$2:$L$2501,$L1203)=0),"YES",""))</f>
        <v/>
      </c>
      <c r="AZ1203" s="2" t="str">
        <f>IF($AV1203="","",IF(COUNTIF(LISTS!$C$2:$C$250,$AU1203)=0,"NEW",""))</f>
        <v/>
      </c>
      <c r="BA1203" s="2" t="str">
        <f>IF(""&amp;$F1203&lt;&gt;"4","",IF($AY1203="YES","",IF(ROUND(SUMIFS($AE$2:$AE$4001,$L$2:$L$4001,$L1203,$F$2:$F$4001,"4")-SUMIFS('AR SALES'!$Y$2:$Y$2501,'AR SALES'!$L$2:$L$2501,$L1203,'AR SALES'!$AD$2:$AD$2501,"OFF"),2)=0,"","STALE")))</f>
        <v/>
      </c>
      <c r="BB1203" s="2" t="str">
        <f>IF(OR(""&amp;$F1203="2",""&amp;$F1203="4",""&amp;$F1203="G",""&amp;$F1203="H"),IF($AY1203="YES","",IF($AB1203&lt;&gt;0,"",IF(COUNTIFS('AR SALES'!$L$2:$L$2501,$L1203,'AR SALES'!$AD$2:$AD$2501,IF(""&amp;$F1203="4","OFF","ON"),'AR SALES'!$AF$2:$AF$2501,"Y")&gt;0,"","NO EXEMPTION"))),"")</f>
        <v/>
      </c>
    </row>
    <row r="1204" spans="46:54" x14ac:dyDescent="0.25">
      <c r="AT1204" s="2" t="str">
        <f>IF($L1204="","",IFERROR(INDEX('AR SALES'!$H$2:$H$2501,MATCH(""&amp;$L1204,'AR SALES'!$AE$2:$AE$2501,0)),""))</f>
        <v/>
      </c>
      <c r="AU1204" s="2" t="str">
        <f t="shared" si="72"/>
        <v/>
      </c>
      <c r="AV1204" s="2" t="str">
        <f t="shared" si="73"/>
        <v/>
      </c>
      <c r="AW1204" s="2" t="str">
        <f t="shared" si="74"/>
        <v/>
      </c>
      <c r="AX1204" s="2" t="str">
        <f t="shared" si="75"/>
        <v/>
      </c>
      <c r="AY1204" s="2" t="str">
        <f>IF($AV1204="","",IF(AND($Z1204=0,COUNTIF('AR SALES'!$L$2:$L$2501,$L1204)=0),"YES",""))</f>
        <v/>
      </c>
      <c r="AZ1204" s="2" t="str">
        <f>IF($AV1204="","",IF(COUNTIF(LISTS!$C$2:$C$250,$AU1204)=0,"NEW",""))</f>
        <v/>
      </c>
      <c r="BA1204" s="2" t="str">
        <f>IF(""&amp;$F1204&lt;&gt;"4","",IF($AY1204="YES","",IF(ROUND(SUMIFS($AE$2:$AE$4001,$L$2:$L$4001,$L1204,$F$2:$F$4001,"4")-SUMIFS('AR SALES'!$Y$2:$Y$2501,'AR SALES'!$L$2:$L$2501,$L1204,'AR SALES'!$AD$2:$AD$2501,"OFF"),2)=0,"","STALE")))</f>
        <v/>
      </c>
      <c r="BB1204" s="2" t="str">
        <f>IF(OR(""&amp;$F1204="2",""&amp;$F1204="4",""&amp;$F1204="G",""&amp;$F1204="H"),IF($AY1204="YES","",IF($AB1204&lt;&gt;0,"",IF(COUNTIFS('AR SALES'!$L$2:$L$2501,$L1204,'AR SALES'!$AD$2:$AD$2501,IF(""&amp;$F1204="4","OFF","ON"),'AR SALES'!$AF$2:$AF$2501,"Y")&gt;0,"","NO EXEMPTION"))),"")</f>
        <v/>
      </c>
    </row>
    <row r="1205" spans="46:54" x14ac:dyDescent="0.25">
      <c r="AT1205" s="2" t="str">
        <f>IF($L1205="","",IFERROR(INDEX('AR SALES'!$H$2:$H$2501,MATCH(""&amp;$L1205,'AR SALES'!$AE$2:$AE$2501,0)),""))</f>
        <v/>
      </c>
      <c r="AU1205" s="2" t="str">
        <f t="shared" si="72"/>
        <v/>
      </c>
      <c r="AV1205" s="2" t="str">
        <f t="shared" si="73"/>
        <v/>
      </c>
      <c r="AW1205" s="2" t="str">
        <f t="shared" si="74"/>
        <v/>
      </c>
      <c r="AX1205" s="2" t="str">
        <f t="shared" si="75"/>
        <v/>
      </c>
      <c r="AY1205" s="2" t="str">
        <f>IF($AV1205="","",IF(AND($Z1205=0,COUNTIF('AR SALES'!$L$2:$L$2501,$L1205)=0),"YES",""))</f>
        <v/>
      </c>
      <c r="AZ1205" s="2" t="str">
        <f>IF($AV1205="","",IF(COUNTIF(LISTS!$C$2:$C$250,$AU1205)=0,"NEW",""))</f>
        <v/>
      </c>
      <c r="BA1205" s="2" t="str">
        <f>IF(""&amp;$F1205&lt;&gt;"4","",IF($AY1205="YES","",IF(ROUND(SUMIFS($AE$2:$AE$4001,$L$2:$L$4001,$L1205,$F$2:$F$4001,"4")-SUMIFS('AR SALES'!$Y$2:$Y$2501,'AR SALES'!$L$2:$L$2501,$L1205,'AR SALES'!$AD$2:$AD$2501,"OFF"),2)=0,"","STALE")))</f>
        <v/>
      </c>
      <c r="BB1205" s="2" t="str">
        <f>IF(OR(""&amp;$F1205="2",""&amp;$F1205="4",""&amp;$F1205="G",""&amp;$F1205="H"),IF($AY1205="YES","",IF($AB1205&lt;&gt;0,"",IF(COUNTIFS('AR SALES'!$L$2:$L$2501,$L1205,'AR SALES'!$AD$2:$AD$2501,IF(""&amp;$F1205="4","OFF","ON"),'AR SALES'!$AF$2:$AF$2501,"Y")&gt;0,"","NO EXEMPTION"))),"")</f>
        <v/>
      </c>
    </row>
    <row r="1206" spans="46:54" x14ac:dyDescent="0.25">
      <c r="AT1206" s="2" t="str">
        <f>IF($L1206="","",IFERROR(INDEX('AR SALES'!$H$2:$H$2501,MATCH(""&amp;$L1206,'AR SALES'!$AE$2:$AE$2501,0)),""))</f>
        <v/>
      </c>
      <c r="AU1206" s="2" t="str">
        <f t="shared" si="72"/>
        <v/>
      </c>
      <c r="AV1206" s="2" t="str">
        <f t="shared" si="73"/>
        <v/>
      </c>
      <c r="AW1206" s="2" t="str">
        <f t="shared" si="74"/>
        <v/>
      </c>
      <c r="AX1206" s="2" t="str">
        <f t="shared" si="75"/>
        <v/>
      </c>
      <c r="AY1206" s="2" t="str">
        <f>IF($AV1206="","",IF(AND($Z1206=0,COUNTIF('AR SALES'!$L$2:$L$2501,$L1206)=0),"YES",""))</f>
        <v/>
      </c>
      <c r="AZ1206" s="2" t="str">
        <f>IF($AV1206="","",IF(COUNTIF(LISTS!$C$2:$C$250,$AU1206)=0,"NEW",""))</f>
        <v/>
      </c>
      <c r="BA1206" s="2" t="str">
        <f>IF(""&amp;$F1206&lt;&gt;"4","",IF($AY1206="YES","",IF(ROUND(SUMIFS($AE$2:$AE$4001,$L$2:$L$4001,$L1206,$F$2:$F$4001,"4")-SUMIFS('AR SALES'!$Y$2:$Y$2501,'AR SALES'!$L$2:$L$2501,$L1206,'AR SALES'!$AD$2:$AD$2501,"OFF"),2)=0,"","STALE")))</f>
        <v/>
      </c>
      <c r="BB1206" s="2" t="str">
        <f>IF(OR(""&amp;$F1206="2",""&amp;$F1206="4",""&amp;$F1206="G",""&amp;$F1206="H"),IF($AY1206="YES","",IF($AB1206&lt;&gt;0,"",IF(COUNTIFS('AR SALES'!$L$2:$L$2501,$L1206,'AR SALES'!$AD$2:$AD$2501,IF(""&amp;$F1206="4","OFF","ON"),'AR SALES'!$AF$2:$AF$2501,"Y")&gt;0,"","NO EXEMPTION"))),"")</f>
        <v/>
      </c>
    </row>
    <row r="1207" spans="46:54" x14ac:dyDescent="0.25">
      <c r="AT1207" s="2" t="str">
        <f>IF($L1207="","",IFERROR(INDEX('AR SALES'!$H$2:$H$2501,MATCH(""&amp;$L1207,'AR SALES'!$AE$2:$AE$2501,0)),""))</f>
        <v/>
      </c>
      <c r="AU1207" s="2" t="str">
        <f t="shared" si="72"/>
        <v/>
      </c>
      <c r="AV1207" s="2" t="str">
        <f t="shared" si="73"/>
        <v/>
      </c>
      <c r="AW1207" s="2" t="str">
        <f t="shared" si="74"/>
        <v/>
      </c>
      <c r="AX1207" s="2" t="str">
        <f t="shared" si="75"/>
        <v/>
      </c>
      <c r="AY1207" s="2" t="str">
        <f>IF($AV1207="","",IF(AND($Z1207=0,COUNTIF('AR SALES'!$L$2:$L$2501,$L1207)=0),"YES",""))</f>
        <v/>
      </c>
      <c r="AZ1207" s="2" t="str">
        <f>IF($AV1207="","",IF(COUNTIF(LISTS!$C$2:$C$250,$AU1207)=0,"NEW",""))</f>
        <v/>
      </c>
      <c r="BA1207" s="2" t="str">
        <f>IF(""&amp;$F1207&lt;&gt;"4","",IF($AY1207="YES","",IF(ROUND(SUMIFS($AE$2:$AE$4001,$L$2:$L$4001,$L1207,$F$2:$F$4001,"4")-SUMIFS('AR SALES'!$Y$2:$Y$2501,'AR SALES'!$L$2:$L$2501,$L1207,'AR SALES'!$AD$2:$AD$2501,"OFF"),2)=0,"","STALE")))</f>
        <v/>
      </c>
      <c r="BB1207" s="2" t="str">
        <f>IF(OR(""&amp;$F1207="2",""&amp;$F1207="4",""&amp;$F1207="G",""&amp;$F1207="H"),IF($AY1207="YES","",IF($AB1207&lt;&gt;0,"",IF(COUNTIFS('AR SALES'!$L$2:$L$2501,$L1207,'AR SALES'!$AD$2:$AD$2501,IF(""&amp;$F1207="4","OFF","ON"),'AR SALES'!$AF$2:$AF$2501,"Y")&gt;0,"","NO EXEMPTION"))),"")</f>
        <v/>
      </c>
    </row>
    <row r="1208" spans="46:54" x14ac:dyDescent="0.25">
      <c r="AT1208" s="2" t="str">
        <f>IF($L1208="","",IFERROR(INDEX('AR SALES'!$H$2:$H$2501,MATCH(""&amp;$L1208,'AR SALES'!$AE$2:$AE$2501,0)),""))</f>
        <v/>
      </c>
      <c r="AU1208" s="2" t="str">
        <f t="shared" si="72"/>
        <v/>
      </c>
      <c r="AV1208" s="2" t="str">
        <f t="shared" si="73"/>
        <v/>
      </c>
      <c r="AW1208" s="2" t="str">
        <f t="shared" si="74"/>
        <v/>
      </c>
      <c r="AX1208" s="2" t="str">
        <f t="shared" si="75"/>
        <v/>
      </c>
      <c r="AY1208" s="2" t="str">
        <f>IF($AV1208="","",IF(AND($Z1208=0,COUNTIF('AR SALES'!$L$2:$L$2501,$L1208)=0),"YES",""))</f>
        <v/>
      </c>
      <c r="AZ1208" s="2" t="str">
        <f>IF($AV1208="","",IF(COUNTIF(LISTS!$C$2:$C$250,$AU1208)=0,"NEW",""))</f>
        <v/>
      </c>
      <c r="BA1208" s="2" t="str">
        <f>IF(""&amp;$F1208&lt;&gt;"4","",IF($AY1208="YES","",IF(ROUND(SUMIFS($AE$2:$AE$4001,$L$2:$L$4001,$L1208,$F$2:$F$4001,"4")-SUMIFS('AR SALES'!$Y$2:$Y$2501,'AR SALES'!$L$2:$L$2501,$L1208,'AR SALES'!$AD$2:$AD$2501,"OFF"),2)=0,"","STALE")))</f>
        <v/>
      </c>
      <c r="BB1208" s="2" t="str">
        <f>IF(OR(""&amp;$F1208="2",""&amp;$F1208="4",""&amp;$F1208="G",""&amp;$F1208="H"),IF($AY1208="YES","",IF($AB1208&lt;&gt;0,"",IF(COUNTIFS('AR SALES'!$L$2:$L$2501,$L1208,'AR SALES'!$AD$2:$AD$2501,IF(""&amp;$F1208="4","OFF","ON"),'AR SALES'!$AF$2:$AF$2501,"Y")&gt;0,"","NO EXEMPTION"))),"")</f>
        <v/>
      </c>
    </row>
    <row r="1209" spans="46:54" x14ac:dyDescent="0.25">
      <c r="AT1209" s="2" t="str">
        <f>IF($L1209="","",IFERROR(INDEX('AR SALES'!$H$2:$H$2501,MATCH(""&amp;$L1209,'AR SALES'!$AE$2:$AE$2501,0)),""))</f>
        <v/>
      </c>
      <c r="AU1209" s="2" t="str">
        <f t="shared" si="72"/>
        <v/>
      </c>
      <c r="AV1209" s="2" t="str">
        <f t="shared" si="73"/>
        <v/>
      </c>
      <c r="AW1209" s="2" t="str">
        <f t="shared" si="74"/>
        <v/>
      </c>
      <c r="AX1209" s="2" t="str">
        <f t="shared" si="75"/>
        <v/>
      </c>
      <c r="AY1209" s="2" t="str">
        <f>IF($AV1209="","",IF(AND($Z1209=0,COUNTIF('AR SALES'!$L$2:$L$2501,$L1209)=0),"YES",""))</f>
        <v/>
      </c>
      <c r="AZ1209" s="2" t="str">
        <f>IF($AV1209="","",IF(COUNTIF(LISTS!$C$2:$C$250,$AU1209)=0,"NEW",""))</f>
        <v/>
      </c>
      <c r="BA1209" s="2" t="str">
        <f>IF(""&amp;$F1209&lt;&gt;"4","",IF($AY1209="YES","",IF(ROUND(SUMIFS($AE$2:$AE$4001,$L$2:$L$4001,$L1209,$F$2:$F$4001,"4")-SUMIFS('AR SALES'!$Y$2:$Y$2501,'AR SALES'!$L$2:$L$2501,$L1209,'AR SALES'!$AD$2:$AD$2501,"OFF"),2)=0,"","STALE")))</f>
        <v/>
      </c>
      <c r="BB1209" s="2" t="str">
        <f>IF(OR(""&amp;$F1209="2",""&amp;$F1209="4",""&amp;$F1209="G",""&amp;$F1209="H"),IF($AY1209="YES","",IF($AB1209&lt;&gt;0,"",IF(COUNTIFS('AR SALES'!$L$2:$L$2501,$L1209,'AR SALES'!$AD$2:$AD$2501,IF(""&amp;$F1209="4","OFF","ON"),'AR SALES'!$AF$2:$AF$2501,"Y")&gt;0,"","NO EXEMPTION"))),"")</f>
        <v/>
      </c>
    </row>
    <row r="1210" spans="46:54" x14ac:dyDescent="0.25">
      <c r="AT1210" s="2" t="str">
        <f>IF($L1210="","",IFERROR(INDEX('AR SALES'!$H$2:$H$2501,MATCH(""&amp;$L1210,'AR SALES'!$AE$2:$AE$2501,0)),""))</f>
        <v/>
      </c>
      <c r="AU1210" s="2" t="str">
        <f t="shared" si="72"/>
        <v/>
      </c>
      <c r="AV1210" s="2" t="str">
        <f t="shared" si="73"/>
        <v/>
      </c>
      <c r="AW1210" s="2" t="str">
        <f t="shared" si="74"/>
        <v/>
      </c>
      <c r="AX1210" s="2" t="str">
        <f t="shared" si="75"/>
        <v/>
      </c>
      <c r="AY1210" s="2" t="str">
        <f>IF($AV1210="","",IF(AND($Z1210=0,COUNTIF('AR SALES'!$L$2:$L$2501,$L1210)=0),"YES",""))</f>
        <v/>
      </c>
      <c r="AZ1210" s="2" t="str">
        <f>IF($AV1210="","",IF(COUNTIF(LISTS!$C$2:$C$250,$AU1210)=0,"NEW",""))</f>
        <v/>
      </c>
      <c r="BA1210" s="2" t="str">
        <f>IF(""&amp;$F1210&lt;&gt;"4","",IF($AY1210="YES","",IF(ROUND(SUMIFS($AE$2:$AE$4001,$L$2:$L$4001,$L1210,$F$2:$F$4001,"4")-SUMIFS('AR SALES'!$Y$2:$Y$2501,'AR SALES'!$L$2:$L$2501,$L1210,'AR SALES'!$AD$2:$AD$2501,"OFF"),2)=0,"","STALE")))</f>
        <v/>
      </c>
      <c r="BB1210" s="2" t="str">
        <f>IF(OR(""&amp;$F1210="2",""&amp;$F1210="4",""&amp;$F1210="G",""&amp;$F1210="H"),IF($AY1210="YES","",IF($AB1210&lt;&gt;0,"",IF(COUNTIFS('AR SALES'!$L$2:$L$2501,$L1210,'AR SALES'!$AD$2:$AD$2501,IF(""&amp;$F1210="4","OFF","ON"),'AR SALES'!$AF$2:$AF$2501,"Y")&gt;0,"","NO EXEMPTION"))),"")</f>
        <v/>
      </c>
    </row>
    <row r="1211" spans="46:54" x14ac:dyDescent="0.25">
      <c r="AT1211" s="2" t="str">
        <f>IF($L1211="","",IFERROR(INDEX('AR SALES'!$H$2:$H$2501,MATCH(""&amp;$L1211,'AR SALES'!$AE$2:$AE$2501,0)),""))</f>
        <v/>
      </c>
      <c r="AU1211" s="2" t="str">
        <f t="shared" si="72"/>
        <v/>
      </c>
      <c r="AV1211" s="2" t="str">
        <f t="shared" si="73"/>
        <v/>
      </c>
      <c r="AW1211" s="2" t="str">
        <f t="shared" si="74"/>
        <v/>
      </c>
      <c r="AX1211" s="2" t="str">
        <f t="shared" si="75"/>
        <v/>
      </c>
      <c r="AY1211" s="2" t="str">
        <f>IF($AV1211="","",IF(AND($Z1211=0,COUNTIF('AR SALES'!$L$2:$L$2501,$L1211)=0),"YES",""))</f>
        <v/>
      </c>
      <c r="AZ1211" s="2" t="str">
        <f>IF($AV1211="","",IF(COUNTIF(LISTS!$C$2:$C$250,$AU1211)=0,"NEW",""))</f>
        <v/>
      </c>
      <c r="BA1211" s="2" t="str">
        <f>IF(""&amp;$F1211&lt;&gt;"4","",IF($AY1211="YES","",IF(ROUND(SUMIFS($AE$2:$AE$4001,$L$2:$L$4001,$L1211,$F$2:$F$4001,"4")-SUMIFS('AR SALES'!$Y$2:$Y$2501,'AR SALES'!$L$2:$L$2501,$L1211,'AR SALES'!$AD$2:$AD$2501,"OFF"),2)=0,"","STALE")))</f>
        <v/>
      </c>
      <c r="BB1211" s="2" t="str">
        <f>IF(OR(""&amp;$F1211="2",""&amp;$F1211="4",""&amp;$F1211="G",""&amp;$F1211="H"),IF($AY1211="YES","",IF($AB1211&lt;&gt;0,"",IF(COUNTIFS('AR SALES'!$L$2:$L$2501,$L1211,'AR SALES'!$AD$2:$AD$2501,IF(""&amp;$F1211="4","OFF","ON"),'AR SALES'!$AF$2:$AF$2501,"Y")&gt;0,"","NO EXEMPTION"))),"")</f>
        <v/>
      </c>
    </row>
    <row r="1212" spans="46:54" x14ac:dyDescent="0.25">
      <c r="AT1212" s="2" t="str">
        <f>IF($L1212="","",IFERROR(INDEX('AR SALES'!$H$2:$H$2501,MATCH(""&amp;$L1212,'AR SALES'!$AE$2:$AE$2501,0)),""))</f>
        <v/>
      </c>
      <c r="AU1212" s="2" t="str">
        <f t="shared" si="72"/>
        <v/>
      </c>
      <c r="AV1212" s="2" t="str">
        <f t="shared" si="73"/>
        <v/>
      </c>
      <c r="AW1212" s="2" t="str">
        <f t="shared" si="74"/>
        <v/>
      </c>
      <c r="AX1212" s="2" t="str">
        <f t="shared" si="75"/>
        <v/>
      </c>
      <c r="AY1212" s="2" t="str">
        <f>IF($AV1212="","",IF(AND($Z1212=0,COUNTIF('AR SALES'!$L$2:$L$2501,$L1212)=0),"YES",""))</f>
        <v/>
      </c>
      <c r="AZ1212" s="2" t="str">
        <f>IF($AV1212="","",IF(COUNTIF(LISTS!$C$2:$C$250,$AU1212)=0,"NEW",""))</f>
        <v/>
      </c>
      <c r="BA1212" s="2" t="str">
        <f>IF(""&amp;$F1212&lt;&gt;"4","",IF($AY1212="YES","",IF(ROUND(SUMIFS($AE$2:$AE$4001,$L$2:$L$4001,$L1212,$F$2:$F$4001,"4")-SUMIFS('AR SALES'!$Y$2:$Y$2501,'AR SALES'!$L$2:$L$2501,$L1212,'AR SALES'!$AD$2:$AD$2501,"OFF"),2)=0,"","STALE")))</f>
        <v/>
      </c>
      <c r="BB1212" s="2" t="str">
        <f>IF(OR(""&amp;$F1212="2",""&amp;$F1212="4",""&amp;$F1212="G",""&amp;$F1212="H"),IF($AY1212="YES","",IF($AB1212&lt;&gt;0,"",IF(COUNTIFS('AR SALES'!$L$2:$L$2501,$L1212,'AR SALES'!$AD$2:$AD$2501,IF(""&amp;$F1212="4","OFF","ON"),'AR SALES'!$AF$2:$AF$2501,"Y")&gt;0,"","NO EXEMPTION"))),"")</f>
        <v/>
      </c>
    </row>
    <row r="1213" spans="46:54" x14ac:dyDescent="0.25">
      <c r="AT1213" s="2" t="str">
        <f>IF($L1213="","",IFERROR(INDEX('AR SALES'!$H$2:$H$2501,MATCH(""&amp;$L1213,'AR SALES'!$AE$2:$AE$2501,0)),""))</f>
        <v/>
      </c>
      <c r="AU1213" s="2" t="str">
        <f t="shared" si="72"/>
        <v/>
      </c>
      <c r="AV1213" s="2" t="str">
        <f t="shared" si="73"/>
        <v/>
      </c>
      <c r="AW1213" s="2" t="str">
        <f t="shared" si="74"/>
        <v/>
      </c>
      <c r="AX1213" s="2" t="str">
        <f t="shared" si="75"/>
        <v/>
      </c>
      <c r="AY1213" s="2" t="str">
        <f>IF($AV1213="","",IF(AND($Z1213=0,COUNTIF('AR SALES'!$L$2:$L$2501,$L1213)=0),"YES",""))</f>
        <v/>
      </c>
      <c r="AZ1213" s="2" t="str">
        <f>IF($AV1213="","",IF(COUNTIF(LISTS!$C$2:$C$250,$AU1213)=0,"NEW",""))</f>
        <v/>
      </c>
      <c r="BA1213" s="2" t="str">
        <f>IF(""&amp;$F1213&lt;&gt;"4","",IF($AY1213="YES","",IF(ROUND(SUMIFS($AE$2:$AE$4001,$L$2:$L$4001,$L1213,$F$2:$F$4001,"4")-SUMIFS('AR SALES'!$Y$2:$Y$2501,'AR SALES'!$L$2:$L$2501,$L1213,'AR SALES'!$AD$2:$AD$2501,"OFF"),2)=0,"","STALE")))</f>
        <v/>
      </c>
      <c r="BB1213" s="2" t="str">
        <f>IF(OR(""&amp;$F1213="2",""&amp;$F1213="4",""&amp;$F1213="G",""&amp;$F1213="H"),IF($AY1213="YES","",IF($AB1213&lt;&gt;0,"",IF(COUNTIFS('AR SALES'!$L$2:$L$2501,$L1213,'AR SALES'!$AD$2:$AD$2501,IF(""&amp;$F1213="4","OFF","ON"),'AR SALES'!$AF$2:$AF$2501,"Y")&gt;0,"","NO EXEMPTION"))),"")</f>
        <v/>
      </c>
    </row>
    <row r="1214" spans="46:54" x14ac:dyDescent="0.25">
      <c r="AT1214" s="2" t="str">
        <f>IF($L1214="","",IFERROR(INDEX('AR SALES'!$H$2:$H$2501,MATCH(""&amp;$L1214,'AR SALES'!$AE$2:$AE$2501,0)),""))</f>
        <v/>
      </c>
      <c r="AU1214" s="2" t="str">
        <f t="shared" si="72"/>
        <v/>
      </c>
      <c r="AV1214" s="2" t="str">
        <f t="shared" si="73"/>
        <v/>
      </c>
      <c r="AW1214" s="2" t="str">
        <f t="shared" si="74"/>
        <v/>
      </c>
      <c r="AX1214" s="2" t="str">
        <f t="shared" si="75"/>
        <v/>
      </c>
      <c r="AY1214" s="2" t="str">
        <f>IF($AV1214="","",IF(AND($Z1214=0,COUNTIF('AR SALES'!$L$2:$L$2501,$L1214)=0),"YES",""))</f>
        <v/>
      </c>
      <c r="AZ1214" s="2" t="str">
        <f>IF($AV1214="","",IF(COUNTIF(LISTS!$C$2:$C$250,$AU1214)=0,"NEW",""))</f>
        <v/>
      </c>
      <c r="BA1214" s="2" t="str">
        <f>IF(""&amp;$F1214&lt;&gt;"4","",IF($AY1214="YES","",IF(ROUND(SUMIFS($AE$2:$AE$4001,$L$2:$L$4001,$L1214,$F$2:$F$4001,"4")-SUMIFS('AR SALES'!$Y$2:$Y$2501,'AR SALES'!$L$2:$L$2501,$L1214,'AR SALES'!$AD$2:$AD$2501,"OFF"),2)=0,"","STALE")))</f>
        <v/>
      </c>
      <c r="BB1214" s="2" t="str">
        <f>IF(OR(""&amp;$F1214="2",""&amp;$F1214="4",""&amp;$F1214="G",""&amp;$F1214="H"),IF($AY1214="YES","",IF($AB1214&lt;&gt;0,"",IF(COUNTIFS('AR SALES'!$L$2:$L$2501,$L1214,'AR SALES'!$AD$2:$AD$2501,IF(""&amp;$F1214="4","OFF","ON"),'AR SALES'!$AF$2:$AF$2501,"Y")&gt;0,"","NO EXEMPTION"))),"")</f>
        <v/>
      </c>
    </row>
    <row r="1215" spans="46:54" x14ac:dyDescent="0.25">
      <c r="AT1215" s="2" t="str">
        <f>IF($L1215="","",IFERROR(INDEX('AR SALES'!$H$2:$H$2501,MATCH(""&amp;$L1215,'AR SALES'!$AE$2:$AE$2501,0)),""))</f>
        <v/>
      </c>
      <c r="AU1215" s="2" t="str">
        <f t="shared" si="72"/>
        <v/>
      </c>
      <c r="AV1215" s="2" t="str">
        <f t="shared" si="73"/>
        <v/>
      </c>
      <c r="AW1215" s="2" t="str">
        <f t="shared" si="74"/>
        <v/>
      </c>
      <c r="AX1215" s="2" t="str">
        <f t="shared" si="75"/>
        <v/>
      </c>
      <c r="AY1215" s="2" t="str">
        <f>IF($AV1215="","",IF(AND($Z1215=0,COUNTIF('AR SALES'!$L$2:$L$2501,$L1215)=0),"YES",""))</f>
        <v/>
      </c>
      <c r="AZ1215" s="2" t="str">
        <f>IF($AV1215="","",IF(COUNTIF(LISTS!$C$2:$C$250,$AU1215)=0,"NEW",""))</f>
        <v/>
      </c>
      <c r="BA1215" s="2" t="str">
        <f>IF(""&amp;$F1215&lt;&gt;"4","",IF($AY1215="YES","",IF(ROUND(SUMIFS($AE$2:$AE$4001,$L$2:$L$4001,$L1215,$F$2:$F$4001,"4")-SUMIFS('AR SALES'!$Y$2:$Y$2501,'AR SALES'!$L$2:$L$2501,$L1215,'AR SALES'!$AD$2:$AD$2501,"OFF"),2)=0,"","STALE")))</f>
        <v/>
      </c>
      <c r="BB1215" s="2" t="str">
        <f>IF(OR(""&amp;$F1215="2",""&amp;$F1215="4",""&amp;$F1215="G",""&amp;$F1215="H"),IF($AY1215="YES","",IF($AB1215&lt;&gt;0,"",IF(COUNTIFS('AR SALES'!$L$2:$L$2501,$L1215,'AR SALES'!$AD$2:$AD$2501,IF(""&amp;$F1215="4","OFF","ON"),'AR SALES'!$AF$2:$AF$2501,"Y")&gt;0,"","NO EXEMPTION"))),"")</f>
        <v/>
      </c>
    </row>
    <row r="1216" spans="46:54" x14ac:dyDescent="0.25">
      <c r="AT1216" s="2" t="str">
        <f>IF($L1216="","",IFERROR(INDEX('AR SALES'!$H$2:$H$2501,MATCH(""&amp;$L1216,'AR SALES'!$AE$2:$AE$2501,0)),""))</f>
        <v/>
      </c>
      <c r="AU1216" s="2" t="str">
        <f t="shared" si="72"/>
        <v/>
      </c>
      <c r="AV1216" s="2" t="str">
        <f t="shared" si="73"/>
        <v/>
      </c>
      <c r="AW1216" s="2" t="str">
        <f t="shared" si="74"/>
        <v/>
      </c>
      <c r="AX1216" s="2" t="str">
        <f t="shared" si="75"/>
        <v/>
      </c>
      <c r="AY1216" s="2" t="str">
        <f>IF($AV1216="","",IF(AND($Z1216=0,COUNTIF('AR SALES'!$L$2:$L$2501,$L1216)=0),"YES",""))</f>
        <v/>
      </c>
      <c r="AZ1216" s="2" t="str">
        <f>IF($AV1216="","",IF(COUNTIF(LISTS!$C$2:$C$250,$AU1216)=0,"NEW",""))</f>
        <v/>
      </c>
      <c r="BA1216" s="2" t="str">
        <f>IF(""&amp;$F1216&lt;&gt;"4","",IF($AY1216="YES","",IF(ROUND(SUMIFS($AE$2:$AE$4001,$L$2:$L$4001,$L1216,$F$2:$F$4001,"4")-SUMIFS('AR SALES'!$Y$2:$Y$2501,'AR SALES'!$L$2:$L$2501,$L1216,'AR SALES'!$AD$2:$AD$2501,"OFF"),2)=0,"","STALE")))</f>
        <v/>
      </c>
      <c r="BB1216" s="2" t="str">
        <f>IF(OR(""&amp;$F1216="2",""&amp;$F1216="4",""&amp;$F1216="G",""&amp;$F1216="H"),IF($AY1216="YES","",IF($AB1216&lt;&gt;0,"",IF(COUNTIFS('AR SALES'!$L$2:$L$2501,$L1216,'AR SALES'!$AD$2:$AD$2501,IF(""&amp;$F1216="4","OFF","ON"),'AR SALES'!$AF$2:$AF$2501,"Y")&gt;0,"","NO EXEMPTION"))),"")</f>
        <v/>
      </c>
    </row>
    <row r="1217" spans="46:54" x14ac:dyDescent="0.25">
      <c r="AT1217" s="2" t="str">
        <f>IF($L1217="","",IFERROR(INDEX('AR SALES'!$H$2:$H$2501,MATCH(""&amp;$L1217,'AR SALES'!$AE$2:$AE$2501,0)),""))</f>
        <v/>
      </c>
      <c r="AU1217" s="2" t="str">
        <f t="shared" si="72"/>
        <v/>
      </c>
      <c r="AV1217" s="2" t="str">
        <f t="shared" si="73"/>
        <v/>
      </c>
      <c r="AW1217" s="2" t="str">
        <f t="shared" si="74"/>
        <v/>
      </c>
      <c r="AX1217" s="2" t="str">
        <f t="shared" si="75"/>
        <v/>
      </c>
      <c r="AY1217" s="2" t="str">
        <f>IF($AV1217="","",IF(AND($Z1217=0,COUNTIF('AR SALES'!$L$2:$L$2501,$L1217)=0),"YES",""))</f>
        <v/>
      </c>
      <c r="AZ1217" s="2" t="str">
        <f>IF($AV1217="","",IF(COUNTIF(LISTS!$C$2:$C$250,$AU1217)=0,"NEW",""))</f>
        <v/>
      </c>
      <c r="BA1217" s="2" t="str">
        <f>IF(""&amp;$F1217&lt;&gt;"4","",IF($AY1217="YES","",IF(ROUND(SUMIFS($AE$2:$AE$4001,$L$2:$L$4001,$L1217,$F$2:$F$4001,"4")-SUMIFS('AR SALES'!$Y$2:$Y$2501,'AR SALES'!$L$2:$L$2501,$L1217,'AR SALES'!$AD$2:$AD$2501,"OFF"),2)=0,"","STALE")))</f>
        <v/>
      </c>
      <c r="BB1217" s="2" t="str">
        <f>IF(OR(""&amp;$F1217="2",""&amp;$F1217="4",""&amp;$F1217="G",""&amp;$F1217="H"),IF($AY1217="YES","",IF($AB1217&lt;&gt;0,"",IF(COUNTIFS('AR SALES'!$L$2:$L$2501,$L1217,'AR SALES'!$AD$2:$AD$2501,IF(""&amp;$F1217="4","OFF","ON"),'AR SALES'!$AF$2:$AF$2501,"Y")&gt;0,"","NO EXEMPTION"))),"")</f>
        <v/>
      </c>
    </row>
    <row r="1218" spans="46:54" x14ac:dyDescent="0.25">
      <c r="AT1218" s="2" t="str">
        <f>IF($L1218="","",IFERROR(INDEX('AR SALES'!$H$2:$H$2501,MATCH(""&amp;$L1218,'AR SALES'!$AE$2:$AE$2501,0)),""))</f>
        <v/>
      </c>
      <c r="AU1218" s="2" t="str">
        <f t="shared" ref="AU1218:AU1281" si="76">IF($L1218="","",IF($A1218&lt;&gt;"GA","",IF($E1218="FULTON",IF(ISNUMBER(SEARCH("COLLEGE PARK",$AT1218)),"FULTON (COLLEGE PARK)",IF(ISNUMBER(SEARCH("ATLANTA CITY",$AT1218)),"FULTON (ATL LIMITS)","FULTON")),IF($E1218="DEKALB",IF(ISNUMBER(SEARCH("ATLANTA CITY",$AT1218)),"DEKALB (ATL LIMITS)","DEKALB"),$E1218))))</f>
        <v/>
      </c>
      <c r="AV1218" s="2" t="str">
        <f t="shared" ref="AV1218:AV1281" si="77">IF($L1218="","",IF(""&amp;$F1218="2","DIESEL",IF(OR(""&amp;$F1218="G",""&amp;$F1218="H"),"GAS","")))</f>
        <v/>
      </c>
      <c r="AW1218" s="2" t="str">
        <f t="shared" ref="AW1218:AW1281" si="78">IF($AV1218="","",$R1218)</f>
        <v/>
      </c>
      <c r="AX1218" s="2" t="str">
        <f t="shared" ref="AX1218:AX1281" si="79">IF($AV1218="","",IF($AB1218=0,$R1218,0))</f>
        <v/>
      </c>
      <c r="AY1218" s="2" t="str">
        <f>IF($AV1218="","",IF(AND($Z1218=0,COUNTIF('AR SALES'!$L$2:$L$2501,$L1218)=0),"YES",""))</f>
        <v/>
      </c>
      <c r="AZ1218" s="2" t="str">
        <f>IF($AV1218="","",IF(COUNTIF(LISTS!$C$2:$C$250,$AU1218)=0,"NEW",""))</f>
        <v/>
      </c>
      <c r="BA1218" s="2" t="str">
        <f>IF(""&amp;$F1218&lt;&gt;"4","",IF($AY1218="YES","",IF(ROUND(SUMIFS($AE$2:$AE$4001,$L$2:$L$4001,$L1218,$F$2:$F$4001,"4")-SUMIFS('AR SALES'!$Y$2:$Y$2501,'AR SALES'!$L$2:$L$2501,$L1218,'AR SALES'!$AD$2:$AD$2501,"OFF"),2)=0,"","STALE")))</f>
        <v/>
      </c>
      <c r="BB1218" s="2" t="str">
        <f>IF(OR(""&amp;$F1218="2",""&amp;$F1218="4",""&amp;$F1218="G",""&amp;$F1218="H"),IF($AY1218="YES","",IF($AB1218&lt;&gt;0,"",IF(COUNTIFS('AR SALES'!$L$2:$L$2501,$L1218,'AR SALES'!$AD$2:$AD$2501,IF(""&amp;$F1218="4","OFF","ON"),'AR SALES'!$AF$2:$AF$2501,"Y")&gt;0,"","NO EXEMPTION"))),"")</f>
        <v/>
      </c>
    </row>
    <row r="1219" spans="46:54" x14ac:dyDescent="0.25">
      <c r="AT1219" s="2" t="str">
        <f>IF($L1219="","",IFERROR(INDEX('AR SALES'!$H$2:$H$2501,MATCH(""&amp;$L1219,'AR SALES'!$AE$2:$AE$2501,0)),""))</f>
        <v/>
      </c>
      <c r="AU1219" s="2" t="str">
        <f t="shared" si="76"/>
        <v/>
      </c>
      <c r="AV1219" s="2" t="str">
        <f t="shared" si="77"/>
        <v/>
      </c>
      <c r="AW1219" s="2" t="str">
        <f t="shared" si="78"/>
        <v/>
      </c>
      <c r="AX1219" s="2" t="str">
        <f t="shared" si="79"/>
        <v/>
      </c>
      <c r="AY1219" s="2" t="str">
        <f>IF($AV1219="","",IF(AND($Z1219=0,COUNTIF('AR SALES'!$L$2:$L$2501,$L1219)=0),"YES",""))</f>
        <v/>
      </c>
      <c r="AZ1219" s="2" t="str">
        <f>IF($AV1219="","",IF(COUNTIF(LISTS!$C$2:$C$250,$AU1219)=0,"NEW",""))</f>
        <v/>
      </c>
      <c r="BA1219" s="2" t="str">
        <f>IF(""&amp;$F1219&lt;&gt;"4","",IF($AY1219="YES","",IF(ROUND(SUMIFS($AE$2:$AE$4001,$L$2:$L$4001,$L1219,$F$2:$F$4001,"4")-SUMIFS('AR SALES'!$Y$2:$Y$2501,'AR SALES'!$L$2:$L$2501,$L1219,'AR SALES'!$AD$2:$AD$2501,"OFF"),2)=0,"","STALE")))</f>
        <v/>
      </c>
      <c r="BB1219" s="2" t="str">
        <f>IF(OR(""&amp;$F1219="2",""&amp;$F1219="4",""&amp;$F1219="G",""&amp;$F1219="H"),IF($AY1219="YES","",IF($AB1219&lt;&gt;0,"",IF(COUNTIFS('AR SALES'!$L$2:$L$2501,$L1219,'AR SALES'!$AD$2:$AD$2501,IF(""&amp;$F1219="4","OFF","ON"),'AR SALES'!$AF$2:$AF$2501,"Y")&gt;0,"","NO EXEMPTION"))),"")</f>
        <v/>
      </c>
    </row>
    <row r="1220" spans="46:54" x14ac:dyDescent="0.25">
      <c r="AT1220" s="2" t="str">
        <f>IF($L1220="","",IFERROR(INDEX('AR SALES'!$H$2:$H$2501,MATCH(""&amp;$L1220,'AR SALES'!$AE$2:$AE$2501,0)),""))</f>
        <v/>
      </c>
      <c r="AU1220" s="2" t="str">
        <f t="shared" si="76"/>
        <v/>
      </c>
      <c r="AV1220" s="2" t="str">
        <f t="shared" si="77"/>
        <v/>
      </c>
      <c r="AW1220" s="2" t="str">
        <f t="shared" si="78"/>
        <v/>
      </c>
      <c r="AX1220" s="2" t="str">
        <f t="shared" si="79"/>
        <v/>
      </c>
      <c r="AY1220" s="2" t="str">
        <f>IF($AV1220="","",IF(AND($Z1220=0,COUNTIF('AR SALES'!$L$2:$L$2501,$L1220)=0),"YES",""))</f>
        <v/>
      </c>
      <c r="AZ1220" s="2" t="str">
        <f>IF($AV1220="","",IF(COUNTIF(LISTS!$C$2:$C$250,$AU1220)=0,"NEW",""))</f>
        <v/>
      </c>
      <c r="BA1220" s="2" t="str">
        <f>IF(""&amp;$F1220&lt;&gt;"4","",IF($AY1220="YES","",IF(ROUND(SUMIFS($AE$2:$AE$4001,$L$2:$L$4001,$L1220,$F$2:$F$4001,"4")-SUMIFS('AR SALES'!$Y$2:$Y$2501,'AR SALES'!$L$2:$L$2501,$L1220,'AR SALES'!$AD$2:$AD$2501,"OFF"),2)=0,"","STALE")))</f>
        <v/>
      </c>
      <c r="BB1220" s="2" t="str">
        <f>IF(OR(""&amp;$F1220="2",""&amp;$F1220="4",""&amp;$F1220="G",""&amp;$F1220="H"),IF($AY1220="YES","",IF($AB1220&lt;&gt;0,"",IF(COUNTIFS('AR SALES'!$L$2:$L$2501,$L1220,'AR SALES'!$AD$2:$AD$2501,IF(""&amp;$F1220="4","OFF","ON"),'AR SALES'!$AF$2:$AF$2501,"Y")&gt;0,"","NO EXEMPTION"))),"")</f>
        <v/>
      </c>
    </row>
    <row r="1221" spans="46:54" x14ac:dyDescent="0.25">
      <c r="AT1221" s="2" t="str">
        <f>IF($L1221="","",IFERROR(INDEX('AR SALES'!$H$2:$H$2501,MATCH(""&amp;$L1221,'AR SALES'!$AE$2:$AE$2501,0)),""))</f>
        <v/>
      </c>
      <c r="AU1221" s="2" t="str">
        <f t="shared" si="76"/>
        <v/>
      </c>
      <c r="AV1221" s="2" t="str">
        <f t="shared" si="77"/>
        <v/>
      </c>
      <c r="AW1221" s="2" t="str">
        <f t="shared" si="78"/>
        <v/>
      </c>
      <c r="AX1221" s="2" t="str">
        <f t="shared" si="79"/>
        <v/>
      </c>
      <c r="AY1221" s="2" t="str">
        <f>IF($AV1221="","",IF(AND($Z1221=0,COUNTIF('AR SALES'!$L$2:$L$2501,$L1221)=0),"YES",""))</f>
        <v/>
      </c>
      <c r="AZ1221" s="2" t="str">
        <f>IF($AV1221="","",IF(COUNTIF(LISTS!$C$2:$C$250,$AU1221)=0,"NEW",""))</f>
        <v/>
      </c>
      <c r="BA1221" s="2" t="str">
        <f>IF(""&amp;$F1221&lt;&gt;"4","",IF($AY1221="YES","",IF(ROUND(SUMIFS($AE$2:$AE$4001,$L$2:$L$4001,$L1221,$F$2:$F$4001,"4")-SUMIFS('AR SALES'!$Y$2:$Y$2501,'AR SALES'!$L$2:$L$2501,$L1221,'AR SALES'!$AD$2:$AD$2501,"OFF"),2)=0,"","STALE")))</f>
        <v/>
      </c>
      <c r="BB1221" s="2" t="str">
        <f>IF(OR(""&amp;$F1221="2",""&amp;$F1221="4",""&amp;$F1221="G",""&amp;$F1221="H"),IF($AY1221="YES","",IF($AB1221&lt;&gt;0,"",IF(COUNTIFS('AR SALES'!$L$2:$L$2501,$L1221,'AR SALES'!$AD$2:$AD$2501,IF(""&amp;$F1221="4","OFF","ON"),'AR SALES'!$AF$2:$AF$2501,"Y")&gt;0,"","NO EXEMPTION"))),"")</f>
        <v/>
      </c>
    </row>
    <row r="1222" spans="46:54" x14ac:dyDescent="0.25">
      <c r="AT1222" s="2" t="str">
        <f>IF($L1222="","",IFERROR(INDEX('AR SALES'!$H$2:$H$2501,MATCH(""&amp;$L1222,'AR SALES'!$AE$2:$AE$2501,0)),""))</f>
        <v/>
      </c>
      <c r="AU1222" s="2" t="str">
        <f t="shared" si="76"/>
        <v/>
      </c>
      <c r="AV1222" s="2" t="str">
        <f t="shared" si="77"/>
        <v/>
      </c>
      <c r="AW1222" s="2" t="str">
        <f t="shared" si="78"/>
        <v/>
      </c>
      <c r="AX1222" s="2" t="str">
        <f t="shared" si="79"/>
        <v/>
      </c>
      <c r="AY1222" s="2" t="str">
        <f>IF($AV1222="","",IF(AND($Z1222=0,COUNTIF('AR SALES'!$L$2:$L$2501,$L1222)=0),"YES",""))</f>
        <v/>
      </c>
      <c r="AZ1222" s="2" t="str">
        <f>IF($AV1222="","",IF(COUNTIF(LISTS!$C$2:$C$250,$AU1222)=0,"NEW",""))</f>
        <v/>
      </c>
      <c r="BA1222" s="2" t="str">
        <f>IF(""&amp;$F1222&lt;&gt;"4","",IF($AY1222="YES","",IF(ROUND(SUMIFS($AE$2:$AE$4001,$L$2:$L$4001,$L1222,$F$2:$F$4001,"4")-SUMIFS('AR SALES'!$Y$2:$Y$2501,'AR SALES'!$L$2:$L$2501,$L1222,'AR SALES'!$AD$2:$AD$2501,"OFF"),2)=0,"","STALE")))</f>
        <v/>
      </c>
      <c r="BB1222" s="2" t="str">
        <f>IF(OR(""&amp;$F1222="2",""&amp;$F1222="4",""&amp;$F1222="G",""&amp;$F1222="H"),IF($AY1222="YES","",IF($AB1222&lt;&gt;0,"",IF(COUNTIFS('AR SALES'!$L$2:$L$2501,$L1222,'AR SALES'!$AD$2:$AD$2501,IF(""&amp;$F1222="4","OFF","ON"),'AR SALES'!$AF$2:$AF$2501,"Y")&gt;0,"","NO EXEMPTION"))),"")</f>
        <v/>
      </c>
    </row>
    <row r="1223" spans="46:54" x14ac:dyDescent="0.25">
      <c r="AT1223" s="2" t="str">
        <f>IF($L1223="","",IFERROR(INDEX('AR SALES'!$H$2:$H$2501,MATCH(""&amp;$L1223,'AR SALES'!$AE$2:$AE$2501,0)),""))</f>
        <v/>
      </c>
      <c r="AU1223" s="2" t="str">
        <f t="shared" si="76"/>
        <v/>
      </c>
      <c r="AV1223" s="2" t="str">
        <f t="shared" si="77"/>
        <v/>
      </c>
      <c r="AW1223" s="2" t="str">
        <f t="shared" si="78"/>
        <v/>
      </c>
      <c r="AX1223" s="2" t="str">
        <f t="shared" si="79"/>
        <v/>
      </c>
      <c r="AY1223" s="2" t="str">
        <f>IF($AV1223="","",IF(AND($Z1223=0,COUNTIF('AR SALES'!$L$2:$L$2501,$L1223)=0),"YES",""))</f>
        <v/>
      </c>
      <c r="AZ1223" s="2" t="str">
        <f>IF($AV1223="","",IF(COUNTIF(LISTS!$C$2:$C$250,$AU1223)=0,"NEW",""))</f>
        <v/>
      </c>
      <c r="BA1223" s="2" t="str">
        <f>IF(""&amp;$F1223&lt;&gt;"4","",IF($AY1223="YES","",IF(ROUND(SUMIFS($AE$2:$AE$4001,$L$2:$L$4001,$L1223,$F$2:$F$4001,"4")-SUMIFS('AR SALES'!$Y$2:$Y$2501,'AR SALES'!$L$2:$L$2501,$L1223,'AR SALES'!$AD$2:$AD$2501,"OFF"),2)=0,"","STALE")))</f>
        <v/>
      </c>
      <c r="BB1223" s="2" t="str">
        <f>IF(OR(""&amp;$F1223="2",""&amp;$F1223="4",""&amp;$F1223="G",""&amp;$F1223="H"),IF($AY1223="YES","",IF($AB1223&lt;&gt;0,"",IF(COUNTIFS('AR SALES'!$L$2:$L$2501,$L1223,'AR SALES'!$AD$2:$AD$2501,IF(""&amp;$F1223="4","OFF","ON"),'AR SALES'!$AF$2:$AF$2501,"Y")&gt;0,"","NO EXEMPTION"))),"")</f>
        <v/>
      </c>
    </row>
    <row r="1224" spans="46:54" x14ac:dyDescent="0.25">
      <c r="AT1224" s="2" t="str">
        <f>IF($L1224="","",IFERROR(INDEX('AR SALES'!$H$2:$H$2501,MATCH(""&amp;$L1224,'AR SALES'!$AE$2:$AE$2501,0)),""))</f>
        <v/>
      </c>
      <c r="AU1224" s="2" t="str">
        <f t="shared" si="76"/>
        <v/>
      </c>
      <c r="AV1224" s="2" t="str">
        <f t="shared" si="77"/>
        <v/>
      </c>
      <c r="AW1224" s="2" t="str">
        <f t="shared" si="78"/>
        <v/>
      </c>
      <c r="AX1224" s="2" t="str">
        <f t="shared" si="79"/>
        <v/>
      </c>
      <c r="AY1224" s="2" t="str">
        <f>IF($AV1224="","",IF(AND($Z1224=0,COUNTIF('AR SALES'!$L$2:$L$2501,$L1224)=0),"YES",""))</f>
        <v/>
      </c>
      <c r="AZ1224" s="2" t="str">
        <f>IF($AV1224="","",IF(COUNTIF(LISTS!$C$2:$C$250,$AU1224)=0,"NEW",""))</f>
        <v/>
      </c>
      <c r="BA1224" s="2" t="str">
        <f>IF(""&amp;$F1224&lt;&gt;"4","",IF($AY1224="YES","",IF(ROUND(SUMIFS($AE$2:$AE$4001,$L$2:$L$4001,$L1224,$F$2:$F$4001,"4")-SUMIFS('AR SALES'!$Y$2:$Y$2501,'AR SALES'!$L$2:$L$2501,$L1224,'AR SALES'!$AD$2:$AD$2501,"OFF"),2)=0,"","STALE")))</f>
        <v/>
      </c>
      <c r="BB1224" s="2" t="str">
        <f>IF(OR(""&amp;$F1224="2",""&amp;$F1224="4",""&amp;$F1224="G",""&amp;$F1224="H"),IF($AY1224="YES","",IF($AB1224&lt;&gt;0,"",IF(COUNTIFS('AR SALES'!$L$2:$L$2501,$L1224,'AR SALES'!$AD$2:$AD$2501,IF(""&amp;$F1224="4","OFF","ON"),'AR SALES'!$AF$2:$AF$2501,"Y")&gt;0,"","NO EXEMPTION"))),"")</f>
        <v/>
      </c>
    </row>
    <row r="1225" spans="46:54" x14ac:dyDescent="0.25">
      <c r="AT1225" s="2" t="str">
        <f>IF($L1225="","",IFERROR(INDEX('AR SALES'!$H$2:$H$2501,MATCH(""&amp;$L1225,'AR SALES'!$AE$2:$AE$2501,0)),""))</f>
        <v/>
      </c>
      <c r="AU1225" s="2" t="str">
        <f t="shared" si="76"/>
        <v/>
      </c>
      <c r="AV1225" s="2" t="str">
        <f t="shared" si="77"/>
        <v/>
      </c>
      <c r="AW1225" s="2" t="str">
        <f t="shared" si="78"/>
        <v/>
      </c>
      <c r="AX1225" s="2" t="str">
        <f t="shared" si="79"/>
        <v/>
      </c>
      <c r="AY1225" s="2" t="str">
        <f>IF($AV1225="","",IF(AND($Z1225=0,COUNTIF('AR SALES'!$L$2:$L$2501,$L1225)=0),"YES",""))</f>
        <v/>
      </c>
      <c r="AZ1225" s="2" t="str">
        <f>IF($AV1225="","",IF(COUNTIF(LISTS!$C$2:$C$250,$AU1225)=0,"NEW",""))</f>
        <v/>
      </c>
      <c r="BA1225" s="2" t="str">
        <f>IF(""&amp;$F1225&lt;&gt;"4","",IF($AY1225="YES","",IF(ROUND(SUMIFS($AE$2:$AE$4001,$L$2:$L$4001,$L1225,$F$2:$F$4001,"4")-SUMIFS('AR SALES'!$Y$2:$Y$2501,'AR SALES'!$L$2:$L$2501,$L1225,'AR SALES'!$AD$2:$AD$2501,"OFF"),2)=0,"","STALE")))</f>
        <v/>
      </c>
      <c r="BB1225" s="2" t="str">
        <f>IF(OR(""&amp;$F1225="2",""&amp;$F1225="4",""&amp;$F1225="G",""&amp;$F1225="H"),IF($AY1225="YES","",IF($AB1225&lt;&gt;0,"",IF(COUNTIFS('AR SALES'!$L$2:$L$2501,$L1225,'AR SALES'!$AD$2:$AD$2501,IF(""&amp;$F1225="4","OFF","ON"),'AR SALES'!$AF$2:$AF$2501,"Y")&gt;0,"","NO EXEMPTION"))),"")</f>
        <v/>
      </c>
    </row>
    <row r="1226" spans="46:54" x14ac:dyDescent="0.25">
      <c r="AT1226" s="2" t="str">
        <f>IF($L1226="","",IFERROR(INDEX('AR SALES'!$H$2:$H$2501,MATCH(""&amp;$L1226,'AR SALES'!$AE$2:$AE$2501,0)),""))</f>
        <v/>
      </c>
      <c r="AU1226" s="2" t="str">
        <f t="shared" si="76"/>
        <v/>
      </c>
      <c r="AV1226" s="2" t="str">
        <f t="shared" si="77"/>
        <v/>
      </c>
      <c r="AW1226" s="2" t="str">
        <f t="shared" si="78"/>
        <v/>
      </c>
      <c r="AX1226" s="2" t="str">
        <f t="shared" si="79"/>
        <v/>
      </c>
      <c r="AY1226" s="2" t="str">
        <f>IF($AV1226="","",IF(AND($Z1226=0,COUNTIF('AR SALES'!$L$2:$L$2501,$L1226)=0),"YES",""))</f>
        <v/>
      </c>
      <c r="AZ1226" s="2" t="str">
        <f>IF($AV1226="","",IF(COUNTIF(LISTS!$C$2:$C$250,$AU1226)=0,"NEW",""))</f>
        <v/>
      </c>
      <c r="BA1226" s="2" t="str">
        <f>IF(""&amp;$F1226&lt;&gt;"4","",IF($AY1226="YES","",IF(ROUND(SUMIFS($AE$2:$AE$4001,$L$2:$L$4001,$L1226,$F$2:$F$4001,"4")-SUMIFS('AR SALES'!$Y$2:$Y$2501,'AR SALES'!$L$2:$L$2501,$L1226,'AR SALES'!$AD$2:$AD$2501,"OFF"),2)=0,"","STALE")))</f>
        <v/>
      </c>
      <c r="BB1226" s="2" t="str">
        <f>IF(OR(""&amp;$F1226="2",""&amp;$F1226="4",""&amp;$F1226="G",""&amp;$F1226="H"),IF($AY1226="YES","",IF($AB1226&lt;&gt;0,"",IF(COUNTIFS('AR SALES'!$L$2:$L$2501,$L1226,'AR SALES'!$AD$2:$AD$2501,IF(""&amp;$F1226="4","OFF","ON"),'AR SALES'!$AF$2:$AF$2501,"Y")&gt;0,"","NO EXEMPTION"))),"")</f>
        <v/>
      </c>
    </row>
    <row r="1227" spans="46:54" x14ac:dyDescent="0.25">
      <c r="AT1227" s="2" t="str">
        <f>IF($L1227="","",IFERROR(INDEX('AR SALES'!$H$2:$H$2501,MATCH(""&amp;$L1227,'AR SALES'!$AE$2:$AE$2501,0)),""))</f>
        <v/>
      </c>
      <c r="AU1227" s="2" t="str">
        <f t="shared" si="76"/>
        <v/>
      </c>
      <c r="AV1227" s="2" t="str">
        <f t="shared" si="77"/>
        <v/>
      </c>
      <c r="AW1227" s="2" t="str">
        <f t="shared" si="78"/>
        <v/>
      </c>
      <c r="AX1227" s="2" t="str">
        <f t="shared" si="79"/>
        <v/>
      </c>
      <c r="AY1227" s="2" t="str">
        <f>IF($AV1227="","",IF(AND($Z1227=0,COUNTIF('AR SALES'!$L$2:$L$2501,$L1227)=0),"YES",""))</f>
        <v/>
      </c>
      <c r="AZ1227" s="2" t="str">
        <f>IF($AV1227="","",IF(COUNTIF(LISTS!$C$2:$C$250,$AU1227)=0,"NEW",""))</f>
        <v/>
      </c>
      <c r="BA1227" s="2" t="str">
        <f>IF(""&amp;$F1227&lt;&gt;"4","",IF($AY1227="YES","",IF(ROUND(SUMIFS($AE$2:$AE$4001,$L$2:$L$4001,$L1227,$F$2:$F$4001,"4")-SUMIFS('AR SALES'!$Y$2:$Y$2501,'AR SALES'!$L$2:$L$2501,$L1227,'AR SALES'!$AD$2:$AD$2501,"OFF"),2)=0,"","STALE")))</f>
        <v/>
      </c>
      <c r="BB1227" s="2" t="str">
        <f>IF(OR(""&amp;$F1227="2",""&amp;$F1227="4",""&amp;$F1227="G",""&amp;$F1227="H"),IF($AY1227="YES","",IF($AB1227&lt;&gt;0,"",IF(COUNTIFS('AR SALES'!$L$2:$L$2501,$L1227,'AR SALES'!$AD$2:$AD$2501,IF(""&amp;$F1227="4","OFF","ON"),'AR SALES'!$AF$2:$AF$2501,"Y")&gt;0,"","NO EXEMPTION"))),"")</f>
        <v/>
      </c>
    </row>
    <row r="1228" spans="46:54" x14ac:dyDescent="0.25">
      <c r="AT1228" s="2" t="str">
        <f>IF($L1228="","",IFERROR(INDEX('AR SALES'!$H$2:$H$2501,MATCH(""&amp;$L1228,'AR SALES'!$AE$2:$AE$2501,0)),""))</f>
        <v/>
      </c>
      <c r="AU1228" s="2" t="str">
        <f t="shared" si="76"/>
        <v/>
      </c>
      <c r="AV1228" s="2" t="str">
        <f t="shared" si="77"/>
        <v/>
      </c>
      <c r="AW1228" s="2" t="str">
        <f t="shared" si="78"/>
        <v/>
      </c>
      <c r="AX1228" s="2" t="str">
        <f t="shared" si="79"/>
        <v/>
      </c>
      <c r="AY1228" s="2" t="str">
        <f>IF($AV1228="","",IF(AND($Z1228=0,COUNTIF('AR SALES'!$L$2:$L$2501,$L1228)=0),"YES",""))</f>
        <v/>
      </c>
      <c r="AZ1228" s="2" t="str">
        <f>IF($AV1228="","",IF(COUNTIF(LISTS!$C$2:$C$250,$AU1228)=0,"NEW",""))</f>
        <v/>
      </c>
      <c r="BA1228" s="2" t="str">
        <f>IF(""&amp;$F1228&lt;&gt;"4","",IF($AY1228="YES","",IF(ROUND(SUMIFS($AE$2:$AE$4001,$L$2:$L$4001,$L1228,$F$2:$F$4001,"4")-SUMIFS('AR SALES'!$Y$2:$Y$2501,'AR SALES'!$L$2:$L$2501,$L1228,'AR SALES'!$AD$2:$AD$2501,"OFF"),2)=0,"","STALE")))</f>
        <v/>
      </c>
      <c r="BB1228" s="2" t="str">
        <f>IF(OR(""&amp;$F1228="2",""&amp;$F1228="4",""&amp;$F1228="G",""&amp;$F1228="H"),IF($AY1228="YES","",IF($AB1228&lt;&gt;0,"",IF(COUNTIFS('AR SALES'!$L$2:$L$2501,$L1228,'AR SALES'!$AD$2:$AD$2501,IF(""&amp;$F1228="4","OFF","ON"),'AR SALES'!$AF$2:$AF$2501,"Y")&gt;0,"","NO EXEMPTION"))),"")</f>
        <v/>
      </c>
    </row>
    <row r="1229" spans="46:54" x14ac:dyDescent="0.25">
      <c r="AT1229" s="2" t="str">
        <f>IF($L1229="","",IFERROR(INDEX('AR SALES'!$H$2:$H$2501,MATCH(""&amp;$L1229,'AR SALES'!$AE$2:$AE$2501,0)),""))</f>
        <v/>
      </c>
      <c r="AU1229" s="2" t="str">
        <f t="shared" si="76"/>
        <v/>
      </c>
      <c r="AV1229" s="2" t="str">
        <f t="shared" si="77"/>
        <v/>
      </c>
      <c r="AW1229" s="2" t="str">
        <f t="shared" si="78"/>
        <v/>
      </c>
      <c r="AX1229" s="2" t="str">
        <f t="shared" si="79"/>
        <v/>
      </c>
      <c r="AY1229" s="2" t="str">
        <f>IF($AV1229="","",IF(AND($Z1229=0,COUNTIF('AR SALES'!$L$2:$L$2501,$L1229)=0),"YES",""))</f>
        <v/>
      </c>
      <c r="AZ1229" s="2" t="str">
        <f>IF($AV1229="","",IF(COUNTIF(LISTS!$C$2:$C$250,$AU1229)=0,"NEW",""))</f>
        <v/>
      </c>
      <c r="BA1229" s="2" t="str">
        <f>IF(""&amp;$F1229&lt;&gt;"4","",IF($AY1229="YES","",IF(ROUND(SUMIFS($AE$2:$AE$4001,$L$2:$L$4001,$L1229,$F$2:$F$4001,"4")-SUMIFS('AR SALES'!$Y$2:$Y$2501,'AR SALES'!$L$2:$L$2501,$L1229,'AR SALES'!$AD$2:$AD$2501,"OFF"),2)=0,"","STALE")))</f>
        <v/>
      </c>
      <c r="BB1229" s="2" t="str">
        <f>IF(OR(""&amp;$F1229="2",""&amp;$F1229="4",""&amp;$F1229="G",""&amp;$F1229="H"),IF($AY1229="YES","",IF($AB1229&lt;&gt;0,"",IF(COUNTIFS('AR SALES'!$L$2:$L$2501,$L1229,'AR SALES'!$AD$2:$AD$2501,IF(""&amp;$F1229="4","OFF","ON"),'AR SALES'!$AF$2:$AF$2501,"Y")&gt;0,"","NO EXEMPTION"))),"")</f>
        <v/>
      </c>
    </row>
    <row r="1230" spans="46:54" x14ac:dyDescent="0.25">
      <c r="AT1230" s="2" t="str">
        <f>IF($L1230="","",IFERROR(INDEX('AR SALES'!$H$2:$H$2501,MATCH(""&amp;$L1230,'AR SALES'!$AE$2:$AE$2501,0)),""))</f>
        <v/>
      </c>
      <c r="AU1230" s="2" t="str">
        <f t="shared" si="76"/>
        <v/>
      </c>
      <c r="AV1230" s="2" t="str">
        <f t="shared" si="77"/>
        <v/>
      </c>
      <c r="AW1230" s="2" t="str">
        <f t="shared" si="78"/>
        <v/>
      </c>
      <c r="AX1230" s="2" t="str">
        <f t="shared" si="79"/>
        <v/>
      </c>
      <c r="AY1230" s="2" t="str">
        <f>IF($AV1230="","",IF(AND($Z1230=0,COUNTIF('AR SALES'!$L$2:$L$2501,$L1230)=0),"YES",""))</f>
        <v/>
      </c>
      <c r="AZ1230" s="2" t="str">
        <f>IF($AV1230="","",IF(COUNTIF(LISTS!$C$2:$C$250,$AU1230)=0,"NEW",""))</f>
        <v/>
      </c>
      <c r="BA1230" s="2" t="str">
        <f>IF(""&amp;$F1230&lt;&gt;"4","",IF($AY1230="YES","",IF(ROUND(SUMIFS($AE$2:$AE$4001,$L$2:$L$4001,$L1230,$F$2:$F$4001,"4")-SUMIFS('AR SALES'!$Y$2:$Y$2501,'AR SALES'!$L$2:$L$2501,$L1230,'AR SALES'!$AD$2:$AD$2501,"OFF"),2)=0,"","STALE")))</f>
        <v/>
      </c>
      <c r="BB1230" s="2" t="str">
        <f>IF(OR(""&amp;$F1230="2",""&amp;$F1230="4",""&amp;$F1230="G",""&amp;$F1230="H"),IF($AY1230="YES","",IF($AB1230&lt;&gt;0,"",IF(COUNTIFS('AR SALES'!$L$2:$L$2501,$L1230,'AR SALES'!$AD$2:$AD$2501,IF(""&amp;$F1230="4","OFF","ON"),'AR SALES'!$AF$2:$AF$2501,"Y")&gt;0,"","NO EXEMPTION"))),"")</f>
        <v/>
      </c>
    </row>
    <row r="1231" spans="46:54" x14ac:dyDescent="0.25">
      <c r="AT1231" s="2" t="str">
        <f>IF($L1231="","",IFERROR(INDEX('AR SALES'!$H$2:$H$2501,MATCH(""&amp;$L1231,'AR SALES'!$AE$2:$AE$2501,0)),""))</f>
        <v/>
      </c>
      <c r="AU1231" s="2" t="str">
        <f t="shared" si="76"/>
        <v/>
      </c>
      <c r="AV1231" s="2" t="str">
        <f t="shared" si="77"/>
        <v/>
      </c>
      <c r="AW1231" s="2" t="str">
        <f t="shared" si="78"/>
        <v/>
      </c>
      <c r="AX1231" s="2" t="str">
        <f t="shared" si="79"/>
        <v/>
      </c>
      <c r="AY1231" s="2" t="str">
        <f>IF($AV1231="","",IF(AND($Z1231=0,COUNTIF('AR SALES'!$L$2:$L$2501,$L1231)=0),"YES",""))</f>
        <v/>
      </c>
      <c r="AZ1231" s="2" t="str">
        <f>IF($AV1231="","",IF(COUNTIF(LISTS!$C$2:$C$250,$AU1231)=0,"NEW",""))</f>
        <v/>
      </c>
      <c r="BA1231" s="2" t="str">
        <f>IF(""&amp;$F1231&lt;&gt;"4","",IF($AY1231="YES","",IF(ROUND(SUMIFS($AE$2:$AE$4001,$L$2:$L$4001,$L1231,$F$2:$F$4001,"4")-SUMIFS('AR SALES'!$Y$2:$Y$2501,'AR SALES'!$L$2:$L$2501,$L1231,'AR SALES'!$AD$2:$AD$2501,"OFF"),2)=0,"","STALE")))</f>
        <v/>
      </c>
      <c r="BB1231" s="2" t="str">
        <f>IF(OR(""&amp;$F1231="2",""&amp;$F1231="4",""&amp;$F1231="G",""&amp;$F1231="H"),IF($AY1231="YES","",IF($AB1231&lt;&gt;0,"",IF(COUNTIFS('AR SALES'!$L$2:$L$2501,$L1231,'AR SALES'!$AD$2:$AD$2501,IF(""&amp;$F1231="4","OFF","ON"),'AR SALES'!$AF$2:$AF$2501,"Y")&gt;0,"","NO EXEMPTION"))),"")</f>
        <v/>
      </c>
    </row>
    <row r="1232" spans="46:54" x14ac:dyDescent="0.25">
      <c r="AT1232" s="2" t="str">
        <f>IF($L1232="","",IFERROR(INDEX('AR SALES'!$H$2:$H$2501,MATCH(""&amp;$L1232,'AR SALES'!$AE$2:$AE$2501,0)),""))</f>
        <v/>
      </c>
      <c r="AU1232" s="2" t="str">
        <f t="shared" si="76"/>
        <v/>
      </c>
      <c r="AV1232" s="2" t="str">
        <f t="shared" si="77"/>
        <v/>
      </c>
      <c r="AW1232" s="2" t="str">
        <f t="shared" si="78"/>
        <v/>
      </c>
      <c r="AX1232" s="2" t="str">
        <f t="shared" si="79"/>
        <v/>
      </c>
      <c r="AY1232" s="2" t="str">
        <f>IF($AV1232="","",IF(AND($Z1232=0,COUNTIF('AR SALES'!$L$2:$L$2501,$L1232)=0),"YES",""))</f>
        <v/>
      </c>
      <c r="AZ1232" s="2" t="str">
        <f>IF($AV1232="","",IF(COUNTIF(LISTS!$C$2:$C$250,$AU1232)=0,"NEW",""))</f>
        <v/>
      </c>
      <c r="BA1232" s="2" t="str">
        <f>IF(""&amp;$F1232&lt;&gt;"4","",IF($AY1232="YES","",IF(ROUND(SUMIFS($AE$2:$AE$4001,$L$2:$L$4001,$L1232,$F$2:$F$4001,"4")-SUMIFS('AR SALES'!$Y$2:$Y$2501,'AR SALES'!$L$2:$L$2501,$L1232,'AR SALES'!$AD$2:$AD$2501,"OFF"),2)=0,"","STALE")))</f>
        <v/>
      </c>
      <c r="BB1232" s="2" t="str">
        <f>IF(OR(""&amp;$F1232="2",""&amp;$F1232="4",""&amp;$F1232="G",""&amp;$F1232="H"),IF($AY1232="YES","",IF($AB1232&lt;&gt;0,"",IF(COUNTIFS('AR SALES'!$L$2:$L$2501,$L1232,'AR SALES'!$AD$2:$AD$2501,IF(""&amp;$F1232="4","OFF","ON"),'AR SALES'!$AF$2:$AF$2501,"Y")&gt;0,"","NO EXEMPTION"))),"")</f>
        <v/>
      </c>
    </row>
    <row r="1233" spans="46:54" x14ac:dyDescent="0.25">
      <c r="AT1233" s="2" t="str">
        <f>IF($L1233="","",IFERROR(INDEX('AR SALES'!$H$2:$H$2501,MATCH(""&amp;$L1233,'AR SALES'!$AE$2:$AE$2501,0)),""))</f>
        <v/>
      </c>
      <c r="AU1233" s="2" t="str">
        <f t="shared" si="76"/>
        <v/>
      </c>
      <c r="AV1233" s="2" t="str">
        <f t="shared" si="77"/>
        <v/>
      </c>
      <c r="AW1233" s="2" t="str">
        <f t="shared" si="78"/>
        <v/>
      </c>
      <c r="AX1233" s="2" t="str">
        <f t="shared" si="79"/>
        <v/>
      </c>
      <c r="AY1233" s="2" t="str">
        <f>IF($AV1233="","",IF(AND($Z1233=0,COUNTIF('AR SALES'!$L$2:$L$2501,$L1233)=0),"YES",""))</f>
        <v/>
      </c>
      <c r="AZ1233" s="2" t="str">
        <f>IF($AV1233="","",IF(COUNTIF(LISTS!$C$2:$C$250,$AU1233)=0,"NEW",""))</f>
        <v/>
      </c>
      <c r="BA1233" s="2" t="str">
        <f>IF(""&amp;$F1233&lt;&gt;"4","",IF($AY1233="YES","",IF(ROUND(SUMIFS($AE$2:$AE$4001,$L$2:$L$4001,$L1233,$F$2:$F$4001,"4")-SUMIFS('AR SALES'!$Y$2:$Y$2501,'AR SALES'!$L$2:$L$2501,$L1233,'AR SALES'!$AD$2:$AD$2501,"OFF"),2)=0,"","STALE")))</f>
        <v/>
      </c>
      <c r="BB1233" s="2" t="str">
        <f>IF(OR(""&amp;$F1233="2",""&amp;$F1233="4",""&amp;$F1233="G",""&amp;$F1233="H"),IF($AY1233="YES","",IF($AB1233&lt;&gt;0,"",IF(COUNTIFS('AR SALES'!$L$2:$L$2501,$L1233,'AR SALES'!$AD$2:$AD$2501,IF(""&amp;$F1233="4","OFF","ON"),'AR SALES'!$AF$2:$AF$2501,"Y")&gt;0,"","NO EXEMPTION"))),"")</f>
        <v/>
      </c>
    </row>
    <row r="1234" spans="46:54" x14ac:dyDescent="0.25">
      <c r="AT1234" s="2" t="str">
        <f>IF($L1234="","",IFERROR(INDEX('AR SALES'!$H$2:$H$2501,MATCH(""&amp;$L1234,'AR SALES'!$AE$2:$AE$2501,0)),""))</f>
        <v/>
      </c>
      <c r="AU1234" s="2" t="str">
        <f t="shared" si="76"/>
        <v/>
      </c>
      <c r="AV1234" s="2" t="str">
        <f t="shared" si="77"/>
        <v/>
      </c>
      <c r="AW1234" s="2" t="str">
        <f t="shared" si="78"/>
        <v/>
      </c>
      <c r="AX1234" s="2" t="str">
        <f t="shared" si="79"/>
        <v/>
      </c>
      <c r="AY1234" s="2" t="str">
        <f>IF($AV1234="","",IF(AND($Z1234=0,COUNTIF('AR SALES'!$L$2:$L$2501,$L1234)=0),"YES",""))</f>
        <v/>
      </c>
      <c r="AZ1234" s="2" t="str">
        <f>IF($AV1234="","",IF(COUNTIF(LISTS!$C$2:$C$250,$AU1234)=0,"NEW",""))</f>
        <v/>
      </c>
      <c r="BA1234" s="2" t="str">
        <f>IF(""&amp;$F1234&lt;&gt;"4","",IF($AY1234="YES","",IF(ROUND(SUMIFS($AE$2:$AE$4001,$L$2:$L$4001,$L1234,$F$2:$F$4001,"4")-SUMIFS('AR SALES'!$Y$2:$Y$2501,'AR SALES'!$L$2:$L$2501,$L1234,'AR SALES'!$AD$2:$AD$2501,"OFF"),2)=0,"","STALE")))</f>
        <v/>
      </c>
      <c r="BB1234" s="2" t="str">
        <f>IF(OR(""&amp;$F1234="2",""&amp;$F1234="4",""&amp;$F1234="G",""&amp;$F1234="H"),IF($AY1234="YES","",IF($AB1234&lt;&gt;0,"",IF(COUNTIFS('AR SALES'!$L$2:$L$2501,$L1234,'AR SALES'!$AD$2:$AD$2501,IF(""&amp;$F1234="4","OFF","ON"),'AR SALES'!$AF$2:$AF$2501,"Y")&gt;0,"","NO EXEMPTION"))),"")</f>
        <v/>
      </c>
    </row>
    <row r="1235" spans="46:54" x14ac:dyDescent="0.25">
      <c r="AT1235" s="2" t="str">
        <f>IF($L1235="","",IFERROR(INDEX('AR SALES'!$H$2:$H$2501,MATCH(""&amp;$L1235,'AR SALES'!$AE$2:$AE$2501,0)),""))</f>
        <v/>
      </c>
      <c r="AU1235" s="2" t="str">
        <f t="shared" si="76"/>
        <v/>
      </c>
      <c r="AV1235" s="2" t="str">
        <f t="shared" si="77"/>
        <v/>
      </c>
      <c r="AW1235" s="2" t="str">
        <f t="shared" si="78"/>
        <v/>
      </c>
      <c r="AX1235" s="2" t="str">
        <f t="shared" si="79"/>
        <v/>
      </c>
      <c r="AY1235" s="2" t="str">
        <f>IF($AV1235="","",IF(AND($Z1235=0,COUNTIF('AR SALES'!$L$2:$L$2501,$L1235)=0),"YES",""))</f>
        <v/>
      </c>
      <c r="AZ1235" s="2" t="str">
        <f>IF($AV1235="","",IF(COUNTIF(LISTS!$C$2:$C$250,$AU1235)=0,"NEW",""))</f>
        <v/>
      </c>
      <c r="BA1235" s="2" t="str">
        <f>IF(""&amp;$F1235&lt;&gt;"4","",IF($AY1235="YES","",IF(ROUND(SUMIFS($AE$2:$AE$4001,$L$2:$L$4001,$L1235,$F$2:$F$4001,"4")-SUMIFS('AR SALES'!$Y$2:$Y$2501,'AR SALES'!$L$2:$L$2501,$L1235,'AR SALES'!$AD$2:$AD$2501,"OFF"),2)=0,"","STALE")))</f>
        <v/>
      </c>
      <c r="BB1235" s="2" t="str">
        <f>IF(OR(""&amp;$F1235="2",""&amp;$F1235="4",""&amp;$F1235="G",""&amp;$F1235="H"),IF($AY1235="YES","",IF($AB1235&lt;&gt;0,"",IF(COUNTIFS('AR SALES'!$L$2:$L$2501,$L1235,'AR SALES'!$AD$2:$AD$2501,IF(""&amp;$F1235="4","OFF","ON"),'AR SALES'!$AF$2:$AF$2501,"Y")&gt;0,"","NO EXEMPTION"))),"")</f>
        <v/>
      </c>
    </row>
    <row r="1236" spans="46:54" x14ac:dyDescent="0.25">
      <c r="AT1236" s="2" t="str">
        <f>IF($L1236="","",IFERROR(INDEX('AR SALES'!$H$2:$H$2501,MATCH(""&amp;$L1236,'AR SALES'!$AE$2:$AE$2501,0)),""))</f>
        <v/>
      </c>
      <c r="AU1236" s="2" t="str">
        <f t="shared" si="76"/>
        <v/>
      </c>
      <c r="AV1236" s="2" t="str">
        <f t="shared" si="77"/>
        <v/>
      </c>
      <c r="AW1236" s="2" t="str">
        <f t="shared" si="78"/>
        <v/>
      </c>
      <c r="AX1236" s="2" t="str">
        <f t="shared" si="79"/>
        <v/>
      </c>
      <c r="AY1236" s="2" t="str">
        <f>IF($AV1236="","",IF(AND($Z1236=0,COUNTIF('AR SALES'!$L$2:$L$2501,$L1236)=0),"YES",""))</f>
        <v/>
      </c>
      <c r="AZ1236" s="2" t="str">
        <f>IF($AV1236="","",IF(COUNTIF(LISTS!$C$2:$C$250,$AU1236)=0,"NEW",""))</f>
        <v/>
      </c>
      <c r="BA1236" s="2" t="str">
        <f>IF(""&amp;$F1236&lt;&gt;"4","",IF($AY1236="YES","",IF(ROUND(SUMIFS($AE$2:$AE$4001,$L$2:$L$4001,$L1236,$F$2:$F$4001,"4")-SUMIFS('AR SALES'!$Y$2:$Y$2501,'AR SALES'!$L$2:$L$2501,$L1236,'AR SALES'!$AD$2:$AD$2501,"OFF"),2)=0,"","STALE")))</f>
        <v/>
      </c>
      <c r="BB1236" s="2" t="str">
        <f>IF(OR(""&amp;$F1236="2",""&amp;$F1236="4",""&amp;$F1236="G",""&amp;$F1236="H"),IF($AY1236="YES","",IF($AB1236&lt;&gt;0,"",IF(COUNTIFS('AR SALES'!$L$2:$L$2501,$L1236,'AR SALES'!$AD$2:$AD$2501,IF(""&amp;$F1236="4","OFF","ON"),'AR SALES'!$AF$2:$AF$2501,"Y")&gt;0,"","NO EXEMPTION"))),"")</f>
        <v/>
      </c>
    </row>
    <row r="1237" spans="46:54" x14ac:dyDescent="0.25">
      <c r="AT1237" s="2" t="str">
        <f>IF($L1237="","",IFERROR(INDEX('AR SALES'!$H$2:$H$2501,MATCH(""&amp;$L1237,'AR SALES'!$AE$2:$AE$2501,0)),""))</f>
        <v/>
      </c>
      <c r="AU1237" s="2" t="str">
        <f t="shared" si="76"/>
        <v/>
      </c>
      <c r="AV1237" s="2" t="str">
        <f t="shared" si="77"/>
        <v/>
      </c>
      <c r="AW1237" s="2" t="str">
        <f t="shared" si="78"/>
        <v/>
      </c>
      <c r="AX1237" s="2" t="str">
        <f t="shared" si="79"/>
        <v/>
      </c>
      <c r="AY1237" s="2" t="str">
        <f>IF($AV1237="","",IF(AND($Z1237=0,COUNTIF('AR SALES'!$L$2:$L$2501,$L1237)=0),"YES",""))</f>
        <v/>
      </c>
      <c r="AZ1237" s="2" t="str">
        <f>IF($AV1237="","",IF(COUNTIF(LISTS!$C$2:$C$250,$AU1237)=0,"NEW",""))</f>
        <v/>
      </c>
      <c r="BA1237" s="2" t="str">
        <f>IF(""&amp;$F1237&lt;&gt;"4","",IF($AY1237="YES","",IF(ROUND(SUMIFS($AE$2:$AE$4001,$L$2:$L$4001,$L1237,$F$2:$F$4001,"4")-SUMIFS('AR SALES'!$Y$2:$Y$2501,'AR SALES'!$L$2:$L$2501,$L1237,'AR SALES'!$AD$2:$AD$2501,"OFF"),2)=0,"","STALE")))</f>
        <v/>
      </c>
      <c r="BB1237" s="2" t="str">
        <f>IF(OR(""&amp;$F1237="2",""&amp;$F1237="4",""&amp;$F1237="G",""&amp;$F1237="H"),IF($AY1237="YES","",IF($AB1237&lt;&gt;0,"",IF(COUNTIFS('AR SALES'!$L$2:$L$2501,$L1237,'AR SALES'!$AD$2:$AD$2501,IF(""&amp;$F1237="4","OFF","ON"),'AR SALES'!$AF$2:$AF$2501,"Y")&gt;0,"","NO EXEMPTION"))),"")</f>
        <v/>
      </c>
    </row>
    <row r="1238" spans="46:54" x14ac:dyDescent="0.25">
      <c r="AT1238" s="2" t="str">
        <f>IF($L1238="","",IFERROR(INDEX('AR SALES'!$H$2:$H$2501,MATCH(""&amp;$L1238,'AR SALES'!$AE$2:$AE$2501,0)),""))</f>
        <v/>
      </c>
      <c r="AU1238" s="2" t="str">
        <f t="shared" si="76"/>
        <v/>
      </c>
      <c r="AV1238" s="2" t="str">
        <f t="shared" si="77"/>
        <v/>
      </c>
      <c r="AW1238" s="2" t="str">
        <f t="shared" si="78"/>
        <v/>
      </c>
      <c r="AX1238" s="2" t="str">
        <f t="shared" si="79"/>
        <v/>
      </c>
      <c r="AY1238" s="2" t="str">
        <f>IF($AV1238="","",IF(AND($Z1238=0,COUNTIF('AR SALES'!$L$2:$L$2501,$L1238)=0),"YES",""))</f>
        <v/>
      </c>
      <c r="AZ1238" s="2" t="str">
        <f>IF($AV1238="","",IF(COUNTIF(LISTS!$C$2:$C$250,$AU1238)=0,"NEW",""))</f>
        <v/>
      </c>
      <c r="BA1238" s="2" t="str">
        <f>IF(""&amp;$F1238&lt;&gt;"4","",IF($AY1238="YES","",IF(ROUND(SUMIFS($AE$2:$AE$4001,$L$2:$L$4001,$L1238,$F$2:$F$4001,"4")-SUMIFS('AR SALES'!$Y$2:$Y$2501,'AR SALES'!$L$2:$L$2501,$L1238,'AR SALES'!$AD$2:$AD$2501,"OFF"),2)=0,"","STALE")))</f>
        <v/>
      </c>
      <c r="BB1238" s="2" t="str">
        <f>IF(OR(""&amp;$F1238="2",""&amp;$F1238="4",""&amp;$F1238="G",""&amp;$F1238="H"),IF($AY1238="YES","",IF($AB1238&lt;&gt;0,"",IF(COUNTIFS('AR SALES'!$L$2:$L$2501,$L1238,'AR SALES'!$AD$2:$AD$2501,IF(""&amp;$F1238="4","OFF","ON"),'AR SALES'!$AF$2:$AF$2501,"Y")&gt;0,"","NO EXEMPTION"))),"")</f>
        <v/>
      </c>
    </row>
    <row r="1239" spans="46:54" x14ac:dyDescent="0.25">
      <c r="AT1239" s="2" t="str">
        <f>IF($L1239="","",IFERROR(INDEX('AR SALES'!$H$2:$H$2501,MATCH(""&amp;$L1239,'AR SALES'!$AE$2:$AE$2501,0)),""))</f>
        <v/>
      </c>
      <c r="AU1239" s="2" t="str">
        <f t="shared" si="76"/>
        <v/>
      </c>
      <c r="AV1239" s="2" t="str">
        <f t="shared" si="77"/>
        <v/>
      </c>
      <c r="AW1239" s="2" t="str">
        <f t="shared" si="78"/>
        <v/>
      </c>
      <c r="AX1239" s="2" t="str">
        <f t="shared" si="79"/>
        <v/>
      </c>
      <c r="AY1239" s="2" t="str">
        <f>IF($AV1239="","",IF(AND($Z1239=0,COUNTIF('AR SALES'!$L$2:$L$2501,$L1239)=0),"YES",""))</f>
        <v/>
      </c>
      <c r="AZ1239" s="2" t="str">
        <f>IF($AV1239="","",IF(COUNTIF(LISTS!$C$2:$C$250,$AU1239)=0,"NEW",""))</f>
        <v/>
      </c>
      <c r="BA1239" s="2" t="str">
        <f>IF(""&amp;$F1239&lt;&gt;"4","",IF($AY1239="YES","",IF(ROUND(SUMIFS($AE$2:$AE$4001,$L$2:$L$4001,$L1239,$F$2:$F$4001,"4")-SUMIFS('AR SALES'!$Y$2:$Y$2501,'AR SALES'!$L$2:$L$2501,$L1239,'AR SALES'!$AD$2:$AD$2501,"OFF"),2)=0,"","STALE")))</f>
        <v/>
      </c>
      <c r="BB1239" s="2" t="str">
        <f>IF(OR(""&amp;$F1239="2",""&amp;$F1239="4",""&amp;$F1239="G",""&amp;$F1239="H"),IF($AY1239="YES","",IF($AB1239&lt;&gt;0,"",IF(COUNTIFS('AR SALES'!$L$2:$L$2501,$L1239,'AR SALES'!$AD$2:$AD$2501,IF(""&amp;$F1239="4","OFF","ON"),'AR SALES'!$AF$2:$AF$2501,"Y")&gt;0,"","NO EXEMPTION"))),"")</f>
        <v/>
      </c>
    </row>
    <row r="1240" spans="46:54" x14ac:dyDescent="0.25">
      <c r="AT1240" s="2" t="str">
        <f>IF($L1240="","",IFERROR(INDEX('AR SALES'!$H$2:$H$2501,MATCH(""&amp;$L1240,'AR SALES'!$AE$2:$AE$2501,0)),""))</f>
        <v/>
      </c>
      <c r="AU1240" s="2" t="str">
        <f t="shared" si="76"/>
        <v/>
      </c>
      <c r="AV1240" s="2" t="str">
        <f t="shared" si="77"/>
        <v/>
      </c>
      <c r="AW1240" s="2" t="str">
        <f t="shared" si="78"/>
        <v/>
      </c>
      <c r="AX1240" s="2" t="str">
        <f t="shared" si="79"/>
        <v/>
      </c>
      <c r="AY1240" s="2" t="str">
        <f>IF($AV1240="","",IF(AND($Z1240=0,COUNTIF('AR SALES'!$L$2:$L$2501,$L1240)=0),"YES",""))</f>
        <v/>
      </c>
      <c r="AZ1240" s="2" t="str">
        <f>IF($AV1240="","",IF(COUNTIF(LISTS!$C$2:$C$250,$AU1240)=0,"NEW",""))</f>
        <v/>
      </c>
      <c r="BA1240" s="2" t="str">
        <f>IF(""&amp;$F1240&lt;&gt;"4","",IF($AY1240="YES","",IF(ROUND(SUMIFS($AE$2:$AE$4001,$L$2:$L$4001,$L1240,$F$2:$F$4001,"4")-SUMIFS('AR SALES'!$Y$2:$Y$2501,'AR SALES'!$L$2:$L$2501,$L1240,'AR SALES'!$AD$2:$AD$2501,"OFF"),2)=0,"","STALE")))</f>
        <v/>
      </c>
      <c r="BB1240" s="2" t="str">
        <f>IF(OR(""&amp;$F1240="2",""&amp;$F1240="4",""&amp;$F1240="G",""&amp;$F1240="H"),IF($AY1240="YES","",IF($AB1240&lt;&gt;0,"",IF(COUNTIFS('AR SALES'!$L$2:$L$2501,$L1240,'AR SALES'!$AD$2:$AD$2501,IF(""&amp;$F1240="4","OFF","ON"),'AR SALES'!$AF$2:$AF$2501,"Y")&gt;0,"","NO EXEMPTION"))),"")</f>
        <v/>
      </c>
    </row>
    <row r="1241" spans="46:54" x14ac:dyDescent="0.25">
      <c r="AT1241" s="2" t="str">
        <f>IF($L1241="","",IFERROR(INDEX('AR SALES'!$H$2:$H$2501,MATCH(""&amp;$L1241,'AR SALES'!$AE$2:$AE$2501,0)),""))</f>
        <v/>
      </c>
      <c r="AU1241" s="2" t="str">
        <f t="shared" si="76"/>
        <v/>
      </c>
      <c r="AV1241" s="2" t="str">
        <f t="shared" si="77"/>
        <v/>
      </c>
      <c r="AW1241" s="2" t="str">
        <f t="shared" si="78"/>
        <v/>
      </c>
      <c r="AX1241" s="2" t="str">
        <f t="shared" si="79"/>
        <v/>
      </c>
      <c r="AY1241" s="2" t="str">
        <f>IF($AV1241="","",IF(AND($Z1241=0,COUNTIF('AR SALES'!$L$2:$L$2501,$L1241)=0),"YES",""))</f>
        <v/>
      </c>
      <c r="AZ1241" s="2" t="str">
        <f>IF($AV1241="","",IF(COUNTIF(LISTS!$C$2:$C$250,$AU1241)=0,"NEW",""))</f>
        <v/>
      </c>
      <c r="BA1241" s="2" t="str">
        <f>IF(""&amp;$F1241&lt;&gt;"4","",IF($AY1241="YES","",IF(ROUND(SUMIFS($AE$2:$AE$4001,$L$2:$L$4001,$L1241,$F$2:$F$4001,"4")-SUMIFS('AR SALES'!$Y$2:$Y$2501,'AR SALES'!$L$2:$L$2501,$L1241,'AR SALES'!$AD$2:$AD$2501,"OFF"),2)=0,"","STALE")))</f>
        <v/>
      </c>
      <c r="BB1241" s="2" t="str">
        <f>IF(OR(""&amp;$F1241="2",""&amp;$F1241="4",""&amp;$F1241="G",""&amp;$F1241="H"),IF($AY1241="YES","",IF($AB1241&lt;&gt;0,"",IF(COUNTIFS('AR SALES'!$L$2:$L$2501,$L1241,'AR SALES'!$AD$2:$AD$2501,IF(""&amp;$F1241="4","OFF","ON"),'AR SALES'!$AF$2:$AF$2501,"Y")&gt;0,"","NO EXEMPTION"))),"")</f>
        <v/>
      </c>
    </row>
    <row r="1242" spans="46:54" x14ac:dyDescent="0.25">
      <c r="AT1242" s="2" t="str">
        <f>IF($L1242="","",IFERROR(INDEX('AR SALES'!$H$2:$H$2501,MATCH(""&amp;$L1242,'AR SALES'!$AE$2:$AE$2501,0)),""))</f>
        <v/>
      </c>
      <c r="AU1242" s="2" t="str">
        <f t="shared" si="76"/>
        <v/>
      </c>
      <c r="AV1242" s="2" t="str">
        <f t="shared" si="77"/>
        <v/>
      </c>
      <c r="AW1242" s="2" t="str">
        <f t="shared" si="78"/>
        <v/>
      </c>
      <c r="AX1242" s="2" t="str">
        <f t="shared" si="79"/>
        <v/>
      </c>
      <c r="AY1242" s="2" t="str">
        <f>IF($AV1242="","",IF(AND($Z1242=0,COUNTIF('AR SALES'!$L$2:$L$2501,$L1242)=0),"YES",""))</f>
        <v/>
      </c>
      <c r="AZ1242" s="2" t="str">
        <f>IF($AV1242="","",IF(COUNTIF(LISTS!$C$2:$C$250,$AU1242)=0,"NEW",""))</f>
        <v/>
      </c>
      <c r="BA1242" s="2" t="str">
        <f>IF(""&amp;$F1242&lt;&gt;"4","",IF($AY1242="YES","",IF(ROUND(SUMIFS($AE$2:$AE$4001,$L$2:$L$4001,$L1242,$F$2:$F$4001,"4")-SUMIFS('AR SALES'!$Y$2:$Y$2501,'AR SALES'!$L$2:$L$2501,$L1242,'AR SALES'!$AD$2:$AD$2501,"OFF"),2)=0,"","STALE")))</f>
        <v/>
      </c>
      <c r="BB1242" s="2" t="str">
        <f>IF(OR(""&amp;$F1242="2",""&amp;$F1242="4",""&amp;$F1242="G",""&amp;$F1242="H"),IF($AY1242="YES","",IF($AB1242&lt;&gt;0,"",IF(COUNTIFS('AR SALES'!$L$2:$L$2501,$L1242,'AR SALES'!$AD$2:$AD$2501,IF(""&amp;$F1242="4","OFF","ON"),'AR SALES'!$AF$2:$AF$2501,"Y")&gt;0,"","NO EXEMPTION"))),"")</f>
        <v/>
      </c>
    </row>
    <row r="1243" spans="46:54" x14ac:dyDescent="0.25">
      <c r="AT1243" s="2" t="str">
        <f>IF($L1243="","",IFERROR(INDEX('AR SALES'!$H$2:$H$2501,MATCH(""&amp;$L1243,'AR SALES'!$AE$2:$AE$2501,0)),""))</f>
        <v/>
      </c>
      <c r="AU1243" s="2" t="str">
        <f t="shared" si="76"/>
        <v/>
      </c>
      <c r="AV1243" s="2" t="str">
        <f t="shared" si="77"/>
        <v/>
      </c>
      <c r="AW1243" s="2" t="str">
        <f t="shared" si="78"/>
        <v/>
      </c>
      <c r="AX1243" s="2" t="str">
        <f t="shared" si="79"/>
        <v/>
      </c>
      <c r="AY1243" s="2" t="str">
        <f>IF($AV1243="","",IF(AND($Z1243=0,COUNTIF('AR SALES'!$L$2:$L$2501,$L1243)=0),"YES",""))</f>
        <v/>
      </c>
      <c r="AZ1243" s="2" t="str">
        <f>IF($AV1243="","",IF(COUNTIF(LISTS!$C$2:$C$250,$AU1243)=0,"NEW",""))</f>
        <v/>
      </c>
      <c r="BA1243" s="2" t="str">
        <f>IF(""&amp;$F1243&lt;&gt;"4","",IF($AY1243="YES","",IF(ROUND(SUMIFS($AE$2:$AE$4001,$L$2:$L$4001,$L1243,$F$2:$F$4001,"4")-SUMIFS('AR SALES'!$Y$2:$Y$2501,'AR SALES'!$L$2:$L$2501,$L1243,'AR SALES'!$AD$2:$AD$2501,"OFF"),2)=0,"","STALE")))</f>
        <v/>
      </c>
      <c r="BB1243" s="2" t="str">
        <f>IF(OR(""&amp;$F1243="2",""&amp;$F1243="4",""&amp;$F1243="G",""&amp;$F1243="H"),IF($AY1243="YES","",IF($AB1243&lt;&gt;0,"",IF(COUNTIFS('AR SALES'!$L$2:$L$2501,$L1243,'AR SALES'!$AD$2:$AD$2501,IF(""&amp;$F1243="4","OFF","ON"),'AR SALES'!$AF$2:$AF$2501,"Y")&gt;0,"","NO EXEMPTION"))),"")</f>
        <v/>
      </c>
    </row>
    <row r="1244" spans="46:54" x14ac:dyDescent="0.25">
      <c r="AT1244" s="2" t="str">
        <f>IF($L1244="","",IFERROR(INDEX('AR SALES'!$H$2:$H$2501,MATCH(""&amp;$L1244,'AR SALES'!$AE$2:$AE$2501,0)),""))</f>
        <v/>
      </c>
      <c r="AU1244" s="2" t="str">
        <f t="shared" si="76"/>
        <v/>
      </c>
      <c r="AV1244" s="2" t="str">
        <f t="shared" si="77"/>
        <v/>
      </c>
      <c r="AW1244" s="2" t="str">
        <f t="shared" si="78"/>
        <v/>
      </c>
      <c r="AX1244" s="2" t="str">
        <f t="shared" si="79"/>
        <v/>
      </c>
      <c r="AY1244" s="2" t="str">
        <f>IF($AV1244="","",IF(AND($Z1244=0,COUNTIF('AR SALES'!$L$2:$L$2501,$L1244)=0),"YES",""))</f>
        <v/>
      </c>
      <c r="AZ1244" s="2" t="str">
        <f>IF($AV1244="","",IF(COUNTIF(LISTS!$C$2:$C$250,$AU1244)=0,"NEW",""))</f>
        <v/>
      </c>
      <c r="BA1244" s="2" t="str">
        <f>IF(""&amp;$F1244&lt;&gt;"4","",IF($AY1244="YES","",IF(ROUND(SUMIFS($AE$2:$AE$4001,$L$2:$L$4001,$L1244,$F$2:$F$4001,"4")-SUMIFS('AR SALES'!$Y$2:$Y$2501,'AR SALES'!$L$2:$L$2501,$L1244,'AR SALES'!$AD$2:$AD$2501,"OFF"),2)=0,"","STALE")))</f>
        <v/>
      </c>
      <c r="BB1244" s="2" t="str">
        <f>IF(OR(""&amp;$F1244="2",""&amp;$F1244="4",""&amp;$F1244="G",""&amp;$F1244="H"),IF($AY1244="YES","",IF($AB1244&lt;&gt;0,"",IF(COUNTIFS('AR SALES'!$L$2:$L$2501,$L1244,'AR SALES'!$AD$2:$AD$2501,IF(""&amp;$F1244="4","OFF","ON"),'AR SALES'!$AF$2:$AF$2501,"Y")&gt;0,"","NO EXEMPTION"))),"")</f>
        <v/>
      </c>
    </row>
    <row r="1245" spans="46:54" x14ac:dyDescent="0.25">
      <c r="AT1245" s="2" t="str">
        <f>IF($L1245="","",IFERROR(INDEX('AR SALES'!$H$2:$H$2501,MATCH(""&amp;$L1245,'AR SALES'!$AE$2:$AE$2501,0)),""))</f>
        <v/>
      </c>
      <c r="AU1245" s="2" t="str">
        <f t="shared" si="76"/>
        <v/>
      </c>
      <c r="AV1245" s="2" t="str">
        <f t="shared" si="77"/>
        <v/>
      </c>
      <c r="AW1245" s="2" t="str">
        <f t="shared" si="78"/>
        <v/>
      </c>
      <c r="AX1245" s="2" t="str">
        <f t="shared" si="79"/>
        <v/>
      </c>
      <c r="AY1245" s="2" t="str">
        <f>IF($AV1245="","",IF(AND($Z1245=0,COUNTIF('AR SALES'!$L$2:$L$2501,$L1245)=0),"YES",""))</f>
        <v/>
      </c>
      <c r="AZ1245" s="2" t="str">
        <f>IF($AV1245="","",IF(COUNTIF(LISTS!$C$2:$C$250,$AU1245)=0,"NEW",""))</f>
        <v/>
      </c>
      <c r="BA1245" s="2" t="str">
        <f>IF(""&amp;$F1245&lt;&gt;"4","",IF($AY1245="YES","",IF(ROUND(SUMIFS($AE$2:$AE$4001,$L$2:$L$4001,$L1245,$F$2:$F$4001,"4")-SUMIFS('AR SALES'!$Y$2:$Y$2501,'AR SALES'!$L$2:$L$2501,$L1245,'AR SALES'!$AD$2:$AD$2501,"OFF"),2)=0,"","STALE")))</f>
        <v/>
      </c>
      <c r="BB1245" s="2" t="str">
        <f>IF(OR(""&amp;$F1245="2",""&amp;$F1245="4",""&amp;$F1245="G",""&amp;$F1245="H"),IF($AY1245="YES","",IF($AB1245&lt;&gt;0,"",IF(COUNTIFS('AR SALES'!$L$2:$L$2501,$L1245,'AR SALES'!$AD$2:$AD$2501,IF(""&amp;$F1245="4","OFF","ON"),'AR SALES'!$AF$2:$AF$2501,"Y")&gt;0,"","NO EXEMPTION"))),"")</f>
        <v/>
      </c>
    </row>
    <row r="1246" spans="46:54" x14ac:dyDescent="0.25">
      <c r="AT1246" s="2" t="str">
        <f>IF($L1246="","",IFERROR(INDEX('AR SALES'!$H$2:$H$2501,MATCH(""&amp;$L1246,'AR SALES'!$AE$2:$AE$2501,0)),""))</f>
        <v/>
      </c>
      <c r="AU1246" s="2" t="str">
        <f t="shared" si="76"/>
        <v/>
      </c>
      <c r="AV1246" s="2" t="str">
        <f t="shared" si="77"/>
        <v/>
      </c>
      <c r="AW1246" s="2" t="str">
        <f t="shared" si="78"/>
        <v/>
      </c>
      <c r="AX1246" s="2" t="str">
        <f t="shared" si="79"/>
        <v/>
      </c>
      <c r="AY1246" s="2" t="str">
        <f>IF($AV1246="","",IF(AND($Z1246=0,COUNTIF('AR SALES'!$L$2:$L$2501,$L1246)=0),"YES",""))</f>
        <v/>
      </c>
      <c r="AZ1246" s="2" t="str">
        <f>IF($AV1246="","",IF(COUNTIF(LISTS!$C$2:$C$250,$AU1246)=0,"NEW",""))</f>
        <v/>
      </c>
      <c r="BA1246" s="2" t="str">
        <f>IF(""&amp;$F1246&lt;&gt;"4","",IF($AY1246="YES","",IF(ROUND(SUMIFS($AE$2:$AE$4001,$L$2:$L$4001,$L1246,$F$2:$F$4001,"4")-SUMIFS('AR SALES'!$Y$2:$Y$2501,'AR SALES'!$L$2:$L$2501,$L1246,'AR SALES'!$AD$2:$AD$2501,"OFF"),2)=0,"","STALE")))</f>
        <v/>
      </c>
      <c r="BB1246" s="2" t="str">
        <f>IF(OR(""&amp;$F1246="2",""&amp;$F1246="4",""&amp;$F1246="G",""&amp;$F1246="H"),IF($AY1246="YES","",IF($AB1246&lt;&gt;0,"",IF(COUNTIFS('AR SALES'!$L$2:$L$2501,$L1246,'AR SALES'!$AD$2:$AD$2501,IF(""&amp;$F1246="4","OFF","ON"),'AR SALES'!$AF$2:$AF$2501,"Y")&gt;0,"","NO EXEMPTION"))),"")</f>
        <v/>
      </c>
    </row>
    <row r="1247" spans="46:54" x14ac:dyDescent="0.25">
      <c r="AT1247" s="2" t="str">
        <f>IF($L1247="","",IFERROR(INDEX('AR SALES'!$H$2:$H$2501,MATCH(""&amp;$L1247,'AR SALES'!$AE$2:$AE$2501,0)),""))</f>
        <v/>
      </c>
      <c r="AU1247" s="2" t="str">
        <f t="shared" si="76"/>
        <v/>
      </c>
      <c r="AV1247" s="2" t="str">
        <f t="shared" si="77"/>
        <v/>
      </c>
      <c r="AW1247" s="2" t="str">
        <f t="shared" si="78"/>
        <v/>
      </c>
      <c r="AX1247" s="2" t="str">
        <f t="shared" si="79"/>
        <v/>
      </c>
      <c r="AY1247" s="2" t="str">
        <f>IF($AV1247="","",IF(AND($Z1247=0,COUNTIF('AR SALES'!$L$2:$L$2501,$L1247)=0),"YES",""))</f>
        <v/>
      </c>
      <c r="AZ1247" s="2" t="str">
        <f>IF($AV1247="","",IF(COUNTIF(LISTS!$C$2:$C$250,$AU1247)=0,"NEW",""))</f>
        <v/>
      </c>
      <c r="BA1247" s="2" t="str">
        <f>IF(""&amp;$F1247&lt;&gt;"4","",IF($AY1247="YES","",IF(ROUND(SUMIFS($AE$2:$AE$4001,$L$2:$L$4001,$L1247,$F$2:$F$4001,"4")-SUMIFS('AR SALES'!$Y$2:$Y$2501,'AR SALES'!$L$2:$L$2501,$L1247,'AR SALES'!$AD$2:$AD$2501,"OFF"),2)=0,"","STALE")))</f>
        <v/>
      </c>
      <c r="BB1247" s="2" t="str">
        <f>IF(OR(""&amp;$F1247="2",""&amp;$F1247="4",""&amp;$F1247="G",""&amp;$F1247="H"),IF($AY1247="YES","",IF($AB1247&lt;&gt;0,"",IF(COUNTIFS('AR SALES'!$L$2:$L$2501,$L1247,'AR SALES'!$AD$2:$AD$2501,IF(""&amp;$F1247="4","OFF","ON"),'AR SALES'!$AF$2:$AF$2501,"Y")&gt;0,"","NO EXEMPTION"))),"")</f>
        <v/>
      </c>
    </row>
    <row r="1248" spans="46:54" x14ac:dyDescent="0.25">
      <c r="AT1248" s="2" t="str">
        <f>IF($L1248="","",IFERROR(INDEX('AR SALES'!$H$2:$H$2501,MATCH(""&amp;$L1248,'AR SALES'!$AE$2:$AE$2501,0)),""))</f>
        <v/>
      </c>
      <c r="AU1248" s="2" t="str">
        <f t="shared" si="76"/>
        <v/>
      </c>
      <c r="AV1248" s="2" t="str">
        <f t="shared" si="77"/>
        <v/>
      </c>
      <c r="AW1248" s="2" t="str">
        <f t="shared" si="78"/>
        <v/>
      </c>
      <c r="AX1248" s="2" t="str">
        <f t="shared" si="79"/>
        <v/>
      </c>
      <c r="AY1248" s="2" t="str">
        <f>IF($AV1248="","",IF(AND($Z1248=0,COUNTIF('AR SALES'!$L$2:$L$2501,$L1248)=0),"YES",""))</f>
        <v/>
      </c>
      <c r="AZ1248" s="2" t="str">
        <f>IF($AV1248="","",IF(COUNTIF(LISTS!$C$2:$C$250,$AU1248)=0,"NEW",""))</f>
        <v/>
      </c>
      <c r="BA1248" s="2" t="str">
        <f>IF(""&amp;$F1248&lt;&gt;"4","",IF($AY1248="YES","",IF(ROUND(SUMIFS($AE$2:$AE$4001,$L$2:$L$4001,$L1248,$F$2:$F$4001,"4")-SUMIFS('AR SALES'!$Y$2:$Y$2501,'AR SALES'!$L$2:$L$2501,$L1248,'AR SALES'!$AD$2:$AD$2501,"OFF"),2)=0,"","STALE")))</f>
        <v/>
      </c>
      <c r="BB1248" s="2" t="str">
        <f>IF(OR(""&amp;$F1248="2",""&amp;$F1248="4",""&amp;$F1248="G",""&amp;$F1248="H"),IF($AY1248="YES","",IF($AB1248&lt;&gt;0,"",IF(COUNTIFS('AR SALES'!$L$2:$L$2501,$L1248,'AR SALES'!$AD$2:$AD$2501,IF(""&amp;$F1248="4","OFF","ON"),'AR SALES'!$AF$2:$AF$2501,"Y")&gt;0,"","NO EXEMPTION"))),"")</f>
        <v/>
      </c>
    </row>
    <row r="1249" spans="46:54" x14ac:dyDescent="0.25">
      <c r="AT1249" s="2" t="str">
        <f>IF($L1249="","",IFERROR(INDEX('AR SALES'!$H$2:$H$2501,MATCH(""&amp;$L1249,'AR SALES'!$AE$2:$AE$2501,0)),""))</f>
        <v/>
      </c>
      <c r="AU1249" s="2" t="str">
        <f t="shared" si="76"/>
        <v/>
      </c>
      <c r="AV1249" s="2" t="str">
        <f t="shared" si="77"/>
        <v/>
      </c>
      <c r="AW1249" s="2" t="str">
        <f t="shared" si="78"/>
        <v/>
      </c>
      <c r="AX1249" s="2" t="str">
        <f t="shared" si="79"/>
        <v/>
      </c>
      <c r="AY1249" s="2" t="str">
        <f>IF($AV1249="","",IF(AND($Z1249=0,COUNTIF('AR SALES'!$L$2:$L$2501,$L1249)=0),"YES",""))</f>
        <v/>
      </c>
      <c r="AZ1249" s="2" t="str">
        <f>IF($AV1249="","",IF(COUNTIF(LISTS!$C$2:$C$250,$AU1249)=0,"NEW",""))</f>
        <v/>
      </c>
      <c r="BA1249" s="2" t="str">
        <f>IF(""&amp;$F1249&lt;&gt;"4","",IF($AY1249="YES","",IF(ROUND(SUMIFS($AE$2:$AE$4001,$L$2:$L$4001,$L1249,$F$2:$F$4001,"4")-SUMIFS('AR SALES'!$Y$2:$Y$2501,'AR SALES'!$L$2:$L$2501,$L1249,'AR SALES'!$AD$2:$AD$2501,"OFF"),2)=0,"","STALE")))</f>
        <v/>
      </c>
      <c r="BB1249" s="2" t="str">
        <f>IF(OR(""&amp;$F1249="2",""&amp;$F1249="4",""&amp;$F1249="G",""&amp;$F1249="H"),IF($AY1249="YES","",IF($AB1249&lt;&gt;0,"",IF(COUNTIFS('AR SALES'!$L$2:$L$2501,$L1249,'AR SALES'!$AD$2:$AD$2501,IF(""&amp;$F1249="4","OFF","ON"),'AR SALES'!$AF$2:$AF$2501,"Y")&gt;0,"","NO EXEMPTION"))),"")</f>
        <v/>
      </c>
    </row>
    <row r="1250" spans="46:54" x14ac:dyDescent="0.25">
      <c r="AT1250" s="2" t="str">
        <f>IF($L1250="","",IFERROR(INDEX('AR SALES'!$H$2:$H$2501,MATCH(""&amp;$L1250,'AR SALES'!$AE$2:$AE$2501,0)),""))</f>
        <v/>
      </c>
      <c r="AU1250" s="2" t="str">
        <f t="shared" si="76"/>
        <v/>
      </c>
      <c r="AV1250" s="2" t="str">
        <f t="shared" si="77"/>
        <v/>
      </c>
      <c r="AW1250" s="2" t="str">
        <f t="shared" si="78"/>
        <v/>
      </c>
      <c r="AX1250" s="2" t="str">
        <f t="shared" si="79"/>
        <v/>
      </c>
      <c r="AY1250" s="2" t="str">
        <f>IF($AV1250="","",IF(AND($Z1250=0,COUNTIF('AR SALES'!$L$2:$L$2501,$L1250)=0),"YES",""))</f>
        <v/>
      </c>
      <c r="AZ1250" s="2" t="str">
        <f>IF($AV1250="","",IF(COUNTIF(LISTS!$C$2:$C$250,$AU1250)=0,"NEW",""))</f>
        <v/>
      </c>
      <c r="BA1250" s="2" t="str">
        <f>IF(""&amp;$F1250&lt;&gt;"4","",IF($AY1250="YES","",IF(ROUND(SUMIFS($AE$2:$AE$4001,$L$2:$L$4001,$L1250,$F$2:$F$4001,"4")-SUMIFS('AR SALES'!$Y$2:$Y$2501,'AR SALES'!$L$2:$L$2501,$L1250,'AR SALES'!$AD$2:$AD$2501,"OFF"),2)=0,"","STALE")))</f>
        <v/>
      </c>
      <c r="BB1250" s="2" t="str">
        <f>IF(OR(""&amp;$F1250="2",""&amp;$F1250="4",""&amp;$F1250="G",""&amp;$F1250="H"),IF($AY1250="YES","",IF($AB1250&lt;&gt;0,"",IF(COUNTIFS('AR SALES'!$L$2:$L$2501,$L1250,'AR SALES'!$AD$2:$AD$2501,IF(""&amp;$F1250="4","OFF","ON"),'AR SALES'!$AF$2:$AF$2501,"Y")&gt;0,"","NO EXEMPTION"))),"")</f>
        <v/>
      </c>
    </row>
    <row r="1251" spans="46:54" x14ac:dyDescent="0.25">
      <c r="AT1251" s="2" t="str">
        <f>IF($L1251="","",IFERROR(INDEX('AR SALES'!$H$2:$H$2501,MATCH(""&amp;$L1251,'AR SALES'!$AE$2:$AE$2501,0)),""))</f>
        <v/>
      </c>
      <c r="AU1251" s="2" t="str">
        <f t="shared" si="76"/>
        <v/>
      </c>
      <c r="AV1251" s="2" t="str">
        <f t="shared" si="77"/>
        <v/>
      </c>
      <c r="AW1251" s="2" t="str">
        <f t="shared" si="78"/>
        <v/>
      </c>
      <c r="AX1251" s="2" t="str">
        <f t="shared" si="79"/>
        <v/>
      </c>
      <c r="AY1251" s="2" t="str">
        <f>IF($AV1251="","",IF(AND($Z1251=0,COUNTIF('AR SALES'!$L$2:$L$2501,$L1251)=0),"YES",""))</f>
        <v/>
      </c>
      <c r="AZ1251" s="2" t="str">
        <f>IF($AV1251="","",IF(COUNTIF(LISTS!$C$2:$C$250,$AU1251)=0,"NEW",""))</f>
        <v/>
      </c>
      <c r="BA1251" s="2" t="str">
        <f>IF(""&amp;$F1251&lt;&gt;"4","",IF($AY1251="YES","",IF(ROUND(SUMIFS($AE$2:$AE$4001,$L$2:$L$4001,$L1251,$F$2:$F$4001,"4")-SUMIFS('AR SALES'!$Y$2:$Y$2501,'AR SALES'!$L$2:$L$2501,$L1251,'AR SALES'!$AD$2:$AD$2501,"OFF"),2)=0,"","STALE")))</f>
        <v/>
      </c>
      <c r="BB1251" s="2" t="str">
        <f>IF(OR(""&amp;$F1251="2",""&amp;$F1251="4",""&amp;$F1251="G",""&amp;$F1251="H"),IF($AY1251="YES","",IF($AB1251&lt;&gt;0,"",IF(COUNTIFS('AR SALES'!$L$2:$L$2501,$L1251,'AR SALES'!$AD$2:$AD$2501,IF(""&amp;$F1251="4","OFF","ON"),'AR SALES'!$AF$2:$AF$2501,"Y")&gt;0,"","NO EXEMPTION"))),"")</f>
        <v/>
      </c>
    </row>
    <row r="1252" spans="46:54" x14ac:dyDescent="0.25">
      <c r="AT1252" s="2" t="str">
        <f>IF($L1252="","",IFERROR(INDEX('AR SALES'!$H$2:$H$2501,MATCH(""&amp;$L1252,'AR SALES'!$AE$2:$AE$2501,0)),""))</f>
        <v/>
      </c>
      <c r="AU1252" s="2" t="str">
        <f t="shared" si="76"/>
        <v/>
      </c>
      <c r="AV1252" s="2" t="str">
        <f t="shared" si="77"/>
        <v/>
      </c>
      <c r="AW1252" s="2" t="str">
        <f t="shared" si="78"/>
        <v/>
      </c>
      <c r="AX1252" s="2" t="str">
        <f t="shared" si="79"/>
        <v/>
      </c>
      <c r="AY1252" s="2" t="str">
        <f>IF($AV1252="","",IF(AND($Z1252=0,COUNTIF('AR SALES'!$L$2:$L$2501,$L1252)=0),"YES",""))</f>
        <v/>
      </c>
      <c r="AZ1252" s="2" t="str">
        <f>IF($AV1252="","",IF(COUNTIF(LISTS!$C$2:$C$250,$AU1252)=0,"NEW",""))</f>
        <v/>
      </c>
      <c r="BA1252" s="2" t="str">
        <f>IF(""&amp;$F1252&lt;&gt;"4","",IF($AY1252="YES","",IF(ROUND(SUMIFS($AE$2:$AE$4001,$L$2:$L$4001,$L1252,$F$2:$F$4001,"4")-SUMIFS('AR SALES'!$Y$2:$Y$2501,'AR SALES'!$L$2:$L$2501,$L1252,'AR SALES'!$AD$2:$AD$2501,"OFF"),2)=0,"","STALE")))</f>
        <v/>
      </c>
      <c r="BB1252" s="2" t="str">
        <f>IF(OR(""&amp;$F1252="2",""&amp;$F1252="4",""&amp;$F1252="G",""&amp;$F1252="H"),IF($AY1252="YES","",IF($AB1252&lt;&gt;0,"",IF(COUNTIFS('AR SALES'!$L$2:$L$2501,$L1252,'AR SALES'!$AD$2:$AD$2501,IF(""&amp;$F1252="4","OFF","ON"),'AR SALES'!$AF$2:$AF$2501,"Y")&gt;0,"","NO EXEMPTION"))),"")</f>
        <v/>
      </c>
    </row>
    <row r="1253" spans="46:54" x14ac:dyDescent="0.25">
      <c r="AT1253" s="2" t="str">
        <f>IF($L1253="","",IFERROR(INDEX('AR SALES'!$H$2:$H$2501,MATCH(""&amp;$L1253,'AR SALES'!$AE$2:$AE$2501,0)),""))</f>
        <v/>
      </c>
      <c r="AU1253" s="2" t="str">
        <f t="shared" si="76"/>
        <v/>
      </c>
      <c r="AV1253" s="2" t="str">
        <f t="shared" si="77"/>
        <v/>
      </c>
      <c r="AW1253" s="2" t="str">
        <f t="shared" si="78"/>
        <v/>
      </c>
      <c r="AX1253" s="2" t="str">
        <f t="shared" si="79"/>
        <v/>
      </c>
      <c r="AY1253" s="2" t="str">
        <f>IF($AV1253="","",IF(AND($Z1253=0,COUNTIF('AR SALES'!$L$2:$L$2501,$L1253)=0),"YES",""))</f>
        <v/>
      </c>
      <c r="AZ1253" s="2" t="str">
        <f>IF($AV1253="","",IF(COUNTIF(LISTS!$C$2:$C$250,$AU1253)=0,"NEW",""))</f>
        <v/>
      </c>
      <c r="BA1253" s="2" t="str">
        <f>IF(""&amp;$F1253&lt;&gt;"4","",IF($AY1253="YES","",IF(ROUND(SUMIFS($AE$2:$AE$4001,$L$2:$L$4001,$L1253,$F$2:$F$4001,"4")-SUMIFS('AR SALES'!$Y$2:$Y$2501,'AR SALES'!$L$2:$L$2501,$L1253,'AR SALES'!$AD$2:$AD$2501,"OFF"),2)=0,"","STALE")))</f>
        <v/>
      </c>
      <c r="BB1253" s="2" t="str">
        <f>IF(OR(""&amp;$F1253="2",""&amp;$F1253="4",""&amp;$F1253="G",""&amp;$F1253="H"),IF($AY1253="YES","",IF($AB1253&lt;&gt;0,"",IF(COUNTIFS('AR SALES'!$L$2:$L$2501,$L1253,'AR SALES'!$AD$2:$AD$2501,IF(""&amp;$F1253="4","OFF","ON"),'AR SALES'!$AF$2:$AF$2501,"Y")&gt;0,"","NO EXEMPTION"))),"")</f>
        <v/>
      </c>
    </row>
    <row r="1254" spans="46:54" x14ac:dyDescent="0.25">
      <c r="AT1254" s="2" t="str">
        <f>IF($L1254="","",IFERROR(INDEX('AR SALES'!$H$2:$H$2501,MATCH(""&amp;$L1254,'AR SALES'!$AE$2:$AE$2501,0)),""))</f>
        <v/>
      </c>
      <c r="AU1254" s="2" t="str">
        <f t="shared" si="76"/>
        <v/>
      </c>
      <c r="AV1254" s="2" t="str">
        <f t="shared" si="77"/>
        <v/>
      </c>
      <c r="AW1254" s="2" t="str">
        <f t="shared" si="78"/>
        <v/>
      </c>
      <c r="AX1254" s="2" t="str">
        <f t="shared" si="79"/>
        <v/>
      </c>
      <c r="AY1254" s="2" t="str">
        <f>IF($AV1254="","",IF(AND($Z1254=0,COUNTIF('AR SALES'!$L$2:$L$2501,$L1254)=0),"YES",""))</f>
        <v/>
      </c>
      <c r="AZ1254" s="2" t="str">
        <f>IF($AV1254="","",IF(COUNTIF(LISTS!$C$2:$C$250,$AU1254)=0,"NEW",""))</f>
        <v/>
      </c>
      <c r="BA1254" s="2" t="str">
        <f>IF(""&amp;$F1254&lt;&gt;"4","",IF($AY1254="YES","",IF(ROUND(SUMIFS($AE$2:$AE$4001,$L$2:$L$4001,$L1254,$F$2:$F$4001,"4")-SUMIFS('AR SALES'!$Y$2:$Y$2501,'AR SALES'!$L$2:$L$2501,$L1254,'AR SALES'!$AD$2:$AD$2501,"OFF"),2)=0,"","STALE")))</f>
        <v/>
      </c>
      <c r="BB1254" s="2" t="str">
        <f>IF(OR(""&amp;$F1254="2",""&amp;$F1254="4",""&amp;$F1254="G",""&amp;$F1254="H"),IF($AY1254="YES","",IF($AB1254&lt;&gt;0,"",IF(COUNTIFS('AR SALES'!$L$2:$L$2501,$L1254,'AR SALES'!$AD$2:$AD$2501,IF(""&amp;$F1254="4","OFF","ON"),'AR SALES'!$AF$2:$AF$2501,"Y")&gt;0,"","NO EXEMPTION"))),"")</f>
        <v/>
      </c>
    </row>
    <row r="1255" spans="46:54" x14ac:dyDescent="0.25">
      <c r="AT1255" s="2" t="str">
        <f>IF($L1255="","",IFERROR(INDEX('AR SALES'!$H$2:$H$2501,MATCH(""&amp;$L1255,'AR SALES'!$AE$2:$AE$2501,0)),""))</f>
        <v/>
      </c>
      <c r="AU1255" s="2" t="str">
        <f t="shared" si="76"/>
        <v/>
      </c>
      <c r="AV1255" s="2" t="str">
        <f t="shared" si="77"/>
        <v/>
      </c>
      <c r="AW1255" s="2" t="str">
        <f t="shared" si="78"/>
        <v/>
      </c>
      <c r="AX1255" s="2" t="str">
        <f t="shared" si="79"/>
        <v/>
      </c>
      <c r="AY1255" s="2" t="str">
        <f>IF($AV1255="","",IF(AND($Z1255=0,COUNTIF('AR SALES'!$L$2:$L$2501,$L1255)=0),"YES",""))</f>
        <v/>
      </c>
      <c r="AZ1255" s="2" t="str">
        <f>IF($AV1255="","",IF(COUNTIF(LISTS!$C$2:$C$250,$AU1255)=0,"NEW",""))</f>
        <v/>
      </c>
      <c r="BA1255" s="2" t="str">
        <f>IF(""&amp;$F1255&lt;&gt;"4","",IF($AY1255="YES","",IF(ROUND(SUMIFS($AE$2:$AE$4001,$L$2:$L$4001,$L1255,$F$2:$F$4001,"4")-SUMIFS('AR SALES'!$Y$2:$Y$2501,'AR SALES'!$L$2:$L$2501,$L1255,'AR SALES'!$AD$2:$AD$2501,"OFF"),2)=0,"","STALE")))</f>
        <v/>
      </c>
      <c r="BB1255" s="2" t="str">
        <f>IF(OR(""&amp;$F1255="2",""&amp;$F1255="4",""&amp;$F1255="G",""&amp;$F1255="H"),IF($AY1255="YES","",IF($AB1255&lt;&gt;0,"",IF(COUNTIFS('AR SALES'!$L$2:$L$2501,$L1255,'AR SALES'!$AD$2:$AD$2501,IF(""&amp;$F1255="4","OFF","ON"),'AR SALES'!$AF$2:$AF$2501,"Y")&gt;0,"","NO EXEMPTION"))),"")</f>
        <v/>
      </c>
    </row>
    <row r="1256" spans="46:54" x14ac:dyDescent="0.25">
      <c r="AT1256" s="2" t="str">
        <f>IF($L1256="","",IFERROR(INDEX('AR SALES'!$H$2:$H$2501,MATCH(""&amp;$L1256,'AR SALES'!$AE$2:$AE$2501,0)),""))</f>
        <v/>
      </c>
      <c r="AU1256" s="2" t="str">
        <f t="shared" si="76"/>
        <v/>
      </c>
      <c r="AV1256" s="2" t="str">
        <f t="shared" si="77"/>
        <v/>
      </c>
      <c r="AW1256" s="2" t="str">
        <f t="shared" si="78"/>
        <v/>
      </c>
      <c r="AX1256" s="2" t="str">
        <f t="shared" si="79"/>
        <v/>
      </c>
      <c r="AY1256" s="2" t="str">
        <f>IF($AV1256="","",IF(AND($Z1256=0,COUNTIF('AR SALES'!$L$2:$L$2501,$L1256)=0),"YES",""))</f>
        <v/>
      </c>
      <c r="AZ1256" s="2" t="str">
        <f>IF($AV1256="","",IF(COUNTIF(LISTS!$C$2:$C$250,$AU1256)=0,"NEW",""))</f>
        <v/>
      </c>
      <c r="BA1256" s="2" t="str">
        <f>IF(""&amp;$F1256&lt;&gt;"4","",IF($AY1256="YES","",IF(ROUND(SUMIFS($AE$2:$AE$4001,$L$2:$L$4001,$L1256,$F$2:$F$4001,"4")-SUMIFS('AR SALES'!$Y$2:$Y$2501,'AR SALES'!$L$2:$L$2501,$L1256,'AR SALES'!$AD$2:$AD$2501,"OFF"),2)=0,"","STALE")))</f>
        <v/>
      </c>
      <c r="BB1256" s="2" t="str">
        <f>IF(OR(""&amp;$F1256="2",""&amp;$F1256="4",""&amp;$F1256="G",""&amp;$F1256="H"),IF($AY1256="YES","",IF($AB1256&lt;&gt;0,"",IF(COUNTIFS('AR SALES'!$L$2:$L$2501,$L1256,'AR SALES'!$AD$2:$AD$2501,IF(""&amp;$F1256="4","OFF","ON"),'AR SALES'!$AF$2:$AF$2501,"Y")&gt;0,"","NO EXEMPTION"))),"")</f>
        <v/>
      </c>
    </row>
    <row r="1257" spans="46:54" x14ac:dyDescent="0.25">
      <c r="AT1257" s="2" t="str">
        <f>IF($L1257="","",IFERROR(INDEX('AR SALES'!$H$2:$H$2501,MATCH(""&amp;$L1257,'AR SALES'!$AE$2:$AE$2501,0)),""))</f>
        <v/>
      </c>
      <c r="AU1257" s="2" t="str">
        <f t="shared" si="76"/>
        <v/>
      </c>
      <c r="AV1257" s="2" t="str">
        <f t="shared" si="77"/>
        <v/>
      </c>
      <c r="AW1257" s="2" t="str">
        <f t="shared" si="78"/>
        <v/>
      </c>
      <c r="AX1257" s="2" t="str">
        <f t="shared" si="79"/>
        <v/>
      </c>
      <c r="AY1257" s="2" t="str">
        <f>IF($AV1257="","",IF(AND($Z1257=0,COUNTIF('AR SALES'!$L$2:$L$2501,$L1257)=0),"YES",""))</f>
        <v/>
      </c>
      <c r="AZ1257" s="2" t="str">
        <f>IF($AV1257="","",IF(COUNTIF(LISTS!$C$2:$C$250,$AU1257)=0,"NEW",""))</f>
        <v/>
      </c>
      <c r="BA1257" s="2" t="str">
        <f>IF(""&amp;$F1257&lt;&gt;"4","",IF($AY1257="YES","",IF(ROUND(SUMIFS($AE$2:$AE$4001,$L$2:$L$4001,$L1257,$F$2:$F$4001,"4")-SUMIFS('AR SALES'!$Y$2:$Y$2501,'AR SALES'!$L$2:$L$2501,$L1257,'AR SALES'!$AD$2:$AD$2501,"OFF"),2)=0,"","STALE")))</f>
        <v/>
      </c>
      <c r="BB1257" s="2" t="str">
        <f>IF(OR(""&amp;$F1257="2",""&amp;$F1257="4",""&amp;$F1257="G",""&amp;$F1257="H"),IF($AY1257="YES","",IF($AB1257&lt;&gt;0,"",IF(COUNTIFS('AR SALES'!$L$2:$L$2501,$L1257,'AR SALES'!$AD$2:$AD$2501,IF(""&amp;$F1257="4","OFF","ON"),'AR SALES'!$AF$2:$AF$2501,"Y")&gt;0,"","NO EXEMPTION"))),"")</f>
        <v/>
      </c>
    </row>
    <row r="1258" spans="46:54" x14ac:dyDescent="0.25">
      <c r="AT1258" s="2" t="str">
        <f>IF($L1258="","",IFERROR(INDEX('AR SALES'!$H$2:$H$2501,MATCH(""&amp;$L1258,'AR SALES'!$AE$2:$AE$2501,0)),""))</f>
        <v/>
      </c>
      <c r="AU1258" s="2" t="str">
        <f t="shared" si="76"/>
        <v/>
      </c>
      <c r="AV1258" s="2" t="str">
        <f t="shared" si="77"/>
        <v/>
      </c>
      <c r="AW1258" s="2" t="str">
        <f t="shared" si="78"/>
        <v/>
      </c>
      <c r="AX1258" s="2" t="str">
        <f t="shared" si="79"/>
        <v/>
      </c>
      <c r="AY1258" s="2" t="str">
        <f>IF($AV1258="","",IF(AND($Z1258=0,COUNTIF('AR SALES'!$L$2:$L$2501,$L1258)=0),"YES",""))</f>
        <v/>
      </c>
      <c r="AZ1258" s="2" t="str">
        <f>IF($AV1258="","",IF(COUNTIF(LISTS!$C$2:$C$250,$AU1258)=0,"NEW",""))</f>
        <v/>
      </c>
      <c r="BA1258" s="2" t="str">
        <f>IF(""&amp;$F1258&lt;&gt;"4","",IF($AY1258="YES","",IF(ROUND(SUMIFS($AE$2:$AE$4001,$L$2:$L$4001,$L1258,$F$2:$F$4001,"4")-SUMIFS('AR SALES'!$Y$2:$Y$2501,'AR SALES'!$L$2:$L$2501,$L1258,'AR SALES'!$AD$2:$AD$2501,"OFF"),2)=0,"","STALE")))</f>
        <v/>
      </c>
      <c r="BB1258" s="2" t="str">
        <f>IF(OR(""&amp;$F1258="2",""&amp;$F1258="4",""&amp;$F1258="G",""&amp;$F1258="H"),IF($AY1258="YES","",IF($AB1258&lt;&gt;0,"",IF(COUNTIFS('AR SALES'!$L$2:$L$2501,$L1258,'AR SALES'!$AD$2:$AD$2501,IF(""&amp;$F1258="4","OFF","ON"),'AR SALES'!$AF$2:$AF$2501,"Y")&gt;0,"","NO EXEMPTION"))),"")</f>
        <v/>
      </c>
    </row>
    <row r="1259" spans="46:54" x14ac:dyDescent="0.25">
      <c r="AT1259" s="2" t="str">
        <f>IF($L1259="","",IFERROR(INDEX('AR SALES'!$H$2:$H$2501,MATCH(""&amp;$L1259,'AR SALES'!$AE$2:$AE$2501,0)),""))</f>
        <v/>
      </c>
      <c r="AU1259" s="2" t="str">
        <f t="shared" si="76"/>
        <v/>
      </c>
      <c r="AV1259" s="2" t="str">
        <f t="shared" si="77"/>
        <v/>
      </c>
      <c r="AW1259" s="2" t="str">
        <f t="shared" si="78"/>
        <v/>
      </c>
      <c r="AX1259" s="2" t="str">
        <f t="shared" si="79"/>
        <v/>
      </c>
      <c r="AY1259" s="2" t="str">
        <f>IF($AV1259="","",IF(AND($Z1259=0,COUNTIF('AR SALES'!$L$2:$L$2501,$L1259)=0),"YES",""))</f>
        <v/>
      </c>
      <c r="AZ1259" s="2" t="str">
        <f>IF($AV1259="","",IF(COUNTIF(LISTS!$C$2:$C$250,$AU1259)=0,"NEW",""))</f>
        <v/>
      </c>
      <c r="BA1259" s="2" t="str">
        <f>IF(""&amp;$F1259&lt;&gt;"4","",IF($AY1259="YES","",IF(ROUND(SUMIFS($AE$2:$AE$4001,$L$2:$L$4001,$L1259,$F$2:$F$4001,"4")-SUMIFS('AR SALES'!$Y$2:$Y$2501,'AR SALES'!$L$2:$L$2501,$L1259,'AR SALES'!$AD$2:$AD$2501,"OFF"),2)=0,"","STALE")))</f>
        <v/>
      </c>
      <c r="BB1259" s="2" t="str">
        <f>IF(OR(""&amp;$F1259="2",""&amp;$F1259="4",""&amp;$F1259="G",""&amp;$F1259="H"),IF($AY1259="YES","",IF($AB1259&lt;&gt;0,"",IF(COUNTIFS('AR SALES'!$L$2:$L$2501,$L1259,'AR SALES'!$AD$2:$AD$2501,IF(""&amp;$F1259="4","OFF","ON"),'AR SALES'!$AF$2:$AF$2501,"Y")&gt;0,"","NO EXEMPTION"))),"")</f>
        <v/>
      </c>
    </row>
    <row r="1260" spans="46:54" x14ac:dyDescent="0.25">
      <c r="AT1260" s="2" t="str">
        <f>IF($L1260="","",IFERROR(INDEX('AR SALES'!$H$2:$H$2501,MATCH(""&amp;$L1260,'AR SALES'!$AE$2:$AE$2501,0)),""))</f>
        <v/>
      </c>
      <c r="AU1260" s="2" t="str">
        <f t="shared" si="76"/>
        <v/>
      </c>
      <c r="AV1260" s="2" t="str">
        <f t="shared" si="77"/>
        <v/>
      </c>
      <c r="AW1260" s="2" t="str">
        <f t="shared" si="78"/>
        <v/>
      </c>
      <c r="AX1260" s="2" t="str">
        <f t="shared" si="79"/>
        <v/>
      </c>
      <c r="AY1260" s="2" t="str">
        <f>IF($AV1260="","",IF(AND($Z1260=0,COUNTIF('AR SALES'!$L$2:$L$2501,$L1260)=0),"YES",""))</f>
        <v/>
      </c>
      <c r="AZ1260" s="2" t="str">
        <f>IF($AV1260="","",IF(COUNTIF(LISTS!$C$2:$C$250,$AU1260)=0,"NEW",""))</f>
        <v/>
      </c>
      <c r="BA1260" s="2" t="str">
        <f>IF(""&amp;$F1260&lt;&gt;"4","",IF($AY1260="YES","",IF(ROUND(SUMIFS($AE$2:$AE$4001,$L$2:$L$4001,$L1260,$F$2:$F$4001,"4")-SUMIFS('AR SALES'!$Y$2:$Y$2501,'AR SALES'!$L$2:$L$2501,$L1260,'AR SALES'!$AD$2:$AD$2501,"OFF"),2)=0,"","STALE")))</f>
        <v/>
      </c>
      <c r="BB1260" s="2" t="str">
        <f>IF(OR(""&amp;$F1260="2",""&amp;$F1260="4",""&amp;$F1260="G",""&amp;$F1260="H"),IF($AY1260="YES","",IF($AB1260&lt;&gt;0,"",IF(COUNTIFS('AR SALES'!$L$2:$L$2501,$L1260,'AR SALES'!$AD$2:$AD$2501,IF(""&amp;$F1260="4","OFF","ON"),'AR SALES'!$AF$2:$AF$2501,"Y")&gt;0,"","NO EXEMPTION"))),"")</f>
        <v/>
      </c>
    </row>
    <row r="1261" spans="46:54" x14ac:dyDescent="0.25">
      <c r="AT1261" s="2" t="str">
        <f>IF($L1261="","",IFERROR(INDEX('AR SALES'!$H$2:$H$2501,MATCH(""&amp;$L1261,'AR SALES'!$AE$2:$AE$2501,0)),""))</f>
        <v/>
      </c>
      <c r="AU1261" s="2" t="str">
        <f t="shared" si="76"/>
        <v/>
      </c>
      <c r="AV1261" s="2" t="str">
        <f t="shared" si="77"/>
        <v/>
      </c>
      <c r="AW1261" s="2" t="str">
        <f t="shared" si="78"/>
        <v/>
      </c>
      <c r="AX1261" s="2" t="str">
        <f t="shared" si="79"/>
        <v/>
      </c>
      <c r="AY1261" s="2" t="str">
        <f>IF($AV1261="","",IF(AND($Z1261=0,COUNTIF('AR SALES'!$L$2:$L$2501,$L1261)=0),"YES",""))</f>
        <v/>
      </c>
      <c r="AZ1261" s="2" t="str">
        <f>IF($AV1261="","",IF(COUNTIF(LISTS!$C$2:$C$250,$AU1261)=0,"NEW",""))</f>
        <v/>
      </c>
      <c r="BA1261" s="2" t="str">
        <f>IF(""&amp;$F1261&lt;&gt;"4","",IF($AY1261="YES","",IF(ROUND(SUMIFS($AE$2:$AE$4001,$L$2:$L$4001,$L1261,$F$2:$F$4001,"4")-SUMIFS('AR SALES'!$Y$2:$Y$2501,'AR SALES'!$L$2:$L$2501,$L1261,'AR SALES'!$AD$2:$AD$2501,"OFF"),2)=0,"","STALE")))</f>
        <v/>
      </c>
      <c r="BB1261" s="2" t="str">
        <f>IF(OR(""&amp;$F1261="2",""&amp;$F1261="4",""&amp;$F1261="G",""&amp;$F1261="H"),IF($AY1261="YES","",IF($AB1261&lt;&gt;0,"",IF(COUNTIFS('AR SALES'!$L$2:$L$2501,$L1261,'AR SALES'!$AD$2:$AD$2501,IF(""&amp;$F1261="4","OFF","ON"),'AR SALES'!$AF$2:$AF$2501,"Y")&gt;0,"","NO EXEMPTION"))),"")</f>
        <v/>
      </c>
    </row>
    <row r="1262" spans="46:54" x14ac:dyDescent="0.25">
      <c r="AT1262" s="2" t="str">
        <f>IF($L1262="","",IFERROR(INDEX('AR SALES'!$H$2:$H$2501,MATCH(""&amp;$L1262,'AR SALES'!$AE$2:$AE$2501,0)),""))</f>
        <v/>
      </c>
      <c r="AU1262" s="2" t="str">
        <f t="shared" si="76"/>
        <v/>
      </c>
      <c r="AV1262" s="2" t="str">
        <f t="shared" si="77"/>
        <v/>
      </c>
      <c r="AW1262" s="2" t="str">
        <f t="shared" si="78"/>
        <v/>
      </c>
      <c r="AX1262" s="2" t="str">
        <f t="shared" si="79"/>
        <v/>
      </c>
      <c r="AY1262" s="2" t="str">
        <f>IF($AV1262="","",IF(AND($Z1262=0,COUNTIF('AR SALES'!$L$2:$L$2501,$L1262)=0),"YES",""))</f>
        <v/>
      </c>
      <c r="AZ1262" s="2" t="str">
        <f>IF($AV1262="","",IF(COUNTIF(LISTS!$C$2:$C$250,$AU1262)=0,"NEW",""))</f>
        <v/>
      </c>
      <c r="BA1262" s="2" t="str">
        <f>IF(""&amp;$F1262&lt;&gt;"4","",IF($AY1262="YES","",IF(ROUND(SUMIFS($AE$2:$AE$4001,$L$2:$L$4001,$L1262,$F$2:$F$4001,"4")-SUMIFS('AR SALES'!$Y$2:$Y$2501,'AR SALES'!$L$2:$L$2501,$L1262,'AR SALES'!$AD$2:$AD$2501,"OFF"),2)=0,"","STALE")))</f>
        <v/>
      </c>
      <c r="BB1262" s="2" t="str">
        <f>IF(OR(""&amp;$F1262="2",""&amp;$F1262="4",""&amp;$F1262="G",""&amp;$F1262="H"),IF($AY1262="YES","",IF($AB1262&lt;&gt;0,"",IF(COUNTIFS('AR SALES'!$L$2:$L$2501,$L1262,'AR SALES'!$AD$2:$AD$2501,IF(""&amp;$F1262="4","OFF","ON"),'AR SALES'!$AF$2:$AF$2501,"Y")&gt;0,"","NO EXEMPTION"))),"")</f>
        <v/>
      </c>
    </row>
    <row r="1263" spans="46:54" x14ac:dyDescent="0.25">
      <c r="AT1263" s="2" t="str">
        <f>IF($L1263="","",IFERROR(INDEX('AR SALES'!$H$2:$H$2501,MATCH(""&amp;$L1263,'AR SALES'!$AE$2:$AE$2501,0)),""))</f>
        <v/>
      </c>
      <c r="AU1263" s="2" t="str">
        <f t="shared" si="76"/>
        <v/>
      </c>
      <c r="AV1263" s="2" t="str">
        <f t="shared" si="77"/>
        <v/>
      </c>
      <c r="AW1263" s="2" t="str">
        <f t="shared" si="78"/>
        <v/>
      </c>
      <c r="AX1263" s="2" t="str">
        <f t="shared" si="79"/>
        <v/>
      </c>
      <c r="AY1263" s="2" t="str">
        <f>IF($AV1263="","",IF(AND($Z1263=0,COUNTIF('AR SALES'!$L$2:$L$2501,$L1263)=0),"YES",""))</f>
        <v/>
      </c>
      <c r="AZ1263" s="2" t="str">
        <f>IF($AV1263="","",IF(COUNTIF(LISTS!$C$2:$C$250,$AU1263)=0,"NEW",""))</f>
        <v/>
      </c>
      <c r="BA1263" s="2" t="str">
        <f>IF(""&amp;$F1263&lt;&gt;"4","",IF($AY1263="YES","",IF(ROUND(SUMIFS($AE$2:$AE$4001,$L$2:$L$4001,$L1263,$F$2:$F$4001,"4")-SUMIFS('AR SALES'!$Y$2:$Y$2501,'AR SALES'!$L$2:$L$2501,$L1263,'AR SALES'!$AD$2:$AD$2501,"OFF"),2)=0,"","STALE")))</f>
        <v/>
      </c>
      <c r="BB1263" s="2" t="str">
        <f>IF(OR(""&amp;$F1263="2",""&amp;$F1263="4",""&amp;$F1263="G",""&amp;$F1263="H"),IF($AY1263="YES","",IF($AB1263&lt;&gt;0,"",IF(COUNTIFS('AR SALES'!$L$2:$L$2501,$L1263,'AR SALES'!$AD$2:$AD$2501,IF(""&amp;$F1263="4","OFF","ON"),'AR SALES'!$AF$2:$AF$2501,"Y")&gt;0,"","NO EXEMPTION"))),"")</f>
        <v/>
      </c>
    </row>
    <row r="1264" spans="46:54" x14ac:dyDescent="0.25">
      <c r="AT1264" s="2" t="str">
        <f>IF($L1264="","",IFERROR(INDEX('AR SALES'!$H$2:$H$2501,MATCH(""&amp;$L1264,'AR SALES'!$AE$2:$AE$2501,0)),""))</f>
        <v/>
      </c>
      <c r="AU1264" s="2" t="str">
        <f t="shared" si="76"/>
        <v/>
      </c>
      <c r="AV1264" s="2" t="str">
        <f t="shared" si="77"/>
        <v/>
      </c>
      <c r="AW1264" s="2" t="str">
        <f t="shared" si="78"/>
        <v/>
      </c>
      <c r="AX1264" s="2" t="str">
        <f t="shared" si="79"/>
        <v/>
      </c>
      <c r="AY1264" s="2" t="str">
        <f>IF($AV1264="","",IF(AND($Z1264=0,COUNTIF('AR SALES'!$L$2:$L$2501,$L1264)=0),"YES",""))</f>
        <v/>
      </c>
      <c r="AZ1264" s="2" t="str">
        <f>IF($AV1264="","",IF(COUNTIF(LISTS!$C$2:$C$250,$AU1264)=0,"NEW",""))</f>
        <v/>
      </c>
      <c r="BA1264" s="2" t="str">
        <f>IF(""&amp;$F1264&lt;&gt;"4","",IF($AY1264="YES","",IF(ROUND(SUMIFS($AE$2:$AE$4001,$L$2:$L$4001,$L1264,$F$2:$F$4001,"4")-SUMIFS('AR SALES'!$Y$2:$Y$2501,'AR SALES'!$L$2:$L$2501,$L1264,'AR SALES'!$AD$2:$AD$2501,"OFF"),2)=0,"","STALE")))</f>
        <v/>
      </c>
      <c r="BB1264" s="2" t="str">
        <f>IF(OR(""&amp;$F1264="2",""&amp;$F1264="4",""&amp;$F1264="G",""&amp;$F1264="H"),IF($AY1264="YES","",IF($AB1264&lt;&gt;0,"",IF(COUNTIFS('AR SALES'!$L$2:$L$2501,$L1264,'AR SALES'!$AD$2:$AD$2501,IF(""&amp;$F1264="4","OFF","ON"),'AR SALES'!$AF$2:$AF$2501,"Y")&gt;0,"","NO EXEMPTION"))),"")</f>
        <v/>
      </c>
    </row>
    <row r="1265" spans="46:54" x14ac:dyDescent="0.25">
      <c r="AT1265" s="2" t="str">
        <f>IF($L1265="","",IFERROR(INDEX('AR SALES'!$H$2:$H$2501,MATCH(""&amp;$L1265,'AR SALES'!$AE$2:$AE$2501,0)),""))</f>
        <v/>
      </c>
      <c r="AU1265" s="2" t="str">
        <f t="shared" si="76"/>
        <v/>
      </c>
      <c r="AV1265" s="2" t="str">
        <f t="shared" si="77"/>
        <v/>
      </c>
      <c r="AW1265" s="2" t="str">
        <f t="shared" si="78"/>
        <v/>
      </c>
      <c r="AX1265" s="2" t="str">
        <f t="shared" si="79"/>
        <v/>
      </c>
      <c r="AY1265" s="2" t="str">
        <f>IF($AV1265="","",IF(AND($Z1265=0,COUNTIF('AR SALES'!$L$2:$L$2501,$L1265)=0),"YES",""))</f>
        <v/>
      </c>
      <c r="AZ1265" s="2" t="str">
        <f>IF($AV1265="","",IF(COUNTIF(LISTS!$C$2:$C$250,$AU1265)=0,"NEW",""))</f>
        <v/>
      </c>
      <c r="BA1265" s="2" t="str">
        <f>IF(""&amp;$F1265&lt;&gt;"4","",IF($AY1265="YES","",IF(ROUND(SUMIFS($AE$2:$AE$4001,$L$2:$L$4001,$L1265,$F$2:$F$4001,"4")-SUMIFS('AR SALES'!$Y$2:$Y$2501,'AR SALES'!$L$2:$L$2501,$L1265,'AR SALES'!$AD$2:$AD$2501,"OFF"),2)=0,"","STALE")))</f>
        <v/>
      </c>
      <c r="BB1265" s="2" t="str">
        <f>IF(OR(""&amp;$F1265="2",""&amp;$F1265="4",""&amp;$F1265="G",""&amp;$F1265="H"),IF($AY1265="YES","",IF($AB1265&lt;&gt;0,"",IF(COUNTIFS('AR SALES'!$L$2:$L$2501,$L1265,'AR SALES'!$AD$2:$AD$2501,IF(""&amp;$F1265="4","OFF","ON"),'AR SALES'!$AF$2:$AF$2501,"Y")&gt;0,"","NO EXEMPTION"))),"")</f>
        <v/>
      </c>
    </row>
    <row r="1266" spans="46:54" x14ac:dyDescent="0.25">
      <c r="AT1266" s="2" t="str">
        <f>IF($L1266="","",IFERROR(INDEX('AR SALES'!$H$2:$H$2501,MATCH(""&amp;$L1266,'AR SALES'!$AE$2:$AE$2501,0)),""))</f>
        <v/>
      </c>
      <c r="AU1266" s="2" t="str">
        <f t="shared" si="76"/>
        <v/>
      </c>
      <c r="AV1266" s="2" t="str">
        <f t="shared" si="77"/>
        <v/>
      </c>
      <c r="AW1266" s="2" t="str">
        <f t="shared" si="78"/>
        <v/>
      </c>
      <c r="AX1266" s="2" t="str">
        <f t="shared" si="79"/>
        <v/>
      </c>
      <c r="AY1266" s="2" t="str">
        <f>IF($AV1266="","",IF(AND($Z1266=0,COUNTIF('AR SALES'!$L$2:$L$2501,$L1266)=0),"YES",""))</f>
        <v/>
      </c>
      <c r="AZ1266" s="2" t="str">
        <f>IF($AV1266="","",IF(COUNTIF(LISTS!$C$2:$C$250,$AU1266)=0,"NEW",""))</f>
        <v/>
      </c>
      <c r="BA1266" s="2" t="str">
        <f>IF(""&amp;$F1266&lt;&gt;"4","",IF($AY1266="YES","",IF(ROUND(SUMIFS($AE$2:$AE$4001,$L$2:$L$4001,$L1266,$F$2:$F$4001,"4")-SUMIFS('AR SALES'!$Y$2:$Y$2501,'AR SALES'!$L$2:$L$2501,$L1266,'AR SALES'!$AD$2:$AD$2501,"OFF"),2)=0,"","STALE")))</f>
        <v/>
      </c>
      <c r="BB1266" s="2" t="str">
        <f>IF(OR(""&amp;$F1266="2",""&amp;$F1266="4",""&amp;$F1266="G",""&amp;$F1266="H"),IF($AY1266="YES","",IF($AB1266&lt;&gt;0,"",IF(COUNTIFS('AR SALES'!$L$2:$L$2501,$L1266,'AR SALES'!$AD$2:$AD$2501,IF(""&amp;$F1266="4","OFF","ON"),'AR SALES'!$AF$2:$AF$2501,"Y")&gt;0,"","NO EXEMPTION"))),"")</f>
        <v/>
      </c>
    </row>
    <row r="1267" spans="46:54" x14ac:dyDescent="0.25">
      <c r="AT1267" s="2" t="str">
        <f>IF($L1267="","",IFERROR(INDEX('AR SALES'!$H$2:$H$2501,MATCH(""&amp;$L1267,'AR SALES'!$AE$2:$AE$2501,0)),""))</f>
        <v/>
      </c>
      <c r="AU1267" s="2" t="str">
        <f t="shared" si="76"/>
        <v/>
      </c>
      <c r="AV1267" s="2" t="str">
        <f t="shared" si="77"/>
        <v/>
      </c>
      <c r="AW1267" s="2" t="str">
        <f t="shared" si="78"/>
        <v/>
      </c>
      <c r="AX1267" s="2" t="str">
        <f t="shared" si="79"/>
        <v/>
      </c>
      <c r="AY1267" s="2" t="str">
        <f>IF($AV1267="","",IF(AND($Z1267=0,COUNTIF('AR SALES'!$L$2:$L$2501,$L1267)=0),"YES",""))</f>
        <v/>
      </c>
      <c r="AZ1267" s="2" t="str">
        <f>IF($AV1267="","",IF(COUNTIF(LISTS!$C$2:$C$250,$AU1267)=0,"NEW",""))</f>
        <v/>
      </c>
      <c r="BA1267" s="2" t="str">
        <f>IF(""&amp;$F1267&lt;&gt;"4","",IF($AY1267="YES","",IF(ROUND(SUMIFS($AE$2:$AE$4001,$L$2:$L$4001,$L1267,$F$2:$F$4001,"4")-SUMIFS('AR SALES'!$Y$2:$Y$2501,'AR SALES'!$L$2:$L$2501,$L1267,'AR SALES'!$AD$2:$AD$2501,"OFF"),2)=0,"","STALE")))</f>
        <v/>
      </c>
      <c r="BB1267" s="2" t="str">
        <f>IF(OR(""&amp;$F1267="2",""&amp;$F1267="4",""&amp;$F1267="G",""&amp;$F1267="H"),IF($AY1267="YES","",IF($AB1267&lt;&gt;0,"",IF(COUNTIFS('AR SALES'!$L$2:$L$2501,$L1267,'AR SALES'!$AD$2:$AD$2501,IF(""&amp;$F1267="4","OFF","ON"),'AR SALES'!$AF$2:$AF$2501,"Y")&gt;0,"","NO EXEMPTION"))),"")</f>
        <v/>
      </c>
    </row>
    <row r="1268" spans="46:54" x14ac:dyDescent="0.25">
      <c r="AT1268" s="2" t="str">
        <f>IF($L1268="","",IFERROR(INDEX('AR SALES'!$H$2:$H$2501,MATCH(""&amp;$L1268,'AR SALES'!$AE$2:$AE$2501,0)),""))</f>
        <v/>
      </c>
      <c r="AU1268" s="2" t="str">
        <f t="shared" si="76"/>
        <v/>
      </c>
      <c r="AV1268" s="2" t="str">
        <f t="shared" si="77"/>
        <v/>
      </c>
      <c r="AW1268" s="2" t="str">
        <f t="shared" si="78"/>
        <v/>
      </c>
      <c r="AX1268" s="2" t="str">
        <f t="shared" si="79"/>
        <v/>
      </c>
      <c r="AY1268" s="2" t="str">
        <f>IF($AV1268="","",IF(AND($Z1268=0,COUNTIF('AR SALES'!$L$2:$L$2501,$L1268)=0),"YES",""))</f>
        <v/>
      </c>
      <c r="AZ1268" s="2" t="str">
        <f>IF($AV1268="","",IF(COUNTIF(LISTS!$C$2:$C$250,$AU1268)=0,"NEW",""))</f>
        <v/>
      </c>
      <c r="BA1268" s="2" t="str">
        <f>IF(""&amp;$F1268&lt;&gt;"4","",IF($AY1268="YES","",IF(ROUND(SUMIFS($AE$2:$AE$4001,$L$2:$L$4001,$L1268,$F$2:$F$4001,"4")-SUMIFS('AR SALES'!$Y$2:$Y$2501,'AR SALES'!$L$2:$L$2501,$L1268,'AR SALES'!$AD$2:$AD$2501,"OFF"),2)=0,"","STALE")))</f>
        <v/>
      </c>
      <c r="BB1268" s="2" t="str">
        <f>IF(OR(""&amp;$F1268="2",""&amp;$F1268="4",""&amp;$F1268="G",""&amp;$F1268="H"),IF($AY1268="YES","",IF($AB1268&lt;&gt;0,"",IF(COUNTIFS('AR SALES'!$L$2:$L$2501,$L1268,'AR SALES'!$AD$2:$AD$2501,IF(""&amp;$F1268="4","OFF","ON"),'AR SALES'!$AF$2:$AF$2501,"Y")&gt;0,"","NO EXEMPTION"))),"")</f>
        <v/>
      </c>
    </row>
    <row r="1269" spans="46:54" x14ac:dyDescent="0.25">
      <c r="AT1269" s="2" t="str">
        <f>IF($L1269="","",IFERROR(INDEX('AR SALES'!$H$2:$H$2501,MATCH(""&amp;$L1269,'AR SALES'!$AE$2:$AE$2501,0)),""))</f>
        <v/>
      </c>
      <c r="AU1269" s="2" t="str">
        <f t="shared" si="76"/>
        <v/>
      </c>
      <c r="AV1269" s="2" t="str">
        <f t="shared" si="77"/>
        <v/>
      </c>
      <c r="AW1269" s="2" t="str">
        <f t="shared" si="78"/>
        <v/>
      </c>
      <c r="AX1269" s="2" t="str">
        <f t="shared" si="79"/>
        <v/>
      </c>
      <c r="AY1269" s="2" t="str">
        <f>IF($AV1269="","",IF(AND($Z1269=0,COUNTIF('AR SALES'!$L$2:$L$2501,$L1269)=0),"YES",""))</f>
        <v/>
      </c>
      <c r="AZ1269" s="2" t="str">
        <f>IF($AV1269="","",IF(COUNTIF(LISTS!$C$2:$C$250,$AU1269)=0,"NEW",""))</f>
        <v/>
      </c>
      <c r="BA1269" s="2" t="str">
        <f>IF(""&amp;$F1269&lt;&gt;"4","",IF($AY1269="YES","",IF(ROUND(SUMIFS($AE$2:$AE$4001,$L$2:$L$4001,$L1269,$F$2:$F$4001,"4")-SUMIFS('AR SALES'!$Y$2:$Y$2501,'AR SALES'!$L$2:$L$2501,$L1269,'AR SALES'!$AD$2:$AD$2501,"OFF"),2)=0,"","STALE")))</f>
        <v/>
      </c>
      <c r="BB1269" s="2" t="str">
        <f>IF(OR(""&amp;$F1269="2",""&amp;$F1269="4",""&amp;$F1269="G",""&amp;$F1269="H"),IF($AY1269="YES","",IF($AB1269&lt;&gt;0,"",IF(COUNTIFS('AR SALES'!$L$2:$L$2501,$L1269,'AR SALES'!$AD$2:$AD$2501,IF(""&amp;$F1269="4","OFF","ON"),'AR SALES'!$AF$2:$AF$2501,"Y")&gt;0,"","NO EXEMPTION"))),"")</f>
        <v/>
      </c>
    </row>
    <row r="1270" spans="46:54" x14ac:dyDescent="0.25">
      <c r="AT1270" s="2" t="str">
        <f>IF($L1270="","",IFERROR(INDEX('AR SALES'!$H$2:$H$2501,MATCH(""&amp;$L1270,'AR SALES'!$AE$2:$AE$2501,0)),""))</f>
        <v/>
      </c>
      <c r="AU1270" s="2" t="str">
        <f t="shared" si="76"/>
        <v/>
      </c>
      <c r="AV1270" s="2" t="str">
        <f t="shared" si="77"/>
        <v/>
      </c>
      <c r="AW1270" s="2" t="str">
        <f t="shared" si="78"/>
        <v/>
      </c>
      <c r="AX1270" s="2" t="str">
        <f t="shared" si="79"/>
        <v/>
      </c>
      <c r="AY1270" s="2" t="str">
        <f>IF($AV1270="","",IF(AND($Z1270=0,COUNTIF('AR SALES'!$L$2:$L$2501,$L1270)=0),"YES",""))</f>
        <v/>
      </c>
      <c r="AZ1270" s="2" t="str">
        <f>IF($AV1270="","",IF(COUNTIF(LISTS!$C$2:$C$250,$AU1270)=0,"NEW",""))</f>
        <v/>
      </c>
      <c r="BA1270" s="2" t="str">
        <f>IF(""&amp;$F1270&lt;&gt;"4","",IF($AY1270="YES","",IF(ROUND(SUMIFS($AE$2:$AE$4001,$L$2:$L$4001,$L1270,$F$2:$F$4001,"4")-SUMIFS('AR SALES'!$Y$2:$Y$2501,'AR SALES'!$L$2:$L$2501,$L1270,'AR SALES'!$AD$2:$AD$2501,"OFF"),2)=0,"","STALE")))</f>
        <v/>
      </c>
      <c r="BB1270" s="2" t="str">
        <f>IF(OR(""&amp;$F1270="2",""&amp;$F1270="4",""&amp;$F1270="G",""&amp;$F1270="H"),IF($AY1270="YES","",IF($AB1270&lt;&gt;0,"",IF(COUNTIFS('AR SALES'!$L$2:$L$2501,$L1270,'AR SALES'!$AD$2:$AD$2501,IF(""&amp;$F1270="4","OFF","ON"),'AR SALES'!$AF$2:$AF$2501,"Y")&gt;0,"","NO EXEMPTION"))),"")</f>
        <v/>
      </c>
    </row>
    <row r="1271" spans="46:54" x14ac:dyDescent="0.25">
      <c r="AT1271" s="2" t="str">
        <f>IF($L1271="","",IFERROR(INDEX('AR SALES'!$H$2:$H$2501,MATCH(""&amp;$L1271,'AR SALES'!$AE$2:$AE$2501,0)),""))</f>
        <v/>
      </c>
      <c r="AU1271" s="2" t="str">
        <f t="shared" si="76"/>
        <v/>
      </c>
      <c r="AV1271" s="2" t="str">
        <f t="shared" si="77"/>
        <v/>
      </c>
      <c r="AW1271" s="2" t="str">
        <f t="shared" si="78"/>
        <v/>
      </c>
      <c r="AX1271" s="2" t="str">
        <f t="shared" si="79"/>
        <v/>
      </c>
      <c r="AY1271" s="2" t="str">
        <f>IF($AV1271="","",IF(AND($Z1271=0,COUNTIF('AR SALES'!$L$2:$L$2501,$L1271)=0),"YES",""))</f>
        <v/>
      </c>
      <c r="AZ1271" s="2" t="str">
        <f>IF($AV1271="","",IF(COUNTIF(LISTS!$C$2:$C$250,$AU1271)=0,"NEW",""))</f>
        <v/>
      </c>
      <c r="BA1271" s="2" t="str">
        <f>IF(""&amp;$F1271&lt;&gt;"4","",IF($AY1271="YES","",IF(ROUND(SUMIFS($AE$2:$AE$4001,$L$2:$L$4001,$L1271,$F$2:$F$4001,"4")-SUMIFS('AR SALES'!$Y$2:$Y$2501,'AR SALES'!$L$2:$L$2501,$L1271,'AR SALES'!$AD$2:$AD$2501,"OFF"),2)=0,"","STALE")))</f>
        <v/>
      </c>
      <c r="BB1271" s="2" t="str">
        <f>IF(OR(""&amp;$F1271="2",""&amp;$F1271="4",""&amp;$F1271="G",""&amp;$F1271="H"),IF($AY1271="YES","",IF($AB1271&lt;&gt;0,"",IF(COUNTIFS('AR SALES'!$L$2:$L$2501,$L1271,'AR SALES'!$AD$2:$AD$2501,IF(""&amp;$F1271="4","OFF","ON"),'AR SALES'!$AF$2:$AF$2501,"Y")&gt;0,"","NO EXEMPTION"))),"")</f>
        <v/>
      </c>
    </row>
    <row r="1272" spans="46:54" x14ac:dyDescent="0.25">
      <c r="AT1272" s="2" t="str">
        <f>IF($L1272="","",IFERROR(INDEX('AR SALES'!$H$2:$H$2501,MATCH(""&amp;$L1272,'AR SALES'!$AE$2:$AE$2501,0)),""))</f>
        <v/>
      </c>
      <c r="AU1272" s="2" t="str">
        <f t="shared" si="76"/>
        <v/>
      </c>
      <c r="AV1272" s="2" t="str">
        <f t="shared" si="77"/>
        <v/>
      </c>
      <c r="AW1272" s="2" t="str">
        <f t="shared" si="78"/>
        <v/>
      </c>
      <c r="AX1272" s="2" t="str">
        <f t="shared" si="79"/>
        <v/>
      </c>
      <c r="AY1272" s="2" t="str">
        <f>IF($AV1272="","",IF(AND($Z1272=0,COUNTIF('AR SALES'!$L$2:$L$2501,$L1272)=0),"YES",""))</f>
        <v/>
      </c>
      <c r="AZ1272" s="2" t="str">
        <f>IF($AV1272="","",IF(COUNTIF(LISTS!$C$2:$C$250,$AU1272)=0,"NEW",""))</f>
        <v/>
      </c>
      <c r="BA1272" s="2" t="str">
        <f>IF(""&amp;$F1272&lt;&gt;"4","",IF($AY1272="YES","",IF(ROUND(SUMIFS($AE$2:$AE$4001,$L$2:$L$4001,$L1272,$F$2:$F$4001,"4")-SUMIFS('AR SALES'!$Y$2:$Y$2501,'AR SALES'!$L$2:$L$2501,$L1272,'AR SALES'!$AD$2:$AD$2501,"OFF"),2)=0,"","STALE")))</f>
        <v/>
      </c>
      <c r="BB1272" s="2" t="str">
        <f>IF(OR(""&amp;$F1272="2",""&amp;$F1272="4",""&amp;$F1272="G",""&amp;$F1272="H"),IF($AY1272="YES","",IF($AB1272&lt;&gt;0,"",IF(COUNTIFS('AR SALES'!$L$2:$L$2501,$L1272,'AR SALES'!$AD$2:$AD$2501,IF(""&amp;$F1272="4","OFF","ON"),'AR SALES'!$AF$2:$AF$2501,"Y")&gt;0,"","NO EXEMPTION"))),"")</f>
        <v/>
      </c>
    </row>
    <row r="1273" spans="46:54" x14ac:dyDescent="0.25">
      <c r="AT1273" s="2" t="str">
        <f>IF($L1273="","",IFERROR(INDEX('AR SALES'!$H$2:$H$2501,MATCH(""&amp;$L1273,'AR SALES'!$AE$2:$AE$2501,0)),""))</f>
        <v/>
      </c>
      <c r="AU1273" s="2" t="str">
        <f t="shared" si="76"/>
        <v/>
      </c>
      <c r="AV1273" s="2" t="str">
        <f t="shared" si="77"/>
        <v/>
      </c>
      <c r="AW1273" s="2" t="str">
        <f t="shared" si="78"/>
        <v/>
      </c>
      <c r="AX1273" s="2" t="str">
        <f t="shared" si="79"/>
        <v/>
      </c>
      <c r="AY1273" s="2" t="str">
        <f>IF($AV1273="","",IF(AND($Z1273=0,COUNTIF('AR SALES'!$L$2:$L$2501,$L1273)=0),"YES",""))</f>
        <v/>
      </c>
      <c r="AZ1273" s="2" t="str">
        <f>IF($AV1273="","",IF(COUNTIF(LISTS!$C$2:$C$250,$AU1273)=0,"NEW",""))</f>
        <v/>
      </c>
      <c r="BA1273" s="2" t="str">
        <f>IF(""&amp;$F1273&lt;&gt;"4","",IF($AY1273="YES","",IF(ROUND(SUMIFS($AE$2:$AE$4001,$L$2:$L$4001,$L1273,$F$2:$F$4001,"4")-SUMIFS('AR SALES'!$Y$2:$Y$2501,'AR SALES'!$L$2:$L$2501,$L1273,'AR SALES'!$AD$2:$AD$2501,"OFF"),2)=0,"","STALE")))</f>
        <v/>
      </c>
      <c r="BB1273" s="2" t="str">
        <f>IF(OR(""&amp;$F1273="2",""&amp;$F1273="4",""&amp;$F1273="G",""&amp;$F1273="H"),IF($AY1273="YES","",IF($AB1273&lt;&gt;0,"",IF(COUNTIFS('AR SALES'!$L$2:$L$2501,$L1273,'AR SALES'!$AD$2:$AD$2501,IF(""&amp;$F1273="4","OFF","ON"),'AR SALES'!$AF$2:$AF$2501,"Y")&gt;0,"","NO EXEMPTION"))),"")</f>
        <v/>
      </c>
    </row>
    <row r="1274" spans="46:54" x14ac:dyDescent="0.25">
      <c r="AT1274" s="2" t="str">
        <f>IF($L1274="","",IFERROR(INDEX('AR SALES'!$H$2:$H$2501,MATCH(""&amp;$L1274,'AR SALES'!$AE$2:$AE$2501,0)),""))</f>
        <v/>
      </c>
      <c r="AU1274" s="2" t="str">
        <f t="shared" si="76"/>
        <v/>
      </c>
      <c r="AV1274" s="2" t="str">
        <f t="shared" si="77"/>
        <v/>
      </c>
      <c r="AW1274" s="2" t="str">
        <f t="shared" si="78"/>
        <v/>
      </c>
      <c r="AX1274" s="2" t="str">
        <f t="shared" si="79"/>
        <v/>
      </c>
      <c r="AY1274" s="2" t="str">
        <f>IF($AV1274="","",IF(AND($Z1274=0,COUNTIF('AR SALES'!$L$2:$L$2501,$L1274)=0),"YES",""))</f>
        <v/>
      </c>
      <c r="AZ1274" s="2" t="str">
        <f>IF($AV1274="","",IF(COUNTIF(LISTS!$C$2:$C$250,$AU1274)=0,"NEW",""))</f>
        <v/>
      </c>
      <c r="BA1274" s="2" t="str">
        <f>IF(""&amp;$F1274&lt;&gt;"4","",IF($AY1274="YES","",IF(ROUND(SUMIFS($AE$2:$AE$4001,$L$2:$L$4001,$L1274,$F$2:$F$4001,"4")-SUMIFS('AR SALES'!$Y$2:$Y$2501,'AR SALES'!$L$2:$L$2501,$L1274,'AR SALES'!$AD$2:$AD$2501,"OFF"),2)=0,"","STALE")))</f>
        <v/>
      </c>
      <c r="BB1274" s="2" t="str">
        <f>IF(OR(""&amp;$F1274="2",""&amp;$F1274="4",""&amp;$F1274="G",""&amp;$F1274="H"),IF($AY1274="YES","",IF($AB1274&lt;&gt;0,"",IF(COUNTIFS('AR SALES'!$L$2:$L$2501,$L1274,'AR SALES'!$AD$2:$AD$2501,IF(""&amp;$F1274="4","OFF","ON"),'AR SALES'!$AF$2:$AF$2501,"Y")&gt;0,"","NO EXEMPTION"))),"")</f>
        <v/>
      </c>
    </row>
    <row r="1275" spans="46:54" x14ac:dyDescent="0.25">
      <c r="AT1275" s="2" t="str">
        <f>IF($L1275="","",IFERROR(INDEX('AR SALES'!$H$2:$H$2501,MATCH(""&amp;$L1275,'AR SALES'!$AE$2:$AE$2501,0)),""))</f>
        <v/>
      </c>
      <c r="AU1275" s="2" t="str">
        <f t="shared" si="76"/>
        <v/>
      </c>
      <c r="AV1275" s="2" t="str">
        <f t="shared" si="77"/>
        <v/>
      </c>
      <c r="AW1275" s="2" t="str">
        <f t="shared" si="78"/>
        <v/>
      </c>
      <c r="AX1275" s="2" t="str">
        <f t="shared" si="79"/>
        <v/>
      </c>
      <c r="AY1275" s="2" t="str">
        <f>IF($AV1275="","",IF(AND($Z1275=0,COUNTIF('AR SALES'!$L$2:$L$2501,$L1275)=0),"YES",""))</f>
        <v/>
      </c>
      <c r="AZ1275" s="2" t="str">
        <f>IF($AV1275="","",IF(COUNTIF(LISTS!$C$2:$C$250,$AU1275)=0,"NEW",""))</f>
        <v/>
      </c>
      <c r="BA1275" s="2" t="str">
        <f>IF(""&amp;$F1275&lt;&gt;"4","",IF($AY1275="YES","",IF(ROUND(SUMIFS($AE$2:$AE$4001,$L$2:$L$4001,$L1275,$F$2:$F$4001,"4")-SUMIFS('AR SALES'!$Y$2:$Y$2501,'AR SALES'!$L$2:$L$2501,$L1275,'AR SALES'!$AD$2:$AD$2501,"OFF"),2)=0,"","STALE")))</f>
        <v/>
      </c>
      <c r="BB1275" s="2" t="str">
        <f>IF(OR(""&amp;$F1275="2",""&amp;$F1275="4",""&amp;$F1275="G",""&amp;$F1275="H"),IF($AY1275="YES","",IF($AB1275&lt;&gt;0,"",IF(COUNTIFS('AR SALES'!$L$2:$L$2501,$L1275,'AR SALES'!$AD$2:$AD$2501,IF(""&amp;$F1275="4","OFF","ON"),'AR SALES'!$AF$2:$AF$2501,"Y")&gt;0,"","NO EXEMPTION"))),"")</f>
        <v/>
      </c>
    </row>
    <row r="1276" spans="46:54" x14ac:dyDescent="0.25">
      <c r="AT1276" s="2" t="str">
        <f>IF($L1276="","",IFERROR(INDEX('AR SALES'!$H$2:$H$2501,MATCH(""&amp;$L1276,'AR SALES'!$AE$2:$AE$2501,0)),""))</f>
        <v/>
      </c>
      <c r="AU1276" s="2" t="str">
        <f t="shared" si="76"/>
        <v/>
      </c>
      <c r="AV1276" s="2" t="str">
        <f t="shared" si="77"/>
        <v/>
      </c>
      <c r="AW1276" s="2" t="str">
        <f t="shared" si="78"/>
        <v/>
      </c>
      <c r="AX1276" s="2" t="str">
        <f t="shared" si="79"/>
        <v/>
      </c>
      <c r="AY1276" s="2" t="str">
        <f>IF($AV1276="","",IF(AND($Z1276=0,COUNTIF('AR SALES'!$L$2:$L$2501,$L1276)=0),"YES",""))</f>
        <v/>
      </c>
      <c r="AZ1276" s="2" t="str">
        <f>IF($AV1276="","",IF(COUNTIF(LISTS!$C$2:$C$250,$AU1276)=0,"NEW",""))</f>
        <v/>
      </c>
      <c r="BA1276" s="2" t="str">
        <f>IF(""&amp;$F1276&lt;&gt;"4","",IF($AY1276="YES","",IF(ROUND(SUMIFS($AE$2:$AE$4001,$L$2:$L$4001,$L1276,$F$2:$F$4001,"4")-SUMIFS('AR SALES'!$Y$2:$Y$2501,'AR SALES'!$L$2:$L$2501,$L1276,'AR SALES'!$AD$2:$AD$2501,"OFF"),2)=0,"","STALE")))</f>
        <v/>
      </c>
      <c r="BB1276" s="2" t="str">
        <f>IF(OR(""&amp;$F1276="2",""&amp;$F1276="4",""&amp;$F1276="G",""&amp;$F1276="H"),IF($AY1276="YES","",IF($AB1276&lt;&gt;0,"",IF(COUNTIFS('AR SALES'!$L$2:$L$2501,$L1276,'AR SALES'!$AD$2:$AD$2501,IF(""&amp;$F1276="4","OFF","ON"),'AR SALES'!$AF$2:$AF$2501,"Y")&gt;0,"","NO EXEMPTION"))),"")</f>
        <v/>
      </c>
    </row>
    <row r="1277" spans="46:54" x14ac:dyDescent="0.25">
      <c r="AT1277" s="2" t="str">
        <f>IF($L1277="","",IFERROR(INDEX('AR SALES'!$H$2:$H$2501,MATCH(""&amp;$L1277,'AR SALES'!$AE$2:$AE$2501,0)),""))</f>
        <v/>
      </c>
      <c r="AU1277" s="2" t="str">
        <f t="shared" si="76"/>
        <v/>
      </c>
      <c r="AV1277" s="2" t="str">
        <f t="shared" si="77"/>
        <v/>
      </c>
      <c r="AW1277" s="2" t="str">
        <f t="shared" si="78"/>
        <v/>
      </c>
      <c r="AX1277" s="2" t="str">
        <f t="shared" si="79"/>
        <v/>
      </c>
      <c r="AY1277" s="2" t="str">
        <f>IF($AV1277="","",IF(AND($Z1277=0,COUNTIF('AR SALES'!$L$2:$L$2501,$L1277)=0),"YES",""))</f>
        <v/>
      </c>
      <c r="AZ1277" s="2" t="str">
        <f>IF($AV1277="","",IF(COUNTIF(LISTS!$C$2:$C$250,$AU1277)=0,"NEW",""))</f>
        <v/>
      </c>
      <c r="BA1277" s="2" t="str">
        <f>IF(""&amp;$F1277&lt;&gt;"4","",IF($AY1277="YES","",IF(ROUND(SUMIFS($AE$2:$AE$4001,$L$2:$L$4001,$L1277,$F$2:$F$4001,"4")-SUMIFS('AR SALES'!$Y$2:$Y$2501,'AR SALES'!$L$2:$L$2501,$L1277,'AR SALES'!$AD$2:$AD$2501,"OFF"),2)=0,"","STALE")))</f>
        <v/>
      </c>
      <c r="BB1277" s="2" t="str">
        <f>IF(OR(""&amp;$F1277="2",""&amp;$F1277="4",""&amp;$F1277="G",""&amp;$F1277="H"),IF($AY1277="YES","",IF($AB1277&lt;&gt;0,"",IF(COUNTIFS('AR SALES'!$L$2:$L$2501,$L1277,'AR SALES'!$AD$2:$AD$2501,IF(""&amp;$F1277="4","OFF","ON"),'AR SALES'!$AF$2:$AF$2501,"Y")&gt;0,"","NO EXEMPTION"))),"")</f>
        <v/>
      </c>
    </row>
    <row r="1278" spans="46:54" x14ac:dyDescent="0.25">
      <c r="AT1278" s="2" t="str">
        <f>IF($L1278="","",IFERROR(INDEX('AR SALES'!$H$2:$H$2501,MATCH(""&amp;$L1278,'AR SALES'!$AE$2:$AE$2501,0)),""))</f>
        <v/>
      </c>
      <c r="AU1278" s="2" t="str">
        <f t="shared" si="76"/>
        <v/>
      </c>
      <c r="AV1278" s="2" t="str">
        <f t="shared" si="77"/>
        <v/>
      </c>
      <c r="AW1278" s="2" t="str">
        <f t="shared" si="78"/>
        <v/>
      </c>
      <c r="AX1278" s="2" t="str">
        <f t="shared" si="79"/>
        <v/>
      </c>
      <c r="AY1278" s="2" t="str">
        <f>IF($AV1278="","",IF(AND($Z1278=0,COUNTIF('AR SALES'!$L$2:$L$2501,$L1278)=0),"YES",""))</f>
        <v/>
      </c>
      <c r="AZ1278" s="2" t="str">
        <f>IF($AV1278="","",IF(COUNTIF(LISTS!$C$2:$C$250,$AU1278)=0,"NEW",""))</f>
        <v/>
      </c>
      <c r="BA1278" s="2" t="str">
        <f>IF(""&amp;$F1278&lt;&gt;"4","",IF($AY1278="YES","",IF(ROUND(SUMIFS($AE$2:$AE$4001,$L$2:$L$4001,$L1278,$F$2:$F$4001,"4")-SUMIFS('AR SALES'!$Y$2:$Y$2501,'AR SALES'!$L$2:$L$2501,$L1278,'AR SALES'!$AD$2:$AD$2501,"OFF"),2)=0,"","STALE")))</f>
        <v/>
      </c>
      <c r="BB1278" s="2" t="str">
        <f>IF(OR(""&amp;$F1278="2",""&amp;$F1278="4",""&amp;$F1278="G",""&amp;$F1278="H"),IF($AY1278="YES","",IF($AB1278&lt;&gt;0,"",IF(COUNTIFS('AR SALES'!$L$2:$L$2501,$L1278,'AR SALES'!$AD$2:$AD$2501,IF(""&amp;$F1278="4","OFF","ON"),'AR SALES'!$AF$2:$AF$2501,"Y")&gt;0,"","NO EXEMPTION"))),"")</f>
        <v/>
      </c>
    </row>
    <row r="1279" spans="46:54" x14ac:dyDescent="0.25">
      <c r="AT1279" s="2" t="str">
        <f>IF($L1279="","",IFERROR(INDEX('AR SALES'!$H$2:$H$2501,MATCH(""&amp;$L1279,'AR SALES'!$AE$2:$AE$2501,0)),""))</f>
        <v/>
      </c>
      <c r="AU1279" s="2" t="str">
        <f t="shared" si="76"/>
        <v/>
      </c>
      <c r="AV1279" s="2" t="str">
        <f t="shared" si="77"/>
        <v/>
      </c>
      <c r="AW1279" s="2" t="str">
        <f t="shared" si="78"/>
        <v/>
      </c>
      <c r="AX1279" s="2" t="str">
        <f t="shared" si="79"/>
        <v/>
      </c>
      <c r="AY1279" s="2" t="str">
        <f>IF($AV1279="","",IF(AND($Z1279=0,COUNTIF('AR SALES'!$L$2:$L$2501,$L1279)=0),"YES",""))</f>
        <v/>
      </c>
      <c r="AZ1279" s="2" t="str">
        <f>IF($AV1279="","",IF(COUNTIF(LISTS!$C$2:$C$250,$AU1279)=0,"NEW",""))</f>
        <v/>
      </c>
      <c r="BA1279" s="2" t="str">
        <f>IF(""&amp;$F1279&lt;&gt;"4","",IF($AY1279="YES","",IF(ROUND(SUMIFS($AE$2:$AE$4001,$L$2:$L$4001,$L1279,$F$2:$F$4001,"4")-SUMIFS('AR SALES'!$Y$2:$Y$2501,'AR SALES'!$L$2:$L$2501,$L1279,'AR SALES'!$AD$2:$AD$2501,"OFF"),2)=0,"","STALE")))</f>
        <v/>
      </c>
      <c r="BB1279" s="2" t="str">
        <f>IF(OR(""&amp;$F1279="2",""&amp;$F1279="4",""&amp;$F1279="G",""&amp;$F1279="H"),IF($AY1279="YES","",IF($AB1279&lt;&gt;0,"",IF(COUNTIFS('AR SALES'!$L$2:$L$2501,$L1279,'AR SALES'!$AD$2:$AD$2501,IF(""&amp;$F1279="4","OFF","ON"),'AR SALES'!$AF$2:$AF$2501,"Y")&gt;0,"","NO EXEMPTION"))),"")</f>
        <v/>
      </c>
    </row>
    <row r="1280" spans="46:54" x14ac:dyDescent="0.25">
      <c r="AT1280" s="2" t="str">
        <f>IF($L1280="","",IFERROR(INDEX('AR SALES'!$H$2:$H$2501,MATCH(""&amp;$L1280,'AR SALES'!$AE$2:$AE$2501,0)),""))</f>
        <v/>
      </c>
      <c r="AU1280" s="2" t="str">
        <f t="shared" si="76"/>
        <v/>
      </c>
      <c r="AV1280" s="2" t="str">
        <f t="shared" si="77"/>
        <v/>
      </c>
      <c r="AW1280" s="2" t="str">
        <f t="shared" si="78"/>
        <v/>
      </c>
      <c r="AX1280" s="2" t="str">
        <f t="shared" si="79"/>
        <v/>
      </c>
      <c r="AY1280" s="2" t="str">
        <f>IF($AV1280="","",IF(AND($Z1280=0,COUNTIF('AR SALES'!$L$2:$L$2501,$L1280)=0),"YES",""))</f>
        <v/>
      </c>
      <c r="AZ1280" s="2" t="str">
        <f>IF($AV1280="","",IF(COUNTIF(LISTS!$C$2:$C$250,$AU1280)=0,"NEW",""))</f>
        <v/>
      </c>
      <c r="BA1280" s="2" t="str">
        <f>IF(""&amp;$F1280&lt;&gt;"4","",IF($AY1280="YES","",IF(ROUND(SUMIFS($AE$2:$AE$4001,$L$2:$L$4001,$L1280,$F$2:$F$4001,"4")-SUMIFS('AR SALES'!$Y$2:$Y$2501,'AR SALES'!$L$2:$L$2501,$L1280,'AR SALES'!$AD$2:$AD$2501,"OFF"),2)=0,"","STALE")))</f>
        <v/>
      </c>
      <c r="BB1280" s="2" t="str">
        <f>IF(OR(""&amp;$F1280="2",""&amp;$F1280="4",""&amp;$F1280="G",""&amp;$F1280="H"),IF($AY1280="YES","",IF($AB1280&lt;&gt;0,"",IF(COUNTIFS('AR SALES'!$L$2:$L$2501,$L1280,'AR SALES'!$AD$2:$AD$2501,IF(""&amp;$F1280="4","OFF","ON"),'AR SALES'!$AF$2:$AF$2501,"Y")&gt;0,"","NO EXEMPTION"))),"")</f>
        <v/>
      </c>
    </row>
    <row r="1281" spans="46:54" x14ac:dyDescent="0.25">
      <c r="AT1281" s="2" t="str">
        <f>IF($L1281="","",IFERROR(INDEX('AR SALES'!$H$2:$H$2501,MATCH(""&amp;$L1281,'AR SALES'!$AE$2:$AE$2501,0)),""))</f>
        <v/>
      </c>
      <c r="AU1281" s="2" t="str">
        <f t="shared" si="76"/>
        <v/>
      </c>
      <c r="AV1281" s="2" t="str">
        <f t="shared" si="77"/>
        <v/>
      </c>
      <c r="AW1281" s="2" t="str">
        <f t="shared" si="78"/>
        <v/>
      </c>
      <c r="AX1281" s="2" t="str">
        <f t="shared" si="79"/>
        <v/>
      </c>
      <c r="AY1281" s="2" t="str">
        <f>IF($AV1281="","",IF(AND($Z1281=0,COUNTIF('AR SALES'!$L$2:$L$2501,$L1281)=0),"YES",""))</f>
        <v/>
      </c>
      <c r="AZ1281" s="2" t="str">
        <f>IF($AV1281="","",IF(COUNTIF(LISTS!$C$2:$C$250,$AU1281)=0,"NEW",""))</f>
        <v/>
      </c>
      <c r="BA1281" s="2" t="str">
        <f>IF(""&amp;$F1281&lt;&gt;"4","",IF($AY1281="YES","",IF(ROUND(SUMIFS($AE$2:$AE$4001,$L$2:$L$4001,$L1281,$F$2:$F$4001,"4")-SUMIFS('AR SALES'!$Y$2:$Y$2501,'AR SALES'!$L$2:$L$2501,$L1281,'AR SALES'!$AD$2:$AD$2501,"OFF"),2)=0,"","STALE")))</f>
        <v/>
      </c>
      <c r="BB1281" s="2" t="str">
        <f>IF(OR(""&amp;$F1281="2",""&amp;$F1281="4",""&amp;$F1281="G",""&amp;$F1281="H"),IF($AY1281="YES","",IF($AB1281&lt;&gt;0,"",IF(COUNTIFS('AR SALES'!$L$2:$L$2501,$L1281,'AR SALES'!$AD$2:$AD$2501,IF(""&amp;$F1281="4","OFF","ON"),'AR SALES'!$AF$2:$AF$2501,"Y")&gt;0,"","NO EXEMPTION"))),"")</f>
        <v/>
      </c>
    </row>
    <row r="1282" spans="46:54" x14ac:dyDescent="0.25">
      <c r="AT1282" s="2" t="str">
        <f>IF($L1282="","",IFERROR(INDEX('AR SALES'!$H$2:$H$2501,MATCH(""&amp;$L1282,'AR SALES'!$AE$2:$AE$2501,0)),""))</f>
        <v/>
      </c>
      <c r="AU1282" s="2" t="str">
        <f t="shared" ref="AU1282:AU1345" si="80">IF($L1282="","",IF($A1282&lt;&gt;"GA","",IF($E1282="FULTON",IF(ISNUMBER(SEARCH("COLLEGE PARK",$AT1282)),"FULTON (COLLEGE PARK)",IF(ISNUMBER(SEARCH("ATLANTA CITY",$AT1282)),"FULTON (ATL LIMITS)","FULTON")),IF($E1282="DEKALB",IF(ISNUMBER(SEARCH("ATLANTA CITY",$AT1282)),"DEKALB (ATL LIMITS)","DEKALB"),$E1282))))</f>
        <v/>
      </c>
      <c r="AV1282" s="2" t="str">
        <f t="shared" ref="AV1282:AV1345" si="81">IF($L1282="","",IF(""&amp;$F1282="2","DIESEL",IF(OR(""&amp;$F1282="G",""&amp;$F1282="H"),"GAS","")))</f>
        <v/>
      </c>
      <c r="AW1282" s="2" t="str">
        <f t="shared" ref="AW1282:AW1345" si="82">IF($AV1282="","",$R1282)</f>
        <v/>
      </c>
      <c r="AX1282" s="2" t="str">
        <f t="shared" ref="AX1282:AX1345" si="83">IF($AV1282="","",IF($AB1282=0,$R1282,0))</f>
        <v/>
      </c>
      <c r="AY1282" s="2" t="str">
        <f>IF($AV1282="","",IF(AND($Z1282=0,COUNTIF('AR SALES'!$L$2:$L$2501,$L1282)=0),"YES",""))</f>
        <v/>
      </c>
      <c r="AZ1282" s="2" t="str">
        <f>IF($AV1282="","",IF(COUNTIF(LISTS!$C$2:$C$250,$AU1282)=0,"NEW",""))</f>
        <v/>
      </c>
      <c r="BA1282" s="2" t="str">
        <f>IF(""&amp;$F1282&lt;&gt;"4","",IF($AY1282="YES","",IF(ROUND(SUMIFS($AE$2:$AE$4001,$L$2:$L$4001,$L1282,$F$2:$F$4001,"4")-SUMIFS('AR SALES'!$Y$2:$Y$2501,'AR SALES'!$L$2:$L$2501,$L1282,'AR SALES'!$AD$2:$AD$2501,"OFF"),2)=0,"","STALE")))</f>
        <v/>
      </c>
      <c r="BB1282" s="2" t="str">
        <f>IF(OR(""&amp;$F1282="2",""&amp;$F1282="4",""&amp;$F1282="G",""&amp;$F1282="H"),IF($AY1282="YES","",IF($AB1282&lt;&gt;0,"",IF(COUNTIFS('AR SALES'!$L$2:$L$2501,$L1282,'AR SALES'!$AD$2:$AD$2501,IF(""&amp;$F1282="4","OFF","ON"),'AR SALES'!$AF$2:$AF$2501,"Y")&gt;0,"","NO EXEMPTION"))),"")</f>
        <v/>
      </c>
    </row>
    <row r="1283" spans="46:54" x14ac:dyDescent="0.25">
      <c r="AT1283" s="2" t="str">
        <f>IF($L1283="","",IFERROR(INDEX('AR SALES'!$H$2:$H$2501,MATCH(""&amp;$L1283,'AR SALES'!$AE$2:$AE$2501,0)),""))</f>
        <v/>
      </c>
      <c r="AU1283" s="2" t="str">
        <f t="shared" si="80"/>
        <v/>
      </c>
      <c r="AV1283" s="2" t="str">
        <f t="shared" si="81"/>
        <v/>
      </c>
      <c r="AW1283" s="2" t="str">
        <f t="shared" si="82"/>
        <v/>
      </c>
      <c r="AX1283" s="2" t="str">
        <f t="shared" si="83"/>
        <v/>
      </c>
      <c r="AY1283" s="2" t="str">
        <f>IF($AV1283="","",IF(AND($Z1283=0,COUNTIF('AR SALES'!$L$2:$L$2501,$L1283)=0),"YES",""))</f>
        <v/>
      </c>
      <c r="AZ1283" s="2" t="str">
        <f>IF($AV1283="","",IF(COUNTIF(LISTS!$C$2:$C$250,$AU1283)=0,"NEW",""))</f>
        <v/>
      </c>
      <c r="BA1283" s="2" t="str">
        <f>IF(""&amp;$F1283&lt;&gt;"4","",IF($AY1283="YES","",IF(ROUND(SUMIFS($AE$2:$AE$4001,$L$2:$L$4001,$L1283,$F$2:$F$4001,"4")-SUMIFS('AR SALES'!$Y$2:$Y$2501,'AR SALES'!$L$2:$L$2501,$L1283,'AR SALES'!$AD$2:$AD$2501,"OFF"),2)=0,"","STALE")))</f>
        <v/>
      </c>
      <c r="BB1283" s="2" t="str">
        <f>IF(OR(""&amp;$F1283="2",""&amp;$F1283="4",""&amp;$F1283="G",""&amp;$F1283="H"),IF($AY1283="YES","",IF($AB1283&lt;&gt;0,"",IF(COUNTIFS('AR SALES'!$L$2:$L$2501,$L1283,'AR SALES'!$AD$2:$AD$2501,IF(""&amp;$F1283="4","OFF","ON"),'AR SALES'!$AF$2:$AF$2501,"Y")&gt;0,"","NO EXEMPTION"))),"")</f>
        <v/>
      </c>
    </row>
    <row r="1284" spans="46:54" x14ac:dyDescent="0.25">
      <c r="AT1284" s="2" t="str">
        <f>IF($L1284="","",IFERROR(INDEX('AR SALES'!$H$2:$H$2501,MATCH(""&amp;$L1284,'AR SALES'!$AE$2:$AE$2501,0)),""))</f>
        <v/>
      </c>
      <c r="AU1284" s="2" t="str">
        <f t="shared" si="80"/>
        <v/>
      </c>
      <c r="AV1284" s="2" t="str">
        <f t="shared" si="81"/>
        <v/>
      </c>
      <c r="AW1284" s="2" t="str">
        <f t="shared" si="82"/>
        <v/>
      </c>
      <c r="AX1284" s="2" t="str">
        <f t="shared" si="83"/>
        <v/>
      </c>
      <c r="AY1284" s="2" t="str">
        <f>IF($AV1284="","",IF(AND($Z1284=0,COUNTIF('AR SALES'!$L$2:$L$2501,$L1284)=0),"YES",""))</f>
        <v/>
      </c>
      <c r="AZ1284" s="2" t="str">
        <f>IF($AV1284="","",IF(COUNTIF(LISTS!$C$2:$C$250,$AU1284)=0,"NEW",""))</f>
        <v/>
      </c>
      <c r="BA1284" s="2" t="str">
        <f>IF(""&amp;$F1284&lt;&gt;"4","",IF($AY1284="YES","",IF(ROUND(SUMIFS($AE$2:$AE$4001,$L$2:$L$4001,$L1284,$F$2:$F$4001,"4")-SUMIFS('AR SALES'!$Y$2:$Y$2501,'AR SALES'!$L$2:$L$2501,$L1284,'AR SALES'!$AD$2:$AD$2501,"OFF"),2)=0,"","STALE")))</f>
        <v/>
      </c>
      <c r="BB1284" s="2" t="str">
        <f>IF(OR(""&amp;$F1284="2",""&amp;$F1284="4",""&amp;$F1284="G",""&amp;$F1284="H"),IF($AY1284="YES","",IF($AB1284&lt;&gt;0,"",IF(COUNTIFS('AR SALES'!$L$2:$L$2501,$L1284,'AR SALES'!$AD$2:$AD$2501,IF(""&amp;$F1284="4","OFF","ON"),'AR SALES'!$AF$2:$AF$2501,"Y")&gt;0,"","NO EXEMPTION"))),"")</f>
        <v/>
      </c>
    </row>
    <row r="1285" spans="46:54" x14ac:dyDescent="0.25">
      <c r="AT1285" s="2" t="str">
        <f>IF($L1285="","",IFERROR(INDEX('AR SALES'!$H$2:$H$2501,MATCH(""&amp;$L1285,'AR SALES'!$AE$2:$AE$2501,0)),""))</f>
        <v/>
      </c>
      <c r="AU1285" s="2" t="str">
        <f t="shared" si="80"/>
        <v/>
      </c>
      <c r="AV1285" s="2" t="str">
        <f t="shared" si="81"/>
        <v/>
      </c>
      <c r="AW1285" s="2" t="str">
        <f t="shared" si="82"/>
        <v/>
      </c>
      <c r="AX1285" s="2" t="str">
        <f t="shared" si="83"/>
        <v/>
      </c>
      <c r="AY1285" s="2" t="str">
        <f>IF($AV1285="","",IF(AND($Z1285=0,COUNTIF('AR SALES'!$L$2:$L$2501,$L1285)=0),"YES",""))</f>
        <v/>
      </c>
      <c r="AZ1285" s="2" t="str">
        <f>IF($AV1285="","",IF(COUNTIF(LISTS!$C$2:$C$250,$AU1285)=0,"NEW",""))</f>
        <v/>
      </c>
      <c r="BA1285" s="2" t="str">
        <f>IF(""&amp;$F1285&lt;&gt;"4","",IF($AY1285="YES","",IF(ROUND(SUMIFS($AE$2:$AE$4001,$L$2:$L$4001,$L1285,$F$2:$F$4001,"4")-SUMIFS('AR SALES'!$Y$2:$Y$2501,'AR SALES'!$L$2:$L$2501,$L1285,'AR SALES'!$AD$2:$AD$2501,"OFF"),2)=0,"","STALE")))</f>
        <v/>
      </c>
      <c r="BB1285" s="2" t="str">
        <f>IF(OR(""&amp;$F1285="2",""&amp;$F1285="4",""&amp;$F1285="G",""&amp;$F1285="H"),IF($AY1285="YES","",IF($AB1285&lt;&gt;0,"",IF(COUNTIFS('AR SALES'!$L$2:$L$2501,$L1285,'AR SALES'!$AD$2:$AD$2501,IF(""&amp;$F1285="4","OFF","ON"),'AR SALES'!$AF$2:$AF$2501,"Y")&gt;0,"","NO EXEMPTION"))),"")</f>
        <v/>
      </c>
    </row>
    <row r="1286" spans="46:54" x14ac:dyDescent="0.25">
      <c r="AT1286" s="2" t="str">
        <f>IF($L1286="","",IFERROR(INDEX('AR SALES'!$H$2:$H$2501,MATCH(""&amp;$L1286,'AR SALES'!$AE$2:$AE$2501,0)),""))</f>
        <v/>
      </c>
      <c r="AU1286" s="2" t="str">
        <f t="shared" si="80"/>
        <v/>
      </c>
      <c r="AV1286" s="2" t="str">
        <f t="shared" si="81"/>
        <v/>
      </c>
      <c r="AW1286" s="2" t="str">
        <f t="shared" si="82"/>
        <v/>
      </c>
      <c r="AX1286" s="2" t="str">
        <f t="shared" si="83"/>
        <v/>
      </c>
      <c r="AY1286" s="2" t="str">
        <f>IF($AV1286="","",IF(AND($Z1286=0,COUNTIF('AR SALES'!$L$2:$L$2501,$L1286)=0),"YES",""))</f>
        <v/>
      </c>
      <c r="AZ1286" s="2" t="str">
        <f>IF($AV1286="","",IF(COUNTIF(LISTS!$C$2:$C$250,$AU1286)=0,"NEW",""))</f>
        <v/>
      </c>
      <c r="BA1286" s="2" t="str">
        <f>IF(""&amp;$F1286&lt;&gt;"4","",IF($AY1286="YES","",IF(ROUND(SUMIFS($AE$2:$AE$4001,$L$2:$L$4001,$L1286,$F$2:$F$4001,"4")-SUMIFS('AR SALES'!$Y$2:$Y$2501,'AR SALES'!$L$2:$L$2501,$L1286,'AR SALES'!$AD$2:$AD$2501,"OFF"),2)=0,"","STALE")))</f>
        <v/>
      </c>
      <c r="BB1286" s="2" t="str">
        <f>IF(OR(""&amp;$F1286="2",""&amp;$F1286="4",""&amp;$F1286="G",""&amp;$F1286="H"),IF($AY1286="YES","",IF($AB1286&lt;&gt;0,"",IF(COUNTIFS('AR SALES'!$L$2:$L$2501,$L1286,'AR SALES'!$AD$2:$AD$2501,IF(""&amp;$F1286="4","OFF","ON"),'AR SALES'!$AF$2:$AF$2501,"Y")&gt;0,"","NO EXEMPTION"))),"")</f>
        <v/>
      </c>
    </row>
    <row r="1287" spans="46:54" x14ac:dyDescent="0.25">
      <c r="AT1287" s="2" t="str">
        <f>IF($L1287="","",IFERROR(INDEX('AR SALES'!$H$2:$H$2501,MATCH(""&amp;$L1287,'AR SALES'!$AE$2:$AE$2501,0)),""))</f>
        <v/>
      </c>
      <c r="AU1287" s="2" t="str">
        <f t="shared" si="80"/>
        <v/>
      </c>
      <c r="AV1287" s="2" t="str">
        <f t="shared" si="81"/>
        <v/>
      </c>
      <c r="AW1287" s="2" t="str">
        <f t="shared" si="82"/>
        <v/>
      </c>
      <c r="AX1287" s="2" t="str">
        <f t="shared" si="83"/>
        <v/>
      </c>
      <c r="AY1287" s="2" t="str">
        <f>IF($AV1287="","",IF(AND($Z1287=0,COUNTIF('AR SALES'!$L$2:$L$2501,$L1287)=0),"YES",""))</f>
        <v/>
      </c>
      <c r="AZ1287" s="2" t="str">
        <f>IF($AV1287="","",IF(COUNTIF(LISTS!$C$2:$C$250,$AU1287)=0,"NEW",""))</f>
        <v/>
      </c>
      <c r="BA1287" s="2" t="str">
        <f>IF(""&amp;$F1287&lt;&gt;"4","",IF($AY1287="YES","",IF(ROUND(SUMIFS($AE$2:$AE$4001,$L$2:$L$4001,$L1287,$F$2:$F$4001,"4")-SUMIFS('AR SALES'!$Y$2:$Y$2501,'AR SALES'!$L$2:$L$2501,$L1287,'AR SALES'!$AD$2:$AD$2501,"OFF"),2)=0,"","STALE")))</f>
        <v/>
      </c>
      <c r="BB1287" s="2" t="str">
        <f>IF(OR(""&amp;$F1287="2",""&amp;$F1287="4",""&amp;$F1287="G",""&amp;$F1287="H"),IF($AY1287="YES","",IF($AB1287&lt;&gt;0,"",IF(COUNTIFS('AR SALES'!$L$2:$L$2501,$L1287,'AR SALES'!$AD$2:$AD$2501,IF(""&amp;$F1287="4","OFF","ON"),'AR SALES'!$AF$2:$AF$2501,"Y")&gt;0,"","NO EXEMPTION"))),"")</f>
        <v/>
      </c>
    </row>
    <row r="1288" spans="46:54" x14ac:dyDescent="0.25">
      <c r="AT1288" s="2" t="str">
        <f>IF($L1288="","",IFERROR(INDEX('AR SALES'!$H$2:$H$2501,MATCH(""&amp;$L1288,'AR SALES'!$AE$2:$AE$2501,0)),""))</f>
        <v/>
      </c>
      <c r="AU1288" s="2" t="str">
        <f t="shared" si="80"/>
        <v/>
      </c>
      <c r="AV1288" s="2" t="str">
        <f t="shared" si="81"/>
        <v/>
      </c>
      <c r="AW1288" s="2" t="str">
        <f t="shared" si="82"/>
        <v/>
      </c>
      <c r="AX1288" s="2" t="str">
        <f t="shared" si="83"/>
        <v/>
      </c>
      <c r="AY1288" s="2" t="str">
        <f>IF($AV1288="","",IF(AND($Z1288=0,COUNTIF('AR SALES'!$L$2:$L$2501,$L1288)=0),"YES",""))</f>
        <v/>
      </c>
      <c r="AZ1288" s="2" t="str">
        <f>IF($AV1288="","",IF(COUNTIF(LISTS!$C$2:$C$250,$AU1288)=0,"NEW",""))</f>
        <v/>
      </c>
      <c r="BA1288" s="2" t="str">
        <f>IF(""&amp;$F1288&lt;&gt;"4","",IF($AY1288="YES","",IF(ROUND(SUMIFS($AE$2:$AE$4001,$L$2:$L$4001,$L1288,$F$2:$F$4001,"4")-SUMIFS('AR SALES'!$Y$2:$Y$2501,'AR SALES'!$L$2:$L$2501,$L1288,'AR SALES'!$AD$2:$AD$2501,"OFF"),2)=0,"","STALE")))</f>
        <v/>
      </c>
      <c r="BB1288" s="2" t="str">
        <f>IF(OR(""&amp;$F1288="2",""&amp;$F1288="4",""&amp;$F1288="G",""&amp;$F1288="H"),IF($AY1288="YES","",IF($AB1288&lt;&gt;0,"",IF(COUNTIFS('AR SALES'!$L$2:$L$2501,$L1288,'AR SALES'!$AD$2:$AD$2501,IF(""&amp;$F1288="4","OFF","ON"),'AR SALES'!$AF$2:$AF$2501,"Y")&gt;0,"","NO EXEMPTION"))),"")</f>
        <v/>
      </c>
    </row>
    <row r="1289" spans="46:54" x14ac:dyDescent="0.25">
      <c r="AT1289" s="2" t="str">
        <f>IF($L1289="","",IFERROR(INDEX('AR SALES'!$H$2:$H$2501,MATCH(""&amp;$L1289,'AR SALES'!$AE$2:$AE$2501,0)),""))</f>
        <v/>
      </c>
      <c r="AU1289" s="2" t="str">
        <f t="shared" si="80"/>
        <v/>
      </c>
      <c r="AV1289" s="2" t="str">
        <f t="shared" si="81"/>
        <v/>
      </c>
      <c r="AW1289" s="2" t="str">
        <f t="shared" si="82"/>
        <v/>
      </c>
      <c r="AX1289" s="2" t="str">
        <f t="shared" si="83"/>
        <v/>
      </c>
      <c r="AY1289" s="2" t="str">
        <f>IF($AV1289="","",IF(AND($Z1289=0,COUNTIF('AR SALES'!$L$2:$L$2501,$L1289)=0),"YES",""))</f>
        <v/>
      </c>
      <c r="AZ1289" s="2" t="str">
        <f>IF($AV1289="","",IF(COUNTIF(LISTS!$C$2:$C$250,$AU1289)=0,"NEW",""))</f>
        <v/>
      </c>
      <c r="BA1289" s="2" t="str">
        <f>IF(""&amp;$F1289&lt;&gt;"4","",IF($AY1289="YES","",IF(ROUND(SUMIFS($AE$2:$AE$4001,$L$2:$L$4001,$L1289,$F$2:$F$4001,"4")-SUMIFS('AR SALES'!$Y$2:$Y$2501,'AR SALES'!$L$2:$L$2501,$L1289,'AR SALES'!$AD$2:$AD$2501,"OFF"),2)=0,"","STALE")))</f>
        <v/>
      </c>
      <c r="BB1289" s="2" t="str">
        <f>IF(OR(""&amp;$F1289="2",""&amp;$F1289="4",""&amp;$F1289="G",""&amp;$F1289="H"),IF($AY1289="YES","",IF($AB1289&lt;&gt;0,"",IF(COUNTIFS('AR SALES'!$L$2:$L$2501,$L1289,'AR SALES'!$AD$2:$AD$2501,IF(""&amp;$F1289="4","OFF","ON"),'AR SALES'!$AF$2:$AF$2501,"Y")&gt;0,"","NO EXEMPTION"))),"")</f>
        <v/>
      </c>
    </row>
    <row r="1290" spans="46:54" x14ac:dyDescent="0.25">
      <c r="AT1290" s="2" t="str">
        <f>IF($L1290="","",IFERROR(INDEX('AR SALES'!$H$2:$H$2501,MATCH(""&amp;$L1290,'AR SALES'!$AE$2:$AE$2501,0)),""))</f>
        <v/>
      </c>
      <c r="AU1290" s="2" t="str">
        <f t="shared" si="80"/>
        <v/>
      </c>
      <c r="AV1290" s="2" t="str">
        <f t="shared" si="81"/>
        <v/>
      </c>
      <c r="AW1290" s="2" t="str">
        <f t="shared" si="82"/>
        <v/>
      </c>
      <c r="AX1290" s="2" t="str">
        <f t="shared" si="83"/>
        <v/>
      </c>
      <c r="AY1290" s="2" t="str">
        <f>IF($AV1290="","",IF(AND($Z1290=0,COUNTIF('AR SALES'!$L$2:$L$2501,$L1290)=0),"YES",""))</f>
        <v/>
      </c>
      <c r="AZ1290" s="2" t="str">
        <f>IF($AV1290="","",IF(COUNTIF(LISTS!$C$2:$C$250,$AU1290)=0,"NEW",""))</f>
        <v/>
      </c>
      <c r="BA1290" s="2" t="str">
        <f>IF(""&amp;$F1290&lt;&gt;"4","",IF($AY1290="YES","",IF(ROUND(SUMIFS($AE$2:$AE$4001,$L$2:$L$4001,$L1290,$F$2:$F$4001,"4")-SUMIFS('AR SALES'!$Y$2:$Y$2501,'AR SALES'!$L$2:$L$2501,$L1290,'AR SALES'!$AD$2:$AD$2501,"OFF"),2)=0,"","STALE")))</f>
        <v/>
      </c>
      <c r="BB1290" s="2" t="str">
        <f>IF(OR(""&amp;$F1290="2",""&amp;$F1290="4",""&amp;$F1290="G",""&amp;$F1290="H"),IF($AY1290="YES","",IF($AB1290&lt;&gt;0,"",IF(COUNTIFS('AR SALES'!$L$2:$L$2501,$L1290,'AR SALES'!$AD$2:$AD$2501,IF(""&amp;$F1290="4","OFF","ON"),'AR SALES'!$AF$2:$AF$2501,"Y")&gt;0,"","NO EXEMPTION"))),"")</f>
        <v/>
      </c>
    </row>
    <row r="1291" spans="46:54" x14ac:dyDescent="0.25">
      <c r="AT1291" s="2" t="str">
        <f>IF($L1291="","",IFERROR(INDEX('AR SALES'!$H$2:$H$2501,MATCH(""&amp;$L1291,'AR SALES'!$AE$2:$AE$2501,0)),""))</f>
        <v/>
      </c>
      <c r="AU1291" s="2" t="str">
        <f t="shared" si="80"/>
        <v/>
      </c>
      <c r="AV1291" s="2" t="str">
        <f t="shared" si="81"/>
        <v/>
      </c>
      <c r="AW1291" s="2" t="str">
        <f t="shared" si="82"/>
        <v/>
      </c>
      <c r="AX1291" s="2" t="str">
        <f t="shared" si="83"/>
        <v/>
      </c>
      <c r="AY1291" s="2" t="str">
        <f>IF($AV1291="","",IF(AND($Z1291=0,COUNTIF('AR SALES'!$L$2:$L$2501,$L1291)=0),"YES",""))</f>
        <v/>
      </c>
      <c r="AZ1291" s="2" t="str">
        <f>IF($AV1291="","",IF(COUNTIF(LISTS!$C$2:$C$250,$AU1291)=0,"NEW",""))</f>
        <v/>
      </c>
      <c r="BA1291" s="2" t="str">
        <f>IF(""&amp;$F1291&lt;&gt;"4","",IF($AY1291="YES","",IF(ROUND(SUMIFS($AE$2:$AE$4001,$L$2:$L$4001,$L1291,$F$2:$F$4001,"4")-SUMIFS('AR SALES'!$Y$2:$Y$2501,'AR SALES'!$L$2:$L$2501,$L1291,'AR SALES'!$AD$2:$AD$2501,"OFF"),2)=0,"","STALE")))</f>
        <v/>
      </c>
      <c r="BB1291" s="2" t="str">
        <f>IF(OR(""&amp;$F1291="2",""&amp;$F1291="4",""&amp;$F1291="G",""&amp;$F1291="H"),IF($AY1291="YES","",IF($AB1291&lt;&gt;0,"",IF(COUNTIFS('AR SALES'!$L$2:$L$2501,$L1291,'AR SALES'!$AD$2:$AD$2501,IF(""&amp;$F1291="4","OFF","ON"),'AR SALES'!$AF$2:$AF$2501,"Y")&gt;0,"","NO EXEMPTION"))),"")</f>
        <v/>
      </c>
    </row>
    <row r="1292" spans="46:54" x14ac:dyDescent="0.25">
      <c r="AT1292" s="2" t="str">
        <f>IF($L1292="","",IFERROR(INDEX('AR SALES'!$H$2:$H$2501,MATCH(""&amp;$L1292,'AR SALES'!$AE$2:$AE$2501,0)),""))</f>
        <v/>
      </c>
      <c r="AU1292" s="2" t="str">
        <f t="shared" si="80"/>
        <v/>
      </c>
      <c r="AV1292" s="2" t="str">
        <f t="shared" si="81"/>
        <v/>
      </c>
      <c r="AW1292" s="2" t="str">
        <f t="shared" si="82"/>
        <v/>
      </c>
      <c r="AX1292" s="2" t="str">
        <f t="shared" si="83"/>
        <v/>
      </c>
      <c r="AY1292" s="2" t="str">
        <f>IF($AV1292="","",IF(AND($Z1292=0,COUNTIF('AR SALES'!$L$2:$L$2501,$L1292)=0),"YES",""))</f>
        <v/>
      </c>
      <c r="AZ1292" s="2" t="str">
        <f>IF($AV1292="","",IF(COUNTIF(LISTS!$C$2:$C$250,$AU1292)=0,"NEW",""))</f>
        <v/>
      </c>
      <c r="BA1292" s="2" t="str">
        <f>IF(""&amp;$F1292&lt;&gt;"4","",IF($AY1292="YES","",IF(ROUND(SUMIFS($AE$2:$AE$4001,$L$2:$L$4001,$L1292,$F$2:$F$4001,"4")-SUMIFS('AR SALES'!$Y$2:$Y$2501,'AR SALES'!$L$2:$L$2501,$L1292,'AR SALES'!$AD$2:$AD$2501,"OFF"),2)=0,"","STALE")))</f>
        <v/>
      </c>
      <c r="BB1292" s="2" t="str">
        <f>IF(OR(""&amp;$F1292="2",""&amp;$F1292="4",""&amp;$F1292="G",""&amp;$F1292="H"),IF($AY1292="YES","",IF($AB1292&lt;&gt;0,"",IF(COUNTIFS('AR SALES'!$L$2:$L$2501,$L1292,'AR SALES'!$AD$2:$AD$2501,IF(""&amp;$F1292="4","OFF","ON"),'AR SALES'!$AF$2:$AF$2501,"Y")&gt;0,"","NO EXEMPTION"))),"")</f>
        <v/>
      </c>
    </row>
    <row r="1293" spans="46:54" x14ac:dyDescent="0.25">
      <c r="AT1293" s="2" t="str">
        <f>IF($L1293="","",IFERROR(INDEX('AR SALES'!$H$2:$H$2501,MATCH(""&amp;$L1293,'AR SALES'!$AE$2:$AE$2501,0)),""))</f>
        <v/>
      </c>
      <c r="AU1293" s="2" t="str">
        <f t="shared" si="80"/>
        <v/>
      </c>
      <c r="AV1293" s="2" t="str">
        <f t="shared" si="81"/>
        <v/>
      </c>
      <c r="AW1293" s="2" t="str">
        <f t="shared" si="82"/>
        <v/>
      </c>
      <c r="AX1293" s="2" t="str">
        <f t="shared" si="83"/>
        <v/>
      </c>
      <c r="AY1293" s="2" t="str">
        <f>IF($AV1293="","",IF(AND($Z1293=0,COUNTIF('AR SALES'!$L$2:$L$2501,$L1293)=0),"YES",""))</f>
        <v/>
      </c>
      <c r="AZ1293" s="2" t="str">
        <f>IF($AV1293="","",IF(COUNTIF(LISTS!$C$2:$C$250,$AU1293)=0,"NEW",""))</f>
        <v/>
      </c>
      <c r="BA1293" s="2" t="str">
        <f>IF(""&amp;$F1293&lt;&gt;"4","",IF($AY1293="YES","",IF(ROUND(SUMIFS($AE$2:$AE$4001,$L$2:$L$4001,$L1293,$F$2:$F$4001,"4")-SUMIFS('AR SALES'!$Y$2:$Y$2501,'AR SALES'!$L$2:$L$2501,$L1293,'AR SALES'!$AD$2:$AD$2501,"OFF"),2)=0,"","STALE")))</f>
        <v/>
      </c>
      <c r="BB1293" s="2" t="str">
        <f>IF(OR(""&amp;$F1293="2",""&amp;$F1293="4",""&amp;$F1293="G",""&amp;$F1293="H"),IF($AY1293="YES","",IF($AB1293&lt;&gt;0,"",IF(COUNTIFS('AR SALES'!$L$2:$L$2501,$L1293,'AR SALES'!$AD$2:$AD$2501,IF(""&amp;$F1293="4","OFF","ON"),'AR SALES'!$AF$2:$AF$2501,"Y")&gt;0,"","NO EXEMPTION"))),"")</f>
        <v/>
      </c>
    </row>
    <row r="1294" spans="46:54" x14ac:dyDescent="0.25">
      <c r="AT1294" s="2" t="str">
        <f>IF($L1294="","",IFERROR(INDEX('AR SALES'!$H$2:$H$2501,MATCH(""&amp;$L1294,'AR SALES'!$AE$2:$AE$2501,0)),""))</f>
        <v/>
      </c>
      <c r="AU1294" s="2" t="str">
        <f t="shared" si="80"/>
        <v/>
      </c>
      <c r="AV1294" s="2" t="str">
        <f t="shared" si="81"/>
        <v/>
      </c>
      <c r="AW1294" s="2" t="str">
        <f t="shared" si="82"/>
        <v/>
      </c>
      <c r="AX1294" s="2" t="str">
        <f t="shared" si="83"/>
        <v/>
      </c>
      <c r="AY1294" s="2" t="str">
        <f>IF($AV1294="","",IF(AND($Z1294=0,COUNTIF('AR SALES'!$L$2:$L$2501,$L1294)=0),"YES",""))</f>
        <v/>
      </c>
      <c r="AZ1294" s="2" t="str">
        <f>IF($AV1294="","",IF(COUNTIF(LISTS!$C$2:$C$250,$AU1294)=0,"NEW",""))</f>
        <v/>
      </c>
      <c r="BA1294" s="2" t="str">
        <f>IF(""&amp;$F1294&lt;&gt;"4","",IF($AY1294="YES","",IF(ROUND(SUMIFS($AE$2:$AE$4001,$L$2:$L$4001,$L1294,$F$2:$F$4001,"4")-SUMIFS('AR SALES'!$Y$2:$Y$2501,'AR SALES'!$L$2:$L$2501,$L1294,'AR SALES'!$AD$2:$AD$2501,"OFF"),2)=0,"","STALE")))</f>
        <v/>
      </c>
      <c r="BB1294" s="2" t="str">
        <f>IF(OR(""&amp;$F1294="2",""&amp;$F1294="4",""&amp;$F1294="G",""&amp;$F1294="H"),IF($AY1294="YES","",IF($AB1294&lt;&gt;0,"",IF(COUNTIFS('AR SALES'!$L$2:$L$2501,$L1294,'AR SALES'!$AD$2:$AD$2501,IF(""&amp;$F1294="4","OFF","ON"),'AR SALES'!$AF$2:$AF$2501,"Y")&gt;0,"","NO EXEMPTION"))),"")</f>
        <v/>
      </c>
    </row>
    <row r="1295" spans="46:54" x14ac:dyDescent="0.25">
      <c r="AT1295" s="2" t="str">
        <f>IF($L1295="","",IFERROR(INDEX('AR SALES'!$H$2:$H$2501,MATCH(""&amp;$L1295,'AR SALES'!$AE$2:$AE$2501,0)),""))</f>
        <v/>
      </c>
      <c r="AU1295" s="2" t="str">
        <f t="shared" si="80"/>
        <v/>
      </c>
      <c r="AV1295" s="2" t="str">
        <f t="shared" si="81"/>
        <v/>
      </c>
      <c r="AW1295" s="2" t="str">
        <f t="shared" si="82"/>
        <v/>
      </c>
      <c r="AX1295" s="2" t="str">
        <f t="shared" si="83"/>
        <v/>
      </c>
      <c r="AY1295" s="2" t="str">
        <f>IF($AV1295="","",IF(AND($Z1295=0,COUNTIF('AR SALES'!$L$2:$L$2501,$L1295)=0),"YES",""))</f>
        <v/>
      </c>
      <c r="AZ1295" s="2" t="str">
        <f>IF($AV1295="","",IF(COUNTIF(LISTS!$C$2:$C$250,$AU1295)=0,"NEW",""))</f>
        <v/>
      </c>
      <c r="BA1295" s="2" t="str">
        <f>IF(""&amp;$F1295&lt;&gt;"4","",IF($AY1295="YES","",IF(ROUND(SUMIFS($AE$2:$AE$4001,$L$2:$L$4001,$L1295,$F$2:$F$4001,"4")-SUMIFS('AR SALES'!$Y$2:$Y$2501,'AR SALES'!$L$2:$L$2501,$L1295,'AR SALES'!$AD$2:$AD$2501,"OFF"),2)=0,"","STALE")))</f>
        <v/>
      </c>
      <c r="BB1295" s="2" t="str">
        <f>IF(OR(""&amp;$F1295="2",""&amp;$F1295="4",""&amp;$F1295="G",""&amp;$F1295="H"),IF($AY1295="YES","",IF($AB1295&lt;&gt;0,"",IF(COUNTIFS('AR SALES'!$L$2:$L$2501,$L1295,'AR SALES'!$AD$2:$AD$2501,IF(""&amp;$F1295="4","OFF","ON"),'AR SALES'!$AF$2:$AF$2501,"Y")&gt;0,"","NO EXEMPTION"))),"")</f>
        <v/>
      </c>
    </row>
    <row r="1296" spans="46:54" x14ac:dyDescent="0.25">
      <c r="AT1296" s="2" t="str">
        <f>IF($L1296="","",IFERROR(INDEX('AR SALES'!$H$2:$H$2501,MATCH(""&amp;$L1296,'AR SALES'!$AE$2:$AE$2501,0)),""))</f>
        <v/>
      </c>
      <c r="AU1296" s="2" t="str">
        <f t="shared" si="80"/>
        <v/>
      </c>
      <c r="AV1296" s="2" t="str">
        <f t="shared" si="81"/>
        <v/>
      </c>
      <c r="AW1296" s="2" t="str">
        <f t="shared" si="82"/>
        <v/>
      </c>
      <c r="AX1296" s="2" t="str">
        <f t="shared" si="83"/>
        <v/>
      </c>
      <c r="AY1296" s="2" t="str">
        <f>IF($AV1296="","",IF(AND($Z1296=0,COUNTIF('AR SALES'!$L$2:$L$2501,$L1296)=0),"YES",""))</f>
        <v/>
      </c>
      <c r="AZ1296" s="2" t="str">
        <f>IF($AV1296="","",IF(COUNTIF(LISTS!$C$2:$C$250,$AU1296)=0,"NEW",""))</f>
        <v/>
      </c>
      <c r="BA1296" s="2" t="str">
        <f>IF(""&amp;$F1296&lt;&gt;"4","",IF($AY1296="YES","",IF(ROUND(SUMIFS($AE$2:$AE$4001,$L$2:$L$4001,$L1296,$F$2:$F$4001,"4")-SUMIFS('AR SALES'!$Y$2:$Y$2501,'AR SALES'!$L$2:$L$2501,$L1296,'AR SALES'!$AD$2:$AD$2501,"OFF"),2)=0,"","STALE")))</f>
        <v/>
      </c>
      <c r="BB1296" s="2" t="str">
        <f>IF(OR(""&amp;$F1296="2",""&amp;$F1296="4",""&amp;$F1296="G",""&amp;$F1296="H"),IF($AY1296="YES","",IF($AB1296&lt;&gt;0,"",IF(COUNTIFS('AR SALES'!$L$2:$L$2501,$L1296,'AR SALES'!$AD$2:$AD$2501,IF(""&amp;$F1296="4","OFF","ON"),'AR SALES'!$AF$2:$AF$2501,"Y")&gt;0,"","NO EXEMPTION"))),"")</f>
        <v/>
      </c>
    </row>
    <row r="1297" spans="46:54" x14ac:dyDescent="0.25">
      <c r="AT1297" s="2" t="str">
        <f>IF($L1297="","",IFERROR(INDEX('AR SALES'!$H$2:$H$2501,MATCH(""&amp;$L1297,'AR SALES'!$AE$2:$AE$2501,0)),""))</f>
        <v/>
      </c>
      <c r="AU1297" s="2" t="str">
        <f t="shared" si="80"/>
        <v/>
      </c>
      <c r="AV1297" s="2" t="str">
        <f t="shared" si="81"/>
        <v/>
      </c>
      <c r="AW1297" s="2" t="str">
        <f t="shared" si="82"/>
        <v/>
      </c>
      <c r="AX1297" s="2" t="str">
        <f t="shared" si="83"/>
        <v/>
      </c>
      <c r="AY1297" s="2" t="str">
        <f>IF($AV1297="","",IF(AND($Z1297=0,COUNTIF('AR SALES'!$L$2:$L$2501,$L1297)=0),"YES",""))</f>
        <v/>
      </c>
      <c r="AZ1297" s="2" t="str">
        <f>IF($AV1297="","",IF(COUNTIF(LISTS!$C$2:$C$250,$AU1297)=0,"NEW",""))</f>
        <v/>
      </c>
      <c r="BA1297" s="2" t="str">
        <f>IF(""&amp;$F1297&lt;&gt;"4","",IF($AY1297="YES","",IF(ROUND(SUMIFS($AE$2:$AE$4001,$L$2:$L$4001,$L1297,$F$2:$F$4001,"4")-SUMIFS('AR SALES'!$Y$2:$Y$2501,'AR SALES'!$L$2:$L$2501,$L1297,'AR SALES'!$AD$2:$AD$2501,"OFF"),2)=0,"","STALE")))</f>
        <v/>
      </c>
      <c r="BB1297" s="2" t="str">
        <f>IF(OR(""&amp;$F1297="2",""&amp;$F1297="4",""&amp;$F1297="G",""&amp;$F1297="H"),IF($AY1297="YES","",IF($AB1297&lt;&gt;0,"",IF(COUNTIFS('AR SALES'!$L$2:$L$2501,$L1297,'AR SALES'!$AD$2:$AD$2501,IF(""&amp;$F1297="4","OFF","ON"),'AR SALES'!$AF$2:$AF$2501,"Y")&gt;0,"","NO EXEMPTION"))),"")</f>
        <v/>
      </c>
    </row>
    <row r="1298" spans="46:54" x14ac:dyDescent="0.25">
      <c r="AT1298" s="2" t="str">
        <f>IF($L1298="","",IFERROR(INDEX('AR SALES'!$H$2:$H$2501,MATCH(""&amp;$L1298,'AR SALES'!$AE$2:$AE$2501,0)),""))</f>
        <v/>
      </c>
      <c r="AU1298" s="2" t="str">
        <f t="shared" si="80"/>
        <v/>
      </c>
      <c r="AV1298" s="2" t="str">
        <f t="shared" si="81"/>
        <v/>
      </c>
      <c r="AW1298" s="2" t="str">
        <f t="shared" si="82"/>
        <v/>
      </c>
      <c r="AX1298" s="2" t="str">
        <f t="shared" si="83"/>
        <v/>
      </c>
      <c r="AY1298" s="2" t="str">
        <f>IF($AV1298="","",IF(AND($Z1298=0,COUNTIF('AR SALES'!$L$2:$L$2501,$L1298)=0),"YES",""))</f>
        <v/>
      </c>
      <c r="AZ1298" s="2" t="str">
        <f>IF($AV1298="","",IF(COUNTIF(LISTS!$C$2:$C$250,$AU1298)=0,"NEW",""))</f>
        <v/>
      </c>
      <c r="BA1298" s="2" t="str">
        <f>IF(""&amp;$F1298&lt;&gt;"4","",IF($AY1298="YES","",IF(ROUND(SUMIFS($AE$2:$AE$4001,$L$2:$L$4001,$L1298,$F$2:$F$4001,"4")-SUMIFS('AR SALES'!$Y$2:$Y$2501,'AR SALES'!$L$2:$L$2501,$L1298,'AR SALES'!$AD$2:$AD$2501,"OFF"),2)=0,"","STALE")))</f>
        <v/>
      </c>
      <c r="BB1298" s="2" t="str">
        <f>IF(OR(""&amp;$F1298="2",""&amp;$F1298="4",""&amp;$F1298="G",""&amp;$F1298="H"),IF($AY1298="YES","",IF($AB1298&lt;&gt;0,"",IF(COUNTIFS('AR SALES'!$L$2:$L$2501,$L1298,'AR SALES'!$AD$2:$AD$2501,IF(""&amp;$F1298="4","OFF","ON"),'AR SALES'!$AF$2:$AF$2501,"Y")&gt;0,"","NO EXEMPTION"))),"")</f>
        <v/>
      </c>
    </row>
    <row r="1299" spans="46:54" x14ac:dyDescent="0.25">
      <c r="AT1299" s="2" t="str">
        <f>IF($L1299="","",IFERROR(INDEX('AR SALES'!$H$2:$H$2501,MATCH(""&amp;$L1299,'AR SALES'!$AE$2:$AE$2501,0)),""))</f>
        <v/>
      </c>
      <c r="AU1299" s="2" t="str">
        <f t="shared" si="80"/>
        <v/>
      </c>
      <c r="AV1299" s="2" t="str">
        <f t="shared" si="81"/>
        <v/>
      </c>
      <c r="AW1299" s="2" t="str">
        <f t="shared" si="82"/>
        <v/>
      </c>
      <c r="AX1299" s="2" t="str">
        <f t="shared" si="83"/>
        <v/>
      </c>
      <c r="AY1299" s="2" t="str">
        <f>IF($AV1299="","",IF(AND($Z1299=0,COUNTIF('AR SALES'!$L$2:$L$2501,$L1299)=0),"YES",""))</f>
        <v/>
      </c>
      <c r="AZ1299" s="2" t="str">
        <f>IF($AV1299="","",IF(COUNTIF(LISTS!$C$2:$C$250,$AU1299)=0,"NEW",""))</f>
        <v/>
      </c>
      <c r="BA1299" s="2" t="str">
        <f>IF(""&amp;$F1299&lt;&gt;"4","",IF($AY1299="YES","",IF(ROUND(SUMIFS($AE$2:$AE$4001,$L$2:$L$4001,$L1299,$F$2:$F$4001,"4")-SUMIFS('AR SALES'!$Y$2:$Y$2501,'AR SALES'!$L$2:$L$2501,$L1299,'AR SALES'!$AD$2:$AD$2501,"OFF"),2)=0,"","STALE")))</f>
        <v/>
      </c>
      <c r="BB1299" s="2" t="str">
        <f>IF(OR(""&amp;$F1299="2",""&amp;$F1299="4",""&amp;$F1299="G",""&amp;$F1299="H"),IF($AY1299="YES","",IF($AB1299&lt;&gt;0,"",IF(COUNTIFS('AR SALES'!$L$2:$L$2501,$L1299,'AR SALES'!$AD$2:$AD$2501,IF(""&amp;$F1299="4","OFF","ON"),'AR SALES'!$AF$2:$AF$2501,"Y")&gt;0,"","NO EXEMPTION"))),"")</f>
        <v/>
      </c>
    </row>
    <row r="1300" spans="46:54" x14ac:dyDescent="0.25">
      <c r="AT1300" s="2" t="str">
        <f>IF($L1300="","",IFERROR(INDEX('AR SALES'!$H$2:$H$2501,MATCH(""&amp;$L1300,'AR SALES'!$AE$2:$AE$2501,0)),""))</f>
        <v/>
      </c>
      <c r="AU1300" s="2" t="str">
        <f t="shared" si="80"/>
        <v/>
      </c>
      <c r="AV1300" s="2" t="str">
        <f t="shared" si="81"/>
        <v/>
      </c>
      <c r="AW1300" s="2" t="str">
        <f t="shared" si="82"/>
        <v/>
      </c>
      <c r="AX1300" s="2" t="str">
        <f t="shared" si="83"/>
        <v/>
      </c>
      <c r="AY1300" s="2" t="str">
        <f>IF($AV1300="","",IF(AND($Z1300=0,COUNTIF('AR SALES'!$L$2:$L$2501,$L1300)=0),"YES",""))</f>
        <v/>
      </c>
      <c r="AZ1300" s="2" t="str">
        <f>IF($AV1300="","",IF(COUNTIF(LISTS!$C$2:$C$250,$AU1300)=0,"NEW",""))</f>
        <v/>
      </c>
      <c r="BA1300" s="2" t="str">
        <f>IF(""&amp;$F1300&lt;&gt;"4","",IF($AY1300="YES","",IF(ROUND(SUMIFS($AE$2:$AE$4001,$L$2:$L$4001,$L1300,$F$2:$F$4001,"4")-SUMIFS('AR SALES'!$Y$2:$Y$2501,'AR SALES'!$L$2:$L$2501,$L1300,'AR SALES'!$AD$2:$AD$2501,"OFF"),2)=0,"","STALE")))</f>
        <v/>
      </c>
      <c r="BB1300" s="2" t="str">
        <f>IF(OR(""&amp;$F1300="2",""&amp;$F1300="4",""&amp;$F1300="G",""&amp;$F1300="H"),IF($AY1300="YES","",IF($AB1300&lt;&gt;0,"",IF(COUNTIFS('AR SALES'!$L$2:$L$2501,$L1300,'AR SALES'!$AD$2:$AD$2501,IF(""&amp;$F1300="4","OFF","ON"),'AR SALES'!$AF$2:$AF$2501,"Y")&gt;0,"","NO EXEMPTION"))),"")</f>
        <v/>
      </c>
    </row>
    <row r="1301" spans="46:54" x14ac:dyDescent="0.25">
      <c r="AT1301" s="2" t="str">
        <f>IF($L1301="","",IFERROR(INDEX('AR SALES'!$H$2:$H$2501,MATCH(""&amp;$L1301,'AR SALES'!$AE$2:$AE$2501,0)),""))</f>
        <v/>
      </c>
      <c r="AU1301" s="2" t="str">
        <f t="shared" si="80"/>
        <v/>
      </c>
      <c r="AV1301" s="2" t="str">
        <f t="shared" si="81"/>
        <v/>
      </c>
      <c r="AW1301" s="2" t="str">
        <f t="shared" si="82"/>
        <v/>
      </c>
      <c r="AX1301" s="2" t="str">
        <f t="shared" si="83"/>
        <v/>
      </c>
      <c r="AY1301" s="2" t="str">
        <f>IF($AV1301="","",IF(AND($Z1301=0,COUNTIF('AR SALES'!$L$2:$L$2501,$L1301)=0),"YES",""))</f>
        <v/>
      </c>
      <c r="AZ1301" s="2" t="str">
        <f>IF($AV1301="","",IF(COUNTIF(LISTS!$C$2:$C$250,$AU1301)=0,"NEW",""))</f>
        <v/>
      </c>
      <c r="BA1301" s="2" t="str">
        <f>IF(""&amp;$F1301&lt;&gt;"4","",IF($AY1301="YES","",IF(ROUND(SUMIFS($AE$2:$AE$4001,$L$2:$L$4001,$L1301,$F$2:$F$4001,"4")-SUMIFS('AR SALES'!$Y$2:$Y$2501,'AR SALES'!$L$2:$L$2501,$L1301,'AR SALES'!$AD$2:$AD$2501,"OFF"),2)=0,"","STALE")))</f>
        <v/>
      </c>
      <c r="BB1301" s="2" t="str">
        <f>IF(OR(""&amp;$F1301="2",""&amp;$F1301="4",""&amp;$F1301="G",""&amp;$F1301="H"),IF($AY1301="YES","",IF($AB1301&lt;&gt;0,"",IF(COUNTIFS('AR SALES'!$L$2:$L$2501,$L1301,'AR SALES'!$AD$2:$AD$2501,IF(""&amp;$F1301="4","OFF","ON"),'AR SALES'!$AF$2:$AF$2501,"Y")&gt;0,"","NO EXEMPTION"))),"")</f>
        <v/>
      </c>
    </row>
    <row r="1302" spans="46:54" x14ac:dyDescent="0.25">
      <c r="AT1302" s="2" t="str">
        <f>IF($L1302="","",IFERROR(INDEX('AR SALES'!$H$2:$H$2501,MATCH(""&amp;$L1302,'AR SALES'!$AE$2:$AE$2501,0)),""))</f>
        <v/>
      </c>
      <c r="AU1302" s="2" t="str">
        <f t="shared" si="80"/>
        <v/>
      </c>
      <c r="AV1302" s="2" t="str">
        <f t="shared" si="81"/>
        <v/>
      </c>
      <c r="AW1302" s="2" t="str">
        <f t="shared" si="82"/>
        <v/>
      </c>
      <c r="AX1302" s="2" t="str">
        <f t="shared" si="83"/>
        <v/>
      </c>
      <c r="AY1302" s="2" t="str">
        <f>IF($AV1302="","",IF(AND($Z1302=0,COUNTIF('AR SALES'!$L$2:$L$2501,$L1302)=0),"YES",""))</f>
        <v/>
      </c>
      <c r="AZ1302" s="2" t="str">
        <f>IF($AV1302="","",IF(COUNTIF(LISTS!$C$2:$C$250,$AU1302)=0,"NEW",""))</f>
        <v/>
      </c>
      <c r="BA1302" s="2" t="str">
        <f>IF(""&amp;$F1302&lt;&gt;"4","",IF($AY1302="YES","",IF(ROUND(SUMIFS($AE$2:$AE$4001,$L$2:$L$4001,$L1302,$F$2:$F$4001,"4")-SUMIFS('AR SALES'!$Y$2:$Y$2501,'AR SALES'!$L$2:$L$2501,$L1302,'AR SALES'!$AD$2:$AD$2501,"OFF"),2)=0,"","STALE")))</f>
        <v/>
      </c>
      <c r="BB1302" s="2" t="str">
        <f>IF(OR(""&amp;$F1302="2",""&amp;$F1302="4",""&amp;$F1302="G",""&amp;$F1302="H"),IF($AY1302="YES","",IF($AB1302&lt;&gt;0,"",IF(COUNTIFS('AR SALES'!$L$2:$L$2501,$L1302,'AR SALES'!$AD$2:$AD$2501,IF(""&amp;$F1302="4","OFF","ON"),'AR SALES'!$AF$2:$AF$2501,"Y")&gt;0,"","NO EXEMPTION"))),"")</f>
        <v/>
      </c>
    </row>
    <row r="1303" spans="46:54" x14ac:dyDescent="0.25">
      <c r="AT1303" s="2" t="str">
        <f>IF($L1303="","",IFERROR(INDEX('AR SALES'!$H$2:$H$2501,MATCH(""&amp;$L1303,'AR SALES'!$AE$2:$AE$2501,0)),""))</f>
        <v/>
      </c>
      <c r="AU1303" s="2" t="str">
        <f t="shared" si="80"/>
        <v/>
      </c>
      <c r="AV1303" s="2" t="str">
        <f t="shared" si="81"/>
        <v/>
      </c>
      <c r="AW1303" s="2" t="str">
        <f t="shared" si="82"/>
        <v/>
      </c>
      <c r="AX1303" s="2" t="str">
        <f t="shared" si="83"/>
        <v/>
      </c>
      <c r="AY1303" s="2" t="str">
        <f>IF($AV1303="","",IF(AND($Z1303=0,COUNTIF('AR SALES'!$L$2:$L$2501,$L1303)=0),"YES",""))</f>
        <v/>
      </c>
      <c r="AZ1303" s="2" t="str">
        <f>IF($AV1303="","",IF(COUNTIF(LISTS!$C$2:$C$250,$AU1303)=0,"NEW",""))</f>
        <v/>
      </c>
      <c r="BA1303" s="2" t="str">
        <f>IF(""&amp;$F1303&lt;&gt;"4","",IF($AY1303="YES","",IF(ROUND(SUMIFS($AE$2:$AE$4001,$L$2:$L$4001,$L1303,$F$2:$F$4001,"4")-SUMIFS('AR SALES'!$Y$2:$Y$2501,'AR SALES'!$L$2:$L$2501,$L1303,'AR SALES'!$AD$2:$AD$2501,"OFF"),2)=0,"","STALE")))</f>
        <v/>
      </c>
      <c r="BB1303" s="2" t="str">
        <f>IF(OR(""&amp;$F1303="2",""&amp;$F1303="4",""&amp;$F1303="G",""&amp;$F1303="H"),IF($AY1303="YES","",IF($AB1303&lt;&gt;0,"",IF(COUNTIFS('AR SALES'!$L$2:$L$2501,$L1303,'AR SALES'!$AD$2:$AD$2501,IF(""&amp;$F1303="4","OFF","ON"),'AR SALES'!$AF$2:$AF$2501,"Y")&gt;0,"","NO EXEMPTION"))),"")</f>
        <v/>
      </c>
    </row>
    <row r="1304" spans="46:54" x14ac:dyDescent="0.25">
      <c r="AT1304" s="2" t="str">
        <f>IF($L1304="","",IFERROR(INDEX('AR SALES'!$H$2:$H$2501,MATCH(""&amp;$L1304,'AR SALES'!$AE$2:$AE$2501,0)),""))</f>
        <v/>
      </c>
      <c r="AU1304" s="2" t="str">
        <f t="shared" si="80"/>
        <v/>
      </c>
      <c r="AV1304" s="2" t="str">
        <f t="shared" si="81"/>
        <v/>
      </c>
      <c r="AW1304" s="2" t="str">
        <f t="shared" si="82"/>
        <v/>
      </c>
      <c r="AX1304" s="2" t="str">
        <f t="shared" si="83"/>
        <v/>
      </c>
      <c r="AY1304" s="2" t="str">
        <f>IF($AV1304="","",IF(AND($Z1304=0,COUNTIF('AR SALES'!$L$2:$L$2501,$L1304)=0),"YES",""))</f>
        <v/>
      </c>
      <c r="AZ1304" s="2" t="str">
        <f>IF($AV1304="","",IF(COUNTIF(LISTS!$C$2:$C$250,$AU1304)=0,"NEW",""))</f>
        <v/>
      </c>
      <c r="BA1304" s="2" t="str">
        <f>IF(""&amp;$F1304&lt;&gt;"4","",IF($AY1304="YES","",IF(ROUND(SUMIFS($AE$2:$AE$4001,$L$2:$L$4001,$L1304,$F$2:$F$4001,"4")-SUMIFS('AR SALES'!$Y$2:$Y$2501,'AR SALES'!$L$2:$L$2501,$L1304,'AR SALES'!$AD$2:$AD$2501,"OFF"),2)=0,"","STALE")))</f>
        <v/>
      </c>
      <c r="BB1304" s="2" t="str">
        <f>IF(OR(""&amp;$F1304="2",""&amp;$F1304="4",""&amp;$F1304="G",""&amp;$F1304="H"),IF($AY1304="YES","",IF($AB1304&lt;&gt;0,"",IF(COUNTIFS('AR SALES'!$L$2:$L$2501,$L1304,'AR SALES'!$AD$2:$AD$2501,IF(""&amp;$F1304="4","OFF","ON"),'AR SALES'!$AF$2:$AF$2501,"Y")&gt;0,"","NO EXEMPTION"))),"")</f>
        <v/>
      </c>
    </row>
    <row r="1305" spans="46:54" x14ac:dyDescent="0.25">
      <c r="AT1305" s="2" t="str">
        <f>IF($L1305="","",IFERROR(INDEX('AR SALES'!$H$2:$H$2501,MATCH(""&amp;$L1305,'AR SALES'!$AE$2:$AE$2501,0)),""))</f>
        <v/>
      </c>
      <c r="AU1305" s="2" t="str">
        <f t="shared" si="80"/>
        <v/>
      </c>
      <c r="AV1305" s="2" t="str">
        <f t="shared" si="81"/>
        <v/>
      </c>
      <c r="AW1305" s="2" t="str">
        <f t="shared" si="82"/>
        <v/>
      </c>
      <c r="AX1305" s="2" t="str">
        <f t="shared" si="83"/>
        <v/>
      </c>
      <c r="AY1305" s="2" t="str">
        <f>IF($AV1305="","",IF(AND($Z1305=0,COUNTIF('AR SALES'!$L$2:$L$2501,$L1305)=0),"YES",""))</f>
        <v/>
      </c>
      <c r="AZ1305" s="2" t="str">
        <f>IF($AV1305="","",IF(COUNTIF(LISTS!$C$2:$C$250,$AU1305)=0,"NEW",""))</f>
        <v/>
      </c>
      <c r="BA1305" s="2" t="str">
        <f>IF(""&amp;$F1305&lt;&gt;"4","",IF($AY1305="YES","",IF(ROUND(SUMIFS($AE$2:$AE$4001,$L$2:$L$4001,$L1305,$F$2:$F$4001,"4")-SUMIFS('AR SALES'!$Y$2:$Y$2501,'AR SALES'!$L$2:$L$2501,$L1305,'AR SALES'!$AD$2:$AD$2501,"OFF"),2)=0,"","STALE")))</f>
        <v/>
      </c>
      <c r="BB1305" s="2" t="str">
        <f>IF(OR(""&amp;$F1305="2",""&amp;$F1305="4",""&amp;$F1305="G",""&amp;$F1305="H"),IF($AY1305="YES","",IF($AB1305&lt;&gt;0,"",IF(COUNTIFS('AR SALES'!$L$2:$L$2501,$L1305,'AR SALES'!$AD$2:$AD$2501,IF(""&amp;$F1305="4","OFF","ON"),'AR SALES'!$AF$2:$AF$2501,"Y")&gt;0,"","NO EXEMPTION"))),"")</f>
        <v/>
      </c>
    </row>
    <row r="1306" spans="46:54" x14ac:dyDescent="0.25">
      <c r="AT1306" s="2" t="str">
        <f>IF($L1306="","",IFERROR(INDEX('AR SALES'!$H$2:$H$2501,MATCH(""&amp;$L1306,'AR SALES'!$AE$2:$AE$2501,0)),""))</f>
        <v/>
      </c>
      <c r="AU1306" s="2" t="str">
        <f t="shared" si="80"/>
        <v/>
      </c>
      <c r="AV1306" s="2" t="str">
        <f t="shared" si="81"/>
        <v/>
      </c>
      <c r="AW1306" s="2" t="str">
        <f t="shared" si="82"/>
        <v/>
      </c>
      <c r="AX1306" s="2" t="str">
        <f t="shared" si="83"/>
        <v/>
      </c>
      <c r="AY1306" s="2" t="str">
        <f>IF($AV1306="","",IF(AND($Z1306=0,COUNTIF('AR SALES'!$L$2:$L$2501,$L1306)=0),"YES",""))</f>
        <v/>
      </c>
      <c r="AZ1306" s="2" t="str">
        <f>IF($AV1306="","",IF(COUNTIF(LISTS!$C$2:$C$250,$AU1306)=0,"NEW",""))</f>
        <v/>
      </c>
      <c r="BA1306" s="2" t="str">
        <f>IF(""&amp;$F1306&lt;&gt;"4","",IF($AY1306="YES","",IF(ROUND(SUMIFS($AE$2:$AE$4001,$L$2:$L$4001,$L1306,$F$2:$F$4001,"4")-SUMIFS('AR SALES'!$Y$2:$Y$2501,'AR SALES'!$L$2:$L$2501,$L1306,'AR SALES'!$AD$2:$AD$2501,"OFF"),2)=0,"","STALE")))</f>
        <v/>
      </c>
      <c r="BB1306" s="2" t="str">
        <f>IF(OR(""&amp;$F1306="2",""&amp;$F1306="4",""&amp;$F1306="G",""&amp;$F1306="H"),IF($AY1306="YES","",IF($AB1306&lt;&gt;0,"",IF(COUNTIFS('AR SALES'!$L$2:$L$2501,$L1306,'AR SALES'!$AD$2:$AD$2501,IF(""&amp;$F1306="4","OFF","ON"),'AR SALES'!$AF$2:$AF$2501,"Y")&gt;0,"","NO EXEMPTION"))),"")</f>
        <v/>
      </c>
    </row>
    <row r="1307" spans="46:54" x14ac:dyDescent="0.25">
      <c r="AT1307" s="2" t="str">
        <f>IF($L1307="","",IFERROR(INDEX('AR SALES'!$H$2:$H$2501,MATCH(""&amp;$L1307,'AR SALES'!$AE$2:$AE$2501,0)),""))</f>
        <v/>
      </c>
      <c r="AU1307" s="2" t="str">
        <f t="shared" si="80"/>
        <v/>
      </c>
      <c r="AV1307" s="2" t="str">
        <f t="shared" si="81"/>
        <v/>
      </c>
      <c r="AW1307" s="2" t="str">
        <f t="shared" si="82"/>
        <v/>
      </c>
      <c r="AX1307" s="2" t="str">
        <f t="shared" si="83"/>
        <v/>
      </c>
      <c r="AY1307" s="2" t="str">
        <f>IF($AV1307="","",IF(AND($Z1307=0,COUNTIF('AR SALES'!$L$2:$L$2501,$L1307)=0),"YES",""))</f>
        <v/>
      </c>
      <c r="AZ1307" s="2" t="str">
        <f>IF($AV1307="","",IF(COUNTIF(LISTS!$C$2:$C$250,$AU1307)=0,"NEW",""))</f>
        <v/>
      </c>
      <c r="BA1307" s="2" t="str">
        <f>IF(""&amp;$F1307&lt;&gt;"4","",IF($AY1307="YES","",IF(ROUND(SUMIFS($AE$2:$AE$4001,$L$2:$L$4001,$L1307,$F$2:$F$4001,"4")-SUMIFS('AR SALES'!$Y$2:$Y$2501,'AR SALES'!$L$2:$L$2501,$L1307,'AR SALES'!$AD$2:$AD$2501,"OFF"),2)=0,"","STALE")))</f>
        <v/>
      </c>
      <c r="BB1307" s="2" t="str">
        <f>IF(OR(""&amp;$F1307="2",""&amp;$F1307="4",""&amp;$F1307="G",""&amp;$F1307="H"),IF($AY1307="YES","",IF($AB1307&lt;&gt;0,"",IF(COUNTIFS('AR SALES'!$L$2:$L$2501,$L1307,'AR SALES'!$AD$2:$AD$2501,IF(""&amp;$F1307="4","OFF","ON"),'AR SALES'!$AF$2:$AF$2501,"Y")&gt;0,"","NO EXEMPTION"))),"")</f>
        <v/>
      </c>
    </row>
    <row r="1308" spans="46:54" x14ac:dyDescent="0.25">
      <c r="AT1308" s="2" t="str">
        <f>IF($L1308="","",IFERROR(INDEX('AR SALES'!$H$2:$H$2501,MATCH(""&amp;$L1308,'AR SALES'!$AE$2:$AE$2501,0)),""))</f>
        <v/>
      </c>
      <c r="AU1308" s="2" t="str">
        <f t="shared" si="80"/>
        <v/>
      </c>
      <c r="AV1308" s="2" t="str">
        <f t="shared" si="81"/>
        <v/>
      </c>
      <c r="AW1308" s="2" t="str">
        <f t="shared" si="82"/>
        <v/>
      </c>
      <c r="AX1308" s="2" t="str">
        <f t="shared" si="83"/>
        <v/>
      </c>
      <c r="AY1308" s="2" t="str">
        <f>IF($AV1308="","",IF(AND($Z1308=0,COUNTIF('AR SALES'!$L$2:$L$2501,$L1308)=0),"YES",""))</f>
        <v/>
      </c>
      <c r="AZ1308" s="2" t="str">
        <f>IF($AV1308="","",IF(COUNTIF(LISTS!$C$2:$C$250,$AU1308)=0,"NEW",""))</f>
        <v/>
      </c>
      <c r="BA1308" s="2" t="str">
        <f>IF(""&amp;$F1308&lt;&gt;"4","",IF($AY1308="YES","",IF(ROUND(SUMIFS($AE$2:$AE$4001,$L$2:$L$4001,$L1308,$F$2:$F$4001,"4")-SUMIFS('AR SALES'!$Y$2:$Y$2501,'AR SALES'!$L$2:$L$2501,$L1308,'AR SALES'!$AD$2:$AD$2501,"OFF"),2)=0,"","STALE")))</f>
        <v/>
      </c>
      <c r="BB1308" s="2" t="str">
        <f>IF(OR(""&amp;$F1308="2",""&amp;$F1308="4",""&amp;$F1308="G",""&amp;$F1308="H"),IF($AY1308="YES","",IF($AB1308&lt;&gt;0,"",IF(COUNTIFS('AR SALES'!$L$2:$L$2501,$L1308,'AR SALES'!$AD$2:$AD$2501,IF(""&amp;$F1308="4","OFF","ON"),'AR SALES'!$AF$2:$AF$2501,"Y")&gt;0,"","NO EXEMPTION"))),"")</f>
        <v/>
      </c>
    </row>
    <row r="1309" spans="46:54" x14ac:dyDescent="0.25">
      <c r="AT1309" s="2" t="str">
        <f>IF($L1309="","",IFERROR(INDEX('AR SALES'!$H$2:$H$2501,MATCH(""&amp;$L1309,'AR SALES'!$AE$2:$AE$2501,0)),""))</f>
        <v/>
      </c>
      <c r="AU1309" s="2" t="str">
        <f t="shared" si="80"/>
        <v/>
      </c>
      <c r="AV1309" s="2" t="str">
        <f t="shared" si="81"/>
        <v/>
      </c>
      <c r="AW1309" s="2" t="str">
        <f t="shared" si="82"/>
        <v/>
      </c>
      <c r="AX1309" s="2" t="str">
        <f t="shared" si="83"/>
        <v/>
      </c>
      <c r="AY1309" s="2" t="str">
        <f>IF($AV1309="","",IF(AND($Z1309=0,COUNTIF('AR SALES'!$L$2:$L$2501,$L1309)=0),"YES",""))</f>
        <v/>
      </c>
      <c r="AZ1309" s="2" t="str">
        <f>IF($AV1309="","",IF(COUNTIF(LISTS!$C$2:$C$250,$AU1309)=0,"NEW",""))</f>
        <v/>
      </c>
      <c r="BA1309" s="2" t="str">
        <f>IF(""&amp;$F1309&lt;&gt;"4","",IF($AY1309="YES","",IF(ROUND(SUMIFS($AE$2:$AE$4001,$L$2:$L$4001,$L1309,$F$2:$F$4001,"4")-SUMIFS('AR SALES'!$Y$2:$Y$2501,'AR SALES'!$L$2:$L$2501,$L1309,'AR SALES'!$AD$2:$AD$2501,"OFF"),2)=0,"","STALE")))</f>
        <v/>
      </c>
      <c r="BB1309" s="2" t="str">
        <f>IF(OR(""&amp;$F1309="2",""&amp;$F1309="4",""&amp;$F1309="G",""&amp;$F1309="H"),IF($AY1309="YES","",IF($AB1309&lt;&gt;0,"",IF(COUNTIFS('AR SALES'!$L$2:$L$2501,$L1309,'AR SALES'!$AD$2:$AD$2501,IF(""&amp;$F1309="4","OFF","ON"),'AR SALES'!$AF$2:$AF$2501,"Y")&gt;0,"","NO EXEMPTION"))),"")</f>
        <v/>
      </c>
    </row>
    <row r="1310" spans="46:54" x14ac:dyDescent="0.25">
      <c r="AT1310" s="2" t="str">
        <f>IF($L1310="","",IFERROR(INDEX('AR SALES'!$H$2:$H$2501,MATCH(""&amp;$L1310,'AR SALES'!$AE$2:$AE$2501,0)),""))</f>
        <v/>
      </c>
      <c r="AU1310" s="2" t="str">
        <f t="shared" si="80"/>
        <v/>
      </c>
      <c r="AV1310" s="2" t="str">
        <f t="shared" si="81"/>
        <v/>
      </c>
      <c r="AW1310" s="2" t="str">
        <f t="shared" si="82"/>
        <v/>
      </c>
      <c r="AX1310" s="2" t="str">
        <f t="shared" si="83"/>
        <v/>
      </c>
      <c r="AY1310" s="2" t="str">
        <f>IF($AV1310="","",IF(AND($Z1310=0,COUNTIF('AR SALES'!$L$2:$L$2501,$L1310)=0),"YES",""))</f>
        <v/>
      </c>
      <c r="AZ1310" s="2" t="str">
        <f>IF($AV1310="","",IF(COUNTIF(LISTS!$C$2:$C$250,$AU1310)=0,"NEW",""))</f>
        <v/>
      </c>
      <c r="BA1310" s="2" t="str">
        <f>IF(""&amp;$F1310&lt;&gt;"4","",IF($AY1310="YES","",IF(ROUND(SUMIFS($AE$2:$AE$4001,$L$2:$L$4001,$L1310,$F$2:$F$4001,"4")-SUMIFS('AR SALES'!$Y$2:$Y$2501,'AR SALES'!$L$2:$L$2501,$L1310,'AR SALES'!$AD$2:$AD$2501,"OFF"),2)=0,"","STALE")))</f>
        <v/>
      </c>
      <c r="BB1310" s="2" t="str">
        <f>IF(OR(""&amp;$F1310="2",""&amp;$F1310="4",""&amp;$F1310="G",""&amp;$F1310="H"),IF($AY1310="YES","",IF($AB1310&lt;&gt;0,"",IF(COUNTIFS('AR SALES'!$L$2:$L$2501,$L1310,'AR SALES'!$AD$2:$AD$2501,IF(""&amp;$F1310="4","OFF","ON"),'AR SALES'!$AF$2:$AF$2501,"Y")&gt;0,"","NO EXEMPTION"))),"")</f>
        <v/>
      </c>
    </row>
    <row r="1311" spans="46:54" x14ac:dyDescent="0.25">
      <c r="AT1311" s="2" t="str">
        <f>IF($L1311="","",IFERROR(INDEX('AR SALES'!$H$2:$H$2501,MATCH(""&amp;$L1311,'AR SALES'!$AE$2:$AE$2501,0)),""))</f>
        <v/>
      </c>
      <c r="AU1311" s="2" t="str">
        <f t="shared" si="80"/>
        <v/>
      </c>
      <c r="AV1311" s="2" t="str">
        <f t="shared" si="81"/>
        <v/>
      </c>
      <c r="AW1311" s="2" t="str">
        <f t="shared" si="82"/>
        <v/>
      </c>
      <c r="AX1311" s="2" t="str">
        <f t="shared" si="83"/>
        <v/>
      </c>
      <c r="AY1311" s="2" t="str">
        <f>IF($AV1311="","",IF(AND($Z1311=0,COUNTIF('AR SALES'!$L$2:$L$2501,$L1311)=0),"YES",""))</f>
        <v/>
      </c>
      <c r="AZ1311" s="2" t="str">
        <f>IF($AV1311="","",IF(COUNTIF(LISTS!$C$2:$C$250,$AU1311)=0,"NEW",""))</f>
        <v/>
      </c>
      <c r="BA1311" s="2" t="str">
        <f>IF(""&amp;$F1311&lt;&gt;"4","",IF($AY1311="YES","",IF(ROUND(SUMIFS($AE$2:$AE$4001,$L$2:$L$4001,$L1311,$F$2:$F$4001,"4")-SUMIFS('AR SALES'!$Y$2:$Y$2501,'AR SALES'!$L$2:$L$2501,$L1311,'AR SALES'!$AD$2:$AD$2501,"OFF"),2)=0,"","STALE")))</f>
        <v/>
      </c>
      <c r="BB1311" s="2" t="str">
        <f>IF(OR(""&amp;$F1311="2",""&amp;$F1311="4",""&amp;$F1311="G",""&amp;$F1311="H"),IF($AY1311="YES","",IF($AB1311&lt;&gt;0,"",IF(COUNTIFS('AR SALES'!$L$2:$L$2501,$L1311,'AR SALES'!$AD$2:$AD$2501,IF(""&amp;$F1311="4","OFF","ON"),'AR SALES'!$AF$2:$AF$2501,"Y")&gt;0,"","NO EXEMPTION"))),"")</f>
        <v/>
      </c>
    </row>
    <row r="1312" spans="46:54" x14ac:dyDescent="0.25">
      <c r="AT1312" s="2" t="str">
        <f>IF($L1312="","",IFERROR(INDEX('AR SALES'!$H$2:$H$2501,MATCH(""&amp;$L1312,'AR SALES'!$AE$2:$AE$2501,0)),""))</f>
        <v/>
      </c>
      <c r="AU1312" s="2" t="str">
        <f t="shared" si="80"/>
        <v/>
      </c>
      <c r="AV1312" s="2" t="str">
        <f t="shared" si="81"/>
        <v/>
      </c>
      <c r="AW1312" s="2" t="str">
        <f t="shared" si="82"/>
        <v/>
      </c>
      <c r="AX1312" s="2" t="str">
        <f t="shared" si="83"/>
        <v/>
      </c>
      <c r="AY1312" s="2" t="str">
        <f>IF($AV1312="","",IF(AND($Z1312=0,COUNTIF('AR SALES'!$L$2:$L$2501,$L1312)=0),"YES",""))</f>
        <v/>
      </c>
      <c r="AZ1312" s="2" t="str">
        <f>IF($AV1312="","",IF(COUNTIF(LISTS!$C$2:$C$250,$AU1312)=0,"NEW",""))</f>
        <v/>
      </c>
      <c r="BA1312" s="2" t="str">
        <f>IF(""&amp;$F1312&lt;&gt;"4","",IF($AY1312="YES","",IF(ROUND(SUMIFS($AE$2:$AE$4001,$L$2:$L$4001,$L1312,$F$2:$F$4001,"4")-SUMIFS('AR SALES'!$Y$2:$Y$2501,'AR SALES'!$L$2:$L$2501,$L1312,'AR SALES'!$AD$2:$AD$2501,"OFF"),2)=0,"","STALE")))</f>
        <v/>
      </c>
      <c r="BB1312" s="2" t="str">
        <f>IF(OR(""&amp;$F1312="2",""&amp;$F1312="4",""&amp;$F1312="G",""&amp;$F1312="H"),IF($AY1312="YES","",IF($AB1312&lt;&gt;0,"",IF(COUNTIFS('AR SALES'!$L$2:$L$2501,$L1312,'AR SALES'!$AD$2:$AD$2501,IF(""&amp;$F1312="4","OFF","ON"),'AR SALES'!$AF$2:$AF$2501,"Y")&gt;0,"","NO EXEMPTION"))),"")</f>
        <v/>
      </c>
    </row>
    <row r="1313" spans="46:54" x14ac:dyDescent="0.25">
      <c r="AT1313" s="2" t="str">
        <f>IF($L1313="","",IFERROR(INDEX('AR SALES'!$H$2:$H$2501,MATCH(""&amp;$L1313,'AR SALES'!$AE$2:$AE$2501,0)),""))</f>
        <v/>
      </c>
      <c r="AU1313" s="2" t="str">
        <f t="shared" si="80"/>
        <v/>
      </c>
      <c r="AV1313" s="2" t="str">
        <f t="shared" si="81"/>
        <v/>
      </c>
      <c r="AW1313" s="2" t="str">
        <f t="shared" si="82"/>
        <v/>
      </c>
      <c r="AX1313" s="2" t="str">
        <f t="shared" si="83"/>
        <v/>
      </c>
      <c r="AY1313" s="2" t="str">
        <f>IF($AV1313="","",IF(AND($Z1313=0,COUNTIF('AR SALES'!$L$2:$L$2501,$L1313)=0),"YES",""))</f>
        <v/>
      </c>
      <c r="AZ1313" s="2" t="str">
        <f>IF($AV1313="","",IF(COUNTIF(LISTS!$C$2:$C$250,$AU1313)=0,"NEW",""))</f>
        <v/>
      </c>
      <c r="BA1313" s="2" t="str">
        <f>IF(""&amp;$F1313&lt;&gt;"4","",IF($AY1313="YES","",IF(ROUND(SUMIFS($AE$2:$AE$4001,$L$2:$L$4001,$L1313,$F$2:$F$4001,"4")-SUMIFS('AR SALES'!$Y$2:$Y$2501,'AR SALES'!$L$2:$L$2501,$L1313,'AR SALES'!$AD$2:$AD$2501,"OFF"),2)=0,"","STALE")))</f>
        <v/>
      </c>
      <c r="BB1313" s="2" t="str">
        <f>IF(OR(""&amp;$F1313="2",""&amp;$F1313="4",""&amp;$F1313="G",""&amp;$F1313="H"),IF($AY1313="YES","",IF($AB1313&lt;&gt;0,"",IF(COUNTIFS('AR SALES'!$L$2:$L$2501,$L1313,'AR SALES'!$AD$2:$AD$2501,IF(""&amp;$F1313="4","OFF","ON"),'AR SALES'!$AF$2:$AF$2501,"Y")&gt;0,"","NO EXEMPTION"))),"")</f>
        <v/>
      </c>
    </row>
    <row r="1314" spans="46:54" x14ac:dyDescent="0.25">
      <c r="AT1314" s="2" t="str">
        <f>IF($L1314="","",IFERROR(INDEX('AR SALES'!$H$2:$H$2501,MATCH(""&amp;$L1314,'AR SALES'!$AE$2:$AE$2501,0)),""))</f>
        <v/>
      </c>
      <c r="AU1314" s="2" t="str">
        <f t="shared" si="80"/>
        <v/>
      </c>
      <c r="AV1314" s="2" t="str">
        <f t="shared" si="81"/>
        <v/>
      </c>
      <c r="AW1314" s="2" t="str">
        <f t="shared" si="82"/>
        <v/>
      </c>
      <c r="AX1314" s="2" t="str">
        <f t="shared" si="83"/>
        <v/>
      </c>
      <c r="AY1314" s="2" t="str">
        <f>IF($AV1314="","",IF(AND($Z1314=0,COUNTIF('AR SALES'!$L$2:$L$2501,$L1314)=0),"YES",""))</f>
        <v/>
      </c>
      <c r="AZ1314" s="2" t="str">
        <f>IF($AV1314="","",IF(COUNTIF(LISTS!$C$2:$C$250,$AU1314)=0,"NEW",""))</f>
        <v/>
      </c>
      <c r="BA1314" s="2" t="str">
        <f>IF(""&amp;$F1314&lt;&gt;"4","",IF($AY1314="YES","",IF(ROUND(SUMIFS($AE$2:$AE$4001,$L$2:$L$4001,$L1314,$F$2:$F$4001,"4")-SUMIFS('AR SALES'!$Y$2:$Y$2501,'AR SALES'!$L$2:$L$2501,$L1314,'AR SALES'!$AD$2:$AD$2501,"OFF"),2)=0,"","STALE")))</f>
        <v/>
      </c>
      <c r="BB1314" s="2" t="str">
        <f>IF(OR(""&amp;$F1314="2",""&amp;$F1314="4",""&amp;$F1314="G",""&amp;$F1314="H"),IF($AY1314="YES","",IF($AB1314&lt;&gt;0,"",IF(COUNTIFS('AR SALES'!$L$2:$L$2501,$L1314,'AR SALES'!$AD$2:$AD$2501,IF(""&amp;$F1314="4","OFF","ON"),'AR SALES'!$AF$2:$AF$2501,"Y")&gt;0,"","NO EXEMPTION"))),"")</f>
        <v/>
      </c>
    </row>
    <row r="1315" spans="46:54" x14ac:dyDescent="0.25">
      <c r="AT1315" s="2" t="str">
        <f>IF($L1315="","",IFERROR(INDEX('AR SALES'!$H$2:$H$2501,MATCH(""&amp;$L1315,'AR SALES'!$AE$2:$AE$2501,0)),""))</f>
        <v/>
      </c>
      <c r="AU1315" s="2" t="str">
        <f t="shared" si="80"/>
        <v/>
      </c>
      <c r="AV1315" s="2" t="str">
        <f t="shared" si="81"/>
        <v/>
      </c>
      <c r="AW1315" s="2" t="str">
        <f t="shared" si="82"/>
        <v/>
      </c>
      <c r="AX1315" s="2" t="str">
        <f t="shared" si="83"/>
        <v/>
      </c>
      <c r="AY1315" s="2" t="str">
        <f>IF($AV1315="","",IF(AND($Z1315=0,COUNTIF('AR SALES'!$L$2:$L$2501,$L1315)=0),"YES",""))</f>
        <v/>
      </c>
      <c r="AZ1315" s="2" t="str">
        <f>IF($AV1315="","",IF(COUNTIF(LISTS!$C$2:$C$250,$AU1315)=0,"NEW",""))</f>
        <v/>
      </c>
      <c r="BA1315" s="2" t="str">
        <f>IF(""&amp;$F1315&lt;&gt;"4","",IF($AY1315="YES","",IF(ROUND(SUMIFS($AE$2:$AE$4001,$L$2:$L$4001,$L1315,$F$2:$F$4001,"4")-SUMIFS('AR SALES'!$Y$2:$Y$2501,'AR SALES'!$L$2:$L$2501,$L1315,'AR SALES'!$AD$2:$AD$2501,"OFF"),2)=0,"","STALE")))</f>
        <v/>
      </c>
      <c r="BB1315" s="2" t="str">
        <f>IF(OR(""&amp;$F1315="2",""&amp;$F1315="4",""&amp;$F1315="G",""&amp;$F1315="H"),IF($AY1315="YES","",IF($AB1315&lt;&gt;0,"",IF(COUNTIFS('AR SALES'!$L$2:$L$2501,$L1315,'AR SALES'!$AD$2:$AD$2501,IF(""&amp;$F1315="4","OFF","ON"),'AR SALES'!$AF$2:$AF$2501,"Y")&gt;0,"","NO EXEMPTION"))),"")</f>
        <v/>
      </c>
    </row>
    <row r="1316" spans="46:54" x14ac:dyDescent="0.25">
      <c r="AT1316" s="2" t="str">
        <f>IF($L1316="","",IFERROR(INDEX('AR SALES'!$H$2:$H$2501,MATCH(""&amp;$L1316,'AR SALES'!$AE$2:$AE$2501,0)),""))</f>
        <v/>
      </c>
      <c r="AU1316" s="2" t="str">
        <f t="shared" si="80"/>
        <v/>
      </c>
      <c r="AV1316" s="2" t="str">
        <f t="shared" si="81"/>
        <v/>
      </c>
      <c r="AW1316" s="2" t="str">
        <f t="shared" si="82"/>
        <v/>
      </c>
      <c r="AX1316" s="2" t="str">
        <f t="shared" si="83"/>
        <v/>
      </c>
      <c r="AY1316" s="2" t="str">
        <f>IF($AV1316="","",IF(AND($Z1316=0,COUNTIF('AR SALES'!$L$2:$L$2501,$L1316)=0),"YES",""))</f>
        <v/>
      </c>
      <c r="AZ1316" s="2" t="str">
        <f>IF($AV1316="","",IF(COUNTIF(LISTS!$C$2:$C$250,$AU1316)=0,"NEW",""))</f>
        <v/>
      </c>
      <c r="BA1316" s="2" t="str">
        <f>IF(""&amp;$F1316&lt;&gt;"4","",IF($AY1316="YES","",IF(ROUND(SUMIFS($AE$2:$AE$4001,$L$2:$L$4001,$L1316,$F$2:$F$4001,"4")-SUMIFS('AR SALES'!$Y$2:$Y$2501,'AR SALES'!$L$2:$L$2501,$L1316,'AR SALES'!$AD$2:$AD$2501,"OFF"),2)=0,"","STALE")))</f>
        <v/>
      </c>
      <c r="BB1316" s="2" t="str">
        <f>IF(OR(""&amp;$F1316="2",""&amp;$F1316="4",""&amp;$F1316="G",""&amp;$F1316="H"),IF($AY1316="YES","",IF($AB1316&lt;&gt;0,"",IF(COUNTIFS('AR SALES'!$L$2:$L$2501,$L1316,'AR SALES'!$AD$2:$AD$2501,IF(""&amp;$F1316="4","OFF","ON"),'AR SALES'!$AF$2:$AF$2501,"Y")&gt;0,"","NO EXEMPTION"))),"")</f>
        <v/>
      </c>
    </row>
    <row r="1317" spans="46:54" x14ac:dyDescent="0.25">
      <c r="AT1317" s="2" t="str">
        <f>IF($L1317="","",IFERROR(INDEX('AR SALES'!$H$2:$H$2501,MATCH(""&amp;$L1317,'AR SALES'!$AE$2:$AE$2501,0)),""))</f>
        <v/>
      </c>
      <c r="AU1317" s="2" t="str">
        <f t="shared" si="80"/>
        <v/>
      </c>
      <c r="AV1317" s="2" t="str">
        <f t="shared" si="81"/>
        <v/>
      </c>
      <c r="AW1317" s="2" t="str">
        <f t="shared" si="82"/>
        <v/>
      </c>
      <c r="AX1317" s="2" t="str">
        <f t="shared" si="83"/>
        <v/>
      </c>
      <c r="AY1317" s="2" t="str">
        <f>IF($AV1317="","",IF(AND($Z1317=0,COUNTIF('AR SALES'!$L$2:$L$2501,$L1317)=0),"YES",""))</f>
        <v/>
      </c>
      <c r="AZ1317" s="2" t="str">
        <f>IF($AV1317="","",IF(COUNTIF(LISTS!$C$2:$C$250,$AU1317)=0,"NEW",""))</f>
        <v/>
      </c>
      <c r="BA1317" s="2" t="str">
        <f>IF(""&amp;$F1317&lt;&gt;"4","",IF($AY1317="YES","",IF(ROUND(SUMIFS($AE$2:$AE$4001,$L$2:$L$4001,$L1317,$F$2:$F$4001,"4")-SUMIFS('AR SALES'!$Y$2:$Y$2501,'AR SALES'!$L$2:$L$2501,$L1317,'AR SALES'!$AD$2:$AD$2501,"OFF"),2)=0,"","STALE")))</f>
        <v/>
      </c>
      <c r="BB1317" s="2" t="str">
        <f>IF(OR(""&amp;$F1317="2",""&amp;$F1317="4",""&amp;$F1317="G",""&amp;$F1317="H"),IF($AY1317="YES","",IF($AB1317&lt;&gt;0,"",IF(COUNTIFS('AR SALES'!$L$2:$L$2501,$L1317,'AR SALES'!$AD$2:$AD$2501,IF(""&amp;$F1317="4","OFF","ON"),'AR SALES'!$AF$2:$AF$2501,"Y")&gt;0,"","NO EXEMPTION"))),"")</f>
        <v/>
      </c>
    </row>
    <row r="1318" spans="46:54" x14ac:dyDescent="0.25">
      <c r="AT1318" s="2" t="str">
        <f>IF($L1318="","",IFERROR(INDEX('AR SALES'!$H$2:$H$2501,MATCH(""&amp;$L1318,'AR SALES'!$AE$2:$AE$2501,0)),""))</f>
        <v/>
      </c>
      <c r="AU1318" s="2" t="str">
        <f t="shared" si="80"/>
        <v/>
      </c>
      <c r="AV1318" s="2" t="str">
        <f t="shared" si="81"/>
        <v/>
      </c>
      <c r="AW1318" s="2" t="str">
        <f t="shared" si="82"/>
        <v/>
      </c>
      <c r="AX1318" s="2" t="str">
        <f t="shared" si="83"/>
        <v/>
      </c>
      <c r="AY1318" s="2" t="str">
        <f>IF($AV1318="","",IF(AND($Z1318=0,COUNTIF('AR SALES'!$L$2:$L$2501,$L1318)=0),"YES",""))</f>
        <v/>
      </c>
      <c r="AZ1318" s="2" t="str">
        <f>IF($AV1318="","",IF(COUNTIF(LISTS!$C$2:$C$250,$AU1318)=0,"NEW",""))</f>
        <v/>
      </c>
      <c r="BA1318" s="2" t="str">
        <f>IF(""&amp;$F1318&lt;&gt;"4","",IF($AY1318="YES","",IF(ROUND(SUMIFS($AE$2:$AE$4001,$L$2:$L$4001,$L1318,$F$2:$F$4001,"4")-SUMIFS('AR SALES'!$Y$2:$Y$2501,'AR SALES'!$L$2:$L$2501,$L1318,'AR SALES'!$AD$2:$AD$2501,"OFF"),2)=0,"","STALE")))</f>
        <v/>
      </c>
      <c r="BB1318" s="2" t="str">
        <f>IF(OR(""&amp;$F1318="2",""&amp;$F1318="4",""&amp;$F1318="G",""&amp;$F1318="H"),IF($AY1318="YES","",IF($AB1318&lt;&gt;0,"",IF(COUNTIFS('AR SALES'!$L$2:$L$2501,$L1318,'AR SALES'!$AD$2:$AD$2501,IF(""&amp;$F1318="4","OFF","ON"),'AR SALES'!$AF$2:$AF$2501,"Y")&gt;0,"","NO EXEMPTION"))),"")</f>
        <v/>
      </c>
    </row>
    <row r="1319" spans="46:54" x14ac:dyDescent="0.25">
      <c r="AT1319" s="2" t="str">
        <f>IF($L1319="","",IFERROR(INDEX('AR SALES'!$H$2:$H$2501,MATCH(""&amp;$L1319,'AR SALES'!$AE$2:$AE$2501,0)),""))</f>
        <v/>
      </c>
      <c r="AU1319" s="2" t="str">
        <f t="shared" si="80"/>
        <v/>
      </c>
      <c r="AV1319" s="2" t="str">
        <f t="shared" si="81"/>
        <v/>
      </c>
      <c r="AW1319" s="2" t="str">
        <f t="shared" si="82"/>
        <v/>
      </c>
      <c r="AX1319" s="2" t="str">
        <f t="shared" si="83"/>
        <v/>
      </c>
      <c r="AY1319" s="2" t="str">
        <f>IF($AV1319="","",IF(AND($Z1319=0,COUNTIF('AR SALES'!$L$2:$L$2501,$L1319)=0),"YES",""))</f>
        <v/>
      </c>
      <c r="AZ1319" s="2" t="str">
        <f>IF($AV1319="","",IF(COUNTIF(LISTS!$C$2:$C$250,$AU1319)=0,"NEW",""))</f>
        <v/>
      </c>
      <c r="BA1319" s="2" t="str">
        <f>IF(""&amp;$F1319&lt;&gt;"4","",IF($AY1319="YES","",IF(ROUND(SUMIFS($AE$2:$AE$4001,$L$2:$L$4001,$L1319,$F$2:$F$4001,"4")-SUMIFS('AR SALES'!$Y$2:$Y$2501,'AR SALES'!$L$2:$L$2501,$L1319,'AR SALES'!$AD$2:$AD$2501,"OFF"),2)=0,"","STALE")))</f>
        <v/>
      </c>
      <c r="BB1319" s="2" t="str">
        <f>IF(OR(""&amp;$F1319="2",""&amp;$F1319="4",""&amp;$F1319="G",""&amp;$F1319="H"),IF($AY1319="YES","",IF($AB1319&lt;&gt;0,"",IF(COUNTIFS('AR SALES'!$L$2:$L$2501,$L1319,'AR SALES'!$AD$2:$AD$2501,IF(""&amp;$F1319="4","OFF","ON"),'AR SALES'!$AF$2:$AF$2501,"Y")&gt;0,"","NO EXEMPTION"))),"")</f>
        <v/>
      </c>
    </row>
    <row r="1320" spans="46:54" x14ac:dyDescent="0.25">
      <c r="AT1320" s="2" t="str">
        <f>IF($L1320="","",IFERROR(INDEX('AR SALES'!$H$2:$H$2501,MATCH(""&amp;$L1320,'AR SALES'!$AE$2:$AE$2501,0)),""))</f>
        <v/>
      </c>
      <c r="AU1320" s="2" t="str">
        <f t="shared" si="80"/>
        <v/>
      </c>
      <c r="AV1320" s="2" t="str">
        <f t="shared" si="81"/>
        <v/>
      </c>
      <c r="AW1320" s="2" t="str">
        <f t="shared" si="82"/>
        <v/>
      </c>
      <c r="AX1320" s="2" t="str">
        <f t="shared" si="83"/>
        <v/>
      </c>
      <c r="AY1320" s="2" t="str">
        <f>IF($AV1320="","",IF(AND($Z1320=0,COUNTIF('AR SALES'!$L$2:$L$2501,$L1320)=0),"YES",""))</f>
        <v/>
      </c>
      <c r="AZ1320" s="2" t="str">
        <f>IF($AV1320="","",IF(COUNTIF(LISTS!$C$2:$C$250,$AU1320)=0,"NEW",""))</f>
        <v/>
      </c>
      <c r="BA1320" s="2" t="str">
        <f>IF(""&amp;$F1320&lt;&gt;"4","",IF($AY1320="YES","",IF(ROUND(SUMIFS($AE$2:$AE$4001,$L$2:$L$4001,$L1320,$F$2:$F$4001,"4")-SUMIFS('AR SALES'!$Y$2:$Y$2501,'AR SALES'!$L$2:$L$2501,$L1320,'AR SALES'!$AD$2:$AD$2501,"OFF"),2)=0,"","STALE")))</f>
        <v/>
      </c>
      <c r="BB1320" s="2" t="str">
        <f>IF(OR(""&amp;$F1320="2",""&amp;$F1320="4",""&amp;$F1320="G",""&amp;$F1320="H"),IF($AY1320="YES","",IF($AB1320&lt;&gt;0,"",IF(COUNTIFS('AR SALES'!$L$2:$L$2501,$L1320,'AR SALES'!$AD$2:$AD$2501,IF(""&amp;$F1320="4","OFF","ON"),'AR SALES'!$AF$2:$AF$2501,"Y")&gt;0,"","NO EXEMPTION"))),"")</f>
        <v/>
      </c>
    </row>
    <row r="1321" spans="46:54" x14ac:dyDescent="0.25">
      <c r="AT1321" s="2" t="str">
        <f>IF($L1321="","",IFERROR(INDEX('AR SALES'!$H$2:$H$2501,MATCH(""&amp;$L1321,'AR SALES'!$AE$2:$AE$2501,0)),""))</f>
        <v/>
      </c>
      <c r="AU1321" s="2" t="str">
        <f t="shared" si="80"/>
        <v/>
      </c>
      <c r="AV1321" s="2" t="str">
        <f t="shared" si="81"/>
        <v/>
      </c>
      <c r="AW1321" s="2" t="str">
        <f t="shared" si="82"/>
        <v/>
      </c>
      <c r="AX1321" s="2" t="str">
        <f t="shared" si="83"/>
        <v/>
      </c>
      <c r="AY1321" s="2" t="str">
        <f>IF($AV1321="","",IF(AND($Z1321=0,COUNTIF('AR SALES'!$L$2:$L$2501,$L1321)=0),"YES",""))</f>
        <v/>
      </c>
      <c r="AZ1321" s="2" t="str">
        <f>IF($AV1321="","",IF(COUNTIF(LISTS!$C$2:$C$250,$AU1321)=0,"NEW",""))</f>
        <v/>
      </c>
      <c r="BA1321" s="2" t="str">
        <f>IF(""&amp;$F1321&lt;&gt;"4","",IF($AY1321="YES","",IF(ROUND(SUMIFS($AE$2:$AE$4001,$L$2:$L$4001,$L1321,$F$2:$F$4001,"4")-SUMIFS('AR SALES'!$Y$2:$Y$2501,'AR SALES'!$L$2:$L$2501,$L1321,'AR SALES'!$AD$2:$AD$2501,"OFF"),2)=0,"","STALE")))</f>
        <v/>
      </c>
      <c r="BB1321" s="2" t="str">
        <f>IF(OR(""&amp;$F1321="2",""&amp;$F1321="4",""&amp;$F1321="G",""&amp;$F1321="H"),IF($AY1321="YES","",IF($AB1321&lt;&gt;0,"",IF(COUNTIFS('AR SALES'!$L$2:$L$2501,$L1321,'AR SALES'!$AD$2:$AD$2501,IF(""&amp;$F1321="4","OFF","ON"),'AR SALES'!$AF$2:$AF$2501,"Y")&gt;0,"","NO EXEMPTION"))),"")</f>
        <v/>
      </c>
    </row>
    <row r="1322" spans="46:54" x14ac:dyDescent="0.25">
      <c r="AT1322" s="2" t="str">
        <f>IF($L1322="","",IFERROR(INDEX('AR SALES'!$H$2:$H$2501,MATCH(""&amp;$L1322,'AR SALES'!$AE$2:$AE$2501,0)),""))</f>
        <v/>
      </c>
      <c r="AU1322" s="2" t="str">
        <f t="shared" si="80"/>
        <v/>
      </c>
      <c r="AV1322" s="2" t="str">
        <f t="shared" si="81"/>
        <v/>
      </c>
      <c r="AW1322" s="2" t="str">
        <f t="shared" si="82"/>
        <v/>
      </c>
      <c r="AX1322" s="2" t="str">
        <f t="shared" si="83"/>
        <v/>
      </c>
      <c r="AY1322" s="2" t="str">
        <f>IF($AV1322="","",IF(AND($Z1322=0,COUNTIF('AR SALES'!$L$2:$L$2501,$L1322)=0),"YES",""))</f>
        <v/>
      </c>
      <c r="AZ1322" s="2" t="str">
        <f>IF($AV1322="","",IF(COUNTIF(LISTS!$C$2:$C$250,$AU1322)=0,"NEW",""))</f>
        <v/>
      </c>
      <c r="BA1322" s="2" t="str">
        <f>IF(""&amp;$F1322&lt;&gt;"4","",IF($AY1322="YES","",IF(ROUND(SUMIFS($AE$2:$AE$4001,$L$2:$L$4001,$L1322,$F$2:$F$4001,"4")-SUMIFS('AR SALES'!$Y$2:$Y$2501,'AR SALES'!$L$2:$L$2501,$L1322,'AR SALES'!$AD$2:$AD$2501,"OFF"),2)=0,"","STALE")))</f>
        <v/>
      </c>
      <c r="BB1322" s="2" t="str">
        <f>IF(OR(""&amp;$F1322="2",""&amp;$F1322="4",""&amp;$F1322="G",""&amp;$F1322="H"),IF($AY1322="YES","",IF($AB1322&lt;&gt;0,"",IF(COUNTIFS('AR SALES'!$L$2:$L$2501,$L1322,'AR SALES'!$AD$2:$AD$2501,IF(""&amp;$F1322="4","OFF","ON"),'AR SALES'!$AF$2:$AF$2501,"Y")&gt;0,"","NO EXEMPTION"))),"")</f>
        <v/>
      </c>
    </row>
    <row r="1323" spans="46:54" x14ac:dyDescent="0.25">
      <c r="AT1323" s="2" t="str">
        <f>IF($L1323="","",IFERROR(INDEX('AR SALES'!$H$2:$H$2501,MATCH(""&amp;$L1323,'AR SALES'!$AE$2:$AE$2501,0)),""))</f>
        <v/>
      </c>
      <c r="AU1323" s="2" t="str">
        <f t="shared" si="80"/>
        <v/>
      </c>
      <c r="AV1323" s="2" t="str">
        <f t="shared" si="81"/>
        <v/>
      </c>
      <c r="AW1323" s="2" t="str">
        <f t="shared" si="82"/>
        <v/>
      </c>
      <c r="AX1323" s="2" t="str">
        <f t="shared" si="83"/>
        <v/>
      </c>
      <c r="AY1323" s="2" t="str">
        <f>IF($AV1323="","",IF(AND($Z1323=0,COUNTIF('AR SALES'!$L$2:$L$2501,$L1323)=0),"YES",""))</f>
        <v/>
      </c>
      <c r="AZ1323" s="2" t="str">
        <f>IF($AV1323="","",IF(COUNTIF(LISTS!$C$2:$C$250,$AU1323)=0,"NEW",""))</f>
        <v/>
      </c>
      <c r="BA1323" s="2" t="str">
        <f>IF(""&amp;$F1323&lt;&gt;"4","",IF($AY1323="YES","",IF(ROUND(SUMIFS($AE$2:$AE$4001,$L$2:$L$4001,$L1323,$F$2:$F$4001,"4")-SUMIFS('AR SALES'!$Y$2:$Y$2501,'AR SALES'!$L$2:$L$2501,$L1323,'AR SALES'!$AD$2:$AD$2501,"OFF"),2)=0,"","STALE")))</f>
        <v/>
      </c>
      <c r="BB1323" s="2" t="str">
        <f>IF(OR(""&amp;$F1323="2",""&amp;$F1323="4",""&amp;$F1323="G",""&amp;$F1323="H"),IF($AY1323="YES","",IF($AB1323&lt;&gt;0,"",IF(COUNTIFS('AR SALES'!$L$2:$L$2501,$L1323,'AR SALES'!$AD$2:$AD$2501,IF(""&amp;$F1323="4","OFF","ON"),'AR SALES'!$AF$2:$AF$2501,"Y")&gt;0,"","NO EXEMPTION"))),"")</f>
        <v/>
      </c>
    </row>
    <row r="1324" spans="46:54" x14ac:dyDescent="0.25">
      <c r="AT1324" s="2" t="str">
        <f>IF($L1324="","",IFERROR(INDEX('AR SALES'!$H$2:$H$2501,MATCH(""&amp;$L1324,'AR SALES'!$AE$2:$AE$2501,0)),""))</f>
        <v/>
      </c>
      <c r="AU1324" s="2" t="str">
        <f t="shared" si="80"/>
        <v/>
      </c>
      <c r="AV1324" s="2" t="str">
        <f t="shared" si="81"/>
        <v/>
      </c>
      <c r="AW1324" s="2" t="str">
        <f t="shared" si="82"/>
        <v/>
      </c>
      <c r="AX1324" s="2" t="str">
        <f t="shared" si="83"/>
        <v/>
      </c>
      <c r="AY1324" s="2" t="str">
        <f>IF($AV1324="","",IF(AND($Z1324=0,COUNTIF('AR SALES'!$L$2:$L$2501,$L1324)=0),"YES",""))</f>
        <v/>
      </c>
      <c r="AZ1324" s="2" t="str">
        <f>IF($AV1324="","",IF(COUNTIF(LISTS!$C$2:$C$250,$AU1324)=0,"NEW",""))</f>
        <v/>
      </c>
      <c r="BA1324" s="2" t="str">
        <f>IF(""&amp;$F1324&lt;&gt;"4","",IF($AY1324="YES","",IF(ROUND(SUMIFS($AE$2:$AE$4001,$L$2:$L$4001,$L1324,$F$2:$F$4001,"4")-SUMIFS('AR SALES'!$Y$2:$Y$2501,'AR SALES'!$L$2:$L$2501,$L1324,'AR SALES'!$AD$2:$AD$2501,"OFF"),2)=0,"","STALE")))</f>
        <v/>
      </c>
      <c r="BB1324" s="2" t="str">
        <f>IF(OR(""&amp;$F1324="2",""&amp;$F1324="4",""&amp;$F1324="G",""&amp;$F1324="H"),IF($AY1324="YES","",IF($AB1324&lt;&gt;0,"",IF(COUNTIFS('AR SALES'!$L$2:$L$2501,$L1324,'AR SALES'!$AD$2:$AD$2501,IF(""&amp;$F1324="4","OFF","ON"),'AR SALES'!$AF$2:$AF$2501,"Y")&gt;0,"","NO EXEMPTION"))),"")</f>
        <v/>
      </c>
    </row>
    <row r="1325" spans="46:54" x14ac:dyDescent="0.25">
      <c r="AT1325" s="2" t="str">
        <f>IF($L1325="","",IFERROR(INDEX('AR SALES'!$H$2:$H$2501,MATCH(""&amp;$L1325,'AR SALES'!$AE$2:$AE$2501,0)),""))</f>
        <v/>
      </c>
      <c r="AU1325" s="2" t="str">
        <f t="shared" si="80"/>
        <v/>
      </c>
      <c r="AV1325" s="2" t="str">
        <f t="shared" si="81"/>
        <v/>
      </c>
      <c r="AW1325" s="2" t="str">
        <f t="shared" si="82"/>
        <v/>
      </c>
      <c r="AX1325" s="2" t="str">
        <f t="shared" si="83"/>
        <v/>
      </c>
      <c r="AY1325" s="2" t="str">
        <f>IF($AV1325="","",IF(AND($Z1325=0,COUNTIF('AR SALES'!$L$2:$L$2501,$L1325)=0),"YES",""))</f>
        <v/>
      </c>
      <c r="AZ1325" s="2" t="str">
        <f>IF($AV1325="","",IF(COUNTIF(LISTS!$C$2:$C$250,$AU1325)=0,"NEW",""))</f>
        <v/>
      </c>
      <c r="BA1325" s="2" t="str">
        <f>IF(""&amp;$F1325&lt;&gt;"4","",IF($AY1325="YES","",IF(ROUND(SUMIFS($AE$2:$AE$4001,$L$2:$L$4001,$L1325,$F$2:$F$4001,"4")-SUMIFS('AR SALES'!$Y$2:$Y$2501,'AR SALES'!$L$2:$L$2501,$L1325,'AR SALES'!$AD$2:$AD$2501,"OFF"),2)=0,"","STALE")))</f>
        <v/>
      </c>
      <c r="BB1325" s="2" t="str">
        <f>IF(OR(""&amp;$F1325="2",""&amp;$F1325="4",""&amp;$F1325="G",""&amp;$F1325="H"),IF($AY1325="YES","",IF($AB1325&lt;&gt;0,"",IF(COUNTIFS('AR SALES'!$L$2:$L$2501,$L1325,'AR SALES'!$AD$2:$AD$2501,IF(""&amp;$F1325="4","OFF","ON"),'AR SALES'!$AF$2:$AF$2501,"Y")&gt;0,"","NO EXEMPTION"))),"")</f>
        <v/>
      </c>
    </row>
    <row r="1326" spans="46:54" x14ac:dyDescent="0.25">
      <c r="AT1326" s="2" t="str">
        <f>IF($L1326="","",IFERROR(INDEX('AR SALES'!$H$2:$H$2501,MATCH(""&amp;$L1326,'AR SALES'!$AE$2:$AE$2501,0)),""))</f>
        <v/>
      </c>
      <c r="AU1326" s="2" t="str">
        <f t="shared" si="80"/>
        <v/>
      </c>
      <c r="AV1326" s="2" t="str">
        <f t="shared" si="81"/>
        <v/>
      </c>
      <c r="AW1326" s="2" t="str">
        <f t="shared" si="82"/>
        <v/>
      </c>
      <c r="AX1326" s="2" t="str">
        <f t="shared" si="83"/>
        <v/>
      </c>
      <c r="AY1326" s="2" t="str">
        <f>IF($AV1326="","",IF(AND($Z1326=0,COUNTIF('AR SALES'!$L$2:$L$2501,$L1326)=0),"YES",""))</f>
        <v/>
      </c>
      <c r="AZ1326" s="2" t="str">
        <f>IF($AV1326="","",IF(COUNTIF(LISTS!$C$2:$C$250,$AU1326)=0,"NEW",""))</f>
        <v/>
      </c>
      <c r="BA1326" s="2" t="str">
        <f>IF(""&amp;$F1326&lt;&gt;"4","",IF($AY1326="YES","",IF(ROUND(SUMIFS($AE$2:$AE$4001,$L$2:$L$4001,$L1326,$F$2:$F$4001,"4")-SUMIFS('AR SALES'!$Y$2:$Y$2501,'AR SALES'!$L$2:$L$2501,$L1326,'AR SALES'!$AD$2:$AD$2501,"OFF"),2)=0,"","STALE")))</f>
        <v/>
      </c>
      <c r="BB1326" s="2" t="str">
        <f>IF(OR(""&amp;$F1326="2",""&amp;$F1326="4",""&amp;$F1326="G",""&amp;$F1326="H"),IF($AY1326="YES","",IF($AB1326&lt;&gt;0,"",IF(COUNTIFS('AR SALES'!$L$2:$L$2501,$L1326,'AR SALES'!$AD$2:$AD$2501,IF(""&amp;$F1326="4","OFF","ON"),'AR SALES'!$AF$2:$AF$2501,"Y")&gt;0,"","NO EXEMPTION"))),"")</f>
        <v/>
      </c>
    </row>
    <row r="1327" spans="46:54" x14ac:dyDescent="0.25">
      <c r="AT1327" s="2" t="str">
        <f>IF($L1327="","",IFERROR(INDEX('AR SALES'!$H$2:$H$2501,MATCH(""&amp;$L1327,'AR SALES'!$AE$2:$AE$2501,0)),""))</f>
        <v/>
      </c>
      <c r="AU1327" s="2" t="str">
        <f t="shared" si="80"/>
        <v/>
      </c>
      <c r="AV1327" s="2" t="str">
        <f t="shared" si="81"/>
        <v/>
      </c>
      <c r="AW1327" s="2" t="str">
        <f t="shared" si="82"/>
        <v/>
      </c>
      <c r="AX1327" s="2" t="str">
        <f t="shared" si="83"/>
        <v/>
      </c>
      <c r="AY1327" s="2" t="str">
        <f>IF($AV1327="","",IF(AND($Z1327=0,COUNTIF('AR SALES'!$L$2:$L$2501,$L1327)=0),"YES",""))</f>
        <v/>
      </c>
      <c r="AZ1327" s="2" t="str">
        <f>IF($AV1327="","",IF(COUNTIF(LISTS!$C$2:$C$250,$AU1327)=0,"NEW",""))</f>
        <v/>
      </c>
      <c r="BA1327" s="2" t="str">
        <f>IF(""&amp;$F1327&lt;&gt;"4","",IF($AY1327="YES","",IF(ROUND(SUMIFS($AE$2:$AE$4001,$L$2:$L$4001,$L1327,$F$2:$F$4001,"4")-SUMIFS('AR SALES'!$Y$2:$Y$2501,'AR SALES'!$L$2:$L$2501,$L1327,'AR SALES'!$AD$2:$AD$2501,"OFF"),2)=0,"","STALE")))</f>
        <v/>
      </c>
      <c r="BB1327" s="2" t="str">
        <f>IF(OR(""&amp;$F1327="2",""&amp;$F1327="4",""&amp;$F1327="G",""&amp;$F1327="H"),IF($AY1327="YES","",IF($AB1327&lt;&gt;0,"",IF(COUNTIFS('AR SALES'!$L$2:$L$2501,$L1327,'AR SALES'!$AD$2:$AD$2501,IF(""&amp;$F1327="4","OFF","ON"),'AR SALES'!$AF$2:$AF$2501,"Y")&gt;0,"","NO EXEMPTION"))),"")</f>
        <v/>
      </c>
    </row>
    <row r="1328" spans="46:54" x14ac:dyDescent="0.25">
      <c r="AT1328" s="2" t="str">
        <f>IF($L1328="","",IFERROR(INDEX('AR SALES'!$H$2:$H$2501,MATCH(""&amp;$L1328,'AR SALES'!$AE$2:$AE$2501,0)),""))</f>
        <v/>
      </c>
      <c r="AU1328" s="2" t="str">
        <f t="shared" si="80"/>
        <v/>
      </c>
      <c r="AV1328" s="2" t="str">
        <f t="shared" si="81"/>
        <v/>
      </c>
      <c r="AW1328" s="2" t="str">
        <f t="shared" si="82"/>
        <v/>
      </c>
      <c r="AX1328" s="2" t="str">
        <f t="shared" si="83"/>
        <v/>
      </c>
      <c r="AY1328" s="2" t="str">
        <f>IF($AV1328="","",IF(AND($Z1328=0,COUNTIF('AR SALES'!$L$2:$L$2501,$L1328)=0),"YES",""))</f>
        <v/>
      </c>
      <c r="AZ1328" s="2" t="str">
        <f>IF($AV1328="","",IF(COUNTIF(LISTS!$C$2:$C$250,$AU1328)=0,"NEW",""))</f>
        <v/>
      </c>
      <c r="BA1328" s="2" t="str">
        <f>IF(""&amp;$F1328&lt;&gt;"4","",IF($AY1328="YES","",IF(ROUND(SUMIFS($AE$2:$AE$4001,$L$2:$L$4001,$L1328,$F$2:$F$4001,"4")-SUMIFS('AR SALES'!$Y$2:$Y$2501,'AR SALES'!$L$2:$L$2501,$L1328,'AR SALES'!$AD$2:$AD$2501,"OFF"),2)=0,"","STALE")))</f>
        <v/>
      </c>
      <c r="BB1328" s="2" t="str">
        <f>IF(OR(""&amp;$F1328="2",""&amp;$F1328="4",""&amp;$F1328="G",""&amp;$F1328="H"),IF($AY1328="YES","",IF($AB1328&lt;&gt;0,"",IF(COUNTIFS('AR SALES'!$L$2:$L$2501,$L1328,'AR SALES'!$AD$2:$AD$2501,IF(""&amp;$F1328="4","OFF","ON"),'AR SALES'!$AF$2:$AF$2501,"Y")&gt;0,"","NO EXEMPTION"))),"")</f>
        <v/>
      </c>
    </row>
    <row r="1329" spans="46:54" x14ac:dyDescent="0.25">
      <c r="AT1329" s="2" t="str">
        <f>IF($L1329="","",IFERROR(INDEX('AR SALES'!$H$2:$H$2501,MATCH(""&amp;$L1329,'AR SALES'!$AE$2:$AE$2501,0)),""))</f>
        <v/>
      </c>
      <c r="AU1329" s="2" t="str">
        <f t="shared" si="80"/>
        <v/>
      </c>
      <c r="AV1329" s="2" t="str">
        <f t="shared" si="81"/>
        <v/>
      </c>
      <c r="AW1329" s="2" t="str">
        <f t="shared" si="82"/>
        <v/>
      </c>
      <c r="AX1329" s="2" t="str">
        <f t="shared" si="83"/>
        <v/>
      </c>
      <c r="AY1329" s="2" t="str">
        <f>IF($AV1329="","",IF(AND($Z1329=0,COUNTIF('AR SALES'!$L$2:$L$2501,$L1329)=0),"YES",""))</f>
        <v/>
      </c>
      <c r="AZ1329" s="2" t="str">
        <f>IF($AV1329="","",IF(COUNTIF(LISTS!$C$2:$C$250,$AU1329)=0,"NEW",""))</f>
        <v/>
      </c>
      <c r="BA1329" s="2" t="str">
        <f>IF(""&amp;$F1329&lt;&gt;"4","",IF($AY1329="YES","",IF(ROUND(SUMIFS($AE$2:$AE$4001,$L$2:$L$4001,$L1329,$F$2:$F$4001,"4")-SUMIFS('AR SALES'!$Y$2:$Y$2501,'AR SALES'!$L$2:$L$2501,$L1329,'AR SALES'!$AD$2:$AD$2501,"OFF"),2)=0,"","STALE")))</f>
        <v/>
      </c>
      <c r="BB1329" s="2" t="str">
        <f>IF(OR(""&amp;$F1329="2",""&amp;$F1329="4",""&amp;$F1329="G",""&amp;$F1329="H"),IF($AY1329="YES","",IF($AB1329&lt;&gt;0,"",IF(COUNTIFS('AR SALES'!$L$2:$L$2501,$L1329,'AR SALES'!$AD$2:$AD$2501,IF(""&amp;$F1329="4","OFF","ON"),'AR SALES'!$AF$2:$AF$2501,"Y")&gt;0,"","NO EXEMPTION"))),"")</f>
        <v/>
      </c>
    </row>
    <row r="1330" spans="46:54" x14ac:dyDescent="0.25">
      <c r="AT1330" s="2" t="str">
        <f>IF($L1330="","",IFERROR(INDEX('AR SALES'!$H$2:$H$2501,MATCH(""&amp;$L1330,'AR SALES'!$AE$2:$AE$2501,0)),""))</f>
        <v/>
      </c>
      <c r="AU1330" s="2" t="str">
        <f t="shared" si="80"/>
        <v/>
      </c>
      <c r="AV1330" s="2" t="str">
        <f t="shared" si="81"/>
        <v/>
      </c>
      <c r="AW1330" s="2" t="str">
        <f t="shared" si="82"/>
        <v/>
      </c>
      <c r="AX1330" s="2" t="str">
        <f t="shared" si="83"/>
        <v/>
      </c>
      <c r="AY1330" s="2" t="str">
        <f>IF($AV1330="","",IF(AND($Z1330=0,COUNTIF('AR SALES'!$L$2:$L$2501,$L1330)=0),"YES",""))</f>
        <v/>
      </c>
      <c r="AZ1330" s="2" t="str">
        <f>IF($AV1330="","",IF(COUNTIF(LISTS!$C$2:$C$250,$AU1330)=0,"NEW",""))</f>
        <v/>
      </c>
      <c r="BA1330" s="2" t="str">
        <f>IF(""&amp;$F1330&lt;&gt;"4","",IF($AY1330="YES","",IF(ROUND(SUMIFS($AE$2:$AE$4001,$L$2:$L$4001,$L1330,$F$2:$F$4001,"4")-SUMIFS('AR SALES'!$Y$2:$Y$2501,'AR SALES'!$L$2:$L$2501,$L1330,'AR SALES'!$AD$2:$AD$2501,"OFF"),2)=0,"","STALE")))</f>
        <v/>
      </c>
      <c r="BB1330" s="2" t="str">
        <f>IF(OR(""&amp;$F1330="2",""&amp;$F1330="4",""&amp;$F1330="G",""&amp;$F1330="H"),IF($AY1330="YES","",IF($AB1330&lt;&gt;0,"",IF(COUNTIFS('AR SALES'!$L$2:$L$2501,$L1330,'AR SALES'!$AD$2:$AD$2501,IF(""&amp;$F1330="4","OFF","ON"),'AR SALES'!$AF$2:$AF$2501,"Y")&gt;0,"","NO EXEMPTION"))),"")</f>
        <v/>
      </c>
    </row>
    <row r="1331" spans="46:54" x14ac:dyDescent="0.25">
      <c r="AT1331" s="2" t="str">
        <f>IF($L1331="","",IFERROR(INDEX('AR SALES'!$H$2:$H$2501,MATCH(""&amp;$L1331,'AR SALES'!$AE$2:$AE$2501,0)),""))</f>
        <v/>
      </c>
      <c r="AU1331" s="2" t="str">
        <f t="shared" si="80"/>
        <v/>
      </c>
      <c r="AV1331" s="2" t="str">
        <f t="shared" si="81"/>
        <v/>
      </c>
      <c r="AW1331" s="2" t="str">
        <f t="shared" si="82"/>
        <v/>
      </c>
      <c r="AX1331" s="2" t="str">
        <f t="shared" si="83"/>
        <v/>
      </c>
      <c r="AY1331" s="2" t="str">
        <f>IF($AV1331="","",IF(AND($Z1331=0,COUNTIF('AR SALES'!$L$2:$L$2501,$L1331)=0),"YES",""))</f>
        <v/>
      </c>
      <c r="AZ1331" s="2" t="str">
        <f>IF($AV1331="","",IF(COUNTIF(LISTS!$C$2:$C$250,$AU1331)=0,"NEW",""))</f>
        <v/>
      </c>
      <c r="BA1331" s="2" t="str">
        <f>IF(""&amp;$F1331&lt;&gt;"4","",IF($AY1331="YES","",IF(ROUND(SUMIFS($AE$2:$AE$4001,$L$2:$L$4001,$L1331,$F$2:$F$4001,"4")-SUMIFS('AR SALES'!$Y$2:$Y$2501,'AR SALES'!$L$2:$L$2501,$L1331,'AR SALES'!$AD$2:$AD$2501,"OFF"),2)=0,"","STALE")))</f>
        <v/>
      </c>
      <c r="BB1331" s="2" t="str">
        <f>IF(OR(""&amp;$F1331="2",""&amp;$F1331="4",""&amp;$F1331="G",""&amp;$F1331="H"),IF($AY1331="YES","",IF($AB1331&lt;&gt;0,"",IF(COUNTIFS('AR SALES'!$L$2:$L$2501,$L1331,'AR SALES'!$AD$2:$AD$2501,IF(""&amp;$F1331="4","OFF","ON"),'AR SALES'!$AF$2:$AF$2501,"Y")&gt;0,"","NO EXEMPTION"))),"")</f>
        <v/>
      </c>
    </row>
    <row r="1332" spans="46:54" x14ac:dyDescent="0.25">
      <c r="AT1332" s="2" t="str">
        <f>IF($L1332="","",IFERROR(INDEX('AR SALES'!$H$2:$H$2501,MATCH(""&amp;$L1332,'AR SALES'!$AE$2:$AE$2501,0)),""))</f>
        <v/>
      </c>
      <c r="AU1332" s="2" t="str">
        <f t="shared" si="80"/>
        <v/>
      </c>
      <c r="AV1332" s="2" t="str">
        <f t="shared" si="81"/>
        <v/>
      </c>
      <c r="AW1332" s="2" t="str">
        <f t="shared" si="82"/>
        <v/>
      </c>
      <c r="AX1332" s="2" t="str">
        <f t="shared" si="83"/>
        <v/>
      </c>
      <c r="AY1332" s="2" t="str">
        <f>IF($AV1332="","",IF(AND($Z1332=0,COUNTIF('AR SALES'!$L$2:$L$2501,$L1332)=0),"YES",""))</f>
        <v/>
      </c>
      <c r="AZ1332" s="2" t="str">
        <f>IF($AV1332="","",IF(COUNTIF(LISTS!$C$2:$C$250,$AU1332)=0,"NEW",""))</f>
        <v/>
      </c>
      <c r="BA1332" s="2" t="str">
        <f>IF(""&amp;$F1332&lt;&gt;"4","",IF($AY1332="YES","",IF(ROUND(SUMIFS($AE$2:$AE$4001,$L$2:$L$4001,$L1332,$F$2:$F$4001,"4")-SUMIFS('AR SALES'!$Y$2:$Y$2501,'AR SALES'!$L$2:$L$2501,$L1332,'AR SALES'!$AD$2:$AD$2501,"OFF"),2)=0,"","STALE")))</f>
        <v/>
      </c>
      <c r="BB1332" s="2" t="str">
        <f>IF(OR(""&amp;$F1332="2",""&amp;$F1332="4",""&amp;$F1332="G",""&amp;$F1332="H"),IF($AY1332="YES","",IF($AB1332&lt;&gt;0,"",IF(COUNTIFS('AR SALES'!$L$2:$L$2501,$L1332,'AR SALES'!$AD$2:$AD$2501,IF(""&amp;$F1332="4","OFF","ON"),'AR SALES'!$AF$2:$AF$2501,"Y")&gt;0,"","NO EXEMPTION"))),"")</f>
        <v/>
      </c>
    </row>
    <row r="1333" spans="46:54" x14ac:dyDescent="0.25">
      <c r="AT1333" s="2" t="str">
        <f>IF($L1333="","",IFERROR(INDEX('AR SALES'!$H$2:$H$2501,MATCH(""&amp;$L1333,'AR SALES'!$AE$2:$AE$2501,0)),""))</f>
        <v/>
      </c>
      <c r="AU1333" s="2" t="str">
        <f t="shared" si="80"/>
        <v/>
      </c>
      <c r="AV1333" s="2" t="str">
        <f t="shared" si="81"/>
        <v/>
      </c>
      <c r="AW1333" s="2" t="str">
        <f t="shared" si="82"/>
        <v/>
      </c>
      <c r="AX1333" s="2" t="str">
        <f t="shared" si="83"/>
        <v/>
      </c>
      <c r="AY1333" s="2" t="str">
        <f>IF($AV1333="","",IF(AND($Z1333=0,COUNTIF('AR SALES'!$L$2:$L$2501,$L1333)=0),"YES",""))</f>
        <v/>
      </c>
      <c r="AZ1333" s="2" t="str">
        <f>IF($AV1333="","",IF(COUNTIF(LISTS!$C$2:$C$250,$AU1333)=0,"NEW",""))</f>
        <v/>
      </c>
      <c r="BA1333" s="2" t="str">
        <f>IF(""&amp;$F1333&lt;&gt;"4","",IF($AY1333="YES","",IF(ROUND(SUMIFS($AE$2:$AE$4001,$L$2:$L$4001,$L1333,$F$2:$F$4001,"4")-SUMIFS('AR SALES'!$Y$2:$Y$2501,'AR SALES'!$L$2:$L$2501,$L1333,'AR SALES'!$AD$2:$AD$2501,"OFF"),2)=0,"","STALE")))</f>
        <v/>
      </c>
      <c r="BB1333" s="2" t="str">
        <f>IF(OR(""&amp;$F1333="2",""&amp;$F1333="4",""&amp;$F1333="G",""&amp;$F1333="H"),IF($AY1333="YES","",IF($AB1333&lt;&gt;0,"",IF(COUNTIFS('AR SALES'!$L$2:$L$2501,$L1333,'AR SALES'!$AD$2:$AD$2501,IF(""&amp;$F1333="4","OFF","ON"),'AR SALES'!$AF$2:$AF$2501,"Y")&gt;0,"","NO EXEMPTION"))),"")</f>
        <v/>
      </c>
    </row>
    <row r="1334" spans="46:54" x14ac:dyDescent="0.25">
      <c r="AT1334" s="2" t="str">
        <f>IF($L1334="","",IFERROR(INDEX('AR SALES'!$H$2:$H$2501,MATCH(""&amp;$L1334,'AR SALES'!$AE$2:$AE$2501,0)),""))</f>
        <v/>
      </c>
      <c r="AU1334" s="2" t="str">
        <f t="shared" si="80"/>
        <v/>
      </c>
      <c r="AV1334" s="2" t="str">
        <f t="shared" si="81"/>
        <v/>
      </c>
      <c r="AW1334" s="2" t="str">
        <f t="shared" si="82"/>
        <v/>
      </c>
      <c r="AX1334" s="2" t="str">
        <f t="shared" si="83"/>
        <v/>
      </c>
      <c r="AY1334" s="2" t="str">
        <f>IF($AV1334="","",IF(AND($Z1334=0,COUNTIF('AR SALES'!$L$2:$L$2501,$L1334)=0),"YES",""))</f>
        <v/>
      </c>
      <c r="AZ1334" s="2" t="str">
        <f>IF($AV1334="","",IF(COUNTIF(LISTS!$C$2:$C$250,$AU1334)=0,"NEW",""))</f>
        <v/>
      </c>
      <c r="BA1334" s="2" t="str">
        <f>IF(""&amp;$F1334&lt;&gt;"4","",IF($AY1334="YES","",IF(ROUND(SUMIFS($AE$2:$AE$4001,$L$2:$L$4001,$L1334,$F$2:$F$4001,"4")-SUMIFS('AR SALES'!$Y$2:$Y$2501,'AR SALES'!$L$2:$L$2501,$L1334,'AR SALES'!$AD$2:$AD$2501,"OFF"),2)=0,"","STALE")))</f>
        <v/>
      </c>
      <c r="BB1334" s="2" t="str">
        <f>IF(OR(""&amp;$F1334="2",""&amp;$F1334="4",""&amp;$F1334="G",""&amp;$F1334="H"),IF($AY1334="YES","",IF($AB1334&lt;&gt;0,"",IF(COUNTIFS('AR SALES'!$L$2:$L$2501,$L1334,'AR SALES'!$AD$2:$AD$2501,IF(""&amp;$F1334="4","OFF","ON"),'AR SALES'!$AF$2:$AF$2501,"Y")&gt;0,"","NO EXEMPTION"))),"")</f>
        <v/>
      </c>
    </row>
    <row r="1335" spans="46:54" x14ac:dyDescent="0.25">
      <c r="AT1335" s="2" t="str">
        <f>IF($L1335="","",IFERROR(INDEX('AR SALES'!$H$2:$H$2501,MATCH(""&amp;$L1335,'AR SALES'!$AE$2:$AE$2501,0)),""))</f>
        <v/>
      </c>
      <c r="AU1335" s="2" t="str">
        <f t="shared" si="80"/>
        <v/>
      </c>
      <c r="AV1335" s="2" t="str">
        <f t="shared" si="81"/>
        <v/>
      </c>
      <c r="AW1335" s="2" t="str">
        <f t="shared" si="82"/>
        <v/>
      </c>
      <c r="AX1335" s="2" t="str">
        <f t="shared" si="83"/>
        <v/>
      </c>
      <c r="AY1335" s="2" t="str">
        <f>IF($AV1335="","",IF(AND($Z1335=0,COUNTIF('AR SALES'!$L$2:$L$2501,$L1335)=0),"YES",""))</f>
        <v/>
      </c>
      <c r="AZ1335" s="2" t="str">
        <f>IF($AV1335="","",IF(COUNTIF(LISTS!$C$2:$C$250,$AU1335)=0,"NEW",""))</f>
        <v/>
      </c>
      <c r="BA1335" s="2" t="str">
        <f>IF(""&amp;$F1335&lt;&gt;"4","",IF($AY1335="YES","",IF(ROUND(SUMIFS($AE$2:$AE$4001,$L$2:$L$4001,$L1335,$F$2:$F$4001,"4")-SUMIFS('AR SALES'!$Y$2:$Y$2501,'AR SALES'!$L$2:$L$2501,$L1335,'AR SALES'!$AD$2:$AD$2501,"OFF"),2)=0,"","STALE")))</f>
        <v/>
      </c>
      <c r="BB1335" s="2" t="str">
        <f>IF(OR(""&amp;$F1335="2",""&amp;$F1335="4",""&amp;$F1335="G",""&amp;$F1335="H"),IF($AY1335="YES","",IF($AB1335&lt;&gt;0,"",IF(COUNTIFS('AR SALES'!$L$2:$L$2501,$L1335,'AR SALES'!$AD$2:$AD$2501,IF(""&amp;$F1335="4","OFF","ON"),'AR SALES'!$AF$2:$AF$2501,"Y")&gt;0,"","NO EXEMPTION"))),"")</f>
        <v/>
      </c>
    </row>
    <row r="1336" spans="46:54" x14ac:dyDescent="0.25">
      <c r="AT1336" s="2" t="str">
        <f>IF($L1336="","",IFERROR(INDEX('AR SALES'!$H$2:$H$2501,MATCH(""&amp;$L1336,'AR SALES'!$AE$2:$AE$2501,0)),""))</f>
        <v/>
      </c>
      <c r="AU1336" s="2" t="str">
        <f t="shared" si="80"/>
        <v/>
      </c>
      <c r="AV1336" s="2" t="str">
        <f t="shared" si="81"/>
        <v/>
      </c>
      <c r="AW1336" s="2" t="str">
        <f t="shared" si="82"/>
        <v/>
      </c>
      <c r="AX1336" s="2" t="str">
        <f t="shared" si="83"/>
        <v/>
      </c>
      <c r="AY1336" s="2" t="str">
        <f>IF($AV1336="","",IF(AND($Z1336=0,COUNTIF('AR SALES'!$L$2:$L$2501,$L1336)=0),"YES",""))</f>
        <v/>
      </c>
      <c r="AZ1336" s="2" t="str">
        <f>IF($AV1336="","",IF(COUNTIF(LISTS!$C$2:$C$250,$AU1336)=0,"NEW",""))</f>
        <v/>
      </c>
      <c r="BA1336" s="2" t="str">
        <f>IF(""&amp;$F1336&lt;&gt;"4","",IF($AY1336="YES","",IF(ROUND(SUMIFS($AE$2:$AE$4001,$L$2:$L$4001,$L1336,$F$2:$F$4001,"4")-SUMIFS('AR SALES'!$Y$2:$Y$2501,'AR SALES'!$L$2:$L$2501,$L1336,'AR SALES'!$AD$2:$AD$2501,"OFF"),2)=0,"","STALE")))</f>
        <v/>
      </c>
      <c r="BB1336" s="2" t="str">
        <f>IF(OR(""&amp;$F1336="2",""&amp;$F1336="4",""&amp;$F1336="G",""&amp;$F1336="H"),IF($AY1336="YES","",IF($AB1336&lt;&gt;0,"",IF(COUNTIFS('AR SALES'!$L$2:$L$2501,$L1336,'AR SALES'!$AD$2:$AD$2501,IF(""&amp;$F1336="4","OFF","ON"),'AR SALES'!$AF$2:$AF$2501,"Y")&gt;0,"","NO EXEMPTION"))),"")</f>
        <v/>
      </c>
    </row>
    <row r="1337" spans="46:54" x14ac:dyDescent="0.25">
      <c r="AT1337" s="2" t="str">
        <f>IF($L1337="","",IFERROR(INDEX('AR SALES'!$H$2:$H$2501,MATCH(""&amp;$L1337,'AR SALES'!$AE$2:$AE$2501,0)),""))</f>
        <v/>
      </c>
      <c r="AU1337" s="2" t="str">
        <f t="shared" si="80"/>
        <v/>
      </c>
      <c r="AV1337" s="2" t="str">
        <f t="shared" si="81"/>
        <v/>
      </c>
      <c r="AW1337" s="2" t="str">
        <f t="shared" si="82"/>
        <v/>
      </c>
      <c r="AX1337" s="2" t="str">
        <f t="shared" si="83"/>
        <v/>
      </c>
      <c r="AY1337" s="2" t="str">
        <f>IF($AV1337="","",IF(AND($Z1337=0,COUNTIF('AR SALES'!$L$2:$L$2501,$L1337)=0),"YES",""))</f>
        <v/>
      </c>
      <c r="AZ1337" s="2" t="str">
        <f>IF($AV1337="","",IF(COUNTIF(LISTS!$C$2:$C$250,$AU1337)=0,"NEW",""))</f>
        <v/>
      </c>
      <c r="BA1337" s="2" t="str">
        <f>IF(""&amp;$F1337&lt;&gt;"4","",IF($AY1337="YES","",IF(ROUND(SUMIFS($AE$2:$AE$4001,$L$2:$L$4001,$L1337,$F$2:$F$4001,"4")-SUMIFS('AR SALES'!$Y$2:$Y$2501,'AR SALES'!$L$2:$L$2501,$L1337,'AR SALES'!$AD$2:$AD$2501,"OFF"),2)=0,"","STALE")))</f>
        <v/>
      </c>
      <c r="BB1337" s="2" t="str">
        <f>IF(OR(""&amp;$F1337="2",""&amp;$F1337="4",""&amp;$F1337="G",""&amp;$F1337="H"),IF($AY1337="YES","",IF($AB1337&lt;&gt;0,"",IF(COUNTIFS('AR SALES'!$L$2:$L$2501,$L1337,'AR SALES'!$AD$2:$AD$2501,IF(""&amp;$F1337="4","OFF","ON"),'AR SALES'!$AF$2:$AF$2501,"Y")&gt;0,"","NO EXEMPTION"))),"")</f>
        <v/>
      </c>
    </row>
    <row r="1338" spans="46:54" x14ac:dyDescent="0.25">
      <c r="AT1338" s="2" t="str">
        <f>IF($L1338="","",IFERROR(INDEX('AR SALES'!$H$2:$H$2501,MATCH(""&amp;$L1338,'AR SALES'!$AE$2:$AE$2501,0)),""))</f>
        <v/>
      </c>
      <c r="AU1338" s="2" t="str">
        <f t="shared" si="80"/>
        <v/>
      </c>
      <c r="AV1338" s="2" t="str">
        <f t="shared" si="81"/>
        <v/>
      </c>
      <c r="AW1338" s="2" t="str">
        <f t="shared" si="82"/>
        <v/>
      </c>
      <c r="AX1338" s="2" t="str">
        <f t="shared" si="83"/>
        <v/>
      </c>
      <c r="AY1338" s="2" t="str">
        <f>IF($AV1338="","",IF(AND($Z1338=0,COUNTIF('AR SALES'!$L$2:$L$2501,$L1338)=0),"YES",""))</f>
        <v/>
      </c>
      <c r="AZ1338" s="2" t="str">
        <f>IF($AV1338="","",IF(COUNTIF(LISTS!$C$2:$C$250,$AU1338)=0,"NEW",""))</f>
        <v/>
      </c>
      <c r="BA1338" s="2" t="str">
        <f>IF(""&amp;$F1338&lt;&gt;"4","",IF($AY1338="YES","",IF(ROUND(SUMIFS($AE$2:$AE$4001,$L$2:$L$4001,$L1338,$F$2:$F$4001,"4")-SUMIFS('AR SALES'!$Y$2:$Y$2501,'AR SALES'!$L$2:$L$2501,$L1338,'AR SALES'!$AD$2:$AD$2501,"OFF"),2)=0,"","STALE")))</f>
        <v/>
      </c>
      <c r="BB1338" s="2" t="str">
        <f>IF(OR(""&amp;$F1338="2",""&amp;$F1338="4",""&amp;$F1338="G",""&amp;$F1338="H"),IF($AY1338="YES","",IF($AB1338&lt;&gt;0,"",IF(COUNTIFS('AR SALES'!$L$2:$L$2501,$L1338,'AR SALES'!$AD$2:$AD$2501,IF(""&amp;$F1338="4","OFF","ON"),'AR SALES'!$AF$2:$AF$2501,"Y")&gt;0,"","NO EXEMPTION"))),"")</f>
        <v/>
      </c>
    </row>
    <row r="1339" spans="46:54" x14ac:dyDescent="0.25">
      <c r="AT1339" s="2" t="str">
        <f>IF($L1339="","",IFERROR(INDEX('AR SALES'!$H$2:$H$2501,MATCH(""&amp;$L1339,'AR SALES'!$AE$2:$AE$2501,0)),""))</f>
        <v/>
      </c>
      <c r="AU1339" s="2" t="str">
        <f t="shared" si="80"/>
        <v/>
      </c>
      <c r="AV1339" s="2" t="str">
        <f t="shared" si="81"/>
        <v/>
      </c>
      <c r="AW1339" s="2" t="str">
        <f t="shared" si="82"/>
        <v/>
      </c>
      <c r="AX1339" s="2" t="str">
        <f t="shared" si="83"/>
        <v/>
      </c>
      <c r="AY1339" s="2" t="str">
        <f>IF($AV1339="","",IF(AND($Z1339=0,COUNTIF('AR SALES'!$L$2:$L$2501,$L1339)=0),"YES",""))</f>
        <v/>
      </c>
      <c r="AZ1339" s="2" t="str">
        <f>IF($AV1339="","",IF(COUNTIF(LISTS!$C$2:$C$250,$AU1339)=0,"NEW",""))</f>
        <v/>
      </c>
      <c r="BA1339" s="2" t="str">
        <f>IF(""&amp;$F1339&lt;&gt;"4","",IF($AY1339="YES","",IF(ROUND(SUMIFS($AE$2:$AE$4001,$L$2:$L$4001,$L1339,$F$2:$F$4001,"4")-SUMIFS('AR SALES'!$Y$2:$Y$2501,'AR SALES'!$L$2:$L$2501,$L1339,'AR SALES'!$AD$2:$AD$2501,"OFF"),2)=0,"","STALE")))</f>
        <v/>
      </c>
      <c r="BB1339" s="2" t="str">
        <f>IF(OR(""&amp;$F1339="2",""&amp;$F1339="4",""&amp;$F1339="G",""&amp;$F1339="H"),IF($AY1339="YES","",IF($AB1339&lt;&gt;0,"",IF(COUNTIFS('AR SALES'!$L$2:$L$2501,$L1339,'AR SALES'!$AD$2:$AD$2501,IF(""&amp;$F1339="4","OFF","ON"),'AR SALES'!$AF$2:$AF$2501,"Y")&gt;0,"","NO EXEMPTION"))),"")</f>
        <v/>
      </c>
    </row>
    <row r="1340" spans="46:54" x14ac:dyDescent="0.25">
      <c r="AT1340" s="2" t="str">
        <f>IF($L1340="","",IFERROR(INDEX('AR SALES'!$H$2:$H$2501,MATCH(""&amp;$L1340,'AR SALES'!$AE$2:$AE$2501,0)),""))</f>
        <v/>
      </c>
      <c r="AU1340" s="2" t="str">
        <f t="shared" si="80"/>
        <v/>
      </c>
      <c r="AV1340" s="2" t="str">
        <f t="shared" si="81"/>
        <v/>
      </c>
      <c r="AW1340" s="2" t="str">
        <f t="shared" si="82"/>
        <v/>
      </c>
      <c r="AX1340" s="2" t="str">
        <f t="shared" si="83"/>
        <v/>
      </c>
      <c r="AY1340" s="2" t="str">
        <f>IF($AV1340="","",IF(AND($Z1340=0,COUNTIF('AR SALES'!$L$2:$L$2501,$L1340)=0),"YES",""))</f>
        <v/>
      </c>
      <c r="AZ1340" s="2" t="str">
        <f>IF($AV1340="","",IF(COUNTIF(LISTS!$C$2:$C$250,$AU1340)=0,"NEW",""))</f>
        <v/>
      </c>
      <c r="BA1340" s="2" t="str">
        <f>IF(""&amp;$F1340&lt;&gt;"4","",IF($AY1340="YES","",IF(ROUND(SUMIFS($AE$2:$AE$4001,$L$2:$L$4001,$L1340,$F$2:$F$4001,"4")-SUMIFS('AR SALES'!$Y$2:$Y$2501,'AR SALES'!$L$2:$L$2501,$L1340,'AR SALES'!$AD$2:$AD$2501,"OFF"),2)=0,"","STALE")))</f>
        <v/>
      </c>
      <c r="BB1340" s="2" t="str">
        <f>IF(OR(""&amp;$F1340="2",""&amp;$F1340="4",""&amp;$F1340="G",""&amp;$F1340="H"),IF($AY1340="YES","",IF($AB1340&lt;&gt;0,"",IF(COUNTIFS('AR SALES'!$L$2:$L$2501,$L1340,'AR SALES'!$AD$2:$AD$2501,IF(""&amp;$F1340="4","OFF","ON"),'AR SALES'!$AF$2:$AF$2501,"Y")&gt;0,"","NO EXEMPTION"))),"")</f>
        <v/>
      </c>
    </row>
    <row r="1341" spans="46:54" x14ac:dyDescent="0.25">
      <c r="AT1341" s="2" t="str">
        <f>IF($L1341="","",IFERROR(INDEX('AR SALES'!$H$2:$H$2501,MATCH(""&amp;$L1341,'AR SALES'!$AE$2:$AE$2501,0)),""))</f>
        <v/>
      </c>
      <c r="AU1341" s="2" t="str">
        <f t="shared" si="80"/>
        <v/>
      </c>
      <c r="AV1341" s="2" t="str">
        <f t="shared" si="81"/>
        <v/>
      </c>
      <c r="AW1341" s="2" t="str">
        <f t="shared" si="82"/>
        <v/>
      </c>
      <c r="AX1341" s="2" t="str">
        <f t="shared" si="83"/>
        <v/>
      </c>
      <c r="AY1341" s="2" t="str">
        <f>IF($AV1341="","",IF(AND($Z1341=0,COUNTIF('AR SALES'!$L$2:$L$2501,$L1341)=0),"YES",""))</f>
        <v/>
      </c>
      <c r="AZ1341" s="2" t="str">
        <f>IF($AV1341="","",IF(COUNTIF(LISTS!$C$2:$C$250,$AU1341)=0,"NEW",""))</f>
        <v/>
      </c>
      <c r="BA1341" s="2" t="str">
        <f>IF(""&amp;$F1341&lt;&gt;"4","",IF($AY1341="YES","",IF(ROUND(SUMIFS($AE$2:$AE$4001,$L$2:$L$4001,$L1341,$F$2:$F$4001,"4")-SUMIFS('AR SALES'!$Y$2:$Y$2501,'AR SALES'!$L$2:$L$2501,$L1341,'AR SALES'!$AD$2:$AD$2501,"OFF"),2)=0,"","STALE")))</f>
        <v/>
      </c>
      <c r="BB1341" s="2" t="str">
        <f>IF(OR(""&amp;$F1341="2",""&amp;$F1341="4",""&amp;$F1341="G",""&amp;$F1341="H"),IF($AY1341="YES","",IF($AB1341&lt;&gt;0,"",IF(COUNTIFS('AR SALES'!$L$2:$L$2501,$L1341,'AR SALES'!$AD$2:$AD$2501,IF(""&amp;$F1341="4","OFF","ON"),'AR SALES'!$AF$2:$AF$2501,"Y")&gt;0,"","NO EXEMPTION"))),"")</f>
        <v/>
      </c>
    </row>
    <row r="1342" spans="46:54" x14ac:dyDescent="0.25">
      <c r="AT1342" s="2" t="str">
        <f>IF($L1342="","",IFERROR(INDEX('AR SALES'!$H$2:$H$2501,MATCH(""&amp;$L1342,'AR SALES'!$AE$2:$AE$2501,0)),""))</f>
        <v/>
      </c>
      <c r="AU1342" s="2" t="str">
        <f t="shared" si="80"/>
        <v/>
      </c>
      <c r="AV1342" s="2" t="str">
        <f t="shared" si="81"/>
        <v/>
      </c>
      <c r="AW1342" s="2" t="str">
        <f t="shared" si="82"/>
        <v/>
      </c>
      <c r="AX1342" s="2" t="str">
        <f t="shared" si="83"/>
        <v/>
      </c>
      <c r="AY1342" s="2" t="str">
        <f>IF($AV1342="","",IF(AND($Z1342=0,COUNTIF('AR SALES'!$L$2:$L$2501,$L1342)=0),"YES",""))</f>
        <v/>
      </c>
      <c r="AZ1342" s="2" t="str">
        <f>IF($AV1342="","",IF(COUNTIF(LISTS!$C$2:$C$250,$AU1342)=0,"NEW",""))</f>
        <v/>
      </c>
      <c r="BA1342" s="2" t="str">
        <f>IF(""&amp;$F1342&lt;&gt;"4","",IF($AY1342="YES","",IF(ROUND(SUMIFS($AE$2:$AE$4001,$L$2:$L$4001,$L1342,$F$2:$F$4001,"4")-SUMIFS('AR SALES'!$Y$2:$Y$2501,'AR SALES'!$L$2:$L$2501,$L1342,'AR SALES'!$AD$2:$AD$2501,"OFF"),2)=0,"","STALE")))</f>
        <v/>
      </c>
      <c r="BB1342" s="2" t="str">
        <f>IF(OR(""&amp;$F1342="2",""&amp;$F1342="4",""&amp;$F1342="G",""&amp;$F1342="H"),IF($AY1342="YES","",IF($AB1342&lt;&gt;0,"",IF(COUNTIFS('AR SALES'!$L$2:$L$2501,$L1342,'AR SALES'!$AD$2:$AD$2501,IF(""&amp;$F1342="4","OFF","ON"),'AR SALES'!$AF$2:$AF$2501,"Y")&gt;0,"","NO EXEMPTION"))),"")</f>
        <v/>
      </c>
    </row>
    <row r="1343" spans="46:54" x14ac:dyDescent="0.25">
      <c r="AT1343" s="2" t="str">
        <f>IF($L1343="","",IFERROR(INDEX('AR SALES'!$H$2:$H$2501,MATCH(""&amp;$L1343,'AR SALES'!$AE$2:$AE$2501,0)),""))</f>
        <v/>
      </c>
      <c r="AU1343" s="2" t="str">
        <f t="shared" si="80"/>
        <v/>
      </c>
      <c r="AV1343" s="2" t="str">
        <f t="shared" si="81"/>
        <v/>
      </c>
      <c r="AW1343" s="2" t="str">
        <f t="shared" si="82"/>
        <v/>
      </c>
      <c r="AX1343" s="2" t="str">
        <f t="shared" si="83"/>
        <v/>
      </c>
      <c r="AY1343" s="2" t="str">
        <f>IF($AV1343="","",IF(AND($Z1343=0,COUNTIF('AR SALES'!$L$2:$L$2501,$L1343)=0),"YES",""))</f>
        <v/>
      </c>
      <c r="AZ1343" s="2" t="str">
        <f>IF($AV1343="","",IF(COUNTIF(LISTS!$C$2:$C$250,$AU1343)=0,"NEW",""))</f>
        <v/>
      </c>
      <c r="BA1343" s="2" t="str">
        <f>IF(""&amp;$F1343&lt;&gt;"4","",IF($AY1343="YES","",IF(ROUND(SUMIFS($AE$2:$AE$4001,$L$2:$L$4001,$L1343,$F$2:$F$4001,"4")-SUMIFS('AR SALES'!$Y$2:$Y$2501,'AR SALES'!$L$2:$L$2501,$L1343,'AR SALES'!$AD$2:$AD$2501,"OFF"),2)=0,"","STALE")))</f>
        <v/>
      </c>
      <c r="BB1343" s="2" t="str">
        <f>IF(OR(""&amp;$F1343="2",""&amp;$F1343="4",""&amp;$F1343="G",""&amp;$F1343="H"),IF($AY1343="YES","",IF($AB1343&lt;&gt;0,"",IF(COUNTIFS('AR SALES'!$L$2:$L$2501,$L1343,'AR SALES'!$AD$2:$AD$2501,IF(""&amp;$F1343="4","OFF","ON"),'AR SALES'!$AF$2:$AF$2501,"Y")&gt;0,"","NO EXEMPTION"))),"")</f>
        <v/>
      </c>
    </row>
    <row r="1344" spans="46:54" x14ac:dyDescent="0.25">
      <c r="AT1344" s="2" t="str">
        <f>IF($L1344="","",IFERROR(INDEX('AR SALES'!$H$2:$H$2501,MATCH(""&amp;$L1344,'AR SALES'!$AE$2:$AE$2501,0)),""))</f>
        <v/>
      </c>
      <c r="AU1344" s="2" t="str">
        <f t="shared" si="80"/>
        <v/>
      </c>
      <c r="AV1344" s="2" t="str">
        <f t="shared" si="81"/>
        <v/>
      </c>
      <c r="AW1344" s="2" t="str">
        <f t="shared" si="82"/>
        <v/>
      </c>
      <c r="AX1344" s="2" t="str">
        <f t="shared" si="83"/>
        <v/>
      </c>
      <c r="AY1344" s="2" t="str">
        <f>IF($AV1344="","",IF(AND($Z1344=0,COUNTIF('AR SALES'!$L$2:$L$2501,$L1344)=0),"YES",""))</f>
        <v/>
      </c>
      <c r="AZ1344" s="2" t="str">
        <f>IF($AV1344="","",IF(COUNTIF(LISTS!$C$2:$C$250,$AU1344)=0,"NEW",""))</f>
        <v/>
      </c>
      <c r="BA1344" s="2" t="str">
        <f>IF(""&amp;$F1344&lt;&gt;"4","",IF($AY1344="YES","",IF(ROUND(SUMIFS($AE$2:$AE$4001,$L$2:$L$4001,$L1344,$F$2:$F$4001,"4")-SUMIFS('AR SALES'!$Y$2:$Y$2501,'AR SALES'!$L$2:$L$2501,$L1344,'AR SALES'!$AD$2:$AD$2501,"OFF"),2)=0,"","STALE")))</f>
        <v/>
      </c>
      <c r="BB1344" s="2" t="str">
        <f>IF(OR(""&amp;$F1344="2",""&amp;$F1344="4",""&amp;$F1344="G",""&amp;$F1344="H"),IF($AY1344="YES","",IF($AB1344&lt;&gt;0,"",IF(COUNTIFS('AR SALES'!$L$2:$L$2501,$L1344,'AR SALES'!$AD$2:$AD$2501,IF(""&amp;$F1344="4","OFF","ON"),'AR SALES'!$AF$2:$AF$2501,"Y")&gt;0,"","NO EXEMPTION"))),"")</f>
        <v/>
      </c>
    </row>
    <row r="1345" spans="46:54" x14ac:dyDescent="0.25">
      <c r="AT1345" s="2" t="str">
        <f>IF($L1345="","",IFERROR(INDEX('AR SALES'!$H$2:$H$2501,MATCH(""&amp;$L1345,'AR SALES'!$AE$2:$AE$2501,0)),""))</f>
        <v/>
      </c>
      <c r="AU1345" s="2" t="str">
        <f t="shared" si="80"/>
        <v/>
      </c>
      <c r="AV1345" s="2" t="str">
        <f t="shared" si="81"/>
        <v/>
      </c>
      <c r="AW1345" s="2" t="str">
        <f t="shared" si="82"/>
        <v/>
      </c>
      <c r="AX1345" s="2" t="str">
        <f t="shared" si="83"/>
        <v/>
      </c>
      <c r="AY1345" s="2" t="str">
        <f>IF($AV1345="","",IF(AND($Z1345=0,COUNTIF('AR SALES'!$L$2:$L$2501,$L1345)=0),"YES",""))</f>
        <v/>
      </c>
      <c r="AZ1345" s="2" t="str">
        <f>IF($AV1345="","",IF(COUNTIF(LISTS!$C$2:$C$250,$AU1345)=0,"NEW",""))</f>
        <v/>
      </c>
      <c r="BA1345" s="2" t="str">
        <f>IF(""&amp;$F1345&lt;&gt;"4","",IF($AY1345="YES","",IF(ROUND(SUMIFS($AE$2:$AE$4001,$L$2:$L$4001,$L1345,$F$2:$F$4001,"4")-SUMIFS('AR SALES'!$Y$2:$Y$2501,'AR SALES'!$L$2:$L$2501,$L1345,'AR SALES'!$AD$2:$AD$2501,"OFF"),2)=0,"","STALE")))</f>
        <v/>
      </c>
      <c r="BB1345" s="2" t="str">
        <f>IF(OR(""&amp;$F1345="2",""&amp;$F1345="4",""&amp;$F1345="G",""&amp;$F1345="H"),IF($AY1345="YES","",IF($AB1345&lt;&gt;0,"",IF(COUNTIFS('AR SALES'!$L$2:$L$2501,$L1345,'AR SALES'!$AD$2:$AD$2501,IF(""&amp;$F1345="4","OFF","ON"),'AR SALES'!$AF$2:$AF$2501,"Y")&gt;0,"","NO EXEMPTION"))),"")</f>
        <v/>
      </c>
    </row>
    <row r="1346" spans="46:54" x14ac:dyDescent="0.25">
      <c r="AT1346" s="2" t="str">
        <f>IF($L1346="","",IFERROR(INDEX('AR SALES'!$H$2:$H$2501,MATCH(""&amp;$L1346,'AR SALES'!$AE$2:$AE$2501,0)),""))</f>
        <v/>
      </c>
      <c r="AU1346" s="2" t="str">
        <f t="shared" ref="AU1346:AU1409" si="84">IF($L1346="","",IF($A1346&lt;&gt;"GA","",IF($E1346="FULTON",IF(ISNUMBER(SEARCH("COLLEGE PARK",$AT1346)),"FULTON (COLLEGE PARK)",IF(ISNUMBER(SEARCH("ATLANTA CITY",$AT1346)),"FULTON (ATL LIMITS)","FULTON")),IF($E1346="DEKALB",IF(ISNUMBER(SEARCH("ATLANTA CITY",$AT1346)),"DEKALB (ATL LIMITS)","DEKALB"),$E1346))))</f>
        <v/>
      </c>
      <c r="AV1346" s="2" t="str">
        <f t="shared" ref="AV1346:AV1409" si="85">IF($L1346="","",IF(""&amp;$F1346="2","DIESEL",IF(OR(""&amp;$F1346="G",""&amp;$F1346="H"),"GAS","")))</f>
        <v/>
      </c>
      <c r="AW1346" s="2" t="str">
        <f t="shared" ref="AW1346:AW1409" si="86">IF($AV1346="","",$R1346)</f>
        <v/>
      </c>
      <c r="AX1346" s="2" t="str">
        <f t="shared" ref="AX1346:AX1409" si="87">IF($AV1346="","",IF($AB1346=0,$R1346,0))</f>
        <v/>
      </c>
      <c r="AY1346" s="2" t="str">
        <f>IF($AV1346="","",IF(AND($Z1346=0,COUNTIF('AR SALES'!$L$2:$L$2501,$L1346)=0),"YES",""))</f>
        <v/>
      </c>
      <c r="AZ1346" s="2" t="str">
        <f>IF($AV1346="","",IF(COUNTIF(LISTS!$C$2:$C$250,$AU1346)=0,"NEW",""))</f>
        <v/>
      </c>
      <c r="BA1346" s="2" t="str">
        <f>IF(""&amp;$F1346&lt;&gt;"4","",IF($AY1346="YES","",IF(ROUND(SUMIFS($AE$2:$AE$4001,$L$2:$L$4001,$L1346,$F$2:$F$4001,"4")-SUMIFS('AR SALES'!$Y$2:$Y$2501,'AR SALES'!$L$2:$L$2501,$L1346,'AR SALES'!$AD$2:$AD$2501,"OFF"),2)=0,"","STALE")))</f>
        <v/>
      </c>
      <c r="BB1346" s="2" t="str">
        <f>IF(OR(""&amp;$F1346="2",""&amp;$F1346="4",""&amp;$F1346="G",""&amp;$F1346="H"),IF($AY1346="YES","",IF($AB1346&lt;&gt;0,"",IF(COUNTIFS('AR SALES'!$L$2:$L$2501,$L1346,'AR SALES'!$AD$2:$AD$2501,IF(""&amp;$F1346="4","OFF","ON"),'AR SALES'!$AF$2:$AF$2501,"Y")&gt;0,"","NO EXEMPTION"))),"")</f>
        <v/>
      </c>
    </row>
    <row r="1347" spans="46:54" x14ac:dyDescent="0.25">
      <c r="AT1347" s="2" t="str">
        <f>IF($L1347="","",IFERROR(INDEX('AR SALES'!$H$2:$H$2501,MATCH(""&amp;$L1347,'AR SALES'!$AE$2:$AE$2501,0)),""))</f>
        <v/>
      </c>
      <c r="AU1347" s="2" t="str">
        <f t="shared" si="84"/>
        <v/>
      </c>
      <c r="AV1347" s="2" t="str">
        <f t="shared" si="85"/>
        <v/>
      </c>
      <c r="AW1347" s="2" t="str">
        <f t="shared" si="86"/>
        <v/>
      </c>
      <c r="AX1347" s="2" t="str">
        <f t="shared" si="87"/>
        <v/>
      </c>
      <c r="AY1347" s="2" t="str">
        <f>IF($AV1347="","",IF(AND($Z1347=0,COUNTIF('AR SALES'!$L$2:$L$2501,$L1347)=0),"YES",""))</f>
        <v/>
      </c>
      <c r="AZ1347" s="2" t="str">
        <f>IF($AV1347="","",IF(COUNTIF(LISTS!$C$2:$C$250,$AU1347)=0,"NEW",""))</f>
        <v/>
      </c>
      <c r="BA1347" s="2" t="str">
        <f>IF(""&amp;$F1347&lt;&gt;"4","",IF($AY1347="YES","",IF(ROUND(SUMIFS($AE$2:$AE$4001,$L$2:$L$4001,$L1347,$F$2:$F$4001,"4")-SUMIFS('AR SALES'!$Y$2:$Y$2501,'AR SALES'!$L$2:$L$2501,$L1347,'AR SALES'!$AD$2:$AD$2501,"OFF"),2)=0,"","STALE")))</f>
        <v/>
      </c>
      <c r="BB1347" s="2" t="str">
        <f>IF(OR(""&amp;$F1347="2",""&amp;$F1347="4",""&amp;$F1347="G",""&amp;$F1347="H"),IF($AY1347="YES","",IF($AB1347&lt;&gt;0,"",IF(COUNTIFS('AR SALES'!$L$2:$L$2501,$L1347,'AR SALES'!$AD$2:$AD$2501,IF(""&amp;$F1347="4","OFF","ON"),'AR SALES'!$AF$2:$AF$2501,"Y")&gt;0,"","NO EXEMPTION"))),"")</f>
        <v/>
      </c>
    </row>
    <row r="1348" spans="46:54" x14ac:dyDescent="0.25">
      <c r="AT1348" s="2" t="str">
        <f>IF($L1348="","",IFERROR(INDEX('AR SALES'!$H$2:$H$2501,MATCH(""&amp;$L1348,'AR SALES'!$AE$2:$AE$2501,0)),""))</f>
        <v/>
      </c>
      <c r="AU1348" s="2" t="str">
        <f t="shared" si="84"/>
        <v/>
      </c>
      <c r="AV1348" s="2" t="str">
        <f t="shared" si="85"/>
        <v/>
      </c>
      <c r="AW1348" s="2" t="str">
        <f t="shared" si="86"/>
        <v/>
      </c>
      <c r="AX1348" s="2" t="str">
        <f t="shared" si="87"/>
        <v/>
      </c>
      <c r="AY1348" s="2" t="str">
        <f>IF($AV1348="","",IF(AND($Z1348=0,COUNTIF('AR SALES'!$L$2:$L$2501,$L1348)=0),"YES",""))</f>
        <v/>
      </c>
      <c r="AZ1348" s="2" t="str">
        <f>IF($AV1348="","",IF(COUNTIF(LISTS!$C$2:$C$250,$AU1348)=0,"NEW",""))</f>
        <v/>
      </c>
      <c r="BA1348" s="2" t="str">
        <f>IF(""&amp;$F1348&lt;&gt;"4","",IF($AY1348="YES","",IF(ROUND(SUMIFS($AE$2:$AE$4001,$L$2:$L$4001,$L1348,$F$2:$F$4001,"4")-SUMIFS('AR SALES'!$Y$2:$Y$2501,'AR SALES'!$L$2:$L$2501,$L1348,'AR SALES'!$AD$2:$AD$2501,"OFF"),2)=0,"","STALE")))</f>
        <v/>
      </c>
      <c r="BB1348" s="2" t="str">
        <f>IF(OR(""&amp;$F1348="2",""&amp;$F1348="4",""&amp;$F1348="G",""&amp;$F1348="H"),IF($AY1348="YES","",IF($AB1348&lt;&gt;0,"",IF(COUNTIFS('AR SALES'!$L$2:$L$2501,$L1348,'AR SALES'!$AD$2:$AD$2501,IF(""&amp;$F1348="4","OFF","ON"),'AR SALES'!$AF$2:$AF$2501,"Y")&gt;0,"","NO EXEMPTION"))),"")</f>
        <v/>
      </c>
    </row>
    <row r="1349" spans="46:54" x14ac:dyDescent="0.25">
      <c r="AT1349" s="2" t="str">
        <f>IF($L1349="","",IFERROR(INDEX('AR SALES'!$H$2:$H$2501,MATCH(""&amp;$L1349,'AR SALES'!$AE$2:$AE$2501,0)),""))</f>
        <v/>
      </c>
      <c r="AU1349" s="2" t="str">
        <f t="shared" si="84"/>
        <v/>
      </c>
      <c r="AV1349" s="2" t="str">
        <f t="shared" si="85"/>
        <v/>
      </c>
      <c r="AW1349" s="2" t="str">
        <f t="shared" si="86"/>
        <v/>
      </c>
      <c r="AX1349" s="2" t="str">
        <f t="shared" si="87"/>
        <v/>
      </c>
      <c r="AY1349" s="2" t="str">
        <f>IF($AV1349="","",IF(AND($Z1349=0,COUNTIF('AR SALES'!$L$2:$L$2501,$L1349)=0),"YES",""))</f>
        <v/>
      </c>
      <c r="AZ1349" s="2" t="str">
        <f>IF($AV1349="","",IF(COUNTIF(LISTS!$C$2:$C$250,$AU1349)=0,"NEW",""))</f>
        <v/>
      </c>
      <c r="BA1349" s="2" t="str">
        <f>IF(""&amp;$F1349&lt;&gt;"4","",IF($AY1349="YES","",IF(ROUND(SUMIFS($AE$2:$AE$4001,$L$2:$L$4001,$L1349,$F$2:$F$4001,"4")-SUMIFS('AR SALES'!$Y$2:$Y$2501,'AR SALES'!$L$2:$L$2501,$L1349,'AR SALES'!$AD$2:$AD$2501,"OFF"),2)=0,"","STALE")))</f>
        <v/>
      </c>
      <c r="BB1349" s="2" t="str">
        <f>IF(OR(""&amp;$F1349="2",""&amp;$F1349="4",""&amp;$F1349="G",""&amp;$F1349="H"),IF($AY1349="YES","",IF($AB1349&lt;&gt;0,"",IF(COUNTIFS('AR SALES'!$L$2:$L$2501,$L1349,'AR SALES'!$AD$2:$AD$2501,IF(""&amp;$F1349="4","OFF","ON"),'AR SALES'!$AF$2:$AF$2501,"Y")&gt;0,"","NO EXEMPTION"))),"")</f>
        <v/>
      </c>
    </row>
    <row r="1350" spans="46:54" x14ac:dyDescent="0.25">
      <c r="AT1350" s="2" t="str">
        <f>IF($L1350="","",IFERROR(INDEX('AR SALES'!$H$2:$H$2501,MATCH(""&amp;$L1350,'AR SALES'!$AE$2:$AE$2501,0)),""))</f>
        <v/>
      </c>
      <c r="AU1350" s="2" t="str">
        <f t="shared" si="84"/>
        <v/>
      </c>
      <c r="AV1350" s="2" t="str">
        <f t="shared" si="85"/>
        <v/>
      </c>
      <c r="AW1350" s="2" t="str">
        <f t="shared" si="86"/>
        <v/>
      </c>
      <c r="AX1350" s="2" t="str">
        <f t="shared" si="87"/>
        <v/>
      </c>
      <c r="AY1350" s="2" t="str">
        <f>IF($AV1350="","",IF(AND($Z1350=0,COUNTIF('AR SALES'!$L$2:$L$2501,$L1350)=0),"YES",""))</f>
        <v/>
      </c>
      <c r="AZ1350" s="2" t="str">
        <f>IF($AV1350="","",IF(COUNTIF(LISTS!$C$2:$C$250,$AU1350)=0,"NEW",""))</f>
        <v/>
      </c>
      <c r="BA1350" s="2" t="str">
        <f>IF(""&amp;$F1350&lt;&gt;"4","",IF($AY1350="YES","",IF(ROUND(SUMIFS($AE$2:$AE$4001,$L$2:$L$4001,$L1350,$F$2:$F$4001,"4")-SUMIFS('AR SALES'!$Y$2:$Y$2501,'AR SALES'!$L$2:$L$2501,$L1350,'AR SALES'!$AD$2:$AD$2501,"OFF"),2)=0,"","STALE")))</f>
        <v/>
      </c>
      <c r="BB1350" s="2" t="str">
        <f>IF(OR(""&amp;$F1350="2",""&amp;$F1350="4",""&amp;$F1350="G",""&amp;$F1350="H"),IF($AY1350="YES","",IF($AB1350&lt;&gt;0,"",IF(COUNTIFS('AR SALES'!$L$2:$L$2501,$L1350,'AR SALES'!$AD$2:$AD$2501,IF(""&amp;$F1350="4","OFF","ON"),'AR SALES'!$AF$2:$AF$2501,"Y")&gt;0,"","NO EXEMPTION"))),"")</f>
        <v/>
      </c>
    </row>
    <row r="1351" spans="46:54" x14ac:dyDescent="0.25">
      <c r="AT1351" s="2" t="str">
        <f>IF($L1351="","",IFERROR(INDEX('AR SALES'!$H$2:$H$2501,MATCH(""&amp;$L1351,'AR SALES'!$AE$2:$AE$2501,0)),""))</f>
        <v/>
      </c>
      <c r="AU1351" s="2" t="str">
        <f t="shared" si="84"/>
        <v/>
      </c>
      <c r="AV1351" s="2" t="str">
        <f t="shared" si="85"/>
        <v/>
      </c>
      <c r="AW1351" s="2" t="str">
        <f t="shared" si="86"/>
        <v/>
      </c>
      <c r="AX1351" s="2" t="str">
        <f t="shared" si="87"/>
        <v/>
      </c>
      <c r="AY1351" s="2" t="str">
        <f>IF($AV1351="","",IF(AND($Z1351=0,COUNTIF('AR SALES'!$L$2:$L$2501,$L1351)=0),"YES",""))</f>
        <v/>
      </c>
      <c r="AZ1351" s="2" t="str">
        <f>IF($AV1351="","",IF(COUNTIF(LISTS!$C$2:$C$250,$AU1351)=0,"NEW",""))</f>
        <v/>
      </c>
      <c r="BA1351" s="2" t="str">
        <f>IF(""&amp;$F1351&lt;&gt;"4","",IF($AY1351="YES","",IF(ROUND(SUMIFS($AE$2:$AE$4001,$L$2:$L$4001,$L1351,$F$2:$F$4001,"4")-SUMIFS('AR SALES'!$Y$2:$Y$2501,'AR SALES'!$L$2:$L$2501,$L1351,'AR SALES'!$AD$2:$AD$2501,"OFF"),2)=0,"","STALE")))</f>
        <v/>
      </c>
      <c r="BB1351" s="2" t="str">
        <f>IF(OR(""&amp;$F1351="2",""&amp;$F1351="4",""&amp;$F1351="G",""&amp;$F1351="H"),IF($AY1351="YES","",IF($AB1351&lt;&gt;0,"",IF(COUNTIFS('AR SALES'!$L$2:$L$2501,$L1351,'AR SALES'!$AD$2:$AD$2501,IF(""&amp;$F1351="4","OFF","ON"),'AR SALES'!$AF$2:$AF$2501,"Y")&gt;0,"","NO EXEMPTION"))),"")</f>
        <v/>
      </c>
    </row>
    <row r="1352" spans="46:54" x14ac:dyDescent="0.25">
      <c r="AT1352" s="2" t="str">
        <f>IF($L1352="","",IFERROR(INDEX('AR SALES'!$H$2:$H$2501,MATCH(""&amp;$L1352,'AR SALES'!$AE$2:$AE$2501,0)),""))</f>
        <v/>
      </c>
      <c r="AU1352" s="2" t="str">
        <f t="shared" si="84"/>
        <v/>
      </c>
      <c r="AV1352" s="2" t="str">
        <f t="shared" si="85"/>
        <v/>
      </c>
      <c r="AW1352" s="2" t="str">
        <f t="shared" si="86"/>
        <v/>
      </c>
      <c r="AX1352" s="2" t="str">
        <f t="shared" si="87"/>
        <v/>
      </c>
      <c r="AY1352" s="2" t="str">
        <f>IF($AV1352="","",IF(AND($Z1352=0,COUNTIF('AR SALES'!$L$2:$L$2501,$L1352)=0),"YES",""))</f>
        <v/>
      </c>
      <c r="AZ1352" s="2" t="str">
        <f>IF($AV1352="","",IF(COUNTIF(LISTS!$C$2:$C$250,$AU1352)=0,"NEW",""))</f>
        <v/>
      </c>
      <c r="BA1352" s="2" t="str">
        <f>IF(""&amp;$F1352&lt;&gt;"4","",IF($AY1352="YES","",IF(ROUND(SUMIFS($AE$2:$AE$4001,$L$2:$L$4001,$L1352,$F$2:$F$4001,"4")-SUMIFS('AR SALES'!$Y$2:$Y$2501,'AR SALES'!$L$2:$L$2501,$L1352,'AR SALES'!$AD$2:$AD$2501,"OFF"),2)=0,"","STALE")))</f>
        <v/>
      </c>
      <c r="BB1352" s="2" t="str">
        <f>IF(OR(""&amp;$F1352="2",""&amp;$F1352="4",""&amp;$F1352="G",""&amp;$F1352="H"),IF($AY1352="YES","",IF($AB1352&lt;&gt;0,"",IF(COUNTIFS('AR SALES'!$L$2:$L$2501,$L1352,'AR SALES'!$AD$2:$AD$2501,IF(""&amp;$F1352="4","OFF","ON"),'AR SALES'!$AF$2:$AF$2501,"Y")&gt;0,"","NO EXEMPTION"))),"")</f>
        <v/>
      </c>
    </row>
    <row r="1353" spans="46:54" x14ac:dyDescent="0.25">
      <c r="AT1353" s="2" t="str">
        <f>IF($L1353="","",IFERROR(INDEX('AR SALES'!$H$2:$H$2501,MATCH(""&amp;$L1353,'AR SALES'!$AE$2:$AE$2501,0)),""))</f>
        <v/>
      </c>
      <c r="AU1353" s="2" t="str">
        <f t="shared" si="84"/>
        <v/>
      </c>
      <c r="AV1353" s="2" t="str">
        <f t="shared" si="85"/>
        <v/>
      </c>
      <c r="AW1353" s="2" t="str">
        <f t="shared" si="86"/>
        <v/>
      </c>
      <c r="AX1353" s="2" t="str">
        <f t="shared" si="87"/>
        <v/>
      </c>
      <c r="AY1353" s="2" t="str">
        <f>IF($AV1353="","",IF(AND($Z1353=0,COUNTIF('AR SALES'!$L$2:$L$2501,$L1353)=0),"YES",""))</f>
        <v/>
      </c>
      <c r="AZ1353" s="2" t="str">
        <f>IF($AV1353="","",IF(COUNTIF(LISTS!$C$2:$C$250,$AU1353)=0,"NEW",""))</f>
        <v/>
      </c>
      <c r="BA1353" s="2" t="str">
        <f>IF(""&amp;$F1353&lt;&gt;"4","",IF($AY1353="YES","",IF(ROUND(SUMIFS($AE$2:$AE$4001,$L$2:$L$4001,$L1353,$F$2:$F$4001,"4")-SUMIFS('AR SALES'!$Y$2:$Y$2501,'AR SALES'!$L$2:$L$2501,$L1353,'AR SALES'!$AD$2:$AD$2501,"OFF"),2)=0,"","STALE")))</f>
        <v/>
      </c>
      <c r="BB1353" s="2" t="str">
        <f>IF(OR(""&amp;$F1353="2",""&amp;$F1353="4",""&amp;$F1353="G",""&amp;$F1353="H"),IF($AY1353="YES","",IF($AB1353&lt;&gt;0,"",IF(COUNTIFS('AR SALES'!$L$2:$L$2501,$L1353,'AR SALES'!$AD$2:$AD$2501,IF(""&amp;$F1353="4","OFF","ON"),'AR SALES'!$AF$2:$AF$2501,"Y")&gt;0,"","NO EXEMPTION"))),"")</f>
        <v/>
      </c>
    </row>
    <row r="1354" spans="46:54" x14ac:dyDescent="0.25">
      <c r="AT1354" s="2" t="str">
        <f>IF($L1354="","",IFERROR(INDEX('AR SALES'!$H$2:$H$2501,MATCH(""&amp;$L1354,'AR SALES'!$AE$2:$AE$2501,0)),""))</f>
        <v/>
      </c>
      <c r="AU1354" s="2" t="str">
        <f t="shared" si="84"/>
        <v/>
      </c>
      <c r="AV1354" s="2" t="str">
        <f t="shared" si="85"/>
        <v/>
      </c>
      <c r="AW1354" s="2" t="str">
        <f t="shared" si="86"/>
        <v/>
      </c>
      <c r="AX1354" s="2" t="str">
        <f t="shared" si="87"/>
        <v/>
      </c>
      <c r="AY1354" s="2" t="str">
        <f>IF($AV1354="","",IF(AND($Z1354=0,COUNTIF('AR SALES'!$L$2:$L$2501,$L1354)=0),"YES",""))</f>
        <v/>
      </c>
      <c r="AZ1354" s="2" t="str">
        <f>IF($AV1354="","",IF(COUNTIF(LISTS!$C$2:$C$250,$AU1354)=0,"NEW",""))</f>
        <v/>
      </c>
      <c r="BA1354" s="2" t="str">
        <f>IF(""&amp;$F1354&lt;&gt;"4","",IF($AY1354="YES","",IF(ROUND(SUMIFS($AE$2:$AE$4001,$L$2:$L$4001,$L1354,$F$2:$F$4001,"4")-SUMIFS('AR SALES'!$Y$2:$Y$2501,'AR SALES'!$L$2:$L$2501,$L1354,'AR SALES'!$AD$2:$AD$2501,"OFF"),2)=0,"","STALE")))</f>
        <v/>
      </c>
      <c r="BB1354" s="2" t="str">
        <f>IF(OR(""&amp;$F1354="2",""&amp;$F1354="4",""&amp;$F1354="G",""&amp;$F1354="H"),IF($AY1354="YES","",IF($AB1354&lt;&gt;0,"",IF(COUNTIFS('AR SALES'!$L$2:$L$2501,$L1354,'AR SALES'!$AD$2:$AD$2501,IF(""&amp;$F1354="4","OFF","ON"),'AR SALES'!$AF$2:$AF$2501,"Y")&gt;0,"","NO EXEMPTION"))),"")</f>
        <v/>
      </c>
    </row>
    <row r="1355" spans="46:54" x14ac:dyDescent="0.25">
      <c r="AT1355" s="2" t="str">
        <f>IF($L1355="","",IFERROR(INDEX('AR SALES'!$H$2:$H$2501,MATCH(""&amp;$L1355,'AR SALES'!$AE$2:$AE$2501,0)),""))</f>
        <v/>
      </c>
      <c r="AU1355" s="2" t="str">
        <f t="shared" si="84"/>
        <v/>
      </c>
      <c r="AV1355" s="2" t="str">
        <f t="shared" si="85"/>
        <v/>
      </c>
      <c r="AW1355" s="2" t="str">
        <f t="shared" si="86"/>
        <v/>
      </c>
      <c r="AX1355" s="2" t="str">
        <f t="shared" si="87"/>
        <v/>
      </c>
      <c r="AY1355" s="2" t="str">
        <f>IF($AV1355="","",IF(AND($Z1355=0,COUNTIF('AR SALES'!$L$2:$L$2501,$L1355)=0),"YES",""))</f>
        <v/>
      </c>
      <c r="AZ1355" s="2" t="str">
        <f>IF($AV1355="","",IF(COUNTIF(LISTS!$C$2:$C$250,$AU1355)=0,"NEW",""))</f>
        <v/>
      </c>
      <c r="BA1355" s="2" t="str">
        <f>IF(""&amp;$F1355&lt;&gt;"4","",IF($AY1355="YES","",IF(ROUND(SUMIFS($AE$2:$AE$4001,$L$2:$L$4001,$L1355,$F$2:$F$4001,"4")-SUMIFS('AR SALES'!$Y$2:$Y$2501,'AR SALES'!$L$2:$L$2501,$L1355,'AR SALES'!$AD$2:$AD$2501,"OFF"),2)=0,"","STALE")))</f>
        <v/>
      </c>
      <c r="BB1355" s="2" t="str">
        <f>IF(OR(""&amp;$F1355="2",""&amp;$F1355="4",""&amp;$F1355="G",""&amp;$F1355="H"),IF($AY1355="YES","",IF($AB1355&lt;&gt;0,"",IF(COUNTIFS('AR SALES'!$L$2:$L$2501,$L1355,'AR SALES'!$AD$2:$AD$2501,IF(""&amp;$F1355="4","OFF","ON"),'AR SALES'!$AF$2:$AF$2501,"Y")&gt;0,"","NO EXEMPTION"))),"")</f>
        <v/>
      </c>
    </row>
    <row r="1356" spans="46:54" x14ac:dyDescent="0.25">
      <c r="AT1356" s="2" t="str">
        <f>IF($L1356="","",IFERROR(INDEX('AR SALES'!$H$2:$H$2501,MATCH(""&amp;$L1356,'AR SALES'!$AE$2:$AE$2501,0)),""))</f>
        <v/>
      </c>
      <c r="AU1356" s="2" t="str">
        <f t="shared" si="84"/>
        <v/>
      </c>
      <c r="AV1356" s="2" t="str">
        <f t="shared" si="85"/>
        <v/>
      </c>
      <c r="AW1356" s="2" t="str">
        <f t="shared" si="86"/>
        <v/>
      </c>
      <c r="AX1356" s="2" t="str">
        <f t="shared" si="87"/>
        <v/>
      </c>
      <c r="AY1356" s="2" t="str">
        <f>IF($AV1356="","",IF(AND($Z1356=0,COUNTIF('AR SALES'!$L$2:$L$2501,$L1356)=0),"YES",""))</f>
        <v/>
      </c>
      <c r="AZ1356" s="2" t="str">
        <f>IF($AV1356="","",IF(COUNTIF(LISTS!$C$2:$C$250,$AU1356)=0,"NEW",""))</f>
        <v/>
      </c>
      <c r="BA1356" s="2" t="str">
        <f>IF(""&amp;$F1356&lt;&gt;"4","",IF($AY1356="YES","",IF(ROUND(SUMIFS($AE$2:$AE$4001,$L$2:$L$4001,$L1356,$F$2:$F$4001,"4")-SUMIFS('AR SALES'!$Y$2:$Y$2501,'AR SALES'!$L$2:$L$2501,$L1356,'AR SALES'!$AD$2:$AD$2501,"OFF"),2)=0,"","STALE")))</f>
        <v/>
      </c>
      <c r="BB1356" s="2" t="str">
        <f>IF(OR(""&amp;$F1356="2",""&amp;$F1356="4",""&amp;$F1356="G",""&amp;$F1356="H"),IF($AY1356="YES","",IF($AB1356&lt;&gt;0,"",IF(COUNTIFS('AR SALES'!$L$2:$L$2501,$L1356,'AR SALES'!$AD$2:$AD$2501,IF(""&amp;$F1356="4","OFF","ON"),'AR SALES'!$AF$2:$AF$2501,"Y")&gt;0,"","NO EXEMPTION"))),"")</f>
        <v/>
      </c>
    </row>
    <row r="1357" spans="46:54" x14ac:dyDescent="0.25">
      <c r="AT1357" s="2" t="str">
        <f>IF($L1357="","",IFERROR(INDEX('AR SALES'!$H$2:$H$2501,MATCH(""&amp;$L1357,'AR SALES'!$AE$2:$AE$2501,0)),""))</f>
        <v/>
      </c>
      <c r="AU1357" s="2" t="str">
        <f t="shared" si="84"/>
        <v/>
      </c>
      <c r="AV1357" s="2" t="str">
        <f t="shared" si="85"/>
        <v/>
      </c>
      <c r="AW1357" s="2" t="str">
        <f t="shared" si="86"/>
        <v/>
      </c>
      <c r="AX1357" s="2" t="str">
        <f t="shared" si="87"/>
        <v/>
      </c>
      <c r="AY1357" s="2" t="str">
        <f>IF($AV1357="","",IF(AND($Z1357=0,COUNTIF('AR SALES'!$L$2:$L$2501,$L1357)=0),"YES",""))</f>
        <v/>
      </c>
      <c r="AZ1357" s="2" t="str">
        <f>IF($AV1357="","",IF(COUNTIF(LISTS!$C$2:$C$250,$AU1357)=0,"NEW",""))</f>
        <v/>
      </c>
      <c r="BA1357" s="2" t="str">
        <f>IF(""&amp;$F1357&lt;&gt;"4","",IF($AY1357="YES","",IF(ROUND(SUMIFS($AE$2:$AE$4001,$L$2:$L$4001,$L1357,$F$2:$F$4001,"4")-SUMIFS('AR SALES'!$Y$2:$Y$2501,'AR SALES'!$L$2:$L$2501,$L1357,'AR SALES'!$AD$2:$AD$2501,"OFF"),2)=0,"","STALE")))</f>
        <v/>
      </c>
      <c r="BB1357" s="2" t="str">
        <f>IF(OR(""&amp;$F1357="2",""&amp;$F1357="4",""&amp;$F1357="G",""&amp;$F1357="H"),IF($AY1357="YES","",IF($AB1357&lt;&gt;0,"",IF(COUNTIFS('AR SALES'!$L$2:$L$2501,$L1357,'AR SALES'!$AD$2:$AD$2501,IF(""&amp;$F1357="4","OFF","ON"),'AR SALES'!$AF$2:$AF$2501,"Y")&gt;0,"","NO EXEMPTION"))),"")</f>
        <v/>
      </c>
    </row>
    <row r="1358" spans="46:54" x14ac:dyDescent="0.25">
      <c r="AT1358" s="2" t="str">
        <f>IF($L1358="","",IFERROR(INDEX('AR SALES'!$H$2:$H$2501,MATCH(""&amp;$L1358,'AR SALES'!$AE$2:$AE$2501,0)),""))</f>
        <v/>
      </c>
      <c r="AU1358" s="2" t="str">
        <f t="shared" si="84"/>
        <v/>
      </c>
      <c r="AV1358" s="2" t="str">
        <f t="shared" si="85"/>
        <v/>
      </c>
      <c r="AW1358" s="2" t="str">
        <f t="shared" si="86"/>
        <v/>
      </c>
      <c r="AX1358" s="2" t="str">
        <f t="shared" si="87"/>
        <v/>
      </c>
      <c r="AY1358" s="2" t="str">
        <f>IF($AV1358="","",IF(AND($Z1358=0,COUNTIF('AR SALES'!$L$2:$L$2501,$L1358)=0),"YES",""))</f>
        <v/>
      </c>
      <c r="AZ1358" s="2" t="str">
        <f>IF($AV1358="","",IF(COUNTIF(LISTS!$C$2:$C$250,$AU1358)=0,"NEW",""))</f>
        <v/>
      </c>
      <c r="BA1358" s="2" t="str">
        <f>IF(""&amp;$F1358&lt;&gt;"4","",IF($AY1358="YES","",IF(ROUND(SUMIFS($AE$2:$AE$4001,$L$2:$L$4001,$L1358,$F$2:$F$4001,"4")-SUMIFS('AR SALES'!$Y$2:$Y$2501,'AR SALES'!$L$2:$L$2501,$L1358,'AR SALES'!$AD$2:$AD$2501,"OFF"),2)=0,"","STALE")))</f>
        <v/>
      </c>
      <c r="BB1358" s="2" t="str">
        <f>IF(OR(""&amp;$F1358="2",""&amp;$F1358="4",""&amp;$F1358="G",""&amp;$F1358="H"),IF($AY1358="YES","",IF($AB1358&lt;&gt;0,"",IF(COUNTIFS('AR SALES'!$L$2:$L$2501,$L1358,'AR SALES'!$AD$2:$AD$2501,IF(""&amp;$F1358="4","OFF","ON"),'AR SALES'!$AF$2:$AF$2501,"Y")&gt;0,"","NO EXEMPTION"))),"")</f>
        <v/>
      </c>
    </row>
    <row r="1359" spans="46:54" x14ac:dyDescent="0.25">
      <c r="AT1359" s="2" t="str">
        <f>IF($L1359="","",IFERROR(INDEX('AR SALES'!$H$2:$H$2501,MATCH(""&amp;$L1359,'AR SALES'!$AE$2:$AE$2501,0)),""))</f>
        <v/>
      </c>
      <c r="AU1359" s="2" t="str">
        <f t="shared" si="84"/>
        <v/>
      </c>
      <c r="AV1359" s="2" t="str">
        <f t="shared" si="85"/>
        <v/>
      </c>
      <c r="AW1359" s="2" t="str">
        <f t="shared" si="86"/>
        <v/>
      </c>
      <c r="AX1359" s="2" t="str">
        <f t="shared" si="87"/>
        <v/>
      </c>
      <c r="AY1359" s="2" t="str">
        <f>IF($AV1359="","",IF(AND($Z1359=0,COUNTIF('AR SALES'!$L$2:$L$2501,$L1359)=0),"YES",""))</f>
        <v/>
      </c>
      <c r="AZ1359" s="2" t="str">
        <f>IF($AV1359="","",IF(COUNTIF(LISTS!$C$2:$C$250,$AU1359)=0,"NEW",""))</f>
        <v/>
      </c>
      <c r="BA1359" s="2" t="str">
        <f>IF(""&amp;$F1359&lt;&gt;"4","",IF($AY1359="YES","",IF(ROUND(SUMIFS($AE$2:$AE$4001,$L$2:$L$4001,$L1359,$F$2:$F$4001,"4")-SUMIFS('AR SALES'!$Y$2:$Y$2501,'AR SALES'!$L$2:$L$2501,$L1359,'AR SALES'!$AD$2:$AD$2501,"OFF"),2)=0,"","STALE")))</f>
        <v/>
      </c>
      <c r="BB1359" s="2" t="str">
        <f>IF(OR(""&amp;$F1359="2",""&amp;$F1359="4",""&amp;$F1359="G",""&amp;$F1359="H"),IF($AY1359="YES","",IF($AB1359&lt;&gt;0,"",IF(COUNTIFS('AR SALES'!$L$2:$L$2501,$L1359,'AR SALES'!$AD$2:$AD$2501,IF(""&amp;$F1359="4","OFF","ON"),'AR SALES'!$AF$2:$AF$2501,"Y")&gt;0,"","NO EXEMPTION"))),"")</f>
        <v/>
      </c>
    </row>
    <row r="1360" spans="46:54" x14ac:dyDescent="0.25">
      <c r="AT1360" s="2" t="str">
        <f>IF($L1360="","",IFERROR(INDEX('AR SALES'!$H$2:$H$2501,MATCH(""&amp;$L1360,'AR SALES'!$AE$2:$AE$2501,0)),""))</f>
        <v/>
      </c>
      <c r="AU1360" s="2" t="str">
        <f t="shared" si="84"/>
        <v/>
      </c>
      <c r="AV1360" s="2" t="str">
        <f t="shared" si="85"/>
        <v/>
      </c>
      <c r="AW1360" s="2" t="str">
        <f t="shared" si="86"/>
        <v/>
      </c>
      <c r="AX1360" s="2" t="str">
        <f t="shared" si="87"/>
        <v/>
      </c>
      <c r="AY1360" s="2" t="str">
        <f>IF($AV1360="","",IF(AND($Z1360=0,COUNTIF('AR SALES'!$L$2:$L$2501,$L1360)=0),"YES",""))</f>
        <v/>
      </c>
      <c r="AZ1360" s="2" t="str">
        <f>IF($AV1360="","",IF(COUNTIF(LISTS!$C$2:$C$250,$AU1360)=0,"NEW",""))</f>
        <v/>
      </c>
      <c r="BA1360" s="2" t="str">
        <f>IF(""&amp;$F1360&lt;&gt;"4","",IF($AY1360="YES","",IF(ROUND(SUMIFS($AE$2:$AE$4001,$L$2:$L$4001,$L1360,$F$2:$F$4001,"4")-SUMIFS('AR SALES'!$Y$2:$Y$2501,'AR SALES'!$L$2:$L$2501,$L1360,'AR SALES'!$AD$2:$AD$2501,"OFF"),2)=0,"","STALE")))</f>
        <v/>
      </c>
      <c r="BB1360" s="2" t="str">
        <f>IF(OR(""&amp;$F1360="2",""&amp;$F1360="4",""&amp;$F1360="G",""&amp;$F1360="H"),IF($AY1360="YES","",IF($AB1360&lt;&gt;0,"",IF(COUNTIFS('AR SALES'!$L$2:$L$2501,$L1360,'AR SALES'!$AD$2:$AD$2501,IF(""&amp;$F1360="4","OFF","ON"),'AR SALES'!$AF$2:$AF$2501,"Y")&gt;0,"","NO EXEMPTION"))),"")</f>
        <v/>
      </c>
    </row>
    <row r="1361" spans="46:54" x14ac:dyDescent="0.25">
      <c r="AT1361" s="2" t="str">
        <f>IF($L1361="","",IFERROR(INDEX('AR SALES'!$H$2:$H$2501,MATCH(""&amp;$L1361,'AR SALES'!$AE$2:$AE$2501,0)),""))</f>
        <v/>
      </c>
      <c r="AU1361" s="2" t="str">
        <f t="shared" si="84"/>
        <v/>
      </c>
      <c r="AV1361" s="2" t="str">
        <f t="shared" si="85"/>
        <v/>
      </c>
      <c r="AW1361" s="2" t="str">
        <f t="shared" si="86"/>
        <v/>
      </c>
      <c r="AX1361" s="2" t="str">
        <f t="shared" si="87"/>
        <v/>
      </c>
      <c r="AY1361" s="2" t="str">
        <f>IF($AV1361="","",IF(AND($Z1361=0,COUNTIF('AR SALES'!$L$2:$L$2501,$L1361)=0),"YES",""))</f>
        <v/>
      </c>
      <c r="AZ1361" s="2" t="str">
        <f>IF($AV1361="","",IF(COUNTIF(LISTS!$C$2:$C$250,$AU1361)=0,"NEW",""))</f>
        <v/>
      </c>
      <c r="BA1361" s="2" t="str">
        <f>IF(""&amp;$F1361&lt;&gt;"4","",IF($AY1361="YES","",IF(ROUND(SUMIFS($AE$2:$AE$4001,$L$2:$L$4001,$L1361,$F$2:$F$4001,"4")-SUMIFS('AR SALES'!$Y$2:$Y$2501,'AR SALES'!$L$2:$L$2501,$L1361,'AR SALES'!$AD$2:$AD$2501,"OFF"),2)=0,"","STALE")))</f>
        <v/>
      </c>
      <c r="BB1361" s="2" t="str">
        <f>IF(OR(""&amp;$F1361="2",""&amp;$F1361="4",""&amp;$F1361="G",""&amp;$F1361="H"),IF($AY1361="YES","",IF($AB1361&lt;&gt;0,"",IF(COUNTIFS('AR SALES'!$L$2:$L$2501,$L1361,'AR SALES'!$AD$2:$AD$2501,IF(""&amp;$F1361="4","OFF","ON"),'AR SALES'!$AF$2:$AF$2501,"Y")&gt;0,"","NO EXEMPTION"))),"")</f>
        <v/>
      </c>
    </row>
    <row r="1362" spans="46:54" x14ac:dyDescent="0.25">
      <c r="AT1362" s="2" t="str">
        <f>IF($L1362="","",IFERROR(INDEX('AR SALES'!$H$2:$H$2501,MATCH(""&amp;$L1362,'AR SALES'!$AE$2:$AE$2501,0)),""))</f>
        <v/>
      </c>
      <c r="AU1362" s="2" t="str">
        <f t="shared" si="84"/>
        <v/>
      </c>
      <c r="AV1362" s="2" t="str">
        <f t="shared" si="85"/>
        <v/>
      </c>
      <c r="AW1362" s="2" t="str">
        <f t="shared" si="86"/>
        <v/>
      </c>
      <c r="AX1362" s="2" t="str">
        <f t="shared" si="87"/>
        <v/>
      </c>
      <c r="AY1362" s="2" t="str">
        <f>IF($AV1362="","",IF(AND($Z1362=0,COUNTIF('AR SALES'!$L$2:$L$2501,$L1362)=0),"YES",""))</f>
        <v/>
      </c>
      <c r="AZ1362" s="2" t="str">
        <f>IF($AV1362="","",IF(COUNTIF(LISTS!$C$2:$C$250,$AU1362)=0,"NEW",""))</f>
        <v/>
      </c>
      <c r="BA1362" s="2" t="str">
        <f>IF(""&amp;$F1362&lt;&gt;"4","",IF($AY1362="YES","",IF(ROUND(SUMIFS($AE$2:$AE$4001,$L$2:$L$4001,$L1362,$F$2:$F$4001,"4")-SUMIFS('AR SALES'!$Y$2:$Y$2501,'AR SALES'!$L$2:$L$2501,$L1362,'AR SALES'!$AD$2:$AD$2501,"OFF"),2)=0,"","STALE")))</f>
        <v/>
      </c>
      <c r="BB1362" s="2" t="str">
        <f>IF(OR(""&amp;$F1362="2",""&amp;$F1362="4",""&amp;$F1362="G",""&amp;$F1362="H"),IF($AY1362="YES","",IF($AB1362&lt;&gt;0,"",IF(COUNTIFS('AR SALES'!$L$2:$L$2501,$L1362,'AR SALES'!$AD$2:$AD$2501,IF(""&amp;$F1362="4","OFF","ON"),'AR SALES'!$AF$2:$AF$2501,"Y")&gt;0,"","NO EXEMPTION"))),"")</f>
        <v/>
      </c>
    </row>
    <row r="1363" spans="46:54" x14ac:dyDescent="0.25">
      <c r="AT1363" s="2" t="str">
        <f>IF($L1363="","",IFERROR(INDEX('AR SALES'!$H$2:$H$2501,MATCH(""&amp;$L1363,'AR SALES'!$AE$2:$AE$2501,0)),""))</f>
        <v/>
      </c>
      <c r="AU1363" s="2" t="str">
        <f t="shared" si="84"/>
        <v/>
      </c>
      <c r="AV1363" s="2" t="str">
        <f t="shared" si="85"/>
        <v/>
      </c>
      <c r="AW1363" s="2" t="str">
        <f t="shared" si="86"/>
        <v/>
      </c>
      <c r="AX1363" s="2" t="str">
        <f t="shared" si="87"/>
        <v/>
      </c>
      <c r="AY1363" s="2" t="str">
        <f>IF($AV1363="","",IF(AND($Z1363=0,COUNTIF('AR SALES'!$L$2:$L$2501,$L1363)=0),"YES",""))</f>
        <v/>
      </c>
      <c r="AZ1363" s="2" t="str">
        <f>IF($AV1363="","",IF(COUNTIF(LISTS!$C$2:$C$250,$AU1363)=0,"NEW",""))</f>
        <v/>
      </c>
      <c r="BA1363" s="2" t="str">
        <f>IF(""&amp;$F1363&lt;&gt;"4","",IF($AY1363="YES","",IF(ROUND(SUMIFS($AE$2:$AE$4001,$L$2:$L$4001,$L1363,$F$2:$F$4001,"4")-SUMIFS('AR SALES'!$Y$2:$Y$2501,'AR SALES'!$L$2:$L$2501,$L1363,'AR SALES'!$AD$2:$AD$2501,"OFF"),2)=0,"","STALE")))</f>
        <v/>
      </c>
      <c r="BB1363" s="2" t="str">
        <f>IF(OR(""&amp;$F1363="2",""&amp;$F1363="4",""&amp;$F1363="G",""&amp;$F1363="H"),IF($AY1363="YES","",IF($AB1363&lt;&gt;0,"",IF(COUNTIFS('AR SALES'!$L$2:$L$2501,$L1363,'AR SALES'!$AD$2:$AD$2501,IF(""&amp;$F1363="4","OFF","ON"),'AR SALES'!$AF$2:$AF$2501,"Y")&gt;0,"","NO EXEMPTION"))),"")</f>
        <v/>
      </c>
    </row>
    <row r="1364" spans="46:54" x14ac:dyDescent="0.25">
      <c r="AT1364" s="2" t="str">
        <f>IF($L1364="","",IFERROR(INDEX('AR SALES'!$H$2:$H$2501,MATCH(""&amp;$L1364,'AR SALES'!$AE$2:$AE$2501,0)),""))</f>
        <v/>
      </c>
      <c r="AU1364" s="2" t="str">
        <f t="shared" si="84"/>
        <v/>
      </c>
      <c r="AV1364" s="2" t="str">
        <f t="shared" si="85"/>
        <v/>
      </c>
      <c r="AW1364" s="2" t="str">
        <f t="shared" si="86"/>
        <v/>
      </c>
      <c r="AX1364" s="2" t="str">
        <f t="shared" si="87"/>
        <v/>
      </c>
      <c r="AY1364" s="2" t="str">
        <f>IF($AV1364="","",IF(AND($Z1364=0,COUNTIF('AR SALES'!$L$2:$L$2501,$L1364)=0),"YES",""))</f>
        <v/>
      </c>
      <c r="AZ1364" s="2" t="str">
        <f>IF($AV1364="","",IF(COUNTIF(LISTS!$C$2:$C$250,$AU1364)=0,"NEW",""))</f>
        <v/>
      </c>
      <c r="BA1364" s="2" t="str">
        <f>IF(""&amp;$F1364&lt;&gt;"4","",IF($AY1364="YES","",IF(ROUND(SUMIFS($AE$2:$AE$4001,$L$2:$L$4001,$L1364,$F$2:$F$4001,"4")-SUMIFS('AR SALES'!$Y$2:$Y$2501,'AR SALES'!$L$2:$L$2501,$L1364,'AR SALES'!$AD$2:$AD$2501,"OFF"),2)=0,"","STALE")))</f>
        <v/>
      </c>
      <c r="BB1364" s="2" t="str">
        <f>IF(OR(""&amp;$F1364="2",""&amp;$F1364="4",""&amp;$F1364="G",""&amp;$F1364="H"),IF($AY1364="YES","",IF($AB1364&lt;&gt;0,"",IF(COUNTIFS('AR SALES'!$L$2:$L$2501,$L1364,'AR SALES'!$AD$2:$AD$2501,IF(""&amp;$F1364="4","OFF","ON"),'AR SALES'!$AF$2:$AF$2501,"Y")&gt;0,"","NO EXEMPTION"))),"")</f>
        <v/>
      </c>
    </row>
    <row r="1365" spans="46:54" x14ac:dyDescent="0.25">
      <c r="AT1365" s="2" t="str">
        <f>IF($L1365="","",IFERROR(INDEX('AR SALES'!$H$2:$H$2501,MATCH(""&amp;$L1365,'AR SALES'!$AE$2:$AE$2501,0)),""))</f>
        <v/>
      </c>
      <c r="AU1365" s="2" t="str">
        <f t="shared" si="84"/>
        <v/>
      </c>
      <c r="AV1365" s="2" t="str">
        <f t="shared" si="85"/>
        <v/>
      </c>
      <c r="AW1365" s="2" t="str">
        <f t="shared" si="86"/>
        <v/>
      </c>
      <c r="AX1365" s="2" t="str">
        <f t="shared" si="87"/>
        <v/>
      </c>
      <c r="AY1365" s="2" t="str">
        <f>IF($AV1365="","",IF(AND($Z1365=0,COUNTIF('AR SALES'!$L$2:$L$2501,$L1365)=0),"YES",""))</f>
        <v/>
      </c>
      <c r="AZ1365" s="2" t="str">
        <f>IF($AV1365="","",IF(COUNTIF(LISTS!$C$2:$C$250,$AU1365)=0,"NEW",""))</f>
        <v/>
      </c>
      <c r="BA1365" s="2" t="str">
        <f>IF(""&amp;$F1365&lt;&gt;"4","",IF($AY1365="YES","",IF(ROUND(SUMIFS($AE$2:$AE$4001,$L$2:$L$4001,$L1365,$F$2:$F$4001,"4")-SUMIFS('AR SALES'!$Y$2:$Y$2501,'AR SALES'!$L$2:$L$2501,$L1365,'AR SALES'!$AD$2:$AD$2501,"OFF"),2)=0,"","STALE")))</f>
        <v/>
      </c>
      <c r="BB1365" s="2" t="str">
        <f>IF(OR(""&amp;$F1365="2",""&amp;$F1365="4",""&amp;$F1365="G",""&amp;$F1365="H"),IF($AY1365="YES","",IF($AB1365&lt;&gt;0,"",IF(COUNTIFS('AR SALES'!$L$2:$L$2501,$L1365,'AR SALES'!$AD$2:$AD$2501,IF(""&amp;$F1365="4","OFF","ON"),'AR SALES'!$AF$2:$AF$2501,"Y")&gt;0,"","NO EXEMPTION"))),"")</f>
        <v/>
      </c>
    </row>
    <row r="1366" spans="46:54" x14ac:dyDescent="0.25">
      <c r="AT1366" s="2" t="str">
        <f>IF($L1366="","",IFERROR(INDEX('AR SALES'!$H$2:$H$2501,MATCH(""&amp;$L1366,'AR SALES'!$AE$2:$AE$2501,0)),""))</f>
        <v/>
      </c>
      <c r="AU1366" s="2" t="str">
        <f t="shared" si="84"/>
        <v/>
      </c>
      <c r="AV1366" s="2" t="str">
        <f t="shared" si="85"/>
        <v/>
      </c>
      <c r="AW1366" s="2" t="str">
        <f t="shared" si="86"/>
        <v/>
      </c>
      <c r="AX1366" s="2" t="str">
        <f t="shared" si="87"/>
        <v/>
      </c>
      <c r="AY1366" s="2" t="str">
        <f>IF($AV1366="","",IF(AND($Z1366=0,COUNTIF('AR SALES'!$L$2:$L$2501,$L1366)=0),"YES",""))</f>
        <v/>
      </c>
      <c r="AZ1366" s="2" t="str">
        <f>IF($AV1366="","",IF(COUNTIF(LISTS!$C$2:$C$250,$AU1366)=0,"NEW",""))</f>
        <v/>
      </c>
      <c r="BA1366" s="2" t="str">
        <f>IF(""&amp;$F1366&lt;&gt;"4","",IF($AY1366="YES","",IF(ROUND(SUMIFS($AE$2:$AE$4001,$L$2:$L$4001,$L1366,$F$2:$F$4001,"4")-SUMIFS('AR SALES'!$Y$2:$Y$2501,'AR SALES'!$L$2:$L$2501,$L1366,'AR SALES'!$AD$2:$AD$2501,"OFF"),2)=0,"","STALE")))</f>
        <v/>
      </c>
      <c r="BB1366" s="2" t="str">
        <f>IF(OR(""&amp;$F1366="2",""&amp;$F1366="4",""&amp;$F1366="G",""&amp;$F1366="H"),IF($AY1366="YES","",IF($AB1366&lt;&gt;0,"",IF(COUNTIFS('AR SALES'!$L$2:$L$2501,$L1366,'AR SALES'!$AD$2:$AD$2501,IF(""&amp;$F1366="4","OFF","ON"),'AR SALES'!$AF$2:$AF$2501,"Y")&gt;0,"","NO EXEMPTION"))),"")</f>
        <v/>
      </c>
    </row>
    <row r="1367" spans="46:54" x14ac:dyDescent="0.25">
      <c r="AT1367" s="2" t="str">
        <f>IF($L1367="","",IFERROR(INDEX('AR SALES'!$H$2:$H$2501,MATCH(""&amp;$L1367,'AR SALES'!$AE$2:$AE$2501,0)),""))</f>
        <v/>
      </c>
      <c r="AU1367" s="2" t="str">
        <f t="shared" si="84"/>
        <v/>
      </c>
      <c r="AV1367" s="2" t="str">
        <f t="shared" si="85"/>
        <v/>
      </c>
      <c r="AW1367" s="2" t="str">
        <f t="shared" si="86"/>
        <v/>
      </c>
      <c r="AX1367" s="2" t="str">
        <f t="shared" si="87"/>
        <v/>
      </c>
      <c r="AY1367" s="2" t="str">
        <f>IF($AV1367="","",IF(AND($Z1367=0,COUNTIF('AR SALES'!$L$2:$L$2501,$L1367)=0),"YES",""))</f>
        <v/>
      </c>
      <c r="AZ1367" s="2" t="str">
        <f>IF($AV1367="","",IF(COUNTIF(LISTS!$C$2:$C$250,$AU1367)=0,"NEW",""))</f>
        <v/>
      </c>
      <c r="BA1367" s="2" t="str">
        <f>IF(""&amp;$F1367&lt;&gt;"4","",IF($AY1367="YES","",IF(ROUND(SUMIFS($AE$2:$AE$4001,$L$2:$L$4001,$L1367,$F$2:$F$4001,"4")-SUMIFS('AR SALES'!$Y$2:$Y$2501,'AR SALES'!$L$2:$L$2501,$L1367,'AR SALES'!$AD$2:$AD$2501,"OFF"),2)=0,"","STALE")))</f>
        <v/>
      </c>
      <c r="BB1367" s="2" t="str">
        <f>IF(OR(""&amp;$F1367="2",""&amp;$F1367="4",""&amp;$F1367="G",""&amp;$F1367="H"),IF($AY1367="YES","",IF($AB1367&lt;&gt;0,"",IF(COUNTIFS('AR SALES'!$L$2:$L$2501,$L1367,'AR SALES'!$AD$2:$AD$2501,IF(""&amp;$F1367="4","OFF","ON"),'AR SALES'!$AF$2:$AF$2501,"Y")&gt;0,"","NO EXEMPTION"))),"")</f>
        <v/>
      </c>
    </row>
    <row r="1368" spans="46:54" x14ac:dyDescent="0.25">
      <c r="AT1368" s="2" t="str">
        <f>IF($L1368="","",IFERROR(INDEX('AR SALES'!$H$2:$H$2501,MATCH(""&amp;$L1368,'AR SALES'!$AE$2:$AE$2501,0)),""))</f>
        <v/>
      </c>
      <c r="AU1368" s="2" t="str">
        <f t="shared" si="84"/>
        <v/>
      </c>
      <c r="AV1368" s="2" t="str">
        <f t="shared" si="85"/>
        <v/>
      </c>
      <c r="AW1368" s="2" t="str">
        <f t="shared" si="86"/>
        <v/>
      </c>
      <c r="AX1368" s="2" t="str">
        <f t="shared" si="87"/>
        <v/>
      </c>
      <c r="AY1368" s="2" t="str">
        <f>IF($AV1368="","",IF(AND($Z1368=0,COUNTIF('AR SALES'!$L$2:$L$2501,$L1368)=0),"YES",""))</f>
        <v/>
      </c>
      <c r="AZ1368" s="2" t="str">
        <f>IF($AV1368="","",IF(COUNTIF(LISTS!$C$2:$C$250,$AU1368)=0,"NEW",""))</f>
        <v/>
      </c>
      <c r="BA1368" s="2" t="str">
        <f>IF(""&amp;$F1368&lt;&gt;"4","",IF($AY1368="YES","",IF(ROUND(SUMIFS($AE$2:$AE$4001,$L$2:$L$4001,$L1368,$F$2:$F$4001,"4")-SUMIFS('AR SALES'!$Y$2:$Y$2501,'AR SALES'!$L$2:$L$2501,$L1368,'AR SALES'!$AD$2:$AD$2501,"OFF"),2)=0,"","STALE")))</f>
        <v/>
      </c>
      <c r="BB1368" s="2" t="str">
        <f>IF(OR(""&amp;$F1368="2",""&amp;$F1368="4",""&amp;$F1368="G",""&amp;$F1368="H"),IF($AY1368="YES","",IF($AB1368&lt;&gt;0,"",IF(COUNTIFS('AR SALES'!$L$2:$L$2501,$L1368,'AR SALES'!$AD$2:$AD$2501,IF(""&amp;$F1368="4","OFF","ON"),'AR SALES'!$AF$2:$AF$2501,"Y")&gt;0,"","NO EXEMPTION"))),"")</f>
        <v/>
      </c>
    </row>
    <row r="1369" spans="46:54" x14ac:dyDescent="0.25">
      <c r="AT1369" s="2" t="str">
        <f>IF($L1369="","",IFERROR(INDEX('AR SALES'!$H$2:$H$2501,MATCH(""&amp;$L1369,'AR SALES'!$AE$2:$AE$2501,0)),""))</f>
        <v/>
      </c>
      <c r="AU1369" s="2" t="str">
        <f t="shared" si="84"/>
        <v/>
      </c>
      <c r="AV1369" s="2" t="str">
        <f t="shared" si="85"/>
        <v/>
      </c>
      <c r="AW1369" s="2" t="str">
        <f t="shared" si="86"/>
        <v/>
      </c>
      <c r="AX1369" s="2" t="str">
        <f t="shared" si="87"/>
        <v/>
      </c>
      <c r="AY1369" s="2" t="str">
        <f>IF($AV1369="","",IF(AND($Z1369=0,COUNTIF('AR SALES'!$L$2:$L$2501,$L1369)=0),"YES",""))</f>
        <v/>
      </c>
      <c r="AZ1369" s="2" t="str">
        <f>IF($AV1369="","",IF(COUNTIF(LISTS!$C$2:$C$250,$AU1369)=0,"NEW",""))</f>
        <v/>
      </c>
      <c r="BA1369" s="2" t="str">
        <f>IF(""&amp;$F1369&lt;&gt;"4","",IF($AY1369="YES","",IF(ROUND(SUMIFS($AE$2:$AE$4001,$L$2:$L$4001,$L1369,$F$2:$F$4001,"4")-SUMIFS('AR SALES'!$Y$2:$Y$2501,'AR SALES'!$L$2:$L$2501,$L1369,'AR SALES'!$AD$2:$AD$2501,"OFF"),2)=0,"","STALE")))</f>
        <v/>
      </c>
      <c r="BB1369" s="2" t="str">
        <f>IF(OR(""&amp;$F1369="2",""&amp;$F1369="4",""&amp;$F1369="G",""&amp;$F1369="H"),IF($AY1369="YES","",IF($AB1369&lt;&gt;0,"",IF(COUNTIFS('AR SALES'!$L$2:$L$2501,$L1369,'AR SALES'!$AD$2:$AD$2501,IF(""&amp;$F1369="4","OFF","ON"),'AR SALES'!$AF$2:$AF$2501,"Y")&gt;0,"","NO EXEMPTION"))),"")</f>
        <v/>
      </c>
    </row>
    <row r="1370" spans="46:54" x14ac:dyDescent="0.25">
      <c r="AT1370" s="2" t="str">
        <f>IF($L1370="","",IFERROR(INDEX('AR SALES'!$H$2:$H$2501,MATCH(""&amp;$L1370,'AR SALES'!$AE$2:$AE$2501,0)),""))</f>
        <v/>
      </c>
      <c r="AU1370" s="2" t="str">
        <f t="shared" si="84"/>
        <v/>
      </c>
      <c r="AV1370" s="2" t="str">
        <f t="shared" si="85"/>
        <v/>
      </c>
      <c r="AW1370" s="2" t="str">
        <f t="shared" si="86"/>
        <v/>
      </c>
      <c r="AX1370" s="2" t="str">
        <f t="shared" si="87"/>
        <v/>
      </c>
      <c r="AY1370" s="2" t="str">
        <f>IF($AV1370="","",IF(AND($Z1370=0,COUNTIF('AR SALES'!$L$2:$L$2501,$L1370)=0),"YES",""))</f>
        <v/>
      </c>
      <c r="AZ1370" s="2" t="str">
        <f>IF($AV1370="","",IF(COUNTIF(LISTS!$C$2:$C$250,$AU1370)=0,"NEW",""))</f>
        <v/>
      </c>
      <c r="BA1370" s="2" t="str">
        <f>IF(""&amp;$F1370&lt;&gt;"4","",IF($AY1370="YES","",IF(ROUND(SUMIFS($AE$2:$AE$4001,$L$2:$L$4001,$L1370,$F$2:$F$4001,"4")-SUMIFS('AR SALES'!$Y$2:$Y$2501,'AR SALES'!$L$2:$L$2501,$L1370,'AR SALES'!$AD$2:$AD$2501,"OFF"),2)=0,"","STALE")))</f>
        <v/>
      </c>
      <c r="BB1370" s="2" t="str">
        <f>IF(OR(""&amp;$F1370="2",""&amp;$F1370="4",""&amp;$F1370="G",""&amp;$F1370="H"),IF($AY1370="YES","",IF($AB1370&lt;&gt;0,"",IF(COUNTIFS('AR SALES'!$L$2:$L$2501,$L1370,'AR SALES'!$AD$2:$AD$2501,IF(""&amp;$F1370="4","OFF","ON"),'AR SALES'!$AF$2:$AF$2501,"Y")&gt;0,"","NO EXEMPTION"))),"")</f>
        <v/>
      </c>
    </row>
    <row r="1371" spans="46:54" x14ac:dyDescent="0.25">
      <c r="AT1371" s="2" t="str">
        <f>IF($L1371="","",IFERROR(INDEX('AR SALES'!$H$2:$H$2501,MATCH(""&amp;$L1371,'AR SALES'!$AE$2:$AE$2501,0)),""))</f>
        <v/>
      </c>
      <c r="AU1371" s="2" t="str">
        <f t="shared" si="84"/>
        <v/>
      </c>
      <c r="AV1371" s="2" t="str">
        <f t="shared" si="85"/>
        <v/>
      </c>
      <c r="AW1371" s="2" t="str">
        <f t="shared" si="86"/>
        <v/>
      </c>
      <c r="AX1371" s="2" t="str">
        <f t="shared" si="87"/>
        <v/>
      </c>
      <c r="AY1371" s="2" t="str">
        <f>IF($AV1371="","",IF(AND($Z1371=0,COUNTIF('AR SALES'!$L$2:$L$2501,$L1371)=0),"YES",""))</f>
        <v/>
      </c>
      <c r="AZ1371" s="2" t="str">
        <f>IF($AV1371="","",IF(COUNTIF(LISTS!$C$2:$C$250,$AU1371)=0,"NEW",""))</f>
        <v/>
      </c>
      <c r="BA1371" s="2" t="str">
        <f>IF(""&amp;$F1371&lt;&gt;"4","",IF($AY1371="YES","",IF(ROUND(SUMIFS($AE$2:$AE$4001,$L$2:$L$4001,$L1371,$F$2:$F$4001,"4")-SUMIFS('AR SALES'!$Y$2:$Y$2501,'AR SALES'!$L$2:$L$2501,$L1371,'AR SALES'!$AD$2:$AD$2501,"OFF"),2)=0,"","STALE")))</f>
        <v/>
      </c>
      <c r="BB1371" s="2" t="str">
        <f>IF(OR(""&amp;$F1371="2",""&amp;$F1371="4",""&amp;$F1371="G",""&amp;$F1371="H"),IF($AY1371="YES","",IF($AB1371&lt;&gt;0,"",IF(COUNTIFS('AR SALES'!$L$2:$L$2501,$L1371,'AR SALES'!$AD$2:$AD$2501,IF(""&amp;$F1371="4","OFF","ON"),'AR SALES'!$AF$2:$AF$2501,"Y")&gt;0,"","NO EXEMPTION"))),"")</f>
        <v/>
      </c>
    </row>
    <row r="1372" spans="46:54" x14ac:dyDescent="0.25">
      <c r="AT1372" s="2" t="str">
        <f>IF($L1372="","",IFERROR(INDEX('AR SALES'!$H$2:$H$2501,MATCH(""&amp;$L1372,'AR SALES'!$AE$2:$AE$2501,0)),""))</f>
        <v/>
      </c>
      <c r="AU1372" s="2" t="str">
        <f t="shared" si="84"/>
        <v/>
      </c>
      <c r="AV1372" s="2" t="str">
        <f t="shared" si="85"/>
        <v/>
      </c>
      <c r="AW1372" s="2" t="str">
        <f t="shared" si="86"/>
        <v/>
      </c>
      <c r="AX1372" s="2" t="str">
        <f t="shared" si="87"/>
        <v/>
      </c>
      <c r="AY1372" s="2" t="str">
        <f>IF($AV1372="","",IF(AND($Z1372=0,COUNTIF('AR SALES'!$L$2:$L$2501,$L1372)=0),"YES",""))</f>
        <v/>
      </c>
      <c r="AZ1372" s="2" t="str">
        <f>IF($AV1372="","",IF(COUNTIF(LISTS!$C$2:$C$250,$AU1372)=0,"NEW",""))</f>
        <v/>
      </c>
      <c r="BA1372" s="2" t="str">
        <f>IF(""&amp;$F1372&lt;&gt;"4","",IF($AY1372="YES","",IF(ROUND(SUMIFS($AE$2:$AE$4001,$L$2:$L$4001,$L1372,$F$2:$F$4001,"4")-SUMIFS('AR SALES'!$Y$2:$Y$2501,'AR SALES'!$L$2:$L$2501,$L1372,'AR SALES'!$AD$2:$AD$2501,"OFF"),2)=0,"","STALE")))</f>
        <v/>
      </c>
      <c r="BB1372" s="2" t="str">
        <f>IF(OR(""&amp;$F1372="2",""&amp;$F1372="4",""&amp;$F1372="G",""&amp;$F1372="H"),IF($AY1372="YES","",IF($AB1372&lt;&gt;0,"",IF(COUNTIFS('AR SALES'!$L$2:$L$2501,$L1372,'AR SALES'!$AD$2:$AD$2501,IF(""&amp;$F1372="4","OFF","ON"),'AR SALES'!$AF$2:$AF$2501,"Y")&gt;0,"","NO EXEMPTION"))),"")</f>
        <v/>
      </c>
    </row>
    <row r="1373" spans="46:54" x14ac:dyDescent="0.25">
      <c r="AT1373" s="2" t="str">
        <f>IF($L1373="","",IFERROR(INDEX('AR SALES'!$H$2:$H$2501,MATCH(""&amp;$L1373,'AR SALES'!$AE$2:$AE$2501,0)),""))</f>
        <v/>
      </c>
      <c r="AU1373" s="2" t="str">
        <f t="shared" si="84"/>
        <v/>
      </c>
      <c r="AV1373" s="2" t="str">
        <f t="shared" si="85"/>
        <v/>
      </c>
      <c r="AW1373" s="2" t="str">
        <f t="shared" si="86"/>
        <v/>
      </c>
      <c r="AX1373" s="2" t="str">
        <f t="shared" si="87"/>
        <v/>
      </c>
      <c r="AY1373" s="2" t="str">
        <f>IF($AV1373="","",IF(AND($Z1373=0,COUNTIF('AR SALES'!$L$2:$L$2501,$L1373)=0),"YES",""))</f>
        <v/>
      </c>
      <c r="AZ1373" s="2" t="str">
        <f>IF($AV1373="","",IF(COUNTIF(LISTS!$C$2:$C$250,$AU1373)=0,"NEW",""))</f>
        <v/>
      </c>
      <c r="BA1373" s="2" t="str">
        <f>IF(""&amp;$F1373&lt;&gt;"4","",IF($AY1373="YES","",IF(ROUND(SUMIFS($AE$2:$AE$4001,$L$2:$L$4001,$L1373,$F$2:$F$4001,"4")-SUMIFS('AR SALES'!$Y$2:$Y$2501,'AR SALES'!$L$2:$L$2501,$L1373,'AR SALES'!$AD$2:$AD$2501,"OFF"),2)=0,"","STALE")))</f>
        <v/>
      </c>
      <c r="BB1373" s="2" t="str">
        <f>IF(OR(""&amp;$F1373="2",""&amp;$F1373="4",""&amp;$F1373="G",""&amp;$F1373="H"),IF($AY1373="YES","",IF($AB1373&lt;&gt;0,"",IF(COUNTIFS('AR SALES'!$L$2:$L$2501,$L1373,'AR SALES'!$AD$2:$AD$2501,IF(""&amp;$F1373="4","OFF","ON"),'AR SALES'!$AF$2:$AF$2501,"Y")&gt;0,"","NO EXEMPTION"))),"")</f>
        <v/>
      </c>
    </row>
    <row r="1374" spans="46:54" x14ac:dyDescent="0.25">
      <c r="AT1374" s="2" t="str">
        <f>IF($L1374="","",IFERROR(INDEX('AR SALES'!$H$2:$H$2501,MATCH(""&amp;$L1374,'AR SALES'!$AE$2:$AE$2501,0)),""))</f>
        <v/>
      </c>
      <c r="AU1374" s="2" t="str">
        <f t="shared" si="84"/>
        <v/>
      </c>
      <c r="AV1374" s="2" t="str">
        <f t="shared" si="85"/>
        <v/>
      </c>
      <c r="AW1374" s="2" t="str">
        <f t="shared" si="86"/>
        <v/>
      </c>
      <c r="AX1374" s="2" t="str">
        <f t="shared" si="87"/>
        <v/>
      </c>
      <c r="AY1374" s="2" t="str">
        <f>IF($AV1374="","",IF(AND($Z1374=0,COUNTIF('AR SALES'!$L$2:$L$2501,$L1374)=0),"YES",""))</f>
        <v/>
      </c>
      <c r="AZ1374" s="2" t="str">
        <f>IF($AV1374="","",IF(COUNTIF(LISTS!$C$2:$C$250,$AU1374)=0,"NEW",""))</f>
        <v/>
      </c>
      <c r="BA1374" s="2" t="str">
        <f>IF(""&amp;$F1374&lt;&gt;"4","",IF($AY1374="YES","",IF(ROUND(SUMIFS($AE$2:$AE$4001,$L$2:$L$4001,$L1374,$F$2:$F$4001,"4")-SUMIFS('AR SALES'!$Y$2:$Y$2501,'AR SALES'!$L$2:$L$2501,$L1374,'AR SALES'!$AD$2:$AD$2501,"OFF"),2)=0,"","STALE")))</f>
        <v/>
      </c>
      <c r="BB1374" s="2" t="str">
        <f>IF(OR(""&amp;$F1374="2",""&amp;$F1374="4",""&amp;$F1374="G",""&amp;$F1374="H"),IF($AY1374="YES","",IF($AB1374&lt;&gt;0,"",IF(COUNTIFS('AR SALES'!$L$2:$L$2501,$L1374,'AR SALES'!$AD$2:$AD$2501,IF(""&amp;$F1374="4","OFF","ON"),'AR SALES'!$AF$2:$AF$2501,"Y")&gt;0,"","NO EXEMPTION"))),"")</f>
        <v/>
      </c>
    </row>
    <row r="1375" spans="46:54" x14ac:dyDescent="0.25">
      <c r="AT1375" s="2" t="str">
        <f>IF($L1375="","",IFERROR(INDEX('AR SALES'!$H$2:$H$2501,MATCH(""&amp;$L1375,'AR SALES'!$AE$2:$AE$2501,0)),""))</f>
        <v/>
      </c>
      <c r="AU1375" s="2" t="str">
        <f t="shared" si="84"/>
        <v/>
      </c>
      <c r="AV1375" s="2" t="str">
        <f t="shared" si="85"/>
        <v/>
      </c>
      <c r="AW1375" s="2" t="str">
        <f t="shared" si="86"/>
        <v/>
      </c>
      <c r="AX1375" s="2" t="str">
        <f t="shared" si="87"/>
        <v/>
      </c>
      <c r="AY1375" s="2" t="str">
        <f>IF($AV1375="","",IF(AND($Z1375=0,COUNTIF('AR SALES'!$L$2:$L$2501,$L1375)=0),"YES",""))</f>
        <v/>
      </c>
      <c r="AZ1375" s="2" t="str">
        <f>IF($AV1375="","",IF(COUNTIF(LISTS!$C$2:$C$250,$AU1375)=0,"NEW",""))</f>
        <v/>
      </c>
      <c r="BA1375" s="2" t="str">
        <f>IF(""&amp;$F1375&lt;&gt;"4","",IF($AY1375="YES","",IF(ROUND(SUMIFS($AE$2:$AE$4001,$L$2:$L$4001,$L1375,$F$2:$F$4001,"4")-SUMIFS('AR SALES'!$Y$2:$Y$2501,'AR SALES'!$L$2:$L$2501,$L1375,'AR SALES'!$AD$2:$AD$2501,"OFF"),2)=0,"","STALE")))</f>
        <v/>
      </c>
      <c r="BB1375" s="2" t="str">
        <f>IF(OR(""&amp;$F1375="2",""&amp;$F1375="4",""&amp;$F1375="G",""&amp;$F1375="H"),IF($AY1375="YES","",IF($AB1375&lt;&gt;0,"",IF(COUNTIFS('AR SALES'!$L$2:$L$2501,$L1375,'AR SALES'!$AD$2:$AD$2501,IF(""&amp;$F1375="4","OFF","ON"),'AR SALES'!$AF$2:$AF$2501,"Y")&gt;0,"","NO EXEMPTION"))),"")</f>
        <v/>
      </c>
    </row>
    <row r="1376" spans="46:54" x14ac:dyDescent="0.25">
      <c r="AT1376" s="2" t="str">
        <f>IF($L1376="","",IFERROR(INDEX('AR SALES'!$H$2:$H$2501,MATCH(""&amp;$L1376,'AR SALES'!$AE$2:$AE$2501,0)),""))</f>
        <v/>
      </c>
      <c r="AU1376" s="2" t="str">
        <f t="shared" si="84"/>
        <v/>
      </c>
      <c r="AV1376" s="2" t="str">
        <f t="shared" si="85"/>
        <v/>
      </c>
      <c r="AW1376" s="2" t="str">
        <f t="shared" si="86"/>
        <v/>
      </c>
      <c r="AX1376" s="2" t="str">
        <f t="shared" si="87"/>
        <v/>
      </c>
      <c r="AY1376" s="2" t="str">
        <f>IF($AV1376="","",IF(AND($Z1376=0,COUNTIF('AR SALES'!$L$2:$L$2501,$L1376)=0),"YES",""))</f>
        <v/>
      </c>
      <c r="AZ1376" s="2" t="str">
        <f>IF($AV1376="","",IF(COUNTIF(LISTS!$C$2:$C$250,$AU1376)=0,"NEW",""))</f>
        <v/>
      </c>
      <c r="BA1376" s="2" t="str">
        <f>IF(""&amp;$F1376&lt;&gt;"4","",IF($AY1376="YES","",IF(ROUND(SUMIFS($AE$2:$AE$4001,$L$2:$L$4001,$L1376,$F$2:$F$4001,"4")-SUMIFS('AR SALES'!$Y$2:$Y$2501,'AR SALES'!$L$2:$L$2501,$L1376,'AR SALES'!$AD$2:$AD$2501,"OFF"),2)=0,"","STALE")))</f>
        <v/>
      </c>
      <c r="BB1376" s="2" t="str">
        <f>IF(OR(""&amp;$F1376="2",""&amp;$F1376="4",""&amp;$F1376="G",""&amp;$F1376="H"),IF($AY1376="YES","",IF($AB1376&lt;&gt;0,"",IF(COUNTIFS('AR SALES'!$L$2:$L$2501,$L1376,'AR SALES'!$AD$2:$AD$2501,IF(""&amp;$F1376="4","OFF","ON"),'AR SALES'!$AF$2:$AF$2501,"Y")&gt;0,"","NO EXEMPTION"))),"")</f>
        <v/>
      </c>
    </row>
    <row r="1377" spans="46:54" x14ac:dyDescent="0.25">
      <c r="AT1377" s="2" t="str">
        <f>IF($L1377="","",IFERROR(INDEX('AR SALES'!$H$2:$H$2501,MATCH(""&amp;$L1377,'AR SALES'!$AE$2:$AE$2501,0)),""))</f>
        <v/>
      </c>
      <c r="AU1377" s="2" t="str">
        <f t="shared" si="84"/>
        <v/>
      </c>
      <c r="AV1377" s="2" t="str">
        <f t="shared" si="85"/>
        <v/>
      </c>
      <c r="AW1377" s="2" t="str">
        <f t="shared" si="86"/>
        <v/>
      </c>
      <c r="AX1377" s="2" t="str">
        <f t="shared" si="87"/>
        <v/>
      </c>
      <c r="AY1377" s="2" t="str">
        <f>IF($AV1377="","",IF(AND($Z1377=0,COUNTIF('AR SALES'!$L$2:$L$2501,$L1377)=0),"YES",""))</f>
        <v/>
      </c>
      <c r="AZ1377" s="2" t="str">
        <f>IF($AV1377="","",IF(COUNTIF(LISTS!$C$2:$C$250,$AU1377)=0,"NEW",""))</f>
        <v/>
      </c>
      <c r="BA1377" s="2" t="str">
        <f>IF(""&amp;$F1377&lt;&gt;"4","",IF($AY1377="YES","",IF(ROUND(SUMIFS($AE$2:$AE$4001,$L$2:$L$4001,$L1377,$F$2:$F$4001,"4")-SUMIFS('AR SALES'!$Y$2:$Y$2501,'AR SALES'!$L$2:$L$2501,$L1377,'AR SALES'!$AD$2:$AD$2501,"OFF"),2)=0,"","STALE")))</f>
        <v/>
      </c>
      <c r="BB1377" s="2" t="str">
        <f>IF(OR(""&amp;$F1377="2",""&amp;$F1377="4",""&amp;$F1377="G",""&amp;$F1377="H"),IF($AY1377="YES","",IF($AB1377&lt;&gt;0,"",IF(COUNTIFS('AR SALES'!$L$2:$L$2501,$L1377,'AR SALES'!$AD$2:$AD$2501,IF(""&amp;$F1377="4","OFF","ON"),'AR SALES'!$AF$2:$AF$2501,"Y")&gt;0,"","NO EXEMPTION"))),"")</f>
        <v/>
      </c>
    </row>
    <row r="1378" spans="46:54" x14ac:dyDescent="0.25">
      <c r="AT1378" s="2" t="str">
        <f>IF($L1378="","",IFERROR(INDEX('AR SALES'!$H$2:$H$2501,MATCH(""&amp;$L1378,'AR SALES'!$AE$2:$AE$2501,0)),""))</f>
        <v/>
      </c>
      <c r="AU1378" s="2" t="str">
        <f t="shared" si="84"/>
        <v/>
      </c>
      <c r="AV1378" s="2" t="str">
        <f t="shared" si="85"/>
        <v/>
      </c>
      <c r="AW1378" s="2" t="str">
        <f t="shared" si="86"/>
        <v/>
      </c>
      <c r="AX1378" s="2" t="str">
        <f t="shared" si="87"/>
        <v/>
      </c>
      <c r="AY1378" s="2" t="str">
        <f>IF($AV1378="","",IF(AND($Z1378=0,COUNTIF('AR SALES'!$L$2:$L$2501,$L1378)=0),"YES",""))</f>
        <v/>
      </c>
      <c r="AZ1378" s="2" t="str">
        <f>IF($AV1378="","",IF(COUNTIF(LISTS!$C$2:$C$250,$AU1378)=0,"NEW",""))</f>
        <v/>
      </c>
      <c r="BA1378" s="2" t="str">
        <f>IF(""&amp;$F1378&lt;&gt;"4","",IF($AY1378="YES","",IF(ROUND(SUMIFS($AE$2:$AE$4001,$L$2:$L$4001,$L1378,$F$2:$F$4001,"4")-SUMIFS('AR SALES'!$Y$2:$Y$2501,'AR SALES'!$L$2:$L$2501,$L1378,'AR SALES'!$AD$2:$AD$2501,"OFF"),2)=0,"","STALE")))</f>
        <v/>
      </c>
      <c r="BB1378" s="2" t="str">
        <f>IF(OR(""&amp;$F1378="2",""&amp;$F1378="4",""&amp;$F1378="G",""&amp;$F1378="H"),IF($AY1378="YES","",IF($AB1378&lt;&gt;0,"",IF(COUNTIFS('AR SALES'!$L$2:$L$2501,$L1378,'AR SALES'!$AD$2:$AD$2501,IF(""&amp;$F1378="4","OFF","ON"),'AR SALES'!$AF$2:$AF$2501,"Y")&gt;0,"","NO EXEMPTION"))),"")</f>
        <v/>
      </c>
    </row>
    <row r="1379" spans="46:54" x14ac:dyDescent="0.25">
      <c r="AT1379" s="2" t="str">
        <f>IF($L1379="","",IFERROR(INDEX('AR SALES'!$H$2:$H$2501,MATCH(""&amp;$L1379,'AR SALES'!$AE$2:$AE$2501,0)),""))</f>
        <v/>
      </c>
      <c r="AU1379" s="2" t="str">
        <f t="shared" si="84"/>
        <v/>
      </c>
      <c r="AV1379" s="2" t="str">
        <f t="shared" si="85"/>
        <v/>
      </c>
      <c r="AW1379" s="2" t="str">
        <f t="shared" si="86"/>
        <v/>
      </c>
      <c r="AX1379" s="2" t="str">
        <f t="shared" si="87"/>
        <v/>
      </c>
      <c r="AY1379" s="2" t="str">
        <f>IF($AV1379="","",IF(AND($Z1379=0,COUNTIF('AR SALES'!$L$2:$L$2501,$L1379)=0),"YES",""))</f>
        <v/>
      </c>
      <c r="AZ1379" s="2" t="str">
        <f>IF($AV1379="","",IF(COUNTIF(LISTS!$C$2:$C$250,$AU1379)=0,"NEW",""))</f>
        <v/>
      </c>
      <c r="BA1379" s="2" t="str">
        <f>IF(""&amp;$F1379&lt;&gt;"4","",IF($AY1379="YES","",IF(ROUND(SUMIFS($AE$2:$AE$4001,$L$2:$L$4001,$L1379,$F$2:$F$4001,"4")-SUMIFS('AR SALES'!$Y$2:$Y$2501,'AR SALES'!$L$2:$L$2501,$L1379,'AR SALES'!$AD$2:$AD$2501,"OFF"),2)=0,"","STALE")))</f>
        <v/>
      </c>
      <c r="BB1379" s="2" t="str">
        <f>IF(OR(""&amp;$F1379="2",""&amp;$F1379="4",""&amp;$F1379="G",""&amp;$F1379="H"),IF($AY1379="YES","",IF($AB1379&lt;&gt;0,"",IF(COUNTIFS('AR SALES'!$L$2:$L$2501,$L1379,'AR SALES'!$AD$2:$AD$2501,IF(""&amp;$F1379="4","OFF","ON"),'AR SALES'!$AF$2:$AF$2501,"Y")&gt;0,"","NO EXEMPTION"))),"")</f>
        <v/>
      </c>
    </row>
    <row r="1380" spans="46:54" x14ac:dyDescent="0.25">
      <c r="AT1380" s="2" t="str">
        <f>IF($L1380="","",IFERROR(INDEX('AR SALES'!$H$2:$H$2501,MATCH(""&amp;$L1380,'AR SALES'!$AE$2:$AE$2501,0)),""))</f>
        <v/>
      </c>
      <c r="AU1380" s="2" t="str">
        <f t="shared" si="84"/>
        <v/>
      </c>
      <c r="AV1380" s="2" t="str">
        <f t="shared" si="85"/>
        <v/>
      </c>
      <c r="AW1380" s="2" t="str">
        <f t="shared" si="86"/>
        <v/>
      </c>
      <c r="AX1380" s="2" t="str">
        <f t="shared" si="87"/>
        <v/>
      </c>
      <c r="AY1380" s="2" t="str">
        <f>IF($AV1380="","",IF(AND($Z1380=0,COUNTIF('AR SALES'!$L$2:$L$2501,$L1380)=0),"YES",""))</f>
        <v/>
      </c>
      <c r="AZ1380" s="2" t="str">
        <f>IF($AV1380="","",IF(COUNTIF(LISTS!$C$2:$C$250,$AU1380)=0,"NEW",""))</f>
        <v/>
      </c>
      <c r="BA1380" s="2" t="str">
        <f>IF(""&amp;$F1380&lt;&gt;"4","",IF($AY1380="YES","",IF(ROUND(SUMIFS($AE$2:$AE$4001,$L$2:$L$4001,$L1380,$F$2:$F$4001,"4")-SUMIFS('AR SALES'!$Y$2:$Y$2501,'AR SALES'!$L$2:$L$2501,$L1380,'AR SALES'!$AD$2:$AD$2501,"OFF"),2)=0,"","STALE")))</f>
        <v/>
      </c>
      <c r="BB1380" s="2" t="str">
        <f>IF(OR(""&amp;$F1380="2",""&amp;$F1380="4",""&amp;$F1380="G",""&amp;$F1380="H"),IF($AY1380="YES","",IF($AB1380&lt;&gt;0,"",IF(COUNTIFS('AR SALES'!$L$2:$L$2501,$L1380,'AR SALES'!$AD$2:$AD$2501,IF(""&amp;$F1380="4","OFF","ON"),'AR SALES'!$AF$2:$AF$2501,"Y")&gt;0,"","NO EXEMPTION"))),"")</f>
        <v/>
      </c>
    </row>
    <row r="1381" spans="46:54" x14ac:dyDescent="0.25">
      <c r="AT1381" s="2" t="str">
        <f>IF($L1381="","",IFERROR(INDEX('AR SALES'!$H$2:$H$2501,MATCH(""&amp;$L1381,'AR SALES'!$AE$2:$AE$2501,0)),""))</f>
        <v/>
      </c>
      <c r="AU1381" s="2" t="str">
        <f t="shared" si="84"/>
        <v/>
      </c>
      <c r="AV1381" s="2" t="str">
        <f t="shared" si="85"/>
        <v/>
      </c>
      <c r="AW1381" s="2" t="str">
        <f t="shared" si="86"/>
        <v/>
      </c>
      <c r="AX1381" s="2" t="str">
        <f t="shared" si="87"/>
        <v/>
      </c>
      <c r="AY1381" s="2" t="str">
        <f>IF($AV1381="","",IF(AND($Z1381=0,COUNTIF('AR SALES'!$L$2:$L$2501,$L1381)=0),"YES",""))</f>
        <v/>
      </c>
      <c r="AZ1381" s="2" t="str">
        <f>IF($AV1381="","",IF(COUNTIF(LISTS!$C$2:$C$250,$AU1381)=0,"NEW",""))</f>
        <v/>
      </c>
      <c r="BA1381" s="2" t="str">
        <f>IF(""&amp;$F1381&lt;&gt;"4","",IF($AY1381="YES","",IF(ROUND(SUMIFS($AE$2:$AE$4001,$L$2:$L$4001,$L1381,$F$2:$F$4001,"4")-SUMIFS('AR SALES'!$Y$2:$Y$2501,'AR SALES'!$L$2:$L$2501,$L1381,'AR SALES'!$AD$2:$AD$2501,"OFF"),2)=0,"","STALE")))</f>
        <v/>
      </c>
      <c r="BB1381" s="2" t="str">
        <f>IF(OR(""&amp;$F1381="2",""&amp;$F1381="4",""&amp;$F1381="G",""&amp;$F1381="H"),IF($AY1381="YES","",IF($AB1381&lt;&gt;0,"",IF(COUNTIFS('AR SALES'!$L$2:$L$2501,$L1381,'AR SALES'!$AD$2:$AD$2501,IF(""&amp;$F1381="4","OFF","ON"),'AR SALES'!$AF$2:$AF$2501,"Y")&gt;0,"","NO EXEMPTION"))),"")</f>
        <v/>
      </c>
    </row>
    <row r="1382" spans="46:54" x14ac:dyDescent="0.25">
      <c r="AT1382" s="2" t="str">
        <f>IF($L1382="","",IFERROR(INDEX('AR SALES'!$H$2:$H$2501,MATCH(""&amp;$L1382,'AR SALES'!$AE$2:$AE$2501,0)),""))</f>
        <v/>
      </c>
      <c r="AU1382" s="2" t="str">
        <f t="shared" si="84"/>
        <v/>
      </c>
      <c r="AV1382" s="2" t="str">
        <f t="shared" si="85"/>
        <v/>
      </c>
      <c r="AW1382" s="2" t="str">
        <f t="shared" si="86"/>
        <v/>
      </c>
      <c r="AX1382" s="2" t="str">
        <f t="shared" si="87"/>
        <v/>
      </c>
      <c r="AY1382" s="2" t="str">
        <f>IF($AV1382="","",IF(AND($Z1382=0,COUNTIF('AR SALES'!$L$2:$L$2501,$L1382)=0),"YES",""))</f>
        <v/>
      </c>
      <c r="AZ1382" s="2" t="str">
        <f>IF($AV1382="","",IF(COUNTIF(LISTS!$C$2:$C$250,$AU1382)=0,"NEW",""))</f>
        <v/>
      </c>
      <c r="BA1382" s="2" t="str">
        <f>IF(""&amp;$F1382&lt;&gt;"4","",IF($AY1382="YES","",IF(ROUND(SUMIFS($AE$2:$AE$4001,$L$2:$L$4001,$L1382,$F$2:$F$4001,"4")-SUMIFS('AR SALES'!$Y$2:$Y$2501,'AR SALES'!$L$2:$L$2501,$L1382,'AR SALES'!$AD$2:$AD$2501,"OFF"),2)=0,"","STALE")))</f>
        <v/>
      </c>
      <c r="BB1382" s="2" t="str">
        <f>IF(OR(""&amp;$F1382="2",""&amp;$F1382="4",""&amp;$F1382="G",""&amp;$F1382="H"),IF($AY1382="YES","",IF($AB1382&lt;&gt;0,"",IF(COUNTIFS('AR SALES'!$L$2:$L$2501,$L1382,'AR SALES'!$AD$2:$AD$2501,IF(""&amp;$F1382="4","OFF","ON"),'AR SALES'!$AF$2:$AF$2501,"Y")&gt;0,"","NO EXEMPTION"))),"")</f>
        <v/>
      </c>
    </row>
    <row r="1383" spans="46:54" x14ac:dyDescent="0.25">
      <c r="AT1383" s="2" t="str">
        <f>IF($L1383="","",IFERROR(INDEX('AR SALES'!$H$2:$H$2501,MATCH(""&amp;$L1383,'AR SALES'!$AE$2:$AE$2501,0)),""))</f>
        <v/>
      </c>
      <c r="AU1383" s="2" t="str">
        <f t="shared" si="84"/>
        <v/>
      </c>
      <c r="AV1383" s="2" t="str">
        <f t="shared" si="85"/>
        <v/>
      </c>
      <c r="AW1383" s="2" t="str">
        <f t="shared" si="86"/>
        <v/>
      </c>
      <c r="AX1383" s="2" t="str">
        <f t="shared" si="87"/>
        <v/>
      </c>
      <c r="AY1383" s="2" t="str">
        <f>IF($AV1383="","",IF(AND($Z1383=0,COUNTIF('AR SALES'!$L$2:$L$2501,$L1383)=0),"YES",""))</f>
        <v/>
      </c>
      <c r="AZ1383" s="2" t="str">
        <f>IF($AV1383="","",IF(COUNTIF(LISTS!$C$2:$C$250,$AU1383)=0,"NEW",""))</f>
        <v/>
      </c>
      <c r="BA1383" s="2" t="str">
        <f>IF(""&amp;$F1383&lt;&gt;"4","",IF($AY1383="YES","",IF(ROUND(SUMIFS($AE$2:$AE$4001,$L$2:$L$4001,$L1383,$F$2:$F$4001,"4")-SUMIFS('AR SALES'!$Y$2:$Y$2501,'AR SALES'!$L$2:$L$2501,$L1383,'AR SALES'!$AD$2:$AD$2501,"OFF"),2)=0,"","STALE")))</f>
        <v/>
      </c>
      <c r="BB1383" s="2" t="str">
        <f>IF(OR(""&amp;$F1383="2",""&amp;$F1383="4",""&amp;$F1383="G",""&amp;$F1383="H"),IF($AY1383="YES","",IF($AB1383&lt;&gt;0,"",IF(COUNTIFS('AR SALES'!$L$2:$L$2501,$L1383,'AR SALES'!$AD$2:$AD$2501,IF(""&amp;$F1383="4","OFF","ON"),'AR SALES'!$AF$2:$AF$2501,"Y")&gt;0,"","NO EXEMPTION"))),"")</f>
        <v/>
      </c>
    </row>
    <row r="1384" spans="46:54" x14ac:dyDescent="0.25">
      <c r="AT1384" s="2" t="str">
        <f>IF($L1384="","",IFERROR(INDEX('AR SALES'!$H$2:$H$2501,MATCH(""&amp;$L1384,'AR SALES'!$AE$2:$AE$2501,0)),""))</f>
        <v/>
      </c>
      <c r="AU1384" s="2" t="str">
        <f t="shared" si="84"/>
        <v/>
      </c>
      <c r="AV1384" s="2" t="str">
        <f t="shared" si="85"/>
        <v/>
      </c>
      <c r="AW1384" s="2" t="str">
        <f t="shared" si="86"/>
        <v/>
      </c>
      <c r="AX1384" s="2" t="str">
        <f t="shared" si="87"/>
        <v/>
      </c>
      <c r="AY1384" s="2" t="str">
        <f>IF($AV1384="","",IF(AND($Z1384=0,COUNTIF('AR SALES'!$L$2:$L$2501,$L1384)=0),"YES",""))</f>
        <v/>
      </c>
      <c r="AZ1384" s="2" t="str">
        <f>IF($AV1384="","",IF(COUNTIF(LISTS!$C$2:$C$250,$AU1384)=0,"NEW",""))</f>
        <v/>
      </c>
      <c r="BA1384" s="2" t="str">
        <f>IF(""&amp;$F1384&lt;&gt;"4","",IF($AY1384="YES","",IF(ROUND(SUMIFS($AE$2:$AE$4001,$L$2:$L$4001,$L1384,$F$2:$F$4001,"4")-SUMIFS('AR SALES'!$Y$2:$Y$2501,'AR SALES'!$L$2:$L$2501,$L1384,'AR SALES'!$AD$2:$AD$2501,"OFF"),2)=0,"","STALE")))</f>
        <v/>
      </c>
      <c r="BB1384" s="2" t="str">
        <f>IF(OR(""&amp;$F1384="2",""&amp;$F1384="4",""&amp;$F1384="G",""&amp;$F1384="H"),IF($AY1384="YES","",IF($AB1384&lt;&gt;0,"",IF(COUNTIFS('AR SALES'!$L$2:$L$2501,$L1384,'AR SALES'!$AD$2:$AD$2501,IF(""&amp;$F1384="4","OFF","ON"),'AR SALES'!$AF$2:$AF$2501,"Y")&gt;0,"","NO EXEMPTION"))),"")</f>
        <v/>
      </c>
    </row>
    <row r="1385" spans="46:54" x14ac:dyDescent="0.25">
      <c r="AT1385" s="2" t="str">
        <f>IF($L1385="","",IFERROR(INDEX('AR SALES'!$H$2:$H$2501,MATCH(""&amp;$L1385,'AR SALES'!$AE$2:$AE$2501,0)),""))</f>
        <v/>
      </c>
      <c r="AU1385" s="2" t="str">
        <f t="shared" si="84"/>
        <v/>
      </c>
      <c r="AV1385" s="2" t="str">
        <f t="shared" si="85"/>
        <v/>
      </c>
      <c r="AW1385" s="2" t="str">
        <f t="shared" si="86"/>
        <v/>
      </c>
      <c r="AX1385" s="2" t="str">
        <f t="shared" si="87"/>
        <v/>
      </c>
      <c r="AY1385" s="2" t="str">
        <f>IF($AV1385="","",IF(AND($Z1385=0,COUNTIF('AR SALES'!$L$2:$L$2501,$L1385)=0),"YES",""))</f>
        <v/>
      </c>
      <c r="AZ1385" s="2" t="str">
        <f>IF($AV1385="","",IF(COUNTIF(LISTS!$C$2:$C$250,$AU1385)=0,"NEW",""))</f>
        <v/>
      </c>
      <c r="BA1385" s="2" t="str">
        <f>IF(""&amp;$F1385&lt;&gt;"4","",IF($AY1385="YES","",IF(ROUND(SUMIFS($AE$2:$AE$4001,$L$2:$L$4001,$L1385,$F$2:$F$4001,"4")-SUMIFS('AR SALES'!$Y$2:$Y$2501,'AR SALES'!$L$2:$L$2501,$L1385,'AR SALES'!$AD$2:$AD$2501,"OFF"),2)=0,"","STALE")))</f>
        <v/>
      </c>
      <c r="BB1385" s="2" t="str">
        <f>IF(OR(""&amp;$F1385="2",""&amp;$F1385="4",""&amp;$F1385="G",""&amp;$F1385="H"),IF($AY1385="YES","",IF($AB1385&lt;&gt;0,"",IF(COUNTIFS('AR SALES'!$L$2:$L$2501,$L1385,'AR SALES'!$AD$2:$AD$2501,IF(""&amp;$F1385="4","OFF","ON"),'AR SALES'!$AF$2:$AF$2501,"Y")&gt;0,"","NO EXEMPTION"))),"")</f>
        <v/>
      </c>
    </row>
    <row r="1386" spans="46:54" x14ac:dyDescent="0.25">
      <c r="AT1386" s="2" t="str">
        <f>IF($L1386="","",IFERROR(INDEX('AR SALES'!$H$2:$H$2501,MATCH(""&amp;$L1386,'AR SALES'!$AE$2:$AE$2501,0)),""))</f>
        <v/>
      </c>
      <c r="AU1386" s="2" t="str">
        <f t="shared" si="84"/>
        <v/>
      </c>
      <c r="AV1386" s="2" t="str">
        <f t="shared" si="85"/>
        <v/>
      </c>
      <c r="AW1386" s="2" t="str">
        <f t="shared" si="86"/>
        <v/>
      </c>
      <c r="AX1386" s="2" t="str">
        <f t="shared" si="87"/>
        <v/>
      </c>
      <c r="AY1386" s="2" t="str">
        <f>IF($AV1386="","",IF(AND($Z1386=0,COUNTIF('AR SALES'!$L$2:$L$2501,$L1386)=0),"YES",""))</f>
        <v/>
      </c>
      <c r="AZ1386" s="2" t="str">
        <f>IF($AV1386="","",IF(COUNTIF(LISTS!$C$2:$C$250,$AU1386)=0,"NEW",""))</f>
        <v/>
      </c>
      <c r="BA1386" s="2" t="str">
        <f>IF(""&amp;$F1386&lt;&gt;"4","",IF($AY1386="YES","",IF(ROUND(SUMIFS($AE$2:$AE$4001,$L$2:$L$4001,$L1386,$F$2:$F$4001,"4")-SUMIFS('AR SALES'!$Y$2:$Y$2501,'AR SALES'!$L$2:$L$2501,$L1386,'AR SALES'!$AD$2:$AD$2501,"OFF"),2)=0,"","STALE")))</f>
        <v/>
      </c>
      <c r="BB1386" s="2" t="str">
        <f>IF(OR(""&amp;$F1386="2",""&amp;$F1386="4",""&amp;$F1386="G",""&amp;$F1386="H"),IF($AY1386="YES","",IF($AB1386&lt;&gt;0,"",IF(COUNTIFS('AR SALES'!$L$2:$L$2501,$L1386,'AR SALES'!$AD$2:$AD$2501,IF(""&amp;$F1386="4","OFF","ON"),'AR SALES'!$AF$2:$AF$2501,"Y")&gt;0,"","NO EXEMPTION"))),"")</f>
        <v/>
      </c>
    </row>
    <row r="1387" spans="46:54" x14ac:dyDescent="0.25">
      <c r="AT1387" s="2" t="str">
        <f>IF($L1387="","",IFERROR(INDEX('AR SALES'!$H$2:$H$2501,MATCH(""&amp;$L1387,'AR SALES'!$AE$2:$AE$2501,0)),""))</f>
        <v/>
      </c>
      <c r="AU1387" s="2" t="str">
        <f t="shared" si="84"/>
        <v/>
      </c>
      <c r="AV1387" s="2" t="str">
        <f t="shared" si="85"/>
        <v/>
      </c>
      <c r="AW1387" s="2" t="str">
        <f t="shared" si="86"/>
        <v/>
      </c>
      <c r="AX1387" s="2" t="str">
        <f t="shared" si="87"/>
        <v/>
      </c>
      <c r="AY1387" s="2" t="str">
        <f>IF($AV1387="","",IF(AND($Z1387=0,COUNTIF('AR SALES'!$L$2:$L$2501,$L1387)=0),"YES",""))</f>
        <v/>
      </c>
      <c r="AZ1387" s="2" t="str">
        <f>IF($AV1387="","",IF(COUNTIF(LISTS!$C$2:$C$250,$AU1387)=0,"NEW",""))</f>
        <v/>
      </c>
      <c r="BA1387" s="2" t="str">
        <f>IF(""&amp;$F1387&lt;&gt;"4","",IF($AY1387="YES","",IF(ROUND(SUMIFS($AE$2:$AE$4001,$L$2:$L$4001,$L1387,$F$2:$F$4001,"4")-SUMIFS('AR SALES'!$Y$2:$Y$2501,'AR SALES'!$L$2:$L$2501,$L1387,'AR SALES'!$AD$2:$AD$2501,"OFF"),2)=0,"","STALE")))</f>
        <v/>
      </c>
      <c r="BB1387" s="2" t="str">
        <f>IF(OR(""&amp;$F1387="2",""&amp;$F1387="4",""&amp;$F1387="G",""&amp;$F1387="H"),IF($AY1387="YES","",IF($AB1387&lt;&gt;0,"",IF(COUNTIFS('AR SALES'!$L$2:$L$2501,$L1387,'AR SALES'!$AD$2:$AD$2501,IF(""&amp;$F1387="4","OFF","ON"),'AR SALES'!$AF$2:$AF$2501,"Y")&gt;0,"","NO EXEMPTION"))),"")</f>
        <v/>
      </c>
    </row>
    <row r="1388" spans="46:54" x14ac:dyDescent="0.25">
      <c r="AT1388" s="2" t="str">
        <f>IF($L1388="","",IFERROR(INDEX('AR SALES'!$H$2:$H$2501,MATCH(""&amp;$L1388,'AR SALES'!$AE$2:$AE$2501,0)),""))</f>
        <v/>
      </c>
      <c r="AU1388" s="2" t="str">
        <f t="shared" si="84"/>
        <v/>
      </c>
      <c r="AV1388" s="2" t="str">
        <f t="shared" si="85"/>
        <v/>
      </c>
      <c r="AW1388" s="2" t="str">
        <f t="shared" si="86"/>
        <v/>
      </c>
      <c r="AX1388" s="2" t="str">
        <f t="shared" si="87"/>
        <v/>
      </c>
      <c r="AY1388" s="2" t="str">
        <f>IF($AV1388="","",IF(AND($Z1388=0,COUNTIF('AR SALES'!$L$2:$L$2501,$L1388)=0),"YES",""))</f>
        <v/>
      </c>
      <c r="AZ1388" s="2" t="str">
        <f>IF($AV1388="","",IF(COUNTIF(LISTS!$C$2:$C$250,$AU1388)=0,"NEW",""))</f>
        <v/>
      </c>
      <c r="BA1388" s="2" t="str">
        <f>IF(""&amp;$F1388&lt;&gt;"4","",IF($AY1388="YES","",IF(ROUND(SUMIFS($AE$2:$AE$4001,$L$2:$L$4001,$L1388,$F$2:$F$4001,"4")-SUMIFS('AR SALES'!$Y$2:$Y$2501,'AR SALES'!$L$2:$L$2501,$L1388,'AR SALES'!$AD$2:$AD$2501,"OFF"),2)=0,"","STALE")))</f>
        <v/>
      </c>
      <c r="BB1388" s="2" t="str">
        <f>IF(OR(""&amp;$F1388="2",""&amp;$F1388="4",""&amp;$F1388="G",""&amp;$F1388="H"),IF($AY1388="YES","",IF($AB1388&lt;&gt;0,"",IF(COUNTIFS('AR SALES'!$L$2:$L$2501,$L1388,'AR SALES'!$AD$2:$AD$2501,IF(""&amp;$F1388="4","OFF","ON"),'AR SALES'!$AF$2:$AF$2501,"Y")&gt;0,"","NO EXEMPTION"))),"")</f>
        <v/>
      </c>
    </row>
    <row r="1389" spans="46:54" x14ac:dyDescent="0.25">
      <c r="AT1389" s="2" t="str">
        <f>IF($L1389="","",IFERROR(INDEX('AR SALES'!$H$2:$H$2501,MATCH(""&amp;$L1389,'AR SALES'!$AE$2:$AE$2501,0)),""))</f>
        <v/>
      </c>
      <c r="AU1389" s="2" t="str">
        <f t="shared" si="84"/>
        <v/>
      </c>
      <c r="AV1389" s="2" t="str">
        <f t="shared" si="85"/>
        <v/>
      </c>
      <c r="AW1389" s="2" t="str">
        <f t="shared" si="86"/>
        <v/>
      </c>
      <c r="AX1389" s="2" t="str">
        <f t="shared" si="87"/>
        <v/>
      </c>
      <c r="AY1389" s="2" t="str">
        <f>IF($AV1389="","",IF(AND($Z1389=0,COUNTIF('AR SALES'!$L$2:$L$2501,$L1389)=0),"YES",""))</f>
        <v/>
      </c>
      <c r="AZ1389" s="2" t="str">
        <f>IF($AV1389="","",IF(COUNTIF(LISTS!$C$2:$C$250,$AU1389)=0,"NEW",""))</f>
        <v/>
      </c>
      <c r="BA1389" s="2" t="str">
        <f>IF(""&amp;$F1389&lt;&gt;"4","",IF($AY1389="YES","",IF(ROUND(SUMIFS($AE$2:$AE$4001,$L$2:$L$4001,$L1389,$F$2:$F$4001,"4")-SUMIFS('AR SALES'!$Y$2:$Y$2501,'AR SALES'!$L$2:$L$2501,$L1389,'AR SALES'!$AD$2:$AD$2501,"OFF"),2)=0,"","STALE")))</f>
        <v/>
      </c>
      <c r="BB1389" s="2" t="str">
        <f>IF(OR(""&amp;$F1389="2",""&amp;$F1389="4",""&amp;$F1389="G",""&amp;$F1389="H"),IF($AY1389="YES","",IF($AB1389&lt;&gt;0,"",IF(COUNTIFS('AR SALES'!$L$2:$L$2501,$L1389,'AR SALES'!$AD$2:$AD$2501,IF(""&amp;$F1389="4","OFF","ON"),'AR SALES'!$AF$2:$AF$2501,"Y")&gt;0,"","NO EXEMPTION"))),"")</f>
        <v/>
      </c>
    </row>
    <row r="1390" spans="46:54" x14ac:dyDescent="0.25">
      <c r="AT1390" s="2" t="str">
        <f>IF($L1390="","",IFERROR(INDEX('AR SALES'!$H$2:$H$2501,MATCH(""&amp;$L1390,'AR SALES'!$AE$2:$AE$2501,0)),""))</f>
        <v/>
      </c>
      <c r="AU1390" s="2" t="str">
        <f t="shared" si="84"/>
        <v/>
      </c>
      <c r="AV1390" s="2" t="str">
        <f t="shared" si="85"/>
        <v/>
      </c>
      <c r="AW1390" s="2" t="str">
        <f t="shared" si="86"/>
        <v/>
      </c>
      <c r="AX1390" s="2" t="str">
        <f t="shared" si="87"/>
        <v/>
      </c>
      <c r="AY1390" s="2" t="str">
        <f>IF($AV1390="","",IF(AND($Z1390=0,COUNTIF('AR SALES'!$L$2:$L$2501,$L1390)=0),"YES",""))</f>
        <v/>
      </c>
      <c r="AZ1390" s="2" t="str">
        <f>IF($AV1390="","",IF(COUNTIF(LISTS!$C$2:$C$250,$AU1390)=0,"NEW",""))</f>
        <v/>
      </c>
      <c r="BA1390" s="2" t="str">
        <f>IF(""&amp;$F1390&lt;&gt;"4","",IF($AY1390="YES","",IF(ROUND(SUMIFS($AE$2:$AE$4001,$L$2:$L$4001,$L1390,$F$2:$F$4001,"4")-SUMIFS('AR SALES'!$Y$2:$Y$2501,'AR SALES'!$L$2:$L$2501,$L1390,'AR SALES'!$AD$2:$AD$2501,"OFF"),2)=0,"","STALE")))</f>
        <v/>
      </c>
      <c r="BB1390" s="2" t="str">
        <f>IF(OR(""&amp;$F1390="2",""&amp;$F1390="4",""&amp;$F1390="G",""&amp;$F1390="H"),IF($AY1390="YES","",IF($AB1390&lt;&gt;0,"",IF(COUNTIFS('AR SALES'!$L$2:$L$2501,$L1390,'AR SALES'!$AD$2:$AD$2501,IF(""&amp;$F1390="4","OFF","ON"),'AR SALES'!$AF$2:$AF$2501,"Y")&gt;0,"","NO EXEMPTION"))),"")</f>
        <v/>
      </c>
    </row>
    <row r="1391" spans="46:54" x14ac:dyDescent="0.25">
      <c r="AT1391" s="2" t="str">
        <f>IF($L1391="","",IFERROR(INDEX('AR SALES'!$H$2:$H$2501,MATCH(""&amp;$L1391,'AR SALES'!$AE$2:$AE$2501,0)),""))</f>
        <v/>
      </c>
      <c r="AU1391" s="2" t="str">
        <f t="shared" si="84"/>
        <v/>
      </c>
      <c r="AV1391" s="2" t="str">
        <f t="shared" si="85"/>
        <v/>
      </c>
      <c r="AW1391" s="2" t="str">
        <f t="shared" si="86"/>
        <v/>
      </c>
      <c r="AX1391" s="2" t="str">
        <f t="shared" si="87"/>
        <v/>
      </c>
      <c r="AY1391" s="2" t="str">
        <f>IF($AV1391="","",IF(AND($Z1391=0,COUNTIF('AR SALES'!$L$2:$L$2501,$L1391)=0),"YES",""))</f>
        <v/>
      </c>
      <c r="AZ1391" s="2" t="str">
        <f>IF($AV1391="","",IF(COUNTIF(LISTS!$C$2:$C$250,$AU1391)=0,"NEW",""))</f>
        <v/>
      </c>
      <c r="BA1391" s="2" t="str">
        <f>IF(""&amp;$F1391&lt;&gt;"4","",IF($AY1391="YES","",IF(ROUND(SUMIFS($AE$2:$AE$4001,$L$2:$L$4001,$L1391,$F$2:$F$4001,"4")-SUMIFS('AR SALES'!$Y$2:$Y$2501,'AR SALES'!$L$2:$L$2501,$L1391,'AR SALES'!$AD$2:$AD$2501,"OFF"),2)=0,"","STALE")))</f>
        <v/>
      </c>
      <c r="BB1391" s="2" t="str">
        <f>IF(OR(""&amp;$F1391="2",""&amp;$F1391="4",""&amp;$F1391="G",""&amp;$F1391="H"),IF($AY1391="YES","",IF($AB1391&lt;&gt;0,"",IF(COUNTIFS('AR SALES'!$L$2:$L$2501,$L1391,'AR SALES'!$AD$2:$AD$2501,IF(""&amp;$F1391="4","OFF","ON"),'AR SALES'!$AF$2:$AF$2501,"Y")&gt;0,"","NO EXEMPTION"))),"")</f>
        <v/>
      </c>
    </row>
    <row r="1392" spans="46:54" x14ac:dyDescent="0.25">
      <c r="AT1392" s="2" t="str">
        <f>IF($L1392="","",IFERROR(INDEX('AR SALES'!$H$2:$H$2501,MATCH(""&amp;$L1392,'AR SALES'!$AE$2:$AE$2501,0)),""))</f>
        <v/>
      </c>
      <c r="AU1392" s="2" t="str">
        <f t="shared" si="84"/>
        <v/>
      </c>
      <c r="AV1392" s="2" t="str">
        <f t="shared" si="85"/>
        <v/>
      </c>
      <c r="AW1392" s="2" t="str">
        <f t="shared" si="86"/>
        <v/>
      </c>
      <c r="AX1392" s="2" t="str">
        <f t="shared" si="87"/>
        <v/>
      </c>
      <c r="AY1392" s="2" t="str">
        <f>IF($AV1392="","",IF(AND($Z1392=0,COUNTIF('AR SALES'!$L$2:$L$2501,$L1392)=0),"YES",""))</f>
        <v/>
      </c>
      <c r="AZ1392" s="2" t="str">
        <f>IF($AV1392="","",IF(COUNTIF(LISTS!$C$2:$C$250,$AU1392)=0,"NEW",""))</f>
        <v/>
      </c>
      <c r="BA1392" s="2" t="str">
        <f>IF(""&amp;$F1392&lt;&gt;"4","",IF($AY1392="YES","",IF(ROUND(SUMIFS($AE$2:$AE$4001,$L$2:$L$4001,$L1392,$F$2:$F$4001,"4")-SUMIFS('AR SALES'!$Y$2:$Y$2501,'AR SALES'!$L$2:$L$2501,$L1392,'AR SALES'!$AD$2:$AD$2501,"OFF"),2)=0,"","STALE")))</f>
        <v/>
      </c>
      <c r="BB1392" s="2" t="str">
        <f>IF(OR(""&amp;$F1392="2",""&amp;$F1392="4",""&amp;$F1392="G",""&amp;$F1392="H"),IF($AY1392="YES","",IF($AB1392&lt;&gt;0,"",IF(COUNTIFS('AR SALES'!$L$2:$L$2501,$L1392,'AR SALES'!$AD$2:$AD$2501,IF(""&amp;$F1392="4","OFF","ON"),'AR SALES'!$AF$2:$AF$2501,"Y")&gt;0,"","NO EXEMPTION"))),"")</f>
        <v/>
      </c>
    </row>
    <row r="1393" spans="46:54" x14ac:dyDescent="0.25">
      <c r="AT1393" s="2" t="str">
        <f>IF($L1393="","",IFERROR(INDEX('AR SALES'!$H$2:$H$2501,MATCH(""&amp;$L1393,'AR SALES'!$AE$2:$AE$2501,0)),""))</f>
        <v/>
      </c>
      <c r="AU1393" s="2" t="str">
        <f t="shared" si="84"/>
        <v/>
      </c>
      <c r="AV1393" s="2" t="str">
        <f t="shared" si="85"/>
        <v/>
      </c>
      <c r="AW1393" s="2" t="str">
        <f t="shared" si="86"/>
        <v/>
      </c>
      <c r="AX1393" s="2" t="str">
        <f t="shared" si="87"/>
        <v/>
      </c>
      <c r="AY1393" s="2" t="str">
        <f>IF($AV1393="","",IF(AND($Z1393=0,COUNTIF('AR SALES'!$L$2:$L$2501,$L1393)=0),"YES",""))</f>
        <v/>
      </c>
      <c r="AZ1393" s="2" t="str">
        <f>IF($AV1393="","",IF(COUNTIF(LISTS!$C$2:$C$250,$AU1393)=0,"NEW",""))</f>
        <v/>
      </c>
      <c r="BA1393" s="2" t="str">
        <f>IF(""&amp;$F1393&lt;&gt;"4","",IF($AY1393="YES","",IF(ROUND(SUMIFS($AE$2:$AE$4001,$L$2:$L$4001,$L1393,$F$2:$F$4001,"4")-SUMIFS('AR SALES'!$Y$2:$Y$2501,'AR SALES'!$L$2:$L$2501,$L1393,'AR SALES'!$AD$2:$AD$2501,"OFF"),2)=0,"","STALE")))</f>
        <v/>
      </c>
      <c r="BB1393" s="2" t="str">
        <f>IF(OR(""&amp;$F1393="2",""&amp;$F1393="4",""&amp;$F1393="G",""&amp;$F1393="H"),IF($AY1393="YES","",IF($AB1393&lt;&gt;0,"",IF(COUNTIFS('AR SALES'!$L$2:$L$2501,$L1393,'AR SALES'!$AD$2:$AD$2501,IF(""&amp;$F1393="4","OFF","ON"),'AR SALES'!$AF$2:$AF$2501,"Y")&gt;0,"","NO EXEMPTION"))),"")</f>
        <v/>
      </c>
    </row>
    <row r="1394" spans="46:54" x14ac:dyDescent="0.25">
      <c r="AT1394" s="2" t="str">
        <f>IF($L1394="","",IFERROR(INDEX('AR SALES'!$H$2:$H$2501,MATCH(""&amp;$L1394,'AR SALES'!$AE$2:$AE$2501,0)),""))</f>
        <v/>
      </c>
      <c r="AU1394" s="2" t="str">
        <f t="shared" si="84"/>
        <v/>
      </c>
      <c r="AV1394" s="2" t="str">
        <f t="shared" si="85"/>
        <v/>
      </c>
      <c r="AW1394" s="2" t="str">
        <f t="shared" si="86"/>
        <v/>
      </c>
      <c r="AX1394" s="2" t="str">
        <f t="shared" si="87"/>
        <v/>
      </c>
      <c r="AY1394" s="2" t="str">
        <f>IF($AV1394="","",IF(AND($Z1394=0,COUNTIF('AR SALES'!$L$2:$L$2501,$L1394)=0),"YES",""))</f>
        <v/>
      </c>
      <c r="AZ1394" s="2" t="str">
        <f>IF($AV1394="","",IF(COUNTIF(LISTS!$C$2:$C$250,$AU1394)=0,"NEW",""))</f>
        <v/>
      </c>
      <c r="BA1394" s="2" t="str">
        <f>IF(""&amp;$F1394&lt;&gt;"4","",IF($AY1394="YES","",IF(ROUND(SUMIFS($AE$2:$AE$4001,$L$2:$L$4001,$L1394,$F$2:$F$4001,"4")-SUMIFS('AR SALES'!$Y$2:$Y$2501,'AR SALES'!$L$2:$L$2501,$L1394,'AR SALES'!$AD$2:$AD$2501,"OFF"),2)=0,"","STALE")))</f>
        <v/>
      </c>
      <c r="BB1394" s="2" t="str">
        <f>IF(OR(""&amp;$F1394="2",""&amp;$F1394="4",""&amp;$F1394="G",""&amp;$F1394="H"),IF($AY1394="YES","",IF($AB1394&lt;&gt;0,"",IF(COUNTIFS('AR SALES'!$L$2:$L$2501,$L1394,'AR SALES'!$AD$2:$AD$2501,IF(""&amp;$F1394="4","OFF","ON"),'AR SALES'!$AF$2:$AF$2501,"Y")&gt;0,"","NO EXEMPTION"))),"")</f>
        <v/>
      </c>
    </row>
    <row r="1395" spans="46:54" x14ac:dyDescent="0.25">
      <c r="AT1395" s="2" t="str">
        <f>IF($L1395="","",IFERROR(INDEX('AR SALES'!$H$2:$H$2501,MATCH(""&amp;$L1395,'AR SALES'!$AE$2:$AE$2501,0)),""))</f>
        <v/>
      </c>
      <c r="AU1395" s="2" t="str">
        <f t="shared" si="84"/>
        <v/>
      </c>
      <c r="AV1395" s="2" t="str">
        <f t="shared" si="85"/>
        <v/>
      </c>
      <c r="AW1395" s="2" t="str">
        <f t="shared" si="86"/>
        <v/>
      </c>
      <c r="AX1395" s="2" t="str">
        <f t="shared" si="87"/>
        <v/>
      </c>
      <c r="AY1395" s="2" t="str">
        <f>IF($AV1395="","",IF(AND($Z1395=0,COUNTIF('AR SALES'!$L$2:$L$2501,$L1395)=0),"YES",""))</f>
        <v/>
      </c>
      <c r="AZ1395" s="2" t="str">
        <f>IF($AV1395="","",IF(COUNTIF(LISTS!$C$2:$C$250,$AU1395)=0,"NEW",""))</f>
        <v/>
      </c>
      <c r="BA1395" s="2" t="str">
        <f>IF(""&amp;$F1395&lt;&gt;"4","",IF($AY1395="YES","",IF(ROUND(SUMIFS($AE$2:$AE$4001,$L$2:$L$4001,$L1395,$F$2:$F$4001,"4")-SUMIFS('AR SALES'!$Y$2:$Y$2501,'AR SALES'!$L$2:$L$2501,$L1395,'AR SALES'!$AD$2:$AD$2501,"OFF"),2)=0,"","STALE")))</f>
        <v/>
      </c>
      <c r="BB1395" s="2" t="str">
        <f>IF(OR(""&amp;$F1395="2",""&amp;$F1395="4",""&amp;$F1395="G",""&amp;$F1395="H"),IF($AY1395="YES","",IF($AB1395&lt;&gt;0,"",IF(COUNTIFS('AR SALES'!$L$2:$L$2501,$L1395,'AR SALES'!$AD$2:$AD$2501,IF(""&amp;$F1395="4","OFF","ON"),'AR SALES'!$AF$2:$AF$2501,"Y")&gt;0,"","NO EXEMPTION"))),"")</f>
        <v/>
      </c>
    </row>
    <row r="1396" spans="46:54" x14ac:dyDescent="0.25">
      <c r="AT1396" s="2" t="str">
        <f>IF($L1396="","",IFERROR(INDEX('AR SALES'!$H$2:$H$2501,MATCH(""&amp;$L1396,'AR SALES'!$AE$2:$AE$2501,0)),""))</f>
        <v/>
      </c>
      <c r="AU1396" s="2" t="str">
        <f t="shared" si="84"/>
        <v/>
      </c>
      <c r="AV1396" s="2" t="str">
        <f t="shared" si="85"/>
        <v/>
      </c>
      <c r="AW1396" s="2" t="str">
        <f t="shared" si="86"/>
        <v/>
      </c>
      <c r="AX1396" s="2" t="str">
        <f t="shared" si="87"/>
        <v/>
      </c>
      <c r="AY1396" s="2" t="str">
        <f>IF($AV1396="","",IF(AND($Z1396=0,COUNTIF('AR SALES'!$L$2:$L$2501,$L1396)=0),"YES",""))</f>
        <v/>
      </c>
      <c r="AZ1396" s="2" t="str">
        <f>IF($AV1396="","",IF(COUNTIF(LISTS!$C$2:$C$250,$AU1396)=0,"NEW",""))</f>
        <v/>
      </c>
      <c r="BA1396" s="2" t="str">
        <f>IF(""&amp;$F1396&lt;&gt;"4","",IF($AY1396="YES","",IF(ROUND(SUMIFS($AE$2:$AE$4001,$L$2:$L$4001,$L1396,$F$2:$F$4001,"4")-SUMIFS('AR SALES'!$Y$2:$Y$2501,'AR SALES'!$L$2:$L$2501,$L1396,'AR SALES'!$AD$2:$AD$2501,"OFF"),2)=0,"","STALE")))</f>
        <v/>
      </c>
      <c r="BB1396" s="2" t="str">
        <f>IF(OR(""&amp;$F1396="2",""&amp;$F1396="4",""&amp;$F1396="G",""&amp;$F1396="H"),IF($AY1396="YES","",IF($AB1396&lt;&gt;0,"",IF(COUNTIFS('AR SALES'!$L$2:$L$2501,$L1396,'AR SALES'!$AD$2:$AD$2501,IF(""&amp;$F1396="4","OFF","ON"),'AR SALES'!$AF$2:$AF$2501,"Y")&gt;0,"","NO EXEMPTION"))),"")</f>
        <v/>
      </c>
    </row>
    <row r="1397" spans="46:54" x14ac:dyDescent="0.25">
      <c r="AT1397" s="2" t="str">
        <f>IF($L1397="","",IFERROR(INDEX('AR SALES'!$H$2:$H$2501,MATCH(""&amp;$L1397,'AR SALES'!$AE$2:$AE$2501,0)),""))</f>
        <v/>
      </c>
      <c r="AU1397" s="2" t="str">
        <f t="shared" si="84"/>
        <v/>
      </c>
      <c r="AV1397" s="2" t="str">
        <f t="shared" si="85"/>
        <v/>
      </c>
      <c r="AW1397" s="2" t="str">
        <f t="shared" si="86"/>
        <v/>
      </c>
      <c r="AX1397" s="2" t="str">
        <f t="shared" si="87"/>
        <v/>
      </c>
      <c r="AY1397" s="2" t="str">
        <f>IF($AV1397="","",IF(AND($Z1397=0,COUNTIF('AR SALES'!$L$2:$L$2501,$L1397)=0),"YES",""))</f>
        <v/>
      </c>
      <c r="AZ1397" s="2" t="str">
        <f>IF($AV1397="","",IF(COUNTIF(LISTS!$C$2:$C$250,$AU1397)=0,"NEW",""))</f>
        <v/>
      </c>
      <c r="BA1397" s="2" t="str">
        <f>IF(""&amp;$F1397&lt;&gt;"4","",IF($AY1397="YES","",IF(ROUND(SUMIFS($AE$2:$AE$4001,$L$2:$L$4001,$L1397,$F$2:$F$4001,"4")-SUMIFS('AR SALES'!$Y$2:$Y$2501,'AR SALES'!$L$2:$L$2501,$L1397,'AR SALES'!$AD$2:$AD$2501,"OFF"),2)=0,"","STALE")))</f>
        <v/>
      </c>
      <c r="BB1397" s="2" t="str">
        <f>IF(OR(""&amp;$F1397="2",""&amp;$F1397="4",""&amp;$F1397="G",""&amp;$F1397="H"),IF($AY1397="YES","",IF($AB1397&lt;&gt;0,"",IF(COUNTIFS('AR SALES'!$L$2:$L$2501,$L1397,'AR SALES'!$AD$2:$AD$2501,IF(""&amp;$F1397="4","OFF","ON"),'AR SALES'!$AF$2:$AF$2501,"Y")&gt;0,"","NO EXEMPTION"))),"")</f>
        <v/>
      </c>
    </row>
    <row r="1398" spans="46:54" x14ac:dyDescent="0.25">
      <c r="AT1398" s="2" t="str">
        <f>IF($L1398="","",IFERROR(INDEX('AR SALES'!$H$2:$H$2501,MATCH(""&amp;$L1398,'AR SALES'!$AE$2:$AE$2501,0)),""))</f>
        <v/>
      </c>
      <c r="AU1398" s="2" t="str">
        <f t="shared" si="84"/>
        <v/>
      </c>
      <c r="AV1398" s="2" t="str">
        <f t="shared" si="85"/>
        <v/>
      </c>
      <c r="AW1398" s="2" t="str">
        <f t="shared" si="86"/>
        <v/>
      </c>
      <c r="AX1398" s="2" t="str">
        <f t="shared" si="87"/>
        <v/>
      </c>
      <c r="AY1398" s="2" t="str">
        <f>IF($AV1398="","",IF(AND($Z1398=0,COUNTIF('AR SALES'!$L$2:$L$2501,$L1398)=0),"YES",""))</f>
        <v/>
      </c>
      <c r="AZ1398" s="2" t="str">
        <f>IF($AV1398="","",IF(COUNTIF(LISTS!$C$2:$C$250,$AU1398)=0,"NEW",""))</f>
        <v/>
      </c>
      <c r="BA1398" s="2" t="str">
        <f>IF(""&amp;$F1398&lt;&gt;"4","",IF($AY1398="YES","",IF(ROUND(SUMIFS($AE$2:$AE$4001,$L$2:$L$4001,$L1398,$F$2:$F$4001,"4")-SUMIFS('AR SALES'!$Y$2:$Y$2501,'AR SALES'!$L$2:$L$2501,$L1398,'AR SALES'!$AD$2:$AD$2501,"OFF"),2)=0,"","STALE")))</f>
        <v/>
      </c>
      <c r="BB1398" s="2" t="str">
        <f>IF(OR(""&amp;$F1398="2",""&amp;$F1398="4",""&amp;$F1398="G",""&amp;$F1398="H"),IF($AY1398="YES","",IF($AB1398&lt;&gt;0,"",IF(COUNTIFS('AR SALES'!$L$2:$L$2501,$L1398,'AR SALES'!$AD$2:$AD$2501,IF(""&amp;$F1398="4","OFF","ON"),'AR SALES'!$AF$2:$AF$2501,"Y")&gt;0,"","NO EXEMPTION"))),"")</f>
        <v/>
      </c>
    </row>
    <row r="1399" spans="46:54" x14ac:dyDescent="0.25">
      <c r="AT1399" s="2" t="str">
        <f>IF($L1399="","",IFERROR(INDEX('AR SALES'!$H$2:$H$2501,MATCH(""&amp;$L1399,'AR SALES'!$AE$2:$AE$2501,0)),""))</f>
        <v/>
      </c>
      <c r="AU1399" s="2" t="str">
        <f t="shared" si="84"/>
        <v/>
      </c>
      <c r="AV1399" s="2" t="str">
        <f t="shared" si="85"/>
        <v/>
      </c>
      <c r="AW1399" s="2" t="str">
        <f t="shared" si="86"/>
        <v/>
      </c>
      <c r="AX1399" s="2" t="str">
        <f t="shared" si="87"/>
        <v/>
      </c>
      <c r="AY1399" s="2" t="str">
        <f>IF($AV1399="","",IF(AND($Z1399=0,COUNTIF('AR SALES'!$L$2:$L$2501,$L1399)=0),"YES",""))</f>
        <v/>
      </c>
      <c r="AZ1399" s="2" t="str">
        <f>IF($AV1399="","",IF(COUNTIF(LISTS!$C$2:$C$250,$AU1399)=0,"NEW",""))</f>
        <v/>
      </c>
      <c r="BA1399" s="2" t="str">
        <f>IF(""&amp;$F1399&lt;&gt;"4","",IF($AY1399="YES","",IF(ROUND(SUMIFS($AE$2:$AE$4001,$L$2:$L$4001,$L1399,$F$2:$F$4001,"4")-SUMIFS('AR SALES'!$Y$2:$Y$2501,'AR SALES'!$L$2:$L$2501,$L1399,'AR SALES'!$AD$2:$AD$2501,"OFF"),2)=0,"","STALE")))</f>
        <v/>
      </c>
      <c r="BB1399" s="2" t="str">
        <f>IF(OR(""&amp;$F1399="2",""&amp;$F1399="4",""&amp;$F1399="G",""&amp;$F1399="H"),IF($AY1399="YES","",IF($AB1399&lt;&gt;0,"",IF(COUNTIFS('AR SALES'!$L$2:$L$2501,$L1399,'AR SALES'!$AD$2:$AD$2501,IF(""&amp;$F1399="4","OFF","ON"),'AR SALES'!$AF$2:$AF$2501,"Y")&gt;0,"","NO EXEMPTION"))),"")</f>
        <v/>
      </c>
    </row>
    <row r="1400" spans="46:54" x14ac:dyDescent="0.25">
      <c r="AT1400" s="2" t="str">
        <f>IF($L1400="","",IFERROR(INDEX('AR SALES'!$H$2:$H$2501,MATCH(""&amp;$L1400,'AR SALES'!$AE$2:$AE$2501,0)),""))</f>
        <v/>
      </c>
      <c r="AU1400" s="2" t="str">
        <f t="shared" si="84"/>
        <v/>
      </c>
      <c r="AV1400" s="2" t="str">
        <f t="shared" si="85"/>
        <v/>
      </c>
      <c r="AW1400" s="2" t="str">
        <f t="shared" si="86"/>
        <v/>
      </c>
      <c r="AX1400" s="2" t="str">
        <f t="shared" si="87"/>
        <v/>
      </c>
      <c r="AY1400" s="2" t="str">
        <f>IF($AV1400="","",IF(AND($Z1400=0,COUNTIF('AR SALES'!$L$2:$L$2501,$L1400)=0),"YES",""))</f>
        <v/>
      </c>
      <c r="AZ1400" s="2" t="str">
        <f>IF($AV1400="","",IF(COUNTIF(LISTS!$C$2:$C$250,$AU1400)=0,"NEW",""))</f>
        <v/>
      </c>
      <c r="BA1400" s="2" t="str">
        <f>IF(""&amp;$F1400&lt;&gt;"4","",IF($AY1400="YES","",IF(ROUND(SUMIFS($AE$2:$AE$4001,$L$2:$L$4001,$L1400,$F$2:$F$4001,"4")-SUMIFS('AR SALES'!$Y$2:$Y$2501,'AR SALES'!$L$2:$L$2501,$L1400,'AR SALES'!$AD$2:$AD$2501,"OFF"),2)=0,"","STALE")))</f>
        <v/>
      </c>
      <c r="BB1400" s="2" t="str">
        <f>IF(OR(""&amp;$F1400="2",""&amp;$F1400="4",""&amp;$F1400="G",""&amp;$F1400="H"),IF($AY1400="YES","",IF($AB1400&lt;&gt;0,"",IF(COUNTIFS('AR SALES'!$L$2:$L$2501,$L1400,'AR SALES'!$AD$2:$AD$2501,IF(""&amp;$F1400="4","OFF","ON"),'AR SALES'!$AF$2:$AF$2501,"Y")&gt;0,"","NO EXEMPTION"))),"")</f>
        <v/>
      </c>
    </row>
    <row r="1401" spans="46:54" x14ac:dyDescent="0.25">
      <c r="AT1401" s="2" t="str">
        <f>IF($L1401="","",IFERROR(INDEX('AR SALES'!$H$2:$H$2501,MATCH(""&amp;$L1401,'AR SALES'!$AE$2:$AE$2501,0)),""))</f>
        <v/>
      </c>
      <c r="AU1401" s="2" t="str">
        <f t="shared" si="84"/>
        <v/>
      </c>
      <c r="AV1401" s="2" t="str">
        <f t="shared" si="85"/>
        <v/>
      </c>
      <c r="AW1401" s="2" t="str">
        <f t="shared" si="86"/>
        <v/>
      </c>
      <c r="AX1401" s="2" t="str">
        <f t="shared" si="87"/>
        <v/>
      </c>
      <c r="AY1401" s="2" t="str">
        <f>IF($AV1401="","",IF(AND($Z1401=0,COUNTIF('AR SALES'!$L$2:$L$2501,$L1401)=0),"YES",""))</f>
        <v/>
      </c>
      <c r="AZ1401" s="2" t="str">
        <f>IF($AV1401="","",IF(COUNTIF(LISTS!$C$2:$C$250,$AU1401)=0,"NEW",""))</f>
        <v/>
      </c>
      <c r="BA1401" s="2" t="str">
        <f>IF(""&amp;$F1401&lt;&gt;"4","",IF($AY1401="YES","",IF(ROUND(SUMIFS($AE$2:$AE$4001,$L$2:$L$4001,$L1401,$F$2:$F$4001,"4")-SUMIFS('AR SALES'!$Y$2:$Y$2501,'AR SALES'!$L$2:$L$2501,$L1401,'AR SALES'!$AD$2:$AD$2501,"OFF"),2)=0,"","STALE")))</f>
        <v/>
      </c>
      <c r="BB1401" s="2" t="str">
        <f>IF(OR(""&amp;$F1401="2",""&amp;$F1401="4",""&amp;$F1401="G",""&amp;$F1401="H"),IF($AY1401="YES","",IF($AB1401&lt;&gt;0,"",IF(COUNTIFS('AR SALES'!$L$2:$L$2501,$L1401,'AR SALES'!$AD$2:$AD$2501,IF(""&amp;$F1401="4","OFF","ON"),'AR SALES'!$AF$2:$AF$2501,"Y")&gt;0,"","NO EXEMPTION"))),"")</f>
        <v/>
      </c>
    </row>
    <row r="1402" spans="46:54" x14ac:dyDescent="0.25">
      <c r="AT1402" s="2" t="str">
        <f>IF($L1402="","",IFERROR(INDEX('AR SALES'!$H$2:$H$2501,MATCH(""&amp;$L1402,'AR SALES'!$AE$2:$AE$2501,0)),""))</f>
        <v/>
      </c>
      <c r="AU1402" s="2" t="str">
        <f t="shared" si="84"/>
        <v/>
      </c>
      <c r="AV1402" s="2" t="str">
        <f t="shared" si="85"/>
        <v/>
      </c>
      <c r="AW1402" s="2" t="str">
        <f t="shared" si="86"/>
        <v/>
      </c>
      <c r="AX1402" s="2" t="str">
        <f t="shared" si="87"/>
        <v/>
      </c>
      <c r="AY1402" s="2" t="str">
        <f>IF($AV1402="","",IF(AND($Z1402=0,COUNTIF('AR SALES'!$L$2:$L$2501,$L1402)=0),"YES",""))</f>
        <v/>
      </c>
      <c r="AZ1402" s="2" t="str">
        <f>IF($AV1402="","",IF(COUNTIF(LISTS!$C$2:$C$250,$AU1402)=0,"NEW",""))</f>
        <v/>
      </c>
      <c r="BA1402" s="2" t="str">
        <f>IF(""&amp;$F1402&lt;&gt;"4","",IF($AY1402="YES","",IF(ROUND(SUMIFS($AE$2:$AE$4001,$L$2:$L$4001,$L1402,$F$2:$F$4001,"4")-SUMIFS('AR SALES'!$Y$2:$Y$2501,'AR SALES'!$L$2:$L$2501,$L1402,'AR SALES'!$AD$2:$AD$2501,"OFF"),2)=0,"","STALE")))</f>
        <v/>
      </c>
      <c r="BB1402" s="2" t="str">
        <f>IF(OR(""&amp;$F1402="2",""&amp;$F1402="4",""&amp;$F1402="G",""&amp;$F1402="H"),IF($AY1402="YES","",IF($AB1402&lt;&gt;0,"",IF(COUNTIFS('AR SALES'!$L$2:$L$2501,$L1402,'AR SALES'!$AD$2:$AD$2501,IF(""&amp;$F1402="4","OFF","ON"),'AR SALES'!$AF$2:$AF$2501,"Y")&gt;0,"","NO EXEMPTION"))),"")</f>
        <v/>
      </c>
    </row>
    <row r="1403" spans="46:54" x14ac:dyDescent="0.25">
      <c r="AT1403" s="2" t="str">
        <f>IF($L1403="","",IFERROR(INDEX('AR SALES'!$H$2:$H$2501,MATCH(""&amp;$L1403,'AR SALES'!$AE$2:$AE$2501,0)),""))</f>
        <v/>
      </c>
      <c r="AU1403" s="2" t="str">
        <f t="shared" si="84"/>
        <v/>
      </c>
      <c r="AV1403" s="2" t="str">
        <f t="shared" si="85"/>
        <v/>
      </c>
      <c r="AW1403" s="2" t="str">
        <f t="shared" si="86"/>
        <v/>
      </c>
      <c r="AX1403" s="2" t="str">
        <f t="shared" si="87"/>
        <v/>
      </c>
      <c r="AY1403" s="2" t="str">
        <f>IF($AV1403="","",IF(AND($Z1403=0,COUNTIF('AR SALES'!$L$2:$L$2501,$L1403)=0),"YES",""))</f>
        <v/>
      </c>
      <c r="AZ1403" s="2" t="str">
        <f>IF($AV1403="","",IF(COUNTIF(LISTS!$C$2:$C$250,$AU1403)=0,"NEW",""))</f>
        <v/>
      </c>
      <c r="BA1403" s="2" t="str">
        <f>IF(""&amp;$F1403&lt;&gt;"4","",IF($AY1403="YES","",IF(ROUND(SUMIFS($AE$2:$AE$4001,$L$2:$L$4001,$L1403,$F$2:$F$4001,"4")-SUMIFS('AR SALES'!$Y$2:$Y$2501,'AR SALES'!$L$2:$L$2501,$L1403,'AR SALES'!$AD$2:$AD$2501,"OFF"),2)=0,"","STALE")))</f>
        <v/>
      </c>
      <c r="BB1403" s="2" t="str">
        <f>IF(OR(""&amp;$F1403="2",""&amp;$F1403="4",""&amp;$F1403="G",""&amp;$F1403="H"),IF($AY1403="YES","",IF($AB1403&lt;&gt;0,"",IF(COUNTIFS('AR SALES'!$L$2:$L$2501,$L1403,'AR SALES'!$AD$2:$AD$2501,IF(""&amp;$F1403="4","OFF","ON"),'AR SALES'!$AF$2:$AF$2501,"Y")&gt;0,"","NO EXEMPTION"))),"")</f>
        <v/>
      </c>
    </row>
    <row r="1404" spans="46:54" x14ac:dyDescent="0.25">
      <c r="AT1404" s="2" t="str">
        <f>IF($L1404="","",IFERROR(INDEX('AR SALES'!$H$2:$H$2501,MATCH(""&amp;$L1404,'AR SALES'!$AE$2:$AE$2501,0)),""))</f>
        <v/>
      </c>
      <c r="AU1404" s="2" t="str">
        <f t="shared" si="84"/>
        <v/>
      </c>
      <c r="AV1404" s="2" t="str">
        <f t="shared" si="85"/>
        <v/>
      </c>
      <c r="AW1404" s="2" t="str">
        <f t="shared" si="86"/>
        <v/>
      </c>
      <c r="AX1404" s="2" t="str">
        <f t="shared" si="87"/>
        <v/>
      </c>
      <c r="AY1404" s="2" t="str">
        <f>IF($AV1404="","",IF(AND($Z1404=0,COUNTIF('AR SALES'!$L$2:$L$2501,$L1404)=0),"YES",""))</f>
        <v/>
      </c>
      <c r="AZ1404" s="2" t="str">
        <f>IF($AV1404="","",IF(COUNTIF(LISTS!$C$2:$C$250,$AU1404)=0,"NEW",""))</f>
        <v/>
      </c>
      <c r="BA1404" s="2" t="str">
        <f>IF(""&amp;$F1404&lt;&gt;"4","",IF($AY1404="YES","",IF(ROUND(SUMIFS($AE$2:$AE$4001,$L$2:$L$4001,$L1404,$F$2:$F$4001,"4")-SUMIFS('AR SALES'!$Y$2:$Y$2501,'AR SALES'!$L$2:$L$2501,$L1404,'AR SALES'!$AD$2:$AD$2501,"OFF"),2)=0,"","STALE")))</f>
        <v/>
      </c>
      <c r="BB1404" s="2" t="str">
        <f>IF(OR(""&amp;$F1404="2",""&amp;$F1404="4",""&amp;$F1404="G",""&amp;$F1404="H"),IF($AY1404="YES","",IF($AB1404&lt;&gt;0,"",IF(COUNTIFS('AR SALES'!$L$2:$L$2501,$L1404,'AR SALES'!$AD$2:$AD$2501,IF(""&amp;$F1404="4","OFF","ON"),'AR SALES'!$AF$2:$AF$2501,"Y")&gt;0,"","NO EXEMPTION"))),"")</f>
        <v/>
      </c>
    </row>
    <row r="1405" spans="46:54" x14ac:dyDescent="0.25">
      <c r="AT1405" s="2" t="str">
        <f>IF($L1405="","",IFERROR(INDEX('AR SALES'!$H$2:$H$2501,MATCH(""&amp;$L1405,'AR SALES'!$AE$2:$AE$2501,0)),""))</f>
        <v/>
      </c>
      <c r="AU1405" s="2" t="str">
        <f t="shared" si="84"/>
        <v/>
      </c>
      <c r="AV1405" s="2" t="str">
        <f t="shared" si="85"/>
        <v/>
      </c>
      <c r="AW1405" s="2" t="str">
        <f t="shared" si="86"/>
        <v/>
      </c>
      <c r="AX1405" s="2" t="str">
        <f t="shared" si="87"/>
        <v/>
      </c>
      <c r="AY1405" s="2" t="str">
        <f>IF($AV1405="","",IF(AND($Z1405=0,COUNTIF('AR SALES'!$L$2:$L$2501,$L1405)=0),"YES",""))</f>
        <v/>
      </c>
      <c r="AZ1405" s="2" t="str">
        <f>IF($AV1405="","",IF(COUNTIF(LISTS!$C$2:$C$250,$AU1405)=0,"NEW",""))</f>
        <v/>
      </c>
      <c r="BA1405" s="2" t="str">
        <f>IF(""&amp;$F1405&lt;&gt;"4","",IF($AY1405="YES","",IF(ROUND(SUMIFS($AE$2:$AE$4001,$L$2:$L$4001,$L1405,$F$2:$F$4001,"4")-SUMIFS('AR SALES'!$Y$2:$Y$2501,'AR SALES'!$L$2:$L$2501,$L1405,'AR SALES'!$AD$2:$AD$2501,"OFF"),2)=0,"","STALE")))</f>
        <v/>
      </c>
      <c r="BB1405" s="2" t="str">
        <f>IF(OR(""&amp;$F1405="2",""&amp;$F1405="4",""&amp;$F1405="G",""&amp;$F1405="H"),IF($AY1405="YES","",IF($AB1405&lt;&gt;0,"",IF(COUNTIFS('AR SALES'!$L$2:$L$2501,$L1405,'AR SALES'!$AD$2:$AD$2501,IF(""&amp;$F1405="4","OFF","ON"),'AR SALES'!$AF$2:$AF$2501,"Y")&gt;0,"","NO EXEMPTION"))),"")</f>
        <v/>
      </c>
    </row>
    <row r="1406" spans="46:54" x14ac:dyDescent="0.25">
      <c r="AT1406" s="2" t="str">
        <f>IF($L1406="","",IFERROR(INDEX('AR SALES'!$H$2:$H$2501,MATCH(""&amp;$L1406,'AR SALES'!$AE$2:$AE$2501,0)),""))</f>
        <v/>
      </c>
      <c r="AU1406" s="2" t="str">
        <f t="shared" si="84"/>
        <v/>
      </c>
      <c r="AV1406" s="2" t="str">
        <f t="shared" si="85"/>
        <v/>
      </c>
      <c r="AW1406" s="2" t="str">
        <f t="shared" si="86"/>
        <v/>
      </c>
      <c r="AX1406" s="2" t="str">
        <f t="shared" si="87"/>
        <v/>
      </c>
      <c r="AY1406" s="2" t="str">
        <f>IF($AV1406="","",IF(AND($Z1406=0,COUNTIF('AR SALES'!$L$2:$L$2501,$L1406)=0),"YES",""))</f>
        <v/>
      </c>
      <c r="AZ1406" s="2" t="str">
        <f>IF($AV1406="","",IF(COUNTIF(LISTS!$C$2:$C$250,$AU1406)=0,"NEW",""))</f>
        <v/>
      </c>
      <c r="BA1406" s="2" t="str">
        <f>IF(""&amp;$F1406&lt;&gt;"4","",IF($AY1406="YES","",IF(ROUND(SUMIFS($AE$2:$AE$4001,$L$2:$L$4001,$L1406,$F$2:$F$4001,"4")-SUMIFS('AR SALES'!$Y$2:$Y$2501,'AR SALES'!$L$2:$L$2501,$L1406,'AR SALES'!$AD$2:$AD$2501,"OFF"),2)=0,"","STALE")))</f>
        <v/>
      </c>
      <c r="BB1406" s="2" t="str">
        <f>IF(OR(""&amp;$F1406="2",""&amp;$F1406="4",""&amp;$F1406="G",""&amp;$F1406="H"),IF($AY1406="YES","",IF($AB1406&lt;&gt;0,"",IF(COUNTIFS('AR SALES'!$L$2:$L$2501,$L1406,'AR SALES'!$AD$2:$AD$2501,IF(""&amp;$F1406="4","OFF","ON"),'AR SALES'!$AF$2:$AF$2501,"Y")&gt;0,"","NO EXEMPTION"))),"")</f>
        <v/>
      </c>
    </row>
    <row r="1407" spans="46:54" x14ac:dyDescent="0.25">
      <c r="AT1407" s="2" t="str">
        <f>IF($L1407="","",IFERROR(INDEX('AR SALES'!$H$2:$H$2501,MATCH(""&amp;$L1407,'AR SALES'!$AE$2:$AE$2501,0)),""))</f>
        <v/>
      </c>
      <c r="AU1407" s="2" t="str">
        <f t="shared" si="84"/>
        <v/>
      </c>
      <c r="AV1407" s="2" t="str">
        <f t="shared" si="85"/>
        <v/>
      </c>
      <c r="AW1407" s="2" t="str">
        <f t="shared" si="86"/>
        <v/>
      </c>
      <c r="AX1407" s="2" t="str">
        <f t="shared" si="87"/>
        <v/>
      </c>
      <c r="AY1407" s="2" t="str">
        <f>IF($AV1407="","",IF(AND($Z1407=0,COUNTIF('AR SALES'!$L$2:$L$2501,$L1407)=0),"YES",""))</f>
        <v/>
      </c>
      <c r="AZ1407" s="2" t="str">
        <f>IF($AV1407="","",IF(COUNTIF(LISTS!$C$2:$C$250,$AU1407)=0,"NEW",""))</f>
        <v/>
      </c>
      <c r="BA1407" s="2" t="str">
        <f>IF(""&amp;$F1407&lt;&gt;"4","",IF($AY1407="YES","",IF(ROUND(SUMIFS($AE$2:$AE$4001,$L$2:$L$4001,$L1407,$F$2:$F$4001,"4")-SUMIFS('AR SALES'!$Y$2:$Y$2501,'AR SALES'!$L$2:$L$2501,$L1407,'AR SALES'!$AD$2:$AD$2501,"OFF"),2)=0,"","STALE")))</f>
        <v/>
      </c>
      <c r="BB1407" s="2" t="str">
        <f>IF(OR(""&amp;$F1407="2",""&amp;$F1407="4",""&amp;$F1407="G",""&amp;$F1407="H"),IF($AY1407="YES","",IF($AB1407&lt;&gt;0,"",IF(COUNTIFS('AR SALES'!$L$2:$L$2501,$L1407,'AR SALES'!$AD$2:$AD$2501,IF(""&amp;$F1407="4","OFF","ON"),'AR SALES'!$AF$2:$AF$2501,"Y")&gt;0,"","NO EXEMPTION"))),"")</f>
        <v/>
      </c>
    </row>
    <row r="1408" spans="46:54" x14ac:dyDescent="0.25">
      <c r="AT1408" s="2" t="str">
        <f>IF($L1408="","",IFERROR(INDEX('AR SALES'!$H$2:$H$2501,MATCH(""&amp;$L1408,'AR SALES'!$AE$2:$AE$2501,0)),""))</f>
        <v/>
      </c>
      <c r="AU1408" s="2" t="str">
        <f t="shared" si="84"/>
        <v/>
      </c>
      <c r="AV1408" s="2" t="str">
        <f t="shared" si="85"/>
        <v/>
      </c>
      <c r="AW1408" s="2" t="str">
        <f t="shared" si="86"/>
        <v/>
      </c>
      <c r="AX1408" s="2" t="str">
        <f t="shared" si="87"/>
        <v/>
      </c>
      <c r="AY1408" s="2" t="str">
        <f>IF($AV1408="","",IF(AND($Z1408=0,COUNTIF('AR SALES'!$L$2:$L$2501,$L1408)=0),"YES",""))</f>
        <v/>
      </c>
      <c r="AZ1408" s="2" t="str">
        <f>IF($AV1408="","",IF(COUNTIF(LISTS!$C$2:$C$250,$AU1408)=0,"NEW",""))</f>
        <v/>
      </c>
      <c r="BA1408" s="2" t="str">
        <f>IF(""&amp;$F1408&lt;&gt;"4","",IF($AY1408="YES","",IF(ROUND(SUMIFS($AE$2:$AE$4001,$L$2:$L$4001,$L1408,$F$2:$F$4001,"4")-SUMIFS('AR SALES'!$Y$2:$Y$2501,'AR SALES'!$L$2:$L$2501,$L1408,'AR SALES'!$AD$2:$AD$2501,"OFF"),2)=0,"","STALE")))</f>
        <v/>
      </c>
      <c r="BB1408" s="2" t="str">
        <f>IF(OR(""&amp;$F1408="2",""&amp;$F1408="4",""&amp;$F1408="G",""&amp;$F1408="H"),IF($AY1408="YES","",IF($AB1408&lt;&gt;0,"",IF(COUNTIFS('AR SALES'!$L$2:$L$2501,$L1408,'AR SALES'!$AD$2:$AD$2501,IF(""&amp;$F1408="4","OFF","ON"),'AR SALES'!$AF$2:$AF$2501,"Y")&gt;0,"","NO EXEMPTION"))),"")</f>
        <v/>
      </c>
    </row>
    <row r="1409" spans="46:54" x14ac:dyDescent="0.25">
      <c r="AT1409" s="2" t="str">
        <f>IF($L1409="","",IFERROR(INDEX('AR SALES'!$H$2:$H$2501,MATCH(""&amp;$L1409,'AR SALES'!$AE$2:$AE$2501,0)),""))</f>
        <v/>
      </c>
      <c r="AU1409" s="2" t="str">
        <f t="shared" si="84"/>
        <v/>
      </c>
      <c r="AV1409" s="2" t="str">
        <f t="shared" si="85"/>
        <v/>
      </c>
      <c r="AW1409" s="2" t="str">
        <f t="shared" si="86"/>
        <v/>
      </c>
      <c r="AX1409" s="2" t="str">
        <f t="shared" si="87"/>
        <v/>
      </c>
      <c r="AY1409" s="2" t="str">
        <f>IF($AV1409="","",IF(AND($Z1409=0,COUNTIF('AR SALES'!$L$2:$L$2501,$L1409)=0),"YES",""))</f>
        <v/>
      </c>
      <c r="AZ1409" s="2" t="str">
        <f>IF($AV1409="","",IF(COUNTIF(LISTS!$C$2:$C$250,$AU1409)=0,"NEW",""))</f>
        <v/>
      </c>
      <c r="BA1409" s="2" t="str">
        <f>IF(""&amp;$F1409&lt;&gt;"4","",IF($AY1409="YES","",IF(ROUND(SUMIFS($AE$2:$AE$4001,$L$2:$L$4001,$L1409,$F$2:$F$4001,"4")-SUMIFS('AR SALES'!$Y$2:$Y$2501,'AR SALES'!$L$2:$L$2501,$L1409,'AR SALES'!$AD$2:$AD$2501,"OFF"),2)=0,"","STALE")))</f>
        <v/>
      </c>
      <c r="BB1409" s="2" t="str">
        <f>IF(OR(""&amp;$F1409="2",""&amp;$F1409="4",""&amp;$F1409="G",""&amp;$F1409="H"),IF($AY1409="YES","",IF($AB1409&lt;&gt;0,"",IF(COUNTIFS('AR SALES'!$L$2:$L$2501,$L1409,'AR SALES'!$AD$2:$AD$2501,IF(""&amp;$F1409="4","OFF","ON"),'AR SALES'!$AF$2:$AF$2501,"Y")&gt;0,"","NO EXEMPTION"))),"")</f>
        <v/>
      </c>
    </row>
    <row r="1410" spans="46:54" x14ac:dyDescent="0.25">
      <c r="AT1410" s="2" t="str">
        <f>IF($L1410="","",IFERROR(INDEX('AR SALES'!$H$2:$H$2501,MATCH(""&amp;$L1410,'AR SALES'!$AE$2:$AE$2501,0)),""))</f>
        <v/>
      </c>
      <c r="AU1410" s="2" t="str">
        <f t="shared" ref="AU1410:AU1473" si="88">IF($L1410="","",IF($A1410&lt;&gt;"GA","",IF($E1410="FULTON",IF(ISNUMBER(SEARCH("COLLEGE PARK",$AT1410)),"FULTON (COLLEGE PARK)",IF(ISNUMBER(SEARCH("ATLANTA CITY",$AT1410)),"FULTON (ATL LIMITS)","FULTON")),IF($E1410="DEKALB",IF(ISNUMBER(SEARCH("ATLANTA CITY",$AT1410)),"DEKALB (ATL LIMITS)","DEKALB"),$E1410))))</f>
        <v/>
      </c>
      <c r="AV1410" s="2" t="str">
        <f t="shared" ref="AV1410:AV1473" si="89">IF($L1410="","",IF(""&amp;$F1410="2","DIESEL",IF(OR(""&amp;$F1410="G",""&amp;$F1410="H"),"GAS","")))</f>
        <v/>
      </c>
      <c r="AW1410" s="2" t="str">
        <f t="shared" ref="AW1410:AW1473" si="90">IF($AV1410="","",$R1410)</f>
        <v/>
      </c>
      <c r="AX1410" s="2" t="str">
        <f t="shared" ref="AX1410:AX1473" si="91">IF($AV1410="","",IF($AB1410=0,$R1410,0))</f>
        <v/>
      </c>
      <c r="AY1410" s="2" t="str">
        <f>IF($AV1410="","",IF(AND($Z1410=0,COUNTIF('AR SALES'!$L$2:$L$2501,$L1410)=0),"YES",""))</f>
        <v/>
      </c>
      <c r="AZ1410" s="2" t="str">
        <f>IF($AV1410="","",IF(COUNTIF(LISTS!$C$2:$C$250,$AU1410)=0,"NEW",""))</f>
        <v/>
      </c>
      <c r="BA1410" s="2" t="str">
        <f>IF(""&amp;$F1410&lt;&gt;"4","",IF($AY1410="YES","",IF(ROUND(SUMIFS($AE$2:$AE$4001,$L$2:$L$4001,$L1410,$F$2:$F$4001,"4")-SUMIFS('AR SALES'!$Y$2:$Y$2501,'AR SALES'!$L$2:$L$2501,$L1410,'AR SALES'!$AD$2:$AD$2501,"OFF"),2)=0,"","STALE")))</f>
        <v/>
      </c>
      <c r="BB1410" s="2" t="str">
        <f>IF(OR(""&amp;$F1410="2",""&amp;$F1410="4",""&amp;$F1410="G",""&amp;$F1410="H"),IF($AY1410="YES","",IF($AB1410&lt;&gt;0,"",IF(COUNTIFS('AR SALES'!$L$2:$L$2501,$L1410,'AR SALES'!$AD$2:$AD$2501,IF(""&amp;$F1410="4","OFF","ON"),'AR SALES'!$AF$2:$AF$2501,"Y")&gt;0,"","NO EXEMPTION"))),"")</f>
        <v/>
      </c>
    </row>
    <row r="1411" spans="46:54" x14ac:dyDescent="0.25">
      <c r="AT1411" s="2" t="str">
        <f>IF($L1411="","",IFERROR(INDEX('AR SALES'!$H$2:$H$2501,MATCH(""&amp;$L1411,'AR SALES'!$AE$2:$AE$2501,0)),""))</f>
        <v/>
      </c>
      <c r="AU1411" s="2" t="str">
        <f t="shared" si="88"/>
        <v/>
      </c>
      <c r="AV1411" s="2" t="str">
        <f t="shared" si="89"/>
        <v/>
      </c>
      <c r="AW1411" s="2" t="str">
        <f t="shared" si="90"/>
        <v/>
      </c>
      <c r="AX1411" s="2" t="str">
        <f t="shared" si="91"/>
        <v/>
      </c>
      <c r="AY1411" s="2" t="str">
        <f>IF($AV1411="","",IF(AND($Z1411=0,COUNTIF('AR SALES'!$L$2:$L$2501,$L1411)=0),"YES",""))</f>
        <v/>
      </c>
      <c r="AZ1411" s="2" t="str">
        <f>IF($AV1411="","",IF(COUNTIF(LISTS!$C$2:$C$250,$AU1411)=0,"NEW",""))</f>
        <v/>
      </c>
      <c r="BA1411" s="2" t="str">
        <f>IF(""&amp;$F1411&lt;&gt;"4","",IF($AY1411="YES","",IF(ROUND(SUMIFS($AE$2:$AE$4001,$L$2:$L$4001,$L1411,$F$2:$F$4001,"4")-SUMIFS('AR SALES'!$Y$2:$Y$2501,'AR SALES'!$L$2:$L$2501,$L1411,'AR SALES'!$AD$2:$AD$2501,"OFF"),2)=0,"","STALE")))</f>
        <v/>
      </c>
      <c r="BB1411" s="2" t="str">
        <f>IF(OR(""&amp;$F1411="2",""&amp;$F1411="4",""&amp;$F1411="G",""&amp;$F1411="H"),IF($AY1411="YES","",IF($AB1411&lt;&gt;0,"",IF(COUNTIFS('AR SALES'!$L$2:$L$2501,$L1411,'AR SALES'!$AD$2:$AD$2501,IF(""&amp;$F1411="4","OFF","ON"),'AR SALES'!$AF$2:$AF$2501,"Y")&gt;0,"","NO EXEMPTION"))),"")</f>
        <v/>
      </c>
    </row>
    <row r="1412" spans="46:54" x14ac:dyDescent="0.25">
      <c r="AT1412" s="2" t="str">
        <f>IF($L1412="","",IFERROR(INDEX('AR SALES'!$H$2:$H$2501,MATCH(""&amp;$L1412,'AR SALES'!$AE$2:$AE$2501,0)),""))</f>
        <v/>
      </c>
      <c r="AU1412" s="2" t="str">
        <f t="shared" si="88"/>
        <v/>
      </c>
      <c r="AV1412" s="2" t="str">
        <f t="shared" si="89"/>
        <v/>
      </c>
      <c r="AW1412" s="2" t="str">
        <f t="shared" si="90"/>
        <v/>
      </c>
      <c r="AX1412" s="2" t="str">
        <f t="shared" si="91"/>
        <v/>
      </c>
      <c r="AY1412" s="2" t="str">
        <f>IF($AV1412="","",IF(AND($Z1412=0,COUNTIF('AR SALES'!$L$2:$L$2501,$L1412)=0),"YES",""))</f>
        <v/>
      </c>
      <c r="AZ1412" s="2" t="str">
        <f>IF($AV1412="","",IF(COUNTIF(LISTS!$C$2:$C$250,$AU1412)=0,"NEW",""))</f>
        <v/>
      </c>
      <c r="BA1412" s="2" t="str">
        <f>IF(""&amp;$F1412&lt;&gt;"4","",IF($AY1412="YES","",IF(ROUND(SUMIFS($AE$2:$AE$4001,$L$2:$L$4001,$L1412,$F$2:$F$4001,"4")-SUMIFS('AR SALES'!$Y$2:$Y$2501,'AR SALES'!$L$2:$L$2501,$L1412,'AR SALES'!$AD$2:$AD$2501,"OFF"),2)=0,"","STALE")))</f>
        <v/>
      </c>
      <c r="BB1412" s="2" t="str">
        <f>IF(OR(""&amp;$F1412="2",""&amp;$F1412="4",""&amp;$F1412="G",""&amp;$F1412="H"),IF($AY1412="YES","",IF($AB1412&lt;&gt;0,"",IF(COUNTIFS('AR SALES'!$L$2:$L$2501,$L1412,'AR SALES'!$AD$2:$AD$2501,IF(""&amp;$F1412="4","OFF","ON"),'AR SALES'!$AF$2:$AF$2501,"Y")&gt;0,"","NO EXEMPTION"))),"")</f>
        <v/>
      </c>
    </row>
    <row r="1413" spans="46:54" x14ac:dyDescent="0.25">
      <c r="AT1413" s="2" t="str">
        <f>IF($L1413="","",IFERROR(INDEX('AR SALES'!$H$2:$H$2501,MATCH(""&amp;$L1413,'AR SALES'!$AE$2:$AE$2501,0)),""))</f>
        <v/>
      </c>
      <c r="AU1413" s="2" t="str">
        <f t="shared" si="88"/>
        <v/>
      </c>
      <c r="AV1413" s="2" t="str">
        <f t="shared" si="89"/>
        <v/>
      </c>
      <c r="AW1413" s="2" t="str">
        <f t="shared" si="90"/>
        <v/>
      </c>
      <c r="AX1413" s="2" t="str">
        <f t="shared" si="91"/>
        <v/>
      </c>
      <c r="AY1413" s="2" t="str">
        <f>IF($AV1413="","",IF(AND($Z1413=0,COUNTIF('AR SALES'!$L$2:$L$2501,$L1413)=0),"YES",""))</f>
        <v/>
      </c>
      <c r="AZ1413" s="2" t="str">
        <f>IF($AV1413="","",IF(COUNTIF(LISTS!$C$2:$C$250,$AU1413)=0,"NEW",""))</f>
        <v/>
      </c>
      <c r="BA1413" s="2" t="str">
        <f>IF(""&amp;$F1413&lt;&gt;"4","",IF($AY1413="YES","",IF(ROUND(SUMIFS($AE$2:$AE$4001,$L$2:$L$4001,$L1413,$F$2:$F$4001,"4")-SUMIFS('AR SALES'!$Y$2:$Y$2501,'AR SALES'!$L$2:$L$2501,$L1413,'AR SALES'!$AD$2:$AD$2501,"OFF"),2)=0,"","STALE")))</f>
        <v/>
      </c>
      <c r="BB1413" s="2" t="str">
        <f>IF(OR(""&amp;$F1413="2",""&amp;$F1413="4",""&amp;$F1413="G",""&amp;$F1413="H"),IF($AY1413="YES","",IF($AB1413&lt;&gt;0,"",IF(COUNTIFS('AR SALES'!$L$2:$L$2501,$L1413,'AR SALES'!$AD$2:$AD$2501,IF(""&amp;$F1413="4","OFF","ON"),'AR SALES'!$AF$2:$AF$2501,"Y")&gt;0,"","NO EXEMPTION"))),"")</f>
        <v/>
      </c>
    </row>
    <row r="1414" spans="46:54" x14ac:dyDescent="0.25">
      <c r="AT1414" s="2" t="str">
        <f>IF($L1414="","",IFERROR(INDEX('AR SALES'!$H$2:$H$2501,MATCH(""&amp;$L1414,'AR SALES'!$AE$2:$AE$2501,0)),""))</f>
        <v/>
      </c>
      <c r="AU1414" s="2" t="str">
        <f t="shared" si="88"/>
        <v/>
      </c>
      <c r="AV1414" s="2" t="str">
        <f t="shared" si="89"/>
        <v/>
      </c>
      <c r="AW1414" s="2" t="str">
        <f t="shared" si="90"/>
        <v/>
      </c>
      <c r="AX1414" s="2" t="str">
        <f t="shared" si="91"/>
        <v/>
      </c>
      <c r="AY1414" s="2" t="str">
        <f>IF($AV1414="","",IF(AND($Z1414=0,COUNTIF('AR SALES'!$L$2:$L$2501,$L1414)=0),"YES",""))</f>
        <v/>
      </c>
      <c r="AZ1414" s="2" t="str">
        <f>IF($AV1414="","",IF(COUNTIF(LISTS!$C$2:$C$250,$AU1414)=0,"NEW",""))</f>
        <v/>
      </c>
      <c r="BA1414" s="2" t="str">
        <f>IF(""&amp;$F1414&lt;&gt;"4","",IF($AY1414="YES","",IF(ROUND(SUMIFS($AE$2:$AE$4001,$L$2:$L$4001,$L1414,$F$2:$F$4001,"4")-SUMIFS('AR SALES'!$Y$2:$Y$2501,'AR SALES'!$L$2:$L$2501,$L1414,'AR SALES'!$AD$2:$AD$2501,"OFF"),2)=0,"","STALE")))</f>
        <v/>
      </c>
      <c r="BB1414" s="2" t="str">
        <f>IF(OR(""&amp;$F1414="2",""&amp;$F1414="4",""&amp;$F1414="G",""&amp;$F1414="H"),IF($AY1414="YES","",IF($AB1414&lt;&gt;0,"",IF(COUNTIFS('AR SALES'!$L$2:$L$2501,$L1414,'AR SALES'!$AD$2:$AD$2501,IF(""&amp;$F1414="4","OFF","ON"),'AR SALES'!$AF$2:$AF$2501,"Y")&gt;0,"","NO EXEMPTION"))),"")</f>
        <v/>
      </c>
    </row>
    <row r="1415" spans="46:54" x14ac:dyDescent="0.25">
      <c r="AT1415" s="2" t="str">
        <f>IF($L1415="","",IFERROR(INDEX('AR SALES'!$H$2:$H$2501,MATCH(""&amp;$L1415,'AR SALES'!$AE$2:$AE$2501,0)),""))</f>
        <v/>
      </c>
      <c r="AU1415" s="2" t="str">
        <f t="shared" si="88"/>
        <v/>
      </c>
      <c r="AV1415" s="2" t="str">
        <f t="shared" si="89"/>
        <v/>
      </c>
      <c r="AW1415" s="2" t="str">
        <f t="shared" si="90"/>
        <v/>
      </c>
      <c r="AX1415" s="2" t="str">
        <f t="shared" si="91"/>
        <v/>
      </c>
      <c r="AY1415" s="2" t="str">
        <f>IF($AV1415="","",IF(AND($Z1415=0,COUNTIF('AR SALES'!$L$2:$L$2501,$L1415)=0),"YES",""))</f>
        <v/>
      </c>
      <c r="AZ1415" s="2" t="str">
        <f>IF($AV1415="","",IF(COUNTIF(LISTS!$C$2:$C$250,$AU1415)=0,"NEW",""))</f>
        <v/>
      </c>
      <c r="BA1415" s="2" t="str">
        <f>IF(""&amp;$F1415&lt;&gt;"4","",IF($AY1415="YES","",IF(ROUND(SUMIFS($AE$2:$AE$4001,$L$2:$L$4001,$L1415,$F$2:$F$4001,"4")-SUMIFS('AR SALES'!$Y$2:$Y$2501,'AR SALES'!$L$2:$L$2501,$L1415,'AR SALES'!$AD$2:$AD$2501,"OFF"),2)=0,"","STALE")))</f>
        <v/>
      </c>
      <c r="BB1415" s="2" t="str">
        <f>IF(OR(""&amp;$F1415="2",""&amp;$F1415="4",""&amp;$F1415="G",""&amp;$F1415="H"),IF($AY1415="YES","",IF($AB1415&lt;&gt;0,"",IF(COUNTIFS('AR SALES'!$L$2:$L$2501,$L1415,'AR SALES'!$AD$2:$AD$2501,IF(""&amp;$F1415="4","OFF","ON"),'AR SALES'!$AF$2:$AF$2501,"Y")&gt;0,"","NO EXEMPTION"))),"")</f>
        <v/>
      </c>
    </row>
    <row r="1416" spans="46:54" x14ac:dyDescent="0.25">
      <c r="AT1416" s="2" t="str">
        <f>IF($L1416="","",IFERROR(INDEX('AR SALES'!$H$2:$H$2501,MATCH(""&amp;$L1416,'AR SALES'!$AE$2:$AE$2501,0)),""))</f>
        <v/>
      </c>
      <c r="AU1416" s="2" t="str">
        <f t="shared" si="88"/>
        <v/>
      </c>
      <c r="AV1416" s="2" t="str">
        <f t="shared" si="89"/>
        <v/>
      </c>
      <c r="AW1416" s="2" t="str">
        <f t="shared" si="90"/>
        <v/>
      </c>
      <c r="AX1416" s="2" t="str">
        <f t="shared" si="91"/>
        <v/>
      </c>
      <c r="AY1416" s="2" t="str">
        <f>IF($AV1416="","",IF(AND($Z1416=0,COUNTIF('AR SALES'!$L$2:$L$2501,$L1416)=0),"YES",""))</f>
        <v/>
      </c>
      <c r="AZ1416" s="2" t="str">
        <f>IF($AV1416="","",IF(COUNTIF(LISTS!$C$2:$C$250,$AU1416)=0,"NEW",""))</f>
        <v/>
      </c>
      <c r="BA1416" s="2" t="str">
        <f>IF(""&amp;$F1416&lt;&gt;"4","",IF($AY1416="YES","",IF(ROUND(SUMIFS($AE$2:$AE$4001,$L$2:$L$4001,$L1416,$F$2:$F$4001,"4")-SUMIFS('AR SALES'!$Y$2:$Y$2501,'AR SALES'!$L$2:$L$2501,$L1416,'AR SALES'!$AD$2:$AD$2501,"OFF"),2)=0,"","STALE")))</f>
        <v/>
      </c>
      <c r="BB1416" s="2" t="str">
        <f>IF(OR(""&amp;$F1416="2",""&amp;$F1416="4",""&amp;$F1416="G",""&amp;$F1416="H"),IF($AY1416="YES","",IF($AB1416&lt;&gt;0,"",IF(COUNTIFS('AR SALES'!$L$2:$L$2501,$L1416,'AR SALES'!$AD$2:$AD$2501,IF(""&amp;$F1416="4","OFF","ON"),'AR SALES'!$AF$2:$AF$2501,"Y")&gt;0,"","NO EXEMPTION"))),"")</f>
        <v/>
      </c>
    </row>
    <row r="1417" spans="46:54" x14ac:dyDescent="0.25">
      <c r="AT1417" s="2" t="str">
        <f>IF($L1417="","",IFERROR(INDEX('AR SALES'!$H$2:$H$2501,MATCH(""&amp;$L1417,'AR SALES'!$AE$2:$AE$2501,0)),""))</f>
        <v/>
      </c>
      <c r="AU1417" s="2" t="str">
        <f t="shared" si="88"/>
        <v/>
      </c>
      <c r="AV1417" s="2" t="str">
        <f t="shared" si="89"/>
        <v/>
      </c>
      <c r="AW1417" s="2" t="str">
        <f t="shared" si="90"/>
        <v/>
      </c>
      <c r="AX1417" s="2" t="str">
        <f t="shared" si="91"/>
        <v/>
      </c>
      <c r="AY1417" s="2" t="str">
        <f>IF($AV1417="","",IF(AND($Z1417=0,COUNTIF('AR SALES'!$L$2:$L$2501,$L1417)=0),"YES",""))</f>
        <v/>
      </c>
      <c r="AZ1417" s="2" t="str">
        <f>IF($AV1417="","",IF(COUNTIF(LISTS!$C$2:$C$250,$AU1417)=0,"NEW",""))</f>
        <v/>
      </c>
      <c r="BA1417" s="2" t="str">
        <f>IF(""&amp;$F1417&lt;&gt;"4","",IF($AY1417="YES","",IF(ROUND(SUMIFS($AE$2:$AE$4001,$L$2:$L$4001,$L1417,$F$2:$F$4001,"4")-SUMIFS('AR SALES'!$Y$2:$Y$2501,'AR SALES'!$L$2:$L$2501,$L1417,'AR SALES'!$AD$2:$AD$2501,"OFF"),2)=0,"","STALE")))</f>
        <v/>
      </c>
      <c r="BB1417" s="2" t="str">
        <f>IF(OR(""&amp;$F1417="2",""&amp;$F1417="4",""&amp;$F1417="G",""&amp;$F1417="H"),IF($AY1417="YES","",IF($AB1417&lt;&gt;0,"",IF(COUNTIFS('AR SALES'!$L$2:$L$2501,$L1417,'AR SALES'!$AD$2:$AD$2501,IF(""&amp;$F1417="4","OFF","ON"),'AR SALES'!$AF$2:$AF$2501,"Y")&gt;0,"","NO EXEMPTION"))),"")</f>
        <v/>
      </c>
    </row>
    <row r="1418" spans="46:54" x14ac:dyDescent="0.25">
      <c r="AT1418" s="2" t="str">
        <f>IF($L1418="","",IFERROR(INDEX('AR SALES'!$H$2:$H$2501,MATCH(""&amp;$L1418,'AR SALES'!$AE$2:$AE$2501,0)),""))</f>
        <v/>
      </c>
      <c r="AU1418" s="2" t="str">
        <f t="shared" si="88"/>
        <v/>
      </c>
      <c r="AV1418" s="2" t="str">
        <f t="shared" si="89"/>
        <v/>
      </c>
      <c r="AW1418" s="2" t="str">
        <f t="shared" si="90"/>
        <v/>
      </c>
      <c r="AX1418" s="2" t="str">
        <f t="shared" si="91"/>
        <v/>
      </c>
      <c r="AY1418" s="2" t="str">
        <f>IF($AV1418="","",IF(AND($Z1418=0,COUNTIF('AR SALES'!$L$2:$L$2501,$L1418)=0),"YES",""))</f>
        <v/>
      </c>
      <c r="AZ1418" s="2" t="str">
        <f>IF($AV1418="","",IF(COUNTIF(LISTS!$C$2:$C$250,$AU1418)=0,"NEW",""))</f>
        <v/>
      </c>
      <c r="BA1418" s="2" t="str">
        <f>IF(""&amp;$F1418&lt;&gt;"4","",IF($AY1418="YES","",IF(ROUND(SUMIFS($AE$2:$AE$4001,$L$2:$L$4001,$L1418,$F$2:$F$4001,"4")-SUMIFS('AR SALES'!$Y$2:$Y$2501,'AR SALES'!$L$2:$L$2501,$L1418,'AR SALES'!$AD$2:$AD$2501,"OFF"),2)=0,"","STALE")))</f>
        <v/>
      </c>
      <c r="BB1418" s="2" t="str">
        <f>IF(OR(""&amp;$F1418="2",""&amp;$F1418="4",""&amp;$F1418="G",""&amp;$F1418="H"),IF($AY1418="YES","",IF($AB1418&lt;&gt;0,"",IF(COUNTIFS('AR SALES'!$L$2:$L$2501,$L1418,'AR SALES'!$AD$2:$AD$2501,IF(""&amp;$F1418="4","OFF","ON"),'AR SALES'!$AF$2:$AF$2501,"Y")&gt;0,"","NO EXEMPTION"))),"")</f>
        <v/>
      </c>
    </row>
    <row r="1419" spans="46:54" x14ac:dyDescent="0.25">
      <c r="AT1419" s="2" t="str">
        <f>IF($L1419="","",IFERROR(INDEX('AR SALES'!$H$2:$H$2501,MATCH(""&amp;$L1419,'AR SALES'!$AE$2:$AE$2501,0)),""))</f>
        <v/>
      </c>
      <c r="AU1419" s="2" t="str">
        <f t="shared" si="88"/>
        <v/>
      </c>
      <c r="AV1419" s="2" t="str">
        <f t="shared" si="89"/>
        <v/>
      </c>
      <c r="AW1419" s="2" t="str">
        <f t="shared" si="90"/>
        <v/>
      </c>
      <c r="AX1419" s="2" t="str">
        <f t="shared" si="91"/>
        <v/>
      </c>
      <c r="AY1419" s="2" t="str">
        <f>IF($AV1419="","",IF(AND($Z1419=0,COUNTIF('AR SALES'!$L$2:$L$2501,$L1419)=0),"YES",""))</f>
        <v/>
      </c>
      <c r="AZ1419" s="2" t="str">
        <f>IF($AV1419="","",IF(COUNTIF(LISTS!$C$2:$C$250,$AU1419)=0,"NEW",""))</f>
        <v/>
      </c>
      <c r="BA1419" s="2" t="str">
        <f>IF(""&amp;$F1419&lt;&gt;"4","",IF($AY1419="YES","",IF(ROUND(SUMIFS($AE$2:$AE$4001,$L$2:$L$4001,$L1419,$F$2:$F$4001,"4")-SUMIFS('AR SALES'!$Y$2:$Y$2501,'AR SALES'!$L$2:$L$2501,$L1419,'AR SALES'!$AD$2:$AD$2501,"OFF"),2)=0,"","STALE")))</f>
        <v/>
      </c>
      <c r="BB1419" s="2" t="str">
        <f>IF(OR(""&amp;$F1419="2",""&amp;$F1419="4",""&amp;$F1419="G",""&amp;$F1419="H"),IF($AY1419="YES","",IF($AB1419&lt;&gt;0,"",IF(COUNTIFS('AR SALES'!$L$2:$L$2501,$L1419,'AR SALES'!$AD$2:$AD$2501,IF(""&amp;$F1419="4","OFF","ON"),'AR SALES'!$AF$2:$AF$2501,"Y")&gt;0,"","NO EXEMPTION"))),"")</f>
        <v/>
      </c>
    </row>
    <row r="1420" spans="46:54" x14ac:dyDescent="0.25">
      <c r="AT1420" s="2" t="str">
        <f>IF($L1420="","",IFERROR(INDEX('AR SALES'!$H$2:$H$2501,MATCH(""&amp;$L1420,'AR SALES'!$AE$2:$AE$2501,0)),""))</f>
        <v/>
      </c>
      <c r="AU1420" s="2" t="str">
        <f t="shared" si="88"/>
        <v/>
      </c>
      <c r="AV1420" s="2" t="str">
        <f t="shared" si="89"/>
        <v/>
      </c>
      <c r="AW1420" s="2" t="str">
        <f t="shared" si="90"/>
        <v/>
      </c>
      <c r="AX1420" s="2" t="str">
        <f t="shared" si="91"/>
        <v/>
      </c>
      <c r="AY1420" s="2" t="str">
        <f>IF($AV1420="","",IF(AND($Z1420=0,COUNTIF('AR SALES'!$L$2:$L$2501,$L1420)=0),"YES",""))</f>
        <v/>
      </c>
      <c r="AZ1420" s="2" t="str">
        <f>IF($AV1420="","",IF(COUNTIF(LISTS!$C$2:$C$250,$AU1420)=0,"NEW",""))</f>
        <v/>
      </c>
      <c r="BA1420" s="2" t="str">
        <f>IF(""&amp;$F1420&lt;&gt;"4","",IF($AY1420="YES","",IF(ROUND(SUMIFS($AE$2:$AE$4001,$L$2:$L$4001,$L1420,$F$2:$F$4001,"4")-SUMIFS('AR SALES'!$Y$2:$Y$2501,'AR SALES'!$L$2:$L$2501,$L1420,'AR SALES'!$AD$2:$AD$2501,"OFF"),2)=0,"","STALE")))</f>
        <v/>
      </c>
      <c r="BB1420" s="2" t="str">
        <f>IF(OR(""&amp;$F1420="2",""&amp;$F1420="4",""&amp;$F1420="G",""&amp;$F1420="H"),IF($AY1420="YES","",IF($AB1420&lt;&gt;0,"",IF(COUNTIFS('AR SALES'!$L$2:$L$2501,$L1420,'AR SALES'!$AD$2:$AD$2501,IF(""&amp;$F1420="4","OFF","ON"),'AR SALES'!$AF$2:$AF$2501,"Y")&gt;0,"","NO EXEMPTION"))),"")</f>
        <v/>
      </c>
    </row>
    <row r="1421" spans="46:54" x14ac:dyDescent="0.25">
      <c r="AT1421" s="2" t="str">
        <f>IF($L1421="","",IFERROR(INDEX('AR SALES'!$H$2:$H$2501,MATCH(""&amp;$L1421,'AR SALES'!$AE$2:$AE$2501,0)),""))</f>
        <v/>
      </c>
      <c r="AU1421" s="2" t="str">
        <f t="shared" si="88"/>
        <v/>
      </c>
      <c r="AV1421" s="2" t="str">
        <f t="shared" si="89"/>
        <v/>
      </c>
      <c r="AW1421" s="2" t="str">
        <f t="shared" si="90"/>
        <v/>
      </c>
      <c r="AX1421" s="2" t="str">
        <f t="shared" si="91"/>
        <v/>
      </c>
      <c r="AY1421" s="2" t="str">
        <f>IF($AV1421="","",IF(AND($Z1421=0,COUNTIF('AR SALES'!$L$2:$L$2501,$L1421)=0),"YES",""))</f>
        <v/>
      </c>
      <c r="AZ1421" s="2" t="str">
        <f>IF($AV1421="","",IF(COUNTIF(LISTS!$C$2:$C$250,$AU1421)=0,"NEW",""))</f>
        <v/>
      </c>
      <c r="BA1421" s="2" t="str">
        <f>IF(""&amp;$F1421&lt;&gt;"4","",IF($AY1421="YES","",IF(ROUND(SUMIFS($AE$2:$AE$4001,$L$2:$L$4001,$L1421,$F$2:$F$4001,"4")-SUMIFS('AR SALES'!$Y$2:$Y$2501,'AR SALES'!$L$2:$L$2501,$L1421,'AR SALES'!$AD$2:$AD$2501,"OFF"),2)=0,"","STALE")))</f>
        <v/>
      </c>
      <c r="BB1421" s="2" t="str">
        <f>IF(OR(""&amp;$F1421="2",""&amp;$F1421="4",""&amp;$F1421="G",""&amp;$F1421="H"),IF($AY1421="YES","",IF($AB1421&lt;&gt;0,"",IF(COUNTIFS('AR SALES'!$L$2:$L$2501,$L1421,'AR SALES'!$AD$2:$AD$2501,IF(""&amp;$F1421="4","OFF","ON"),'AR SALES'!$AF$2:$AF$2501,"Y")&gt;0,"","NO EXEMPTION"))),"")</f>
        <v/>
      </c>
    </row>
    <row r="1422" spans="46:54" x14ac:dyDescent="0.25">
      <c r="AT1422" s="2" t="str">
        <f>IF($L1422="","",IFERROR(INDEX('AR SALES'!$H$2:$H$2501,MATCH(""&amp;$L1422,'AR SALES'!$AE$2:$AE$2501,0)),""))</f>
        <v/>
      </c>
      <c r="AU1422" s="2" t="str">
        <f t="shared" si="88"/>
        <v/>
      </c>
      <c r="AV1422" s="2" t="str">
        <f t="shared" si="89"/>
        <v/>
      </c>
      <c r="AW1422" s="2" t="str">
        <f t="shared" si="90"/>
        <v/>
      </c>
      <c r="AX1422" s="2" t="str">
        <f t="shared" si="91"/>
        <v/>
      </c>
      <c r="AY1422" s="2" t="str">
        <f>IF($AV1422="","",IF(AND($Z1422=0,COUNTIF('AR SALES'!$L$2:$L$2501,$L1422)=0),"YES",""))</f>
        <v/>
      </c>
      <c r="AZ1422" s="2" t="str">
        <f>IF($AV1422="","",IF(COUNTIF(LISTS!$C$2:$C$250,$AU1422)=0,"NEW",""))</f>
        <v/>
      </c>
      <c r="BA1422" s="2" t="str">
        <f>IF(""&amp;$F1422&lt;&gt;"4","",IF($AY1422="YES","",IF(ROUND(SUMIFS($AE$2:$AE$4001,$L$2:$L$4001,$L1422,$F$2:$F$4001,"4")-SUMIFS('AR SALES'!$Y$2:$Y$2501,'AR SALES'!$L$2:$L$2501,$L1422,'AR SALES'!$AD$2:$AD$2501,"OFF"),2)=0,"","STALE")))</f>
        <v/>
      </c>
      <c r="BB1422" s="2" t="str">
        <f>IF(OR(""&amp;$F1422="2",""&amp;$F1422="4",""&amp;$F1422="G",""&amp;$F1422="H"),IF($AY1422="YES","",IF($AB1422&lt;&gt;0,"",IF(COUNTIFS('AR SALES'!$L$2:$L$2501,$L1422,'AR SALES'!$AD$2:$AD$2501,IF(""&amp;$F1422="4","OFF","ON"),'AR SALES'!$AF$2:$AF$2501,"Y")&gt;0,"","NO EXEMPTION"))),"")</f>
        <v/>
      </c>
    </row>
    <row r="1423" spans="46:54" x14ac:dyDescent="0.25">
      <c r="AT1423" s="2" t="str">
        <f>IF($L1423="","",IFERROR(INDEX('AR SALES'!$H$2:$H$2501,MATCH(""&amp;$L1423,'AR SALES'!$AE$2:$AE$2501,0)),""))</f>
        <v/>
      </c>
      <c r="AU1423" s="2" t="str">
        <f t="shared" si="88"/>
        <v/>
      </c>
      <c r="AV1423" s="2" t="str">
        <f t="shared" si="89"/>
        <v/>
      </c>
      <c r="AW1423" s="2" t="str">
        <f t="shared" si="90"/>
        <v/>
      </c>
      <c r="AX1423" s="2" t="str">
        <f t="shared" si="91"/>
        <v/>
      </c>
      <c r="AY1423" s="2" t="str">
        <f>IF($AV1423="","",IF(AND($Z1423=0,COUNTIF('AR SALES'!$L$2:$L$2501,$L1423)=0),"YES",""))</f>
        <v/>
      </c>
      <c r="AZ1423" s="2" t="str">
        <f>IF($AV1423="","",IF(COUNTIF(LISTS!$C$2:$C$250,$AU1423)=0,"NEW",""))</f>
        <v/>
      </c>
      <c r="BA1423" s="2" t="str">
        <f>IF(""&amp;$F1423&lt;&gt;"4","",IF($AY1423="YES","",IF(ROUND(SUMIFS($AE$2:$AE$4001,$L$2:$L$4001,$L1423,$F$2:$F$4001,"4")-SUMIFS('AR SALES'!$Y$2:$Y$2501,'AR SALES'!$L$2:$L$2501,$L1423,'AR SALES'!$AD$2:$AD$2501,"OFF"),2)=0,"","STALE")))</f>
        <v/>
      </c>
      <c r="BB1423" s="2" t="str">
        <f>IF(OR(""&amp;$F1423="2",""&amp;$F1423="4",""&amp;$F1423="G",""&amp;$F1423="H"),IF($AY1423="YES","",IF($AB1423&lt;&gt;0,"",IF(COUNTIFS('AR SALES'!$L$2:$L$2501,$L1423,'AR SALES'!$AD$2:$AD$2501,IF(""&amp;$F1423="4","OFF","ON"),'AR SALES'!$AF$2:$AF$2501,"Y")&gt;0,"","NO EXEMPTION"))),"")</f>
        <v/>
      </c>
    </row>
    <row r="1424" spans="46:54" x14ac:dyDescent="0.25">
      <c r="AT1424" s="2" t="str">
        <f>IF($L1424="","",IFERROR(INDEX('AR SALES'!$H$2:$H$2501,MATCH(""&amp;$L1424,'AR SALES'!$AE$2:$AE$2501,0)),""))</f>
        <v/>
      </c>
      <c r="AU1424" s="2" t="str">
        <f t="shared" si="88"/>
        <v/>
      </c>
      <c r="AV1424" s="2" t="str">
        <f t="shared" si="89"/>
        <v/>
      </c>
      <c r="AW1424" s="2" t="str">
        <f t="shared" si="90"/>
        <v/>
      </c>
      <c r="AX1424" s="2" t="str">
        <f t="shared" si="91"/>
        <v/>
      </c>
      <c r="AY1424" s="2" t="str">
        <f>IF($AV1424="","",IF(AND($Z1424=0,COUNTIF('AR SALES'!$L$2:$L$2501,$L1424)=0),"YES",""))</f>
        <v/>
      </c>
      <c r="AZ1424" s="2" t="str">
        <f>IF($AV1424="","",IF(COUNTIF(LISTS!$C$2:$C$250,$AU1424)=0,"NEW",""))</f>
        <v/>
      </c>
      <c r="BA1424" s="2" t="str">
        <f>IF(""&amp;$F1424&lt;&gt;"4","",IF($AY1424="YES","",IF(ROUND(SUMIFS($AE$2:$AE$4001,$L$2:$L$4001,$L1424,$F$2:$F$4001,"4")-SUMIFS('AR SALES'!$Y$2:$Y$2501,'AR SALES'!$L$2:$L$2501,$L1424,'AR SALES'!$AD$2:$AD$2501,"OFF"),2)=0,"","STALE")))</f>
        <v/>
      </c>
      <c r="BB1424" s="2" t="str">
        <f>IF(OR(""&amp;$F1424="2",""&amp;$F1424="4",""&amp;$F1424="G",""&amp;$F1424="H"),IF($AY1424="YES","",IF($AB1424&lt;&gt;0,"",IF(COUNTIFS('AR SALES'!$L$2:$L$2501,$L1424,'AR SALES'!$AD$2:$AD$2501,IF(""&amp;$F1424="4","OFF","ON"),'AR SALES'!$AF$2:$AF$2501,"Y")&gt;0,"","NO EXEMPTION"))),"")</f>
        <v/>
      </c>
    </row>
    <row r="1425" spans="46:54" x14ac:dyDescent="0.25">
      <c r="AT1425" s="2" t="str">
        <f>IF($L1425="","",IFERROR(INDEX('AR SALES'!$H$2:$H$2501,MATCH(""&amp;$L1425,'AR SALES'!$AE$2:$AE$2501,0)),""))</f>
        <v/>
      </c>
      <c r="AU1425" s="2" t="str">
        <f t="shared" si="88"/>
        <v/>
      </c>
      <c r="AV1425" s="2" t="str">
        <f t="shared" si="89"/>
        <v/>
      </c>
      <c r="AW1425" s="2" t="str">
        <f t="shared" si="90"/>
        <v/>
      </c>
      <c r="AX1425" s="2" t="str">
        <f t="shared" si="91"/>
        <v/>
      </c>
      <c r="AY1425" s="2" t="str">
        <f>IF($AV1425="","",IF(AND($Z1425=0,COUNTIF('AR SALES'!$L$2:$L$2501,$L1425)=0),"YES",""))</f>
        <v/>
      </c>
      <c r="AZ1425" s="2" t="str">
        <f>IF($AV1425="","",IF(COUNTIF(LISTS!$C$2:$C$250,$AU1425)=0,"NEW",""))</f>
        <v/>
      </c>
      <c r="BA1425" s="2" t="str">
        <f>IF(""&amp;$F1425&lt;&gt;"4","",IF($AY1425="YES","",IF(ROUND(SUMIFS($AE$2:$AE$4001,$L$2:$L$4001,$L1425,$F$2:$F$4001,"4")-SUMIFS('AR SALES'!$Y$2:$Y$2501,'AR SALES'!$L$2:$L$2501,$L1425,'AR SALES'!$AD$2:$AD$2501,"OFF"),2)=0,"","STALE")))</f>
        <v/>
      </c>
      <c r="BB1425" s="2" t="str">
        <f>IF(OR(""&amp;$F1425="2",""&amp;$F1425="4",""&amp;$F1425="G",""&amp;$F1425="H"),IF($AY1425="YES","",IF($AB1425&lt;&gt;0,"",IF(COUNTIFS('AR SALES'!$L$2:$L$2501,$L1425,'AR SALES'!$AD$2:$AD$2501,IF(""&amp;$F1425="4","OFF","ON"),'AR SALES'!$AF$2:$AF$2501,"Y")&gt;0,"","NO EXEMPTION"))),"")</f>
        <v/>
      </c>
    </row>
    <row r="1426" spans="46:54" x14ac:dyDescent="0.25">
      <c r="AT1426" s="2" t="str">
        <f>IF($L1426="","",IFERROR(INDEX('AR SALES'!$H$2:$H$2501,MATCH(""&amp;$L1426,'AR SALES'!$AE$2:$AE$2501,0)),""))</f>
        <v/>
      </c>
      <c r="AU1426" s="2" t="str">
        <f t="shared" si="88"/>
        <v/>
      </c>
      <c r="AV1426" s="2" t="str">
        <f t="shared" si="89"/>
        <v/>
      </c>
      <c r="AW1426" s="2" t="str">
        <f t="shared" si="90"/>
        <v/>
      </c>
      <c r="AX1426" s="2" t="str">
        <f t="shared" si="91"/>
        <v/>
      </c>
      <c r="AY1426" s="2" t="str">
        <f>IF($AV1426="","",IF(AND($Z1426=0,COUNTIF('AR SALES'!$L$2:$L$2501,$L1426)=0),"YES",""))</f>
        <v/>
      </c>
      <c r="AZ1426" s="2" t="str">
        <f>IF($AV1426="","",IF(COUNTIF(LISTS!$C$2:$C$250,$AU1426)=0,"NEW",""))</f>
        <v/>
      </c>
      <c r="BA1426" s="2" t="str">
        <f>IF(""&amp;$F1426&lt;&gt;"4","",IF($AY1426="YES","",IF(ROUND(SUMIFS($AE$2:$AE$4001,$L$2:$L$4001,$L1426,$F$2:$F$4001,"4")-SUMIFS('AR SALES'!$Y$2:$Y$2501,'AR SALES'!$L$2:$L$2501,$L1426,'AR SALES'!$AD$2:$AD$2501,"OFF"),2)=0,"","STALE")))</f>
        <v/>
      </c>
      <c r="BB1426" s="2" t="str">
        <f>IF(OR(""&amp;$F1426="2",""&amp;$F1426="4",""&amp;$F1426="G",""&amp;$F1426="H"),IF($AY1426="YES","",IF($AB1426&lt;&gt;0,"",IF(COUNTIFS('AR SALES'!$L$2:$L$2501,$L1426,'AR SALES'!$AD$2:$AD$2501,IF(""&amp;$F1426="4","OFF","ON"),'AR SALES'!$AF$2:$AF$2501,"Y")&gt;0,"","NO EXEMPTION"))),"")</f>
        <v/>
      </c>
    </row>
    <row r="1427" spans="46:54" x14ac:dyDescent="0.25">
      <c r="AT1427" s="2" t="str">
        <f>IF($L1427="","",IFERROR(INDEX('AR SALES'!$H$2:$H$2501,MATCH(""&amp;$L1427,'AR SALES'!$AE$2:$AE$2501,0)),""))</f>
        <v/>
      </c>
      <c r="AU1427" s="2" t="str">
        <f t="shared" si="88"/>
        <v/>
      </c>
      <c r="AV1427" s="2" t="str">
        <f t="shared" si="89"/>
        <v/>
      </c>
      <c r="AW1427" s="2" t="str">
        <f t="shared" si="90"/>
        <v/>
      </c>
      <c r="AX1427" s="2" t="str">
        <f t="shared" si="91"/>
        <v/>
      </c>
      <c r="AY1427" s="2" t="str">
        <f>IF($AV1427="","",IF(AND($Z1427=0,COUNTIF('AR SALES'!$L$2:$L$2501,$L1427)=0),"YES",""))</f>
        <v/>
      </c>
      <c r="AZ1427" s="2" t="str">
        <f>IF($AV1427="","",IF(COUNTIF(LISTS!$C$2:$C$250,$AU1427)=0,"NEW",""))</f>
        <v/>
      </c>
      <c r="BA1427" s="2" t="str">
        <f>IF(""&amp;$F1427&lt;&gt;"4","",IF($AY1427="YES","",IF(ROUND(SUMIFS($AE$2:$AE$4001,$L$2:$L$4001,$L1427,$F$2:$F$4001,"4")-SUMIFS('AR SALES'!$Y$2:$Y$2501,'AR SALES'!$L$2:$L$2501,$L1427,'AR SALES'!$AD$2:$AD$2501,"OFF"),2)=0,"","STALE")))</f>
        <v/>
      </c>
      <c r="BB1427" s="2" t="str">
        <f>IF(OR(""&amp;$F1427="2",""&amp;$F1427="4",""&amp;$F1427="G",""&amp;$F1427="H"),IF($AY1427="YES","",IF($AB1427&lt;&gt;0,"",IF(COUNTIFS('AR SALES'!$L$2:$L$2501,$L1427,'AR SALES'!$AD$2:$AD$2501,IF(""&amp;$F1427="4","OFF","ON"),'AR SALES'!$AF$2:$AF$2501,"Y")&gt;0,"","NO EXEMPTION"))),"")</f>
        <v/>
      </c>
    </row>
    <row r="1428" spans="46:54" x14ac:dyDescent="0.25">
      <c r="AT1428" s="2" t="str">
        <f>IF($L1428="","",IFERROR(INDEX('AR SALES'!$H$2:$H$2501,MATCH(""&amp;$L1428,'AR SALES'!$AE$2:$AE$2501,0)),""))</f>
        <v/>
      </c>
      <c r="AU1428" s="2" t="str">
        <f t="shared" si="88"/>
        <v/>
      </c>
      <c r="AV1428" s="2" t="str">
        <f t="shared" si="89"/>
        <v/>
      </c>
      <c r="AW1428" s="2" t="str">
        <f t="shared" si="90"/>
        <v/>
      </c>
      <c r="AX1428" s="2" t="str">
        <f t="shared" si="91"/>
        <v/>
      </c>
      <c r="AY1428" s="2" t="str">
        <f>IF($AV1428="","",IF(AND($Z1428=0,COUNTIF('AR SALES'!$L$2:$L$2501,$L1428)=0),"YES",""))</f>
        <v/>
      </c>
      <c r="AZ1428" s="2" t="str">
        <f>IF($AV1428="","",IF(COUNTIF(LISTS!$C$2:$C$250,$AU1428)=0,"NEW",""))</f>
        <v/>
      </c>
      <c r="BA1428" s="2" t="str">
        <f>IF(""&amp;$F1428&lt;&gt;"4","",IF($AY1428="YES","",IF(ROUND(SUMIFS($AE$2:$AE$4001,$L$2:$L$4001,$L1428,$F$2:$F$4001,"4")-SUMIFS('AR SALES'!$Y$2:$Y$2501,'AR SALES'!$L$2:$L$2501,$L1428,'AR SALES'!$AD$2:$AD$2501,"OFF"),2)=0,"","STALE")))</f>
        <v/>
      </c>
      <c r="BB1428" s="2" t="str">
        <f>IF(OR(""&amp;$F1428="2",""&amp;$F1428="4",""&amp;$F1428="G",""&amp;$F1428="H"),IF($AY1428="YES","",IF($AB1428&lt;&gt;0,"",IF(COUNTIFS('AR SALES'!$L$2:$L$2501,$L1428,'AR SALES'!$AD$2:$AD$2501,IF(""&amp;$F1428="4","OFF","ON"),'AR SALES'!$AF$2:$AF$2501,"Y")&gt;0,"","NO EXEMPTION"))),"")</f>
        <v/>
      </c>
    </row>
    <row r="1429" spans="46:54" x14ac:dyDescent="0.25">
      <c r="AT1429" s="2" t="str">
        <f>IF($L1429="","",IFERROR(INDEX('AR SALES'!$H$2:$H$2501,MATCH(""&amp;$L1429,'AR SALES'!$AE$2:$AE$2501,0)),""))</f>
        <v/>
      </c>
      <c r="AU1429" s="2" t="str">
        <f t="shared" si="88"/>
        <v/>
      </c>
      <c r="AV1429" s="2" t="str">
        <f t="shared" si="89"/>
        <v/>
      </c>
      <c r="AW1429" s="2" t="str">
        <f t="shared" si="90"/>
        <v/>
      </c>
      <c r="AX1429" s="2" t="str">
        <f t="shared" si="91"/>
        <v/>
      </c>
      <c r="AY1429" s="2" t="str">
        <f>IF($AV1429="","",IF(AND($Z1429=0,COUNTIF('AR SALES'!$L$2:$L$2501,$L1429)=0),"YES",""))</f>
        <v/>
      </c>
      <c r="AZ1429" s="2" t="str">
        <f>IF($AV1429="","",IF(COUNTIF(LISTS!$C$2:$C$250,$AU1429)=0,"NEW",""))</f>
        <v/>
      </c>
      <c r="BA1429" s="2" t="str">
        <f>IF(""&amp;$F1429&lt;&gt;"4","",IF($AY1429="YES","",IF(ROUND(SUMIFS($AE$2:$AE$4001,$L$2:$L$4001,$L1429,$F$2:$F$4001,"4")-SUMIFS('AR SALES'!$Y$2:$Y$2501,'AR SALES'!$L$2:$L$2501,$L1429,'AR SALES'!$AD$2:$AD$2501,"OFF"),2)=0,"","STALE")))</f>
        <v/>
      </c>
      <c r="BB1429" s="2" t="str">
        <f>IF(OR(""&amp;$F1429="2",""&amp;$F1429="4",""&amp;$F1429="G",""&amp;$F1429="H"),IF($AY1429="YES","",IF($AB1429&lt;&gt;0,"",IF(COUNTIFS('AR SALES'!$L$2:$L$2501,$L1429,'AR SALES'!$AD$2:$AD$2501,IF(""&amp;$F1429="4","OFF","ON"),'AR SALES'!$AF$2:$AF$2501,"Y")&gt;0,"","NO EXEMPTION"))),"")</f>
        <v/>
      </c>
    </row>
    <row r="1430" spans="46:54" x14ac:dyDescent="0.25">
      <c r="AT1430" s="2" t="str">
        <f>IF($L1430="","",IFERROR(INDEX('AR SALES'!$H$2:$H$2501,MATCH(""&amp;$L1430,'AR SALES'!$AE$2:$AE$2501,0)),""))</f>
        <v/>
      </c>
      <c r="AU1430" s="2" t="str">
        <f t="shared" si="88"/>
        <v/>
      </c>
      <c r="AV1430" s="2" t="str">
        <f t="shared" si="89"/>
        <v/>
      </c>
      <c r="AW1430" s="2" t="str">
        <f t="shared" si="90"/>
        <v/>
      </c>
      <c r="AX1430" s="2" t="str">
        <f t="shared" si="91"/>
        <v/>
      </c>
      <c r="AY1430" s="2" t="str">
        <f>IF($AV1430="","",IF(AND($Z1430=0,COUNTIF('AR SALES'!$L$2:$L$2501,$L1430)=0),"YES",""))</f>
        <v/>
      </c>
      <c r="AZ1430" s="2" t="str">
        <f>IF($AV1430="","",IF(COUNTIF(LISTS!$C$2:$C$250,$AU1430)=0,"NEW",""))</f>
        <v/>
      </c>
      <c r="BA1430" s="2" t="str">
        <f>IF(""&amp;$F1430&lt;&gt;"4","",IF($AY1430="YES","",IF(ROUND(SUMIFS($AE$2:$AE$4001,$L$2:$L$4001,$L1430,$F$2:$F$4001,"4")-SUMIFS('AR SALES'!$Y$2:$Y$2501,'AR SALES'!$L$2:$L$2501,$L1430,'AR SALES'!$AD$2:$AD$2501,"OFF"),2)=0,"","STALE")))</f>
        <v/>
      </c>
      <c r="BB1430" s="2" t="str">
        <f>IF(OR(""&amp;$F1430="2",""&amp;$F1430="4",""&amp;$F1430="G",""&amp;$F1430="H"),IF($AY1430="YES","",IF($AB1430&lt;&gt;0,"",IF(COUNTIFS('AR SALES'!$L$2:$L$2501,$L1430,'AR SALES'!$AD$2:$AD$2501,IF(""&amp;$F1430="4","OFF","ON"),'AR SALES'!$AF$2:$AF$2501,"Y")&gt;0,"","NO EXEMPTION"))),"")</f>
        <v/>
      </c>
    </row>
    <row r="1431" spans="46:54" x14ac:dyDescent="0.25">
      <c r="AT1431" s="2" t="str">
        <f>IF($L1431="","",IFERROR(INDEX('AR SALES'!$H$2:$H$2501,MATCH(""&amp;$L1431,'AR SALES'!$AE$2:$AE$2501,0)),""))</f>
        <v/>
      </c>
      <c r="AU1431" s="2" t="str">
        <f t="shared" si="88"/>
        <v/>
      </c>
      <c r="AV1431" s="2" t="str">
        <f t="shared" si="89"/>
        <v/>
      </c>
      <c r="AW1431" s="2" t="str">
        <f t="shared" si="90"/>
        <v/>
      </c>
      <c r="AX1431" s="2" t="str">
        <f t="shared" si="91"/>
        <v/>
      </c>
      <c r="AY1431" s="2" t="str">
        <f>IF($AV1431="","",IF(AND($Z1431=0,COUNTIF('AR SALES'!$L$2:$L$2501,$L1431)=0),"YES",""))</f>
        <v/>
      </c>
      <c r="AZ1431" s="2" t="str">
        <f>IF($AV1431="","",IF(COUNTIF(LISTS!$C$2:$C$250,$AU1431)=0,"NEW",""))</f>
        <v/>
      </c>
      <c r="BA1431" s="2" t="str">
        <f>IF(""&amp;$F1431&lt;&gt;"4","",IF($AY1431="YES","",IF(ROUND(SUMIFS($AE$2:$AE$4001,$L$2:$L$4001,$L1431,$F$2:$F$4001,"4")-SUMIFS('AR SALES'!$Y$2:$Y$2501,'AR SALES'!$L$2:$L$2501,$L1431,'AR SALES'!$AD$2:$AD$2501,"OFF"),2)=0,"","STALE")))</f>
        <v/>
      </c>
      <c r="BB1431" s="2" t="str">
        <f>IF(OR(""&amp;$F1431="2",""&amp;$F1431="4",""&amp;$F1431="G",""&amp;$F1431="H"),IF($AY1431="YES","",IF($AB1431&lt;&gt;0,"",IF(COUNTIFS('AR SALES'!$L$2:$L$2501,$L1431,'AR SALES'!$AD$2:$AD$2501,IF(""&amp;$F1431="4","OFF","ON"),'AR SALES'!$AF$2:$AF$2501,"Y")&gt;0,"","NO EXEMPTION"))),"")</f>
        <v/>
      </c>
    </row>
    <row r="1432" spans="46:54" x14ac:dyDescent="0.25">
      <c r="AT1432" s="2" t="str">
        <f>IF($L1432="","",IFERROR(INDEX('AR SALES'!$H$2:$H$2501,MATCH(""&amp;$L1432,'AR SALES'!$AE$2:$AE$2501,0)),""))</f>
        <v/>
      </c>
      <c r="AU1432" s="2" t="str">
        <f t="shared" si="88"/>
        <v/>
      </c>
      <c r="AV1432" s="2" t="str">
        <f t="shared" si="89"/>
        <v/>
      </c>
      <c r="AW1432" s="2" t="str">
        <f t="shared" si="90"/>
        <v/>
      </c>
      <c r="AX1432" s="2" t="str">
        <f t="shared" si="91"/>
        <v/>
      </c>
      <c r="AY1432" s="2" t="str">
        <f>IF($AV1432="","",IF(AND($Z1432=0,COUNTIF('AR SALES'!$L$2:$L$2501,$L1432)=0),"YES",""))</f>
        <v/>
      </c>
      <c r="AZ1432" s="2" t="str">
        <f>IF($AV1432="","",IF(COUNTIF(LISTS!$C$2:$C$250,$AU1432)=0,"NEW",""))</f>
        <v/>
      </c>
      <c r="BA1432" s="2" t="str">
        <f>IF(""&amp;$F1432&lt;&gt;"4","",IF($AY1432="YES","",IF(ROUND(SUMIFS($AE$2:$AE$4001,$L$2:$L$4001,$L1432,$F$2:$F$4001,"4")-SUMIFS('AR SALES'!$Y$2:$Y$2501,'AR SALES'!$L$2:$L$2501,$L1432,'AR SALES'!$AD$2:$AD$2501,"OFF"),2)=0,"","STALE")))</f>
        <v/>
      </c>
      <c r="BB1432" s="2" t="str">
        <f>IF(OR(""&amp;$F1432="2",""&amp;$F1432="4",""&amp;$F1432="G",""&amp;$F1432="H"),IF($AY1432="YES","",IF($AB1432&lt;&gt;0,"",IF(COUNTIFS('AR SALES'!$L$2:$L$2501,$L1432,'AR SALES'!$AD$2:$AD$2501,IF(""&amp;$F1432="4","OFF","ON"),'AR SALES'!$AF$2:$AF$2501,"Y")&gt;0,"","NO EXEMPTION"))),"")</f>
        <v/>
      </c>
    </row>
    <row r="1433" spans="46:54" x14ac:dyDescent="0.25">
      <c r="AT1433" s="2" t="str">
        <f>IF($L1433="","",IFERROR(INDEX('AR SALES'!$H$2:$H$2501,MATCH(""&amp;$L1433,'AR SALES'!$AE$2:$AE$2501,0)),""))</f>
        <v/>
      </c>
      <c r="AU1433" s="2" t="str">
        <f t="shared" si="88"/>
        <v/>
      </c>
      <c r="AV1433" s="2" t="str">
        <f t="shared" si="89"/>
        <v/>
      </c>
      <c r="AW1433" s="2" t="str">
        <f t="shared" si="90"/>
        <v/>
      </c>
      <c r="AX1433" s="2" t="str">
        <f t="shared" si="91"/>
        <v/>
      </c>
      <c r="AY1433" s="2" t="str">
        <f>IF($AV1433="","",IF(AND($Z1433=0,COUNTIF('AR SALES'!$L$2:$L$2501,$L1433)=0),"YES",""))</f>
        <v/>
      </c>
      <c r="AZ1433" s="2" t="str">
        <f>IF($AV1433="","",IF(COUNTIF(LISTS!$C$2:$C$250,$AU1433)=0,"NEW",""))</f>
        <v/>
      </c>
      <c r="BA1433" s="2" t="str">
        <f>IF(""&amp;$F1433&lt;&gt;"4","",IF($AY1433="YES","",IF(ROUND(SUMIFS($AE$2:$AE$4001,$L$2:$L$4001,$L1433,$F$2:$F$4001,"4")-SUMIFS('AR SALES'!$Y$2:$Y$2501,'AR SALES'!$L$2:$L$2501,$L1433,'AR SALES'!$AD$2:$AD$2501,"OFF"),2)=0,"","STALE")))</f>
        <v/>
      </c>
      <c r="BB1433" s="2" t="str">
        <f>IF(OR(""&amp;$F1433="2",""&amp;$F1433="4",""&amp;$F1433="G",""&amp;$F1433="H"),IF($AY1433="YES","",IF($AB1433&lt;&gt;0,"",IF(COUNTIFS('AR SALES'!$L$2:$L$2501,$L1433,'AR SALES'!$AD$2:$AD$2501,IF(""&amp;$F1433="4","OFF","ON"),'AR SALES'!$AF$2:$AF$2501,"Y")&gt;0,"","NO EXEMPTION"))),"")</f>
        <v/>
      </c>
    </row>
    <row r="1434" spans="46:54" x14ac:dyDescent="0.25">
      <c r="AT1434" s="2" t="str">
        <f>IF($L1434="","",IFERROR(INDEX('AR SALES'!$H$2:$H$2501,MATCH(""&amp;$L1434,'AR SALES'!$AE$2:$AE$2501,0)),""))</f>
        <v/>
      </c>
      <c r="AU1434" s="2" t="str">
        <f t="shared" si="88"/>
        <v/>
      </c>
      <c r="AV1434" s="2" t="str">
        <f t="shared" si="89"/>
        <v/>
      </c>
      <c r="AW1434" s="2" t="str">
        <f t="shared" si="90"/>
        <v/>
      </c>
      <c r="AX1434" s="2" t="str">
        <f t="shared" si="91"/>
        <v/>
      </c>
      <c r="AY1434" s="2" t="str">
        <f>IF($AV1434="","",IF(AND($Z1434=0,COUNTIF('AR SALES'!$L$2:$L$2501,$L1434)=0),"YES",""))</f>
        <v/>
      </c>
      <c r="AZ1434" s="2" t="str">
        <f>IF($AV1434="","",IF(COUNTIF(LISTS!$C$2:$C$250,$AU1434)=0,"NEW",""))</f>
        <v/>
      </c>
      <c r="BA1434" s="2" t="str">
        <f>IF(""&amp;$F1434&lt;&gt;"4","",IF($AY1434="YES","",IF(ROUND(SUMIFS($AE$2:$AE$4001,$L$2:$L$4001,$L1434,$F$2:$F$4001,"4")-SUMIFS('AR SALES'!$Y$2:$Y$2501,'AR SALES'!$L$2:$L$2501,$L1434,'AR SALES'!$AD$2:$AD$2501,"OFF"),2)=0,"","STALE")))</f>
        <v/>
      </c>
      <c r="BB1434" s="2" t="str">
        <f>IF(OR(""&amp;$F1434="2",""&amp;$F1434="4",""&amp;$F1434="G",""&amp;$F1434="H"),IF($AY1434="YES","",IF($AB1434&lt;&gt;0,"",IF(COUNTIFS('AR SALES'!$L$2:$L$2501,$L1434,'AR SALES'!$AD$2:$AD$2501,IF(""&amp;$F1434="4","OFF","ON"),'AR SALES'!$AF$2:$AF$2501,"Y")&gt;0,"","NO EXEMPTION"))),"")</f>
        <v/>
      </c>
    </row>
    <row r="1435" spans="46:54" x14ac:dyDescent="0.25">
      <c r="AT1435" s="2" t="str">
        <f>IF($L1435="","",IFERROR(INDEX('AR SALES'!$H$2:$H$2501,MATCH(""&amp;$L1435,'AR SALES'!$AE$2:$AE$2501,0)),""))</f>
        <v/>
      </c>
      <c r="AU1435" s="2" t="str">
        <f t="shared" si="88"/>
        <v/>
      </c>
      <c r="AV1435" s="2" t="str">
        <f t="shared" si="89"/>
        <v/>
      </c>
      <c r="AW1435" s="2" t="str">
        <f t="shared" si="90"/>
        <v/>
      </c>
      <c r="AX1435" s="2" t="str">
        <f t="shared" si="91"/>
        <v/>
      </c>
      <c r="AY1435" s="2" t="str">
        <f>IF($AV1435="","",IF(AND($Z1435=0,COUNTIF('AR SALES'!$L$2:$L$2501,$L1435)=0),"YES",""))</f>
        <v/>
      </c>
      <c r="AZ1435" s="2" t="str">
        <f>IF($AV1435="","",IF(COUNTIF(LISTS!$C$2:$C$250,$AU1435)=0,"NEW",""))</f>
        <v/>
      </c>
      <c r="BA1435" s="2" t="str">
        <f>IF(""&amp;$F1435&lt;&gt;"4","",IF($AY1435="YES","",IF(ROUND(SUMIFS($AE$2:$AE$4001,$L$2:$L$4001,$L1435,$F$2:$F$4001,"4")-SUMIFS('AR SALES'!$Y$2:$Y$2501,'AR SALES'!$L$2:$L$2501,$L1435,'AR SALES'!$AD$2:$AD$2501,"OFF"),2)=0,"","STALE")))</f>
        <v/>
      </c>
      <c r="BB1435" s="2" t="str">
        <f>IF(OR(""&amp;$F1435="2",""&amp;$F1435="4",""&amp;$F1435="G",""&amp;$F1435="H"),IF($AY1435="YES","",IF($AB1435&lt;&gt;0,"",IF(COUNTIFS('AR SALES'!$L$2:$L$2501,$L1435,'AR SALES'!$AD$2:$AD$2501,IF(""&amp;$F1435="4","OFF","ON"),'AR SALES'!$AF$2:$AF$2501,"Y")&gt;0,"","NO EXEMPTION"))),"")</f>
        <v/>
      </c>
    </row>
    <row r="1436" spans="46:54" x14ac:dyDescent="0.25">
      <c r="AT1436" s="2" t="str">
        <f>IF($L1436="","",IFERROR(INDEX('AR SALES'!$H$2:$H$2501,MATCH(""&amp;$L1436,'AR SALES'!$AE$2:$AE$2501,0)),""))</f>
        <v/>
      </c>
      <c r="AU1436" s="2" t="str">
        <f t="shared" si="88"/>
        <v/>
      </c>
      <c r="AV1436" s="2" t="str">
        <f t="shared" si="89"/>
        <v/>
      </c>
      <c r="AW1436" s="2" t="str">
        <f t="shared" si="90"/>
        <v/>
      </c>
      <c r="AX1436" s="2" t="str">
        <f t="shared" si="91"/>
        <v/>
      </c>
      <c r="AY1436" s="2" t="str">
        <f>IF($AV1436="","",IF(AND($Z1436=0,COUNTIF('AR SALES'!$L$2:$L$2501,$L1436)=0),"YES",""))</f>
        <v/>
      </c>
      <c r="AZ1436" s="2" t="str">
        <f>IF($AV1436="","",IF(COUNTIF(LISTS!$C$2:$C$250,$AU1436)=0,"NEW",""))</f>
        <v/>
      </c>
      <c r="BA1436" s="2" t="str">
        <f>IF(""&amp;$F1436&lt;&gt;"4","",IF($AY1436="YES","",IF(ROUND(SUMIFS($AE$2:$AE$4001,$L$2:$L$4001,$L1436,$F$2:$F$4001,"4")-SUMIFS('AR SALES'!$Y$2:$Y$2501,'AR SALES'!$L$2:$L$2501,$L1436,'AR SALES'!$AD$2:$AD$2501,"OFF"),2)=0,"","STALE")))</f>
        <v/>
      </c>
      <c r="BB1436" s="2" t="str">
        <f>IF(OR(""&amp;$F1436="2",""&amp;$F1436="4",""&amp;$F1436="G",""&amp;$F1436="H"),IF($AY1436="YES","",IF($AB1436&lt;&gt;0,"",IF(COUNTIFS('AR SALES'!$L$2:$L$2501,$L1436,'AR SALES'!$AD$2:$AD$2501,IF(""&amp;$F1436="4","OFF","ON"),'AR SALES'!$AF$2:$AF$2501,"Y")&gt;0,"","NO EXEMPTION"))),"")</f>
        <v/>
      </c>
    </row>
    <row r="1437" spans="46:54" x14ac:dyDescent="0.25">
      <c r="AT1437" s="2" t="str">
        <f>IF($L1437="","",IFERROR(INDEX('AR SALES'!$H$2:$H$2501,MATCH(""&amp;$L1437,'AR SALES'!$AE$2:$AE$2501,0)),""))</f>
        <v/>
      </c>
      <c r="AU1437" s="2" t="str">
        <f t="shared" si="88"/>
        <v/>
      </c>
      <c r="AV1437" s="2" t="str">
        <f t="shared" si="89"/>
        <v/>
      </c>
      <c r="AW1437" s="2" t="str">
        <f t="shared" si="90"/>
        <v/>
      </c>
      <c r="AX1437" s="2" t="str">
        <f t="shared" si="91"/>
        <v/>
      </c>
      <c r="AY1437" s="2" t="str">
        <f>IF($AV1437="","",IF(AND($Z1437=0,COUNTIF('AR SALES'!$L$2:$L$2501,$L1437)=0),"YES",""))</f>
        <v/>
      </c>
      <c r="AZ1437" s="2" t="str">
        <f>IF($AV1437="","",IF(COUNTIF(LISTS!$C$2:$C$250,$AU1437)=0,"NEW",""))</f>
        <v/>
      </c>
      <c r="BA1437" s="2" t="str">
        <f>IF(""&amp;$F1437&lt;&gt;"4","",IF($AY1437="YES","",IF(ROUND(SUMIFS($AE$2:$AE$4001,$L$2:$L$4001,$L1437,$F$2:$F$4001,"4")-SUMIFS('AR SALES'!$Y$2:$Y$2501,'AR SALES'!$L$2:$L$2501,$L1437,'AR SALES'!$AD$2:$AD$2501,"OFF"),2)=0,"","STALE")))</f>
        <v/>
      </c>
      <c r="BB1437" s="2" t="str">
        <f>IF(OR(""&amp;$F1437="2",""&amp;$F1437="4",""&amp;$F1437="G",""&amp;$F1437="H"),IF($AY1437="YES","",IF($AB1437&lt;&gt;0,"",IF(COUNTIFS('AR SALES'!$L$2:$L$2501,$L1437,'AR SALES'!$AD$2:$AD$2501,IF(""&amp;$F1437="4","OFF","ON"),'AR SALES'!$AF$2:$AF$2501,"Y")&gt;0,"","NO EXEMPTION"))),"")</f>
        <v/>
      </c>
    </row>
    <row r="1438" spans="46:54" x14ac:dyDescent="0.25">
      <c r="AT1438" s="2" t="str">
        <f>IF($L1438="","",IFERROR(INDEX('AR SALES'!$H$2:$H$2501,MATCH(""&amp;$L1438,'AR SALES'!$AE$2:$AE$2501,0)),""))</f>
        <v/>
      </c>
      <c r="AU1438" s="2" t="str">
        <f t="shared" si="88"/>
        <v/>
      </c>
      <c r="AV1438" s="2" t="str">
        <f t="shared" si="89"/>
        <v/>
      </c>
      <c r="AW1438" s="2" t="str">
        <f t="shared" si="90"/>
        <v/>
      </c>
      <c r="AX1438" s="2" t="str">
        <f t="shared" si="91"/>
        <v/>
      </c>
      <c r="AY1438" s="2" t="str">
        <f>IF($AV1438="","",IF(AND($Z1438=0,COUNTIF('AR SALES'!$L$2:$L$2501,$L1438)=0),"YES",""))</f>
        <v/>
      </c>
      <c r="AZ1438" s="2" t="str">
        <f>IF($AV1438="","",IF(COUNTIF(LISTS!$C$2:$C$250,$AU1438)=0,"NEW",""))</f>
        <v/>
      </c>
      <c r="BA1438" s="2" t="str">
        <f>IF(""&amp;$F1438&lt;&gt;"4","",IF($AY1438="YES","",IF(ROUND(SUMIFS($AE$2:$AE$4001,$L$2:$L$4001,$L1438,$F$2:$F$4001,"4")-SUMIFS('AR SALES'!$Y$2:$Y$2501,'AR SALES'!$L$2:$L$2501,$L1438,'AR SALES'!$AD$2:$AD$2501,"OFF"),2)=0,"","STALE")))</f>
        <v/>
      </c>
      <c r="BB1438" s="2" t="str">
        <f>IF(OR(""&amp;$F1438="2",""&amp;$F1438="4",""&amp;$F1438="G",""&amp;$F1438="H"),IF($AY1438="YES","",IF($AB1438&lt;&gt;0,"",IF(COUNTIFS('AR SALES'!$L$2:$L$2501,$L1438,'AR SALES'!$AD$2:$AD$2501,IF(""&amp;$F1438="4","OFF","ON"),'AR SALES'!$AF$2:$AF$2501,"Y")&gt;0,"","NO EXEMPTION"))),"")</f>
        <v/>
      </c>
    </row>
    <row r="1439" spans="46:54" x14ac:dyDescent="0.25">
      <c r="AT1439" s="2" t="str">
        <f>IF($L1439="","",IFERROR(INDEX('AR SALES'!$H$2:$H$2501,MATCH(""&amp;$L1439,'AR SALES'!$AE$2:$AE$2501,0)),""))</f>
        <v/>
      </c>
      <c r="AU1439" s="2" t="str">
        <f t="shared" si="88"/>
        <v/>
      </c>
      <c r="AV1439" s="2" t="str">
        <f t="shared" si="89"/>
        <v/>
      </c>
      <c r="AW1439" s="2" t="str">
        <f t="shared" si="90"/>
        <v/>
      </c>
      <c r="AX1439" s="2" t="str">
        <f t="shared" si="91"/>
        <v/>
      </c>
      <c r="AY1439" s="2" t="str">
        <f>IF($AV1439="","",IF(AND($Z1439=0,COUNTIF('AR SALES'!$L$2:$L$2501,$L1439)=0),"YES",""))</f>
        <v/>
      </c>
      <c r="AZ1439" s="2" t="str">
        <f>IF($AV1439="","",IF(COUNTIF(LISTS!$C$2:$C$250,$AU1439)=0,"NEW",""))</f>
        <v/>
      </c>
      <c r="BA1439" s="2" t="str">
        <f>IF(""&amp;$F1439&lt;&gt;"4","",IF($AY1439="YES","",IF(ROUND(SUMIFS($AE$2:$AE$4001,$L$2:$L$4001,$L1439,$F$2:$F$4001,"4")-SUMIFS('AR SALES'!$Y$2:$Y$2501,'AR SALES'!$L$2:$L$2501,$L1439,'AR SALES'!$AD$2:$AD$2501,"OFF"),2)=0,"","STALE")))</f>
        <v/>
      </c>
      <c r="BB1439" s="2" t="str">
        <f>IF(OR(""&amp;$F1439="2",""&amp;$F1439="4",""&amp;$F1439="G",""&amp;$F1439="H"),IF($AY1439="YES","",IF($AB1439&lt;&gt;0,"",IF(COUNTIFS('AR SALES'!$L$2:$L$2501,$L1439,'AR SALES'!$AD$2:$AD$2501,IF(""&amp;$F1439="4","OFF","ON"),'AR SALES'!$AF$2:$AF$2501,"Y")&gt;0,"","NO EXEMPTION"))),"")</f>
        <v/>
      </c>
    </row>
    <row r="1440" spans="46:54" x14ac:dyDescent="0.25">
      <c r="AT1440" s="2" t="str">
        <f>IF($L1440="","",IFERROR(INDEX('AR SALES'!$H$2:$H$2501,MATCH(""&amp;$L1440,'AR SALES'!$AE$2:$AE$2501,0)),""))</f>
        <v/>
      </c>
      <c r="AU1440" s="2" t="str">
        <f t="shared" si="88"/>
        <v/>
      </c>
      <c r="AV1440" s="2" t="str">
        <f t="shared" si="89"/>
        <v/>
      </c>
      <c r="AW1440" s="2" t="str">
        <f t="shared" si="90"/>
        <v/>
      </c>
      <c r="AX1440" s="2" t="str">
        <f t="shared" si="91"/>
        <v/>
      </c>
      <c r="AY1440" s="2" t="str">
        <f>IF($AV1440="","",IF(AND($Z1440=0,COUNTIF('AR SALES'!$L$2:$L$2501,$L1440)=0),"YES",""))</f>
        <v/>
      </c>
      <c r="AZ1440" s="2" t="str">
        <f>IF($AV1440="","",IF(COUNTIF(LISTS!$C$2:$C$250,$AU1440)=0,"NEW",""))</f>
        <v/>
      </c>
      <c r="BA1440" s="2" t="str">
        <f>IF(""&amp;$F1440&lt;&gt;"4","",IF($AY1440="YES","",IF(ROUND(SUMIFS($AE$2:$AE$4001,$L$2:$L$4001,$L1440,$F$2:$F$4001,"4")-SUMIFS('AR SALES'!$Y$2:$Y$2501,'AR SALES'!$L$2:$L$2501,$L1440,'AR SALES'!$AD$2:$AD$2501,"OFF"),2)=0,"","STALE")))</f>
        <v/>
      </c>
      <c r="BB1440" s="2" t="str">
        <f>IF(OR(""&amp;$F1440="2",""&amp;$F1440="4",""&amp;$F1440="G",""&amp;$F1440="H"),IF($AY1440="YES","",IF($AB1440&lt;&gt;0,"",IF(COUNTIFS('AR SALES'!$L$2:$L$2501,$L1440,'AR SALES'!$AD$2:$AD$2501,IF(""&amp;$F1440="4","OFF","ON"),'AR SALES'!$AF$2:$AF$2501,"Y")&gt;0,"","NO EXEMPTION"))),"")</f>
        <v/>
      </c>
    </row>
    <row r="1441" spans="46:54" x14ac:dyDescent="0.25">
      <c r="AT1441" s="2" t="str">
        <f>IF($L1441="","",IFERROR(INDEX('AR SALES'!$H$2:$H$2501,MATCH(""&amp;$L1441,'AR SALES'!$AE$2:$AE$2501,0)),""))</f>
        <v/>
      </c>
      <c r="AU1441" s="2" t="str">
        <f t="shared" si="88"/>
        <v/>
      </c>
      <c r="AV1441" s="2" t="str">
        <f t="shared" si="89"/>
        <v/>
      </c>
      <c r="AW1441" s="2" t="str">
        <f t="shared" si="90"/>
        <v/>
      </c>
      <c r="AX1441" s="2" t="str">
        <f t="shared" si="91"/>
        <v/>
      </c>
      <c r="AY1441" s="2" t="str">
        <f>IF($AV1441="","",IF(AND($Z1441=0,COUNTIF('AR SALES'!$L$2:$L$2501,$L1441)=0),"YES",""))</f>
        <v/>
      </c>
      <c r="AZ1441" s="2" t="str">
        <f>IF($AV1441="","",IF(COUNTIF(LISTS!$C$2:$C$250,$AU1441)=0,"NEW",""))</f>
        <v/>
      </c>
      <c r="BA1441" s="2" t="str">
        <f>IF(""&amp;$F1441&lt;&gt;"4","",IF($AY1441="YES","",IF(ROUND(SUMIFS($AE$2:$AE$4001,$L$2:$L$4001,$L1441,$F$2:$F$4001,"4")-SUMIFS('AR SALES'!$Y$2:$Y$2501,'AR SALES'!$L$2:$L$2501,$L1441,'AR SALES'!$AD$2:$AD$2501,"OFF"),2)=0,"","STALE")))</f>
        <v/>
      </c>
      <c r="BB1441" s="2" t="str">
        <f>IF(OR(""&amp;$F1441="2",""&amp;$F1441="4",""&amp;$F1441="G",""&amp;$F1441="H"),IF($AY1441="YES","",IF($AB1441&lt;&gt;0,"",IF(COUNTIFS('AR SALES'!$L$2:$L$2501,$L1441,'AR SALES'!$AD$2:$AD$2501,IF(""&amp;$F1441="4","OFF","ON"),'AR SALES'!$AF$2:$AF$2501,"Y")&gt;0,"","NO EXEMPTION"))),"")</f>
        <v/>
      </c>
    </row>
    <row r="1442" spans="46:54" x14ac:dyDescent="0.25">
      <c r="AT1442" s="2" t="str">
        <f>IF($L1442="","",IFERROR(INDEX('AR SALES'!$H$2:$H$2501,MATCH(""&amp;$L1442,'AR SALES'!$AE$2:$AE$2501,0)),""))</f>
        <v/>
      </c>
      <c r="AU1442" s="2" t="str">
        <f t="shared" si="88"/>
        <v/>
      </c>
      <c r="AV1442" s="2" t="str">
        <f t="shared" si="89"/>
        <v/>
      </c>
      <c r="AW1442" s="2" t="str">
        <f t="shared" si="90"/>
        <v/>
      </c>
      <c r="AX1442" s="2" t="str">
        <f t="shared" si="91"/>
        <v/>
      </c>
      <c r="AY1442" s="2" t="str">
        <f>IF($AV1442="","",IF(AND($Z1442=0,COUNTIF('AR SALES'!$L$2:$L$2501,$L1442)=0),"YES",""))</f>
        <v/>
      </c>
      <c r="AZ1442" s="2" t="str">
        <f>IF($AV1442="","",IF(COUNTIF(LISTS!$C$2:$C$250,$AU1442)=0,"NEW",""))</f>
        <v/>
      </c>
      <c r="BA1442" s="2" t="str">
        <f>IF(""&amp;$F1442&lt;&gt;"4","",IF($AY1442="YES","",IF(ROUND(SUMIFS($AE$2:$AE$4001,$L$2:$L$4001,$L1442,$F$2:$F$4001,"4")-SUMIFS('AR SALES'!$Y$2:$Y$2501,'AR SALES'!$L$2:$L$2501,$L1442,'AR SALES'!$AD$2:$AD$2501,"OFF"),2)=0,"","STALE")))</f>
        <v/>
      </c>
      <c r="BB1442" s="2" t="str">
        <f>IF(OR(""&amp;$F1442="2",""&amp;$F1442="4",""&amp;$F1442="G",""&amp;$F1442="H"),IF($AY1442="YES","",IF($AB1442&lt;&gt;0,"",IF(COUNTIFS('AR SALES'!$L$2:$L$2501,$L1442,'AR SALES'!$AD$2:$AD$2501,IF(""&amp;$F1442="4","OFF","ON"),'AR SALES'!$AF$2:$AF$2501,"Y")&gt;0,"","NO EXEMPTION"))),"")</f>
        <v/>
      </c>
    </row>
    <row r="1443" spans="46:54" x14ac:dyDescent="0.25">
      <c r="AT1443" s="2" t="str">
        <f>IF($L1443="","",IFERROR(INDEX('AR SALES'!$H$2:$H$2501,MATCH(""&amp;$L1443,'AR SALES'!$AE$2:$AE$2501,0)),""))</f>
        <v/>
      </c>
      <c r="AU1443" s="2" t="str">
        <f t="shared" si="88"/>
        <v/>
      </c>
      <c r="AV1443" s="2" t="str">
        <f t="shared" si="89"/>
        <v/>
      </c>
      <c r="AW1443" s="2" t="str">
        <f t="shared" si="90"/>
        <v/>
      </c>
      <c r="AX1443" s="2" t="str">
        <f t="shared" si="91"/>
        <v/>
      </c>
      <c r="AY1443" s="2" t="str">
        <f>IF($AV1443="","",IF(AND($Z1443=0,COUNTIF('AR SALES'!$L$2:$L$2501,$L1443)=0),"YES",""))</f>
        <v/>
      </c>
      <c r="AZ1443" s="2" t="str">
        <f>IF($AV1443="","",IF(COUNTIF(LISTS!$C$2:$C$250,$AU1443)=0,"NEW",""))</f>
        <v/>
      </c>
      <c r="BA1443" s="2" t="str">
        <f>IF(""&amp;$F1443&lt;&gt;"4","",IF($AY1443="YES","",IF(ROUND(SUMIFS($AE$2:$AE$4001,$L$2:$L$4001,$L1443,$F$2:$F$4001,"4")-SUMIFS('AR SALES'!$Y$2:$Y$2501,'AR SALES'!$L$2:$L$2501,$L1443,'AR SALES'!$AD$2:$AD$2501,"OFF"),2)=0,"","STALE")))</f>
        <v/>
      </c>
      <c r="BB1443" s="2" t="str">
        <f>IF(OR(""&amp;$F1443="2",""&amp;$F1443="4",""&amp;$F1443="G",""&amp;$F1443="H"),IF($AY1443="YES","",IF($AB1443&lt;&gt;0,"",IF(COUNTIFS('AR SALES'!$L$2:$L$2501,$L1443,'AR SALES'!$AD$2:$AD$2501,IF(""&amp;$F1443="4","OFF","ON"),'AR SALES'!$AF$2:$AF$2501,"Y")&gt;0,"","NO EXEMPTION"))),"")</f>
        <v/>
      </c>
    </row>
    <row r="1444" spans="46:54" x14ac:dyDescent="0.25">
      <c r="AT1444" s="2" t="str">
        <f>IF($L1444="","",IFERROR(INDEX('AR SALES'!$H$2:$H$2501,MATCH(""&amp;$L1444,'AR SALES'!$AE$2:$AE$2501,0)),""))</f>
        <v/>
      </c>
      <c r="AU1444" s="2" t="str">
        <f t="shared" si="88"/>
        <v/>
      </c>
      <c r="AV1444" s="2" t="str">
        <f t="shared" si="89"/>
        <v/>
      </c>
      <c r="AW1444" s="2" t="str">
        <f t="shared" si="90"/>
        <v/>
      </c>
      <c r="AX1444" s="2" t="str">
        <f t="shared" si="91"/>
        <v/>
      </c>
      <c r="AY1444" s="2" t="str">
        <f>IF($AV1444="","",IF(AND($Z1444=0,COUNTIF('AR SALES'!$L$2:$L$2501,$L1444)=0),"YES",""))</f>
        <v/>
      </c>
      <c r="AZ1444" s="2" t="str">
        <f>IF($AV1444="","",IF(COUNTIF(LISTS!$C$2:$C$250,$AU1444)=0,"NEW",""))</f>
        <v/>
      </c>
      <c r="BA1444" s="2" t="str">
        <f>IF(""&amp;$F1444&lt;&gt;"4","",IF($AY1444="YES","",IF(ROUND(SUMIFS($AE$2:$AE$4001,$L$2:$L$4001,$L1444,$F$2:$F$4001,"4")-SUMIFS('AR SALES'!$Y$2:$Y$2501,'AR SALES'!$L$2:$L$2501,$L1444,'AR SALES'!$AD$2:$AD$2501,"OFF"),2)=0,"","STALE")))</f>
        <v/>
      </c>
      <c r="BB1444" s="2" t="str">
        <f>IF(OR(""&amp;$F1444="2",""&amp;$F1444="4",""&amp;$F1444="G",""&amp;$F1444="H"),IF($AY1444="YES","",IF($AB1444&lt;&gt;0,"",IF(COUNTIFS('AR SALES'!$L$2:$L$2501,$L1444,'AR SALES'!$AD$2:$AD$2501,IF(""&amp;$F1444="4","OFF","ON"),'AR SALES'!$AF$2:$AF$2501,"Y")&gt;0,"","NO EXEMPTION"))),"")</f>
        <v/>
      </c>
    </row>
    <row r="1445" spans="46:54" x14ac:dyDescent="0.25">
      <c r="AT1445" s="2" t="str">
        <f>IF($L1445="","",IFERROR(INDEX('AR SALES'!$H$2:$H$2501,MATCH(""&amp;$L1445,'AR SALES'!$AE$2:$AE$2501,0)),""))</f>
        <v/>
      </c>
      <c r="AU1445" s="2" t="str">
        <f t="shared" si="88"/>
        <v/>
      </c>
      <c r="AV1445" s="2" t="str">
        <f t="shared" si="89"/>
        <v/>
      </c>
      <c r="AW1445" s="2" t="str">
        <f t="shared" si="90"/>
        <v/>
      </c>
      <c r="AX1445" s="2" t="str">
        <f t="shared" si="91"/>
        <v/>
      </c>
      <c r="AY1445" s="2" t="str">
        <f>IF($AV1445="","",IF(AND($Z1445=0,COUNTIF('AR SALES'!$L$2:$L$2501,$L1445)=0),"YES",""))</f>
        <v/>
      </c>
      <c r="AZ1445" s="2" t="str">
        <f>IF($AV1445="","",IF(COUNTIF(LISTS!$C$2:$C$250,$AU1445)=0,"NEW",""))</f>
        <v/>
      </c>
      <c r="BA1445" s="2" t="str">
        <f>IF(""&amp;$F1445&lt;&gt;"4","",IF($AY1445="YES","",IF(ROUND(SUMIFS($AE$2:$AE$4001,$L$2:$L$4001,$L1445,$F$2:$F$4001,"4")-SUMIFS('AR SALES'!$Y$2:$Y$2501,'AR SALES'!$L$2:$L$2501,$L1445,'AR SALES'!$AD$2:$AD$2501,"OFF"),2)=0,"","STALE")))</f>
        <v/>
      </c>
      <c r="BB1445" s="2" t="str">
        <f>IF(OR(""&amp;$F1445="2",""&amp;$F1445="4",""&amp;$F1445="G",""&amp;$F1445="H"),IF($AY1445="YES","",IF($AB1445&lt;&gt;0,"",IF(COUNTIFS('AR SALES'!$L$2:$L$2501,$L1445,'AR SALES'!$AD$2:$AD$2501,IF(""&amp;$F1445="4","OFF","ON"),'AR SALES'!$AF$2:$AF$2501,"Y")&gt;0,"","NO EXEMPTION"))),"")</f>
        <v/>
      </c>
    </row>
    <row r="1446" spans="46:54" x14ac:dyDescent="0.25">
      <c r="AT1446" s="2" t="str">
        <f>IF($L1446="","",IFERROR(INDEX('AR SALES'!$H$2:$H$2501,MATCH(""&amp;$L1446,'AR SALES'!$AE$2:$AE$2501,0)),""))</f>
        <v/>
      </c>
      <c r="AU1446" s="2" t="str">
        <f t="shared" si="88"/>
        <v/>
      </c>
      <c r="AV1446" s="2" t="str">
        <f t="shared" si="89"/>
        <v/>
      </c>
      <c r="AW1446" s="2" t="str">
        <f t="shared" si="90"/>
        <v/>
      </c>
      <c r="AX1446" s="2" t="str">
        <f t="shared" si="91"/>
        <v/>
      </c>
      <c r="AY1446" s="2" t="str">
        <f>IF($AV1446="","",IF(AND($Z1446=0,COUNTIF('AR SALES'!$L$2:$L$2501,$L1446)=0),"YES",""))</f>
        <v/>
      </c>
      <c r="AZ1446" s="2" t="str">
        <f>IF($AV1446="","",IF(COUNTIF(LISTS!$C$2:$C$250,$AU1446)=0,"NEW",""))</f>
        <v/>
      </c>
      <c r="BA1446" s="2" t="str">
        <f>IF(""&amp;$F1446&lt;&gt;"4","",IF($AY1446="YES","",IF(ROUND(SUMIFS($AE$2:$AE$4001,$L$2:$L$4001,$L1446,$F$2:$F$4001,"4")-SUMIFS('AR SALES'!$Y$2:$Y$2501,'AR SALES'!$L$2:$L$2501,$L1446,'AR SALES'!$AD$2:$AD$2501,"OFF"),2)=0,"","STALE")))</f>
        <v/>
      </c>
      <c r="BB1446" s="2" t="str">
        <f>IF(OR(""&amp;$F1446="2",""&amp;$F1446="4",""&amp;$F1446="G",""&amp;$F1446="H"),IF($AY1446="YES","",IF($AB1446&lt;&gt;0,"",IF(COUNTIFS('AR SALES'!$L$2:$L$2501,$L1446,'AR SALES'!$AD$2:$AD$2501,IF(""&amp;$F1446="4","OFF","ON"),'AR SALES'!$AF$2:$AF$2501,"Y")&gt;0,"","NO EXEMPTION"))),"")</f>
        <v/>
      </c>
    </row>
    <row r="1447" spans="46:54" x14ac:dyDescent="0.25">
      <c r="AT1447" s="2" t="str">
        <f>IF($L1447="","",IFERROR(INDEX('AR SALES'!$H$2:$H$2501,MATCH(""&amp;$L1447,'AR SALES'!$AE$2:$AE$2501,0)),""))</f>
        <v/>
      </c>
      <c r="AU1447" s="2" t="str">
        <f t="shared" si="88"/>
        <v/>
      </c>
      <c r="AV1447" s="2" t="str">
        <f t="shared" si="89"/>
        <v/>
      </c>
      <c r="AW1447" s="2" t="str">
        <f t="shared" si="90"/>
        <v/>
      </c>
      <c r="AX1447" s="2" t="str">
        <f t="shared" si="91"/>
        <v/>
      </c>
      <c r="AY1447" s="2" t="str">
        <f>IF($AV1447="","",IF(AND($Z1447=0,COUNTIF('AR SALES'!$L$2:$L$2501,$L1447)=0),"YES",""))</f>
        <v/>
      </c>
      <c r="AZ1447" s="2" t="str">
        <f>IF($AV1447="","",IF(COUNTIF(LISTS!$C$2:$C$250,$AU1447)=0,"NEW",""))</f>
        <v/>
      </c>
      <c r="BA1447" s="2" t="str">
        <f>IF(""&amp;$F1447&lt;&gt;"4","",IF($AY1447="YES","",IF(ROUND(SUMIFS($AE$2:$AE$4001,$L$2:$L$4001,$L1447,$F$2:$F$4001,"4")-SUMIFS('AR SALES'!$Y$2:$Y$2501,'AR SALES'!$L$2:$L$2501,$L1447,'AR SALES'!$AD$2:$AD$2501,"OFF"),2)=0,"","STALE")))</f>
        <v/>
      </c>
      <c r="BB1447" s="2" t="str">
        <f>IF(OR(""&amp;$F1447="2",""&amp;$F1447="4",""&amp;$F1447="G",""&amp;$F1447="H"),IF($AY1447="YES","",IF($AB1447&lt;&gt;0,"",IF(COUNTIFS('AR SALES'!$L$2:$L$2501,$L1447,'AR SALES'!$AD$2:$AD$2501,IF(""&amp;$F1447="4","OFF","ON"),'AR SALES'!$AF$2:$AF$2501,"Y")&gt;0,"","NO EXEMPTION"))),"")</f>
        <v/>
      </c>
    </row>
    <row r="1448" spans="46:54" x14ac:dyDescent="0.25">
      <c r="AT1448" s="2" t="str">
        <f>IF($L1448="","",IFERROR(INDEX('AR SALES'!$H$2:$H$2501,MATCH(""&amp;$L1448,'AR SALES'!$AE$2:$AE$2501,0)),""))</f>
        <v/>
      </c>
      <c r="AU1448" s="2" t="str">
        <f t="shared" si="88"/>
        <v/>
      </c>
      <c r="AV1448" s="2" t="str">
        <f t="shared" si="89"/>
        <v/>
      </c>
      <c r="AW1448" s="2" t="str">
        <f t="shared" si="90"/>
        <v/>
      </c>
      <c r="AX1448" s="2" t="str">
        <f t="shared" si="91"/>
        <v/>
      </c>
      <c r="AY1448" s="2" t="str">
        <f>IF($AV1448="","",IF(AND($Z1448=0,COUNTIF('AR SALES'!$L$2:$L$2501,$L1448)=0),"YES",""))</f>
        <v/>
      </c>
      <c r="AZ1448" s="2" t="str">
        <f>IF($AV1448="","",IF(COUNTIF(LISTS!$C$2:$C$250,$AU1448)=0,"NEW",""))</f>
        <v/>
      </c>
      <c r="BA1448" s="2" t="str">
        <f>IF(""&amp;$F1448&lt;&gt;"4","",IF($AY1448="YES","",IF(ROUND(SUMIFS($AE$2:$AE$4001,$L$2:$L$4001,$L1448,$F$2:$F$4001,"4")-SUMIFS('AR SALES'!$Y$2:$Y$2501,'AR SALES'!$L$2:$L$2501,$L1448,'AR SALES'!$AD$2:$AD$2501,"OFF"),2)=0,"","STALE")))</f>
        <v/>
      </c>
      <c r="BB1448" s="2" t="str">
        <f>IF(OR(""&amp;$F1448="2",""&amp;$F1448="4",""&amp;$F1448="G",""&amp;$F1448="H"),IF($AY1448="YES","",IF($AB1448&lt;&gt;0,"",IF(COUNTIFS('AR SALES'!$L$2:$L$2501,$L1448,'AR SALES'!$AD$2:$AD$2501,IF(""&amp;$F1448="4","OFF","ON"),'AR SALES'!$AF$2:$AF$2501,"Y")&gt;0,"","NO EXEMPTION"))),"")</f>
        <v/>
      </c>
    </row>
    <row r="1449" spans="46:54" x14ac:dyDescent="0.25">
      <c r="AT1449" s="2" t="str">
        <f>IF($L1449="","",IFERROR(INDEX('AR SALES'!$H$2:$H$2501,MATCH(""&amp;$L1449,'AR SALES'!$AE$2:$AE$2501,0)),""))</f>
        <v/>
      </c>
      <c r="AU1449" s="2" t="str">
        <f t="shared" si="88"/>
        <v/>
      </c>
      <c r="AV1449" s="2" t="str">
        <f t="shared" si="89"/>
        <v/>
      </c>
      <c r="AW1449" s="2" t="str">
        <f t="shared" si="90"/>
        <v/>
      </c>
      <c r="AX1449" s="2" t="str">
        <f t="shared" si="91"/>
        <v/>
      </c>
      <c r="AY1449" s="2" t="str">
        <f>IF($AV1449="","",IF(AND($Z1449=0,COUNTIF('AR SALES'!$L$2:$L$2501,$L1449)=0),"YES",""))</f>
        <v/>
      </c>
      <c r="AZ1449" s="2" t="str">
        <f>IF($AV1449="","",IF(COUNTIF(LISTS!$C$2:$C$250,$AU1449)=0,"NEW",""))</f>
        <v/>
      </c>
      <c r="BA1449" s="2" t="str">
        <f>IF(""&amp;$F1449&lt;&gt;"4","",IF($AY1449="YES","",IF(ROUND(SUMIFS($AE$2:$AE$4001,$L$2:$L$4001,$L1449,$F$2:$F$4001,"4")-SUMIFS('AR SALES'!$Y$2:$Y$2501,'AR SALES'!$L$2:$L$2501,$L1449,'AR SALES'!$AD$2:$AD$2501,"OFF"),2)=0,"","STALE")))</f>
        <v/>
      </c>
      <c r="BB1449" s="2" t="str">
        <f>IF(OR(""&amp;$F1449="2",""&amp;$F1449="4",""&amp;$F1449="G",""&amp;$F1449="H"),IF($AY1449="YES","",IF($AB1449&lt;&gt;0,"",IF(COUNTIFS('AR SALES'!$L$2:$L$2501,$L1449,'AR SALES'!$AD$2:$AD$2501,IF(""&amp;$F1449="4","OFF","ON"),'AR SALES'!$AF$2:$AF$2501,"Y")&gt;0,"","NO EXEMPTION"))),"")</f>
        <v/>
      </c>
    </row>
    <row r="1450" spans="46:54" x14ac:dyDescent="0.25">
      <c r="AT1450" s="2" t="str">
        <f>IF($L1450="","",IFERROR(INDEX('AR SALES'!$H$2:$H$2501,MATCH(""&amp;$L1450,'AR SALES'!$AE$2:$AE$2501,0)),""))</f>
        <v/>
      </c>
      <c r="AU1450" s="2" t="str">
        <f t="shared" si="88"/>
        <v/>
      </c>
      <c r="AV1450" s="2" t="str">
        <f t="shared" si="89"/>
        <v/>
      </c>
      <c r="AW1450" s="2" t="str">
        <f t="shared" si="90"/>
        <v/>
      </c>
      <c r="AX1450" s="2" t="str">
        <f t="shared" si="91"/>
        <v/>
      </c>
      <c r="AY1450" s="2" t="str">
        <f>IF($AV1450="","",IF(AND($Z1450=0,COUNTIF('AR SALES'!$L$2:$L$2501,$L1450)=0),"YES",""))</f>
        <v/>
      </c>
      <c r="AZ1450" s="2" t="str">
        <f>IF($AV1450="","",IF(COUNTIF(LISTS!$C$2:$C$250,$AU1450)=0,"NEW",""))</f>
        <v/>
      </c>
      <c r="BA1450" s="2" t="str">
        <f>IF(""&amp;$F1450&lt;&gt;"4","",IF($AY1450="YES","",IF(ROUND(SUMIFS($AE$2:$AE$4001,$L$2:$L$4001,$L1450,$F$2:$F$4001,"4")-SUMIFS('AR SALES'!$Y$2:$Y$2501,'AR SALES'!$L$2:$L$2501,$L1450,'AR SALES'!$AD$2:$AD$2501,"OFF"),2)=0,"","STALE")))</f>
        <v/>
      </c>
      <c r="BB1450" s="2" t="str">
        <f>IF(OR(""&amp;$F1450="2",""&amp;$F1450="4",""&amp;$F1450="G",""&amp;$F1450="H"),IF($AY1450="YES","",IF($AB1450&lt;&gt;0,"",IF(COUNTIFS('AR SALES'!$L$2:$L$2501,$L1450,'AR SALES'!$AD$2:$AD$2501,IF(""&amp;$F1450="4","OFF","ON"),'AR SALES'!$AF$2:$AF$2501,"Y")&gt;0,"","NO EXEMPTION"))),"")</f>
        <v/>
      </c>
    </row>
    <row r="1451" spans="46:54" x14ac:dyDescent="0.25">
      <c r="AT1451" s="2" t="str">
        <f>IF($L1451="","",IFERROR(INDEX('AR SALES'!$H$2:$H$2501,MATCH(""&amp;$L1451,'AR SALES'!$AE$2:$AE$2501,0)),""))</f>
        <v/>
      </c>
      <c r="AU1451" s="2" t="str">
        <f t="shared" si="88"/>
        <v/>
      </c>
      <c r="AV1451" s="2" t="str">
        <f t="shared" si="89"/>
        <v/>
      </c>
      <c r="AW1451" s="2" t="str">
        <f t="shared" si="90"/>
        <v/>
      </c>
      <c r="AX1451" s="2" t="str">
        <f t="shared" si="91"/>
        <v/>
      </c>
      <c r="AY1451" s="2" t="str">
        <f>IF($AV1451="","",IF(AND($Z1451=0,COUNTIF('AR SALES'!$L$2:$L$2501,$L1451)=0),"YES",""))</f>
        <v/>
      </c>
      <c r="AZ1451" s="2" t="str">
        <f>IF($AV1451="","",IF(COUNTIF(LISTS!$C$2:$C$250,$AU1451)=0,"NEW",""))</f>
        <v/>
      </c>
      <c r="BA1451" s="2" t="str">
        <f>IF(""&amp;$F1451&lt;&gt;"4","",IF($AY1451="YES","",IF(ROUND(SUMIFS($AE$2:$AE$4001,$L$2:$L$4001,$L1451,$F$2:$F$4001,"4")-SUMIFS('AR SALES'!$Y$2:$Y$2501,'AR SALES'!$L$2:$L$2501,$L1451,'AR SALES'!$AD$2:$AD$2501,"OFF"),2)=0,"","STALE")))</f>
        <v/>
      </c>
      <c r="BB1451" s="2" t="str">
        <f>IF(OR(""&amp;$F1451="2",""&amp;$F1451="4",""&amp;$F1451="G",""&amp;$F1451="H"),IF($AY1451="YES","",IF($AB1451&lt;&gt;0,"",IF(COUNTIFS('AR SALES'!$L$2:$L$2501,$L1451,'AR SALES'!$AD$2:$AD$2501,IF(""&amp;$F1451="4","OFF","ON"),'AR SALES'!$AF$2:$AF$2501,"Y")&gt;0,"","NO EXEMPTION"))),"")</f>
        <v/>
      </c>
    </row>
    <row r="1452" spans="46:54" x14ac:dyDescent="0.25">
      <c r="AT1452" s="2" t="str">
        <f>IF($L1452="","",IFERROR(INDEX('AR SALES'!$H$2:$H$2501,MATCH(""&amp;$L1452,'AR SALES'!$AE$2:$AE$2501,0)),""))</f>
        <v/>
      </c>
      <c r="AU1452" s="2" t="str">
        <f t="shared" si="88"/>
        <v/>
      </c>
      <c r="AV1452" s="2" t="str">
        <f t="shared" si="89"/>
        <v/>
      </c>
      <c r="AW1452" s="2" t="str">
        <f t="shared" si="90"/>
        <v/>
      </c>
      <c r="AX1452" s="2" t="str">
        <f t="shared" si="91"/>
        <v/>
      </c>
      <c r="AY1452" s="2" t="str">
        <f>IF($AV1452="","",IF(AND($Z1452=0,COUNTIF('AR SALES'!$L$2:$L$2501,$L1452)=0),"YES",""))</f>
        <v/>
      </c>
      <c r="AZ1452" s="2" t="str">
        <f>IF($AV1452="","",IF(COUNTIF(LISTS!$C$2:$C$250,$AU1452)=0,"NEW",""))</f>
        <v/>
      </c>
      <c r="BA1452" s="2" t="str">
        <f>IF(""&amp;$F1452&lt;&gt;"4","",IF($AY1452="YES","",IF(ROUND(SUMIFS($AE$2:$AE$4001,$L$2:$L$4001,$L1452,$F$2:$F$4001,"4")-SUMIFS('AR SALES'!$Y$2:$Y$2501,'AR SALES'!$L$2:$L$2501,$L1452,'AR SALES'!$AD$2:$AD$2501,"OFF"),2)=0,"","STALE")))</f>
        <v/>
      </c>
      <c r="BB1452" s="2" t="str">
        <f>IF(OR(""&amp;$F1452="2",""&amp;$F1452="4",""&amp;$F1452="G",""&amp;$F1452="H"),IF($AY1452="YES","",IF($AB1452&lt;&gt;0,"",IF(COUNTIFS('AR SALES'!$L$2:$L$2501,$L1452,'AR SALES'!$AD$2:$AD$2501,IF(""&amp;$F1452="4","OFF","ON"),'AR SALES'!$AF$2:$AF$2501,"Y")&gt;0,"","NO EXEMPTION"))),"")</f>
        <v/>
      </c>
    </row>
    <row r="1453" spans="46:54" x14ac:dyDescent="0.25">
      <c r="AT1453" s="2" t="str">
        <f>IF($L1453="","",IFERROR(INDEX('AR SALES'!$H$2:$H$2501,MATCH(""&amp;$L1453,'AR SALES'!$AE$2:$AE$2501,0)),""))</f>
        <v/>
      </c>
      <c r="AU1453" s="2" t="str">
        <f t="shared" si="88"/>
        <v/>
      </c>
      <c r="AV1453" s="2" t="str">
        <f t="shared" si="89"/>
        <v/>
      </c>
      <c r="AW1453" s="2" t="str">
        <f t="shared" si="90"/>
        <v/>
      </c>
      <c r="AX1453" s="2" t="str">
        <f t="shared" si="91"/>
        <v/>
      </c>
      <c r="AY1453" s="2" t="str">
        <f>IF($AV1453="","",IF(AND($Z1453=0,COUNTIF('AR SALES'!$L$2:$L$2501,$L1453)=0),"YES",""))</f>
        <v/>
      </c>
      <c r="AZ1453" s="2" t="str">
        <f>IF($AV1453="","",IF(COUNTIF(LISTS!$C$2:$C$250,$AU1453)=0,"NEW",""))</f>
        <v/>
      </c>
      <c r="BA1453" s="2" t="str">
        <f>IF(""&amp;$F1453&lt;&gt;"4","",IF($AY1453="YES","",IF(ROUND(SUMIFS($AE$2:$AE$4001,$L$2:$L$4001,$L1453,$F$2:$F$4001,"4")-SUMIFS('AR SALES'!$Y$2:$Y$2501,'AR SALES'!$L$2:$L$2501,$L1453,'AR SALES'!$AD$2:$AD$2501,"OFF"),2)=0,"","STALE")))</f>
        <v/>
      </c>
      <c r="BB1453" s="2" t="str">
        <f>IF(OR(""&amp;$F1453="2",""&amp;$F1453="4",""&amp;$F1453="G",""&amp;$F1453="H"),IF($AY1453="YES","",IF($AB1453&lt;&gt;0,"",IF(COUNTIFS('AR SALES'!$L$2:$L$2501,$L1453,'AR SALES'!$AD$2:$AD$2501,IF(""&amp;$F1453="4","OFF","ON"),'AR SALES'!$AF$2:$AF$2501,"Y")&gt;0,"","NO EXEMPTION"))),"")</f>
        <v/>
      </c>
    </row>
    <row r="1454" spans="46:54" x14ac:dyDescent="0.25">
      <c r="AT1454" s="2" t="str">
        <f>IF($L1454="","",IFERROR(INDEX('AR SALES'!$H$2:$H$2501,MATCH(""&amp;$L1454,'AR SALES'!$AE$2:$AE$2501,0)),""))</f>
        <v/>
      </c>
      <c r="AU1454" s="2" t="str">
        <f t="shared" si="88"/>
        <v/>
      </c>
      <c r="AV1454" s="2" t="str">
        <f t="shared" si="89"/>
        <v/>
      </c>
      <c r="AW1454" s="2" t="str">
        <f t="shared" si="90"/>
        <v/>
      </c>
      <c r="AX1454" s="2" t="str">
        <f t="shared" si="91"/>
        <v/>
      </c>
      <c r="AY1454" s="2" t="str">
        <f>IF($AV1454="","",IF(AND($Z1454=0,COUNTIF('AR SALES'!$L$2:$L$2501,$L1454)=0),"YES",""))</f>
        <v/>
      </c>
      <c r="AZ1454" s="2" t="str">
        <f>IF($AV1454="","",IF(COUNTIF(LISTS!$C$2:$C$250,$AU1454)=0,"NEW",""))</f>
        <v/>
      </c>
      <c r="BA1454" s="2" t="str">
        <f>IF(""&amp;$F1454&lt;&gt;"4","",IF($AY1454="YES","",IF(ROUND(SUMIFS($AE$2:$AE$4001,$L$2:$L$4001,$L1454,$F$2:$F$4001,"4")-SUMIFS('AR SALES'!$Y$2:$Y$2501,'AR SALES'!$L$2:$L$2501,$L1454,'AR SALES'!$AD$2:$AD$2501,"OFF"),2)=0,"","STALE")))</f>
        <v/>
      </c>
      <c r="BB1454" s="2" t="str">
        <f>IF(OR(""&amp;$F1454="2",""&amp;$F1454="4",""&amp;$F1454="G",""&amp;$F1454="H"),IF($AY1454="YES","",IF($AB1454&lt;&gt;0,"",IF(COUNTIFS('AR SALES'!$L$2:$L$2501,$L1454,'AR SALES'!$AD$2:$AD$2501,IF(""&amp;$F1454="4","OFF","ON"),'AR SALES'!$AF$2:$AF$2501,"Y")&gt;0,"","NO EXEMPTION"))),"")</f>
        <v/>
      </c>
    </row>
    <row r="1455" spans="46:54" x14ac:dyDescent="0.25">
      <c r="AT1455" s="2" t="str">
        <f>IF($L1455="","",IFERROR(INDEX('AR SALES'!$H$2:$H$2501,MATCH(""&amp;$L1455,'AR SALES'!$AE$2:$AE$2501,0)),""))</f>
        <v/>
      </c>
      <c r="AU1455" s="2" t="str">
        <f t="shared" si="88"/>
        <v/>
      </c>
      <c r="AV1455" s="2" t="str">
        <f t="shared" si="89"/>
        <v/>
      </c>
      <c r="AW1455" s="2" t="str">
        <f t="shared" si="90"/>
        <v/>
      </c>
      <c r="AX1455" s="2" t="str">
        <f t="shared" si="91"/>
        <v/>
      </c>
      <c r="AY1455" s="2" t="str">
        <f>IF($AV1455="","",IF(AND($Z1455=0,COUNTIF('AR SALES'!$L$2:$L$2501,$L1455)=0),"YES",""))</f>
        <v/>
      </c>
      <c r="AZ1455" s="2" t="str">
        <f>IF($AV1455="","",IF(COUNTIF(LISTS!$C$2:$C$250,$AU1455)=0,"NEW",""))</f>
        <v/>
      </c>
      <c r="BA1455" s="2" t="str">
        <f>IF(""&amp;$F1455&lt;&gt;"4","",IF($AY1455="YES","",IF(ROUND(SUMIFS($AE$2:$AE$4001,$L$2:$L$4001,$L1455,$F$2:$F$4001,"4")-SUMIFS('AR SALES'!$Y$2:$Y$2501,'AR SALES'!$L$2:$L$2501,$L1455,'AR SALES'!$AD$2:$AD$2501,"OFF"),2)=0,"","STALE")))</f>
        <v/>
      </c>
      <c r="BB1455" s="2" t="str">
        <f>IF(OR(""&amp;$F1455="2",""&amp;$F1455="4",""&amp;$F1455="G",""&amp;$F1455="H"),IF($AY1455="YES","",IF($AB1455&lt;&gt;0,"",IF(COUNTIFS('AR SALES'!$L$2:$L$2501,$L1455,'AR SALES'!$AD$2:$AD$2501,IF(""&amp;$F1455="4","OFF","ON"),'AR SALES'!$AF$2:$AF$2501,"Y")&gt;0,"","NO EXEMPTION"))),"")</f>
        <v/>
      </c>
    </row>
    <row r="1456" spans="46:54" x14ac:dyDescent="0.25">
      <c r="AT1456" s="2" t="str">
        <f>IF($L1456="","",IFERROR(INDEX('AR SALES'!$H$2:$H$2501,MATCH(""&amp;$L1456,'AR SALES'!$AE$2:$AE$2501,0)),""))</f>
        <v/>
      </c>
      <c r="AU1456" s="2" t="str">
        <f t="shared" si="88"/>
        <v/>
      </c>
      <c r="AV1456" s="2" t="str">
        <f t="shared" si="89"/>
        <v/>
      </c>
      <c r="AW1456" s="2" t="str">
        <f t="shared" si="90"/>
        <v/>
      </c>
      <c r="AX1456" s="2" t="str">
        <f t="shared" si="91"/>
        <v/>
      </c>
      <c r="AY1456" s="2" t="str">
        <f>IF($AV1456="","",IF(AND($Z1456=0,COUNTIF('AR SALES'!$L$2:$L$2501,$L1456)=0),"YES",""))</f>
        <v/>
      </c>
      <c r="AZ1456" s="2" t="str">
        <f>IF($AV1456="","",IF(COUNTIF(LISTS!$C$2:$C$250,$AU1456)=0,"NEW",""))</f>
        <v/>
      </c>
      <c r="BA1456" s="2" t="str">
        <f>IF(""&amp;$F1456&lt;&gt;"4","",IF($AY1456="YES","",IF(ROUND(SUMIFS($AE$2:$AE$4001,$L$2:$L$4001,$L1456,$F$2:$F$4001,"4")-SUMIFS('AR SALES'!$Y$2:$Y$2501,'AR SALES'!$L$2:$L$2501,$L1456,'AR SALES'!$AD$2:$AD$2501,"OFF"),2)=0,"","STALE")))</f>
        <v/>
      </c>
      <c r="BB1456" s="2" t="str">
        <f>IF(OR(""&amp;$F1456="2",""&amp;$F1456="4",""&amp;$F1456="G",""&amp;$F1456="H"),IF($AY1456="YES","",IF($AB1456&lt;&gt;0,"",IF(COUNTIFS('AR SALES'!$L$2:$L$2501,$L1456,'AR SALES'!$AD$2:$AD$2501,IF(""&amp;$F1456="4","OFF","ON"),'AR SALES'!$AF$2:$AF$2501,"Y")&gt;0,"","NO EXEMPTION"))),"")</f>
        <v/>
      </c>
    </row>
    <row r="1457" spans="46:54" x14ac:dyDescent="0.25">
      <c r="AT1457" s="2" t="str">
        <f>IF($L1457="","",IFERROR(INDEX('AR SALES'!$H$2:$H$2501,MATCH(""&amp;$L1457,'AR SALES'!$AE$2:$AE$2501,0)),""))</f>
        <v/>
      </c>
      <c r="AU1457" s="2" t="str">
        <f t="shared" si="88"/>
        <v/>
      </c>
      <c r="AV1457" s="2" t="str">
        <f t="shared" si="89"/>
        <v/>
      </c>
      <c r="AW1457" s="2" t="str">
        <f t="shared" si="90"/>
        <v/>
      </c>
      <c r="AX1457" s="2" t="str">
        <f t="shared" si="91"/>
        <v/>
      </c>
      <c r="AY1457" s="2" t="str">
        <f>IF($AV1457="","",IF(AND($Z1457=0,COUNTIF('AR SALES'!$L$2:$L$2501,$L1457)=0),"YES",""))</f>
        <v/>
      </c>
      <c r="AZ1457" s="2" t="str">
        <f>IF($AV1457="","",IF(COUNTIF(LISTS!$C$2:$C$250,$AU1457)=0,"NEW",""))</f>
        <v/>
      </c>
      <c r="BA1457" s="2" t="str">
        <f>IF(""&amp;$F1457&lt;&gt;"4","",IF($AY1457="YES","",IF(ROUND(SUMIFS($AE$2:$AE$4001,$L$2:$L$4001,$L1457,$F$2:$F$4001,"4")-SUMIFS('AR SALES'!$Y$2:$Y$2501,'AR SALES'!$L$2:$L$2501,$L1457,'AR SALES'!$AD$2:$AD$2501,"OFF"),2)=0,"","STALE")))</f>
        <v/>
      </c>
      <c r="BB1457" s="2" t="str">
        <f>IF(OR(""&amp;$F1457="2",""&amp;$F1457="4",""&amp;$F1457="G",""&amp;$F1457="H"),IF($AY1457="YES","",IF($AB1457&lt;&gt;0,"",IF(COUNTIFS('AR SALES'!$L$2:$L$2501,$L1457,'AR SALES'!$AD$2:$AD$2501,IF(""&amp;$F1457="4","OFF","ON"),'AR SALES'!$AF$2:$AF$2501,"Y")&gt;0,"","NO EXEMPTION"))),"")</f>
        <v/>
      </c>
    </row>
    <row r="1458" spans="46:54" x14ac:dyDescent="0.25">
      <c r="AT1458" s="2" t="str">
        <f>IF($L1458="","",IFERROR(INDEX('AR SALES'!$H$2:$H$2501,MATCH(""&amp;$L1458,'AR SALES'!$AE$2:$AE$2501,0)),""))</f>
        <v/>
      </c>
      <c r="AU1458" s="2" t="str">
        <f t="shared" si="88"/>
        <v/>
      </c>
      <c r="AV1458" s="2" t="str">
        <f t="shared" si="89"/>
        <v/>
      </c>
      <c r="AW1458" s="2" t="str">
        <f t="shared" si="90"/>
        <v/>
      </c>
      <c r="AX1458" s="2" t="str">
        <f t="shared" si="91"/>
        <v/>
      </c>
      <c r="AY1458" s="2" t="str">
        <f>IF($AV1458="","",IF(AND($Z1458=0,COUNTIF('AR SALES'!$L$2:$L$2501,$L1458)=0),"YES",""))</f>
        <v/>
      </c>
      <c r="AZ1458" s="2" t="str">
        <f>IF($AV1458="","",IF(COUNTIF(LISTS!$C$2:$C$250,$AU1458)=0,"NEW",""))</f>
        <v/>
      </c>
      <c r="BA1458" s="2" t="str">
        <f>IF(""&amp;$F1458&lt;&gt;"4","",IF($AY1458="YES","",IF(ROUND(SUMIFS($AE$2:$AE$4001,$L$2:$L$4001,$L1458,$F$2:$F$4001,"4")-SUMIFS('AR SALES'!$Y$2:$Y$2501,'AR SALES'!$L$2:$L$2501,$L1458,'AR SALES'!$AD$2:$AD$2501,"OFF"),2)=0,"","STALE")))</f>
        <v/>
      </c>
      <c r="BB1458" s="2" t="str">
        <f>IF(OR(""&amp;$F1458="2",""&amp;$F1458="4",""&amp;$F1458="G",""&amp;$F1458="H"),IF($AY1458="YES","",IF($AB1458&lt;&gt;0,"",IF(COUNTIFS('AR SALES'!$L$2:$L$2501,$L1458,'AR SALES'!$AD$2:$AD$2501,IF(""&amp;$F1458="4","OFF","ON"),'AR SALES'!$AF$2:$AF$2501,"Y")&gt;0,"","NO EXEMPTION"))),"")</f>
        <v/>
      </c>
    </row>
    <row r="1459" spans="46:54" x14ac:dyDescent="0.25">
      <c r="AT1459" s="2" t="str">
        <f>IF($L1459="","",IFERROR(INDEX('AR SALES'!$H$2:$H$2501,MATCH(""&amp;$L1459,'AR SALES'!$AE$2:$AE$2501,0)),""))</f>
        <v/>
      </c>
      <c r="AU1459" s="2" t="str">
        <f t="shared" si="88"/>
        <v/>
      </c>
      <c r="AV1459" s="2" t="str">
        <f t="shared" si="89"/>
        <v/>
      </c>
      <c r="AW1459" s="2" t="str">
        <f t="shared" si="90"/>
        <v/>
      </c>
      <c r="AX1459" s="2" t="str">
        <f t="shared" si="91"/>
        <v/>
      </c>
      <c r="AY1459" s="2" t="str">
        <f>IF($AV1459="","",IF(AND($Z1459=0,COUNTIF('AR SALES'!$L$2:$L$2501,$L1459)=0),"YES",""))</f>
        <v/>
      </c>
      <c r="AZ1459" s="2" t="str">
        <f>IF($AV1459="","",IF(COUNTIF(LISTS!$C$2:$C$250,$AU1459)=0,"NEW",""))</f>
        <v/>
      </c>
      <c r="BA1459" s="2" t="str">
        <f>IF(""&amp;$F1459&lt;&gt;"4","",IF($AY1459="YES","",IF(ROUND(SUMIFS($AE$2:$AE$4001,$L$2:$L$4001,$L1459,$F$2:$F$4001,"4")-SUMIFS('AR SALES'!$Y$2:$Y$2501,'AR SALES'!$L$2:$L$2501,$L1459,'AR SALES'!$AD$2:$AD$2501,"OFF"),2)=0,"","STALE")))</f>
        <v/>
      </c>
      <c r="BB1459" s="2" t="str">
        <f>IF(OR(""&amp;$F1459="2",""&amp;$F1459="4",""&amp;$F1459="G",""&amp;$F1459="H"),IF($AY1459="YES","",IF($AB1459&lt;&gt;0,"",IF(COUNTIFS('AR SALES'!$L$2:$L$2501,$L1459,'AR SALES'!$AD$2:$AD$2501,IF(""&amp;$F1459="4","OFF","ON"),'AR SALES'!$AF$2:$AF$2501,"Y")&gt;0,"","NO EXEMPTION"))),"")</f>
        <v/>
      </c>
    </row>
    <row r="1460" spans="46:54" x14ac:dyDescent="0.25">
      <c r="AT1460" s="2" t="str">
        <f>IF($L1460="","",IFERROR(INDEX('AR SALES'!$H$2:$H$2501,MATCH(""&amp;$L1460,'AR SALES'!$AE$2:$AE$2501,0)),""))</f>
        <v/>
      </c>
      <c r="AU1460" s="2" t="str">
        <f t="shared" si="88"/>
        <v/>
      </c>
      <c r="AV1460" s="2" t="str">
        <f t="shared" si="89"/>
        <v/>
      </c>
      <c r="AW1460" s="2" t="str">
        <f t="shared" si="90"/>
        <v/>
      </c>
      <c r="AX1460" s="2" t="str">
        <f t="shared" si="91"/>
        <v/>
      </c>
      <c r="AY1460" s="2" t="str">
        <f>IF($AV1460="","",IF(AND($Z1460=0,COUNTIF('AR SALES'!$L$2:$L$2501,$L1460)=0),"YES",""))</f>
        <v/>
      </c>
      <c r="AZ1460" s="2" t="str">
        <f>IF($AV1460="","",IF(COUNTIF(LISTS!$C$2:$C$250,$AU1460)=0,"NEW",""))</f>
        <v/>
      </c>
      <c r="BA1460" s="2" t="str">
        <f>IF(""&amp;$F1460&lt;&gt;"4","",IF($AY1460="YES","",IF(ROUND(SUMIFS($AE$2:$AE$4001,$L$2:$L$4001,$L1460,$F$2:$F$4001,"4")-SUMIFS('AR SALES'!$Y$2:$Y$2501,'AR SALES'!$L$2:$L$2501,$L1460,'AR SALES'!$AD$2:$AD$2501,"OFF"),2)=0,"","STALE")))</f>
        <v/>
      </c>
      <c r="BB1460" s="2" t="str">
        <f>IF(OR(""&amp;$F1460="2",""&amp;$F1460="4",""&amp;$F1460="G",""&amp;$F1460="H"),IF($AY1460="YES","",IF($AB1460&lt;&gt;0,"",IF(COUNTIFS('AR SALES'!$L$2:$L$2501,$L1460,'AR SALES'!$AD$2:$AD$2501,IF(""&amp;$F1460="4","OFF","ON"),'AR SALES'!$AF$2:$AF$2501,"Y")&gt;0,"","NO EXEMPTION"))),"")</f>
        <v/>
      </c>
    </row>
    <row r="1461" spans="46:54" x14ac:dyDescent="0.25">
      <c r="AT1461" s="2" t="str">
        <f>IF($L1461="","",IFERROR(INDEX('AR SALES'!$H$2:$H$2501,MATCH(""&amp;$L1461,'AR SALES'!$AE$2:$AE$2501,0)),""))</f>
        <v/>
      </c>
      <c r="AU1461" s="2" t="str">
        <f t="shared" si="88"/>
        <v/>
      </c>
      <c r="AV1461" s="2" t="str">
        <f t="shared" si="89"/>
        <v/>
      </c>
      <c r="AW1461" s="2" t="str">
        <f t="shared" si="90"/>
        <v/>
      </c>
      <c r="AX1461" s="2" t="str">
        <f t="shared" si="91"/>
        <v/>
      </c>
      <c r="AY1461" s="2" t="str">
        <f>IF($AV1461="","",IF(AND($Z1461=0,COUNTIF('AR SALES'!$L$2:$L$2501,$L1461)=0),"YES",""))</f>
        <v/>
      </c>
      <c r="AZ1461" s="2" t="str">
        <f>IF($AV1461="","",IF(COUNTIF(LISTS!$C$2:$C$250,$AU1461)=0,"NEW",""))</f>
        <v/>
      </c>
      <c r="BA1461" s="2" t="str">
        <f>IF(""&amp;$F1461&lt;&gt;"4","",IF($AY1461="YES","",IF(ROUND(SUMIFS($AE$2:$AE$4001,$L$2:$L$4001,$L1461,$F$2:$F$4001,"4")-SUMIFS('AR SALES'!$Y$2:$Y$2501,'AR SALES'!$L$2:$L$2501,$L1461,'AR SALES'!$AD$2:$AD$2501,"OFF"),2)=0,"","STALE")))</f>
        <v/>
      </c>
      <c r="BB1461" s="2" t="str">
        <f>IF(OR(""&amp;$F1461="2",""&amp;$F1461="4",""&amp;$F1461="G",""&amp;$F1461="H"),IF($AY1461="YES","",IF($AB1461&lt;&gt;0,"",IF(COUNTIFS('AR SALES'!$L$2:$L$2501,$L1461,'AR SALES'!$AD$2:$AD$2501,IF(""&amp;$F1461="4","OFF","ON"),'AR SALES'!$AF$2:$AF$2501,"Y")&gt;0,"","NO EXEMPTION"))),"")</f>
        <v/>
      </c>
    </row>
    <row r="1462" spans="46:54" x14ac:dyDescent="0.25">
      <c r="AT1462" s="2" t="str">
        <f>IF($L1462="","",IFERROR(INDEX('AR SALES'!$H$2:$H$2501,MATCH(""&amp;$L1462,'AR SALES'!$AE$2:$AE$2501,0)),""))</f>
        <v/>
      </c>
      <c r="AU1462" s="2" t="str">
        <f t="shared" si="88"/>
        <v/>
      </c>
      <c r="AV1462" s="2" t="str">
        <f t="shared" si="89"/>
        <v/>
      </c>
      <c r="AW1462" s="2" t="str">
        <f t="shared" si="90"/>
        <v/>
      </c>
      <c r="AX1462" s="2" t="str">
        <f t="shared" si="91"/>
        <v/>
      </c>
      <c r="AY1462" s="2" t="str">
        <f>IF($AV1462="","",IF(AND($Z1462=0,COUNTIF('AR SALES'!$L$2:$L$2501,$L1462)=0),"YES",""))</f>
        <v/>
      </c>
      <c r="AZ1462" s="2" t="str">
        <f>IF($AV1462="","",IF(COUNTIF(LISTS!$C$2:$C$250,$AU1462)=0,"NEW",""))</f>
        <v/>
      </c>
      <c r="BA1462" s="2" t="str">
        <f>IF(""&amp;$F1462&lt;&gt;"4","",IF($AY1462="YES","",IF(ROUND(SUMIFS($AE$2:$AE$4001,$L$2:$L$4001,$L1462,$F$2:$F$4001,"4")-SUMIFS('AR SALES'!$Y$2:$Y$2501,'AR SALES'!$L$2:$L$2501,$L1462,'AR SALES'!$AD$2:$AD$2501,"OFF"),2)=0,"","STALE")))</f>
        <v/>
      </c>
      <c r="BB1462" s="2" t="str">
        <f>IF(OR(""&amp;$F1462="2",""&amp;$F1462="4",""&amp;$F1462="G",""&amp;$F1462="H"),IF($AY1462="YES","",IF($AB1462&lt;&gt;0,"",IF(COUNTIFS('AR SALES'!$L$2:$L$2501,$L1462,'AR SALES'!$AD$2:$AD$2501,IF(""&amp;$F1462="4","OFF","ON"),'AR SALES'!$AF$2:$AF$2501,"Y")&gt;0,"","NO EXEMPTION"))),"")</f>
        <v/>
      </c>
    </row>
    <row r="1463" spans="46:54" x14ac:dyDescent="0.25">
      <c r="AT1463" s="2" t="str">
        <f>IF($L1463="","",IFERROR(INDEX('AR SALES'!$H$2:$H$2501,MATCH(""&amp;$L1463,'AR SALES'!$AE$2:$AE$2501,0)),""))</f>
        <v/>
      </c>
      <c r="AU1463" s="2" t="str">
        <f t="shared" si="88"/>
        <v/>
      </c>
      <c r="AV1463" s="2" t="str">
        <f t="shared" si="89"/>
        <v/>
      </c>
      <c r="AW1463" s="2" t="str">
        <f t="shared" si="90"/>
        <v/>
      </c>
      <c r="AX1463" s="2" t="str">
        <f t="shared" si="91"/>
        <v/>
      </c>
      <c r="AY1463" s="2" t="str">
        <f>IF($AV1463="","",IF(AND($Z1463=0,COUNTIF('AR SALES'!$L$2:$L$2501,$L1463)=0),"YES",""))</f>
        <v/>
      </c>
      <c r="AZ1463" s="2" t="str">
        <f>IF($AV1463="","",IF(COUNTIF(LISTS!$C$2:$C$250,$AU1463)=0,"NEW",""))</f>
        <v/>
      </c>
      <c r="BA1463" s="2" t="str">
        <f>IF(""&amp;$F1463&lt;&gt;"4","",IF($AY1463="YES","",IF(ROUND(SUMIFS($AE$2:$AE$4001,$L$2:$L$4001,$L1463,$F$2:$F$4001,"4")-SUMIFS('AR SALES'!$Y$2:$Y$2501,'AR SALES'!$L$2:$L$2501,$L1463,'AR SALES'!$AD$2:$AD$2501,"OFF"),2)=0,"","STALE")))</f>
        <v/>
      </c>
      <c r="BB1463" s="2" t="str">
        <f>IF(OR(""&amp;$F1463="2",""&amp;$F1463="4",""&amp;$F1463="G",""&amp;$F1463="H"),IF($AY1463="YES","",IF($AB1463&lt;&gt;0,"",IF(COUNTIFS('AR SALES'!$L$2:$L$2501,$L1463,'AR SALES'!$AD$2:$AD$2501,IF(""&amp;$F1463="4","OFF","ON"),'AR SALES'!$AF$2:$AF$2501,"Y")&gt;0,"","NO EXEMPTION"))),"")</f>
        <v/>
      </c>
    </row>
    <row r="1464" spans="46:54" x14ac:dyDescent="0.25">
      <c r="AT1464" s="2" t="str">
        <f>IF($L1464="","",IFERROR(INDEX('AR SALES'!$H$2:$H$2501,MATCH(""&amp;$L1464,'AR SALES'!$AE$2:$AE$2501,0)),""))</f>
        <v/>
      </c>
      <c r="AU1464" s="2" t="str">
        <f t="shared" si="88"/>
        <v/>
      </c>
      <c r="AV1464" s="2" t="str">
        <f t="shared" si="89"/>
        <v/>
      </c>
      <c r="AW1464" s="2" t="str">
        <f t="shared" si="90"/>
        <v/>
      </c>
      <c r="AX1464" s="2" t="str">
        <f t="shared" si="91"/>
        <v/>
      </c>
      <c r="AY1464" s="2" t="str">
        <f>IF($AV1464="","",IF(AND($Z1464=0,COUNTIF('AR SALES'!$L$2:$L$2501,$L1464)=0),"YES",""))</f>
        <v/>
      </c>
      <c r="AZ1464" s="2" t="str">
        <f>IF($AV1464="","",IF(COUNTIF(LISTS!$C$2:$C$250,$AU1464)=0,"NEW",""))</f>
        <v/>
      </c>
      <c r="BA1464" s="2" t="str">
        <f>IF(""&amp;$F1464&lt;&gt;"4","",IF($AY1464="YES","",IF(ROUND(SUMIFS($AE$2:$AE$4001,$L$2:$L$4001,$L1464,$F$2:$F$4001,"4")-SUMIFS('AR SALES'!$Y$2:$Y$2501,'AR SALES'!$L$2:$L$2501,$L1464,'AR SALES'!$AD$2:$AD$2501,"OFF"),2)=0,"","STALE")))</f>
        <v/>
      </c>
      <c r="BB1464" s="2" t="str">
        <f>IF(OR(""&amp;$F1464="2",""&amp;$F1464="4",""&amp;$F1464="G",""&amp;$F1464="H"),IF($AY1464="YES","",IF($AB1464&lt;&gt;0,"",IF(COUNTIFS('AR SALES'!$L$2:$L$2501,$L1464,'AR SALES'!$AD$2:$AD$2501,IF(""&amp;$F1464="4","OFF","ON"),'AR SALES'!$AF$2:$AF$2501,"Y")&gt;0,"","NO EXEMPTION"))),"")</f>
        <v/>
      </c>
    </row>
    <row r="1465" spans="46:54" x14ac:dyDescent="0.25">
      <c r="AT1465" s="2" t="str">
        <f>IF($L1465="","",IFERROR(INDEX('AR SALES'!$H$2:$H$2501,MATCH(""&amp;$L1465,'AR SALES'!$AE$2:$AE$2501,0)),""))</f>
        <v/>
      </c>
      <c r="AU1465" s="2" t="str">
        <f t="shared" si="88"/>
        <v/>
      </c>
      <c r="AV1465" s="2" t="str">
        <f t="shared" si="89"/>
        <v/>
      </c>
      <c r="AW1465" s="2" t="str">
        <f t="shared" si="90"/>
        <v/>
      </c>
      <c r="AX1465" s="2" t="str">
        <f t="shared" si="91"/>
        <v/>
      </c>
      <c r="AY1465" s="2" t="str">
        <f>IF($AV1465="","",IF(AND($Z1465=0,COUNTIF('AR SALES'!$L$2:$L$2501,$L1465)=0),"YES",""))</f>
        <v/>
      </c>
      <c r="AZ1465" s="2" t="str">
        <f>IF($AV1465="","",IF(COUNTIF(LISTS!$C$2:$C$250,$AU1465)=0,"NEW",""))</f>
        <v/>
      </c>
      <c r="BA1465" s="2" t="str">
        <f>IF(""&amp;$F1465&lt;&gt;"4","",IF($AY1465="YES","",IF(ROUND(SUMIFS($AE$2:$AE$4001,$L$2:$L$4001,$L1465,$F$2:$F$4001,"4")-SUMIFS('AR SALES'!$Y$2:$Y$2501,'AR SALES'!$L$2:$L$2501,$L1465,'AR SALES'!$AD$2:$AD$2501,"OFF"),2)=0,"","STALE")))</f>
        <v/>
      </c>
      <c r="BB1465" s="2" t="str">
        <f>IF(OR(""&amp;$F1465="2",""&amp;$F1465="4",""&amp;$F1465="G",""&amp;$F1465="H"),IF($AY1465="YES","",IF($AB1465&lt;&gt;0,"",IF(COUNTIFS('AR SALES'!$L$2:$L$2501,$L1465,'AR SALES'!$AD$2:$AD$2501,IF(""&amp;$F1465="4","OFF","ON"),'AR SALES'!$AF$2:$AF$2501,"Y")&gt;0,"","NO EXEMPTION"))),"")</f>
        <v/>
      </c>
    </row>
    <row r="1466" spans="46:54" x14ac:dyDescent="0.25">
      <c r="AT1466" s="2" t="str">
        <f>IF($L1466="","",IFERROR(INDEX('AR SALES'!$H$2:$H$2501,MATCH(""&amp;$L1466,'AR SALES'!$AE$2:$AE$2501,0)),""))</f>
        <v/>
      </c>
      <c r="AU1466" s="2" t="str">
        <f t="shared" si="88"/>
        <v/>
      </c>
      <c r="AV1466" s="2" t="str">
        <f t="shared" si="89"/>
        <v/>
      </c>
      <c r="AW1466" s="2" t="str">
        <f t="shared" si="90"/>
        <v/>
      </c>
      <c r="AX1466" s="2" t="str">
        <f t="shared" si="91"/>
        <v/>
      </c>
      <c r="AY1466" s="2" t="str">
        <f>IF($AV1466="","",IF(AND($Z1466=0,COUNTIF('AR SALES'!$L$2:$L$2501,$L1466)=0),"YES",""))</f>
        <v/>
      </c>
      <c r="AZ1466" s="2" t="str">
        <f>IF($AV1466="","",IF(COUNTIF(LISTS!$C$2:$C$250,$AU1466)=0,"NEW",""))</f>
        <v/>
      </c>
      <c r="BA1466" s="2" t="str">
        <f>IF(""&amp;$F1466&lt;&gt;"4","",IF($AY1466="YES","",IF(ROUND(SUMIFS($AE$2:$AE$4001,$L$2:$L$4001,$L1466,$F$2:$F$4001,"4")-SUMIFS('AR SALES'!$Y$2:$Y$2501,'AR SALES'!$L$2:$L$2501,$L1466,'AR SALES'!$AD$2:$AD$2501,"OFF"),2)=0,"","STALE")))</f>
        <v/>
      </c>
      <c r="BB1466" s="2" t="str">
        <f>IF(OR(""&amp;$F1466="2",""&amp;$F1466="4",""&amp;$F1466="G",""&amp;$F1466="H"),IF($AY1466="YES","",IF($AB1466&lt;&gt;0,"",IF(COUNTIFS('AR SALES'!$L$2:$L$2501,$L1466,'AR SALES'!$AD$2:$AD$2501,IF(""&amp;$F1466="4","OFF","ON"),'AR SALES'!$AF$2:$AF$2501,"Y")&gt;0,"","NO EXEMPTION"))),"")</f>
        <v/>
      </c>
    </row>
    <row r="1467" spans="46:54" x14ac:dyDescent="0.25">
      <c r="AT1467" s="2" t="str">
        <f>IF($L1467="","",IFERROR(INDEX('AR SALES'!$H$2:$H$2501,MATCH(""&amp;$L1467,'AR SALES'!$AE$2:$AE$2501,0)),""))</f>
        <v/>
      </c>
      <c r="AU1467" s="2" t="str">
        <f t="shared" si="88"/>
        <v/>
      </c>
      <c r="AV1467" s="2" t="str">
        <f t="shared" si="89"/>
        <v/>
      </c>
      <c r="AW1467" s="2" t="str">
        <f t="shared" si="90"/>
        <v/>
      </c>
      <c r="AX1467" s="2" t="str">
        <f t="shared" si="91"/>
        <v/>
      </c>
      <c r="AY1467" s="2" t="str">
        <f>IF($AV1467="","",IF(AND($Z1467=0,COUNTIF('AR SALES'!$L$2:$L$2501,$L1467)=0),"YES",""))</f>
        <v/>
      </c>
      <c r="AZ1467" s="2" t="str">
        <f>IF($AV1467="","",IF(COUNTIF(LISTS!$C$2:$C$250,$AU1467)=0,"NEW",""))</f>
        <v/>
      </c>
      <c r="BA1467" s="2" t="str">
        <f>IF(""&amp;$F1467&lt;&gt;"4","",IF($AY1467="YES","",IF(ROUND(SUMIFS($AE$2:$AE$4001,$L$2:$L$4001,$L1467,$F$2:$F$4001,"4")-SUMIFS('AR SALES'!$Y$2:$Y$2501,'AR SALES'!$L$2:$L$2501,$L1467,'AR SALES'!$AD$2:$AD$2501,"OFF"),2)=0,"","STALE")))</f>
        <v/>
      </c>
      <c r="BB1467" s="2" t="str">
        <f>IF(OR(""&amp;$F1467="2",""&amp;$F1467="4",""&amp;$F1467="G",""&amp;$F1467="H"),IF($AY1467="YES","",IF($AB1467&lt;&gt;0,"",IF(COUNTIFS('AR SALES'!$L$2:$L$2501,$L1467,'AR SALES'!$AD$2:$AD$2501,IF(""&amp;$F1467="4","OFF","ON"),'AR SALES'!$AF$2:$AF$2501,"Y")&gt;0,"","NO EXEMPTION"))),"")</f>
        <v/>
      </c>
    </row>
    <row r="1468" spans="46:54" x14ac:dyDescent="0.25">
      <c r="AT1468" s="2" t="str">
        <f>IF($L1468="","",IFERROR(INDEX('AR SALES'!$H$2:$H$2501,MATCH(""&amp;$L1468,'AR SALES'!$AE$2:$AE$2501,0)),""))</f>
        <v/>
      </c>
      <c r="AU1468" s="2" t="str">
        <f t="shared" si="88"/>
        <v/>
      </c>
      <c r="AV1468" s="2" t="str">
        <f t="shared" si="89"/>
        <v/>
      </c>
      <c r="AW1468" s="2" t="str">
        <f t="shared" si="90"/>
        <v/>
      </c>
      <c r="AX1468" s="2" t="str">
        <f t="shared" si="91"/>
        <v/>
      </c>
      <c r="AY1468" s="2" t="str">
        <f>IF($AV1468="","",IF(AND($Z1468=0,COUNTIF('AR SALES'!$L$2:$L$2501,$L1468)=0),"YES",""))</f>
        <v/>
      </c>
      <c r="AZ1468" s="2" t="str">
        <f>IF($AV1468="","",IF(COUNTIF(LISTS!$C$2:$C$250,$AU1468)=0,"NEW",""))</f>
        <v/>
      </c>
      <c r="BA1468" s="2" t="str">
        <f>IF(""&amp;$F1468&lt;&gt;"4","",IF($AY1468="YES","",IF(ROUND(SUMIFS($AE$2:$AE$4001,$L$2:$L$4001,$L1468,$F$2:$F$4001,"4")-SUMIFS('AR SALES'!$Y$2:$Y$2501,'AR SALES'!$L$2:$L$2501,$L1468,'AR SALES'!$AD$2:$AD$2501,"OFF"),2)=0,"","STALE")))</f>
        <v/>
      </c>
      <c r="BB1468" s="2" t="str">
        <f>IF(OR(""&amp;$F1468="2",""&amp;$F1468="4",""&amp;$F1468="G",""&amp;$F1468="H"),IF($AY1468="YES","",IF($AB1468&lt;&gt;0,"",IF(COUNTIFS('AR SALES'!$L$2:$L$2501,$L1468,'AR SALES'!$AD$2:$AD$2501,IF(""&amp;$F1468="4","OFF","ON"),'AR SALES'!$AF$2:$AF$2501,"Y")&gt;0,"","NO EXEMPTION"))),"")</f>
        <v/>
      </c>
    </row>
    <row r="1469" spans="46:54" x14ac:dyDescent="0.25">
      <c r="AT1469" s="2" t="str">
        <f>IF($L1469="","",IFERROR(INDEX('AR SALES'!$H$2:$H$2501,MATCH(""&amp;$L1469,'AR SALES'!$AE$2:$AE$2501,0)),""))</f>
        <v/>
      </c>
      <c r="AU1469" s="2" t="str">
        <f t="shared" si="88"/>
        <v/>
      </c>
      <c r="AV1469" s="2" t="str">
        <f t="shared" si="89"/>
        <v/>
      </c>
      <c r="AW1469" s="2" t="str">
        <f t="shared" si="90"/>
        <v/>
      </c>
      <c r="AX1469" s="2" t="str">
        <f t="shared" si="91"/>
        <v/>
      </c>
      <c r="AY1469" s="2" t="str">
        <f>IF($AV1469="","",IF(AND($Z1469=0,COUNTIF('AR SALES'!$L$2:$L$2501,$L1469)=0),"YES",""))</f>
        <v/>
      </c>
      <c r="AZ1469" s="2" t="str">
        <f>IF($AV1469="","",IF(COUNTIF(LISTS!$C$2:$C$250,$AU1469)=0,"NEW",""))</f>
        <v/>
      </c>
      <c r="BA1469" s="2" t="str">
        <f>IF(""&amp;$F1469&lt;&gt;"4","",IF($AY1469="YES","",IF(ROUND(SUMIFS($AE$2:$AE$4001,$L$2:$L$4001,$L1469,$F$2:$F$4001,"4")-SUMIFS('AR SALES'!$Y$2:$Y$2501,'AR SALES'!$L$2:$L$2501,$L1469,'AR SALES'!$AD$2:$AD$2501,"OFF"),2)=0,"","STALE")))</f>
        <v/>
      </c>
      <c r="BB1469" s="2" t="str">
        <f>IF(OR(""&amp;$F1469="2",""&amp;$F1469="4",""&amp;$F1469="G",""&amp;$F1469="H"),IF($AY1469="YES","",IF($AB1469&lt;&gt;0,"",IF(COUNTIFS('AR SALES'!$L$2:$L$2501,$L1469,'AR SALES'!$AD$2:$AD$2501,IF(""&amp;$F1469="4","OFF","ON"),'AR SALES'!$AF$2:$AF$2501,"Y")&gt;0,"","NO EXEMPTION"))),"")</f>
        <v/>
      </c>
    </row>
    <row r="1470" spans="46:54" x14ac:dyDescent="0.25">
      <c r="AT1470" s="2" t="str">
        <f>IF($L1470="","",IFERROR(INDEX('AR SALES'!$H$2:$H$2501,MATCH(""&amp;$L1470,'AR SALES'!$AE$2:$AE$2501,0)),""))</f>
        <v/>
      </c>
      <c r="AU1470" s="2" t="str">
        <f t="shared" si="88"/>
        <v/>
      </c>
      <c r="AV1470" s="2" t="str">
        <f t="shared" si="89"/>
        <v/>
      </c>
      <c r="AW1470" s="2" t="str">
        <f t="shared" si="90"/>
        <v/>
      </c>
      <c r="AX1470" s="2" t="str">
        <f t="shared" si="91"/>
        <v/>
      </c>
      <c r="AY1470" s="2" t="str">
        <f>IF($AV1470="","",IF(AND($Z1470=0,COUNTIF('AR SALES'!$L$2:$L$2501,$L1470)=0),"YES",""))</f>
        <v/>
      </c>
      <c r="AZ1470" s="2" t="str">
        <f>IF($AV1470="","",IF(COUNTIF(LISTS!$C$2:$C$250,$AU1470)=0,"NEW",""))</f>
        <v/>
      </c>
      <c r="BA1470" s="2" t="str">
        <f>IF(""&amp;$F1470&lt;&gt;"4","",IF($AY1470="YES","",IF(ROUND(SUMIFS($AE$2:$AE$4001,$L$2:$L$4001,$L1470,$F$2:$F$4001,"4")-SUMIFS('AR SALES'!$Y$2:$Y$2501,'AR SALES'!$L$2:$L$2501,$L1470,'AR SALES'!$AD$2:$AD$2501,"OFF"),2)=0,"","STALE")))</f>
        <v/>
      </c>
      <c r="BB1470" s="2" t="str">
        <f>IF(OR(""&amp;$F1470="2",""&amp;$F1470="4",""&amp;$F1470="G",""&amp;$F1470="H"),IF($AY1470="YES","",IF($AB1470&lt;&gt;0,"",IF(COUNTIFS('AR SALES'!$L$2:$L$2501,$L1470,'AR SALES'!$AD$2:$AD$2501,IF(""&amp;$F1470="4","OFF","ON"),'AR SALES'!$AF$2:$AF$2501,"Y")&gt;0,"","NO EXEMPTION"))),"")</f>
        <v/>
      </c>
    </row>
    <row r="1471" spans="46:54" x14ac:dyDescent="0.25">
      <c r="AT1471" s="2" t="str">
        <f>IF($L1471="","",IFERROR(INDEX('AR SALES'!$H$2:$H$2501,MATCH(""&amp;$L1471,'AR SALES'!$AE$2:$AE$2501,0)),""))</f>
        <v/>
      </c>
      <c r="AU1471" s="2" t="str">
        <f t="shared" si="88"/>
        <v/>
      </c>
      <c r="AV1471" s="2" t="str">
        <f t="shared" si="89"/>
        <v/>
      </c>
      <c r="AW1471" s="2" t="str">
        <f t="shared" si="90"/>
        <v/>
      </c>
      <c r="AX1471" s="2" t="str">
        <f t="shared" si="91"/>
        <v/>
      </c>
      <c r="AY1471" s="2" t="str">
        <f>IF($AV1471="","",IF(AND($Z1471=0,COUNTIF('AR SALES'!$L$2:$L$2501,$L1471)=0),"YES",""))</f>
        <v/>
      </c>
      <c r="AZ1471" s="2" t="str">
        <f>IF($AV1471="","",IF(COUNTIF(LISTS!$C$2:$C$250,$AU1471)=0,"NEW",""))</f>
        <v/>
      </c>
      <c r="BA1471" s="2" t="str">
        <f>IF(""&amp;$F1471&lt;&gt;"4","",IF($AY1471="YES","",IF(ROUND(SUMIFS($AE$2:$AE$4001,$L$2:$L$4001,$L1471,$F$2:$F$4001,"4")-SUMIFS('AR SALES'!$Y$2:$Y$2501,'AR SALES'!$L$2:$L$2501,$L1471,'AR SALES'!$AD$2:$AD$2501,"OFF"),2)=0,"","STALE")))</f>
        <v/>
      </c>
      <c r="BB1471" s="2" t="str">
        <f>IF(OR(""&amp;$F1471="2",""&amp;$F1471="4",""&amp;$F1471="G",""&amp;$F1471="H"),IF($AY1471="YES","",IF($AB1471&lt;&gt;0,"",IF(COUNTIFS('AR SALES'!$L$2:$L$2501,$L1471,'AR SALES'!$AD$2:$AD$2501,IF(""&amp;$F1471="4","OFF","ON"),'AR SALES'!$AF$2:$AF$2501,"Y")&gt;0,"","NO EXEMPTION"))),"")</f>
        <v/>
      </c>
    </row>
    <row r="1472" spans="46:54" x14ac:dyDescent="0.25">
      <c r="AT1472" s="2" t="str">
        <f>IF($L1472="","",IFERROR(INDEX('AR SALES'!$H$2:$H$2501,MATCH(""&amp;$L1472,'AR SALES'!$AE$2:$AE$2501,0)),""))</f>
        <v/>
      </c>
      <c r="AU1472" s="2" t="str">
        <f t="shared" si="88"/>
        <v/>
      </c>
      <c r="AV1472" s="2" t="str">
        <f t="shared" si="89"/>
        <v/>
      </c>
      <c r="AW1472" s="2" t="str">
        <f t="shared" si="90"/>
        <v/>
      </c>
      <c r="AX1472" s="2" t="str">
        <f t="shared" si="91"/>
        <v/>
      </c>
      <c r="AY1472" s="2" t="str">
        <f>IF($AV1472="","",IF(AND($Z1472=0,COUNTIF('AR SALES'!$L$2:$L$2501,$L1472)=0),"YES",""))</f>
        <v/>
      </c>
      <c r="AZ1472" s="2" t="str">
        <f>IF($AV1472="","",IF(COUNTIF(LISTS!$C$2:$C$250,$AU1472)=0,"NEW",""))</f>
        <v/>
      </c>
      <c r="BA1472" s="2" t="str">
        <f>IF(""&amp;$F1472&lt;&gt;"4","",IF($AY1472="YES","",IF(ROUND(SUMIFS($AE$2:$AE$4001,$L$2:$L$4001,$L1472,$F$2:$F$4001,"4")-SUMIFS('AR SALES'!$Y$2:$Y$2501,'AR SALES'!$L$2:$L$2501,$L1472,'AR SALES'!$AD$2:$AD$2501,"OFF"),2)=0,"","STALE")))</f>
        <v/>
      </c>
      <c r="BB1472" s="2" t="str">
        <f>IF(OR(""&amp;$F1472="2",""&amp;$F1472="4",""&amp;$F1472="G",""&amp;$F1472="H"),IF($AY1472="YES","",IF($AB1472&lt;&gt;0,"",IF(COUNTIFS('AR SALES'!$L$2:$L$2501,$L1472,'AR SALES'!$AD$2:$AD$2501,IF(""&amp;$F1472="4","OFF","ON"),'AR SALES'!$AF$2:$AF$2501,"Y")&gt;0,"","NO EXEMPTION"))),"")</f>
        <v/>
      </c>
    </row>
    <row r="1473" spans="46:54" x14ac:dyDescent="0.25">
      <c r="AT1473" s="2" t="str">
        <f>IF($L1473="","",IFERROR(INDEX('AR SALES'!$H$2:$H$2501,MATCH(""&amp;$L1473,'AR SALES'!$AE$2:$AE$2501,0)),""))</f>
        <v/>
      </c>
      <c r="AU1473" s="2" t="str">
        <f t="shared" si="88"/>
        <v/>
      </c>
      <c r="AV1473" s="2" t="str">
        <f t="shared" si="89"/>
        <v/>
      </c>
      <c r="AW1473" s="2" t="str">
        <f t="shared" si="90"/>
        <v/>
      </c>
      <c r="AX1473" s="2" t="str">
        <f t="shared" si="91"/>
        <v/>
      </c>
      <c r="AY1473" s="2" t="str">
        <f>IF($AV1473="","",IF(AND($Z1473=0,COUNTIF('AR SALES'!$L$2:$L$2501,$L1473)=0),"YES",""))</f>
        <v/>
      </c>
      <c r="AZ1473" s="2" t="str">
        <f>IF($AV1473="","",IF(COUNTIF(LISTS!$C$2:$C$250,$AU1473)=0,"NEW",""))</f>
        <v/>
      </c>
      <c r="BA1473" s="2" t="str">
        <f>IF(""&amp;$F1473&lt;&gt;"4","",IF($AY1473="YES","",IF(ROUND(SUMIFS($AE$2:$AE$4001,$L$2:$L$4001,$L1473,$F$2:$F$4001,"4")-SUMIFS('AR SALES'!$Y$2:$Y$2501,'AR SALES'!$L$2:$L$2501,$L1473,'AR SALES'!$AD$2:$AD$2501,"OFF"),2)=0,"","STALE")))</f>
        <v/>
      </c>
      <c r="BB1473" s="2" t="str">
        <f>IF(OR(""&amp;$F1473="2",""&amp;$F1473="4",""&amp;$F1473="G",""&amp;$F1473="H"),IF($AY1473="YES","",IF($AB1473&lt;&gt;0,"",IF(COUNTIFS('AR SALES'!$L$2:$L$2501,$L1473,'AR SALES'!$AD$2:$AD$2501,IF(""&amp;$F1473="4","OFF","ON"),'AR SALES'!$AF$2:$AF$2501,"Y")&gt;0,"","NO EXEMPTION"))),"")</f>
        <v/>
      </c>
    </row>
    <row r="1474" spans="46:54" x14ac:dyDescent="0.25">
      <c r="AT1474" s="2" t="str">
        <f>IF($L1474="","",IFERROR(INDEX('AR SALES'!$H$2:$H$2501,MATCH(""&amp;$L1474,'AR SALES'!$AE$2:$AE$2501,0)),""))</f>
        <v/>
      </c>
      <c r="AU1474" s="2" t="str">
        <f t="shared" ref="AU1474:AU1537" si="92">IF($L1474="","",IF($A1474&lt;&gt;"GA","",IF($E1474="FULTON",IF(ISNUMBER(SEARCH("COLLEGE PARK",$AT1474)),"FULTON (COLLEGE PARK)",IF(ISNUMBER(SEARCH("ATLANTA CITY",$AT1474)),"FULTON (ATL LIMITS)","FULTON")),IF($E1474="DEKALB",IF(ISNUMBER(SEARCH("ATLANTA CITY",$AT1474)),"DEKALB (ATL LIMITS)","DEKALB"),$E1474))))</f>
        <v/>
      </c>
      <c r="AV1474" s="2" t="str">
        <f t="shared" ref="AV1474:AV1537" si="93">IF($L1474="","",IF(""&amp;$F1474="2","DIESEL",IF(OR(""&amp;$F1474="G",""&amp;$F1474="H"),"GAS","")))</f>
        <v/>
      </c>
      <c r="AW1474" s="2" t="str">
        <f t="shared" ref="AW1474:AW1537" si="94">IF($AV1474="","",$R1474)</f>
        <v/>
      </c>
      <c r="AX1474" s="2" t="str">
        <f t="shared" ref="AX1474:AX1537" si="95">IF($AV1474="","",IF($AB1474=0,$R1474,0))</f>
        <v/>
      </c>
      <c r="AY1474" s="2" t="str">
        <f>IF($AV1474="","",IF(AND($Z1474=0,COUNTIF('AR SALES'!$L$2:$L$2501,$L1474)=0),"YES",""))</f>
        <v/>
      </c>
      <c r="AZ1474" s="2" t="str">
        <f>IF($AV1474="","",IF(COUNTIF(LISTS!$C$2:$C$250,$AU1474)=0,"NEW",""))</f>
        <v/>
      </c>
      <c r="BA1474" s="2" t="str">
        <f>IF(""&amp;$F1474&lt;&gt;"4","",IF($AY1474="YES","",IF(ROUND(SUMIFS($AE$2:$AE$4001,$L$2:$L$4001,$L1474,$F$2:$F$4001,"4")-SUMIFS('AR SALES'!$Y$2:$Y$2501,'AR SALES'!$L$2:$L$2501,$L1474,'AR SALES'!$AD$2:$AD$2501,"OFF"),2)=0,"","STALE")))</f>
        <v/>
      </c>
      <c r="BB1474" s="2" t="str">
        <f>IF(OR(""&amp;$F1474="2",""&amp;$F1474="4",""&amp;$F1474="G",""&amp;$F1474="H"),IF($AY1474="YES","",IF($AB1474&lt;&gt;0,"",IF(COUNTIFS('AR SALES'!$L$2:$L$2501,$L1474,'AR SALES'!$AD$2:$AD$2501,IF(""&amp;$F1474="4","OFF","ON"),'AR SALES'!$AF$2:$AF$2501,"Y")&gt;0,"","NO EXEMPTION"))),"")</f>
        <v/>
      </c>
    </row>
    <row r="1475" spans="46:54" x14ac:dyDescent="0.25">
      <c r="AT1475" s="2" t="str">
        <f>IF($L1475="","",IFERROR(INDEX('AR SALES'!$H$2:$H$2501,MATCH(""&amp;$L1475,'AR SALES'!$AE$2:$AE$2501,0)),""))</f>
        <v/>
      </c>
      <c r="AU1475" s="2" t="str">
        <f t="shared" si="92"/>
        <v/>
      </c>
      <c r="AV1475" s="2" t="str">
        <f t="shared" si="93"/>
        <v/>
      </c>
      <c r="AW1475" s="2" t="str">
        <f t="shared" si="94"/>
        <v/>
      </c>
      <c r="AX1475" s="2" t="str">
        <f t="shared" si="95"/>
        <v/>
      </c>
      <c r="AY1475" s="2" t="str">
        <f>IF($AV1475="","",IF(AND($Z1475=0,COUNTIF('AR SALES'!$L$2:$L$2501,$L1475)=0),"YES",""))</f>
        <v/>
      </c>
      <c r="AZ1475" s="2" t="str">
        <f>IF($AV1475="","",IF(COUNTIF(LISTS!$C$2:$C$250,$AU1475)=0,"NEW",""))</f>
        <v/>
      </c>
      <c r="BA1475" s="2" t="str">
        <f>IF(""&amp;$F1475&lt;&gt;"4","",IF($AY1475="YES","",IF(ROUND(SUMIFS($AE$2:$AE$4001,$L$2:$L$4001,$L1475,$F$2:$F$4001,"4")-SUMIFS('AR SALES'!$Y$2:$Y$2501,'AR SALES'!$L$2:$L$2501,$L1475,'AR SALES'!$AD$2:$AD$2501,"OFF"),2)=0,"","STALE")))</f>
        <v/>
      </c>
      <c r="BB1475" s="2" t="str">
        <f>IF(OR(""&amp;$F1475="2",""&amp;$F1475="4",""&amp;$F1475="G",""&amp;$F1475="H"),IF($AY1475="YES","",IF($AB1475&lt;&gt;0,"",IF(COUNTIFS('AR SALES'!$L$2:$L$2501,$L1475,'AR SALES'!$AD$2:$AD$2501,IF(""&amp;$F1475="4","OFF","ON"),'AR SALES'!$AF$2:$AF$2501,"Y")&gt;0,"","NO EXEMPTION"))),"")</f>
        <v/>
      </c>
    </row>
    <row r="1476" spans="46:54" x14ac:dyDescent="0.25">
      <c r="AT1476" s="2" t="str">
        <f>IF($L1476="","",IFERROR(INDEX('AR SALES'!$H$2:$H$2501,MATCH(""&amp;$L1476,'AR SALES'!$AE$2:$AE$2501,0)),""))</f>
        <v/>
      </c>
      <c r="AU1476" s="2" t="str">
        <f t="shared" si="92"/>
        <v/>
      </c>
      <c r="AV1476" s="2" t="str">
        <f t="shared" si="93"/>
        <v/>
      </c>
      <c r="AW1476" s="2" t="str">
        <f t="shared" si="94"/>
        <v/>
      </c>
      <c r="AX1476" s="2" t="str">
        <f t="shared" si="95"/>
        <v/>
      </c>
      <c r="AY1476" s="2" t="str">
        <f>IF($AV1476="","",IF(AND($Z1476=0,COUNTIF('AR SALES'!$L$2:$L$2501,$L1476)=0),"YES",""))</f>
        <v/>
      </c>
      <c r="AZ1476" s="2" t="str">
        <f>IF($AV1476="","",IF(COUNTIF(LISTS!$C$2:$C$250,$AU1476)=0,"NEW",""))</f>
        <v/>
      </c>
      <c r="BA1476" s="2" t="str">
        <f>IF(""&amp;$F1476&lt;&gt;"4","",IF($AY1476="YES","",IF(ROUND(SUMIFS($AE$2:$AE$4001,$L$2:$L$4001,$L1476,$F$2:$F$4001,"4")-SUMIFS('AR SALES'!$Y$2:$Y$2501,'AR SALES'!$L$2:$L$2501,$L1476,'AR SALES'!$AD$2:$AD$2501,"OFF"),2)=0,"","STALE")))</f>
        <v/>
      </c>
      <c r="BB1476" s="2" t="str">
        <f>IF(OR(""&amp;$F1476="2",""&amp;$F1476="4",""&amp;$F1476="G",""&amp;$F1476="H"),IF($AY1476="YES","",IF($AB1476&lt;&gt;0,"",IF(COUNTIFS('AR SALES'!$L$2:$L$2501,$L1476,'AR SALES'!$AD$2:$AD$2501,IF(""&amp;$F1476="4","OFF","ON"),'AR SALES'!$AF$2:$AF$2501,"Y")&gt;0,"","NO EXEMPTION"))),"")</f>
        <v/>
      </c>
    </row>
    <row r="1477" spans="46:54" x14ac:dyDescent="0.25">
      <c r="AT1477" s="2" t="str">
        <f>IF($L1477="","",IFERROR(INDEX('AR SALES'!$H$2:$H$2501,MATCH(""&amp;$L1477,'AR SALES'!$AE$2:$AE$2501,0)),""))</f>
        <v/>
      </c>
      <c r="AU1477" s="2" t="str">
        <f t="shared" si="92"/>
        <v/>
      </c>
      <c r="AV1477" s="2" t="str">
        <f t="shared" si="93"/>
        <v/>
      </c>
      <c r="AW1477" s="2" t="str">
        <f t="shared" si="94"/>
        <v/>
      </c>
      <c r="AX1477" s="2" t="str">
        <f t="shared" si="95"/>
        <v/>
      </c>
      <c r="AY1477" s="2" t="str">
        <f>IF($AV1477="","",IF(AND($Z1477=0,COUNTIF('AR SALES'!$L$2:$L$2501,$L1477)=0),"YES",""))</f>
        <v/>
      </c>
      <c r="AZ1477" s="2" t="str">
        <f>IF($AV1477="","",IF(COUNTIF(LISTS!$C$2:$C$250,$AU1477)=0,"NEW",""))</f>
        <v/>
      </c>
      <c r="BA1477" s="2" t="str">
        <f>IF(""&amp;$F1477&lt;&gt;"4","",IF($AY1477="YES","",IF(ROUND(SUMIFS($AE$2:$AE$4001,$L$2:$L$4001,$L1477,$F$2:$F$4001,"4")-SUMIFS('AR SALES'!$Y$2:$Y$2501,'AR SALES'!$L$2:$L$2501,$L1477,'AR SALES'!$AD$2:$AD$2501,"OFF"),2)=0,"","STALE")))</f>
        <v/>
      </c>
      <c r="BB1477" s="2" t="str">
        <f>IF(OR(""&amp;$F1477="2",""&amp;$F1477="4",""&amp;$F1477="G",""&amp;$F1477="H"),IF($AY1477="YES","",IF($AB1477&lt;&gt;0,"",IF(COUNTIFS('AR SALES'!$L$2:$L$2501,$L1477,'AR SALES'!$AD$2:$AD$2501,IF(""&amp;$F1477="4","OFF","ON"),'AR SALES'!$AF$2:$AF$2501,"Y")&gt;0,"","NO EXEMPTION"))),"")</f>
        <v/>
      </c>
    </row>
    <row r="1478" spans="46:54" x14ac:dyDescent="0.25">
      <c r="AT1478" s="2" t="str">
        <f>IF($L1478="","",IFERROR(INDEX('AR SALES'!$H$2:$H$2501,MATCH(""&amp;$L1478,'AR SALES'!$AE$2:$AE$2501,0)),""))</f>
        <v/>
      </c>
      <c r="AU1478" s="2" t="str">
        <f t="shared" si="92"/>
        <v/>
      </c>
      <c r="AV1478" s="2" t="str">
        <f t="shared" si="93"/>
        <v/>
      </c>
      <c r="AW1478" s="2" t="str">
        <f t="shared" si="94"/>
        <v/>
      </c>
      <c r="AX1478" s="2" t="str">
        <f t="shared" si="95"/>
        <v/>
      </c>
      <c r="AY1478" s="2" t="str">
        <f>IF($AV1478="","",IF(AND($Z1478=0,COUNTIF('AR SALES'!$L$2:$L$2501,$L1478)=0),"YES",""))</f>
        <v/>
      </c>
      <c r="AZ1478" s="2" t="str">
        <f>IF($AV1478="","",IF(COUNTIF(LISTS!$C$2:$C$250,$AU1478)=0,"NEW",""))</f>
        <v/>
      </c>
      <c r="BA1478" s="2" t="str">
        <f>IF(""&amp;$F1478&lt;&gt;"4","",IF($AY1478="YES","",IF(ROUND(SUMIFS($AE$2:$AE$4001,$L$2:$L$4001,$L1478,$F$2:$F$4001,"4")-SUMIFS('AR SALES'!$Y$2:$Y$2501,'AR SALES'!$L$2:$L$2501,$L1478,'AR SALES'!$AD$2:$AD$2501,"OFF"),2)=0,"","STALE")))</f>
        <v/>
      </c>
      <c r="BB1478" s="2" t="str">
        <f>IF(OR(""&amp;$F1478="2",""&amp;$F1478="4",""&amp;$F1478="G",""&amp;$F1478="H"),IF($AY1478="YES","",IF($AB1478&lt;&gt;0,"",IF(COUNTIFS('AR SALES'!$L$2:$L$2501,$L1478,'AR SALES'!$AD$2:$AD$2501,IF(""&amp;$F1478="4","OFF","ON"),'AR SALES'!$AF$2:$AF$2501,"Y")&gt;0,"","NO EXEMPTION"))),"")</f>
        <v/>
      </c>
    </row>
    <row r="1479" spans="46:54" x14ac:dyDescent="0.25">
      <c r="AT1479" s="2" t="str">
        <f>IF($L1479="","",IFERROR(INDEX('AR SALES'!$H$2:$H$2501,MATCH(""&amp;$L1479,'AR SALES'!$AE$2:$AE$2501,0)),""))</f>
        <v/>
      </c>
      <c r="AU1479" s="2" t="str">
        <f t="shared" si="92"/>
        <v/>
      </c>
      <c r="AV1479" s="2" t="str">
        <f t="shared" si="93"/>
        <v/>
      </c>
      <c r="AW1479" s="2" t="str">
        <f t="shared" si="94"/>
        <v/>
      </c>
      <c r="AX1479" s="2" t="str">
        <f t="shared" si="95"/>
        <v/>
      </c>
      <c r="AY1479" s="2" t="str">
        <f>IF($AV1479="","",IF(AND($Z1479=0,COUNTIF('AR SALES'!$L$2:$L$2501,$L1479)=0),"YES",""))</f>
        <v/>
      </c>
      <c r="AZ1479" s="2" t="str">
        <f>IF($AV1479="","",IF(COUNTIF(LISTS!$C$2:$C$250,$AU1479)=0,"NEW",""))</f>
        <v/>
      </c>
      <c r="BA1479" s="2" t="str">
        <f>IF(""&amp;$F1479&lt;&gt;"4","",IF($AY1479="YES","",IF(ROUND(SUMIFS($AE$2:$AE$4001,$L$2:$L$4001,$L1479,$F$2:$F$4001,"4")-SUMIFS('AR SALES'!$Y$2:$Y$2501,'AR SALES'!$L$2:$L$2501,$L1479,'AR SALES'!$AD$2:$AD$2501,"OFF"),2)=0,"","STALE")))</f>
        <v/>
      </c>
      <c r="BB1479" s="2" t="str">
        <f>IF(OR(""&amp;$F1479="2",""&amp;$F1479="4",""&amp;$F1479="G",""&amp;$F1479="H"),IF($AY1479="YES","",IF($AB1479&lt;&gt;0,"",IF(COUNTIFS('AR SALES'!$L$2:$L$2501,$L1479,'AR SALES'!$AD$2:$AD$2501,IF(""&amp;$F1479="4","OFF","ON"),'AR SALES'!$AF$2:$AF$2501,"Y")&gt;0,"","NO EXEMPTION"))),"")</f>
        <v/>
      </c>
    </row>
    <row r="1480" spans="46:54" x14ac:dyDescent="0.25">
      <c r="AT1480" s="2" t="str">
        <f>IF($L1480="","",IFERROR(INDEX('AR SALES'!$H$2:$H$2501,MATCH(""&amp;$L1480,'AR SALES'!$AE$2:$AE$2501,0)),""))</f>
        <v/>
      </c>
      <c r="AU1480" s="2" t="str">
        <f t="shared" si="92"/>
        <v/>
      </c>
      <c r="AV1480" s="2" t="str">
        <f t="shared" si="93"/>
        <v/>
      </c>
      <c r="AW1480" s="2" t="str">
        <f t="shared" si="94"/>
        <v/>
      </c>
      <c r="AX1480" s="2" t="str">
        <f t="shared" si="95"/>
        <v/>
      </c>
      <c r="AY1480" s="2" t="str">
        <f>IF($AV1480="","",IF(AND($Z1480=0,COUNTIF('AR SALES'!$L$2:$L$2501,$L1480)=0),"YES",""))</f>
        <v/>
      </c>
      <c r="AZ1480" s="2" t="str">
        <f>IF($AV1480="","",IF(COUNTIF(LISTS!$C$2:$C$250,$AU1480)=0,"NEW",""))</f>
        <v/>
      </c>
      <c r="BA1480" s="2" t="str">
        <f>IF(""&amp;$F1480&lt;&gt;"4","",IF($AY1480="YES","",IF(ROUND(SUMIFS($AE$2:$AE$4001,$L$2:$L$4001,$L1480,$F$2:$F$4001,"4")-SUMIFS('AR SALES'!$Y$2:$Y$2501,'AR SALES'!$L$2:$L$2501,$L1480,'AR SALES'!$AD$2:$AD$2501,"OFF"),2)=0,"","STALE")))</f>
        <v/>
      </c>
      <c r="BB1480" s="2" t="str">
        <f>IF(OR(""&amp;$F1480="2",""&amp;$F1480="4",""&amp;$F1480="G",""&amp;$F1480="H"),IF($AY1480="YES","",IF($AB1480&lt;&gt;0,"",IF(COUNTIFS('AR SALES'!$L$2:$L$2501,$L1480,'AR SALES'!$AD$2:$AD$2501,IF(""&amp;$F1480="4","OFF","ON"),'AR SALES'!$AF$2:$AF$2501,"Y")&gt;0,"","NO EXEMPTION"))),"")</f>
        <v/>
      </c>
    </row>
    <row r="1481" spans="46:54" x14ac:dyDescent="0.25">
      <c r="AT1481" s="2" t="str">
        <f>IF($L1481="","",IFERROR(INDEX('AR SALES'!$H$2:$H$2501,MATCH(""&amp;$L1481,'AR SALES'!$AE$2:$AE$2501,0)),""))</f>
        <v/>
      </c>
      <c r="AU1481" s="2" t="str">
        <f t="shared" si="92"/>
        <v/>
      </c>
      <c r="AV1481" s="2" t="str">
        <f t="shared" si="93"/>
        <v/>
      </c>
      <c r="AW1481" s="2" t="str">
        <f t="shared" si="94"/>
        <v/>
      </c>
      <c r="AX1481" s="2" t="str">
        <f t="shared" si="95"/>
        <v/>
      </c>
      <c r="AY1481" s="2" t="str">
        <f>IF($AV1481="","",IF(AND($Z1481=0,COUNTIF('AR SALES'!$L$2:$L$2501,$L1481)=0),"YES",""))</f>
        <v/>
      </c>
      <c r="AZ1481" s="2" t="str">
        <f>IF($AV1481="","",IF(COUNTIF(LISTS!$C$2:$C$250,$AU1481)=0,"NEW",""))</f>
        <v/>
      </c>
      <c r="BA1481" s="2" t="str">
        <f>IF(""&amp;$F1481&lt;&gt;"4","",IF($AY1481="YES","",IF(ROUND(SUMIFS($AE$2:$AE$4001,$L$2:$L$4001,$L1481,$F$2:$F$4001,"4")-SUMIFS('AR SALES'!$Y$2:$Y$2501,'AR SALES'!$L$2:$L$2501,$L1481,'AR SALES'!$AD$2:$AD$2501,"OFF"),2)=0,"","STALE")))</f>
        <v/>
      </c>
      <c r="BB1481" s="2" t="str">
        <f>IF(OR(""&amp;$F1481="2",""&amp;$F1481="4",""&amp;$F1481="G",""&amp;$F1481="H"),IF($AY1481="YES","",IF($AB1481&lt;&gt;0,"",IF(COUNTIFS('AR SALES'!$L$2:$L$2501,$L1481,'AR SALES'!$AD$2:$AD$2501,IF(""&amp;$F1481="4","OFF","ON"),'AR SALES'!$AF$2:$AF$2501,"Y")&gt;0,"","NO EXEMPTION"))),"")</f>
        <v/>
      </c>
    </row>
    <row r="1482" spans="46:54" x14ac:dyDescent="0.25">
      <c r="AT1482" s="2" t="str">
        <f>IF($L1482="","",IFERROR(INDEX('AR SALES'!$H$2:$H$2501,MATCH(""&amp;$L1482,'AR SALES'!$AE$2:$AE$2501,0)),""))</f>
        <v/>
      </c>
      <c r="AU1482" s="2" t="str">
        <f t="shared" si="92"/>
        <v/>
      </c>
      <c r="AV1482" s="2" t="str">
        <f t="shared" si="93"/>
        <v/>
      </c>
      <c r="AW1482" s="2" t="str">
        <f t="shared" si="94"/>
        <v/>
      </c>
      <c r="AX1482" s="2" t="str">
        <f t="shared" si="95"/>
        <v/>
      </c>
      <c r="AY1482" s="2" t="str">
        <f>IF($AV1482="","",IF(AND($Z1482=0,COUNTIF('AR SALES'!$L$2:$L$2501,$L1482)=0),"YES",""))</f>
        <v/>
      </c>
      <c r="AZ1482" s="2" t="str">
        <f>IF($AV1482="","",IF(COUNTIF(LISTS!$C$2:$C$250,$AU1482)=0,"NEW",""))</f>
        <v/>
      </c>
      <c r="BA1482" s="2" t="str">
        <f>IF(""&amp;$F1482&lt;&gt;"4","",IF($AY1482="YES","",IF(ROUND(SUMIFS($AE$2:$AE$4001,$L$2:$L$4001,$L1482,$F$2:$F$4001,"4")-SUMIFS('AR SALES'!$Y$2:$Y$2501,'AR SALES'!$L$2:$L$2501,$L1482,'AR SALES'!$AD$2:$AD$2501,"OFF"),2)=0,"","STALE")))</f>
        <v/>
      </c>
      <c r="BB1482" s="2" t="str">
        <f>IF(OR(""&amp;$F1482="2",""&amp;$F1482="4",""&amp;$F1482="G",""&amp;$F1482="H"),IF($AY1482="YES","",IF($AB1482&lt;&gt;0,"",IF(COUNTIFS('AR SALES'!$L$2:$L$2501,$L1482,'AR SALES'!$AD$2:$AD$2501,IF(""&amp;$F1482="4","OFF","ON"),'AR SALES'!$AF$2:$AF$2501,"Y")&gt;0,"","NO EXEMPTION"))),"")</f>
        <v/>
      </c>
    </row>
    <row r="1483" spans="46:54" x14ac:dyDescent="0.25">
      <c r="AT1483" s="2" t="str">
        <f>IF($L1483="","",IFERROR(INDEX('AR SALES'!$H$2:$H$2501,MATCH(""&amp;$L1483,'AR SALES'!$AE$2:$AE$2501,0)),""))</f>
        <v/>
      </c>
      <c r="AU1483" s="2" t="str">
        <f t="shared" si="92"/>
        <v/>
      </c>
      <c r="AV1483" s="2" t="str">
        <f t="shared" si="93"/>
        <v/>
      </c>
      <c r="AW1483" s="2" t="str">
        <f t="shared" si="94"/>
        <v/>
      </c>
      <c r="AX1483" s="2" t="str">
        <f t="shared" si="95"/>
        <v/>
      </c>
      <c r="AY1483" s="2" t="str">
        <f>IF($AV1483="","",IF(AND($Z1483=0,COUNTIF('AR SALES'!$L$2:$L$2501,$L1483)=0),"YES",""))</f>
        <v/>
      </c>
      <c r="AZ1483" s="2" t="str">
        <f>IF($AV1483="","",IF(COUNTIF(LISTS!$C$2:$C$250,$AU1483)=0,"NEW",""))</f>
        <v/>
      </c>
      <c r="BA1483" s="2" t="str">
        <f>IF(""&amp;$F1483&lt;&gt;"4","",IF($AY1483="YES","",IF(ROUND(SUMIFS($AE$2:$AE$4001,$L$2:$L$4001,$L1483,$F$2:$F$4001,"4")-SUMIFS('AR SALES'!$Y$2:$Y$2501,'AR SALES'!$L$2:$L$2501,$L1483,'AR SALES'!$AD$2:$AD$2501,"OFF"),2)=0,"","STALE")))</f>
        <v/>
      </c>
      <c r="BB1483" s="2" t="str">
        <f>IF(OR(""&amp;$F1483="2",""&amp;$F1483="4",""&amp;$F1483="G",""&amp;$F1483="H"),IF($AY1483="YES","",IF($AB1483&lt;&gt;0,"",IF(COUNTIFS('AR SALES'!$L$2:$L$2501,$L1483,'AR SALES'!$AD$2:$AD$2501,IF(""&amp;$F1483="4","OFF","ON"),'AR SALES'!$AF$2:$AF$2501,"Y")&gt;0,"","NO EXEMPTION"))),"")</f>
        <v/>
      </c>
    </row>
    <row r="1484" spans="46:54" x14ac:dyDescent="0.25">
      <c r="AT1484" s="2" t="str">
        <f>IF($L1484="","",IFERROR(INDEX('AR SALES'!$H$2:$H$2501,MATCH(""&amp;$L1484,'AR SALES'!$AE$2:$AE$2501,0)),""))</f>
        <v/>
      </c>
      <c r="AU1484" s="2" t="str">
        <f t="shared" si="92"/>
        <v/>
      </c>
      <c r="AV1484" s="2" t="str">
        <f t="shared" si="93"/>
        <v/>
      </c>
      <c r="AW1484" s="2" t="str">
        <f t="shared" si="94"/>
        <v/>
      </c>
      <c r="AX1484" s="2" t="str">
        <f t="shared" si="95"/>
        <v/>
      </c>
      <c r="AY1484" s="2" t="str">
        <f>IF($AV1484="","",IF(AND($Z1484=0,COUNTIF('AR SALES'!$L$2:$L$2501,$L1484)=0),"YES",""))</f>
        <v/>
      </c>
      <c r="AZ1484" s="2" t="str">
        <f>IF($AV1484="","",IF(COUNTIF(LISTS!$C$2:$C$250,$AU1484)=0,"NEW",""))</f>
        <v/>
      </c>
      <c r="BA1484" s="2" t="str">
        <f>IF(""&amp;$F1484&lt;&gt;"4","",IF($AY1484="YES","",IF(ROUND(SUMIFS($AE$2:$AE$4001,$L$2:$L$4001,$L1484,$F$2:$F$4001,"4")-SUMIFS('AR SALES'!$Y$2:$Y$2501,'AR SALES'!$L$2:$L$2501,$L1484,'AR SALES'!$AD$2:$AD$2501,"OFF"),2)=0,"","STALE")))</f>
        <v/>
      </c>
      <c r="BB1484" s="2" t="str">
        <f>IF(OR(""&amp;$F1484="2",""&amp;$F1484="4",""&amp;$F1484="G",""&amp;$F1484="H"),IF($AY1484="YES","",IF($AB1484&lt;&gt;0,"",IF(COUNTIFS('AR SALES'!$L$2:$L$2501,$L1484,'AR SALES'!$AD$2:$AD$2501,IF(""&amp;$F1484="4","OFF","ON"),'AR SALES'!$AF$2:$AF$2501,"Y")&gt;0,"","NO EXEMPTION"))),"")</f>
        <v/>
      </c>
    </row>
    <row r="1485" spans="46:54" x14ac:dyDescent="0.25">
      <c r="AT1485" s="2" t="str">
        <f>IF($L1485="","",IFERROR(INDEX('AR SALES'!$H$2:$H$2501,MATCH(""&amp;$L1485,'AR SALES'!$AE$2:$AE$2501,0)),""))</f>
        <v/>
      </c>
      <c r="AU1485" s="2" t="str">
        <f t="shared" si="92"/>
        <v/>
      </c>
      <c r="AV1485" s="2" t="str">
        <f t="shared" si="93"/>
        <v/>
      </c>
      <c r="AW1485" s="2" t="str">
        <f t="shared" si="94"/>
        <v/>
      </c>
      <c r="AX1485" s="2" t="str">
        <f t="shared" si="95"/>
        <v/>
      </c>
      <c r="AY1485" s="2" t="str">
        <f>IF($AV1485="","",IF(AND($Z1485=0,COUNTIF('AR SALES'!$L$2:$L$2501,$L1485)=0),"YES",""))</f>
        <v/>
      </c>
      <c r="AZ1485" s="2" t="str">
        <f>IF($AV1485="","",IF(COUNTIF(LISTS!$C$2:$C$250,$AU1485)=0,"NEW",""))</f>
        <v/>
      </c>
      <c r="BA1485" s="2" t="str">
        <f>IF(""&amp;$F1485&lt;&gt;"4","",IF($AY1485="YES","",IF(ROUND(SUMIFS($AE$2:$AE$4001,$L$2:$L$4001,$L1485,$F$2:$F$4001,"4")-SUMIFS('AR SALES'!$Y$2:$Y$2501,'AR SALES'!$L$2:$L$2501,$L1485,'AR SALES'!$AD$2:$AD$2501,"OFF"),2)=0,"","STALE")))</f>
        <v/>
      </c>
      <c r="BB1485" s="2" t="str">
        <f>IF(OR(""&amp;$F1485="2",""&amp;$F1485="4",""&amp;$F1485="G",""&amp;$F1485="H"),IF($AY1485="YES","",IF($AB1485&lt;&gt;0,"",IF(COUNTIFS('AR SALES'!$L$2:$L$2501,$L1485,'AR SALES'!$AD$2:$AD$2501,IF(""&amp;$F1485="4","OFF","ON"),'AR SALES'!$AF$2:$AF$2501,"Y")&gt;0,"","NO EXEMPTION"))),"")</f>
        <v/>
      </c>
    </row>
    <row r="1486" spans="46:54" x14ac:dyDescent="0.25">
      <c r="AT1486" s="2" t="str">
        <f>IF($L1486="","",IFERROR(INDEX('AR SALES'!$H$2:$H$2501,MATCH(""&amp;$L1486,'AR SALES'!$AE$2:$AE$2501,0)),""))</f>
        <v/>
      </c>
      <c r="AU1486" s="2" t="str">
        <f t="shared" si="92"/>
        <v/>
      </c>
      <c r="AV1486" s="2" t="str">
        <f t="shared" si="93"/>
        <v/>
      </c>
      <c r="AW1486" s="2" t="str">
        <f t="shared" si="94"/>
        <v/>
      </c>
      <c r="AX1486" s="2" t="str">
        <f t="shared" si="95"/>
        <v/>
      </c>
      <c r="AY1486" s="2" t="str">
        <f>IF($AV1486="","",IF(AND($Z1486=0,COUNTIF('AR SALES'!$L$2:$L$2501,$L1486)=0),"YES",""))</f>
        <v/>
      </c>
      <c r="AZ1486" s="2" t="str">
        <f>IF($AV1486="","",IF(COUNTIF(LISTS!$C$2:$C$250,$AU1486)=0,"NEW",""))</f>
        <v/>
      </c>
      <c r="BA1486" s="2" t="str">
        <f>IF(""&amp;$F1486&lt;&gt;"4","",IF($AY1486="YES","",IF(ROUND(SUMIFS($AE$2:$AE$4001,$L$2:$L$4001,$L1486,$F$2:$F$4001,"4")-SUMIFS('AR SALES'!$Y$2:$Y$2501,'AR SALES'!$L$2:$L$2501,$L1486,'AR SALES'!$AD$2:$AD$2501,"OFF"),2)=0,"","STALE")))</f>
        <v/>
      </c>
      <c r="BB1486" s="2" t="str">
        <f>IF(OR(""&amp;$F1486="2",""&amp;$F1486="4",""&amp;$F1486="G",""&amp;$F1486="H"),IF($AY1486="YES","",IF($AB1486&lt;&gt;0,"",IF(COUNTIFS('AR SALES'!$L$2:$L$2501,$L1486,'AR SALES'!$AD$2:$AD$2501,IF(""&amp;$F1486="4","OFF","ON"),'AR SALES'!$AF$2:$AF$2501,"Y")&gt;0,"","NO EXEMPTION"))),"")</f>
        <v/>
      </c>
    </row>
    <row r="1487" spans="46:54" x14ac:dyDescent="0.25">
      <c r="AT1487" s="2" t="str">
        <f>IF($L1487="","",IFERROR(INDEX('AR SALES'!$H$2:$H$2501,MATCH(""&amp;$L1487,'AR SALES'!$AE$2:$AE$2501,0)),""))</f>
        <v/>
      </c>
      <c r="AU1487" s="2" t="str">
        <f t="shared" si="92"/>
        <v/>
      </c>
      <c r="AV1487" s="2" t="str">
        <f t="shared" si="93"/>
        <v/>
      </c>
      <c r="AW1487" s="2" t="str">
        <f t="shared" si="94"/>
        <v/>
      </c>
      <c r="AX1487" s="2" t="str">
        <f t="shared" si="95"/>
        <v/>
      </c>
      <c r="AY1487" s="2" t="str">
        <f>IF($AV1487="","",IF(AND($Z1487=0,COUNTIF('AR SALES'!$L$2:$L$2501,$L1487)=0),"YES",""))</f>
        <v/>
      </c>
      <c r="AZ1487" s="2" t="str">
        <f>IF($AV1487="","",IF(COUNTIF(LISTS!$C$2:$C$250,$AU1487)=0,"NEW",""))</f>
        <v/>
      </c>
      <c r="BA1487" s="2" t="str">
        <f>IF(""&amp;$F1487&lt;&gt;"4","",IF($AY1487="YES","",IF(ROUND(SUMIFS($AE$2:$AE$4001,$L$2:$L$4001,$L1487,$F$2:$F$4001,"4")-SUMIFS('AR SALES'!$Y$2:$Y$2501,'AR SALES'!$L$2:$L$2501,$L1487,'AR SALES'!$AD$2:$AD$2501,"OFF"),2)=0,"","STALE")))</f>
        <v/>
      </c>
      <c r="BB1487" s="2" t="str">
        <f>IF(OR(""&amp;$F1487="2",""&amp;$F1487="4",""&amp;$F1487="G",""&amp;$F1487="H"),IF($AY1487="YES","",IF($AB1487&lt;&gt;0,"",IF(COUNTIFS('AR SALES'!$L$2:$L$2501,$L1487,'AR SALES'!$AD$2:$AD$2501,IF(""&amp;$F1487="4","OFF","ON"),'AR SALES'!$AF$2:$AF$2501,"Y")&gt;0,"","NO EXEMPTION"))),"")</f>
        <v/>
      </c>
    </row>
    <row r="1488" spans="46:54" x14ac:dyDescent="0.25">
      <c r="AT1488" s="2" t="str">
        <f>IF($L1488="","",IFERROR(INDEX('AR SALES'!$H$2:$H$2501,MATCH(""&amp;$L1488,'AR SALES'!$AE$2:$AE$2501,0)),""))</f>
        <v/>
      </c>
      <c r="AU1488" s="2" t="str">
        <f t="shared" si="92"/>
        <v/>
      </c>
      <c r="AV1488" s="2" t="str">
        <f t="shared" si="93"/>
        <v/>
      </c>
      <c r="AW1488" s="2" t="str">
        <f t="shared" si="94"/>
        <v/>
      </c>
      <c r="AX1488" s="2" t="str">
        <f t="shared" si="95"/>
        <v/>
      </c>
      <c r="AY1488" s="2" t="str">
        <f>IF($AV1488="","",IF(AND($Z1488=0,COUNTIF('AR SALES'!$L$2:$L$2501,$L1488)=0),"YES",""))</f>
        <v/>
      </c>
      <c r="AZ1488" s="2" t="str">
        <f>IF($AV1488="","",IF(COUNTIF(LISTS!$C$2:$C$250,$AU1488)=0,"NEW",""))</f>
        <v/>
      </c>
      <c r="BA1488" s="2" t="str">
        <f>IF(""&amp;$F1488&lt;&gt;"4","",IF($AY1488="YES","",IF(ROUND(SUMIFS($AE$2:$AE$4001,$L$2:$L$4001,$L1488,$F$2:$F$4001,"4")-SUMIFS('AR SALES'!$Y$2:$Y$2501,'AR SALES'!$L$2:$L$2501,$L1488,'AR SALES'!$AD$2:$AD$2501,"OFF"),2)=0,"","STALE")))</f>
        <v/>
      </c>
      <c r="BB1488" s="2" t="str">
        <f>IF(OR(""&amp;$F1488="2",""&amp;$F1488="4",""&amp;$F1488="G",""&amp;$F1488="H"),IF($AY1488="YES","",IF($AB1488&lt;&gt;0,"",IF(COUNTIFS('AR SALES'!$L$2:$L$2501,$L1488,'AR SALES'!$AD$2:$AD$2501,IF(""&amp;$F1488="4","OFF","ON"),'AR SALES'!$AF$2:$AF$2501,"Y")&gt;0,"","NO EXEMPTION"))),"")</f>
        <v/>
      </c>
    </row>
    <row r="1489" spans="46:54" x14ac:dyDescent="0.25">
      <c r="AT1489" s="2" t="str">
        <f>IF($L1489="","",IFERROR(INDEX('AR SALES'!$H$2:$H$2501,MATCH(""&amp;$L1489,'AR SALES'!$AE$2:$AE$2501,0)),""))</f>
        <v/>
      </c>
      <c r="AU1489" s="2" t="str">
        <f t="shared" si="92"/>
        <v/>
      </c>
      <c r="AV1489" s="2" t="str">
        <f t="shared" si="93"/>
        <v/>
      </c>
      <c r="AW1489" s="2" t="str">
        <f t="shared" si="94"/>
        <v/>
      </c>
      <c r="AX1489" s="2" t="str">
        <f t="shared" si="95"/>
        <v/>
      </c>
      <c r="AY1489" s="2" t="str">
        <f>IF($AV1489="","",IF(AND($Z1489=0,COUNTIF('AR SALES'!$L$2:$L$2501,$L1489)=0),"YES",""))</f>
        <v/>
      </c>
      <c r="AZ1489" s="2" t="str">
        <f>IF($AV1489="","",IF(COUNTIF(LISTS!$C$2:$C$250,$AU1489)=0,"NEW",""))</f>
        <v/>
      </c>
      <c r="BA1489" s="2" t="str">
        <f>IF(""&amp;$F1489&lt;&gt;"4","",IF($AY1489="YES","",IF(ROUND(SUMIFS($AE$2:$AE$4001,$L$2:$L$4001,$L1489,$F$2:$F$4001,"4")-SUMIFS('AR SALES'!$Y$2:$Y$2501,'AR SALES'!$L$2:$L$2501,$L1489,'AR SALES'!$AD$2:$AD$2501,"OFF"),2)=0,"","STALE")))</f>
        <v/>
      </c>
      <c r="BB1489" s="2" t="str">
        <f>IF(OR(""&amp;$F1489="2",""&amp;$F1489="4",""&amp;$F1489="G",""&amp;$F1489="H"),IF($AY1489="YES","",IF($AB1489&lt;&gt;0,"",IF(COUNTIFS('AR SALES'!$L$2:$L$2501,$L1489,'AR SALES'!$AD$2:$AD$2501,IF(""&amp;$F1489="4","OFF","ON"),'AR SALES'!$AF$2:$AF$2501,"Y")&gt;0,"","NO EXEMPTION"))),"")</f>
        <v/>
      </c>
    </row>
    <row r="1490" spans="46:54" x14ac:dyDescent="0.25">
      <c r="AT1490" s="2" t="str">
        <f>IF($L1490="","",IFERROR(INDEX('AR SALES'!$H$2:$H$2501,MATCH(""&amp;$L1490,'AR SALES'!$AE$2:$AE$2501,0)),""))</f>
        <v/>
      </c>
      <c r="AU1490" s="2" t="str">
        <f t="shared" si="92"/>
        <v/>
      </c>
      <c r="AV1490" s="2" t="str">
        <f t="shared" si="93"/>
        <v/>
      </c>
      <c r="AW1490" s="2" t="str">
        <f t="shared" si="94"/>
        <v/>
      </c>
      <c r="AX1490" s="2" t="str">
        <f t="shared" si="95"/>
        <v/>
      </c>
      <c r="AY1490" s="2" t="str">
        <f>IF($AV1490="","",IF(AND($Z1490=0,COUNTIF('AR SALES'!$L$2:$L$2501,$L1490)=0),"YES",""))</f>
        <v/>
      </c>
      <c r="AZ1490" s="2" t="str">
        <f>IF($AV1490="","",IF(COUNTIF(LISTS!$C$2:$C$250,$AU1490)=0,"NEW",""))</f>
        <v/>
      </c>
      <c r="BA1490" s="2" t="str">
        <f>IF(""&amp;$F1490&lt;&gt;"4","",IF($AY1490="YES","",IF(ROUND(SUMIFS($AE$2:$AE$4001,$L$2:$L$4001,$L1490,$F$2:$F$4001,"4")-SUMIFS('AR SALES'!$Y$2:$Y$2501,'AR SALES'!$L$2:$L$2501,$L1490,'AR SALES'!$AD$2:$AD$2501,"OFF"),2)=0,"","STALE")))</f>
        <v/>
      </c>
      <c r="BB1490" s="2" t="str">
        <f>IF(OR(""&amp;$F1490="2",""&amp;$F1490="4",""&amp;$F1490="G",""&amp;$F1490="H"),IF($AY1490="YES","",IF($AB1490&lt;&gt;0,"",IF(COUNTIFS('AR SALES'!$L$2:$L$2501,$L1490,'AR SALES'!$AD$2:$AD$2501,IF(""&amp;$F1490="4","OFF","ON"),'AR SALES'!$AF$2:$AF$2501,"Y")&gt;0,"","NO EXEMPTION"))),"")</f>
        <v/>
      </c>
    </row>
    <row r="1491" spans="46:54" x14ac:dyDescent="0.25">
      <c r="AT1491" s="2" t="str">
        <f>IF($L1491="","",IFERROR(INDEX('AR SALES'!$H$2:$H$2501,MATCH(""&amp;$L1491,'AR SALES'!$AE$2:$AE$2501,0)),""))</f>
        <v/>
      </c>
      <c r="AU1491" s="2" t="str">
        <f t="shared" si="92"/>
        <v/>
      </c>
      <c r="AV1491" s="2" t="str">
        <f t="shared" si="93"/>
        <v/>
      </c>
      <c r="AW1491" s="2" t="str">
        <f t="shared" si="94"/>
        <v/>
      </c>
      <c r="AX1491" s="2" t="str">
        <f t="shared" si="95"/>
        <v/>
      </c>
      <c r="AY1491" s="2" t="str">
        <f>IF($AV1491="","",IF(AND($Z1491=0,COUNTIF('AR SALES'!$L$2:$L$2501,$L1491)=0),"YES",""))</f>
        <v/>
      </c>
      <c r="AZ1491" s="2" t="str">
        <f>IF($AV1491="","",IF(COUNTIF(LISTS!$C$2:$C$250,$AU1491)=0,"NEW",""))</f>
        <v/>
      </c>
      <c r="BA1491" s="2" t="str">
        <f>IF(""&amp;$F1491&lt;&gt;"4","",IF($AY1491="YES","",IF(ROUND(SUMIFS($AE$2:$AE$4001,$L$2:$L$4001,$L1491,$F$2:$F$4001,"4")-SUMIFS('AR SALES'!$Y$2:$Y$2501,'AR SALES'!$L$2:$L$2501,$L1491,'AR SALES'!$AD$2:$AD$2501,"OFF"),2)=0,"","STALE")))</f>
        <v/>
      </c>
      <c r="BB1491" s="2" t="str">
        <f>IF(OR(""&amp;$F1491="2",""&amp;$F1491="4",""&amp;$F1491="G",""&amp;$F1491="H"),IF($AY1491="YES","",IF($AB1491&lt;&gt;0,"",IF(COUNTIFS('AR SALES'!$L$2:$L$2501,$L1491,'AR SALES'!$AD$2:$AD$2501,IF(""&amp;$F1491="4","OFF","ON"),'AR SALES'!$AF$2:$AF$2501,"Y")&gt;0,"","NO EXEMPTION"))),"")</f>
        <v/>
      </c>
    </row>
    <row r="1492" spans="46:54" x14ac:dyDescent="0.25">
      <c r="AT1492" s="2" t="str">
        <f>IF($L1492="","",IFERROR(INDEX('AR SALES'!$H$2:$H$2501,MATCH(""&amp;$L1492,'AR SALES'!$AE$2:$AE$2501,0)),""))</f>
        <v/>
      </c>
      <c r="AU1492" s="2" t="str">
        <f t="shared" si="92"/>
        <v/>
      </c>
      <c r="AV1492" s="2" t="str">
        <f t="shared" si="93"/>
        <v/>
      </c>
      <c r="AW1492" s="2" t="str">
        <f t="shared" si="94"/>
        <v/>
      </c>
      <c r="AX1492" s="2" t="str">
        <f t="shared" si="95"/>
        <v/>
      </c>
      <c r="AY1492" s="2" t="str">
        <f>IF($AV1492="","",IF(AND($Z1492=0,COUNTIF('AR SALES'!$L$2:$L$2501,$L1492)=0),"YES",""))</f>
        <v/>
      </c>
      <c r="AZ1492" s="2" t="str">
        <f>IF($AV1492="","",IF(COUNTIF(LISTS!$C$2:$C$250,$AU1492)=0,"NEW",""))</f>
        <v/>
      </c>
      <c r="BA1492" s="2" t="str">
        <f>IF(""&amp;$F1492&lt;&gt;"4","",IF($AY1492="YES","",IF(ROUND(SUMIFS($AE$2:$AE$4001,$L$2:$L$4001,$L1492,$F$2:$F$4001,"4")-SUMIFS('AR SALES'!$Y$2:$Y$2501,'AR SALES'!$L$2:$L$2501,$L1492,'AR SALES'!$AD$2:$AD$2501,"OFF"),2)=0,"","STALE")))</f>
        <v/>
      </c>
      <c r="BB1492" s="2" t="str">
        <f>IF(OR(""&amp;$F1492="2",""&amp;$F1492="4",""&amp;$F1492="G",""&amp;$F1492="H"),IF($AY1492="YES","",IF($AB1492&lt;&gt;0,"",IF(COUNTIFS('AR SALES'!$L$2:$L$2501,$L1492,'AR SALES'!$AD$2:$AD$2501,IF(""&amp;$F1492="4","OFF","ON"),'AR SALES'!$AF$2:$AF$2501,"Y")&gt;0,"","NO EXEMPTION"))),"")</f>
        <v/>
      </c>
    </row>
    <row r="1493" spans="46:54" x14ac:dyDescent="0.25">
      <c r="AT1493" s="2" t="str">
        <f>IF($L1493="","",IFERROR(INDEX('AR SALES'!$H$2:$H$2501,MATCH(""&amp;$L1493,'AR SALES'!$AE$2:$AE$2501,0)),""))</f>
        <v/>
      </c>
      <c r="AU1493" s="2" t="str">
        <f t="shared" si="92"/>
        <v/>
      </c>
      <c r="AV1493" s="2" t="str">
        <f t="shared" si="93"/>
        <v/>
      </c>
      <c r="AW1493" s="2" t="str">
        <f t="shared" si="94"/>
        <v/>
      </c>
      <c r="AX1493" s="2" t="str">
        <f t="shared" si="95"/>
        <v/>
      </c>
      <c r="AY1493" s="2" t="str">
        <f>IF($AV1493="","",IF(AND($Z1493=0,COUNTIF('AR SALES'!$L$2:$L$2501,$L1493)=0),"YES",""))</f>
        <v/>
      </c>
      <c r="AZ1493" s="2" t="str">
        <f>IF($AV1493="","",IF(COUNTIF(LISTS!$C$2:$C$250,$AU1493)=0,"NEW",""))</f>
        <v/>
      </c>
      <c r="BA1493" s="2" t="str">
        <f>IF(""&amp;$F1493&lt;&gt;"4","",IF($AY1493="YES","",IF(ROUND(SUMIFS($AE$2:$AE$4001,$L$2:$L$4001,$L1493,$F$2:$F$4001,"4")-SUMIFS('AR SALES'!$Y$2:$Y$2501,'AR SALES'!$L$2:$L$2501,$L1493,'AR SALES'!$AD$2:$AD$2501,"OFF"),2)=0,"","STALE")))</f>
        <v/>
      </c>
      <c r="BB1493" s="2" t="str">
        <f>IF(OR(""&amp;$F1493="2",""&amp;$F1493="4",""&amp;$F1493="G",""&amp;$F1493="H"),IF($AY1493="YES","",IF($AB1493&lt;&gt;0,"",IF(COUNTIFS('AR SALES'!$L$2:$L$2501,$L1493,'AR SALES'!$AD$2:$AD$2501,IF(""&amp;$F1493="4","OFF","ON"),'AR SALES'!$AF$2:$AF$2501,"Y")&gt;0,"","NO EXEMPTION"))),"")</f>
        <v/>
      </c>
    </row>
    <row r="1494" spans="46:54" x14ac:dyDescent="0.25">
      <c r="AT1494" s="2" t="str">
        <f>IF($L1494="","",IFERROR(INDEX('AR SALES'!$H$2:$H$2501,MATCH(""&amp;$L1494,'AR SALES'!$AE$2:$AE$2501,0)),""))</f>
        <v/>
      </c>
      <c r="AU1494" s="2" t="str">
        <f t="shared" si="92"/>
        <v/>
      </c>
      <c r="AV1494" s="2" t="str">
        <f t="shared" si="93"/>
        <v/>
      </c>
      <c r="AW1494" s="2" t="str">
        <f t="shared" si="94"/>
        <v/>
      </c>
      <c r="AX1494" s="2" t="str">
        <f t="shared" si="95"/>
        <v/>
      </c>
      <c r="AY1494" s="2" t="str">
        <f>IF($AV1494="","",IF(AND($Z1494=0,COUNTIF('AR SALES'!$L$2:$L$2501,$L1494)=0),"YES",""))</f>
        <v/>
      </c>
      <c r="AZ1494" s="2" t="str">
        <f>IF($AV1494="","",IF(COUNTIF(LISTS!$C$2:$C$250,$AU1494)=0,"NEW",""))</f>
        <v/>
      </c>
      <c r="BA1494" s="2" t="str">
        <f>IF(""&amp;$F1494&lt;&gt;"4","",IF($AY1494="YES","",IF(ROUND(SUMIFS($AE$2:$AE$4001,$L$2:$L$4001,$L1494,$F$2:$F$4001,"4")-SUMIFS('AR SALES'!$Y$2:$Y$2501,'AR SALES'!$L$2:$L$2501,$L1494,'AR SALES'!$AD$2:$AD$2501,"OFF"),2)=0,"","STALE")))</f>
        <v/>
      </c>
      <c r="BB1494" s="2" t="str">
        <f>IF(OR(""&amp;$F1494="2",""&amp;$F1494="4",""&amp;$F1494="G",""&amp;$F1494="H"),IF($AY1494="YES","",IF($AB1494&lt;&gt;0,"",IF(COUNTIFS('AR SALES'!$L$2:$L$2501,$L1494,'AR SALES'!$AD$2:$AD$2501,IF(""&amp;$F1494="4","OFF","ON"),'AR SALES'!$AF$2:$AF$2501,"Y")&gt;0,"","NO EXEMPTION"))),"")</f>
        <v/>
      </c>
    </row>
    <row r="1495" spans="46:54" x14ac:dyDescent="0.25">
      <c r="AT1495" s="2" t="str">
        <f>IF($L1495="","",IFERROR(INDEX('AR SALES'!$H$2:$H$2501,MATCH(""&amp;$L1495,'AR SALES'!$AE$2:$AE$2501,0)),""))</f>
        <v/>
      </c>
      <c r="AU1495" s="2" t="str">
        <f t="shared" si="92"/>
        <v/>
      </c>
      <c r="AV1495" s="2" t="str">
        <f t="shared" si="93"/>
        <v/>
      </c>
      <c r="AW1495" s="2" t="str">
        <f t="shared" si="94"/>
        <v/>
      </c>
      <c r="AX1495" s="2" t="str">
        <f t="shared" si="95"/>
        <v/>
      </c>
      <c r="AY1495" s="2" t="str">
        <f>IF($AV1495="","",IF(AND($Z1495=0,COUNTIF('AR SALES'!$L$2:$L$2501,$L1495)=0),"YES",""))</f>
        <v/>
      </c>
      <c r="AZ1495" s="2" t="str">
        <f>IF($AV1495="","",IF(COUNTIF(LISTS!$C$2:$C$250,$AU1495)=0,"NEW",""))</f>
        <v/>
      </c>
      <c r="BA1495" s="2" t="str">
        <f>IF(""&amp;$F1495&lt;&gt;"4","",IF($AY1495="YES","",IF(ROUND(SUMIFS($AE$2:$AE$4001,$L$2:$L$4001,$L1495,$F$2:$F$4001,"4")-SUMIFS('AR SALES'!$Y$2:$Y$2501,'AR SALES'!$L$2:$L$2501,$L1495,'AR SALES'!$AD$2:$AD$2501,"OFF"),2)=0,"","STALE")))</f>
        <v/>
      </c>
      <c r="BB1495" s="2" t="str">
        <f>IF(OR(""&amp;$F1495="2",""&amp;$F1495="4",""&amp;$F1495="G",""&amp;$F1495="H"),IF($AY1495="YES","",IF($AB1495&lt;&gt;0,"",IF(COUNTIFS('AR SALES'!$L$2:$L$2501,$L1495,'AR SALES'!$AD$2:$AD$2501,IF(""&amp;$F1495="4","OFF","ON"),'AR SALES'!$AF$2:$AF$2501,"Y")&gt;0,"","NO EXEMPTION"))),"")</f>
        <v/>
      </c>
    </row>
    <row r="1496" spans="46:54" x14ac:dyDescent="0.25">
      <c r="AT1496" s="2" t="str">
        <f>IF($L1496="","",IFERROR(INDEX('AR SALES'!$H$2:$H$2501,MATCH(""&amp;$L1496,'AR SALES'!$AE$2:$AE$2501,0)),""))</f>
        <v/>
      </c>
      <c r="AU1496" s="2" t="str">
        <f t="shared" si="92"/>
        <v/>
      </c>
      <c r="AV1496" s="2" t="str">
        <f t="shared" si="93"/>
        <v/>
      </c>
      <c r="AW1496" s="2" t="str">
        <f t="shared" si="94"/>
        <v/>
      </c>
      <c r="AX1496" s="2" t="str">
        <f t="shared" si="95"/>
        <v/>
      </c>
      <c r="AY1496" s="2" t="str">
        <f>IF($AV1496="","",IF(AND($Z1496=0,COUNTIF('AR SALES'!$L$2:$L$2501,$L1496)=0),"YES",""))</f>
        <v/>
      </c>
      <c r="AZ1496" s="2" t="str">
        <f>IF($AV1496="","",IF(COUNTIF(LISTS!$C$2:$C$250,$AU1496)=0,"NEW",""))</f>
        <v/>
      </c>
      <c r="BA1496" s="2" t="str">
        <f>IF(""&amp;$F1496&lt;&gt;"4","",IF($AY1496="YES","",IF(ROUND(SUMIFS($AE$2:$AE$4001,$L$2:$L$4001,$L1496,$F$2:$F$4001,"4")-SUMIFS('AR SALES'!$Y$2:$Y$2501,'AR SALES'!$L$2:$L$2501,$L1496,'AR SALES'!$AD$2:$AD$2501,"OFF"),2)=0,"","STALE")))</f>
        <v/>
      </c>
      <c r="BB1496" s="2" t="str">
        <f>IF(OR(""&amp;$F1496="2",""&amp;$F1496="4",""&amp;$F1496="G",""&amp;$F1496="H"),IF($AY1496="YES","",IF($AB1496&lt;&gt;0,"",IF(COUNTIFS('AR SALES'!$L$2:$L$2501,$L1496,'AR SALES'!$AD$2:$AD$2501,IF(""&amp;$F1496="4","OFF","ON"),'AR SALES'!$AF$2:$AF$2501,"Y")&gt;0,"","NO EXEMPTION"))),"")</f>
        <v/>
      </c>
    </row>
    <row r="1497" spans="46:54" x14ac:dyDescent="0.25">
      <c r="AT1497" s="2" t="str">
        <f>IF($L1497="","",IFERROR(INDEX('AR SALES'!$H$2:$H$2501,MATCH(""&amp;$L1497,'AR SALES'!$AE$2:$AE$2501,0)),""))</f>
        <v/>
      </c>
      <c r="AU1497" s="2" t="str">
        <f t="shared" si="92"/>
        <v/>
      </c>
      <c r="AV1497" s="2" t="str">
        <f t="shared" si="93"/>
        <v/>
      </c>
      <c r="AW1497" s="2" t="str">
        <f t="shared" si="94"/>
        <v/>
      </c>
      <c r="AX1497" s="2" t="str">
        <f t="shared" si="95"/>
        <v/>
      </c>
      <c r="AY1497" s="2" t="str">
        <f>IF($AV1497="","",IF(AND($Z1497=0,COUNTIF('AR SALES'!$L$2:$L$2501,$L1497)=0),"YES",""))</f>
        <v/>
      </c>
      <c r="AZ1497" s="2" t="str">
        <f>IF($AV1497="","",IF(COUNTIF(LISTS!$C$2:$C$250,$AU1497)=0,"NEW",""))</f>
        <v/>
      </c>
      <c r="BA1497" s="2" t="str">
        <f>IF(""&amp;$F1497&lt;&gt;"4","",IF($AY1497="YES","",IF(ROUND(SUMIFS($AE$2:$AE$4001,$L$2:$L$4001,$L1497,$F$2:$F$4001,"4")-SUMIFS('AR SALES'!$Y$2:$Y$2501,'AR SALES'!$L$2:$L$2501,$L1497,'AR SALES'!$AD$2:$AD$2501,"OFF"),2)=0,"","STALE")))</f>
        <v/>
      </c>
      <c r="BB1497" s="2" t="str">
        <f>IF(OR(""&amp;$F1497="2",""&amp;$F1497="4",""&amp;$F1497="G",""&amp;$F1497="H"),IF($AY1497="YES","",IF($AB1497&lt;&gt;0,"",IF(COUNTIFS('AR SALES'!$L$2:$L$2501,$L1497,'AR SALES'!$AD$2:$AD$2501,IF(""&amp;$F1497="4","OFF","ON"),'AR SALES'!$AF$2:$AF$2501,"Y")&gt;0,"","NO EXEMPTION"))),"")</f>
        <v/>
      </c>
    </row>
    <row r="1498" spans="46:54" x14ac:dyDescent="0.25">
      <c r="AT1498" s="2" t="str">
        <f>IF($L1498="","",IFERROR(INDEX('AR SALES'!$H$2:$H$2501,MATCH(""&amp;$L1498,'AR SALES'!$AE$2:$AE$2501,0)),""))</f>
        <v/>
      </c>
      <c r="AU1498" s="2" t="str">
        <f t="shared" si="92"/>
        <v/>
      </c>
      <c r="AV1498" s="2" t="str">
        <f t="shared" si="93"/>
        <v/>
      </c>
      <c r="AW1498" s="2" t="str">
        <f t="shared" si="94"/>
        <v/>
      </c>
      <c r="AX1498" s="2" t="str">
        <f t="shared" si="95"/>
        <v/>
      </c>
      <c r="AY1498" s="2" t="str">
        <f>IF($AV1498="","",IF(AND($Z1498=0,COUNTIF('AR SALES'!$L$2:$L$2501,$L1498)=0),"YES",""))</f>
        <v/>
      </c>
      <c r="AZ1498" s="2" t="str">
        <f>IF($AV1498="","",IF(COUNTIF(LISTS!$C$2:$C$250,$AU1498)=0,"NEW",""))</f>
        <v/>
      </c>
      <c r="BA1498" s="2" t="str">
        <f>IF(""&amp;$F1498&lt;&gt;"4","",IF($AY1498="YES","",IF(ROUND(SUMIFS($AE$2:$AE$4001,$L$2:$L$4001,$L1498,$F$2:$F$4001,"4")-SUMIFS('AR SALES'!$Y$2:$Y$2501,'AR SALES'!$L$2:$L$2501,$L1498,'AR SALES'!$AD$2:$AD$2501,"OFF"),2)=0,"","STALE")))</f>
        <v/>
      </c>
      <c r="BB1498" s="2" t="str">
        <f>IF(OR(""&amp;$F1498="2",""&amp;$F1498="4",""&amp;$F1498="G",""&amp;$F1498="H"),IF($AY1498="YES","",IF($AB1498&lt;&gt;0,"",IF(COUNTIFS('AR SALES'!$L$2:$L$2501,$L1498,'AR SALES'!$AD$2:$AD$2501,IF(""&amp;$F1498="4","OFF","ON"),'AR SALES'!$AF$2:$AF$2501,"Y")&gt;0,"","NO EXEMPTION"))),"")</f>
        <v/>
      </c>
    </row>
    <row r="1499" spans="46:54" x14ac:dyDescent="0.25">
      <c r="AT1499" s="2" t="str">
        <f>IF($L1499="","",IFERROR(INDEX('AR SALES'!$H$2:$H$2501,MATCH(""&amp;$L1499,'AR SALES'!$AE$2:$AE$2501,0)),""))</f>
        <v/>
      </c>
      <c r="AU1499" s="2" t="str">
        <f t="shared" si="92"/>
        <v/>
      </c>
      <c r="AV1499" s="2" t="str">
        <f t="shared" si="93"/>
        <v/>
      </c>
      <c r="AW1499" s="2" t="str">
        <f t="shared" si="94"/>
        <v/>
      </c>
      <c r="AX1499" s="2" t="str">
        <f t="shared" si="95"/>
        <v/>
      </c>
      <c r="AY1499" s="2" t="str">
        <f>IF($AV1499="","",IF(AND($Z1499=0,COUNTIF('AR SALES'!$L$2:$L$2501,$L1499)=0),"YES",""))</f>
        <v/>
      </c>
      <c r="AZ1499" s="2" t="str">
        <f>IF($AV1499="","",IF(COUNTIF(LISTS!$C$2:$C$250,$AU1499)=0,"NEW",""))</f>
        <v/>
      </c>
      <c r="BA1499" s="2" t="str">
        <f>IF(""&amp;$F1499&lt;&gt;"4","",IF($AY1499="YES","",IF(ROUND(SUMIFS($AE$2:$AE$4001,$L$2:$L$4001,$L1499,$F$2:$F$4001,"4")-SUMIFS('AR SALES'!$Y$2:$Y$2501,'AR SALES'!$L$2:$L$2501,$L1499,'AR SALES'!$AD$2:$AD$2501,"OFF"),2)=0,"","STALE")))</f>
        <v/>
      </c>
      <c r="BB1499" s="2" t="str">
        <f>IF(OR(""&amp;$F1499="2",""&amp;$F1499="4",""&amp;$F1499="G",""&amp;$F1499="H"),IF($AY1499="YES","",IF($AB1499&lt;&gt;0,"",IF(COUNTIFS('AR SALES'!$L$2:$L$2501,$L1499,'AR SALES'!$AD$2:$AD$2501,IF(""&amp;$F1499="4","OFF","ON"),'AR SALES'!$AF$2:$AF$2501,"Y")&gt;0,"","NO EXEMPTION"))),"")</f>
        <v/>
      </c>
    </row>
    <row r="1500" spans="46:54" x14ac:dyDescent="0.25">
      <c r="AT1500" s="2" t="str">
        <f>IF($L1500="","",IFERROR(INDEX('AR SALES'!$H$2:$H$2501,MATCH(""&amp;$L1500,'AR SALES'!$AE$2:$AE$2501,0)),""))</f>
        <v/>
      </c>
      <c r="AU1500" s="2" t="str">
        <f t="shared" si="92"/>
        <v/>
      </c>
      <c r="AV1500" s="2" t="str">
        <f t="shared" si="93"/>
        <v/>
      </c>
      <c r="AW1500" s="2" t="str">
        <f t="shared" si="94"/>
        <v/>
      </c>
      <c r="AX1500" s="2" t="str">
        <f t="shared" si="95"/>
        <v/>
      </c>
      <c r="AY1500" s="2" t="str">
        <f>IF($AV1500="","",IF(AND($Z1500=0,COUNTIF('AR SALES'!$L$2:$L$2501,$L1500)=0),"YES",""))</f>
        <v/>
      </c>
      <c r="AZ1500" s="2" t="str">
        <f>IF($AV1500="","",IF(COUNTIF(LISTS!$C$2:$C$250,$AU1500)=0,"NEW",""))</f>
        <v/>
      </c>
      <c r="BA1500" s="2" t="str">
        <f>IF(""&amp;$F1500&lt;&gt;"4","",IF($AY1500="YES","",IF(ROUND(SUMIFS($AE$2:$AE$4001,$L$2:$L$4001,$L1500,$F$2:$F$4001,"4")-SUMIFS('AR SALES'!$Y$2:$Y$2501,'AR SALES'!$L$2:$L$2501,$L1500,'AR SALES'!$AD$2:$AD$2501,"OFF"),2)=0,"","STALE")))</f>
        <v/>
      </c>
      <c r="BB1500" s="2" t="str">
        <f>IF(OR(""&amp;$F1500="2",""&amp;$F1500="4",""&amp;$F1500="G",""&amp;$F1500="H"),IF($AY1500="YES","",IF($AB1500&lt;&gt;0,"",IF(COUNTIFS('AR SALES'!$L$2:$L$2501,$L1500,'AR SALES'!$AD$2:$AD$2501,IF(""&amp;$F1500="4","OFF","ON"),'AR SALES'!$AF$2:$AF$2501,"Y")&gt;0,"","NO EXEMPTION"))),"")</f>
        <v/>
      </c>
    </row>
    <row r="1501" spans="46:54" x14ac:dyDescent="0.25">
      <c r="AT1501" s="2" t="str">
        <f>IF($L1501="","",IFERROR(INDEX('AR SALES'!$H$2:$H$2501,MATCH(""&amp;$L1501,'AR SALES'!$AE$2:$AE$2501,0)),""))</f>
        <v/>
      </c>
      <c r="AU1501" s="2" t="str">
        <f t="shared" si="92"/>
        <v/>
      </c>
      <c r="AV1501" s="2" t="str">
        <f t="shared" si="93"/>
        <v/>
      </c>
      <c r="AW1501" s="2" t="str">
        <f t="shared" si="94"/>
        <v/>
      </c>
      <c r="AX1501" s="2" t="str">
        <f t="shared" si="95"/>
        <v/>
      </c>
      <c r="AY1501" s="2" t="str">
        <f>IF($AV1501="","",IF(AND($Z1501=0,COUNTIF('AR SALES'!$L$2:$L$2501,$L1501)=0),"YES",""))</f>
        <v/>
      </c>
      <c r="AZ1501" s="2" t="str">
        <f>IF($AV1501="","",IF(COUNTIF(LISTS!$C$2:$C$250,$AU1501)=0,"NEW",""))</f>
        <v/>
      </c>
      <c r="BA1501" s="2" t="str">
        <f>IF(""&amp;$F1501&lt;&gt;"4","",IF($AY1501="YES","",IF(ROUND(SUMIFS($AE$2:$AE$4001,$L$2:$L$4001,$L1501,$F$2:$F$4001,"4")-SUMIFS('AR SALES'!$Y$2:$Y$2501,'AR SALES'!$L$2:$L$2501,$L1501,'AR SALES'!$AD$2:$AD$2501,"OFF"),2)=0,"","STALE")))</f>
        <v/>
      </c>
      <c r="BB1501" s="2" t="str">
        <f>IF(OR(""&amp;$F1501="2",""&amp;$F1501="4",""&amp;$F1501="G",""&amp;$F1501="H"),IF($AY1501="YES","",IF($AB1501&lt;&gt;0,"",IF(COUNTIFS('AR SALES'!$L$2:$L$2501,$L1501,'AR SALES'!$AD$2:$AD$2501,IF(""&amp;$F1501="4","OFF","ON"),'AR SALES'!$AF$2:$AF$2501,"Y")&gt;0,"","NO EXEMPTION"))),"")</f>
        <v/>
      </c>
    </row>
    <row r="1502" spans="46:54" x14ac:dyDescent="0.25">
      <c r="AT1502" s="2" t="str">
        <f>IF($L1502="","",IFERROR(INDEX('AR SALES'!$H$2:$H$2501,MATCH(""&amp;$L1502,'AR SALES'!$AE$2:$AE$2501,0)),""))</f>
        <v/>
      </c>
      <c r="AU1502" s="2" t="str">
        <f t="shared" si="92"/>
        <v/>
      </c>
      <c r="AV1502" s="2" t="str">
        <f t="shared" si="93"/>
        <v/>
      </c>
      <c r="AW1502" s="2" t="str">
        <f t="shared" si="94"/>
        <v/>
      </c>
      <c r="AX1502" s="2" t="str">
        <f t="shared" si="95"/>
        <v/>
      </c>
      <c r="AY1502" s="2" t="str">
        <f>IF($AV1502="","",IF(AND($Z1502=0,COUNTIF('AR SALES'!$L$2:$L$2501,$L1502)=0),"YES",""))</f>
        <v/>
      </c>
      <c r="AZ1502" s="2" t="str">
        <f>IF($AV1502="","",IF(COUNTIF(LISTS!$C$2:$C$250,$AU1502)=0,"NEW",""))</f>
        <v/>
      </c>
      <c r="BA1502" s="2" t="str">
        <f>IF(""&amp;$F1502&lt;&gt;"4","",IF($AY1502="YES","",IF(ROUND(SUMIFS($AE$2:$AE$4001,$L$2:$L$4001,$L1502,$F$2:$F$4001,"4")-SUMIFS('AR SALES'!$Y$2:$Y$2501,'AR SALES'!$L$2:$L$2501,$L1502,'AR SALES'!$AD$2:$AD$2501,"OFF"),2)=0,"","STALE")))</f>
        <v/>
      </c>
      <c r="BB1502" s="2" t="str">
        <f>IF(OR(""&amp;$F1502="2",""&amp;$F1502="4",""&amp;$F1502="G",""&amp;$F1502="H"),IF($AY1502="YES","",IF($AB1502&lt;&gt;0,"",IF(COUNTIFS('AR SALES'!$L$2:$L$2501,$L1502,'AR SALES'!$AD$2:$AD$2501,IF(""&amp;$F1502="4","OFF","ON"),'AR SALES'!$AF$2:$AF$2501,"Y")&gt;0,"","NO EXEMPTION"))),"")</f>
        <v/>
      </c>
    </row>
    <row r="1503" spans="46:54" x14ac:dyDescent="0.25">
      <c r="AT1503" s="2" t="str">
        <f>IF($L1503="","",IFERROR(INDEX('AR SALES'!$H$2:$H$2501,MATCH(""&amp;$L1503,'AR SALES'!$AE$2:$AE$2501,0)),""))</f>
        <v/>
      </c>
      <c r="AU1503" s="2" t="str">
        <f t="shared" si="92"/>
        <v/>
      </c>
      <c r="AV1503" s="2" t="str">
        <f t="shared" si="93"/>
        <v/>
      </c>
      <c r="AW1503" s="2" t="str">
        <f t="shared" si="94"/>
        <v/>
      </c>
      <c r="AX1503" s="2" t="str">
        <f t="shared" si="95"/>
        <v/>
      </c>
      <c r="AY1503" s="2" t="str">
        <f>IF($AV1503="","",IF(AND($Z1503=0,COUNTIF('AR SALES'!$L$2:$L$2501,$L1503)=0),"YES",""))</f>
        <v/>
      </c>
      <c r="AZ1503" s="2" t="str">
        <f>IF($AV1503="","",IF(COUNTIF(LISTS!$C$2:$C$250,$AU1503)=0,"NEW",""))</f>
        <v/>
      </c>
      <c r="BA1503" s="2" t="str">
        <f>IF(""&amp;$F1503&lt;&gt;"4","",IF($AY1503="YES","",IF(ROUND(SUMIFS($AE$2:$AE$4001,$L$2:$L$4001,$L1503,$F$2:$F$4001,"4")-SUMIFS('AR SALES'!$Y$2:$Y$2501,'AR SALES'!$L$2:$L$2501,$L1503,'AR SALES'!$AD$2:$AD$2501,"OFF"),2)=0,"","STALE")))</f>
        <v/>
      </c>
      <c r="BB1503" s="2" t="str">
        <f>IF(OR(""&amp;$F1503="2",""&amp;$F1503="4",""&amp;$F1503="G",""&amp;$F1503="H"),IF($AY1503="YES","",IF($AB1503&lt;&gt;0,"",IF(COUNTIFS('AR SALES'!$L$2:$L$2501,$L1503,'AR SALES'!$AD$2:$AD$2501,IF(""&amp;$F1503="4","OFF","ON"),'AR SALES'!$AF$2:$AF$2501,"Y")&gt;0,"","NO EXEMPTION"))),"")</f>
        <v/>
      </c>
    </row>
    <row r="1504" spans="46:54" x14ac:dyDescent="0.25">
      <c r="AT1504" s="2" t="str">
        <f>IF($L1504="","",IFERROR(INDEX('AR SALES'!$H$2:$H$2501,MATCH(""&amp;$L1504,'AR SALES'!$AE$2:$AE$2501,0)),""))</f>
        <v/>
      </c>
      <c r="AU1504" s="2" t="str">
        <f t="shared" si="92"/>
        <v/>
      </c>
      <c r="AV1504" s="2" t="str">
        <f t="shared" si="93"/>
        <v/>
      </c>
      <c r="AW1504" s="2" t="str">
        <f t="shared" si="94"/>
        <v/>
      </c>
      <c r="AX1504" s="2" t="str">
        <f t="shared" si="95"/>
        <v/>
      </c>
      <c r="AY1504" s="2" t="str">
        <f>IF($AV1504="","",IF(AND($Z1504=0,COUNTIF('AR SALES'!$L$2:$L$2501,$L1504)=0),"YES",""))</f>
        <v/>
      </c>
      <c r="AZ1504" s="2" t="str">
        <f>IF($AV1504="","",IF(COUNTIF(LISTS!$C$2:$C$250,$AU1504)=0,"NEW",""))</f>
        <v/>
      </c>
      <c r="BA1504" s="2" t="str">
        <f>IF(""&amp;$F1504&lt;&gt;"4","",IF($AY1504="YES","",IF(ROUND(SUMIFS($AE$2:$AE$4001,$L$2:$L$4001,$L1504,$F$2:$F$4001,"4")-SUMIFS('AR SALES'!$Y$2:$Y$2501,'AR SALES'!$L$2:$L$2501,$L1504,'AR SALES'!$AD$2:$AD$2501,"OFF"),2)=0,"","STALE")))</f>
        <v/>
      </c>
      <c r="BB1504" s="2" t="str">
        <f>IF(OR(""&amp;$F1504="2",""&amp;$F1504="4",""&amp;$F1504="G",""&amp;$F1504="H"),IF($AY1504="YES","",IF($AB1504&lt;&gt;0,"",IF(COUNTIFS('AR SALES'!$L$2:$L$2501,$L1504,'AR SALES'!$AD$2:$AD$2501,IF(""&amp;$F1504="4","OFF","ON"),'AR SALES'!$AF$2:$AF$2501,"Y")&gt;0,"","NO EXEMPTION"))),"")</f>
        <v/>
      </c>
    </row>
    <row r="1505" spans="46:54" x14ac:dyDescent="0.25">
      <c r="AT1505" s="2" t="str">
        <f>IF($L1505="","",IFERROR(INDEX('AR SALES'!$H$2:$H$2501,MATCH(""&amp;$L1505,'AR SALES'!$AE$2:$AE$2501,0)),""))</f>
        <v/>
      </c>
      <c r="AU1505" s="2" t="str">
        <f t="shared" si="92"/>
        <v/>
      </c>
      <c r="AV1505" s="2" t="str">
        <f t="shared" si="93"/>
        <v/>
      </c>
      <c r="AW1505" s="2" t="str">
        <f t="shared" si="94"/>
        <v/>
      </c>
      <c r="AX1505" s="2" t="str">
        <f t="shared" si="95"/>
        <v/>
      </c>
      <c r="AY1505" s="2" t="str">
        <f>IF($AV1505="","",IF(AND($Z1505=0,COUNTIF('AR SALES'!$L$2:$L$2501,$L1505)=0),"YES",""))</f>
        <v/>
      </c>
      <c r="AZ1505" s="2" t="str">
        <f>IF($AV1505="","",IF(COUNTIF(LISTS!$C$2:$C$250,$AU1505)=0,"NEW",""))</f>
        <v/>
      </c>
      <c r="BA1505" s="2" t="str">
        <f>IF(""&amp;$F1505&lt;&gt;"4","",IF($AY1505="YES","",IF(ROUND(SUMIFS($AE$2:$AE$4001,$L$2:$L$4001,$L1505,$F$2:$F$4001,"4")-SUMIFS('AR SALES'!$Y$2:$Y$2501,'AR SALES'!$L$2:$L$2501,$L1505,'AR SALES'!$AD$2:$AD$2501,"OFF"),2)=0,"","STALE")))</f>
        <v/>
      </c>
      <c r="BB1505" s="2" t="str">
        <f>IF(OR(""&amp;$F1505="2",""&amp;$F1505="4",""&amp;$F1505="G",""&amp;$F1505="H"),IF($AY1505="YES","",IF($AB1505&lt;&gt;0,"",IF(COUNTIFS('AR SALES'!$L$2:$L$2501,$L1505,'AR SALES'!$AD$2:$AD$2501,IF(""&amp;$F1505="4","OFF","ON"),'AR SALES'!$AF$2:$AF$2501,"Y")&gt;0,"","NO EXEMPTION"))),"")</f>
        <v/>
      </c>
    </row>
    <row r="1506" spans="46:54" x14ac:dyDescent="0.25">
      <c r="AT1506" s="2" t="str">
        <f>IF($L1506="","",IFERROR(INDEX('AR SALES'!$H$2:$H$2501,MATCH(""&amp;$L1506,'AR SALES'!$AE$2:$AE$2501,0)),""))</f>
        <v/>
      </c>
      <c r="AU1506" s="2" t="str">
        <f t="shared" si="92"/>
        <v/>
      </c>
      <c r="AV1506" s="2" t="str">
        <f t="shared" si="93"/>
        <v/>
      </c>
      <c r="AW1506" s="2" t="str">
        <f t="shared" si="94"/>
        <v/>
      </c>
      <c r="AX1506" s="2" t="str">
        <f t="shared" si="95"/>
        <v/>
      </c>
      <c r="AY1506" s="2" t="str">
        <f>IF($AV1506="","",IF(AND($Z1506=0,COUNTIF('AR SALES'!$L$2:$L$2501,$L1506)=0),"YES",""))</f>
        <v/>
      </c>
      <c r="AZ1506" s="2" t="str">
        <f>IF($AV1506="","",IF(COUNTIF(LISTS!$C$2:$C$250,$AU1506)=0,"NEW",""))</f>
        <v/>
      </c>
      <c r="BA1506" s="2" t="str">
        <f>IF(""&amp;$F1506&lt;&gt;"4","",IF($AY1506="YES","",IF(ROUND(SUMIFS($AE$2:$AE$4001,$L$2:$L$4001,$L1506,$F$2:$F$4001,"4")-SUMIFS('AR SALES'!$Y$2:$Y$2501,'AR SALES'!$L$2:$L$2501,$L1506,'AR SALES'!$AD$2:$AD$2501,"OFF"),2)=0,"","STALE")))</f>
        <v/>
      </c>
      <c r="BB1506" s="2" t="str">
        <f>IF(OR(""&amp;$F1506="2",""&amp;$F1506="4",""&amp;$F1506="G",""&amp;$F1506="H"),IF($AY1506="YES","",IF($AB1506&lt;&gt;0,"",IF(COUNTIFS('AR SALES'!$L$2:$L$2501,$L1506,'AR SALES'!$AD$2:$AD$2501,IF(""&amp;$F1506="4","OFF","ON"),'AR SALES'!$AF$2:$AF$2501,"Y")&gt;0,"","NO EXEMPTION"))),"")</f>
        <v/>
      </c>
    </row>
    <row r="1507" spans="46:54" x14ac:dyDescent="0.25">
      <c r="AT1507" s="2" t="str">
        <f>IF($L1507="","",IFERROR(INDEX('AR SALES'!$H$2:$H$2501,MATCH(""&amp;$L1507,'AR SALES'!$AE$2:$AE$2501,0)),""))</f>
        <v/>
      </c>
      <c r="AU1507" s="2" t="str">
        <f t="shared" si="92"/>
        <v/>
      </c>
      <c r="AV1507" s="2" t="str">
        <f t="shared" si="93"/>
        <v/>
      </c>
      <c r="AW1507" s="2" t="str">
        <f t="shared" si="94"/>
        <v/>
      </c>
      <c r="AX1507" s="2" t="str">
        <f t="shared" si="95"/>
        <v/>
      </c>
      <c r="AY1507" s="2" t="str">
        <f>IF($AV1507="","",IF(AND($Z1507=0,COUNTIF('AR SALES'!$L$2:$L$2501,$L1507)=0),"YES",""))</f>
        <v/>
      </c>
      <c r="AZ1507" s="2" t="str">
        <f>IF($AV1507="","",IF(COUNTIF(LISTS!$C$2:$C$250,$AU1507)=0,"NEW",""))</f>
        <v/>
      </c>
      <c r="BA1507" s="2" t="str">
        <f>IF(""&amp;$F1507&lt;&gt;"4","",IF($AY1507="YES","",IF(ROUND(SUMIFS($AE$2:$AE$4001,$L$2:$L$4001,$L1507,$F$2:$F$4001,"4")-SUMIFS('AR SALES'!$Y$2:$Y$2501,'AR SALES'!$L$2:$L$2501,$L1507,'AR SALES'!$AD$2:$AD$2501,"OFF"),2)=0,"","STALE")))</f>
        <v/>
      </c>
      <c r="BB1507" s="2" t="str">
        <f>IF(OR(""&amp;$F1507="2",""&amp;$F1507="4",""&amp;$F1507="G",""&amp;$F1507="H"),IF($AY1507="YES","",IF($AB1507&lt;&gt;0,"",IF(COUNTIFS('AR SALES'!$L$2:$L$2501,$L1507,'AR SALES'!$AD$2:$AD$2501,IF(""&amp;$F1507="4","OFF","ON"),'AR SALES'!$AF$2:$AF$2501,"Y")&gt;0,"","NO EXEMPTION"))),"")</f>
        <v/>
      </c>
    </row>
    <row r="1508" spans="46:54" x14ac:dyDescent="0.25">
      <c r="AT1508" s="2" t="str">
        <f>IF($L1508="","",IFERROR(INDEX('AR SALES'!$H$2:$H$2501,MATCH(""&amp;$L1508,'AR SALES'!$AE$2:$AE$2501,0)),""))</f>
        <v/>
      </c>
      <c r="AU1508" s="2" t="str">
        <f t="shared" si="92"/>
        <v/>
      </c>
      <c r="AV1508" s="2" t="str">
        <f t="shared" si="93"/>
        <v/>
      </c>
      <c r="AW1508" s="2" t="str">
        <f t="shared" si="94"/>
        <v/>
      </c>
      <c r="AX1508" s="2" t="str">
        <f t="shared" si="95"/>
        <v/>
      </c>
      <c r="AY1508" s="2" t="str">
        <f>IF($AV1508="","",IF(AND($Z1508=0,COUNTIF('AR SALES'!$L$2:$L$2501,$L1508)=0),"YES",""))</f>
        <v/>
      </c>
      <c r="AZ1508" s="2" t="str">
        <f>IF($AV1508="","",IF(COUNTIF(LISTS!$C$2:$C$250,$AU1508)=0,"NEW",""))</f>
        <v/>
      </c>
      <c r="BA1508" s="2" t="str">
        <f>IF(""&amp;$F1508&lt;&gt;"4","",IF($AY1508="YES","",IF(ROUND(SUMIFS($AE$2:$AE$4001,$L$2:$L$4001,$L1508,$F$2:$F$4001,"4")-SUMIFS('AR SALES'!$Y$2:$Y$2501,'AR SALES'!$L$2:$L$2501,$L1508,'AR SALES'!$AD$2:$AD$2501,"OFF"),2)=0,"","STALE")))</f>
        <v/>
      </c>
      <c r="BB1508" s="2" t="str">
        <f>IF(OR(""&amp;$F1508="2",""&amp;$F1508="4",""&amp;$F1508="G",""&amp;$F1508="H"),IF($AY1508="YES","",IF($AB1508&lt;&gt;0,"",IF(COUNTIFS('AR SALES'!$L$2:$L$2501,$L1508,'AR SALES'!$AD$2:$AD$2501,IF(""&amp;$F1508="4","OFF","ON"),'AR SALES'!$AF$2:$AF$2501,"Y")&gt;0,"","NO EXEMPTION"))),"")</f>
        <v/>
      </c>
    </row>
    <row r="1509" spans="46:54" x14ac:dyDescent="0.25">
      <c r="AT1509" s="2" t="str">
        <f>IF($L1509="","",IFERROR(INDEX('AR SALES'!$H$2:$H$2501,MATCH(""&amp;$L1509,'AR SALES'!$AE$2:$AE$2501,0)),""))</f>
        <v/>
      </c>
      <c r="AU1509" s="2" t="str">
        <f t="shared" si="92"/>
        <v/>
      </c>
      <c r="AV1509" s="2" t="str">
        <f t="shared" si="93"/>
        <v/>
      </c>
      <c r="AW1509" s="2" t="str">
        <f t="shared" si="94"/>
        <v/>
      </c>
      <c r="AX1509" s="2" t="str">
        <f t="shared" si="95"/>
        <v/>
      </c>
      <c r="AY1509" s="2" t="str">
        <f>IF($AV1509="","",IF(AND($Z1509=0,COUNTIF('AR SALES'!$L$2:$L$2501,$L1509)=0),"YES",""))</f>
        <v/>
      </c>
      <c r="AZ1509" s="2" t="str">
        <f>IF($AV1509="","",IF(COUNTIF(LISTS!$C$2:$C$250,$AU1509)=0,"NEW",""))</f>
        <v/>
      </c>
      <c r="BA1509" s="2" t="str">
        <f>IF(""&amp;$F1509&lt;&gt;"4","",IF($AY1509="YES","",IF(ROUND(SUMIFS($AE$2:$AE$4001,$L$2:$L$4001,$L1509,$F$2:$F$4001,"4")-SUMIFS('AR SALES'!$Y$2:$Y$2501,'AR SALES'!$L$2:$L$2501,$L1509,'AR SALES'!$AD$2:$AD$2501,"OFF"),2)=0,"","STALE")))</f>
        <v/>
      </c>
      <c r="BB1509" s="2" t="str">
        <f>IF(OR(""&amp;$F1509="2",""&amp;$F1509="4",""&amp;$F1509="G",""&amp;$F1509="H"),IF($AY1509="YES","",IF($AB1509&lt;&gt;0,"",IF(COUNTIFS('AR SALES'!$L$2:$L$2501,$L1509,'AR SALES'!$AD$2:$AD$2501,IF(""&amp;$F1509="4","OFF","ON"),'AR SALES'!$AF$2:$AF$2501,"Y")&gt;0,"","NO EXEMPTION"))),"")</f>
        <v/>
      </c>
    </row>
    <row r="1510" spans="46:54" x14ac:dyDescent="0.25">
      <c r="AT1510" s="2" t="str">
        <f>IF($L1510="","",IFERROR(INDEX('AR SALES'!$H$2:$H$2501,MATCH(""&amp;$L1510,'AR SALES'!$AE$2:$AE$2501,0)),""))</f>
        <v/>
      </c>
      <c r="AU1510" s="2" t="str">
        <f t="shared" si="92"/>
        <v/>
      </c>
      <c r="AV1510" s="2" t="str">
        <f t="shared" si="93"/>
        <v/>
      </c>
      <c r="AW1510" s="2" t="str">
        <f t="shared" si="94"/>
        <v/>
      </c>
      <c r="AX1510" s="2" t="str">
        <f t="shared" si="95"/>
        <v/>
      </c>
      <c r="AY1510" s="2" t="str">
        <f>IF($AV1510="","",IF(AND($Z1510=0,COUNTIF('AR SALES'!$L$2:$L$2501,$L1510)=0),"YES",""))</f>
        <v/>
      </c>
      <c r="AZ1510" s="2" t="str">
        <f>IF($AV1510="","",IF(COUNTIF(LISTS!$C$2:$C$250,$AU1510)=0,"NEW",""))</f>
        <v/>
      </c>
      <c r="BA1510" s="2" t="str">
        <f>IF(""&amp;$F1510&lt;&gt;"4","",IF($AY1510="YES","",IF(ROUND(SUMIFS($AE$2:$AE$4001,$L$2:$L$4001,$L1510,$F$2:$F$4001,"4")-SUMIFS('AR SALES'!$Y$2:$Y$2501,'AR SALES'!$L$2:$L$2501,$L1510,'AR SALES'!$AD$2:$AD$2501,"OFF"),2)=0,"","STALE")))</f>
        <v/>
      </c>
      <c r="BB1510" s="2" t="str">
        <f>IF(OR(""&amp;$F1510="2",""&amp;$F1510="4",""&amp;$F1510="G",""&amp;$F1510="H"),IF($AY1510="YES","",IF($AB1510&lt;&gt;0,"",IF(COUNTIFS('AR SALES'!$L$2:$L$2501,$L1510,'AR SALES'!$AD$2:$AD$2501,IF(""&amp;$F1510="4","OFF","ON"),'AR SALES'!$AF$2:$AF$2501,"Y")&gt;0,"","NO EXEMPTION"))),"")</f>
        <v/>
      </c>
    </row>
    <row r="1511" spans="46:54" x14ac:dyDescent="0.25">
      <c r="AT1511" s="2" t="str">
        <f>IF($L1511="","",IFERROR(INDEX('AR SALES'!$H$2:$H$2501,MATCH(""&amp;$L1511,'AR SALES'!$AE$2:$AE$2501,0)),""))</f>
        <v/>
      </c>
      <c r="AU1511" s="2" t="str">
        <f t="shared" si="92"/>
        <v/>
      </c>
      <c r="AV1511" s="2" t="str">
        <f t="shared" si="93"/>
        <v/>
      </c>
      <c r="AW1511" s="2" t="str">
        <f t="shared" si="94"/>
        <v/>
      </c>
      <c r="AX1511" s="2" t="str">
        <f t="shared" si="95"/>
        <v/>
      </c>
      <c r="AY1511" s="2" t="str">
        <f>IF($AV1511="","",IF(AND($Z1511=0,COUNTIF('AR SALES'!$L$2:$L$2501,$L1511)=0),"YES",""))</f>
        <v/>
      </c>
      <c r="AZ1511" s="2" t="str">
        <f>IF($AV1511="","",IF(COUNTIF(LISTS!$C$2:$C$250,$AU1511)=0,"NEW",""))</f>
        <v/>
      </c>
      <c r="BA1511" s="2" t="str">
        <f>IF(""&amp;$F1511&lt;&gt;"4","",IF($AY1511="YES","",IF(ROUND(SUMIFS($AE$2:$AE$4001,$L$2:$L$4001,$L1511,$F$2:$F$4001,"4")-SUMIFS('AR SALES'!$Y$2:$Y$2501,'AR SALES'!$L$2:$L$2501,$L1511,'AR SALES'!$AD$2:$AD$2501,"OFF"),2)=0,"","STALE")))</f>
        <v/>
      </c>
      <c r="BB1511" s="2" t="str">
        <f>IF(OR(""&amp;$F1511="2",""&amp;$F1511="4",""&amp;$F1511="G",""&amp;$F1511="H"),IF($AY1511="YES","",IF($AB1511&lt;&gt;0,"",IF(COUNTIFS('AR SALES'!$L$2:$L$2501,$L1511,'AR SALES'!$AD$2:$AD$2501,IF(""&amp;$F1511="4","OFF","ON"),'AR SALES'!$AF$2:$AF$2501,"Y")&gt;0,"","NO EXEMPTION"))),"")</f>
        <v/>
      </c>
    </row>
    <row r="1512" spans="46:54" x14ac:dyDescent="0.25">
      <c r="AT1512" s="2" t="str">
        <f>IF($L1512="","",IFERROR(INDEX('AR SALES'!$H$2:$H$2501,MATCH(""&amp;$L1512,'AR SALES'!$AE$2:$AE$2501,0)),""))</f>
        <v/>
      </c>
      <c r="AU1512" s="2" t="str">
        <f t="shared" si="92"/>
        <v/>
      </c>
      <c r="AV1512" s="2" t="str">
        <f t="shared" si="93"/>
        <v/>
      </c>
      <c r="AW1512" s="2" t="str">
        <f t="shared" si="94"/>
        <v/>
      </c>
      <c r="AX1512" s="2" t="str">
        <f t="shared" si="95"/>
        <v/>
      </c>
      <c r="AY1512" s="2" t="str">
        <f>IF($AV1512="","",IF(AND($Z1512=0,COUNTIF('AR SALES'!$L$2:$L$2501,$L1512)=0),"YES",""))</f>
        <v/>
      </c>
      <c r="AZ1512" s="2" t="str">
        <f>IF($AV1512="","",IF(COUNTIF(LISTS!$C$2:$C$250,$AU1512)=0,"NEW",""))</f>
        <v/>
      </c>
      <c r="BA1512" s="2" t="str">
        <f>IF(""&amp;$F1512&lt;&gt;"4","",IF($AY1512="YES","",IF(ROUND(SUMIFS($AE$2:$AE$4001,$L$2:$L$4001,$L1512,$F$2:$F$4001,"4")-SUMIFS('AR SALES'!$Y$2:$Y$2501,'AR SALES'!$L$2:$L$2501,$L1512,'AR SALES'!$AD$2:$AD$2501,"OFF"),2)=0,"","STALE")))</f>
        <v/>
      </c>
      <c r="BB1512" s="2" t="str">
        <f>IF(OR(""&amp;$F1512="2",""&amp;$F1512="4",""&amp;$F1512="G",""&amp;$F1512="H"),IF($AY1512="YES","",IF($AB1512&lt;&gt;0,"",IF(COUNTIFS('AR SALES'!$L$2:$L$2501,$L1512,'AR SALES'!$AD$2:$AD$2501,IF(""&amp;$F1512="4","OFF","ON"),'AR SALES'!$AF$2:$AF$2501,"Y")&gt;0,"","NO EXEMPTION"))),"")</f>
        <v/>
      </c>
    </row>
    <row r="1513" spans="46:54" x14ac:dyDescent="0.25">
      <c r="AT1513" s="2" t="str">
        <f>IF($L1513="","",IFERROR(INDEX('AR SALES'!$H$2:$H$2501,MATCH(""&amp;$L1513,'AR SALES'!$AE$2:$AE$2501,0)),""))</f>
        <v/>
      </c>
      <c r="AU1513" s="2" t="str">
        <f t="shared" si="92"/>
        <v/>
      </c>
      <c r="AV1513" s="2" t="str">
        <f t="shared" si="93"/>
        <v/>
      </c>
      <c r="AW1513" s="2" t="str">
        <f t="shared" si="94"/>
        <v/>
      </c>
      <c r="AX1513" s="2" t="str">
        <f t="shared" si="95"/>
        <v/>
      </c>
      <c r="AY1513" s="2" t="str">
        <f>IF($AV1513="","",IF(AND($Z1513=0,COUNTIF('AR SALES'!$L$2:$L$2501,$L1513)=0),"YES",""))</f>
        <v/>
      </c>
      <c r="AZ1513" s="2" t="str">
        <f>IF($AV1513="","",IF(COUNTIF(LISTS!$C$2:$C$250,$AU1513)=0,"NEW",""))</f>
        <v/>
      </c>
      <c r="BA1513" s="2" t="str">
        <f>IF(""&amp;$F1513&lt;&gt;"4","",IF($AY1513="YES","",IF(ROUND(SUMIFS($AE$2:$AE$4001,$L$2:$L$4001,$L1513,$F$2:$F$4001,"4")-SUMIFS('AR SALES'!$Y$2:$Y$2501,'AR SALES'!$L$2:$L$2501,$L1513,'AR SALES'!$AD$2:$AD$2501,"OFF"),2)=0,"","STALE")))</f>
        <v/>
      </c>
      <c r="BB1513" s="2" t="str">
        <f>IF(OR(""&amp;$F1513="2",""&amp;$F1513="4",""&amp;$F1513="G",""&amp;$F1513="H"),IF($AY1513="YES","",IF($AB1513&lt;&gt;0,"",IF(COUNTIFS('AR SALES'!$L$2:$L$2501,$L1513,'AR SALES'!$AD$2:$AD$2501,IF(""&amp;$F1513="4","OFF","ON"),'AR SALES'!$AF$2:$AF$2501,"Y")&gt;0,"","NO EXEMPTION"))),"")</f>
        <v/>
      </c>
    </row>
    <row r="1514" spans="46:54" x14ac:dyDescent="0.25">
      <c r="AT1514" s="2" t="str">
        <f>IF($L1514="","",IFERROR(INDEX('AR SALES'!$H$2:$H$2501,MATCH(""&amp;$L1514,'AR SALES'!$AE$2:$AE$2501,0)),""))</f>
        <v/>
      </c>
      <c r="AU1514" s="2" t="str">
        <f t="shared" si="92"/>
        <v/>
      </c>
      <c r="AV1514" s="2" t="str">
        <f t="shared" si="93"/>
        <v/>
      </c>
      <c r="AW1514" s="2" t="str">
        <f t="shared" si="94"/>
        <v/>
      </c>
      <c r="AX1514" s="2" t="str">
        <f t="shared" si="95"/>
        <v/>
      </c>
      <c r="AY1514" s="2" t="str">
        <f>IF($AV1514="","",IF(AND($Z1514=0,COUNTIF('AR SALES'!$L$2:$L$2501,$L1514)=0),"YES",""))</f>
        <v/>
      </c>
      <c r="AZ1514" s="2" t="str">
        <f>IF($AV1514="","",IF(COUNTIF(LISTS!$C$2:$C$250,$AU1514)=0,"NEW",""))</f>
        <v/>
      </c>
      <c r="BA1514" s="2" t="str">
        <f>IF(""&amp;$F1514&lt;&gt;"4","",IF($AY1514="YES","",IF(ROUND(SUMIFS($AE$2:$AE$4001,$L$2:$L$4001,$L1514,$F$2:$F$4001,"4")-SUMIFS('AR SALES'!$Y$2:$Y$2501,'AR SALES'!$L$2:$L$2501,$L1514,'AR SALES'!$AD$2:$AD$2501,"OFF"),2)=0,"","STALE")))</f>
        <v/>
      </c>
      <c r="BB1514" s="2" t="str">
        <f>IF(OR(""&amp;$F1514="2",""&amp;$F1514="4",""&amp;$F1514="G",""&amp;$F1514="H"),IF($AY1514="YES","",IF($AB1514&lt;&gt;0,"",IF(COUNTIFS('AR SALES'!$L$2:$L$2501,$L1514,'AR SALES'!$AD$2:$AD$2501,IF(""&amp;$F1514="4","OFF","ON"),'AR SALES'!$AF$2:$AF$2501,"Y")&gt;0,"","NO EXEMPTION"))),"")</f>
        <v/>
      </c>
    </row>
    <row r="1515" spans="46:54" x14ac:dyDescent="0.25">
      <c r="AT1515" s="2" t="str">
        <f>IF($L1515="","",IFERROR(INDEX('AR SALES'!$H$2:$H$2501,MATCH(""&amp;$L1515,'AR SALES'!$AE$2:$AE$2501,0)),""))</f>
        <v/>
      </c>
      <c r="AU1515" s="2" t="str">
        <f t="shared" si="92"/>
        <v/>
      </c>
      <c r="AV1515" s="2" t="str">
        <f t="shared" si="93"/>
        <v/>
      </c>
      <c r="AW1515" s="2" t="str">
        <f t="shared" si="94"/>
        <v/>
      </c>
      <c r="AX1515" s="2" t="str">
        <f t="shared" si="95"/>
        <v/>
      </c>
      <c r="AY1515" s="2" t="str">
        <f>IF($AV1515="","",IF(AND($Z1515=0,COUNTIF('AR SALES'!$L$2:$L$2501,$L1515)=0),"YES",""))</f>
        <v/>
      </c>
      <c r="AZ1515" s="2" t="str">
        <f>IF($AV1515="","",IF(COUNTIF(LISTS!$C$2:$C$250,$AU1515)=0,"NEW",""))</f>
        <v/>
      </c>
      <c r="BA1515" s="2" t="str">
        <f>IF(""&amp;$F1515&lt;&gt;"4","",IF($AY1515="YES","",IF(ROUND(SUMIFS($AE$2:$AE$4001,$L$2:$L$4001,$L1515,$F$2:$F$4001,"4")-SUMIFS('AR SALES'!$Y$2:$Y$2501,'AR SALES'!$L$2:$L$2501,$L1515,'AR SALES'!$AD$2:$AD$2501,"OFF"),2)=0,"","STALE")))</f>
        <v/>
      </c>
      <c r="BB1515" s="2" t="str">
        <f>IF(OR(""&amp;$F1515="2",""&amp;$F1515="4",""&amp;$F1515="G",""&amp;$F1515="H"),IF($AY1515="YES","",IF($AB1515&lt;&gt;0,"",IF(COUNTIFS('AR SALES'!$L$2:$L$2501,$L1515,'AR SALES'!$AD$2:$AD$2501,IF(""&amp;$F1515="4","OFF","ON"),'AR SALES'!$AF$2:$AF$2501,"Y")&gt;0,"","NO EXEMPTION"))),"")</f>
        <v/>
      </c>
    </row>
    <row r="1516" spans="46:54" x14ac:dyDescent="0.25">
      <c r="AT1516" s="2" t="str">
        <f>IF($L1516="","",IFERROR(INDEX('AR SALES'!$H$2:$H$2501,MATCH(""&amp;$L1516,'AR SALES'!$AE$2:$AE$2501,0)),""))</f>
        <v/>
      </c>
      <c r="AU1516" s="2" t="str">
        <f t="shared" si="92"/>
        <v/>
      </c>
      <c r="AV1516" s="2" t="str">
        <f t="shared" si="93"/>
        <v/>
      </c>
      <c r="AW1516" s="2" t="str">
        <f t="shared" si="94"/>
        <v/>
      </c>
      <c r="AX1516" s="2" t="str">
        <f t="shared" si="95"/>
        <v/>
      </c>
      <c r="AY1516" s="2" t="str">
        <f>IF($AV1516="","",IF(AND($Z1516=0,COUNTIF('AR SALES'!$L$2:$L$2501,$L1516)=0),"YES",""))</f>
        <v/>
      </c>
      <c r="AZ1516" s="2" t="str">
        <f>IF($AV1516="","",IF(COUNTIF(LISTS!$C$2:$C$250,$AU1516)=0,"NEW",""))</f>
        <v/>
      </c>
      <c r="BA1516" s="2" t="str">
        <f>IF(""&amp;$F1516&lt;&gt;"4","",IF($AY1516="YES","",IF(ROUND(SUMIFS($AE$2:$AE$4001,$L$2:$L$4001,$L1516,$F$2:$F$4001,"4")-SUMIFS('AR SALES'!$Y$2:$Y$2501,'AR SALES'!$L$2:$L$2501,$L1516,'AR SALES'!$AD$2:$AD$2501,"OFF"),2)=0,"","STALE")))</f>
        <v/>
      </c>
      <c r="BB1516" s="2" t="str">
        <f>IF(OR(""&amp;$F1516="2",""&amp;$F1516="4",""&amp;$F1516="G",""&amp;$F1516="H"),IF($AY1516="YES","",IF($AB1516&lt;&gt;0,"",IF(COUNTIFS('AR SALES'!$L$2:$L$2501,$L1516,'AR SALES'!$AD$2:$AD$2501,IF(""&amp;$F1516="4","OFF","ON"),'AR SALES'!$AF$2:$AF$2501,"Y")&gt;0,"","NO EXEMPTION"))),"")</f>
        <v/>
      </c>
    </row>
    <row r="1517" spans="46:54" x14ac:dyDescent="0.25">
      <c r="AT1517" s="2" t="str">
        <f>IF($L1517="","",IFERROR(INDEX('AR SALES'!$H$2:$H$2501,MATCH(""&amp;$L1517,'AR SALES'!$AE$2:$AE$2501,0)),""))</f>
        <v/>
      </c>
      <c r="AU1517" s="2" t="str">
        <f t="shared" si="92"/>
        <v/>
      </c>
      <c r="AV1517" s="2" t="str">
        <f t="shared" si="93"/>
        <v/>
      </c>
      <c r="AW1517" s="2" t="str">
        <f t="shared" si="94"/>
        <v/>
      </c>
      <c r="AX1517" s="2" t="str">
        <f t="shared" si="95"/>
        <v/>
      </c>
      <c r="AY1517" s="2" t="str">
        <f>IF($AV1517="","",IF(AND($Z1517=0,COUNTIF('AR SALES'!$L$2:$L$2501,$L1517)=0),"YES",""))</f>
        <v/>
      </c>
      <c r="AZ1517" s="2" t="str">
        <f>IF($AV1517="","",IF(COUNTIF(LISTS!$C$2:$C$250,$AU1517)=0,"NEW",""))</f>
        <v/>
      </c>
      <c r="BA1517" s="2" t="str">
        <f>IF(""&amp;$F1517&lt;&gt;"4","",IF($AY1517="YES","",IF(ROUND(SUMIFS($AE$2:$AE$4001,$L$2:$L$4001,$L1517,$F$2:$F$4001,"4")-SUMIFS('AR SALES'!$Y$2:$Y$2501,'AR SALES'!$L$2:$L$2501,$L1517,'AR SALES'!$AD$2:$AD$2501,"OFF"),2)=0,"","STALE")))</f>
        <v/>
      </c>
      <c r="BB1517" s="2" t="str">
        <f>IF(OR(""&amp;$F1517="2",""&amp;$F1517="4",""&amp;$F1517="G",""&amp;$F1517="H"),IF($AY1517="YES","",IF($AB1517&lt;&gt;0,"",IF(COUNTIFS('AR SALES'!$L$2:$L$2501,$L1517,'AR SALES'!$AD$2:$AD$2501,IF(""&amp;$F1517="4","OFF","ON"),'AR SALES'!$AF$2:$AF$2501,"Y")&gt;0,"","NO EXEMPTION"))),"")</f>
        <v/>
      </c>
    </row>
    <row r="1518" spans="46:54" x14ac:dyDescent="0.25">
      <c r="AT1518" s="2" t="str">
        <f>IF($L1518="","",IFERROR(INDEX('AR SALES'!$H$2:$H$2501,MATCH(""&amp;$L1518,'AR SALES'!$AE$2:$AE$2501,0)),""))</f>
        <v/>
      </c>
      <c r="AU1518" s="2" t="str">
        <f t="shared" si="92"/>
        <v/>
      </c>
      <c r="AV1518" s="2" t="str">
        <f t="shared" si="93"/>
        <v/>
      </c>
      <c r="AW1518" s="2" t="str">
        <f t="shared" si="94"/>
        <v/>
      </c>
      <c r="AX1518" s="2" t="str">
        <f t="shared" si="95"/>
        <v/>
      </c>
      <c r="AY1518" s="2" t="str">
        <f>IF($AV1518="","",IF(AND($Z1518=0,COUNTIF('AR SALES'!$L$2:$L$2501,$L1518)=0),"YES",""))</f>
        <v/>
      </c>
      <c r="AZ1518" s="2" t="str">
        <f>IF($AV1518="","",IF(COUNTIF(LISTS!$C$2:$C$250,$AU1518)=0,"NEW",""))</f>
        <v/>
      </c>
      <c r="BA1518" s="2" t="str">
        <f>IF(""&amp;$F1518&lt;&gt;"4","",IF($AY1518="YES","",IF(ROUND(SUMIFS($AE$2:$AE$4001,$L$2:$L$4001,$L1518,$F$2:$F$4001,"4")-SUMIFS('AR SALES'!$Y$2:$Y$2501,'AR SALES'!$L$2:$L$2501,$L1518,'AR SALES'!$AD$2:$AD$2501,"OFF"),2)=0,"","STALE")))</f>
        <v/>
      </c>
      <c r="BB1518" s="2" t="str">
        <f>IF(OR(""&amp;$F1518="2",""&amp;$F1518="4",""&amp;$F1518="G",""&amp;$F1518="H"),IF($AY1518="YES","",IF($AB1518&lt;&gt;0,"",IF(COUNTIFS('AR SALES'!$L$2:$L$2501,$L1518,'AR SALES'!$AD$2:$AD$2501,IF(""&amp;$F1518="4","OFF","ON"),'AR SALES'!$AF$2:$AF$2501,"Y")&gt;0,"","NO EXEMPTION"))),"")</f>
        <v/>
      </c>
    </row>
    <row r="1519" spans="46:54" x14ac:dyDescent="0.25">
      <c r="AT1519" s="2" t="str">
        <f>IF($L1519="","",IFERROR(INDEX('AR SALES'!$H$2:$H$2501,MATCH(""&amp;$L1519,'AR SALES'!$AE$2:$AE$2501,0)),""))</f>
        <v/>
      </c>
      <c r="AU1519" s="2" t="str">
        <f t="shared" si="92"/>
        <v/>
      </c>
      <c r="AV1519" s="2" t="str">
        <f t="shared" si="93"/>
        <v/>
      </c>
      <c r="AW1519" s="2" t="str">
        <f t="shared" si="94"/>
        <v/>
      </c>
      <c r="AX1519" s="2" t="str">
        <f t="shared" si="95"/>
        <v/>
      </c>
      <c r="AY1519" s="2" t="str">
        <f>IF($AV1519="","",IF(AND($Z1519=0,COUNTIF('AR SALES'!$L$2:$L$2501,$L1519)=0),"YES",""))</f>
        <v/>
      </c>
      <c r="AZ1519" s="2" t="str">
        <f>IF($AV1519="","",IF(COUNTIF(LISTS!$C$2:$C$250,$AU1519)=0,"NEW",""))</f>
        <v/>
      </c>
      <c r="BA1519" s="2" t="str">
        <f>IF(""&amp;$F1519&lt;&gt;"4","",IF($AY1519="YES","",IF(ROUND(SUMIFS($AE$2:$AE$4001,$L$2:$L$4001,$L1519,$F$2:$F$4001,"4")-SUMIFS('AR SALES'!$Y$2:$Y$2501,'AR SALES'!$L$2:$L$2501,$L1519,'AR SALES'!$AD$2:$AD$2501,"OFF"),2)=0,"","STALE")))</f>
        <v/>
      </c>
      <c r="BB1519" s="2" t="str">
        <f>IF(OR(""&amp;$F1519="2",""&amp;$F1519="4",""&amp;$F1519="G",""&amp;$F1519="H"),IF($AY1519="YES","",IF($AB1519&lt;&gt;0,"",IF(COUNTIFS('AR SALES'!$L$2:$L$2501,$L1519,'AR SALES'!$AD$2:$AD$2501,IF(""&amp;$F1519="4","OFF","ON"),'AR SALES'!$AF$2:$AF$2501,"Y")&gt;0,"","NO EXEMPTION"))),"")</f>
        <v/>
      </c>
    </row>
    <row r="1520" spans="46:54" x14ac:dyDescent="0.25">
      <c r="AT1520" s="2" t="str">
        <f>IF($L1520="","",IFERROR(INDEX('AR SALES'!$H$2:$H$2501,MATCH(""&amp;$L1520,'AR SALES'!$AE$2:$AE$2501,0)),""))</f>
        <v/>
      </c>
      <c r="AU1520" s="2" t="str">
        <f t="shared" si="92"/>
        <v/>
      </c>
      <c r="AV1520" s="2" t="str">
        <f t="shared" si="93"/>
        <v/>
      </c>
      <c r="AW1520" s="2" t="str">
        <f t="shared" si="94"/>
        <v/>
      </c>
      <c r="AX1520" s="2" t="str">
        <f t="shared" si="95"/>
        <v/>
      </c>
      <c r="AY1520" s="2" t="str">
        <f>IF($AV1520="","",IF(AND($Z1520=0,COUNTIF('AR SALES'!$L$2:$L$2501,$L1520)=0),"YES",""))</f>
        <v/>
      </c>
      <c r="AZ1520" s="2" t="str">
        <f>IF($AV1520="","",IF(COUNTIF(LISTS!$C$2:$C$250,$AU1520)=0,"NEW",""))</f>
        <v/>
      </c>
      <c r="BA1520" s="2" t="str">
        <f>IF(""&amp;$F1520&lt;&gt;"4","",IF($AY1520="YES","",IF(ROUND(SUMIFS($AE$2:$AE$4001,$L$2:$L$4001,$L1520,$F$2:$F$4001,"4")-SUMIFS('AR SALES'!$Y$2:$Y$2501,'AR SALES'!$L$2:$L$2501,$L1520,'AR SALES'!$AD$2:$AD$2501,"OFF"),2)=0,"","STALE")))</f>
        <v/>
      </c>
      <c r="BB1520" s="2" t="str">
        <f>IF(OR(""&amp;$F1520="2",""&amp;$F1520="4",""&amp;$F1520="G",""&amp;$F1520="H"),IF($AY1520="YES","",IF($AB1520&lt;&gt;0,"",IF(COUNTIFS('AR SALES'!$L$2:$L$2501,$L1520,'AR SALES'!$AD$2:$AD$2501,IF(""&amp;$F1520="4","OFF","ON"),'AR SALES'!$AF$2:$AF$2501,"Y")&gt;0,"","NO EXEMPTION"))),"")</f>
        <v/>
      </c>
    </row>
    <row r="1521" spans="46:54" x14ac:dyDescent="0.25">
      <c r="AT1521" s="2" t="str">
        <f>IF($L1521="","",IFERROR(INDEX('AR SALES'!$H$2:$H$2501,MATCH(""&amp;$L1521,'AR SALES'!$AE$2:$AE$2501,0)),""))</f>
        <v/>
      </c>
      <c r="AU1521" s="2" t="str">
        <f t="shared" si="92"/>
        <v/>
      </c>
      <c r="AV1521" s="2" t="str">
        <f t="shared" si="93"/>
        <v/>
      </c>
      <c r="AW1521" s="2" t="str">
        <f t="shared" si="94"/>
        <v/>
      </c>
      <c r="AX1521" s="2" t="str">
        <f t="shared" si="95"/>
        <v/>
      </c>
      <c r="AY1521" s="2" t="str">
        <f>IF($AV1521="","",IF(AND($Z1521=0,COUNTIF('AR SALES'!$L$2:$L$2501,$L1521)=0),"YES",""))</f>
        <v/>
      </c>
      <c r="AZ1521" s="2" t="str">
        <f>IF($AV1521="","",IF(COUNTIF(LISTS!$C$2:$C$250,$AU1521)=0,"NEW",""))</f>
        <v/>
      </c>
      <c r="BA1521" s="2" t="str">
        <f>IF(""&amp;$F1521&lt;&gt;"4","",IF($AY1521="YES","",IF(ROUND(SUMIFS($AE$2:$AE$4001,$L$2:$L$4001,$L1521,$F$2:$F$4001,"4")-SUMIFS('AR SALES'!$Y$2:$Y$2501,'AR SALES'!$L$2:$L$2501,$L1521,'AR SALES'!$AD$2:$AD$2501,"OFF"),2)=0,"","STALE")))</f>
        <v/>
      </c>
      <c r="BB1521" s="2" t="str">
        <f>IF(OR(""&amp;$F1521="2",""&amp;$F1521="4",""&amp;$F1521="G",""&amp;$F1521="H"),IF($AY1521="YES","",IF($AB1521&lt;&gt;0,"",IF(COUNTIFS('AR SALES'!$L$2:$L$2501,$L1521,'AR SALES'!$AD$2:$AD$2501,IF(""&amp;$F1521="4","OFF","ON"),'AR SALES'!$AF$2:$AF$2501,"Y")&gt;0,"","NO EXEMPTION"))),"")</f>
        <v/>
      </c>
    </row>
    <row r="1522" spans="46:54" x14ac:dyDescent="0.25">
      <c r="AT1522" s="2" t="str">
        <f>IF($L1522="","",IFERROR(INDEX('AR SALES'!$H$2:$H$2501,MATCH(""&amp;$L1522,'AR SALES'!$AE$2:$AE$2501,0)),""))</f>
        <v/>
      </c>
      <c r="AU1522" s="2" t="str">
        <f t="shared" si="92"/>
        <v/>
      </c>
      <c r="AV1522" s="2" t="str">
        <f t="shared" si="93"/>
        <v/>
      </c>
      <c r="AW1522" s="2" t="str">
        <f t="shared" si="94"/>
        <v/>
      </c>
      <c r="AX1522" s="2" t="str">
        <f t="shared" si="95"/>
        <v/>
      </c>
      <c r="AY1522" s="2" t="str">
        <f>IF($AV1522="","",IF(AND($Z1522=0,COUNTIF('AR SALES'!$L$2:$L$2501,$L1522)=0),"YES",""))</f>
        <v/>
      </c>
      <c r="AZ1522" s="2" t="str">
        <f>IF($AV1522="","",IF(COUNTIF(LISTS!$C$2:$C$250,$AU1522)=0,"NEW",""))</f>
        <v/>
      </c>
      <c r="BA1522" s="2" t="str">
        <f>IF(""&amp;$F1522&lt;&gt;"4","",IF($AY1522="YES","",IF(ROUND(SUMIFS($AE$2:$AE$4001,$L$2:$L$4001,$L1522,$F$2:$F$4001,"4")-SUMIFS('AR SALES'!$Y$2:$Y$2501,'AR SALES'!$L$2:$L$2501,$L1522,'AR SALES'!$AD$2:$AD$2501,"OFF"),2)=0,"","STALE")))</f>
        <v/>
      </c>
      <c r="BB1522" s="2" t="str">
        <f>IF(OR(""&amp;$F1522="2",""&amp;$F1522="4",""&amp;$F1522="G",""&amp;$F1522="H"),IF($AY1522="YES","",IF($AB1522&lt;&gt;0,"",IF(COUNTIFS('AR SALES'!$L$2:$L$2501,$L1522,'AR SALES'!$AD$2:$AD$2501,IF(""&amp;$F1522="4","OFF","ON"),'AR SALES'!$AF$2:$AF$2501,"Y")&gt;0,"","NO EXEMPTION"))),"")</f>
        <v/>
      </c>
    </row>
    <row r="1523" spans="46:54" x14ac:dyDescent="0.25">
      <c r="AT1523" s="2" t="str">
        <f>IF($L1523="","",IFERROR(INDEX('AR SALES'!$H$2:$H$2501,MATCH(""&amp;$L1523,'AR SALES'!$AE$2:$AE$2501,0)),""))</f>
        <v/>
      </c>
      <c r="AU1523" s="2" t="str">
        <f t="shared" si="92"/>
        <v/>
      </c>
      <c r="AV1523" s="2" t="str">
        <f t="shared" si="93"/>
        <v/>
      </c>
      <c r="AW1523" s="2" t="str">
        <f t="shared" si="94"/>
        <v/>
      </c>
      <c r="AX1523" s="2" t="str">
        <f t="shared" si="95"/>
        <v/>
      </c>
      <c r="AY1523" s="2" t="str">
        <f>IF($AV1523="","",IF(AND($Z1523=0,COUNTIF('AR SALES'!$L$2:$L$2501,$L1523)=0),"YES",""))</f>
        <v/>
      </c>
      <c r="AZ1523" s="2" t="str">
        <f>IF($AV1523="","",IF(COUNTIF(LISTS!$C$2:$C$250,$AU1523)=0,"NEW",""))</f>
        <v/>
      </c>
      <c r="BA1523" s="2" t="str">
        <f>IF(""&amp;$F1523&lt;&gt;"4","",IF($AY1523="YES","",IF(ROUND(SUMIFS($AE$2:$AE$4001,$L$2:$L$4001,$L1523,$F$2:$F$4001,"4")-SUMIFS('AR SALES'!$Y$2:$Y$2501,'AR SALES'!$L$2:$L$2501,$L1523,'AR SALES'!$AD$2:$AD$2501,"OFF"),2)=0,"","STALE")))</f>
        <v/>
      </c>
      <c r="BB1523" s="2" t="str">
        <f>IF(OR(""&amp;$F1523="2",""&amp;$F1523="4",""&amp;$F1523="G",""&amp;$F1523="H"),IF($AY1523="YES","",IF($AB1523&lt;&gt;0,"",IF(COUNTIFS('AR SALES'!$L$2:$L$2501,$L1523,'AR SALES'!$AD$2:$AD$2501,IF(""&amp;$F1523="4","OFF","ON"),'AR SALES'!$AF$2:$AF$2501,"Y")&gt;0,"","NO EXEMPTION"))),"")</f>
        <v/>
      </c>
    </row>
    <row r="1524" spans="46:54" x14ac:dyDescent="0.25">
      <c r="AT1524" s="2" t="str">
        <f>IF($L1524="","",IFERROR(INDEX('AR SALES'!$H$2:$H$2501,MATCH(""&amp;$L1524,'AR SALES'!$AE$2:$AE$2501,0)),""))</f>
        <v/>
      </c>
      <c r="AU1524" s="2" t="str">
        <f t="shared" si="92"/>
        <v/>
      </c>
      <c r="AV1524" s="2" t="str">
        <f t="shared" si="93"/>
        <v/>
      </c>
      <c r="AW1524" s="2" t="str">
        <f t="shared" si="94"/>
        <v/>
      </c>
      <c r="AX1524" s="2" t="str">
        <f t="shared" si="95"/>
        <v/>
      </c>
      <c r="AY1524" s="2" t="str">
        <f>IF($AV1524="","",IF(AND($Z1524=0,COUNTIF('AR SALES'!$L$2:$L$2501,$L1524)=0),"YES",""))</f>
        <v/>
      </c>
      <c r="AZ1524" s="2" t="str">
        <f>IF($AV1524="","",IF(COUNTIF(LISTS!$C$2:$C$250,$AU1524)=0,"NEW",""))</f>
        <v/>
      </c>
      <c r="BA1524" s="2" t="str">
        <f>IF(""&amp;$F1524&lt;&gt;"4","",IF($AY1524="YES","",IF(ROUND(SUMIFS($AE$2:$AE$4001,$L$2:$L$4001,$L1524,$F$2:$F$4001,"4")-SUMIFS('AR SALES'!$Y$2:$Y$2501,'AR SALES'!$L$2:$L$2501,$L1524,'AR SALES'!$AD$2:$AD$2501,"OFF"),2)=0,"","STALE")))</f>
        <v/>
      </c>
      <c r="BB1524" s="2" t="str">
        <f>IF(OR(""&amp;$F1524="2",""&amp;$F1524="4",""&amp;$F1524="G",""&amp;$F1524="H"),IF($AY1524="YES","",IF($AB1524&lt;&gt;0,"",IF(COUNTIFS('AR SALES'!$L$2:$L$2501,$L1524,'AR SALES'!$AD$2:$AD$2501,IF(""&amp;$F1524="4","OFF","ON"),'AR SALES'!$AF$2:$AF$2501,"Y")&gt;0,"","NO EXEMPTION"))),"")</f>
        <v/>
      </c>
    </row>
    <row r="1525" spans="46:54" x14ac:dyDescent="0.25">
      <c r="AT1525" s="2" t="str">
        <f>IF($L1525="","",IFERROR(INDEX('AR SALES'!$H$2:$H$2501,MATCH(""&amp;$L1525,'AR SALES'!$AE$2:$AE$2501,0)),""))</f>
        <v/>
      </c>
      <c r="AU1525" s="2" t="str">
        <f t="shared" si="92"/>
        <v/>
      </c>
      <c r="AV1525" s="2" t="str">
        <f t="shared" si="93"/>
        <v/>
      </c>
      <c r="AW1525" s="2" t="str">
        <f t="shared" si="94"/>
        <v/>
      </c>
      <c r="AX1525" s="2" t="str">
        <f t="shared" si="95"/>
        <v/>
      </c>
      <c r="AY1525" s="2" t="str">
        <f>IF($AV1525="","",IF(AND($Z1525=0,COUNTIF('AR SALES'!$L$2:$L$2501,$L1525)=0),"YES",""))</f>
        <v/>
      </c>
      <c r="AZ1525" s="2" t="str">
        <f>IF($AV1525="","",IF(COUNTIF(LISTS!$C$2:$C$250,$AU1525)=0,"NEW",""))</f>
        <v/>
      </c>
      <c r="BA1525" s="2" t="str">
        <f>IF(""&amp;$F1525&lt;&gt;"4","",IF($AY1525="YES","",IF(ROUND(SUMIFS($AE$2:$AE$4001,$L$2:$L$4001,$L1525,$F$2:$F$4001,"4")-SUMIFS('AR SALES'!$Y$2:$Y$2501,'AR SALES'!$L$2:$L$2501,$L1525,'AR SALES'!$AD$2:$AD$2501,"OFF"),2)=0,"","STALE")))</f>
        <v/>
      </c>
      <c r="BB1525" s="2" t="str">
        <f>IF(OR(""&amp;$F1525="2",""&amp;$F1525="4",""&amp;$F1525="G",""&amp;$F1525="H"),IF($AY1525="YES","",IF($AB1525&lt;&gt;0,"",IF(COUNTIFS('AR SALES'!$L$2:$L$2501,$L1525,'AR SALES'!$AD$2:$AD$2501,IF(""&amp;$F1525="4","OFF","ON"),'AR SALES'!$AF$2:$AF$2501,"Y")&gt;0,"","NO EXEMPTION"))),"")</f>
        <v/>
      </c>
    </row>
    <row r="1526" spans="46:54" x14ac:dyDescent="0.25">
      <c r="AT1526" s="2" t="str">
        <f>IF($L1526="","",IFERROR(INDEX('AR SALES'!$H$2:$H$2501,MATCH(""&amp;$L1526,'AR SALES'!$AE$2:$AE$2501,0)),""))</f>
        <v/>
      </c>
      <c r="AU1526" s="2" t="str">
        <f t="shared" si="92"/>
        <v/>
      </c>
      <c r="AV1526" s="2" t="str">
        <f t="shared" si="93"/>
        <v/>
      </c>
      <c r="AW1526" s="2" t="str">
        <f t="shared" si="94"/>
        <v/>
      </c>
      <c r="AX1526" s="2" t="str">
        <f t="shared" si="95"/>
        <v/>
      </c>
      <c r="AY1526" s="2" t="str">
        <f>IF($AV1526="","",IF(AND($Z1526=0,COUNTIF('AR SALES'!$L$2:$L$2501,$L1526)=0),"YES",""))</f>
        <v/>
      </c>
      <c r="AZ1526" s="2" t="str">
        <f>IF($AV1526="","",IF(COUNTIF(LISTS!$C$2:$C$250,$AU1526)=0,"NEW",""))</f>
        <v/>
      </c>
      <c r="BA1526" s="2" t="str">
        <f>IF(""&amp;$F1526&lt;&gt;"4","",IF($AY1526="YES","",IF(ROUND(SUMIFS($AE$2:$AE$4001,$L$2:$L$4001,$L1526,$F$2:$F$4001,"4")-SUMIFS('AR SALES'!$Y$2:$Y$2501,'AR SALES'!$L$2:$L$2501,$L1526,'AR SALES'!$AD$2:$AD$2501,"OFF"),2)=0,"","STALE")))</f>
        <v/>
      </c>
      <c r="BB1526" s="2" t="str">
        <f>IF(OR(""&amp;$F1526="2",""&amp;$F1526="4",""&amp;$F1526="G",""&amp;$F1526="H"),IF($AY1526="YES","",IF($AB1526&lt;&gt;0,"",IF(COUNTIFS('AR SALES'!$L$2:$L$2501,$L1526,'AR SALES'!$AD$2:$AD$2501,IF(""&amp;$F1526="4","OFF","ON"),'AR SALES'!$AF$2:$AF$2501,"Y")&gt;0,"","NO EXEMPTION"))),"")</f>
        <v/>
      </c>
    </row>
    <row r="1527" spans="46:54" x14ac:dyDescent="0.25">
      <c r="AT1527" s="2" t="str">
        <f>IF($L1527="","",IFERROR(INDEX('AR SALES'!$H$2:$H$2501,MATCH(""&amp;$L1527,'AR SALES'!$AE$2:$AE$2501,0)),""))</f>
        <v/>
      </c>
      <c r="AU1527" s="2" t="str">
        <f t="shared" si="92"/>
        <v/>
      </c>
      <c r="AV1527" s="2" t="str">
        <f t="shared" si="93"/>
        <v/>
      </c>
      <c r="AW1527" s="2" t="str">
        <f t="shared" si="94"/>
        <v/>
      </c>
      <c r="AX1527" s="2" t="str">
        <f t="shared" si="95"/>
        <v/>
      </c>
      <c r="AY1527" s="2" t="str">
        <f>IF($AV1527="","",IF(AND($Z1527=0,COUNTIF('AR SALES'!$L$2:$L$2501,$L1527)=0),"YES",""))</f>
        <v/>
      </c>
      <c r="AZ1527" s="2" t="str">
        <f>IF($AV1527="","",IF(COUNTIF(LISTS!$C$2:$C$250,$AU1527)=0,"NEW",""))</f>
        <v/>
      </c>
      <c r="BA1527" s="2" t="str">
        <f>IF(""&amp;$F1527&lt;&gt;"4","",IF($AY1527="YES","",IF(ROUND(SUMIFS($AE$2:$AE$4001,$L$2:$L$4001,$L1527,$F$2:$F$4001,"4")-SUMIFS('AR SALES'!$Y$2:$Y$2501,'AR SALES'!$L$2:$L$2501,$L1527,'AR SALES'!$AD$2:$AD$2501,"OFF"),2)=0,"","STALE")))</f>
        <v/>
      </c>
      <c r="BB1527" s="2" t="str">
        <f>IF(OR(""&amp;$F1527="2",""&amp;$F1527="4",""&amp;$F1527="G",""&amp;$F1527="H"),IF($AY1527="YES","",IF($AB1527&lt;&gt;0,"",IF(COUNTIFS('AR SALES'!$L$2:$L$2501,$L1527,'AR SALES'!$AD$2:$AD$2501,IF(""&amp;$F1527="4","OFF","ON"),'AR SALES'!$AF$2:$AF$2501,"Y")&gt;0,"","NO EXEMPTION"))),"")</f>
        <v/>
      </c>
    </row>
    <row r="1528" spans="46:54" x14ac:dyDescent="0.25">
      <c r="AT1528" s="2" t="str">
        <f>IF($L1528="","",IFERROR(INDEX('AR SALES'!$H$2:$H$2501,MATCH(""&amp;$L1528,'AR SALES'!$AE$2:$AE$2501,0)),""))</f>
        <v/>
      </c>
      <c r="AU1528" s="2" t="str">
        <f t="shared" si="92"/>
        <v/>
      </c>
      <c r="AV1528" s="2" t="str">
        <f t="shared" si="93"/>
        <v/>
      </c>
      <c r="AW1528" s="2" t="str">
        <f t="shared" si="94"/>
        <v/>
      </c>
      <c r="AX1528" s="2" t="str">
        <f t="shared" si="95"/>
        <v/>
      </c>
      <c r="AY1528" s="2" t="str">
        <f>IF($AV1528="","",IF(AND($Z1528=0,COUNTIF('AR SALES'!$L$2:$L$2501,$L1528)=0),"YES",""))</f>
        <v/>
      </c>
      <c r="AZ1528" s="2" t="str">
        <f>IF($AV1528="","",IF(COUNTIF(LISTS!$C$2:$C$250,$AU1528)=0,"NEW",""))</f>
        <v/>
      </c>
      <c r="BA1528" s="2" t="str">
        <f>IF(""&amp;$F1528&lt;&gt;"4","",IF($AY1528="YES","",IF(ROUND(SUMIFS($AE$2:$AE$4001,$L$2:$L$4001,$L1528,$F$2:$F$4001,"4")-SUMIFS('AR SALES'!$Y$2:$Y$2501,'AR SALES'!$L$2:$L$2501,$L1528,'AR SALES'!$AD$2:$AD$2501,"OFF"),2)=0,"","STALE")))</f>
        <v/>
      </c>
      <c r="BB1528" s="2" t="str">
        <f>IF(OR(""&amp;$F1528="2",""&amp;$F1528="4",""&amp;$F1528="G",""&amp;$F1528="H"),IF($AY1528="YES","",IF($AB1528&lt;&gt;0,"",IF(COUNTIFS('AR SALES'!$L$2:$L$2501,$L1528,'AR SALES'!$AD$2:$AD$2501,IF(""&amp;$F1528="4","OFF","ON"),'AR SALES'!$AF$2:$AF$2501,"Y")&gt;0,"","NO EXEMPTION"))),"")</f>
        <v/>
      </c>
    </row>
    <row r="1529" spans="46:54" x14ac:dyDescent="0.25">
      <c r="AT1529" s="2" t="str">
        <f>IF($L1529="","",IFERROR(INDEX('AR SALES'!$H$2:$H$2501,MATCH(""&amp;$L1529,'AR SALES'!$AE$2:$AE$2501,0)),""))</f>
        <v/>
      </c>
      <c r="AU1529" s="2" t="str">
        <f t="shared" si="92"/>
        <v/>
      </c>
      <c r="AV1529" s="2" t="str">
        <f t="shared" si="93"/>
        <v/>
      </c>
      <c r="AW1529" s="2" t="str">
        <f t="shared" si="94"/>
        <v/>
      </c>
      <c r="AX1529" s="2" t="str">
        <f t="shared" si="95"/>
        <v/>
      </c>
      <c r="AY1529" s="2" t="str">
        <f>IF($AV1529="","",IF(AND($Z1529=0,COUNTIF('AR SALES'!$L$2:$L$2501,$L1529)=0),"YES",""))</f>
        <v/>
      </c>
      <c r="AZ1529" s="2" t="str">
        <f>IF($AV1529="","",IF(COUNTIF(LISTS!$C$2:$C$250,$AU1529)=0,"NEW",""))</f>
        <v/>
      </c>
      <c r="BA1529" s="2" t="str">
        <f>IF(""&amp;$F1529&lt;&gt;"4","",IF($AY1529="YES","",IF(ROUND(SUMIFS($AE$2:$AE$4001,$L$2:$L$4001,$L1529,$F$2:$F$4001,"4")-SUMIFS('AR SALES'!$Y$2:$Y$2501,'AR SALES'!$L$2:$L$2501,$L1529,'AR SALES'!$AD$2:$AD$2501,"OFF"),2)=0,"","STALE")))</f>
        <v/>
      </c>
      <c r="BB1529" s="2" t="str">
        <f>IF(OR(""&amp;$F1529="2",""&amp;$F1529="4",""&amp;$F1529="G",""&amp;$F1529="H"),IF($AY1529="YES","",IF($AB1529&lt;&gt;0,"",IF(COUNTIFS('AR SALES'!$L$2:$L$2501,$L1529,'AR SALES'!$AD$2:$AD$2501,IF(""&amp;$F1529="4","OFF","ON"),'AR SALES'!$AF$2:$AF$2501,"Y")&gt;0,"","NO EXEMPTION"))),"")</f>
        <v/>
      </c>
    </row>
    <row r="1530" spans="46:54" x14ac:dyDescent="0.25">
      <c r="AT1530" s="2" t="str">
        <f>IF($L1530="","",IFERROR(INDEX('AR SALES'!$H$2:$H$2501,MATCH(""&amp;$L1530,'AR SALES'!$AE$2:$AE$2501,0)),""))</f>
        <v/>
      </c>
      <c r="AU1530" s="2" t="str">
        <f t="shared" si="92"/>
        <v/>
      </c>
      <c r="AV1530" s="2" t="str">
        <f t="shared" si="93"/>
        <v/>
      </c>
      <c r="AW1530" s="2" t="str">
        <f t="shared" si="94"/>
        <v/>
      </c>
      <c r="AX1530" s="2" t="str">
        <f t="shared" si="95"/>
        <v/>
      </c>
      <c r="AY1530" s="2" t="str">
        <f>IF($AV1530="","",IF(AND($Z1530=0,COUNTIF('AR SALES'!$L$2:$L$2501,$L1530)=0),"YES",""))</f>
        <v/>
      </c>
      <c r="AZ1530" s="2" t="str">
        <f>IF($AV1530="","",IF(COUNTIF(LISTS!$C$2:$C$250,$AU1530)=0,"NEW",""))</f>
        <v/>
      </c>
      <c r="BA1530" s="2" t="str">
        <f>IF(""&amp;$F1530&lt;&gt;"4","",IF($AY1530="YES","",IF(ROUND(SUMIFS($AE$2:$AE$4001,$L$2:$L$4001,$L1530,$F$2:$F$4001,"4")-SUMIFS('AR SALES'!$Y$2:$Y$2501,'AR SALES'!$L$2:$L$2501,$L1530,'AR SALES'!$AD$2:$AD$2501,"OFF"),2)=0,"","STALE")))</f>
        <v/>
      </c>
      <c r="BB1530" s="2" t="str">
        <f>IF(OR(""&amp;$F1530="2",""&amp;$F1530="4",""&amp;$F1530="G",""&amp;$F1530="H"),IF($AY1530="YES","",IF($AB1530&lt;&gt;0,"",IF(COUNTIFS('AR SALES'!$L$2:$L$2501,$L1530,'AR SALES'!$AD$2:$AD$2501,IF(""&amp;$F1530="4","OFF","ON"),'AR SALES'!$AF$2:$AF$2501,"Y")&gt;0,"","NO EXEMPTION"))),"")</f>
        <v/>
      </c>
    </row>
    <row r="1531" spans="46:54" x14ac:dyDescent="0.25">
      <c r="AT1531" s="2" t="str">
        <f>IF($L1531="","",IFERROR(INDEX('AR SALES'!$H$2:$H$2501,MATCH(""&amp;$L1531,'AR SALES'!$AE$2:$AE$2501,0)),""))</f>
        <v/>
      </c>
      <c r="AU1531" s="2" t="str">
        <f t="shared" si="92"/>
        <v/>
      </c>
      <c r="AV1531" s="2" t="str">
        <f t="shared" si="93"/>
        <v/>
      </c>
      <c r="AW1531" s="2" t="str">
        <f t="shared" si="94"/>
        <v/>
      </c>
      <c r="AX1531" s="2" t="str">
        <f t="shared" si="95"/>
        <v/>
      </c>
      <c r="AY1531" s="2" t="str">
        <f>IF($AV1531="","",IF(AND($Z1531=0,COUNTIF('AR SALES'!$L$2:$L$2501,$L1531)=0),"YES",""))</f>
        <v/>
      </c>
      <c r="AZ1531" s="2" t="str">
        <f>IF($AV1531="","",IF(COUNTIF(LISTS!$C$2:$C$250,$AU1531)=0,"NEW",""))</f>
        <v/>
      </c>
      <c r="BA1531" s="2" t="str">
        <f>IF(""&amp;$F1531&lt;&gt;"4","",IF($AY1531="YES","",IF(ROUND(SUMIFS($AE$2:$AE$4001,$L$2:$L$4001,$L1531,$F$2:$F$4001,"4")-SUMIFS('AR SALES'!$Y$2:$Y$2501,'AR SALES'!$L$2:$L$2501,$L1531,'AR SALES'!$AD$2:$AD$2501,"OFF"),2)=0,"","STALE")))</f>
        <v/>
      </c>
      <c r="BB1531" s="2" t="str">
        <f>IF(OR(""&amp;$F1531="2",""&amp;$F1531="4",""&amp;$F1531="G",""&amp;$F1531="H"),IF($AY1531="YES","",IF($AB1531&lt;&gt;0,"",IF(COUNTIFS('AR SALES'!$L$2:$L$2501,$L1531,'AR SALES'!$AD$2:$AD$2501,IF(""&amp;$F1531="4","OFF","ON"),'AR SALES'!$AF$2:$AF$2501,"Y")&gt;0,"","NO EXEMPTION"))),"")</f>
        <v/>
      </c>
    </row>
    <row r="1532" spans="46:54" x14ac:dyDescent="0.25">
      <c r="AT1532" s="2" t="str">
        <f>IF($L1532="","",IFERROR(INDEX('AR SALES'!$H$2:$H$2501,MATCH(""&amp;$L1532,'AR SALES'!$AE$2:$AE$2501,0)),""))</f>
        <v/>
      </c>
      <c r="AU1532" s="2" t="str">
        <f t="shared" si="92"/>
        <v/>
      </c>
      <c r="AV1532" s="2" t="str">
        <f t="shared" si="93"/>
        <v/>
      </c>
      <c r="AW1532" s="2" t="str">
        <f t="shared" si="94"/>
        <v/>
      </c>
      <c r="AX1532" s="2" t="str">
        <f t="shared" si="95"/>
        <v/>
      </c>
      <c r="AY1532" s="2" t="str">
        <f>IF($AV1532="","",IF(AND($Z1532=0,COUNTIF('AR SALES'!$L$2:$L$2501,$L1532)=0),"YES",""))</f>
        <v/>
      </c>
      <c r="AZ1532" s="2" t="str">
        <f>IF($AV1532="","",IF(COUNTIF(LISTS!$C$2:$C$250,$AU1532)=0,"NEW",""))</f>
        <v/>
      </c>
      <c r="BA1532" s="2" t="str">
        <f>IF(""&amp;$F1532&lt;&gt;"4","",IF($AY1532="YES","",IF(ROUND(SUMIFS($AE$2:$AE$4001,$L$2:$L$4001,$L1532,$F$2:$F$4001,"4")-SUMIFS('AR SALES'!$Y$2:$Y$2501,'AR SALES'!$L$2:$L$2501,$L1532,'AR SALES'!$AD$2:$AD$2501,"OFF"),2)=0,"","STALE")))</f>
        <v/>
      </c>
      <c r="BB1532" s="2" t="str">
        <f>IF(OR(""&amp;$F1532="2",""&amp;$F1532="4",""&amp;$F1532="G",""&amp;$F1532="H"),IF($AY1532="YES","",IF($AB1532&lt;&gt;0,"",IF(COUNTIFS('AR SALES'!$L$2:$L$2501,$L1532,'AR SALES'!$AD$2:$AD$2501,IF(""&amp;$F1532="4","OFF","ON"),'AR SALES'!$AF$2:$AF$2501,"Y")&gt;0,"","NO EXEMPTION"))),"")</f>
        <v/>
      </c>
    </row>
    <row r="1533" spans="46:54" x14ac:dyDescent="0.25">
      <c r="AT1533" s="2" t="str">
        <f>IF($L1533="","",IFERROR(INDEX('AR SALES'!$H$2:$H$2501,MATCH(""&amp;$L1533,'AR SALES'!$AE$2:$AE$2501,0)),""))</f>
        <v/>
      </c>
      <c r="AU1533" s="2" t="str">
        <f t="shared" si="92"/>
        <v/>
      </c>
      <c r="AV1533" s="2" t="str">
        <f t="shared" si="93"/>
        <v/>
      </c>
      <c r="AW1533" s="2" t="str">
        <f t="shared" si="94"/>
        <v/>
      </c>
      <c r="AX1533" s="2" t="str">
        <f t="shared" si="95"/>
        <v/>
      </c>
      <c r="AY1533" s="2" t="str">
        <f>IF($AV1533="","",IF(AND($Z1533=0,COUNTIF('AR SALES'!$L$2:$L$2501,$L1533)=0),"YES",""))</f>
        <v/>
      </c>
      <c r="AZ1533" s="2" t="str">
        <f>IF($AV1533="","",IF(COUNTIF(LISTS!$C$2:$C$250,$AU1533)=0,"NEW",""))</f>
        <v/>
      </c>
      <c r="BA1533" s="2" t="str">
        <f>IF(""&amp;$F1533&lt;&gt;"4","",IF($AY1533="YES","",IF(ROUND(SUMIFS($AE$2:$AE$4001,$L$2:$L$4001,$L1533,$F$2:$F$4001,"4")-SUMIFS('AR SALES'!$Y$2:$Y$2501,'AR SALES'!$L$2:$L$2501,$L1533,'AR SALES'!$AD$2:$AD$2501,"OFF"),2)=0,"","STALE")))</f>
        <v/>
      </c>
      <c r="BB1533" s="2" t="str">
        <f>IF(OR(""&amp;$F1533="2",""&amp;$F1533="4",""&amp;$F1533="G",""&amp;$F1533="H"),IF($AY1533="YES","",IF($AB1533&lt;&gt;0,"",IF(COUNTIFS('AR SALES'!$L$2:$L$2501,$L1533,'AR SALES'!$AD$2:$AD$2501,IF(""&amp;$F1533="4","OFF","ON"),'AR SALES'!$AF$2:$AF$2501,"Y")&gt;0,"","NO EXEMPTION"))),"")</f>
        <v/>
      </c>
    </row>
    <row r="1534" spans="46:54" x14ac:dyDescent="0.25">
      <c r="AT1534" s="2" t="str">
        <f>IF($L1534="","",IFERROR(INDEX('AR SALES'!$H$2:$H$2501,MATCH(""&amp;$L1534,'AR SALES'!$AE$2:$AE$2501,0)),""))</f>
        <v/>
      </c>
      <c r="AU1534" s="2" t="str">
        <f t="shared" si="92"/>
        <v/>
      </c>
      <c r="AV1534" s="2" t="str">
        <f t="shared" si="93"/>
        <v/>
      </c>
      <c r="AW1534" s="2" t="str">
        <f t="shared" si="94"/>
        <v/>
      </c>
      <c r="AX1534" s="2" t="str">
        <f t="shared" si="95"/>
        <v/>
      </c>
      <c r="AY1534" s="2" t="str">
        <f>IF($AV1534="","",IF(AND($Z1534=0,COUNTIF('AR SALES'!$L$2:$L$2501,$L1534)=0),"YES",""))</f>
        <v/>
      </c>
      <c r="AZ1534" s="2" t="str">
        <f>IF($AV1534="","",IF(COUNTIF(LISTS!$C$2:$C$250,$AU1534)=0,"NEW",""))</f>
        <v/>
      </c>
      <c r="BA1534" s="2" t="str">
        <f>IF(""&amp;$F1534&lt;&gt;"4","",IF($AY1534="YES","",IF(ROUND(SUMIFS($AE$2:$AE$4001,$L$2:$L$4001,$L1534,$F$2:$F$4001,"4")-SUMIFS('AR SALES'!$Y$2:$Y$2501,'AR SALES'!$L$2:$L$2501,$L1534,'AR SALES'!$AD$2:$AD$2501,"OFF"),2)=0,"","STALE")))</f>
        <v/>
      </c>
      <c r="BB1534" s="2" t="str">
        <f>IF(OR(""&amp;$F1534="2",""&amp;$F1534="4",""&amp;$F1534="G",""&amp;$F1534="H"),IF($AY1534="YES","",IF($AB1534&lt;&gt;0,"",IF(COUNTIFS('AR SALES'!$L$2:$L$2501,$L1534,'AR SALES'!$AD$2:$AD$2501,IF(""&amp;$F1534="4","OFF","ON"),'AR SALES'!$AF$2:$AF$2501,"Y")&gt;0,"","NO EXEMPTION"))),"")</f>
        <v/>
      </c>
    </row>
    <row r="1535" spans="46:54" x14ac:dyDescent="0.25">
      <c r="AT1535" s="2" t="str">
        <f>IF($L1535="","",IFERROR(INDEX('AR SALES'!$H$2:$H$2501,MATCH(""&amp;$L1535,'AR SALES'!$AE$2:$AE$2501,0)),""))</f>
        <v/>
      </c>
      <c r="AU1535" s="2" t="str">
        <f t="shared" si="92"/>
        <v/>
      </c>
      <c r="AV1535" s="2" t="str">
        <f t="shared" si="93"/>
        <v/>
      </c>
      <c r="AW1535" s="2" t="str">
        <f t="shared" si="94"/>
        <v/>
      </c>
      <c r="AX1535" s="2" t="str">
        <f t="shared" si="95"/>
        <v/>
      </c>
      <c r="AY1535" s="2" t="str">
        <f>IF($AV1535="","",IF(AND($Z1535=0,COUNTIF('AR SALES'!$L$2:$L$2501,$L1535)=0),"YES",""))</f>
        <v/>
      </c>
      <c r="AZ1535" s="2" t="str">
        <f>IF($AV1535="","",IF(COUNTIF(LISTS!$C$2:$C$250,$AU1535)=0,"NEW",""))</f>
        <v/>
      </c>
      <c r="BA1535" s="2" t="str">
        <f>IF(""&amp;$F1535&lt;&gt;"4","",IF($AY1535="YES","",IF(ROUND(SUMIFS($AE$2:$AE$4001,$L$2:$L$4001,$L1535,$F$2:$F$4001,"4")-SUMIFS('AR SALES'!$Y$2:$Y$2501,'AR SALES'!$L$2:$L$2501,$L1535,'AR SALES'!$AD$2:$AD$2501,"OFF"),2)=0,"","STALE")))</f>
        <v/>
      </c>
      <c r="BB1535" s="2" t="str">
        <f>IF(OR(""&amp;$F1535="2",""&amp;$F1535="4",""&amp;$F1535="G",""&amp;$F1535="H"),IF($AY1535="YES","",IF($AB1535&lt;&gt;0,"",IF(COUNTIFS('AR SALES'!$L$2:$L$2501,$L1535,'AR SALES'!$AD$2:$AD$2501,IF(""&amp;$F1535="4","OFF","ON"),'AR SALES'!$AF$2:$AF$2501,"Y")&gt;0,"","NO EXEMPTION"))),"")</f>
        <v/>
      </c>
    </row>
    <row r="1536" spans="46:54" x14ac:dyDescent="0.25">
      <c r="AT1536" s="2" t="str">
        <f>IF($L1536="","",IFERROR(INDEX('AR SALES'!$H$2:$H$2501,MATCH(""&amp;$L1536,'AR SALES'!$AE$2:$AE$2501,0)),""))</f>
        <v/>
      </c>
      <c r="AU1536" s="2" t="str">
        <f t="shared" si="92"/>
        <v/>
      </c>
      <c r="AV1536" s="2" t="str">
        <f t="shared" si="93"/>
        <v/>
      </c>
      <c r="AW1536" s="2" t="str">
        <f t="shared" si="94"/>
        <v/>
      </c>
      <c r="AX1536" s="2" t="str">
        <f t="shared" si="95"/>
        <v/>
      </c>
      <c r="AY1536" s="2" t="str">
        <f>IF($AV1536="","",IF(AND($Z1536=0,COUNTIF('AR SALES'!$L$2:$L$2501,$L1536)=0),"YES",""))</f>
        <v/>
      </c>
      <c r="AZ1536" s="2" t="str">
        <f>IF($AV1536="","",IF(COUNTIF(LISTS!$C$2:$C$250,$AU1536)=0,"NEW",""))</f>
        <v/>
      </c>
      <c r="BA1536" s="2" t="str">
        <f>IF(""&amp;$F1536&lt;&gt;"4","",IF($AY1536="YES","",IF(ROUND(SUMIFS($AE$2:$AE$4001,$L$2:$L$4001,$L1536,$F$2:$F$4001,"4")-SUMIFS('AR SALES'!$Y$2:$Y$2501,'AR SALES'!$L$2:$L$2501,$L1536,'AR SALES'!$AD$2:$AD$2501,"OFF"),2)=0,"","STALE")))</f>
        <v/>
      </c>
      <c r="BB1536" s="2" t="str">
        <f>IF(OR(""&amp;$F1536="2",""&amp;$F1536="4",""&amp;$F1536="G",""&amp;$F1536="H"),IF($AY1536="YES","",IF($AB1536&lt;&gt;0,"",IF(COUNTIFS('AR SALES'!$L$2:$L$2501,$L1536,'AR SALES'!$AD$2:$AD$2501,IF(""&amp;$F1536="4","OFF","ON"),'AR SALES'!$AF$2:$AF$2501,"Y")&gt;0,"","NO EXEMPTION"))),"")</f>
        <v/>
      </c>
    </row>
    <row r="1537" spans="46:54" x14ac:dyDescent="0.25">
      <c r="AT1537" s="2" t="str">
        <f>IF($L1537="","",IFERROR(INDEX('AR SALES'!$H$2:$H$2501,MATCH(""&amp;$L1537,'AR SALES'!$AE$2:$AE$2501,0)),""))</f>
        <v/>
      </c>
      <c r="AU1537" s="2" t="str">
        <f t="shared" si="92"/>
        <v/>
      </c>
      <c r="AV1537" s="2" t="str">
        <f t="shared" si="93"/>
        <v/>
      </c>
      <c r="AW1537" s="2" t="str">
        <f t="shared" si="94"/>
        <v/>
      </c>
      <c r="AX1537" s="2" t="str">
        <f t="shared" si="95"/>
        <v/>
      </c>
      <c r="AY1537" s="2" t="str">
        <f>IF($AV1537="","",IF(AND($Z1537=0,COUNTIF('AR SALES'!$L$2:$L$2501,$L1537)=0),"YES",""))</f>
        <v/>
      </c>
      <c r="AZ1537" s="2" t="str">
        <f>IF($AV1537="","",IF(COUNTIF(LISTS!$C$2:$C$250,$AU1537)=0,"NEW",""))</f>
        <v/>
      </c>
      <c r="BA1537" s="2" t="str">
        <f>IF(""&amp;$F1537&lt;&gt;"4","",IF($AY1537="YES","",IF(ROUND(SUMIFS($AE$2:$AE$4001,$L$2:$L$4001,$L1537,$F$2:$F$4001,"4")-SUMIFS('AR SALES'!$Y$2:$Y$2501,'AR SALES'!$L$2:$L$2501,$L1537,'AR SALES'!$AD$2:$AD$2501,"OFF"),2)=0,"","STALE")))</f>
        <v/>
      </c>
      <c r="BB1537" s="2" t="str">
        <f>IF(OR(""&amp;$F1537="2",""&amp;$F1537="4",""&amp;$F1537="G",""&amp;$F1537="H"),IF($AY1537="YES","",IF($AB1537&lt;&gt;0,"",IF(COUNTIFS('AR SALES'!$L$2:$L$2501,$L1537,'AR SALES'!$AD$2:$AD$2501,IF(""&amp;$F1537="4","OFF","ON"),'AR SALES'!$AF$2:$AF$2501,"Y")&gt;0,"","NO EXEMPTION"))),"")</f>
        <v/>
      </c>
    </row>
    <row r="1538" spans="46:54" x14ac:dyDescent="0.25">
      <c r="AT1538" s="2" t="str">
        <f>IF($L1538="","",IFERROR(INDEX('AR SALES'!$H$2:$H$2501,MATCH(""&amp;$L1538,'AR SALES'!$AE$2:$AE$2501,0)),""))</f>
        <v/>
      </c>
      <c r="AU1538" s="2" t="str">
        <f t="shared" ref="AU1538:AU1601" si="96">IF($L1538="","",IF($A1538&lt;&gt;"GA","",IF($E1538="FULTON",IF(ISNUMBER(SEARCH("COLLEGE PARK",$AT1538)),"FULTON (COLLEGE PARK)",IF(ISNUMBER(SEARCH("ATLANTA CITY",$AT1538)),"FULTON (ATL LIMITS)","FULTON")),IF($E1538="DEKALB",IF(ISNUMBER(SEARCH("ATLANTA CITY",$AT1538)),"DEKALB (ATL LIMITS)","DEKALB"),$E1538))))</f>
        <v/>
      </c>
      <c r="AV1538" s="2" t="str">
        <f t="shared" ref="AV1538:AV1601" si="97">IF($L1538="","",IF(""&amp;$F1538="2","DIESEL",IF(OR(""&amp;$F1538="G",""&amp;$F1538="H"),"GAS","")))</f>
        <v/>
      </c>
      <c r="AW1538" s="2" t="str">
        <f t="shared" ref="AW1538:AW1601" si="98">IF($AV1538="","",$R1538)</f>
        <v/>
      </c>
      <c r="AX1538" s="2" t="str">
        <f t="shared" ref="AX1538:AX1601" si="99">IF($AV1538="","",IF($AB1538=0,$R1538,0))</f>
        <v/>
      </c>
      <c r="AY1538" s="2" t="str">
        <f>IF($AV1538="","",IF(AND($Z1538=0,COUNTIF('AR SALES'!$L$2:$L$2501,$L1538)=0),"YES",""))</f>
        <v/>
      </c>
      <c r="AZ1538" s="2" t="str">
        <f>IF($AV1538="","",IF(COUNTIF(LISTS!$C$2:$C$250,$AU1538)=0,"NEW",""))</f>
        <v/>
      </c>
      <c r="BA1538" s="2" t="str">
        <f>IF(""&amp;$F1538&lt;&gt;"4","",IF($AY1538="YES","",IF(ROUND(SUMIFS($AE$2:$AE$4001,$L$2:$L$4001,$L1538,$F$2:$F$4001,"4")-SUMIFS('AR SALES'!$Y$2:$Y$2501,'AR SALES'!$L$2:$L$2501,$L1538,'AR SALES'!$AD$2:$AD$2501,"OFF"),2)=0,"","STALE")))</f>
        <v/>
      </c>
      <c r="BB1538" s="2" t="str">
        <f>IF(OR(""&amp;$F1538="2",""&amp;$F1538="4",""&amp;$F1538="G",""&amp;$F1538="H"),IF($AY1538="YES","",IF($AB1538&lt;&gt;0,"",IF(COUNTIFS('AR SALES'!$L$2:$L$2501,$L1538,'AR SALES'!$AD$2:$AD$2501,IF(""&amp;$F1538="4","OFF","ON"),'AR SALES'!$AF$2:$AF$2501,"Y")&gt;0,"","NO EXEMPTION"))),"")</f>
        <v/>
      </c>
    </row>
    <row r="1539" spans="46:54" x14ac:dyDescent="0.25">
      <c r="AT1539" s="2" t="str">
        <f>IF($L1539="","",IFERROR(INDEX('AR SALES'!$H$2:$H$2501,MATCH(""&amp;$L1539,'AR SALES'!$AE$2:$AE$2501,0)),""))</f>
        <v/>
      </c>
      <c r="AU1539" s="2" t="str">
        <f t="shared" si="96"/>
        <v/>
      </c>
      <c r="AV1539" s="2" t="str">
        <f t="shared" si="97"/>
        <v/>
      </c>
      <c r="AW1539" s="2" t="str">
        <f t="shared" si="98"/>
        <v/>
      </c>
      <c r="AX1539" s="2" t="str">
        <f t="shared" si="99"/>
        <v/>
      </c>
      <c r="AY1539" s="2" t="str">
        <f>IF($AV1539="","",IF(AND($Z1539=0,COUNTIF('AR SALES'!$L$2:$L$2501,$L1539)=0),"YES",""))</f>
        <v/>
      </c>
      <c r="AZ1539" s="2" t="str">
        <f>IF($AV1539="","",IF(COUNTIF(LISTS!$C$2:$C$250,$AU1539)=0,"NEW",""))</f>
        <v/>
      </c>
      <c r="BA1539" s="2" t="str">
        <f>IF(""&amp;$F1539&lt;&gt;"4","",IF($AY1539="YES","",IF(ROUND(SUMIFS($AE$2:$AE$4001,$L$2:$L$4001,$L1539,$F$2:$F$4001,"4")-SUMIFS('AR SALES'!$Y$2:$Y$2501,'AR SALES'!$L$2:$L$2501,$L1539,'AR SALES'!$AD$2:$AD$2501,"OFF"),2)=0,"","STALE")))</f>
        <v/>
      </c>
      <c r="BB1539" s="2" t="str">
        <f>IF(OR(""&amp;$F1539="2",""&amp;$F1539="4",""&amp;$F1539="G",""&amp;$F1539="H"),IF($AY1539="YES","",IF($AB1539&lt;&gt;0,"",IF(COUNTIFS('AR SALES'!$L$2:$L$2501,$L1539,'AR SALES'!$AD$2:$AD$2501,IF(""&amp;$F1539="4","OFF","ON"),'AR SALES'!$AF$2:$AF$2501,"Y")&gt;0,"","NO EXEMPTION"))),"")</f>
        <v/>
      </c>
    </row>
    <row r="1540" spans="46:54" x14ac:dyDescent="0.25">
      <c r="AT1540" s="2" t="str">
        <f>IF($L1540="","",IFERROR(INDEX('AR SALES'!$H$2:$H$2501,MATCH(""&amp;$L1540,'AR SALES'!$AE$2:$AE$2501,0)),""))</f>
        <v/>
      </c>
      <c r="AU1540" s="2" t="str">
        <f t="shared" si="96"/>
        <v/>
      </c>
      <c r="AV1540" s="2" t="str">
        <f t="shared" si="97"/>
        <v/>
      </c>
      <c r="AW1540" s="2" t="str">
        <f t="shared" si="98"/>
        <v/>
      </c>
      <c r="AX1540" s="2" t="str">
        <f t="shared" si="99"/>
        <v/>
      </c>
      <c r="AY1540" s="2" t="str">
        <f>IF($AV1540="","",IF(AND($Z1540=0,COUNTIF('AR SALES'!$L$2:$L$2501,$L1540)=0),"YES",""))</f>
        <v/>
      </c>
      <c r="AZ1540" s="2" t="str">
        <f>IF($AV1540="","",IF(COUNTIF(LISTS!$C$2:$C$250,$AU1540)=0,"NEW",""))</f>
        <v/>
      </c>
      <c r="BA1540" s="2" t="str">
        <f>IF(""&amp;$F1540&lt;&gt;"4","",IF($AY1540="YES","",IF(ROUND(SUMIFS($AE$2:$AE$4001,$L$2:$L$4001,$L1540,$F$2:$F$4001,"4")-SUMIFS('AR SALES'!$Y$2:$Y$2501,'AR SALES'!$L$2:$L$2501,$L1540,'AR SALES'!$AD$2:$AD$2501,"OFF"),2)=0,"","STALE")))</f>
        <v/>
      </c>
      <c r="BB1540" s="2" t="str">
        <f>IF(OR(""&amp;$F1540="2",""&amp;$F1540="4",""&amp;$F1540="G",""&amp;$F1540="H"),IF($AY1540="YES","",IF($AB1540&lt;&gt;0,"",IF(COUNTIFS('AR SALES'!$L$2:$L$2501,$L1540,'AR SALES'!$AD$2:$AD$2501,IF(""&amp;$F1540="4","OFF","ON"),'AR SALES'!$AF$2:$AF$2501,"Y")&gt;0,"","NO EXEMPTION"))),"")</f>
        <v/>
      </c>
    </row>
    <row r="1541" spans="46:54" x14ac:dyDescent="0.25">
      <c r="AT1541" s="2" t="str">
        <f>IF($L1541="","",IFERROR(INDEX('AR SALES'!$H$2:$H$2501,MATCH(""&amp;$L1541,'AR SALES'!$AE$2:$AE$2501,0)),""))</f>
        <v/>
      </c>
      <c r="AU1541" s="2" t="str">
        <f t="shared" si="96"/>
        <v/>
      </c>
      <c r="AV1541" s="2" t="str">
        <f t="shared" si="97"/>
        <v/>
      </c>
      <c r="AW1541" s="2" t="str">
        <f t="shared" si="98"/>
        <v/>
      </c>
      <c r="AX1541" s="2" t="str">
        <f t="shared" si="99"/>
        <v/>
      </c>
      <c r="AY1541" s="2" t="str">
        <f>IF($AV1541="","",IF(AND($Z1541=0,COUNTIF('AR SALES'!$L$2:$L$2501,$L1541)=0),"YES",""))</f>
        <v/>
      </c>
      <c r="AZ1541" s="2" t="str">
        <f>IF($AV1541="","",IF(COUNTIF(LISTS!$C$2:$C$250,$AU1541)=0,"NEW",""))</f>
        <v/>
      </c>
      <c r="BA1541" s="2" t="str">
        <f>IF(""&amp;$F1541&lt;&gt;"4","",IF($AY1541="YES","",IF(ROUND(SUMIFS($AE$2:$AE$4001,$L$2:$L$4001,$L1541,$F$2:$F$4001,"4")-SUMIFS('AR SALES'!$Y$2:$Y$2501,'AR SALES'!$L$2:$L$2501,$L1541,'AR SALES'!$AD$2:$AD$2501,"OFF"),2)=0,"","STALE")))</f>
        <v/>
      </c>
      <c r="BB1541" s="2" t="str">
        <f>IF(OR(""&amp;$F1541="2",""&amp;$F1541="4",""&amp;$F1541="G",""&amp;$F1541="H"),IF($AY1541="YES","",IF($AB1541&lt;&gt;0,"",IF(COUNTIFS('AR SALES'!$L$2:$L$2501,$L1541,'AR SALES'!$AD$2:$AD$2501,IF(""&amp;$F1541="4","OFF","ON"),'AR SALES'!$AF$2:$AF$2501,"Y")&gt;0,"","NO EXEMPTION"))),"")</f>
        <v/>
      </c>
    </row>
    <row r="1542" spans="46:54" x14ac:dyDescent="0.25">
      <c r="AT1542" s="2" t="str">
        <f>IF($L1542="","",IFERROR(INDEX('AR SALES'!$H$2:$H$2501,MATCH(""&amp;$L1542,'AR SALES'!$AE$2:$AE$2501,0)),""))</f>
        <v/>
      </c>
      <c r="AU1542" s="2" t="str">
        <f t="shared" si="96"/>
        <v/>
      </c>
      <c r="AV1542" s="2" t="str">
        <f t="shared" si="97"/>
        <v/>
      </c>
      <c r="AW1542" s="2" t="str">
        <f t="shared" si="98"/>
        <v/>
      </c>
      <c r="AX1542" s="2" t="str">
        <f t="shared" si="99"/>
        <v/>
      </c>
      <c r="AY1542" s="2" t="str">
        <f>IF($AV1542="","",IF(AND($Z1542=0,COUNTIF('AR SALES'!$L$2:$L$2501,$L1542)=0),"YES",""))</f>
        <v/>
      </c>
      <c r="AZ1542" s="2" t="str">
        <f>IF($AV1542="","",IF(COUNTIF(LISTS!$C$2:$C$250,$AU1542)=0,"NEW",""))</f>
        <v/>
      </c>
      <c r="BA1542" s="2" t="str">
        <f>IF(""&amp;$F1542&lt;&gt;"4","",IF($AY1542="YES","",IF(ROUND(SUMIFS($AE$2:$AE$4001,$L$2:$L$4001,$L1542,$F$2:$F$4001,"4")-SUMIFS('AR SALES'!$Y$2:$Y$2501,'AR SALES'!$L$2:$L$2501,$L1542,'AR SALES'!$AD$2:$AD$2501,"OFF"),2)=0,"","STALE")))</f>
        <v/>
      </c>
      <c r="BB1542" s="2" t="str">
        <f>IF(OR(""&amp;$F1542="2",""&amp;$F1542="4",""&amp;$F1542="G",""&amp;$F1542="H"),IF($AY1542="YES","",IF($AB1542&lt;&gt;0,"",IF(COUNTIFS('AR SALES'!$L$2:$L$2501,$L1542,'AR SALES'!$AD$2:$AD$2501,IF(""&amp;$F1542="4","OFF","ON"),'AR SALES'!$AF$2:$AF$2501,"Y")&gt;0,"","NO EXEMPTION"))),"")</f>
        <v/>
      </c>
    </row>
    <row r="1543" spans="46:54" x14ac:dyDescent="0.25">
      <c r="AT1543" s="2" t="str">
        <f>IF($L1543="","",IFERROR(INDEX('AR SALES'!$H$2:$H$2501,MATCH(""&amp;$L1543,'AR SALES'!$AE$2:$AE$2501,0)),""))</f>
        <v/>
      </c>
      <c r="AU1543" s="2" t="str">
        <f t="shared" si="96"/>
        <v/>
      </c>
      <c r="AV1543" s="2" t="str">
        <f t="shared" si="97"/>
        <v/>
      </c>
      <c r="AW1543" s="2" t="str">
        <f t="shared" si="98"/>
        <v/>
      </c>
      <c r="AX1543" s="2" t="str">
        <f t="shared" si="99"/>
        <v/>
      </c>
      <c r="AY1543" s="2" t="str">
        <f>IF($AV1543="","",IF(AND($Z1543=0,COUNTIF('AR SALES'!$L$2:$L$2501,$L1543)=0),"YES",""))</f>
        <v/>
      </c>
      <c r="AZ1543" s="2" t="str">
        <f>IF($AV1543="","",IF(COUNTIF(LISTS!$C$2:$C$250,$AU1543)=0,"NEW",""))</f>
        <v/>
      </c>
      <c r="BA1543" s="2" t="str">
        <f>IF(""&amp;$F1543&lt;&gt;"4","",IF($AY1543="YES","",IF(ROUND(SUMIFS($AE$2:$AE$4001,$L$2:$L$4001,$L1543,$F$2:$F$4001,"4")-SUMIFS('AR SALES'!$Y$2:$Y$2501,'AR SALES'!$L$2:$L$2501,$L1543,'AR SALES'!$AD$2:$AD$2501,"OFF"),2)=0,"","STALE")))</f>
        <v/>
      </c>
      <c r="BB1543" s="2" t="str">
        <f>IF(OR(""&amp;$F1543="2",""&amp;$F1543="4",""&amp;$F1543="G",""&amp;$F1543="H"),IF($AY1543="YES","",IF($AB1543&lt;&gt;0,"",IF(COUNTIFS('AR SALES'!$L$2:$L$2501,$L1543,'AR SALES'!$AD$2:$AD$2501,IF(""&amp;$F1543="4","OFF","ON"),'AR SALES'!$AF$2:$AF$2501,"Y")&gt;0,"","NO EXEMPTION"))),"")</f>
        <v/>
      </c>
    </row>
    <row r="1544" spans="46:54" x14ac:dyDescent="0.25">
      <c r="AT1544" s="2" t="str">
        <f>IF($L1544="","",IFERROR(INDEX('AR SALES'!$H$2:$H$2501,MATCH(""&amp;$L1544,'AR SALES'!$AE$2:$AE$2501,0)),""))</f>
        <v/>
      </c>
      <c r="AU1544" s="2" t="str">
        <f t="shared" si="96"/>
        <v/>
      </c>
      <c r="AV1544" s="2" t="str">
        <f t="shared" si="97"/>
        <v/>
      </c>
      <c r="AW1544" s="2" t="str">
        <f t="shared" si="98"/>
        <v/>
      </c>
      <c r="AX1544" s="2" t="str">
        <f t="shared" si="99"/>
        <v/>
      </c>
      <c r="AY1544" s="2" t="str">
        <f>IF($AV1544="","",IF(AND($Z1544=0,COUNTIF('AR SALES'!$L$2:$L$2501,$L1544)=0),"YES",""))</f>
        <v/>
      </c>
      <c r="AZ1544" s="2" t="str">
        <f>IF($AV1544="","",IF(COUNTIF(LISTS!$C$2:$C$250,$AU1544)=0,"NEW",""))</f>
        <v/>
      </c>
      <c r="BA1544" s="2" t="str">
        <f>IF(""&amp;$F1544&lt;&gt;"4","",IF($AY1544="YES","",IF(ROUND(SUMIFS($AE$2:$AE$4001,$L$2:$L$4001,$L1544,$F$2:$F$4001,"4")-SUMIFS('AR SALES'!$Y$2:$Y$2501,'AR SALES'!$L$2:$L$2501,$L1544,'AR SALES'!$AD$2:$AD$2501,"OFF"),2)=0,"","STALE")))</f>
        <v/>
      </c>
      <c r="BB1544" s="2" t="str">
        <f>IF(OR(""&amp;$F1544="2",""&amp;$F1544="4",""&amp;$F1544="G",""&amp;$F1544="H"),IF($AY1544="YES","",IF($AB1544&lt;&gt;0,"",IF(COUNTIFS('AR SALES'!$L$2:$L$2501,$L1544,'AR SALES'!$AD$2:$AD$2501,IF(""&amp;$F1544="4","OFF","ON"),'AR SALES'!$AF$2:$AF$2501,"Y")&gt;0,"","NO EXEMPTION"))),"")</f>
        <v/>
      </c>
    </row>
    <row r="1545" spans="46:54" x14ac:dyDescent="0.25">
      <c r="AT1545" s="2" t="str">
        <f>IF($L1545="","",IFERROR(INDEX('AR SALES'!$H$2:$H$2501,MATCH(""&amp;$L1545,'AR SALES'!$AE$2:$AE$2501,0)),""))</f>
        <v/>
      </c>
      <c r="AU1545" s="2" t="str">
        <f t="shared" si="96"/>
        <v/>
      </c>
      <c r="AV1545" s="2" t="str">
        <f t="shared" si="97"/>
        <v/>
      </c>
      <c r="AW1545" s="2" t="str">
        <f t="shared" si="98"/>
        <v/>
      </c>
      <c r="AX1545" s="2" t="str">
        <f t="shared" si="99"/>
        <v/>
      </c>
      <c r="AY1545" s="2" t="str">
        <f>IF($AV1545="","",IF(AND($Z1545=0,COUNTIF('AR SALES'!$L$2:$L$2501,$L1545)=0),"YES",""))</f>
        <v/>
      </c>
      <c r="AZ1545" s="2" t="str">
        <f>IF($AV1545="","",IF(COUNTIF(LISTS!$C$2:$C$250,$AU1545)=0,"NEW",""))</f>
        <v/>
      </c>
      <c r="BA1545" s="2" t="str">
        <f>IF(""&amp;$F1545&lt;&gt;"4","",IF($AY1545="YES","",IF(ROUND(SUMIFS($AE$2:$AE$4001,$L$2:$L$4001,$L1545,$F$2:$F$4001,"4")-SUMIFS('AR SALES'!$Y$2:$Y$2501,'AR SALES'!$L$2:$L$2501,$L1545,'AR SALES'!$AD$2:$AD$2501,"OFF"),2)=0,"","STALE")))</f>
        <v/>
      </c>
      <c r="BB1545" s="2" t="str">
        <f>IF(OR(""&amp;$F1545="2",""&amp;$F1545="4",""&amp;$F1545="G",""&amp;$F1545="H"),IF($AY1545="YES","",IF($AB1545&lt;&gt;0,"",IF(COUNTIFS('AR SALES'!$L$2:$L$2501,$L1545,'AR SALES'!$AD$2:$AD$2501,IF(""&amp;$F1545="4","OFF","ON"),'AR SALES'!$AF$2:$AF$2501,"Y")&gt;0,"","NO EXEMPTION"))),"")</f>
        <v/>
      </c>
    </row>
    <row r="1546" spans="46:54" x14ac:dyDescent="0.25">
      <c r="AT1546" s="2" t="str">
        <f>IF($L1546="","",IFERROR(INDEX('AR SALES'!$H$2:$H$2501,MATCH(""&amp;$L1546,'AR SALES'!$AE$2:$AE$2501,0)),""))</f>
        <v/>
      </c>
      <c r="AU1546" s="2" t="str">
        <f t="shared" si="96"/>
        <v/>
      </c>
      <c r="AV1546" s="2" t="str">
        <f t="shared" si="97"/>
        <v/>
      </c>
      <c r="AW1546" s="2" t="str">
        <f t="shared" si="98"/>
        <v/>
      </c>
      <c r="AX1546" s="2" t="str">
        <f t="shared" si="99"/>
        <v/>
      </c>
      <c r="AY1546" s="2" t="str">
        <f>IF($AV1546="","",IF(AND($Z1546=0,COUNTIF('AR SALES'!$L$2:$L$2501,$L1546)=0),"YES",""))</f>
        <v/>
      </c>
      <c r="AZ1546" s="2" t="str">
        <f>IF($AV1546="","",IF(COUNTIF(LISTS!$C$2:$C$250,$AU1546)=0,"NEW",""))</f>
        <v/>
      </c>
      <c r="BA1546" s="2" t="str">
        <f>IF(""&amp;$F1546&lt;&gt;"4","",IF($AY1546="YES","",IF(ROUND(SUMIFS($AE$2:$AE$4001,$L$2:$L$4001,$L1546,$F$2:$F$4001,"4")-SUMIFS('AR SALES'!$Y$2:$Y$2501,'AR SALES'!$L$2:$L$2501,$L1546,'AR SALES'!$AD$2:$AD$2501,"OFF"),2)=0,"","STALE")))</f>
        <v/>
      </c>
      <c r="BB1546" s="2" t="str">
        <f>IF(OR(""&amp;$F1546="2",""&amp;$F1546="4",""&amp;$F1546="G",""&amp;$F1546="H"),IF($AY1546="YES","",IF($AB1546&lt;&gt;0,"",IF(COUNTIFS('AR SALES'!$L$2:$L$2501,$L1546,'AR SALES'!$AD$2:$AD$2501,IF(""&amp;$F1546="4","OFF","ON"),'AR SALES'!$AF$2:$AF$2501,"Y")&gt;0,"","NO EXEMPTION"))),"")</f>
        <v/>
      </c>
    </row>
    <row r="1547" spans="46:54" x14ac:dyDescent="0.25">
      <c r="AT1547" s="2" t="str">
        <f>IF($L1547="","",IFERROR(INDEX('AR SALES'!$H$2:$H$2501,MATCH(""&amp;$L1547,'AR SALES'!$AE$2:$AE$2501,0)),""))</f>
        <v/>
      </c>
      <c r="AU1547" s="2" t="str">
        <f t="shared" si="96"/>
        <v/>
      </c>
      <c r="AV1547" s="2" t="str">
        <f t="shared" si="97"/>
        <v/>
      </c>
      <c r="AW1547" s="2" t="str">
        <f t="shared" si="98"/>
        <v/>
      </c>
      <c r="AX1547" s="2" t="str">
        <f t="shared" si="99"/>
        <v/>
      </c>
      <c r="AY1547" s="2" t="str">
        <f>IF($AV1547="","",IF(AND($Z1547=0,COUNTIF('AR SALES'!$L$2:$L$2501,$L1547)=0),"YES",""))</f>
        <v/>
      </c>
      <c r="AZ1547" s="2" t="str">
        <f>IF($AV1547="","",IF(COUNTIF(LISTS!$C$2:$C$250,$AU1547)=0,"NEW",""))</f>
        <v/>
      </c>
      <c r="BA1547" s="2" t="str">
        <f>IF(""&amp;$F1547&lt;&gt;"4","",IF($AY1547="YES","",IF(ROUND(SUMIFS($AE$2:$AE$4001,$L$2:$L$4001,$L1547,$F$2:$F$4001,"4")-SUMIFS('AR SALES'!$Y$2:$Y$2501,'AR SALES'!$L$2:$L$2501,$L1547,'AR SALES'!$AD$2:$AD$2501,"OFF"),2)=0,"","STALE")))</f>
        <v/>
      </c>
      <c r="BB1547" s="2" t="str">
        <f>IF(OR(""&amp;$F1547="2",""&amp;$F1547="4",""&amp;$F1547="G",""&amp;$F1547="H"),IF($AY1547="YES","",IF($AB1547&lt;&gt;0,"",IF(COUNTIFS('AR SALES'!$L$2:$L$2501,$L1547,'AR SALES'!$AD$2:$AD$2501,IF(""&amp;$F1547="4","OFF","ON"),'AR SALES'!$AF$2:$AF$2501,"Y")&gt;0,"","NO EXEMPTION"))),"")</f>
        <v/>
      </c>
    </row>
    <row r="1548" spans="46:54" x14ac:dyDescent="0.25">
      <c r="AT1548" s="2" t="str">
        <f>IF($L1548="","",IFERROR(INDEX('AR SALES'!$H$2:$H$2501,MATCH(""&amp;$L1548,'AR SALES'!$AE$2:$AE$2501,0)),""))</f>
        <v/>
      </c>
      <c r="AU1548" s="2" t="str">
        <f t="shared" si="96"/>
        <v/>
      </c>
      <c r="AV1548" s="2" t="str">
        <f t="shared" si="97"/>
        <v/>
      </c>
      <c r="AW1548" s="2" t="str">
        <f t="shared" si="98"/>
        <v/>
      </c>
      <c r="AX1548" s="2" t="str">
        <f t="shared" si="99"/>
        <v/>
      </c>
      <c r="AY1548" s="2" t="str">
        <f>IF($AV1548="","",IF(AND($Z1548=0,COUNTIF('AR SALES'!$L$2:$L$2501,$L1548)=0),"YES",""))</f>
        <v/>
      </c>
      <c r="AZ1548" s="2" t="str">
        <f>IF($AV1548="","",IF(COUNTIF(LISTS!$C$2:$C$250,$AU1548)=0,"NEW",""))</f>
        <v/>
      </c>
      <c r="BA1548" s="2" t="str">
        <f>IF(""&amp;$F1548&lt;&gt;"4","",IF($AY1548="YES","",IF(ROUND(SUMIFS($AE$2:$AE$4001,$L$2:$L$4001,$L1548,$F$2:$F$4001,"4")-SUMIFS('AR SALES'!$Y$2:$Y$2501,'AR SALES'!$L$2:$L$2501,$L1548,'AR SALES'!$AD$2:$AD$2501,"OFF"),2)=0,"","STALE")))</f>
        <v/>
      </c>
      <c r="BB1548" s="2" t="str">
        <f>IF(OR(""&amp;$F1548="2",""&amp;$F1548="4",""&amp;$F1548="G",""&amp;$F1548="H"),IF($AY1548="YES","",IF($AB1548&lt;&gt;0,"",IF(COUNTIFS('AR SALES'!$L$2:$L$2501,$L1548,'AR SALES'!$AD$2:$AD$2501,IF(""&amp;$F1548="4","OFF","ON"),'AR SALES'!$AF$2:$AF$2501,"Y")&gt;0,"","NO EXEMPTION"))),"")</f>
        <v/>
      </c>
    </row>
    <row r="1549" spans="46:54" x14ac:dyDescent="0.25">
      <c r="AT1549" s="2" t="str">
        <f>IF($L1549="","",IFERROR(INDEX('AR SALES'!$H$2:$H$2501,MATCH(""&amp;$L1549,'AR SALES'!$AE$2:$AE$2501,0)),""))</f>
        <v/>
      </c>
      <c r="AU1549" s="2" t="str">
        <f t="shared" si="96"/>
        <v/>
      </c>
      <c r="AV1549" s="2" t="str">
        <f t="shared" si="97"/>
        <v/>
      </c>
      <c r="AW1549" s="2" t="str">
        <f t="shared" si="98"/>
        <v/>
      </c>
      <c r="AX1549" s="2" t="str">
        <f t="shared" si="99"/>
        <v/>
      </c>
      <c r="AY1549" s="2" t="str">
        <f>IF($AV1549="","",IF(AND($Z1549=0,COUNTIF('AR SALES'!$L$2:$L$2501,$L1549)=0),"YES",""))</f>
        <v/>
      </c>
      <c r="AZ1549" s="2" t="str">
        <f>IF($AV1549="","",IF(COUNTIF(LISTS!$C$2:$C$250,$AU1549)=0,"NEW",""))</f>
        <v/>
      </c>
      <c r="BA1549" s="2" t="str">
        <f>IF(""&amp;$F1549&lt;&gt;"4","",IF($AY1549="YES","",IF(ROUND(SUMIFS($AE$2:$AE$4001,$L$2:$L$4001,$L1549,$F$2:$F$4001,"4")-SUMIFS('AR SALES'!$Y$2:$Y$2501,'AR SALES'!$L$2:$L$2501,$L1549,'AR SALES'!$AD$2:$AD$2501,"OFF"),2)=0,"","STALE")))</f>
        <v/>
      </c>
      <c r="BB1549" s="2" t="str">
        <f>IF(OR(""&amp;$F1549="2",""&amp;$F1549="4",""&amp;$F1549="G",""&amp;$F1549="H"),IF($AY1549="YES","",IF($AB1549&lt;&gt;0,"",IF(COUNTIFS('AR SALES'!$L$2:$L$2501,$L1549,'AR SALES'!$AD$2:$AD$2501,IF(""&amp;$F1549="4","OFF","ON"),'AR SALES'!$AF$2:$AF$2501,"Y")&gt;0,"","NO EXEMPTION"))),"")</f>
        <v/>
      </c>
    </row>
    <row r="1550" spans="46:54" x14ac:dyDescent="0.25">
      <c r="AT1550" s="2" t="str">
        <f>IF($L1550="","",IFERROR(INDEX('AR SALES'!$H$2:$H$2501,MATCH(""&amp;$L1550,'AR SALES'!$AE$2:$AE$2501,0)),""))</f>
        <v/>
      </c>
      <c r="AU1550" s="2" t="str">
        <f t="shared" si="96"/>
        <v/>
      </c>
      <c r="AV1550" s="2" t="str">
        <f t="shared" si="97"/>
        <v/>
      </c>
      <c r="AW1550" s="2" t="str">
        <f t="shared" si="98"/>
        <v/>
      </c>
      <c r="AX1550" s="2" t="str">
        <f t="shared" si="99"/>
        <v/>
      </c>
      <c r="AY1550" s="2" t="str">
        <f>IF($AV1550="","",IF(AND($Z1550=0,COUNTIF('AR SALES'!$L$2:$L$2501,$L1550)=0),"YES",""))</f>
        <v/>
      </c>
      <c r="AZ1550" s="2" t="str">
        <f>IF($AV1550="","",IF(COUNTIF(LISTS!$C$2:$C$250,$AU1550)=0,"NEW",""))</f>
        <v/>
      </c>
      <c r="BA1550" s="2" t="str">
        <f>IF(""&amp;$F1550&lt;&gt;"4","",IF($AY1550="YES","",IF(ROUND(SUMIFS($AE$2:$AE$4001,$L$2:$L$4001,$L1550,$F$2:$F$4001,"4")-SUMIFS('AR SALES'!$Y$2:$Y$2501,'AR SALES'!$L$2:$L$2501,$L1550,'AR SALES'!$AD$2:$AD$2501,"OFF"),2)=0,"","STALE")))</f>
        <v/>
      </c>
      <c r="BB1550" s="2" t="str">
        <f>IF(OR(""&amp;$F1550="2",""&amp;$F1550="4",""&amp;$F1550="G",""&amp;$F1550="H"),IF($AY1550="YES","",IF($AB1550&lt;&gt;0,"",IF(COUNTIFS('AR SALES'!$L$2:$L$2501,$L1550,'AR SALES'!$AD$2:$AD$2501,IF(""&amp;$F1550="4","OFF","ON"),'AR SALES'!$AF$2:$AF$2501,"Y")&gt;0,"","NO EXEMPTION"))),"")</f>
        <v/>
      </c>
    </row>
    <row r="1551" spans="46:54" x14ac:dyDescent="0.25">
      <c r="AT1551" s="2" t="str">
        <f>IF($L1551="","",IFERROR(INDEX('AR SALES'!$H$2:$H$2501,MATCH(""&amp;$L1551,'AR SALES'!$AE$2:$AE$2501,0)),""))</f>
        <v/>
      </c>
      <c r="AU1551" s="2" t="str">
        <f t="shared" si="96"/>
        <v/>
      </c>
      <c r="AV1551" s="2" t="str">
        <f t="shared" si="97"/>
        <v/>
      </c>
      <c r="AW1551" s="2" t="str">
        <f t="shared" si="98"/>
        <v/>
      </c>
      <c r="AX1551" s="2" t="str">
        <f t="shared" si="99"/>
        <v/>
      </c>
      <c r="AY1551" s="2" t="str">
        <f>IF($AV1551="","",IF(AND($Z1551=0,COUNTIF('AR SALES'!$L$2:$L$2501,$L1551)=0),"YES",""))</f>
        <v/>
      </c>
      <c r="AZ1551" s="2" t="str">
        <f>IF($AV1551="","",IF(COUNTIF(LISTS!$C$2:$C$250,$AU1551)=0,"NEW",""))</f>
        <v/>
      </c>
      <c r="BA1551" s="2" t="str">
        <f>IF(""&amp;$F1551&lt;&gt;"4","",IF($AY1551="YES","",IF(ROUND(SUMIFS($AE$2:$AE$4001,$L$2:$L$4001,$L1551,$F$2:$F$4001,"4")-SUMIFS('AR SALES'!$Y$2:$Y$2501,'AR SALES'!$L$2:$L$2501,$L1551,'AR SALES'!$AD$2:$AD$2501,"OFF"),2)=0,"","STALE")))</f>
        <v/>
      </c>
      <c r="BB1551" s="2" t="str">
        <f>IF(OR(""&amp;$F1551="2",""&amp;$F1551="4",""&amp;$F1551="G",""&amp;$F1551="H"),IF($AY1551="YES","",IF($AB1551&lt;&gt;0,"",IF(COUNTIFS('AR SALES'!$L$2:$L$2501,$L1551,'AR SALES'!$AD$2:$AD$2501,IF(""&amp;$F1551="4","OFF","ON"),'AR SALES'!$AF$2:$AF$2501,"Y")&gt;0,"","NO EXEMPTION"))),"")</f>
        <v/>
      </c>
    </row>
    <row r="1552" spans="46:54" x14ac:dyDescent="0.25">
      <c r="AT1552" s="2" t="str">
        <f>IF($L1552="","",IFERROR(INDEX('AR SALES'!$H$2:$H$2501,MATCH(""&amp;$L1552,'AR SALES'!$AE$2:$AE$2501,0)),""))</f>
        <v/>
      </c>
      <c r="AU1552" s="2" t="str">
        <f t="shared" si="96"/>
        <v/>
      </c>
      <c r="AV1552" s="2" t="str">
        <f t="shared" si="97"/>
        <v/>
      </c>
      <c r="AW1552" s="2" t="str">
        <f t="shared" si="98"/>
        <v/>
      </c>
      <c r="AX1552" s="2" t="str">
        <f t="shared" si="99"/>
        <v/>
      </c>
      <c r="AY1552" s="2" t="str">
        <f>IF($AV1552="","",IF(AND($Z1552=0,COUNTIF('AR SALES'!$L$2:$L$2501,$L1552)=0),"YES",""))</f>
        <v/>
      </c>
      <c r="AZ1552" s="2" t="str">
        <f>IF($AV1552="","",IF(COUNTIF(LISTS!$C$2:$C$250,$AU1552)=0,"NEW",""))</f>
        <v/>
      </c>
      <c r="BA1552" s="2" t="str">
        <f>IF(""&amp;$F1552&lt;&gt;"4","",IF($AY1552="YES","",IF(ROUND(SUMIFS($AE$2:$AE$4001,$L$2:$L$4001,$L1552,$F$2:$F$4001,"4")-SUMIFS('AR SALES'!$Y$2:$Y$2501,'AR SALES'!$L$2:$L$2501,$L1552,'AR SALES'!$AD$2:$AD$2501,"OFF"),2)=0,"","STALE")))</f>
        <v/>
      </c>
      <c r="BB1552" s="2" t="str">
        <f>IF(OR(""&amp;$F1552="2",""&amp;$F1552="4",""&amp;$F1552="G",""&amp;$F1552="H"),IF($AY1552="YES","",IF($AB1552&lt;&gt;0,"",IF(COUNTIFS('AR SALES'!$L$2:$L$2501,$L1552,'AR SALES'!$AD$2:$AD$2501,IF(""&amp;$F1552="4","OFF","ON"),'AR SALES'!$AF$2:$AF$2501,"Y")&gt;0,"","NO EXEMPTION"))),"")</f>
        <v/>
      </c>
    </row>
    <row r="1553" spans="46:54" x14ac:dyDescent="0.25">
      <c r="AT1553" s="2" t="str">
        <f>IF($L1553="","",IFERROR(INDEX('AR SALES'!$H$2:$H$2501,MATCH(""&amp;$L1553,'AR SALES'!$AE$2:$AE$2501,0)),""))</f>
        <v/>
      </c>
      <c r="AU1553" s="2" t="str">
        <f t="shared" si="96"/>
        <v/>
      </c>
      <c r="AV1553" s="2" t="str">
        <f t="shared" si="97"/>
        <v/>
      </c>
      <c r="AW1553" s="2" t="str">
        <f t="shared" si="98"/>
        <v/>
      </c>
      <c r="AX1553" s="2" t="str">
        <f t="shared" si="99"/>
        <v/>
      </c>
      <c r="AY1553" s="2" t="str">
        <f>IF($AV1553="","",IF(AND($Z1553=0,COUNTIF('AR SALES'!$L$2:$L$2501,$L1553)=0),"YES",""))</f>
        <v/>
      </c>
      <c r="AZ1553" s="2" t="str">
        <f>IF($AV1553="","",IF(COUNTIF(LISTS!$C$2:$C$250,$AU1553)=0,"NEW",""))</f>
        <v/>
      </c>
      <c r="BA1553" s="2" t="str">
        <f>IF(""&amp;$F1553&lt;&gt;"4","",IF($AY1553="YES","",IF(ROUND(SUMIFS($AE$2:$AE$4001,$L$2:$L$4001,$L1553,$F$2:$F$4001,"4")-SUMIFS('AR SALES'!$Y$2:$Y$2501,'AR SALES'!$L$2:$L$2501,$L1553,'AR SALES'!$AD$2:$AD$2501,"OFF"),2)=0,"","STALE")))</f>
        <v/>
      </c>
      <c r="BB1553" s="2" t="str">
        <f>IF(OR(""&amp;$F1553="2",""&amp;$F1553="4",""&amp;$F1553="G",""&amp;$F1553="H"),IF($AY1553="YES","",IF($AB1553&lt;&gt;0,"",IF(COUNTIFS('AR SALES'!$L$2:$L$2501,$L1553,'AR SALES'!$AD$2:$AD$2501,IF(""&amp;$F1553="4","OFF","ON"),'AR SALES'!$AF$2:$AF$2501,"Y")&gt;0,"","NO EXEMPTION"))),"")</f>
        <v/>
      </c>
    </row>
    <row r="1554" spans="46:54" x14ac:dyDescent="0.25">
      <c r="AT1554" s="2" t="str">
        <f>IF($L1554="","",IFERROR(INDEX('AR SALES'!$H$2:$H$2501,MATCH(""&amp;$L1554,'AR SALES'!$AE$2:$AE$2501,0)),""))</f>
        <v/>
      </c>
      <c r="AU1554" s="2" t="str">
        <f t="shared" si="96"/>
        <v/>
      </c>
      <c r="AV1554" s="2" t="str">
        <f t="shared" si="97"/>
        <v/>
      </c>
      <c r="AW1554" s="2" t="str">
        <f t="shared" si="98"/>
        <v/>
      </c>
      <c r="AX1554" s="2" t="str">
        <f t="shared" si="99"/>
        <v/>
      </c>
      <c r="AY1554" s="2" t="str">
        <f>IF($AV1554="","",IF(AND($Z1554=0,COUNTIF('AR SALES'!$L$2:$L$2501,$L1554)=0),"YES",""))</f>
        <v/>
      </c>
      <c r="AZ1554" s="2" t="str">
        <f>IF($AV1554="","",IF(COUNTIF(LISTS!$C$2:$C$250,$AU1554)=0,"NEW",""))</f>
        <v/>
      </c>
      <c r="BA1554" s="2" t="str">
        <f>IF(""&amp;$F1554&lt;&gt;"4","",IF($AY1554="YES","",IF(ROUND(SUMIFS($AE$2:$AE$4001,$L$2:$L$4001,$L1554,$F$2:$F$4001,"4")-SUMIFS('AR SALES'!$Y$2:$Y$2501,'AR SALES'!$L$2:$L$2501,$L1554,'AR SALES'!$AD$2:$AD$2501,"OFF"),2)=0,"","STALE")))</f>
        <v/>
      </c>
      <c r="BB1554" s="2" t="str">
        <f>IF(OR(""&amp;$F1554="2",""&amp;$F1554="4",""&amp;$F1554="G",""&amp;$F1554="H"),IF($AY1554="YES","",IF($AB1554&lt;&gt;0,"",IF(COUNTIFS('AR SALES'!$L$2:$L$2501,$L1554,'AR SALES'!$AD$2:$AD$2501,IF(""&amp;$F1554="4","OFF","ON"),'AR SALES'!$AF$2:$AF$2501,"Y")&gt;0,"","NO EXEMPTION"))),"")</f>
        <v/>
      </c>
    </row>
    <row r="1555" spans="46:54" x14ac:dyDescent="0.25">
      <c r="AT1555" s="2" t="str">
        <f>IF($L1555="","",IFERROR(INDEX('AR SALES'!$H$2:$H$2501,MATCH(""&amp;$L1555,'AR SALES'!$AE$2:$AE$2501,0)),""))</f>
        <v/>
      </c>
      <c r="AU1555" s="2" t="str">
        <f t="shared" si="96"/>
        <v/>
      </c>
      <c r="AV1555" s="2" t="str">
        <f t="shared" si="97"/>
        <v/>
      </c>
      <c r="AW1555" s="2" t="str">
        <f t="shared" si="98"/>
        <v/>
      </c>
      <c r="AX1555" s="2" t="str">
        <f t="shared" si="99"/>
        <v/>
      </c>
      <c r="AY1555" s="2" t="str">
        <f>IF($AV1555="","",IF(AND($Z1555=0,COUNTIF('AR SALES'!$L$2:$L$2501,$L1555)=0),"YES",""))</f>
        <v/>
      </c>
      <c r="AZ1555" s="2" t="str">
        <f>IF($AV1555="","",IF(COUNTIF(LISTS!$C$2:$C$250,$AU1555)=0,"NEW",""))</f>
        <v/>
      </c>
      <c r="BA1555" s="2" t="str">
        <f>IF(""&amp;$F1555&lt;&gt;"4","",IF($AY1555="YES","",IF(ROUND(SUMIFS($AE$2:$AE$4001,$L$2:$L$4001,$L1555,$F$2:$F$4001,"4")-SUMIFS('AR SALES'!$Y$2:$Y$2501,'AR SALES'!$L$2:$L$2501,$L1555,'AR SALES'!$AD$2:$AD$2501,"OFF"),2)=0,"","STALE")))</f>
        <v/>
      </c>
      <c r="BB1555" s="2" t="str">
        <f>IF(OR(""&amp;$F1555="2",""&amp;$F1555="4",""&amp;$F1555="G",""&amp;$F1555="H"),IF($AY1555="YES","",IF($AB1555&lt;&gt;0,"",IF(COUNTIFS('AR SALES'!$L$2:$L$2501,$L1555,'AR SALES'!$AD$2:$AD$2501,IF(""&amp;$F1555="4","OFF","ON"),'AR SALES'!$AF$2:$AF$2501,"Y")&gt;0,"","NO EXEMPTION"))),"")</f>
        <v/>
      </c>
    </row>
    <row r="1556" spans="46:54" x14ac:dyDescent="0.25">
      <c r="AT1556" s="2" t="str">
        <f>IF($L1556="","",IFERROR(INDEX('AR SALES'!$H$2:$H$2501,MATCH(""&amp;$L1556,'AR SALES'!$AE$2:$AE$2501,0)),""))</f>
        <v/>
      </c>
      <c r="AU1556" s="2" t="str">
        <f t="shared" si="96"/>
        <v/>
      </c>
      <c r="AV1556" s="2" t="str">
        <f t="shared" si="97"/>
        <v/>
      </c>
      <c r="AW1556" s="2" t="str">
        <f t="shared" si="98"/>
        <v/>
      </c>
      <c r="AX1556" s="2" t="str">
        <f t="shared" si="99"/>
        <v/>
      </c>
      <c r="AY1556" s="2" t="str">
        <f>IF($AV1556="","",IF(AND($Z1556=0,COUNTIF('AR SALES'!$L$2:$L$2501,$L1556)=0),"YES",""))</f>
        <v/>
      </c>
      <c r="AZ1556" s="2" t="str">
        <f>IF($AV1556="","",IF(COUNTIF(LISTS!$C$2:$C$250,$AU1556)=0,"NEW",""))</f>
        <v/>
      </c>
      <c r="BA1556" s="2" t="str">
        <f>IF(""&amp;$F1556&lt;&gt;"4","",IF($AY1556="YES","",IF(ROUND(SUMIFS($AE$2:$AE$4001,$L$2:$L$4001,$L1556,$F$2:$F$4001,"4")-SUMIFS('AR SALES'!$Y$2:$Y$2501,'AR SALES'!$L$2:$L$2501,$L1556,'AR SALES'!$AD$2:$AD$2501,"OFF"),2)=0,"","STALE")))</f>
        <v/>
      </c>
      <c r="BB1556" s="2" t="str">
        <f>IF(OR(""&amp;$F1556="2",""&amp;$F1556="4",""&amp;$F1556="G",""&amp;$F1556="H"),IF($AY1556="YES","",IF($AB1556&lt;&gt;0,"",IF(COUNTIFS('AR SALES'!$L$2:$L$2501,$L1556,'AR SALES'!$AD$2:$AD$2501,IF(""&amp;$F1556="4","OFF","ON"),'AR SALES'!$AF$2:$AF$2501,"Y")&gt;0,"","NO EXEMPTION"))),"")</f>
        <v/>
      </c>
    </row>
    <row r="1557" spans="46:54" x14ac:dyDescent="0.25">
      <c r="AT1557" s="2" t="str">
        <f>IF($L1557="","",IFERROR(INDEX('AR SALES'!$H$2:$H$2501,MATCH(""&amp;$L1557,'AR SALES'!$AE$2:$AE$2501,0)),""))</f>
        <v/>
      </c>
      <c r="AU1557" s="2" t="str">
        <f t="shared" si="96"/>
        <v/>
      </c>
      <c r="AV1557" s="2" t="str">
        <f t="shared" si="97"/>
        <v/>
      </c>
      <c r="AW1557" s="2" t="str">
        <f t="shared" si="98"/>
        <v/>
      </c>
      <c r="AX1557" s="2" t="str">
        <f t="shared" si="99"/>
        <v/>
      </c>
      <c r="AY1557" s="2" t="str">
        <f>IF($AV1557="","",IF(AND($Z1557=0,COUNTIF('AR SALES'!$L$2:$L$2501,$L1557)=0),"YES",""))</f>
        <v/>
      </c>
      <c r="AZ1557" s="2" t="str">
        <f>IF($AV1557="","",IF(COUNTIF(LISTS!$C$2:$C$250,$AU1557)=0,"NEW",""))</f>
        <v/>
      </c>
      <c r="BA1557" s="2" t="str">
        <f>IF(""&amp;$F1557&lt;&gt;"4","",IF($AY1557="YES","",IF(ROUND(SUMIFS($AE$2:$AE$4001,$L$2:$L$4001,$L1557,$F$2:$F$4001,"4")-SUMIFS('AR SALES'!$Y$2:$Y$2501,'AR SALES'!$L$2:$L$2501,$L1557,'AR SALES'!$AD$2:$AD$2501,"OFF"),2)=0,"","STALE")))</f>
        <v/>
      </c>
      <c r="BB1557" s="2" t="str">
        <f>IF(OR(""&amp;$F1557="2",""&amp;$F1557="4",""&amp;$F1557="G",""&amp;$F1557="H"),IF($AY1557="YES","",IF($AB1557&lt;&gt;0,"",IF(COUNTIFS('AR SALES'!$L$2:$L$2501,$L1557,'AR SALES'!$AD$2:$AD$2501,IF(""&amp;$F1557="4","OFF","ON"),'AR SALES'!$AF$2:$AF$2501,"Y")&gt;0,"","NO EXEMPTION"))),"")</f>
        <v/>
      </c>
    </row>
    <row r="1558" spans="46:54" x14ac:dyDescent="0.25">
      <c r="AT1558" s="2" t="str">
        <f>IF($L1558="","",IFERROR(INDEX('AR SALES'!$H$2:$H$2501,MATCH(""&amp;$L1558,'AR SALES'!$AE$2:$AE$2501,0)),""))</f>
        <v/>
      </c>
      <c r="AU1558" s="2" t="str">
        <f t="shared" si="96"/>
        <v/>
      </c>
      <c r="AV1558" s="2" t="str">
        <f t="shared" si="97"/>
        <v/>
      </c>
      <c r="AW1558" s="2" t="str">
        <f t="shared" si="98"/>
        <v/>
      </c>
      <c r="AX1558" s="2" t="str">
        <f t="shared" si="99"/>
        <v/>
      </c>
      <c r="AY1558" s="2" t="str">
        <f>IF($AV1558="","",IF(AND($Z1558=0,COUNTIF('AR SALES'!$L$2:$L$2501,$L1558)=0),"YES",""))</f>
        <v/>
      </c>
      <c r="AZ1558" s="2" t="str">
        <f>IF($AV1558="","",IF(COUNTIF(LISTS!$C$2:$C$250,$AU1558)=0,"NEW",""))</f>
        <v/>
      </c>
      <c r="BA1558" s="2" t="str">
        <f>IF(""&amp;$F1558&lt;&gt;"4","",IF($AY1558="YES","",IF(ROUND(SUMIFS($AE$2:$AE$4001,$L$2:$L$4001,$L1558,$F$2:$F$4001,"4")-SUMIFS('AR SALES'!$Y$2:$Y$2501,'AR SALES'!$L$2:$L$2501,$L1558,'AR SALES'!$AD$2:$AD$2501,"OFF"),2)=0,"","STALE")))</f>
        <v/>
      </c>
      <c r="BB1558" s="2" t="str">
        <f>IF(OR(""&amp;$F1558="2",""&amp;$F1558="4",""&amp;$F1558="G",""&amp;$F1558="H"),IF($AY1558="YES","",IF($AB1558&lt;&gt;0,"",IF(COUNTIFS('AR SALES'!$L$2:$L$2501,$L1558,'AR SALES'!$AD$2:$AD$2501,IF(""&amp;$F1558="4","OFF","ON"),'AR SALES'!$AF$2:$AF$2501,"Y")&gt;0,"","NO EXEMPTION"))),"")</f>
        <v/>
      </c>
    </row>
    <row r="1559" spans="46:54" x14ac:dyDescent="0.25">
      <c r="AT1559" s="2" t="str">
        <f>IF($L1559="","",IFERROR(INDEX('AR SALES'!$H$2:$H$2501,MATCH(""&amp;$L1559,'AR SALES'!$AE$2:$AE$2501,0)),""))</f>
        <v/>
      </c>
      <c r="AU1559" s="2" t="str">
        <f t="shared" si="96"/>
        <v/>
      </c>
      <c r="AV1559" s="2" t="str">
        <f t="shared" si="97"/>
        <v/>
      </c>
      <c r="AW1559" s="2" t="str">
        <f t="shared" si="98"/>
        <v/>
      </c>
      <c r="AX1559" s="2" t="str">
        <f t="shared" si="99"/>
        <v/>
      </c>
      <c r="AY1559" s="2" t="str">
        <f>IF($AV1559="","",IF(AND($Z1559=0,COUNTIF('AR SALES'!$L$2:$L$2501,$L1559)=0),"YES",""))</f>
        <v/>
      </c>
      <c r="AZ1559" s="2" t="str">
        <f>IF($AV1559="","",IF(COUNTIF(LISTS!$C$2:$C$250,$AU1559)=0,"NEW",""))</f>
        <v/>
      </c>
      <c r="BA1559" s="2" t="str">
        <f>IF(""&amp;$F1559&lt;&gt;"4","",IF($AY1559="YES","",IF(ROUND(SUMIFS($AE$2:$AE$4001,$L$2:$L$4001,$L1559,$F$2:$F$4001,"4")-SUMIFS('AR SALES'!$Y$2:$Y$2501,'AR SALES'!$L$2:$L$2501,$L1559,'AR SALES'!$AD$2:$AD$2501,"OFF"),2)=0,"","STALE")))</f>
        <v/>
      </c>
      <c r="BB1559" s="2" t="str">
        <f>IF(OR(""&amp;$F1559="2",""&amp;$F1559="4",""&amp;$F1559="G",""&amp;$F1559="H"),IF($AY1559="YES","",IF($AB1559&lt;&gt;0,"",IF(COUNTIFS('AR SALES'!$L$2:$L$2501,$L1559,'AR SALES'!$AD$2:$AD$2501,IF(""&amp;$F1559="4","OFF","ON"),'AR SALES'!$AF$2:$AF$2501,"Y")&gt;0,"","NO EXEMPTION"))),"")</f>
        <v/>
      </c>
    </row>
    <row r="1560" spans="46:54" x14ac:dyDescent="0.25">
      <c r="AT1560" s="2" t="str">
        <f>IF($L1560="","",IFERROR(INDEX('AR SALES'!$H$2:$H$2501,MATCH(""&amp;$L1560,'AR SALES'!$AE$2:$AE$2501,0)),""))</f>
        <v/>
      </c>
      <c r="AU1560" s="2" t="str">
        <f t="shared" si="96"/>
        <v/>
      </c>
      <c r="AV1560" s="2" t="str">
        <f t="shared" si="97"/>
        <v/>
      </c>
      <c r="AW1560" s="2" t="str">
        <f t="shared" si="98"/>
        <v/>
      </c>
      <c r="AX1560" s="2" t="str">
        <f t="shared" si="99"/>
        <v/>
      </c>
      <c r="AY1560" s="2" t="str">
        <f>IF($AV1560="","",IF(AND($Z1560=0,COUNTIF('AR SALES'!$L$2:$L$2501,$L1560)=0),"YES",""))</f>
        <v/>
      </c>
      <c r="AZ1560" s="2" t="str">
        <f>IF($AV1560="","",IF(COUNTIF(LISTS!$C$2:$C$250,$AU1560)=0,"NEW",""))</f>
        <v/>
      </c>
      <c r="BA1560" s="2" t="str">
        <f>IF(""&amp;$F1560&lt;&gt;"4","",IF($AY1560="YES","",IF(ROUND(SUMIFS($AE$2:$AE$4001,$L$2:$L$4001,$L1560,$F$2:$F$4001,"4")-SUMIFS('AR SALES'!$Y$2:$Y$2501,'AR SALES'!$L$2:$L$2501,$L1560,'AR SALES'!$AD$2:$AD$2501,"OFF"),2)=0,"","STALE")))</f>
        <v/>
      </c>
      <c r="BB1560" s="2" t="str">
        <f>IF(OR(""&amp;$F1560="2",""&amp;$F1560="4",""&amp;$F1560="G",""&amp;$F1560="H"),IF($AY1560="YES","",IF($AB1560&lt;&gt;0,"",IF(COUNTIFS('AR SALES'!$L$2:$L$2501,$L1560,'AR SALES'!$AD$2:$AD$2501,IF(""&amp;$F1560="4","OFF","ON"),'AR SALES'!$AF$2:$AF$2501,"Y")&gt;0,"","NO EXEMPTION"))),"")</f>
        <v/>
      </c>
    </row>
    <row r="1561" spans="46:54" x14ac:dyDescent="0.25">
      <c r="AT1561" s="2" t="str">
        <f>IF($L1561="","",IFERROR(INDEX('AR SALES'!$H$2:$H$2501,MATCH(""&amp;$L1561,'AR SALES'!$AE$2:$AE$2501,0)),""))</f>
        <v/>
      </c>
      <c r="AU1561" s="2" t="str">
        <f t="shared" si="96"/>
        <v/>
      </c>
      <c r="AV1561" s="2" t="str">
        <f t="shared" si="97"/>
        <v/>
      </c>
      <c r="AW1561" s="2" t="str">
        <f t="shared" si="98"/>
        <v/>
      </c>
      <c r="AX1561" s="2" t="str">
        <f t="shared" si="99"/>
        <v/>
      </c>
      <c r="AY1561" s="2" t="str">
        <f>IF($AV1561="","",IF(AND($Z1561=0,COUNTIF('AR SALES'!$L$2:$L$2501,$L1561)=0),"YES",""))</f>
        <v/>
      </c>
      <c r="AZ1561" s="2" t="str">
        <f>IF($AV1561="","",IF(COUNTIF(LISTS!$C$2:$C$250,$AU1561)=0,"NEW",""))</f>
        <v/>
      </c>
      <c r="BA1561" s="2" t="str">
        <f>IF(""&amp;$F1561&lt;&gt;"4","",IF($AY1561="YES","",IF(ROUND(SUMIFS($AE$2:$AE$4001,$L$2:$L$4001,$L1561,$F$2:$F$4001,"4")-SUMIFS('AR SALES'!$Y$2:$Y$2501,'AR SALES'!$L$2:$L$2501,$L1561,'AR SALES'!$AD$2:$AD$2501,"OFF"),2)=0,"","STALE")))</f>
        <v/>
      </c>
      <c r="BB1561" s="2" t="str">
        <f>IF(OR(""&amp;$F1561="2",""&amp;$F1561="4",""&amp;$F1561="G",""&amp;$F1561="H"),IF($AY1561="YES","",IF($AB1561&lt;&gt;0,"",IF(COUNTIFS('AR SALES'!$L$2:$L$2501,$L1561,'AR SALES'!$AD$2:$AD$2501,IF(""&amp;$F1561="4","OFF","ON"),'AR SALES'!$AF$2:$AF$2501,"Y")&gt;0,"","NO EXEMPTION"))),"")</f>
        <v/>
      </c>
    </row>
    <row r="1562" spans="46:54" x14ac:dyDescent="0.25">
      <c r="AT1562" s="2" t="str">
        <f>IF($L1562="","",IFERROR(INDEX('AR SALES'!$H$2:$H$2501,MATCH(""&amp;$L1562,'AR SALES'!$AE$2:$AE$2501,0)),""))</f>
        <v/>
      </c>
      <c r="AU1562" s="2" t="str">
        <f t="shared" si="96"/>
        <v/>
      </c>
      <c r="AV1562" s="2" t="str">
        <f t="shared" si="97"/>
        <v/>
      </c>
      <c r="AW1562" s="2" t="str">
        <f t="shared" si="98"/>
        <v/>
      </c>
      <c r="AX1562" s="2" t="str">
        <f t="shared" si="99"/>
        <v/>
      </c>
      <c r="AY1562" s="2" t="str">
        <f>IF($AV1562="","",IF(AND($Z1562=0,COUNTIF('AR SALES'!$L$2:$L$2501,$L1562)=0),"YES",""))</f>
        <v/>
      </c>
      <c r="AZ1562" s="2" t="str">
        <f>IF($AV1562="","",IF(COUNTIF(LISTS!$C$2:$C$250,$AU1562)=0,"NEW",""))</f>
        <v/>
      </c>
      <c r="BA1562" s="2" t="str">
        <f>IF(""&amp;$F1562&lt;&gt;"4","",IF($AY1562="YES","",IF(ROUND(SUMIFS($AE$2:$AE$4001,$L$2:$L$4001,$L1562,$F$2:$F$4001,"4")-SUMIFS('AR SALES'!$Y$2:$Y$2501,'AR SALES'!$L$2:$L$2501,$L1562,'AR SALES'!$AD$2:$AD$2501,"OFF"),2)=0,"","STALE")))</f>
        <v/>
      </c>
      <c r="BB1562" s="2" t="str">
        <f>IF(OR(""&amp;$F1562="2",""&amp;$F1562="4",""&amp;$F1562="G",""&amp;$F1562="H"),IF($AY1562="YES","",IF($AB1562&lt;&gt;0,"",IF(COUNTIFS('AR SALES'!$L$2:$L$2501,$L1562,'AR SALES'!$AD$2:$AD$2501,IF(""&amp;$F1562="4","OFF","ON"),'AR SALES'!$AF$2:$AF$2501,"Y")&gt;0,"","NO EXEMPTION"))),"")</f>
        <v/>
      </c>
    </row>
    <row r="1563" spans="46:54" x14ac:dyDescent="0.25">
      <c r="AT1563" s="2" t="str">
        <f>IF($L1563="","",IFERROR(INDEX('AR SALES'!$H$2:$H$2501,MATCH(""&amp;$L1563,'AR SALES'!$AE$2:$AE$2501,0)),""))</f>
        <v/>
      </c>
      <c r="AU1563" s="2" t="str">
        <f t="shared" si="96"/>
        <v/>
      </c>
      <c r="AV1563" s="2" t="str">
        <f t="shared" si="97"/>
        <v/>
      </c>
      <c r="AW1563" s="2" t="str">
        <f t="shared" si="98"/>
        <v/>
      </c>
      <c r="AX1563" s="2" t="str">
        <f t="shared" si="99"/>
        <v/>
      </c>
      <c r="AY1563" s="2" t="str">
        <f>IF($AV1563="","",IF(AND($Z1563=0,COUNTIF('AR SALES'!$L$2:$L$2501,$L1563)=0),"YES",""))</f>
        <v/>
      </c>
      <c r="AZ1563" s="2" t="str">
        <f>IF($AV1563="","",IF(COUNTIF(LISTS!$C$2:$C$250,$AU1563)=0,"NEW",""))</f>
        <v/>
      </c>
      <c r="BA1563" s="2" t="str">
        <f>IF(""&amp;$F1563&lt;&gt;"4","",IF($AY1563="YES","",IF(ROUND(SUMIFS($AE$2:$AE$4001,$L$2:$L$4001,$L1563,$F$2:$F$4001,"4")-SUMIFS('AR SALES'!$Y$2:$Y$2501,'AR SALES'!$L$2:$L$2501,$L1563,'AR SALES'!$AD$2:$AD$2501,"OFF"),2)=0,"","STALE")))</f>
        <v/>
      </c>
      <c r="BB1563" s="2" t="str">
        <f>IF(OR(""&amp;$F1563="2",""&amp;$F1563="4",""&amp;$F1563="G",""&amp;$F1563="H"),IF($AY1563="YES","",IF($AB1563&lt;&gt;0,"",IF(COUNTIFS('AR SALES'!$L$2:$L$2501,$L1563,'AR SALES'!$AD$2:$AD$2501,IF(""&amp;$F1563="4","OFF","ON"),'AR SALES'!$AF$2:$AF$2501,"Y")&gt;0,"","NO EXEMPTION"))),"")</f>
        <v/>
      </c>
    </row>
    <row r="1564" spans="46:54" x14ac:dyDescent="0.25">
      <c r="AT1564" s="2" t="str">
        <f>IF($L1564="","",IFERROR(INDEX('AR SALES'!$H$2:$H$2501,MATCH(""&amp;$L1564,'AR SALES'!$AE$2:$AE$2501,0)),""))</f>
        <v/>
      </c>
      <c r="AU1564" s="2" t="str">
        <f t="shared" si="96"/>
        <v/>
      </c>
      <c r="AV1564" s="2" t="str">
        <f t="shared" si="97"/>
        <v/>
      </c>
      <c r="AW1564" s="2" t="str">
        <f t="shared" si="98"/>
        <v/>
      </c>
      <c r="AX1564" s="2" t="str">
        <f t="shared" si="99"/>
        <v/>
      </c>
      <c r="AY1564" s="2" t="str">
        <f>IF($AV1564="","",IF(AND($Z1564=0,COUNTIF('AR SALES'!$L$2:$L$2501,$L1564)=0),"YES",""))</f>
        <v/>
      </c>
      <c r="AZ1564" s="2" t="str">
        <f>IF($AV1564="","",IF(COUNTIF(LISTS!$C$2:$C$250,$AU1564)=0,"NEW",""))</f>
        <v/>
      </c>
      <c r="BA1564" s="2" t="str">
        <f>IF(""&amp;$F1564&lt;&gt;"4","",IF($AY1564="YES","",IF(ROUND(SUMIFS($AE$2:$AE$4001,$L$2:$L$4001,$L1564,$F$2:$F$4001,"4")-SUMIFS('AR SALES'!$Y$2:$Y$2501,'AR SALES'!$L$2:$L$2501,$L1564,'AR SALES'!$AD$2:$AD$2501,"OFF"),2)=0,"","STALE")))</f>
        <v/>
      </c>
      <c r="BB1564" s="2" t="str">
        <f>IF(OR(""&amp;$F1564="2",""&amp;$F1564="4",""&amp;$F1564="G",""&amp;$F1564="H"),IF($AY1564="YES","",IF($AB1564&lt;&gt;0,"",IF(COUNTIFS('AR SALES'!$L$2:$L$2501,$L1564,'AR SALES'!$AD$2:$AD$2501,IF(""&amp;$F1564="4","OFF","ON"),'AR SALES'!$AF$2:$AF$2501,"Y")&gt;0,"","NO EXEMPTION"))),"")</f>
        <v/>
      </c>
    </row>
    <row r="1565" spans="46:54" x14ac:dyDescent="0.25">
      <c r="AT1565" s="2" t="str">
        <f>IF($L1565="","",IFERROR(INDEX('AR SALES'!$H$2:$H$2501,MATCH(""&amp;$L1565,'AR SALES'!$AE$2:$AE$2501,0)),""))</f>
        <v/>
      </c>
      <c r="AU1565" s="2" t="str">
        <f t="shared" si="96"/>
        <v/>
      </c>
      <c r="AV1565" s="2" t="str">
        <f t="shared" si="97"/>
        <v/>
      </c>
      <c r="AW1565" s="2" t="str">
        <f t="shared" si="98"/>
        <v/>
      </c>
      <c r="AX1565" s="2" t="str">
        <f t="shared" si="99"/>
        <v/>
      </c>
      <c r="AY1565" s="2" t="str">
        <f>IF($AV1565="","",IF(AND($Z1565=0,COUNTIF('AR SALES'!$L$2:$L$2501,$L1565)=0),"YES",""))</f>
        <v/>
      </c>
      <c r="AZ1565" s="2" t="str">
        <f>IF($AV1565="","",IF(COUNTIF(LISTS!$C$2:$C$250,$AU1565)=0,"NEW",""))</f>
        <v/>
      </c>
      <c r="BA1565" s="2" t="str">
        <f>IF(""&amp;$F1565&lt;&gt;"4","",IF($AY1565="YES","",IF(ROUND(SUMIFS($AE$2:$AE$4001,$L$2:$L$4001,$L1565,$F$2:$F$4001,"4")-SUMIFS('AR SALES'!$Y$2:$Y$2501,'AR SALES'!$L$2:$L$2501,$L1565,'AR SALES'!$AD$2:$AD$2501,"OFF"),2)=0,"","STALE")))</f>
        <v/>
      </c>
      <c r="BB1565" s="2" t="str">
        <f>IF(OR(""&amp;$F1565="2",""&amp;$F1565="4",""&amp;$F1565="G",""&amp;$F1565="H"),IF($AY1565="YES","",IF($AB1565&lt;&gt;0,"",IF(COUNTIFS('AR SALES'!$L$2:$L$2501,$L1565,'AR SALES'!$AD$2:$AD$2501,IF(""&amp;$F1565="4","OFF","ON"),'AR SALES'!$AF$2:$AF$2501,"Y")&gt;0,"","NO EXEMPTION"))),"")</f>
        <v/>
      </c>
    </row>
    <row r="1566" spans="46:54" x14ac:dyDescent="0.25">
      <c r="AT1566" s="2" t="str">
        <f>IF($L1566="","",IFERROR(INDEX('AR SALES'!$H$2:$H$2501,MATCH(""&amp;$L1566,'AR SALES'!$AE$2:$AE$2501,0)),""))</f>
        <v/>
      </c>
      <c r="AU1566" s="2" t="str">
        <f t="shared" si="96"/>
        <v/>
      </c>
      <c r="AV1566" s="2" t="str">
        <f t="shared" si="97"/>
        <v/>
      </c>
      <c r="AW1566" s="2" t="str">
        <f t="shared" si="98"/>
        <v/>
      </c>
      <c r="AX1566" s="2" t="str">
        <f t="shared" si="99"/>
        <v/>
      </c>
      <c r="AY1566" s="2" t="str">
        <f>IF($AV1566="","",IF(AND($Z1566=0,COUNTIF('AR SALES'!$L$2:$L$2501,$L1566)=0),"YES",""))</f>
        <v/>
      </c>
      <c r="AZ1566" s="2" t="str">
        <f>IF($AV1566="","",IF(COUNTIF(LISTS!$C$2:$C$250,$AU1566)=0,"NEW",""))</f>
        <v/>
      </c>
      <c r="BA1566" s="2" t="str">
        <f>IF(""&amp;$F1566&lt;&gt;"4","",IF($AY1566="YES","",IF(ROUND(SUMIFS($AE$2:$AE$4001,$L$2:$L$4001,$L1566,$F$2:$F$4001,"4")-SUMIFS('AR SALES'!$Y$2:$Y$2501,'AR SALES'!$L$2:$L$2501,$L1566,'AR SALES'!$AD$2:$AD$2501,"OFF"),2)=0,"","STALE")))</f>
        <v/>
      </c>
      <c r="BB1566" s="2" t="str">
        <f>IF(OR(""&amp;$F1566="2",""&amp;$F1566="4",""&amp;$F1566="G",""&amp;$F1566="H"),IF($AY1566="YES","",IF($AB1566&lt;&gt;0,"",IF(COUNTIFS('AR SALES'!$L$2:$L$2501,$L1566,'AR SALES'!$AD$2:$AD$2501,IF(""&amp;$F1566="4","OFF","ON"),'AR SALES'!$AF$2:$AF$2501,"Y")&gt;0,"","NO EXEMPTION"))),"")</f>
        <v/>
      </c>
    </row>
    <row r="1567" spans="46:54" x14ac:dyDescent="0.25">
      <c r="AT1567" s="2" t="str">
        <f>IF($L1567="","",IFERROR(INDEX('AR SALES'!$H$2:$H$2501,MATCH(""&amp;$L1567,'AR SALES'!$AE$2:$AE$2501,0)),""))</f>
        <v/>
      </c>
      <c r="AU1567" s="2" t="str">
        <f t="shared" si="96"/>
        <v/>
      </c>
      <c r="AV1567" s="2" t="str">
        <f t="shared" si="97"/>
        <v/>
      </c>
      <c r="AW1567" s="2" t="str">
        <f t="shared" si="98"/>
        <v/>
      </c>
      <c r="AX1567" s="2" t="str">
        <f t="shared" si="99"/>
        <v/>
      </c>
      <c r="AY1567" s="2" t="str">
        <f>IF($AV1567="","",IF(AND($Z1567=0,COUNTIF('AR SALES'!$L$2:$L$2501,$L1567)=0),"YES",""))</f>
        <v/>
      </c>
      <c r="AZ1567" s="2" t="str">
        <f>IF($AV1567="","",IF(COUNTIF(LISTS!$C$2:$C$250,$AU1567)=0,"NEW",""))</f>
        <v/>
      </c>
      <c r="BA1567" s="2" t="str">
        <f>IF(""&amp;$F1567&lt;&gt;"4","",IF($AY1567="YES","",IF(ROUND(SUMIFS($AE$2:$AE$4001,$L$2:$L$4001,$L1567,$F$2:$F$4001,"4")-SUMIFS('AR SALES'!$Y$2:$Y$2501,'AR SALES'!$L$2:$L$2501,$L1567,'AR SALES'!$AD$2:$AD$2501,"OFF"),2)=0,"","STALE")))</f>
        <v/>
      </c>
      <c r="BB1567" s="2" t="str">
        <f>IF(OR(""&amp;$F1567="2",""&amp;$F1567="4",""&amp;$F1567="G",""&amp;$F1567="H"),IF($AY1567="YES","",IF($AB1567&lt;&gt;0,"",IF(COUNTIFS('AR SALES'!$L$2:$L$2501,$L1567,'AR SALES'!$AD$2:$AD$2501,IF(""&amp;$F1567="4","OFF","ON"),'AR SALES'!$AF$2:$AF$2501,"Y")&gt;0,"","NO EXEMPTION"))),"")</f>
        <v/>
      </c>
    </row>
    <row r="1568" spans="46:54" x14ac:dyDescent="0.25">
      <c r="AT1568" s="2" t="str">
        <f>IF($L1568="","",IFERROR(INDEX('AR SALES'!$H$2:$H$2501,MATCH(""&amp;$L1568,'AR SALES'!$AE$2:$AE$2501,0)),""))</f>
        <v/>
      </c>
      <c r="AU1568" s="2" t="str">
        <f t="shared" si="96"/>
        <v/>
      </c>
      <c r="AV1568" s="2" t="str">
        <f t="shared" si="97"/>
        <v/>
      </c>
      <c r="AW1568" s="2" t="str">
        <f t="shared" si="98"/>
        <v/>
      </c>
      <c r="AX1568" s="2" t="str">
        <f t="shared" si="99"/>
        <v/>
      </c>
      <c r="AY1568" s="2" t="str">
        <f>IF($AV1568="","",IF(AND($Z1568=0,COUNTIF('AR SALES'!$L$2:$L$2501,$L1568)=0),"YES",""))</f>
        <v/>
      </c>
      <c r="AZ1568" s="2" t="str">
        <f>IF($AV1568="","",IF(COUNTIF(LISTS!$C$2:$C$250,$AU1568)=0,"NEW",""))</f>
        <v/>
      </c>
      <c r="BA1568" s="2" t="str">
        <f>IF(""&amp;$F1568&lt;&gt;"4","",IF($AY1568="YES","",IF(ROUND(SUMIFS($AE$2:$AE$4001,$L$2:$L$4001,$L1568,$F$2:$F$4001,"4")-SUMIFS('AR SALES'!$Y$2:$Y$2501,'AR SALES'!$L$2:$L$2501,$L1568,'AR SALES'!$AD$2:$AD$2501,"OFF"),2)=0,"","STALE")))</f>
        <v/>
      </c>
      <c r="BB1568" s="2" t="str">
        <f>IF(OR(""&amp;$F1568="2",""&amp;$F1568="4",""&amp;$F1568="G",""&amp;$F1568="H"),IF($AY1568="YES","",IF($AB1568&lt;&gt;0,"",IF(COUNTIFS('AR SALES'!$L$2:$L$2501,$L1568,'AR SALES'!$AD$2:$AD$2501,IF(""&amp;$F1568="4","OFF","ON"),'AR SALES'!$AF$2:$AF$2501,"Y")&gt;0,"","NO EXEMPTION"))),"")</f>
        <v/>
      </c>
    </row>
    <row r="1569" spans="46:54" x14ac:dyDescent="0.25">
      <c r="AT1569" s="2" t="str">
        <f>IF($L1569="","",IFERROR(INDEX('AR SALES'!$H$2:$H$2501,MATCH(""&amp;$L1569,'AR SALES'!$AE$2:$AE$2501,0)),""))</f>
        <v/>
      </c>
      <c r="AU1569" s="2" t="str">
        <f t="shared" si="96"/>
        <v/>
      </c>
      <c r="AV1569" s="2" t="str">
        <f t="shared" si="97"/>
        <v/>
      </c>
      <c r="AW1569" s="2" t="str">
        <f t="shared" si="98"/>
        <v/>
      </c>
      <c r="AX1569" s="2" t="str">
        <f t="shared" si="99"/>
        <v/>
      </c>
      <c r="AY1569" s="2" t="str">
        <f>IF($AV1569="","",IF(AND($Z1569=0,COUNTIF('AR SALES'!$L$2:$L$2501,$L1569)=0),"YES",""))</f>
        <v/>
      </c>
      <c r="AZ1569" s="2" t="str">
        <f>IF($AV1569="","",IF(COUNTIF(LISTS!$C$2:$C$250,$AU1569)=0,"NEW",""))</f>
        <v/>
      </c>
      <c r="BA1569" s="2" t="str">
        <f>IF(""&amp;$F1569&lt;&gt;"4","",IF($AY1569="YES","",IF(ROUND(SUMIFS($AE$2:$AE$4001,$L$2:$L$4001,$L1569,$F$2:$F$4001,"4")-SUMIFS('AR SALES'!$Y$2:$Y$2501,'AR SALES'!$L$2:$L$2501,$L1569,'AR SALES'!$AD$2:$AD$2501,"OFF"),2)=0,"","STALE")))</f>
        <v/>
      </c>
      <c r="BB1569" s="2" t="str">
        <f>IF(OR(""&amp;$F1569="2",""&amp;$F1569="4",""&amp;$F1569="G",""&amp;$F1569="H"),IF($AY1569="YES","",IF($AB1569&lt;&gt;0,"",IF(COUNTIFS('AR SALES'!$L$2:$L$2501,$L1569,'AR SALES'!$AD$2:$AD$2501,IF(""&amp;$F1569="4","OFF","ON"),'AR SALES'!$AF$2:$AF$2501,"Y")&gt;0,"","NO EXEMPTION"))),"")</f>
        <v/>
      </c>
    </row>
    <row r="1570" spans="46:54" x14ac:dyDescent="0.25">
      <c r="AT1570" s="2" t="str">
        <f>IF($L1570="","",IFERROR(INDEX('AR SALES'!$H$2:$H$2501,MATCH(""&amp;$L1570,'AR SALES'!$AE$2:$AE$2501,0)),""))</f>
        <v/>
      </c>
      <c r="AU1570" s="2" t="str">
        <f t="shared" si="96"/>
        <v/>
      </c>
      <c r="AV1570" s="2" t="str">
        <f t="shared" si="97"/>
        <v/>
      </c>
      <c r="AW1570" s="2" t="str">
        <f t="shared" si="98"/>
        <v/>
      </c>
      <c r="AX1570" s="2" t="str">
        <f t="shared" si="99"/>
        <v/>
      </c>
      <c r="AY1570" s="2" t="str">
        <f>IF($AV1570="","",IF(AND($Z1570=0,COUNTIF('AR SALES'!$L$2:$L$2501,$L1570)=0),"YES",""))</f>
        <v/>
      </c>
      <c r="AZ1570" s="2" t="str">
        <f>IF($AV1570="","",IF(COUNTIF(LISTS!$C$2:$C$250,$AU1570)=0,"NEW",""))</f>
        <v/>
      </c>
      <c r="BA1570" s="2" t="str">
        <f>IF(""&amp;$F1570&lt;&gt;"4","",IF($AY1570="YES","",IF(ROUND(SUMIFS($AE$2:$AE$4001,$L$2:$L$4001,$L1570,$F$2:$F$4001,"4")-SUMIFS('AR SALES'!$Y$2:$Y$2501,'AR SALES'!$L$2:$L$2501,$L1570,'AR SALES'!$AD$2:$AD$2501,"OFF"),2)=0,"","STALE")))</f>
        <v/>
      </c>
      <c r="BB1570" s="2" t="str">
        <f>IF(OR(""&amp;$F1570="2",""&amp;$F1570="4",""&amp;$F1570="G",""&amp;$F1570="H"),IF($AY1570="YES","",IF($AB1570&lt;&gt;0,"",IF(COUNTIFS('AR SALES'!$L$2:$L$2501,$L1570,'AR SALES'!$AD$2:$AD$2501,IF(""&amp;$F1570="4","OFF","ON"),'AR SALES'!$AF$2:$AF$2501,"Y")&gt;0,"","NO EXEMPTION"))),"")</f>
        <v/>
      </c>
    </row>
    <row r="1571" spans="46:54" x14ac:dyDescent="0.25">
      <c r="AT1571" s="2" t="str">
        <f>IF($L1571="","",IFERROR(INDEX('AR SALES'!$H$2:$H$2501,MATCH(""&amp;$L1571,'AR SALES'!$AE$2:$AE$2501,0)),""))</f>
        <v/>
      </c>
      <c r="AU1571" s="2" t="str">
        <f t="shared" si="96"/>
        <v/>
      </c>
      <c r="AV1571" s="2" t="str">
        <f t="shared" si="97"/>
        <v/>
      </c>
      <c r="AW1571" s="2" t="str">
        <f t="shared" si="98"/>
        <v/>
      </c>
      <c r="AX1571" s="2" t="str">
        <f t="shared" si="99"/>
        <v/>
      </c>
      <c r="AY1571" s="2" t="str">
        <f>IF($AV1571="","",IF(AND($Z1571=0,COUNTIF('AR SALES'!$L$2:$L$2501,$L1571)=0),"YES",""))</f>
        <v/>
      </c>
      <c r="AZ1571" s="2" t="str">
        <f>IF($AV1571="","",IF(COUNTIF(LISTS!$C$2:$C$250,$AU1571)=0,"NEW",""))</f>
        <v/>
      </c>
      <c r="BA1571" s="2" t="str">
        <f>IF(""&amp;$F1571&lt;&gt;"4","",IF($AY1571="YES","",IF(ROUND(SUMIFS($AE$2:$AE$4001,$L$2:$L$4001,$L1571,$F$2:$F$4001,"4")-SUMIFS('AR SALES'!$Y$2:$Y$2501,'AR SALES'!$L$2:$L$2501,$L1571,'AR SALES'!$AD$2:$AD$2501,"OFF"),2)=0,"","STALE")))</f>
        <v/>
      </c>
      <c r="BB1571" s="2" t="str">
        <f>IF(OR(""&amp;$F1571="2",""&amp;$F1571="4",""&amp;$F1571="G",""&amp;$F1571="H"),IF($AY1571="YES","",IF($AB1571&lt;&gt;0,"",IF(COUNTIFS('AR SALES'!$L$2:$L$2501,$L1571,'AR SALES'!$AD$2:$AD$2501,IF(""&amp;$F1571="4","OFF","ON"),'AR SALES'!$AF$2:$AF$2501,"Y")&gt;0,"","NO EXEMPTION"))),"")</f>
        <v/>
      </c>
    </row>
    <row r="1572" spans="46:54" x14ac:dyDescent="0.25">
      <c r="AT1572" s="2" t="str">
        <f>IF($L1572="","",IFERROR(INDEX('AR SALES'!$H$2:$H$2501,MATCH(""&amp;$L1572,'AR SALES'!$AE$2:$AE$2501,0)),""))</f>
        <v/>
      </c>
      <c r="AU1572" s="2" t="str">
        <f t="shared" si="96"/>
        <v/>
      </c>
      <c r="AV1572" s="2" t="str">
        <f t="shared" si="97"/>
        <v/>
      </c>
      <c r="AW1572" s="2" t="str">
        <f t="shared" si="98"/>
        <v/>
      </c>
      <c r="AX1572" s="2" t="str">
        <f t="shared" si="99"/>
        <v/>
      </c>
      <c r="AY1572" s="2" t="str">
        <f>IF($AV1572="","",IF(AND($Z1572=0,COUNTIF('AR SALES'!$L$2:$L$2501,$L1572)=0),"YES",""))</f>
        <v/>
      </c>
      <c r="AZ1572" s="2" t="str">
        <f>IF($AV1572="","",IF(COUNTIF(LISTS!$C$2:$C$250,$AU1572)=0,"NEW",""))</f>
        <v/>
      </c>
      <c r="BA1572" s="2" t="str">
        <f>IF(""&amp;$F1572&lt;&gt;"4","",IF($AY1572="YES","",IF(ROUND(SUMIFS($AE$2:$AE$4001,$L$2:$L$4001,$L1572,$F$2:$F$4001,"4")-SUMIFS('AR SALES'!$Y$2:$Y$2501,'AR SALES'!$L$2:$L$2501,$L1572,'AR SALES'!$AD$2:$AD$2501,"OFF"),2)=0,"","STALE")))</f>
        <v/>
      </c>
      <c r="BB1572" s="2" t="str">
        <f>IF(OR(""&amp;$F1572="2",""&amp;$F1572="4",""&amp;$F1572="G",""&amp;$F1572="H"),IF($AY1572="YES","",IF($AB1572&lt;&gt;0,"",IF(COUNTIFS('AR SALES'!$L$2:$L$2501,$L1572,'AR SALES'!$AD$2:$AD$2501,IF(""&amp;$F1572="4","OFF","ON"),'AR SALES'!$AF$2:$AF$2501,"Y")&gt;0,"","NO EXEMPTION"))),"")</f>
        <v/>
      </c>
    </row>
    <row r="1573" spans="46:54" x14ac:dyDescent="0.25">
      <c r="AT1573" s="2" t="str">
        <f>IF($L1573="","",IFERROR(INDEX('AR SALES'!$H$2:$H$2501,MATCH(""&amp;$L1573,'AR SALES'!$AE$2:$AE$2501,0)),""))</f>
        <v/>
      </c>
      <c r="AU1573" s="2" t="str">
        <f t="shared" si="96"/>
        <v/>
      </c>
      <c r="AV1573" s="2" t="str">
        <f t="shared" si="97"/>
        <v/>
      </c>
      <c r="AW1573" s="2" t="str">
        <f t="shared" si="98"/>
        <v/>
      </c>
      <c r="AX1573" s="2" t="str">
        <f t="shared" si="99"/>
        <v/>
      </c>
      <c r="AY1573" s="2" t="str">
        <f>IF($AV1573="","",IF(AND($Z1573=0,COUNTIF('AR SALES'!$L$2:$L$2501,$L1573)=0),"YES",""))</f>
        <v/>
      </c>
      <c r="AZ1573" s="2" t="str">
        <f>IF($AV1573="","",IF(COUNTIF(LISTS!$C$2:$C$250,$AU1573)=0,"NEW",""))</f>
        <v/>
      </c>
      <c r="BA1573" s="2" t="str">
        <f>IF(""&amp;$F1573&lt;&gt;"4","",IF($AY1573="YES","",IF(ROUND(SUMIFS($AE$2:$AE$4001,$L$2:$L$4001,$L1573,$F$2:$F$4001,"4")-SUMIFS('AR SALES'!$Y$2:$Y$2501,'AR SALES'!$L$2:$L$2501,$L1573,'AR SALES'!$AD$2:$AD$2501,"OFF"),2)=0,"","STALE")))</f>
        <v/>
      </c>
      <c r="BB1573" s="2" t="str">
        <f>IF(OR(""&amp;$F1573="2",""&amp;$F1573="4",""&amp;$F1573="G",""&amp;$F1573="H"),IF($AY1573="YES","",IF($AB1573&lt;&gt;0,"",IF(COUNTIFS('AR SALES'!$L$2:$L$2501,$L1573,'AR SALES'!$AD$2:$AD$2501,IF(""&amp;$F1573="4","OFF","ON"),'AR SALES'!$AF$2:$AF$2501,"Y")&gt;0,"","NO EXEMPTION"))),"")</f>
        <v/>
      </c>
    </row>
    <row r="1574" spans="46:54" x14ac:dyDescent="0.25">
      <c r="AT1574" s="2" t="str">
        <f>IF($L1574="","",IFERROR(INDEX('AR SALES'!$H$2:$H$2501,MATCH(""&amp;$L1574,'AR SALES'!$AE$2:$AE$2501,0)),""))</f>
        <v/>
      </c>
      <c r="AU1574" s="2" t="str">
        <f t="shared" si="96"/>
        <v/>
      </c>
      <c r="AV1574" s="2" t="str">
        <f t="shared" si="97"/>
        <v/>
      </c>
      <c r="AW1574" s="2" t="str">
        <f t="shared" si="98"/>
        <v/>
      </c>
      <c r="AX1574" s="2" t="str">
        <f t="shared" si="99"/>
        <v/>
      </c>
      <c r="AY1574" s="2" t="str">
        <f>IF($AV1574="","",IF(AND($Z1574=0,COUNTIF('AR SALES'!$L$2:$L$2501,$L1574)=0),"YES",""))</f>
        <v/>
      </c>
      <c r="AZ1574" s="2" t="str">
        <f>IF($AV1574="","",IF(COUNTIF(LISTS!$C$2:$C$250,$AU1574)=0,"NEW",""))</f>
        <v/>
      </c>
      <c r="BA1574" s="2" t="str">
        <f>IF(""&amp;$F1574&lt;&gt;"4","",IF($AY1574="YES","",IF(ROUND(SUMIFS($AE$2:$AE$4001,$L$2:$L$4001,$L1574,$F$2:$F$4001,"4")-SUMIFS('AR SALES'!$Y$2:$Y$2501,'AR SALES'!$L$2:$L$2501,$L1574,'AR SALES'!$AD$2:$AD$2501,"OFF"),2)=0,"","STALE")))</f>
        <v/>
      </c>
      <c r="BB1574" s="2" t="str">
        <f>IF(OR(""&amp;$F1574="2",""&amp;$F1574="4",""&amp;$F1574="G",""&amp;$F1574="H"),IF($AY1574="YES","",IF($AB1574&lt;&gt;0,"",IF(COUNTIFS('AR SALES'!$L$2:$L$2501,$L1574,'AR SALES'!$AD$2:$AD$2501,IF(""&amp;$F1574="4","OFF","ON"),'AR SALES'!$AF$2:$AF$2501,"Y")&gt;0,"","NO EXEMPTION"))),"")</f>
        <v/>
      </c>
    </row>
    <row r="1575" spans="46:54" x14ac:dyDescent="0.25">
      <c r="AT1575" s="2" t="str">
        <f>IF($L1575="","",IFERROR(INDEX('AR SALES'!$H$2:$H$2501,MATCH(""&amp;$L1575,'AR SALES'!$AE$2:$AE$2501,0)),""))</f>
        <v/>
      </c>
      <c r="AU1575" s="2" t="str">
        <f t="shared" si="96"/>
        <v/>
      </c>
      <c r="AV1575" s="2" t="str">
        <f t="shared" si="97"/>
        <v/>
      </c>
      <c r="AW1575" s="2" t="str">
        <f t="shared" si="98"/>
        <v/>
      </c>
      <c r="AX1575" s="2" t="str">
        <f t="shared" si="99"/>
        <v/>
      </c>
      <c r="AY1575" s="2" t="str">
        <f>IF($AV1575="","",IF(AND($Z1575=0,COUNTIF('AR SALES'!$L$2:$L$2501,$L1575)=0),"YES",""))</f>
        <v/>
      </c>
      <c r="AZ1575" s="2" t="str">
        <f>IF($AV1575="","",IF(COUNTIF(LISTS!$C$2:$C$250,$AU1575)=0,"NEW",""))</f>
        <v/>
      </c>
      <c r="BA1575" s="2" t="str">
        <f>IF(""&amp;$F1575&lt;&gt;"4","",IF($AY1575="YES","",IF(ROUND(SUMIFS($AE$2:$AE$4001,$L$2:$L$4001,$L1575,$F$2:$F$4001,"4")-SUMIFS('AR SALES'!$Y$2:$Y$2501,'AR SALES'!$L$2:$L$2501,$L1575,'AR SALES'!$AD$2:$AD$2501,"OFF"),2)=0,"","STALE")))</f>
        <v/>
      </c>
      <c r="BB1575" s="2" t="str">
        <f>IF(OR(""&amp;$F1575="2",""&amp;$F1575="4",""&amp;$F1575="G",""&amp;$F1575="H"),IF($AY1575="YES","",IF($AB1575&lt;&gt;0,"",IF(COUNTIFS('AR SALES'!$L$2:$L$2501,$L1575,'AR SALES'!$AD$2:$AD$2501,IF(""&amp;$F1575="4","OFF","ON"),'AR SALES'!$AF$2:$AF$2501,"Y")&gt;0,"","NO EXEMPTION"))),"")</f>
        <v/>
      </c>
    </row>
    <row r="1576" spans="46:54" x14ac:dyDescent="0.25">
      <c r="AT1576" s="2" t="str">
        <f>IF($L1576="","",IFERROR(INDEX('AR SALES'!$H$2:$H$2501,MATCH(""&amp;$L1576,'AR SALES'!$AE$2:$AE$2501,0)),""))</f>
        <v/>
      </c>
      <c r="AU1576" s="2" t="str">
        <f t="shared" si="96"/>
        <v/>
      </c>
      <c r="AV1576" s="2" t="str">
        <f t="shared" si="97"/>
        <v/>
      </c>
      <c r="AW1576" s="2" t="str">
        <f t="shared" si="98"/>
        <v/>
      </c>
      <c r="AX1576" s="2" t="str">
        <f t="shared" si="99"/>
        <v/>
      </c>
      <c r="AY1576" s="2" t="str">
        <f>IF($AV1576="","",IF(AND($Z1576=0,COUNTIF('AR SALES'!$L$2:$L$2501,$L1576)=0),"YES",""))</f>
        <v/>
      </c>
      <c r="AZ1576" s="2" t="str">
        <f>IF($AV1576="","",IF(COUNTIF(LISTS!$C$2:$C$250,$AU1576)=0,"NEW",""))</f>
        <v/>
      </c>
      <c r="BA1576" s="2" t="str">
        <f>IF(""&amp;$F1576&lt;&gt;"4","",IF($AY1576="YES","",IF(ROUND(SUMIFS($AE$2:$AE$4001,$L$2:$L$4001,$L1576,$F$2:$F$4001,"4")-SUMIFS('AR SALES'!$Y$2:$Y$2501,'AR SALES'!$L$2:$L$2501,$L1576,'AR SALES'!$AD$2:$AD$2501,"OFF"),2)=0,"","STALE")))</f>
        <v/>
      </c>
      <c r="BB1576" s="2" t="str">
        <f>IF(OR(""&amp;$F1576="2",""&amp;$F1576="4",""&amp;$F1576="G",""&amp;$F1576="H"),IF($AY1576="YES","",IF($AB1576&lt;&gt;0,"",IF(COUNTIFS('AR SALES'!$L$2:$L$2501,$L1576,'AR SALES'!$AD$2:$AD$2501,IF(""&amp;$F1576="4","OFF","ON"),'AR SALES'!$AF$2:$AF$2501,"Y")&gt;0,"","NO EXEMPTION"))),"")</f>
        <v/>
      </c>
    </row>
    <row r="1577" spans="46:54" x14ac:dyDescent="0.25">
      <c r="AT1577" s="2" t="str">
        <f>IF($L1577="","",IFERROR(INDEX('AR SALES'!$H$2:$H$2501,MATCH(""&amp;$L1577,'AR SALES'!$AE$2:$AE$2501,0)),""))</f>
        <v/>
      </c>
      <c r="AU1577" s="2" t="str">
        <f t="shared" si="96"/>
        <v/>
      </c>
      <c r="AV1577" s="2" t="str">
        <f t="shared" si="97"/>
        <v/>
      </c>
      <c r="AW1577" s="2" t="str">
        <f t="shared" si="98"/>
        <v/>
      </c>
      <c r="AX1577" s="2" t="str">
        <f t="shared" si="99"/>
        <v/>
      </c>
      <c r="AY1577" s="2" t="str">
        <f>IF($AV1577="","",IF(AND($Z1577=0,COUNTIF('AR SALES'!$L$2:$L$2501,$L1577)=0),"YES",""))</f>
        <v/>
      </c>
      <c r="AZ1577" s="2" t="str">
        <f>IF($AV1577="","",IF(COUNTIF(LISTS!$C$2:$C$250,$AU1577)=0,"NEW",""))</f>
        <v/>
      </c>
      <c r="BA1577" s="2" t="str">
        <f>IF(""&amp;$F1577&lt;&gt;"4","",IF($AY1577="YES","",IF(ROUND(SUMIFS($AE$2:$AE$4001,$L$2:$L$4001,$L1577,$F$2:$F$4001,"4")-SUMIFS('AR SALES'!$Y$2:$Y$2501,'AR SALES'!$L$2:$L$2501,$L1577,'AR SALES'!$AD$2:$AD$2501,"OFF"),2)=0,"","STALE")))</f>
        <v/>
      </c>
      <c r="BB1577" s="2" t="str">
        <f>IF(OR(""&amp;$F1577="2",""&amp;$F1577="4",""&amp;$F1577="G",""&amp;$F1577="H"),IF($AY1577="YES","",IF($AB1577&lt;&gt;0,"",IF(COUNTIFS('AR SALES'!$L$2:$L$2501,$L1577,'AR SALES'!$AD$2:$AD$2501,IF(""&amp;$F1577="4","OFF","ON"),'AR SALES'!$AF$2:$AF$2501,"Y")&gt;0,"","NO EXEMPTION"))),"")</f>
        <v/>
      </c>
    </row>
    <row r="1578" spans="46:54" x14ac:dyDescent="0.25">
      <c r="AT1578" s="2" t="str">
        <f>IF($L1578="","",IFERROR(INDEX('AR SALES'!$H$2:$H$2501,MATCH(""&amp;$L1578,'AR SALES'!$AE$2:$AE$2501,0)),""))</f>
        <v/>
      </c>
      <c r="AU1578" s="2" t="str">
        <f t="shared" si="96"/>
        <v/>
      </c>
      <c r="AV1578" s="2" t="str">
        <f t="shared" si="97"/>
        <v/>
      </c>
      <c r="AW1578" s="2" t="str">
        <f t="shared" si="98"/>
        <v/>
      </c>
      <c r="AX1578" s="2" t="str">
        <f t="shared" si="99"/>
        <v/>
      </c>
      <c r="AY1578" s="2" t="str">
        <f>IF($AV1578="","",IF(AND($Z1578=0,COUNTIF('AR SALES'!$L$2:$L$2501,$L1578)=0),"YES",""))</f>
        <v/>
      </c>
      <c r="AZ1578" s="2" t="str">
        <f>IF($AV1578="","",IF(COUNTIF(LISTS!$C$2:$C$250,$AU1578)=0,"NEW",""))</f>
        <v/>
      </c>
      <c r="BA1578" s="2" t="str">
        <f>IF(""&amp;$F1578&lt;&gt;"4","",IF($AY1578="YES","",IF(ROUND(SUMIFS($AE$2:$AE$4001,$L$2:$L$4001,$L1578,$F$2:$F$4001,"4")-SUMIFS('AR SALES'!$Y$2:$Y$2501,'AR SALES'!$L$2:$L$2501,$L1578,'AR SALES'!$AD$2:$AD$2501,"OFF"),2)=0,"","STALE")))</f>
        <v/>
      </c>
      <c r="BB1578" s="2" t="str">
        <f>IF(OR(""&amp;$F1578="2",""&amp;$F1578="4",""&amp;$F1578="G",""&amp;$F1578="H"),IF($AY1578="YES","",IF($AB1578&lt;&gt;0,"",IF(COUNTIFS('AR SALES'!$L$2:$L$2501,$L1578,'AR SALES'!$AD$2:$AD$2501,IF(""&amp;$F1578="4","OFF","ON"),'AR SALES'!$AF$2:$AF$2501,"Y")&gt;0,"","NO EXEMPTION"))),"")</f>
        <v/>
      </c>
    </row>
    <row r="1579" spans="46:54" x14ac:dyDescent="0.25">
      <c r="AT1579" s="2" t="str">
        <f>IF($L1579="","",IFERROR(INDEX('AR SALES'!$H$2:$H$2501,MATCH(""&amp;$L1579,'AR SALES'!$AE$2:$AE$2501,0)),""))</f>
        <v/>
      </c>
      <c r="AU1579" s="2" t="str">
        <f t="shared" si="96"/>
        <v/>
      </c>
      <c r="AV1579" s="2" t="str">
        <f t="shared" si="97"/>
        <v/>
      </c>
      <c r="AW1579" s="2" t="str">
        <f t="shared" si="98"/>
        <v/>
      </c>
      <c r="AX1579" s="2" t="str">
        <f t="shared" si="99"/>
        <v/>
      </c>
      <c r="AY1579" s="2" t="str">
        <f>IF($AV1579="","",IF(AND($Z1579=0,COUNTIF('AR SALES'!$L$2:$L$2501,$L1579)=0),"YES",""))</f>
        <v/>
      </c>
      <c r="AZ1579" s="2" t="str">
        <f>IF($AV1579="","",IF(COUNTIF(LISTS!$C$2:$C$250,$AU1579)=0,"NEW",""))</f>
        <v/>
      </c>
      <c r="BA1579" s="2" t="str">
        <f>IF(""&amp;$F1579&lt;&gt;"4","",IF($AY1579="YES","",IF(ROUND(SUMIFS($AE$2:$AE$4001,$L$2:$L$4001,$L1579,$F$2:$F$4001,"4")-SUMIFS('AR SALES'!$Y$2:$Y$2501,'AR SALES'!$L$2:$L$2501,$L1579,'AR SALES'!$AD$2:$AD$2501,"OFF"),2)=0,"","STALE")))</f>
        <v/>
      </c>
      <c r="BB1579" s="2" t="str">
        <f>IF(OR(""&amp;$F1579="2",""&amp;$F1579="4",""&amp;$F1579="G",""&amp;$F1579="H"),IF($AY1579="YES","",IF($AB1579&lt;&gt;0,"",IF(COUNTIFS('AR SALES'!$L$2:$L$2501,$L1579,'AR SALES'!$AD$2:$AD$2501,IF(""&amp;$F1579="4","OFF","ON"),'AR SALES'!$AF$2:$AF$2501,"Y")&gt;0,"","NO EXEMPTION"))),"")</f>
        <v/>
      </c>
    </row>
    <row r="1580" spans="46:54" x14ac:dyDescent="0.25">
      <c r="AT1580" s="2" t="str">
        <f>IF($L1580="","",IFERROR(INDEX('AR SALES'!$H$2:$H$2501,MATCH(""&amp;$L1580,'AR SALES'!$AE$2:$AE$2501,0)),""))</f>
        <v/>
      </c>
      <c r="AU1580" s="2" t="str">
        <f t="shared" si="96"/>
        <v/>
      </c>
      <c r="AV1580" s="2" t="str">
        <f t="shared" si="97"/>
        <v/>
      </c>
      <c r="AW1580" s="2" t="str">
        <f t="shared" si="98"/>
        <v/>
      </c>
      <c r="AX1580" s="2" t="str">
        <f t="shared" si="99"/>
        <v/>
      </c>
      <c r="AY1580" s="2" t="str">
        <f>IF($AV1580="","",IF(AND($Z1580=0,COUNTIF('AR SALES'!$L$2:$L$2501,$L1580)=0),"YES",""))</f>
        <v/>
      </c>
      <c r="AZ1580" s="2" t="str">
        <f>IF($AV1580="","",IF(COUNTIF(LISTS!$C$2:$C$250,$AU1580)=0,"NEW",""))</f>
        <v/>
      </c>
      <c r="BA1580" s="2" t="str">
        <f>IF(""&amp;$F1580&lt;&gt;"4","",IF($AY1580="YES","",IF(ROUND(SUMIFS($AE$2:$AE$4001,$L$2:$L$4001,$L1580,$F$2:$F$4001,"4")-SUMIFS('AR SALES'!$Y$2:$Y$2501,'AR SALES'!$L$2:$L$2501,$L1580,'AR SALES'!$AD$2:$AD$2501,"OFF"),2)=0,"","STALE")))</f>
        <v/>
      </c>
      <c r="BB1580" s="2" t="str">
        <f>IF(OR(""&amp;$F1580="2",""&amp;$F1580="4",""&amp;$F1580="G",""&amp;$F1580="H"),IF($AY1580="YES","",IF($AB1580&lt;&gt;0,"",IF(COUNTIFS('AR SALES'!$L$2:$L$2501,$L1580,'AR SALES'!$AD$2:$AD$2501,IF(""&amp;$F1580="4","OFF","ON"),'AR SALES'!$AF$2:$AF$2501,"Y")&gt;0,"","NO EXEMPTION"))),"")</f>
        <v/>
      </c>
    </row>
    <row r="1581" spans="46:54" x14ac:dyDescent="0.25">
      <c r="AT1581" s="2" t="str">
        <f>IF($L1581="","",IFERROR(INDEX('AR SALES'!$H$2:$H$2501,MATCH(""&amp;$L1581,'AR SALES'!$AE$2:$AE$2501,0)),""))</f>
        <v/>
      </c>
      <c r="AU1581" s="2" t="str">
        <f t="shared" si="96"/>
        <v/>
      </c>
      <c r="AV1581" s="2" t="str">
        <f t="shared" si="97"/>
        <v/>
      </c>
      <c r="AW1581" s="2" t="str">
        <f t="shared" si="98"/>
        <v/>
      </c>
      <c r="AX1581" s="2" t="str">
        <f t="shared" si="99"/>
        <v/>
      </c>
      <c r="AY1581" s="2" t="str">
        <f>IF($AV1581="","",IF(AND($Z1581=0,COUNTIF('AR SALES'!$L$2:$L$2501,$L1581)=0),"YES",""))</f>
        <v/>
      </c>
      <c r="AZ1581" s="2" t="str">
        <f>IF($AV1581="","",IF(COUNTIF(LISTS!$C$2:$C$250,$AU1581)=0,"NEW",""))</f>
        <v/>
      </c>
      <c r="BA1581" s="2" t="str">
        <f>IF(""&amp;$F1581&lt;&gt;"4","",IF($AY1581="YES","",IF(ROUND(SUMIFS($AE$2:$AE$4001,$L$2:$L$4001,$L1581,$F$2:$F$4001,"4")-SUMIFS('AR SALES'!$Y$2:$Y$2501,'AR SALES'!$L$2:$L$2501,$L1581,'AR SALES'!$AD$2:$AD$2501,"OFF"),2)=0,"","STALE")))</f>
        <v/>
      </c>
      <c r="BB1581" s="2" t="str">
        <f>IF(OR(""&amp;$F1581="2",""&amp;$F1581="4",""&amp;$F1581="G",""&amp;$F1581="H"),IF($AY1581="YES","",IF($AB1581&lt;&gt;0,"",IF(COUNTIFS('AR SALES'!$L$2:$L$2501,$L1581,'AR SALES'!$AD$2:$AD$2501,IF(""&amp;$F1581="4","OFF","ON"),'AR SALES'!$AF$2:$AF$2501,"Y")&gt;0,"","NO EXEMPTION"))),"")</f>
        <v/>
      </c>
    </row>
    <row r="1582" spans="46:54" x14ac:dyDescent="0.25">
      <c r="AT1582" s="2" t="str">
        <f>IF($L1582="","",IFERROR(INDEX('AR SALES'!$H$2:$H$2501,MATCH(""&amp;$L1582,'AR SALES'!$AE$2:$AE$2501,0)),""))</f>
        <v/>
      </c>
      <c r="AU1582" s="2" t="str">
        <f t="shared" si="96"/>
        <v/>
      </c>
      <c r="AV1582" s="2" t="str">
        <f t="shared" si="97"/>
        <v/>
      </c>
      <c r="AW1582" s="2" t="str">
        <f t="shared" si="98"/>
        <v/>
      </c>
      <c r="AX1582" s="2" t="str">
        <f t="shared" si="99"/>
        <v/>
      </c>
      <c r="AY1582" s="2" t="str">
        <f>IF($AV1582="","",IF(AND($Z1582=0,COUNTIF('AR SALES'!$L$2:$L$2501,$L1582)=0),"YES",""))</f>
        <v/>
      </c>
      <c r="AZ1582" s="2" t="str">
        <f>IF($AV1582="","",IF(COUNTIF(LISTS!$C$2:$C$250,$AU1582)=0,"NEW",""))</f>
        <v/>
      </c>
      <c r="BA1582" s="2" t="str">
        <f>IF(""&amp;$F1582&lt;&gt;"4","",IF($AY1582="YES","",IF(ROUND(SUMIFS($AE$2:$AE$4001,$L$2:$L$4001,$L1582,$F$2:$F$4001,"4")-SUMIFS('AR SALES'!$Y$2:$Y$2501,'AR SALES'!$L$2:$L$2501,$L1582,'AR SALES'!$AD$2:$AD$2501,"OFF"),2)=0,"","STALE")))</f>
        <v/>
      </c>
      <c r="BB1582" s="2" t="str">
        <f>IF(OR(""&amp;$F1582="2",""&amp;$F1582="4",""&amp;$F1582="G",""&amp;$F1582="H"),IF($AY1582="YES","",IF($AB1582&lt;&gt;0,"",IF(COUNTIFS('AR SALES'!$L$2:$L$2501,$L1582,'AR SALES'!$AD$2:$AD$2501,IF(""&amp;$F1582="4","OFF","ON"),'AR SALES'!$AF$2:$AF$2501,"Y")&gt;0,"","NO EXEMPTION"))),"")</f>
        <v/>
      </c>
    </row>
    <row r="1583" spans="46:54" x14ac:dyDescent="0.25">
      <c r="AT1583" s="2" t="str">
        <f>IF($L1583="","",IFERROR(INDEX('AR SALES'!$H$2:$H$2501,MATCH(""&amp;$L1583,'AR SALES'!$AE$2:$AE$2501,0)),""))</f>
        <v/>
      </c>
      <c r="AU1583" s="2" t="str">
        <f t="shared" si="96"/>
        <v/>
      </c>
      <c r="AV1583" s="2" t="str">
        <f t="shared" si="97"/>
        <v/>
      </c>
      <c r="AW1583" s="2" t="str">
        <f t="shared" si="98"/>
        <v/>
      </c>
      <c r="AX1583" s="2" t="str">
        <f t="shared" si="99"/>
        <v/>
      </c>
      <c r="AY1583" s="2" t="str">
        <f>IF($AV1583="","",IF(AND($Z1583=0,COUNTIF('AR SALES'!$L$2:$L$2501,$L1583)=0),"YES",""))</f>
        <v/>
      </c>
      <c r="AZ1583" s="2" t="str">
        <f>IF($AV1583="","",IF(COUNTIF(LISTS!$C$2:$C$250,$AU1583)=0,"NEW",""))</f>
        <v/>
      </c>
      <c r="BA1583" s="2" t="str">
        <f>IF(""&amp;$F1583&lt;&gt;"4","",IF($AY1583="YES","",IF(ROUND(SUMIFS($AE$2:$AE$4001,$L$2:$L$4001,$L1583,$F$2:$F$4001,"4")-SUMIFS('AR SALES'!$Y$2:$Y$2501,'AR SALES'!$L$2:$L$2501,$L1583,'AR SALES'!$AD$2:$AD$2501,"OFF"),2)=0,"","STALE")))</f>
        <v/>
      </c>
      <c r="BB1583" s="2" t="str">
        <f>IF(OR(""&amp;$F1583="2",""&amp;$F1583="4",""&amp;$F1583="G",""&amp;$F1583="H"),IF($AY1583="YES","",IF($AB1583&lt;&gt;0,"",IF(COUNTIFS('AR SALES'!$L$2:$L$2501,$L1583,'AR SALES'!$AD$2:$AD$2501,IF(""&amp;$F1583="4","OFF","ON"),'AR SALES'!$AF$2:$AF$2501,"Y")&gt;0,"","NO EXEMPTION"))),"")</f>
        <v/>
      </c>
    </row>
    <row r="1584" spans="46:54" x14ac:dyDescent="0.25">
      <c r="AT1584" s="2" t="str">
        <f>IF($L1584="","",IFERROR(INDEX('AR SALES'!$H$2:$H$2501,MATCH(""&amp;$L1584,'AR SALES'!$AE$2:$AE$2501,0)),""))</f>
        <v/>
      </c>
      <c r="AU1584" s="2" t="str">
        <f t="shared" si="96"/>
        <v/>
      </c>
      <c r="AV1584" s="2" t="str">
        <f t="shared" si="97"/>
        <v/>
      </c>
      <c r="AW1584" s="2" t="str">
        <f t="shared" si="98"/>
        <v/>
      </c>
      <c r="AX1584" s="2" t="str">
        <f t="shared" si="99"/>
        <v/>
      </c>
      <c r="AY1584" s="2" t="str">
        <f>IF($AV1584="","",IF(AND($Z1584=0,COUNTIF('AR SALES'!$L$2:$L$2501,$L1584)=0),"YES",""))</f>
        <v/>
      </c>
      <c r="AZ1584" s="2" t="str">
        <f>IF($AV1584="","",IF(COUNTIF(LISTS!$C$2:$C$250,$AU1584)=0,"NEW",""))</f>
        <v/>
      </c>
      <c r="BA1584" s="2" t="str">
        <f>IF(""&amp;$F1584&lt;&gt;"4","",IF($AY1584="YES","",IF(ROUND(SUMIFS($AE$2:$AE$4001,$L$2:$L$4001,$L1584,$F$2:$F$4001,"4")-SUMIFS('AR SALES'!$Y$2:$Y$2501,'AR SALES'!$L$2:$L$2501,$L1584,'AR SALES'!$AD$2:$AD$2501,"OFF"),2)=0,"","STALE")))</f>
        <v/>
      </c>
      <c r="BB1584" s="2" t="str">
        <f>IF(OR(""&amp;$F1584="2",""&amp;$F1584="4",""&amp;$F1584="G",""&amp;$F1584="H"),IF($AY1584="YES","",IF($AB1584&lt;&gt;0,"",IF(COUNTIFS('AR SALES'!$L$2:$L$2501,$L1584,'AR SALES'!$AD$2:$AD$2501,IF(""&amp;$F1584="4","OFF","ON"),'AR SALES'!$AF$2:$AF$2501,"Y")&gt;0,"","NO EXEMPTION"))),"")</f>
        <v/>
      </c>
    </row>
    <row r="1585" spans="46:54" x14ac:dyDescent="0.25">
      <c r="AT1585" s="2" t="str">
        <f>IF($L1585="","",IFERROR(INDEX('AR SALES'!$H$2:$H$2501,MATCH(""&amp;$L1585,'AR SALES'!$AE$2:$AE$2501,0)),""))</f>
        <v/>
      </c>
      <c r="AU1585" s="2" t="str">
        <f t="shared" si="96"/>
        <v/>
      </c>
      <c r="AV1585" s="2" t="str">
        <f t="shared" si="97"/>
        <v/>
      </c>
      <c r="AW1585" s="2" t="str">
        <f t="shared" si="98"/>
        <v/>
      </c>
      <c r="AX1585" s="2" t="str">
        <f t="shared" si="99"/>
        <v/>
      </c>
      <c r="AY1585" s="2" t="str">
        <f>IF($AV1585="","",IF(AND($Z1585=0,COUNTIF('AR SALES'!$L$2:$L$2501,$L1585)=0),"YES",""))</f>
        <v/>
      </c>
      <c r="AZ1585" s="2" t="str">
        <f>IF($AV1585="","",IF(COUNTIF(LISTS!$C$2:$C$250,$AU1585)=0,"NEW",""))</f>
        <v/>
      </c>
      <c r="BA1585" s="2" t="str">
        <f>IF(""&amp;$F1585&lt;&gt;"4","",IF($AY1585="YES","",IF(ROUND(SUMIFS($AE$2:$AE$4001,$L$2:$L$4001,$L1585,$F$2:$F$4001,"4")-SUMIFS('AR SALES'!$Y$2:$Y$2501,'AR SALES'!$L$2:$L$2501,$L1585,'AR SALES'!$AD$2:$AD$2501,"OFF"),2)=0,"","STALE")))</f>
        <v/>
      </c>
      <c r="BB1585" s="2" t="str">
        <f>IF(OR(""&amp;$F1585="2",""&amp;$F1585="4",""&amp;$F1585="G",""&amp;$F1585="H"),IF($AY1585="YES","",IF($AB1585&lt;&gt;0,"",IF(COUNTIFS('AR SALES'!$L$2:$L$2501,$L1585,'AR SALES'!$AD$2:$AD$2501,IF(""&amp;$F1585="4","OFF","ON"),'AR SALES'!$AF$2:$AF$2501,"Y")&gt;0,"","NO EXEMPTION"))),"")</f>
        <v/>
      </c>
    </row>
    <row r="1586" spans="46:54" x14ac:dyDescent="0.25">
      <c r="AT1586" s="2" t="str">
        <f>IF($L1586="","",IFERROR(INDEX('AR SALES'!$H$2:$H$2501,MATCH(""&amp;$L1586,'AR SALES'!$AE$2:$AE$2501,0)),""))</f>
        <v/>
      </c>
      <c r="AU1586" s="2" t="str">
        <f t="shared" si="96"/>
        <v/>
      </c>
      <c r="AV1586" s="2" t="str">
        <f t="shared" si="97"/>
        <v/>
      </c>
      <c r="AW1586" s="2" t="str">
        <f t="shared" si="98"/>
        <v/>
      </c>
      <c r="AX1586" s="2" t="str">
        <f t="shared" si="99"/>
        <v/>
      </c>
      <c r="AY1586" s="2" t="str">
        <f>IF($AV1586="","",IF(AND($Z1586=0,COUNTIF('AR SALES'!$L$2:$L$2501,$L1586)=0),"YES",""))</f>
        <v/>
      </c>
      <c r="AZ1586" s="2" t="str">
        <f>IF($AV1586="","",IF(COUNTIF(LISTS!$C$2:$C$250,$AU1586)=0,"NEW",""))</f>
        <v/>
      </c>
      <c r="BA1586" s="2" t="str">
        <f>IF(""&amp;$F1586&lt;&gt;"4","",IF($AY1586="YES","",IF(ROUND(SUMIFS($AE$2:$AE$4001,$L$2:$L$4001,$L1586,$F$2:$F$4001,"4")-SUMIFS('AR SALES'!$Y$2:$Y$2501,'AR SALES'!$L$2:$L$2501,$L1586,'AR SALES'!$AD$2:$AD$2501,"OFF"),2)=0,"","STALE")))</f>
        <v/>
      </c>
      <c r="BB1586" s="2" t="str">
        <f>IF(OR(""&amp;$F1586="2",""&amp;$F1586="4",""&amp;$F1586="G",""&amp;$F1586="H"),IF($AY1586="YES","",IF($AB1586&lt;&gt;0,"",IF(COUNTIFS('AR SALES'!$L$2:$L$2501,$L1586,'AR SALES'!$AD$2:$AD$2501,IF(""&amp;$F1586="4","OFF","ON"),'AR SALES'!$AF$2:$AF$2501,"Y")&gt;0,"","NO EXEMPTION"))),"")</f>
        <v/>
      </c>
    </row>
    <row r="1587" spans="46:54" x14ac:dyDescent="0.25">
      <c r="AT1587" s="2" t="str">
        <f>IF($L1587="","",IFERROR(INDEX('AR SALES'!$H$2:$H$2501,MATCH(""&amp;$L1587,'AR SALES'!$AE$2:$AE$2501,0)),""))</f>
        <v/>
      </c>
      <c r="AU1587" s="2" t="str">
        <f t="shared" si="96"/>
        <v/>
      </c>
      <c r="AV1587" s="2" t="str">
        <f t="shared" si="97"/>
        <v/>
      </c>
      <c r="AW1587" s="2" t="str">
        <f t="shared" si="98"/>
        <v/>
      </c>
      <c r="AX1587" s="2" t="str">
        <f t="shared" si="99"/>
        <v/>
      </c>
      <c r="AY1587" s="2" t="str">
        <f>IF($AV1587="","",IF(AND($Z1587=0,COUNTIF('AR SALES'!$L$2:$L$2501,$L1587)=0),"YES",""))</f>
        <v/>
      </c>
      <c r="AZ1587" s="2" t="str">
        <f>IF($AV1587="","",IF(COUNTIF(LISTS!$C$2:$C$250,$AU1587)=0,"NEW",""))</f>
        <v/>
      </c>
      <c r="BA1587" s="2" t="str">
        <f>IF(""&amp;$F1587&lt;&gt;"4","",IF($AY1587="YES","",IF(ROUND(SUMIFS($AE$2:$AE$4001,$L$2:$L$4001,$L1587,$F$2:$F$4001,"4")-SUMIFS('AR SALES'!$Y$2:$Y$2501,'AR SALES'!$L$2:$L$2501,$L1587,'AR SALES'!$AD$2:$AD$2501,"OFF"),2)=0,"","STALE")))</f>
        <v/>
      </c>
      <c r="BB1587" s="2" t="str">
        <f>IF(OR(""&amp;$F1587="2",""&amp;$F1587="4",""&amp;$F1587="G",""&amp;$F1587="H"),IF($AY1587="YES","",IF($AB1587&lt;&gt;0,"",IF(COUNTIFS('AR SALES'!$L$2:$L$2501,$L1587,'AR SALES'!$AD$2:$AD$2501,IF(""&amp;$F1587="4","OFF","ON"),'AR SALES'!$AF$2:$AF$2501,"Y")&gt;0,"","NO EXEMPTION"))),"")</f>
        <v/>
      </c>
    </row>
    <row r="1588" spans="46:54" x14ac:dyDescent="0.25">
      <c r="AT1588" s="2" t="str">
        <f>IF($L1588="","",IFERROR(INDEX('AR SALES'!$H$2:$H$2501,MATCH(""&amp;$L1588,'AR SALES'!$AE$2:$AE$2501,0)),""))</f>
        <v/>
      </c>
      <c r="AU1588" s="2" t="str">
        <f t="shared" si="96"/>
        <v/>
      </c>
      <c r="AV1588" s="2" t="str">
        <f t="shared" si="97"/>
        <v/>
      </c>
      <c r="AW1588" s="2" t="str">
        <f t="shared" si="98"/>
        <v/>
      </c>
      <c r="AX1588" s="2" t="str">
        <f t="shared" si="99"/>
        <v/>
      </c>
      <c r="AY1588" s="2" t="str">
        <f>IF($AV1588="","",IF(AND($Z1588=0,COUNTIF('AR SALES'!$L$2:$L$2501,$L1588)=0),"YES",""))</f>
        <v/>
      </c>
      <c r="AZ1588" s="2" t="str">
        <f>IF($AV1588="","",IF(COUNTIF(LISTS!$C$2:$C$250,$AU1588)=0,"NEW",""))</f>
        <v/>
      </c>
      <c r="BA1588" s="2" t="str">
        <f>IF(""&amp;$F1588&lt;&gt;"4","",IF($AY1588="YES","",IF(ROUND(SUMIFS($AE$2:$AE$4001,$L$2:$L$4001,$L1588,$F$2:$F$4001,"4")-SUMIFS('AR SALES'!$Y$2:$Y$2501,'AR SALES'!$L$2:$L$2501,$L1588,'AR SALES'!$AD$2:$AD$2501,"OFF"),2)=0,"","STALE")))</f>
        <v/>
      </c>
      <c r="BB1588" s="2" t="str">
        <f>IF(OR(""&amp;$F1588="2",""&amp;$F1588="4",""&amp;$F1588="G",""&amp;$F1588="H"),IF($AY1588="YES","",IF($AB1588&lt;&gt;0,"",IF(COUNTIFS('AR SALES'!$L$2:$L$2501,$L1588,'AR SALES'!$AD$2:$AD$2501,IF(""&amp;$F1588="4","OFF","ON"),'AR SALES'!$AF$2:$AF$2501,"Y")&gt;0,"","NO EXEMPTION"))),"")</f>
        <v/>
      </c>
    </row>
    <row r="1589" spans="46:54" x14ac:dyDescent="0.25">
      <c r="AT1589" s="2" t="str">
        <f>IF($L1589="","",IFERROR(INDEX('AR SALES'!$H$2:$H$2501,MATCH(""&amp;$L1589,'AR SALES'!$AE$2:$AE$2501,0)),""))</f>
        <v/>
      </c>
      <c r="AU1589" s="2" t="str">
        <f t="shared" si="96"/>
        <v/>
      </c>
      <c r="AV1589" s="2" t="str">
        <f t="shared" si="97"/>
        <v/>
      </c>
      <c r="AW1589" s="2" t="str">
        <f t="shared" si="98"/>
        <v/>
      </c>
      <c r="AX1589" s="2" t="str">
        <f t="shared" si="99"/>
        <v/>
      </c>
      <c r="AY1589" s="2" t="str">
        <f>IF($AV1589="","",IF(AND($Z1589=0,COUNTIF('AR SALES'!$L$2:$L$2501,$L1589)=0),"YES",""))</f>
        <v/>
      </c>
      <c r="AZ1589" s="2" t="str">
        <f>IF($AV1589="","",IF(COUNTIF(LISTS!$C$2:$C$250,$AU1589)=0,"NEW",""))</f>
        <v/>
      </c>
      <c r="BA1589" s="2" t="str">
        <f>IF(""&amp;$F1589&lt;&gt;"4","",IF($AY1589="YES","",IF(ROUND(SUMIFS($AE$2:$AE$4001,$L$2:$L$4001,$L1589,$F$2:$F$4001,"4")-SUMIFS('AR SALES'!$Y$2:$Y$2501,'AR SALES'!$L$2:$L$2501,$L1589,'AR SALES'!$AD$2:$AD$2501,"OFF"),2)=0,"","STALE")))</f>
        <v/>
      </c>
      <c r="BB1589" s="2" t="str">
        <f>IF(OR(""&amp;$F1589="2",""&amp;$F1589="4",""&amp;$F1589="G",""&amp;$F1589="H"),IF($AY1589="YES","",IF($AB1589&lt;&gt;0,"",IF(COUNTIFS('AR SALES'!$L$2:$L$2501,$L1589,'AR SALES'!$AD$2:$AD$2501,IF(""&amp;$F1589="4","OFF","ON"),'AR SALES'!$AF$2:$AF$2501,"Y")&gt;0,"","NO EXEMPTION"))),"")</f>
        <v/>
      </c>
    </row>
    <row r="1590" spans="46:54" x14ac:dyDescent="0.25">
      <c r="AT1590" s="2" t="str">
        <f>IF($L1590="","",IFERROR(INDEX('AR SALES'!$H$2:$H$2501,MATCH(""&amp;$L1590,'AR SALES'!$AE$2:$AE$2501,0)),""))</f>
        <v/>
      </c>
      <c r="AU1590" s="2" t="str">
        <f t="shared" si="96"/>
        <v/>
      </c>
      <c r="AV1590" s="2" t="str">
        <f t="shared" si="97"/>
        <v/>
      </c>
      <c r="AW1590" s="2" t="str">
        <f t="shared" si="98"/>
        <v/>
      </c>
      <c r="AX1590" s="2" t="str">
        <f t="shared" si="99"/>
        <v/>
      </c>
      <c r="AY1590" s="2" t="str">
        <f>IF($AV1590="","",IF(AND($Z1590=0,COUNTIF('AR SALES'!$L$2:$L$2501,$L1590)=0),"YES",""))</f>
        <v/>
      </c>
      <c r="AZ1590" s="2" t="str">
        <f>IF($AV1590="","",IF(COUNTIF(LISTS!$C$2:$C$250,$AU1590)=0,"NEW",""))</f>
        <v/>
      </c>
      <c r="BA1590" s="2" t="str">
        <f>IF(""&amp;$F1590&lt;&gt;"4","",IF($AY1590="YES","",IF(ROUND(SUMIFS($AE$2:$AE$4001,$L$2:$L$4001,$L1590,$F$2:$F$4001,"4")-SUMIFS('AR SALES'!$Y$2:$Y$2501,'AR SALES'!$L$2:$L$2501,$L1590,'AR SALES'!$AD$2:$AD$2501,"OFF"),2)=0,"","STALE")))</f>
        <v/>
      </c>
      <c r="BB1590" s="2" t="str">
        <f>IF(OR(""&amp;$F1590="2",""&amp;$F1590="4",""&amp;$F1590="G",""&amp;$F1590="H"),IF($AY1590="YES","",IF($AB1590&lt;&gt;0,"",IF(COUNTIFS('AR SALES'!$L$2:$L$2501,$L1590,'AR SALES'!$AD$2:$AD$2501,IF(""&amp;$F1590="4","OFF","ON"),'AR SALES'!$AF$2:$AF$2501,"Y")&gt;0,"","NO EXEMPTION"))),"")</f>
        <v/>
      </c>
    </row>
    <row r="1591" spans="46:54" x14ac:dyDescent="0.25">
      <c r="AT1591" s="2" t="str">
        <f>IF($L1591="","",IFERROR(INDEX('AR SALES'!$H$2:$H$2501,MATCH(""&amp;$L1591,'AR SALES'!$AE$2:$AE$2501,0)),""))</f>
        <v/>
      </c>
      <c r="AU1591" s="2" t="str">
        <f t="shared" si="96"/>
        <v/>
      </c>
      <c r="AV1591" s="2" t="str">
        <f t="shared" si="97"/>
        <v/>
      </c>
      <c r="AW1591" s="2" t="str">
        <f t="shared" si="98"/>
        <v/>
      </c>
      <c r="AX1591" s="2" t="str">
        <f t="shared" si="99"/>
        <v/>
      </c>
      <c r="AY1591" s="2" t="str">
        <f>IF($AV1591="","",IF(AND($Z1591=0,COUNTIF('AR SALES'!$L$2:$L$2501,$L1591)=0),"YES",""))</f>
        <v/>
      </c>
      <c r="AZ1591" s="2" t="str">
        <f>IF($AV1591="","",IF(COUNTIF(LISTS!$C$2:$C$250,$AU1591)=0,"NEW",""))</f>
        <v/>
      </c>
      <c r="BA1591" s="2" t="str">
        <f>IF(""&amp;$F1591&lt;&gt;"4","",IF($AY1591="YES","",IF(ROUND(SUMIFS($AE$2:$AE$4001,$L$2:$L$4001,$L1591,$F$2:$F$4001,"4")-SUMIFS('AR SALES'!$Y$2:$Y$2501,'AR SALES'!$L$2:$L$2501,$L1591,'AR SALES'!$AD$2:$AD$2501,"OFF"),2)=0,"","STALE")))</f>
        <v/>
      </c>
      <c r="BB1591" s="2" t="str">
        <f>IF(OR(""&amp;$F1591="2",""&amp;$F1591="4",""&amp;$F1591="G",""&amp;$F1591="H"),IF($AY1591="YES","",IF($AB1591&lt;&gt;0,"",IF(COUNTIFS('AR SALES'!$L$2:$L$2501,$L1591,'AR SALES'!$AD$2:$AD$2501,IF(""&amp;$F1591="4","OFF","ON"),'AR SALES'!$AF$2:$AF$2501,"Y")&gt;0,"","NO EXEMPTION"))),"")</f>
        <v/>
      </c>
    </row>
    <row r="1592" spans="46:54" x14ac:dyDescent="0.25">
      <c r="AT1592" s="2" t="str">
        <f>IF($L1592="","",IFERROR(INDEX('AR SALES'!$H$2:$H$2501,MATCH(""&amp;$L1592,'AR SALES'!$AE$2:$AE$2501,0)),""))</f>
        <v/>
      </c>
      <c r="AU1592" s="2" t="str">
        <f t="shared" si="96"/>
        <v/>
      </c>
      <c r="AV1592" s="2" t="str">
        <f t="shared" si="97"/>
        <v/>
      </c>
      <c r="AW1592" s="2" t="str">
        <f t="shared" si="98"/>
        <v/>
      </c>
      <c r="AX1592" s="2" t="str">
        <f t="shared" si="99"/>
        <v/>
      </c>
      <c r="AY1592" s="2" t="str">
        <f>IF($AV1592="","",IF(AND($Z1592=0,COUNTIF('AR SALES'!$L$2:$L$2501,$L1592)=0),"YES",""))</f>
        <v/>
      </c>
      <c r="AZ1592" s="2" t="str">
        <f>IF($AV1592="","",IF(COUNTIF(LISTS!$C$2:$C$250,$AU1592)=0,"NEW",""))</f>
        <v/>
      </c>
      <c r="BA1592" s="2" t="str">
        <f>IF(""&amp;$F1592&lt;&gt;"4","",IF($AY1592="YES","",IF(ROUND(SUMIFS($AE$2:$AE$4001,$L$2:$L$4001,$L1592,$F$2:$F$4001,"4")-SUMIFS('AR SALES'!$Y$2:$Y$2501,'AR SALES'!$L$2:$L$2501,$L1592,'AR SALES'!$AD$2:$AD$2501,"OFF"),2)=0,"","STALE")))</f>
        <v/>
      </c>
      <c r="BB1592" s="2" t="str">
        <f>IF(OR(""&amp;$F1592="2",""&amp;$F1592="4",""&amp;$F1592="G",""&amp;$F1592="H"),IF($AY1592="YES","",IF($AB1592&lt;&gt;0,"",IF(COUNTIFS('AR SALES'!$L$2:$L$2501,$L1592,'AR SALES'!$AD$2:$AD$2501,IF(""&amp;$F1592="4","OFF","ON"),'AR SALES'!$AF$2:$AF$2501,"Y")&gt;0,"","NO EXEMPTION"))),"")</f>
        <v/>
      </c>
    </row>
    <row r="1593" spans="46:54" x14ac:dyDescent="0.25">
      <c r="AT1593" s="2" t="str">
        <f>IF($L1593="","",IFERROR(INDEX('AR SALES'!$H$2:$H$2501,MATCH(""&amp;$L1593,'AR SALES'!$AE$2:$AE$2501,0)),""))</f>
        <v/>
      </c>
      <c r="AU1593" s="2" t="str">
        <f t="shared" si="96"/>
        <v/>
      </c>
      <c r="AV1593" s="2" t="str">
        <f t="shared" si="97"/>
        <v/>
      </c>
      <c r="AW1593" s="2" t="str">
        <f t="shared" si="98"/>
        <v/>
      </c>
      <c r="AX1593" s="2" t="str">
        <f t="shared" si="99"/>
        <v/>
      </c>
      <c r="AY1593" s="2" t="str">
        <f>IF($AV1593="","",IF(AND($Z1593=0,COUNTIF('AR SALES'!$L$2:$L$2501,$L1593)=0),"YES",""))</f>
        <v/>
      </c>
      <c r="AZ1593" s="2" t="str">
        <f>IF($AV1593="","",IF(COUNTIF(LISTS!$C$2:$C$250,$AU1593)=0,"NEW",""))</f>
        <v/>
      </c>
      <c r="BA1593" s="2" t="str">
        <f>IF(""&amp;$F1593&lt;&gt;"4","",IF($AY1593="YES","",IF(ROUND(SUMIFS($AE$2:$AE$4001,$L$2:$L$4001,$L1593,$F$2:$F$4001,"4")-SUMIFS('AR SALES'!$Y$2:$Y$2501,'AR SALES'!$L$2:$L$2501,$L1593,'AR SALES'!$AD$2:$AD$2501,"OFF"),2)=0,"","STALE")))</f>
        <v/>
      </c>
      <c r="BB1593" s="2" t="str">
        <f>IF(OR(""&amp;$F1593="2",""&amp;$F1593="4",""&amp;$F1593="G",""&amp;$F1593="H"),IF($AY1593="YES","",IF($AB1593&lt;&gt;0,"",IF(COUNTIFS('AR SALES'!$L$2:$L$2501,$L1593,'AR SALES'!$AD$2:$AD$2501,IF(""&amp;$F1593="4","OFF","ON"),'AR SALES'!$AF$2:$AF$2501,"Y")&gt;0,"","NO EXEMPTION"))),"")</f>
        <v/>
      </c>
    </row>
    <row r="1594" spans="46:54" x14ac:dyDescent="0.25">
      <c r="AT1594" s="2" t="str">
        <f>IF($L1594="","",IFERROR(INDEX('AR SALES'!$H$2:$H$2501,MATCH(""&amp;$L1594,'AR SALES'!$AE$2:$AE$2501,0)),""))</f>
        <v/>
      </c>
      <c r="AU1594" s="2" t="str">
        <f t="shared" si="96"/>
        <v/>
      </c>
      <c r="AV1594" s="2" t="str">
        <f t="shared" si="97"/>
        <v/>
      </c>
      <c r="AW1594" s="2" t="str">
        <f t="shared" si="98"/>
        <v/>
      </c>
      <c r="AX1594" s="2" t="str">
        <f t="shared" si="99"/>
        <v/>
      </c>
      <c r="AY1594" s="2" t="str">
        <f>IF($AV1594="","",IF(AND($Z1594=0,COUNTIF('AR SALES'!$L$2:$L$2501,$L1594)=0),"YES",""))</f>
        <v/>
      </c>
      <c r="AZ1594" s="2" t="str">
        <f>IF($AV1594="","",IF(COUNTIF(LISTS!$C$2:$C$250,$AU1594)=0,"NEW",""))</f>
        <v/>
      </c>
      <c r="BA1594" s="2" t="str">
        <f>IF(""&amp;$F1594&lt;&gt;"4","",IF($AY1594="YES","",IF(ROUND(SUMIFS($AE$2:$AE$4001,$L$2:$L$4001,$L1594,$F$2:$F$4001,"4")-SUMIFS('AR SALES'!$Y$2:$Y$2501,'AR SALES'!$L$2:$L$2501,$L1594,'AR SALES'!$AD$2:$AD$2501,"OFF"),2)=0,"","STALE")))</f>
        <v/>
      </c>
      <c r="BB1594" s="2" t="str">
        <f>IF(OR(""&amp;$F1594="2",""&amp;$F1594="4",""&amp;$F1594="G",""&amp;$F1594="H"),IF($AY1594="YES","",IF($AB1594&lt;&gt;0,"",IF(COUNTIFS('AR SALES'!$L$2:$L$2501,$L1594,'AR SALES'!$AD$2:$AD$2501,IF(""&amp;$F1594="4","OFF","ON"),'AR SALES'!$AF$2:$AF$2501,"Y")&gt;0,"","NO EXEMPTION"))),"")</f>
        <v/>
      </c>
    </row>
    <row r="1595" spans="46:54" x14ac:dyDescent="0.25">
      <c r="AT1595" s="2" t="str">
        <f>IF($L1595="","",IFERROR(INDEX('AR SALES'!$H$2:$H$2501,MATCH(""&amp;$L1595,'AR SALES'!$AE$2:$AE$2501,0)),""))</f>
        <v/>
      </c>
      <c r="AU1595" s="2" t="str">
        <f t="shared" si="96"/>
        <v/>
      </c>
      <c r="AV1595" s="2" t="str">
        <f t="shared" si="97"/>
        <v/>
      </c>
      <c r="AW1595" s="2" t="str">
        <f t="shared" si="98"/>
        <v/>
      </c>
      <c r="AX1595" s="2" t="str">
        <f t="shared" si="99"/>
        <v/>
      </c>
      <c r="AY1595" s="2" t="str">
        <f>IF($AV1595="","",IF(AND($Z1595=0,COUNTIF('AR SALES'!$L$2:$L$2501,$L1595)=0),"YES",""))</f>
        <v/>
      </c>
      <c r="AZ1595" s="2" t="str">
        <f>IF($AV1595="","",IF(COUNTIF(LISTS!$C$2:$C$250,$AU1595)=0,"NEW",""))</f>
        <v/>
      </c>
      <c r="BA1595" s="2" t="str">
        <f>IF(""&amp;$F1595&lt;&gt;"4","",IF($AY1595="YES","",IF(ROUND(SUMIFS($AE$2:$AE$4001,$L$2:$L$4001,$L1595,$F$2:$F$4001,"4")-SUMIFS('AR SALES'!$Y$2:$Y$2501,'AR SALES'!$L$2:$L$2501,$L1595,'AR SALES'!$AD$2:$AD$2501,"OFF"),2)=0,"","STALE")))</f>
        <v/>
      </c>
      <c r="BB1595" s="2" t="str">
        <f>IF(OR(""&amp;$F1595="2",""&amp;$F1595="4",""&amp;$F1595="G",""&amp;$F1595="H"),IF($AY1595="YES","",IF($AB1595&lt;&gt;0,"",IF(COUNTIFS('AR SALES'!$L$2:$L$2501,$L1595,'AR SALES'!$AD$2:$AD$2501,IF(""&amp;$F1595="4","OFF","ON"),'AR SALES'!$AF$2:$AF$2501,"Y")&gt;0,"","NO EXEMPTION"))),"")</f>
        <v/>
      </c>
    </row>
    <row r="1596" spans="46:54" x14ac:dyDescent="0.25">
      <c r="AT1596" s="2" t="str">
        <f>IF($L1596="","",IFERROR(INDEX('AR SALES'!$H$2:$H$2501,MATCH(""&amp;$L1596,'AR SALES'!$AE$2:$AE$2501,0)),""))</f>
        <v/>
      </c>
      <c r="AU1596" s="2" t="str">
        <f t="shared" si="96"/>
        <v/>
      </c>
      <c r="AV1596" s="2" t="str">
        <f t="shared" si="97"/>
        <v/>
      </c>
      <c r="AW1596" s="2" t="str">
        <f t="shared" si="98"/>
        <v/>
      </c>
      <c r="AX1596" s="2" t="str">
        <f t="shared" si="99"/>
        <v/>
      </c>
      <c r="AY1596" s="2" t="str">
        <f>IF($AV1596="","",IF(AND($Z1596=0,COUNTIF('AR SALES'!$L$2:$L$2501,$L1596)=0),"YES",""))</f>
        <v/>
      </c>
      <c r="AZ1596" s="2" t="str">
        <f>IF($AV1596="","",IF(COUNTIF(LISTS!$C$2:$C$250,$AU1596)=0,"NEW",""))</f>
        <v/>
      </c>
      <c r="BA1596" s="2" t="str">
        <f>IF(""&amp;$F1596&lt;&gt;"4","",IF($AY1596="YES","",IF(ROUND(SUMIFS($AE$2:$AE$4001,$L$2:$L$4001,$L1596,$F$2:$F$4001,"4")-SUMIFS('AR SALES'!$Y$2:$Y$2501,'AR SALES'!$L$2:$L$2501,$L1596,'AR SALES'!$AD$2:$AD$2501,"OFF"),2)=0,"","STALE")))</f>
        <v/>
      </c>
      <c r="BB1596" s="2" t="str">
        <f>IF(OR(""&amp;$F1596="2",""&amp;$F1596="4",""&amp;$F1596="G",""&amp;$F1596="H"),IF($AY1596="YES","",IF($AB1596&lt;&gt;0,"",IF(COUNTIFS('AR SALES'!$L$2:$L$2501,$L1596,'AR SALES'!$AD$2:$AD$2501,IF(""&amp;$F1596="4","OFF","ON"),'AR SALES'!$AF$2:$AF$2501,"Y")&gt;0,"","NO EXEMPTION"))),"")</f>
        <v/>
      </c>
    </row>
    <row r="1597" spans="46:54" x14ac:dyDescent="0.25">
      <c r="AT1597" s="2" t="str">
        <f>IF($L1597="","",IFERROR(INDEX('AR SALES'!$H$2:$H$2501,MATCH(""&amp;$L1597,'AR SALES'!$AE$2:$AE$2501,0)),""))</f>
        <v/>
      </c>
      <c r="AU1597" s="2" t="str">
        <f t="shared" si="96"/>
        <v/>
      </c>
      <c r="AV1597" s="2" t="str">
        <f t="shared" si="97"/>
        <v/>
      </c>
      <c r="AW1597" s="2" t="str">
        <f t="shared" si="98"/>
        <v/>
      </c>
      <c r="AX1597" s="2" t="str">
        <f t="shared" si="99"/>
        <v/>
      </c>
      <c r="AY1597" s="2" t="str">
        <f>IF($AV1597="","",IF(AND($Z1597=0,COUNTIF('AR SALES'!$L$2:$L$2501,$L1597)=0),"YES",""))</f>
        <v/>
      </c>
      <c r="AZ1597" s="2" t="str">
        <f>IF($AV1597="","",IF(COUNTIF(LISTS!$C$2:$C$250,$AU1597)=0,"NEW",""))</f>
        <v/>
      </c>
      <c r="BA1597" s="2" t="str">
        <f>IF(""&amp;$F1597&lt;&gt;"4","",IF($AY1597="YES","",IF(ROUND(SUMIFS($AE$2:$AE$4001,$L$2:$L$4001,$L1597,$F$2:$F$4001,"4")-SUMIFS('AR SALES'!$Y$2:$Y$2501,'AR SALES'!$L$2:$L$2501,$L1597,'AR SALES'!$AD$2:$AD$2501,"OFF"),2)=0,"","STALE")))</f>
        <v/>
      </c>
      <c r="BB1597" s="2" t="str">
        <f>IF(OR(""&amp;$F1597="2",""&amp;$F1597="4",""&amp;$F1597="G",""&amp;$F1597="H"),IF($AY1597="YES","",IF($AB1597&lt;&gt;0,"",IF(COUNTIFS('AR SALES'!$L$2:$L$2501,$L1597,'AR SALES'!$AD$2:$AD$2501,IF(""&amp;$F1597="4","OFF","ON"),'AR SALES'!$AF$2:$AF$2501,"Y")&gt;0,"","NO EXEMPTION"))),"")</f>
        <v/>
      </c>
    </row>
    <row r="1598" spans="46:54" x14ac:dyDescent="0.25">
      <c r="AT1598" s="2" t="str">
        <f>IF($L1598="","",IFERROR(INDEX('AR SALES'!$H$2:$H$2501,MATCH(""&amp;$L1598,'AR SALES'!$AE$2:$AE$2501,0)),""))</f>
        <v/>
      </c>
      <c r="AU1598" s="2" t="str">
        <f t="shared" si="96"/>
        <v/>
      </c>
      <c r="AV1598" s="2" t="str">
        <f t="shared" si="97"/>
        <v/>
      </c>
      <c r="AW1598" s="2" t="str">
        <f t="shared" si="98"/>
        <v/>
      </c>
      <c r="AX1598" s="2" t="str">
        <f t="shared" si="99"/>
        <v/>
      </c>
      <c r="AY1598" s="2" t="str">
        <f>IF($AV1598="","",IF(AND($Z1598=0,COUNTIF('AR SALES'!$L$2:$L$2501,$L1598)=0),"YES",""))</f>
        <v/>
      </c>
      <c r="AZ1598" s="2" t="str">
        <f>IF($AV1598="","",IF(COUNTIF(LISTS!$C$2:$C$250,$AU1598)=0,"NEW",""))</f>
        <v/>
      </c>
      <c r="BA1598" s="2" t="str">
        <f>IF(""&amp;$F1598&lt;&gt;"4","",IF($AY1598="YES","",IF(ROUND(SUMIFS($AE$2:$AE$4001,$L$2:$L$4001,$L1598,$F$2:$F$4001,"4")-SUMIFS('AR SALES'!$Y$2:$Y$2501,'AR SALES'!$L$2:$L$2501,$L1598,'AR SALES'!$AD$2:$AD$2501,"OFF"),2)=0,"","STALE")))</f>
        <v/>
      </c>
      <c r="BB1598" s="2" t="str">
        <f>IF(OR(""&amp;$F1598="2",""&amp;$F1598="4",""&amp;$F1598="G",""&amp;$F1598="H"),IF($AY1598="YES","",IF($AB1598&lt;&gt;0,"",IF(COUNTIFS('AR SALES'!$L$2:$L$2501,$L1598,'AR SALES'!$AD$2:$AD$2501,IF(""&amp;$F1598="4","OFF","ON"),'AR SALES'!$AF$2:$AF$2501,"Y")&gt;0,"","NO EXEMPTION"))),"")</f>
        <v/>
      </c>
    </row>
    <row r="1599" spans="46:54" x14ac:dyDescent="0.25">
      <c r="AT1599" s="2" t="str">
        <f>IF($L1599="","",IFERROR(INDEX('AR SALES'!$H$2:$H$2501,MATCH(""&amp;$L1599,'AR SALES'!$AE$2:$AE$2501,0)),""))</f>
        <v/>
      </c>
      <c r="AU1599" s="2" t="str">
        <f t="shared" si="96"/>
        <v/>
      </c>
      <c r="AV1599" s="2" t="str">
        <f t="shared" si="97"/>
        <v/>
      </c>
      <c r="AW1599" s="2" t="str">
        <f t="shared" si="98"/>
        <v/>
      </c>
      <c r="AX1599" s="2" t="str">
        <f t="shared" si="99"/>
        <v/>
      </c>
      <c r="AY1599" s="2" t="str">
        <f>IF($AV1599="","",IF(AND($Z1599=0,COUNTIF('AR SALES'!$L$2:$L$2501,$L1599)=0),"YES",""))</f>
        <v/>
      </c>
      <c r="AZ1599" s="2" t="str">
        <f>IF($AV1599="","",IF(COUNTIF(LISTS!$C$2:$C$250,$AU1599)=0,"NEW",""))</f>
        <v/>
      </c>
      <c r="BA1599" s="2" t="str">
        <f>IF(""&amp;$F1599&lt;&gt;"4","",IF($AY1599="YES","",IF(ROUND(SUMIFS($AE$2:$AE$4001,$L$2:$L$4001,$L1599,$F$2:$F$4001,"4")-SUMIFS('AR SALES'!$Y$2:$Y$2501,'AR SALES'!$L$2:$L$2501,$L1599,'AR SALES'!$AD$2:$AD$2501,"OFF"),2)=0,"","STALE")))</f>
        <v/>
      </c>
      <c r="BB1599" s="2" t="str">
        <f>IF(OR(""&amp;$F1599="2",""&amp;$F1599="4",""&amp;$F1599="G",""&amp;$F1599="H"),IF($AY1599="YES","",IF($AB1599&lt;&gt;0,"",IF(COUNTIFS('AR SALES'!$L$2:$L$2501,$L1599,'AR SALES'!$AD$2:$AD$2501,IF(""&amp;$F1599="4","OFF","ON"),'AR SALES'!$AF$2:$AF$2501,"Y")&gt;0,"","NO EXEMPTION"))),"")</f>
        <v/>
      </c>
    </row>
    <row r="1600" spans="46:54" x14ac:dyDescent="0.25">
      <c r="AT1600" s="2" t="str">
        <f>IF($L1600="","",IFERROR(INDEX('AR SALES'!$H$2:$H$2501,MATCH(""&amp;$L1600,'AR SALES'!$AE$2:$AE$2501,0)),""))</f>
        <v/>
      </c>
      <c r="AU1600" s="2" t="str">
        <f t="shared" si="96"/>
        <v/>
      </c>
      <c r="AV1600" s="2" t="str">
        <f t="shared" si="97"/>
        <v/>
      </c>
      <c r="AW1600" s="2" t="str">
        <f t="shared" si="98"/>
        <v/>
      </c>
      <c r="AX1600" s="2" t="str">
        <f t="shared" si="99"/>
        <v/>
      </c>
      <c r="AY1600" s="2" t="str">
        <f>IF($AV1600="","",IF(AND($Z1600=0,COUNTIF('AR SALES'!$L$2:$L$2501,$L1600)=0),"YES",""))</f>
        <v/>
      </c>
      <c r="AZ1600" s="2" t="str">
        <f>IF($AV1600="","",IF(COUNTIF(LISTS!$C$2:$C$250,$AU1600)=0,"NEW",""))</f>
        <v/>
      </c>
      <c r="BA1600" s="2" t="str">
        <f>IF(""&amp;$F1600&lt;&gt;"4","",IF($AY1600="YES","",IF(ROUND(SUMIFS($AE$2:$AE$4001,$L$2:$L$4001,$L1600,$F$2:$F$4001,"4")-SUMIFS('AR SALES'!$Y$2:$Y$2501,'AR SALES'!$L$2:$L$2501,$L1600,'AR SALES'!$AD$2:$AD$2501,"OFF"),2)=0,"","STALE")))</f>
        <v/>
      </c>
      <c r="BB1600" s="2" t="str">
        <f>IF(OR(""&amp;$F1600="2",""&amp;$F1600="4",""&amp;$F1600="G",""&amp;$F1600="H"),IF($AY1600="YES","",IF($AB1600&lt;&gt;0,"",IF(COUNTIFS('AR SALES'!$L$2:$L$2501,$L1600,'AR SALES'!$AD$2:$AD$2501,IF(""&amp;$F1600="4","OFF","ON"),'AR SALES'!$AF$2:$AF$2501,"Y")&gt;0,"","NO EXEMPTION"))),"")</f>
        <v/>
      </c>
    </row>
    <row r="1601" spans="46:54" x14ac:dyDescent="0.25">
      <c r="AT1601" s="2" t="str">
        <f>IF($L1601="","",IFERROR(INDEX('AR SALES'!$H$2:$H$2501,MATCH(""&amp;$L1601,'AR SALES'!$AE$2:$AE$2501,0)),""))</f>
        <v/>
      </c>
      <c r="AU1601" s="2" t="str">
        <f t="shared" si="96"/>
        <v/>
      </c>
      <c r="AV1601" s="2" t="str">
        <f t="shared" si="97"/>
        <v/>
      </c>
      <c r="AW1601" s="2" t="str">
        <f t="shared" si="98"/>
        <v/>
      </c>
      <c r="AX1601" s="2" t="str">
        <f t="shared" si="99"/>
        <v/>
      </c>
      <c r="AY1601" s="2" t="str">
        <f>IF($AV1601="","",IF(AND($Z1601=0,COUNTIF('AR SALES'!$L$2:$L$2501,$L1601)=0),"YES",""))</f>
        <v/>
      </c>
      <c r="AZ1601" s="2" t="str">
        <f>IF($AV1601="","",IF(COUNTIF(LISTS!$C$2:$C$250,$AU1601)=0,"NEW",""))</f>
        <v/>
      </c>
      <c r="BA1601" s="2" t="str">
        <f>IF(""&amp;$F1601&lt;&gt;"4","",IF($AY1601="YES","",IF(ROUND(SUMIFS($AE$2:$AE$4001,$L$2:$L$4001,$L1601,$F$2:$F$4001,"4")-SUMIFS('AR SALES'!$Y$2:$Y$2501,'AR SALES'!$L$2:$L$2501,$L1601,'AR SALES'!$AD$2:$AD$2501,"OFF"),2)=0,"","STALE")))</f>
        <v/>
      </c>
      <c r="BB1601" s="2" t="str">
        <f>IF(OR(""&amp;$F1601="2",""&amp;$F1601="4",""&amp;$F1601="G",""&amp;$F1601="H"),IF($AY1601="YES","",IF($AB1601&lt;&gt;0,"",IF(COUNTIFS('AR SALES'!$L$2:$L$2501,$L1601,'AR SALES'!$AD$2:$AD$2501,IF(""&amp;$F1601="4","OFF","ON"),'AR SALES'!$AF$2:$AF$2501,"Y")&gt;0,"","NO EXEMPTION"))),"")</f>
        <v/>
      </c>
    </row>
    <row r="1602" spans="46:54" x14ac:dyDescent="0.25">
      <c r="AT1602" s="2" t="str">
        <f>IF($L1602="","",IFERROR(INDEX('AR SALES'!$H$2:$H$2501,MATCH(""&amp;$L1602,'AR SALES'!$AE$2:$AE$2501,0)),""))</f>
        <v/>
      </c>
      <c r="AU1602" s="2" t="str">
        <f t="shared" ref="AU1602:AU1665" si="100">IF($L1602="","",IF($A1602&lt;&gt;"GA","",IF($E1602="FULTON",IF(ISNUMBER(SEARCH("COLLEGE PARK",$AT1602)),"FULTON (COLLEGE PARK)",IF(ISNUMBER(SEARCH("ATLANTA CITY",$AT1602)),"FULTON (ATL LIMITS)","FULTON")),IF($E1602="DEKALB",IF(ISNUMBER(SEARCH("ATLANTA CITY",$AT1602)),"DEKALB (ATL LIMITS)","DEKALB"),$E1602))))</f>
        <v/>
      </c>
      <c r="AV1602" s="2" t="str">
        <f t="shared" ref="AV1602:AV1665" si="101">IF($L1602="","",IF(""&amp;$F1602="2","DIESEL",IF(OR(""&amp;$F1602="G",""&amp;$F1602="H"),"GAS","")))</f>
        <v/>
      </c>
      <c r="AW1602" s="2" t="str">
        <f t="shared" ref="AW1602:AW1665" si="102">IF($AV1602="","",$R1602)</f>
        <v/>
      </c>
      <c r="AX1602" s="2" t="str">
        <f t="shared" ref="AX1602:AX1665" si="103">IF($AV1602="","",IF($AB1602=0,$R1602,0))</f>
        <v/>
      </c>
      <c r="AY1602" s="2" t="str">
        <f>IF($AV1602="","",IF(AND($Z1602=0,COUNTIF('AR SALES'!$L$2:$L$2501,$L1602)=0),"YES",""))</f>
        <v/>
      </c>
      <c r="AZ1602" s="2" t="str">
        <f>IF($AV1602="","",IF(COUNTIF(LISTS!$C$2:$C$250,$AU1602)=0,"NEW",""))</f>
        <v/>
      </c>
      <c r="BA1602" s="2" t="str">
        <f>IF(""&amp;$F1602&lt;&gt;"4","",IF($AY1602="YES","",IF(ROUND(SUMIFS($AE$2:$AE$4001,$L$2:$L$4001,$L1602,$F$2:$F$4001,"4")-SUMIFS('AR SALES'!$Y$2:$Y$2501,'AR SALES'!$L$2:$L$2501,$L1602,'AR SALES'!$AD$2:$AD$2501,"OFF"),2)=0,"","STALE")))</f>
        <v/>
      </c>
      <c r="BB1602" s="2" t="str">
        <f>IF(OR(""&amp;$F1602="2",""&amp;$F1602="4",""&amp;$F1602="G",""&amp;$F1602="H"),IF($AY1602="YES","",IF($AB1602&lt;&gt;0,"",IF(COUNTIFS('AR SALES'!$L$2:$L$2501,$L1602,'AR SALES'!$AD$2:$AD$2501,IF(""&amp;$F1602="4","OFF","ON"),'AR SALES'!$AF$2:$AF$2501,"Y")&gt;0,"","NO EXEMPTION"))),"")</f>
        <v/>
      </c>
    </row>
    <row r="1603" spans="46:54" x14ac:dyDescent="0.25">
      <c r="AT1603" s="2" t="str">
        <f>IF($L1603="","",IFERROR(INDEX('AR SALES'!$H$2:$H$2501,MATCH(""&amp;$L1603,'AR SALES'!$AE$2:$AE$2501,0)),""))</f>
        <v/>
      </c>
      <c r="AU1603" s="2" t="str">
        <f t="shared" si="100"/>
        <v/>
      </c>
      <c r="AV1603" s="2" t="str">
        <f t="shared" si="101"/>
        <v/>
      </c>
      <c r="AW1603" s="2" t="str">
        <f t="shared" si="102"/>
        <v/>
      </c>
      <c r="AX1603" s="2" t="str">
        <f t="shared" si="103"/>
        <v/>
      </c>
      <c r="AY1603" s="2" t="str">
        <f>IF($AV1603="","",IF(AND($Z1603=0,COUNTIF('AR SALES'!$L$2:$L$2501,$L1603)=0),"YES",""))</f>
        <v/>
      </c>
      <c r="AZ1603" s="2" t="str">
        <f>IF($AV1603="","",IF(COUNTIF(LISTS!$C$2:$C$250,$AU1603)=0,"NEW",""))</f>
        <v/>
      </c>
      <c r="BA1603" s="2" t="str">
        <f>IF(""&amp;$F1603&lt;&gt;"4","",IF($AY1603="YES","",IF(ROUND(SUMIFS($AE$2:$AE$4001,$L$2:$L$4001,$L1603,$F$2:$F$4001,"4")-SUMIFS('AR SALES'!$Y$2:$Y$2501,'AR SALES'!$L$2:$L$2501,$L1603,'AR SALES'!$AD$2:$AD$2501,"OFF"),2)=0,"","STALE")))</f>
        <v/>
      </c>
      <c r="BB1603" s="2" t="str">
        <f>IF(OR(""&amp;$F1603="2",""&amp;$F1603="4",""&amp;$F1603="G",""&amp;$F1603="H"),IF($AY1603="YES","",IF($AB1603&lt;&gt;0,"",IF(COUNTIFS('AR SALES'!$L$2:$L$2501,$L1603,'AR SALES'!$AD$2:$AD$2501,IF(""&amp;$F1603="4","OFF","ON"),'AR SALES'!$AF$2:$AF$2501,"Y")&gt;0,"","NO EXEMPTION"))),"")</f>
        <v/>
      </c>
    </row>
    <row r="1604" spans="46:54" x14ac:dyDescent="0.25">
      <c r="AT1604" s="2" t="str">
        <f>IF($L1604="","",IFERROR(INDEX('AR SALES'!$H$2:$H$2501,MATCH(""&amp;$L1604,'AR SALES'!$AE$2:$AE$2501,0)),""))</f>
        <v/>
      </c>
      <c r="AU1604" s="2" t="str">
        <f t="shared" si="100"/>
        <v/>
      </c>
      <c r="AV1604" s="2" t="str">
        <f t="shared" si="101"/>
        <v/>
      </c>
      <c r="AW1604" s="2" t="str">
        <f t="shared" si="102"/>
        <v/>
      </c>
      <c r="AX1604" s="2" t="str">
        <f t="shared" si="103"/>
        <v/>
      </c>
      <c r="AY1604" s="2" t="str">
        <f>IF($AV1604="","",IF(AND($Z1604=0,COUNTIF('AR SALES'!$L$2:$L$2501,$L1604)=0),"YES",""))</f>
        <v/>
      </c>
      <c r="AZ1604" s="2" t="str">
        <f>IF($AV1604="","",IF(COUNTIF(LISTS!$C$2:$C$250,$AU1604)=0,"NEW",""))</f>
        <v/>
      </c>
      <c r="BA1604" s="2" t="str">
        <f>IF(""&amp;$F1604&lt;&gt;"4","",IF($AY1604="YES","",IF(ROUND(SUMIFS($AE$2:$AE$4001,$L$2:$L$4001,$L1604,$F$2:$F$4001,"4")-SUMIFS('AR SALES'!$Y$2:$Y$2501,'AR SALES'!$L$2:$L$2501,$L1604,'AR SALES'!$AD$2:$AD$2501,"OFF"),2)=0,"","STALE")))</f>
        <v/>
      </c>
      <c r="BB1604" s="2" t="str">
        <f>IF(OR(""&amp;$F1604="2",""&amp;$F1604="4",""&amp;$F1604="G",""&amp;$F1604="H"),IF($AY1604="YES","",IF($AB1604&lt;&gt;0,"",IF(COUNTIFS('AR SALES'!$L$2:$L$2501,$L1604,'AR SALES'!$AD$2:$AD$2501,IF(""&amp;$F1604="4","OFF","ON"),'AR SALES'!$AF$2:$AF$2501,"Y")&gt;0,"","NO EXEMPTION"))),"")</f>
        <v/>
      </c>
    </row>
    <row r="1605" spans="46:54" x14ac:dyDescent="0.25">
      <c r="AT1605" s="2" t="str">
        <f>IF($L1605="","",IFERROR(INDEX('AR SALES'!$H$2:$H$2501,MATCH(""&amp;$L1605,'AR SALES'!$AE$2:$AE$2501,0)),""))</f>
        <v/>
      </c>
      <c r="AU1605" s="2" t="str">
        <f t="shared" si="100"/>
        <v/>
      </c>
      <c r="AV1605" s="2" t="str">
        <f t="shared" si="101"/>
        <v/>
      </c>
      <c r="AW1605" s="2" t="str">
        <f t="shared" si="102"/>
        <v/>
      </c>
      <c r="AX1605" s="2" t="str">
        <f t="shared" si="103"/>
        <v/>
      </c>
      <c r="AY1605" s="2" t="str">
        <f>IF($AV1605="","",IF(AND($Z1605=0,COUNTIF('AR SALES'!$L$2:$L$2501,$L1605)=0),"YES",""))</f>
        <v/>
      </c>
      <c r="AZ1605" s="2" t="str">
        <f>IF($AV1605="","",IF(COUNTIF(LISTS!$C$2:$C$250,$AU1605)=0,"NEW",""))</f>
        <v/>
      </c>
      <c r="BA1605" s="2" t="str">
        <f>IF(""&amp;$F1605&lt;&gt;"4","",IF($AY1605="YES","",IF(ROUND(SUMIFS($AE$2:$AE$4001,$L$2:$L$4001,$L1605,$F$2:$F$4001,"4")-SUMIFS('AR SALES'!$Y$2:$Y$2501,'AR SALES'!$L$2:$L$2501,$L1605,'AR SALES'!$AD$2:$AD$2501,"OFF"),2)=0,"","STALE")))</f>
        <v/>
      </c>
      <c r="BB1605" s="2" t="str">
        <f>IF(OR(""&amp;$F1605="2",""&amp;$F1605="4",""&amp;$F1605="G",""&amp;$F1605="H"),IF($AY1605="YES","",IF($AB1605&lt;&gt;0,"",IF(COUNTIFS('AR SALES'!$L$2:$L$2501,$L1605,'AR SALES'!$AD$2:$AD$2501,IF(""&amp;$F1605="4","OFF","ON"),'AR SALES'!$AF$2:$AF$2501,"Y")&gt;0,"","NO EXEMPTION"))),"")</f>
        <v/>
      </c>
    </row>
    <row r="1606" spans="46:54" x14ac:dyDescent="0.25">
      <c r="AT1606" s="2" t="str">
        <f>IF($L1606="","",IFERROR(INDEX('AR SALES'!$H$2:$H$2501,MATCH(""&amp;$L1606,'AR SALES'!$AE$2:$AE$2501,0)),""))</f>
        <v/>
      </c>
      <c r="AU1606" s="2" t="str">
        <f t="shared" si="100"/>
        <v/>
      </c>
      <c r="AV1606" s="2" t="str">
        <f t="shared" si="101"/>
        <v/>
      </c>
      <c r="AW1606" s="2" t="str">
        <f t="shared" si="102"/>
        <v/>
      </c>
      <c r="AX1606" s="2" t="str">
        <f t="shared" si="103"/>
        <v/>
      </c>
      <c r="AY1606" s="2" t="str">
        <f>IF($AV1606="","",IF(AND($Z1606=0,COUNTIF('AR SALES'!$L$2:$L$2501,$L1606)=0),"YES",""))</f>
        <v/>
      </c>
      <c r="AZ1606" s="2" t="str">
        <f>IF($AV1606="","",IF(COUNTIF(LISTS!$C$2:$C$250,$AU1606)=0,"NEW",""))</f>
        <v/>
      </c>
      <c r="BA1606" s="2" t="str">
        <f>IF(""&amp;$F1606&lt;&gt;"4","",IF($AY1606="YES","",IF(ROUND(SUMIFS($AE$2:$AE$4001,$L$2:$L$4001,$L1606,$F$2:$F$4001,"4")-SUMIFS('AR SALES'!$Y$2:$Y$2501,'AR SALES'!$L$2:$L$2501,$L1606,'AR SALES'!$AD$2:$AD$2501,"OFF"),2)=0,"","STALE")))</f>
        <v/>
      </c>
      <c r="BB1606" s="2" t="str">
        <f>IF(OR(""&amp;$F1606="2",""&amp;$F1606="4",""&amp;$F1606="G",""&amp;$F1606="H"),IF($AY1606="YES","",IF($AB1606&lt;&gt;0,"",IF(COUNTIFS('AR SALES'!$L$2:$L$2501,$L1606,'AR SALES'!$AD$2:$AD$2501,IF(""&amp;$F1606="4","OFF","ON"),'AR SALES'!$AF$2:$AF$2501,"Y")&gt;0,"","NO EXEMPTION"))),"")</f>
        <v/>
      </c>
    </row>
    <row r="1607" spans="46:54" x14ac:dyDescent="0.25">
      <c r="AT1607" s="2" t="str">
        <f>IF($L1607="","",IFERROR(INDEX('AR SALES'!$H$2:$H$2501,MATCH(""&amp;$L1607,'AR SALES'!$AE$2:$AE$2501,0)),""))</f>
        <v/>
      </c>
      <c r="AU1607" s="2" t="str">
        <f t="shared" si="100"/>
        <v/>
      </c>
      <c r="AV1607" s="2" t="str">
        <f t="shared" si="101"/>
        <v/>
      </c>
      <c r="AW1607" s="2" t="str">
        <f t="shared" si="102"/>
        <v/>
      </c>
      <c r="AX1607" s="2" t="str">
        <f t="shared" si="103"/>
        <v/>
      </c>
      <c r="AY1607" s="2" t="str">
        <f>IF($AV1607="","",IF(AND($Z1607=0,COUNTIF('AR SALES'!$L$2:$L$2501,$L1607)=0),"YES",""))</f>
        <v/>
      </c>
      <c r="AZ1607" s="2" t="str">
        <f>IF($AV1607="","",IF(COUNTIF(LISTS!$C$2:$C$250,$AU1607)=0,"NEW",""))</f>
        <v/>
      </c>
      <c r="BA1607" s="2" t="str">
        <f>IF(""&amp;$F1607&lt;&gt;"4","",IF($AY1607="YES","",IF(ROUND(SUMIFS($AE$2:$AE$4001,$L$2:$L$4001,$L1607,$F$2:$F$4001,"4")-SUMIFS('AR SALES'!$Y$2:$Y$2501,'AR SALES'!$L$2:$L$2501,$L1607,'AR SALES'!$AD$2:$AD$2501,"OFF"),2)=0,"","STALE")))</f>
        <v/>
      </c>
      <c r="BB1607" s="2" t="str">
        <f>IF(OR(""&amp;$F1607="2",""&amp;$F1607="4",""&amp;$F1607="G",""&amp;$F1607="H"),IF($AY1607="YES","",IF($AB1607&lt;&gt;0,"",IF(COUNTIFS('AR SALES'!$L$2:$L$2501,$L1607,'AR SALES'!$AD$2:$AD$2501,IF(""&amp;$F1607="4","OFF","ON"),'AR SALES'!$AF$2:$AF$2501,"Y")&gt;0,"","NO EXEMPTION"))),"")</f>
        <v/>
      </c>
    </row>
    <row r="1608" spans="46:54" x14ac:dyDescent="0.25">
      <c r="AT1608" s="2" t="str">
        <f>IF($L1608="","",IFERROR(INDEX('AR SALES'!$H$2:$H$2501,MATCH(""&amp;$L1608,'AR SALES'!$AE$2:$AE$2501,0)),""))</f>
        <v/>
      </c>
      <c r="AU1608" s="2" t="str">
        <f t="shared" si="100"/>
        <v/>
      </c>
      <c r="AV1608" s="2" t="str">
        <f t="shared" si="101"/>
        <v/>
      </c>
      <c r="AW1608" s="2" t="str">
        <f t="shared" si="102"/>
        <v/>
      </c>
      <c r="AX1608" s="2" t="str">
        <f t="shared" si="103"/>
        <v/>
      </c>
      <c r="AY1608" s="2" t="str">
        <f>IF($AV1608="","",IF(AND($Z1608=0,COUNTIF('AR SALES'!$L$2:$L$2501,$L1608)=0),"YES",""))</f>
        <v/>
      </c>
      <c r="AZ1608" s="2" t="str">
        <f>IF($AV1608="","",IF(COUNTIF(LISTS!$C$2:$C$250,$AU1608)=0,"NEW",""))</f>
        <v/>
      </c>
      <c r="BA1608" s="2" t="str">
        <f>IF(""&amp;$F1608&lt;&gt;"4","",IF($AY1608="YES","",IF(ROUND(SUMIFS($AE$2:$AE$4001,$L$2:$L$4001,$L1608,$F$2:$F$4001,"4")-SUMIFS('AR SALES'!$Y$2:$Y$2501,'AR SALES'!$L$2:$L$2501,$L1608,'AR SALES'!$AD$2:$AD$2501,"OFF"),2)=0,"","STALE")))</f>
        <v/>
      </c>
      <c r="BB1608" s="2" t="str">
        <f>IF(OR(""&amp;$F1608="2",""&amp;$F1608="4",""&amp;$F1608="G",""&amp;$F1608="H"),IF($AY1608="YES","",IF($AB1608&lt;&gt;0,"",IF(COUNTIFS('AR SALES'!$L$2:$L$2501,$L1608,'AR SALES'!$AD$2:$AD$2501,IF(""&amp;$F1608="4","OFF","ON"),'AR SALES'!$AF$2:$AF$2501,"Y")&gt;0,"","NO EXEMPTION"))),"")</f>
        <v/>
      </c>
    </row>
    <row r="1609" spans="46:54" x14ac:dyDescent="0.25">
      <c r="AT1609" s="2" t="str">
        <f>IF($L1609="","",IFERROR(INDEX('AR SALES'!$H$2:$H$2501,MATCH(""&amp;$L1609,'AR SALES'!$AE$2:$AE$2501,0)),""))</f>
        <v/>
      </c>
      <c r="AU1609" s="2" t="str">
        <f t="shared" si="100"/>
        <v/>
      </c>
      <c r="AV1609" s="2" t="str">
        <f t="shared" si="101"/>
        <v/>
      </c>
      <c r="AW1609" s="2" t="str">
        <f t="shared" si="102"/>
        <v/>
      </c>
      <c r="AX1609" s="2" t="str">
        <f t="shared" si="103"/>
        <v/>
      </c>
      <c r="AY1609" s="2" t="str">
        <f>IF($AV1609="","",IF(AND($Z1609=0,COUNTIF('AR SALES'!$L$2:$L$2501,$L1609)=0),"YES",""))</f>
        <v/>
      </c>
      <c r="AZ1609" s="2" t="str">
        <f>IF($AV1609="","",IF(COUNTIF(LISTS!$C$2:$C$250,$AU1609)=0,"NEW",""))</f>
        <v/>
      </c>
      <c r="BA1609" s="2" t="str">
        <f>IF(""&amp;$F1609&lt;&gt;"4","",IF($AY1609="YES","",IF(ROUND(SUMIFS($AE$2:$AE$4001,$L$2:$L$4001,$L1609,$F$2:$F$4001,"4")-SUMIFS('AR SALES'!$Y$2:$Y$2501,'AR SALES'!$L$2:$L$2501,$L1609,'AR SALES'!$AD$2:$AD$2501,"OFF"),2)=0,"","STALE")))</f>
        <v/>
      </c>
      <c r="BB1609" s="2" t="str">
        <f>IF(OR(""&amp;$F1609="2",""&amp;$F1609="4",""&amp;$F1609="G",""&amp;$F1609="H"),IF($AY1609="YES","",IF($AB1609&lt;&gt;0,"",IF(COUNTIFS('AR SALES'!$L$2:$L$2501,$L1609,'AR SALES'!$AD$2:$AD$2501,IF(""&amp;$F1609="4","OFF","ON"),'AR SALES'!$AF$2:$AF$2501,"Y")&gt;0,"","NO EXEMPTION"))),"")</f>
        <v/>
      </c>
    </row>
    <row r="1610" spans="46:54" x14ac:dyDescent="0.25">
      <c r="AT1610" s="2" t="str">
        <f>IF($L1610="","",IFERROR(INDEX('AR SALES'!$H$2:$H$2501,MATCH(""&amp;$L1610,'AR SALES'!$AE$2:$AE$2501,0)),""))</f>
        <v/>
      </c>
      <c r="AU1610" s="2" t="str">
        <f t="shared" si="100"/>
        <v/>
      </c>
      <c r="AV1610" s="2" t="str">
        <f t="shared" si="101"/>
        <v/>
      </c>
      <c r="AW1610" s="2" t="str">
        <f t="shared" si="102"/>
        <v/>
      </c>
      <c r="AX1610" s="2" t="str">
        <f t="shared" si="103"/>
        <v/>
      </c>
      <c r="AY1610" s="2" t="str">
        <f>IF($AV1610="","",IF(AND($Z1610=0,COUNTIF('AR SALES'!$L$2:$L$2501,$L1610)=0),"YES",""))</f>
        <v/>
      </c>
      <c r="AZ1610" s="2" t="str">
        <f>IF($AV1610="","",IF(COUNTIF(LISTS!$C$2:$C$250,$AU1610)=0,"NEW",""))</f>
        <v/>
      </c>
      <c r="BA1610" s="2" t="str">
        <f>IF(""&amp;$F1610&lt;&gt;"4","",IF($AY1610="YES","",IF(ROUND(SUMIFS($AE$2:$AE$4001,$L$2:$L$4001,$L1610,$F$2:$F$4001,"4")-SUMIFS('AR SALES'!$Y$2:$Y$2501,'AR SALES'!$L$2:$L$2501,$L1610,'AR SALES'!$AD$2:$AD$2501,"OFF"),2)=0,"","STALE")))</f>
        <v/>
      </c>
      <c r="BB1610" s="2" t="str">
        <f>IF(OR(""&amp;$F1610="2",""&amp;$F1610="4",""&amp;$F1610="G",""&amp;$F1610="H"),IF($AY1610="YES","",IF($AB1610&lt;&gt;0,"",IF(COUNTIFS('AR SALES'!$L$2:$L$2501,$L1610,'AR SALES'!$AD$2:$AD$2501,IF(""&amp;$F1610="4","OFF","ON"),'AR SALES'!$AF$2:$AF$2501,"Y")&gt;0,"","NO EXEMPTION"))),"")</f>
        <v/>
      </c>
    </row>
    <row r="1611" spans="46:54" x14ac:dyDescent="0.25">
      <c r="AT1611" s="2" t="str">
        <f>IF($L1611="","",IFERROR(INDEX('AR SALES'!$H$2:$H$2501,MATCH(""&amp;$L1611,'AR SALES'!$AE$2:$AE$2501,0)),""))</f>
        <v/>
      </c>
      <c r="AU1611" s="2" t="str">
        <f t="shared" si="100"/>
        <v/>
      </c>
      <c r="AV1611" s="2" t="str">
        <f t="shared" si="101"/>
        <v/>
      </c>
      <c r="AW1611" s="2" t="str">
        <f t="shared" si="102"/>
        <v/>
      </c>
      <c r="AX1611" s="2" t="str">
        <f t="shared" si="103"/>
        <v/>
      </c>
      <c r="AY1611" s="2" t="str">
        <f>IF($AV1611="","",IF(AND($Z1611=0,COUNTIF('AR SALES'!$L$2:$L$2501,$L1611)=0),"YES",""))</f>
        <v/>
      </c>
      <c r="AZ1611" s="2" t="str">
        <f>IF($AV1611="","",IF(COUNTIF(LISTS!$C$2:$C$250,$AU1611)=0,"NEW",""))</f>
        <v/>
      </c>
      <c r="BA1611" s="2" t="str">
        <f>IF(""&amp;$F1611&lt;&gt;"4","",IF($AY1611="YES","",IF(ROUND(SUMIFS($AE$2:$AE$4001,$L$2:$L$4001,$L1611,$F$2:$F$4001,"4")-SUMIFS('AR SALES'!$Y$2:$Y$2501,'AR SALES'!$L$2:$L$2501,$L1611,'AR SALES'!$AD$2:$AD$2501,"OFF"),2)=0,"","STALE")))</f>
        <v/>
      </c>
      <c r="BB1611" s="2" t="str">
        <f>IF(OR(""&amp;$F1611="2",""&amp;$F1611="4",""&amp;$F1611="G",""&amp;$F1611="H"),IF($AY1611="YES","",IF($AB1611&lt;&gt;0,"",IF(COUNTIFS('AR SALES'!$L$2:$L$2501,$L1611,'AR SALES'!$AD$2:$AD$2501,IF(""&amp;$F1611="4","OFF","ON"),'AR SALES'!$AF$2:$AF$2501,"Y")&gt;0,"","NO EXEMPTION"))),"")</f>
        <v/>
      </c>
    </row>
    <row r="1612" spans="46:54" x14ac:dyDescent="0.25">
      <c r="AT1612" s="2" t="str">
        <f>IF($L1612="","",IFERROR(INDEX('AR SALES'!$H$2:$H$2501,MATCH(""&amp;$L1612,'AR SALES'!$AE$2:$AE$2501,0)),""))</f>
        <v/>
      </c>
      <c r="AU1612" s="2" t="str">
        <f t="shared" si="100"/>
        <v/>
      </c>
      <c r="AV1612" s="2" t="str">
        <f t="shared" si="101"/>
        <v/>
      </c>
      <c r="AW1612" s="2" t="str">
        <f t="shared" si="102"/>
        <v/>
      </c>
      <c r="AX1612" s="2" t="str">
        <f t="shared" si="103"/>
        <v/>
      </c>
      <c r="AY1612" s="2" t="str">
        <f>IF($AV1612="","",IF(AND($Z1612=0,COUNTIF('AR SALES'!$L$2:$L$2501,$L1612)=0),"YES",""))</f>
        <v/>
      </c>
      <c r="AZ1612" s="2" t="str">
        <f>IF($AV1612="","",IF(COUNTIF(LISTS!$C$2:$C$250,$AU1612)=0,"NEW",""))</f>
        <v/>
      </c>
      <c r="BA1612" s="2" t="str">
        <f>IF(""&amp;$F1612&lt;&gt;"4","",IF($AY1612="YES","",IF(ROUND(SUMIFS($AE$2:$AE$4001,$L$2:$L$4001,$L1612,$F$2:$F$4001,"4")-SUMIFS('AR SALES'!$Y$2:$Y$2501,'AR SALES'!$L$2:$L$2501,$L1612,'AR SALES'!$AD$2:$AD$2501,"OFF"),2)=0,"","STALE")))</f>
        <v/>
      </c>
      <c r="BB1612" s="2" t="str">
        <f>IF(OR(""&amp;$F1612="2",""&amp;$F1612="4",""&amp;$F1612="G",""&amp;$F1612="H"),IF($AY1612="YES","",IF($AB1612&lt;&gt;0,"",IF(COUNTIFS('AR SALES'!$L$2:$L$2501,$L1612,'AR SALES'!$AD$2:$AD$2501,IF(""&amp;$F1612="4","OFF","ON"),'AR SALES'!$AF$2:$AF$2501,"Y")&gt;0,"","NO EXEMPTION"))),"")</f>
        <v/>
      </c>
    </row>
    <row r="1613" spans="46:54" x14ac:dyDescent="0.25">
      <c r="AT1613" s="2" t="str">
        <f>IF($L1613="","",IFERROR(INDEX('AR SALES'!$H$2:$H$2501,MATCH(""&amp;$L1613,'AR SALES'!$AE$2:$AE$2501,0)),""))</f>
        <v/>
      </c>
      <c r="AU1613" s="2" t="str">
        <f t="shared" si="100"/>
        <v/>
      </c>
      <c r="AV1613" s="2" t="str">
        <f t="shared" si="101"/>
        <v/>
      </c>
      <c r="AW1613" s="2" t="str">
        <f t="shared" si="102"/>
        <v/>
      </c>
      <c r="AX1613" s="2" t="str">
        <f t="shared" si="103"/>
        <v/>
      </c>
      <c r="AY1613" s="2" t="str">
        <f>IF($AV1613="","",IF(AND($Z1613=0,COUNTIF('AR SALES'!$L$2:$L$2501,$L1613)=0),"YES",""))</f>
        <v/>
      </c>
      <c r="AZ1613" s="2" t="str">
        <f>IF($AV1613="","",IF(COUNTIF(LISTS!$C$2:$C$250,$AU1613)=0,"NEW",""))</f>
        <v/>
      </c>
      <c r="BA1613" s="2" t="str">
        <f>IF(""&amp;$F1613&lt;&gt;"4","",IF($AY1613="YES","",IF(ROUND(SUMIFS($AE$2:$AE$4001,$L$2:$L$4001,$L1613,$F$2:$F$4001,"4")-SUMIFS('AR SALES'!$Y$2:$Y$2501,'AR SALES'!$L$2:$L$2501,$L1613,'AR SALES'!$AD$2:$AD$2501,"OFF"),2)=0,"","STALE")))</f>
        <v/>
      </c>
      <c r="BB1613" s="2" t="str">
        <f>IF(OR(""&amp;$F1613="2",""&amp;$F1613="4",""&amp;$F1613="G",""&amp;$F1613="H"),IF($AY1613="YES","",IF($AB1613&lt;&gt;0,"",IF(COUNTIFS('AR SALES'!$L$2:$L$2501,$L1613,'AR SALES'!$AD$2:$AD$2501,IF(""&amp;$F1613="4","OFF","ON"),'AR SALES'!$AF$2:$AF$2501,"Y")&gt;0,"","NO EXEMPTION"))),"")</f>
        <v/>
      </c>
    </row>
    <row r="1614" spans="46:54" x14ac:dyDescent="0.25">
      <c r="AT1614" s="2" t="str">
        <f>IF($L1614="","",IFERROR(INDEX('AR SALES'!$H$2:$H$2501,MATCH(""&amp;$L1614,'AR SALES'!$AE$2:$AE$2501,0)),""))</f>
        <v/>
      </c>
      <c r="AU1614" s="2" t="str">
        <f t="shared" si="100"/>
        <v/>
      </c>
      <c r="AV1614" s="2" t="str">
        <f t="shared" si="101"/>
        <v/>
      </c>
      <c r="AW1614" s="2" t="str">
        <f t="shared" si="102"/>
        <v/>
      </c>
      <c r="AX1614" s="2" t="str">
        <f t="shared" si="103"/>
        <v/>
      </c>
      <c r="AY1614" s="2" t="str">
        <f>IF($AV1614="","",IF(AND($Z1614=0,COUNTIF('AR SALES'!$L$2:$L$2501,$L1614)=0),"YES",""))</f>
        <v/>
      </c>
      <c r="AZ1614" s="2" t="str">
        <f>IF($AV1614="","",IF(COUNTIF(LISTS!$C$2:$C$250,$AU1614)=0,"NEW",""))</f>
        <v/>
      </c>
      <c r="BA1614" s="2" t="str">
        <f>IF(""&amp;$F1614&lt;&gt;"4","",IF($AY1614="YES","",IF(ROUND(SUMIFS($AE$2:$AE$4001,$L$2:$L$4001,$L1614,$F$2:$F$4001,"4")-SUMIFS('AR SALES'!$Y$2:$Y$2501,'AR SALES'!$L$2:$L$2501,$L1614,'AR SALES'!$AD$2:$AD$2501,"OFF"),2)=0,"","STALE")))</f>
        <v/>
      </c>
      <c r="BB1614" s="2" t="str">
        <f>IF(OR(""&amp;$F1614="2",""&amp;$F1614="4",""&amp;$F1614="G",""&amp;$F1614="H"),IF($AY1614="YES","",IF($AB1614&lt;&gt;0,"",IF(COUNTIFS('AR SALES'!$L$2:$L$2501,$L1614,'AR SALES'!$AD$2:$AD$2501,IF(""&amp;$F1614="4","OFF","ON"),'AR SALES'!$AF$2:$AF$2501,"Y")&gt;0,"","NO EXEMPTION"))),"")</f>
        <v/>
      </c>
    </row>
    <row r="1615" spans="46:54" x14ac:dyDescent="0.25">
      <c r="AT1615" s="2" t="str">
        <f>IF($L1615="","",IFERROR(INDEX('AR SALES'!$H$2:$H$2501,MATCH(""&amp;$L1615,'AR SALES'!$AE$2:$AE$2501,0)),""))</f>
        <v/>
      </c>
      <c r="AU1615" s="2" t="str">
        <f t="shared" si="100"/>
        <v/>
      </c>
      <c r="AV1615" s="2" t="str">
        <f t="shared" si="101"/>
        <v/>
      </c>
      <c r="AW1615" s="2" t="str">
        <f t="shared" si="102"/>
        <v/>
      </c>
      <c r="AX1615" s="2" t="str">
        <f t="shared" si="103"/>
        <v/>
      </c>
      <c r="AY1615" s="2" t="str">
        <f>IF($AV1615="","",IF(AND($Z1615=0,COUNTIF('AR SALES'!$L$2:$L$2501,$L1615)=0),"YES",""))</f>
        <v/>
      </c>
      <c r="AZ1615" s="2" t="str">
        <f>IF($AV1615="","",IF(COUNTIF(LISTS!$C$2:$C$250,$AU1615)=0,"NEW",""))</f>
        <v/>
      </c>
      <c r="BA1615" s="2" t="str">
        <f>IF(""&amp;$F1615&lt;&gt;"4","",IF($AY1615="YES","",IF(ROUND(SUMIFS($AE$2:$AE$4001,$L$2:$L$4001,$L1615,$F$2:$F$4001,"4")-SUMIFS('AR SALES'!$Y$2:$Y$2501,'AR SALES'!$L$2:$L$2501,$L1615,'AR SALES'!$AD$2:$AD$2501,"OFF"),2)=0,"","STALE")))</f>
        <v/>
      </c>
      <c r="BB1615" s="2" t="str">
        <f>IF(OR(""&amp;$F1615="2",""&amp;$F1615="4",""&amp;$F1615="G",""&amp;$F1615="H"),IF($AY1615="YES","",IF($AB1615&lt;&gt;0,"",IF(COUNTIFS('AR SALES'!$L$2:$L$2501,$L1615,'AR SALES'!$AD$2:$AD$2501,IF(""&amp;$F1615="4","OFF","ON"),'AR SALES'!$AF$2:$AF$2501,"Y")&gt;0,"","NO EXEMPTION"))),"")</f>
        <v/>
      </c>
    </row>
    <row r="1616" spans="46:54" x14ac:dyDescent="0.25">
      <c r="AT1616" s="2" t="str">
        <f>IF($L1616="","",IFERROR(INDEX('AR SALES'!$H$2:$H$2501,MATCH(""&amp;$L1616,'AR SALES'!$AE$2:$AE$2501,0)),""))</f>
        <v/>
      </c>
      <c r="AU1616" s="2" t="str">
        <f t="shared" si="100"/>
        <v/>
      </c>
      <c r="AV1616" s="2" t="str">
        <f t="shared" si="101"/>
        <v/>
      </c>
      <c r="AW1616" s="2" t="str">
        <f t="shared" si="102"/>
        <v/>
      </c>
      <c r="AX1616" s="2" t="str">
        <f t="shared" si="103"/>
        <v/>
      </c>
      <c r="AY1616" s="2" t="str">
        <f>IF($AV1616="","",IF(AND($Z1616=0,COUNTIF('AR SALES'!$L$2:$L$2501,$L1616)=0),"YES",""))</f>
        <v/>
      </c>
      <c r="AZ1616" s="2" t="str">
        <f>IF($AV1616="","",IF(COUNTIF(LISTS!$C$2:$C$250,$AU1616)=0,"NEW",""))</f>
        <v/>
      </c>
      <c r="BA1616" s="2" t="str">
        <f>IF(""&amp;$F1616&lt;&gt;"4","",IF($AY1616="YES","",IF(ROUND(SUMIFS($AE$2:$AE$4001,$L$2:$L$4001,$L1616,$F$2:$F$4001,"4")-SUMIFS('AR SALES'!$Y$2:$Y$2501,'AR SALES'!$L$2:$L$2501,$L1616,'AR SALES'!$AD$2:$AD$2501,"OFF"),2)=0,"","STALE")))</f>
        <v/>
      </c>
      <c r="BB1616" s="2" t="str">
        <f>IF(OR(""&amp;$F1616="2",""&amp;$F1616="4",""&amp;$F1616="G",""&amp;$F1616="H"),IF($AY1616="YES","",IF($AB1616&lt;&gt;0,"",IF(COUNTIFS('AR SALES'!$L$2:$L$2501,$L1616,'AR SALES'!$AD$2:$AD$2501,IF(""&amp;$F1616="4","OFF","ON"),'AR SALES'!$AF$2:$AF$2501,"Y")&gt;0,"","NO EXEMPTION"))),"")</f>
        <v/>
      </c>
    </row>
    <row r="1617" spans="46:54" x14ac:dyDescent="0.25">
      <c r="AT1617" s="2" t="str">
        <f>IF($L1617="","",IFERROR(INDEX('AR SALES'!$H$2:$H$2501,MATCH(""&amp;$L1617,'AR SALES'!$AE$2:$AE$2501,0)),""))</f>
        <v/>
      </c>
      <c r="AU1617" s="2" t="str">
        <f t="shared" si="100"/>
        <v/>
      </c>
      <c r="AV1617" s="2" t="str">
        <f t="shared" si="101"/>
        <v/>
      </c>
      <c r="AW1617" s="2" t="str">
        <f t="shared" si="102"/>
        <v/>
      </c>
      <c r="AX1617" s="2" t="str">
        <f t="shared" si="103"/>
        <v/>
      </c>
      <c r="AY1617" s="2" t="str">
        <f>IF($AV1617="","",IF(AND($Z1617=0,COUNTIF('AR SALES'!$L$2:$L$2501,$L1617)=0),"YES",""))</f>
        <v/>
      </c>
      <c r="AZ1617" s="2" t="str">
        <f>IF($AV1617="","",IF(COUNTIF(LISTS!$C$2:$C$250,$AU1617)=0,"NEW",""))</f>
        <v/>
      </c>
      <c r="BA1617" s="2" t="str">
        <f>IF(""&amp;$F1617&lt;&gt;"4","",IF($AY1617="YES","",IF(ROUND(SUMIFS($AE$2:$AE$4001,$L$2:$L$4001,$L1617,$F$2:$F$4001,"4")-SUMIFS('AR SALES'!$Y$2:$Y$2501,'AR SALES'!$L$2:$L$2501,$L1617,'AR SALES'!$AD$2:$AD$2501,"OFF"),2)=0,"","STALE")))</f>
        <v/>
      </c>
      <c r="BB1617" s="2" t="str">
        <f>IF(OR(""&amp;$F1617="2",""&amp;$F1617="4",""&amp;$F1617="G",""&amp;$F1617="H"),IF($AY1617="YES","",IF($AB1617&lt;&gt;0,"",IF(COUNTIFS('AR SALES'!$L$2:$L$2501,$L1617,'AR SALES'!$AD$2:$AD$2501,IF(""&amp;$F1617="4","OFF","ON"),'AR SALES'!$AF$2:$AF$2501,"Y")&gt;0,"","NO EXEMPTION"))),"")</f>
        <v/>
      </c>
    </row>
    <row r="1618" spans="46:54" x14ac:dyDescent="0.25">
      <c r="AT1618" s="2" t="str">
        <f>IF($L1618="","",IFERROR(INDEX('AR SALES'!$H$2:$H$2501,MATCH(""&amp;$L1618,'AR SALES'!$AE$2:$AE$2501,0)),""))</f>
        <v/>
      </c>
      <c r="AU1618" s="2" t="str">
        <f t="shared" si="100"/>
        <v/>
      </c>
      <c r="AV1618" s="2" t="str">
        <f t="shared" si="101"/>
        <v/>
      </c>
      <c r="AW1618" s="2" t="str">
        <f t="shared" si="102"/>
        <v/>
      </c>
      <c r="AX1618" s="2" t="str">
        <f t="shared" si="103"/>
        <v/>
      </c>
      <c r="AY1618" s="2" t="str">
        <f>IF($AV1618="","",IF(AND($Z1618=0,COUNTIF('AR SALES'!$L$2:$L$2501,$L1618)=0),"YES",""))</f>
        <v/>
      </c>
      <c r="AZ1618" s="2" t="str">
        <f>IF($AV1618="","",IF(COUNTIF(LISTS!$C$2:$C$250,$AU1618)=0,"NEW",""))</f>
        <v/>
      </c>
      <c r="BA1618" s="2" t="str">
        <f>IF(""&amp;$F1618&lt;&gt;"4","",IF($AY1618="YES","",IF(ROUND(SUMIFS($AE$2:$AE$4001,$L$2:$L$4001,$L1618,$F$2:$F$4001,"4")-SUMIFS('AR SALES'!$Y$2:$Y$2501,'AR SALES'!$L$2:$L$2501,$L1618,'AR SALES'!$AD$2:$AD$2501,"OFF"),2)=0,"","STALE")))</f>
        <v/>
      </c>
      <c r="BB1618" s="2" t="str">
        <f>IF(OR(""&amp;$F1618="2",""&amp;$F1618="4",""&amp;$F1618="G",""&amp;$F1618="H"),IF($AY1618="YES","",IF($AB1618&lt;&gt;0,"",IF(COUNTIFS('AR SALES'!$L$2:$L$2501,$L1618,'AR SALES'!$AD$2:$AD$2501,IF(""&amp;$F1618="4","OFF","ON"),'AR SALES'!$AF$2:$AF$2501,"Y")&gt;0,"","NO EXEMPTION"))),"")</f>
        <v/>
      </c>
    </row>
    <row r="1619" spans="46:54" x14ac:dyDescent="0.25">
      <c r="AT1619" s="2" t="str">
        <f>IF($L1619="","",IFERROR(INDEX('AR SALES'!$H$2:$H$2501,MATCH(""&amp;$L1619,'AR SALES'!$AE$2:$AE$2501,0)),""))</f>
        <v/>
      </c>
      <c r="AU1619" s="2" t="str">
        <f t="shared" si="100"/>
        <v/>
      </c>
      <c r="AV1619" s="2" t="str">
        <f t="shared" si="101"/>
        <v/>
      </c>
      <c r="AW1619" s="2" t="str">
        <f t="shared" si="102"/>
        <v/>
      </c>
      <c r="AX1619" s="2" t="str">
        <f t="shared" si="103"/>
        <v/>
      </c>
      <c r="AY1619" s="2" t="str">
        <f>IF($AV1619="","",IF(AND($Z1619=0,COUNTIF('AR SALES'!$L$2:$L$2501,$L1619)=0),"YES",""))</f>
        <v/>
      </c>
      <c r="AZ1619" s="2" t="str">
        <f>IF($AV1619="","",IF(COUNTIF(LISTS!$C$2:$C$250,$AU1619)=0,"NEW",""))</f>
        <v/>
      </c>
      <c r="BA1619" s="2" t="str">
        <f>IF(""&amp;$F1619&lt;&gt;"4","",IF($AY1619="YES","",IF(ROUND(SUMIFS($AE$2:$AE$4001,$L$2:$L$4001,$L1619,$F$2:$F$4001,"4")-SUMIFS('AR SALES'!$Y$2:$Y$2501,'AR SALES'!$L$2:$L$2501,$L1619,'AR SALES'!$AD$2:$AD$2501,"OFF"),2)=0,"","STALE")))</f>
        <v/>
      </c>
      <c r="BB1619" s="2" t="str">
        <f>IF(OR(""&amp;$F1619="2",""&amp;$F1619="4",""&amp;$F1619="G",""&amp;$F1619="H"),IF($AY1619="YES","",IF($AB1619&lt;&gt;0,"",IF(COUNTIFS('AR SALES'!$L$2:$L$2501,$L1619,'AR SALES'!$AD$2:$AD$2501,IF(""&amp;$F1619="4","OFF","ON"),'AR SALES'!$AF$2:$AF$2501,"Y")&gt;0,"","NO EXEMPTION"))),"")</f>
        <v/>
      </c>
    </row>
    <row r="1620" spans="46:54" x14ac:dyDescent="0.25">
      <c r="AT1620" s="2" t="str">
        <f>IF($L1620="","",IFERROR(INDEX('AR SALES'!$H$2:$H$2501,MATCH(""&amp;$L1620,'AR SALES'!$AE$2:$AE$2501,0)),""))</f>
        <v/>
      </c>
      <c r="AU1620" s="2" t="str">
        <f t="shared" si="100"/>
        <v/>
      </c>
      <c r="AV1620" s="2" t="str">
        <f t="shared" si="101"/>
        <v/>
      </c>
      <c r="AW1620" s="2" t="str">
        <f t="shared" si="102"/>
        <v/>
      </c>
      <c r="AX1620" s="2" t="str">
        <f t="shared" si="103"/>
        <v/>
      </c>
      <c r="AY1620" s="2" t="str">
        <f>IF($AV1620="","",IF(AND($Z1620=0,COUNTIF('AR SALES'!$L$2:$L$2501,$L1620)=0),"YES",""))</f>
        <v/>
      </c>
      <c r="AZ1620" s="2" t="str">
        <f>IF($AV1620="","",IF(COUNTIF(LISTS!$C$2:$C$250,$AU1620)=0,"NEW",""))</f>
        <v/>
      </c>
      <c r="BA1620" s="2" t="str">
        <f>IF(""&amp;$F1620&lt;&gt;"4","",IF($AY1620="YES","",IF(ROUND(SUMIFS($AE$2:$AE$4001,$L$2:$L$4001,$L1620,$F$2:$F$4001,"4")-SUMIFS('AR SALES'!$Y$2:$Y$2501,'AR SALES'!$L$2:$L$2501,$L1620,'AR SALES'!$AD$2:$AD$2501,"OFF"),2)=0,"","STALE")))</f>
        <v/>
      </c>
      <c r="BB1620" s="2" t="str">
        <f>IF(OR(""&amp;$F1620="2",""&amp;$F1620="4",""&amp;$F1620="G",""&amp;$F1620="H"),IF($AY1620="YES","",IF($AB1620&lt;&gt;0,"",IF(COUNTIFS('AR SALES'!$L$2:$L$2501,$L1620,'AR SALES'!$AD$2:$AD$2501,IF(""&amp;$F1620="4","OFF","ON"),'AR SALES'!$AF$2:$AF$2501,"Y")&gt;0,"","NO EXEMPTION"))),"")</f>
        <v/>
      </c>
    </row>
    <row r="1621" spans="46:54" x14ac:dyDescent="0.25">
      <c r="AT1621" s="2" t="str">
        <f>IF($L1621="","",IFERROR(INDEX('AR SALES'!$H$2:$H$2501,MATCH(""&amp;$L1621,'AR SALES'!$AE$2:$AE$2501,0)),""))</f>
        <v/>
      </c>
      <c r="AU1621" s="2" t="str">
        <f t="shared" si="100"/>
        <v/>
      </c>
      <c r="AV1621" s="2" t="str">
        <f t="shared" si="101"/>
        <v/>
      </c>
      <c r="AW1621" s="2" t="str">
        <f t="shared" si="102"/>
        <v/>
      </c>
      <c r="AX1621" s="2" t="str">
        <f t="shared" si="103"/>
        <v/>
      </c>
      <c r="AY1621" s="2" t="str">
        <f>IF($AV1621="","",IF(AND($Z1621=0,COUNTIF('AR SALES'!$L$2:$L$2501,$L1621)=0),"YES",""))</f>
        <v/>
      </c>
      <c r="AZ1621" s="2" t="str">
        <f>IF($AV1621="","",IF(COUNTIF(LISTS!$C$2:$C$250,$AU1621)=0,"NEW",""))</f>
        <v/>
      </c>
      <c r="BA1621" s="2" t="str">
        <f>IF(""&amp;$F1621&lt;&gt;"4","",IF($AY1621="YES","",IF(ROUND(SUMIFS($AE$2:$AE$4001,$L$2:$L$4001,$L1621,$F$2:$F$4001,"4")-SUMIFS('AR SALES'!$Y$2:$Y$2501,'AR SALES'!$L$2:$L$2501,$L1621,'AR SALES'!$AD$2:$AD$2501,"OFF"),2)=0,"","STALE")))</f>
        <v/>
      </c>
      <c r="BB1621" s="2" t="str">
        <f>IF(OR(""&amp;$F1621="2",""&amp;$F1621="4",""&amp;$F1621="G",""&amp;$F1621="H"),IF($AY1621="YES","",IF($AB1621&lt;&gt;0,"",IF(COUNTIFS('AR SALES'!$L$2:$L$2501,$L1621,'AR SALES'!$AD$2:$AD$2501,IF(""&amp;$F1621="4","OFF","ON"),'AR SALES'!$AF$2:$AF$2501,"Y")&gt;0,"","NO EXEMPTION"))),"")</f>
        <v/>
      </c>
    </row>
    <row r="1622" spans="46:54" x14ac:dyDescent="0.25">
      <c r="AT1622" s="2" t="str">
        <f>IF($L1622="","",IFERROR(INDEX('AR SALES'!$H$2:$H$2501,MATCH(""&amp;$L1622,'AR SALES'!$AE$2:$AE$2501,0)),""))</f>
        <v/>
      </c>
      <c r="AU1622" s="2" t="str">
        <f t="shared" si="100"/>
        <v/>
      </c>
      <c r="AV1622" s="2" t="str">
        <f t="shared" si="101"/>
        <v/>
      </c>
      <c r="AW1622" s="2" t="str">
        <f t="shared" si="102"/>
        <v/>
      </c>
      <c r="AX1622" s="2" t="str">
        <f t="shared" si="103"/>
        <v/>
      </c>
      <c r="AY1622" s="2" t="str">
        <f>IF($AV1622="","",IF(AND($Z1622=0,COUNTIF('AR SALES'!$L$2:$L$2501,$L1622)=0),"YES",""))</f>
        <v/>
      </c>
      <c r="AZ1622" s="2" t="str">
        <f>IF($AV1622="","",IF(COUNTIF(LISTS!$C$2:$C$250,$AU1622)=0,"NEW",""))</f>
        <v/>
      </c>
      <c r="BA1622" s="2" t="str">
        <f>IF(""&amp;$F1622&lt;&gt;"4","",IF($AY1622="YES","",IF(ROUND(SUMIFS($AE$2:$AE$4001,$L$2:$L$4001,$L1622,$F$2:$F$4001,"4")-SUMIFS('AR SALES'!$Y$2:$Y$2501,'AR SALES'!$L$2:$L$2501,$L1622,'AR SALES'!$AD$2:$AD$2501,"OFF"),2)=0,"","STALE")))</f>
        <v/>
      </c>
      <c r="BB1622" s="2" t="str">
        <f>IF(OR(""&amp;$F1622="2",""&amp;$F1622="4",""&amp;$F1622="G",""&amp;$F1622="H"),IF($AY1622="YES","",IF($AB1622&lt;&gt;0,"",IF(COUNTIFS('AR SALES'!$L$2:$L$2501,$L1622,'AR SALES'!$AD$2:$AD$2501,IF(""&amp;$F1622="4","OFF","ON"),'AR SALES'!$AF$2:$AF$2501,"Y")&gt;0,"","NO EXEMPTION"))),"")</f>
        <v/>
      </c>
    </row>
    <row r="1623" spans="46:54" x14ac:dyDescent="0.25">
      <c r="AT1623" s="2" t="str">
        <f>IF($L1623="","",IFERROR(INDEX('AR SALES'!$H$2:$H$2501,MATCH(""&amp;$L1623,'AR SALES'!$AE$2:$AE$2501,0)),""))</f>
        <v/>
      </c>
      <c r="AU1623" s="2" t="str">
        <f t="shared" si="100"/>
        <v/>
      </c>
      <c r="AV1623" s="2" t="str">
        <f t="shared" si="101"/>
        <v/>
      </c>
      <c r="AW1623" s="2" t="str">
        <f t="shared" si="102"/>
        <v/>
      </c>
      <c r="AX1623" s="2" t="str">
        <f t="shared" si="103"/>
        <v/>
      </c>
      <c r="AY1623" s="2" t="str">
        <f>IF($AV1623="","",IF(AND($Z1623=0,COUNTIF('AR SALES'!$L$2:$L$2501,$L1623)=0),"YES",""))</f>
        <v/>
      </c>
      <c r="AZ1623" s="2" t="str">
        <f>IF($AV1623="","",IF(COUNTIF(LISTS!$C$2:$C$250,$AU1623)=0,"NEW",""))</f>
        <v/>
      </c>
      <c r="BA1623" s="2" t="str">
        <f>IF(""&amp;$F1623&lt;&gt;"4","",IF($AY1623="YES","",IF(ROUND(SUMIFS($AE$2:$AE$4001,$L$2:$L$4001,$L1623,$F$2:$F$4001,"4")-SUMIFS('AR SALES'!$Y$2:$Y$2501,'AR SALES'!$L$2:$L$2501,$L1623,'AR SALES'!$AD$2:$AD$2501,"OFF"),2)=0,"","STALE")))</f>
        <v/>
      </c>
      <c r="BB1623" s="2" t="str">
        <f>IF(OR(""&amp;$F1623="2",""&amp;$F1623="4",""&amp;$F1623="G",""&amp;$F1623="H"),IF($AY1623="YES","",IF($AB1623&lt;&gt;0,"",IF(COUNTIFS('AR SALES'!$L$2:$L$2501,$L1623,'AR SALES'!$AD$2:$AD$2501,IF(""&amp;$F1623="4","OFF","ON"),'AR SALES'!$AF$2:$AF$2501,"Y")&gt;0,"","NO EXEMPTION"))),"")</f>
        <v/>
      </c>
    </row>
    <row r="1624" spans="46:54" x14ac:dyDescent="0.25">
      <c r="AT1624" s="2" t="str">
        <f>IF($L1624="","",IFERROR(INDEX('AR SALES'!$H$2:$H$2501,MATCH(""&amp;$L1624,'AR SALES'!$AE$2:$AE$2501,0)),""))</f>
        <v/>
      </c>
      <c r="AU1624" s="2" t="str">
        <f t="shared" si="100"/>
        <v/>
      </c>
      <c r="AV1624" s="2" t="str">
        <f t="shared" si="101"/>
        <v/>
      </c>
      <c r="AW1624" s="2" t="str">
        <f t="shared" si="102"/>
        <v/>
      </c>
      <c r="AX1624" s="2" t="str">
        <f t="shared" si="103"/>
        <v/>
      </c>
      <c r="AY1624" s="2" t="str">
        <f>IF($AV1624="","",IF(AND($Z1624=0,COUNTIF('AR SALES'!$L$2:$L$2501,$L1624)=0),"YES",""))</f>
        <v/>
      </c>
      <c r="AZ1624" s="2" t="str">
        <f>IF($AV1624="","",IF(COUNTIF(LISTS!$C$2:$C$250,$AU1624)=0,"NEW",""))</f>
        <v/>
      </c>
      <c r="BA1624" s="2" t="str">
        <f>IF(""&amp;$F1624&lt;&gt;"4","",IF($AY1624="YES","",IF(ROUND(SUMIFS($AE$2:$AE$4001,$L$2:$L$4001,$L1624,$F$2:$F$4001,"4")-SUMIFS('AR SALES'!$Y$2:$Y$2501,'AR SALES'!$L$2:$L$2501,$L1624,'AR SALES'!$AD$2:$AD$2501,"OFF"),2)=0,"","STALE")))</f>
        <v/>
      </c>
      <c r="BB1624" s="2" t="str">
        <f>IF(OR(""&amp;$F1624="2",""&amp;$F1624="4",""&amp;$F1624="G",""&amp;$F1624="H"),IF($AY1624="YES","",IF($AB1624&lt;&gt;0,"",IF(COUNTIFS('AR SALES'!$L$2:$L$2501,$L1624,'AR SALES'!$AD$2:$AD$2501,IF(""&amp;$F1624="4","OFF","ON"),'AR SALES'!$AF$2:$AF$2501,"Y")&gt;0,"","NO EXEMPTION"))),"")</f>
        <v/>
      </c>
    </row>
    <row r="1625" spans="46:54" x14ac:dyDescent="0.25">
      <c r="AT1625" s="2" t="str">
        <f>IF($L1625="","",IFERROR(INDEX('AR SALES'!$H$2:$H$2501,MATCH(""&amp;$L1625,'AR SALES'!$AE$2:$AE$2501,0)),""))</f>
        <v/>
      </c>
      <c r="AU1625" s="2" t="str">
        <f t="shared" si="100"/>
        <v/>
      </c>
      <c r="AV1625" s="2" t="str">
        <f t="shared" si="101"/>
        <v/>
      </c>
      <c r="AW1625" s="2" t="str">
        <f t="shared" si="102"/>
        <v/>
      </c>
      <c r="AX1625" s="2" t="str">
        <f t="shared" si="103"/>
        <v/>
      </c>
      <c r="AY1625" s="2" t="str">
        <f>IF($AV1625="","",IF(AND($Z1625=0,COUNTIF('AR SALES'!$L$2:$L$2501,$L1625)=0),"YES",""))</f>
        <v/>
      </c>
      <c r="AZ1625" s="2" t="str">
        <f>IF($AV1625="","",IF(COUNTIF(LISTS!$C$2:$C$250,$AU1625)=0,"NEW",""))</f>
        <v/>
      </c>
      <c r="BA1625" s="2" t="str">
        <f>IF(""&amp;$F1625&lt;&gt;"4","",IF($AY1625="YES","",IF(ROUND(SUMIFS($AE$2:$AE$4001,$L$2:$L$4001,$L1625,$F$2:$F$4001,"4")-SUMIFS('AR SALES'!$Y$2:$Y$2501,'AR SALES'!$L$2:$L$2501,$L1625,'AR SALES'!$AD$2:$AD$2501,"OFF"),2)=0,"","STALE")))</f>
        <v/>
      </c>
      <c r="BB1625" s="2" t="str">
        <f>IF(OR(""&amp;$F1625="2",""&amp;$F1625="4",""&amp;$F1625="G",""&amp;$F1625="H"),IF($AY1625="YES","",IF($AB1625&lt;&gt;0,"",IF(COUNTIFS('AR SALES'!$L$2:$L$2501,$L1625,'AR SALES'!$AD$2:$AD$2501,IF(""&amp;$F1625="4","OFF","ON"),'AR SALES'!$AF$2:$AF$2501,"Y")&gt;0,"","NO EXEMPTION"))),"")</f>
        <v/>
      </c>
    </row>
    <row r="1626" spans="46:54" x14ac:dyDescent="0.25">
      <c r="AT1626" s="2" t="str">
        <f>IF($L1626="","",IFERROR(INDEX('AR SALES'!$H$2:$H$2501,MATCH(""&amp;$L1626,'AR SALES'!$AE$2:$AE$2501,0)),""))</f>
        <v/>
      </c>
      <c r="AU1626" s="2" t="str">
        <f t="shared" si="100"/>
        <v/>
      </c>
      <c r="AV1626" s="2" t="str">
        <f t="shared" si="101"/>
        <v/>
      </c>
      <c r="AW1626" s="2" t="str">
        <f t="shared" si="102"/>
        <v/>
      </c>
      <c r="AX1626" s="2" t="str">
        <f t="shared" si="103"/>
        <v/>
      </c>
      <c r="AY1626" s="2" t="str">
        <f>IF($AV1626="","",IF(AND($Z1626=0,COUNTIF('AR SALES'!$L$2:$L$2501,$L1626)=0),"YES",""))</f>
        <v/>
      </c>
      <c r="AZ1626" s="2" t="str">
        <f>IF($AV1626="","",IF(COUNTIF(LISTS!$C$2:$C$250,$AU1626)=0,"NEW",""))</f>
        <v/>
      </c>
      <c r="BA1626" s="2" t="str">
        <f>IF(""&amp;$F1626&lt;&gt;"4","",IF($AY1626="YES","",IF(ROUND(SUMIFS($AE$2:$AE$4001,$L$2:$L$4001,$L1626,$F$2:$F$4001,"4")-SUMIFS('AR SALES'!$Y$2:$Y$2501,'AR SALES'!$L$2:$L$2501,$L1626,'AR SALES'!$AD$2:$AD$2501,"OFF"),2)=0,"","STALE")))</f>
        <v/>
      </c>
      <c r="BB1626" s="2" t="str">
        <f>IF(OR(""&amp;$F1626="2",""&amp;$F1626="4",""&amp;$F1626="G",""&amp;$F1626="H"),IF($AY1626="YES","",IF($AB1626&lt;&gt;0,"",IF(COUNTIFS('AR SALES'!$L$2:$L$2501,$L1626,'AR SALES'!$AD$2:$AD$2501,IF(""&amp;$F1626="4","OFF","ON"),'AR SALES'!$AF$2:$AF$2501,"Y")&gt;0,"","NO EXEMPTION"))),"")</f>
        <v/>
      </c>
    </row>
    <row r="1627" spans="46:54" x14ac:dyDescent="0.25">
      <c r="AT1627" s="2" t="str">
        <f>IF($L1627="","",IFERROR(INDEX('AR SALES'!$H$2:$H$2501,MATCH(""&amp;$L1627,'AR SALES'!$AE$2:$AE$2501,0)),""))</f>
        <v/>
      </c>
      <c r="AU1627" s="2" t="str">
        <f t="shared" si="100"/>
        <v/>
      </c>
      <c r="AV1627" s="2" t="str">
        <f t="shared" si="101"/>
        <v/>
      </c>
      <c r="AW1627" s="2" t="str">
        <f t="shared" si="102"/>
        <v/>
      </c>
      <c r="AX1627" s="2" t="str">
        <f t="shared" si="103"/>
        <v/>
      </c>
      <c r="AY1627" s="2" t="str">
        <f>IF($AV1627="","",IF(AND($Z1627=0,COUNTIF('AR SALES'!$L$2:$L$2501,$L1627)=0),"YES",""))</f>
        <v/>
      </c>
      <c r="AZ1627" s="2" t="str">
        <f>IF($AV1627="","",IF(COUNTIF(LISTS!$C$2:$C$250,$AU1627)=0,"NEW",""))</f>
        <v/>
      </c>
      <c r="BA1627" s="2" t="str">
        <f>IF(""&amp;$F1627&lt;&gt;"4","",IF($AY1627="YES","",IF(ROUND(SUMIFS($AE$2:$AE$4001,$L$2:$L$4001,$L1627,$F$2:$F$4001,"4")-SUMIFS('AR SALES'!$Y$2:$Y$2501,'AR SALES'!$L$2:$L$2501,$L1627,'AR SALES'!$AD$2:$AD$2501,"OFF"),2)=0,"","STALE")))</f>
        <v/>
      </c>
      <c r="BB1627" s="2" t="str">
        <f>IF(OR(""&amp;$F1627="2",""&amp;$F1627="4",""&amp;$F1627="G",""&amp;$F1627="H"),IF($AY1627="YES","",IF($AB1627&lt;&gt;0,"",IF(COUNTIFS('AR SALES'!$L$2:$L$2501,$L1627,'AR SALES'!$AD$2:$AD$2501,IF(""&amp;$F1627="4","OFF","ON"),'AR SALES'!$AF$2:$AF$2501,"Y")&gt;0,"","NO EXEMPTION"))),"")</f>
        <v/>
      </c>
    </row>
    <row r="1628" spans="46:54" x14ac:dyDescent="0.25">
      <c r="AT1628" s="2" t="str">
        <f>IF($L1628="","",IFERROR(INDEX('AR SALES'!$H$2:$H$2501,MATCH(""&amp;$L1628,'AR SALES'!$AE$2:$AE$2501,0)),""))</f>
        <v/>
      </c>
      <c r="AU1628" s="2" t="str">
        <f t="shared" si="100"/>
        <v/>
      </c>
      <c r="AV1628" s="2" t="str">
        <f t="shared" si="101"/>
        <v/>
      </c>
      <c r="AW1628" s="2" t="str">
        <f t="shared" si="102"/>
        <v/>
      </c>
      <c r="AX1628" s="2" t="str">
        <f t="shared" si="103"/>
        <v/>
      </c>
      <c r="AY1628" s="2" t="str">
        <f>IF($AV1628="","",IF(AND($Z1628=0,COUNTIF('AR SALES'!$L$2:$L$2501,$L1628)=0),"YES",""))</f>
        <v/>
      </c>
      <c r="AZ1628" s="2" t="str">
        <f>IF($AV1628="","",IF(COUNTIF(LISTS!$C$2:$C$250,$AU1628)=0,"NEW",""))</f>
        <v/>
      </c>
      <c r="BA1628" s="2" t="str">
        <f>IF(""&amp;$F1628&lt;&gt;"4","",IF($AY1628="YES","",IF(ROUND(SUMIFS($AE$2:$AE$4001,$L$2:$L$4001,$L1628,$F$2:$F$4001,"4")-SUMIFS('AR SALES'!$Y$2:$Y$2501,'AR SALES'!$L$2:$L$2501,$L1628,'AR SALES'!$AD$2:$AD$2501,"OFF"),2)=0,"","STALE")))</f>
        <v/>
      </c>
      <c r="BB1628" s="2" t="str">
        <f>IF(OR(""&amp;$F1628="2",""&amp;$F1628="4",""&amp;$F1628="G",""&amp;$F1628="H"),IF($AY1628="YES","",IF($AB1628&lt;&gt;0,"",IF(COUNTIFS('AR SALES'!$L$2:$L$2501,$L1628,'AR SALES'!$AD$2:$AD$2501,IF(""&amp;$F1628="4","OFF","ON"),'AR SALES'!$AF$2:$AF$2501,"Y")&gt;0,"","NO EXEMPTION"))),"")</f>
        <v/>
      </c>
    </row>
    <row r="1629" spans="46:54" x14ac:dyDescent="0.25">
      <c r="AT1629" s="2" t="str">
        <f>IF($L1629="","",IFERROR(INDEX('AR SALES'!$H$2:$H$2501,MATCH(""&amp;$L1629,'AR SALES'!$AE$2:$AE$2501,0)),""))</f>
        <v/>
      </c>
      <c r="AU1629" s="2" t="str">
        <f t="shared" si="100"/>
        <v/>
      </c>
      <c r="AV1629" s="2" t="str">
        <f t="shared" si="101"/>
        <v/>
      </c>
      <c r="AW1629" s="2" t="str">
        <f t="shared" si="102"/>
        <v/>
      </c>
      <c r="AX1629" s="2" t="str">
        <f t="shared" si="103"/>
        <v/>
      </c>
      <c r="AY1629" s="2" t="str">
        <f>IF($AV1629="","",IF(AND($Z1629=0,COUNTIF('AR SALES'!$L$2:$L$2501,$L1629)=0),"YES",""))</f>
        <v/>
      </c>
      <c r="AZ1629" s="2" t="str">
        <f>IF($AV1629="","",IF(COUNTIF(LISTS!$C$2:$C$250,$AU1629)=0,"NEW",""))</f>
        <v/>
      </c>
      <c r="BA1629" s="2" t="str">
        <f>IF(""&amp;$F1629&lt;&gt;"4","",IF($AY1629="YES","",IF(ROUND(SUMIFS($AE$2:$AE$4001,$L$2:$L$4001,$L1629,$F$2:$F$4001,"4")-SUMIFS('AR SALES'!$Y$2:$Y$2501,'AR SALES'!$L$2:$L$2501,$L1629,'AR SALES'!$AD$2:$AD$2501,"OFF"),2)=0,"","STALE")))</f>
        <v/>
      </c>
      <c r="BB1629" s="2" t="str">
        <f>IF(OR(""&amp;$F1629="2",""&amp;$F1629="4",""&amp;$F1629="G",""&amp;$F1629="H"),IF($AY1629="YES","",IF($AB1629&lt;&gt;0,"",IF(COUNTIFS('AR SALES'!$L$2:$L$2501,$L1629,'AR SALES'!$AD$2:$AD$2501,IF(""&amp;$F1629="4","OFF","ON"),'AR SALES'!$AF$2:$AF$2501,"Y")&gt;0,"","NO EXEMPTION"))),"")</f>
        <v/>
      </c>
    </row>
    <row r="1630" spans="46:54" x14ac:dyDescent="0.25">
      <c r="AT1630" s="2" t="str">
        <f>IF($L1630="","",IFERROR(INDEX('AR SALES'!$H$2:$H$2501,MATCH(""&amp;$L1630,'AR SALES'!$AE$2:$AE$2501,0)),""))</f>
        <v/>
      </c>
      <c r="AU1630" s="2" t="str">
        <f t="shared" si="100"/>
        <v/>
      </c>
      <c r="AV1630" s="2" t="str">
        <f t="shared" si="101"/>
        <v/>
      </c>
      <c r="AW1630" s="2" t="str">
        <f t="shared" si="102"/>
        <v/>
      </c>
      <c r="AX1630" s="2" t="str">
        <f t="shared" si="103"/>
        <v/>
      </c>
      <c r="AY1630" s="2" t="str">
        <f>IF($AV1630="","",IF(AND($Z1630=0,COUNTIF('AR SALES'!$L$2:$L$2501,$L1630)=0),"YES",""))</f>
        <v/>
      </c>
      <c r="AZ1630" s="2" t="str">
        <f>IF($AV1630="","",IF(COUNTIF(LISTS!$C$2:$C$250,$AU1630)=0,"NEW",""))</f>
        <v/>
      </c>
      <c r="BA1630" s="2" t="str">
        <f>IF(""&amp;$F1630&lt;&gt;"4","",IF($AY1630="YES","",IF(ROUND(SUMIFS($AE$2:$AE$4001,$L$2:$L$4001,$L1630,$F$2:$F$4001,"4")-SUMIFS('AR SALES'!$Y$2:$Y$2501,'AR SALES'!$L$2:$L$2501,$L1630,'AR SALES'!$AD$2:$AD$2501,"OFF"),2)=0,"","STALE")))</f>
        <v/>
      </c>
      <c r="BB1630" s="2" t="str">
        <f>IF(OR(""&amp;$F1630="2",""&amp;$F1630="4",""&amp;$F1630="G",""&amp;$F1630="H"),IF($AY1630="YES","",IF($AB1630&lt;&gt;0,"",IF(COUNTIFS('AR SALES'!$L$2:$L$2501,$L1630,'AR SALES'!$AD$2:$AD$2501,IF(""&amp;$F1630="4","OFF","ON"),'AR SALES'!$AF$2:$AF$2501,"Y")&gt;0,"","NO EXEMPTION"))),"")</f>
        <v/>
      </c>
    </row>
    <row r="1631" spans="46:54" x14ac:dyDescent="0.25">
      <c r="AT1631" s="2" t="str">
        <f>IF($L1631="","",IFERROR(INDEX('AR SALES'!$H$2:$H$2501,MATCH(""&amp;$L1631,'AR SALES'!$AE$2:$AE$2501,0)),""))</f>
        <v/>
      </c>
      <c r="AU1631" s="2" t="str">
        <f t="shared" si="100"/>
        <v/>
      </c>
      <c r="AV1631" s="2" t="str">
        <f t="shared" si="101"/>
        <v/>
      </c>
      <c r="AW1631" s="2" t="str">
        <f t="shared" si="102"/>
        <v/>
      </c>
      <c r="AX1631" s="2" t="str">
        <f t="shared" si="103"/>
        <v/>
      </c>
      <c r="AY1631" s="2" t="str">
        <f>IF($AV1631="","",IF(AND($Z1631=0,COUNTIF('AR SALES'!$L$2:$L$2501,$L1631)=0),"YES",""))</f>
        <v/>
      </c>
      <c r="AZ1631" s="2" t="str">
        <f>IF($AV1631="","",IF(COUNTIF(LISTS!$C$2:$C$250,$AU1631)=0,"NEW",""))</f>
        <v/>
      </c>
      <c r="BA1631" s="2" t="str">
        <f>IF(""&amp;$F1631&lt;&gt;"4","",IF($AY1631="YES","",IF(ROUND(SUMIFS($AE$2:$AE$4001,$L$2:$L$4001,$L1631,$F$2:$F$4001,"4")-SUMIFS('AR SALES'!$Y$2:$Y$2501,'AR SALES'!$L$2:$L$2501,$L1631,'AR SALES'!$AD$2:$AD$2501,"OFF"),2)=0,"","STALE")))</f>
        <v/>
      </c>
      <c r="BB1631" s="2" t="str">
        <f>IF(OR(""&amp;$F1631="2",""&amp;$F1631="4",""&amp;$F1631="G",""&amp;$F1631="H"),IF($AY1631="YES","",IF($AB1631&lt;&gt;0,"",IF(COUNTIFS('AR SALES'!$L$2:$L$2501,$L1631,'AR SALES'!$AD$2:$AD$2501,IF(""&amp;$F1631="4","OFF","ON"),'AR SALES'!$AF$2:$AF$2501,"Y")&gt;0,"","NO EXEMPTION"))),"")</f>
        <v/>
      </c>
    </row>
    <row r="1632" spans="46:54" x14ac:dyDescent="0.25">
      <c r="AT1632" s="2" t="str">
        <f>IF($L1632="","",IFERROR(INDEX('AR SALES'!$H$2:$H$2501,MATCH(""&amp;$L1632,'AR SALES'!$AE$2:$AE$2501,0)),""))</f>
        <v/>
      </c>
      <c r="AU1632" s="2" t="str">
        <f t="shared" si="100"/>
        <v/>
      </c>
      <c r="AV1632" s="2" t="str">
        <f t="shared" si="101"/>
        <v/>
      </c>
      <c r="AW1632" s="2" t="str">
        <f t="shared" si="102"/>
        <v/>
      </c>
      <c r="AX1632" s="2" t="str">
        <f t="shared" si="103"/>
        <v/>
      </c>
      <c r="AY1632" s="2" t="str">
        <f>IF($AV1632="","",IF(AND($Z1632=0,COUNTIF('AR SALES'!$L$2:$L$2501,$L1632)=0),"YES",""))</f>
        <v/>
      </c>
      <c r="AZ1632" s="2" t="str">
        <f>IF($AV1632="","",IF(COUNTIF(LISTS!$C$2:$C$250,$AU1632)=0,"NEW",""))</f>
        <v/>
      </c>
      <c r="BA1632" s="2" t="str">
        <f>IF(""&amp;$F1632&lt;&gt;"4","",IF($AY1632="YES","",IF(ROUND(SUMIFS($AE$2:$AE$4001,$L$2:$L$4001,$L1632,$F$2:$F$4001,"4")-SUMIFS('AR SALES'!$Y$2:$Y$2501,'AR SALES'!$L$2:$L$2501,$L1632,'AR SALES'!$AD$2:$AD$2501,"OFF"),2)=0,"","STALE")))</f>
        <v/>
      </c>
      <c r="BB1632" s="2" t="str">
        <f>IF(OR(""&amp;$F1632="2",""&amp;$F1632="4",""&amp;$F1632="G",""&amp;$F1632="H"),IF($AY1632="YES","",IF($AB1632&lt;&gt;0,"",IF(COUNTIFS('AR SALES'!$L$2:$L$2501,$L1632,'AR SALES'!$AD$2:$AD$2501,IF(""&amp;$F1632="4","OFF","ON"),'AR SALES'!$AF$2:$AF$2501,"Y")&gt;0,"","NO EXEMPTION"))),"")</f>
        <v/>
      </c>
    </row>
    <row r="1633" spans="46:54" x14ac:dyDescent="0.25">
      <c r="AT1633" s="2" t="str">
        <f>IF($L1633="","",IFERROR(INDEX('AR SALES'!$H$2:$H$2501,MATCH(""&amp;$L1633,'AR SALES'!$AE$2:$AE$2501,0)),""))</f>
        <v/>
      </c>
      <c r="AU1633" s="2" t="str">
        <f t="shared" si="100"/>
        <v/>
      </c>
      <c r="AV1633" s="2" t="str">
        <f t="shared" si="101"/>
        <v/>
      </c>
      <c r="AW1633" s="2" t="str">
        <f t="shared" si="102"/>
        <v/>
      </c>
      <c r="AX1633" s="2" t="str">
        <f t="shared" si="103"/>
        <v/>
      </c>
      <c r="AY1633" s="2" t="str">
        <f>IF($AV1633="","",IF(AND($Z1633=0,COUNTIF('AR SALES'!$L$2:$L$2501,$L1633)=0),"YES",""))</f>
        <v/>
      </c>
      <c r="AZ1633" s="2" t="str">
        <f>IF($AV1633="","",IF(COUNTIF(LISTS!$C$2:$C$250,$AU1633)=0,"NEW",""))</f>
        <v/>
      </c>
      <c r="BA1633" s="2" t="str">
        <f>IF(""&amp;$F1633&lt;&gt;"4","",IF($AY1633="YES","",IF(ROUND(SUMIFS($AE$2:$AE$4001,$L$2:$L$4001,$L1633,$F$2:$F$4001,"4")-SUMIFS('AR SALES'!$Y$2:$Y$2501,'AR SALES'!$L$2:$L$2501,$L1633,'AR SALES'!$AD$2:$AD$2501,"OFF"),2)=0,"","STALE")))</f>
        <v/>
      </c>
      <c r="BB1633" s="2" t="str">
        <f>IF(OR(""&amp;$F1633="2",""&amp;$F1633="4",""&amp;$F1633="G",""&amp;$F1633="H"),IF($AY1633="YES","",IF($AB1633&lt;&gt;0,"",IF(COUNTIFS('AR SALES'!$L$2:$L$2501,$L1633,'AR SALES'!$AD$2:$AD$2501,IF(""&amp;$F1633="4","OFF","ON"),'AR SALES'!$AF$2:$AF$2501,"Y")&gt;0,"","NO EXEMPTION"))),"")</f>
        <v/>
      </c>
    </row>
    <row r="1634" spans="46:54" x14ac:dyDescent="0.25">
      <c r="AT1634" s="2" t="str">
        <f>IF($L1634="","",IFERROR(INDEX('AR SALES'!$H$2:$H$2501,MATCH(""&amp;$L1634,'AR SALES'!$AE$2:$AE$2501,0)),""))</f>
        <v/>
      </c>
      <c r="AU1634" s="2" t="str">
        <f t="shared" si="100"/>
        <v/>
      </c>
      <c r="AV1634" s="2" t="str">
        <f t="shared" si="101"/>
        <v/>
      </c>
      <c r="AW1634" s="2" t="str">
        <f t="shared" si="102"/>
        <v/>
      </c>
      <c r="AX1634" s="2" t="str">
        <f t="shared" si="103"/>
        <v/>
      </c>
      <c r="AY1634" s="2" t="str">
        <f>IF($AV1634="","",IF(AND($Z1634=0,COUNTIF('AR SALES'!$L$2:$L$2501,$L1634)=0),"YES",""))</f>
        <v/>
      </c>
      <c r="AZ1634" s="2" t="str">
        <f>IF($AV1634="","",IF(COUNTIF(LISTS!$C$2:$C$250,$AU1634)=0,"NEW",""))</f>
        <v/>
      </c>
      <c r="BA1634" s="2" t="str">
        <f>IF(""&amp;$F1634&lt;&gt;"4","",IF($AY1634="YES","",IF(ROUND(SUMIFS($AE$2:$AE$4001,$L$2:$L$4001,$L1634,$F$2:$F$4001,"4")-SUMIFS('AR SALES'!$Y$2:$Y$2501,'AR SALES'!$L$2:$L$2501,$L1634,'AR SALES'!$AD$2:$AD$2501,"OFF"),2)=0,"","STALE")))</f>
        <v/>
      </c>
      <c r="BB1634" s="2" t="str">
        <f>IF(OR(""&amp;$F1634="2",""&amp;$F1634="4",""&amp;$F1634="G",""&amp;$F1634="H"),IF($AY1634="YES","",IF($AB1634&lt;&gt;0,"",IF(COUNTIFS('AR SALES'!$L$2:$L$2501,$L1634,'AR SALES'!$AD$2:$AD$2501,IF(""&amp;$F1634="4","OFF","ON"),'AR SALES'!$AF$2:$AF$2501,"Y")&gt;0,"","NO EXEMPTION"))),"")</f>
        <v/>
      </c>
    </row>
    <row r="1635" spans="46:54" x14ac:dyDescent="0.25">
      <c r="AT1635" s="2" t="str">
        <f>IF($L1635="","",IFERROR(INDEX('AR SALES'!$H$2:$H$2501,MATCH(""&amp;$L1635,'AR SALES'!$AE$2:$AE$2501,0)),""))</f>
        <v/>
      </c>
      <c r="AU1635" s="2" t="str">
        <f t="shared" si="100"/>
        <v/>
      </c>
      <c r="AV1635" s="2" t="str">
        <f t="shared" si="101"/>
        <v/>
      </c>
      <c r="AW1635" s="2" t="str">
        <f t="shared" si="102"/>
        <v/>
      </c>
      <c r="AX1635" s="2" t="str">
        <f t="shared" si="103"/>
        <v/>
      </c>
      <c r="AY1635" s="2" t="str">
        <f>IF($AV1635="","",IF(AND($Z1635=0,COUNTIF('AR SALES'!$L$2:$L$2501,$L1635)=0),"YES",""))</f>
        <v/>
      </c>
      <c r="AZ1635" s="2" t="str">
        <f>IF($AV1635="","",IF(COUNTIF(LISTS!$C$2:$C$250,$AU1635)=0,"NEW",""))</f>
        <v/>
      </c>
      <c r="BA1635" s="2" t="str">
        <f>IF(""&amp;$F1635&lt;&gt;"4","",IF($AY1635="YES","",IF(ROUND(SUMIFS($AE$2:$AE$4001,$L$2:$L$4001,$L1635,$F$2:$F$4001,"4")-SUMIFS('AR SALES'!$Y$2:$Y$2501,'AR SALES'!$L$2:$L$2501,$L1635,'AR SALES'!$AD$2:$AD$2501,"OFF"),2)=0,"","STALE")))</f>
        <v/>
      </c>
      <c r="BB1635" s="2" t="str">
        <f>IF(OR(""&amp;$F1635="2",""&amp;$F1635="4",""&amp;$F1635="G",""&amp;$F1635="H"),IF($AY1635="YES","",IF($AB1635&lt;&gt;0,"",IF(COUNTIFS('AR SALES'!$L$2:$L$2501,$L1635,'AR SALES'!$AD$2:$AD$2501,IF(""&amp;$F1635="4","OFF","ON"),'AR SALES'!$AF$2:$AF$2501,"Y")&gt;0,"","NO EXEMPTION"))),"")</f>
        <v/>
      </c>
    </row>
    <row r="1636" spans="46:54" x14ac:dyDescent="0.25">
      <c r="AT1636" s="2" t="str">
        <f>IF($L1636="","",IFERROR(INDEX('AR SALES'!$H$2:$H$2501,MATCH(""&amp;$L1636,'AR SALES'!$AE$2:$AE$2501,0)),""))</f>
        <v/>
      </c>
      <c r="AU1636" s="2" t="str">
        <f t="shared" si="100"/>
        <v/>
      </c>
      <c r="AV1636" s="2" t="str">
        <f t="shared" si="101"/>
        <v/>
      </c>
      <c r="AW1636" s="2" t="str">
        <f t="shared" si="102"/>
        <v/>
      </c>
      <c r="AX1636" s="2" t="str">
        <f t="shared" si="103"/>
        <v/>
      </c>
      <c r="AY1636" s="2" t="str">
        <f>IF($AV1636="","",IF(AND($Z1636=0,COUNTIF('AR SALES'!$L$2:$L$2501,$L1636)=0),"YES",""))</f>
        <v/>
      </c>
      <c r="AZ1636" s="2" t="str">
        <f>IF($AV1636="","",IF(COUNTIF(LISTS!$C$2:$C$250,$AU1636)=0,"NEW",""))</f>
        <v/>
      </c>
      <c r="BA1636" s="2" t="str">
        <f>IF(""&amp;$F1636&lt;&gt;"4","",IF($AY1636="YES","",IF(ROUND(SUMIFS($AE$2:$AE$4001,$L$2:$L$4001,$L1636,$F$2:$F$4001,"4")-SUMIFS('AR SALES'!$Y$2:$Y$2501,'AR SALES'!$L$2:$L$2501,$L1636,'AR SALES'!$AD$2:$AD$2501,"OFF"),2)=0,"","STALE")))</f>
        <v/>
      </c>
      <c r="BB1636" s="2" t="str">
        <f>IF(OR(""&amp;$F1636="2",""&amp;$F1636="4",""&amp;$F1636="G",""&amp;$F1636="H"),IF($AY1636="YES","",IF($AB1636&lt;&gt;0,"",IF(COUNTIFS('AR SALES'!$L$2:$L$2501,$L1636,'AR SALES'!$AD$2:$AD$2501,IF(""&amp;$F1636="4","OFF","ON"),'AR SALES'!$AF$2:$AF$2501,"Y")&gt;0,"","NO EXEMPTION"))),"")</f>
        <v/>
      </c>
    </row>
    <row r="1637" spans="46:54" x14ac:dyDescent="0.25">
      <c r="AT1637" s="2" t="str">
        <f>IF($L1637="","",IFERROR(INDEX('AR SALES'!$H$2:$H$2501,MATCH(""&amp;$L1637,'AR SALES'!$AE$2:$AE$2501,0)),""))</f>
        <v/>
      </c>
      <c r="AU1637" s="2" t="str">
        <f t="shared" si="100"/>
        <v/>
      </c>
      <c r="AV1637" s="2" t="str">
        <f t="shared" si="101"/>
        <v/>
      </c>
      <c r="AW1637" s="2" t="str">
        <f t="shared" si="102"/>
        <v/>
      </c>
      <c r="AX1637" s="2" t="str">
        <f t="shared" si="103"/>
        <v/>
      </c>
      <c r="AY1637" s="2" t="str">
        <f>IF($AV1637="","",IF(AND($Z1637=0,COUNTIF('AR SALES'!$L$2:$L$2501,$L1637)=0),"YES",""))</f>
        <v/>
      </c>
      <c r="AZ1637" s="2" t="str">
        <f>IF($AV1637="","",IF(COUNTIF(LISTS!$C$2:$C$250,$AU1637)=0,"NEW",""))</f>
        <v/>
      </c>
      <c r="BA1637" s="2" t="str">
        <f>IF(""&amp;$F1637&lt;&gt;"4","",IF($AY1637="YES","",IF(ROUND(SUMIFS($AE$2:$AE$4001,$L$2:$L$4001,$L1637,$F$2:$F$4001,"4")-SUMIFS('AR SALES'!$Y$2:$Y$2501,'AR SALES'!$L$2:$L$2501,$L1637,'AR SALES'!$AD$2:$AD$2501,"OFF"),2)=0,"","STALE")))</f>
        <v/>
      </c>
      <c r="BB1637" s="2" t="str">
        <f>IF(OR(""&amp;$F1637="2",""&amp;$F1637="4",""&amp;$F1637="G",""&amp;$F1637="H"),IF($AY1637="YES","",IF($AB1637&lt;&gt;0,"",IF(COUNTIFS('AR SALES'!$L$2:$L$2501,$L1637,'AR SALES'!$AD$2:$AD$2501,IF(""&amp;$F1637="4","OFF","ON"),'AR SALES'!$AF$2:$AF$2501,"Y")&gt;0,"","NO EXEMPTION"))),"")</f>
        <v/>
      </c>
    </row>
    <row r="1638" spans="46:54" x14ac:dyDescent="0.25">
      <c r="AT1638" s="2" t="str">
        <f>IF($L1638="","",IFERROR(INDEX('AR SALES'!$H$2:$H$2501,MATCH(""&amp;$L1638,'AR SALES'!$AE$2:$AE$2501,0)),""))</f>
        <v/>
      </c>
      <c r="AU1638" s="2" t="str">
        <f t="shared" si="100"/>
        <v/>
      </c>
      <c r="AV1638" s="2" t="str">
        <f t="shared" si="101"/>
        <v/>
      </c>
      <c r="AW1638" s="2" t="str">
        <f t="shared" si="102"/>
        <v/>
      </c>
      <c r="AX1638" s="2" t="str">
        <f t="shared" si="103"/>
        <v/>
      </c>
      <c r="AY1638" s="2" t="str">
        <f>IF($AV1638="","",IF(AND($Z1638=0,COUNTIF('AR SALES'!$L$2:$L$2501,$L1638)=0),"YES",""))</f>
        <v/>
      </c>
      <c r="AZ1638" s="2" t="str">
        <f>IF($AV1638="","",IF(COUNTIF(LISTS!$C$2:$C$250,$AU1638)=0,"NEW",""))</f>
        <v/>
      </c>
      <c r="BA1638" s="2" t="str">
        <f>IF(""&amp;$F1638&lt;&gt;"4","",IF($AY1638="YES","",IF(ROUND(SUMIFS($AE$2:$AE$4001,$L$2:$L$4001,$L1638,$F$2:$F$4001,"4")-SUMIFS('AR SALES'!$Y$2:$Y$2501,'AR SALES'!$L$2:$L$2501,$L1638,'AR SALES'!$AD$2:$AD$2501,"OFF"),2)=0,"","STALE")))</f>
        <v/>
      </c>
      <c r="BB1638" s="2" t="str">
        <f>IF(OR(""&amp;$F1638="2",""&amp;$F1638="4",""&amp;$F1638="G",""&amp;$F1638="H"),IF($AY1638="YES","",IF($AB1638&lt;&gt;0,"",IF(COUNTIFS('AR SALES'!$L$2:$L$2501,$L1638,'AR SALES'!$AD$2:$AD$2501,IF(""&amp;$F1638="4","OFF","ON"),'AR SALES'!$AF$2:$AF$2501,"Y")&gt;0,"","NO EXEMPTION"))),"")</f>
        <v/>
      </c>
    </row>
    <row r="1639" spans="46:54" x14ac:dyDescent="0.25">
      <c r="AT1639" s="2" t="str">
        <f>IF($L1639="","",IFERROR(INDEX('AR SALES'!$H$2:$H$2501,MATCH(""&amp;$L1639,'AR SALES'!$AE$2:$AE$2501,0)),""))</f>
        <v/>
      </c>
      <c r="AU1639" s="2" t="str">
        <f t="shared" si="100"/>
        <v/>
      </c>
      <c r="AV1639" s="2" t="str">
        <f t="shared" si="101"/>
        <v/>
      </c>
      <c r="AW1639" s="2" t="str">
        <f t="shared" si="102"/>
        <v/>
      </c>
      <c r="AX1639" s="2" t="str">
        <f t="shared" si="103"/>
        <v/>
      </c>
      <c r="AY1639" s="2" t="str">
        <f>IF($AV1639="","",IF(AND($Z1639=0,COUNTIF('AR SALES'!$L$2:$L$2501,$L1639)=0),"YES",""))</f>
        <v/>
      </c>
      <c r="AZ1639" s="2" t="str">
        <f>IF($AV1639="","",IF(COUNTIF(LISTS!$C$2:$C$250,$AU1639)=0,"NEW",""))</f>
        <v/>
      </c>
      <c r="BA1639" s="2" t="str">
        <f>IF(""&amp;$F1639&lt;&gt;"4","",IF($AY1639="YES","",IF(ROUND(SUMIFS($AE$2:$AE$4001,$L$2:$L$4001,$L1639,$F$2:$F$4001,"4")-SUMIFS('AR SALES'!$Y$2:$Y$2501,'AR SALES'!$L$2:$L$2501,$L1639,'AR SALES'!$AD$2:$AD$2501,"OFF"),2)=0,"","STALE")))</f>
        <v/>
      </c>
      <c r="BB1639" s="2" t="str">
        <f>IF(OR(""&amp;$F1639="2",""&amp;$F1639="4",""&amp;$F1639="G",""&amp;$F1639="H"),IF($AY1639="YES","",IF($AB1639&lt;&gt;0,"",IF(COUNTIFS('AR SALES'!$L$2:$L$2501,$L1639,'AR SALES'!$AD$2:$AD$2501,IF(""&amp;$F1639="4","OFF","ON"),'AR SALES'!$AF$2:$AF$2501,"Y")&gt;0,"","NO EXEMPTION"))),"")</f>
        <v/>
      </c>
    </row>
    <row r="1640" spans="46:54" x14ac:dyDescent="0.25">
      <c r="AT1640" s="2" t="str">
        <f>IF($L1640="","",IFERROR(INDEX('AR SALES'!$H$2:$H$2501,MATCH(""&amp;$L1640,'AR SALES'!$AE$2:$AE$2501,0)),""))</f>
        <v/>
      </c>
      <c r="AU1640" s="2" t="str">
        <f t="shared" si="100"/>
        <v/>
      </c>
      <c r="AV1640" s="2" t="str">
        <f t="shared" si="101"/>
        <v/>
      </c>
      <c r="AW1640" s="2" t="str">
        <f t="shared" si="102"/>
        <v/>
      </c>
      <c r="AX1640" s="2" t="str">
        <f t="shared" si="103"/>
        <v/>
      </c>
      <c r="AY1640" s="2" t="str">
        <f>IF($AV1640="","",IF(AND($Z1640=0,COUNTIF('AR SALES'!$L$2:$L$2501,$L1640)=0),"YES",""))</f>
        <v/>
      </c>
      <c r="AZ1640" s="2" t="str">
        <f>IF($AV1640="","",IF(COUNTIF(LISTS!$C$2:$C$250,$AU1640)=0,"NEW",""))</f>
        <v/>
      </c>
      <c r="BA1640" s="2" t="str">
        <f>IF(""&amp;$F1640&lt;&gt;"4","",IF($AY1640="YES","",IF(ROUND(SUMIFS($AE$2:$AE$4001,$L$2:$L$4001,$L1640,$F$2:$F$4001,"4")-SUMIFS('AR SALES'!$Y$2:$Y$2501,'AR SALES'!$L$2:$L$2501,$L1640,'AR SALES'!$AD$2:$AD$2501,"OFF"),2)=0,"","STALE")))</f>
        <v/>
      </c>
      <c r="BB1640" s="2" t="str">
        <f>IF(OR(""&amp;$F1640="2",""&amp;$F1640="4",""&amp;$F1640="G",""&amp;$F1640="H"),IF($AY1640="YES","",IF($AB1640&lt;&gt;0,"",IF(COUNTIFS('AR SALES'!$L$2:$L$2501,$L1640,'AR SALES'!$AD$2:$AD$2501,IF(""&amp;$F1640="4","OFF","ON"),'AR SALES'!$AF$2:$AF$2501,"Y")&gt;0,"","NO EXEMPTION"))),"")</f>
        <v/>
      </c>
    </row>
    <row r="1641" spans="46:54" x14ac:dyDescent="0.25">
      <c r="AT1641" s="2" t="str">
        <f>IF($L1641="","",IFERROR(INDEX('AR SALES'!$H$2:$H$2501,MATCH(""&amp;$L1641,'AR SALES'!$AE$2:$AE$2501,0)),""))</f>
        <v/>
      </c>
      <c r="AU1641" s="2" t="str">
        <f t="shared" si="100"/>
        <v/>
      </c>
      <c r="AV1641" s="2" t="str">
        <f t="shared" si="101"/>
        <v/>
      </c>
      <c r="AW1641" s="2" t="str">
        <f t="shared" si="102"/>
        <v/>
      </c>
      <c r="AX1641" s="2" t="str">
        <f t="shared" si="103"/>
        <v/>
      </c>
      <c r="AY1641" s="2" t="str">
        <f>IF($AV1641="","",IF(AND($Z1641=0,COUNTIF('AR SALES'!$L$2:$L$2501,$L1641)=0),"YES",""))</f>
        <v/>
      </c>
      <c r="AZ1641" s="2" t="str">
        <f>IF($AV1641="","",IF(COUNTIF(LISTS!$C$2:$C$250,$AU1641)=0,"NEW",""))</f>
        <v/>
      </c>
      <c r="BA1641" s="2" t="str">
        <f>IF(""&amp;$F1641&lt;&gt;"4","",IF($AY1641="YES","",IF(ROUND(SUMIFS($AE$2:$AE$4001,$L$2:$L$4001,$L1641,$F$2:$F$4001,"4")-SUMIFS('AR SALES'!$Y$2:$Y$2501,'AR SALES'!$L$2:$L$2501,$L1641,'AR SALES'!$AD$2:$AD$2501,"OFF"),2)=0,"","STALE")))</f>
        <v/>
      </c>
      <c r="BB1641" s="2" t="str">
        <f>IF(OR(""&amp;$F1641="2",""&amp;$F1641="4",""&amp;$F1641="G",""&amp;$F1641="H"),IF($AY1641="YES","",IF($AB1641&lt;&gt;0,"",IF(COUNTIFS('AR SALES'!$L$2:$L$2501,$L1641,'AR SALES'!$AD$2:$AD$2501,IF(""&amp;$F1641="4","OFF","ON"),'AR SALES'!$AF$2:$AF$2501,"Y")&gt;0,"","NO EXEMPTION"))),"")</f>
        <v/>
      </c>
    </row>
    <row r="1642" spans="46:54" x14ac:dyDescent="0.25">
      <c r="AT1642" s="2" t="str">
        <f>IF($L1642="","",IFERROR(INDEX('AR SALES'!$H$2:$H$2501,MATCH(""&amp;$L1642,'AR SALES'!$AE$2:$AE$2501,0)),""))</f>
        <v/>
      </c>
      <c r="AU1642" s="2" t="str">
        <f t="shared" si="100"/>
        <v/>
      </c>
      <c r="AV1642" s="2" t="str">
        <f t="shared" si="101"/>
        <v/>
      </c>
      <c r="AW1642" s="2" t="str">
        <f t="shared" si="102"/>
        <v/>
      </c>
      <c r="AX1642" s="2" t="str">
        <f t="shared" si="103"/>
        <v/>
      </c>
      <c r="AY1642" s="2" t="str">
        <f>IF($AV1642="","",IF(AND($Z1642=0,COUNTIF('AR SALES'!$L$2:$L$2501,$L1642)=0),"YES",""))</f>
        <v/>
      </c>
      <c r="AZ1642" s="2" t="str">
        <f>IF($AV1642="","",IF(COUNTIF(LISTS!$C$2:$C$250,$AU1642)=0,"NEW",""))</f>
        <v/>
      </c>
      <c r="BA1642" s="2" t="str">
        <f>IF(""&amp;$F1642&lt;&gt;"4","",IF($AY1642="YES","",IF(ROUND(SUMIFS($AE$2:$AE$4001,$L$2:$L$4001,$L1642,$F$2:$F$4001,"4")-SUMIFS('AR SALES'!$Y$2:$Y$2501,'AR SALES'!$L$2:$L$2501,$L1642,'AR SALES'!$AD$2:$AD$2501,"OFF"),2)=0,"","STALE")))</f>
        <v/>
      </c>
      <c r="BB1642" s="2" t="str">
        <f>IF(OR(""&amp;$F1642="2",""&amp;$F1642="4",""&amp;$F1642="G",""&amp;$F1642="H"),IF($AY1642="YES","",IF($AB1642&lt;&gt;0,"",IF(COUNTIFS('AR SALES'!$L$2:$L$2501,$L1642,'AR SALES'!$AD$2:$AD$2501,IF(""&amp;$F1642="4","OFF","ON"),'AR SALES'!$AF$2:$AF$2501,"Y")&gt;0,"","NO EXEMPTION"))),"")</f>
        <v/>
      </c>
    </row>
    <row r="1643" spans="46:54" x14ac:dyDescent="0.25">
      <c r="AT1643" s="2" t="str">
        <f>IF($L1643="","",IFERROR(INDEX('AR SALES'!$H$2:$H$2501,MATCH(""&amp;$L1643,'AR SALES'!$AE$2:$AE$2501,0)),""))</f>
        <v/>
      </c>
      <c r="AU1643" s="2" t="str">
        <f t="shared" si="100"/>
        <v/>
      </c>
      <c r="AV1643" s="2" t="str">
        <f t="shared" si="101"/>
        <v/>
      </c>
      <c r="AW1643" s="2" t="str">
        <f t="shared" si="102"/>
        <v/>
      </c>
      <c r="AX1643" s="2" t="str">
        <f t="shared" si="103"/>
        <v/>
      </c>
      <c r="AY1643" s="2" t="str">
        <f>IF($AV1643="","",IF(AND($Z1643=0,COUNTIF('AR SALES'!$L$2:$L$2501,$L1643)=0),"YES",""))</f>
        <v/>
      </c>
      <c r="AZ1643" s="2" t="str">
        <f>IF($AV1643="","",IF(COUNTIF(LISTS!$C$2:$C$250,$AU1643)=0,"NEW",""))</f>
        <v/>
      </c>
      <c r="BA1643" s="2" t="str">
        <f>IF(""&amp;$F1643&lt;&gt;"4","",IF($AY1643="YES","",IF(ROUND(SUMIFS($AE$2:$AE$4001,$L$2:$L$4001,$L1643,$F$2:$F$4001,"4")-SUMIFS('AR SALES'!$Y$2:$Y$2501,'AR SALES'!$L$2:$L$2501,$L1643,'AR SALES'!$AD$2:$AD$2501,"OFF"),2)=0,"","STALE")))</f>
        <v/>
      </c>
      <c r="BB1643" s="2" t="str">
        <f>IF(OR(""&amp;$F1643="2",""&amp;$F1643="4",""&amp;$F1643="G",""&amp;$F1643="H"),IF($AY1643="YES","",IF($AB1643&lt;&gt;0,"",IF(COUNTIFS('AR SALES'!$L$2:$L$2501,$L1643,'AR SALES'!$AD$2:$AD$2501,IF(""&amp;$F1643="4","OFF","ON"),'AR SALES'!$AF$2:$AF$2501,"Y")&gt;0,"","NO EXEMPTION"))),"")</f>
        <v/>
      </c>
    </row>
    <row r="1644" spans="46:54" x14ac:dyDescent="0.25">
      <c r="AT1644" s="2" t="str">
        <f>IF($L1644="","",IFERROR(INDEX('AR SALES'!$H$2:$H$2501,MATCH(""&amp;$L1644,'AR SALES'!$AE$2:$AE$2501,0)),""))</f>
        <v/>
      </c>
      <c r="AU1644" s="2" t="str">
        <f t="shared" si="100"/>
        <v/>
      </c>
      <c r="AV1644" s="2" t="str">
        <f t="shared" si="101"/>
        <v/>
      </c>
      <c r="AW1644" s="2" t="str">
        <f t="shared" si="102"/>
        <v/>
      </c>
      <c r="AX1644" s="2" t="str">
        <f t="shared" si="103"/>
        <v/>
      </c>
      <c r="AY1644" s="2" t="str">
        <f>IF($AV1644="","",IF(AND($Z1644=0,COUNTIF('AR SALES'!$L$2:$L$2501,$L1644)=0),"YES",""))</f>
        <v/>
      </c>
      <c r="AZ1644" s="2" t="str">
        <f>IF($AV1644="","",IF(COUNTIF(LISTS!$C$2:$C$250,$AU1644)=0,"NEW",""))</f>
        <v/>
      </c>
      <c r="BA1644" s="2" t="str">
        <f>IF(""&amp;$F1644&lt;&gt;"4","",IF($AY1644="YES","",IF(ROUND(SUMIFS($AE$2:$AE$4001,$L$2:$L$4001,$L1644,$F$2:$F$4001,"4")-SUMIFS('AR SALES'!$Y$2:$Y$2501,'AR SALES'!$L$2:$L$2501,$L1644,'AR SALES'!$AD$2:$AD$2501,"OFF"),2)=0,"","STALE")))</f>
        <v/>
      </c>
      <c r="BB1644" s="2" t="str">
        <f>IF(OR(""&amp;$F1644="2",""&amp;$F1644="4",""&amp;$F1644="G",""&amp;$F1644="H"),IF($AY1644="YES","",IF($AB1644&lt;&gt;0,"",IF(COUNTIFS('AR SALES'!$L$2:$L$2501,$L1644,'AR SALES'!$AD$2:$AD$2501,IF(""&amp;$F1644="4","OFF","ON"),'AR SALES'!$AF$2:$AF$2501,"Y")&gt;0,"","NO EXEMPTION"))),"")</f>
        <v/>
      </c>
    </row>
    <row r="1645" spans="46:54" x14ac:dyDescent="0.25">
      <c r="AT1645" s="2" t="str">
        <f>IF($L1645="","",IFERROR(INDEX('AR SALES'!$H$2:$H$2501,MATCH(""&amp;$L1645,'AR SALES'!$AE$2:$AE$2501,0)),""))</f>
        <v/>
      </c>
      <c r="AU1645" s="2" t="str">
        <f t="shared" si="100"/>
        <v/>
      </c>
      <c r="AV1645" s="2" t="str">
        <f t="shared" si="101"/>
        <v/>
      </c>
      <c r="AW1645" s="2" t="str">
        <f t="shared" si="102"/>
        <v/>
      </c>
      <c r="AX1645" s="2" t="str">
        <f t="shared" si="103"/>
        <v/>
      </c>
      <c r="AY1645" s="2" t="str">
        <f>IF($AV1645="","",IF(AND($Z1645=0,COUNTIF('AR SALES'!$L$2:$L$2501,$L1645)=0),"YES",""))</f>
        <v/>
      </c>
      <c r="AZ1645" s="2" t="str">
        <f>IF($AV1645="","",IF(COUNTIF(LISTS!$C$2:$C$250,$AU1645)=0,"NEW",""))</f>
        <v/>
      </c>
      <c r="BA1645" s="2" t="str">
        <f>IF(""&amp;$F1645&lt;&gt;"4","",IF($AY1645="YES","",IF(ROUND(SUMIFS($AE$2:$AE$4001,$L$2:$L$4001,$L1645,$F$2:$F$4001,"4")-SUMIFS('AR SALES'!$Y$2:$Y$2501,'AR SALES'!$L$2:$L$2501,$L1645,'AR SALES'!$AD$2:$AD$2501,"OFF"),2)=0,"","STALE")))</f>
        <v/>
      </c>
      <c r="BB1645" s="2" t="str">
        <f>IF(OR(""&amp;$F1645="2",""&amp;$F1645="4",""&amp;$F1645="G",""&amp;$F1645="H"),IF($AY1645="YES","",IF($AB1645&lt;&gt;0,"",IF(COUNTIFS('AR SALES'!$L$2:$L$2501,$L1645,'AR SALES'!$AD$2:$AD$2501,IF(""&amp;$F1645="4","OFF","ON"),'AR SALES'!$AF$2:$AF$2501,"Y")&gt;0,"","NO EXEMPTION"))),"")</f>
        <v/>
      </c>
    </row>
    <row r="1646" spans="46:54" x14ac:dyDescent="0.25">
      <c r="AT1646" s="2" t="str">
        <f>IF($L1646="","",IFERROR(INDEX('AR SALES'!$H$2:$H$2501,MATCH(""&amp;$L1646,'AR SALES'!$AE$2:$AE$2501,0)),""))</f>
        <v/>
      </c>
      <c r="AU1646" s="2" t="str">
        <f t="shared" si="100"/>
        <v/>
      </c>
      <c r="AV1646" s="2" t="str">
        <f t="shared" si="101"/>
        <v/>
      </c>
      <c r="AW1646" s="2" t="str">
        <f t="shared" si="102"/>
        <v/>
      </c>
      <c r="AX1646" s="2" t="str">
        <f t="shared" si="103"/>
        <v/>
      </c>
      <c r="AY1646" s="2" t="str">
        <f>IF($AV1646="","",IF(AND($Z1646=0,COUNTIF('AR SALES'!$L$2:$L$2501,$L1646)=0),"YES",""))</f>
        <v/>
      </c>
      <c r="AZ1646" s="2" t="str">
        <f>IF($AV1646="","",IF(COUNTIF(LISTS!$C$2:$C$250,$AU1646)=0,"NEW",""))</f>
        <v/>
      </c>
      <c r="BA1646" s="2" t="str">
        <f>IF(""&amp;$F1646&lt;&gt;"4","",IF($AY1646="YES","",IF(ROUND(SUMIFS($AE$2:$AE$4001,$L$2:$L$4001,$L1646,$F$2:$F$4001,"4")-SUMIFS('AR SALES'!$Y$2:$Y$2501,'AR SALES'!$L$2:$L$2501,$L1646,'AR SALES'!$AD$2:$AD$2501,"OFF"),2)=0,"","STALE")))</f>
        <v/>
      </c>
      <c r="BB1646" s="2" t="str">
        <f>IF(OR(""&amp;$F1646="2",""&amp;$F1646="4",""&amp;$F1646="G",""&amp;$F1646="H"),IF($AY1646="YES","",IF($AB1646&lt;&gt;0,"",IF(COUNTIFS('AR SALES'!$L$2:$L$2501,$L1646,'AR SALES'!$AD$2:$AD$2501,IF(""&amp;$F1646="4","OFF","ON"),'AR SALES'!$AF$2:$AF$2501,"Y")&gt;0,"","NO EXEMPTION"))),"")</f>
        <v/>
      </c>
    </row>
    <row r="1647" spans="46:54" x14ac:dyDescent="0.25">
      <c r="AT1647" s="2" t="str">
        <f>IF($L1647="","",IFERROR(INDEX('AR SALES'!$H$2:$H$2501,MATCH(""&amp;$L1647,'AR SALES'!$AE$2:$AE$2501,0)),""))</f>
        <v/>
      </c>
      <c r="AU1647" s="2" t="str">
        <f t="shared" si="100"/>
        <v/>
      </c>
      <c r="AV1647" s="2" t="str">
        <f t="shared" si="101"/>
        <v/>
      </c>
      <c r="AW1647" s="2" t="str">
        <f t="shared" si="102"/>
        <v/>
      </c>
      <c r="AX1647" s="2" t="str">
        <f t="shared" si="103"/>
        <v/>
      </c>
      <c r="AY1647" s="2" t="str">
        <f>IF($AV1647="","",IF(AND($Z1647=0,COUNTIF('AR SALES'!$L$2:$L$2501,$L1647)=0),"YES",""))</f>
        <v/>
      </c>
      <c r="AZ1647" s="2" t="str">
        <f>IF($AV1647="","",IF(COUNTIF(LISTS!$C$2:$C$250,$AU1647)=0,"NEW",""))</f>
        <v/>
      </c>
      <c r="BA1647" s="2" t="str">
        <f>IF(""&amp;$F1647&lt;&gt;"4","",IF($AY1647="YES","",IF(ROUND(SUMIFS($AE$2:$AE$4001,$L$2:$L$4001,$L1647,$F$2:$F$4001,"4")-SUMIFS('AR SALES'!$Y$2:$Y$2501,'AR SALES'!$L$2:$L$2501,$L1647,'AR SALES'!$AD$2:$AD$2501,"OFF"),2)=0,"","STALE")))</f>
        <v/>
      </c>
      <c r="BB1647" s="2" t="str">
        <f>IF(OR(""&amp;$F1647="2",""&amp;$F1647="4",""&amp;$F1647="G",""&amp;$F1647="H"),IF($AY1647="YES","",IF($AB1647&lt;&gt;0,"",IF(COUNTIFS('AR SALES'!$L$2:$L$2501,$L1647,'AR SALES'!$AD$2:$AD$2501,IF(""&amp;$F1647="4","OFF","ON"),'AR SALES'!$AF$2:$AF$2501,"Y")&gt;0,"","NO EXEMPTION"))),"")</f>
        <v/>
      </c>
    </row>
    <row r="1648" spans="46:54" x14ac:dyDescent="0.25">
      <c r="AT1648" s="2" t="str">
        <f>IF($L1648="","",IFERROR(INDEX('AR SALES'!$H$2:$H$2501,MATCH(""&amp;$L1648,'AR SALES'!$AE$2:$AE$2501,0)),""))</f>
        <v/>
      </c>
      <c r="AU1648" s="2" t="str">
        <f t="shared" si="100"/>
        <v/>
      </c>
      <c r="AV1648" s="2" t="str">
        <f t="shared" si="101"/>
        <v/>
      </c>
      <c r="AW1648" s="2" t="str">
        <f t="shared" si="102"/>
        <v/>
      </c>
      <c r="AX1648" s="2" t="str">
        <f t="shared" si="103"/>
        <v/>
      </c>
      <c r="AY1648" s="2" t="str">
        <f>IF($AV1648="","",IF(AND($Z1648=0,COUNTIF('AR SALES'!$L$2:$L$2501,$L1648)=0),"YES",""))</f>
        <v/>
      </c>
      <c r="AZ1648" s="2" t="str">
        <f>IF($AV1648="","",IF(COUNTIF(LISTS!$C$2:$C$250,$AU1648)=0,"NEW",""))</f>
        <v/>
      </c>
      <c r="BA1648" s="2" t="str">
        <f>IF(""&amp;$F1648&lt;&gt;"4","",IF($AY1648="YES","",IF(ROUND(SUMIFS($AE$2:$AE$4001,$L$2:$L$4001,$L1648,$F$2:$F$4001,"4")-SUMIFS('AR SALES'!$Y$2:$Y$2501,'AR SALES'!$L$2:$L$2501,$L1648,'AR SALES'!$AD$2:$AD$2501,"OFF"),2)=0,"","STALE")))</f>
        <v/>
      </c>
      <c r="BB1648" s="2" t="str">
        <f>IF(OR(""&amp;$F1648="2",""&amp;$F1648="4",""&amp;$F1648="G",""&amp;$F1648="H"),IF($AY1648="YES","",IF($AB1648&lt;&gt;0,"",IF(COUNTIFS('AR SALES'!$L$2:$L$2501,$L1648,'AR SALES'!$AD$2:$AD$2501,IF(""&amp;$F1648="4","OFF","ON"),'AR SALES'!$AF$2:$AF$2501,"Y")&gt;0,"","NO EXEMPTION"))),"")</f>
        <v/>
      </c>
    </row>
    <row r="1649" spans="46:54" x14ac:dyDescent="0.25">
      <c r="AT1649" s="2" t="str">
        <f>IF($L1649="","",IFERROR(INDEX('AR SALES'!$H$2:$H$2501,MATCH(""&amp;$L1649,'AR SALES'!$AE$2:$AE$2501,0)),""))</f>
        <v/>
      </c>
      <c r="AU1649" s="2" t="str">
        <f t="shared" si="100"/>
        <v/>
      </c>
      <c r="AV1649" s="2" t="str">
        <f t="shared" si="101"/>
        <v/>
      </c>
      <c r="AW1649" s="2" t="str">
        <f t="shared" si="102"/>
        <v/>
      </c>
      <c r="AX1649" s="2" t="str">
        <f t="shared" si="103"/>
        <v/>
      </c>
      <c r="AY1649" s="2" t="str">
        <f>IF($AV1649="","",IF(AND($Z1649=0,COUNTIF('AR SALES'!$L$2:$L$2501,$L1649)=0),"YES",""))</f>
        <v/>
      </c>
      <c r="AZ1649" s="2" t="str">
        <f>IF($AV1649="","",IF(COUNTIF(LISTS!$C$2:$C$250,$AU1649)=0,"NEW",""))</f>
        <v/>
      </c>
      <c r="BA1649" s="2" t="str">
        <f>IF(""&amp;$F1649&lt;&gt;"4","",IF($AY1649="YES","",IF(ROUND(SUMIFS($AE$2:$AE$4001,$L$2:$L$4001,$L1649,$F$2:$F$4001,"4")-SUMIFS('AR SALES'!$Y$2:$Y$2501,'AR SALES'!$L$2:$L$2501,$L1649,'AR SALES'!$AD$2:$AD$2501,"OFF"),2)=0,"","STALE")))</f>
        <v/>
      </c>
      <c r="BB1649" s="2" t="str">
        <f>IF(OR(""&amp;$F1649="2",""&amp;$F1649="4",""&amp;$F1649="G",""&amp;$F1649="H"),IF($AY1649="YES","",IF($AB1649&lt;&gt;0,"",IF(COUNTIFS('AR SALES'!$L$2:$L$2501,$L1649,'AR SALES'!$AD$2:$AD$2501,IF(""&amp;$F1649="4","OFF","ON"),'AR SALES'!$AF$2:$AF$2501,"Y")&gt;0,"","NO EXEMPTION"))),"")</f>
        <v/>
      </c>
    </row>
    <row r="1650" spans="46:54" x14ac:dyDescent="0.25">
      <c r="AT1650" s="2" t="str">
        <f>IF($L1650="","",IFERROR(INDEX('AR SALES'!$H$2:$H$2501,MATCH(""&amp;$L1650,'AR SALES'!$AE$2:$AE$2501,0)),""))</f>
        <v/>
      </c>
      <c r="AU1650" s="2" t="str">
        <f t="shared" si="100"/>
        <v/>
      </c>
      <c r="AV1650" s="2" t="str">
        <f t="shared" si="101"/>
        <v/>
      </c>
      <c r="AW1650" s="2" t="str">
        <f t="shared" si="102"/>
        <v/>
      </c>
      <c r="AX1650" s="2" t="str">
        <f t="shared" si="103"/>
        <v/>
      </c>
      <c r="AY1650" s="2" t="str">
        <f>IF($AV1650="","",IF(AND($Z1650=0,COUNTIF('AR SALES'!$L$2:$L$2501,$L1650)=0),"YES",""))</f>
        <v/>
      </c>
      <c r="AZ1650" s="2" t="str">
        <f>IF($AV1650="","",IF(COUNTIF(LISTS!$C$2:$C$250,$AU1650)=0,"NEW",""))</f>
        <v/>
      </c>
      <c r="BA1650" s="2" t="str">
        <f>IF(""&amp;$F1650&lt;&gt;"4","",IF($AY1650="YES","",IF(ROUND(SUMIFS($AE$2:$AE$4001,$L$2:$L$4001,$L1650,$F$2:$F$4001,"4")-SUMIFS('AR SALES'!$Y$2:$Y$2501,'AR SALES'!$L$2:$L$2501,$L1650,'AR SALES'!$AD$2:$AD$2501,"OFF"),2)=0,"","STALE")))</f>
        <v/>
      </c>
      <c r="BB1650" s="2" t="str">
        <f>IF(OR(""&amp;$F1650="2",""&amp;$F1650="4",""&amp;$F1650="G",""&amp;$F1650="H"),IF($AY1650="YES","",IF($AB1650&lt;&gt;0,"",IF(COUNTIFS('AR SALES'!$L$2:$L$2501,$L1650,'AR SALES'!$AD$2:$AD$2501,IF(""&amp;$F1650="4","OFF","ON"),'AR SALES'!$AF$2:$AF$2501,"Y")&gt;0,"","NO EXEMPTION"))),"")</f>
        <v/>
      </c>
    </row>
    <row r="1651" spans="46:54" x14ac:dyDescent="0.25">
      <c r="AT1651" s="2" t="str">
        <f>IF($L1651="","",IFERROR(INDEX('AR SALES'!$H$2:$H$2501,MATCH(""&amp;$L1651,'AR SALES'!$AE$2:$AE$2501,0)),""))</f>
        <v/>
      </c>
      <c r="AU1651" s="2" t="str">
        <f t="shared" si="100"/>
        <v/>
      </c>
      <c r="AV1651" s="2" t="str">
        <f t="shared" si="101"/>
        <v/>
      </c>
      <c r="AW1651" s="2" t="str">
        <f t="shared" si="102"/>
        <v/>
      </c>
      <c r="AX1651" s="2" t="str">
        <f t="shared" si="103"/>
        <v/>
      </c>
      <c r="AY1651" s="2" t="str">
        <f>IF($AV1651="","",IF(AND($Z1651=0,COUNTIF('AR SALES'!$L$2:$L$2501,$L1651)=0),"YES",""))</f>
        <v/>
      </c>
      <c r="AZ1651" s="2" t="str">
        <f>IF($AV1651="","",IF(COUNTIF(LISTS!$C$2:$C$250,$AU1651)=0,"NEW",""))</f>
        <v/>
      </c>
      <c r="BA1651" s="2" t="str">
        <f>IF(""&amp;$F1651&lt;&gt;"4","",IF($AY1651="YES","",IF(ROUND(SUMIFS($AE$2:$AE$4001,$L$2:$L$4001,$L1651,$F$2:$F$4001,"4")-SUMIFS('AR SALES'!$Y$2:$Y$2501,'AR SALES'!$L$2:$L$2501,$L1651,'AR SALES'!$AD$2:$AD$2501,"OFF"),2)=0,"","STALE")))</f>
        <v/>
      </c>
      <c r="BB1651" s="2" t="str">
        <f>IF(OR(""&amp;$F1651="2",""&amp;$F1651="4",""&amp;$F1651="G",""&amp;$F1651="H"),IF($AY1651="YES","",IF($AB1651&lt;&gt;0,"",IF(COUNTIFS('AR SALES'!$L$2:$L$2501,$L1651,'AR SALES'!$AD$2:$AD$2501,IF(""&amp;$F1651="4","OFF","ON"),'AR SALES'!$AF$2:$AF$2501,"Y")&gt;0,"","NO EXEMPTION"))),"")</f>
        <v/>
      </c>
    </row>
    <row r="1652" spans="46:54" x14ac:dyDescent="0.25">
      <c r="AT1652" s="2" t="str">
        <f>IF($L1652="","",IFERROR(INDEX('AR SALES'!$H$2:$H$2501,MATCH(""&amp;$L1652,'AR SALES'!$AE$2:$AE$2501,0)),""))</f>
        <v/>
      </c>
      <c r="AU1652" s="2" t="str">
        <f t="shared" si="100"/>
        <v/>
      </c>
      <c r="AV1652" s="2" t="str">
        <f t="shared" si="101"/>
        <v/>
      </c>
      <c r="AW1652" s="2" t="str">
        <f t="shared" si="102"/>
        <v/>
      </c>
      <c r="AX1652" s="2" t="str">
        <f t="shared" si="103"/>
        <v/>
      </c>
      <c r="AY1652" s="2" t="str">
        <f>IF($AV1652="","",IF(AND($Z1652=0,COUNTIF('AR SALES'!$L$2:$L$2501,$L1652)=0),"YES",""))</f>
        <v/>
      </c>
      <c r="AZ1652" s="2" t="str">
        <f>IF($AV1652="","",IF(COUNTIF(LISTS!$C$2:$C$250,$AU1652)=0,"NEW",""))</f>
        <v/>
      </c>
      <c r="BA1652" s="2" t="str">
        <f>IF(""&amp;$F1652&lt;&gt;"4","",IF($AY1652="YES","",IF(ROUND(SUMIFS($AE$2:$AE$4001,$L$2:$L$4001,$L1652,$F$2:$F$4001,"4")-SUMIFS('AR SALES'!$Y$2:$Y$2501,'AR SALES'!$L$2:$L$2501,$L1652,'AR SALES'!$AD$2:$AD$2501,"OFF"),2)=0,"","STALE")))</f>
        <v/>
      </c>
      <c r="BB1652" s="2" t="str">
        <f>IF(OR(""&amp;$F1652="2",""&amp;$F1652="4",""&amp;$F1652="G",""&amp;$F1652="H"),IF($AY1652="YES","",IF($AB1652&lt;&gt;0,"",IF(COUNTIFS('AR SALES'!$L$2:$L$2501,$L1652,'AR SALES'!$AD$2:$AD$2501,IF(""&amp;$F1652="4","OFF","ON"),'AR SALES'!$AF$2:$AF$2501,"Y")&gt;0,"","NO EXEMPTION"))),"")</f>
        <v/>
      </c>
    </row>
    <row r="1653" spans="46:54" x14ac:dyDescent="0.25">
      <c r="AT1653" s="2" t="str">
        <f>IF($L1653="","",IFERROR(INDEX('AR SALES'!$H$2:$H$2501,MATCH(""&amp;$L1653,'AR SALES'!$AE$2:$AE$2501,0)),""))</f>
        <v/>
      </c>
      <c r="AU1653" s="2" t="str">
        <f t="shared" si="100"/>
        <v/>
      </c>
      <c r="AV1653" s="2" t="str">
        <f t="shared" si="101"/>
        <v/>
      </c>
      <c r="AW1653" s="2" t="str">
        <f t="shared" si="102"/>
        <v/>
      </c>
      <c r="AX1653" s="2" t="str">
        <f t="shared" si="103"/>
        <v/>
      </c>
      <c r="AY1653" s="2" t="str">
        <f>IF($AV1653="","",IF(AND($Z1653=0,COUNTIF('AR SALES'!$L$2:$L$2501,$L1653)=0),"YES",""))</f>
        <v/>
      </c>
      <c r="AZ1653" s="2" t="str">
        <f>IF($AV1653="","",IF(COUNTIF(LISTS!$C$2:$C$250,$AU1653)=0,"NEW",""))</f>
        <v/>
      </c>
      <c r="BA1653" s="2" t="str">
        <f>IF(""&amp;$F1653&lt;&gt;"4","",IF($AY1653="YES","",IF(ROUND(SUMIFS($AE$2:$AE$4001,$L$2:$L$4001,$L1653,$F$2:$F$4001,"4")-SUMIFS('AR SALES'!$Y$2:$Y$2501,'AR SALES'!$L$2:$L$2501,$L1653,'AR SALES'!$AD$2:$AD$2501,"OFF"),2)=0,"","STALE")))</f>
        <v/>
      </c>
      <c r="BB1653" s="2" t="str">
        <f>IF(OR(""&amp;$F1653="2",""&amp;$F1653="4",""&amp;$F1653="G",""&amp;$F1653="H"),IF($AY1653="YES","",IF($AB1653&lt;&gt;0,"",IF(COUNTIFS('AR SALES'!$L$2:$L$2501,$L1653,'AR SALES'!$AD$2:$AD$2501,IF(""&amp;$F1653="4","OFF","ON"),'AR SALES'!$AF$2:$AF$2501,"Y")&gt;0,"","NO EXEMPTION"))),"")</f>
        <v/>
      </c>
    </row>
    <row r="1654" spans="46:54" x14ac:dyDescent="0.25">
      <c r="AT1654" s="2" t="str">
        <f>IF($L1654="","",IFERROR(INDEX('AR SALES'!$H$2:$H$2501,MATCH(""&amp;$L1654,'AR SALES'!$AE$2:$AE$2501,0)),""))</f>
        <v/>
      </c>
      <c r="AU1654" s="2" t="str">
        <f t="shared" si="100"/>
        <v/>
      </c>
      <c r="AV1654" s="2" t="str">
        <f t="shared" si="101"/>
        <v/>
      </c>
      <c r="AW1654" s="2" t="str">
        <f t="shared" si="102"/>
        <v/>
      </c>
      <c r="AX1654" s="2" t="str">
        <f t="shared" si="103"/>
        <v/>
      </c>
      <c r="AY1654" s="2" t="str">
        <f>IF($AV1654="","",IF(AND($Z1654=0,COUNTIF('AR SALES'!$L$2:$L$2501,$L1654)=0),"YES",""))</f>
        <v/>
      </c>
      <c r="AZ1654" s="2" t="str">
        <f>IF($AV1654="","",IF(COUNTIF(LISTS!$C$2:$C$250,$AU1654)=0,"NEW",""))</f>
        <v/>
      </c>
      <c r="BA1654" s="2" t="str">
        <f>IF(""&amp;$F1654&lt;&gt;"4","",IF($AY1654="YES","",IF(ROUND(SUMIFS($AE$2:$AE$4001,$L$2:$L$4001,$L1654,$F$2:$F$4001,"4")-SUMIFS('AR SALES'!$Y$2:$Y$2501,'AR SALES'!$L$2:$L$2501,$L1654,'AR SALES'!$AD$2:$AD$2501,"OFF"),2)=0,"","STALE")))</f>
        <v/>
      </c>
      <c r="BB1654" s="2" t="str">
        <f>IF(OR(""&amp;$F1654="2",""&amp;$F1654="4",""&amp;$F1654="G",""&amp;$F1654="H"),IF($AY1654="YES","",IF($AB1654&lt;&gt;0,"",IF(COUNTIFS('AR SALES'!$L$2:$L$2501,$L1654,'AR SALES'!$AD$2:$AD$2501,IF(""&amp;$F1654="4","OFF","ON"),'AR SALES'!$AF$2:$AF$2501,"Y")&gt;0,"","NO EXEMPTION"))),"")</f>
        <v/>
      </c>
    </row>
    <row r="1655" spans="46:54" x14ac:dyDescent="0.25">
      <c r="AT1655" s="2" t="str">
        <f>IF($L1655="","",IFERROR(INDEX('AR SALES'!$H$2:$H$2501,MATCH(""&amp;$L1655,'AR SALES'!$AE$2:$AE$2501,0)),""))</f>
        <v/>
      </c>
      <c r="AU1655" s="2" t="str">
        <f t="shared" si="100"/>
        <v/>
      </c>
      <c r="AV1655" s="2" t="str">
        <f t="shared" si="101"/>
        <v/>
      </c>
      <c r="AW1655" s="2" t="str">
        <f t="shared" si="102"/>
        <v/>
      </c>
      <c r="AX1655" s="2" t="str">
        <f t="shared" si="103"/>
        <v/>
      </c>
      <c r="AY1655" s="2" t="str">
        <f>IF($AV1655="","",IF(AND($Z1655=0,COUNTIF('AR SALES'!$L$2:$L$2501,$L1655)=0),"YES",""))</f>
        <v/>
      </c>
      <c r="AZ1655" s="2" t="str">
        <f>IF($AV1655="","",IF(COUNTIF(LISTS!$C$2:$C$250,$AU1655)=0,"NEW",""))</f>
        <v/>
      </c>
      <c r="BA1655" s="2" t="str">
        <f>IF(""&amp;$F1655&lt;&gt;"4","",IF($AY1655="YES","",IF(ROUND(SUMIFS($AE$2:$AE$4001,$L$2:$L$4001,$L1655,$F$2:$F$4001,"4")-SUMIFS('AR SALES'!$Y$2:$Y$2501,'AR SALES'!$L$2:$L$2501,$L1655,'AR SALES'!$AD$2:$AD$2501,"OFF"),2)=0,"","STALE")))</f>
        <v/>
      </c>
      <c r="BB1655" s="2" t="str">
        <f>IF(OR(""&amp;$F1655="2",""&amp;$F1655="4",""&amp;$F1655="G",""&amp;$F1655="H"),IF($AY1655="YES","",IF($AB1655&lt;&gt;0,"",IF(COUNTIFS('AR SALES'!$L$2:$L$2501,$L1655,'AR SALES'!$AD$2:$AD$2501,IF(""&amp;$F1655="4","OFF","ON"),'AR SALES'!$AF$2:$AF$2501,"Y")&gt;0,"","NO EXEMPTION"))),"")</f>
        <v/>
      </c>
    </row>
    <row r="1656" spans="46:54" x14ac:dyDescent="0.25">
      <c r="AT1656" s="2" t="str">
        <f>IF($L1656="","",IFERROR(INDEX('AR SALES'!$H$2:$H$2501,MATCH(""&amp;$L1656,'AR SALES'!$AE$2:$AE$2501,0)),""))</f>
        <v/>
      </c>
      <c r="AU1656" s="2" t="str">
        <f t="shared" si="100"/>
        <v/>
      </c>
      <c r="AV1656" s="2" t="str">
        <f t="shared" si="101"/>
        <v/>
      </c>
      <c r="AW1656" s="2" t="str">
        <f t="shared" si="102"/>
        <v/>
      </c>
      <c r="AX1656" s="2" t="str">
        <f t="shared" si="103"/>
        <v/>
      </c>
      <c r="AY1656" s="2" t="str">
        <f>IF($AV1656="","",IF(AND($Z1656=0,COUNTIF('AR SALES'!$L$2:$L$2501,$L1656)=0),"YES",""))</f>
        <v/>
      </c>
      <c r="AZ1656" s="2" t="str">
        <f>IF($AV1656="","",IF(COUNTIF(LISTS!$C$2:$C$250,$AU1656)=0,"NEW",""))</f>
        <v/>
      </c>
      <c r="BA1656" s="2" t="str">
        <f>IF(""&amp;$F1656&lt;&gt;"4","",IF($AY1656="YES","",IF(ROUND(SUMIFS($AE$2:$AE$4001,$L$2:$L$4001,$L1656,$F$2:$F$4001,"4")-SUMIFS('AR SALES'!$Y$2:$Y$2501,'AR SALES'!$L$2:$L$2501,$L1656,'AR SALES'!$AD$2:$AD$2501,"OFF"),2)=0,"","STALE")))</f>
        <v/>
      </c>
      <c r="BB1656" s="2" t="str">
        <f>IF(OR(""&amp;$F1656="2",""&amp;$F1656="4",""&amp;$F1656="G",""&amp;$F1656="H"),IF($AY1656="YES","",IF($AB1656&lt;&gt;0,"",IF(COUNTIFS('AR SALES'!$L$2:$L$2501,$L1656,'AR SALES'!$AD$2:$AD$2501,IF(""&amp;$F1656="4","OFF","ON"),'AR SALES'!$AF$2:$AF$2501,"Y")&gt;0,"","NO EXEMPTION"))),"")</f>
        <v/>
      </c>
    </row>
    <row r="1657" spans="46:54" x14ac:dyDescent="0.25">
      <c r="AT1657" s="2" t="str">
        <f>IF($L1657="","",IFERROR(INDEX('AR SALES'!$H$2:$H$2501,MATCH(""&amp;$L1657,'AR SALES'!$AE$2:$AE$2501,0)),""))</f>
        <v/>
      </c>
      <c r="AU1657" s="2" t="str">
        <f t="shared" si="100"/>
        <v/>
      </c>
      <c r="AV1657" s="2" t="str">
        <f t="shared" si="101"/>
        <v/>
      </c>
      <c r="AW1657" s="2" t="str">
        <f t="shared" si="102"/>
        <v/>
      </c>
      <c r="AX1657" s="2" t="str">
        <f t="shared" si="103"/>
        <v/>
      </c>
      <c r="AY1657" s="2" t="str">
        <f>IF($AV1657="","",IF(AND($Z1657=0,COUNTIF('AR SALES'!$L$2:$L$2501,$L1657)=0),"YES",""))</f>
        <v/>
      </c>
      <c r="AZ1657" s="2" t="str">
        <f>IF($AV1657="","",IF(COUNTIF(LISTS!$C$2:$C$250,$AU1657)=0,"NEW",""))</f>
        <v/>
      </c>
      <c r="BA1657" s="2" t="str">
        <f>IF(""&amp;$F1657&lt;&gt;"4","",IF($AY1657="YES","",IF(ROUND(SUMIFS($AE$2:$AE$4001,$L$2:$L$4001,$L1657,$F$2:$F$4001,"4")-SUMIFS('AR SALES'!$Y$2:$Y$2501,'AR SALES'!$L$2:$L$2501,$L1657,'AR SALES'!$AD$2:$AD$2501,"OFF"),2)=0,"","STALE")))</f>
        <v/>
      </c>
      <c r="BB1657" s="2" t="str">
        <f>IF(OR(""&amp;$F1657="2",""&amp;$F1657="4",""&amp;$F1657="G",""&amp;$F1657="H"),IF($AY1657="YES","",IF($AB1657&lt;&gt;0,"",IF(COUNTIFS('AR SALES'!$L$2:$L$2501,$L1657,'AR SALES'!$AD$2:$AD$2501,IF(""&amp;$F1657="4","OFF","ON"),'AR SALES'!$AF$2:$AF$2501,"Y")&gt;0,"","NO EXEMPTION"))),"")</f>
        <v/>
      </c>
    </row>
    <row r="1658" spans="46:54" x14ac:dyDescent="0.25">
      <c r="AT1658" s="2" t="str">
        <f>IF($L1658="","",IFERROR(INDEX('AR SALES'!$H$2:$H$2501,MATCH(""&amp;$L1658,'AR SALES'!$AE$2:$AE$2501,0)),""))</f>
        <v/>
      </c>
      <c r="AU1658" s="2" t="str">
        <f t="shared" si="100"/>
        <v/>
      </c>
      <c r="AV1658" s="2" t="str">
        <f t="shared" si="101"/>
        <v/>
      </c>
      <c r="AW1658" s="2" t="str">
        <f t="shared" si="102"/>
        <v/>
      </c>
      <c r="AX1658" s="2" t="str">
        <f t="shared" si="103"/>
        <v/>
      </c>
      <c r="AY1658" s="2" t="str">
        <f>IF($AV1658="","",IF(AND($Z1658=0,COUNTIF('AR SALES'!$L$2:$L$2501,$L1658)=0),"YES",""))</f>
        <v/>
      </c>
      <c r="AZ1658" s="2" t="str">
        <f>IF($AV1658="","",IF(COUNTIF(LISTS!$C$2:$C$250,$AU1658)=0,"NEW",""))</f>
        <v/>
      </c>
      <c r="BA1658" s="2" t="str">
        <f>IF(""&amp;$F1658&lt;&gt;"4","",IF($AY1658="YES","",IF(ROUND(SUMIFS($AE$2:$AE$4001,$L$2:$L$4001,$L1658,$F$2:$F$4001,"4")-SUMIFS('AR SALES'!$Y$2:$Y$2501,'AR SALES'!$L$2:$L$2501,$L1658,'AR SALES'!$AD$2:$AD$2501,"OFF"),2)=0,"","STALE")))</f>
        <v/>
      </c>
      <c r="BB1658" s="2" t="str">
        <f>IF(OR(""&amp;$F1658="2",""&amp;$F1658="4",""&amp;$F1658="G",""&amp;$F1658="H"),IF($AY1658="YES","",IF($AB1658&lt;&gt;0,"",IF(COUNTIFS('AR SALES'!$L$2:$L$2501,$L1658,'AR SALES'!$AD$2:$AD$2501,IF(""&amp;$F1658="4","OFF","ON"),'AR SALES'!$AF$2:$AF$2501,"Y")&gt;0,"","NO EXEMPTION"))),"")</f>
        <v/>
      </c>
    </row>
    <row r="1659" spans="46:54" x14ac:dyDescent="0.25">
      <c r="AT1659" s="2" t="str">
        <f>IF($L1659="","",IFERROR(INDEX('AR SALES'!$H$2:$H$2501,MATCH(""&amp;$L1659,'AR SALES'!$AE$2:$AE$2501,0)),""))</f>
        <v/>
      </c>
      <c r="AU1659" s="2" t="str">
        <f t="shared" si="100"/>
        <v/>
      </c>
      <c r="AV1659" s="2" t="str">
        <f t="shared" si="101"/>
        <v/>
      </c>
      <c r="AW1659" s="2" t="str">
        <f t="shared" si="102"/>
        <v/>
      </c>
      <c r="AX1659" s="2" t="str">
        <f t="shared" si="103"/>
        <v/>
      </c>
      <c r="AY1659" s="2" t="str">
        <f>IF($AV1659="","",IF(AND($Z1659=0,COUNTIF('AR SALES'!$L$2:$L$2501,$L1659)=0),"YES",""))</f>
        <v/>
      </c>
      <c r="AZ1659" s="2" t="str">
        <f>IF($AV1659="","",IF(COUNTIF(LISTS!$C$2:$C$250,$AU1659)=0,"NEW",""))</f>
        <v/>
      </c>
      <c r="BA1659" s="2" t="str">
        <f>IF(""&amp;$F1659&lt;&gt;"4","",IF($AY1659="YES","",IF(ROUND(SUMIFS($AE$2:$AE$4001,$L$2:$L$4001,$L1659,$F$2:$F$4001,"4")-SUMIFS('AR SALES'!$Y$2:$Y$2501,'AR SALES'!$L$2:$L$2501,$L1659,'AR SALES'!$AD$2:$AD$2501,"OFF"),2)=0,"","STALE")))</f>
        <v/>
      </c>
      <c r="BB1659" s="2" t="str">
        <f>IF(OR(""&amp;$F1659="2",""&amp;$F1659="4",""&amp;$F1659="G",""&amp;$F1659="H"),IF($AY1659="YES","",IF($AB1659&lt;&gt;0,"",IF(COUNTIFS('AR SALES'!$L$2:$L$2501,$L1659,'AR SALES'!$AD$2:$AD$2501,IF(""&amp;$F1659="4","OFF","ON"),'AR SALES'!$AF$2:$AF$2501,"Y")&gt;0,"","NO EXEMPTION"))),"")</f>
        <v/>
      </c>
    </row>
    <row r="1660" spans="46:54" x14ac:dyDescent="0.25">
      <c r="AT1660" s="2" t="str">
        <f>IF($L1660="","",IFERROR(INDEX('AR SALES'!$H$2:$H$2501,MATCH(""&amp;$L1660,'AR SALES'!$AE$2:$AE$2501,0)),""))</f>
        <v/>
      </c>
      <c r="AU1660" s="2" t="str">
        <f t="shared" si="100"/>
        <v/>
      </c>
      <c r="AV1660" s="2" t="str">
        <f t="shared" si="101"/>
        <v/>
      </c>
      <c r="AW1660" s="2" t="str">
        <f t="shared" si="102"/>
        <v/>
      </c>
      <c r="AX1660" s="2" t="str">
        <f t="shared" si="103"/>
        <v/>
      </c>
      <c r="AY1660" s="2" t="str">
        <f>IF($AV1660="","",IF(AND($Z1660=0,COUNTIF('AR SALES'!$L$2:$L$2501,$L1660)=0),"YES",""))</f>
        <v/>
      </c>
      <c r="AZ1660" s="2" t="str">
        <f>IF($AV1660="","",IF(COUNTIF(LISTS!$C$2:$C$250,$AU1660)=0,"NEW",""))</f>
        <v/>
      </c>
      <c r="BA1660" s="2" t="str">
        <f>IF(""&amp;$F1660&lt;&gt;"4","",IF($AY1660="YES","",IF(ROUND(SUMIFS($AE$2:$AE$4001,$L$2:$L$4001,$L1660,$F$2:$F$4001,"4")-SUMIFS('AR SALES'!$Y$2:$Y$2501,'AR SALES'!$L$2:$L$2501,$L1660,'AR SALES'!$AD$2:$AD$2501,"OFF"),2)=0,"","STALE")))</f>
        <v/>
      </c>
      <c r="BB1660" s="2" t="str">
        <f>IF(OR(""&amp;$F1660="2",""&amp;$F1660="4",""&amp;$F1660="G",""&amp;$F1660="H"),IF($AY1660="YES","",IF($AB1660&lt;&gt;0,"",IF(COUNTIFS('AR SALES'!$L$2:$L$2501,$L1660,'AR SALES'!$AD$2:$AD$2501,IF(""&amp;$F1660="4","OFF","ON"),'AR SALES'!$AF$2:$AF$2501,"Y")&gt;0,"","NO EXEMPTION"))),"")</f>
        <v/>
      </c>
    </row>
    <row r="1661" spans="46:54" x14ac:dyDescent="0.25">
      <c r="AT1661" s="2" t="str">
        <f>IF($L1661="","",IFERROR(INDEX('AR SALES'!$H$2:$H$2501,MATCH(""&amp;$L1661,'AR SALES'!$AE$2:$AE$2501,0)),""))</f>
        <v/>
      </c>
      <c r="AU1661" s="2" t="str">
        <f t="shared" si="100"/>
        <v/>
      </c>
      <c r="AV1661" s="2" t="str">
        <f t="shared" si="101"/>
        <v/>
      </c>
      <c r="AW1661" s="2" t="str">
        <f t="shared" si="102"/>
        <v/>
      </c>
      <c r="AX1661" s="2" t="str">
        <f t="shared" si="103"/>
        <v/>
      </c>
      <c r="AY1661" s="2" t="str">
        <f>IF($AV1661="","",IF(AND($Z1661=0,COUNTIF('AR SALES'!$L$2:$L$2501,$L1661)=0),"YES",""))</f>
        <v/>
      </c>
      <c r="AZ1661" s="2" t="str">
        <f>IF($AV1661="","",IF(COUNTIF(LISTS!$C$2:$C$250,$AU1661)=0,"NEW",""))</f>
        <v/>
      </c>
      <c r="BA1661" s="2" t="str">
        <f>IF(""&amp;$F1661&lt;&gt;"4","",IF($AY1661="YES","",IF(ROUND(SUMIFS($AE$2:$AE$4001,$L$2:$L$4001,$L1661,$F$2:$F$4001,"4")-SUMIFS('AR SALES'!$Y$2:$Y$2501,'AR SALES'!$L$2:$L$2501,$L1661,'AR SALES'!$AD$2:$AD$2501,"OFF"),2)=0,"","STALE")))</f>
        <v/>
      </c>
      <c r="BB1661" s="2" t="str">
        <f>IF(OR(""&amp;$F1661="2",""&amp;$F1661="4",""&amp;$F1661="G",""&amp;$F1661="H"),IF($AY1661="YES","",IF($AB1661&lt;&gt;0,"",IF(COUNTIFS('AR SALES'!$L$2:$L$2501,$L1661,'AR SALES'!$AD$2:$AD$2501,IF(""&amp;$F1661="4","OFF","ON"),'AR SALES'!$AF$2:$AF$2501,"Y")&gt;0,"","NO EXEMPTION"))),"")</f>
        <v/>
      </c>
    </row>
    <row r="1662" spans="46:54" x14ac:dyDescent="0.25">
      <c r="AT1662" s="2" t="str">
        <f>IF($L1662="","",IFERROR(INDEX('AR SALES'!$H$2:$H$2501,MATCH(""&amp;$L1662,'AR SALES'!$AE$2:$AE$2501,0)),""))</f>
        <v/>
      </c>
      <c r="AU1662" s="2" t="str">
        <f t="shared" si="100"/>
        <v/>
      </c>
      <c r="AV1662" s="2" t="str">
        <f t="shared" si="101"/>
        <v/>
      </c>
      <c r="AW1662" s="2" t="str">
        <f t="shared" si="102"/>
        <v/>
      </c>
      <c r="AX1662" s="2" t="str">
        <f t="shared" si="103"/>
        <v/>
      </c>
      <c r="AY1662" s="2" t="str">
        <f>IF($AV1662="","",IF(AND($Z1662=0,COUNTIF('AR SALES'!$L$2:$L$2501,$L1662)=0),"YES",""))</f>
        <v/>
      </c>
      <c r="AZ1662" s="2" t="str">
        <f>IF($AV1662="","",IF(COUNTIF(LISTS!$C$2:$C$250,$AU1662)=0,"NEW",""))</f>
        <v/>
      </c>
      <c r="BA1662" s="2" t="str">
        <f>IF(""&amp;$F1662&lt;&gt;"4","",IF($AY1662="YES","",IF(ROUND(SUMIFS($AE$2:$AE$4001,$L$2:$L$4001,$L1662,$F$2:$F$4001,"4")-SUMIFS('AR SALES'!$Y$2:$Y$2501,'AR SALES'!$L$2:$L$2501,$L1662,'AR SALES'!$AD$2:$AD$2501,"OFF"),2)=0,"","STALE")))</f>
        <v/>
      </c>
      <c r="BB1662" s="2" t="str">
        <f>IF(OR(""&amp;$F1662="2",""&amp;$F1662="4",""&amp;$F1662="G",""&amp;$F1662="H"),IF($AY1662="YES","",IF($AB1662&lt;&gt;0,"",IF(COUNTIFS('AR SALES'!$L$2:$L$2501,$L1662,'AR SALES'!$AD$2:$AD$2501,IF(""&amp;$F1662="4","OFF","ON"),'AR SALES'!$AF$2:$AF$2501,"Y")&gt;0,"","NO EXEMPTION"))),"")</f>
        <v/>
      </c>
    </row>
    <row r="1663" spans="46:54" x14ac:dyDescent="0.25">
      <c r="AT1663" s="2" t="str">
        <f>IF($L1663="","",IFERROR(INDEX('AR SALES'!$H$2:$H$2501,MATCH(""&amp;$L1663,'AR SALES'!$AE$2:$AE$2501,0)),""))</f>
        <v/>
      </c>
      <c r="AU1663" s="2" t="str">
        <f t="shared" si="100"/>
        <v/>
      </c>
      <c r="AV1663" s="2" t="str">
        <f t="shared" si="101"/>
        <v/>
      </c>
      <c r="AW1663" s="2" t="str">
        <f t="shared" si="102"/>
        <v/>
      </c>
      <c r="AX1663" s="2" t="str">
        <f t="shared" si="103"/>
        <v/>
      </c>
      <c r="AY1663" s="2" t="str">
        <f>IF($AV1663="","",IF(AND($Z1663=0,COUNTIF('AR SALES'!$L$2:$L$2501,$L1663)=0),"YES",""))</f>
        <v/>
      </c>
      <c r="AZ1663" s="2" t="str">
        <f>IF($AV1663="","",IF(COUNTIF(LISTS!$C$2:$C$250,$AU1663)=0,"NEW",""))</f>
        <v/>
      </c>
      <c r="BA1663" s="2" t="str">
        <f>IF(""&amp;$F1663&lt;&gt;"4","",IF($AY1663="YES","",IF(ROUND(SUMIFS($AE$2:$AE$4001,$L$2:$L$4001,$L1663,$F$2:$F$4001,"4")-SUMIFS('AR SALES'!$Y$2:$Y$2501,'AR SALES'!$L$2:$L$2501,$L1663,'AR SALES'!$AD$2:$AD$2501,"OFF"),2)=0,"","STALE")))</f>
        <v/>
      </c>
      <c r="BB1663" s="2" t="str">
        <f>IF(OR(""&amp;$F1663="2",""&amp;$F1663="4",""&amp;$F1663="G",""&amp;$F1663="H"),IF($AY1663="YES","",IF($AB1663&lt;&gt;0,"",IF(COUNTIFS('AR SALES'!$L$2:$L$2501,$L1663,'AR SALES'!$AD$2:$AD$2501,IF(""&amp;$F1663="4","OFF","ON"),'AR SALES'!$AF$2:$AF$2501,"Y")&gt;0,"","NO EXEMPTION"))),"")</f>
        <v/>
      </c>
    </row>
    <row r="1664" spans="46:54" x14ac:dyDescent="0.25">
      <c r="AT1664" s="2" t="str">
        <f>IF($L1664="","",IFERROR(INDEX('AR SALES'!$H$2:$H$2501,MATCH(""&amp;$L1664,'AR SALES'!$AE$2:$AE$2501,0)),""))</f>
        <v/>
      </c>
      <c r="AU1664" s="2" t="str">
        <f t="shared" si="100"/>
        <v/>
      </c>
      <c r="AV1664" s="2" t="str">
        <f t="shared" si="101"/>
        <v/>
      </c>
      <c r="AW1664" s="2" t="str">
        <f t="shared" si="102"/>
        <v/>
      </c>
      <c r="AX1664" s="2" t="str">
        <f t="shared" si="103"/>
        <v/>
      </c>
      <c r="AY1664" s="2" t="str">
        <f>IF($AV1664="","",IF(AND($Z1664=0,COUNTIF('AR SALES'!$L$2:$L$2501,$L1664)=0),"YES",""))</f>
        <v/>
      </c>
      <c r="AZ1664" s="2" t="str">
        <f>IF($AV1664="","",IF(COUNTIF(LISTS!$C$2:$C$250,$AU1664)=0,"NEW",""))</f>
        <v/>
      </c>
      <c r="BA1664" s="2" t="str">
        <f>IF(""&amp;$F1664&lt;&gt;"4","",IF($AY1664="YES","",IF(ROUND(SUMIFS($AE$2:$AE$4001,$L$2:$L$4001,$L1664,$F$2:$F$4001,"4")-SUMIFS('AR SALES'!$Y$2:$Y$2501,'AR SALES'!$L$2:$L$2501,$L1664,'AR SALES'!$AD$2:$AD$2501,"OFF"),2)=0,"","STALE")))</f>
        <v/>
      </c>
      <c r="BB1664" s="2" t="str">
        <f>IF(OR(""&amp;$F1664="2",""&amp;$F1664="4",""&amp;$F1664="G",""&amp;$F1664="H"),IF($AY1664="YES","",IF($AB1664&lt;&gt;0,"",IF(COUNTIFS('AR SALES'!$L$2:$L$2501,$L1664,'AR SALES'!$AD$2:$AD$2501,IF(""&amp;$F1664="4","OFF","ON"),'AR SALES'!$AF$2:$AF$2501,"Y")&gt;0,"","NO EXEMPTION"))),"")</f>
        <v/>
      </c>
    </row>
    <row r="1665" spans="46:54" x14ac:dyDescent="0.25">
      <c r="AT1665" s="2" t="str">
        <f>IF($L1665="","",IFERROR(INDEX('AR SALES'!$H$2:$H$2501,MATCH(""&amp;$L1665,'AR SALES'!$AE$2:$AE$2501,0)),""))</f>
        <v/>
      </c>
      <c r="AU1665" s="2" t="str">
        <f t="shared" si="100"/>
        <v/>
      </c>
      <c r="AV1665" s="2" t="str">
        <f t="shared" si="101"/>
        <v/>
      </c>
      <c r="AW1665" s="2" t="str">
        <f t="shared" si="102"/>
        <v/>
      </c>
      <c r="AX1665" s="2" t="str">
        <f t="shared" si="103"/>
        <v/>
      </c>
      <c r="AY1665" s="2" t="str">
        <f>IF($AV1665="","",IF(AND($Z1665=0,COUNTIF('AR SALES'!$L$2:$L$2501,$L1665)=0),"YES",""))</f>
        <v/>
      </c>
      <c r="AZ1665" s="2" t="str">
        <f>IF($AV1665="","",IF(COUNTIF(LISTS!$C$2:$C$250,$AU1665)=0,"NEW",""))</f>
        <v/>
      </c>
      <c r="BA1665" s="2" t="str">
        <f>IF(""&amp;$F1665&lt;&gt;"4","",IF($AY1665="YES","",IF(ROUND(SUMIFS($AE$2:$AE$4001,$L$2:$L$4001,$L1665,$F$2:$F$4001,"4")-SUMIFS('AR SALES'!$Y$2:$Y$2501,'AR SALES'!$L$2:$L$2501,$L1665,'AR SALES'!$AD$2:$AD$2501,"OFF"),2)=0,"","STALE")))</f>
        <v/>
      </c>
      <c r="BB1665" s="2" t="str">
        <f>IF(OR(""&amp;$F1665="2",""&amp;$F1665="4",""&amp;$F1665="G",""&amp;$F1665="H"),IF($AY1665="YES","",IF($AB1665&lt;&gt;0,"",IF(COUNTIFS('AR SALES'!$L$2:$L$2501,$L1665,'AR SALES'!$AD$2:$AD$2501,IF(""&amp;$F1665="4","OFF","ON"),'AR SALES'!$AF$2:$AF$2501,"Y")&gt;0,"","NO EXEMPTION"))),"")</f>
        <v/>
      </c>
    </row>
    <row r="1666" spans="46:54" x14ac:dyDescent="0.25">
      <c r="AT1666" s="2" t="str">
        <f>IF($L1666="","",IFERROR(INDEX('AR SALES'!$H$2:$H$2501,MATCH(""&amp;$L1666,'AR SALES'!$AE$2:$AE$2501,0)),""))</f>
        <v/>
      </c>
      <c r="AU1666" s="2" t="str">
        <f t="shared" ref="AU1666:AU1729" si="104">IF($L1666="","",IF($A1666&lt;&gt;"GA","",IF($E1666="FULTON",IF(ISNUMBER(SEARCH("COLLEGE PARK",$AT1666)),"FULTON (COLLEGE PARK)",IF(ISNUMBER(SEARCH("ATLANTA CITY",$AT1666)),"FULTON (ATL LIMITS)","FULTON")),IF($E1666="DEKALB",IF(ISNUMBER(SEARCH("ATLANTA CITY",$AT1666)),"DEKALB (ATL LIMITS)","DEKALB"),$E1666))))</f>
        <v/>
      </c>
      <c r="AV1666" s="2" t="str">
        <f t="shared" ref="AV1666:AV1729" si="105">IF($L1666="","",IF(""&amp;$F1666="2","DIESEL",IF(OR(""&amp;$F1666="G",""&amp;$F1666="H"),"GAS","")))</f>
        <v/>
      </c>
      <c r="AW1666" s="2" t="str">
        <f t="shared" ref="AW1666:AW1729" si="106">IF($AV1666="","",$R1666)</f>
        <v/>
      </c>
      <c r="AX1666" s="2" t="str">
        <f t="shared" ref="AX1666:AX1729" si="107">IF($AV1666="","",IF($AB1666=0,$R1666,0))</f>
        <v/>
      </c>
      <c r="AY1666" s="2" t="str">
        <f>IF($AV1666="","",IF(AND($Z1666=0,COUNTIF('AR SALES'!$L$2:$L$2501,$L1666)=0),"YES",""))</f>
        <v/>
      </c>
      <c r="AZ1666" s="2" t="str">
        <f>IF($AV1666="","",IF(COUNTIF(LISTS!$C$2:$C$250,$AU1666)=0,"NEW",""))</f>
        <v/>
      </c>
      <c r="BA1666" s="2" t="str">
        <f>IF(""&amp;$F1666&lt;&gt;"4","",IF($AY1666="YES","",IF(ROUND(SUMIFS($AE$2:$AE$4001,$L$2:$L$4001,$L1666,$F$2:$F$4001,"4")-SUMIFS('AR SALES'!$Y$2:$Y$2501,'AR SALES'!$L$2:$L$2501,$L1666,'AR SALES'!$AD$2:$AD$2501,"OFF"),2)=0,"","STALE")))</f>
        <v/>
      </c>
      <c r="BB1666" s="2" t="str">
        <f>IF(OR(""&amp;$F1666="2",""&amp;$F1666="4",""&amp;$F1666="G",""&amp;$F1666="H"),IF($AY1666="YES","",IF($AB1666&lt;&gt;0,"",IF(COUNTIFS('AR SALES'!$L$2:$L$2501,$L1666,'AR SALES'!$AD$2:$AD$2501,IF(""&amp;$F1666="4","OFF","ON"),'AR SALES'!$AF$2:$AF$2501,"Y")&gt;0,"","NO EXEMPTION"))),"")</f>
        <v/>
      </c>
    </row>
    <row r="1667" spans="46:54" x14ac:dyDescent="0.25">
      <c r="AT1667" s="2" t="str">
        <f>IF($L1667="","",IFERROR(INDEX('AR SALES'!$H$2:$H$2501,MATCH(""&amp;$L1667,'AR SALES'!$AE$2:$AE$2501,0)),""))</f>
        <v/>
      </c>
      <c r="AU1667" s="2" t="str">
        <f t="shared" si="104"/>
        <v/>
      </c>
      <c r="AV1667" s="2" t="str">
        <f t="shared" si="105"/>
        <v/>
      </c>
      <c r="AW1667" s="2" t="str">
        <f t="shared" si="106"/>
        <v/>
      </c>
      <c r="AX1667" s="2" t="str">
        <f t="shared" si="107"/>
        <v/>
      </c>
      <c r="AY1667" s="2" t="str">
        <f>IF($AV1667="","",IF(AND($Z1667=0,COUNTIF('AR SALES'!$L$2:$L$2501,$L1667)=0),"YES",""))</f>
        <v/>
      </c>
      <c r="AZ1667" s="2" t="str">
        <f>IF($AV1667="","",IF(COUNTIF(LISTS!$C$2:$C$250,$AU1667)=0,"NEW",""))</f>
        <v/>
      </c>
      <c r="BA1667" s="2" t="str">
        <f>IF(""&amp;$F1667&lt;&gt;"4","",IF($AY1667="YES","",IF(ROUND(SUMIFS($AE$2:$AE$4001,$L$2:$L$4001,$L1667,$F$2:$F$4001,"4")-SUMIFS('AR SALES'!$Y$2:$Y$2501,'AR SALES'!$L$2:$L$2501,$L1667,'AR SALES'!$AD$2:$AD$2501,"OFF"),2)=0,"","STALE")))</f>
        <v/>
      </c>
      <c r="BB1667" s="2" t="str">
        <f>IF(OR(""&amp;$F1667="2",""&amp;$F1667="4",""&amp;$F1667="G",""&amp;$F1667="H"),IF($AY1667="YES","",IF($AB1667&lt;&gt;0,"",IF(COUNTIFS('AR SALES'!$L$2:$L$2501,$L1667,'AR SALES'!$AD$2:$AD$2501,IF(""&amp;$F1667="4","OFF","ON"),'AR SALES'!$AF$2:$AF$2501,"Y")&gt;0,"","NO EXEMPTION"))),"")</f>
        <v/>
      </c>
    </row>
    <row r="1668" spans="46:54" x14ac:dyDescent="0.25">
      <c r="AT1668" s="2" t="str">
        <f>IF($L1668="","",IFERROR(INDEX('AR SALES'!$H$2:$H$2501,MATCH(""&amp;$L1668,'AR SALES'!$AE$2:$AE$2501,0)),""))</f>
        <v/>
      </c>
      <c r="AU1668" s="2" t="str">
        <f t="shared" si="104"/>
        <v/>
      </c>
      <c r="AV1668" s="2" t="str">
        <f t="shared" si="105"/>
        <v/>
      </c>
      <c r="AW1668" s="2" t="str">
        <f t="shared" si="106"/>
        <v/>
      </c>
      <c r="AX1668" s="2" t="str">
        <f t="shared" si="107"/>
        <v/>
      </c>
      <c r="AY1668" s="2" t="str">
        <f>IF($AV1668="","",IF(AND($Z1668=0,COUNTIF('AR SALES'!$L$2:$L$2501,$L1668)=0),"YES",""))</f>
        <v/>
      </c>
      <c r="AZ1668" s="2" t="str">
        <f>IF($AV1668="","",IF(COUNTIF(LISTS!$C$2:$C$250,$AU1668)=0,"NEW",""))</f>
        <v/>
      </c>
      <c r="BA1668" s="2" t="str">
        <f>IF(""&amp;$F1668&lt;&gt;"4","",IF($AY1668="YES","",IF(ROUND(SUMIFS($AE$2:$AE$4001,$L$2:$L$4001,$L1668,$F$2:$F$4001,"4")-SUMIFS('AR SALES'!$Y$2:$Y$2501,'AR SALES'!$L$2:$L$2501,$L1668,'AR SALES'!$AD$2:$AD$2501,"OFF"),2)=0,"","STALE")))</f>
        <v/>
      </c>
      <c r="BB1668" s="2" t="str">
        <f>IF(OR(""&amp;$F1668="2",""&amp;$F1668="4",""&amp;$F1668="G",""&amp;$F1668="H"),IF($AY1668="YES","",IF($AB1668&lt;&gt;0,"",IF(COUNTIFS('AR SALES'!$L$2:$L$2501,$L1668,'AR SALES'!$AD$2:$AD$2501,IF(""&amp;$F1668="4","OFF","ON"),'AR SALES'!$AF$2:$AF$2501,"Y")&gt;0,"","NO EXEMPTION"))),"")</f>
        <v/>
      </c>
    </row>
    <row r="1669" spans="46:54" x14ac:dyDescent="0.25">
      <c r="AT1669" s="2" t="str">
        <f>IF($L1669="","",IFERROR(INDEX('AR SALES'!$H$2:$H$2501,MATCH(""&amp;$L1669,'AR SALES'!$AE$2:$AE$2501,0)),""))</f>
        <v/>
      </c>
      <c r="AU1669" s="2" t="str">
        <f t="shared" si="104"/>
        <v/>
      </c>
      <c r="AV1669" s="2" t="str">
        <f t="shared" si="105"/>
        <v/>
      </c>
      <c r="AW1669" s="2" t="str">
        <f t="shared" si="106"/>
        <v/>
      </c>
      <c r="AX1669" s="2" t="str">
        <f t="shared" si="107"/>
        <v/>
      </c>
      <c r="AY1669" s="2" t="str">
        <f>IF($AV1669="","",IF(AND($Z1669=0,COUNTIF('AR SALES'!$L$2:$L$2501,$L1669)=0),"YES",""))</f>
        <v/>
      </c>
      <c r="AZ1669" s="2" t="str">
        <f>IF($AV1669="","",IF(COUNTIF(LISTS!$C$2:$C$250,$AU1669)=0,"NEW",""))</f>
        <v/>
      </c>
      <c r="BA1669" s="2" t="str">
        <f>IF(""&amp;$F1669&lt;&gt;"4","",IF($AY1669="YES","",IF(ROUND(SUMIFS($AE$2:$AE$4001,$L$2:$L$4001,$L1669,$F$2:$F$4001,"4")-SUMIFS('AR SALES'!$Y$2:$Y$2501,'AR SALES'!$L$2:$L$2501,$L1669,'AR SALES'!$AD$2:$AD$2501,"OFF"),2)=0,"","STALE")))</f>
        <v/>
      </c>
      <c r="BB1669" s="2" t="str">
        <f>IF(OR(""&amp;$F1669="2",""&amp;$F1669="4",""&amp;$F1669="G",""&amp;$F1669="H"),IF($AY1669="YES","",IF($AB1669&lt;&gt;0,"",IF(COUNTIFS('AR SALES'!$L$2:$L$2501,$L1669,'AR SALES'!$AD$2:$AD$2501,IF(""&amp;$F1669="4","OFF","ON"),'AR SALES'!$AF$2:$AF$2501,"Y")&gt;0,"","NO EXEMPTION"))),"")</f>
        <v/>
      </c>
    </row>
    <row r="1670" spans="46:54" x14ac:dyDescent="0.25">
      <c r="AT1670" s="2" t="str">
        <f>IF($L1670="","",IFERROR(INDEX('AR SALES'!$H$2:$H$2501,MATCH(""&amp;$L1670,'AR SALES'!$AE$2:$AE$2501,0)),""))</f>
        <v/>
      </c>
      <c r="AU1670" s="2" t="str">
        <f t="shared" si="104"/>
        <v/>
      </c>
      <c r="AV1670" s="2" t="str">
        <f t="shared" si="105"/>
        <v/>
      </c>
      <c r="AW1670" s="2" t="str">
        <f t="shared" si="106"/>
        <v/>
      </c>
      <c r="AX1670" s="2" t="str">
        <f t="shared" si="107"/>
        <v/>
      </c>
      <c r="AY1670" s="2" t="str">
        <f>IF($AV1670="","",IF(AND($Z1670=0,COUNTIF('AR SALES'!$L$2:$L$2501,$L1670)=0),"YES",""))</f>
        <v/>
      </c>
      <c r="AZ1670" s="2" t="str">
        <f>IF($AV1670="","",IF(COUNTIF(LISTS!$C$2:$C$250,$AU1670)=0,"NEW",""))</f>
        <v/>
      </c>
      <c r="BA1670" s="2" t="str">
        <f>IF(""&amp;$F1670&lt;&gt;"4","",IF($AY1670="YES","",IF(ROUND(SUMIFS($AE$2:$AE$4001,$L$2:$L$4001,$L1670,$F$2:$F$4001,"4")-SUMIFS('AR SALES'!$Y$2:$Y$2501,'AR SALES'!$L$2:$L$2501,$L1670,'AR SALES'!$AD$2:$AD$2501,"OFF"),2)=0,"","STALE")))</f>
        <v/>
      </c>
      <c r="BB1670" s="2" t="str">
        <f>IF(OR(""&amp;$F1670="2",""&amp;$F1670="4",""&amp;$F1670="G",""&amp;$F1670="H"),IF($AY1670="YES","",IF($AB1670&lt;&gt;0,"",IF(COUNTIFS('AR SALES'!$L$2:$L$2501,$L1670,'AR SALES'!$AD$2:$AD$2501,IF(""&amp;$F1670="4","OFF","ON"),'AR SALES'!$AF$2:$AF$2501,"Y")&gt;0,"","NO EXEMPTION"))),"")</f>
        <v/>
      </c>
    </row>
    <row r="1671" spans="46:54" x14ac:dyDescent="0.25">
      <c r="AT1671" s="2" t="str">
        <f>IF($L1671="","",IFERROR(INDEX('AR SALES'!$H$2:$H$2501,MATCH(""&amp;$L1671,'AR SALES'!$AE$2:$AE$2501,0)),""))</f>
        <v/>
      </c>
      <c r="AU1671" s="2" t="str">
        <f t="shared" si="104"/>
        <v/>
      </c>
      <c r="AV1671" s="2" t="str">
        <f t="shared" si="105"/>
        <v/>
      </c>
      <c r="AW1671" s="2" t="str">
        <f t="shared" si="106"/>
        <v/>
      </c>
      <c r="AX1671" s="2" t="str">
        <f t="shared" si="107"/>
        <v/>
      </c>
      <c r="AY1671" s="2" t="str">
        <f>IF($AV1671="","",IF(AND($Z1671=0,COUNTIF('AR SALES'!$L$2:$L$2501,$L1671)=0),"YES",""))</f>
        <v/>
      </c>
      <c r="AZ1671" s="2" t="str">
        <f>IF($AV1671="","",IF(COUNTIF(LISTS!$C$2:$C$250,$AU1671)=0,"NEW",""))</f>
        <v/>
      </c>
      <c r="BA1671" s="2" t="str">
        <f>IF(""&amp;$F1671&lt;&gt;"4","",IF($AY1671="YES","",IF(ROUND(SUMIFS($AE$2:$AE$4001,$L$2:$L$4001,$L1671,$F$2:$F$4001,"4")-SUMIFS('AR SALES'!$Y$2:$Y$2501,'AR SALES'!$L$2:$L$2501,$L1671,'AR SALES'!$AD$2:$AD$2501,"OFF"),2)=0,"","STALE")))</f>
        <v/>
      </c>
      <c r="BB1671" s="2" t="str">
        <f>IF(OR(""&amp;$F1671="2",""&amp;$F1671="4",""&amp;$F1671="G",""&amp;$F1671="H"),IF($AY1671="YES","",IF($AB1671&lt;&gt;0,"",IF(COUNTIFS('AR SALES'!$L$2:$L$2501,$L1671,'AR SALES'!$AD$2:$AD$2501,IF(""&amp;$F1671="4","OFF","ON"),'AR SALES'!$AF$2:$AF$2501,"Y")&gt;0,"","NO EXEMPTION"))),"")</f>
        <v/>
      </c>
    </row>
    <row r="1672" spans="46:54" x14ac:dyDescent="0.25">
      <c r="AT1672" s="2" t="str">
        <f>IF($L1672="","",IFERROR(INDEX('AR SALES'!$H$2:$H$2501,MATCH(""&amp;$L1672,'AR SALES'!$AE$2:$AE$2501,0)),""))</f>
        <v/>
      </c>
      <c r="AU1672" s="2" t="str">
        <f t="shared" si="104"/>
        <v/>
      </c>
      <c r="AV1672" s="2" t="str">
        <f t="shared" si="105"/>
        <v/>
      </c>
      <c r="AW1672" s="2" t="str">
        <f t="shared" si="106"/>
        <v/>
      </c>
      <c r="AX1672" s="2" t="str">
        <f t="shared" si="107"/>
        <v/>
      </c>
      <c r="AY1672" s="2" t="str">
        <f>IF($AV1672="","",IF(AND($Z1672=0,COUNTIF('AR SALES'!$L$2:$L$2501,$L1672)=0),"YES",""))</f>
        <v/>
      </c>
      <c r="AZ1672" s="2" t="str">
        <f>IF($AV1672="","",IF(COUNTIF(LISTS!$C$2:$C$250,$AU1672)=0,"NEW",""))</f>
        <v/>
      </c>
      <c r="BA1672" s="2" t="str">
        <f>IF(""&amp;$F1672&lt;&gt;"4","",IF($AY1672="YES","",IF(ROUND(SUMIFS($AE$2:$AE$4001,$L$2:$L$4001,$L1672,$F$2:$F$4001,"4")-SUMIFS('AR SALES'!$Y$2:$Y$2501,'AR SALES'!$L$2:$L$2501,$L1672,'AR SALES'!$AD$2:$AD$2501,"OFF"),2)=0,"","STALE")))</f>
        <v/>
      </c>
      <c r="BB1672" s="2" t="str">
        <f>IF(OR(""&amp;$F1672="2",""&amp;$F1672="4",""&amp;$F1672="G",""&amp;$F1672="H"),IF($AY1672="YES","",IF($AB1672&lt;&gt;0,"",IF(COUNTIFS('AR SALES'!$L$2:$L$2501,$L1672,'AR SALES'!$AD$2:$AD$2501,IF(""&amp;$F1672="4","OFF","ON"),'AR SALES'!$AF$2:$AF$2501,"Y")&gt;0,"","NO EXEMPTION"))),"")</f>
        <v/>
      </c>
    </row>
    <row r="1673" spans="46:54" x14ac:dyDescent="0.25">
      <c r="AT1673" s="2" t="str">
        <f>IF($L1673="","",IFERROR(INDEX('AR SALES'!$H$2:$H$2501,MATCH(""&amp;$L1673,'AR SALES'!$AE$2:$AE$2501,0)),""))</f>
        <v/>
      </c>
      <c r="AU1673" s="2" t="str">
        <f t="shared" si="104"/>
        <v/>
      </c>
      <c r="AV1673" s="2" t="str">
        <f t="shared" si="105"/>
        <v/>
      </c>
      <c r="AW1673" s="2" t="str">
        <f t="shared" si="106"/>
        <v/>
      </c>
      <c r="AX1673" s="2" t="str">
        <f t="shared" si="107"/>
        <v/>
      </c>
      <c r="AY1673" s="2" t="str">
        <f>IF($AV1673="","",IF(AND($Z1673=0,COUNTIF('AR SALES'!$L$2:$L$2501,$L1673)=0),"YES",""))</f>
        <v/>
      </c>
      <c r="AZ1673" s="2" t="str">
        <f>IF($AV1673="","",IF(COUNTIF(LISTS!$C$2:$C$250,$AU1673)=0,"NEW",""))</f>
        <v/>
      </c>
      <c r="BA1673" s="2" t="str">
        <f>IF(""&amp;$F1673&lt;&gt;"4","",IF($AY1673="YES","",IF(ROUND(SUMIFS($AE$2:$AE$4001,$L$2:$L$4001,$L1673,$F$2:$F$4001,"4")-SUMIFS('AR SALES'!$Y$2:$Y$2501,'AR SALES'!$L$2:$L$2501,$L1673,'AR SALES'!$AD$2:$AD$2501,"OFF"),2)=0,"","STALE")))</f>
        <v/>
      </c>
      <c r="BB1673" s="2" t="str">
        <f>IF(OR(""&amp;$F1673="2",""&amp;$F1673="4",""&amp;$F1673="G",""&amp;$F1673="H"),IF($AY1673="YES","",IF($AB1673&lt;&gt;0,"",IF(COUNTIFS('AR SALES'!$L$2:$L$2501,$L1673,'AR SALES'!$AD$2:$AD$2501,IF(""&amp;$F1673="4","OFF","ON"),'AR SALES'!$AF$2:$AF$2501,"Y")&gt;0,"","NO EXEMPTION"))),"")</f>
        <v/>
      </c>
    </row>
    <row r="1674" spans="46:54" x14ac:dyDescent="0.25">
      <c r="AT1674" s="2" t="str">
        <f>IF($L1674="","",IFERROR(INDEX('AR SALES'!$H$2:$H$2501,MATCH(""&amp;$L1674,'AR SALES'!$AE$2:$AE$2501,0)),""))</f>
        <v/>
      </c>
      <c r="AU1674" s="2" t="str">
        <f t="shared" si="104"/>
        <v/>
      </c>
      <c r="AV1674" s="2" t="str">
        <f t="shared" si="105"/>
        <v/>
      </c>
      <c r="AW1674" s="2" t="str">
        <f t="shared" si="106"/>
        <v/>
      </c>
      <c r="AX1674" s="2" t="str">
        <f t="shared" si="107"/>
        <v/>
      </c>
      <c r="AY1674" s="2" t="str">
        <f>IF($AV1674="","",IF(AND($Z1674=0,COUNTIF('AR SALES'!$L$2:$L$2501,$L1674)=0),"YES",""))</f>
        <v/>
      </c>
      <c r="AZ1674" s="2" t="str">
        <f>IF($AV1674="","",IF(COUNTIF(LISTS!$C$2:$C$250,$AU1674)=0,"NEW",""))</f>
        <v/>
      </c>
      <c r="BA1674" s="2" t="str">
        <f>IF(""&amp;$F1674&lt;&gt;"4","",IF($AY1674="YES","",IF(ROUND(SUMIFS($AE$2:$AE$4001,$L$2:$L$4001,$L1674,$F$2:$F$4001,"4")-SUMIFS('AR SALES'!$Y$2:$Y$2501,'AR SALES'!$L$2:$L$2501,$L1674,'AR SALES'!$AD$2:$AD$2501,"OFF"),2)=0,"","STALE")))</f>
        <v/>
      </c>
      <c r="BB1674" s="2" t="str">
        <f>IF(OR(""&amp;$F1674="2",""&amp;$F1674="4",""&amp;$F1674="G",""&amp;$F1674="H"),IF($AY1674="YES","",IF($AB1674&lt;&gt;0,"",IF(COUNTIFS('AR SALES'!$L$2:$L$2501,$L1674,'AR SALES'!$AD$2:$AD$2501,IF(""&amp;$F1674="4","OFF","ON"),'AR SALES'!$AF$2:$AF$2501,"Y")&gt;0,"","NO EXEMPTION"))),"")</f>
        <v/>
      </c>
    </row>
    <row r="1675" spans="46:54" x14ac:dyDescent="0.25">
      <c r="AT1675" s="2" t="str">
        <f>IF($L1675="","",IFERROR(INDEX('AR SALES'!$H$2:$H$2501,MATCH(""&amp;$L1675,'AR SALES'!$AE$2:$AE$2501,0)),""))</f>
        <v/>
      </c>
      <c r="AU1675" s="2" t="str">
        <f t="shared" si="104"/>
        <v/>
      </c>
      <c r="AV1675" s="2" t="str">
        <f t="shared" si="105"/>
        <v/>
      </c>
      <c r="AW1675" s="2" t="str">
        <f t="shared" si="106"/>
        <v/>
      </c>
      <c r="AX1675" s="2" t="str">
        <f t="shared" si="107"/>
        <v/>
      </c>
      <c r="AY1675" s="2" t="str">
        <f>IF($AV1675="","",IF(AND($Z1675=0,COUNTIF('AR SALES'!$L$2:$L$2501,$L1675)=0),"YES",""))</f>
        <v/>
      </c>
      <c r="AZ1675" s="2" t="str">
        <f>IF($AV1675="","",IF(COUNTIF(LISTS!$C$2:$C$250,$AU1675)=0,"NEW",""))</f>
        <v/>
      </c>
      <c r="BA1675" s="2" t="str">
        <f>IF(""&amp;$F1675&lt;&gt;"4","",IF($AY1675="YES","",IF(ROUND(SUMIFS($AE$2:$AE$4001,$L$2:$L$4001,$L1675,$F$2:$F$4001,"4")-SUMIFS('AR SALES'!$Y$2:$Y$2501,'AR SALES'!$L$2:$L$2501,$L1675,'AR SALES'!$AD$2:$AD$2501,"OFF"),2)=0,"","STALE")))</f>
        <v/>
      </c>
      <c r="BB1675" s="2" t="str">
        <f>IF(OR(""&amp;$F1675="2",""&amp;$F1675="4",""&amp;$F1675="G",""&amp;$F1675="H"),IF($AY1675="YES","",IF($AB1675&lt;&gt;0,"",IF(COUNTIFS('AR SALES'!$L$2:$L$2501,$L1675,'AR SALES'!$AD$2:$AD$2501,IF(""&amp;$F1675="4","OFF","ON"),'AR SALES'!$AF$2:$AF$2501,"Y")&gt;0,"","NO EXEMPTION"))),"")</f>
        <v/>
      </c>
    </row>
    <row r="1676" spans="46:54" x14ac:dyDescent="0.25">
      <c r="AT1676" s="2" t="str">
        <f>IF($L1676="","",IFERROR(INDEX('AR SALES'!$H$2:$H$2501,MATCH(""&amp;$L1676,'AR SALES'!$AE$2:$AE$2501,0)),""))</f>
        <v/>
      </c>
      <c r="AU1676" s="2" t="str">
        <f t="shared" si="104"/>
        <v/>
      </c>
      <c r="AV1676" s="2" t="str">
        <f t="shared" si="105"/>
        <v/>
      </c>
      <c r="AW1676" s="2" t="str">
        <f t="shared" si="106"/>
        <v/>
      </c>
      <c r="AX1676" s="2" t="str">
        <f t="shared" si="107"/>
        <v/>
      </c>
      <c r="AY1676" s="2" t="str">
        <f>IF($AV1676="","",IF(AND($Z1676=0,COUNTIF('AR SALES'!$L$2:$L$2501,$L1676)=0),"YES",""))</f>
        <v/>
      </c>
      <c r="AZ1676" s="2" t="str">
        <f>IF($AV1676="","",IF(COUNTIF(LISTS!$C$2:$C$250,$AU1676)=0,"NEW",""))</f>
        <v/>
      </c>
      <c r="BA1676" s="2" t="str">
        <f>IF(""&amp;$F1676&lt;&gt;"4","",IF($AY1676="YES","",IF(ROUND(SUMIFS($AE$2:$AE$4001,$L$2:$L$4001,$L1676,$F$2:$F$4001,"4")-SUMIFS('AR SALES'!$Y$2:$Y$2501,'AR SALES'!$L$2:$L$2501,$L1676,'AR SALES'!$AD$2:$AD$2501,"OFF"),2)=0,"","STALE")))</f>
        <v/>
      </c>
      <c r="BB1676" s="2" t="str">
        <f>IF(OR(""&amp;$F1676="2",""&amp;$F1676="4",""&amp;$F1676="G",""&amp;$F1676="H"),IF($AY1676="YES","",IF($AB1676&lt;&gt;0,"",IF(COUNTIFS('AR SALES'!$L$2:$L$2501,$L1676,'AR SALES'!$AD$2:$AD$2501,IF(""&amp;$F1676="4","OFF","ON"),'AR SALES'!$AF$2:$AF$2501,"Y")&gt;0,"","NO EXEMPTION"))),"")</f>
        <v/>
      </c>
    </row>
    <row r="1677" spans="46:54" x14ac:dyDescent="0.25">
      <c r="AT1677" s="2" t="str">
        <f>IF($L1677="","",IFERROR(INDEX('AR SALES'!$H$2:$H$2501,MATCH(""&amp;$L1677,'AR SALES'!$AE$2:$AE$2501,0)),""))</f>
        <v/>
      </c>
      <c r="AU1677" s="2" t="str">
        <f t="shared" si="104"/>
        <v/>
      </c>
      <c r="AV1677" s="2" t="str">
        <f t="shared" si="105"/>
        <v/>
      </c>
      <c r="AW1677" s="2" t="str">
        <f t="shared" si="106"/>
        <v/>
      </c>
      <c r="AX1677" s="2" t="str">
        <f t="shared" si="107"/>
        <v/>
      </c>
      <c r="AY1677" s="2" t="str">
        <f>IF($AV1677="","",IF(AND($Z1677=0,COUNTIF('AR SALES'!$L$2:$L$2501,$L1677)=0),"YES",""))</f>
        <v/>
      </c>
      <c r="AZ1677" s="2" t="str">
        <f>IF($AV1677="","",IF(COUNTIF(LISTS!$C$2:$C$250,$AU1677)=0,"NEW",""))</f>
        <v/>
      </c>
      <c r="BA1677" s="2" t="str">
        <f>IF(""&amp;$F1677&lt;&gt;"4","",IF($AY1677="YES","",IF(ROUND(SUMIFS($AE$2:$AE$4001,$L$2:$L$4001,$L1677,$F$2:$F$4001,"4")-SUMIFS('AR SALES'!$Y$2:$Y$2501,'AR SALES'!$L$2:$L$2501,$L1677,'AR SALES'!$AD$2:$AD$2501,"OFF"),2)=0,"","STALE")))</f>
        <v/>
      </c>
      <c r="BB1677" s="2" t="str">
        <f>IF(OR(""&amp;$F1677="2",""&amp;$F1677="4",""&amp;$F1677="G",""&amp;$F1677="H"),IF($AY1677="YES","",IF($AB1677&lt;&gt;0,"",IF(COUNTIFS('AR SALES'!$L$2:$L$2501,$L1677,'AR SALES'!$AD$2:$AD$2501,IF(""&amp;$F1677="4","OFF","ON"),'AR SALES'!$AF$2:$AF$2501,"Y")&gt;0,"","NO EXEMPTION"))),"")</f>
        <v/>
      </c>
    </row>
    <row r="1678" spans="46:54" x14ac:dyDescent="0.25">
      <c r="AT1678" s="2" t="str">
        <f>IF($L1678="","",IFERROR(INDEX('AR SALES'!$H$2:$H$2501,MATCH(""&amp;$L1678,'AR SALES'!$AE$2:$AE$2501,0)),""))</f>
        <v/>
      </c>
      <c r="AU1678" s="2" t="str">
        <f t="shared" si="104"/>
        <v/>
      </c>
      <c r="AV1678" s="2" t="str">
        <f t="shared" si="105"/>
        <v/>
      </c>
      <c r="AW1678" s="2" t="str">
        <f t="shared" si="106"/>
        <v/>
      </c>
      <c r="AX1678" s="2" t="str">
        <f t="shared" si="107"/>
        <v/>
      </c>
      <c r="AY1678" s="2" t="str">
        <f>IF($AV1678="","",IF(AND($Z1678=0,COUNTIF('AR SALES'!$L$2:$L$2501,$L1678)=0),"YES",""))</f>
        <v/>
      </c>
      <c r="AZ1678" s="2" t="str">
        <f>IF($AV1678="","",IF(COUNTIF(LISTS!$C$2:$C$250,$AU1678)=0,"NEW",""))</f>
        <v/>
      </c>
      <c r="BA1678" s="2" t="str">
        <f>IF(""&amp;$F1678&lt;&gt;"4","",IF($AY1678="YES","",IF(ROUND(SUMIFS($AE$2:$AE$4001,$L$2:$L$4001,$L1678,$F$2:$F$4001,"4")-SUMIFS('AR SALES'!$Y$2:$Y$2501,'AR SALES'!$L$2:$L$2501,$L1678,'AR SALES'!$AD$2:$AD$2501,"OFF"),2)=0,"","STALE")))</f>
        <v/>
      </c>
      <c r="BB1678" s="2" t="str">
        <f>IF(OR(""&amp;$F1678="2",""&amp;$F1678="4",""&amp;$F1678="G",""&amp;$F1678="H"),IF($AY1678="YES","",IF($AB1678&lt;&gt;0,"",IF(COUNTIFS('AR SALES'!$L$2:$L$2501,$L1678,'AR SALES'!$AD$2:$AD$2501,IF(""&amp;$F1678="4","OFF","ON"),'AR SALES'!$AF$2:$AF$2501,"Y")&gt;0,"","NO EXEMPTION"))),"")</f>
        <v/>
      </c>
    </row>
    <row r="1679" spans="46:54" x14ac:dyDescent="0.25">
      <c r="AT1679" s="2" t="str">
        <f>IF($L1679="","",IFERROR(INDEX('AR SALES'!$H$2:$H$2501,MATCH(""&amp;$L1679,'AR SALES'!$AE$2:$AE$2501,0)),""))</f>
        <v/>
      </c>
      <c r="AU1679" s="2" t="str">
        <f t="shared" si="104"/>
        <v/>
      </c>
      <c r="AV1679" s="2" t="str">
        <f t="shared" si="105"/>
        <v/>
      </c>
      <c r="AW1679" s="2" t="str">
        <f t="shared" si="106"/>
        <v/>
      </c>
      <c r="AX1679" s="2" t="str">
        <f t="shared" si="107"/>
        <v/>
      </c>
      <c r="AY1679" s="2" t="str">
        <f>IF($AV1679="","",IF(AND($Z1679=0,COUNTIF('AR SALES'!$L$2:$L$2501,$L1679)=0),"YES",""))</f>
        <v/>
      </c>
      <c r="AZ1679" s="2" t="str">
        <f>IF($AV1679="","",IF(COUNTIF(LISTS!$C$2:$C$250,$AU1679)=0,"NEW",""))</f>
        <v/>
      </c>
      <c r="BA1679" s="2" t="str">
        <f>IF(""&amp;$F1679&lt;&gt;"4","",IF($AY1679="YES","",IF(ROUND(SUMIFS($AE$2:$AE$4001,$L$2:$L$4001,$L1679,$F$2:$F$4001,"4")-SUMIFS('AR SALES'!$Y$2:$Y$2501,'AR SALES'!$L$2:$L$2501,$L1679,'AR SALES'!$AD$2:$AD$2501,"OFF"),2)=0,"","STALE")))</f>
        <v/>
      </c>
      <c r="BB1679" s="2" t="str">
        <f>IF(OR(""&amp;$F1679="2",""&amp;$F1679="4",""&amp;$F1679="G",""&amp;$F1679="H"),IF($AY1679="YES","",IF($AB1679&lt;&gt;0,"",IF(COUNTIFS('AR SALES'!$L$2:$L$2501,$L1679,'AR SALES'!$AD$2:$AD$2501,IF(""&amp;$F1679="4","OFF","ON"),'AR SALES'!$AF$2:$AF$2501,"Y")&gt;0,"","NO EXEMPTION"))),"")</f>
        <v/>
      </c>
    </row>
    <row r="1680" spans="46:54" x14ac:dyDescent="0.25">
      <c r="AT1680" s="2" t="str">
        <f>IF($L1680="","",IFERROR(INDEX('AR SALES'!$H$2:$H$2501,MATCH(""&amp;$L1680,'AR SALES'!$AE$2:$AE$2501,0)),""))</f>
        <v/>
      </c>
      <c r="AU1680" s="2" t="str">
        <f t="shared" si="104"/>
        <v/>
      </c>
      <c r="AV1680" s="2" t="str">
        <f t="shared" si="105"/>
        <v/>
      </c>
      <c r="AW1680" s="2" t="str">
        <f t="shared" si="106"/>
        <v/>
      </c>
      <c r="AX1680" s="2" t="str">
        <f t="shared" si="107"/>
        <v/>
      </c>
      <c r="AY1680" s="2" t="str">
        <f>IF($AV1680="","",IF(AND($Z1680=0,COUNTIF('AR SALES'!$L$2:$L$2501,$L1680)=0),"YES",""))</f>
        <v/>
      </c>
      <c r="AZ1680" s="2" t="str">
        <f>IF($AV1680="","",IF(COUNTIF(LISTS!$C$2:$C$250,$AU1680)=0,"NEW",""))</f>
        <v/>
      </c>
      <c r="BA1680" s="2" t="str">
        <f>IF(""&amp;$F1680&lt;&gt;"4","",IF($AY1680="YES","",IF(ROUND(SUMIFS($AE$2:$AE$4001,$L$2:$L$4001,$L1680,$F$2:$F$4001,"4")-SUMIFS('AR SALES'!$Y$2:$Y$2501,'AR SALES'!$L$2:$L$2501,$L1680,'AR SALES'!$AD$2:$AD$2501,"OFF"),2)=0,"","STALE")))</f>
        <v/>
      </c>
      <c r="BB1680" s="2" t="str">
        <f>IF(OR(""&amp;$F1680="2",""&amp;$F1680="4",""&amp;$F1680="G",""&amp;$F1680="H"),IF($AY1680="YES","",IF($AB1680&lt;&gt;0,"",IF(COUNTIFS('AR SALES'!$L$2:$L$2501,$L1680,'AR SALES'!$AD$2:$AD$2501,IF(""&amp;$F1680="4","OFF","ON"),'AR SALES'!$AF$2:$AF$2501,"Y")&gt;0,"","NO EXEMPTION"))),"")</f>
        <v/>
      </c>
    </row>
    <row r="1681" spans="46:54" x14ac:dyDescent="0.25">
      <c r="AT1681" s="2" t="str">
        <f>IF($L1681="","",IFERROR(INDEX('AR SALES'!$H$2:$H$2501,MATCH(""&amp;$L1681,'AR SALES'!$AE$2:$AE$2501,0)),""))</f>
        <v/>
      </c>
      <c r="AU1681" s="2" t="str">
        <f t="shared" si="104"/>
        <v/>
      </c>
      <c r="AV1681" s="2" t="str">
        <f t="shared" si="105"/>
        <v/>
      </c>
      <c r="AW1681" s="2" t="str">
        <f t="shared" si="106"/>
        <v/>
      </c>
      <c r="AX1681" s="2" t="str">
        <f t="shared" si="107"/>
        <v/>
      </c>
      <c r="AY1681" s="2" t="str">
        <f>IF($AV1681="","",IF(AND($Z1681=0,COUNTIF('AR SALES'!$L$2:$L$2501,$L1681)=0),"YES",""))</f>
        <v/>
      </c>
      <c r="AZ1681" s="2" t="str">
        <f>IF($AV1681="","",IF(COUNTIF(LISTS!$C$2:$C$250,$AU1681)=0,"NEW",""))</f>
        <v/>
      </c>
      <c r="BA1681" s="2" t="str">
        <f>IF(""&amp;$F1681&lt;&gt;"4","",IF($AY1681="YES","",IF(ROUND(SUMIFS($AE$2:$AE$4001,$L$2:$L$4001,$L1681,$F$2:$F$4001,"4")-SUMIFS('AR SALES'!$Y$2:$Y$2501,'AR SALES'!$L$2:$L$2501,$L1681,'AR SALES'!$AD$2:$AD$2501,"OFF"),2)=0,"","STALE")))</f>
        <v/>
      </c>
      <c r="BB1681" s="2" t="str">
        <f>IF(OR(""&amp;$F1681="2",""&amp;$F1681="4",""&amp;$F1681="G",""&amp;$F1681="H"),IF($AY1681="YES","",IF($AB1681&lt;&gt;0,"",IF(COUNTIFS('AR SALES'!$L$2:$L$2501,$L1681,'AR SALES'!$AD$2:$AD$2501,IF(""&amp;$F1681="4","OFF","ON"),'AR SALES'!$AF$2:$AF$2501,"Y")&gt;0,"","NO EXEMPTION"))),"")</f>
        <v/>
      </c>
    </row>
    <row r="1682" spans="46:54" x14ac:dyDescent="0.25">
      <c r="AT1682" s="2" t="str">
        <f>IF($L1682="","",IFERROR(INDEX('AR SALES'!$H$2:$H$2501,MATCH(""&amp;$L1682,'AR SALES'!$AE$2:$AE$2501,0)),""))</f>
        <v/>
      </c>
      <c r="AU1682" s="2" t="str">
        <f t="shared" si="104"/>
        <v/>
      </c>
      <c r="AV1682" s="2" t="str">
        <f t="shared" si="105"/>
        <v/>
      </c>
      <c r="AW1682" s="2" t="str">
        <f t="shared" si="106"/>
        <v/>
      </c>
      <c r="AX1682" s="2" t="str">
        <f t="shared" si="107"/>
        <v/>
      </c>
      <c r="AY1682" s="2" t="str">
        <f>IF($AV1682="","",IF(AND($Z1682=0,COUNTIF('AR SALES'!$L$2:$L$2501,$L1682)=0),"YES",""))</f>
        <v/>
      </c>
      <c r="AZ1682" s="2" t="str">
        <f>IF($AV1682="","",IF(COUNTIF(LISTS!$C$2:$C$250,$AU1682)=0,"NEW",""))</f>
        <v/>
      </c>
      <c r="BA1682" s="2" t="str">
        <f>IF(""&amp;$F1682&lt;&gt;"4","",IF($AY1682="YES","",IF(ROUND(SUMIFS($AE$2:$AE$4001,$L$2:$L$4001,$L1682,$F$2:$F$4001,"4")-SUMIFS('AR SALES'!$Y$2:$Y$2501,'AR SALES'!$L$2:$L$2501,$L1682,'AR SALES'!$AD$2:$AD$2501,"OFF"),2)=0,"","STALE")))</f>
        <v/>
      </c>
      <c r="BB1682" s="2" t="str">
        <f>IF(OR(""&amp;$F1682="2",""&amp;$F1682="4",""&amp;$F1682="G",""&amp;$F1682="H"),IF($AY1682="YES","",IF($AB1682&lt;&gt;0,"",IF(COUNTIFS('AR SALES'!$L$2:$L$2501,$L1682,'AR SALES'!$AD$2:$AD$2501,IF(""&amp;$F1682="4","OFF","ON"),'AR SALES'!$AF$2:$AF$2501,"Y")&gt;0,"","NO EXEMPTION"))),"")</f>
        <v/>
      </c>
    </row>
    <row r="1683" spans="46:54" x14ac:dyDescent="0.25">
      <c r="AT1683" s="2" t="str">
        <f>IF($L1683="","",IFERROR(INDEX('AR SALES'!$H$2:$H$2501,MATCH(""&amp;$L1683,'AR SALES'!$AE$2:$AE$2501,0)),""))</f>
        <v/>
      </c>
      <c r="AU1683" s="2" t="str">
        <f t="shared" si="104"/>
        <v/>
      </c>
      <c r="AV1683" s="2" t="str">
        <f t="shared" si="105"/>
        <v/>
      </c>
      <c r="AW1683" s="2" t="str">
        <f t="shared" si="106"/>
        <v/>
      </c>
      <c r="AX1683" s="2" t="str">
        <f t="shared" si="107"/>
        <v/>
      </c>
      <c r="AY1683" s="2" t="str">
        <f>IF($AV1683="","",IF(AND($Z1683=0,COUNTIF('AR SALES'!$L$2:$L$2501,$L1683)=0),"YES",""))</f>
        <v/>
      </c>
      <c r="AZ1683" s="2" t="str">
        <f>IF($AV1683="","",IF(COUNTIF(LISTS!$C$2:$C$250,$AU1683)=0,"NEW",""))</f>
        <v/>
      </c>
      <c r="BA1683" s="2" t="str">
        <f>IF(""&amp;$F1683&lt;&gt;"4","",IF($AY1683="YES","",IF(ROUND(SUMIFS($AE$2:$AE$4001,$L$2:$L$4001,$L1683,$F$2:$F$4001,"4")-SUMIFS('AR SALES'!$Y$2:$Y$2501,'AR SALES'!$L$2:$L$2501,$L1683,'AR SALES'!$AD$2:$AD$2501,"OFF"),2)=0,"","STALE")))</f>
        <v/>
      </c>
      <c r="BB1683" s="2" t="str">
        <f>IF(OR(""&amp;$F1683="2",""&amp;$F1683="4",""&amp;$F1683="G",""&amp;$F1683="H"),IF($AY1683="YES","",IF($AB1683&lt;&gt;0,"",IF(COUNTIFS('AR SALES'!$L$2:$L$2501,$L1683,'AR SALES'!$AD$2:$AD$2501,IF(""&amp;$F1683="4","OFF","ON"),'AR SALES'!$AF$2:$AF$2501,"Y")&gt;0,"","NO EXEMPTION"))),"")</f>
        <v/>
      </c>
    </row>
    <row r="1684" spans="46:54" x14ac:dyDescent="0.25">
      <c r="AT1684" s="2" t="str">
        <f>IF($L1684="","",IFERROR(INDEX('AR SALES'!$H$2:$H$2501,MATCH(""&amp;$L1684,'AR SALES'!$AE$2:$AE$2501,0)),""))</f>
        <v/>
      </c>
      <c r="AU1684" s="2" t="str">
        <f t="shared" si="104"/>
        <v/>
      </c>
      <c r="AV1684" s="2" t="str">
        <f t="shared" si="105"/>
        <v/>
      </c>
      <c r="AW1684" s="2" t="str">
        <f t="shared" si="106"/>
        <v/>
      </c>
      <c r="AX1684" s="2" t="str">
        <f t="shared" si="107"/>
        <v/>
      </c>
      <c r="AY1684" s="2" t="str">
        <f>IF($AV1684="","",IF(AND($Z1684=0,COUNTIF('AR SALES'!$L$2:$L$2501,$L1684)=0),"YES",""))</f>
        <v/>
      </c>
      <c r="AZ1684" s="2" t="str">
        <f>IF($AV1684="","",IF(COUNTIF(LISTS!$C$2:$C$250,$AU1684)=0,"NEW",""))</f>
        <v/>
      </c>
      <c r="BA1684" s="2" t="str">
        <f>IF(""&amp;$F1684&lt;&gt;"4","",IF($AY1684="YES","",IF(ROUND(SUMIFS($AE$2:$AE$4001,$L$2:$L$4001,$L1684,$F$2:$F$4001,"4")-SUMIFS('AR SALES'!$Y$2:$Y$2501,'AR SALES'!$L$2:$L$2501,$L1684,'AR SALES'!$AD$2:$AD$2501,"OFF"),2)=0,"","STALE")))</f>
        <v/>
      </c>
      <c r="BB1684" s="2" t="str">
        <f>IF(OR(""&amp;$F1684="2",""&amp;$F1684="4",""&amp;$F1684="G",""&amp;$F1684="H"),IF($AY1684="YES","",IF($AB1684&lt;&gt;0,"",IF(COUNTIFS('AR SALES'!$L$2:$L$2501,$L1684,'AR SALES'!$AD$2:$AD$2501,IF(""&amp;$F1684="4","OFF","ON"),'AR SALES'!$AF$2:$AF$2501,"Y")&gt;0,"","NO EXEMPTION"))),"")</f>
        <v/>
      </c>
    </row>
    <row r="1685" spans="46:54" x14ac:dyDescent="0.25">
      <c r="AT1685" s="2" t="str">
        <f>IF($L1685="","",IFERROR(INDEX('AR SALES'!$H$2:$H$2501,MATCH(""&amp;$L1685,'AR SALES'!$AE$2:$AE$2501,0)),""))</f>
        <v/>
      </c>
      <c r="AU1685" s="2" t="str">
        <f t="shared" si="104"/>
        <v/>
      </c>
      <c r="AV1685" s="2" t="str">
        <f t="shared" si="105"/>
        <v/>
      </c>
      <c r="AW1685" s="2" t="str">
        <f t="shared" si="106"/>
        <v/>
      </c>
      <c r="AX1685" s="2" t="str">
        <f t="shared" si="107"/>
        <v/>
      </c>
      <c r="AY1685" s="2" t="str">
        <f>IF($AV1685="","",IF(AND($Z1685=0,COUNTIF('AR SALES'!$L$2:$L$2501,$L1685)=0),"YES",""))</f>
        <v/>
      </c>
      <c r="AZ1685" s="2" t="str">
        <f>IF($AV1685="","",IF(COUNTIF(LISTS!$C$2:$C$250,$AU1685)=0,"NEW",""))</f>
        <v/>
      </c>
      <c r="BA1685" s="2" t="str">
        <f>IF(""&amp;$F1685&lt;&gt;"4","",IF($AY1685="YES","",IF(ROUND(SUMIFS($AE$2:$AE$4001,$L$2:$L$4001,$L1685,$F$2:$F$4001,"4")-SUMIFS('AR SALES'!$Y$2:$Y$2501,'AR SALES'!$L$2:$L$2501,$L1685,'AR SALES'!$AD$2:$AD$2501,"OFF"),2)=0,"","STALE")))</f>
        <v/>
      </c>
      <c r="BB1685" s="2" t="str">
        <f>IF(OR(""&amp;$F1685="2",""&amp;$F1685="4",""&amp;$F1685="G",""&amp;$F1685="H"),IF($AY1685="YES","",IF($AB1685&lt;&gt;0,"",IF(COUNTIFS('AR SALES'!$L$2:$L$2501,$L1685,'AR SALES'!$AD$2:$AD$2501,IF(""&amp;$F1685="4","OFF","ON"),'AR SALES'!$AF$2:$AF$2501,"Y")&gt;0,"","NO EXEMPTION"))),"")</f>
        <v/>
      </c>
    </row>
    <row r="1686" spans="46:54" x14ac:dyDescent="0.25">
      <c r="AT1686" s="2" t="str">
        <f>IF($L1686="","",IFERROR(INDEX('AR SALES'!$H$2:$H$2501,MATCH(""&amp;$L1686,'AR SALES'!$AE$2:$AE$2501,0)),""))</f>
        <v/>
      </c>
      <c r="AU1686" s="2" t="str">
        <f t="shared" si="104"/>
        <v/>
      </c>
      <c r="AV1686" s="2" t="str">
        <f t="shared" si="105"/>
        <v/>
      </c>
      <c r="AW1686" s="2" t="str">
        <f t="shared" si="106"/>
        <v/>
      </c>
      <c r="AX1686" s="2" t="str">
        <f t="shared" si="107"/>
        <v/>
      </c>
      <c r="AY1686" s="2" t="str">
        <f>IF($AV1686="","",IF(AND($Z1686=0,COUNTIF('AR SALES'!$L$2:$L$2501,$L1686)=0),"YES",""))</f>
        <v/>
      </c>
      <c r="AZ1686" s="2" t="str">
        <f>IF($AV1686="","",IF(COUNTIF(LISTS!$C$2:$C$250,$AU1686)=0,"NEW",""))</f>
        <v/>
      </c>
      <c r="BA1686" s="2" t="str">
        <f>IF(""&amp;$F1686&lt;&gt;"4","",IF($AY1686="YES","",IF(ROUND(SUMIFS($AE$2:$AE$4001,$L$2:$L$4001,$L1686,$F$2:$F$4001,"4")-SUMIFS('AR SALES'!$Y$2:$Y$2501,'AR SALES'!$L$2:$L$2501,$L1686,'AR SALES'!$AD$2:$AD$2501,"OFF"),2)=0,"","STALE")))</f>
        <v/>
      </c>
      <c r="BB1686" s="2" t="str">
        <f>IF(OR(""&amp;$F1686="2",""&amp;$F1686="4",""&amp;$F1686="G",""&amp;$F1686="H"),IF($AY1686="YES","",IF($AB1686&lt;&gt;0,"",IF(COUNTIFS('AR SALES'!$L$2:$L$2501,$L1686,'AR SALES'!$AD$2:$AD$2501,IF(""&amp;$F1686="4","OFF","ON"),'AR SALES'!$AF$2:$AF$2501,"Y")&gt;0,"","NO EXEMPTION"))),"")</f>
        <v/>
      </c>
    </row>
    <row r="1687" spans="46:54" x14ac:dyDescent="0.25">
      <c r="AT1687" s="2" t="str">
        <f>IF($L1687="","",IFERROR(INDEX('AR SALES'!$H$2:$H$2501,MATCH(""&amp;$L1687,'AR SALES'!$AE$2:$AE$2501,0)),""))</f>
        <v/>
      </c>
      <c r="AU1687" s="2" t="str">
        <f t="shared" si="104"/>
        <v/>
      </c>
      <c r="AV1687" s="2" t="str">
        <f t="shared" si="105"/>
        <v/>
      </c>
      <c r="AW1687" s="2" t="str">
        <f t="shared" si="106"/>
        <v/>
      </c>
      <c r="AX1687" s="2" t="str">
        <f t="shared" si="107"/>
        <v/>
      </c>
      <c r="AY1687" s="2" t="str">
        <f>IF($AV1687="","",IF(AND($Z1687=0,COUNTIF('AR SALES'!$L$2:$L$2501,$L1687)=0),"YES",""))</f>
        <v/>
      </c>
      <c r="AZ1687" s="2" t="str">
        <f>IF($AV1687="","",IF(COUNTIF(LISTS!$C$2:$C$250,$AU1687)=0,"NEW",""))</f>
        <v/>
      </c>
      <c r="BA1687" s="2" t="str">
        <f>IF(""&amp;$F1687&lt;&gt;"4","",IF($AY1687="YES","",IF(ROUND(SUMIFS($AE$2:$AE$4001,$L$2:$L$4001,$L1687,$F$2:$F$4001,"4")-SUMIFS('AR SALES'!$Y$2:$Y$2501,'AR SALES'!$L$2:$L$2501,$L1687,'AR SALES'!$AD$2:$AD$2501,"OFF"),2)=0,"","STALE")))</f>
        <v/>
      </c>
      <c r="BB1687" s="2" t="str">
        <f>IF(OR(""&amp;$F1687="2",""&amp;$F1687="4",""&amp;$F1687="G",""&amp;$F1687="H"),IF($AY1687="YES","",IF($AB1687&lt;&gt;0,"",IF(COUNTIFS('AR SALES'!$L$2:$L$2501,$L1687,'AR SALES'!$AD$2:$AD$2501,IF(""&amp;$F1687="4","OFF","ON"),'AR SALES'!$AF$2:$AF$2501,"Y")&gt;0,"","NO EXEMPTION"))),"")</f>
        <v/>
      </c>
    </row>
    <row r="1688" spans="46:54" x14ac:dyDescent="0.25">
      <c r="AT1688" s="2" t="str">
        <f>IF($L1688="","",IFERROR(INDEX('AR SALES'!$H$2:$H$2501,MATCH(""&amp;$L1688,'AR SALES'!$AE$2:$AE$2501,0)),""))</f>
        <v/>
      </c>
      <c r="AU1688" s="2" t="str">
        <f t="shared" si="104"/>
        <v/>
      </c>
      <c r="AV1688" s="2" t="str">
        <f t="shared" si="105"/>
        <v/>
      </c>
      <c r="AW1688" s="2" t="str">
        <f t="shared" si="106"/>
        <v/>
      </c>
      <c r="AX1688" s="2" t="str">
        <f t="shared" si="107"/>
        <v/>
      </c>
      <c r="AY1688" s="2" t="str">
        <f>IF($AV1688="","",IF(AND($Z1688=0,COUNTIF('AR SALES'!$L$2:$L$2501,$L1688)=0),"YES",""))</f>
        <v/>
      </c>
      <c r="AZ1688" s="2" t="str">
        <f>IF($AV1688="","",IF(COUNTIF(LISTS!$C$2:$C$250,$AU1688)=0,"NEW",""))</f>
        <v/>
      </c>
      <c r="BA1688" s="2" t="str">
        <f>IF(""&amp;$F1688&lt;&gt;"4","",IF($AY1688="YES","",IF(ROUND(SUMIFS($AE$2:$AE$4001,$L$2:$L$4001,$L1688,$F$2:$F$4001,"4")-SUMIFS('AR SALES'!$Y$2:$Y$2501,'AR SALES'!$L$2:$L$2501,$L1688,'AR SALES'!$AD$2:$AD$2501,"OFF"),2)=0,"","STALE")))</f>
        <v/>
      </c>
      <c r="BB1688" s="2" t="str">
        <f>IF(OR(""&amp;$F1688="2",""&amp;$F1688="4",""&amp;$F1688="G",""&amp;$F1688="H"),IF($AY1688="YES","",IF($AB1688&lt;&gt;0,"",IF(COUNTIFS('AR SALES'!$L$2:$L$2501,$L1688,'AR SALES'!$AD$2:$AD$2501,IF(""&amp;$F1688="4","OFF","ON"),'AR SALES'!$AF$2:$AF$2501,"Y")&gt;0,"","NO EXEMPTION"))),"")</f>
        <v/>
      </c>
    </row>
    <row r="1689" spans="46:54" x14ac:dyDescent="0.25">
      <c r="AT1689" s="2" t="str">
        <f>IF($L1689="","",IFERROR(INDEX('AR SALES'!$H$2:$H$2501,MATCH(""&amp;$L1689,'AR SALES'!$AE$2:$AE$2501,0)),""))</f>
        <v/>
      </c>
      <c r="AU1689" s="2" t="str">
        <f t="shared" si="104"/>
        <v/>
      </c>
      <c r="AV1689" s="2" t="str">
        <f t="shared" si="105"/>
        <v/>
      </c>
      <c r="AW1689" s="2" t="str">
        <f t="shared" si="106"/>
        <v/>
      </c>
      <c r="AX1689" s="2" t="str">
        <f t="shared" si="107"/>
        <v/>
      </c>
      <c r="AY1689" s="2" t="str">
        <f>IF($AV1689="","",IF(AND($Z1689=0,COUNTIF('AR SALES'!$L$2:$L$2501,$L1689)=0),"YES",""))</f>
        <v/>
      </c>
      <c r="AZ1689" s="2" t="str">
        <f>IF($AV1689="","",IF(COUNTIF(LISTS!$C$2:$C$250,$AU1689)=0,"NEW",""))</f>
        <v/>
      </c>
      <c r="BA1689" s="2" t="str">
        <f>IF(""&amp;$F1689&lt;&gt;"4","",IF($AY1689="YES","",IF(ROUND(SUMIFS($AE$2:$AE$4001,$L$2:$L$4001,$L1689,$F$2:$F$4001,"4")-SUMIFS('AR SALES'!$Y$2:$Y$2501,'AR SALES'!$L$2:$L$2501,$L1689,'AR SALES'!$AD$2:$AD$2501,"OFF"),2)=0,"","STALE")))</f>
        <v/>
      </c>
      <c r="BB1689" s="2" t="str">
        <f>IF(OR(""&amp;$F1689="2",""&amp;$F1689="4",""&amp;$F1689="G",""&amp;$F1689="H"),IF($AY1689="YES","",IF($AB1689&lt;&gt;0,"",IF(COUNTIFS('AR SALES'!$L$2:$L$2501,$L1689,'AR SALES'!$AD$2:$AD$2501,IF(""&amp;$F1689="4","OFF","ON"),'AR SALES'!$AF$2:$AF$2501,"Y")&gt;0,"","NO EXEMPTION"))),"")</f>
        <v/>
      </c>
    </row>
    <row r="1690" spans="46:54" x14ac:dyDescent="0.25">
      <c r="AT1690" s="2" t="str">
        <f>IF($L1690="","",IFERROR(INDEX('AR SALES'!$H$2:$H$2501,MATCH(""&amp;$L1690,'AR SALES'!$AE$2:$AE$2501,0)),""))</f>
        <v/>
      </c>
      <c r="AU1690" s="2" t="str">
        <f t="shared" si="104"/>
        <v/>
      </c>
      <c r="AV1690" s="2" t="str">
        <f t="shared" si="105"/>
        <v/>
      </c>
      <c r="AW1690" s="2" t="str">
        <f t="shared" si="106"/>
        <v/>
      </c>
      <c r="AX1690" s="2" t="str">
        <f t="shared" si="107"/>
        <v/>
      </c>
      <c r="AY1690" s="2" t="str">
        <f>IF($AV1690="","",IF(AND($Z1690=0,COUNTIF('AR SALES'!$L$2:$L$2501,$L1690)=0),"YES",""))</f>
        <v/>
      </c>
      <c r="AZ1690" s="2" t="str">
        <f>IF($AV1690="","",IF(COUNTIF(LISTS!$C$2:$C$250,$AU1690)=0,"NEW",""))</f>
        <v/>
      </c>
      <c r="BA1690" s="2" t="str">
        <f>IF(""&amp;$F1690&lt;&gt;"4","",IF($AY1690="YES","",IF(ROUND(SUMIFS($AE$2:$AE$4001,$L$2:$L$4001,$L1690,$F$2:$F$4001,"4")-SUMIFS('AR SALES'!$Y$2:$Y$2501,'AR SALES'!$L$2:$L$2501,$L1690,'AR SALES'!$AD$2:$AD$2501,"OFF"),2)=0,"","STALE")))</f>
        <v/>
      </c>
      <c r="BB1690" s="2" t="str">
        <f>IF(OR(""&amp;$F1690="2",""&amp;$F1690="4",""&amp;$F1690="G",""&amp;$F1690="H"),IF($AY1690="YES","",IF($AB1690&lt;&gt;0,"",IF(COUNTIFS('AR SALES'!$L$2:$L$2501,$L1690,'AR SALES'!$AD$2:$AD$2501,IF(""&amp;$F1690="4","OFF","ON"),'AR SALES'!$AF$2:$AF$2501,"Y")&gt;0,"","NO EXEMPTION"))),"")</f>
        <v/>
      </c>
    </row>
    <row r="1691" spans="46:54" x14ac:dyDescent="0.25">
      <c r="AT1691" s="2" t="str">
        <f>IF($L1691="","",IFERROR(INDEX('AR SALES'!$H$2:$H$2501,MATCH(""&amp;$L1691,'AR SALES'!$AE$2:$AE$2501,0)),""))</f>
        <v/>
      </c>
      <c r="AU1691" s="2" t="str">
        <f t="shared" si="104"/>
        <v/>
      </c>
      <c r="AV1691" s="2" t="str">
        <f t="shared" si="105"/>
        <v/>
      </c>
      <c r="AW1691" s="2" t="str">
        <f t="shared" si="106"/>
        <v/>
      </c>
      <c r="AX1691" s="2" t="str">
        <f t="shared" si="107"/>
        <v/>
      </c>
      <c r="AY1691" s="2" t="str">
        <f>IF($AV1691="","",IF(AND($Z1691=0,COUNTIF('AR SALES'!$L$2:$L$2501,$L1691)=0),"YES",""))</f>
        <v/>
      </c>
      <c r="AZ1691" s="2" t="str">
        <f>IF($AV1691="","",IF(COUNTIF(LISTS!$C$2:$C$250,$AU1691)=0,"NEW",""))</f>
        <v/>
      </c>
      <c r="BA1691" s="2" t="str">
        <f>IF(""&amp;$F1691&lt;&gt;"4","",IF($AY1691="YES","",IF(ROUND(SUMIFS($AE$2:$AE$4001,$L$2:$L$4001,$L1691,$F$2:$F$4001,"4")-SUMIFS('AR SALES'!$Y$2:$Y$2501,'AR SALES'!$L$2:$L$2501,$L1691,'AR SALES'!$AD$2:$AD$2501,"OFF"),2)=0,"","STALE")))</f>
        <v/>
      </c>
      <c r="BB1691" s="2" t="str">
        <f>IF(OR(""&amp;$F1691="2",""&amp;$F1691="4",""&amp;$F1691="G",""&amp;$F1691="H"),IF($AY1691="YES","",IF($AB1691&lt;&gt;0,"",IF(COUNTIFS('AR SALES'!$L$2:$L$2501,$L1691,'AR SALES'!$AD$2:$AD$2501,IF(""&amp;$F1691="4","OFF","ON"),'AR SALES'!$AF$2:$AF$2501,"Y")&gt;0,"","NO EXEMPTION"))),"")</f>
        <v/>
      </c>
    </row>
    <row r="1692" spans="46:54" x14ac:dyDescent="0.25">
      <c r="AT1692" s="2" t="str">
        <f>IF($L1692="","",IFERROR(INDEX('AR SALES'!$H$2:$H$2501,MATCH(""&amp;$L1692,'AR SALES'!$AE$2:$AE$2501,0)),""))</f>
        <v/>
      </c>
      <c r="AU1692" s="2" t="str">
        <f t="shared" si="104"/>
        <v/>
      </c>
      <c r="AV1692" s="2" t="str">
        <f t="shared" si="105"/>
        <v/>
      </c>
      <c r="AW1692" s="2" t="str">
        <f t="shared" si="106"/>
        <v/>
      </c>
      <c r="AX1692" s="2" t="str">
        <f t="shared" si="107"/>
        <v/>
      </c>
      <c r="AY1692" s="2" t="str">
        <f>IF($AV1692="","",IF(AND($Z1692=0,COUNTIF('AR SALES'!$L$2:$L$2501,$L1692)=0),"YES",""))</f>
        <v/>
      </c>
      <c r="AZ1692" s="2" t="str">
        <f>IF($AV1692="","",IF(COUNTIF(LISTS!$C$2:$C$250,$AU1692)=0,"NEW",""))</f>
        <v/>
      </c>
      <c r="BA1692" s="2" t="str">
        <f>IF(""&amp;$F1692&lt;&gt;"4","",IF($AY1692="YES","",IF(ROUND(SUMIFS($AE$2:$AE$4001,$L$2:$L$4001,$L1692,$F$2:$F$4001,"4")-SUMIFS('AR SALES'!$Y$2:$Y$2501,'AR SALES'!$L$2:$L$2501,$L1692,'AR SALES'!$AD$2:$AD$2501,"OFF"),2)=0,"","STALE")))</f>
        <v/>
      </c>
      <c r="BB1692" s="2" t="str">
        <f>IF(OR(""&amp;$F1692="2",""&amp;$F1692="4",""&amp;$F1692="G",""&amp;$F1692="H"),IF($AY1692="YES","",IF($AB1692&lt;&gt;0,"",IF(COUNTIFS('AR SALES'!$L$2:$L$2501,$L1692,'AR SALES'!$AD$2:$AD$2501,IF(""&amp;$F1692="4","OFF","ON"),'AR SALES'!$AF$2:$AF$2501,"Y")&gt;0,"","NO EXEMPTION"))),"")</f>
        <v/>
      </c>
    </row>
    <row r="1693" spans="46:54" x14ac:dyDescent="0.25">
      <c r="AT1693" s="2" t="str">
        <f>IF($L1693="","",IFERROR(INDEX('AR SALES'!$H$2:$H$2501,MATCH(""&amp;$L1693,'AR SALES'!$AE$2:$AE$2501,0)),""))</f>
        <v/>
      </c>
      <c r="AU1693" s="2" t="str">
        <f t="shared" si="104"/>
        <v/>
      </c>
      <c r="AV1693" s="2" t="str">
        <f t="shared" si="105"/>
        <v/>
      </c>
      <c r="AW1693" s="2" t="str">
        <f t="shared" si="106"/>
        <v/>
      </c>
      <c r="AX1693" s="2" t="str">
        <f t="shared" si="107"/>
        <v/>
      </c>
      <c r="AY1693" s="2" t="str">
        <f>IF($AV1693="","",IF(AND($Z1693=0,COUNTIF('AR SALES'!$L$2:$L$2501,$L1693)=0),"YES",""))</f>
        <v/>
      </c>
      <c r="AZ1693" s="2" t="str">
        <f>IF($AV1693="","",IF(COUNTIF(LISTS!$C$2:$C$250,$AU1693)=0,"NEW",""))</f>
        <v/>
      </c>
      <c r="BA1693" s="2" t="str">
        <f>IF(""&amp;$F1693&lt;&gt;"4","",IF($AY1693="YES","",IF(ROUND(SUMIFS($AE$2:$AE$4001,$L$2:$L$4001,$L1693,$F$2:$F$4001,"4")-SUMIFS('AR SALES'!$Y$2:$Y$2501,'AR SALES'!$L$2:$L$2501,$L1693,'AR SALES'!$AD$2:$AD$2501,"OFF"),2)=0,"","STALE")))</f>
        <v/>
      </c>
      <c r="BB1693" s="2" t="str">
        <f>IF(OR(""&amp;$F1693="2",""&amp;$F1693="4",""&amp;$F1693="G",""&amp;$F1693="H"),IF($AY1693="YES","",IF($AB1693&lt;&gt;0,"",IF(COUNTIFS('AR SALES'!$L$2:$L$2501,$L1693,'AR SALES'!$AD$2:$AD$2501,IF(""&amp;$F1693="4","OFF","ON"),'AR SALES'!$AF$2:$AF$2501,"Y")&gt;0,"","NO EXEMPTION"))),"")</f>
        <v/>
      </c>
    </row>
    <row r="1694" spans="46:54" x14ac:dyDescent="0.25">
      <c r="AT1694" s="2" t="str">
        <f>IF($L1694="","",IFERROR(INDEX('AR SALES'!$H$2:$H$2501,MATCH(""&amp;$L1694,'AR SALES'!$AE$2:$AE$2501,0)),""))</f>
        <v/>
      </c>
      <c r="AU1694" s="2" t="str">
        <f t="shared" si="104"/>
        <v/>
      </c>
      <c r="AV1694" s="2" t="str">
        <f t="shared" si="105"/>
        <v/>
      </c>
      <c r="AW1694" s="2" t="str">
        <f t="shared" si="106"/>
        <v/>
      </c>
      <c r="AX1694" s="2" t="str">
        <f t="shared" si="107"/>
        <v/>
      </c>
      <c r="AY1694" s="2" t="str">
        <f>IF($AV1694="","",IF(AND($Z1694=0,COUNTIF('AR SALES'!$L$2:$L$2501,$L1694)=0),"YES",""))</f>
        <v/>
      </c>
      <c r="AZ1694" s="2" t="str">
        <f>IF($AV1694="","",IF(COUNTIF(LISTS!$C$2:$C$250,$AU1694)=0,"NEW",""))</f>
        <v/>
      </c>
      <c r="BA1694" s="2" t="str">
        <f>IF(""&amp;$F1694&lt;&gt;"4","",IF($AY1694="YES","",IF(ROUND(SUMIFS($AE$2:$AE$4001,$L$2:$L$4001,$L1694,$F$2:$F$4001,"4")-SUMIFS('AR SALES'!$Y$2:$Y$2501,'AR SALES'!$L$2:$L$2501,$L1694,'AR SALES'!$AD$2:$AD$2501,"OFF"),2)=0,"","STALE")))</f>
        <v/>
      </c>
      <c r="BB1694" s="2" t="str">
        <f>IF(OR(""&amp;$F1694="2",""&amp;$F1694="4",""&amp;$F1694="G",""&amp;$F1694="H"),IF($AY1694="YES","",IF($AB1694&lt;&gt;0,"",IF(COUNTIFS('AR SALES'!$L$2:$L$2501,$L1694,'AR SALES'!$AD$2:$AD$2501,IF(""&amp;$F1694="4","OFF","ON"),'AR SALES'!$AF$2:$AF$2501,"Y")&gt;0,"","NO EXEMPTION"))),"")</f>
        <v/>
      </c>
    </row>
    <row r="1695" spans="46:54" x14ac:dyDescent="0.25">
      <c r="AT1695" s="2" t="str">
        <f>IF($L1695="","",IFERROR(INDEX('AR SALES'!$H$2:$H$2501,MATCH(""&amp;$L1695,'AR SALES'!$AE$2:$AE$2501,0)),""))</f>
        <v/>
      </c>
      <c r="AU1695" s="2" t="str">
        <f t="shared" si="104"/>
        <v/>
      </c>
      <c r="AV1695" s="2" t="str">
        <f t="shared" si="105"/>
        <v/>
      </c>
      <c r="AW1695" s="2" t="str">
        <f t="shared" si="106"/>
        <v/>
      </c>
      <c r="AX1695" s="2" t="str">
        <f t="shared" si="107"/>
        <v/>
      </c>
      <c r="AY1695" s="2" t="str">
        <f>IF($AV1695="","",IF(AND($Z1695=0,COUNTIF('AR SALES'!$L$2:$L$2501,$L1695)=0),"YES",""))</f>
        <v/>
      </c>
      <c r="AZ1695" s="2" t="str">
        <f>IF($AV1695="","",IF(COUNTIF(LISTS!$C$2:$C$250,$AU1695)=0,"NEW",""))</f>
        <v/>
      </c>
      <c r="BA1695" s="2" t="str">
        <f>IF(""&amp;$F1695&lt;&gt;"4","",IF($AY1695="YES","",IF(ROUND(SUMIFS($AE$2:$AE$4001,$L$2:$L$4001,$L1695,$F$2:$F$4001,"4")-SUMIFS('AR SALES'!$Y$2:$Y$2501,'AR SALES'!$L$2:$L$2501,$L1695,'AR SALES'!$AD$2:$AD$2501,"OFF"),2)=0,"","STALE")))</f>
        <v/>
      </c>
      <c r="BB1695" s="2" t="str">
        <f>IF(OR(""&amp;$F1695="2",""&amp;$F1695="4",""&amp;$F1695="G",""&amp;$F1695="H"),IF($AY1695="YES","",IF($AB1695&lt;&gt;0,"",IF(COUNTIFS('AR SALES'!$L$2:$L$2501,$L1695,'AR SALES'!$AD$2:$AD$2501,IF(""&amp;$F1695="4","OFF","ON"),'AR SALES'!$AF$2:$AF$2501,"Y")&gt;0,"","NO EXEMPTION"))),"")</f>
        <v/>
      </c>
    </row>
    <row r="1696" spans="46:54" x14ac:dyDescent="0.25">
      <c r="AT1696" s="2" t="str">
        <f>IF($L1696="","",IFERROR(INDEX('AR SALES'!$H$2:$H$2501,MATCH(""&amp;$L1696,'AR SALES'!$AE$2:$AE$2501,0)),""))</f>
        <v/>
      </c>
      <c r="AU1696" s="2" t="str">
        <f t="shared" si="104"/>
        <v/>
      </c>
      <c r="AV1696" s="2" t="str">
        <f t="shared" si="105"/>
        <v/>
      </c>
      <c r="AW1696" s="2" t="str">
        <f t="shared" si="106"/>
        <v/>
      </c>
      <c r="AX1696" s="2" t="str">
        <f t="shared" si="107"/>
        <v/>
      </c>
      <c r="AY1696" s="2" t="str">
        <f>IF($AV1696="","",IF(AND($Z1696=0,COUNTIF('AR SALES'!$L$2:$L$2501,$L1696)=0),"YES",""))</f>
        <v/>
      </c>
      <c r="AZ1696" s="2" t="str">
        <f>IF($AV1696="","",IF(COUNTIF(LISTS!$C$2:$C$250,$AU1696)=0,"NEW",""))</f>
        <v/>
      </c>
      <c r="BA1696" s="2" t="str">
        <f>IF(""&amp;$F1696&lt;&gt;"4","",IF($AY1696="YES","",IF(ROUND(SUMIFS($AE$2:$AE$4001,$L$2:$L$4001,$L1696,$F$2:$F$4001,"4")-SUMIFS('AR SALES'!$Y$2:$Y$2501,'AR SALES'!$L$2:$L$2501,$L1696,'AR SALES'!$AD$2:$AD$2501,"OFF"),2)=0,"","STALE")))</f>
        <v/>
      </c>
      <c r="BB1696" s="2" t="str">
        <f>IF(OR(""&amp;$F1696="2",""&amp;$F1696="4",""&amp;$F1696="G",""&amp;$F1696="H"),IF($AY1696="YES","",IF($AB1696&lt;&gt;0,"",IF(COUNTIFS('AR SALES'!$L$2:$L$2501,$L1696,'AR SALES'!$AD$2:$AD$2501,IF(""&amp;$F1696="4","OFF","ON"),'AR SALES'!$AF$2:$AF$2501,"Y")&gt;0,"","NO EXEMPTION"))),"")</f>
        <v/>
      </c>
    </row>
    <row r="1697" spans="46:54" x14ac:dyDescent="0.25">
      <c r="AT1697" s="2" t="str">
        <f>IF($L1697="","",IFERROR(INDEX('AR SALES'!$H$2:$H$2501,MATCH(""&amp;$L1697,'AR SALES'!$AE$2:$AE$2501,0)),""))</f>
        <v/>
      </c>
      <c r="AU1697" s="2" t="str">
        <f t="shared" si="104"/>
        <v/>
      </c>
      <c r="AV1697" s="2" t="str">
        <f t="shared" si="105"/>
        <v/>
      </c>
      <c r="AW1697" s="2" t="str">
        <f t="shared" si="106"/>
        <v/>
      </c>
      <c r="AX1697" s="2" t="str">
        <f t="shared" si="107"/>
        <v/>
      </c>
      <c r="AY1697" s="2" t="str">
        <f>IF($AV1697="","",IF(AND($Z1697=0,COUNTIF('AR SALES'!$L$2:$L$2501,$L1697)=0),"YES",""))</f>
        <v/>
      </c>
      <c r="AZ1697" s="2" t="str">
        <f>IF($AV1697="","",IF(COUNTIF(LISTS!$C$2:$C$250,$AU1697)=0,"NEW",""))</f>
        <v/>
      </c>
      <c r="BA1697" s="2" t="str">
        <f>IF(""&amp;$F1697&lt;&gt;"4","",IF($AY1697="YES","",IF(ROUND(SUMIFS($AE$2:$AE$4001,$L$2:$L$4001,$L1697,$F$2:$F$4001,"4")-SUMIFS('AR SALES'!$Y$2:$Y$2501,'AR SALES'!$L$2:$L$2501,$L1697,'AR SALES'!$AD$2:$AD$2501,"OFF"),2)=0,"","STALE")))</f>
        <v/>
      </c>
      <c r="BB1697" s="2" t="str">
        <f>IF(OR(""&amp;$F1697="2",""&amp;$F1697="4",""&amp;$F1697="G",""&amp;$F1697="H"),IF($AY1697="YES","",IF($AB1697&lt;&gt;0,"",IF(COUNTIFS('AR SALES'!$L$2:$L$2501,$L1697,'AR SALES'!$AD$2:$AD$2501,IF(""&amp;$F1697="4","OFF","ON"),'AR SALES'!$AF$2:$AF$2501,"Y")&gt;0,"","NO EXEMPTION"))),"")</f>
        <v/>
      </c>
    </row>
    <row r="1698" spans="46:54" x14ac:dyDescent="0.25">
      <c r="AT1698" s="2" t="str">
        <f>IF($L1698="","",IFERROR(INDEX('AR SALES'!$H$2:$H$2501,MATCH(""&amp;$L1698,'AR SALES'!$AE$2:$AE$2501,0)),""))</f>
        <v/>
      </c>
      <c r="AU1698" s="2" t="str">
        <f t="shared" si="104"/>
        <v/>
      </c>
      <c r="AV1698" s="2" t="str">
        <f t="shared" si="105"/>
        <v/>
      </c>
      <c r="AW1698" s="2" t="str">
        <f t="shared" si="106"/>
        <v/>
      </c>
      <c r="AX1698" s="2" t="str">
        <f t="shared" si="107"/>
        <v/>
      </c>
      <c r="AY1698" s="2" t="str">
        <f>IF($AV1698="","",IF(AND($Z1698=0,COUNTIF('AR SALES'!$L$2:$L$2501,$L1698)=0),"YES",""))</f>
        <v/>
      </c>
      <c r="AZ1698" s="2" t="str">
        <f>IF($AV1698="","",IF(COUNTIF(LISTS!$C$2:$C$250,$AU1698)=0,"NEW",""))</f>
        <v/>
      </c>
      <c r="BA1698" s="2" t="str">
        <f>IF(""&amp;$F1698&lt;&gt;"4","",IF($AY1698="YES","",IF(ROUND(SUMIFS($AE$2:$AE$4001,$L$2:$L$4001,$L1698,$F$2:$F$4001,"4")-SUMIFS('AR SALES'!$Y$2:$Y$2501,'AR SALES'!$L$2:$L$2501,$L1698,'AR SALES'!$AD$2:$AD$2501,"OFF"),2)=0,"","STALE")))</f>
        <v/>
      </c>
      <c r="BB1698" s="2" t="str">
        <f>IF(OR(""&amp;$F1698="2",""&amp;$F1698="4",""&amp;$F1698="G",""&amp;$F1698="H"),IF($AY1698="YES","",IF($AB1698&lt;&gt;0,"",IF(COUNTIFS('AR SALES'!$L$2:$L$2501,$L1698,'AR SALES'!$AD$2:$AD$2501,IF(""&amp;$F1698="4","OFF","ON"),'AR SALES'!$AF$2:$AF$2501,"Y")&gt;0,"","NO EXEMPTION"))),"")</f>
        <v/>
      </c>
    </row>
    <row r="1699" spans="46:54" x14ac:dyDescent="0.25">
      <c r="AT1699" s="2" t="str">
        <f>IF($L1699="","",IFERROR(INDEX('AR SALES'!$H$2:$H$2501,MATCH(""&amp;$L1699,'AR SALES'!$AE$2:$AE$2501,0)),""))</f>
        <v/>
      </c>
      <c r="AU1699" s="2" t="str">
        <f t="shared" si="104"/>
        <v/>
      </c>
      <c r="AV1699" s="2" t="str">
        <f t="shared" si="105"/>
        <v/>
      </c>
      <c r="AW1699" s="2" t="str">
        <f t="shared" si="106"/>
        <v/>
      </c>
      <c r="AX1699" s="2" t="str">
        <f t="shared" si="107"/>
        <v/>
      </c>
      <c r="AY1699" s="2" t="str">
        <f>IF($AV1699="","",IF(AND($Z1699=0,COUNTIF('AR SALES'!$L$2:$L$2501,$L1699)=0),"YES",""))</f>
        <v/>
      </c>
      <c r="AZ1699" s="2" t="str">
        <f>IF($AV1699="","",IF(COUNTIF(LISTS!$C$2:$C$250,$AU1699)=0,"NEW",""))</f>
        <v/>
      </c>
      <c r="BA1699" s="2" t="str">
        <f>IF(""&amp;$F1699&lt;&gt;"4","",IF($AY1699="YES","",IF(ROUND(SUMIFS($AE$2:$AE$4001,$L$2:$L$4001,$L1699,$F$2:$F$4001,"4")-SUMIFS('AR SALES'!$Y$2:$Y$2501,'AR SALES'!$L$2:$L$2501,$L1699,'AR SALES'!$AD$2:$AD$2501,"OFF"),2)=0,"","STALE")))</f>
        <v/>
      </c>
      <c r="BB1699" s="2" t="str">
        <f>IF(OR(""&amp;$F1699="2",""&amp;$F1699="4",""&amp;$F1699="G",""&amp;$F1699="H"),IF($AY1699="YES","",IF($AB1699&lt;&gt;0,"",IF(COUNTIFS('AR SALES'!$L$2:$L$2501,$L1699,'AR SALES'!$AD$2:$AD$2501,IF(""&amp;$F1699="4","OFF","ON"),'AR SALES'!$AF$2:$AF$2501,"Y")&gt;0,"","NO EXEMPTION"))),"")</f>
        <v/>
      </c>
    </row>
    <row r="1700" spans="46:54" x14ac:dyDescent="0.25">
      <c r="AT1700" s="2" t="str">
        <f>IF($L1700="","",IFERROR(INDEX('AR SALES'!$H$2:$H$2501,MATCH(""&amp;$L1700,'AR SALES'!$AE$2:$AE$2501,0)),""))</f>
        <v/>
      </c>
      <c r="AU1700" s="2" t="str">
        <f t="shared" si="104"/>
        <v/>
      </c>
      <c r="AV1700" s="2" t="str">
        <f t="shared" si="105"/>
        <v/>
      </c>
      <c r="AW1700" s="2" t="str">
        <f t="shared" si="106"/>
        <v/>
      </c>
      <c r="AX1700" s="2" t="str">
        <f t="shared" si="107"/>
        <v/>
      </c>
      <c r="AY1700" s="2" t="str">
        <f>IF($AV1700="","",IF(AND($Z1700=0,COUNTIF('AR SALES'!$L$2:$L$2501,$L1700)=0),"YES",""))</f>
        <v/>
      </c>
      <c r="AZ1700" s="2" t="str">
        <f>IF($AV1700="","",IF(COUNTIF(LISTS!$C$2:$C$250,$AU1700)=0,"NEW",""))</f>
        <v/>
      </c>
      <c r="BA1700" s="2" t="str">
        <f>IF(""&amp;$F1700&lt;&gt;"4","",IF($AY1700="YES","",IF(ROUND(SUMIFS($AE$2:$AE$4001,$L$2:$L$4001,$L1700,$F$2:$F$4001,"4")-SUMIFS('AR SALES'!$Y$2:$Y$2501,'AR SALES'!$L$2:$L$2501,$L1700,'AR SALES'!$AD$2:$AD$2501,"OFF"),2)=0,"","STALE")))</f>
        <v/>
      </c>
      <c r="BB1700" s="2" t="str">
        <f>IF(OR(""&amp;$F1700="2",""&amp;$F1700="4",""&amp;$F1700="G",""&amp;$F1700="H"),IF($AY1700="YES","",IF($AB1700&lt;&gt;0,"",IF(COUNTIFS('AR SALES'!$L$2:$L$2501,$L1700,'AR SALES'!$AD$2:$AD$2501,IF(""&amp;$F1700="4","OFF","ON"),'AR SALES'!$AF$2:$AF$2501,"Y")&gt;0,"","NO EXEMPTION"))),"")</f>
        <v/>
      </c>
    </row>
    <row r="1701" spans="46:54" x14ac:dyDescent="0.25">
      <c r="AT1701" s="2" t="str">
        <f>IF($L1701="","",IFERROR(INDEX('AR SALES'!$H$2:$H$2501,MATCH(""&amp;$L1701,'AR SALES'!$AE$2:$AE$2501,0)),""))</f>
        <v/>
      </c>
      <c r="AU1701" s="2" t="str">
        <f t="shared" si="104"/>
        <v/>
      </c>
      <c r="AV1701" s="2" t="str">
        <f t="shared" si="105"/>
        <v/>
      </c>
      <c r="AW1701" s="2" t="str">
        <f t="shared" si="106"/>
        <v/>
      </c>
      <c r="AX1701" s="2" t="str">
        <f t="shared" si="107"/>
        <v/>
      </c>
      <c r="AY1701" s="2" t="str">
        <f>IF($AV1701="","",IF(AND($Z1701=0,COUNTIF('AR SALES'!$L$2:$L$2501,$L1701)=0),"YES",""))</f>
        <v/>
      </c>
      <c r="AZ1701" s="2" t="str">
        <f>IF($AV1701="","",IF(COUNTIF(LISTS!$C$2:$C$250,$AU1701)=0,"NEW",""))</f>
        <v/>
      </c>
      <c r="BA1701" s="2" t="str">
        <f>IF(""&amp;$F1701&lt;&gt;"4","",IF($AY1701="YES","",IF(ROUND(SUMIFS($AE$2:$AE$4001,$L$2:$L$4001,$L1701,$F$2:$F$4001,"4")-SUMIFS('AR SALES'!$Y$2:$Y$2501,'AR SALES'!$L$2:$L$2501,$L1701,'AR SALES'!$AD$2:$AD$2501,"OFF"),2)=0,"","STALE")))</f>
        <v/>
      </c>
      <c r="BB1701" s="2" t="str">
        <f>IF(OR(""&amp;$F1701="2",""&amp;$F1701="4",""&amp;$F1701="G",""&amp;$F1701="H"),IF($AY1701="YES","",IF($AB1701&lt;&gt;0,"",IF(COUNTIFS('AR SALES'!$L$2:$L$2501,$L1701,'AR SALES'!$AD$2:$AD$2501,IF(""&amp;$F1701="4","OFF","ON"),'AR SALES'!$AF$2:$AF$2501,"Y")&gt;0,"","NO EXEMPTION"))),"")</f>
        <v/>
      </c>
    </row>
    <row r="1702" spans="46:54" x14ac:dyDescent="0.25">
      <c r="AT1702" s="2" t="str">
        <f>IF($L1702="","",IFERROR(INDEX('AR SALES'!$H$2:$H$2501,MATCH(""&amp;$L1702,'AR SALES'!$AE$2:$AE$2501,0)),""))</f>
        <v/>
      </c>
      <c r="AU1702" s="2" t="str">
        <f t="shared" si="104"/>
        <v/>
      </c>
      <c r="AV1702" s="2" t="str">
        <f t="shared" si="105"/>
        <v/>
      </c>
      <c r="AW1702" s="2" t="str">
        <f t="shared" si="106"/>
        <v/>
      </c>
      <c r="AX1702" s="2" t="str">
        <f t="shared" si="107"/>
        <v/>
      </c>
      <c r="AY1702" s="2" t="str">
        <f>IF($AV1702="","",IF(AND($Z1702=0,COUNTIF('AR SALES'!$L$2:$L$2501,$L1702)=0),"YES",""))</f>
        <v/>
      </c>
      <c r="AZ1702" s="2" t="str">
        <f>IF($AV1702="","",IF(COUNTIF(LISTS!$C$2:$C$250,$AU1702)=0,"NEW",""))</f>
        <v/>
      </c>
      <c r="BA1702" s="2" t="str">
        <f>IF(""&amp;$F1702&lt;&gt;"4","",IF($AY1702="YES","",IF(ROUND(SUMIFS($AE$2:$AE$4001,$L$2:$L$4001,$L1702,$F$2:$F$4001,"4")-SUMIFS('AR SALES'!$Y$2:$Y$2501,'AR SALES'!$L$2:$L$2501,$L1702,'AR SALES'!$AD$2:$AD$2501,"OFF"),2)=0,"","STALE")))</f>
        <v/>
      </c>
      <c r="BB1702" s="2" t="str">
        <f>IF(OR(""&amp;$F1702="2",""&amp;$F1702="4",""&amp;$F1702="G",""&amp;$F1702="H"),IF($AY1702="YES","",IF($AB1702&lt;&gt;0,"",IF(COUNTIFS('AR SALES'!$L$2:$L$2501,$L1702,'AR SALES'!$AD$2:$AD$2501,IF(""&amp;$F1702="4","OFF","ON"),'AR SALES'!$AF$2:$AF$2501,"Y")&gt;0,"","NO EXEMPTION"))),"")</f>
        <v/>
      </c>
    </row>
    <row r="1703" spans="46:54" x14ac:dyDescent="0.25">
      <c r="AT1703" s="2" t="str">
        <f>IF($L1703="","",IFERROR(INDEX('AR SALES'!$H$2:$H$2501,MATCH(""&amp;$L1703,'AR SALES'!$AE$2:$AE$2501,0)),""))</f>
        <v/>
      </c>
      <c r="AU1703" s="2" t="str">
        <f t="shared" si="104"/>
        <v/>
      </c>
      <c r="AV1703" s="2" t="str">
        <f t="shared" si="105"/>
        <v/>
      </c>
      <c r="AW1703" s="2" t="str">
        <f t="shared" si="106"/>
        <v/>
      </c>
      <c r="AX1703" s="2" t="str">
        <f t="shared" si="107"/>
        <v/>
      </c>
      <c r="AY1703" s="2" t="str">
        <f>IF($AV1703="","",IF(AND($Z1703=0,COUNTIF('AR SALES'!$L$2:$L$2501,$L1703)=0),"YES",""))</f>
        <v/>
      </c>
      <c r="AZ1703" s="2" t="str">
        <f>IF($AV1703="","",IF(COUNTIF(LISTS!$C$2:$C$250,$AU1703)=0,"NEW",""))</f>
        <v/>
      </c>
      <c r="BA1703" s="2" t="str">
        <f>IF(""&amp;$F1703&lt;&gt;"4","",IF($AY1703="YES","",IF(ROUND(SUMIFS($AE$2:$AE$4001,$L$2:$L$4001,$L1703,$F$2:$F$4001,"4")-SUMIFS('AR SALES'!$Y$2:$Y$2501,'AR SALES'!$L$2:$L$2501,$L1703,'AR SALES'!$AD$2:$AD$2501,"OFF"),2)=0,"","STALE")))</f>
        <v/>
      </c>
      <c r="BB1703" s="2" t="str">
        <f>IF(OR(""&amp;$F1703="2",""&amp;$F1703="4",""&amp;$F1703="G",""&amp;$F1703="H"),IF($AY1703="YES","",IF($AB1703&lt;&gt;0,"",IF(COUNTIFS('AR SALES'!$L$2:$L$2501,$L1703,'AR SALES'!$AD$2:$AD$2501,IF(""&amp;$F1703="4","OFF","ON"),'AR SALES'!$AF$2:$AF$2501,"Y")&gt;0,"","NO EXEMPTION"))),"")</f>
        <v/>
      </c>
    </row>
    <row r="1704" spans="46:54" x14ac:dyDescent="0.25">
      <c r="AT1704" s="2" t="str">
        <f>IF($L1704="","",IFERROR(INDEX('AR SALES'!$H$2:$H$2501,MATCH(""&amp;$L1704,'AR SALES'!$AE$2:$AE$2501,0)),""))</f>
        <v/>
      </c>
      <c r="AU1704" s="2" t="str">
        <f t="shared" si="104"/>
        <v/>
      </c>
      <c r="AV1704" s="2" t="str">
        <f t="shared" si="105"/>
        <v/>
      </c>
      <c r="AW1704" s="2" t="str">
        <f t="shared" si="106"/>
        <v/>
      </c>
      <c r="AX1704" s="2" t="str">
        <f t="shared" si="107"/>
        <v/>
      </c>
      <c r="AY1704" s="2" t="str">
        <f>IF($AV1704="","",IF(AND($Z1704=0,COUNTIF('AR SALES'!$L$2:$L$2501,$L1704)=0),"YES",""))</f>
        <v/>
      </c>
      <c r="AZ1704" s="2" t="str">
        <f>IF($AV1704="","",IF(COUNTIF(LISTS!$C$2:$C$250,$AU1704)=0,"NEW",""))</f>
        <v/>
      </c>
      <c r="BA1704" s="2" t="str">
        <f>IF(""&amp;$F1704&lt;&gt;"4","",IF($AY1704="YES","",IF(ROUND(SUMIFS($AE$2:$AE$4001,$L$2:$L$4001,$L1704,$F$2:$F$4001,"4")-SUMIFS('AR SALES'!$Y$2:$Y$2501,'AR SALES'!$L$2:$L$2501,$L1704,'AR SALES'!$AD$2:$AD$2501,"OFF"),2)=0,"","STALE")))</f>
        <v/>
      </c>
      <c r="BB1704" s="2" t="str">
        <f>IF(OR(""&amp;$F1704="2",""&amp;$F1704="4",""&amp;$F1704="G",""&amp;$F1704="H"),IF($AY1704="YES","",IF($AB1704&lt;&gt;0,"",IF(COUNTIFS('AR SALES'!$L$2:$L$2501,$L1704,'AR SALES'!$AD$2:$AD$2501,IF(""&amp;$F1704="4","OFF","ON"),'AR SALES'!$AF$2:$AF$2501,"Y")&gt;0,"","NO EXEMPTION"))),"")</f>
        <v/>
      </c>
    </row>
    <row r="1705" spans="46:54" x14ac:dyDescent="0.25">
      <c r="AT1705" s="2" t="str">
        <f>IF($L1705="","",IFERROR(INDEX('AR SALES'!$H$2:$H$2501,MATCH(""&amp;$L1705,'AR SALES'!$AE$2:$AE$2501,0)),""))</f>
        <v/>
      </c>
      <c r="AU1705" s="2" t="str">
        <f t="shared" si="104"/>
        <v/>
      </c>
      <c r="AV1705" s="2" t="str">
        <f t="shared" si="105"/>
        <v/>
      </c>
      <c r="AW1705" s="2" t="str">
        <f t="shared" si="106"/>
        <v/>
      </c>
      <c r="AX1705" s="2" t="str">
        <f t="shared" si="107"/>
        <v/>
      </c>
      <c r="AY1705" s="2" t="str">
        <f>IF($AV1705="","",IF(AND($Z1705=0,COUNTIF('AR SALES'!$L$2:$L$2501,$L1705)=0),"YES",""))</f>
        <v/>
      </c>
      <c r="AZ1705" s="2" t="str">
        <f>IF($AV1705="","",IF(COUNTIF(LISTS!$C$2:$C$250,$AU1705)=0,"NEW",""))</f>
        <v/>
      </c>
      <c r="BA1705" s="2" t="str">
        <f>IF(""&amp;$F1705&lt;&gt;"4","",IF($AY1705="YES","",IF(ROUND(SUMIFS($AE$2:$AE$4001,$L$2:$L$4001,$L1705,$F$2:$F$4001,"4")-SUMIFS('AR SALES'!$Y$2:$Y$2501,'AR SALES'!$L$2:$L$2501,$L1705,'AR SALES'!$AD$2:$AD$2501,"OFF"),2)=0,"","STALE")))</f>
        <v/>
      </c>
      <c r="BB1705" s="2" t="str">
        <f>IF(OR(""&amp;$F1705="2",""&amp;$F1705="4",""&amp;$F1705="G",""&amp;$F1705="H"),IF($AY1705="YES","",IF($AB1705&lt;&gt;0,"",IF(COUNTIFS('AR SALES'!$L$2:$L$2501,$L1705,'AR SALES'!$AD$2:$AD$2501,IF(""&amp;$F1705="4","OFF","ON"),'AR SALES'!$AF$2:$AF$2501,"Y")&gt;0,"","NO EXEMPTION"))),"")</f>
        <v/>
      </c>
    </row>
    <row r="1706" spans="46:54" x14ac:dyDescent="0.25">
      <c r="AT1706" s="2" t="str">
        <f>IF($L1706="","",IFERROR(INDEX('AR SALES'!$H$2:$H$2501,MATCH(""&amp;$L1706,'AR SALES'!$AE$2:$AE$2501,0)),""))</f>
        <v/>
      </c>
      <c r="AU1706" s="2" t="str">
        <f t="shared" si="104"/>
        <v/>
      </c>
      <c r="AV1706" s="2" t="str">
        <f t="shared" si="105"/>
        <v/>
      </c>
      <c r="AW1706" s="2" t="str">
        <f t="shared" si="106"/>
        <v/>
      </c>
      <c r="AX1706" s="2" t="str">
        <f t="shared" si="107"/>
        <v/>
      </c>
      <c r="AY1706" s="2" t="str">
        <f>IF($AV1706="","",IF(AND($Z1706=0,COUNTIF('AR SALES'!$L$2:$L$2501,$L1706)=0),"YES",""))</f>
        <v/>
      </c>
      <c r="AZ1706" s="2" t="str">
        <f>IF($AV1706="","",IF(COUNTIF(LISTS!$C$2:$C$250,$AU1706)=0,"NEW",""))</f>
        <v/>
      </c>
      <c r="BA1706" s="2" t="str">
        <f>IF(""&amp;$F1706&lt;&gt;"4","",IF($AY1706="YES","",IF(ROUND(SUMIFS($AE$2:$AE$4001,$L$2:$L$4001,$L1706,$F$2:$F$4001,"4")-SUMIFS('AR SALES'!$Y$2:$Y$2501,'AR SALES'!$L$2:$L$2501,$L1706,'AR SALES'!$AD$2:$AD$2501,"OFF"),2)=0,"","STALE")))</f>
        <v/>
      </c>
      <c r="BB1706" s="2" t="str">
        <f>IF(OR(""&amp;$F1706="2",""&amp;$F1706="4",""&amp;$F1706="G",""&amp;$F1706="H"),IF($AY1706="YES","",IF($AB1706&lt;&gt;0,"",IF(COUNTIFS('AR SALES'!$L$2:$L$2501,$L1706,'AR SALES'!$AD$2:$AD$2501,IF(""&amp;$F1706="4","OFF","ON"),'AR SALES'!$AF$2:$AF$2501,"Y")&gt;0,"","NO EXEMPTION"))),"")</f>
        <v/>
      </c>
    </row>
    <row r="1707" spans="46:54" x14ac:dyDescent="0.25">
      <c r="AT1707" s="2" t="str">
        <f>IF($L1707="","",IFERROR(INDEX('AR SALES'!$H$2:$H$2501,MATCH(""&amp;$L1707,'AR SALES'!$AE$2:$AE$2501,0)),""))</f>
        <v/>
      </c>
      <c r="AU1707" s="2" t="str">
        <f t="shared" si="104"/>
        <v/>
      </c>
      <c r="AV1707" s="2" t="str">
        <f t="shared" si="105"/>
        <v/>
      </c>
      <c r="AW1707" s="2" t="str">
        <f t="shared" si="106"/>
        <v/>
      </c>
      <c r="AX1707" s="2" t="str">
        <f t="shared" si="107"/>
        <v/>
      </c>
      <c r="AY1707" s="2" t="str">
        <f>IF($AV1707="","",IF(AND($Z1707=0,COUNTIF('AR SALES'!$L$2:$L$2501,$L1707)=0),"YES",""))</f>
        <v/>
      </c>
      <c r="AZ1707" s="2" t="str">
        <f>IF($AV1707="","",IF(COUNTIF(LISTS!$C$2:$C$250,$AU1707)=0,"NEW",""))</f>
        <v/>
      </c>
      <c r="BA1707" s="2" t="str">
        <f>IF(""&amp;$F1707&lt;&gt;"4","",IF($AY1707="YES","",IF(ROUND(SUMIFS($AE$2:$AE$4001,$L$2:$L$4001,$L1707,$F$2:$F$4001,"4")-SUMIFS('AR SALES'!$Y$2:$Y$2501,'AR SALES'!$L$2:$L$2501,$L1707,'AR SALES'!$AD$2:$AD$2501,"OFF"),2)=0,"","STALE")))</f>
        <v/>
      </c>
      <c r="BB1707" s="2" t="str">
        <f>IF(OR(""&amp;$F1707="2",""&amp;$F1707="4",""&amp;$F1707="G",""&amp;$F1707="H"),IF($AY1707="YES","",IF($AB1707&lt;&gt;0,"",IF(COUNTIFS('AR SALES'!$L$2:$L$2501,$L1707,'AR SALES'!$AD$2:$AD$2501,IF(""&amp;$F1707="4","OFF","ON"),'AR SALES'!$AF$2:$AF$2501,"Y")&gt;0,"","NO EXEMPTION"))),"")</f>
        <v/>
      </c>
    </row>
    <row r="1708" spans="46:54" x14ac:dyDescent="0.25">
      <c r="AT1708" s="2" t="str">
        <f>IF($L1708="","",IFERROR(INDEX('AR SALES'!$H$2:$H$2501,MATCH(""&amp;$L1708,'AR SALES'!$AE$2:$AE$2501,0)),""))</f>
        <v/>
      </c>
      <c r="AU1708" s="2" t="str">
        <f t="shared" si="104"/>
        <v/>
      </c>
      <c r="AV1708" s="2" t="str">
        <f t="shared" si="105"/>
        <v/>
      </c>
      <c r="AW1708" s="2" t="str">
        <f t="shared" si="106"/>
        <v/>
      </c>
      <c r="AX1708" s="2" t="str">
        <f t="shared" si="107"/>
        <v/>
      </c>
      <c r="AY1708" s="2" t="str">
        <f>IF($AV1708="","",IF(AND($Z1708=0,COUNTIF('AR SALES'!$L$2:$L$2501,$L1708)=0),"YES",""))</f>
        <v/>
      </c>
      <c r="AZ1708" s="2" t="str">
        <f>IF($AV1708="","",IF(COUNTIF(LISTS!$C$2:$C$250,$AU1708)=0,"NEW",""))</f>
        <v/>
      </c>
      <c r="BA1708" s="2" t="str">
        <f>IF(""&amp;$F1708&lt;&gt;"4","",IF($AY1708="YES","",IF(ROUND(SUMIFS($AE$2:$AE$4001,$L$2:$L$4001,$L1708,$F$2:$F$4001,"4")-SUMIFS('AR SALES'!$Y$2:$Y$2501,'AR SALES'!$L$2:$L$2501,$L1708,'AR SALES'!$AD$2:$AD$2501,"OFF"),2)=0,"","STALE")))</f>
        <v/>
      </c>
      <c r="BB1708" s="2" t="str">
        <f>IF(OR(""&amp;$F1708="2",""&amp;$F1708="4",""&amp;$F1708="G",""&amp;$F1708="H"),IF($AY1708="YES","",IF($AB1708&lt;&gt;0,"",IF(COUNTIFS('AR SALES'!$L$2:$L$2501,$L1708,'AR SALES'!$AD$2:$AD$2501,IF(""&amp;$F1708="4","OFF","ON"),'AR SALES'!$AF$2:$AF$2501,"Y")&gt;0,"","NO EXEMPTION"))),"")</f>
        <v/>
      </c>
    </row>
    <row r="1709" spans="46:54" x14ac:dyDescent="0.25">
      <c r="AT1709" s="2" t="str">
        <f>IF($L1709="","",IFERROR(INDEX('AR SALES'!$H$2:$H$2501,MATCH(""&amp;$L1709,'AR SALES'!$AE$2:$AE$2501,0)),""))</f>
        <v/>
      </c>
      <c r="AU1709" s="2" t="str">
        <f t="shared" si="104"/>
        <v/>
      </c>
      <c r="AV1709" s="2" t="str">
        <f t="shared" si="105"/>
        <v/>
      </c>
      <c r="AW1709" s="2" t="str">
        <f t="shared" si="106"/>
        <v/>
      </c>
      <c r="AX1709" s="2" t="str">
        <f t="shared" si="107"/>
        <v/>
      </c>
      <c r="AY1709" s="2" t="str">
        <f>IF($AV1709="","",IF(AND($Z1709=0,COUNTIF('AR SALES'!$L$2:$L$2501,$L1709)=0),"YES",""))</f>
        <v/>
      </c>
      <c r="AZ1709" s="2" t="str">
        <f>IF($AV1709="","",IF(COUNTIF(LISTS!$C$2:$C$250,$AU1709)=0,"NEW",""))</f>
        <v/>
      </c>
      <c r="BA1709" s="2" t="str">
        <f>IF(""&amp;$F1709&lt;&gt;"4","",IF($AY1709="YES","",IF(ROUND(SUMIFS($AE$2:$AE$4001,$L$2:$L$4001,$L1709,$F$2:$F$4001,"4")-SUMIFS('AR SALES'!$Y$2:$Y$2501,'AR SALES'!$L$2:$L$2501,$L1709,'AR SALES'!$AD$2:$AD$2501,"OFF"),2)=0,"","STALE")))</f>
        <v/>
      </c>
      <c r="BB1709" s="2" t="str">
        <f>IF(OR(""&amp;$F1709="2",""&amp;$F1709="4",""&amp;$F1709="G",""&amp;$F1709="H"),IF($AY1709="YES","",IF($AB1709&lt;&gt;0,"",IF(COUNTIFS('AR SALES'!$L$2:$L$2501,$L1709,'AR SALES'!$AD$2:$AD$2501,IF(""&amp;$F1709="4","OFF","ON"),'AR SALES'!$AF$2:$AF$2501,"Y")&gt;0,"","NO EXEMPTION"))),"")</f>
        <v/>
      </c>
    </row>
    <row r="1710" spans="46:54" x14ac:dyDescent="0.25">
      <c r="AT1710" s="2" t="str">
        <f>IF($L1710="","",IFERROR(INDEX('AR SALES'!$H$2:$H$2501,MATCH(""&amp;$L1710,'AR SALES'!$AE$2:$AE$2501,0)),""))</f>
        <v/>
      </c>
      <c r="AU1710" s="2" t="str">
        <f t="shared" si="104"/>
        <v/>
      </c>
      <c r="AV1710" s="2" t="str">
        <f t="shared" si="105"/>
        <v/>
      </c>
      <c r="AW1710" s="2" t="str">
        <f t="shared" si="106"/>
        <v/>
      </c>
      <c r="AX1710" s="2" t="str">
        <f t="shared" si="107"/>
        <v/>
      </c>
      <c r="AY1710" s="2" t="str">
        <f>IF($AV1710="","",IF(AND($Z1710=0,COUNTIF('AR SALES'!$L$2:$L$2501,$L1710)=0),"YES",""))</f>
        <v/>
      </c>
      <c r="AZ1710" s="2" t="str">
        <f>IF($AV1710="","",IF(COUNTIF(LISTS!$C$2:$C$250,$AU1710)=0,"NEW",""))</f>
        <v/>
      </c>
      <c r="BA1710" s="2" t="str">
        <f>IF(""&amp;$F1710&lt;&gt;"4","",IF($AY1710="YES","",IF(ROUND(SUMIFS($AE$2:$AE$4001,$L$2:$L$4001,$L1710,$F$2:$F$4001,"4")-SUMIFS('AR SALES'!$Y$2:$Y$2501,'AR SALES'!$L$2:$L$2501,$L1710,'AR SALES'!$AD$2:$AD$2501,"OFF"),2)=0,"","STALE")))</f>
        <v/>
      </c>
      <c r="BB1710" s="2" t="str">
        <f>IF(OR(""&amp;$F1710="2",""&amp;$F1710="4",""&amp;$F1710="G",""&amp;$F1710="H"),IF($AY1710="YES","",IF($AB1710&lt;&gt;0,"",IF(COUNTIFS('AR SALES'!$L$2:$L$2501,$L1710,'AR SALES'!$AD$2:$AD$2501,IF(""&amp;$F1710="4","OFF","ON"),'AR SALES'!$AF$2:$AF$2501,"Y")&gt;0,"","NO EXEMPTION"))),"")</f>
        <v/>
      </c>
    </row>
    <row r="1711" spans="46:54" x14ac:dyDescent="0.25">
      <c r="AT1711" s="2" t="str">
        <f>IF($L1711="","",IFERROR(INDEX('AR SALES'!$H$2:$H$2501,MATCH(""&amp;$L1711,'AR SALES'!$AE$2:$AE$2501,0)),""))</f>
        <v/>
      </c>
      <c r="AU1711" s="2" t="str">
        <f t="shared" si="104"/>
        <v/>
      </c>
      <c r="AV1711" s="2" t="str">
        <f t="shared" si="105"/>
        <v/>
      </c>
      <c r="AW1711" s="2" t="str">
        <f t="shared" si="106"/>
        <v/>
      </c>
      <c r="AX1711" s="2" t="str">
        <f t="shared" si="107"/>
        <v/>
      </c>
      <c r="AY1711" s="2" t="str">
        <f>IF($AV1711="","",IF(AND($Z1711=0,COUNTIF('AR SALES'!$L$2:$L$2501,$L1711)=0),"YES",""))</f>
        <v/>
      </c>
      <c r="AZ1711" s="2" t="str">
        <f>IF($AV1711="","",IF(COUNTIF(LISTS!$C$2:$C$250,$AU1711)=0,"NEW",""))</f>
        <v/>
      </c>
      <c r="BA1711" s="2" t="str">
        <f>IF(""&amp;$F1711&lt;&gt;"4","",IF($AY1711="YES","",IF(ROUND(SUMIFS($AE$2:$AE$4001,$L$2:$L$4001,$L1711,$F$2:$F$4001,"4")-SUMIFS('AR SALES'!$Y$2:$Y$2501,'AR SALES'!$L$2:$L$2501,$L1711,'AR SALES'!$AD$2:$AD$2501,"OFF"),2)=0,"","STALE")))</f>
        <v/>
      </c>
      <c r="BB1711" s="2" t="str">
        <f>IF(OR(""&amp;$F1711="2",""&amp;$F1711="4",""&amp;$F1711="G",""&amp;$F1711="H"),IF($AY1711="YES","",IF($AB1711&lt;&gt;0,"",IF(COUNTIFS('AR SALES'!$L$2:$L$2501,$L1711,'AR SALES'!$AD$2:$AD$2501,IF(""&amp;$F1711="4","OFF","ON"),'AR SALES'!$AF$2:$AF$2501,"Y")&gt;0,"","NO EXEMPTION"))),"")</f>
        <v/>
      </c>
    </row>
    <row r="1712" spans="46:54" x14ac:dyDescent="0.25">
      <c r="AT1712" s="2" t="str">
        <f>IF($L1712="","",IFERROR(INDEX('AR SALES'!$H$2:$H$2501,MATCH(""&amp;$L1712,'AR SALES'!$AE$2:$AE$2501,0)),""))</f>
        <v/>
      </c>
      <c r="AU1712" s="2" t="str">
        <f t="shared" si="104"/>
        <v/>
      </c>
      <c r="AV1712" s="2" t="str">
        <f t="shared" si="105"/>
        <v/>
      </c>
      <c r="AW1712" s="2" t="str">
        <f t="shared" si="106"/>
        <v/>
      </c>
      <c r="AX1712" s="2" t="str">
        <f t="shared" si="107"/>
        <v/>
      </c>
      <c r="AY1712" s="2" t="str">
        <f>IF($AV1712="","",IF(AND($Z1712=0,COUNTIF('AR SALES'!$L$2:$L$2501,$L1712)=0),"YES",""))</f>
        <v/>
      </c>
      <c r="AZ1712" s="2" t="str">
        <f>IF($AV1712="","",IF(COUNTIF(LISTS!$C$2:$C$250,$AU1712)=0,"NEW",""))</f>
        <v/>
      </c>
      <c r="BA1712" s="2" t="str">
        <f>IF(""&amp;$F1712&lt;&gt;"4","",IF($AY1712="YES","",IF(ROUND(SUMIFS($AE$2:$AE$4001,$L$2:$L$4001,$L1712,$F$2:$F$4001,"4")-SUMIFS('AR SALES'!$Y$2:$Y$2501,'AR SALES'!$L$2:$L$2501,$L1712,'AR SALES'!$AD$2:$AD$2501,"OFF"),2)=0,"","STALE")))</f>
        <v/>
      </c>
      <c r="BB1712" s="2" t="str">
        <f>IF(OR(""&amp;$F1712="2",""&amp;$F1712="4",""&amp;$F1712="G",""&amp;$F1712="H"),IF($AY1712="YES","",IF($AB1712&lt;&gt;0,"",IF(COUNTIFS('AR SALES'!$L$2:$L$2501,$L1712,'AR SALES'!$AD$2:$AD$2501,IF(""&amp;$F1712="4","OFF","ON"),'AR SALES'!$AF$2:$AF$2501,"Y")&gt;0,"","NO EXEMPTION"))),"")</f>
        <v/>
      </c>
    </row>
    <row r="1713" spans="46:54" x14ac:dyDescent="0.25">
      <c r="AT1713" s="2" t="str">
        <f>IF($L1713="","",IFERROR(INDEX('AR SALES'!$H$2:$H$2501,MATCH(""&amp;$L1713,'AR SALES'!$AE$2:$AE$2501,0)),""))</f>
        <v/>
      </c>
      <c r="AU1713" s="2" t="str">
        <f t="shared" si="104"/>
        <v/>
      </c>
      <c r="AV1713" s="2" t="str">
        <f t="shared" si="105"/>
        <v/>
      </c>
      <c r="AW1713" s="2" t="str">
        <f t="shared" si="106"/>
        <v/>
      </c>
      <c r="AX1713" s="2" t="str">
        <f t="shared" si="107"/>
        <v/>
      </c>
      <c r="AY1713" s="2" t="str">
        <f>IF($AV1713="","",IF(AND($Z1713=0,COUNTIF('AR SALES'!$L$2:$L$2501,$L1713)=0),"YES",""))</f>
        <v/>
      </c>
      <c r="AZ1713" s="2" t="str">
        <f>IF($AV1713="","",IF(COUNTIF(LISTS!$C$2:$C$250,$AU1713)=0,"NEW",""))</f>
        <v/>
      </c>
      <c r="BA1713" s="2" t="str">
        <f>IF(""&amp;$F1713&lt;&gt;"4","",IF($AY1713="YES","",IF(ROUND(SUMIFS($AE$2:$AE$4001,$L$2:$L$4001,$L1713,$F$2:$F$4001,"4")-SUMIFS('AR SALES'!$Y$2:$Y$2501,'AR SALES'!$L$2:$L$2501,$L1713,'AR SALES'!$AD$2:$AD$2501,"OFF"),2)=0,"","STALE")))</f>
        <v/>
      </c>
      <c r="BB1713" s="2" t="str">
        <f>IF(OR(""&amp;$F1713="2",""&amp;$F1713="4",""&amp;$F1713="G",""&amp;$F1713="H"),IF($AY1713="YES","",IF($AB1713&lt;&gt;0,"",IF(COUNTIFS('AR SALES'!$L$2:$L$2501,$L1713,'AR SALES'!$AD$2:$AD$2501,IF(""&amp;$F1713="4","OFF","ON"),'AR SALES'!$AF$2:$AF$2501,"Y")&gt;0,"","NO EXEMPTION"))),"")</f>
        <v/>
      </c>
    </row>
    <row r="1714" spans="46:54" x14ac:dyDescent="0.25">
      <c r="AT1714" s="2" t="str">
        <f>IF($L1714="","",IFERROR(INDEX('AR SALES'!$H$2:$H$2501,MATCH(""&amp;$L1714,'AR SALES'!$AE$2:$AE$2501,0)),""))</f>
        <v/>
      </c>
      <c r="AU1714" s="2" t="str">
        <f t="shared" si="104"/>
        <v/>
      </c>
      <c r="AV1714" s="2" t="str">
        <f t="shared" si="105"/>
        <v/>
      </c>
      <c r="AW1714" s="2" t="str">
        <f t="shared" si="106"/>
        <v/>
      </c>
      <c r="AX1714" s="2" t="str">
        <f t="shared" si="107"/>
        <v/>
      </c>
      <c r="AY1714" s="2" t="str">
        <f>IF($AV1714="","",IF(AND($Z1714=0,COUNTIF('AR SALES'!$L$2:$L$2501,$L1714)=0),"YES",""))</f>
        <v/>
      </c>
      <c r="AZ1714" s="2" t="str">
        <f>IF($AV1714="","",IF(COUNTIF(LISTS!$C$2:$C$250,$AU1714)=0,"NEW",""))</f>
        <v/>
      </c>
      <c r="BA1714" s="2" t="str">
        <f>IF(""&amp;$F1714&lt;&gt;"4","",IF($AY1714="YES","",IF(ROUND(SUMIFS($AE$2:$AE$4001,$L$2:$L$4001,$L1714,$F$2:$F$4001,"4")-SUMIFS('AR SALES'!$Y$2:$Y$2501,'AR SALES'!$L$2:$L$2501,$L1714,'AR SALES'!$AD$2:$AD$2501,"OFF"),2)=0,"","STALE")))</f>
        <v/>
      </c>
      <c r="BB1714" s="2" t="str">
        <f>IF(OR(""&amp;$F1714="2",""&amp;$F1714="4",""&amp;$F1714="G",""&amp;$F1714="H"),IF($AY1714="YES","",IF($AB1714&lt;&gt;0,"",IF(COUNTIFS('AR SALES'!$L$2:$L$2501,$L1714,'AR SALES'!$AD$2:$AD$2501,IF(""&amp;$F1714="4","OFF","ON"),'AR SALES'!$AF$2:$AF$2501,"Y")&gt;0,"","NO EXEMPTION"))),"")</f>
        <v/>
      </c>
    </row>
    <row r="1715" spans="46:54" x14ac:dyDescent="0.25">
      <c r="AT1715" s="2" t="str">
        <f>IF($L1715="","",IFERROR(INDEX('AR SALES'!$H$2:$H$2501,MATCH(""&amp;$L1715,'AR SALES'!$AE$2:$AE$2501,0)),""))</f>
        <v/>
      </c>
      <c r="AU1715" s="2" t="str">
        <f t="shared" si="104"/>
        <v/>
      </c>
      <c r="AV1715" s="2" t="str">
        <f t="shared" si="105"/>
        <v/>
      </c>
      <c r="AW1715" s="2" t="str">
        <f t="shared" si="106"/>
        <v/>
      </c>
      <c r="AX1715" s="2" t="str">
        <f t="shared" si="107"/>
        <v/>
      </c>
      <c r="AY1715" s="2" t="str">
        <f>IF($AV1715="","",IF(AND($Z1715=0,COUNTIF('AR SALES'!$L$2:$L$2501,$L1715)=0),"YES",""))</f>
        <v/>
      </c>
      <c r="AZ1715" s="2" t="str">
        <f>IF($AV1715="","",IF(COUNTIF(LISTS!$C$2:$C$250,$AU1715)=0,"NEW",""))</f>
        <v/>
      </c>
      <c r="BA1715" s="2" t="str">
        <f>IF(""&amp;$F1715&lt;&gt;"4","",IF($AY1715="YES","",IF(ROUND(SUMIFS($AE$2:$AE$4001,$L$2:$L$4001,$L1715,$F$2:$F$4001,"4")-SUMIFS('AR SALES'!$Y$2:$Y$2501,'AR SALES'!$L$2:$L$2501,$L1715,'AR SALES'!$AD$2:$AD$2501,"OFF"),2)=0,"","STALE")))</f>
        <v/>
      </c>
      <c r="BB1715" s="2" t="str">
        <f>IF(OR(""&amp;$F1715="2",""&amp;$F1715="4",""&amp;$F1715="G",""&amp;$F1715="H"),IF($AY1715="YES","",IF($AB1715&lt;&gt;0,"",IF(COUNTIFS('AR SALES'!$L$2:$L$2501,$L1715,'AR SALES'!$AD$2:$AD$2501,IF(""&amp;$F1715="4","OFF","ON"),'AR SALES'!$AF$2:$AF$2501,"Y")&gt;0,"","NO EXEMPTION"))),"")</f>
        <v/>
      </c>
    </row>
    <row r="1716" spans="46:54" x14ac:dyDescent="0.25">
      <c r="AT1716" s="2" t="str">
        <f>IF($L1716="","",IFERROR(INDEX('AR SALES'!$H$2:$H$2501,MATCH(""&amp;$L1716,'AR SALES'!$AE$2:$AE$2501,0)),""))</f>
        <v/>
      </c>
      <c r="AU1716" s="2" t="str">
        <f t="shared" si="104"/>
        <v/>
      </c>
      <c r="AV1716" s="2" t="str">
        <f t="shared" si="105"/>
        <v/>
      </c>
      <c r="AW1716" s="2" t="str">
        <f t="shared" si="106"/>
        <v/>
      </c>
      <c r="AX1716" s="2" t="str">
        <f t="shared" si="107"/>
        <v/>
      </c>
      <c r="AY1716" s="2" t="str">
        <f>IF($AV1716="","",IF(AND($Z1716=0,COUNTIF('AR SALES'!$L$2:$L$2501,$L1716)=0),"YES",""))</f>
        <v/>
      </c>
      <c r="AZ1716" s="2" t="str">
        <f>IF($AV1716="","",IF(COUNTIF(LISTS!$C$2:$C$250,$AU1716)=0,"NEW",""))</f>
        <v/>
      </c>
      <c r="BA1716" s="2" t="str">
        <f>IF(""&amp;$F1716&lt;&gt;"4","",IF($AY1716="YES","",IF(ROUND(SUMIFS($AE$2:$AE$4001,$L$2:$L$4001,$L1716,$F$2:$F$4001,"4")-SUMIFS('AR SALES'!$Y$2:$Y$2501,'AR SALES'!$L$2:$L$2501,$L1716,'AR SALES'!$AD$2:$AD$2501,"OFF"),2)=0,"","STALE")))</f>
        <v/>
      </c>
      <c r="BB1716" s="2" t="str">
        <f>IF(OR(""&amp;$F1716="2",""&amp;$F1716="4",""&amp;$F1716="G",""&amp;$F1716="H"),IF($AY1716="YES","",IF($AB1716&lt;&gt;0,"",IF(COUNTIFS('AR SALES'!$L$2:$L$2501,$L1716,'AR SALES'!$AD$2:$AD$2501,IF(""&amp;$F1716="4","OFF","ON"),'AR SALES'!$AF$2:$AF$2501,"Y")&gt;0,"","NO EXEMPTION"))),"")</f>
        <v/>
      </c>
    </row>
    <row r="1717" spans="46:54" x14ac:dyDescent="0.25">
      <c r="AT1717" s="2" t="str">
        <f>IF($L1717="","",IFERROR(INDEX('AR SALES'!$H$2:$H$2501,MATCH(""&amp;$L1717,'AR SALES'!$AE$2:$AE$2501,0)),""))</f>
        <v/>
      </c>
      <c r="AU1717" s="2" t="str">
        <f t="shared" si="104"/>
        <v/>
      </c>
      <c r="AV1717" s="2" t="str">
        <f t="shared" si="105"/>
        <v/>
      </c>
      <c r="AW1717" s="2" t="str">
        <f t="shared" si="106"/>
        <v/>
      </c>
      <c r="AX1717" s="2" t="str">
        <f t="shared" si="107"/>
        <v/>
      </c>
      <c r="AY1717" s="2" t="str">
        <f>IF($AV1717="","",IF(AND($Z1717=0,COUNTIF('AR SALES'!$L$2:$L$2501,$L1717)=0),"YES",""))</f>
        <v/>
      </c>
      <c r="AZ1717" s="2" t="str">
        <f>IF($AV1717="","",IF(COUNTIF(LISTS!$C$2:$C$250,$AU1717)=0,"NEW",""))</f>
        <v/>
      </c>
      <c r="BA1717" s="2" t="str">
        <f>IF(""&amp;$F1717&lt;&gt;"4","",IF($AY1717="YES","",IF(ROUND(SUMIFS($AE$2:$AE$4001,$L$2:$L$4001,$L1717,$F$2:$F$4001,"4")-SUMIFS('AR SALES'!$Y$2:$Y$2501,'AR SALES'!$L$2:$L$2501,$L1717,'AR SALES'!$AD$2:$AD$2501,"OFF"),2)=0,"","STALE")))</f>
        <v/>
      </c>
      <c r="BB1717" s="2" t="str">
        <f>IF(OR(""&amp;$F1717="2",""&amp;$F1717="4",""&amp;$F1717="G",""&amp;$F1717="H"),IF($AY1717="YES","",IF($AB1717&lt;&gt;0,"",IF(COUNTIFS('AR SALES'!$L$2:$L$2501,$L1717,'AR SALES'!$AD$2:$AD$2501,IF(""&amp;$F1717="4","OFF","ON"),'AR SALES'!$AF$2:$AF$2501,"Y")&gt;0,"","NO EXEMPTION"))),"")</f>
        <v/>
      </c>
    </row>
    <row r="1718" spans="46:54" x14ac:dyDescent="0.25">
      <c r="AT1718" s="2" t="str">
        <f>IF($L1718="","",IFERROR(INDEX('AR SALES'!$H$2:$H$2501,MATCH(""&amp;$L1718,'AR SALES'!$AE$2:$AE$2501,0)),""))</f>
        <v/>
      </c>
      <c r="AU1718" s="2" t="str">
        <f t="shared" si="104"/>
        <v/>
      </c>
      <c r="AV1718" s="2" t="str">
        <f t="shared" si="105"/>
        <v/>
      </c>
      <c r="AW1718" s="2" t="str">
        <f t="shared" si="106"/>
        <v/>
      </c>
      <c r="AX1718" s="2" t="str">
        <f t="shared" si="107"/>
        <v/>
      </c>
      <c r="AY1718" s="2" t="str">
        <f>IF($AV1718="","",IF(AND($Z1718=0,COUNTIF('AR SALES'!$L$2:$L$2501,$L1718)=0),"YES",""))</f>
        <v/>
      </c>
      <c r="AZ1718" s="2" t="str">
        <f>IF($AV1718="","",IF(COUNTIF(LISTS!$C$2:$C$250,$AU1718)=0,"NEW",""))</f>
        <v/>
      </c>
      <c r="BA1718" s="2" t="str">
        <f>IF(""&amp;$F1718&lt;&gt;"4","",IF($AY1718="YES","",IF(ROUND(SUMIFS($AE$2:$AE$4001,$L$2:$L$4001,$L1718,$F$2:$F$4001,"4")-SUMIFS('AR SALES'!$Y$2:$Y$2501,'AR SALES'!$L$2:$L$2501,$L1718,'AR SALES'!$AD$2:$AD$2501,"OFF"),2)=0,"","STALE")))</f>
        <v/>
      </c>
      <c r="BB1718" s="2" t="str">
        <f>IF(OR(""&amp;$F1718="2",""&amp;$F1718="4",""&amp;$F1718="G",""&amp;$F1718="H"),IF($AY1718="YES","",IF($AB1718&lt;&gt;0,"",IF(COUNTIFS('AR SALES'!$L$2:$L$2501,$L1718,'AR SALES'!$AD$2:$AD$2501,IF(""&amp;$F1718="4","OFF","ON"),'AR SALES'!$AF$2:$AF$2501,"Y")&gt;0,"","NO EXEMPTION"))),"")</f>
        <v/>
      </c>
    </row>
    <row r="1719" spans="46:54" x14ac:dyDescent="0.25">
      <c r="AT1719" s="2" t="str">
        <f>IF($L1719="","",IFERROR(INDEX('AR SALES'!$H$2:$H$2501,MATCH(""&amp;$L1719,'AR SALES'!$AE$2:$AE$2501,0)),""))</f>
        <v/>
      </c>
      <c r="AU1719" s="2" t="str">
        <f t="shared" si="104"/>
        <v/>
      </c>
      <c r="AV1719" s="2" t="str">
        <f t="shared" si="105"/>
        <v/>
      </c>
      <c r="AW1719" s="2" t="str">
        <f t="shared" si="106"/>
        <v/>
      </c>
      <c r="AX1719" s="2" t="str">
        <f t="shared" si="107"/>
        <v/>
      </c>
      <c r="AY1719" s="2" t="str">
        <f>IF($AV1719="","",IF(AND($Z1719=0,COUNTIF('AR SALES'!$L$2:$L$2501,$L1719)=0),"YES",""))</f>
        <v/>
      </c>
      <c r="AZ1719" s="2" t="str">
        <f>IF($AV1719="","",IF(COUNTIF(LISTS!$C$2:$C$250,$AU1719)=0,"NEW",""))</f>
        <v/>
      </c>
      <c r="BA1719" s="2" t="str">
        <f>IF(""&amp;$F1719&lt;&gt;"4","",IF($AY1719="YES","",IF(ROUND(SUMIFS($AE$2:$AE$4001,$L$2:$L$4001,$L1719,$F$2:$F$4001,"4")-SUMIFS('AR SALES'!$Y$2:$Y$2501,'AR SALES'!$L$2:$L$2501,$L1719,'AR SALES'!$AD$2:$AD$2501,"OFF"),2)=0,"","STALE")))</f>
        <v/>
      </c>
      <c r="BB1719" s="2" t="str">
        <f>IF(OR(""&amp;$F1719="2",""&amp;$F1719="4",""&amp;$F1719="G",""&amp;$F1719="H"),IF($AY1719="YES","",IF($AB1719&lt;&gt;0,"",IF(COUNTIFS('AR SALES'!$L$2:$L$2501,$L1719,'AR SALES'!$AD$2:$AD$2501,IF(""&amp;$F1719="4","OFF","ON"),'AR SALES'!$AF$2:$AF$2501,"Y")&gt;0,"","NO EXEMPTION"))),"")</f>
        <v/>
      </c>
    </row>
    <row r="1720" spans="46:54" x14ac:dyDescent="0.25">
      <c r="AT1720" s="2" t="str">
        <f>IF($L1720="","",IFERROR(INDEX('AR SALES'!$H$2:$H$2501,MATCH(""&amp;$L1720,'AR SALES'!$AE$2:$AE$2501,0)),""))</f>
        <v/>
      </c>
      <c r="AU1720" s="2" t="str">
        <f t="shared" si="104"/>
        <v/>
      </c>
      <c r="AV1720" s="2" t="str">
        <f t="shared" si="105"/>
        <v/>
      </c>
      <c r="AW1720" s="2" t="str">
        <f t="shared" si="106"/>
        <v/>
      </c>
      <c r="AX1720" s="2" t="str">
        <f t="shared" si="107"/>
        <v/>
      </c>
      <c r="AY1720" s="2" t="str">
        <f>IF($AV1720="","",IF(AND($Z1720=0,COUNTIF('AR SALES'!$L$2:$L$2501,$L1720)=0),"YES",""))</f>
        <v/>
      </c>
      <c r="AZ1720" s="2" t="str">
        <f>IF($AV1720="","",IF(COUNTIF(LISTS!$C$2:$C$250,$AU1720)=0,"NEW",""))</f>
        <v/>
      </c>
      <c r="BA1720" s="2" t="str">
        <f>IF(""&amp;$F1720&lt;&gt;"4","",IF($AY1720="YES","",IF(ROUND(SUMIFS($AE$2:$AE$4001,$L$2:$L$4001,$L1720,$F$2:$F$4001,"4")-SUMIFS('AR SALES'!$Y$2:$Y$2501,'AR SALES'!$L$2:$L$2501,$L1720,'AR SALES'!$AD$2:$AD$2501,"OFF"),2)=0,"","STALE")))</f>
        <v/>
      </c>
      <c r="BB1720" s="2" t="str">
        <f>IF(OR(""&amp;$F1720="2",""&amp;$F1720="4",""&amp;$F1720="G",""&amp;$F1720="H"),IF($AY1720="YES","",IF($AB1720&lt;&gt;0,"",IF(COUNTIFS('AR SALES'!$L$2:$L$2501,$L1720,'AR SALES'!$AD$2:$AD$2501,IF(""&amp;$F1720="4","OFF","ON"),'AR SALES'!$AF$2:$AF$2501,"Y")&gt;0,"","NO EXEMPTION"))),"")</f>
        <v/>
      </c>
    </row>
    <row r="1721" spans="46:54" x14ac:dyDescent="0.25">
      <c r="AT1721" s="2" t="str">
        <f>IF($L1721="","",IFERROR(INDEX('AR SALES'!$H$2:$H$2501,MATCH(""&amp;$L1721,'AR SALES'!$AE$2:$AE$2501,0)),""))</f>
        <v/>
      </c>
      <c r="AU1721" s="2" t="str">
        <f t="shared" si="104"/>
        <v/>
      </c>
      <c r="AV1721" s="2" t="str">
        <f t="shared" si="105"/>
        <v/>
      </c>
      <c r="AW1721" s="2" t="str">
        <f t="shared" si="106"/>
        <v/>
      </c>
      <c r="AX1721" s="2" t="str">
        <f t="shared" si="107"/>
        <v/>
      </c>
      <c r="AY1721" s="2" t="str">
        <f>IF($AV1721="","",IF(AND($Z1721=0,COUNTIF('AR SALES'!$L$2:$L$2501,$L1721)=0),"YES",""))</f>
        <v/>
      </c>
      <c r="AZ1721" s="2" t="str">
        <f>IF($AV1721="","",IF(COUNTIF(LISTS!$C$2:$C$250,$AU1721)=0,"NEW",""))</f>
        <v/>
      </c>
      <c r="BA1721" s="2" t="str">
        <f>IF(""&amp;$F1721&lt;&gt;"4","",IF($AY1721="YES","",IF(ROUND(SUMIFS($AE$2:$AE$4001,$L$2:$L$4001,$L1721,$F$2:$F$4001,"4")-SUMIFS('AR SALES'!$Y$2:$Y$2501,'AR SALES'!$L$2:$L$2501,$L1721,'AR SALES'!$AD$2:$AD$2501,"OFF"),2)=0,"","STALE")))</f>
        <v/>
      </c>
      <c r="BB1721" s="2" t="str">
        <f>IF(OR(""&amp;$F1721="2",""&amp;$F1721="4",""&amp;$F1721="G",""&amp;$F1721="H"),IF($AY1721="YES","",IF($AB1721&lt;&gt;0,"",IF(COUNTIFS('AR SALES'!$L$2:$L$2501,$L1721,'AR SALES'!$AD$2:$AD$2501,IF(""&amp;$F1721="4","OFF","ON"),'AR SALES'!$AF$2:$AF$2501,"Y")&gt;0,"","NO EXEMPTION"))),"")</f>
        <v/>
      </c>
    </row>
    <row r="1722" spans="46:54" x14ac:dyDescent="0.25">
      <c r="AT1722" s="2" t="str">
        <f>IF($L1722="","",IFERROR(INDEX('AR SALES'!$H$2:$H$2501,MATCH(""&amp;$L1722,'AR SALES'!$AE$2:$AE$2501,0)),""))</f>
        <v/>
      </c>
      <c r="AU1722" s="2" t="str">
        <f t="shared" si="104"/>
        <v/>
      </c>
      <c r="AV1722" s="2" t="str">
        <f t="shared" si="105"/>
        <v/>
      </c>
      <c r="AW1722" s="2" t="str">
        <f t="shared" si="106"/>
        <v/>
      </c>
      <c r="AX1722" s="2" t="str">
        <f t="shared" si="107"/>
        <v/>
      </c>
      <c r="AY1722" s="2" t="str">
        <f>IF($AV1722="","",IF(AND($Z1722=0,COUNTIF('AR SALES'!$L$2:$L$2501,$L1722)=0),"YES",""))</f>
        <v/>
      </c>
      <c r="AZ1722" s="2" t="str">
        <f>IF($AV1722="","",IF(COUNTIF(LISTS!$C$2:$C$250,$AU1722)=0,"NEW",""))</f>
        <v/>
      </c>
      <c r="BA1722" s="2" t="str">
        <f>IF(""&amp;$F1722&lt;&gt;"4","",IF($AY1722="YES","",IF(ROUND(SUMIFS($AE$2:$AE$4001,$L$2:$L$4001,$L1722,$F$2:$F$4001,"4")-SUMIFS('AR SALES'!$Y$2:$Y$2501,'AR SALES'!$L$2:$L$2501,$L1722,'AR SALES'!$AD$2:$AD$2501,"OFF"),2)=0,"","STALE")))</f>
        <v/>
      </c>
      <c r="BB1722" s="2" t="str">
        <f>IF(OR(""&amp;$F1722="2",""&amp;$F1722="4",""&amp;$F1722="G",""&amp;$F1722="H"),IF($AY1722="YES","",IF($AB1722&lt;&gt;0,"",IF(COUNTIFS('AR SALES'!$L$2:$L$2501,$L1722,'AR SALES'!$AD$2:$AD$2501,IF(""&amp;$F1722="4","OFF","ON"),'AR SALES'!$AF$2:$AF$2501,"Y")&gt;0,"","NO EXEMPTION"))),"")</f>
        <v/>
      </c>
    </row>
    <row r="1723" spans="46:54" x14ac:dyDescent="0.25">
      <c r="AT1723" s="2" t="str">
        <f>IF($L1723="","",IFERROR(INDEX('AR SALES'!$H$2:$H$2501,MATCH(""&amp;$L1723,'AR SALES'!$AE$2:$AE$2501,0)),""))</f>
        <v/>
      </c>
      <c r="AU1723" s="2" t="str">
        <f t="shared" si="104"/>
        <v/>
      </c>
      <c r="AV1723" s="2" t="str">
        <f t="shared" si="105"/>
        <v/>
      </c>
      <c r="AW1723" s="2" t="str">
        <f t="shared" si="106"/>
        <v/>
      </c>
      <c r="AX1723" s="2" t="str">
        <f t="shared" si="107"/>
        <v/>
      </c>
      <c r="AY1723" s="2" t="str">
        <f>IF($AV1723="","",IF(AND($Z1723=0,COUNTIF('AR SALES'!$L$2:$L$2501,$L1723)=0),"YES",""))</f>
        <v/>
      </c>
      <c r="AZ1723" s="2" t="str">
        <f>IF($AV1723="","",IF(COUNTIF(LISTS!$C$2:$C$250,$AU1723)=0,"NEW",""))</f>
        <v/>
      </c>
      <c r="BA1723" s="2" t="str">
        <f>IF(""&amp;$F1723&lt;&gt;"4","",IF($AY1723="YES","",IF(ROUND(SUMIFS($AE$2:$AE$4001,$L$2:$L$4001,$L1723,$F$2:$F$4001,"4")-SUMIFS('AR SALES'!$Y$2:$Y$2501,'AR SALES'!$L$2:$L$2501,$L1723,'AR SALES'!$AD$2:$AD$2501,"OFF"),2)=0,"","STALE")))</f>
        <v/>
      </c>
      <c r="BB1723" s="2" t="str">
        <f>IF(OR(""&amp;$F1723="2",""&amp;$F1723="4",""&amp;$F1723="G",""&amp;$F1723="H"),IF($AY1723="YES","",IF($AB1723&lt;&gt;0,"",IF(COUNTIFS('AR SALES'!$L$2:$L$2501,$L1723,'AR SALES'!$AD$2:$AD$2501,IF(""&amp;$F1723="4","OFF","ON"),'AR SALES'!$AF$2:$AF$2501,"Y")&gt;0,"","NO EXEMPTION"))),"")</f>
        <v/>
      </c>
    </row>
    <row r="1724" spans="46:54" x14ac:dyDescent="0.25">
      <c r="AT1724" s="2" t="str">
        <f>IF($L1724="","",IFERROR(INDEX('AR SALES'!$H$2:$H$2501,MATCH(""&amp;$L1724,'AR SALES'!$AE$2:$AE$2501,0)),""))</f>
        <v/>
      </c>
      <c r="AU1724" s="2" t="str">
        <f t="shared" si="104"/>
        <v/>
      </c>
      <c r="AV1724" s="2" t="str">
        <f t="shared" si="105"/>
        <v/>
      </c>
      <c r="AW1724" s="2" t="str">
        <f t="shared" si="106"/>
        <v/>
      </c>
      <c r="AX1724" s="2" t="str">
        <f t="shared" si="107"/>
        <v/>
      </c>
      <c r="AY1724" s="2" t="str">
        <f>IF($AV1724="","",IF(AND($Z1724=0,COUNTIF('AR SALES'!$L$2:$L$2501,$L1724)=0),"YES",""))</f>
        <v/>
      </c>
      <c r="AZ1724" s="2" t="str">
        <f>IF($AV1724="","",IF(COUNTIF(LISTS!$C$2:$C$250,$AU1724)=0,"NEW",""))</f>
        <v/>
      </c>
      <c r="BA1724" s="2" t="str">
        <f>IF(""&amp;$F1724&lt;&gt;"4","",IF($AY1724="YES","",IF(ROUND(SUMIFS($AE$2:$AE$4001,$L$2:$L$4001,$L1724,$F$2:$F$4001,"4")-SUMIFS('AR SALES'!$Y$2:$Y$2501,'AR SALES'!$L$2:$L$2501,$L1724,'AR SALES'!$AD$2:$AD$2501,"OFF"),2)=0,"","STALE")))</f>
        <v/>
      </c>
      <c r="BB1724" s="2" t="str">
        <f>IF(OR(""&amp;$F1724="2",""&amp;$F1724="4",""&amp;$F1724="G",""&amp;$F1724="H"),IF($AY1724="YES","",IF($AB1724&lt;&gt;0,"",IF(COUNTIFS('AR SALES'!$L$2:$L$2501,$L1724,'AR SALES'!$AD$2:$AD$2501,IF(""&amp;$F1724="4","OFF","ON"),'AR SALES'!$AF$2:$AF$2501,"Y")&gt;0,"","NO EXEMPTION"))),"")</f>
        <v/>
      </c>
    </row>
    <row r="1725" spans="46:54" x14ac:dyDescent="0.25">
      <c r="AT1725" s="2" t="str">
        <f>IF($L1725="","",IFERROR(INDEX('AR SALES'!$H$2:$H$2501,MATCH(""&amp;$L1725,'AR SALES'!$AE$2:$AE$2501,0)),""))</f>
        <v/>
      </c>
      <c r="AU1725" s="2" t="str">
        <f t="shared" si="104"/>
        <v/>
      </c>
      <c r="AV1725" s="2" t="str">
        <f t="shared" si="105"/>
        <v/>
      </c>
      <c r="AW1725" s="2" t="str">
        <f t="shared" si="106"/>
        <v/>
      </c>
      <c r="AX1725" s="2" t="str">
        <f t="shared" si="107"/>
        <v/>
      </c>
      <c r="AY1725" s="2" t="str">
        <f>IF($AV1725="","",IF(AND($Z1725=0,COUNTIF('AR SALES'!$L$2:$L$2501,$L1725)=0),"YES",""))</f>
        <v/>
      </c>
      <c r="AZ1725" s="2" t="str">
        <f>IF($AV1725="","",IF(COUNTIF(LISTS!$C$2:$C$250,$AU1725)=0,"NEW",""))</f>
        <v/>
      </c>
      <c r="BA1725" s="2" t="str">
        <f>IF(""&amp;$F1725&lt;&gt;"4","",IF($AY1725="YES","",IF(ROUND(SUMIFS($AE$2:$AE$4001,$L$2:$L$4001,$L1725,$F$2:$F$4001,"4")-SUMIFS('AR SALES'!$Y$2:$Y$2501,'AR SALES'!$L$2:$L$2501,$L1725,'AR SALES'!$AD$2:$AD$2501,"OFF"),2)=0,"","STALE")))</f>
        <v/>
      </c>
      <c r="BB1725" s="2" t="str">
        <f>IF(OR(""&amp;$F1725="2",""&amp;$F1725="4",""&amp;$F1725="G",""&amp;$F1725="H"),IF($AY1725="YES","",IF($AB1725&lt;&gt;0,"",IF(COUNTIFS('AR SALES'!$L$2:$L$2501,$L1725,'AR SALES'!$AD$2:$AD$2501,IF(""&amp;$F1725="4","OFF","ON"),'AR SALES'!$AF$2:$AF$2501,"Y")&gt;0,"","NO EXEMPTION"))),"")</f>
        <v/>
      </c>
    </row>
    <row r="1726" spans="46:54" x14ac:dyDescent="0.25">
      <c r="AT1726" s="2" t="str">
        <f>IF($L1726="","",IFERROR(INDEX('AR SALES'!$H$2:$H$2501,MATCH(""&amp;$L1726,'AR SALES'!$AE$2:$AE$2501,0)),""))</f>
        <v/>
      </c>
      <c r="AU1726" s="2" t="str">
        <f t="shared" si="104"/>
        <v/>
      </c>
      <c r="AV1726" s="2" t="str">
        <f t="shared" si="105"/>
        <v/>
      </c>
      <c r="AW1726" s="2" t="str">
        <f t="shared" si="106"/>
        <v/>
      </c>
      <c r="AX1726" s="2" t="str">
        <f t="shared" si="107"/>
        <v/>
      </c>
      <c r="AY1726" s="2" t="str">
        <f>IF($AV1726="","",IF(AND($Z1726=0,COUNTIF('AR SALES'!$L$2:$L$2501,$L1726)=0),"YES",""))</f>
        <v/>
      </c>
      <c r="AZ1726" s="2" t="str">
        <f>IF($AV1726="","",IF(COUNTIF(LISTS!$C$2:$C$250,$AU1726)=0,"NEW",""))</f>
        <v/>
      </c>
      <c r="BA1726" s="2" t="str">
        <f>IF(""&amp;$F1726&lt;&gt;"4","",IF($AY1726="YES","",IF(ROUND(SUMIFS($AE$2:$AE$4001,$L$2:$L$4001,$L1726,$F$2:$F$4001,"4")-SUMIFS('AR SALES'!$Y$2:$Y$2501,'AR SALES'!$L$2:$L$2501,$L1726,'AR SALES'!$AD$2:$AD$2501,"OFF"),2)=0,"","STALE")))</f>
        <v/>
      </c>
      <c r="BB1726" s="2" t="str">
        <f>IF(OR(""&amp;$F1726="2",""&amp;$F1726="4",""&amp;$F1726="G",""&amp;$F1726="H"),IF($AY1726="YES","",IF($AB1726&lt;&gt;0,"",IF(COUNTIFS('AR SALES'!$L$2:$L$2501,$L1726,'AR SALES'!$AD$2:$AD$2501,IF(""&amp;$F1726="4","OFF","ON"),'AR SALES'!$AF$2:$AF$2501,"Y")&gt;0,"","NO EXEMPTION"))),"")</f>
        <v/>
      </c>
    </row>
    <row r="1727" spans="46:54" x14ac:dyDescent="0.25">
      <c r="AT1727" s="2" t="str">
        <f>IF($L1727="","",IFERROR(INDEX('AR SALES'!$H$2:$H$2501,MATCH(""&amp;$L1727,'AR SALES'!$AE$2:$AE$2501,0)),""))</f>
        <v/>
      </c>
      <c r="AU1727" s="2" t="str">
        <f t="shared" si="104"/>
        <v/>
      </c>
      <c r="AV1727" s="2" t="str">
        <f t="shared" si="105"/>
        <v/>
      </c>
      <c r="AW1727" s="2" t="str">
        <f t="shared" si="106"/>
        <v/>
      </c>
      <c r="AX1727" s="2" t="str">
        <f t="shared" si="107"/>
        <v/>
      </c>
      <c r="AY1727" s="2" t="str">
        <f>IF($AV1727="","",IF(AND($Z1727=0,COUNTIF('AR SALES'!$L$2:$L$2501,$L1727)=0),"YES",""))</f>
        <v/>
      </c>
      <c r="AZ1727" s="2" t="str">
        <f>IF($AV1727="","",IF(COUNTIF(LISTS!$C$2:$C$250,$AU1727)=0,"NEW",""))</f>
        <v/>
      </c>
      <c r="BA1727" s="2" t="str">
        <f>IF(""&amp;$F1727&lt;&gt;"4","",IF($AY1727="YES","",IF(ROUND(SUMIFS($AE$2:$AE$4001,$L$2:$L$4001,$L1727,$F$2:$F$4001,"4")-SUMIFS('AR SALES'!$Y$2:$Y$2501,'AR SALES'!$L$2:$L$2501,$L1727,'AR SALES'!$AD$2:$AD$2501,"OFF"),2)=0,"","STALE")))</f>
        <v/>
      </c>
      <c r="BB1727" s="2" t="str">
        <f>IF(OR(""&amp;$F1727="2",""&amp;$F1727="4",""&amp;$F1727="G",""&amp;$F1727="H"),IF($AY1727="YES","",IF($AB1727&lt;&gt;0,"",IF(COUNTIFS('AR SALES'!$L$2:$L$2501,$L1727,'AR SALES'!$AD$2:$AD$2501,IF(""&amp;$F1727="4","OFF","ON"),'AR SALES'!$AF$2:$AF$2501,"Y")&gt;0,"","NO EXEMPTION"))),"")</f>
        <v/>
      </c>
    </row>
    <row r="1728" spans="46:54" x14ac:dyDescent="0.25">
      <c r="AT1728" s="2" t="str">
        <f>IF($L1728="","",IFERROR(INDEX('AR SALES'!$H$2:$H$2501,MATCH(""&amp;$L1728,'AR SALES'!$AE$2:$AE$2501,0)),""))</f>
        <v/>
      </c>
      <c r="AU1728" s="2" t="str">
        <f t="shared" si="104"/>
        <v/>
      </c>
      <c r="AV1728" s="2" t="str">
        <f t="shared" si="105"/>
        <v/>
      </c>
      <c r="AW1728" s="2" t="str">
        <f t="shared" si="106"/>
        <v/>
      </c>
      <c r="AX1728" s="2" t="str">
        <f t="shared" si="107"/>
        <v/>
      </c>
      <c r="AY1728" s="2" t="str">
        <f>IF($AV1728="","",IF(AND($Z1728=0,COUNTIF('AR SALES'!$L$2:$L$2501,$L1728)=0),"YES",""))</f>
        <v/>
      </c>
      <c r="AZ1728" s="2" t="str">
        <f>IF($AV1728="","",IF(COUNTIF(LISTS!$C$2:$C$250,$AU1728)=0,"NEW",""))</f>
        <v/>
      </c>
      <c r="BA1728" s="2" t="str">
        <f>IF(""&amp;$F1728&lt;&gt;"4","",IF($AY1728="YES","",IF(ROUND(SUMIFS($AE$2:$AE$4001,$L$2:$L$4001,$L1728,$F$2:$F$4001,"4")-SUMIFS('AR SALES'!$Y$2:$Y$2501,'AR SALES'!$L$2:$L$2501,$L1728,'AR SALES'!$AD$2:$AD$2501,"OFF"),2)=0,"","STALE")))</f>
        <v/>
      </c>
      <c r="BB1728" s="2" t="str">
        <f>IF(OR(""&amp;$F1728="2",""&amp;$F1728="4",""&amp;$F1728="G",""&amp;$F1728="H"),IF($AY1728="YES","",IF($AB1728&lt;&gt;0,"",IF(COUNTIFS('AR SALES'!$L$2:$L$2501,$L1728,'AR SALES'!$AD$2:$AD$2501,IF(""&amp;$F1728="4","OFF","ON"),'AR SALES'!$AF$2:$AF$2501,"Y")&gt;0,"","NO EXEMPTION"))),"")</f>
        <v/>
      </c>
    </row>
    <row r="1729" spans="46:54" x14ac:dyDescent="0.25">
      <c r="AT1729" s="2" t="str">
        <f>IF($L1729="","",IFERROR(INDEX('AR SALES'!$H$2:$H$2501,MATCH(""&amp;$L1729,'AR SALES'!$AE$2:$AE$2501,0)),""))</f>
        <v/>
      </c>
      <c r="AU1729" s="2" t="str">
        <f t="shared" si="104"/>
        <v/>
      </c>
      <c r="AV1729" s="2" t="str">
        <f t="shared" si="105"/>
        <v/>
      </c>
      <c r="AW1729" s="2" t="str">
        <f t="shared" si="106"/>
        <v/>
      </c>
      <c r="AX1729" s="2" t="str">
        <f t="shared" si="107"/>
        <v/>
      </c>
      <c r="AY1729" s="2" t="str">
        <f>IF($AV1729="","",IF(AND($Z1729=0,COUNTIF('AR SALES'!$L$2:$L$2501,$L1729)=0),"YES",""))</f>
        <v/>
      </c>
      <c r="AZ1729" s="2" t="str">
        <f>IF($AV1729="","",IF(COUNTIF(LISTS!$C$2:$C$250,$AU1729)=0,"NEW",""))</f>
        <v/>
      </c>
      <c r="BA1729" s="2" t="str">
        <f>IF(""&amp;$F1729&lt;&gt;"4","",IF($AY1729="YES","",IF(ROUND(SUMIFS($AE$2:$AE$4001,$L$2:$L$4001,$L1729,$F$2:$F$4001,"4")-SUMIFS('AR SALES'!$Y$2:$Y$2501,'AR SALES'!$L$2:$L$2501,$L1729,'AR SALES'!$AD$2:$AD$2501,"OFF"),2)=0,"","STALE")))</f>
        <v/>
      </c>
      <c r="BB1729" s="2" t="str">
        <f>IF(OR(""&amp;$F1729="2",""&amp;$F1729="4",""&amp;$F1729="G",""&amp;$F1729="H"),IF($AY1729="YES","",IF($AB1729&lt;&gt;0,"",IF(COUNTIFS('AR SALES'!$L$2:$L$2501,$L1729,'AR SALES'!$AD$2:$AD$2501,IF(""&amp;$F1729="4","OFF","ON"),'AR SALES'!$AF$2:$AF$2501,"Y")&gt;0,"","NO EXEMPTION"))),"")</f>
        <v/>
      </c>
    </row>
    <row r="1730" spans="46:54" x14ac:dyDescent="0.25">
      <c r="AT1730" s="2" t="str">
        <f>IF($L1730="","",IFERROR(INDEX('AR SALES'!$H$2:$H$2501,MATCH(""&amp;$L1730,'AR SALES'!$AE$2:$AE$2501,0)),""))</f>
        <v/>
      </c>
      <c r="AU1730" s="2" t="str">
        <f t="shared" ref="AU1730:AU1793" si="108">IF($L1730="","",IF($A1730&lt;&gt;"GA","",IF($E1730="FULTON",IF(ISNUMBER(SEARCH("COLLEGE PARK",$AT1730)),"FULTON (COLLEGE PARK)",IF(ISNUMBER(SEARCH("ATLANTA CITY",$AT1730)),"FULTON (ATL LIMITS)","FULTON")),IF($E1730="DEKALB",IF(ISNUMBER(SEARCH("ATLANTA CITY",$AT1730)),"DEKALB (ATL LIMITS)","DEKALB"),$E1730))))</f>
        <v/>
      </c>
      <c r="AV1730" s="2" t="str">
        <f t="shared" ref="AV1730:AV1793" si="109">IF($L1730="","",IF(""&amp;$F1730="2","DIESEL",IF(OR(""&amp;$F1730="G",""&amp;$F1730="H"),"GAS","")))</f>
        <v/>
      </c>
      <c r="AW1730" s="2" t="str">
        <f t="shared" ref="AW1730:AW1793" si="110">IF($AV1730="","",$R1730)</f>
        <v/>
      </c>
      <c r="AX1730" s="2" t="str">
        <f t="shared" ref="AX1730:AX1793" si="111">IF($AV1730="","",IF($AB1730=0,$R1730,0))</f>
        <v/>
      </c>
      <c r="AY1730" s="2" t="str">
        <f>IF($AV1730="","",IF(AND($Z1730=0,COUNTIF('AR SALES'!$L$2:$L$2501,$L1730)=0),"YES",""))</f>
        <v/>
      </c>
      <c r="AZ1730" s="2" t="str">
        <f>IF($AV1730="","",IF(COUNTIF(LISTS!$C$2:$C$250,$AU1730)=0,"NEW",""))</f>
        <v/>
      </c>
      <c r="BA1730" s="2" t="str">
        <f>IF(""&amp;$F1730&lt;&gt;"4","",IF($AY1730="YES","",IF(ROUND(SUMIFS($AE$2:$AE$4001,$L$2:$L$4001,$L1730,$F$2:$F$4001,"4")-SUMIFS('AR SALES'!$Y$2:$Y$2501,'AR SALES'!$L$2:$L$2501,$L1730,'AR SALES'!$AD$2:$AD$2501,"OFF"),2)=0,"","STALE")))</f>
        <v/>
      </c>
      <c r="BB1730" s="2" t="str">
        <f>IF(OR(""&amp;$F1730="2",""&amp;$F1730="4",""&amp;$F1730="G",""&amp;$F1730="H"),IF($AY1730="YES","",IF($AB1730&lt;&gt;0,"",IF(COUNTIFS('AR SALES'!$L$2:$L$2501,$L1730,'AR SALES'!$AD$2:$AD$2501,IF(""&amp;$F1730="4","OFF","ON"),'AR SALES'!$AF$2:$AF$2501,"Y")&gt;0,"","NO EXEMPTION"))),"")</f>
        <v/>
      </c>
    </row>
    <row r="1731" spans="46:54" x14ac:dyDescent="0.25">
      <c r="AT1731" s="2" t="str">
        <f>IF($L1731="","",IFERROR(INDEX('AR SALES'!$H$2:$H$2501,MATCH(""&amp;$L1731,'AR SALES'!$AE$2:$AE$2501,0)),""))</f>
        <v/>
      </c>
      <c r="AU1731" s="2" t="str">
        <f t="shared" si="108"/>
        <v/>
      </c>
      <c r="AV1731" s="2" t="str">
        <f t="shared" si="109"/>
        <v/>
      </c>
      <c r="AW1731" s="2" t="str">
        <f t="shared" si="110"/>
        <v/>
      </c>
      <c r="AX1731" s="2" t="str">
        <f t="shared" si="111"/>
        <v/>
      </c>
      <c r="AY1731" s="2" t="str">
        <f>IF($AV1731="","",IF(AND($Z1731=0,COUNTIF('AR SALES'!$L$2:$L$2501,$L1731)=0),"YES",""))</f>
        <v/>
      </c>
      <c r="AZ1731" s="2" t="str">
        <f>IF($AV1731="","",IF(COUNTIF(LISTS!$C$2:$C$250,$AU1731)=0,"NEW",""))</f>
        <v/>
      </c>
      <c r="BA1731" s="2" t="str">
        <f>IF(""&amp;$F1731&lt;&gt;"4","",IF($AY1731="YES","",IF(ROUND(SUMIFS($AE$2:$AE$4001,$L$2:$L$4001,$L1731,$F$2:$F$4001,"4")-SUMIFS('AR SALES'!$Y$2:$Y$2501,'AR SALES'!$L$2:$L$2501,$L1731,'AR SALES'!$AD$2:$AD$2501,"OFF"),2)=0,"","STALE")))</f>
        <v/>
      </c>
      <c r="BB1731" s="2" t="str">
        <f>IF(OR(""&amp;$F1731="2",""&amp;$F1731="4",""&amp;$F1731="G",""&amp;$F1731="H"),IF($AY1731="YES","",IF($AB1731&lt;&gt;0,"",IF(COUNTIFS('AR SALES'!$L$2:$L$2501,$L1731,'AR SALES'!$AD$2:$AD$2501,IF(""&amp;$F1731="4","OFF","ON"),'AR SALES'!$AF$2:$AF$2501,"Y")&gt;0,"","NO EXEMPTION"))),"")</f>
        <v/>
      </c>
    </row>
    <row r="1732" spans="46:54" x14ac:dyDescent="0.25">
      <c r="AT1732" s="2" t="str">
        <f>IF($L1732="","",IFERROR(INDEX('AR SALES'!$H$2:$H$2501,MATCH(""&amp;$L1732,'AR SALES'!$AE$2:$AE$2501,0)),""))</f>
        <v/>
      </c>
      <c r="AU1732" s="2" t="str">
        <f t="shared" si="108"/>
        <v/>
      </c>
      <c r="AV1732" s="2" t="str">
        <f t="shared" si="109"/>
        <v/>
      </c>
      <c r="AW1732" s="2" t="str">
        <f t="shared" si="110"/>
        <v/>
      </c>
      <c r="AX1732" s="2" t="str">
        <f t="shared" si="111"/>
        <v/>
      </c>
      <c r="AY1732" s="2" t="str">
        <f>IF($AV1732="","",IF(AND($Z1732=0,COUNTIF('AR SALES'!$L$2:$L$2501,$L1732)=0),"YES",""))</f>
        <v/>
      </c>
      <c r="AZ1732" s="2" t="str">
        <f>IF($AV1732="","",IF(COUNTIF(LISTS!$C$2:$C$250,$AU1732)=0,"NEW",""))</f>
        <v/>
      </c>
      <c r="BA1732" s="2" t="str">
        <f>IF(""&amp;$F1732&lt;&gt;"4","",IF($AY1732="YES","",IF(ROUND(SUMIFS($AE$2:$AE$4001,$L$2:$L$4001,$L1732,$F$2:$F$4001,"4")-SUMIFS('AR SALES'!$Y$2:$Y$2501,'AR SALES'!$L$2:$L$2501,$L1732,'AR SALES'!$AD$2:$AD$2501,"OFF"),2)=0,"","STALE")))</f>
        <v/>
      </c>
      <c r="BB1732" s="2" t="str">
        <f>IF(OR(""&amp;$F1732="2",""&amp;$F1732="4",""&amp;$F1732="G",""&amp;$F1732="H"),IF($AY1732="YES","",IF($AB1732&lt;&gt;0,"",IF(COUNTIFS('AR SALES'!$L$2:$L$2501,$L1732,'AR SALES'!$AD$2:$AD$2501,IF(""&amp;$F1732="4","OFF","ON"),'AR SALES'!$AF$2:$AF$2501,"Y")&gt;0,"","NO EXEMPTION"))),"")</f>
        <v/>
      </c>
    </row>
    <row r="1733" spans="46:54" x14ac:dyDescent="0.25">
      <c r="AT1733" s="2" t="str">
        <f>IF($L1733="","",IFERROR(INDEX('AR SALES'!$H$2:$H$2501,MATCH(""&amp;$L1733,'AR SALES'!$AE$2:$AE$2501,0)),""))</f>
        <v/>
      </c>
      <c r="AU1733" s="2" t="str">
        <f t="shared" si="108"/>
        <v/>
      </c>
      <c r="AV1733" s="2" t="str">
        <f t="shared" si="109"/>
        <v/>
      </c>
      <c r="AW1733" s="2" t="str">
        <f t="shared" si="110"/>
        <v/>
      </c>
      <c r="AX1733" s="2" t="str">
        <f t="shared" si="111"/>
        <v/>
      </c>
      <c r="AY1733" s="2" t="str">
        <f>IF($AV1733="","",IF(AND($Z1733=0,COUNTIF('AR SALES'!$L$2:$L$2501,$L1733)=0),"YES",""))</f>
        <v/>
      </c>
      <c r="AZ1733" s="2" t="str">
        <f>IF($AV1733="","",IF(COUNTIF(LISTS!$C$2:$C$250,$AU1733)=0,"NEW",""))</f>
        <v/>
      </c>
      <c r="BA1733" s="2" t="str">
        <f>IF(""&amp;$F1733&lt;&gt;"4","",IF($AY1733="YES","",IF(ROUND(SUMIFS($AE$2:$AE$4001,$L$2:$L$4001,$L1733,$F$2:$F$4001,"4")-SUMIFS('AR SALES'!$Y$2:$Y$2501,'AR SALES'!$L$2:$L$2501,$L1733,'AR SALES'!$AD$2:$AD$2501,"OFF"),2)=0,"","STALE")))</f>
        <v/>
      </c>
      <c r="BB1733" s="2" t="str">
        <f>IF(OR(""&amp;$F1733="2",""&amp;$F1733="4",""&amp;$F1733="G",""&amp;$F1733="H"),IF($AY1733="YES","",IF($AB1733&lt;&gt;0,"",IF(COUNTIFS('AR SALES'!$L$2:$L$2501,$L1733,'AR SALES'!$AD$2:$AD$2501,IF(""&amp;$F1733="4","OFF","ON"),'AR SALES'!$AF$2:$AF$2501,"Y")&gt;0,"","NO EXEMPTION"))),"")</f>
        <v/>
      </c>
    </row>
    <row r="1734" spans="46:54" x14ac:dyDescent="0.25">
      <c r="AT1734" s="2" t="str">
        <f>IF($L1734="","",IFERROR(INDEX('AR SALES'!$H$2:$H$2501,MATCH(""&amp;$L1734,'AR SALES'!$AE$2:$AE$2501,0)),""))</f>
        <v/>
      </c>
      <c r="AU1734" s="2" t="str">
        <f t="shared" si="108"/>
        <v/>
      </c>
      <c r="AV1734" s="2" t="str">
        <f t="shared" si="109"/>
        <v/>
      </c>
      <c r="AW1734" s="2" t="str">
        <f t="shared" si="110"/>
        <v/>
      </c>
      <c r="AX1734" s="2" t="str">
        <f t="shared" si="111"/>
        <v/>
      </c>
      <c r="AY1734" s="2" t="str">
        <f>IF($AV1734="","",IF(AND($Z1734=0,COUNTIF('AR SALES'!$L$2:$L$2501,$L1734)=0),"YES",""))</f>
        <v/>
      </c>
      <c r="AZ1734" s="2" t="str">
        <f>IF($AV1734="","",IF(COUNTIF(LISTS!$C$2:$C$250,$AU1734)=0,"NEW",""))</f>
        <v/>
      </c>
      <c r="BA1734" s="2" t="str">
        <f>IF(""&amp;$F1734&lt;&gt;"4","",IF($AY1734="YES","",IF(ROUND(SUMIFS($AE$2:$AE$4001,$L$2:$L$4001,$L1734,$F$2:$F$4001,"4")-SUMIFS('AR SALES'!$Y$2:$Y$2501,'AR SALES'!$L$2:$L$2501,$L1734,'AR SALES'!$AD$2:$AD$2501,"OFF"),2)=0,"","STALE")))</f>
        <v/>
      </c>
      <c r="BB1734" s="2" t="str">
        <f>IF(OR(""&amp;$F1734="2",""&amp;$F1734="4",""&amp;$F1734="G",""&amp;$F1734="H"),IF($AY1734="YES","",IF($AB1734&lt;&gt;0,"",IF(COUNTIFS('AR SALES'!$L$2:$L$2501,$L1734,'AR SALES'!$AD$2:$AD$2501,IF(""&amp;$F1734="4","OFF","ON"),'AR SALES'!$AF$2:$AF$2501,"Y")&gt;0,"","NO EXEMPTION"))),"")</f>
        <v/>
      </c>
    </row>
    <row r="1735" spans="46:54" x14ac:dyDescent="0.25">
      <c r="AT1735" s="2" t="str">
        <f>IF($L1735="","",IFERROR(INDEX('AR SALES'!$H$2:$H$2501,MATCH(""&amp;$L1735,'AR SALES'!$AE$2:$AE$2501,0)),""))</f>
        <v/>
      </c>
      <c r="AU1735" s="2" t="str">
        <f t="shared" si="108"/>
        <v/>
      </c>
      <c r="AV1735" s="2" t="str">
        <f t="shared" si="109"/>
        <v/>
      </c>
      <c r="AW1735" s="2" t="str">
        <f t="shared" si="110"/>
        <v/>
      </c>
      <c r="AX1735" s="2" t="str">
        <f t="shared" si="111"/>
        <v/>
      </c>
      <c r="AY1735" s="2" t="str">
        <f>IF($AV1735="","",IF(AND($Z1735=0,COUNTIF('AR SALES'!$L$2:$L$2501,$L1735)=0),"YES",""))</f>
        <v/>
      </c>
      <c r="AZ1735" s="2" t="str">
        <f>IF($AV1735="","",IF(COUNTIF(LISTS!$C$2:$C$250,$AU1735)=0,"NEW",""))</f>
        <v/>
      </c>
      <c r="BA1735" s="2" t="str">
        <f>IF(""&amp;$F1735&lt;&gt;"4","",IF($AY1735="YES","",IF(ROUND(SUMIFS($AE$2:$AE$4001,$L$2:$L$4001,$L1735,$F$2:$F$4001,"4")-SUMIFS('AR SALES'!$Y$2:$Y$2501,'AR SALES'!$L$2:$L$2501,$L1735,'AR SALES'!$AD$2:$AD$2501,"OFF"),2)=0,"","STALE")))</f>
        <v/>
      </c>
      <c r="BB1735" s="2" t="str">
        <f>IF(OR(""&amp;$F1735="2",""&amp;$F1735="4",""&amp;$F1735="G",""&amp;$F1735="H"),IF($AY1735="YES","",IF($AB1735&lt;&gt;0,"",IF(COUNTIFS('AR SALES'!$L$2:$L$2501,$L1735,'AR SALES'!$AD$2:$AD$2501,IF(""&amp;$F1735="4","OFF","ON"),'AR SALES'!$AF$2:$AF$2501,"Y")&gt;0,"","NO EXEMPTION"))),"")</f>
        <v/>
      </c>
    </row>
    <row r="1736" spans="46:54" x14ac:dyDescent="0.25">
      <c r="AT1736" s="2" t="str">
        <f>IF($L1736="","",IFERROR(INDEX('AR SALES'!$H$2:$H$2501,MATCH(""&amp;$L1736,'AR SALES'!$AE$2:$AE$2501,0)),""))</f>
        <v/>
      </c>
      <c r="AU1736" s="2" t="str">
        <f t="shared" si="108"/>
        <v/>
      </c>
      <c r="AV1736" s="2" t="str">
        <f t="shared" si="109"/>
        <v/>
      </c>
      <c r="AW1736" s="2" t="str">
        <f t="shared" si="110"/>
        <v/>
      </c>
      <c r="AX1736" s="2" t="str">
        <f t="shared" si="111"/>
        <v/>
      </c>
      <c r="AY1736" s="2" t="str">
        <f>IF($AV1736="","",IF(AND($Z1736=0,COUNTIF('AR SALES'!$L$2:$L$2501,$L1736)=0),"YES",""))</f>
        <v/>
      </c>
      <c r="AZ1736" s="2" t="str">
        <f>IF($AV1736="","",IF(COUNTIF(LISTS!$C$2:$C$250,$AU1736)=0,"NEW",""))</f>
        <v/>
      </c>
      <c r="BA1736" s="2" t="str">
        <f>IF(""&amp;$F1736&lt;&gt;"4","",IF($AY1736="YES","",IF(ROUND(SUMIFS($AE$2:$AE$4001,$L$2:$L$4001,$L1736,$F$2:$F$4001,"4")-SUMIFS('AR SALES'!$Y$2:$Y$2501,'AR SALES'!$L$2:$L$2501,$L1736,'AR SALES'!$AD$2:$AD$2501,"OFF"),2)=0,"","STALE")))</f>
        <v/>
      </c>
      <c r="BB1736" s="2" t="str">
        <f>IF(OR(""&amp;$F1736="2",""&amp;$F1736="4",""&amp;$F1736="G",""&amp;$F1736="H"),IF($AY1736="YES","",IF($AB1736&lt;&gt;0,"",IF(COUNTIFS('AR SALES'!$L$2:$L$2501,$L1736,'AR SALES'!$AD$2:$AD$2501,IF(""&amp;$F1736="4","OFF","ON"),'AR SALES'!$AF$2:$AF$2501,"Y")&gt;0,"","NO EXEMPTION"))),"")</f>
        <v/>
      </c>
    </row>
    <row r="1737" spans="46:54" x14ac:dyDescent="0.25">
      <c r="AT1737" s="2" t="str">
        <f>IF($L1737="","",IFERROR(INDEX('AR SALES'!$H$2:$H$2501,MATCH(""&amp;$L1737,'AR SALES'!$AE$2:$AE$2501,0)),""))</f>
        <v/>
      </c>
      <c r="AU1737" s="2" t="str">
        <f t="shared" si="108"/>
        <v/>
      </c>
      <c r="AV1737" s="2" t="str">
        <f t="shared" si="109"/>
        <v/>
      </c>
      <c r="AW1737" s="2" t="str">
        <f t="shared" si="110"/>
        <v/>
      </c>
      <c r="AX1737" s="2" t="str">
        <f t="shared" si="111"/>
        <v/>
      </c>
      <c r="AY1737" s="2" t="str">
        <f>IF($AV1737="","",IF(AND($Z1737=0,COUNTIF('AR SALES'!$L$2:$L$2501,$L1737)=0),"YES",""))</f>
        <v/>
      </c>
      <c r="AZ1737" s="2" t="str">
        <f>IF($AV1737="","",IF(COUNTIF(LISTS!$C$2:$C$250,$AU1737)=0,"NEW",""))</f>
        <v/>
      </c>
      <c r="BA1737" s="2" t="str">
        <f>IF(""&amp;$F1737&lt;&gt;"4","",IF($AY1737="YES","",IF(ROUND(SUMIFS($AE$2:$AE$4001,$L$2:$L$4001,$L1737,$F$2:$F$4001,"4")-SUMIFS('AR SALES'!$Y$2:$Y$2501,'AR SALES'!$L$2:$L$2501,$L1737,'AR SALES'!$AD$2:$AD$2501,"OFF"),2)=0,"","STALE")))</f>
        <v/>
      </c>
      <c r="BB1737" s="2" t="str">
        <f>IF(OR(""&amp;$F1737="2",""&amp;$F1737="4",""&amp;$F1737="G",""&amp;$F1737="H"),IF($AY1737="YES","",IF($AB1737&lt;&gt;0,"",IF(COUNTIFS('AR SALES'!$L$2:$L$2501,$L1737,'AR SALES'!$AD$2:$AD$2501,IF(""&amp;$F1737="4","OFF","ON"),'AR SALES'!$AF$2:$AF$2501,"Y")&gt;0,"","NO EXEMPTION"))),"")</f>
        <v/>
      </c>
    </row>
    <row r="1738" spans="46:54" x14ac:dyDescent="0.25">
      <c r="AT1738" s="2" t="str">
        <f>IF($L1738="","",IFERROR(INDEX('AR SALES'!$H$2:$H$2501,MATCH(""&amp;$L1738,'AR SALES'!$AE$2:$AE$2501,0)),""))</f>
        <v/>
      </c>
      <c r="AU1738" s="2" t="str">
        <f t="shared" si="108"/>
        <v/>
      </c>
      <c r="AV1738" s="2" t="str">
        <f t="shared" si="109"/>
        <v/>
      </c>
      <c r="AW1738" s="2" t="str">
        <f t="shared" si="110"/>
        <v/>
      </c>
      <c r="AX1738" s="2" t="str">
        <f t="shared" si="111"/>
        <v/>
      </c>
      <c r="AY1738" s="2" t="str">
        <f>IF($AV1738="","",IF(AND($Z1738=0,COUNTIF('AR SALES'!$L$2:$L$2501,$L1738)=0),"YES",""))</f>
        <v/>
      </c>
      <c r="AZ1738" s="2" t="str">
        <f>IF($AV1738="","",IF(COUNTIF(LISTS!$C$2:$C$250,$AU1738)=0,"NEW",""))</f>
        <v/>
      </c>
      <c r="BA1738" s="2" t="str">
        <f>IF(""&amp;$F1738&lt;&gt;"4","",IF($AY1738="YES","",IF(ROUND(SUMIFS($AE$2:$AE$4001,$L$2:$L$4001,$L1738,$F$2:$F$4001,"4")-SUMIFS('AR SALES'!$Y$2:$Y$2501,'AR SALES'!$L$2:$L$2501,$L1738,'AR SALES'!$AD$2:$AD$2501,"OFF"),2)=0,"","STALE")))</f>
        <v/>
      </c>
      <c r="BB1738" s="2" t="str">
        <f>IF(OR(""&amp;$F1738="2",""&amp;$F1738="4",""&amp;$F1738="G",""&amp;$F1738="H"),IF($AY1738="YES","",IF($AB1738&lt;&gt;0,"",IF(COUNTIFS('AR SALES'!$L$2:$L$2501,$L1738,'AR SALES'!$AD$2:$AD$2501,IF(""&amp;$F1738="4","OFF","ON"),'AR SALES'!$AF$2:$AF$2501,"Y")&gt;0,"","NO EXEMPTION"))),"")</f>
        <v/>
      </c>
    </row>
    <row r="1739" spans="46:54" x14ac:dyDescent="0.25">
      <c r="AT1739" s="2" t="str">
        <f>IF($L1739="","",IFERROR(INDEX('AR SALES'!$H$2:$H$2501,MATCH(""&amp;$L1739,'AR SALES'!$AE$2:$AE$2501,0)),""))</f>
        <v/>
      </c>
      <c r="AU1739" s="2" t="str">
        <f t="shared" si="108"/>
        <v/>
      </c>
      <c r="AV1739" s="2" t="str">
        <f t="shared" si="109"/>
        <v/>
      </c>
      <c r="AW1739" s="2" t="str">
        <f t="shared" si="110"/>
        <v/>
      </c>
      <c r="AX1739" s="2" t="str">
        <f t="shared" si="111"/>
        <v/>
      </c>
      <c r="AY1739" s="2" t="str">
        <f>IF($AV1739="","",IF(AND($Z1739=0,COUNTIF('AR SALES'!$L$2:$L$2501,$L1739)=0),"YES",""))</f>
        <v/>
      </c>
      <c r="AZ1739" s="2" t="str">
        <f>IF($AV1739="","",IF(COUNTIF(LISTS!$C$2:$C$250,$AU1739)=0,"NEW",""))</f>
        <v/>
      </c>
      <c r="BA1739" s="2" t="str">
        <f>IF(""&amp;$F1739&lt;&gt;"4","",IF($AY1739="YES","",IF(ROUND(SUMIFS($AE$2:$AE$4001,$L$2:$L$4001,$L1739,$F$2:$F$4001,"4")-SUMIFS('AR SALES'!$Y$2:$Y$2501,'AR SALES'!$L$2:$L$2501,$L1739,'AR SALES'!$AD$2:$AD$2501,"OFF"),2)=0,"","STALE")))</f>
        <v/>
      </c>
      <c r="BB1739" s="2" t="str">
        <f>IF(OR(""&amp;$F1739="2",""&amp;$F1739="4",""&amp;$F1739="G",""&amp;$F1739="H"),IF($AY1739="YES","",IF($AB1739&lt;&gt;0,"",IF(COUNTIFS('AR SALES'!$L$2:$L$2501,$L1739,'AR SALES'!$AD$2:$AD$2501,IF(""&amp;$F1739="4","OFF","ON"),'AR SALES'!$AF$2:$AF$2501,"Y")&gt;0,"","NO EXEMPTION"))),"")</f>
        <v/>
      </c>
    </row>
    <row r="1740" spans="46:54" x14ac:dyDescent="0.25">
      <c r="AT1740" s="2" t="str">
        <f>IF($L1740="","",IFERROR(INDEX('AR SALES'!$H$2:$H$2501,MATCH(""&amp;$L1740,'AR SALES'!$AE$2:$AE$2501,0)),""))</f>
        <v/>
      </c>
      <c r="AU1740" s="2" t="str">
        <f t="shared" si="108"/>
        <v/>
      </c>
      <c r="AV1740" s="2" t="str">
        <f t="shared" si="109"/>
        <v/>
      </c>
      <c r="AW1740" s="2" t="str">
        <f t="shared" si="110"/>
        <v/>
      </c>
      <c r="AX1740" s="2" t="str">
        <f t="shared" si="111"/>
        <v/>
      </c>
      <c r="AY1740" s="2" t="str">
        <f>IF($AV1740="","",IF(AND($Z1740=0,COUNTIF('AR SALES'!$L$2:$L$2501,$L1740)=0),"YES",""))</f>
        <v/>
      </c>
      <c r="AZ1740" s="2" t="str">
        <f>IF($AV1740="","",IF(COUNTIF(LISTS!$C$2:$C$250,$AU1740)=0,"NEW",""))</f>
        <v/>
      </c>
      <c r="BA1740" s="2" t="str">
        <f>IF(""&amp;$F1740&lt;&gt;"4","",IF($AY1740="YES","",IF(ROUND(SUMIFS($AE$2:$AE$4001,$L$2:$L$4001,$L1740,$F$2:$F$4001,"4")-SUMIFS('AR SALES'!$Y$2:$Y$2501,'AR SALES'!$L$2:$L$2501,$L1740,'AR SALES'!$AD$2:$AD$2501,"OFF"),2)=0,"","STALE")))</f>
        <v/>
      </c>
      <c r="BB1740" s="2" t="str">
        <f>IF(OR(""&amp;$F1740="2",""&amp;$F1740="4",""&amp;$F1740="G",""&amp;$F1740="H"),IF($AY1740="YES","",IF($AB1740&lt;&gt;0,"",IF(COUNTIFS('AR SALES'!$L$2:$L$2501,$L1740,'AR SALES'!$AD$2:$AD$2501,IF(""&amp;$F1740="4","OFF","ON"),'AR SALES'!$AF$2:$AF$2501,"Y")&gt;0,"","NO EXEMPTION"))),"")</f>
        <v/>
      </c>
    </row>
    <row r="1741" spans="46:54" x14ac:dyDescent="0.25">
      <c r="AT1741" s="2" t="str">
        <f>IF($L1741="","",IFERROR(INDEX('AR SALES'!$H$2:$H$2501,MATCH(""&amp;$L1741,'AR SALES'!$AE$2:$AE$2501,0)),""))</f>
        <v/>
      </c>
      <c r="AU1741" s="2" t="str">
        <f t="shared" si="108"/>
        <v/>
      </c>
      <c r="AV1741" s="2" t="str">
        <f t="shared" si="109"/>
        <v/>
      </c>
      <c r="AW1741" s="2" t="str">
        <f t="shared" si="110"/>
        <v/>
      </c>
      <c r="AX1741" s="2" t="str">
        <f t="shared" si="111"/>
        <v/>
      </c>
      <c r="AY1741" s="2" t="str">
        <f>IF($AV1741="","",IF(AND($Z1741=0,COUNTIF('AR SALES'!$L$2:$L$2501,$L1741)=0),"YES",""))</f>
        <v/>
      </c>
      <c r="AZ1741" s="2" t="str">
        <f>IF($AV1741="","",IF(COUNTIF(LISTS!$C$2:$C$250,$AU1741)=0,"NEW",""))</f>
        <v/>
      </c>
      <c r="BA1741" s="2" t="str">
        <f>IF(""&amp;$F1741&lt;&gt;"4","",IF($AY1741="YES","",IF(ROUND(SUMIFS($AE$2:$AE$4001,$L$2:$L$4001,$L1741,$F$2:$F$4001,"4")-SUMIFS('AR SALES'!$Y$2:$Y$2501,'AR SALES'!$L$2:$L$2501,$L1741,'AR SALES'!$AD$2:$AD$2501,"OFF"),2)=0,"","STALE")))</f>
        <v/>
      </c>
      <c r="BB1741" s="2" t="str">
        <f>IF(OR(""&amp;$F1741="2",""&amp;$F1741="4",""&amp;$F1741="G",""&amp;$F1741="H"),IF($AY1741="YES","",IF($AB1741&lt;&gt;0,"",IF(COUNTIFS('AR SALES'!$L$2:$L$2501,$L1741,'AR SALES'!$AD$2:$AD$2501,IF(""&amp;$F1741="4","OFF","ON"),'AR SALES'!$AF$2:$AF$2501,"Y")&gt;0,"","NO EXEMPTION"))),"")</f>
        <v/>
      </c>
    </row>
    <row r="1742" spans="46:54" x14ac:dyDescent="0.25">
      <c r="AT1742" s="2" t="str">
        <f>IF($L1742="","",IFERROR(INDEX('AR SALES'!$H$2:$H$2501,MATCH(""&amp;$L1742,'AR SALES'!$AE$2:$AE$2501,0)),""))</f>
        <v/>
      </c>
      <c r="AU1742" s="2" t="str">
        <f t="shared" si="108"/>
        <v/>
      </c>
      <c r="AV1742" s="2" t="str">
        <f t="shared" si="109"/>
        <v/>
      </c>
      <c r="AW1742" s="2" t="str">
        <f t="shared" si="110"/>
        <v/>
      </c>
      <c r="AX1742" s="2" t="str">
        <f t="shared" si="111"/>
        <v/>
      </c>
      <c r="AY1742" s="2" t="str">
        <f>IF($AV1742="","",IF(AND($Z1742=0,COUNTIF('AR SALES'!$L$2:$L$2501,$L1742)=0),"YES",""))</f>
        <v/>
      </c>
      <c r="AZ1742" s="2" t="str">
        <f>IF($AV1742="","",IF(COUNTIF(LISTS!$C$2:$C$250,$AU1742)=0,"NEW",""))</f>
        <v/>
      </c>
      <c r="BA1742" s="2" t="str">
        <f>IF(""&amp;$F1742&lt;&gt;"4","",IF($AY1742="YES","",IF(ROUND(SUMIFS($AE$2:$AE$4001,$L$2:$L$4001,$L1742,$F$2:$F$4001,"4")-SUMIFS('AR SALES'!$Y$2:$Y$2501,'AR SALES'!$L$2:$L$2501,$L1742,'AR SALES'!$AD$2:$AD$2501,"OFF"),2)=0,"","STALE")))</f>
        <v/>
      </c>
      <c r="BB1742" s="2" t="str">
        <f>IF(OR(""&amp;$F1742="2",""&amp;$F1742="4",""&amp;$F1742="G",""&amp;$F1742="H"),IF($AY1742="YES","",IF($AB1742&lt;&gt;0,"",IF(COUNTIFS('AR SALES'!$L$2:$L$2501,$L1742,'AR SALES'!$AD$2:$AD$2501,IF(""&amp;$F1742="4","OFF","ON"),'AR SALES'!$AF$2:$AF$2501,"Y")&gt;0,"","NO EXEMPTION"))),"")</f>
        <v/>
      </c>
    </row>
    <row r="1743" spans="46:54" x14ac:dyDescent="0.25">
      <c r="AT1743" s="2" t="str">
        <f>IF($L1743="","",IFERROR(INDEX('AR SALES'!$H$2:$H$2501,MATCH(""&amp;$L1743,'AR SALES'!$AE$2:$AE$2501,0)),""))</f>
        <v/>
      </c>
      <c r="AU1743" s="2" t="str">
        <f t="shared" si="108"/>
        <v/>
      </c>
      <c r="AV1743" s="2" t="str">
        <f t="shared" si="109"/>
        <v/>
      </c>
      <c r="AW1743" s="2" t="str">
        <f t="shared" si="110"/>
        <v/>
      </c>
      <c r="AX1743" s="2" t="str">
        <f t="shared" si="111"/>
        <v/>
      </c>
      <c r="AY1743" s="2" t="str">
        <f>IF($AV1743="","",IF(AND($Z1743=0,COUNTIF('AR SALES'!$L$2:$L$2501,$L1743)=0),"YES",""))</f>
        <v/>
      </c>
      <c r="AZ1743" s="2" t="str">
        <f>IF($AV1743="","",IF(COUNTIF(LISTS!$C$2:$C$250,$AU1743)=0,"NEW",""))</f>
        <v/>
      </c>
      <c r="BA1743" s="2" t="str">
        <f>IF(""&amp;$F1743&lt;&gt;"4","",IF($AY1743="YES","",IF(ROUND(SUMIFS($AE$2:$AE$4001,$L$2:$L$4001,$L1743,$F$2:$F$4001,"4")-SUMIFS('AR SALES'!$Y$2:$Y$2501,'AR SALES'!$L$2:$L$2501,$L1743,'AR SALES'!$AD$2:$AD$2501,"OFF"),2)=0,"","STALE")))</f>
        <v/>
      </c>
      <c r="BB1743" s="2" t="str">
        <f>IF(OR(""&amp;$F1743="2",""&amp;$F1743="4",""&amp;$F1743="G",""&amp;$F1743="H"),IF($AY1743="YES","",IF($AB1743&lt;&gt;0,"",IF(COUNTIFS('AR SALES'!$L$2:$L$2501,$L1743,'AR SALES'!$AD$2:$AD$2501,IF(""&amp;$F1743="4","OFF","ON"),'AR SALES'!$AF$2:$AF$2501,"Y")&gt;0,"","NO EXEMPTION"))),"")</f>
        <v/>
      </c>
    </row>
    <row r="1744" spans="46:54" x14ac:dyDescent="0.25">
      <c r="AT1744" s="2" t="str">
        <f>IF($L1744="","",IFERROR(INDEX('AR SALES'!$H$2:$H$2501,MATCH(""&amp;$L1744,'AR SALES'!$AE$2:$AE$2501,0)),""))</f>
        <v/>
      </c>
      <c r="AU1744" s="2" t="str">
        <f t="shared" si="108"/>
        <v/>
      </c>
      <c r="AV1744" s="2" t="str">
        <f t="shared" si="109"/>
        <v/>
      </c>
      <c r="AW1744" s="2" t="str">
        <f t="shared" si="110"/>
        <v/>
      </c>
      <c r="AX1744" s="2" t="str">
        <f t="shared" si="111"/>
        <v/>
      </c>
      <c r="AY1744" s="2" t="str">
        <f>IF($AV1744="","",IF(AND($Z1744=0,COUNTIF('AR SALES'!$L$2:$L$2501,$L1744)=0),"YES",""))</f>
        <v/>
      </c>
      <c r="AZ1744" s="2" t="str">
        <f>IF($AV1744="","",IF(COUNTIF(LISTS!$C$2:$C$250,$AU1744)=0,"NEW",""))</f>
        <v/>
      </c>
      <c r="BA1744" s="2" t="str">
        <f>IF(""&amp;$F1744&lt;&gt;"4","",IF($AY1744="YES","",IF(ROUND(SUMIFS($AE$2:$AE$4001,$L$2:$L$4001,$L1744,$F$2:$F$4001,"4")-SUMIFS('AR SALES'!$Y$2:$Y$2501,'AR SALES'!$L$2:$L$2501,$L1744,'AR SALES'!$AD$2:$AD$2501,"OFF"),2)=0,"","STALE")))</f>
        <v/>
      </c>
      <c r="BB1744" s="2" t="str">
        <f>IF(OR(""&amp;$F1744="2",""&amp;$F1744="4",""&amp;$F1744="G",""&amp;$F1744="H"),IF($AY1744="YES","",IF($AB1744&lt;&gt;0,"",IF(COUNTIFS('AR SALES'!$L$2:$L$2501,$L1744,'AR SALES'!$AD$2:$AD$2501,IF(""&amp;$F1744="4","OFF","ON"),'AR SALES'!$AF$2:$AF$2501,"Y")&gt;0,"","NO EXEMPTION"))),"")</f>
        <v/>
      </c>
    </row>
    <row r="1745" spans="46:54" x14ac:dyDescent="0.25">
      <c r="AT1745" s="2" t="str">
        <f>IF($L1745="","",IFERROR(INDEX('AR SALES'!$H$2:$H$2501,MATCH(""&amp;$L1745,'AR SALES'!$AE$2:$AE$2501,0)),""))</f>
        <v/>
      </c>
      <c r="AU1745" s="2" t="str">
        <f t="shared" si="108"/>
        <v/>
      </c>
      <c r="AV1745" s="2" t="str">
        <f t="shared" si="109"/>
        <v/>
      </c>
      <c r="AW1745" s="2" t="str">
        <f t="shared" si="110"/>
        <v/>
      </c>
      <c r="AX1745" s="2" t="str">
        <f t="shared" si="111"/>
        <v/>
      </c>
      <c r="AY1745" s="2" t="str">
        <f>IF($AV1745="","",IF(AND($Z1745=0,COUNTIF('AR SALES'!$L$2:$L$2501,$L1745)=0),"YES",""))</f>
        <v/>
      </c>
      <c r="AZ1745" s="2" t="str">
        <f>IF($AV1745="","",IF(COUNTIF(LISTS!$C$2:$C$250,$AU1745)=0,"NEW",""))</f>
        <v/>
      </c>
      <c r="BA1745" s="2" t="str">
        <f>IF(""&amp;$F1745&lt;&gt;"4","",IF($AY1745="YES","",IF(ROUND(SUMIFS($AE$2:$AE$4001,$L$2:$L$4001,$L1745,$F$2:$F$4001,"4")-SUMIFS('AR SALES'!$Y$2:$Y$2501,'AR SALES'!$L$2:$L$2501,$L1745,'AR SALES'!$AD$2:$AD$2501,"OFF"),2)=0,"","STALE")))</f>
        <v/>
      </c>
      <c r="BB1745" s="2" t="str">
        <f>IF(OR(""&amp;$F1745="2",""&amp;$F1745="4",""&amp;$F1745="G",""&amp;$F1745="H"),IF($AY1745="YES","",IF($AB1745&lt;&gt;0,"",IF(COUNTIFS('AR SALES'!$L$2:$L$2501,$L1745,'AR SALES'!$AD$2:$AD$2501,IF(""&amp;$F1745="4","OFF","ON"),'AR SALES'!$AF$2:$AF$2501,"Y")&gt;0,"","NO EXEMPTION"))),"")</f>
        <v/>
      </c>
    </row>
    <row r="1746" spans="46:54" x14ac:dyDescent="0.25">
      <c r="AT1746" s="2" t="str">
        <f>IF($L1746="","",IFERROR(INDEX('AR SALES'!$H$2:$H$2501,MATCH(""&amp;$L1746,'AR SALES'!$AE$2:$AE$2501,0)),""))</f>
        <v/>
      </c>
      <c r="AU1746" s="2" t="str">
        <f t="shared" si="108"/>
        <v/>
      </c>
      <c r="AV1746" s="2" t="str">
        <f t="shared" si="109"/>
        <v/>
      </c>
      <c r="AW1746" s="2" t="str">
        <f t="shared" si="110"/>
        <v/>
      </c>
      <c r="AX1746" s="2" t="str">
        <f t="shared" si="111"/>
        <v/>
      </c>
      <c r="AY1746" s="2" t="str">
        <f>IF($AV1746="","",IF(AND($Z1746=0,COUNTIF('AR SALES'!$L$2:$L$2501,$L1746)=0),"YES",""))</f>
        <v/>
      </c>
      <c r="AZ1746" s="2" t="str">
        <f>IF($AV1746="","",IF(COUNTIF(LISTS!$C$2:$C$250,$AU1746)=0,"NEW",""))</f>
        <v/>
      </c>
      <c r="BA1746" s="2" t="str">
        <f>IF(""&amp;$F1746&lt;&gt;"4","",IF($AY1746="YES","",IF(ROUND(SUMIFS($AE$2:$AE$4001,$L$2:$L$4001,$L1746,$F$2:$F$4001,"4")-SUMIFS('AR SALES'!$Y$2:$Y$2501,'AR SALES'!$L$2:$L$2501,$L1746,'AR SALES'!$AD$2:$AD$2501,"OFF"),2)=0,"","STALE")))</f>
        <v/>
      </c>
      <c r="BB1746" s="2" t="str">
        <f>IF(OR(""&amp;$F1746="2",""&amp;$F1746="4",""&amp;$F1746="G",""&amp;$F1746="H"),IF($AY1746="YES","",IF($AB1746&lt;&gt;0,"",IF(COUNTIFS('AR SALES'!$L$2:$L$2501,$L1746,'AR SALES'!$AD$2:$AD$2501,IF(""&amp;$F1746="4","OFF","ON"),'AR SALES'!$AF$2:$AF$2501,"Y")&gt;0,"","NO EXEMPTION"))),"")</f>
        <v/>
      </c>
    </row>
    <row r="1747" spans="46:54" x14ac:dyDescent="0.25">
      <c r="AT1747" s="2" t="str">
        <f>IF($L1747="","",IFERROR(INDEX('AR SALES'!$H$2:$H$2501,MATCH(""&amp;$L1747,'AR SALES'!$AE$2:$AE$2501,0)),""))</f>
        <v/>
      </c>
      <c r="AU1747" s="2" t="str">
        <f t="shared" si="108"/>
        <v/>
      </c>
      <c r="AV1747" s="2" t="str">
        <f t="shared" si="109"/>
        <v/>
      </c>
      <c r="AW1747" s="2" t="str">
        <f t="shared" si="110"/>
        <v/>
      </c>
      <c r="AX1747" s="2" t="str">
        <f t="shared" si="111"/>
        <v/>
      </c>
      <c r="AY1747" s="2" t="str">
        <f>IF($AV1747="","",IF(AND($Z1747=0,COUNTIF('AR SALES'!$L$2:$L$2501,$L1747)=0),"YES",""))</f>
        <v/>
      </c>
      <c r="AZ1747" s="2" t="str">
        <f>IF($AV1747="","",IF(COUNTIF(LISTS!$C$2:$C$250,$AU1747)=0,"NEW",""))</f>
        <v/>
      </c>
      <c r="BA1747" s="2" t="str">
        <f>IF(""&amp;$F1747&lt;&gt;"4","",IF($AY1747="YES","",IF(ROUND(SUMIFS($AE$2:$AE$4001,$L$2:$L$4001,$L1747,$F$2:$F$4001,"4")-SUMIFS('AR SALES'!$Y$2:$Y$2501,'AR SALES'!$L$2:$L$2501,$L1747,'AR SALES'!$AD$2:$AD$2501,"OFF"),2)=0,"","STALE")))</f>
        <v/>
      </c>
      <c r="BB1747" s="2" t="str">
        <f>IF(OR(""&amp;$F1747="2",""&amp;$F1747="4",""&amp;$F1747="G",""&amp;$F1747="H"),IF($AY1747="YES","",IF($AB1747&lt;&gt;0,"",IF(COUNTIFS('AR SALES'!$L$2:$L$2501,$L1747,'AR SALES'!$AD$2:$AD$2501,IF(""&amp;$F1747="4","OFF","ON"),'AR SALES'!$AF$2:$AF$2501,"Y")&gt;0,"","NO EXEMPTION"))),"")</f>
        <v/>
      </c>
    </row>
    <row r="1748" spans="46:54" x14ac:dyDescent="0.25">
      <c r="AT1748" s="2" t="str">
        <f>IF($L1748="","",IFERROR(INDEX('AR SALES'!$H$2:$H$2501,MATCH(""&amp;$L1748,'AR SALES'!$AE$2:$AE$2501,0)),""))</f>
        <v/>
      </c>
      <c r="AU1748" s="2" t="str">
        <f t="shared" si="108"/>
        <v/>
      </c>
      <c r="AV1748" s="2" t="str">
        <f t="shared" si="109"/>
        <v/>
      </c>
      <c r="AW1748" s="2" t="str">
        <f t="shared" si="110"/>
        <v/>
      </c>
      <c r="AX1748" s="2" t="str">
        <f t="shared" si="111"/>
        <v/>
      </c>
      <c r="AY1748" s="2" t="str">
        <f>IF($AV1748="","",IF(AND($Z1748=0,COUNTIF('AR SALES'!$L$2:$L$2501,$L1748)=0),"YES",""))</f>
        <v/>
      </c>
      <c r="AZ1748" s="2" t="str">
        <f>IF($AV1748="","",IF(COUNTIF(LISTS!$C$2:$C$250,$AU1748)=0,"NEW",""))</f>
        <v/>
      </c>
      <c r="BA1748" s="2" t="str">
        <f>IF(""&amp;$F1748&lt;&gt;"4","",IF($AY1748="YES","",IF(ROUND(SUMIFS($AE$2:$AE$4001,$L$2:$L$4001,$L1748,$F$2:$F$4001,"4")-SUMIFS('AR SALES'!$Y$2:$Y$2501,'AR SALES'!$L$2:$L$2501,$L1748,'AR SALES'!$AD$2:$AD$2501,"OFF"),2)=0,"","STALE")))</f>
        <v/>
      </c>
      <c r="BB1748" s="2" t="str">
        <f>IF(OR(""&amp;$F1748="2",""&amp;$F1748="4",""&amp;$F1748="G",""&amp;$F1748="H"),IF($AY1748="YES","",IF($AB1748&lt;&gt;0,"",IF(COUNTIFS('AR SALES'!$L$2:$L$2501,$L1748,'AR SALES'!$AD$2:$AD$2501,IF(""&amp;$F1748="4","OFF","ON"),'AR SALES'!$AF$2:$AF$2501,"Y")&gt;0,"","NO EXEMPTION"))),"")</f>
        <v/>
      </c>
    </row>
    <row r="1749" spans="46:54" x14ac:dyDescent="0.25">
      <c r="AT1749" s="2" t="str">
        <f>IF($L1749="","",IFERROR(INDEX('AR SALES'!$H$2:$H$2501,MATCH(""&amp;$L1749,'AR SALES'!$AE$2:$AE$2501,0)),""))</f>
        <v/>
      </c>
      <c r="AU1749" s="2" t="str">
        <f t="shared" si="108"/>
        <v/>
      </c>
      <c r="AV1749" s="2" t="str">
        <f t="shared" si="109"/>
        <v/>
      </c>
      <c r="AW1749" s="2" t="str">
        <f t="shared" si="110"/>
        <v/>
      </c>
      <c r="AX1749" s="2" t="str">
        <f t="shared" si="111"/>
        <v/>
      </c>
      <c r="AY1749" s="2" t="str">
        <f>IF($AV1749="","",IF(AND($Z1749=0,COUNTIF('AR SALES'!$L$2:$L$2501,$L1749)=0),"YES",""))</f>
        <v/>
      </c>
      <c r="AZ1749" s="2" t="str">
        <f>IF($AV1749="","",IF(COUNTIF(LISTS!$C$2:$C$250,$AU1749)=0,"NEW",""))</f>
        <v/>
      </c>
      <c r="BA1749" s="2" t="str">
        <f>IF(""&amp;$F1749&lt;&gt;"4","",IF($AY1749="YES","",IF(ROUND(SUMIFS($AE$2:$AE$4001,$L$2:$L$4001,$L1749,$F$2:$F$4001,"4")-SUMIFS('AR SALES'!$Y$2:$Y$2501,'AR SALES'!$L$2:$L$2501,$L1749,'AR SALES'!$AD$2:$AD$2501,"OFF"),2)=0,"","STALE")))</f>
        <v/>
      </c>
      <c r="BB1749" s="2" t="str">
        <f>IF(OR(""&amp;$F1749="2",""&amp;$F1749="4",""&amp;$F1749="G",""&amp;$F1749="H"),IF($AY1749="YES","",IF($AB1749&lt;&gt;0,"",IF(COUNTIFS('AR SALES'!$L$2:$L$2501,$L1749,'AR SALES'!$AD$2:$AD$2501,IF(""&amp;$F1749="4","OFF","ON"),'AR SALES'!$AF$2:$AF$2501,"Y")&gt;0,"","NO EXEMPTION"))),"")</f>
        <v/>
      </c>
    </row>
    <row r="1750" spans="46:54" x14ac:dyDescent="0.25">
      <c r="AT1750" s="2" t="str">
        <f>IF($L1750="","",IFERROR(INDEX('AR SALES'!$H$2:$H$2501,MATCH(""&amp;$L1750,'AR SALES'!$AE$2:$AE$2501,0)),""))</f>
        <v/>
      </c>
      <c r="AU1750" s="2" t="str">
        <f t="shared" si="108"/>
        <v/>
      </c>
      <c r="AV1750" s="2" t="str">
        <f t="shared" si="109"/>
        <v/>
      </c>
      <c r="AW1750" s="2" t="str">
        <f t="shared" si="110"/>
        <v/>
      </c>
      <c r="AX1750" s="2" t="str">
        <f t="shared" si="111"/>
        <v/>
      </c>
      <c r="AY1750" s="2" t="str">
        <f>IF($AV1750="","",IF(AND($Z1750=0,COUNTIF('AR SALES'!$L$2:$L$2501,$L1750)=0),"YES",""))</f>
        <v/>
      </c>
      <c r="AZ1750" s="2" t="str">
        <f>IF($AV1750="","",IF(COUNTIF(LISTS!$C$2:$C$250,$AU1750)=0,"NEW",""))</f>
        <v/>
      </c>
      <c r="BA1750" s="2" t="str">
        <f>IF(""&amp;$F1750&lt;&gt;"4","",IF($AY1750="YES","",IF(ROUND(SUMIFS($AE$2:$AE$4001,$L$2:$L$4001,$L1750,$F$2:$F$4001,"4")-SUMIFS('AR SALES'!$Y$2:$Y$2501,'AR SALES'!$L$2:$L$2501,$L1750,'AR SALES'!$AD$2:$AD$2501,"OFF"),2)=0,"","STALE")))</f>
        <v/>
      </c>
      <c r="BB1750" s="2" t="str">
        <f>IF(OR(""&amp;$F1750="2",""&amp;$F1750="4",""&amp;$F1750="G",""&amp;$F1750="H"),IF($AY1750="YES","",IF($AB1750&lt;&gt;0,"",IF(COUNTIFS('AR SALES'!$L$2:$L$2501,$L1750,'AR SALES'!$AD$2:$AD$2501,IF(""&amp;$F1750="4","OFF","ON"),'AR SALES'!$AF$2:$AF$2501,"Y")&gt;0,"","NO EXEMPTION"))),"")</f>
        <v/>
      </c>
    </row>
    <row r="1751" spans="46:54" x14ac:dyDescent="0.25">
      <c r="AT1751" s="2" t="str">
        <f>IF($L1751="","",IFERROR(INDEX('AR SALES'!$H$2:$H$2501,MATCH(""&amp;$L1751,'AR SALES'!$AE$2:$AE$2501,0)),""))</f>
        <v/>
      </c>
      <c r="AU1751" s="2" t="str">
        <f t="shared" si="108"/>
        <v/>
      </c>
      <c r="AV1751" s="2" t="str">
        <f t="shared" si="109"/>
        <v/>
      </c>
      <c r="AW1751" s="2" t="str">
        <f t="shared" si="110"/>
        <v/>
      </c>
      <c r="AX1751" s="2" t="str">
        <f t="shared" si="111"/>
        <v/>
      </c>
      <c r="AY1751" s="2" t="str">
        <f>IF($AV1751="","",IF(AND($Z1751=0,COUNTIF('AR SALES'!$L$2:$L$2501,$L1751)=0),"YES",""))</f>
        <v/>
      </c>
      <c r="AZ1751" s="2" t="str">
        <f>IF($AV1751="","",IF(COUNTIF(LISTS!$C$2:$C$250,$AU1751)=0,"NEW",""))</f>
        <v/>
      </c>
      <c r="BA1751" s="2" t="str">
        <f>IF(""&amp;$F1751&lt;&gt;"4","",IF($AY1751="YES","",IF(ROUND(SUMIFS($AE$2:$AE$4001,$L$2:$L$4001,$L1751,$F$2:$F$4001,"4")-SUMIFS('AR SALES'!$Y$2:$Y$2501,'AR SALES'!$L$2:$L$2501,$L1751,'AR SALES'!$AD$2:$AD$2501,"OFF"),2)=0,"","STALE")))</f>
        <v/>
      </c>
      <c r="BB1751" s="2" t="str">
        <f>IF(OR(""&amp;$F1751="2",""&amp;$F1751="4",""&amp;$F1751="G",""&amp;$F1751="H"),IF($AY1751="YES","",IF($AB1751&lt;&gt;0,"",IF(COUNTIFS('AR SALES'!$L$2:$L$2501,$L1751,'AR SALES'!$AD$2:$AD$2501,IF(""&amp;$F1751="4","OFF","ON"),'AR SALES'!$AF$2:$AF$2501,"Y")&gt;0,"","NO EXEMPTION"))),"")</f>
        <v/>
      </c>
    </row>
    <row r="1752" spans="46:54" x14ac:dyDescent="0.25">
      <c r="AT1752" s="2" t="str">
        <f>IF($L1752="","",IFERROR(INDEX('AR SALES'!$H$2:$H$2501,MATCH(""&amp;$L1752,'AR SALES'!$AE$2:$AE$2501,0)),""))</f>
        <v/>
      </c>
      <c r="AU1752" s="2" t="str">
        <f t="shared" si="108"/>
        <v/>
      </c>
      <c r="AV1752" s="2" t="str">
        <f t="shared" si="109"/>
        <v/>
      </c>
      <c r="AW1752" s="2" t="str">
        <f t="shared" si="110"/>
        <v/>
      </c>
      <c r="AX1752" s="2" t="str">
        <f t="shared" si="111"/>
        <v/>
      </c>
      <c r="AY1752" s="2" t="str">
        <f>IF($AV1752="","",IF(AND($Z1752=0,COUNTIF('AR SALES'!$L$2:$L$2501,$L1752)=0),"YES",""))</f>
        <v/>
      </c>
      <c r="AZ1752" s="2" t="str">
        <f>IF($AV1752="","",IF(COUNTIF(LISTS!$C$2:$C$250,$AU1752)=0,"NEW",""))</f>
        <v/>
      </c>
      <c r="BA1752" s="2" t="str">
        <f>IF(""&amp;$F1752&lt;&gt;"4","",IF($AY1752="YES","",IF(ROUND(SUMIFS($AE$2:$AE$4001,$L$2:$L$4001,$L1752,$F$2:$F$4001,"4")-SUMIFS('AR SALES'!$Y$2:$Y$2501,'AR SALES'!$L$2:$L$2501,$L1752,'AR SALES'!$AD$2:$AD$2501,"OFF"),2)=0,"","STALE")))</f>
        <v/>
      </c>
      <c r="BB1752" s="2" t="str">
        <f>IF(OR(""&amp;$F1752="2",""&amp;$F1752="4",""&amp;$F1752="G",""&amp;$F1752="H"),IF($AY1752="YES","",IF($AB1752&lt;&gt;0,"",IF(COUNTIFS('AR SALES'!$L$2:$L$2501,$L1752,'AR SALES'!$AD$2:$AD$2501,IF(""&amp;$F1752="4","OFF","ON"),'AR SALES'!$AF$2:$AF$2501,"Y")&gt;0,"","NO EXEMPTION"))),"")</f>
        <v/>
      </c>
    </row>
    <row r="1753" spans="46:54" x14ac:dyDescent="0.25">
      <c r="AT1753" s="2" t="str">
        <f>IF($L1753="","",IFERROR(INDEX('AR SALES'!$H$2:$H$2501,MATCH(""&amp;$L1753,'AR SALES'!$AE$2:$AE$2501,0)),""))</f>
        <v/>
      </c>
      <c r="AU1753" s="2" t="str">
        <f t="shared" si="108"/>
        <v/>
      </c>
      <c r="AV1753" s="2" t="str">
        <f t="shared" si="109"/>
        <v/>
      </c>
      <c r="AW1753" s="2" t="str">
        <f t="shared" si="110"/>
        <v/>
      </c>
      <c r="AX1753" s="2" t="str">
        <f t="shared" si="111"/>
        <v/>
      </c>
      <c r="AY1753" s="2" t="str">
        <f>IF($AV1753="","",IF(AND($Z1753=0,COUNTIF('AR SALES'!$L$2:$L$2501,$L1753)=0),"YES",""))</f>
        <v/>
      </c>
      <c r="AZ1753" s="2" t="str">
        <f>IF($AV1753="","",IF(COUNTIF(LISTS!$C$2:$C$250,$AU1753)=0,"NEW",""))</f>
        <v/>
      </c>
      <c r="BA1753" s="2" t="str">
        <f>IF(""&amp;$F1753&lt;&gt;"4","",IF($AY1753="YES","",IF(ROUND(SUMIFS($AE$2:$AE$4001,$L$2:$L$4001,$L1753,$F$2:$F$4001,"4")-SUMIFS('AR SALES'!$Y$2:$Y$2501,'AR SALES'!$L$2:$L$2501,$L1753,'AR SALES'!$AD$2:$AD$2501,"OFF"),2)=0,"","STALE")))</f>
        <v/>
      </c>
      <c r="BB1753" s="2" t="str">
        <f>IF(OR(""&amp;$F1753="2",""&amp;$F1753="4",""&amp;$F1753="G",""&amp;$F1753="H"),IF($AY1753="YES","",IF($AB1753&lt;&gt;0,"",IF(COUNTIFS('AR SALES'!$L$2:$L$2501,$L1753,'AR SALES'!$AD$2:$AD$2501,IF(""&amp;$F1753="4","OFF","ON"),'AR SALES'!$AF$2:$AF$2501,"Y")&gt;0,"","NO EXEMPTION"))),"")</f>
        <v/>
      </c>
    </row>
    <row r="1754" spans="46:54" x14ac:dyDescent="0.25">
      <c r="AT1754" s="2" t="str">
        <f>IF($L1754="","",IFERROR(INDEX('AR SALES'!$H$2:$H$2501,MATCH(""&amp;$L1754,'AR SALES'!$AE$2:$AE$2501,0)),""))</f>
        <v/>
      </c>
      <c r="AU1754" s="2" t="str">
        <f t="shared" si="108"/>
        <v/>
      </c>
      <c r="AV1754" s="2" t="str">
        <f t="shared" si="109"/>
        <v/>
      </c>
      <c r="AW1754" s="2" t="str">
        <f t="shared" si="110"/>
        <v/>
      </c>
      <c r="AX1754" s="2" t="str">
        <f t="shared" si="111"/>
        <v/>
      </c>
      <c r="AY1754" s="2" t="str">
        <f>IF($AV1754="","",IF(AND($Z1754=0,COUNTIF('AR SALES'!$L$2:$L$2501,$L1754)=0),"YES",""))</f>
        <v/>
      </c>
      <c r="AZ1754" s="2" t="str">
        <f>IF($AV1754="","",IF(COUNTIF(LISTS!$C$2:$C$250,$AU1754)=0,"NEW",""))</f>
        <v/>
      </c>
      <c r="BA1754" s="2" t="str">
        <f>IF(""&amp;$F1754&lt;&gt;"4","",IF($AY1754="YES","",IF(ROUND(SUMIFS($AE$2:$AE$4001,$L$2:$L$4001,$L1754,$F$2:$F$4001,"4")-SUMIFS('AR SALES'!$Y$2:$Y$2501,'AR SALES'!$L$2:$L$2501,$L1754,'AR SALES'!$AD$2:$AD$2501,"OFF"),2)=0,"","STALE")))</f>
        <v/>
      </c>
      <c r="BB1754" s="2" t="str">
        <f>IF(OR(""&amp;$F1754="2",""&amp;$F1754="4",""&amp;$F1754="G",""&amp;$F1754="H"),IF($AY1754="YES","",IF($AB1754&lt;&gt;0,"",IF(COUNTIFS('AR SALES'!$L$2:$L$2501,$L1754,'AR SALES'!$AD$2:$AD$2501,IF(""&amp;$F1754="4","OFF","ON"),'AR SALES'!$AF$2:$AF$2501,"Y")&gt;0,"","NO EXEMPTION"))),"")</f>
        <v/>
      </c>
    </row>
    <row r="1755" spans="46:54" x14ac:dyDescent="0.25">
      <c r="AT1755" s="2" t="str">
        <f>IF($L1755="","",IFERROR(INDEX('AR SALES'!$H$2:$H$2501,MATCH(""&amp;$L1755,'AR SALES'!$AE$2:$AE$2501,0)),""))</f>
        <v/>
      </c>
      <c r="AU1755" s="2" t="str">
        <f t="shared" si="108"/>
        <v/>
      </c>
      <c r="AV1755" s="2" t="str">
        <f t="shared" si="109"/>
        <v/>
      </c>
      <c r="AW1755" s="2" t="str">
        <f t="shared" si="110"/>
        <v/>
      </c>
      <c r="AX1755" s="2" t="str">
        <f t="shared" si="111"/>
        <v/>
      </c>
      <c r="AY1755" s="2" t="str">
        <f>IF($AV1755="","",IF(AND($Z1755=0,COUNTIF('AR SALES'!$L$2:$L$2501,$L1755)=0),"YES",""))</f>
        <v/>
      </c>
      <c r="AZ1755" s="2" t="str">
        <f>IF($AV1755="","",IF(COUNTIF(LISTS!$C$2:$C$250,$AU1755)=0,"NEW",""))</f>
        <v/>
      </c>
      <c r="BA1755" s="2" t="str">
        <f>IF(""&amp;$F1755&lt;&gt;"4","",IF($AY1755="YES","",IF(ROUND(SUMIFS($AE$2:$AE$4001,$L$2:$L$4001,$L1755,$F$2:$F$4001,"4")-SUMIFS('AR SALES'!$Y$2:$Y$2501,'AR SALES'!$L$2:$L$2501,$L1755,'AR SALES'!$AD$2:$AD$2501,"OFF"),2)=0,"","STALE")))</f>
        <v/>
      </c>
      <c r="BB1755" s="2" t="str">
        <f>IF(OR(""&amp;$F1755="2",""&amp;$F1755="4",""&amp;$F1755="G",""&amp;$F1755="H"),IF($AY1755="YES","",IF($AB1755&lt;&gt;0,"",IF(COUNTIFS('AR SALES'!$L$2:$L$2501,$L1755,'AR SALES'!$AD$2:$AD$2501,IF(""&amp;$F1755="4","OFF","ON"),'AR SALES'!$AF$2:$AF$2501,"Y")&gt;0,"","NO EXEMPTION"))),"")</f>
        <v/>
      </c>
    </row>
    <row r="1756" spans="46:54" x14ac:dyDescent="0.25">
      <c r="AT1756" s="2" t="str">
        <f>IF($L1756="","",IFERROR(INDEX('AR SALES'!$H$2:$H$2501,MATCH(""&amp;$L1756,'AR SALES'!$AE$2:$AE$2501,0)),""))</f>
        <v/>
      </c>
      <c r="AU1756" s="2" t="str">
        <f t="shared" si="108"/>
        <v/>
      </c>
      <c r="AV1756" s="2" t="str">
        <f t="shared" si="109"/>
        <v/>
      </c>
      <c r="AW1756" s="2" t="str">
        <f t="shared" si="110"/>
        <v/>
      </c>
      <c r="AX1756" s="2" t="str">
        <f t="shared" si="111"/>
        <v/>
      </c>
      <c r="AY1756" s="2" t="str">
        <f>IF($AV1756="","",IF(AND($Z1756=0,COUNTIF('AR SALES'!$L$2:$L$2501,$L1756)=0),"YES",""))</f>
        <v/>
      </c>
      <c r="AZ1756" s="2" t="str">
        <f>IF($AV1756="","",IF(COUNTIF(LISTS!$C$2:$C$250,$AU1756)=0,"NEW",""))</f>
        <v/>
      </c>
      <c r="BA1756" s="2" t="str">
        <f>IF(""&amp;$F1756&lt;&gt;"4","",IF($AY1756="YES","",IF(ROUND(SUMIFS($AE$2:$AE$4001,$L$2:$L$4001,$L1756,$F$2:$F$4001,"4")-SUMIFS('AR SALES'!$Y$2:$Y$2501,'AR SALES'!$L$2:$L$2501,$L1756,'AR SALES'!$AD$2:$AD$2501,"OFF"),2)=0,"","STALE")))</f>
        <v/>
      </c>
      <c r="BB1756" s="2" t="str">
        <f>IF(OR(""&amp;$F1756="2",""&amp;$F1756="4",""&amp;$F1756="G",""&amp;$F1756="H"),IF($AY1756="YES","",IF($AB1756&lt;&gt;0,"",IF(COUNTIFS('AR SALES'!$L$2:$L$2501,$L1756,'AR SALES'!$AD$2:$AD$2501,IF(""&amp;$F1756="4","OFF","ON"),'AR SALES'!$AF$2:$AF$2501,"Y")&gt;0,"","NO EXEMPTION"))),"")</f>
        <v/>
      </c>
    </row>
    <row r="1757" spans="46:54" x14ac:dyDescent="0.25">
      <c r="AT1757" s="2" t="str">
        <f>IF($L1757="","",IFERROR(INDEX('AR SALES'!$H$2:$H$2501,MATCH(""&amp;$L1757,'AR SALES'!$AE$2:$AE$2501,0)),""))</f>
        <v/>
      </c>
      <c r="AU1757" s="2" t="str">
        <f t="shared" si="108"/>
        <v/>
      </c>
      <c r="AV1757" s="2" t="str">
        <f t="shared" si="109"/>
        <v/>
      </c>
      <c r="AW1757" s="2" t="str">
        <f t="shared" si="110"/>
        <v/>
      </c>
      <c r="AX1757" s="2" t="str">
        <f t="shared" si="111"/>
        <v/>
      </c>
      <c r="AY1757" s="2" t="str">
        <f>IF($AV1757="","",IF(AND($Z1757=0,COUNTIF('AR SALES'!$L$2:$L$2501,$L1757)=0),"YES",""))</f>
        <v/>
      </c>
      <c r="AZ1757" s="2" t="str">
        <f>IF($AV1757="","",IF(COUNTIF(LISTS!$C$2:$C$250,$AU1757)=0,"NEW",""))</f>
        <v/>
      </c>
      <c r="BA1757" s="2" t="str">
        <f>IF(""&amp;$F1757&lt;&gt;"4","",IF($AY1757="YES","",IF(ROUND(SUMIFS($AE$2:$AE$4001,$L$2:$L$4001,$L1757,$F$2:$F$4001,"4")-SUMIFS('AR SALES'!$Y$2:$Y$2501,'AR SALES'!$L$2:$L$2501,$L1757,'AR SALES'!$AD$2:$AD$2501,"OFF"),2)=0,"","STALE")))</f>
        <v/>
      </c>
      <c r="BB1757" s="2" t="str">
        <f>IF(OR(""&amp;$F1757="2",""&amp;$F1757="4",""&amp;$F1757="G",""&amp;$F1757="H"),IF($AY1757="YES","",IF($AB1757&lt;&gt;0,"",IF(COUNTIFS('AR SALES'!$L$2:$L$2501,$L1757,'AR SALES'!$AD$2:$AD$2501,IF(""&amp;$F1757="4","OFF","ON"),'AR SALES'!$AF$2:$AF$2501,"Y")&gt;0,"","NO EXEMPTION"))),"")</f>
        <v/>
      </c>
    </row>
    <row r="1758" spans="46:54" x14ac:dyDescent="0.25">
      <c r="AT1758" s="2" t="str">
        <f>IF($L1758="","",IFERROR(INDEX('AR SALES'!$H$2:$H$2501,MATCH(""&amp;$L1758,'AR SALES'!$AE$2:$AE$2501,0)),""))</f>
        <v/>
      </c>
      <c r="AU1758" s="2" t="str">
        <f t="shared" si="108"/>
        <v/>
      </c>
      <c r="AV1758" s="2" t="str">
        <f t="shared" si="109"/>
        <v/>
      </c>
      <c r="AW1758" s="2" t="str">
        <f t="shared" si="110"/>
        <v/>
      </c>
      <c r="AX1758" s="2" t="str">
        <f t="shared" si="111"/>
        <v/>
      </c>
      <c r="AY1758" s="2" t="str">
        <f>IF($AV1758="","",IF(AND($Z1758=0,COUNTIF('AR SALES'!$L$2:$L$2501,$L1758)=0),"YES",""))</f>
        <v/>
      </c>
      <c r="AZ1758" s="2" t="str">
        <f>IF($AV1758="","",IF(COUNTIF(LISTS!$C$2:$C$250,$AU1758)=0,"NEW",""))</f>
        <v/>
      </c>
      <c r="BA1758" s="2" t="str">
        <f>IF(""&amp;$F1758&lt;&gt;"4","",IF($AY1758="YES","",IF(ROUND(SUMIFS($AE$2:$AE$4001,$L$2:$L$4001,$L1758,$F$2:$F$4001,"4")-SUMIFS('AR SALES'!$Y$2:$Y$2501,'AR SALES'!$L$2:$L$2501,$L1758,'AR SALES'!$AD$2:$AD$2501,"OFF"),2)=0,"","STALE")))</f>
        <v/>
      </c>
      <c r="BB1758" s="2" t="str">
        <f>IF(OR(""&amp;$F1758="2",""&amp;$F1758="4",""&amp;$F1758="G",""&amp;$F1758="H"),IF($AY1758="YES","",IF($AB1758&lt;&gt;0,"",IF(COUNTIFS('AR SALES'!$L$2:$L$2501,$L1758,'AR SALES'!$AD$2:$AD$2501,IF(""&amp;$F1758="4","OFF","ON"),'AR SALES'!$AF$2:$AF$2501,"Y")&gt;0,"","NO EXEMPTION"))),"")</f>
        <v/>
      </c>
    </row>
    <row r="1759" spans="46:54" x14ac:dyDescent="0.25">
      <c r="AT1759" s="2" t="str">
        <f>IF($L1759="","",IFERROR(INDEX('AR SALES'!$H$2:$H$2501,MATCH(""&amp;$L1759,'AR SALES'!$AE$2:$AE$2501,0)),""))</f>
        <v/>
      </c>
      <c r="AU1759" s="2" t="str">
        <f t="shared" si="108"/>
        <v/>
      </c>
      <c r="AV1759" s="2" t="str">
        <f t="shared" si="109"/>
        <v/>
      </c>
      <c r="AW1759" s="2" t="str">
        <f t="shared" si="110"/>
        <v/>
      </c>
      <c r="AX1759" s="2" t="str">
        <f t="shared" si="111"/>
        <v/>
      </c>
      <c r="AY1759" s="2" t="str">
        <f>IF($AV1759="","",IF(AND($Z1759=0,COUNTIF('AR SALES'!$L$2:$L$2501,$L1759)=0),"YES",""))</f>
        <v/>
      </c>
      <c r="AZ1759" s="2" t="str">
        <f>IF($AV1759="","",IF(COUNTIF(LISTS!$C$2:$C$250,$AU1759)=0,"NEW",""))</f>
        <v/>
      </c>
      <c r="BA1759" s="2" t="str">
        <f>IF(""&amp;$F1759&lt;&gt;"4","",IF($AY1759="YES","",IF(ROUND(SUMIFS($AE$2:$AE$4001,$L$2:$L$4001,$L1759,$F$2:$F$4001,"4")-SUMIFS('AR SALES'!$Y$2:$Y$2501,'AR SALES'!$L$2:$L$2501,$L1759,'AR SALES'!$AD$2:$AD$2501,"OFF"),2)=0,"","STALE")))</f>
        <v/>
      </c>
      <c r="BB1759" s="2" t="str">
        <f>IF(OR(""&amp;$F1759="2",""&amp;$F1759="4",""&amp;$F1759="G",""&amp;$F1759="H"),IF($AY1759="YES","",IF($AB1759&lt;&gt;0,"",IF(COUNTIFS('AR SALES'!$L$2:$L$2501,$L1759,'AR SALES'!$AD$2:$AD$2501,IF(""&amp;$F1759="4","OFF","ON"),'AR SALES'!$AF$2:$AF$2501,"Y")&gt;0,"","NO EXEMPTION"))),"")</f>
        <v/>
      </c>
    </row>
    <row r="1760" spans="46:54" x14ac:dyDescent="0.25">
      <c r="AT1760" s="2" t="str">
        <f>IF($L1760="","",IFERROR(INDEX('AR SALES'!$H$2:$H$2501,MATCH(""&amp;$L1760,'AR SALES'!$AE$2:$AE$2501,0)),""))</f>
        <v/>
      </c>
      <c r="AU1760" s="2" t="str">
        <f t="shared" si="108"/>
        <v/>
      </c>
      <c r="AV1760" s="2" t="str">
        <f t="shared" si="109"/>
        <v/>
      </c>
      <c r="AW1760" s="2" t="str">
        <f t="shared" si="110"/>
        <v/>
      </c>
      <c r="AX1760" s="2" t="str">
        <f t="shared" si="111"/>
        <v/>
      </c>
      <c r="AY1760" s="2" t="str">
        <f>IF($AV1760="","",IF(AND($Z1760=0,COUNTIF('AR SALES'!$L$2:$L$2501,$L1760)=0),"YES",""))</f>
        <v/>
      </c>
      <c r="AZ1760" s="2" t="str">
        <f>IF($AV1760="","",IF(COUNTIF(LISTS!$C$2:$C$250,$AU1760)=0,"NEW",""))</f>
        <v/>
      </c>
      <c r="BA1760" s="2" t="str">
        <f>IF(""&amp;$F1760&lt;&gt;"4","",IF($AY1760="YES","",IF(ROUND(SUMIFS($AE$2:$AE$4001,$L$2:$L$4001,$L1760,$F$2:$F$4001,"4")-SUMIFS('AR SALES'!$Y$2:$Y$2501,'AR SALES'!$L$2:$L$2501,$L1760,'AR SALES'!$AD$2:$AD$2501,"OFF"),2)=0,"","STALE")))</f>
        <v/>
      </c>
      <c r="BB1760" s="2" t="str">
        <f>IF(OR(""&amp;$F1760="2",""&amp;$F1760="4",""&amp;$F1760="G",""&amp;$F1760="H"),IF($AY1760="YES","",IF($AB1760&lt;&gt;0,"",IF(COUNTIFS('AR SALES'!$L$2:$L$2501,$L1760,'AR SALES'!$AD$2:$AD$2501,IF(""&amp;$F1760="4","OFF","ON"),'AR SALES'!$AF$2:$AF$2501,"Y")&gt;0,"","NO EXEMPTION"))),"")</f>
        <v/>
      </c>
    </row>
    <row r="1761" spans="46:54" x14ac:dyDescent="0.25">
      <c r="AT1761" s="2" t="str">
        <f>IF($L1761="","",IFERROR(INDEX('AR SALES'!$H$2:$H$2501,MATCH(""&amp;$L1761,'AR SALES'!$AE$2:$AE$2501,0)),""))</f>
        <v/>
      </c>
      <c r="AU1761" s="2" t="str">
        <f t="shared" si="108"/>
        <v/>
      </c>
      <c r="AV1761" s="2" t="str">
        <f t="shared" si="109"/>
        <v/>
      </c>
      <c r="AW1761" s="2" t="str">
        <f t="shared" si="110"/>
        <v/>
      </c>
      <c r="AX1761" s="2" t="str">
        <f t="shared" si="111"/>
        <v/>
      </c>
      <c r="AY1761" s="2" t="str">
        <f>IF($AV1761="","",IF(AND($Z1761=0,COUNTIF('AR SALES'!$L$2:$L$2501,$L1761)=0),"YES",""))</f>
        <v/>
      </c>
      <c r="AZ1761" s="2" t="str">
        <f>IF($AV1761="","",IF(COUNTIF(LISTS!$C$2:$C$250,$AU1761)=0,"NEW",""))</f>
        <v/>
      </c>
      <c r="BA1761" s="2" t="str">
        <f>IF(""&amp;$F1761&lt;&gt;"4","",IF($AY1761="YES","",IF(ROUND(SUMIFS($AE$2:$AE$4001,$L$2:$L$4001,$L1761,$F$2:$F$4001,"4")-SUMIFS('AR SALES'!$Y$2:$Y$2501,'AR SALES'!$L$2:$L$2501,$L1761,'AR SALES'!$AD$2:$AD$2501,"OFF"),2)=0,"","STALE")))</f>
        <v/>
      </c>
      <c r="BB1761" s="2" t="str">
        <f>IF(OR(""&amp;$F1761="2",""&amp;$F1761="4",""&amp;$F1761="G",""&amp;$F1761="H"),IF($AY1761="YES","",IF($AB1761&lt;&gt;0,"",IF(COUNTIFS('AR SALES'!$L$2:$L$2501,$L1761,'AR SALES'!$AD$2:$AD$2501,IF(""&amp;$F1761="4","OFF","ON"),'AR SALES'!$AF$2:$AF$2501,"Y")&gt;0,"","NO EXEMPTION"))),"")</f>
        <v/>
      </c>
    </row>
    <row r="1762" spans="46:54" x14ac:dyDescent="0.25">
      <c r="AT1762" s="2" t="str">
        <f>IF($L1762="","",IFERROR(INDEX('AR SALES'!$H$2:$H$2501,MATCH(""&amp;$L1762,'AR SALES'!$AE$2:$AE$2501,0)),""))</f>
        <v/>
      </c>
      <c r="AU1762" s="2" t="str">
        <f t="shared" si="108"/>
        <v/>
      </c>
      <c r="AV1762" s="2" t="str">
        <f t="shared" si="109"/>
        <v/>
      </c>
      <c r="AW1762" s="2" t="str">
        <f t="shared" si="110"/>
        <v/>
      </c>
      <c r="AX1762" s="2" t="str">
        <f t="shared" si="111"/>
        <v/>
      </c>
      <c r="AY1762" s="2" t="str">
        <f>IF($AV1762="","",IF(AND($Z1762=0,COUNTIF('AR SALES'!$L$2:$L$2501,$L1762)=0),"YES",""))</f>
        <v/>
      </c>
      <c r="AZ1762" s="2" t="str">
        <f>IF($AV1762="","",IF(COUNTIF(LISTS!$C$2:$C$250,$AU1762)=0,"NEW",""))</f>
        <v/>
      </c>
      <c r="BA1762" s="2" t="str">
        <f>IF(""&amp;$F1762&lt;&gt;"4","",IF($AY1762="YES","",IF(ROUND(SUMIFS($AE$2:$AE$4001,$L$2:$L$4001,$L1762,$F$2:$F$4001,"4")-SUMIFS('AR SALES'!$Y$2:$Y$2501,'AR SALES'!$L$2:$L$2501,$L1762,'AR SALES'!$AD$2:$AD$2501,"OFF"),2)=0,"","STALE")))</f>
        <v/>
      </c>
      <c r="BB1762" s="2" t="str">
        <f>IF(OR(""&amp;$F1762="2",""&amp;$F1762="4",""&amp;$F1762="G",""&amp;$F1762="H"),IF($AY1762="YES","",IF($AB1762&lt;&gt;0,"",IF(COUNTIFS('AR SALES'!$L$2:$L$2501,$L1762,'AR SALES'!$AD$2:$AD$2501,IF(""&amp;$F1762="4","OFF","ON"),'AR SALES'!$AF$2:$AF$2501,"Y")&gt;0,"","NO EXEMPTION"))),"")</f>
        <v/>
      </c>
    </row>
    <row r="1763" spans="46:54" x14ac:dyDescent="0.25">
      <c r="AT1763" s="2" t="str">
        <f>IF($L1763="","",IFERROR(INDEX('AR SALES'!$H$2:$H$2501,MATCH(""&amp;$L1763,'AR SALES'!$AE$2:$AE$2501,0)),""))</f>
        <v/>
      </c>
      <c r="AU1763" s="2" t="str">
        <f t="shared" si="108"/>
        <v/>
      </c>
      <c r="AV1763" s="2" t="str">
        <f t="shared" si="109"/>
        <v/>
      </c>
      <c r="AW1763" s="2" t="str">
        <f t="shared" si="110"/>
        <v/>
      </c>
      <c r="AX1763" s="2" t="str">
        <f t="shared" si="111"/>
        <v/>
      </c>
      <c r="AY1763" s="2" t="str">
        <f>IF($AV1763="","",IF(AND($Z1763=0,COUNTIF('AR SALES'!$L$2:$L$2501,$L1763)=0),"YES",""))</f>
        <v/>
      </c>
      <c r="AZ1763" s="2" t="str">
        <f>IF($AV1763="","",IF(COUNTIF(LISTS!$C$2:$C$250,$AU1763)=0,"NEW",""))</f>
        <v/>
      </c>
      <c r="BA1763" s="2" t="str">
        <f>IF(""&amp;$F1763&lt;&gt;"4","",IF($AY1763="YES","",IF(ROUND(SUMIFS($AE$2:$AE$4001,$L$2:$L$4001,$L1763,$F$2:$F$4001,"4")-SUMIFS('AR SALES'!$Y$2:$Y$2501,'AR SALES'!$L$2:$L$2501,$L1763,'AR SALES'!$AD$2:$AD$2501,"OFF"),2)=0,"","STALE")))</f>
        <v/>
      </c>
      <c r="BB1763" s="2" t="str">
        <f>IF(OR(""&amp;$F1763="2",""&amp;$F1763="4",""&amp;$F1763="G",""&amp;$F1763="H"),IF($AY1763="YES","",IF($AB1763&lt;&gt;0,"",IF(COUNTIFS('AR SALES'!$L$2:$L$2501,$L1763,'AR SALES'!$AD$2:$AD$2501,IF(""&amp;$F1763="4","OFF","ON"),'AR SALES'!$AF$2:$AF$2501,"Y")&gt;0,"","NO EXEMPTION"))),"")</f>
        <v/>
      </c>
    </row>
    <row r="1764" spans="46:54" x14ac:dyDescent="0.25">
      <c r="AT1764" s="2" t="str">
        <f>IF($L1764="","",IFERROR(INDEX('AR SALES'!$H$2:$H$2501,MATCH(""&amp;$L1764,'AR SALES'!$AE$2:$AE$2501,0)),""))</f>
        <v/>
      </c>
      <c r="AU1764" s="2" t="str">
        <f t="shared" si="108"/>
        <v/>
      </c>
      <c r="AV1764" s="2" t="str">
        <f t="shared" si="109"/>
        <v/>
      </c>
      <c r="AW1764" s="2" t="str">
        <f t="shared" si="110"/>
        <v/>
      </c>
      <c r="AX1764" s="2" t="str">
        <f t="shared" si="111"/>
        <v/>
      </c>
      <c r="AY1764" s="2" t="str">
        <f>IF($AV1764="","",IF(AND($Z1764=0,COUNTIF('AR SALES'!$L$2:$L$2501,$L1764)=0),"YES",""))</f>
        <v/>
      </c>
      <c r="AZ1764" s="2" t="str">
        <f>IF($AV1764="","",IF(COUNTIF(LISTS!$C$2:$C$250,$AU1764)=0,"NEW",""))</f>
        <v/>
      </c>
      <c r="BA1764" s="2" t="str">
        <f>IF(""&amp;$F1764&lt;&gt;"4","",IF($AY1764="YES","",IF(ROUND(SUMIFS($AE$2:$AE$4001,$L$2:$L$4001,$L1764,$F$2:$F$4001,"4")-SUMIFS('AR SALES'!$Y$2:$Y$2501,'AR SALES'!$L$2:$L$2501,$L1764,'AR SALES'!$AD$2:$AD$2501,"OFF"),2)=0,"","STALE")))</f>
        <v/>
      </c>
      <c r="BB1764" s="2" t="str">
        <f>IF(OR(""&amp;$F1764="2",""&amp;$F1764="4",""&amp;$F1764="G",""&amp;$F1764="H"),IF($AY1764="YES","",IF($AB1764&lt;&gt;0,"",IF(COUNTIFS('AR SALES'!$L$2:$L$2501,$L1764,'AR SALES'!$AD$2:$AD$2501,IF(""&amp;$F1764="4","OFF","ON"),'AR SALES'!$AF$2:$AF$2501,"Y")&gt;0,"","NO EXEMPTION"))),"")</f>
        <v/>
      </c>
    </row>
    <row r="1765" spans="46:54" x14ac:dyDescent="0.25">
      <c r="AT1765" s="2" t="str">
        <f>IF($L1765="","",IFERROR(INDEX('AR SALES'!$H$2:$H$2501,MATCH(""&amp;$L1765,'AR SALES'!$AE$2:$AE$2501,0)),""))</f>
        <v/>
      </c>
      <c r="AU1765" s="2" t="str">
        <f t="shared" si="108"/>
        <v/>
      </c>
      <c r="AV1765" s="2" t="str">
        <f t="shared" si="109"/>
        <v/>
      </c>
      <c r="AW1765" s="2" t="str">
        <f t="shared" si="110"/>
        <v/>
      </c>
      <c r="AX1765" s="2" t="str">
        <f t="shared" si="111"/>
        <v/>
      </c>
      <c r="AY1765" s="2" t="str">
        <f>IF($AV1765="","",IF(AND($Z1765=0,COUNTIF('AR SALES'!$L$2:$L$2501,$L1765)=0),"YES",""))</f>
        <v/>
      </c>
      <c r="AZ1765" s="2" t="str">
        <f>IF($AV1765="","",IF(COUNTIF(LISTS!$C$2:$C$250,$AU1765)=0,"NEW",""))</f>
        <v/>
      </c>
      <c r="BA1765" s="2" t="str">
        <f>IF(""&amp;$F1765&lt;&gt;"4","",IF($AY1765="YES","",IF(ROUND(SUMIFS($AE$2:$AE$4001,$L$2:$L$4001,$L1765,$F$2:$F$4001,"4")-SUMIFS('AR SALES'!$Y$2:$Y$2501,'AR SALES'!$L$2:$L$2501,$L1765,'AR SALES'!$AD$2:$AD$2501,"OFF"),2)=0,"","STALE")))</f>
        <v/>
      </c>
      <c r="BB1765" s="2" t="str">
        <f>IF(OR(""&amp;$F1765="2",""&amp;$F1765="4",""&amp;$F1765="G",""&amp;$F1765="H"),IF($AY1765="YES","",IF($AB1765&lt;&gt;0,"",IF(COUNTIFS('AR SALES'!$L$2:$L$2501,$L1765,'AR SALES'!$AD$2:$AD$2501,IF(""&amp;$F1765="4","OFF","ON"),'AR SALES'!$AF$2:$AF$2501,"Y")&gt;0,"","NO EXEMPTION"))),"")</f>
        <v/>
      </c>
    </row>
    <row r="1766" spans="46:54" x14ac:dyDescent="0.25">
      <c r="AT1766" s="2" t="str">
        <f>IF($L1766="","",IFERROR(INDEX('AR SALES'!$H$2:$H$2501,MATCH(""&amp;$L1766,'AR SALES'!$AE$2:$AE$2501,0)),""))</f>
        <v/>
      </c>
      <c r="AU1766" s="2" t="str">
        <f t="shared" si="108"/>
        <v/>
      </c>
      <c r="AV1766" s="2" t="str">
        <f t="shared" si="109"/>
        <v/>
      </c>
      <c r="AW1766" s="2" t="str">
        <f t="shared" si="110"/>
        <v/>
      </c>
      <c r="AX1766" s="2" t="str">
        <f t="shared" si="111"/>
        <v/>
      </c>
      <c r="AY1766" s="2" t="str">
        <f>IF($AV1766="","",IF(AND($Z1766=0,COUNTIF('AR SALES'!$L$2:$L$2501,$L1766)=0),"YES",""))</f>
        <v/>
      </c>
      <c r="AZ1766" s="2" t="str">
        <f>IF($AV1766="","",IF(COUNTIF(LISTS!$C$2:$C$250,$AU1766)=0,"NEW",""))</f>
        <v/>
      </c>
      <c r="BA1766" s="2" t="str">
        <f>IF(""&amp;$F1766&lt;&gt;"4","",IF($AY1766="YES","",IF(ROUND(SUMIFS($AE$2:$AE$4001,$L$2:$L$4001,$L1766,$F$2:$F$4001,"4")-SUMIFS('AR SALES'!$Y$2:$Y$2501,'AR SALES'!$L$2:$L$2501,$L1766,'AR SALES'!$AD$2:$AD$2501,"OFF"),2)=0,"","STALE")))</f>
        <v/>
      </c>
      <c r="BB1766" s="2" t="str">
        <f>IF(OR(""&amp;$F1766="2",""&amp;$F1766="4",""&amp;$F1766="G",""&amp;$F1766="H"),IF($AY1766="YES","",IF($AB1766&lt;&gt;0,"",IF(COUNTIFS('AR SALES'!$L$2:$L$2501,$L1766,'AR SALES'!$AD$2:$AD$2501,IF(""&amp;$F1766="4","OFF","ON"),'AR SALES'!$AF$2:$AF$2501,"Y")&gt;0,"","NO EXEMPTION"))),"")</f>
        <v/>
      </c>
    </row>
    <row r="1767" spans="46:54" x14ac:dyDescent="0.25">
      <c r="AT1767" s="2" t="str">
        <f>IF($L1767="","",IFERROR(INDEX('AR SALES'!$H$2:$H$2501,MATCH(""&amp;$L1767,'AR SALES'!$AE$2:$AE$2501,0)),""))</f>
        <v/>
      </c>
      <c r="AU1767" s="2" t="str">
        <f t="shared" si="108"/>
        <v/>
      </c>
      <c r="AV1767" s="2" t="str">
        <f t="shared" si="109"/>
        <v/>
      </c>
      <c r="AW1767" s="2" t="str">
        <f t="shared" si="110"/>
        <v/>
      </c>
      <c r="AX1767" s="2" t="str">
        <f t="shared" si="111"/>
        <v/>
      </c>
      <c r="AY1767" s="2" t="str">
        <f>IF($AV1767="","",IF(AND($Z1767=0,COUNTIF('AR SALES'!$L$2:$L$2501,$L1767)=0),"YES",""))</f>
        <v/>
      </c>
      <c r="AZ1767" s="2" t="str">
        <f>IF($AV1767="","",IF(COUNTIF(LISTS!$C$2:$C$250,$AU1767)=0,"NEW",""))</f>
        <v/>
      </c>
      <c r="BA1767" s="2" t="str">
        <f>IF(""&amp;$F1767&lt;&gt;"4","",IF($AY1767="YES","",IF(ROUND(SUMIFS($AE$2:$AE$4001,$L$2:$L$4001,$L1767,$F$2:$F$4001,"4")-SUMIFS('AR SALES'!$Y$2:$Y$2501,'AR SALES'!$L$2:$L$2501,$L1767,'AR SALES'!$AD$2:$AD$2501,"OFF"),2)=0,"","STALE")))</f>
        <v/>
      </c>
      <c r="BB1767" s="2" t="str">
        <f>IF(OR(""&amp;$F1767="2",""&amp;$F1767="4",""&amp;$F1767="G",""&amp;$F1767="H"),IF($AY1767="YES","",IF($AB1767&lt;&gt;0,"",IF(COUNTIFS('AR SALES'!$L$2:$L$2501,$L1767,'AR SALES'!$AD$2:$AD$2501,IF(""&amp;$F1767="4","OFF","ON"),'AR SALES'!$AF$2:$AF$2501,"Y")&gt;0,"","NO EXEMPTION"))),"")</f>
        <v/>
      </c>
    </row>
    <row r="1768" spans="46:54" x14ac:dyDescent="0.25">
      <c r="AT1768" s="2" t="str">
        <f>IF($L1768="","",IFERROR(INDEX('AR SALES'!$H$2:$H$2501,MATCH(""&amp;$L1768,'AR SALES'!$AE$2:$AE$2501,0)),""))</f>
        <v/>
      </c>
      <c r="AU1768" s="2" t="str">
        <f t="shared" si="108"/>
        <v/>
      </c>
      <c r="AV1768" s="2" t="str">
        <f t="shared" si="109"/>
        <v/>
      </c>
      <c r="AW1768" s="2" t="str">
        <f t="shared" si="110"/>
        <v/>
      </c>
      <c r="AX1768" s="2" t="str">
        <f t="shared" si="111"/>
        <v/>
      </c>
      <c r="AY1768" s="2" t="str">
        <f>IF($AV1768="","",IF(AND($Z1768=0,COUNTIF('AR SALES'!$L$2:$L$2501,$L1768)=0),"YES",""))</f>
        <v/>
      </c>
      <c r="AZ1768" s="2" t="str">
        <f>IF($AV1768="","",IF(COUNTIF(LISTS!$C$2:$C$250,$AU1768)=0,"NEW",""))</f>
        <v/>
      </c>
      <c r="BA1768" s="2" t="str">
        <f>IF(""&amp;$F1768&lt;&gt;"4","",IF($AY1768="YES","",IF(ROUND(SUMIFS($AE$2:$AE$4001,$L$2:$L$4001,$L1768,$F$2:$F$4001,"4")-SUMIFS('AR SALES'!$Y$2:$Y$2501,'AR SALES'!$L$2:$L$2501,$L1768,'AR SALES'!$AD$2:$AD$2501,"OFF"),2)=0,"","STALE")))</f>
        <v/>
      </c>
      <c r="BB1768" s="2" t="str">
        <f>IF(OR(""&amp;$F1768="2",""&amp;$F1768="4",""&amp;$F1768="G",""&amp;$F1768="H"),IF($AY1768="YES","",IF($AB1768&lt;&gt;0,"",IF(COUNTIFS('AR SALES'!$L$2:$L$2501,$L1768,'AR SALES'!$AD$2:$AD$2501,IF(""&amp;$F1768="4","OFF","ON"),'AR SALES'!$AF$2:$AF$2501,"Y")&gt;0,"","NO EXEMPTION"))),"")</f>
        <v/>
      </c>
    </row>
    <row r="1769" spans="46:54" x14ac:dyDescent="0.25">
      <c r="AT1769" s="2" t="str">
        <f>IF($L1769="","",IFERROR(INDEX('AR SALES'!$H$2:$H$2501,MATCH(""&amp;$L1769,'AR SALES'!$AE$2:$AE$2501,0)),""))</f>
        <v/>
      </c>
      <c r="AU1769" s="2" t="str">
        <f t="shared" si="108"/>
        <v/>
      </c>
      <c r="AV1769" s="2" t="str">
        <f t="shared" si="109"/>
        <v/>
      </c>
      <c r="AW1769" s="2" t="str">
        <f t="shared" si="110"/>
        <v/>
      </c>
      <c r="AX1769" s="2" t="str">
        <f t="shared" si="111"/>
        <v/>
      </c>
      <c r="AY1769" s="2" t="str">
        <f>IF($AV1769="","",IF(AND($Z1769=0,COUNTIF('AR SALES'!$L$2:$L$2501,$L1769)=0),"YES",""))</f>
        <v/>
      </c>
      <c r="AZ1769" s="2" t="str">
        <f>IF($AV1769="","",IF(COUNTIF(LISTS!$C$2:$C$250,$AU1769)=0,"NEW",""))</f>
        <v/>
      </c>
      <c r="BA1769" s="2" t="str">
        <f>IF(""&amp;$F1769&lt;&gt;"4","",IF($AY1769="YES","",IF(ROUND(SUMIFS($AE$2:$AE$4001,$L$2:$L$4001,$L1769,$F$2:$F$4001,"4")-SUMIFS('AR SALES'!$Y$2:$Y$2501,'AR SALES'!$L$2:$L$2501,$L1769,'AR SALES'!$AD$2:$AD$2501,"OFF"),2)=0,"","STALE")))</f>
        <v/>
      </c>
      <c r="BB1769" s="2" t="str">
        <f>IF(OR(""&amp;$F1769="2",""&amp;$F1769="4",""&amp;$F1769="G",""&amp;$F1769="H"),IF($AY1769="YES","",IF($AB1769&lt;&gt;0,"",IF(COUNTIFS('AR SALES'!$L$2:$L$2501,$L1769,'AR SALES'!$AD$2:$AD$2501,IF(""&amp;$F1769="4","OFF","ON"),'AR SALES'!$AF$2:$AF$2501,"Y")&gt;0,"","NO EXEMPTION"))),"")</f>
        <v/>
      </c>
    </row>
    <row r="1770" spans="46:54" x14ac:dyDescent="0.25">
      <c r="AT1770" s="2" t="str">
        <f>IF($L1770="","",IFERROR(INDEX('AR SALES'!$H$2:$H$2501,MATCH(""&amp;$L1770,'AR SALES'!$AE$2:$AE$2501,0)),""))</f>
        <v/>
      </c>
      <c r="AU1770" s="2" t="str">
        <f t="shared" si="108"/>
        <v/>
      </c>
      <c r="AV1770" s="2" t="str">
        <f t="shared" si="109"/>
        <v/>
      </c>
      <c r="AW1770" s="2" t="str">
        <f t="shared" si="110"/>
        <v/>
      </c>
      <c r="AX1770" s="2" t="str">
        <f t="shared" si="111"/>
        <v/>
      </c>
      <c r="AY1770" s="2" t="str">
        <f>IF($AV1770="","",IF(AND($Z1770=0,COUNTIF('AR SALES'!$L$2:$L$2501,$L1770)=0),"YES",""))</f>
        <v/>
      </c>
      <c r="AZ1770" s="2" t="str">
        <f>IF($AV1770="","",IF(COUNTIF(LISTS!$C$2:$C$250,$AU1770)=0,"NEW",""))</f>
        <v/>
      </c>
      <c r="BA1770" s="2" t="str">
        <f>IF(""&amp;$F1770&lt;&gt;"4","",IF($AY1770="YES","",IF(ROUND(SUMIFS($AE$2:$AE$4001,$L$2:$L$4001,$L1770,$F$2:$F$4001,"4")-SUMIFS('AR SALES'!$Y$2:$Y$2501,'AR SALES'!$L$2:$L$2501,$L1770,'AR SALES'!$AD$2:$AD$2501,"OFF"),2)=0,"","STALE")))</f>
        <v/>
      </c>
      <c r="BB1770" s="2" t="str">
        <f>IF(OR(""&amp;$F1770="2",""&amp;$F1770="4",""&amp;$F1770="G",""&amp;$F1770="H"),IF($AY1770="YES","",IF($AB1770&lt;&gt;0,"",IF(COUNTIFS('AR SALES'!$L$2:$L$2501,$L1770,'AR SALES'!$AD$2:$AD$2501,IF(""&amp;$F1770="4","OFF","ON"),'AR SALES'!$AF$2:$AF$2501,"Y")&gt;0,"","NO EXEMPTION"))),"")</f>
        <v/>
      </c>
    </row>
    <row r="1771" spans="46:54" x14ac:dyDescent="0.25">
      <c r="AT1771" s="2" t="str">
        <f>IF($L1771="","",IFERROR(INDEX('AR SALES'!$H$2:$H$2501,MATCH(""&amp;$L1771,'AR SALES'!$AE$2:$AE$2501,0)),""))</f>
        <v/>
      </c>
      <c r="AU1771" s="2" t="str">
        <f t="shared" si="108"/>
        <v/>
      </c>
      <c r="AV1771" s="2" t="str">
        <f t="shared" si="109"/>
        <v/>
      </c>
      <c r="AW1771" s="2" t="str">
        <f t="shared" si="110"/>
        <v/>
      </c>
      <c r="AX1771" s="2" t="str">
        <f t="shared" si="111"/>
        <v/>
      </c>
      <c r="AY1771" s="2" t="str">
        <f>IF($AV1771="","",IF(AND($Z1771=0,COUNTIF('AR SALES'!$L$2:$L$2501,$L1771)=0),"YES",""))</f>
        <v/>
      </c>
      <c r="AZ1771" s="2" t="str">
        <f>IF($AV1771="","",IF(COUNTIF(LISTS!$C$2:$C$250,$AU1771)=0,"NEW",""))</f>
        <v/>
      </c>
      <c r="BA1771" s="2" t="str">
        <f>IF(""&amp;$F1771&lt;&gt;"4","",IF($AY1771="YES","",IF(ROUND(SUMIFS($AE$2:$AE$4001,$L$2:$L$4001,$L1771,$F$2:$F$4001,"4")-SUMIFS('AR SALES'!$Y$2:$Y$2501,'AR SALES'!$L$2:$L$2501,$L1771,'AR SALES'!$AD$2:$AD$2501,"OFF"),2)=0,"","STALE")))</f>
        <v/>
      </c>
      <c r="BB1771" s="2" t="str">
        <f>IF(OR(""&amp;$F1771="2",""&amp;$F1771="4",""&amp;$F1771="G",""&amp;$F1771="H"),IF($AY1771="YES","",IF($AB1771&lt;&gt;0,"",IF(COUNTIFS('AR SALES'!$L$2:$L$2501,$L1771,'AR SALES'!$AD$2:$AD$2501,IF(""&amp;$F1771="4","OFF","ON"),'AR SALES'!$AF$2:$AF$2501,"Y")&gt;0,"","NO EXEMPTION"))),"")</f>
        <v/>
      </c>
    </row>
    <row r="1772" spans="46:54" x14ac:dyDescent="0.25">
      <c r="AT1772" s="2" t="str">
        <f>IF($L1772="","",IFERROR(INDEX('AR SALES'!$H$2:$H$2501,MATCH(""&amp;$L1772,'AR SALES'!$AE$2:$AE$2501,0)),""))</f>
        <v/>
      </c>
      <c r="AU1772" s="2" t="str">
        <f t="shared" si="108"/>
        <v/>
      </c>
      <c r="AV1772" s="2" t="str">
        <f t="shared" si="109"/>
        <v/>
      </c>
      <c r="AW1772" s="2" t="str">
        <f t="shared" si="110"/>
        <v/>
      </c>
      <c r="AX1772" s="2" t="str">
        <f t="shared" si="111"/>
        <v/>
      </c>
      <c r="AY1772" s="2" t="str">
        <f>IF($AV1772="","",IF(AND($Z1772=0,COUNTIF('AR SALES'!$L$2:$L$2501,$L1772)=0),"YES",""))</f>
        <v/>
      </c>
      <c r="AZ1772" s="2" t="str">
        <f>IF($AV1772="","",IF(COUNTIF(LISTS!$C$2:$C$250,$AU1772)=0,"NEW",""))</f>
        <v/>
      </c>
      <c r="BA1772" s="2" t="str">
        <f>IF(""&amp;$F1772&lt;&gt;"4","",IF($AY1772="YES","",IF(ROUND(SUMIFS($AE$2:$AE$4001,$L$2:$L$4001,$L1772,$F$2:$F$4001,"4")-SUMIFS('AR SALES'!$Y$2:$Y$2501,'AR SALES'!$L$2:$L$2501,$L1772,'AR SALES'!$AD$2:$AD$2501,"OFF"),2)=0,"","STALE")))</f>
        <v/>
      </c>
      <c r="BB1772" s="2" t="str">
        <f>IF(OR(""&amp;$F1772="2",""&amp;$F1772="4",""&amp;$F1772="G",""&amp;$F1772="H"),IF($AY1772="YES","",IF($AB1772&lt;&gt;0,"",IF(COUNTIFS('AR SALES'!$L$2:$L$2501,$L1772,'AR SALES'!$AD$2:$AD$2501,IF(""&amp;$F1772="4","OFF","ON"),'AR SALES'!$AF$2:$AF$2501,"Y")&gt;0,"","NO EXEMPTION"))),"")</f>
        <v/>
      </c>
    </row>
    <row r="1773" spans="46:54" x14ac:dyDescent="0.25">
      <c r="AT1773" s="2" t="str">
        <f>IF($L1773="","",IFERROR(INDEX('AR SALES'!$H$2:$H$2501,MATCH(""&amp;$L1773,'AR SALES'!$AE$2:$AE$2501,0)),""))</f>
        <v/>
      </c>
      <c r="AU1773" s="2" t="str">
        <f t="shared" si="108"/>
        <v/>
      </c>
      <c r="AV1773" s="2" t="str">
        <f t="shared" si="109"/>
        <v/>
      </c>
      <c r="AW1773" s="2" t="str">
        <f t="shared" si="110"/>
        <v/>
      </c>
      <c r="AX1773" s="2" t="str">
        <f t="shared" si="111"/>
        <v/>
      </c>
      <c r="AY1773" s="2" t="str">
        <f>IF($AV1773="","",IF(AND($Z1773=0,COUNTIF('AR SALES'!$L$2:$L$2501,$L1773)=0),"YES",""))</f>
        <v/>
      </c>
      <c r="AZ1773" s="2" t="str">
        <f>IF($AV1773="","",IF(COUNTIF(LISTS!$C$2:$C$250,$AU1773)=0,"NEW",""))</f>
        <v/>
      </c>
      <c r="BA1773" s="2" t="str">
        <f>IF(""&amp;$F1773&lt;&gt;"4","",IF($AY1773="YES","",IF(ROUND(SUMIFS($AE$2:$AE$4001,$L$2:$L$4001,$L1773,$F$2:$F$4001,"4")-SUMIFS('AR SALES'!$Y$2:$Y$2501,'AR SALES'!$L$2:$L$2501,$L1773,'AR SALES'!$AD$2:$AD$2501,"OFF"),2)=0,"","STALE")))</f>
        <v/>
      </c>
      <c r="BB1773" s="2" t="str">
        <f>IF(OR(""&amp;$F1773="2",""&amp;$F1773="4",""&amp;$F1773="G",""&amp;$F1773="H"),IF($AY1773="YES","",IF($AB1773&lt;&gt;0,"",IF(COUNTIFS('AR SALES'!$L$2:$L$2501,$L1773,'AR SALES'!$AD$2:$AD$2501,IF(""&amp;$F1773="4","OFF","ON"),'AR SALES'!$AF$2:$AF$2501,"Y")&gt;0,"","NO EXEMPTION"))),"")</f>
        <v/>
      </c>
    </row>
    <row r="1774" spans="46:54" x14ac:dyDescent="0.25">
      <c r="AT1774" s="2" t="str">
        <f>IF($L1774="","",IFERROR(INDEX('AR SALES'!$H$2:$H$2501,MATCH(""&amp;$L1774,'AR SALES'!$AE$2:$AE$2501,0)),""))</f>
        <v/>
      </c>
      <c r="AU1774" s="2" t="str">
        <f t="shared" si="108"/>
        <v/>
      </c>
      <c r="AV1774" s="2" t="str">
        <f t="shared" si="109"/>
        <v/>
      </c>
      <c r="AW1774" s="2" t="str">
        <f t="shared" si="110"/>
        <v/>
      </c>
      <c r="AX1774" s="2" t="str">
        <f t="shared" si="111"/>
        <v/>
      </c>
      <c r="AY1774" s="2" t="str">
        <f>IF($AV1774="","",IF(AND($Z1774=0,COUNTIF('AR SALES'!$L$2:$L$2501,$L1774)=0),"YES",""))</f>
        <v/>
      </c>
      <c r="AZ1774" s="2" t="str">
        <f>IF($AV1774="","",IF(COUNTIF(LISTS!$C$2:$C$250,$AU1774)=0,"NEW",""))</f>
        <v/>
      </c>
      <c r="BA1774" s="2" t="str">
        <f>IF(""&amp;$F1774&lt;&gt;"4","",IF($AY1774="YES","",IF(ROUND(SUMIFS($AE$2:$AE$4001,$L$2:$L$4001,$L1774,$F$2:$F$4001,"4")-SUMIFS('AR SALES'!$Y$2:$Y$2501,'AR SALES'!$L$2:$L$2501,$L1774,'AR SALES'!$AD$2:$AD$2501,"OFF"),2)=0,"","STALE")))</f>
        <v/>
      </c>
      <c r="BB1774" s="2" t="str">
        <f>IF(OR(""&amp;$F1774="2",""&amp;$F1774="4",""&amp;$F1774="G",""&amp;$F1774="H"),IF($AY1774="YES","",IF($AB1774&lt;&gt;0,"",IF(COUNTIFS('AR SALES'!$L$2:$L$2501,$L1774,'AR SALES'!$AD$2:$AD$2501,IF(""&amp;$F1774="4","OFF","ON"),'AR SALES'!$AF$2:$AF$2501,"Y")&gt;0,"","NO EXEMPTION"))),"")</f>
        <v/>
      </c>
    </row>
    <row r="1775" spans="46:54" x14ac:dyDescent="0.25">
      <c r="AT1775" s="2" t="str">
        <f>IF($L1775="","",IFERROR(INDEX('AR SALES'!$H$2:$H$2501,MATCH(""&amp;$L1775,'AR SALES'!$AE$2:$AE$2501,0)),""))</f>
        <v/>
      </c>
      <c r="AU1775" s="2" t="str">
        <f t="shared" si="108"/>
        <v/>
      </c>
      <c r="AV1775" s="2" t="str">
        <f t="shared" si="109"/>
        <v/>
      </c>
      <c r="AW1775" s="2" t="str">
        <f t="shared" si="110"/>
        <v/>
      </c>
      <c r="AX1775" s="2" t="str">
        <f t="shared" si="111"/>
        <v/>
      </c>
      <c r="AY1775" s="2" t="str">
        <f>IF($AV1775="","",IF(AND($Z1775=0,COUNTIF('AR SALES'!$L$2:$L$2501,$L1775)=0),"YES",""))</f>
        <v/>
      </c>
      <c r="AZ1775" s="2" t="str">
        <f>IF($AV1775="","",IF(COUNTIF(LISTS!$C$2:$C$250,$AU1775)=0,"NEW",""))</f>
        <v/>
      </c>
      <c r="BA1775" s="2" t="str">
        <f>IF(""&amp;$F1775&lt;&gt;"4","",IF($AY1775="YES","",IF(ROUND(SUMIFS($AE$2:$AE$4001,$L$2:$L$4001,$L1775,$F$2:$F$4001,"4")-SUMIFS('AR SALES'!$Y$2:$Y$2501,'AR SALES'!$L$2:$L$2501,$L1775,'AR SALES'!$AD$2:$AD$2501,"OFF"),2)=0,"","STALE")))</f>
        <v/>
      </c>
      <c r="BB1775" s="2" t="str">
        <f>IF(OR(""&amp;$F1775="2",""&amp;$F1775="4",""&amp;$F1775="G",""&amp;$F1775="H"),IF($AY1775="YES","",IF($AB1775&lt;&gt;0,"",IF(COUNTIFS('AR SALES'!$L$2:$L$2501,$L1775,'AR SALES'!$AD$2:$AD$2501,IF(""&amp;$F1775="4","OFF","ON"),'AR SALES'!$AF$2:$AF$2501,"Y")&gt;0,"","NO EXEMPTION"))),"")</f>
        <v/>
      </c>
    </row>
    <row r="1776" spans="46:54" x14ac:dyDescent="0.25">
      <c r="AT1776" s="2" t="str">
        <f>IF($L1776="","",IFERROR(INDEX('AR SALES'!$H$2:$H$2501,MATCH(""&amp;$L1776,'AR SALES'!$AE$2:$AE$2501,0)),""))</f>
        <v/>
      </c>
      <c r="AU1776" s="2" t="str">
        <f t="shared" si="108"/>
        <v/>
      </c>
      <c r="AV1776" s="2" t="str">
        <f t="shared" si="109"/>
        <v/>
      </c>
      <c r="AW1776" s="2" t="str">
        <f t="shared" si="110"/>
        <v/>
      </c>
      <c r="AX1776" s="2" t="str">
        <f t="shared" si="111"/>
        <v/>
      </c>
      <c r="AY1776" s="2" t="str">
        <f>IF($AV1776="","",IF(AND($Z1776=0,COUNTIF('AR SALES'!$L$2:$L$2501,$L1776)=0),"YES",""))</f>
        <v/>
      </c>
      <c r="AZ1776" s="2" t="str">
        <f>IF($AV1776="","",IF(COUNTIF(LISTS!$C$2:$C$250,$AU1776)=0,"NEW",""))</f>
        <v/>
      </c>
      <c r="BA1776" s="2" t="str">
        <f>IF(""&amp;$F1776&lt;&gt;"4","",IF($AY1776="YES","",IF(ROUND(SUMIFS($AE$2:$AE$4001,$L$2:$L$4001,$L1776,$F$2:$F$4001,"4")-SUMIFS('AR SALES'!$Y$2:$Y$2501,'AR SALES'!$L$2:$L$2501,$L1776,'AR SALES'!$AD$2:$AD$2501,"OFF"),2)=0,"","STALE")))</f>
        <v/>
      </c>
      <c r="BB1776" s="2" t="str">
        <f>IF(OR(""&amp;$F1776="2",""&amp;$F1776="4",""&amp;$F1776="G",""&amp;$F1776="H"),IF($AY1776="YES","",IF($AB1776&lt;&gt;0,"",IF(COUNTIFS('AR SALES'!$L$2:$L$2501,$L1776,'AR SALES'!$AD$2:$AD$2501,IF(""&amp;$F1776="4","OFF","ON"),'AR SALES'!$AF$2:$AF$2501,"Y")&gt;0,"","NO EXEMPTION"))),"")</f>
        <v/>
      </c>
    </row>
    <row r="1777" spans="46:54" x14ac:dyDescent="0.25">
      <c r="AT1777" s="2" t="str">
        <f>IF($L1777="","",IFERROR(INDEX('AR SALES'!$H$2:$H$2501,MATCH(""&amp;$L1777,'AR SALES'!$AE$2:$AE$2501,0)),""))</f>
        <v/>
      </c>
      <c r="AU1777" s="2" t="str">
        <f t="shared" si="108"/>
        <v/>
      </c>
      <c r="AV1777" s="2" t="str">
        <f t="shared" si="109"/>
        <v/>
      </c>
      <c r="AW1777" s="2" t="str">
        <f t="shared" si="110"/>
        <v/>
      </c>
      <c r="AX1777" s="2" t="str">
        <f t="shared" si="111"/>
        <v/>
      </c>
      <c r="AY1777" s="2" t="str">
        <f>IF($AV1777="","",IF(AND($Z1777=0,COUNTIF('AR SALES'!$L$2:$L$2501,$L1777)=0),"YES",""))</f>
        <v/>
      </c>
      <c r="AZ1777" s="2" t="str">
        <f>IF($AV1777="","",IF(COUNTIF(LISTS!$C$2:$C$250,$AU1777)=0,"NEW",""))</f>
        <v/>
      </c>
      <c r="BA1777" s="2" t="str">
        <f>IF(""&amp;$F1777&lt;&gt;"4","",IF($AY1777="YES","",IF(ROUND(SUMIFS($AE$2:$AE$4001,$L$2:$L$4001,$L1777,$F$2:$F$4001,"4")-SUMIFS('AR SALES'!$Y$2:$Y$2501,'AR SALES'!$L$2:$L$2501,$L1777,'AR SALES'!$AD$2:$AD$2501,"OFF"),2)=0,"","STALE")))</f>
        <v/>
      </c>
      <c r="BB1777" s="2" t="str">
        <f>IF(OR(""&amp;$F1777="2",""&amp;$F1777="4",""&amp;$F1777="G",""&amp;$F1777="H"),IF($AY1777="YES","",IF($AB1777&lt;&gt;0,"",IF(COUNTIFS('AR SALES'!$L$2:$L$2501,$L1777,'AR SALES'!$AD$2:$AD$2501,IF(""&amp;$F1777="4","OFF","ON"),'AR SALES'!$AF$2:$AF$2501,"Y")&gt;0,"","NO EXEMPTION"))),"")</f>
        <v/>
      </c>
    </row>
    <row r="1778" spans="46:54" x14ac:dyDescent="0.25">
      <c r="AT1778" s="2" t="str">
        <f>IF($L1778="","",IFERROR(INDEX('AR SALES'!$H$2:$H$2501,MATCH(""&amp;$L1778,'AR SALES'!$AE$2:$AE$2501,0)),""))</f>
        <v/>
      </c>
      <c r="AU1778" s="2" t="str">
        <f t="shared" si="108"/>
        <v/>
      </c>
      <c r="AV1778" s="2" t="str">
        <f t="shared" si="109"/>
        <v/>
      </c>
      <c r="AW1778" s="2" t="str">
        <f t="shared" si="110"/>
        <v/>
      </c>
      <c r="AX1778" s="2" t="str">
        <f t="shared" si="111"/>
        <v/>
      </c>
      <c r="AY1778" s="2" t="str">
        <f>IF($AV1778="","",IF(AND($Z1778=0,COUNTIF('AR SALES'!$L$2:$L$2501,$L1778)=0),"YES",""))</f>
        <v/>
      </c>
      <c r="AZ1778" s="2" t="str">
        <f>IF($AV1778="","",IF(COUNTIF(LISTS!$C$2:$C$250,$AU1778)=0,"NEW",""))</f>
        <v/>
      </c>
      <c r="BA1778" s="2" t="str">
        <f>IF(""&amp;$F1778&lt;&gt;"4","",IF($AY1778="YES","",IF(ROUND(SUMIFS($AE$2:$AE$4001,$L$2:$L$4001,$L1778,$F$2:$F$4001,"4")-SUMIFS('AR SALES'!$Y$2:$Y$2501,'AR SALES'!$L$2:$L$2501,$L1778,'AR SALES'!$AD$2:$AD$2501,"OFF"),2)=0,"","STALE")))</f>
        <v/>
      </c>
      <c r="BB1778" s="2" t="str">
        <f>IF(OR(""&amp;$F1778="2",""&amp;$F1778="4",""&amp;$F1778="G",""&amp;$F1778="H"),IF($AY1778="YES","",IF($AB1778&lt;&gt;0,"",IF(COUNTIFS('AR SALES'!$L$2:$L$2501,$L1778,'AR SALES'!$AD$2:$AD$2501,IF(""&amp;$F1778="4","OFF","ON"),'AR SALES'!$AF$2:$AF$2501,"Y")&gt;0,"","NO EXEMPTION"))),"")</f>
        <v/>
      </c>
    </row>
    <row r="1779" spans="46:54" x14ac:dyDescent="0.25">
      <c r="AT1779" s="2" t="str">
        <f>IF($L1779="","",IFERROR(INDEX('AR SALES'!$H$2:$H$2501,MATCH(""&amp;$L1779,'AR SALES'!$AE$2:$AE$2501,0)),""))</f>
        <v/>
      </c>
      <c r="AU1779" s="2" t="str">
        <f t="shared" si="108"/>
        <v/>
      </c>
      <c r="AV1779" s="2" t="str">
        <f t="shared" si="109"/>
        <v/>
      </c>
      <c r="AW1779" s="2" t="str">
        <f t="shared" si="110"/>
        <v/>
      </c>
      <c r="AX1779" s="2" t="str">
        <f t="shared" si="111"/>
        <v/>
      </c>
      <c r="AY1779" s="2" t="str">
        <f>IF($AV1779="","",IF(AND($Z1779=0,COUNTIF('AR SALES'!$L$2:$L$2501,$L1779)=0),"YES",""))</f>
        <v/>
      </c>
      <c r="AZ1779" s="2" t="str">
        <f>IF($AV1779="","",IF(COUNTIF(LISTS!$C$2:$C$250,$AU1779)=0,"NEW",""))</f>
        <v/>
      </c>
      <c r="BA1779" s="2" t="str">
        <f>IF(""&amp;$F1779&lt;&gt;"4","",IF($AY1779="YES","",IF(ROUND(SUMIFS($AE$2:$AE$4001,$L$2:$L$4001,$L1779,$F$2:$F$4001,"4")-SUMIFS('AR SALES'!$Y$2:$Y$2501,'AR SALES'!$L$2:$L$2501,$L1779,'AR SALES'!$AD$2:$AD$2501,"OFF"),2)=0,"","STALE")))</f>
        <v/>
      </c>
      <c r="BB1779" s="2" t="str">
        <f>IF(OR(""&amp;$F1779="2",""&amp;$F1779="4",""&amp;$F1779="G",""&amp;$F1779="H"),IF($AY1779="YES","",IF($AB1779&lt;&gt;0,"",IF(COUNTIFS('AR SALES'!$L$2:$L$2501,$L1779,'AR SALES'!$AD$2:$AD$2501,IF(""&amp;$F1779="4","OFF","ON"),'AR SALES'!$AF$2:$AF$2501,"Y")&gt;0,"","NO EXEMPTION"))),"")</f>
        <v/>
      </c>
    </row>
    <row r="1780" spans="46:54" x14ac:dyDescent="0.25">
      <c r="AT1780" s="2" t="str">
        <f>IF($L1780="","",IFERROR(INDEX('AR SALES'!$H$2:$H$2501,MATCH(""&amp;$L1780,'AR SALES'!$AE$2:$AE$2501,0)),""))</f>
        <v/>
      </c>
      <c r="AU1780" s="2" t="str">
        <f t="shared" si="108"/>
        <v/>
      </c>
      <c r="AV1780" s="2" t="str">
        <f t="shared" si="109"/>
        <v/>
      </c>
      <c r="AW1780" s="2" t="str">
        <f t="shared" si="110"/>
        <v/>
      </c>
      <c r="AX1780" s="2" t="str">
        <f t="shared" si="111"/>
        <v/>
      </c>
      <c r="AY1780" s="2" t="str">
        <f>IF($AV1780="","",IF(AND($Z1780=0,COUNTIF('AR SALES'!$L$2:$L$2501,$L1780)=0),"YES",""))</f>
        <v/>
      </c>
      <c r="AZ1780" s="2" t="str">
        <f>IF($AV1780="","",IF(COUNTIF(LISTS!$C$2:$C$250,$AU1780)=0,"NEW",""))</f>
        <v/>
      </c>
      <c r="BA1780" s="2" t="str">
        <f>IF(""&amp;$F1780&lt;&gt;"4","",IF($AY1780="YES","",IF(ROUND(SUMIFS($AE$2:$AE$4001,$L$2:$L$4001,$L1780,$F$2:$F$4001,"4")-SUMIFS('AR SALES'!$Y$2:$Y$2501,'AR SALES'!$L$2:$L$2501,$L1780,'AR SALES'!$AD$2:$AD$2501,"OFF"),2)=0,"","STALE")))</f>
        <v/>
      </c>
      <c r="BB1780" s="2" t="str">
        <f>IF(OR(""&amp;$F1780="2",""&amp;$F1780="4",""&amp;$F1780="G",""&amp;$F1780="H"),IF($AY1780="YES","",IF($AB1780&lt;&gt;0,"",IF(COUNTIFS('AR SALES'!$L$2:$L$2501,$L1780,'AR SALES'!$AD$2:$AD$2501,IF(""&amp;$F1780="4","OFF","ON"),'AR SALES'!$AF$2:$AF$2501,"Y")&gt;0,"","NO EXEMPTION"))),"")</f>
        <v/>
      </c>
    </row>
    <row r="1781" spans="46:54" x14ac:dyDescent="0.25">
      <c r="AT1781" s="2" t="str">
        <f>IF($L1781="","",IFERROR(INDEX('AR SALES'!$H$2:$H$2501,MATCH(""&amp;$L1781,'AR SALES'!$AE$2:$AE$2501,0)),""))</f>
        <v/>
      </c>
      <c r="AU1781" s="2" t="str">
        <f t="shared" si="108"/>
        <v/>
      </c>
      <c r="AV1781" s="2" t="str">
        <f t="shared" si="109"/>
        <v/>
      </c>
      <c r="AW1781" s="2" t="str">
        <f t="shared" si="110"/>
        <v/>
      </c>
      <c r="AX1781" s="2" t="str">
        <f t="shared" si="111"/>
        <v/>
      </c>
      <c r="AY1781" s="2" t="str">
        <f>IF($AV1781="","",IF(AND($Z1781=0,COUNTIF('AR SALES'!$L$2:$L$2501,$L1781)=0),"YES",""))</f>
        <v/>
      </c>
      <c r="AZ1781" s="2" t="str">
        <f>IF($AV1781="","",IF(COUNTIF(LISTS!$C$2:$C$250,$AU1781)=0,"NEW",""))</f>
        <v/>
      </c>
      <c r="BA1781" s="2" t="str">
        <f>IF(""&amp;$F1781&lt;&gt;"4","",IF($AY1781="YES","",IF(ROUND(SUMIFS($AE$2:$AE$4001,$L$2:$L$4001,$L1781,$F$2:$F$4001,"4")-SUMIFS('AR SALES'!$Y$2:$Y$2501,'AR SALES'!$L$2:$L$2501,$L1781,'AR SALES'!$AD$2:$AD$2501,"OFF"),2)=0,"","STALE")))</f>
        <v/>
      </c>
      <c r="BB1781" s="2" t="str">
        <f>IF(OR(""&amp;$F1781="2",""&amp;$F1781="4",""&amp;$F1781="G",""&amp;$F1781="H"),IF($AY1781="YES","",IF($AB1781&lt;&gt;0,"",IF(COUNTIFS('AR SALES'!$L$2:$L$2501,$L1781,'AR SALES'!$AD$2:$AD$2501,IF(""&amp;$F1781="4","OFF","ON"),'AR SALES'!$AF$2:$AF$2501,"Y")&gt;0,"","NO EXEMPTION"))),"")</f>
        <v/>
      </c>
    </row>
    <row r="1782" spans="46:54" x14ac:dyDescent="0.25">
      <c r="AT1782" s="2" t="str">
        <f>IF($L1782="","",IFERROR(INDEX('AR SALES'!$H$2:$H$2501,MATCH(""&amp;$L1782,'AR SALES'!$AE$2:$AE$2501,0)),""))</f>
        <v/>
      </c>
      <c r="AU1782" s="2" t="str">
        <f t="shared" si="108"/>
        <v/>
      </c>
      <c r="AV1782" s="2" t="str">
        <f t="shared" si="109"/>
        <v/>
      </c>
      <c r="AW1782" s="2" t="str">
        <f t="shared" si="110"/>
        <v/>
      </c>
      <c r="AX1782" s="2" t="str">
        <f t="shared" si="111"/>
        <v/>
      </c>
      <c r="AY1782" s="2" t="str">
        <f>IF($AV1782="","",IF(AND($Z1782=0,COUNTIF('AR SALES'!$L$2:$L$2501,$L1782)=0),"YES",""))</f>
        <v/>
      </c>
      <c r="AZ1782" s="2" t="str">
        <f>IF($AV1782="","",IF(COUNTIF(LISTS!$C$2:$C$250,$AU1782)=0,"NEW",""))</f>
        <v/>
      </c>
      <c r="BA1782" s="2" t="str">
        <f>IF(""&amp;$F1782&lt;&gt;"4","",IF($AY1782="YES","",IF(ROUND(SUMIFS($AE$2:$AE$4001,$L$2:$L$4001,$L1782,$F$2:$F$4001,"4")-SUMIFS('AR SALES'!$Y$2:$Y$2501,'AR SALES'!$L$2:$L$2501,$L1782,'AR SALES'!$AD$2:$AD$2501,"OFF"),2)=0,"","STALE")))</f>
        <v/>
      </c>
      <c r="BB1782" s="2" t="str">
        <f>IF(OR(""&amp;$F1782="2",""&amp;$F1782="4",""&amp;$F1782="G",""&amp;$F1782="H"),IF($AY1782="YES","",IF($AB1782&lt;&gt;0,"",IF(COUNTIFS('AR SALES'!$L$2:$L$2501,$L1782,'AR SALES'!$AD$2:$AD$2501,IF(""&amp;$F1782="4","OFF","ON"),'AR SALES'!$AF$2:$AF$2501,"Y")&gt;0,"","NO EXEMPTION"))),"")</f>
        <v/>
      </c>
    </row>
    <row r="1783" spans="46:54" x14ac:dyDescent="0.25">
      <c r="AT1783" s="2" t="str">
        <f>IF($L1783="","",IFERROR(INDEX('AR SALES'!$H$2:$H$2501,MATCH(""&amp;$L1783,'AR SALES'!$AE$2:$AE$2501,0)),""))</f>
        <v/>
      </c>
      <c r="AU1783" s="2" t="str">
        <f t="shared" si="108"/>
        <v/>
      </c>
      <c r="AV1783" s="2" t="str">
        <f t="shared" si="109"/>
        <v/>
      </c>
      <c r="AW1783" s="2" t="str">
        <f t="shared" si="110"/>
        <v/>
      </c>
      <c r="AX1783" s="2" t="str">
        <f t="shared" si="111"/>
        <v/>
      </c>
      <c r="AY1783" s="2" t="str">
        <f>IF($AV1783="","",IF(AND($Z1783=0,COUNTIF('AR SALES'!$L$2:$L$2501,$L1783)=0),"YES",""))</f>
        <v/>
      </c>
      <c r="AZ1783" s="2" t="str">
        <f>IF($AV1783="","",IF(COUNTIF(LISTS!$C$2:$C$250,$AU1783)=0,"NEW",""))</f>
        <v/>
      </c>
      <c r="BA1783" s="2" t="str">
        <f>IF(""&amp;$F1783&lt;&gt;"4","",IF($AY1783="YES","",IF(ROUND(SUMIFS($AE$2:$AE$4001,$L$2:$L$4001,$L1783,$F$2:$F$4001,"4")-SUMIFS('AR SALES'!$Y$2:$Y$2501,'AR SALES'!$L$2:$L$2501,$L1783,'AR SALES'!$AD$2:$AD$2501,"OFF"),2)=0,"","STALE")))</f>
        <v/>
      </c>
      <c r="BB1783" s="2" t="str">
        <f>IF(OR(""&amp;$F1783="2",""&amp;$F1783="4",""&amp;$F1783="G",""&amp;$F1783="H"),IF($AY1783="YES","",IF($AB1783&lt;&gt;0,"",IF(COUNTIFS('AR SALES'!$L$2:$L$2501,$L1783,'AR SALES'!$AD$2:$AD$2501,IF(""&amp;$F1783="4","OFF","ON"),'AR SALES'!$AF$2:$AF$2501,"Y")&gt;0,"","NO EXEMPTION"))),"")</f>
        <v/>
      </c>
    </row>
    <row r="1784" spans="46:54" x14ac:dyDescent="0.25">
      <c r="AT1784" s="2" t="str">
        <f>IF($L1784="","",IFERROR(INDEX('AR SALES'!$H$2:$H$2501,MATCH(""&amp;$L1784,'AR SALES'!$AE$2:$AE$2501,0)),""))</f>
        <v/>
      </c>
      <c r="AU1784" s="2" t="str">
        <f t="shared" si="108"/>
        <v/>
      </c>
      <c r="AV1784" s="2" t="str">
        <f t="shared" si="109"/>
        <v/>
      </c>
      <c r="AW1784" s="2" t="str">
        <f t="shared" si="110"/>
        <v/>
      </c>
      <c r="AX1784" s="2" t="str">
        <f t="shared" si="111"/>
        <v/>
      </c>
      <c r="AY1784" s="2" t="str">
        <f>IF($AV1784="","",IF(AND($Z1784=0,COUNTIF('AR SALES'!$L$2:$L$2501,$L1784)=0),"YES",""))</f>
        <v/>
      </c>
      <c r="AZ1784" s="2" t="str">
        <f>IF($AV1784="","",IF(COUNTIF(LISTS!$C$2:$C$250,$AU1784)=0,"NEW",""))</f>
        <v/>
      </c>
      <c r="BA1784" s="2" t="str">
        <f>IF(""&amp;$F1784&lt;&gt;"4","",IF($AY1784="YES","",IF(ROUND(SUMIFS($AE$2:$AE$4001,$L$2:$L$4001,$L1784,$F$2:$F$4001,"4")-SUMIFS('AR SALES'!$Y$2:$Y$2501,'AR SALES'!$L$2:$L$2501,$L1784,'AR SALES'!$AD$2:$AD$2501,"OFF"),2)=0,"","STALE")))</f>
        <v/>
      </c>
      <c r="BB1784" s="2" t="str">
        <f>IF(OR(""&amp;$F1784="2",""&amp;$F1784="4",""&amp;$F1784="G",""&amp;$F1784="H"),IF($AY1784="YES","",IF($AB1784&lt;&gt;0,"",IF(COUNTIFS('AR SALES'!$L$2:$L$2501,$L1784,'AR SALES'!$AD$2:$AD$2501,IF(""&amp;$F1784="4","OFF","ON"),'AR SALES'!$AF$2:$AF$2501,"Y")&gt;0,"","NO EXEMPTION"))),"")</f>
        <v/>
      </c>
    </row>
    <row r="1785" spans="46:54" x14ac:dyDescent="0.25">
      <c r="AT1785" s="2" t="str">
        <f>IF($L1785="","",IFERROR(INDEX('AR SALES'!$H$2:$H$2501,MATCH(""&amp;$L1785,'AR SALES'!$AE$2:$AE$2501,0)),""))</f>
        <v/>
      </c>
      <c r="AU1785" s="2" t="str">
        <f t="shared" si="108"/>
        <v/>
      </c>
      <c r="AV1785" s="2" t="str">
        <f t="shared" si="109"/>
        <v/>
      </c>
      <c r="AW1785" s="2" t="str">
        <f t="shared" si="110"/>
        <v/>
      </c>
      <c r="AX1785" s="2" t="str">
        <f t="shared" si="111"/>
        <v/>
      </c>
      <c r="AY1785" s="2" t="str">
        <f>IF($AV1785="","",IF(AND($Z1785=0,COUNTIF('AR SALES'!$L$2:$L$2501,$L1785)=0),"YES",""))</f>
        <v/>
      </c>
      <c r="AZ1785" s="2" t="str">
        <f>IF($AV1785="","",IF(COUNTIF(LISTS!$C$2:$C$250,$AU1785)=0,"NEW",""))</f>
        <v/>
      </c>
      <c r="BA1785" s="2" t="str">
        <f>IF(""&amp;$F1785&lt;&gt;"4","",IF($AY1785="YES","",IF(ROUND(SUMIFS($AE$2:$AE$4001,$L$2:$L$4001,$L1785,$F$2:$F$4001,"4")-SUMIFS('AR SALES'!$Y$2:$Y$2501,'AR SALES'!$L$2:$L$2501,$L1785,'AR SALES'!$AD$2:$AD$2501,"OFF"),2)=0,"","STALE")))</f>
        <v/>
      </c>
      <c r="BB1785" s="2" t="str">
        <f>IF(OR(""&amp;$F1785="2",""&amp;$F1785="4",""&amp;$F1785="G",""&amp;$F1785="H"),IF($AY1785="YES","",IF($AB1785&lt;&gt;0,"",IF(COUNTIFS('AR SALES'!$L$2:$L$2501,$L1785,'AR SALES'!$AD$2:$AD$2501,IF(""&amp;$F1785="4","OFF","ON"),'AR SALES'!$AF$2:$AF$2501,"Y")&gt;0,"","NO EXEMPTION"))),"")</f>
        <v/>
      </c>
    </row>
    <row r="1786" spans="46:54" x14ac:dyDescent="0.25">
      <c r="AT1786" s="2" t="str">
        <f>IF($L1786="","",IFERROR(INDEX('AR SALES'!$H$2:$H$2501,MATCH(""&amp;$L1786,'AR SALES'!$AE$2:$AE$2501,0)),""))</f>
        <v/>
      </c>
      <c r="AU1786" s="2" t="str">
        <f t="shared" si="108"/>
        <v/>
      </c>
      <c r="AV1786" s="2" t="str">
        <f t="shared" si="109"/>
        <v/>
      </c>
      <c r="AW1786" s="2" t="str">
        <f t="shared" si="110"/>
        <v/>
      </c>
      <c r="AX1786" s="2" t="str">
        <f t="shared" si="111"/>
        <v/>
      </c>
      <c r="AY1786" s="2" t="str">
        <f>IF($AV1786="","",IF(AND($Z1786=0,COUNTIF('AR SALES'!$L$2:$L$2501,$L1786)=0),"YES",""))</f>
        <v/>
      </c>
      <c r="AZ1786" s="2" t="str">
        <f>IF($AV1786="","",IF(COUNTIF(LISTS!$C$2:$C$250,$AU1786)=0,"NEW",""))</f>
        <v/>
      </c>
      <c r="BA1786" s="2" t="str">
        <f>IF(""&amp;$F1786&lt;&gt;"4","",IF($AY1786="YES","",IF(ROUND(SUMIFS($AE$2:$AE$4001,$L$2:$L$4001,$L1786,$F$2:$F$4001,"4")-SUMIFS('AR SALES'!$Y$2:$Y$2501,'AR SALES'!$L$2:$L$2501,$L1786,'AR SALES'!$AD$2:$AD$2501,"OFF"),2)=0,"","STALE")))</f>
        <v/>
      </c>
      <c r="BB1786" s="2" t="str">
        <f>IF(OR(""&amp;$F1786="2",""&amp;$F1786="4",""&amp;$F1786="G",""&amp;$F1786="H"),IF($AY1786="YES","",IF($AB1786&lt;&gt;0,"",IF(COUNTIFS('AR SALES'!$L$2:$L$2501,$L1786,'AR SALES'!$AD$2:$AD$2501,IF(""&amp;$F1786="4","OFF","ON"),'AR SALES'!$AF$2:$AF$2501,"Y")&gt;0,"","NO EXEMPTION"))),"")</f>
        <v/>
      </c>
    </row>
    <row r="1787" spans="46:54" x14ac:dyDescent="0.25">
      <c r="AT1787" s="2" t="str">
        <f>IF($L1787="","",IFERROR(INDEX('AR SALES'!$H$2:$H$2501,MATCH(""&amp;$L1787,'AR SALES'!$AE$2:$AE$2501,0)),""))</f>
        <v/>
      </c>
      <c r="AU1787" s="2" t="str">
        <f t="shared" si="108"/>
        <v/>
      </c>
      <c r="AV1787" s="2" t="str">
        <f t="shared" si="109"/>
        <v/>
      </c>
      <c r="AW1787" s="2" t="str">
        <f t="shared" si="110"/>
        <v/>
      </c>
      <c r="AX1787" s="2" t="str">
        <f t="shared" si="111"/>
        <v/>
      </c>
      <c r="AY1787" s="2" t="str">
        <f>IF($AV1787="","",IF(AND($Z1787=0,COUNTIF('AR SALES'!$L$2:$L$2501,$L1787)=0),"YES",""))</f>
        <v/>
      </c>
      <c r="AZ1787" s="2" t="str">
        <f>IF($AV1787="","",IF(COUNTIF(LISTS!$C$2:$C$250,$AU1787)=0,"NEW",""))</f>
        <v/>
      </c>
      <c r="BA1787" s="2" t="str">
        <f>IF(""&amp;$F1787&lt;&gt;"4","",IF($AY1787="YES","",IF(ROUND(SUMIFS($AE$2:$AE$4001,$L$2:$L$4001,$L1787,$F$2:$F$4001,"4")-SUMIFS('AR SALES'!$Y$2:$Y$2501,'AR SALES'!$L$2:$L$2501,$L1787,'AR SALES'!$AD$2:$AD$2501,"OFF"),2)=0,"","STALE")))</f>
        <v/>
      </c>
      <c r="BB1787" s="2" t="str">
        <f>IF(OR(""&amp;$F1787="2",""&amp;$F1787="4",""&amp;$F1787="G",""&amp;$F1787="H"),IF($AY1787="YES","",IF($AB1787&lt;&gt;0,"",IF(COUNTIFS('AR SALES'!$L$2:$L$2501,$L1787,'AR SALES'!$AD$2:$AD$2501,IF(""&amp;$F1787="4","OFF","ON"),'AR SALES'!$AF$2:$AF$2501,"Y")&gt;0,"","NO EXEMPTION"))),"")</f>
        <v/>
      </c>
    </row>
    <row r="1788" spans="46:54" x14ac:dyDescent="0.25">
      <c r="AT1788" s="2" t="str">
        <f>IF($L1788="","",IFERROR(INDEX('AR SALES'!$H$2:$H$2501,MATCH(""&amp;$L1788,'AR SALES'!$AE$2:$AE$2501,0)),""))</f>
        <v/>
      </c>
      <c r="AU1788" s="2" t="str">
        <f t="shared" si="108"/>
        <v/>
      </c>
      <c r="AV1788" s="2" t="str">
        <f t="shared" si="109"/>
        <v/>
      </c>
      <c r="AW1788" s="2" t="str">
        <f t="shared" si="110"/>
        <v/>
      </c>
      <c r="AX1788" s="2" t="str">
        <f t="shared" si="111"/>
        <v/>
      </c>
      <c r="AY1788" s="2" t="str">
        <f>IF($AV1788="","",IF(AND($Z1788=0,COUNTIF('AR SALES'!$L$2:$L$2501,$L1788)=0),"YES",""))</f>
        <v/>
      </c>
      <c r="AZ1788" s="2" t="str">
        <f>IF($AV1788="","",IF(COUNTIF(LISTS!$C$2:$C$250,$AU1788)=0,"NEW",""))</f>
        <v/>
      </c>
      <c r="BA1788" s="2" t="str">
        <f>IF(""&amp;$F1788&lt;&gt;"4","",IF($AY1788="YES","",IF(ROUND(SUMIFS($AE$2:$AE$4001,$L$2:$L$4001,$L1788,$F$2:$F$4001,"4")-SUMIFS('AR SALES'!$Y$2:$Y$2501,'AR SALES'!$L$2:$L$2501,$L1788,'AR SALES'!$AD$2:$AD$2501,"OFF"),2)=0,"","STALE")))</f>
        <v/>
      </c>
      <c r="BB1788" s="2" t="str">
        <f>IF(OR(""&amp;$F1788="2",""&amp;$F1788="4",""&amp;$F1788="G",""&amp;$F1788="H"),IF($AY1788="YES","",IF($AB1788&lt;&gt;0,"",IF(COUNTIFS('AR SALES'!$L$2:$L$2501,$L1788,'AR SALES'!$AD$2:$AD$2501,IF(""&amp;$F1788="4","OFF","ON"),'AR SALES'!$AF$2:$AF$2501,"Y")&gt;0,"","NO EXEMPTION"))),"")</f>
        <v/>
      </c>
    </row>
    <row r="1789" spans="46:54" x14ac:dyDescent="0.25">
      <c r="AT1789" s="2" t="str">
        <f>IF($L1789="","",IFERROR(INDEX('AR SALES'!$H$2:$H$2501,MATCH(""&amp;$L1789,'AR SALES'!$AE$2:$AE$2501,0)),""))</f>
        <v/>
      </c>
      <c r="AU1789" s="2" t="str">
        <f t="shared" si="108"/>
        <v/>
      </c>
      <c r="AV1789" s="2" t="str">
        <f t="shared" si="109"/>
        <v/>
      </c>
      <c r="AW1789" s="2" t="str">
        <f t="shared" si="110"/>
        <v/>
      </c>
      <c r="AX1789" s="2" t="str">
        <f t="shared" si="111"/>
        <v/>
      </c>
      <c r="AY1789" s="2" t="str">
        <f>IF($AV1789="","",IF(AND($Z1789=0,COUNTIF('AR SALES'!$L$2:$L$2501,$L1789)=0),"YES",""))</f>
        <v/>
      </c>
      <c r="AZ1789" s="2" t="str">
        <f>IF($AV1789="","",IF(COUNTIF(LISTS!$C$2:$C$250,$AU1789)=0,"NEW",""))</f>
        <v/>
      </c>
      <c r="BA1789" s="2" t="str">
        <f>IF(""&amp;$F1789&lt;&gt;"4","",IF($AY1789="YES","",IF(ROUND(SUMIFS($AE$2:$AE$4001,$L$2:$L$4001,$L1789,$F$2:$F$4001,"4")-SUMIFS('AR SALES'!$Y$2:$Y$2501,'AR SALES'!$L$2:$L$2501,$L1789,'AR SALES'!$AD$2:$AD$2501,"OFF"),2)=0,"","STALE")))</f>
        <v/>
      </c>
      <c r="BB1789" s="2" t="str">
        <f>IF(OR(""&amp;$F1789="2",""&amp;$F1789="4",""&amp;$F1789="G",""&amp;$F1789="H"),IF($AY1789="YES","",IF($AB1789&lt;&gt;0,"",IF(COUNTIFS('AR SALES'!$L$2:$L$2501,$L1789,'AR SALES'!$AD$2:$AD$2501,IF(""&amp;$F1789="4","OFF","ON"),'AR SALES'!$AF$2:$AF$2501,"Y")&gt;0,"","NO EXEMPTION"))),"")</f>
        <v/>
      </c>
    </row>
    <row r="1790" spans="46:54" x14ac:dyDescent="0.25">
      <c r="AT1790" s="2" t="str">
        <f>IF($L1790="","",IFERROR(INDEX('AR SALES'!$H$2:$H$2501,MATCH(""&amp;$L1790,'AR SALES'!$AE$2:$AE$2501,0)),""))</f>
        <v/>
      </c>
      <c r="AU1790" s="2" t="str">
        <f t="shared" si="108"/>
        <v/>
      </c>
      <c r="AV1790" s="2" t="str">
        <f t="shared" si="109"/>
        <v/>
      </c>
      <c r="AW1790" s="2" t="str">
        <f t="shared" si="110"/>
        <v/>
      </c>
      <c r="AX1790" s="2" t="str">
        <f t="shared" si="111"/>
        <v/>
      </c>
      <c r="AY1790" s="2" t="str">
        <f>IF($AV1790="","",IF(AND($Z1790=0,COUNTIF('AR SALES'!$L$2:$L$2501,$L1790)=0),"YES",""))</f>
        <v/>
      </c>
      <c r="AZ1790" s="2" t="str">
        <f>IF($AV1790="","",IF(COUNTIF(LISTS!$C$2:$C$250,$AU1790)=0,"NEW",""))</f>
        <v/>
      </c>
      <c r="BA1790" s="2" t="str">
        <f>IF(""&amp;$F1790&lt;&gt;"4","",IF($AY1790="YES","",IF(ROUND(SUMIFS($AE$2:$AE$4001,$L$2:$L$4001,$L1790,$F$2:$F$4001,"4")-SUMIFS('AR SALES'!$Y$2:$Y$2501,'AR SALES'!$L$2:$L$2501,$L1790,'AR SALES'!$AD$2:$AD$2501,"OFF"),2)=0,"","STALE")))</f>
        <v/>
      </c>
      <c r="BB1790" s="2" t="str">
        <f>IF(OR(""&amp;$F1790="2",""&amp;$F1790="4",""&amp;$F1790="G",""&amp;$F1790="H"),IF($AY1790="YES","",IF($AB1790&lt;&gt;0,"",IF(COUNTIFS('AR SALES'!$L$2:$L$2501,$L1790,'AR SALES'!$AD$2:$AD$2501,IF(""&amp;$F1790="4","OFF","ON"),'AR SALES'!$AF$2:$AF$2501,"Y")&gt;0,"","NO EXEMPTION"))),"")</f>
        <v/>
      </c>
    </row>
    <row r="1791" spans="46:54" x14ac:dyDescent="0.25">
      <c r="AT1791" s="2" t="str">
        <f>IF($L1791="","",IFERROR(INDEX('AR SALES'!$H$2:$H$2501,MATCH(""&amp;$L1791,'AR SALES'!$AE$2:$AE$2501,0)),""))</f>
        <v/>
      </c>
      <c r="AU1791" s="2" t="str">
        <f t="shared" si="108"/>
        <v/>
      </c>
      <c r="AV1791" s="2" t="str">
        <f t="shared" si="109"/>
        <v/>
      </c>
      <c r="AW1791" s="2" t="str">
        <f t="shared" si="110"/>
        <v/>
      </c>
      <c r="AX1791" s="2" t="str">
        <f t="shared" si="111"/>
        <v/>
      </c>
      <c r="AY1791" s="2" t="str">
        <f>IF($AV1791="","",IF(AND($Z1791=0,COUNTIF('AR SALES'!$L$2:$L$2501,$L1791)=0),"YES",""))</f>
        <v/>
      </c>
      <c r="AZ1791" s="2" t="str">
        <f>IF($AV1791="","",IF(COUNTIF(LISTS!$C$2:$C$250,$AU1791)=0,"NEW",""))</f>
        <v/>
      </c>
      <c r="BA1791" s="2" t="str">
        <f>IF(""&amp;$F1791&lt;&gt;"4","",IF($AY1791="YES","",IF(ROUND(SUMIFS($AE$2:$AE$4001,$L$2:$L$4001,$L1791,$F$2:$F$4001,"4")-SUMIFS('AR SALES'!$Y$2:$Y$2501,'AR SALES'!$L$2:$L$2501,$L1791,'AR SALES'!$AD$2:$AD$2501,"OFF"),2)=0,"","STALE")))</f>
        <v/>
      </c>
      <c r="BB1791" s="2" t="str">
        <f>IF(OR(""&amp;$F1791="2",""&amp;$F1791="4",""&amp;$F1791="G",""&amp;$F1791="H"),IF($AY1791="YES","",IF($AB1791&lt;&gt;0,"",IF(COUNTIFS('AR SALES'!$L$2:$L$2501,$L1791,'AR SALES'!$AD$2:$AD$2501,IF(""&amp;$F1791="4","OFF","ON"),'AR SALES'!$AF$2:$AF$2501,"Y")&gt;0,"","NO EXEMPTION"))),"")</f>
        <v/>
      </c>
    </row>
    <row r="1792" spans="46:54" x14ac:dyDescent="0.25">
      <c r="AT1792" s="2" t="str">
        <f>IF($L1792="","",IFERROR(INDEX('AR SALES'!$H$2:$H$2501,MATCH(""&amp;$L1792,'AR SALES'!$AE$2:$AE$2501,0)),""))</f>
        <v/>
      </c>
      <c r="AU1792" s="2" t="str">
        <f t="shared" si="108"/>
        <v/>
      </c>
      <c r="AV1792" s="2" t="str">
        <f t="shared" si="109"/>
        <v/>
      </c>
      <c r="AW1792" s="2" t="str">
        <f t="shared" si="110"/>
        <v/>
      </c>
      <c r="AX1792" s="2" t="str">
        <f t="shared" si="111"/>
        <v/>
      </c>
      <c r="AY1792" s="2" t="str">
        <f>IF($AV1792="","",IF(AND($Z1792=0,COUNTIF('AR SALES'!$L$2:$L$2501,$L1792)=0),"YES",""))</f>
        <v/>
      </c>
      <c r="AZ1792" s="2" t="str">
        <f>IF($AV1792="","",IF(COUNTIF(LISTS!$C$2:$C$250,$AU1792)=0,"NEW",""))</f>
        <v/>
      </c>
      <c r="BA1792" s="2" t="str">
        <f>IF(""&amp;$F1792&lt;&gt;"4","",IF($AY1792="YES","",IF(ROUND(SUMIFS($AE$2:$AE$4001,$L$2:$L$4001,$L1792,$F$2:$F$4001,"4")-SUMIFS('AR SALES'!$Y$2:$Y$2501,'AR SALES'!$L$2:$L$2501,$L1792,'AR SALES'!$AD$2:$AD$2501,"OFF"),2)=0,"","STALE")))</f>
        <v/>
      </c>
      <c r="BB1792" s="2" t="str">
        <f>IF(OR(""&amp;$F1792="2",""&amp;$F1792="4",""&amp;$F1792="G",""&amp;$F1792="H"),IF($AY1792="YES","",IF($AB1792&lt;&gt;0,"",IF(COUNTIFS('AR SALES'!$L$2:$L$2501,$L1792,'AR SALES'!$AD$2:$AD$2501,IF(""&amp;$F1792="4","OFF","ON"),'AR SALES'!$AF$2:$AF$2501,"Y")&gt;0,"","NO EXEMPTION"))),"")</f>
        <v/>
      </c>
    </row>
    <row r="1793" spans="46:54" x14ac:dyDescent="0.25">
      <c r="AT1793" s="2" t="str">
        <f>IF($L1793="","",IFERROR(INDEX('AR SALES'!$H$2:$H$2501,MATCH(""&amp;$L1793,'AR SALES'!$AE$2:$AE$2501,0)),""))</f>
        <v/>
      </c>
      <c r="AU1793" s="2" t="str">
        <f t="shared" si="108"/>
        <v/>
      </c>
      <c r="AV1793" s="2" t="str">
        <f t="shared" si="109"/>
        <v/>
      </c>
      <c r="AW1793" s="2" t="str">
        <f t="shared" si="110"/>
        <v/>
      </c>
      <c r="AX1793" s="2" t="str">
        <f t="shared" si="111"/>
        <v/>
      </c>
      <c r="AY1793" s="2" t="str">
        <f>IF($AV1793="","",IF(AND($Z1793=0,COUNTIF('AR SALES'!$L$2:$L$2501,$L1793)=0),"YES",""))</f>
        <v/>
      </c>
      <c r="AZ1793" s="2" t="str">
        <f>IF($AV1793="","",IF(COUNTIF(LISTS!$C$2:$C$250,$AU1793)=0,"NEW",""))</f>
        <v/>
      </c>
      <c r="BA1793" s="2" t="str">
        <f>IF(""&amp;$F1793&lt;&gt;"4","",IF($AY1793="YES","",IF(ROUND(SUMIFS($AE$2:$AE$4001,$L$2:$L$4001,$L1793,$F$2:$F$4001,"4")-SUMIFS('AR SALES'!$Y$2:$Y$2501,'AR SALES'!$L$2:$L$2501,$L1793,'AR SALES'!$AD$2:$AD$2501,"OFF"),2)=0,"","STALE")))</f>
        <v/>
      </c>
      <c r="BB1793" s="2" t="str">
        <f>IF(OR(""&amp;$F1793="2",""&amp;$F1793="4",""&amp;$F1793="G",""&amp;$F1793="H"),IF($AY1793="YES","",IF($AB1793&lt;&gt;0,"",IF(COUNTIFS('AR SALES'!$L$2:$L$2501,$L1793,'AR SALES'!$AD$2:$AD$2501,IF(""&amp;$F1793="4","OFF","ON"),'AR SALES'!$AF$2:$AF$2501,"Y")&gt;0,"","NO EXEMPTION"))),"")</f>
        <v/>
      </c>
    </row>
    <row r="1794" spans="46:54" x14ac:dyDescent="0.25">
      <c r="AT1794" s="2" t="str">
        <f>IF($L1794="","",IFERROR(INDEX('AR SALES'!$H$2:$H$2501,MATCH(""&amp;$L1794,'AR SALES'!$AE$2:$AE$2501,0)),""))</f>
        <v/>
      </c>
      <c r="AU1794" s="2" t="str">
        <f t="shared" ref="AU1794:AU1857" si="112">IF($L1794="","",IF($A1794&lt;&gt;"GA","",IF($E1794="FULTON",IF(ISNUMBER(SEARCH("COLLEGE PARK",$AT1794)),"FULTON (COLLEGE PARK)",IF(ISNUMBER(SEARCH("ATLANTA CITY",$AT1794)),"FULTON (ATL LIMITS)","FULTON")),IF($E1794="DEKALB",IF(ISNUMBER(SEARCH("ATLANTA CITY",$AT1794)),"DEKALB (ATL LIMITS)","DEKALB"),$E1794))))</f>
        <v/>
      </c>
      <c r="AV1794" s="2" t="str">
        <f t="shared" ref="AV1794:AV1857" si="113">IF($L1794="","",IF(""&amp;$F1794="2","DIESEL",IF(OR(""&amp;$F1794="G",""&amp;$F1794="H"),"GAS","")))</f>
        <v/>
      </c>
      <c r="AW1794" s="2" t="str">
        <f t="shared" ref="AW1794:AW1857" si="114">IF($AV1794="","",$R1794)</f>
        <v/>
      </c>
      <c r="AX1794" s="2" t="str">
        <f t="shared" ref="AX1794:AX1857" si="115">IF($AV1794="","",IF($AB1794=0,$R1794,0))</f>
        <v/>
      </c>
      <c r="AY1794" s="2" t="str">
        <f>IF($AV1794="","",IF(AND($Z1794=0,COUNTIF('AR SALES'!$L$2:$L$2501,$L1794)=0),"YES",""))</f>
        <v/>
      </c>
      <c r="AZ1794" s="2" t="str">
        <f>IF($AV1794="","",IF(COUNTIF(LISTS!$C$2:$C$250,$AU1794)=0,"NEW",""))</f>
        <v/>
      </c>
      <c r="BA1794" s="2" t="str">
        <f>IF(""&amp;$F1794&lt;&gt;"4","",IF($AY1794="YES","",IF(ROUND(SUMIFS($AE$2:$AE$4001,$L$2:$L$4001,$L1794,$F$2:$F$4001,"4")-SUMIFS('AR SALES'!$Y$2:$Y$2501,'AR SALES'!$L$2:$L$2501,$L1794,'AR SALES'!$AD$2:$AD$2501,"OFF"),2)=0,"","STALE")))</f>
        <v/>
      </c>
      <c r="BB1794" s="2" t="str">
        <f>IF(OR(""&amp;$F1794="2",""&amp;$F1794="4",""&amp;$F1794="G",""&amp;$F1794="H"),IF($AY1794="YES","",IF($AB1794&lt;&gt;0,"",IF(COUNTIFS('AR SALES'!$L$2:$L$2501,$L1794,'AR SALES'!$AD$2:$AD$2501,IF(""&amp;$F1794="4","OFF","ON"),'AR SALES'!$AF$2:$AF$2501,"Y")&gt;0,"","NO EXEMPTION"))),"")</f>
        <v/>
      </c>
    </row>
    <row r="1795" spans="46:54" x14ac:dyDescent="0.25">
      <c r="AT1795" s="2" t="str">
        <f>IF($L1795="","",IFERROR(INDEX('AR SALES'!$H$2:$H$2501,MATCH(""&amp;$L1795,'AR SALES'!$AE$2:$AE$2501,0)),""))</f>
        <v/>
      </c>
      <c r="AU1795" s="2" t="str">
        <f t="shared" si="112"/>
        <v/>
      </c>
      <c r="AV1795" s="2" t="str">
        <f t="shared" si="113"/>
        <v/>
      </c>
      <c r="AW1795" s="2" t="str">
        <f t="shared" si="114"/>
        <v/>
      </c>
      <c r="AX1795" s="2" t="str">
        <f t="shared" si="115"/>
        <v/>
      </c>
      <c r="AY1795" s="2" t="str">
        <f>IF($AV1795="","",IF(AND($Z1795=0,COUNTIF('AR SALES'!$L$2:$L$2501,$L1795)=0),"YES",""))</f>
        <v/>
      </c>
      <c r="AZ1795" s="2" t="str">
        <f>IF($AV1795="","",IF(COUNTIF(LISTS!$C$2:$C$250,$AU1795)=0,"NEW",""))</f>
        <v/>
      </c>
      <c r="BA1795" s="2" t="str">
        <f>IF(""&amp;$F1795&lt;&gt;"4","",IF($AY1795="YES","",IF(ROUND(SUMIFS($AE$2:$AE$4001,$L$2:$L$4001,$L1795,$F$2:$F$4001,"4")-SUMIFS('AR SALES'!$Y$2:$Y$2501,'AR SALES'!$L$2:$L$2501,$L1795,'AR SALES'!$AD$2:$AD$2501,"OFF"),2)=0,"","STALE")))</f>
        <v/>
      </c>
      <c r="BB1795" s="2" t="str">
        <f>IF(OR(""&amp;$F1795="2",""&amp;$F1795="4",""&amp;$F1795="G",""&amp;$F1795="H"),IF($AY1795="YES","",IF($AB1795&lt;&gt;0,"",IF(COUNTIFS('AR SALES'!$L$2:$L$2501,$L1795,'AR SALES'!$AD$2:$AD$2501,IF(""&amp;$F1795="4","OFF","ON"),'AR SALES'!$AF$2:$AF$2501,"Y")&gt;0,"","NO EXEMPTION"))),"")</f>
        <v/>
      </c>
    </row>
    <row r="1796" spans="46:54" x14ac:dyDescent="0.25">
      <c r="AT1796" s="2" t="str">
        <f>IF($L1796="","",IFERROR(INDEX('AR SALES'!$H$2:$H$2501,MATCH(""&amp;$L1796,'AR SALES'!$AE$2:$AE$2501,0)),""))</f>
        <v/>
      </c>
      <c r="AU1796" s="2" t="str">
        <f t="shared" si="112"/>
        <v/>
      </c>
      <c r="AV1796" s="2" t="str">
        <f t="shared" si="113"/>
        <v/>
      </c>
      <c r="AW1796" s="2" t="str">
        <f t="shared" si="114"/>
        <v/>
      </c>
      <c r="AX1796" s="2" t="str">
        <f t="shared" si="115"/>
        <v/>
      </c>
      <c r="AY1796" s="2" t="str">
        <f>IF($AV1796="","",IF(AND($Z1796=0,COUNTIF('AR SALES'!$L$2:$L$2501,$L1796)=0),"YES",""))</f>
        <v/>
      </c>
      <c r="AZ1796" s="2" t="str">
        <f>IF($AV1796="","",IF(COUNTIF(LISTS!$C$2:$C$250,$AU1796)=0,"NEW",""))</f>
        <v/>
      </c>
      <c r="BA1796" s="2" t="str">
        <f>IF(""&amp;$F1796&lt;&gt;"4","",IF($AY1796="YES","",IF(ROUND(SUMIFS($AE$2:$AE$4001,$L$2:$L$4001,$L1796,$F$2:$F$4001,"4")-SUMIFS('AR SALES'!$Y$2:$Y$2501,'AR SALES'!$L$2:$L$2501,$L1796,'AR SALES'!$AD$2:$AD$2501,"OFF"),2)=0,"","STALE")))</f>
        <v/>
      </c>
      <c r="BB1796" s="2" t="str">
        <f>IF(OR(""&amp;$F1796="2",""&amp;$F1796="4",""&amp;$F1796="G",""&amp;$F1796="H"),IF($AY1796="YES","",IF($AB1796&lt;&gt;0,"",IF(COUNTIFS('AR SALES'!$L$2:$L$2501,$L1796,'AR SALES'!$AD$2:$AD$2501,IF(""&amp;$F1796="4","OFF","ON"),'AR SALES'!$AF$2:$AF$2501,"Y")&gt;0,"","NO EXEMPTION"))),"")</f>
        <v/>
      </c>
    </row>
    <row r="1797" spans="46:54" x14ac:dyDescent="0.25">
      <c r="AT1797" s="2" t="str">
        <f>IF($L1797="","",IFERROR(INDEX('AR SALES'!$H$2:$H$2501,MATCH(""&amp;$L1797,'AR SALES'!$AE$2:$AE$2501,0)),""))</f>
        <v/>
      </c>
      <c r="AU1797" s="2" t="str">
        <f t="shared" si="112"/>
        <v/>
      </c>
      <c r="AV1797" s="2" t="str">
        <f t="shared" si="113"/>
        <v/>
      </c>
      <c r="AW1797" s="2" t="str">
        <f t="shared" si="114"/>
        <v/>
      </c>
      <c r="AX1797" s="2" t="str">
        <f t="shared" si="115"/>
        <v/>
      </c>
      <c r="AY1797" s="2" t="str">
        <f>IF($AV1797="","",IF(AND($Z1797=0,COUNTIF('AR SALES'!$L$2:$L$2501,$L1797)=0),"YES",""))</f>
        <v/>
      </c>
      <c r="AZ1797" s="2" t="str">
        <f>IF($AV1797="","",IF(COUNTIF(LISTS!$C$2:$C$250,$AU1797)=0,"NEW",""))</f>
        <v/>
      </c>
      <c r="BA1797" s="2" t="str">
        <f>IF(""&amp;$F1797&lt;&gt;"4","",IF($AY1797="YES","",IF(ROUND(SUMIFS($AE$2:$AE$4001,$L$2:$L$4001,$L1797,$F$2:$F$4001,"4")-SUMIFS('AR SALES'!$Y$2:$Y$2501,'AR SALES'!$L$2:$L$2501,$L1797,'AR SALES'!$AD$2:$AD$2501,"OFF"),2)=0,"","STALE")))</f>
        <v/>
      </c>
      <c r="BB1797" s="2" t="str">
        <f>IF(OR(""&amp;$F1797="2",""&amp;$F1797="4",""&amp;$F1797="G",""&amp;$F1797="H"),IF($AY1797="YES","",IF($AB1797&lt;&gt;0,"",IF(COUNTIFS('AR SALES'!$L$2:$L$2501,$L1797,'AR SALES'!$AD$2:$AD$2501,IF(""&amp;$F1797="4","OFF","ON"),'AR SALES'!$AF$2:$AF$2501,"Y")&gt;0,"","NO EXEMPTION"))),"")</f>
        <v/>
      </c>
    </row>
    <row r="1798" spans="46:54" x14ac:dyDescent="0.25">
      <c r="AT1798" s="2" t="str">
        <f>IF($L1798="","",IFERROR(INDEX('AR SALES'!$H$2:$H$2501,MATCH(""&amp;$L1798,'AR SALES'!$AE$2:$AE$2501,0)),""))</f>
        <v/>
      </c>
      <c r="AU1798" s="2" t="str">
        <f t="shared" si="112"/>
        <v/>
      </c>
      <c r="AV1798" s="2" t="str">
        <f t="shared" si="113"/>
        <v/>
      </c>
      <c r="AW1798" s="2" t="str">
        <f t="shared" si="114"/>
        <v/>
      </c>
      <c r="AX1798" s="2" t="str">
        <f t="shared" si="115"/>
        <v/>
      </c>
      <c r="AY1798" s="2" t="str">
        <f>IF($AV1798="","",IF(AND($Z1798=0,COUNTIF('AR SALES'!$L$2:$L$2501,$L1798)=0),"YES",""))</f>
        <v/>
      </c>
      <c r="AZ1798" s="2" t="str">
        <f>IF($AV1798="","",IF(COUNTIF(LISTS!$C$2:$C$250,$AU1798)=0,"NEW",""))</f>
        <v/>
      </c>
      <c r="BA1798" s="2" t="str">
        <f>IF(""&amp;$F1798&lt;&gt;"4","",IF($AY1798="YES","",IF(ROUND(SUMIFS($AE$2:$AE$4001,$L$2:$L$4001,$L1798,$F$2:$F$4001,"4")-SUMIFS('AR SALES'!$Y$2:$Y$2501,'AR SALES'!$L$2:$L$2501,$L1798,'AR SALES'!$AD$2:$AD$2501,"OFF"),2)=0,"","STALE")))</f>
        <v/>
      </c>
      <c r="BB1798" s="2" t="str">
        <f>IF(OR(""&amp;$F1798="2",""&amp;$F1798="4",""&amp;$F1798="G",""&amp;$F1798="H"),IF($AY1798="YES","",IF($AB1798&lt;&gt;0,"",IF(COUNTIFS('AR SALES'!$L$2:$L$2501,$L1798,'AR SALES'!$AD$2:$AD$2501,IF(""&amp;$F1798="4","OFF","ON"),'AR SALES'!$AF$2:$AF$2501,"Y")&gt;0,"","NO EXEMPTION"))),"")</f>
        <v/>
      </c>
    </row>
    <row r="1799" spans="46:54" x14ac:dyDescent="0.25">
      <c r="AT1799" s="2" t="str">
        <f>IF($L1799="","",IFERROR(INDEX('AR SALES'!$H$2:$H$2501,MATCH(""&amp;$L1799,'AR SALES'!$AE$2:$AE$2501,0)),""))</f>
        <v/>
      </c>
      <c r="AU1799" s="2" t="str">
        <f t="shared" si="112"/>
        <v/>
      </c>
      <c r="AV1799" s="2" t="str">
        <f t="shared" si="113"/>
        <v/>
      </c>
      <c r="AW1799" s="2" t="str">
        <f t="shared" si="114"/>
        <v/>
      </c>
      <c r="AX1799" s="2" t="str">
        <f t="shared" si="115"/>
        <v/>
      </c>
      <c r="AY1799" s="2" t="str">
        <f>IF($AV1799="","",IF(AND($Z1799=0,COUNTIF('AR SALES'!$L$2:$L$2501,$L1799)=0),"YES",""))</f>
        <v/>
      </c>
      <c r="AZ1799" s="2" t="str">
        <f>IF($AV1799="","",IF(COUNTIF(LISTS!$C$2:$C$250,$AU1799)=0,"NEW",""))</f>
        <v/>
      </c>
      <c r="BA1799" s="2" t="str">
        <f>IF(""&amp;$F1799&lt;&gt;"4","",IF($AY1799="YES","",IF(ROUND(SUMIFS($AE$2:$AE$4001,$L$2:$L$4001,$L1799,$F$2:$F$4001,"4")-SUMIFS('AR SALES'!$Y$2:$Y$2501,'AR SALES'!$L$2:$L$2501,$L1799,'AR SALES'!$AD$2:$AD$2501,"OFF"),2)=0,"","STALE")))</f>
        <v/>
      </c>
      <c r="BB1799" s="2" t="str">
        <f>IF(OR(""&amp;$F1799="2",""&amp;$F1799="4",""&amp;$F1799="G",""&amp;$F1799="H"),IF($AY1799="YES","",IF($AB1799&lt;&gt;0,"",IF(COUNTIFS('AR SALES'!$L$2:$L$2501,$L1799,'AR SALES'!$AD$2:$AD$2501,IF(""&amp;$F1799="4","OFF","ON"),'AR SALES'!$AF$2:$AF$2501,"Y")&gt;0,"","NO EXEMPTION"))),"")</f>
        <v/>
      </c>
    </row>
    <row r="1800" spans="46:54" x14ac:dyDescent="0.25">
      <c r="AT1800" s="2" t="str">
        <f>IF($L1800="","",IFERROR(INDEX('AR SALES'!$H$2:$H$2501,MATCH(""&amp;$L1800,'AR SALES'!$AE$2:$AE$2501,0)),""))</f>
        <v/>
      </c>
      <c r="AU1800" s="2" t="str">
        <f t="shared" si="112"/>
        <v/>
      </c>
      <c r="AV1800" s="2" t="str">
        <f t="shared" si="113"/>
        <v/>
      </c>
      <c r="AW1800" s="2" t="str">
        <f t="shared" si="114"/>
        <v/>
      </c>
      <c r="AX1800" s="2" t="str">
        <f t="shared" si="115"/>
        <v/>
      </c>
      <c r="AY1800" s="2" t="str">
        <f>IF($AV1800="","",IF(AND($Z1800=0,COUNTIF('AR SALES'!$L$2:$L$2501,$L1800)=0),"YES",""))</f>
        <v/>
      </c>
      <c r="AZ1800" s="2" t="str">
        <f>IF($AV1800="","",IF(COUNTIF(LISTS!$C$2:$C$250,$AU1800)=0,"NEW",""))</f>
        <v/>
      </c>
      <c r="BA1800" s="2" t="str">
        <f>IF(""&amp;$F1800&lt;&gt;"4","",IF($AY1800="YES","",IF(ROUND(SUMIFS($AE$2:$AE$4001,$L$2:$L$4001,$L1800,$F$2:$F$4001,"4")-SUMIFS('AR SALES'!$Y$2:$Y$2501,'AR SALES'!$L$2:$L$2501,$L1800,'AR SALES'!$AD$2:$AD$2501,"OFF"),2)=0,"","STALE")))</f>
        <v/>
      </c>
      <c r="BB1800" s="2" t="str">
        <f>IF(OR(""&amp;$F1800="2",""&amp;$F1800="4",""&amp;$F1800="G",""&amp;$F1800="H"),IF($AY1800="YES","",IF($AB1800&lt;&gt;0,"",IF(COUNTIFS('AR SALES'!$L$2:$L$2501,$L1800,'AR SALES'!$AD$2:$AD$2501,IF(""&amp;$F1800="4","OFF","ON"),'AR SALES'!$AF$2:$AF$2501,"Y")&gt;0,"","NO EXEMPTION"))),"")</f>
        <v/>
      </c>
    </row>
    <row r="1801" spans="46:54" x14ac:dyDescent="0.25">
      <c r="AT1801" s="2" t="str">
        <f>IF($L1801="","",IFERROR(INDEX('AR SALES'!$H$2:$H$2501,MATCH(""&amp;$L1801,'AR SALES'!$AE$2:$AE$2501,0)),""))</f>
        <v/>
      </c>
      <c r="AU1801" s="2" t="str">
        <f t="shared" si="112"/>
        <v/>
      </c>
      <c r="AV1801" s="2" t="str">
        <f t="shared" si="113"/>
        <v/>
      </c>
      <c r="AW1801" s="2" t="str">
        <f t="shared" si="114"/>
        <v/>
      </c>
      <c r="AX1801" s="2" t="str">
        <f t="shared" si="115"/>
        <v/>
      </c>
      <c r="AY1801" s="2" t="str">
        <f>IF($AV1801="","",IF(AND($Z1801=0,COUNTIF('AR SALES'!$L$2:$L$2501,$L1801)=0),"YES",""))</f>
        <v/>
      </c>
      <c r="AZ1801" s="2" t="str">
        <f>IF($AV1801="","",IF(COUNTIF(LISTS!$C$2:$C$250,$AU1801)=0,"NEW",""))</f>
        <v/>
      </c>
      <c r="BA1801" s="2" t="str">
        <f>IF(""&amp;$F1801&lt;&gt;"4","",IF($AY1801="YES","",IF(ROUND(SUMIFS($AE$2:$AE$4001,$L$2:$L$4001,$L1801,$F$2:$F$4001,"4")-SUMIFS('AR SALES'!$Y$2:$Y$2501,'AR SALES'!$L$2:$L$2501,$L1801,'AR SALES'!$AD$2:$AD$2501,"OFF"),2)=0,"","STALE")))</f>
        <v/>
      </c>
      <c r="BB1801" s="2" t="str">
        <f>IF(OR(""&amp;$F1801="2",""&amp;$F1801="4",""&amp;$F1801="G",""&amp;$F1801="H"),IF($AY1801="YES","",IF($AB1801&lt;&gt;0,"",IF(COUNTIFS('AR SALES'!$L$2:$L$2501,$L1801,'AR SALES'!$AD$2:$AD$2501,IF(""&amp;$F1801="4","OFF","ON"),'AR SALES'!$AF$2:$AF$2501,"Y")&gt;0,"","NO EXEMPTION"))),"")</f>
        <v/>
      </c>
    </row>
    <row r="1802" spans="46:54" x14ac:dyDescent="0.25">
      <c r="AT1802" s="2" t="str">
        <f>IF($L1802="","",IFERROR(INDEX('AR SALES'!$H$2:$H$2501,MATCH(""&amp;$L1802,'AR SALES'!$AE$2:$AE$2501,0)),""))</f>
        <v/>
      </c>
      <c r="AU1802" s="2" t="str">
        <f t="shared" si="112"/>
        <v/>
      </c>
      <c r="AV1802" s="2" t="str">
        <f t="shared" si="113"/>
        <v/>
      </c>
      <c r="AW1802" s="2" t="str">
        <f t="shared" si="114"/>
        <v/>
      </c>
      <c r="AX1802" s="2" t="str">
        <f t="shared" si="115"/>
        <v/>
      </c>
      <c r="AY1802" s="2" t="str">
        <f>IF($AV1802="","",IF(AND($Z1802=0,COUNTIF('AR SALES'!$L$2:$L$2501,$L1802)=0),"YES",""))</f>
        <v/>
      </c>
      <c r="AZ1802" s="2" t="str">
        <f>IF($AV1802="","",IF(COUNTIF(LISTS!$C$2:$C$250,$AU1802)=0,"NEW",""))</f>
        <v/>
      </c>
      <c r="BA1802" s="2" t="str">
        <f>IF(""&amp;$F1802&lt;&gt;"4","",IF($AY1802="YES","",IF(ROUND(SUMIFS($AE$2:$AE$4001,$L$2:$L$4001,$L1802,$F$2:$F$4001,"4")-SUMIFS('AR SALES'!$Y$2:$Y$2501,'AR SALES'!$L$2:$L$2501,$L1802,'AR SALES'!$AD$2:$AD$2501,"OFF"),2)=0,"","STALE")))</f>
        <v/>
      </c>
      <c r="BB1802" s="2" t="str">
        <f>IF(OR(""&amp;$F1802="2",""&amp;$F1802="4",""&amp;$F1802="G",""&amp;$F1802="H"),IF($AY1802="YES","",IF($AB1802&lt;&gt;0,"",IF(COUNTIFS('AR SALES'!$L$2:$L$2501,$L1802,'AR SALES'!$AD$2:$AD$2501,IF(""&amp;$F1802="4","OFF","ON"),'AR SALES'!$AF$2:$AF$2501,"Y")&gt;0,"","NO EXEMPTION"))),"")</f>
        <v/>
      </c>
    </row>
    <row r="1803" spans="46:54" x14ac:dyDescent="0.25">
      <c r="AT1803" s="2" t="str">
        <f>IF($L1803="","",IFERROR(INDEX('AR SALES'!$H$2:$H$2501,MATCH(""&amp;$L1803,'AR SALES'!$AE$2:$AE$2501,0)),""))</f>
        <v/>
      </c>
      <c r="AU1803" s="2" t="str">
        <f t="shared" si="112"/>
        <v/>
      </c>
      <c r="AV1803" s="2" t="str">
        <f t="shared" si="113"/>
        <v/>
      </c>
      <c r="AW1803" s="2" t="str">
        <f t="shared" si="114"/>
        <v/>
      </c>
      <c r="AX1803" s="2" t="str">
        <f t="shared" si="115"/>
        <v/>
      </c>
      <c r="AY1803" s="2" t="str">
        <f>IF($AV1803="","",IF(AND($Z1803=0,COUNTIF('AR SALES'!$L$2:$L$2501,$L1803)=0),"YES",""))</f>
        <v/>
      </c>
      <c r="AZ1803" s="2" t="str">
        <f>IF($AV1803="","",IF(COUNTIF(LISTS!$C$2:$C$250,$AU1803)=0,"NEW",""))</f>
        <v/>
      </c>
      <c r="BA1803" s="2" t="str">
        <f>IF(""&amp;$F1803&lt;&gt;"4","",IF($AY1803="YES","",IF(ROUND(SUMIFS($AE$2:$AE$4001,$L$2:$L$4001,$L1803,$F$2:$F$4001,"4")-SUMIFS('AR SALES'!$Y$2:$Y$2501,'AR SALES'!$L$2:$L$2501,$L1803,'AR SALES'!$AD$2:$AD$2501,"OFF"),2)=0,"","STALE")))</f>
        <v/>
      </c>
      <c r="BB1803" s="2" t="str">
        <f>IF(OR(""&amp;$F1803="2",""&amp;$F1803="4",""&amp;$F1803="G",""&amp;$F1803="H"),IF($AY1803="YES","",IF($AB1803&lt;&gt;0,"",IF(COUNTIFS('AR SALES'!$L$2:$L$2501,$L1803,'AR SALES'!$AD$2:$AD$2501,IF(""&amp;$F1803="4","OFF","ON"),'AR SALES'!$AF$2:$AF$2501,"Y")&gt;0,"","NO EXEMPTION"))),"")</f>
        <v/>
      </c>
    </row>
    <row r="1804" spans="46:54" x14ac:dyDescent="0.25">
      <c r="AT1804" s="2" t="str">
        <f>IF($L1804="","",IFERROR(INDEX('AR SALES'!$H$2:$H$2501,MATCH(""&amp;$L1804,'AR SALES'!$AE$2:$AE$2501,0)),""))</f>
        <v/>
      </c>
      <c r="AU1804" s="2" t="str">
        <f t="shared" si="112"/>
        <v/>
      </c>
      <c r="AV1804" s="2" t="str">
        <f t="shared" si="113"/>
        <v/>
      </c>
      <c r="AW1804" s="2" t="str">
        <f t="shared" si="114"/>
        <v/>
      </c>
      <c r="AX1804" s="2" t="str">
        <f t="shared" si="115"/>
        <v/>
      </c>
      <c r="AY1804" s="2" t="str">
        <f>IF($AV1804="","",IF(AND($Z1804=0,COUNTIF('AR SALES'!$L$2:$L$2501,$L1804)=0),"YES",""))</f>
        <v/>
      </c>
      <c r="AZ1804" s="2" t="str">
        <f>IF($AV1804="","",IF(COUNTIF(LISTS!$C$2:$C$250,$AU1804)=0,"NEW",""))</f>
        <v/>
      </c>
      <c r="BA1804" s="2" t="str">
        <f>IF(""&amp;$F1804&lt;&gt;"4","",IF($AY1804="YES","",IF(ROUND(SUMIFS($AE$2:$AE$4001,$L$2:$L$4001,$L1804,$F$2:$F$4001,"4")-SUMIFS('AR SALES'!$Y$2:$Y$2501,'AR SALES'!$L$2:$L$2501,$L1804,'AR SALES'!$AD$2:$AD$2501,"OFF"),2)=0,"","STALE")))</f>
        <v/>
      </c>
      <c r="BB1804" s="2" t="str">
        <f>IF(OR(""&amp;$F1804="2",""&amp;$F1804="4",""&amp;$F1804="G",""&amp;$F1804="H"),IF($AY1804="YES","",IF($AB1804&lt;&gt;0,"",IF(COUNTIFS('AR SALES'!$L$2:$L$2501,$L1804,'AR SALES'!$AD$2:$AD$2501,IF(""&amp;$F1804="4","OFF","ON"),'AR SALES'!$AF$2:$AF$2501,"Y")&gt;0,"","NO EXEMPTION"))),"")</f>
        <v/>
      </c>
    </row>
    <row r="1805" spans="46:54" x14ac:dyDescent="0.25">
      <c r="AT1805" s="2" t="str">
        <f>IF($L1805="","",IFERROR(INDEX('AR SALES'!$H$2:$H$2501,MATCH(""&amp;$L1805,'AR SALES'!$AE$2:$AE$2501,0)),""))</f>
        <v/>
      </c>
      <c r="AU1805" s="2" t="str">
        <f t="shared" si="112"/>
        <v/>
      </c>
      <c r="AV1805" s="2" t="str">
        <f t="shared" si="113"/>
        <v/>
      </c>
      <c r="AW1805" s="2" t="str">
        <f t="shared" si="114"/>
        <v/>
      </c>
      <c r="AX1805" s="2" t="str">
        <f t="shared" si="115"/>
        <v/>
      </c>
      <c r="AY1805" s="2" t="str">
        <f>IF($AV1805="","",IF(AND($Z1805=0,COUNTIF('AR SALES'!$L$2:$L$2501,$L1805)=0),"YES",""))</f>
        <v/>
      </c>
      <c r="AZ1805" s="2" t="str">
        <f>IF($AV1805="","",IF(COUNTIF(LISTS!$C$2:$C$250,$AU1805)=0,"NEW",""))</f>
        <v/>
      </c>
      <c r="BA1805" s="2" t="str">
        <f>IF(""&amp;$F1805&lt;&gt;"4","",IF($AY1805="YES","",IF(ROUND(SUMIFS($AE$2:$AE$4001,$L$2:$L$4001,$L1805,$F$2:$F$4001,"4")-SUMIFS('AR SALES'!$Y$2:$Y$2501,'AR SALES'!$L$2:$L$2501,$L1805,'AR SALES'!$AD$2:$AD$2501,"OFF"),2)=0,"","STALE")))</f>
        <v/>
      </c>
      <c r="BB1805" s="2" t="str">
        <f>IF(OR(""&amp;$F1805="2",""&amp;$F1805="4",""&amp;$F1805="G",""&amp;$F1805="H"),IF($AY1805="YES","",IF($AB1805&lt;&gt;0,"",IF(COUNTIFS('AR SALES'!$L$2:$L$2501,$L1805,'AR SALES'!$AD$2:$AD$2501,IF(""&amp;$F1805="4","OFF","ON"),'AR SALES'!$AF$2:$AF$2501,"Y")&gt;0,"","NO EXEMPTION"))),"")</f>
        <v/>
      </c>
    </row>
    <row r="1806" spans="46:54" x14ac:dyDescent="0.25">
      <c r="AT1806" s="2" t="str">
        <f>IF($L1806="","",IFERROR(INDEX('AR SALES'!$H$2:$H$2501,MATCH(""&amp;$L1806,'AR SALES'!$AE$2:$AE$2501,0)),""))</f>
        <v/>
      </c>
      <c r="AU1806" s="2" t="str">
        <f t="shared" si="112"/>
        <v/>
      </c>
      <c r="AV1806" s="2" t="str">
        <f t="shared" si="113"/>
        <v/>
      </c>
      <c r="AW1806" s="2" t="str">
        <f t="shared" si="114"/>
        <v/>
      </c>
      <c r="AX1806" s="2" t="str">
        <f t="shared" si="115"/>
        <v/>
      </c>
      <c r="AY1806" s="2" t="str">
        <f>IF($AV1806="","",IF(AND($Z1806=0,COUNTIF('AR SALES'!$L$2:$L$2501,$L1806)=0),"YES",""))</f>
        <v/>
      </c>
      <c r="AZ1806" s="2" t="str">
        <f>IF($AV1806="","",IF(COUNTIF(LISTS!$C$2:$C$250,$AU1806)=0,"NEW",""))</f>
        <v/>
      </c>
      <c r="BA1806" s="2" t="str">
        <f>IF(""&amp;$F1806&lt;&gt;"4","",IF($AY1806="YES","",IF(ROUND(SUMIFS($AE$2:$AE$4001,$L$2:$L$4001,$L1806,$F$2:$F$4001,"4")-SUMIFS('AR SALES'!$Y$2:$Y$2501,'AR SALES'!$L$2:$L$2501,$L1806,'AR SALES'!$AD$2:$AD$2501,"OFF"),2)=0,"","STALE")))</f>
        <v/>
      </c>
      <c r="BB1806" s="2" t="str">
        <f>IF(OR(""&amp;$F1806="2",""&amp;$F1806="4",""&amp;$F1806="G",""&amp;$F1806="H"),IF($AY1806="YES","",IF($AB1806&lt;&gt;0,"",IF(COUNTIFS('AR SALES'!$L$2:$L$2501,$L1806,'AR SALES'!$AD$2:$AD$2501,IF(""&amp;$F1806="4","OFF","ON"),'AR SALES'!$AF$2:$AF$2501,"Y")&gt;0,"","NO EXEMPTION"))),"")</f>
        <v/>
      </c>
    </row>
    <row r="1807" spans="46:54" x14ac:dyDescent="0.25">
      <c r="AT1807" s="2" t="str">
        <f>IF($L1807="","",IFERROR(INDEX('AR SALES'!$H$2:$H$2501,MATCH(""&amp;$L1807,'AR SALES'!$AE$2:$AE$2501,0)),""))</f>
        <v/>
      </c>
      <c r="AU1807" s="2" t="str">
        <f t="shared" si="112"/>
        <v/>
      </c>
      <c r="AV1807" s="2" t="str">
        <f t="shared" si="113"/>
        <v/>
      </c>
      <c r="AW1807" s="2" t="str">
        <f t="shared" si="114"/>
        <v/>
      </c>
      <c r="AX1807" s="2" t="str">
        <f t="shared" si="115"/>
        <v/>
      </c>
      <c r="AY1807" s="2" t="str">
        <f>IF($AV1807="","",IF(AND($Z1807=0,COUNTIF('AR SALES'!$L$2:$L$2501,$L1807)=0),"YES",""))</f>
        <v/>
      </c>
      <c r="AZ1807" s="2" t="str">
        <f>IF($AV1807="","",IF(COUNTIF(LISTS!$C$2:$C$250,$AU1807)=0,"NEW",""))</f>
        <v/>
      </c>
      <c r="BA1807" s="2" t="str">
        <f>IF(""&amp;$F1807&lt;&gt;"4","",IF($AY1807="YES","",IF(ROUND(SUMIFS($AE$2:$AE$4001,$L$2:$L$4001,$L1807,$F$2:$F$4001,"4")-SUMIFS('AR SALES'!$Y$2:$Y$2501,'AR SALES'!$L$2:$L$2501,$L1807,'AR SALES'!$AD$2:$AD$2501,"OFF"),2)=0,"","STALE")))</f>
        <v/>
      </c>
      <c r="BB1807" s="2" t="str">
        <f>IF(OR(""&amp;$F1807="2",""&amp;$F1807="4",""&amp;$F1807="G",""&amp;$F1807="H"),IF($AY1807="YES","",IF($AB1807&lt;&gt;0,"",IF(COUNTIFS('AR SALES'!$L$2:$L$2501,$L1807,'AR SALES'!$AD$2:$AD$2501,IF(""&amp;$F1807="4","OFF","ON"),'AR SALES'!$AF$2:$AF$2501,"Y")&gt;0,"","NO EXEMPTION"))),"")</f>
        <v/>
      </c>
    </row>
    <row r="1808" spans="46:54" x14ac:dyDescent="0.25">
      <c r="AT1808" s="2" t="str">
        <f>IF($L1808="","",IFERROR(INDEX('AR SALES'!$H$2:$H$2501,MATCH(""&amp;$L1808,'AR SALES'!$AE$2:$AE$2501,0)),""))</f>
        <v/>
      </c>
      <c r="AU1808" s="2" t="str">
        <f t="shared" si="112"/>
        <v/>
      </c>
      <c r="AV1808" s="2" t="str">
        <f t="shared" si="113"/>
        <v/>
      </c>
      <c r="AW1808" s="2" t="str">
        <f t="shared" si="114"/>
        <v/>
      </c>
      <c r="AX1808" s="2" t="str">
        <f t="shared" si="115"/>
        <v/>
      </c>
      <c r="AY1808" s="2" t="str">
        <f>IF($AV1808="","",IF(AND($Z1808=0,COUNTIF('AR SALES'!$L$2:$L$2501,$L1808)=0),"YES",""))</f>
        <v/>
      </c>
      <c r="AZ1808" s="2" t="str">
        <f>IF($AV1808="","",IF(COUNTIF(LISTS!$C$2:$C$250,$AU1808)=0,"NEW",""))</f>
        <v/>
      </c>
      <c r="BA1808" s="2" t="str">
        <f>IF(""&amp;$F1808&lt;&gt;"4","",IF($AY1808="YES","",IF(ROUND(SUMIFS($AE$2:$AE$4001,$L$2:$L$4001,$L1808,$F$2:$F$4001,"4")-SUMIFS('AR SALES'!$Y$2:$Y$2501,'AR SALES'!$L$2:$L$2501,$L1808,'AR SALES'!$AD$2:$AD$2501,"OFF"),2)=0,"","STALE")))</f>
        <v/>
      </c>
      <c r="BB1808" s="2" t="str">
        <f>IF(OR(""&amp;$F1808="2",""&amp;$F1808="4",""&amp;$F1808="G",""&amp;$F1808="H"),IF($AY1808="YES","",IF($AB1808&lt;&gt;0,"",IF(COUNTIFS('AR SALES'!$L$2:$L$2501,$L1808,'AR SALES'!$AD$2:$AD$2501,IF(""&amp;$F1808="4","OFF","ON"),'AR SALES'!$AF$2:$AF$2501,"Y")&gt;0,"","NO EXEMPTION"))),"")</f>
        <v/>
      </c>
    </row>
    <row r="1809" spans="46:54" x14ac:dyDescent="0.25">
      <c r="AT1809" s="2" t="str">
        <f>IF($L1809="","",IFERROR(INDEX('AR SALES'!$H$2:$H$2501,MATCH(""&amp;$L1809,'AR SALES'!$AE$2:$AE$2501,0)),""))</f>
        <v/>
      </c>
      <c r="AU1809" s="2" t="str">
        <f t="shared" si="112"/>
        <v/>
      </c>
      <c r="AV1809" s="2" t="str">
        <f t="shared" si="113"/>
        <v/>
      </c>
      <c r="AW1809" s="2" t="str">
        <f t="shared" si="114"/>
        <v/>
      </c>
      <c r="AX1809" s="2" t="str">
        <f t="shared" si="115"/>
        <v/>
      </c>
      <c r="AY1809" s="2" t="str">
        <f>IF($AV1809="","",IF(AND($Z1809=0,COUNTIF('AR SALES'!$L$2:$L$2501,$L1809)=0),"YES",""))</f>
        <v/>
      </c>
      <c r="AZ1809" s="2" t="str">
        <f>IF($AV1809="","",IF(COUNTIF(LISTS!$C$2:$C$250,$AU1809)=0,"NEW",""))</f>
        <v/>
      </c>
      <c r="BA1809" s="2" t="str">
        <f>IF(""&amp;$F1809&lt;&gt;"4","",IF($AY1809="YES","",IF(ROUND(SUMIFS($AE$2:$AE$4001,$L$2:$L$4001,$L1809,$F$2:$F$4001,"4")-SUMIFS('AR SALES'!$Y$2:$Y$2501,'AR SALES'!$L$2:$L$2501,$L1809,'AR SALES'!$AD$2:$AD$2501,"OFF"),2)=0,"","STALE")))</f>
        <v/>
      </c>
      <c r="BB1809" s="2" t="str">
        <f>IF(OR(""&amp;$F1809="2",""&amp;$F1809="4",""&amp;$F1809="G",""&amp;$F1809="H"),IF($AY1809="YES","",IF($AB1809&lt;&gt;0,"",IF(COUNTIFS('AR SALES'!$L$2:$L$2501,$L1809,'AR SALES'!$AD$2:$AD$2501,IF(""&amp;$F1809="4","OFF","ON"),'AR SALES'!$AF$2:$AF$2501,"Y")&gt;0,"","NO EXEMPTION"))),"")</f>
        <v/>
      </c>
    </row>
    <row r="1810" spans="46:54" x14ac:dyDescent="0.25">
      <c r="AT1810" s="2" t="str">
        <f>IF($L1810="","",IFERROR(INDEX('AR SALES'!$H$2:$H$2501,MATCH(""&amp;$L1810,'AR SALES'!$AE$2:$AE$2501,0)),""))</f>
        <v/>
      </c>
      <c r="AU1810" s="2" t="str">
        <f t="shared" si="112"/>
        <v/>
      </c>
      <c r="AV1810" s="2" t="str">
        <f t="shared" si="113"/>
        <v/>
      </c>
      <c r="AW1810" s="2" t="str">
        <f t="shared" si="114"/>
        <v/>
      </c>
      <c r="AX1810" s="2" t="str">
        <f t="shared" si="115"/>
        <v/>
      </c>
      <c r="AY1810" s="2" t="str">
        <f>IF($AV1810="","",IF(AND($Z1810=0,COUNTIF('AR SALES'!$L$2:$L$2501,$L1810)=0),"YES",""))</f>
        <v/>
      </c>
      <c r="AZ1810" s="2" t="str">
        <f>IF($AV1810="","",IF(COUNTIF(LISTS!$C$2:$C$250,$AU1810)=0,"NEW",""))</f>
        <v/>
      </c>
      <c r="BA1810" s="2" t="str">
        <f>IF(""&amp;$F1810&lt;&gt;"4","",IF($AY1810="YES","",IF(ROUND(SUMIFS($AE$2:$AE$4001,$L$2:$L$4001,$L1810,$F$2:$F$4001,"4")-SUMIFS('AR SALES'!$Y$2:$Y$2501,'AR SALES'!$L$2:$L$2501,$L1810,'AR SALES'!$AD$2:$AD$2501,"OFF"),2)=0,"","STALE")))</f>
        <v/>
      </c>
      <c r="BB1810" s="2" t="str">
        <f>IF(OR(""&amp;$F1810="2",""&amp;$F1810="4",""&amp;$F1810="G",""&amp;$F1810="H"),IF($AY1810="YES","",IF($AB1810&lt;&gt;0,"",IF(COUNTIFS('AR SALES'!$L$2:$L$2501,$L1810,'AR SALES'!$AD$2:$AD$2501,IF(""&amp;$F1810="4","OFF","ON"),'AR SALES'!$AF$2:$AF$2501,"Y")&gt;0,"","NO EXEMPTION"))),"")</f>
        <v/>
      </c>
    </row>
    <row r="1811" spans="46:54" x14ac:dyDescent="0.25">
      <c r="AT1811" s="2" t="str">
        <f>IF($L1811="","",IFERROR(INDEX('AR SALES'!$H$2:$H$2501,MATCH(""&amp;$L1811,'AR SALES'!$AE$2:$AE$2501,0)),""))</f>
        <v/>
      </c>
      <c r="AU1811" s="2" t="str">
        <f t="shared" si="112"/>
        <v/>
      </c>
      <c r="AV1811" s="2" t="str">
        <f t="shared" si="113"/>
        <v/>
      </c>
      <c r="AW1811" s="2" t="str">
        <f t="shared" si="114"/>
        <v/>
      </c>
      <c r="AX1811" s="2" t="str">
        <f t="shared" si="115"/>
        <v/>
      </c>
      <c r="AY1811" s="2" t="str">
        <f>IF($AV1811="","",IF(AND($Z1811=0,COUNTIF('AR SALES'!$L$2:$L$2501,$L1811)=0),"YES",""))</f>
        <v/>
      </c>
      <c r="AZ1811" s="2" t="str">
        <f>IF($AV1811="","",IF(COUNTIF(LISTS!$C$2:$C$250,$AU1811)=0,"NEW",""))</f>
        <v/>
      </c>
      <c r="BA1811" s="2" t="str">
        <f>IF(""&amp;$F1811&lt;&gt;"4","",IF($AY1811="YES","",IF(ROUND(SUMIFS($AE$2:$AE$4001,$L$2:$L$4001,$L1811,$F$2:$F$4001,"4")-SUMIFS('AR SALES'!$Y$2:$Y$2501,'AR SALES'!$L$2:$L$2501,$L1811,'AR SALES'!$AD$2:$AD$2501,"OFF"),2)=0,"","STALE")))</f>
        <v/>
      </c>
      <c r="BB1811" s="2" t="str">
        <f>IF(OR(""&amp;$F1811="2",""&amp;$F1811="4",""&amp;$F1811="G",""&amp;$F1811="H"),IF($AY1811="YES","",IF($AB1811&lt;&gt;0,"",IF(COUNTIFS('AR SALES'!$L$2:$L$2501,$L1811,'AR SALES'!$AD$2:$AD$2501,IF(""&amp;$F1811="4","OFF","ON"),'AR SALES'!$AF$2:$AF$2501,"Y")&gt;0,"","NO EXEMPTION"))),"")</f>
        <v/>
      </c>
    </row>
    <row r="1812" spans="46:54" x14ac:dyDescent="0.25">
      <c r="AT1812" s="2" t="str">
        <f>IF($L1812="","",IFERROR(INDEX('AR SALES'!$H$2:$H$2501,MATCH(""&amp;$L1812,'AR SALES'!$AE$2:$AE$2501,0)),""))</f>
        <v/>
      </c>
      <c r="AU1812" s="2" t="str">
        <f t="shared" si="112"/>
        <v/>
      </c>
      <c r="AV1812" s="2" t="str">
        <f t="shared" si="113"/>
        <v/>
      </c>
      <c r="AW1812" s="2" t="str">
        <f t="shared" si="114"/>
        <v/>
      </c>
      <c r="AX1812" s="2" t="str">
        <f t="shared" si="115"/>
        <v/>
      </c>
      <c r="AY1812" s="2" t="str">
        <f>IF($AV1812="","",IF(AND($Z1812=0,COUNTIF('AR SALES'!$L$2:$L$2501,$L1812)=0),"YES",""))</f>
        <v/>
      </c>
      <c r="AZ1812" s="2" t="str">
        <f>IF($AV1812="","",IF(COUNTIF(LISTS!$C$2:$C$250,$AU1812)=0,"NEW",""))</f>
        <v/>
      </c>
      <c r="BA1812" s="2" t="str">
        <f>IF(""&amp;$F1812&lt;&gt;"4","",IF($AY1812="YES","",IF(ROUND(SUMIFS($AE$2:$AE$4001,$L$2:$L$4001,$L1812,$F$2:$F$4001,"4")-SUMIFS('AR SALES'!$Y$2:$Y$2501,'AR SALES'!$L$2:$L$2501,$L1812,'AR SALES'!$AD$2:$AD$2501,"OFF"),2)=0,"","STALE")))</f>
        <v/>
      </c>
      <c r="BB1812" s="2" t="str">
        <f>IF(OR(""&amp;$F1812="2",""&amp;$F1812="4",""&amp;$F1812="G",""&amp;$F1812="H"),IF($AY1812="YES","",IF($AB1812&lt;&gt;0,"",IF(COUNTIFS('AR SALES'!$L$2:$L$2501,$L1812,'AR SALES'!$AD$2:$AD$2501,IF(""&amp;$F1812="4","OFF","ON"),'AR SALES'!$AF$2:$AF$2501,"Y")&gt;0,"","NO EXEMPTION"))),"")</f>
        <v/>
      </c>
    </row>
    <row r="1813" spans="46:54" x14ac:dyDescent="0.25">
      <c r="AT1813" s="2" t="str">
        <f>IF($L1813="","",IFERROR(INDEX('AR SALES'!$H$2:$H$2501,MATCH(""&amp;$L1813,'AR SALES'!$AE$2:$AE$2501,0)),""))</f>
        <v/>
      </c>
      <c r="AU1813" s="2" t="str">
        <f t="shared" si="112"/>
        <v/>
      </c>
      <c r="AV1813" s="2" t="str">
        <f t="shared" si="113"/>
        <v/>
      </c>
      <c r="AW1813" s="2" t="str">
        <f t="shared" si="114"/>
        <v/>
      </c>
      <c r="AX1813" s="2" t="str">
        <f t="shared" si="115"/>
        <v/>
      </c>
      <c r="AY1813" s="2" t="str">
        <f>IF($AV1813="","",IF(AND($Z1813=0,COUNTIF('AR SALES'!$L$2:$L$2501,$L1813)=0),"YES",""))</f>
        <v/>
      </c>
      <c r="AZ1813" s="2" t="str">
        <f>IF($AV1813="","",IF(COUNTIF(LISTS!$C$2:$C$250,$AU1813)=0,"NEW",""))</f>
        <v/>
      </c>
      <c r="BA1813" s="2" t="str">
        <f>IF(""&amp;$F1813&lt;&gt;"4","",IF($AY1813="YES","",IF(ROUND(SUMIFS($AE$2:$AE$4001,$L$2:$L$4001,$L1813,$F$2:$F$4001,"4")-SUMIFS('AR SALES'!$Y$2:$Y$2501,'AR SALES'!$L$2:$L$2501,$L1813,'AR SALES'!$AD$2:$AD$2501,"OFF"),2)=0,"","STALE")))</f>
        <v/>
      </c>
      <c r="BB1813" s="2" t="str">
        <f>IF(OR(""&amp;$F1813="2",""&amp;$F1813="4",""&amp;$F1813="G",""&amp;$F1813="H"),IF($AY1813="YES","",IF($AB1813&lt;&gt;0,"",IF(COUNTIFS('AR SALES'!$L$2:$L$2501,$L1813,'AR SALES'!$AD$2:$AD$2501,IF(""&amp;$F1813="4","OFF","ON"),'AR SALES'!$AF$2:$AF$2501,"Y")&gt;0,"","NO EXEMPTION"))),"")</f>
        <v/>
      </c>
    </row>
    <row r="1814" spans="46:54" x14ac:dyDescent="0.25">
      <c r="AT1814" s="2" t="str">
        <f>IF($L1814="","",IFERROR(INDEX('AR SALES'!$H$2:$H$2501,MATCH(""&amp;$L1814,'AR SALES'!$AE$2:$AE$2501,0)),""))</f>
        <v/>
      </c>
      <c r="AU1814" s="2" t="str">
        <f t="shared" si="112"/>
        <v/>
      </c>
      <c r="AV1814" s="2" t="str">
        <f t="shared" si="113"/>
        <v/>
      </c>
      <c r="AW1814" s="2" t="str">
        <f t="shared" si="114"/>
        <v/>
      </c>
      <c r="AX1814" s="2" t="str">
        <f t="shared" si="115"/>
        <v/>
      </c>
      <c r="AY1814" s="2" t="str">
        <f>IF($AV1814="","",IF(AND($Z1814=0,COUNTIF('AR SALES'!$L$2:$L$2501,$L1814)=0),"YES",""))</f>
        <v/>
      </c>
      <c r="AZ1814" s="2" t="str">
        <f>IF($AV1814="","",IF(COUNTIF(LISTS!$C$2:$C$250,$AU1814)=0,"NEW",""))</f>
        <v/>
      </c>
      <c r="BA1814" s="2" t="str">
        <f>IF(""&amp;$F1814&lt;&gt;"4","",IF($AY1814="YES","",IF(ROUND(SUMIFS($AE$2:$AE$4001,$L$2:$L$4001,$L1814,$F$2:$F$4001,"4")-SUMIFS('AR SALES'!$Y$2:$Y$2501,'AR SALES'!$L$2:$L$2501,$L1814,'AR SALES'!$AD$2:$AD$2501,"OFF"),2)=0,"","STALE")))</f>
        <v/>
      </c>
      <c r="BB1814" s="2" t="str">
        <f>IF(OR(""&amp;$F1814="2",""&amp;$F1814="4",""&amp;$F1814="G",""&amp;$F1814="H"),IF($AY1814="YES","",IF($AB1814&lt;&gt;0,"",IF(COUNTIFS('AR SALES'!$L$2:$L$2501,$L1814,'AR SALES'!$AD$2:$AD$2501,IF(""&amp;$F1814="4","OFF","ON"),'AR SALES'!$AF$2:$AF$2501,"Y")&gt;0,"","NO EXEMPTION"))),"")</f>
        <v/>
      </c>
    </row>
    <row r="1815" spans="46:54" x14ac:dyDescent="0.25">
      <c r="AT1815" s="2" t="str">
        <f>IF($L1815="","",IFERROR(INDEX('AR SALES'!$H$2:$H$2501,MATCH(""&amp;$L1815,'AR SALES'!$AE$2:$AE$2501,0)),""))</f>
        <v/>
      </c>
      <c r="AU1815" s="2" t="str">
        <f t="shared" si="112"/>
        <v/>
      </c>
      <c r="AV1815" s="2" t="str">
        <f t="shared" si="113"/>
        <v/>
      </c>
      <c r="AW1815" s="2" t="str">
        <f t="shared" si="114"/>
        <v/>
      </c>
      <c r="AX1815" s="2" t="str">
        <f t="shared" si="115"/>
        <v/>
      </c>
      <c r="AY1815" s="2" t="str">
        <f>IF($AV1815="","",IF(AND($Z1815=0,COUNTIF('AR SALES'!$L$2:$L$2501,$L1815)=0),"YES",""))</f>
        <v/>
      </c>
      <c r="AZ1815" s="2" t="str">
        <f>IF($AV1815="","",IF(COUNTIF(LISTS!$C$2:$C$250,$AU1815)=0,"NEW",""))</f>
        <v/>
      </c>
      <c r="BA1815" s="2" t="str">
        <f>IF(""&amp;$F1815&lt;&gt;"4","",IF($AY1815="YES","",IF(ROUND(SUMIFS($AE$2:$AE$4001,$L$2:$L$4001,$L1815,$F$2:$F$4001,"4")-SUMIFS('AR SALES'!$Y$2:$Y$2501,'AR SALES'!$L$2:$L$2501,$L1815,'AR SALES'!$AD$2:$AD$2501,"OFF"),2)=0,"","STALE")))</f>
        <v/>
      </c>
      <c r="BB1815" s="2" t="str">
        <f>IF(OR(""&amp;$F1815="2",""&amp;$F1815="4",""&amp;$F1815="G",""&amp;$F1815="H"),IF($AY1815="YES","",IF($AB1815&lt;&gt;0,"",IF(COUNTIFS('AR SALES'!$L$2:$L$2501,$L1815,'AR SALES'!$AD$2:$AD$2501,IF(""&amp;$F1815="4","OFF","ON"),'AR SALES'!$AF$2:$AF$2501,"Y")&gt;0,"","NO EXEMPTION"))),"")</f>
        <v/>
      </c>
    </row>
    <row r="1816" spans="46:54" x14ac:dyDescent="0.25">
      <c r="AT1816" s="2" t="str">
        <f>IF($L1816="","",IFERROR(INDEX('AR SALES'!$H$2:$H$2501,MATCH(""&amp;$L1816,'AR SALES'!$AE$2:$AE$2501,0)),""))</f>
        <v/>
      </c>
      <c r="AU1816" s="2" t="str">
        <f t="shared" si="112"/>
        <v/>
      </c>
      <c r="AV1816" s="2" t="str">
        <f t="shared" si="113"/>
        <v/>
      </c>
      <c r="AW1816" s="2" t="str">
        <f t="shared" si="114"/>
        <v/>
      </c>
      <c r="AX1816" s="2" t="str">
        <f t="shared" si="115"/>
        <v/>
      </c>
      <c r="AY1816" s="2" t="str">
        <f>IF($AV1816="","",IF(AND($Z1816=0,COUNTIF('AR SALES'!$L$2:$L$2501,$L1816)=0),"YES",""))</f>
        <v/>
      </c>
      <c r="AZ1816" s="2" t="str">
        <f>IF($AV1816="","",IF(COUNTIF(LISTS!$C$2:$C$250,$AU1816)=0,"NEW",""))</f>
        <v/>
      </c>
      <c r="BA1816" s="2" t="str">
        <f>IF(""&amp;$F1816&lt;&gt;"4","",IF($AY1816="YES","",IF(ROUND(SUMIFS($AE$2:$AE$4001,$L$2:$L$4001,$L1816,$F$2:$F$4001,"4")-SUMIFS('AR SALES'!$Y$2:$Y$2501,'AR SALES'!$L$2:$L$2501,$L1816,'AR SALES'!$AD$2:$AD$2501,"OFF"),2)=0,"","STALE")))</f>
        <v/>
      </c>
      <c r="BB1816" s="2" t="str">
        <f>IF(OR(""&amp;$F1816="2",""&amp;$F1816="4",""&amp;$F1816="G",""&amp;$F1816="H"),IF($AY1816="YES","",IF($AB1816&lt;&gt;0,"",IF(COUNTIFS('AR SALES'!$L$2:$L$2501,$L1816,'AR SALES'!$AD$2:$AD$2501,IF(""&amp;$F1816="4","OFF","ON"),'AR SALES'!$AF$2:$AF$2501,"Y")&gt;0,"","NO EXEMPTION"))),"")</f>
        <v/>
      </c>
    </row>
    <row r="1817" spans="46:54" x14ac:dyDescent="0.25">
      <c r="AT1817" s="2" t="str">
        <f>IF($L1817="","",IFERROR(INDEX('AR SALES'!$H$2:$H$2501,MATCH(""&amp;$L1817,'AR SALES'!$AE$2:$AE$2501,0)),""))</f>
        <v/>
      </c>
      <c r="AU1817" s="2" t="str">
        <f t="shared" si="112"/>
        <v/>
      </c>
      <c r="AV1817" s="2" t="str">
        <f t="shared" si="113"/>
        <v/>
      </c>
      <c r="AW1817" s="2" t="str">
        <f t="shared" si="114"/>
        <v/>
      </c>
      <c r="AX1817" s="2" t="str">
        <f t="shared" si="115"/>
        <v/>
      </c>
      <c r="AY1817" s="2" t="str">
        <f>IF($AV1817="","",IF(AND($Z1817=0,COUNTIF('AR SALES'!$L$2:$L$2501,$L1817)=0),"YES",""))</f>
        <v/>
      </c>
      <c r="AZ1817" s="2" t="str">
        <f>IF($AV1817="","",IF(COUNTIF(LISTS!$C$2:$C$250,$AU1817)=0,"NEW",""))</f>
        <v/>
      </c>
      <c r="BA1817" s="2" t="str">
        <f>IF(""&amp;$F1817&lt;&gt;"4","",IF($AY1817="YES","",IF(ROUND(SUMIFS($AE$2:$AE$4001,$L$2:$L$4001,$L1817,$F$2:$F$4001,"4")-SUMIFS('AR SALES'!$Y$2:$Y$2501,'AR SALES'!$L$2:$L$2501,$L1817,'AR SALES'!$AD$2:$AD$2501,"OFF"),2)=0,"","STALE")))</f>
        <v/>
      </c>
      <c r="BB1817" s="2" t="str">
        <f>IF(OR(""&amp;$F1817="2",""&amp;$F1817="4",""&amp;$F1817="G",""&amp;$F1817="H"),IF($AY1817="YES","",IF($AB1817&lt;&gt;0,"",IF(COUNTIFS('AR SALES'!$L$2:$L$2501,$L1817,'AR SALES'!$AD$2:$AD$2501,IF(""&amp;$F1817="4","OFF","ON"),'AR SALES'!$AF$2:$AF$2501,"Y")&gt;0,"","NO EXEMPTION"))),"")</f>
        <v/>
      </c>
    </row>
    <row r="1818" spans="46:54" x14ac:dyDescent="0.25">
      <c r="AT1818" s="2" t="str">
        <f>IF($L1818="","",IFERROR(INDEX('AR SALES'!$H$2:$H$2501,MATCH(""&amp;$L1818,'AR SALES'!$AE$2:$AE$2501,0)),""))</f>
        <v/>
      </c>
      <c r="AU1818" s="2" t="str">
        <f t="shared" si="112"/>
        <v/>
      </c>
      <c r="AV1818" s="2" t="str">
        <f t="shared" si="113"/>
        <v/>
      </c>
      <c r="AW1818" s="2" t="str">
        <f t="shared" si="114"/>
        <v/>
      </c>
      <c r="AX1818" s="2" t="str">
        <f t="shared" si="115"/>
        <v/>
      </c>
      <c r="AY1818" s="2" t="str">
        <f>IF($AV1818="","",IF(AND($Z1818=0,COUNTIF('AR SALES'!$L$2:$L$2501,$L1818)=0),"YES",""))</f>
        <v/>
      </c>
      <c r="AZ1818" s="2" t="str">
        <f>IF($AV1818="","",IF(COUNTIF(LISTS!$C$2:$C$250,$AU1818)=0,"NEW",""))</f>
        <v/>
      </c>
      <c r="BA1818" s="2" t="str">
        <f>IF(""&amp;$F1818&lt;&gt;"4","",IF($AY1818="YES","",IF(ROUND(SUMIFS($AE$2:$AE$4001,$L$2:$L$4001,$L1818,$F$2:$F$4001,"4")-SUMIFS('AR SALES'!$Y$2:$Y$2501,'AR SALES'!$L$2:$L$2501,$L1818,'AR SALES'!$AD$2:$AD$2501,"OFF"),2)=0,"","STALE")))</f>
        <v/>
      </c>
      <c r="BB1818" s="2" t="str">
        <f>IF(OR(""&amp;$F1818="2",""&amp;$F1818="4",""&amp;$F1818="G",""&amp;$F1818="H"),IF($AY1818="YES","",IF($AB1818&lt;&gt;0,"",IF(COUNTIFS('AR SALES'!$L$2:$L$2501,$L1818,'AR SALES'!$AD$2:$AD$2501,IF(""&amp;$F1818="4","OFF","ON"),'AR SALES'!$AF$2:$AF$2501,"Y")&gt;0,"","NO EXEMPTION"))),"")</f>
        <v/>
      </c>
    </row>
    <row r="1819" spans="46:54" x14ac:dyDescent="0.25">
      <c r="AT1819" s="2" t="str">
        <f>IF($L1819="","",IFERROR(INDEX('AR SALES'!$H$2:$H$2501,MATCH(""&amp;$L1819,'AR SALES'!$AE$2:$AE$2501,0)),""))</f>
        <v/>
      </c>
      <c r="AU1819" s="2" t="str">
        <f t="shared" si="112"/>
        <v/>
      </c>
      <c r="AV1819" s="2" t="str">
        <f t="shared" si="113"/>
        <v/>
      </c>
      <c r="AW1819" s="2" t="str">
        <f t="shared" si="114"/>
        <v/>
      </c>
      <c r="AX1819" s="2" t="str">
        <f t="shared" si="115"/>
        <v/>
      </c>
      <c r="AY1819" s="2" t="str">
        <f>IF($AV1819="","",IF(AND($Z1819=0,COUNTIF('AR SALES'!$L$2:$L$2501,$L1819)=0),"YES",""))</f>
        <v/>
      </c>
      <c r="AZ1819" s="2" t="str">
        <f>IF($AV1819="","",IF(COUNTIF(LISTS!$C$2:$C$250,$AU1819)=0,"NEW",""))</f>
        <v/>
      </c>
      <c r="BA1819" s="2" t="str">
        <f>IF(""&amp;$F1819&lt;&gt;"4","",IF($AY1819="YES","",IF(ROUND(SUMIFS($AE$2:$AE$4001,$L$2:$L$4001,$L1819,$F$2:$F$4001,"4")-SUMIFS('AR SALES'!$Y$2:$Y$2501,'AR SALES'!$L$2:$L$2501,$L1819,'AR SALES'!$AD$2:$AD$2501,"OFF"),2)=0,"","STALE")))</f>
        <v/>
      </c>
      <c r="BB1819" s="2" t="str">
        <f>IF(OR(""&amp;$F1819="2",""&amp;$F1819="4",""&amp;$F1819="G",""&amp;$F1819="H"),IF($AY1819="YES","",IF($AB1819&lt;&gt;0,"",IF(COUNTIFS('AR SALES'!$L$2:$L$2501,$L1819,'AR SALES'!$AD$2:$AD$2501,IF(""&amp;$F1819="4","OFF","ON"),'AR SALES'!$AF$2:$AF$2501,"Y")&gt;0,"","NO EXEMPTION"))),"")</f>
        <v/>
      </c>
    </row>
    <row r="1820" spans="46:54" x14ac:dyDescent="0.25">
      <c r="AT1820" s="2" t="str">
        <f>IF($L1820="","",IFERROR(INDEX('AR SALES'!$H$2:$H$2501,MATCH(""&amp;$L1820,'AR SALES'!$AE$2:$AE$2501,0)),""))</f>
        <v/>
      </c>
      <c r="AU1820" s="2" t="str">
        <f t="shared" si="112"/>
        <v/>
      </c>
      <c r="AV1820" s="2" t="str">
        <f t="shared" si="113"/>
        <v/>
      </c>
      <c r="AW1820" s="2" t="str">
        <f t="shared" si="114"/>
        <v/>
      </c>
      <c r="AX1820" s="2" t="str">
        <f t="shared" si="115"/>
        <v/>
      </c>
      <c r="AY1820" s="2" t="str">
        <f>IF($AV1820="","",IF(AND($Z1820=0,COUNTIF('AR SALES'!$L$2:$L$2501,$L1820)=0),"YES",""))</f>
        <v/>
      </c>
      <c r="AZ1820" s="2" t="str">
        <f>IF($AV1820="","",IF(COUNTIF(LISTS!$C$2:$C$250,$AU1820)=0,"NEW",""))</f>
        <v/>
      </c>
      <c r="BA1820" s="2" t="str">
        <f>IF(""&amp;$F1820&lt;&gt;"4","",IF($AY1820="YES","",IF(ROUND(SUMIFS($AE$2:$AE$4001,$L$2:$L$4001,$L1820,$F$2:$F$4001,"4")-SUMIFS('AR SALES'!$Y$2:$Y$2501,'AR SALES'!$L$2:$L$2501,$L1820,'AR SALES'!$AD$2:$AD$2501,"OFF"),2)=0,"","STALE")))</f>
        <v/>
      </c>
      <c r="BB1820" s="2" t="str">
        <f>IF(OR(""&amp;$F1820="2",""&amp;$F1820="4",""&amp;$F1820="G",""&amp;$F1820="H"),IF($AY1820="YES","",IF($AB1820&lt;&gt;0,"",IF(COUNTIFS('AR SALES'!$L$2:$L$2501,$L1820,'AR SALES'!$AD$2:$AD$2501,IF(""&amp;$F1820="4","OFF","ON"),'AR SALES'!$AF$2:$AF$2501,"Y")&gt;0,"","NO EXEMPTION"))),"")</f>
        <v/>
      </c>
    </row>
    <row r="1821" spans="46:54" x14ac:dyDescent="0.25">
      <c r="AT1821" s="2" t="str">
        <f>IF($L1821="","",IFERROR(INDEX('AR SALES'!$H$2:$H$2501,MATCH(""&amp;$L1821,'AR SALES'!$AE$2:$AE$2501,0)),""))</f>
        <v/>
      </c>
      <c r="AU1821" s="2" t="str">
        <f t="shared" si="112"/>
        <v/>
      </c>
      <c r="AV1821" s="2" t="str">
        <f t="shared" si="113"/>
        <v/>
      </c>
      <c r="AW1821" s="2" t="str">
        <f t="shared" si="114"/>
        <v/>
      </c>
      <c r="AX1821" s="2" t="str">
        <f t="shared" si="115"/>
        <v/>
      </c>
      <c r="AY1821" s="2" t="str">
        <f>IF($AV1821="","",IF(AND($Z1821=0,COUNTIF('AR SALES'!$L$2:$L$2501,$L1821)=0),"YES",""))</f>
        <v/>
      </c>
      <c r="AZ1821" s="2" t="str">
        <f>IF($AV1821="","",IF(COUNTIF(LISTS!$C$2:$C$250,$AU1821)=0,"NEW",""))</f>
        <v/>
      </c>
      <c r="BA1821" s="2" t="str">
        <f>IF(""&amp;$F1821&lt;&gt;"4","",IF($AY1821="YES","",IF(ROUND(SUMIFS($AE$2:$AE$4001,$L$2:$L$4001,$L1821,$F$2:$F$4001,"4")-SUMIFS('AR SALES'!$Y$2:$Y$2501,'AR SALES'!$L$2:$L$2501,$L1821,'AR SALES'!$AD$2:$AD$2501,"OFF"),2)=0,"","STALE")))</f>
        <v/>
      </c>
      <c r="BB1821" s="2" t="str">
        <f>IF(OR(""&amp;$F1821="2",""&amp;$F1821="4",""&amp;$F1821="G",""&amp;$F1821="H"),IF($AY1821="YES","",IF($AB1821&lt;&gt;0,"",IF(COUNTIFS('AR SALES'!$L$2:$L$2501,$L1821,'AR SALES'!$AD$2:$AD$2501,IF(""&amp;$F1821="4","OFF","ON"),'AR SALES'!$AF$2:$AF$2501,"Y")&gt;0,"","NO EXEMPTION"))),"")</f>
        <v/>
      </c>
    </row>
    <row r="1822" spans="46:54" x14ac:dyDescent="0.25">
      <c r="AT1822" s="2" t="str">
        <f>IF($L1822="","",IFERROR(INDEX('AR SALES'!$H$2:$H$2501,MATCH(""&amp;$L1822,'AR SALES'!$AE$2:$AE$2501,0)),""))</f>
        <v/>
      </c>
      <c r="AU1822" s="2" t="str">
        <f t="shared" si="112"/>
        <v/>
      </c>
      <c r="AV1822" s="2" t="str">
        <f t="shared" si="113"/>
        <v/>
      </c>
      <c r="AW1822" s="2" t="str">
        <f t="shared" si="114"/>
        <v/>
      </c>
      <c r="AX1822" s="2" t="str">
        <f t="shared" si="115"/>
        <v/>
      </c>
      <c r="AY1822" s="2" t="str">
        <f>IF($AV1822="","",IF(AND($Z1822=0,COUNTIF('AR SALES'!$L$2:$L$2501,$L1822)=0),"YES",""))</f>
        <v/>
      </c>
      <c r="AZ1822" s="2" t="str">
        <f>IF($AV1822="","",IF(COUNTIF(LISTS!$C$2:$C$250,$AU1822)=0,"NEW",""))</f>
        <v/>
      </c>
      <c r="BA1822" s="2" t="str">
        <f>IF(""&amp;$F1822&lt;&gt;"4","",IF($AY1822="YES","",IF(ROUND(SUMIFS($AE$2:$AE$4001,$L$2:$L$4001,$L1822,$F$2:$F$4001,"4")-SUMIFS('AR SALES'!$Y$2:$Y$2501,'AR SALES'!$L$2:$L$2501,$L1822,'AR SALES'!$AD$2:$AD$2501,"OFF"),2)=0,"","STALE")))</f>
        <v/>
      </c>
      <c r="BB1822" s="2" t="str">
        <f>IF(OR(""&amp;$F1822="2",""&amp;$F1822="4",""&amp;$F1822="G",""&amp;$F1822="H"),IF($AY1822="YES","",IF($AB1822&lt;&gt;0,"",IF(COUNTIFS('AR SALES'!$L$2:$L$2501,$L1822,'AR SALES'!$AD$2:$AD$2501,IF(""&amp;$F1822="4","OFF","ON"),'AR SALES'!$AF$2:$AF$2501,"Y")&gt;0,"","NO EXEMPTION"))),"")</f>
        <v/>
      </c>
    </row>
    <row r="1823" spans="46:54" x14ac:dyDescent="0.25">
      <c r="AT1823" s="2" t="str">
        <f>IF($L1823="","",IFERROR(INDEX('AR SALES'!$H$2:$H$2501,MATCH(""&amp;$L1823,'AR SALES'!$AE$2:$AE$2501,0)),""))</f>
        <v/>
      </c>
      <c r="AU1823" s="2" t="str">
        <f t="shared" si="112"/>
        <v/>
      </c>
      <c r="AV1823" s="2" t="str">
        <f t="shared" si="113"/>
        <v/>
      </c>
      <c r="AW1823" s="2" t="str">
        <f t="shared" si="114"/>
        <v/>
      </c>
      <c r="AX1823" s="2" t="str">
        <f t="shared" si="115"/>
        <v/>
      </c>
      <c r="AY1823" s="2" t="str">
        <f>IF($AV1823="","",IF(AND($Z1823=0,COUNTIF('AR SALES'!$L$2:$L$2501,$L1823)=0),"YES",""))</f>
        <v/>
      </c>
      <c r="AZ1823" s="2" t="str">
        <f>IF($AV1823="","",IF(COUNTIF(LISTS!$C$2:$C$250,$AU1823)=0,"NEW",""))</f>
        <v/>
      </c>
      <c r="BA1823" s="2" t="str">
        <f>IF(""&amp;$F1823&lt;&gt;"4","",IF($AY1823="YES","",IF(ROUND(SUMIFS($AE$2:$AE$4001,$L$2:$L$4001,$L1823,$F$2:$F$4001,"4")-SUMIFS('AR SALES'!$Y$2:$Y$2501,'AR SALES'!$L$2:$L$2501,$L1823,'AR SALES'!$AD$2:$AD$2501,"OFF"),2)=0,"","STALE")))</f>
        <v/>
      </c>
      <c r="BB1823" s="2" t="str">
        <f>IF(OR(""&amp;$F1823="2",""&amp;$F1823="4",""&amp;$F1823="G",""&amp;$F1823="H"),IF($AY1823="YES","",IF($AB1823&lt;&gt;0,"",IF(COUNTIFS('AR SALES'!$L$2:$L$2501,$L1823,'AR SALES'!$AD$2:$AD$2501,IF(""&amp;$F1823="4","OFF","ON"),'AR SALES'!$AF$2:$AF$2501,"Y")&gt;0,"","NO EXEMPTION"))),"")</f>
        <v/>
      </c>
    </row>
    <row r="1824" spans="46:54" x14ac:dyDescent="0.25">
      <c r="AT1824" s="2" t="str">
        <f>IF($L1824="","",IFERROR(INDEX('AR SALES'!$H$2:$H$2501,MATCH(""&amp;$L1824,'AR SALES'!$AE$2:$AE$2501,0)),""))</f>
        <v/>
      </c>
      <c r="AU1824" s="2" t="str">
        <f t="shared" si="112"/>
        <v/>
      </c>
      <c r="AV1824" s="2" t="str">
        <f t="shared" si="113"/>
        <v/>
      </c>
      <c r="AW1824" s="2" t="str">
        <f t="shared" si="114"/>
        <v/>
      </c>
      <c r="AX1824" s="2" t="str">
        <f t="shared" si="115"/>
        <v/>
      </c>
      <c r="AY1824" s="2" t="str">
        <f>IF($AV1824="","",IF(AND($Z1824=0,COUNTIF('AR SALES'!$L$2:$L$2501,$L1824)=0),"YES",""))</f>
        <v/>
      </c>
      <c r="AZ1824" s="2" t="str">
        <f>IF($AV1824="","",IF(COUNTIF(LISTS!$C$2:$C$250,$AU1824)=0,"NEW",""))</f>
        <v/>
      </c>
      <c r="BA1824" s="2" t="str">
        <f>IF(""&amp;$F1824&lt;&gt;"4","",IF($AY1824="YES","",IF(ROUND(SUMIFS($AE$2:$AE$4001,$L$2:$L$4001,$L1824,$F$2:$F$4001,"4")-SUMIFS('AR SALES'!$Y$2:$Y$2501,'AR SALES'!$L$2:$L$2501,$L1824,'AR SALES'!$AD$2:$AD$2501,"OFF"),2)=0,"","STALE")))</f>
        <v/>
      </c>
      <c r="BB1824" s="2" t="str">
        <f>IF(OR(""&amp;$F1824="2",""&amp;$F1824="4",""&amp;$F1824="G",""&amp;$F1824="H"),IF($AY1824="YES","",IF($AB1824&lt;&gt;0,"",IF(COUNTIFS('AR SALES'!$L$2:$L$2501,$L1824,'AR SALES'!$AD$2:$AD$2501,IF(""&amp;$F1824="4","OFF","ON"),'AR SALES'!$AF$2:$AF$2501,"Y")&gt;0,"","NO EXEMPTION"))),"")</f>
        <v/>
      </c>
    </row>
    <row r="1825" spans="46:54" x14ac:dyDescent="0.25">
      <c r="AT1825" s="2" t="str">
        <f>IF($L1825="","",IFERROR(INDEX('AR SALES'!$H$2:$H$2501,MATCH(""&amp;$L1825,'AR SALES'!$AE$2:$AE$2501,0)),""))</f>
        <v/>
      </c>
      <c r="AU1825" s="2" t="str">
        <f t="shared" si="112"/>
        <v/>
      </c>
      <c r="AV1825" s="2" t="str">
        <f t="shared" si="113"/>
        <v/>
      </c>
      <c r="AW1825" s="2" t="str">
        <f t="shared" si="114"/>
        <v/>
      </c>
      <c r="AX1825" s="2" t="str">
        <f t="shared" si="115"/>
        <v/>
      </c>
      <c r="AY1825" s="2" t="str">
        <f>IF($AV1825="","",IF(AND($Z1825=0,COUNTIF('AR SALES'!$L$2:$L$2501,$L1825)=0),"YES",""))</f>
        <v/>
      </c>
      <c r="AZ1825" s="2" t="str">
        <f>IF($AV1825="","",IF(COUNTIF(LISTS!$C$2:$C$250,$AU1825)=0,"NEW",""))</f>
        <v/>
      </c>
      <c r="BA1825" s="2" t="str">
        <f>IF(""&amp;$F1825&lt;&gt;"4","",IF($AY1825="YES","",IF(ROUND(SUMIFS($AE$2:$AE$4001,$L$2:$L$4001,$L1825,$F$2:$F$4001,"4")-SUMIFS('AR SALES'!$Y$2:$Y$2501,'AR SALES'!$L$2:$L$2501,$L1825,'AR SALES'!$AD$2:$AD$2501,"OFF"),2)=0,"","STALE")))</f>
        <v/>
      </c>
      <c r="BB1825" s="2" t="str">
        <f>IF(OR(""&amp;$F1825="2",""&amp;$F1825="4",""&amp;$F1825="G",""&amp;$F1825="H"),IF($AY1825="YES","",IF($AB1825&lt;&gt;0,"",IF(COUNTIFS('AR SALES'!$L$2:$L$2501,$L1825,'AR SALES'!$AD$2:$AD$2501,IF(""&amp;$F1825="4","OFF","ON"),'AR SALES'!$AF$2:$AF$2501,"Y")&gt;0,"","NO EXEMPTION"))),"")</f>
        <v/>
      </c>
    </row>
    <row r="1826" spans="46:54" x14ac:dyDescent="0.25">
      <c r="AT1826" s="2" t="str">
        <f>IF($L1826="","",IFERROR(INDEX('AR SALES'!$H$2:$H$2501,MATCH(""&amp;$L1826,'AR SALES'!$AE$2:$AE$2501,0)),""))</f>
        <v/>
      </c>
      <c r="AU1826" s="2" t="str">
        <f t="shared" si="112"/>
        <v/>
      </c>
      <c r="AV1826" s="2" t="str">
        <f t="shared" si="113"/>
        <v/>
      </c>
      <c r="AW1826" s="2" t="str">
        <f t="shared" si="114"/>
        <v/>
      </c>
      <c r="AX1826" s="2" t="str">
        <f t="shared" si="115"/>
        <v/>
      </c>
      <c r="AY1826" s="2" t="str">
        <f>IF($AV1826="","",IF(AND($Z1826=0,COUNTIF('AR SALES'!$L$2:$L$2501,$L1826)=0),"YES",""))</f>
        <v/>
      </c>
      <c r="AZ1826" s="2" t="str">
        <f>IF($AV1826="","",IF(COUNTIF(LISTS!$C$2:$C$250,$AU1826)=0,"NEW",""))</f>
        <v/>
      </c>
      <c r="BA1826" s="2" t="str">
        <f>IF(""&amp;$F1826&lt;&gt;"4","",IF($AY1826="YES","",IF(ROUND(SUMIFS($AE$2:$AE$4001,$L$2:$L$4001,$L1826,$F$2:$F$4001,"4")-SUMIFS('AR SALES'!$Y$2:$Y$2501,'AR SALES'!$L$2:$L$2501,$L1826,'AR SALES'!$AD$2:$AD$2501,"OFF"),2)=0,"","STALE")))</f>
        <v/>
      </c>
      <c r="BB1826" s="2" t="str">
        <f>IF(OR(""&amp;$F1826="2",""&amp;$F1826="4",""&amp;$F1826="G",""&amp;$F1826="H"),IF($AY1826="YES","",IF($AB1826&lt;&gt;0,"",IF(COUNTIFS('AR SALES'!$L$2:$L$2501,$L1826,'AR SALES'!$AD$2:$AD$2501,IF(""&amp;$F1826="4","OFF","ON"),'AR SALES'!$AF$2:$AF$2501,"Y")&gt;0,"","NO EXEMPTION"))),"")</f>
        <v/>
      </c>
    </row>
    <row r="1827" spans="46:54" x14ac:dyDescent="0.25">
      <c r="AT1827" s="2" t="str">
        <f>IF($L1827="","",IFERROR(INDEX('AR SALES'!$H$2:$H$2501,MATCH(""&amp;$L1827,'AR SALES'!$AE$2:$AE$2501,0)),""))</f>
        <v/>
      </c>
      <c r="AU1827" s="2" t="str">
        <f t="shared" si="112"/>
        <v/>
      </c>
      <c r="AV1827" s="2" t="str">
        <f t="shared" si="113"/>
        <v/>
      </c>
      <c r="AW1827" s="2" t="str">
        <f t="shared" si="114"/>
        <v/>
      </c>
      <c r="AX1827" s="2" t="str">
        <f t="shared" si="115"/>
        <v/>
      </c>
      <c r="AY1827" s="2" t="str">
        <f>IF($AV1827="","",IF(AND($Z1827=0,COUNTIF('AR SALES'!$L$2:$L$2501,$L1827)=0),"YES",""))</f>
        <v/>
      </c>
      <c r="AZ1827" s="2" t="str">
        <f>IF($AV1827="","",IF(COUNTIF(LISTS!$C$2:$C$250,$AU1827)=0,"NEW",""))</f>
        <v/>
      </c>
      <c r="BA1827" s="2" t="str">
        <f>IF(""&amp;$F1827&lt;&gt;"4","",IF($AY1827="YES","",IF(ROUND(SUMIFS($AE$2:$AE$4001,$L$2:$L$4001,$L1827,$F$2:$F$4001,"4")-SUMIFS('AR SALES'!$Y$2:$Y$2501,'AR SALES'!$L$2:$L$2501,$L1827,'AR SALES'!$AD$2:$AD$2501,"OFF"),2)=0,"","STALE")))</f>
        <v/>
      </c>
      <c r="BB1827" s="2" t="str">
        <f>IF(OR(""&amp;$F1827="2",""&amp;$F1827="4",""&amp;$F1827="G",""&amp;$F1827="H"),IF($AY1827="YES","",IF($AB1827&lt;&gt;0,"",IF(COUNTIFS('AR SALES'!$L$2:$L$2501,$L1827,'AR SALES'!$AD$2:$AD$2501,IF(""&amp;$F1827="4","OFF","ON"),'AR SALES'!$AF$2:$AF$2501,"Y")&gt;0,"","NO EXEMPTION"))),"")</f>
        <v/>
      </c>
    </row>
    <row r="1828" spans="46:54" x14ac:dyDescent="0.25">
      <c r="AT1828" s="2" t="str">
        <f>IF($L1828="","",IFERROR(INDEX('AR SALES'!$H$2:$H$2501,MATCH(""&amp;$L1828,'AR SALES'!$AE$2:$AE$2501,0)),""))</f>
        <v/>
      </c>
      <c r="AU1828" s="2" t="str">
        <f t="shared" si="112"/>
        <v/>
      </c>
      <c r="AV1828" s="2" t="str">
        <f t="shared" si="113"/>
        <v/>
      </c>
      <c r="AW1828" s="2" t="str">
        <f t="shared" si="114"/>
        <v/>
      </c>
      <c r="AX1828" s="2" t="str">
        <f t="shared" si="115"/>
        <v/>
      </c>
      <c r="AY1828" s="2" t="str">
        <f>IF($AV1828="","",IF(AND($Z1828=0,COUNTIF('AR SALES'!$L$2:$L$2501,$L1828)=0),"YES",""))</f>
        <v/>
      </c>
      <c r="AZ1828" s="2" t="str">
        <f>IF($AV1828="","",IF(COUNTIF(LISTS!$C$2:$C$250,$AU1828)=0,"NEW",""))</f>
        <v/>
      </c>
      <c r="BA1828" s="2" t="str">
        <f>IF(""&amp;$F1828&lt;&gt;"4","",IF($AY1828="YES","",IF(ROUND(SUMIFS($AE$2:$AE$4001,$L$2:$L$4001,$L1828,$F$2:$F$4001,"4")-SUMIFS('AR SALES'!$Y$2:$Y$2501,'AR SALES'!$L$2:$L$2501,$L1828,'AR SALES'!$AD$2:$AD$2501,"OFF"),2)=0,"","STALE")))</f>
        <v/>
      </c>
      <c r="BB1828" s="2" t="str">
        <f>IF(OR(""&amp;$F1828="2",""&amp;$F1828="4",""&amp;$F1828="G",""&amp;$F1828="H"),IF($AY1828="YES","",IF($AB1828&lt;&gt;0,"",IF(COUNTIFS('AR SALES'!$L$2:$L$2501,$L1828,'AR SALES'!$AD$2:$AD$2501,IF(""&amp;$F1828="4","OFF","ON"),'AR SALES'!$AF$2:$AF$2501,"Y")&gt;0,"","NO EXEMPTION"))),"")</f>
        <v/>
      </c>
    </row>
    <row r="1829" spans="46:54" x14ac:dyDescent="0.25">
      <c r="AT1829" s="2" t="str">
        <f>IF($L1829="","",IFERROR(INDEX('AR SALES'!$H$2:$H$2501,MATCH(""&amp;$L1829,'AR SALES'!$AE$2:$AE$2501,0)),""))</f>
        <v/>
      </c>
      <c r="AU1829" s="2" t="str">
        <f t="shared" si="112"/>
        <v/>
      </c>
      <c r="AV1829" s="2" t="str">
        <f t="shared" si="113"/>
        <v/>
      </c>
      <c r="AW1829" s="2" t="str">
        <f t="shared" si="114"/>
        <v/>
      </c>
      <c r="AX1829" s="2" t="str">
        <f t="shared" si="115"/>
        <v/>
      </c>
      <c r="AY1829" s="2" t="str">
        <f>IF($AV1829="","",IF(AND($Z1829=0,COUNTIF('AR SALES'!$L$2:$L$2501,$L1829)=0),"YES",""))</f>
        <v/>
      </c>
      <c r="AZ1829" s="2" t="str">
        <f>IF($AV1829="","",IF(COUNTIF(LISTS!$C$2:$C$250,$AU1829)=0,"NEW",""))</f>
        <v/>
      </c>
      <c r="BA1829" s="2" t="str">
        <f>IF(""&amp;$F1829&lt;&gt;"4","",IF($AY1829="YES","",IF(ROUND(SUMIFS($AE$2:$AE$4001,$L$2:$L$4001,$L1829,$F$2:$F$4001,"4")-SUMIFS('AR SALES'!$Y$2:$Y$2501,'AR SALES'!$L$2:$L$2501,$L1829,'AR SALES'!$AD$2:$AD$2501,"OFF"),2)=0,"","STALE")))</f>
        <v/>
      </c>
      <c r="BB1829" s="2" t="str">
        <f>IF(OR(""&amp;$F1829="2",""&amp;$F1829="4",""&amp;$F1829="G",""&amp;$F1829="H"),IF($AY1829="YES","",IF($AB1829&lt;&gt;0,"",IF(COUNTIFS('AR SALES'!$L$2:$L$2501,$L1829,'AR SALES'!$AD$2:$AD$2501,IF(""&amp;$F1829="4","OFF","ON"),'AR SALES'!$AF$2:$AF$2501,"Y")&gt;0,"","NO EXEMPTION"))),"")</f>
        <v/>
      </c>
    </row>
    <row r="1830" spans="46:54" x14ac:dyDescent="0.25">
      <c r="AT1830" s="2" t="str">
        <f>IF($L1830="","",IFERROR(INDEX('AR SALES'!$H$2:$H$2501,MATCH(""&amp;$L1830,'AR SALES'!$AE$2:$AE$2501,0)),""))</f>
        <v/>
      </c>
      <c r="AU1830" s="2" t="str">
        <f t="shared" si="112"/>
        <v/>
      </c>
      <c r="AV1830" s="2" t="str">
        <f t="shared" si="113"/>
        <v/>
      </c>
      <c r="AW1830" s="2" t="str">
        <f t="shared" si="114"/>
        <v/>
      </c>
      <c r="AX1830" s="2" t="str">
        <f t="shared" si="115"/>
        <v/>
      </c>
      <c r="AY1830" s="2" t="str">
        <f>IF($AV1830="","",IF(AND($Z1830=0,COUNTIF('AR SALES'!$L$2:$L$2501,$L1830)=0),"YES",""))</f>
        <v/>
      </c>
      <c r="AZ1830" s="2" t="str">
        <f>IF($AV1830="","",IF(COUNTIF(LISTS!$C$2:$C$250,$AU1830)=0,"NEW",""))</f>
        <v/>
      </c>
      <c r="BA1830" s="2" t="str">
        <f>IF(""&amp;$F1830&lt;&gt;"4","",IF($AY1830="YES","",IF(ROUND(SUMIFS($AE$2:$AE$4001,$L$2:$L$4001,$L1830,$F$2:$F$4001,"4")-SUMIFS('AR SALES'!$Y$2:$Y$2501,'AR SALES'!$L$2:$L$2501,$L1830,'AR SALES'!$AD$2:$AD$2501,"OFF"),2)=0,"","STALE")))</f>
        <v/>
      </c>
      <c r="BB1830" s="2" t="str">
        <f>IF(OR(""&amp;$F1830="2",""&amp;$F1830="4",""&amp;$F1830="G",""&amp;$F1830="H"),IF($AY1830="YES","",IF($AB1830&lt;&gt;0,"",IF(COUNTIFS('AR SALES'!$L$2:$L$2501,$L1830,'AR SALES'!$AD$2:$AD$2501,IF(""&amp;$F1830="4","OFF","ON"),'AR SALES'!$AF$2:$AF$2501,"Y")&gt;0,"","NO EXEMPTION"))),"")</f>
        <v/>
      </c>
    </row>
    <row r="1831" spans="46:54" x14ac:dyDescent="0.25">
      <c r="AT1831" s="2" t="str">
        <f>IF($L1831="","",IFERROR(INDEX('AR SALES'!$H$2:$H$2501,MATCH(""&amp;$L1831,'AR SALES'!$AE$2:$AE$2501,0)),""))</f>
        <v/>
      </c>
      <c r="AU1831" s="2" t="str">
        <f t="shared" si="112"/>
        <v/>
      </c>
      <c r="AV1831" s="2" t="str">
        <f t="shared" si="113"/>
        <v/>
      </c>
      <c r="AW1831" s="2" t="str">
        <f t="shared" si="114"/>
        <v/>
      </c>
      <c r="AX1831" s="2" t="str">
        <f t="shared" si="115"/>
        <v/>
      </c>
      <c r="AY1831" s="2" t="str">
        <f>IF($AV1831="","",IF(AND($Z1831=0,COUNTIF('AR SALES'!$L$2:$L$2501,$L1831)=0),"YES",""))</f>
        <v/>
      </c>
      <c r="AZ1831" s="2" t="str">
        <f>IF($AV1831="","",IF(COUNTIF(LISTS!$C$2:$C$250,$AU1831)=0,"NEW",""))</f>
        <v/>
      </c>
      <c r="BA1831" s="2" t="str">
        <f>IF(""&amp;$F1831&lt;&gt;"4","",IF($AY1831="YES","",IF(ROUND(SUMIFS($AE$2:$AE$4001,$L$2:$L$4001,$L1831,$F$2:$F$4001,"4")-SUMIFS('AR SALES'!$Y$2:$Y$2501,'AR SALES'!$L$2:$L$2501,$L1831,'AR SALES'!$AD$2:$AD$2501,"OFF"),2)=0,"","STALE")))</f>
        <v/>
      </c>
      <c r="BB1831" s="2" t="str">
        <f>IF(OR(""&amp;$F1831="2",""&amp;$F1831="4",""&amp;$F1831="G",""&amp;$F1831="H"),IF($AY1831="YES","",IF($AB1831&lt;&gt;0,"",IF(COUNTIFS('AR SALES'!$L$2:$L$2501,$L1831,'AR SALES'!$AD$2:$AD$2501,IF(""&amp;$F1831="4","OFF","ON"),'AR SALES'!$AF$2:$AF$2501,"Y")&gt;0,"","NO EXEMPTION"))),"")</f>
        <v/>
      </c>
    </row>
    <row r="1832" spans="46:54" x14ac:dyDescent="0.25">
      <c r="AT1832" s="2" t="str">
        <f>IF($L1832="","",IFERROR(INDEX('AR SALES'!$H$2:$H$2501,MATCH(""&amp;$L1832,'AR SALES'!$AE$2:$AE$2501,0)),""))</f>
        <v/>
      </c>
      <c r="AU1832" s="2" t="str">
        <f t="shared" si="112"/>
        <v/>
      </c>
      <c r="AV1832" s="2" t="str">
        <f t="shared" si="113"/>
        <v/>
      </c>
      <c r="AW1832" s="2" t="str">
        <f t="shared" si="114"/>
        <v/>
      </c>
      <c r="AX1832" s="2" t="str">
        <f t="shared" si="115"/>
        <v/>
      </c>
      <c r="AY1832" s="2" t="str">
        <f>IF($AV1832="","",IF(AND($Z1832=0,COUNTIF('AR SALES'!$L$2:$L$2501,$L1832)=0),"YES",""))</f>
        <v/>
      </c>
      <c r="AZ1832" s="2" t="str">
        <f>IF($AV1832="","",IF(COUNTIF(LISTS!$C$2:$C$250,$AU1832)=0,"NEW",""))</f>
        <v/>
      </c>
      <c r="BA1832" s="2" t="str">
        <f>IF(""&amp;$F1832&lt;&gt;"4","",IF($AY1832="YES","",IF(ROUND(SUMIFS($AE$2:$AE$4001,$L$2:$L$4001,$L1832,$F$2:$F$4001,"4")-SUMIFS('AR SALES'!$Y$2:$Y$2501,'AR SALES'!$L$2:$L$2501,$L1832,'AR SALES'!$AD$2:$AD$2501,"OFF"),2)=0,"","STALE")))</f>
        <v/>
      </c>
      <c r="BB1832" s="2" t="str">
        <f>IF(OR(""&amp;$F1832="2",""&amp;$F1832="4",""&amp;$F1832="G",""&amp;$F1832="H"),IF($AY1832="YES","",IF($AB1832&lt;&gt;0,"",IF(COUNTIFS('AR SALES'!$L$2:$L$2501,$L1832,'AR SALES'!$AD$2:$AD$2501,IF(""&amp;$F1832="4","OFF","ON"),'AR SALES'!$AF$2:$AF$2501,"Y")&gt;0,"","NO EXEMPTION"))),"")</f>
        <v/>
      </c>
    </row>
    <row r="1833" spans="46:54" x14ac:dyDescent="0.25">
      <c r="AT1833" s="2" t="str">
        <f>IF($L1833="","",IFERROR(INDEX('AR SALES'!$H$2:$H$2501,MATCH(""&amp;$L1833,'AR SALES'!$AE$2:$AE$2501,0)),""))</f>
        <v/>
      </c>
      <c r="AU1833" s="2" t="str">
        <f t="shared" si="112"/>
        <v/>
      </c>
      <c r="AV1833" s="2" t="str">
        <f t="shared" si="113"/>
        <v/>
      </c>
      <c r="AW1833" s="2" t="str">
        <f t="shared" si="114"/>
        <v/>
      </c>
      <c r="AX1833" s="2" t="str">
        <f t="shared" si="115"/>
        <v/>
      </c>
      <c r="AY1833" s="2" t="str">
        <f>IF($AV1833="","",IF(AND($Z1833=0,COUNTIF('AR SALES'!$L$2:$L$2501,$L1833)=0),"YES",""))</f>
        <v/>
      </c>
      <c r="AZ1833" s="2" t="str">
        <f>IF($AV1833="","",IF(COUNTIF(LISTS!$C$2:$C$250,$AU1833)=0,"NEW",""))</f>
        <v/>
      </c>
      <c r="BA1833" s="2" t="str">
        <f>IF(""&amp;$F1833&lt;&gt;"4","",IF($AY1833="YES","",IF(ROUND(SUMIFS($AE$2:$AE$4001,$L$2:$L$4001,$L1833,$F$2:$F$4001,"4")-SUMIFS('AR SALES'!$Y$2:$Y$2501,'AR SALES'!$L$2:$L$2501,$L1833,'AR SALES'!$AD$2:$AD$2501,"OFF"),2)=0,"","STALE")))</f>
        <v/>
      </c>
      <c r="BB1833" s="2" t="str">
        <f>IF(OR(""&amp;$F1833="2",""&amp;$F1833="4",""&amp;$F1833="G",""&amp;$F1833="H"),IF($AY1833="YES","",IF($AB1833&lt;&gt;0,"",IF(COUNTIFS('AR SALES'!$L$2:$L$2501,$L1833,'AR SALES'!$AD$2:$AD$2501,IF(""&amp;$F1833="4","OFF","ON"),'AR SALES'!$AF$2:$AF$2501,"Y")&gt;0,"","NO EXEMPTION"))),"")</f>
        <v/>
      </c>
    </row>
    <row r="1834" spans="46:54" x14ac:dyDescent="0.25">
      <c r="AT1834" s="2" t="str">
        <f>IF($L1834="","",IFERROR(INDEX('AR SALES'!$H$2:$H$2501,MATCH(""&amp;$L1834,'AR SALES'!$AE$2:$AE$2501,0)),""))</f>
        <v/>
      </c>
      <c r="AU1834" s="2" t="str">
        <f t="shared" si="112"/>
        <v/>
      </c>
      <c r="AV1834" s="2" t="str">
        <f t="shared" si="113"/>
        <v/>
      </c>
      <c r="AW1834" s="2" t="str">
        <f t="shared" si="114"/>
        <v/>
      </c>
      <c r="AX1834" s="2" t="str">
        <f t="shared" si="115"/>
        <v/>
      </c>
      <c r="AY1834" s="2" t="str">
        <f>IF($AV1834="","",IF(AND($Z1834=0,COUNTIF('AR SALES'!$L$2:$L$2501,$L1834)=0),"YES",""))</f>
        <v/>
      </c>
      <c r="AZ1834" s="2" t="str">
        <f>IF($AV1834="","",IF(COUNTIF(LISTS!$C$2:$C$250,$AU1834)=0,"NEW",""))</f>
        <v/>
      </c>
      <c r="BA1834" s="2" t="str">
        <f>IF(""&amp;$F1834&lt;&gt;"4","",IF($AY1834="YES","",IF(ROUND(SUMIFS($AE$2:$AE$4001,$L$2:$L$4001,$L1834,$F$2:$F$4001,"4")-SUMIFS('AR SALES'!$Y$2:$Y$2501,'AR SALES'!$L$2:$L$2501,$L1834,'AR SALES'!$AD$2:$AD$2501,"OFF"),2)=0,"","STALE")))</f>
        <v/>
      </c>
      <c r="BB1834" s="2" t="str">
        <f>IF(OR(""&amp;$F1834="2",""&amp;$F1834="4",""&amp;$F1834="G",""&amp;$F1834="H"),IF($AY1834="YES","",IF($AB1834&lt;&gt;0,"",IF(COUNTIFS('AR SALES'!$L$2:$L$2501,$L1834,'AR SALES'!$AD$2:$AD$2501,IF(""&amp;$F1834="4","OFF","ON"),'AR SALES'!$AF$2:$AF$2501,"Y")&gt;0,"","NO EXEMPTION"))),"")</f>
        <v/>
      </c>
    </row>
    <row r="1835" spans="46:54" x14ac:dyDescent="0.25">
      <c r="AT1835" s="2" t="str">
        <f>IF($L1835="","",IFERROR(INDEX('AR SALES'!$H$2:$H$2501,MATCH(""&amp;$L1835,'AR SALES'!$AE$2:$AE$2501,0)),""))</f>
        <v/>
      </c>
      <c r="AU1835" s="2" t="str">
        <f t="shared" si="112"/>
        <v/>
      </c>
      <c r="AV1835" s="2" t="str">
        <f t="shared" si="113"/>
        <v/>
      </c>
      <c r="AW1835" s="2" t="str">
        <f t="shared" si="114"/>
        <v/>
      </c>
      <c r="AX1835" s="2" t="str">
        <f t="shared" si="115"/>
        <v/>
      </c>
      <c r="AY1835" s="2" t="str">
        <f>IF($AV1835="","",IF(AND($Z1835=0,COUNTIF('AR SALES'!$L$2:$L$2501,$L1835)=0),"YES",""))</f>
        <v/>
      </c>
      <c r="AZ1835" s="2" t="str">
        <f>IF($AV1835="","",IF(COUNTIF(LISTS!$C$2:$C$250,$AU1835)=0,"NEW",""))</f>
        <v/>
      </c>
      <c r="BA1835" s="2" t="str">
        <f>IF(""&amp;$F1835&lt;&gt;"4","",IF($AY1835="YES","",IF(ROUND(SUMIFS($AE$2:$AE$4001,$L$2:$L$4001,$L1835,$F$2:$F$4001,"4")-SUMIFS('AR SALES'!$Y$2:$Y$2501,'AR SALES'!$L$2:$L$2501,$L1835,'AR SALES'!$AD$2:$AD$2501,"OFF"),2)=0,"","STALE")))</f>
        <v/>
      </c>
      <c r="BB1835" s="2" t="str">
        <f>IF(OR(""&amp;$F1835="2",""&amp;$F1835="4",""&amp;$F1835="G",""&amp;$F1835="H"),IF($AY1835="YES","",IF($AB1835&lt;&gt;0,"",IF(COUNTIFS('AR SALES'!$L$2:$L$2501,$L1835,'AR SALES'!$AD$2:$AD$2501,IF(""&amp;$F1835="4","OFF","ON"),'AR SALES'!$AF$2:$AF$2501,"Y")&gt;0,"","NO EXEMPTION"))),"")</f>
        <v/>
      </c>
    </row>
    <row r="1836" spans="46:54" x14ac:dyDescent="0.25">
      <c r="AT1836" s="2" t="str">
        <f>IF($L1836="","",IFERROR(INDEX('AR SALES'!$H$2:$H$2501,MATCH(""&amp;$L1836,'AR SALES'!$AE$2:$AE$2501,0)),""))</f>
        <v/>
      </c>
      <c r="AU1836" s="2" t="str">
        <f t="shared" si="112"/>
        <v/>
      </c>
      <c r="AV1836" s="2" t="str">
        <f t="shared" si="113"/>
        <v/>
      </c>
      <c r="AW1836" s="2" t="str">
        <f t="shared" si="114"/>
        <v/>
      </c>
      <c r="AX1836" s="2" t="str">
        <f t="shared" si="115"/>
        <v/>
      </c>
      <c r="AY1836" s="2" t="str">
        <f>IF($AV1836="","",IF(AND($Z1836=0,COUNTIF('AR SALES'!$L$2:$L$2501,$L1836)=0),"YES",""))</f>
        <v/>
      </c>
      <c r="AZ1836" s="2" t="str">
        <f>IF($AV1836="","",IF(COUNTIF(LISTS!$C$2:$C$250,$AU1836)=0,"NEW",""))</f>
        <v/>
      </c>
      <c r="BA1836" s="2" t="str">
        <f>IF(""&amp;$F1836&lt;&gt;"4","",IF($AY1836="YES","",IF(ROUND(SUMIFS($AE$2:$AE$4001,$L$2:$L$4001,$L1836,$F$2:$F$4001,"4")-SUMIFS('AR SALES'!$Y$2:$Y$2501,'AR SALES'!$L$2:$L$2501,$L1836,'AR SALES'!$AD$2:$AD$2501,"OFF"),2)=0,"","STALE")))</f>
        <v/>
      </c>
      <c r="BB1836" s="2" t="str">
        <f>IF(OR(""&amp;$F1836="2",""&amp;$F1836="4",""&amp;$F1836="G",""&amp;$F1836="H"),IF($AY1836="YES","",IF($AB1836&lt;&gt;0,"",IF(COUNTIFS('AR SALES'!$L$2:$L$2501,$L1836,'AR SALES'!$AD$2:$AD$2501,IF(""&amp;$F1836="4","OFF","ON"),'AR SALES'!$AF$2:$AF$2501,"Y")&gt;0,"","NO EXEMPTION"))),"")</f>
        <v/>
      </c>
    </row>
    <row r="1837" spans="46:54" x14ac:dyDescent="0.25">
      <c r="AT1837" s="2" t="str">
        <f>IF($L1837="","",IFERROR(INDEX('AR SALES'!$H$2:$H$2501,MATCH(""&amp;$L1837,'AR SALES'!$AE$2:$AE$2501,0)),""))</f>
        <v/>
      </c>
      <c r="AU1837" s="2" t="str">
        <f t="shared" si="112"/>
        <v/>
      </c>
      <c r="AV1837" s="2" t="str">
        <f t="shared" si="113"/>
        <v/>
      </c>
      <c r="AW1837" s="2" t="str">
        <f t="shared" si="114"/>
        <v/>
      </c>
      <c r="AX1837" s="2" t="str">
        <f t="shared" si="115"/>
        <v/>
      </c>
      <c r="AY1837" s="2" t="str">
        <f>IF($AV1837="","",IF(AND($Z1837=0,COUNTIF('AR SALES'!$L$2:$L$2501,$L1837)=0),"YES",""))</f>
        <v/>
      </c>
      <c r="AZ1837" s="2" t="str">
        <f>IF($AV1837="","",IF(COUNTIF(LISTS!$C$2:$C$250,$AU1837)=0,"NEW",""))</f>
        <v/>
      </c>
      <c r="BA1837" s="2" t="str">
        <f>IF(""&amp;$F1837&lt;&gt;"4","",IF($AY1837="YES","",IF(ROUND(SUMIFS($AE$2:$AE$4001,$L$2:$L$4001,$L1837,$F$2:$F$4001,"4")-SUMIFS('AR SALES'!$Y$2:$Y$2501,'AR SALES'!$L$2:$L$2501,$L1837,'AR SALES'!$AD$2:$AD$2501,"OFF"),2)=0,"","STALE")))</f>
        <v/>
      </c>
      <c r="BB1837" s="2" t="str">
        <f>IF(OR(""&amp;$F1837="2",""&amp;$F1837="4",""&amp;$F1837="G",""&amp;$F1837="H"),IF($AY1837="YES","",IF($AB1837&lt;&gt;0,"",IF(COUNTIFS('AR SALES'!$L$2:$L$2501,$L1837,'AR SALES'!$AD$2:$AD$2501,IF(""&amp;$F1837="4","OFF","ON"),'AR SALES'!$AF$2:$AF$2501,"Y")&gt;0,"","NO EXEMPTION"))),"")</f>
        <v/>
      </c>
    </row>
    <row r="1838" spans="46:54" x14ac:dyDescent="0.25">
      <c r="AT1838" s="2" t="str">
        <f>IF($L1838="","",IFERROR(INDEX('AR SALES'!$H$2:$H$2501,MATCH(""&amp;$L1838,'AR SALES'!$AE$2:$AE$2501,0)),""))</f>
        <v/>
      </c>
      <c r="AU1838" s="2" t="str">
        <f t="shared" si="112"/>
        <v/>
      </c>
      <c r="AV1838" s="2" t="str">
        <f t="shared" si="113"/>
        <v/>
      </c>
      <c r="AW1838" s="2" t="str">
        <f t="shared" si="114"/>
        <v/>
      </c>
      <c r="AX1838" s="2" t="str">
        <f t="shared" si="115"/>
        <v/>
      </c>
      <c r="AY1838" s="2" t="str">
        <f>IF($AV1838="","",IF(AND($Z1838=0,COUNTIF('AR SALES'!$L$2:$L$2501,$L1838)=0),"YES",""))</f>
        <v/>
      </c>
      <c r="AZ1838" s="2" t="str">
        <f>IF($AV1838="","",IF(COUNTIF(LISTS!$C$2:$C$250,$AU1838)=0,"NEW",""))</f>
        <v/>
      </c>
      <c r="BA1838" s="2" t="str">
        <f>IF(""&amp;$F1838&lt;&gt;"4","",IF($AY1838="YES","",IF(ROUND(SUMIFS($AE$2:$AE$4001,$L$2:$L$4001,$L1838,$F$2:$F$4001,"4")-SUMIFS('AR SALES'!$Y$2:$Y$2501,'AR SALES'!$L$2:$L$2501,$L1838,'AR SALES'!$AD$2:$AD$2501,"OFF"),2)=0,"","STALE")))</f>
        <v/>
      </c>
      <c r="BB1838" s="2" t="str">
        <f>IF(OR(""&amp;$F1838="2",""&amp;$F1838="4",""&amp;$F1838="G",""&amp;$F1838="H"),IF($AY1838="YES","",IF($AB1838&lt;&gt;0,"",IF(COUNTIFS('AR SALES'!$L$2:$L$2501,$L1838,'AR SALES'!$AD$2:$AD$2501,IF(""&amp;$F1838="4","OFF","ON"),'AR SALES'!$AF$2:$AF$2501,"Y")&gt;0,"","NO EXEMPTION"))),"")</f>
        <v/>
      </c>
    </row>
    <row r="1839" spans="46:54" x14ac:dyDescent="0.25">
      <c r="AT1839" s="2" t="str">
        <f>IF($L1839="","",IFERROR(INDEX('AR SALES'!$H$2:$H$2501,MATCH(""&amp;$L1839,'AR SALES'!$AE$2:$AE$2501,0)),""))</f>
        <v/>
      </c>
      <c r="AU1839" s="2" t="str">
        <f t="shared" si="112"/>
        <v/>
      </c>
      <c r="AV1839" s="2" t="str">
        <f t="shared" si="113"/>
        <v/>
      </c>
      <c r="AW1839" s="2" t="str">
        <f t="shared" si="114"/>
        <v/>
      </c>
      <c r="AX1839" s="2" t="str">
        <f t="shared" si="115"/>
        <v/>
      </c>
      <c r="AY1839" s="2" t="str">
        <f>IF($AV1839="","",IF(AND($Z1839=0,COUNTIF('AR SALES'!$L$2:$L$2501,$L1839)=0),"YES",""))</f>
        <v/>
      </c>
      <c r="AZ1839" s="2" t="str">
        <f>IF($AV1839="","",IF(COUNTIF(LISTS!$C$2:$C$250,$AU1839)=0,"NEW",""))</f>
        <v/>
      </c>
      <c r="BA1839" s="2" t="str">
        <f>IF(""&amp;$F1839&lt;&gt;"4","",IF($AY1839="YES","",IF(ROUND(SUMIFS($AE$2:$AE$4001,$L$2:$L$4001,$L1839,$F$2:$F$4001,"4")-SUMIFS('AR SALES'!$Y$2:$Y$2501,'AR SALES'!$L$2:$L$2501,$L1839,'AR SALES'!$AD$2:$AD$2501,"OFF"),2)=0,"","STALE")))</f>
        <v/>
      </c>
      <c r="BB1839" s="2" t="str">
        <f>IF(OR(""&amp;$F1839="2",""&amp;$F1839="4",""&amp;$F1839="G",""&amp;$F1839="H"),IF($AY1839="YES","",IF($AB1839&lt;&gt;0,"",IF(COUNTIFS('AR SALES'!$L$2:$L$2501,$L1839,'AR SALES'!$AD$2:$AD$2501,IF(""&amp;$F1839="4","OFF","ON"),'AR SALES'!$AF$2:$AF$2501,"Y")&gt;0,"","NO EXEMPTION"))),"")</f>
        <v/>
      </c>
    </row>
    <row r="1840" spans="46:54" x14ac:dyDescent="0.25">
      <c r="AT1840" s="2" t="str">
        <f>IF($L1840="","",IFERROR(INDEX('AR SALES'!$H$2:$H$2501,MATCH(""&amp;$L1840,'AR SALES'!$AE$2:$AE$2501,0)),""))</f>
        <v/>
      </c>
      <c r="AU1840" s="2" t="str">
        <f t="shared" si="112"/>
        <v/>
      </c>
      <c r="AV1840" s="2" t="str">
        <f t="shared" si="113"/>
        <v/>
      </c>
      <c r="AW1840" s="2" t="str">
        <f t="shared" si="114"/>
        <v/>
      </c>
      <c r="AX1840" s="2" t="str">
        <f t="shared" si="115"/>
        <v/>
      </c>
      <c r="AY1840" s="2" t="str">
        <f>IF($AV1840="","",IF(AND($Z1840=0,COUNTIF('AR SALES'!$L$2:$L$2501,$L1840)=0),"YES",""))</f>
        <v/>
      </c>
      <c r="AZ1840" s="2" t="str">
        <f>IF($AV1840="","",IF(COUNTIF(LISTS!$C$2:$C$250,$AU1840)=0,"NEW",""))</f>
        <v/>
      </c>
      <c r="BA1840" s="2" t="str">
        <f>IF(""&amp;$F1840&lt;&gt;"4","",IF($AY1840="YES","",IF(ROUND(SUMIFS($AE$2:$AE$4001,$L$2:$L$4001,$L1840,$F$2:$F$4001,"4")-SUMIFS('AR SALES'!$Y$2:$Y$2501,'AR SALES'!$L$2:$L$2501,$L1840,'AR SALES'!$AD$2:$AD$2501,"OFF"),2)=0,"","STALE")))</f>
        <v/>
      </c>
      <c r="BB1840" s="2" t="str">
        <f>IF(OR(""&amp;$F1840="2",""&amp;$F1840="4",""&amp;$F1840="G",""&amp;$F1840="H"),IF($AY1840="YES","",IF($AB1840&lt;&gt;0,"",IF(COUNTIFS('AR SALES'!$L$2:$L$2501,$L1840,'AR SALES'!$AD$2:$AD$2501,IF(""&amp;$F1840="4","OFF","ON"),'AR SALES'!$AF$2:$AF$2501,"Y")&gt;0,"","NO EXEMPTION"))),"")</f>
        <v/>
      </c>
    </row>
    <row r="1841" spans="46:54" x14ac:dyDescent="0.25">
      <c r="AT1841" s="2" t="str">
        <f>IF($L1841="","",IFERROR(INDEX('AR SALES'!$H$2:$H$2501,MATCH(""&amp;$L1841,'AR SALES'!$AE$2:$AE$2501,0)),""))</f>
        <v/>
      </c>
      <c r="AU1841" s="2" t="str">
        <f t="shared" si="112"/>
        <v/>
      </c>
      <c r="AV1841" s="2" t="str">
        <f t="shared" si="113"/>
        <v/>
      </c>
      <c r="AW1841" s="2" t="str">
        <f t="shared" si="114"/>
        <v/>
      </c>
      <c r="AX1841" s="2" t="str">
        <f t="shared" si="115"/>
        <v/>
      </c>
      <c r="AY1841" s="2" t="str">
        <f>IF($AV1841="","",IF(AND($Z1841=0,COUNTIF('AR SALES'!$L$2:$L$2501,$L1841)=0),"YES",""))</f>
        <v/>
      </c>
      <c r="AZ1841" s="2" t="str">
        <f>IF($AV1841="","",IF(COUNTIF(LISTS!$C$2:$C$250,$AU1841)=0,"NEW",""))</f>
        <v/>
      </c>
      <c r="BA1841" s="2" t="str">
        <f>IF(""&amp;$F1841&lt;&gt;"4","",IF($AY1841="YES","",IF(ROUND(SUMIFS($AE$2:$AE$4001,$L$2:$L$4001,$L1841,$F$2:$F$4001,"4")-SUMIFS('AR SALES'!$Y$2:$Y$2501,'AR SALES'!$L$2:$L$2501,$L1841,'AR SALES'!$AD$2:$AD$2501,"OFF"),2)=0,"","STALE")))</f>
        <v/>
      </c>
      <c r="BB1841" s="2" t="str">
        <f>IF(OR(""&amp;$F1841="2",""&amp;$F1841="4",""&amp;$F1841="G",""&amp;$F1841="H"),IF($AY1841="YES","",IF($AB1841&lt;&gt;0,"",IF(COUNTIFS('AR SALES'!$L$2:$L$2501,$L1841,'AR SALES'!$AD$2:$AD$2501,IF(""&amp;$F1841="4","OFF","ON"),'AR SALES'!$AF$2:$AF$2501,"Y")&gt;0,"","NO EXEMPTION"))),"")</f>
        <v/>
      </c>
    </row>
    <row r="1842" spans="46:54" x14ac:dyDescent="0.25">
      <c r="AT1842" s="2" t="str">
        <f>IF($L1842="","",IFERROR(INDEX('AR SALES'!$H$2:$H$2501,MATCH(""&amp;$L1842,'AR SALES'!$AE$2:$AE$2501,0)),""))</f>
        <v/>
      </c>
      <c r="AU1842" s="2" t="str">
        <f t="shared" si="112"/>
        <v/>
      </c>
      <c r="AV1842" s="2" t="str">
        <f t="shared" si="113"/>
        <v/>
      </c>
      <c r="AW1842" s="2" t="str">
        <f t="shared" si="114"/>
        <v/>
      </c>
      <c r="AX1842" s="2" t="str">
        <f t="shared" si="115"/>
        <v/>
      </c>
      <c r="AY1842" s="2" t="str">
        <f>IF($AV1842="","",IF(AND($Z1842=0,COUNTIF('AR SALES'!$L$2:$L$2501,$L1842)=0),"YES",""))</f>
        <v/>
      </c>
      <c r="AZ1842" s="2" t="str">
        <f>IF($AV1842="","",IF(COUNTIF(LISTS!$C$2:$C$250,$AU1842)=0,"NEW",""))</f>
        <v/>
      </c>
      <c r="BA1842" s="2" t="str">
        <f>IF(""&amp;$F1842&lt;&gt;"4","",IF($AY1842="YES","",IF(ROUND(SUMIFS($AE$2:$AE$4001,$L$2:$L$4001,$L1842,$F$2:$F$4001,"4")-SUMIFS('AR SALES'!$Y$2:$Y$2501,'AR SALES'!$L$2:$L$2501,$L1842,'AR SALES'!$AD$2:$AD$2501,"OFF"),2)=0,"","STALE")))</f>
        <v/>
      </c>
      <c r="BB1842" s="2" t="str">
        <f>IF(OR(""&amp;$F1842="2",""&amp;$F1842="4",""&amp;$F1842="G",""&amp;$F1842="H"),IF($AY1842="YES","",IF($AB1842&lt;&gt;0,"",IF(COUNTIFS('AR SALES'!$L$2:$L$2501,$L1842,'AR SALES'!$AD$2:$AD$2501,IF(""&amp;$F1842="4","OFF","ON"),'AR SALES'!$AF$2:$AF$2501,"Y")&gt;0,"","NO EXEMPTION"))),"")</f>
        <v/>
      </c>
    </row>
    <row r="1843" spans="46:54" x14ac:dyDescent="0.25">
      <c r="AT1843" s="2" t="str">
        <f>IF($L1843="","",IFERROR(INDEX('AR SALES'!$H$2:$H$2501,MATCH(""&amp;$L1843,'AR SALES'!$AE$2:$AE$2501,0)),""))</f>
        <v/>
      </c>
      <c r="AU1843" s="2" t="str">
        <f t="shared" si="112"/>
        <v/>
      </c>
      <c r="AV1843" s="2" t="str">
        <f t="shared" si="113"/>
        <v/>
      </c>
      <c r="AW1843" s="2" t="str">
        <f t="shared" si="114"/>
        <v/>
      </c>
      <c r="AX1843" s="2" t="str">
        <f t="shared" si="115"/>
        <v/>
      </c>
      <c r="AY1843" s="2" t="str">
        <f>IF($AV1843="","",IF(AND($Z1843=0,COUNTIF('AR SALES'!$L$2:$L$2501,$L1843)=0),"YES",""))</f>
        <v/>
      </c>
      <c r="AZ1843" s="2" t="str">
        <f>IF($AV1843="","",IF(COUNTIF(LISTS!$C$2:$C$250,$AU1843)=0,"NEW",""))</f>
        <v/>
      </c>
      <c r="BA1843" s="2" t="str">
        <f>IF(""&amp;$F1843&lt;&gt;"4","",IF($AY1843="YES","",IF(ROUND(SUMIFS($AE$2:$AE$4001,$L$2:$L$4001,$L1843,$F$2:$F$4001,"4")-SUMIFS('AR SALES'!$Y$2:$Y$2501,'AR SALES'!$L$2:$L$2501,$L1843,'AR SALES'!$AD$2:$AD$2501,"OFF"),2)=0,"","STALE")))</f>
        <v/>
      </c>
      <c r="BB1843" s="2" t="str">
        <f>IF(OR(""&amp;$F1843="2",""&amp;$F1843="4",""&amp;$F1843="G",""&amp;$F1843="H"),IF($AY1843="YES","",IF($AB1843&lt;&gt;0,"",IF(COUNTIFS('AR SALES'!$L$2:$L$2501,$L1843,'AR SALES'!$AD$2:$AD$2501,IF(""&amp;$F1843="4","OFF","ON"),'AR SALES'!$AF$2:$AF$2501,"Y")&gt;0,"","NO EXEMPTION"))),"")</f>
        <v/>
      </c>
    </row>
    <row r="1844" spans="46:54" x14ac:dyDescent="0.25">
      <c r="AT1844" s="2" t="str">
        <f>IF($L1844="","",IFERROR(INDEX('AR SALES'!$H$2:$H$2501,MATCH(""&amp;$L1844,'AR SALES'!$AE$2:$AE$2501,0)),""))</f>
        <v/>
      </c>
      <c r="AU1844" s="2" t="str">
        <f t="shared" si="112"/>
        <v/>
      </c>
      <c r="AV1844" s="2" t="str">
        <f t="shared" si="113"/>
        <v/>
      </c>
      <c r="AW1844" s="2" t="str">
        <f t="shared" si="114"/>
        <v/>
      </c>
      <c r="AX1844" s="2" t="str">
        <f t="shared" si="115"/>
        <v/>
      </c>
      <c r="AY1844" s="2" t="str">
        <f>IF($AV1844="","",IF(AND($Z1844=0,COUNTIF('AR SALES'!$L$2:$L$2501,$L1844)=0),"YES",""))</f>
        <v/>
      </c>
      <c r="AZ1844" s="2" t="str">
        <f>IF($AV1844="","",IF(COUNTIF(LISTS!$C$2:$C$250,$AU1844)=0,"NEW",""))</f>
        <v/>
      </c>
      <c r="BA1844" s="2" t="str">
        <f>IF(""&amp;$F1844&lt;&gt;"4","",IF($AY1844="YES","",IF(ROUND(SUMIFS($AE$2:$AE$4001,$L$2:$L$4001,$L1844,$F$2:$F$4001,"4")-SUMIFS('AR SALES'!$Y$2:$Y$2501,'AR SALES'!$L$2:$L$2501,$L1844,'AR SALES'!$AD$2:$AD$2501,"OFF"),2)=0,"","STALE")))</f>
        <v/>
      </c>
      <c r="BB1844" s="2" t="str">
        <f>IF(OR(""&amp;$F1844="2",""&amp;$F1844="4",""&amp;$F1844="G",""&amp;$F1844="H"),IF($AY1844="YES","",IF($AB1844&lt;&gt;0,"",IF(COUNTIFS('AR SALES'!$L$2:$L$2501,$L1844,'AR SALES'!$AD$2:$AD$2501,IF(""&amp;$F1844="4","OFF","ON"),'AR SALES'!$AF$2:$AF$2501,"Y")&gt;0,"","NO EXEMPTION"))),"")</f>
        <v/>
      </c>
    </row>
    <row r="1845" spans="46:54" x14ac:dyDescent="0.25">
      <c r="AT1845" s="2" t="str">
        <f>IF($L1845="","",IFERROR(INDEX('AR SALES'!$H$2:$H$2501,MATCH(""&amp;$L1845,'AR SALES'!$AE$2:$AE$2501,0)),""))</f>
        <v/>
      </c>
      <c r="AU1845" s="2" t="str">
        <f t="shared" si="112"/>
        <v/>
      </c>
      <c r="AV1845" s="2" t="str">
        <f t="shared" si="113"/>
        <v/>
      </c>
      <c r="AW1845" s="2" t="str">
        <f t="shared" si="114"/>
        <v/>
      </c>
      <c r="AX1845" s="2" t="str">
        <f t="shared" si="115"/>
        <v/>
      </c>
      <c r="AY1845" s="2" t="str">
        <f>IF($AV1845="","",IF(AND($Z1845=0,COUNTIF('AR SALES'!$L$2:$L$2501,$L1845)=0),"YES",""))</f>
        <v/>
      </c>
      <c r="AZ1845" s="2" t="str">
        <f>IF($AV1845="","",IF(COUNTIF(LISTS!$C$2:$C$250,$AU1845)=0,"NEW",""))</f>
        <v/>
      </c>
      <c r="BA1845" s="2" t="str">
        <f>IF(""&amp;$F1845&lt;&gt;"4","",IF($AY1845="YES","",IF(ROUND(SUMIFS($AE$2:$AE$4001,$L$2:$L$4001,$L1845,$F$2:$F$4001,"4")-SUMIFS('AR SALES'!$Y$2:$Y$2501,'AR SALES'!$L$2:$L$2501,$L1845,'AR SALES'!$AD$2:$AD$2501,"OFF"),2)=0,"","STALE")))</f>
        <v/>
      </c>
      <c r="BB1845" s="2" t="str">
        <f>IF(OR(""&amp;$F1845="2",""&amp;$F1845="4",""&amp;$F1845="G",""&amp;$F1845="H"),IF($AY1845="YES","",IF($AB1845&lt;&gt;0,"",IF(COUNTIFS('AR SALES'!$L$2:$L$2501,$L1845,'AR SALES'!$AD$2:$AD$2501,IF(""&amp;$F1845="4","OFF","ON"),'AR SALES'!$AF$2:$AF$2501,"Y")&gt;0,"","NO EXEMPTION"))),"")</f>
        <v/>
      </c>
    </row>
    <row r="1846" spans="46:54" x14ac:dyDescent="0.25">
      <c r="AT1846" s="2" t="str">
        <f>IF($L1846="","",IFERROR(INDEX('AR SALES'!$H$2:$H$2501,MATCH(""&amp;$L1846,'AR SALES'!$AE$2:$AE$2501,0)),""))</f>
        <v/>
      </c>
      <c r="AU1846" s="2" t="str">
        <f t="shared" si="112"/>
        <v/>
      </c>
      <c r="AV1846" s="2" t="str">
        <f t="shared" si="113"/>
        <v/>
      </c>
      <c r="AW1846" s="2" t="str">
        <f t="shared" si="114"/>
        <v/>
      </c>
      <c r="AX1846" s="2" t="str">
        <f t="shared" si="115"/>
        <v/>
      </c>
      <c r="AY1846" s="2" t="str">
        <f>IF($AV1846="","",IF(AND($Z1846=0,COUNTIF('AR SALES'!$L$2:$L$2501,$L1846)=0),"YES",""))</f>
        <v/>
      </c>
      <c r="AZ1846" s="2" t="str">
        <f>IF($AV1846="","",IF(COUNTIF(LISTS!$C$2:$C$250,$AU1846)=0,"NEW",""))</f>
        <v/>
      </c>
      <c r="BA1846" s="2" t="str">
        <f>IF(""&amp;$F1846&lt;&gt;"4","",IF($AY1846="YES","",IF(ROUND(SUMIFS($AE$2:$AE$4001,$L$2:$L$4001,$L1846,$F$2:$F$4001,"4")-SUMIFS('AR SALES'!$Y$2:$Y$2501,'AR SALES'!$L$2:$L$2501,$L1846,'AR SALES'!$AD$2:$AD$2501,"OFF"),2)=0,"","STALE")))</f>
        <v/>
      </c>
      <c r="BB1846" s="2" t="str">
        <f>IF(OR(""&amp;$F1846="2",""&amp;$F1846="4",""&amp;$F1846="G",""&amp;$F1846="H"),IF($AY1846="YES","",IF($AB1846&lt;&gt;0,"",IF(COUNTIFS('AR SALES'!$L$2:$L$2501,$L1846,'AR SALES'!$AD$2:$AD$2501,IF(""&amp;$F1846="4","OFF","ON"),'AR SALES'!$AF$2:$AF$2501,"Y")&gt;0,"","NO EXEMPTION"))),"")</f>
        <v/>
      </c>
    </row>
    <row r="1847" spans="46:54" x14ac:dyDescent="0.25">
      <c r="AT1847" s="2" t="str">
        <f>IF($L1847="","",IFERROR(INDEX('AR SALES'!$H$2:$H$2501,MATCH(""&amp;$L1847,'AR SALES'!$AE$2:$AE$2501,0)),""))</f>
        <v/>
      </c>
      <c r="AU1847" s="2" t="str">
        <f t="shared" si="112"/>
        <v/>
      </c>
      <c r="AV1847" s="2" t="str">
        <f t="shared" si="113"/>
        <v/>
      </c>
      <c r="AW1847" s="2" t="str">
        <f t="shared" si="114"/>
        <v/>
      </c>
      <c r="AX1847" s="2" t="str">
        <f t="shared" si="115"/>
        <v/>
      </c>
      <c r="AY1847" s="2" t="str">
        <f>IF($AV1847="","",IF(AND($Z1847=0,COUNTIF('AR SALES'!$L$2:$L$2501,$L1847)=0),"YES",""))</f>
        <v/>
      </c>
      <c r="AZ1847" s="2" t="str">
        <f>IF($AV1847="","",IF(COUNTIF(LISTS!$C$2:$C$250,$AU1847)=0,"NEW",""))</f>
        <v/>
      </c>
      <c r="BA1847" s="2" t="str">
        <f>IF(""&amp;$F1847&lt;&gt;"4","",IF($AY1847="YES","",IF(ROUND(SUMIFS($AE$2:$AE$4001,$L$2:$L$4001,$L1847,$F$2:$F$4001,"4")-SUMIFS('AR SALES'!$Y$2:$Y$2501,'AR SALES'!$L$2:$L$2501,$L1847,'AR SALES'!$AD$2:$AD$2501,"OFF"),2)=0,"","STALE")))</f>
        <v/>
      </c>
      <c r="BB1847" s="2" t="str">
        <f>IF(OR(""&amp;$F1847="2",""&amp;$F1847="4",""&amp;$F1847="G",""&amp;$F1847="H"),IF($AY1847="YES","",IF($AB1847&lt;&gt;0,"",IF(COUNTIFS('AR SALES'!$L$2:$L$2501,$L1847,'AR SALES'!$AD$2:$AD$2501,IF(""&amp;$F1847="4","OFF","ON"),'AR SALES'!$AF$2:$AF$2501,"Y")&gt;0,"","NO EXEMPTION"))),"")</f>
        <v/>
      </c>
    </row>
    <row r="1848" spans="46:54" x14ac:dyDescent="0.25">
      <c r="AT1848" s="2" t="str">
        <f>IF($L1848="","",IFERROR(INDEX('AR SALES'!$H$2:$H$2501,MATCH(""&amp;$L1848,'AR SALES'!$AE$2:$AE$2501,0)),""))</f>
        <v/>
      </c>
      <c r="AU1848" s="2" t="str">
        <f t="shared" si="112"/>
        <v/>
      </c>
      <c r="AV1848" s="2" t="str">
        <f t="shared" si="113"/>
        <v/>
      </c>
      <c r="AW1848" s="2" t="str">
        <f t="shared" si="114"/>
        <v/>
      </c>
      <c r="AX1848" s="2" t="str">
        <f t="shared" si="115"/>
        <v/>
      </c>
      <c r="AY1848" s="2" t="str">
        <f>IF($AV1848="","",IF(AND($Z1848=0,COUNTIF('AR SALES'!$L$2:$L$2501,$L1848)=0),"YES",""))</f>
        <v/>
      </c>
      <c r="AZ1848" s="2" t="str">
        <f>IF($AV1848="","",IF(COUNTIF(LISTS!$C$2:$C$250,$AU1848)=0,"NEW",""))</f>
        <v/>
      </c>
      <c r="BA1848" s="2" t="str">
        <f>IF(""&amp;$F1848&lt;&gt;"4","",IF($AY1848="YES","",IF(ROUND(SUMIFS($AE$2:$AE$4001,$L$2:$L$4001,$L1848,$F$2:$F$4001,"4")-SUMIFS('AR SALES'!$Y$2:$Y$2501,'AR SALES'!$L$2:$L$2501,$L1848,'AR SALES'!$AD$2:$AD$2501,"OFF"),2)=0,"","STALE")))</f>
        <v/>
      </c>
      <c r="BB1848" s="2" t="str">
        <f>IF(OR(""&amp;$F1848="2",""&amp;$F1848="4",""&amp;$F1848="G",""&amp;$F1848="H"),IF($AY1848="YES","",IF($AB1848&lt;&gt;0,"",IF(COUNTIFS('AR SALES'!$L$2:$L$2501,$L1848,'AR SALES'!$AD$2:$AD$2501,IF(""&amp;$F1848="4","OFF","ON"),'AR SALES'!$AF$2:$AF$2501,"Y")&gt;0,"","NO EXEMPTION"))),"")</f>
        <v/>
      </c>
    </row>
    <row r="1849" spans="46:54" x14ac:dyDescent="0.25">
      <c r="AT1849" s="2" t="str">
        <f>IF($L1849="","",IFERROR(INDEX('AR SALES'!$H$2:$H$2501,MATCH(""&amp;$L1849,'AR SALES'!$AE$2:$AE$2501,0)),""))</f>
        <v/>
      </c>
      <c r="AU1849" s="2" t="str">
        <f t="shared" si="112"/>
        <v/>
      </c>
      <c r="AV1849" s="2" t="str">
        <f t="shared" si="113"/>
        <v/>
      </c>
      <c r="AW1849" s="2" t="str">
        <f t="shared" si="114"/>
        <v/>
      </c>
      <c r="AX1849" s="2" t="str">
        <f t="shared" si="115"/>
        <v/>
      </c>
      <c r="AY1849" s="2" t="str">
        <f>IF($AV1849="","",IF(AND($Z1849=0,COUNTIF('AR SALES'!$L$2:$L$2501,$L1849)=0),"YES",""))</f>
        <v/>
      </c>
      <c r="AZ1849" s="2" t="str">
        <f>IF($AV1849="","",IF(COUNTIF(LISTS!$C$2:$C$250,$AU1849)=0,"NEW",""))</f>
        <v/>
      </c>
      <c r="BA1849" s="2" t="str">
        <f>IF(""&amp;$F1849&lt;&gt;"4","",IF($AY1849="YES","",IF(ROUND(SUMIFS($AE$2:$AE$4001,$L$2:$L$4001,$L1849,$F$2:$F$4001,"4")-SUMIFS('AR SALES'!$Y$2:$Y$2501,'AR SALES'!$L$2:$L$2501,$L1849,'AR SALES'!$AD$2:$AD$2501,"OFF"),2)=0,"","STALE")))</f>
        <v/>
      </c>
      <c r="BB1849" s="2" t="str">
        <f>IF(OR(""&amp;$F1849="2",""&amp;$F1849="4",""&amp;$F1849="G",""&amp;$F1849="H"),IF($AY1849="YES","",IF($AB1849&lt;&gt;0,"",IF(COUNTIFS('AR SALES'!$L$2:$L$2501,$L1849,'AR SALES'!$AD$2:$AD$2501,IF(""&amp;$F1849="4","OFF","ON"),'AR SALES'!$AF$2:$AF$2501,"Y")&gt;0,"","NO EXEMPTION"))),"")</f>
        <v/>
      </c>
    </row>
    <row r="1850" spans="46:54" x14ac:dyDescent="0.25">
      <c r="AT1850" s="2" t="str">
        <f>IF($L1850="","",IFERROR(INDEX('AR SALES'!$H$2:$H$2501,MATCH(""&amp;$L1850,'AR SALES'!$AE$2:$AE$2501,0)),""))</f>
        <v/>
      </c>
      <c r="AU1850" s="2" t="str">
        <f t="shared" si="112"/>
        <v/>
      </c>
      <c r="AV1850" s="2" t="str">
        <f t="shared" si="113"/>
        <v/>
      </c>
      <c r="AW1850" s="2" t="str">
        <f t="shared" si="114"/>
        <v/>
      </c>
      <c r="AX1850" s="2" t="str">
        <f t="shared" si="115"/>
        <v/>
      </c>
      <c r="AY1850" s="2" t="str">
        <f>IF($AV1850="","",IF(AND($Z1850=0,COUNTIF('AR SALES'!$L$2:$L$2501,$L1850)=0),"YES",""))</f>
        <v/>
      </c>
      <c r="AZ1850" s="2" t="str">
        <f>IF($AV1850="","",IF(COUNTIF(LISTS!$C$2:$C$250,$AU1850)=0,"NEW",""))</f>
        <v/>
      </c>
      <c r="BA1850" s="2" t="str">
        <f>IF(""&amp;$F1850&lt;&gt;"4","",IF($AY1850="YES","",IF(ROUND(SUMIFS($AE$2:$AE$4001,$L$2:$L$4001,$L1850,$F$2:$F$4001,"4")-SUMIFS('AR SALES'!$Y$2:$Y$2501,'AR SALES'!$L$2:$L$2501,$L1850,'AR SALES'!$AD$2:$AD$2501,"OFF"),2)=0,"","STALE")))</f>
        <v/>
      </c>
      <c r="BB1850" s="2" t="str">
        <f>IF(OR(""&amp;$F1850="2",""&amp;$F1850="4",""&amp;$F1850="G",""&amp;$F1850="H"),IF($AY1850="YES","",IF($AB1850&lt;&gt;0,"",IF(COUNTIFS('AR SALES'!$L$2:$L$2501,$L1850,'AR SALES'!$AD$2:$AD$2501,IF(""&amp;$F1850="4","OFF","ON"),'AR SALES'!$AF$2:$AF$2501,"Y")&gt;0,"","NO EXEMPTION"))),"")</f>
        <v/>
      </c>
    </row>
    <row r="1851" spans="46:54" x14ac:dyDescent="0.25">
      <c r="AT1851" s="2" t="str">
        <f>IF($L1851="","",IFERROR(INDEX('AR SALES'!$H$2:$H$2501,MATCH(""&amp;$L1851,'AR SALES'!$AE$2:$AE$2501,0)),""))</f>
        <v/>
      </c>
      <c r="AU1851" s="2" t="str">
        <f t="shared" si="112"/>
        <v/>
      </c>
      <c r="AV1851" s="2" t="str">
        <f t="shared" si="113"/>
        <v/>
      </c>
      <c r="AW1851" s="2" t="str">
        <f t="shared" si="114"/>
        <v/>
      </c>
      <c r="AX1851" s="2" t="str">
        <f t="shared" si="115"/>
        <v/>
      </c>
      <c r="AY1851" s="2" t="str">
        <f>IF($AV1851="","",IF(AND($Z1851=0,COUNTIF('AR SALES'!$L$2:$L$2501,$L1851)=0),"YES",""))</f>
        <v/>
      </c>
      <c r="AZ1851" s="2" t="str">
        <f>IF($AV1851="","",IF(COUNTIF(LISTS!$C$2:$C$250,$AU1851)=0,"NEW",""))</f>
        <v/>
      </c>
      <c r="BA1851" s="2" t="str">
        <f>IF(""&amp;$F1851&lt;&gt;"4","",IF($AY1851="YES","",IF(ROUND(SUMIFS($AE$2:$AE$4001,$L$2:$L$4001,$L1851,$F$2:$F$4001,"4")-SUMIFS('AR SALES'!$Y$2:$Y$2501,'AR SALES'!$L$2:$L$2501,$L1851,'AR SALES'!$AD$2:$AD$2501,"OFF"),2)=0,"","STALE")))</f>
        <v/>
      </c>
      <c r="BB1851" s="2" t="str">
        <f>IF(OR(""&amp;$F1851="2",""&amp;$F1851="4",""&amp;$F1851="G",""&amp;$F1851="H"),IF($AY1851="YES","",IF($AB1851&lt;&gt;0,"",IF(COUNTIFS('AR SALES'!$L$2:$L$2501,$L1851,'AR SALES'!$AD$2:$AD$2501,IF(""&amp;$F1851="4","OFF","ON"),'AR SALES'!$AF$2:$AF$2501,"Y")&gt;0,"","NO EXEMPTION"))),"")</f>
        <v/>
      </c>
    </row>
    <row r="1852" spans="46:54" x14ac:dyDescent="0.25">
      <c r="AT1852" s="2" t="str">
        <f>IF($L1852="","",IFERROR(INDEX('AR SALES'!$H$2:$H$2501,MATCH(""&amp;$L1852,'AR SALES'!$AE$2:$AE$2501,0)),""))</f>
        <v/>
      </c>
      <c r="AU1852" s="2" t="str">
        <f t="shared" si="112"/>
        <v/>
      </c>
      <c r="AV1852" s="2" t="str">
        <f t="shared" si="113"/>
        <v/>
      </c>
      <c r="AW1852" s="2" t="str">
        <f t="shared" si="114"/>
        <v/>
      </c>
      <c r="AX1852" s="2" t="str">
        <f t="shared" si="115"/>
        <v/>
      </c>
      <c r="AY1852" s="2" t="str">
        <f>IF($AV1852="","",IF(AND($Z1852=0,COUNTIF('AR SALES'!$L$2:$L$2501,$L1852)=0),"YES",""))</f>
        <v/>
      </c>
      <c r="AZ1852" s="2" t="str">
        <f>IF($AV1852="","",IF(COUNTIF(LISTS!$C$2:$C$250,$AU1852)=0,"NEW",""))</f>
        <v/>
      </c>
      <c r="BA1852" s="2" t="str">
        <f>IF(""&amp;$F1852&lt;&gt;"4","",IF($AY1852="YES","",IF(ROUND(SUMIFS($AE$2:$AE$4001,$L$2:$L$4001,$L1852,$F$2:$F$4001,"4")-SUMIFS('AR SALES'!$Y$2:$Y$2501,'AR SALES'!$L$2:$L$2501,$L1852,'AR SALES'!$AD$2:$AD$2501,"OFF"),2)=0,"","STALE")))</f>
        <v/>
      </c>
      <c r="BB1852" s="2" t="str">
        <f>IF(OR(""&amp;$F1852="2",""&amp;$F1852="4",""&amp;$F1852="G",""&amp;$F1852="H"),IF($AY1852="YES","",IF($AB1852&lt;&gt;0,"",IF(COUNTIFS('AR SALES'!$L$2:$L$2501,$L1852,'AR SALES'!$AD$2:$AD$2501,IF(""&amp;$F1852="4","OFF","ON"),'AR SALES'!$AF$2:$AF$2501,"Y")&gt;0,"","NO EXEMPTION"))),"")</f>
        <v/>
      </c>
    </row>
    <row r="1853" spans="46:54" x14ac:dyDescent="0.25">
      <c r="AT1853" s="2" t="str">
        <f>IF($L1853="","",IFERROR(INDEX('AR SALES'!$H$2:$H$2501,MATCH(""&amp;$L1853,'AR SALES'!$AE$2:$AE$2501,0)),""))</f>
        <v/>
      </c>
      <c r="AU1853" s="2" t="str">
        <f t="shared" si="112"/>
        <v/>
      </c>
      <c r="AV1853" s="2" t="str">
        <f t="shared" si="113"/>
        <v/>
      </c>
      <c r="AW1853" s="2" t="str">
        <f t="shared" si="114"/>
        <v/>
      </c>
      <c r="AX1853" s="2" t="str">
        <f t="shared" si="115"/>
        <v/>
      </c>
      <c r="AY1853" s="2" t="str">
        <f>IF($AV1853="","",IF(AND($Z1853=0,COUNTIF('AR SALES'!$L$2:$L$2501,$L1853)=0),"YES",""))</f>
        <v/>
      </c>
      <c r="AZ1853" s="2" t="str">
        <f>IF($AV1853="","",IF(COUNTIF(LISTS!$C$2:$C$250,$AU1853)=0,"NEW",""))</f>
        <v/>
      </c>
      <c r="BA1853" s="2" t="str">
        <f>IF(""&amp;$F1853&lt;&gt;"4","",IF($AY1853="YES","",IF(ROUND(SUMIFS($AE$2:$AE$4001,$L$2:$L$4001,$L1853,$F$2:$F$4001,"4")-SUMIFS('AR SALES'!$Y$2:$Y$2501,'AR SALES'!$L$2:$L$2501,$L1853,'AR SALES'!$AD$2:$AD$2501,"OFF"),2)=0,"","STALE")))</f>
        <v/>
      </c>
      <c r="BB1853" s="2" t="str">
        <f>IF(OR(""&amp;$F1853="2",""&amp;$F1853="4",""&amp;$F1853="G",""&amp;$F1853="H"),IF($AY1853="YES","",IF($AB1853&lt;&gt;0,"",IF(COUNTIFS('AR SALES'!$L$2:$L$2501,$L1853,'AR SALES'!$AD$2:$AD$2501,IF(""&amp;$F1853="4","OFF","ON"),'AR SALES'!$AF$2:$AF$2501,"Y")&gt;0,"","NO EXEMPTION"))),"")</f>
        <v/>
      </c>
    </row>
    <row r="1854" spans="46:54" x14ac:dyDescent="0.25">
      <c r="AT1854" s="2" t="str">
        <f>IF($L1854="","",IFERROR(INDEX('AR SALES'!$H$2:$H$2501,MATCH(""&amp;$L1854,'AR SALES'!$AE$2:$AE$2501,0)),""))</f>
        <v/>
      </c>
      <c r="AU1854" s="2" t="str">
        <f t="shared" si="112"/>
        <v/>
      </c>
      <c r="AV1854" s="2" t="str">
        <f t="shared" si="113"/>
        <v/>
      </c>
      <c r="AW1854" s="2" t="str">
        <f t="shared" si="114"/>
        <v/>
      </c>
      <c r="AX1854" s="2" t="str">
        <f t="shared" si="115"/>
        <v/>
      </c>
      <c r="AY1854" s="2" t="str">
        <f>IF($AV1854="","",IF(AND($Z1854=0,COUNTIF('AR SALES'!$L$2:$L$2501,$L1854)=0),"YES",""))</f>
        <v/>
      </c>
      <c r="AZ1854" s="2" t="str">
        <f>IF($AV1854="","",IF(COUNTIF(LISTS!$C$2:$C$250,$AU1854)=0,"NEW",""))</f>
        <v/>
      </c>
      <c r="BA1854" s="2" t="str">
        <f>IF(""&amp;$F1854&lt;&gt;"4","",IF($AY1854="YES","",IF(ROUND(SUMIFS($AE$2:$AE$4001,$L$2:$L$4001,$L1854,$F$2:$F$4001,"4")-SUMIFS('AR SALES'!$Y$2:$Y$2501,'AR SALES'!$L$2:$L$2501,$L1854,'AR SALES'!$AD$2:$AD$2501,"OFF"),2)=0,"","STALE")))</f>
        <v/>
      </c>
      <c r="BB1854" s="2" t="str">
        <f>IF(OR(""&amp;$F1854="2",""&amp;$F1854="4",""&amp;$F1854="G",""&amp;$F1854="H"),IF($AY1854="YES","",IF($AB1854&lt;&gt;0,"",IF(COUNTIFS('AR SALES'!$L$2:$L$2501,$L1854,'AR SALES'!$AD$2:$AD$2501,IF(""&amp;$F1854="4","OFF","ON"),'AR SALES'!$AF$2:$AF$2501,"Y")&gt;0,"","NO EXEMPTION"))),"")</f>
        <v/>
      </c>
    </row>
    <row r="1855" spans="46:54" x14ac:dyDescent="0.25">
      <c r="AT1855" s="2" t="str">
        <f>IF($L1855="","",IFERROR(INDEX('AR SALES'!$H$2:$H$2501,MATCH(""&amp;$L1855,'AR SALES'!$AE$2:$AE$2501,0)),""))</f>
        <v/>
      </c>
      <c r="AU1855" s="2" t="str">
        <f t="shared" si="112"/>
        <v/>
      </c>
      <c r="AV1855" s="2" t="str">
        <f t="shared" si="113"/>
        <v/>
      </c>
      <c r="AW1855" s="2" t="str">
        <f t="shared" si="114"/>
        <v/>
      </c>
      <c r="AX1855" s="2" t="str">
        <f t="shared" si="115"/>
        <v/>
      </c>
      <c r="AY1855" s="2" t="str">
        <f>IF($AV1855="","",IF(AND($Z1855=0,COUNTIF('AR SALES'!$L$2:$L$2501,$L1855)=0),"YES",""))</f>
        <v/>
      </c>
      <c r="AZ1855" s="2" t="str">
        <f>IF($AV1855="","",IF(COUNTIF(LISTS!$C$2:$C$250,$AU1855)=0,"NEW",""))</f>
        <v/>
      </c>
      <c r="BA1855" s="2" t="str">
        <f>IF(""&amp;$F1855&lt;&gt;"4","",IF($AY1855="YES","",IF(ROUND(SUMIFS($AE$2:$AE$4001,$L$2:$L$4001,$L1855,$F$2:$F$4001,"4")-SUMIFS('AR SALES'!$Y$2:$Y$2501,'AR SALES'!$L$2:$L$2501,$L1855,'AR SALES'!$AD$2:$AD$2501,"OFF"),2)=0,"","STALE")))</f>
        <v/>
      </c>
      <c r="BB1855" s="2" t="str">
        <f>IF(OR(""&amp;$F1855="2",""&amp;$F1855="4",""&amp;$F1855="G",""&amp;$F1855="H"),IF($AY1855="YES","",IF($AB1855&lt;&gt;0,"",IF(COUNTIFS('AR SALES'!$L$2:$L$2501,$L1855,'AR SALES'!$AD$2:$AD$2501,IF(""&amp;$F1855="4","OFF","ON"),'AR SALES'!$AF$2:$AF$2501,"Y")&gt;0,"","NO EXEMPTION"))),"")</f>
        <v/>
      </c>
    </row>
    <row r="1856" spans="46:54" x14ac:dyDescent="0.25">
      <c r="AT1856" s="2" t="str">
        <f>IF($L1856="","",IFERROR(INDEX('AR SALES'!$H$2:$H$2501,MATCH(""&amp;$L1856,'AR SALES'!$AE$2:$AE$2501,0)),""))</f>
        <v/>
      </c>
      <c r="AU1856" s="2" t="str">
        <f t="shared" si="112"/>
        <v/>
      </c>
      <c r="AV1856" s="2" t="str">
        <f t="shared" si="113"/>
        <v/>
      </c>
      <c r="AW1856" s="2" t="str">
        <f t="shared" si="114"/>
        <v/>
      </c>
      <c r="AX1856" s="2" t="str">
        <f t="shared" si="115"/>
        <v/>
      </c>
      <c r="AY1856" s="2" t="str">
        <f>IF($AV1856="","",IF(AND($Z1856=0,COUNTIF('AR SALES'!$L$2:$L$2501,$L1856)=0),"YES",""))</f>
        <v/>
      </c>
      <c r="AZ1856" s="2" t="str">
        <f>IF($AV1856="","",IF(COUNTIF(LISTS!$C$2:$C$250,$AU1856)=0,"NEW",""))</f>
        <v/>
      </c>
      <c r="BA1856" s="2" t="str">
        <f>IF(""&amp;$F1856&lt;&gt;"4","",IF($AY1856="YES","",IF(ROUND(SUMIFS($AE$2:$AE$4001,$L$2:$L$4001,$L1856,$F$2:$F$4001,"4")-SUMIFS('AR SALES'!$Y$2:$Y$2501,'AR SALES'!$L$2:$L$2501,$L1856,'AR SALES'!$AD$2:$AD$2501,"OFF"),2)=0,"","STALE")))</f>
        <v/>
      </c>
      <c r="BB1856" s="2" t="str">
        <f>IF(OR(""&amp;$F1856="2",""&amp;$F1856="4",""&amp;$F1856="G",""&amp;$F1856="H"),IF($AY1856="YES","",IF($AB1856&lt;&gt;0,"",IF(COUNTIFS('AR SALES'!$L$2:$L$2501,$L1856,'AR SALES'!$AD$2:$AD$2501,IF(""&amp;$F1856="4","OFF","ON"),'AR SALES'!$AF$2:$AF$2501,"Y")&gt;0,"","NO EXEMPTION"))),"")</f>
        <v/>
      </c>
    </row>
    <row r="1857" spans="46:54" x14ac:dyDescent="0.25">
      <c r="AT1857" s="2" t="str">
        <f>IF($L1857="","",IFERROR(INDEX('AR SALES'!$H$2:$H$2501,MATCH(""&amp;$L1857,'AR SALES'!$AE$2:$AE$2501,0)),""))</f>
        <v/>
      </c>
      <c r="AU1857" s="2" t="str">
        <f t="shared" si="112"/>
        <v/>
      </c>
      <c r="AV1857" s="2" t="str">
        <f t="shared" si="113"/>
        <v/>
      </c>
      <c r="AW1857" s="2" t="str">
        <f t="shared" si="114"/>
        <v/>
      </c>
      <c r="AX1857" s="2" t="str">
        <f t="shared" si="115"/>
        <v/>
      </c>
      <c r="AY1857" s="2" t="str">
        <f>IF($AV1857="","",IF(AND($Z1857=0,COUNTIF('AR SALES'!$L$2:$L$2501,$L1857)=0),"YES",""))</f>
        <v/>
      </c>
      <c r="AZ1857" s="2" t="str">
        <f>IF($AV1857="","",IF(COUNTIF(LISTS!$C$2:$C$250,$AU1857)=0,"NEW",""))</f>
        <v/>
      </c>
      <c r="BA1857" s="2" t="str">
        <f>IF(""&amp;$F1857&lt;&gt;"4","",IF($AY1857="YES","",IF(ROUND(SUMIFS($AE$2:$AE$4001,$L$2:$L$4001,$L1857,$F$2:$F$4001,"4")-SUMIFS('AR SALES'!$Y$2:$Y$2501,'AR SALES'!$L$2:$L$2501,$L1857,'AR SALES'!$AD$2:$AD$2501,"OFF"),2)=0,"","STALE")))</f>
        <v/>
      </c>
      <c r="BB1857" s="2" t="str">
        <f>IF(OR(""&amp;$F1857="2",""&amp;$F1857="4",""&amp;$F1857="G",""&amp;$F1857="H"),IF($AY1857="YES","",IF($AB1857&lt;&gt;0,"",IF(COUNTIFS('AR SALES'!$L$2:$L$2501,$L1857,'AR SALES'!$AD$2:$AD$2501,IF(""&amp;$F1857="4","OFF","ON"),'AR SALES'!$AF$2:$AF$2501,"Y")&gt;0,"","NO EXEMPTION"))),"")</f>
        <v/>
      </c>
    </row>
    <row r="1858" spans="46:54" x14ac:dyDescent="0.25">
      <c r="AT1858" s="2" t="str">
        <f>IF($L1858="","",IFERROR(INDEX('AR SALES'!$H$2:$H$2501,MATCH(""&amp;$L1858,'AR SALES'!$AE$2:$AE$2501,0)),""))</f>
        <v/>
      </c>
      <c r="AU1858" s="2" t="str">
        <f t="shared" ref="AU1858:AU1921" si="116">IF($L1858="","",IF($A1858&lt;&gt;"GA","",IF($E1858="FULTON",IF(ISNUMBER(SEARCH("COLLEGE PARK",$AT1858)),"FULTON (COLLEGE PARK)",IF(ISNUMBER(SEARCH("ATLANTA CITY",$AT1858)),"FULTON (ATL LIMITS)","FULTON")),IF($E1858="DEKALB",IF(ISNUMBER(SEARCH("ATLANTA CITY",$AT1858)),"DEKALB (ATL LIMITS)","DEKALB"),$E1858))))</f>
        <v/>
      </c>
      <c r="AV1858" s="2" t="str">
        <f t="shared" ref="AV1858:AV1921" si="117">IF($L1858="","",IF(""&amp;$F1858="2","DIESEL",IF(OR(""&amp;$F1858="G",""&amp;$F1858="H"),"GAS","")))</f>
        <v/>
      </c>
      <c r="AW1858" s="2" t="str">
        <f t="shared" ref="AW1858:AW1921" si="118">IF($AV1858="","",$R1858)</f>
        <v/>
      </c>
      <c r="AX1858" s="2" t="str">
        <f t="shared" ref="AX1858:AX1921" si="119">IF($AV1858="","",IF($AB1858=0,$R1858,0))</f>
        <v/>
      </c>
      <c r="AY1858" s="2" t="str">
        <f>IF($AV1858="","",IF(AND($Z1858=0,COUNTIF('AR SALES'!$L$2:$L$2501,$L1858)=0),"YES",""))</f>
        <v/>
      </c>
      <c r="AZ1858" s="2" t="str">
        <f>IF($AV1858="","",IF(COUNTIF(LISTS!$C$2:$C$250,$AU1858)=0,"NEW",""))</f>
        <v/>
      </c>
      <c r="BA1858" s="2" t="str">
        <f>IF(""&amp;$F1858&lt;&gt;"4","",IF($AY1858="YES","",IF(ROUND(SUMIFS($AE$2:$AE$4001,$L$2:$L$4001,$L1858,$F$2:$F$4001,"4")-SUMIFS('AR SALES'!$Y$2:$Y$2501,'AR SALES'!$L$2:$L$2501,$L1858,'AR SALES'!$AD$2:$AD$2501,"OFF"),2)=0,"","STALE")))</f>
        <v/>
      </c>
      <c r="BB1858" s="2" t="str">
        <f>IF(OR(""&amp;$F1858="2",""&amp;$F1858="4",""&amp;$F1858="G",""&amp;$F1858="H"),IF($AY1858="YES","",IF($AB1858&lt;&gt;0,"",IF(COUNTIFS('AR SALES'!$L$2:$L$2501,$L1858,'AR SALES'!$AD$2:$AD$2501,IF(""&amp;$F1858="4","OFF","ON"),'AR SALES'!$AF$2:$AF$2501,"Y")&gt;0,"","NO EXEMPTION"))),"")</f>
        <v/>
      </c>
    </row>
    <row r="1859" spans="46:54" x14ac:dyDescent="0.25">
      <c r="AT1859" s="2" t="str">
        <f>IF($L1859="","",IFERROR(INDEX('AR SALES'!$H$2:$H$2501,MATCH(""&amp;$L1859,'AR SALES'!$AE$2:$AE$2501,0)),""))</f>
        <v/>
      </c>
      <c r="AU1859" s="2" t="str">
        <f t="shared" si="116"/>
        <v/>
      </c>
      <c r="AV1859" s="2" t="str">
        <f t="shared" si="117"/>
        <v/>
      </c>
      <c r="AW1859" s="2" t="str">
        <f t="shared" si="118"/>
        <v/>
      </c>
      <c r="AX1859" s="2" t="str">
        <f t="shared" si="119"/>
        <v/>
      </c>
      <c r="AY1859" s="2" t="str">
        <f>IF($AV1859="","",IF(AND($Z1859=0,COUNTIF('AR SALES'!$L$2:$L$2501,$L1859)=0),"YES",""))</f>
        <v/>
      </c>
      <c r="AZ1859" s="2" t="str">
        <f>IF($AV1859="","",IF(COUNTIF(LISTS!$C$2:$C$250,$AU1859)=0,"NEW",""))</f>
        <v/>
      </c>
      <c r="BA1859" s="2" t="str">
        <f>IF(""&amp;$F1859&lt;&gt;"4","",IF($AY1859="YES","",IF(ROUND(SUMIFS($AE$2:$AE$4001,$L$2:$L$4001,$L1859,$F$2:$F$4001,"4")-SUMIFS('AR SALES'!$Y$2:$Y$2501,'AR SALES'!$L$2:$L$2501,$L1859,'AR SALES'!$AD$2:$AD$2501,"OFF"),2)=0,"","STALE")))</f>
        <v/>
      </c>
      <c r="BB1859" s="2" t="str">
        <f>IF(OR(""&amp;$F1859="2",""&amp;$F1859="4",""&amp;$F1859="G",""&amp;$F1859="H"),IF($AY1859="YES","",IF($AB1859&lt;&gt;0,"",IF(COUNTIFS('AR SALES'!$L$2:$L$2501,$L1859,'AR SALES'!$AD$2:$AD$2501,IF(""&amp;$F1859="4","OFF","ON"),'AR SALES'!$AF$2:$AF$2501,"Y")&gt;0,"","NO EXEMPTION"))),"")</f>
        <v/>
      </c>
    </row>
    <row r="1860" spans="46:54" x14ac:dyDescent="0.25">
      <c r="AT1860" s="2" t="str">
        <f>IF($L1860="","",IFERROR(INDEX('AR SALES'!$H$2:$H$2501,MATCH(""&amp;$L1860,'AR SALES'!$AE$2:$AE$2501,0)),""))</f>
        <v/>
      </c>
      <c r="AU1860" s="2" t="str">
        <f t="shared" si="116"/>
        <v/>
      </c>
      <c r="AV1860" s="2" t="str">
        <f t="shared" si="117"/>
        <v/>
      </c>
      <c r="AW1860" s="2" t="str">
        <f t="shared" si="118"/>
        <v/>
      </c>
      <c r="AX1860" s="2" t="str">
        <f t="shared" si="119"/>
        <v/>
      </c>
      <c r="AY1860" s="2" t="str">
        <f>IF($AV1860="","",IF(AND($Z1860=0,COUNTIF('AR SALES'!$L$2:$L$2501,$L1860)=0),"YES",""))</f>
        <v/>
      </c>
      <c r="AZ1860" s="2" t="str">
        <f>IF($AV1860="","",IF(COUNTIF(LISTS!$C$2:$C$250,$AU1860)=0,"NEW",""))</f>
        <v/>
      </c>
      <c r="BA1860" s="2" t="str">
        <f>IF(""&amp;$F1860&lt;&gt;"4","",IF($AY1860="YES","",IF(ROUND(SUMIFS($AE$2:$AE$4001,$L$2:$L$4001,$L1860,$F$2:$F$4001,"4")-SUMIFS('AR SALES'!$Y$2:$Y$2501,'AR SALES'!$L$2:$L$2501,$L1860,'AR SALES'!$AD$2:$AD$2501,"OFF"),2)=0,"","STALE")))</f>
        <v/>
      </c>
      <c r="BB1860" s="2" t="str">
        <f>IF(OR(""&amp;$F1860="2",""&amp;$F1860="4",""&amp;$F1860="G",""&amp;$F1860="H"),IF($AY1860="YES","",IF($AB1860&lt;&gt;0,"",IF(COUNTIFS('AR SALES'!$L$2:$L$2501,$L1860,'AR SALES'!$AD$2:$AD$2501,IF(""&amp;$F1860="4","OFF","ON"),'AR SALES'!$AF$2:$AF$2501,"Y")&gt;0,"","NO EXEMPTION"))),"")</f>
        <v/>
      </c>
    </row>
    <row r="1861" spans="46:54" x14ac:dyDescent="0.25">
      <c r="AT1861" s="2" t="str">
        <f>IF($L1861="","",IFERROR(INDEX('AR SALES'!$H$2:$H$2501,MATCH(""&amp;$L1861,'AR SALES'!$AE$2:$AE$2501,0)),""))</f>
        <v/>
      </c>
      <c r="AU1861" s="2" t="str">
        <f t="shared" si="116"/>
        <v/>
      </c>
      <c r="AV1861" s="2" t="str">
        <f t="shared" si="117"/>
        <v/>
      </c>
      <c r="AW1861" s="2" t="str">
        <f t="shared" si="118"/>
        <v/>
      </c>
      <c r="AX1861" s="2" t="str">
        <f t="shared" si="119"/>
        <v/>
      </c>
      <c r="AY1861" s="2" t="str">
        <f>IF($AV1861="","",IF(AND($Z1861=0,COUNTIF('AR SALES'!$L$2:$L$2501,$L1861)=0),"YES",""))</f>
        <v/>
      </c>
      <c r="AZ1861" s="2" t="str">
        <f>IF($AV1861="","",IF(COUNTIF(LISTS!$C$2:$C$250,$AU1861)=0,"NEW",""))</f>
        <v/>
      </c>
      <c r="BA1861" s="2" t="str">
        <f>IF(""&amp;$F1861&lt;&gt;"4","",IF($AY1861="YES","",IF(ROUND(SUMIFS($AE$2:$AE$4001,$L$2:$L$4001,$L1861,$F$2:$F$4001,"4")-SUMIFS('AR SALES'!$Y$2:$Y$2501,'AR SALES'!$L$2:$L$2501,$L1861,'AR SALES'!$AD$2:$AD$2501,"OFF"),2)=0,"","STALE")))</f>
        <v/>
      </c>
      <c r="BB1861" s="2" t="str">
        <f>IF(OR(""&amp;$F1861="2",""&amp;$F1861="4",""&amp;$F1861="G",""&amp;$F1861="H"),IF($AY1861="YES","",IF($AB1861&lt;&gt;0,"",IF(COUNTIFS('AR SALES'!$L$2:$L$2501,$L1861,'AR SALES'!$AD$2:$AD$2501,IF(""&amp;$F1861="4","OFF","ON"),'AR SALES'!$AF$2:$AF$2501,"Y")&gt;0,"","NO EXEMPTION"))),"")</f>
        <v/>
      </c>
    </row>
    <row r="1862" spans="46:54" x14ac:dyDescent="0.25">
      <c r="AT1862" s="2" t="str">
        <f>IF($L1862="","",IFERROR(INDEX('AR SALES'!$H$2:$H$2501,MATCH(""&amp;$L1862,'AR SALES'!$AE$2:$AE$2501,0)),""))</f>
        <v/>
      </c>
      <c r="AU1862" s="2" t="str">
        <f t="shared" si="116"/>
        <v/>
      </c>
      <c r="AV1862" s="2" t="str">
        <f t="shared" si="117"/>
        <v/>
      </c>
      <c r="AW1862" s="2" t="str">
        <f t="shared" si="118"/>
        <v/>
      </c>
      <c r="AX1862" s="2" t="str">
        <f t="shared" si="119"/>
        <v/>
      </c>
      <c r="AY1862" s="2" t="str">
        <f>IF($AV1862="","",IF(AND($Z1862=0,COUNTIF('AR SALES'!$L$2:$L$2501,$L1862)=0),"YES",""))</f>
        <v/>
      </c>
      <c r="AZ1862" s="2" t="str">
        <f>IF($AV1862="","",IF(COUNTIF(LISTS!$C$2:$C$250,$AU1862)=0,"NEW",""))</f>
        <v/>
      </c>
      <c r="BA1862" s="2" t="str">
        <f>IF(""&amp;$F1862&lt;&gt;"4","",IF($AY1862="YES","",IF(ROUND(SUMIFS($AE$2:$AE$4001,$L$2:$L$4001,$L1862,$F$2:$F$4001,"4")-SUMIFS('AR SALES'!$Y$2:$Y$2501,'AR SALES'!$L$2:$L$2501,$L1862,'AR SALES'!$AD$2:$AD$2501,"OFF"),2)=0,"","STALE")))</f>
        <v/>
      </c>
      <c r="BB1862" s="2" t="str">
        <f>IF(OR(""&amp;$F1862="2",""&amp;$F1862="4",""&amp;$F1862="G",""&amp;$F1862="H"),IF($AY1862="YES","",IF($AB1862&lt;&gt;0,"",IF(COUNTIFS('AR SALES'!$L$2:$L$2501,$L1862,'AR SALES'!$AD$2:$AD$2501,IF(""&amp;$F1862="4","OFF","ON"),'AR SALES'!$AF$2:$AF$2501,"Y")&gt;0,"","NO EXEMPTION"))),"")</f>
        <v/>
      </c>
    </row>
    <row r="1863" spans="46:54" x14ac:dyDescent="0.25">
      <c r="AT1863" s="2" t="str">
        <f>IF($L1863="","",IFERROR(INDEX('AR SALES'!$H$2:$H$2501,MATCH(""&amp;$L1863,'AR SALES'!$AE$2:$AE$2501,0)),""))</f>
        <v/>
      </c>
      <c r="AU1863" s="2" t="str">
        <f t="shared" si="116"/>
        <v/>
      </c>
      <c r="AV1863" s="2" t="str">
        <f t="shared" si="117"/>
        <v/>
      </c>
      <c r="AW1863" s="2" t="str">
        <f t="shared" si="118"/>
        <v/>
      </c>
      <c r="AX1863" s="2" t="str">
        <f t="shared" si="119"/>
        <v/>
      </c>
      <c r="AY1863" s="2" t="str">
        <f>IF($AV1863="","",IF(AND($Z1863=0,COUNTIF('AR SALES'!$L$2:$L$2501,$L1863)=0),"YES",""))</f>
        <v/>
      </c>
      <c r="AZ1863" s="2" t="str">
        <f>IF($AV1863="","",IF(COUNTIF(LISTS!$C$2:$C$250,$AU1863)=0,"NEW",""))</f>
        <v/>
      </c>
      <c r="BA1863" s="2" t="str">
        <f>IF(""&amp;$F1863&lt;&gt;"4","",IF($AY1863="YES","",IF(ROUND(SUMIFS($AE$2:$AE$4001,$L$2:$L$4001,$L1863,$F$2:$F$4001,"4")-SUMIFS('AR SALES'!$Y$2:$Y$2501,'AR SALES'!$L$2:$L$2501,$L1863,'AR SALES'!$AD$2:$AD$2501,"OFF"),2)=0,"","STALE")))</f>
        <v/>
      </c>
      <c r="BB1863" s="2" t="str">
        <f>IF(OR(""&amp;$F1863="2",""&amp;$F1863="4",""&amp;$F1863="G",""&amp;$F1863="H"),IF($AY1863="YES","",IF($AB1863&lt;&gt;0,"",IF(COUNTIFS('AR SALES'!$L$2:$L$2501,$L1863,'AR SALES'!$AD$2:$AD$2501,IF(""&amp;$F1863="4","OFF","ON"),'AR SALES'!$AF$2:$AF$2501,"Y")&gt;0,"","NO EXEMPTION"))),"")</f>
        <v/>
      </c>
    </row>
    <row r="1864" spans="46:54" x14ac:dyDescent="0.25">
      <c r="AT1864" s="2" t="str">
        <f>IF($L1864="","",IFERROR(INDEX('AR SALES'!$H$2:$H$2501,MATCH(""&amp;$L1864,'AR SALES'!$AE$2:$AE$2501,0)),""))</f>
        <v/>
      </c>
      <c r="AU1864" s="2" t="str">
        <f t="shared" si="116"/>
        <v/>
      </c>
      <c r="AV1864" s="2" t="str">
        <f t="shared" si="117"/>
        <v/>
      </c>
      <c r="AW1864" s="2" t="str">
        <f t="shared" si="118"/>
        <v/>
      </c>
      <c r="AX1864" s="2" t="str">
        <f t="shared" si="119"/>
        <v/>
      </c>
      <c r="AY1864" s="2" t="str">
        <f>IF($AV1864="","",IF(AND($Z1864=0,COUNTIF('AR SALES'!$L$2:$L$2501,$L1864)=0),"YES",""))</f>
        <v/>
      </c>
      <c r="AZ1864" s="2" t="str">
        <f>IF($AV1864="","",IF(COUNTIF(LISTS!$C$2:$C$250,$AU1864)=0,"NEW",""))</f>
        <v/>
      </c>
      <c r="BA1864" s="2" t="str">
        <f>IF(""&amp;$F1864&lt;&gt;"4","",IF($AY1864="YES","",IF(ROUND(SUMIFS($AE$2:$AE$4001,$L$2:$L$4001,$L1864,$F$2:$F$4001,"4")-SUMIFS('AR SALES'!$Y$2:$Y$2501,'AR SALES'!$L$2:$L$2501,$L1864,'AR SALES'!$AD$2:$AD$2501,"OFF"),2)=0,"","STALE")))</f>
        <v/>
      </c>
      <c r="BB1864" s="2" t="str">
        <f>IF(OR(""&amp;$F1864="2",""&amp;$F1864="4",""&amp;$F1864="G",""&amp;$F1864="H"),IF($AY1864="YES","",IF($AB1864&lt;&gt;0,"",IF(COUNTIFS('AR SALES'!$L$2:$L$2501,$L1864,'AR SALES'!$AD$2:$AD$2501,IF(""&amp;$F1864="4","OFF","ON"),'AR SALES'!$AF$2:$AF$2501,"Y")&gt;0,"","NO EXEMPTION"))),"")</f>
        <v/>
      </c>
    </row>
    <row r="1865" spans="46:54" x14ac:dyDescent="0.25">
      <c r="AT1865" s="2" t="str">
        <f>IF($L1865="","",IFERROR(INDEX('AR SALES'!$H$2:$H$2501,MATCH(""&amp;$L1865,'AR SALES'!$AE$2:$AE$2501,0)),""))</f>
        <v/>
      </c>
      <c r="AU1865" s="2" t="str">
        <f t="shared" si="116"/>
        <v/>
      </c>
      <c r="AV1865" s="2" t="str">
        <f t="shared" si="117"/>
        <v/>
      </c>
      <c r="AW1865" s="2" t="str">
        <f t="shared" si="118"/>
        <v/>
      </c>
      <c r="AX1865" s="2" t="str">
        <f t="shared" si="119"/>
        <v/>
      </c>
      <c r="AY1865" s="2" t="str">
        <f>IF($AV1865="","",IF(AND($Z1865=0,COUNTIF('AR SALES'!$L$2:$L$2501,$L1865)=0),"YES",""))</f>
        <v/>
      </c>
      <c r="AZ1865" s="2" t="str">
        <f>IF($AV1865="","",IF(COUNTIF(LISTS!$C$2:$C$250,$AU1865)=0,"NEW",""))</f>
        <v/>
      </c>
      <c r="BA1865" s="2" t="str">
        <f>IF(""&amp;$F1865&lt;&gt;"4","",IF($AY1865="YES","",IF(ROUND(SUMIFS($AE$2:$AE$4001,$L$2:$L$4001,$L1865,$F$2:$F$4001,"4")-SUMIFS('AR SALES'!$Y$2:$Y$2501,'AR SALES'!$L$2:$L$2501,$L1865,'AR SALES'!$AD$2:$AD$2501,"OFF"),2)=0,"","STALE")))</f>
        <v/>
      </c>
      <c r="BB1865" s="2" t="str">
        <f>IF(OR(""&amp;$F1865="2",""&amp;$F1865="4",""&amp;$F1865="G",""&amp;$F1865="H"),IF($AY1865="YES","",IF($AB1865&lt;&gt;0,"",IF(COUNTIFS('AR SALES'!$L$2:$L$2501,$L1865,'AR SALES'!$AD$2:$AD$2501,IF(""&amp;$F1865="4","OFF","ON"),'AR SALES'!$AF$2:$AF$2501,"Y")&gt;0,"","NO EXEMPTION"))),"")</f>
        <v/>
      </c>
    </row>
    <row r="1866" spans="46:54" x14ac:dyDescent="0.25">
      <c r="AT1866" s="2" t="str">
        <f>IF($L1866="","",IFERROR(INDEX('AR SALES'!$H$2:$H$2501,MATCH(""&amp;$L1866,'AR SALES'!$AE$2:$AE$2501,0)),""))</f>
        <v/>
      </c>
      <c r="AU1866" s="2" t="str">
        <f t="shared" si="116"/>
        <v/>
      </c>
      <c r="AV1866" s="2" t="str">
        <f t="shared" si="117"/>
        <v/>
      </c>
      <c r="AW1866" s="2" t="str">
        <f t="shared" si="118"/>
        <v/>
      </c>
      <c r="AX1866" s="2" t="str">
        <f t="shared" si="119"/>
        <v/>
      </c>
      <c r="AY1866" s="2" t="str">
        <f>IF($AV1866="","",IF(AND($Z1866=0,COUNTIF('AR SALES'!$L$2:$L$2501,$L1866)=0),"YES",""))</f>
        <v/>
      </c>
      <c r="AZ1866" s="2" t="str">
        <f>IF($AV1866="","",IF(COUNTIF(LISTS!$C$2:$C$250,$AU1866)=0,"NEW",""))</f>
        <v/>
      </c>
      <c r="BA1866" s="2" t="str">
        <f>IF(""&amp;$F1866&lt;&gt;"4","",IF($AY1866="YES","",IF(ROUND(SUMIFS($AE$2:$AE$4001,$L$2:$L$4001,$L1866,$F$2:$F$4001,"4")-SUMIFS('AR SALES'!$Y$2:$Y$2501,'AR SALES'!$L$2:$L$2501,$L1866,'AR SALES'!$AD$2:$AD$2501,"OFF"),2)=0,"","STALE")))</f>
        <v/>
      </c>
      <c r="BB1866" s="2" t="str">
        <f>IF(OR(""&amp;$F1866="2",""&amp;$F1866="4",""&amp;$F1866="G",""&amp;$F1866="H"),IF($AY1866="YES","",IF($AB1866&lt;&gt;0,"",IF(COUNTIFS('AR SALES'!$L$2:$L$2501,$L1866,'AR SALES'!$AD$2:$AD$2501,IF(""&amp;$F1866="4","OFF","ON"),'AR SALES'!$AF$2:$AF$2501,"Y")&gt;0,"","NO EXEMPTION"))),"")</f>
        <v/>
      </c>
    </row>
    <row r="1867" spans="46:54" x14ac:dyDescent="0.25">
      <c r="AT1867" s="2" t="str">
        <f>IF($L1867="","",IFERROR(INDEX('AR SALES'!$H$2:$H$2501,MATCH(""&amp;$L1867,'AR SALES'!$AE$2:$AE$2501,0)),""))</f>
        <v/>
      </c>
      <c r="AU1867" s="2" t="str">
        <f t="shared" si="116"/>
        <v/>
      </c>
      <c r="AV1867" s="2" t="str">
        <f t="shared" si="117"/>
        <v/>
      </c>
      <c r="AW1867" s="2" t="str">
        <f t="shared" si="118"/>
        <v/>
      </c>
      <c r="AX1867" s="2" t="str">
        <f t="shared" si="119"/>
        <v/>
      </c>
      <c r="AY1867" s="2" t="str">
        <f>IF($AV1867="","",IF(AND($Z1867=0,COUNTIF('AR SALES'!$L$2:$L$2501,$L1867)=0),"YES",""))</f>
        <v/>
      </c>
      <c r="AZ1867" s="2" t="str">
        <f>IF($AV1867="","",IF(COUNTIF(LISTS!$C$2:$C$250,$AU1867)=0,"NEW",""))</f>
        <v/>
      </c>
      <c r="BA1867" s="2" t="str">
        <f>IF(""&amp;$F1867&lt;&gt;"4","",IF($AY1867="YES","",IF(ROUND(SUMIFS($AE$2:$AE$4001,$L$2:$L$4001,$L1867,$F$2:$F$4001,"4")-SUMIFS('AR SALES'!$Y$2:$Y$2501,'AR SALES'!$L$2:$L$2501,$L1867,'AR SALES'!$AD$2:$AD$2501,"OFF"),2)=0,"","STALE")))</f>
        <v/>
      </c>
      <c r="BB1867" s="2" t="str">
        <f>IF(OR(""&amp;$F1867="2",""&amp;$F1867="4",""&amp;$F1867="G",""&amp;$F1867="H"),IF($AY1867="YES","",IF($AB1867&lt;&gt;0,"",IF(COUNTIFS('AR SALES'!$L$2:$L$2501,$L1867,'AR SALES'!$AD$2:$AD$2501,IF(""&amp;$F1867="4","OFF","ON"),'AR SALES'!$AF$2:$AF$2501,"Y")&gt;0,"","NO EXEMPTION"))),"")</f>
        <v/>
      </c>
    </row>
    <row r="1868" spans="46:54" x14ac:dyDescent="0.25">
      <c r="AT1868" s="2" t="str">
        <f>IF($L1868="","",IFERROR(INDEX('AR SALES'!$H$2:$H$2501,MATCH(""&amp;$L1868,'AR SALES'!$AE$2:$AE$2501,0)),""))</f>
        <v/>
      </c>
      <c r="AU1868" s="2" t="str">
        <f t="shared" si="116"/>
        <v/>
      </c>
      <c r="AV1868" s="2" t="str">
        <f t="shared" si="117"/>
        <v/>
      </c>
      <c r="AW1868" s="2" t="str">
        <f t="shared" si="118"/>
        <v/>
      </c>
      <c r="AX1868" s="2" t="str">
        <f t="shared" si="119"/>
        <v/>
      </c>
      <c r="AY1868" s="2" t="str">
        <f>IF($AV1868="","",IF(AND($Z1868=0,COUNTIF('AR SALES'!$L$2:$L$2501,$L1868)=0),"YES",""))</f>
        <v/>
      </c>
      <c r="AZ1868" s="2" t="str">
        <f>IF($AV1868="","",IF(COUNTIF(LISTS!$C$2:$C$250,$AU1868)=0,"NEW",""))</f>
        <v/>
      </c>
      <c r="BA1868" s="2" t="str">
        <f>IF(""&amp;$F1868&lt;&gt;"4","",IF($AY1868="YES","",IF(ROUND(SUMIFS($AE$2:$AE$4001,$L$2:$L$4001,$L1868,$F$2:$F$4001,"4")-SUMIFS('AR SALES'!$Y$2:$Y$2501,'AR SALES'!$L$2:$L$2501,$L1868,'AR SALES'!$AD$2:$AD$2501,"OFF"),2)=0,"","STALE")))</f>
        <v/>
      </c>
      <c r="BB1868" s="2" t="str">
        <f>IF(OR(""&amp;$F1868="2",""&amp;$F1868="4",""&amp;$F1868="G",""&amp;$F1868="H"),IF($AY1868="YES","",IF($AB1868&lt;&gt;0,"",IF(COUNTIFS('AR SALES'!$L$2:$L$2501,$L1868,'AR SALES'!$AD$2:$AD$2501,IF(""&amp;$F1868="4","OFF","ON"),'AR SALES'!$AF$2:$AF$2501,"Y")&gt;0,"","NO EXEMPTION"))),"")</f>
        <v/>
      </c>
    </row>
    <row r="1869" spans="46:54" x14ac:dyDescent="0.25">
      <c r="AT1869" s="2" t="str">
        <f>IF($L1869="","",IFERROR(INDEX('AR SALES'!$H$2:$H$2501,MATCH(""&amp;$L1869,'AR SALES'!$AE$2:$AE$2501,0)),""))</f>
        <v/>
      </c>
      <c r="AU1869" s="2" t="str">
        <f t="shared" si="116"/>
        <v/>
      </c>
      <c r="AV1869" s="2" t="str">
        <f t="shared" si="117"/>
        <v/>
      </c>
      <c r="AW1869" s="2" t="str">
        <f t="shared" si="118"/>
        <v/>
      </c>
      <c r="AX1869" s="2" t="str">
        <f t="shared" si="119"/>
        <v/>
      </c>
      <c r="AY1869" s="2" t="str">
        <f>IF($AV1869="","",IF(AND($Z1869=0,COUNTIF('AR SALES'!$L$2:$L$2501,$L1869)=0),"YES",""))</f>
        <v/>
      </c>
      <c r="AZ1869" s="2" t="str">
        <f>IF($AV1869="","",IF(COUNTIF(LISTS!$C$2:$C$250,$AU1869)=0,"NEW",""))</f>
        <v/>
      </c>
      <c r="BA1869" s="2" t="str">
        <f>IF(""&amp;$F1869&lt;&gt;"4","",IF($AY1869="YES","",IF(ROUND(SUMIFS($AE$2:$AE$4001,$L$2:$L$4001,$L1869,$F$2:$F$4001,"4")-SUMIFS('AR SALES'!$Y$2:$Y$2501,'AR SALES'!$L$2:$L$2501,$L1869,'AR SALES'!$AD$2:$AD$2501,"OFF"),2)=0,"","STALE")))</f>
        <v/>
      </c>
      <c r="BB1869" s="2" t="str">
        <f>IF(OR(""&amp;$F1869="2",""&amp;$F1869="4",""&amp;$F1869="G",""&amp;$F1869="H"),IF($AY1869="YES","",IF($AB1869&lt;&gt;0,"",IF(COUNTIFS('AR SALES'!$L$2:$L$2501,$L1869,'AR SALES'!$AD$2:$AD$2501,IF(""&amp;$F1869="4","OFF","ON"),'AR SALES'!$AF$2:$AF$2501,"Y")&gt;0,"","NO EXEMPTION"))),"")</f>
        <v/>
      </c>
    </row>
    <row r="1870" spans="46:54" x14ac:dyDescent="0.25">
      <c r="AT1870" s="2" t="str">
        <f>IF($L1870="","",IFERROR(INDEX('AR SALES'!$H$2:$H$2501,MATCH(""&amp;$L1870,'AR SALES'!$AE$2:$AE$2501,0)),""))</f>
        <v/>
      </c>
      <c r="AU1870" s="2" t="str">
        <f t="shared" si="116"/>
        <v/>
      </c>
      <c r="AV1870" s="2" t="str">
        <f t="shared" si="117"/>
        <v/>
      </c>
      <c r="AW1870" s="2" t="str">
        <f t="shared" si="118"/>
        <v/>
      </c>
      <c r="AX1870" s="2" t="str">
        <f t="shared" si="119"/>
        <v/>
      </c>
      <c r="AY1870" s="2" t="str">
        <f>IF($AV1870="","",IF(AND($Z1870=0,COUNTIF('AR SALES'!$L$2:$L$2501,$L1870)=0),"YES",""))</f>
        <v/>
      </c>
      <c r="AZ1870" s="2" t="str">
        <f>IF($AV1870="","",IF(COUNTIF(LISTS!$C$2:$C$250,$AU1870)=0,"NEW",""))</f>
        <v/>
      </c>
      <c r="BA1870" s="2" t="str">
        <f>IF(""&amp;$F1870&lt;&gt;"4","",IF($AY1870="YES","",IF(ROUND(SUMIFS($AE$2:$AE$4001,$L$2:$L$4001,$L1870,$F$2:$F$4001,"4")-SUMIFS('AR SALES'!$Y$2:$Y$2501,'AR SALES'!$L$2:$L$2501,$L1870,'AR SALES'!$AD$2:$AD$2501,"OFF"),2)=0,"","STALE")))</f>
        <v/>
      </c>
      <c r="BB1870" s="2" t="str">
        <f>IF(OR(""&amp;$F1870="2",""&amp;$F1870="4",""&amp;$F1870="G",""&amp;$F1870="H"),IF($AY1870="YES","",IF($AB1870&lt;&gt;0,"",IF(COUNTIFS('AR SALES'!$L$2:$L$2501,$L1870,'AR SALES'!$AD$2:$AD$2501,IF(""&amp;$F1870="4","OFF","ON"),'AR SALES'!$AF$2:$AF$2501,"Y")&gt;0,"","NO EXEMPTION"))),"")</f>
        <v/>
      </c>
    </row>
    <row r="1871" spans="46:54" x14ac:dyDescent="0.25">
      <c r="AT1871" s="2" t="str">
        <f>IF($L1871="","",IFERROR(INDEX('AR SALES'!$H$2:$H$2501,MATCH(""&amp;$L1871,'AR SALES'!$AE$2:$AE$2501,0)),""))</f>
        <v/>
      </c>
      <c r="AU1871" s="2" t="str">
        <f t="shared" si="116"/>
        <v/>
      </c>
      <c r="AV1871" s="2" t="str">
        <f t="shared" si="117"/>
        <v/>
      </c>
      <c r="AW1871" s="2" t="str">
        <f t="shared" si="118"/>
        <v/>
      </c>
      <c r="AX1871" s="2" t="str">
        <f t="shared" si="119"/>
        <v/>
      </c>
      <c r="AY1871" s="2" t="str">
        <f>IF($AV1871="","",IF(AND($Z1871=0,COUNTIF('AR SALES'!$L$2:$L$2501,$L1871)=0),"YES",""))</f>
        <v/>
      </c>
      <c r="AZ1871" s="2" t="str">
        <f>IF($AV1871="","",IF(COUNTIF(LISTS!$C$2:$C$250,$AU1871)=0,"NEW",""))</f>
        <v/>
      </c>
      <c r="BA1871" s="2" t="str">
        <f>IF(""&amp;$F1871&lt;&gt;"4","",IF($AY1871="YES","",IF(ROUND(SUMIFS($AE$2:$AE$4001,$L$2:$L$4001,$L1871,$F$2:$F$4001,"4")-SUMIFS('AR SALES'!$Y$2:$Y$2501,'AR SALES'!$L$2:$L$2501,$L1871,'AR SALES'!$AD$2:$AD$2501,"OFF"),2)=0,"","STALE")))</f>
        <v/>
      </c>
      <c r="BB1871" s="2" t="str">
        <f>IF(OR(""&amp;$F1871="2",""&amp;$F1871="4",""&amp;$F1871="G",""&amp;$F1871="H"),IF($AY1871="YES","",IF($AB1871&lt;&gt;0,"",IF(COUNTIFS('AR SALES'!$L$2:$L$2501,$L1871,'AR SALES'!$AD$2:$AD$2501,IF(""&amp;$F1871="4","OFF","ON"),'AR SALES'!$AF$2:$AF$2501,"Y")&gt;0,"","NO EXEMPTION"))),"")</f>
        <v/>
      </c>
    </row>
    <row r="1872" spans="46:54" x14ac:dyDescent="0.25">
      <c r="AT1872" s="2" t="str">
        <f>IF($L1872="","",IFERROR(INDEX('AR SALES'!$H$2:$H$2501,MATCH(""&amp;$L1872,'AR SALES'!$AE$2:$AE$2501,0)),""))</f>
        <v/>
      </c>
      <c r="AU1872" s="2" t="str">
        <f t="shared" si="116"/>
        <v/>
      </c>
      <c r="AV1872" s="2" t="str">
        <f t="shared" si="117"/>
        <v/>
      </c>
      <c r="AW1872" s="2" t="str">
        <f t="shared" si="118"/>
        <v/>
      </c>
      <c r="AX1872" s="2" t="str">
        <f t="shared" si="119"/>
        <v/>
      </c>
      <c r="AY1872" s="2" t="str">
        <f>IF($AV1872="","",IF(AND($Z1872=0,COUNTIF('AR SALES'!$L$2:$L$2501,$L1872)=0),"YES",""))</f>
        <v/>
      </c>
      <c r="AZ1872" s="2" t="str">
        <f>IF($AV1872="","",IF(COUNTIF(LISTS!$C$2:$C$250,$AU1872)=0,"NEW",""))</f>
        <v/>
      </c>
      <c r="BA1872" s="2" t="str">
        <f>IF(""&amp;$F1872&lt;&gt;"4","",IF($AY1872="YES","",IF(ROUND(SUMIFS($AE$2:$AE$4001,$L$2:$L$4001,$L1872,$F$2:$F$4001,"4")-SUMIFS('AR SALES'!$Y$2:$Y$2501,'AR SALES'!$L$2:$L$2501,$L1872,'AR SALES'!$AD$2:$AD$2501,"OFF"),2)=0,"","STALE")))</f>
        <v/>
      </c>
      <c r="BB1872" s="2" t="str">
        <f>IF(OR(""&amp;$F1872="2",""&amp;$F1872="4",""&amp;$F1872="G",""&amp;$F1872="H"),IF($AY1872="YES","",IF($AB1872&lt;&gt;0,"",IF(COUNTIFS('AR SALES'!$L$2:$L$2501,$L1872,'AR SALES'!$AD$2:$AD$2501,IF(""&amp;$F1872="4","OFF","ON"),'AR SALES'!$AF$2:$AF$2501,"Y")&gt;0,"","NO EXEMPTION"))),"")</f>
        <v/>
      </c>
    </row>
    <row r="1873" spans="46:54" x14ac:dyDescent="0.25">
      <c r="AT1873" s="2" t="str">
        <f>IF($L1873="","",IFERROR(INDEX('AR SALES'!$H$2:$H$2501,MATCH(""&amp;$L1873,'AR SALES'!$AE$2:$AE$2501,0)),""))</f>
        <v/>
      </c>
      <c r="AU1873" s="2" t="str">
        <f t="shared" si="116"/>
        <v/>
      </c>
      <c r="AV1873" s="2" t="str">
        <f t="shared" si="117"/>
        <v/>
      </c>
      <c r="AW1873" s="2" t="str">
        <f t="shared" si="118"/>
        <v/>
      </c>
      <c r="AX1873" s="2" t="str">
        <f t="shared" si="119"/>
        <v/>
      </c>
      <c r="AY1873" s="2" t="str">
        <f>IF($AV1873="","",IF(AND($Z1873=0,COUNTIF('AR SALES'!$L$2:$L$2501,$L1873)=0),"YES",""))</f>
        <v/>
      </c>
      <c r="AZ1873" s="2" t="str">
        <f>IF($AV1873="","",IF(COUNTIF(LISTS!$C$2:$C$250,$AU1873)=0,"NEW",""))</f>
        <v/>
      </c>
      <c r="BA1873" s="2" t="str">
        <f>IF(""&amp;$F1873&lt;&gt;"4","",IF($AY1873="YES","",IF(ROUND(SUMIFS($AE$2:$AE$4001,$L$2:$L$4001,$L1873,$F$2:$F$4001,"4")-SUMIFS('AR SALES'!$Y$2:$Y$2501,'AR SALES'!$L$2:$L$2501,$L1873,'AR SALES'!$AD$2:$AD$2501,"OFF"),2)=0,"","STALE")))</f>
        <v/>
      </c>
      <c r="BB1873" s="2" t="str">
        <f>IF(OR(""&amp;$F1873="2",""&amp;$F1873="4",""&amp;$F1873="G",""&amp;$F1873="H"),IF($AY1873="YES","",IF($AB1873&lt;&gt;0,"",IF(COUNTIFS('AR SALES'!$L$2:$L$2501,$L1873,'AR SALES'!$AD$2:$AD$2501,IF(""&amp;$F1873="4","OFF","ON"),'AR SALES'!$AF$2:$AF$2501,"Y")&gt;0,"","NO EXEMPTION"))),"")</f>
        <v/>
      </c>
    </row>
    <row r="1874" spans="46:54" x14ac:dyDescent="0.25">
      <c r="AT1874" s="2" t="str">
        <f>IF($L1874="","",IFERROR(INDEX('AR SALES'!$H$2:$H$2501,MATCH(""&amp;$L1874,'AR SALES'!$AE$2:$AE$2501,0)),""))</f>
        <v/>
      </c>
      <c r="AU1874" s="2" t="str">
        <f t="shared" si="116"/>
        <v/>
      </c>
      <c r="AV1874" s="2" t="str">
        <f t="shared" si="117"/>
        <v/>
      </c>
      <c r="AW1874" s="2" t="str">
        <f t="shared" si="118"/>
        <v/>
      </c>
      <c r="AX1874" s="2" t="str">
        <f t="shared" si="119"/>
        <v/>
      </c>
      <c r="AY1874" s="2" t="str">
        <f>IF($AV1874="","",IF(AND($Z1874=0,COUNTIF('AR SALES'!$L$2:$L$2501,$L1874)=0),"YES",""))</f>
        <v/>
      </c>
      <c r="AZ1874" s="2" t="str">
        <f>IF($AV1874="","",IF(COUNTIF(LISTS!$C$2:$C$250,$AU1874)=0,"NEW",""))</f>
        <v/>
      </c>
      <c r="BA1874" s="2" t="str">
        <f>IF(""&amp;$F1874&lt;&gt;"4","",IF($AY1874="YES","",IF(ROUND(SUMIFS($AE$2:$AE$4001,$L$2:$L$4001,$L1874,$F$2:$F$4001,"4")-SUMIFS('AR SALES'!$Y$2:$Y$2501,'AR SALES'!$L$2:$L$2501,$L1874,'AR SALES'!$AD$2:$AD$2501,"OFF"),2)=0,"","STALE")))</f>
        <v/>
      </c>
      <c r="BB1874" s="2" t="str">
        <f>IF(OR(""&amp;$F1874="2",""&amp;$F1874="4",""&amp;$F1874="G",""&amp;$F1874="H"),IF($AY1874="YES","",IF($AB1874&lt;&gt;0,"",IF(COUNTIFS('AR SALES'!$L$2:$L$2501,$L1874,'AR SALES'!$AD$2:$AD$2501,IF(""&amp;$F1874="4","OFF","ON"),'AR SALES'!$AF$2:$AF$2501,"Y")&gt;0,"","NO EXEMPTION"))),"")</f>
        <v/>
      </c>
    </row>
    <row r="1875" spans="46:54" x14ac:dyDescent="0.25">
      <c r="AT1875" s="2" t="str">
        <f>IF($L1875="","",IFERROR(INDEX('AR SALES'!$H$2:$H$2501,MATCH(""&amp;$L1875,'AR SALES'!$AE$2:$AE$2501,0)),""))</f>
        <v/>
      </c>
      <c r="AU1875" s="2" t="str">
        <f t="shared" si="116"/>
        <v/>
      </c>
      <c r="AV1875" s="2" t="str">
        <f t="shared" si="117"/>
        <v/>
      </c>
      <c r="AW1875" s="2" t="str">
        <f t="shared" si="118"/>
        <v/>
      </c>
      <c r="AX1875" s="2" t="str">
        <f t="shared" si="119"/>
        <v/>
      </c>
      <c r="AY1875" s="2" t="str">
        <f>IF($AV1875="","",IF(AND($Z1875=0,COUNTIF('AR SALES'!$L$2:$L$2501,$L1875)=0),"YES",""))</f>
        <v/>
      </c>
      <c r="AZ1875" s="2" t="str">
        <f>IF($AV1875="","",IF(COUNTIF(LISTS!$C$2:$C$250,$AU1875)=0,"NEW",""))</f>
        <v/>
      </c>
      <c r="BA1875" s="2" t="str">
        <f>IF(""&amp;$F1875&lt;&gt;"4","",IF($AY1875="YES","",IF(ROUND(SUMIFS($AE$2:$AE$4001,$L$2:$L$4001,$L1875,$F$2:$F$4001,"4")-SUMIFS('AR SALES'!$Y$2:$Y$2501,'AR SALES'!$L$2:$L$2501,$L1875,'AR SALES'!$AD$2:$AD$2501,"OFF"),2)=0,"","STALE")))</f>
        <v/>
      </c>
      <c r="BB1875" s="2" t="str">
        <f>IF(OR(""&amp;$F1875="2",""&amp;$F1875="4",""&amp;$F1875="G",""&amp;$F1875="H"),IF($AY1875="YES","",IF($AB1875&lt;&gt;0,"",IF(COUNTIFS('AR SALES'!$L$2:$L$2501,$L1875,'AR SALES'!$AD$2:$AD$2501,IF(""&amp;$F1875="4","OFF","ON"),'AR SALES'!$AF$2:$AF$2501,"Y")&gt;0,"","NO EXEMPTION"))),"")</f>
        <v/>
      </c>
    </row>
    <row r="1876" spans="46:54" x14ac:dyDescent="0.25">
      <c r="AT1876" s="2" t="str">
        <f>IF($L1876="","",IFERROR(INDEX('AR SALES'!$H$2:$H$2501,MATCH(""&amp;$L1876,'AR SALES'!$AE$2:$AE$2501,0)),""))</f>
        <v/>
      </c>
      <c r="AU1876" s="2" t="str">
        <f t="shared" si="116"/>
        <v/>
      </c>
      <c r="AV1876" s="2" t="str">
        <f t="shared" si="117"/>
        <v/>
      </c>
      <c r="AW1876" s="2" t="str">
        <f t="shared" si="118"/>
        <v/>
      </c>
      <c r="AX1876" s="2" t="str">
        <f t="shared" si="119"/>
        <v/>
      </c>
      <c r="AY1876" s="2" t="str">
        <f>IF($AV1876="","",IF(AND($Z1876=0,COUNTIF('AR SALES'!$L$2:$L$2501,$L1876)=0),"YES",""))</f>
        <v/>
      </c>
      <c r="AZ1876" s="2" t="str">
        <f>IF($AV1876="","",IF(COUNTIF(LISTS!$C$2:$C$250,$AU1876)=0,"NEW",""))</f>
        <v/>
      </c>
      <c r="BA1876" s="2" t="str">
        <f>IF(""&amp;$F1876&lt;&gt;"4","",IF($AY1876="YES","",IF(ROUND(SUMIFS($AE$2:$AE$4001,$L$2:$L$4001,$L1876,$F$2:$F$4001,"4")-SUMIFS('AR SALES'!$Y$2:$Y$2501,'AR SALES'!$L$2:$L$2501,$L1876,'AR SALES'!$AD$2:$AD$2501,"OFF"),2)=0,"","STALE")))</f>
        <v/>
      </c>
      <c r="BB1876" s="2" t="str">
        <f>IF(OR(""&amp;$F1876="2",""&amp;$F1876="4",""&amp;$F1876="G",""&amp;$F1876="H"),IF($AY1876="YES","",IF($AB1876&lt;&gt;0,"",IF(COUNTIFS('AR SALES'!$L$2:$L$2501,$L1876,'AR SALES'!$AD$2:$AD$2501,IF(""&amp;$F1876="4","OFF","ON"),'AR SALES'!$AF$2:$AF$2501,"Y")&gt;0,"","NO EXEMPTION"))),"")</f>
        <v/>
      </c>
    </row>
    <row r="1877" spans="46:54" x14ac:dyDescent="0.25">
      <c r="AT1877" s="2" t="str">
        <f>IF($L1877="","",IFERROR(INDEX('AR SALES'!$H$2:$H$2501,MATCH(""&amp;$L1877,'AR SALES'!$AE$2:$AE$2501,0)),""))</f>
        <v/>
      </c>
      <c r="AU1877" s="2" t="str">
        <f t="shared" si="116"/>
        <v/>
      </c>
      <c r="AV1877" s="2" t="str">
        <f t="shared" si="117"/>
        <v/>
      </c>
      <c r="AW1877" s="2" t="str">
        <f t="shared" si="118"/>
        <v/>
      </c>
      <c r="AX1877" s="2" t="str">
        <f t="shared" si="119"/>
        <v/>
      </c>
      <c r="AY1877" s="2" t="str">
        <f>IF($AV1877="","",IF(AND($Z1877=0,COUNTIF('AR SALES'!$L$2:$L$2501,$L1877)=0),"YES",""))</f>
        <v/>
      </c>
      <c r="AZ1877" s="2" t="str">
        <f>IF($AV1877="","",IF(COUNTIF(LISTS!$C$2:$C$250,$AU1877)=0,"NEW",""))</f>
        <v/>
      </c>
      <c r="BA1877" s="2" t="str">
        <f>IF(""&amp;$F1877&lt;&gt;"4","",IF($AY1877="YES","",IF(ROUND(SUMIFS($AE$2:$AE$4001,$L$2:$L$4001,$L1877,$F$2:$F$4001,"4")-SUMIFS('AR SALES'!$Y$2:$Y$2501,'AR SALES'!$L$2:$L$2501,$L1877,'AR SALES'!$AD$2:$AD$2501,"OFF"),2)=0,"","STALE")))</f>
        <v/>
      </c>
      <c r="BB1877" s="2" t="str">
        <f>IF(OR(""&amp;$F1877="2",""&amp;$F1877="4",""&amp;$F1877="G",""&amp;$F1877="H"),IF($AY1877="YES","",IF($AB1877&lt;&gt;0,"",IF(COUNTIFS('AR SALES'!$L$2:$L$2501,$L1877,'AR SALES'!$AD$2:$AD$2501,IF(""&amp;$F1877="4","OFF","ON"),'AR SALES'!$AF$2:$AF$2501,"Y")&gt;0,"","NO EXEMPTION"))),"")</f>
        <v/>
      </c>
    </row>
    <row r="1878" spans="46:54" x14ac:dyDescent="0.25">
      <c r="AT1878" s="2" t="str">
        <f>IF($L1878="","",IFERROR(INDEX('AR SALES'!$H$2:$H$2501,MATCH(""&amp;$L1878,'AR SALES'!$AE$2:$AE$2501,0)),""))</f>
        <v/>
      </c>
      <c r="AU1878" s="2" t="str">
        <f t="shared" si="116"/>
        <v/>
      </c>
      <c r="AV1878" s="2" t="str">
        <f t="shared" si="117"/>
        <v/>
      </c>
      <c r="AW1878" s="2" t="str">
        <f t="shared" si="118"/>
        <v/>
      </c>
      <c r="AX1878" s="2" t="str">
        <f t="shared" si="119"/>
        <v/>
      </c>
      <c r="AY1878" s="2" t="str">
        <f>IF($AV1878="","",IF(AND($Z1878=0,COUNTIF('AR SALES'!$L$2:$L$2501,$L1878)=0),"YES",""))</f>
        <v/>
      </c>
      <c r="AZ1878" s="2" t="str">
        <f>IF($AV1878="","",IF(COUNTIF(LISTS!$C$2:$C$250,$AU1878)=0,"NEW",""))</f>
        <v/>
      </c>
      <c r="BA1878" s="2" t="str">
        <f>IF(""&amp;$F1878&lt;&gt;"4","",IF($AY1878="YES","",IF(ROUND(SUMIFS($AE$2:$AE$4001,$L$2:$L$4001,$L1878,$F$2:$F$4001,"4")-SUMIFS('AR SALES'!$Y$2:$Y$2501,'AR SALES'!$L$2:$L$2501,$L1878,'AR SALES'!$AD$2:$AD$2501,"OFF"),2)=0,"","STALE")))</f>
        <v/>
      </c>
      <c r="BB1878" s="2" t="str">
        <f>IF(OR(""&amp;$F1878="2",""&amp;$F1878="4",""&amp;$F1878="G",""&amp;$F1878="H"),IF($AY1878="YES","",IF($AB1878&lt;&gt;0,"",IF(COUNTIFS('AR SALES'!$L$2:$L$2501,$L1878,'AR SALES'!$AD$2:$AD$2501,IF(""&amp;$F1878="4","OFF","ON"),'AR SALES'!$AF$2:$AF$2501,"Y")&gt;0,"","NO EXEMPTION"))),"")</f>
        <v/>
      </c>
    </row>
    <row r="1879" spans="46:54" x14ac:dyDescent="0.25">
      <c r="AT1879" s="2" t="str">
        <f>IF($L1879="","",IFERROR(INDEX('AR SALES'!$H$2:$H$2501,MATCH(""&amp;$L1879,'AR SALES'!$AE$2:$AE$2501,0)),""))</f>
        <v/>
      </c>
      <c r="AU1879" s="2" t="str">
        <f t="shared" si="116"/>
        <v/>
      </c>
      <c r="AV1879" s="2" t="str">
        <f t="shared" si="117"/>
        <v/>
      </c>
      <c r="AW1879" s="2" t="str">
        <f t="shared" si="118"/>
        <v/>
      </c>
      <c r="AX1879" s="2" t="str">
        <f t="shared" si="119"/>
        <v/>
      </c>
      <c r="AY1879" s="2" t="str">
        <f>IF($AV1879="","",IF(AND($Z1879=0,COUNTIF('AR SALES'!$L$2:$L$2501,$L1879)=0),"YES",""))</f>
        <v/>
      </c>
      <c r="AZ1879" s="2" t="str">
        <f>IF($AV1879="","",IF(COUNTIF(LISTS!$C$2:$C$250,$AU1879)=0,"NEW",""))</f>
        <v/>
      </c>
      <c r="BA1879" s="2" t="str">
        <f>IF(""&amp;$F1879&lt;&gt;"4","",IF($AY1879="YES","",IF(ROUND(SUMIFS($AE$2:$AE$4001,$L$2:$L$4001,$L1879,$F$2:$F$4001,"4")-SUMIFS('AR SALES'!$Y$2:$Y$2501,'AR SALES'!$L$2:$L$2501,$L1879,'AR SALES'!$AD$2:$AD$2501,"OFF"),2)=0,"","STALE")))</f>
        <v/>
      </c>
      <c r="BB1879" s="2" t="str">
        <f>IF(OR(""&amp;$F1879="2",""&amp;$F1879="4",""&amp;$F1879="G",""&amp;$F1879="H"),IF($AY1879="YES","",IF($AB1879&lt;&gt;0,"",IF(COUNTIFS('AR SALES'!$L$2:$L$2501,$L1879,'AR SALES'!$AD$2:$AD$2501,IF(""&amp;$F1879="4","OFF","ON"),'AR SALES'!$AF$2:$AF$2501,"Y")&gt;0,"","NO EXEMPTION"))),"")</f>
        <v/>
      </c>
    </row>
    <row r="1880" spans="46:54" x14ac:dyDescent="0.25">
      <c r="AT1880" s="2" t="str">
        <f>IF($L1880="","",IFERROR(INDEX('AR SALES'!$H$2:$H$2501,MATCH(""&amp;$L1880,'AR SALES'!$AE$2:$AE$2501,0)),""))</f>
        <v/>
      </c>
      <c r="AU1880" s="2" t="str">
        <f t="shared" si="116"/>
        <v/>
      </c>
      <c r="AV1880" s="2" t="str">
        <f t="shared" si="117"/>
        <v/>
      </c>
      <c r="AW1880" s="2" t="str">
        <f t="shared" si="118"/>
        <v/>
      </c>
      <c r="AX1880" s="2" t="str">
        <f t="shared" si="119"/>
        <v/>
      </c>
      <c r="AY1880" s="2" t="str">
        <f>IF($AV1880="","",IF(AND($Z1880=0,COUNTIF('AR SALES'!$L$2:$L$2501,$L1880)=0),"YES",""))</f>
        <v/>
      </c>
      <c r="AZ1880" s="2" t="str">
        <f>IF($AV1880="","",IF(COUNTIF(LISTS!$C$2:$C$250,$AU1880)=0,"NEW",""))</f>
        <v/>
      </c>
      <c r="BA1880" s="2" t="str">
        <f>IF(""&amp;$F1880&lt;&gt;"4","",IF($AY1880="YES","",IF(ROUND(SUMIFS($AE$2:$AE$4001,$L$2:$L$4001,$L1880,$F$2:$F$4001,"4")-SUMIFS('AR SALES'!$Y$2:$Y$2501,'AR SALES'!$L$2:$L$2501,$L1880,'AR SALES'!$AD$2:$AD$2501,"OFF"),2)=0,"","STALE")))</f>
        <v/>
      </c>
      <c r="BB1880" s="2" t="str">
        <f>IF(OR(""&amp;$F1880="2",""&amp;$F1880="4",""&amp;$F1880="G",""&amp;$F1880="H"),IF($AY1880="YES","",IF($AB1880&lt;&gt;0,"",IF(COUNTIFS('AR SALES'!$L$2:$L$2501,$L1880,'AR SALES'!$AD$2:$AD$2501,IF(""&amp;$F1880="4","OFF","ON"),'AR SALES'!$AF$2:$AF$2501,"Y")&gt;0,"","NO EXEMPTION"))),"")</f>
        <v/>
      </c>
    </row>
    <row r="1881" spans="46:54" x14ac:dyDescent="0.25">
      <c r="AT1881" s="2" t="str">
        <f>IF($L1881="","",IFERROR(INDEX('AR SALES'!$H$2:$H$2501,MATCH(""&amp;$L1881,'AR SALES'!$AE$2:$AE$2501,0)),""))</f>
        <v/>
      </c>
      <c r="AU1881" s="2" t="str">
        <f t="shared" si="116"/>
        <v/>
      </c>
      <c r="AV1881" s="2" t="str">
        <f t="shared" si="117"/>
        <v/>
      </c>
      <c r="AW1881" s="2" t="str">
        <f t="shared" si="118"/>
        <v/>
      </c>
      <c r="AX1881" s="2" t="str">
        <f t="shared" si="119"/>
        <v/>
      </c>
      <c r="AY1881" s="2" t="str">
        <f>IF($AV1881="","",IF(AND($Z1881=0,COUNTIF('AR SALES'!$L$2:$L$2501,$L1881)=0),"YES",""))</f>
        <v/>
      </c>
      <c r="AZ1881" s="2" t="str">
        <f>IF($AV1881="","",IF(COUNTIF(LISTS!$C$2:$C$250,$AU1881)=0,"NEW",""))</f>
        <v/>
      </c>
      <c r="BA1881" s="2" t="str">
        <f>IF(""&amp;$F1881&lt;&gt;"4","",IF($AY1881="YES","",IF(ROUND(SUMIFS($AE$2:$AE$4001,$L$2:$L$4001,$L1881,$F$2:$F$4001,"4")-SUMIFS('AR SALES'!$Y$2:$Y$2501,'AR SALES'!$L$2:$L$2501,$L1881,'AR SALES'!$AD$2:$AD$2501,"OFF"),2)=0,"","STALE")))</f>
        <v/>
      </c>
      <c r="BB1881" s="2" t="str">
        <f>IF(OR(""&amp;$F1881="2",""&amp;$F1881="4",""&amp;$F1881="G",""&amp;$F1881="H"),IF($AY1881="YES","",IF($AB1881&lt;&gt;0,"",IF(COUNTIFS('AR SALES'!$L$2:$L$2501,$L1881,'AR SALES'!$AD$2:$AD$2501,IF(""&amp;$F1881="4","OFF","ON"),'AR SALES'!$AF$2:$AF$2501,"Y")&gt;0,"","NO EXEMPTION"))),"")</f>
        <v/>
      </c>
    </row>
    <row r="1882" spans="46:54" x14ac:dyDescent="0.25">
      <c r="AT1882" s="2" t="str">
        <f>IF($L1882="","",IFERROR(INDEX('AR SALES'!$H$2:$H$2501,MATCH(""&amp;$L1882,'AR SALES'!$AE$2:$AE$2501,0)),""))</f>
        <v/>
      </c>
      <c r="AU1882" s="2" t="str">
        <f t="shared" si="116"/>
        <v/>
      </c>
      <c r="AV1882" s="2" t="str">
        <f t="shared" si="117"/>
        <v/>
      </c>
      <c r="AW1882" s="2" t="str">
        <f t="shared" si="118"/>
        <v/>
      </c>
      <c r="AX1882" s="2" t="str">
        <f t="shared" si="119"/>
        <v/>
      </c>
      <c r="AY1882" s="2" t="str">
        <f>IF($AV1882="","",IF(AND($Z1882=0,COUNTIF('AR SALES'!$L$2:$L$2501,$L1882)=0),"YES",""))</f>
        <v/>
      </c>
      <c r="AZ1882" s="2" t="str">
        <f>IF($AV1882="","",IF(COUNTIF(LISTS!$C$2:$C$250,$AU1882)=0,"NEW",""))</f>
        <v/>
      </c>
      <c r="BA1882" s="2" t="str">
        <f>IF(""&amp;$F1882&lt;&gt;"4","",IF($AY1882="YES","",IF(ROUND(SUMIFS($AE$2:$AE$4001,$L$2:$L$4001,$L1882,$F$2:$F$4001,"4")-SUMIFS('AR SALES'!$Y$2:$Y$2501,'AR SALES'!$L$2:$L$2501,$L1882,'AR SALES'!$AD$2:$AD$2501,"OFF"),2)=0,"","STALE")))</f>
        <v/>
      </c>
      <c r="BB1882" s="2" t="str">
        <f>IF(OR(""&amp;$F1882="2",""&amp;$F1882="4",""&amp;$F1882="G",""&amp;$F1882="H"),IF($AY1882="YES","",IF($AB1882&lt;&gt;0,"",IF(COUNTIFS('AR SALES'!$L$2:$L$2501,$L1882,'AR SALES'!$AD$2:$AD$2501,IF(""&amp;$F1882="4","OFF","ON"),'AR SALES'!$AF$2:$AF$2501,"Y")&gt;0,"","NO EXEMPTION"))),"")</f>
        <v/>
      </c>
    </row>
    <row r="1883" spans="46:54" x14ac:dyDescent="0.25">
      <c r="AT1883" s="2" t="str">
        <f>IF($L1883="","",IFERROR(INDEX('AR SALES'!$H$2:$H$2501,MATCH(""&amp;$L1883,'AR SALES'!$AE$2:$AE$2501,0)),""))</f>
        <v/>
      </c>
      <c r="AU1883" s="2" t="str">
        <f t="shared" si="116"/>
        <v/>
      </c>
      <c r="AV1883" s="2" t="str">
        <f t="shared" si="117"/>
        <v/>
      </c>
      <c r="AW1883" s="2" t="str">
        <f t="shared" si="118"/>
        <v/>
      </c>
      <c r="AX1883" s="2" t="str">
        <f t="shared" si="119"/>
        <v/>
      </c>
      <c r="AY1883" s="2" t="str">
        <f>IF($AV1883="","",IF(AND($Z1883=0,COUNTIF('AR SALES'!$L$2:$L$2501,$L1883)=0),"YES",""))</f>
        <v/>
      </c>
      <c r="AZ1883" s="2" t="str">
        <f>IF($AV1883="","",IF(COUNTIF(LISTS!$C$2:$C$250,$AU1883)=0,"NEW",""))</f>
        <v/>
      </c>
      <c r="BA1883" s="2" t="str">
        <f>IF(""&amp;$F1883&lt;&gt;"4","",IF($AY1883="YES","",IF(ROUND(SUMIFS($AE$2:$AE$4001,$L$2:$L$4001,$L1883,$F$2:$F$4001,"4")-SUMIFS('AR SALES'!$Y$2:$Y$2501,'AR SALES'!$L$2:$L$2501,$L1883,'AR SALES'!$AD$2:$AD$2501,"OFF"),2)=0,"","STALE")))</f>
        <v/>
      </c>
      <c r="BB1883" s="2" t="str">
        <f>IF(OR(""&amp;$F1883="2",""&amp;$F1883="4",""&amp;$F1883="G",""&amp;$F1883="H"),IF($AY1883="YES","",IF($AB1883&lt;&gt;0,"",IF(COUNTIFS('AR SALES'!$L$2:$L$2501,$L1883,'AR SALES'!$AD$2:$AD$2501,IF(""&amp;$F1883="4","OFF","ON"),'AR SALES'!$AF$2:$AF$2501,"Y")&gt;0,"","NO EXEMPTION"))),"")</f>
        <v/>
      </c>
    </row>
    <row r="1884" spans="46:54" x14ac:dyDescent="0.25">
      <c r="AT1884" s="2" t="str">
        <f>IF($L1884="","",IFERROR(INDEX('AR SALES'!$H$2:$H$2501,MATCH(""&amp;$L1884,'AR SALES'!$AE$2:$AE$2501,0)),""))</f>
        <v/>
      </c>
      <c r="AU1884" s="2" t="str">
        <f t="shared" si="116"/>
        <v/>
      </c>
      <c r="AV1884" s="2" t="str">
        <f t="shared" si="117"/>
        <v/>
      </c>
      <c r="AW1884" s="2" t="str">
        <f t="shared" si="118"/>
        <v/>
      </c>
      <c r="AX1884" s="2" t="str">
        <f t="shared" si="119"/>
        <v/>
      </c>
      <c r="AY1884" s="2" t="str">
        <f>IF($AV1884="","",IF(AND($Z1884=0,COUNTIF('AR SALES'!$L$2:$L$2501,$L1884)=0),"YES",""))</f>
        <v/>
      </c>
      <c r="AZ1884" s="2" t="str">
        <f>IF($AV1884="","",IF(COUNTIF(LISTS!$C$2:$C$250,$AU1884)=0,"NEW",""))</f>
        <v/>
      </c>
      <c r="BA1884" s="2" t="str">
        <f>IF(""&amp;$F1884&lt;&gt;"4","",IF($AY1884="YES","",IF(ROUND(SUMIFS($AE$2:$AE$4001,$L$2:$L$4001,$L1884,$F$2:$F$4001,"4")-SUMIFS('AR SALES'!$Y$2:$Y$2501,'AR SALES'!$L$2:$L$2501,$L1884,'AR SALES'!$AD$2:$AD$2501,"OFF"),2)=0,"","STALE")))</f>
        <v/>
      </c>
      <c r="BB1884" s="2" t="str">
        <f>IF(OR(""&amp;$F1884="2",""&amp;$F1884="4",""&amp;$F1884="G",""&amp;$F1884="H"),IF($AY1884="YES","",IF($AB1884&lt;&gt;0,"",IF(COUNTIFS('AR SALES'!$L$2:$L$2501,$L1884,'AR SALES'!$AD$2:$AD$2501,IF(""&amp;$F1884="4","OFF","ON"),'AR SALES'!$AF$2:$AF$2501,"Y")&gt;0,"","NO EXEMPTION"))),"")</f>
        <v/>
      </c>
    </row>
    <row r="1885" spans="46:54" x14ac:dyDescent="0.25">
      <c r="AT1885" s="2" t="str">
        <f>IF($L1885="","",IFERROR(INDEX('AR SALES'!$H$2:$H$2501,MATCH(""&amp;$L1885,'AR SALES'!$AE$2:$AE$2501,0)),""))</f>
        <v/>
      </c>
      <c r="AU1885" s="2" t="str">
        <f t="shared" si="116"/>
        <v/>
      </c>
      <c r="AV1885" s="2" t="str">
        <f t="shared" si="117"/>
        <v/>
      </c>
      <c r="AW1885" s="2" t="str">
        <f t="shared" si="118"/>
        <v/>
      </c>
      <c r="AX1885" s="2" t="str">
        <f t="shared" si="119"/>
        <v/>
      </c>
      <c r="AY1885" s="2" t="str">
        <f>IF($AV1885="","",IF(AND($Z1885=0,COUNTIF('AR SALES'!$L$2:$L$2501,$L1885)=0),"YES",""))</f>
        <v/>
      </c>
      <c r="AZ1885" s="2" t="str">
        <f>IF($AV1885="","",IF(COUNTIF(LISTS!$C$2:$C$250,$AU1885)=0,"NEW",""))</f>
        <v/>
      </c>
      <c r="BA1885" s="2" t="str">
        <f>IF(""&amp;$F1885&lt;&gt;"4","",IF($AY1885="YES","",IF(ROUND(SUMIFS($AE$2:$AE$4001,$L$2:$L$4001,$L1885,$F$2:$F$4001,"4")-SUMIFS('AR SALES'!$Y$2:$Y$2501,'AR SALES'!$L$2:$L$2501,$L1885,'AR SALES'!$AD$2:$AD$2501,"OFF"),2)=0,"","STALE")))</f>
        <v/>
      </c>
      <c r="BB1885" s="2" t="str">
        <f>IF(OR(""&amp;$F1885="2",""&amp;$F1885="4",""&amp;$F1885="G",""&amp;$F1885="H"),IF($AY1885="YES","",IF($AB1885&lt;&gt;0,"",IF(COUNTIFS('AR SALES'!$L$2:$L$2501,$L1885,'AR SALES'!$AD$2:$AD$2501,IF(""&amp;$F1885="4","OFF","ON"),'AR SALES'!$AF$2:$AF$2501,"Y")&gt;0,"","NO EXEMPTION"))),"")</f>
        <v/>
      </c>
    </row>
    <row r="1886" spans="46:54" x14ac:dyDescent="0.25">
      <c r="AT1886" s="2" t="str">
        <f>IF($L1886="","",IFERROR(INDEX('AR SALES'!$H$2:$H$2501,MATCH(""&amp;$L1886,'AR SALES'!$AE$2:$AE$2501,0)),""))</f>
        <v/>
      </c>
      <c r="AU1886" s="2" t="str">
        <f t="shared" si="116"/>
        <v/>
      </c>
      <c r="AV1886" s="2" t="str">
        <f t="shared" si="117"/>
        <v/>
      </c>
      <c r="AW1886" s="2" t="str">
        <f t="shared" si="118"/>
        <v/>
      </c>
      <c r="AX1886" s="2" t="str">
        <f t="shared" si="119"/>
        <v/>
      </c>
      <c r="AY1886" s="2" t="str">
        <f>IF($AV1886="","",IF(AND($Z1886=0,COUNTIF('AR SALES'!$L$2:$L$2501,$L1886)=0),"YES",""))</f>
        <v/>
      </c>
      <c r="AZ1886" s="2" t="str">
        <f>IF($AV1886="","",IF(COUNTIF(LISTS!$C$2:$C$250,$AU1886)=0,"NEW",""))</f>
        <v/>
      </c>
      <c r="BA1886" s="2" t="str">
        <f>IF(""&amp;$F1886&lt;&gt;"4","",IF($AY1886="YES","",IF(ROUND(SUMIFS($AE$2:$AE$4001,$L$2:$L$4001,$L1886,$F$2:$F$4001,"4")-SUMIFS('AR SALES'!$Y$2:$Y$2501,'AR SALES'!$L$2:$L$2501,$L1886,'AR SALES'!$AD$2:$AD$2501,"OFF"),2)=0,"","STALE")))</f>
        <v/>
      </c>
      <c r="BB1886" s="2" t="str">
        <f>IF(OR(""&amp;$F1886="2",""&amp;$F1886="4",""&amp;$F1886="G",""&amp;$F1886="H"),IF($AY1886="YES","",IF($AB1886&lt;&gt;0,"",IF(COUNTIFS('AR SALES'!$L$2:$L$2501,$L1886,'AR SALES'!$AD$2:$AD$2501,IF(""&amp;$F1886="4","OFF","ON"),'AR SALES'!$AF$2:$AF$2501,"Y")&gt;0,"","NO EXEMPTION"))),"")</f>
        <v/>
      </c>
    </row>
    <row r="1887" spans="46:54" x14ac:dyDescent="0.25">
      <c r="AT1887" s="2" t="str">
        <f>IF($L1887="","",IFERROR(INDEX('AR SALES'!$H$2:$H$2501,MATCH(""&amp;$L1887,'AR SALES'!$AE$2:$AE$2501,0)),""))</f>
        <v/>
      </c>
      <c r="AU1887" s="2" t="str">
        <f t="shared" si="116"/>
        <v/>
      </c>
      <c r="AV1887" s="2" t="str">
        <f t="shared" si="117"/>
        <v/>
      </c>
      <c r="AW1887" s="2" t="str">
        <f t="shared" si="118"/>
        <v/>
      </c>
      <c r="AX1887" s="2" t="str">
        <f t="shared" si="119"/>
        <v/>
      </c>
      <c r="AY1887" s="2" t="str">
        <f>IF($AV1887="","",IF(AND($Z1887=0,COUNTIF('AR SALES'!$L$2:$L$2501,$L1887)=0),"YES",""))</f>
        <v/>
      </c>
      <c r="AZ1887" s="2" t="str">
        <f>IF($AV1887="","",IF(COUNTIF(LISTS!$C$2:$C$250,$AU1887)=0,"NEW",""))</f>
        <v/>
      </c>
      <c r="BA1887" s="2" t="str">
        <f>IF(""&amp;$F1887&lt;&gt;"4","",IF($AY1887="YES","",IF(ROUND(SUMIFS($AE$2:$AE$4001,$L$2:$L$4001,$L1887,$F$2:$F$4001,"4")-SUMIFS('AR SALES'!$Y$2:$Y$2501,'AR SALES'!$L$2:$L$2501,$L1887,'AR SALES'!$AD$2:$AD$2501,"OFF"),2)=0,"","STALE")))</f>
        <v/>
      </c>
      <c r="BB1887" s="2" t="str">
        <f>IF(OR(""&amp;$F1887="2",""&amp;$F1887="4",""&amp;$F1887="G",""&amp;$F1887="H"),IF($AY1887="YES","",IF($AB1887&lt;&gt;0,"",IF(COUNTIFS('AR SALES'!$L$2:$L$2501,$L1887,'AR SALES'!$AD$2:$AD$2501,IF(""&amp;$F1887="4","OFF","ON"),'AR SALES'!$AF$2:$AF$2501,"Y")&gt;0,"","NO EXEMPTION"))),"")</f>
        <v/>
      </c>
    </row>
    <row r="1888" spans="46:54" x14ac:dyDescent="0.25">
      <c r="AT1888" s="2" t="str">
        <f>IF($L1888="","",IFERROR(INDEX('AR SALES'!$H$2:$H$2501,MATCH(""&amp;$L1888,'AR SALES'!$AE$2:$AE$2501,0)),""))</f>
        <v/>
      </c>
      <c r="AU1888" s="2" t="str">
        <f t="shared" si="116"/>
        <v/>
      </c>
      <c r="AV1888" s="2" t="str">
        <f t="shared" si="117"/>
        <v/>
      </c>
      <c r="AW1888" s="2" t="str">
        <f t="shared" si="118"/>
        <v/>
      </c>
      <c r="AX1888" s="2" t="str">
        <f t="shared" si="119"/>
        <v/>
      </c>
      <c r="AY1888" s="2" t="str">
        <f>IF($AV1888="","",IF(AND($Z1888=0,COUNTIF('AR SALES'!$L$2:$L$2501,$L1888)=0),"YES",""))</f>
        <v/>
      </c>
      <c r="AZ1888" s="2" t="str">
        <f>IF($AV1888="","",IF(COUNTIF(LISTS!$C$2:$C$250,$AU1888)=0,"NEW",""))</f>
        <v/>
      </c>
      <c r="BA1888" s="2" t="str">
        <f>IF(""&amp;$F1888&lt;&gt;"4","",IF($AY1888="YES","",IF(ROUND(SUMIFS($AE$2:$AE$4001,$L$2:$L$4001,$L1888,$F$2:$F$4001,"4")-SUMIFS('AR SALES'!$Y$2:$Y$2501,'AR SALES'!$L$2:$L$2501,$L1888,'AR SALES'!$AD$2:$AD$2501,"OFF"),2)=0,"","STALE")))</f>
        <v/>
      </c>
      <c r="BB1888" s="2" t="str">
        <f>IF(OR(""&amp;$F1888="2",""&amp;$F1888="4",""&amp;$F1888="G",""&amp;$F1888="H"),IF($AY1888="YES","",IF($AB1888&lt;&gt;0,"",IF(COUNTIFS('AR SALES'!$L$2:$L$2501,$L1888,'AR SALES'!$AD$2:$AD$2501,IF(""&amp;$F1888="4","OFF","ON"),'AR SALES'!$AF$2:$AF$2501,"Y")&gt;0,"","NO EXEMPTION"))),"")</f>
        <v/>
      </c>
    </row>
    <row r="1889" spans="46:54" x14ac:dyDescent="0.25">
      <c r="AT1889" s="2" t="str">
        <f>IF($L1889="","",IFERROR(INDEX('AR SALES'!$H$2:$H$2501,MATCH(""&amp;$L1889,'AR SALES'!$AE$2:$AE$2501,0)),""))</f>
        <v/>
      </c>
      <c r="AU1889" s="2" t="str">
        <f t="shared" si="116"/>
        <v/>
      </c>
      <c r="AV1889" s="2" t="str">
        <f t="shared" si="117"/>
        <v/>
      </c>
      <c r="AW1889" s="2" t="str">
        <f t="shared" si="118"/>
        <v/>
      </c>
      <c r="AX1889" s="2" t="str">
        <f t="shared" si="119"/>
        <v/>
      </c>
      <c r="AY1889" s="2" t="str">
        <f>IF($AV1889="","",IF(AND($Z1889=0,COUNTIF('AR SALES'!$L$2:$L$2501,$L1889)=0),"YES",""))</f>
        <v/>
      </c>
      <c r="AZ1889" s="2" t="str">
        <f>IF($AV1889="","",IF(COUNTIF(LISTS!$C$2:$C$250,$AU1889)=0,"NEW",""))</f>
        <v/>
      </c>
      <c r="BA1889" s="2" t="str">
        <f>IF(""&amp;$F1889&lt;&gt;"4","",IF($AY1889="YES","",IF(ROUND(SUMIFS($AE$2:$AE$4001,$L$2:$L$4001,$L1889,$F$2:$F$4001,"4")-SUMIFS('AR SALES'!$Y$2:$Y$2501,'AR SALES'!$L$2:$L$2501,$L1889,'AR SALES'!$AD$2:$AD$2501,"OFF"),2)=0,"","STALE")))</f>
        <v/>
      </c>
      <c r="BB1889" s="2" t="str">
        <f>IF(OR(""&amp;$F1889="2",""&amp;$F1889="4",""&amp;$F1889="G",""&amp;$F1889="H"),IF($AY1889="YES","",IF($AB1889&lt;&gt;0,"",IF(COUNTIFS('AR SALES'!$L$2:$L$2501,$L1889,'AR SALES'!$AD$2:$AD$2501,IF(""&amp;$F1889="4","OFF","ON"),'AR SALES'!$AF$2:$AF$2501,"Y")&gt;0,"","NO EXEMPTION"))),"")</f>
        <v/>
      </c>
    </row>
    <row r="1890" spans="46:54" x14ac:dyDescent="0.25">
      <c r="AT1890" s="2" t="str">
        <f>IF($L1890="","",IFERROR(INDEX('AR SALES'!$H$2:$H$2501,MATCH(""&amp;$L1890,'AR SALES'!$AE$2:$AE$2501,0)),""))</f>
        <v/>
      </c>
      <c r="AU1890" s="2" t="str">
        <f t="shared" si="116"/>
        <v/>
      </c>
      <c r="AV1890" s="2" t="str">
        <f t="shared" si="117"/>
        <v/>
      </c>
      <c r="AW1890" s="2" t="str">
        <f t="shared" si="118"/>
        <v/>
      </c>
      <c r="AX1890" s="2" t="str">
        <f t="shared" si="119"/>
        <v/>
      </c>
      <c r="AY1890" s="2" t="str">
        <f>IF($AV1890="","",IF(AND($Z1890=0,COUNTIF('AR SALES'!$L$2:$L$2501,$L1890)=0),"YES",""))</f>
        <v/>
      </c>
      <c r="AZ1890" s="2" t="str">
        <f>IF($AV1890="","",IF(COUNTIF(LISTS!$C$2:$C$250,$AU1890)=0,"NEW",""))</f>
        <v/>
      </c>
      <c r="BA1890" s="2" t="str">
        <f>IF(""&amp;$F1890&lt;&gt;"4","",IF($AY1890="YES","",IF(ROUND(SUMIFS($AE$2:$AE$4001,$L$2:$L$4001,$L1890,$F$2:$F$4001,"4")-SUMIFS('AR SALES'!$Y$2:$Y$2501,'AR SALES'!$L$2:$L$2501,$L1890,'AR SALES'!$AD$2:$AD$2501,"OFF"),2)=0,"","STALE")))</f>
        <v/>
      </c>
      <c r="BB1890" s="2" t="str">
        <f>IF(OR(""&amp;$F1890="2",""&amp;$F1890="4",""&amp;$F1890="G",""&amp;$F1890="H"),IF($AY1890="YES","",IF($AB1890&lt;&gt;0,"",IF(COUNTIFS('AR SALES'!$L$2:$L$2501,$L1890,'AR SALES'!$AD$2:$AD$2501,IF(""&amp;$F1890="4","OFF","ON"),'AR SALES'!$AF$2:$AF$2501,"Y")&gt;0,"","NO EXEMPTION"))),"")</f>
        <v/>
      </c>
    </row>
    <row r="1891" spans="46:54" x14ac:dyDescent="0.25">
      <c r="AT1891" s="2" t="str">
        <f>IF($L1891="","",IFERROR(INDEX('AR SALES'!$H$2:$H$2501,MATCH(""&amp;$L1891,'AR SALES'!$AE$2:$AE$2501,0)),""))</f>
        <v/>
      </c>
      <c r="AU1891" s="2" t="str">
        <f t="shared" si="116"/>
        <v/>
      </c>
      <c r="AV1891" s="2" t="str">
        <f t="shared" si="117"/>
        <v/>
      </c>
      <c r="AW1891" s="2" t="str">
        <f t="shared" si="118"/>
        <v/>
      </c>
      <c r="AX1891" s="2" t="str">
        <f t="shared" si="119"/>
        <v/>
      </c>
      <c r="AY1891" s="2" t="str">
        <f>IF($AV1891="","",IF(AND($Z1891=0,COUNTIF('AR SALES'!$L$2:$L$2501,$L1891)=0),"YES",""))</f>
        <v/>
      </c>
      <c r="AZ1891" s="2" t="str">
        <f>IF($AV1891="","",IF(COUNTIF(LISTS!$C$2:$C$250,$AU1891)=0,"NEW",""))</f>
        <v/>
      </c>
      <c r="BA1891" s="2" t="str">
        <f>IF(""&amp;$F1891&lt;&gt;"4","",IF($AY1891="YES","",IF(ROUND(SUMIFS($AE$2:$AE$4001,$L$2:$L$4001,$L1891,$F$2:$F$4001,"4")-SUMIFS('AR SALES'!$Y$2:$Y$2501,'AR SALES'!$L$2:$L$2501,$L1891,'AR SALES'!$AD$2:$AD$2501,"OFF"),2)=0,"","STALE")))</f>
        <v/>
      </c>
      <c r="BB1891" s="2" t="str">
        <f>IF(OR(""&amp;$F1891="2",""&amp;$F1891="4",""&amp;$F1891="G",""&amp;$F1891="H"),IF($AY1891="YES","",IF($AB1891&lt;&gt;0,"",IF(COUNTIFS('AR SALES'!$L$2:$L$2501,$L1891,'AR SALES'!$AD$2:$AD$2501,IF(""&amp;$F1891="4","OFF","ON"),'AR SALES'!$AF$2:$AF$2501,"Y")&gt;0,"","NO EXEMPTION"))),"")</f>
        <v/>
      </c>
    </row>
    <row r="1892" spans="46:54" x14ac:dyDescent="0.25">
      <c r="AT1892" s="2" t="str">
        <f>IF($L1892="","",IFERROR(INDEX('AR SALES'!$H$2:$H$2501,MATCH(""&amp;$L1892,'AR SALES'!$AE$2:$AE$2501,0)),""))</f>
        <v/>
      </c>
      <c r="AU1892" s="2" t="str">
        <f t="shared" si="116"/>
        <v/>
      </c>
      <c r="AV1892" s="2" t="str">
        <f t="shared" si="117"/>
        <v/>
      </c>
      <c r="AW1892" s="2" t="str">
        <f t="shared" si="118"/>
        <v/>
      </c>
      <c r="AX1892" s="2" t="str">
        <f t="shared" si="119"/>
        <v/>
      </c>
      <c r="AY1892" s="2" t="str">
        <f>IF($AV1892="","",IF(AND($Z1892=0,COUNTIF('AR SALES'!$L$2:$L$2501,$L1892)=0),"YES",""))</f>
        <v/>
      </c>
      <c r="AZ1892" s="2" t="str">
        <f>IF($AV1892="","",IF(COUNTIF(LISTS!$C$2:$C$250,$AU1892)=0,"NEW",""))</f>
        <v/>
      </c>
      <c r="BA1892" s="2" t="str">
        <f>IF(""&amp;$F1892&lt;&gt;"4","",IF($AY1892="YES","",IF(ROUND(SUMIFS($AE$2:$AE$4001,$L$2:$L$4001,$L1892,$F$2:$F$4001,"4")-SUMIFS('AR SALES'!$Y$2:$Y$2501,'AR SALES'!$L$2:$L$2501,$L1892,'AR SALES'!$AD$2:$AD$2501,"OFF"),2)=0,"","STALE")))</f>
        <v/>
      </c>
      <c r="BB1892" s="2" t="str">
        <f>IF(OR(""&amp;$F1892="2",""&amp;$F1892="4",""&amp;$F1892="G",""&amp;$F1892="H"),IF($AY1892="YES","",IF($AB1892&lt;&gt;0,"",IF(COUNTIFS('AR SALES'!$L$2:$L$2501,$L1892,'AR SALES'!$AD$2:$AD$2501,IF(""&amp;$F1892="4","OFF","ON"),'AR SALES'!$AF$2:$AF$2501,"Y")&gt;0,"","NO EXEMPTION"))),"")</f>
        <v/>
      </c>
    </row>
    <row r="1893" spans="46:54" x14ac:dyDescent="0.25">
      <c r="AT1893" s="2" t="str">
        <f>IF($L1893="","",IFERROR(INDEX('AR SALES'!$H$2:$H$2501,MATCH(""&amp;$L1893,'AR SALES'!$AE$2:$AE$2501,0)),""))</f>
        <v/>
      </c>
      <c r="AU1893" s="2" t="str">
        <f t="shared" si="116"/>
        <v/>
      </c>
      <c r="AV1893" s="2" t="str">
        <f t="shared" si="117"/>
        <v/>
      </c>
      <c r="AW1893" s="2" t="str">
        <f t="shared" si="118"/>
        <v/>
      </c>
      <c r="AX1893" s="2" t="str">
        <f t="shared" si="119"/>
        <v/>
      </c>
      <c r="AY1893" s="2" t="str">
        <f>IF($AV1893="","",IF(AND($Z1893=0,COUNTIF('AR SALES'!$L$2:$L$2501,$L1893)=0),"YES",""))</f>
        <v/>
      </c>
      <c r="AZ1893" s="2" t="str">
        <f>IF($AV1893="","",IF(COUNTIF(LISTS!$C$2:$C$250,$AU1893)=0,"NEW",""))</f>
        <v/>
      </c>
      <c r="BA1893" s="2" t="str">
        <f>IF(""&amp;$F1893&lt;&gt;"4","",IF($AY1893="YES","",IF(ROUND(SUMIFS($AE$2:$AE$4001,$L$2:$L$4001,$L1893,$F$2:$F$4001,"4")-SUMIFS('AR SALES'!$Y$2:$Y$2501,'AR SALES'!$L$2:$L$2501,$L1893,'AR SALES'!$AD$2:$AD$2501,"OFF"),2)=0,"","STALE")))</f>
        <v/>
      </c>
      <c r="BB1893" s="2" t="str">
        <f>IF(OR(""&amp;$F1893="2",""&amp;$F1893="4",""&amp;$F1893="G",""&amp;$F1893="H"),IF($AY1893="YES","",IF($AB1893&lt;&gt;0,"",IF(COUNTIFS('AR SALES'!$L$2:$L$2501,$L1893,'AR SALES'!$AD$2:$AD$2501,IF(""&amp;$F1893="4","OFF","ON"),'AR SALES'!$AF$2:$AF$2501,"Y")&gt;0,"","NO EXEMPTION"))),"")</f>
        <v/>
      </c>
    </row>
    <row r="1894" spans="46:54" x14ac:dyDescent="0.25">
      <c r="AT1894" s="2" t="str">
        <f>IF($L1894="","",IFERROR(INDEX('AR SALES'!$H$2:$H$2501,MATCH(""&amp;$L1894,'AR SALES'!$AE$2:$AE$2501,0)),""))</f>
        <v/>
      </c>
      <c r="AU1894" s="2" t="str">
        <f t="shared" si="116"/>
        <v/>
      </c>
      <c r="AV1894" s="2" t="str">
        <f t="shared" si="117"/>
        <v/>
      </c>
      <c r="AW1894" s="2" t="str">
        <f t="shared" si="118"/>
        <v/>
      </c>
      <c r="AX1894" s="2" t="str">
        <f t="shared" si="119"/>
        <v/>
      </c>
      <c r="AY1894" s="2" t="str">
        <f>IF($AV1894="","",IF(AND($Z1894=0,COUNTIF('AR SALES'!$L$2:$L$2501,$L1894)=0),"YES",""))</f>
        <v/>
      </c>
      <c r="AZ1894" s="2" t="str">
        <f>IF($AV1894="","",IF(COUNTIF(LISTS!$C$2:$C$250,$AU1894)=0,"NEW",""))</f>
        <v/>
      </c>
      <c r="BA1894" s="2" t="str">
        <f>IF(""&amp;$F1894&lt;&gt;"4","",IF($AY1894="YES","",IF(ROUND(SUMIFS($AE$2:$AE$4001,$L$2:$L$4001,$L1894,$F$2:$F$4001,"4")-SUMIFS('AR SALES'!$Y$2:$Y$2501,'AR SALES'!$L$2:$L$2501,$L1894,'AR SALES'!$AD$2:$AD$2501,"OFF"),2)=0,"","STALE")))</f>
        <v/>
      </c>
      <c r="BB1894" s="2" t="str">
        <f>IF(OR(""&amp;$F1894="2",""&amp;$F1894="4",""&amp;$F1894="G",""&amp;$F1894="H"),IF($AY1894="YES","",IF($AB1894&lt;&gt;0,"",IF(COUNTIFS('AR SALES'!$L$2:$L$2501,$L1894,'AR SALES'!$AD$2:$AD$2501,IF(""&amp;$F1894="4","OFF","ON"),'AR SALES'!$AF$2:$AF$2501,"Y")&gt;0,"","NO EXEMPTION"))),"")</f>
        <v/>
      </c>
    </row>
    <row r="1895" spans="46:54" x14ac:dyDescent="0.25">
      <c r="AT1895" s="2" t="str">
        <f>IF($L1895="","",IFERROR(INDEX('AR SALES'!$H$2:$H$2501,MATCH(""&amp;$L1895,'AR SALES'!$AE$2:$AE$2501,0)),""))</f>
        <v/>
      </c>
      <c r="AU1895" s="2" t="str">
        <f t="shared" si="116"/>
        <v/>
      </c>
      <c r="AV1895" s="2" t="str">
        <f t="shared" si="117"/>
        <v/>
      </c>
      <c r="AW1895" s="2" t="str">
        <f t="shared" si="118"/>
        <v/>
      </c>
      <c r="AX1895" s="2" t="str">
        <f t="shared" si="119"/>
        <v/>
      </c>
      <c r="AY1895" s="2" t="str">
        <f>IF($AV1895="","",IF(AND($Z1895=0,COUNTIF('AR SALES'!$L$2:$L$2501,$L1895)=0),"YES",""))</f>
        <v/>
      </c>
      <c r="AZ1895" s="2" t="str">
        <f>IF($AV1895="","",IF(COUNTIF(LISTS!$C$2:$C$250,$AU1895)=0,"NEW",""))</f>
        <v/>
      </c>
      <c r="BA1895" s="2" t="str">
        <f>IF(""&amp;$F1895&lt;&gt;"4","",IF($AY1895="YES","",IF(ROUND(SUMIFS($AE$2:$AE$4001,$L$2:$L$4001,$L1895,$F$2:$F$4001,"4")-SUMIFS('AR SALES'!$Y$2:$Y$2501,'AR SALES'!$L$2:$L$2501,$L1895,'AR SALES'!$AD$2:$AD$2501,"OFF"),2)=0,"","STALE")))</f>
        <v/>
      </c>
      <c r="BB1895" s="2" t="str">
        <f>IF(OR(""&amp;$F1895="2",""&amp;$F1895="4",""&amp;$F1895="G",""&amp;$F1895="H"),IF($AY1895="YES","",IF($AB1895&lt;&gt;0,"",IF(COUNTIFS('AR SALES'!$L$2:$L$2501,$L1895,'AR SALES'!$AD$2:$AD$2501,IF(""&amp;$F1895="4","OFF","ON"),'AR SALES'!$AF$2:$AF$2501,"Y")&gt;0,"","NO EXEMPTION"))),"")</f>
        <v/>
      </c>
    </row>
    <row r="1896" spans="46:54" x14ac:dyDescent="0.25">
      <c r="AT1896" s="2" t="str">
        <f>IF($L1896="","",IFERROR(INDEX('AR SALES'!$H$2:$H$2501,MATCH(""&amp;$L1896,'AR SALES'!$AE$2:$AE$2501,0)),""))</f>
        <v/>
      </c>
      <c r="AU1896" s="2" t="str">
        <f t="shared" si="116"/>
        <v/>
      </c>
      <c r="AV1896" s="2" t="str">
        <f t="shared" si="117"/>
        <v/>
      </c>
      <c r="AW1896" s="2" t="str">
        <f t="shared" si="118"/>
        <v/>
      </c>
      <c r="AX1896" s="2" t="str">
        <f t="shared" si="119"/>
        <v/>
      </c>
      <c r="AY1896" s="2" t="str">
        <f>IF($AV1896="","",IF(AND($Z1896=0,COUNTIF('AR SALES'!$L$2:$L$2501,$L1896)=0),"YES",""))</f>
        <v/>
      </c>
      <c r="AZ1896" s="2" t="str">
        <f>IF($AV1896="","",IF(COUNTIF(LISTS!$C$2:$C$250,$AU1896)=0,"NEW",""))</f>
        <v/>
      </c>
      <c r="BA1896" s="2" t="str">
        <f>IF(""&amp;$F1896&lt;&gt;"4","",IF($AY1896="YES","",IF(ROUND(SUMIFS($AE$2:$AE$4001,$L$2:$L$4001,$L1896,$F$2:$F$4001,"4")-SUMIFS('AR SALES'!$Y$2:$Y$2501,'AR SALES'!$L$2:$L$2501,$L1896,'AR SALES'!$AD$2:$AD$2501,"OFF"),2)=0,"","STALE")))</f>
        <v/>
      </c>
      <c r="BB1896" s="2" t="str">
        <f>IF(OR(""&amp;$F1896="2",""&amp;$F1896="4",""&amp;$F1896="G",""&amp;$F1896="H"),IF($AY1896="YES","",IF($AB1896&lt;&gt;0,"",IF(COUNTIFS('AR SALES'!$L$2:$L$2501,$L1896,'AR SALES'!$AD$2:$AD$2501,IF(""&amp;$F1896="4","OFF","ON"),'AR SALES'!$AF$2:$AF$2501,"Y")&gt;0,"","NO EXEMPTION"))),"")</f>
        <v/>
      </c>
    </row>
    <row r="1897" spans="46:54" x14ac:dyDescent="0.25">
      <c r="AT1897" s="2" t="str">
        <f>IF($L1897="","",IFERROR(INDEX('AR SALES'!$H$2:$H$2501,MATCH(""&amp;$L1897,'AR SALES'!$AE$2:$AE$2501,0)),""))</f>
        <v/>
      </c>
      <c r="AU1897" s="2" t="str">
        <f t="shared" si="116"/>
        <v/>
      </c>
      <c r="AV1897" s="2" t="str">
        <f t="shared" si="117"/>
        <v/>
      </c>
      <c r="AW1897" s="2" t="str">
        <f t="shared" si="118"/>
        <v/>
      </c>
      <c r="AX1897" s="2" t="str">
        <f t="shared" si="119"/>
        <v/>
      </c>
      <c r="AY1897" s="2" t="str">
        <f>IF($AV1897="","",IF(AND($Z1897=0,COUNTIF('AR SALES'!$L$2:$L$2501,$L1897)=0),"YES",""))</f>
        <v/>
      </c>
      <c r="AZ1897" s="2" t="str">
        <f>IF($AV1897="","",IF(COUNTIF(LISTS!$C$2:$C$250,$AU1897)=0,"NEW",""))</f>
        <v/>
      </c>
      <c r="BA1897" s="2" t="str">
        <f>IF(""&amp;$F1897&lt;&gt;"4","",IF($AY1897="YES","",IF(ROUND(SUMIFS($AE$2:$AE$4001,$L$2:$L$4001,$L1897,$F$2:$F$4001,"4")-SUMIFS('AR SALES'!$Y$2:$Y$2501,'AR SALES'!$L$2:$L$2501,$L1897,'AR SALES'!$AD$2:$AD$2501,"OFF"),2)=0,"","STALE")))</f>
        <v/>
      </c>
      <c r="BB1897" s="2" t="str">
        <f>IF(OR(""&amp;$F1897="2",""&amp;$F1897="4",""&amp;$F1897="G",""&amp;$F1897="H"),IF($AY1897="YES","",IF($AB1897&lt;&gt;0,"",IF(COUNTIFS('AR SALES'!$L$2:$L$2501,$L1897,'AR SALES'!$AD$2:$AD$2501,IF(""&amp;$F1897="4","OFF","ON"),'AR SALES'!$AF$2:$AF$2501,"Y")&gt;0,"","NO EXEMPTION"))),"")</f>
        <v/>
      </c>
    </row>
    <row r="1898" spans="46:54" x14ac:dyDescent="0.25">
      <c r="AT1898" s="2" t="str">
        <f>IF($L1898="","",IFERROR(INDEX('AR SALES'!$H$2:$H$2501,MATCH(""&amp;$L1898,'AR SALES'!$AE$2:$AE$2501,0)),""))</f>
        <v/>
      </c>
      <c r="AU1898" s="2" t="str">
        <f t="shared" si="116"/>
        <v/>
      </c>
      <c r="AV1898" s="2" t="str">
        <f t="shared" si="117"/>
        <v/>
      </c>
      <c r="AW1898" s="2" t="str">
        <f t="shared" si="118"/>
        <v/>
      </c>
      <c r="AX1898" s="2" t="str">
        <f t="shared" si="119"/>
        <v/>
      </c>
      <c r="AY1898" s="2" t="str">
        <f>IF($AV1898="","",IF(AND($Z1898=0,COUNTIF('AR SALES'!$L$2:$L$2501,$L1898)=0),"YES",""))</f>
        <v/>
      </c>
      <c r="AZ1898" s="2" t="str">
        <f>IF($AV1898="","",IF(COUNTIF(LISTS!$C$2:$C$250,$AU1898)=0,"NEW",""))</f>
        <v/>
      </c>
      <c r="BA1898" s="2" t="str">
        <f>IF(""&amp;$F1898&lt;&gt;"4","",IF($AY1898="YES","",IF(ROUND(SUMIFS($AE$2:$AE$4001,$L$2:$L$4001,$L1898,$F$2:$F$4001,"4")-SUMIFS('AR SALES'!$Y$2:$Y$2501,'AR SALES'!$L$2:$L$2501,$L1898,'AR SALES'!$AD$2:$AD$2501,"OFF"),2)=0,"","STALE")))</f>
        <v/>
      </c>
      <c r="BB1898" s="2" t="str">
        <f>IF(OR(""&amp;$F1898="2",""&amp;$F1898="4",""&amp;$F1898="G",""&amp;$F1898="H"),IF($AY1898="YES","",IF($AB1898&lt;&gt;0,"",IF(COUNTIFS('AR SALES'!$L$2:$L$2501,$L1898,'AR SALES'!$AD$2:$AD$2501,IF(""&amp;$F1898="4","OFF","ON"),'AR SALES'!$AF$2:$AF$2501,"Y")&gt;0,"","NO EXEMPTION"))),"")</f>
        <v/>
      </c>
    </row>
    <row r="1899" spans="46:54" x14ac:dyDescent="0.25">
      <c r="AT1899" s="2" t="str">
        <f>IF($L1899="","",IFERROR(INDEX('AR SALES'!$H$2:$H$2501,MATCH(""&amp;$L1899,'AR SALES'!$AE$2:$AE$2501,0)),""))</f>
        <v/>
      </c>
      <c r="AU1899" s="2" t="str">
        <f t="shared" si="116"/>
        <v/>
      </c>
      <c r="AV1899" s="2" t="str">
        <f t="shared" si="117"/>
        <v/>
      </c>
      <c r="AW1899" s="2" t="str">
        <f t="shared" si="118"/>
        <v/>
      </c>
      <c r="AX1899" s="2" t="str">
        <f t="shared" si="119"/>
        <v/>
      </c>
      <c r="AY1899" s="2" t="str">
        <f>IF($AV1899="","",IF(AND($Z1899=0,COUNTIF('AR SALES'!$L$2:$L$2501,$L1899)=0),"YES",""))</f>
        <v/>
      </c>
      <c r="AZ1899" s="2" t="str">
        <f>IF($AV1899="","",IF(COUNTIF(LISTS!$C$2:$C$250,$AU1899)=0,"NEW",""))</f>
        <v/>
      </c>
      <c r="BA1899" s="2" t="str">
        <f>IF(""&amp;$F1899&lt;&gt;"4","",IF($AY1899="YES","",IF(ROUND(SUMIFS($AE$2:$AE$4001,$L$2:$L$4001,$L1899,$F$2:$F$4001,"4")-SUMIFS('AR SALES'!$Y$2:$Y$2501,'AR SALES'!$L$2:$L$2501,$L1899,'AR SALES'!$AD$2:$AD$2501,"OFF"),2)=0,"","STALE")))</f>
        <v/>
      </c>
      <c r="BB1899" s="2" t="str">
        <f>IF(OR(""&amp;$F1899="2",""&amp;$F1899="4",""&amp;$F1899="G",""&amp;$F1899="H"),IF($AY1899="YES","",IF($AB1899&lt;&gt;0,"",IF(COUNTIFS('AR SALES'!$L$2:$L$2501,$L1899,'AR SALES'!$AD$2:$AD$2501,IF(""&amp;$F1899="4","OFF","ON"),'AR SALES'!$AF$2:$AF$2501,"Y")&gt;0,"","NO EXEMPTION"))),"")</f>
        <v/>
      </c>
    </row>
    <row r="1900" spans="46:54" x14ac:dyDescent="0.25">
      <c r="AT1900" s="2" t="str">
        <f>IF($L1900="","",IFERROR(INDEX('AR SALES'!$H$2:$H$2501,MATCH(""&amp;$L1900,'AR SALES'!$AE$2:$AE$2501,0)),""))</f>
        <v/>
      </c>
      <c r="AU1900" s="2" t="str">
        <f t="shared" si="116"/>
        <v/>
      </c>
      <c r="AV1900" s="2" t="str">
        <f t="shared" si="117"/>
        <v/>
      </c>
      <c r="AW1900" s="2" t="str">
        <f t="shared" si="118"/>
        <v/>
      </c>
      <c r="AX1900" s="2" t="str">
        <f t="shared" si="119"/>
        <v/>
      </c>
      <c r="AY1900" s="2" t="str">
        <f>IF($AV1900="","",IF(AND($Z1900=0,COUNTIF('AR SALES'!$L$2:$L$2501,$L1900)=0),"YES",""))</f>
        <v/>
      </c>
      <c r="AZ1900" s="2" t="str">
        <f>IF($AV1900="","",IF(COUNTIF(LISTS!$C$2:$C$250,$AU1900)=0,"NEW",""))</f>
        <v/>
      </c>
      <c r="BA1900" s="2" t="str">
        <f>IF(""&amp;$F1900&lt;&gt;"4","",IF($AY1900="YES","",IF(ROUND(SUMIFS($AE$2:$AE$4001,$L$2:$L$4001,$L1900,$F$2:$F$4001,"4")-SUMIFS('AR SALES'!$Y$2:$Y$2501,'AR SALES'!$L$2:$L$2501,$L1900,'AR SALES'!$AD$2:$AD$2501,"OFF"),2)=0,"","STALE")))</f>
        <v/>
      </c>
      <c r="BB1900" s="2" t="str">
        <f>IF(OR(""&amp;$F1900="2",""&amp;$F1900="4",""&amp;$F1900="G",""&amp;$F1900="H"),IF($AY1900="YES","",IF($AB1900&lt;&gt;0,"",IF(COUNTIFS('AR SALES'!$L$2:$L$2501,$L1900,'AR SALES'!$AD$2:$AD$2501,IF(""&amp;$F1900="4","OFF","ON"),'AR SALES'!$AF$2:$AF$2501,"Y")&gt;0,"","NO EXEMPTION"))),"")</f>
        <v/>
      </c>
    </row>
    <row r="1901" spans="46:54" x14ac:dyDescent="0.25">
      <c r="AT1901" s="2" t="str">
        <f>IF($L1901="","",IFERROR(INDEX('AR SALES'!$H$2:$H$2501,MATCH(""&amp;$L1901,'AR SALES'!$AE$2:$AE$2501,0)),""))</f>
        <v/>
      </c>
      <c r="AU1901" s="2" t="str">
        <f t="shared" si="116"/>
        <v/>
      </c>
      <c r="AV1901" s="2" t="str">
        <f t="shared" si="117"/>
        <v/>
      </c>
      <c r="AW1901" s="2" t="str">
        <f t="shared" si="118"/>
        <v/>
      </c>
      <c r="AX1901" s="2" t="str">
        <f t="shared" si="119"/>
        <v/>
      </c>
      <c r="AY1901" s="2" t="str">
        <f>IF($AV1901="","",IF(AND($Z1901=0,COUNTIF('AR SALES'!$L$2:$L$2501,$L1901)=0),"YES",""))</f>
        <v/>
      </c>
      <c r="AZ1901" s="2" t="str">
        <f>IF($AV1901="","",IF(COUNTIF(LISTS!$C$2:$C$250,$AU1901)=0,"NEW",""))</f>
        <v/>
      </c>
      <c r="BA1901" s="2" t="str">
        <f>IF(""&amp;$F1901&lt;&gt;"4","",IF($AY1901="YES","",IF(ROUND(SUMIFS($AE$2:$AE$4001,$L$2:$L$4001,$L1901,$F$2:$F$4001,"4")-SUMIFS('AR SALES'!$Y$2:$Y$2501,'AR SALES'!$L$2:$L$2501,$L1901,'AR SALES'!$AD$2:$AD$2501,"OFF"),2)=0,"","STALE")))</f>
        <v/>
      </c>
      <c r="BB1901" s="2" t="str">
        <f>IF(OR(""&amp;$F1901="2",""&amp;$F1901="4",""&amp;$F1901="G",""&amp;$F1901="H"),IF($AY1901="YES","",IF($AB1901&lt;&gt;0,"",IF(COUNTIFS('AR SALES'!$L$2:$L$2501,$L1901,'AR SALES'!$AD$2:$AD$2501,IF(""&amp;$F1901="4","OFF","ON"),'AR SALES'!$AF$2:$AF$2501,"Y")&gt;0,"","NO EXEMPTION"))),"")</f>
        <v/>
      </c>
    </row>
    <row r="1902" spans="46:54" x14ac:dyDescent="0.25">
      <c r="AT1902" s="2" t="str">
        <f>IF($L1902="","",IFERROR(INDEX('AR SALES'!$H$2:$H$2501,MATCH(""&amp;$L1902,'AR SALES'!$AE$2:$AE$2501,0)),""))</f>
        <v/>
      </c>
      <c r="AU1902" s="2" t="str">
        <f t="shared" si="116"/>
        <v/>
      </c>
      <c r="AV1902" s="2" t="str">
        <f t="shared" si="117"/>
        <v/>
      </c>
      <c r="AW1902" s="2" t="str">
        <f t="shared" si="118"/>
        <v/>
      </c>
      <c r="AX1902" s="2" t="str">
        <f t="shared" si="119"/>
        <v/>
      </c>
      <c r="AY1902" s="2" t="str">
        <f>IF($AV1902="","",IF(AND($Z1902=0,COUNTIF('AR SALES'!$L$2:$L$2501,$L1902)=0),"YES",""))</f>
        <v/>
      </c>
      <c r="AZ1902" s="2" t="str">
        <f>IF($AV1902="","",IF(COUNTIF(LISTS!$C$2:$C$250,$AU1902)=0,"NEW",""))</f>
        <v/>
      </c>
      <c r="BA1902" s="2" t="str">
        <f>IF(""&amp;$F1902&lt;&gt;"4","",IF($AY1902="YES","",IF(ROUND(SUMIFS($AE$2:$AE$4001,$L$2:$L$4001,$L1902,$F$2:$F$4001,"4")-SUMIFS('AR SALES'!$Y$2:$Y$2501,'AR SALES'!$L$2:$L$2501,$L1902,'AR SALES'!$AD$2:$AD$2501,"OFF"),2)=0,"","STALE")))</f>
        <v/>
      </c>
      <c r="BB1902" s="2" t="str">
        <f>IF(OR(""&amp;$F1902="2",""&amp;$F1902="4",""&amp;$F1902="G",""&amp;$F1902="H"),IF($AY1902="YES","",IF($AB1902&lt;&gt;0,"",IF(COUNTIFS('AR SALES'!$L$2:$L$2501,$L1902,'AR SALES'!$AD$2:$AD$2501,IF(""&amp;$F1902="4","OFF","ON"),'AR SALES'!$AF$2:$AF$2501,"Y")&gt;0,"","NO EXEMPTION"))),"")</f>
        <v/>
      </c>
    </row>
    <row r="1903" spans="46:54" x14ac:dyDescent="0.25">
      <c r="AT1903" s="2" t="str">
        <f>IF($L1903="","",IFERROR(INDEX('AR SALES'!$H$2:$H$2501,MATCH(""&amp;$L1903,'AR SALES'!$AE$2:$AE$2501,0)),""))</f>
        <v/>
      </c>
      <c r="AU1903" s="2" t="str">
        <f t="shared" si="116"/>
        <v/>
      </c>
      <c r="AV1903" s="2" t="str">
        <f t="shared" si="117"/>
        <v/>
      </c>
      <c r="AW1903" s="2" t="str">
        <f t="shared" si="118"/>
        <v/>
      </c>
      <c r="AX1903" s="2" t="str">
        <f t="shared" si="119"/>
        <v/>
      </c>
      <c r="AY1903" s="2" t="str">
        <f>IF($AV1903="","",IF(AND($Z1903=0,COUNTIF('AR SALES'!$L$2:$L$2501,$L1903)=0),"YES",""))</f>
        <v/>
      </c>
      <c r="AZ1903" s="2" t="str">
        <f>IF($AV1903="","",IF(COUNTIF(LISTS!$C$2:$C$250,$AU1903)=0,"NEW",""))</f>
        <v/>
      </c>
      <c r="BA1903" s="2" t="str">
        <f>IF(""&amp;$F1903&lt;&gt;"4","",IF($AY1903="YES","",IF(ROUND(SUMIFS($AE$2:$AE$4001,$L$2:$L$4001,$L1903,$F$2:$F$4001,"4")-SUMIFS('AR SALES'!$Y$2:$Y$2501,'AR SALES'!$L$2:$L$2501,$L1903,'AR SALES'!$AD$2:$AD$2501,"OFF"),2)=0,"","STALE")))</f>
        <v/>
      </c>
      <c r="BB1903" s="2" t="str">
        <f>IF(OR(""&amp;$F1903="2",""&amp;$F1903="4",""&amp;$F1903="G",""&amp;$F1903="H"),IF($AY1903="YES","",IF($AB1903&lt;&gt;0,"",IF(COUNTIFS('AR SALES'!$L$2:$L$2501,$L1903,'AR SALES'!$AD$2:$AD$2501,IF(""&amp;$F1903="4","OFF","ON"),'AR SALES'!$AF$2:$AF$2501,"Y")&gt;0,"","NO EXEMPTION"))),"")</f>
        <v/>
      </c>
    </row>
    <row r="1904" spans="46:54" x14ac:dyDescent="0.25">
      <c r="AT1904" s="2" t="str">
        <f>IF($L1904="","",IFERROR(INDEX('AR SALES'!$H$2:$H$2501,MATCH(""&amp;$L1904,'AR SALES'!$AE$2:$AE$2501,0)),""))</f>
        <v/>
      </c>
      <c r="AU1904" s="2" t="str">
        <f t="shared" si="116"/>
        <v/>
      </c>
      <c r="AV1904" s="2" t="str">
        <f t="shared" si="117"/>
        <v/>
      </c>
      <c r="AW1904" s="2" t="str">
        <f t="shared" si="118"/>
        <v/>
      </c>
      <c r="AX1904" s="2" t="str">
        <f t="shared" si="119"/>
        <v/>
      </c>
      <c r="AY1904" s="2" t="str">
        <f>IF($AV1904="","",IF(AND($Z1904=0,COUNTIF('AR SALES'!$L$2:$L$2501,$L1904)=0),"YES",""))</f>
        <v/>
      </c>
      <c r="AZ1904" s="2" t="str">
        <f>IF($AV1904="","",IF(COUNTIF(LISTS!$C$2:$C$250,$AU1904)=0,"NEW",""))</f>
        <v/>
      </c>
      <c r="BA1904" s="2" t="str">
        <f>IF(""&amp;$F1904&lt;&gt;"4","",IF($AY1904="YES","",IF(ROUND(SUMIFS($AE$2:$AE$4001,$L$2:$L$4001,$L1904,$F$2:$F$4001,"4")-SUMIFS('AR SALES'!$Y$2:$Y$2501,'AR SALES'!$L$2:$L$2501,$L1904,'AR SALES'!$AD$2:$AD$2501,"OFF"),2)=0,"","STALE")))</f>
        <v/>
      </c>
      <c r="BB1904" s="2" t="str">
        <f>IF(OR(""&amp;$F1904="2",""&amp;$F1904="4",""&amp;$F1904="G",""&amp;$F1904="H"),IF($AY1904="YES","",IF($AB1904&lt;&gt;0,"",IF(COUNTIFS('AR SALES'!$L$2:$L$2501,$L1904,'AR SALES'!$AD$2:$AD$2501,IF(""&amp;$F1904="4","OFF","ON"),'AR SALES'!$AF$2:$AF$2501,"Y")&gt;0,"","NO EXEMPTION"))),"")</f>
        <v/>
      </c>
    </row>
    <row r="1905" spans="46:54" x14ac:dyDescent="0.25">
      <c r="AT1905" s="2" t="str">
        <f>IF($L1905="","",IFERROR(INDEX('AR SALES'!$H$2:$H$2501,MATCH(""&amp;$L1905,'AR SALES'!$AE$2:$AE$2501,0)),""))</f>
        <v/>
      </c>
      <c r="AU1905" s="2" t="str">
        <f t="shared" si="116"/>
        <v/>
      </c>
      <c r="AV1905" s="2" t="str">
        <f t="shared" si="117"/>
        <v/>
      </c>
      <c r="AW1905" s="2" t="str">
        <f t="shared" si="118"/>
        <v/>
      </c>
      <c r="AX1905" s="2" t="str">
        <f t="shared" si="119"/>
        <v/>
      </c>
      <c r="AY1905" s="2" t="str">
        <f>IF($AV1905="","",IF(AND($Z1905=0,COUNTIF('AR SALES'!$L$2:$L$2501,$L1905)=0),"YES",""))</f>
        <v/>
      </c>
      <c r="AZ1905" s="2" t="str">
        <f>IF($AV1905="","",IF(COUNTIF(LISTS!$C$2:$C$250,$AU1905)=0,"NEW",""))</f>
        <v/>
      </c>
      <c r="BA1905" s="2" t="str">
        <f>IF(""&amp;$F1905&lt;&gt;"4","",IF($AY1905="YES","",IF(ROUND(SUMIFS($AE$2:$AE$4001,$L$2:$L$4001,$L1905,$F$2:$F$4001,"4")-SUMIFS('AR SALES'!$Y$2:$Y$2501,'AR SALES'!$L$2:$L$2501,$L1905,'AR SALES'!$AD$2:$AD$2501,"OFF"),2)=0,"","STALE")))</f>
        <v/>
      </c>
      <c r="BB1905" s="2" t="str">
        <f>IF(OR(""&amp;$F1905="2",""&amp;$F1905="4",""&amp;$F1905="G",""&amp;$F1905="H"),IF($AY1905="YES","",IF($AB1905&lt;&gt;0,"",IF(COUNTIFS('AR SALES'!$L$2:$L$2501,$L1905,'AR SALES'!$AD$2:$AD$2501,IF(""&amp;$F1905="4","OFF","ON"),'AR SALES'!$AF$2:$AF$2501,"Y")&gt;0,"","NO EXEMPTION"))),"")</f>
        <v/>
      </c>
    </row>
    <row r="1906" spans="46:54" x14ac:dyDescent="0.25">
      <c r="AT1906" s="2" t="str">
        <f>IF($L1906="","",IFERROR(INDEX('AR SALES'!$H$2:$H$2501,MATCH(""&amp;$L1906,'AR SALES'!$AE$2:$AE$2501,0)),""))</f>
        <v/>
      </c>
      <c r="AU1906" s="2" t="str">
        <f t="shared" si="116"/>
        <v/>
      </c>
      <c r="AV1906" s="2" t="str">
        <f t="shared" si="117"/>
        <v/>
      </c>
      <c r="AW1906" s="2" t="str">
        <f t="shared" si="118"/>
        <v/>
      </c>
      <c r="AX1906" s="2" t="str">
        <f t="shared" si="119"/>
        <v/>
      </c>
      <c r="AY1906" s="2" t="str">
        <f>IF($AV1906="","",IF(AND($Z1906=0,COUNTIF('AR SALES'!$L$2:$L$2501,$L1906)=0),"YES",""))</f>
        <v/>
      </c>
      <c r="AZ1906" s="2" t="str">
        <f>IF($AV1906="","",IF(COUNTIF(LISTS!$C$2:$C$250,$AU1906)=0,"NEW",""))</f>
        <v/>
      </c>
      <c r="BA1906" s="2" t="str">
        <f>IF(""&amp;$F1906&lt;&gt;"4","",IF($AY1906="YES","",IF(ROUND(SUMIFS($AE$2:$AE$4001,$L$2:$L$4001,$L1906,$F$2:$F$4001,"4")-SUMIFS('AR SALES'!$Y$2:$Y$2501,'AR SALES'!$L$2:$L$2501,$L1906,'AR SALES'!$AD$2:$AD$2501,"OFF"),2)=0,"","STALE")))</f>
        <v/>
      </c>
      <c r="BB1906" s="2" t="str">
        <f>IF(OR(""&amp;$F1906="2",""&amp;$F1906="4",""&amp;$F1906="G",""&amp;$F1906="H"),IF($AY1906="YES","",IF($AB1906&lt;&gt;0,"",IF(COUNTIFS('AR SALES'!$L$2:$L$2501,$L1906,'AR SALES'!$AD$2:$AD$2501,IF(""&amp;$F1906="4","OFF","ON"),'AR SALES'!$AF$2:$AF$2501,"Y")&gt;0,"","NO EXEMPTION"))),"")</f>
        <v/>
      </c>
    </row>
    <row r="1907" spans="46:54" x14ac:dyDescent="0.25">
      <c r="AT1907" s="2" t="str">
        <f>IF($L1907="","",IFERROR(INDEX('AR SALES'!$H$2:$H$2501,MATCH(""&amp;$L1907,'AR SALES'!$AE$2:$AE$2501,0)),""))</f>
        <v/>
      </c>
      <c r="AU1907" s="2" t="str">
        <f t="shared" si="116"/>
        <v/>
      </c>
      <c r="AV1907" s="2" t="str">
        <f t="shared" si="117"/>
        <v/>
      </c>
      <c r="AW1907" s="2" t="str">
        <f t="shared" si="118"/>
        <v/>
      </c>
      <c r="AX1907" s="2" t="str">
        <f t="shared" si="119"/>
        <v/>
      </c>
      <c r="AY1907" s="2" t="str">
        <f>IF($AV1907="","",IF(AND($Z1907=0,COUNTIF('AR SALES'!$L$2:$L$2501,$L1907)=0),"YES",""))</f>
        <v/>
      </c>
      <c r="AZ1907" s="2" t="str">
        <f>IF($AV1907="","",IF(COUNTIF(LISTS!$C$2:$C$250,$AU1907)=0,"NEW",""))</f>
        <v/>
      </c>
      <c r="BA1907" s="2" t="str">
        <f>IF(""&amp;$F1907&lt;&gt;"4","",IF($AY1907="YES","",IF(ROUND(SUMIFS($AE$2:$AE$4001,$L$2:$L$4001,$L1907,$F$2:$F$4001,"4")-SUMIFS('AR SALES'!$Y$2:$Y$2501,'AR SALES'!$L$2:$L$2501,$L1907,'AR SALES'!$AD$2:$AD$2501,"OFF"),2)=0,"","STALE")))</f>
        <v/>
      </c>
      <c r="BB1907" s="2" t="str">
        <f>IF(OR(""&amp;$F1907="2",""&amp;$F1907="4",""&amp;$F1907="G",""&amp;$F1907="H"),IF($AY1907="YES","",IF($AB1907&lt;&gt;0,"",IF(COUNTIFS('AR SALES'!$L$2:$L$2501,$L1907,'AR SALES'!$AD$2:$AD$2501,IF(""&amp;$F1907="4","OFF","ON"),'AR SALES'!$AF$2:$AF$2501,"Y")&gt;0,"","NO EXEMPTION"))),"")</f>
        <v/>
      </c>
    </row>
    <row r="1908" spans="46:54" x14ac:dyDescent="0.25">
      <c r="AT1908" s="2" t="str">
        <f>IF($L1908="","",IFERROR(INDEX('AR SALES'!$H$2:$H$2501,MATCH(""&amp;$L1908,'AR SALES'!$AE$2:$AE$2501,0)),""))</f>
        <v/>
      </c>
      <c r="AU1908" s="2" t="str">
        <f t="shared" si="116"/>
        <v/>
      </c>
      <c r="AV1908" s="2" t="str">
        <f t="shared" si="117"/>
        <v/>
      </c>
      <c r="AW1908" s="2" t="str">
        <f t="shared" si="118"/>
        <v/>
      </c>
      <c r="AX1908" s="2" t="str">
        <f t="shared" si="119"/>
        <v/>
      </c>
      <c r="AY1908" s="2" t="str">
        <f>IF($AV1908="","",IF(AND($Z1908=0,COUNTIF('AR SALES'!$L$2:$L$2501,$L1908)=0),"YES",""))</f>
        <v/>
      </c>
      <c r="AZ1908" s="2" t="str">
        <f>IF($AV1908="","",IF(COUNTIF(LISTS!$C$2:$C$250,$AU1908)=0,"NEW",""))</f>
        <v/>
      </c>
      <c r="BA1908" s="2" t="str">
        <f>IF(""&amp;$F1908&lt;&gt;"4","",IF($AY1908="YES","",IF(ROUND(SUMIFS($AE$2:$AE$4001,$L$2:$L$4001,$L1908,$F$2:$F$4001,"4")-SUMIFS('AR SALES'!$Y$2:$Y$2501,'AR SALES'!$L$2:$L$2501,$L1908,'AR SALES'!$AD$2:$AD$2501,"OFF"),2)=0,"","STALE")))</f>
        <v/>
      </c>
      <c r="BB1908" s="2" t="str">
        <f>IF(OR(""&amp;$F1908="2",""&amp;$F1908="4",""&amp;$F1908="G",""&amp;$F1908="H"),IF($AY1908="YES","",IF($AB1908&lt;&gt;0,"",IF(COUNTIFS('AR SALES'!$L$2:$L$2501,$L1908,'AR SALES'!$AD$2:$AD$2501,IF(""&amp;$F1908="4","OFF","ON"),'AR SALES'!$AF$2:$AF$2501,"Y")&gt;0,"","NO EXEMPTION"))),"")</f>
        <v/>
      </c>
    </row>
    <row r="1909" spans="46:54" x14ac:dyDescent="0.25">
      <c r="AT1909" s="2" t="str">
        <f>IF($L1909="","",IFERROR(INDEX('AR SALES'!$H$2:$H$2501,MATCH(""&amp;$L1909,'AR SALES'!$AE$2:$AE$2501,0)),""))</f>
        <v/>
      </c>
      <c r="AU1909" s="2" t="str">
        <f t="shared" si="116"/>
        <v/>
      </c>
      <c r="AV1909" s="2" t="str">
        <f t="shared" si="117"/>
        <v/>
      </c>
      <c r="AW1909" s="2" t="str">
        <f t="shared" si="118"/>
        <v/>
      </c>
      <c r="AX1909" s="2" t="str">
        <f t="shared" si="119"/>
        <v/>
      </c>
      <c r="AY1909" s="2" t="str">
        <f>IF($AV1909="","",IF(AND($Z1909=0,COUNTIF('AR SALES'!$L$2:$L$2501,$L1909)=0),"YES",""))</f>
        <v/>
      </c>
      <c r="AZ1909" s="2" t="str">
        <f>IF($AV1909="","",IF(COUNTIF(LISTS!$C$2:$C$250,$AU1909)=0,"NEW",""))</f>
        <v/>
      </c>
      <c r="BA1909" s="2" t="str">
        <f>IF(""&amp;$F1909&lt;&gt;"4","",IF($AY1909="YES","",IF(ROUND(SUMIFS($AE$2:$AE$4001,$L$2:$L$4001,$L1909,$F$2:$F$4001,"4")-SUMIFS('AR SALES'!$Y$2:$Y$2501,'AR SALES'!$L$2:$L$2501,$L1909,'AR SALES'!$AD$2:$AD$2501,"OFF"),2)=0,"","STALE")))</f>
        <v/>
      </c>
      <c r="BB1909" s="2" t="str">
        <f>IF(OR(""&amp;$F1909="2",""&amp;$F1909="4",""&amp;$F1909="G",""&amp;$F1909="H"),IF($AY1909="YES","",IF($AB1909&lt;&gt;0,"",IF(COUNTIFS('AR SALES'!$L$2:$L$2501,$L1909,'AR SALES'!$AD$2:$AD$2501,IF(""&amp;$F1909="4","OFF","ON"),'AR SALES'!$AF$2:$AF$2501,"Y")&gt;0,"","NO EXEMPTION"))),"")</f>
        <v/>
      </c>
    </row>
    <row r="1910" spans="46:54" x14ac:dyDescent="0.25">
      <c r="AT1910" s="2" t="str">
        <f>IF($L1910="","",IFERROR(INDEX('AR SALES'!$H$2:$H$2501,MATCH(""&amp;$L1910,'AR SALES'!$AE$2:$AE$2501,0)),""))</f>
        <v/>
      </c>
      <c r="AU1910" s="2" t="str">
        <f t="shared" si="116"/>
        <v/>
      </c>
      <c r="AV1910" s="2" t="str">
        <f t="shared" si="117"/>
        <v/>
      </c>
      <c r="AW1910" s="2" t="str">
        <f t="shared" si="118"/>
        <v/>
      </c>
      <c r="AX1910" s="2" t="str">
        <f t="shared" si="119"/>
        <v/>
      </c>
      <c r="AY1910" s="2" t="str">
        <f>IF($AV1910="","",IF(AND($Z1910=0,COUNTIF('AR SALES'!$L$2:$L$2501,$L1910)=0),"YES",""))</f>
        <v/>
      </c>
      <c r="AZ1910" s="2" t="str">
        <f>IF($AV1910="","",IF(COUNTIF(LISTS!$C$2:$C$250,$AU1910)=0,"NEW",""))</f>
        <v/>
      </c>
      <c r="BA1910" s="2" t="str">
        <f>IF(""&amp;$F1910&lt;&gt;"4","",IF($AY1910="YES","",IF(ROUND(SUMIFS($AE$2:$AE$4001,$L$2:$L$4001,$L1910,$F$2:$F$4001,"4")-SUMIFS('AR SALES'!$Y$2:$Y$2501,'AR SALES'!$L$2:$L$2501,$L1910,'AR SALES'!$AD$2:$AD$2501,"OFF"),2)=0,"","STALE")))</f>
        <v/>
      </c>
      <c r="BB1910" s="2" t="str">
        <f>IF(OR(""&amp;$F1910="2",""&amp;$F1910="4",""&amp;$F1910="G",""&amp;$F1910="H"),IF($AY1910="YES","",IF($AB1910&lt;&gt;0,"",IF(COUNTIFS('AR SALES'!$L$2:$L$2501,$L1910,'AR SALES'!$AD$2:$AD$2501,IF(""&amp;$F1910="4","OFF","ON"),'AR SALES'!$AF$2:$AF$2501,"Y")&gt;0,"","NO EXEMPTION"))),"")</f>
        <v/>
      </c>
    </row>
    <row r="1911" spans="46:54" x14ac:dyDescent="0.25">
      <c r="AT1911" s="2" t="str">
        <f>IF($L1911="","",IFERROR(INDEX('AR SALES'!$H$2:$H$2501,MATCH(""&amp;$L1911,'AR SALES'!$AE$2:$AE$2501,0)),""))</f>
        <v/>
      </c>
      <c r="AU1911" s="2" t="str">
        <f t="shared" si="116"/>
        <v/>
      </c>
      <c r="AV1911" s="2" t="str">
        <f t="shared" si="117"/>
        <v/>
      </c>
      <c r="AW1911" s="2" t="str">
        <f t="shared" si="118"/>
        <v/>
      </c>
      <c r="AX1911" s="2" t="str">
        <f t="shared" si="119"/>
        <v/>
      </c>
      <c r="AY1911" s="2" t="str">
        <f>IF($AV1911="","",IF(AND($Z1911=0,COUNTIF('AR SALES'!$L$2:$L$2501,$L1911)=0),"YES",""))</f>
        <v/>
      </c>
      <c r="AZ1911" s="2" t="str">
        <f>IF($AV1911="","",IF(COUNTIF(LISTS!$C$2:$C$250,$AU1911)=0,"NEW",""))</f>
        <v/>
      </c>
      <c r="BA1911" s="2" t="str">
        <f>IF(""&amp;$F1911&lt;&gt;"4","",IF($AY1911="YES","",IF(ROUND(SUMIFS($AE$2:$AE$4001,$L$2:$L$4001,$L1911,$F$2:$F$4001,"4")-SUMIFS('AR SALES'!$Y$2:$Y$2501,'AR SALES'!$L$2:$L$2501,$L1911,'AR SALES'!$AD$2:$AD$2501,"OFF"),2)=0,"","STALE")))</f>
        <v/>
      </c>
      <c r="BB1911" s="2" t="str">
        <f>IF(OR(""&amp;$F1911="2",""&amp;$F1911="4",""&amp;$F1911="G",""&amp;$F1911="H"),IF($AY1911="YES","",IF($AB1911&lt;&gt;0,"",IF(COUNTIFS('AR SALES'!$L$2:$L$2501,$L1911,'AR SALES'!$AD$2:$AD$2501,IF(""&amp;$F1911="4","OFF","ON"),'AR SALES'!$AF$2:$AF$2501,"Y")&gt;0,"","NO EXEMPTION"))),"")</f>
        <v/>
      </c>
    </row>
    <row r="1912" spans="46:54" x14ac:dyDescent="0.25">
      <c r="AT1912" s="2" t="str">
        <f>IF($L1912="","",IFERROR(INDEX('AR SALES'!$H$2:$H$2501,MATCH(""&amp;$L1912,'AR SALES'!$AE$2:$AE$2501,0)),""))</f>
        <v/>
      </c>
      <c r="AU1912" s="2" t="str">
        <f t="shared" si="116"/>
        <v/>
      </c>
      <c r="AV1912" s="2" t="str">
        <f t="shared" si="117"/>
        <v/>
      </c>
      <c r="AW1912" s="2" t="str">
        <f t="shared" si="118"/>
        <v/>
      </c>
      <c r="AX1912" s="2" t="str">
        <f t="shared" si="119"/>
        <v/>
      </c>
      <c r="AY1912" s="2" t="str">
        <f>IF($AV1912="","",IF(AND($Z1912=0,COUNTIF('AR SALES'!$L$2:$L$2501,$L1912)=0),"YES",""))</f>
        <v/>
      </c>
      <c r="AZ1912" s="2" t="str">
        <f>IF($AV1912="","",IF(COUNTIF(LISTS!$C$2:$C$250,$AU1912)=0,"NEW",""))</f>
        <v/>
      </c>
      <c r="BA1912" s="2" t="str">
        <f>IF(""&amp;$F1912&lt;&gt;"4","",IF($AY1912="YES","",IF(ROUND(SUMIFS($AE$2:$AE$4001,$L$2:$L$4001,$L1912,$F$2:$F$4001,"4")-SUMIFS('AR SALES'!$Y$2:$Y$2501,'AR SALES'!$L$2:$L$2501,$L1912,'AR SALES'!$AD$2:$AD$2501,"OFF"),2)=0,"","STALE")))</f>
        <v/>
      </c>
      <c r="BB1912" s="2" t="str">
        <f>IF(OR(""&amp;$F1912="2",""&amp;$F1912="4",""&amp;$F1912="G",""&amp;$F1912="H"),IF($AY1912="YES","",IF($AB1912&lt;&gt;0,"",IF(COUNTIFS('AR SALES'!$L$2:$L$2501,$L1912,'AR SALES'!$AD$2:$AD$2501,IF(""&amp;$F1912="4","OFF","ON"),'AR SALES'!$AF$2:$AF$2501,"Y")&gt;0,"","NO EXEMPTION"))),"")</f>
        <v/>
      </c>
    </row>
    <row r="1913" spans="46:54" x14ac:dyDescent="0.25">
      <c r="AT1913" s="2" t="str">
        <f>IF($L1913="","",IFERROR(INDEX('AR SALES'!$H$2:$H$2501,MATCH(""&amp;$L1913,'AR SALES'!$AE$2:$AE$2501,0)),""))</f>
        <v/>
      </c>
      <c r="AU1913" s="2" t="str">
        <f t="shared" si="116"/>
        <v/>
      </c>
      <c r="AV1913" s="2" t="str">
        <f t="shared" si="117"/>
        <v/>
      </c>
      <c r="AW1913" s="2" t="str">
        <f t="shared" si="118"/>
        <v/>
      </c>
      <c r="AX1913" s="2" t="str">
        <f t="shared" si="119"/>
        <v/>
      </c>
      <c r="AY1913" s="2" t="str">
        <f>IF($AV1913="","",IF(AND($Z1913=0,COUNTIF('AR SALES'!$L$2:$L$2501,$L1913)=0),"YES",""))</f>
        <v/>
      </c>
      <c r="AZ1913" s="2" t="str">
        <f>IF($AV1913="","",IF(COUNTIF(LISTS!$C$2:$C$250,$AU1913)=0,"NEW",""))</f>
        <v/>
      </c>
      <c r="BA1913" s="2" t="str">
        <f>IF(""&amp;$F1913&lt;&gt;"4","",IF($AY1913="YES","",IF(ROUND(SUMIFS($AE$2:$AE$4001,$L$2:$L$4001,$L1913,$F$2:$F$4001,"4")-SUMIFS('AR SALES'!$Y$2:$Y$2501,'AR SALES'!$L$2:$L$2501,$L1913,'AR SALES'!$AD$2:$AD$2501,"OFF"),2)=0,"","STALE")))</f>
        <v/>
      </c>
      <c r="BB1913" s="2" t="str">
        <f>IF(OR(""&amp;$F1913="2",""&amp;$F1913="4",""&amp;$F1913="G",""&amp;$F1913="H"),IF($AY1913="YES","",IF($AB1913&lt;&gt;0,"",IF(COUNTIFS('AR SALES'!$L$2:$L$2501,$L1913,'AR SALES'!$AD$2:$AD$2501,IF(""&amp;$F1913="4","OFF","ON"),'AR SALES'!$AF$2:$AF$2501,"Y")&gt;0,"","NO EXEMPTION"))),"")</f>
        <v/>
      </c>
    </row>
    <row r="1914" spans="46:54" x14ac:dyDescent="0.25">
      <c r="AT1914" s="2" t="str">
        <f>IF($L1914="","",IFERROR(INDEX('AR SALES'!$H$2:$H$2501,MATCH(""&amp;$L1914,'AR SALES'!$AE$2:$AE$2501,0)),""))</f>
        <v/>
      </c>
      <c r="AU1914" s="2" t="str">
        <f t="shared" si="116"/>
        <v/>
      </c>
      <c r="AV1914" s="2" t="str">
        <f t="shared" si="117"/>
        <v/>
      </c>
      <c r="AW1914" s="2" t="str">
        <f t="shared" si="118"/>
        <v/>
      </c>
      <c r="AX1914" s="2" t="str">
        <f t="shared" si="119"/>
        <v/>
      </c>
      <c r="AY1914" s="2" t="str">
        <f>IF($AV1914="","",IF(AND($Z1914=0,COUNTIF('AR SALES'!$L$2:$L$2501,$L1914)=0),"YES",""))</f>
        <v/>
      </c>
      <c r="AZ1914" s="2" t="str">
        <f>IF($AV1914="","",IF(COUNTIF(LISTS!$C$2:$C$250,$AU1914)=0,"NEW",""))</f>
        <v/>
      </c>
      <c r="BA1914" s="2" t="str">
        <f>IF(""&amp;$F1914&lt;&gt;"4","",IF($AY1914="YES","",IF(ROUND(SUMIFS($AE$2:$AE$4001,$L$2:$L$4001,$L1914,$F$2:$F$4001,"4")-SUMIFS('AR SALES'!$Y$2:$Y$2501,'AR SALES'!$L$2:$L$2501,$L1914,'AR SALES'!$AD$2:$AD$2501,"OFF"),2)=0,"","STALE")))</f>
        <v/>
      </c>
      <c r="BB1914" s="2" t="str">
        <f>IF(OR(""&amp;$F1914="2",""&amp;$F1914="4",""&amp;$F1914="G",""&amp;$F1914="H"),IF($AY1914="YES","",IF($AB1914&lt;&gt;0,"",IF(COUNTIFS('AR SALES'!$L$2:$L$2501,$L1914,'AR SALES'!$AD$2:$AD$2501,IF(""&amp;$F1914="4","OFF","ON"),'AR SALES'!$AF$2:$AF$2501,"Y")&gt;0,"","NO EXEMPTION"))),"")</f>
        <v/>
      </c>
    </row>
    <row r="1915" spans="46:54" x14ac:dyDescent="0.25">
      <c r="AT1915" s="2" t="str">
        <f>IF($L1915="","",IFERROR(INDEX('AR SALES'!$H$2:$H$2501,MATCH(""&amp;$L1915,'AR SALES'!$AE$2:$AE$2501,0)),""))</f>
        <v/>
      </c>
      <c r="AU1915" s="2" t="str">
        <f t="shared" si="116"/>
        <v/>
      </c>
      <c r="AV1915" s="2" t="str">
        <f t="shared" si="117"/>
        <v/>
      </c>
      <c r="AW1915" s="2" t="str">
        <f t="shared" si="118"/>
        <v/>
      </c>
      <c r="AX1915" s="2" t="str">
        <f t="shared" si="119"/>
        <v/>
      </c>
      <c r="AY1915" s="2" t="str">
        <f>IF($AV1915="","",IF(AND($Z1915=0,COUNTIF('AR SALES'!$L$2:$L$2501,$L1915)=0),"YES",""))</f>
        <v/>
      </c>
      <c r="AZ1915" s="2" t="str">
        <f>IF($AV1915="","",IF(COUNTIF(LISTS!$C$2:$C$250,$AU1915)=0,"NEW",""))</f>
        <v/>
      </c>
      <c r="BA1915" s="2" t="str">
        <f>IF(""&amp;$F1915&lt;&gt;"4","",IF($AY1915="YES","",IF(ROUND(SUMIFS($AE$2:$AE$4001,$L$2:$L$4001,$L1915,$F$2:$F$4001,"4")-SUMIFS('AR SALES'!$Y$2:$Y$2501,'AR SALES'!$L$2:$L$2501,$L1915,'AR SALES'!$AD$2:$AD$2501,"OFF"),2)=0,"","STALE")))</f>
        <v/>
      </c>
      <c r="BB1915" s="2" t="str">
        <f>IF(OR(""&amp;$F1915="2",""&amp;$F1915="4",""&amp;$F1915="G",""&amp;$F1915="H"),IF($AY1915="YES","",IF($AB1915&lt;&gt;0,"",IF(COUNTIFS('AR SALES'!$L$2:$L$2501,$L1915,'AR SALES'!$AD$2:$AD$2501,IF(""&amp;$F1915="4","OFF","ON"),'AR SALES'!$AF$2:$AF$2501,"Y")&gt;0,"","NO EXEMPTION"))),"")</f>
        <v/>
      </c>
    </row>
    <row r="1916" spans="46:54" x14ac:dyDescent="0.25">
      <c r="AT1916" s="2" t="str">
        <f>IF($L1916="","",IFERROR(INDEX('AR SALES'!$H$2:$H$2501,MATCH(""&amp;$L1916,'AR SALES'!$AE$2:$AE$2501,0)),""))</f>
        <v/>
      </c>
      <c r="AU1916" s="2" t="str">
        <f t="shared" si="116"/>
        <v/>
      </c>
      <c r="AV1916" s="2" t="str">
        <f t="shared" si="117"/>
        <v/>
      </c>
      <c r="AW1916" s="2" t="str">
        <f t="shared" si="118"/>
        <v/>
      </c>
      <c r="AX1916" s="2" t="str">
        <f t="shared" si="119"/>
        <v/>
      </c>
      <c r="AY1916" s="2" t="str">
        <f>IF($AV1916="","",IF(AND($Z1916=0,COUNTIF('AR SALES'!$L$2:$L$2501,$L1916)=0),"YES",""))</f>
        <v/>
      </c>
      <c r="AZ1916" s="2" t="str">
        <f>IF($AV1916="","",IF(COUNTIF(LISTS!$C$2:$C$250,$AU1916)=0,"NEW",""))</f>
        <v/>
      </c>
      <c r="BA1916" s="2" t="str">
        <f>IF(""&amp;$F1916&lt;&gt;"4","",IF($AY1916="YES","",IF(ROUND(SUMIFS($AE$2:$AE$4001,$L$2:$L$4001,$L1916,$F$2:$F$4001,"4")-SUMIFS('AR SALES'!$Y$2:$Y$2501,'AR SALES'!$L$2:$L$2501,$L1916,'AR SALES'!$AD$2:$AD$2501,"OFF"),2)=0,"","STALE")))</f>
        <v/>
      </c>
      <c r="BB1916" s="2" t="str">
        <f>IF(OR(""&amp;$F1916="2",""&amp;$F1916="4",""&amp;$F1916="G",""&amp;$F1916="H"),IF($AY1916="YES","",IF($AB1916&lt;&gt;0,"",IF(COUNTIFS('AR SALES'!$L$2:$L$2501,$L1916,'AR SALES'!$AD$2:$AD$2501,IF(""&amp;$F1916="4","OFF","ON"),'AR SALES'!$AF$2:$AF$2501,"Y")&gt;0,"","NO EXEMPTION"))),"")</f>
        <v/>
      </c>
    </row>
    <row r="1917" spans="46:54" x14ac:dyDescent="0.25">
      <c r="AT1917" s="2" t="str">
        <f>IF($L1917="","",IFERROR(INDEX('AR SALES'!$H$2:$H$2501,MATCH(""&amp;$L1917,'AR SALES'!$AE$2:$AE$2501,0)),""))</f>
        <v/>
      </c>
      <c r="AU1917" s="2" t="str">
        <f t="shared" si="116"/>
        <v/>
      </c>
      <c r="AV1917" s="2" t="str">
        <f t="shared" si="117"/>
        <v/>
      </c>
      <c r="AW1917" s="2" t="str">
        <f t="shared" si="118"/>
        <v/>
      </c>
      <c r="AX1917" s="2" t="str">
        <f t="shared" si="119"/>
        <v/>
      </c>
      <c r="AY1917" s="2" t="str">
        <f>IF($AV1917="","",IF(AND($Z1917=0,COUNTIF('AR SALES'!$L$2:$L$2501,$L1917)=0),"YES",""))</f>
        <v/>
      </c>
      <c r="AZ1917" s="2" t="str">
        <f>IF($AV1917="","",IF(COUNTIF(LISTS!$C$2:$C$250,$AU1917)=0,"NEW",""))</f>
        <v/>
      </c>
      <c r="BA1917" s="2" t="str">
        <f>IF(""&amp;$F1917&lt;&gt;"4","",IF($AY1917="YES","",IF(ROUND(SUMIFS($AE$2:$AE$4001,$L$2:$L$4001,$L1917,$F$2:$F$4001,"4")-SUMIFS('AR SALES'!$Y$2:$Y$2501,'AR SALES'!$L$2:$L$2501,$L1917,'AR SALES'!$AD$2:$AD$2501,"OFF"),2)=0,"","STALE")))</f>
        <v/>
      </c>
      <c r="BB1917" s="2" t="str">
        <f>IF(OR(""&amp;$F1917="2",""&amp;$F1917="4",""&amp;$F1917="G",""&amp;$F1917="H"),IF($AY1917="YES","",IF($AB1917&lt;&gt;0,"",IF(COUNTIFS('AR SALES'!$L$2:$L$2501,$L1917,'AR SALES'!$AD$2:$AD$2501,IF(""&amp;$F1917="4","OFF","ON"),'AR SALES'!$AF$2:$AF$2501,"Y")&gt;0,"","NO EXEMPTION"))),"")</f>
        <v/>
      </c>
    </row>
    <row r="1918" spans="46:54" x14ac:dyDescent="0.25">
      <c r="AT1918" s="2" t="str">
        <f>IF($L1918="","",IFERROR(INDEX('AR SALES'!$H$2:$H$2501,MATCH(""&amp;$L1918,'AR SALES'!$AE$2:$AE$2501,0)),""))</f>
        <v/>
      </c>
      <c r="AU1918" s="2" t="str">
        <f t="shared" si="116"/>
        <v/>
      </c>
      <c r="AV1918" s="2" t="str">
        <f t="shared" si="117"/>
        <v/>
      </c>
      <c r="AW1918" s="2" t="str">
        <f t="shared" si="118"/>
        <v/>
      </c>
      <c r="AX1918" s="2" t="str">
        <f t="shared" si="119"/>
        <v/>
      </c>
      <c r="AY1918" s="2" t="str">
        <f>IF($AV1918="","",IF(AND($Z1918=0,COUNTIF('AR SALES'!$L$2:$L$2501,$L1918)=0),"YES",""))</f>
        <v/>
      </c>
      <c r="AZ1918" s="2" t="str">
        <f>IF($AV1918="","",IF(COUNTIF(LISTS!$C$2:$C$250,$AU1918)=0,"NEW",""))</f>
        <v/>
      </c>
      <c r="BA1918" s="2" t="str">
        <f>IF(""&amp;$F1918&lt;&gt;"4","",IF($AY1918="YES","",IF(ROUND(SUMIFS($AE$2:$AE$4001,$L$2:$L$4001,$L1918,$F$2:$F$4001,"4")-SUMIFS('AR SALES'!$Y$2:$Y$2501,'AR SALES'!$L$2:$L$2501,$L1918,'AR SALES'!$AD$2:$AD$2501,"OFF"),2)=0,"","STALE")))</f>
        <v/>
      </c>
      <c r="BB1918" s="2" t="str">
        <f>IF(OR(""&amp;$F1918="2",""&amp;$F1918="4",""&amp;$F1918="G",""&amp;$F1918="H"),IF($AY1918="YES","",IF($AB1918&lt;&gt;0,"",IF(COUNTIFS('AR SALES'!$L$2:$L$2501,$L1918,'AR SALES'!$AD$2:$AD$2501,IF(""&amp;$F1918="4","OFF","ON"),'AR SALES'!$AF$2:$AF$2501,"Y")&gt;0,"","NO EXEMPTION"))),"")</f>
        <v/>
      </c>
    </row>
    <row r="1919" spans="46:54" x14ac:dyDescent="0.25">
      <c r="AT1919" s="2" t="str">
        <f>IF($L1919="","",IFERROR(INDEX('AR SALES'!$H$2:$H$2501,MATCH(""&amp;$L1919,'AR SALES'!$AE$2:$AE$2501,0)),""))</f>
        <v/>
      </c>
      <c r="AU1919" s="2" t="str">
        <f t="shared" si="116"/>
        <v/>
      </c>
      <c r="AV1919" s="2" t="str">
        <f t="shared" si="117"/>
        <v/>
      </c>
      <c r="AW1919" s="2" t="str">
        <f t="shared" si="118"/>
        <v/>
      </c>
      <c r="AX1919" s="2" t="str">
        <f t="shared" si="119"/>
        <v/>
      </c>
      <c r="AY1919" s="2" t="str">
        <f>IF($AV1919="","",IF(AND($Z1919=0,COUNTIF('AR SALES'!$L$2:$L$2501,$L1919)=0),"YES",""))</f>
        <v/>
      </c>
      <c r="AZ1919" s="2" t="str">
        <f>IF($AV1919="","",IF(COUNTIF(LISTS!$C$2:$C$250,$AU1919)=0,"NEW",""))</f>
        <v/>
      </c>
      <c r="BA1919" s="2" t="str">
        <f>IF(""&amp;$F1919&lt;&gt;"4","",IF($AY1919="YES","",IF(ROUND(SUMIFS($AE$2:$AE$4001,$L$2:$L$4001,$L1919,$F$2:$F$4001,"4")-SUMIFS('AR SALES'!$Y$2:$Y$2501,'AR SALES'!$L$2:$L$2501,$L1919,'AR SALES'!$AD$2:$AD$2501,"OFF"),2)=0,"","STALE")))</f>
        <v/>
      </c>
      <c r="BB1919" s="2" t="str">
        <f>IF(OR(""&amp;$F1919="2",""&amp;$F1919="4",""&amp;$F1919="G",""&amp;$F1919="H"),IF($AY1919="YES","",IF($AB1919&lt;&gt;0,"",IF(COUNTIFS('AR SALES'!$L$2:$L$2501,$L1919,'AR SALES'!$AD$2:$AD$2501,IF(""&amp;$F1919="4","OFF","ON"),'AR SALES'!$AF$2:$AF$2501,"Y")&gt;0,"","NO EXEMPTION"))),"")</f>
        <v/>
      </c>
    </row>
    <row r="1920" spans="46:54" x14ac:dyDescent="0.25">
      <c r="AT1920" s="2" t="str">
        <f>IF($L1920="","",IFERROR(INDEX('AR SALES'!$H$2:$H$2501,MATCH(""&amp;$L1920,'AR SALES'!$AE$2:$AE$2501,0)),""))</f>
        <v/>
      </c>
      <c r="AU1920" s="2" t="str">
        <f t="shared" si="116"/>
        <v/>
      </c>
      <c r="AV1920" s="2" t="str">
        <f t="shared" si="117"/>
        <v/>
      </c>
      <c r="AW1920" s="2" t="str">
        <f t="shared" si="118"/>
        <v/>
      </c>
      <c r="AX1920" s="2" t="str">
        <f t="shared" si="119"/>
        <v/>
      </c>
      <c r="AY1920" s="2" t="str">
        <f>IF($AV1920="","",IF(AND($Z1920=0,COUNTIF('AR SALES'!$L$2:$L$2501,$L1920)=0),"YES",""))</f>
        <v/>
      </c>
      <c r="AZ1920" s="2" t="str">
        <f>IF($AV1920="","",IF(COUNTIF(LISTS!$C$2:$C$250,$AU1920)=0,"NEW",""))</f>
        <v/>
      </c>
      <c r="BA1920" s="2" t="str">
        <f>IF(""&amp;$F1920&lt;&gt;"4","",IF($AY1920="YES","",IF(ROUND(SUMIFS($AE$2:$AE$4001,$L$2:$L$4001,$L1920,$F$2:$F$4001,"4")-SUMIFS('AR SALES'!$Y$2:$Y$2501,'AR SALES'!$L$2:$L$2501,$L1920,'AR SALES'!$AD$2:$AD$2501,"OFF"),2)=0,"","STALE")))</f>
        <v/>
      </c>
      <c r="BB1920" s="2" t="str">
        <f>IF(OR(""&amp;$F1920="2",""&amp;$F1920="4",""&amp;$F1920="G",""&amp;$F1920="H"),IF($AY1920="YES","",IF($AB1920&lt;&gt;0,"",IF(COUNTIFS('AR SALES'!$L$2:$L$2501,$L1920,'AR SALES'!$AD$2:$AD$2501,IF(""&amp;$F1920="4","OFF","ON"),'AR SALES'!$AF$2:$AF$2501,"Y")&gt;0,"","NO EXEMPTION"))),"")</f>
        <v/>
      </c>
    </row>
    <row r="1921" spans="46:54" x14ac:dyDescent="0.25">
      <c r="AT1921" s="2" t="str">
        <f>IF($L1921="","",IFERROR(INDEX('AR SALES'!$H$2:$H$2501,MATCH(""&amp;$L1921,'AR SALES'!$AE$2:$AE$2501,0)),""))</f>
        <v/>
      </c>
      <c r="AU1921" s="2" t="str">
        <f t="shared" si="116"/>
        <v/>
      </c>
      <c r="AV1921" s="2" t="str">
        <f t="shared" si="117"/>
        <v/>
      </c>
      <c r="AW1921" s="2" t="str">
        <f t="shared" si="118"/>
        <v/>
      </c>
      <c r="AX1921" s="2" t="str">
        <f t="shared" si="119"/>
        <v/>
      </c>
      <c r="AY1921" s="2" t="str">
        <f>IF($AV1921="","",IF(AND($Z1921=0,COUNTIF('AR SALES'!$L$2:$L$2501,$L1921)=0),"YES",""))</f>
        <v/>
      </c>
      <c r="AZ1921" s="2" t="str">
        <f>IF($AV1921="","",IF(COUNTIF(LISTS!$C$2:$C$250,$AU1921)=0,"NEW",""))</f>
        <v/>
      </c>
      <c r="BA1921" s="2" t="str">
        <f>IF(""&amp;$F1921&lt;&gt;"4","",IF($AY1921="YES","",IF(ROUND(SUMIFS($AE$2:$AE$4001,$L$2:$L$4001,$L1921,$F$2:$F$4001,"4")-SUMIFS('AR SALES'!$Y$2:$Y$2501,'AR SALES'!$L$2:$L$2501,$L1921,'AR SALES'!$AD$2:$AD$2501,"OFF"),2)=0,"","STALE")))</f>
        <v/>
      </c>
      <c r="BB1921" s="2" t="str">
        <f>IF(OR(""&amp;$F1921="2",""&amp;$F1921="4",""&amp;$F1921="G",""&amp;$F1921="H"),IF($AY1921="YES","",IF($AB1921&lt;&gt;0,"",IF(COUNTIFS('AR SALES'!$L$2:$L$2501,$L1921,'AR SALES'!$AD$2:$AD$2501,IF(""&amp;$F1921="4","OFF","ON"),'AR SALES'!$AF$2:$AF$2501,"Y")&gt;0,"","NO EXEMPTION"))),"")</f>
        <v/>
      </c>
    </row>
    <row r="1922" spans="46:54" x14ac:dyDescent="0.25">
      <c r="AT1922" s="2" t="str">
        <f>IF($L1922="","",IFERROR(INDEX('AR SALES'!$H$2:$H$2501,MATCH(""&amp;$L1922,'AR SALES'!$AE$2:$AE$2501,0)),""))</f>
        <v/>
      </c>
      <c r="AU1922" s="2" t="str">
        <f t="shared" ref="AU1922:AU1985" si="120">IF($L1922="","",IF($A1922&lt;&gt;"GA","",IF($E1922="FULTON",IF(ISNUMBER(SEARCH("COLLEGE PARK",$AT1922)),"FULTON (COLLEGE PARK)",IF(ISNUMBER(SEARCH("ATLANTA CITY",$AT1922)),"FULTON (ATL LIMITS)","FULTON")),IF($E1922="DEKALB",IF(ISNUMBER(SEARCH("ATLANTA CITY",$AT1922)),"DEKALB (ATL LIMITS)","DEKALB"),$E1922))))</f>
        <v/>
      </c>
      <c r="AV1922" s="2" t="str">
        <f t="shared" ref="AV1922:AV1985" si="121">IF($L1922="","",IF(""&amp;$F1922="2","DIESEL",IF(OR(""&amp;$F1922="G",""&amp;$F1922="H"),"GAS","")))</f>
        <v/>
      </c>
      <c r="AW1922" s="2" t="str">
        <f t="shared" ref="AW1922:AW1985" si="122">IF($AV1922="","",$R1922)</f>
        <v/>
      </c>
      <c r="AX1922" s="2" t="str">
        <f t="shared" ref="AX1922:AX1985" si="123">IF($AV1922="","",IF($AB1922=0,$R1922,0))</f>
        <v/>
      </c>
      <c r="AY1922" s="2" t="str">
        <f>IF($AV1922="","",IF(AND($Z1922=0,COUNTIF('AR SALES'!$L$2:$L$2501,$L1922)=0),"YES",""))</f>
        <v/>
      </c>
      <c r="AZ1922" s="2" t="str">
        <f>IF($AV1922="","",IF(COUNTIF(LISTS!$C$2:$C$250,$AU1922)=0,"NEW",""))</f>
        <v/>
      </c>
      <c r="BA1922" s="2" t="str">
        <f>IF(""&amp;$F1922&lt;&gt;"4","",IF($AY1922="YES","",IF(ROUND(SUMIFS($AE$2:$AE$4001,$L$2:$L$4001,$L1922,$F$2:$F$4001,"4")-SUMIFS('AR SALES'!$Y$2:$Y$2501,'AR SALES'!$L$2:$L$2501,$L1922,'AR SALES'!$AD$2:$AD$2501,"OFF"),2)=0,"","STALE")))</f>
        <v/>
      </c>
      <c r="BB1922" s="2" t="str">
        <f>IF(OR(""&amp;$F1922="2",""&amp;$F1922="4",""&amp;$F1922="G",""&amp;$F1922="H"),IF($AY1922="YES","",IF($AB1922&lt;&gt;0,"",IF(COUNTIFS('AR SALES'!$L$2:$L$2501,$L1922,'AR SALES'!$AD$2:$AD$2501,IF(""&amp;$F1922="4","OFF","ON"),'AR SALES'!$AF$2:$AF$2501,"Y")&gt;0,"","NO EXEMPTION"))),"")</f>
        <v/>
      </c>
    </row>
    <row r="1923" spans="46:54" x14ac:dyDescent="0.25">
      <c r="AT1923" s="2" t="str">
        <f>IF($L1923="","",IFERROR(INDEX('AR SALES'!$H$2:$H$2501,MATCH(""&amp;$L1923,'AR SALES'!$AE$2:$AE$2501,0)),""))</f>
        <v/>
      </c>
      <c r="AU1923" s="2" t="str">
        <f t="shared" si="120"/>
        <v/>
      </c>
      <c r="AV1923" s="2" t="str">
        <f t="shared" si="121"/>
        <v/>
      </c>
      <c r="AW1923" s="2" t="str">
        <f t="shared" si="122"/>
        <v/>
      </c>
      <c r="AX1923" s="2" t="str">
        <f t="shared" si="123"/>
        <v/>
      </c>
      <c r="AY1923" s="2" t="str">
        <f>IF($AV1923="","",IF(AND($Z1923=0,COUNTIF('AR SALES'!$L$2:$L$2501,$L1923)=0),"YES",""))</f>
        <v/>
      </c>
      <c r="AZ1923" s="2" t="str">
        <f>IF($AV1923="","",IF(COUNTIF(LISTS!$C$2:$C$250,$AU1923)=0,"NEW",""))</f>
        <v/>
      </c>
      <c r="BA1923" s="2" t="str">
        <f>IF(""&amp;$F1923&lt;&gt;"4","",IF($AY1923="YES","",IF(ROUND(SUMIFS($AE$2:$AE$4001,$L$2:$L$4001,$L1923,$F$2:$F$4001,"4")-SUMIFS('AR SALES'!$Y$2:$Y$2501,'AR SALES'!$L$2:$L$2501,$L1923,'AR SALES'!$AD$2:$AD$2501,"OFF"),2)=0,"","STALE")))</f>
        <v/>
      </c>
      <c r="BB1923" s="2" t="str">
        <f>IF(OR(""&amp;$F1923="2",""&amp;$F1923="4",""&amp;$F1923="G",""&amp;$F1923="H"),IF($AY1923="YES","",IF($AB1923&lt;&gt;0,"",IF(COUNTIFS('AR SALES'!$L$2:$L$2501,$L1923,'AR SALES'!$AD$2:$AD$2501,IF(""&amp;$F1923="4","OFF","ON"),'AR SALES'!$AF$2:$AF$2501,"Y")&gt;0,"","NO EXEMPTION"))),"")</f>
        <v/>
      </c>
    </row>
    <row r="1924" spans="46:54" x14ac:dyDescent="0.25">
      <c r="AT1924" s="2" t="str">
        <f>IF($L1924="","",IFERROR(INDEX('AR SALES'!$H$2:$H$2501,MATCH(""&amp;$L1924,'AR SALES'!$AE$2:$AE$2501,0)),""))</f>
        <v/>
      </c>
      <c r="AU1924" s="2" t="str">
        <f t="shared" si="120"/>
        <v/>
      </c>
      <c r="AV1924" s="2" t="str">
        <f t="shared" si="121"/>
        <v/>
      </c>
      <c r="AW1924" s="2" t="str">
        <f t="shared" si="122"/>
        <v/>
      </c>
      <c r="AX1924" s="2" t="str">
        <f t="shared" si="123"/>
        <v/>
      </c>
      <c r="AY1924" s="2" t="str">
        <f>IF($AV1924="","",IF(AND($Z1924=0,COUNTIF('AR SALES'!$L$2:$L$2501,$L1924)=0),"YES",""))</f>
        <v/>
      </c>
      <c r="AZ1924" s="2" t="str">
        <f>IF($AV1924="","",IF(COUNTIF(LISTS!$C$2:$C$250,$AU1924)=0,"NEW",""))</f>
        <v/>
      </c>
      <c r="BA1924" s="2" t="str">
        <f>IF(""&amp;$F1924&lt;&gt;"4","",IF($AY1924="YES","",IF(ROUND(SUMIFS($AE$2:$AE$4001,$L$2:$L$4001,$L1924,$F$2:$F$4001,"4")-SUMIFS('AR SALES'!$Y$2:$Y$2501,'AR SALES'!$L$2:$L$2501,$L1924,'AR SALES'!$AD$2:$AD$2501,"OFF"),2)=0,"","STALE")))</f>
        <v/>
      </c>
      <c r="BB1924" s="2" t="str">
        <f>IF(OR(""&amp;$F1924="2",""&amp;$F1924="4",""&amp;$F1924="G",""&amp;$F1924="H"),IF($AY1924="YES","",IF($AB1924&lt;&gt;0,"",IF(COUNTIFS('AR SALES'!$L$2:$L$2501,$L1924,'AR SALES'!$AD$2:$AD$2501,IF(""&amp;$F1924="4","OFF","ON"),'AR SALES'!$AF$2:$AF$2501,"Y")&gt;0,"","NO EXEMPTION"))),"")</f>
        <v/>
      </c>
    </row>
    <row r="1925" spans="46:54" x14ac:dyDescent="0.25">
      <c r="AT1925" s="2" t="str">
        <f>IF($L1925="","",IFERROR(INDEX('AR SALES'!$H$2:$H$2501,MATCH(""&amp;$L1925,'AR SALES'!$AE$2:$AE$2501,0)),""))</f>
        <v/>
      </c>
      <c r="AU1925" s="2" t="str">
        <f t="shared" si="120"/>
        <v/>
      </c>
      <c r="AV1925" s="2" t="str">
        <f t="shared" si="121"/>
        <v/>
      </c>
      <c r="AW1925" s="2" t="str">
        <f t="shared" si="122"/>
        <v/>
      </c>
      <c r="AX1925" s="2" t="str">
        <f t="shared" si="123"/>
        <v/>
      </c>
      <c r="AY1925" s="2" t="str">
        <f>IF($AV1925="","",IF(AND($Z1925=0,COUNTIF('AR SALES'!$L$2:$L$2501,$L1925)=0),"YES",""))</f>
        <v/>
      </c>
      <c r="AZ1925" s="2" t="str">
        <f>IF($AV1925="","",IF(COUNTIF(LISTS!$C$2:$C$250,$AU1925)=0,"NEW",""))</f>
        <v/>
      </c>
      <c r="BA1925" s="2" t="str">
        <f>IF(""&amp;$F1925&lt;&gt;"4","",IF($AY1925="YES","",IF(ROUND(SUMIFS($AE$2:$AE$4001,$L$2:$L$4001,$L1925,$F$2:$F$4001,"4")-SUMIFS('AR SALES'!$Y$2:$Y$2501,'AR SALES'!$L$2:$L$2501,$L1925,'AR SALES'!$AD$2:$AD$2501,"OFF"),2)=0,"","STALE")))</f>
        <v/>
      </c>
      <c r="BB1925" s="2" t="str">
        <f>IF(OR(""&amp;$F1925="2",""&amp;$F1925="4",""&amp;$F1925="G",""&amp;$F1925="H"),IF($AY1925="YES","",IF($AB1925&lt;&gt;0,"",IF(COUNTIFS('AR SALES'!$L$2:$L$2501,$L1925,'AR SALES'!$AD$2:$AD$2501,IF(""&amp;$F1925="4","OFF","ON"),'AR SALES'!$AF$2:$AF$2501,"Y")&gt;0,"","NO EXEMPTION"))),"")</f>
        <v/>
      </c>
    </row>
    <row r="1926" spans="46:54" x14ac:dyDescent="0.25">
      <c r="AT1926" s="2" t="str">
        <f>IF($L1926="","",IFERROR(INDEX('AR SALES'!$H$2:$H$2501,MATCH(""&amp;$L1926,'AR SALES'!$AE$2:$AE$2501,0)),""))</f>
        <v/>
      </c>
      <c r="AU1926" s="2" t="str">
        <f t="shared" si="120"/>
        <v/>
      </c>
      <c r="AV1926" s="2" t="str">
        <f t="shared" si="121"/>
        <v/>
      </c>
      <c r="AW1926" s="2" t="str">
        <f t="shared" si="122"/>
        <v/>
      </c>
      <c r="AX1926" s="2" t="str">
        <f t="shared" si="123"/>
        <v/>
      </c>
      <c r="AY1926" s="2" t="str">
        <f>IF($AV1926="","",IF(AND($Z1926=0,COUNTIF('AR SALES'!$L$2:$L$2501,$L1926)=0),"YES",""))</f>
        <v/>
      </c>
      <c r="AZ1926" s="2" t="str">
        <f>IF($AV1926="","",IF(COUNTIF(LISTS!$C$2:$C$250,$AU1926)=0,"NEW",""))</f>
        <v/>
      </c>
      <c r="BA1926" s="2" t="str">
        <f>IF(""&amp;$F1926&lt;&gt;"4","",IF($AY1926="YES","",IF(ROUND(SUMIFS($AE$2:$AE$4001,$L$2:$L$4001,$L1926,$F$2:$F$4001,"4")-SUMIFS('AR SALES'!$Y$2:$Y$2501,'AR SALES'!$L$2:$L$2501,$L1926,'AR SALES'!$AD$2:$AD$2501,"OFF"),2)=0,"","STALE")))</f>
        <v/>
      </c>
      <c r="BB1926" s="2" t="str">
        <f>IF(OR(""&amp;$F1926="2",""&amp;$F1926="4",""&amp;$F1926="G",""&amp;$F1926="H"),IF($AY1926="YES","",IF($AB1926&lt;&gt;0,"",IF(COUNTIFS('AR SALES'!$L$2:$L$2501,$L1926,'AR SALES'!$AD$2:$AD$2501,IF(""&amp;$F1926="4","OFF","ON"),'AR SALES'!$AF$2:$AF$2501,"Y")&gt;0,"","NO EXEMPTION"))),"")</f>
        <v/>
      </c>
    </row>
    <row r="1927" spans="46:54" x14ac:dyDescent="0.25">
      <c r="AT1927" s="2" t="str">
        <f>IF($L1927="","",IFERROR(INDEX('AR SALES'!$H$2:$H$2501,MATCH(""&amp;$L1927,'AR SALES'!$AE$2:$AE$2501,0)),""))</f>
        <v/>
      </c>
      <c r="AU1927" s="2" t="str">
        <f t="shared" si="120"/>
        <v/>
      </c>
      <c r="AV1927" s="2" t="str">
        <f t="shared" si="121"/>
        <v/>
      </c>
      <c r="AW1927" s="2" t="str">
        <f t="shared" si="122"/>
        <v/>
      </c>
      <c r="AX1927" s="2" t="str">
        <f t="shared" si="123"/>
        <v/>
      </c>
      <c r="AY1927" s="2" t="str">
        <f>IF($AV1927="","",IF(AND($Z1927=0,COUNTIF('AR SALES'!$L$2:$L$2501,$L1927)=0),"YES",""))</f>
        <v/>
      </c>
      <c r="AZ1927" s="2" t="str">
        <f>IF($AV1927="","",IF(COUNTIF(LISTS!$C$2:$C$250,$AU1927)=0,"NEW",""))</f>
        <v/>
      </c>
      <c r="BA1927" s="2" t="str">
        <f>IF(""&amp;$F1927&lt;&gt;"4","",IF($AY1927="YES","",IF(ROUND(SUMIFS($AE$2:$AE$4001,$L$2:$L$4001,$L1927,$F$2:$F$4001,"4")-SUMIFS('AR SALES'!$Y$2:$Y$2501,'AR SALES'!$L$2:$L$2501,$L1927,'AR SALES'!$AD$2:$AD$2501,"OFF"),2)=0,"","STALE")))</f>
        <v/>
      </c>
      <c r="BB1927" s="2" t="str">
        <f>IF(OR(""&amp;$F1927="2",""&amp;$F1927="4",""&amp;$F1927="G",""&amp;$F1927="H"),IF($AY1927="YES","",IF($AB1927&lt;&gt;0,"",IF(COUNTIFS('AR SALES'!$L$2:$L$2501,$L1927,'AR SALES'!$AD$2:$AD$2501,IF(""&amp;$F1927="4","OFF","ON"),'AR SALES'!$AF$2:$AF$2501,"Y")&gt;0,"","NO EXEMPTION"))),"")</f>
        <v/>
      </c>
    </row>
    <row r="1928" spans="46:54" x14ac:dyDescent="0.25">
      <c r="AT1928" s="2" t="str">
        <f>IF($L1928="","",IFERROR(INDEX('AR SALES'!$H$2:$H$2501,MATCH(""&amp;$L1928,'AR SALES'!$AE$2:$AE$2501,0)),""))</f>
        <v/>
      </c>
      <c r="AU1928" s="2" t="str">
        <f t="shared" si="120"/>
        <v/>
      </c>
      <c r="AV1928" s="2" t="str">
        <f t="shared" si="121"/>
        <v/>
      </c>
      <c r="AW1928" s="2" t="str">
        <f t="shared" si="122"/>
        <v/>
      </c>
      <c r="AX1928" s="2" t="str">
        <f t="shared" si="123"/>
        <v/>
      </c>
      <c r="AY1928" s="2" t="str">
        <f>IF($AV1928="","",IF(AND($Z1928=0,COUNTIF('AR SALES'!$L$2:$L$2501,$L1928)=0),"YES",""))</f>
        <v/>
      </c>
      <c r="AZ1928" s="2" t="str">
        <f>IF($AV1928="","",IF(COUNTIF(LISTS!$C$2:$C$250,$AU1928)=0,"NEW",""))</f>
        <v/>
      </c>
      <c r="BA1928" s="2" t="str">
        <f>IF(""&amp;$F1928&lt;&gt;"4","",IF($AY1928="YES","",IF(ROUND(SUMIFS($AE$2:$AE$4001,$L$2:$L$4001,$L1928,$F$2:$F$4001,"4")-SUMIFS('AR SALES'!$Y$2:$Y$2501,'AR SALES'!$L$2:$L$2501,$L1928,'AR SALES'!$AD$2:$AD$2501,"OFF"),2)=0,"","STALE")))</f>
        <v/>
      </c>
      <c r="BB1928" s="2" t="str">
        <f>IF(OR(""&amp;$F1928="2",""&amp;$F1928="4",""&amp;$F1928="G",""&amp;$F1928="H"),IF($AY1928="YES","",IF($AB1928&lt;&gt;0,"",IF(COUNTIFS('AR SALES'!$L$2:$L$2501,$L1928,'AR SALES'!$AD$2:$AD$2501,IF(""&amp;$F1928="4","OFF","ON"),'AR SALES'!$AF$2:$AF$2501,"Y")&gt;0,"","NO EXEMPTION"))),"")</f>
        <v/>
      </c>
    </row>
    <row r="1929" spans="46:54" x14ac:dyDescent="0.25">
      <c r="AT1929" s="2" t="str">
        <f>IF($L1929="","",IFERROR(INDEX('AR SALES'!$H$2:$H$2501,MATCH(""&amp;$L1929,'AR SALES'!$AE$2:$AE$2501,0)),""))</f>
        <v/>
      </c>
      <c r="AU1929" s="2" t="str">
        <f t="shared" si="120"/>
        <v/>
      </c>
      <c r="AV1929" s="2" t="str">
        <f t="shared" si="121"/>
        <v/>
      </c>
      <c r="AW1929" s="2" t="str">
        <f t="shared" si="122"/>
        <v/>
      </c>
      <c r="AX1929" s="2" t="str">
        <f t="shared" si="123"/>
        <v/>
      </c>
      <c r="AY1929" s="2" t="str">
        <f>IF($AV1929="","",IF(AND($Z1929=0,COUNTIF('AR SALES'!$L$2:$L$2501,$L1929)=0),"YES",""))</f>
        <v/>
      </c>
      <c r="AZ1929" s="2" t="str">
        <f>IF($AV1929="","",IF(COUNTIF(LISTS!$C$2:$C$250,$AU1929)=0,"NEW",""))</f>
        <v/>
      </c>
      <c r="BA1929" s="2" t="str">
        <f>IF(""&amp;$F1929&lt;&gt;"4","",IF($AY1929="YES","",IF(ROUND(SUMIFS($AE$2:$AE$4001,$L$2:$L$4001,$L1929,$F$2:$F$4001,"4")-SUMIFS('AR SALES'!$Y$2:$Y$2501,'AR SALES'!$L$2:$L$2501,$L1929,'AR SALES'!$AD$2:$AD$2501,"OFF"),2)=0,"","STALE")))</f>
        <v/>
      </c>
      <c r="BB1929" s="2" t="str">
        <f>IF(OR(""&amp;$F1929="2",""&amp;$F1929="4",""&amp;$F1929="G",""&amp;$F1929="H"),IF($AY1929="YES","",IF($AB1929&lt;&gt;0,"",IF(COUNTIFS('AR SALES'!$L$2:$L$2501,$L1929,'AR SALES'!$AD$2:$AD$2501,IF(""&amp;$F1929="4","OFF","ON"),'AR SALES'!$AF$2:$AF$2501,"Y")&gt;0,"","NO EXEMPTION"))),"")</f>
        <v/>
      </c>
    </row>
    <row r="1930" spans="46:54" x14ac:dyDescent="0.25">
      <c r="AT1930" s="2" t="str">
        <f>IF($L1930="","",IFERROR(INDEX('AR SALES'!$H$2:$H$2501,MATCH(""&amp;$L1930,'AR SALES'!$AE$2:$AE$2501,0)),""))</f>
        <v/>
      </c>
      <c r="AU1930" s="2" t="str">
        <f t="shared" si="120"/>
        <v/>
      </c>
      <c r="AV1930" s="2" t="str">
        <f t="shared" si="121"/>
        <v/>
      </c>
      <c r="AW1930" s="2" t="str">
        <f t="shared" si="122"/>
        <v/>
      </c>
      <c r="AX1930" s="2" t="str">
        <f t="shared" si="123"/>
        <v/>
      </c>
      <c r="AY1930" s="2" t="str">
        <f>IF($AV1930="","",IF(AND($Z1930=0,COUNTIF('AR SALES'!$L$2:$L$2501,$L1930)=0),"YES",""))</f>
        <v/>
      </c>
      <c r="AZ1930" s="2" t="str">
        <f>IF($AV1930="","",IF(COUNTIF(LISTS!$C$2:$C$250,$AU1930)=0,"NEW",""))</f>
        <v/>
      </c>
      <c r="BA1930" s="2" t="str">
        <f>IF(""&amp;$F1930&lt;&gt;"4","",IF($AY1930="YES","",IF(ROUND(SUMIFS($AE$2:$AE$4001,$L$2:$L$4001,$L1930,$F$2:$F$4001,"4")-SUMIFS('AR SALES'!$Y$2:$Y$2501,'AR SALES'!$L$2:$L$2501,$L1930,'AR SALES'!$AD$2:$AD$2501,"OFF"),2)=0,"","STALE")))</f>
        <v/>
      </c>
      <c r="BB1930" s="2" t="str">
        <f>IF(OR(""&amp;$F1930="2",""&amp;$F1930="4",""&amp;$F1930="G",""&amp;$F1930="H"),IF($AY1930="YES","",IF($AB1930&lt;&gt;0,"",IF(COUNTIFS('AR SALES'!$L$2:$L$2501,$L1930,'AR SALES'!$AD$2:$AD$2501,IF(""&amp;$F1930="4","OFF","ON"),'AR SALES'!$AF$2:$AF$2501,"Y")&gt;0,"","NO EXEMPTION"))),"")</f>
        <v/>
      </c>
    </row>
    <row r="1931" spans="46:54" x14ac:dyDescent="0.25">
      <c r="AT1931" s="2" t="str">
        <f>IF($L1931="","",IFERROR(INDEX('AR SALES'!$H$2:$H$2501,MATCH(""&amp;$L1931,'AR SALES'!$AE$2:$AE$2501,0)),""))</f>
        <v/>
      </c>
      <c r="AU1931" s="2" t="str">
        <f t="shared" si="120"/>
        <v/>
      </c>
      <c r="AV1931" s="2" t="str">
        <f t="shared" si="121"/>
        <v/>
      </c>
      <c r="AW1931" s="2" t="str">
        <f t="shared" si="122"/>
        <v/>
      </c>
      <c r="AX1931" s="2" t="str">
        <f t="shared" si="123"/>
        <v/>
      </c>
      <c r="AY1931" s="2" t="str">
        <f>IF($AV1931="","",IF(AND($Z1931=0,COUNTIF('AR SALES'!$L$2:$L$2501,$L1931)=0),"YES",""))</f>
        <v/>
      </c>
      <c r="AZ1931" s="2" t="str">
        <f>IF($AV1931="","",IF(COUNTIF(LISTS!$C$2:$C$250,$AU1931)=0,"NEW",""))</f>
        <v/>
      </c>
      <c r="BA1931" s="2" t="str">
        <f>IF(""&amp;$F1931&lt;&gt;"4","",IF($AY1931="YES","",IF(ROUND(SUMIFS($AE$2:$AE$4001,$L$2:$L$4001,$L1931,$F$2:$F$4001,"4")-SUMIFS('AR SALES'!$Y$2:$Y$2501,'AR SALES'!$L$2:$L$2501,$L1931,'AR SALES'!$AD$2:$AD$2501,"OFF"),2)=0,"","STALE")))</f>
        <v/>
      </c>
      <c r="BB1931" s="2" t="str">
        <f>IF(OR(""&amp;$F1931="2",""&amp;$F1931="4",""&amp;$F1931="G",""&amp;$F1931="H"),IF($AY1931="YES","",IF($AB1931&lt;&gt;0,"",IF(COUNTIFS('AR SALES'!$L$2:$L$2501,$L1931,'AR SALES'!$AD$2:$AD$2501,IF(""&amp;$F1931="4","OFF","ON"),'AR SALES'!$AF$2:$AF$2501,"Y")&gt;0,"","NO EXEMPTION"))),"")</f>
        <v/>
      </c>
    </row>
    <row r="1932" spans="46:54" x14ac:dyDescent="0.25">
      <c r="AT1932" s="2" t="str">
        <f>IF($L1932="","",IFERROR(INDEX('AR SALES'!$H$2:$H$2501,MATCH(""&amp;$L1932,'AR SALES'!$AE$2:$AE$2501,0)),""))</f>
        <v/>
      </c>
      <c r="AU1932" s="2" t="str">
        <f t="shared" si="120"/>
        <v/>
      </c>
      <c r="AV1932" s="2" t="str">
        <f t="shared" si="121"/>
        <v/>
      </c>
      <c r="AW1932" s="2" t="str">
        <f t="shared" si="122"/>
        <v/>
      </c>
      <c r="AX1932" s="2" t="str">
        <f t="shared" si="123"/>
        <v/>
      </c>
      <c r="AY1932" s="2" t="str">
        <f>IF($AV1932="","",IF(AND($Z1932=0,COUNTIF('AR SALES'!$L$2:$L$2501,$L1932)=0),"YES",""))</f>
        <v/>
      </c>
      <c r="AZ1932" s="2" t="str">
        <f>IF($AV1932="","",IF(COUNTIF(LISTS!$C$2:$C$250,$AU1932)=0,"NEW",""))</f>
        <v/>
      </c>
      <c r="BA1932" s="2" t="str">
        <f>IF(""&amp;$F1932&lt;&gt;"4","",IF($AY1932="YES","",IF(ROUND(SUMIFS($AE$2:$AE$4001,$L$2:$L$4001,$L1932,$F$2:$F$4001,"4")-SUMIFS('AR SALES'!$Y$2:$Y$2501,'AR SALES'!$L$2:$L$2501,$L1932,'AR SALES'!$AD$2:$AD$2501,"OFF"),2)=0,"","STALE")))</f>
        <v/>
      </c>
      <c r="BB1932" s="2" t="str">
        <f>IF(OR(""&amp;$F1932="2",""&amp;$F1932="4",""&amp;$F1932="G",""&amp;$F1932="H"),IF($AY1932="YES","",IF($AB1932&lt;&gt;0,"",IF(COUNTIFS('AR SALES'!$L$2:$L$2501,$L1932,'AR SALES'!$AD$2:$AD$2501,IF(""&amp;$F1932="4","OFF","ON"),'AR SALES'!$AF$2:$AF$2501,"Y")&gt;0,"","NO EXEMPTION"))),"")</f>
        <v/>
      </c>
    </row>
    <row r="1933" spans="46:54" x14ac:dyDescent="0.25">
      <c r="AT1933" s="2" t="str">
        <f>IF($L1933="","",IFERROR(INDEX('AR SALES'!$H$2:$H$2501,MATCH(""&amp;$L1933,'AR SALES'!$AE$2:$AE$2501,0)),""))</f>
        <v/>
      </c>
      <c r="AU1933" s="2" t="str">
        <f t="shared" si="120"/>
        <v/>
      </c>
      <c r="AV1933" s="2" t="str">
        <f t="shared" si="121"/>
        <v/>
      </c>
      <c r="AW1933" s="2" t="str">
        <f t="shared" si="122"/>
        <v/>
      </c>
      <c r="AX1933" s="2" t="str">
        <f t="shared" si="123"/>
        <v/>
      </c>
      <c r="AY1933" s="2" t="str">
        <f>IF($AV1933="","",IF(AND($Z1933=0,COUNTIF('AR SALES'!$L$2:$L$2501,$L1933)=0),"YES",""))</f>
        <v/>
      </c>
      <c r="AZ1933" s="2" t="str">
        <f>IF($AV1933="","",IF(COUNTIF(LISTS!$C$2:$C$250,$AU1933)=0,"NEW",""))</f>
        <v/>
      </c>
      <c r="BA1933" s="2" t="str">
        <f>IF(""&amp;$F1933&lt;&gt;"4","",IF($AY1933="YES","",IF(ROUND(SUMIFS($AE$2:$AE$4001,$L$2:$L$4001,$L1933,$F$2:$F$4001,"4")-SUMIFS('AR SALES'!$Y$2:$Y$2501,'AR SALES'!$L$2:$L$2501,$L1933,'AR SALES'!$AD$2:$AD$2501,"OFF"),2)=0,"","STALE")))</f>
        <v/>
      </c>
      <c r="BB1933" s="2" t="str">
        <f>IF(OR(""&amp;$F1933="2",""&amp;$F1933="4",""&amp;$F1933="G",""&amp;$F1933="H"),IF($AY1933="YES","",IF($AB1933&lt;&gt;0,"",IF(COUNTIFS('AR SALES'!$L$2:$L$2501,$L1933,'AR SALES'!$AD$2:$AD$2501,IF(""&amp;$F1933="4","OFF","ON"),'AR SALES'!$AF$2:$AF$2501,"Y")&gt;0,"","NO EXEMPTION"))),"")</f>
        <v/>
      </c>
    </row>
    <row r="1934" spans="46:54" x14ac:dyDescent="0.25">
      <c r="AT1934" s="2" t="str">
        <f>IF($L1934="","",IFERROR(INDEX('AR SALES'!$H$2:$H$2501,MATCH(""&amp;$L1934,'AR SALES'!$AE$2:$AE$2501,0)),""))</f>
        <v/>
      </c>
      <c r="AU1934" s="2" t="str">
        <f t="shared" si="120"/>
        <v/>
      </c>
      <c r="AV1934" s="2" t="str">
        <f t="shared" si="121"/>
        <v/>
      </c>
      <c r="AW1934" s="2" t="str">
        <f t="shared" si="122"/>
        <v/>
      </c>
      <c r="AX1934" s="2" t="str">
        <f t="shared" si="123"/>
        <v/>
      </c>
      <c r="AY1934" s="2" t="str">
        <f>IF($AV1934="","",IF(AND($Z1934=0,COUNTIF('AR SALES'!$L$2:$L$2501,$L1934)=0),"YES",""))</f>
        <v/>
      </c>
      <c r="AZ1934" s="2" t="str">
        <f>IF($AV1934="","",IF(COUNTIF(LISTS!$C$2:$C$250,$AU1934)=0,"NEW",""))</f>
        <v/>
      </c>
      <c r="BA1934" s="2" t="str">
        <f>IF(""&amp;$F1934&lt;&gt;"4","",IF($AY1934="YES","",IF(ROUND(SUMIFS($AE$2:$AE$4001,$L$2:$L$4001,$L1934,$F$2:$F$4001,"4")-SUMIFS('AR SALES'!$Y$2:$Y$2501,'AR SALES'!$L$2:$L$2501,$L1934,'AR SALES'!$AD$2:$AD$2501,"OFF"),2)=0,"","STALE")))</f>
        <v/>
      </c>
      <c r="BB1934" s="2" t="str">
        <f>IF(OR(""&amp;$F1934="2",""&amp;$F1934="4",""&amp;$F1934="G",""&amp;$F1934="H"),IF($AY1934="YES","",IF($AB1934&lt;&gt;0,"",IF(COUNTIFS('AR SALES'!$L$2:$L$2501,$L1934,'AR SALES'!$AD$2:$AD$2501,IF(""&amp;$F1934="4","OFF","ON"),'AR SALES'!$AF$2:$AF$2501,"Y")&gt;0,"","NO EXEMPTION"))),"")</f>
        <v/>
      </c>
    </row>
    <row r="1935" spans="46:54" x14ac:dyDescent="0.25">
      <c r="AT1935" s="2" t="str">
        <f>IF($L1935="","",IFERROR(INDEX('AR SALES'!$H$2:$H$2501,MATCH(""&amp;$L1935,'AR SALES'!$AE$2:$AE$2501,0)),""))</f>
        <v/>
      </c>
      <c r="AU1935" s="2" t="str">
        <f t="shared" si="120"/>
        <v/>
      </c>
      <c r="AV1935" s="2" t="str">
        <f t="shared" si="121"/>
        <v/>
      </c>
      <c r="AW1935" s="2" t="str">
        <f t="shared" si="122"/>
        <v/>
      </c>
      <c r="AX1935" s="2" t="str">
        <f t="shared" si="123"/>
        <v/>
      </c>
      <c r="AY1935" s="2" t="str">
        <f>IF($AV1935="","",IF(AND($Z1935=0,COUNTIF('AR SALES'!$L$2:$L$2501,$L1935)=0),"YES",""))</f>
        <v/>
      </c>
      <c r="AZ1935" s="2" t="str">
        <f>IF($AV1935="","",IF(COUNTIF(LISTS!$C$2:$C$250,$AU1935)=0,"NEW",""))</f>
        <v/>
      </c>
      <c r="BA1935" s="2" t="str">
        <f>IF(""&amp;$F1935&lt;&gt;"4","",IF($AY1935="YES","",IF(ROUND(SUMIFS($AE$2:$AE$4001,$L$2:$L$4001,$L1935,$F$2:$F$4001,"4")-SUMIFS('AR SALES'!$Y$2:$Y$2501,'AR SALES'!$L$2:$L$2501,$L1935,'AR SALES'!$AD$2:$AD$2501,"OFF"),2)=0,"","STALE")))</f>
        <v/>
      </c>
      <c r="BB1935" s="2" t="str">
        <f>IF(OR(""&amp;$F1935="2",""&amp;$F1935="4",""&amp;$F1935="G",""&amp;$F1935="H"),IF($AY1935="YES","",IF($AB1935&lt;&gt;0,"",IF(COUNTIFS('AR SALES'!$L$2:$L$2501,$L1935,'AR SALES'!$AD$2:$AD$2501,IF(""&amp;$F1935="4","OFF","ON"),'AR SALES'!$AF$2:$AF$2501,"Y")&gt;0,"","NO EXEMPTION"))),"")</f>
        <v/>
      </c>
    </row>
    <row r="1936" spans="46:54" x14ac:dyDescent="0.25">
      <c r="AT1936" s="2" t="str">
        <f>IF($L1936="","",IFERROR(INDEX('AR SALES'!$H$2:$H$2501,MATCH(""&amp;$L1936,'AR SALES'!$AE$2:$AE$2501,0)),""))</f>
        <v/>
      </c>
      <c r="AU1936" s="2" t="str">
        <f t="shared" si="120"/>
        <v/>
      </c>
      <c r="AV1936" s="2" t="str">
        <f t="shared" si="121"/>
        <v/>
      </c>
      <c r="AW1936" s="2" t="str">
        <f t="shared" si="122"/>
        <v/>
      </c>
      <c r="AX1936" s="2" t="str">
        <f t="shared" si="123"/>
        <v/>
      </c>
      <c r="AY1936" s="2" t="str">
        <f>IF($AV1936="","",IF(AND($Z1936=0,COUNTIF('AR SALES'!$L$2:$L$2501,$L1936)=0),"YES",""))</f>
        <v/>
      </c>
      <c r="AZ1936" s="2" t="str">
        <f>IF($AV1936="","",IF(COUNTIF(LISTS!$C$2:$C$250,$AU1936)=0,"NEW",""))</f>
        <v/>
      </c>
      <c r="BA1936" s="2" t="str">
        <f>IF(""&amp;$F1936&lt;&gt;"4","",IF($AY1936="YES","",IF(ROUND(SUMIFS($AE$2:$AE$4001,$L$2:$L$4001,$L1936,$F$2:$F$4001,"4")-SUMIFS('AR SALES'!$Y$2:$Y$2501,'AR SALES'!$L$2:$L$2501,$L1936,'AR SALES'!$AD$2:$AD$2501,"OFF"),2)=0,"","STALE")))</f>
        <v/>
      </c>
      <c r="BB1936" s="2" t="str">
        <f>IF(OR(""&amp;$F1936="2",""&amp;$F1936="4",""&amp;$F1936="G",""&amp;$F1936="H"),IF($AY1936="YES","",IF($AB1936&lt;&gt;0,"",IF(COUNTIFS('AR SALES'!$L$2:$L$2501,$L1936,'AR SALES'!$AD$2:$AD$2501,IF(""&amp;$F1936="4","OFF","ON"),'AR SALES'!$AF$2:$AF$2501,"Y")&gt;0,"","NO EXEMPTION"))),"")</f>
        <v/>
      </c>
    </row>
    <row r="1937" spans="46:54" x14ac:dyDescent="0.25">
      <c r="AT1937" s="2" t="str">
        <f>IF($L1937="","",IFERROR(INDEX('AR SALES'!$H$2:$H$2501,MATCH(""&amp;$L1937,'AR SALES'!$AE$2:$AE$2501,0)),""))</f>
        <v/>
      </c>
      <c r="AU1937" s="2" t="str">
        <f t="shared" si="120"/>
        <v/>
      </c>
      <c r="AV1937" s="2" t="str">
        <f t="shared" si="121"/>
        <v/>
      </c>
      <c r="AW1937" s="2" t="str">
        <f t="shared" si="122"/>
        <v/>
      </c>
      <c r="AX1937" s="2" t="str">
        <f t="shared" si="123"/>
        <v/>
      </c>
      <c r="AY1937" s="2" t="str">
        <f>IF($AV1937="","",IF(AND($Z1937=0,COUNTIF('AR SALES'!$L$2:$L$2501,$L1937)=0),"YES",""))</f>
        <v/>
      </c>
      <c r="AZ1937" s="2" t="str">
        <f>IF($AV1937="","",IF(COUNTIF(LISTS!$C$2:$C$250,$AU1937)=0,"NEW",""))</f>
        <v/>
      </c>
      <c r="BA1937" s="2" t="str">
        <f>IF(""&amp;$F1937&lt;&gt;"4","",IF($AY1937="YES","",IF(ROUND(SUMIFS($AE$2:$AE$4001,$L$2:$L$4001,$L1937,$F$2:$F$4001,"4")-SUMIFS('AR SALES'!$Y$2:$Y$2501,'AR SALES'!$L$2:$L$2501,$L1937,'AR SALES'!$AD$2:$AD$2501,"OFF"),2)=0,"","STALE")))</f>
        <v/>
      </c>
      <c r="BB1937" s="2" t="str">
        <f>IF(OR(""&amp;$F1937="2",""&amp;$F1937="4",""&amp;$F1937="G",""&amp;$F1937="H"),IF($AY1937="YES","",IF($AB1937&lt;&gt;0,"",IF(COUNTIFS('AR SALES'!$L$2:$L$2501,$L1937,'AR SALES'!$AD$2:$AD$2501,IF(""&amp;$F1937="4","OFF","ON"),'AR SALES'!$AF$2:$AF$2501,"Y")&gt;0,"","NO EXEMPTION"))),"")</f>
        <v/>
      </c>
    </row>
    <row r="1938" spans="46:54" x14ac:dyDescent="0.25">
      <c r="AT1938" s="2" t="str">
        <f>IF($L1938="","",IFERROR(INDEX('AR SALES'!$H$2:$H$2501,MATCH(""&amp;$L1938,'AR SALES'!$AE$2:$AE$2501,0)),""))</f>
        <v/>
      </c>
      <c r="AU1938" s="2" t="str">
        <f t="shared" si="120"/>
        <v/>
      </c>
      <c r="AV1938" s="2" t="str">
        <f t="shared" si="121"/>
        <v/>
      </c>
      <c r="AW1938" s="2" t="str">
        <f t="shared" si="122"/>
        <v/>
      </c>
      <c r="AX1938" s="2" t="str">
        <f t="shared" si="123"/>
        <v/>
      </c>
      <c r="AY1938" s="2" t="str">
        <f>IF($AV1938="","",IF(AND($Z1938=0,COUNTIF('AR SALES'!$L$2:$L$2501,$L1938)=0),"YES",""))</f>
        <v/>
      </c>
      <c r="AZ1938" s="2" t="str">
        <f>IF($AV1938="","",IF(COUNTIF(LISTS!$C$2:$C$250,$AU1938)=0,"NEW",""))</f>
        <v/>
      </c>
      <c r="BA1938" s="2" t="str">
        <f>IF(""&amp;$F1938&lt;&gt;"4","",IF($AY1938="YES","",IF(ROUND(SUMIFS($AE$2:$AE$4001,$L$2:$L$4001,$L1938,$F$2:$F$4001,"4")-SUMIFS('AR SALES'!$Y$2:$Y$2501,'AR SALES'!$L$2:$L$2501,$L1938,'AR SALES'!$AD$2:$AD$2501,"OFF"),2)=0,"","STALE")))</f>
        <v/>
      </c>
      <c r="BB1938" s="2" t="str">
        <f>IF(OR(""&amp;$F1938="2",""&amp;$F1938="4",""&amp;$F1938="G",""&amp;$F1938="H"),IF($AY1938="YES","",IF($AB1938&lt;&gt;0,"",IF(COUNTIFS('AR SALES'!$L$2:$L$2501,$L1938,'AR SALES'!$AD$2:$AD$2501,IF(""&amp;$F1938="4","OFF","ON"),'AR SALES'!$AF$2:$AF$2501,"Y")&gt;0,"","NO EXEMPTION"))),"")</f>
        <v/>
      </c>
    </row>
    <row r="1939" spans="46:54" x14ac:dyDescent="0.25">
      <c r="AT1939" s="2" t="str">
        <f>IF($L1939="","",IFERROR(INDEX('AR SALES'!$H$2:$H$2501,MATCH(""&amp;$L1939,'AR SALES'!$AE$2:$AE$2501,0)),""))</f>
        <v/>
      </c>
      <c r="AU1939" s="2" t="str">
        <f t="shared" si="120"/>
        <v/>
      </c>
      <c r="AV1939" s="2" t="str">
        <f t="shared" si="121"/>
        <v/>
      </c>
      <c r="AW1939" s="2" t="str">
        <f t="shared" si="122"/>
        <v/>
      </c>
      <c r="AX1939" s="2" t="str">
        <f t="shared" si="123"/>
        <v/>
      </c>
      <c r="AY1939" s="2" t="str">
        <f>IF($AV1939="","",IF(AND($Z1939=0,COUNTIF('AR SALES'!$L$2:$L$2501,$L1939)=0),"YES",""))</f>
        <v/>
      </c>
      <c r="AZ1939" s="2" t="str">
        <f>IF($AV1939="","",IF(COUNTIF(LISTS!$C$2:$C$250,$AU1939)=0,"NEW",""))</f>
        <v/>
      </c>
      <c r="BA1939" s="2" t="str">
        <f>IF(""&amp;$F1939&lt;&gt;"4","",IF($AY1939="YES","",IF(ROUND(SUMIFS($AE$2:$AE$4001,$L$2:$L$4001,$L1939,$F$2:$F$4001,"4")-SUMIFS('AR SALES'!$Y$2:$Y$2501,'AR SALES'!$L$2:$L$2501,$L1939,'AR SALES'!$AD$2:$AD$2501,"OFF"),2)=0,"","STALE")))</f>
        <v/>
      </c>
      <c r="BB1939" s="2" t="str">
        <f>IF(OR(""&amp;$F1939="2",""&amp;$F1939="4",""&amp;$F1939="G",""&amp;$F1939="H"),IF($AY1939="YES","",IF($AB1939&lt;&gt;0,"",IF(COUNTIFS('AR SALES'!$L$2:$L$2501,$L1939,'AR SALES'!$AD$2:$AD$2501,IF(""&amp;$F1939="4","OFF","ON"),'AR SALES'!$AF$2:$AF$2501,"Y")&gt;0,"","NO EXEMPTION"))),"")</f>
        <v/>
      </c>
    </row>
    <row r="1940" spans="46:54" x14ac:dyDescent="0.25">
      <c r="AT1940" s="2" t="str">
        <f>IF($L1940="","",IFERROR(INDEX('AR SALES'!$H$2:$H$2501,MATCH(""&amp;$L1940,'AR SALES'!$AE$2:$AE$2501,0)),""))</f>
        <v/>
      </c>
      <c r="AU1940" s="2" t="str">
        <f t="shared" si="120"/>
        <v/>
      </c>
      <c r="AV1940" s="2" t="str">
        <f t="shared" si="121"/>
        <v/>
      </c>
      <c r="AW1940" s="2" t="str">
        <f t="shared" si="122"/>
        <v/>
      </c>
      <c r="AX1940" s="2" t="str">
        <f t="shared" si="123"/>
        <v/>
      </c>
      <c r="AY1940" s="2" t="str">
        <f>IF($AV1940="","",IF(AND($Z1940=0,COUNTIF('AR SALES'!$L$2:$L$2501,$L1940)=0),"YES",""))</f>
        <v/>
      </c>
      <c r="AZ1940" s="2" t="str">
        <f>IF($AV1940="","",IF(COUNTIF(LISTS!$C$2:$C$250,$AU1940)=0,"NEW",""))</f>
        <v/>
      </c>
      <c r="BA1940" s="2" t="str">
        <f>IF(""&amp;$F1940&lt;&gt;"4","",IF($AY1940="YES","",IF(ROUND(SUMIFS($AE$2:$AE$4001,$L$2:$L$4001,$L1940,$F$2:$F$4001,"4")-SUMIFS('AR SALES'!$Y$2:$Y$2501,'AR SALES'!$L$2:$L$2501,$L1940,'AR SALES'!$AD$2:$AD$2501,"OFF"),2)=0,"","STALE")))</f>
        <v/>
      </c>
      <c r="BB1940" s="2" t="str">
        <f>IF(OR(""&amp;$F1940="2",""&amp;$F1940="4",""&amp;$F1940="G",""&amp;$F1940="H"),IF($AY1940="YES","",IF($AB1940&lt;&gt;0,"",IF(COUNTIFS('AR SALES'!$L$2:$L$2501,$L1940,'AR SALES'!$AD$2:$AD$2501,IF(""&amp;$F1940="4","OFF","ON"),'AR SALES'!$AF$2:$AF$2501,"Y")&gt;0,"","NO EXEMPTION"))),"")</f>
        <v/>
      </c>
    </row>
    <row r="1941" spans="46:54" x14ac:dyDescent="0.25">
      <c r="AT1941" s="2" t="str">
        <f>IF($L1941="","",IFERROR(INDEX('AR SALES'!$H$2:$H$2501,MATCH(""&amp;$L1941,'AR SALES'!$AE$2:$AE$2501,0)),""))</f>
        <v/>
      </c>
      <c r="AU1941" s="2" t="str">
        <f t="shared" si="120"/>
        <v/>
      </c>
      <c r="AV1941" s="2" t="str">
        <f t="shared" si="121"/>
        <v/>
      </c>
      <c r="AW1941" s="2" t="str">
        <f t="shared" si="122"/>
        <v/>
      </c>
      <c r="AX1941" s="2" t="str">
        <f t="shared" si="123"/>
        <v/>
      </c>
      <c r="AY1941" s="2" t="str">
        <f>IF($AV1941="","",IF(AND($Z1941=0,COUNTIF('AR SALES'!$L$2:$L$2501,$L1941)=0),"YES",""))</f>
        <v/>
      </c>
      <c r="AZ1941" s="2" t="str">
        <f>IF($AV1941="","",IF(COUNTIF(LISTS!$C$2:$C$250,$AU1941)=0,"NEW",""))</f>
        <v/>
      </c>
      <c r="BA1941" s="2" t="str">
        <f>IF(""&amp;$F1941&lt;&gt;"4","",IF($AY1941="YES","",IF(ROUND(SUMIFS($AE$2:$AE$4001,$L$2:$L$4001,$L1941,$F$2:$F$4001,"4")-SUMIFS('AR SALES'!$Y$2:$Y$2501,'AR SALES'!$L$2:$L$2501,$L1941,'AR SALES'!$AD$2:$AD$2501,"OFF"),2)=0,"","STALE")))</f>
        <v/>
      </c>
      <c r="BB1941" s="2" t="str">
        <f>IF(OR(""&amp;$F1941="2",""&amp;$F1941="4",""&amp;$F1941="G",""&amp;$F1941="H"),IF($AY1941="YES","",IF($AB1941&lt;&gt;0,"",IF(COUNTIFS('AR SALES'!$L$2:$L$2501,$L1941,'AR SALES'!$AD$2:$AD$2501,IF(""&amp;$F1941="4","OFF","ON"),'AR SALES'!$AF$2:$AF$2501,"Y")&gt;0,"","NO EXEMPTION"))),"")</f>
        <v/>
      </c>
    </row>
    <row r="1942" spans="46:54" x14ac:dyDescent="0.25">
      <c r="AT1942" s="2" t="str">
        <f>IF($L1942="","",IFERROR(INDEX('AR SALES'!$H$2:$H$2501,MATCH(""&amp;$L1942,'AR SALES'!$AE$2:$AE$2501,0)),""))</f>
        <v/>
      </c>
      <c r="AU1942" s="2" t="str">
        <f t="shared" si="120"/>
        <v/>
      </c>
      <c r="AV1942" s="2" t="str">
        <f t="shared" si="121"/>
        <v/>
      </c>
      <c r="AW1942" s="2" t="str">
        <f t="shared" si="122"/>
        <v/>
      </c>
      <c r="AX1942" s="2" t="str">
        <f t="shared" si="123"/>
        <v/>
      </c>
      <c r="AY1942" s="2" t="str">
        <f>IF($AV1942="","",IF(AND($Z1942=0,COUNTIF('AR SALES'!$L$2:$L$2501,$L1942)=0),"YES",""))</f>
        <v/>
      </c>
      <c r="AZ1942" s="2" t="str">
        <f>IF($AV1942="","",IF(COUNTIF(LISTS!$C$2:$C$250,$AU1942)=0,"NEW",""))</f>
        <v/>
      </c>
      <c r="BA1942" s="2" t="str">
        <f>IF(""&amp;$F1942&lt;&gt;"4","",IF($AY1942="YES","",IF(ROUND(SUMIFS($AE$2:$AE$4001,$L$2:$L$4001,$L1942,$F$2:$F$4001,"4")-SUMIFS('AR SALES'!$Y$2:$Y$2501,'AR SALES'!$L$2:$L$2501,$L1942,'AR SALES'!$AD$2:$AD$2501,"OFF"),2)=0,"","STALE")))</f>
        <v/>
      </c>
      <c r="BB1942" s="2" t="str">
        <f>IF(OR(""&amp;$F1942="2",""&amp;$F1942="4",""&amp;$F1942="G",""&amp;$F1942="H"),IF($AY1942="YES","",IF($AB1942&lt;&gt;0,"",IF(COUNTIFS('AR SALES'!$L$2:$L$2501,$L1942,'AR SALES'!$AD$2:$AD$2501,IF(""&amp;$F1942="4","OFF","ON"),'AR SALES'!$AF$2:$AF$2501,"Y")&gt;0,"","NO EXEMPTION"))),"")</f>
        <v/>
      </c>
    </row>
    <row r="1943" spans="46:54" x14ac:dyDescent="0.25">
      <c r="AT1943" s="2" t="str">
        <f>IF($L1943="","",IFERROR(INDEX('AR SALES'!$H$2:$H$2501,MATCH(""&amp;$L1943,'AR SALES'!$AE$2:$AE$2501,0)),""))</f>
        <v/>
      </c>
      <c r="AU1943" s="2" t="str">
        <f t="shared" si="120"/>
        <v/>
      </c>
      <c r="AV1943" s="2" t="str">
        <f t="shared" si="121"/>
        <v/>
      </c>
      <c r="AW1943" s="2" t="str">
        <f t="shared" si="122"/>
        <v/>
      </c>
      <c r="AX1943" s="2" t="str">
        <f t="shared" si="123"/>
        <v/>
      </c>
      <c r="AY1943" s="2" t="str">
        <f>IF($AV1943="","",IF(AND($Z1943=0,COUNTIF('AR SALES'!$L$2:$L$2501,$L1943)=0),"YES",""))</f>
        <v/>
      </c>
      <c r="AZ1943" s="2" t="str">
        <f>IF($AV1943="","",IF(COUNTIF(LISTS!$C$2:$C$250,$AU1943)=0,"NEW",""))</f>
        <v/>
      </c>
      <c r="BA1943" s="2" t="str">
        <f>IF(""&amp;$F1943&lt;&gt;"4","",IF($AY1943="YES","",IF(ROUND(SUMIFS($AE$2:$AE$4001,$L$2:$L$4001,$L1943,$F$2:$F$4001,"4")-SUMIFS('AR SALES'!$Y$2:$Y$2501,'AR SALES'!$L$2:$L$2501,$L1943,'AR SALES'!$AD$2:$AD$2501,"OFF"),2)=0,"","STALE")))</f>
        <v/>
      </c>
      <c r="BB1943" s="2" t="str">
        <f>IF(OR(""&amp;$F1943="2",""&amp;$F1943="4",""&amp;$F1943="G",""&amp;$F1943="H"),IF($AY1943="YES","",IF($AB1943&lt;&gt;0,"",IF(COUNTIFS('AR SALES'!$L$2:$L$2501,$L1943,'AR SALES'!$AD$2:$AD$2501,IF(""&amp;$F1943="4","OFF","ON"),'AR SALES'!$AF$2:$AF$2501,"Y")&gt;0,"","NO EXEMPTION"))),"")</f>
        <v/>
      </c>
    </row>
    <row r="1944" spans="46:54" x14ac:dyDescent="0.25">
      <c r="AT1944" s="2" t="str">
        <f>IF($L1944="","",IFERROR(INDEX('AR SALES'!$H$2:$H$2501,MATCH(""&amp;$L1944,'AR SALES'!$AE$2:$AE$2501,0)),""))</f>
        <v/>
      </c>
      <c r="AU1944" s="2" t="str">
        <f t="shared" si="120"/>
        <v/>
      </c>
      <c r="AV1944" s="2" t="str">
        <f t="shared" si="121"/>
        <v/>
      </c>
      <c r="AW1944" s="2" t="str">
        <f t="shared" si="122"/>
        <v/>
      </c>
      <c r="AX1944" s="2" t="str">
        <f t="shared" si="123"/>
        <v/>
      </c>
      <c r="AY1944" s="2" t="str">
        <f>IF($AV1944="","",IF(AND($Z1944=0,COUNTIF('AR SALES'!$L$2:$L$2501,$L1944)=0),"YES",""))</f>
        <v/>
      </c>
      <c r="AZ1944" s="2" t="str">
        <f>IF($AV1944="","",IF(COUNTIF(LISTS!$C$2:$C$250,$AU1944)=0,"NEW",""))</f>
        <v/>
      </c>
      <c r="BA1944" s="2" t="str">
        <f>IF(""&amp;$F1944&lt;&gt;"4","",IF($AY1944="YES","",IF(ROUND(SUMIFS($AE$2:$AE$4001,$L$2:$L$4001,$L1944,$F$2:$F$4001,"4")-SUMIFS('AR SALES'!$Y$2:$Y$2501,'AR SALES'!$L$2:$L$2501,$L1944,'AR SALES'!$AD$2:$AD$2501,"OFF"),2)=0,"","STALE")))</f>
        <v/>
      </c>
      <c r="BB1944" s="2" t="str">
        <f>IF(OR(""&amp;$F1944="2",""&amp;$F1944="4",""&amp;$F1944="G",""&amp;$F1944="H"),IF($AY1944="YES","",IF($AB1944&lt;&gt;0,"",IF(COUNTIFS('AR SALES'!$L$2:$L$2501,$L1944,'AR SALES'!$AD$2:$AD$2501,IF(""&amp;$F1944="4","OFF","ON"),'AR SALES'!$AF$2:$AF$2501,"Y")&gt;0,"","NO EXEMPTION"))),"")</f>
        <v/>
      </c>
    </row>
    <row r="1945" spans="46:54" x14ac:dyDescent="0.25">
      <c r="AT1945" s="2" t="str">
        <f>IF($L1945="","",IFERROR(INDEX('AR SALES'!$H$2:$H$2501,MATCH(""&amp;$L1945,'AR SALES'!$AE$2:$AE$2501,0)),""))</f>
        <v/>
      </c>
      <c r="AU1945" s="2" t="str">
        <f t="shared" si="120"/>
        <v/>
      </c>
      <c r="AV1945" s="2" t="str">
        <f t="shared" si="121"/>
        <v/>
      </c>
      <c r="AW1945" s="2" t="str">
        <f t="shared" si="122"/>
        <v/>
      </c>
      <c r="AX1945" s="2" t="str">
        <f t="shared" si="123"/>
        <v/>
      </c>
      <c r="AY1945" s="2" t="str">
        <f>IF($AV1945="","",IF(AND($Z1945=0,COUNTIF('AR SALES'!$L$2:$L$2501,$L1945)=0),"YES",""))</f>
        <v/>
      </c>
      <c r="AZ1945" s="2" t="str">
        <f>IF($AV1945="","",IF(COUNTIF(LISTS!$C$2:$C$250,$AU1945)=0,"NEW",""))</f>
        <v/>
      </c>
      <c r="BA1945" s="2" t="str">
        <f>IF(""&amp;$F1945&lt;&gt;"4","",IF($AY1945="YES","",IF(ROUND(SUMIFS($AE$2:$AE$4001,$L$2:$L$4001,$L1945,$F$2:$F$4001,"4")-SUMIFS('AR SALES'!$Y$2:$Y$2501,'AR SALES'!$L$2:$L$2501,$L1945,'AR SALES'!$AD$2:$AD$2501,"OFF"),2)=0,"","STALE")))</f>
        <v/>
      </c>
      <c r="BB1945" s="2" t="str">
        <f>IF(OR(""&amp;$F1945="2",""&amp;$F1945="4",""&amp;$F1945="G",""&amp;$F1945="H"),IF($AY1945="YES","",IF($AB1945&lt;&gt;0,"",IF(COUNTIFS('AR SALES'!$L$2:$L$2501,$L1945,'AR SALES'!$AD$2:$AD$2501,IF(""&amp;$F1945="4","OFF","ON"),'AR SALES'!$AF$2:$AF$2501,"Y")&gt;0,"","NO EXEMPTION"))),"")</f>
        <v/>
      </c>
    </row>
    <row r="1946" spans="46:54" x14ac:dyDescent="0.25">
      <c r="AT1946" s="2" t="str">
        <f>IF($L1946="","",IFERROR(INDEX('AR SALES'!$H$2:$H$2501,MATCH(""&amp;$L1946,'AR SALES'!$AE$2:$AE$2501,0)),""))</f>
        <v/>
      </c>
      <c r="AU1946" s="2" t="str">
        <f t="shared" si="120"/>
        <v/>
      </c>
      <c r="AV1946" s="2" t="str">
        <f t="shared" si="121"/>
        <v/>
      </c>
      <c r="AW1946" s="2" t="str">
        <f t="shared" si="122"/>
        <v/>
      </c>
      <c r="AX1946" s="2" t="str">
        <f t="shared" si="123"/>
        <v/>
      </c>
      <c r="AY1946" s="2" t="str">
        <f>IF($AV1946="","",IF(AND($Z1946=0,COUNTIF('AR SALES'!$L$2:$L$2501,$L1946)=0),"YES",""))</f>
        <v/>
      </c>
      <c r="AZ1946" s="2" t="str">
        <f>IF($AV1946="","",IF(COUNTIF(LISTS!$C$2:$C$250,$AU1946)=0,"NEW",""))</f>
        <v/>
      </c>
      <c r="BA1946" s="2" t="str">
        <f>IF(""&amp;$F1946&lt;&gt;"4","",IF($AY1946="YES","",IF(ROUND(SUMIFS($AE$2:$AE$4001,$L$2:$L$4001,$L1946,$F$2:$F$4001,"4")-SUMIFS('AR SALES'!$Y$2:$Y$2501,'AR SALES'!$L$2:$L$2501,$L1946,'AR SALES'!$AD$2:$AD$2501,"OFF"),2)=0,"","STALE")))</f>
        <v/>
      </c>
      <c r="BB1946" s="2" t="str">
        <f>IF(OR(""&amp;$F1946="2",""&amp;$F1946="4",""&amp;$F1946="G",""&amp;$F1946="H"),IF($AY1946="YES","",IF($AB1946&lt;&gt;0,"",IF(COUNTIFS('AR SALES'!$L$2:$L$2501,$L1946,'AR SALES'!$AD$2:$AD$2501,IF(""&amp;$F1946="4","OFF","ON"),'AR SALES'!$AF$2:$AF$2501,"Y")&gt;0,"","NO EXEMPTION"))),"")</f>
        <v/>
      </c>
    </row>
    <row r="1947" spans="46:54" x14ac:dyDescent="0.25">
      <c r="AT1947" s="2" t="str">
        <f>IF($L1947="","",IFERROR(INDEX('AR SALES'!$H$2:$H$2501,MATCH(""&amp;$L1947,'AR SALES'!$AE$2:$AE$2501,0)),""))</f>
        <v/>
      </c>
      <c r="AU1947" s="2" t="str">
        <f t="shared" si="120"/>
        <v/>
      </c>
      <c r="AV1947" s="2" t="str">
        <f t="shared" si="121"/>
        <v/>
      </c>
      <c r="AW1947" s="2" t="str">
        <f t="shared" si="122"/>
        <v/>
      </c>
      <c r="AX1947" s="2" t="str">
        <f t="shared" si="123"/>
        <v/>
      </c>
      <c r="AY1947" s="2" t="str">
        <f>IF($AV1947="","",IF(AND($Z1947=0,COUNTIF('AR SALES'!$L$2:$L$2501,$L1947)=0),"YES",""))</f>
        <v/>
      </c>
      <c r="AZ1947" s="2" t="str">
        <f>IF($AV1947="","",IF(COUNTIF(LISTS!$C$2:$C$250,$AU1947)=0,"NEW",""))</f>
        <v/>
      </c>
      <c r="BA1947" s="2" t="str">
        <f>IF(""&amp;$F1947&lt;&gt;"4","",IF($AY1947="YES","",IF(ROUND(SUMIFS($AE$2:$AE$4001,$L$2:$L$4001,$L1947,$F$2:$F$4001,"4")-SUMIFS('AR SALES'!$Y$2:$Y$2501,'AR SALES'!$L$2:$L$2501,$L1947,'AR SALES'!$AD$2:$AD$2501,"OFF"),2)=0,"","STALE")))</f>
        <v/>
      </c>
      <c r="BB1947" s="2" t="str">
        <f>IF(OR(""&amp;$F1947="2",""&amp;$F1947="4",""&amp;$F1947="G",""&amp;$F1947="H"),IF($AY1947="YES","",IF($AB1947&lt;&gt;0,"",IF(COUNTIFS('AR SALES'!$L$2:$L$2501,$L1947,'AR SALES'!$AD$2:$AD$2501,IF(""&amp;$F1947="4","OFF","ON"),'AR SALES'!$AF$2:$AF$2501,"Y")&gt;0,"","NO EXEMPTION"))),"")</f>
        <v/>
      </c>
    </row>
    <row r="1948" spans="46:54" x14ac:dyDescent="0.25">
      <c r="AT1948" s="2" t="str">
        <f>IF($L1948="","",IFERROR(INDEX('AR SALES'!$H$2:$H$2501,MATCH(""&amp;$L1948,'AR SALES'!$AE$2:$AE$2501,0)),""))</f>
        <v/>
      </c>
      <c r="AU1948" s="2" t="str">
        <f t="shared" si="120"/>
        <v/>
      </c>
      <c r="AV1948" s="2" t="str">
        <f t="shared" si="121"/>
        <v/>
      </c>
      <c r="AW1948" s="2" t="str">
        <f t="shared" si="122"/>
        <v/>
      </c>
      <c r="AX1948" s="2" t="str">
        <f t="shared" si="123"/>
        <v/>
      </c>
      <c r="AY1948" s="2" t="str">
        <f>IF($AV1948="","",IF(AND($Z1948=0,COUNTIF('AR SALES'!$L$2:$L$2501,$L1948)=0),"YES",""))</f>
        <v/>
      </c>
      <c r="AZ1948" s="2" t="str">
        <f>IF($AV1948="","",IF(COUNTIF(LISTS!$C$2:$C$250,$AU1948)=0,"NEW",""))</f>
        <v/>
      </c>
      <c r="BA1948" s="2" t="str">
        <f>IF(""&amp;$F1948&lt;&gt;"4","",IF($AY1948="YES","",IF(ROUND(SUMIFS($AE$2:$AE$4001,$L$2:$L$4001,$L1948,$F$2:$F$4001,"4")-SUMIFS('AR SALES'!$Y$2:$Y$2501,'AR SALES'!$L$2:$L$2501,$L1948,'AR SALES'!$AD$2:$AD$2501,"OFF"),2)=0,"","STALE")))</f>
        <v/>
      </c>
      <c r="BB1948" s="2" t="str">
        <f>IF(OR(""&amp;$F1948="2",""&amp;$F1948="4",""&amp;$F1948="G",""&amp;$F1948="H"),IF($AY1948="YES","",IF($AB1948&lt;&gt;0,"",IF(COUNTIFS('AR SALES'!$L$2:$L$2501,$L1948,'AR SALES'!$AD$2:$AD$2501,IF(""&amp;$F1948="4","OFF","ON"),'AR SALES'!$AF$2:$AF$2501,"Y")&gt;0,"","NO EXEMPTION"))),"")</f>
        <v/>
      </c>
    </row>
    <row r="1949" spans="46:54" x14ac:dyDescent="0.25">
      <c r="AT1949" s="2" t="str">
        <f>IF($L1949="","",IFERROR(INDEX('AR SALES'!$H$2:$H$2501,MATCH(""&amp;$L1949,'AR SALES'!$AE$2:$AE$2501,0)),""))</f>
        <v/>
      </c>
      <c r="AU1949" s="2" t="str">
        <f t="shared" si="120"/>
        <v/>
      </c>
      <c r="AV1949" s="2" t="str">
        <f t="shared" si="121"/>
        <v/>
      </c>
      <c r="AW1949" s="2" t="str">
        <f t="shared" si="122"/>
        <v/>
      </c>
      <c r="AX1949" s="2" t="str">
        <f t="shared" si="123"/>
        <v/>
      </c>
      <c r="AY1949" s="2" t="str">
        <f>IF($AV1949="","",IF(AND($Z1949=0,COUNTIF('AR SALES'!$L$2:$L$2501,$L1949)=0),"YES",""))</f>
        <v/>
      </c>
      <c r="AZ1949" s="2" t="str">
        <f>IF($AV1949="","",IF(COUNTIF(LISTS!$C$2:$C$250,$AU1949)=0,"NEW",""))</f>
        <v/>
      </c>
      <c r="BA1949" s="2" t="str">
        <f>IF(""&amp;$F1949&lt;&gt;"4","",IF($AY1949="YES","",IF(ROUND(SUMIFS($AE$2:$AE$4001,$L$2:$L$4001,$L1949,$F$2:$F$4001,"4")-SUMIFS('AR SALES'!$Y$2:$Y$2501,'AR SALES'!$L$2:$L$2501,$L1949,'AR SALES'!$AD$2:$AD$2501,"OFF"),2)=0,"","STALE")))</f>
        <v/>
      </c>
      <c r="BB1949" s="2" t="str">
        <f>IF(OR(""&amp;$F1949="2",""&amp;$F1949="4",""&amp;$F1949="G",""&amp;$F1949="H"),IF($AY1949="YES","",IF($AB1949&lt;&gt;0,"",IF(COUNTIFS('AR SALES'!$L$2:$L$2501,$L1949,'AR SALES'!$AD$2:$AD$2501,IF(""&amp;$F1949="4","OFF","ON"),'AR SALES'!$AF$2:$AF$2501,"Y")&gt;0,"","NO EXEMPTION"))),"")</f>
        <v/>
      </c>
    </row>
    <row r="1950" spans="46:54" x14ac:dyDescent="0.25">
      <c r="AT1950" s="2" t="str">
        <f>IF($L1950="","",IFERROR(INDEX('AR SALES'!$H$2:$H$2501,MATCH(""&amp;$L1950,'AR SALES'!$AE$2:$AE$2501,0)),""))</f>
        <v/>
      </c>
      <c r="AU1950" s="2" t="str">
        <f t="shared" si="120"/>
        <v/>
      </c>
      <c r="AV1950" s="2" t="str">
        <f t="shared" si="121"/>
        <v/>
      </c>
      <c r="AW1950" s="2" t="str">
        <f t="shared" si="122"/>
        <v/>
      </c>
      <c r="AX1950" s="2" t="str">
        <f t="shared" si="123"/>
        <v/>
      </c>
      <c r="AY1950" s="2" t="str">
        <f>IF($AV1950="","",IF(AND($Z1950=0,COUNTIF('AR SALES'!$L$2:$L$2501,$L1950)=0),"YES",""))</f>
        <v/>
      </c>
      <c r="AZ1950" s="2" t="str">
        <f>IF($AV1950="","",IF(COUNTIF(LISTS!$C$2:$C$250,$AU1950)=0,"NEW",""))</f>
        <v/>
      </c>
      <c r="BA1950" s="2" t="str">
        <f>IF(""&amp;$F1950&lt;&gt;"4","",IF($AY1950="YES","",IF(ROUND(SUMIFS($AE$2:$AE$4001,$L$2:$L$4001,$L1950,$F$2:$F$4001,"4")-SUMIFS('AR SALES'!$Y$2:$Y$2501,'AR SALES'!$L$2:$L$2501,$L1950,'AR SALES'!$AD$2:$AD$2501,"OFF"),2)=0,"","STALE")))</f>
        <v/>
      </c>
      <c r="BB1950" s="2" t="str">
        <f>IF(OR(""&amp;$F1950="2",""&amp;$F1950="4",""&amp;$F1950="G",""&amp;$F1950="H"),IF($AY1950="YES","",IF($AB1950&lt;&gt;0,"",IF(COUNTIFS('AR SALES'!$L$2:$L$2501,$L1950,'AR SALES'!$AD$2:$AD$2501,IF(""&amp;$F1950="4","OFF","ON"),'AR SALES'!$AF$2:$AF$2501,"Y")&gt;0,"","NO EXEMPTION"))),"")</f>
        <v/>
      </c>
    </row>
    <row r="1951" spans="46:54" x14ac:dyDescent="0.25">
      <c r="AT1951" s="2" t="str">
        <f>IF($L1951="","",IFERROR(INDEX('AR SALES'!$H$2:$H$2501,MATCH(""&amp;$L1951,'AR SALES'!$AE$2:$AE$2501,0)),""))</f>
        <v/>
      </c>
      <c r="AU1951" s="2" t="str">
        <f t="shared" si="120"/>
        <v/>
      </c>
      <c r="AV1951" s="2" t="str">
        <f t="shared" si="121"/>
        <v/>
      </c>
      <c r="AW1951" s="2" t="str">
        <f t="shared" si="122"/>
        <v/>
      </c>
      <c r="AX1951" s="2" t="str">
        <f t="shared" si="123"/>
        <v/>
      </c>
      <c r="AY1951" s="2" t="str">
        <f>IF($AV1951="","",IF(AND($Z1951=0,COUNTIF('AR SALES'!$L$2:$L$2501,$L1951)=0),"YES",""))</f>
        <v/>
      </c>
      <c r="AZ1951" s="2" t="str">
        <f>IF($AV1951="","",IF(COUNTIF(LISTS!$C$2:$C$250,$AU1951)=0,"NEW",""))</f>
        <v/>
      </c>
      <c r="BA1951" s="2" t="str">
        <f>IF(""&amp;$F1951&lt;&gt;"4","",IF($AY1951="YES","",IF(ROUND(SUMIFS($AE$2:$AE$4001,$L$2:$L$4001,$L1951,$F$2:$F$4001,"4")-SUMIFS('AR SALES'!$Y$2:$Y$2501,'AR SALES'!$L$2:$L$2501,$L1951,'AR SALES'!$AD$2:$AD$2501,"OFF"),2)=0,"","STALE")))</f>
        <v/>
      </c>
      <c r="BB1951" s="2" t="str">
        <f>IF(OR(""&amp;$F1951="2",""&amp;$F1951="4",""&amp;$F1951="G",""&amp;$F1951="H"),IF($AY1951="YES","",IF($AB1951&lt;&gt;0,"",IF(COUNTIFS('AR SALES'!$L$2:$L$2501,$L1951,'AR SALES'!$AD$2:$AD$2501,IF(""&amp;$F1951="4","OFF","ON"),'AR SALES'!$AF$2:$AF$2501,"Y")&gt;0,"","NO EXEMPTION"))),"")</f>
        <v/>
      </c>
    </row>
    <row r="1952" spans="46:54" x14ac:dyDescent="0.25">
      <c r="AT1952" s="2" t="str">
        <f>IF($L1952="","",IFERROR(INDEX('AR SALES'!$H$2:$H$2501,MATCH(""&amp;$L1952,'AR SALES'!$AE$2:$AE$2501,0)),""))</f>
        <v/>
      </c>
      <c r="AU1952" s="2" t="str">
        <f t="shared" si="120"/>
        <v/>
      </c>
      <c r="AV1952" s="2" t="str">
        <f t="shared" si="121"/>
        <v/>
      </c>
      <c r="AW1952" s="2" t="str">
        <f t="shared" si="122"/>
        <v/>
      </c>
      <c r="AX1952" s="2" t="str">
        <f t="shared" si="123"/>
        <v/>
      </c>
      <c r="AY1952" s="2" t="str">
        <f>IF($AV1952="","",IF(AND($Z1952=0,COUNTIF('AR SALES'!$L$2:$L$2501,$L1952)=0),"YES",""))</f>
        <v/>
      </c>
      <c r="AZ1952" s="2" t="str">
        <f>IF($AV1952="","",IF(COUNTIF(LISTS!$C$2:$C$250,$AU1952)=0,"NEW",""))</f>
        <v/>
      </c>
      <c r="BA1952" s="2" t="str">
        <f>IF(""&amp;$F1952&lt;&gt;"4","",IF($AY1952="YES","",IF(ROUND(SUMIFS($AE$2:$AE$4001,$L$2:$L$4001,$L1952,$F$2:$F$4001,"4")-SUMIFS('AR SALES'!$Y$2:$Y$2501,'AR SALES'!$L$2:$L$2501,$L1952,'AR SALES'!$AD$2:$AD$2501,"OFF"),2)=0,"","STALE")))</f>
        <v/>
      </c>
      <c r="BB1952" s="2" t="str">
        <f>IF(OR(""&amp;$F1952="2",""&amp;$F1952="4",""&amp;$F1952="G",""&amp;$F1952="H"),IF($AY1952="YES","",IF($AB1952&lt;&gt;0,"",IF(COUNTIFS('AR SALES'!$L$2:$L$2501,$L1952,'AR SALES'!$AD$2:$AD$2501,IF(""&amp;$F1952="4","OFF","ON"),'AR SALES'!$AF$2:$AF$2501,"Y")&gt;0,"","NO EXEMPTION"))),"")</f>
        <v/>
      </c>
    </row>
    <row r="1953" spans="46:54" x14ac:dyDescent="0.25">
      <c r="AT1953" s="2" t="str">
        <f>IF($L1953="","",IFERROR(INDEX('AR SALES'!$H$2:$H$2501,MATCH(""&amp;$L1953,'AR SALES'!$AE$2:$AE$2501,0)),""))</f>
        <v/>
      </c>
      <c r="AU1953" s="2" t="str">
        <f t="shared" si="120"/>
        <v/>
      </c>
      <c r="AV1953" s="2" t="str">
        <f t="shared" si="121"/>
        <v/>
      </c>
      <c r="AW1953" s="2" t="str">
        <f t="shared" si="122"/>
        <v/>
      </c>
      <c r="AX1953" s="2" t="str">
        <f t="shared" si="123"/>
        <v/>
      </c>
      <c r="AY1953" s="2" t="str">
        <f>IF($AV1953="","",IF(AND($Z1953=0,COUNTIF('AR SALES'!$L$2:$L$2501,$L1953)=0),"YES",""))</f>
        <v/>
      </c>
      <c r="AZ1953" s="2" t="str">
        <f>IF($AV1953="","",IF(COUNTIF(LISTS!$C$2:$C$250,$AU1953)=0,"NEW",""))</f>
        <v/>
      </c>
      <c r="BA1953" s="2" t="str">
        <f>IF(""&amp;$F1953&lt;&gt;"4","",IF($AY1953="YES","",IF(ROUND(SUMIFS($AE$2:$AE$4001,$L$2:$L$4001,$L1953,$F$2:$F$4001,"4")-SUMIFS('AR SALES'!$Y$2:$Y$2501,'AR SALES'!$L$2:$L$2501,$L1953,'AR SALES'!$AD$2:$AD$2501,"OFF"),2)=0,"","STALE")))</f>
        <v/>
      </c>
      <c r="BB1953" s="2" t="str">
        <f>IF(OR(""&amp;$F1953="2",""&amp;$F1953="4",""&amp;$F1953="G",""&amp;$F1953="H"),IF($AY1953="YES","",IF($AB1953&lt;&gt;0,"",IF(COUNTIFS('AR SALES'!$L$2:$L$2501,$L1953,'AR SALES'!$AD$2:$AD$2501,IF(""&amp;$F1953="4","OFF","ON"),'AR SALES'!$AF$2:$AF$2501,"Y")&gt;0,"","NO EXEMPTION"))),"")</f>
        <v/>
      </c>
    </row>
    <row r="1954" spans="46:54" x14ac:dyDescent="0.25">
      <c r="AT1954" s="2" t="str">
        <f>IF($L1954="","",IFERROR(INDEX('AR SALES'!$H$2:$H$2501,MATCH(""&amp;$L1954,'AR SALES'!$AE$2:$AE$2501,0)),""))</f>
        <v/>
      </c>
      <c r="AU1954" s="2" t="str">
        <f t="shared" si="120"/>
        <v/>
      </c>
      <c r="AV1954" s="2" t="str">
        <f t="shared" si="121"/>
        <v/>
      </c>
      <c r="AW1954" s="2" t="str">
        <f t="shared" si="122"/>
        <v/>
      </c>
      <c r="AX1954" s="2" t="str">
        <f t="shared" si="123"/>
        <v/>
      </c>
      <c r="AY1954" s="2" t="str">
        <f>IF($AV1954="","",IF(AND($Z1954=0,COUNTIF('AR SALES'!$L$2:$L$2501,$L1954)=0),"YES",""))</f>
        <v/>
      </c>
      <c r="AZ1954" s="2" t="str">
        <f>IF($AV1954="","",IF(COUNTIF(LISTS!$C$2:$C$250,$AU1954)=0,"NEW",""))</f>
        <v/>
      </c>
      <c r="BA1954" s="2" t="str">
        <f>IF(""&amp;$F1954&lt;&gt;"4","",IF($AY1954="YES","",IF(ROUND(SUMIFS($AE$2:$AE$4001,$L$2:$L$4001,$L1954,$F$2:$F$4001,"4")-SUMIFS('AR SALES'!$Y$2:$Y$2501,'AR SALES'!$L$2:$L$2501,$L1954,'AR SALES'!$AD$2:$AD$2501,"OFF"),2)=0,"","STALE")))</f>
        <v/>
      </c>
      <c r="BB1954" s="2" t="str">
        <f>IF(OR(""&amp;$F1954="2",""&amp;$F1954="4",""&amp;$F1954="G",""&amp;$F1954="H"),IF($AY1954="YES","",IF($AB1954&lt;&gt;0,"",IF(COUNTIFS('AR SALES'!$L$2:$L$2501,$L1954,'AR SALES'!$AD$2:$AD$2501,IF(""&amp;$F1954="4","OFF","ON"),'AR SALES'!$AF$2:$AF$2501,"Y")&gt;0,"","NO EXEMPTION"))),"")</f>
        <v/>
      </c>
    </row>
    <row r="1955" spans="46:54" x14ac:dyDescent="0.25">
      <c r="AT1955" s="2" t="str">
        <f>IF($L1955="","",IFERROR(INDEX('AR SALES'!$H$2:$H$2501,MATCH(""&amp;$L1955,'AR SALES'!$AE$2:$AE$2501,0)),""))</f>
        <v/>
      </c>
      <c r="AU1955" s="2" t="str">
        <f t="shared" si="120"/>
        <v/>
      </c>
      <c r="AV1955" s="2" t="str">
        <f t="shared" si="121"/>
        <v/>
      </c>
      <c r="AW1955" s="2" t="str">
        <f t="shared" si="122"/>
        <v/>
      </c>
      <c r="AX1955" s="2" t="str">
        <f t="shared" si="123"/>
        <v/>
      </c>
      <c r="AY1955" s="2" t="str">
        <f>IF($AV1955="","",IF(AND($Z1955=0,COUNTIF('AR SALES'!$L$2:$L$2501,$L1955)=0),"YES",""))</f>
        <v/>
      </c>
      <c r="AZ1955" s="2" t="str">
        <f>IF($AV1955="","",IF(COUNTIF(LISTS!$C$2:$C$250,$AU1955)=0,"NEW",""))</f>
        <v/>
      </c>
      <c r="BA1955" s="2" t="str">
        <f>IF(""&amp;$F1955&lt;&gt;"4","",IF($AY1955="YES","",IF(ROUND(SUMIFS($AE$2:$AE$4001,$L$2:$L$4001,$L1955,$F$2:$F$4001,"4")-SUMIFS('AR SALES'!$Y$2:$Y$2501,'AR SALES'!$L$2:$L$2501,$L1955,'AR SALES'!$AD$2:$AD$2501,"OFF"),2)=0,"","STALE")))</f>
        <v/>
      </c>
      <c r="BB1955" s="2" t="str">
        <f>IF(OR(""&amp;$F1955="2",""&amp;$F1955="4",""&amp;$F1955="G",""&amp;$F1955="H"),IF($AY1955="YES","",IF($AB1955&lt;&gt;0,"",IF(COUNTIFS('AR SALES'!$L$2:$L$2501,$L1955,'AR SALES'!$AD$2:$AD$2501,IF(""&amp;$F1955="4","OFF","ON"),'AR SALES'!$AF$2:$AF$2501,"Y")&gt;0,"","NO EXEMPTION"))),"")</f>
        <v/>
      </c>
    </row>
    <row r="1956" spans="46:54" x14ac:dyDescent="0.25">
      <c r="AT1956" s="2" t="str">
        <f>IF($L1956="","",IFERROR(INDEX('AR SALES'!$H$2:$H$2501,MATCH(""&amp;$L1956,'AR SALES'!$AE$2:$AE$2501,0)),""))</f>
        <v/>
      </c>
      <c r="AU1956" s="2" t="str">
        <f t="shared" si="120"/>
        <v/>
      </c>
      <c r="AV1956" s="2" t="str">
        <f t="shared" si="121"/>
        <v/>
      </c>
      <c r="AW1956" s="2" t="str">
        <f t="shared" si="122"/>
        <v/>
      </c>
      <c r="AX1956" s="2" t="str">
        <f t="shared" si="123"/>
        <v/>
      </c>
      <c r="AY1956" s="2" t="str">
        <f>IF($AV1956="","",IF(AND($Z1956=0,COUNTIF('AR SALES'!$L$2:$L$2501,$L1956)=0),"YES",""))</f>
        <v/>
      </c>
      <c r="AZ1956" s="2" t="str">
        <f>IF($AV1956="","",IF(COUNTIF(LISTS!$C$2:$C$250,$AU1956)=0,"NEW",""))</f>
        <v/>
      </c>
      <c r="BA1956" s="2" t="str">
        <f>IF(""&amp;$F1956&lt;&gt;"4","",IF($AY1956="YES","",IF(ROUND(SUMIFS($AE$2:$AE$4001,$L$2:$L$4001,$L1956,$F$2:$F$4001,"4")-SUMIFS('AR SALES'!$Y$2:$Y$2501,'AR SALES'!$L$2:$L$2501,$L1956,'AR SALES'!$AD$2:$AD$2501,"OFF"),2)=0,"","STALE")))</f>
        <v/>
      </c>
      <c r="BB1956" s="2" t="str">
        <f>IF(OR(""&amp;$F1956="2",""&amp;$F1956="4",""&amp;$F1956="G",""&amp;$F1956="H"),IF($AY1956="YES","",IF($AB1956&lt;&gt;0,"",IF(COUNTIFS('AR SALES'!$L$2:$L$2501,$L1956,'AR SALES'!$AD$2:$AD$2501,IF(""&amp;$F1956="4","OFF","ON"),'AR SALES'!$AF$2:$AF$2501,"Y")&gt;0,"","NO EXEMPTION"))),"")</f>
        <v/>
      </c>
    </row>
    <row r="1957" spans="46:54" x14ac:dyDescent="0.25">
      <c r="AT1957" s="2" t="str">
        <f>IF($L1957="","",IFERROR(INDEX('AR SALES'!$H$2:$H$2501,MATCH(""&amp;$L1957,'AR SALES'!$AE$2:$AE$2501,0)),""))</f>
        <v/>
      </c>
      <c r="AU1957" s="2" t="str">
        <f t="shared" si="120"/>
        <v/>
      </c>
      <c r="AV1957" s="2" t="str">
        <f t="shared" si="121"/>
        <v/>
      </c>
      <c r="AW1957" s="2" t="str">
        <f t="shared" si="122"/>
        <v/>
      </c>
      <c r="AX1957" s="2" t="str">
        <f t="shared" si="123"/>
        <v/>
      </c>
      <c r="AY1957" s="2" t="str">
        <f>IF($AV1957="","",IF(AND($Z1957=0,COUNTIF('AR SALES'!$L$2:$L$2501,$L1957)=0),"YES",""))</f>
        <v/>
      </c>
      <c r="AZ1957" s="2" t="str">
        <f>IF($AV1957="","",IF(COUNTIF(LISTS!$C$2:$C$250,$AU1957)=0,"NEW",""))</f>
        <v/>
      </c>
      <c r="BA1957" s="2" t="str">
        <f>IF(""&amp;$F1957&lt;&gt;"4","",IF($AY1957="YES","",IF(ROUND(SUMIFS($AE$2:$AE$4001,$L$2:$L$4001,$L1957,$F$2:$F$4001,"4")-SUMIFS('AR SALES'!$Y$2:$Y$2501,'AR SALES'!$L$2:$L$2501,$L1957,'AR SALES'!$AD$2:$AD$2501,"OFF"),2)=0,"","STALE")))</f>
        <v/>
      </c>
      <c r="BB1957" s="2" t="str">
        <f>IF(OR(""&amp;$F1957="2",""&amp;$F1957="4",""&amp;$F1957="G",""&amp;$F1957="H"),IF($AY1957="YES","",IF($AB1957&lt;&gt;0,"",IF(COUNTIFS('AR SALES'!$L$2:$L$2501,$L1957,'AR SALES'!$AD$2:$AD$2501,IF(""&amp;$F1957="4","OFF","ON"),'AR SALES'!$AF$2:$AF$2501,"Y")&gt;0,"","NO EXEMPTION"))),"")</f>
        <v/>
      </c>
    </row>
    <row r="1958" spans="46:54" x14ac:dyDescent="0.25">
      <c r="AT1958" s="2" t="str">
        <f>IF($L1958="","",IFERROR(INDEX('AR SALES'!$H$2:$H$2501,MATCH(""&amp;$L1958,'AR SALES'!$AE$2:$AE$2501,0)),""))</f>
        <v/>
      </c>
      <c r="AU1958" s="2" t="str">
        <f t="shared" si="120"/>
        <v/>
      </c>
      <c r="AV1958" s="2" t="str">
        <f t="shared" si="121"/>
        <v/>
      </c>
      <c r="AW1958" s="2" t="str">
        <f t="shared" si="122"/>
        <v/>
      </c>
      <c r="AX1958" s="2" t="str">
        <f t="shared" si="123"/>
        <v/>
      </c>
      <c r="AY1958" s="2" t="str">
        <f>IF($AV1958="","",IF(AND($Z1958=0,COUNTIF('AR SALES'!$L$2:$L$2501,$L1958)=0),"YES",""))</f>
        <v/>
      </c>
      <c r="AZ1958" s="2" t="str">
        <f>IF($AV1958="","",IF(COUNTIF(LISTS!$C$2:$C$250,$AU1958)=0,"NEW",""))</f>
        <v/>
      </c>
      <c r="BA1958" s="2" t="str">
        <f>IF(""&amp;$F1958&lt;&gt;"4","",IF($AY1958="YES","",IF(ROUND(SUMIFS($AE$2:$AE$4001,$L$2:$L$4001,$L1958,$F$2:$F$4001,"4")-SUMIFS('AR SALES'!$Y$2:$Y$2501,'AR SALES'!$L$2:$L$2501,$L1958,'AR SALES'!$AD$2:$AD$2501,"OFF"),2)=0,"","STALE")))</f>
        <v/>
      </c>
      <c r="BB1958" s="2" t="str">
        <f>IF(OR(""&amp;$F1958="2",""&amp;$F1958="4",""&amp;$F1958="G",""&amp;$F1958="H"),IF($AY1958="YES","",IF($AB1958&lt;&gt;0,"",IF(COUNTIFS('AR SALES'!$L$2:$L$2501,$L1958,'AR SALES'!$AD$2:$AD$2501,IF(""&amp;$F1958="4","OFF","ON"),'AR SALES'!$AF$2:$AF$2501,"Y")&gt;0,"","NO EXEMPTION"))),"")</f>
        <v/>
      </c>
    </row>
    <row r="1959" spans="46:54" x14ac:dyDescent="0.25">
      <c r="AT1959" s="2" t="str">
        <f>IF($L1959="","",IFERROR(INDEX('AR SALES'!$H$2:$H$2501,MATCH(""&amp;$L1959,'AR SALES'!$AE$2:$AE$2501,0)),""))</f>
        <v/>
      </c>
      <c r="AU1959" s="2" t="str">
        <f t="shared" si="120"/>
        <v/>
      </c>
      <c r="AV1959" s="2" t="str">
        <f t="shared" si="121"/>
        <v/>
      </c>
      <c r="AW1959" s="2" t="str">
        <f t="shared" si="122"/>
        <v/>
      </c>
      <c r="AX1959" s="2" t="str">
        <f t="shared" si="123"/>
        <v/>
      </c>
      <c r="AY1959" s="2" t="str">
        <f>IF($AV1959="","",IF(AND($Z1959=0,COUNTIF('AR SALES'!$L$2:$L$2501,$L1959)=0),"YES",""))</f>
        <v/>
      </c>
      <c r="AZ1959" s="2" t="str">
        <f>IF($AV1959="","",IF(COUNTIF(LISTS!$C$2:$C$250,$AU1959)=0,"NEW",""))</f>
        <v/>
      </c>
      <c r="BA1959" s="2" t="str">
        <f>IF(""&amp;$F1959&lt;&gt;"4","",IF($AY1959="YES","",IF(ROUND(SUMIFS($AE$2:$AE$4001,$L$2:$L$4001,$L1959,$F$2:$F$4001,"4")-SUMIFS('AR SALES'!$Y$2:$Y$2501,'AR SALES'!$L$2:$L$2501,$L1959,'AR SALES'!$AD$2:$AD$2501,"OFF"),2)=0,"","STALE")))</f>
        <v/>
      </c>
      <c r="BB1959" s="2" t="str">
        <f>IF(OR(""&amp;$F1959="2",""&amp;$F1959="4",""&amp;$F1959="G",""&amp;$F1959="H"),IF($AY1959="YES","",IF($AB1959&lt;&gt;0,"",IF(COUNTIFS('AR SALES'!$L$2:$L$2501,$L1959,'AR SALES'!$AD$2:$AD$2501,IF(""&amp;$F1959="4","OFF","ON"),'AR SALES'!$AF$2:$AF$2501,"Y")&gt;0,"","NO EXEMPTION"))),"")</f>
        <v/>
      </c>
    </row>
    <row r="1960" spans="46:54" x14ac:dyDescent="0.25">
      <c r="AT1960" s="2" t="str">
        <f>IF($L1960="","",IFERROR(INDEX('AR SALES'!$H$2:$H$2501,MATCH(""&amp;$L1960,'AR SALES'!$AE$2:$AE$2501,0)),""))</f>
        <v/>
      </c>
      <c r="AU1960" s="2" t="str">
        <f t="shared" si="120"/>
        <v/>
      </c>
      <c r="AV1960" s="2" t="str">
        <f t="shared" si="121"/>
        <v/>
      </c>
      <c r="AW1960" s="2" t="str">
        <f t="shared" si="122"/>
        <v/>
      </c>
      <c r="AX1960" s="2" t="str">
        <f t="shared" si="123"/>
        <v/>
      </c>
      <c r="AY1960" s="2" t="str">
        <f>IF($AV1960="","",IF(AND($Z1960=0,COUNTIF('AR SALES'!$L$2:$L$2501,$L1960)=0),"YES",""))</f>
        <v/>
      </c>
      <c r="AZ1960" s="2" t="str">
        <f>IF($AV1960="","",IF(COUNTIF(LISTS!$C$2:$C$250,$AU1960)=0,"NEW",""))</f>
        <v/>
      </c>
      <c r="BA1960" s="2" t="str">
        <f>IF(""&amp;$F1960&lt;&gt;"4","",IF($AY1960="YES","",IF(ROUND(SUMIFS($AE$2:$AE$4001,$L$2:$L$4001,$L1960,$F$2:$F$4001,"4")-SUMIFS('AR SALES'!$Y$2:$Y$2501,'AR SALES'!$L$2:$L$2501,$L1960,'AR SALES'!$AD$2:$AD$2501,"OFF"),2)=0,"","STALE")))</f>
        <v/>
      </c>
      <c r="BB1960" s="2" t="str">
        <f>IF(OR(""&amp;$F1960="2",""&amp;$F1960="4",""&amp;$F1960="G",""&amp;$F1960="H"),IF($AY1960="YES","",IF($AB1960&lt;&gt;0,"",IF(COUNTIFS('AR SALES'!$L$2:$L$2501,$L1960,'AR SALES'!$AD$2:$AD$2501,IF(""&amp;$F1960="4","OFF","ON"),'AR SALES'!$AF$2:$AF$2501,"Y")&gt;0,"","NO EXEMPTION"))),"")</f>
        <v/>
      </c>
    </row>
    <row r="1961" spans="46:54" x14ac:dyDescent="0.25">
      <c r="AT1961" s="2" t="str">
        <f>IF($L1961="","",IFERROR(INDEX('AR SALES'!$H$2:$H$2501,MATCH(""&amp;$L1961,'AR SALES'!$AE$2:$AE$2501,0)),""))</f>
        <v/>
      </c>
      <c r="AU1961" s="2" t="str">
        <f t="shared" si="120"/>
        <v/>
      </c>
      <c r="AV1961" s="2" t="str">
        <f t="shared" si="121"/>
        <v/>
      </c>
      <c r="AW1961" s="2" t="str">
        <f t="shared" si="122"/>
        <v/>
      </c>
      <c r="AX1961" s="2" t="str">
        <f t="shared" si="123"/>
        <v/>
      </c>
      <c r="AY1961" s="2" t="str">
        <f>IF($AV1961="","",IF(AND($Z1961=0,COUNTIF('AR SALES'!$L$2:$L$2501,$L1961)=0),"YES",""))</f>
        <v/>
      </c>
      <c r="AZ1961" s="2" t="str">
        <f>IF($AV1961="","",IF(COUNTIF(LISTS!$C$2:$C$250,$AU1961)=0,"NEW",""))</f>
        <v/>
      </c>
      <c r="BA1961" s="2" t="str">
        <f>IF(""&amp;$F1961&lt;&gt;"4","",IF($AY1961="YES","",IF(ROUND(SUMIFS($AE$2:$AE$4001,$L$2:$L$4001,$L1961,$F$2:$F$4001,"4")-SUMIFS('AR SALES'!$Y$2:$Y$2501,'AR SALES'!$L$2:$L$2501,$L1961,'AR SALES'!$AD$2:$AD$2501,"OFF"),2)=0,"","STALE")))</f>
        <v/>
      </c>
      <c r="BB1961" s="2" t="str">
        <f>IF(OR(""&amp;$F1961="2",""&amp;$F1961="4",""&amp;$F1961="G",""&amp;$F1961="H"),IF($AY1961="YES","",IF($AB1961&lt;&gt;0,"",IF(COUNTIFS('AR SALES'!$L$2:$L$2501,$L1961,'AR SALES'!$AD$2:$AD$2501,IF(""&amp;$F1961="4","OFF","ON"),'AR SALES'!$AF$2:$AF$2501,"Y")&gt;0,"","NO EXEMPTION"))),"")</f>
        <v/>
      </c>
    </row>
    <row r="1962" spans="46:54" x14ac:dyDescent="0.25">
      <c r="AT1962" s="2" t="str">
        <f>IF($L1962="","",IFERROR(INDEX('AR SALES'!$H$2:$H$2501,MATCH(""&amp;$L1962,'AR SALES'!$AE$2:$AE$2501,0)),""))</f>
        <v/>
      </c>
      <c r="AU1962" s="2" t="str">
        <f t="shared" si="120"/>
        <v/>
      </c>
      <c r="AV1962" s="2" t="str">
        <f t="shared" si="121"/>
        <v/>
      </c>
      <c r="AW1962" s="2" t="str">
        <f t="shared" si="122"/>
        <v/>
      </c>
      <c r="AX1962" s="2" t="str">
        <f t="shared" si="123"/>
        <v/>
      </c>
      <c r="AY1962" s="2" t="str">
        <f>IF($AV1962="","",IF(AND($Z1962=0,COUNTIF('AR SALES'!$L$2:$L$2501,$L1962)=0),"YES",""))</f>
        <v/>
      </c>
      <c r="AZ1962" s="2" t="str">
        <f>IF($AV1962="","",IF(COUNTIF(LISTS!$C$2:$C$250,$AU1962)=0,"NEW",""))</f>
        <v/>
      </c>
      <c r="BA1962" s="2" t="str">
        <f>IF(""&amp;$F1962&lt;&gt;"4","",IF($AY1962="YES","",IF(ROUND(SUMIFS($AE$2:$AE$4001,$L$2:$L$4001,$L1962,$F$2:$F$4001,"4")-SUMIFS('AR SALES'!$Y$2:$Y$2501,'AR SALES'!$L$2:$L$2501,$L1962,'AR SALES'!$AD$2:$AD$2501,"OFF"),2)=0,"","STALE")))</f>
        <v/>
      </c>
      <c r="BB1962" s="2" t="str">
        <f>IF(OR(""&amp;$F1962="2",""&amp;$F1962="4",""&amp;$F1962="G",""&amp;$F1962="H"),IF($AY1962="YES","",IF($AB1962&lt;&gt;0,"",IF(COUNTIFS('AR SALES'!$L$2:$L$2501,$L1962,'AR SALES'!$AD$2:$AD$2501,IF(""&amp;$F1962="4","OFF","ON"),'AR SALES'!$AF$2:$AF$2501,"Y")&gt;0,"","NO EXEMPTION"))),"")</f>
        <v/>
      </c>
    </row>
    <row r="1963" spans="46:54" x14ac:dyDescent="0.25">
      <c r="AT1963" s="2" t="str">
        <f>IF($L1963="","",IFERROR(INDEX('AR SALES'!$H$2:$H$2501,MATCH(""&amp;$L1963,'AR SALES'!$AE$2:$AE$2501,0)),""))</f>
        <v/>
      </c>
      <c r="AU1963" s="2" t="str">
        <f t="shared" si="120"/>
        <v/>
      </c>
      <c r="AV1963" s="2" t="str">
        <f t="shared" si="121"/>
        <v/>
      </c>
      <c r="AW1963" s="2" t="str">
        <f t="shared" si="122"/>
        <v/>
      </c>
      <c r="AX1963" s="2" t="str">
        <f t="shared" si="123"/>
        <v/>
      </c>
      <c r="AY1963" s="2" t="str">
        <f>IF($AV1963="","",IF(AND($Z1963=0,COUNTIF('AR SALES'!$L$2:$L$2501,$L1963)=0),"YES",""))</f>
        <v/>
      </c>
      <c r="AZ1963" s="2" t="str">
        <f>IF($AV1963="","",IF(COUNTIF(LISTS!$C$2:$C$250,$AU1963)=0,"NEW",""))</f>
        <v/>
      </c>
      <c r="BA1963" s="2" t="str">
        <f>IF(""&amp;$F1963&lt;&gt;"4","",IF($AY1963="YES","",IF(ROUND(SUMIFS($AE$2:$AE$4001,$L$2:$L$4001,$L1963,$F$2:$F$4001,"4")-SUMIFS('AR SALES'!$Y$2:$Y$2501,'AR SALES'!$L$2:$L$2501,$L1963,'AR SALES'!$AD$2:$AD$2501,"OFF"),2)=0,"","STALE")))</f>
        <v/>
      </c>
      <c r="BB1963" s="2" t="str">
        <f>IF(OR(""&amp;$F1963="2",""&amp;$F1963="4",""&amp;$F1963="G",""&amp;$F1963="H"),IF($AY1963="YES","",IF($AB1963&lt;&gt;0,"",IF(COUNTIFS('AR SALES'!$L$2:$L$2501,$L1963,'AR SALES'!$AD$2:$AD$2501,IF(""&amp;$F1963="4","OFF","ON"),'AR SALES'!$AF$2:$AF$2501,"Y")&gt;0,"","NO EXEMPTION"))),"")</f>
        <v/>
      </c>
    </row>
    <row r="1964" spans="46:54" x14ac:dyDescent="0.25">
      <c r="AT1964" s="2" t="str">
        <f>IF($L1964="","",IFERROR(INDEX('AR SALES'!$H$2:$H$2501,MATCH(""&amp;$L1964,'AR SALES'!$AE$2:$AE$2501,0)),""))</f>
        <v/>
      </c>
      <c r="AU1964" s="2" t="str">
        <f t="shared" si="120"/>
        <v/>
      </c>
      <c r="AV1964" s="2" t="str">
        <f t="shared" si="121"/>
        <v/>
      </c>
      <c r="AW1964" s="2" t="str">
        <f t="shared" si="122"/>
        <v/>
      </c>
      <c r="AX1964" s="2" t="str">
        <f t="shared" si="123"/>
        <v/>
      </c>
      <c r="AY1964" s="2" t="str">
        <f>IF($AV1964="","",IF(AND($Z1964=0,COUNTIF('AR SALES'!$L$2:$L$2501,$L1964)=0),"YES",""))</f>
        <v/>
      </c>
      <c r="AZ1964" s="2" t="str">
        <f>IF($AV1964="","",IF(COUNTIF(LISTS!$C$2:$C$250,$AU1964)=0,"NEW",""))</f>
        <v/>
      </c>
      <c r="BA1964" s="2" t="str">
        <f>IF(""&amp;$F1964&lt;&gt;"4","",IF($AY1964="YES","",IF(ROUND(SUMIFS($AE$2:$AE$4001,$L$2:$L$4001,$L1964,$F$2:$F$4001,"4")-SUMIFS('AR SALES'!$Y$2:$Y$2501,'AR SALES'!$L$2:$L$2501,$L1964,'AR SALES'!$AD$2:$AD$2501,"OFF"),2)=0,"","STALE")))</f>
        <v/>
      </c>
      <c r="BB1964" s="2" t="str">
        <f>IF(OR(""&amp;$F1964="2",""&amp;$F1964="4",""&amp;$F1964="G",""&amp;$F1964="H"),IF($AY1964="YES","",IF($AB1964&lt;&gt;0,"",IF(COUNTIFS('AR SALES'!$L$2:$L$2501,$L1964,'AR SALES'!$AD$2:$AD$2501,IF(""&amp;$F1964="4","OFF","ON"),'AR SALES'!$AF$2:$AF$2501,"Y")&gt;0,"","NO EXEMPTION"))),"")</f>
        <v/>
      </c>
    </row>
    <row r="1965" spans="46:54" x14ac:dyDescent="0.25">
      <c r="AT1965" s="2" t="str">
        <f>IF($L1965="","",IFERROR(INDEX('AR SALES'!$H$2:$H$2501,MATCH(""&amp;$L1965,'AR SALES'!$AE$2:$AE$2501,0)),""))</f>
        <v/>
      </c>
      <c r="AU1965" s="2" t="str">
        <f t="shared" si="120"/>
        <v/>
      </c>
      <c r="AV1965" s="2" t="str">
        <f t="shared" si="121"/>
        <v/>
      </c>
      <c r="AW1965" s="2" t="str">
        <f t="shared" si="122"/>
        <v/>
      </c>
      <c r="AX1965" s="2" t="str">
        <f t="shared" si="123"/>
        <v/>
      </c>
      <c r="AY1965" s="2" t="str">
        <f>IF($AV1965="","",IF(AND($Z1965=0,COUNTIF('AR SALES'!$L$2:$L$2501,$L1965)=0),"YES",""))</f>
        <v/>
      </c>
      <c r="AZ1965" s="2" t="str">
        <f>IF($AV1965="","",IF(COUNTIF(LISTS!$C$2:$C$250,$AU1965)=0,"NEW",""))</f>
        <v/>
      </c>
      <c r="BA1965" s="2" t="str">
        <f>IF(""&amp;$F1965&lt;&gt;"4","",IF($AY1965="YES","",IF(ROUND(SUMIFS($AE$2:$AE$4001,$L$2:$L$4001,$L1965,$F$2:$F$4001,"4")-SUMIFS('AR SALES'!$Y$2:$Y$2501,'AR SALES'!$L$2:$L$2501,$L1965,'AR SALES'!$AD$2:$AD$2501,"OFF"),2)=0,"","STALE")))</f>
        <v/>
      </c>
      <c r="BB1965" s="2" t="str">
        <f>IF(OR(""&amp;$F1965="2",""&amp;$F1965="4",""&amp;$F1965="G",""&amp;$F1965="H"),IF($AY1965="YES","",IF($AB1965&lt;&gt;0,"",IF(COUNTIFS('AR SALES'!$L$2:$L$2501,$L1965,'AR SALES'!$AD$2:$AD$2501,IF(""&amp;$F1965="4","OFF","ON"),'AR SALES'!$AF$2:$AF$2501,"Y")&gt;0,"","NO EXEMPTION"))),"")</f>
        <v/>
      </c>
    </row>
    <row r="1966" spans="46:54" x14ac:dyDescent="0.25">
      <c r="AT1966" s="2" t="str">
        <f>IF($L1966="","",IFERROR(INDEX('AR SALES'!$H$2:$H$2501,MATCH(""&amp;$L1966,'AR SALES'!$AE$2:$AE$2501,0)),""))</f>
        <v/>
      </c>
      <c r="AU1966" s="2" t="str">
        <f t="shared" si="120"/>
        <v/>
      </c>
      <c r="AV1966" s="2" t="str">
        <f t="shared" si="121"/>
        <v/>
      </c>
      <c r="AW1966" s="2" t="str">
        <f t="shared" si="122"/>
        <v/>
      </c>
      <c r="AX1966" s="2" t="str">
        <f t="shared" si="123"/>
        <v/>
      </c>
      <c r="AY1966" s="2" t="str">
        <f>IF($AV1966="","",IF(AND($Z1966=0,COUNTIF('AR SALES'!$L$2:$L$2501,$L1966)=0),"YES",""))</f>
        <v/>
      </c>
      <c r="AZ1966" s="2" t="str">
        <f>IF($AV1966="","",IF(COUNTIF(LISTS!$C$2:$C$250,$AU1966)=0,"NEW",""))</f>
        <v/>
      </c>
      <c r="BA1966" s="2" t="str">
        <f>IF(""&amp;$F1966&lt;&gt;"4","",IF($AY1966="YES","",IF(ROUND(SUMIFS($AE$2:$AE$4001,$L$2:$L$4001,$L1966,$F$2:$F$4001,"4")-SUMIFS('AR SALES'!$Y$2:$Y$2501,'AR SALES'!$L$2:$L$2501,$L1966,'AR SALES'!$AD$2:$AD$2501,"OFF"),2)=0,"","STALE")))</f>
        <v/>
      </c>
      <c r="BB1966" s="2" t="str">
        <f>IF(OR(""&amp;$F1966="2",""&amp;$F1966="4",""&amp;$F1966="G",""&amp;$F1966="H"),IF($AY1966="YES","",IF($AB1966&lt;&gt;0,"",IF(COUNTIFS('AR SALES'!$L$2:$L$2501,$L1966,'AR SALES'!$AD$2:$AD$2501,IF(""&amp;$F1966="4","OFF","ON"),'AR SALES'!$AF$2:$AF$2501,"Y")&gt;0,"","NO EXEMPTION"))),"")</f>
        <v/>
      </c>
    </row>
    <row r="1967" spans="46:54" x14ac:dyDescent="0.25">
      <c r="AT1967" s="2" t="str">
        <f>IF($L1967="","",IFERROR(INDEX('AR SALES'!$H$2:$H$2501,MATCH(""&amp;$L1967,'AR SALES'!$AE$2:$AE$2501,0)),""))</f>
        <v/>
      </c>
      <c r="AU1967" s="2" t="str">
        <f t="shared" si="120"/>
        <v/>
      </c>
      <c r="AV1967" s="2" t="str">
        <f t="shared" si="121"/>
        <v/>
      </c>
      <c r="AW1967" s="2" t="str">
        <f t="shared" si="122"/>
        <v/>
      </c>
      <c r="AX1967" s="2" t="str">
        <f t="shared" si="123"/>
        <v/>
      </c>
      <c r="AY1967" s="2" t="str">
        <f>IF($AV1967="","",IF(AND($Z1967=0,COUNTIF('AR SALES'!$L$2:$L$2501,$L1967)=0),"YES",""))</f>
        <v/>
      </c>
      <c r="AZ1967" s="2" t="str">
        <f>IF($AV1967="","",IF(COUNTIF(LISTS!$C$2:$C$250,$AU1967)=0,"NEW",""))</f>
        <v/>
      </c>
      <c r="BA1967" s="2" t="str">
        <f>IF(""&amp;$F1967&lt;&gt;"4","",IF($AY1967="YES","",IF(ROUND(SUMIFS($AE$2:$AE$4001,$L$2:$L$4001,$L1967,$F$2:$F$4001,"4")-SUMIFS('AR SALES'!$Y$2:$Y$2501,'AR SALES'!$L$2:$L$2501,$L1967,'AR SALES'!$AD$2:$AD$2501,"OFF"),2)=0,"","STALE")))</f>
        <v/>
      </c>
      <c r="BB1967" s="2" t="str">
        <f>IF(OR(""&amp;$F1967="2",""&amp;$F1967="4",""&amp;$F1967="G",""&amp;$F1967="H"),IF($AY1967="YES","",IF($AB1967&lt;&gt;0,"",IF(COUNTIFS('AR SALES'!$L$2:$L$2501,$L1967,'AR SALES'!$AD$2:$AD$2501,IF(""&amp;$F1967="4","OFF","ON"),'AR SALES'!$AF$2:$AF$2501,"Y")&gt;0,"","NO EXEMPTION"))),"")</f>
        <v/>
      </c>
    </row>
    <row r="1968" spans="46:54" x14ac:dyDescent="0.25">
      <c r="AT1968" s="2" t="str">
        <f>IF($L1968="","",IFERROR(INDEX('AR SALES'!$H$2:$H$2501,MATCH(""&amp;$L1968,'AR SALES'!$AE$2:$AE$2501,0)),""))</f>
        <v/>
      </c>
      <c r="AU1968" s="2" t="str">
        <f t="shared" si="120"/>
        <v/>
      </c>
      <c r="AV1968" s="2" t="str">
        <f t="shared" si="121"/>
        <v/>
      </c>
      <c r="AW1968" s="2" t="str">
        <f t="shared" si="122"/>
        <v/>
      </c>
      <c r="AX1968" s="2" t="str">
        <f t="shared" si="123"/>
        <v/>
      </c>
      <c r="AY1968" s="2" t="str">
        <f>IF($AV1968="","",IF(AND($Z1968=0,COUNTIF('AR SALES'!$L$2:$L$2501,$L1968)=0),"YES",""))</f>
        <v/>
      </c>
      <c r="AZ1968" s="2" t="str">
        <f>IF($AV1968="","",IF(COUNTIF(LISTS!$C$2:$C$250,$AU1968)=0,"NEW",""))</f>
        <v/>
      </c>
      <c r="BA1968" s="2" t="str">
        <f>IF(""&amp;$F1968&lt;&gt;"4","",IF($AY1968="YES","",IF(ROUND(SUMIFS($AE$2:$AE$4001,$L$2:$L$4001,$L1968,$F$2:$F$4001,"4")-SUMIFS('AR SALES'!$Y$2:$Y$2501,'AR SALES'!$L$2:$L$2501,$L1968,'AR SALES'!$AD$2:$AD$2501,"OFF"),2)=0,"","STALE")))</f>
        <v/>
      </c>
      <c r="BB1968" s="2" t="str">
        <f>IF(OR(""&amp;$F1968="2",""&amp;$F1968="4",""&amp;$F1968="G",""&amp;$F1968="H"),IF($AY1968="YES","",IF($AB1968&lt;&gt;0,"",IF(COUNTIFS('AR SALES'!$L$2:$L$2501,$L1968,'AR SALES'!$AD$2:$AD$2501,IF(""&amp;$F1968="4","OFF","ON"),'AR SALES'!$AF$2:$AF$2501,"Y")&gt;0,"","NO EXEMPTION"))),"")</f>
        <v/>
      </c>
    </row>
    <row r="1969" spans="46:54" x14ac:dyDescent="0.25">
      <c r="AT1969" s="2" t="str">
        <f>IF($L1969="","",IFERROR(INDEX('AR SALES'!$H$2:$H$2501,MATCH(""&amp;$L1969,'AR SALES'!$AE$2:$AE$2501,0)),""))</f>
        <v/>
      </c>
      <c r="AU1969" s="2" t="str">
        <f t="shared" si="120"/>
        <v/>
      </c>
      <c r="AV1969" s="2" t="str">
        <f t="shared" si="121"/>
        <v/>
      </c>
      <c r="AW1969" s="2" t="str">
        <f t="shared" si="122"/>
        <v/>
      </c>
      <c r="AX1969" s="2" t="str">
        <f t="shared" si="123"/>
        <v/>
      </c>
      <c r="AY1969" s="2" t="str">
        <f>IF($AV1969="","",IF(AND($Z1969=0,COUNTIF('AR SALES'!$L$2:$L$2501,$L1969)=0),"YES",""))</f>
        <v/>
      </c>
      <c r="AZ1969" s="2" t="str">
        <f>IF($AV1969="","",IF(COUNTIF(LISTS!$C$2:$C$250,$AU1969)=0,"NEW",""))</f>
        <v/>
      </c>
      <c r="BA1969" s="2" t="str">
        <f>IF(""&amp;$F1969&lt;&gt;"4","",IF($AY1969="YES","",IF(ROUND(SUMIFS($AE$2:$AE$4001,$L$2:$L$4001,$L1969,$F$2:$F$4001,"4")-SUMIFS('AR SALES'!$Y$2:$Y$2501,'AR SALES'!$L$2:$L$2501,$L1969,'AR SALES'!$AD$2:$AD$2501,"OFF"),2)=0,"","STALE")))</f>
        <v/>
      </c>
      <c r="BB1969" s="2" t="str">
        <f>IF(OR(""&amp;$F1969="2",""&amp;$F1969="4",""&amp;$F1969="G",""&amp;$F1969="H"),IF($AY1969="YES","",IF($AB1969&lt;&gt;0,"",IF(COUNTIFS('AR SALES'!$L$2:$L$2501,$L1969,'AR SALES'!$AD$2:$AD$2501,IF(""&amp;$F1969="4","OFF","ON"),'AR SALES'!$AF$2:$AF$2501,"Y")&gt;0,"","NO EXEMPTION"))),"")</f>
        <v/>
      </c>
    </row>
    <row r="1970" spans="46:54" x14ac:dyDescent="0.25">
      <c r="AT1970" s="2" t="str">
        <f>IF($L1970="","",IFERROR(INDEX('AR SALES'!$H$2:$H$2501,MATCH(""&amp;$L1970,'AR SALES'!$AE$2:$AE$2501,0)),""))</f>
        <v/>
      </c>
      <c r="AU1970" s="2" t="str">
        <f t="shared" si="120"/>
        <v/>
      </c>
      <c r="AV1970" s="2" t="str">
        <f t="shared" si="121"/>
        <v/>
      </c>
      <c r="AW1970" s="2" t="str">
        <f t="shared" si="122"/>
        <v/>
      </c>
      <c r="AX1970" s="2" t="str">
        <f t="shared" si="123"/>
        <v/>
      </c>
      <c r="AY1970" s="2" t="str">
        <f>IF($AV1970="","",IF(AND($Z1970=0,COUNTIF('AR SALES'!$L$2:$L$2501,$L1970)=0),"YES",""))</f>
        <v/>
      </c>
      <c r="AZ1970" s="2" t="str">
        <f>IF($AV1970="","",IF(COUNTIF(LISTS!$C$2:$C$250,$AU1970)=0,"NEW",""))</f>
        <v/>
      </c>
      <c r="BA1970" s="2" t="str">
        <f>IF(""&amp;$F1970&lt;&gt;"4","",IF($AY1970="YES","",IF(ROUND(SUMIFS($AE$2:$AE$4001,$L$2:$L$4001,$L1970,$F$2:$F$4001,"4")-SUMIFS('AR SALES'!$Y$2:$Y$2501,'AR SALES'!$L$2:$L$2501,$L1970,'AR SALES'!$AD$2:$AD$2501,"OFF"),2)=0,"","STALE")))</f>
        <v/>
      </c>
      <c r="BB1970" s="2" t="str">
        <f>IF(OR(""&amp;$F1970="2",""&amp;$F1970="4",""&amp;$F1970="G",""&amp;$F1970="H"),IF($AY1970="YES","",IF($AB1970&lt;&gt;0,"",IF(COUNTIFS('AR SALES'!$L$2:$L$2501,$L1970,'AR SALES'!$AD$2:$AD$2501,IF(""&amp;$F1970="4","OFF","ON"),'AR SALES'!$AF$2:$AF$2501,"Y")&gt;0,"","NO EXEMPTION"))),"")</f>
        <v/>
      </c>
    </row>
    <row r="1971" spans="46:54" x14ac:dyDescent="0.25">
      <c r="AT1971" s="2" t="str">
        <f>IF($L1971="","",IFERROR(INDEX('AR SALES'!$H$2:$H$2501,MATCH(""&amp;$L1971,'AR SALES'!$AE$2:$AE$2501,0)),""))</f>
        <v/>
      </c>
      <c r="AU1971" s="2" t="str">
        <f t="shared" si="120"/>
        <v/>
      </c>
      <c r="AV1971" s="2" t="str">
        <f t="shared" si="121"/>
        <v/>
      </c>
      <c r="AW1971" s="2" t="str">
        <f t="shared" si="122"/>
        <v/>
      </c>
      <c r="AX1971" s="2" t="str">
        <f t="shared" si="123"/>
        <v/>
      </c>
      <c r="AY1971" s="2" t="str">
        <f>IF($AV1971="","",IF(AND($Z1971=0,COUNTIF('AR SALES'!$L$2:$L$2501,$L1971)=0),"YES",""))</f>
        <v/>
      </c>
      <c r="AZ1971" s="2" t="str">
        <f>IF($AV1971="","",IF(COUNTIF(LISTS!$C$2:$C$250,$AU1971)=0,"NEW",""))</f>
        <v/>
      </c>
      <c r="BA1971" s="2" t="str">
        <f>IF(""&amp;$F1971&lt;&gt;"4","",IF($AY1971="YES","",IF(ROUND(SUMIFS($AE$2:$AE$4001,$L$2:$L$4001,$L1971,$F$2:$F$4001,"4")-SUMIFS('AR SALES'!$Y$2:$Y$2501,'AR SALES'!$L$2:$L$2501,$L1971,'AR SALES'!$AD$2:$AD$2501,"OFF"),2)=0,"","STALE")))</f>
        <v/>
      </c>
      <c r="BB1971" s="2" t="str">
        <f>IF(OR(""&amp;$F1971="2",""&amp;$F1971="4",""&amp;$F1971="G",""&amp;$F1971="H"),IF($AY1971="YES","",IF($AB1971&lt;&gt;0,"",IF(COUNTIFS('AR SALES'!$L$2:$L$2501,$L1971,'AR SALES'!$AD$2:$AD$2501,IF(""&amp;$F1971="4","OFF","ON"),'AR SALES'!$AF$2:$AF$2501,"Y")&gt;0,"","NO EXEMPTION"))),"")</f>
        <v/>
      </c>
    </row>
    <row r="1972" spans="46:54" x14ac:dyDescent="0.25">
      <c r="AT1972" s="2" t="str">
        <f>IF($L1972="","",IFERROR(INDEX('AR SALES'!$H$2:$H$2501,MATCH(""&amp;$L1972,'AR SALES'!$AE$2:$AE$2501,0)),""))</f>
        <v/>
      </c>
      <c r="AU1972" s="2" t="str">
        <f t="shared" si="120"/>
        <v/>
      </c>
      <c r="AV1972" s="2" t="str">
        <f t="shared" si="121"/>
        <v/>
      </c>
      <c r="AW1972" s="2" t="str">
        <f t="shared" si="122"/>
        <v/>
      </c>
      <c r="AX1972" s="2" t="str">
        <f t="shared" si="123"/>
        <v/>
      </c>
      <c r="AY1972" s="2" t="str">
        <f>IF($AV1972="","",IF(AND($Z1972=0,COUNTIF('AR SALES'!$L$2:$L$2501,$L1972)=0),"YES",""))</f>
        <v/>
      </c>
      <c r="AZ1972" s="2" t="str">
        <f>IF($AV1972="","",IF(COUNTIF(LISTS!$C$2:$C$250,$AU1972)=0,"NEW",""))</f>
        <v/>
      </c>
      <c r="BA1972" s="2" t="str">
        <f>IF(""&amp;$F1972&lt;&gt;"4","",IF($AY1972="YES","",IF(ROUND(SUMIFS($AE$2:$AE$4001,$L$2:$L$4001,$L1972,$F$2:$F$4001,"4")-SUMIFS('AR SALES'!$Y$2:$Y$2501,'AR SALES'!$L$2:$L$2501,$L1972,'AR SALES'!$AD$2:$AD$2501,"OFF"),2)=0,"","STALE")))</f>
        <v/>
      </c>
      <c r="BB1972" s="2" t="str">
        <f>IF(OR(""&amp;$F1972="2",""&amp;$F1972="4",""&amp;$F1972="G",""&amp;$F1972="H"),IF($AY1972="YES","",IF($AB1972&lt;&gt;0,"",IF(COUNTIFS('AR SALES'!$L$2:$L$2501,$L1972,'AR SALES'!$AD$2:$AD$2501,IF(""&amp;$F1972="4","OFF","ON"),'AR SALES'!$AF$2:$AF$2501,"Y")&gt;0,"","NO EXEMPTION"))),"")</f>
        <v/>
      </c>
    </row>
    <row r="1973" spans="46:54" x14ac:dyDescent="0.25">
      <c r="AT1973" s="2" t="str">
        <f>IF($L1973="","",IFERROR(INDEX('AR SALES'!$H$2:$H$2501,MATCH(""&amp;$L1973,'AR SALES'!$AE$2:$AE$2501,0)),""))</f>
        <v/>
      </c>
      <c r="AU1973" s="2" t="str">
        <f t="shared" si="120"/>
        <v/>
      </c>
      <c r="AV1973" s="2" t="str">
        <f t="shared" si="121"/>
        <v/>
      </c>
      <c r="AW1973" s="2" t="str">
        <f t="shared" si="122"/>
        <v/>
      </c>
      <c r="AX1973" s="2" t="str">
        <f t="shared" si="123"/>
        <v/>
      </c>
      <c r="AY1973" s="2" t="str">
        <f>IF($AV1973="","",IF(AND($Z1973=0,COUNTIF('AR SALES'!$L$2:$L$2501,$L1973)=0),"YES",""))</f>
        <v/>
      </c>
      <c r="AZ1973" s="2" t="str">
        <f>IF($AV1973="","",IF(COUNTIF(LISTS!$C$2:$C$250,$AU1973)=0,"NEW",""))</f>
        <v/>
      </c>
      <c r="BA1973" s="2" t="str">
        <f>IF(""&amp;$F1973&lt;&gt;"4","",IF($AY1973="YES","",IF(ROUND(SUMIFS($AE$2:$AE$4001,$L$2:$L$4001,$L1973,$F$2:$F$4001,"4")-SUMIFS('AR SALES'!$Y$2:$Y$2501,'AR SALES'!$L$2:$L$2501,$L1973,'AR SALES'!$AD$2:$AD$2501,"OFF"),2)=0,"","STALE")))</f>
        <v/>
      </c>
      <c r="BB1973" s="2" t="str">
        <f>IF(OR(""&amp;$F1973="2",""&amp;$F1973="4",""&amp;$F1973="G",""&amp;$F1973="H"),IF($AY1973="YES","",IF($AB1973&lt;&gt;0,"",IF(COUNTIFS('AR SALES'!$L$2:$L$2501,$L1973,'AR SALES'!$AD$2:$AD$2501,IF(""&amp;$F1973="4","OFF","ON"),'AR SALES'!$AF$2:$AF$2501,"Y")&gt;0,"","NO EXEMPTION"))),"")</f>
        <v/>
      </c>
    </row>
    <row r="1974" spans="46:54" x14ac:dyDescent="0.25">
      <c r="AT1974" s="2" t="str">
        <f>IF($L1974="","",IFERROR(INDEX('AR SALES'!$H$2:$H$2501,MATCH(""&amp;$L1974,'AR SALES'!$AE$2:$AE$2501,0)),""))</f>
        <v/>
      </c>
      <c r="AU1974" s="2" t="str">
        <f t="shared" si="120"/>
        <v/>
      </c>
      <c r="AV1974" s="2" t="str">
        <f t="shared" si="121"/>
        <v/>
      </c>
      <c r="AW1974" s="2" t="str">
        <f t="shared" si="122"/>
        <v/>
      </c>
      <c r="AX1974" s="2" t="str">
        <f t="shared" si="123"/>
        <v/>
      </c>
      <c r="AY1974" s="2" t="str">
        <f>IF($AV1974="","",IF(AND($Z1974=0,COUNTIF('AR SALES'!$L$2:$L$2501,$L1974)=0),"YES",""))</f>
        <v/>
      </c>
      <c r="AZ1974" s="2" t="str">
        <f>IF($AV1974="","",IF(COUNTIF(LISTS!$C$2:$C$250,$AU1974)=0,"NEW",""))</f>
        <v/>
      </c>
      <c r="BA1974" s="2" t="str">
        <f>IF(""&amp;$F1974&lt;&gt;"4","",IF($AY1974="YES","",IF(ROUND(SUMIFS($AE$2:$AE$4001,$L$2:$L$4001,$L1974,$F$2:$F$4001,"4")-SUMIFS('AR SALES'!$Y$2:$Y$2501,'AR SALES'!$L$2:$L$2501,$L1974,'AR SALES'!$AD$2:$AD$2501,"OFF"),2)=0,"","STALE")))</f>
        <v/>
      </c>
      <c r="BB1974" s="2" t="str">
        <f>IF(OR(""&amp;$F1974="2",""&amp;$F1974="4",""&amp;$F1974="G",""&amp;$F1974="H"),IF($AY1974="YES","",IF($AB1974&lt;&gt;0,"",IF(COUNTIFS('AR SALES'!$L$2:$L$2501,$L1974,'AR SALES'!$AD$2:$AD$2501,IF(""&amp;$F1974="4","OFF","ON"),'AR SALES'!$AF$2:$AF$2501,"Y")&gt;0,"","NO EXEMPTION"))),"")</f>
        <v/>
      </c>
    </row>
    <row r="1975" spans="46:54" x14ac:dyDescent="0.25">
      <c r="AT1975" s="2" t="str">
        <f>IF($L1975="","",IFERROR(INDEX('AR SALES'!$H$2:$H$2501,MATCH(""&amp;$L1975,'AR SALES'!$AE$2:$AE$2501,0)),""))</f>
        <v/>
      </c>
      <c r="AU1975" s="2" t="str">
        <f t="shared" si="120"/>
        <v/>
      </c>
      <c r="AV1975" s="2" t="str">
        <f t="shared" si="121"/>
        <v/>
      </c>
      <c r="AW1975" s="2" t="str">
        <f t="shared" si="122"/>
        <v/>
      </c>
      <c r="AX1975" s="2" t="str">
        <f t="shared" si="123"/>
        <v/>
      </c>
      <c r="AY1975" s="2" t="str">
        <f>IF($AV1975="","",IF(AND($Z1975=0,COUNTIF('AR SALES'!$L$2:$L$2501,$L1975)=0),"YES",""))</f>
        <v/>
      </c>
      <c r="AZ1975" s="2" t="str">
        <f>IF($AV1975="","",IF(COUNTIF(LISTS!$C$2:$C$250,$AU1975)=0,"NEW",""))</f>
        <v/>
      </c>
      <c r="BA1975" s="2" t="str">
        <f>IF(""&amp;$F1975&lt;&gt;"4","",IF($AY1975="YES","",IF(ROUND(SUMIFS($AE$2:$AE$4001,$L$2:$L$4001,$L1975,$F$2:$F$4001,"4")-SUMIFS('AR SALES'!$Y$2:$Y$2501,'AR SALES'!$L$2:$L$2501,$L1975,'AR SALES'!$AD$2:$AD$2501,"OFF"),2)=0,"","STALE")))</f>
        <v/>
      </c>
      <c r="BB1975" s="2" t="str">
        <f>IF(OR(""&amp;$F1975="2",""&amp;$F1975="4",""&amp;$F1975="G",""&amp;$F1975="H"),IF($AY1975="YES","",IF($AB1975&lt;&gt;0,"",IF(COUNTIFS('AR SALES'!$L$2:$L$2501,$L1975,'AR SALES'!$AD$2:$AD$2501,IF(""&amp;$F1975="4","OFF","ON"),'AR SALES'!$AF$2:$AF$2501,"Y")&gt;0,"","NO EXEMPTION"))),"")</f>
        <v/>
      </c>
    </row>
    <row r="1976" spans="46:54" x14ac:dyDescent="0.25">
      <c r="AT1976" s="2" t="str">
        <f>IF($L1976="","",IFERROR(INDEX('AR SALES'!$H$2:$H$2501,MATCH(""&amp;$L1976,'AR SALES'!$AE$2:$AE$2501,0)),""))</f>
        <v/>
      </c>
      <c r="AU1976" s="2" t="str">
        <f t="shared" si="120"/>
        <v/>
      </c>
      <c r="AV1976" s="2" t="str">
        <f t="shared" si="121"/>
        <v/>
      </c>
      <c r="AW1976" s="2" t="str">
        <f t="shared" si="122"/>
        <v/>
      </c>
      <c r="AX1976" s="2" t="str">
        <f t="shared" si="123"/>
        <v/>
      </c>
      <c r="AY1976" s="2" t="str">
        <f>IF($AV1976="","",IF(AND($Z1976=0,COUNTIF('AR SALES'!$L$2:$L$2501,$L1976)=0),"YES",""))</f>
        <v/>
      </c>
      <c r="AZ1976" s="2" t="str">
        <f>IF($AV1976="","",IF(COUNTIF(LISTS!$C$2:$C$250,$AU1976)=0,"NEW",""))</f>
        <v/>
      </c>
      <c r="BA1976" s="2" t="str">
        <f>IF(""&amp;$F1976&lt;&gt;"4","",IF($AY1976="YES","",IF(ROUND(SUMIFS($AE$2:$AE$4001,$L$2:$L$4001,$L1976,$F$2:$F$4001,"4")-SUMIFS('AR SALES'!$Y$2:$Y$2501,'AR SALES'!$L$2:$L$2501,$L1976,'AR SALES'!$AD$2:$AD$2501,"OFF"),2)=0,"","STALE")))</f>
        <v/>
      </c>
      <c r="BB1976" s="2" t="str">
        <f>IF(OR(""&amp;$F1976="2",""&amp;$F1976="4",""&amp;$F1976="G",""&amp;$F1976="H"),IF($AY1976="YES","",IF($AB1976&lt;&gt;0,"",IF(COUNTIFS('AR SALES'!$L$2:$L$2501,$L1976,'AR SALES'!$AD$2:$AD$2501,IF(""&amp;$F1976="4","OFF","ON"),'AR SALES'!$AF$2:$AF$2501,"Y")&gt;0,"","NO EXEMPTION"))),"")</f>
        <v/>
      </c>
    </row>
    <row r="1977" spans="46:54" x14ac:dyDescent="0.25">
      <c r="AT1977" s="2" t="str">
        <f>IF($L1977="","",IFERROR(INDEX('AR SALES'!$H$2:$H$2501,MATCH(""&amp;$L1977,'AR SALES'!$AE$2:$AE$2501,0)),""))</f>
        <v/>
      </c>
      <c r="AU1977" s="2" t="str">
        <f t="shared" si="120"/>
        <v/>
      </c>
      <c r="AV1977" s="2" t="str">
        <f t="shared" si="121"/>
        <v/>
      </c>
      <c r="AW1977" s="2" t="str">
        <f t="shared" si="122"/>
        <v/>
      </c>
      <c r="AX1977" s="2" t="str">
        <f t="shared" si="123"/>
        <v/>
      </c>
      <c r="AY1977" s="2" t="str">
        <f>IF($AV1977="","",IF(AND($Z1977=0,COUNTIF('AR SALES'!$L$2:$L$2501,$L1977)=0),"YES",""))</f>
        <v/>
      </c>
      <c r="AZ1977" s="2" t="str">
        <f>IF($AV1977="","",IF(COUNTIF(LISTS!$C$2:$C$250,$AU1977)=0,"NEW",""))</f>
        <v/>
      </c>
      <c r="BA1977" s="2" t="str">
        <f>IF(""&amp;$F1977&lt;&gt;"4","",IF($AY1977="YES","",IF(ROUND(SUMIFS($AE$2:$AE$4001,$L$2:$L$4001,$L1977,$F$2:$F$4001,"4")-SUMIFS('AR SALES'!$Y$2:$Y$2501,'AR SALES'!$L$2:$L$2501,$L1977,'AR SALES'!$AD$2:$AD$2501,"OFF"),2)=0,"","STALE")))</f>
        <v/>
      </c>
      <c r="BB1977" s="2" t="str">
        <f>IF(OR(""&amp;$F1977="2",""&amp;$F1977="4",""&amp;$F1977="G",""&amp;$F1977="H"),IF($AY1977="YES","",IF($AB1977&lt;&gt;0,"",IF(COUNTIFS('AR SALES'!$L$2:$L$2501,$L1977,'AR SALES'!$AD$2:$AD$2501,IF(""&amp;$F1977="4","OFF","ON"),'AR SALES'!$AF$2:$AF$2501,"Y")&gt;0,"","NO EXEMPTION"))),"")</f>
        <v/>
      </c>
    </row>
    <row r="1978" spans="46:54" x14ac:dyDescent="0.25">
      <c r="AT1978" s="2" t="str">
        <f>IF($L1978="","",IFERROR(INDEX('AR SALES'!$H$2:$H$2501,MATCH(""&amp;$L1978,'AR SALES'!$AE$2:$AE$2501,0)),""))</f>
        <v/>
      </c>
      <c r="AU1978" s="2" t="str">
        <f t="shared" si="120"/>
        <v/>
      </c>
      <c r="AV1978" s="2" t="str">
        <f t="shared" si="121"/>
        <v/>
      </c>
      <c r="AW1978" s="2" t="str">
        <f t="shared" si="122"/>
        <v/>
      </c>
      <c r="AX1978" s="2" t="str">
        <f t="shared" si="123"/>
        <v/>
      </c>
      <c r="AY1978" s="2" t="str">
        <f>IF($AV1978="","",IF(AND($Z1978=0,COUNTIF('AR SALES'!$L$2:$L$2501,$L1978)=0),"YES",""))</f>
        <v/>
      </c>
      <c r="AZ1978" s="2" t="str">
        <f>IF($AV1978="","",IF(COUNTIF(LISTS!$C$2:$C$250,$AU1978)=0,"NEW",""))</f>
        <v/>
      </c>
      <c r="BA1978" s="2" t="str">
        <f>IF(""&amp;$F1978&lt;&gt;"4","",IF($AY1978="YES","",IF(ROUND(SUMIFS($AE$2:$AE$4001,$L$2:$L$4001,$L1978,$F$2:$F$4001,"4")-SUMIFS('AR SALES'!$Y$2:$Y$2501,'AR SALES'!$L$2:$L$2501,$L1978,'AR SALES'!$AD$2:$AD$2501,"OFF"),2)=0,"","STALE")))</f>
        <v/>
      </c>
      <c r="BB1978" s="2" t="str">
        <f>IF(OR(""&amp;$F1978="2",""&amp;$F1978="4",""&amp;$F1978="G",""&amp;$F1978="H"),IF($AY1978="YES","",IF($AB1978&lt;&gt;0,"",IF(COUNTIFS('AR SALES'!$L$2:$L$2501,$L1978,'AR SALES'!$AD$2:$AD$2501,IF(""&amp;$F1978="4","OFF","ON"),'AR SALES'!$AF$2:$AF$2501,"Y")&gt;0,"","NO EXEMPTION"))),"")</f>
        <v/>
      </c>
    </row>
    <row r="1979" spans="46:54" x14ac:dyDescent="0.25">
      <c r="AT1979" s="2" t="str">
        <f>IF($L1979="","",IFERROR(INDEX('AR SALES'!$H$2:$H$2501,MATCH(""&amp;$L1979,'AR SALES'!$AE$2:$AE$2501,0)),""))</f>
        <v/>
      </c>
      <c r="AU1979" s="2" t="str">
        <f t="shared" si="120"/>
        <v/>
      </c>
      <c r="AV1979" s="2" t="str">
        <f t="shared" si="121"/>
        <v/>
      </c>
      <c r="AW1979" s="2" t="str">
        <f t="shared" si="122"/>
        <v/>
      </c>
      <c r="AX1979" s="2" t="str">
        <f t="shared" si="123"/>
        <v/>
      </c>
      <c r="AY1979" s="2" t="str">
        <f>IF($AV1979="","",IF(AND($Z1979=0,COUNTIF('AR SALES'!$L$2:$L$2501,$L1979)=0),"YES",""))</f>
        <v/>
      </c>
      <c r="AZ1979" s="2" t="str">
        <f>IF($AV1979="","",IF(COUNTIF(LISTS!$C$2:$C$250,$AU1979)=0,"NEW",""))</f>
        <v/>
      </c>
      <c r="BA1979" s="2" t="str">
        <f>IF(""&amp;$F1979&lt;&gt;"4","",IF($AY1979="YES","",IF(ROUND(SUMIFS($AE$2:$AE$4001,$L$2:$L$4001,$L1979,$F$2:$F$4001,"4")-SUMIFS('AR SALES'!$Y$2:$Y$2501,'AR SALES'!$L$2:$L$2501,$L1979,'AR SALES'!$AD$2:$AD$2501,"OFF"),2)=0,"","STALE")))</f>
        <v/>
      </c>
      <c r="BB1979" s="2" t="str">
        <f>IF(OR(""&amp;$F1979="2",""&amp;$F1979="4",""&amp;$F1979="G",""&amp;$F1979="H"),IF($AY1979="YES","",IF($AB1979&lt;&gt;0,"",IF(COUNTIFS('AR SALES'!$L$2:$L$2501,$L1979,'AR SALES'!$AD$2:$AD$2501,IF(""&amp;$F1979="4","OFF","ON"),'AR SALES'!$AF$2:$AF$2501,"Y")&gt;0,"","NO EXEMPTION"))),"")</f>
        <v/>
      </c>
    </row>
    <row r="1980" spans="46:54" x14ac:dyDescent="0.25">
      <c r="AT1980" s="2" t="str">
        <f>IF($L1980="","",IFERROR(INDEX('AR SALES'!$H$2:$H$2501,MATCH(""&amp;$L1980,'AR SALES'!$AE$2:$AE$2501,0)),""))</f>
        <v/>
      </c>
      <c r="AU1980" s="2" t="str">
        <f t="shared" si="120"/>
        <v/>
      </c>
      <c r="AV1980" s="2" t="str">
        <f t="shared" si="121"/>
        <v/>
      </c>
      <c r="AW1980" s="2" t="str">
        <f t="shared" si="122"/>
        <v/>
      </c>
      <c r="AX1980" s="2" t="str">
        <f t="shared" si="123"/>
        <v/>
      </c>
      <c r="AY1980" s="2" t="str">
        <f>IF($AV1980="","",IF(AND($Z1980=0,COUNTIF('AR SALES'!$L$2:$L$2501,$L1980)=0),"YES",""))</f>
        <v/>
      </c>
      <c r="AZ1980" s="2" t="str">
        <f>IF($AV1980="","",IF(COUNTIF(LISTS!$C$2:$C$250,$AU1980)=0,"NEW",""))</f>
        <v/>
      </c>
      <c r="BA1980" s="2" t="str">
        <f>IF(""&amp;$F1980&lt;&gt;"4","",IF($AY1980="YES","",IF(ROUND(SUMIFS($AE$2:$AE$4001,$L$2:$L$4001,$L1980,$F$2:$F$4001,"4")-SUMIFS('AR SALES'!$Y$2:$Y$2501,'AR SALES'!$L$2:$L$2501,$L1980,'AR SALES'!$AD$2:$AD$2501,"OFF"),2)=0,"","STALE")))</f>
        <v/>
      </c>
      <c r="BB1980" s="2" t="str">
        <f>IF(OR(""&amp;$F1980="2",""&amp;$F1980="4",""&amp;$F1980="G",""&amp;$F1980="H"),IF($AY1980="YES","",IF($AB1980&lt;&gt;0,"",IF(COUNTIFS('AR SALES'!$L$2:$L$2501,$L1980,'AR SALES'!$AD$2:$AD$2501,IF(""&amp;$F1980="4","OFF","ON"),'AR SALES'!$AF$2:$AF$2501,"Y")&gt;0,"","NO EXEMPTION"))),"")</f>
        <v/>
      </c>
    </row>
    <row r="1981" spans="46:54" x14ac:dyDescent="0.25">
      <c r="AT1981" s="2" t="str">
        <f>IF($L1981="","",IFERROR(INDEX('AR SALES'!$H$2:$H$2501,MATCH(""&amp;$L1981,'AR SALES'!$AE$2:$AE$2501,0)),""))</f>
        <v/>
      </c>
      <c r="AU1981" s="2" t="str">
        <f t="shared" si="120"/>
        <v/>
      </c>
      <c r="AV1981" s="2" t="str">
        <f t="shared" si="121"/>
        <v/>
      </c>
      <c r="AW1981" s="2" t="str">
        <f t="shared" si="122"/>
        <v/>
      </c>
      <c r="AX1981" s="2" t="str">
        <f t="shared" si="123"/>
        <v/>
      </c>
      <c r="AY1981" s="2" t="str">
        <f>IF($AV1981="","",IF(AND($Z1981=0,COUNTIF('AR SALES'!$L$2:$L$2501,$L1981)=0),"YES",""))</f>
        <v/>
      </c>
      <c r="AZ1981" s="2" t="str">
        <f>IF($AV1981="","",IF(COUNTIF(LISTS!$C$2:$C$250,$AU1981)=0,"NEW",""))</f>
        <v/>
      </c>
      <c r="BA1981" s="2" t="str">
        <f>IF(""&amp;$F1981&lt;&gt;"4","",IF($AY1981="YES","",IF(ROUND(SUMIFS($AE$2:$AE$4001,$L$2:$L$4001,$L1981,$F$2:$F$4001,"4")-SUMIFS('AR SALES'!$Y$2:$Y$2501,'AR SALES'!$L$2:$L$2501,$L1981,'AR SALES'!$AD$2:$AD$2501,"OFF"),2)=0,"","STALE")))</f>
        <v/>
      </c>
      <c r="BB1981" s="2" t="str">
        <f>IF(OR(""&amp;$F1981="2",""&amp;$F1981="4",""&amp;$F1981="G",""&amp;$F1981="H"),IF($AY1981="YES","",IF($AB1981&lt;&gt;0,"",IF(COUNTIFS('AR SALES'!$L$2:$L$2501,$L1981,'AR SALES'!$AD$2:$AD$2501,IF(""&amp;$F1981="4","OFF","ON"),'AR SALES'!$AF$2:$AF$2501,"Y")&gt;0,"","NO EXEMPTION"))),"")</f>
        <v/>
      </c>
    </row>
    <row r="1982" spans="46:54" x14ac:dyDescent="0.25">
      <c r="AT1982" s="2" t="str">
        <f>IF($L1982="","",IFERROR(INDEX('AR SALES'!$H$2:$H$2501,MATCH(""&amp;$L1982,'AR SALES'!$AE$2:$AE$2501,0)),""))</f>
        <v/>
      </c>
      <c r="AU1982" s="2" t="str">
        <f t="shared" si="120"/>
        <v/>
      </c>
      <c r="AV1982" s="2" t="str">
        <f t="shared" si="121"/>
        <v/>
      </c>
      <c r="AW1982" s="2" t="str">
        <f t="shared" si="122"/>
        <v/>
      </c>
      <c r="AX1982" s="2" t="str">
        <f t="shared" si="123"/>
        <v/>
      </c>
      <c r="AY1982" s="2" t="str">
        <f>IF($AV1982="","",IF(AND($Z1982=0,COUNTIF('AR SALES'!$L$2:$L$2501,$L1982)=0),"YES",""))</f>
        <v/>
      </c>
      <c r="AZ1982" s="2" t="str">
        <f>IF($AV1982="","",IF(COUNTIF(LISTS!$C$2:$C$250,$AU1982)=0,"NEW",""))</f>
        <v/>
      </c>
      <c r="BA1982" s="2" t="str">
        <f>IF(""&amp;$F1982&lt;&gt;"4","",IF($AY1982="YES","",IF(ROUND(SUMIFS($AE$2:$AE$4001,$L$2:$L$4001,$L1982,$F$2:$F$4001,"4")-SUMIFS('AR SALES'!$Y$2:$Y$2501,'AR SALES'!$L$2:$L$2501,$L1982,'AR SALES'!$AD$2:$AD$2501,"OFF"),2)=0,"","STALE")))</f>
        <v/>
      </c>
      <c r="BB1982" s="2" t="str">
        <f>IF(OR(""&amp;$F1982="2",""&amp;$F1982="4",""&amp;$F1982="G",""&amp;$F1982="H"),IF($AY1982="YES","",IF($AB1982&lt;&gt;0,"",IF(COUNTIFS('AR SALES'!$L$2:$L$2501,$L1982,'AR SALES'!$AD$2:$AD$2501,IF(""&amp;$F1982="4","OFF","ON"),'AR SALES'!$AF$2:$AF$2501,"Y")&gt;0,"","NO EXEMPTION"))),"")</f>
        <v/>
      </c>
    </row>
    <row r="1983" spans="46:54" x14ac:dyDescent="0.25">
      <c r="AT1983" s="2" t="str">
        <f>IF($L1983="","",IFERROR(INDEX('AR SALES'!$H$2:$H$2501,MATCH(""&amp;$L1983,'AR SALES'!$AE$2:$AE$2501,0)),""))</f>
        <v/>
      </c>
      <c r="AU1983" s="2" t="str">
        <f t="shared" si="120"/>
        <v/>
      </c>
      <c r="AV1983" s="2" t="str">
        <f t="shared" si="121"/>
        <v/>
      </c>
      <c r="AW1983" s="2" t="str">
        <f t="shared" si="122"/>
        <v/>
      </c>
      <c r="AX1983" s="2" t="str">
        <f t="shared" si="123"/>
        <v/>
      </c>
      <c r="AY1983" s="2" t="str">
        <f>IF($AV1983="","",IF(AND($Z1983=0,COUNTIF('AR SALES'!$L$2:$L$2501,$L1983)=0),"YES",""))</f>
        <v/>
      </c>
      <c r="AZ1983" s="2" t="str">
        <f>IF($AV1983="","",IF(COUNTIF(LISTS!$C$2:$C$250,$AU1983)=0,"NEW",""))</f>
        <v/>
      </c>
      <c r="BA1983" s="2" t="str">
        <f>IF(""&amp;$F1983&lt;&gt;"4","",IF($AY1983="YES","",IF(ROUND(SUMIFS($AE$2:$AE$4001,$L$2:$L$4001,$L1983,$F$2:$F$4001,"4")-SUMIFS('AR SALES'!$Y$2:$Y$2501,'AR SALES'!$L$2:$L$2501,$L1983,'AR SALES'!$AD$2:$AD$2501,"OFF"),2)=0,"","STALE")))</f>
        <v/>
      </c>
      <c r="BB1983" s="2" t="str">
        <f>IF(OR(""&amp;$F1983="2",""&amp;$F1983="4",""&amp;$F1983="G",""&amp;$F1983="H"),IF($AY1983="YES","",IF($AB1983&lt;&gt;0,"",IF(COUNTIFS('AR SALES'!$L$2:$L$2501,$L1983,'AR SALES'!$AD$2:$AD$2501,IF(""&amp;$F1983="4","OFF","ON"),'AR SALES'!$AF$2:$AF$2501,"Y")&gt;0,"","NO EXEMPTION"))),"")</f>
        <v/>
      </c>
    </row>
    <row r="1984" spans="46:54" x14ac:dyDescent="0.25">
      <c r="AT1984" s="2" t="str">
        <f>IF($L1984="","",IFERROR(INDEX('AR SALES'!$H$2:$H$2501,MATCH(""&amp;$L1984,'AR SALES'!$AE$2:$AE$2501,0)),""))</f>
        <v/>
      </c>
      <c r="AU1984" s="2" t="str">
        <f t="shared" si="120"/>
        <v/>
      </c>
      <c r="AV1984" s="2" t="str">
        <f t="shared" si="121"/>
        <v/>
      </c>
      <c r="AW1984" s="2" t="str">
        <f t="shared" si="122"/>
        <v/>
      </c>
      <c r="AX1984" s="2" t="str">
        <f t="shared" si="123"/>
        <v/>
      </c>
      <c r="AY1984" s="2" t="str">
        <f>IF($AV1984="","",IF(AND($Z1984=0,COUNTIF('AR SALES'!$L$2:$L$2501,$L1984)=0),"YES",""))</f>
        <v/>
      </c>
      <c r="AZ1984" s="2" t="str">
        <f>IF($AV1984="","",IF(COUNTIF(LISTS!$C$2:$C$250,$AU1984)=0,"NEW",""))</f>
        <v/>
      </c>
      <c r="BA1984" s="2" t="str">
        <f>IF(""&amp;$F1984&lt;&gt;"4","",IF($AY1984="YES","",IF(ROUND(SUMIFS($AE$2:$AE$4001,$L$2:$L$4001,$L1984,$F$2:$F$4001,"4")-SUMIFS('AR SALES'!$Y$2:$Y$2501,'AR SALES'!$L$2:$L$2501,$L1984,'AR SALES'!$AD$2:$AD$2501,"OFF"),2)=0,"","STALE")))</f>
        <v/>
      </c>
      <c r="BB1984" s="2" t="str">
        <f>IF(OR(""&amp;$F1984="2",""&amp;$F1984="4",""&amp;$F1984="G",""&amp;$F1984="H"),IF($AY1984="YES","",IF($AB1984&lt;&gt;0,"",IF(COUNTIFS('AR SALES'!$L$2:$L$2501,$L1984,'AR SALES'!$AD$2:$AD$2501,IF(""&amp;$F1984="4","OFF","ON"),'AR SALES'!$AF$2:$AF$2501,"Y")&gt;0,"","NO EXEMPTION"))),"")</f>
        <v/>
      </c>
    </row>
    <row r="1985" spans="46:54" x14ac:dyDescent="0.25">
      <c r="AT1985" s="2" t="str">
        <f>IF($L1985="","",IFERROR(INDEX('AR SALES'!$H$2:$H$2501,MATCH(""&amp;$L1985,'AR SALES'!$AE$2:$AE$2501,0)),""))</f>
        <v/>
      </c>
      <c r="AU1985" s="2" t="str">
        <f t="shared" si="120"/>
        <v/>
      </c>
      <c r="AV1985" s="2" t="str">
        <f t="shared" si="121"/>
        <v/>
      </c>
      <c r="AW1985" s="2" t="str">
        <f t="shared" si="122"/>
        <v/>
      </c>
      <c r="AX1985" s="2" t="str">
        <f t="shared" si="123"/>
        <v/>
      </c>
      <c r="AY1985" s="2" t="str">
        <f>IF($AV1985="","",IF(AND($Z1985=0,COUNTIF('AR SALES'!$L$2:$L$2501,$L1985)=0),"YES",""))</f>
        <v/>
      </c>
      <c r="AZ1985" s="2" t="str">
        <f>IF($AV1985="","",IF(COUNTIF(LISTS!$C$2:$C$250,$AU1985)=0,"NEW",""))</f>
        <v/>
      </c>
      <c r="BA1985" s="2" t="str">
        <f>IF(""&amp;$F1985&lt;&gt;"4","",IF($AY1985="YES","",IF(ROUND(SUMIFS($AE$2:$AE$4001,$L$2:$L$4001,$L1985,$F$2:$F$4001,"4")-SUMIFS('AR SALES'!$Y$2:$Y$2501,'AR SALES'!$L$2:$L$2501,$L1985,'AR SALES'!$AD$2:$AD$2501,"OFF"),2)=0,"","STALE")))</f>
        <v/>
      </c>
      <c r="BB1985" s="2" t="str">
        <f>IF(OR(""&amp;$F1985="2",""&amp;$F1985="4",""&amp;$F1985="G",""&amp;$F1985="H"),IF($AY1985="YES","",IF($AB1985&lt;&gt;0,"",IF(COUNTIFS('AR SALES'!$L$2:$L$2501,$L1985,'AR SALES'!$AD$2:$AD$2501,IF(""&amp;$F1985="4","OFF","ON"),'AR SALES'!$AF$2:$AF$2501,"Y")&gt;0,"","NO EXEMPTION"))),"")</f>
        <v/>
      </c>
    </row>
    <row r="1986" spans="46:54" x14ac:dyDescent="0.25">
      <c r="AT1986" s="2" t="str">
        <f>IF($L1986="","",IFERROR(INDEX('AR SALES'!$H$2:$H$2501,MATCH(""&amp;$L1986,'AR SALES'!$AE$2:$AE$2501,0)),""))</f>
        <v/>
      </c>
      <c r="AU1986" s="2" t="str">
        <f t="shared" ref="AU1986:AU2049" si="124">IF($L1986="","",IF($A1986&lt;&gt;"GA","",IF($E1986="FULTON",IF(ISNUMBER(SEARCH("COLLEGE PARK",$AT1986)),"FULTON (COLLEGE PARK)",IF(ISNUMBER(SEARCH("ATLANTA CITY",$AT1986)),"FULTON (ATL LIMITS)","FULTON")),IF($E1986="DEKALB",IF(ISNUMBER(SEARCH("ATLANTA CITY",$AT1986)),"DEKALB (ATL LIMITS)","DEKALB"),$E1986))))</f>
        <v/>
      </c>
      <c r="AV1986" s="2" t="str">
        <f t="shared" ref="AV1986:AV2049" si="125">IF($L1986="","",IF(""&amp;$F1986="2","DIESEL",IF(OR(""&amp;$F1986="G",""&amp;$F1986="H"),"GAS","")))</f>
        <v/>
      </c>
      <c r="AW1986" s="2" t="str">
        <f t="shared" ref="AW1986:AW2049" si="126">IF($AV1986="","",$R1986)</f>
        <v/>
      </c>
      <c r="AX1986" s="2" t="str">
        <f t="shared" ref="AX1986:AX2049" si="127">IF($AV1986="","",IF($AB1986=0,$R1986,0))</f>
        <v/>
      </c>
      <c r="AY1986" s="2" t="str">
        <f>IF($AV1986="","",IF(AND($Z1986=0,COUNTIF('AR SALES'!$L$2:$L$2501,$L1986)=0),"YES",""))</f>
        <v/>
      </c>
      <c r="AZ1986" s="2" t="str">
        <f>IF($AV1986="","",IF(COUNTIF(LISTS!$C$2:$C$250,$AU1986)=0,"NEW",""))</f>
        <v/>
      </c>
      <c r="BA1986" s="2" t="str">
        <f>IF(""&amp;$F1986&lt;&gt;"4","",IF($AY1986="YES","",IF(ROUND(SUMIFS($AE$2:$AE$4001,$L$2:$L$4001,$L1986,$F$2:$F$4001,"4")-SUMIFS('AR SALES'!$Y$2:$Y$2501,'AR SALES'!$L$2:$L$2501,$L1986,'AR SALES'!$AD$2:$AD$2501,"OFF"),2)=0,"","STALE")))</f>
        <v/>
      </c>
      <c r="BB1986" s="2" t="str">
        <f>IF(OR(""&amp;$F1986="2",""&amp;$F1986="4",""&amp;$F1986="G",""&amp;$F1986="H"),IF($AY1986="YES","",IF($AB1986&lt;&gt;0,"",IF(COUNTIFS('AR SALES'!$L$2:$L$2501,$L1986,'AR SALES'!$AD$2:$AD$2501,IF(""&amp;$F1986="4","OFF","ON"),'AR SALES'!$AF$2:$AF$2501,"Y")&gt;0,"","NO EXEMPTION"))),"")</f>
        <v/>
      </c>
    </row>
    <row r="1987" spans="46:54" x14ac:dyDescent="0.25">
      <c r="AT1987" s="2" t="str">
        <f>IF($L1987="","",IFERROR(INDEX('AR SALES'!$H$2:$H$2501,MATCH(""&amp;$L1987,'AR SALES'!$AE$2:$AE$2501,0)),""))</f>
        <v/>
      </c>
      <c r="AU1987" s="2" t="str">
        <f t="shared" si="124"/>
        <v/>
      </c>
      <c r="AV1987" s="2" t="str">
        <f t="shared" si="125"/>
        <v/>
      </c>
      <c r="AW1987" s="2" t="str">
        <f t="shared" si="126"/>
        <v/>
      </c>
      <c r="AX1987" s="2" t="str">
        <f t="shared" si="127"/>
        <v/>
      </c>
      <c r="AY1987" s="2" t="str">
        <f>IF($AV1987="","",IF(AND($Z1987=0,COUNTIF('AR SALES'!$L$2:$L$2501,$L1987)=0),"YES",""))</f>
        <v/>
      </c>
      <c r="AZ1987" s="2" t="str">
        <f>IF($AV1987="","",IF(COUNTIF(LISTS!$C$2:$C$250,$AU1987)=0,"NEW",""))</f>
        <v/>
      </c>
      <c r="BA1987" s="2" t="str">
        <f>IF(""&amp;$F1987&lt;&gt;"4","",IF($AY1987="YES","",IF(ROUND(SUMIFS($AE$2:$AE$4001,$L$2:$L$4001,$L1987,$F$2:$F$4001,"4")-SUMIFS('AR SALES'!$Y$2:$Y$2501,'AR SALES'!$L$2:$L$2501,$L1987,'AR SALES'!$AD$2:$AD$2501,"OFF"),2)=0,"","STALE")))</f>
        <v/>
      </c>
      <c r="BB1987" s="2" t="str">
        <f>IF(OR(""&amp;$F1987="2",""&amp;$F1987="4",""&amp;$F1987="G",""&amp;$F1987="H"),IF($AY1987="YES","",IF($AB1987&lt;&gt;0,"",IF(COUNTIFS('AR SALES'!$L$2:$L$2501,$L1987,'AR SALES'!$AD$2:$AD$2501,IF(""&amp;$F1987="4","OFF","ON"),'AR SALES'!$AF$2:$AF$2501,"Y")&gt;0,"","NO EXEMPTION"))),"")</f>
        <v/>
      </c>
    </row>
    <row r="1988" spans="46:54" x14ac:dyDescent="0.25">
      <c r="AT1988" s="2" t="str">
        <f>IF($L1988="","",IFERROR(INDEX('AR SALES'!$H$2:$H$2501,MATCH(""&amp;$L1988,'AR SALES'!$AE$2:$AE$2501,0)),""))</f>
        <v/>
      </c>
      <c r="AU1988" s="2" t="str">
        <f t="shared" si="124"/>
        <v/>
      </c>
      <c r="AV1988" s="2" t="str">
        <f t="shared" si="125"/>
        <v/>
      </c>
      <c r="AW1988" s="2" t="str">
        <f t="shared" si="126"/>
        <v/>
      </c>
      <c r="AX1988" s="2" t="str">
        <f t="shared" si="127"/>
        <v/>
      </c>
      <c r="AY1988" s="2" t="str">
        <f>IF($AV1988="","",IF(AND($Z1988=0,COUNTIF('AR SALES'!$L$2:$L$2501,$L1988)=0),"YES",""))</f>
        <v/>
      </c>
      <c r="AZ1988" s="2" t="str">
        <f>IF($AV1988="","",IF(COUNTIF(LISTS!$C$2:$C$250,$AU1988)=0,"NEW",""))</f>
        <v/>
      </c>
      <c r="BA1988" s="2" t="str">
        <f>IF(""&amp;$F1988&lt;&gt;"4","",IF($AY1988="YES","",IF(ROUND(SUMIFS($AE$2:$AE$4001,$L$2:$L$4001,$L1988,$F$2:$F$4001,"4")-SUMIFS('AR SALES'!$Y$2:$Y$2501,'AR SALES'!$L$2:$L$2501,$L1988,'AR SALES'!$AD$2:$AD$2501,"OFF"),2)=0,"","STALE")))</f>
        <v/>
      </c>
      <c r="BB1988" s="2" t="str">
        <f>IF(OR(""&amp;$F1988="2",""&amp;$F1988="4",""&amp;$F1988="G",""&amp;$F1988="H"),IF($AY1988="YES","",IF($AB1988&lt;&gt;0,"",IF(COUNTIFS('AR SALES'!$L$2:$L$2501,$L1988,'AR SALES'!$AD$2:$AD$2501,IF(""&amp;$F1988="4","OFF","ON"),'AR SALES'!$AF$2:$AF$2501,"Y")&gt;0,"","NO EXEMPTION"))),"")</f>
        <v/>
      </c>
    </row>
    <row r="1989" spans="46:54" x14ac:dyDescent="0.25">
      <c r="AT1989" s="2" t="str">
        <f>IF($L1989="","",IFERROR(INDEX('AR SALES'!$H$2:$H$2501,MATCH(""&amp;$L1989,'AR SALES'!$AE$2:$AE$2501,0)),""))</f>
        <v/>
      </c>
      <c r="AU1989" s="2" t="str">
        <f t="shared" si="124"/>
        <v/>
      </c>
      <c r="AV1989" s="2" t="str">
        <f t="shared" si="125"/>
        <v/>
      </c>
      <c r="AW1989" s="2" t="str">
        <f t="shared" si="126"/>
        <v/>
      </c>
      <c r="AX1989" s="2" t="str">
        <f t="shared" si="127"/>
        <v/>
      </c>
      <c r="AY1989" s="2" t="str">
        <f>IF($AV1989="","",IF(AND($Z1989=0,COUNTIF('AR SALES'!$L$2:$L$2501,$L1989)=0),"YES",""))</f>
        <v/>
      </c>
      <c r="AZ1989" s="2" t="str">
        <f>IF($AV1989="","",IF(COUNTIF(LISTS!$C$2:$C$250,$AU1989)=0,"NEW",""))</f>
        <v/>
      </c>
      <c r="BA1989" s="2" t="str">
        <f>IF(""&amp;$F1989&lt;&gt;"4","",IF($AY1989="YES","",IF(ROUND(SUMIFS($AE$2:$AE$4001,$L$2:$L$4001,$L1989,$F$2:$F$4001,"4")-SUMIFS('AR SALES'!$Y$2:$Y$2501,'AR SALES'!$L$2:$L$2501,$L1989,'AR SALES'!$AD$2:$AD$2501,"OFF"),2)=0,"","STALE")))</f>
        <v/>
      </c>
      <c r="BB1989" s="2" t="str">
        <f>IF(OR(""&amp;$F1989="2",""&amp;$F1989="4",""&amp;$F1989="G",""&amp;$F1989="H"),IF($AY1989="YES","",IF($AB1989&lt;&gt;0,"",IF(COUNTIFS('AR SALES'!$L$2:$L$2501,$L1989,'AR SALES'!$AD$2:$AD$2501,IF(""&amp;$F1989="4","OFF","ON"),'AR SALES'!$AF$2:$AF$2501,"Y")&gt;0,"","NO EXEMPTION"))),"")</f>
        <v/>
      </c>
    </row>
    <row r="1990" spans="46:54" x14ac:dyDescent="0.25">
      <c r="AT1990" s="2" t="str">
        <f>IF($L1990="","",IFERROR(INDEX('AR SALES'!$H$2:$H$2501,MATCH(""&amp;$L1990,'AR SALES'!$AE$2:$AE$2501,0)),""))</f>
        <v/>
      </c>
      <c r="AU1990" s="2" t="str">
        <f t="shared" si="124"/>
        <v/>
      </c>
      <c r="AV1990" s="2" t="str">
        <f t="shared" si="125"/>
        <v/>
      </c>
      <c r="AW1990" s="2" t="str">
        <f t="shared" si="126"/>
        <v/>
      </c>
      <c r="AX1990" s="2" t="str">
        <f t="shared" si="127"/>
        <v/>
      </c>
      <c r="AY1990" s="2" t="str">
        <f>IF($AV1990="","",IF(AND($Z1990=0,COUNTIF('AR SALES'!$L$2:$L$2501,$L1990)=0),"YES",""))</f>
        <v/>
      </c>
      <c r="AZ1990" s="2" t="str">
        <f>IF($AV1990="","",IF(COUNTIF(LISTS!$C$2:$C$250,$AU1990)=0,"NEW",""))</f>
        <v/>
      </c>
      <c r="BA1990" s="2" t="str">
        <f>IF(""&amp;$F1990&lt;&gt;"4","",IF($AY1990="YES","",IF(ROUND(SUMIFS($AE$2:$AE$4001,$L$2:$L$4001,$L1990,$F$2:$F$4001,"4")-SUMIFS('AR SALES'!$Y$2:$Y$2501,'AR SALES'!$L$2:$L$2501,$L1990,'AR SALES'!$AD$2:$AD$2501,"OFF"),2)=0,"","STALE")))</f>
        <v/>
      </c>
      <c r="BB1990" s="2" t="str">
        <f>IF(OR(""&amp;$F1990="2",""&amp;$F1990="4",""&amp;$F1990="G",""&amp;$F1990="H"),IF($AY1990="YES","",IF($AB1990&lt;&gt;0,"",IF(COUNTIFS('AR SALES'!$L$2:$L$2501,$L1990,'AR SALES'!$AD$2:$AD$2501,IF(""&amp;$F1990="4","OFF","ON"),'AR SALES'!$AF$2:$AF$2501,"Y")&gt;0,"","NO EXEMPTION"))),"")</f>
        <v/>
      </c>
    </row>
    <row r="1991" spans="46:54" x14ac:dyDescent="0.25">
      <c r="AT1991" s="2" t="str">
        <f>IF($L1991="","",IFERROR(INDEX('AR SALES'!$H$2:$H$2501,MATCH(""&amp;$L1991,'AR SALES'!$AE$2:$AE$2501,0)),""))</f>
        <v/>
      </c>
      <c r="AU1991" s="2" t="str">
        <f t="shared" si="124"/>
        <v/>
      </c>
      <c r="AV1991" s="2" t="str">
        <f t="shared" si="125"/>
        <v/>
      </c>
      <c r="AW1991" s="2" t="str">
        <f t="shared" si="126"/>
        <v/>
      </c>
      <c r="AX1991" s="2" t="str">
        <f t="shared" si="127"/>
        <v/>
      </c>
      <c r="AY1991" s="2" t="str">
        <f>IF($AV1991="","",IF(AND($Z1991=0,COUNTIF('AR SALES'!$L$2:$L$2501,$L1991)=0),"YES",""))</f>
        <v/>
      </c>
      <c r="AZ1991" s="2" t="str">
        <f>IF($AV1991="","",IF(COUNTIF(LISTS!$C$2:$C$250,$AU1991)=0,"NEW",""))</f>
        <v/>
      </c>
      <c r="BA1991" s="2" t="str">
        <f>IF(""&amp;$F1991&lt;&gt;"4","",IF($AY1991="YES","",IF(ROUND(SUMIFS($AE$2:$AE$4001,$L$2:$L$4001,$L1991,$F$2:$F$4001,"4")-SUMIFS('AR SALES'!$Y$2:$Y$2501,'AR SALES'!$L$2:$L$2501,$L1991,'AR SALES'!$AD$2:$AD$2501,"OFF"),2)=0,"","STALE")))</f>
        <v/>
      </c>
      <c r="BB1991" s="2" t="str">
        <f>IF(OR(""&amp;$F1991="2",""&amp;$F1991="4",""&amp;$F1991="G",""&amp;$F1991="H"),IF($AY1991="YES","",IF($AB1991&lt;&gt;0,"",IF(COUNTIFS('AR SALES'!$L$2:$L$2501,$L1991,'AR SALES'!$AD$2:$AD$2501,IF(""&amp;$F1991="4","OFF","ON"),'AR SALES'!$AF$2:$AF$2501,"Y")&gt;0,"","NO EXEMPTION"))),"")</f>
        <v/>
      </c>
    </row>
    <row r="1992" spans="46:54" x14ac:dyDescent="0.25">
      <c r="AT1992" s="2" t="str">
        <f>IF($L1992="","",IFERROR(INDEX('AR SALES'!$H$2:$H$2501,MATCH(""&amp;$L1992,'AR SALES'!$AE$2:$AE$2501,0)),""))</f>
        <v/>
      </c>
      <c r="AU1992" s="2" t="str">
        <f t="shared" si="124"/>
        <v/>
      </c>
      <c r="AV1992" s="2" t="str">
        <f t="shared" si="125"/>
        <v/>
      </c>
      <c r="AW1992" s="2" t="str">
        <f t="shared" si="126"/>
        <v/>
      </c>
      <c r="AX1992" s="2" t="str">
        <f t="shared" si="127"/>
        <v/>
      </c>
      <c r="AY1992" s="2" t="str">
        <f>IF($AV1992="","",IF(AND($Z1992=0,COUNTIF('AR SALES'!$L$2:$L$2501,$L1992)=0),"YES",""))</f>
        <v/>
      </c>
      <c r="AZ1992" s="2" t="str">
        <f>IF($AV1992="","",IF(COUNTIF(LISTS!$C$2:$C$250,$AU1992)=0,"NEW",""))</f>
        <v/>
      </c>
      <c r="BA1992" s="2" t="str">
        <f>IF(""&amp;$F1992&lt;&gt;"4","",IF($AY1992="YES","",IF(ROUND(SUMIFS($AE$2:$AE$4001,$L$2:$L$4001,$L1992,$F$2:$F$4001,"4")-SUMIFS('AR SALES'!$Y$2:$Y$2501,'AR SALES'!$L$2:$L$2501,$L1992,'AR SALES'!$AD$2:$AD$2501,"OFF"),2)=0,"","STALE")))</f>
        <v/>
      </c>
      <c r="BB1992" s="2" t="str">
        <f>IF(OR(""&amp;$F1992="2",""&amp;$F1992="4",""&amp;$F1992="G",""&amp;$F1992="H"),IF($AY1992="YES","",IF($AB1992&lt;&gt;0,"",IF(COUNTIFS('AR SALES'!$L$2:$L$2501,$L1992,'AR SALES'!$AD$2:$AD$2501,IF(""&amp;$F1992="4","OFF","ON"),'AR SALES'!$AF$2:$AF$2501,"Y")&gt;0,"","NO EXEMPTION"))),"")</f>
        <v/>
      </c>
    </row>
    <row r="1993" spans="46:54" x14ac:dyDescent="0.25">
      <c r="AT1993" s="2" t="str">
        <f>IF($L1993="","",IFERROR(INDEX('AR SALES'!$H$2:$H$2501,MATCH(""&amp;$L1993,'AR SALES'!$AE$2:$AE$2501,0)),""))</f>
        <v/>
      </c>
      <c r="AU1993" s="2" t="str">
        <f t="shared" si="124"/>
        <v/>
      </c>
      <c r="AV1993" s="2" t="str">
        <f t="shared" si="125"/>
        <v/>
      </c>
      <c r="AW1993" s="2" t="str">
        <f t="shared" si="126"/>
        <v/>
      </c>
      <c r="AX1993" s="2" t="str">
        <f t="shared" si="127"/>
        <v/>
      </c>
      <c r="AY1993" s="2" t="str">
        <f>IF($AV1993="","",IF(AND($Z1993=0,COUNTIF('AR SALES'!$L$2:$L$2501,$L1993)=0),"YES",""))</f>
        <v/>
      </c>
      <c r="AZ1993" s="2" t="str">
        <f>IF($AV1993="","",IF(COUNTIF(LISTS!$C$2:$C$250,$AU1993)=0,"NEW",""))</f>
        <v/>
      </c>
      <c r="BA1993" s="2" t="str">
        <f>IF(""&amp;$F1993&lt;&gt;"4","",IF($AY1993="YES","",IF(ROUND(SUMIFS($AE$2:$AE$4001,$L$2:$L$4001,$L1993,$F$2:$F$4001,"4")-SUMIFS('AR SALES'!$Y$2:$Y$2501,'AR SALES'!$L$2:$L$2501,$L1993,'AR SALES'!$AD$2:$AD$2501,"OFF"),2)=0,"","STALE")))</f>
        <v/>
      </c>
      <c r="BB1993" s="2" t="str">
        <f>IF(OR(""&amp;$F1993="2",""&amp;$F1993="4",""&amp;$F1993="G",""&amp;$F1993="H"),IF($AY1993="YES","",IF($AB1993&lt;&gt;0,"",IF(COUNTIFS('AR SALES'!$L$2:$L$2501,$L1993,'AR SALES'!$AD$2:$AD$2501,IF(""&amp;$F1993="4","OFF","ON"),'AR SALES'!$AF$2:$AF$2501,"Y")&gt;0,"","NO EXEMPTION"))),"")</f>
        <v/>
      </c>
    </row>
    <row r="1994" spans="46:54" x14ac:dyDescent="0.25">
      <c r="AT1994" s="2" t="str">
        <f>IF($L1994="","",IFERROR(INDEX('AR SALES'!$H$2:$H$2501,MATCH(""&amp;$L1994,'AR SALES'!$AE$2:$AE$2501,0)),""))</f>
        <v/>
      </c>
      <c r="AU1994" s="2" t="str">
        <f t="shared" si="124"/>
        <v/>
      </c>
      <c r="AV1994" s="2" t="str">
        <f t="shared" si="125"/>
        <v/>
      </c>
      <c r="AW1994" s="2" t="str">
        <f t="shared" si="126"/>
        <v/>
      </c>
      <c r="AX1994" s="2" t="str">
        <f t="shared" si="127"/>
        <v/>
      </c>
      <c r="AY1994" s="2" t="str">
        <f>IF($AV1994="","",IF(AND($Z1994=0,COUNTIF('AR SALES'!$L$2:$L$2501,$L1994)=0),"YES",""))</f>
        <v/>
      </c>
      <c r="AZ1994" s="2" t="str">
        <f>IF($AV1994="","",IF(COUNTIF(LISTS!$C$2:$C$250,$AU1994)=0,"NEW",""))</f>
        <v/>
      </c>
      <c r="BA1994" s="2" t="str">
        <f>IF(""&amp;$F1994&lt;&gt;"4","",IF($AY1994="YES","",IF(ROUND(SUMIFS($AE$2:$AE$4001,$L$2:$L$4001,$L1994,$F$2:$F$4001,"4")-SUMIFS('AR SALES'!$Y$2:$Y$2501,'AR SALES'!$L$2:$L$2501,$L1994,'AR SALES'!$AD$2:$AD$2501,"OFF"),2)=0,"","STALE")))</f>
        <v/>
      </c>
      <c r="BB1994" s="2" t="str">
        <f>IF(OR(""&amp;$F1994="2",""&amp;$F1994="4",""&amp;$F1994="G",""&amp;$F1994="H"),IF($AY1994="YES","",IF($AB1994&lt;&gt;0,"",IF(COUNTIFS('AR SALES'!$L$2:$L$2501,$L1994,'AR SALES'!$AD$2:$AD$2501,IF(""&amp;$F1994="4","OFF","ON"),'AR SALES'!$AF$2:$AF$2501,"Y")&gt;0,"","NO EXEMPTION"))),"")</f>
        <v/>
      </c>
    </row>
    <row r="1995" spans="46:54" x14ac:dyDescent="0.25">
      <c r="AT1995" s="2" t="str">
        <f>IF($L1995="","",IFERROR(INDEX('AR SALES'!$H$2:$H$2501,MATCH(""&amp;$L1995,'AR SALES'!$AE$2:$AE$2501,0)),""))</f>
        <v/>
      </c>
      <c r="AU1995" s="2" t="str">
        <f t="shared" si="124"/>
        <v/>
      </c>
      <c r="AV1995" s="2" t="str">
        <f t="shared" si="125"/>
        <v/>
      </c>
      <c r="AW1995" s="2" t="str">
        <f t="shared" si="126"/>
        <v/>
      </c>
      <c r="AX1995" s="2" t="str">
        <f t="shared" si="127"/>
        <v/>
      </c>
      <c r="AY1995" s="2" t="str">
        <f>IF($AV1995="","",IF(AND($Z1995=0,COUNTIF('AR SALES'!$L$2:$L$2501,$L1995)=0),"YES",""))</f>
        <v/>
      </c>
      <c r="AZ1995" s="2" t="str">
        <f>IF($AV1995="","",IF(COUNTIF(LISTS!$C$2:$C$250,$AU1995)=0,"NEW",""))</f>
        <v/>
      </c>
      <c r="BA1995" s="2" t="str">
        <f>IF(""&amp;$F1995&lt;&gt;"4","",IF($AY1995="YES","",IF(ROUND(SUMIFS($AE$2:$AE$4001,$L$2:$L$4001,$L1995,$F$2:$F$4001,"4")-SUMIFS('AR SALES'!$Y$2:$Y$2501,'AR SALES'!$L$2:$L$2501,$L1995,'AR SALES'!$AD$2:$AD$2501,"OFF"),2)=0,"","STALE")))</f>
        <v/>
      </c>
      <c r="BB1995" s="2" t="str">
        <f>IF(OR(""&amp;$F1995="2",""&amp;$F1995="4",""&amp;$F1995="G",""&amp;$F1995="H"),IF($AY1995="YES","",IF($AB1995&lt;&gt;0,"",IF(COUNTIFS('AR SALES'!$L$2:$L$2501,$L1995,'AR SALES'!$AD$2:$AD$2501,IF(""&amp;$F1995="4","OFF","ON"),'AR SALES'!$AF$2:$AF$2501,"Y")&gt;0,"","NO EXEMPTION"))),"")</f>
        <v/>
      </c>
    </row>
    <row r="1996" spans="46:54" x14ac:dyDescent="0.25">
      <c r="AT1996" s="2" t="str">
        <f>IF($L1996="","",IFERROR(INDEX('AR SALES'!$H$2:$H$2501,MATCH(""&amp;$L1996,'AR SALES'!$AE$2:$AE$2501,0)),""))</f>
        <v/>
      </c>
      <c r="AU1996" s="2" t="str">
        <f t="shared" si="124"/>
        <v/>
      </c>
      <c r="AV1996" s="2" t="str">
        <f t="shared" si="125"/>
        <v/>
      </c>
      <c r="AW1996" s="2" t="str">
        <f t="shared" si="126"/>
        <v/>
      </c>
      <c r="AX1996" s="2" t="str">
        <f t="shared" si="127"/>
        <v/>
      </c>
      <c r="AY1996" s="2" t="str">
        <f>IF($AV1996="","",IF(AND($Z1996=0,COUNTIF('AR SALES'!$L$2:$L$2501,$L1996)=0),"YES",""))</f>
        <v/>
      </c>
      <c r="AZ1996" s="2" t="str">
        <f>IF($AV1996="","",IF(COUNTIF(LISTS!$C$2:$C$250,$AU1996)=0,"NEW",""))</f>
        <v/>
      </c>
      <c r="BA1996" s="2" t="str">
        <f>IF(""&amp;$F1996&lt;&gt;"4","",IF($AY1996="YES","",IF(ROUND(SUMIFS($AE$2:$AE$4001,$L$2:$L$4001,$L1996,$F$2:$F$4001,"4")-SUMIFS('AR SALES'!$Y$2:$Y$2501,'AR SALES'!$L$2:$L$2501,$L1996,'AR SALES'!$AD$2:$AD$2501,"OFF"),2)=0,"","STALE")))</f>
        <v/>
      </c>
      <c r="BB1996" s="2" t="str">
        <f>IF(OR(""&amp;$F1996="2",""&amp;$F1996="4",""&amp;$F1996="G",""&amp;$F1996="H"),IF($AY1996="YES","",IF($AB1996&lt;&gt;0,"",IF(COUNTIFS('AR SALES'!$L$2:$L$2501,$L1996,'AR SALES'!$AD$2:$AD$2501,IF(""&amp;$F1996="4","OFF","ON"),'AR SALES'!$AF$2:$AF$2501,"Y")&gt;0,"","NO EXEMPTION"))),"")</f>
        <v/>
      </c>
    </row>
    <row r="1997" spans="46:54" x14ac:dyDescent="0.25">
      <c r="AT1997" s="2" t="str">
        <f>IF($L1997="","",IFERROR(INDEX('AR SALES'!$H$2:$H$2501,MATCH(""&amp;$L1997,'AR SALES'!$AE$2:$AE$2501,0)),""))</f>
        <v/>
      </c>
      <c r="AU1997" s="2" t="str">
        <f t="shared" si="124"/>
        <v/>
      </c>
      <c r="AV1997" s="2" t="str">
        <f t="shared" si="125"/>
        <v/>
      </c>
      <c r="AW1997" s="2" t="str">
        <f t="shared" si="126"/>
        <v/>
      </c>
      <c r="AX1997" s="2" t="str">
        <f t="shared" si="127"/>
        <v/>
      </c>
      <c r="AY1997" s="2" t="str">
        <f>IF($AV1997="","",IF(AND($Z1997=0,COUNTIF('AR SALES'!$L$2:$L$2501,$L1997)=0),"YES",""))</f>
        <v/>
      </c>
      <c r="AZ1997" s="2" t="str">
        <f>IF($AV1997="","",IF(COUNTIF(LISTS!$C$2:$C$250,$AU1997)=0,"NEW",""))</f>
        <v/>
      </c>
      <c r="BA1997" s="2" t="str">
        <f>IF(""&amp;$F1997&lt;&gt;"4","",IF($AY1997="YES","",IF(ROUND(SUMIFS($AE$2:$AE$4001,$L$2:$L$4001,$L1997,$F$2:$F$4001,"4")-SUMIFS('AR SALES'!$Y$2:$Y$2501,'AR SALES'!$L$2:$L$2501,$L1997,'AR SALES'!$AD$2:$AD$2501,"OFF"),2)=0,"","STALE")))</f>
        <v/>
      </c>
      <c r="BB1997" s="2" t="str">
        <f>IF(OR(""&amp;$F1997="2",""&amp;$F1997="4",""&amp;$F1997="G",""&amp;$F1997="H"),IF($AY1997="YES","",IF($AB1997&lt;&gt;0,"",IF(COUNTIFS('AR SALES'!$L$2:$L$2501,$L1997,'AR SALES'!$AD$2:$AD$2501,IF(""&amp;$F1997="4","OFF","ON"),'AR SALES'!$AF$2:$AF$2501,"Y")&gt;0,"","NO EXEMPTION"))),"")</f>
        <v/>
      </c>
    </row>
    <row r="1998" spans="46:54" x14ac:dyDescent="0.25">
      <c r="AT1998" s="2" t="str">
        <f>IF($L1998="","",IFERROR(INDEX('AR SALES'!$H$2:$H$2501,MATCH(""&amp;$L1998,'AR SALES'!$AE$2:$AE$2501,0)),""))</f>
        <v/>
      </c>
      <c r="AU1998" s="2" t="str">
        <f t="shared" si="124"/>
        <v/>
      </c>
      <c r="AV1998" s="2" t="str">
        <f t="shared" si="125"/>
        <v/>
      </c>
      <c r="AW1998" s="2" t="str">
        <f t="shared" si="126"/>
        <v/>
      </c>
      <c r="AX1998" s="2" t="str">
        <f t="shared" si="127"/>
        <v/>
      </c>
      <c r="AY1998" s="2" t="str">
        <f>IF($AV1998="","",IF(AND($Z1998=0,COUNTIF('AR SALES'!$L$2:$L$2501,$L1998)=0),"YES",""))</f>
        <v/>
      </c>
      <c r="AZ1998" s="2" t="str">
        <f>IF($AV1998="","",IF(COUNTIF(LISTS!$C$2:$C$250,$AU1998)=0,"NEW",""))</f>
        <v/>
      </c>
      <c r="BA1998" s="2" t="str">
        <f>IF(""&amp;$F1998&lt;&gt;"4","",IF($AY1998="YES","",IF(ROUND(SUMIFS($AE$2:$AE$4001,$L$2:$L$4001,$L1998,$F$2:$F$4001,"4")-SUMIFS('AR SALES'!$Y$2:$Y$2501,'AR SALES'!$L$2:$L$2501,$L1998,'AR SALES'!$AD$2:$AD$2501,"OFF"),2)=0,"","STALE")))</f>
        <v/>
      </c>
      <c r="BB1998" s="2" t="str">
        <f>IF(OR(""&amp;$F1998="2",""&amp;$F1998="4",""&amp;$F1998="G",""&amp;$F1998="H"),IF($AY1998="YES","",IF($AB1998&lt;&gt;0,"",IF(COUNTIFS('AR SALES'!$L$2:$L$2501,$L1998,'AR SALES'!$AD$2:$AD$2501,IF(""&amp;$F1998="4","OFF","ON"),'AR SALES'!$AF$2:$AF$2501,"Y")&gt;0,"","NO EXEMPTION"))),"")</f>
        <v/>
      </c>
    </row>
    <row r="1999" spans="46:54" x14ac:dyDescent="0.25">
      <c r="AT1999" s="2" t="str">
        <f>IF($L1999="","",IFERROR(INDEX('AR SALES'!$H$2:$H$2501,MATCH(""&amp;$L1999,'AR SALES'!$AE$2:$AE$2501,0)),""))</f>
        <v/>
      </c>
      <c r="AU1999" s="2" t="str">
        <f t="shared" si="124"/>
        <v/>
      </c>
      <c r="AV1999" s="2" t="str">
        <f t="shared" si="125"/>
        <v/>
      </c>
      <c r="AW1999" s="2" t="str">
        <f t="shared" si="126"/>
        <v/>
      </c>
      <c r="AX1999" s="2" t="str">
        <f t="shared" si="127"/>
        <v/>
      </c>
      <c r="AY1999" s="2" t="str">
        <f>IF($AV1999="","",IF(AND($Z1999=0,COUNTIF('AR SALES'!$L$2:$L$2501,$L1999)=0),"YES",""))</f>
        <v/>
      </c>
      <c r="AZ1999" s="2" t="str">
        <f>IF($AV1999="","",IF(COUNTIF(LISTS!$C$2:$C$250,$AU1999)=0,"NEW",""))</f>
        <v/>
      </c>
      <c r="BA1999" s="2" t="str">
        <f>IF(""&amp;$F1999&lt;&gt;"4","",IF($AY1999="YES","",IF(ROUND(SUMIFS($AE$2:$AE$4001,$L$2:$L$4001,$L1999,$F$2:$F$4001,"4")-SUMIFS('AR SALES'!$Y$2:$Y$2501,'AR SALES'!$L$2:$L$2501,$L1999,'AR SALES'!$AD$2:$AD$2501,"OFF"),2)=0,"","STALE")))</f>
        <v/>
      </c>
      <c r="BB1999" s="2" t="str">
        <f>IF(OR(""&amp;$F1999="2",""&amp;$F1999="4",""&amp;$F1999="G",""&amp;$F1999="H"),IF($AY1999="YES","",IF($AB1999&lt;&gt;0,"",IF(COUNTIFS('AR SALES'!$L$2:$L$2501,$L1999,'AR SALES'!$AD$2:$AD$2501,IF(""&amp;$F1999="4","OFF","ON"),'AR SALES'!$AF$2:$AF$2501,"Y")&gt;0,"","NO EXEMPTION"))),"")</f>
        <v/>
      </c>
    </row>
    <row r="2000" spans="46:54" x14ac:dyDescent="0.25">
      <c r="AT2000" s="2" t="str">
        <f>IF($L2000="","",IFERROR(INDEX('AR SALES'!$H$2:$H$2501,MATCH(""&amp;$L2000,'AR SALES'!$AE$2:$AE$2501,0)),""))</f>
        <v/>
      </c>
      <c r="AU2000" s="2" t="str">
        <f t="shared" si="124"/>
        <v/>
      </c>
      <c r="AV2000" s="2" t="str">
        <f t="shared" si="125"/>
        <v/>
      </c>
      <c r="AW2000" s="2" t="str">
        <f t="shared" si="126"/>
        <v/>
      </c>
      <c r="AX2000" s="2" t="str">
        <f t="shared" si="127"/>
        <v/>
      </c>
      <c r="AY2000" s="2" t="str">
        <f>IF($AV2000="","",IF(AND($Z2000=0,COUNTIF('AR SALES'!$L$2:$L$2501,$L2000)=0),"YES",""))</f>
        <v/>
      </c>
      <c r="AZ2000" s="2" t="str">
        <f>IF($AV2000="","",IF(COUNTIF(LISTS!$C$2:$C$250,$AU2000)=0,"NEW",""))</f>
        <v/>
      </c>
      <c r="BA2000" s="2" t="str">
        <f>IF(""&amp;$F2000&lt;&gt;"4","",IF($AY2000="YES","",IF(ROUND(SUMIFS($AE$2:$AE$4001,$L$2:$L$4001,$L2000,$F$2:$F$4001,"4")-SUMIFS('AR SALES'!$Y$2:$Y$2501,'AR SALES'!$L$2:$L$2501,$L2000,'AR SALES'!$AD$2:$AD$2501,"OFF"),2)=0,"","STALE")))</f>
        <v/>
      </c>
      <c r="BB2000" s="2" t="str">
        <f>IF(OR(""&amp;$F2000="2",""&amp;$F2000="4",""&amp;$F2000="G",""&amp;$F2000="H"),IF($AY2000="YES","",IF($AB2000&lt;&gt;0,"",IF(COUNTIFS('AR SALES'!$L$2:$L$2501,$L2000,'AR SALES'!$AD$2:$AD$2501,IF(""&amp;$F2000="4","OFF","ON"),'AR SALES'!$AF$2:$AF$2501,"Y")&gt;0,"","NO EXEMPTION"))),"")</f>
        <v/>
      </c>
    </row>
    <row r="2001" spans="46:54" x14ac:dyDescent="0.25">
      <c r="AT2001" s="2" t="str">
        <f>IF($L2001="","",IFERROR(INDEX('AR SALES'!$H$2:$H$2501,MATCH(""&amp;$L2001,'AR SALES'!$AE$2:$AE$2501,0)),""))</f>
        <v/>
      </c>
      <c r="AU2001" s="2" t="str">
        <f t="shared" si="124"/>
        <v/>
      </c>
      <c r="AV2001" s="2" t="str">
        <f t="shared" si="125"/>
        <v/>
      </c>
      <c r="AW2001" s="2" t="str">
        <f t="shared" si="126"/>
        <v/>
      </c>
      <c r="AX2001" s="2" t="str">
        <f t="shared" si="127"/>
        <v/>
      </c>
      <c r="AY2001" s="2" t="str">
        <f>IF($AV2001="","",IF(AND($Z2001=0,COUNTIF('AR SALES'!$L$2:$L$2501,$L2001)=0),"YES",""))</f>
        <v/>
      </c>
      <c r="AZ2001" s="2" t="str">
        <f>IF($AV2001="","",IF(COUNTIF(LISTS!$C$2:$C$250,$AU2001)=0,"NEW",""))</f>
        <v/>
      </c>
      <c r="BA2001" s="2" t="str">
        <f>IF(""&amp;$F2001&lt;&gt;"4","",IF($AY2001="YES","",IF(ROUND(SUMIFS($AE$2:$AE$4001,$L$2:$L$4001,$L2001,$F$2:$F$4001,"4")-SUMIFS('AR SALES'!$Y$2:$Y$2501,'AR SALES'!$L$2:$L$2501,$L2001,'AR SALES'!$AD$2:$AD$2501,"OFF"),2)=0,"","STALE")))</f>
        <v/>
      </c>
      <c r="BB2001" s="2" t="str">
        <f>IF(OR(""&amp;$F2001="2",""&amp;$F2001="4",""&amp;$F2001="G",""&amp;$F2001="H"),IF($AY2001="YES","",IF($AB2001&lt;&gt;0,"",IF(COUNTIFS('AR SALES'!$L$2:$L$2501,$L2001,'AR SALES'!$AD$2:$AD$2501,IF(""&amp;$F2001="4","OFF","ON"),'AR SALES'!$AF$2:$AF$2501,"Y")&gt;0,"","NO EXEMPTION"))),"")</f>
        <v/>
      </c>
    </row>
    <row r="2002" spans="46:54" x14ac:dyDescent="0.25">
      <c r="AT2002" s="2" t="str">
        <f>IF($L2002="","",IFERROR(INDEX('AR SALES'!$H$2:$H$2501,MATCH(""&amp;$L2002,'AR SALES'!$AE$2:$AE$2501,0)),""))</f>
        <v/>
      </c>
      <c r="AU2002" s="2" t="str">
        <f t="shared" si="124"/>
        <v/>
      </c>
      <c r="AV2002" s="2" t="str">
        <f t="shared" si="125"/>
        <v/>
      </c>
      <c r="AW2002" s="2" t="str">
        <f t="shared" si="126"/>
        <v/>
      </c>
      <c r="AX2002" s="2" t="str">
        <f t="shared" si="127"/>
        <v/>
      </c>
      <c r="AY2002" s="2" t="str">
        <f>IF($AV2002="","",IF(AND($Z2002=0,COUNTIF('AR SALES'!$L$2:$L$2501,$L2002)=0),"YES",""))</f>
        <v/>
      </c>
      <c r="AZ2002" s="2" t="str">
        <f>IF($AV2002="","",IF(COUNTIF(LISTS!$C$2:$C$250,$AU2002)=0,"NEW",""))</f>
        <v/>
      </c>
      <c r="BA2002" s="2" t="str">
        <f>IF(""&amp;$F2002&lt;&gt;"4","",IF($AY2002="YES","",IF(ROUND(SUMIFS($AE$2:$AE$4001,$L$2:$L$4001,$L2002,$F$2:$F$4001,"4")-SUMIFS('AR SALES'!$Y$2:$Y$2501,'AR SALES'!$L$2:$L$2501,$L2002,'AR SALES'!$AD$2:$AD$2501,"OFF"),2)=0,"","STALE")))</f>
        <v/>
      </c>
      <c r="BB2002" s="2" t="str">
        <f>IF(OR(""&amp;$F2002="2",""&amp;$F2002="4",""&amp;$F2002="G",""&amp;$F2002="H"),IF($AY2002="YES","",IF($AB2002&lt;&gt;0,"",IF(COUNTIFS('AR SALES'!$L$2:$L$2501,$L2002,'AR SALES'!$AD$2:$AD$2501,IF(""&amp;$F2002="4","OFF","ON"),'AR SALES'!$AF$2:$AF$2501,"Y")&gt;0,"","NO EXEMPTION"))),"")</f>
        <v/>
      </c>
    </row>
    <row r="2003" spans="46:54" x14ac:dyDescent="0.25">
      <c r="AT2003" s="2" t="str">
        <f>IF($L2003="","",IFERROR(INDEX('AR SALES'!$H$2:$H$2501,MATCH(""&amp;$L2003,'AR SALES'!$AE$2:$AE$2501,0)),""))</f>
        <v/>
      </c>
      <c r="AU2003" s="2" t="str">
        <f t="shared" si="124"/>
        <v/>
      </c>
      <c r="AV2003" s="2" t="str">
        <f t="shared" si="125"/>
        <v/>
      </c>
      <c r="AW2003" s="2" t="str">
        <f t="shared" si="126"/>
        <v/>
      </c>
      <c r="AX2003" s="2" t="str">
        <f t="shared" si="127"/>
        <v/>
      </c>
      <c r="AY2003" s="2" t="str">
        <f>IF($AV2003="","",IF(AND($Z2003=0,COUNTIF('AR SALES'!$L$2:$L$2501,$L2003)=0),"YES",""))</f>
        <v/>
      </c>
      <c r="AZ2003" s="2" t="str">
        <f>IF($AV2003="","",IF(COUNTIF(LISTS!$C$2:$C$250,$AU2003)=0,"NEW",""))</f>
        <v/>
      </c>
      <c r="BA2003" s="2" t="str">
        <f>IF(""&amp;$F2003&lt;&gt;"4","",IF($AY2003="YES","",IF(ROUND(SUMIFS($AE$2:$AE$4001,$L$2:$L$4001,$L2003,$F$2:$F$4001,"4")-SUMIFS('AR SALES'!$Y$2:$Y$2501,'AR SALES'!$L$2:$L$2501,$L2003,'AR SALES'!$AD$2:$AD$2501,"OFF"),2)=0,"","STALE")))</f>
        <v/>
      </c>
      <c r="BB2003" s="2" t="str">
        <f>IF(OR(""&amp;$F2003="2",""&amp;$F2003="4",""&amp;$F2003="G",""&amp;$F2003="H"),IF($AY2003="YES","",IF($AB2003&lt;&gt;0,"",IF(COUNTIFS('AR SALES'!$L$2:$L$2501,$L2003,'AR SALES'!$AD$2:$AD$2501,IF(""&amp;$F2003="4","OFF","ON"),'AR SALES'!$AF$2:$AF$2501,"Y")&gt;0,"","NO EXEMPTION"))),"")</f>
        <v/>
      </c>
    </row>
    <row r="2004" spans="46:54" x14ac:dyDescent="0.25">
      <c r="AT2004" s="2" t="str">
        <f>IF($L2004="","",IFERROR(INDEX('AR SALES'!$H$2:$H$2501,MATCH(""&amp;$L2004,'AR SALES'!$AE$2:$AE$2501,0)),""))</f>
        <v/>
      </c>
      <c r="AU2004" s="2" t="str">
        <f t="shared" si="124"/>
        <v/>
      </c>
      <c r="AV2004" s="2" t="str">
        <f t="shared" si="125"/>
        <v/>
      </c>
      <c r="AW2004" s="2" t="str">
        <f t="shared" si="126"/>
        <v/>
      </c>
      <c r="AX2004" s="2" t="str">
        <f t="shared" si="127"/>
        <v/>
      </c>
      <c r="AY2004" s="2" t="str">
        <f>IF($AV2004="","",IF(AND($Z2004=0,COUNTIF('AR SALES'!$L$2:$L$2501,$L2004)=0),"YES",""))</f>
        <v/>
      </c>
      <c r="AZ2004" s="2" t="str">
        <f>IF($AV2004="","",IF(COUNTIF(LISTS!$C$2:$C$250,$AU2004)=0,"NEW",""))</f>
        <v/>
      </c>
      <c r="BA2004" s="2" t="str">
        <f>IF(""&amp;$F2004&lt;&gt;"4","",IF($AY2004="YES","",IF(ROUND(SUMIFS($AE$2:$AE$4001,$L$2:$L$4001,$L2004,$F$2:$F$4001,"4")-SUMIFS('AR SALES'!$Y$2:$Y$2501,'AR SALES'!$L$2:$L$2501,$L2004,'AR SALES'!$AD$2:$AD$2501,"OFF"),2)=0,"","STALE")))</f>
        <v/>
      </c>
      <c r="BB2004" s="2" t="str">
        <f>IF(OR(""&amp;$F2004="2",""&amp;$F2004="4",""&amp;$F2004="G",""&amp;$F2004="H"),IF($AY2004="YES","",IF($AB2004&lt;&gt;0,"",IF(COUNTIFS('AR SALES'!$L$2:$L$2501,$L2004,'AR SALES'!$AD$2:$AD$2501,IF(""&amp;$F2004="4","OFF","ON"),'AR SALES'!$AF$2:$AF$2501,"Y")&gt;0,"","NO EXEMPTION"))),"")</f>
        <v/>
      </c>
    </row>
    <row r="2005" spans="46:54" x14ac:dyDescent="0.25">
      <c r="AT2005" s="2" t="str">
        <f>IF($L2005="","",IFERROR(INDEX('AR SALES'!$H$2:$H$2501,MATCH(""&amp;$L2005,'AR SALES'!$AE$2:$AE$2501,0)),""))</f>
        <v/>
      </c>
      <c r="AU2005" s="2" t="str">
        <f t="shared" si="124"/>
        <v/>
      </c>
      <c r="AV2005" s="2" t="str">
        <f t="shared" si="125"/>
        <v/>
      </c>
      <c r="AW2005" s="2" t="str">
        <f t="shared" si="126"/>
        <v/>
      </c>
      <c r="AX2005" s="2" t="str">
        <f t="shared" si="127"/>
        <v/>
      </c>
      <c r="AY2005" s="2" t="str">
        <f>IF($AV2005="","",IF(AND($Z2005=0,COUNTIF('AR SALES'!$L$2:$L$2501,$L2005)=0),"YES",""))</f>
        <v/>
      </c>
      <c r="AZ2005" s="2" t="str">
        <f>IF($AV2005="","",IF(COUNTIF(LISTS!$C$2:$C$250,$AU2005)=0,"NEW",""))</f>
        <v/>
      </c>
      <c r="BA2005" s="2" t="str">
        <f>IF(""&amp;$F2005&lt;&gt;"4","",IF($AY2005="YES","",IF(ROUND(SUMIFS($AE$2:$AE$4001,$L$2:$L$4001,$L2005,$F$2:$F$4001,"4")-SUMIFS('AR SALES'!$Y$2:$Y$2501,'AR SALES'!$L$2:$L$2501,$L2005,'AR SALES'!$AD$2:$AD$2501,"OFF"),2)=0,"","STALE")))</f>
        <v/>
      </c>
      <c r="BB2005" s="2" t="str">
        <f>IF(OR(""&amp;$F2005="2",""&amp;$F2005="4",""&amp;$F2005="G",""&amp;$F2005="H"),IF($AY2005="YES","",IF($AB2005&lt;&gt;0,"",IF(COUNTIFS('AR SALES'!$L$2:$L$2501,$L2005,'AR SALES'!$AD$2:$AD$2501,IF(""&amp;$F2005="4","OFF","ON"),'AR SALES'!$AF$2:$AF$2501,"Y")&gt;0,"","NO EXEMPTION"))),"")</f>
        <v/>
      </c>
    </row>
    <row r="2006" spans="46:54" x14ac:dyDescent="0.25">
      <c r="AT2006" s="2" t="str">
        <f>IF($L2006="","",IFERROR(INDEX('AR SALES'!$H$2:$H$2501,MATCH(""&amp;$L2006,'AR SALES'!$AE$2:$AE$2501,0)),""))</f>
        <v/>
      </c>
      <c r="AU2006" s="2" t="str">
        <f t="shared" si="124"/>
        <v/>
      </c>
      <c r="AV2006" s="2" t="str">
        <f t="shared" si="125"/>
        <v/>
      </c>
      <c r="AW2006" s="2" t="str">
        <f t="shared" si="126"/>
        <v/>
      </c>
      <c r="AX2006" s="2" t="str">
        <f t="shared" si="127"/>
        <v/>
      </c>
      <c r="AY2006" s="2" t="str">
        <f>IF($AV2006="","",IF(AND($Z2006=0,COUNTIF('AR SALES'!$L$2:$L$2501,$L2006)=0),"YES",""))</f>
        <v/>
      </c>
      <c r="AZ2006" s="2" t="str">
        <f>IF($AV2006="","",IF(COUNTIF(LISTS!$C$2:$C$250,$AU2006)=0,"NEW",""))</f>
        <v/>
      </c>
      <c r="BA2006" s="2" t="str">
        <f>IF(""&amp;$F2006&lt;&gt;"4","",IF($AY2006="YES","",IF(ROUND(SUMIFS($AE$2:$AE$4001,$L$2:$L$4001,$L2006,$F$2:$F$4001,"4")-SUMIFS('AR SALES'!$Y$2:$Y$2501,'AR SALES'!$L$2:$L$2501,$L2006,'AR SALES'!$AD$2:$AD$2501,"OFF"),2)=0,"","STALE")))</f>
        <v/>
      </c>
      <c r="BB2006" s="2" t="str">
        <f>IF(OR(""&amp;$F2006="2",""&amp;$F2006="4",""&amp;$F2006="G",""&amp;$F2006="H"),IF($AY2006="YES","",IF($AB2006&lt;&gt;0,"",IF(COUNTIFS('AR SALES'!$L$2:$L$2501,$L2006,'AR SALES'!$AD$2:$AD$2501,IF(""&amp;$F2006="4","OFF","ON"),'AR SALES'!$AF$2:$AF$2501,"Y")&gt;0,"","NO EXEMPTION"))),"")</f>
        <v/>
      </c>
    </row>
    <row r="2007" spans="46:54" x14ac:dyDescent="0.25">
      <c r="AT2007" s="2" t="str">
        <f>IF($L2007="","",IFERROR(INDEX('AR SALES'!$H$2:$H$2501,MATCH(""&amp;$L2007,'AR SALES'!$AE$2:$AE$2501,0)),""))</f>
        <v/>
      </c>
      <c r="AU2007" s="2" t="str">
        <f t="shared" si="124"/>
        <v/>
      </c>
      <c r="AV2007" s="2" t="str">
        <f t="shared" si="125"/>
        <v/>
      </c>
      <c r="AW2007" s="2" t="str">
        <f t="shared" si="126"/>
        <v/>
      </c>
      <c r="AX2007" s="2" t="str">
        <f t="shared" si="127"/>
        <v/>
      </c>
      <c r="AY2007" s="2" t="str">
        <f>IF($AV2007="","",IF(AND($Z2007=0,COUNTIF('AR SALES'!$L$2:$L$2501,$L2007)=0),"YES",""))</f>
        <v/>
      </c>
      <c r="AZ2007" s="2" t="str">
        <f>IF($AV2007="","",IF(COUNTIF(LISTS!$C$2:$C$250,$AU2007)=0,"NEW",""))</f>
        <v/>
      </c>
      <c r="BA2007" s="2" t="str">
        <f>IF(""&amp;$F2007&lt;&gt;"4","",IF($AY2007="YES","",IF(ROUND(SUMIFS($AE$2:$AE$4001,$L$2:$L$4001,$L2007,$F$2:$F$4001,"4")-SUMIFS('AR SALES'!$Y$2:$Y$2501,'AR SALES'!$L$2:$L$2501,$L2007,'AR SALES'!$AD$2:$AD$2501,"OFF"),2)=0,"","STALE")))</f>
        <v/>
      </c>
      <c r="BB2007" s="2" t="str">
        <f>IF(OR(""&amp;$F2007="2",""&amp;$F2007="4",""&amp;$F2007="G",""&amp;$F2007="H"),IF($AY2007="YES","",IF($AB2007&lt;&gt;0,"",IF(COUNTIFS('AR SALES'!$L$2:$L$2501,$L2007,'AR SALES'!$AD$2:$AD$2501,IF(""&amp;$F2007="4","OFF","ON"),'AR SALES'!$AF$2:$AF$2501,"Y")&gt;0,"","NO EXEMPTION"))),"")</f>
        <v/>
      </c>
    </row>
    <row r="2008" spans="46:54" x14ac:dyDescent="0.25">
      <c r="AT2008" s="2" t="str">
        <f>IF($L2008="","",IFERROR(INDEX('AR SALES'!$H$2:$H$2501,MATCH(""&amp;$L2008,'AR SALES'!$AE$2:$AE$2501,0)),""))</f>
        <v/>
      </c>
      <c r="AU2008" s="2" t="str">
        <f t="shared" si="124"/>
        <v/>
      </c>
      <c r="AV2008" s="2" t="str">
        <f t="shared" si="125"/>
        <v/>
      </c>
      <c r="AW2008" s="2" t="str">
        <f t="shared" si="126"/>
        <v/>
      </c>
      <c r="AX2008" s="2" t="str">
        <f t="shared" si="127"/>
        <v/>
      </c>
      <c r="AY2008" s="2" t="str">
        <f>IF($AV2008="","",IF(AND($Z2008=0,COUNTIF('AR SALES'!$L$2:$L$2501,$L2008)=0),"YES",""))</f>
        <v/>
      </c>
      <c r="AZ2008" s="2" t="str">
        <f>IF($AV2008="","",IF(COUNTIF(LISTS!$C$2:$C$250,$AU2008)=0,"NEW",""))</f>
        <v/>
      </c>
      <c r="BA2008" s="2" t="str">
        <f>IF(""&amp;$F2008&lt;&gt;"4","",IF($AY2008="YES","",IF(ROUND(SUMIFS($AE$2:$AE$4001,$L$2:$L$4001,$L2008,$F$2:$F$4001,"4")-SUMIFS('AR SALES'!$Y$2:$Y$2501,'AR SALES'!$L$2:$L$2501,$L2008,'AR SALES'!$AD$2:$AD$2501,"OFF"),2)=0,"","STALE")))</f>
        <v/>
      </c>
      <c r="BB2008" s="2" t="str">
        <f>IF(OR(""&amp;$F2008="2",""&amp;$F2008="4",""&amp;$F2008="G",""&amp;$F2008="H"),IF($AY2008="YES","",IF($AB2008&lt;&gt;0,"",IF(COUNTIFS('AR SALES'!$L$2:$L$2501,$L2008,'AR SALES'!$AD$2:$AD$2501,IF(""&amp;$F2008="4","OFF","ON"),'AR SALES'!$AF$2:$AF$2501,"Y")&gt;0,"","NO EXEMPTION"))),"")</f>
        <v/>
      </c>
    </row>
    <row r="2009" spans="46:54" x14ac:dyDescent="0.25">
      <c r="AT2009" s="2" t="str">
        <f>IF($L2009="","",IFERROR(INDEX('AR SALES'!$H$2:$H$2501,MATCH(""&amp;$L2009,'AR SALES'!$AE$2:$AE$2501,0)),""))</f>
        <v/>
      </c>
      <c r="AU2009" s="2" t="str">
        <f t="shared" si="124"/>
        <v/>
      </c>
      <c r="AV2009" s="2" t="str">
        <f t="shared" si="125"/>
        <v/>
      </c>
      <c r="AW2009" s="2" t="str">
        <f t="shared" si="126"/>
        <v/>
      </c>
      <c r="AX2009" s="2" t="str">
        <f t="shared" si="127"/>
        <v/>
      </c>
      <c r="AY2009" s="2" t="str">
        <f>IF($AV2009="","",IF(AND($Z2009=0,COUNTIF('AR SALES'!$L$2:$L$2501,$L2009)=0),"YES",""))</f>
        <v/>
      </c>
      <c r="AZ2009" s="2" t="str">
        <f>IF($AV2009="","",IF(COUNTIF(LISTS!$C$2:$C$250,$AU2009)=0,"NEW",""))</f>
        <v/>
      </c>
      <c r="BA2009" s="2" t="str">
        <f>IF(""&amp;$F2009&lt;&gt;"4","",IF($AY2009="YES","",IF(ROUND(SUMIFS($AE$2:$AE$4001,$L$2:$L$4001,$L2009,$F$2:$F$4001,"4")-SUMIFS('AR SALES'!$Y$2:$Y$2501,'AR SALES'!$L$2:$L$2501,$L2009,'AR SALES'!$AD$2:$AD$2501,"OFF"),2)=0,"","STALE")))</f>
        <v/>
      </c>
      <c r="BB2009" s="2" t="str">
        <f>IF(OR(""&amp;$F2009="2",""&amp;$F2009="4",""&amp;$F2009="G",""&amp;$F2009="H"),IF($AY2009="YES","",IF($AB2009&lt;&gt;0,"",IF(COUNTIFS('AR SALES'!$L$2:$L$2501,$L2009,'AR SALES'!$AD$2:$AD$2501,IF(""&amp;$F2009="4","OFF","ON"),'AR SALES'!$AF$2:$AF$2501,"Y")&gt;0,"","NO EXEMPTION"))),"")</f>
        <v/>
      </c>
    </row>
    <row r="2010" spans="46:54" x14ac:dyDescent="0.25">
      <c r="AT2010" s="2" t="str">
        <f>IF($L2010="","",IFERROR(INDEX('AR SALES'!$H$2:$H$2501,MATCH(""&amp;$L2010,'AR SALES'!$AE$2:$AE$2501,0)),""))</f>
        <v/>
      </c>
      <c r="AU2010" s="2" t="str">
        <f t="shared" si="124"/>
        <v/>
      </c>
      <c r="AV2010" s="2" t="str">
        <f t="shared" si="125"/>
        <v/>
      </c>
      <c r="AW2010" s="2" t="str">
        <f t="shared" si="126"/>
        <v/>
      </c>
      <c r="AX2010" s="2" t="str">
        <f t="shared" si="127"/>
        <v/>
      </c>
      <c r="AY2010" s="2" t="str">
        <f>IF($AV2010="","",IF(AND($Z2010=0,COUNTIF('AR SALES'!$L$2:$L$2501,$L2010)=0),"YES",""))</f>
        <v/>
      </c>
      <c r="AZ2010" s="2" t="str">
        <f>IF($AV2010="","",IF(COUNTIF(LISTS!$C$2:$C$250,$AU2010)=0,"NEW",""))</f>
        <v/>
      </c>
      <c r="BA2010" s="2" t="str">
        <f>IF(""&amp;$F2010&lt;&gt;"4","",IF($AY2010="YES","",IF(ROUND(SUMIFS($AE$2:$AE$4001,$L$2:$L$4001,$L2010,$F$2:$F$4001,"4")-SUMIFS('AR SALES'!$Y$2:$Y$2501,'AR SALES'!$L$2:$L$2501,$L2010,'AR SALES'!$AD$2:$AD$2501,"OFF"),2)=0,"","STALE")))</f>
        <v/>
      </c>
      <c r="BB2010" s="2" t="str">
        <f>IF(OR(""&amp;$F2010="2",""&amp;$F2010="4",""&amp;$F2010="G",""&amp;$F2010="H"),IF($AY2010="YES","",IF($AB2010&lt;&gt;0,"",IF(COUNTIFS('AR SALES'!$L$2:$L$2501,$L2010,'AR SALES'!$AD$2:$AD$2501,IF(""&amp;$F2010="4","OFF","ON"),'AR SALES'!$AF$2:$AF$2501,"Y")&gt;0,"","NO EXEMPTION"))),"")</f>
        <v/>
      </c>
    </row>
    <row r="2011" spans="46:54" x14ac:dyDescent="0.25">
      <c r="AT2011" s="2" t="str">
        <f>IF($L2011="","",IFERROR(INDEX('AR SALES'!$H$2:$H$2501,MATCH(""&amp;$L2011,'AR SALES'!$AE$2:$AE$2501,0)),""))</f>
        <v/>
      </c>
      <c r="AU2011" s="2" t="str">
        <f t="shared" si="124"/>
        <v/>
      </c>
      <c r="AV2011" s="2" t="str">
        <f t="shared" si="125"/>
        <v/>
      </c>
      <c r="AW2011" s="2" t="str">
        <f t="shared" si="126"/>
        <v/>
      </c>
      <c r="AX2011" s="2" t="str">
        <f t="shared" si="127"/>
        <v/>
      </c>
      <c r="AY2011" s="2" t="str">
        <f>IF($AV2011="","",IF(AND($Z2011=0,COUNTIF('AR SALES'!$L$2:$L$2501,$L2011)=0),"YES",""))</f>
        <v/>
      </c>
      <c r="AZ2011" s="2" t="str">
        <f>IF($AV2011="","",IF(COUNTIF(LISTS!$C$2:$C$250,$AU2011)=0,"NEW",""))</f>
        <v/>
      </c>
      <c r="BA2011" s="2" t="str">
        <f>IF(""&amp;$F2011&lt;&gt;"4","",IF($AY2011="YES","",IF(ROUND(SUMIFS($AE$2:$AE$4001,$L$2:$L$4001,$L2011,$F$2:$F$4001,"4")-SUMIFS('AR SALES'!$Y$2:$Y$2501,'AR SALES'!$L$2:$L$2501,$L2011,'AR SALES'!$AD$2:$AD$2501,"OFF"),2)=0,"","STALE")))</f>
        <v/>
      </c>
      <c r="BB2011" s="2" t="str">
        <f>IF(OR(""&amp;$F2011="2",""&amp;$F2011="4",""&amp;$F2011="G",""&amp;$F2011="H"),IF($AY2011="YES","",IF($AB2011&lt;&gt;0,"",IF(COUNTIFS('AR SALES'!$L$2:$L$2501,$L2011,'AR SALES'!$AD$2:$AD$2501,IF(""&amp;$F2011="4","OFF","ON"),'AR SALES'!$AF$2:$AF$2501,"Y")&gt;0,"","NO EXEMPTION"))),"")</f>
        <v/>
      </c>
    </row>
    <row r="2012" spans="46:54" x14ac:dyDescent="0.25">
      <c r="AT2012" s="2" t="str">
        <f>IF($L2012="","",IFERROR(INDEX('AR SALES'!$H$2:$H$2501,MATCH(""&amp;$L2012,'AR SALES'!$AE$2:$AE$2501,0)),""))</f>
        <v/>
      </c>
      <c r="AU2012" s="2" t="str">
        <f t="shared" si="124"/>
        <v/>
      </c>
      <c r="AV2012" s="2" t="str">
        <f t="shared" si="125"/>
        <v/>
      </c>
      <c r="AW2012" s="2" t="str">
        <f t="shared" si="126"/>
        <v/>
      </c>
      <c r="AX2012" s="2" t="str">
        <f t="shared" si="127"/>
        <v/>
      </c>
      <c r="AY2012" s="2" t="str">
        <f>IF($AV2012="","",IF(AND($Z2012=0,COUNTIF('AR SALES'!$L$2:$L$2501,$L2012)=0),"YES",""))</f>
        <v/>
      </c>
      <c r="AZ2012" s="2" t="str">
        <f>IF($AV2012="","",IF(COUNTIF(LISTS!$C$2:$C$250,$AU2012)=0,"NEW",""))</f>
        <v/>
      </c>
      <c r="BA2012" s="2" t="str">
        <f>IF(""&amp;$F2012&lt;&gt;"4","",IF($AY2012="YES","",IF(ROUND(SUMIFS($AE$2:$AE$4001,$L$2:$L$4001,$L2012,$F$2:$F$4001,"4")-SUMIFS('AR SALES'!$Y$2:$Y$2501,'AR SALES'!$L$2:$L$2501,$L2012,'AR SALES'!$AD$2:$AD$2501,"OFF"),2)=0,"","STALE")))</f>
        <v/>
      </c>
      <c r="BB2012" s="2" t="str">
        <f>IF(OR(""&amp;$F2012="2",""&amp;$F2012="4",""&amp;$F2012="G",""&amp;$F2012="H"),IF($AY2012="YES","",IF($AB2012&lt;&gt;0,"",IF(COUNTIFS('AR SALES'!$L$2:$L$2501,$L2012,'AR SALES'!$AD$2:$AD$2501,IF(""&amp;$F2012="4","OFF","ON"),'AR SALES'!$AF$2:$AF$2501,"Y")&gt;0,"","NO EXEMPTION"))),"")</f>
        <v/>
      </c>
    </row>
    <row r="2013" spans="46:54" x14ac:dyDescent="0.25">
      <c r="AT2013" s="2" t="str">
        <f>IF($L2013="","",IFERROR(INDEX('AR SALES'!$H$2:$H$2501,MATCH(""&amp;$L2013,'AR SALES'!$AE$2:$AE$2501,0)),""))</f>
        <v/>
      </c>
      <c r="AU2013" s="2" t="str">
        <f t="shared" si="124"/>
        <v/>
      </c>
      <c r="AV2013" s="2" t="str">
        <f t="shared" si="125"/>
        <v/>
      </c>
      <c r="AW2013" s="2" t="str">
        <f t="shared" si="126"/>
        <v/>
      </c>
      <c r="AX2013" s="2" t="str">
        <f t="shared" si="127"/>
        <v/>
      </c>
      <c r="AY2013" s="2" t="str">
        <f>IF($AV2013="","",IF(AND($Z2013=0,COUNTIF('AR SALES'!$L$2:$L$2501,$L2013)=0),"YES",""))</f>
        <v/>
      </c>
      <c r="AZ2013" s="2" t="str">
        <f>IF($AV2013="","",IF(COUNTIF(LISTS!$C$2:$C$250,$AU2013)=0,"NEW",""))</f>
        <v/>
      </c>
      <c r="BA2013" s="2" t="str">
        <f>IF(""&amp;$F2013&lt;&gt;"4","",IF($AY2013="YES","",IF(ROUND(SUMIFS($AE$2:$AE$4001,$L$2:$L$4001,$L2013,$F$2:$F$4001,"4")-SUMIFS('AR SALES'!$Y$2:$Y$2501,'AR SALES'!$L$2:$L$2501,$L2013,'AR SALES'!$AD$2:$AD$2501,"OFF"),2)=0,"","STALE")))</f>
        <v/>
      </c>
      <c r="BB2013" s="2" t="str">
        <f>IF(OR(""&amp;$F2013="2",""&amp;$F2013="4",""&amp;$F2013="G",""&amp;$F2013="H"),IF($AY2013="YES","",IF($AB2013&lt;&gt;0,"",IF(COUNTIFS('AR SALES'!$L$2:$L$2501,$L2013,'AR SALES'!$AD$2:$AD$2501,IF(""&amp;$F2013="4","OFF","ON"),'AR SALES'!$AF$2:$AF$2501,"Y")&gt;0,"","NO EXEMPTION"))),"")</f>
        <v/>
      </c>
    </row>
    <row r="2014" spans="46:54" x14ac:dyDescent="0.25">
      <c r="AT2014" s="2" t="str">
        <f>IF($L2014="","",IFERROR(INDEX('AR SALES'!$H$2:$H$2501,MATCH(""&amp;$L2014,'AR SALES'!$AE$2:$AE$2501,0)),""))</f>
        <v/>
      </c>
      <c r="AU2014" s="2" t="str">
        <f t="shared" si="124"/>
        <v/>
      </c>
      <c r="AV2014" s="2" t="str">
        <f t="shared" si="125"/>
        <v/>
      </c>
      <c r="AW2014" s="2" t="str">
        <f t="shared" si="126"/>
        <v/>
      </c>
      <c r="AX2014" s="2" t="str">
        <f t="shared" si="127"/>
        <v/>
      </c>
      <c r="AY2014" s="2" t="str">
        <f>IF($AV2014="","",IF(AND($Z2014=0,COUNTIF('AR SALES'!$L$2:$L$2501,$L2014)=0),"YES",""))</f>
        <v/>
      </c>
      <c r="AZ2014" s="2" t="str">
        <f>IF($AV2014="","",IF(COUNTIF(LISTS!$C$2:$C$250,$AU2014)=0,"NEW",""))</f>
        <v/>
      </c>
      <c r="BA2014" s="2" t="str">
        <f>IF(""&amp;$F2014&lt;&gt;"4","",IF($AY2014="YES","",IF(ROUND(SUMIFS($AE$2:$AE$4001,$L$2:$L$4001,$L2014,$F$2:$F$4001,"4")-SUMIFS('AR SALES'!$Y$2:$Y$2501,'AR SALES'!$L$2:$L$2501,$L2014,'AR SALES'!$AD$2:$AD$2501,"OFF"),2)=0,"","STALE")))</f>
        <v/>
      </c>
      <c r="BB2014" s="2" t="str">
        <f>IF(OR(""&amp;$F2014="2",""&amp;$F2014="4",""&amp;$F2014="G",""&amp;$F2014="H"),IF($AY2014="YES","",IF($AB2014&lt;&gt;0,"",IF(COUNTIFS('AR SALES'!$L$2:$L$2501,$L2014,'AR SALES'!$AD$2:$AD$2501,IF(""&amp;$F2014="4","OFF","ON"),'AR SALES'!$AF$2:$AF$2501,"Y")&gt;0,"","NO EXEMPTION"))),"")</f>
        <v/>
      </c>
    </row>
    <row r="2015" spans="46:54" x14ac:dyDescent="0.25">
      <c r="AT2015" s="2" t="str">
        <f>IF($L2015="","",IFERROR(INDEX('AR SALES'!$H$2:$H$2501,MATCH(""&amp;$L2015,'AR SALES'!$AE$2:$AE$2501,0)),""))</f>
        <v/>
      </c>
      <c r="AU2015" s="2" t="str">
        <f t="shared" si="124"/>
        <v/>
      </c>
      <c r="AV2015" s="2" t="str">
        <f t="shared" si="125"/>
        <v/>
      </c>
      <c r="AW2015" s="2" t="str">
        <f t="shared" si="126"/>
        <v/>
      </c>
      <c r="AX2015" s="2" t="str">
        <f t="shared" si="127"/>
        <v/>
      </c>
      <c r="AY2015" s="2" t="str">
        <f>IF($AV2015="","",IF(AND($Z2015=0,COUNTIF('AR SALES'!$L$2:$L$2501,$L2015)=0),"YES",""))</f>
        <v/>
      </c>
      <c r="AZ2015" s="2" t="str">
        <f>IF($AV2015="","",IF(COUNTIF(LISTS!$C$2:$C$250,$AU2015)=0,"NEW",""))</f>
        <v/>
      </c>
      <c r="BA2015" s="2" t="str">
        <f>IF(""&amp;$F2015&lt;&gt;"4","",IF($AY2015="YES","",IF(ROUND(SUMIFS($AE$2:$AE$4001,$L$2:$L$4001,$L2015,$F$2:$F$4001,"4")-SUMIFS('AR SALES'!$Y$2:$Y$2501,'AR SALES'!$L$2:$L$2501,$L2015,'AR SALES'!$AD$2:$AD$2501,"OFF"),2)=0,"","STALE")))</f>
        <v/>
      </c>
      <c r="BB2015" s="2" t="str">
        <f>IF(OR(""&amp;$F2015="2",""&amp;$F2015="4",""&amp;$F2015="G",""&amp;$F2015="H"),IF($AY2015="YES","",IF($AB2015&lt;&gt;0,"",IF(COUNTIFS('AR SALES'!$L$2:$L$2501,$L2015,'AR SALES'!$AD$2:$AD$2501,IF(""&amp;$F2015="4","OFF","ON"),'AR SALES'!$AF$2:$AF$2501,"Y")&gt;0,"","NO EXEMPTION"))),"")</f>
        <v/>
      </c>
    </row>
    <row r="2016" spans="46:54" x14ac:dyDescent="0.25">
      <c r="AT2016" s="2" t="str">
        <f>IF($L2016="","",IFERROR(INDEX('AR SALES'!$H$2:$H$2501,MATCH(""&amp;$L2016,'AR SALES'!$AE$2:$AE$2501,0)),""))</f>
        <v/>
      </c>
      <c r="AU2016" s="2" t="str">
        <f t="shared" si="124"/>
        <v/>
      </c>
      <c r="AV2016" s="2" t="str">
        <f t="shared" si="125"/>
        <v/>
      </c>
      <c r="AW2016" s="2" t="str">
        <f t="shared" si="126"/>
        <v/>
      </c>
      <c r="AX2016" s="2" t="str">
        <f t="shared" si="127"/>
        <v/>
      </c>
      <c r="AY2016" s="2" t="str">
        <f>IF($AV2016="","",IF(AND($Z2016=0,COUNTIF('AR SALES'!$L$2:$L$2501,$L2016)=0),"YES",""))</f>
        <v/>
      </c>
      <c r="AZ2016" s="2" t="str">
        <f>IF($AV2016="","",IF(COUNTIF(LISTS!$C$2:$C$250,$AU2016)=0,"NEW",""))</f>
        <v/>
      </c>
      <c r="BA2016" s="2" t="str">
        <f>IF(""&amp;$F2016&lt;&gt;"4","",IF($AY2016="YES","",IF(ROUND(SUMIFS($AE$2:$AE$4001,$L$2:$L$4001,$L2016,$F$2:$F$4001,"4")-SUMIFS('AR SALES'!$Y$2:$Y$2501,'AR SALES'!$L$2:$L$2501,$L2016,'AR SALES'!$AD$2:$AD$2501,"OFF"),2)=0,"","STALE")))</f>
        <v/>
      </c>
      <c r="BB2016" s="2" t="str">
        <f>IF(OR(""&amp;$F2016="2",""&amp;$F2016="4",""&amp;$F2016="G",""&amp;$F2016="H"),IF($AY2016="YES","",IF($AB2016&lt;&gt;0,"",IF(COUNTIFS('AR SALES'!$L$2:$L$2501,$L2016,'AR SALES'!$AD$2:$AD$2501,IF(""&amp;$F2016="4","OFF","ON"),'AR SALES'!$AF$2:$AF$2501,"Y")&gt;0,"","NO EXEMPTION"))),"")</f>
        <v/>
      </c>
    </row>
    <row r="2017" spans="46:54" x14ac:dyDescent="0.25">
      <c r="AT2017" s="2" t="str">
        <f>IF($L2017="","",IFERROR(INDEX('AR SALES'!$H$2:$H$2501,MATCH(""&amp;$L2017,'AR SALES'!$AE$2:$AE$2501,0)),""))</f>
        <v/>
      </c>
      <c r="AU2017" s="2" t="str">
        <f t="shared" si="124"/>
        <v/>
      </c>
      <c r="AV2017" s="2" t="str">
        <f t="shared" si="125"/>
        <v/>
      </c>
      <c r="AW2017" s="2" t="str">
        <f t="shared" si="126"/>
        <v/>
      </c>
      <c r="AX2017" s="2" t="str">
        <f t="shared" si="127"/>
        <v/>
      </c>
      <c r="AY2017" s="2" t="str">
        <f>IF($AV2017="","",IF(AND($Z2017=0,COUNTIF('AR SALES'!$L$2:$L$2501,$L2017)=0),"YES",""))</f>
        <v/>
      </c>
      <c r="AZ2017" s="2" t="str">
        <f>IF($AV2017="","",IF(COUNTIF(LISTS!$C$2:$C$250,$AU2017)=0,"NEW",""))</f>
        <v/>
      </c>
      <c r="BA2017" s="2" t="str">
        <f>IF(""&amp;$F2017&lt;&gt;"4","",IF($AY2017="YES","",IF(ROUND(SUMIFS($AE$2:$AE$4001,$L$2:$L$4001,$L2017,$F$2:$F$4001,"4")-SUMIFS('AR SALES'!$Y$2:$Y$2501,'AR SALES'!$L$2:$L$2501,$L2017,'AR SALES'!$AD$2:$AD$2501,"OFF"),2)=0,"","STALE")))</f>
        <v/>
      </c>
      <c r="BB2017" s="2" t="str">
        <f>IF(OR(""&amp;$F2017="2",""&amp;$F2017="4",""&amp;$F2017="G",""&amp;$F2017="H"),IF($AY2017="YES","",IF($AB2017&lt;&gt;0,"",IF(COUNTIFS('AR SALES'!$L$2:$L$2501,$L2017,'AR SALES'!$AD$2:$AD$2501,IF(""&amp;$F2017="4","OFF","ON"),'AR SALES'!$AF$2:$AF$2501,"Y")&gt;0,"","NO EXEMPTION"))),"")</f>
        <v/>
      </c>
    </row>
    <row r="2018" spans="46:54" x14ac:dyDescent="0.25">
      <c r="AT2018" s="2" t="str">
        <f>IF($L2018="","",IFERROR(INDEX('AR SALES'!$H$2:$H$2501,MATCH(""&amp;$L2018,'AR SALES'!$AE$2:$AE$2501,0)),""))</f>
        <v/>
      </c>
      <c r="AU2018" s="2" t="str">
        <f t="shared" si="124"/>
        <v/>
      </c>
      <c r="AV2018" s="2" t="str">
        <f t="shared" si="125"/>
        <v/>
      </c>
      <c r="AW2018" s="2" t="str">
        <f t="shared" si="126"/>
        <v/>
      </c>
      <c r="AX2018" s="2" t="str">
        <f t="shared" si="127"/>
        <v/>
      </c>
      <c r="AY2018" s="2" t="str">
        <f>IF($AV2018="","",IF(AND($Z2018=0,COUNTIF('AR SALES'!$L$2:$L$2501,$L2018)=0),"YES",""))</f>
        <v/>
      </c>
      <c r="AZ2018" s="2" t="str">
        <f>IF($AV2018="","",IF(COUNTIF(LISTS!$C$2:$C$250,$AU2018)=0,"NEW",""))</f>
        <v/>
      </c>
      <c r="BA2018" s="2" t="str">
        <f>IF(""&amp;$F2018&lt;&gt;"4","",IF($AY2018="YES","",IF(ROUND(SUMIFS($AE$2:$AE$4001,$L$2:$L$4001,$L2018,$F$2:$F$4001,"4")-SUMIFS('AR SALES'!$Y$2:$Y$2501,'AR SALES'!$L$2:$L$2501,$L2018,'AR SALES'!$AD$2:$AD$2501,"OFF"),2)=0,"","STALE")))</f>
        <v/>
      </c>
      <c r="BB2018" s="2" t="str">
        <f>IF(OR(""&amp;$F2018="2",""&amp;$F2018="4",""&amp;$F2018="G",""&amp;$F2018="H"),IF($AY2018="YES","",IF($AB2018&lt;&gt;0,"",IF(COUNTIFS('AR SALES'!$L$2:$L$2501,$L2018,'AR SALES'!$AD$2:$AD$2501,IF(""&amp;$F2018="4","OFF","ON"),'AR SALES'!$AF$2:$AF$2501,"Y")&gt;0,"","NO EXEMPTION"))),"")</f>
        <v/>
      </c>
    </row>
    <row r="2019" spans="46:54" x14ac:dyDescent="0.25">
      <c r="AT2019" s="2" t="str">
        <f>IF($L2019="","",IFERROR(INDEX('AR SALES'!$H$2:$H$2501,MATCH(""&amp;$L2019,'AR SALES'!$AE$2:$AE$2501,0)),""))</f>
        <v/>
      </c>
      <c r="AU2019" s="2" t="str">
        <f t="shared" si="124"/>
        <v/>
      </c>
      <c r="AV2019" s="2" t="str">
        <f t="shared" si="125"/>
        <v/>
      </c>
      <c r="AW2019" s="2" t="str">
        <f t="shared" si="126"/>
        <v/>
      </c>
      <c r="AX2019" s="2" t="str">
        <f t="shared" si="127"/>
        <v/>
      </c>
      <c r="AY2019" s="2" t="str">
        <f>IF($AV2019="","",IF(AND($Z2019=0,COUNTIF('AR SALES'!$L$2:$L$2501,$L2019)=0),"YES",""))</f>
        <v/>
      </c>
      <c r="AZ2019" s="2" t="str">
        <f>IF($AV2019="","",IF(COUNTIF(LISTS!$C$2:$C$250,$AU2019)=0,"NEW",""))</f>
        <v/>
      </c>
      <c r="BA2019" s="2" t="str">
        <f>IF(""&amp;$F2019&lt;&gt;"4","",IF($AY2019="YES","",IF(ROUND(SUMIFS($AE$2:$AE$4001,$L$2:$L$4001,$L2019,$F$2:$F$4001,"4")-SUMIFS('AR SALES'!$Y$2:$Y$2501,'AR SALES'!$L$2:$L$2501,$L2019,'AR SALES'!$AD$2:$AD$2501,"OFF"),2)=0,"","STALE")))</f>
        <v/>
      </c>
      <c r="BB2019" s="2" t="str">
        <f>IF(OR(""&amp;$F2019="2",""&amp;$F2019="4",""&amp;$F2019="G",""&amp;$F2019="H"),IF($AY2019="YES","",IF($AB2019&lt;&gt;0,"",IF(COUNTIFS('AR SALES'!$L$2:$L$2501,$L2019,'AR SALES'!$AD$2:$AD$2501,IF(""&amp;$F2019="4","OFF","ON"),'AR SALES'!$AF$2:$AF$2501,"Y")&gt;0,"","NO EXEMPTION"))),"")</f>
        <v/>
      </c>
    </row>
    <row r="2020" spans="46:54" x14ac:dyDescent="0.25">
      <c r="AT2020" s="2" t="str">
        <f>IF($L2020="","",IFERROR(INDEX('AR SALES'!$H$2:$H$2501,MATCH(""&amp;$L2020,'AR SALES'!$AE$2:$AE$2501,0)),""))</f>
        <v/>
      </c>
      <c r="AU2020" s="2" t="str">
        <f t="shared" si="124"/>
        <v/>
      </c>
      <c r="AV2020" s="2" t="str">
        <f t="shared" si="125"/>
        <v/>
      </c>
      <c r="AW2020" s="2" t="str">
        <f t="shared" si="126"/>
        <v/>
      </c>
      <c r="AX2020" s="2" t="str">
        <f t="shared" si="127"/>
        <v/>
      </c>
      <c r="AY2020" s="2" t="str">
        <f>IF($AV2020="","",IF(AND($Z2020=0,COUNTIF('AR SALES'!$L$2:$L$2501,$L2020)=0),"YES",""))</f>
        <v/>
      </c>
      <c r="AZ2020" s="2" t="str">
        <f>IF($AV2020="","",IF(COUNTIF(LISTS!$C$2:$C$250,$AU2020)=0,"NEW",""))</f>
        <v/>
      </c>
      <c r="BA2020" s="2" t="str">
        <f>IF(""&amp;$F2020&lt;&gt;"4","",IF($AY2020="YES","",IF(ROUND(SUMIFS($AE$2:$AE$4001,$L$2:$L$4001,$L2020,$F$2:$F$4001,"4")-SUMIFS('AR SALES'!$Y$2:$Y$2501,'AR SALES'!$L$2:$L$2501,$L2020,'AR SALES'!$AD$2:$AD$2501,"OFF"),2)=0,"","STALE")))</f>
        <v/>
      </c>
      <c r="BB2020" s="2" t="str">
        <f>IF(OR(""&amp;$F2020="2",""&amp;$F2020="4",""&amp;$F2020="G",""&amp;$F2020="H"),IF($AY2020="YES","",IF($AB2020&lt;&gt;0,"",IF(COUNTIFS('AR SALES'!$L$2:$L$2501,$L2020,'AR SALES'!$AD$2:$AD$2501,IF(""&amp;$F2020="4","OFF","ON"),'AR SALES'!$AF$2:$AF$2501,"Y")&gt;0,"","NO EXEMPTION"))),"")</f>
        <v/>
      </c>
    </row>
    <row r="2021" spans="46:54" x14ac:dyDescent="0.25">
      <c r="AT2021" s="2" t="str">
        <f>IF($L2021="","",IFERROR(INDEX('AR SALES'!$H$2:$H$2501,MATCH(""&amp;$L2021,'AR SALES'!$AE$2:$AE$2501,0)),""))</f>
        <v/>
      </c>
      <c r="AU2021" s="2" t="str">
        <f t="shared" si="124"/>
        <v/>
      </c>
      <c r="AV2021" s="2" t="str">
        <f t="shared" si="125"/>
        <v/>
      </c>
      <c r="AW2021" s="2" t="str">
        <f t="shared" si="126"/>
        <v/>
      </c>
      <c r="AX2021" s="2" t="str">
        <f t="shared" si="127"/>
        <v/>
      </c>
      <c r="AY2021" s="2" t="str">
        <f>IF($AV2021="","",IF(AND($Z2021=0,COUNTIF('AR SALES'!$L$2:$L$2501,$L2021)=0),"YES",""))</f>
        <v/>
      </c>
      <c r="AZ2021" s="2" t="str">
        <f>IF($AV2021="","",IF(COUNTIF(LISTS!$C$2:$C$250,$AU2021)=0,"NEW",""))</f>
        <v/>
      </c>
      <c r="BA2021" s="2" t="str">
        <f>IF(""&amp;$F2021&lt;&gt;"4","",IF($AY2021="YES","",IF(ROUND(SUMIFS($AE$2:$AE$4001,$L$2:$L$4001,$L2021,$F$2:$F$4001,"4")-SUMIFS('AR SALES'!$Y$2:$Y$2501,'AR SALES'!$L$2:$L$2501,$L2021,'AR SALES'!$AD$2:$AD$2501,"OFF"),2)=0,"","STALE")))</f>
        <v/>
      </c>
      <c r="BB2021" s="2" t="str">
        <f>IF(OR(""&amp;$F2021="2",""&amp;$F2021="4",""&amp;$F2021="G",""&amp;$F2021="H"),IF($AY2021="YES","",IF($AB2021&lt;&gt;0,"",IF(COUNTIFS('AR SALES'!$L$2:$L$2501,$L2021,'AR SALES'!$AD$2:$AD$2501,IF(""&amp;$F2021="4","OFF","ON"),'AR SALES'!$AF$2:$AF$2501,"Y")&gt;0,"","NO EXEMPTION"))),"")</f>
        <v/>
      </c>
    </row>
    <row r="2022" spans="46:54" x14ac:dyDescent="0.25">
      <c r="AT2022" s="2" t="str">
        <f>IF($L2022="","",IFERROR(INDEX('AR SALES'!$H$2:$H$2501,MATCH(""&amp;$L2022,'AR SALES'!$AE$2:$AE$2501,0)),""))</f>
        <v/>
      </c>
      <c r="AU2022" s="2" t="str">
        <f t="shared" si="124"/>
        <v/>
      </c>
      <c r="AV2022" s="2" t="str">
        <f t="shared" si="125"/>
        <v/>
      </c>
      <c r="AW2022" s="2" t="str">
        <f t="shared" si="126"/>
        <v/>
      </c>
      <c r="AX2022" s="2" t="str">
        <f t="shared" si="127"/>
        <v/>
      </c>
      <c r="AY2022" s="2" t="str">
        <f>IF($AV2022="","",IF(AND($Z2022=0,COUNTIF('AR SALES'!$L$2:$L$2501,$L2022)=0),"YES",""))</f>
        <v/>
      </c>
      <c r="AZ2022" s="2" t="str">
        <f>IF($AV2022="","",IF(COUNTIF(LISTS!$C$2:$C$250,$AU2022)=0,"NEW",""))</f>
        <v/>
      </c>
      <c r="BA2022" s="2" t="str">
        <f>IF(""&amp;$F2022&lt;&gt;"4","",IF($AY2022="YES","",IF(ROUND(SUMIFS($AE$2:$AE$4001,$L$2:$L$4001,$L2022,$F$2:$F$4001,"4")-SUMIFS('AR SALES'!$Y$2:$Y$2501,'AR SALES'!$L$2:$L$2501,$L2022,'AR SALES'!$AD$2:$AD$2501,"OFF"),2)=0,"","STALE")))</f>
        <v/>
      </c>
      <c r="BB2022" s="2" t="str">
        <f>IF(OR(""&amp;$F2022="2",""&amp;$F2022="4",""&amp;$F2022="G",""&amp;$F2022="H"),IF($AY2022="YES","",IF($AB2022&lt;&gt;0,"",IF(COUNTIFS('AR SALES'!$L$2:$L$2501,$L2022,'AR SALES'!$AD$2:$AD$2501,IF(""&amp;$F2022="4","OFF","ON"),'AR SALES'!$AF$2:$AF$2501,"Y")&gt;0,"","NO EXEMPTION"))),"")</f>
        <v/>
      </c>
    </row>
    <row r="2023" spans="46:54" x14ac:dyDescent="0.25">
      <c r="AT2023" s="2" t="str">
        <f>IF($L2023="","",IFERROR(INDEX('AR SALES'!$H$2:$H$2501,MATCH(""&amp;$L2023,'AR SALES'!$AE$2:$AE$2501,0)),""))</f>
        <v/>
      </c>
      <c r="AU2023" s="2" t="str">
        <f t="shared" si="124"/>
        <v/>
      </c>
      <c r="AV2023" s="2" t="str">
        <f t="shared" si="125"/>
        <v/>
      </c>
      <c r="AW2023" s="2" t="str">
        <f t="shared" si="126"/>
        <v/>
      </c>
      <c r="AX2023" s="2" t="str">
        <f t="shared" si="127"/>
        <v/>
      </c>
      <c r="AY2023" s="2" t="str">
        <f>IF($AV2023="","",IF(AND($Z2023=0,COUNTIF('AR SALES'!$L$2:$L$2501,$L2023)=0),"YES",""))</f>
        <v/>
      </c>
      <c r="AZ2023" s="2" t="str">
        <f>IF($AV2023="","",IF(COUNTIF(LISTS!$C$2:$C$250,$AU2023)=0,"NEW",""))</f>
        <v/>
      </c>
      <c r="BA2023" s="2" t="str">
        <f>IF(""&amp;$F2023&lt;&gt;"4","",IF($AY2023="YES","",IF(ROUND(SUMIFS($AE$2:$AE$4001,$L$2:$L$4001,$L2023,$F$2:$F$4001,"4")-SUMIFS('AR SALES'!$Y$2:$Y$2501,'AR SALES'!$L$2:$L$2501,$L2023,'AR SALES'!$AD$2:$AD$2501,"OFF"),2)=0,"","STALE")))</f>
        <v/>
      </c>
      <c r="BB2023" s="2" t="str">
        <f>IF(OR(""&amp;$F2023="2",""&amp;$F2023="4",""&amp;$F2023="G",""&amp;$F2023="H"),IF($AY2023="YES","",IF($AB2023&lt;&gt;0,"",IF(COUNTIFS('AR SALES'!$L$2:$L$2501,$L2023,'AR SALES'!$AD$2:$AD$2501,IF(""&amp;$F2023="4","OFF","ON"),'AR SALES'!$AF$2:$AF$2501,"Y")&gt;0,"","NO EXEMPTION"))),"")</f>
        <v/>
      </c>
    </row>
    <row r="2024" spans="46:54" x14ac:dyDescent="0.25">
      <c r="AT2024" s="2" t="str">
        <f>IF($L2024="","",IFERROR(INDEX('AR SALES'!$H$2:$H$2501,MATCH(""&amp;$L2024,'AR SALES'!$AE$2:$AE$2501,0)),""))</f>
        <v/>
      </c>
      <c r="AU2024" s="2" t="str">
        <f t="shared" si="124"/>
        <v/>
      </c>
      <c r="AV2024" s="2" t="str">
        <f t="shared" si="125"/>
        <v/>
      </c>
      <c r="AW2024" s="2" t="str">
        <f t="shared" si="126"/>
        <v/>
      </c>
      <c r="AX2024" s="2" t="str">
        <f t="shared" si="127"/>
        <v/>
      </c>
      <c r="AY2024" s="2" t="str">
        <f>IF($AV2024="","",IF(AND($Z2024=0,COUNTIF('AR SALES'!$L$2:$L$2501,$L2024)=0),"YES",""))</f>
        <v/>
      </c>
      <c r="AZ2024" s="2" t="str">
        <f>IF($AV2024="","",IF(COUNTIF(LISTS!$C$2:$C$250,$AU2024)=0,"NEW",""))</f>
        <v/>
      </c>
      <c r="BA2024" s="2" t="str">
        <f>IF(""&amp;$F2024&lt;&gt;"4","",IF($AY2024="YES","",IF(ROUND(SUMIFS($AE$2:$AE$4001,$L$2:$L$4001,$L2024,$F$2:$F$4001,"4")-SUMIFS('AR SALES'!$Y$2:$Y$2501,'AR SALES'!$L$2:$L$2501,$L2024,'AR SALES'!$AD$2:$AD$2501,"OFF"),2)=0,"","STALE")))</f>
        <v/>
      </c>
      <c r="BB2024" s="2" t="str">
        <f>IF(OR(""&amp;$F2024="2",""&amp;$F2024="4",""&amp;$F2024="G",""&amp;$F2024="H"),IF($AY2024="YES","",IF($AB2024&lt;&gt;0,"",IF(COUNTIFS('AR SALES'!$L$2:$L$2501,$L2024,'AR SALES'!$AD$2:$AD$2501,IF(""&amp;$F2024="4","OFF","ON"),'AR SALES'!$AF$2:$AF$2501,"Y")&gt;0,"","NO EXEMPTION"))),"")</f>
        <v/>
      </c>
    </row>
    <row r="2025" spans="46:54" x14ac:dyDescent="0.25">
      <c r="AT2025" s="2" t="str">
        <f>IF($L2025="","",IFERROR(INDEX('AR SALES'!$H$2:$H$2501,MATCH(""&amp;$L2025,'AR SALES'!$AE$2:$AE$2501,0)),""))</f>
        <v/>
      </c>
      <c r="AU2025" s="2" t="str">
        <f t="shared" si="124"/>
        <v/>
      </c>
      <c r="AV2025" s="2" t="str">
        <f t="shared" si="125"/>
        <v/>
      </c>
      <c r="AW2025" s="2" t="str">
        <f t="shared" si="126"/>
        <v/>
      </c>
      <c r="AX2025" s="2" t="str">
        <f t="shared" si="127"/>
        <v/>
      </c>
      <c r="AY2025" s="2" t="str">
        <f>IF($AV2025="","",IF(AND($Z2025=0,COUNTIF('AR SALES'!$L$2:$L$2501,$L2025)=0),"YES",""))</f>
        <v/>
      </c>
      <c r="AZ2025" s="2" t="str">
        <f>IF($AV2025="","",IF(COUNTIF(LISTS!$C$2:$C$250,$AU2025)=0,"NEW",""))</f>
        <v/>
      </c>
      <c r="BA2025" s="2" t="str">
        <f>IF(""&amp;$F2025&lt;&gt;"4","",IF($AY2025="YES","",IF(ROUND(SUMIFS($AE$2:$AE$4001,$L$2:$L$4001,$L2025,$F$2:$F$4001,"4")-SUMIFS('AR SALES'!$Y$2:$Y$2501,'AR SALES'!$L$2:$L$2501,$L2025,'AR SALES'!$AD$2:$AD$2501,"OFF"),2)=0,"","STALE")))</f>
        <v/>
      </c>
      <c r="BB2025" s="2" t="str">
        <f>IF(OR(""&amp;$F2025="2",""&amp;$F2025="4",""&amp;$F2025="G",""&amp;$F2025="H"),IF($AY2025="YES","",IF($AB2025&lt;&gt;0,"",IF(COUNTIFS('AR SALES'!$L$2:$L$2501,$L2025,'AR SALES'!$AD$2:$AD$2501,IF(""&amp;$F2025="4","OFF","ON"),'AR SALES'!$AF$2:$AF$2501,"Y")&gt;0,"","NO EXEMPTION"))),"")</f>
        <v/>
      </c>
    </row>
    <row r="2026" spans="46:54" x14ac:dyDescent="0.25">
      <c r="AT2026" s="2" t="str">
        <f>IF($L2026="","",IFERROR(INDEX('AR SALES'!$H$2:$H$2501,MATCH(""&amp;$L2026,'AR SALES'!$AE$2:$AE$2501,0)),""))</f>
        <v/>
      </c>
      <c r="AU2026" s="2" t="str">
        <f t="shared" si="124"/>
        <v/>
      </c>
      <c r="AV2026" s="2" t="str">
        <f t="shared" si="125"/>
        <v/>
      </c>
      <c r="AW2026" s="2" t="str">
        <f t="shared" si="126"/>
        <v/>
      </c>
      <c r="AX2026" s="2" t="str">
        <f t="shared" si="127"/>
        <v/>
      </c>
      <c r="AY2026" s="2" t="str">
        <f>IF($AV2026="","",IF(AND($Z2026=0,COUNTIF('AR SALES'!$L$2:$L$2501,$L2026)=0),"YES",""))</f>
        <v/>
      </c>
      <c r="AZ2026" s="2" t="str">
        <f>IF($AV2026="","",IF(COUNTIF(LISTS!$C$2:$C$250,$AU2026)=0,"NEW",""))</f>
        <v/>
      </c>
      <c r="BA2026" s="2" t="str">
        <f>IF(""&amp;$F2026&lt;&gt;"4","",IF($AY2026="YES","",IF(ROUND(SUMIFS($AE$2:$AE$4001,$L$2:$L$4001,$L2026,$F$2:$F$4001,"4")-SUMIFS('AR SALES'!$Y$2:$Y$2501,'AR SALES'!$L$2:$L$2501,$L2026,'AR SALES'!$AD$2:$AD$2501,"OFF"),2)=0,"","STALE")))</f>
        <v/>
      </c>
      <c r="BB2026" s="2" t="str">
        <f>IF(OR(""&amp;$F2026="2",""&amp;$F2026="4",""&amp;$F2026="G",""&amp;$F2026="H"),IF($AY2026="YES","",IF($AB2026&lt;&gt;0,"",IF(COUNTIFS('AR SALES'!$L$2:$L$2501,$L2026,'AR SALES'!$AD$2:$AD$2501,IF(""&amp;$F2026="4","OFF","ON"),'AR SALES'!$AF$2:$AF$2501,"Y")&gt;0,"","NO EXEMPTION"))),"")</f>
        <v/>
      </c>
    </row>
    <row r="2027" spans="46:54" x14ac:dyDescent="0.25">
      <c r="AT2027" s="2" t="str">
        <f>IF($L2027="","",IFERROR(INDEX('AR SALES'!$H$2:$H$2501,MATCH(""&amp;$L2027,'AR SALES'!$AE$2:$AE$2501,0)),""))</f>
        <v/>
      </c>
      <c r="AU2027" s="2" t="str">
        <f t="shared" si="124"/>
        <v/>
      </c>
      <c r="AV2027" s="2" t="str">
        <f t="shared" si="125"/>
        <v/>
      </c>
      <c r="AW2027" s="2" t="str">
        <f t="shared" si="126"/>
        <v/>
      </c>
      <c r="AX2027" s="2" t="str">
        <f t="shared" si="127"/>
        <v/>
      </c>
      <c r="AY2027" s="2" t="str">
        <f>IF($AV2027="","",IF(AND($Z2027=0,COUNTIF('AR SALES'!$L$2:$L$2501,$L2027)=0),"YES",""))</f>
        <v/>
      </c>
      <c r="AZ2027" s="2" t="str">
        <f>IF($AV2027="","",IF(COUNTIF(LISTS!$C$2:$C$250,$AU2027)=0,"NEW",""))</f>
        <v/>
      </c>
      <c r="BA2027" s="2" t="str">
        <f>IF(""&amp;$F2027&lt;&gt;"4","",IF($AY2027="YES","",IF(ROUND(SUMIFS($AE$2:$AE$4001,$L$2:$L$4001,$L2027,$F$2:$F$4001,"4")-SUMIFS('AR SALES'!$Y$2:$Y$2501,'AR SALES'!$L$2:$L$2501,$L2027,'AR SALES'!$AD$2:$AD$2501,"OFF"),2)=0,"","STALE")))</f>
        <v/>
      </c>
      <c r="BB2027" s="2" t="str">
        <f>IF(OR(""&amp;$F2027="2",""&amp;$F2027="4",""&amp;$F2027="G",""&amp;$F2027="H"),IF($AY2027="YES","",IF($AB2027&lt;&gt;0,"",IF(COUNTIFS('AR SALES'!$L$2:$L$2501,$L2027,'AR SALES'!$AD$2:$AD$2501,IF(""&amp;$F2027="4","OFF","ON"),'AR SALES'!$AF$2:$AF$2501,"Y")&gt;0,"","NO EXEMPTION"))),"")</f>
        <v/>
      </c>
    </row>
    <row r="2028" spans="46:54" x14ac:dyDescent="0.25">
      <c r="AT2028" s="2" t="str">
        <f>IF($L2028="","",IFERROR(INDEX('AR SALES'!$H$2:$H$2501,MATCH(""&amp;$L2028,'AR SALES'!$AE$2:$AE$2501,0)),""))</f>
        <v/>
      </c>
      <c r="AU2028" s="2" t="str">
        <f t="shared" si="124"/>
        <v/>
      </c>
      <c r="AV2028" s="2" t="str">
        <f t="shared" si="125"/>
        <v/>
      </c>
      <c r="AW2028" s="2" t="str">
        <f t="shared" si="126"/>
        <v/>
      </c>
      <c r="AX2028" s="2" t="str">
        <f t="shared" si="127"/>
        <v/>
      </c>
      <c r="AY2028" s="2" t="str">
        <f>IF($AV2028="","",IF(AND($Z2028=0,COUNTIF('AR SALES'!$L$2:$L$2501,$L2028)=0),"YES",""))</f>
        <v/>
      </c>
      <c r="AZ2028" s="2" t="str">
        <f>IF($AV2028="","",IF(COUNTIF(LISTS!$C$2:$C$250,$AU2028)=0,"NEW",""))</f>
        <v/>
      </c>
      <c r="BA2028" s="2" t="str">
        <f>IF(""&amp;$F2028&lt;&gt;"4","",IF($AY2028="YES","",IF(ROUND(SUMIFS($AE$2:$AE$4001,$L$2:$L$4001,$L2028,$F$2:$F$4001,"4")-SUMIFS('AR SALES'!$Y$2:$Y$2501,'AR SALES'!$L$2:$L$2501,$L2028,'AR SALES'!$AD$2:$AD$2501,"OFF"),2)=0,"","STALE")))</f>
        <v/>
      </c>
      <c r="BB2028" s="2" t="str">
        <f>IF(OR(""&amp;$F2028="2",""&amp;$F2028="4",""&amp;$F2028="G",""&amp;$F2028="H"),IF($AY2028="YES","",IF($AB2028&lt;&gt;0,"",IF(COUNTIFS('AR SALES'!$L$2:$L$2501,$L2028,'AR SALES'!$AD$2:$AD$2501,IF(""&amp;$F2028="4","OFF","ON"),'AR SALES'!$AF$2:$AF$2501,"Y")&gt;0,"","NO EXEMPTION"))),"")</f>
        <v/>
      </c>
    </row>
    <row r="2029" spans="46:54" x14ac:dyDescent="0.25">
      <c r="AT2029" s="2" t="str">
        <f>IF($L2029="","",IFERROR(INDEX('AR SALES'!$H$2:$H$2501,MATCH(""&amp;$L2029,'AR SALES'!$AE$2:$AE$2501,0)),""))</f>
        <v/>
      </c>
      <c r="AU2029" s="2" t="str">
        <f t="shared" si="124"/>
        <v/>
      </c>
      <c r="AV2029" s="2" t="str">
        <f t="shared" si="125"/>
        <v/>
      </c>
      <c r="AW2029" s="2" t="str">
        <f t="shared" si="126"/>
        <v/>
      </c>
      <c r="AX2029" s="2" t="str">
        <f t="shared" si="127"/>
        <v/>
      </c>
      <c r="AY2029" s="2" t="str">
        <f>IF($AV2029="","",IF(AND($Z2029=0,COUNTIF('AR SALES'!$L$2:$L$2501,$L2029)=0),"YES",""))</f>
        <v/>
      </c>
      <c r="AZ2029" s="2" t="str">
        <f>IF($AV2029="","",IF(COUNTIF(LISTS!$C$2:$C$250,$AU2029)=0,"NEW",""))</f>
        <v/>
      </c>
      <c r="BA2029" s="2" t="str">
        <f>IF(""&amp;$F2029&lt;&gt;"4","",IF($AY2029="YES","",IF(ROUND(SUMIFS($AE$2:$AE$4001,$L$2:$L$4001,$L2029,$F$2:$F$4001,"4")-SUMIFS('AR SALES'!$Y$2:$Y$2501,'AR SALES'!$L$2:$L$2501,$L2029,'AR SALES'!$AD$2:$AD$2501,"OFF"),2)=0,"","STALE")))</f>
        <v/>
      </c>
      <c r="BB2029" s="2" t="str">
        <f>IF(OR(""&amp;$F2029="2",""&amp;$F2029="4",""&amp;$F2029="G",""&amp;$F2029="H"),IF($AY2029="YES","",IF($AB2029&lt;&gt;0,"",IF(COUNTIFS('AR SALES'!$L$2:$L$2501,$L2029,'AR SALES'!$AD$2:$AD$2501,IF(""&amp;$F2029="4","OFF","ON"),'AR SALES'!$AF$2:$AF$2501,"Y")&gt;0,"","NO EXEMPTION"))),"")</f>
        <v/>
      </c>
    </row>
    <row r="2030" spans="46:54" x14ac:dyDescent="0.25">
      <c r="AT2030" s="2" t="str">
        <f>IF($L2030="","",IFERROR(INDEX('AR SALES'!$H$2:$H$2501,MATCH(""&amp;$L2030,'AR SALES'!$AE$2:$AE$2501,0)),""))</f>
        <v/>
      </c>
      <c r="AU2030" s="2" t="str">
        <f t="shared" si="124"/>
        <v/>
      </c>
      <c r="AV2030" s="2" t="str">
        <f t="shared" si="125"/>
        <v/>
      </c>
      <c r="AW2030" s="2" t="str">
        <f t="shared" si="126"/>
        <v/>
      </c>
      <c r="AX2030" s="2" t="str">
        <f t="shared" si="127"/>
        <v/>
      </c>
      <c r="AY2030" s="2" t="str">
        <f>IF($AV2030="","",IF(AND($Z2030=0,COUNTIF('AR SALES'!$L$2:$L$2501,$L2030)=0),"YES",""))</f>
        <v/>
      </c>
      <c r="AZ2030" s="2" t="str">
        <f>IF($AV2030="","",IF(COUNTIF(LISTS!$C$2:$C$250,$AU2030)=0,"NEW",""))</f>
        <v/>
      </c>
      <c r="BA2030" s="2" t="str">
        <f>IF(""&amp;$F2030&lt;&gt;"4","",IF($AY2030="YES","",IF(ROUND(SUMIFS($AE$2:$AE$4001,$L$2:$L$4001,$L2030,$F$2:$F$4001,"4")-SUMIFS('AR SALES'!$Y$2:$Y$2501,'AR SALES'!$L$2:$L$2501,$L2030,'AR SALES'!$AD$2:$AD$2501,"OFF"),2)=0,"","STALE")))</f>
        <v/>
      </c>
      <c r="BB2030" s="2" t="str">
        <f>IF(OR(""&amp;$F2030="2",""&amp;$F2030="4",""&amp;$F2030="G",""&amp;$F2030="H"),IF($AY2030="YES","",IF($AB2030&lt;&gt;0,"",IF(COUNTIFS('AR SALES'!$L$2:$L$2501,$L2030,'AR SALES'!$AD$2:$AD$2501,IF(""&amp;$F2030="4","OFF","ON"),'AR SALES'!$AF$2:$AF$2501,"Y")&gt;0,"","NO EXEMPTION"))),"")</f>
        <v/>
      </c>
    </row>
    <row r="2031" spans="46:54" x14ac:dyDescent="0.25">
      <c r="AT2031" s="2" t="str">
        <f>IF($L2031="","",IFERROR(INDEX('AR SALES'!$H$2:$H$2501,MATCH(""&amp;$L2031,'AR SALES'!$AE$2:$AE$2501,0)),""))</f>
        <v/>
      </c>
      <c r="AU2031" s="2" t="str">
        <f t="shared" si="124"/>
        <v/>
      </c>
      <c r="AV2031" s="2" t="str">
        <f t="shared" si="125"/>
        <v/>
      </c>
      <c r="AW2031" s="2" t="str">
        <f t="shared" si="126"/>
        <v/>
      </c>
      <c r="AX2031" s="2" t="str">
        <f t="shared" si="127"/>
        <v/>
      </c>
      <c r="AY2031" s="2" t="str">
        <f>IF($AV2031="","",IF(AND($Z2031=0,COUNTIF('AR SALES'!$L$2:$L$2501,$L2031)=0),"YES",""))</f>
        <v/>
      </c>
      <c r="AZ2031" s="2" t="str">
        <f>IF($AV2031="","",IF(COUNTIF(LISTS!$C$2:$C$250,$AU2031)=0,"NEW",""))</f>
        <v/>
      </c>
      <c r="BA2031" s="2" t="str">
        <f>IF(""&amp;$F2031&lt;&gt;"4","",IF($AY2031="YES","",IF(ROUND(SUMIFS($AE$2:$AE$4001,$L$2:$L$4001,$L2031,$F$2:$F$4001,"4")-SUMIFS('AR SALES'!$Y$2:$Y$2501,'AR SALES'!$L$2:$L$2501,$L2031,'AR SALES'!$AD$2:$AD$2501,"OFF"),2)=0,"","STALE")))</f>
        <v/>
      </c>
      <c r="BB2031" s="2" t="str">
        <f>IF(OR(""&amp;$F2031="2",""&amp;$F2031="4",""&amp;$F2031="G",""&amp;$F2031="H"),IF($AY2031="YES","",IF($AB2031&lt;&gt;0,"",IF(COUNTIFS('AR SALES'!$L$2:$L$2501,$L2031,'AR SALES'!$AD$2:$AD$2501,IF(""&amp;$F2031="4","OFF","ON"),'AR SALES'!$AF$2:$AF$2501,"Y")&gt;0,"","NO EXEMPTION"))),"")</f>
        <v/>
      </c>
    </row>
    <row r="2032" spans="46:54" x14ac:dyDescent="0.25">
      <c r="AT2032" s="2" t="str">
        <f>IF($L2032="","",IFERROR(INDEX('AR SALES'!$H$2:$H$2501,MATCH(""&amp;$L2032,'AR SALES'!$AE$2:$AE$2501,0)),""))</f>
        <v/>
      </c>
      <c r="AU2032" s="2" t="str">
        <f t="shared" si="124"/>
        <v/>
      </c>
      <c r="AV2032" s="2" t="str">
        <f t="shared" si="125"/>
        <v/>
      </c>
      <c r="AW2032" s="2" t="str">
        <f t="shared" si="126"/>
        <v/>
      </c>
      <c r="AX2032" s="2" t="str">
        <f t="shared" si="127"/>
        <v/>
      </c>
      <c r="AY2032" s="2" t="str">
        <f>IF($AV2032="","",IF(AND($Z2032=0,COUNTIF('AR SALES'!$L$2:$L$2501,$L2032)=0),"YES",""))</f>
        <v/>
      </c>
      <c r="AZ2032" s="2" t="str">
        <f>IF($AV2032="","",IF(COUNTIF(LISTS!$C$2:$C$250,$AU2032)=0,"NEW",""))</f>
        <v/>
      </c>
      <c r="BA2032" s="2" t="str">
        <f>IF(""&amp;$F2032&lt;&gt;"4","",IF($AY2032="YES","",IF(ROUND(SUMIFS($AE$2:$AE$4001,$L$2:$L$4001,$L2032,$F$2:$F$4001,"4")-SUMIFS('AR SALES'!$Y$2:$Y$2501,'AR SALES'!$L$2:$L$2501,$L2032,'AR SALES'!$AD$2:$AD$2501,"OFF"),2)=0,"","STALE")))</f>
        <v/>
      </c>
      <c r="BB2032" s="2" t="str">
        <f>IF(OR(""&amp;$F2032="2",""&amp;$F2032="4",""&amp;$F2032="G",""&amp;$F2032="H"),IF($AY2032="YES","",IF($AB2032&lt;&gt;0,"",IF(COUNTIFS('AR SALES'!$L$2:$L$2501,$L2032,'AR SALES'!$AD$2:$AD$2501,IF(""&amp;$F2032="4","OFF","ON"),'AR SALES'!$AF$2:$AF$2501,"Y")&gt;0,"","NO EXEMPTION"))),"")</f>
        <v/>
      </c>
    </row>
    <row r="2033" spans="46:54" x14ac:dyDescent="0.25">
      <c r="AT2033" s="2" t="str">
        <f>IF($L2033="","",IFERROR(INDEX('AR SALES'!$H$2:$H$2501,MATCH(""&amp;$L2033,'AR SALES'!$AE$2:$AE$2501,0)),""))</f>
        <v/>
      </c>
      <c r="AU2033" s="2" t="str">
        <f t="shared" si="124"/>
        <v/>
      </c>
      <c r="AV2033" s="2" t="str">
        <f t="shared" si="125"/>
        <v/>
      </c>
      <c r="AW2033" s="2" t="str">
        <f t="shared" si="126"/>
        <v/>
      </c>
      <c r="AX2033" s="2" t="str">
        <f t="shared" si="127"/>
        <v/>
      </c>
      <c r="AY2033" s="2" t="str">
        <f>IF($AV2033="","",IF(AND($Z2033=0,COUNTIF('AR SALES'!$L$2:$L$2501,$L2033)=0),"YES",""))</f>
        <v/>
      </c>
      <c r="AZ2033" s="2" t="str">
        <f>IF($AV2033="","",IF(COUNTIF(LISTS!$C$2:$C$250,$AU2033)=0,"NEW",""))</f>
        <v/>
      </c>
      <c r="BA2033" s="2" t="str">
        <f>IF(""&amp;$F2033&lt;&gt;"4","",IF($AY2033="YES","",IF(ROUND(SUMIFS($AE$2:$AE$4001,$L$2:$L$4001,$L2033,$F$2:$F$4001,"4")-SUMIFS('AR SALES'!$Y$2:$Y$2501,'AR SALES'!$L$2:$L$2501,$L2033,'AR SALES'!$AD$2:$AD$2501,"OFF"),2)=0,"","STALE")))</f>
        <v/>
      </c>
      <c r="BB2033" s="2" t="str">
        <f>IF(OR(""&amp;$F2033="2",""&amp;$F2033="4",""&amp;$F2033="G",""&amp;$F2033="H"),IF($AY2033="YES","",IF($AB2033&lt;&gt;0,"",IF(COUNTIFS('AR SALES'!$L$2:$L$2501,$L2033,'AR SALES'!$AD$2:$AD$2501,IF(""&amp;$F2033="4","OFF","ON"),'AR SALES'!$AF$2:$AF$2501,"Y")&gt;0,"","NO EXEMPTION"))),"")</f>
        <v/>
      </c>
    </row>
    <row r="2034" spans="46:54" x14ac:dyDescent="0.25">
      <c r="AT2034" s="2" t="str">
        <f>IF($L2034="","",IFERROR(INDEX('AR SALES'!$H$2:$H$2501,MATCH(""&amp;$L2034,'AR SALES'!$AE$2:$AE$2501,0)),""))</f>
        <v/>
      </c>
      <c r="AU2034" s="2" t="str">
        <f t="shared" si="124"/>
        <v/>
      </c>
      <c r="AV2034" s="2" t="str">
        <f t="shared" si="125"/>
        <v/>
      </c>
      <c r="AW2034" s="2" t="str">
        <f t="shared" si="126"/>
        <v/>
      </c>
      <c r="AX2034" s="2" t="str">
        <f t="shared" si="127"/>
        <v/>
      </c>
      <c r="AY2034" s="2" t="str">
        <f>IF($AV2034="","",IF(AND($Z2034=0,COUNTIF('AR SALES'!$L$2:$L$2501,$L2034)=0),"YES",""))</f>
        <v/>
      </c>
      <c r="AZ2034" s="2" t="str">
        <f>IF($AV2034="","",IF(COUNTIF(LISTS!$C$2:$C$250,$AU2034)=0,"NEW",""))</f>
        <v/>
      </c>
      <c r="BA2034" s="2" t="str">
        <f>IF(""&amp;$F2034&lt;&gt;"4","",IF($AY2034="YES","",IF(ROUND(SUMIFS($AE$2:$AE$4001,$L$2:$L$4001,$L2034,$F$2:$F$4001,"4")-SUMIFS('AR SALES'!$Y$2:$Y$2501,'AR SALES'!$L$2:$L$2501,$L2034,'AR SALES'!$AD$2:$AD$2501,"OFF"),2)=0,"","STALE")))</f>
        <v/>
      </c>
      <c r="BB2034" s="2" t="str">
        <f>IF(OR(""&amp;$F2034="2",""&amp;$F2034="4",""&amp;$F2034="G",""&amp;$F2034="H"),IF($AY2034="YES","",IF($AB2034&lt;&gt;0,"",IF(COUNTIFS('AR SALES'!$L$2:$L$2501,$L2034,'AR SALES'!$AD$2:$AD$2501,IF(""&amp;$F2034="4","OFF","ON"),'AR SALES'!$AF$2:$AF$2501,"Y")&gt;0,"","NO EXEMPTION"))),"")</f>
        <v/>
      </c>
    </row>
    <row r="2035" spans="46:54" x14ac:dyDescent="0.25">
      <c r="AT2035" s="2" t="str">
        <f>IF($L2035="","",IFERROR(INDEX('AR SALES'!$H$2:$H$2501,MATCH(""&amp;$L2035,'AR SALES'!$AE$2:$AE$2501,0)),""))</f>
        <v/>
      </c>
      <c r="AU2035" s="2" t="str">
        <f t="shared" si="124"/>
        <v/>
      </c>
      <c r="AV2035" s="2" t="str">
        <f t="shared" si="125"/>
        <v/>
      </c>
      <c r="AW2035" s="2" t="str">
        <f t="shared" si="126"/>
        <v/>
      </c>
      <c r="AX2035" s="2" t="str">
        <f t="shared" si="127"/>
        <v/>
      </c>
      <c r="AY2035" s="2" t="str">
        <f>IF($AV2035="","",IF(AND($Z2035=0,COUNTIF('AR SALES'!$L$2:$L$2501,$L2035)=0),"YES",""))</f>
        <v/>
      </c>
      <c r="AZ2035" s="2" t="str">
        <f>IF($AV2035="","",IF(COUNTIF(LISTS!$C$2:$C$250,$AU2035)=0,"NEW",""))</f>
        <v/>
      </c>
      <c r="BA2035" s="2" t="str">
        <f>IF(""&amp;$F2035&lt;&gt;"4","",IF($AY2035="YES","",IF(ROUND(SUMIFS($AE$2:$AE$4001,$L$2:$L$4001,$L2035,$F$2:$F$4001,"4")-SUMIFS('AR SALES'!$Y$2:$Y$2501,'AR SALES'!$L$2:$L$2501,$L2035,'AR SALES'!$AD$2:$AD$2501,"OFF"),2)=0,"","STALE")))</f>
        <v/>
      </c>
      <c r="BB2035" s="2" t="str">
        <f>IF(OR(""&amp;$F2035="2",""&amp;$F2035="4",""&amp;$F2035="G",""&amp;$F2035="H"),IF($AY2035="YES","",IF($AB2035&lt;&gt;0,"",IF(COUNTIFS('AR SALES'!$L$2:$L$2501,$L2035,'AR SALES'!$AD$2:$AD$2501,IF(""&amp;$F2035="4","OFF","ON"),'AR SALES'!$AF$2:$AF$2501,"Y")&gt;0,"","NO EXEMPTION"))),"")</f>
        <v/>
      </c>
    </row>
    <row r="2036" spans="46:54" x14ac:dyDescent="0.25">
      <c r="AT2036" s="2" t="str">
        <f>IF($L2036="","",IFERROR(INDEX('AR SALES'!$H$2:$H$2501,MATCH(""&amp;$L2036,'AR SALES'!$AE$2:$AE$2501,0)),""))</f>
        <v/>
      </c>
      <c r="AU2036" s="2" t="str">
        <f t="shared" si="124"/>
        <v/>
      </c>
      <c r="AV2036" s="2" t="str">
        <f t="shared" si="125"/>
        <v/>
      </c>
      <c r="AW2036" s="2" t="str">
        <f t="shared" si="126"/>
        <v/>
      </c>
      <c r="AX2036" s="2" t="str">
        <f t="shared" si="127"/>
        <v/>
      </c>
      <c r="AY2036" s="2" t="str">
        <f>IF($AV2036="","",IF(AND($Z2036=0,COUNTIF('AR SALES'!$L$2:$L$2501,$L2036)=0),"YES",""))</f>
        <v/>
      </c>
      <c r="AZ2036" s="2" t="str">
        <f>IF($AV2036="","",IF(COUNTIF(LISTS!$C$2:$C$250,$AU2036)=0,"NEW",""))</f>
        <v/>
      </c>
      <c r="BA2036" s="2" t="str">
        <f>IF(""&amp;$F2036&lt;&gt;"4","",IF($AY2036="YES","",IF(ROUND(SUMIFS($AE$2:$AE$4001,$L$2:$L$4001,$L2036,$F$2:$F$4001,"4")-SUMIFS('AR SALES'!$Y$2:$Y$2501,'AR SALES'!$L$2:$L$2501,$L2036,'AR SALES'!$AD$2:$AD$2501,"OFF"),2)=0,"","STALE")))</f>
        <v/>
      </c>
      <c r="BB2036" s="2" t="str">
        <f>IF(OR(""&amp;$F2036="2",""&amp;$F2036="4",""&amp;$F2036="G",""&amp;$F2036="H"),IF($AY2036="YES","",IF($AB2036&lt;&gt;0,"",IF(COUNTIFS('AR SALES'!$L$2:$L$2501,$L2036,'AR SALES'!$AD$2:$AD$2501,IF(""&amp;$F2036="4","OFF","ON"),'AR SALES'!$AF$2:$AF$2501,"Y")&gt;0,"","NO EXEMPTION"))),"")</f>
        <v/>
      </c>
    </row>
    <row r="2037" spans="46:54" x14ac:dyDescent="0.25">
      <c r="AT2037" s="2" t="str">
        <f>IF($L2037="","",IFERROR(INDEX('AR SALES'!$H$2:$H$2501,MATCH(""&amp;$L2037,'AR SALES'!$AE$2:$AE$2501,0)),""))</f>
        <v/>
      </c>
      <c r="AU2037" s="2" t="str">
        <f t="shared" si="124"/>
        <v/>
      </c>
      <c r="AV2037" s="2" t="str">
        <f t="shared" si="125"/>
        <v/>
      </c>
      <c r="AW2037" s="2" t="str">
        <f t="shared" si="126"/>
        <v/>
      </c>
      <c r="AX2037" s="2" t="str">
        <f t="shared" si="127"/>
        <v/>
      </c>
      <c r="AY2037" s="2" t="str">
        <f>IF($AV2037="","",IF(AND($Z2037=0,COUNTIF('AR SALES'!$L$2:$L$2501,$L2037)=0),"YES",""))</f>
        <v/>
      </c>
      <c r="AZ2037" s="2" t="str">
        <f>IF($AV2037="","",IF(COUNTIF(LISTS!$C$2:$C$250,$AU2037)=0,"NEW",""))</f>
        <v/>
      </c>
      <c r="BA2037" s="2" t="str">
        <f>IF(""&amp;$F2037&lt;&gt;"4","",IF($AY2037="YES","",IF(ROUND(SUMIFS($AE$2:$AE$4001,$L$2:$L$4001,$L2037,$F$2:$F$4001,"4")-SUMIFS('AR SALES'!$Y$2:$Y$2501,'AR SALES'!$L$2:$L$2501,$L2037,'AR SALES'!$AD$2:$AD$2501,"OFF"),2)=0,"","STALE")))</f>
        <v/>
      </c>
      <c r="BB2037" s="2" t="str">
        <f>IF(OR(""&amp;$F2037="2",""&amp;$F2037="4",""&amp;$F2037="G",""&amp;$F2037="H"),IF($AY2037="YES","",IF($AB2037&lt;&gt;0,"",IF(COUNTIFS('AR SALES'!$L$2:$L$2501,$L2037,'AR SALES'!$AD$2:$AD$2501,IF(""&amp;$F2037="4","OFF","ON"),'AR SALES'!$AF$2:$AF$2501,"Y")&gt;0,"","NO EXEMPTION"))),"")</f>
        <v/>
      </c>
    </row>
    <row r="2038" spans="46:54" x14ac:dyDescent="0.25">
      <c r="AT2038" s="2" t="str">
        <f>IF($L2038="","",IFERROR(INDEX('AR SALES'!$H$2:$H$2501,MATCH(""&amp;$L2038,'AR SALES'!$AE$2:$AE$2501,0)),""))</f>
        <v/>
      </c>
      <c r="AU2038" s="2" t="str">
        <f t="shared" si="124"/>
        <v/>
      </c>
      <c r="AV2038" s="2" t="str">
        <f t="shared" si="125"/>
        <v/>
      </c>
      <c r="AW2038" s="2" t="str">
        <f t="shared" si="126"/>
        <v/>
      </c>
      <c r="AX2038" s="2" t="str">
        <f t="shared" si="127"/>
        <v/>
      </c>
      <c r="AY2038" s="2" t="str">
        <f>IF($AV2038="","",IF(AND($Z2038=0,COUNTIF('AR SALES'!$L$2:$L$2501,$L2038)=0),"YES",""))</f>
        <v/>
      </c>
      <c r="AZ2038" s="2" t="str">
        <f>IF($AV2038="","",IF(COUNTIF(LISTS!$C$2:$C$250,$AU2038)=0,"NEW",""))</f>
        <v/>
      </c>
      <c r="BA2038" s="2" t="str">
        <f>IF(""&amp;$F2038&lt;&gt;"4","",IF($AY2038="YES","",IF(ROUND(SUMIFS($AE$2:$AE$4001,$L$2:$L$4001,$L2038,$F$2:$F$4001,"4")-SUMIFS('AR SALES'!$Y$2:$Y$2501,'AR SALES'!$L$2:$L$2501,$L2038,'AR SALES'!$AD$2:$AD$2501,"OFF"),2)=0,"","STALE")))</f>
        <v/>
      </c>
      <c r="BB2038" s="2" t="str">
        <f>IF(OR(""&amp;$F2038="2",""&amp;$F2038="4",""&amp;$F2038="G",""&amp;$F2038="H"),IF($AY2038="YES","",IF($AB2038&lt;&gt;0,"",IF(COUNTIFS('AR SALES'!$L$2:$L$2501,$L2038,'AR SALES'!$AD$2:$AD$2501,IF(""&amp;$F2038="4","OFF","ON"),'AR SALES'!$AF$2:$AF$2501,"Y")&gt;0,"","NO EXEMPTION"))),"")</f>
        <v/>
      </c>
    </row>
    <row r="2039" spans="46:54" x14ac:dyDescent="0.25">
      <c r="AT2039" s="2" t="str">
        <f>IF($L2039="","",IFERROR(INDEX('AR SALES'!$H$2:$H$2501,MATCH(""&amp;$L2039,'AR SALES'!$AE$2:$AE$2501,0)),""))</f>
        <v/>
      </c>
      <c r="AU2039" s="2" t="str">
        <f t="shared" si="124"/>
        <v/>
      </c>
      <c r="AV2039" s="2" t="str">
        <f t="shared" si="125"/>
        <v/>
      </c>
      <c r="AW2039" s="2" t="str">
        <f t="shared" si="126"/>
        <v/>
      </c>
      <c r="AX2039" s="2" t="str">
        <f t="shared" si="127"/>
        <v/>
      </c>
      <c r="AY2039" s="2" t="str">
        <f>IF($AV2039="","",IF(AND($Z2039=0,COUNTIF('AR SALES'!$L$2:$L$2501,$L2039)=0),"YES",""))</f>
        <v/>
      </c>
      <c r="AZ2039" s="2" t="str">
        <f>IF($AV2039="","",IF(COUNTIF(LISTS!$C$2:$C$250,$AU2039)=0,"NEW",""))</f>
        <v/>
      </c>
      <c r="BA2039" s="2" t="str">
        <f>IF(""&amp;$F2039&lt;&gt;"4","",IF($AY2039="YES","",IF(ROUND(SUMIFS($AE$2:$AE$4001,$L$2:$L$4001,$L2039,$F$2:$F$4001,"4")-SUMIFS('AR SALES'!$Y$2:$Y$2501,'AR SALES'!$L$2:$L$2501,$L2039,'AR SALES'!$AD$2:$AD$2501,"OFF"),2)=0,"","STALE")))</f>
        <v/>
      </c>
      <c r="BB2039" s="2" t="str">
        <f>IF(OR(""&amp;$F2039="2",""&amp;$F2039="4",""&amp;$F2039="G",""&amp;$F2039="H"),IF($AY2039="YES","",IF($AB2039&lt;&gt;0,"",IF(COUNTIFS('AR SALES'!$L$2:$L$2501,$L2039,'AR SALES'!$AD$2:$AD$2501,IF(""&amp;$F2039="4","OFF","ON"),'AR SALES'!$AF$2:$AF$2501,"Y")&gt;0,"","NO EXEMPTION"))),"")</f>
        <v/>
      </c>
    </row>
    <row r="2040" spans="46:54" x14ac:dyDescent="0.25">
      <c r="AT2040" s="2" t="str">
        <f>IF($L2040="","",IFERROR(INDEX('AR SALES'!$H$2:$H$2501,MATCH(""&amp;$L2040,'AR SALES'!$AE$2:$AE$2501,0)),""))</f>
        <v/>
      </c>
      <c r="AU2040" s="2" t="str">
        <f t="shared" si="124"/>
        <v/>
      </c>
      <c r="AV2040" s="2" t="str">
        <f t="shared" si="125"/>
        <v/>
      </c>
      <c r="AW2040" s="2" t="str">
        <f t="shared" si="126"/>
        <v/>
      </c>
      <c r="AX2040" s="2" t="str">
        <f t="shared" si="127"/>
        <v/>
      </c>
      <c r="AY2040" s="2" t="str">
        <f>IF($AV2040="","",IF(AND($Z2040=0,COUNTIF('AR SALES'!$L$2:$L$2501,$L2040)=0),"YES",""))</f>
        <v/>
      </c>
      <c r="AZ2040" s="2" t="str">
        <f>IF($AV2040="","",IF(COUNTIF(LISTS!$C$2:$C$250,$AU2040)=0,"NEW",""))</f>
        <v/>
      </c>
      <c r="BA2040" s="2" t="str">
        <f>IF(""&amp;$F2040&lt;&gt;"4","",IF($AY2040="YES","",IF(ROUND(SUMIFS($AE$2:$AE$4001,$L$2:$L$4001,$L2040,$F$2:$F$4001,"4")-SUMIFS('AR SALES'!$Y$2:$Y$2501,'AR SALES'!$L$2:$L$2501,$L2040,'AR SALES'!$AD$2:$AD$2501,"OFF"),2)=0,"","STALE")))</f>
        <v/>
      </c>
      <c r="BB2040" s="2" t="str">
        <f>IF(OR(""&amp;$F2040="2",""&amp;$F2040="4",""&amp;$F2040="G",""&amp;$F2040="H"),IF($AY2040="YES","",IF($AB2040&lt;&gt;0,"",IF(COUNTIFS('AR SALES'!$L$2:$L$2501,$L2040,'AR SALES'!$AD$2:$AD$2501,IF(""&amp;$F2040="4","OFF","ON"),'AR SALES'!$AF$2:$AF$2501,"Y")&gt;0,"","NO EXEMPTION"))),"")</f>
        <v/>
      </c>
    </row>
    <row r="2041" spans="46:54" x14ac:dyDescent="0.25">
      <c r="AT2041" s="2" t="str">
        <f>IF($L2041="","",IFERROR(INDEX('AR SALES'!$H$2:$H$2501,MATCH(""&amp;$L2041,'AR SALES'!$AE$2:$AE$2501,0)),""))</f>
        <v/>
      </c>
      <c r="AU2041" s="2" t="str">
        <f t="shared" si="124"/>
        <v/>
      </c>
      <c r="AV2041" s="2" t="str">
        <f t="shared" si="125"/>
        <v/>
      </c>
      <c r="AW2041" s="2" t="str">
        <f t="shared" si="126"/>
        <v/>
      </c>
      <c r="AX2041" s="2" t="str">
        <f t="shared" si="127"/>
        <v/>
      </c>
      <c r="AY2041" s="2" t="str">
        <f>IF($AV2041="","",IF(AND($Z2041=0,COUNTIF('AR SALES'!$L$2:$L$2501,$L2041)=0),"YES",""))</f>
        <v/>
      </c>
      <c r="AZ2041" s="2" t="str">
        <f>IF($AV2041="","",IF(COUNTIF(LISTS!$C$2:$C$250,$AU2041)=0,"NEW",""))</f>
        <v/>
      </c>
      <c r="BA2041" s="2" t="str">
        <f>IF(""&amp;$F2041&lt;&gt;"4","",IF($AY2041="YES","",IF(ROUND(SUMIFS($AE$2:$AE$4001,$L$2:$L$4001,$L2041,$F$2:$F$4001,"4")-SUMIFS('AR SALES'!$Y$2:$Y$2501,'AR SALES'!$L$2:$L$2501,$L2041,'AR SALES'!$AD$2:$AD$2501,"OFF"),2)=0,"","STALE")))</f>
        <v/>
      </c>
      <c r="BB2041" s="2" t="str">
        <f>IF(OR(""&amp;$F2041="2",""&amp;$F2041="4",""&amp;$F2041="G",""&amp;$F2041="H"),IF($AY2041="YES","",IF($AB2041&lt;&gt;0,"",IF(COUNTIFS('AR SALES'!$L$2:$L$2501,$L2041,'AR SALES'!$AD$2:$AD$2501,IF(""&amp;$F2041="4","OFF","ON"),'AR SALES'!$AF$2:$AF$2501,"Y")&gt;0,"","NO EXEMPTION"))),"")</f>
        <v/>
      </c>
    </row>
    <row r="2042" spans="46:54" x14ac:dyDescent="0.25">
      <c r="AT2042" s="2" t="str">
        <f>IF($L2042="","",IFERROR(INDEX('AR SALES'!$H$2:$H$2501,MATCH(""&amp;$L2042,'AR SALES'!$AE$2:$AE$2501,0)),""))</f>
        <v/>
      </c>
      <c r="AU2042" s="2" t="str">
        <f t="shared" si="124"/>
        <v/>
      </c>
      <c r="AV2042" s="2" t="str">
        <f t="shared" si="125"/>
        <v/>
      </c>
      <c r="AW2042" s="2" t="str">
        <f t="shared" si="126"/>
        <v/>
      </c>
      <c r="AX2042" s="2" t="str">
        <f t="shared" si="127"/>
        <v/>
      </c>
      <c r="AY2042" s="2" t="str">
        <f>IF($AV2042="","",IF(AND($Z2042=0,COUNTIF('AR SALES'!$L$2:$L$2501,$L2042)=0),"YES",""))</f>
        <v/>
      </c>
      <c r="AZ2042" s="2" t="str">
        <f>IF($AV2042="","",IF(COUNTIF(LISTS!$C$2:$C$250,$AU2042)=0,"NEW",""))</f>
        <v/>
      </c>
      <c r="BA2042" s="2" t="str">
        <f>IF(""&amp;$F2042&lt;&gt;"4","",IF($AY2042="YES","",IF(ROUND(SUMIFS($AE$2:$AE$4001,$L$2:$L$4001,$L2042,$F$2:$F$4001,"4")-SUMIFS('AR SALES'!$Y$2:$Y$2501,'AR SALES'!$L$2:$L$2501,$L2042,'AR SALES'!$AD$2:$AD$2501,"OFF"),2)=0,"","STALE")))</f>
        <v/>
      </c>
      <c r="BB2042" s="2" t="str">
        <f>IF(OR(""&amp;$F2042="2",""&amp;$F2042="4",""&amp;$F2042="G",""&amp;$F2042="H"),IF($AY2042="YES","",IF($AB2042&lt;&gt;0,"",IF(COUNTIFS('AR SALES'!$L$2:$L$2501,$L2042,'AR SALES'!$AD$2:$AD$2501,IF(""&amp;$F2042="4","OFF","ON"),'AR SALES'!$AF$2:$AF$2501,"Y")&gt;0,"","NO EXEMPTION"))),"")</f>
        <v/>
      </c>
    </row>
    <row r="2043" spans="46:54" x14ac:dyDescent="0.25">
      <c r="AT2043" s="2" t="str">
        <f>IF($L2043="","",IFERROR(INDEX('AR SALES'!$H$2:$H$2501,MATCH(""&amp;$L2043,'AR SALES'!$AE$2:$AE$2501,0)),""))</f>
        <v/>
      </c>
      <c r="AU2043" s="2" t="str">
        <f t="shared" si="124"/>
        <v/>
      </c>
      <c r="AV2043" s="2" t="str">
        <f t="shared" si="125"/>
        <v/>
      </c>
      <c r="AW2043" s="2" t="str">
        <f t="shared" si="126"/>
        <v/>
      </c>
      <c r="AX2043" s="2" t="str">
        <f t="shared" si="127"/>
        <v/>
      </c>
      <c r="AY2043" s="2" t="str">
        <f>IF($AV2043="","",IF(AND($Z2043=0,COUNTIF('AR SALES'!$L$2:$L$2501,$L2043)=0),"YES",""))</f>
        <v/>
      </c>
      <c r="AZ2043" s="2" t="str">
        <f>IF($AV2043="","",IF(COUNTIF(LISTS!$C$2:$C$250,$AU2043)=0,"NEW",""))</f>
        <v/>
      </c>
      <c r="BA2043" s="2" t="str">
        <f>IF(""&amp;$F2043&lt;&gt;"4","",IF($AY2043="YES","",IF(ROUND(SUMIFS($AE$2:$AE$4001,$L$2:$L$4001,$L2043,$F$2:$F$4001,"4")-SUMIFS('AR SALES'!$Y$2:$Y$2501,'AR SALES'!$L$2:$L$2501,$L2043,'AR SALES'!$AD$2:$AD$2501,"OFF"),2)=0,"","STALE")))</f>
        <v/>
      </c>
      <c r="BB2043" s="2" t="str">
        <f>IF(OR(""&amp;$F2043="2",""&amp;$F2043="4",""&amp;$F2043="G",""&amp;$F2043="H"),IF($AY2043="YES","",IF($AB2043&lt;&gt;0,"",IF(COUNTIFS('AR SALES'!$L$2:$L$2501,$L2043,'AR SALES'!$AD$2:$AD$2501,IF(""&amp;$F2043="4","OFF","ON"),'AR SALES'!$AF$2:$AF$2501,"Y")&gt;0,"","NO EXEMPTION"))),"")</f>
        <v/>
      </c>
    </row>
    <row r="2044" spans="46:54" x14ac:dyDescent="0.25">
      <c r="AT2044" s="2" t="str">
        <f>IF($L2044="","",IFERROR(INDEX('AR SALES'!$H$2:$H$2501,MATCH(""&amp;$L2044,'AR SALES'!$AE$2:$AE$2501,0)),""))</f>
        <v/>
      </c>
      <c r="AU2044" s="2" t="str">
        <f t="shared" si="124"/>
        <v/>
      </c>
      <c r="AV2044" s="2" t="str">
        <f t="shared" si="125"/>
        <v/>
      </c>
      <c r="AW2044" s="2" t="str">
        <f t="shared" si="126"/>
        <v/>
      </c>
      <c r="AX2044" s="2" t="str">
        <f t="shared" si="127"/>
        <v/>
      </c>
      <c r="AY2044" s="2" t="str">
        <f>IF($AV2044="","",IF(AND($Z2044=0,COUNTIF('AR SALES'!$L$2:$L$2501,$L2044)=0),"YES",""))</f>
        <v/>
      </c>
      <c r="AZ2044" s="2" t="str">
        <f>IF($AV2044="","",IF(COUNTIF(LISTS!$C$2:$C$250,$AU2044)=0,"NEW",""))</f>
        <v/>
      </c>
      <c r="BA2044" s="2" t="str">
        <f>IF(""&amp;$F2044&lt;&gt;"4","",IF($AY2044="YES","",IF(ROUND(SUMIFS($AE$2:$AE$4001,$L$2:$L$4001,$L2044,$F$2:$F$4001,"4")-SUMIFS('AR SALES'!$Y$2:$Y$2501,'AR SALES'!$L$2:$L$2501,$L2044,'AR SALES'!$AD$2:$AD$2501,"OFF"),2)=0,"","STALE")))</f>
        <v/>
      </c>
      <c r="BB2044" s="2" t="str">
        <f>IF(OR(""&amp;$F2044="2",""&amp;$F2044="4",""&amp;$F2044="G",""&amp;$F2044="H"),IF($AY2044="YES","",IF($AB2044&lt;&gt;0,"",IF(COUNTIFS('AR SALES'!$L$2:$L$2501,$L2044,'AR SALES'!$AD$2:$AD$2501,IF(""&amp;$F2044="4","OFF","ON"),'AR SALES'!$AF$2:$AF$2501,"Y")&gt;0,"","NO EXEMPTION"))),"")</f>
        <v/>
      </c>
    </row>
    <row r="2045" spans="46:54" x14ac:dyDescent="0.25">
      <c r="AT2045" s="2" t="str">
        <f>IF($L2045="","",IFERROR(INDEX('AR SALES'!$H$2:$H$2501,MATCH(""&amp;$L2045,'AR SALES'!$AE$2:$AE$2501,0)),""))</f>
        <v/>
      </c>
      <c r="AU2045" s="2" t="str">
        <f t="shared" si="124"/>
        <v/>
      </c>
      <c r="AV2045" s="2" t="str">
        <f t="shared" si="125"/>
        <v/>
      </c>
      <c r="AW2045" s="2" t="str">
        <f t="shared" si="126"/>
        <v/>
      </c>
      <c r="AX2045" s="2" t="str">
        <f t="shared" si="127"/>
        <v/>
      </c>
      <c r="AY2045" s="2" t="str">
        <f>IF($AV2045="","",IF(AND($Z2045=0,COUNTIF('AR SALES'!$L$2:$L$2501,$L2045)=0),"YES",""))</f>
        <v/>
      </c>
      <c r="AZ2045" s="2" t="str">
        <f>IF($AV2045="","",IF(COUNTIF(LISTS!$C$2:$C$250,$AU2045)=0,"NEW",""))</f>
        <v/>
      </c>
      <c r="BA2045" s="2" t="str">
        <f>IF(""&amp;$F2045&lt;&gt;"4","",IF($AY2045="YES","",IF(ROUND(SUMIFS($AE$2:$AE$4001,$L$2:$L$4001,$L2045,$F$2:$F$4001,"4")-SUMIFS('AR SALES'!$Y$2:$Y$2501,'AR SALES'!$L$2:$L$2501,$L2045,'AR SALES'!$AD$2:$AD$2501,"OFF"),2)=0,"","STALE")))</f>
        <v/>
      </c>
      <c r="BB2045" s="2" t="str">
        <f>IF(OR(""&amp;$F2045="2",""&amp;$F2045="4",""&amp;$F2045="G",""&amp;$F2045="H"),IF($AY2045="YES","",IF($AB2045&lt;&gt;0,"",IF(COUNTIFS('AR SALES'!$L$2:$L$2501,$L2045,'AR SALES'!$AD$2:$AD$2501,IF(""&amp;$F2045="4","OFF","ON"),'AR SALES'!$AF$2:$AF$2501,"Y")&gt;0,"","NO EXEMPTION"))),"")</f>
        <v/>
      </c>
    </row>
    <row r="2046" spans="46:54" x14ac:dyDescent="0.25">
      <c r="AT2046" s="2" t="str">
        <f>IF($L2046="","",IFERROR(INDEX('AR SALES'!$H$2:$H$2501,MATCH(""&amp;$L2046,'AR SALES'!$AE$2:$AE$2501,0)),""))</f>
        <v/>
      </c>
      <c r="AU2046" s="2" t="str">
        <f t="shared" si="124"/>
        <v/>
      </c>
      <c r="AV2046" s="2" t="str">
        <f t="shared" si="125"/>
        <v/>
      </c>
      <c r="AW2046" s="2" t="str">
        <f t="shared" si="126"/>
        <v/>
      </c>
      <c r="AX2046" s="2" t="str">
        <f t="shared" si="127"/>
        <v/>
      </c>
      <c r="AY2046" s="2" t="str">
        <f>IF($AV2046="","",IF(AND($Z2046=0,COUNTIF('AR SALES'!$L$2:$L$2501,$L2046)=0),"YES",""))</f>
        <v/>
      </c>
      <c r="AZ2046" s="2" t="str">
        <f>IF($AV2046="","",IF(COUNTIF(LISTS!$C$2:$C$250,$AU2046)=0,"NEW",""))</f>
        <v/>
      </c>
      <c r="BA2046" s="2" t="str">
        <f>IF(""&amp;$F2046&lt;&gt;"4","",IF($AY2046="YES","",IF(ROUND(SUMIFS($AE$2:$AE$4001,$L$2:$L$4001,$L2046,$F$2:$F$4001,"4")-SUMIFS('AR SALES'!$Y$2:$Y$2501,'AR SALES'!$L$2:$L$2501,$L2046,'AR SALES'!$AD$2:$AD$2501,"OFF"),2)=0,"","STALE")))</f>
        <v/>
      </c>
      <c r="BB2046" s="2" t="str">
        <f>IF(OR(""&amp;$F2046="2",""&amp;$F2046="4",""&amp;$F2046="G",""&amp;$F2046="H"),IF($AY2046="YES","",IF($AB2046&lt;&gt;0,"",IF(COUNTIFS('AR SALES'!$L$2:$L$2501,$L2046,'AR SALES'!$AD$2:$AD$2501,IF(""&amp;$F2046="4","OFF","ON"),'AR SALES'!$AF$2:$AF$2501,"Y")&gt;0,"","NO EXEMPTION"))),"")</f>
        <v/>
      </c>
    </row>
    <row r="2047" spans="46:54" x14ac:dyDescent="0.25">
      <c r="AT2047" s="2" t="str">
        <f>IF($L2047="","",IFERROR(INDEX('AR SALES'!$H$2:$H$2501,MATCH(""&amp;$L2047,'AR SALES'!$AE$2:$AE$2501,0)),""))</f>
        <v/>
      </c>
      <c r="AU2047" s="2" t="str">
        <f t="shared" si="124"/>
        <v/>
      </c>
      <c r="AV2047" s="2" t="str">
        <f t="shared" si="125"/>
        <v/>
      </c>
      <c r="AW2047" s="2" t="str">
        <f t="shared" si="126"/>
        <v/>
      </c>
      <c r="AX2047" s="2" t="str">
        <f t="shared" si="127"/>
        <v/>
      </c>
      <c r="AY2047" s="2" t="str">
        <f>IF($AV2047="","",IF(AND($Z2047=0,COUNTIF('AR SALES'!$L$2:$L$2501,$L2047)=0),"YES",""))</f>
        <v/>
      </c>
      <c r="AZ2047" s="2" t="str">
        <f>IF($AV2047="","",IF(COUNTIF(LISTS!$C$2:$C$250,$AU2047)=0,"NEW",""))</f>
        <v/>
      </c>
      <c r="BA2047" s="2" t="str">
        <f>IF(""&amp;$F2047&lt;&gt;"4","",IF($AY2047="YES","",IF(ROUND(SUMIFS($AE$2:$AE$4001,$L$2:$L$4001,$L2047,$F$2:$F$4001,"4")-SUMIFS('AR SALES'!$Y$2:$Y$2501,'AR SALES'!$L$2:$L$2501,$L2047,'AR SALES'!$AD$2:$AD$2501,"OFF"),2)=0,"","STALE")))</f>
        <v/>
      </c>
      <c r="BB2047" s="2" t="str">
        <f>IF(OR(""&amp;$F2047="2",""&amp;$F2047="4",""&amp;$F2047="G",""&amp;$F2047="H"),IF($AY2047="YES","",IF($AB2047&lt;&gt;0,"",IF(COUNTIFS('AR SALES'!$L$2:$L$2501,$L2047,'AR SALES'!$AD$2:$AD$2501,IF(""&amp;$F2047="4","OFF","ON"),'AR SALES'!$AF$2:$AF$2501,"Y")&gt;0,"","NO EXEMPTION"))),"")</f>
        <v/>
      </c>
    </row>
    <row r="2048" spans="46:54" x14ac:dyDescent="0.25">
      <c r="AT2048" s="2" t="str">
        <f>IF($L2048="","",IFERROR(INDEX('AR SALES'!$H$2:$H$2501,MATCH(""&amp;$L2048,'AR SALES'!$AE$2:$AE$2501,0)),""))</f>
        <v/>
      </c>
      <c r="AU2048" s="2" t="str">
        <f t="shared" si="124"/>
        <v/>
      </c>
      <c r="AV2048" s="2" t="str">
        <f t="shared" si="125"/>
        <v/>
      </c>
      <c r="AW2048" s="2" t="str">
        <f t="shared" si="126"/>
        <v/>
      </c>
      <c r="AX2048" s="2" t="str">
        <f t="shared" si="127"/>
        <v/>
      </c>
      <c r="AY2048" s="2" t="str">
        <f>IF($AV2048="","",IF(AND($Z2048=0,COUNTIF('AR SALES'!$L$2:$L$2501,$L2048)=0),"YES",""))</f>
        <v/>
      </c>
      <c r="AZ2048" s="2" t="str">
        <f>IF($AV2048="","",IF(COUNTIF(LISTS!$C$2:$C$250,$AU2048)=0,"NEW",""))</f>
        <v/>
      </c>
      <c r="BA2048" s="2" t="str">
        <f>IF(""&amp;$F2048&lt;&gt;"4","",IF($AY2048="YES","",IF(ROUND(SUMIFS($AE$2:$AE$4001,$L$2:$L$4001,$L2048,$F$2:$F$4001,"4")-SUMIFS('AR SALES'!$Y$2:$Y$2501,'AR SALES'!$L$2:$L$2501,$L2048,'AR SALES'!$AD$2:$AD$2501,"OFF"),2)=0,"","STALE")))</f>
        <v/>
      </c>
      <c r="BB2048" s="2" t="str">
        <f>IF(OR(""&amp;$F2048="2",""&amp;$F2048="4",""&amp;$F2048="G",""&amp;$F2048="H"),IF($AY2048="YES","",IF($AB2048&lt;&gt;0,"",IF(COUNTIFS('AR SALES'!$L$2:$L$2501,$L2048,'AR SALES'!$AD$2:$AD$2501,IF(""&amp;$F2048="4","OFF","ON"),'AR SALES'!$AF$2:$AF$2501,"Y")&gt;0,"","NO EXEMPTION"))),"")</f>
        <v/>
      </c>
    </row>
    <row r="2049" spans="46:54" x14ac:dyDescent="0.25">
      <c r="AT2049" s="2" t="str">
        <f>IF($L2049="","",IFERROR(INDEX('AR SALES'!$H$2:$H$2501,MATCH(""&amp;$L2049,'AR SALES'!$AE$2:$AE$2501,0)),""))</f>
        <v/>
      </c>
      <c r="AU2049" s="2" t="str">
        <f t="shared" si="124"/>
        <v/>
      </c>
      <c r="AV2049" s="2" t="str">
        <f t="shared" si="125"/>
        <v/>
      </c>
      <c r="AW2049" s="2" t="str">
        <f t="shared" si="126"/>
        <v/>
      </c>
      <c r="AX2049" s="2" t="str">
        <f t="shared" si="127"/>
        <v/>
      </c>
      <c r="AY2049" s="2" t="str">
        <f>IF($AV2049="","",IF(AND($Z2049=0,COUNTIF('AR SALES'!$L$2:$L$2501,$L2049)=0),"YES",""))</f>
        <v/>
      </c>
      <c r="AZ2049" s="2" t="str">
        <f>IF($AV2049="","",IF(COUNTIF(LISTS!$C$2:$C$250,$AU2049)=0,"NEW",""))</f>
        <v/>
      </c>
      <c r="BA2049" s="2" t="str">
        <f>IF(""&amp;$F2049&lt;&gt;"4","",IF($AY2049="YES","",IF(ROUND(SUMIFS($AE$2:$AE$4001,$L$2:$L$4001,$L2049,$F$2:$F$4001,"4")-SUMIFS('AR SALES'!$Y$2:$Y$2501,'AR SALES'!$L$2:$L$2501,$L2049,'AR SALES'!$AD$2:$AD$2501,"OFF"),2)=0,"","STALE")))</f>
        <v/>
      </c>
      <c r="BB2049" s="2" t="str">
        <f>IF(OR(""&amp;$F2049="2",""&amp;$F2049="4",""&amp;$F2049="G",""&amp;$F2049="H"),IF($AY2049="YES","",IF($AB2049&lt;&gt;0,"",IF(COUNTIFS('AR SALES'!$L$2:$L$2501,$L2049,'AR SALES'!$AD$2:$AD$2501,IF(""&amp;$F2049="4","OFF","ON"),'AR SALES'!$AF$2:$AF$2501,"Y")&gt;0,"","NO EXEMPTION"))),"")</f>
        <v/>
      </c>
    </row>
    <row r="2050" spans="46:54" x14ac:dyDescent="0.25">
      <c r="AT2050" s="2" t="str">
        <f>IF($L2050="","",IFERROR(INDEX('AR SALES'!$H$2:$H$2501,MATCH(""&amp;$L2050,'AR SALES'!$AE$2:$AE$2501,0)),""))</f>
        <v/>
      </c>
      <c r="AU2050" s="2" t="str">
        <f t="shared" ref="AU2050:AU2113" si="128">IF($L2050="","",IF($A2050&lt;&gt;"GA","",IF($E2050="FULTON",IF(ISNUMBER(SEARCH("COLLEGE PARK",$AT2050)),"FULTON (COLLEGE PARK)",IF(ISNUMBER(SEARCH("ATLANTA CITY",$AT2050)),"FULTON (ATL LIMITS)","FULTON")),IF($E2050="DEKALB",IF(ISNUMBER(SEARCH("ATLANTA CITY",$AT2050)),"DEKALB (ATL LIMITS)","DEKALB"),$E2050))))</f>
        <v/>
      </c>
      <c r="AV2050" s="2" t="str">
        <f t="shared" ref="AV2050:AV2113" si="129">IF($L2050="","",IF(""&amp;$F2050="2","DIESEL",IF(OR(""&amp;$F2050="G",""&amp;$F2050="H"),"GAS","")))</f>
        <v/>
      </c>
      <c r="AW2050" s="2" t="str">
        <f t="shared" ref="AW2050:AW2113" si="130">IF($AV2050="","",$R2050)</f>
        <v/>
      </c>
      <c r="AX2050" s="2" t="str">
        <f t="shared" ref="AX2050:AX2113" si="131">IF($AV2050="","",IF($AB2050=0,$R2050,0))</f>
        <v/>
      </c>
      <c r="AY2050" s="2" t="str">
        <f>IF($AV2050="","",IF(AND($Z2050=0,COUNTIF('AR SALES'!$L$2:$L$2501,$L2050)=0),"YES",""))</f>
        <v/>
      </c>
      <c r="AZ2050" s="2" t="str">
        <f>IF($AV2050="","",IF(COUNTIF(LISTS!$C$2:$C$250,$AU2050)=0,"NEW",""))</f>
        <v/>
      </c>
      <c r="BA2050" s="2" t="str">
        <f>IF(""&amp;$F2050&lt;&gt;"4","",IF($AY2050="YES","",IF(ROUND(SUMIFS($AE$2:$AE$4001,$L$2:$L$4001,$L2050,$F$2:$F$4001,"4")-SUMIFS('AR SALES'!$Y$2:$Y$2501,'AR SALES'!$L$2:$L$2501,$L2050,'AR SALES'!$AD$2:$AD$2501,"OFF"),2)=0,"","STALE")))</f>
        <v/>
      </c>
      <c r="BB2050" s="2" t="str">
        <f>IF(OR(""&amp;$F2050="2",""&amp;$F2050="4",""&amp;$F2050="G",""&amp;$F2050="H"),IF($AY2050="YES","",IF($AB2050&lt;&gt;0,"",IF(COUNTIFS('AR SALES'!$L$2:$L$2501,$L2050,'AR SALES'!$AD$2:$AD$2501,IF(""&amp;$F2050="4","OFF","ON"),'AR SALES'!$AF$2:$AF$2501,"Y")&gt;0,"","NO EXEMPTION"))),"")</f>
        <v/>
      </c>
    </row>
    <row r="2051" spans="46:54" x14ac:dyDescent="0.25">
      <c r="AT2051" s="2" t="str">
        <f>IF($L2051="","",IFERROR(INDEX('AR SALES'!$H$2:$H$2501,MATCH(""&amp;$L2051,'AR SALES'!$AE$2:$AE$2501,0)),""))</f>
        <v/>
      </c>
      <c r="AU2051" s="2" t="str">
        <f t="shared" si="128"/>
        <v/>
      </c>
      <c r="AV2051" s="2" t="str">
        <f t="shared" si="129"/>
        <v/>
      </c>
      <c r="AW2051" s="2" t="str">
        <f t="shared" si="130"/>
        <v/>
      </c>
      <c r="AX2051" s="2" t="str">
        <f t="shared" si="131"/>
        <v/>
      </c>
      <c r="AY2051" s="2" t="str">
        <f>IF($AV2051="","",IF(AND($Z2051=0,COUNTIF('AR SALES'!$L$2:$L$2501,$L2051)=0),"YES",""))</f>
        <v/>
      </c>
      <c r="AZ2051" s="2" t="str">
        <f>IF($AV2051="","",IF(COUNTIF(LISTS!$C$2:$C$250,$AU2051)=0,"NEW",""))</f>
        <v/>
      </c>
      <c r="BA2051" s="2" t="str">
        <f>IF(""&amp;$F2051&lt;&gt;"4","",IF($AY2051="YES","",IF(ROUND(SUMIFS($AE$2:$AE$4001,$L$2:$L$4001,$L2051,$F$2:$F$4001,"4")-SUMIFS('AR SALES'!$Y$2:$Y$2501,'AR SALES'!$L$2:$L$2501,$L2051,'AR SALES'!$AD$2:$AD$2501,"OFF"),2)=0,"","STALE")))</f>
        <v/>
      </c>
      <c r="BB2051" s="2" t="str">
        <f>IF(OR(""&amp;$F2051="2",""&amp;$F2051="4",""&amp;$F2051="G",""&amp;$F2051="H"),IF($AY2051="YES","",IF($AB2051&lt;&gt;0,"",IF(COUNTIFS('AR SALES'!$L$2:$L$2501,$L2051,'AR SALES'!$AD$2:$AD$2501,IF(""&amp;$F2051="4","OFF","ON"),'AR SALES'!$AF$2:$AF$2501,"Y")&gt;0,"","NO EXEMPTION"))),"")</f>
        <v/>
      </c>
    </row>
    <row r="2052" spans="46:54" x14ac:dyDescent="0.25">
      <c r="AT2052" s="2" t="str">
        <f>IF($L2052="","",IFERROR(INDEX('AR SALES'!$H$2:$H$2501,MATCH(""&amp;$L2052,'AR SALES'!$AE$2:$AE$2501,0)),""))</f>
        <v/>
      </c>
      <c r="AU2052" s="2" t="str">
        <f t="shared" si="128"/>
        <v/>
      </c>
      <c r="AV2052" s="2" t="str">
        <f t="shared" si="129"/>
        <v/>
      </c>
      <c r="AW2052" s="2" t="str">
        <f t="shared" si="130"/>
        <v/>
      </c>
      <c r="AX2052" s="2" t="str">
        <f t="shared" si="131"/>
        <v/>
      </c>
      <c r="AY2052" s="2" t="str">
        <f>IF($AV2052="","",IF(AND($Z2052=0,COUNTIF('AR SALES'!$L$2:$L$2501,$L2052)=0),"YES",""))</f>
        <v/>
      </c>
      <c r="AZ2052" s="2" t="str">
        <f>IF($AV2052="","",IF(COUNTIF(LISTS!$C$2:$C$250,$AU2052)=0,"NEW",""))</f>
        <v/>
      </c>
      <c r="BA2052" s="2" t="str">
        <f>IF(""&amp;$F2052&lt;&gt;"4","",IF($AY2052="YES","",IF(ROUND(SUMIFS($AE$2:$AE$4001,$L$2:$L$4001,$L2052,$F$2:$F$4001,"4")-SUMIFS('AR SALES'!$Y$2:$Y$2501,'AR SALES'!$L$2:$L$2501,$L2052,'AR SALES'!$AD$2:$AD$2501,"OFF"),2)=0,"","STALE")))</f>
        <v/>
      </c>
      <c r="BB2052" s="2" t="str">
        <f>IF(OR(""&amp;$F2052="2",""&amp;$F2052="4",""&amp;$F2052="G",""&amp;$F2052="H"),IF($AY2052="YES","",IF($AB2052&lt;&gt;0,"",IF(COUNTIFS('AR SALES'!$L$2:$L$2501,$L2052,'AR SALES'!$AD$2:$AD$2501,IF(""&amp;$F2052="4","OFF","ON"),'AR SALES'!$AF$2:$AF$2501,"Y")&gt;0,"","NO EXEMPTION"))),"")</f>
        <v/>
      </c>
    </row>
    <row r="2053" spans="46:54" x14ac:dyDescent="0.25">
      <c r="AT2053" s="2" t="str">
        <f>IF($L2053="","",IFERROR(INDEX('AR SALES'!$H$2:$H$2501,MATCH(""&amp;$L2053,'AR SALES'!$AE$2:$AE$2501,0)),""))</f>
        <v/>
      </c>
      <c r="AU2053" s="2" t="str">
        <f t="shared" si="128"/>
        <v/>
      </c>
      <c r="AV2053" s="2" t="str">
        <f t="shared" si="129"/>
        <v/>
      </c>
      <c r="AW2053" s="2" t="str">
        <f t="shared" si="130"/>
        <v/>
      </c>
      <c r="AX2053" s="2" t="str">
        <f t="shared" si="131"/>
        <v/>
      </c>
      <c r="AY2053" s="2" t="str">
        <f>IF($AV2053="","",IF(AND($Z2053=0,COUNTIF('AR SALES'!$L$2:$L$2501,$L2053)=0),"YES",""))</f>
        <v/>
      </c>
      <c r="AZ2053" s="2" t="str">
        <f>IF($AV2053="","",IF(COUNTIF(LISTS!$C$2:$C$250,$AU2053)=0,"NEW",""))</f>
        <v/>
      </c>
      <c r="BA2053" s="2" t="str">
        <f>IF(""&amp;$F2053&lt;&gt;"4","",IF($AY2053="YES","",IF(ROUND(SUMIFS($AE$2:$AE$4001,$L$2:$L$4001,$L2053,$F$2:$F$4001,"4")-SUMIFS('AR SALES'!$Y$2:$Y$2501,'AR SALES'!$L$2:$L$2501,$L2053,'AR SALES'!$AD$2:$AD$2501,"OFF"),2)=0,"","STALE")))</f>
        <v/>
      </c>
      <c r="BB2053" s="2" t="str">
        <f>IF(OR(""&amp;$F2053="2",""&amp;$F2053="4",""&amp;$F2053="G",""&amp;$F2053="H"),IF($AY2053="YES","",IF($AB2053&lt;&gt;0,"",IF(COUNTIFS('AR SALES'!$L$2:$L$2501,$L2053,'AR SALES'!$AD$2:$AD$2501,IF(""&amp;$F2053="4","OFF","ON"),'AR SALES'!$AF$2:$AF$2501,"Y")&gt;0,"","NO EXEMPTION"))),"")</f>
        <v/>
      </c>
    </row>
    <row r="2054" spans="46:54" x14ac:dyDescent="0.25">
      <c r="AT2054" s="2" t="str">
        <f>IF($L2054="","",IFERROR(INDEX('AR SALES'!$H$2:$H$2501,MATCH(""&amp;$L2054,'AR SALES'!$AE$2:$AE$2501,0)),""))</f>
        <v/>
      </c>
      <c r="AU2054" s="2" t="str">
        <f t="shared" si="128"/>
        <v/>
      </c>
      <c r="AV2054" s="2" t="str">
        <f t="shared" si="129"/>
        <v/>
      </c>
      <c r="AW2054" s="2" t="str">
        <f t="shared" si="130"/>
        <v/>
      </c>
      <c r="AX2054" s="2" t="str">
        <f t="shared" si="131"/>
        <v/>
      </c>
      <c r="AY2054" s="2" t="str">
        <f>IF($AV2054="","",IF(AND($Z2054=0,COUNTIF('AR SALES'!$L$2:$L$2501,$L2054)=0),"YES",""))</f>
        <v/>
      </c>
      <c r="AZ2054" s="2" t="str">
        <f>IF($AV2054="","",IF(COUNTIF(LISTS!$C$2:$C$250,$AU2054)=0,"NEW",""))</f>
        <v/>
      </c>
      <c r="BA2054" s="2" t="str">
        <f>IF(""&amp;$F2054&lt;&gt;"4","",IF($AY2054="YES","",IF(ROUND(SUMIFS($AE$2:$AE$4001,$L$2:$L$4001,$L2054,$F$2:$F$4001,"4")-SUMIFS('AR SALES'!$Y$2:$Y$2501,'AR SALES'!$L$2:$L$2501,$L2054,'AR SALES'!$AD$2:$AD$2501,"OFF"),2)=0,"","STALE")))</f>
        <v/>
      </c>
      <c r="BB2054" s="2" t="str">
        <f>IF(OR(""&amp;$F2054="2",""&amp;$F2054="4",""&amp;$F2054="G",""&amp;$F2054="H"),IF($AY2054="YES","",IF($AB2054&lt;&gt;0,"",IF(COUNTIFS('AR SALES'!$L$2:$L$2501,$L2054,'AR SALES'!$AD$2:$AD$2501,IF(""&amp;$F2054="4","OFF","ON"),'AR SALES'!$AF$2:$AF$2501,"Y")&gt;0,"","NO EXEMPTION"))),"")</f>
        <v/>
      </c>
    </row>
    <row r="2055" spans="46:54" x14ac:dyDescent="0.25">
      <c r="AT2055" s="2" t="str">
        <f>IF($L2055="","",IFERROR(INDEX('AR SALES'!$H$2:$H$2501,MATCH(""&amp;$L2055,'AR SALES'!$AE$2:$AE$2501,0)),""))</f>
        <v/>
      </c>
      <c r="AU2055" s="2" t="str">
        <f t="shared" si="128"/>
        <v/>
      </c>
      <c r="AV2055" s="2" t="str">
        <f t="shared" si="129"/>
        <v/>
      </c>
      <c r="AW2055" s="2" t="str">
        <f t="shared" si="130"/>
        <v/>
      </c>
      <c r="AX2055" s="2" t="str">
        <f t="shared" si="131"/>
        <v/>
      </c>
      <c r="AY2055" s="2" t="str">
        <f>IF($AV2055="","",IF(AND($Z2055=0,COUNTIF('AR SALES'!$L$2:$L$2501,$L2055)=0),"YES",""))</f>
        <v/>
      </c>
      <c r="AZ2055" s="2" t="str">
        <f>IF($AV2055="","",IF(COUNTIF(LISTS!$C$2:$C$250,$AU2055)=0,"NEW",""))</f>
        <v/>
      </c>
      <c r="BA2055" s="2" t="str">
        <f>IF(""&amp;$F2055&lt;&gt;"4","",IF($AY2055="YES","",IF(ROUND(SUMIFS($AE$2:$AE$4001,$L$2:$L$4001,$L2055,$F$2:$F$4001,"4")-SUMIFS('AR SALES'!$Y$2:$Y$2501,'AR SALES'!$L$2:$L$2501,$L2055,'AR SALES'!$AD$2:$AD$2501,"OFF"),2)=0,"","STALE")))</f>
        <v/>
      </c>
      <c r="BB2055" s="2" t="str">
        <f>IF(OR(""&amp;$F2055="2",""&amp;$F2055="4",""&amp;$F2055="G",""&amp;$F2055="H"),IF($AY2055="YES","",IF($AB2055&lt;&gt;0,"",IF(COUNTIFS('AR SALES'!$L$2:$L$2501,$L2055,'AR SALES'!$AD$2:$AD$2501,IF(""&amp;$F2055="4","OFF","ON"),'AR SALES'!$AF$2:$AF$2501,"Y")&gt;0,"","NO EXEMPTION"))),"")</f>
        <v/>
      </c>
    </row>
    <row r="2056" spans="46:54" x14ac:dyDescent="0.25">
      <c r="AT2056" s="2" t="str">
        <f>IF($L2056="","",IFERROR(INDEX('AR SALES'!$H$2:$H$2501,MATCH(""&amp;$L2056,'AR SALES'!$AE$2:$AE$2501,0)),""))</f>
        <v/>
      </c>
      <c r="AU2056" s="2" t="str">
        <f t="shared" si="128"/>
        <v/>
      </c>
      <c r="AV2056" s="2" t="str">
        <f t="shared" si="129"/>
        <v/>
      </c>
      <c r="AW2056" s="2" t="str">
        <f t="shared" si="130"/>
        <v/>
      </c>
      <c r="AX2056" s="2" t="str">
        <f t="shared" si="131"/>
        <v/>
      </c>
      <c r="AY2056" s="2" t="str">
        <f>IF($AV2056="","",IF(AND($Z2056=0,COUNTIF('AR SALES'!$L$2:$L$2501,$L2056)=0),"YES",""))</f>
        <v/>
      </c>
      <c r="AZ2056" s="2" t="str">
        <f>IF($AV2056="","",IF(COUNTIF(LISTS!$C$2:$C$250,$AU2056)=0,"NEW",""))</f>
        <v/>
      </c>
      <c r="BA2056" s="2" t="str">
        <f>IF(""&amp;$F2056&lt;&gt;"4","",IF($AY2056="YES","",IF(ROUND(SUMIFS($AE$2:$AE$4001,$L$2:$L$4001,$L2056,$F$2:$F$4001,"4")-SUMIFS('AR SALES'!$Y$2:$Y$2501,'AR SALES'!$L$2:$L$2501,$L2056,'AR SALES'!$AD$2:$AD$2501,"OFF"),2)=0,"","STALE")))</f>
        <v/>
      </c>
      <c r="BB2056" s="2" t="str">
        <f>IF(OR(""&amp;$F2056="2",""&amp;$F2056="4",""&amp;$F2056="G",""&amp;$F2056="H"),IF($AY2056="YES","",IF($AB2056&lt;&gt;0,"",IF(COUNTIFS('AR SALES'!$L$2:$L$2501,$L2056,'AR SALES'!$AD$2:$AD$2501,IF(""&amp;$F2056="4","OFF","ON"),'AR SALES'!$AF$2:$AF$2501,"Y")&gt;0,"","NO EXEMPTION"))),"")</f>
        <v/>
      </c>
    </row>
    <row r="2057" spans="46:54" x14ac:dyDescent="0.25">
      <c r="AT2057" s="2" t="str">
        <f>IF($L2057="","",IFERROR(INDEX('AR SALES'!$H$2:$H$2501,MATCH(""&amp;$L2057,'AR SALES'!$AE$2:$AE$2501,0)),""))</f>
        <v/>
      </c>
      <c r="AU2057" s="2" t="str">
        <f t="shared" si="128"/>
        <v/>
      </c>
      <c r="AV2057" s="2" t="str">
        <f t="shared" si="129"/>
        <v/>
      </c>
      <c r="AW2057" s="2" t="str">
        <f t="shared" si="130"/>
        <v/>
      </c>
      <c r="AX2057" s="2" t="str">
        <f t="shared" si="131"/>
        <v/>
      </c>
      <c r="AY2057" s="2" t="str">
        <f>IF($AV2057="","",IF(AND($Z2057=0,COUNTIF('AR SALES'!$L$2:$L$2501,$L2057)=0),"YES",""))</f>
        <v/>
      </c>
      <c r="AZ2057" s="2" t="str">
        <f>IF($AV2057="","",IF(COUNTIF(LISTS!$C$2:$C$250,$AU2057)=0,"NEW",""))</f>
        <v/>
      </c>
      <c r="BA2057" s="2" t="str">
        <f>IF(""&amp;$F2057&lt;&gt;"4","",IF($AY2057="YES","",IF(ROUND(SUMIFS($AE$2:$AE$4001,$L$2:$L$4001,$L2057,$F$2:$F$4001,"4")-SUMIFS('AR SALES'!$Y$2:$Y$2501,'AR SALES'!$L$2:$L$2501,$L2057,'AR SALES'!$AD$2:$AD$2501,"OFF"),2)=0,"","STALE")))</f>
        <v/>
      </c>
      <c r="BB2057" s="2" t="str">
        <f>IF(OR(""&amp;$F2057="2",""&amp;$F2057="4",""&amp;$F2057="G",""&amp;$F2057="H"),IF($AY2057="YES","",IF($AB2057&lt;&gt;0,"",IF(COUNTIFS('AR SALES'!$L$2:$L$2501,$L2057,'AR SALES'!$AD$2:$AD$2501,IF(""&amp;$F2057="4","OFF","ON"),'AR SALES'!$AF$2:$AF$2501,"Y")&gt;0,"","NO EXEMPTION"))),"")</f>
        <v/>
      </c>
    </row>
    <row r="2058" spans="46:54" x14ac:dyDescent="0.25">
      <c r="AT2058" s="2" t="str">
        <f>IF($L2058="","",IFERROR(INDEX('AR SALES'!$H$2:$H$2501,MATCH(""&amp;$L2058,'AR SALES'!$AE$2:$AE$2501,0)),""))</f>
        <v/>
      </c>
      <c r="AU2058" s="2" t="str">
        <f t="shared" si="128"/>
        <v/>
      </c>
      <c r="AV2058" s="2" t="str">
        <f t="shared" si="129"/>
        <v/>
      </c>
      <c r="AW2058" s="2" t="str">
        <f t="shared" si="130"/>
        <v/>
      </c>
      <c r="AX2058" s="2" t="str">
        <f t="shared" si="131"/>
        <v/>
      </c>
      <c r="AY2058" s="2" t="str">
        <f>IF($AV2058="","",IF(AND($Z2058=0,COUNTIF('AR SALES'!$L$2:$L$2501,$L2058)=0),"YES",""))</f>
        <v/>
      </c>
      <c r="AZ2058" s="2" t="str">
        <f>IF($AV2058="","",IF(COUNTIF(LISTS!$C$2:$C$250,$AU2058)=0,"NEW",""))</f>
        <v/>
      </c>
      <c r="BA2058" s="2" t="str">
        <f>IF(""&amp;$F2058&lt;&gt;"4","",IF($AY2058="YES","",IF(ROUND(SUMIFS($AE$2:$AE$4001,$L$2:$L$4001,$L2058,$F$2:$F$4001,"4")-SUMIFS('AR SALES'!$Y$2:$Y$2501,'AR SALES'!$L$2:$L$2501,$L2058,'AR SALES'!$AD$2:$AD$2501,"OFF"),2)=0,"","STALE")))</f>
        <v/>
      </c>
      <c r="BB2058" s="2" t="str">
        <f>IF(OR(""&amp;$F2058="2",""&amp;$F2058="4",""&amp;$F2058="G",""&amp;$F2058="H"),IF($AY2058="YES","",IF($AB2058&lt;&gt;0,"",IF(COUNTIFS('AR SALES'!$L$2:$L$2501,$L2058,'AR SALES'!$AD$2:$AD$2501,IF(""&amp;$F2058="4","OFF","ON"),'AR SALES'!$AF$2:$AF$2501,"Y")&gt;0,"","NO EXEMPTION"))),"")</f>
        <v/>
      </c>
    </row>
    <row r="2059" spans="46:54" x14ac:dyDescent="0.25">
      <c r="AT2059" s="2" t="str">
        <f>IF($L2059="","",IFERROR(INDEX('AR SALES'!$H$2:$H$2501,MATCH(""&amp;$L2059,'AR SALES'!$AE$2:$AE$2501,0)),""))</f>
        <v/>
      </c>
      <c r="AU2059" s="2" t="str">
        <f t="shared" si="128"/>
        <v/>
      </c>
      <c r="AV2059" s="2" t="str">
        <f t="shared" si="129"/>
        <v/>
      </c>
      <c r="AW2059" s="2" t="str">
        <f t="shared" si="130"/>
        <v/>
      </c>
      <c r="AX2059" s="2" t="str">
        <f t="shared" si="131"/>
        <v/>
      </c>
      <c r="AY2059" s="2" t="str">
        <f>IF($AV2059="","",IF(AND($Z2059=0,COUNTIF('AR SALES'!$L$2:$L$2501,$L2059)=0),"YES",""))</f>
        <v/>
      </c>
      <c r="AZ2059" s="2" t="str">
        <f>IF($AV2059="","",IF(COUNTIF(LISTS!$C$2:$C$250,$AU2059)=0,"NEW",""))</f>
        <v/>
      </c>
      <c r="BA2059" s="2" t="str">
        <f>IF(""&amp;$F2059&lt;&gt;"4","",IF($AY2059="YES","",IF(ROUND(SUMIFS($AE$2:$AE$4001,$L$2:$L$4001,$L2059,$F$2:$F$4001,"4")-SUMIFS('AR SALES'!$Y$2:$Y$2501,'AR SALES'!$L$2:$L$2501,$L2059,'AR SALES'!$AD$2:$AD$2501,"OFF"),2)=0,"","STALE")))</f>
        <v/>
      </c>
      <c r="BB2059" s="2" t="str">
        <f>IF(OR(""&amp;$F2059="2",""&amp;$F2059="4",""&amp;$F2059="G",""&amp;$F2059="H"),IF($AY2059="YES","",IF($AB2059&lt;&gt;0,"",IF(COUNTIFS('AR SALES'!$L$2:$L$2501,$L2059,'AR SALES'!$AD$2:$AD$2501,IF(""&amp;$F2059="4","OFF","ON"),'AR SALES'!$AF$2:$AF$2501,"Y")&gt;0,"","NO EXEMPTION"))),"")</f>
        <v/>
      </c>
    </row>
    <row r="2060" spans="46:54" x14ac:dyDescent="0.25">
      <c r="AT2060" s="2" t="str">
        <f>IF($L2060="","",IFERROR(INDEX('AR SALES'!$H$2:$H$2501,MATCH(""&amp;$L2060,'AR SALES'!$AE$2:$AE$2501,0)),""))</f>
        <v/>
      </c>
      <c r="AU2060" s="2" t="str">
        <f t="shared" si="128"/>
        <v/>
      </c>
      <c r="AV2060" s="2" t="str">
        <f t="shared" si="129"/>
        <v/>
      </c>
      <c r="AW2060" s="2" t="str">
        <f t="shared" si="130"/>
        <v/>
      </c>
      <c r="AX2060" s="2" t="str">
        <f t="shared" si="131"/>
        <v/>
      </c>
      <c r="AY2060" s="2" t="str">
        <f>IF($AV2060="","",IF(AND($Z2060=0,COUNTIF('AR SALES'!$L$2:$L$2501,$L2060)=0),"YES",""))</f>
        <v/>
      </c>
      <c r="AZ2060" s="2" t="str">
        <f>IF($AV2060="","",IF(COUNTIF(LISTS!$C$2:$C$250,$AU2060)=0,"NEW",""))</f>
        <v/>
      </c>
      <c r="BA2060" s="2" t="str">
        <f>IF(""&amp;$F2060&lt;&gt;"4","",IF($AY2060="YES","",IF(ROUND(SUMIFS($AE$2:$AE$4001,$L$2:$L$4001,$L2060,$F$2:$F$4001,"4")-SUMIFS('AR SALES'!$Y$2:$Y$2501,'AR SALES'!$L$2:$L$2501,$L2060,'AR SALES'!$AD$2:$AD$2501,"OFF"),2)=0,"","STALE")))</f>
        <v/>
      </c>
      <c r="BB2060" s="2" t="str">
        <f>IF(OR(""&amp;$F2060="2",""&amp;$F2060="4",""&amp;$F2060="G",""&amp;$F2060="H"),IF($AY2060="YES","",IF($AB2060&lt;&gt;0,"",IF(COUNTIFS('AR SALES'!$L$2:$L$2501,$L2060,'AR SALES'!$AD$2:$AD$2501,IF(""&amp;$F2060="4","OFF","ON"),'AR SALES'!$AF$2:$AF$2501,"Y")&gt;0,"","NO EXEMPTION"))),"")</f>
        <v/>
      </c>
    </row>
    <row r="2061" spans="46:54" x14ac:dyDescent="0.25">
      <c r="AT2061" s="2" t="str">
        <f>IF($L2061="","",IFERROR(INDEX('AR SALES'!$H$2:$H$2501,MATCH(""&amp;$L2061,'AR SALES'!$AE$2:$AE$2501,0)),""))</f>
        <v/>
      </c>
      <c r="AU2061" s="2" t="str">
        <f t="shared" si="128"/>
        <v/>
      </c>
      <c r="AV2061" s="2" t="str">
        <f t="shared" si="129"/>
        <v/>
      </c>
      <c r="AW2061" s="2" t="str">
        <f t="shared" si="130"/>
        <v/>
      </c>
      <c r="AX2061" s="2" t="str">
        <f t="shared" si="131"/>
        <v/>
      </c>
      <c r="AY2061" s="2" t="str">
        <f>IF($AV2061="","",IF(AND($Z2061=0,COUNTIF('AR SALES'!$L$2:$L$2501,$L2061)=0),"YES",""))</f>
        <v/>
      </c>
      <c r="AZ2061" s="2" t="str">
        <f>IF($AV2061="","",IF(COUNTIF(LISTS!$C$2:$C$250,$AU2061)=0,"NEW",""))</f>
        <v/>
      </c>
      <c r="BA2061" s="2" t="str">
        <f>IF(""&amp;$F2061&lt;&gt;"4","",IF($AY2061="YES","",IF(ROUND(SUMIFS($AE$2:$AE$4001,$L$2:$L$4001,$L2061,$F$2:$F$4001,"4")-SUMIFS('AR SALES'!$Y$2:$Y$2501,'AR SALES'!$L$2:$L$2501,$L2061,'AR SALES'!$AD$2:$AD$2501,"OFF"),2)=0,"","STALE")))</f>
        <v/>
      </c>
      <c r="BB2061" s="2" t="str">
        <f>IF(OR(""&amp;$F2061="2",""&amp;$F2061="4",""&amp;$F2061="G",""&amp;$F2061="H"),IF($AY2061="YES","",IF($AB2061&lt;&gt;0,"",IF(COUNTIFS('AR SALES'!$L$2:$L$2501,$L2061,'AR SALES'!$AD$2:$AD$2501,IF(""&amp;$F2061="4","OFF","ON"),'AR SALES'!$AF$2:$AF$2501,"Y")&gt;0,"","NO EXEMPTION"))),"")</f>
        <v/>
      </c>
    </row>
    <row r="2062" spans="46:54" x14ac:dyDescent="0.25">
      <c r="AT2062" s="2" t="str">
        <f>IF($L2062="","",IFERROR(INDEX('AR SALES'!$H$2:$H$2501,MATCH(""&amp;$L2062,'AR SALES'!$AE$2:$AE$2501,0)),""))</f>
        <v/>
      </c>
      <c r="AU2062" s="2" t="str">
        <f t="shared" si="128"/>
        <v/>
      </c>
      <c r="AV2062" s="2" t="str">
        <f t="shared" si="129"/>
        <v/>
      </c>
      <c r="AW2062" s="2" t="str">
        <f t="shared" si="130"/>
        <v/>
      </c>
      <c r="AX2062" s="2" t="str">
        <f t="shared" si="131"/>
        <v/>
      </c>
      <c r="AY2062" s="2" t="str">
        <f>IF($AV2062="","",IF(AND($Z2062=0,COUNTIF('AR SALES'!$L$2:$L$2501,$L2062)=0),"YES",""))</f>
        <v/>
      </c>
      <c r="AZ2062" s="2" t="str">
        <f>IF($AV2062="","",IF(COUNTIF(LISTS!$C$2:$C$250,$AU2062)=0,"NEW",""))</f>
        <v/>
      </c>
      <c r="BA2062" s="2" t="str">
        <f>IF(""&amp;$F2062&lt;&gt;"4","",IF($AY2062="YES","",IF(ROUND(SUMIFS($AE$2:$AE$4001,$L$2:$L$4001,$L2062,$F$2:$F$4001,"4")-SUMIFS('AR SALES'!$Y$2:$Y$2501,'AR SALES'!$L$2:$L$2501,$L2062,'AR SALES'!$AD$2:$AD$2501,"OFF"),2)=0,"","STALE")))</f>
        <v/>
      </c>
      <c r="BB2062" s="2" t="str">
        <f>IF(OR(""&amp;$F2062="2",""&amp;$F2062="4",""&amp;$F2062="G",""&amp;$F2062="H"),IF($AY2062="YES","",IF($AB2062&lt;&gt;0,"",IF(COUNTIFS('AR SALES'!$L$2:$L$2501,$L2062,'AR SALES'!$AD$2:$AD$2501,IF(""&amp;$F2062="4","OFF","ON"),'AR SALES'!$AF$2:$AF$2501,"Y")&gt;0,"","NO EXEMPTION"))),"")</f>
        <v/>
      </c>
    </row>
    <row r="2063" spans="46:54" x14ac:dyDescent="0.25">
      <c r="AT2063" s="2" t="str">
        <f>IF($L2063="","",IFERROR(INDEX('AR SALES'!$H$2:$H$2501,MATCH(""&amp;$L2063,'AR SALES'!$AE$2:$AE$2501,0)),""))</f>
        <v/>
      </c>
      <c r="AU2063" s="2" t="str">
        <f t="shared" si="128"/>
        <v/>
      </c>
      <c r="AV2063" s="2" t="str">
        <f t="shared" si="129"/>
        <v/>
      </c>
      <c r="AW2063" s="2" t="str">
        <f t="shared" si="130"/>
        <v/>
      </c>
      <c r="AX2063" s="2" t="str">
        <f t="shared" si="131"/>
        <v/>
      </c>
      <c r="AY2063" s="2" t="str">
        <f>IF($AV2063="","",IF(AND($Z2063=0,COUNTIF('AR SALES'!$L$2:$L$2501,$L2063)=0),"YES",""))</f>
        <v/>
      </c>
      <c r="AZ2063" s="2" t="str">
        <f>IF($AV2063="","",IF(COUNTIF(LISTS!$C$2:$C$250,$AU2063)=0,"NEW",""))</f>
        <v/>
      </c>
      <c r="BA2063" s="2" t="str">
        <f>IF(""&amp;$F2063&lt;&gt;"4","",IF($AY2063="YES","",IF(ROUND(SUMIFS($AE$2:$AE$4001,$L$2:$L$4001,$L2063,$F$2:$F$4001,"4")-SUMIFS('AR SALES'!$Y$2:$Y$2501,'AR SALES'!$L$2:$L$2501,$L2063,'AR SALES'!$AD$2:$AD$2501,"OFF"),2)=0,"","STALE")))</f>
        <v/>
      </c>
      <c r="BB2063" s="2" t="str">
        <f>IF(OR(""&amp;$F2063="2",""&amp;$F2063="4",""&amp;$F2063="G",""&amp;$F2063="H"),IF($AY2063="YES","",IF($AB2063&lt;&gt;0,"",IF(COUNTIFS('AR SALES'!$L$2:$L$2501,$L2063,'AR SALES'!$AD$2:$AD$2501,IF(""&amp;$F2063="4","OFF","ON"),'AR SALES'!$AF$2:$AF$2501,"Y")&gt;0,"","NO EXEMPTION"))),"")</f>
        <v/>
      </c>
    </row>
    <row r="2064" spans="46:54" x14ac:dyDescent="0.25">
      <c r="AT2064" s="2" t="str">
        <f>IF($L2064="","",IFERROR(INDEX('AR SALES'!$H$2:$H$2501,MATCH(""&amp;$L2064,'AR SALES'!$AE$2:$AE$2501,0)),""))</f>
        <v/>
      </c>
      <c r="AU2064" s="2" t="str">
        <f t="shared" si="128"/>
        <v/>
      </c>
      <c r="AV2064" s="2" t="str">
        <f t="shared" si="129"/>
        <v/>
      </c>
      <c r="AW2064" s="2" t="str">
        <f t="shared" si="130"/>
        <v/>
      </c>
      <c r="AX2064" s="2" t="str">
        <f t="shared" si="131"/>
        <v/>
      </c>
      <c r="AY2064" s="2" t="str">
        <f>IF($AV2064="","",IF(AND($Z2064=0,COUNTIF('AR SALES'!$L$2:$L$2501,$L2064)=0),"YES",""))</f>
        <v/>
      </c>
      <c r="AZ2064" s="2" t="str">
        <f>IF($AV2064="","",IF(COUNTIF(LISTS!$C$2:$C$250,$AU2064)=0,"NEW",""))</f>
        <v/>
      </c>
      <c r="BA2064" s="2" t="str">
        <f>IF(""&amp;$F2064&lt;&gt;"4","",IF($AY2064="YES","",IF(ROUND(SUMIFS($AE$2:$AE$4001,$L$2:$L$4001,$L2064,$F$2:$F$4001,"4")-SUMIFS('AR SALES'!$Y$2:$Y$2501,'AR SALES'!$L$2:$L$2501,$L2064,'AR SALES'!$AD$2:$AD$2501,"OFF"),2)=0,"","STALE")))</f>
        <v/>
      </c>
      <c r="BB2064" s="2" t="str">
        <f>IF(OR(""&amp;$F2064="2",""&amp;$F2064="4",""&amp;$F2064="G",""&amp;$F2064="H"),IF($AY2064="YES","",IF($AB2064&lt;&gt;0,"",IF(COUNTIFS('AR SALES'!$L$2:$L$2501,$L2064,'AR SALES'!$AD$2:$AD$2501,IF(""&amp;$F2064="4","OFF","ON"),'AR SALES'!$AF$2:$AF$2501,"Y")&gt;0,"","NO EXEMPTION"))),"")</f>
        <v/>
      </c>
    </row>
    <row r="2065" spans="46:54" x14ac:dyDescent="0.25">
      <c r="AT2065" s="2" t="str">
        <f>IF($L2065="","",IFERROR(INDEX('AR SALES'!$H$2:$H$2501,MATCH(""&amp;$L2065,'AR SALES'!$AE$2:$AE$2501,0)),""))</f>
        <v/>
      </c>
      <c r="AU2065" s="2" t="str">
        <f t="shared" si="128"/>
        <v/>
      </c>
      <c r="AV2065" s="2" t="str">
        <f t="shared" si="129"/>
        <v/>
      </c>
      <c r="AW2065" s="2" t="str">
        <f t="shared" si="130"/>
        <v/>
      </c>
      <c r="AX2065" s="2" t="str">
        <f t="shared" si="131"/>
        <v/>
      </c>
      <c r="AY2065" s="2" t="str">
        <f>IF($AV2065="","",IF(AND($Z2065=0,COUNTIF('AR SALES'!$L$2:$L$2501,$L2065)=0),"YES",""))</f>
        <v/>
      </c>
      <c r="AZ2065" s="2" t="str">
        <f>IF($AV2065="","",IF(COUNTIF(LISTS!$C$2:$C$250,$AU2065)=0,"NEW",""))</f>
        <v/>
      </c>
      <c r="BA2065" s="2" t="str">
        <f>IF(""&amp;$F2065&lt;&gt;"4","",IF($AY2065="YES","",IF(ROUND(SUMIFS($AE$2:$AE$4001,$L$2:$L$4001,$L2065,$F$2:$F$4001,"4")-SUMIFS('AR SALES'!$Y$2:$Y$2501,'AR SALES'!$L$2:$L$2501,$L2065,'AR SALES'!$AD$2:$AD$2501,"OFF"),2)=0,"","STALE")))</f>
        <v/>
      </c>
      <c r="BB2065" s="2" t="str">
        <f>IF(OR(""&amp;$F2065="2",""&amp;$F2065="4",""&amp;$F2065="G",""&amp;$F2065="H"),IF($AY2065="YES","",IF($AB2065&lt;&gt;0,"",IF(COUNTIFS('AR SALES'!$L$2:$L$2501,$L2065,'AR SALES'!$AD$2:$AD$2501,IF(""&amp;$F2065="4","OFF","ON"),'AR SALES'!$AF$2:$AF$2501,"Y")&gt;0,"","NO EXEMPTION"))),"")</f>
        <v/>
      </c>
    </row>
    <row r="2066" spans="46:54" x14ac:dyDescent="0.25">
      <c r="AT2066" s="2" t="str">
        <f>IF($L2066="","",IFERROR(INDEX('AR SALES'!$H$2:$H$2501,MATCH(""&amp;$L2066,'AR SALES'!$AE$2:$AE$2501,0)),""))</f>
        <v/>
      </c>
      <c r="AU2066" s="2" t="str">
        <f t="shared" si="128"/>
        <v/>
      </c>
      <c r="AV2066" s="2" t="str">
        <f t="shared" si="129"/>
        <v/>
      </c>
      <c r="AW2066" s="2" t="str">
        <f t="shared" si="130"/>
        <v/>
      </c>
      <c r="AX2066" s="2" t="str">
        <f t="shared" si="131"/>
        <v/>
      </c>
      <c r="AY2066" s="2" t="str">
        <f>IF($AV2066="","",IF(AND($Z2066=0,COUNTIF('AR SALES'!$L$2:$L$2501,$L2066)=0),"YES",""))</f>
        <v/>
      </c>
      <c r="AZ2066" s="2" t="str">
        <f>IF($AV2066="","",IF(COUNTIF(LISTS!$C$2:$C$250,$AU2066)=0,"NEW",""))</f>
        <v/>
      </c>
      <c r="BA2066" s="2" t="str">
        <f>IF(""&amp;$F2066&lt;&gt;"4","",IF($AY2066="YES","",IF(ROUND(SUMIFS($AE$2:$AE$4001,$L$2:$L$4001,$L2066,$F$2:$F$4001,"4")-SUMIFS('AR SALES'!$Y$2:$Y$2501,'AR SALES'!$L$2:$L$2501,$L2066,'AR SALES'!$AD$2:$AD$2501,"OFF"),2)=0,"","STALE")))</f>
        <v/>
      </c>
      <c r="BB2066" s="2" t="str">
        <f>IF(OR(""&amp;$F2066="2",""&amp;$F2066="4",""&amp;$F2066="G",""&amp;$F2066="H"),IF($AY2066="YES","",IF($AB2066&lt;&gt;0,"",IF(COUNTIFS('AR SALES'!$L$2:$L$2501,$L2066,'AR SALES'!$AD$2:$AD$2501,IF(""&amp;$F2066="4","OFF","ON"),'AR SALES'!$AF$2:$AF$2501,"Y")&gt;0,"","NO EXEMPTION"))),"")</f>
        <v/>
      </c>
    </row>
    <row r="2067" spans="46:54" x14ac:dyDescent="0.25">
      <c r="AT2067" s="2" t="str">
        <f>IF($L2067="","",IFERROR(INDEX('AR SALES'!$H$2:$H$2501,MATCH(""&amp;$L2067,'AR SALES'!$AE$2:$AE$2501,0)),""))</f>
        <v/>
      </c>
      <c r="AU2067" s="2" t="str">
        <f t="shared" si="128"/>
        <v/>
      </c>
      <c r="AV2067" s="2" t="str">
        <f t="shared" si="129"/>
        <v/>
      </c>
      <c r="AW2067" s="2" t="str">
        <f t="shared" si="130"/>
        <v/>
      </c>
      <c r="AX2067" s="2" t="str">
        <f t="shared" si="131"/>
        <v/>
      </c>
      <c r="AY2067" s="2" t="str">
        <f>IF($AV2067="","",IF(AND($Z2067=0,COUNTIF('AR SALES'!$L$2:$L$2501,$L2067)=0),"YES",""))</f>
        <v/>
      </c>
      <c r="AZ2067" s="2" t="str">
        <f>IF($AV2067="","",IF(COUNTIF(LISTS!$C$2:$C$250,$AU2067)=0,"NEW",""))</f>
        <v/>
      </c>
      <c r="BA2067" s="2" t="str">
        <f>IF(""&amp;$F2067&lt;&gt;"4","",IF($AY2067="YES","",IF(ROUND(SUMIFS($AE$2:$AE$4001,$L$2:$L$4001,$L2067,$F$2:$F$4001,"4")-SUMIFS('AR SALES'!$Y$2:$Y$2501,'AR SALES'!$L$2:$L$2501,$L2067,'AR SALES'!$AD$2:$AD$2501,"OFF"),2)=0,"","STALE")))</f>
        <v/>
      </c>
      <c r="BB2067" s="2" t="str">
        <f>IF(OR(""&amp;$F2067="2",""&amp;$F2067="4",""&amp;$F2067="G",""&amp;$F2067="H"),IF($AY2067="YES","",IF($AB2067&lt;&gt;0,"",IF(COUNTIFS('AR SALES'!$L$2:$L$2501,$L2067,'AR SALES'!$AD$2:$AD$2501,IF(""&amp;$F2067="4","OFF","ON"),'AR SALES'!$AF$2:$AF$2501,"Y")&gt;0,"","NO EXEMPTION"))),"")</f>
        <v/>
      </c>
    </row>
    <row r="2068" spans="46:54" x14ac:dyDescent="0.25">
      <c r="AT2068" s="2" t="str">
        <f>IF($L2068="","",IFERROR(INDEX('AR SALES'!$H$2:$H$2501,MATCH(""&amp;$L2068,'AR SALES'!$AE$2:$AE$2501,0)),""))</f>
        <v/>
      </c>
      <c r="AU2068" s="2" t="str">
        <f t="shared" si="128"/>
        <v/>
      </c>
      <c r="AV2068" s="2" t="str">
        <f t="shared" si="129"/>
        <v/>
      </c>
      <c r="AW2068" s="2" t="str">
        <f t="shared" si="130"/>
        <v/>
      </c>
      <c r="AX2068" s="2" t="str">
        <f t="shared" si="131"/>
        <v/>
      </c>
      <c r="AY2068" s="2" t="str">
        <f>IF($AV2068="","",IF(AND($Z2068=0,COUNTIF('AR SALES'!$L$2:$L$2501,$L2068)=0),"YES",""))</f>
        <v/>
      </c>
      <c r="AZ2068" s="2" t="str">
        <f>IF($AV2068="","",IF(COUNTIF(LISTS!$C$2:$C$250,$AU2068)=0,"NEW",""))</f>
        <v/>
      </c>
      <c r="BA2068" s="2" t="str">
        <f>IF(""&amp;$F2068&lt;&gt;"4","",IF($AY2068="YES","",IF(ROUND(SUMIFS($AE$2:$AE$4001,$L$2:$L$4001,$L2068,$F$2:$F$4001,"4")-SUMIFS('AR SALES'!$Y$2:$Y$2501,'AR SALES'!$L$2:$L$2501,$L2068,'AR SALES'!$AD$2:$AD$2501,"OFF"),2)=0,"","STALE")))</f>
        <v/>
      </c>
      <c r="BB2068" s="2" t="str">
        <f>IF(OR(""&amp;$F2068="2",""&amp;$F2068="4",""&amp;$F2068="G",""&amp;$F2068="H"),IF($AY2068="YES","",IF($AB2068&lt;&gt;0,"",IF(COUNTIFS('AR SALES'!$L$2:$L$2501,$L2068,'AR SALES'!$AD$2:$AD$2501,IF(""&amp;$F2068="4","OFF","ON"),'AR SALES'!$AF$2:$AF$2501,"Y")&gt;0,"","NO EXEMPTION"))),"")</f>
        <v/>
      </c>
    </row>
    <row r="2069" spans="46:54" x14ac:dyDescent="0.25">
      <c r="AT2069" s="2" t="str">
        <f>IF($L2069="","",IFERROR(INDEX('AR SALES'!$H$2:$H$2501,MATCH(""&amp;$L2069,'AR SALES'!$AE$2:$AE$2501,0)),""))</f>
        <v/>
      </c>
      <c r="AU2069" s="2" t="str">
        <f t="shared" si="128"/>
        <v/>
      </c>
      <c r="AV2069" s="2" t="str">
        <f t="shared" si="129"/>
        <v/>
      </c>
      <c r="AW2069" s="2" t="str">
        <f t="shared" si="130"/>
        <v/>
      </c>
      <c r="AX2069" s="2" t="str">
        <f t="shared" si="131"/>
        <v/>
      </c>
      <c r="AY2069" s="2" t="str">
        <f>IF($AV2069="","",IF(AND($Z2069=0,COUNTIF('AR SALES'!$L$2:$L$2501,$L2069)=0),"YES",""))</f>
        <v/>
      </c>
      <c r="AZ2069" s="2" t="str">
        <f>IF($AV2069="","",IF(COUNTIF(LISTS!$C$2:$C$250,$AU2069)=0,"NEW",""))</f>
        <v/>
      </c>
      <c r="BA2069" s="2" t="str">
        <f>IF(""&amp;$F2069&lt;&gt;"4","",IF($AY2069="YES","",IF(ROUND(SUMIFS($AE$2:$AE$4001,$L$2:$L$4001,$L2069,$F$2:$F$4001,"4")-SUMIFS('AR SALES'!$Y$2:$Y$2501,'AR SALES'!$L$2:$L$2501,$L2069,'AR SALES'!$AD$2:$AD$2501,"OFF"),2)=0,"","STALE")))</f>
        <v/>
      </c>
      <c r="BB2069" s="2" t="str">
        <f>IF(OR(""&amp;$F2069="2",""&amp;$F2069="4",""&amp;$F2069="G",""&amp;$F2069="H"),IF($AY2069="YES","",IF($AB2069&lt;&gt;0,"",IF(COUNTIFS('AR SALES'!$L$2:$L$2501,$L2069,'AR SALES'!$AD$2:$AD$2501,IF(""&amp;$F2069="4","OFF","ON"),'AR SALES'!$AF$2:$AF$2501,"Y")&gt;0,"","NO EXEMPTION"))),"")</f>
        <v/>
      </c>
    </row>
    <row r="2070" spans="46:54" x14ac:dyDescent="0.25">
      <c r="AT2070" s="2" t="str">
        <f>IF($L2070="","",IFERROR(INDEX('AR SALES'!$H$2:$H$2501,MATCH(""&amp;$L2070,'AR SALES'!$AE$2:$AE$2501,0)),""))</f>
        <v/>
      </c>
      <c r="AU2070" s="2" t="str">
        <f t="shared" si="128"/>
        <v/>
      </c>
      <c r="AV2070" s="2" t="str">
        <f t="shared" si="129"/>
        <v/>
      </c>
      <c r="AW2070" s="2" t="str">
        <f t="shared" si="130"/>
        <v/>
      </c>
      <c r="AX2070" s="2" t="str">
        <f t="shared" si="131"/>
        <v/>
      </c>
      <c r="AY2070" s="2" t="str">
        <f>IF($AV2070="","",IF(AND($Z2070=0,COUNTIF('AR SALES'!$L$2:$L$2501,$L2070)=0),"YES",""))</f>
        <v/>
      </c>
      <c r="AZ2070" s="2" t="str">
        <f>IF($AV2070="","",IF(COUNTIF(LISTS!$C$2:$C$250,$AU2070)=0,"NEW",""))</f>
        <v/>
      </c>
      <c r="BA2070" s="2" t="str">
        <f>IF(""&amp;$F2070&lt;&gt;"4","",IF($AY2070="YES","",IF(ROUND(SUMIFS($AE$2:$AE$4001,$L$2:$L$4001,$L2070,$F$2:$F$4001,"4")-SUMIFS('AR SALES'!$Y$2:$Y$2501,'AR SALES'!$L$2:$L$2501,$L2070,'AR SALES'!$AD$2:$AD$2501,"OFF"),2)=0,"","STALE")))</f>
        <v/>
      </c>
      <c r="BB2070" s="2" t="str">
        <f>IF(OR(""&amp;$F2070="2",""&amp;$F2070="4",""&amp;$F2070="G",""&amp;$F2070="H"),IF($AY2070="YES","",IF($AB2070&lt;&gt;0,"",IF(COUNTIFS('AR SALES'!$L$2:$L$2501,$L2070,'AR SALES'!$AD$2:$AD$2501,IF(""&amp;$F2070="4","OFF","ON"),'AR SALES'!$AF$2:$AF$2501,"Y")&gt;0,"","NO EXEMPTION"))),"")</f>
        <v/>
      </c>
    </row>
    <row r="2071" spans="46:54" x14ac:dyDescent="0.25">
      <c r="AT2071" s="2" t="str">
        <f>IF($L2071="","",IFERROR(INDEX('AR SALES'!$H$2:$H$2501,MATCH(""&amp;$L2071,'AR SALES'!$AE$2:$AE$2501,0)),""))</f>
        <v/>
      </c>
      <c r="AU2071" s="2" t="str">
        <f t="shared" si="128"/>
        <v/>
      </c>
      <c r="AV2071" s="2" t="str">
        <f t="shared" si="129"/>
        <v/>
      </c>
      <c r="AW2071" s="2" t="str">
        <f t="shared" si="130"/>
        <v/>
      </c>
      <c r="AX2071" s="2" t="str">
        <f t="shared" si="131"/>
        <v/>
      </c>
      <c r="AY2071" s="2" t="str">
        <f>IF($AV2071="","",IF(AND($Z2071=0,COUNTIF('AR SALES'!$L$2:$L$2501,$L2071)=0),"YES",""))</f>
        <v/>
      </c>
      <c r="AZ2071" s="2" t="str">
        <f>IF($AV2071="","",IF(COUNTIF(LISTS!$C$2:$C$250,$AU2071)=0,"NEW",""))</f>
        <v/>
      </c>
      <c r="BA2071" s="2" t="str">
        <f>IF(""&amp;$F2071&lt;&gt;"4","",IF($AY2071="YES","",IF(ROUND(SUMIFS($AE$2:$AE$4001,$L$2:$L$4001,$L2071,$F$2:$F$4001,"4")-SUMIFS('AR SALES'!$Y$2:$Y$2501,'AR SALES'!$L$2:$L$2501,$L2071,'AR SALES'!$AD$2:$AD$2501,"OFF"),2)=0,"","STALE")))</f>
        <v/>
      </c>
      <c r="BB2071" s="2" t="str">
        <f>IF(OR(""&amp;$F2071="2",""&amp;$F2071="4",""&amp;$F2071="G",""&amp;$F2071="H"),IF($AY2071="YES","",IF($AB2071&lt;&gt;0,"",IF(COUNTIFS('AR SALES'!$L$2:$L$2501,$L2071,'AR SALES'!$AD$2:$AD$2501,IF(""&amp;$F2071="4","OFF","ON"),'AR SALES'!$AF$2:$AF$2501,"Y")&gt;0,"","NO EXEMPTION"))),"")</f>
        <v/>
      </c>
    </row>
    <row r="2072" spans="46:54" x14ac:dyDescent="0.25">
      <c r="AT2072" s="2" t="str">
        <f>IF($L2072="","",IFERROR(INDEX('AR SALES'!$H$2:$H$2501,MATCH(""&amp;$L2072,'AR SALES'!$AE$2:$AE$2501,0)),""))</f>
        <v/>
      </c>
      <c r="AU2072" s="2" t="str">
        <f t="shared" si="128"/>
        <v/>
      </c>
      <c r="AV2072" s="2" t="str">
        <f t="shared" si="129"/>
        <v/>
      </c>
      <c r="AW2072" s="2" t="str">
        <f t="shared" si="130"/>
        <v/>
      </c>
      <c r="AX2072" s="2" t="str">
        <f t="shared" si="131"/>
        <v/>
      </c>
      <c r="AY2072" s="2" t="str">
        <f>IF($AV2072="","",IF(AND($Z2072=0,COUNTIF('AR SALES'!$L$2:$L$2501,$L2072)=0),"YES",""))</f>
        <v/>
      </c>
      <c r="AZ2072" s="2" t="str">
        <f>IF($AV2072="","",IF(COUNTIF(LISTS!$C$2:$C$250,$AU2072)=0,"NEW",""))</f>
        <v/>
      </c>
      <c r="BA2072" s="2" t="str">
        <f>IF(""&amp;$F2072&lt;&gt;"4","",IF($AY2072="YES","",IF(ROUND(SUMIFS($AE$2:$AE$4001,$L$2:$L$4001,$L2072,$F$2:$F$4001,"4")-SUMIFS('AR SALES'!$Y$2:$Y$2501,'AR SALES'!$L$2:$L$2501,$L2072,'AR SALES'!$AD$2:$AD$2501,"OFF"),2)=0,"","STALE")))</f>
        <v/>
      </c>
      <c r="BB2072" s="2" t="str">
        <f>IF(OR(""&amp;$F2072="2",""&amp;$F2072="4",""&amp;$F2072="G",""&amp;$F2072="H"),IF($AY2072="YES","",IF($AB2072&lt;&gt;0,"",IF(COUNTIFS('AR SALES'!$L$2:$L$2501,$L2072,'AR SALES'!$AD$2:$AD$2501,IF(""&amp;$F2072="4","OFF","ON"),'AR SALES'!$AF$2:$AF$2501,"Y")&gt;0,"","NO EXEMPTION"))),"")</f>
        <v/>
      </c>
    </row>
    <row r="2073" spans="46:54" x14ac:dyDescent="0.25">
      <c r="AT2073" s="2" t="str">
        <f>IF($L2073="","",IFERROR(INDEX('AR SALES'!$H$2:$H$2501,MATCH(""&amp;$L2073,'AR SALES'!$AE$2:$AE$2501,0)),""))</f>
        <v/>
      </c>
      <c r="AU2073" s="2" t="str">
        <f t="shared" si="128"/>
        <v/>
      </c>
      <c r="AV2073" s="2" t="str">
        <f t="shared" si="129"/>
        <v/>
      </c>
      <c r="AW2073" s="2" t="str">
        <f t="shared" si="130"/>
        <v/>
      </c>
      <c r="AX2073" s="2" t="str">
        <f t="shared" si="131"/>
        <v/>
      </c>
      <c r="AY2073" s="2" t="str">
        <f>IF($AV2073="","",IF(AND($Z2073=0,COUNTIF('AR SALES'!$L$2:$L$2501,$L2073)=0),"YES",""))</f>
        <v/>
      </c>
      <c r="AZ2073" s="2" t="str">
        <f>IF($AV2073="","",IF(COUNTIF(LISTS!$C$2:$C$250,$AU2073)=0,"NEW",""))</f>
        <v/>
      </c>
      <c r="BA2073" s="2" t="str">
        <f>IF(""&amp;$F2073&lt;&gt;"4","",IF($AY2073="YES","",IF(ROUND(SUMIFS($AE$2:$AE$4001,$L$2:$L$4001,$L2073,$F$2:$F$4001,"4")-SUMIFS('AR SALES'!$Y$2:$Y$2501,'AR SALES'!$L$2:$L$2501,$L2073,'AR SALES'!$AD$2:$AD$2501,"OFF"),2)=0,"","STALE")))</f>
        <v/>
      </c>
      <c r="BB2073" s="2" t="str">
        <f>IF(OR(""&amp;$F2073="2",""&amp;$F2073="4",""&amp;$F2073="G",""&amp;$F2073="H"),IF($AY2073="YES","",IF($AB2073&lt;&gt;0,"",IF(COUNTIFS('AR SALES'!$L$2:$L$2501,$L2073,'AR SALES'!$AD$2:$AD$2501,IF(""&amp;$F2073="4","OFF","ON"),'AR SALES'!$AF$2:$AF$2501,"Y")&gt;0,"","NO EXEMPTION"))),"")</f>
        <v/>
      </c>
    </row>
    <row r="2074" spans="46:54" x14ac:dyDescent="0.25">
      <c r="AT2074" s="2" t="str">
        <f>IF($L2074="","",IFERROR(INDEX('AR SALES'!$H$2:$H$2501,MATCH(""&amp;$L2074,'AR SALES'!$AE$2:$AE$2501,0)),""))</f>
        <v/>
      </c>
      <c r="AU2074" s="2" t="str">
        <f t="shared" si="128"/>
        <v/>
      </c>
      <c r="AV2074" s="2" t="str">
        <f t="shared" si="129"/>
        <v/>
      </c>
      <c r="AW2074" s="2" t="str">
        <f t="shared" si="130"/>
        <v/>
      </c>
      <c r="AX2074" s="2" t="str">
        <f t="shared" si="131"/>
        <v/>
      </c>
      <c r="AY2074" s="2" t="str">
        <f>IF($AV2074="","",IF(AND($Z2074=0,COUNTIF('AR SALES'!$L$2:$L$2501,$L2074)=0),"YES",""))</f>
        <v/>
      </c>
      <c r="AZ2074" s="2" t="str">
        <f>IF($AV2074="","",IF(COUNTIF(LISTS!$C$2:$C$250,$AU2074)=0,"NEW",""))</f>
        <v/>
      </c>
      <c r="BA2074" s="2" t="str">
        <f>IF(""&amp;$F2074&lt;&gt;"4","",IF($AY2074="YES","",IF(ROUND(SUMIFS($AE$2:$AE$4001,$L$2:$L$4001,$L2074,$F$2:$F$4001,"4")-SUMIFS('AR SALES'!$Y$2:$Y$2501,'AR SALES'!$L$2:$L$2501,$L2074,'AR SALES'!$AD$2:$AD$2501,"OFF"),2)=0,"","STALE")))</f>
        <v/>
      </c>
      <c r="BB2074" s="2" t="str">
        <f>IF(OR(""&amp;$F2074="2",""&amp;$F2074="4",""&amp;$F2074="G",""&amp;$F2074="H"),IF($AY2074="YES","",IF($AB2074&lt;&gt;0,"",IF(COUNTIFS('AR SALES'!$L$2:$L$2501,$L2074,'AR SALES'!$AD$2:$AD$2501,IF(""&amp;$F2074="4","OFF","ON"),'AR SALES'!$AF$2:$AF$2501,"Y")&gt;0,"","NO EXEMPTION"))),"")</f>
        <v/>
      </c>
    </row>
    <row r="2075" spans="46:54" x14ac:dyDescent="0.25">
      <c r="AT2075" s="2" t="str">
        <f>IF($L2075="","",IFERROR(INDEX('AR SALES'!$H$2:$H$2501,MATCH(""&amp;$L2075,'AR SALES'!$AE$2:$AE$2501,0)),""))</f>
        <v/>
      </c>
      <c r="AU2075" s="2" t="str">
        <f t="shared" si="128"/>
        <v/>
      </c>
      <c r="AV2075" s="2" t="str">
        <f t="shared" si="129"/>
        <v/>
      </c>
      <c r="AW2075" s="2" t="str">
        <f t="shared" si="130"/>
        <v/>
      </c>
      <c r="AX2075" s="2" t="str">
        <f t="shared" si="131"/>
        <v/>
      </c>
      <c r="AY2075" s="2" t="str">
        <f>IF($AV2075="","",IF(AND($Z2075=0,COUNTIF('AR SALES'!$L$2:$L$2501,$L2075)=0),"YES",""))</f>
        <v/>
      </c>
      <c r="AZ2075" s="2" t="str">
        <f>IF($AV2075="","",IF(COUNTIF(LISTS!$C$2:$C$250,$AU2075)=0,"NEW",""))</f>
        <v/>
      </c>
      <c r="BA2075" s="2" t="str">
        <f>IF(""&amp;$F2075&lt;&gt;"4","",IF($AY2075="YES","",IF(ROUND(SUMIFS($AE$2:$AE$4001,$L$2:$L$4001,$L2075,$F$2:$F$4001,"4")-SUMIFS('AR SALES'!$Y$2:$Y$2501,'AR SALES'!$L$2:$L$2501,$L2075,'AR SALES'!$AD$2:$AD$2501,"OFF"),2)=0,"","STALE")))</f>
        <v/>
      </c>
      <c r="BB2075" s="2" t="str">
        <f>IF(OR(""&amp;$F2075="2",""&amp;$F2075="4",""&amp;$F2075="G",""&amp;$F2075="H"),IF($AY2075="YES","",IF($AB2075&lt;&gt;0,"",IF(COUNTIFS('AR SALES'!$L$2:$L$2501,$L2075,'AR SALES'!$AD$2:$AD$2501,IF(""&amp;$F2075="4","OFF","ON"),'AR SALES'!$AF$2:$AF$2501,"Y")&gt;0,"","NO EXEMPTION"))),"")</f>
        <v/>
      </c>
    </row>
    <row r="2076" spans="46:54" x14ac:dyDescent="0.25">
      <c r="AT2076" s="2" t="str">
        <f>IF($L2076="","",IFERROR(INDEX('AR SALES'!$H$2:$H$2501,MATCH(""&amp;$L2076,'AR SALES'!$AE$2:$AE$2501,0)),""))</f>
        <v/>
      </c>
      <c r="AU2076" s="2" t="str">
        <f t="shared" si="128"/>
        <v/>
      </c>
      <c r="AV2076" s="2" t="str">
        <f t="shared" si="129"/>
        <v/>
      </c>
      <c r="AW2076" s="2" t="str">
        <f t="shared" si="130"/>
        <v/>
      </c>
      <c r="AX2076" s="2" t="str">
        <f t="shared" si="131"/>
        <v/>
      </c>
      <c r="AY2076" s="2" t="str">
        <f>IF($AV2076="","",IF(AND($Z2076=0,COUNTIF('AR SALES'!$L$2:$L$2501,$L2076)=0),"YES",""))</f>
        <v/>
      </c>
      <c r="AZ2076" s="2" t="str">
        <f>IF($AV2076="","",IF(COUNTIF(LISTS!$C$2:$C$250,$AU2076)=0,"NEW",""))</f>
        <v/>
      </c>
      <c r="BA2076" s="2" t="str">
        <f>IF(""&amp;$F2076&lt;&gt;"4","",IF($AY2076="YES","",IF(ROUND(SUMIFS($AE$2:$AE$4001,$L$2:$L$4001,$L2076,$F$2:$F$4001,"4")-SUMIFS('AR SALES'!$Y$2:$Y$2501,'AR SALES'!$L$2:$L$2501,$L2076,'AR SALES'!$AD$2:$AD$2501,"OFF"),2)=0,"","STALE")))</f>
        <v/>
      </c>
      <c r="BB2076" s="2" t="str">
        <f>IF(OR(""&amp;$F2076="2",""&amp;$F2076="4",""&amp;$F2076="G",""&amp;$F2076="H"),IF($AY2076="YES","",IF($AB2076&lt;&gt;0,"",IF(COUNTIFS('AR SALES'!$L$2:$L$2501,$L2076,'AR SALES'!$AD$2:$AD$2501,IF(""&amp;$F2076="4","OFF","ON"),'AR SALES'!$AF$2:$AF$2501,"Y")&gt;0,"","NO EXEMPTION"))),"")</f>
        <v/>
      </c>
    </row>
    <row r="2077" spans="46:54" x14ac:dyDescent="0.25">
      <c r="AT2077" s="2" t="str">
        <f>IF($L2077="","",IFERROR(INDEX('AR SALES'!$H$2:$H$2501,MATCH(""&amp;$L2077,'AR SALES'!$AE$2:$AE$2501,0)),""))</f>
        <v/>
      </c>
      <c r="AU2077" s="2" t="str">
        <f t="shared" si="128"/>
        <v/>
      </c>
      <c r="AV2077" s="2" t="str">
        <f t="shared" si="129"/>
        <v/>
      </c>
      <c r="AW2077" s="2" t="str">
        <f t="shared" si="130"/>
        <v/>
      </c>
      <c r="AX2077" s="2" t="str">
        <f t="shared" si="131"/>
        <v/>
      </c>
      <c r="AY2077" s="2" t="str">
        <f>IF($AV2077="","",IF(AND($Z2077=0,COUNTIF('AR SALES'!$L$2:$L$2501,$L2077)=0),"YES",""))</f>
        <v/>
      </c>
      <c r="AZ2077" s="2" t="str">
        <f>IF($AV2077="","",IF(COUNTIF(LISTS!$C$2:$C$250,$AU2077)=0,"NEW",""))</f>
        <v/>
      </c>
      <c r="BA2077" s="2" t="str">
        <f>IF(""&amp;$F2077&lt;&gt;"4","",IF($AY2077="YES","",IF(ROUND(SUMIFS($AE$2:$AE$4001,$L$2:$L$4001,$L2077,$F$2:$F$4001,"4")-SUMIFS('AR SALES'!$Y$2:$Y$2501,'AR SALES'!$L$2:$L$2501,$L2077,'AR SALES'!$AD$2:$AD$2501,"OFF"),2)=0,"","STALE")))</f>
        <v/>
      </c>
      <c r="BB2077" s="2" t="str">
        <f>IF(OR(""&amp;$F2077="2",""&amp;$F2077="4",""&amp;$F2077="G",""&amp;$F2077="H"),IF($AY2077="YES","",IF($AB2077&lt;&gt;0,"",IF(COUNTIFS('AR SALES'!$L$2:$L$2501,$L2077,'AR SALES'!$AD$2:$AD$2501,IF(""&amp;$F2077="4","OFF","ON"),'AR SALES'!$AF$2:$AF$2501,"Y")&gt;0,"","NO EXEMPTION"))),"")</f>
        <v/>
      </c>
    </row>
    <row r="2078" spans="46:54" x14ac:dyDescent="0.25">
      <c r="AT2078" s="2" t="str">
        <f>IF($L2078="","",IFERROR(INDEX('AR SALES'!$H$2:$H$2501,MATCH(""&amp;$L2078,'AR SALES'!$AE$2:$AE$2501,0)),""))</f>
        <v/>
      </c>
      <c r="AU2078" s="2" t="str">
        <f t="shared" si="128"/>
        <v/>
      </c>
      <c r="AV2078" s="2" t="str">
        <f t="shared" si="129"/>
        <v/>
      </c>
      <c r="AW2078" s="2" t="str">
        <f t="shared" si="130"/>
        <v/>
      </c>
      <c r="AX2078" s="2" t="str">
        <f t="shared" si="131"/>
        <v/>
      </c>
      <c r="AY2078" s="2" t="str">
        <f>IF($AV2078="","",IF(AND($Z2078=0,COUNTIF('AR SALES'!$L$2:$L$2501,$L2078)=0),"YES",""))</f>
        <v/>
      </c>
      <c r="AZ2078" s="2" t="str">
        <f>IF($AV2078="","",IF(COUNTIF(LISTS!$C$2:$C$250,$AU2078)=0,"NEW",""))</f>
        <v/>
      </c>
      <c r="BA2078" s="2" t="str">
        <f>IF(""&amp;$F2078&lt;&gt;"4","",IF($AY2078="YES","",IF(ROUND(SUMIFS($AE$2:$AE$4001,$L$2:$L$4001,$L2078,$F$2:$F$4001,"4")-SUMIFS('AR SALES'!$Y$2:$Y$2501,'AR SALES'!$L$2:$L$2501,$L2078,'AR SALES'!$AD$2:$AD$2501,"OFF"),2)=0,"","STALE")))</f>
        <v/>
      </c>
      <c r="BB2078" s="2" t="str">
        <f>IF(OR(""&amp;$F2078="2",""&amp;$F2078="4",""&amp;$F2078="G",""&amp;$F2078="H"),IF($AY2078="YES","",IF($AB2078&lt;&gt;0,"",IF(COUNTIFS('AR SALES'!$L$2:$L$2501,$L2078,'AR SALES'!$AD$2:$AD$2501,IF(""&amp;$F2078="4","OFF","ON"),'AR SALES'!$AF$2:$AF$2501,"Y")&gt;0,"","NO EXEMPTION"))),"")</f>
        <v/>
      </c>
    </row>
    <row r="2079" spans="46:54" x14ac:dyDescent="0.25">
      <c r="AT2079" s="2" t="str">
        <f>IF($L2079="","",IFERROR(INDEX('AR SALES'!$H$2:$H$2501,MATCH(""&amp;$L2079,'AR SALES'!$AE$2:$AE$2501,0)),""))</f>
        <v/>
      </c>
      <c r="AU2079" s="2" t="str">
        <f t="shared" si="128"/>
        <v/>
      </c>
      <c r="AV2079" s="2" t="str">
        <f t="shared" si="129"/>
        <v/>
      </c>
      <c r="AW2079" s="2" t="str">
        <f t="shared" si="130"/>
        <v/>
      </c>
      <c r="AX2079" s="2" t="str">
        <f t="shared" si="131"/>
        <v/>
      </c>
      <c r="AY2079" s="2" t="str">
        <f>IF($AV2079="","",IF(AND($Z2079=0,COUNTIF('AR SALES'!$L$2:$L$2501,$L2079)=0),"YES",""))</f>
        <v/>
      </c>
      <c r="AZ2079" s="2" t="str">
        <f>IF($AV2079="","",IF(COUNTIF(LISTS!$C$2:$C$250,$AU2079)=0,"NEW",""))</f>
        <v/>
      </c>
      <c r="BA2079" s="2" t="str">
        <f>IF(""&amp;$F2079&lt;&gt;"4","",IF($AY2079="YES","",IF(ROUND(SUMIFS($AE$2:$AE$4001,$L$2:$L$4001,$L2079,$F$2:$F$4001,"4")-SUMIFS('AR SALES'!$Y$2:$Y$2501,'AR SALES'!$L$2:$L$2501,$L2079,'AR SALES'!$AD$2:$AD$2501,"OFF"),2)=0,"","STALE")))</f>
        <v/>
      </c>
      <c r="BB2079" s="2" t="str">
        <f>IF(OR(""&amp;$F2079="2",""&amp;$F2079="4",""&amp;$F2079="G",""&amp;$F2079="H"),IF($AY2079="YES","",IF($AB2079&lt;&gt;0,"",IF(COUNTIFS('AR SALES'!$L$2:$L$2501,$L2079,'AR SALES'!$AD$2:$AD$2501,IF(""&amp;$F2079="4","OFF","ON"),'AR SALES'!$AF$2:$AF$2501,"Y")&gt;0,"","NO EXEMPTION"))),"")</f>
        <v/>
      </c>
    </row>
    <row r="2080" spans="46:54" x14ac:dyDescent="0.25">
      <c r="AT2080" s="2" t="str">
        <f>IF($L2080="","",IFERROR(INDEX('AR SALES'!$H$2:$H$2501,MATCH(""&amp;$L2080,'AR SALES'!$AE$2:$AE$2501,0)),""))</f>
        <v/>
      </c>
      <c r="AU2080" s="2" t="str">
        <f t="shared" si="128"/>
        <v/>
      </c>
      <c r="AV2080" s="2" t="str">
        <f t="shared" si="129"/>
        <v/>
      </c>
      <c r="AW2080" s="2" t="str">
        <f t="shared" si="130"/>
        <v/>
      </c>
      <c r="AX2080" s="2" t="str">
        <f t="shared" si="131"/>
        <v/>
      </c>
      <c r="AY2080" s="2" t="str">
        <f>IF($AV2080="","",IF(AND($Z2080=0,COUNTIF('AR SALES'!$L$2:$L$2501,$L2080)=0),"YES",""))</f>
        <v/>
      </c>
      <c r="AZ2080" s="2" t="str">
        <f>IF($AV2080="","",IF(COUNTIF(LISTS!$C$2:$C$250,$AU2080)=0,"NEW",""))</f>
        <v/>
      </c>
      <c r="BA2080" s="2" t="str">
        <f>IF(""&amp;$F2080&lt;&gt;"4","",IF($AY2080="YES","",IF(ROUND(SUMIFS($AE$2:$AE$4001,$L$2:$L$4001,$L2080,$F$2:$F$4001,"4")-SUMIFS('AR SALES'!$Y$2:$Y$2501,'AR SALES'!$L$2:$L$2501,$L2080,'AR SALES'!$AD$2:$AD$2501,"OFF"),2)=0,"","STALE")))</f>
        <v/>
      </c>
      <c r="BB2080" s="2" t="str">
        <f>IF(OR(""&amp;$F2080="2",""&amp;$F2080="4",""&amp;$F2080="G",""&amp;$F2080="H"),IF($AY2080="YES","",IF($AB2080&lt;&gt;0,"",IF(COUNTIFS('AR SALES'!$L$2:$L$2501,$L2080,'AR SALES'!$AD$2:$AD$2501,IF(""&amp;$F2080="4","OFF","ON"),'AR SALES'!$AF$2:$AF$2501,"Y")&gt;0,"","NO EXEMPTION"))),"")</f>
        <v/>
      </c>
    </row>
    <row r="2081" spans="46:54" x14ac:dyDescent="0.25">
      <c r="AT2081" s="2" t="str">
        <f>IF($L2081="","",IFERROR(INDEX('AR SALES'!$H$2:$H$2501,MATCH(""&amp;$L2081,'AR SALES'!$AE$2:$AE$2501,0)),""))</f>
        <v/>
      </c>
      <c r="AU2081" s="2" t="str">
        <f t="shared" si="128"/>
        <v/>
      </c>
      <c r="AV2081" s="2" t="str">
        <f t="shared" si="129"/>
        <v/>
      </c>
      <c r="AW2081" s="2" t="str">
        <f t="shared" si="130"/>
        <v/>
      </c>
      <c r="AX2081" s="2" t="str">
        <f t="shared" si="131"/>
        <v/>
      </c>
      <c r="AY2081" s="2" t="str">
        <f>IF($AV2081="","",IF(AND($Z2081=0,COUNTIF('AR SALES'!$L$2:$L$2501,$L2081)=0),"YES",""))</f>
        <v/>
      </c>
      <c r="AZ2081" s="2" t="str">
        <f>IF($AV2081="","",IF(COUNTIF(LISTS!$C$2:$C$250,$AU2081)=0,"NEW",""))</f>
        <v/>
      </c>
      <c r="BA2081" s="2" t="str">
        <f>IF(""&amp;$F2081&lt;&gt;"4","",IF($AY2081="YES","",IF(ROUND(SUMIFS($AE$2:$AE$4001,$L$2:$L$4001,$L2081,$F$2:$F$4001,"4")-SUMIFS('AR SALES'!$Y$2:$Y$2501,'AR SALES'!$L$2:$L$2501,$L2081,'AR SALES'!$AD$2:$AD$2501,"OFF"),2)=0,"","STALE")))</f>
        <v/>
      </c>
      <c r="BB2081" s="2" t="str">
        <f>IF(OR(""&amp;$F2081="2",""&amp;$F2081="4",""&amp;$F2081="G",""&amp;$F2081="H"),IF($AY2081="YES","",IF($AB2081&lt;&gt;0,"",IF(COUNTIFS('AR SALES'!$L$2:$L$2501,$L2081,'AR SALES'!$AD$2:$AD$2501,IF(""&amp;$F2081="4","OFF","ON"),'AR SALES'!$AF$2:$AF$2501,"Y")&gt;0,"","NO EXEMPTION"))),"")</f>
        <v/>
      </c>
    </row>
    <row r="2082" spans="46:54" x14ac:dyDescent="0.25">
      <c r="AT2082" s="2" t="str">
        <f>IF($L2082="","",IFERROR(INDEX('AR SALES'!$H$2:$H$2501,MATCH(""&amp;$L2082,'AR SALES'!$AE$2:$AE$2501,0)),""))</f>
        <v/>
      </c>
      <c r="AU2082" s="2" t="str">
        <f t="shared" si="128"/>
        <v/>
      </c>
      <c r="AV2082" s="2" t="str">
        <f t="shared" si="129"/>
        <v/>
      </c>
      <c r="AW2082" s="2" t="str">
        <f t="shared" si="130"/>
        <v/>
      </c>
      <c r="AX2082" s="2" t="str">
        <f t="shared" si="131"/>
        <v/>
      </c>
      <c r="AY2082" s="2" t="str">
        <f>IF($AV2082="","",IF(AND($Z2082=0,COUNTIF('AR SALES'!$L$2:$L$2501,$L2082)=0),"YES",""))</f>
        <v/>
      </c>
      <c r="AZ2082" s="2" t="str">
        <f>IF($AV2082="","",IF(COUNTIF(LISTS!$C$2:$C$250,$AU2082)=0,"NEW",""))</f>
        <v/>
      </c>
      <c r="BA2082" s="2" t="str">
        <f>IF(""&amp;$F2082&lt;&gt;"4","",IF($AY2082="YES","",IF(ROUND(SUMIFS($AE$2:$AE$4001,$L$2:$L$4001,$L2082,$F$2:$F$4001,"4")-SUMIFS('AR SALES'!$Y$2:$Y$2501,'AR SALES'!$L$2:$L$2501,$L2082,'AR SALES'!$AD$2:$AD$2501,"OFF"),2)=0,"","STALE")))</f>
        <v/>
      </c>
      <c r="BB2082" s="2" t="str">
        <f>IF(OR(""&amp;$F2082="2",""&amp;$F2082="4",""&amp;$F2082="G",""&amp;$F2082="H"),IF($AY2082="YES","",IF($AB2082&lt;&gt;0,"",IF(COUNTIFS('AR SALES'!$L$2:$L$2501,$L2082,'AR SALES'!$AD$2:$AD$2501,IF(""&amp;$F2082="4","OFF","ON"),'AR SALES'!$AF$2:$AF$2501,"Y")&gt;0,"","NO EXEMPTION"))),"")</f>
        <v/>
      </c>
    </row>
    <row r="2083" spans="46:54" x14ac:dyDescent="0.25">
      <c r="AT2083" s="2" t="str">
        <f>IF($L2083="","",IFERROR(INDEX('AR SALES'!$H$2:$H$2501,MATCH(""&amp;$L2083,'AR SALES'!$AE$2:$AE$2501,0)),""))</f>
        <v/>
      </c>
      <c r="AU2083" s="2" t="str">
        <f t="shared" si="128"/>
        <v/>
      </c>
      <c r="AV2083" s="2" t="str">
        <f t="shared" si="129"/>
        <v/>
      </c>
      <c r="AW2083" s="2" t="str">
        <f t="shared" si="130"/>
        <v/>
      </c>
      <c r="AX2083" s="2" t="str">
        <f t="shared" si="131"/>
        <v/>
      </c>
      <c r="AY2083" s="2" t="str">
        <f>IF($AV2083="","",IF(AND($Z2083=0,COUNTIF('AR SALES'!$L$2:$L$2501,$L2083)=0),"YES",""))</f>
        <v/>
      </c>
      <c r="AZ2083" s="2" t="str">
        <f>IF($AV2083="","",IF(COUNTIF(LISTS!$C$2:$C$250,$AU2083)=0,"NEW",""))</f>
        <v/>
      </c>
      <c r="BA2083" s="2" t="str">
        <f>IF(""&amp;$F2083&lt;&gt;"4","",IF($AY2083="YES","",IF(ROUND(SUMIFS($AE$2:$AE$4001,$L$2:$L$4001,$L2083,$F$2:$F$4001,"4")-SUMIFS('AR SALES'!$Y$2:$Y$2501,'AR SALES'!$L$2:$L$2501,$L2083,'AR SALES'!$AD$2:$AD$2501,"OFF"),2)=0,"","STALE")))</f>
        <v/>
      </c>
      <c r="BB2083" s="2" t="str">
        <f>IF(OR(""&amp;$F2083="2",""&amp;$F2083="4",""&amp;$F2083="G",""&amp;$F2083="H"),IF($AY2083="YES","",IF($AB2083&lt;&gt;0,"",IF(COUNTIFS('AR SALES'!$L$2:$L$2501,$L2083,'AR SALES'!$AD$2:$AD$2501,IF(""&amp;$F2083="4","OFF","ON"),'AR SALES'!$AF$2:$AF$2501,"Y")&gt;0,"","NO EXEMPTION"))),"")</f>
        <v/>
      </c>
    </row>
    <row r="2084" spans="46:54" x14ac:dyDescent="0.25">
      <c r="AT2084" s="2" t="str">
        <f>IF($L2084="","",IFERROR(INDEX('AR SALES'!$H$2:$H$2501,MATCH(""&amp;$L2084,'AR SALES'!$AE$2:$AE$2501,0)),""))</f>
        <v/>
      </c>
      <c r="AU2084" s="2" t="str">
        <f t="shared" si="128"/>
        <v/>
      </c>
      <c r="AV2084" s="2" t="str">
        <f t="shared" si="129"/>
        <v/>
      </c>
      <c r="AW2084" s="2" t="str">
        <f t="shared" si="130"/>
        <v/>
      </c>
      <c r="AX2084" s="2" t="str">
        <f t="shared" si="131"/>
        <v/>
      </c>
      <c r="AY2084" s="2" t="str">
        <f>IF($AV2084="","",IF(AND($Z2084=0,COUNTIF('AR SALES'!$L$2:$L$2501,$L2084)=0),"YES",""))</f>
        <v/>
      </c>
      <c r="AZ2084" s="2" t="str">
        <f>IF($AV2084="","",IF(COUNTIF(LISTS!$C$2:$C$250,$AU2084)=0,"NEW",""))</f>
        <v/>
      </c>
      <c r="BA2084" s="2" t="str">
        <f>IF(""&amp;$F2084&lt;&gt;"4","",IF($AY2084="YES","",IF(ROUND(SUMIFS($AE$2:$AE$4001,$L$2:$L$4001,$L2084,$F$2:$F$4001,"4")-SUMIFS('AR SALES'!$Y$2:$Y$2501,'AR SALES'!$L$2:$L$2501,$L2084,'AR SALES'!$AD$2:$AD$2501,"OFF"),2)=0,"","STALE")))</f>
        <v/>
      </c>
      <c r="BB2084" s="2" t="str">
        <f>IF(OR(""&amp;$F2084="2",""&amp;$F2084="4",""&amp;$F2084="G",""&amp;$F2084="H"),IF($AY2084="YES","",IF($AB2084&lt;&gt;0,"",IF(COUNTIFS('AR SALES'!$L$2:$L$2501,$L2084,'AR SALES'!$AD$2:$AD$2501,IF(""&amp;$F2084="4","OFF","ON"),'AR SALES'!$AF$2:$AF$2501,"Y")&gt;0,"","NO EXEMPTION"))),"")</f>
        <v/>
      </c>
    </row>
    <row r="2085" spans="46:54" x14ac:dyDescent="0.25">
      <c r="AT2085" s="2" t="str">
        <f>IF($L2085="","",IFERROR(INDEX('AR SALES'!$H$2:$H$2501,MATCH(""&amp;$L2085,'AR SALES'!$AE$2:$AE$2501,0)),""))</f>
        <v/>
      </c>
      <c r="AU2085" s="2" t="str">
        <f t="shared" si="128"/>
        <v/>
      </c>
      <c r="AV2085" s="2" t="str">
        <f t="shared" si="129"/>
        <v/>
      </c>
      <c r="AW2085" s="2" t="str">
        <f t="shared" si="130"/>
        <v/>
      </c>
      <c r="AX2085" s="2" t="str">
        <f t="shared" si="131"/>
        <v/>
      </c>
      <c r="AY2085" s="2" t="str">
        <f>IF($AV2085="","",IF(AND($Z2085=0,COUNTIF('AR SALES'!$L$2:$L$2501,$L2085)=0),"YES",""))</f>
        <v/>
      </c>
      <c r="AZ2085" s="2" t="str">
        <f>IF($AV2085="","",IF(COUNTIF(LISTS!$C$2:$C$250,$AU2085)=0,"NEW",""))</f>
        <v/>
      </c>
      <c r="BA2085" s="2" t="str">
        <f>IF(""&amp;$F2085&lt;&gt;"4","",IF($AY2085="YES","",IF(ROUND(SUMIFS($AE$2:$AE$4001,$L$2:$L$4001,$L2085,$F$2:$F$4001,"4")-SUMIFS('AR SALES'!$Y$2:$Y$2501,'AR SALES'!$L$2:$L$2501,$L2085,'AR SALES'!$AD$2:$AD$2501,"OFF"),2)=0,"","STALE")))</f>
        <v/>
      </c>
      <c r="BB2085" s="2" t="str">
        <f>IF(OR(""&amp;$F2085="2",""&amp;$F2085="4",""&amp;$F2085="G",""&amp;$F2085="H"),IF($AY2085="YES","",IF($AB2085&lt;&gt;0,"",IF(COUNTIFS('AR SALES'!$L$2:$L$2501,$L2085,'AR SALES'!$AD$2:$AD$2501,IF(""&amp;$F2085="4","OFF","ON"),'AR SALES'!$AF$2:$AF$2501,"Y")&gt;0,"","NO EXEMPTION"))),"")</f>
        <v/>
      </c>
    </row>
    <row r="2086" spans="46:54" x14ac:dyDescent="0.25">
      <c r="AT2086" s="2" t="str">
        <f>IF($L2086="","",IFERROR(INDEX('AR SALES'!$H$2:$H$2501,MATCH(""&amp;$L2086,'AR SALES'!$AE$2:$AE$2501,0)),""))</f>
        <v/>
      </c>
      <c r="AU2086" s="2" t="str">
        <f t="shared" si="128"/>
        <v/>
      </c>
      <c r="AV2086" s="2" t="str">
        <f t="shared" si="129"/>
        <v/>
      </c>
      <c r="AW2086" s="2" t="str">
        <f t="shared" si="130"/>
        <v/>
      </c>
      <c r="AX2086" s="2" t="str">
        <f t="shared" si="131"/>
        <v/>
      </c>
      <c r="AY2086" s="2" t="str">
        <f>IF($AV2086="","",IF(AND($Z2086=0,COUNTIF('AR SALES'!$L$2:$L$2501,$L2086)=0),"YES",""))</f>
        <v/>
      </c>
      <c r="AZ2086" s="2" t="str">
        <f>IF($AV2086="","",IF(COUNTIF(LISTS!$C$2:$C$250,$AU2086)=0,"NEW",""))</f>
        <v/>
      </c>
      <c r="BA2086" s="2" t="str">
        <f>IF(""&amp;$F2086&lt;&gt;"4","",IF($AY2086="YES","",IF(ROUND(SUMIFS($AE$2:$AE$4001,$L$2:$L$4001,$L2086,$F$2:$F$4001,"4")-SUMIFS('AR SALES'!$Y$2:$Y$2501,'AR SALES'!$L$2:$L$2501,$L2086,'AR SALES'!$AD$2:$AD$2501,"OFF"),2)=0,"","STALE")))</f>
        <v/>
      </c>
      <c r="BB2086" s="2" t="str">
        <f>IF(OR(""&amp;$F2086="2",""&amp;$F2086="4",""&amp;$F2086="G",""&amp;$F2086="H"),IF($AY2086="YES","",IF($AB2086&lt;&gt;0,"",IF(COUNTIFS('AR SALES'!$L$2:$L$2501,$L2086,'AR SALES'!$AD$2:$AD$2501,IF(""&amp;$F2086="4","OFF","ON"),'AR SALES'!$AF$2:$AF$2501,"Y")&gt;0,"","NO EXEMPTION"))),"")</f>
        <v/>
      </c>
    </row>
    <row r="2087" spans="46:54" x14ac:dyDescent="0.25">
      <c r="AT2087" s="2" t="str">
        <f>IF($L2087="","",IFERROR(INDEX('AR SALES'!$H$2:$H$2501,MATCH(""&amp;$L2087,'AR SALES'!$AE$2:$AE$2501,0)),""))</f>
        <v/>
      </c>
      <c r="AU2087" s="2" t="str">
        <f t="shared" si="128"/>
        <v/>
      </c>
      <c r="AV2087" s="2" t="str">
        <f t="shared" si="129"/>
        <v/>
      </c>
      <c r="AW2087" s="2" t="str">
        <f t="shared" si="130"/>
        <v/>
      </c>
      <c r="AX2087" s="2" t="str">
        <f t="shared" si="131"/>
        <v/>
      </c>
      <c r="AY2087" s="2" t="str">
        <f>IF($AV2087="","",IF(AND($Z2087=0,COUNTIF('AR SALES'!$L$2:$L$2501,$L2087)=0),"YES",""))</f>
        <v/>
      </c>
      <c r="AZ2087" s="2" t="str">
        <f>IF($AV2087="","",IF(COUNTIF(LISTS!$C$2:$C$250,$AU2087)=0,"NEW",""))</f>
        <v/>
      </c>
      <c r="BA2087" s="2" t="str">
        <f>IF(""&amp;$F2087&lt;&gt;"4","",IF($AY2087="YES","",IF(ROUND(SUMIFS($AE$2:$AE$4001,$L$2:$L$4001,$L2087,$F$2:$F$4001,"4")-SUMIFS('AR SALES'!$Y$2:$Y$2501,'AR SALES'!$L$2:$L$2501,$L2087,'AR SALES'!$AD$2:$AD$2501,"OFF"),2)=0,"","STALE")))</f>
        <v/>
      </c>
      <c r="BB2087" s="2" t="str">
        <f>IF(OR(""&amp;$F2087="2",""&amp;$F2087="4",""&amp;$F2087="G",""&amp;$F2087="H"),IF($AY2087="YES","",IF($AB2087&lt;&gt;0,"",IF(COUNTIFS('AR SALES'!$L$2:$L$2501,$L2087,'AR SALES'!$AD$2:$AD$2501,IF(""&amp;$F2087="4","OFF","ON"),'AR SALES'!$AF$2:$AF$2501,"Y")&gt;0,"","NO EXEMPTION"))),"")</f>
        <v/>
      </c>
    </row>
    <row r="2088" spans="46:54" x14ac:dyDescent="0.25">
      <c r="AT2088" s="2" t="str">
        <f>IF($L2088="","",IFERROR(INDEX('AR SALES'!$H$2:$H$2501,MATCH(""&amp;$L2088,'AR SALES'!$AE$2:$AE$2501,0)),""))</f>
        <v/>
      </c>
      <c r="AU2088" s="2" t="str">
        <f t="shared" si="128"/>
        <v/>
      </c>
      <c r="AV2088" s="2" t="str">
        <f t="shared" si="129"/>
        <v/>
      </c>
      <c r="AW2088" s="2" t="str">
        <f t="shared" si="130"/>
        <v/>
      </c>
      <c r="AX2088" s="2" t="str">
        <f t="shared" si="131"/>
        <v/>
      </c>
      <c r="AY2088" s="2" t="str">
        <f>IF($AV2088="","",IF(AND($Z2088=0,COUNTIF('AR SALES'!$L$2:$L$2501,$L2088)=0),"YES",""))</f>
        <v/>
      </c>
      <c r="AZ2088" s="2" t="str">
        <f>IF($AV2088="","",IF(COUNTIF(LISTS!$C$2:$C$250,$AU2088)=0,"NEW",""))</f>
        <v/>
      </c>
      <c r="BA2088" s="2" t="str">
        <f>IF(""&amp;$F2088&lt;&gt;"4","",IF($AY2088="YES","",IF(ROUND(SUMIFS($AE$2:$AE$4001,$L$2:$L$4001,$L2088,$F$2:$F$4001,"4")-SUMIFS('AR SALES'!$Y$2:$Y$2501,'AR SALES'!$L$2:$L$2501,$L2088,'AR SALES'!$AD$2:$AD$2501,"OFF"),2)=0,"","STALE")))</f>
        <v/>
      </c>
      <c r="BB2088" s="2" t="str">
        <f>IF(OR(""&amp;$F2088="2",""&amp;$F2088="4",""&amp;$F2088="G",""&amp;$F2088="H"),IF($AY2088="YES","",IF($AB2088&lt;&gt;0,"",IF(COUNTIFS('AR SALES'!$L$2:$L$2501,$L2088,'AR SALES'!$AD$2:$AD$2501,IF(""&amp;$F2088="4","OFF","ON"),'AR SALES'!$AF$2:$AF$2501,"Y")&gt;0,"","NO EXEMPTION"))),"")</f>
        <v/>
      </c>
    </row>
    <row r="2089" spans="46:54" x14ac:dyDescent="0.25">
      <c r="AT2089" s="2" t="str">
        <f>IF($L2089="","",IFERROR(INDEX('AR SALES'!$H$2:$H$2501,MATCH(""&amp;$L2089,'AR SALES'!$AE$2:$AE$2501,0)),""))</f>
        <v/>
      </c>
      <c r="AU2089" s="2" t="str">
        <f t="shared" si="128"/>
        <v/>
      </c>
      <c r="AV2089" s="2" t="str">
        <f t="shared" si="129"/>
        <v/>
      </c>
      <c r="AW2089" s="2" t="str">
        <f t="shared" si="130"/>
        <v/>
      </c>
      <c r="AX2089" s="2" t="str">
        <f t="shared" si="131"/>
        <v/>
      </c>
      <c r="AY2089" s="2" t="str">
        <f>IF($AV2089="","",IF(AND($Z2089=0,COUNTIF('AR SALES'!$L$2:$L$2501,$L2089)=0),"YES",""))</f>
        <v/>
      </c>
      <c r="AZ2089" s="2" t="str">
        <f>IF($AV2089="","",IF(COUNTIF(LISTS!$C$2:$C$250,$AU2089)=0,"NEW",""))</f>
        <v/>
      </c>
      <c r="BA2089" s="2" t="str">
        <f>IF(""&amp;$F2089&lt;&gt;"4","",IF($AY2089="YES","",IF(ROUND(SUMIFS($AE$2:$AE$4001,$L$2:$L$4001,$L2089,$F$2:$F$4001,"4")-SUMIFS('AR SALES'!$Y$2:$Y$2501,'AR SALES'!$L$2:$L$2501,$L2089,'AR SALES'!$AD$2:$AD$2501,"OFF"),2)=0,"","STALE")))</f>
        <v/>
      </c>
      <c r="BB2089" s="2" t="str">
        <f>IF(OR(""&amp;$F2089="2",""&amp;$F2089="4",""&amp;$F2089="G",""&amp;$F2089="H"),IF($AY2089="YES","",IF($AB2089&lt;&gt;0,"",IF(COUNTIFS('AR SALES'!$L$2:$L$2501,$L2089,'AR SALES'!$AD$2:$AD$2501,IF(""&amp;$F2089="4","OFF","ON"),'AR SALES'!$AF$2:$AF$2501,"Y")&gt;0,"","NO EXEMPTION"))),"")</f>
        <v/>
      </c>
    </row>
    <row r="2090" spans="46:54" x14ac:dyDescent="0.25">
      <c r="AT2090" s="2" t="str">
        <f>IF($L2090="","",IFERROR(INDEX('AR SALES'!$H$2:$H$2501,MATCH(""&amp;$L2090,'AR SALES'!$AE$2:$AE$2501,0)),""))</f>
        <v/>
      </c>
      <c r="AU2090" s="2" t="str">
        <f t="shared" si="128"/>
        <v/>
      </c>
      <c r="AV2090" s="2" t="str">
        <f t="shared" si="129"/>
        <v/>
      </c>
      <c r="AW2090" s="2" t="str">
        <f t="shared" si="130"/>
        <v/>
      </c>
      <c r="AX2090" s="2" t="str">
        <f t="shared" si="131"/>
        <v/>
      </c>
      <c r="AY2090" s="2" t="str">
        <f>IF($AV2090="","",IF(AND($Z2090=0,COUNTIF('AR SALES'!$L$2:$L$2501,$L2090)=0),"YES",""))</f>
        <v/>
      </c>
      <c r="AZ2090" s="2" t="str">
        <f>IF($AV2090="","",IF(COUNTIF(LISTS!$C$2:$C$250,$AU2090)=0,"NEW",""))</f>
        <v/>
      </c>
      <c r="BA2090" s="2" t="str">
        <f>IF(""&amp;$F2090&lt;&gt;"4","",IF($AY2090="YES","",IF(ROUND(SUMIFS($AE$2:$AE$4001,$L$2:$L$4001,$L2090,$F$2:$F$4001,"4")-SUMIFS('AR SALES'!$Y$2:$Y$2501,'AR SALES'!$L$2:$L$2501,$L2090,'AR SALES'!$AD$2:$AD$2501,"OFF"),2)=0,"","STALE")))</f>
        <v/>
      </c>
      <c r="BB2090" s="2" t="str">
        <f>IF(OR(""&amp;$F2090="2",""&amp;$F2090="4",""&amp;$F2090="G",""&amp;$F2090="H"),IF($AY2090="YES","",IF($AB2090&lt;&gt;0,"",IF(COUNTIFS('AR SALES'!$L$2:$L$2501,$L2090,'AR SALES'!$AD$2:$AD$2501,IF(""&amp;$F2090="4","OFF","ON"),'AR SALES'!$AF$2:$AF$2501,"Y")&gt;0,"","NO EXEMPTION"))),"")</f>
        <v/>
      </c>
    </row>
    <row r="2091" spans="46:54" x14ac:dyDescent="0.25">
      <c r="AT2091" s="2" t="str">
        <f>IF($L2091="","",IFERROR(INDEX('AR SALES'!$H$2:$H$2501,MATCH(""&amp;$L2091,'AR SALES'!$AE$2:$AE$2501,0)),""))</f>
        <v/>
      </c>
      <c r="AU2091" s="2" t="str">
        <f t="shared" si="128"/>
        <v/>
      </c>
      <c r="AV2091" s="2" t="str">
        <f t="shared" si="129"/>
        <v/>
      </c>
      <c r="AW2091" s="2" t="str">
        <f t="shared" si="130"/>
        <v/>
      </c>
      <c r="AX2091" s="2" t="str">
        <f t="shared" si="131"/>
        <v/>
      </c>
      <c r="AY2091" s="2" t="str">
        <f>IF($AV2091="","",IF(AND($Z2091=0,COUNTIF('AR SALES'!$L$2:$L$2501,$L2091)=0),"YES",""))</f>
        <v/>
      </c>
      <c r="AZ2091" s="2" t="str">
        <f>IF($AV2091="","",IF(COUNTIF(LISTS!$C$2:$C$250,$AU2091)=0,"NEW",""))</f>
        <v/>
      </c>
      <c r="BA2091" s="2" t="str">
        <f>IF(""&amp;$F2091&lt;&gt;"4","",IF($AY2091="YES","",IF(ROUND(SUMIFS($AE$2:$AE$4001,$L$2:$L$4001,$L2091,$F$2:$F$4001,"4")-SUMIFS('AR SALES'!$Y$2:$Y$2501,'AR SALES'!$L$2:$L$2501,$L2091,'AR SALES'!$AD$2:$AD$2501,"OFF"),2)=0,"","STALE")))</f>
        <v/>
      </c>
      <c r="BB2091" s="2" t="str">
        <f>IF(OR(""&amp;$F2091="2",""&amp;$F2091="4",""&amp;$F2091="G",""&amp;$F2091="H"),IF($AY2091="YES","",IF($AB2091&lt;&gt;0,"",IF(COUNTIFS('AR SALES'!$L$2:$L$2501,$L2091,'AR SALES'!$AD$2:$AD$2501,IF(""&amp;$F2091="4","OFF","ON"),'AR SALES'!$AF$2:$AF$2501,"Y")&gt;0,"","NO EXEMPTION"))),"")</f>
        <v/>
      </c>
    </row>
    <row r="2092" spans="46:54" x14ac:dyDescent="0.25">
      <c r="AT2092" s="2" t="str">
        <f>IF($L2092="","",IFERROR(INDEX('AR SALES'!$H$2:$H$2501,MATCH(""&amp;$L2092,'AR SALES'!$AE$2:$AE$2501,0)),""))</f>
        <v/>
      </c>
      <c r="AU2092" s="2" t="str">
        <f t="shared" si="128"/>
        <v/>
      </c>
      <c r="AV2092" s="2" t="str">
        <f t="shared" si="129"/>
        <v/>
      </c>
      <c r="AW2092" s="2" t="str">
        <f t="shared" si="130"/>
        <v/>
      </c>
      <c r="AX2092" s="2" t="str">
        <f t="shared" si="131"/>
        <v/>
      </c>
      <c r="AY2092" s="2" t="str">
        <f>IF($AV2092="","",IF(AND($Z2092=0,COUNTIF('AR SALES'!$L$2:$L$2501,$L2092)=0),"YES",""))</f>
        <v/>
      </c>
      <c r="AZ2092" s="2" t="str">
        <f>IF($AV2092="","",IF(COUNTIF(LISTS!$C$2:$C$250,$AU2092)=0,"NEW",""))</f>
        <v/>
      </c>
      <c r="BA2092" s="2" t="str">
        <f>IF(""&amp;$F2092&lt;&gt;"4","",IF($AY2092="YES","",IF(ROUND(SUMIFS($AE$2:$AE$4001,$L$2:$L$4001,$L2092,$F$2:$F$4001,"4")-SUMIFS('AR SALES'!$Y$2:$Y$2501,'AR SALES'!$L$2:$L$2501,$L2092,'AR SALES'!$AD$2:$AD$2501,"OFF"),2)=0,"","STALE")))</f>
        <v/>
      </c>
      <c r="BB2092" s="2" t="str">
        <f>IF(OR(""&amp;$F2092="2",""&amp;$F2092="4",""&amp;$F2092="G",""&amp;$F2092="H"),IF($AY2092="YES","",IF($AB2092&lt;&gt;0,"",IF(COUNTIFS('AR SALES'!$L$2:$L$2501,$L2092,'AR SALES'!$AD$2:$AD$2501,IF(""&amp;$F2092="4","OFF","ON"),'AR SALES'!$AF$2:$AF$2501,"Y")&gt;0,"","NO EXEMPTION"))),"")</f>
        <v/>
      </c>
    </row>
    <row r="2093" spans="46:54" x14ac:dyDescent="0.25">
      <c r="AT2093" s="2" t="str">
        <f>IF($L2093="","",IFERROR(INDEX('AR SALES'!$H$2:$H$2501,MATCH(""&amp;$L2093,'AR SALES'!$AE$2:$AE$2501,0)),""))</f>
        <v/>
      </c>
      <c r="AU2093" s="2" t="str">
        <f t="shared" si="128"/>
        <v/>
      </c>
      <c r="AV2093" s="2" t="str">
        <f t="shared" si="129"/>
        <v/>
      </c>
      <c r="AW2093" s="2" t="str">
        <f t="shared" si="130"/>
        <v/>
      </c>
      <c r="AX2093" s="2" t="str">
        <f t="shared" si="131"/>
        <v/>
      </c>
      <c r="AY2093" s="2" t="str">
        <f>IF($AV2093="","",IF(AND($Z2093=0,COUNTIF('AR SALES'!$L$2:$L$2501,$L2093)=0),"YES",""))</f>
        <v/>
      </c>
      <c r="AZ2093" s="2" t="str">
        <f>IF($AV2093="","",IF(COUNTIF(LISTS!$C$2:$C$250,$AU2093)=0,"NEW",""))</f>
        <v/>
      </c>
      <c r="BA2093" s="2" t="str">
        <f>IF(""&amp;$F2093&lt;&gt;"4","",IF($AY2093="YES","",IF(ROUND(SUMIFS($AE$2:$AE$4001,$L$2:$L$4001,$L2093,$F$2:$F$4001,"4")-SUMIFS('AR SALES'!$Y$2:$Y$2501,'AR SALES'!$L$2:$L$2501,$L2093,'AR SALES'!$AD$2:$AD$2501,"OFF"),2)=0,"","STALE")))</f>
        <v/>
      </c>
      <c r="BB2093" s="2" t="str">
        <f>IF(OR(""&amp;$F2093="2",""&amp;$F2093="4",""&amp;$F2093="G",""&amp;$F2093="H"),IF($AY2093="YES","",IF($AB2093&lt;&gt;0,"",IF(COUNTIFS('AR SALES'!$L$2:$L$2501,$L2093,'AR SALES'!$AD$2:$AD$2501,IF(""&amp;$F2093="4","OFF","ON"),'AR SALES'!$AF$2:$AF$2501,"Y")&gt;0,"","NO EXEMPTION"))),"")</f>
        <v/>
      </c>
    </row>
    <row r="2094" spans="46:54" x14ac:dyDescent="0.25">
      <c r="AT2094" s="2" t="str">
        <f>IF($L2094="","",IFERROR(INDEX('AR SALES'!$H$2:$H$2501,MATCH(""&amp;$L2094,'AR SALES'!$AE$2:$AE$2501,0)),""))</f>
        <v/>
      </c>
      <c r="AU2094" s="2" t="str">
        <f t="shared" si="128"/>
        <v/>
      </c>
      <c r="AV2094" s="2" t="str">
        <f t="shared" si="129"/>
        <v/>
      </c>
      <c r="AW2094" s="2" t="str">
        <f t="shared" si="130"/>
        <v/>
      </c>
      <c r="AX2094" s="2" t="str">
        <f t="shared" si="131"/>
        <v/>
      </c>
      <c r="AY2094" s="2" t="str">
        <f>IF($AV2094="","",IF(AND($Z2094=0,COUNTIF('AR SALES'!$L$2:$L$2501,$L2094)=0),"YES",""))</f>
        <v/>
      </c>
      <c r="AZ2094" s="2" t="str">
        <f>IF($AV2094="","",IF(COUNTIF(LISTS!$C$2:$C$250,$AU2094)=0,"NEW",""))</f>
        <v/>
      </c>
      <c r="BA2094" s="2" t="str">
        <f>IF(""&amp;$F2094&lt;&gt;"4","",IF($AY2094="YES","",IF(ROUND(SUMIFS($AE$2:$AE$4001,$L$2:$L$4001,$L2094,$F$2:$F$4001,"4")-SUMIFS('AR SALES'!$Y$2:$Y$2501,'AR SALES'!$L$2:$L$2501,$L2094,'AR SALES'!$AD$2:$AD$2501,"OFF"),2)=0,"","STALE")))</f>
        <v/>
      </c>
      <c r="BB2094" s="2" t="str">
        <f>IF(OR(""&amp;$F2094="2",""&amp;$F2094="4",""&amp;$F2094="G",""&amp;$F2094="H"),IF($AY2094="YES","",IF($AB2094&lt;&gt;0,"",IF(COUNTIFS('AR SALES'!$L$2:$L$2501,$L2094,'AR SALES'!$AD$2:$AD$2501,IF(""&amp;$F2094="4","OFF","ON"),'AR SALES'!$AF$2:$AF$2501,"Y")&gt;0,"","NO EXEMPTION"))),"")</f>
        <v/>
      </c>
    </row>
    <row r="2095" spans="46:54" x14ac:dyDescent="0.25">
      <c r="AT2095" s="2" t="str">
        <f>IF($L2095="","",IFERROR(INDEX('AR SALES'!$H$2:$H$2501,MATCH(""&amp;$L2095,'AR SALES'!$AE$2:$AE$2501,0)),""))</f>
        <v/>
      </c>
      <c r="AU2095" s="2" t="str">
        <f t="shared" si="128"/>
        <v/>
      </c>
      <c r="AV2095" s="2" t="str">
        <f t="shared" si="129"/>
        <v/>
      </c>
      <c r="AW2095" s="2" t="str">
        <f t="shared" si="130"/>
        <v/>
      </c>
      <c r="AX2095" s="2" t="str">
        <f t="shared" si="131"/>
        <v/>
      </c>
      <c r="AY2095" s="2" t="str">
        <f>IF($AV2095="","",IF(AND($Z2095=0,COUNTIF('AR SALES'!$L$2:$L$2501,$L2095)=0),"YES",""))</f>
        <v/>
      </c>
      <c r="AZ2095" s="2" t="str">
        <f>IF($AV2095="","",IF(COUNTIF(LISTS!$C$2:$C$250,$AU2095)=0,"NEW",""))</f>
        <v/>
      </c>
      <c r="BA2095" s="2" t="str">
        <f>IF(""&amp;$F2095&lt;&gt;"4","",IF($AY2095="YES","",IF(ROUND(SUMIFS($AE$2:$AE$4001,$L$2:$L$4001,$L2095,$F$2:$F$4001,"4")-SUMIFS('AR SALES'!$Y$2:$Y$2501,'AR SALES'!$L$2:$L$2501,$L2095,'AR SALES'!$AD$2:$AD$2501,"OFF"),2)=0,"","STALE")))</f>
        <v/>
      </c>
      <c r="BB2095" s="2" t="str">
        <f>IF(OR(""&amp;$F2095="2",""&amp;$F2095="4",""&amp;$F2095="G",""&amp;$F2095="H"),IF($AY2095="YES","",IF($AB2095&lt;&gt;0,"",IF(COUNTIFS('AR SALES'!$L$2:$L$2501,$L2095,'AR SALES'!$AD$2:$AD$2501,IF(""&amp;$F2095="4","OFF","ON"),'AR SALES'!$AF$2:$AF$2501,"Y")&gt;0,"","NO EXEMPTION"))),"")</f>
        <v/>
      </c>
    </row>
    <row r="2096" spans="46:54" x14ac:dyDescent="0.25">
      <c r="AT2096" s="2" t="str">
        <f>IF($L2096="","",IFERROR(INDEX('AR SALES'!$H$2:$H$2501,MATCH(""&amp;$L2096,'AR SALES'!$AE$2:$AE$2501,0)),""))</f>
        <v/>
      </c>
      <c r="AU2096" s="2" t="str">
        <f t="shared" si="128"/>
        <v/>
      </c>
      <c r="AV2096" s="2" t="str">
        <f t="shared" si="129"/>
        <v/>
      </c>
      <c r="AW2096" s="2" t="str">
        <f t="shared" si="130"/>
        <v/>
      </c>
      <c r="AX2096" s="2" t="str">
        <f t="shared" si="131"/>
        <v/>
      </c>
      <c r="AY2096" s="2" t="str">
        <f>IF($AV2096="","",IF(AND($Z2096=0,COUNTIF('AR SALES'!$L$2:$L$2501,$L2096)=0),"YES",""))</f>
        <v/>
      </c>
      <c r="AZ2096" s="2" t="str">
        <f>IF($AV2096="","",IF(COUNTIF(LISTS!$C$2:$C$250,$AU2096)=0,"NEW",""))</f>
        <v/>
      </c>
      <c r="BA2096" s="2" t="str">
        <f>IF(""&amp;$F2096&lt;&gt;"4","",IF($AY2096="YES","",IF(ROUND(SUMIFS($AE$2:$AE$4001,$L$2:$L$4001,$L2096,$F$2:$F$4001,"4")-SUMIFS('AR SALES'!$Y$2:$Y$2501,'AR SALES'!$L$2:$L$2501,$L2096,'AR SALES'!$AD$2:$AD$2501,"OFF"),2)=0,"","STALE")))</f>
        <v/>
      </c>
      <c r="BB2096" s="2" t="str">
        <f>IF(OR(""&amp;$F2096="2",""&amp;$F2096="4",""&amp;$F2096="G",""&amp;$F2096="H"),IF($AY2096="YES","",IF($AB2096&lt;&gt;0,"",IF(COUNTIFS('AR SALES'!$L$2:$L$2501,$L2096,'AR SALES'!$AD$2:$AD$2501,IF(""&amp;$F2096="4","OFF","ON"),'AR SALES'!$AF$2:$AF$2501,"Y")&gt;0,"","NO EXEMPTION"))),"")</f>
        <v/>
      </c>
    </row>
    <row r="2097" spans="46:54" x14ac:dyDescent="0.25">
      <c r="AT2097" s="2" t="str">
        <f>IF($L2097="","",IFERROR(INDEX('AR SALES'!$H$2:$H$2501,MATCH(""&amp;$L2097,'AR SALES'!$AE$2:$AE$2501,0)),""))</f>
        <v/>
      </c>
      <c r="AU2097" s="2" t="str">
        <f t="shared" si="128"/>
        <v/>
      </c>
      <c r="AV2097" s="2" t="str">
        <f t="shared" si="129"/>
        <v/>
      </c>
      <c r="AW2097" s="2" t="str">
        <f t="shared" si="130"/>
        <v/>
      </c>
      <c r="AX2097" s="2" t="str">
        <f t="shared" si="131"/>
        <v/>
      </c>
      <c r="AY2097" s="2" t="str">
        <f>IF($AV2097="","",IF(AND($Z2097=0,COUNTIF('AR SALES'!$L$2:$L$2501,$L2097)=0),"YES",""))</f>
        <v/>
      </c>
      <c r="AZ2097" s="2" t="str">
        <f>IF($AV2097="","",IF(COUNTIF(LISTS!$C$2:$C$250,$AU2097)=0,"NEW",""))</f>
        <v/>
      </c>
      <c r="BA2097" s="2" t="str">
        <f>IF(""&amp;$F2097&lt;&gt;"4","",IF($AY2097="YES","",IF(ROUND(SUMIFS($AE$2:$AE$4001,$L$2:$L$4001,$L2097,$F$2:$F$4001,"4")-SUMIFS('AR SALES'!$Y$2:$Y$2501,'AR SALES'!$L$2:$L$2501,$L2097,'AR SALES'!$AD$2:$AD$2501,"OFF"),2)=0,"","STALE")))</f>
        <v/>
      </c>
      <c r="BB2097" s="2" t="str">
        <f>IF(OR(""&amp;$F2097="2",""&amp;$F2097="4",""&amp;$F2097="G",""&amp;$F2097="H"),IF($AY2097="YES","",IF($AB2097&lt;&gt;0,"",IF(COUNTIFS('AR SALES'!$L$2:$L$2501,$L2097,'AR SALES'!$AD$2:$AD$2501,IF(""&amp;$F2097="4","OFF","ON"),'AR SALES'!$AF$2:$AF$2501,"Y")&gt;0,"","NO EXEMPTION"))),"")</f>
        <v/>
      </c>
    </row>
    <row r="2098" spans="46:54" x14ac:dyDescent="0.25">
      <c r="AT2098" s="2" t="str">
        <f>IF($L2098="","",IFERROR(INDEX('AR SALES'!$H$2:$H$2501,MATCH(""&amp;$L2098,'AR SALES'!$AE$2:$AE$2501,0)),""))</f>
        <v/>
      </c>
      <c r="AU2098" s="2" t="str">
        <f t="shared" si="128"/>
        <v/>
      </c>
      <c r="AV2098" s="2" t="str">
        <f t="shared" si="129"/>
        <v/>
      </c>
      <c r="AW2098" s="2" t="str">
        <f t="shared" si="130"/>
        <v/>
      </c>
      <c r="AX2098" s="2" t="str">
        <f t="shared" si="131"/>
        <v/>
      </c>
      <c r="AY2098" s="2" t="str">
        <f>IF($AV2098="","",IF(AND($Z2098=0,COUNTIF('AR SALES'!$L$2:$L$2501,$L2098)=0),"YES",""))</f>
        <v/>
      </c>
      <c r="AZ2098" s="2" t="str">
        <f>IF($AV2098="","",IF(COUNTIF(LISTS!$C$2:$C$250,$AU2098)=0,"NEW",""))</f>
        <v/>
      </c>
      <c r="BA2098" s="2" t="str">
        <f>IF(""&amp;$F2098&lt;&gt;"4","",IF($AY2098="YES","",IF(ROUND(SUMIFS($AE$2:$AE$4001,$L$2:$L$4001,$L2098,$F$2:$F$4001,"4")-SUMIFS('AR SALES'!$Y$2:$Y$2501,'AR SALES'!$L$2:$L$2501,$L2098,'AR SALES'!$AD$2:$AD$2501,"OFF"),2)=0,"","STALE")))</f>
        <v/>
      </c>
      <c r="BB2098" s="2" t="str">
        <f>IF(OR(""&amp;$F2098="2",""&amp;$F2098="4",""&amp;$F2098="G",""&amp;$F2098="H"),IF($AY2098="YES","",IF($AB2098&lt;&gt;0,"",IF(COUNTIFS('AR SALES'!$L$2:$L$2501,$L2098,'AR SALES'!$AD$2:$AD$2501,IF(""&amp;$F2098="4","OFF","ON"),'AR SALES'!$AF$2:$AF$2501,"Y")&gt;0,"","NO EXEMPTION"))),"")</f>
        <v/>
      </c>
    </row>
    <row r="2099" spans="46:54" x14ac:dyDescent="0.25">
      <c r="AT2099" s="2" t="str">
        <f>IF($L2099="","",IFERROR(INDEX('AR SALES'!$H$2:$H$2501,MATCH(""&amp;$L2099,'AR SALES'!$AE$2:$AE$2501,0)),""))</f>
        <v/>
      </c>
      <c r="AU2099" s="2" t="str">
        <f t="shared" si="128"/>
        <v/>
      </c>
      <c r="AV2099" s="2" t="str">
        <f t="shared" si="129"/>
        <v/>
      </c>
      <c r="AW2099" s="2" t="str">
        <f t="shared" si="130"/>
        <v/>
      </c>
      <c r="AX2099" s="2" t="str">
        <f t="shared" si="131"/>
        <v/>
      </c>
      <c r="AY2099" s="2" t="str">
        <f>IF($AV2099="","",IF(AND($Z2099=0,COUNTIF('AR SALES'!$L$2:$L$2501,$L2099)=0),"YES",""))</f>
        <v/>
      </c>
      <c r="AZ2099" s="2" t="str">
        <f>IF($AV2099="","",IF(COUNTIF(LISTS!$C$2:$C$250,$AU2099)=0,"NEW",""))</f>
        <v/>
      </c>
      <c r="BA2099" s="2" t="str">
        <f>IF(""&amp;$F2099&lt;&gt;"4","",IF($AY2099="YES","",IF(ROUND(SUMIFS($AE$2:$AE$4001,$L$2:$L$4001,$L2099,$F$2:$F$4001,"4")-SUMIFS('AR SALES'!$Y$2:$Y$2501,'AR SALES'!$L$2:$L$2501,$L2099,'AR SALES'!$AD$2:$AD$2501,"OFF"),2)=0,"","STALE")))</f>
        <v/>
      </c>
      <c r="BB2099" s="2" t="str">
        <f>IF(OR(""&amp;$F2099="2",""&amp;$F2099="4",""&amp;$F2099="G",""&amp;$F2099="H"),IF($AY2099="YES","",IF($AB2099&lt;&gt;0,"",IF(COUNTIFS('AR SALES'!$L$2:$L$2501,$L2099,'AR SALES'!$AD$2:$AD$2501,IF(""&amp;$F2099="4","OFF","ON"),'AR SALES'!$AF$2:$AF$2501,"Y")&gt;0,"","NO EXEMPTION"))),"")</f>
        <v/>
      </c>
    </row>
    <row r="2100" spans="46:54" x14ac:dyDescent="0.25">
      <c r="AT2100" s="2" t="str">
        <f>IF($L2100="","",IFERROR(INDEX('AR SALES'!$H$2:$H$2501,MATCH(""&amp;$L2100,'AR SALES'!$AE$2:$AE$2501,0)),""))</f>
        <v/>
      </c>
      <c r="AU2100" s="2" t="str">
        <f t="shared" si="128"/>
        <v/>
      </c>
      <c r="AV2100" s="2" t="str">
        <f t="shared" si="129"/>
        <v/>
      </c>
      <c r="AW2100" s="2" t="str">
        <f t="shared" si="130"/>
        <v/>
      </c>
      <c r="AX2100" s="2" t="str">
        <f t="shared" si="131"/>
        <v/>
      </c>
      <c r="AY2100" s="2" t="str">
        <f>IF($AV2100="","",IF(AND($Z2100=0,COUNTIF('AR SALES'!$L$2:$L$2501,$L2100)=0),"YES",""))</f>
        <v/>
      </c>
      <c r="AZ2100" s="2" t="str">
        <f>IF($AV2100="","",IF(COUNTIF(LISTS!$C$2:$C$250,$AU2100)=0,"NEW",""))</f>
        <v/>
      </c>
      <c r="BA2100" s="2" t="str">
        <f>IF(""&amp;$F2100&lt;&gt;"4","",IF($AY2100="YES","",IF(ROUND(SUMIFS($AE$2:$AE$4001,$L$2:$L$4001,$L2100,$F$2:$F$4001,"4")-SUMIFS('AR SALES'!$Y$2:$Y$2501,'AR SALES'!$L$2:$L$2501,$L2100,'AR SALES'!$AD$2:$AD$2501,"OFF"),2)=0,"","STALE")))</f>
        <v/>
      </c>
      <c r="BB2100" s="2" t="str">
        <f>IF(OR(""&amp;$F2100="2",""&amp;$F2100="4",""&amp;$F2100="G",""&amp;$F2100="H"),IF($AY2100="YES","",IF($AB2100&lt;&gt;0,"",IF(COUNTIFS('AR SALES'!$L$2:$L$2501,$L2100,'AR SALES'!$AD$2:$AD$2501,IF(""&amp;$F2100="4","OFF","ON"),'AR SALES'!$AF$2:$AF$2501,"Y")&gt;0,"","NO EXEMPTION"))),"")</f>
        <v/>
      </c>
    </row>
    <row r="2101" spans="46:54" x14ac:dyDescent="0.25">
      <c r="AT2101" s="2" t="str">
        <f>IF($L2101="","",IFERROR(INDEX('AR SALES'!$H$2:$H$2501,MATCH(""&amp;$L2101,'AR SALES'!$AE$2:$AE$2501,0)),""))</f>
        <v/>
      </c>
      <c r="AU2101" s="2" t="str">
        <f t="shared" si="128"/>
        <v/>
      </c>
      <c r="AV2101" s="2" t="str">
        <f t="shared" si="129"/>
        <v/>
      </c>
      <c r="AW2101" s="2" t="str">
        <f t="shared" si="130"/>
        <v/>
      </c>
      <c r="AX2101" s="2" t="str">
        <f t="shared" si="131"/>
        <v/>
      </c>
      <c r="AY2101" s="2" t="str">
        <f>IF($AV2101="","",IF(AND($Z2101=0,COUNTIF('AR SALES'!$L$2:$L$2501,$L2101)=0),"YES",""))</f>
        <v/>
      </c>
      <c r="AZ2101" s="2" t="str">
        <f>IF($AV2101="","",IF(COUNTIF(LISTS!$C$2:$C$250,$AU2101)=0,"NEW",""))</f>
        <v/>
      </c>
      <c r="BA2101" s="2" t="str">
        <f>IF(""&amp;$F2101&lt;&gt;"4","",IF($AY2101="YES","",IF(ROUND(SUMIFS($AE$2:$AE$4001,$L$2:$L$4001,$L2101,$F$2:$F$4001,"4")-SUMIFS('AR SALES'!$Y$2:$Y$2501,'AR SALES'!$L$2:$L$2501,$L2101,'AR SALES'!$AD$2:$AD$2501,"OFF"),2)=0,"","STALE")))</f>
        <v/>
      </c>
      <c r="BB2101" s="2" t="str">
        <f>IF(OR(""&amp;$F2101="2",""&amp;$F2101="4",""&amp;$F2101="G",""&amp;$F2101="H"),IF($AY2101="YES","",IF($AB2101&lt;&gt;0,"",IF(COUNTIFS('AR SALES'!$L$2:$L$2501,$L2101,'AR SALES'!$AD$2:$AD$2501,IF(""&amp;$F2101="4","OFF","ON"),'AR SALES'!$AF$2:$AF$2501,"Y")&gt;0,"","NO EXEMPTION"))),"")</f>
        <v/>
      </c>
    </row>
    <row r="2102" spans="46:54" x14ac:dyDescent="0.25">
      <c r="AT2102" s="2" t="str">
        <f>IF($L2102="","",IFERROR(INDEX('AR SALES'!$H$2:$H$2501,MATCH(""&amp;$L2102,'AR SALES'!$AE$2:$AE$2501,0)),""))</f>
        <v/>
      </c>
      <c r="AU2102" s="2" t="str">
        <f t="shared" si="128"/>
        <v/>
      </c>
      <c r="AV2102" s="2" t="str">
        <f t="shared" si="129"/>
        <v/>
      </c>
      <c r="AW2102" s="2" t="str">
        <f t="shared" si="130"/>
        <v/>
      </c>
      <c r="AX2102" s="2" t="str">
        <f t="shared" si="131"/>
        <v/>
      </c>
      <c r="AY2102" s="2" t="str">
        <f>IF($AV2102="","",IF(AND($Z2102=0,COUNTIF('AR SALES'!$L$2:$L$2501,$L2102)=0),"YES",""))</f>
        <v/>
      </c>
      <c r="AZ2102" s="2" t="str">
        <f>IF($AV2102="","",IF(COUNTIF(LISTS!$C$2:$C$250,$AU2102)=0,"NEW",""))</f>
        <v/>
      </c>
      <c r="BA2102" s="2" t="str">
        <f>IF(""&amp;$F2102&lt;&gt;"4","",IF($AY2102="YES","",IF(ROUND(SUMIFS($AE$2:$AE$4001,$L$2:$L$4001,$L2102,$F$2:$F$4001,"4")-SUMIFS('AR SALES'!$Y$2:$Y$2501,'AR SALES'!$L$2:$L$2501,$L2102,'AR SALES'!$AD$2:$AD$2501,"OFF"),2)=0,"","STALE")))</f>
        <v/>
      </c>
      <c r="BB2102" s="2" t="str">
        <f>IF(OR(""&amp;$F2102="2",""&amp;$F2102="4",""&amp;$F2102="G",""&amp;$F2102="H"),IF($AY2102="YES","",IF($AB2102&lt;&gt;0,"",IF(COUNTIFS('AR SALES'!$L$2:$L$2501,$L2102,'AR SALES'!$AD$2:$AD$2501,IF(""&amp;$F2102="4","OFF","ON"),'AR SALES'!$AF$2:$AF$2501,"Y")&gt;0,"","NO EXEMPTION"))),"")</f>
        <v/>
      </c>
    </row>
    <row r="2103" spans="46:54" x14ac:dyDescent="0.25">
      <c r="AT2103" s="2" t="str">
        <f>IF($L2103="","",IFERROR(INDEX('AR SALES'!$H$2:$H$2501,MATCH(""&amp;$L2103,'AR SALES'!$AE$2:$AE$2501,0)),""))</f>
        <v/>
      </c>
      <c r="AU2103" s="2" t="str">
        <f t="shared" si="128"/>
        <v/>
      </c>
      <c r="AV2103" s="2" t="str">
        <f t="shared" si="129"/>
        <v/>
      </c>
      <c r="AW2103" s="2" t="str">
        <f t="shared" si="130"/>
        <v/>
      </c>
      <c r="AX2103" s="2" t="str">
        <f t="shared" si="131"/>
        <v/>
      </c>
      <c r="AY2103" s="2" t="str">
        <f>IF($AV2103="","",IF(AND($Z2103=0,COUNTIF('AR SALES'!$L$2:$L$2501,$L2103)=0),"YES",""))</f>
        <v/>
      </c>
      <c r="AZ2103" s="2" t="str">
        <f>IF($AV2103="","",IF(COUNTIF(LISTS!$C$2:$C$250,$AU2103)=0,"NEW",""))</f>
        <v/>
      </c>
      <c r="BA2103" s="2" t="str">
        <f>IF(""&amp;$F2103&lt;&gt;"4","",IF($AY2103="YES","",IF(ROUND(SUMIFS($AE$2:$AE$4001,$L$2:$L$4001,$L2103,$F$2:$F$4001,"4")-SUMIFS('AR SALES'!$Y$2:$Y$2501,'AR SALES'!$L$2:$L$2501,$L2103,'AR SALES'!$AD$2:$AD$2501,"OFF"),2)=0,"","STALE")))</f>
        <v/>
      </c>
      <c r="BB2103" s="2" t="str">
        <f>IF(OR(""&amp;$F2103="2",""&amp;$F2103="4",""&amp;$F2103="G",""&amp;$F2103="H"),IF($AY2103="YES","",IF($AB2103&lt;&gt;0,"",IF(COUNTIFS('AR SALES'!$L$2:$L$2501,$L2103,'AR SALES'!$AD$2:$AD$2501,IF(""&amp;$F2103="4","OFF","ON"),'AR SALES'!$AF$2:$AF$2501,"Y")&gt;0,"","NO EXEMPTION"))),"")</f>
        <v/>
      </c>
    </row>
    <row r="2104" spans="46:54" x14ac:dyDescent="0.25">
      <c r="AT2104" s="2" t="str">
        <f>IF($L2104="","",IFERROR(INDEX('AR SALES'!$H$2:$H$2501,MATCH(""&amp;$L2104,'AR SALES'!$AE$2:$AE$2501,0)),""))</f>
        <v/>
      </c>
      <c r="AU2104" s="2" t="str">
        <f t="shared" si="128"/>
        <v/>
      </c>
      <c r="AV2104" s="2" t="str">
        <f t="shared" si="129"/>
        <v/>
      </c>
      <c r="AW2104" s="2" t="str">
        <f t="shared" si="130"/>
        <v/>
      </c>
      <c r="AX2104" s="2" t="str">
        <f t="shared" si="131"/>
        <v/>
      </c>
      <c r="AY2104" s="2" t="str">
        <f>IF($AV2104="","",IF(AND($Z2104=0,COUNTIF('AR SALES'!$L$2:$L$2501,$L2104)=0),"YES",""))</f>
        <v/>
      </c>
      <c r="AZ2104" s="2" t="str">
        <f>IF($AV2104="","",IF(COUNTIF(LISTS!$C$2:$C$250,$AU2104)=0,"NEW",""))</f>
        <v/>
      </c>
      <c r="BA2104" s="2" t="str">
        <f>IF(""&amp;$F2104&lt;&gt;"4","",IF($AY2104="YES","",IF(ROUND(SUMIFS($AE$2:$AE$4001,$L$2:$L$4001,$L2104,$F$2:$F$4001,"4")-SUMIFS('AR SALES'!$Y$2:$Y$2501,'AR SALES'!$L$2:$L$2501,$L2104,'AR SALES'!$AD$2:$AD$2501,"OFF"),2)=0,"","STALE")))</f>
        <v/>
      </c>
      <c r="BB2104" s="2" t="str">
        <f>IF(OR(""&amp;$F2104="2",""&amp;$F2104="4",""&amp;$F2104="G",""&amp;$F2104="H"),IF($AY2104="YES","",IF($AB2104&lt;&gt;0,"",IF(COUNTIFS('AR SALES'!$L$2:$L$2501,$L2104,'AR SALES'!$AD$2:$AD$2501,IF(""&amp;$F2104="4","OFF","ON"),'AR SALES'!$AF$2:$AF$2501,"Y")&gt;0,"","NO EXEMPTION"))),"")</f>
        <v/>
      </c>
    </row>
    <row r="2105" spans="46:54" x14ac:dyDescent="0.25">
      <c r="AT2105" s="2" t="str">
        <f>IF($L2105="","",IFERROR(INDEX('AR SALES'!$H$2:$H$2501,MATCH(""&amp;$L2105,'AR SALES'!$AE$2:$AE$2501,0)),""))</f>
        <v/>
      </c>
      <c r="AU2105" s="2" t="str">
        <f t="shared" si="128"/>
        <v/>
      </c>
      <c r="AV2105" s="2" t="str">
        <f t="shared" si="129"/>
        <v/>
      </c>
      <c r="AW2105" s="2" t="str">
        <f t="shared" si="130"/>
        <v/>
      </c>
      <c r="AX2105" s="2" t="str">
        <f t="shared" si="131"/>
        <v/>
      </c>
      <c r="AY2105" s="2" t="str">
        <f>IF($AV2105="","",IF(AND($Z2105=0,COUNTIF('AR SALES'!$L$2:$L$2501,$L2105)=0),"YES",""))</f>
        <v/>
      </c>
      <c r="AZ2105" s="2" t="str">
        <f>IF($AV2105="","",IF(COUNTIF(LISTS!$C$2:$C$250,$AU2105)=0,"NEW",""))</f>
        <v/>
      </c>
      <c r="BA2105" s="2" t="str">
        <f>IF(""&amp;$F2105&lt;&gt;"4","",IF($AY2105="YES","",IF(ROUND(SUMIFS($AE$2:$AE$4001,$L$2:$L$4001,$L2105,$F$2:$F$4001,"4")-SUMIFS('AR SALES'!$Y$2:$Y$2501,'AR SALES'!$L$2:$L$2501,$L2105,'AR SALES'!$AD$2:$AD$2501,"OFF"),2)=0,"","STALE")))</f>
        <v/>
      </c>
      <c r="BB2105" s="2" t="str">
        <f>IF(OR(""&amp;$F2105="2",""&amp;$F2105="4",""&amp;$F2105="G",""&amp;$F2105="H"),IF($AY2105="YES","",IF($AB2105&lt;&gt;0,"",IF(COUNTIFS('AR SALES'!$L$2:$L$2501,$L2105,'AR SALES'!$AD$2:$AD$2501,IF(""&amp;$F2105="4","OFF","ON"),'AR SALES'!$AF$2:$AF$2501,"Y")&gt;0,"","NO EXEMPTION"))),"")</f>
        <v/>
      </c>
    </row>
    <row r="2106" spans="46:54" x14ac:dyDescent="0.25">
      <c r="AT2106" s="2" t="str">
        <f>IF($L2106="","",IFERROR(INDEX('AR SALES'!$H$2:$H$2501,MATCH(""&amp;$L2106,'AR SALES'!$AE$2:$AE$2501,0)),""))</f>
        <v/>
      </c>
      <c r="AU2106" s="2" t="str">
        <f t="shared" si="128"/>
        <v/>
      </c>
      <c r="AV2106" s="2" t="str">
        <f t="shared" si="129"/>
        <v/>
      </c>
      <c r="AW2106" s="2" t="str">
        <f t="shared" si="130"/>
        <v/>
      </c>
      <c r="AX2106" s="2" t="str">
        <f t="shared" si="131"/>
        <v/>
      </c>
      <c r="AY2106" s="2" t="str">
        <f>IF($AV2106="","",IF(AND($Z2106=0,COUNTIF('AR SALES'!$L$2:$L$2501,$L2106)=0),"YES",""))</f>
        <v/>
      </c>
      <c r="AZ2106" s="2" t="str">
        <f>IF($AV2106="","",IF(COUNTIF(LISTS!$C$2:$C$250,$AU2106)=0,"NEW",""))</f>
        <v/>
      </c>
      <c r="BA2106" s="2" t="str">
        <f>IF(""&amp;$F2106&lt;&gt;"4","",IF($AY2106="YES","",IF(ROUND(SUMIFS($AE$2:$AE$4001,$L$2:$L$4001,$L2106,$F$2:$F$4001,"4")-SUMIFS('AR SALES'!$Y$2:$Y$2501,'AR SALES'!$L$2:$L$2501,$L2106,'AR SALES'!$AD$2:$AD$2501,"OFF"),2)=0,"","STALE")))</f>
        <v/>
      </c>
      <c r="BB2106" s="2" t="str">
        <f>IF(OR(""&amp;$F2106="2",""&amp;$F2106="4",""&amp;$F2106="G",""&amp;$F2106="H"),IF($AY2106="YES","",IF($AB2106&lt;&gt;0,"",IF(COUNTIFS('AR SALES'!$L$2:$L$2501,$L2106,'AR SALES'!$AD$2:$AD$2501,IF(""&amp;$F2106="4","OFF","ON"),'AR SALES'!$AF$2:$AF$2501,"Y")&gt;0,"","NO EXEMPTION"))),"")</f>
        <v/>
      </c>
    </row>
    <row r="2107" spans="46:54" x14ac:dyDescent="0.25">
      <c r="AT2107" s="2" t="str">
        <f>IF($L2107="","",IFERROR(INDEX('AR SALES'!$H$2:$H$2501,MATCH(""&amp;$L2107,'AR SALES'!$AE$2:$AE$2501,0)),""))</f>
        <v/>
      </c>
      <c r="AU2107" s="2" t="str">
        <f t="shared" si="128"/>
        <v/>
      </c>
      <c r="AV2107" s="2" t="str">
        <f t="shared" si="129"/>
        <v/>
      </c>
      <c r="AW2107" s="2" t="str">
        <f t="shared" si="130"/>
        <v/>
      </c>
      <c r="AX2107" s="2" t="str">
        <f t="shared" si="131"/>
        <v/>
      </c>
      <c r="AY2107" s="2" t="str">
        <f>IF($AV2107="","",IF(AND($Z2107=0,COUNTIF('AR SALES'!$L$2:$L$2501,$L2107)=0),"YES",""))</f>
        <v/>
      </c>
      <c r="AZ2107" s="2" t="str">
        <f>IF($AV2107="","",IF(COUNTIF(LISTS!$C$2:$C$250,$AU2107)=0,"NEW",""))</f>
        <v/>
      </c>
      <c r="BA2107" s="2" t="str">
        <f>IF(""&amp;$F2107&lt;&gt;"4","",IF($AY2107="YES","",IF(ROUND(SUMIFS($AE$2:$AE$4001,$L$2:$L$4001,$L2107,$F$2:$F$4001,"4")-SUMIFS('AR SALES'!$Y$2:$Y$2501,'AR SALES'!$L$2:$L$2501,$L2107,'AR SALES'!$AD$2:$AD$2501,"OFF"),2)=0,"","STALE")))</f>
        <v/>
      </c>
      <c r="BB2107" s="2" t="str">
        <f>IF(OR(""&amp;$F2107="2",""&amp;$F2107="4",""&amp;$F2107="G",""&amp;$F2107="H"),IF($AY2107="YES","",IF($AB2107&lt;&gt;0,"",IF(COUNTIFS('AR SALES'!$L$2:$L$2501,$L2107,'AR SALES'!$AD$2:$AD$2501,IF(""&amp;$F2107="4","OFF","ON"),'AR SALES'!$AF$2:$AF$2501,"Y")&gt;0,"","NO EXEMPTION"))),"")</f>
        <v/>
      </c>
    </row>
    <row r="2108" spans="46:54" x14ac:dyDescent="0.25">
      <c r="AT2108" s="2" t="str">
        <f>IF($L2108="","",IFERROR(INDEX('AR SALES'!$H$2:$H$2501,MATCH(""&amp;$L2108,'AR SALES'!$AE$2:$AE$2501,0)),""))</f>
        <v/>
      </c>
      <c r="AU2108" s="2" t="str">
        <f t="shared" si="128"/>
        <v/>
      </c>
      <c r="AV2108" s="2" t="str">
        <f t="shared" si="129"/>
        <v/>
      </c>
      <c r="AW2108" s="2" t="str">
        <f t="shared" si="130"/>
        <v/>
      </c>
      <c r="AX2108" s="2" t="str">
        <f t="shared" si="131"/>
        <v/>
      </c>
      <c r="AY2108" s="2" t="str">
        <f>IF($AV2108="","",IF(AND($Z2108=0,COUNTIF('AR SALES'!$L$2:$L$2501,$L2108)=0),"YES",""))</f>
        <v/>
      </c>
      <c r="AZ2108" s="2" t="str">
        <f>IF($AV2108="","",IF(COUNTIF(LISTS!$C$2:$C$250,$AU2108)=0,"NEW",""))</f>
        <v/>
      </c>
      <c r="BA2108" s="2" t="str">
        <f>IF(""&amp;$F2108&lt;&gt;"4","",IF($AY2108="YES","",IF(ROUND(SUMIFS($AE$2:$AE$4001,$L$2:$L$4001,$L2108,$F$2:$F$4001,"4")-SUMIFS('AR SALES'!$Y$2:$Y$2501,'AR SALES'!$L$2:$L$2501,$L2108,'AR SALES'!$AD$2:$AD$2501,"OFF"),2)=0,"","STALE")))</f>
        <v/>
      </c>
      <c r="BB2108" s="2" t="str">
        <f>IF(OR(""&amp;$F2108="2",""&amp;$F2108="4",""&amp;$F2108="G",""&amp;$F2108="H"),IF($AY2108="YES","",IF($AB2108&lt;&gt;0,"",IF(COUNTIFS('AR SALES'!$L$2:$L$2501,$L2108,'AR SALES'!$AD$2:$AD$2501,IF(""&amp;$F2108="4","OFF","ON"),'AR SALES'!$AF$2:$AF$2501,"Y")&gt;0,"","NO EXEMPTION"))),"")</f>
        <v/>
      </c>
    </row>
    <row r="2109" spans="46:54" x14ac:dyDescent="0.25">
      <c r="AT2109" s="2" t="str">
        <f>IF($L2109="","",IFERROR(INDEX('AR SALES'!$H$2:$H$2501,MATCH(""&amp;$L2109,'AR SALES'!$AE$2:$AE$2501,0)),""))</f>
        <v/>
      </c>
      <c r="AU2109" s="2" t="str">
        <f t="shared" si="128"/>
        <v/>
      </c>
      <c r="AV2109" s="2" t="str">
        <f t="shared" si="129"/>
        <v/>
      </c>
      <c r="AW2109" s="2" t="str">
        <f t="shared" si="130"/>
        <v/>
      </c>
      <c r="AX2109" s="2" t="str">
        <f t="shared" si="131"/>
        <v/>
      </c>
      <c r="AY2109" s="2" t="str">
        <f>IF($AV2109="","",IF(AND($Z2109=0,COUNTIF('AR SALES'!$L$2:$L$2501,$L2109)=0),"YES",""))</f>
        <v/>
      </c>
      <c r="AZ2109" s="2" t="str">
        <f>IF($AV2109="","",IF(COUNTIF(LISTS!$C$2:$C$250,$AU2109)=0,"NEW",""))</f>
        <v/>
      </c>
      <c r="BA2109" s="2" t="str">
        <f>IF(""&amp;$F2109&lt;&gt;"4","",IF($AY2109="YES","",IF(ROUND(SUMIFS($AE$2:$AE$4001,$L$2:$L$4001,$L2109,$F$2:$F$4001,"4")-SUMIFS('AR SALES'!$Y$2:$Y$2501,'AR SALES'!$L$2:$L$2501,$L2109,'AR SALES'!$AD$2:$AD$2501,"OFF"),2)=0,"","STALE")))</f>
        <v/>
      </c>
      <c r="BB2109" s="2" t="str">
        <f>IF(OR(""&amp;$F2109="2",""&amp;$F2109="4",""&amp;$F2109="G",""&amp;$F2109="H"),IF($AY2109="YES","",IF($AB2109&lt;&gt;0,"",IF(COUNTIFS('AR SALES'!$L$2:$L$2501,$L2109,'AR SALES'!$AD$2:$AD$2501,IF(""&amp;$F2109="4","OFF","ON"),'AR SALES'!$AF$2:$AF$2501,"Y")&gt;0,"","NO EXEMPTION"))),"")</f>
        <v/>
      </c>
    </row>
    <row r="2110" spans="46:54" x14ac:dyDescent="0.25">
      <c r="AT2110" s="2" t="str">
        <f>IF($L2110="","",IFERROR(INDEX('AR SALES'!$H$2:$H$2501,MATCH(""&amp;$L2110,'AR SALES'!$AE$2:$AE$2501,0)),""))</f>
        <v/>
      </c>
      <c r="AU2110" s="2" t="str">
        <f t="shared" si="128"/>
        <v/>
      </c>
      <c r="AV2110" s="2" t="str">
        <f t="shared" si="129"/>
        <v/>
      </c>
      <c r="AW2110" s="2" t="str">
        <f t="shared" si="130"/>
        <v/>
      </c>
      <c r="AX2110" s="2" t="str">
        <f t="shared" si="131"/>
        <v/>
      </c>
      <c r="AY2110" s="2" t="str">
        <f>IF($AV2110="","",IF(AND($Z2110=0,COUNTIF('AR SALES'!$L$2:$L$2501,$L2110)=0),"YES",""))</f>
        <v/>
      </c>
      <c r="AZ2110" s="2" t="str">
        <f>IF($AV2110="","",IF(COUNTIF(LISTS!$C$2:$C$250,$AU2110)=0,"NEW",""))</f>
        <v/>
      </c>
      <c r="BA2110" s="2" t="str">
        <f>IF(""&amp;$F2110&lt;&gt;"4","",IF($AY2110="YES","",IF(ROUND(SUMIFS($AE$2:$AE$4001,$L$2:$L$4001,$L2110,$F$2:$F$4001,"4")-SUMIFS('AR SALES'!$Y$2:$Y$2501,'AR SALES'!$L$2:$L$2501,$L2110,'AR SALES'!$AD$2:$AD$2501,"OFF"),2)=0,"","STALE")))</f>
        <v/>
      </c>
      <c r="BB2110" s="2" t="str">
        <f>IF(OR(""&amp;$F2110="2",""&amp;$F2110="4",""&amp;$F2110="G",""&amp;$F2110="H"),IF($AY2110="YES","",IF($AB2110&lt;&gt;0,"",IF(COUNTIFS('AR SALES'!$L$2:$L$2501,$L2110,'AR SALES'!$AD$2:$AD$2501,IF(""&amp;$F2110="4","OFF","ON"),'AR SALES'!$AF$2:$AF$2501,"Y")&gt;0,"","NO EXEMPTION"))),"")</f>
        <v/>
      </c>
    </row>
    <row r="2111" spans="46:54" x14ac:dyDescent="0.25">
      <c r="AT2111" s="2" t="str">
        <f>IF($L2111="","",IFERROR(INDEX('AR SALES'!$H$2:$H$2501,MATCH(""&amp;$L2111,'AR SALES'!$AE$2:$AE$2501,0)),""))</f>
        <v/>
      </c>
      <c r="AU2111" s="2" t="str">
        <f t="shared" si="128"/>
        <v/>
      </c>
      <c r="AV2111" s="2" t="str">
        <f t="shared" si="129"/>
        <v/>
      </c>
      <c r="AW2111" s="2" t="str">
        <f t="shared" si="130"/>
        <v/>
      </c>
      <c r="AX2111" s="2" t="str">
        <f t="shared" si="131"/>
        <v/>
      </c>
      <c r="AY2111" s="2" t="str">
        <f>IF($AV2111="","",IF(AND($Z2111=0,COUNTIF('AR SALES'!$L$2:$L$2501,$L2111)=0),"YES",""))</f>
        <v/>
      </c>
      <c r="AZ2111" s="2" t="str">
        <f>IF($AV2111="","",IF(COUNTIF(LISTS!$C$2:$C$250,$AU2111)=0,"NEW",""))</f>
        <v/>
      </c>
      <c r="BA2111" s="2" t="str">
        <f>IF(""&amp;$F2111&lt;&gt;"4","",IF($AY2111="YES","",IF(ROUND(SUMIFS($AE$2:$AE$4001,$L$2:$L$4001,$L2111,$F$2:$F$4001,"4")-SUMIFS('AR SALES'!$Y$2:$Y$2501,'AR SALES'!$L$2:$L$2501,$L2111,'AR SALES'!$AD$2:$AD$2501,"OFF"),2)=0,"","STALE")))</f>
        <v/>
      </c>
      <c r="BB2111" s="2" t="str">
        <f>IF(OR(""&amp;$F2111="2",""&amp;$F2111="4",""&amp;$F2111="G",""&amp;$F2111="H"),IF($AY2111="YES","",IF($AB2111&lt;&gt;0,"",IF(COUNTIFS('AR SALES'!$L$2:$L$2501,$L2111,'AR SALES'!$AD$2:$AD$2501,IF(""&amp;$F2111="4","OFF","ON"),'AR SALES'!$AF$2:$AF$2501,"Y")&gt;0,"","NO EXEMPTION"))),"")</f>
        <v/>
      </c>
    </row>
    <row r="2112" spans="46:54" x14ac:dyDescent="0.25">
      <c r="AT2112" s="2" t="str">
        <f>IF($L2112="","",IFERROR(INDEX('AR SALES'!$H$2:$H$2501,MATCH(""&amp;$L2112,'AR SALES'!$AE$2:$AE$2501,0)),""))</f>
        <v/>
      </c>
      <c r="AU2112" s="2" t="str">
        <f t="shared" si="128"/>
        <v/>
      </c>
      <c r="AV2112" s="2" t="str">
        <f t="shared" si="129"/>
        <v/>
      </c>
      <c r="AW2112" s="2" t="str">
        <f t="shared" si="130"/>
        <v/>
      </c>
      <c r="AX2112" s="2" t="str">
        <f t="shared" si="131"/>
        <v/>
      </c>
      <c r="AY2112" s="2" t="str">
        <f>IF($AV2112="","",IF(AND($Z2112=0,COUNTIF('AR SALES'!$L$2:$L$2501,$L2112)=0),"YES",""))</f>
        <v/>
      </c>
      <c r="AZ2112" s="2" t="str">
        <f>IF($AV2112="","",IF(COUNTIF(LISTS!$C$2:$C$250,$AU2112)=0,"NEW",""))</f>
        <v/>
      </c>
      <c r="BA2112" s="2" t="str">
        <f>IF(""&amp;$F2112&lt;&gt;"4","",IF($AY2112="YES","",IF(ROUND(SUMIFS($AE$2:$AE$4001,$L$2:$L$4001,$L2112,$F$2:$F$4001,"4")-SUMIFS('AR SALES'!$Y$2:$Y$2501,'AR SALES'!$L$2:$L$2501,$L2112,'AR SALES'!$AD$2:$AD$2501,"OFF"),2)=0,"","STALE")))</f>
        <v/>
      </c>
      <c r="BB2112" s="2" t="str">
        <f>IF(OR(""&amp;$F2112="2",""&amp;$F2112="4",""&amp;$F2112="G",""&amp;$F2112="H"),IF($AY2112="YES","",IF($AB2112&lt;&gt;0,"",IF(COUNTIFS('AR SALES'!$L$2:$L$2501,$L2112,'AR SALES'!$AD$2:$AD$2501,IF(""&amp;$F2112="4","OFF","ON"),'AR SALES'!$AF$2:$AF$2501,"Y")&gt;0,"","NO EXEMPTION"))),"")</f>
        <v/>
      </c>
    </row>
    <row r="2113" spans="46:54" x14ac:dyDescent="0.25">
      <c r="AT2113" s="2" t="str">
        <f>IF($L2113="","",IFERROR(INDEX('AR SALES'!$H$2:$H$2501,MATCH(""&amp;$L2113,'AR SALES'!$AE$2:$AE$2501,0)),""))</f>
        <v/>
      </c>
      <c r="AU2113" s="2" t="str">
        <f t="shared" si="128"/>
        <v/>
      </c>
      <c r="AV2113" s="2" t="str">
        <f t="shared" si="129"/>
        <v/>
      </c>
      <c r="AW2113" s="2" t="str">
        <f t="shared" si="130"/>
        <v/>
      </c>
      <c r="AX2113" s="2" t="str">
        <f t="shared" si="131"/>
        <v/>
      </c>
      <c r="AY2113" s="2" t="str">
        <f>IF($AV2113="","",IF(AND($Z2113=0,COUNTIF('AR SALES'!$L$2:$L$2501,$L2113)=0),"YES",""))</f>
        <v/>
      </c>
      <c r="AZ2113" s="2" t="str">
        <f>IF($AV2113="","",IF(COUNTIF(LISTS!$C$2:$C$250,$AU2113)=0,"NEW",""))</f>
        <v/>
      </c>
      <c r="BA2113" s="2" t="str">
        <f>IF(""&amp;$F2113&lt;&gt;"4","",IF($AY2113="YES","",IF(ROUND(SUMIFS($AE$2:$AE$4001,$L$2:$L$4001,$L2113,$F$2:$F$4001,"4")-SUMIFS('AR SALES'!$Y$2:$Y$2501,'AR SALES'!$L$2:$L$2501,$L2113,'AR SALES'!$AD$2:$AD$2501,"OFF"),2)=0,"","STALE")))</f>
        <v/>
      </c>
      <c r="BB2113" s="2" t="str">
        <f>IF(OR(""&amp;$F2113="2",""&amp;$F2113="4",""&amp;$F2113="G",""&amp;$F2113="H"),IF($AY2113="YES","",IF($AB2113&lt;&gt;0,"",IF(COUNTIFS('AR SALES'!$L$2:$L$2501,$L2113,'AR SALES'!$AD$2:$AD$2501,IF(""&amp;$F2113="4","OFF","ON"),'AR SALES'!$AF$2:$AF$2501,"Y")&gt;0,"","NO EXEMPTION"))),"")</f>
        <v/>
      </c>
    </row>
    <row r="2114" spans="46:54" x14ac:dyDescent="0.25">
      <c r="AT2114" s="2" t="str">
        <f>IF($L2114="","",IFERROR(INDEX('AR SALES'!$H$2:$H$2501,MATCH(""&amp;$L2114,'AR SALES'!$AE$2:$AE$2501,0)),""))</f>
        <v/>
      </c>
      <c r="AU2114" s="2" t="str">
        <f t="shared" ref="AU2114:AU2177" si="132">IF($L2114="","",IF($A2114&lt;&gt;"GA","",IF($E2114="FULTON",IF(ISNUMBER(SEARCH("COLLEGE PARK",$AT2114)),"FULTON (COLLEGE PARK)",IF(ISNUMBER(SEARCH("ATLANTA CITY",$AT2114)),"FULTON (ATL LIMITS)","FULTON")),IF($E2114="DEKALB",IF(ISNUMBER(SEARCH("ATLANTA CITY",$AT2114)),"DEKALB (ATL LIMITS)","DEKALB"),$E2114))))</f>
        <v/>
      </c>
      <c r="AV2114" s="2" t="str">
        <f t="shared" ref="AV2114:AV2177" si="133">IF($L2114="","",IF(""&amp;$F2114="2","DIESEL",IF(OR(""&amp;$F2114="G",""&amp;$F2114="H"),"GAS","")))</f>
        <v/>
      </c>
      <c r="AW2114" s="2" t="str">
        <f t="shared" ref="AW2114:AW2177" si="134">IF($AV2114="","",$R2114)</f>
        <v/>
      </c>
      <c r="AX2114" s="2" t="str">
        <f t="shared" ref="AX2114:AX2177" si="135">IF($AV2114="","",IF($AB2114=0,$R2114,0))</f>
        <v/>
      </c>
      <c r="AY2114" s="2" t="str">
        <f>IF($AV2114="","",IF(AND($Z2114=0,COUNTIF('AR SALES'!$L$2:$L$2501,$L2114)=0),"YES",""))</f>
        <v/>
      </c>
      <c r="AZ2114" s="2" t="str">
        <f>IF($AV2114="","",IF(COUNTIF(LISTS!$C$2:$C$250,$AU2114)=0,"NEW",""))</f>
        <v/>
      </c>
      <c r="BA2114" s="2" t="str">
        <f>IF(""&amp;$F2114&lt;&gt;"4","",IF($AY2114="YES","",IF(ROUND(SUMIFS($AE$2:$AE$4001,$L$2:$L$4001,$L2114,$F$2:$F$4001,"4")-SUMIFS('AR SALES'!$Y$2:$Y$2501,'AR SALES'!$L$2:$L$2501,$L2114,'AR SALES'!$AD$2:$AD$2501,"OFF"),2)=0,"","STALE")))</f>
        <v/>
      </c>
      <c r="BB2114" s="2" t="str">
        <f>IF(OR(""&amp;$F2114="2",""&amp;$F2114="4",""&amp;$F2114="G",""&amp;$F2114="H"),IF($AY2114="YES","",IF($AB2114&lt;&gt;0,"",IF(COUNTIFS('AR SALES'!$L$2:$L$2501,$L2114,'AR SALES'!$AD$2:$AD$2501,IF(""&amp;$F2114="4","OFF","ON"),'AR SALES'!$AF$2:$AF$2501,"Y")&gt;0,"","NO EXEMPTION"))),"")</f>
        <v/>
      </c>
    </row>
    <row r="2115" spans="46:54" x14ac:dyDescent="0.25">
      <c r="AT2115" s="2" t="str">
        <f>IF($L2115="","",IFERROR(INDEX('AR SALES'!$H$2:$H$2501,MATCH(""&amp;$L2115,'AR SALES'!$AE$2:$AE$2501,0)),""))</f>
        <v/>
      </c>
      <c r="AU2115" s="2" t="str">
        <f t="shared" si="132"/>
        <v/>
      </c>
      <c r="AV2115" s="2" t="str">
        <f t="shared" si="133"/>
        <v/>
      </c>
      <c r="AW2115" s="2" t="str">
        <f t="shared" si="134"/>
        <v/>
      </c>
      <c r="AX2115" s="2" t="str">
        <f t="shared" si="135"/>
        <v/>
      </c>
      <c r="AY2115" s="2" t="str">
        <f>IF($AV2115="","",IF(AND($Z2115=0,COUNTIF('AR SALES'!$L$2:$L$2501,$L2115)=0),"YES",""))</f>
        <v/>
      </c>
      <c r="AZ2115" s="2" t="str">
        <f>IF($AV2115="","",IF(COUNTIF(LISTS!$C$2:$C$250,$AU2115)=0,"NEW",""))</f>
        <v/>
      </c>
      <c r="BA2115" s="2" t="str">
        <f>IF(""&amp;$F2115&lt;&gt;"4","",IF($AY2115="YES","",IF(ROUND(SUMIFS($AE$2:$AE$4001,$L$2:$L$4001,$L2115,$F$2:$F$4001,"4")-SUMIFS('AR SALES'!$Y$2:$Y$2501,'AR SALES'!$L$2:$L$2501,$L2115,'AR SALES'!$AD$2:$AD$2501,"OFF"),2)=0,"","STALE")))</f>
        <v/>
      </c>
      <c r="BB2115" s="2" t="str">
        <f>IF(OR(""&amp;$F2115="2",""&amp;$F2115="4",""&amp;$F2115="G",""&amp;$F2115="H"),IF($AY2115="YES","",IF($AB2115&lt;&gt;0,"",IF(COUNTIFS('AR SALES'!$L$2:$L$2501,$L2115,'AR SALES'!$AD$2:$AD$2501,IF(""&amp;$F2115="4","OFF","ON"),'AR SALES'!$AF$2:$AF$2501,"Y")&gt;0,"","NO EXEMPTION"))),"")</f>
        <v/>
      </c>
    </row>
    <row r="2116" spans="46:54" x14ac:dyDescent="0.25">
      <c r="AT2116" s="2" t="str">
        <f>IF($L2116="","",IFERROR(INDEX('AR SALES'!$H$2:$H$2501,MATCH(""&amp;$L2116,'AR SALES'!$AE$2:$AE$2501,0)),""))</f>
        <v/>
      </c>
      <c r="AU2116" s="2" t="str">
        <f t="shared" si="132"/>
        <v/>
      </c>
      <c r="AV2116" s="2" t="str">
        <f t="shared" si="133"/>
        <v/>
      </c>
      <c r="AW2116" s="2" t="str">
        <f t="shared" si="134"/>
        <v/>
      </c>
      <c r="AX2116" s="2" t="str">
        <f t="shared" si="135"/>
        <v/>
      </c>
      <c r="AY2116" s="2" t="str">
        <f>IF($AV2116="","",IF(AND($Z2116=0,COUNTIF('AR SALES'!$L$2:$L$2501,$L2116)=0),"YES",""))</f>
        <v/>
      </c>
      <c r="AZ2116" s="2" t="str">
        <f>IF($AV2116="","",IF(COUNTIF(LISTS!$C$2:$C$250,$AU2116)=0,"NEW",""))</f>
        <v/>
      </c>
      <c r="BA2116" s="2" t="str">
        <f>IF(""&amp;$F2116&lt;&gt;"4","",IF($AY2116="YES","",IF(ROUND(SUMIFS($AE$2:$AE$4001,$L$2:$L$4001,$L2116,$F$2:$F$4001,"4")-SUMIFS('AR SALES'!$Y$2:$Y$2501,'AR SALES'!$L$2:$L$2501,$L2116,'AR SALES'!$AD$2:$AD$2501,"OFF"),2)=0,"","STALE")))</f>
        <v/>
      </c>
      <c r="BB2116" s="2" t="str">
        <f>IF(OR(""&amp;$F2116="2",""&amp;$F2116="4",""&amp;$F2116="G",""&amp;$F2116="H"),IF($AY2116="YES","",IF($AB2116&lt;&gt;0,"",IF(COUNTIFS('AR SALES'!$L$2:$L$2501,$L2116,'AR SALES'!$AD$2:$AD$2501,IF(""&amp;$F2116="4","OFF","ON"),'AR SALES'!$AF$2:$AF$2501,"Y")&gt;0,"","NO EXEMPTION"))),"")</f>
        <v/>
      </c>
    </row>
    <row r="2117" spans="46:54" x14ac:dyDescent="0.25">
      <c r="AT2117" s="2" t="str">
        <f>IF($L2117="","",IFERROR(INDEX('AR SALES'!$H$2:$H$2501,MATCH(""&amp;$L2117,'AR SALES'!$AE$2:$AE$2501,0)),""))</f>
        <v/>
      </c>
      <c r="AU2117" s="2" t="str">
        <f t="shared" si="132"/>
        <v/>
      </c>
      <c r="AV2117" s="2" t="str">
        <f t="shared" si="133"/>
        <v/>
      </c>
      <c r="AW2117" s="2" t="str">
        <f t="shared" si="134"/>
        <v/>
      </c>
      <c r="AX2117" s="2" t="str">
        <f t="shared" si="135"/>
        <v/>
      </c>
      <c r="AY2117" s="2" t="str">
        <f>IF($AV2117="","",IF(AND($Z2117=0,COUNTIF('AR SALES'!$L$2:$L$2501,$L2117)=0),"YES",""))</f>
        <v/>
      </c>
      <c r="AZ2117" s="2" t="str">
        <f>IF($AV2117="","",IF(COUNTIF(LISTS!$C$2:$C$250,$AU2117)=0,"NEW",""))</f>
        <v/>
      </c>
      <c r="BA2117" s="2" t="str">
        <f>IF(""&amp;$F2117&lt;&gt;"4","",IF($AY2117="YES","",IF(ROUND(SUMIFS($AE$2:$AE$4001,$L$2:$L$4001,$L2117,$F$2:$F$4001,"4")-SUMIFS('AR SALES'!$Y$2:$Y$2501,'AR SALES'!$L$2:$L$2501,$L2117,'AR SALES'!$AD$2:$AD$2501,"OFF"),2)=0,"","STALE")))</f>
        <v/>
      </c>
      <c r="BB2117" s="2" t="str">
        <f>IF(OR(""&amp;$F2117="2",""&amp;$F2117="4",""&amp;$F2117="G",""&amp;$F2117="H"),IF($AY2117="YES","",IF($AB2117&lt;&gt;0,"",IF(COUNTIFS('AR SALES'!$L$2:$L$2501,$L2117,'AR SALES'!$AD$2:$AD$2501,IF(""&amp;$F2117="4","OFF","ON"),'AR SALES'!$AF$2:$AF$2501,"Y")&gt;0,"","NO EXEMPTION"))),"")</f>
        <v/>
      </c>
    </row>
    <row r="2118" spans="46:54" x14ac:dyDescent="0.25">
      <c r="AT2118" s="2" t="str">
        <f>IF($L2118="","",IFERROR(INDEX('AR SALES'!$H$2:$H$2501,MATCH(""&amp;$L2118,'AR SALES'!$AE$2:$AE$2501,0)),""))</f>
        <v/>
      </c>
      <c r="AU2118" s="2" t="str">
        <f t="shared" si="132"/>
        <v/>
      </c>
      <c r="AV2118" s="2" t="str">
        <f t="shared" si="133"/>
        <v/>
      </c>
      <c r="AW2118" s="2" t="str">
        <f t="shared" si="134"/>
        <v/>
      </c>
      <c r="AX2118" s="2" t="str">
        <f t="shared" si="135"/>
        <v/>
      </c>
      <c r="AY2118" s="2" t="str">
        <f>IF($AV2118="","",IF(AND($Z2118=0,COUNTIF('AR SALES'!$L$2:$L$2501,$L2118)=0),"YES",""))</f>
        <v/>
      </c>
      <c r="AZ2118" s="2" t="str">
        <f>IF($AV2118="","",IF(COUNTIF(LISTS!$C$2:$C$250,$AU2118)=0,"NEW",""))</f>
        <v/>
      </c>
      <c r="BA2118" s="2" t="str">
        <f>IF(""&amp;$F2118&lt;&gt;"4","",IF($AY2118="YES","",IF(ROUND(SUMIFS($AE$2:$AE$4001,$L$2:$L$4001,$L2118,$F$2:$F$4001,"4")-SUMIFS('AR SALES'!$Y$2:$Y$2501,'AR SALES'!$L$2:$L$2501,$L2118,'AR SALES'!$AD$2:$AD$2501,"OFF"),2)=0,"","STALE")))</f>
        <v/>
      </c>
      <c r="BB2118" s="2" t="str">
        <f>IF(OR(""&amp;$F2118="2",""&amp;$F2118="4",""&amp;$F2118="G",""&amp;$F2118="H"),IF($AY2118="YES","",IF($AB2118&lt;&gt;0,"",IF(COUNTIFS('AR SALES'!$L$2:$L$2501,$L2118,'AR SALES'!$AD$2:$AD$2501,IF(""&amp;$F2118="4","OFF","ON"),'AR SALES'!$AF$2:$AF$2501,"Y")&gt;0,"","NO EXEMPTION"))),"")</f>
        <v/>
      </c>
    </row>
    <row r="2119" spans="46:54" x14ac:dyDescent="0.25">
      <c r="AT2119" s="2" t="str">
        <f>IF($L2119="","",IFERROR(INDEX('AR SALES'!$H$2:$H$2501,MATCH(""&amp;$L2119,'AR SALES'!$AE$2:$AE$2501,0)),""))</f>
        <v/>
      </c>
      <c r="AU2119" s="2" t="str">
        <f t="shared" si="132"/>
        <v/>
      </c>
      <c r="AV2119" s="2" t="str">
        <f t="shared" si="133"/>
        <v/>
      </c>
      <c r="AW2119" s="2" t="str">
        <f t="shared" si="134"/>
        <v/>
      </c>
      <c r="AX2119" s="2" t="str">
        <f t="shared" si="135"/>
        <v/>
      </c>
      <c r="AY2119" s="2" t="str">
        <f>IF($AV2119="","",IF(AND($Z2119=0,COUNTIF('AR SALES'!$L$2:$L$2501,$L2119)=0),"YES",""))</f>
        <v/>
      </c>
      <c r="AZ2119" s="2" t="str">
        <f>IF($AV2119="","",IF(COUNTIF(LISTS!$C$2:$C$250,$AU2119)=0,"NEW",""))</f>
        <v/>
      </c>
      <c r="BA2119" s="2" t="str">
        <f>IF(""&amp;$F2119&lt;&gt;"4","",IF($AY2119="YES","",IF(ROUND(SUMIFS($AE$2:$AE$4001,$L$2:$L$4001,$L2119,$F$2:$F$4001,"4")-SUMIFS('AR SALES'!$Y$2:$Y$2501,'AR SALES'!$L$2:$L$2501,$L2119,'AR SALES'!$AD$2:$AD$2501,"OFF"),2)=0,"","STALE")))</f>
        <v/>
      </c>
      <c r="BB2119" s="2" t="str">
        <f>IF(OR(""&amp;$F2119="2",""&amp;$F2119="4",""&amp;$F2119="G",""&amp;$F2119="H"),IF($AY2119="YES","",IF($AB2119&lt;&gt;0,"",IF(COUNTIFS('AR SALES'!$L$2:$L$2501,$L2119,'AR SALES'!$AD$2:$AD$2501,IF(""&amp;$F2119="4","OFF","ON"),'AR SALES'!$AF$2:$AF$2501,"Y")&gt;0,"","NO EXEMPTION"))),"")</f>
        <v/>
      </c>
    </row>
    <row r="2120" spans="46:54" x14ac:dyDescent="0.25">
      <c r="AT2120" s="2" t="str">
        <f>IF($L2120="","",IFERROR(INDEX('AR SALES'!$H$2:$H$2501,MATCH(""&amp;$L2120,'AR SALES'!$AE$2:$AE$2501,0)),""))</f>
        <v/>
      </c>
      <c r="AU2120" s="2" t="str">
        <f t="shared" si="132"/>
        <v/>
      </c>
      <c r="AV2120" s="2" t="str">
        <f t="shared" si="133"/>
        <v/>
      </c>
      <c r="AW2120" s="2" t="str">
        <f t="shared" si="134"/>
        <v/>
      </c>
      <c r="AX2120" s="2" t="str">
        <f t="shared" si="135"/>
        <v/>
      </c>
      <c r="AY2120" s="2" t="str">
        <f>IF($AV2120="","",IF(AND($Z2120=0,COUNTIF('AR SALES'!$L$2:$L$2501,$L2120)=0),"YES",""))</f>
        <v/>
      </c>
      <c r="AZ2120" s="2" t="str">
        <f>IF($AV2120="","",IF(COUNTIF(LISTS!$C$2:$C$250,$AU2120)=0,"NEW",""))</f>
        <v/>
      </c>
      <c r="BA2120" s="2" t="str">
        <f>IF(""&amp;$F2120&lt;&gt;"4","",IF($AY2120="YES","",IF(ROUND(SUMIFS($AE$2:$AE$4001,$L$2:$L$4001,$L2120,$F$2:$F$4001,"4")-SUMIFS('AR SALES'!$Y$2:$Y$2501,'AR SALES'!$L$2:$L$2501,$L2120,'AR SALES'!$AD$2:$AD$2501,"OFF"),2)=0,"","STALE")))</f>
        <v/>
      </c>
      <c r="BB2120" s="2" t="str">
        <f>IF(OR(""&amp;$F2120="2",""&amp;$F2120="4",""&amp;$F2120="G",""&amp;$F2120="H"),IF($AY2120="YES","",IF($AB2120&lt;&gt;0,"",IF(COUNTIFS('AR SALES'!$L$2:$L$2501,$L2120,'AR SALES'!$AD$2:$AD$2501,IF(""&amp;$F2120="4","OFF","ON"),'AR SALES'!$AF$2:$AF$2501,"Y")&gt;0,"","NO EXEMPTION"))),"")</f>
        <v/>
      </c>
    </row>
    <row r="2121" spans="46:54" x14ac:dyDescent="0.25">
      <c r="AT2121" s="2" t="str">
        <f>IF($L2121="","",IFERROR(INDEX('AR SALES'!$H$2:$H$2501,MATCH(""&amp;$L2121,'AR SALES'!$AE$2:$AE$2501,0)),""))</f>
        <v/>
      </c>
      <c r="AU2121" s="2" t="str">
        <f t="shared" si="132"/>
        <v/>
      </c>
      <c r="AV2121" s="2" t="str">
        <f t="shared" si="133"/>
        <v/>
      </c>
      <c r="AW2121" s="2" t="str">
        <f t="shared" si="134"/>
        <v/>
      </c>
      <c r="AX2121" s="2" t="str">
        <f t="shared" si="135"/>
        <v/>
      </c>
      <c r="AY2121" s="2" t="str">
        <f>IF($AV2121="","",IF(AND($Z2121=0,COUNTIF('AR SALES'!$L$2:$L$2501,$L2121)=0),"YES",""))</f>
        <v/>
      </c>
      <c r="AZ2121" s="2" t="str">
        <f>IF($AV2121="","",IF(COUNTIF(LISTS!$C$2:$C$250,$AU2121)=0,"NEW",""))</f>
        <v/>
      </c>
      <c r="BA2121" s="2" t="str">
        <f>IF(""&amp;$F2121&lt;&gt;"4","",IF($AY2121="YES","",IF(ROUND(SUMIFS($AE$2:$AE$4001,$L$2:$L$4001,$L2121,$F$2:$F$4001,"4")-SUMIFS('AR SALES'!$Y$2:$Y$2501,'AR SALES'!$L$2:$L$2501,$L2121,'AR SALES'!$AD$2:$AD$2501,"OFF"),2)=0,"","STALE")))</f>
        <v/>
      </c>
      <c r="BB2121" s="2" t="str">
        <f>IF(OR(""&amp;$F2121="2",""&amp;$F2121="4",""&amp;$F2121="G",""&amp;$F2121="H"),IF($AY2121="YES","",IF($AB2121&lt;&gt;0,"",IF(COUNTIFS('AR SALES'!$L$2:$L$2501,$L2121,'AR SALES'!$AD$2:$AD$2501,IF(""&amp;$F2121="4","OFF","ON"),'AR SALES'!$AF$2:$AF$2501,"Y")&gt;0,"","NO EXEMPTION"))),"")</f>
        <v/>
      </c>
    </row>
    <row r="2122" spans="46:54" x14ac:dyDescent="0.25">
      <c r="AT2122" s="2" t="str">
        <f>IF($L2122="","",IFERROR(INDEX('AR SALES'!$H$2:$H$2501,MATCH(""&amp;$L2122,'AR SALES'!$AE$2:$AE$2501,0)),""))</f>
        <v/>
      </c>
      <c r="AU2122" s="2" t="str">
        <f t="shared" si="132"/>
        <v/>
      </c>
      <c r="AV2122" s="2" t="str">
        <f t="shared" si="133"/>
        <v/>
      </c>
      <c r="AW2122" s="2" t="str">
        <f t="shared" si="134"/>
        <v/>
      </c>
      <c r="AX2122" s="2" t="str">
        <f t="shared" si="135"/>
        <v/>
      </c>
      <c r="AY2122" s="2" t="str">
        <f>IF($AV2122="","",IF(AND($Z2122=0,COUNTIF('AR SALES'!$L$2:$L$2501,$L2122)=0),"YES",""))</f>
        <v/>
      </c>
      <c r="AZ2122" s="2" t="str">
        <f>IF($AV2122="","",IF(COUNTIF(LISTS!$C$2:$C$250,$AU2122)=0,"NEW",""))</f>
        <v/>
      </c>
      <c r="BA2122" s="2" t="str">
        <f>IF(""&amp;$F2122&lt;&gt;"4","",IF($AY2122="YES","",IF(ROUND(SUMIFS($AE$2:$AE$4001,$L$2:$L$4001,$L2122,$F$2:$F$4001,"4")-SUMIFS('AR SALES'!$Y$2:$Y$2501,'AR SALES'!$L$2:$L$2501,$L2122,'AR SALES'!$AD$2:$AD$2501,"OFF"),2)=0,"","STALE")))</f>
        <v/>
      </c>
      <c r="BB2122" s="2" t="str">
        <f>IF(OR(""&amp;$F2122="2",""&amp;$F2122="4",""&amp;$F2122="G",""&amp;$F2122="H"),IF($AY2122="YES","",IF($AB2122&lt;&gt;0,"",IF(COUNTIFS('AR SALES'!$L$2:$L$2501,$L2122,'AR SALES'!$AD$2:$AD$2501,IF(""&amp;$F2122="4","OFF","ON"),'AR SALES'!$AF$2:$AF$2501,"Y")&gt;0,"","NO EXEMPTION"))),"")</f>
        <v/>
      </c>
    </row>
    <row r="2123" spans="46:54" x14ac:dyDescent="0.25">
      <c r="AT2123" s="2" t="str">
        <f>IF($L2123="","",IFERROR(INDEX('AR SALES'!$H$2:$H$2501,MATCH(""&amp;$L2123,'AR SALES'!$AE$2:$AE$2501,0)),""))</f>
        <v/>
      </c>
      <c r="AU2123" s="2" t="str">
        <f t="shared" si="132"/>
        <v/>
      </c>
      <c r="AV2123" s="2" t="str">
        <f t="shared" si="133"/>
        <v/>
      </c>
      <c r="AW2123" s="2" t="str">
        <f t="shared" si="134"/>
        <v/>
      </c>
      <c r="AX2123" s="2" t="str">
        <f t="shared" si="135"/>
        <v/>
      </c>
      <c r="AY2123" s="2" t="str">
        <f>IF($AV2123="","",IF(AND($Z2123=0,COUNTIF('AR SALES'!$L$2:$L$2501,$L2123)=0),"YES",""))</f>
        <v/>
      </c>
      <c r="AZ2123" s="2" t="str">
        <f>IF($AV2123="","",IF(COUNTIF(LISTS!$C$2:$C$250,$AU2123)=0,"NEW",""))</f>
        <v/>
      </c>
      <c r="BA2123" s="2" t="str">
        <f>IF(""&amp;$F2123&lt;&gt;"4","",IF($AY2123="YES","",IF(ROUND(SUMIFS($AE$2:$AE$4001,$L$2:$L$4001,$L2123,$F$2:$F$4001,"4")-SUMIFS('AR SALES'!$Y$2:$Y$2501,'AR SALES'!$L$2:$L$2501,$L2123,'AR SALES'!$AD$2:$AD$2501,"OFF"),2)=0,"","STALE")))</f>
        <v/>
      </c>
      <c r="BB2123" s="2" t="str">
        <f>IF(OR(""&amp;$F2123="2",""&amp;$F2123="4",""&amp;$F2123="G",""&amp;$F2123="H"),IF($AY2123="YES","",IF($AB2123&lt;&gt;0,"",IF(COUNTIFS('AR SALES'!$L$2:$L$2501,$L2123,'AR SALES'!$AD$2:$AD$2501,IF(""&amp;$F2123="4","OFF","ON"),'AR SALES'!$AF$2:$AF$2501,"Y")&gt;0,"","NO EXEMPTION"))),"")</f>
        <v/>
      </c>
    </row>
    <row r="2124" spans="46:54" x14ac:dyDescent="0.25">
      <c r="AT2124" s="2" t="str">
        <f>IF($L2124="","",IFERROR(INDEX('AR SALES'!$H$2:$H$2501,MATCH(""&amp;$L2124,'AR SALES'!$AE$2:$AE$2501,0)),""))</f>
        <v/>
      </c>
      <c r="AU2124" s="2" t="str">
        <f t="shared" si="132"/>
        <v/>
      </c>
      <c r="AV2124" s="2" t="str">
        <f t="shared" si="133"/>
        <v/>
      </c>
      <c r="AW2124" s="2" t="str">
        <f t="shared" si="134"/>
        <v/>
      </c>
      <c r="AX2124" s="2" t="str">
        <f t="shared" si="135"/>
        <v/>
      </c>
      <c r="AY2124" s="2" t="str">
        <f>IF($AV2124="","",IF(AND($Z2124=0,COUNTIF('AR SALES'!$L$2:$L$2501,$L2124)=0),"YES",""))</f>
        <v/>
      </c>
      <c r="AZ2124" s="2" t="str">
        <f>IF($AV2124="","",IF(COUNTIF(LISTS!$C$2:$C$250,$AU2124)=0,"NEW",""))</f>
        <v/>
      </c>
      <c r="BA2124" s="2" t="str">
        <f>IF(""&amp;$F2124&lt;&gt;"4","",IF($AY2124="YES","",IF(ROUND(SUMIFS($AE$2:$AE$4001,$L$2:$L$4001,$L2124,$F$2:$F$4001,"4")-SUMIFS('AR SALES'!$Y$2:$Y$2501,'AR SALES'!$L$2:$L$2501,$L2124,'AR SALES'!$AD$2:$AD$2501,"OFF"),2)=0,"","STALE")))</f>
        <v/>
      </c>
      <c r="BB2124" s="2" t="str">
        <f>IF(OR(""&amp;$F2124="2",""&amp;$F2124="4",""&amp;$F2124="G",""&amp;$F2124="H"),IF($AY2124="YES","",IF($AB2124&lt;&gt;0,"",IF(COUNTIFS('AR SALES'!$L$2:$L$2501,$L2124,'AR SALES'!$AD$2:$AD$2501,IF(""&amp;$F2124="4","OFF","ON"),'AR SALES'!$AF$2:$AF$2501,"Y")&gt;0,"","NO EXEMPTION"))),"")</f>
        <v/>
      </c>
    </row>
    <row r="2125" spans="46:54" x14ac:dyDescent="0.25">
      <c r="AT2125" s="2" t="str">
        <f>IF($L2125="","",IFERROR(INDEX('AR SALES'!$H$2:$H$2501,MATCH(""&amp;$L2125,'AR SALES'!$AE$2:$AE$2501,0)),""))</f>
        <v/>
      </c>
      <c r="AU2125" s="2" t="str">
        <f t="shared" si="132"/>
        <v/>
      </c>
      <c r="AV2125" s="2" t="str">
        <f t="shared" si="133"/>
        <v/>
      </c>
      <c r="AW2125" s="2" t="str">
        <f t="shared" si="134"/>
        <v/>
      </c>
      <c r="AX2125" s="2" t="str">
        <f t="shared" si="135"/>
        <v/>
      </c>
      <c r="AY2125" s="2" t="str">
        <f>IF($AV2125="","",IF(AND($Z2125=0,COUNTIF('AR SALES'!$L$2:$L$2501,$L2125)=0),"YES",""))</f>
        <v/>
      </c>
      <c r="AZ2125" s="2" t="str">
        <f>IF($AV2125="","",IF(COUNTIF(LISTS!$C$2:$C$250,$AU2125)=0,"NEW",""))</f>
        <v/>
      </c>
      <c r="BA2125" s="2" t="str">
        <f>IF(""&amp;$F2125&lt;&gt;"4","",IF($AY2125="YES","",IF(ROUND(SUMIFS($AE$2:$AE$4001,$L$2:$L$4001,$L2125,$F$2:$F$4001,"4")-SUMIFS('AR SALES'!$Y$2:$Y$2501,'AR SALES'!$L$2:$L$2501,$L2125,'AR SALES'!$AD$2:$AD$2501,"OFF"),2)=0,"","STALE")))</f>
        <v/>
      </c>
      <c r="BB2125" s="2" t="str">
        <f>IF(OR(""&amp;$F2125="2",""&amp;$F2125="4",""&amp;$F2125="G",""&amp;$F2125="H"),IF($AY2125="YES","",IF($AB2125&lt;&gt;0,"",IF(COUNTIFS('AR SALES'!$L$2:$L$2501,$L2125,'AR SALES'!$AD$2:$AD$2501,IF(""&amp;$F2125="4","OFF","ON"),'AR SALES'!$AF$2:$AF$2501,"Y")&gt;0,"","NO EXEMPTION"))),"")</f>
        <v/>
      </c>
    </row>
    <row r="2126" spans="46:54" x14ac:dyDescent="0.25">
      <c r="AT2126" s="2" t="str">
        <f>IF($L2126="","",IFERROR(INDEX('AR SALES'!$H$2:$H$2501,MATCH(""&amp;$L2126,'AR SALES'!$AE$2:$AE$2501,0)),""))</f>
        <v/>
      </c>
      <c r="AU2126" s="2" t="str">
        <f t="shared" si="132"/>
        <v/>
      </c>
      <c r="AV2126" s="2" t="str">
        <f t="shared" si="133"/>
        <v/>
      </c>
      <c r="AW2126" s="2" t="str">
        <f t="shared" si="134"/>
        <v/>
      </c>
      <c r="AX2126" s="2" t="str">
        <f t="shared" si="135"/>
        <v/>
      </c>
      <c r="AY2126" s="2" t="str">
        <f>IF($AV2126="","",IF(AND($Z2126=0,COUNTIF('AR SALES'!$L$2:$L$2501,$L2126)=0),"YES",""))</f>
        <v/>
      </c>
      <c r="AZ2126" s="2" t="str">
        <f>IF($AV2126="","",IF(COUNTIF(LISTS!$C$2:$C$250,$AU2126)=0,"NEW",""))</f>
        <v/>
      </c>
      <c r="BA2126" s="2" t="str">
        <f>IF(""&amp;$F2126&lt;&gt;"4","",IF($AY2126="YES","",IF(ROUND(SUMIFS($AE$2:$AE$4001,$L$2:$L$4001,$L2126,$F$2:$F$4001,"4")-SUMIFS('AR SALES'!$Y$2:$Y$2501,'AR SALES'!$L$2:$L$2501,$L2126,'AR SALES'!$AD$2:$AD$2501,"OFF"),2)=0,"","STALE")))</f>
        <v/>
      </c>
      <c r="BB2126" s="2" t="str">
        <f>IF(OR(""&amp;$F2126="2",""&amp;$F2126="4",""&amp;$F2126="G",""&amp;$F2126="H"),IF($AY2126="YES","",IF($AB2126&lt;&gt;0,"",IF(COUNTIFS('AR SALES'!$L$2:$L$2501,$L2126,'AR SALES'!$AD$2:$AD$2501,IF(""&amp;$F2126="4","OFF","ON"),'AR SALES'!$AF$2:$AF$2501,"Y")&gt;0,"","NO EXEMPTION"))),"")</f>
        <v/>
      </c>
    </row>
    <row r="2127" spans="46:54" x14ac:dyDescent="0.25">
      <c r="AT2127" s="2" t="str">
        <f>IF($L2127="","",IFERROR(INDEX('AR SALES'!$H$2:$H$2501,MATCH(""&amp;$L2127,'AR SALES'!$AE$2:$AE$2501,0)),""))</f>
        <v/>
      </c>
      <c r="AU2127" s="2" t="str">
        <f t="shared" si="132"/>
        <v/>
      </c>
      <c r="AV2127" s="2" t="str">
        <f t="shared" si="133"/>
        <v/>
      </c>
      <c r="AW2127" s="2" t="str">
        <f t="shared" si="134"/>
        <v/>
      </c>
      <c r="AX2127" s="2" t="str">
        <f t="shared" si="135"/>
        <v/>
      </c>
      <c r="AY2127" s="2" t="str">
        <f>IF($AV2127="","",IF(AND($Z2127=0,COUNTIF('AR SALES'!$L$2:$L$2501,$L2127)=0),"YES",""))</f>
        <v/>
      </c>
      <c r="AZ2127" s="2" t="str">
        <f>IF($AV2127="","",IF(COUNTIF(LISTS!$C$2:$C$250,$AU2127)=0,"NEW",""))</f>
        <v/>
      </c>
      <c r="BA2127" s="2" t="str">
        <f>IF(""&amp;$F2127&lt;&gt;"4","",IF($AY2127="YES","",IF(ROUND(SUMIFS($AE$2:$AE$4001,$L$2:$L$4001,$L2127,$F$2:$F$4001,"4")-SUMIFS('AR SALES'!$Y$2:$Y$2501,'AR SALES'!$L$2:$L$2501,$L2127,'AR SALES'!$AD$2:$AD$2501,"OFF"),2)=0,"","STALE")))</f>
        <v/>
      </c>
      <c r="BB2127" s="2" t="str">
        <f>IF(OR(""&amp;$F2127="2",""&amp;$F2127="4",""&amp;$F2127="G",""&amp;$F2127="H"),IF($AY2127="YES","",IF($AB2127&lt;&gt;0,"",IF(COUNTIFS('AR SALES'!$L$2:$L$2501,$L2127,'AR SALES'!$AD$2:$AD$2501,IF(""&amp;$F2127="4","OFF","ON"),'AR SALES'!$AF$2:$AF$2501,"Y")&gt;0,"","NO EXEMPTION"))),"")</f>
        <v/>
      </c>
    </row>
    <row r="2128" spans="46:54" x14ac:dyDescent="0.25">
      <c r="AT2128" s="2" t="str">
        <f>IF($L2128="","",IFERROR(INDEX('AR SALES'!$H$2:$H$2501,MATCH(""&amp;$L2128,'AR SALES'!$AE$2:$AE$2501,0)),""))</f>
        <v/>
      </c>
      <c r="AU2128" s="2" t="str">
        <f t="shared" si="132"/>
        <v/>
      </c>
      <c r="AV2128" s="2" t="str">
        <f t="shared" si="133"/>
        <v/>
      </c>
      <c r="AW2128" s="2" t="str">
        <f t="shared" si="134"/>
        <v/>
      </c>
      <c r="AX2128" s="2" t="str">
        <f t="shared" si="135"/>
        <v/>
      </c>
      <c r="AY2128" s="2" t="str">
        <f>IF($AV2128="","",IF(AND($Z2128=0,COUNTIF('AR SALES'!$L$2:$L$2501,$L2128)=0),"YES",""))</f>
        <v/>
      </c>
      <c r="AZ2128" s="2" t="str">
        <f>IF($AV2128="","",IF(COUNTIF(LISTS!$C$2:$C$250,$AU2128)=0,"NEW",""))</f>
        <v/>
      </c>
      <c r="BA2128" s="2" t="str">
        <f>IF(""&amp;$F2128&lt;&gt;"4","",IF($AY2128="YES","",IF(ROUND(SUMIFS($AE$2:$AE$4001,$L$2:$L$4001,$L2128,$F$2:$F$4001,"4")-SUMIFS('AR SALES'!$Y$2:$Y$2501,'AR SALES'!$L$2:$L$2501,$L2128,'AR SALES'!$AD$2:$AD$2501,"OFF"),2)=0,"","STALE")))</f>
        <v/>
      </c>
      <c r="BB2128" s="2" t="str">
        <f>IF(OR(""&amp;$F2128="2",""&amp;$F2128="4",""&amp;$F2128="G",""&amp;$F2128="H"),IF($AY2128="YES","",IF($AB2128&lt;&gt;0,"",IF(COUNTIFS('AR SALES'!$L$2:$L$2501,$L2128,'AR SALES'!$AD$2:$AD$2501,IF(""&amp;$F2128="4","OFF","ON"),'AR SALES'!$AF$2:$AF$2501,"Y")&gt;0,"","NO EXEMPTION"))),"")</f>
        <v/>
      </c>
    </row>
    <row r="2129" spans="46:54" x14ac:dyDescent="0.25">
      <c r="AT2129" s="2" t="str">
        <f>IF($L2129="","",IFERROR(INDEX('AR SALES'!$H$2:$H$2501,MATCH(""&amp;$L2129,'AR SALES'!$AE$2:$AE$2501,0)),""))</f>
        <v/>
      </c>
      <c r="AU2129" s="2" t="str">
        <f t="shared" si="132"/>
        <v/>
      </c>
      <c r="AV2129" s="2" t="str">
        <f t="shared" si="133"/>
        <v/>
      </c>
      <c r="AW2129" s="2" t="str">
        <f t="shared" si="134"/>
        <v/>
      </c>
      <c r="AX2129" s="2" t="str">
        <f t="shared" si="135"/>
        <v/>
      </c>
      <c r="AY2129" s="2" t="str">
        <f>IF($AV2129="","",IF(AND($Z2129=0,COUNTIF('AR SALES'!$L$2:$L$2501,$L2129)=0),"YES",""))</f>
        <v/>
      </c>
      <c r="AZ2129" s="2" t="str">
        <f>IF($AV2129="","",IF(COUNTIF(LISTS!$C$2:$C$250,$AU2129)=0,"NEW",""))</f>
        <v/>
      </c>
      <c r="BA2129" s="2" t="str">
        <f>IF(""&amp;$F2129&lt;&gt;"4","",IF($AY2129="YES","",IF(ROUND(SUMIFS($AE$2:$AE$4001,$L$2:$L$4001,$L2129,$F$2:$F$4001,"4")-SUMIFS('AR SALES'!$Y$2:$Y$2501,'AR SALES'!$L$2:$L$2501,$L2129,'AR SALES'!$AD$2:$AD$2501,"OFF"),2)=0,"","STALE")))</f>
        <v/>
      </c>
      <c r="BB2129" s="2" t="str">
        <f>IF(OR(""&amp;$F2129="2",""&amp;$F2129="4",""&amp;$F2129="G",""&amp;$F2129="H"),IF($AY2129="YES","",IF($AB2129&lt;&gt;0,"",IF(COUNTIFS('AR SALES'!$L$2:$L$2501,$L2129,'AR SALES'!$AD$2:$AD$2501,IF(""&amp;$F2129="4","OFF","ON"),'AR SALES'!$AF$2:$AF$2501,"Y")&gt;0,"","NO EXEMPTION"))),"")</f>
        <v/>
      </c>
    </row>
    <row r="2130" spans="46:54" x14ac:dyDescent="0.25">
      <c r="AT2130" s="2" t="str">
        <f>IF($L2130="","",IFERROR(INDEX('AR SALES'!$H$2:$H$2501,MATCH(""&amp;$L2130,'AR SALES'!$AE$2:$AE$2501,0)),""))</f>
        <v/>
      </c>
      <c r="AU2130" s="2" t="str">
        <f t="shared" si="132"/>
        <v/>
      </c>
      <c r="AV2130" s="2" t="str">
        <f t="shared" si="133"/>
        <v/>
      </c>
      <c r="AW2130" s="2" t="str">
        <f t="shared" si="134"/>
        <v/>
      </c>
      <c r="AX2130" s="2" t="str">
        <f t="shared" si="135"/>
        <v/>
      </c>
      <c r="AY2130" s="2" t="str">
        <f>IF($AV2130="","",IF(AND($Z2130=0,COUNTIF('AR SALES'!$L$2:$L$2501,$L2130)=0),"YES",""))</f>
        <v/>
      </c>
      <c r="AZ2130" s="2" t="str">
        <f>IF($AV2130="","",IF(COUNTIF(LISTS!$C$2:$C$250,$AU2130)=0,"NEW",""))</f>
        <v/>
      </c>
      <c r="BA2130" s="2" t="str">
        <f>IF(""&amp;$F2130&lt;&gt;"4","",IF($AY2130="YES","",IF(ROUND(SUMIFS($AE$2:$AE$4001,$L$2:$L$4001,$L2130,$F$2:$F$4001,"4")-SUMIFS('AR SALES'!$Y$2:$Y$2501,'AR SALES'!$L$2:$L$2501,$L2130,'AR SALES'!$AD$2:$AD$2501,"OFF"),2)=0,"","STALE")))</f>
        <v/>
      </c>
      <c r="BB2130" s="2" t="str">
        <f>IF(OR(""&amp;$F2130="2",""&amp;$F2130="4",""&amp;$F2130="G",""&amp;$F2130="H"),IF($AY2130="YES","",IF($AB2130&lt;&gt;0,"",IF(COUNTIFS('AR SALES'!$L$2:$L$2501,$L2130,'AR SALES'!$AD$2:$AD$2501,IF(""&amp;$F2130="4","OFF","ON"),'AR SALES'!$AF$2:$AF$2501,"Y")&gt;0,"","NO EXEMPTION"))),"")</f>
        <v/>
      </c>
    </row>
    <row r="2131" spans="46:54" x14ac:dyDescent="0.25">
      <c r="AT2131" s="2" t="str">
        <f>IF($L2131="","",IFERROR(INDEX('AR SALES'!$H$2:$H$2501,MATCH(""&amp;$L2131,'AR SALES'!$AE$2:$AE$2501,0)),""))</f>
        <v/>
      </c>
      <c r="AU2131" s="2" t="str">
        <f t="shared" si="132"/>
        <v/>
      </c>
      <c r="AV2131" s="2" t="str">
        <f t="shared" si="133"/>
        <v/>
      </c>
      <c r="AW2131" s="2" t="str">
        <f t="shared" si="134"/>
        <v/>
      </c>
      <c r="AX2131" s="2" t="str">
        <f t="shared" si="135"/>
        <v/>
      </c>
      <c r="AY2131" s="2" t="str">
        <f>IF($AV2131="","",IF(AND($Z2131=0,COUNTIF('AR SALES'!$L$2:$L$2501,$L2131)=0),"YES",""))</f>
        <v/>
      </c>
      <c r="AZ2131" s="2" t="str">
        <f>IF($AV2131="","",IF(COUNTIF(LISTS!$C$2:$C$250,$AU2131)=0,"NEW",""))</f>
        <v/>
      </c>
      <c r="BA2131" s="2" t="str">
        <f>IF(""&amp;$F2131&lt;&gt;"4","",IF($AY2131="YES","",IF(ROUND(SUMIFS($AE$2:$AE$4001,$L$2:$L$4001,$L2131,$F$2:$F$4001,"4")-SUMIFS('AR SALES'!$Y$2:$Y$2501,'AR SALES'!$L$2:$L$2501,$L2131,'AR SALES'!$AD$2:$AD$2501,"OFF"),2)=0,"","STALE")))</f>
        <v/>
      </c>
      <c r="BB2131" s="2" t="str">
        <f>IF(OR(""&amp;$F2131="2",""&amp;$F2131="4",""&amp;$F2131="G",""&amp;$F2131="H"),IF($AY2131="YES","",IF($AB2131&lt;&gt;0,"",IF(COUNTIFS('AR SALES'!$L$2:$L$2501,$L2131,'AR SALES'!$AD$2:$AD$2501,IF(""&amp;$F2131="4","OFF","ON"),'AR SALES'!$AF$2:$AF$2501,"Y")&gt;0,"","NO EXEMPTION"))),"")</f>
        <v/>
      </c>
    </row>
    <row r="2132" spans="46:54" x14ac:dyDescent="0.25">
      <c r="AT2132" s="2" t="str">
        <f>IF($L2132="","",IFERROR(INDEX('AR SALES'!$H$2:$H$2501,MATCH(""&amp;$L2132,'AR SALES'!$AE$2:$AE$2501,0)),""))</f>
        <v/>
      </c>
      <c r="AU2132" s="2" t="str">
        <f t="shared" si="132"/>
        <v/>
      </c>
      <c r="AV2132" s="2" t="str">
        <f t="shared" si="133"/>
        <v/>
      </c>
      <c r="AW2132" s="2" t="str">
        <f t="shared" si="134"/>
        <v/>
      </c>
      <c r="AX2132" s="2" t="str">
        <f t="shared" si="135"/>
        <v/>
      </c>
      <c r="AY2132" s="2" t="str">
        <f>IF($AV2132="","",IF(AND($Z2132=0,COUNTIF('AR SALES'!$L$2:$L$2501,$L2132)=0),"YES",""))</f>
        <v/>
      </c>
      <c r="AZ2132" s="2" t="str">
        <f>IF($AV2132="","",IF(COUNTIF(LISTS!$C$2:$C$250,$AU2132)=0,"NEW",""))</f>
        <v/>
      </c>
      <c r="BA2132" s="2" t="str">
        <f>IF(""&amp;$F2132&lt;&gt;"4","",IF($AY2132="YES","",IF(ROUND(SUMIFS($AE$2:$AE$4001,$L$2:$L$4001,$L2132,$F$2:$F$4001,"4")-SUMIFS('AR SALES'!$Y$2:$Y$2501,'AR SALES'!$L$2:$L$2501,$L2132,'AR SALES'!$AD$2:$AD$2501,"OFF"),2)=0,"","STALE")))</f>
        <v/>
      </c>
      <c r="BB2132" s="2" t="str">
        <f>IF(OR(""&amp;$F2132="2",""&amp;$F2132="4",""&amp;$F2132="G",""&amp;$F2132="H"),IF($AY2132="YES","",IF($AB2132&lt;&gt;0,"",IF(COUNTIFS('AR SALES'!$L$2:$L$2501,$L2132,'AR SALES'!$AD$2:$AD$2501,IF(""&amp;$F2132="4","OFF","ON"),'AR SALES'!$AF$2:$AF$2501,"Y")&gt;0,"","NO EXEMPTION"))),"")</f>
        <v/>
      </c>
    </row>
    <row r="2133" spans="46:54" x14ac:dyDescent="0.25">
      <c r="AT2133" s="2" t="str">
        <f>IF($L2133="","",IFERROR(INDEX('AR SALES'!$H$2:$H$2501,MATCH(""&amp;$L2133,'AR SALES'!$AE$2:$AE$2501,0)),""))</f>
        <v/>
      </c>
      <c r="AU2133" s="2" t="str">
        <f t="shared" si="132"/>
        <v/>
      </c>
      <c r="AV2133" s="2" t="str">
        <f t="shared" si="133"/>
        <v/>
      </c>
      <c r="AW2133" s="2" t="str">
        <f t="shared" si="134"/>
        <v/>
      </c>
      <c r="AX2133" s="2" t="str">
        <f t="shared" si="135"/>
        <v/>
      </c>
      <c r="AY2133" s="2" t="str">
        <f>IF($AV2133="","",IF(AND($Z2133=0,COUNTIF('AR SALES'!$L$2:$L$2501,$L2133)=0),"YES",""))</f>
        <v/>
      </c>
      <c r="AZ2133" s="2" t="str">
        <f>IF($AV2133="","",IF(COUNTIF(LISTS!$C$2:$C$250,$AU2133)=0,"NEW",""))</f>
        <v/>
      </c>
      <c r="BA2133" s="2" t="str">
        <f>IF(""&amp;$F2133&lt;&gt;"4","",IF($AY2133="YES","",IF(ROUND(SUMIFS($AE$2:$AE$4001,$L$2:$L$4001,$L2133,$F$2:$F$4001,"4")-SUMIFS('AR SALES'!$Y$2:$Y$2501,'AR SALES'!$L$2:$L$2501,$L2133,'AR SALES'!$AD$2:$AD$2501,"OFF"),2)=0,"","STALE")))</f>
        <v/>
      </c>
      <c r="BB2133" s="2" t="str">
        <f>IF(OR(""&amp;$F2133="2",""&amp;$F2133="4",""&amp;$F2133="G",""&amp;$F2133="H"),IF($AY2133="YES","",IF($AB2133&lt;&gt;0,"",IF(COUNTIFS('AR SALES'!$L$2:$L$2501,$L2133,'AR SALES'!$AD$2:$AD$2501,IF(""&amp;$F2133="4","OFF","ON"),'AR SALES'!$AF$2:$AF$2501,"Y")&gt;0,"","NO EXEMPTION"))),"")</f>
        <v/>
      </c>
    </row>
    <row r="2134" spans="46:54" x14ac:dyDescent="0.25">
      <c r="AT2134" s="2" t="str">
        <f>IF($L2134="","",IFERROR(INDEX('AR SALES'!$H$2:$H$2501,MATCH(""&amp;$L2134,'AR SALES'!$AE$2:$AE$2501,0)),""))</f>
        <v/>
      </c>
      <c r="AU2134" s="2" t="str">
        <f t="shared" si="132"/>
        <v/>
      </c>
      <c r="AV2134" s="2" t="str">
        <f t="shared" si="133"/>
        <v/>
      </c>
      <c r="AW2134" s="2" t="str">
        <f t="shared" si="134"/>
        <v/>
      </c>
      <c r="AX2134" s="2" t="str">
        <f t="shared" si="135"/>
        <v/>
      </c>
      <c r="AY2134" s="2" t="str">
        <f>IF($AV2134="","",IF(AND($Z2134=0,COUNTIF('AR SALES'!$L$2:$L$2501,$L2134)=0),"YES",""))</f>
        <v/>
      </c>
      <c r="AZ2134" s="2" t="str">
        <f>IF($AV2134="","",IF(COUNTIF(LISTS!$C$2:$C$250,$AU2134)=0,"NEW",""))</f>
        <v/>
      </c>
      <c r="BA2134" s="2" t="str">
        <f>IF(""&amp;$F2134&lt;&gt;"4","",IF($AY2134="YES","",IF(ROUND(SUMIFS($AE$2:$AE$4001,$L$2:$L$4001,$L2134,$F$2:$F$4001,"4")-SUMIFS('AR SALES'!$Y$2:$Y$2501,'AR SALES'!$L$2:$L$2501,$L2134,'AR SALES'!$AD$2:$AD$2501,"OFF"),2)=0,"","STALE")))</f>
        <v/>
      </c>
      <c r="BB2134" s="2" t="str">
        <f>IF(OR(""&amp;$F2134="2",""&amp;$F2134="4",""&amp;$F2134="G",""&amp;$F2134="H"),IF($AY2134="YES","",IF($AB2134&lt;&gt;0,"",IF(COUNTIFS('AR SALES'!$L$2:$L$2501,$L2134,'AR SALES'!$AD$2:$AD$2501,IF(""&amp;$F2134="4","OFF","ON"),'AR SALES'!$AF$2:$AF$2501,"Y")&gt;0,"","NO EXEMPTION"))),"")</f>
        <v/>
      </c>
    </row>
    <row r="2135" spans="46:54" x14ac:dyDescent="0.25">
      <c r="AT2135" s="2" t="str">
        <f>IF($L2135="","",IFERROR(INDEX('AR SALES'!$H$2:$H$2501,MATCH(""&amp;$L2135,'AR SALES'!$AE$2:$AE$2501,0)),""))</f>
        <v/>
      </c>
      <c r="AU2135" s="2" t="str">
        <f t="shared" si="132"/>
        <v/>
      </c>
      <c r="AV2135" s="2" t="str">
        <f t="shared" si="133"/>
        <v/>
      </c>
      <c r="AW2135" s="2" t="str">
        <f t="shared" si="134"/>
        <v/>
      </c>
      <c r="AX2135" s="2" t="str">
        <f t="shared" si="135"/>
        <v/>
      </c>
      <c r="AY2135" s="2" t="str">
        <f>IF($AV2135="","",IF(AND($Z2135=0,COUNTIF('AR SALES'!$L$2:$L$2501,$L2135)=0),"YES",""))</f>
        <v/>
      </c>
      <c r="AZ2135" s="2" t="str">
        <f>IF($AV2135="","",IF(COUNTIF(LISTS!$C$2:$C$250,$AU2135)=0,"NEW",""))</f>
        <v/>
      </c>
      <c r="BA2135" s="2" t="str">
        <f>IF(""&amp;$F2135&lt;&gt;"4","",IF($AY2135="YES","",IF(ROUND(SUMIFS($AE$2:$AE$4001,$L$2:$L$4001,$L2135,$F$2:$F$4001,"4")-SUMIFS('AR SALES'!$Y$2:$Y$2501,'AR SALES'!$L$2:$L$2501,$L2135,'AR SALES'!$AD$2:$AD$2501,"OFF"),2)=0,"","STALE")))</f>
        <v/>
      </c>
      <c r="BB2135" s="2" t="str">
        <f>IF(OR(""&amp;$F2135="2",""&amp;$F2135="4",""&amp;$F2135="G",""&amp;$F2135="H"),IF($AY2135="YES","",IF($AB2135&lt;&gt;0,"",IF(COUNTIFS('AR SALES'!$L$2:$L$2501,$L2135,'AR SALES'!$AD$2:$AD$2501,IF(""&amp;$F2135="4","OFF","ON"),'AR SALES'!$AF$2:$AF$2501,"Y")&gt;0,"","NO EXEMPTION"))),"")</f>
        <v/>
      </c>
    </row>
    <row r="2136" spans="46:54" x14ac:dyDescent="0.25">
      <c r="AT2136" s="2" t="str">
        <f>IF($L2136="","",IFERROR(INDEX('AR SALES'!$H$2:$H$2501,MATCH(""&amp;$L2136,'AR SALES'!$AE$2:$AE$2501,0)),""))</f>
        <v/>
      </c>
      <c r="AU2136" s="2" t="str">
        <f t="shared" si="132"/>
        <v/>
      </c>
      <c r="AV2136" s="2" t="str">
        <f t="shared" si="133"/>
        <v/>
      </c>
      <c r="AW2136" s="2" t="str">
        <f t="shared" si="134"/>
        <v/>
      </c>
      <c r="AX2136" s="2" t="str">
        <f t="shared" si="135"/>
        <v/>
      </c>
      <c r="AY2136" s="2" t="str">
        <f>IF($AV2136="","",IF(AND($Z2136=0,COUNTIF('AR SALES'!$L$2:$L$2501,$L2136)=0),"YES",""))</f>
        <v/>
      </c>
      <c r="AZ2136" s="2" t="str">
        <f>IF($AV2136="","",IF(COUNTIF(LISTS!$C$2:$C$250,$AU2136)=0,"NEW",""))</f>
        <v/>
      </c>
      <c r="BA2136" s="2" t="str">
        <f>IF(""&amp;$F2136&lt;&gt;"4","",IF($AY2136="YES","",IF(ROUND(SUMIFS($AE$2:$AE$4001,$L$2:$L$4001,$L2136,$F$2:$F$4001,"4")-SUMIFS('AR SALES'!$Y$2:$Y$2501,'AR SALES'!$L$2:$L$2501,$L2136,'AR SALES'!$AD$2:$AD$2501,"OFF"),2)=0,"","STALE")))</f>
        <v/>
      </c>
      <c r="BB2136" s="2" t="str">
        <f>IF(OR(""&amp;$F2136="2",""&amp;$F2136="4",""&amp;$F2136="G",""&amp;$F2136="H"),IF($AY2136="YES","",IF($AB2136&lt;&gt;0,"",IF(COUNTIFS('AR SALES'!$L$2:$L$2501,$L2136,'AR SALES'!$AD$2:$AD$2501,IF(""&amp;$F2136="4","OFF","ON"),'AR SALES'!$AF$2:$AF$2501,"Y")&gt;0,"","NO EXEMPTION"))),"")</f>
        <v/>
      </c>
    </row>
    <row r="2137" spans="46:54" x14ac:dyDescent="0.25">
      <c r="AT2137" s="2" t="str">
        <f>IF($L2137="","",IFERROR(INDEX('AR SALES'!$H$2:$H$2501,MATCH(""&amp;$L2137,'AR SALES'!$AE$2:$AE$2501,0)),""))</f>
        <v/>
      </c>
      <c r="AU2137" s="2" t="str">
        <f t="shared" si="132"/>
        <v/>
      </c>
      <c r="AV2137" s="2" t="str">
        <f t="shared" si="133"/>
        <v/>
      </c>
      <c r="AW2137" s="2" t="str">
        <f t="shared" si="134"/>
        <v/>
      </c>
      <c r="AX2137" s="2" t="str">
        <f t="shared" si="135"/>
        <v/>
      </c>
      <c r="AY2137" s="2" t="str">
        <f>IF($AV2137="","",IF(AND($Z2137=0,COUNTIF('AR SALES'!$L$2:$L$2501,$L2137)=0),"YES",""))</f>
        <v/>
      </c>
      <c r="AZ2137" s="2" t="str">
        <f>IF($AV2137="","",IF(COUNTIF(LISTS!$C$2:$C$250,$AU2137)=0,"NEW",""))</f>
        <v/>
      </c>
      <c r="BA2137" s="2" t="str">
        <f>IF(""&amp;$F2137&lt;&gt;"4","",IF($AY2137="YES","",IF(ROUND(SUMIFS($AE$2:$AE$4001,$L$2:$L$4001,$L2137,$F$2:$F$4001,"4")-SUMIFS('AR SALES'!$Y$2:$Y$2501,'AR SALES'!$L$2:$L$2501,$L2137,'AR SALES'!$AD$2:$AD$2501,"OFF"),2)=0,"","STALE")))</f>
        <v/>
      </c>
      <c r="BB2137" s="2" t="str">
        <f>IF(OR(""&amp;$F2137="2",""&amp;$F2137="4",""&amp;$F2137="G",""&amp;$F2137="H"),IF($AY2137="YES","",IF($AB2137&lt;&gt;0,"",IF(COUNTIFS('AR SALES'!$L$2:$L$2501,$L2137,'AR SALES'!$AD$2:$AD$2501,IF(""&amp;$F2137="4","OFF","ON"),'AR SALES'!$AF$2:$AF$2501,"Y")&gt;0,"","NO EXEMPTION"))),"")</f>
        <v/>
      </c>
    </row>
    <row r="2138" spans="46:54" x14ac:dyDescent="0.25">
      <c r="AT2138" s="2" t="str">
        <f>IF($L2138="","",IFERROR(INDEX('AR SALES'!$H$2:$H$2501,MATCH(""&amp;$L2138,'AR SALES'!$AE$2:$AE$2501,0)),""))</f>
        <v/>
      </c>
      <c r="AU2138" s="2" t="str">
        <f t="shared" si="132"/>
        <v/>
      </c>
      <c r="AV2138" s="2" t="str">
        <f t="shared" si="133"/>
        <v/>
      </c>
      <c r="AW2138" s="2" t="str">
        <f t="shared" si="134"/>
        <v/>
      </c>
      <c r="AX2138" s="2" t="str">
        <f t="shared" si="135"/>
        <v/>
      </c>
      <c r="AY2138" s="2" t="str">
        <f>IF($AV2138="","",IF(AND($Z2138=0,COUNTIF('AR SALES'!$L$2:$L$2501,$L2138)=0),"YES",""))</f>
        <v/>
      </c>
      <c r="AZ2138" s="2" t="str">
        <f>IF($AV2138="","",IF(COUNTIF(LISTS!$C$2:$C$250,$AU2138)=0,"NEW",""))</f>
        <v/>
      </c>
      <c r="BA2138" s="2" t="str">
        <f>IF(""&amp;$F2138&lt;&gt;"4","",IF($AY2138="YES","",IF(ROUND(SUMIFS($AE$2:$AE$4001,$L$2:$L$4001,$L2138,$F$2:$F$4001,"4")-SUMIFS('AR SALES'!$Y$2:$Y$2501,'AR SALES'!$L$2:$L$2501,$L2138,'AR SALES'!$AD$2:$AD$2501,"OFF"),2)=0,"","STALE")))</f>
        <v/>
      </c>
      <c r="BB2138" s="2" t="str">
        <f>IF(OR(""&amp;$F2138="2",""&amp;$F2138="4",""&amp;$F2138="G",""&amp;$F2138="H"),IF($AY2138="YES","",IF($AB2138&lt;&gt;0,"",IF(COUNTIFS('AR SALES'!$L$2:$L$2501,$L2138,'AR SALES'!$AD$2:$AD$2501,IF(""&amp;$F2138="4","OFF","ON"),'AR SALES'!$AF$2:$AF$2501,"Y")&gt;0,"","NO EXEMPTION"))),"")</f>
        <v/>
      </c>
    </row>
    <row r="2139" spans="46:54" x14ac:dyDescent="0.25">
      <c r="AT2139" s="2" t="str">
        <f>IF($L2139="","",IFERROR(INDEX('AR SALES'!$H$2:$H$2501,MATCH(""&amp;$L2139,'AR SALES'!$AE$2:$AE$2501,0)),""))</f>
        <v/>
      </c>
      <c r="AU2139" s="2" t="str">
        <f t="shared" si="132"/>
        <v/>
      </c>
      <c r="AV2139" s="2" t="str">
        <f t="shared" si="133"/>
        <v/>
      </c>
      <c r="AW2139" s="2" t="str">
        <f t="shared" si="134"/>
        <v/>
      </c>
      <c r="AX2139" s="2" t="str">
        <f t="shared" si="135"/>
        <v/>
      </c>
      <c r="AY2139" s="2" t="str">
        <f>IF($AV2139="","",IF(AND($Z2139=0,COUNTIF('AR SALES'!$L$2:$L$2501,$L2139)=0),"YES",""))</f>
        <v/>
      </c>
      <c r="AZ2139" s="2" t="str">
        <f>IF($AV2139="","",IF(COUNTIF(LISTS!$C$2:$C$250,$AU2139)=0,"NEW",""))</f>
        <v/>
      </c>
      <c r="BA2139" s="2" t="str">
        <f>IF(""&amp;$F2139&lt;&gt;"4","",IF($AY2139="YES","",IF(ROUND(SUMIFS($AE$2:$AE$4001,$L$2:$L$4001,$L2139,$F$2:$F$4001,"4")-SUMIFS('AR SALES'!$Y$2:$Y$2501,'AR SALES'!$L$2:$L$2501,$L2139,'AR SALES'!$AD$2:$AD$2501,"OFF"),2)=0,"","STALE")))</f>
        <v/>
      </c>
      <c r="BB2139" s="2" t="str">
        <f>IF(OR(""&amp;$F2139="2",""&amp;$F2139="4",""&amp;$F2139="G",""&amp;$F2139="H"),IF($AY2139="YES","",IF($AB2139&lt;&gt;0,"",IF(COUNTIFS('AR SALES'!$L$2:$L$2501,$L2139,'AR SALES'!$AD$2:$AD$2501,IF(""&amp;$F2139="4","OFF","ON"),'AR SALES'!$AF$2:$AF$2501,"Y")&gt;0,"","NO EXEMPTION"))),"")</f>
        <v/>
      </c>
    </row>
    <row r="2140" spans="46:54" x14ac:dyDescent="0.25">
      <c r="AT2140" s="2" t="str">
        <f>IF($L2140="","",IFERROR(INDEX('AR SALES'!$H$2:$H$2501,MATCH(""&amp;$L2140,'AR SALES'!$AE$2:$AE$2501,0)),""))</f>
        <v/>
      </c>
      <c r="AU2140" s="2" t="str">
        <f t="shared" si="132"/>
        <v/>
      </c>
      <c r="AV2140" s="2" t="str">
        <f t="shared" si="133"/>
        <v/>
      </c>
      <c r="AW2140" s="2" t="str">
        <f t="shared" si="134"/>
        <v/>
      </c>
      <c r="AX2140" s="2" t="str">
        <f t="shared" si="135"/>
        <v/>
      </c>
      <c r="AY2140" s="2" t="str">
        <f>IF($AV2140="","",IF(AND($Z2140=0,COUNTIF('AR SALES'!$L$2:$L$2501,$L2140)=0),"YES",""))</f>
        <v/>
      </c>
      <c r="AZ2140" s="2" t="str">
        <f>IF($AV2140="","",IF(COUNTIF(LISTS!$C$2:$C$250,$AU2140)=0,"NEW",""))</f>
        <v/>
      </c>
      <c r="BA2140" s="2" t="str">
        <f>IF(""&amp;$F2140&lt;&gt;"4","",IF($AY2140="YES","",IF(ROUND(SUMIFS($AE$2:$AE$4001,$L$2:$L$4001,$L2140,$F$2:$F$4001,"4")-SUMIFS('AR SALES'!$Y$2:$Y$2501,'AR SALES'!$L$2:$L$2501,$L2140,'AR SALES'!$AD$2:$AD$2501,"OFF"),2)=0,"","STALE")))</f>
        <v/>
      </c>
      <c r="BB2140" s="2" t="str">
        <f>IF(OR(""&amp;$F2140="2",""&amp;$F2140="4",""&amp;$F2140="G",""&amp;$F2140="H"),IF($AY2140="YES","",IF($AB2140&lt;&gt;0,"",IF(COUNTIFS('AR SALES'!$L$2:$L$2501,$L2140,'AR SALES'!$AD$2:$AD$2501,IF(""&amp;$F2140="4","OFF","ON"),'AR SALES'!$AF$2:$AF$2501,"Y")&gt;0,"","NO EXEMPTION"))),"")</f>
        <v/>
      </c>
    </row>
    <row r="2141" spans="46:54" x14ac:dyDescent="0.25">
      <c r="AT2141" s="2" t="str">
        <f>IF($L2141="","",IFERROR(INDEX('AR SALES'!$H$2:$H$2501,MATCH(""&amp;$L2141,'AR SALES'!$AE$2:$AE$2501,0)),""))</f>
        <v/>
      </c>
      <c r="AU2141" s="2" t="str">
        <f t="shared" si="132"/>
        <v/>
      </c>
      <c r="AV2141" s="2" t="str">
        <f t="shared" si="133"/>
        <v/>
      </c>
      <c r="AW2141" s="2" t="str">
        <f t="shared" si="134"/>
        <v/>
      </c>
      <c r="AX2141" s="2" t="str">
        <f t="shared" si="135"/>
        <v/>
      </c>
      <c r="AY2141" s="2" t="str">
        <f>IF($AV2141="","",IF(AND($Z2141=0,COUNTIF('AR SALES'!$L$2:$L$2501,$L2141)=0),"YES",""))</f>
        <v/>
      </c>
      <c r="AZ2141" s="2" t="str">
        <f>IF($AV2141="","",IF(COUNTIF(LISTS!$C$2:$C$250,$AU2141)=0,"NEW",""))</f>
        <v/>
      </c>
      <c r="BA2141" s="2" t="str">
        <f>IF(""&amp;$F2141&lt;&gt;"4","",IF($AY2141="YES","",IF(ROUND(SUMIFS($AE$2:$AE$4001,$L$2:$L$4001,$L2141,$F$2:$F$4001,"4")-SUMIFS('AR SALES'!$Y$2:$Y$2501,'AR SALES'!$L$2:$L$2501,$L2141,'AR SALES'!$AD$2:$AD$2501,"OFF"),2)=0,"","STALE")))</f>
        <v/>
      </c>
      <c r="BB2141" s="2" t="str">
        <f>IF(OR(""&amp;$F2141="2",""&amp;$F2141="4",""&amp;$F2141="G",""&amp;$F2141="H"),IF($AY2141="YES","",IF($AB2141&lt;&gt;0,"",IF(COUNTIFS('AR SALES'!$L$2:$L$2501,$L2141,'AR SALES'!$AD$2:$AD$2501,IF(""&amp;$F2141="4","OFF","ON"),'AR SALES'!$AF$2:$AF$2501,"Y")&gt;0,"","NO EXEMPTION"))),"")</f>
        <v/>
      </c>
    </row>
    <row r="2142" spans="46:54" x14ac:dyDescent="0.25">
      <c r="AT2142" s="2" t="str">
        <f>IF($L2142="","",IFERROR(INDEX('AR SALES'!$H$2:$H$2501,MATCH(""&amp;$L2142,'AR SALES'!$AE$2:$AE$2501,0)),""))</f>
        <v/>
      </c>
      <c r="AU2142" s="2" t="str">
        <f t="shared" si="132"/>
        <v/>
      </c>
      <c r="AV2142" s="2" t="str">
        <f t="shared" si="133"/>
        <v/>
      </c>
      <c r="AW2142" s="2" t="str">
        <f t="shared" si="134"/>
        <v/>
      </c>
      <c r="AX2142" s="2" t="str">
        <f t="shared" si="135"/>
        <v/>
      </c>
      <c r="AY2142" s="2" t="str">
        <f>IF($AV2142="","",IF(AND($Z2142=0,COUNTIF('AR SALES'!$L$2:$L$2501,$L2142)=0),"YES",""))</f>
        <v/>
      </c>
      <c r="AZ2142" s="2" t="str">
        <f>IF($AV2142="","",IF(COUNTIF(LISTS!$C$2:$C$250,$AU2142)=0,"NEW",""))</f>
        <v/>
      </c>
      <c r="BA2142" s="2" t="str">
        <f>IF(""&amp;$F2142&lt;&gt;"4","",IF($AY2142="YES","",IF(ROUND(SUMIFS($AE$2:$AE$4001,$L$2:$L$4001,$L2142,$F$2:$F$4001,"4")-SUMIFS('AR SALES'!$Y$2:$Y$2501,'AR SALES'!$L$2:$L$2501,$L2142,'AR SALES'!$AD$2:$AD$2501,"OFF"),2)=0,"","STALE")))</f>
        <v/>
      </c>
      <c r="BB2142" s="2" t="str">
        <f>IF(OR(""&amp;$F2142="2",""&amp;$F2142="4",""&amp;$F2142="G",""&amp;$F2142="H"),IF($AY2142="YES","",IF($AB2142&lt;&gt;0,"",IF(COUNTIFS('AR SALES'!$L$2:$L$2501,$L2142,'AR SALES'!$AD$2:$AD$2501,IF(""&amp;$F2142="4","OFF","ON"),'AR SALES'!$AF$2:$AF$2501,"Y")&gt;0,"","NO EXEMPTION"))),"")</f>
        <v/>
      </c>
    </row>
    <row r="2143" spans="46:54" x14ac:dyDescent="0.25">
      <c r="AT2143" s="2" t="str">
        <f>IF($L2143="","",IFERROR(INDEX('AR SALES'!$H$2:$H$2501,MATCH(""&amp;$L2143,'AR SALES'!$AE$2:$AE$2501,0)),""))</f>
        <v/>
      </c>
      <c r="AU2143" s="2" t="str">
        <f t="shared" si="132"/>
        <v/>
      </c>
      <c r="AV2143" s="2" t="str">
        <f t="shared" si="133"/>
        <v/>
      </c>
      <c r="AW2143" s="2" t="str">
        <f t="shared" si="134"/>
        <v/>
      </c>
      <c r="AX2143" s="2" t="str">
        <f t="shared" si="135"/>
        <v/>
      </c>
      <c r="AY2143" s="2" t="str">
        <f>IF($AV2143="","",IF(AND($Z2143=0,COUNTIF('AR SALES'!$L$2:$L$2501,$L2143)=0),"YES",""))</f>
        <v/>
      </c>
      <c r="AZ2143" s="2" t="str">
        <f>IF($AV2143="","",IF(COUNTIF(LISTS!$C$2:$C$250,$AU2143)=0,"NEW",""))</f>
        <v/>
      </c>
      <c r="BA2143" s="2" t="str">
        <f>IF(""&amp;$F2143&lt;&gt;"4","",IF($AY2143="YES","",IF(ROUND(SUMIFS($AE$2:$AE$4001,$L$2:$L$4001,$L2143,$F$2:$F$4001,"4")-SUMIFS('AR SALES'!$Y$2:$Y$2501,'AR SALES'!$L$2:$L$2501,$L2143,'AR SALES'!$AD$2:$AD$2501,"OFF"),2)=0,"","STALE")))</f>
        <v/>
      </c>
      <c r="BB2143" s="2" t="str">
        <f>IF(OR(""&amp;$F2143="2",""&amp;$F2143="4",""&amp;$F2143="G",""&amp;$F2143="H"),IF($AY2143="YES","",IF($AB2143&lt;&gt;0,"",IF(COUNTIFS('AR SALES'!$L$2:$L$2501,$L2143,'AR SALES'!$AD$2:$AD$2501,IF(""&amp;$F2143="4","OFF","ON"),'AR SALES'!$AF$2:$AF$2501,"Y")&gt;0,"","NO EXEMPTION"))),"")</f>
        <v/>
      </c>
    </row>
    <row r="2144" spans="46:54" x14ac:dyDescent="0.25">
      <c r="AT2144" s="2" t="str">
        <f>IF($L2144="","",IFERROR(INDEX('AR SALES'!$H$2:$H$2501,MATCH(""&amp;$L2144,'AR SALES'!$AE$2:$AE$2501,0)),""))</f>
        <v/>
      </c>
      <c r="AU2144" s="2" t="str">
        <f t="shared" si="132"/>
        <v/>
      </c>
      <c r="AV2144" s="2" t="str">
        <f t="shared" si="133"/>
        <v/>
      </c>
      <c r="AW2144" s="2" t="str">
        <f t="shared" si="134"/>
        <v/>
      </c>
      <c r="AX2144" s="2" t="str">
        <f t="shared" si="135"/>
        <v/>
      </c>
      <c r="AY2144" s="2" t="str">
        <f>IF($AV2144="","",IF(AND($Z2144=0,COUNTIF('AR SALES'!$L$2:$L$2501,$L2144)=0),"YES",""))</f>
        <v/>
      </c>
      <c r="AZ2144" s="2" t="str">
        <f>IF($AV2144="","",IF(COUNTIF(LISTS!$C$2:$C$250,$AU2144)=0,"NEW",""))</f>
        <v/>
      </c>
      <c r="BA2144" s="2" t="str">
        <f>IF(""&amp;$F2144&lt;&gt;"4","",IF($AY2144="YES","",IF(ROUND(SUMIFS($AE$2:$AE$4001,$L$2:$L$4001,$L2144,$F$2:$F$4001,"4")-SUMIFS('AR SALES'!$Y$2:$Y$2501,'AR SALES'!$L$2:$L$2501,$L2144,'AR SALES'!$AD$2:$AD$2501,"OFF"),2)=0,"","STALE")))</f>
        <v/>
      </c>
      <c r="BB2144" s="2" t="str">
        <f>IF(OR(""&amp;$F2144="2",""&amp;$F2144="4",""&amp;$F2144="G",""&amp;$F2144="H"),IF($AY2144="YES","",IF($AB2144&lt;&gt;0,"",IF(COUNTIFS('AR SALES'!$L$2:$L$2501,$L2144,'AR SALES'!$AD$2:$AD$2501,IF(""&amp;$F2144="4","OFF","ON"),'AR SALES'!$AF$2:$AF$2501,"Y")&gt;0,"","NO EXEMPTION"))),"")</f>
        <v/>
      </c>
    </row>
    <row r="2145" spans="46:54" x14ac:dyDescent="0.25">
      <c r="AT2145" s="2" t="str">
        <f>IF($L2145="","",IFERROR(INDEX('AR SALES'!$H$2:$H$2501,MATCH(""&amp;$L2145,'AR SALES'!$AE$2:$AE$2501,0)),""))</f>
        <v/>
      </c>
      <c r="AU2145" s="2" t="str">
        <f t="shared" si="132"/>
        <v/>
      </c>
      <c r="AV2145" s="2" t="str">
        <f t="shared" si="133"/>
        <v/>
      </c>
      <c r="AW2145" s="2" t="str">
        <f t="shared" si="134"/>
        <v/>
      </c>
      <c r="AX2145" s="2" t="str">
        <f t="shared" si="135"/>
        <v/>
      </c>
      <c r="AY2145" s="2" t="str">
        <f>IF($AV2145="","",IF(AND($Z2145=0,COUNTIF('AR SALES'!$L$2:$L$2501,$L2145)=0),"YES",""))</f>
        <v/>
      </c>
      <c r="AZ2145" s="2" t="str">
        <f>IF($AV2145="","",IF(COUNTIF(LISTS!$C$2:$C$250,$AU2145)=0,"NEW",""))</f>
        <v/>
      </c>
      <c r="BA2145" s="2" t="str">
        <f>IF(""&amp;$F2145&lt;&gt;"4","",IF($AY2145="YES","",IF(ROUND(SUMIFS($AE$2:$AE$4001,$L$2:$L$4001,$L2145,$F$2:$F$4001,"4")-SUMIFS('AR SALES'!$Y$2:$Y$2501,'AR SALES'!$L$2:$L$2501,$L2145,'AR SALES'!$AD$2:$AD$2501,"OFF"),2)=0,"","STALE")))</f>
        <v/>
      </c>
      <c r="BB2145" s="2" t="str">
        <f>IF(OR(""&amp;$F2145="2",""&amp;$F2145="4",""&amp;$F2145="G",""&amp;$F2145="H"),IF($AY2145="YES","",IF($AB2145&lt;&gt;0,"",IF(COUNTIFS('AR SALES'!$L$2:$L$2501,$L2145,'AR SALES'!$AD$2:$AD$2501,IF(""&amp;$F2145="4","OFF","ON"),'AR SALES'!$AF$2:$AF$2501,"Y")&gt;0,"","NO EXEMPTION"))),"")</f>
        <v/>
      </c>
    </row>
    <row r="2146" spans="46:54" x14ac:dyDescent="0.25">
      <c r="AT2146" s="2" t="str">
        <f>IF($L2146="","",IFERROR(INDEX('AR SALES'!$H$2:$H$2501,MATCH(""&amp;$L2146,'AR SALES'!$AE$2:$AE$2501,0)),""))</f>
        <v/>
      </c>
      <c r="AU2146" s="2" t="str">
        <f t="shared" si="132"/>
        <v/>
      </c>
      <c r="AV2146" s="2" t="str">
        <f t="shared" si="133"/>
        <v/>
      </c>
      <c r="AW2146" s="2" t="str">
        <f t="shared" si="134"/>
        <v/>
      </c>
      <c r="AX2146" s="2" t="str">
        <f t="shared" si="135"/>
        <v/>
      </c>
      <c r="AY2146" s="2" t="str">
        <f>IF($AV2146="","",IF(AND($Z2146=0,COUNTIF('AR SALES'!$L$2:$L$2501,$L2146)=0),"YES",""))</f>
        <v/>
      </c>
      <c r="AZ2146" s="2" t="str">
        <f>IF($AV2146="","",IF(COUNTIF(LISTS!$C$2:$C$250,$AU2146)=0,"NEW",""))</f>
        <v/>
      </c>
      <c r="BA2146" s="2" t="str">
        <f>IF(""&amp;$F2146&lt;&gt;"4","",IF($AY2146="YES","",IF(ROUND(SUMIFS($AE$2:$AE$4001,$L$2:$L$4001,$L2146,$F$2:$F$4001,"4")-SUMIFS('AR SALES'!$Y$2:$Y$2501,'AR SALES'!$L$2:$L$2501,$L2146,'AR SALES'!$AD$2:$AD$2501,"OFF"),2)=0,"","STALE")))</f>
        <v/>
      </c>
      <c r="BB2146" s="2" t="str">
        <f>IF(OR(""&amp;$F2146="2",""&amp;$F2146="4",""&amp;$F2146="G",""&amp;$F2146="H"),IF($AY2146="YES","",IF($AB2146&lt;&gt;0,"",IF(COUNTIFS('AR SALES'!$L$2:$L$2501,$L2146,'AR SALES'!$AD$2:$AD$2501,IF(""&amp;$F2146="4","OFF","ON"),'AR SALES'!$AF$2:$AF$2501,"Y")&gt;0,"","NO EXEMPTION"))),"")</f>
        <v/>
      </c>
    </row>
    <row r="2147" spans="46:54" x14ac:dyDescent="0.25">
      <c r="AT2147" s="2" t="str">
        <f>IF($L2147="","",IFERROR(INDEX('AR SALES'!$H$2:$H$2501,MATCH(""&amp;$L2147,'AR SALES'!$AE$2:$AE$2501,0)),""))</f>
        <v/>
      </c>
      <c r="AU2147" s="2" t="str">
        <f t="shared" si="132"/>
        <v/>
      </c>
      <c r="AV2147" s="2" t="str">
        <f t="shared" si="133"/>
        <v/>
      </c>
      <c r="AW2147" s="2" t="str">
        <f t="shared" si="134"/>
        <v/>
      </c>
      <c r="AX2147" s="2" t="str">
        <f t="shared" si="135"/>
        <v/>
      </c>
      <c r="AY2147" s="2" t="str">
        <f>IF($AV2147="","",IF(AND($Z2147=0,COUNTIF('AR SALES'!$L$2:$L$2501,$L2147)=0),"YES",""))</f>
        <v/>
      </c>
      <c r="AZ2147" s="2" t="str">
        <f>IF($AV2147="","",IF(COUNTIF(LISTS!$C$2:$C$250,$AU2147)=0,"NEW",""))</f>
        <v/>
      </c>
      <c r="BA2147" s="2" t="str">
        <f>IF(""&amp;$F2147&lt;&gt;"4","",IF($AY2147="YES","",IF(ROUND(SUMIFS($AE$2:$AE$4001,$L$2:$L$4001,$L2147,$F$2:$F$4001,"4")-SUMIFS('AR SALES'!$Y$2:$Y$2501,'AR SALES'!$L$2:$L$2501,$L2147,'AR SALES'!$AD$2:$AD$2501,"OFF"),2)=0,"","STALE")))</f>
        <v/>
      </c>
      <c r="BB2147" s="2" t="str">
        <f>IF(OR(""&amp;$F2147="2",""&amp;$F2147="4",""&amp;$F2147="G",""&amp;$F2147="H"),IF($AY2147="YES","",IF($AB2147&lt;&gt;0,"",IF(COUNTIFS('AR SALES'!$L$2:$L$2501,$L2147,'AR SALES'!$AD$2:$AD$2501,IF(""&amp;$F2147="4","OFF","ON"),'AR SALES'!$AF$2:$AF$2501,"Y")&gt;0,"","NO EXEMPTION"))),"")</f>
        <v/>
      </c>
    </row>
    <row r="2148" spans="46:54" x14ac:dyDescent="0.25">
      <c r="AT2148" s="2" t="str">
        <f>IF($L2148="","",IFERROR(INDEX('AR SALES'!$H$2:$H$2501,MATCH(""&amp;$L2148,'AR SALES'!$AE$2:$AE$2501,0)),""))</f>
        <v/>
      </c>
      <c r="AU2148" s="2" t="str">
        <f t="shared" si="132"/>
        <v/>
      </c>
      <c r="AV2148" s="2" t="str">
        <f t="shared" si="133"/>
        <v/>
      </c>
      <c r="AW2148" s="2" t="str">
        <f t="shared" si="134"/>
        <v/>
      </c>
      <c r="AX2148" s="2" t="str">
        <f t="shared" si="135"/>
        <v/>
      </c>
      <c r="AY2148" s="2" t="str">
        <f>IF($AV2148="","",IF(AND($Z2148=0,COUNTIF('AR SALES'!$L$2:$L$2501,$L2148)=0),"YES",""))</f>
        <v/>
      </c>
      <c r="AZ2148" s="2" t="str">
        <f>IF($AV2148="","",IF(COUNTIF(LISTS!$C$2:$C$250,$AU2148)=0,"NEW",""))</f>
        <v/>
      </c>
      <c r="BA2148" s="2" t="str">
        <f>IF(""&amp;$F2148&lt;&gt;"4","",IF($AY2148="YES","",IF(ROUND(SUMIFS($AE$2:$AE$4001,$L$2:$L$4001,$L2148,$F$2:$F$4001,"4")-SUMIFS('AR SALES'!$Y$2:$Y$2501,'AR SALES'!$L$2:$L$2501,$L2148,'AR SALES'!$AD$2:$AD$2501,"OFF"),2)=0,"","STALE")))</f>
        <v/>
      </c>
      <c r="BB2148" s="2" t="str">
        <f>IF(OR(""&amp;$F2148="2",""&amp;$F2148="4",""&amp;$F2148="G",""&amp;$F2148="H"),IF($AY2148="YES","",IF($AB2148&lt;&gt;0,"",IF(COUNTIFS('AR SALES'!$L$2:$L$2501,$L2148,'AR SALES'!$AD$2:$AD$2501,IF(""&amp;$F2148="4","OFF","ON"),'AR SALES'!$AF$2:$AF$2501,"Y")&gt;0,"","NO EXEMPTION"))),"")</f>
        <v/>
      </c>
    </row>
    <row r="2149" spans="46:54" x14ac:dyDescent="0.25">
      <c r="AT2149" s="2" t="str">
        <f>IF($L2149="","",IFERROR(INDEX('AR SALES'!$H$2:$H$2501,MATCH(""&amp;$L2149,'AR SALES'!$AE$2:$AE$2501,0)),""))</f>
        <v/>
      </c>
      <c r="AU2149" s="2" t="str">
        <f t="shared" si="132"/>
        <v/>
      </c>
      <c r="AV2149" s="2" t="str">
        <f t="shared" si="133"/>
        <v/>
      </c>
      <c r="AW2149" s="2" t="str">
        <f t="shared" si="134"/>
        <v/>
      </c>
      <c r="AX2149" s="2" t="str">
        <f t="shared" si="135"/>
        <v/>
      </c>
      <c r="AY2149" s="2" t="str">
        <f>IF($AV2149="","",IF(AND($Z2149=0,COUNTIF('AR SALES'!$L$2:$L$2501,$L2149)=0),"YES",""))</f>
        <v/>
      </c>
      <c r="AZ2149" s="2" t="str">
        <f>IF($AV2149="","",IF(COUNTIF(LISTS!$C$2:$C$250,$AU2149)=0,"NEW",""))</f>
        <v/>
      </c>
      <c r="BA2149" s="2" t="str">
        <f>IF(""&amp;$F2149&lt;&gt;"4","",IF($AY2149="YES","",IF(ROUND(SUMIFS($AE$2:$AE$4001,$L$2:$L$4001,$L2149,$F$2:$F$4001,"4")-SUMIFS('AR SALES'!$Y$2:$Y$2501,'AR SALES'!$L$2:$L$2501,$L2149,'AR SALES'!$AD$2:$AD$2501,"OFF"),2)=0,"","STALE")))</f>
        <v/>
      </c>
      <c r="BB2149" s="2" t="str">
        <f>IF(OR(""&amp;$F2149="2",""&amp;$F2149="4",""&amp;$F2149="G",""&amp;$F2149="H"),IF($AY2149="YES","",IF($AB2149&lt;&gt;0,"",IF(COUNTIFS('AR SALES'!$L$2:$L$2501,$L2149,'AR SALES'!$AD$2:$AD$2501,IF(""&amp;$F2149="4","OFF","ON"),'AR SALES'!$AF$2:$AF$2501,"Y")&gt;0,"","NO EXEMPTION"))),"")</f>
        <v/>
      </c>
    </row>
    <row r="2150" spans="46:54" x14ac:dyDescent="0.25">
      <c r="AT2150" s="2" t="str">
        <f>IF($L2150="","",IFERROR(INDEX('AR SALES'!$H$2:$H$2501,MATCH(""&amp;$L2150,'AR SALES'!$AE$2:$AE$2501,0)),""))</f>
        <v/>
      </c>
      <c r="AU2150" s="2" t="str">
        <f t="shared" si="132"/>
        <v/>
      </c>
      <c r="AV2150" s="2" t="str">
        <f t="shared" si="133"/>
        <v/>
      </c>
      <c r="AW2150" s="2" t="str">
        <f t="shared" si="134"/>
        <v/>
      </c>
      <c r="AX2150" s="2" t="str">
        <f t="shared" si="135"/>
        <v/>
      </c>
      <c r="AY2150" s="2" t="str">
        <f>IF($AV2150="","",IF(AND($Z2150=0,COUNTIF('AR SALES'!$L$2:$L$2501,$L2150)=0),"YES",""))</f>
        <v/>
      </c>
      <c r="AZ2150" s="2" t="str">
        <f>IF($AV2150="","",IF(COUNTIF(LISTS!$C$2:$C$250,$AU2150)=0,"NEW",""))</f>
        <v/>
      </c>
      <c r="BA2150" s="2" t="str">
        <f>IF(""&amp;$F2150&lt;&gt;"4","",IF($AY2150="YES","",IF(ROUND(SUMIFS($AE$2:$AE$4001,$L$2:$L$4001,$L2150,$F$2:$F$4001,"4")-SUMIFS('AR SALES'!$Y$2:$Y$2501,'AR SALES'!$L$2:$L$2501,$L2150,'AR SALES'!$AD$2:$AD$2501,"OFF"),2)=0,"","STALE")))</f>
        <v/>
      </c>
      <c r="BB2150" s="2" t="str">
        <f>IF(OR(""&amp;$F2150="2",""&amp;$F2150="4",""&amp;$F2150="G",""&amp;$F2150="H"),IF($AY2150="YES","",IF($AB2150&lt;&gt;0,"",IF(COUNTIFS('AR SALES'!$L$2:$L$2501,$L2150,'AR SALES'!$AD$2:$AD$2501,IF(""&amp;$F2150="4","OFF","ON"),'AR SALES'!$AF$2:$AF$2501,"Y")&gt;0,"","NO EXEMPTION"))),"")</f>
        <v/>
      </c>
    </row>
    <row r="2151" spans="46:54" x14ac:dyDescent="0.25">
      <c r="AT2151" s="2" t="str">
        <f>IF($L2151="","",IFERROR(INDEX('AR SALES'!$H$2:$H$2501,MATCH(""&amp;$L2151,'AR SALES'!$AE$2:$AE$2501,0)),""))</f>
        <v/>
      </c>
      <c r="AU2151" s="2" t="str">
        <f t="shared" si="132"/>
        <v/>
      </c>
      <c r="AV2151" s="2" t="str">
        <f t="shared" si="133"/>
        <v/>
      </c>
      <c r="AW2151" s="2" t="str">
        <f t="shared" si="134"/>
        <v/>
      </c>
      <c r="AX2151" s="2" t="str">
        <f t="shared" si="135"/>
        <v/>
      </c>
      <c r="AY2151" s="2" t="str">
        <f>IF($AV2151="","",IF(AND($Z2151=0,COUNTIF('AR SALES'!$L$2:$L$2501,$L2151)=0),"YES",""))</f>
        <v/>
      </c>
      <c r="AZ2151" s="2" t="str">
        <f>IF($AV2151="","",IF(COUNTIF(LISTS!$C$2:$C$250,$AU2151)=0,"NEW",""))</f>
        <v/>
      </c>
      <c r="BA2151" s="2" t="str">
        <f>IF(""&amp;$F2151&lt;&gt;"4","",IF($AY2151="YES","",IF(ROUND(SUMIFS($AE$2:$AE$4001,$L$2:$L$4001,$L2151,$F$2:$F$4001,"4")-SUMIFS('AR SALES'!$Y$2:$Y$2501,'AR SALES'!$L$2:$L$2501,$L2151,'AR SALES'!$AD$2:$AD$2501,"OFF"),2)=0,"","STALE")))</f>
        <v/>
      </c>
      <c r="BB2151" s="2" t="str">
        <f>IF(OR(""&amp;$F2151="2",""&amp;$F2151="4",""&amp;$F2151="G",""&amp;$F2151="H"),IF($AY2151="YES","",IF($AB2151&lt;&gt;0,"",IF(COUNTIFS('AR SALES'!$L$2:$L$2501,$L2151,'AR SALES'!$AD$2:$AD$2501,IF(""&amp;$F2151="4","OFF","ON"),'AR SALES'!$AF$2:$AF$2501,"Y")&gt;0,"","NO EXEMPTION"))),"")</f>
        <v/>
      </c>
    </row>
    <row r="2152" spans="46:54" x14ac:dyDescent="0.25">
      <c r="AT2152" s="2" t="str">
        <f>IF($L2152="","",IFERROR(INDEX('AR SALES'!$H$2:$H$2501,MATCH(""&amp;$L2152,'AR SALES'!$AE$2:$AE$2501,0)),""))</f>
        <v/>
      </c>
      <c r="AU2152" s="2" t="str">
        <f t="shared" si="132"/>
        <v/>
      </c>
      <c r="AV2152" s="2" t="str">
        <f t="shared" si="133"/>
        <v/>
      </c>
      <c r="AW2152" s="2" t="str">
        <f t="shared" si="134"/>
        <v/>
      </c>
      <c r="AX2152" s="2" t="str">
        <f t="shared" si="135"/>
        <v/>
      </c>
      <c r="AY2152" s="2" t="str">
        <f>IF($AV2152="","",IF(AND($Z2152=0,COUNTIF('AR SALES'!$L$2:$L$2501,$L2152)=0),"YES",""))</f>
        <v/>
      </c>
      <c r="AZ2152" s="2" t="str">
        <f>IF($AV2152="","",IF(COUNTIF(LISTS!$C$2:$C$250,$AU2152)=0,"NEW",""))</f>
        <v/>
      </c>
      <c r="BA2152" s="2" t="str">
        <f>IF(""&amp;$F2152&lt;&gt;"4","",IF($AY2152="YES","",IF(ROUND(SUMIFS($AE$2:$AE$4001,$L$2:$L$4001,$L2152,$F$2:$F$4001,"4")-SUMIFS('AR SALES'!$Y$2:$Y$2501,'AR SALES'!$L$2:$L$2501,$L2152,'AR SALES'!$AD$2:$AD$2501,"OFF"),2)=0,"","STALE")))</f>
        <v/>
      </c>
      <c r="BB2152" s="2" t="str">
        <f>IF(OR(""&amp;$F2152="2",""&amp;$F2152="4",""&amp;$F2152="G",""&amp;$F2152="H"),IF($AY2152="YES","",IF($AB2152&lt;&gt;0,"",IF(COUNTIFS('AR SALES'!$L$2:$L$2501,$L2152,'AR SALES'!$AD$2:$AD$2501,IF(""&amp;$F2152="4","OFF","ON"),'AR SALES'!$AF$2:$AF$2501,"Y")&gt;0,"","NO EXEMPTION"))),"")</f>
        <v/>
      </c>
    </row>
    <row r="2153" spans="46:54" x14ac:dyDescent="0.25">
      <c r="AT2153" s="2" t="str">
        <f>IF($L2153="","",IFERROR(INDEX('AR SALES'!$H$2:$H$2501,MATCH(""&amp;$L2153,'AR SALES'!$AE$2:$AE$2501,0)),""))</f>
        <v/>
      </c>
      <c r="AU2153" s="2" t="str">
        <f t="shared" si="132"/>
        <v/>
      </c>
      <c r="AV2153" s="2" t="str">
        <f t="shared" si="133"/>
        <v/>
      </c>
      <c r="AW2153" s="2" t="str">
        <f t="shared" si="134"/>
        <v/>
      </c>
      <c r="AX2153" s="2" t="str">
        <f t="shared" si="135"/>
        <v/>
      </c>
      <c r="AY2153" s="2" t="str">
        <f>IF($AV2153="","",IF(AND($Z2153=0,COUNTIF('AR SALES'!$L$2:$L$2501,$L2153)=0),"YES",""))</f>
        <v/>
      </c>
      <c r="AZ2153" s="2" t="str">
        <f>IF($AV2153="","",IF(COUNTIF(LISTS!$C$2:$C$250,$AU2153)=0,"NEW",""))</f>
        <v/>
      </c>
      <c r="BA2153" s="2" t="str">
        <f>IF(""&amp;$F2153&lt;&gt;"4","",IF($AY2153="YES","",IF(ROUND(SUMIFS($AE$2:$AE$4001,$L$2:$L$4001,$L2153,$F$2:$F$4001,"4")-SUMIFS('AR SALES'!$Y$2:$Y$2501,'AR SALES'!$L$2:$L$2501,$L2153,'AR SALES'!$AD$2:$AD$2501,"OFF"),2)=0,"","STALE")))</f>
        <v/>
      </c>
      <c r="BB2153" s="2" t="str">
        <f>IF(OR(""&amp;$F2153="2",""&amp;$F2153="4",""&amp;$F2153="G",""&amp;$F2153="H"),IF($AY2153="YES","",IF($AB2153&lt;&gt;0,"",IF(COUNTIFS('AR SALES'!$L$2:$L$2501,$L2153,'AR SALES'!$AD$2:$AD$2501,IF(""&amp;$F2153="4","OFF","ON"),'AR SALES'!$AF$2:$AF$2501,"Y")&gt;0,"","NO EXEMPTION"))),"")</f>
        <v/>
      </c>
    </row>
    <row r="2154" spans="46:54" x14ac:dyDescent="0.25">
      <c r="AT2154" s="2" t="str">
        <f>IF($L2154="","",IFERROR(INDEX('AR SALES'!$H$2:$H$2501,MATCH(""&amp;$L2154,'AR SALES'!$AE$2:$AE$2501,0)),""))</f>
        <v/>
      </c>
      <c r="AU2154" s="2" t="str">
        <f t="shared" si="132"/>
        <v/>
      </c>
      <c r="AV2154" s="2" t="str">
        <f t="shared" si="133"/>
        <v/>
      </c>
      <c r="AW2154" s="2" t="str">
        <f t="shared" si="134"/>
        <v/>
      </c>
      <c r="AX2154" s="2" t="str">
        <f t="shared" si="135"/>
        <v/>
      </c>
      <c r="AY2154" s="2" t="str">
        <f>IF($AV2154="","",IF(AND($Z2154=0,COUNTIF('AR SALES'!$L$2:$L$2501,$L2154)=0),"YES",""))</f>
        <v/>
      </c>
      <c r="AZ2154" s="2" t="str">
        <f>IF($AV2154="","",IF(COUNTIF(LISTS!$C$2:$C$250,$AU2154)=0,"NEW",""))</f>
        <v/>
      </c>
      <c r="BA2154" s="2" t="str">
        <f>IF(""&amp;$F2154&lt;&gt;"4","",IF($AY2154="YES","",IF(ROUND(SUMIFS($AE$2:$AE$4001,$L$2:$L$4001,$L2154,$F$2:$F$4001,"4")-SUMIFS('AR SALES'!$Y$2:$Y$2501,'AR SALES'!$L$2:$L$2501,$L2154,'AR SALES'!$AD$2:$AD$2501,"OFF"),2)=0,"","STALE")))</f>
        <v/>
      </c>
      <c r="BB2154" s="2" t="str">
        <f>IF(OR(""&amp;$F2154="2",""&amp;$F2154="4",""&amp;$F2154="G",""&amp;$F2154="H"),IF($AY2154="YES","",IF($AB2154&lt;&gt;0,"",IF(COUNTIFS('AR SALES'!$L$2:$L$2501,$L2154,'AR SALES'!$AD$2:$AD$2501,IF(""&amp;$F2154="4","OFF","ON"),'AR SALES'!$AF$2:$AF$2501,"Y")&gt;0,"","NO EXEMPTION"))),"")</f>
        <v/>
      </c>
    </row>
    <row r="2155" spans="46:54" x14ac:dyDescent="0.25">
      <c r="AT2155" s="2" t="str">
        <f>IF($L2155="","",IFERROR(INDEX('AR SALES'!$H$2:$H$2501,MATCH(""&amp;$L2155,'AR SALES'!$AE$2:$AE$2501,0)),""))</f>
        <v/>
      </c>
      <c r="AU2155" s="2" t="str">
        <f t="shared" si="132"/>
        <v/>
      </c>
      <c r="AV2155" s="2" t="str">
        <f t="shared" si="133"/>
        <v/>
      </c>
      <c r="AW2155" s="2" t="str">
        <f t="shared" si="134"/>
        <v/>
      </c>
      <c r="AX2155" s="2" t="str">
        <f t="shared" si="135"/>
        <v/>
      </c>
      <c r="AY2155" s="2" t="str">
        <f>IF($AV2155="","",IF(AND($Z2155=0,COUNTIF('AR SALES'!$L$2:$L$2501,$L2155)=0),"YES",""))</f>
        <v/>
      </c>
      <c r="AZ2155" s="2" t="str">
        <f>IF($AV2155="","",IF(COUNTIF(LISTS!$C$2:$C$250,$AU2155)=0,"NEW",""))</f>
        <v/>
      </c>
      <c r="BA2155" s="2" t="str">
        <f>IF(""&amp;$F2155&lt;&gt;"4","",IF($AY2155="YES","",IF(ROUND(SUMIFS($AE$2:$AE$4001,$L$2:$L$4001,$L2155,$F$2:$F$4001,"4")-SUMIFS('AR SALES'!$Y$2:$Y$2501,'AR SALES'!$L$2:$L$2501,$L2155,'AR SALES'!$AD$2:$AD$2501,"OFF"),2)=0,"","STALE")))</f>
        <v/>
      </c>
      <c r="BB2155" s="2" t="str">
        <f>IF(OR(""&amp;$F2155="2",""&amp;$F2155="4",""&amp;$F2155="G",""&amp;$F2155="H"),IF($AY2155="YES","",IF($AB2155&lt;&gt;0,"",IF(COUNTIFS('AR SALES'!$L$2:$L$2501,$L2155,'AR SALES'!$AD$2:$AD$2501,IF(""&amp;$F2155="4","OFF","ON"),'AR SALES'!$AF$2:$AF$2501,"Y")&gt;0,"","NO EXEMPTION"))),"")</f>
        <v/>
      </c>
    </row>
    <row r="2156" spans="46:54" x14ac:dyDescent="0.25">
      <c r="AT2156" s="2" t="str">
        <f>IF($L2156="","",IFERROR(INDEX('AR SALES'!$H$2:$H$2501,MATCH(""&amp;$L2156,'AR SALES'!$AE$2:$AE$2501,0)),""))</f>
        <v/>
      </c>
      <c r="AU2156" s="2" t="str">
        <f t="shared" si="132"/>
        <v/>
      </c>
      <c r="AV2156" s="2" t="str">
        <f t="shared" si="133"/>
        <v/>
      </c>
      <c r="AW2156" s="2" t="str">
        <f t="shared" si="134"/>
        <v/>
      </c>
      <c r="AX2156" s="2" t="str">
        <f t="shared" si="135"/>
        <v/>
      </c>
      <c r="AY2156" s="2" t="str">
        <f>IF($AV2156="","",IF(AND($Z2156=0,COUNTIF('AR SALES'!$L$2:$L$2501,$L2156)=0),"YES",""))</f>
        <v/>
      </c>
      <c r="AZ2156" s="2" t="str">
        <f>IF($AV2156="","",IF(COUNTIF(LISTS!$C$2:$C$250,$AU2156)=0,"NEW",""))</f>
        <v/>
      </c>
      <c r="BA2156" s="2" t="str">
        <f>IF(""&amp;$F2156&lt;&gt;"4","",IF($AY2156="YES","",IF(ROUND(SUMIFS($AE$2:$AE$4001,$L$2:$L$4001,$L2156,$F$2:$F$4001,"4")-SUMIFS('AR SALES'!$Y$2:$Y$2501,'AR SALES'!$L$2:$L$2501,$L2156,'AR SALES'!$AD$2:$AD$2501,"OFF"),2)=0,"","STALE")))</f>
        <v/>
      </c>
      <c r="BB2156" s="2" t="str">
        <f>IF(OR(""&amp;$F2156="2",""&amp;$F2156="4",""&amp;$F2156="G",""&amp;$F2156="H"),IF($AY2156="YES","",IF($AB2156&lt;&gt;0,"",IF(COUNTIFS('AR SALES'!$L$2:$L$2501,$L2156,'AR SALES'!$AD$2:$AD$2501,IF(""&amp;$F2156="4","OFF","ON"),'AR SALES'!$AF$2:$AF$2501,"Y")&gt;0,"","NO EXEMPTION"))),"")</f>
        <v/>
      </c>
    </row>
    <row r="2157" spans="46:54" x14ac:dyDescent="0.25">
      <c r="AT2157" s="2" t="str">
        <f>IF($L2157="","",IFERROR(INDEX('AR SALES'!$H$2:$H$2501,MATCH(""&amp;$L2157,'AR SALES'!$AE$2:$AE$2501,0)),""))</f>
        <v/>
      </c>
      <c r="AU2157" s="2" t="str">
        <f t="shared" si="132"/>
        <v/>
      </c>
      <c r="AV2157" s="2" t="str">
        <f t="shared" si="133"/>
        <v/>
      </c>
      <c r="AW2157" s="2" t="str">
        <f t="shared" si="134"/>
        <v/>
      </c>
      <c r="AX2157" s="2" t="str">
        <f t="shared" si="135"/>
        <v/>
      </c>
      <c r="AY2157" s="2" t="str">
        <f>IF($AV2157="","",IF(AND($Z2157=0,COUNTIF('AR SALES'!$L$2:$L$2501,$L2157)=0),"YES",""))</f>
        <v/>
      </c>
      <c r="AZ2157" s="2" t="str">
        <f>IF($AV2157="","",IF(COUNTIF(LISTS!$C$2:$C$250,$AU2157)=0,"NEW",""))</f>
        <v/>
      </c>
      <c r="BA2157" s="2" t="str">
        <f>IF(""&amp;$F2157&lt;&gt;"4","",IF($AY2157="YES","",IF(ROUND(SUMIFS($AE$2:$AE$4001,$L$2:$L$4001,$L2157,$F$2:$F$4001,"4")-SUMIFS('AR SALES'!$Y$2:$Y$2501,'AR SALES'!$L$2:$L$2501,$L2157,'AR SALES'!$AD$2:$AD$2501,"OFF"),2)=0,"","STALE")))</f>
        <v/>
      </c>
      <c r="BB2157" s="2" t="str">
        <f>IF(OR(""&amp;$F2157="2",""&amp;$F2157="4",""&amp;$F2157="G",""&amp;$F2157="H"),IF($AY2157="YES","",IF($AB2157&lt;&gt;0,"",IF(COUNTIFS('AR SALES'!$L$2:$L$2501,$L2157,'AR SALES'!$AD$2:$AD$2501,IF(""&amp;$F2157="4","OFF","ON"),'AR SALES'!$AF$2:$AF$2501,"Y")&gt;0,"","NO EXEMPTION"))),"")</f>
        <v/>
      </c>
    </row>
    <row r="2158" spans="46:54" x14ac:dyDescent="0.25">
      <c r="AT2158" s="2" t="str">
        <f>IF($L2158="","",IFERROR(INDEX('AR SALES'!$H$2:$H$2501,MATCH(""&amp;$L2158,'AR SALES'!$AE$2:$AE$2501,0)),""))</f>
        <v/>
      </c>
      <c r="AU2158" s="2" t="str">
        <f t="shared" si="132"/>
        <v/>
      </c>
      <c r="AV2158" s="2" t="str">
        <f t="shared" si="133"/>
        <v/>
      </c>
      <c r="AW2158" s="2" t="str">
        <f t="shared" si="134"/>
        <v/>
      </c>
      <c r="AX2158" s="2" t="str">
        <f t="shared" si="135"/>
        <v/>
      </c>
      <c r="AY2158" s="2" t="str">
        <f>IF($AV2158="","",IF(AND($Z2158=0,COUNTIF('AR SALES'!$L$2:$L$2501,$L2158)=0),"YES",""))</f>
        <v/>
      </c>
      <c r="AZ2158" s="2" t="str">
        <f>IF($AV2158="","",IF(COUNTIF(LISTS!$C$2:$C$250,$AU2158)=0,"NEW",""))</f>
        <v/>
      </c>
      <c r="BA2158" s="2" t="str">
        <f>IF(""&amp;$F2158&lt;&gt;"4","",IF($AY2158="YES","",IF(ROUND(SUMIFS($AE$2:$AE$4001,$L$2:$L$4001,$L2158,$F$2:$F$4001,"4")-SUMIFS('AR SALES'!$Y$2:$Y$2501,'AR SALES'!$L$2:$L$2501,$L2158,'AR SALES'!$AD$2:$AD$2501,"OFF"),2)=0,"","STALE")))</f>
        <v/>
      </c>
      <c r="BB2158" s="2" t="str">
        <f>IF(OR(""&amp;$F2158="2",""&amp;$F2158="4",""&amp;$F2158="G",""&amp;$F2158="H"),IF($AY2158="YES","",IF($AB2158&lt;&gt;0,"",IF(COUNTIFS('AR SALES'!$L$2:$L$2501,$L2158,'AR SALES'!$AD$2:$AD$2501,IF(""&amp;$F2158="4","OFF","ON"),'AR SALES'!$AF$2:$AF$2501,"Y")&gt;0,"","NO EXEMPTION"))),"")</f>
        <v/>
      </c>
    </row>
    <row r="2159" spans="46:54" x14ac:dyDescent="0.25">
      <c r="AT2159" s="2" t="str">
        <f>IF($L2159="","",IFERROR(INDEX('AR SALES'!$H$2:$H$2501,MATCH(""&amp;$L2159,'AR SALES'!$AE$2:$AE$2501,0)),""))</f>
        <v/>
      </c>
      <c r="AU2159" s="2" t="str">
        <f t="shared" si="132"/>
        <v/>
      </c>
      <c r="AV2159" s="2" t="str">
        <f t="shared" si="133"/>
        <v/>
      </c>
      <c r="AW2159" s="2" t="str">
        <f t="shared" si="134"/>
        <v/>
      </c>
      <c r="AX2159" s="2" t="str">
        <f t="shared" si="135"/>
        <v/>
      </c>
      <c r="AY2159" s="2" t="str">
        <f>IF($AV2159="","",IF(AND($Z2159=0,COUNTIF('AR SALES'!$L$2:$L$2501,$L2159)=0),"YES",""))</f>
        <v/>
      </c>
      <c r="AZ2159" s="2" t="str">
        <f>IF($AV2159="","",IF(COUNTIF(LISTS!$C$2:$C$250,$AU2159)=0,"NEW",""))</f>
        <v/>
      </c>
      <c r="BA2159" s="2" t="str">
        <f>IF(""&amp;$F2159&lt;&gt;"4","",IF($AY2159="YES","",IF(ROUND(SUMIFS($AE$2:$AE$4001,$L$2:$L$4001,$L2159,$F$2:$F$4001,"4")-SUMIFS('AR SALES'!$Y$2:$Y$2501,'AR SALES'!$L$2:$L$2501,$L2159,'AR SALES'!$AD$2:$AD$2501,"OFF"),2)=0,"","STALE")))</f>
        <v/>
      </c>
      <c r="BB2159" s="2" t="str">
        <f>IF(OR(""&amp;$F2159="2",""&amp;$F2159="4",""&amp;$F2159="G",""&amp;$F2159="H"),IF($AY2159="YES","",IF($AB2159&lt;&gt;0,"",IF(COUNTIFS('AR SALES'!$L$2:$L$2501,$L2159,'AR SALES'!$AD$2:$AD$2501,IF(""&amp;$F2159="4","OFF","ON"),'AR SALES'!$AF$2:$AF$2501,"Y")&gt;0,"","NO EXEMPTION"))),"")</f>
        <v/>
      </c>
    </row>
    <row r="2160" spans="46:54" x14ac:dyDescent="0.25">
      <c r="AT2160" s="2" t="str">
        <f>IF($L2160="","",IFERROR(INDEX('AR SALES'!$H$2:$H$2501,MATCH(""&amp;$L2160,'AR SALES'!$AE$2:$AE$2501,0)),""))</f>
        <v/>
      </c>
      <c r="AU2160" s="2" t="str">
        <f t="shared" si="132"/>
        <v/>
      </c>
      <c r="AV2160" s="2" t="str">
        <f t="shared" si="133"/>
        <v/>
      </c>
      <c r="AW2160" s="2" t="str">
        <f t="shared" si="134"/>
        <v/>
      </c>
      <c r="AX2160" s="2" t="str">
        <f t="shared" si="135"/>
        <v/>
      </c>
      <c r="AY2160" s="2" t="str">
        <f>IF($AV2160="","",IF(AND($Z2160=0,COUNTIF('AR SALES'!$L$2:$L$2501,$L2160)=0),"YES",""))</f>
        <v/>
      </c>
      <c r="AZ2160" s="2" t="str">
        <f>IF($AV2160="","",IF(COUNTIF(LISTS!$C$2:$C$250,$AU2160)=0,"NEW",""))</f>
        <v/>
      </c>
      <c r="BA2160" s="2" t="str">
        <f>IF(""&amp;$F2160&lt;&gt;"4","",IF($AY2160="YES","",IF(ROUND(SUMIFS($AE$2:$AE$4001,$L$2:$L$4001,$L2160,$F$2:$F$4001,"4")-SUMIFS('AR SALES'!$Y$2:$Y$2501,'AR SALES'!$L$2:$L$2501,$L2160,'AR SALES'!$AD$2:$AD$2501,"OFF"),2)=0,"","STALE")))</f>
        <v/>
      </c>
      <c r="BB2160" s="2" t="str">
        <f>IF(OR(""&amp;$F2160="2",""&amp;$F2160="4",""&amp;$F2160="G",""&amp;$F2160="H"),IF($AY2160="YES","",IF($AB2160&lt;&gt;0,"",IF(COUNTIFS('AR SALES'!$L$2:$L$2501,$L2160,'AR SALES'!$AD$2:$AD$2501,IF(""&amp;$F2160="4","OFF","ON"),'AR SALES'!$AF$2:$AF$2501,"Y")&gt;0,"","NO EXEMPTION"))),"")</f>
        <v/>
      </c>
    </row>
    <row r="2161" spans="46:54" x14ac:dyDescent="0.25">
      <c r="AT2161" s="2" t="str">
        <f>IF($L2161="","",IFERROR(INDEX('AR SALES'!$H$2:$H$2501,MATCH(""&amp;$L2161,'AR SALES'!$AE$2:$AE$2501,0)),""))</f>
        <v/>
      </c>
      <c r="AU2161" s="2" t="str">
        <f t="shared" si="132"/>
        <v/>
      </c>
      <c r="AV2161" s="2" t="str">
        <f t="shared" si="133"/>
        <v/>
      </c>
      <c r="AW2161" s="2" t="str">
        <f t="shared" si="134"/>
        <v/>
      </c>
      <c r="AX2161" s="2" t="str">
        <f t="shared" si="135"/>
        <v/>
      </c>
      <c r="AY2161" s="2" t="str">
        <f>IF($AV2161="","",IF(AND($Z2161=0,COUNTIF('AR SALES'!$L$2:$L$2501,$L2161)=0),"YES",""))</f>
        <v/>
      </c>
      <c r="AZ2161" s="2" t="str">
        <f>IF($AV2161="","",IF(COUNTIF(LISTS!$C$2:$C$250,$AU2161)=0,"NEW",""))</f>
        <v/>
      </c>
      <c r="BA2161" s="2" t="str">
        <f>IF(""&amp;$F2161&lt;&gt;"4","",IF($AY2161="YES","",IF(ROUND(SUMIFS($AE$2:$AE$4001,$L$2:$L$4001,$L2161,$F$2:$F$4001,"4")-SUMIFS('AR SALES'!$Y$2:$Y$2501,'AR SALES'!$L$2:$L$2501,$L2161,'AR SALES'!$AD$2:$AD$2501,"OFF"),2)=0,"","STALE")))</f>
        <v/>
      </c>
      <c r="BB2161" s="2" t="str">
        <f>IF(OR(""&amp;$F2161="2",""&amp;$F2161="4",""&amp;$F2161="G",""&amp;$F2161="H"),IF($AY2161="YES","",IF($AB2161&lt;&gt;0,"",IF(COUNTIFS('AR SALES'!$L$2:$L$2501,$L2161,'AR SALES'!$AD$2:$AD$2501,IF(""&amp;$F2161="4","OFF","ON"),'AR SALES'!$AF$2:$AF$2501,"Y")&gt;0,"","NO EXEMPTION"))),"")</f>
        <v/>
      </c>
    </row>
    <row r="2162" spans="46:54" x14ac:dyDescent="0.25">
      <c r="AT2162" s="2" t="str">
        <f>IF($L2162="","",IFERROR(INDEX('AR SALES'!$H$2:$H$2501,MATCH(""&amp;$L2162,'AR SALES'!$AE$2:$AE$2501,0)),""))</f>
        <v/>
      </c>
      <c r="AU2162" s="2" t="str">
        <f t="shared" si="132"/>
        <v/>
      </c>
      <c r="AV2162" s="2" t="str">
        <f t="shared" si="133"/>
        <v/>
      </c>
      <c r="AW2162" s="2" t="str">
        <f t="shared" si="134"/>
        <v/>
      </c>
      <c r="AX2162" s="2" t="str">
        <f t="shared" si="135"/>
        <v/>
      </c>
      <c r="AY2162" s="2" t="str">
        <f>IF($AV2162="","",IF(AND($Z2162=0,COUNTIF('AR SALES'!$L$2:$L$2501,$L2162)=0),"YES",""))</f>
        <v/>
      </c>
      <c r="AZ2162" s="2" t="str">
        <f>IF($AV2162="","",IF(COUNTIF(LISTS!$C$2:$C$250,$AU2162)=0,"NEW",""))</f>
        <v/>
      </c>
      <c r="BA2162" s="2" t="str">
        <f>IF(""&amp;$F2162&lt;&gt;"4","",IF($AY2162="YES","",IF(ROUND(SUMIFS($AE$2:$AE$4001,$L$2:$L$4001,$L2162,$F$2:$F$4001,"4")-SUMIFS('AR SALES'!$Y$2:$Y$2501,'AR SALES'!$L$2:$L$2501,$L2162,'AR SALES'!$AD$2:$AD$2501,"OFF"),2)=0,"","STALE")))</f>
        <v/>
      </c>
      <c r="BB2162" s="2" t="str">
        <f>IF(OR(""&amp;$F2162="2",""&amp;$F2162="4",""&amp;$F2162="G",""&amp;$F2162="H"),IF($AY2162="YES","",IF($AB2162&lt;&gt;0,"",IF(COUNTIFS('AR SALES'!$L$2:$L$2501,$L2162,'AR SALES'!$AD$2:$AD$2501,IF(""&amp;$F2162="4","OFF","ON"),'AR SALES'!$AF$2:$AF$2501,"Y")&gt;0,"","NO EXEMPTION"))),"")</f>
        <v/>
      </c>
    </row>
    <row r="2163" spans="46:54" x14ac:dyDescent="0.25">
      <c r="AT2163" s="2" t="str">
        <f>IF($L2163="","",IFERROR(INDEX('AR SALES'!$H$2:$H$2501,MATCH(""&amp;$L2163,'AR SALES'!$AE$2:$AE$2501,0)),""))</f>
        <v/>
      </c>
      <c r="AU2163" s="2" t="str">
        <f t="shared" si="132"/>
        <v/>
      </c>
      <c r="AV2163" s="2" t="str">
        <f t="shared" si="133"/>
        <v/>
      </c>
      <c r="AW2163" s="2" t="str">
        <f t="shared" si="134"/>
        <v/>
      </c>
      <c r="AX2163" s="2" t="str">
        <f t="shared" si="135"/>
        <v/>
      </c>
      <c r="AY2163" s="2" t="str">
        <f>IF($AV2163="","",IF(AND($Z2163=0,COUNTIF('AR SALES'!$L$2:$L$2501,$L2163)=0),"YES",""))</f>
        <v/>
      </c>
      <c r="AZ2163" s="2" t="str">
        <f>IF($AV2163="","",IF(COUNTIF(LISTS!$C$2:$C$250,$AU2163)=0,"NEW",""))</f>
        <v/>
      </c>
      <c r="BA2163" s="2" t="str">
        <f>IF(""&amp;$F2163&lt;&gt;"4","",IF($AY2163="YES","",IF(ROUND(SUMIFS($AE$2:$AE$4001,$L$2:$L$4001,$L2163,$F$2:$F$4001,"4")-SUMIFS('AR SALES'!$Y$2:$Y$2501,'AR SALES'!$L$2:$L$2501,$L2163,'AR SALES'!$AD$2:$AD$2501,"OFF"),2)=0,"","STALE")))</f>
        <v/>
      </c>
      <c r="BB2163" s="2" t="str">
        <f>IF(OR(""&amp;$F2163="2",""&amp;$F2163="4",""&amp;$F2163="G",""&amp;$F2163="H"),IF($AY2163="YES","",IF($AB2163&lt;&gt;0,"",IF(COUNTIFS('AR SALES'!$L$2:$L$2501,$L2163,'AR SALES'!$AD$2:$AD$2501,IF(""&amp;$F2163="4","OFF","ON"),'AR SALES'!$AF$2:$AF$2501,"Y")&gt;0,"","NO EXEMPTION"))),"")</f>
        <v/>
      </c>
    </row>
    <row r="2164" spans="46:54" x14ac:dyDescent="0.25">
      <c r="AT2164" s="2" t="str">
        <f>IF($L2164="","",IFERROR(INDEX('AR SALES'!$H$2:$H$2501,MATCH(""&amp;$L2164,'AR SALES'!$AE$2:$AE$2501,0)),""))</f>
        <v/>
      </c>
      <c r="AU2164" s="2" t="str">
        <f t="shared" si="132"/>
        <v/>
      </c>
      <c r="AV2164" s="2" t="str">
        <f t="shared" si="133"/>
        <v/>
      </c>
      <c r="AW2164" s="2" t="str">
        <f t="shared" si="134"/>
        <v/>
      </c>
      <c r="AX2164" s="2" t="str">
        <f t="shared" si="135"/>
        <v/>
      </c>
      <c r="AY2164" s="2" t="str">
        <f>IF($AV2164="","",IF(AND($Z2164=0,COUNTIF('AR SALES'!$L$2:$L$2501,$L2164)=0),"YES",""))</f>
        <v/>
      </c>
      <c r="AZ2164" s="2" t="str">
        <f>IF($AV2164="","",IF(COUNTIF(LISTS!$C$2:$C$250,$AU2164)=0,"NEW",""))</f>
        <v/>
      </c>
      <c r="BA2164" s="2" t="str">
        <f>IF(""&amp;$F2164&lt;&gt;"4","",IF($AY2164="YES","",IF(ROUND(SUMIFS($AE$2:$AE$4001,$L$2:$L$4001,$L2164,$F$2:$F$4001,"4")-SUMIFS('AR SALES'!$Y$2:$Y$2501,'AR SALES'!$L$2:$L$2501,$L2164,'AR SALES'!$AD$2:$AD$2501,"OFF"),2)=0,"","STALE")))</f>
        <v/>
      </c>
      <c r="BB2164" s="2" t="str">
        <f>IF(OR(""&amp;$F2164="2",""&amp;$F2164="4",""&amp;$F2164="G",""&amp;$F2164="H"),IF($AY2164="YES","",IF($AB2164&lt;&gt;0,"",IF(COUNTIFS('AR SALES'!$L$2:$L$2501,$L2164,'AR SALES'!$AD$2:$AD$2501,IF(""&amp;$F2164="4","OFF","ON"),'AR SALES'!$AF$2:$AF$2501,"Y")&gt;0,"","NO EXEMPTION"))),"")</f>
        <v/>
      </c>
    </row>
    <row r="2165" spans="46:54" x14ac:dyDescent="0.25">
      <c r="AT2165" s="2" t="str">
        <f>IF($L2165="","",IFERROR(INDEX('AR SALES'!$H$2:$H$2501,MATCH(""&amp;$L2165,'AR SALES'!$AE$2:$AE$2501,0)),""))</f>
        <v/>
      </c>
      <c r="AU2165" s="2" t="str">
        <f t="shared" si="132"/>
        <v/>
      </c>
      <c r="AV2165" s="2" t="str">
        <f t="shared" si="133"/>
        <v/>
      </c>
      <c r="AW2165" s="2" t="str">
        <f t="shared" si="134"/>
        <v/>
      </c>
      <c r="AX2165" s="2" t="str">
        <f t="shared" si="135"/>
        <v/>
      </c>
      <c r="AY2165" s="2" t="str">
        <f>IF($AV2165="","",IF(AND($Z2165=0,COUNTIF('AR SALES'!$L$2:$L$2501,$L2165)=0),"YES",""))</f>
        <v/>
      </c>
      <c r="AZ2165" s="2" t="str">
        <f>IF($AV2165="","",IF(COUNTIF(LISTS!$C$2:$C$250,$AU2165)=0,"NEW",""))</f>
        <v/>
      </c>
      <c r="BA2165" s="2" t="str">
        <f>IF(""&amp;$F2165&lt;&gt;"4","",IF($AY2165="YES","",IF(ROUND(SUMIFS($AE$2:$AE$4001,$L$2:$L$4001,$L2165,$F$2:$F$4001,"4")-SUMIFS('AR SALES'!$Y$2:$Y$2501,'AR SALES'!$L$2:$L$2501,$L2165,'AR SALES'!$AD$2:$AD$2501,"OFF"),2)=0,"","STALE")))</f>
        <v/>
      </c>
      <c r="BB2165" s="2" t="str">
        <f>IF(OR(""&amp;$F2165="2",""&amp;$F2165="4",""&amp;$F2165="G",""&amp;$F2165="H"),IF($AY2165="YES","",IF($AB2165&lt;&gt;0,"",IF(COUNTIFS('AR SALES'!$L$2:$L$2501,$L2165,'AR SALES'!$AD$2:$AD$2501,IF(""&amp;$F2165="4","OFF","ON"),'AR SALES'!$AF$2:$AF$2501,"Y")&gt;0,"","NO EXEMPTION"))),"")</f>
        <v/>
      </c>
    </row>
    <row r="2166" spans="46:54" x14ac:dyDescent="0.25">
      <c r="AT2166" s="2" t="str">
        <f>IF($L2166="","",IFERROR(INDEX('AR SALES'!$H$2:$H$2501,MATCH(""&amp;$L2166,'AR SALES'!$AE$2:$AE$2501,0)),""))</f>
        <v/>
      </c>
      <c r="AU2166" s="2" t="str">
        <f t="shared" si="132"/>
        <v/>
      </c>
      <c r="AV2166" s="2" t="str">
        <f t="shared" si="133"/>
        <v/>
      </c>
      <c r="AW2166" s="2" t="str">
        <f t="shared" si="134"/>
        <v/>
      </c>
      <c r="AX2166" s="2" t="str">
        <f t="shared" si="135"/>
        <v/>
      </c>
      <c r="AY2166" s="2" t="str">
        <f>IF($AV2166="","",IF(AND($Z2166=0,COUNTIF('AR SALES'!$L$2:$L$2501,$L2166)=0),"YES",""))</f>
        <v/>
      </c>
      <c r="AZ2166" s="2" t="str">
        <f>IF($AV2166="","",IF(COUNTIF(LISTS!$C$2:$C$250,$AU2166)=0,"NEW",""))</f>
        <v/>
      </c>
      <c r="BA2166" s="2" t="str">
        <f>IF(""&amp;$F2166&lt;&gt;"4","",IF($AY2166="YES","",IF(ROUND(SUMIFS($AE$2:$AE$4001,$L$2:$L$4001,$L2166,$F$2:$F$4001,"4")-SUMIFS('AR SALES'!$Y$2:$Y$2501,'AR SALES'!$L$2:$L$2501,$L2166,'AR SALES'!$AD$2:$AD$2501,"OFF"),2)=0,"","STALE")))</f>
        <v/>
      </c>
      <c r="BB2166" s="2" t="str">
        <f>IF(OR(""&amp;$F2166="2",""&amp;$F2166="4",""&amp;$F2166="G",""&amp;$F2166="H"),IF($AY2166="YES","",IF($AB2166&lt;&gt;0,"",IF(COUNTIFS('AR SALES'!$L$2:$L$2501,$L2166,'AR SALES'!$AD$2:$AD$2501,IF(""&amp;$F2166="4","OFF","ON"),'AR SALES'!$AF$2:$AF$2501,"Y")&gt;0,"","NO EXEMPTION"))),"")</f>
        <v/>
      </c>
    </row>
    <row r="2167" spans="46:54" x14ac:dyDescent="0.25">
      <c r="AT2167" s="2" t="str">
        <f>IF($L2167="","",IFERROR(INDEX('AR SALES'!$H$2:$H$2501,MATCH(""&amp;$L2167,'AR SALES'!$AE$2:$AE$2501,0)),""))</f>
        <v/>
      </c>
      <c r="AU2167" s="2" t="str">
        <f t="shared" si="132"/>
        <v/>
      </c>
      <c r="AV2167" s="2" t="str">
        <f t="shared" si="133"/>
        <v/>
      </c>
      <c r="AW2167" s="2" t="str">
        <f t="shared" si="134"/>
        <v/>
      </c>
      <c r="AX2167" s="2" t="str">
        <f t="shared" si="135"/>
        <v/>
      </c>
      <c r="AY2167" s="2" t="str">
        <f>IF($AV2167="","",IF(AND($Z2167=0,COUNTIF('AR SALES'!$L$2:$L$2501,$L2167)=0),"YES",""))</f>
        <v/>
      </c>
      <c r="AZ2167" s="2" t="str">
        <f>IF($AV2167="","",IF(COUNTIF(LISTS!$C$2:$C$250,$AU2167)=0,"NEW",""))</f>
        <v/>
      </c>
      <c r="BA2167" s="2" t="str">
        <f>IF(""&amp;$F2167&lt;&gt;"4","",IF($AY2167="YES","",IF(ROUND(SUMIFS($AE$2:$AE$4001,$L$2:$L$4001,$L2167,$F$2:$F$4001,"4")-SUMIFS('AR SALES'!$Y$2:$Y$2501,'AR SALES'!$L$2:$L$2501,$L2167,'AR SALES'!$AD$2:$AD$2501,"OFF"),2)=0,"","STALE")))</f>
        <v/>
      </c>
      <c r="BB2167" s="2" t="str">
        <f>IF(OR(""&amp;$F2167="2",""&amp;$F2167="4",""&amp;$F2167="G",""&amp;$F2167="H"),IF($AY2167="YES","",IF($AB2167&lt;&gt;0,"",IF(COUNTIFS('AR SALES'!$L$2:$L$2501,$L2167,'AR SALES'!$AD$2:$AD$2501,IF(""&amp;$F2167="4","OFF","ON"),'AR SALES'!$AF$2:$AF$2501,"Y")&gt;0,"","NO EXEMPTION"))),"")</f>
        <v/>
      </c>
    </row>
    <row r="2168" spans="46:54" x14ac:dyDescent="0.25">
      <c r="AT2168" s="2" t="str">
        <f>IF($L2168="","",IFERROR(INDEX('AR SALES'!$H$2:$H$2501,MATCH(""&amp;$L2168,'AR SALES'!$AE$2:$AE$2501,0)),""))</f>
        <v/>
      </c>
      <c r="AU2168" s="2" t="str">
        <f t="shared" si="132"/>
        <v/>
      </c>
      <c r="AV2168" s="2" t="str">
        <f t="shared" si="133"/>
        <v/>
      </c>
      <c r="AW2168" s="2" t="str">
        <f t="shared" si="134"/>
        <v/>
      </c>
      <c r="AX2168" s="2" t="str">
        <f t="shared" si="135"/>
        <v/>
      </c>
      <c r="AY2168" s="2" t="str">
        <f>IF($AV2168="","",IF(AND($Z2168=0,COUNTIF('AR SALES'!$L$2:$L$2501,$L2168)=0),"YES",""))</f>
        <v/>
      </c>
      <c r="AZ2168" s="2" t="str">
        <f>IF($AV2168="","",IF(COUNTIF(LISTS!$C$2:$C$250,$AU2168)=0,"NEW",""))</f>
        <v/>
      </c>
      <c r="BA2168" s="2" t="str">
        <f>IF(""&amp;$F2168&lt;&gt;"4","",IF($AY2168="YES","",IF(ROUND(SUMIFS($AE$2:$AE$4001,$L$2:$L$4001,$L2168,$F$2:$F$4001,"4")-SUMIFS('AR SALES'!$Y$2:$Y$2501,'AR SALES'!$L$2:$L$2501,$L2168,'AR SALES'!$AD$2:$AD$2501,"OFF"),2)=0,"","STALE")))</f>
        <v/>
      </c>
      <c r="BB2168" s="2" t="str">
        <f>IF(OR(""&amp;$F2168="2",""&amp;$F2168="4",""&amp;$F2168="G",""&amp;$F2168="H"),IF($AY2168="YES","",IF($AB2168&lt;&gt;0,"",IF(COUNTIFS('AR SALES'!$L$2:$L$2501,$L2168,'AR SALES'!$AD$2:$AD$2501,IF(""&amp;$F2168="4","OFF","ON"),'AR SALES'!$AF$2:$AF$2501,"Y")&gt;0,"","NO EXEMPTION"))),"")</f>
        <v/>
      </c>
    </row>
    <row r="2169" spans="46:54" x14ac:dyDescent="0.25">
      <c r="AT2169" s="2" t="str">
        <f>IF($L2169="","",IFERROR(INDEX('AR SALES'!$H$2:$H$2501,MATCH(""&amp;$L2169,'AR SALES'!$AE$2:$AE$2501,0)),""))</f>
        <v/>
      </c>
      <c r="AU2169" s="2" t="str">
        <f t="shared" si="132"/>
        <v/>
      </c>
      <c r="AV2169" s="2" t="str">
        <f t="shared" si="133"/>
        <v/>
      </c>
      <c r="AW2169" s="2" t="str">
        <f t="shared" si="134"/>
        <v/>
      </c>
      <c r="AX2169" s="2" t="str">
        <f t="shared" si="135"/>
        <v/>
      </c>
      <c r="AY2169" s="2" t="str">
        <f>IF($AV2169="","",IF(AND($Z2169=0,COUNTIF('AR SALES'!$L$2:$L$2501,$L2169)=0),"YES",""))</f>
        <v/>
      </c>
      <c r="AZ2169" s="2" t="str">
        <f>IF($AV2169="","",IF(COUNTIF(LISTS!$C$2:$C$250,$AU2169)=0,"NEW",""))</f>
        <v/>
      </c>
      <c r="BA2169" s="2" t="str">
        <f>IF(""&amp;$F2169&lt;&gt;"4","",IF($AY2169="YES","",IF(ROUND(SUMIFS($AE$2:$AE$4001,$L$2:$L$4001,$L2169,$F$2:$F$4001,"4")-SUMIFS('AR SALES'!$Y$2:$Y$2501,'AR SALES'!$L$2:$L$2501,$L2169,'AR SALES'!$AD$2:$AD$2501,"OFF"),2)=0,"","STALE")))</f>
        <v/>
      </c>
      <c r="BB2169" s="2" t="str">
        <f>IF(OR(""&amp;$F2169="2",""&amp;$F2169="4",""&amp;$F2169="G",""&amp;$F2169="H"),IF($AY2169="YES","",IF($AB2169&lt;&gt;0,"",IF(COUNTIFS('AR SALES'!$L$2:$L$2501,$L2169,'AR SALES'!$AD$2:$AD$2501,IF(""&amp;$F2169="4","OFF","ON"),'AR SALES'!$AF$2:$AF$2501,"Y")&gt;0,"","NO EXEMPTION"))),"")</f>
        <v/>
      </c>
    </row>
    <row r="2170" spans="46:54" x14ac:dyDescent="0.25">
      <c r="AT2170" s="2" t="str">
        <f>IF($L2170="","",IFERROR(INDEX('AR SALES'!$H$2:$H$2501,MATCH(""&amp;$L2170,'AR SALES'!$AE$2:$AE$2501,0)),""))</f>
        <v/>
      </c>
      <c r="AU2170" s="2" t="str">
        <f t="shared" si="132"/>
        <v/>
      </c>
      <c r="AV2170" s="2" t="str">
        <f t="shared" si="133"/>
        <v/>
      </c>
      <c r="AW2170" s="2" t="str">
        <f t="shared" si="134"/>
        <v/>
      </c>
      <c r="AX2170" s="2" t="str">
        <f t="shared" si="135"/>
        <v/>
      </c>
      <c r="AY2170" s="2" t="str">
        <f>IF($AV2170="","",IF(AND($Z2170=0,COUNTIF('AR SALES'!$L$2:$L$2501,$L2170)=0),"YES",""))</f>
        <v/>
      </c>
      <c r="AZ2170" s="2" t="str">
        <f>IF($AV2170="","",IF(COUNTIF(LISTS!$C$2:$C$250,$AU2170)=0,"NEW",""))</f>
        <v/>
      </c>
      <c r="BA2170" s="2" t="str">
        <f>IF(""&amp;$F2170&lt;&gt;"4","",IF($AY2170="YES","",IF(ROUND(SUMIFS($AE$2:$AE$4001,$L$2:$L$4001,$L2170,$F$2:$F$4001,"4")-SUMIFS('AR SALES'!$Y$2:$Y$2501,'AR SALES'!$L$2:$L$2501,$L2170,'AR SALES'!$AD$2:$AD$2501,"OFF"),2)=0,"","STALE")))</f>
        <v/>
      </c>
      <c r="BB2170" s="2" t="str">
        <f>IF(OR(""&amp;$F2170="2",""&amp;$F2170="4",""&amp;$F2170="G",""&amp;$F2170="H"),IF($AY2170="YES","",IF($AB2170&lt;&gt;0,"",IF(COUNTIFS('AR SALES'!$L$2:$L$2501,$L2170,'AR SALES'!$AD$2:$AD$2501,IF(""&amp;$F2170="4","OFF","ON"),'AR SALES'!$AF$2:$AF$2501,"Y")&gt;0,"","NO EXEMPTION"))),"")</f>
        <v/>
      </c>
    </row>
    <row r="2171" spans="46:54" x14ac:dyDescent="0.25">
      <c r="AT2171" s="2" t="str">
        <f>IF($L2171="","",IFERROR(INDEX('AR SALES'!$H$2:$H$2501,MATCH(""&amp;$L2171,'AR SALES'!$AE$2:$AE$2501,0)),""))</f>
        <v/>
      </c>
      <c r="AU2171" s="2" t="str">
        <f t="shared" si="132"/>
        <v/>
      </c>
      <c r="AV2171" s="2" t="str">
        <f t="shared" si="133"/>
        <v/>
      </c>
      <c r="AW2171" s="2" t="str">
        <f t="shared" si="134"/>
        <v/>
      </c>
      <c r="AX2171" s="2" t="str">
        <f t="shared" si="135"/>
        <v/>
      </c>
      <c r="AY2171" s="2" t="str">
        <f>IF($AV2171="","",IF(AND($Z2171=0,COUNTIF('AR SALES'!$L$2:$L$2501,$L2171)=0),"YES",""))</f>
        <v/>
      </c>
      <c r="AZ2171" s="2" t="str">
        <f>IF($AV2171="","",IF(COUNTIF(LISTS!$C$2:$C$250,$AU2171)=0,"NEW",""))</f>
        <v/>
      </c>
      <c r="BA2171" s="2" t="str">
        <f>IF(""&amp;$F2171&lt;&gt;"4","",IF($AY2171="YES","",IF(ROUND(SUMIFS($AE$2:$AE$4001,$L$2:$L$4001,$L2171,$F$2:$F$4001,"4")-SUMIFS('AR SALES'!$Y$2:$Y$2501,'AR SALES'!$L$2:$L$2501,$L2171,'AR SALES'!$AD$2:$AD$2501,"OFF"),2)=0,"","STALE")))</f>
        <v/>
      </c>
      <c r="BB2171" s="2" t="str">
        <f>IF(OR(""&amp;$F2171="2",""&amp;$F2171="4",""&amp;$F2171="G",""&amp;$F2171="H"),IF($AY2171="YES","",IF($AB2171&lt;&gt;0,"",IF(COUNTIFS('AR SALES'!$L$2:$L$2501,$L2171,'AR SALES'!$AD$2:$AD$2501,IF(""&amp;$F2171="4","OFF","ON"),'AR SALES'!$AF$2:$AF$2501,"Y")&gt;0,"","NO EXEMPTION"))),"")</f>
        <v/>
      </c>
    </row>
    <row r="2172" spans="46:54" x14ac:dyDescent="0.25">
      <c r="AT2172" s="2" t="str">
        <f>IF($L2172="","",IFERROR(INDEX('AR SALES'!$H$2:$H$2501,MATCH(""&amp;$L2172,'AR SALES'!$AE$2:$AE$2501,0)),""))</f>
        <v/>
      </c>
      <c r="AU2172" s="2" t="str">
        <f t="shared" si="132"/>
        <v/>
      </c>
      <c r="AV2172" s="2" t="str">
        <f t="shared" si="133"/>
        <v/>
      </c>
      <c r="AW2172" s="2" t="str">
        <f t="shared" si="134"/>
        <v/>
      </c>
      <c r="AX2172" s="2" t="str">
        <f t="shared" si="135"/>
        <v/>
      </c>
      <c r="AY2172" s="2" t="str">
        <f>IF($AV2172="","",IF(AND($Z2172=0,COUNTIF('AR SALES'!$L$2:$L$2501,$L2172)=0),"YES",""))</f>
        <v/>
      </c>
      <c r="AZ2172" s="2" t="str">
        <f>IF($AV2172="","",IF(COUNTIF(LISTS!$C$2:$C$250,$AU2172)=0,"NEW",""))</f>
        <v/>
      </c>
      <c r="BA2172" s="2" t="str">
        <f>IF(""&amp;$F2172&lt;&gt;"4","",IF($AY2172="YES","",IF(ROUND(SUMIFS($AE$2:$AE$4001,$L$2:$L$4001,$L2172,$F$2:$F$4001,"4")-SUMIFS('AR SALES'!$Y$2:$Y$2501,'AR SALES'!$L$2:$L$2501,$L2172,'AR SALES'!$AD$2:$AD$2501,"OFF"),2)=0,"","STALE")))</f>
        <v/>
      </c>
      <c r="BB2172" s="2" t="str">
        <f>IF(OR(""&amp;$F2172="2",""&amp;$F2172="4",""&amp;$F2172="G",""&amp;$F2172="H"),IF($AY2172="YES","",IF($AB2172&lt;&gt;0,"",IF(COUNTIFS('AR SALES'!$L$2:$L$2501,$L2172,'AR SALES'!$AD$2:$AD$2501,IF(""&amp;$F2172="4","OFF","ON"),'AR SALES'!$AF$2:$AF$2501,"Y")&gt;0,"","NO EXEMPTION"))),"")</f>
        <v/>
      </c>
    </row>
    <row r="2173" spans="46:54" x14ac:dyDescent="0.25">
      <c r="AT2173" s="2" t="str">
        <f>IF($L2173="","",IFERROR(INDEX('AR SALES'!$H$2:$H$2501,MATCH(""&amp;$L2173,'AR SALES'!$AE$2:$AE$2501,0)),""))</f>
        <v/>
      </c>
      <c r="AU2173" s="2" t="str">
        <f t="shared" si="132"/>
        <v/>
      </c>
      <c r="AV2173" s="2" t="str">
        <f t="shared" si="133"/>
        <v/>
      </c>
      <c r="AW2173" s="2" t="str">
        <f t="shared" si="134"/>
        <v/>
      </c>
      <c r="AX2173" s="2" t="str">
        <f t="shared" si="135"/>
        <v/>
      </c>
      <c r="AY2173" s="2" t="str">
        <f>IF($AV2173="","",IF(AND($Z2173=0,COUNTIF('AR SALES'!$L$2:$L$2501,$L2173)=0),"YES",""))</f>
        <v/>
      </c>
      <c r="AZ2173" s="2" t="str">
        <f>IF($AV2173="","",IF(COUNTIF(LISTS!$C$2:$C$250,$AU2173)=0,"NEW",""))</f>
        <v/>
      </c>
      <c r="BA2173" s="2" t="str">
        <f>IF(""&amp;$F2173&lt;&gt;"4","",IF($AY2173="YES","",IF(ROUND(SUMIFS($AE$2:$AE$4001,$L$2:$L$4001,$L2173,$F$2:$F$4001,"4")-SUMIFS('AR SALES'!$Y$2:$Y$2501,'AR SALES'!$L$2:$L$2501,$L2173,'AR SALES'!$AD$2:$AD$2501,"OFF"),2)=0,"","STALE")))</f>
        <v/>
      </c>
      <c r="BB2173" s="2" t="str">
        <f>IF(OR(""&amp;$F2173="2",""&amp;$F2173="4",""&amp;$F2173="G",""&amp;$F2173="H"),IF($AY2173="YES","",IF($AB2173&lt;&gt;0,"",IF(COUNTIFS('AR SALES'!$L$2:$L$2501,$L2173,'AR SALES'!$AD$2:$AD$2501,IF(""&amp;$F2173="4","OFF","ON"),'AR SALES'!$AF$2:$AF$2501,"Y")&gt;0,"","NO EXEMPTION"))),"")</f>
        <v/>
      </c>
    </row>
    <row r="2174" spans="46:54" x14ac:dyDescent="0.25">
      <c r="AT2174" s="2" t="str">
        <f>IF($L2174="","",IFERROR(INDEX('AR SALES'!$H$2:$H$2501,MATCH(""&amp;$L2174,'AR SALES'!$AE$2:$AE$2501,0)),""))</f>
        <v/>
      </c>
      <c r="AU2174" s="2" t="str">
        <f t="shared" si="132"/>
        <v/>
      </c>
      <c r="AV2174" s="2" t="str">
        <f t="shared" si="133"/>
        <v/>
      </c>
      <c r="AW2174" s="2" t="str">
        <f t="shared" si="134"/>
        <v/>
      </c>
      <c r="AX2174" s="2" t="str">
        <f t="shared" si="135"/>
        <v/>
      </c>
      <c r="AY2174" s="2" t="str">
        <f>IF($AV2174="","",IF(AND($Z2174=0,COUNTIF('AR SALES'!$L$2:$L$2501,$L2174)=0),"YES",""))</f>
        <v/>
      </c>
      <c r="AZ2174" s="2" t="str">
        <f>IF($AV2174="","",IF(COUNTIF(LISTS!$C$2:$C$250,$AU2174)=0,"NEW",""))</f>
        <v/>
      </c>
      <c r="BA2174" s="2" t="str">
        <f>IF(""&amp;$F2174&lt;&gt;"4","",IF($AY2174="YES","",IF(ROUND(SUMIFS($AE$2:$AE$4001,$L$2:$L$4001,$L2174,$F$2:$F$4001,"4")-SUMIFS('AR SALES'!$Y$2:$Y$2501,'AR SALES'!$L$2:$L$2501,$L2174,'AR SALES'!$AD$2:$AD$2501,"OFF"),2)=0,"","STALE")))</f>
        <v/>
      </c>
      <c r="BB2174" s="2" t="str">
        <f>IF(OR(""&amp;$F2174="2",""&amp;$F2174="4",""&amp;$F2174="G",""&amp;$F2174="H"),IF($AY2174="YES","",IF($AB2174&lt;&gt;0,"",IF(COUNTIFS('AR SALES'!$L$2:$L$2501,$L2174,'AR SALES'!$AD$2:$AD$2501,IF(""&amp;$F2174="4","OFF","ON"),'AR SALES'!$AF$2:$AF$2501,"Y")&gt;0,"","NO EXEMPTION"))),"")</f>
        <v/>
      </c>
    </row>
    <row r="2175" spans="46:54" x14ac:dyDescent="0.25">
      <c r="AT2175" s="2" t="str">
        <f>IF($L2175="","",IFERROR(INDEX('AR SALES'!$H$2:$H$2501,MATCH(""&amp;$L2175,'AR SALES'!$AE$2:$AE$2501,0)),""))</f>
        <v/>
      </c>
      <c r="AU2175" s="2" t="str">
        <f t="shared" si="132"/>
        <v/>
      </c>
      <c r="AV2175" s="2" t="str">
        <f t="shared" si="133"/>
        <v/>
      </c>
      <c r="AW2175" s="2" t="str">
        <f t="shared" si="134"/>
        <v/>
      </c>
      <c r="AX2175" s="2" t="str">
        <f t="shared" si="135"/>
        <v/>
      </c>
      <c r="AY2175" s="2" t="str">
        <f>IF($AV2175="","",IF(AND($Z2175=0,COUNTIF('AR SALES'!$L$2:$L$2501,$L2175)=0),"YES",""))</f>
        <v/>
      </c>
      <c r="AZ2175" s="2" t="str">
        <f>IF($AV2175="","",IF(COUNTIF(LISTS!$C$2:$C$250,$AU2175)=0,"NEW",""))</f>
        <v/>
      </c>
      <c r="BA2175" s="2" t="str">
        <f>IF(""&amp;$F2175&lt;&gt;"4","",IF($AY2175="YES","",IF(ROUND(SUMIFS($AE$2:$AE$4001,$L$2:$L$4001,$L2175,$F$2:$F$4001,"4")-SUMIFS('AR SALES'!$Y$2:$Y$2501,'AR SALES'!$L$2:$L$2501,$L2175,'AR SALES'!$AD$2:$AD$2501,"OFF"),2)=0,"","STALE")))</f>
        <v/>
      </c>
      <c r="BB2175" s="2" t="str">
        <f>IF(OR(""&amp;$F2175="2",""&amp;$F2175="4",""&amp;$F2175="G",""&amp;$F2175="H"),IF($AY2175="YES","",IF($AB2175&lt;&gt;0,"",IF(COUNTIFS('AR SALES'!$L$2:$L$2501,$L2175,'AR SALES'!$AD$2:$AD$2501,IF(""&amp;$F2175="4","OFF","ON"),'AR SALES'!$AF$2:$AF$2501,"Y")&gt;0,"","NO EXEMPTION"))),"")</f>
        <v/>
      </c>
    </row>
    <row r="2176" spans="46:54" x14ac:dyDescent="0.25">
      <c r="AT2176" s="2" t="str">
        <f>IF($L2176="","",IFERROR(INDEX('AR SALES'!$H$2:$H$2501,MATCH(""&amp;$L2176,'AR SALES'!$AE$2:$AE$2501,0)),""))</f>
        <v/>
      </c>
      <c r="AU2176" s="2" t="str">
        <f t="shared" si="132"/>
        <v/>
      </c>
      <c r="AV2176" s="2" t="str">
        <f t="shared" si="133"/>
        <v/>
      </c>
      <c r="AW2176" s="2" t="str">
        <f t="shared" si="134"/>
        <v/>
      </c>
      <c r="AX2176" s="2" t="str">
        <f t="shared" si="135"/>
        <v/>
      </c>
      <c r="AY2176" s="2" t="str">
        <f>IF($AV2176="","",IF(AND($Z2176=0,COUNTIF('AR SALES'!$L$2:$L$2501,$L2176)=0),"YES",""))</f>
        <v/>
      </c>
      <c r="AZ2176" s="2" t="str">
        <f>IF($AV2176="","",IF(COUNTIF(LISTS!$C$2:$C$250,$AU2176)=0,"NEW",""))</f>
        <v/>
      </c>
      <c r="BA2176" s="2" t="str">
        <f>IF(""&amp;$F2176&lt;&gt;"4","",IF($AY2176="YES","",IF(ROUND(SUMIFS($AE$2:$AE$4001,$L$2:$L$4001,$L2176,$F$2:$F$4001,"4")-SUMIFS('AR SALES'!$Y$2:$Y$2501,'AR SALES'!$L$2:$L$2501,$L2176,'AR SALES'!$AD$2:$AD$2501,"OFF"),2)=0,"","STALE")))</f>
        <v/>
      </c>
      <c r="BB2176" s="2" t="str">
        <f>IF(OR(""&amp;$F2176="2",""&amp;$F2176="4",""&amp;$F2176="G",""&amp;$F2176="H"),IF($AY2176="YES","",IF($AB2176&lt;&gt;0,"",IF(COUNTIFS('AR SALES'!$L$2:$L$2501,$L2176,'AR SALES'!$AD$2:$AD$2501,IF(""&amp;$F2176="4","OFF","ON"),'AR SALES'!$AF$2:$AF$2501,"Y")&gt;0,"","NO EXEMPTION"))),"")</f>
        <v/>
      </c>
    </row>
    <row r="2177" spans="46:54" x14ac:dyDescent="0.25">
      <c r="AT2177" s="2" t="str">
        <f>IF($L2177="","",IFERROR(INDEX('AR SALES'!$H$2:$H$2501,MATCH(""&amp;$L2177,'AR SALES'!$AE$2:$AE$2501,0)),""))</f>
        <v/>
      </c>
      <c r="AU2177" s="2" t="str">
        <f t="shared" si="132"/>
        <v/>
      </c>
      <c r="AV2177" s="2" t="str">
        <f t="shared" si="133"/>
        <v/>
      </c>
      <c r="AW2177" s="2" t="str">
        <f t="shared" si="134"/>
        <v/>
      </c>
      <c r="AX2177" s="2" t="str">
        <f t="shared" si="135"/>
        <v/>
      </c>
      <c r="AY2177" s="2" t="str">
        <f>IF($AV2177="","",IF(AND($Z2177=0,COUNTIF('AR SALES'!$L$2:$L$2501,$L2177)=0),"YES",""))</f>
        <v/>
      </c>
      <c r="AZ2177" s="2" t="str">
        <f>IF($AV2177="","",IF(COUNTIF(LISTS!$C$2:$C$250,$AU2177)=0,"NEW",""))</f>
        <v/>
      </c>
      <c r="BA2177" s="2" t="str">
        <f>IF(""&amp;$F2177&lt;&gt;"4","",IF($AY2177="YES","",IF(ROUND(SUMIFS($AE$2:$AE$4001,$L$2:$L$4001,$L2177,$F$2:$F$4001,"4")-SUMIFS('AR SALES'!$Y$2:$Y$2501,'AR SALES'!$L$2:$L$2501,$L2177,'AR SALES'!$AD$2:$AD$2501,"OFF"),2)=0,"","STALE")))</f>
        <v/>
      </c>
      <c r="BB2177" s="2" t="str">
        <f>IF(OR(""&amp;$F2177="2",""&amp;$F2177="4",""&amp;$F2177="G",""&amp;$F2177="H"),IF($AY2177="YES","",IF($AB2177&lt;&gt;0,"",IF(COUNTIFS('AR SALES'!$L$2:$L$2501,$L2177,'AR SALES'!$AD$2:$AD$2501,IF(""&amp;$F2177="4","OFF","ON"),'AR SALES'!$AF$2:$AF$2501,"Y")&gt;0,"","NO EXEMPTION"))),"")</f>
        <v/>
      </c>
    </row>
    <row r="2178" spans="46:54" x14ac:dyDescent="0.25">
      <c r="AT2178" s="2" t="str">
        <f>IF($L2178="","",IFERROR(INDEX('AR SALES'!$H$2:$H$2501,MATCH(""&amp;$L2178,'AR SALES'!$AE$2:$AE$2501,0)),""))</f>
        <v/>
      </c>
      <c r="AU2178" s="2" t="str">
        <f t="shared" ref="AU2178:AU2241" si="136">IF($L2178="","",IF($A2178&lt;&gt;"GA","",IF($E2178="FULTON",IF(ISNUMBER(SEARCH("COLLEGE PARK",$AT2178)),"FULTON (COLLEGE PARK)",IF(ISNUMBER(SEARCH("ATLANTA CITY",$AT2178)),"FULTON (ATL LIMITS)","FULTON")),IF($E2178="DEKALB",IF(ISNUMBER(SEARCH("ATLANTA CITY",$AT2178)),"DEKALB (ATL LIMITS)","DEKALB"),$E2178))))</f>
        <v/>
      </c>
      <c r="AV2178" s="2" t="str">
        <f t="shared" ref="AV2178:AV2241" si="137">IF($L2178="","",IF(""&amp;$F2178="2","DIESEL",IF(OR(""&amp;$F2178="G",""&amp;$F2178="H"),"GAS","")))</f>
        <v/>
      </c>
      <c r="AW2178" s="2" t="str">
        <f t="shared" ref="AW2178:AW2241" si="138">IF($AV2178="","",$R2178)</f>
        <v/>
      </c>
      <c r="AX2178" s="2" t="str">
        <f t="shared" ref="AX2178:AX2241" si="139">IF($AV2178="","",IF($AB2178=0,$R2178,0))</f>
        <v/>
      </c>
      <c r="AY2178" s="2" t="str">
        <f>IF($AV2178="","",IF(AND($Z2178=0,COUNTIF('AR SALES'!$L$2:$L$2501,$L2178)=0),"YES",""))</f>
        <v/>
      </c>
      <c r="AZ2178" s="2" t="str">
        <f>IF($AV2178="","",IF(COUNTIF(LISTS!$C$2:$C$250,$AU2178)=0,"NEW",""))</f>
        <v/>
      </c>
      <c r="BA2178" s="2" t="str">
        <f>IF(""&amp;$F2178&lt;&gt;"4","",IF($AY2178="YES","",IF(ROUND(SUMIFS($AE$2:$AE$4001,$L$2:$L$4001,$L2178,$F$2:$F$4001,"4")-SUMIFS('AR SALES'!$Y$2:$Y$2501,'AR SALES'!$L$2:$L$2501,$L2178,'AR SALES'!$AD$2:$AD$2501,"OFF"),2)=0,"","STALE")))</f>
        <v/>
      </c>
      <c r="BB2178" s="2" t="str">
        <f>IF(OR(""&amp;$F2178="2",""&amp;$F2178="4",""&amp;$F2178="G",""&amp;$F2178="H"),IF($AY2178="YES","",IF($AB2178&lt;&gt;0,"",IF(COUNTIFS('AR SALES'!$L$2:$L$2501,$L2178,'AR SALES'!$AD$2:$AD$2501,IF(""&amp;$F2178="4","OFF","ON"),'AR SALES'!$AF$2:$AF$2501,"Y")&gt;0,"","NO EXEMPTION"))),"")</f>
        <v/>
      </c>
    </row>
    <row r="2179" spans="46:54" x14ac:dyDescent="0.25">
      <c r="AT2179" s="2" t="str">
        <f>IF($L2179="","",IFERROR(INDEX('AR SALES'!$H$2:$H$2501,MATCH(""&amp;$L2179,'AR SALES'!$AE$2:$AE$2501,0)),""))</f>
        <v/>
      </c>
      <c r="AU2179" s="2" t="str">
        <f t="shared" si="136"/>
        <v/>
      </c>
      <c r="AV2179" s="2" t="str">
        <f t="shared" si="137"/>
        <v/>
      </c>
      <c r="AW2179" s="2" t="str">
        <f t="shared" si="138"/>
        <v/>
      </c>
      <c r="AX2179" s="2" t="str">
        <f t="shared" si="139"/>
        <v/>
      </c>
      <c r="AY2179" s="2" t="str">
        <f>IF($AV2179="","",IF(AND($Z2179=0,COUNTIF('AR SALES'!$L$2:$L$2501,$L2179)=0),"YES",""))</f>
        <v/>
      </c>
      <c r="AZ2179" s="2" t="str">
        <f>IF($AV2179="","",IF(COUNTIF(LISTS!$C$2:$C$250,$AU2179)=0,"NEW",""))</f>
        <v/>
      </c>
      <c r="BA2179" s="2" t="str">
        <f>IF(""&amp;$F2179&lt;&gt;"4","",IF($AY2179="YES","",IF(ROUND(SUMIFS($AE$2:$AE$4001,$L$2:$L$4001,$L2179,$F$2:$F$4001,"4")-SUMIFS('AR SALES'!$Y$2:$Y$2501,'AR SALES'!$L$2:$L$2501,$L2179,'AR SALES'!$AD$2:$AD$2501,"OFF"),2)=0,"","STALE")))</f>
        <v/>
      </c>
      <c r="BB2179" s="2" t="str">
        <f>IF(OR(""&amp;$F2179="2",""&amp;$F2179="4",""&amp;$F2179="G",""&amp;$F2179="H"),IF($AY2179="YES","",IF($AB2179&lt;&gt;0,"",IF(COUNTIFS('AR SALES'!$L$2:$L$2501,$L2179,'AR SALES'!$AD$2:$AD$2501,IF(""&amp;$F2179="4","OFF","ON"),'AR SALES'!$AF$2:$AF$2501,"Y")&gt;0,"","NO EXEMPTION"))),"")</f>
        <v/>
      </c>
    </row>
    <row r="2180" spans="46:54" x14ac:dyDescent="0.25">
      <c r="AT2180" s="2" t="str">
        <f>IF($L2180="","",IFERROR(INDEX('AR SALES'!$H$2:$H$2501,MATCH(""&amp;$L2180,'AR SALES'!$AE$2:$AE$2501,0)),""))</f>
        <v/>
      </c>
      <c r="AU2180" s="2" t="str">
        <f t="shared" si="136"/>
        <v/>
      </c>
      <c r="AV2180" s="2" t="str">
        <f t="shared" si="137"/>
        <v/>
      </c>
      <c r="AW2180" s="2" t="str">
        <f t="shared" si="138"/>
        <v/>
      </c>
      <c r="AX2180" s="2" t="str">
        <f t="shared" si="139"/>
        <v/>
      </c>
      <c r="AY2180" s="2" t="str">
        <f>IF($AV2180="","",IF(AND($Z2180=0,COUNTIF('AR SALES'!$L$2:$L$2501,$L2180)=0),"YES",""))</f>
        <v/>
      </c>
      <c r="AZ2180" s="2" t="str">
        <f>IF($AV2180="","",IF(COUNTIF(LISTS!$C$2:$C$250,$AU2180)=0,"NEW",""))</f>
        <v/>
      </c>
      <c r="BA2180" s="2" t="str">
        <f>IF(""&amp;$F2180&lt;&gt;"4","",IF($AY2180="YES","",IF(ROUND(SUMIFS($AE$2:$AE$4001,$L$2:$L$4001,$L2180,$F$2:$F$4001,"4")-SUMIFS('AR SALES'!$Y$2:$Y$2501,'AR SALES'!$L$2:$L$2501,$L2180,'AR SALES'!$AD$2:$AD$2501,"OFF"),2)=0,"","STALE")))</f>
        <v/>
      </c>
      <c r="BB2180" s="2" t="str">
        <f>IF(OR(""&amp;$F2180="2",""&amp;$F2180="4",""&amp;$F2180="G",""&amp;$F2180="H"),IF($AY2180="YES","",IF($AB2180&lt;&gt;0,"",IF(COUNTIFS('AR SALES'!$L$2:$L$2501,$L2180,'AR SALES'!$AD$2:$AD$2501,IF(""&amp;$F2180="4","OFF","ON"),'AR SALES'!$AF$2:$AF$2501,"Y")&gt;0,"","NO EXEMPTION"))),"")</f>
        <v/>
      </c>
    </row>
    <row r="2181" spans="46:54" x14ac:dyDescent="0.25">
      <c r="AT2181" s="2" t="str">
        <f>IF($L2181="","",IFERROR(INDEX('AR SALES'!$H$2:$H$2501,MATCH(""&amp;$L2181,'AR SALES'!$AE$2:$AE$2501,0)),""))</f>
        <v/>
      </c>
      <c r="AU2181" s="2" t="str">
        <f t="shared" si="136"/>
        <v/>
      </c>
      <c r="AV2181" s="2" t="str">
        <f t="shared" si="137"/>
        <v/>
      </c>
      <c r="AW2181" s="2" t="str">
        <f t="shared" si="138"/>
        <v/>
      </c>
      <c r="AX2181" s="2" t="str">
        <f t="shared" si="139"/>
        <v/>
      </c>
      <c r="AY2181" s="2" t="str">
        <f>IF($AV2181="","",IF(AND($Z2181=0,COUNTIF('AR SALES'!$L$2:$L$2501,$L2181)=0),"YES",""))</f>
        <v/>
      </c>
      <c r="AZ2181" s="2" t="str">
        <f>IF($AV2181="","",IF(COUNTIF(LISTS!$C$2:$C$250,$AU2181)=0,"NEW",""))</f>
        <v/>
      </c>
      <c r="BA2181" s="2" t="str">
        <f>IF(""&amp;$F2181&lt;&gt;"4","",IF($AY2181="YES","",IF(ROUND(SUMIFS($AE$2:$AE$4001,$L$2:$L$4001,$L2181,$F$2:$F$4001,"4")-SUMIFS('AR SALES'!$Y$2:$Y$2501,'AR SALES'!$L$2:$L$2501,$L2181,'AR SALES'!$AD$2:$AD$2501,"OFF"),2)=0,"","STALE")))</f>
        <v/>
      </c>
      <c r="BB2181" s="2" t="str">
        <f>IF(OR(""&amp;$F2181="2",""&amp;$F2181="4",""&amp;$F2181="G",""&amp;$F2181="H"),IF($AY2181="YES","",IF($AB2181&lt;&gt;0,"",IF(COUNTIFS('AR SALES'!$L$2:$L$2501,$L2181,'AR SALES'!$AD$2:$AD$2501,IF(""&amp;$F2181="4","OFF","ON"),'AR SALES'!$AF$2:$AF$2501,"Y")&gt;0,"","NO EXEMPTION"))),"")</f>
        <v/>
      </c>
    </row>
    <row r="2182" spans="46:54" x14ac:dyDescent="0.25">
      <c r="AT2182" s="2" t="str">
        <f>IF($L2182="","",IFERROR(INDEX('AR SALES'!$H$2:$H$2501,MATCH(""&amp;$L2182,'AR SALES'!$AE$2:$AE$2501,0)),""))</f>
        <v/>
      </c>
      <c r="AU2182" s="2" t="str">
        <f t="shared" si="136"/>
        <v/>
      </c>
      <c r="AV2182" s="2" t="str">
        <f t="shared" si="137"/>
        <v/>
      </c>
      <c r="AW2182" s="2" t="str">
        <f t="shared" si="138"/>
        <v/>
      </c>
      <c r="AX2182" s="2" t="str">
        <f t="shared" si="139"/>
        <v/>
      </c>
      <c r="AY2182" s="2" t="str">
        <f>IF($AV2182="","",IF(AND($Z2182=0,COUNTIF('AR SALES'!$L$2:$L$2501,$L2182)=0),"YES",""))</f>
        <v/>
      </c>
      <c r="AZ2182" s="2" t="str">
        <f>IF($AV2182="","",IF(COUNTIF(LISTS!$C$2:$C$250,$AU2182)=0,"NEW",""))</f>
        <v/>
      </c>
      <c r="BA2182" s="2" t="str">
        <f>IF(""&amp;$F2182&lt;&gt;"4","",IF($AY2182="YES","",IF(ROUND(SUMIFS($AE$2:$AE$4001,$L$2:$L$4001,$L2182,$F$2:$F$4001,"4")-SUMIFS('AR SALES'!$Y$2:$Y$2501,'AR SALES'!$L$2:$L$2501,$L2182,'AR SALES'!$AD$2:$AD$2501,"OFF"),2)=0,"","STALE")))</f>
        <v/>
      </c>
      <c r="BB2182" s="2" t="str">
        <f>IF(OR(""&amp;$F2182="2",""&amp;$F2182="4",""&amp;$F2182="G",""&amp;$F2182="H"),IF($AY2182="YES","",IF($AB2182&lt;&gt;0,"",IF(COUNTIFS('AR SALES'!$L$2:$L$2501,$L2182,'AR SALES'!$AD$2:$AD$2501,IF(""&amp;$F2182="4","OFF","ON"),'AR SALES'!$AF$2:$AF$2501,"Y")&gt;0,"","NO EXEMPTION"))),"")</f>
        <v/>
      </c>
    </row>
    <row r="2183" spans="46:54" x14ac:dyDescent="0.25">
      <c r="AT2183" s="2" t="str">
        <f>IF($L2183="","",IFERROR(INDEX('AR SALES'!$H$2:$H$2501,MATCH(""&amp;$L2183,'AR SALES'!$AE$2:$AE$2501,0)),""))</f>
        <v/>
      </c>
      <c r="AU2183" s="2" t="str">
        <f t="shared" si="136"/>
        <v/>
      </c>
      <c r="AV2183" s="2" t="str">
        <f t="shared" si="137"/>
        <v/>
      </c>
      <c r="AW2183" s="2" t="str">
        <f t="shared" si="138"/>
        <v/>
      </c>
      <c r="AX2183" s="2" t="str">
        <f t="shared" si="139"/>
        <v/>
      </c>
      <c r="AY2183" s="2" t="str">
        <f>IF($AV2183="","",IF(AND($Z2183=0,COUNTIF('AR SALES'!$L$2:$L$2501,$L2183)=0),"YES",""))</f>
        <v/>
      </c>
      <c r="AZ2183" s="2" t="str">
        <f>IF($AV2183="","",IF(COUNTIF(LISTS!$C$2:$C$250,$AU2183)=0,"NEW",""))</f>
        <v/>
      </c>
      <c r="BA2183" s="2" t="str">
        <f>IF(""&amp;$F2183&lt;&gt;"4","",IF($AY2183="YES","",IF(ROUND(SUMIFS($AE$2:$AE$4001,$L$2:$L$4001,$L2183,$F$2:$F$4001,"4")-SUMIFS('AR SALES'!$Y$2:$Y$2501,'AR SALES'!$L$2:$L$2501,$L2183,'AR SALES'!$AD$2:$AD$2501,"OFF"),2)=0,"","STALE")))</f>
        <v/>
      </c>
      <c r="BB2183" s="2" t="str">
        <f>IF(OR(""&amp;$F2183="2",""&amp;$F2183="4",""&amp;$F2183="G",""&amp;$F2183="H"),IF($AY2183="YES","",IF($AB2183&lt;&gt;0,"",IF(COUNTIFS('AR SALES'!$L$2:$L$2501,$L2183,'AR SALES'!$AD$2:$AD$2501,IF(""&amp;$F2183="4","OFF","ON"),'AR SALES'!$AF$2:$AF$2501,"Y")&gt;0,"","NO EXEMPTION"))),"")</f>
        <v/>
      </c>
    </row>
    <row r="2184" spans="46:54" x14ac:dyDescent="0.25">
      <c r="AT2184" s="2" t="str">
        <f>IF($L2184="","",IFERROR(INDEX('AR SALES'!$H$2:$H$2501,MATCH(""&amp;$L2184,'AR SALES'!$AE$2:$AE$2501,0)),""))</f>
        <v/>
      </c>
      <c r="AU2184" s="2" t="str">
        <f t="shared" si="136"/>
        <v/>
      </c>
      <c r="AV2184" s="2" t="str">
        <f t="shared" si="137"/>
        <v/>
      </c>
      <c r="AW2184" s="2" t="str">
        <f t="shared" si="138"/>
        <v/>
      </c>
      <c r="AX2184" s="2" t="str">
        <f t="shared" si="139"/>
        <v/>
      </c>
      <c r="AY2184" s="2" t="str">
        <f>IF($AV2184="","",IF(AND($Z2184=0,COUNTIF('AR SALES'!$L$2:$L$2501,$L2184)=0),"YES",""))</f>
        <v/>
      </c>
      <c r="AZ2184" s="2" t="str">
        <f>IF($AV2184="","",IF(COUNTIF(LISTS!$C$2:$C$250,$AU2184)=0,"NEW",""))</f>
        <v/>
      </c>
      <c r="BA2184" s="2" t="str">
        <f>IF(""&amp;$F2184&lt;&gt;"4","",IF($AY2184="YES","",IF(ROUND(SUMIFS($AE$2:$AE$4001,$L$2:$L$4001,$L2184,$F$2:$F$4001,"4")-SUMIFS('AR SALES'!$Y$2:$Y$2501,'AR SALES'!$L$2:$L$2501,$L2184,'AR SALES'!$AD$2:$AD$2501,"OFF"),2)=0,"","STALE")))</f>
        <v/>
      </c>
      <c r="BB2184" s="2" t="str">
        <f>IF(OR(""&amp;$F2184="2",""&amp;$F2184="4",""&amp;$F2184="G",""&amp;$F2184="H"),IF($AY2184="YES","",IF($AB2184&lt;&gt;0,"",IF(COUNTIFS('AR SALES'!$L$2:$L$2501,$L2184,'AR SALES'!$AD$2:$AD$2501,IF(""&amp;$F2184="4","OFF","ON"),'AR SALES'!$AF$2:$AF$2501,"Y")&gt;0,"","NO EXEMPTION"))),"")</f>
        <v/>
      </c>
    </row>
    <row r="2185" spans="46:54" x14ac:dyDescent="0.25">
      <c r="AT2185" s="2" t="str">
        <f>IF($L2185="","",IFERROR(INDEX('AR SALES'!$H$2:$H$2501,MATCH(""&amp;$L2185,'AR SALES'!$AE$2:$AE$2501,0)),""))</f>
        <v/>
      </c>
      <c r="AU2185" s="2" t="str">
        <f t="shared" si="136"/>
        <v/>
      </c>
      <c r="AV2185" s="2" t="str">
        <f t="shared" si="137"/>
        <v/>
      </c>
      <c r="AW2185" s="2" t="str">
        <f t="shared" si="138"/>
        <v/>
      </c>
      <c r="AX2185" s="2" t="str">
        <f t="shared" si="139"/>
        <v/>
      </c>
      <c r="AY2185" s="2" t="str">
        <f>IF($AV2185="","",IF(AND($Z2185=0,COUNTIF('AR SALES'!$L$2:$L$2501,$L2185)=0),"YES",""))</f>
        <v/>
      </c>
      <c r="AZ2185" s="2" t="str">
        <f>IF($AV2185="","",IF(COUNTIF(LISTS!$C$2:$C$250,$AU2185)=0,"NEW",""))</f>
        <v/>
      </c>
      <c r="BA2185" s="2" t="str">
        <f>IF(""&amp;$F2185&lt;&gt;"4","",IF($AY2185="YES","",IF(ROUND(SUMIFS($AE$2:$AE$4001,$L$2:$L$4001,$L2185,$F$2:$F$4001,"4")-SUMIFS('AR SALES'!$Y$2:$Y$2501,'AR SALES'!$L$2:$L$2501,$L2185,'AR SALES'!$AD$2:$AD$2501,"OFF"),2)=0,"","STALE")))</f>
        <v/>
      </c>
      <c r="BB2185" s="2" t="str">
        <f>IF(OR(""&amp;$F2185="2",""&amp;$F2185="4",""&amp;$F2185="G",""&amp;$F2185="H"),IF($AY2185="YES","",IF($AB2185&lt;&gt;0,"",IF(COUNTIFS('AR SALES'!$L$2:$L$2501,$L2185,'AR SALES'!$AD$2:$AD$2501,IF(""&amp;$F2185="4","OFF","ON"),'AR SALES'!$AF$2:$AF$2501,"Y")&gt;0,"","NO EXEMPTION"))),"")</f>
        <v/>
      </c>
    </row>
    <row r="2186" spans="46:54" x14ac:dyDescent="0.25">
      <c r="AT2186" s="2" t="str">
        <f>IF($L2186="","",IFERROR(INDEX('AR SALES'!$H$2:$H$2501,MATCH(""&amp;$L2186,'AR SALES'!$AE$2:$AE$2501,0)),""))</f>
        <v/>
      </c>
      <c r="AU2186" s="2" t="str">
        <f t="shared" si="136"/>
        <v/>
      </c>
      <c r="AV2186" s="2" t="str">
        <f t="shared" si="137"/>
        <v/>
      </c>
      <c r="AW2186" s="2" t="str">
        <f t="shared" si="138"/>
        <v/>
      </c>
      <c r="AX2186" s="2" t="str">
        <f t="shared" si="139"/>
        <v/>
      </c>
      <c r="AY2186" s="2" t="str">
        <f>IF($AV2186="","",IF(AND($Z2186=0,COUNTIF('AR SALES'!$L$2:$L$2501,$L2186)=0),"YES",""))</f>
        <v/>
      </c>
      <c r="AZ2186" s="2" t="str">
        <f>IF($AV2186="","",IF(COUNTIF(LISTS!$C$2:$C$250,$AU2186)=0,"NEW",""))</f>
        <v/>
      </c>
      <c r="BA2186" s="2" t="str">
        <f>IF(""&amp;$F2186&lt;&gt;"4","",IF($AY2186="YES","",IF(ROUND(SUMIFS($AE$2:$AE$4001,$L$2:$L$4001,$L2186,$F$2:$F$4001,"4")-SUMIFS('AR SALES'!$Y$2:$Y$2501,'AR SALES'!$L$2:$L$2501,$L2186,'AR SALES'!$AD$2:$AD$2501,"OFF"),2)=0,"","STALE")))</f>
        <v/>
      </c>
      <c r="BB2186" s="2" t="str">
        <f>IF(OR(""&amp;$F2186="2",""&amp;$F2186="4",""&amp;$F2186="G",""&amp;$F2186="H"),IF($AY2186="YES","",IF($AB2186&lt;&gt;0,"",IF(COUNTIFS('AR SALES'!$L$2:$L$2501,$L2186,'AR SALES'!$AD$2:$AD$2501,IF(""&amp;$F2186="4","OFF","ON"),'AR SALES'!$AF$2:$AF$2501,"Y")&gt;0,"","NO EXEMPTION"))),"")</f>
        <v/>
      </c>
    </row>
    <row r="2187" spans="46:54" x14ac:dyDescent="0.25">
      <c r="AT2187" s="2" t="str">
        <f>IF($L2187="","",IFERROR(INDEX('AR SALES'!$H$2:$H$2501,MATCH(""&amp;$L2187,'AR SALES'!$AE$2:$AE$2501,0)),""))</f>
        <v/>
      </c>
      <c r="AU2187" s="2" t="str">
        <f t="shared" si="136"/>
        <v/>
      </c>
      <c r="AV2187" s="2" t="str">
        <f t="shared" si="137"/>
        <v/>
      </c>
      <c r="AW2187" s="2" t="str">
        <f t="shared" si="138"/>
        <v/>
      </c>
      <c r="AX2187" s="2" t="str">
        <f t="shared" si="139"/>
        <v/>
      </c>
      <c r="AY2187" s="2" t="str">
        <f>IF($AV2187="","",IF(AND($Z2187=0,COUNTIF('AR SALES'!$L$2:$L$2501,$L2187)=0),"YES",""))</f>
        <v/>
      </c>
      <c r="AZ2187" s="2" t="str">
        <f>IF($AV2187="","",IF(COUNTIF(LISTS!$C$2:$C$250,$AU2187)=0,"NEW",""))</f>
        <v/>
      </c>
      <c r="BA2187" s="2" t="str">
        <f>IF(""&amp;$F2187&lt;&gt;"4","",IF($AY2187="YES","",IF(ROUND(SUMIFS($AE$2:$AE$4001,$L$2:$L$4001,$L2187,$F$2:$F$4001,"4")-SUMIFS('AR SALES'!$Y$2:$Y$2501,'AR SALES'!$L$2:$L$2501,$L2187,'AR SALES'!$AD$2:$AD$2501,"OFF"),2)=0,"","STALE")))</f>
        <v/>
      </c>
      <c r="BB2187" s="2" t="str">
        <f>IF(OR(""&amp;$F2187="2",""&amp;$F2187="4",""&amp;$F2187="G",""&amp;$F2187="H"),IF($AY2187="YES","",IF($AB2187&lt;&gt;0,"",IF(COUNTIFS('AR SALES'!$L$2:$L$2501,$L2187,'AR SALES'!$AD$2:$AD$2501,IF(""&amp;$F2187="4","OFF","ON"),'AR SALES'!$AF$2:$AF$2501,"Y")&gt;0,"","NO EXEMPTION"))),"")</f>
        <v/>
      </c>
    </row>
    <row r="2188" spans="46:54" x14ac:dyDescent="0.25">
      <c r="AT2188" s="2" t="str">
        <f>IF($L2188="","",IFERROR(INDEX('AR SALES'!$H$2:$H$2501,MATCH(""&amp;$L2188,'AR SALES'!$AE$2:$AE$2501,0)),""))</f>
        <v/>
      </c>
      <c r="AU2188" s="2" t="str">
        <f t="shared" si="136"/>
        <v/>
      </c>
      <c r="AV2188" s="2" t="str">
        <f t="shared" si="137"/>
        <v/>
      </c>
      <c r="AW2188" s="2" t="str">
        <f t="shared" si="138"/>
        <v/>
      </c>
      <c r="AX2188" s="2" t="str">
        <f t="shared" si="139"/>
        <v/>
      </c>
      <c r="AY2188" s="2" t="str">
        <f>IF($AV2188="","",IF(AND($Z2188=0,COUNTIF('AR SALES'!$L$2:$L$2501,$L2188)=0),"YES",""))</f>
        <v/>
      </c>
      <c r="AZ2188" s="2" t="str">
        <f>IF($AV2188="","",IF(COUNTIF(LISTS!$C$2:$C$250,$AU2188)=0,"NEW",""))</f>
        <v/>
      </c>
      <c r="BA2188" s="2" t="str">
        <f>IF(""&amp;$F2188&lt;&gt;"4","",IF($AY2188="YES","",IF(ROUND(SUMIFS($AE$2:$AE$4001,$L$2:$L$4001,$L2188,$F$2:$F$4001,"4")-SUMIFS('AR SALES'!$Y$2:$Y$2501,'AR SALES'!$L$2:$L$2501,$L2188,'AR SALES'!$AD$2:$AD$2501,"OFF"),2)=0,"","STALE")))</f>
        <v/>
      </c>
      <c r="BB2188" s="2" t="str">
        <f>IF(OR(""&amp;$F2188="2",""&amp;$F2188="4",""&amp;$F2188="G",""&amp;$F2188="H"),IF($AY2188="YES","",IF($AB2188&lt;&gt;0,"",IF(COUNTIFS('AR SALES'!$L$2:$L$2501,$L2188,'AR SALES'!$AD$2:$AD$2501,IF(""&amp;$F2188="4","OFF","ON"),'AR SALES'!$AF$2:$AF$2501,"Y")&gt;0,"","NO EXEMPTION"))),"")</f>
        <v/>
      </c>
    </row>
    <row r="2189" spans="46:54" x14ac:dyDescent="0.25">
      <c r="AT2189" s="2" t="str">
        <f>IF($L2189="","",IFERROR(INDEX('AR SALES'!$H$2:$H$2501,MATCH(""&amp;$L2189,'AR SALES'!$AE$2:$AE$2501,0)),""))</f>
        <v/>
      </c>
      <c r="AU2189" s="2" t="str">
        <f t="shared" si="136"/>
        <v/>
      </c>
      <c r="AV2189" s="2" t="str">
        <f t="shared" si="137"/>
        <v/>
      </c>
      <c r="AW2189" s="2" t="str">
        <f t="shared" si="138"/>
        <v/>
      </c>
      <c r="AX2189" s="2" t="str">
        <f t="shared" si="139"/>
        <v/>
      </c>
      <c r="AY2189" s="2" t="str">
        <f>IF($AV2189="","",IF(AND($Z2189=0,COUNTIF('AR SALES'!$L$2:$L$2501,$L2189)=0),"YES",""))</f>
        <v/>
      </c>
      <c r="AZ2189" s="2" t="str">
        <f>IF($AV2189="","",IF(COUNTIF(LISTS!$C$2:$C$250,$AU2189)=0,"NEW",""))</f>
        <v/>
      </c>
      <c r="BA2189" s="2" t="str">
        <f>IF(""&amp;$F2189&lt;&gt;"4","",IF($AY2189="YES","",IF(ROUND(SUMIFS($AE$2:$AE$4001,$L$2:$L$4001,$L2189,$F$2:$F$4001,"4")-SUMIFS('AR SALES'!$Y$2:$Y$2501,'AR SALES'!$L$2:$L$2501,$L2189,'AR SALES'!$AD$2:$AD$2501,"OFF"),2)=0,"","STALE")))</f>
        <v/>
      </c>
      <c r="BB2189" s="2" t="str">
        <f>IF(OR(""&amp;$F2189="2",""&amp;$F2189="4",""&amp;$F2189="G",""&amp;$F2189="H"),IF($AY2189="YES","",IF($AB2189&lt;&gt;0,"",IF(COUNTIFS('AR SALES'!$L$2:$L$2501,$L2189,'AR SALES'!$AD$2:$AD$2501,IF(""&amp;$F2189="4","OFF","ON"),'AR SALES'!$AF$2:$AF$2501,"Y")&gt;0,"","NO EXEMPTION"))),"")</f>
        <v/>
      </c>
    </row>
    <row r="2190" spans="46:54" x14ac:dyDescent="0.25">
      <c r="AT2190" s="2" t="str">
        <f>IF($L2190="","",IFERROR(INDEX('AR SALES'!$H$2:$H$2501,MATCH(""&amp;$L2190,'AR SALES'!$AE$2:$AE$2501,0)),""))</f>
        <v/>
      </c>
      <c r="AU2190" s="2" t="str">
        <f t="shared" si="136"/>
        <v/>
      </c>
      <c r="AV2190" s="2" t="str">
        <f t="shared" si="137"/>
        <v/>
      </c>
      <c r="AW2190" s="2" t="str">
        <f t="shared" si="138"/>
        <v/>
      </c>
      <c r="AX2190" s="2" t="str">
        <f t="shared" si="139"/>
        <v/>
      </c>
      <c r="AY2190" s="2" t="str">
        <f>IF($AV2190="","",IF(AND($Z2190=0,COUNTIF('AR SALES'!$L$2:$L$2501,$L2190)=0),"YES",""))</f>
        <v/>
      </c>
      <c r="AZ2190" s="2" t="str">
        <f>IF($AV2190="","",IF(COUNTIF(LISTS!$C$2:$C$250,$AU2190)=0,"NEW",""))</f>
        <v/>
      </c>
      <c r="BA2190" s="2" t="str">
        <f>IF(""&amp;$F2190&lt;&gt;"4","",IF($AY2190="YES","",IF(ROUND(SUMIFS($AE$2:$AE$4001,$L$2:$L$4001,$L2190,$F$2:$F$4001,"4")-SUMIFS('AR SALES'!$Y$2:$Y$2501,'AR SALES'!$L$2:$L$2501,$L2190,'AR SALES'!$AD$2:$AD$2501,"OFF"),2)=0,"","STALE")))</f>
        <v/>
      </c>
      <c r="BB2190" s="2" t="str">
        <f>IF(OR(""&amp;$F2190="2",""&amp;$F2190="4",""&amp;$F2190="G",""&amp;$F2190="H"),IF($AY2190="YES","",IF($AB2190&lt;&gt;0,"",IF(COUNTIFS('AR SALES'!$L$2:$L$2501,$L2190,'AR SALES'!$AD$2:$AD$2501,IF(""&amp;$F2190="4","OFF","ON"),'AR SALES'!$AF$2:$AF$2501,"Y")&gt;0,"","NO EXEMPTION"))),"")</f>
        <v/>
      </c>
    </row>
    <row r="2191" spans="46:54" x14ac:dyDescent="0.25">
      <c r="AT2191" s="2" t="str">
        <f>IF($L2191="","",IFERROR(INDEX('AR SALES'!$H$2:$H$2501,MATCH(""&amp;$L2191,'AR SALES'!$AE$2:$AE$2501,0)),""))</f>
        <v/>
      </c>
      <c r="AU2191" s="2" t="str">
        <f t="shared" si="136"/>
        <v/>
      </c>
      <c r="AV2191" s="2" t="str">
        <f t="shared" si="137"/>
        <v/>
      </c>
      <c r="AW2191" s="2" t="str">
        <f t="shared" si="138"/>
        <v/>
      </c>
      <c r="AX2191" s="2" t="str">
        <f t="shared" si="139"/>
        <v/>
      </c>
      <c r="AY2191" s="2" t="str">
        <f>IF($AV2191="","",IF(AND($Z2191=0,COUNTIF('AR SALES'!$L$2:$L$2501,$L2191)=0),"YES",""))</f>
        <v/>
      </c>
      <c r="AZ2191" s="2" t="str">
        <f>IF($AV2191="","",IF(COUNTIF(LISTS!$C$2:$C$250,$AU2191)=0,"NEW",""))</f>
        <v/>
      </c>
      <c r="BA2191" s="2" t="str">
        <f>IF(""&amp;$F2191&lt;&gt;"4","",IF($AY2191="YES","",IF(ROUND(SUMIFS($AE$2:$AE$4001,$L$2:$L$4001,$L2191,$F$2:$F$4001,"4")-SUMIFS('AR SALES'!$Y$2:$Y$2501,'AR SALES'!$L$2:$L$2501,$L2191,'AR SALES'!$AD$2:$AD$2501,"OFF"),2)=0,"","STALE")))</f>
        <v/>
      </c>
      <c r="BB2191" s="2" t="str">
        <f>IF(OR(""&amp;$F2191="2",""&amp;$F2191="4",""&amp;$F2191="G",""&amp;$F2191="H"),IF($AY2191="YES","",IF($AB2191&lt;&gt;0,"",IF(COUNTIFS('AR SALES'!$L$2:$L$2501,$L2191,'AR SALES'!$AD$2:$AD$2501,IF(""&amp;$F2191="4","OFF","ON"),'AR SALES'!$AF$2:$AF$2501,"Y")&gt;0,"","NO EXEMPTION"))),"")</f>
        <v/>
      </c>
    </row>
    <row r="2192" spans="46:54" x14ac:dyDescent="0.25">
      <c r="AT2192" s="2" t="str">
        <f>IF($L2192="","",IFERROR(INDEX('AR SALES'!$H$2:$H$2501,MATCH(""&amp;$L2192,'AR SALES'!$AE$2:$AE$2501,0)),""))</f>
        <v/>
      </c>
      <c r="AU2192" s="2" t="str">
        <f t="shared" si="136"/>
        <v/>
      </c>
      <c r="AV2192" s="2" t="str">
        <f t="shared" si="137"/>
        <v/>
      </c>
      <c r="AW2192" s="2" t="str">
        <f t="shared" si="138"/>
        <v/>
      </c>
      <c r="AX2192" s="2" t="str">
        <f t="shared" si="139"/>
        <v/>
      </c>
      <c r="AY2192" s="2" t="str">
        <f>IF($AV2192="","",IF(AND($Z2192=0,COUNTIF('AR SALES'!$L$2:$L$2501,$L2192)=0),"YES",""))</f>
        <v/>
      </c>
      <c r="AZ2192" s="2" t="str">
        <f>IF($AV2192="","",IF(COUNTIF(LISTS!$C$2:$C$250,$AU2192)=0,"NEW",""))</f>
        <v/>
      </c>
      <c r="BA2192" s="2" t="str">
        <f>IF(""&amp;$F2192&lt;&gt;"4","",IF($AY2192="YES","",IF(ROUND(SUMIFS($AE$2:$AE$4001,$L$2:$L$4001,$L2192,$F$2:$F$4001,"4")-SUMIFS('AR SALES'!$Y$2:$Y$2501,'AR SALES'!$L$2:$L$2501,$L2192,'AR SALES'!$AD$2:$AD$2501,"OFF"),2)=0,"","STALE")))</f>
        <v/>
      </c>
      <c r="BB2192" s="2" t="str">
        <f>IF(OR(""&amp;$F2192="2",""&amp;$F2192="4",""&amp;$F2192="G",""&amp;$F2192="H"),IF($AY2192="YES","",IF($AB2192&lt;&gt;0,"",IF(COUNTIFS('AR SALES'!$L$2:$L$2501,$L2192,'AR SALES'!$AD$2:$AD$2501,IF(""&amp;$F2192="4","OFF","ON"),'AR SALES'!$AF$2:$AF$2501,"Y")&gt;0,"","NO EXEMPTION"))),"")</f>
        <v/>
      </c>
    </row>
    <row r="2193" spans="46:54" x14ac:dyDescent="0.25">
      <c r="AT2193" s="2" t="str">
        <f>IF($L2193="","",IFERROR(INDEX('AR SALES'!$H$2:$H$2501,MATCH(""&amp;$L2193,'AR SALES'!$AE$2:$AE$2501,0)),""))</f>
        <v/>
      </c>
      <c r="AU2193" s="2" t="str">
        <f t="shared" si="136"/>
        <v/>
      </c>
      <c r="AV2193" s="2" t="str">
        <f t="shared" si="137"/>
        <v/>
      </c>
      <c r="AW2193" s="2" t="str">
        <f t="shared" si="138"/>
        <v/>
      </c>
      <c r="AX2193" s="2" t="str">
        <f t="shared" si="139"/>
        <v/>
      </c>
      <c r="AY2193" s="2" t="str">
        <f>IF($AV2193="","",IF(AND($Z2193=0,COUNTIF('AR SALES'!$L$2:$L$2501,$L2193)=0),"YES",""))</f>
        <v/>
      </c>
      <c r="AZ2193" s="2" t="str">
        <f>IF($AV2193="","",IF(COUNTIF(LISTS!$C$2:$C$250,$AU2193)=0,"NEW",""))</f>
        <v/>
      </c>
      <c r="BA2193" s="2" t="str">
        <f>IF(""&amp;$F2193&lt;&gt;"4","",IF($AY2193="YES","",IF(ROUND(SUMIFS($AE$2:$AE$4001,$L$2:$L$4001,$L2193,$F$2:$F$4001,"4")-SUMIFS('AR SALES'!$Y$2:$Y$2501,'AR SALES'!$L$2:$L$2501,$L2193,'AR SALES'!$AD$2:$AD$2501,"OFF"),2)=0,"","STALE")))</f>
        <v/>
      </c>
      <c r="BB2193" s="2" t="str">
        <f>IF(OR(""&amp;$F2193="2",""&amp;$F2193="4",""&amp;$F2193="G",""&amp;$F2193="H"),IF($AY2193="YES","",IF($AB2193&lt;&gt;0,"",IF(COUNTIFS('AR SALES'!$L$2:$L$2501,$L2193,'AR SALES'!$AD$2:$AD$2501,IF(""&amp;$F2193="4","OFF","ON"),'AR SALES'!$AF$2:$AF$2501,"Y")&gt;0,"","NO EXEMPTION"))),"")</f>
        <v/>
      </c>
    </row>
    <row r="2194" spans="46:54" x14ac:dyDescent="0.25">
      <c r="AT2194" s="2" t="str">
        <f>IF($L2194="","",IFERROR(INDEX('AR SALES'!$H$2:$H$2501,MATCH(""&amp;$L2194,'AR SALES'!$AE$2:$AE$2501,0)),""))</f>
        <v/>
      </c>
      <c r="AU2194" s="2" t="str">
        <f t="shared" si="136"/>
        <v/>
      </c>
      <c r="AV2194" s="2" t="str">
        <f t="shared" si="137"/>
        <v/>
      </c>
      <c r="AW2194" s="2" t="str">
        <f t="shared" si="138"/>
        <v/>
      </c>
      <c r="AX2194" s="2" t="str">
        <f t="shared" si="139"/>
        <v/>
      </c>
      <c r="AY2194" s="2" t="str">
        <f>IF($AV2194="","",IF(AND($Z2194=0,COUNTIF('AR SALES'!$L$2:$L$2501,$L2194)=0),"YES",""))</f>
        <v/>
      </c>
      <c r="AZ2194" s="2" t="str">
        <f>IF($AV2194="","",IF(COUNTIF(LISTS!$C$2:$C$250,$AU2194)=0,"NEW",""))</f>
        <v/>
      </c>
      <c r="BA2194" s="2" t="str">
        <f>IF(""&amp;$F2194&lt;&gt;"4","",IF($AY2194="YES","",IF(ROUND(SUMIFS($AE$2:$AE$4001,$L$2:$L$4001,$L2194,$F$2:$F$4001,"4")-SUMIFS('AR SALES'!$Y$2:$Y$2501,'AR SALES'!$L$2:$L$2501,$L2194,'AR SALES'!$AD$2:$AD$2501,"OFF"),2)=0,"","STALE")))</f>
        <v/>
      </c>
      <c r="BB2194" s="2" t="str">
        <f>IF(OR(""&amp;$F2194="2",""&amp;$F2194="4",""&amp;$F2194="G",""&amp;$F2194="H"),IF($AY2194="YES","",IF($AB2194&lt;&gt;0,"",IF(COUNTIFS('AR SALES'!$L$2:$L$2501,$L2194,'AR SALES'!$AD$2:$AD$2501,IF(""&amp;$F2194="4","OFF","ON"),'AR SALES'!$AF$2:$AF$2501,"Y")&gt;0,"","NO EXEMPTION"))),"")</f>
        <v/>
      </c>
    </row>
    <row r="2195" spans="46:54" x14ac:dyDescent="0.25">
      <c r="AT2195" s="2" t="str">
        <f>IF($L2195="","",IFERROR(INDEX('AR SALES'!$H$2:$H$2501,MATCH(""&amp;$L2195,'AR SALES'!$AE$2:$AE$2501,0)),""))</f>
        <v/>
      </c>
      <c r="AU2195" s="2" t="str">
        <f t="shared" si="136"/>
        <v/>
      </c>
      <c r="AV2195" s="2" t="str">
        <f t="shared" si="137"/>
        <v/>
      </c>
      <c r="AW2195" s="2" t="str">
        <f t="shared" si="138"/>
        <v/>
      </c>
      <c r="AX2195" s="2" t="str">
        <f t="shared" si="139"/>
        <v/>
      </c>
      <c r="AY2195" s="2" t="str">
        <f>IF($AV2195="","",IF(AND($Z2195=0,COUNTIF('AR SALES'!$L$2:$L$2501,$L2195)=0),"YES",""))</f>
        <v/>
      </c>
      <c r="AZ2195" s="2" t="str">
        <f>IF($AV2195="","",IF(COUNTIF(LISTS!$C$2:$C$250,$AU2195)=0,"NEW",""))</f>
        <v/>
      </c>
      <c r="BA2195" s="2" t="str">
        <f>IF(""&amp;$F2195&lt;&gt;"4","",IF($AY2195="YES","",IF(ROUND(SUMIFS($AE$2:$AE$4001,$L$2:$L$4001,$L2195,$F$2:$F$4001,"4")-SUMIFS('AR SALES'!$Y$2:$Y$2501,'AR SALES'!$L$2:$L$2501,$L2195,'AR SALES'!$AD$2:$AD$2501,"OFF"),2)=0,"","STALE")))</f>
        <v/>
      </c>
      <c r="BB2195" s="2" t="str">
        <f>IF(OR(""&amp;$F2195="2",""&amp;$F2195="4",""&amp;$F2195="G",""&amp;$F2195="H"),IF($AY2195="YES","",IF($AB2195&lt;&gt;0,"",IF(COUNTIFS('AR SALES'!$L$2:$L$2501,$L2195,'AR SALES'!$AD$2:$AD$2501,IF(""&amp;$F2195="4","OFF","ON"),'AR SALES'!$AF$2:$AF$2501,"Y")&gt;0,"","NO EXEMPTION"))),"")</f>
        <v/>
      </c>
    </row>
    <row r="2196" spans="46:54" x14ac:dyDescent="0.25">
      <c r="AT2196" s="2" t="str">
        <f>IF($L2196="","",IFERROR(INDEX('AR SALES'!$H$2:$H$2501,MATCH(""&amp;$L2196,'AR SALES'!$AE$2:$AE$2501,0)),""))</f>
        <v/>
      </c>
      <c r="AU2196" s="2" t="str">
        <f t="shared" si="136"/>
        <v/>
      </c>
      <c r="AV2196" s="2" t="str">
        <f t="shared" si="137"/>
        <v/>
      </c>
      <c r="AW2196" s="2" t="str">
        <f t="shared" si="138"/>
        <v/>
      </c>
      <c r="AX2196" s="2" t="str">
        <f t="shared" si="139"/>
        <v/>
      </c>
      <c r="AY2196" s="2" t="str">
        <f>IF($AV2196="","",IF(AND($Z2196=0,COUNTIF('AR SALES'!$L$2:$L$2501,$L2196)=0),"YES",""))</f>
        <v/>
      </c>
      <c r="AZ2196" s="2" t="str">
        <f>IF($AV2196="","",IF(COUNTIF(LISTS!$C$2:$C$250,$AU2196)=0,"NEW",""))</f>
        <v/>
      </c>
      <c r="BA2196" s="2" t="str">
        <f>IF(""&amp;$F2196&lt;&gt;"4","",IF($AY2196="YES","",IF(ROUND(SUMIFS($AE$2:$AE$4001,$L$2:$L$4001,$L2196,$F$2:$F$4001,"4")-SUMIFS('AR SALES'!$Y$2:$Y$2501,'AR SALES'!$L$2:$L$2501,$L2196,'AR SALES'!$AD$2:$AD$2501,"OFF"),2)=0,"","STALE")))</f>
        <v/>
      </c>
      <c r="BB2196" s="2" t="str">
        <f>IF(OR(""&amp;$F2196="2",""&amp;$F2196="4",""&amp;$F2196="G",""&amp;$F2196="H"),IF($AY2196="YES","",IF($AB2196&lt;&gt;0,"",IF(COUNTIFS('AR SALES'!$L$2:$L$2501,$L2196,'AR SALES'!$AD$2:$AD$2501,IF(""&amp;$F2196="4","OFF","ON"),'AR SALES'!$AF$2:$AF$2501,"Y")&gt;0,"","NO EXEMPTION"))),"")</f>
        <v/>
      </c>
    </row>
    <row r="2197" spans="46:54" x14ac:dyDescent="0.25">
      <c r="AT2197" s="2" t="str">
        <f>IF($L2197="","",IFERROR(INDEX('AR SALES'!$H$2:$H$2501,MATCH(""&amp;$L2197,'AR SALES'!$AE$2:$AE$2501,0)),""))</f>
        <v/>
      </c>
      <c r="AU2197" s="2" t="str">
        <f t="shared" si="136"/>
        <v/>
      </c>
      <c r="AV2197" s="2" t="str">
        <f t="shared" si="137"/>
        <v/>
      </c>
      <c r="AW2197" s="2" t="str">
        <f t="shared" si="138"/>
        <v/>
      </c>
      <c r="AX2197" s="2" t="str">
        <f t="shared" si="139"/>
        <v/>
      </c>
      <c r="AY2197" s="2" t="str">
        <f>IF($AV2197="","",IF(AND($Z2197=0,COUNTIF('AR SALES'!$L$2:$L$2501,$L2197)=0),"YES",""))</f>
        <v/>
      </c>
      <c r="AZ2197" s="2" t="str">
        <f>IF($AV2197="","",IF(COUNTIF(LISTS!$C$2:$C$250,$AU2197)=0,"NEW",""))</f>
        <v/>
      </c>
      <c r="BA2197" s="2" t="str">
        <f>IF(""&amp;$F2197&lt;&gt;"4","",IF($AY2197="YES","",IF(ROUND(SUMIFS($AE$2:$AE$4001,$L$2:$L$4001,$L2197,$F$2:$F$4001,"4")-SUMIFS('AR SALES'!$Y$2:$Y$2501,'AR SALES'!$L$2:$L$2501,$L2197,'AR SALES'!$AD$2:$AD$2501,"OFF"),2)=0,"","STALE")))</f>
        <v/>
      </c>
      <c r="BB2197" s="2" t="str">
        <f>IF(OR(""&amp;$F2197="2",""&amp;$F2197="4",""&amp;$F2197="G",""&amp;$F2197="H"),IF($AY2197="YES","",IF($AB2197&lt;&gt;0,"",IF(COUNTIFS('AR SALES'!$L$2:$L$2501,$L2197,'AR SALES'!$AD$2:$AD$2501,IF(""&amp;$F2197="4","OFF","ON"),'AR SALES'!$AF$2:$AF$2501,"Y")&gt;0,"","NO EXEMPTION"))),"")</f>
        <v/>
      </c>
    </row>
    <row r="2198" spans="46:54" x14ac:dyDescent="0.25">
      <c r="AT2198" s="2" t="str">
        <f>IF($L2198="","",IFERROR(INDEX('AR SALES'!$H$2:$H$2501,MATCH(""&amp;$L2198,'AR SALES'!$AE$2:$AE$2501,0)),""))</f>
        <v/>
      </c>
      <c r="AU2198" s="2" t="str">
        <f t="shared" si="136"/>
        <v/>
      </c>
      <c r="AV2198" s="2" t="str">
        <f t="shared" si="137"/>
        <v/>
      </c>
      <c r="AW2198" s="2" t="str">
        <f t="shared" si="138"/>
        <v/>
      </c>
      <c r="AX2198" s="2" t="str">
        <f t="shared" si="139"/>
        <v/>
      </c>
      <c r="AY2198" s="2" t="str">
        <f>IF($AV2198="","",IF(AND($Z2198=0,COUNTIF('AR SALES'!$L$2:$L$2501,$L2198)=0),"YES",""))</f>
        <v/>
      </c>
      <c r="AZ2198" s="2" t="str">
        <f>IF($AV2198="","",IF(COUNTIF(LISTS!$C$2:$C$250,$AU2198)=0,"NEW",""))</f>
        <v/>
      </c>
      <c r="BA2198" s="2" t="str">
        <f>IF(""&amp;$F2198&lt;&gt;"4","",IF($AY2198="YES","",IF(ROUND(SUMIFS($AE$2:$AE$4001,$L$2:$L$4001,$L2198,$F$2:$F$4001,"4")-SUMIFS('AR SALES'!$Y$2:$Y$2501,'AR SALES'!$L$2:$L$2501,$L2198,'AR SALES'!$AD$2:$AD$2501,"OFF"),2)=0,"","STALE")))</f>
        <v/>
      </c>
      <c r="BB2198" s="2" t="str">
        <f>IF(OR(""&amp;$F2198="2",""&amp;$F2198="4",""&amp;$F2198="G",""&amp;$F2198="H"),IF($AY2198="YES","",IF($AB2198&lt;&gt;0,"",IF(COUNTIFS('AR SALES'!$L$2:$L$2501,$L2198,'AR SALES'!$AD$2:$AD$2501,IF(""&amp;$F2198="4","OFF","ON"),'AR SALES'!$AF$2:$AF$2501,"Y")&gt;0,"","NO EXEMPTION"))),"")</f>
        <v/>
      </c>
    </row>
    <row r="2199" spans="46:54" x14ac:dyDescent="0.25">
      <c r="AT2199" s="2" t="str">
        <f>IF($L2199="","",IFERROR(INDEX('AR SALES'!$H$2:$H$2501,MATCH(""&amp;$L2199,'AR SALES'!$AE$2:$AE$2501,0)),""))</f>
        <v/>
      </c>
      <c r="AU2199" s="2" t="str">
        <f t="shared" si="136"/>
        <v/>
      </c>
      <c r="AV2199" s="2" t="str">
        <f t="shared" si="137"/>
        <v/>
      </c>
      <c r="AW2199" s="2" t="str">
        <f t="shared" si="138"/>
        <v/>
      </c>
      <c r="AX2199" s="2" t="str">
        <f t="shared" si="139"/>
        <v/>
      </c>
      <c r="AY2199" s="2" t="str">
        <f>IF($AV2199="","",IF(AND($Z2199=0,COUNTIF('AR SALES'!$L$2:$L$2501,$L2199)=0),"YES",""))</f>
        <v/>
      </c>
      <c r="AZ2199" s="2" t="str">
        <f>IF($AV2199="","",IF(COUNTIF(LISTS!$C$2:$C$250,$AU2199)=0,"NEW",""))</f>
        <v/>
      </c>
      <c r="BA2199" s="2" t="str">
        <f>IF(""&amp;$F2199&lt;&gt;"4","",IF($AY2199="YES","",IF(ROUND(SUMIFS($AE$2:$AE$4001,$L$2:$L$4001,$L2199,$F$2:$F$4001,"4")-SUMIFS('AR SALES'!$Y$2:$Y$2501,'AR SALES'!$L$2:$L$2501,$L2199,'AR SALES'!$AD$2:$AD$2501,"OFF"),2)=0,"","STALE")))</f>
        <v/>
      </c>
      <c r="BB2199" s="2" t="str">
        <f>IF(OR(""&amp;$F2199="2",""&amp;$F2199="4",""&amp;$F2199="G",""&amp;$F2199="H"),IF($AY2199="YES","",IF($AB2199&lt;&gt;0,"",IF(COUNTIFS('AR SALES'!$L$2:$L$2501,$L2199,'AR SALES'!$AD$2:$AD$2501,IF(""&amp;$F2199="4","OFF","ON"),'AR SALES'!$AF$2:$AF$2501,"Y")&gt;0,"","NO EXEMPTION"))),"")</f>
        <v/>
      </c>
    </row>
    <row r="2200" spans="46:54" x14ac:dyDescent="0.25">
      <c r="AT2200" s="2" t="str">
        <f>IF($L2200="","",IFERROR(INDEX('AR SALES'!$H$2:$H$2501,MATCH(""&amp;$L2200,'AR SALES'!$AE$2:$AE$2501,0)),""))</f>
        <v/>
      </c>
      <c r="AU2200" s="2" t="str">
        <f t="shared" si="136"/>
        <v/>
      </c>
      <c r="AV2200" s="2" t="str">
        <f t="shared" si="137"/>
        <v/>
      </c>
      <c r="AW2200" s="2" t="str">
        <f t="shared" si="138"/>
        <v/>
      </c>
      <c r="AX2200" s="2" t="str">
        <f t="shared" si="139"/>
        <v/>
      </c>
      <c r="AY2200" s="2" t="str">
        <f>IF($AV2200="","",IF(AND($Z2200=0,COUNTIF('AR SALES'!$L$2:$L$2501,$L2200)=0),"YES",""))</f>
        <v/>
      </c>
      <c r="AZ2200" s="2" t="str">
        <f>IF($AV2200="","",IF(COUNTIF(LISTS!$C$2:$C$250,$AU2200)=0,"NEW",""))</f>
        <v/>
      </c>
      <c r="BA2200" s="2" t="str">
        <f>IF(""&amp;$F2200&lt;&gt;"4","",IF($AY2200="YES","",IF(ROUND(SUMIFS($AE$2:$AE$4001,$L$2:$L$4001,$L2200,$F$2:$F$4001,"4")-SUMIFS('AR SALES'!$Y$2:$Y$2501,'AR SALES'!$L$2:$L$2501,$L2200,'AR SALES'!$AD$2:$AD$2501,"OFF"),2)=0,"","STALE")))</f>
        <v/>
      </c>
      <c r="BB2200" s="2" t="str">
        <f>IF(OR(""&amp;$F2200="2",""&amp;$F2200="4",""&amp;$F2200="G",""&amp;$F2200="H"),IF($AY2200="YES","",IF($AB2200&lt;&gt;0,"",IF(COUNTIFS('AR SALES'!$L$2:$L$2501,$L2200,'AR SALES'!$AD$2:$AD$2501,IF(""&amp;$F2200="4","OFF","ON"),'AR SALES'!$AF$2:$AF$2501,"Y")&gt;0,"","NO EXEMPTION"))),"")</f>
        <v/>
      </c>
    </row>
    <row r="2201" spans="46:54" x14ac:dyDescent="0.25">
      <c r="AT2201" s="2" t="str">
        <f>IF($L2201="","",IFERROR(INDEX('AR SALES'!$H$2:$H$2501,MATCH(""&amp;$L2201,'AR SALES'!$AE$2:$AE$2501,0)),""))</f>
        <v/>
      </c>
      <c r="AU2201" s="2" t="str">
        <f t="shared" si="136"/>
        <v/>
      </c>
      <c r="AV2201" s="2" t="str">
        <f t="shared" si="137"/>
        <v/>
      </c>
      <c r="AW2201" s="2" t="str">
        <f t="shared" si="138"/>
        <v/>
      </c>
      <c r="AX2201" s="2" t="str">
        <f t="shared" si="139"/>
        <v/>
      </c>
      <c r="AY2201" s="2" t="str">
        <f>IF($AV2201="","",IF(AND($Z2201=0,COUNTIF('AR SALES'!$L$2:$L$2501,$L2201)=0),"YES",""))</f>
        <v/>
      </c>
      <c r="AZ2201" s="2" t="str">
        <f>IF($AV2201="","",IF(COUNTIF(LISTS!$C$2:$C$250,$AU2201)=0,"NEW",""))</f>
        <v/>
      </c>
      <c r="BA2201" s="2" t="str">
        <f>IF(""&amp;$F2201&lt;&gt;"4","",IF($AY2201="YES","",IF(ROUND(SUMIFS($AE$2:$AE$4001,$L$2:$L$4001,$L2201,$F$2:$F$4001,"4")-SUMIFS('AR SALES'!$Y$2:$Y$2501,'AR SALES'!$L$2:$L$2501,$L2201,'AR SALES'!$AD$2:$AD$2501,"OFF"),2)=0,"","STALE")))</f>
        <v/>
      </c>
      <c r="BB2201" s="2" t="str">
        <f>IF(OR(""&amp;$F2201="2",""&amp;$F2201="4",""&amp;$F2201="G",""&amp;$F2201="H"),IF($AY2201="YES","",IF($AB2201&lt;&gt;0,"",IF(COUNTIFS('AR SALES'!$L$2:$L$2501,$L2201,'AR SALES'!$AD$2:$AD$2501,IF(""&amp;$F2201="4","OFF","ON"),'AR SALES'!$AF$2:$AF$2501,"Y")&gt;0,"","NO EXEMPTION"))),"")</f>
        <v/>
      </c>
    </row>
    <row r="2202" spans="46:54" x14ac:dyDescent="0.25">
      <c r="AT2202" s="2" t="str">
        <f>IF($L2202="","",IFERROR(INDEX('AR SALES'!$H$2:$H$2501,MATCH(""&amp;$L2202,'AR SALES'!$AE$2:$AE$2501,0)),""))</f>
        <v/>
      </c>
      <c r="AU2202" s="2" t="str">
        <f t="shared" si="136"/>
        <v/>
      </c>
      <c r="AV2202" s="2" t="str">
        <f t="shared" si="137"/>
        <v/>
      </c>
      <c r="AW2202" s="2" t="str">
        <f t="shared" si="138"/>
        <v/>
      </c>
      <c r="AX2202" s="2" t="str">
        <f t="shared" si="139"/>
        <v/>
      </c>
      <c r="AY2202" s="2" t="str">
        <f>IF($AV2202="","",IF(AND($Z2202=0,COUNTIF('AR SALES'!$L$2:$L$2501,$L2202)=0),"YES",""))</f>
        <v/>
      </c>
      <c r="AZ2202" s="2" t="str">
        <f>IF($AV2202="","",IF(COUNTIF(LISTS!$C$2:$C$250,$AU2202)=0,"NEW",""))</f>
        <v/>
      </c>
      <c r="BA2202" s="2" t="str">
        <f>IF(""&amp;$F2202&lt;&gt;"4","",IF($AY2202="YES","",IF(ROUND(SUMIFS($AE$2:$AE$4001,$L$2:$L$4001,$L2202,$F$2:$F$4001,"4")-SUMIFS('AR SALES'!$Y$2:$Y$2501,'AR SALES'!$L$2:$L$2501,$L2202,'AR SALES'!$AD$2:$AD$2501,"OFF"),2)=0,"","STALE")))</f>
        <v/>
      </c>
      <c r="BB2202" s="2" t="str">
        <f>IF(OR(""&amp;$F2202="2",""&amp;$F2202="4",""&amp;$F2202="G",""&amp;$F2202="H"),IF($AY2202="YES","",IF($AB2202&lt;&gt;0,"",IF(COUNTIFS('AR SALES'!$L$2:$L$2501,$L2202,'AR SALES'!$AD$2:$AD$2501,IF(""&amp;$F2202="4","OFF","ON"),'AR SALES'!$AF$2:$AF$2501,"Y")&gt;0,"","NO EXEMPTION"))),"")</f>
        <v/>
      </c>
    </row>
    <row r="2203" spans="46:54" x14ac:dyDescent="0.25">
      <c r="AT2203" s="2" t="str">
        <f>IF($L2203="","",IFERROR(INDEX('AR SALES'!$H$2:$H$2501,MATCH(""&amp;$L2203,'AR SALES'!$AE$2:$AE$2501,0)),""))</f>
        <v/>
      </c>
      <c r="AU2203" s="2" t="str">
        <f t="shared" si="136"/>
        <v/>
      </c>
      <c r="AV2203" s="2" t="str">
        <f t="shared" si="137"/>
        <v/>
      </c>
      <c r="AW2203" s="2" t="str">
        <f t="shared" si="138"/>
        <v/>
      </c>
      <c r="AX2203" s="2" t="str">
        <f t="shared" si="139"/>
        <v/>
      </c>
      <c r="AY2203" s="2" t="str">
        <f>IF($AV2203="","",IF(AND($Z2203=0,COUNTIF('AR SALES'!$L$2:$L$2501,$L2203)=0),"YES",""))</f>
        <v/>
      </c>
      <c r="AZ2203" s="2" t="str">
        <f>IF($AV2203="","",IF(COUNTIF(LISTS!$C$2:$C$250,$AU2203)=0,"NEW",""))</f>
        <v/>
      </c>
      <c r="BA2203" s="2" t="str">
        <f>IF(""&amp;$F2203&lt;&gt;"4","",IF($AY2203="YES","",IF(ROUND(SUMIFS($AE$2:$AE$4001,$L$2:$L$4001,$L2203,$F$2:$F$4001,"4")-SUMIFS('AR SALES'!$Y$2:$Y$2501,'AR SALES'!$L$2:$L$2501,$L2203,'AR SALES'!$AD$2:$AD$2501,"OFF"),2)=0,"","STALE")))</f>
        <v/>
      </c>
      <c r="BB2203" s="2" t="str">
        <f>IF(OR(""&amp;$F2203="2",""&amp;$F2203="4",""&amp;$F2203="G",""&amp;$F2203="H"),IF($AY2203="YES","",IF($AB2203&lt;&gt;0,"",IF(COUNTIFS('AR SALES'!$L$2:$L$2501,$L2203,'AR SALES'!$AD$2:$AD$2501,IF(""&amp;$F2203="4","OFF","ON"),'AR SALES'!$AF$2:$AF$2501,"Y")&gt;0,"","NO EXEMPTION"))),"")</f>
        <v/>
      </c>
    </row>
    <row r="2204" spans="46:54" x14ac:dyDescent="0.25">
      <c r="AT2204" s="2" t="str">
        <f>IF($L2204="","",IFERROR(INDEX('AR SALES'!$H$2:$H$2501,MATCH(""&amp;$L2204,'AR SALES'!$AE$2:$AE$2501,0)),""))</f>
        <v/>
      </c>
      <c r="AU2204" s="2" t="str">
        <f t="shared" si="136"/>
        <v/>
      </c>
      <c r="AV2204" s="2" t="str">
        <f t="shared" si="137"/>
        <v/>
      </c>
      <c r="AW2204" s="2" t="str">
        <f t="shared" si="138"/>
        <v/>
      </c>
      <c r="AX2204" s="2" t="str">
        <f t="shared" si="139"/>
        <v/>
      </c>
      <c r="AY2204" s="2" t="str">
        <f>IF($AV2204="","",IF(AND($Z2204=0,COUNTIF('AR SALES'!$L$2:$L$2501,$L2204)=0),"YES",""))</f>
        <v/>
      </c>
      <c r="AZ2204" s="2" t="str">
        <f>IF($AV2204="","",IF(COUNTIF(LISTS!$C$2:$C$250,$AU2204)=0,"NEW",""))</f>
        <v/>
      </c>
      <c r="BA2204" s="2" t="str">
        <f>IF(""&amp;$F2204&lt;&gt;"4","",IF($AY2204="YES","",IF(ROUND(SUMIFS($AE$2:$AE$4001,$L$2:$L$4001,$L2204,$F$2:$F$4001,"4")-SUMIFS('AR SALES'!$Y$2:$Y$2501,'AR SALES'!$L$2:$L$2501,$L2204,'AR SALES'!$AD$2:$AD$2501,"OFF"),2)=0,"","STALE")))</f>
        <v/>
      </c>
      <c r="BB2204" s="2" t="str">
        <f>IF(OR(""&amp;$F2204="2",""&amp;$F2204="4",""&amp;$F2204="G",""&amp;$F2204="H"),IF($AY2204="YES","",IF($AB2204&lt;&gt;0,"",IF(COUNTIFS('AR SALES'!$L$2:$L$2501,$L2204,'AR SALES'!$AD$2:$AD$2501,IF(""&amp;$F2204="4","OFF","ON"),'AR SALES'!$AF$2:$AF$2501,"Y")&gt;0,"","NO EXEMPTION"))),"")</f>
        <v/>
      </c>
    </row>
    <row r="2205" spans="46:54" x14ac:dyDescent="0.25">
      <c r="AT2205" s="2" t="str">
        <f>IF($L2205="","",IFERROR(INDEX('AR SALES'!$H$2:$H$2501,MATCH(""&amp;$L2205,'AR SALES'!$AE$2:$AE$2501,0)),""))</f>
        <v/>
      </c>
      <c r="AU2205" s="2" t="str">
        <f t="shared" si="136"/>
        <v/>
      </c>
      <c r="AV2205" s="2" t="str">
        <f t="shared" si="137"/>
        <v/>
      </c>
      <c r="AW2205" s="2" t="str">
        <f t="shared" si="138"/>
        <v/>
      </c>
      <c r="AX2205" s="2" t="str">
        <f t="shared" si="139"/>
        <v/>
      </c>
      <c r="AY2205" s="2" t="str">
        <f>IF($AV2205="","",IF(AND($Z2205=0,COUNTIF('AR SALES'!$L$2:$L$2501,$L2205)=0),"YES",""))</f>
        <v/>
      </c>
      <c r="AZ2205" s="2" t="str">
        <f>IF($AV2205="","",IF(COUNTIF(LISTS!$C$2:$C$250,$AU2205)=0,"NEW",""))</f>
        <v/>
      </c>
      <c r="BA2205" s="2" t="str">
        <f>IF(""&amp;$F2205&lt;&gt;"4","",IF($AY2205="YES","",IF(ROUND(SUMIFS($AE$2:$AE$4001,$L$2:$L$4001,$L2205,$F$2:$F$4001,"4")-SUMIFS('AR SALES'!$Y$2:$Y$2501,'AR SALES'!$L$2:$L$2501,$L2205,'AR SALES'!$AD$2:$AD$2501,"OFF"),2)=0,"","STALE")))</f>
        <v/>
      </c>
      <c r="BB2205" s="2" t="str">
        <f>IF(OR(""&amp;$F2205="2",""&amp;$F2205="4",""&amp;$F2205="G",""&amp;$F2205="H"),IF($AY2205="YES","",IF($AB2205&lt;&gt;0,"",IF(COUNTIFS('AR SALES'!$L$2:$L$2501,$L2205,'AR SALES'!$AD$2:$AD$2501,IF(""&amp;$F2205="4","OFF","ON"),'AR SALES'!$AF$2:$AF$2501,"Y")&gt;0,"","NO EXEMPTION"))),"")</f>
        <v/>
      </c>
    </row>
    <row r="2206" spans="46:54" x14ac:dyDescent="0.25">
      <c r="AT2206" s="2" t="str">
        <f>IF($L2206="","",IFERROR(INDEX('AR SALES'!$H$2:$H$2501,MATCH(""&amp;$L2206,'AR SALES'!$AE$2:$AE$2501,0)),""))</f>
        <v/>
      </c>
      <c r="AU2206" s="2" t="str">
        <f t="shared" si="136"/>
        <v/>
      </c>
      <c r="AV2206" s="2" t="str">
        <f t="shared" si="137"/>
        <v/>
      </c>
      <c r="AW2206" s="2" t="str">
        <f t="shared" si="138"/>
        <v/>
      </c>
      <c r="AX2206" s="2" t="str">
        <f t="shared" si="139"/>
        <v/>
      </c>
      <c r="AY2206" s="2" t="str">
        <f>IF($AV2206="","",IF(AND($Z2206=0,COUNTIF('AR SALES'!$L$2:$L$2501,$L2206)=0),"YES",""))</f>
        <v/>
      </c>
      <c r="AZ2206" s="2" t="str">
        <f>IF($AV2206="","",IF(COUNTIF(LISTS!$C$2:$C$250,$AU2206)=0,"NEW",""))</f>
        <v/>
      </c>
      <c r="BA2206" s="2" t="str">
        <f>IF(""&amp;$F2206&lt;&gt;"4","",IF($AY2206="YES","",IF(ROUND(SUMIFS($AE$2:$AE$4001,$L$2:$L$4001,$L2206,$F$2:$F$4001,"4")-SUMIFS('AR SALES'!$Y$2:$Y$2501,'AR SALES'!$L$2:$L$2501,$L2206,'AR SALES'!$AD$2:$AD$2501,"OFF"),2)=0,"","STALE")))</f>
        <v/>
      </c>
      <c r="BB2206" s="2" t="str">
        <f>IF(OR(""&amp;$F2206="2",""&amp;$F2206="4",""&amp;$F2206="G",""&amp;$F2206="H"),IF($AY2206="YES","",IF($AB2206&lt;&gt;0,"",IF(COUNTIFS('AR SALES'!$L$2:$L$2501,$L2206,'AR SALES'!$AD$2:$AD$2501,IF(""&amp;$F2206="4","OFF","ON"),'AR SALES'!$AF$2:$AF$2501,"Y")&gt;0,"","NO EXEMPTION"))),"")</f>
        <v/>
      </c>
    </row>
    <row r="2207" spans="46:54" x14ac:dyDescent="0.25">
      <c r="AT2207" s="2" t="str">
        <f>IF($L2207="","",IFERROR(INDEX('AR SALES'!$H$2:$H$2501,MATCH(""&amp;$L2207,'AR SALES'!$AE$2:$AE$2501,0)),""))</f>
        <v/>
      </c>
      <c r="AU2207" s="2" t="str">
        <f t="shared" si="136"/>
        <v/>
      </c>
      <c r="AV2207" s="2" t="str">
        <f t="shared" si="137"/>
        <v/>
      </c>
      <c r="AW2207" s="2" t="str">
        <f t="shared" si="138"/>
        <v/>
      </c>
      <c r="AX2207" s="2" t="str">
        <f t="shared" si="139"/>
        <v/>
      </c>
      <c r="AY2207" s="2" t="str">
        <f>IF($AV2207="","",IF(AND($Z2207=0,COUNTIF('AR SALES'!$L$2:$L$2501,$L2207)=0),"YES",""))</f>
        <v/>
      </c>
      <c r="AZ2207" s="2" t="str">
        <f>IF($AV2207="","",IF(COUNTIF(LISTS!$C$2:$C$250,$AU2207)=0,"NEW",""))</f>
        <v/>
      </c>
      <c r="BA2207" s="2" t="str">
        <f>IF(""&amp;$F2207&lt;&gt;"4","",IF($AY2207="YES","",IF(ROUND(SUMIFS($AE$2:$AE$4001,$L$2:$L$4001,$L2207,$F$2:$F$4001,"4")-SUMIFS('AR SALES'!$Y$2:$Y$2501,'AR SALES'!$L$2:$L$2501,$L2207,'AR SALES'!$AD$2:$AD$2501,"OFF"),2)=0,"","STALE")))</f>
        <v/>
      </c>
      <c r="BB2207" s="2" t="str">
        <f>IF(OR(""&amp;$F2207="2",""&amp;$F2207="4",""&amp;$F2207="G",""&amp;$F2207="H"),IF($AY2207="YES","",IF($AB2207&lt;&gt;0,"",IF(COUNTIFS('AR SALES'!$L$2:$L$2501,$L2207,'AR SALES'!$AD$2:$AD$2501,IF(""&amp;$F2207="4","OFF","ON"),'AR SALES'!$AF$2:$AF$2501,"Y")&gt;0,"","NO EXEMPTION"))),"")</f>
        <v/>
      </c>
    </row>
    <row r="2208" spans="46:54" x14ac:dyDescent="0.25">
      <c r="AT2208" s="2" t="str">
        <f>IF($L2208="","",IFERROR(INDEX('AR SALES'!$H$2:$H$2501,MATCH(""&amp;$L2208,'AR SALES'!$AE$2:$AE$2501,0)),""))</f>
        <v/>
      </c>
      <c r="AU2208" s="2" t="str">
        <f t="shared" si="136"/>
        <v/>
      </c>
      <c r="AV2208" s="2" t="str">
        <f t="shared" si="137"/>
        <v/>
      </c>
      <c r="AW2208" s="2" t="str">
        <f t="shared" si="138"/>
        <v/>
      </c>
      <c r="AX2208" s="2" t="str">
        <f t="shared" si="139"/>
        <v/>
      </c>
      <c r="AY2208" s="2" t="str">
        <f>IF($AV2208="","",IF(AND($Z2208=0,COUNTIF('AR SALES'!$L$2:$L$2501,$L2208)=0),"YES",""))</f>
        <v/>
      </c>
      <c r="AZ2208" s="2" t="str">
        <f>IF($AV2208="","",IF(COUNTIF(LISTS!$C$2:$C$250,$AU2208)=0,"NEW",""))</f>
        <v/>
      </c>
      <c r="BA2208" s="2" t="str">
        <f>IF(""&amp;$F2208&lt;&gt;"4","",IF($AY2208="YES","",IF(ROUND(SUMIFS($AE$2:$AE$4001,$L$2:$L$4001,$L2208,$F$2:$F$4001,"4")-SUMIFS('AR SALES'!$Y$2:$Y$2501,'AR SALES'!$L$2:$L$2501,$L2208,'AR SALES'!$AD$2:$AD$2501,"OFF"),2)=0,"","STALE")))</f>
        <v/>
      </c>
      <c r="BB2208" s="2" t="str">
        <f>IF(OR(""&amp;$F2208="2",""&amp;$F2208="4",""&amp;$F2208="G",""&amp;$F2208="H"),IF($AY2208="YES","",IF($AB2208&lt;&gt;0,"",IF(COUNTIFS('AR SALES'!$L$2:$L$2501,$L2208,'AR SALES'!$AD$2:$AD$2501,IF(""&amp;$F2208="4","OFF","ON"),'AR SALES'!$AF$2:$AF$2501,"Y")&gt;0,"","NO EXEMPTION"))),"")</f>
        <v/>
      </c>
    </row>
    <row r="2209" spans="46:54" x14ac:dyDescent="0.25">
      <c r="AT2209" s="2" t="str">
        <f>IF($L2209="","",IFERROR(INDEX('AR SALES'!$H$2:$H$2501,MATCH(""&amp;$L2209,'AR SALES'!$AE$2:$AE$2501,0)),""))</f>
        <v/>
      </c>
      <c r="AU2209" s="2" t="str">
        <f t="shared" si="136"/>
        <v/>
      </c>
      <c r="AV2209" s="2" t="str">
        <f t="shared" si="137"/>
        <v/>
      </c>
      <c r="AW2209" s="2" t="str">
        <f t="shared" si="138"/>
        <v/>
      </c>
      <c r="AX2209" s="2" t="str">
        <f t="shared" si="139"/>
        <v/>
      </c>
      <c r="AY2209" s="2" t="str">
        <f>IF($AV2209="","",IF(AND($Z2209=0,COUNTIF('AR SALES'!$L$2:$L$2501,$L2209)=0),"YES",""))</f>
        <v/>
      </c>
      <c r="AZ2209" s="2" t="str">
        <f>IF($AV2209="","",IF(COUNTIF(LISTS!$C$2:$C$250,$AU2209)=0,"NEW",""))</f>
        <v/>
      </c>
      <c r="BA2209" s="2" t="str">
        <f>IF(""&amp;$F2209&lt;&gt;"4","",IF($AY2209="YES","",IF(ROUND(SUMIFS($AE$2:$AE$4001,$L$2:$L$4001,$L2209,$F$2:$F$4001,"4")-SUMIFS('AR SALES'!$Y$2:$Y$2501,'AR SALES'!$L$2:$L$2501,$L2209,'AR SALES'!$AD$2:$AD$2501,"OFF"),2)=0,"","STALE")))</f>
        <v/>
      </c>
      <c r="BB2209" s="2" t="str">
        <f>IF(OR(""&amp;$F2209="2",""&amp;$F2209="4",""&amp;$F2209="G",""&amp;$F2209="H"),IF($AY2209="YES","",IF($AB2209&lt;&gt;0,"",IF(COUNTIFS('AR SALES'!$L$2:$L$2501,$L2209,'AR SALES'!$AD$2:$AD$2501,IF(""&amp;$F2209="4","OFF","ON"),'AR SALES'!$AF$2:$AF$2501,"Y")&gt;0,"","NO EXEMPTION"))),"")</f>
        <v/>
      </c>
    </row>
    <row r="2210" spans="46:54" x14ac:dyDescent="0.25">
      <c r="AT2210" s="2" t="str">
        <f>IF($L2210="","",IFERROR(INDEX('AR SALES'!$H$2:$H$2501,MATCH(""&amp;$L2210,'AR SALES'!$AE$2:$AE$2501,0)),""))</f>
        <v/>
      </c>
      <c r="AU2210" s="2" t="str">
        <f t="shared" si="136"/>
        <v/>
      </c>
      <c r="AV2210" s="2" t="str">
        <f t="shared" si="137"/>
        <v/>
      </c>
      <c r="AW2210" s="2" t="str">
        <f t="shared" si="138"/>
        <v/>
      </c>
      <c r="AX2210" s="2" t="str">
        <f t="shared" si="139"/>
        <v/>
      </c>
      <c r="AY2210" s="2" t="str">
        <f>IF($AV2210="","",IF(AND($Z2210=0,COUNTIF('AR SALES'!$L$2:$L$2501,$L2210)=0),"YES",""))</f>
        <v/>
      </c>
      <c r="AZ2210" s="2" t="str">
        <f>IF($AV2210="","",IF(COUNTIF(LISTS!$C$2:$C$250,$AU2210)=0,"NEW",""))</f>
        <v/>
      </c>
      <c r="BA2210" s="2" t="str">
        <f>IF(""&amp;$F2210&lt;&gt;"4","",IF($AY2210="YES","",IF(ROUND(SUMIFS($AE$2:$AE$4001,$L$2:$L$4001,$L2210,$F$2:$F$4001,"4")-SUMIFS('AR SALES'!$Y$2:$Y$2501,'AR SALES'!$L$2:$L$2501,$L2210,'AR SALES'!$AD$2:$AD$2501,"OFF"),2)=0,"","STALE")))</f>
        <v/>
      </c>
      <c r="BB2210" s="2" t="str">
        <f>IF(OR(""&amp;$F2210="2",""&amp;$F2210="4",""&amp;$F2210="G",""&amp;$F2210="H"),IF($AY2210="YES","",IF($AB2210&lt;&gt;0,"",IF(COUNTIFS('AR SALES'!$L$2:$L$2501,$L2210,'AR SALES'!$AD$2:$AD$2501,IF(""&amp;$F2210="4","OFF","ON"),'AR SALES'!$AF$2:$AF$2501,"Y")&gt;0,"","NO EXEMPTION"))),"")</f>
        <v/>
      </c>
    </row>
    <row r="2211" spans="46:54" x14ac:dyDescent="0.25">
      <c r="AT2211" s="2" t="str">
        <f>IF($L2211="","",IFERROR(INDEX('AR SALES'!$H$2:$H$2501,MATCH(""&amp;$L2211,'AR SALES'!$AE$2:$AE$2501,0)),""))</f>
        <v/>
      </c>
      <c r="AU2211" s="2" t="str">
        <f t="shared" si="136"/>
        <v/>
      </c>
      <c r="AV2211" s="2" t="str">
        <f t="shared" si="137"/>
        <v/>
      </c>
      <c r="AW2211" s="2" t="str">
        <f t="shared" si="138"/>
        <v/>
      </c>
      <c r="AX2211" s="2" t="str">
        <f t="shared" si="139"/>
        <v/>
      </c>
      <c r="AY2211" s="2" t="str">
        <f>IF($AV2211="","",IF(AND($Z2211=0,COUNTIF('AR SALES'!$L$2:$L$2501,$L2211)=0),"YES",""))</f>
        <v/>
      </c>
      <c r="AZ2211" s="2" t="str">
        <f>IF($AV2211="","",IF(COUNTIF(LISTS!$C$2:$C$250,$AU2211)=0,"NEW",""))</f>
        <v/>
      </c>
      <c r="BA2211" s="2" t="str">
        <f>IF(""&amp;$F2211&lt;&gt;"4","",IF($AY2211="YES","",IF(ROUND(SUMIFS($AE$2:$AE$4001,$L$2:$L$4001,$L2211,$F$2:$F$4001,"4")-SUMIFS('AR SALES'!$Y$2:$Y$2501,'AR SALES'!$L$2:$L$2501,$L2211,'AR SALES'!$AD$2:$AD$2501,"OFF"),2)=0,"","STALE")))</f>
        <v/>
      </c>
      <c r="BB2211" s="2" t="str">
        <f>IF(OR(""&amp;$F2211="2",""&amp;$F2211="4",""&amp;$F2211="G",""&amp;$F2211="H"),IF($AY2211="YES","",IF($AB2211&lt;&gt;0,"",IF(COUNTIFS('AR SALES'!$L$2:$L$2501,$L2211,'AR SALES'!$AD$2:$AD$2501,IF(""&amp;$F2211="4","OFF","ON"),'AR SALES'!$AF$2:$AF$2501,"Y")&gt;0,"","NO EXEMPTION"))),"")</f>
        <v/>
      </c>
    </row>
    <row r="2212" spans="46:54" x14ac:dyDescent="0.25">
      <c r="AT2212" s="2" t="str">
        <f>IF($L2212="","",IFERROR(INDEX('AR SALES'!$H$2:$H$2501,MATCH(""&amp;$L2212,'AR SALES'!$AE$2:$AE$2501,0)),""))</f>
        <v/>
      </c>
      <c r="AU2212" s="2" t="str">
        <f t="shared" si="136"/>
        <v/>
      </c>
      <c r="AV2212" s="2" t="str">
        <f t="shared" si="137"/>
        <v/>
      </c>
      <c r="AW2212" s="2" t="str">
        <f t="shared" si="138"/>
        <v/>
      </c>
      <c r="AX2212" s="2" t="str">
        <f t="shared" si="139"/>
        <v/>
      </c>
      <c r="AY2212" s="2" t="str">
        <f>IF($AV2212="","",IF(AND($Z2212=0,COUNTIF('AR SALES'!$L$2:$L$2501,$L2212)=0),"YES",""))</f>
        <v/>
      </c>
      <c r="AZ2212" s="2" t="str">
        <f>IF($AV2212="","",IF(COUNTIF(LISTS!$C$2:$C$250,$AU2212)=0,"NEW",""))</f>
        <v/>
      </c>
      <c r="BA2212" s="2" t="str">
        <f>IF(""&amp;$F2212&lt;&gt;"4","",IF($AY2212="YES","",IF(ROUND(SUMIFS($AE$2:$AE$4001,$L$2:$L$4001,$L2212,$F$2:$F$4001,"4")-SUMIFS('AR SALES'!$Y$2:$Y$2501,'AR SALES'!$L$2:$L$2501,$L2212,'AR SALES'!$AD$2:$AD$2501,"OFF"),2)=0,"","STALE")))</f>
        <v/>
      </c>
      <c r="BB2212" s="2" t="str">
        <f>IF(OR(""&amp;$F2212="2",""&amp;$F2212="4",""&amp;$F2212="G",""&amp;$F2212="H"),IF($AY2212="YES","",IF($AB2212&lt;&gt;0,"",IF(COUNTIFS('AR SALES'!$L$2:$L$2501,$L2212,'AR SALES'!$AD$2:$AD$2501,IF(""&amp;$F2212="4","OFF","ON"),'AR SALES'!$AF$2:$AF$2501,"Y")&gt;0,"","NO EXEMPTION"))),"")</f>
        <v/>
      </c>
    </row>
    <row r="2213" spans="46:54" x14ac:dyDescent="0.25">
      <c r="AT2213" s="2" t="str">
        <f>IF($L2213="","",IFERROR(INDEX('AR SALES'!$H$2:$H$2501,MATCH(""&amp;$L2213,'AR SALES'!$AE$2:$AE$2501,0)),""))</f>
        <v/>
      </c>
      <c r="AU2213" s="2" t="str">
        <f t="shared" si="136"/>
        <v/>
      </c>
      <c r="AV2213" s="2" t="str">
        <f t="shared" si="137"/>
        <v/>
      </c>
      <c r="AW2213" s="2" t="str">
        <f t="shared" si="138"/>
        <v/>
      </c>
      <c r="AX2213" s="2" t="str">
        <f t="shared" si="139"/>
        <v/>
      </c>
      <c r="AY2213" s="2" t="str">
        <f>IF($AV2213="","",IF(AND($Z2213=0,COUNTIF('AR SALES'!$L$2:$L$2501,$L2213)=0),"YES",""))</f>
        <v/>
      </c>
      <c r="AZ2213" s="2" t="str">
        <f>IF($AV2213="","",IF(COUNTIF(LISTS!$C$2:$C$250,$AU2213)=0,"NEW",""))</f>
        <v/>
      </c>
      <c r="BA2213" s="2" t="str">
        <f>IF(""&amp;$F2213&lt;&gt;"4","",IF($AY2213="YES","",IF(ROUND(SUMIFS($AE$2:$AE$4001,$L$2:$L$4001,$L2213,$F$2:$F$4001,"4")-SUMIFS('AR SALES'!$Y$2:$Y$2501,'AR SALES'!$L$2:$L$2501,$L2213,'AR SALES'!$AD$2:$AD$2501,"OFF"),2)=0,"","STALE")))</f>
        <v/>
      </c>
      <c r="BB2213" s="2" t="str">
        <f>IF(OR(""&amp;$F2213="2",""&amp;$F2213="4",""&amp;$F2213="G",""&amp;$F2213="H"),IF($AY2213="YES","",IF($AB2213&lt;&gt;0,"",IF(COUNTIFS('AR SALES'!$L$2:$L$2501,$L2213,'AR SALES'!$AD$2:$AD$2501,IF(""&amp;$F2213="4","OFF","ON"),'AR SALES'!$AF$2:$AF$2501,"Y")&gt;0,"","NO EXEMPTION"))),"")</f>
        <v/>
      </c>
    </row>
    <row r="2214" spans="46:54" x14ac:dyDescent="0.25">
      <c r="AT2214" s="2" t="str">
        <f>IF($L2214="","",IFERROR(INDEX('AR SALES'!$H$2:$H$2501,MATCH(""&amp;$L2214,'AR SALES'!$AE$2:$AE$2501,0)),""))</f>
        <v/>
      </c>
      <c r="AU2214" s="2" t="str">
        <f t="shared" si="136"/>
        <v/>
      </c>
      <c r="AV2214" s="2" t="str">
        <f t="shared" si="137"/>
        <v/>
      </c>
      <c r="AW2214" s="2" t="str">
        <f t="shared" si="138"/>
        <v/>
      </c>
      <c r="AX2214" s="2" t="str">
        <f t="shared" si="139"/>
        <v/>
      </c>
      <c r="AY2214" s="2" t="str">
        <f>IF($AV2214="","",IF(AND($Z2214=0,COUNTIF('AR SALES'!$L$2:$L$2501,$L2214)=0),"YES",""))</f>
        <v/>
      </c>
      <c r="AZ2214" s="2" t="str">
        <f>IF($AV2214="","",IF(COUNTIF(LISTS!$C$2:$C$250,$AU2214)=0,"NEW",""))</f>
        <v/>
      </c>
      <c r="BA2214" s="2" t="str">
        <f>IF(""&amp;$F2214&lt;&gt;"4","",IF($AY2214="YES","",IF(ROUND(SUMIFS($AE$2:$AE$4001,$L$2:$L$4001,$L2214,$F$2:$F$4001,"4")-SUMIFS('AR SALES'!$Y$2:$Y$2501,'AR SALES'!$L$2:$L$2501,$L2214,'AR SALES'!$AD$2:$AD$2501,"OFF"),2)=0,"","STALE")))</f>
        <v/>
      </c>
      <c r="BB2214" s="2" t="str">
        <f>IF(OR(""&amp;$F2214="2",""&amp;$F2214="4",""&amp;$F2214="G",""&amp;$F2214="H"),IF($AY2214="YES","",IF($AB2214&lt;&gt;0,"",IF(COUNTIFS('AR SALES'!$L$2:$L$2501,$L2214,'AR SALES'!$AD$2:$AD$2501,IF(""&amp;$F2214="4","OFF","ON"),'AR SALES'!$AF$2:$AF$2501,"Y")&gt;0,"","NO EXEMPTION"))),"")</f>
        <v/>
      </c>
    </row>
    <row r="2215" spans="46:54" x14ac:dyDescent="0.25">
      <c r="AT2215" s="2" t="str">
        <f>IF($L2215="","",IFERROR(INDEX('AR SALES'!$H$2:$H$2501,MATCH(""&amp;$L2215,'AR SALES'!$AE$2:$AE$2501,0)),""))</f>
        <v/>
      </c>
      <c r="AU2215" s="2" t="str">
        <f t="shared" si="136"/>
        <v/>
      </c>
      <c r="AV2215" s="2" t="str">
        <f t="shared" si="137"/>
        <v/>
      </c>
      <c r="AW2215" s="2" t="str">
        <f t="shared" si="138"/>
        <v/>
      </c>
      <c r="AX2215" s="2" t="str">
        <f t="shared" si="139"/>
        <v/>
      </c>
      <c r="AY2215" s="2" t="str">
        <f>IF($AV2215="","",IF(AND($Z2215=0,COUNTIF('AR SALES'!$L$2:$L$2501,$L2215)=0),"YES",""))</f>
        <v/>
      </c>
      <c r="AZ2215" s="2" t="str">
        <f>IF($AV2215="","",IF(COUNTIF(LISTS!$C$2:$C$250,$AU2215)=0,"NEW",""))</f>
        <v/>
      </c>
      <c r="BA2215" s="2" t="str">
        <f>IF(""&amp;$F2215&lt;&gt;"4","",IF($AY2215="YES","",IF(ROUND(SUMIFS($AE$2:$AE$4001,$L$2:$L$4001,$L2215,$F$2:$F$4001,"4")-SUMIFS('AR SALES'!$Y$2:$Y$2501,'AR SALES'!$L$2:$L$2501,$L2215,'AR SALES'!$AD$2:$AD$2501,"OFF"),2)=0,"","STALE")))</f>
        <v/>
      </c>
      <c r="BB2215" s="2" t="str">
        <f>IF(OR(""&amp;$F2215="2",""&amp;$F2215="4",""&amp;$F2215="G",""&amp;$F2215="H"),IF($AY2215="YES","",IF($AB2215&lt;&gt;0,"",IF(COUNTIFS('AR SALES'!$L$2:$L$2501,$L2215,'AR SALES'!$AD$2:$AD$2501,IF(""&amp;$F2215="4","OFF","ON"),'AR SALES'!$AF$2:$AF$2501,"Y")&gt;0,"","NO EXEMPTION"))),"")</f>
        <v/>
      </c>
    </row>
    <row r="2216" spans="46:54" x14ac:dyDescent="0.25">
      <c r="AT2216" s="2" t="str">
        <f>IF($L2216="","",IFERROR(INDEX('AR SALES'!$H$2:$H$2501,MATCH(""&amp;$L2216,'AR SALES'!$AE$2:$AE$2501,0)),""))</f>
        <v/>
      </c>
      <c r="AU2216" s="2" t="str">
        <f t="shared" si="136"/>
        <v/>
      </c>
      <c r="AV2216" s="2" t="str">
        <f t="shared" si="137"/>
        <v/>
      </c>
      <c r="AW2216" s="2" t="str">
        <f t="shared" si="138"/>
        <v/>
      </c>
      <c r="AX2216" s="2" t="str">
        <f t="shared" si="139"/>
        <v/>
      </c>
      <c r="AY2216" s="2" t="str">
        <f>IF($AV2216="","",IF(AND($Z2216=0,COUNTIF('AR SALES'!$L$2:$L$2501,$L2216)=0),"YES",""))</f>
        <v/>
      </c>
      <c r="AZ2216" s="2" t="str">
        <f>IF($AV2216="","",IF(COUNTIF(LISTS!$C$2:$C$250,$AU2216)=0,"NEW",""))</f>
        <v/>
      </c>
      <c r="BA2216" s="2" t="str">
        <f>IF(""&amp;$F2216&lt;&gt;"4","",IF($AY2216="YES","",IF(ROUND(SUMIFS($AE$2:$AE$4001,$L$2:$L$4001,$L2216,$F$2:$F$4001,"4")-SUMIFS('AR SALES'!$Y$2:$Y$2501,'AR SALES'!$L$2:$L$2501,$L2216,'AR SALES'!$AD$2:$AD$2501,"OFF"),2)=0,"","STALE")))</f>
        <v/>
      </c>
      <c r="BB2216" s="2" t="str">
        <f>IF(OR(""&amp;$F2216="2",""&amp;$F2216="4",""&amp;$F2216="G",""&amp;$F2216="H"),IF($AY2216="YES","",IF($AB2216&lt;&gt;0,"",IF(COUNTIFS('AR SALES'!$L$2:$L$2501,$L2216,'AR SALES'!$AD$2:$AD$2501,IF(""&amp;$F2216="4","OFF","ON"),'AR SALES'!$AF$2:$AF$2501,"Y")&gt;0,"","NO EXEMPTION"))),"")</f>
        <v/>
      </c>
    </row>
    <row r="2217" spans="46:54" x14ac:dyDescent="0.25">
      <c r="AT2217" s="2" t="str">
        <f>IF($L2217="","",IFERROR(INDEX('AR SALES'!$H$2:$H$2501,MATCH(""&amp;$L2217,'AR SALES'!$AE$2:$AE$2501,0)),""))</f>
        <v/>
      </c>
      <c r="AU2217" s="2" t="str">
        <f t="shared" si="136"/>
        <v/>
      </c>
      <c r="AV2217" s="2" t="str">
        <f t="shared" si="137"/>
        <v/>
      </c>
      <c r="AW2217" s="2" t="str">
        <f t="shared" si="138"/>
        <v/>
      </c>
      <c r="AX2217" s="2" t="str">
        <f t="shared" si="139"/>
        <v/>
      </c>
      <c r="AY2217" s="2" t="str">
        <f>IF($AV2217="","",IF(AND($Z2217=0,COUNTIF('AR SALES'!$L$2:$L$2501,$L2217)=0),"YES",""))</f>
        <v/>
      </c>
      <c r="AZ2217" s="2" t="str">
        <f>IF($AV2217="","",IF(COUNTIF(LISTS!$C$2:$C$250,$AU2217)=0,"NEW",""))</f>
        <v/>
      </c>
      <c r="BA2217" s="2" t="str">
        <f>IF(""&amp;$F2217&lt;&gt;"4","",IF($AY2217="YES","",IF(ROUND(SUMIFS($AE$2:$AE$4001,$L$2:$L$4001,$L2217,$F$2:$F$4001,"4")-SUMIFS('AR SALES'!$Y$2:$Y$2501,'AR SALES'!$L$2:$L$2501,$L2217,'AR SALES'!$AD$2:$AD$2501,"OFF"),2)=0,"","STALE")))</f>
        <v/>
      </c>
      <c r="BB2217" s="2" t="str">
        <f>IF(OR(""&amp;$F2217="2",""&amp;$F2217="4",""&amp;$F2217="G",""&amp;$F2217="H"),IF($AY2217="YES","",IF($AB2217&lt;&gt;0,"",IF(COUNTIFS('AR SALES'!$L$2:$L$2501,$L2217,'AR SALES'!$AD$2:$AD$2501,IF(""&amp;$F2217="4","OFF","ON"),'AR SALES'!$AF$2:$AF$2501,"Y")&gt;0,"","NO EXEMPTION"))),"")</f>
        <v/>
      </c>
    </row>
    <row r="2218" spans="46:54" x14ac:dyDescent="0.25">
      <c r="AT2218" s="2" t="str">
        <f>IF($L2218="","",IFERROR(INDEX('AR SALES'!$H$2:$H$2501,MATCH(""&amp;$L2218,'AR SALES'!$AE$2:$AE$2501,0)),""))</f>
        <v/>
      </c>
      <c r="AU2218" s="2" t="str">
        <f t="shared" si="136"/>
        <v/>
      </c>
      <c r="AV2218" s="2" t="str">
        <f t="shared" si="137"/>
        <v/>
      </c>
      <c r="AW2218" s="2" t="str">
        <f t="shared" si="138"/>
        <v/>
      </c>
      <c r="AX2218" s="2" t="str">
        <f t="shared" si="139"/>
        <v/>
      </c>
      <c r="AY2218" s="2" t="str">
        <f>IF($AV2218="","",IF(AND($Z2218=0,COUNTIF('AR SALES'!$L$2:$L$2501,$L2218)=0),"YES",""))</f>
        <v/>
      </c>
      <c r="AZ2218" s="2" t="str">
        <f>IF($AV2218="","",IF(COUNTIF(LISTS!$C$2:$C$250,$AU2218)=0,"NEW",""))</f>
        <v/>
      </c>
      <c r="BA2218" s="2" t="str">
        <f>IF(""&amp;$F2218&lt;&gt;"4","",IF($AY2218="YES","",IF(ROUND(SUMIFS($AE$2:$AE$4001,$L$2:$L$4001,$L2218,$F$2:$F$4001,"4")-SUMIFS('AR SALES'!$Y$2:$Y$2501,'AR SALES'!$L$2:$L$2501,$L2218,'AR SALES'!$AD$2:$AD$2501,"OFF"),2)=0,"","STALE")))</f>
        <v/>
      </c>
      <c r="BB2218" s="2" t="str">
        <f>IF(OR(""&amp;$F2218="2",""&amp;$F2218="4",""&amp;$F2218="G",""&amp;$F2218="H"),IF($AY2218="YES","",IF($AB2218&lt;&gt;0,"",IF(COUNTIFS('AR SALES'!$L$2:$L$2501,$L2218,'AR SALES'!$AD$2:$AD$2501,IF(""&amp;$F2218="4","OFF","ON"),'AR SALES'!$AF$2:$AF$2501,"Y")&gt;0,"","NO EXEMPTION"))),"")</f>
        <v/>
      </c>
    </row>
    <row r="2219" spans="46:54" x14ac:dyDescent="0.25">
      <c r="AT2219" s="2" t="str">
        <f>IF($L2219="","",IFERROR(INDEX('AR SALES'!$H$2:$H$2501,MATCH(""&amp;$L2219,'AR SALES'!$AE$2:$AE$2501,0)),""))</f>
        <v/>
      </c>
      <c r="AU2219" s="2" t="str">
        <f t="shared" si="136"/>
        <v/>
      </c>
      <c r="AV2219" s="2" t="str">
        <f t="shared" si="137"/>
        <v/>
      </c>
      <c r="AW2219" s="2" t="str">
        <f t="shared" si="138"/>
        <v/>
      </c>
      <c r="AX2219" s="2" t="str">
        <f t="shared" si="139"/>
        <v/>
      </c>
      <c r="AY2219" s="2" t="str">
        <f>IF($AV2219="","",IF(AND($Z2219=0,COUNTIF('AR SALES'!$L$2:$L$2501,$L2219)=0),"YES",""))</f>
        <v/>
      </c>
      <c r="AZ2219" s="2" t="str">
        <f>IF($AV2219="","",IF(COUNTIF(LISTS!$C$2:$C$250,$AU2219)=0,"NEW",""))</f>
        <v/>
      </c>
      <c r="BA2219" s="2" t="str">
        <f>IF(""&amp;$F2219&lt;&gt;"4","",IF($AY2219="YES","",IF(ROUND(SUMIFS($AE$2:$AE$4001,$L$2:$L$4001,$L2219,$F$2:$F$4001,"4")-SUMIFS('AR SALES'!$Y$2:$Y$2501,'AR SALES'!$L$2:$L$2501,$L2219,'AR SALES'!$AD$2:$AD$2501,"OFF"),2)=0,"","STALE")))</f>
        <v/>
      </c>
      <c r="BB2219" s="2" t="str">
        <f>IF(OR(""&amp;$F2219="2",""&amp;$F2219="4",""&amp;$F2219="G",""&amp;$F2219="H"),IF($AY2219="YES","",IF($AB2219&lt;&gt;0,"",IF(COUNTIFS('AR SALES'!$L$2:$L$2501,$L2219,'AR SALES'!$AD$2:$AD$2501,IF(""&amp;$F2219="4","OFF","ON"),'AR SALES'!$AF$2:$AF$2501,"Y")&gt;0,"","NO EXEMPTION"))),"")</f>
        <v/>
      </c>
    </row>
    <row r="2220" spans="46:54" x14ac:dyDescent="0.25">
      <c r="AT2220" s="2" t="str">
        <f>IF($L2220="","",IFERROR(INDEX('AR SALES'!$H$2:$H$2501,MATCH(""&amp;$L2220,'AR SALES'!$AE$2:$AE$2501,0)),""))</f>
        <v/>
      </c>
      <c r="AU2220" s="2" t="str">
        <f t="shared" si="136"/>
        <v/>
      </c>
      <c r="AV2220" s="2" t="str">
        <f t="shared" si="137"/>
        <v/>
      </c>
      <c r="AW2220" s="2" t="str">
        <f t="shared" si="138"/>
        <v/>
      </c>
      <c r="AX2220" s="2" t="str">
        <f t="shared" si="139"/>
        <v/>
      </c>
      <c r="AY2220" s="2" t="str">
        <f>IF($AV2220="","",IF(AND($Z2220=0,COUNTIF('AR SALES'!$L$2:$L$2501,$L2220)=0),"YES",""))</f>
        <v/>
      </c>
      <c r="AZ2220" s="2" t="str">
        <f>IF($AV2220="","",IF(COUNTIF(LISTS!$C$2:$C$250,$AU2220)=0,"NEW",""))</f>
        <v/>
      </c>
      <c r="BA2220" s="2" t="str">
        <f>IF(""&amp;$F2220&lt;&gt;"4","",IF($AY2220="YES","",IF(ROUND(SUMIFS($AE$2:$AE$4001,$L$2:$L$4001,$L2220,$F$2:$F$4001,"4")-SUMIFS('AR SALES'!$Y$2:$Y$2501,'AR SALES'!$L$2:$L$2501,$L2220,'AR SALES'!$AD$2:$AD$2501,"OFF"),2)=0,"","STALE")))</f>
        <v/>
      </c>
      <c r="BB2220" s="2" t="str">
        <f>IF(OR(""&amp;$F2220="2",""&amp;$F2220="4",""&amp;$F2220="G",""&amp;$F2220="H"),IF($AY2220="YES","",IF($AB2220&lt;&gt;0,"",IF(COUNTIFS('AR SALES'!$L$2:$L$2501,$L2220,'AR SALES'!$AD$2:$AD$2501,IF(""&amp;$F2220="4","OFF","ON"),'AR SALES'!$AF$2:$AF$2501,"Y")&gt;0,"","NO EXEMPTION"))),"")</f>
        <v/>
      </c>
    </row>
    <row r="2221" spans="46:54" x14ac:dyDescent="0.25">
      <c r="AT2221" s="2" t="str">
        <f>IF($L2221="","",IFERROR(INDEX('AR SALES'!$H$2:$H$2501,MATCH(""&amp;$L2221,'AR SALES'!$AE$2:$AE$2501,0)),""))</f>
        <v/>
      </c>
      <c r="AU2221" s="2" t="str">
        <f t="shared" si="136"/>
        <v/>
      </c>
      <c r="AV2221" s="2" t="str">
        <f t="shared" si="137"/>
        <v/>
      </c>
      <c r="AW2221" s="2" t="str">
        <f t="shared" si="138"/>
        <v/>
      </c>
      <c r="AX2221" s="2" t="str">
        <f t="shared" si="139"/>
        <v/>
      </c>
      <c r="AY2221" s="2" t="str">
        <f>IF($AV2221="","",IF(AND($Z2221=0,COUNTIF('AR SALES'!$L$2:$L$2501,$L2221)=0),"YES",""))</f>
        <v/>
      </c>
      <c r="AZ2221" s="2" t="str">
        <f>IF($AV2221="","",IF(COUNTIF(LISTS!$C$2:$C$250,$AU2221)=0,"NEW",""))</f>
        <v/>
      </c>
      <c r="BA2221" s="2" t="str">
        <f>IF(""&amp;$F2221&lt;&gt;"4","",IF($AY2221="YES","",IF(ROUND(SUMIFS($AE$2:$AE$4001,$L$2:$L$4001,$L2221,$F$2:$F$4001,"4")-SUMIFS('AR SALES'!$Y$2:$Y$2501,'AR SALES'!$L$2:$L$2501,$L2221,'AR SALES'!$AD$2:$AD$2501,"OFF"),2)=0,"","STALE")))</f>
        <v/>
      </c>
      <c r="BB2221" s="2" t="str">
        <f>IF(OR(""&amp;$F2221="2",""&amp;$F2221="4",""&amp;$F2221="G",""&amp;$F2221="H"),IF($AY2221="YES","",IF($AB2221&lt;&gt;0,"",IF(COUNTIFS('AR SALES'!$L$2:$L$2501,$L2221,'AR SALES'!$AD$2:$AD$2501,IF(""&amp;$F2221="4","OFF","ON"),'AR SALES'!$AF$2:$AF$2501,"Y")&gt;0,"","NO EXEMPTION"))),"")</f>
        <v/>
      </c>
    </row>
    <row r="2222" spans="46:54" x14ac:dyDescent="0.25">
      <c r="AT2222" s="2" t="str">
        <f>IF($L2222="","",IFERROR(INDEX('AR SALES'!$H$2:$H$2501,MATCH(""&amp;$L2222,'AR SALES'!$AE$2:$AE$2501,0)),""))</f>
        <v/>
      </c>
      <c r="AU2222" s="2" t="str">
        <f t="shared" si="136"/>
        <v/>
      </c>
      <c r="AV2222" s="2" t="str">
        <f t="shared" si="137"/>
        <v/>
      </c>
      <c r="AW2222" s="2" t="str">
        <f t="shared" si="138"/>
        <v/>
      </c>
      <c r="AX2222" s="2" t="str">
        <f t="shared" si="139"/>
        <v/>
      </c>
      <c r="AY2222" s="2" t="str">
        <f>IF($AV2222="","",IF(AND($Z2222=0,COUNTIF('AR SALES'!$L$2:$L$2501,$L2222)=0),"YES",""))</f>
        <v/>
      </c>
      <c r="AZ2222" s="2" t="str">
        <f>IF($AV2222="","",IF(COUNTIF(LISTS!$C$2:$C$250,$AU2222)=0,"NEW",""))</f>
        <v/>
      </c>
      <c r="BA2222" s="2" t="str">
        <f>IF(""&amp;$F2222&lt;&gt;"4","",IF($AY2222="YES","",IF(ROUND(SUMIFS($AE$2:$AE$4001,$L$2:$L$4001,$L2222,$F$2:$F$4001,"4")-SUMIFS('AR SALES'!$Y$2:$Y$2501,'AR SALES'!$L$2:$L$2501,$L2222,'AR SALES'!$AD$2:$AD$2501,"OFF"),2)=0,"","STALE")))</f>
        <v/>
      </c>
      <c r="BB2222" s="2" t="str">
        <f>IF(OR(""&amp;$F2222="2",""&amp;$F2222="4",""&amp;$F2222="G",""&amp;$F2222="H"),IF($AY2222="YES","",IF($AB2222&lt;&gt;0,"",IF(COUNTIFS('AR SALES'!$L$2:$L$2501,$L2222,'AR SALES'!$AD$2:$AD$2501,IF(""&amp;$F2222="4","OFF","ON"),'AR SALES'!$AF$2:$AF$2501,"Y")&gt;0,"","NO EXEMPTION"))),"")</f>
        <v/>
      </c>
    </row>
    <row r="2223" spans="46:54" x14ac:dyDescent="0.25">
      <c r="AT2223" s="2" t="str">
        <f>IF($L2223="","",IFERROR(INDEX('AR SALES'!$H$2:$H$2501,MATCH(""&amp;$L2223,'AR SALES'!$AE$2:$AE$2501,0)),""))</f>
        <v/>
      </c>
      <c r="AU2223" s="2" t="str">
        <f t="shared" si="136"/>
        <v/>
      </c>
      <c r="AV2223" s="2" t="str">
        <f t="shared" si="137"/>
        <v/>
      </c>
      <c r="AW2223" s="2" t="str">
        <f t="shared" si="138"/>
        <v/>
      </c>
      <c r="AX2223" s="2" t="str">
        <f t="shared" si="139"/>
        <v/>
      </c>
      <c r="AY2223" s="2" t="str">
        <f>IF($AV2223="","",IF(AND($Z2223=0,COUNTIF('AR SALES'!$L$2:$L$2501,$L2223)=0),"YES",""))</f>
        <v/>
      </c>
      <c r="AZ2223" s="2" t="str">
        <f>IF($AV2223="","",IF(COUNTIF(LISTS!$C$2:$C$250,$AU2223)=0,"NEW",""))</f>
        <v/>
      </c>
      <c r="BA2223" s="2" t="str">
        <f>IF(""&amp;$F2223&lt;&gt;"4","",IF($AY2223="YES","",IF(ROUND(SUMIFS($AE$2:$AE$4001,$L$2:$L$4001,$L2223,$F$2:$F$4001,"4")-SUMIFS('AR SALES'!$Y$2:$Y$2501,'AR SALES'!$L$2:$L$2501,$L2223,'AR SALES'!$AD$2:$AD$2501,"OFF"),2)=0,"","STALE")))</f>
        <v/>
      </c>
      <c r="BB2223" s="2" t="str">
        <f>IF(OR(""&amp;$F2223="2",""&amp;$F2223="4",""&amp;$F2223="G",""&amp;$F2223="H"),IF($AY2223="YES","",IF($AB2223&lt;&gt;0,"",IF(COUNTIFS('AR SALES'!$L$2:$L$2501,$L2223,'AR SALES'!$AD$2:$AD$2501,IF(""&amp;$F2223="4","OFF","ON"),'AR SALES'!$AF$2:$AF$2501,"Y")&gt;0,"","NO EXEMPTION"))),"")</f>
        <v/>
      </c>
    </row>
    <row r="2224" spans="46:54" x14ac:dyDescent="0.25">
      <c r="AT2224" s="2" t="str">
        <f>IF($L2224="","",IFERROR(INDEX('AR SALES'!$H$2:$H$2501,MATCH(""&amp;$L2224,'AR SALES'!$AE$2:$AE$2501,0)),""))</f>
        <v/>
      </c>
      <c r="AU2224" s="2" t="str">
        <f t="shared" si="136"/>
        <v/>
      </c>
      <c r="AV2224" s="2" t="str">
        <f t="shared" si="137"/>
        <v/>
      </c>
      <c r="AW2224" s="2" t="str">
        <f t="shared" si="138"/>
        <v/>
      </c>
      <c r="AX2224" s="2" t="str">
        <f t="shared" si="139"/>
        <v/>
      </c>
      <c r="AY2224" s="2" t="str">
        <f>IF($AV2224="","",IF(AND($Z2224=0,COUNTIF('AR SALES'!$L$2:$L$2501,$L2224)=0),"YES",""))</f>
        <v/>
      </c>
      <c r="AZ2224" s="2" t="str">
        <f>IF($AV2224="","",IF(COUNTIF(LISTS!$C$2:$C$250,$AU2224)=0,"NEW",""))</f>
        <v/>
      </c>
      <c r="BA2224" s="2" t="str">
        <f>IF(""&amp;$F2224&lt;&gt;"4","",IF($AY2224="YES","",IF(ROUND(SUMIFS($AE$2:$AE$4001,$L$2:$L$4001,$L2224,$F$2:$F$4001,"4")-SUMIFS('AR SALES'!$Y$2:$Y$2501,'AR SALES'!$L$2:$L$2501,$L2224,'AR SALES'!$AD$2:$AD$2501,"OFF"),2)=0,"","STALE")))</f>
        <v/>
      </c>
      <c r="BB2224" s="2" t="str">
        <f>IF(OR(""&amp;$F2224="2",""&amp;$F2224="4",""&amp;$F2224="G",""&amp;$F2224="H"),IF($AY2224="YES","",IF($AB2224&lt;&gt;0,"",IF(COUNTIFS('AR SALES'!$L$2:$L$2501,$L2224,'AR SALES'!$AD$2:$AD$2501,IF(""&amp;$F2224="4","OFF","ON"),'AR SALES'!$AF$2:$AF$2501,"Y")&gt;0,"","NO EXEMPTION"))),"")</f>
        <v/>
      </c>
    </row>
    <row r="2225" spans="46:54" x14ac:dyDescent="0.25">
      <c r="AT2225" s="2" t="str">
        <f>IF($L2225="","",IFERROR(INDEX('AR SALES'!$H$2:$H$2501,MATCH(""&amp;$L2225,'AR SALES'!$AE$2:$AE$2501,0)),""))</f>
        <v/>
      </c>
      <c r="AU2225" s="2" t="str">
        <f t="shared" si="136"/>
        <v/>
      </c>
      <c r="AV2225" s="2" t="str">
        <f t="shared" si="137"/>
        <v/>
      </c>
      <c r="AW2225" s="2" t="str">
        <f t="shared" si="138"/>
        <v/>
      </c>
      <c r="AX2225" s="2" t="str">
        <f t="shared" si="139"/>
        <v/>
      </c>
      <c r="AY2225" s="2" t="str">
        <f>IF($AV2225="","",IF(AND($Z2225=0,COUNTIF('AR SALES'!$L$2:$L$2501,$L2225)=0),"YES",""))</f>
        <v/>
      </c>
      <c r="AZ2225" s="2" t="str">
        <f>IF($AV2225="","",IF(COUNTIF(LISTS!$C$2:$C$250,$AU2225)=0,"NEW",""))</f>
        <v/>
      </c>
      <c r="BA2225" s="2" t="str">
        <f>IF(""&amp;$F2225&lt;&gt;"4","",IF($AY2225="YES","",IF(ROUND(SUMIFS($AE$2:$AE$4001,$L$2:$L$4001,$L2225,$F$2:$F$4001,"4")-SUMIFS('AR SALES'!$Y$2:$Y$2501,'AR SALES'!$L$2:$L$2501,$L2225,'AR SALES'!$AD$2:$AD$2501,"OFF"),2)=0,"","STALE")))</f>
        <v/>
      </c>
      <c r="BB2225" s="2" t="str">
        <f>IF(OR(""&amp;$F2225="2",""&amp;$F2225="4",""&amp;$F2225="G",""&amp;$F2225="H"),IF($AY2225="YES","",IF($AB2225&lt;&gt;0,"",IF(COUNTIFS('AR SALES'!$L$2:$L$2501,$L2225,'AR SALES'!$AD$2:$AD$2501,IF(""&amp;$F2225="4","OFF","ON"),'AR SALES'!$AF$2:$AF$2501,"Y")&gt;0,"","NO EXEMPTION"))),"")</f>
        <v/>
      </c>
    </row>
    <row r="2226" spans="46:54" x14ac:dyDescent="0.25">
      <c r="AT2226" s="2" t="str">
        <f>IF($L2226="","",IFERROR(INDEX('AR SALES'!$H$2:$H$2501,MATCH(""&amp;$L2226,'AR SALES'!$AE$2:$AE$2501,0)),""))</f>
        <v/>
      </c>
      <c r="AU2226" s="2" t="str">
        <f t="shared" si="136"/>
        <v/>
      </c>
      <c r="AV2226" s="2" t="str">
        <f t="shared" si="137"/>
        <v/>
      </c>
      <c r="AW2226" s="2" t="str">
        <f t="shared" si="138"/>
        <v/>
      </c>
      <c r="AX2226" s="2" t="str">
        <f t="shared" si="139"/>
        <v/>
      </c>
      <c r="AY2226" s="2" t="str">
        <f>IF($AV2226="","",IF(AND($Z2226=0,COUNTIF('AR SALES'!$L$2:$L$2501,$L2226)=0),"YES",""))</f>
        <v/>
      </c>
      <c r="AZ2226" s="2" t="str">
        <f>IF($AV2226="","",IF(COUNTIF(LISTS!$C$2:$C$250,$AU2226)=0,"NEW",""))</f>
        <v/>
      </c>
      <c r="BA2226" s="2" t="str">
        <f>IF(""&amp;$F2226&lt;&gt;"4","",IF($AY2226="YES","",IF(ROUND(SUMIFS($AE$2:$AE$4001,$L$2:$L$4001,$L2226,$F$2:$F$4001,"4")-SUMIFS('AR SALES'!$Y$2:$Y$2501,'AR SALES'!$L$2:$L$2501,$L2226,'AR SALES'!$AD$2:$AD$2501,"OFF"),2)=0,"","STALE")))</f>
        <v/>
      </c>
      <c r="BB2226" s="2" t="str">
        <f>IF(OR(""&amp;$F2226="2",""&amp;$F2226="4",""&amp;$F2226="G",""&amp;$F2226="H"),IF($AY2226="YES","",IF($AB2226&lt;&gt;0,"",IF(COUNTIFS('AR SALES'!$L$2:$L$2501,$L2226,'AR SALES'!$AD$2:$AD$2501,IF(""&amp;$F2226="4","OFF","ON"),'AR SALES'!$AF$2:$AF$2501,"Y")&gt;0,"","NO EXEMPTION"))),"")</f>
        <v/>
      </c>
    </row>
    <row r="2227" spans="46:54" x14ac:dyDescent="0.25">
      <c r="AT2227" s="2" t="str">
        <f>IF($L2227="","",IFERROR(INDEX('AR SALES'!$H$2:$H$2501,MATCH(""&amp;$L2227,'AR SALES'!$AE$2:$AE$2501,0)),""))</f>
        <v/>
      </c>
      <c r="AU2227" s="2" t="str">
        <f t="shared" si="136"/>
        <v/>
      </c>
      <c r="AV2227" s="2" t="str">
        <f t="shared" si="137"/>
        <v/>
      </c>
      <c r="AW2227" s="2" t="str">
        <f t="shared" si="138"/>
        <v/>
      </c>
      <c r="AX2227" s="2" t="str">
        <f t="shared" si="139"/>
        <v/>
      </c>
      <c r="AY2227" s="2" t="str">
        <f>IF($AV2227="","",IF(AND($Z2227=0,COUNTIF('AR SALES'!$L$2:$L$2501,$L2227)=0),"YES",""))</f>
        <v/>
      </c>
      <c r="AZ2227" s="2" t="str">
        <f>IF($AV2227="","",IF(COUNTIF(LISTS!$C$2:$C$250,$AU2227)=0,"NEW",""))</f>
        <v/>
      </c>
      <c r="BA2227" s="2" t="str">
        <f>IF(""&amp;$F2227&lt;&gt;"4","",IF($AY2227="YES","",IF(ROUND(SUMIFS($AE$2:$AE$4001,$L$2:$L$4001,$L2227,$F$2:$F$4001,"4")-SUMIFS('AR SALES'!$Y$2:$Y$2501,'AR SALES'!$L$2:$L$2501,$L2227,'AR SALES'!$AD$2:$AD$2501,"OFF"),2)=0,"","STALE")))</f>
        <v/>
      </c>
      <c r="BB2227" s="2" t="str">
        <f>IF(OR(""&amp;$F2227="2",""&amp;$F2227="4",""&amp;$F2227="G",""&amp;$F2227="H"),IF($AY2227="YES","",IF($AB2227&lt;&gt;0,"",IF(COUNTIFS('AR SALES'!$L$2:$L$2501,$L2227,'AR SALES'!$AD$2:$AD$2501,IF(""&amp;$F2227="4","OFF","ON"),'AR SALES'!$AF$2:$AF$2501,"Y")&gt;0,"","NO EXEMPTION"))),"")</f>
        <v/>
      </c>
    </row>
    <row r="2228" spans="46:54" x14ac:dyDescent="0.25">
      <c r="AT2228" s="2" t="str">
        <f>IF($L2228="","",IFERROR(INDEX('AR SALES'!$H$2:$H$2501,MATCH(""&amp;$L2228,'AR SALES'!$AE$2:$AE$2501,0)),""))</f>
        <v/>
      </c>
      <c r="AU2228" s="2" t="str">
        <f t="shared" si="136"/>
        <v/>
      </c>
      <c r="AV2228" s="2" t="str">
        <f t="shared" si="137"/>
        <v/>
      </c>
      <c r="AW2228" s="2" t="str">
        <f t="shared" si="138"/>
        <v/>
      </c>
      <c r="AX2228" s="2" t="str">
        <f t="shared" si="139"/>
        <v/>
      </c>
      <c r="AY2228" s="2" t="str">
        <f>IF($AV2228="","",IF(AND($Z2228=0,COUNTIF('AR SALES'!$L$2:$L$2501,$L2228)=0),"YES",""))</f>
        <v/>
      </c>
      <c r="AZ2228" s="2" t="str">
        <f>IF($AV2228="","",IF(COUNTIF(LISTS!$C$2:$C$250,$AU2228)=0,"NEW",""))</f>
        <v/>
      </c>
      <c r="BA2228" s="2" t="str">
        <f>IF(""&amp;$F2228&lt;&gt;"4","",IF($AY2228="YES","",IF(ROUND(SUMIFS($AE$2:$AE$4001,$L$2:$L$4001,$L2228,$F$2:$F$4001,"4")-SUMIFS('AR SALES'!$Y$2:$Y$2501,'AR SALES'!$L$2:$L$2501,$L2228,'AR SALES'!$AD$2:$AD$2501,"OFF"),2)=0,"","STALE")))</f>
        <v/>
      </c>
      <c r="BB2228" s="2" t="str">
        <f>IF(OR(""&amp;$F2228="2",""&amp;$F2228="4",""&amp;$F2228="G",""&amp;$F2228="H"),IF($AY2228="YES","",IF($AB2228&lt;&gt;0,"",IF(COUNTIFS('AR SALES'!$L$2:$L$2501,$L2228,'AR SALES'!$AD$2:$AD$2501,IF(""&amp;$F2228="4","OFF","ON"),'AR SALES'!$AF$2:$AF$2501,"Y")&gt;0,"","NO EXEMPTION"))),"")</f>
        <v/>
      </c>
    </row>
    <row r="2229" spans="46:54" x14ac:dyDescent="0.25">
      <c r="AT2229" s="2" t="str">
        <f>IF($L2229="","",IFERROR(INDEX('AR SALES'!$H$2:$H$2501,MATCH(""&amp;$L2229,'AR SALES'!$AE$2:$AE$2501,0)),""))</f>
        <v/>
      </c>
      <c r="AU2229" s="2" t="str">
        <f t="shared" si="136"/>
        <v/>
      </c>
      <c r="AV2229" s="2" t="str">
        <f t="shared" si="137"/>
        <v/>
      </c>
      <c r="AW2229" s="2" t="str">
        <f t="shared" si="138"/>
        <v/>
      </c>
      <c r="AX2229" s="2" t="str">
        <f t="shared" si="139"/>
        <v/>
      </c>
      <c r="AY2229" s="2" t="str">
        <f>IF($AV2229="","",IF(AND($Z2229=0,COUNTIF('AR SALES'!$L$2:$L$2501,$L2229)=0),"YES",""))</f>
        <v/>
      </c>
      <c r="AZ2229" s="2" t="str">
        <f>IF($AV2229="","",IF(COUNTIF(LISTS!$C$2:$C$250,$AU2229)=0,"NEW",""))</f>
        <v/>
      </c>
      <c r="BA2229" s="2" t="str">
        <f>IF(""&amp;$F2229&lt;&gt;"4","",IF($AY2229="YES","",IF(ROUND(SUMIFS($AE$2:$AE$4001,$L$2:$L$4001,$L2229,$F$2:$F$4001,"4")-SUMIFS('AR SALES'!$Y$2:$Y$2501,'AR SALES'!$L$2:$L$2501,$L2229,'AR SALES'!$AD$2:$AD$2501,"OFF"),2)=0,"","STALE")))</f>
        <v/>
      </c>
      <c r="BB2229" s="2" t="str">
        <f>IF(OR(""&amp;$F2229="2",""&amp;$F2229="4",""&amp;$F2229="G",""&amp;$F2229="H"),IF($AY2229="YES","",IF($AB2229&lt;&gt;0,"",IF(COUNTIFS('AR SALES'!$L$2:$L$2501,$L2229,'AR SALES'!$AD$2:$AD$2501,IF(""&amp;$F2229="4","OFF","ON"),'AR SALES'!$AF$2:$AF$2501,"Y")&gt;0,"","NO EXEMPTION"))),"")</f>
        <v/>
      </c>
    </row>
    <row r="2230" spans="46:54" x14ac:dyDescent="0.25">
      <c r="AT2230" s="2" t="str">
        <f>IF($L2230="","",IFERROR(INDEX('AR SALES'!$H$2:$H$2501,MATCH(""&amp;$L2230,'AR SALES'!$AE$2:$AE$2501,0)),""))</f>
        <v/>
      </c>
      <c r="AU2230" s="2" t="str">
        <f t="shared" si="136"/>
        <v/>
      </c>
      <c r="AV2230" s="2" t="str">
        <f t="shared" si="137"/>
        <v/>
      </c>
      <c r="AW2230" s="2" t="str">
        <f t="shared" si="138"/>
        <v/>
      </c>
      <c r="AX2230" s="2" t="str">
        <f t="shared" si="139"/>
        <v/>
      </c>
      <c r="AY2230" s="2" t="str">
        <f>IF($AV2230="","",IF(AND($Z2230=0,COUNTIF('AR SALES'!$L$2:$L$2501,$L2230)=0),"YES",""))</f>
        <v/>
      </c>
      <c r="AZ2230" s="2" t="str">
        <f>IF($AV2230="","",IF(COUNTIF(LISTS!$C$2:$C$250,$AU2230)=0,"NEW",""))</f>
        <v/>
      </c>
      <c r="BA2230" s="2" t="str">
        <f>IF(""&amp;$F2230&lt;&gt;"4","",IF($AY2230="YES","",IF(ROUND(SUMIFS($AE$2:$AE$4001,$L$2:$L$4001,$L2230,$F$2:$F$4001,"4")-SUMIFS('AR SALES'!$Y$2:$Y$2501,'AR SALES'!$L$2:$L$2501,$L2230,'AR SALES'!$AD$2:$AD$2501,"OFF"),2)=0,"","STALE")))</f>
        <v/>
      </c>
      <c r="BB2230" s="2" t="str">
        <f>IF(OR(""&amp;$F2230="2",""&amp;$F2230="4",""&amp;$F2230="G",""&amp;$F2230="H"),IF($AY2230="YES","",IF($AB2230&lt;&gt;0,"",IF(COUNTIFS('AR SALES'!$L$2:$L$2501,$L2230,'AR SALES'!$AD$2:$AD$2501,IF(""&amp;$F2230="4","OFF","ON"),'AR SALES'!$AF$2:$AF$2501,"Y")&gt;0,"","NO EXEMPTION"))),"")</f>
        <v/>
      </c>
    </row>
    <row r="2231" spans="46:54" x14ac:dyDescent="0.25">
      <c r="AT2231" s="2" t="str">
        <f>IF($L2231="","",IFERROR(INDEX('AR SALES'!$H$2:$H$2501,MATCH(""&amp;$L2231,'AR SALES'!$AE$2:$AE$2501,0)),""))</f>
        <v/>
      </c>
      <c r="AU2231" s="2" t="str">
        <f t="shared" si="136"/>
        <v/>
      </c>
      <c r="AV2231" s="2" t="str">
        <f t="shared" si="137"/>
        <v/>
      </c>
      <c r="AW2231" s="2" t="str">
        <f t="shared" si="138"/>
        <v/>
      </c>
      <c r="AX2231" s="2" t="str">
        <f t="shared" si="139"/>
        <v/>
      </c>
      <c r="AY2231" s="2" t="str">
        <f>IF($AV2231="","",IF(AND($Z2231=0,COUNTIF('AR SALES'!$L$2:$L$2501,$L2231)=0),"YES",""))</f>
        <v/>
      </c>
      <c r="AZ2231" s="2" t="str">
        <f>IF($AV2231="","",IF(COUNTIF(LISTS!$C$2:$C$250,$AU2231)=0,"NEW",""))</f>
        <v/>
      </c>
      <c r="BA2231" s="2" t="str">
        <f>IF(""&amp;$F2231&lt;&gt;"4","",IF($AY2231="YES","",IF(ROUND(SUMIFS($AE$2:$AE$4001,$L$2:$L$4001,$L2231,$F$2:$F$4001,"4")-SUMIFS('AR SALES'!$Y$2:$Y$2501,'AR SALES'!$L$2:$L$2501,$L2231,'AR SALES'!$AD$2:$AD$2501,"OFF"),2)=0,"","STALE")))</f>
        <v/>
      </c>
      <c r="BB2231" s="2" t="str">
        <f>IF(OR(""&amp;$F2231="2",""&amp;$F2231="4",""&amp;$F2231="G",""&amp;$F2231="H"),IF($AY2231="YES","",IF($AB2231&lt;&gt;0,"",IF(COUNTIFS('AR SALES'!$L$2:$L$2501,$L2231,'AR SALES'!$AD$2:$AD$2501,IF(""&amp;$F2231="4","OFF","ON"),'AR SALES'!$AF$2:$AF$2501,"Y")&gt;0,"","NO EXEMPTION"))),"")</f>
        <v/>
      </c>
    </row>
    <row r="2232" spans="46:54" x14ac:dyDescent="0.25">
      <c r="AT2232" s="2" t="str">
        <f>IF($L2232="","",IFERROR(INDEX('AR SALES'!$H$2:$H$2501,MATCH(""&amp;$L2232,'AR SALES'!$AE$2:$AE$2501,0)),""))</f>
        <v/>
      </c>
      <c r="AU2232" s="2" t="str">
        <f t="shared" si="136"/>
        <v/>
      </c>
      <c r="AV2232" s="2" t="str">
        <f t="shared" si="137"/>
        <v/>
      </c>
      <c r="AW2232" s="2" t="str">
        <f t="shared" si="138"/>
        <v/>
      </c>
      <c r="AX2232" s="2" t="str">
        <f t="shared" si="139"/>
        <v/>
      </c>
      <c r="AY2232" s="2" t="str">
        <f>IF($AV2232="","",IF(AND($Z2232=0,COUNTIF('AR SALES'!$L$2:$L$2501,$L2232)=0),"YES",""))</f>
        <v/>
      </c>
      <c r="AZ2232" s="2" t="str">
        <f>IF($AV2232="","",IF(COUNTIF(LISTS!$C$2:$C$250,$AU2232)=0,"NEW",""))</f>
        <v/>
      </c>
      <c r="BA2232" s="2" t="str">
        <f>IF(""&amp;$F2232&lt;&gt;"4","",IF($AY2232="YES","",IF(ROUND(SUMIFS($AE$2:$AE$4001,$L$2:$L$4001,$L2232,$F$2:$F$4001,"4")-SUMIFS('AR SALES'!$Y$2:$Y$2501,'AR SALES'!$L$2:$L$2501,$L2232,'AR SALES'!$AD$2:$AD$2501,"OFF"),2)=0,"","STALE")))</f>
        <v/>
      </c>
      <c r="BB2232" s="2" t="str">
        <f>IF(OR(""&amp;$F2232="2",""&amp;$F2232="4",""&amp;$F2232="G",""&amp;$F2232="H"),IF($AY2232="YES","",IF($AB2232&lt;&gt;0,"",IF(COUNTIFS('AR SALES'!$L$2:$L$2501,$L2232,'AR SALES'!$AD$2:$AD$2501,IF(""&amp;$F2232="4","OFF","ON"),'AR SALES'!$AF$2:$AF$2501,"Y")&gt;0,"","NO EXEMPTION"))),"")</f>
        <v/>
      </c>
    </row>
    <row r="2233" spans="46:54" x14ac:dyDescent="0.25">
      <c r="AT2233" s="2" t="str">
        <f>IF($L2233="","",IFERROR(INDEX('AR SALES'!$H$2:$H$2501,MATCH(""&amp;$L2233,'AR SALES'!$AE$2:$AE$2501,0)),""))</f>
        <v/>
      </c>
      <c r="AU2233" s="2" t="str">
        <f t="shared" si="136"/>
        <v/>
      </c>
      <c r="AV2233" s="2" t="str">
        <f t="shared" si="137"/>
        <v/>
      </c>
      <c r="AW2233" s="2" t="str">
        <f t="shared" si="138"/>
        <v/>
      </c>
      <c r="AX2233" s="2" t="str">
        <f t="shared" si="139"/>
        <v/>
      </c>
      <c r="AY2233" s="2" t="str">
        <f>IF($AV2233="","",IF(AND($Z2233=0,COUNTIF('AR SALES'!$L$2:$L$2501,$L2233)=0),"YES",""))</f>
        <v/>
      </c>
      <c r="AZ2233" s="2" t="str">
        <f>IF($AV2233="","",IF(COUNTIF(LISTS!$C$2:$C$250,$AU2233)=0,"NEW",""))</f>
        <v/>
      </c>
      <c r="BA2233" s="2" t="str">
        <f>IF(""&amp;$F2233&lt;&gt;"4","",IF($AY2233="YES","",IF(ROUND(SUMIFS($AE$2:$AE$4001,$L$2:$L$4001,$L2233,$F$2:$F$4001,"4")-SUMIFS('AR SALES'!$Y$2:$Y$2501,'AR SALES'!$L$2:$L$2501,$L2233,'AR SALES'!$AD$2:$AD$2501,"OFF"),2)=0,"","STALE")))</f>
        <v/>
      </c>
      <c r="BB2233" s="2" t="str">
        <f>IF(OR(""&amp;$F2233="2",""&amp;$F2233="4",""&amp;$F2233="G",""&amp;$F2233="H"),IF($AY2233="YES","",IF($AB2233&lt;&gt;0,"",IF(COUNTIFS('AR SALES'!$L$2:$L$2501,$L2233,'AR SALES'!$AD$2:$AD$2501,IF(""&amp;$F2233="4","OFF","ON"),'AR SALES'!$AF$2:$AF$2501,"Y")&gt;0,"","NO EXEMPTION"))),"")</f>
        <v/>
      </c>
    </row>
    <row r="2234" spans="46:54" x14ac:dyDescent="0.25">
      <c r="AT2234" s="2" t="str">
        <f>IF($L2234="","",IFERROR(INDEX('AR SALES'!$H$2:$H$2501,MATCH(""&amp;$L2234,'AR SALES'!$AE$2:$AE$2501,0)),""))</f>
        <v/>
      </c>
      <c r="AU2234" s="2" t="str">
        <f t="shared" si="136"/>
        <v/>
      </c>
      <c r="AV2234" s="2" t="str">
        <f t="shared" si="137"/>
        <v/>
      </c>
      <c r="AW2234" s="2" t="str">
        <f t="shared" si="138"/>
        <v/>
      </c>
      <c r="AX2234" s="2" t="str">
        <f t="shared" si="139"/>
        <v/>
      </c>
      <c r="AY2234" s="2" t="str">
        <f>IF($AV2234="","",IF(AND($Z2234=0,COUNTIF('AR SALES'!$L$2:$L$2501,$L2234)=0),"YES",""))</f>
        <v/>
      </c>
      <c r="AZ2234" s="2" t="str">
        <f>IF($AV2234="","",IF(COUNTIF(LISTS!$C$2:$C$250,$AU2234)=0,"NEW",""))</f>
        <v/>
      </c>
      <c r="BA2234" s="2" t="str">
        <f>IF(""&amp;$F2234&lt;&gt;"4","",IF($AY2234="YES","",IF(ROUND(SUMIFS($AE$2:$AE$4001,$L$2:$L$4001,$L2234,$F$2:$F$4001,"4")-SUMIFS('AR SALES'!$Y$2:$Y$2501,'AR SALES'!$L$2:$L$2501,$L2234,'AR SALES'!$AD$2:$AD$2501,"OFF"),2)=0,"","STALE")))</f>
        <v/>
      </c>
      <c r="BB2234" s="2" t="str">
        <f>IF(OR(""&amp;$F2234="2",""&amp;$F2234="4",""&amp;$F2234="G",""&amp;$F2234="H"),IF($AY2234="YES","",IF($AB2234&lt;&gt;0,"",IF(COUNTIFS('AR SALES'!$L$2:$L$2501,$L2234,'AR SALES'!$AD$2:$AD$2501,IF(""&amp;$F2234="4","OFF","ON"),'AR SALES'!$AF$2:$AF$2501,"Y")&gt;0,"","NO EXEMPTION"))),"")</f>
        <v/>
      </c>
    </row>
    <row r="2235" spans="46:54" x14ac:dyDescent="0.25">
      <c r="AT2235" s="2" t="str">
        <f>IF($L2235="","",IFERROR(INDEX('AR SALES'!$H$2:$H$2501,MATCH(""&amp;$L2235,'AR SALES'!$AE$2:$AE$2501,0)),""))</f>
        <v/>
      </c>
      <c r="AU2235" s="2" t="str">
        <f t="shared" si="136"/>
        <v/>
      </c>
      <c r="AV2235" s="2" t="str">
        <f t="shared" si="137"/>
        <v/>
      </c>
      <c r="AW2235" s="2" t="str">
        <f t="shared" si="138"/>
        <v/>
      </c>
      <c r="AX2235" s="2" t="str">
        <f t="shared" si="139"/>
        <v/>
      </c>
      <c r="AY2235" s="2" t="str">
        <f>IF($AV2235="","",IF(AND($Z2235=0,COUNTIF('AR SALES'!$L$2:$L$2501,$L2235)=0),"YES",""))</f>
        <v/>
      </c>
      <c r="AZ2235" s="2" t="str">
        <f>IF($AV2235="","",IF(COUNTIF(LISTS!$C$2:$C$250,$AU2235)=0,"NEW",""))</f>
        <v/>
      </c>
      <c r="BA2235" s="2" t="str">
        <f>IF(""&amp;$F2235&lt;&gt;"4","",IF($AY2235="YES","",IF(ROUND(SUMIFS($AE$2:$AE$4001,$L$2:$L$4001,$L2235,$F$2:$F$4001,"4")-SUMIFS('AR SALES'!$Y$2:$Y$2501,'AR SALES'!$L$2:$L$2501,$L2235,'AR SALES'!$AD$2:$AD$2501,"OFF"),2)=0,"","STALE")))</f>
        <v/>
      </c>
      <c r="BB2235" s="2" t="str">
        <f>IF(OR(""&amp;$F2235="2",""&amp;$F2235="4",""&amp;$F2235="G",""&amp;$F2235="H"),IF($AY2235="YES","",IF($AB2235&lt;&gt;0,"",IF(COUNTIFS('AR SALES'!$L$2:$L$2501,$L2235,'AR SALES'!$AD$2:$AD$2501,IF(""&amp;$F2235="4","OFF","ON"),'AR SALES'!$AF$2:$AF$2501,"Y")&gt;0,"","NO EXEMPTION"))),"")</f>
        <v/>
      </c>
    </row>
    <row r="2236" spans="46:54" x14ac:dyDescent="0.25">
      <c r="AT2236" s="2" t="str">
        <f>IF($L2236="","",IFERROR(INDEX('AR SALES'!$H$2:$H$2501,MATCH(""&amp;$L2236,'AR SALES'!$AE$2:$AE$2501,0)),""))</f>
        <v/>
      </c>
      <c r="AU2236" s="2" t="str">
        <f t="shared" si="136"/>
        <v/>
      </c>
      <c r="AV2236" s="2" t="str">
        <f t="shared" si="137"/>
        <v/>
      </c>
      <c r="AW2236" s="2" t="str">
        <f t="shared" si="138"/>
        <v/>
      </c>
      <c r="AX2236" s="2" t="str">
        <f t="shared" si="139"/>
        <v/>
      </c>
      <c r="AY2236" s="2" t="str">
        <f>IF($AV2236="","",IF(AND($Z2236=0,COUNTIF('AR SALES'!$L$2:$L$2501,$L2236)=0),"YES",""))</f>
        <v/>
      </c>
      <c r="AZ2236" s="2" t="str">
        <f>IF($AV2236="","",IF(COUNTIF(LISTS!$C$2:$C$250,$AU2236)=0,"NEW",""))</f>
        <v/>
      </c>
      <c r="BA2236" s="2" t="str">
        <f>IF(""&amp;$F2236&lt;&gt;"4","",IF($AY2236="YES","",IF(ROUND(SUMIFS($AE$2:$AE$4001,$L$2:$L$4001,$L2236,$F$2:$F$4001,"4")-SUMIFS('AR SALES'!$Y$2:$Y$2501,'AR SALES'!$L$2:$L$2501,$L2236,'AR SALES'!$AD$2:$AD$2501,"OFF"),2)=0,"","STALE")))</f>
        <v/>
      </c>
      <c r="BB2236" s="2" t="str">
        <f>IF(OR(""&amp;$F2236="2",""&amp;$F2236="4",""&amp;$F2236="G",""&amp;$F2236="H"),IF($AY2236="YES","",IF($AB2236&lt;&gt;0,"",IF(COUNTIFS('AR SALES'!$L$2:$L$2501,$L2236,'AR SALES'!$AD$2:$AD$2501,IF(""&amp;$F2236="4","OFF","ON"),'AR SALES'!$AF$2:$AF$2501,"Y")&gt;0,"","NO EXEMPTION"))),"")</f>
        <v/>
      </c>
    </row>
    <row r="2237" spans="46:54" x14ac:dyDescent="0.25">
      <c r="AT2237" s="2" t="str">
        <f>IF($L2237="","",IFERROR(INDEX('AR SALES'!$H$2:$H$2501,MATCH(""&amp;$L2237,'AR SALES'!$AE$2:$AE$2501,0)),""))</f>
        <v/>
      </c>
      <c r="AU2237" s="2" t="str">
        <f t="shared" si="136"/>
        <v/>
      </c>
      <c r="AV2237" s="2" t="str">
        <f t="shared" si="137"/>
        <v/>
      </c>
      <c r="AW2237" s="2" t="str">
        <f t="shared" si="138"/>
        <v/>
      </c>
      <c r="AX2237" s="2" t="str">
        <f t="shared" si="139"/>
        <v/>
      </c>
      <c r="AY2237" s="2" t="str">
        <f>IF($AV2237="","",IF(AND($Z2237=0,COUNTIF('AR SALES'!$L$2:$L$2501,$L2237)=0),"YES",""))</f>
        <v/>
      </c>
      <c r="AZ2237" s="2" t="str">
        <f>IF($AV2237="","",IF(COUNTIF(LISTS!$C$2:$C$250,$AU2237)=0,"NEW",""))</f>
        <v/>
      </c>
      <c r="BA2237" s="2" t="str">
        <f>IF(""&amp;$F2237&lt;&gt;"4","",IF($AY2237="YES","",IF(ROUND(SUMIFS($AE$2:$AE$4001,$L$2:$L$4001,$L2237,$F$2:$F$4001,"4")-SUMIFS('AR SALES'!$Y$2:$Y$2501,'AR SALES'!$L$2:$L$2501,$L2237,'AR SALES'!$AD$2:$AD$2501,"OFF"),2)=0,"","STALE")))</f>
        <v/>
      </c>
      <c r="BB2237" s="2" t="str">
        <f>IF(OR(""&amp;$F2237="2",""&amp;$F2237="4",""&amp;$F2237="G",""&amp;$F2237="H"),IF($AY2237="YES","",IF($AB2237&lt;&gt;0,"",IF(COUNTIFS('AR SALES'!$L$2:$L$2501,$L2237,'AR SALES'!$AD$2:$AD$2501,IF(""&amp;$F2237="4","OFF","ON"),'AR SALES'!$AF$2:$AF$2501,"Y")&gt;0,"","NO EXEMPTION"))),"")</f>
        <v/>
      </c>
    </row>
    <row r="2238" spans="46:54" x14ac:dyDescent="0.25">
      <c r="AT2238" s="2" t="str">
        <f>IF($L2238="","",IFERROR(INDEX('AR SALES'!$H$2:$H$2501,MATCH(""&amp;$L2238,'AR SALES'!$AE$2:$AE$2501,0)),""))</f>
        <v/>
      </c>
      <c r="AU2238" s="2" t="str">
        <f t="shared" si="136"/>
        <v/>
      </c>
      <c r="AV2238" s="2" t="str">
        <f t="shared" si="137"/>
        <v/>
      </c>
      <c r="AW2238" s="2" t="str">
        <f t="shared" si="138"/>
        <v/>
      </c>
      <c r="AX2238" s="2" t="str">
        <f t="shared" si="139"/>
        <v/>
      </c>
      <c r="AY2238" s="2" t="str">
        <f>IF($AV2238="","",IF(AND($Z2238=0,COUNTIF('AR SALES'!$L$2:$L$2501,$L2238)=0),"YES",""))</f>
        <v/>
      </c>
      <c r="AZ2238" s="2" t="str">
        <f>IF($AV2238="","",IF(COUNTIF(LISTS!$C$2:$C$250,$AU2238)=0,"NEW",""))</f>
        <v/>
      </c>
      <c r="BA2238" s="2" t="str">
        <f>IF(""&amp;$F2238&lt;&gt;"4","",IF($AY2238="YES","",IF(ROUND(SUMIFS($AE$2:$AE$4001,$L$2:$L$4001,$L2238,$F$2:$F$4001,"4")-SUMIFS('AR SALES'!$Y$2:$Y$2501,'AR SALES'!$L$2:$L$2501,$L2238,'AR SALES'!$AD$2:$AD$2501,"OFF"),2)=0,"","STALE")))</f>
        <v/>
      </c>
      <c r="BB2238" s="2" t="str">
        <f>IF(OR(""&amp;$F2238="2",""&amp;$F2238="4",""&amp;$F2238="G",""&amp;$F2238="H"),IF($AY2238="YES","",IF($AB2238&lt;&gt;0,"",IF(COUNTIFS('AR SALES'!$L$2:$L$2501,$L2238,'AR SALES'!$AD$2:$AD$2501,IF(""&amp;$F2238="4","OFF","ON"),'AR SALES'!$AF$2:$AF$2501,"Y")&gt;0,"","NO EXEMPTION"))),"")</f>
        <v/>
      </c>
    </row>
    <row r="2239" spans="46:54" x14ac:dyDescent="0.25">
      <c r="AT2239" s="2" t="str">
        <f>IF($L2239="","",IFERROR(INDEX('AR SALES'!$H$2:$H$2501,MATCH(""&amp;$L2239,'AR SALES'!$AE$2:$AE$2501,0)),""))</f>
        <v/>
      </c>
      <c r="AU2239" s="2" t="str">
        <f t="shared" si="136"/>
        <v/>
      </c>
      <c r="AV2239" s="2" t="str">
        <f t="shared" si="137"/>
        <v/>
      </c>
      <c r="AW2239" s="2" t="str">
        <f t="shared" si="138"/>
        <v/>
      </c>
      <c r="AX2239" s="2" t="str">
        <f t="shared" si="139"/>
        <v/>
      </c>
      <c r="AY2239" s="2" t="str">
        <f>IF($AV2239="","",IF(AND($Z2239=0,COUNTIF('AR SALES'!$L$2:$L$2501,$L2239)=0),"YES",""))</f>
        <v/>
      </c>
      <c r="AZ2239" s="2" t="str">
        <f>IF($AV2239="","",IF(COUNTIF(LISTS!$C$2:$C$250,$AU2239)=0,"NEW",""))</f>
        <v/>
      </c>
      <c r="BA2239" s="2" t="str">
        <f>IF(""&amp;$F2239&lt;&gt;"4","",IF($AY2239="YES","",IF(ROUND(SUMIFS($AE$2:$AE$4001,$L$2:$L$4001,$L2239,$F$2:$F$4001,"4")-SUMIFS('AR SALES'!$Y$2:$Y$2501,'AR SALES'!$L$2:$L$2501,$L2239,'AR SALES'!$AD$2:$AD$2501,"OFF"),2)=0,"","STALE")))</f>
        <v/>
      </c>
      <c r="BB2239" s="2" t="str">
        <f>IF(OR(""&amp;$F2239="2",""&amp;$F2239="4",""&amp;$F2239="G",""&amp;$F2239="H"),IF($AY2239="YES","",IF($AB2239&lt;&gt;0,"",IF(COUNTIFS('AR SALES'!$L$2:$L$2501,$L2239,'AR SALES'!$AD$2:$AD$2501,IF(""&amp;$F2239="4","OFF","ON"),'AR SALES'!$AF$2:$AF$2501,"Y")&gt;0,"","NO EXEMPTION"))),"")</f>
        <v/>
      </c>
    </row>
    <row r="2240" spans="46:54" x14ac:dyDescent="0.25">
      <c r="AT2240" s="2" t="str">
        <f>IF($L2240="","",IFERROR(INDEX('AR SALES'!$H$2:$H$2501,MATCH(""&amp;$L2240,'AR SALES'!$AE$2:$AE$2501,0)),""))</f>
        <v/>
      </c>
      <c r="AU2240" s="2" t="str">
        <f t="shared" si="136"/>
        <v/>
      </c>
      <c r="AV2240" s="2" t="str">
        <f t="shared" si="137"/>
        <v/>
      </c>
      <c r="AW2240" s="2" t="str">
        <f t="shared" si="138"/>
        <v/>
      </c>
      <c r="AX2240" s="2" t="str">
        <f t="shared" si="139"/>
        <v/>
      </c>
      <c r="AY2240" s="2" t="str">
        <f>IF($AV2240="","",IF(AND($Z2240=0,COUNTIF('AR SALES'!$L$2:$L$2501,$L2240)=0),"YES",""))</f>
        <v/>
      </c>
      <c r="AZ2240" s="2" t="str">
        <f>IF($AV2240="","",IF(COUNTIF(LISTS!$C$2:$C$250,$AU2240)=0,"NEW",""))</f>
        <v/>
      </c>
      <c r="BA2240" s="2" t="str">
        <f>IF(""&amp;$F2240&lt;&gt;"4","",IF($AY2240="YES","",IF(ROUND(SUMIFS($AE$2:$AE$4001,$L$2:$L$4001,$L2240,$F$2:$F$4001,"4")-SUMIFS('AR SALES'!$Y$2:$Y$2501,'AR SALES'!$L$2:$L$2501,$L2240,'AR SALES'!$AD$2:$AD$2501,"OFF"),2)=0,"","STALE")))</f>
        <v/>
      </c>
      <c r="BB2240" s="2" t="str">
        <f>IF(OR(""&amp;$F2240="2",""&amp;$F2240="4",""&amp;$F2240="G",""&amp;$F2240="H"),IF($AY2240="YES","",IF($AB2240&lt;&gt;0,"",IF(COUNTIFS('AR SALES'!$L$2:$L$2501,$L2240,'AR SALES'!$AD$2:$AD$2501,IF(""&amp;$F2240="4","OFF","ON"),'AR SALES'!$AF$2:$AF$2501,"Y")&gt;0,"","NO EXEMPTION"))),"")</f>
        <v/>
      </c>
    </row>
    <row r="2241" spans="46:54" x14ac:dyDescent="0.25">
      <c r="AT2241" s="2" t="str">
        <f>IF($L2241="","",IFERROR(INDEX('AR SALES'!$H$2:$H$2501,MATCH(""&amp;$L2241,'AR SALES'!$AE$2:$AE$2501,0)),""))</f>
        <v/>
      </c>
      <c r="AU2241" s="2" t="str">
        <f t="shared" si="136"/>
        <v/>
      </c>
      <c r="AV2241" s="2" t="str">
        <f t="shared" si="137"/>
        <v/>
      </c>
      <c r="AW2241" s="2" t="str">
        <f t="shared" si="138"/>
        <v/>
      </c>
      <c r="AX2241" s="2" t="str">
        <f t="shared" si="139"/>
        <v/>
      </c>
      <c r="AY2241" s="2" t="str">
        <f>IF($AV2241="","",IF(AND($Z2241=0,COUNTIF('AR SALES'!$L$2:$L$2501,$L2241)=0),"YES",""))</f>
        <v/>
      </c>
      <c r="AZ2241" s="2" t="str">
        <f>IF($AV2241="","",IF(COUNTIF(LISTS!$C$2:$C$250,$AU2241)=0,"NEW",""))</f>
        <v/>
      </c>
      <c r="BA2241" s="2" t="str">
        <f>IF(""&amp;$F2241&lt;&gt;"4","",IF($AY2241="YES","",IF(ROUND(SUMIFS($AE$2:$AE$4001,$L$2:$L$4001,$L2241,$F$2:$F$4001,"4")-SUMIFS('AR SALES'!$Y$2:$Y$2501,'AR SALES'!$L$2:$L$2501,$L2241,'AR SALES'!$AD$2:$AD$2501,"OFF"),2)=0,"","STALE")))</f>
        <v/>
      </c>
      <c r="BB2241" s="2" t="str">
        <f>IF(OR(""&amp;$F2241="2",""&amp;$F2241="4",""&amp;$F2241="G",""&amp;$F2241="H"),IF($AY2241="YES","",IF($AB2241&lt;&gt;0,"",IF(COUNTIFS('AR SALES'!$L$2:$L$2501,$L2241,'AR SALES'!$AD$2:$AD$2501,IF(""&amp;$F2241="4","OFF","ON"),'AR SALES'!$AF$2:$AF$2501,"Y")&gt;0,"","NO EXEMPTION"))),"")</f>
        <v/>
      </c>
    </row>
    <row r="2242" spans="46:54" x14ac:dyDescent="0.25">
      <c r="AT2242" s="2" t="str">
        <f>IF($L2242="","",IFERROR(INDEX('AR SALES'!$H$2:$H$2501,MATCH(""&amp;$L2242,'AR SALES'!$AE$2:$AE$2501,0)),""))</f>
        <v/>
      </c>
      <c r="AU2242" s="2" t="str">
        <f t="shared" ref="AU2242:AU2305" si="140">IF($L2242="","",IF($A2242&lt;&gt;"GA","",IF($E2242="FULTON",IF(ISNUMBER(SEARCH("COLLEGE PARK",$AT2242)),"FULTON (COLLEGE PARK)",IF(ISNUMBER(SEARCH("ATLANTA CITY",$AT2242)),"FULTON (ATL LIMITS)","FULTON")),IF($E2242="DEKALB",IF(ISNUMBER(SEARCH("ATLANTA CITY",$AT2242)),"DEKALB (ATL LIMITS)","DEKALB"),$E2242))))</f>
        <v/>
      </c>
      <c r="AV2242" s="2" t="str">
        <f t="shared" ref="AV2242:AV2305" si="141">IF($L2242="","",IF(""&amp;$F2242="2","DIESEL",IF(OR(""&amp;$F2242="G",""&amp;$F2242="H"),"GAS","")))</f>
        <v/>
      </c>
      <c r="AW2242" s="2" t="str">
        <f t="shared" ref="AW2242:AW2305" si="142">IF($AV2242="","",$R2242)</f>
        <v/>
      </c>
      <c r="AX2242" s="2" t="str">
        <f t="shared" ref="AX2242:AX2305" si="143">IF($AV2242="","",IF($AB2242=0,$R2242,0))</f>
        <v/>
      </c>
      <c r="AY2242" s="2" t="str">
        <f>IF($AV2242="","",IF(AND($Z2242=0,COUNTIF('AR SALES'!$L$2:$L$2501,$L2242)=0),"YES",""))</f>
        <v/>
      </c>
      <c r="AZ2242" s="2" t="str">
        <f>IF($AV2242="","",IF(COUNTIF(LISTS!$C$2:$C$250,$AU2242)=0,"NEW",""))</f>
        <v/>
      </c>
      <c r="BA2242" s="2" t="str">
        <f>IF(""&amp;$F2242&lt;&gt;"4","",IF($AY2242="YES","",IF(ROUND(SUMIFS($AE$2:$AE$4001,$L$2:$L$4001,$L2242,$F$2:$F$4001,"4")-SUMIFS('AR SALES'!$Y$2:$Y$2501,'AR SALES'!$L$2:$L$2501,$L2242,'AR SALES'!$AD$2:$AD$2501,"OFF"),2)=0,"","STALE")))</f>
        <v/>
      </c>
      <c r="BB2242" s="2" t="str">
        <f>IF(OR(""&amp;$F2242="2",""&amp;$F2242="4",""&amp;$F2242="G",""&amp;$F2242="H"),IF($AY2242="YES","",IF($AB2242&lt;&gt;0,"",IF(COUNTIFS('AR SALES'!$L$2:$L$2501,$L2242,'AR SALES'!$AD$2:$AD$2501,IF(""&amp;$F2242="4","OFF","ON"),'AR SALES'!$AF$2:$AF$2501,"Y")&gt;0,"","NO EXEMPTION"))),"")</f>
        <v/>
      </c>
    </row>
    <row r="2243" spans="46:54" x14ac:dyDescent="0.25">
      <c r="AT2243" s="2" t="str">
        <f>IF($L2243="","",IFERROR(INDEX('AR SALES'!$H$2:$H$2501,MATCH(""&amp;$L2243,'AR SALES'!$AE$2:$AE$2501,0)),""))</f>
        <v/>
      </c>
      <c r="AU2243" s="2" t="str">
        <f t="shared" si="140"/>
        <v/>
      </c>
      <c r="AV2243" s="2" t="str">
        <f t="shared" si="141"/>
        <v/>
      </c>
      <c r="AW2243" s="2" t="str">
        <f t="shared" si="142"/>
        <v/>
      </c>
      <c r="AX2243" s="2" t="str">
        <f t="shared" si="143"/>
        <v/>
      </c>
      <c r="AY2243" s="2" t="str">
        <f>IF($AV2243="","",IF(AND($Z2243=0,COUNTIF('AR SALES'!$L$2:$L$2501,$L2243)=0),"YES",""))</f>
        <v/>
      </c>
      <c r="AZ2243" s="2" t="str">
        <f>IF($AV2243="","",IF(COUNTIF(LISTS!$C$2:$C$250,$AU2243)=0,"NEW",""))</f>
        <v/>
      </c>
      <c r="BA2243" s="2" t="str">
        <f>IF(""&amp;$F2243&lt;&gt;"4","",IF($AY2243="YES","",IF(ROUND(SUMIFS($AE$2:$AE$4001,$L$2:$L$4001,$L2243,$F$2:$F$4001,"4")-SUMIFS('AR SALES'!$Y$2:$Y$2501,'AR SALES'!$L$2:$L$2501,$L2243,'AR SALES'!$AD$2:$AD$2501,"OFF"),2)=0,"","STALE")))</f>
        <v/>
      </c>
      <c r="BB2243" s="2" t="str">
        <f>IF(OR(""&amp;$F2243="2",""&amp;$F2243="4",""&amp;$F2243="G",""&amp;$F2243="H"),IF($AY2243="YES","",IF($AB2243&lt;&gt;0,"",IF(COUNTIFS('AR SALES'!$L$2:$L$2501,$L2243,'AR SALES'!$AD$2:$AD$2501,IF(""&amp;$F2243="4","OFF","ON"),'AR SALES'!$AF$2:$AF$2501,"Y")&gt;0,"","NO EXEMPTION"))),"")</f>
        <v/>
      </c>
    </row>
    <row r="2244" spans="46:54" x14ac:dyDescent="0.25">
      <c r="AT2244" s="2" t="str">
        <f>IF($L2244="","",IFERROR(INDEX('AR SALES'!$H$2:$H$2501,MATCH(""&amp;$L2244,'AR SALES'!$AE$2:$AE$2501,0)),""))</f>
        <v/>
      </c>
      <c r="AU2244" s="2" t="str">
        <f t="shared" si="140"/>
        <v/>
      </c>
      <c r="AV2244" s="2" t="str">
        <f t="shared" si="141"/>
        <v/>
      </c>
      <c r="AW2244" s="2" t="str">
        <f t="shared" si="142"/>
        <v/>
      </c>
      <c r="AX2244" s="2" t="str">
        <f t="shared" si="143"/>
        <v/>
      </c>
      <c r="AY2244" s="2" t="str">
        <f>IF($AV2244="","",IF(AND($Z2244=0,COUNTIF('AR SALES'!$L$2:$L$2501,$L2244)=0),"YES",""))</f>
        <v/>
      </c>
      <c r="AZ2244" s="2" t="str">
        <f>IF($AV2244="","",IF(COUNTIF(LISTS!$C$2:$C$250,$AU2244)=0,"NEW",""))</f>
        <v/>
      </c>
      <c r="BA2244" s="2" t="str">
        <f>IF(""&amp;$F2244&lt;&gt;"4","",IF($AY2244="YES","",IF(ROUND(SUMIFS($AE$2:$AE$4001,$L$2:$L$4001,$L2244,$F$2:$F$4001,"4")-SUMIFS('AR SALES'!$Y$2:$Y$2501,'AR SALES'!$L$2:$L$2501,$L2244,'AR SALES'!$AD$2:$AD$2501,"OFF"),2)=0,"","STALE")))</f>
        <v/>
      </c>
      <c r="BB2244" s="2" t="str">
        <f>IF(OR(""&amp;$F2244="2",""&amp;$F2244="4",""&amp;$F2244="G",""&amp;$F2244="H"),IF($AY2244="YES","",IF($AB2244&lt;&gt;0,"",IF(COUNTIFS('AR SALES'!$L$2:$L$2501,$L2244,'AR SALES'!$AD$2:$AD$2501,IF(""&amp;$F2244="4","OFF","ON"),'AR SALES'!$AF$2:$AF$2501,"Y")&gt;0,"","NO EXEMPTION"))),"")</f>
        <v/>
      </c>
    </row>
    <row r="2245" spans="46:54" x14ac:dyDescent="0.25">
      <c r="AT2245" s="2" t="str">
        <f>IF($L2245="","",IFERROR(INDEX('AR SALES'!$H$2:$H$2501,MATCH(""&amp;$L2245,'AR SALES'!$AE$2:$AE$2501,0)),""))</f>
        <v/>
      </c>
      <c r="AU2245" s="2" t="str">
        <f t="shared" si="140"/>
        <v/>
      </c>
      <c r="AV2245" s="2" t="str">
        <f t="shared" si="141"/>
        <v/>
      </c>
      <c r="AW2245" s="2" t="str">
        <f t="shared" si="142"/>
        <v/>
      </c>
      <c r="AX2245" s="2" t="str">
        <f t="shared" si="143"/>
        <v/>
      </c>
      <c r="AY2245" s="2" t="str">
        <f>IF($AV2245="","",IF(AND($Z2245=0,COUNTIF('AR SALES'!$L$2:$L$2501,$L2245)=0),"YES",""))</f>
        <v/>
      </c>
      <c r="AZ2245" s="2" t="str">
        <f>IF($AV2245="","",IF(COUNTIF(LISTS!$C$2:$C$250,$AU2245)=0,"NEW",""))</f>
        <v/>
      </c>
      <c r="BA2245" s="2" t="str">
        <f>IF(""&amp;$F2245&lt;&gt;"4","",IF($AY2245="YES","",IF(ROUND(SUMIFS($AE$2:$AE$4001,$L$2:$L$4001,$L2245,$F$2:$F$4001,"4")-SUMIFS('AR SALES'!$Y$2:$Y$2501,'AR SALES'!$L$2:$L$2501,$L2245,'AR SALES'!$AD$2:$AD$2501,"OFF"),2)=0,"","STALE")))</f>
        <v/>
      </c>
      <c r="BB2245" s="2" t="str">
        <f>IF(OR(""&amp;$F2245="2",""&amp;$F2245="4",""&amp;$F2245="G",""&amp;$F2245="H"),IF($AY2245="YES","",IF($AB2245&lt;&gt;0,"",IF(COUNTIFS('AR SALES'!$L$2:$L$2501,$L2245,'AR SALES'!$AD$2:$AD$2501,IF(""&amp;$F2245="4","OFF","ON"),'AR SALES'!$AF$2:$AF$2501,"Y")&gt;0,"","NO EXEMPTION"))),"")</f>
        <v/>
      </c>
    </row>
    <row r="2246" spans="46:54" x14ac:dyDescent="0.25">
      <c r="AT2246" s="2" t="str">
        <f>IF($L2246="","",IFERROR(INDEX('AR SALES'!$H$2:$H$2501,MATCH(""&amp;$L2246,'AR SALES'!$AE$2:$AE$2501,0)),""))</f>
        <v/>
      </c>
      <c r="AU2246" s="2" t="str">
        <f t="shared" si="140"/>
        <v/>
      </c>
      <c r="AV2246" s="2" t="str">
        <f t="shared" si="141"/>
        <v/>
      </c>
      <c r="AW2246" s="2" t="str">
        <f t="shared" si="142"/>
        <v/>
      </c>
      <c r="AX2246" s="2" t="str">
        <f t="shared" si="143"/>
        <v/>
      </c>
      <c r="AY2246" s="2" t="str">
        <f>IF($AV2246="","",IF(AND($Z2246=0,COUNTIF('AR SALES'!$L$2:$L$2501,$L2246)=0),"YES",""))</f>
        <v/>
      </c>
      <c r="AZ2246" s="2" t="str">
        <f>IF($AV2246="","",IF(COUNTIF(LISTS!$C$2:$C$250,$AU2246)=0,"NEW",""))</f>
        <v/>
      </c>
      <c r="BA2246" s="2" t="str">
        <f>IF(""&amp;$F2246&lt;&gt;"4","",IF($AY2246="YES","",IF(ROUND(SUMIFS($AE$2:$AE$4001,$L$2:$L$4001,$L2246,$F$2:$F$4001,"4")-SUMIFS('AR SALES'!$Y$2:$Y$2501,'AR SALES'!$L$2:$L$2501,$L2246,'AR SALES'!$AD$2:$AD$2501,"OFF"),2)=0,"","STALE")))</f>
        <v/>
      </c>
      <c r="BB2246" s="2" t="str">
        <f>IF(OR(""&amp;$F2246="2",""&amp;$F2246="4",""&amp;$F2246="G",""&amp;$F2246="H"),IF($AY2246="YES","",IF($AB2246&lt;&gt;0,"",IF(COUNTIFS('AR SALES'!$L$2:$L$2501,$L2246,'AR SALES'!$AD$2:$AD$2501,IF(""&amp;$F2246="4","OFF","ON"),'AR SALES'!$AF$2:$AF$2501,"Y")&gt;0,"","NO EXEMPTION"))),"")</f>
        <v/>
      </c>
    </row>
    <row r="2247" spans="46:54" x14ac:dyDescent="0.25">
      <c r="AT2247" s="2" t="str">
        <f>IF($L2247="","",IFERROR(INDEX('AR SALES'!$H$2:$H$2501,MATCH(""&amp;$L2247,'AR SALES'!$AE$2:$AE$2501,0)),""))</f>
        <v/>
      </c>
      <c r="AU2247" s="2" t="str">
        <f t="shared" si="140"/>
        <v/>
      </c>
      <c r="AV2247" s="2" t="str">
        <f t="shared" si="141"/>
        <v/>
      </c>
      <c r="AW2247" s="2" t="str">
        <f t="shared" si="142"/>
        <v/>
      </c>
      <c r="AX2247" s="2" t="str">
        <f t="shared" si="143"/>
        <v/>
      </c>
      <c r="AY2247" s="2" t="str">
        <f>IF($AV2247="","",IF(AND($Z2247=0,COUNTIF('AR SALES'!$L$2:$L$2501,$L2247)=0),"YES",""))</f>
        <v/>
      </c>
      <c r="AZ2247" s="2" t="str">
        <f>IF($AV2247="","",IF(COUNTIF(LISTS!$C$2:$C$250,$AU2247)=0,"NEW",""))</f>
        <v/>
      </c>
      <c r="BA2247" s="2" t="str">
        <f>IF(""&amp;$F2247&lt;&gt;"4","",IF($AY2247="YES","",IF(ROUND(SUMIFS($AE$2:$AE$4001,$L$2:$L$4001,$L2247,$F$2:$F$4001,"4")-SUMIFS('AR SALES'!$Y$2:$Y$2501,'AR SALES'!$L$2:$L$2501,$L2247,'AR SALES'!$AD$2:$AD$2501,"OFF"),2)=0,"","STALE")))</f>
        <v/>
      </c>
      <c r="BB2247" s="2" t="str">
        <f>IF(OR(""&amp;$F2247="2",""&amp;$F2247="4",""&amp;$F2247="G",""&amp;$F2247="H"),IF($AY2247="YES","",IF($AB2247&lt;&gt;0,"",IF(COUNTIFS('AR SALES'!$L$2:$L$2501,$L2247,'AR SALES'!$AD$2:$AD$2501,IF(""&amp;$F2247="4","OFF","ON"),'AR SALES'!$AF$2:$AF$2501,"Y")&gt;0,"","NO EXEMPTION"))),"")</f>
        <v/>
      </c>
    </row>
    <row r="2248" spans="46:54" x14ac:dyDescent="0.25">
      <c r="AT2248" s="2" t="str">
        <f>IF($L2248="","",IFERROR(INDEX('AR SALES'!$H$2:$H$2501,MATCH(""&amp;$L2248,'AR SALES'!$AE$2:$AE$2501,0)),""))</f>
        <v/>
      </c>
      <c r="AU2248" s="2" t="str">
        <f t="shared" si="140"/>
        <v/>
      </c>
      <c r="AV2248" s="2" t="str">
        <f t="shared" si="141"/>
        <v/>
      </c>
      <c r="AW2248" s="2" t="str">
        <f t="shared" si="142"/>
        <v/>
      </c>
      <c r="AX2248" s="2" t="str">
        <f t="shared" si="143"/>
        <v/>
      </c>
      <c r="AY2248" s="2" t="str">
        <f>IF($AV2248="","",IF(AND($Z2248=0,COUNTIF('AR SALES'!$L$2:$L$2501,$L2248)=0),"YES",""))</f>
        <v/>
      </c>
      <c r="AZ2248" s="2" t="str">
        <f>IF($AV2248="","",IF(COUNTIF(LISTS!$C$2:$C$250,$AU2248)=0,"NEW",""))</f>
        <v/>
      </c>
      <c r="BA2248" s="2" t="str">
        <f>IF(""&amp;$F2248&lt;&gt;"4","",IF($AY2248="YES","",IF(ROUND(SUMIFS($AE$2:$AE$4001,$L$2:$L$4001,$L2248,$F$2:$F$4001,"4")-SUMIFS('AR SALES'!$Y$2:$Y$2501,'AR SALES'!$L$2:$L$2501,$L2248,'AR SALES'!$AD$2:$AD$2501,"OFF"),2)=0,"","STALE")))</f>
        <v/>
      </c>
      <c r="BB2248" s="2" t="str">
        <f>IF(OR(""&amp;$F2248="2",""&amp;$F2248="4",""&amp;$F2248="G",""&amp;$F2248="H"),IF($AY2248="YES","",IF($AB2248&lt;&gt;0,"",IF(COUNTIFS('AR SALES'!$L$2:$L$2501,$L2248,'AR SALES'!$AD$2:$AD$2501,IF(""&amp;$F2248="4","OFF","ON"),'AR SALES'!$AF$2:$AF$2501,"Y")&gt;0,"","NO EXEMPTION"))),"")</f>
        <v/>
      </c>
    </row>
    <row r="2249" spans="46:54" x14ac:dyDescent="0.25">
      <c r="AT2249" s="2" t="str">
        <f>IF($L2249="","",IFERROR(INDEX('AR SALES'!$H$2:$H$2501,MATCH(""&amp;$L2249,'AR SALES'!$AE$2:$AE$2501,0)),""))</f>
        <v/>
      </c>
      <c r="AU2249" s="2" t="str">
        <f t="shared" si="140"/>
        <v/>
      </c>
      <c r="AV2249" s="2" t="str">
        <f t="shared" si="141"/>
        <v/>
      </c>
      <c r="AW2249" s="2" t="str">
        <f t="shared" si="142"/>
        <v/>
      </c>
      <c r="AX2249" s="2" t="str">
        <f t="shared" si="143"/>
        <v/>
      </c>
      <c r="AY2249" s="2" t="str">
        <f>IF($AV2249="","",IF(AND($Z2249=0,COUNTIF('AR SALES'!$L$2:$L$2501,$L2249)=0),"YES",""))</f>
        <v/>
      </c>
      <c r="AZ2249" s="2" t="str">
        <f>IF($AV2249="","",IF(COUNTIF(LISTS!$C$2:$C$250,$AU2249)=0,"NEW",""))</f>
        <v/>
      </c>
      <c r="BA2249" s="2" t="str">
        <f>IF(""&amp;$F2249&lt;&gt;"4","",IF($AY2249="YES","",IF(ROUND(SUMIFS($AE$2:$AE$4001,$L$2:$L$4001,$L2249,$F$2:$F$4001,"4")-SUMIFS('AR SALES'!$Y$2:$Y$2501,'AR SALES'!$L$2:$L$2501,$L2249,'AR SALES'!$AD$2:$AD$2501,"OFF"),2)=0,"","STALE")))</f>
        <v/>
      </c>
      <c r="BB2249" s="2" t="str">
        <f>IF(OR(""&amp;$F2249="2",""&amp;$F2249="4",""&amp;$F2249="G",""&amp;$F2249="H"),IF($AY2249="YES","",IF($AB2249&lt;&gt;0,"",IF(COUNTIFS('AR SALES'!$L$2:$L$2501,$L2249,'AR SALES'!$AD$2:$AD$2501,IF(""&amp;$F2249="4","OFF","ON"),'AR SALES'!$AF$2:$AF$2501,"Y")&gt;0,"","NO EXEMPTION"))),"")</f>
        <v/>
      </c>
    </row>
    <row r="2250" spans="46:54" x14ac:dyDescent="0.25">
      <c r="AT2250" s="2" t="str">
        <f>IF($L2250="","",IFERROR(INDEX('AR SALES'!$H$2:$H$2501,MATCH(""&amp;$L2250,'AR SALES'!$AE$2:$AE$2501,0)),""))</f>
        <v/>
      </c>
      <c r="AU2250" s="2" t="str">
        <f t="shared" si="140"/>
        <v/>
      </c>
      <c r="AV2250" s="2" t="str">
        <f t="shared" si="141"/>
        <v/>
      </c>
      <c r="AW2250" s="2" t="str">
        <f t="shared" si="142"/>
        <v/>
      </c>
      <c r="AX2250" s="2" t="str">
        <f t="shared" si="143"/>
        <v/>
      </c>
      <c r="AY2250" s="2" t="str">
        <f>IF($AV2250="","",IF(AND($Z2250=0,COUNTIF('AR SALES'!$L$2:$L$2501,$L2250)=0),"YES",""))</f>
        <v/>
      </c>
      <c r="AZ2250" s="2" t="str">
        <f>IF($AV2250="","",IF(COUNTIF(LISTS!$C$2:$C$250,$AU2250)=0,"NEW",""))</f>
        <v/>
      </c>
      <c r="BA2250" s="2" t="str">
        <f>IF(""&amp;$F2250&lt;&gt;"4","",IF($AY2250="YES","",IF(ROUND(SUMIFS($AE$2:$AE$4001,$L$2:$L$4001,$L2250,$F$2:$F$4001,"4")-SUMIFS('AR SALES'!$Y$2:$Y$2501,'AR SALES'!$L$2:$L$2501,$L2250,'AR SALES'!$AD$2:$AD$2501,"OFF"),2)=0,"","STALE")))</f>
        <v/>
      </c>
      <c r="BB2250" s="2" t="str">
        <f>IF(OR(""&amp;$F2250="2",""&amp;$F2250="4",""&amp;$F2250="G",""&amp;$F2250="H"),IF($AY2250="YES","",IF($AB2250&lt;&gt;0,"",IF(COUNTIFS('AR SALES'!$L$2:$L$2501,$L2250,'AR SALES'!$AD$2:$AD$2501,IF(""&amp;$F2250="4","OFF","ON"),'AR SALES'!$AF$2:$AF$2501,"Y")&gt;0,"","NO EXEMPTION"))),"")</f>
        <v/>
      </c>
    </row>
    <row r="2251" spans="46:54" x14ac:dyDescent="0.25">
      <c r="AT2251" s="2" t="str">
        <f>IF($L2251="","",IFERROR(INDEX('AR SALES'!$H$2:$H$2501,MATCH(""&amp;$L2251,'AR SALES'!$AE$2:$AE$2501,0)),""))</f>
        <v/>
      </c>
      <c r="AU2251" s="2" t="str">
        <f t="shared" si="140"/>
        <v/>
      </c>
      <c r="AV2251" s="2" t="str">
        <f t="shared" si="141"/>
        <v/>
      </c>
      <c r="AW2251" s="2" t="str">
        <f t="shared" si="142"/>
        <v/>
      </c>
      <c r="AX2251" s="2" t="str">
        <f t="shared" si="143"/>
        <v/>
      </c>
      <c r="AY2251" s="2" t="str">
        <f>IF($AV2251="","",IF(AND($Z2251=0,COUNTIF('AR SALES'!$L$2:$L$2501,$L2251)=0),"YES",""))</f>
        <v/>
      </c>
      <c r="AZ2251" s="2" t="str">
        <f>IF($AV2251="","",IF(COUNTIF(LISTS!$C$2:$C$250,$AU2251)=0,"NEW",""))</f>
        <v/>
      </c>
      <c r="BA2251" s="2" t="str">
        <f>IF(""&amp;$F2251&lt;&gt;"4","",IF($AY2251="YES","",IF(ROUND(SUMIFS($AE$2:$AE$4001,$L$2:$L$4001,$L2251,$F$2:$F$4001,"4")-SUMIFS('AR SALES'!$Y$2:$Y$2501,'AR SALES'!$L$2:$L$2501,$L2251,'AR SALES'!$AD$2:$AD$2501,"OFF"),2)=0,"","STALE")))</f>
        <v/>
      </c>
      <c r="BB2251" s="2" t="str">
        <f>IF(OR(""&amp;$F2251="2",""&amp;$F2251="4",""&amp;$F2251="G",""&amp;$F2251="H"),IF($AY2251="YES","",IF($AB2251&lt;&gt;0,"",IF(COUNTIFS('AR SALES'!$L$2:$L$2501,$L2251,'AR SALES'!$AD$2:$AD$2501,IF(""&amp;$F2251="4","OFF","ON"),'AR SALES'!$AF$2:$AF$2501,"Y")&gt;0,"","NO EXEMPTION"))),"")</f>
        <v/>
      </c>
    </row>
    <row r="2252" spans="46:54" x14ac:dyDescent="0.25">
      <c r="AT2252" s="2" t="str">
        <f>IF($L2252="","",IFERROR(INDEX('AR SALES'!$H$2:$H$2501,MATCH(""&amp;$L2252,'AR SALES'!$AE$2:$AE$2501,0)),""))</f>
        <v/>
      </c>
      <c r="AU2252" s="2" t="str">
        <f t="shared" si="140"/>
        <v/>
      </c>
      <c r="AV2252" s="2" t="str">
        <f t="shared" si="141"/>
        <v/>
      </c>
      <c r="AW2252" s="2" t="str">
        <f t="shared" si="142"/>
        <v/>
      </c>
      <c r="AX2252" s="2" t="str">
        <f t="shared" si="143"/>
        <v/>
      </c>
      <c r="AY2252" s="2" t="str">
        <f>IF($AV2252="","",IF(AND($Z2252=0,COUNTIF('AR SALES'!$L$2:$L$2501,$L2252)=0),"YES",""))</f>
        <v/>
      </c>
      <c r="AZ2252" s="2" t="str">
        <f>IF($AV2252="","",IF(COUNTIF(LISTS!$C$2:$C$250,$AU2252)=0,"NEW",""))</f>
        <v/>
      </c>
      <c r="BA2252" s="2" t="str">
        <f>IF(""&amp;$F2252&lt;&gt;"4","",IF($AY2252="YES","",IF(ROUND(SUMIFS($AE$2:$AE$4001,$L$2:$L$4001,$L2252,$F$2:$F$4001,"4")-SUMIFS('AR SALES'!$Y$2:$Y$2501,'AR SALES'!$L$2:$L$2501,$L2252,'AR SALES'!$AD$2:$AD$2501,"OFF"),2)=0,"","STALE")))</f>
        <v/>
      </c>
      <c r="BB2252" s="2" t="str">
        <f>IF(OR(""&amp;$F2252="2",""&amp;$F2252="4",""&amp;$F2252="G",""&amp;$F2252="H"),IF($AY2252="YES","",IF($AB2252&lt;&gt;0,"",IF(COUNTIFS('AR SALES'!$L$2:$L$2501,$L2252,'AR SALES'!$AD$2:$AD$2501,IF(""&amp;$F2252="4","OFF","ON"),'AR SALES'!$AF$2:$AF$2501,"Y")&gt;0,"","NO EXEMPTION"))),"")</f>
        <v/>
      </c>
    </row>
    <row r="2253" spans="46:54" x14ac:dyDescent="0.25">
      <c r="AT2253" s="2" t="str">
        <f>IF($L2253="","",IFERROR(INDEX('AR SALES'!$H$2:$H$2501,MATCH(""&amp;$L2253,'AR SALES'!$AE$2:$AE$2501,0)),""))</f>
        <v/>
      </c>
      <c r="AU2253" s="2" t="str">
        <f t="shared" si="140"/>
        <v/>
      </c>
      <c r="AV2253" s="2" t="str">
        <f t="shared" si="141"/>
        <v/>
      </c>
      <c r="AW2253" s="2" t="str">
        <f t="shared" si="142"/>
        <v/>
      </c>
      <c r="AX2253" s="2" t="str">
        <f t="shared" si="143"/>
        <v/>
      </c>
      <c r="AY2253" s="2" t="str">
        <f>IF($AV2253="","",IF(AND($Z2253=0,COUNTIF('AR SALES'!$L$2:$L$2501,$L2253)=0),"YES",""))</f>
        <v/>
      </c>
      <c r="AZ2253" s="2" t="str">
        <f>IF($AV2253="","",IF(COUNTIF(LISTS!$C$2:$C$250,$AU2253)=0,"NEW",""))</f>
        <v/>
      </c>
      <c r="BA2253" s="2" t="str">
        <f>IF(""&amp;$F2253&lt;&gt;"4","",IF($AY2253="YES","",IF(ROUND(SUMIFS($AE$2:$AE$4001,$L$2:$L$4001,$L2253,$F$2:$F$4001,"4")-SUMIFS('AR SALES'!$Y$2:$Y$2501,'AR SALES'!$L$2:$L$2501,$L2253,'AR SALES'!$AD$2:$AD$2501,"OFF"),2)=0,"","STALE")))</f>
        <v/>
      </c>
      <c r="BB2253" s="2" t="str">
        <f>IF(OR(""&amp;$F2253="2",""&amp;$F2253="4",""&amp;$F2253="G",""&amp;$F2253="H"),IF($AY2253="YES","",IF($AB2253&lt;&gt;0,"",IF(COUNTIFS('AR SALES'!$L$2:$L$2501,$L2253,'AR SALES'!$AD$2:$AD$2501,IF(""&amp;$F2253="4","OFF","ON"),'AR SALES'!$AF$2:$AF$2501,"Y")&gt;0,"","NO EXEMPTION"))),"")</f>
        <v/>
      </c>
    </row>
    <row r="2254" spans="46:54" x14ac:dyDescent="0.25">
      <c r="AT2254" s="2" t="str">
        <f>IF($L2254="","",IFERROR(INDEX('AR SALES'!$H$2:$H$2501,MATCH(""&amp;$L2254,'AR SALES'!$AE$2:$AE$2501,0)),""))</f>
        <v/>
      </c>
      <c r="AU2254" s="2" t="str">
        <f t="shared" si="140"/>
        <v/>
      </c>
      <c r="AV2254" s="2" t="str">
        <f t="shared" si="141"/>
        <v/>
      </c>
      <c r="AW2254" s="2" t="str">
        <f t="shared" si="142"/>
        <v/>
      </c>
      <c r="AX2254" s="2" t="str">
        <f t="shared" si="143"/>
        <v/>
      </c>
      <c r="AY2254" s="2" t="str">
        <f>IF($AV2254="","",IF(AND($Z2254=0,COUNTIF('AR SALES'!$L$2:$L$2501,$L2254)=0),"YES",""))</f>
        <v/>
      </c>
      <c r="AZ2254" s="2" t="str">
        <f>IF($AV2254="","",IF(COUNTIF(LISTS!$C$2:$C$250,$AU2254)=0,"NEW",""))</f>
        <v/>
      </c>
      <c r="BA2254" s="2" t="str">
        <f>IF(""&amp;$F2254&lt;&gt;"4","",IF($AY2254="YES","",IF(ROUND(SUMIFS($AE$2:$AE$4001,$L$2:$L$4001,$L2254,$F$2:$F$4001,"4")-SUMIFS('AR SALES'!$Y$2:$Y$2501,'AR SALES'!$L$2:$L$2501,$L2254,'AR SALES'!$AD$2:$AD$2501,"OFF"),2)=0,"","STALE")))</f>
        <v/>
      </c>
      <c r="BB2254" s="2" t="str">
        <f>IF(OR(""&amp;$F2254="2",""&amp;$F2254="4",""&amp;$F2254="G",""&amp;$F2254="H"),IF($AY2254="YES","",IF($AB2254&lt;&gt;0,"",IF(COUNTIFS('AR SALES'!$L$2:$L$2501,$L2254,'AR SALES'!$AD$2:$AD$2501,IF(""&amp;$F2254="4","OFF","ON"),'AR SALES'!$AF$2:$AF$2501,"Y")&gt;0,"","NO EXEMPTION"))),"")</f>
        <v/>
      </c>
    </row>
    <row r="2255" spans="46:54" x14ac:dyDescent="0.25">
      <c r="AT2255" s="2" t="str">
        <f>IF($L2255="","",IFERROR(INDEX('AR SALES'!$H$2:$H$2501,MATCH(""&amp;$L2255,'AR SALES'!$AE$2:$AE$2501,0)),""))</f>
        <v/>
      </c>
      <c r="AU2255" s="2" t="str">
        <f t="shared" si="140"/>
        <v/>
      </c>
      <c r="AV2255" s="2" t="str">
        <f t="shared" si="141"/>
        <v/>
      </c>
      <c r="AW2255" s="2" t="str">
        <f t="shared" si="142"/>
        <v/>
      </c>
      <c r="AX2255" s="2" t="str">
        <f t="shared" si="143"/>
        <v/>
      </c>
      <c r="AY2255" s="2" t="str">
        <f>IF($AV2255="","",IF(AND($Z2255=0,COUNTIF('AR SALES'!$L$2:$L$2501,$L2255)=0),"YES",""))</f>
        <v/>
      </c>
      <c r="AZ2255" s="2" t="str">
        <f>IF($AV2255="","",IF(COUNTIF(LISTS!$C$2:$C$250,$AU2255)=0,"NEW",""))</f>
        <v/>
      </c>
      <c r="BA2255" s="2" t="str">
        <f>IF(""&amp;$F2255&lt;&gt;"4","",IF($AY2255="YES","",IF(ROUND(SUMIFS($AE$2:$AE$4001,$L$2:$L$4001,$L2255,$F$2:$F$4001,"4")-SUMIFS('AR SALES'!$Y$2:$Y$2501,'AR SALES'!$L$2:$L$2501,$L2255,'AR SALES'!$AD$2:$AD$2501,"OFF"),2)=0,"","STALE")))</f>
        <v/>
      </c>
      <c r="BB2255" s="2" t="str">
        <f>IF(OR(""&amp;$F2255="2",""&amp;$F2255="4",""&amp;$F2255="G",""&amp;$F2255="H"),IF($AY2255="YES","",IF($AB2255&lt;&gt;0,"",IF(COUNTIFS('AR SALES'!$L$2:$L$2501,$L2255,'AR SALES'!$AD$2:$AD$2501,IF(""&amp;$F2255="4","OFF","ON"),'AR SALES'!$AF$2:$AF$2501,"Y")&gt;0,"","NO EXEMPTION"))),"")</f>
        <v/>
      </c>
    </row>
    <row r="2256" spans="46:54" x14ac:dyDescent="0.25">
      <c r="AT2256" s="2" t="str">
        <f>IF($L2256="","",IFERROR(INDEX('AR SALES'!$H$2:$H$2501,MATCH(""&amp;$L2256,'AR SALES'!$AE$2:$AE$2501,0)),""))</f>
        <v/>
      </c>
      <c r="AU2256" s="2" t="str">
        <f t="shared" si="140"/>
        <v/>
      </c>
      <c r="AV2256" s="2" t="str">
        <f t="shared" si="141"/>
        <v/>
      </c>
      <c r="AW2256" s="2" t="str">
        <f t="shared" si="142"/>
        <v/>
      </c>
      <c r="AX2256" s="2" t="str">
        <f t="shared" si="143"/>
        <v/>
      </c>
      <c r="AY2256" s="2" t="str">
        <f>IF($AV2256="","",IF(AND($Z2256=0,COUNTIF('AR SALES'!$L$2:$L$2501,$L2256)=0),"YES",""))</f>
        <v/>
      </c>
      <c r="AZ2256" s="2" t="str">
        <f>IF($AV2256="","",IF(COUNTIF(LISTS!$C$2:$C$250,$AU2256)=0,"NEW",""))</f>
        <v/>
      </c>
      <c r="BA2256" s="2" t="str">
        <f>IF(""&amp;$F2256&lt;&gt;"4","",IF($AY2256="YES","",IF(ROUND(SUMIFS($AE$2:$AE$4001,$L$2:$L$4001,$L2256,$F$2:$F$4001,"4")-SUMIFS('AR SALES'!$Y$2:$Y$2501,'AR SALES'!$L$2:$L$2501,$L2256,'AR SALES'!$AD$2:$AD$2501,"OFF"),2)=0,"","STALE")))</f>
        <v/>
      </c>
      <c r="BB2256" s="2" t="str">
        <f>IF(OR(""&amp;$F2256="2",""&amp;$F2256="4",""&amp;$F2256="G",""&amp;$F2256="H"),IF($AY2256="YES","",IF($AB2256&lt;&gt;0,"",IF(COUNTIFS('AR SALES'!$L$2:$L$2501,$L2256,'AR SALES'!$AD$2:$AD$2501,IF(""&amp;$F2256="4","OFF","ON"),'AR SALES'!$AF$2:$AF$2501,"Y")&gt;0,"","NO EXEMPTION"))),"")</f>
        <v/>
      </c>
    </row>
    <row r="2257" spans="46:54" x14ac:dyDescent="0.25">
      <c r="AT2257" s="2" t="str">
        <f>IF($L2257="","",IFERROR(INDEX('AR SALES'!$H$2:$H$2501,MATCH(""&amp;$L2257,'AR SALES'!$AE$2:$AE$2501,0)),""))</f>
        <v/>
      </c>
      <c r="AU2257" s="2" t="str">
        <f t="shared" si="140"/>
        <v/>
      </c>
      <c r="AV2257" s="2" t="str">
        <f t="shared" si="141"/>
        <v/>
      </c>
      <c r="AW2257" s="2" t="str">
        <f t="shared" si="142"/>
        <v/>
      </c>
      <c r="AX2257" s="2" t="str">
        <f t="shared" si="143"/>
        <v/>
      </c>
      <c r="AY2257" s="2" t="str">
        <f>IF($AV2257="","",IF(AND($Z2257=0,COUNTIF('AR SALES'!$L$2:$L$2501,$L2257)=0),"YES",""))</f>
        <v/>
      </c>
      <c r="AZ2257" s="2" t="str">
        <f>IF($AV2257="","",IF(COUNTIF(LISTS!$C$2:$C$250,$AU2257)=0,"NEW",""))</f>
        <v/>
      </c>
      <c r="BA2257" s="2" t="str">
        <f>IF(""&amp;$F2257&lt;&gt;"4","",IF($AY2257="YES","",IF(ROUND(SUMIFS($AE$2:$AE$4001,$L$2:$L$4001,$L2257,$F$2:$F$4001,"4")-SUMIFS('AR SALES'!$Y$2:$Y$2501,'AR SALES'!$L$2:$L$2501,$L2257,'AR SALES'!$AD$2:$AD$2501,"OFF"),2)=0,"","STALE")))</f>
        <v/>
      </c>
      <c r="BB2257" s="2" t="str">
        <f>IF(OR(""&amp;$F2257="2",""&amp;$F2257="4",""&amp;$F2257="G",""&amp;$F2257="H"),IF($AY2257="YES","",IF($AB2257&lt;&gt;0,"",IF(COUNTIFS('AR SALES'!$L$2:$L$2501,$L2257,'AR SALES'!$AD$2:$AD$2501,IF(""&amp;$F2257="4","OFF","ON"),'AR SALES'!$AF$2:$AF$2501,"Y")&gt;0,"","NO EXEMPTION"))),"")</f>
        <v/>
      </c>
    </row>
    <row r="2258" spans="46:54" x14ac:dyDescent="0.25">
      <c r="AT2258" s="2" t="str">
        <f>IF($L2258="","",IFERROR(INDEX('AR SALES'!$H$2:$H$2501,MATCH(""&amp;$L2258,'AR SALES'!$AE$2:$AE$2501,0)),""))</f>
        <v/>
      </c>
      <c r="AU2258" s="2" t="str">
        <f t="shared" si="140"/>
        <v/>
      </c>
      <c r="AV2258" s="2" t="str">
        <f t="shared" si="141"/>
        <v/>
      </c>
      <c r="AW2258" s="2" t="str">
        <f t="shared" si="142"/>
        <v/>
      </c>
      <c r="AX2258" s="2" t="str">
        <f t="shared" si="143"/>
        <v/>
      </c>
      <c r="AY2258" s="2" t="str">
        <f>IF($AV2258="","",IF(AND($Z2258=0,COUNTIF('AR SALES'!$L$2:$L$2501,$L2258)=0),"YES",""))</f>
        <v/>
      </c>
      <c r="AZ2258" s="2" t="str">
        <f>IF($AV2258="","",IF(COUNTIF(LISTS!$C$2:$C$250,$AU2258)=0,"NEW",""))</f>
        <v/>
      </c>
      <c r="BA2258" s="2" t="str">
        <f>IF(""&amp;$F2258&lt;&gt;"4","",IF($AY2258="YES","",IF(ROUND(SUMIFS($AE$2:$AE$4001,$L$2:$L$4001,$L2258,$F$2:$F$4001,"4")-SUMIFS('AR SALES'!$Y$2:$Y$2501,'AR SALES'!$L$2:$L$2501,$L2258,'AR SALES'!$AD$2:$AD$2501,"OFF"),2)=0,"","STALE")))</f>
        <v/>
      </c>
      <c r="BB2258" s="2" t="str">
        <f>IF(OR(""&amp;$F2258="2",""&amp;$F2258="4",""&amp;$F2258="G",""&amp;$F2258="H"),IF($AY2258="YES","",IF($AB2258&lt;&gt;0,"",IF(COUNTIFS('AR SALES'!$L$2:$L$2501,$L2258,'AR SALES'!$AD$2:$AD$2501,IF(""&amp;$F2258="4","OFF","ON"),'AR SALES'!$AF$2:$AF$2501,"Y")&gt;0,"","NO EXEMPTION"))),"")</f>
        <v/>
      </c>
    </row>
    <row r="2259" spans="46:54" x14ac:dyDescent="0.25">
      <c r="AT2259" s="2" t="str">
        <f>IF($L2259="","",IFERROR(INDEX('AR SALES'!$H$2:$H$2501,MATCH(""&amp;$L2259,'AR SALES'!$AE$2:$AE$2501,0)),""))</f>
        <v/>
      </c>
      <c r="AU2259" s="2" t="str">
        <f t="shared" si="140"/>
        <v/>
      </c>
      <c r="AV2259" s="2" t="str">
        <f t="shared" si="141"/>
        <v/>
      </c>
      <c r="AW2259" s="2" t="str">
        <f t="shared" si="142"/>
        <v/>
      </c>
      <c r="AX2259" s="2" t="str">
        <f t="shared" si="143"/>
        <v/>
      </c>
      <c r="AY2259" s="2" t="str">
        <f>IF($AV2259="","",IF(AND($Z2259=0,COUNTIF('AR SALES'!$L$2:$L$2501,$L2259)=0),"YES",""))</f>
        <v/>
      </c>
      <c r="AZ2259" s="2" t="str">
        <f>IF($AV2259="","",IF(COUNTIF(LISTS!$C$2:$C$250,$AU2259)=0,"NEW",""))</f>
        <v/>
      </c>
      <c r="BA2259" s="2" t="str">
        <f>IF(""&amp;$F2259&lt;&gt;"4","",IF($AY2259="YES","",IF(ROUND(SUMIFS($AE$2:$AE$4001,$L$2:$L$4001,$L2259,$F$2:$F$4001,"4")-SUMIFS('AR SALES'!$Y$2:$Y$2501,'AR SALES'!$L$2:$L$2501,$L2259,'AR SALES'!$AD$2:$AD$2501,"OFF"),2)=0,"","STALE")))</f>
        <v/>
      </c>
      <c r="BB2259" s="2" t="str">
        <f>IF(OR(""&amp;$F2259="2",""&amp;$F2259="4",""&amp;$F2259="G",""&amp;$F2259="H"),IF($AY2259="YES","",IF($AB2259&lt;&gt;0,"",IF(COUNTIFS('AR SALES'!$L$2:$L$2501,$L2259,'AR SALES'!$AD$2:$AD$2501,IF(""&amp;$F2259="4","OFF","ON"),'AR SALES'!$AF$2:$AF$2501,"Y")&gt;0,"","NO EXEMPTION"))),"")</f>
        <v/>
      </c>
    </row>
    <row r="2260" spans="46:54" x14ac:dyDescent="0.25">
      <c r="AT2260" s="2" t="str">
        <f>IF($L2260="","",IFERROR(INDEX('AR SALES'!$H$2:$H$2501,MATCH(""&amp;$L2260,'AR SALES'!$AE$2:$AE$2501,0)),""))</f>
        <v/>
      </c>
      <c r="AU2260" s="2" t="str">
        <f t="shared" si="140"/>
        <v/>
      </c>
      <c r="AV2260" s="2" t="str">
        <f t="shared" si="141"/>
        <v/>
      </c>
      <c r="AW2260" s="2" t="str">
        <f t="shared" si="142"/>
        <v/>
      </c>
      <c r="AX2260" s="2" t="str">
        <f t="shared" si="143"/>
        <v/>
      </c>
      <c r="AY2260" s="2" t="str">
        <f>IF($AV2260="","",IF(AND($Z2260=0,COUNTIF('AR SALES'!$L$2:$L$2501,$L2260)=0),"YES",""))</f>
        <v/>
      </c>
      <c r="AZ2260" s="2" t="str">
        <f>IF($AV2260="","",IF(COUNTIF(LISTS!$C$2:$C$250,$AU2260)=0,"NEW",""))</f>
        <v/>
      </c>
      <c r="BA2260" s="2" t="str">
        <f>IF(""&amp;$F2260&lt;&gt;"4","",IF($AY2260="YES","",IF(ROUND(SUMIFS($AE$2:$AE$4001,$L$2:$L$4001,$L2260,$F$2:$F$4001,"4")-SUMIFS('AR SALES'!$Y$2:$Y$2501,'AR SALES'!$L$2:$L$2501,$L2260,'AR SALES'!$AD$2:$AD$2501,"OFF"),2)=0,"","STALE")))</f>
        <v/>
      </c>
      <c r="BB2260" s="2" t="str">
        <f>IF(OR(""&amp;$F2260="2",""&amp;$F2260="4",""&amp;$F2260="G",""&amp;$F2260="H"),IF($AY2260="YES","",IF($AB2260&lt;&gt;0,"",IF(COUNTIFS('AR SALES'!$L$2:$L$2501,$L2260,'AR SALES'!$AD$2:$AD$2501,IF(""&amp;$F2260="4","OFF","ON"),'AR SALES'!$AF$2:$AF$2501,"Y")&gt;0,"","NO EXEMPTION"))),"")</f>
        <v/>
      </c>
    </row>
    <row r="2261" spans="46:54" x14ac:dyDescent="0.25">
      <c r="AT2261" s="2" t="str">
        <f>IF($L2261="","",IFERROR(INDEX('AR SALES'!$H$2:$H$2501,MATCH(""&amp;$L2261,'AR SALES'!$AE$2:$AE$2501,0)),""))</f>
        <v/>
      </c>
      <c r="AU2261" s="2" t="str">
        <f t="shared" si="140"/>
        <v/>
      </c>
      <c r="AV2261" s="2" t="str">
        <f t="shared" si="141"/>
        <v/>
      </c>
      <c r="AW2261" s="2" t="str">
        <f t="shared" si="142"/>
        <v/>
      </c>
      <c r="AX2261" s="2" t="str">
        <f t="shared" si="143"/>
        <v/>
      </c>
      <c r="AY2261" s="2" t="str">
        <f>IF($AV2261="","",IF(AND($Z2261=0,COUNTIF('AR SALES'!$L$2:$L$2501,$L2261)=0),"YES",""))</f>
        <v/>
      </c>
      <c r="AZ2261" s="2" t="str">
        <f>IF($AV2261="","",IF(COUNTIF(LISTS!$C$2:$C$250,$AU2261)=0,"NEW",""))</f>
        <v/>
      </c>
      <c r="BA2261" s="2" t="str">
        <f>IF(""&amp;$F2261&lt;&gt;"4","",IF($AY2261="YES","",IF(ROUND(SUMIFS($AE$2:$AE$4001,$L$2:$L$4001,$L2261,$F$2:$F$4001,"4")-SUMIFS('AR SALES'!$Y$2:$Y$2501,'AR SALES'!$L$2:$L$2501,$L2261,'AR SALES'!$AD$2:$AD$2501,"OFF"),2)=0,"","STALE")))</f>
        <v/>
      </c>
      <c r="BB2261" s="2" t="str">
        <f>IF(OR(""&amp;$F2261="2",""&amp;$F2261="4",""&amp;$F2261="G",""&amp;$F2261="H"),IF($AY2261="YES","",IF($AB2261&lt;&gt;0,"",IF(COUNTIFS('AR SALES'!$L$2:$L$2501,$L2261,'AR SALES'!$AD$2:$AD$2501,IF(""&amp;$F2261="4","OFF","ON"),'AR SALES'!$AF$2:$AF$2501,"Y")&gt;0,"","NO EXEMPTION"))),"")</f>
        <v/>
      </c>
    </row>
    <row r="2262" spans="46:54" x14ac:dyDescent="0.25">
      <c r="AT2262" s="2" t="str">
        <f>IF($L2262="","",IFERROR(INDEX('AR SALES'!$H$2:$H$2501,MATCH(""&amp;$L2262,'AR SALES'!$AE$2:$AE$2501,0)),""))</f>
        <v/>
      </c>
      <c r="AU2262" s="2" t="str">
        <f t="shared" si="140"/>
        <v/>
      </c>
      <c r="AV2262" s="2" t="str">
        <f t="shared" si="141"/>
        <v/>
      </c>
      <c r="AW2262" s="2" t="str">
        <f t="shared" si="142"/>
        <v/>
      </c>
      <c r="AX2262" s="2" t="str">
        <f t="shared" si="143"/>
        <v/>
      </c>
      <c r="AY2262" s="2" t="str">
        <f>IF($AV2262="","",IF(AND($Z2262=0,COUNTIF('AR SALES'!$L$2:$L$2501,$L2262)=0),"YES",""))</f>
        <v/>
      </c>
      <c r="AZ2262" s="2" t="str">
        <f>IF($AV2262="","",IF(COUNTIF(LISTS!$C$2:$C$250,$AU2262)=0,"NEW",""))</f>
        <v/>
      </c>
      <c r="BA2262" s="2" t="str">
        <f>IF(""&amp;$F2262&lt;&gt;"4","",IF($AY2262="YES","",IF(ROUND(SUMIFS($AE$2:$AE$4001,$L$2:$L$4001,$L2262,$F$2:$F$4001,"4")-SUMIFS('AR SALES'!$Y$2:$Y$2501,'AR SALES'!$L$2:$L$2501,$L2262,'AR SALES'!$AD$2:$AD$2501,"OFF"),2)=0,"","STALE")))</f>
        <v/>
      </c>
      <c r="BB2262" s="2" t="str">
        <f>IF(OR(""&amp;$F2262="2",""&amp;$F2262="4",""&amp;$F2262="G",""&amp;$F2262="H"),IF($AY2262="YES","",IF($AB2262&lt;&gt;0,"",IF(COUNTIFS('AR SALES'!$L$2:$L$2501,$L2262,'AR SALES'!$AD$2:$AD$2501,IF(""&amp;$F2262="4","OFF","ON"),'AR SALES'!$AF$2:$AF$2501,"Y")&gt;0,"","NO EXEMPTION"))),"")</f>
        <v/>
      </c>
    </row>
    <row r="2263" spans="46:54" x14ac:dyDescent="0.25">
      <c r="AT2263" s="2" t="str">
        <f>IF($L2263="","",IFERROR(INDEX('AR SALES'!$H$2:$H$2501,MATCH(""&amp;$L2263,'AR SALES'!$AE$2:$AE$2501,0)),""))</f>
        <v/>
      </c>
      <c r="AU2263" s="2" t="str">
        <f t="shared" si="140"/>
        <v/>
      </c>
      <c r="AV2263" s="2" t="str">
        <f t="shared" si="141"/>
        <v/>
      </c>
      <c r="AW2263" s="2" t="str">
        <f t="shared" si="142"/>
        <v/>
      </c>
      <c r="AX2263" s="2" t="str">
        <f t="shared" si="143"/>
        <v/>
      </c>
      <c r="AY2263" s="2" t="str">
        <f>IF($AV2263="","",IF(AND($Z2263=0,COUNTIF('AR SALES'!$L$2:$L$2501,$L2263)=0),"YES",""))</f>
        <v/>
      </c>
      <c r="AZ2263" s="2" t="str">
        <f>IF($AV2263="","",IF(COUNTIF(LISTS!$C$2:$C$250,$AU2263)=0,"NEW",""))</f>
        <v/>
      </c>
      <c r="BA2263" s="2" t="str">
        <f>IF(""&amp;$F2263&lt;&gt;"4","",IF($AY2263="YES","",IF(ROUND(SUMIFS($AE$2:$AE$4001,$L$2:$L$4001,$L2263,$F$2:$F$4001,"4")-SUMIFS('AR SALES'!$Y$2:$Y$2501,'AR SALES'!$L$2:$L$2501,$L2263,'AR SALES'!$AD$2:$AD$2501,"OFF"),2)=0,"","STALE")))</f>
        <v/>
      </c>
      <c r="BB2263" s="2" t="str">
        <f>IF(OR(""&amp;$F2263="2",""&amp;$F2263="4",""&amp;$F2263="G",""&amp;$F2263="H"),IF($AY2263="YES","",IF($AB2263&lt;&gt;0,"",IF(COUNTIFS('AR SALES'!$L$2:$L$2501,$L2263,'AR SALES'!$AD$2:$AD$2501,IF(""&amp;$F2263="4","OFF","ON"),'AR SALES'!$AF$2:$AF$2501,"Y")&gt;0,"","NO EXEMPTION"))),"")</f>
        <v/>
      </c>
    </row>
    <row r="2264" spans="46:54" x14ac:dyDescent="0.25">
      <c r="AT2264" s="2" t="str">
        <f>IF($L2264="","",IFERROR(INDEX('AR SALES'!$H$2:$H$2501,MATCH(""&amp;$L2264,'AR SALES'!$AE$2:$AE$2501,0)),""))</f>
        <v/>
      </c>
      <c r="AU2264" s="2" t="str">
        <f t="shared" si="140"/>
        <v/>
      </c>
      <c r="AV2264" s="2" t="str">
        <f t="shared" si="141"/>
        <v/>
      </c>
      <c r="AW2264" s="2" t="str">
        <f t="shared" si="142"/>
        <v/>
      </c>
      <c r="AX2264" s="2" t="str">
        <f t="shared" si="143"/>
        <v/>
      </c>
      <c r="AY2264" s="2" t="str">
        <f>IF($AV2264="","",IF(AND($Z2264=0,COUNTIF('AR SALES'!$L$2:$L$2501,$L2264)=0),"YES",""))</f>
        <v/>
      </c>
      <c r="AZ2264" s="2" t="str">
        <f>IF($AV2264="","",IF(COUNTIF(LISTS!$C$2:$C$250,$AU2264)=0,"NEW",""))</f>
        <v/>
      </c>
      <c r="BA2264" s="2" t="str">
        <f>IF(""&amp;$F2264&lt;&gt;"4","",IF($AY2264="YES","",IF(ROUND(SUMIFS($AE$2:$AE$4001,$L$2:$L$4001,$L2264,$F$2:$F$4001,"4")-SUMIFS('AR SALES'!$Y$2:$Y$2501,'AR SALES'!$L$2:$L$2501,$L2264,'AR SALES'!$AD$2:$AD$2501,"OFF"),2)=0,"","STALE")))</f>
        <v/>
      </c>
      <c r="BB2264" s="2" t="str">
        <f>IF(OR(""&amp;$F2264="2",""&amp;$F2264="4",""&amp;$F2264="G",""&amp;$F2264="H"),IF($AY2264="YES","",IF($AB2264&lt;&gt;0,"",IF(COUNTIFS('AR SALES'!$L$2:$L$2501,$L2264,'AR SALES'!$AD$2:$AD$2501,IF(""&amp;$F2264="4","OFF","ON"),'AR SALES'!$AF$2:$AF$2501,"Y")&gt;0,"","NO EXEMPTION"))),"")</f>
        <v/>
      </c>
    </row>
    <row r="2265" spans="46:54" x14ac:dyDescent="0.25">
      <c r="AT2265" s="2" t="str">
        <f>IF($L2265="","",IFERROR(INDEX('AR SALES'!$H$2:$H$2501,MATCH(""&amp;$L2265,'AR SALES'!$AE$2:$AE$2501,0)),""))</f>
        <v/>
      </c>
      <c r="AU2265" s="2" t="str">
        <f t="shared" si="140"/>
        <v/>
      </c>
      <c r="AV2265" s="2" t="str">
        <f t="shared" si="141"/>
        <v/>
      </c>
      <c r="AW2265" s="2" t="str">
        <f t="shared" si="142"/>
        <v/>
      </c>
      <c r="AX2265" s="2" t="str">
        <f t="shared" si="143"/>
        <v/>
      </c>
      <c r="AY2265" s="2" t="str">
        <f>IF($AV2265="","",IF(AND($Z2265=0,COUNTIF('AR SALES'!$L$2:$L$2501,$L2265)=0),"YES",""))</f>
        <v/>
      </c>
      <c r="AZ2265" s="2" t="str">
        <f>IF($AV2265="","",IF(COUNTIF(LISTS!$C$2:$C$250,$AU2265)=0,"NEW",""))</f>
        <v/>
      </c>
      <c r="BA2265" s="2" t="str">
        <f>IF(""&amp;$F2265&lt;&gt;"4","",IF($AY2265="YES","",IF(ROUND(SUMIFS($AE$2:$AE$4001,$L$2:$L$4001,$L2265,$F$2:$F$4001,"4")-SUMIFS('AR SALES'!$Y$2:$Y$2501,'AR SALES'!$L$2:$L$2501,$L2265,'AR SALES'!$AD$2:$AD$2501,"OFF"),2)=0,"","STALE")))</f>
        <v/>
      </c>
      <c r="BB2265" s="2" t="str">
        <f>IF(OR(""&amp;$F2265="2",""&amp;$F2265="4",""&amp;$F2265="G",""&amp;$F2265="H"),IF($AY2265="YES","",IF($AB2265&lt;&gt;0,"",IF(COUNTIFS('AR SALES'!$L$2:$L$2501,$L2265,'AR SALES'!$AD$2:$AD$2501,IF(""&amp;$F2265="4","OFF","ON"),'AR SALES'!$AF$2:$AF$2501,"Y")&gt;0,"","NO EXEMPTION"))),"")</f>
        <v/>
      </c>
    </row>
    <row r="2266" spans="46:54" x14ac:dyDescent="0.25">
      <c r="AT2266" s="2" t="str">
        <f>IF($L2266="","",IFERROR(INDEX('AR SALES'!$H$2:$H$2501,MATCH(""&amp;$L2266,'AR SALES'!$AE$2:$AE$2501,0)),""))</f>
        <v/>
      </c>
      <c r="AU2266" s="2" t="str">
        <f t="shared" si="140"/>
        <v/>
      </c>
      <c r="AV2266" s="2" t="str">
        <f t="shared" si="141"/>
        <v/>
      </c>
      <c r="AW2266" s="2" t="str">
        <f t="shared" si="142"/>
        <v/>
      </c>
      <c r="AX2266" s="2" t="str">
        <f t="shared" si="143"/>
        <v/>
      </c>
      <c r="AY2266" s="2" t="str">
        <f>IF($AV2266="","",IF(AND($Z2266=0,COUNTIF('AR SALES'!$L$2:$L$2501,$L2266)=0),"YES",""))</f>
        <v/>
      </c>
      <c r="AZ2266" s="2" t="str">
        <f>IF($AV2266="","",IF(COUNTIF(LISTS!$C$2:$C$250,$AU2266)=0,"NEW",""))</f>
        <v/>
      </c>
      <c r="BA2266" s="2" t="str">
        <f>IF(""&amp;$F2266&lt;&gt;"4","",IF($AY2266="YES","",IF(ROUND(SUMIFS($AE$2:$AE$4001,$L$2:$L$4001,$L2266,$F$2:$F$4001,"4")-SUMIFS('AR SALES'!$Y$2:$Y$2501,'AR SALES'!$L$2:$L$2501,$L2266,'AR SALES'!$AD$2:$AD$2501,"OFF"),2)=0,"","STALE")))</f>
        <v/>
      </c>
      <c r="BB2266" s="2" t="str">
        <f>IF(OR(""&amp;$F2266="2",""&amp;$F2266="4",""&amp;$F2266="G",""&amp;$F2266="H"),IF($AY2266="YES","",IF($AB2266&lt;&gt;0,"",IF(COUNTIFS('AR SALES'!$L$2:$L$2501,$L2266,'AR SALES'!$AD$2:$AD$2501,IF(""&amp;$F2266="4","OFF","ON"),'AR SALES'!$AF$2:$AF$2501,"Y")&gt;0,"","NO EXEMPTION"))),"")</f>
        <v/>
      </c>
    </row>
    <row r="2267" spans="46:54" x14ac:dyDescent="0.25">
      <c r="AT2267" s="2" t="str">
        <f>IF($L2267="","",IFERROR(INDEX('AR SALES'!$H$2:$H$2501,MATCH(""&amp;$L2267,'AR SALES'!$AE$2:$AE$2501,0)),""))</f>
        <v/>
      </c>
      <c r="AU2267" s="2" t="str">
        <f t="shared" si="140"/>
        <v/>
      </c>
      <c r="AV2267" s="2" t="str">
        <f t="shared" si="141"/>
        <v/>
      </c>
      <c r="AW2267" s="2" t="str">
        <f t="shared" si="142"/>
        <v/>
      </c>
      <c r="AX2267" s="2" t="str">
        <f t="shared" si="143"/>
        <v/>
      </c>
      <c r="AY2267" s="2" t="str">
        <f>IF($AV2267="","",IF(AND($Z2267=0,COUNTIF('AR SALES'!$L$2:$L$2501,$L2267)=0),"YES",""))</f>
        <v/>
      </c>
      <c r="AZ2267" s="2" t="str">
        <f>IF($AV2267="","",IF(COUNTIF(LISTS!$C$2:$C$250,$AU2267)=0,"NEW",""))</f>
        <v/>
      </c>
      <c r="BA2267" s="2" t="str">
        <f>IF(""&amp;$F2267&lt;&gt;"4","",IF($AY2267="YES","",IF(ROUND(SUMIFS($AE$2:$AE$4001,$L$2:$L$4001,$L2267,$F$2:$F$4001,"4")-SUMIFS('AR SALES'!$Y$2:$Y$2501,'AR SALES'!$L$2:$L$2501,$L2267,'AR SALES'!$AD$2:$AD$2501,"OFF"),2)=0,"","STALE")))</f>
        <v/>
      </c>
      <c r="BB2267" s="2" t="str">
        <f>IF(OR(""&amp;$F2267="2",""&amp;$F2267="4",""&amp;$F2267="G",""&amp;$F2267="H"),IF($AY2267="YES","",IF($AB2267&lt;&gt;0,"",IF(COUNTIFS('AR SALES'!$L$2:$L$2501,$L2267,'AR SALES'!$AD$2:$AD$2501,IF(""&amp;$F2267="4","OFF","ON"),'AR SALES'!$AF$2:$AF$2501,"Y")&gt;0,"","NO EXEMPTION"))),"")</f>
        <v/>
      </c>
    </row>
    <row r="2268" spans="46:54" x14ac:dyDescent="0.25">
      <c r="AT2268" s="2" t="str">
        <f>IF($L2268="","",IFERROR(INDEX('AR SALES'!$H$2:$H$2501,MATCH(""&amp;$L2268,'AR SALES'!$AE$2:$AE$2501,0)),""))</f>
        <v/>
      </c>
      <c r="AU2268" s="2" t="str">
        <f t="shared" si="140"/>
        <v/>
      </c>
      <c r="AV2268" s="2" t="str">
        <f t="shared" si="141"/>
        <v/>
      </c>
      <c r="AW2268" s="2" t="str">
        <f t="shared" si="142"/>
        <v/>
      </c>
      <c r="AX2268" s="2" t="str">
        <f t="shared" si="143"/>
        <v/>
      </c>
      <c r="AY2268" s="2" t="str">
        <f>IF($AV2268="","",IF(AND($Z2268=0,COUNTIF('AR SALES'!$L$2:$L$2501,$L2268)=0),"YES",""))</f>
        <v/>
      </c>
      <c r="AZ2268" s="2" t="str">
        <f>IF($AV2268="","",IF(COUNTIF(LISTS!$C$2:$C$250,$AU2268)=0,"NEW",""))</f>
        <v/>
      </c>
      <c r="BA2268" s="2" t="str">
        <f>IF(""&amp;$F2268&lt;&gt;"4","",IF($AY2268="YES","",IF(ROUND(SUMIFS($AE$2:$AE$4001,$L$2:$L$4001,$L2268,$F$2:$F$4001,"4")-SUMIFS('AR SALES'!$Y$2:$Y$2501,'AR SALES'!$L$2:$L$2501,$L2268,'AR SALES'!$AD$2:$AD$2501,"OFF"),2)=0,"","STALE")))</f>
        <v/>
      </c>
      <c r="BB2268" s="2" t="str">
        <f>IF(OR(""&amp;$F2268="2",""&amp;$F2268="4",""&amp;$F2268="G",""&amp;$F2268="H"),IF($AY2268="YES","",IF($AB2268&lt;&gt;0,"",IF(COUNTIFS('AR SALES'!$L$2:$L$2501,$L2268,'AR SALES'!$AD$2:$AD$2501,IF(""&amp;$F2268="4","OFF","ON"),'AR SALES'!$AF$2:$AF$2501,"Y")&gt;0,"","NO EXEMPTION"))),"")</f>
        <v/>
      </c>
    </row>
    <row r="2269" spans="46:54" x14ac:dyDescent="0.25">
      <c r="AT2269" s="2" t="str">
        <f>IF($L2269="","",IFERROR(INDEX('AR SALES'!$H$2:$H$2501,MATCH(""&amp;$L2269,'AR SALES'!$AE$2:$AE$2501,0)),""))</f>
        <v/>
      </c>
      <c r="AU2269" s="2" t="str">
        <f t="shared" si="140"/>
        <v/>
      </c>
      <c r="AV2269" s="2" t="str">
        <f t="shared" si="141"/>
        <v/>
      </c>
      <c r="AW2269" s="2" t="str">
        <f t="shared" si="142"/>
        <v/>
      </c>
      <c r="AX2269" s="2" t="str">
        <f t="shared" si="143"/>
        <v/>
      </c>
      <c r="AY2269" s="2" t="str">
        <f>IF($AV2269="","",IF(AND($Z2269=0,COUNTIF('AR SALES'!$L$2:$L$2501,$L2269)=0),"YES",""))</f>
        <v/>
      </c>
      <c r="AZ2269" s="2" t="str">
        <f>IF($AV2269="","",IF(COUNTIF(LISTS!$C$2:$C$250,$AU2269)=0,"NEW",""))</f>
        <v/>
      </c>
      <c r="BA2269" s="2" t="str">
        <f>IF(""&amp;$F2269&lt;&gt;"4","",IF($AY2269="YES","",IF(ROUND(SUMIFS($AE$2:$AE$4001,$L$2:$L$4001,$L2269,$F$2:$F$4001,"4")-SUMIFS('AR SALES'!$Y$2:$Y$2501,'AR SALES'!$L$2:$L$2501,$L2269,'AR SALES'!$AD$2:$AD$2501,"OFF"),2)=0,"","STALE")))</f>
        <v/>
      </c>
      <c r="BB2269" s="2" t="str">
        <f>IF(OR(""&amp;$F2269="2",""&amp;$F2269="4",""&amp;$F2269="G",""&amp;$F2269="H"),IF($AY2269="YES","",IF($AB2269&lt;&gt;0,"",IF(COUNTIFS('AR SALES'!$L$2:$L$2501,$L2269,'AR SALES'!$AD$2:$AD$2501,IF(""&amp;$F2269="4","OFF","ON"),'AR SALES'!$AF$2:$AF$2501,"Y")&gt;0,"","NO EXEMPTION"))),"")</f>
        <v/>
      </c>
    </row>
    <row r="2270" spans="46:54" x14ac:dyDescent="0.25">
      <c r="AT2270" s="2" t="str">
        <f>IF($L2270="","",IFERROR(INDEX('AR SALES'!$H$2:$H$2501,MATCH(""&amp;$L2270,'AR SALES'!$AE$2:$AE$2501,0)),""))</f>
        <v/>
      </c>
      <c r="AU2270" s="2" t="str">
        <f t="shared" si="140"/>
        <v/>
      </c>
      <c r="AV2270" s="2" t="str">
        <f t="shared" si="141"/>
        <v/>
      </c>
      <c r="AW2270" s="2" t="str">
        <f t="shared" si="142"/>
        <v/>
      </c>
      <c r="AX2270" s="2" t="str">
        <f t="shared" si="143"/>
        <v/>
      </c>
      <c r="AY2270" s="2" t="str">
        <f>IF($AV2270="","",IF(AND($Z2270=0,COUNTIF('AR SALES'!$L$2:$L$2501,$L2270)=0),"YES",""))</f>
        <v/>
      </c>
      <c r="AZ2270" s="2" t="str">
        <f>IF($AV2270="","",IF(COUNTIF(LISTS!$C$2:$C$250,$AU2270)=0,"NEW",""))</f>
        <v/>
      </c>
      <c r="BA2270" s="2" t="str">
        <f>IF(""&amp;$F2270&lt;&gt;"4","",IF($AY2270="YES","",IF(ROUND(SUMIFS($AE$2:$AE$4001,$L$2:$L$4001,$L2270,$F$2:$F$4001,"4")-SUMIFS('AR SALES'!$Y$2:$Y$2501,'AR SALES'!$L$2:$L$2501,$L2270,'AR SALES'!$AD$2:$AD$2501,"OFF"),2)=0,"","STALE")))</f>
        <v/>
      </c>
      <c r="BB2270" s="2" t="str">
        <f>IF(OR(""&amp;$F2270="2",""&amp;$F2270="4",""&amp;$F2270="G",""&amp;$F2270="H"),IF($AY2270="YES","",IF($AB2270&lt;&gt;0,"",IF(COUNTIFS('AR SALES'!$L$2:$L$2501,$L2270,'AR SALES'!$AD$2:$AD$2501,IF(""&amp;$F2270="4","OFF","ON"),'AR SALES'!$AF$2:$AF$2501,"Y")&gt;0,"","NO EXEMPTION"))),"")</f>
        <v/>
      </c>
    </row>
    <row r="2271" spans="46:54" x14ac:dyDescent="0.25">
      <c r="AT2271" s="2" t="str">
        <f>IF($L2271="","",IFERROR(INDEX('AR SALES'!$H$2:$H$2501,MATCH(""&amp;$L2271,'AR SALES'!$AE$2:$AE$2501,0)),""))</f>
        <v/>
      </c>
      <c r="AU2271" s="2" t="str">
        <f t="shared" si="140"/>
        <v/>
      </c>
      <c r="AV2271" s="2" t="str">
        <f t="shared" si="141"/>
        <v/>
      </c>
      <c r="AW2271" s="2" t="str">
        <f t="shared" si="142"/>
        <v/>
      </c>
      <c r="AX2271" s="2" t="str">
        <f t="shared" si="143"/>
        <v/>
      </c>
      <c r="AY2271" s="2" t="str">
        <f>IF($AV2271="","",IF(AND($Z2271=0,COUNTIF('AR SALES'!$L$2:$L$2501,$L2271)=0),"YES",""))</f>
        <v/>
      </c>
      <c r="AZ2271" s="2" t="str">
        <f>IF($AV2271="","",IF(COUNTIF(LISTS!$C$2:$C$250,$AU2271)=0,"NEW",""))</f>
        <v/>
      </c>
      <c r="BA2271" s="2" t="str">
        <f>IF(""&amp;$F2271&lt;&gt;"4","",IF($AY2271="YES","",IF(ROUND(SUMIFS($AE$2:$AE$4001,$L$2:$L$4001,$L2271,$F$2:$F$4001,"4")-SUMIFS('AR SALES'!$Y$2:$Y$2501,'AR SALES'!$L$2:$L$2501,$L2271,'AR SALES'!$AD$2:$AD$2501,"OFF"),2)=0,"","STALE")))</f>
        <v/>
      </c>
      <c r="BB2271" s="2" t="str">
        <f>IF(OR(""&amp;$F2271="2",""&amp;$F2271="4",""&amp;$F2271="G",""&amp;$F2271="H"),IF($AY2271="YES","",IF($AB2271&lt;&gt;0,"",IF(COUNTIFS('AR SALES'!$L$2:$L$2501,$L2271,'AR SALES'!$AD$2:$AD$2501,IF(""&amp;$F2271="4","OFF","ON"),'AR SALES'!$AF$2:$AF$2501,"Y")&gt;0,"","NO EXEMPTION"))),"")</f>
        <v/>
      </c>
    </row>
    <row r="2272" spans="46:54" x14ac:dyDescent="0.25">
      <c r="AT2272" s="2" t="str">
        <f>IF($L2272="","",IFERROR(INDEX('AR SALES'!$H$2:$H$2501,MATCH(""&amp;$L2272,'AR SALES'!$AE$2:$AE$2501,0)),""))</f>
        <v/>
      </c>
      <c r="AU2272" s="2" t="str">
        <f t="shared" si="140"/>
        <v/>
      </c>
      <c r="AV2272" s="2" t="str">
        <f t="shared" si="141"/>
        <v/>
      </c>
      <c r="AW2272" s="2" t="str">
        <f t="shared" si="142"/>
        <v/>
      </c>
      <c r="AX2272" s="2" t="str">
        <f t="shared" si="143"/>
        <v/>
      </c>
      <c r="AY2272" s="2" t="str">
        <f>IF($AV2272="","",IF(AND($Z2272=0,COUNTIF('AR SALES'!$L$2:$L$2501,$L2272)=0),"YES",""))</f>
        <v/>
      </c>
      <c r="AZ2272" s="2" t="str">
        <f>IF($AV2272="","",IF(COUNTIF(LISTS!$C$2:$C$250,$AU2272)=0,"NEW",""))</f>
        <v/>
      </c>
      <c r="BA2272" s="2" t="str">
        <f>IF(""&amp;$F2272&lt;&gt;"4","",IF($AY2272="YES","",IF(ROUND(SUMIFS($AE$2:$AE$4001,$L$2:$L$4001,$L2272,$F$2:$F$4001,"4")-SUMIFS('AR SALES'!$Y$2:$Y$2501,'AR SALES'!$L$2:$L$2501,$L2272,'AR SALES'!$AD$2:$AD$2501,"OFF"),2)=0,"","STALE")))</f>
        <v/>
      </c>
      <c r="BB2272" s="2" t="str">
        <f>IF(OR(""&amp;$F2272="2",""&amp;$F2272="4",""&amp;$F2272="G",""&amp;$F2272="H"),IF($AY2272="YES","",IF($AB2272&lt;&gt;0,"",IF(COUNTIFS('AR SALES'!$L$2:$L$2501,$L2272,'AR SALES'!$AD$2:$AD$2501,IF(""&amp;$F2272="4","OFF","ON"),'AR SALES'!$AF$2:$AF$2501,"Y")&gt;0,"","NO EXEMPTION"))),"")</f>
        <v/>
      </c>
    </row>
    <row r="2273" spans="46:54" x14ac:dyDescent="0.25">
      <c r="AT2273" s="2" t="str">
        <f>IF($L2273="","",IFERROR(INDEX('AR SALES'!$H$2:$H$2501,MATCH(""&amp;$L2273,'AR SALES'!$AE$2:$AE$2501,0)),""))</f>
        <v/>
      </c>
      <c r="AU2273" s="2" t="str">
        <f t="shared" si="140"/>
        <v/>
      </c>
      <c r="AV2273" s="2" t="str">
        <f t="shared" si="141"/>
        <v/>
      </c>
      <c r="AW2273" s="2" t="str">
        <f t="shared" si="142"/>
        <v/>
      </c>
      <c r="AX2273" s="2" t="str">
        <f t="shared" si="143"/>
        <v/>
      </c>
      <c r="AY2273" s="2" t="str">
        <f>IF($AV2273="","",IF(AND($Z2273=0,COUNTIF('AR SALES'!$L$2:$L$2501,$L2273)=0),"YES",""))</f>
        <v/>
      </c>
      <c r="AZ2273" s="2" t="str">
        <f>IF($AV2273="","",IF(COUNTIF(LISTS!$C$2:$C$250,$AU2273)=0,"NEW",""))</f>
        <v/>
      </c>
      <c r="BA2273" s="2" t="str">
        <f>IF(""&amp;$F2273&lt;&gt;"4","",IF($AY2273="YES","",IF(ROUND(SUMIFS($AE$2:$AE$4001,$L$2:$L$4001,$L2273,$F$2:$F$4001,"4")-SUMIFS('AR SALES'!$Y$2:$Y$2501,'AR SALES'!$L$2:$L$2501,$L2273,'AR SALES'!$AD$2:$AD$2501,"OFF"),2)=0,"","STALE")))</f>
        <v/>
      </c>
      <c r="BB2273" s="2" t="str">
        <f>IF(OR(""&amp;$F2273="2",""&amp;$F2273="4",""&amp;$F2273="G",""&amp;$F2273="H"),IF($AY2273="YES","",IF($AB2273&lt;&gt;0,"",IF(COUNTIFS('AR SALES'!$L$2:$L$2501,$L2273,'AR SALES'!$AD$2:$AD$2501,IF(""&amp;$F2273="4","OFF","ON"),'AR SALES'!$AF$2:$AF$2501,"Y")&gt;0,"","NO EXEMPTION"))),"")</f>
        <v/>
      </c>
    </row>
    <row r="2274" spans="46:54" x14ac:dyDescent="0.25">
      <c r="AT2274" s="2" t="str">
        <f>IF($L2274="","",IFERROR(INDEX('AR SALES'!$H$2:$H$2501,MATCH(""&amp;$L2274,'AR SALES'!$AE$2:$AE$2501,0)),""))</f>
        <v/>
      </c>
      <c r="AU2274" s="2" t="str">
        <f t="shared" si="140"/>
        <v/>
      </c>
      <c r="AV2274" s="2" t="str">
        <f t="shared" si="141"/>
        <v/>
      </c>
      <c r="AW2274" s="2" t="str">
        <f t="shared" si="142"/>
        <v/>
      </c>
      <c r="AX2274" s="2" t="str">
        <f t="shared" si="143"/>
        <v/>
      </c>
      <c r="AY2274" s="2" t="str">
        <f>IF($AV2274="","",IF(AND($Z2274=0,COUNTIF('AR SALES'!$L$2:$L$2501,$L2274)=0),"YES",""))</f>
        <v/>
      </c>
      <c r="AZ2274" s="2" t="str">
        <f>IF($AV2274="","",IF(COUNTIF(LISTS!$C$2:$C$250,$AU2274)=0,"NEW",""))</f>
        <v/>
      </c>
      <c r="BA2274" s="2" t="str">
        <f>IF(""&amp;$F2274&lt;&gt;"4","",IF($AY2274="YES","",IF(ROUND(SUMIFS($AE$2:$AE$4001,$L$2:$L$4001,$L2274,$F$2:$F$4001,"4")-SUMIFS('AR SALES'!$Y$2:$Y$2501,'AR SALES'!$L$2:$L$2501,$L2274,'AR SALES'!$AD$2:$AD$2501,"OFF"),2)=0,"","STALE")))</f>
        <v/>
      </c>
      <c r="BB2274" s="2" t="str">
        <f>IF(OR(""&amp;$F2274="2",""&amp;$F2274="4",""&amp;$F2274="G",""&amp;$F2274="H"),IF($AY2274="YES","",IF($AB2274&lt;&gt;0,"",IF(COUNTIFS('AR SALES'!$L$2:$L$2501,$L2274,'AR SALES'!$AD$2:$AD$2501,IF(""&amp;$F2274="4","OFF","ON"),'AR SALES'!$AF$2:$AF$2501,"Y")&gt;0,"","NO EXEMPTION"))),"")</f>
        <v/>
      </c>
    </row>
    <row r="2275" spans="46:54" x14ac:dyDescent="0.25">
      <c r="AT2275" s="2" t="str">
        <f>IF($L2275="","",IFERROR(INDEX('AR SALES'!$H$2:$H$2501,MATCH(""&amp;$L2275,'AR SALES'!$AE$2:$AE$2501,0)),""))</f>
        <v/>
      </c>
      <c r="AU2275" s="2" t="str">
        <f t="shared" si="140"/>
        <v/>
      </c>
      <c r="AV2275" s="2" t="str">
        <f t="shared" si="141"/>
        <v/>
      </c>
      <c r="AW2275" s="2" t="str">
        <f t="shared" si="142"/>
        <v/>
      </c>
      <c r="AX2275" s="2" t="str">
        <f t="shared" si="143"/>
        <v/>
      </c>
      <c r="AY2275" s="2" t="str">
        <f>IF($AV2275="","",IF(AND($Z2275=0,COUNTIF('AR SALES'!$L$2:$L$2501,$L2275)=0),"YES",""))</f>
        <v/>
      </c>
      <c r="AZ2275" s="2" t="str">
        <f>IF($AV2275="","",IF(COUNTIF(LISTS!$C$2:$C$250,$AU2275)=0,"NEW",""))</f>
        <v/>
      </c>
      <c r="BA2275" s="2" t="str">
        <f>IF(""&amp;$F2275&lt;&gt;"4","",IF($AY2275="YES","",IF(ROUND(SUMIFS($AE$2:$AE$4001,$L$2:$L$4001,$L2275,$F$2:$F$4001,"4")-SUMIFS('AR SALES'!$Y$2:$Y$2501,'AR SALES'!$L$2:$L$2501,$L2275,'AR SALES'!$AD$2:$AD$2501,"OFF"),2)=0,"","STALE")))</f>
        <v/>
      </c>
      <c r="BB2275" s="2" t="str">
        <f>IF(OR(""&amp;$F2275="2",""&amp;$F2275="4",""&amp;$F2275="G",""&amp;$F2275="H"),IF($AY2275="YES","",IF($AB2275&lt;&gt;0,"",IF(COUNTIFS('AR SALES'!$L$2:$L$2501,$L2275,'AR SALES'!$AD$2:$AD$2501,IF(""&amp;$F2275="4","OFF","ON"),'AR SALES'!$AF$2:$AF$2501,"Y")&gt;0,"","NO EXEMPTION"))),"")</f>
        <v/>
      </c>
    </row>
    <row r="2276" spans="46:54" x14ac:dyDescent="0.25">
      <c r="AT2276" s="2" t="str">
        <f>IF($L2276="","",IFERROR(INDEX('AR SALES'!$H$2:$H$2501,MATCH(""&amp;$L2276,'AR SALES'!$AE$2:$AE$2501,0)),""))</f>
        <v/>
      </c>
      <c r="AU2276" s="2" t="str">
        <f t="shared" si="140"/>
        <v/>
      </c>
      <c r="AV2276" s="2" t="str">
        <f t="shared" si="141"/>
        <v/>
      </c>
      <c r="AW2276" s="2" t="str">
        <f t="shared" si="142"/>
        <v/>
      </c>
      <c r="AX2276" s="2" t="str">
        <f t="shared" si="143"/>
        <v/>
      </c>
      <c r="AY2276" s="2" t="str">
        <f>IF($AV2276="","",IF(AND($Z2276=0,COUNTIF('AR SALES'!$L$2:$L$2501,$L2276)=0),"YES",""))</f>
        <v/>
      </c>
      <c r="AZ2276" s="2" t="str">
        <f>IF($AV2276="","",IF(COUNTIF(LISTS!$C$2:$C$250,$AU2276)=0,"NEW",""))</f>
        <v/>
      </c>
      <c r="BA2276" s="2" t="str">
        <f>IF(""&amp;$F2276&lt;&gt;"4","",IF($AY2276="YES","",IF(ROUND(SUMIFS($AE$2:$AE$4001,$L$2:$L$4001,$L2276,$F$2:$F$4001,"4")-SUMIFS('AR SALES'!$Y$2:$Y$2501,'AR SALES'!$L$2:$L$2501,$L2276,'AR SALES'!$AD$2:$AD$2501,"OFF"),2)=0,"","STALE")))</f>
        <v/>
      </c>
      <c r="BB2276" s="2" t="str">
        <f>IF(OR(""&amp;$F2276="2",""&amp;$F2276="4",""&amp;$F2276="G",""&amp;$F2276="H"),IF($AY2276="YES","",IF($AB2276&lt;&gt;0,"",IF(COUNTIFS('AR SALES'!$L$2:$L$2501,$L2276,'AR SALES'!$AD$2:$AD$2501,IF(""&amp;$F2276="4","OFF","ON"),'AR SALES'!$AF$2:$AF$2501,"Y")&gt;0,"","NO EXEMPTION"))),"")</f>
        <v/>
      </c>
    </row>
    <row r="2277" spans="46:54" x14ac:dyDescent="0.25">
      <c r="AT2277" s="2" t="str">
        <f>IF($L2277="","",IFERROR(INDEX('AR SALES'!$H$2:$H$2501,MATCH(""&amp;$L2277,'AR SALES'!$AE$2:$AE$2501,0)),""))</f>
        <v/>
      </c>
      <c r="AU2277" s="2" t="str">
        <f t="shared" si="140"/>
        <v/>
      </c>
      <c r="AV2277" s="2" t="str">
        <f t="shared" si="141"/>
        <v/>
      </c>
      <c r="AW2277" s="2" t="str">
        <f t="shared" si="142"/>
        <v/>
      </c>
      <c r="AX2277" s="2" t="str">
        <f t="shared" si="143"/>
        <v/>
      </c>
      <c r="AY2277" s="2" t="str">
        <f>IF($AV2277="","",IF(AND($Z2277=0,COUNTIF('AR SALES'!$L$2:$L$2501,$L2277)=0),"YES",""))</f>
        <v/>
      </c>
      <c r="AZ2277" s="2" t="str">
        <f>IF($AV2277="","",IF(COUNTIF(LISTS!$C$2:$C$250,$AU2277)=0,"NEW",""))</f>
        <v/>
      </c>
      <c r="BA2277" s="2" t="str">
        <f>IF(""&amp;$F2277&lt;&gt;"4","",IF($AY2277="YES","",IF(ROUND(SUMIFS($AE$2:$AE$4001,$L$2:$L$4001,$L2277,$F$2:$F$4001,"4")-SUMIFS('AR SALES'!$Y$2:$Y$2501,'AR SALES'!$L$2:$L$2501,$L2277,'AR SALES'!$AD$2:$AD$2501,"OFF"),2)=0,"","STALE")))</f>
        <v/>
      </c>
      <c r="BB2277" s="2" t="str">
        <f>IF(OR(""&amp;$F2277="2",""&amp;$F2277="4",""&amp;$F2277="G",""&amp;$F2277="H"),IF($AY2277="YES","",IF($AB2277&lt;&gt;0,"",IF(COUNTIFS('AR SALES'!$L$2:$L$2501,$L2277,'AR SALES'!$AD$2:$AD$2501,IF(""&amp;$F2277="4","OFF","ON"),'AR SALES'!$AF$2:$AF$2501,"Y")&gt;0,"","NO EXEMPTION"))),"")</f>
        <v/>
      </c>
    </row>
    <row r="2278" spans="46:54" x14ac:dyDescent="0.25">
      <c r="AT2278" s="2" t="str">
        <f>IF($L2278="","",IFERROR(INDEX('AR SALES'!$H$2:$H$2501,MATCH(""&amp;$L2278,'AR SALES'!$AE$2:$AE$2501,0)),""))</f>
        <v/>
      </c>
      <c r="AU2278" s="2" t="str">
        <f t="shared" si="140"/>
        <v/>
      </c>
      <c r="AV2278" s="2" t="str">
        <f t="shared" si="141"/>
        <v/>
      </c>
      <c r="AW2278" s="2" t="str">
        <f t="shared" si="142"/>
        <v/>
      </c>
      <c r="AX2278" s="2" t="str">
        <f t="shared" si="143"/>
        <v/>
      </c>
      <c r="AY2278" s="2" t="str">
        <f>IF($AV2278="","",IF(AND($Z2278=0,COUNTIF('AR SALES'!$L$2:$L$2501,$L2278)=0),"YES",""))</f>
        <v/>
      </c>
      <c r="AZ2278" s="2" t="str">
        <f>IF($AV2278="","",IF(COUNTIF(LISTS!$C$2:$C$250,$AU2278)=0,"NEW",""))</f>
        <v/>
      </c>
      <c r="BA2278" s="2" t="str">
        <f>IF(""&amp;$F2278&lt;&gt;"4","",IF($AY2278="YES","",IF(ROUND(SUMIFS($AE$2:$AE$4001,$L$2:$L$4001,$L2278,$F$2:$F$4001,"4")-SUMIFS('AR SALES'!$Y$2:$Y$2501,'AR SALES'!$L$2:$L$2501,$L2278,'AR SALES'!$AD$2:$AD$2501,"OFF"),2)=0,"","STALE")))</f>
        <v/>
      </c>
      <c r="BB2278" s="2" t="str">
        <f>IF(OR(""&amp;$F2278="2",""&amp;$F2278="4",""&amp;$F2278="G",""&amp;$F2278="H"),IF($AY2278="YES","",IF($AB2278&lt;&gt;0,"",IF(COUNTIFS('AR SALES'!$L$2:$L$2501,$L2278,'AR SALES'!$AD$2:$AD$2501,IF(""&amp;$F2278="4","OFF","ON"),'AR SALES'!$AF$2:$AF$2501,"Y")&gt;0,"","NO EXEMPTION"))),"")</f>
        <v/>
      </c>
    </row>
    <row r="2279" spans="46:54" x14ac:dyDescent="0.25">
      <c r="AT2279" s="2" t="str">
        <f>IF($L2279="","",IFERROR(INDEX('AR SALES'!$H$2:$H$2501,MATCH(""&amp;$L2279,'AR SALES'!$AE$2:$AE$2501,0)),""))</f>
        <v/>
      </c>
      <c r="AU2279" s="2" t="str">
        <f t="shared" si="140"/>
        <v/>
      </c>
      <c r="AV2279" s="2" t="str">
        <f t="shared" si="141"/>
        <v/>
      </c>
      <c r="AW2279" s="2" t="str">
        <f t="shared" si="142"/>
        <v/>
      </c>
      <c r="AX2279" s="2" t="str">
        <f t="shared" si="143"/>
        <v/>
      </c>
      <c r="AY2279" s="2" t="str">
        <f>IF($AV2279="","",IF(AND($Z2279=0,COUNTIF('AR SALES'!$L$2:$L$2501,$L2279)=0),"YES",""))</f>
        <v/>
      </c>
      <c r="AZ2279" s="2" t="str">
        <f>IF($AV2279="","",IF(COUNTIF(LISTS!$C$2:$C$250,$AU2279)=0,"NEW",""))</f>
        <v/>
      </c>
      <c r="BA2279" s="2" t="str">
        <f>IF(""&amp;$F2279&lt;&gt;"4","",IF($AY2279="YES","",IF(ROUND(SUMIFS($AE$2:$AE$4001,$L$2:$L$4001,$L2279,$F$2:$F$4001,"4")-SUMIFS('AR SALES'!$Y$2:$Y$2501,'AR SALES'!$L$2:$L$2501,$L2279,'AR SALES'!$AD$2:$AD$2501,"OFF"),2)=0,"","STALE")))</f>
        <v/>
      </c>
      <c r="BB2279" s="2" t="str">
        <f>IF(OR(""&amp;$F2279="2",""&amp;$F2279="4",""&amp;$F2279="G",""&amp;$F2279="H"),IF($AY2279="YES","",IF($AB2279&lt;&gt;0,"",IF(COUNTIFS('AR SALES'!$L$2:$L$2501,$L2279,'AR SALES'!$AD$2:$AD$2501,IF(""&amp;$F2279="4","OFF","ON"),'AR SALES'!$AF$2:$AF$2501,"Y")&gt;0,"","NO EXEMPTION"))),"")</f>
        <v/>
      </c>
    </row>
    <row r="2280" spans="46:54" x14ac:dyDescent="0.25">
      <c r="AT2280" s="2" t="str">
        <f>IF($L2280="","",IFERROR(INDEX('AR SALES'!$H$2:$H$2501,MATCH(""&amp;$L2280,'AR SALES'!$AE$2:$AE$2501,0)),""))</f>
        <v/>
      </c>
      <c r="AU2280" s="2" t="str">
        <f t="shared" si="140"/>
        <v/>
      </c>
      <c r="AV2280" s="2" t="str">
        <f t="shared" si="141"/>
        <v/>
      </c>
      <c r="AW2280" s="2" t="str">
        <f t="shared" si="142"/>
        <v/>
      </c>
      <c r="AX2280" s="2" t="str">
        <f t="shared" si="143"/>
        <v/>
      </c>
      <c r="AY2280" s="2" t="str">
        <f>IF($AV2280="","",IF(AND($Z2280=0,COUNTIF('AR SALES'!$L$2:$L$2501,$L2280)=0),"YES",""))</f>
        <v/>
      </c>
      <c r="AZ2280" s="2" t="str">
        <f>IF($AV2280="","",IF(COUNTIF(LISTS!$C$2:$C$250,$AU2280)=0,"NEW",""))</f>
        <v/>
      </c>
      <c r="BA2280" s="2" t="str">
        <f>IF(""&amp;$F2280&lt;&gt;"4","",IF($AY2280="YES","",IF(ROUND(SUMIFS($AE$2:$AE$4001,$L$2:$L$4001,$L2280,$F$2:$F$4001,"4")-SUMIFS('AR SALES'!$Y$2:$Y$2501,'AR SALES'!$L$2:$L$2501,$L2280,'AR SALES'!$AD$2:$AD$2501,"OFF"),2)=0,"","STALE")))</f>
        <v/>
      </c>
      <c r="BB2280" s="2" t="str">
        <f>IF(OR(""&amp;$F2280="2",""&amp;$F2280="4",""&amp;$F2280="G",""&amp;$F2280="H"),IF($AY2280="YES","",IF($AB2280&lt;&gt;0,"",IF(COUNTIFS('AR SALES'!$L$2:$L$2501,$L2280,'AR SALES'!$AD$2:$AD$2501,IF(""&amp;$F2280="4","OFF","ON"),'AR SALES'!$AF$2:$AF$2501,"Y")&gt;0,"","NO EXEMPTION"))),"")</f>
        <v/>
      </c>
    </row>
    <row r="2281" spans="46:54" x14ac:dyDescent="0.25">
      <c r="AT2281" s="2" t="str">
        <f>IF($L2281="","",IFERROR(INDEX('AR SALES'!$H$2:$H$2501,MATCH(""&amp;$L2281,'AR SALES'!$AE$2:$AE$2501,0)),""))</f>
        <v/>
      </c>
      <c r="AU2281" s="2" t="str">
        <f t="shared" si="140"/>
        <v/>
      </c>
      <c r="AV2281" s="2" t="str">
        <f t="shared" si="141"/>
        <v/>
      </c>
      <c r="AW2281" s="2" t="str">
        <f t="shared" si="142"/>
        <v/>
      </c>
      <c r="AX2281" s="2" t="str">
        <f t="shared" si="143"/>
        <v/>
      </c>
      <c r="AY2281" s="2" t="str">
        <f>IF($AV2281="","",IF(AND($Z2281=0,COUNTIF('AR SALES'!$L$2:$L$2501,$L2281)=0),"YES",""))</f>
        <v/>
      </c>
      <c r="AZ2281" s="2" t="str">
        <f>IF($AV2281="","",IF(COUNTIF(LISTS!$C$2:$C$250,$AU2281)=0,"NEW",""))</f>
        <v/>
      </c>
      <c r="BA2281" s="2" t="str">
        <f>IF(""&amp;$F2281&lt;&gt;"4","",IF($AY2281="YES","",IF(ROUND(SUMIFS($AE$2:$AE$4001,$L$2:$L$4001,$L2281,$F$2:$F$4001,"4")-SUMIFS('AR SALES'!$Y$2:$Y$2501,'AR SALES'!$L$2:$L$2501,$L2281,'AR SALES'!$AD$2:$AD$2501,"OFF"),2)=0,"","STALE")))</f>
        <v/>
      </c>
      <c r="BB2281" s="2" t="str">
        <f>IF(OR(""&amp;$F2281="2",""&amp;$F2281="4",""&amp;$F2281="G",""&amp;$F2281="H"),IF($AY2281="YES","",IF($AB2281&lt;&gt;0,"",IF(COUNTIFS('AR SALES'!$L$2:$L$2501,$L2281,'AR SALES'!$AD$2:$AD$2501,IF(""&amp;$F2281="4","OFF","ON"),'AR SALES'!$AF$2:$AF$2501,"Y")&gt;0,"","NO EXEMPTION"))),"")</f>
        <v/>
      </c>
    </row>
    <row r="2282" spans="46:54" x14ac:dyDescent="0.25">
      <c r="AT2282" s="2" t="str">
        <f>IF($L2282="","",IFERROR(INDEX('AR SALES'!$H$2:$H$2501,MATCH(""&amp;$L2282,'AR SALES'!$AE$2:$AE$2501,0)),""))</f>
        <v/>
      </c>
      <c r="AU2282" s="2" t="str">
        <f t="shared" si="140"/>
        <v/>
      </c>
      <c r="AV2282" s="2" t="str">
        <f t="shared" si="141"/>
        <v/>
      </c>
      <c r="AW2282" s="2" t="str">
        <f t="shared" si="142"/>
        <v/>
      </c>
      <c r="AX2282" s="2" t="str">
        <f t="shared" si="143"/>
        <v/>
      </c>
      <c r="AY2282" s="2" t="str">
        <f>IF($AV2282="","",IF(AND($Z2282=0,COUNTIF('AR SALES'!$L$2:$L$2501,$L2282)=0),"YES",""))</f>
        <v/>
      </c>
      <c r="AZ2282" s="2" t="str">
        <f>IF($AV2282="","",IF(COUNTIF(LISTS!$C$2:$C$250,$AU2282)=0,"NEW",""))</f>
        <v/>
      </c>
      <c r="BA2282" s="2" t="str">
        <f>IF(""&amp;$F2282&lt;&gt;"4","",IF($AY2282="YES","",IF(ROUND(SUMIFS($AE$2:$AE$4001,$L$2:$L$4001,$L2282,$F$2:$F$4001,"4")-SUMIFS('AR SALES'!$Y$2:$Y$2501,'AR SALES'!$L$2:$L$2501,$L2282,'AR SALES'!$AD$2:$AD$2501,"OFF"),2)=0,"","STALE")))</f>
        <v/>
      </c>
      <c r="BB2282" s="2" t="str">
        <f>IF(OR(""&amp;$F2282="2",""&amp;$F2282="4",""&amp;$F2282="G",""&amp;$F2282="H"),IF($AY2282="YES","",IF($AB2282&lt;&gt;0,"",IF(COUNTIFS('AR SALES'!$L$2:$L$2501,$L2282,'AR SALES'!$AD$2:$AD$2501,IF(""&amp;$F2282="4","OFF","ON"),'AR SALES'!$AF$2:$AF$2501,"Y")&gt;0,"","NO EXEMPTION"))),"")</f>
        <v/>
      </c>
    </row>
    <row r="2283" spans="46:54" x14ac:dyDescent="0.25">
      <c r="AT2283" s="2" t="str">
        <f>IF($L2283="","",IFERROR(INDEX('AR SALES'!$H$2:$H$2501,MATCH(""&amp;$L2283,'AR SALES'!$AE$2:$AE$2501,0)),""))</f>
        <v/>
      </c>
      <c r="AU2283" s="2" t="str">
        <f t="shared" si="140"/>
        <v/>
      </c>
      <c r="AV2283" s="2" t="str">
        <f t="shared" si="141"/>
        <v/>
      </c>
      <c r="AW2283" s="2" t="str">
        <f t="shared" si="142"/>
        <v/>
      </c>
      <c r="AX2283" s="2" t="str">
        <f t="shared" si="143"/>
        <v/>
      </c>
      <c r="AY2283" s="2" t="str">
        <f>IF($AV2283="","",IF(AND($Z2283=0,COUNTIF('AR SALES'!$L$2:$L$2501,$L2283)=0),"YES",""))</f>
        <v/>
      </c>
      <c r="AZ2283" s="2" t="str">
        <f>IF($AV2283="","",IF(COUNTIF(LISTS!$C$2:$C$250,$AU2283)=0,"NEW",""))</f>
        <v/>
      </c>
      <c r="BA2283" s="2" t="str">
        <f>IF(""&amp;$F2283&lt;&gt;"4","",IF($AY2283="YES","",IF(ROUND(SUMIFS($AE$2:$AE$4001,$L$2:$L$4001,$L2283,$F$2:$F$4001,"4")-SUMIFS('AR SALES'!$Y$2:$Y$2501,'AR SALES'!$L$2:$L$2501,$L2283,'AR SALES'!$AD$2:$AD$2501,"OFF"),2)=0,"","STALE")))</f>
        <v/>
      </c>
      <c r="BB2283" s="2" t="str">
        <f>IF(OR(""&amp;$F2283="2",""&amp;$F2283="4",""&amp;$F2283="G",""&amp;$F2283="H"),IF($AY2283="YES","",IF($AB2283&lt;&gt;0,"",IF(COUNTIFS('AR SALES'!$L$2:$L$2501,$L2283,'AR SALES'!$AD$2:$AD$2501,IF(""&amp;$F2283="4","OFF","ON"),'AR SALES'!$AF$2:$AF$2501,"Y")&gt;0,"","NO EXEMPTION"))),"")</f>
        <v/>
      </c>
    </row>
    <row r="2284" spans="46:54" x14ac:dyDescent="0.25">
      <c r="AT2284" s="2" t="str">
        <f>IF($L2284="","",IFERROR(INDEX('AR SALES'!$H$2:$H$2501,MATCH(""&amp;$L2284,'AR SALES'!$AE$2:$AE$2501,0)),""))</f>
        <v/>
      </c>
      <c r="AU2284" s="2" t="str">
        <f t="shared" si="140"/>
        <v/>
      </c>
      <c r="AV2284" s="2" t="str">
        <f t="shared" si="141"/>
        <v/>
      </c>
      <c r="AW2284" s="2" t="str">
        <f t="shared" si="142"/>
        <v/>
      </c>
      <c r="AX2284" s="2" t="str">
        <f t="shared" si="143"/>
        <v/>
      </c>
      <c r="AY2284" s="2" t="str">
        <f>IF($AV2284="","",IF(AND($Z2284=0,COUNTIF('AR SALES'!$L$2:$L$2501,$L2284)=0),"YES",""))</f>
        <v/>
      </c>
      <c r="AZ2284" s="2" t="str">
        <f>IF($AV2284="","",IF(COUNTIF(LISTS!$C$2:$C$250,$AU2284)=0,"NEW",""))</f>
        <v/>
      </c>
      <c r="BA2284" s="2" t="str">
        <f>IF(""&amp;$F2284&lt;&gt;"4","",IF($AY2284="YES","",IF(ROUND(SUMIFS($AE$2:$AE$4001,$L$2:$L$4001,$L2284,$F$2:$F$4001,"4")-SUMIFS('AR SALES'!$Y$2:$Y$2501,'AR SALES'!$L$2:$L$2501,$L2284,'AR SALES'!$AD$2:$AD$2501,"OFF"),2)=0,"","STALE")))</f>
        <v/>
      </c>
      <c r="BB2284" s="2" t="str">
        <f>IF(OR(""&amp;$F2284="2",""&amp;$F2284="4",""&amp;$F2284="G",""&amp;$F2284="H"),IF($AY2284="YES","",IF($AB2284&lt;&gt;0,"",IF(COUNTIFS('AR SALES'!$L$2:$L$2501,$L2284,'AR SALES'!$AD$2:$AD$2501,IF(""&amp;$F2284="4","OFF","ON"),'AR SALES'!$AF$2:$AF$2501,"Y")&gt;0,"","NO EXEMPTION"))),"")</f>
        <v/>
      </c>
    </row>
    <row r="2285" spans="46:54" x14ac:dyDescent="0.25">
      <c r="AT2285" s="2" t="str">
        <f>IF($L2285="","",IFERROR(INDEX('AR SALES'!$H$2:$H$2501,MATCH(""&amp;$L2285,'AR SALES'!$AE$2:$AE$2501,0)),""))</f>
        <v/>
      </c>
      <c r="AU2285" s="2" t="str">
        <f t="shared" si="140"/>
        <v/>
      </c>
      <c r="AV2285" s="2" t="str">
        <f t="shared" si="141"/>
        <v/>
      </c>
      <c r="AW2285" s="2" t="str">
        <f t="shared" si="142"/>
        <v/>
      </c>
      <c r="AX2285" s="2" t="str">
        <f t="shared" si="143"/>
        <v/>
      </c>
      <c r="AY2285" s="2" t="str">
        <f>IF($AV2285="","",IF(AND($Z2285=0,COUNTIF('AR SALES'!$L$2:$L$2501,$L2285)=0),"YES",""))</f>
        <v/>
      </c>
      <c r="AZ2285" s="2" t="str">
        <f>IF($AV2285="","",IF(COUNTIF(LISTS!$C$2:$C$250,$AU2285)=0,"NEW",""))</f>
        <v/>
      </c>
      <c r="BA2285" s="2" t="str">
        <f>IF(""&amp;$F2285&lt;&gt;"4","",IF($AY2285="YES","",IF(ROUND(SUMIFS($AE$2:$AE$4001,$L$2:$L$4001,$L2285,$F$2:$F$4001,"4")-SUMIFS('AR SALES'!$Y$2:$Y$2501,'AR SALES'!$L$2:$L$2501,$L2285,'AR SALES'!$AD$2:$AD$2501,"OFF"),2)=0,"","STALE")))</f>
        <v/>
      </c>
      <c r="BB2285" s="2" t="str">
        <f>IF(OR(""&amp;$F2285="2",""&amp;$F2285="4",""&amp;$F2285="G",""&amp;$F2285="H"),IF($AY2285="YES","",IF($AB2285&lt;&gt;0,"",IF(COUNTIFS('AR SALES'!$L$2:$L$2501,$L2285,'AR SALES'!$AD$2:$AD$2501,IF(""&amp;$F2285="4","OFF","ON"),'AR SALES'!$AF$2:$AF$2501,"Y")&gt;0,"","NO EXEMPTION"))),"")</f>
        <v/>
      </c>
    </row>
    <row r="2286" spans="46:54" x14ac:dyDescent="0.25">
      <c r="AT2286" s="2" t="str">
        <f>IF($L2286="","",IFERROR(INDEX('AR SALES'!$H$2:$H$2501,MATCH(""&amp;$L2286,'AR SALES'!$AE$2:$AE$2501,0)),""))</f>
        <v/>
      </c>
      <c r="AU2286" s="2" t="str">
        <f t="shared" si="140"/>
        <v/>
      </c>
      <c r="AV2286" s="2" t="str">
        <f t="shared" si="141"/>
        <v/>
      </c>
      <c r="AW2286" s="2" t="str">
        <f t="shared" si="142"/>
        <v/>
      </c>
      <c r="AX2286" s="2" t="str">
        <f t="shared" si="143"/>
        <v/>
      </c>
      <c r="AY2286" s="2" t="str">
        <f>IF($AV2286="","",IF(AND($Z2286=0,COUNTIF('AR SALES'!$L$2:$L$2501,$L2286)=0),"YES",""))</f>
        <v/>
      </c>
      <c r="AZ2286" s="2" t="str">
        <f>IF($AV2286="","",IF(COUNTIF(LISTS!$C$2:$C$250,$AU2286)=0,"NEW",""))</f>
        <v/>
      </c>
      <c r="BA2286" s="2" t="str">
        <f>IF(""&amp;$F2286&lt;&gt;"4","",IF($AY2286="YES","",IF(ROUND(SUMIFS($AE$2:$AE$4001,$L$2:$L$4001,$L2286,$F$2:$F$4001,"4")-SUMIFS('AR SALES'!$Y$2:$Y$2501,'AR SALES'!$L$2:$L$2501,$L2286,'AR SALES'!$AD$2:$AD$2501,"OFF"),2)=0,"","STALE")))</f>
        <v/>
      </c>
      <c r="BB2286" s="2" t="str">
        <f>IF(OR(""&amp;$F2286="2",""&amp;$F2286="4",""&amp;$F2286="G",""&amp;$F2286="H"),IF($AY2286="YES","",IF($AB2286&lt;&gt;0,"",IF(COUNTIFS('AR SALES'!$L$2:$L$2501,$L2286,'AR SALES'!$AD$2:$AD$2501,IF(""&amp;$F2286="4","OFF","ON"),'AR SALES'!$AF$2:$AF$2501,"Y")&gt;0,"","NO EXEMPTION"))),"")</f>
        <v/>
      </c>
    </row>
    <row r="2287" spans="46:54" x14ac:dyDescent="0.25">
      <c r="AT2287" s="2" t="str">
        <f>IF($L2287="","",IFERROR(INDEX('AR SALES'!$H$2:$H$2501,MATCH(""&amp;$L2287,'AR SALES'!$AE$2:$AE$2501,0)),""))</f>
        <v/>
      </c>
      <c r="AU2287" s="2" t="str">
        <f t="shared" si="140"/>
        <v/>
      </c>
      <c r="AV2287" s="2" t="str">
        <f t="shared" si="141"/>
        <v/>
      </c>
      <c r="AW2287" s="2" t="str">
        <f t="shared" si="142"/>
        <v/>
      </c>
      <c r="AX2287" s="2" t="str">
        <f t="shared" si="143"/>
        <v/>
      </c>
      <c r="AY2287" s="2" t="str">
        <f>IF($AV2287="","",IF(AND($Z2287=0,COUNTIF('AR SALES'!$L$2:$L$2501,$L2287)=0),"YES",""))</f>
        <v/>
      </c>
      <c r="AZ2287" s="2" t="str">
        <f>IF($AV2287="","",IF(COUNTIF(LISTS!$C$2:$C$250,$AU2287)=0,"NEW",""))</f>
        <v/>
      </c>
      <c r="BA2287" s="2" t="str">
        <f>IF(""&amp;$F2287&lt;&gt;"4","",IF($AY2287="YES","",IF(ROUND(SUMIFS($AE$2:$AE$4001,$L$2:$L$4001,$L2287,$F$2:$F$4001,"4")-SUMIFS('AR SALES'!$Y$2:$Y$2501,'AR SALES'!$L$2:$L$2501,$L2287,'AR SALES'!$AD$2:$AD$2501,"OFF"),2)=0,"","STALE")))</f>
        <v/>
      </c>
      <c r="BB2287" s="2" t="str">
        <f>IF(OR(""&amp;$F2287="2",""&amp;$F2287="4",""&amp;$F2287="G",""&amp;$F2287="H"),IF($AY2287="YES","",IF($AB2287&lt;&gt;0,"",IF(COUNTIFS('AR SALES'!$L$2:$L$2501,$L2287,'AR SALES'!$AD$2:$AD$2501,IF(""&amp;$F2287="4","OFF","ON"),'AR SALES'!$AF$2:$AF$2501,"Y")&gt;0,"","NO EXEMPTION"))),"")</f>
        <v/>
      </c>
    </row>
    <row r="2288" spans="46:54" x14ac:dyDescent="0.25">
      <c r="AT2288" s="2" t="str">
        <f>IF($L2288="","",IFERROR(INDEX('AR SALES'!$H$2:$H$2501,MATCH(""&amp;$L2288,'AR SALES'!$AE$2:$AE$2501,0)),""))</f>
        <v/>
      </c>
      <c r="AU2288" s="2" t="str">
        <f t="shared" si="140"/>
        <v/>
      </c>
      <c r="AV2288" s="2" t="str">
        <f t="shared" si="141"/>
        <v/>
      </c>
      <c r="AW2288" s="2" t="str">
        <f t="shared" si="142"/>
        <v/>
      </c>
      <c r="AX2288" s="2" t="str">
        <f t="shared" si="143"/>
        <v/>
      </c>
      <c r="AY2288" s="2" t="str">
        <f>IF($AV2288="","",IF(AND($Z2288=0,COUNTIF('AR SALES'!$L$2:$L$2501,$L2288)=0),"YES",""))</f>
        <v/>
      </c>
      <c r="AZ2288" s="2" t="str">
        <f>IF($AV2288="","",IF(COUNTIF(LISTS!$C$2:$C$250,$AU2288)=0,"NEW",""))</f>
        <v/>
      </c>
      <c r="BA2288" s="2" t="str">
        <f>IF(""&amp;$F2288&lt;&gt;"4","",IF($AY2288="YES","",IF(ROUND(SUMIFS($AE$2:$AE$4001,$L$2:$L$4001,$L2288,$F$2:$F$4001,"4")-SUMIFS('AR SALES'!$Y$2:$Y$2501,'AR SALES'!$L$2:$L$2501,$L2288,'AR SALES'!$AD$2:$AD$2501,"OFF"),2)=0,"","STALE")))</f>
        <v/>
      </c>
      <c r="BB2288" s="2" t="str">
        <f>IF(OR(""&amp;$F2288="2",""&amp;$F2288="4",""&amp;$F2288="G",""&amp;$F2288="H"),IF($AY2288="YES","",IF($AB2288&lt;&gt;0,"",IF(COUNTIFS('AR SALES'!$L$2:$L$2501,$L2288,'AR SALES'!$AD$2:$AD$2501,IF(""&amp;$F2288="4","OFF","ON"),'AR SALES'!$AF$2:$AF$2501,"Y")&gt;0,"","NO EXEMPTION"))),"")</f>
        <v/>
      </c>
    </row>
    <row r="2289" spans="46:54" x14ac:dyDescent="0.25">
      <c r="AT2289" s="2" t="str">
        <f>IF($L2289="","",IFERROR(INDEX('AR SALES'!$H$2:$H$2501,MATCH(""&amp;$L2289,'AR SALES'!$AE$2:$AE$2501,0)),""))</f>
        <v/>
      </c>
      <c r="AU2289" s="2" t="str">
        <f t="shared" si="140"/>
        <v/>
      </c>
      <c r="AV2289" s="2" t="str">
        <f t="shared" si="141"/>
        <v/>
      </c>
      <c r="AW2289" s="2" t="str">
        <f t="shared" si="142"/>
        <v/>
      </c>
      <c r="AX2289" s="2" t="str">
        <f t="shared" si="143"/>
        <v/>
      </c>
      <c r="AY2289" s="2" t="str">
        <f>IF($AV2289="","",IF(AND($Z2289=0,COUNTIF('AR SALES'!$L$2:$L$2501,$L2289)=0),"YES",""))</f>
        <v/>
      </c>
      <c r="AZ2289" s="2" t="str">
        <f>IF($AV2289="","",IF(COUNTIF(LISTS!$C$2:$C$250,$AU2289)=0,"NEW",""))</f>
        <v/>
      </c>
      <c r="BA2289" s="2" t="str">
        <f>IF(""&amp;$F2289&lt;&gt;"4","",IF($AY2289="YES","",IF(ROUND(SUMIFS($AE$2:$AE$4001,$L$2:$L$4001,$L2289,$F$2:$F$4001,"4")-SUMIFS('AR SALES'!$Y$2:$Y$2501,'AR SALES'!$L$2:$L$2501,$L2289,'AR SALES'!$AD$2:$AD$2501,"OFF"),2)=0,"","STALE")))</f>
        <v/>
      </c>
      <c r="BB2289" s="2" t="str">
        <f>IF(OR(""&amp;$F2289="2",""&amp;$F2289="4",""&amp;$F2289="G",""&amp;$F2289="H"),IF($AY2289="YES","",IF($AB2289&lt;&gt;0,"",IF(COUNTIFS('AR SALES'!$L$2:$L$2501,$L2289,'AR SALES'!$AD$2:$AD$2501,IF(""&amp;$F2289="4","OFF","ON"),'AR SALES'!$AF$2:$AF$2501,"Y")&gt;0,"","NO EXEMPTION"))),"")</f>
        <v/>
      </c>
    </row>
    <row r="2290" spans="46:54" x14ac:dyDescent="0.25">
      <c r="AT2290" s="2" t="str">
        <f>IF($L2290="","",IFERROR(INDEX('AR SALES'!$H$2:$H$2501,MATCH(""&amp;$L2290,'AR SALES'!$AE$2:$AE$2501,0)),""))</f>
        <v/>
      </c>
      <c r="AU2290" s="2" t="str">
        <f t="shared" si="140"/>
        <v/>
      </c>
      <c r="AV2290" s="2" t="str">
        <f t="shared" si="141"/>
        <v/>
      </c>
      <c r="AW2290" s="2" t="str">
        <f t="shared" si="142"/>
        <v/>
      </c>
      <c r="AX2290" s="2" t="str">
        <f t="shared" si="143"/>
        <v/>
      </c>
      <c r="AY2290" s="2" t="str">
        <f>IF($AV2290="","",IF(AND($Z2290=0,COUNTIF('AR SALES'!$L$2:$L$2501,$L2290)=0),"YES",""))</f>
        <v/>
      </c>
      <c r="AZ2290" s="2" t="str">
        <f>IF($AV2290="","",IF(COUNTIF(LISTS!$C$2:$C$250,$AU2290)=0,"NEW",""))</f>
        <v/>
      </c>
      <c r="BA2290" s="2" t="str">
        <f>IF(""&amp;$F2290&lt;&gt;"4","",IF($AY2290="YES","",IF(ROUND(SUMIFS($AE$2:$AE$4001,$L$2:$L$4001,$L2290,$F$2:$F$4001,"4")-SUMIFS('AR SALES'!$Y$2:$Y$2501,'AR SALES'!$L$2:$L$2501,$L2290,'AR SALES'!$AD$2:$AD$2501,"OFF"),2)=0,"","STALE")))</f>
        <v/>
      </c>
      <c r="BB2290" s="2" t="str">
        <f>IF(OR(""&amp;$F2290="2",""&amp;$F2290="4",""&amp;$F2290="G",""&amp;$F2290="H"),IF($AY2290="YES","",IF($AB2290&lt;&gt;0,"",IF(COUNTIFS('AR SALES'!$L$2:$L$2501,$L2290,'AR SALES'!$AD$2:$AD$2501,IF(""&amp;$F2290="4","OFF","ON"),'AR SALES'!$AF$2:$AF$2501,"Y")&gt;0,"","NO EXEMPTION"))),"")</f>
        <v/>
      </c>
    </row>
    <row r="2291" spans="46:54" x14ac:dyDescent="0.25">
      <c r="AT2291" s="2" t="str">
        <f>IF($L2291="","",IFERROR(INDEX('AR SALES'!$H$2:$H$2501,MATCH(""&amp;$L2291,'AR SALES'!$AE$2:$AE$2501,0)),""))</f>
        <v/>
      </c>
      <c r="AU2291" s="2" t="str">
        <f t="shared" si="140"/>
        <v/>
      </c>
      <c r="AV2291" s="2" t="str">
        <f t="shared" si="141"/>
        <v/>
      </c>
      <c r="AW2291" s="2" t="str">
        <f t="shared" si="142"/>
        <v/>
      </c>
      <c r="AX2291" s="2" t="str">
        <f t="shared" si="143"/>
        <v/>
      </c>
      <c r="AY2291" s="2" t="str">
        <f>IF($AV2291="","",IF(AND($Z2291=0,COUNTIF('AR SALES'!$L$2:$L$2501,$L2291)=0),"YES",""))</f>
        <v/>
      </c>
      <c r="AZ2291" s="2" t="str">
        <f>IF($AV2291="","",IF(COUNTIF(LISTS!$C$2:$C$250,$AU2291)=0,"NEW",""))</f>
        <v/>
      </c>
      <c r="BA2291" s="2" t="str">
        <f>IF(""&amp;$F2291&lt;&gt;"4","",IF($AY2291="YES","",IF(ROUND(SUMIFS($AE$2:$AE$4001,$L$2:$L$4001,$L2291,$F$2:$F$4001,"4")-SUMIFS('AR SALES'!$Y$2:$Y$2501,'AR SALES'!$L$2:$L$2501,$L2291,'AR SALES'!$AD$2:$AD$2501,"OFF"),2)=0,"","STALE")))</f>
        <v/>
      </c>
      <c r="BB2291" s="2" t="str">
        <f>IF(OR(""&amp;$F2291="2",""&amp;$F2291="4",""&amp;$F2291="G",""&amp;$F2291="H"),IF($AY2291="YES","",IF($AB2291&lt;&gt;0,"",IF(COUNTIFS('AR SALES'!$L$2:$L$2501,$L2291,'AR SALES'!$AD$2:$AD$2501,IF(""&amp;$F2291="4","OFF","ON"),'AR SALES'!$AF$2:$AF$2501,"Y")&gt;0,"","NO EXEMPTION"))),"")</f>
        <v/>
      </c>
    </row>
    <row r="2292" spans="46:54" x14ac:dyDescent="0.25">
      <c r="AT2292" s="2" t="str">
        <f>IF($L2292="","",IFERROR(INDEX('AR SALES'!$H$2:$H$2501,MATCH(""&amp;$L2292,'AR SALES'!$AE$2:$AE$2501,0)),""))</f>
        <v/>
      </c>
      <c r="AU2292" s="2" t="str">
        <f t="shared" si="140"/>
        <v/>
      </c>
      <c r="AV2292" s="2" t="str">
        <f t="shared" si="141"/>
        <v/>
      </c>
      <c r="AW2292" s="2" t="str">
        <f t="shared" si="142"/>
        <v/>
      </c>
      <c r="AX2292" s="2" t="str">
        <f t="shared" si="143"/>
        <v/>
      </c>
      <c r="AY2292" s="2" t="str">
        <f>IF($AV2292="","",IF(AND($Z2292=0,COUNTIF('AR SALES'!$L$2:$L$2501,$L2292)=0),"YES",""))</f>
        <v/>
      </c>
      <c r="AZ2292" s="2" t="str">
        <f>IF($AV2292="","",IF(COUNTIF(LISTS!$C$2:$C$250,$AU2292)=0,"NEW",""))</f>
        <v/>
      </c>
      <c r="BA2292" s="2" t="str">
        <f>IF(""&amp;$F2292&lt;&gt;"4","",IF($AY2292="YES","",IF(ROUND(SUMIFS($AE$2:$AE$4001,$L$2:$L$4001,$L2292,$F$2:$F$4001,"4")-SUMIFS('AR SALES'!$Y$2:$Y$2501,'AR SALES'!$L$2:$L$2501,$L2292,'AR SALES'!$AD$2:$AD$2501,"OFF"),2)=0,"","STALE")))</f>
        <v/>
      </c>
      <c r="BB2292" s="2" t="str">
        <f>IF(OR(""&amp;$F2292="2",""&amp;$F2292="4",""&amp;$F2292="G",""&amp;$F2292="H"),IF($AY2292="YES","",IF($AB2292&lt;&gt;0,"",IF(COUNTIFS('AR SALES'!$L$2:$L$2501,$L2292,'AR SALES'!$AD$2:$AD$2501,IF(""&amp;$F2292="4","OFF","ON"),'AR SALES'!$AF$2:$AF$2501,"Y")&gt;0,"","NO EXEMPTION"))),"")</f>
        <v/>
      </c>
    </row>
    <row r="2293" spans="46:54" x14ac:dyDescent="0.25">
      <c r="AT2293" s="2" t="str">
        <f>IF($L2293="","",IFERROR(INDEX('AR SALES'!$H$2:$H$2501,MATCH(""&amp;$L2293,'AR SALES'!$AE$2:$AE$2501,0)),""))</f>
        <v/>
      </c>
      <c r="AU2293" s="2" t="str">
        <f t="shared" si="140"/>
        <v/>
      </c>
      <c r="AV2293" s="2" t="str">
        <f t="shared" si="141"/>
        <v/>
      </c>
      <c r="AW2293" s="2" t="str">
        <f t="shared" si="142"/>
        <v/>
      </c>
      <c r="AX2293" s="2" t="str">
        <f t="shared" si="143"/>
        <v/>
      </c>
      <c r="AY2293" s="2" t="str">
        <f>IF($AV2293="","",IF(AND($Z2293=0,COUNTIF('AR SALES'!$L$2:$L$2501,$L2293)=0),"YES",""))</f>
        <v/>
      </c>
      <c r="AZ2293" s="2" t="str">
        <f>IF($AV2293="","",IF(COUNTIF(LISTS!$C$2:$C$250,$AU2293)=0,"NEW",""))</f>
        <v/>
      </c>
      <c r="BA2293" s="2" t="str">
        <f>IF(""&amp;$F2293&lt;&gt;"4","",IF($AY2293="YES","",IF(ROUND(SUMIFS($AE$2:$AE$4001,$L$2:$L$4001,$L2293,$F$2:$F$4001,"4")-SUMIFS('AR SALES'!$Y$2:$Y$2501,'AR SALES'!$L$2:$L$2501,$L2293,'AR SALES'!$AD$2:$AD$2501,"OFF"),2)=0,"","STALE")))</f>
        <v/>
      </c>
      <c r="BB2293" s="2" t="str">
        <f>IF(OR(""&amp;$F2293="2",""&amp;$F2293="4",""&amp;$F2293="G",""&amp;$F2293="H"),IF($AY2293="YES","",IF($AB2293&lt;&gt;0,"",IF(COUNTIFS('AR SALES'!$L$2:$L$2501,$L2293,'AR SALES'!$AD$2:$AD$2501,IF(""&amp;$F2293="4","OFF","ON"),'AR SALES'!$AF$2:$AF$2501,"Y")&gt;0,"","NO EXEMPTION"))),"")</f>
        <v/>
      </c>
    </row>
    <row r="2294" spans="46:54" x14ac:dyDescent="0.25">
      <c r="AT2294" s="2" t="str">
        <f>IF($L2294="","",IFERROR(INDEX('AR SALES'!$H$2:$H$2501,MATCH(""&amp;$L2294,'AR SALES'!$AE$2:$AE$2501,0)),""))</f>
        <v/>
      </c>
      <c r="AU2294" s="2" t="str">
        <f t="shared" si="140"/>
        <v/>
      </c>
      <c r="AV2294" s="2" t="str">
        <f t="shared" si="141"/>
        <v/>
      </c>
      <c r="AW2294" s="2" t="str">
        <f t="shared" si="142"/>
        <v/>
      </c>
      <c r="AX2294" s="2" t="str">
        <f t="shared" si="143"/>
        <v/>
      </c>
      <c r="AY2294" s="2" t="str">
        <f>IF($AV2294="","",IF(AND($Z2294=0,COUNTIF('AR SALES'!$L$2:$L$2501,$L2294)=0),"YES",""))</f>
        <v/>
      </c>
      <c r="AZ2294" s="2" t="str">
        <f>IF($AV2294="","",IF(COUNTIF(LISTS!$C$2:$C$250,$AU2294)=0,"NEW",""))</f>
        <v/>
      </c>
      <c r="BA2294" s="2" t="str">
        <f>IF(""&amp;$F2294&lt;&gt;"4","",IF($AY2294="YES","",IF(ROUND(SUMIFS($AE$2:$AE$4001,$L$2:$L$4001,$L2294,$F$2:$F$4001,"4")-SUMIFS('AR SALES'!$Y$2:$Y$2501,'AR SALES'!$L$2:$L$2501,$L2294,'AR SALES'!$AD$2:$AD$2501,"OFF"),2)=0,"","STALE")))</f>
        <v/>
      </c>
      <c r="BB2294" s="2" t="str">
        <f>IF(OR(""&amp;$F2294="2",""&amp;$F2294="4",""&amp;$F2294="G",""&amp;$F2294="H"),IF($AY2294="YES","",IF($AB2294&lt;&gt;0,"",IF(COUNTIFS('AR SALES'!$L$2:$L$2501,$L2294,'AR SALES'!$AD$2:$AD$2501,IF(""&amp;$F2294="4","OFF","ON"),'AR SALES'!$AF$2:$AF$2501,"Y")&gt;0,"","NO EXEMPTION"))),"")</f>
        <v/>
      </c>
    </row>
    <row r="2295" spans="46:54" x14ac:dyDescent="0.25">
      <c r="AT2295" s="2" t="str">
        <f>IF($L2295="","",IFERROR(INDEX('AR SALES'!$H$2:$H$2501,MATCH(""&amp;$L2295,'AR SALES'!$AE$2:$AE$2501,0)),""))</f>
        <v/>
      </c>
      <c r="AU2295" s="2" t="str">
        <f t="shared" si="140"/>
        <v/>
      </c>
      <c r="AV2295" s="2" t="str">
        <f t="shared" si="141"/>
        <v/>
      </c>
      <c r="AW2295" s="2" t="str">
        <f t="shared" si="142"/>
        <v/>
      </c>
      <c r="AX2295" s="2" t="str">
        <f t="shared" si="143"/>
        <v/>
      </c>
      <c r="AY2295" s="2" t="str">
        <f>IF($AV2295="","",IF(AND($Z2295=0,COUNTIF('AR SALES'!$L$2:$L$2501,$L2295)=0),"YES",""))</f>
        <v/>
      </c>
      <c r="AZ2295" s="2" t="str">
        <f>IF($AV2295="","",IF(COUNTIF(LISTS!$C$2:$C$250,$AU2295)=0,"NEW",""))</f>
        <v/>
      </c>
      <c r="BA2295" s="2" t="str">
        <f>IF(""&amp;$F2295&lt;&gt;"4","",IF($AY2295="YES","",IF(ROUND(SUMIFS($AE$2:$AE$4001,$L$2:$L$4001,$L2295,$F$2:$F$4001,"4")-SUMIFS('AR SALES'!$Y$2:$Y$2501,'AR SALES'!$L$2:$L$2501,$L2295,'AR SALES'!$AD$2:$AD$2501,"OFF"),2)=0,"","STALE")))</f>
        <v/>
      </c>
      <c r="BB2295" s="2" t="str">
        <f>IF(OR(""&amp;$F2295="2",""&amp;$F2295="4",""&amp;$F2295="G",""&amp;$F2295="H"),IF($AY2295="YES","",IF($AB2295&lt;&gt;0,"",IF(COUNTIFS('AR SALES'!$L$2:$L$2501,$L2295,'AR SALES'!$AD$2:$AD$2501,IF(""&amp;$F2295="4","OFF","ON"),'AR SALES'!$AF$2:$AF$2501,"Y")&gt;0,"","NO EXEMPTION"))),"")</f>
        <v/>
      </c>
    </row>
    <row r="2296" spans="46:54" x14ac:dyDescent="0.25">
      <c r="AT2296" s="2" t="str">
        <f>IF($L2296="","",IFERROR(INDEX('AR SALES'!$H$2:$H$2501,MATCH(""&amp;$L2296,'AR SALES'!$AE$2:$AE$2501,0)),""))</f>
        <v/>
      </c>
      <c r="AU2296" s="2" t="str">
        <f t="shared" si="140"/>
        <v/>
      </c>
      <c r="AV2296" s="2" t="str">
        <f t="shared" si="141"/>
        <v/>
      </c>
      <c r="AW2296" s="2" t="str">
        <f t="shared" si="142"/>
        <v/>
      </c>
      <c r="AX2296" s="2" t="str">
        <f t="shared" si="143"/>
        <v/>
      </c>
      <c r="AY2296" s="2" t="str">
        <f>IF($AV2296="","",IF(AND($Z2296=0,COUNTIF('AR SALES'!$L$2:$L$2501,$L2296)=0),"YES",""))</f>
        <v/>
      </c>
      <c r="AZ2296" s="2" t="str">
        <f>IF($AV2296="","",IF(COUNTIF(LISTS!$C$2:$C$250,$AU2296)=0,"NEW",""))</f>
        <v/>
      </c>
      <c r="BA2296" s="2" t="str">
        <f>IF(""&amp;$F2296&lt;&gt;"4","",IF($AY2296="YES","",IF(ROUND(SUMIFS($AE$2:$AE$4001,$L$2:$L$4001,$L2296,$F$2:$F$4001,"4")-SUMIFS('AR SALES'!$Y$2:$Y$2501,'AR SALES'!$L$2:$L$2501,$L2296,'AR SALES'!$AD$2:$AD$2501,"OFF"),2)=0,"","STALE")))</f>
        <v/>
      </c>
      <c r="BB2296" s="2" t="str">
        <f>IF(OR(""&amp;$F2296="2",""&amp;$F2296="4",""&amp;$F2296="G",""&amp;$F2296="H"),IF($AY2296="YES","",IF($AB2296&lt;&gt;0,"",IF(COUNTIFS('AR SALES'!$L$2:$L$2501,$L2296,'AR SALES'!$AD$2:$AD$2501,IF(""&amp;$F2296="4","OFF","ON"),'AR SALES'!$AF$2:$AF$2501,"Y")&gt;0,"","NO EXEMPTION"))),"")</f>
        <v/>
      </c>
    </row>
    <row r="2297" spans="46:54" x14ac:dyDescent="0.25">
      <c r="AT2297" s="2" t="str">
        <f>IF($L2297="","",IFERROR(INDEX('AR SALES'!$H$2:$H$2501,MATCH(""&amp;$L2297,'AR SALES'!$AE$2:$AE$2501,0)),""))</f>
        <v/>
      </c>
      <c r="AU2297" s="2" t="str">
        <f t="shared" si="140"/>
        <v/>
      </c>
      <c r="AV2297" s="2" t="str">
        <f t="shared" si="141"/>
        <v/>
      </c>
      <c r="AW2297" s="2" t="str">
        <f t="shared" si="142"/>
        <v/>
      </c>
      <c r="AX2297" s="2" t="str">
        <f t="shared" si="143"/>
        <v/>
      </c>
      <c r="AY2297" s="2" t="str">
        <f>IF($AV2297="","",IF(AND($Z2297=0,COUNTIF('AR SALES'!$L$2:$L$2501,$L2297)=0),"YES",""))</f>
        <v/>
      </c>
      <c r="AZ2297" s="2" t="str">
        <f>IF($AV2297="","",IF(COUNTIF(LISTS!$C$2:$C$250,$AU2297)=0,"NEW",""))</f>
        <v/>
      </c>
      <c r="BA2297" s="2" t="str">
        <f>IF(""&amp;$F2297&lt;&gt;"4","",IF($AY2297="YES","",IF(ROUND(SUMIFS($AE$2:$AE$4001,$L$2:$L$4001,$L2297,$F$2:$F$4001,"4")-SUMIFS('AR SALES'!$Y$2:$Y$2501,'AR SALES'!$L$2:$L$2501,$L2297,'AR SALES'!$AD$2:$AD$2501,"OFF"),2)=0,"","STALE")))</f>
        <v/>
      </c>
      <c r="BB2297" s="2" t="str">
        <f>IF(OR(""&amp;$F2297="2",""&amp;$F2297="4",""&amp;$F2297="G",""&amp;$F2297="H"),IF($AY2297="YES","",IF($AB2297&lt;&gt;0,"",IF(COUNTIFS('AR SALES'!$L$2:$L$2501,$L2297,'AR SALES'!$AD$2:$AD$2501,IF(""&amp;$F2297="4","OFF","ON"),'AR SALES'!$AF$2:$AF$2501,"Y")&gt;0,"","NO EXEMPTION"))),"")</f>
        <v/>
      </c>
    </row>
    <row r="2298" spans="46:54" x14ac:dyDescent="0.25">
      <c r="AT2298" s="2" t="str">
        <f>IF($L2298="","",IFERROR(INDEX('AR SALES'!$H$2:$H$2501,MATCH(""&amp;$L2298,'AR SALES'!$AE$2:$AE$2501,0)),""))</f>
        <v/>
      </c>
      <c r="AU2298" s="2" t="str">
        <f t="shared" si="140"/>
        <v/>
      </c>
      <c r="AV2298" s="2" t="str">
        <f t="shared" si="141"/>
        <v/>
      </c>
      <c r="AW2298" s="2" t="str">
        <f t="shared" si="142"/>
        <v/>
      </c>
      <c r="AX2298" s="2" t="str">
        <f t="shared" si="143"/>
        <v/>
      </c>
      <c r="AY2298" s="2" t="str">
        <f>IF($AV2298="","",IF(AND($Z2298=0,COUNTIF('AR SALES'!$L$2:$L$2501,$L2298)=0),"YES",""))</f>
        <v/>
      </c>
      <c r="AZ2298" s="2" t="str">
        <f>IF($AV2298="","",IF(COUNTIF(LISTS!$C$2:$C$250,$AU2298)=0,"NEW",""))</f>
        <v/>
      </c>
      <c r="BA2298" s="2" t="str">
        <f>IF(""&amp;$F2298&lt;&gt;"4","",IF($AY2298="YES","",IF(ROUND(SUMIFS($AE$2:$AE$4001,$L$2:$L$4001,$L2298,$F$2:$F$4001,"4")-SUMIFS('AR SALES'!$Y$2:$Y$2501,'AR SALES'!$L$2:$L$2501,$L2298,'AR SALES'!$AD$2:$AD$2501,"OFF"),2)=0,"","STALE")))</f>
        <v/>
      </c>
      <c r="BB2298" s="2" t="str">
        <f>IF(OR(""&amp;$F2298="2",""&amp;$F2298="4",""&amp;$F2298="G",""&amp;$F2298="H"),IF($AY2298="YES","",IF($AB2298&lt;&gt;0,"",IF(COUNTIFS('AR SALES'!$L$2:$L$2501,$L2298,'AR SALES'!$AD$2:$AD$2501,IF(""&amp;$F2298="4","OFF","ON"),'AR SALES'!$AF$2:$AF$2501,"Y")&gt;0,"","NO EXEMPTION"))),"")</f>
        <v/>
      </c>
    </row>
    <row r="2299" spans="46:54" x14ac:dyDescent="0.25">
      <c r="AT2299" s="2" t="str">
        <f>IF($L2299="","",IFERROR(INDEX('AR SALES'!$H$2:$H$2501,MATCH(""&amp;$L2299,'AR SALES'!$AE$2:$AE$2501,0)),""))</f>
        <v/>
      </c>
      <c r="AU2299" s="2" t="str">
        <f t="shared" si="140"/>
        <v/>
      </c>
      <c r="AV2299" s="2" t="str">
        <f t="shared" si="141"/>
        <v/>
      </c>
      <c r="AW2299" s="2" t="str">
        <f t="shared" si="142"/>
        <v/>
      </c>
      <c r="AX2299" s="2" t="str">
        <f t="shared" si="143"/>
        <v/>
      </c>
      <c r="AY2299" s="2" t="str">
        <f>IF($AV2299="","",IF(AND($Z2299=0,COUNTIF('AR SALES'!$L$2:$L$2501,$L2299)=0),"YES",""))</f>
        <v/>
      </c>
      <c r="AZ2299" s="2" t="str">
        <f>IF($AV2299="","",IF(COUNTIF(LISTS!$C$2:$C$250,$AU2299)=0,"NEW",""))</f>
        <v/>
      </c>
      <c r="BA2299" s="2" t="str">
        <f>IF(""&amp;$F2299&lt;&gt;"4","",IF($AY2299="YES","",IF(ROUND(SUMIFS($AE$2:$AE$4001,$L$2:$L$4001,$L2299,$F$2:$F$4001,"4")-SUMIFS('AR SALES'!$Y$2:$Y$2501,'AR SALES'!$L$2:$L$2501,$L2299,'AR SALES'!$AD$2:$AD$2501,"OFF"),2)=0,"","STALE")))</f>
        <v/>
      </c>
      <c r="BB2299" s="2" t="str">
        <f>IF(OR(""&amp;$F2299="2",""&amp;$F2299="4",""&amp;$F2299="G",""&amp;$F2299="H"),IF($AY2299="YES","",IF($AB2299&lt;&gt;0,"",IF(COUNTIFS('AR SALES'!$L$2:$L$2501,$L2299,'AR SALES'!$AD$2:$AD$2501,IF(""&amp;$F2299="4","OFF","ON"),'AR SALES'!$AF$2:$AF$2501,"Y")&gt;0,"","NO EXEMPTION"))),"")</f>
        <v/>
      </c>
    </row>
    <row r="2300" spans="46:54" x14ac:dyDescent="0.25">
      <c r="AT2300" s="2" t="str">
        <f>IF($L2300="","",IFERROR(INDEX('AR SALES'!$H$2:$H$2501,MATCH(""&amp;$L2300,'AR SALES'!$AE$2:$AE$2501,0)),""))</f>
        <v/>
      </c>
      <c r="AU2300" s="2" t="str">
        <f t="shared" si="140"/>
        <v/>
      </c>
      <c r="AV2300" s="2" t="str">
        <f t="shared" si="141"/>
        <v/>
      </c>
      <c r="AW2300" s="2" t="str">
        <f t="shared" si="142"/>
        <v/>
      </c>
      <c r="AX2300" s="2" t="str">
        <f t="shared" si="143"/>
        <v/>
      </c>
      <c r="AY2300" s="2" t="str">
        <f>IF($AV2300="","",IF(AND($Z2300=0,COUNTIF('AR SALES'!$L$2:$L$2501,$L2300)=0),"YES",""))</f>
        <v/>
      </c>
      <c r="AZ2300" s="2" t="str">
        <f>IF($AV2300="","",IF(COUNTIF(LISTS!$C$2:$C$250,$AU2300)=0,"NEW",""))</f>
        <v/>
      </c>
      <c r="BA2300" s="2" t="str">
        <f>IF(""&amp;$F2300&lt;&gt;"4","",IF($AY2300="YES","",IF(ROUND(SUMIFS($AE$2:$AE$4001,$L$2:$L$4001,$L2300,$F$2:$F$4001,"4")-SUMIFS('AR SALES'!$Y$2:$Y$2501,'AR SALES'!$L$2:$L$2501,$L2300,'AR SALES'!$AD$2:$AD$2501,"OFF"),2)=0,"","STALE")))</f>
        <v/>
      </c>
      <c r="BB2300" s="2" t="str">
        <f>IF(OR(""&amp;$F2300="2",""&amp;$F2300="4",""&amp;$F2300="G",""&amp;$F2300="H"),IF($AY2300="YES","",IF($AB2300&lt;&gt;0,"",IF(COUNTIFS('AR SALES'!$L$2:$L$2501,$L2300,'AR SALES'!$AD$2:$AD$2501,IF(""&amp;$F2300="4","OFF","ON"),'AR SALES'!$AF$2:$AF$2501,"Y")&gt;0,"","NO EXEMPTION"))),"")</f>
        <v/>
      </c>
    </row>
    <row r="2301" spans="46:54" x14ac:dyDescent="0.25">
      <c r="AT2301" s="2" t="str">
        <f>IF($L2301="","",IFERROR(INDEX('AR SALES'!$H$2:$H$2501,MATCH(""&amp;$L2301,'AR SALES'!$AE$2:$AE$2501,0)),""))</f>
        <v/>
      </c>
      <c r="AU2301" s="2" t="str">
        <f t="shared" si="140"/>
        <v/>
      </c>
      <c r="AV2301" s="2" t="str">
        <f t="shared" si="141"/>
        <v/>
      </c>
      <c r="AW2301" s="2" t="str">
        <f t="shared" si="142"/>
        <v/>
      </c>
      <c r="AX2301" s="2" t="str">
        <f t="shared" si="143"/>
        <v/>
      </c>
      <c r="AY2301" s="2" t="str">
        <f>IF($AV2301="","",IF(AND($Z2301=0,COUNTIF('AR SALES'!$L$2:$L$2501,$L2301)=0),"YES",""))</f>
        <v/>
      </c>
      <c r="AZ2301" s="2" t="str">
        <f>IF($AV2301="","",IF(COUNTIF(LISTS!$C$2:$C$250,$AU2301)=0,"NEW",""))</f>
        <v/>
      </c>
      <c r="BA2301" s="2" t="str">
        <f>IF(""&amp;$F2301&lt;&gt;"4","",IF($AY2301="YES","",IF(ROUND(SUMIFS($AE$2:$AE$4001,$L$2:$L$4001,$L2301,$F$2:$F$4001,"4")-SUMIFS('AR SALES'!$Y$2:$Y$2501,'AR SALES'!$L$2:$L$2501,$L2301,'AR SALES'!$AD$2:$AD$2501,"OFF"),2)=0,"","STALE")))</f>
        <v/>
      </c>
      <c r="BB2301" s="2" t="str">
        <f>IF(OR(""&amp;$F2301="2",""&amp;$F2301="4",""&amp;$F2301="G",""&amp;$F2301="H"),IF($AY2301="YES","",IF($AB2301&lt;&gt;0,"",IF(COUNTIFS('AR SALES'!$L$2:$L$2501,$L2301,'AR SALES'!$AD$2:$AD$2501,IF(""&amp;$F2301="4","OFF","ON"),'AR SALES'!$AF$2:$AF$2501,"Y")&gt;0,"","NO EXEMPTION"))),"")</f>
        <v/>
      </c>
    </row>
    <row r="2302" spans="46:54" x14ac:dyDescent="0.25">
      <c r="AT2302" s="2" t="str">
        <f>IF($L2302="","",IFERROR(INDEX('AR SALES'!$H$2:$H$2501,MATCH(""&amp;$L2302,'AR SALES'!$AE$2:$AE$2501,0)),""))</f>
        <v/>
      </c>
      <c r="AU2302" s="2" t="str">
        <f t="shared" si="140"/>
        <v/>
      </c>
      <c r="AV2302" s="2" t="str">
        <f t="shared" si="141"/>
        <v/>
      </c>
      <c r="AW2302" s="2" t="str">
        <f t="shared" si="142"/>
        <v/>
      </c>
      <c r="AX2302" s="2" t="str">
        <f t="shared" si="143"/>
        <v/>
      </c>
      <c r="AY2302" s="2" t="str">
        <f>IF($AV2302="","",IF(AND($Z2302=0,COUNTIF('AR SALES'!$L$2:$L$2501,$L2302)=0),"YES",""))</f>
        <v/>
      </c>
      <c r="AZ2302" s="2" t="str">
        <f>IF($AV2302="","",IF(COUNTIF(LISTS!$C$2:$C$250,$AU2302)=0,"NEW",""))</f>
        <v/>
      </c>
      <c r="BA2302" s="2" t="str">
        <f>IF(""&amp;$F2302&lt;&gt;"4","",IF($AY2302="YES","",IF(ROUND(SUMIFS($AE$2:$AE$4001,$L$2:$L$4001,$L2302,$F$2:$F$4001,"4")-SUMIFS('AR SALES'!$Y$2:$Y$2501,'AR SALES'!$L$2:$L$2501,$L2302,'AR SALES'!$AD$2:$AD$2501,"OFF"),2)=0,"","STALE")))</f>
        <v/>
      </c>
      <c r="BB2302" s="2" t="str">
        <f>IF(OR(""&amp;$F2302="2",""&amp;$F2302="4",""&amp;$F2302="G",""&amp;$F2302="H"),IF($AY2302="YES","",IF($AB2302&lt;&gt;0,"",IF(COUNTIFS('AR SALES'!$L$2:$L$2501,$L2302,'AR SALES'!$AD$2:$AD$2501,IF(""&amp;$F2302="4","OFF","ON"),'AR SALES'!$AF$2:$AF$2501,"Y")&gt;0,"","NO EXEMPTION"))),"")</f>
        <v/>
      </c>
    </row>
    <row r="2303" spans="46:54" x14ac:dyDescent="0.25">
      <c r="AT2303" s="2" t="str">
        <f>IF($L2303="","",IFERROR(INDEX('AR SALES'!$H$2:$H$2501,MATCH(""&amp;$L2303,'AR SALES'!$AE$2:$AE$2501,0)),""))</f>
        <v/>
      </c>
      <c r="AU2303" s="2" t="str">
        <f t="shared" si="140"/>
        <v/>
      </c>
      <c r="AV2303" s="2" t="str">
        <f t="shared" si="141"/>
        <v/>
      </c>
      <c r="AW2303" s="2" t="str">
        <f t="shared" si="142"/>
        <v/>
      </c>
      <c r="AX2303" s="2" t="str">
        <f t="shared" si="143"/>
        <v/>
      </c>
      <c r="AY2303" s="2" t="str">
        <f>IF($AV2303="","",IF(AND($Z2303=0,COUNTIF('AR SALES'!$L$2:$L$2501,$L2303)=0),"YES",""))</f>
        <v/>
      </c>
      <c r="AZ2303" s="2" t="str">
        <f>IF($AV2303="","",IF(COUNTIF(LISTS!$C$2:$C$250,$AU2303)=0,"NEW",""))</f>
        <v/>
      </c>
      <c r="BA2303" s="2" t="str">
        <f>IF(""&amp;$F2303&lt;&gt;"4","",IF($AY2303="YES","",IF(ROUND(SUMIFS($AE$2:$AE$4001,$L$2:$L$4001,$L2303,$F$2:$F$4001,"4")-SUMIFS('AR SALES'!$Y$2:$Y$2501,'AR SALES'!$L$2:$L$2501,$L2303,'AR SALES'!$AD$2:$AD$2501,"OFF"),2)=0,"","STALE")))</f>
        <v/>
      </c>
      <c r="BB2303" s="2" t="str">
        <f>IF(OR(""&amp;$F2303="2",""&amp;$F2303="4",""&amp;$F2303="G",""&amp;$F2303="H"),IF($AY2303="YES","",IF($AB2303&lt;&gt;0,"",IF(COUNTIFS('AR SALES'!$L$2:$L$2501,$L2303,'AR SALES'!$AD$2:$AD$2501,IF(""&amp;$F2303="4","OFF","ON"),'AR SALES'!$AF$2:$AF$2501,"Y")&gt;0,"","NO EXEMPTION"))),"")</f>
        <v/>
      </c>
    </row>
    <row r="2304" spans="46:54" x14ac:dyDescent="0.25">
      <c r="AT2304" s="2" t="str">
        <f>IF($L2304="","",IFERROR(INDEX('AR SALES'!$H$2:$H$2501,MATCH(""&amp;$L2304,'AR SALES'!$AE$2:$AE$2501,0)),""))</f>
        <v/>
      </c>
      <c r="AU2304" s="2" t="str">
        <f t="shared" si="140"/>
        <v/>
      </c>
      <c r="AV2304" s="2" t="str">
        <f t="shared" si="141"/>
        <v/>
      </c>
      <c r="AW2304" s="2" t="str">
        <f t="shared" si="142"/>
        <v/>
      </c>
      <c r="AX2304" s="2" t="str">
        <f t="shared" si="143"/>
        <v/>
      </c>
      <c r="AY2304" s="2" t="str">
        <f>IF($AV2304="","",IF(AND($Z2304=0,COUNTIF('AR SALES'!$L$2:$L$2501,$L2304)=0),"YES",""))</f>
        <v/>
      </c>
      <c r="AZ2304" s="2" t="str">
        <f>IF($AV2304="","",IF(COUNTIF(LISTS!$C$2:$C$250,$AU2304)=0,"NEW",""))</f>
        <v/>
      </c>
      <c r="BA2304" s="2" t="str">
        <f>IF(""&amp;$F2304&lt;&gt;"4","",IF($AY2304="YES","",IF(ROUND(SUMIFS($AE$2:$AE$4001,$L$2:$L$4001,$L2304,$F$2:$F$4001,"4")-SUMIFS('AR SALES'!$Y$2:$Y$2501,'AR SALES'!$L$2:$L$2501,$L2304,'AR SALES'!$AD$2:$AD$2501,"OFF"),2)=0,"","STALE")))</f>
        <v/>
      </c>
      <c r="BB2304" s="2" t="str">
        <f>IF(OR(""&amp;$F2304="2",""&amp;$F2304="4",""&amp;$F2304="G",""&amp;$F2304="H"),IF($AY2304="YES","",IF($AB2304&lt;&gt;0,"",IF(COUNTIFS('AR SALES'!$L$2:$L$2501,$L2304,'AR SALES'!$AD$2:$AD$2501,IF(""&amp;$F2304="4","OFF","ON"),'AR SALES'!$AF$2:$AF$2501,"Y")&gt;0,"","NO EXEMPTION"))),"")</f>
        <v/>
      </c>
    </row>
    <row r="2305" spans="46:54" x14ac:dyDescent="0.25">
      <c r="AT2305" s="2" t="str">
        <f>IF($L2305="","",IFERROR(INDEX('AR SALES'!$H$2:$H$2501,MATCH(""&amp;$L2305,'AR SALES'!$AE$2:$AE$2501,0)),""))</f>
        <v/>
      </c>
      <c r="AU2305" s="2" t="str">
        <f t="shared" si="140"/>
        <v/>
      </c>
      <c r="AV2305" s="2" t="str">
        <f t="shared" si="141"/>
        <v/>
      </c>
      <c r="AW2305" s="2" t="str">
        <f t="shared" si="142"/>
        <v/>
      </c>
      <c r="AX2305" s="2" t="str">
        <f t="shared" si="143"/>
        <v/>
      </c>
      <c r="AY2305" s="2" t="str">
        <f>IF($AV2305="","",IF(AND($Z2305=0,COUNTIF('AR SALES'!$L$2:$L$2501,$L2305)=0),"YES",""))</f>
        <v/>
      </c>
      <c r="AZ2305" s="2" t="str">
        <f>IF($AV2305="","",IF(COUNTIF(LISTS!$C$2:$C$250,$AU2305)=0,"NEW",""))</f>
        <v/>
      </c>
      <c r="BA2305" s="2" t="str">
        <f>IF(""&amp;$F2305&lt;&gt;"4","",IF($AY2305="YES","",IF(ROUND(SUMIFS($AE$2:$AE$4001,$L$2:$L$4001,$L2305,$F$2:$F$4001,"4")-SUMIFS('AR SALES'!$Y$2:$Y$2501,'AR SALES'!$L$2:$L$2501,$L2305,'AR SALES'!$AD$2:$AD$2501,"OFF"),2)=0,"","STALE")))</f>
        <v/>
      </c>
      <c r="BB2305" s="2" t="str">
        <f>IF(OR(""&amp;$F2305="2",""&amp;$F2305="4",""&amp;$F2305="G",""&amp;$F2305="H"),IF($AY2305="YES","",IF($AB2305&lt;&gt;0,"",IF(COUNTIFS('AR SALES'!$L$2:$L$2501,$L2305,'AR SALES'!$AD$2:$AD$2501,IF(""&amp;$F2305="4","OFF","ON"),'AR SALES'!$AF$2:$AF$2501,"Y")&gt;0,"","NO EXEMPTION"))),"")</f>
        <v/>
      </c>
    </row>
    <row r="2306" spans="46:54" x14ac:dyDescent="0.25">
      <c r="AT2306" s="2" t="str">
        <f>IF($L2306="","",IFERROR(INDEX('AR SALES'!$H$2:$H$2501,MATCH(""&amp;$L2306,'AR SALES'!$AE$2:$AE$2501,0)),""))</f>
        <v/>
      </c>
      <c r="AU2306" s="2" t="str">
        <f t="shared" ref="AU2306:AU2369" si="144">IF($L2306="","",IF($A2306&lt;&gt;"GA","",IF($E2306="FULTON",IF(ISNUMBER(SEARCH("COLLEGE PARK",$AT2306)),"FULTON (COLLEGE PARK)",IF(ISNUMBER(SEARCH("ATLANTA CITY",$AT2306)),"FULTON (ATL LIMITS)","FULTON")),IF($E2306="DEKALB",IF(ISNUMBER(SEARCH("ATLANTA CITY",$AT2306)),"DEKALB (ATL LIMITS)","DEKALB"),$E2306))))</f>
        <v/>
      </c>
      <c r="AV2306" s="2" t="str">
        <f t="shared" ref="AV2306:AV2369" si="145">IF($L2306="","",IF(""&amp;$F2306="2","DIESEL",IF(OR(""&amp;$F2306="G",""&amp;$F2306="H"),"GAS","")))</f>
        <v/>
      </c>
      <c r="AW2306" s="2" t="str">
        <f t="shared" ref="AW2306:AW2369" si="146">IF($AV2306="","",$R2306)</f>
        <v/>
      </c>
      <c r="AX2306" s="2" t="str">
        <f t="shared" ref="AX2306:AX2369" si="147">IF($AV2306="","",IF($AB2306=0,$R2306,0))</f>
        <v/>
      </c>
      <c r="AY2306" s="2" t="str">
        <f>IF($AV2306="","",IF(AND($Z2306=0,COUNTIF('AR SALES'!$L$2:$L$2501,$L2306)=0),"YES",""))</f>
        <v/>
      </c>
      <c r="AZ2306" s="2" t="str">
        <f>IF($AV2306="","",IF(COUNTIF(LISTS!$C$2:$C$250,$AU2306)=0,"NEW",""))</f>
        <v/>
      </c>
      <c r="BA2306" s="2" t="str">
        <f>IF(""&amp;$F2306&lt;&gt;"4","",IF($AY2306="YES","",IF(ROUND(SUMIFS($AE$2:$AE$4001,$L$2:$L$4001,$L2306,$F$2:$F$4001,"4")-SUMIFS('AR SALES'!$Y$2:$Y$2501,'AR SALES'!$L$2:$L$2501,$L2306,'AR SALES'!$AD$2:$AD$2501,"OFF"),2)=0,"","STALE")))</f>
        <v/>
      </c>
      <c r="BB2306" s="2" t="str">
        <f>IF(OR(""&amp;$F2306="2",""&amp;$F2306="4",""&amp;$F2306="G",""&amp;$F2306="H"),IF($AY2306="YES","",IF($AB2306&lt;&gt;0,"",IF(COUNTIFS('AR SALES'!$L$2:$L$2501,$L2306,'AR SALES'!$AD$2:$AD$2501,IF(""&amp;$F2306="4","OFF","ON"),'AR SALES'!$AF$2:$AF$2501,"Y")&gt;0,"","NO EXEMPTION"))),"")</f>
        <v/>
      </c>
    </row>
    <row r="2307" spans="46:54" x14ac:dyDescent="0.25">
      <c r="AT2307" s="2" t="str">
        <f>IF($L2307="","",IFERROR(INDEX('AR SALES'!$H$2:$H$2501,MATCH(""&amp;$L2307,'AR SALES'!$AE$2:$AE$2501,0)),""))</f>
        <v/>
      </c>
      <c r="AU2307" s="2" t="str">
        <f t="shared" si="144"/>
        <v/>
      </c>
      <c r="AV2307" s="2" t="str">
        <f t="shared" si="145"/>
        <v/>
      </c>
      <c r="AW2307" s="2" t="str">
        <f t="shared" si="146"/>
        <v/>
      </c>
      <c r="AX2307" s="2" t="str">
        <f t="shared" si="147"/>
        <v/>
      </c>
      <c r="AY2307" s="2" t="str">
        <f>IF($AV2307="","",IF(AND($Z2307=0,COUNTIF('AR SALES'!$L$2:$L$2501,$L2307)=0),"YES",""))</f>
        <v/>
      </c>
      <c r="AZ2307" s="2" t="str">
        <f>IF($AV2307="","",IF(COUNTIF(LISTS!$C$2:$C$250,$AU2307)=0,"NEW",""))</f>
        <v/>
      </c>
      <c r="BA2307" s="2" t="str">
        <f>IF(""&amp;$F2307&lt;&gt;"4","",IF($AY2307="YES","",IF(ROUND(SUMIFS($AE$2:$AE$4001,$L$2:$L$4001,$L2307,$F$2:$F$4001,"4")-SUMIFS('AR SALES'!$Y$2:$Y$2501,'AR SALES'!$L$2:$L$2501,$L2307,'AR SALES'!$AD$2:$AD$2501,"OFF"),2)=0,"","STALE")))</f>
        <v/>
      </c>
      <c r="BB2307" s="2" t="str">
        <f>IF(OR(""&amp;$F2307="2",""&amp;$F2307="4",""&amp;$F2307="G",""&amp;$F2307="H"),IF($AY2307="YES","",IF($AB2307&lt;&gt;0,"",IF(COUNTIFS('AR SALES'!$L$2:$L$2501,$L2307,'AR SALES'!$AD$2:$AD$2501,IF(""&amp;$F2307="4","OFF","ON"),'AR SALES'!$AF$2:$AF$2501,"Y")&gt;0,"","NO EXEMPTION"))),"")</f>
        <v/>
      </c>
    </row>
    <row r="2308" spans="46:54" x14ac:dyDescent="0.25">
      <c r="AT2308" s="2" t="str">
        <f>IF($L2308="","",IFERROR(INDEX('AR SALES'!$H$2:$H$2501,MATCH(""&amp;$L2308,'AR SALES'!$AE$2:$AE$2501,0)),""))</f>
        <v/>
      </c>
      <c r="AU2308" s="2" t="str">
        <f t="shared" si="144"/>
        <v/>
      </c>
      <c r="AV2308" s="2" t="str">
        <f t="shared" si="145"/>
        <v/>
      </c>
      <c r="AW2308" s="2" t="str">
        <f t="shared" si="146"/>
        <v/>
      </c>
      <c r="AX2308" s="2" t="str">
        <f t="shared" si="147"/>
        <v/>
      </c>
      <c r="AY2308" s="2" t="str">
        <f>IF($AV2308="","",IF(AND($Z2308=0,COUNTIF('AR SALES'!$L$2:$L$2501,$L2308)=0),"YES",""))</f>
        <v/>
      </c>
      <c r="AZ2308" s="2" t="str">
        <f>IF($AV2308="","",IF(COUNTIF(LISTS!$C$2:$C$250,$AU2308)=0,"NEW",""))</f>
        <v/>
      </c>
      <c r="BA2308" s="2" t="str">
        <f>IF(""&amp;$F2308&lt;&gt;"4","",IF($AY2308="YES","",IF(ROUND(SUMIFS($AE$2:$AE$4001,$L$2:$L$4001,$L2308,$F$2:$F$4001,"4")-SUMIFS('AR SALES'!$Y$2:$Y$2501,'AR SALES'!$L$2:$L$2501,$L2308,'AR SALES'!$AD$2:$AD$2501,"OFF"),2)=0,"","STALE")))</f>
        <v/>
      </c>
      <c r="BB2308" s="2" t="str">
        <f>IF(OR(""&amp;$F2308="2",""&amp;$F2308="4",""&amp;$F2308="G",""&amp;$F2308="H"),IF($AY2308="YES","",IF($AB2308&lt;&gt;0,"",IF(COUNTIFS('AR SALES'!$L$2:$L$2501,$L2308,'AR SALES'!$AD$2:$AD$2501,IF(""&amp;$F2308="4","OFF","ON"),'AR SALES'!$AF$2:$AF$2501,"Y")&gt;0,"","NO EXEMPTION"))),"")</f>
        <v/>
      </c>
    </row>
    <row r="2309" spans="46:54" x14ac:dyDescent="0.25">
      <c r="AT2309" s="2" t="str">
        <f>IF($L2309="","",IFERROR(INDEX('AR SALES'!$H$2:$H$2501,MATCH(""&amp;$L2309,'AR SALES'!$AE$2:$AE$2501,0)),""))</f>
        <v/>
      </c>
      <c r="AU2309" s="2" t="str">
        <f t="shared" si="144"/>
        <v/>
      </c>
      <c r="AV2309" s="2" t="str">
        <f t="shared" si="145"/>
        <v/>
      </c>
      <c r="AW2309" s="2" t="str">
        <f t="shared" si="146"/>
        <v/>
      </c>
      <c r="AX2309" s="2" t="str">
        <f t="shared" si="147"/>
        <v/>
      </c>
      <c r="AY2309" s="2" t="str">
        <f>IF($AV2309="","",IF(AND($Z2309=0,COUNTIF('AR SALES'!$L$2:$L$2501,$L2309)=0),"YES",""))</f>
        <v/>
      </c>
      <c r="AZ2309" s="2" t="str">
        <f>IF($AV2309="","",IF(COUNTIF(LISTS!$C$2:$C$250,$AU2309)=0,"NEW",""))</f>
        <v/>
      </c>
      <c r="BA2309" s="2" t="str">
        <f>IF(""&amp;$F2309&lt;&gt;"4","",IF($AY2309="YES","",IF(ROUND(SUMIFS($AE$2:$AE$4001,$L$2:$L$4001,$L2309,$F$2:$F$4001,"4")-SUMIFS('AR SALES'!$Y$2:$Y$2501,'AR SALES'!$L$2:$L$2501,$L2309,'AR SALES'!$AD$2:$AD$2501,"OFF"),2)=0,"","STALE")))</f>
        <v/>
      </c>
      <c r="BB2309" s="2" t="str">
        <f>IF(OR(""&amp;$F2309="2",""&amp;$F2309="4",""&amp;$F2309="G",""&amp;$F2309="H"),IF($AY2309="YES","",IF($AB2309&lt;&gt;0,"",IF(COUNTIFS('AR SALES'!$L$2:$L$2501,$L2309,'AR SALES'!$AD$2:$AD$2501,IF(""&amp;$F2309="4","OFF","ON"),'AR SALES'!$AF$2:$AF$2501,"Y")&gt;0,"","NO EXEMPTION"))),"")</f>
        <v/>
      </c>
    </row>
    <row r="2310" spans="46:54" x14ac:dyDescent="0.25">
      <c r="AT2310" s="2" t="str">
        <f>IF($L2310="","",IFERROR(INDEX('AR SALES'!$H$2:$H$2501,MATCH(""&amp;$L2310,'AR SALES'!$AE$2:$AE$2501,0)),""))</f>
        <v/>
      </c>
      <c r="AU2310" s="2" t="str">
        <f t="shared" si="144"/>
        <v/>
      </c>
      <c r="AV2310" s="2" t="str">
        <f t="shared" si="145"/>
        <v/>
      </c>
      <c r="AW2310" s="2" t="str">
        <f t="shared" si="146"/>
        <v/>
      </c>
      <c r="AX2310" s="2" t="str">
        <f t="shared" si="147"/>
        <v/>
      </c>
      <c r="AY2310" s="2" t="str">
        <f>IF($AV2310="","",IF(AND($Z2310=0,COUNTIF('AR SALES'!$L$2:$L$2501,$L2310)=0),"YES",""))</f>
        <v/>
      </c>
      <c r="AZ2310" s="2" t="str">
        <f>IF($AV2310="","",IF(COUNTIF(LISTS!$C$2:$C$250,$AU2310)=0,"NEW",""))</f>
        <v/>
      </c>
      <c r="BA2310" s="2" t="str">
        <f>IF(""&amp;$F2310&lt;&gt;"4","",IF($AY2310="YES","",IF(ROUND(SUMIFS($AE$2:$AE$4001,$L$2:$L$4001,$L2310,$F$2:$F$4001,"4")-SUMIFS('AR SALES'!$Y$2:$Y$2501,'AR SALES'!$L$2:$L$2501,$L2310,'AR SALES'!$AD$2:$AD$2501,"OFF"),2)=0,"","STALE")))</f>
        <v/>
      </c>
      <c r="BB2310" s="2" t="str">
        <f>IF(OR(""&amp;$F2310="2",""&amp;$F2310="4",""&amp;$F2310="G",""&amp;$F2310="H"),IF($AY2310="YES","",IF($AB2310&lt;&gt;0,"",IF(COUNTIFS('AR SALES'!$L$2:$L$2501,$L2310,'AR SALES'!$AD$2:$AD$2501,IF(""&amp;$F2310="4","OFF","ON"),'AR SALES'!$AF$2:$AF$2501,"Y")&gt;0,"","NO EXEMPTION"))),"")</f>
        <v/>
      </c>
    </row>
    <row r="2311" spans="46:54" x14ac:dyDescent="0.25">
      <c r="AT2311" s="2" t="str">
        <f>IF($L2311="","",IFERROR(INDEX('AR SALES'!$H$2:$H$2501,MATCH(""&amp;$L2311,'AR SALES'!$AE$2:$AE$2501,0)),""))</f>
        <v/>
      </c>
      <c r="AU2311" s="2" t="str">
        <f t="shared" si="144"/>
        <v/>
      </c>
      <c r="AV2311" s="2" t="str">
        <f t="shared" si="145"/>
        <v/>
      </c>
      <c r="AW2311" s="2" t="str">
        <f t="shared" si="146"/>
        <v/>
      </c>
      <c r="AX2311" s="2" t="str">
        <f t="shared" si="147"/>
        <v/>
      </c>
      <c r="AY2311" s="2" t="str">
        <f>IF($AV2311="","",IF(AND($Z2311=0,COUNTIF('AR SALES'!$L$2:$L$2501,$L2311)=0),"YES",""))</f>
        <v/>
      </c>
      <c r="AZ2311" s="2" t="str">
        <f>IF($AV2311="","",IF(COUNTIF(LISTS!$C$2:$C$250,$AU2311)=0,"NEW",""))</f>
        <v/>
      </c>
      <c r="BA2311" s="2" t="str">
        <f>IF(""&amp;$F2311&lt;&gt;"4","",IF($AY2311="YES","",IF(ROUND(SUMIFS($AE$2:$AE$4001,$L$2:$L$4001,$L2311,$F$2:$F$4001,"4")-SUMIFS('AR SALES'!$Y$2:$Y$2501,'AR SALES'!$L$2:$L$2501,$L2311,'AR SALES'!$AD$2:$AD$2501,"OFF"),2)=0,"","STALE")))</f>
        <v/>
      </c>
      <c r="BB2311" s="2" t="str">
        <f>IF(OR(""&amp;$F2311="2",""&amp;$F2311="4",""&amp;$F2311="G",""&amp;$F2311="H"),IF($AY2311="YES","",IF($AB2311&lt;&gt;0,"",IF(COUNTIFS('AR SALES'!$L$2:$L$2501,$L2311,'AR SALES'!$AD$2:$AD$2501,IF(""&amp;$F2311="4","OFF","ON"),'AR SALES'!$AF$2:$AF$2501,"Y")&gt;0,"","NO EXEMPTION"))),"")</f>
        <v/>
      </c>
    </row>
    <row r="2312" spans="46:54" x14ac:dyDescent="0.25">
      <c r="AT2312" s="2" t="str">
        <f>IF($L2312="","",IFERROR(INDEX('AR SALES'!$H$2:$H$2501,MATCH(""&amp;$L2312,'AR SALES'!$AE$2:$AE$2501,0)),""))</f>
        <v/>
      </c>
      <c r="AU2312" s="2" t="str">
        <f t="shared" si="144"/>
        <v/>
      </c>
      <c r="AV2312" s="2" t="str">
        <f t="shared" si="145"/>
        <v/>
      </c>
      <c r="AW2312" s="2" t="str">
        <f t="shared" si="146"/>
        <v/>
      </c>
      <c r="AX2312" s="2" t="str">
        <f t="shared" si="147"/>
        <v/>
      </c>
      <c r="AY2312" s="2" t="str">
        <f>IF($AV2312="","",IF(AND($Z2312=0,COUNTIF('AR SALES'!$L$2:$L$2501,$L2312)=0),"YES",""))</f>
        <v/>
      </c>
      <c r="AZ2312" s="2" t="str">
        <f>IF($AV2312="","",IF(COUNTIF(LISTS!$C$2:$C$250,$AU2312)=0,"NEW",""))</f>
        <v/>
      </c>
      <c r="BA2312" s="2" t="str">
        <f>IF(""&amp;$F2312&lt;&gt;"4","",IF($AY2312="YES","",IF(ROUND(SUMIFS($AE$2:$AE$4001,$L$2:$L$4001,$L2312,$F$2:$F$4001,"4")-SUMIFS('AR SALES'!$Y$2:$Y$2501,'AR SALES'!$L$2:$L$2501,$L2312,'AR SALES'!$AD$2:$AD$2501,"OFF"),2)=0,"","STALE")))</f>
        <v/>
      </c>
      <c r="BB2312" s="2" t="str">
        <f>IF(OR(""&amp;$F2312="2",""&amp;$F2312="4",""&amp;$F2312="G",""&amp;$F2312="H"),IF($AY2312="YES","",IF($AB2312&lt;&gt;0,"",IF(COUNTIFS('AR SALES'!$L$2:$L$2501,$L2312,'AR SALES'!$AD$2:$AD$2501,IF(""&amp;$F2312="4","OFF","ON"),'AR SALES'!$AF$2:$AF$2501,"Y")&gt;0,"","NO EXEMPTION"))),"")</f>
        <v/>
      </c>
    </row>
    <row r="2313" spans="46:54" x14ac:dyDescent="0.25">
      <c r="AT2313" s="2" t="str">
        <f>IF($L2313="","",IFERROR(INDEX('AR SALES'!$H$2:$H$2501,MATCH(""&amp;$L2313,'AR SALES'!$AE$2:$AE$2501,0)),""))</f>
        <v/>
      </c>
      <c r="AU2313" s="2" t="str">
        <f t="shared" si="144"/>
        <v/>
      </c>
      <c r="AV2313" s="2" t="str">
        <f t="shared" si="145"/>
        <v/>
      </c>
      <c r="AW2313" s="2" t="str">
        <f t="shared" si="146"/>
        <v/>
      </c>
      <c r="AX2313" s="2" t="str">
        <f t="shared" si="147"/>
        <v/>
      </c>
      <c r="AY2313" s="2" t="str">
        <f>IF($AV2313="","",IF(AND($Z2313=0,COUNTIF('AR SALES'!$L$2:$L$2501,$L2313)=0),"YES",""))</f>
        <v/>
      </c>
      <c r="AZ2313" s="2" t="str">
        <f>IF($AV2313="","",IF(COUNTIF(LISTS!$C$2:$C$250,$AU2313)=0,"NEW",""))</f>
        <v/>
      </c>
      <c r="BA2313" s="2" t="str">
        <f>IF(""&amp;$F2313&lt;&gt;"4","",IF($AY2313="YES","",IF(ROUND(SUMIFS($AE$2:$AE$4001,$L$2:$L$4001,$L2313,$F$2:$F$4001,"4")-SUMIFS('AR SALES'!$Y$2:$Y$2501,'AR SALES'!$L$2:$L$2501,$L2313,'AR SALES'!$AD$2:$AD$2501,"OFF"),2)=0,"","STALE")))</f>
        <v/>
      </c>
      <c r="BB2313" s="2" t="str">
        <f>IF(OR(""&amp;$F2313="2",""&amp;$F2313="4",""&amp;$F2313="G",""&amp;$F2313="H"),IF($AY2313="YES","",IF($AB2313&lt;&gt;0,"",IF(COUNTIFS('AR SALES'!$L$2:$L$2501,$L2313,'AR SALES'!$AD$2:$AD$2501,IF(""&amp;$F2313="4","OFF","ON"),'AR SALES'!$AF$2:$AF$2501,"Y")&gt;0,"","NO EXEMPTION"))),"")</f>
        <v/>
      </c>
    </row>
    <row r="2314" spans="46:54" x14ac:dyDescent="0.25">
      <c r="AT2314" s="2" t="str">
        <f>IF($L2314="","",IFERROR(INDEX('AR SALES'!$H$2:$H$2501,MATCH(""&amp;$L2314,'AR SALES'!$AE$2:$AE$2501,0)),""))</f>
        <v/>
      </c>
      <c r="AU2314" s="2" t="str">
        <f t="shared" si="144"/>
        <v/>
      </c>
      <c r="AV2314" s="2" t="str">
        <f t="shared" si="145"/>
        <v/>
      </c>
      <c r="AW2314" s="2" t="str">
        <f t="shared" si="146"/>
        <v/>
      </c>
      <c r="AX2314" s="2" t="str">
        <f t="shared" si="147"/>
        <v/>
      </c>
      <c r="AY2314" s="2" t="str">
        <f>IF($AV2314="","",IF(AND($Z2314=0,COUNTIF('AR SALES'!$L$2:$L$2501,$L2314)=0),"YES",""))</f>
        <v/>
      </c>
      <c r="AZ2314" s="2" t="str">
        <f>IF($AV2314="","",IF(COUNTIF(LISTS!$C$2:$C$250,$AU2314)=0,"NEW",""))</f>
        <v/>
      </c>
      <c r="BA2314" s="2" t="str">
        <f>IF(""&amp;$F2314&lt;&gt;"4","",IF($AY2314="YES","",IF(ROUND(SUMIFS($AE$2:$AE$4001,$L$2:$L$4001,$L2314,$F$2:$F$4001,"4")-SUMIFS('AR SALES'!$Y$2:$Y$2501,'AR SALES'!$L$2:$L$2501,$L2314,'AR SALES'!$AD$2:$AD$2501,"OFF"),2)=0,"","STALE")))</f>
        <v/>
      </c>
      <c r="BB2314" s="2" t="str">
        <f>IF(OR(""&amp;$F2314="2",""&amp;$F2314="4",""&amp;$F2314="G",""&amp;$F2314="H"),IF($AY2314="YES","",IF($AB2314&lt;&gt;0,"",IF(COUNTIFS('AR SALES'!$L$2:$L$2501,$L2314,'AR SALES'!$AD$2:$AD$2501,IF(""&amp;$F2314="4","OFF","ON"),'AR SALES'!$AF$2:$AF$2501,"Y")&gt;0,"","NO EXEMPTION"))),"")</f>
        <v/>
      </c>
    </row>
    <row r="2315" spans="46:54" x14ac:dyDescent="0.25">
      <c r="AT2315" s="2" t="str">
        <f>IF($L2315="","",IFERROR(INDEX('AR SALES'!$H$2:$H$2501,MATCH(""&amp;$L2315,'AR SALES'!$AE$2:$AE$2501,0)),""))</f>
        <v/>
      </c>
      <c r="AU2315" s="2" t="str">
        <f t="shared" si="144"/>
        <v/>
      </c>
      <c r="AV2315" s="2" t="str">
        <f t="shared" si="145"/>
        <v/>
      </c>
      <c r="AW2315" s="2" t="str">
        <f t="shared" si="146"/>
        <v/>
      </c>
      <c r="AX2315" s="2" t="str">
        <f t="shared" si="147"/>
        <v/>
      </c>
      <c r="AY2315" s="2" t="str">
        <f>IF($AV2315="","",IF(AND($Z2315=0,COUNTIF('AR SALES'!$L$2:$L$2501,$L2315)=0),"YES",""))</f>
        <v/>
      </c>
      <c r="AZ2315" s="2" t="str">
        <f>IF($AV2315="","",IF(COUNTIF(LISTS!$C$2:$C$250,$AU2315)=0,"NEW",""))</f>
        <v/>
      </c>
      <c r="BA2315" s="2" t="str">
        <f>IF(""&amp;$F2315&lt;&gt;"4","",IF($AY2315="YES","",IF(ROUND(SUMIFS($AE$2:$AE$4001,$L$2:$L$4001,$L2315,$F$2:$F$4001,"4")-SUMIFS('AR SALES'!$Y$2:$Y$2501,'AR SALES'!$L$2:$L$2501,$L2315,'AR SALES'!$AD$2:$AD$2501,"OFF"),2)=0,"","STALE")))</f>
        <v/>
      </c>
      <c r="BB2315" s="2" t="str">
        <f>IF(OR(""&amp;$F2315="2",""&amp;$F2315="4",""&amp;$F2315="G",""&amp;$F2315="H"),IF($AY2315="YES","",IF($AB2315&lt;&gt;0,"",IF(COUNTIFS('AR SALES'!$L$2:$L$2501,$L2315,'AR SALES'!$AD$2:$AD$2501,IF(""&amp;$F2315="4","OFF","ON"),'AR SALES'!$AF$2:$AF$2501,"Y")&gt;0,"","NO EXEMPTION"))),"")</f>
        <v/>
      </c>
    </row>
    <row r="2316" spans="46:54" x14ac:dyDescent="0.25">
      <c r="AT2316" s="2" t="str">
        <f>IF($L2316="","",IFERROR(INDEX('AR SALES'!$H$2:$H$2501,MATCH(""&amp;$L2316,'AR SALES'!$AE$2:$AE$2501,0)),""))</f>
        <v/>
      </c>
      <c r="AU2316" s="2" t="str">
        <f t="shared" si="144"/>
        <v/>
      </c>
      <c r="AV2316" s="2" t="str">
        <f t="shared" si="145"/>
        <v/>
      </c>
      <c r="AW2316" s="2" t="str">
        <f t="shared" si="146"/>
        <v/>
      </c>
      <c r="AX2316" s="2" t="str">
        <f t="shared" si="147"/>
        <v/>
      </c>
      <c r="AY2316" s="2" t="str">
        <f>IF($AV2316="","",IF(AND($Z2316=0,COUNTIF('AR SALES'!$L$2:$L$2501,$L2316)=0),"YES",""))</f>
        <v/>
      </c>
      <c r="AZ2316" s="2" t="str">
        <f>IF($AV2316="","",IF(COUNTIF(LISTS!$C$2:$C$250,$AU2316)=0,"NEW",""))</f>
        <v/>
      </c>
      <c r="BA2316" s="2" t="str">
        <f>IF(""&amp;$F2316&lt;&gt;"4","",IF($AY2316="YES","",IF(ROUND(SUMIFS($AE$2:$AE$4001,$L$2:$L$4001,$L2316,$F$2:$F$4001,"4")-SUMIFS('AR SALES'!$Y$2:$Y$2501,'AR SALES'!$L$2:$L$2501,$L2316,'AR SALES'!$AD$2:$AD$2501,"OFF"),2)=0,"","STALE")))</f>
        <v/>
      </c>
      <c r="BB2316" s="2" t="str">
        <f>IF(OR(""&amp;$F2316="2",""&amp;$F2316="4",""&amp;$F2316="G",""&amp;$F2316="H"),IF($AY2316="YES","",IF($AB2316&lt;&gt;0,"",IF(COUNTIFS('AR SALES'!$L$2:$L$2501,$L2316,'AR SALES'!$AD$2:$AD$2501,IF(""&amp;$F2316="4","OFF","ON"),'AR SALES'!$AF$2:$AF$2501,"Y")&gt;0,"","NO EXEMPTION"))),"")</f>
        <v/>
      </c>
    </row>
    <row r="2317" spans="46:54" x14ac:dyDescent="0.25">
      <c r="AT2317" s="2" t="str">
        <f>IF($L2317="","",IFERROR(INDEX('AR SALES'!$H$2:$H$2501,MATCH(""&amp;$L2317,'AR SALES'!$AE$2:$AE$2501,0)),""))</f>
        <v/>
      </c>
      <c r="AU2317" s="2" t="str">
        <f t="shared" si="144"/>
        <v/>
      </c>
      <c r="AV2317" s="2" t="str">
        <f t="shared" si="145"/>
        <v/>
      </c>
      <c r="AW2317" s="2" t="str">
        <f t="shared" si="146"/>
        <v/>
      </c>
      <c r="AX2317" s="2" t="str">
        <f t="shared" si="147"/>
        <v/>
      </c>
      <c r="AY2317" s="2" t="str">
        <f>IF($AV2317="","",IF(AND($Z2317=0,COUNTIF('AR SALES'!$L$2:$L$2501,$L2317)=0),"YES",""))</f>
        <v/>
      </c>
      <c r="AZ2317" s="2" t="str">
        <f>IF($AV2317="","",IF(COUNTIF(LISTS!$C$2:$C$250,$AU2317)=0,"NEW",""))</f>
        <v/>
      </c>
      <c r="BA2317" s="2" t="str">
        <f>IF(""&amp;$F2317&lt;&gt;"4","",IF($AY2317="YES","",IF(ROUND(SUMIFS($AE$2:$AE$4001,$L$2:$L$4001,$L2317,$F$2:$F$4001,"4")-SUMIFS('AR SALES'!$Y$2:$Y$2501,'AR SALES'!$L$2:$L$2501,$L2317,'AR SALES'!$AD$2:$AD$2501,"OFF"),2)=0,"","STALE")))</f>
        <v/>
      </c>
      <c r="BB2317" s="2" t="str">
        <f>IF(OR(""&amp;$F2317="2",""&amp;$F2317="4",""&amp;$F2317="G",""&amp;$F2317="H"),IF($AY2317="YES","",IF($AB2317&lt;&gt;0,"",IF(COUNTIFS('AR SALES'!$L$2:$L$2501,$L2317,'AR SALES'!$AD$2:$AD$2501,IF(""&amp;$F2317="4","OFF","ON"),'AR SALES'!$AF$2:$AF$2501,"Y")&gt;0,"","NO EXEMPTION"))),"")</f>
        <v/>
      </c>
    </row>
    <row r="2318" spans="46:54" x14ac:dyDescent="0.25">
      <c r="AT2318" s="2" t="str">
        <f>IF($L2318="","",IFERROR(INDEX('AR SALES'!$H$2:$H$2501,MATCH(""&amp;$L2318,'AR SALES'!$AE$2:$AE$2501,0)),""))</f>
        <v/>
      </c>
      <c r="AU2318" s="2" t="str">
        <f t="shared" si="144"/>
        <v/>
      </c>
      <c r="AV2318" s="2" t="str">
        <f t="shared" si="145"/>
        <v/>
      </c>
      <c r="AW2318" s="2" t="str">
        <f t="shared" si="146"/>
        <v/>
      </c>
      <c r="AX2318" s="2" t="str">
        <f t="shared" si="147"/>
        <v/>
      </c>
      <c r="AY2318" s="2" t="str">
        <f>IF($AV2318="","",IF(AND($Z2318=0,COUNTIF('AR SALES'!$L$2:$L$2501,$L2318)=0),"YES",""))</f>
        <v/>
      </c>
      <c r="AZ2318" s="2" t="str">
        <f>IF($AV2318="","",IF(COUNTIF(LISTS!$C$2:$C$250,$AU2318)=0,"NEW",""))</f>
        <v/>
      </c>
      <c r="BA2318" s="2" t="str">
        <f>IF(""&amp;$F2318&lt;&gt;"4","",IF($AY2318="YES","",IF(ROUND(SUMIFS($AE$2:$AE$4001,$L$2:$L$4001,$L2318,$F$2:$F$4001,"4")-SUMIFS('AR SALES'!$Y$2:$Y$2501,'AR SALES'!$L$2:$L$2501,$L2318,'AR SALES'!$AD$2:$AD$2501,"OFF"),2)=0,"","STALE")))</f>
        <v/>
      </c>
      <c r="BB2318" s="2" t="str">
        <f>IF(OR(""&amp;$F2318="2",""&amp;$F2318="4",""&amp;$F2318="G",""&amp;$F2318="H"),IF($AY2318="YES","",IF($AB2318&lt;&gt;0,"",IF(COUNTIFS('AR SALES'!$L$2:$L$2501,$L2318,'AR SALES'!$AD$2:$AD$2501,IF(""&amp;$F2318="4","OFF","ON"),'AR SALES'!$AF$2:$AF$2501,"Y")&gt;0,"","NO EXEMPTION"))),"")</f>
        <v/>
      </c>
    </row>
    <row r="2319" spans="46:54" x14ac:dyDescent="0.25">
      <c r="AT2319" s="2" t="str">
        <f>IF($L2319="","",IFERROR(INDEX('AR SALES'!$H$2:$H$2501,MATCH(""&amp;$L2319,'AR SALES'!$AE$2:$AE$2501,0)),""))</f>
        <v/>
      </c>
      <c r="AU2319" s="2" t="str">
        <f t="shared" si="144"/>
        <v/>
      </c>
      <c r="AV2319" s="2" t="str">
        <f t="shared" si="145"/>
        <v/>
      </c>
      <c r="AW2319" s="2" t="str">
        <f t="shared" si="146"/>
        <v/>
      </c>
      <c r="AX2319" s="2" t="str">
        <f t="shared" si="147"/>
        <v/>
      </c>
      <c r="AY2319" s="2" t="str">
        <f>IF($AV2319="","",IF(AND($Z2319=0,COUNTIF('AR SALES'!$L$2:$L$2501,$L2319)=0),"YES",""))</f>
        <v/>
      </c>
      <c r="AZ2319" s="2" t="str">
        <f>IF($AV2319="","",IF(COUNTIF(LISTS!$C$2:$C$250,$AU2319)=0,"NEW",""))</f>
        <v/>
      </c>
      <c r="BA2319" s="2" t="str">
        <f>IF(""&amp;$F2319&lt;&gt;"4","",IF($AY2319="YES","",IF(ROUND(SUMIFS($AE$2:$AE$4001,$L$2:$L$4001,$L2319,$F$2:$F$4001,"4")-SUMIFS('AR SALES'!$Y$2:$Y$2501,'AR SALES'!$L$2:$L$2501,$L2319,'AR SALES'!$AD$2:$AD$2501,"OFF"),2)=0,"","STALE")))</f>
        <v/>
      </c>
      <c r="BB2319" s="2" t="str">
        <f>IF(OR(""&amp;$F2319="2",""&amp;$F2319="4",""&amp;$F2319="G",""&amp;$F2319="H"),IF($AY2319="YES","",IF($AB2319&lt;&gt;0,"",IF(COUNTIFS('AR SALES'!$L$2:$L$2501,$L2319,'AR SALES'!$AD$2:$AD$2501,IF(""&amp;$F2319="4","OFF","ON"),'AR SALES'!$AF$2:$AF$2501,"Y")&gt;0,"","NO EXEMPTION"))),"")</f>
        <v/>
      </c>
    </row>
    <row r="2320" spans="46:54" x14ac:dyDescent="0.25">
      <c r="AT2320" s="2" t="str">
        <f>IF($L2320="","",IFERROR(INDEX('AR SALES'!$H$2:$H$2501,MATCH(""&amp;$L2320,'AR SALES'!$AE$2:$AE$2501,0)),""))</f>
        <v/>
      </c>
      <c r="AU2320" s="2" t="str">
        <f t="shared" si="144"/>
        <v/>
      </c>
      <c r="AV2320" s="2" t="str">
        <f t="shared" si="145"/>
        <v/>
      </c>
      <c r="AW2320" s="2" t="str">
        <f t="shared" si="146"/>
        <v/>
      </c>
      <c r="AX2320" s="2" t="str">
        <f t="shared" si="147"/>
        <v/>
      </c>
      <c r="AY2320" s="2" t="str">
        <f>IF($AV2320="","",IF(AND($Z2320=0,COUNTIF('AR SALES'!$L$2:$L$2501,$L2320)=0),"YES",""))</f>
        <v/>
      </c>
      <c r="AZ2320" s="2" t="str">
        <f>IF($AV2320="","",IF(COUNTIF(LISTS!$C$2:$C$250,$AU2320)=0,"NEW",""))</f>
        <v/>
      </c>
      <c r="BA2320" s="2" t="str">
        <f>IF(""&amp;$F2320&lt;&gt;"4","",IF($AY2320="YES","",IF(ROUND(SUMIFS($AE$2:$AE$4001,$L$2:$L$4001,$L2320,$F$2:$F$4001,"4")-SUMIFS('AR SALES'!$Y$2:$Y$2501,'AR SALES'!$L$2:$L$2501,$L2320,'AR SALES'!$AD$2:$AD$2501,"OFF"),2)=0,"","STALE")))</f>
        <v/>
      </c>
      <c r="BB2320" s="2" t="str">
        <f>IF(OR(""&amp;$F2320="2",""&amp;$F2320="4",""&amp;$F2320="G",""&amp;$F2320="H"),IF($AY2320="YES","",IF($AB2320&lt;&gt;0,"",IF(COUNTIFS('AR SALES'!$L$2:$L$2501,$L2320,'AR SALES'!$AD$2:$AD$2501,IF(""&amp;$F2320="4","OFF","ON"),'AR SALES'!$AF$2:$AF$2501,"Y")&gt;0,"","NO EXEMPTION"))),"")</f>
        <v/>
      </c>
    </row>
    <row r="2321" spans="46:54" x14ac:dyDescent="0.25">
      <c r="AT2321" s="2" t="str">
        <f>IF($L2321="","",IFERROR(INDEX('AR SALES'!$H$2:$H$2501,MATCH(""&amp;$L2321,'AR SALES'!$AE$2:$AE$2501,0)),""))</f>
        <v/>
      </c>
      <c r="AU2321" s="2" t="str">
        <f t="shared" si="144"/>
        <v/>
      </c>
      <c r="AV2321" s="2" t="str">
        <f t="shared" si="145"/>
        <v/>
      </c>
      <c r="AW2321" s="2" t="str">
        <f t="shared" si="146"/>
        <v/>
      </c>
      <c r="AX2321" s="2" t="str">
        <f t="shared" si="147"/>
        <v/>
      </c>
      <c r="AY2321" s="2" t="str">
        <f>IF($AV2321="","",IF(AND($Z2321=0,COUNTIF('AR SALES'!$L$2:$L$2501,$L2321)=0),"YES",""))</f>
        <v/>
      </c>
      <c r="AZ2321" s="2" t="str">
        <f>IF($AV2321="","",IF(COUNTIF(LISTS!$C$2:$C$250,$AU2321)=0,"NEW",""))</f>
        <v/>
      </c>
      <c r="BA2321" s="2" t="str">
        <f>IF(""&amp;$F2321&lt;&gt;"4","",IF($AY2321="YES","",IF(ROUND(SUMIFS($AE$2:$AE$4001,$L$2:$L$4001,$L2321,$F$2:$F$4001,"4")-SUMIFS('AR SALES'!$Y$2:$Y$2501,'AR SALES'!$L$2:$L$2501,$L2321,'AR SALES'!$AD$2:$AD$2501,"OFF"),2)=0,"","STALE")))</f>
        <v/>
      </c>
      <c r="BB2321" s="2" t="str">
        <f>IF(OR(""&amp;$F2321="2",""&amp;$F2321="4",""&amp;$F2321="G",""&amp;$F2321="H"),IF($AY2321="YES","",IF($AB2321&lt;&gt;0,"",IF(COUNTIFS('AR SALES'!$L$2:$L$2501,$L2321,'AR SALES'!$AD$2:$AD$2501,IF(""&amp;$F2321="4","OFF","ON"),'AR SALES'!$AF$2:$AF$2501,"Y")&gt;0,"","NO EXEMPTION"))),"")</f>
        <v/>
      </c>
    </row>
    <row r="2322" spans="46:54" x14ac:dyDescent="0.25">
      <c r="AT2322" s="2" t="str">
        <f>IF($L2322="","",IFERROR(INDEX('AR SALES'!$H$2:$H$2501,MATCH(""&amp;$L2322,'AR SALES'!$AE$2:$AE$2501,0)),""))</f>
        <v/>
      </c>
      <c r="AU2322" s="2" t="str">
        <f t="shared" si="144"/>
        <v/>
      </c>
      <c r="AV2322" s="2" t="str">
        <f t="shared" si="145"/>
        <v/>
      </c>
      <c r="AW2322" s="2" t="str">
        <f t="shared" si="146"/>
        <v/>
      </c>
      <c r="AX2322" s="2" t="str">
        <f t="shared" si="147"/>
        <v/>
      </c>
      <c r="AY2322" s="2" t="str">
        <f>IF($AV2322="","",IF(AND($Z2322=0,COUNTIF('AR SALES'!$L$2:$L$2501,$L2322)=0),"YES",""))</f>
        <v/>
      </c>
      <c r="AZ2322" s="2" t="str">
        <f>IF($AV2322="","",IF(COUNTIF(LISTS!$C$2:$C$250,$AU2322)=0,"NEW",""))</f>
        <v/>
      </c>
      <c r="BA2322" s="2" t="str">
        <f>IF(""&amp;$F2322&lt;&gt;"4","",IF($AY2322="YES","",IF(ROUND(SUMIFS($AE$2:$AE$4001,$L$2:$L$4001,$L2322,$F$2:$F$4001,"4")-SUMIFS('AR SALES'!$Y$2:$Y$2501,'AR SALES'!$L$2:$L$2501,$L2322,'AR SALES'!$AD$2:$AD$2501,"OFF"),2)=0,"","STALE")))</f>
        <v/>
      </c>
      <c r="BB2322" s="2" t="str">
        <f>IF(OR(""&amp;$F2322="2",""&amp;$F2322="4",""&amp;$F2322="G",""&amp;$F2322="H"),IF($AY2322="YES","",IF($AB2322&lt;&gt;0,"",IF(COUNTIFS('AR SALES'!$L$2:$L$2501,$L2322,'AR SALES'!$AD$2:$AD$2501,IF(""&amp;$F2322="4","OFF","ON"),'AR SALES'!$AF$2:$AF$2501,"Y")&gt;0,"","NO EXEMPTION"))),"")</f>
        <v/>
      </c>
    </row>
    <row r="2323" spans="46:54" x14ac:dyDescent="0.25">
      <c r="AT2323" s="2" t="str">
        <f>IF($L2323="","",IFERROR(INDEX('AR SALES'!$H$2:$H$2501,MATCH(""&amp;$L2323,'AR SALES'!$AE$2:$AE$2501,0)),""))</f>
        <v/>
      </c>
      <c r="AU2323" s="2" t="str">
        <f t="shared" si="144"/>
        <v/>
      </c>
      <c r="AV2323" s="2" t="str">
        <f t="shared" si="145"/>
        <v/>
      </c>
      <c r="AW2323" s="2" t="str">
        <f t="shared" si="146"/>
        <v/>
      </c>
      <c r="AX2323" s="2" t="str">
        <f t="shared" si="147"/>
        <v/>
      </c>
      <c r="AY2323" s="2" t="str">
        <f>IF($AV2323="","",IF(AND($Z2323=0,COUNTIF('AR SALES'!$L$2:$L$2501,$L2323)=0),"YES",""))</f>
        <v/>
      </c>
      <c r="AZ2323" s="2" t="str">
        <f>IF($AV2323="","",IF(COUNTIF(LISTS!$C$2:$C$250,$AU2323)=0,"NEW",""))</f>
        <v/>
      </c>
      <c r="BA2323" s="2" t="str">
        <f>IF(""&amp;$F2323&lt;&gt;"4","",IF($AY2323="YES","",IF(ROUND(SUMIFS($AE$2:$AE$4001,$L$2:$L$4001,$L2323,$F$2:$F$4001,"4")-SUMIFS('AR SALES'!$Y$2:$Y$2501,'AR SALES'!$L$2:$L$2501,$L2323,'AR SALES'!$AD$2:$AD$2501,"OFF"),2)=0,"","STALE")))</f>
        <v/>
      </c>
      <c r="BB2323" s="2" t="str">
        <f>IF(OR(""&amp;$F2323="2",""&amp;$F2323="4",""&amp;$F2323="G",""&amp;$F2323="H"),IF($AY2323="YES","",IF($AB2323&lt;&gt;0,"",IF(COUNTIFS('AR SALES'!$L$2:$L$2501,$L2323,'AR SALES'!$AD$2:$AD$2501,IF(""&amp;$F2323="4","OFF","ON"),'AR SALES'!$AF$2:$AF$2501,"Y")&gt;0,"","NO EXEMPTION"))),"")</f>
        <v/>
      </c>
    </row>
    <row r="2324" spans="46:54" x14ac:dyDescent="0.25">
      <c r="AT2324" s="2" t="str">
        <f>IF($L2324="","",IFERROR(INDEX('AR SALES'!$H$2:$H$2501,MATCH(""&amp;$L2324,'AR SALES'!$AE$2:$AE$2501,0)),""))</f>
        <v/>
      </c>
      <c r="AU2324" s="2" t="str">
        <f t="shared" si="144"/>
        <v/>
      </c>
      <c r="AV2324" s="2" t="str">
        <f t="shared" si="145"/>
        <v/>
      </c>
      <c r="AW2324" s="2" t="str">
        <f t="shared" si="146"/>
        <v/>
      </c>
      <c r="AX2324" s="2" t="str">
        <f t="shared" si="147"/>
        <v/>
      </c>
      <c r="AY2324" s="2" t="str">
        <f>IF($AV2324="","",IF(AND($Z2324=0,COUNTIF('AR SALES'!$L$2:$L$2501,$L2324)=0),"YES",""))</f>
        <v/>
      </c>
      <c r="AZ2324" s="2" t="str">
        <f>IF($AV2324="","",IF(COUNTIF(LISTS!$C$2:$C$250,$AU2324)=0,"NEW",""))</f>
        <v/>
      </c>
      <c r="BA2324" s="2" t="str">
        <f>IF(""&amp;$F2324&lt;&gt;"4","",IF($AY2324="YES","",IF(ROUND(SUMIFS($AE$2:$AE$4001,$L$2:$L$4001,$L2324,$F$2:$F$4001,"4")-SUMIFS('AR SALES'!$Y$2:$Y$2501,'AR SALES'!$L$2:$L$2501,$L2324,'AR SALES'!$AD$2:$AD$2501,"OFF"),2)=0,"","STALE")))</f>
        <v/>
      </c>
      <c r="BB2324" s="2" t="str">
        <f>IF(OR(""&amp;$F2324="2",""&amp;$F2324="4",""&amp;$F2324="G",""&amp;$F2324="H"),IF($AY2324="YES","",IF($AB2324&lt;&gt;0,"",IF(COUNTIFS('AR SALES'!$L$2:$L$2501,$L2324,'AR SALES'!$AD$2:$AD$2501,IF(""&amp;$F2324="4","OFF","ON"),'AR SALES'!$AF$2:$AF$2501,"Y")&gt;0,"","NO EXEMPTION"))),"")</f>
        <v/>
      </c>
    </row>
    <row r="2325" spans="46:54" x14ac:dyDescent="0.25">
      <c r="AT2325" s="2" t="str">
        <f>IF($L2325="","",IFERROR(INDEX('AR SALES'!$H$2:$H$2501,MATCH(""&amp;$L2325,'AR SALES'!$AE$2:$AE$2501,0)),""))</f>
        <v/>
      </c>
      <c r="AU2325" s="2" t="str">
        <f t="shared" si="144"/>
        <v/>
      </c>
      <c r="AV2325" s="2" t="str">
        <f t="shared" si="145"/>
        <v/>
      </c>
      <c r="AW2325" s="2" t="str">
        <f t="shared" si="146"/>
        <v/>
      </c>
      <c r="AX2325" s="2" t="str">
        <f t="shared" si="147"/>
        <v/>
      </c>
      <c r="AY2325" s="2" t="str">
        <f>IF($AV2325="","",IF(AND($Z2325=0,COUNTIF('AR SALES'!$L$2:$L$2501,$L2325)=0),"YES",""))</f>
        <v/>
      </c>
      <c r="AZ2325" s="2" t="str">
        <f>IF($AV2325="","",IF(COUNTIF(LISTS!$C$2:$C$250,$AU2325)=0,"NEW",""))</f>
        <v/>
      </c>
      <c r="BA2325" s="2" t="str">
        <f>IF(""&amp;$F2325&lt;&gt;"4","",IF($AY2325="YES","",IF(ROUND(SUMIFS($AE$2:$AE$4001,$L$2:$L$4001,$L2325,$F$2:$F$4001,"4")-SUMIFS('AR SALES'!$Y$2:$Y$2501,'AR SALES'!$L$2:$L$2501,$L2325,'AR SALES'!$AD$2:$AD$2501,"OFF"),2)=0,"","STALE")))</f>
        <v/>
      </c>
      <c r="BB2325" s="2" t="str">
        <f>IF(OR(""&amp;$F2325="2",""&amp;$F2325="4",""&amp;$F2325="G",""&amp;$F2325="H"),IF($AY2325="YES","",IF($AB2325&lt;&gt;0,"",IF(COUNTIFS('AR SALES'!$L$2:$L$2501,$L2325,'AR SALES'!$AD$2:$AD$2501,IF(""&amp;$F2325="4","OFF","ON"),'AR SALES'!$AF$2:$AF$2501,"Y")&gt;0,"","NO EXEMPTION"))),"")</f>
        <v/>
      </c>
    </row>
    <row r="2326" spans="46:54" x14ac:dyDescent="0.25">
      <c r="AT2326" s="2" t="str">
        <f>IF($L2326="","",IFERROR(INDEX('AR SALES'!$H$2:$H$2501,MATCH(""&amp;$L2326,'AR SALES'!$AE$2:$AE$2501,0)),""))</f>
        <v/>
      </c>
      <c r="AU2326" s="2" t="str">
        <f t="shared" si="144"/>
        <v/>
      </c>
      <c r="AV2326" s="2" t="str">
        <f t="shared" si="145"/>
        <v/>
      </c>
      <c r="AW2326" s="2" t="str">
        <f t="shared" si="146"/>
        <v/>
      </c>
      <c r="AX2326" s="2" t="str">
        <f t="shared" si="147"/>
        <v/>
      </c>
      <c r="AY2326" s="2" t="str">
        <f>IF($AV2326="","",IF(AND($Z2326=0,COUNTIF('AR SALES'!$L$2:$L$2501,$L2326)=0),"YES",""))</f>
        <v/>
      </c>
      <c r="AZ2326" s="2" t="str">
        <f>IF($AV2326="","",IF(COUNTIF(LISTS!$C$2:$C$250,$AU2326)=0,"NEW",""))</f>
        <v/>
      </c>
      <c r="BA2326" s="2" t="str">
        <f>IF(""&amp;$F2326&lt;&gt;"4","",IF($AY2326="YES","",IF(ROUND(SUMIFS($AE$2:$AE$4001,$L$2:$L$4001,$L2326,$F$2:$F$4001,"4")-SUMIFS('AR SALES'!$Y$2:$Y$2501,'AR SALES'!$L$2:$L$2501,$L2326,'AR SALES'!$AD$2:$AD$2501,"OFF"),2)=0,"","STALE")))</f>
        <v/>
      </c>
      <c r="BB2326" s="2" t="str">
        <f>IF(OR(""&amp;$F2326="2",""&amp;$F2326="4",""&amp;$F2326="G",""&amp;$F2326="H"),IF($AY2326="YES","",IF($AB2326&lt;&gt;0,"",IF(COUNTIFS('AR SALES'!$L$2:$L$2501,$L2326,'AR SALES'!$AD$2:$AD$2501,IF(""&amp;$F2326="4","OFF","ON"),'AR SALES'!$AF$2:$AF$2501,"Y")&gt;0,"","NO EXEMPTION"))),"")</f>
        <v/>
      </c>
    </row>
    <row r="2327" spans="46:54" x14ac:dyDescent="0.25">
      <c r="AT2327" s="2" t="str">
        <f>IF($L2327="","",IFERROR(INDEX('AR SALES'!$H$2:$H$2501,MATCH(""&amp;$L2327,'AR SALES'!$AE$2:$AE$2501,0)),""))</f>
        <v/>
      </c>
      <c r="AU2327" s="2" t="str">
        <f t="shared" si="144"/>
        <v/>
      </c>
      <c r="AV2327" s="2" t="str">
        <f t="shared" si="145"/>
        <v/>
      </c>
      <c r="AW2327" s="2" t="str">
        <f t="shared" si="146"/>
        <v/>
      </c>
      <c r="AX2327" s="2" t="str">
        <f t="shared" si="147"/>
        <v/>
      </c>
      <c r="AY2327" s="2" t="str">
        <f>IF($AV2327="","",IF(AND($Z2327=0,COUNTIF('AR SALES'!$L$2:$L$2501,$L2327)=0),"YES",""))</f>
        <v/>
      </c>
      <c r="AZ2327" s="2" t="str">
        <f>IF($AV2327="","",IF(COUNTIF(LISTS!$C$2:$C$250,$AU2327)=0,"NEW",""))</f>
        <v/>
      </c>
      <c r="BA2327" s="2" t="str">
        <f>IF(""&amp;$F2327&lt;&gt;"4","",IF($AY2327="YES","",IF(ROUND(SUMIFS($AE$2:$AE$4001,$L$2:$L$4001,$L2327,$F$2:$F$4001,"4")-SUMIFS('AR SALES'!$Y$2:$Y$2501,'AR SALES'!$L$2:$L$2501,$L2327,'AR SALES'!$AD$2:$AD$2501,"OFF"),2)=0,"","STALE")))</f>
        <v/>
      </c>
      <c r="BB2327" s="2" t="str">
        <f>IF(OR(""&amp;$F2327="2",""&amp;$F2327="4",""&amp;$F2327="G",""&amp;$F2327="H"),IF($AY2327="YES","",IF($AB2327&lt;&gt;0,"",IF(COUNTIFS('AR SALES'!$L$2:$L$2501,$L2327,'AR SALES'!$AD$2:$AD$2501,IF(""&amp;$F2327="4","OFF","ON"),'AR SALES'!$AF$2:$AF$2501,"Y")&gt;0,"","NO EXEMPTION"))),"")</f>
        <v/>
      </c>
    </row>
    <row r="2328" spans="46:54" x14ac:dyDescent="0.25">
      <c r="AT2328" s="2" t="str">
        <f>IF($L2328="","",IFERROR(INDEX('AR SALES'!$H$2:$H$2501,MATCH(""&amp;$L2328,'AR SALES'!$AE$2:$AE$2501,0)),""))</f>
        <v/>
      </c>
      <c r="AU2328" s="2" t="str">
        <f t="shared" si="144"/>
        <v/>
      </c>
      <c r="AV2328" s="2" t="str">
        <f t="shared" si="145"/>
        <v/>
      </c>
      <c r="AW2328" s="2" t="str">
        <f t="shared" si="146"/>
        <v/>
      </c>
      <c r="AX2328" s="2" t="str">
        <f t="shared" si="147"/>
        <v/>
      </c>
      <c r="AY2328" s="2" t="str">
        <f>IF($AV2328="","",IF(AND($Z2328=0,COUNTIF('AR SALES'!$L$2:$L$2501,$L2328)=0),"YES",""))</f>
        <v/>
      </c>
      <c r="AZ2328" s="2" t="str">
        <f>IF($AV2328="","",IF(COUNTIF(LISTS!$C$2:$C$250,$AU2328)=0,"NEW",""))</f>
        <v/>
      </c>
      <c r="BA2328" s="2" t="str">
        <f>IF(""&amp;$F2328&lt;&gt;"4","",IF($AY2328="YES","",IF(ROUND(SUMIFS($AE$2:$AE$4001,$L$2:$L$4001,$L2328,$F$2:$F$4001,"4")-SUMIFS('AR SALES'!$Y$2:$Y$2501,'AR SALES'!$L$2:$L$2501,$L2328,'AR SALES'!$AD$2:$AD$2501,"OFF"),2)=0,"","STALE")))</f>
        <v/>
      </c>
      <c r="BB2328" s="2" t="str">
        <f>IF(OR(""&amp;$F2328="2",""&amp;$F2328="4",""&amp;$F2328="G",""&amp;$F2328="H"),IF($AY2328="YES","",IF($AB2328&lt;&gt;0,"",IF(COUNTIFS('AR SALES'!$L$2:$L$2501,$L2328,'AR SALES'!$AD$2:$AD$2501,IF(""&amp;$F2328="4","OFF","ON"),'AR SALES'!$AF$2:$AF$2501,"Y")&gt;0,"","NO EXEMPTION"))),"")</f>
        <v/>
      </c>
    </row>
    <row r="2329" spans="46:54" x14ac:dyDescent="0.25">
      <c r="AT2329" s="2" t="str">
        <f>IF($L2329="","",IFERROR(INDEX('AR SALES'!$H$2:$H$2501,MATCH(""&amp;$L2329,'AR SALES'!$AE$2:$AE$2501,0)),""))</f>
        <v/>
      </c>
      <c r="AU2329" s="2" t="str">
        <f t="shared" si="144"/>
        <v/>
      </c>
      <c r="AV2329" s="2" t="str">
        <f t="shared" si="145"/>
        <v/>
      </c>
      <c r="AW2329" s="2" t="str">
        <f t="shared" si="146"/>
        <v/>
      </c>
      <c r="AX2329" s="2" t="str">
        <f t="shared" si="147"/>
        <v/>
      </c>
      <c r="AY2329" s="2" t="str">
        <f>IF($AV2329="","",IF(AND($Z2329=0,COUNTIF('AR SALES'!$L$2:$L$2501,$L2329)=0),"YES",""))</f>
        <v/>
      </c>
      <c r="AZ2329" s="2" t="str">
        <f>IF($AV2329="","",IF(COUNTIF(LISTS!$C$2:$C$250,$AU2329)=0,"NEW",""))</f>
        <v/>
      </c>
      <c r="BA2329" s="2" t="str">
        <f>IF(""&amp;$F2329&lt;&gt;"4","",IF($AY2329="YES","",IF(ROUND(SUMIFS($AE$2:$AE$4001,$L$2:$L$4001,$L2329,$F$2:$F$4001,"4")-SUMIFS('AR SALES'!$Y$2:$Y$2501,'AR SALES'!$L$2:$L$2501,$L2329,'AR SALES'!$AD$2:$AD$2501,"OFF"),2)=0,"","STALE")))</f>
        <v/>
      </c>
      <c r="BB2329" s="2" t="str">
        <f>IF(OR(""&amp;$F2329="2",""&amp;$F2329="4",""&amp;$F2329="G",""&amp;$F2329="H"),IF($AY2329="YES","",IF($AB2329&lt;&gt;0,"",IF(COUNTIFS('AR SALES'!$L$2:$L$2501,$L2329,'AR SALES'!$AD$2:$AD$2501,IF(""&amp;$F2329="4","OFF","ON"),'AR SALES'!$AF$2:$AF$2501,"Y")&gt;0,"","NO EXEMPTION"))),"")</f>
        <v/>
      </c>
    </row>
    <row r="2330" spans="46:54" x14ac:dyDescent="0.25">
      <c r="AT2330" s="2" t="str">
        <f>IF($L2330="","",IFERROR(INDEX('AR SALES'!$H$2:$H$2501,MATCH(""&amp;$L2330,'AR SALES'!$AE$2:$AE$2501,0)),""))</f>
        <v/>
      </c>
      <c r="AU2330" s="2" t="str">
        <f t="shared" si="144"/>
        <v/>
      </c>
      <c r="AV2330" s="2" t="str">
        <f t="shared" si="145"/>
        <v/>
      </c>
      <c r="AW2330" s="2" t="str">
        <f t="shared" si="146"/>
        <v/>
      </c>
      <c r="AX2330" s="2" t="str">
        <f t="shared" si="147"/>
        <v/>
      </c>
      <c r="AY2330" s="2" t="str">
        <f>IF($AV2330="","",IF(AND($Z2330=0,COUNTIF('AR SALES'!$L$2:$L$2501,$L2330)=0),"YES",""))</f>
        <v/>
      </c>
      <c r="AZ2330" s="2" t="str">
        <f>IF($AV2330="","",IF(COUNTIF(LISTS!$C$2:$C$250,$AU2330)=0,"NEW",""))</f>
        <v/>
      </c>
      <c r="BA2330" s="2" t="str">
        <f>IF(""&amp;$F2330&lt;&gt;"4","",IF($AY2330="YES","",IF(ROUND(SUMIFS($AE$2:$AE$4001,$L$2:$L$4001,$L2330,$F$2:$F$4001,"4")-SUMIFS('AR SALES'!$Y$2:$Y$2501,'AR SALES'!$L$2:$L$2501,$L2330,'AR SALES'!$AD$2:$AD$2501,"OFF"),2)=0,"","STALE")))</f>
        <v/>
      </c>
      <c r="BB2330" s="2" t="str">
        <f>IF(OR(""&amp;$F2330="2",""&amp;$F2330="4",""&amp;$F2330="G",""&amp;$F2330="H"),IF($AY2330="YES","",IF($AB2330&lt;&gt;0,"",IF(COUNTIFS('AR SALES'!$L$2:$L$2501,$L2330,'AR SALES'!$AD$2:$AD$2501,IF(""&amp;$F2330="4","OFF","ON"),'AR SALES'!$AF$2:$AF$2501,"Y")&gt;0,"","NO EXEMPTION"))),"")</f>
        <v/>
      </c>
    </row>
    <row r="2331" spans="46:54" x14ac:dyDescent="0.25">
      <c r="AT2331" s="2" t="str">
        <f>IF($L2331="","",IFERROR(INDEX('AR SALES'!$H$2:$H$2501,MATCH(""&amp;$L2331,'AR SALES'!$AE$2:$AE$2501,0)),""))</f>
        <v/>
      </c>
      <c r="AU2331" s="2" t="str">
        <f t="shared" si="144"/>
        <v/>
      </c>
      <c r="AV2331" s="2" t="str">
        <f t="shared" si="145"/>
        <v/>
      </c>
      <c r="AW2331" s="2" t="str">
        <f t="shared" si="146"/>
        <v/>
      </c>
      <c r="AX2331" s="2" t="str">
        <f t="shared" si="147"/>
        <v/>
      </c>
      <c r="AY2331" s="2" t="str">
        <f>IF($AV2331="","",IF(AND($Z2331=0,COUNTIF('AR SALES'!$L$2:$L$2501,$L2331)=0),"YES",""))</f>
        <v/>
      </c>
      <c r="AZ2331" s="2" t="str">
        <f>IF($AV2331="","",IF(COUNTIF(LISTS!$C$2:$C$250,$AU2331)=0,"NEW",""))</f>
        <v/>
      </c>
      <c r="BA2331" s="2" t="str">
        <f>IF(""&amp;$F2331&lt;&gt;"4","",IF($AY2331="YES","",IF(ROUND(SUMIFS($AE$2:$AE$4001,$L$2:$L$4001,$L2331,$F$2:$F$4001,"4")-SUMIFS('AR SALES'!$Y$2:$Y$2501,'AR SALES'!$L$2:$L$2501,$L2331,'AR SALES'!$AD$2:$AD$2501,"OFF"),2)=0,"","STALE")))</f>
        <v/>
      </c>
      <c r="BB2331" s="2" t="str">
        <f>IF(OR(""&amp;$F2331="2",""&amp;$F2331="4",""&amp;$F2331="G",""&amp;$F2331="H"),IF($AY2331="YES","",IF($AB2331&lt;&gt;0,"",IF(COUNTIFS('AR SALES'!$L$2:$L$2501,$L2331,'AR SALES'!$AD$2:$AD$2501,IF(""&amp;$F2331="4","OFF","ON"),'AR SALES'!$AF$2:$AF$2501,"Y")&gt;0,"","NO EXEMPTION"))),"")</f>
        <v/>
      </c>
    </row>
    <row r="2332" spans="46:54" x14ac:dyDescent="0.25">
      <c r="AT2332" s="2" t="str">
        <f>IF($L2332="","",IFERROR(INDEX('AR SALES'!$H$2:$H$2501,MATCH(""&amp;$L2332,'AR SALES'!$AE$2:$AE$2501,0)),""))</f>
        <v/>
      </c>
      <c r="AU2332" s="2" t="str">
        <f t="shared" si="144"/>
        <v/>
      </c>
      <c r="AV2332" s="2" t="str">
        <f t="shared" si="145"/>
        <v/>
      </c>
      <c r="AW2332" s="2" t="str">
        <f t="shared" si="146"/>
        <v/>
      </c>
      <c r="AX2332" s="2" t="str">
        <f t="shared" si="147"/>
        <v/>
      </c>
      <c r="AY2332" s="2" t="str">
        <f>IF($AV2332="","",IF(AND($Z2332=0,COUNTIF('AR SALES'!$L$2:$L$2501,$L2332)=0),"YES",""))</f>
        <v/>
      </c>
      <c r="AZ2332" s="2" t="str">
        <f>IF($AV2332="","",IF(COUNTIF(LISTS!$C$2:$C$250,$AU2332)=0,"NEW",""))</f>
        <v/>
      </c>
      <c r="BA2332" s="2" t="str">
        <f>IF(""&amp;$F2332&lt;&gt;"4","",IF($AY2332="YES","",IF(ROUND(SUMIFS($AE$2:$AE$4001,$L$2:$L$4001,$L2332,$F$2:$F$4001,"4")-SUMIFS('AR SALES'!$Y$2:$Y$2501,'AR SALES'!$L$2:$L$2501,$L2332,'AR SALES'!$AD$2:$AD$2501,"OFF"),2)=0,"","STALE")))</f>
        <v/>
      </c>
      <c r="BB2332" s="2" t="str">
        <f>IF(OR(""&amp;$F2332="2",""&amp;$F2332="4",""&amp;$F2332="G",""&amp;$F2332="H"),IF($AY2332="YES","",IF($AB2332&lt;&gt;0,"",IF(COUNTIFS('AR SALES'!$L$2:$L$2501,$L2332,'AR SALES'!$AD$2:$AD$2501,IF(""&amp;$F2332="4","OFF","ON"),'AR SALES'!$AF$2:$AF$2501,"Y")&gt;0,"","NO EXEMPTION"))),"")</f>
        <v/>
      </c>
    </row>
    <row r="2333" spans="46:54" x14ac:dyDescent="0.25">
      <c r="AT2333" s="2" t="str">
        <f>IF($L2333="","",IFERROR(INDEX('AR SALES'!$H$2:$H$2501,MATCH(""&amp;$L2333,'AR SALES'!$AE$2:$AE$2501,0)),""))</f>
        <v/>
      </c>
      <c r="AU2333" s="2" t="str">
        <f t="shared" si="144"/>
        <v/>
      </c>
      <c r="AV2333" s="2" t="str">
        <f t="shared" si="145"/>
        <v/>
      </c>
      <c r="AW2333" s="2" t="str">
        <f t="shared" si="146"/>
        <v/>
      </c>
      <c r="AX2333" s="2" t="str">
        <f t="shared" si="147"/>
        <v/>
      </c>
      <c r="AY2333" s="2" t="str">
        <f>IF($AV2333="","",IF(AND($Z2333=0,COUNTIF('AR SALES'!$L$2:$L$2501,$L2333)=0),"YES",""))</f>
        <v/>
      </c>
      <c r="AZ2333" s="2" t="str">
        <f>IF($AV2333="","",IF(COUNTIF(LISTS!$C$2:$C$250,$AU2333)=0,"NEW",""))</f>
        <v/>
      </c>
      <c r="BA2333" s="2" t="str">
        <f>IF(""&amp;$F2333&lt;&gt;"4","",IF($AY2333="YES","",IF(ROUND(SUMIFS($AE$2:$AE$4001,$L$2:$L$4001,$L2333,$F$2:$F$4001,"4")-SUMIFS('AR SALES'!$Y$2:$Y$2501,'AR SALES'!$L$2:$L$2501,$L2333,'AR SALES'!$AD$2:$AD$2501,"OFF"),2)=0,"","STALE")))</f>
        <v/>
      </c>
      <c r="BB2333" s="2" t="str">
        <f>IF(OR(""&amp;$F2333="2",""&amp;$F2333="4",""&amp;$F2333="G",""&amp;$F2333="H"),IF($AY2333="YES","",IF($AB2333&lt;&gt;0,"",IF(COUNTIFS('AR SALES'!$L$2:$L$2501,$L2333,'AR SALES'!$AD$2:$AD$2501,IF(""&amp;$F2333="4","OFF","ON"),'AR SALES'!$AF$2:$AF$2501,"Y")&gt;0,"","NO EXEMPTION"))),"")</f>
        <v/>
      </c>
    </row>
    <row r="2334" spans="46:54" x14ac:dyDescent="0.25">
      <c r="AT2334" s="2" t="str">
        <f>IF($L2334="","",IFERROR(INDEX('AR SALES'!$H$2:$H$2501,MATCH(""&amp;$L2334,'AR SALES'!$AE$2:$AE$2501,0)),""))</f>
        <v/>
      </c>
      <c r="AU2334" s="2" t="str">
        <f t="shared" si="144"/>
        <v/>
      </c>
      <c r="AV2334" s="2" t="str">
        <f t="shared" si="145"/>
        <v/>
      </c>
      <c r="AW2334" s="2" t="str">
        <f t="shared" si="146"/>
        <v/>
      </c>
      <c r="AX2334" s="2" t="str">
        <f t="shared" si="147"/>
        <v/>
      </c>
      <c r="AY2334" s="2" t="str">
        <f>IF($AV2334="","",IF(AND($Z2334=0,COUNTIF('AR SALES'!$L$2:$L$2501,$L2334)=0),"YES",""))</f>
        <v/>
      </c>
      <c r="AZ2334" s="2" t="str">
        <f>IF($AV2334="","",IF(COUNTIF(LISTS!$C$2:$C$250,$AU2334)=0,"NEW",""))</f>
        <v/>
      </c>
      <c r="BA2334" s="2" t="str">
        <f>IF(""&amp;$F2334&lt;&gt;"4","",IF($AY2334="YES","",IF(ROUND(SUMIFS($AE$2:$AE$4001,$L$2:$L$4001,$L2334,$F$2:$F$4001,"4")-SUMIFS('AR SALES'!$Y$2:$Y$2501,'AR SALES'!$L$2:$L$2501,$L2334,'AR SALES'!$AD$2:$AD$2501,"OFF"),2)=0,"","STALE")))</f>
        <v/>
      </c>
      <c r="BB2334" s="2" t="str">
        <f>IF(OR(""&amp;$F2334="2",""&amp;$F2334="4",""&amp;$F2334="G",""&amp;$F2334="H"),IF($AY2334="YES","",IF($AB2334&lt;&gt;0,"",IF(COUNTIFS('AR SALES'!$L$2:$L$2501,$L2334,'AR SALES'!$AD$2:$AD$2501,IF(""&amp;$F2334="4","OFF","ON"),'AR SALES'!$AF$2:$AF$2501,"Y")&gt;0,"","NO EXEMPTION"))),"")</f>
        <v/>
      </c>
    </row>
    <row r="2335" spans="46:54" x14ac:dyDescent="0.25">
      <c r="AT2335" s="2" t="str">
        <f>IF($L2335="","",IFERROR(INDEX('AR SALES'!$H$2:$H$2501,MATCH(""&amp;$L2335,'AR SALES'!$AE$2:$AE$2501,0)),""))</f>
        <v/>
      </c>
      <c r="AU2335" s="2" t="str">
        <f t="shared" si="144"/>
        <v/>
      </c>
      <c r="AV2335" s="2" t="str">
        <f t="shared" si="145"/>
        <v/>
      </c>
      <c r="AW2335" s="2" t="str">
        <f t="shared" si="146"/>
        <v/>
      </c>
      <c r="AX2335" s="2" t="str">
        <f t="shared" si="147"/>
        <v/>
      </c>
      <c r="AY2335" s="2" t="str">
        <f>IF($AV2335="","",IF(AND($Z2335=0,COUNTIF('AR SALES'!$L$2:$L$2501,$L2335)=0),"YES",""))</f>
        <v/>
      </c>
      <c r="AZ2335" s="2" t="str">
        <f>IF($AV2335="","",IF(COUNTIF(LISTS!$C$2:$C$250,$AU2335)=0,"NEW",""))</f>
        <v/>
      </c>
      <c r="BA2335" s="2" t="str">
        <f>IF(""&amp;$F2335&lt;&gt;"4","",IF($AY2335="YES","",IF(ROUND(SUMIFS($AE$2:$AE$4001,$L$2:$L$4001,$L2335,$F$2:$F$4001,"4")-SUMIFS('AR SALES'!$Y$2:$Y$2501,'AR SALES'!$L$2:$L$2501,$L2335,'AR SALES'!$AD$2:$AD$2501,"OFF"),2)=0,"","STALE")))</f>
        <v/>
      </c>
      <c r="BB2335" s="2" t="str">
        <f>IF(OR(""&amp;$F2335="2",""&amp;$F2335="4",""&amp;$F2335="G",""&amp;$F2335="H"),IF($AY2335="YES","",IF($AB2335&lt;&gt;0,"",IF(COUNTIFS('AR SALES'!$L$2:$L$2501,$L2335,'AR SALES'!$AD$2:$AD$2501,IF(""&amp;$F2335="4","OFF","ON"),'AR SALES'!$AF$2:$AF$2501,"Y")&gt;0,"","NO EXEMPTION"))),"")</f>
        <v/>
      </c>
    </row>
    <row r="2336" spans="46:54" x14ac:dyDescent="0.25">
      <c r="AT2336" s="2" t="str">
        <f>IF($L2336="","",IFERROR(INDEX('AR SALES'!$H$2:$H$2501,MATCH(""&amp;$L2336,'AR SALES'!$AE$2:$AE$2501,0)),""))</f>
        <v/>
      </c>
      <c r="AU2336" s="2" t="str">
        <f t="shared" si="144"/>
        <v/>
      </c>
      <c r="AV2336" s="2" t="str">
        <f t="shared" si="145"/>
        <v/>
      </c>
      <c r="AW2336" s="2" t="str">
        <f t="shared" si="146"/>
        <v/>
      </c>
      <c r="AX2336" s="2" t="str">
        <f t="shared" si="147"/>
        <v/>
      </c>
      <c r="AY2336" s="2" t="str">
        <f>IF($AV2336="","",IF(AND($Z2336=0,COUNTIF('AR SALES'!$L$2:$L$2501,$L2336)=0),"YES",""))</f>
        <v/>
      </c>
      <c r="AZ2336" s="2" t="str">
        <f>IF($AV2336="","",IF(COUNTIF(LISTS!$C$2:$C$250,$AU2336)=0,"NEW",""))</f>
        <v/>
      </c>
      <c r="BA2336" s="2" t="str">
        <f>IF(""&amp;$F2336&lt;&gt;"4","",IF($AY2336="YES","",IF(ROUND(SUMIFS($AE$2:$AE$4001,$L$2:$L$4001,$L2336,$F$2:$F$4001,"4")-SUMIFS('AR SALES'!$Y$2:$Y$2501,'AR SALES'!$L$2:$L$2501,$L2336,'AR SALES'!$AD$2:$AD$2501,"OFF"),2)=0,"","STALE")))</f>
        <v/>
      </c>
      <c r="BB2336" s="2" t="str">
        <f>IF(OR(""&amp;$F2336="2",""&amp;$F2336="4",""&amp;$F2336="G",""&amp;$F2336="H"),IF($AY2336="YES","",IF($AB2336&lt;&gt;0,"",IF(COUNTIFS('AR SALES'!$L$2:$L$2501,$L2336,'AR SALES'!$AD$2:$AD$2501,IF(""&amp;$F2336="4","OFF","ON"),'AR SALES'!$AF$2:$AF$2501,"Y")&gt;0,"","NO EXEMPTION"))),"")</f>
        <v/>
      </c>
    </row>
    <row r="2337" spans="46:54" x14ac:dyDescent="0.25">
      <c r="AT2337" s="2" t="str">
        <f>IF($L2337="","",IFERROR(INDEX('AR SALES'!$H$2:$H$2501,MATCH(""&amp;$L2337,'AR SALES'!$AE$2:$AE$2501,0)),""))</f>
        <v/>
      </c>
      <c r="AU2337" s="2" t="str">
        <f t="shared" si="144"/>
        <v/>
      </c>
      <c r="AV2337" s="2" t="str">
        <f t="shared" si="145"/>
        <v/>
      </c>
      <c r="AW2337" s="2" t="str">
        <f t="shared" si="146"/>
        <v/>
      </c>
      <c r="AX2337" s="2" t="str">
        <f t="shared" si="147"/>
        <v/>
      </c>
      <c r="AY2337" s="2" t="str">
        <f>IF($AV2337="","",IF(AND($Z2337=0,COUNTIF('AR SALES'!$L$2:$L$2501,$L2337)=0),"YES",""))</f>
        <v/>
      </c>
      <c r="AZ2337" s="2" t="str">
        <f>IF($AV2337="","",IF(COUNTIF(LISTS!$C$2:$C$250,$AU2337)=0,"NEW",""))</f>
        <v/>
      </c>
      <c r="BA2337" s="2" t="str">
        <f>IF(""&amp;$F2337&lt;&gt;"4","",IF($AY2337="YES","",IF(ROUND(SUMIFS($AE$2:$AE$4001,$L$2:$L$4001,$L2337,$F$2:$F$4001,"4")-SUMIFS('AR SALES'!$Y$2:$Y$2501,'AR SALES'!$L$2:$L$2501,$L2337,'AR SALES'!$AD$2:$AD$2501,"OFF"),2)=0,"","STALE")))</f>
        <v/>
      </c>
      <c r="BB2337" s="2" t="str">
        <f>IF(OR(""&amp;$F2337="2",""&amp;$F2337="4",""&amp;$F2337="G",""&amp;$F2337="H"),IF($AY2337="YES","",IF($AB2337&lt;&gt;0,"",IF(COUNTIFS('AR SALES'!$L$2:$L$2501,$L2337,'AR SALES'!$AD$2:$AD$2501,IF(""&amp;$F2337="4","OFF","ON"),'AR SALES'!$AF$2:$AF$2501,"Y")&gt;0,"","NO EXEMPTION"))),"")</f>
        <v/>
      </c>
    </row>
    <row r="2338" spans="46:54" x14ac:dyDescent="0.25">
      <c r="AT2338" s="2" t="str">
        <f>IF($L2338="","",IFERROR(INDEX('AR SALES'!$H$2:$H$2501,MATCH(""&amp;$L2338,'AR SALES'!$AE$2:$AE$2501,0)),""))</f>
        <v/>
      </c>
      <c r="AU2338" s="2" t="str">
        <f t="shared" si="144"/>
        <v/>
      </c>
      <c r="AV2338" s="2" t="str">
        <f t="shared" si="145"/>
        <v/>
      </c>
      <c r="AW2338" s="2" t="str">
        <f t="shared" si="146"/>
        <v/>
      </c>
      <c r="AX2338" s="2" t="str">
        <f t="shared" si="147"/>
        <v/>
      </c>
      <c r="AY2338" s="2" t="str">
        <f>IF($AV2338="","",IF(AND($Z2338=0,COUNTIF('AR SALES'!$L$2:$L$2501,$L2338)=0),"YES",""))</f>
        <v/>
      </c>
      <c r="AZ2338" s="2" t="str">
        <f>IF($AV2338="","",IF(COUNTIF(LISTS!$C$2:$C$250,$AU2338)=0,"NEW",""))</f>
        <v/>
      </c>
      <c r="BA2338" s="2" t="str">
        <f>IF(""&amp;$F2338&lt;&gt;"4","",IF($AY2338="YES","",IF(ROUND(SUMIFS($AE$2:$AE$4001,$L$2:$L$4001,$L2338,$F$2:$F$4001,"4")-SUMIFS('AR SALES'!$Y$2:$Y$2501,'AR SALES'!$L$2:$L$2501,$L2338,'AR SALES'!$AD$2:$AD$2501,"OFF"),2)=0,"","STALE")))</f>
        <v/>
      </c>
      <c r="BB2338" s="2" t="str">
        <f>IF(OR(""&amp;$F2338="2",""&amp;$F2338="4",""&amp;$F2338="G",""&amp;$F2338="H"),IF($AY2338="YES","",IF($AB2338&lt;&gt;0,"",IF(COUNTIFS('AR SALES'!$L$2:$L$2501,$L2338,'AR SALES'!$AD$2:$AD$2501,IF(""&amp;$F2338="4","OFF","ON"),'AR SALES'!$AF$2:$AF$2501,"Y")&gt;0,"","NO EXEMPTION"))),"")</f>
        <v/>
      </c>
    </row>
    <row r="2339" spans="46:54" x14ac:dyDescent="0.25">
      <c r="AT2339" s="2" t="str">
        <f>IF($L2339="","",IFERROR(INDEX('AR SALES'!$H$2:$H$2501,MATCH(""&amp;$L2339,'AR SALES'!$AE$2:$AE$2501,0)),""))</f>
        <v/>
      </c>
      <c r="AU2339" s="2" t="str">
        <f t="shared" si="144"/>
        <v/>
      </c>
      <c r="AV2339" s="2" t="str">
        <f t="shared" si="145"/>
        <v/>
      </c>
      <c r="AW2339" s="2" t="str">
        <f t="shared" si="146"/>
        <v/>
      </c>
      <c r="AX2339" s="2" t="str">
        <f t="shared" si="147"/>
        <v/>
      </c>
      <c r="AY2339" s="2" t="str">
        <f>IF($AV2339="","",IF(AND($Z2339=0,COUNTIF('AR SALES'!$L$2:$L$2501,$L2339)=0),"YES",""))</f>
        <v/>
      </c>
      <c r="AZ2339" s="2" t="str">
        <f>IF($AV2339="","",IF(COUNTIF(LISTS!$C$2:$C$250,$AU2339)=0,"NEW",""))</f>
        <v/>
      </c>
      <c r="BA2339" s="2" t="str">
        <f>IF(""&amp;$F2339&lt;&gt;"4","",IF($AY2339="YES","",IF(ROUND(SUMIFS($AE$2:$AE$4001,$L$2:$L$4001,$L2339,$F$2:$F$4001,"4")-SUMIFS('AR SALES'!$Y$2:$Y$2501,'AR SALES'!$L$2:$L$2501,$L2339,'AR SALES'!$AD$2:$AD$2501,"OFF"),2)=0,"","STALE")))</f>
        <v/>
      </c>
      <c r="BB2339" s="2" t="str">
        <f>IF(OR(""&amp;$F2339="2",""&amp;$F2339="4",""&amp;$F2339="G",""&amp;$F2339="H"),IF($AY2339="YES","",IF($AB2339&lt;&gt;0,"",IF(COUNTIFS('AR SALES'!$L$2:$L$2501,$L2339,'AR SALES'!$AD$2:$AD$2501,IF(""&amp;$F2339="4","OFF","ON"),'AR SALES'!$AF$2:$AF$2501,"Y")&gt;0,"","NO EXEMPTION"))),"")</f>
        <v/>
      </c>
    </row>
    <row r="2340" spans="46:54" x14ac:dyDescent="0.25">
      <c r="AT2340" s="2" t="str">
        <f>IF($L2340="","",IFERROR(INDEX('AR SALES'!$H$2:$H$2501,MATCH(""&amp;$L2340,'AR SALES'!$AE$2:$AE$2501,0)),""))</f>
        <v/>
      </c>
      <c r="AU2340" s="2" t="str">
        <f t="shared" si="144"/>
        <v/>
      </c>
      <c r="AV2340" s="2" t="str">
        <f t="shared" si="145"/>
        <v/>
      </c>
      <c r="AW2340" s="2" t="str">
        <f t="shared" si="146"/>
        <v/>
      </c>
      <c r="AX2340" s="2" t="str">
        <f t="shared" si="147"/>
        <v/>
      </c>
      <c r="AY2340" s="2" t="str">
        <f>IF($AV2340="","",IF(AND($Z2340=0,COUNTIF('AR SALES'!$L$2:$L$2501,$L2340)=0),"YES",""))</f>
        <v/>
      </c>
      <c r="AZ2340" s="2" t="str">
        <f>IF($AV2340="","",IF(COUNTIF(LISTS!$C$2:$C$250,$AU2340)=0,"NEW",""))</f>
        <v/>
      </c>
      <c r="BA2340" s="2" t="str">
        <f>IF(""&amp;$F2340&lt;&gt;"4","",IF($AY2340="YES","",IF(ROUND(SUMIFS($AE$2:$AE$4001,$L$2:$L$4001,$L2340,$F$2:$F$4001,"4")-SUMIFS('AR SALES'!$Y$2:$Y$2501,'AR SALES'!$L$2:$L$2501,$L2340,'AR SALES'!$AD$2:$AD$2501,"OFF"),2)=0,"","STALE")))</f>
        <v/>
      </c>
      <c r="BB2340" s="2" t="str">
        <f>IF(OR(""&amp;$F2340="2",""&amp;$F2340="4",""&amp;$F2340="G",""&amp;$F2340="H"),IF($AY2340="YES","",IF($AB2340&lt;&gt;0,"",IF(COUNTIFS('AR SALES'!$L$2:$L$2501,$L2340,'AR SALES'!$AD$2:$AD$2501,IF(""&amp;$F2340="4","OFF","ON"),'AR SALES'!$AF$2:$AF$2501,"Y")&gt;0,"","NO EXEMPTION"))),"")</f>
        <v/>
      </c>
    </row>
    <row r="2341" spans="46:54" x14ac:dyDescent="0.25">
      <c r="AT2341" s="2" t="str">
        <f>IF($L2341="","",IFERROR(INDEX('AR SALES'!$H$2:$H$2501,MATCH(""&amp;$L2341,'AR SALES'!$AE$2:$AE$2501,0)),""))</f>
        <v/>
      </c>
      <c r="AU2341" s="2" t="str">
        <f t="shared" si="144"/>
        <v/>
      </c>
      <c r="AV2341" s="2" t="str">
        <f t="shared" si="145"/>
        <v/>
      </c>
      <c r="AW2341" s="2" t="str">
        <f t="shared" si="146"/>
        <v/>
      </c>
      <c r="AX2341" s="2" t="str">
        <f t="shared" si="147"/>
        <v/>
      </c>
      <c r="AY2341" s="2" t="str">
        <f>IF($AV2341="","",IF(AND($Z2341=0,COUNTIF('AR SALES'!$L$2:$L$2501,$L2341)=0),"YES",""))</f>
        <v/>
      </c>
      <c r="AZ2341" s="2" t="str">
        <f>IF($AV2341="","",IF(COUNTIF(LISTS!$C$2:$C$250,$AU2341)=0,"NEW",""))</f>
        <v/>
      </c>
      <c r="BA2341" s="2" t="str">
        <f>IF(""&amp;$F2341&lt;&gt;"4","",IF($AY2341="YES","",IF(ROUND(SUMIFS($AE$2:$AE$4001,$L$2:$L$4001,$L2341,$F$2:$F$4001,"4")-SUMIFS('AR SALES'!$Y$2:$Y$2501,'AR SALES'!$L$2:$L$2501,$L2341,'AR SALES'!$AD$2:$AD$2501,"OFF"),2)=0,"","STALE")))</f>
        <v/>
      </c>
      <c r="BB2341" s="2" t="str">
        <f>IF(OR(""&amp;$F2341="2",""&amp;$F2341="4",""&amp;$F2341="G",""&amp;$F2341="H"),IF($AY2341="YES","",IF($AB2341&lt;&gt;0,"",IF(COUNTIFS('AR SALES'!$L$2:$L$2501,$L2341,'AR SALES'!$AD$2:$AD$2501,IF(""&amp;$F2341="4","OFF","ON"),'AR SALES'!$AF$2:$AF$2501,"Y")&gt;0,"","NO EXEMPTION"))),"")</f>
        <v/>
      </c>
    </row>
    <row r="2342" spans="46:54" x14ac:dyDescent="0.25">
      <c r="AT2342" s="2" t="str">
        <f>IF($L2342="","",IFERROR(INDEX('AR SALES'!$H$2:$H$2501,MATCH(""&amp;$L2342,'AR SALES'!$AE$2:$AE$2501,0)),""))</f>
        <v/>
      </c>
      <c r="AU2342" s="2" t="str">
        <f t="shared" si="144"/>
        <v/>
      </c>
      <c r="AV2342" s="2" t="str">
        <f t="shared" si="145"/>
        <v/>
      </c>
      <c r="AW2342" s="2" t="str">
        <f t="shared" si="146"/>
        <v/>
      </c>
      <c r="AX2342" s="2" t="str">
        <f t="shared" si="147"/>
        <v/>
      </c>
      <c r="AY2342" s="2" t="str">
        <f>IF($AV2342="","",IF(AND($Z2342=0,COUNTIF('AR SALES'!$L$2:$L$2501,$L2342)=0),"YES",""))</f>
        <v/>
      </c>
      <c r="AZ2342" s="2" t="str">
        <f>IF($AV2342="","",IF(COUNTIF(LISTS!$C$2:$C$250,$AU2342)=0,"NEW",""))</f>
        <v/>
      </c>
      <c r="BA2342" s="2" t="str">
        <f>IF(""&amp;$F2342&lt;&gt;"4","",IF($AY2342="YES","",IF(ROUND(SUMIFS($AE$2:$AE$4001,$L$2:$L$4001,$L2342,$F$2:$F$4001,"4")-SUMIFS('AR SALES'!$Y$2:$Y$2501,'AR SALES'!$L$2:$L$2501,$L2342,'AR SALES'!$AD$2:$AD$2501,"OFF"),2)=0,"","STALE")))</f>
        <v/>
      </c>
      <c r="BB2342" s="2" t="str">
        <f>IF(OR(""&amp;$F2342="2",""&amp;$F2342="4",""&amp;$F2342="G",""&amp;$F2342="H"),IF($AY2342="YES","",IF($AB2342&lt;&gt;0,"",IF(COUNTIFS('AR SALES'!$L$2:$L$2501,$L2342,'AR SALES'!$AD$2:$AD$2501,IF(""&amp;$F2342="4","OFF","ON"),'AR SALES'!$AF$2:$AF$2501,"Y")&gt;0,"","NO EXEMPTION"))),"")</f>
        <v/>
      </c>
    </row>
    <row r="2343" spans="46:54" x14ac:dyDescent="0.25">
      <c r="AT2343" s="2" t="str">
        <f>IF($L2343="","",IFERROR(INDEX('AR SALES'!$H$2:$H$2501,MATCH(""&amp;$L2343,'AR SALES'!$AE$2:$AE$2501,0)),""))</f>
        <v/>
      </c>
      <c r="AU2343" s="2" t="str">
        <f t="shared" si="144"/>
        <v/>
      </c>
      <c r="AV2343" s="2" t="str">
        <f t="shared" si="145"/>
        <v/>
      </c>
      <c r="AW2343" s="2" t="str">
        <f t="shared" si="146"/>
        <v/>
      </c>
      <c r="AX2343" s="2" t="str">
        <f t="shared" si="147"/>
        <v/>
      </c>
      <c r="AY2343" s="2" t="str">
        <f>IF($AV2343="","",IF(AND($Z2343=0,COUNTIF('AR SALES'!$L$2:$L$2501,$L2343)=0),"YES",""))</f>
        <v/>
      </c>
      <c r="AZ2343" s="2" t="str">
        <f>IF($AV2343="","",IF(COUNTIF(LISTS!$C$2:$C$250,$AU2343)=0,"NEW",""))</f>
        <v/>
      </c>
      <c r="BA2343" s="2" t="str">
        <f>IF(""&amp;$F2343&lt;&gt;"4","",IF($AY2343="YES","",IF(ROUND(SUMIFS($AE$2:$AE$4001,$L$2:$L$4001,$L2343,$F$2:$F$4001,"4")-SUMIFS('AR SALES'!$Y$2:$Y$2501,'AR SALES'!$L$2:$L$2501,$L2343,'AR SALES'!$AD$2:$AD$2501,"OFF"),2)=0,"","STALE")))</f>
        <v/>
      </c>
      <c r="BB2343" s="2" t="str">
        <f>IF(OR(""&amp;$F2343="2",""&amp;$F2343="4",""&amp;$F2343="G",""&amp;$F2343="H"),IF($AY2343="YES","",IF($AB2343&lt;&gt;0,"",IF(COUNTIFS('AR SALES'!$L$2:$L$2501,$L2343,'AR SALES'!$AD$2:$AD$2501,IF(""&amp;$F2343="4","OFF","ON"),'AR SALES'!$AF$2:$AF$2501,"Y")&gt;0,"","NO EXEMPTION"))),"")</f>
        <v/>
      </c>
    </row>
    <row r="2344" spans="46:54" x14ac:dyDescent="0.25">
      <c r="AT2344" s="2" t="str">
        <f>IF($L2344="","",IFERROR(INDEX('AR SALES'!$H$2:$H$2501,MATCH(""&amp;$L2344,'AR SALES'!$AE$2:$AE$2501,0)),""))</f>
        <v/>
      </c>
      <c r="AU2344" s="2" t="str">
        <f t="shared" si="144"/>
        <v/>
      </c>
      <c r="AV2344" s="2" t="str">
        <f t="shared" si="145"/>
        <v/>
      </c>
      <c r="AW2344" s="2" t="str">
        <f t="shared" si="146"/>
        <v/>
      </c>
      <c r="AX2344" s="2" t="str">
        <f t="shared" si="147"/>
        <v/>
      </c>
      <c r="AY2344" s="2" t="str">
        <f>IF($AV2344="","",IF(AND($Z2344=0,COUNTIF('AR SALES'!$L$2:$L$2501,$L2344)=0),"YES",""))</f>
        <v/>
      </c>
      <c r="AZ2344" s="2" t="str">
        <f>IF($AV2344="","",IF(COUNTIF(LISTS!$C$2:$C$250,$AU2344)=0,"NEW",""))</f>
        <v/>
      </c>
      <c r="BA2344" s="2" t="str">
        <f>IF(""&amp;$F2344&lt;&gt;"4","",IF($AY2344="YES","",IF(ROUND(SUMIFS($AE$2:$AE$4001,$L$2:$L$4001,$L2344,$F$2:$F$4001,"4")-SUMIFS('AR SALES'!$Y$2:$Y$2501,'AR SALES'!$L$2:$L$2501,$L2344,'AR SALES'!$AD$2:$AD$2501,"OFF"),2)=0,"","STALE")))</f>
        <v/>
      </c>
      <c r="BB2344" s="2" t="str">
        <f>IF(OR(""&amp;$F2344="2",""&amp;$F2344="4",""&amp;$F2344="G",""&amp;$F2344="H"),IF($AY2344="YES","",IF($AB2344&lt;&gt;0,"",IF(COUNTIFS('AR SALES'!$L$2:$L$2501,$L2344,'AR SALES'!$AD$2:$AD$2501,IF(""&amp;$F2344="4","OFF","ON"),'AR SALES'!$AF$2:$AF$2501,"Y")&gt;0,"","NO EXEMPTION"))),"")</f>
        <v/>
      </c>
    </row>
    <row r="2345" spans="46:54" x14ac:dyDescent="0.25">
      <c r="AT2345" s="2" t="str">
        <f>IF($L2345="","",IFERROR(INDEX('AR SALES'!$H$2:$H$2501,MATCH(""&amp;$L2345,'AR SALES'!$AE$2:$AE$2501,0)),""))</f>
        <v/>
      </c>
      <c r="AU2345" s="2" t="str">
        <f t="shared" si="144"/>
        <v/>
      </c>
      <c r="AV2345" s="2" t="str">
        <f t="shared" si="145"/>
        <v/>
      </c>
      <c r="AW2345" s="2" t="str">
        <f t="shared" si="146"/>
        <v/>
      </c>
      <c r="AX2345" s="2" t="str">
        <f t="shared" si="147"/>
        <v/>
      </c>
      <c r="AY2345" s="2" t="str">
        <f>IF($AV2345="","",IF(AND($Z2345=0,COUNTIF('AR SALES'!$L$2:$L$2501,$L2345)=0),"YES",""))</f>
        <v/>
      </c>
      <c r="AZ2345" s="2" t="str">
        <f>IF($AV2345="","",IF(COUNTIF(LISTS!$C$2:$C$250,$AU2345)=0,"NEW",""))</f>
        <v/>
      </c>
      <c r="BA2345" s="2" t="str">
        <f>IF(""&amp;$F2345&lt;&gt;"4","",IF($AY2345="YES","",IF(ROUND(SUMIFS($AE$2:$AE$4001,$L$2:$L$4001,$L2345,$F$2:$F$4001,"4")-SUMIFS('AR SALES'!$Y$2:$Y$2501,'AR SALES'!$L$2:$L$2501,$L2345,'AR SALES'!$AD$2:$AD$2501,"OFF"),2)=0,"","STALE")))</f>
        <v/>
      </c>
      <c r="BB2345" s="2" t="str">
        <f>IF(OR(""&amp;$F2345="2",""&amp;$F2345="4",""&amp;$F2345="G",""&amp;$F2345="H"),IF($AY2345="YES","",IF($AB2345&lt;&gt;0,"",IF(COUNTIFS('AR SALES'!$L$2:$L$2501,$L2345,'AR SALES'!$AD$2:$AD$2501,IF(""&amp;$F2345="4","OFF","ON"),'AR SALES'!$AF$2:$AF$2501,"Y")&gt;0,"","NO EXEMPTION"))),"")</f>
        <v/>
      </c>
    </row>
    <row r="2346" spans="46:54" x14ac:dyDescent="0.25">
      <c r="AT2346" s="2" t="str">
        <f>IF($L2346="","",IFERROR(INDEX('AR SALES'!$H$2:$H$2501,MATCH(""&amp;$L2346,'AR SALES'!$AE$2:$AE$2501,0)),""))</f>
        <v/>
      </c>
      <c r="AU2346" s="2" t="str">
        <f t="shared" si="144"/>
        <v/>
      </c>
      <c r="AV2346" s="2" t="str">
        <f t="shared" si="145"/>
        <v/>
      </c>
      <c r="AW2346" s="2" t="str">
        <f t="shared" si="146"/>
        <v/>
      </c>
      <c r="AX2346" s="2" t="str">
        <f t="shared" si="147"/>
        <v/>
      </c>
      <c r="AY2346" s="2" t="str">
        <f>IF($AV2346="","",IF(AND($Z2346=0,COUNTIF('AR SALES'!$L$2:$L$2501,$L2346)=0),"YES",""))</f>
        <v/>
      </c>
      <c r="AZ2346" s="2" t="str">
        <f>IF($AV2346="","",IF(COUNTIF(LISTS!$C$2:$C$250,$AU2346)=0,"NEW",""))</f>
        <v/>
      </c>
      <c r="BA2346" s="2" t="str">
        <f>IF(""&amp;$F2346&lt;&gt;"4","",IF($AY2346="YES","",IF(ROUND(SUMIFS($AE$2:$AE$4001,$L$2:$L$4001,$L2346,$F$2:$F$4001,"4")-SUMIFS('AR SALES'!$Y$2:$Y$2501,'AR SALES'!$L$2:$L$2501,$L2346,'AR SALES'!$AD$2:$AD$2501,"OFF"),2)=0,"","STALE")))</f>
        <v/>
      </c>
      <c r="BB2346" s="2" t="str">
        <f>IF(OR(""&amp;$F2346="2",""&amp;$F2346="4",""&amp;$F2346="G",""&amp;$F2346="H"),IF($AY2346="YES","",IF($AB2346&lt;&gt;0,"",IF(COUNTIFS('AR SALES'!$L$2:$L$2501,$L2346,'AR SALES'!$AD$2:$AD$2501,IF(""&amp;$F2346="4","OFF","ON"),'AR SALES'!$AF$2:$AF$2501,"Y")&gt;0,"","NO EXEMPTION"))),"")</f>
        <v/>
      </c>
    </row>
    <row r="2347" spans="46:54" x14ac:dyDescent="0.25">
      <c r="AT2347" s="2" t="str">
        <f>IF($L2347="","",IFERROR(INDEX('AR SALES'!$H$2:$H$2501,MATCH(""&amp;$L2347,'AR SALES'!$AE$2:$AE$2501,0)),""))</f>
        <v/>
      </c>
      <c r="AU2347" s="2" t="str">
        <f t="shared" si="144"/>
        <v/>
      </c>
      <c r="AV2347" s="2" t="str">
        <f t="shared" si="145"/>
        <v/>
      </c>
      <c r="AW2347" s="2" t="str">
        <f t="shared" si="146"/>
        <v/>
      </c>
      <c r="AX2347" s="2" t="str">
        <f t="shared" si="147"/>
        <v/>
      </c>
      <c r="AY2347" s="2" t="str">
        <f>IF($AV2347="","",IF(AND($Z2347=0,COUNTIF('AR SALES'!$L$2:$L$2501,$L2347)=0),"YES",""))</f>
        <v/>
      </c>
      <c r="AZ2347" s="2" t="str">
        <f>IF($AV2347="","",IF(COUNTIF(LISTS!$C$2:$C$250,$AU2347)=0,"NEW",""))</f>
        <v/>
      </c>
      <c r="BA2347" s="2" t="str">
        <f>IF(""&amp;$F2347&lt;&gt;"4","",IF($AY2347="YES","",IF(ROUND(SUMIFS($AE$2:$AE$4001,$L$2:$L$4001,$L2347,$F$2:$F$4001,"4")-SUMIFS('AR SALES'!$Y$2:$Y$2501,'AR SALES'!$L$2:$L$2501,$L2347,'AR SALES'!$AD$2:$AD$2501,"OFF"),2)=0,"","STALE")))</f>
        <v/>
      </c>
      <c r="BB2347" s="2" t="str">
        <f>IF(OR(""&amp;$F2347="2",""&amp;$F2347="4",""&amp;$F2347="G",""&amp;$F2347="H"),IF($AY2347="YES","",IF($AB2347&lt;&gt;0,"",IF(COUNTIFS('AR SALES'!$L$2:$L$2501,$L2347,'AR SALES'!$AD$2:$AD$2501,IF(""&amp;$F2347="4","OFF","ON"),'AR SALES'!$AF$2:$AF$2501,"Y")&gt;0,"","NO EXEMPTION"))),"")</f>
        <v/>
      </c>
    </row>
    <row r="2348" spans="46:54" x14ac:dyDescent="0.25">
      <c r="AT2348" s="2" t="str">
        <f>IF($L2348="","",IFERROR(INDEX('AR SALES'!$H$2:$H$2501,MATCH(""&amp;$L2348,'AR SALES'!$AE$2:$AE$2501,0)),""))</f>
        <v/>
      </c>
      <c r="AU2348" s="2" t="str">
        <f t="shared" si="144"/>
        <v/>
      </c>
      <c r="AV2348" s="2" t="str">
        <f t="shared" si="145"/>
        <v/>
      </c>
      <c r="AW2348" s="2" t="str">
        <f t="shared" si="146"/>
        <v/>
      </c>
      <c r="AX2348" s="2" t="str">
        <f t="shared" si="147"/>
        <v/>
      </c>
      <c r="AY2348" s="2" t="str">
        <f>IF($AV2348="","",IF(AND($Z2348=0,COUNTIF('AR SALES'!$L$2:$L$2501,$L2348)=0),"YES",""))</f>
        <v/>
      </c>
      <c r="AZ2348" s="2" t="str">
        <f>IF($AV2348="","",IF(COUNTIF(LISTS!$C$2:$C$250,$AU2348)=0,"NEW",""))</f>
        <v/>
      </c>
      <c r="BA2348" s="2" t="str">
        <f>IF(""&amp;$F2348&lt;&gt;"4","",IF($AY2348="YES","",IF(ROUND(SUMIFS($AE$2:$AE$4001,$L$2:$L$4001,$L2348,$F$2:$F$4001,"4")-SUMIFS('AR SALES'!$Y$2:$Y$2501,'AR SALES'!$L$2:$L$2501,$L2348,'AR SALES'!$AD$2:$AD$2501,"OFF"),2)=0,"","STALE")))</f>
        <v/>
      </c>
      <c r="BB2348" s="2" t="str">
        <f>IF(OR(""&amp;$F2348="2",""&amp;$F2348="4",""&amp;$F2348="G",""&amp;$F2348="H"),IF($AY2348="YES","",IF($AB2348&lt;&gt;0,"",IF(COUNTIFS('AR SALES'!$L$2:$L$2501,$L2348,'AR SALES'!$AD$2:$AD$2501,IF(""&amp;$F2348="4","OFF","ON"),'AR SALES'!$AF$2:$AF$2501,"Y")&gt;0,"","NO EXEMPTION"))),"")</f>
        <v/>
      </c>
    </row>
    <row r="2349" spans="46:54" x14ac:dyDescent="0.25">
      <c r="AT2349" s="2" t="str">
        <f>IF($L2349="","",IFERROR(INDEX('AR SALES'!$H$2:$H$2501,MATCH(""&amp;$L2349,'AR SALES'!$AE$2:$AE$2501,0)),""))</f>
        <v/>
      </c>
      <c r="AU2349" s="2" t="str">
        <f t="shared" si="144"/>
        <v/>
      </c>
      <c r="AV2349" s="2" t="str">
        <f t="shared" si="145"/>
        <v/>
      </c>
      <c r="AW2349" s="2" t="str">
        <f t="shared" si="146"/>
        <v/>
      </c>
      <c r="AX2349" s="2" t="str">
        <f t="shared" si="147"/>
        <v/>
      </c>
      <c r="AY2349" s="2" t="str">
        <f>IF($AV2349="","",IF(AND($Z2349=0,COUNTIF('AR SALES'!$L$2:$L$2501,$L2349)=0),"YES",""))</f>
        <v/>
      </c>
      <c r="AZ2349" s="2" t="str">
        <f>IF($AV2349="","",IF(COUNTIF(LISTS!$C$2:$C$250,$AU2349)=0,"NEW",""))</f>
        <v/>
      </c>
      <c r="BA2349" s="2" t="str">
        <f>IF(""&amp;$F2349&lt;&gt;"4","",IF($AY2349="YES","",IF(ROUND(SUMIFS($AE$2:$AE$4001,$L$2:$L$4001,$L2349,$F$2:$F$4001,"4")-SUMIFS('AR SALES'!$Y$2:$Y$2501,'AR SALES'!$L$2:$L$2501,$L2349,'AR SALES'!$AD$2:$AD$2501,"OFF"),2)=0,"","STALE")))</f>
        <v/>
      </c>
      <c r="BB2349" s="2" t="str">
        <f>IF(OR(""&amp;$F2349="2",""&amp;$F2349="4",""&amp;$F2349="G",""&amp;$F2349="H"),IF($AY2349="YES","",IF($AB2349&lt;&gt;0,"",IF(COUNTIFS('AR SALES'!$L$2:$L$2501,$L2349,'AR SALES'!$AD$2:$AD$2501,IF(""&amp;$F2349="4","OFF","ON"),'AR SALES'!$AF$2:$AF$2501,"Y")&gt;0,"","NO EXEMPTION"))),"")</f>
        <v/>
      </c>
    </row>
    <row r="2350" spans="46:54" x14ac:dyDescent="0.25">
      <c r="AT2350" s="2" t="str">
        <f>IF($L2350="","",IFERROR(INDEX('AR SALES'!$H$2:$H$2501,MATCH(""&amp;$L2350,'AR SALES'!$AE$2:$AE$2501,0)),""))</f>
        <v/>
      </c>
      <c r="AU2350" s="2" t="str">
        <f t="shared" si="144"/>
        <v/>
      </c>
      <c r="AV2350" s="2" t="str">
        <f t="shared" si="145"/>
        <v/>
      </c>
      <c r="AW2350" s="2" t="str">
        <f t="shared" si="146"/>
        <v/>
      </c>
      <c r="AX2350" s="2" t="str">
        <f t="shared" si="147"/>
        <v/>
      </c>
      <c r="AY2350" s="2" t="str">
        <f>IF($AV2350="","",IF(AND($Z2350=0,COUNTIF('AR SALES'!$L$2:$L$2501,$L2350)=0),"YES",""))</f>
        <v/>
      </c>
      <c r="AZ2350" s="2" t="str">
        <f>IF($AV2350="","",IF(COUNTIF(LISTS!$C$2:$C$250,$AU2350)=0,"NEW",""))</f>
        <v/>
      </c>
      <c r="BA2350" s="2" t="str">
        <f>IF(""&amp;$F2350&lt;&gt;"4","",IF($AY2350="YES","",IF(ROUND(SUMIFS($AE$2:$AE$4001,$L$2:$L$4001,$L2350,$F$2:$F$4001,"4")-SUMIFS('AR SALES'!$Y$2:$Y$2501,'AR SALES'!$L$2:$L$2501,$L2350,'AR SALES'!$AD$2:$AD$2501,"OFF"),2)=0,"","STALE")))</f>
        <v/>
      </c>
      <c r="BB2350" s="2" t="str">
        <f>IF(OR(""&amp;$F2350="2",""&amp;$F2350="4",""&amp;$F2350="G",""&amp;$F2350="H"),IF($AY2350="YES","",IF($AB2350&lt;&gt;0,"",IF(COUNTIFS('AR SALES'!$L$2:$L$2501,$L2350,'AR SALES'!$AD$2:$AD$2501,IF(""&amp;$F2350="4","OFF","ON"),'AR SALES'!$AF$2:$AF$2501,"Y")&gt;0,"","NO EXEMPTION"))),"")</f>
        <v/>
      </c>
    </row>
    <row r="2351" spans="46:54" x14ac:dyDescent="0.25">
      <c r="AT2351" s="2" t="str">
        <f>IF($L2351="","",IFERROR(INDEX('AR SALES'!$H$2:$H$2501,MATCH(""&amp;$L2351,'AR SALES'!$AE$2:$AE$2501,0)),""))</f>
        <v/>
      </c>
      <c r="AU2351" s="2" t="str">
        <f t="shared" si="144"/>
        <v/>
      </c>
      <c r="AV2351" s="2" t="str">
        <f t="shared" si="145"/>
        <v/>
      </c>
      <c r="AW2351" s="2" t="str">
        <f t="shared" si="146"/>
        <v/>
      </c>
      <c r="AX2351" s="2" t="str">
        <f t="shared" si="147"/>
        <v/>
      </c>
      <c r="AY2351" s="2" t="str">
        <f>IF($AV2351="","",IF(AND($Z2351=0,COUNTIF('AR SALES'!$L$2:$L$2501,$L2351)=0),"YES",""))</f>
        <v/>
      </c>
      <c r="AZ2351" s="2" t="str">
        <f>IF($AV2351="","",IF(COUNTIF(LISTS!$C$2:$C$250,$AU2351)=0,"NEW",""))</f>
        <v/>
      </c>
      <c r="BA2351" s="2" t="str">
        <f>IF(""&amp;$F2351&lt;&gt;"4","",IF($AY2351="YES","",IF(ROUND(SUMIFS($AE$2:$AE$4001,$L$2:$L$4001,$L2351,$F$2:$F$4001,"4")-SUMIFS('AR SALES'!$Y$2:$Y$2501,'AR SALES'!$L$2:$L$2501,$L2351,'AR SALES'!$AD$2:$AD$2501,"OFF"),2)=0,"","STALE")))</f>
        <v/>
      </c>
      <c r="BB2351" s="2" t="str">
        <f>IF(OR(""&amp;$F2351="2",""&amp;$F2351="4",""&amp;$F2351="G",""&amp;$F2351="H"),IF($AY2351="YES","",IF($AB2351&lt;&gt;0,"",IF(COUNTIFS('AR SALES'!$L$2:$L$2501,$L2351,'AR SALES'!$AD$2:$AD$2501,IF(""&amp;$F2351="4","OFF","ON"),'AR SALES'!$AF$2:$AF$2501,"Y")&gt;0,"","NO EXEMPTION"))),"")</f>
        <v/>
      </c>
    </row>
    <row r="2352" spans="46:54" x14ac:dyDescent="0.25">
      <c r="AT2352" s="2" t="str">
        <f>IF($L2352="","",IFERROR(INDEX('AR SALES'!$H$2:$H$2501,MATCH(""&amp;$L2352,'AR SALES'!$AE$2:$AE$2501,0)),""))</f>
        <v/>
      </c>
      <c r="AU2352" s="2" t="str">
        <f t="shared" si="144"/>
        <v/>
      </c>
      <c r="AV2352" s="2" t="str">
        <f t="shared" si="145"/>
        <v/>
      </c>
      <c r="AW2352" s="2" t="str">
        <f t="shared" si="146"/>
        <v/>
      </c>
      <c r="AX2352" s="2" t="str">
        <f t="shared" si="147"/>
        <v/>
      </c>
      <c r="AY2352" s="2" t="str">
        <f>IF($AV2352="","",IF(AND($Z2352=0,COUNTIF('AR SALES'!$L$2:$L$2501,$L2352)=0),"YES",""))</f>
        <v/>
      </c>
      <c r="AZ2352" s="2" t="str">
        <f>IF($AV2352="","",IF(COUNTIF(LISTS!$C$2:$C$250,$AU2352)=0,"NEW",""))</f>
        <v/>
      </c>
      <c r="BA2352" s="2" t="str">
        <f>IF(""&amp;$F2352&lt;&gt;"4","",IF($AY2352="YES","",IF(ROUND(SUMIFS($AE$2:$AE$4001,$L$2:$L$4001,$L2352,$F$2:$F$4001,"4")-SUMIFS('AR SALES'!$Y$2:$Y$2501,'AR SALES'!$L$2:$L$2501,$L2352,'AR SALES'!$AD$2:$AD$2501,"OFF"),2)=0,"","STALE")))</f>
        <v/>
      </c>
      <c r="BB2352" s="2" t="str">
        <f>IF(OR(""&amp;$F2352="2",""&amp;$F2352="4",""&amp;$F2352="G",""&amp;$F2352="H"),IF($AY2352="YES","",IF($AB2352&lt;&gt;0,"",IF(COUNTIFS('AR SALES'!$L$2:$L$2501,$L2352,'AR SALES'!$AD$2:$AD$2501,IF(""&amp;$F2352="4","OFF","ON"),'AR SALES'!$AF$2:$AF$2501,"Y")&gt;0,"","NO EXEMPTION"))),"")</f>
        <v/>
      </c>
    </row>
    <row r="2353" spans="46:54" x14ac:dyDescent="0.25">
      <c r="AT2353" s="2" t="str">
        <f>IF($L2353="","",IFERROR(INDEX('AR SALES'!$H$2:$H$2501,MATCH(""&amp;$L2353,'AR SALES'!$AE$2:$AE$2501,0)),""))</f>
        <v/>
      </c>
      <c r="AU2353" s="2" t="str">
        <f t="shared" si="144"/>
        <v/>
      </c>
      <c r="AV2353" s="2" t="str">
        <f t="shared" si="145"/>
        <v/>
      </c>
      <c r="AW2353" s="2" t="str">
        <f t="shared" si="146"/>
        <v/>
      </c>
      <c r="AX2353" s="2" t="str">
        <f t="shared" si="147"/>
        <v/>
      </c>
      <c r="AY2353" s="2" t="str">
        <f>IF($AV2353="","",IF(AND($Z2353=0,COUNTIF('AR SALES'!$L$2:$L$2501,$L2353)=0),"YES",""))</f>
        <v/>
      </c>
      <c r="AZ2353" s="2" t="str">
        <f>IF($AV2353="","",IF(COUNTIF(LISTS!$C$2:$C$250,$AU2353)=0,"NEW",""))</f>
        <v/>
      </c>
      <c r="BA2353" s="2" t="str">
        <f>IF(""&amp;$F2353&lt;&gt;"4","",IF($AY2353="YES","",IF(ROUND(SUMIFS($AE$2:$AE$4001,$L$2:$L$4001,$L2353,$F$2:$F$4001,"4")-SUMIFS('AR SALES'!$Y$2:$Y$2501,'AR SALES'!$L$2:$L$2501,$L2353,'AR SALES'!$AD$2:$AD$2501,"OFF"),2)=0,"","STALE")))</f>
        <v/>
      </c>
      <c r="BB2353" s="2" t="str">
        <f>IF(OR(""&amp;$F2353="2",""&amp;$F2353="4",""&amp;$F2353="G",""&amp;$F2353="H"),IF($AY2353="YES","",IF($AB2353&lt;&gt;0,"",IF(COUNTIFS('AR SALES'!$L$2:$L$2501,$L2353,'AR SALES'!$AD$2:$AD$2501,IF(""&amp;$F2353="4","OFF","ON"),'AR SALES'!$AF$2:$AF$2501,"Y")&gt;0,"","NO EXEMPTION"))),"")</f>
        <v/>
      </c>
    </row>
    <row r="2354" spans="46:54" x14ac:dyDescent="0.25">
      <c r="AT2354" s="2" t="str">
        <f>IF($L2354="","",IFERROR(INDEX('AR SALES'!$H$2:$H$2501,MATCH(""&amp;$L2354,'AR SALES'!$AE$2:$AE$2501,0)),""))</f>
        <v/>
      </c>
      <c r="AU2354" s="2" t="str">
        <f t="shared" si="144"/>
        <v/>
      </c>
      <c r="AV2354" s="2" t="str">
        <f t="shared" si="145"/>
        <v/>
      </c>
      <c r="AW2354" s="2" t="str">
        <f t="shared" si="146"/>
        <v/>
      </c>
      <c r="AX2354" s="2" t="str">
        <f t="shared" si="147"/>
        <v/>
      </c>
      <c r="AY2354" s="2" t="str">
        <f>IF($AV2354="","",IF(AND($Z2354=0,COUNTIF('AR SALES'!$L$2:$L$2501,$L2354)=0),"YES",""))</f>
        <v/>
      </c>
      <c r="AZ2354" s="2" t="str">
        <f>IF($AV2354="","",IF(COUNTIF(LISTS!$C$2:$C$250,$AU2354)=0,"NEW",""))</f>
        <v/>
      </c>
      <c r="BA2354" s="2" t="str">
        <f>IF(""&amp;$F2354&lt;&gt;"4","",IF($AY2354="YES","",IF(ROUND(SUMIFS($AE$2:$AE$4001,$L$2:$L$4001,$L2354,$F$2:$F$4001,"4")-SUMIFS('AR SALES'!$Y$2:$Y$2501,'AR SALES'!$L$2:$L$2501,$L2354,'AR SALES'!$AD$2:$AD$2501,"OFF"),2)=0,"","STALE")))</f>
        <v/>
      </c>
      <c r="BB2354" s="2" t="str">
        <f>IF(OR(""&amp;$F2354="2",""&amp;$F2354="4",""&amp;$F2354="G",""&amp;$F2354="H"),IF($AY2354="YES","",IF($AB2354&lt;&gt;0,"",IF(COUNTIFS('AR SALES'!$L$2:$L$2501,$L2354,'AR SALES'!$AD$2:$AD$2501,IF(""&amp;$F2354="4","OFF","ON"),'AR SALES'!$AF$2:$AF$2501,"Y")&gt;0,"","NO EXEMPTION"))),"")</f>
        <v/>
      </c>
    </row>
    <row r="2355" spans="46:54" x14ac:dyDescent="0.25">
      <c r="AT2355" s="2" t="str">
        <f>IF($L2355="","",IFERROR(INDEX('AR SALES'!$H$2:$H$2501,MATCH(""&amp;$L2355,'AR SALES'!$AE$2:$AE$2501,0)),""))</f>
        <v/>
      </c>
      <c r="AU2355" s="2" t="str">
        <f t="shared" si="144"/>
        <v/>
      </c>
      <c r="AV2355" s="2" t="str">
        <f t="shared" si="145"/>
        <v/>
      </c>
      <c r="AW2355" s="2" t="str">
        <f t="shared" si="146"/>
        <v/>
      </c>
      <c r="AX2355" s="2" t="str">
        <f t="shared" si="147"/>
        <v/>
      </c>
      <c r="AY2355" s="2" t="str">
        <f>IF($AV2355="","",IF(AND($Z2355=0,COUNTIF('AR SALES'!$L$2:$L$2501,$L2355)=0),"YES",""))</f>
        <v/>
      </c>
      <c r="AZ2355" s="2" t="str">
        <f>IF($AV2355="","",IF(COUNTIF(LISTS!$C$2:$C$250,$AU2355)=0,"NEW",""))</f>
        <v/>
      </c>
      <c r="BA2355" s="2" t="str">
        <f>IF(""&amp;$F2355&lt;&gt;"4","",IF($AY2355="YES","",IF(ROUND(SUMIFS($AE$2:$AE$4001,$L$2:$L$4001,$L2355,$F$2:$F$4001,"4")-SUMIFS('AR SALES'!$Y$2:$Y$2501,'AR SALES'!$L$2:$L$2501,$L2355,'AR SALES'!$AD$2:$AD$2501,"OFF"),2)=0,"","STALE")))</f>
        <v/>
      </c>
      <c r="BB2355" s="2" t="str">
        <f>IF(OR(""&amp;$F2355="2",""&amp;$F2355="4",""&amp;$F2355="G",""&amp;$F2355="H"),IF($AY2355="YES","",IF($AB2355&lt;&gt;0,"",IF(COUNTIFS('AR SALES'!$L$2:$L$2501,$L2355,'AR SALES'!$AD$2:$AD$2501,IF(""&amp;$F2355="4","OFF","ON"),'AR SALES'!$AF$2:$AF$2501,"Y")&gt;0,"","NO EXEMPTION"))),"")</f>
        <v/>
      </c>
    </row>
    <row r="2356" spans="46:54" x14ac:dyDescent="0.25">
      <c r="AT2356" s="2" t="str">
        <f>IF($L2356="","",IFERROR(INDEX('AR SALES'!$H$2:$H$2501,MATCH(""&amp;$L2356,'AR SALES'!$AE$2:$AE$2501,0)),""))</f>
        <v/>
      </c>
      <c r="AU2356" s="2" t="str">
        <f t="shared" si="144"/>
        <v/>
      </c>
      <c r="AV2356" s="2" t="str">
        <f t="shared" si="145"/>
        <v/>
      </c>
      <c r="AW2356" s="2" t="str">
        <f t="shared" si="146"/>
        <v/>
      </c>
      <c r="AX2356" s="2" t="str">
        <f t="shared" si="147"/>
        <v/>
      </c>
      <c r="AY2356" s="2" t="str">
        <f>IF($AV2356="","",IF(AND($Z2356=0,COUNTIF('AR SALES'!$L$2:$L$2501,$L2356)=0),"YES",""))</f>
        <v/>
      </c>
      <c r="AZ2356" s="2" t="str">
        <f>IF($AV2356="","",IF(COUNTIF(LISTS!$C$2:$C$250,$AU2356)=0,"NEW",""))</f>
        <v/>
      </c>
      <c r="BA2356" s="2" t="str">
        <f>IF(""&amp;$F2356&lt;&gt;"4","",IF($AY2356="YES","",IF(ROUND(SUMIFS($AE$2:$AE$4001,$L$2:$L$4001,$L2356,$F$2:$F$4001,"4")-SUMIFS('AR SALES'!$Y$2:$Y$2501,'AR SALES'!$L$2:$L$2501,$L2356,'AR SALES'!$AD$2:$AD$2501,"OFF"),2)=0,"","STALE")))</f>
        <v/>
      </c>
      <c r="BB2356" s="2" t="str">
        <f>IF(OR(""&amp;$F2356="2",""&amp;$F2356="4",""&amp;$F2356="G",""&amp;$F2356="H"),IF($AY2356="YES","",IF($AB2356&lt;&gt;0,"",IF(COUNTIFS('AR SALES'!$L$2:$L$2501,$L2356,'AR SALES'!$AD$2:$AD$2501,IF(""&amp;$F2356="4","OFF","ON"),'AR SALES'!$AF$2:$AF$2501,"Y")&gt;0,"","NO EXEMPTION"))),"")</f>
        <v/>
      </c>
    </row>
    <row r="2357" spans="46:54" x14ac:dyDescent="0.25">
      <c r="AT2357" s="2" t="str">
        <f>IF($L2357="","",IFERROR(INDEX('AR SALES'!$H$2:$H$2501,MATCH(""&amp;$L2357,'AR SALES'!$AE$2:$AE$2501,0)),""))</f>
        <v/>
      </c>
      <c r="AU2357" s="2" t="str">
        <f t="shared" si="144"/>
        <v/>
      </c>
      <c r="AV2357" s="2" t="str">
        <f t="shared" si="145"/>
        <v/>
      </c>
      <c r="AW2357" s="2" t="str">
        <f t="shared" si="146"/>
        <v/>
      </c>
      <c r="AX2357" s="2" t="str">
        <f t="shared" si="147"/>
        <v/>
      </c>
      <c r="AY2357" s="2" t="str">
        <f>IF($AV2357="","",IF(AND($Z2357=0,COUNTIF('AR SALES'!$L$2:$L$2501,$L2357)=0),"YES",""))</f>
        <v/>
      </c>
      <c r="AZ2357" s="2" t="str">
        <f>IF($AV2357="","",IF(COUNTIF(LISTS!$C$2:$C$250,$AU2357)=0,"NEW",""))</f>
        <v/>
      </c>
      <c r="BA2357" s="2" t="str">
        <f>IF(""&amp;$F2357&lt;&gt;"4","",IF($AY2357="YES","",IF(ROUND(SUMIFS($AE$2:$AE$4001,$L$2:$L$4001,$L2357,$F$2:$F$4001,"4")-SUMIFS('AR SALES'!$Y$2:$Y$2501,'AR SALES'!$L$2:$L$2501,$L2357,'AR SALES'!$AD$2:$AD$2501,"OFF"),2)=0,"","STALE")))</f>
        <v/>
      </c>
      <c r="BB2357" s="2" t="str">
        <f>IF(OR(""&amp;$F2357="2",""&amp;$F2357="4",""&amp;$F2357="G",""&amp;$F2357="H"),IF($AY2357="YES","",IF($AB2357&lt;&gt;0,"",IF(COUNTIFS('AR SALES'!$L$2:$L$2501,$L2357,'AR SALES'!$AD$2:$AD$2501,IF(""&amp;$F2357="4","OFF","ON"),'AR SALES'!$AF$2:$AF$2501,"Y")&gt;0,"","NO EXEMPTION"))),"")</f>
        <v/>
      </c>
    </row>
    <row r="2358" spans="46:54" x14ac:dyDescent="0.25">
      <c r="AT2358" s="2" t="str">
        <f>IF($L2358="","",IFERROR(INDEX('AR SALES'!$H$2:$H$2501,MATCH(""&amp;$L2358,'AR SALES'!$AE$2:$AE$2501,0)),""))</f>
        <v/>
      </c>
      <c r="AU2358" s="2" t="str">
        <f t="shared" si="144"/>
        <v/>
      </c>
      <c r="AV2358" s="2" t="str">
        <f t="shared" si="145"/>
        <v/>
      </c>
      <c r="AW2358" s="2" t="str">
        <f t="shared" si="146"/>
        <v/>
      </c>
      <c r="AX2358" s="2" t="str">
        <f t="shared" si="147"/>
        <v/>
      </c>
      <c r="AY2358" s="2" t="str">
        <f>IF($AV2358="","",IF(AND($Z2358=0,COUNTIF('AR SALES'!$L$2:$L$2501,$L2358)=0),"YES",""))</f>
        <v/>
      </c>
      <c r="AZ2358" s="2" t="str">
        <f>IF($AV2358="","",IF(COUNTIF(LISTS!$C$2:$C$250,$AU2358)=0,"NEW",""))</f>
        <v/>
      </c>
      <c r="BA2358" s="2" t="str">
        <f>IF(""&amp;$F2358&lt;&gt;"4","",IF($AY2358="YES","",IF(ROUND(SUMIFS($AE$2:$AE$4001,$L$2:$L$4001,$L2358,$F$2:$F$4001,"4")-SUMIFS('AR SALES'!$Y$2:$Y$2501,'AR SALES'!$L$2:$L$2501,$L2358,'AR SALES'!$AD$2:$AD$2501,"OFF"),2)=0,"","STALE")))</f>
        <v/>
      </c>
      <c r="BB2358" s="2" t="str">
        <f>IF(OR(""&amp;$F2358="2",""&amp;$F2358="4",""&amp;$F2358="G",""&amp;$F2358="H"),IF($AY2358="YES","",IF($AB2358&lt;&gt;0,"",IF(COUNTIFS('AR SALES'!$L$2:$L$2501,$L2358,'AR SALES'!$AD$2:$AD$2501,IF(""&amp;$F2358="4","OFF","ON"),'AR SALES'!$AF$2:$AF$2501,"Y")&gt;0,"","NO EXEMPTION"))),"")</f>
        <v/>
      </c>
    </row>
    <row r="2359" spans="46:54" x14ac:dyDescent="0.25">
      <c r="AT2359" s="2" t="str">
        <f>IF($L2359="","",IFERROR(INDEX('AR SALES'!$H$2:$H$2501,MATCH(""&amp;$L2359,'AR SALES'!$AE$2:$AE$2501,0)),""))</f>
        <v/>
      </c>
      <c r="AU2359" s="2" t="str">
        <f t="shared" si="144"/>
        <v/>
      </c>
      <c r="AV2359" s="2" t="str">
        <f t="shared" si="145"/>
        <v/>
      </c>
      <c r="AW2359" s="2" t="str">
        <f t="shared" si="146"/>
        <v/>
      </c>
      <c r="AX2359" s="2" t="str">
        <f t="shared" si="147"/>
        <v/>
      </c>
      <c r="AY2359" s="2" t="str">
        <f>IF($AV2359="","",IF(AND($Z2359=0,COUNTIF('AR SALES'!$L$2:$L$2501,$L2359)=0),"YES",""))</f>
        <v/>
      </c>
      <c r="AZ2359" s="2" t="str">
        <f>IF($AV2359="","",IF(COUNTIF(LISTS!$C$2:$C$250,$AU2359)=0,"NEW",""))</f>
        <v/>
      </c>
      <c r="BA2359" s="2" t="str">
        <f>IF(""&amp;$F2359&lt;&gt;"4","",IF($AY2359="YES","",IF(ROUND(SUMIFS($AE$2:$AE$4001,$L$2:$L$4001,$L2359,$F$2:$F$4001,"4")-SUMIFS('AR SALES'!$Y$2:$Y$2501,'AR SALES'!$L$2:$L$2501,$L2359,'AR SALES'!$AD$2:$AD$2501,"OFF"),2)=0,"","STALE")))</f>
        <v/>
      </c>
      <c r="BB2359" s="2" t="str">
        <f>IF(OR(""&amp;$F2359="2",""&amp;$F2359="4",""&amp;$F2359="G",""&amp;$F2359="H"),IF($AY2359="YES","",IF($AB2359&lt;&gt;0,"",IF(COUNTIFS('AR SALES'!$L$2:$L$2501,$L2359,'AR SALES'!$AD$2:$AD$2501,IF(""&amp;$F2359="4","OFF","ON"),'AR SALES'!$AF$2:$AF$2501,"Y")&gt;0,"","NO EXEMPTION"))),"")</f>
        <v/>
      </c>
    </row>
    <row r="2360" spans="46:54" x14ac:dyDescent="0.25">
      <c r="AT2360" s="2" t="str">
        <f>IF($L2360="","",IFERROR(INDEX('AR SALES'!$H$2:$H$2501,MATCH(""&amp;$L2360,'AR SALES'!$AE$2:$AE$2501,0)),""))</f>
        <v/>
      </c>
      <c r="AU2360" s="2" t="str">
        <f t="shared" si="144"/>
        <v/>
      </c>
      <c r="AV2360" s="2" t="str">
        <f t="shared" si="145"/>
        <v/>
      </c>
      <c r="AW2360" s="2" t="str">
        <f t="shared" si="146"/>
        <v/>
      </c>
      <c r="AX2360" s="2" t="str">
        <f t="shared" si="147"/>
        <v/>
      </c>
      <c r="AY2360" s="2" t="str">
        <f>IF($AV2360="","",IF(AND($Z2360=0,COUNTIF('AR SALES'!$L$2:$L$2501,$L2360)=0),"YES",""))</f>
        <v/>
      </c>
      <c r="AZ2360" s="2" t="str">
        <f>IF($AV2360="","",IF(COUNTIF(LISTS!$C$2:$C$250,$AU2360)=0,"NEW",""))</f>
        <v/>
      </c>
      <c r="BA2360" s="2" t="str">
        <f>IF(""&amp;$F2360&lt;&gt;"4","",IF($AY2360="YES","",IF(ROUND(SUMIFS($AE$2:$AE$4001,$L$2:$L$4001,$L2360,$F$2:$F$4001,"4")-SUMIFS('AR SALES'!$Y$2:$Y$2501,'AR SALES'!$L$2:$L$2501,$L2360,'AR SALES'!$AD$2:$AD$2501,"OFF"),2)=0,"","STALE")))</f>
        <v/>
      </c>
      <c r="BB2360" s="2" t="str">
        <f>IF(OR(""&amp;$F2360="2",""&amp;$F2360="4",""&amp;$F2360="G",""&amp;$F2360="H"),IF($AY2360="YES","",IF($AB2360&lt;&gt;0,"",IF(COUNTIFS('AR SALES'!$L$2:$L$2501,$L2360,'AR SALES'!$AD$2:$AD$2501,IF(""&amp;$F2360="4","OFF","ON"),'AR SALES'!$AF$2:$AF$2501,"Y")&gt;0,"","NO EXEMPTION"))),"")</f>
        <v/>
      </c>
    </row>
    <row r="2361" spans="46:54" x14ac:dyDescent="0.25">
      <c r="AT2361" s="2" t="str">
        <f>IF($L2361="","",IFERROR(INDEX('AR SALES'!$H$2:$H$2501,MATCH(""&amp;$L2361,'AR SALES'!$AE$2:$AE$2501,0)),""))</f>
        <v/>
      </c>
      <c r="AU2361" s="2" t="str">
        <f t="shared" si="144"/>
        <v/>
      </c>
      <c r="AV2361" s="2" t="str">
        <f t="shared" si="145"/>
        <v/>
      </c>
      <c r="AW2361" s="2" t="str">
        <f t="shared" si="146"/>
        <v/>
      </c>
      <c r="AX2361" s="2" t="str">
        <f t="shared" si="147"/>
        <v/>
      </c>
      <c r="AY2361" s="2" t="str">
        <f>IF($AV2361="","",IF(AND($Z2361=0,COUNTIF('AR SALES'!$L$2:$L$2501,$L2361)=0),"YES",""))</f>
        <v/>
      </c>
      <c r="AZ2361" s="2" t="str">
        <f>IF($AV2361="","",IF(COUNTIF(LISTS!$C$2:$C$250,$AU2361)=0,"NEW",""))</f>
        <v/>
      </c>
      <c r="BA2361" s="2" t="str">
        <f>IF(""&amp;$F2361&lt;&gt;"4","",IF($AY2361="YES","",IF(ROUND(SUMIFS($AE$2:$AE$4001,$L$2:$L$4001,$L2361,$F$2:$F$4001,"4")-SUMIFS('AR SALES'!$Y$2:$Y$2501,'AR SALES'!$L$2:$L$2501,$L2361,'AR SALES'!$AD$2:$AD$2501,"OFF"),2)=0,"","STALE")))</f>
        <v/>
      </c>
      <c r="BB2361" s="2" t="str">
        <f>IF(OR(""&amp;$F2361="2",""&amp;$F2361="4",""&amp;$F2361="G",""&amp;$F2361="H"),IF($AY2361="YES","",IF($AB2361&lt;&gt;0,"",IF(COUNTIFS('AR SALES'!$L$2:$L$2501,$L2361,'AR SALES'!$AD$2:$AD$2501,IF(""&amp;$F2361="4","OFF","ON"),'AR SALES'!$AF$2:$AF$2501,"Y")&gt;0,"","NO EXEMPTION"))),"")</f>
        <v/>
      </c>
    </row>
    <row r="2362" spans="46:54" x14ac:dyDescent="0.25">
      <c r="AT2362" s="2" t="str">
        <f>IF($L2362="","",IFERROR(INDEX('AR SALES'!$H$2:$H$2501,MATCH(""&amp;$L2362,'AR SALES'!$AE$2:$AE$2501,0)),""))</f>
        <v/>
      </c>
      <c r="AU2362" s="2" t="str">
        <f t="shared" si="144"/>
        <v/>
      </c>
      <c r="AV2362" s="2" t="str">
        <f t="shared" si="145"/>
        <v/>
      </c>
      <c r="AW2362" s="2" t="str">
        <f t="shared" si="146"/>
        <v/>
      </c>
      <c r="AX2362" s="2" t="str">
        <f t="shared" si="147"/>
        <v/>
      </c>
      <c r="AY2362" s="2" t="str">
        <f>IF($AV2362="","",IF(AND($Z2362=0,COUNTIF('AR SALES'!$L$2:$L$2501,$L2362)=0),"YES",""))</f>
        <v/>
      </c>
      <c r="AZ2362" s="2" t="str">
        <f>IF($AV2362="","",IF(COUNTIF(LISTS!$C$2:$C$250,$AU2362)=0,"NEW",""))</f>
        <v/>
      </c>
      <c r="BA2362" s="2" t="str">
        <f>IF(""&amp;$F2362&lt;&gt;"4","",IF($AY2362="YES","",IF(ROUND(SUMIFS($AE$2:$AE$4001,$L$2:$L$4001,$L2362,$F$2:$F$4001,"4")-SUMIFS('AR SALES'!$Y$2:$Y$2501,'AR SALES'!$L$2:$L$2501,$L2362,'AR SALES'!$AD$2:$AD$2501,"OFF"),2)=0,"","STALE")))</f>
        <v/>
      </c>
      <c r="BB2362" s="2" t="str">
        <f>IF(OR(""&amp;$F2362="2",""&amp;$F2362="4",""&amp;$F2362="G",""&amp;$F2362="H"),IF($AY2362="YES","",IF($AB2362&lt;&gt;0,"",IF(COUNTIFS('AR SALES'!$L$2:$L$2501,$L2362,'AR SALES'!$AD$2:$AD$2501,IF(""&amp;$F2362="4","OFF","ON"),'AR SALES'!$AF$2:$AF$2501,"Y")&gt;0,"","NO EXEMPTION"))),"")</f>
        <v/>
      </c>
    </row>
    <row r="2363" spans="46:54" x14ac:dyDescent="0.25">
      <c r="AT2363" s="2" t="str">
        <f>IF($L2363="","",IFERROR(INDEX('AR SALES'!$H$2:$H$2501,MATCH(""&amp;$L2363,'AR SALES'!$AE$2:$AE$2501,0)),""))</f>
        <v/>
      </c>
      <c r="AU2363" s="2" t="str">
        <f t="shared" si="144"/>
        <v/>
      </c>
      <c r="AV2363" s="2" t="str">
        <f t="shared" si="145"/>
        <v/>
      </c>
      <c r="AW2363" s="2" t="str">
        <f t="shared" si="146"/>
        <v/>
      </c>
      <c r="AX2363" s="2" t="str">
        <f t="shared" si="147"/>
        <v/>
      </c>
      <c r="AY2363" s="2" t="str">
        <f>IF($AV2363="","",IF(AND($Z2363=0,COUNTIF('AR SALES'!$L$2:$L$2501,$L2363)=0),"YES",""))</f>
        <v/>
      </c>
      <c r="AZ2363" s="2" t="str">
        <f>IF($AV2363="","",IF(COUNTIF(LISTS!$C$2:$C$250,$AU2363)=0,"NEW",""))</f>
        <v/>
      </c>
      <c r="BA2363" s="2" t="str">
        <f>IF(""&amp;$F2363&lt;&gt;"4","",IF($AY2363="YES","",IF(ROUND(SUMIFS($AE$2:$AE$4001,$L$2:$L$4001,$L2363,$F$2:$F$4001,"4")-SUMIFS('AR SALES'!$Y$2:$Y$2501,'AR SALES'!$L$2:$L$2501,$L2363,'AR SALES'!$AD$2:$AD$2501,"OFF"),2)=0,"","STALE")))</f>
        <v/>
      </c>
      <c r="BB2363" s="2" t="str">
        <f>IF(OR(""&amp;$F2363="2",""&amp;$F2363="4",""&amp;$F2363="G",""&amp;$F2363="H"),IF($AY2363="YES","",IF($AB2363&lt;&gt;0,"",IF(COUNTIFS('AR SALES'!$L$2:$L$2501,$L2363,'AR SALES'!$AD$2:$AD$2501,IF(""&amp;$F2363="4","OFF","ON"),'AR SALES'!$AF$2:$AF$2501,"Y")&gt;0,"","NO EXEMPTION"))),"")</f>
        <v/>
      </c>
    </row>
    <row r="2364" spans="46:54" x14ac:dyDescent="0.25">
      <c r="AT2364" s="2" t="str">
        <f>IF($L2364="","",IFERROR(INDEX('AR SALES'!$H$2:$H$2501,MATCH(""&amp;$L2364,'AR SALES'!$AE$2:$AE$2501,0)),""))</f>
        <v/>
      </c>
      <c r="AU2364" s="2" t="str">
        <f t="shared" si="144"/>
        <v/>
      </c>
      <c r="AV2364" s="2" t="str">
        <f t="shared" si="145"/>
        <v/>
      </c>
      <c r="AW2364" s="2" t="str">
        <f t="shared" si="146"/>
        <v/>
      </c>
      <c r="AX2364" s="2" t="str">
        <f t="shared" si="147"/>
        <v/>
      </c>
      <c r="AY2364" s="2" t="str">
        <f>IF($AV2364="","",IF(AND($Z2364=0,COUNTIF('AR SALES'!$L$2:$L$2501,$L2364)=0),"YES",""))</f>
        <v/>
      </c>
      <c r="AZ2364" s="2" t="str">
        <f>IF($AV2364="","",IF(COUNTIF(LISTS!$C$2:$C$250,$AU2364)=0,"NEW",""))</f>
        <v/>
      </c>
      <c r="BA2364" s="2" t="str">
        <f>IF(""&amp;$F2364&lt;&gt;"4","",IF($AY2364="YES","",IF(ROUND(SUMIFS($AE$2:$AE$4001,$L$2:$L$4001,$L2364,$F$2:$F$4001,"4")-SUMIFS('AR SALES'!$Y$2:$Y$2501,'AR SALES'!$L$2:$L$2501,$L2364,'AR SALES'!$AD$2:$AD$2501,"OFF"),2)=0,"","STALE")))</f>
        <v/>
      </c>
      <c r="BB2364" s="2" t="str">
        <f>IF(OR(""&amp;$F2364="2",""&amp;$F2364="4",""&amp;$F2364="G",""&amp;$F2364="H"),IF($AY2364="YES","",IF($AB2364&lt;&gt;0,"",IF(COUNTIFS('AR SALES'!$L$2:$L$2501,$L2364,'AR SALES'!$AD$2:$AD$2501,IF(""&amp;$F2364="4","OFF","ON"),'AR SALES'!$AF$2:$AF$2501,"Y")&gt;0,"","NO EXEMPTION"))),"")</f>
        <v/>
      </c>
    </row>
    <row r="2365" spans="46:54" x14ac:dyDescent="0.25">
      <c r="AT2365" s="2" t="str">
        <f>IF($L2365="","",IFERROR(INDEX('AR SALES'!$H$2:$H$2501,MATCH(""&amp;$L2365,'AR SALES'!$AE$2:$AE$2501,0)),""))</f>
        <v/>
      </c>
      <c r="AU2365" s="2" t="str">
        <f t="shared" si="144"/>
        <v/>
      </c>
      <c r="AV2365" s="2" t="str">
        <f t="shared" si="145"/>
        <v/>
      </c>
      <c r="AW2365" s="2" t="str">
        <f t="shared" si="146"/>
        <v/>
      </c>
      <c r="AX2365" s="2" t="str">
        <f t="shared" si="147"/>
        <v/>
      </c>
      <c r="AY2365" s="2" t="str">
        <f>IF($AV2365="","",IF(AND($Z2365=0,COUNTIF('AR SALES'!$L$2:$L$2501,$L2365)=0),"YES",""))</f>
        <v/>
      </c>
      <c r="AZ2365" s="2" t="str">
        <f>IF($AV2365="","",IF(COUNTIF(LISTS!$C$2:$C$250,$AU2365)=0,"NEW",""))</f>
        <v/>
      </c>
      <c r="BA2365" s="2" t="str">
        <f>IF(""&amp;$F2365&lt;&gt;"4","",IF($AY2365="YES","",IF(ROUND(SUMIFS($AE$2:$AE$4001,$L$2:$L$4001,$L2365,$F$2:$F$4001,"4")-SUMIFS('AR SALES'!$Y$2:$Y$2501,'AR SALES'!$L$2:$L$2501,$L2365,'AR SALES'!$AD$2:$AD$2501,"OFF"),2)=0,"","STALE")))</f>
        <v/>
      </c>
      <c r="BB2365" s="2" t="str">
        <f>IF(OR(""&amp;$F2365="2",""&amp;$F2365="4",""&amp;$F2365="G",""&amp;$F2365="H"),IF($AY2365="YES","",IF($AB2365&lt;&gt;0,"",IF(COUNTIFS('AR SALES'!$L$2:$L$2501,$L2365,'AR SALES'!$AD$2:$AD$2501,IF(""&amp;$F2365="4","OFF","ON"),'AR SALES'!$AF$2:$AF$2501,"Y")&gt;0,"","NO EXEMPTION"))),"")</f>
        <v/>
      </c>
    </row>
    <row r="2366" spans="46:54" x14ac:dyDescent="0.25">
      <c r="AT2366" s="2" t="str">
        <f>IF($L2366="","",IFERROR(INDEX('AR SALES'!$H$2:$H$2501,MATCH(""&amp;$L2366,'AR SALES'!$AE$2:$AE$2501,0)),""))</f>
        <v/>
      </c>
      <c r="AU2366" s="2" t="str">
        <f t="shared" si="144"/>
        <v/>
      </c>
      <c r="AV2366" s="2" t="str">
        <f t="shared" si="145"/>
        <v/>
      </c>
      <c r="AW2366" s="2" t="str">
        <f t="shared" si="146"/>
        <v/>
      </c>
      <c r="AX2366" s="2" t="str">
        <f t="shared" si="147"/>
        <v/>
      </c>
      <c r="AY2366" s="2" t="str">
        <f>IF($AV2366="","",IF(AND($Z2366=0,COUNTIF('AR SALES'!$L$2:$L$2501,$L2366)=0),"YES",""))</f>
        <v/>
      </c>
      <c r="AZ2366" s="2" t="str">
        <f>IF($AV2366="","",IF(COUNTIF(LISTS!$C$2:$C$250,$AU2366)=0,"NEW",""))</f>
        <v/>
      </c>
      <c r="BA2366" s="2" t="str">
        <f>IF(""&amp;$F2366&lt;&gt;"4","",IF($AY2366="YES","",IF(ROUND(SUMIFS($AE$2:$AE$4001,$L$2:$L$4001,$L2366,$F$2:$F$4001,"4")-SUMIFS('AR SALES'!$Y$2:$Y$2501,'AR SALES'!$L$2:$L$2501,$L2366,'AR SALES'!$AD$2:$AD$2501,"OFF"),2)=0,"","STALE")))</f>
        <v/>
      </c>
      <c r="BB2366" s="2" t="str">
        <f>IF(OR(""&amp;$F2366="2",""&amp;$F2366="4",""&amp;$F2366="G",""&amp;$F2366="H"),IF($AY2366="YES","",IF($AB2366&lt;&gt;0,"",IF(COUNTIFS('AR SALES'!$L$2:$L$2501,$L2366,'AR SALES'!$AD$2:$AD$2501,IF(""&amp;$F2366="4","OFF","ON"),'AR SALES'!$AF$2:$AF$2501,"Y")&gt;0,"","NO EXEMPTION"))),"")</f>
        <v/>
      </c>
    </row>
    <row r="2367" spans="46:54" x14ac:dyDescent="0.25">
      <c r="AT2367" s="2" t="str">
        <f>IF($L2367="","",IFERROR(INDEX('AR SALES'!$H$2:$H$2501,MATCH(""&amp;$L2367,'AR SALES'!$AE$2:$AE$2501,0)),""))</f>
        <v/>
      </c>
      <c r="AU2367" s="2" t="str">
        <f t="shared" si="144"/>
        <v/>
      </c>
      <c r="AV2367" s="2" t="str">
        <f t="shared" si="145"/>
        <v/>
      </c>
      <c r="AW2367" s="2" t="str">
        <f t="shared" si="146"/>
        <v/>
      </c>
      <c r="AX2367" s="2" t="str">
        <f t="shared" si="147"/>
        <v/>
      </c>
      <c r="AY2367" s="2" t="str">
        <f>IF($AV2367="","",IF(AND($Z2367=0,COUNTIF('AR SALES'!$L$2:$L$2501,$L2367)=0),"YES",""))</f>
        <v/>
      </c>
      <c r="AZ2367" s="2" t="str">
        <f>IF($AV2367="","",IF(COUNTIF(LISTS!$C$2:$C$250,$AU2367)=0,"NEW",""))</f>
        <v/>
      </c>
      <c r="BA2367" s="2" t="str">
        <f>IF(""&amp;$F2367&lt;&gt;"4","",IF($AY2367="YES","",IF(ROUND(SUMIFS($AE$2:$AE$4001,$L$2:$L$4001,$L2367,$F$2:$F$4001,"4")-SUMIFS('AR SALES'!$Y$2:$Y$2501,'AR SALES'!$L$2:$L$2501,$L2367,'AR SALES'!$AD$2:$AD$2501,"OFF"),2)=0,"","STALE")))</f>
        <v/>
      </c>
      <c r="BB2367" s="2" t="str">
        <f>IF(OR(""&amp;$F2367="2",""&amp;$F2367="4",""&amp;$F2367="G",""&amp;$F2367="H"),IF($AY2367="YES","",IF($AB2367&lt;&gt;0,"",IF(COUNTIFS('AR SALES'!$L$2:$L$2501,$L2367,'AR SALES'!$AD$2:$AD$2501,IF(""&amp;$F2367="4","OFF","ON"),'AR SALES'!$AF$2:$AF$2501,"Y")&gt;0,"","NO EXEMPTION"))),"")</f>
        <v/>
      </c>
    </row>
    <row r="2368" spans="46:54" x14ac:dyDescent="0.25">
      <c r="AT2368" s="2" t="str">
        <f>IF($L2368="","",IFERROR(INDEX('AR SALES'!$H$2:$H$2501,MATCH(""&amp;$L2368,'AR SALES'!$AE$2:$AE$2501,0)),""))</f>
        <v/>
      </c>
      <c r="AU2368" s="2" t="str">
        <f t="shared" si="144"/>
        <v/>
      </c>
      <c r="AV2368" s="2" t="str">
        <f t="shared" si="145"/>
        <v/>
      </c>
      <c r="AW2368" s="2" t="str">
        <f t="shared" si="146"/>
        <v/>
      </c>
      <c r="AX2368" s="2" t="str">
        <f t="shared" si="147"/>
        <v/>
      </c>
      <c r="AY2368" s="2" t="str">
        <f>IF($AV2368="","",IF(AND($Z2368=0,COUNTIF('AR SALES'!$L$2:$L$2501,$L2368)=0),"YES",""))</f>
        <v/>
      </c>
      <c r="AZ2368" s="2" t="str">
        <f>IF($AV2368="","",IF(COUNTIF(LISTS!$C$2:$C$250,$AU2368)=0,"NEW",""))</f>
        <v/>
      </c>
      <c r="BA2368" s="2" t="str">
        <f>IF(""&amp;$F2368&lt;&gt;"4","",IF($AY2368="YES","",IF(ROUND(SUMIFS($AE$2:$AE$4001,$L$2:$L$4001,$L2368,$F$2:$F$4001,"4")-SUMIFS('AR SALES'!$Y$2:$Y$2501,'AR SALES'!$L$2:$L$2501,$L2368,'AR SALES'!$AD$2:$AD$2501,"OFF"),2)=0,"","STALE")))</f>
        <v/>
      </c>
      <c r="BB2368" s="2" t="str">
        <f>IF(OR(""&amp;$F2368="2",""&amp;$F2368="4",""&amp;$F2368="G",""&amp;$F2368="H"),IF($AY2368="YES","",IF($AB2368&lt;&gt;0,"",IF(COUNTIFS('AR SALES'!$L$2:$L$2501,$L2368,'AR SALES'!$AD$2:$AD$2501,IF(""&amp;$F2368="4","OFF","ON"),'AR SALES'!$AF$2:$AF$2501,"Y")&gt;0,"","NO EXEMPTION"))),"")</f>
        <v/>
      </c>
    </row>
    <row r="2369" spans="46:54" x14ac:dyDescent="0.25">
      <c r="AT2369" s="2" t="str">
        <f>IF($L2369="","",IFERROR(INDEX('AR SALES'!$H$2:$H$2501,MATCH(""&amp;$L2369,'AR SALES'!$AE$2:$AE$2501,0)),""))</f>
        <v/>
      </c>
      <c r="AU2369" s="2" t="str">
        <f t="shared" si="144"/>
        <v/>
      </c>
      <c r="AV2369" s="2" t="str">
        <f t="shared" si="145"/>
        <v/>
      </c>
      <c r="AW2369" s="2" t="str">
        <f t="shared" si="146"/>
        <v/>
      </c>
      <c r="AX2369" s="2" t="str">
        <f t="shared" si="147"/>
        <v/>
      </c>
      <c r="AY2369" s="2" t="str">
        <f>IF($AV2369="","",IF(AND($Z2369=0,COUNTIF('AR SALES'!$L$2:$L$2501,$L2369)=0),"YES",""))</f>
        <v/>
      </c>
      <c r="AZ2369" s="2" t="str">
        <f>IF($AV2369="","",IF(COUNTIF(LISTS!$C$2:$C$250,$AU2369)=0,"NEW",""))</f>
        <v/>
      </c>
      <c r="BA2369" s="2" t="str">
        <f>IF(""&amp;$F2369&lt;&gt;"4","",IF($AY2369="YES","",IF(ROUND(SUMIFS($AE$2:$AE$4001,$L$2:$L$4001,$L2369,$F$2:$F$4001,"4")-SUMIFS('AR SALES'!$Y$2:$Y$2501,'AR SALES'!$L$2:$L$2501,$L2369,'AR SALES'!$AD$2:$AD$2501,"OFF"),2)=0,"","STALE")))</f>
        <v/>
      </c>
      <c r="BB2369" s="2" t="str">
        <f>IF(OR(""&amp;$F2369="2",""&amp;$F2369="4",""&amp;$F2369="G",""&amp;$F2369="H"),IF($AY2369="YES","",IF($AB2369&lt;&gt;0,"",IF(COUNTIFS('AR SALES'!$L$2:$L$2501,$L2369,'AR SALES'!$AD$2:$AD$2501,IF(""&amp;$F2369="4","OFF","ON"),'AR SALES'!$AF$2:$AF$2501,"Y")&gt;0,"","NO EXEMPTION"))),"")</f>
        <v/>
      </c>
    </row>
    <row r="2370" spans="46:54" x14ac:dyDescent="0.25">
      <c r="AT2370" s="2" t="str">
        <f>IF($L2370="","",IFERROR(INDEX('AR SALES'!$H$2:$H$2501,MATCH(""&amp;$L2370,'AR SALES'!$AE$2:$AE$2501,0)),""))</f>
        <v/>
      </c>
      <c r="AU2370" s="2" t="str">
        <f t="shared" ref="AU2370:AU2433" si="148">IF($L2370="","",IF($A2370&lt;&gt;"GA","",IF($E2370="FULTON",IF(ISNUMBER(SEARCH("COLLEGE PARK",$AT2370)),"FULTON (COLLEGE PARK)",IF(ISNUMBER(SEARCH("ATLANTA CITY",$AT2370)),"FULTON (ATL LIMITS)","FULTON")),IF($E2370="DEKALB",IF(ISNUMBER(SEARCH("ATLANTA CITY",$AT2370)),"DEKALB (ATL LIMITS)","DEKALB"),$E2370))))</f>
        <v/>
      </c>
      <c r="AV2370" s="2" t="str">
        <f t="shared" ref="AV2370:AV2433" si="149">IF($L2370="","",IF(""&amp;$F2370="2","DIESEL",IF(OR(""&amp;$F2370="G",""&amp;$F2370="H"),"GAS","")))</f>
        <v/>
      </c>
      <c r="AW2370" s="2" t="str">
        <f t="shared" ref="AW2370:AW2433" si="150">IF($AV2370="","",$R2370)</f>
        <v/>
      </c>
      <c r="AX2370" s="2" t="str">
        <f t="shared" ref="AX2370:AX2433" si="151">IF($AV2370="","",IF($AB2370=0,$R2370,0))</f>
        <v/>
      </c>
      <c r="AY2370" s="2" t="str">
        <f>IF($AV2370="","",IF(AND($Z2370=0,COUNTIF('AR SALES'!$L$2:$L$2501,$L2370)=0),"YES",""))</f>
        <v/>
      </c>
      <c r="AZ2370" s="2" t="str">
        <f>IF($AV2370="","",IF(COUNTIF(LISTS!$C$2:$C$250,$AU2370)=0,"NEW",""))</f>
        <v/>
      </c>
      <c r="BA2370" s="2" t="str">
        <f>IF(""&amp;$F2370&lt;&gt;"4","",IF($AY2370="YES","",IF(ROUND(SUMIFS($AE$2:$AE$4001,$L$2:$L$4001,$L2370,$F$2:$F$4001,"4")-SUMIFS('AR SALES'!$Y$2:$Y$2501,'AR SALES'!$L$2:$L$2501,$L2370,'AR SALES'!$AD$2:$AD$2501,"OFF"),2)=0,"","STALE")))</f>
        <v/>
      </c>
      <c r="BB2370" s="2" t="str">
        <f>IF(OR(""&amp;$F2370="2",""&amp;$F2370="4",""&amp;$F2370="G",""&amp;$F2370="H"),IF($AY2370="YES","",IF($AB2370&lt;&gt;0,"",IF(COUNTIFS('AR SALES'!$L$2:$L$2501,$L2370,'AR SALES'!$AD$2:$AD$2501,IF(""&amp;$F2370="4","OFF","ON"),'AR SALES'!$AF$2:$AF$2501,"Y")&gt;0,"","NO EXEMPTION"))),"")</f>
        <v/>
      </c>
    </row>
    <row r="2371" spans="46:54" x14ac:dyDescent="0.25">
      <c r="AT2371" s="2" t="str">
        <f>IF($L2371="","",IFERROR(INDEX('AR SALES'!$H$2:$H$2501,MATCH(""&amp;$L2371,'AR SALES'!$AE$2:$AE$2501,0)),""))</f>
        <v/>
      </c>
      <c r="AU2371" s="2" t="str">
        <f t="shared" si="148"/>
        <v/>
      </c>
      <c r="AV2371" s="2" t="str">
        <f t="shared" si="149"/>
        <v/>
      </c>
      <c r="AW2371" s="2" t="str">
        <f t="shared" si="150"/>
        <v/>
      </c>
      <c r="AX2371" s="2" t="str">
        <f t="shared" si="151"/>
        <v/>
      </c>
      <c r="AY2371" s="2" t="str">
        <f>IF($AV2371="","",IF(AND($Z2371=0,COUNTIF('AR SALES'!$L$2:$L$2501,$L2371)=0),"YES",""))</f>
        <v/>
      </c>
      <c r="AZ2371" s="2" t="str">
        <f>IF($AV2371="","",IF(COUNTIF(LISTS!$C$2:$C$250,$AU2371)=0,"NEW",""))</f>
        <v/>
      </c>
      <c r="BA2371" s="2" t="str">
        <f>IF(""&amp;$F2371&lt;&gt;"4","",IF($AY2371="YES","",IF(ROUND(SUMIFS($AE$2:$AE$4001,$L$2:$L$4001,$L2371,$F$2:$F$4001,"4")-SUMIFS('AR SALES'!$Y$2:$Y$2501,'AR SALES'!$L$2:$L$2501,$L2371,'AR SALES'!$AD$2:$AD$2501,"OFF"),2)=0,"","STALE")))</f>
        <v/>
      </c>
      <c r="BB2371" s="2" t="str">
        <f>IF(OR(""&amp;$F2371="2",""&amp;$F2371="4",""&amp;$F2371="G",""&amp;$F2371="H"),IF($AY2371="YES","",IF($AB2371&lt;&gt;0,"",IF(COUNTIFS('AR SALES'!$L$2:$L$2501,$L2371,'AR SALES'!$AD$2:$AD$2501,IF(""&amp;$F2371="4","OFF","ON"),'AR SALES'!$AF$2:$AF$2501,"Y")&gt;0,"","NO EXEMPTION"))),"")</f>
        <v/>
      </c>
    </row>
    <row r="2372" spans="46:54" x14ac:dyDescent="0.25">
      <c r="AT2372" s="2" t="str">
        <f>IF($L2372="","",IFERROR(INDEX('AR SALES'!$H$2:$H$2501,MATCH(""&amp;$L2372,'AR SALES'!$AE$2:$AE$2501,0)),""))</f>
        <v/>
      </c>
      <c r="AU2372" s="2" t="str">
        <f t="shared" si="148"/>
        <v/>
      </c>
      <c r="AV2372" s="2" t="str">
        <f t="shared" si="149"/>
        <v/>
      </c>
      <c r="AW2372" s="2" t="str">
        <f t="shared" si="150"/>
        <v/>
      </c>
      <c r="AX2372" s="2" t="str">
        <f t="shared" si="151"/>
        <v/>
      </c>
      <c r="AY2372" s="2" t="str">
        <f>IF($AV2372="","",IF(AND($Z2372=0,COUNTIF('AR SALES'!$L$2:$L$2501,$L2372)=0),"YES",""))</f>
        <v/>
      </c>
      <c r="AZ2372" s="2" t="str">
        <f>IF($AV2372="","",IF(COUNTIF(LISTS!$C$2:$C$250,$AU2372)=0,"NEW",""))</f>
        <v/>
      </c>
      <c r="BA2372" s="2" t="str">
        <f>IF(""&amp;$F2372&lt;&gt;"4","",IF($AY2372="YES","",IF(ROUND(SUMIFS($AE$2:$AE$4001,$L$2:$L$4001,$L2372,$F$2:$F$4001,"4")-SUMIFS('AR SALES'!$Y$2:$Y$2501,'AR SALES'!$L$2:$L$2501,$L2372,'AR SALES'!$AD$2:$AD$2501,"OFF"),2)=0,"","STALE")))</f>
        <v/>
      </c>
      <c r="BB2372" s="2" t="str">
        <f>IF(OR(""&amp;$F2372="2",""&amp;$F2372="4",""&amp;$F2372="G",""&amp;$F2372="H"),IF($AY2372="YES","",IF($AB2372&lt;&gt;0,"",IF(COUNTIFS('AR SALES'!$L$2:$L$2501,$L2372,'AR SALES'!$AD$2:$AD$2501,IF(""&amp;$F2372="4","OFF","ON"),'AR SALES'!$AF$2:$AF$2501,"Y")&gt;0,"","NO EXEMPTION"))),"")</f>
        <v/>
      </c>
    </row>
    <row r="2373" spans="46:54" x14ac:dyDescent="0.25">
      <c r="AT2373" s="2" t="str">
        <f>IF($L2373="","",IFERROR(INDEX('AR SALES'!$H$2:$H$2501,MATCH(""&amp;$L2373,'AR SALES'!$AE$2:$AE$2501,0)),""))</f>
        <v/>
      </c>
      <c r="AU2373" s="2" t="str">
        <f t="shared" si="148"/>
        <v/>
      </c>
      <c r="AV2373" s="2" t="str">
        <f t="shared" si="149"/>
        <v/>
      </c>
      <c r="AW2373" s="2" t="str">
        <f t="shared" si="150"/>
        <v/>
      </c>
      <c r="AX2373" s="2" t="str">
        <f t="shared" si="151"/>
        <v/>
      </c>
      <c r="AY2373" s="2" t="str">
        <f>IF($AV2373="","",IF(AND($Z2373=0,COUNTIF('AR SALES'!$L$2:$L$2501,$L2373)=0),"YES",""))</f>
        <v/>
      </c>
      <c r="AZ2373" s="2" t="str">
        <f>IF($AV2373="","",IF(COUNTIF(LISTS!$C$2:$C$250,$AU2373)=0,"NEW",""))</f>
        <v/>
      </c>
      <c r="BA2373" s="2" t="str">
        <f>IF(""&amp;$F2373&lt;&gt;"4","",IF($AY2373="YES","",IF(ROUND(SUMIFS($AE$2:$AE$4001,$L$2:$L$4001,$L2373,$F$2:$F$4001,"4")-SUMIFS('AR SALES'!$Y$2:$Y$2501,'AR SALES'!$L$2:$L$2501,$L2373,'AR SALES'!$AD$2:$AD$2501,"OFF"),2)=0,"","STALE")))</f>
        <v/>
      </c>
      <c r="BB2373" s="2" t="str">
        <f>IF(OR(""&amp;$F2373="2",""&amp;$F2373="4",""&amp;$F2373="G",""&amp;$F2373="H"),IF($AY2373="YES","",IF($AB2373&lt;&gt;0,"",IF(COUNTIFS('AR SALES'!$L$2:$L$2501,$L2373,'AR SALES'!$AD$2:$AD$2501,IF(""&amp;$F2373="4","OFF","ON"),'AR SALES'!$AF$2:$AF$2501,"Y")&gt;0,"","NO EXEMPTION"))),"")</f>
        <v/>
      </c>
    </row>
    <row r="2374" spans="46:54" x14ac:dyDescent="0.25">
      <c r="AT2374" s="2" t="str">
        <f>IF($L2374="","",IFERROR(INDEX('AR SALES'!$H$2:$H$2501,MATCH(""&amp;$L2374,'AR SALES'!$AE$2:$AE$2501,0)),""))</f>
        <v/>
      </c>
      <c r="AU2374" s="2" t="str">
        <f t="shared" si="148"/>
        <v/>
      </c>
      <c r="AV2374" s="2" t="str">
        <f t="shared" si="149"/>
        <v/>
      </c>
      <c r="AW2374" s="2" t="str">
        <f t="shared" si="150"/>
        <v/>
      </c>
      <c r="AX2374" s="2" t="str">
        <f t="shared" si="151"/>
        <v/>
      </c>
      <c r="AY2374" s="2" t="str">
        <f>IF($AV2374="","",IF(AND($Z2374=0,COUNTIF('AR SALES'!$L$2:$L$2501,$L2374)=0),"YES",""))</f>
        <v/>
      </c>
      <c r="AZ2374" s="2" t="str">
        <f>IF($AV2374="","",IF(COUNTIF(LISTS!$C$2:$C$250,$AU2374)=0,"NEW",""))</f>
        <v/>
      </c>
      <c r="BA2374" s="2" t="str">
        <f>IF(""&amp;$F2374&lt;&gt;"4","",IF($AY2374="YES","",IF(ROUND(SUMIFS($AE$2:$AE$4001,$L$2:$L$4001,$L2374,$F$2:$F$4001,"4")-SUMIFS('AR SALES'!$Y$2:$Y$2501,'AR SALES'!$L$2:$L$2501,$L2374,'AR SALES'!$AD$2:$AD$2501,"OFF"),2)=0,"","STALE")))</f>
        <v/>
      </c>
      <c r="BB2374" s="2" t="str">
        <f>IF(OR(""&amp;$F2374="2",""&amp;$F2374="4",""&amp;$F2374="G",""&amp;$F2374="H"),IF($AY2374="YES","",IF($AB2374&lt;&gt;0,"",IF(COUNTIFS('AR SALES'!$L$2:$L$2501,$L2374,'AR SALES'!$AD$2:$AD$2501,IF(""&amp;$F2374="4","OFF","ON"),'AR SALES'!$AF$2:$AF$2501,"Y")&gt;0,"","NO EXEMPTION"))),"")</f>
        <v/>
      </c>
    </row>
    <row r="2375" spans="46:54" x14ac:dyDescent="0.25">
      <c r="AT2375" s="2" t="str">
        <f>IF($L2375="","",IFERROR(INDEX('AR SALES'!$H$2:$H$2501,MATCH(""&amp;$L2375,'AR SALES'!$AE$2:$AE$2501,0)),""))</f>
        <v/>
      </c>
      <c r="AU2375" s="2" t="str">
        <f t="shared" si="148"/>
        <v/>
      </c>
      <c r="AV2375" s="2" t="str">
        <f t="shared" si="149"/>
        <v/>
      </c>
      <c r="AW2375" s="2" t="str">
        <f t="shared" si="150"/>
        <v/>
      </c>
      <c r="AX2375" s="2" t="str">
        <f t="shared" si="151"/>
        <v/>
      </c>
      <c r="AY2375" s="2" t="str">
        <f>IF($AV2375="","",IF(AND($Z2375=0,COUNTIF('AR SALES'!$L$2:$L$2501,$L2375)=0),"YES",""))</f>
        <v/>
      </c>
      <c r="AZ2375" s="2" t="str">
        <f>IF($AV2375="","",IF(COUNTIF(LISTS!$C$2:$C$250,$AU2375)=0,"NEW",""))</f>
        <v/>
      </c>
      <c r="BA2375" s="2" t="str">
        <f>IF(""&amp;$F2375&lt;&gt;"4","",IF($AY2375="YES","",IF(ROUND(SUMIFS($AE$2:$AE$4001,$L$2:$L$4001,$L2375,$F$2:$F$4001,"4")-SUMIFS('AR SALES'!$Y$2:$Y$2501,'AR SALES'!$L$2:$L$2501,$L2375,'AR SALES'!$AD$2:$AD$2501,"OFF"),2)=0,"","STALE")))</f>
        <v/>
      </c>
      <c r="BB2375" s="2" t="str">
        <f>IF(OR(""&amp;$F2375="2",""&amp;$F2375="4",""&amp;$F2375="G",""&amp;$F2375="H"),IF($AY2375="YES","",IF($AB2375&lt;&gt;0,"",IF(COUNTIFS('AR SALES'!$L$2:$L$2501,$L2375,'AR SALES'!$AD$2:$AD$2501,IF(""&amp;$F2375="4","OFF","ON"),'AR SALES'!$AF$2:$AF$2501,"Y")&gt;0,"","NO EXEMPTION"))),"")</f>
        <v/>
      </c>
    </row>
    <row r="2376" spans="46:54" x14ac:dyDescent="0.25">
      <c r="AT2376" s="2" t="str">
        <f>IF($L2376="","",IFERROR(INDEX('AR SALES'!$H$2:$H$2501,MATCH(""&amp;$L2376,'AR SALES'!$AE$2:$AE$2501,0)),""))</f>
        <v/>
      </c>
      <c r="AU2376" s="2" t="str">
        <f t="shared" si="148"/>
        <v/>
      </c>
      <c r="AV2376" s="2" t="str">
        <f t="shared" si="149"/>
        <v/>
      </c>
      <c r="AW2376" s="2" t="str">
        <f t="shared" si="150"/>
        <v/>
      </c>
      <c r="AX2376" s="2" t="str">
        <f t="shared" si="151"/>
        <v/>
      </c>
      <c r="AY2376" s="2" t="str">
        <f>IF($AV2376="","",IF(AND($Z2376=0,COUNTIF('AR SALES'!$L$2:$L$2501,$L2376)=0),"YES",""))</f>
        <v/>
      </c>
      <c r="AZ2376" s="2" t="str">
        <f>IF($AV2376="","",IF(COUNTIF(LISTS!$C$2:$C$250,$AU2376)=0,"NEW",""))</f>
        <v/>
      </c>
      <c r="BA2376" s="2" t="str">
        <f>IF(""&amp;$F2376&lt;&gt;"4","",IF($AY2376="YES","",IF(ROUND(SUMIFS($AE$2:$AE$4001,$L$2:$L$4001,$L2376,$F$2:$F$4001,"4")-SUMIFS('AR SALES'!$Y$2:$Y$2501,'AR SALES'!$L$2:$L$2501,$L2376,'AR SALES'!$AD$2:$AD$2501,"OFF"),2)=0,"","STALE")))</f>
        <v/>
      </c>
      <c r="BB2376" s="2" t="str">
        <f>IF(OR(""&amp;$F2376="2",""&amp;$F2376="4",""&amp;$F2376="G",""&amp;$F2376="H"),IF($AY2376="YES","",IF($AB2376&lt;&gt;0,"",IF(COUNTIFS('AR SALES'!$L$2:$L$2501,$L2376,'AR SALES'!$AD$2:$AD$2501,IF(""&amp;$F2376="4","OFF","ON"),'AR SALES'!$AF$2:$AF$2501,"Y")&gt;0,"","NO EXEMPTION"))),"")</f>
        <v/>
      </c>
    </row>
    <row r="2377" spans="46:54" x14ac:dyDescent="0.25">
      <c r="AT2377" s="2" t="str">
        <f>IF($L2377="","",IFERROR(INDEX('AR SALES'!$H$2:$H$2501,MATCH(""&amp;$L2377,'AR SALES'!$AE$2:$AE$2501,0)),""))</f>
        <v/>
      </c>
      <c r="AU2377" s="2" t="str">
        <f t="shared" si="148"/>
        <v/>
      </c>
      <c r="AV2377" s="2" t="str">
        <f t="shared" si="149"/>
        <v/>
      </c>
      <c r="AW2377" s="2" t="str">
        <f t="shared" si="150"/>
        <v/>
      </c>
      <c r="AX2377" s="2" t="str">
        <f t="shared" si="151"/>
        <v/>
      </c>
      <c r="AY2377" s="2" t="str">
        <f>IF($AV2377="","",IF(AND($Z2377=0,COUNTIF('AR SALES'!$L$2:$L$2501,$L2377)=0),"YES",""))</f>
        <v/>
      </c>
      <c r="AZ2377" s="2" t="str">
        <f>IF($AV2377="","",IF(COUNTIF(LISTS!$C$2:$C$250,$AU2377)=0,"NEW",""))</f>
        <v/>
      </c>
      <c r="BA2377" s="2" t="str">
        <f>IF(""&amp;$F2377&lt;&gt;"4","",IF($AY2377="YES","",IF(ROUND(SUMIFS($AE$2:$AE$4001,$L$2:$L$4001,$L2377,$F$2:$F$4001,"4")-SUMIFS('AR SALES'!$Y$2:$Y$2501,'AR SALES'!$L$2:$L$2501,$L2377,'AR SALES'!$AD$2:$AD$2501,"OFF"),2)=0,"","STALE")))</f>
        <v/>
      </c>
      <c r="BB2377" s="2" t="str">
        <f>IF(OR(""&amp;$F2377="2",""&amp;$F2377="4",""&amp;$F2377="G",""&amp;$F2377="H"),IF($AY2377="YES","",IF($AB2377&lt;&gt;0,"",IF(COUNTIFS('AR SALES'!$L$2:$L$2501,$L2377,'AR SALES'!$AD$2:$AD$2501,IF(""&amp;$F2377="4","OFF","ON"),'AR SALES'!$AF$2:$AF$2501,"Y")&gt;0,"","NO EXEMPTION"))),"")</f>
        <v/>
      </c>
    </row>
    <row r="2378" spans="46:54" x14ac:dyDescent="0.25">
      <c r="AT2378" s="2" t="str">
        <f>IF($L2378="","",IFERROR(INDEX('AR SALES'!$H$2:$H$2501,MATCH(""&amp;$L2378,'AR SALES'!$AE$2:$AE$2501,0)),""))</f>
        <v/>
      </c>
      <c r="AU2378" s="2" t="str">
        <f t="shared" si="148"/>
        <v/>
      </c>
      <c r="AV2378" s="2" t="str">
        <f t="shared" si="149"/>
        <v/>
      </c>
      <c r="AW2378" s="2" t="str">
        <f t="shared" si="150"/>
        <v/>
      </c>
      <c r="AX2378" s="2" t="str">
        <f t="shared" si="151"/>
        <v/>
      </c>
      <c r="AY2378" s="2" t="str">
        <f>IF($AV2378="","",IF(AND($Z2378=0,COUNTIF('AR SALES'!$L$2:$L$2501,$L2378)=0),"YES",""))</f>
        <v/>
      </c>
      <c r="AZ2378" s="2" t="str">
        <f>IF($AV2378="","",IF(COUNTIF(LISTS!$C$2:$C$250,$AU2378)=0,"NEW",""))</f>
        <v/>
      </c>
      <c r="BA2378" s="2" t="str">
        <f>IF(""&amp;$F2378&lt;&gt;"4","",IF($AY2378="YES","",IF(ROUND(SUMIFS($AE$2:$AE$4001,$L$2:$L$4001,$L2378,$F$2:$F$4001,"4")-SUMIFS('AR SALES'!$Y$2:$Y$2501,'AR SALES'!$L$2:$L$2501,$L2378,'AR SALES'!$AD$2:$AD$2501,"OFF"),2)=0,"","STALE")))</f>
        <v/>
      </c>
      <c r="BB2378" s="2" t="str">
        <f>IF(OR(""&amp;$F2378="2",""&amp;$F2378="4",""&amp;$F2378="G",""&amp;$F2378="H"),IF($AY2378="YES","",IF($AB2378&lt;&gt;0,"",IF(COUNTIFS('AR SALES'!$L$2:$L$2501,$L2378,'AR SALES'!$AD$2:$AD$2501,IF(""&amp;$F2378="4","OFF","ON"),'AR SALES'!$AF$2:$AF$2501,"Y")&gt;0,"","NO EXEMPTION"))),"")</f>
        <v/>
      </c>
    </row>
    <row r="2379" spans="46:54" x14ac:dyDescent="0.25">
      <c r="AT2379" s="2" t="str">
        <f>IF($L2379="","",IFERROR(INDEX('AR SALES'!$H$2:$H$2501,MATCH(""&amp;$L2379,'AR SALES'!$AE$2:$AE$2501,0)),""))</f>
        <v/>
      </c>
      <c r="AU2379" s="2" t="str">
        <f t="shared" si="148"/>
        <v/>
      </c>
      <c r="AV2379" s="2" t="str">
        <f t="shared" si="149"/>
        <v/>
      </c>
      <c r="AW2379" s="2" t="str">
        <f t="shared" si="150"/>
        <v/>
      </c>
      <c r="AX2379" s="2" t="str">
        <f t="shared" si="151"/>
        <v/>
      </c>
      <c r="AY2379" s="2" t="str">
        <f>IF($AV2379="","",IF(AND($Z2379=0,COUNTIF('AR SALES'!$L$2:$L$2501,$L2379)=0),"YES",""))</f>
        <v/>
      </c>
      <c r="AZ2379" s="2" t="str">
        <f>IF($AV2379="","",IF(COUNTIF(LISTS!$C$2:$C$250,$AU2379)=0,"NEW",""))</f>
        <v/>
      </c>
      <c r="BA2379" s="2" t="str">
        <f>IF(""&amp;$F2379&lt;&gt;"4","",IF($AY2379="YES","",IF(ROUND(SUMIFS($AE$2:$AE$4001,$L$2:$L$4001,$L2379,$F$2:$F$4001,"4")-SUMIFS('AR SALES'!$Y$2:$Y$2501,'AR SALES'!$L$2:$L$2501,$L2379,'AR SALES'!$AD$2:$AD$2501,"OFF"),2)=0,"","STALE")))</f>
        <v/>
      </c>
      <c r="BB2379" s="2" t="str">
        <f>IF(OR(""&amp;$F2379="2",""&amp;$F2379="4",""&amp;$F2379="G",""&amp;$F2379="H"),IF($AY2379="YES","",IF($AB2379&lt;&gt;0,"",IF(COUNTIFS('AR SALES'!$L$2:$L$2501,$L2379,'AR SALES'!$AD$2:$AD$2501,IF(""&amp;$F2379="4","OFF","ON"),'AR SALES'!$AF$2:$AF$2501,"Y")&gt;0,"","NO EXEMPTION"))),"")</f>
        <v/>
      </c>
    </row>
    <row r="2380" spans="46:54" x14ac:dyDescent="0.25">
      <c r="AT2380" s="2" t="str">
        <f>IF($L2380="","",IFERROR(INDEX('AR SALES'!$H$2:$H$2501,MATCH(""&amp;$L2380,'AR SALES'!$AE$2:$AE$2501,0)),""))</f>
        <v/>
      </c>
      <c r="AU2380" s="2" t="str">
        <f t="shared" si="148"/>
        <v/>
      </c>
      <c r="AV2380" s="2" t="str">
        <f t="shared" si="149"/>
        <v/>
      </c>
      <c r="AW2380" s="2" t="str">
        <f t="shared" si="150"/>
        <v/>
      </c>
      <c r="AX2380" s="2" t="str">
        <f t="shared" si="151"/>
        <v/>
      </c>
      <c r="AY2380" s="2" t="str">
        <f>IF($AV2380="","",IF(AND($Z2380=0,COUNTIF('AR SALES'!$L$2:$L$2501,$L2380)=0),"YES",""))</f>
        <v/>
      </c>
      <c r="AZ2380" s="2" t="str">
        <f>IF($AV2380="","",IF(COUNTIF(LISTS!$C$2:$C$250,$AU2380)=0,"NEW",""))</f>
        <v/>
      </c>
      <c r="BA2380" s="2" t="str">
        <f>IF(""&amp;$F2380&lt;&gt;"4","",IF($AY2380="YES","",IF(ROUND(SUMIFS($AE$2:$AE$4001,$L$2:$L$4001,$L2380,$F$2:$F$4001,"4")-SUMIFS('AR SALES'!$Y$2:$Y$2501,'AR SALES'!$L$2:$L$2501,$L2380,'AR SALES'!$AD$2:$AD$2501,"OFF"),2)=0,"","STALE")))</f>
        <v/>
      </c>
      <c r="BB2380" s="2" t="str">
        <f>IF(OR(""&amp;$F2380="2",""&amp;$F2380="4",""&amp;$F2380="G",""&amp;$F2380="H"),IF($AY2380="YES","",IF($AB2380&lt;&gt;0,"",IF(COUNTIFS('AR SALES'!$L$2:$L$2501,$L2380,'AR SALES'!$AD$2:$AD$2501,IF(""&amp;$F2380="4","OFF","ON"),'AR SALES'!$AF$2:$AF$2501,"Y")&gt;0,"","NO EXEMPTION"))),"")</f>
        <v/>
      </c>
    </row>
    <row r="2381" spans="46:54" x14ac:dyDescent="0.25">
      <c r="AT2381" s="2" t="str">
        <f>IF($L2381="","",IFERROR(INDEX('AR SALES'!$H$2:$H$2501,MATCH(""&amp;$L2381,'AR SALES'!$AE$2:$AE$2501,0)),""))</f>
        <v/>
      </c>
      <c r="AU2381" s="2" t="str">
        <f t="shared" si="148"/>
        <v/>
      </c>
      <c r="AV2381" s="2" t="str">
        <f t="shared" si="149"/>
        <v/>
      </c>
      <c r="AW2381" s="2" t="str">
        <f t="shared" si="150"/>
        <v/>
      </c>
      <c r="AX2381" s="2" t="str">
        <f t="shared" si="151"/>
        <v/>
      </c>
      <c r="AY2381" s="2" t="str">
        <f>IF($AV2381="","",IF(AND($Z2381=0,COUNTIF('AR SALES'!$L$2:$L$2501,$L2381)=0),"YES",""))</f>
        <v/>
      </c>
      <c r="AZ2381" s="2" t="str">
        <f>IF($AV2381="","",IF(COUNTIF(LISTS!$C$2:$C$250,$AU2381)=0,"NEW",""))</f>
        <v/>
      </c>
      <c r="BA2381" s="2" t="str">
        <f>IF(""&amp;$F2381&lt;&gt;"4","",IF($AY2381="YES","",IF(ROUND(SUMIFS($AE$2:$AE$4001,$L$2:$L$4001,$L2381,$F$2:$F$4001,"4")-SUMIFS('AR SALES'!$Y$2:$Y$2501,'AR SALES'!$L$2:$L$2501,$L2381,'AR SALES'!$AD$2:$AD$2501,"OFF"),2)=0,"","STALE")))</f>
        <v/>
      </c>
      <c r="BB2381" s="2" t="str">
        <f>IF(OR(""&amp;$F2381="2",""&amp;$F2381="4",""&amp;$F2381="G",""&amp;$F2381="H"),IF($AY2381="YES","",IF($AB2381&lt;&gt;0,"",IF(COUNTIFS('AR SALES'!$L$2:$L$2501,$L2381,'AR SALES'!$AD$2:$AD$2501,IF(""&amp;$F2381="4","OFF","ON"),'AR SALES'!$AF$2:$AF$2501,"Y")&gt;0,"","NO EXEMPTION"))),"")</f>
        <v/>
      </c>
    </row>
    <row r="2382" spans="46:54" x14ac:dyDescent="0.25">
      <c r="AT2382" s="2" t="str">
        <f>IF($L2382="","",IFERROR(INDEX('AR SALES'!$H$2:$H$2501,MATCH(""&amp;$L2382,'AR SALES'!$AE$2:$AE$2501,0)),""))</f>
        <v/>
      </c>
      <c r="AU2382" s="2" t="str">
        <f t="shared" si="148"/>
        <v/>
      </c>
      <c r="AV2382" s="2" t="str">
        <f t="shared" si="149"/>
        <v/>
      </c>
      <c r="AW2382" s="2" t="str">
        <f t="shared" si="150"/>
        <v/>
      </c>
      <c r="AX2382" s="2" t="str">
        <f t="shared" si="151"/>
        <v/>
      </c>
      <c r="AY2382" s="2" t="str">
        <f>IF($AV2382="","",IF(AND($Z2382=0,COUNTIF('AR SALES'!$L$2:$L$2501,$L2382)=0),"YES",""))</f>
        <v/>
      </c>
      <c r="AZ2382" s="2" t="str">
        <f>IF($AV2382="","",IF(COUNTIF(LISTS!$C$2:$C$250,$AU2382)=0,"NEW",""))</f>
        <v/>
      </c>
      <c r="BA2382" s="2" t="str">
        <f>IF(""&amp;$F2382&lt;&gt;"4","",IF($AY2382="YES","",IF(ROUND(SUMIFS($AE$2:$AE$4001,$L$2:$L$4001,$L2382,$F$2:$F$4001,"4")-SUMIFS('AR SALES'!$Y$2:$Y$2501,'AR SALES'!$L$2:$L$2501,$L2382,'AR SALES'!$AD$2:$AD$2501,"OFF"),2)=0,"","STALE")))</f>
        <v/>
      </c>
      <c r="BB2382" s="2" t="str">
        <f>IF(OR(""&amp;$F2382="2",""&amp;$F2382="4",""&amp;$F2382="G",""&amp;$F2382="H"),IF($AY2382="YES","",IF($AB2382&lt;&gt;0,"",IF(COUNTIFS('AR SALES'!$L$2:$L$2501,$L2382,'AR SALES'!$AD$2:$AD$2501,IF(""&amp;$F2382="4","OFF","ON"),'AR SALES'!$AF$2:$AF$2501,"Y")&gt;0,"","NO EXEMPTION"))),"")</f>
        <v/>
      </c>
    </row>
    <row r="2383" spans="46:54" x14ac:dyDescent="0.25">
      <c r="AT2383" s="2" t="str">
        <f>IF($L2383="","",IFERROR(INDEX('AR SALES'!$H$2:$H$2501,MATCH(""&amp;$L2383,'AR SALES'!$AE$2:$AE$2501,0)),""))</f>
        <v/>
      </c>
      <c r="AU2383" s="2" t="str">
        <f t="shared" si="148"/>
        <v/>
      </c>
      <c r="AV2383" s="2" t="str">
        <f t="shared" si="149"/>
        <v/>
      </c>
      <c r="AW2383" s="2" t="str">
        <f t="shared" si="150"/>
        <v/>
      </c>
      <c r="AX2383" s="2" t="str">
        <f t="shared" si="151"/>
        <v/>
      </c>
      <c r="AY2383" s="2" t="str">
        <f>IF($AV2383="","",IF(AND($Z2383=0,COUNTIF('AR SALES'!$L$2:$L$2501,$L2383)=0),"YES",""))</f>
        <v/>
      </c>
      <c r="AZ2383" s="2" t="str">
        <f>IF($AV2383="","",IF(COUNTIF(LISTS!$C$2:$C$250,$AU2383)=0,"NEW",""))</f>
        <v/>
      </c>
      <c r="BA2383" s="2" t="str">
        <f>IF(""&amp;$F2383&lt;&gt;"4","",IF($AY2383="YES","",IF(ROUND(SUMIFS($AE$2:$AE$4001,$L$2:$L$4001,$L2383,$F$2:$F$4001,"4")-SUMIFS('AR SALES'!$Y$2:$Y$2501,'AR SALES'!$L$2:$L$2501,$L2383,'AR SALES'!$AD$2:$AD$2501,"OFF"),2)=0,"","STALE")))</f>
        <v/>
      </c>
      <c r="BB2383" s="2" t="str">
        <f>IF(OR(""&amp;$F2383="2",""&amp;$F2383="4",""&amp;$F2383="G",""&amp;$F2383="H"),IF($AY2383="YES","",IF($AB2383&lt;&gt;0,"",IF(COUNTIFS('AR SALES'!$L$2:$L$2501,$L2383,'AR SALES'!$AD$2:$AD$2501,IF(""&amp;$F2383="4","OFF","ON"),'AR SALES'!$AF$2:$AF$2501,"Y")&gt;0,"","NO EXEMPTION"))),"")</f>
        <v/>
      </c>
    </row>
    <row r="2384" spans="46:54" x14ac:dyDescent="0.25">
      <c r="AT2384" s="2" t="str">
        <f>IF($L2384="","",IFERROR(INDEX('AR SALES'!$H$2:$H$2501,MATCH(""&amp;$L2384,'AR SALES'!$AE$2:$AE$2501,0)),""))</f>
        <v/>
      </c>
      <c r="AU2384" s="2" t="str">
        <f t="shared" si="148"/>
        <v/>
      </c>
      <c r="AV2384" s="2" t="str">
        <f t="shared" si="149"/>
        <v/>
      </c>
      <c r="AW2384" s="2" t="str">
        <f t="shared" si="150"/>
        <v/>
      </c>
      <c r="AX2384" s="2" t="str">
        <f t="shared" si="151"/>
        <v/>
      </c>
      <c r="AY2384" s="2" t="str">
        <f>IF($AV2384="","",IF(AND($Z2384=0,COUNTIF('AR SALES'!$L$2:$L$2501,$L2384)=0),"YES",""))</f>
        <v/>
      </c>
      <c r="AZ2384" s="2" t="str">
        <f>IF($AV2384="","",IF(COUNTIF(LISTS!$C$2:$C$250,$AU2384)=0,"NEW",""))</f>
        <v/>
      </c>
      <c r="BA2384" s="2" t="str">
        <f>IF(""&amp;$F2384&lt;&gt;"4","",IF($AY2384="YES","",IF(ROUND(SUMIFS($AE$2:$AE$4001,$L$2:$L$4001,$L2384,$F$2:$F$4001,"4")-SUMIFS('AR SALES'!$Y$2:$Y$2501,'AR SALES'!$L$2:$L$2501,$L2384,'AR SALES'!$AD$2:$AD$2501,"OFF"),2)=0,"","STALE")))</f>
        <v/>
      </c>
      <c r="BB2384" s="2" t="str">
        <f>IF(OR(""&amp;$F2384="2",""&amp;$F2384="4",""&amp;$F2384="G",""&amp;$F2384="H"),IF($AY2384="YES","",IF($AB2384&lt;&gt;0,"",IF(COUNTIFS('AR SALES'!$L$2:$L$2501,$L2384,'AR SALES'!$AD$2:$AD$2501,IF(""&amp;$F2384="4","OFF","ON"),'AR SALES'!$AF$2:$AF$2501,"Y")&gt;0,"","NO EXEMPTION"))),"")</f>
        <v/>
      </c>
    </row>
    <row r="2385" spans="46:54" x14ac:dyDescent="0.25">
      <c r="AT2385" s="2" t="str">
        <f>IF($L2385="","",IFERROR(INDEX('AR SALES'!$H$2:$H$2501,MATCH(""&amp;$L2385,'AR SALES'!$AE$2:$AE$2501,0)),""))</f>
        <v/>
      </c>
      <c r="AU2385" s="2" t="str">
        <f t="shared" si="148"/>
        <v/>
      </c>
      <c r="AV2385" s="2" t="str">
        <f t="shared" si="149"/>
        <v/>
      </c>
      <c r="AW2385" s="2" t="str">
        <f t="shared" si="150"/>
        <v/>
      </c>
      <c r="AX2385" s="2" t="str">
        <f t="shared" si="151"/>
        <v/>
      </c>
      <c r="AY2385" s="2" t="str">
        <f>IF($AV2385="","",IF(AND($Z2385=0,COUNTIF('AR SALES'!$L$2:$L$2501,$L2385)=0),"YES",""))</f>
        <v/>
      </c>
      <c r="AZ2385" s="2" t="str">
        <f>IF($AV2385="","",IF(COUNTIF(LISTS!$C$2:$C$250,$AU2385)=0,"NEW",""))</f>
        <v/>
      </c>
      <c r="BA2385" s="2" t="str">
        <f>IF(""&amp;$F2385&lt;&gt;"4","",IF($AY2385="YES","",IF(ROUND(SUMIFS($AE$2:$AE$4001,$L$2:$L$4001,$L2385,$F$2:$F$4001,"4")-SUMIFS('AR SALES'!$Y$2:$Y$2501,'AR SALES'!$L$2:$L$2501,$L2385,'AR SALES'!$AD$2:$AD$2501,"OFF"),2)=0,"","STALE")))</f>
        <v/>
      </c>
      <c r="BB2385" s="2" t="str">
        <f>IF(OR(""&amp;$F2385="2",""&amp;$F2385="4",""&amp;$F2385="G",""&amp;$F2385="H"),IF($AY2385="YES","",IF($AB2385&lt;&gt;0,"",IF(COUNTIFS('AR SALES'!$L$2:$L$2501,$L2385,'AR SALES'!$AD$2:$AD$2501,IF(""&amp;$F2385="4","OFF","ON"),'AR SALES'!$AF$2:$AF$2501,"Y")&gt;0,"","NO EXEMPTION"))),"")</f>
        <v/>
      </c>
    </row>
    <row r="2386" spans="46:54" x14ac:dyDescent="0.25">
      <c r="AT2386" s="2" t="str">
        <f>IF($L2386="","",IFERROR(INDEX('AR SALES'!$H$2:$H$2501,MATCH(""&amp;$L2386,'AR SALES'!$AE$2:$AE$2501,0)),""))</f>
        <v/>
      </c>
      <c r="AU2386" s="2" t="str">
        <f t="shared" si="148"/>
        <v/>
      </c>
      <c r="AV2386" s="2" t="str">
        <f t="shared" si="149"/>
        <v/>
      </c>
      <c r="AW2386" s="2" t="str">
        <f t="shared" si="150"/>
        <v/>
      </c>
      <c r="AX2386" s="2" t="str">
        <f t="shared" si="151"/>
        <v/>
      </c>
      <c r="AY2386" s="2" t="str">
        <f>IF($AV2386="","",IF(AND($Z2386=0,COUNTIF('AR SALES'!$L$2:$L$2501,$L2386)=0),"YES",""))</f>
        <v/>
      </c>
      <c r="AZ2386" s="2" t="str">
        <f>IF($AV2386="","",IF(COUNTIF(LISTS!$C$2:$C$250,$AU2386)=0,"NEW",""))</f>
        <v/>
      </c>
      <c r="BA2386" s="2" t="str">
        <f>IF(""&amp;$F2386&lt;&gt;"4","",IF($AY2386="YES","",IF(ROUND(SUMIFS($AE$2:$AE$4001,$L$2:$L$4001,$L2386,$F$2:$F$4001,"4")-SUMIFS('AR SALES'!$Y$2:$Y$2501,'AR SALES'!$L$2:$L$2501,$L2386,'AR SALES'!$AD$2:$AD$2501,"OFF"),2)=0,"","STALE")))</f>
        <v/>
      </c>
      <c r="BB2386" s="2" t="str">
        <f>IF(OR(""&amp;$F2386="2",""&amp;$F2386="4",""&amp;$F2386="G",""&amp;$F2386="H"),IF($AY2386="YES","",IF($AB2386&lt;&gt;0,"",IF(COUNTIFS('AR SALES'!$L$2:$L$2501,$L2386,'AR SALES'!$AD$2:$AD$2501,IF(""&amp;$F2386="4","OFF","ON"),'AR SALES'!$AF$2:$AF$2501,"Y")&gt;0,"","NO EXEMPTION"))),"")</f>
        <v/>
      </c>
    </row>
    <row r="2387" spans="46:54" x14ac:dyDescent="0.25">
      <c r="AT2387" s="2" t="str">
        <f>IF($L2387="","",IFERROR(INDEX('AR SALES'!$H$2:$H$2501,MATCH(""&amp;$L2387,'AR SALES'!$AE$2:$AE$2501,0)),""))</f>
        <v/>
      </c>
      <c r="AU2387" s="2" t="str">
        <f t="shared" si="148"/>
        <v/>
      </c>
      <c r="AV2387" s="2" t="str">
        <f t="shared" si="149"/>
        <v/>
      </c>
      <c r="AW2387" s="2" t="str">
        <f t="shared" si="150"/>
        <v/>
      </c>
      <c r="AX2387" s="2" t="str">
        <f t="shared" si="151"/>
        <v/>
      </c>
      <c r="AY2387" s="2" t="str">
        <f>IF($AV2387="","",IF(AND($Z2387=0,COUNTIF('AR SALES'!$L$2:$L$2501,$L2387)=0),"YES",""))</f>
        <v/>
      </c>
      <c r="AZ2387" s="2" t="str">
        <f>IF($AV2387="","",IF(COUNTIF(LISTS!$C$2:$C$250,$AU2387)=0,"NEW",""))</f>
        <v/>
      </c>
      <c r="BA2387" s="2" t="str">
        <f>IF(""&amp;$F2387&lt;&gt;"4","",IF($AY2387="YES","",IF(ROUND(SUMIFS($AE$2:$AE$4001,$L$2:$L$4001,$L2387,$F$2:$F$4001,"4")-SUMIFS('AR SALES'!$Y$2:$Y$2501,'AR SALES'!$L$2:$L$2501,$L2387,'AR SALES'!$AD$2:$AD$2501,"OFF"),2)=0,"","STALE")))</f>
        <v/>
      </c>
      <c r="BB2387" s="2" t="str">
        <f>IF(OR(""&amp;$F2387="2",""&amp;$F2387="4",""&amp;$F2387="G",""&amp;$F2387="H"),IF($AY2387="YES","",IF($AB2387&lt;&gt;0,"",IF(COUNTIFS('AR SALES'!$L$2:$L$2501,$L2387,'AR SALES'!$AD$2:$AD$2501,IF(""&amp;$F2387="4","OFF","ON"),'AR SALES'!$AF$2:$AF$2501,"Y")&gt;0,"","NO EXEMPTION"))),"")</f>
        <v/>
      </c>
    </row>
    <row r="2388" spans="46:54" x14ac:dyDescent="0.25">
      <c r="AT2388" s="2" t="str">
        <f>IF($L2388="","",IFERROR(INDEX('AR SALES'!$H$2:$H$2501,MATCH(""&amp;$L2388,'AR SALES'!$AE$2:$AE$2501,0)),""))</f>
        <v/>
      </c>
      <c r="AU2388" s="2" t="str">
        <f t="shared" si="148"/>
        <v/>
      </c>
      <c r="AV2388" s="2" t="str">
        <f t="shared" si="149"/>
        <v/>
      </c>
      <c r="AW2388" s="2" t="str">
        <f t="shared" si="150"/>
        <v/>
      </c>
      <c r="AX2388" s="2" t="str">
        <f t="shared" si="151"/>
        <v/>
      </c>
      <c r="AY2388" s="2" t="str">
        <f>IF($AV2388="","",IF(AND($Z2388=0,COUNTIF('AR SALES'!$L$2:$L$2501,$L2388)=0),"YES",""))</f>
        <v/>
      </c>
      <c r="AZ2388" s="2" t="str">
        <f>IF($AV2388="","",IF(COUNTIF(LISTS!$C$2:$C$250,$AU2388)=0,"NEW",""))</f>
        <v/>
      </c>
      <c r="BA2388" s="2" t="str">
        <f>IF(""&amp;$F2388&lt;&gt;"4","",IF($AY2388="YES","",IF(ROUND(SUMIFS($AE$2:$AE$4001,$L$2:$L$4001,$L2388,$F$2:$F$4001,"4")-SUMIFS('AR SALES'!$Y$2:$Y$2501,'AR SALES'!$L$2:$L$2501,$L2388,'AR SALES'!$AD$2:$AD$2501,"OFF"),2)=0,"","STALE")))</f>
        <v/>
      </c>
      <c r="BB2388" s="2" t="str">
        <f>IF(OR(""&amp;$F2388="2",""&amp;$F2388="4",""&amp;$F2388="G",""&amp;$F2388="H"),IF($AY2388="YES","",IF($AB2388&lt;&gt;0,"",IF(COUNTIFS('AR SALES'!$L$2:$L$2501,$L2388,'AR SALES'!$AD$2:$AD$2501,IF(""&amp;$F2388="4","OFF","ON"),'AR SALES'!$AF$2:$AF$2501,"Y")&gt;0,"","NO EXEMPTION"))),"")</f>
        <v/>
      </c>
    </row>
    <row r="2389" spans="46:54" x14ac:dyDescent="0.25">
      <c r="AT2389" s="2" t="str">
        <f>IF($L2389="","",IFERROR(INDEX('AR SALES'!$H$2:$H$2501,MATCH(""&amp;$L2389,'AR SALES'!$AE$2:$AE$2501,0)),""))</f>
        <v/>
      </c>
      <c r="AU2389" s="2" t="str">
        <f t="shared" si="148"/>
        <v/>
      </c>
      <c r="AV2389" s="2" t="str">
        <f t="shared" si="149"/>
        <v/>
      </c>
      <c r="AW2389" s="2" t="str">
        <f t="shared" si="150"/>
        <v/>
      </c>
      <c r="AX2389" s="2" t="str">
        <f t="shared" si="151"/>
        <v/>
      </c>
      <c r="AY2389" s="2" t="str">
        <f>IF($AV2389="","",IF(AND($Z2389=0,COUNTIF('AR SALES'!$L$2:$L$2501,$L2389)=0),"YES",""))</f>
        <v/>
      </c>
      <c r="AZ2389" s="2" t="str">
        <f>IF($AV2389="","",IF(COUNTIF(LISTS!$C$2:$C$250,$AU2389)=0,"NEW",""))</f>
        <v/>
      </c>
      <c r="BA2389" s="2" t="str">
        <f>IF(""&amp;$F2389&lt;&gt;"4","",IF($AY2389="YES","",IF(ROUND(SUMIFS($AE$2:$AE$4001,$L$2:$L$4001,$L2389,$F$2:$F$4001,"4")-SUMIFS('AR SALES'!$Y$2:$Y$2501,'AR SALES'!$L$2:$L$2501,$L2389,'AR SALES'!$AD$2:$AD$2501,"OFF"),2)=0,"","STALE")))</f>
        <v/>
      </c>
      <c r="BB2389" s="2" t="str">
        <f>IF(OR(""&amp;$F2389="2",""&amp;$F2389="4",""&amp;$F2389="G",""&amp;$F2389="H"),IF($AY2389="YES","",IF($AB2389&lt;&gt;0,"",IF(COUNTIFS('AR SALES'!$L$2:$L$2501,$L2389,'AR SALES'!$AD$2:$AD$2501,IF(""&amp;$F2389="4","OFF","ON"),'AR SALES'!$AF$2:$AF$2501,"Y")&gt;0,"","NO EXEMPTION"))),"")</f>
        <v/>
      </c>
    </row>
    <row r="2390" spans="46:54" x14ac:dyDescent="0.25">
      <c r="AT2390" s="2" t="str">
        <f>IF($L2390="","",IFERROR(INDEX('AR SALES'!$H$2:$H$2501,MATCH(""&amp;$L2390,'AR SALES'!$AE$2:$AE$2501,0)),""))</f>
        <v/>
      </c>
      <c r="AU2390" s="2" t="str">
        <f t="shared" si="148"/>
        <v/>
      </c>
      <c r="AV2390" s="2" t="str">
        <f t="shared" si="149"/>
        <v/>
      </c>
      <c r="AW2390" s="2" t="str">
        <f t="shared" si="150"/>
        <v/>
      </c>
      <c r="AX2390" s="2" t="str">
        <f t="shared" si="151"/>
        <v/>
      </c>
      <c r="AY2390" s="2" t="str">
        <f>IF($AV2390="","",IF(AND($Z2390=0,COUNTIF('AR SALES'!$L$2:$L$2501,$L2390)=0),"YES",""))</f>
        <v/>
      </c>
      <c r="AZ2390" s="2" t="str">
        <f>IF($AV2390="","",IF(COUNTIF(LISTS!$C$2:$C$250,$AU2390)=0,"NEW",""))</f>
        <v/>
      </c>
      <c r="BA2390" s="2" t="str">
        <f>IF(""&amp;$F2390&lt;&gt;"4","",IF($AY2390="YES","",IF(ROUND(SUMIFS($AE$2:$AE$4001,$L$2:$L$4001,$L2390,$F$2:$F$4001,"4")-SUMIFS('AR SALES'!$Y$2:$Y$2501,'AR SALES'!$L$2:$L$2501,$L2390,'AR SALES'!$AD$2:$AD$2501,"OFF"),2)=0,"","STALE")))</f>
        <v/>
      </c>
      <c r="BB2390" s="2" t="str">
        <f>IF(OR(""&amp;$F2390="2",""&amp;$F2390="4",""&amp;$F2390="G",""&amp;$F2390="H"),IF($AY2390="YES","",IF($AB2390&lt;&gt;0,"",IF(COUNTIFS('AR SALES'!$L$2:$L$2501,$L2390,'AR SALES'!$AD$2:$AD$2501,IF(""&amp;$F2390="4","OFF","ON"),'AR SALES'!$AF$2:$AF$2501,"Y")&gt;0,"","NO EXEMPTION"))),"")</f>
        <v/>
      </c>
    </row>
    <row r="2391" spans="46:54" x14ac:dyDescent="0.25">
      <c r="AT2391" s="2" t="str">
        <f>IF($L2391="","",IFERROR(INDEX('AR SALES'!$H$2:$H$2501,MATCH(""&amp;$L2391,'AR SALES'!$AE$2:$AE$2501,0)),""))</f>
        <v/>
      </c>
      <c r="AU2391" s="2" t="str">
        <f t="shared" si="148"/>
        <v/>
      </c>
      <c r="AV2391" s="2" t="str">
        <f t="shared" si="149"/>
        <v/>
      </c>
      <c r="AW2391" s="2" t="str">
        <f t="shared" si="150"/>
        <v/>
      </c>
      <c r="AX2391" s="2" t="str">
        <f t="shared" si="151"/>
        <v/>
      </c>
      <c r="AY2391" s="2" t="str">
        <f>IF($AV2391="","",IF(AND($Z2391=0,COUNTIF('AR SALES'!$L$2:$L$2501,$L2391)=0),"YES",""))</f>
        <v/>
      </c>
      <c r="AZ2391" s="2" t="str">
        <f>IF($AV2391="","",IF(COUNTIF(LISTS!$C$2:$C$250,$AU2391)=0,"NEW",""))</f>
        <v/>
      </c>
      <c r="BA2391" s="2" t="str">
        <f>IF(""&amp;$F2391&lt;&gt;"4","",IF($AY2391="YES","",IF(ROUND(SUMIFS($AE$2:$AE$4001,$L$2:$L$4001,$L2391,$F$2:$F$4001,"4")-SUMIFS('AR SALES'!$Y$2:$Y$2501,'AR SALES'!$L$2:$L$2501,$L2391,'AR SALES'!$AD$2:$AD$2501,"OFF"),2)=0,"","STALE")))</f>
        <v/>
      </c>
      <c r="BB2391" s="2" t="str">
        <f>IF(OR(""&amp;$F2391="2",""&amp;$F2391="4",""&amp;$F2391="G",""&amp;$F2391="H"),IF($AY2391="YES","",IF($AB2391&lt;&gt;0,"",IF(COUNTIFS('AR SALES'!$L$2:$L$2501,$L2391,'AR SALES'!$AD$2:$AD$2501,IF(""&amp;$F2391="4","OFF","ON"),'AR SALES'!$AF$2:$AF$2501,"Y")&gt;0,"","NO EXEMPTION"))),"")</f>
        <v/>
      </c>
    </row>
    <row r="2392" spans="46:54" x14ac:dyDescent="0.25">
      <c r="AT2392" s="2" t="str">
        <f>IF($L2392="","",IFERROR(INDEX('AR SALES'!$H$2:$H$2501,MATCH(""&amp;$L2392,'AR SALES'!$AE$2:$AE$2501,0)),""))</f>
        <v/>
      </c>
      <c r="AU2392" s="2" t="str">
        <f t="shared" si="148"/>
        <v/>
      </c>
      <c r="AV2392" s="2" t="str">
        <f t="shared" si="149"/>
        <v/>
      </c>
      <c r="AW2392" s="2" t="str">
        <f t="shared" si="150"/>
        <v/>
      </c>
      <c r="AX2392" s="2" t="str">
        <f t="shared" si="151"/>
        <v/>
      </c>
      <c r="AY2392" s="2" t="str">
        <f>IF($AV2392="","",IF(AND($Z2392=0,COUNTIF('AR SALES'!$L$2:$L$2501,$L2392)=0),"YES",""))</f>
        <v/>
      </c>
      <c r="AZ2392" s="2" t="str">
        <f>IF($AV2392="","",IF(COUNTIF(LISTS!$C$2:$C$250,$AU2392)=0,"NEW",""))</f>
        <v/>
      </c>
      <c r="BA2392" s="2" t="str">
        <f>IF(""&amp;$F2392&lt;&gt;"4","",IF($AY2392="YES","",IF(ROUND(SUMIFS($AE$2:$AE$4001,$L$2:$L$4001,$L2392,$F$2:$F$4001,"4")-SUMIFS('AR SALES'!$Y$2:$Y$2501,'AR SALES'!$L$2:$L$2501,$L2392,'AR SALES'!$AD$2:$AD$2501,"OFF"),2)=0,"","STALE")))</f>
        <v/>
      </c>
      <c r="BB2392" s="2" t="str">
        <f>IF(OR(""&amp;$F2392="2",""&amp;$F2392="4",""&amp;$F2392="G",""&amp;$F2392="H"),IF($AY2392="YES","",IF($AB2392&lt;&gt;0,"",IF(COUNTIFS('AR SALES'!$L$2:$L$2501,$L2392,'AR SALES'!$AD$2:$AD$2501,IF(""&amp;$F2392="4","OFF","ON"),'AR SALES'!$AF$2:$AF$2501,"Y")&gt;0,"","NO EXEMPTION"))),"")</f>
        <v/>
      </c>
    </row>
    <row r="2393" spans="46:54" x14ac:dyDescent="0.25">
      <c r="AT2393" s="2" t="str">
        <f>IF($L2393="","",IFERROR(INDEX('AR SALES'!$H$2:$H$2501,MATCH(""&amp;$L2393,'AR SALES'!$AE$2:$AE$2501,0)),""))</f>
        <v/>
      </c>
      <c r="AU2393" s="2" t="str">
        <f t="shared" si="148"/>
        <v/>
      </c>
      <c r="AV2393" s="2" t="str">
        <f t="shared" si="149"/>
        <v/>
      </c>
      <c r="AW2393" s="2" t="str">
        <f t="shared" si="150"/>
        <v/>
      </c>
      <c r="AX2393" s="2" t="str">
        <f t="shared" si="151"/>
        <v/>
      </c>
      <c r="AY2393" s="2" t="str">
        <f>IF($AV2393="","",IF(AND($Z2393=0,COUNTIF('AR SALES'!$L$2:$L$2501,$L2393)=0),"YES",""))</f>
        <v/>
      </c>
      <c r="AZ2393" s="2" t="str">
        <f>IF($AV2393="","",IF(COUNTIF(LISTS!$C$2:$C$250,$AU2393)=0,"NEW",""))</f>
        <v/>
      </c>
      <c r="BA2393" s="2" t="str">
        <f>IF(""&amp;$F2393&lt;&gt;"4","",IF($AY2393="YES","",IF(ROUND(SUMIFS($AE$2:$AE$4001,$L$2:$L$4001,$L2393,$F$2:$F$4001,"4")-SUMIFS('AR SALES'!$Y$2:$Y$2501,'AR SALES'!$L$2:$L$2501,$L2393,'AR SALES'!$AD$2:$AD$2501,"OFF"),2)=0,"","STALE")))</f>
        <v/>
      </c>
      <c r="BB2393" s="2" t="str">
        <f>IF(OR(""&amp;$F2393="2",""&amp;$F2393="4",""&amp;$F2393="G",""&amp;$F2393="H"),IF($AY2393="YES","",IF($AB2393&lt;&gt;0,"",IF(COUNTIFS('AR SALES'!$L$2:$L$2501,$L2393,'AR SALES'!$AD$2:$AD$2501,IF(""&amp;$F2393="4","OFF","ON"),'AR SALES'!$AF$2:$AF$2501,"Y")&gt;0,"","NO EXEMPTION"))),"")</f>
        <v/>
      </c>
    </row>
    <row r="2394" spans="46:54" x14ac:dyDescent="0.25">
      <c r="AT2394" s="2" t="str">
        <f>IF($L2394="","",IFERROR(INDEX('AR SALES'!$H$2:$H$2501,MATCH(""&amp;$L2394,'AR SALES'!$AE$2:$AE$2501,0)),""))</f>
        <v/>
      </c>
      <c r="AU2394" s="2" t="str">
        <f t="shared" si="148"/>
        <v/>
      </c>
      <c r="AV2394" s="2" t="str">
        <f t="shared" si="149"/>
        <v/>
      </c>
      <c r="AW2394" s="2" t="str">
        <f t="shared" si="150"/>
        <v/>
      </c>
      <c r="AX2394" s="2" t="str">
        <f t="shared" si="151"/>
        <v/>
      </c>
      <c r="AY2394" s="2" t="str">
        <f>IF($AV2394="","",IF(AND($Z2394=0,COUNTIF('AR SALES'!$L$2:$L$2501,$L2394)=0),"YES",""))</f>
        <v/>
      </c>
      <c r="AZ2394" s="2" t="str">
        <f>IF($AV2394="","",IF(COUNTIF(LISTS!$C$2:$C$250,$AU2394)=0,"NEW",""))</f>
        <v/>
      </c>
      <c r="BA2394" s="2" t="str">
        <f>IF(""&amp;$F2394&lt;&gt;"4","",IF($AY2394="YES","",IF(ROUND(SUMIFS($AE$2:$AE$4001,$L$2:$L$4001,$L2394,$F$2:$F$4001,"4")-SUMIFS('AR SALES'!$Y$2:$Y$2501,'AR SALES'!$L$2:$L$2501,$L2394,'AR SALES'!$AD$2:$AD$2501,"OFF"),2)=0,"","STALE")))</f>
        <v/>
      </c>
      <c r="BB2394" s="2" t="str">
        <f>IF(OR(""&amp;$F2394="2",""&amp;$F2394="4",""&amp;$F2394="G",""&amp;$F2394="H"),IF($AY2394="YES","",IF($AB2394&lt;&gt;0,"",IF(COUNTIFS('AR SALES'!$L$2:$L$2501,$L2394,'AR SALES'!$AD$2:$AD$2501,IF(""&amp;$F2394="4","OFF","ON"),'AR SALES'!$AF$2:$AF$2501,"Y")&gt;0,"","NO EXEMPTION"))),"")</f>
        <v/>
      </c>
    </row>
    <row r="2395" spans="46:54" x14ac:dyDescent="0.25">
      <c r="AT2395" s="2" t="str">
        <f>IF($L2395="","",IFERROR(INDEX('AR SALES'!$H$2:$H$2501,MATCH(""&amp;$L2395,'AR SALES'!$AE$2:$AE$2501,0)),""))</f>
        <v/>
      </c>
      <c r="AU2395" s="2" t="str">
        <f t="shared" si="148"/>
        <v/>
      </c>
      <c r="AV2395" s="2" t="str">
        <f t="shared" si="149"/>
        <v/>
      </c>
      <c r="AW2395" s="2" t="str">
        <f t="shared" si="150"/>
        <v/>
      </c>
      <c r="AX2395" s="2" t="str">
        <f t="shared" si="151"/>
        <v/>
      </c>
      <c r="AY2395" s="2" t="str">
        <f>IF($AV2395="","",IF(AND($Z2395=0,COUNTIF('AR SALES'!$L$2:$L$2501,$L2395)=0),"YES",""))</f>
        <v/>
      </c>
      <c r="AZ2395" s="2" t="str">
        <f>IF($AV2395="","",IF(COUNTIF(LISTS!$C$2:$C$250,$AU2395)=0,"NEW",""))</f>
        <v/>
      </c>
      <c r="BA2395" s="2" t="str">
        <f>IF(""&amp;$F2395&lt;&gt;"4","",IF($AY2395="YES","",IF(ROUND(SUMIFS($AE$2:$AE$4001,$L$2:$L$4001,$L2395,$F$2:$F$4001,"4")-SUMIFS('AR SALES'!$Y$2:$Y$2501,'AR SALES'!$L$2:$L$2501,$L2395,'AR SALES'!$AD$2:$AD$2501,"OFF"),2)=0,"","STALE")))</f>
        <v/>
      </c>
      <c r="BB2395" s="2" t="str">
        <f>IF(OR(""&amp;$F2395="2",""&amp;$F2395="4",""&amp;$F2395="G",""&amp;$F2395="H"),IF($AY2395="YES","",IF($AB2395&lt;&gt;0,"",IF(COUNTIFS('AR SALES'!$L$2:$L$2501,$L2395,'AR SALES'!$AD$2:$AD$2501,IF(""&amp;$F2395="4","OFF","ON"),'AR SALES'!$AF$2:$AF$2501,"Y")&gt;0,"","NO EXEMPTION"))),"")</f>
        <v/>
      </c>
    </row>
    <row r="2396" spans="46:54" x14ac:dyDescent="0.25">
      <c r="AT2396" s="2" t="str">
        <f>IF($L2396="","",IFERROR(INDEX('AR SALES'!$H$2:$H$2501,MATCH(""&amp;$L2396,'AR SALES'!$AE$2:$AE$2501,0)),""))</f>
        <v/>
      </c>
      <c r="AU2396" s="2" t="str">
        <f t="shared" si="148"/>
        <v/>
      </c>
      <c r="AV2396" s="2" t="str">
        <f t="shared" si="149"/>
        <v/>
      </c>
      <c r="AW2396" s="2" t="str">
        <f t="shared" si="150"/>
        <v/>
      </c>
      <c r="AX2396" s="2" t="str">
        <f t="shared" si="151"/>
        <v/>
      </c>
      <c r="AY2396" s="2" t="str">
        <f>IF($AV2396="","",IF(AND($Z2396=0,COUNTIF('AR SALES'!$L$2:$L$2501,$L2396)=0),"YES",""))</f>
        <v/>
      </c>
      <c r="AZ2396" s="2" t="str">
        <f>IF($AV2396="","",IF(COUNTIF(LISTS!$C$2:$C$250,$AU2396)=0,"NEW",""))</f>
        <v/>
      </c>
      <c r="BA2396" s="2" t="str">
        <f>IF(""&amp;$F2396&lt;&gt;"4","",IF($AY2396="YES","",IF(ROUND(SUMIFS($AE$2:$AE$4001,$L$2:$L$4001,$L2396,$F$2:$F$4001,"4")-SUMIFS('AR SALES'!$Y$2:$Y$2501,'AR SALES'!$L$2:$L$2501,$L2396,'AR SALES'!$AD$2:$AD$2501,"OFF"),2)=0,"","STALE")))</f>
        <v/>
      </c>
      <c r="BB2396" s="2" t="str">
        <f>IF(OR(""&amp;$F2396="2",""&amp;$F2396="4",""&amp;$F2396="G",""&amp;$F2396="H"),IF($AY2396="YES","",IF($AB2396&lt;&gt;0,"",IF(COUNTIFS('AR SALES'!$L$2:$L$2501,$L2396,'AR SALES'!$AD$2:$AD$2501,IF(""&amp;$F2396="4","OFF","ON"),'AR SALES'!$AF$2:$AF$2501,"Y")&gt;0,"","NO EXEMPTION"))),"")</f>
        <v/>
      </c>
    </row>
    <row r="2397" spans="46:54" x14ac:dyDescent="0.25">
      <c r="AT2397" s="2" t="str">
        <f>IF($L2397="","",IFERROR(INDEX('AR SALES'!$H$2:$H$2501,MATCH(""&amp;$L2397,'AR SALES'!$AE$2:$AE$2501,0)),""))</f>
        <v/>
      </c>
      <c r="AU2397" s="2" t="str">
        <f t="shared" si="148"/>
        <v/>
      </c>
      <c r="AV2397" s="2" t="str">
        <f t="shared" si="149"/>
        <v/>
      </c>
      <c r="AW2397" s="2" t="str">
        <f t="shared" si="150"/>
        <v/>
      </c>
      <c r="AX2397" s="2" t="str">
        <f t="shared" si="151"/>
        <v/>
      </c>
      <c r="AY2397" s="2" t="str">
        <f>IF($AV2397="","",IF(AND($Z2397=0,COUNTIF('AR SALES'!$L$2:$L$2501,$L2397)=0),"YES",""))</f>
        <v/>
      </c>
      <c r="AZ2397" s="2" t="str">
        <f>IF($AV2397="","",IF(COUNTIF(LISTS!$C$2:$C$250,$AU2397)=0,"NEW",""))</f>
        <v/>
      </c>
      <c r="BA2397" s="2" t="str">
        <f>IF(""&amp;$F2397&lt;&gt;"4","",IF($AY2397="YES","",IF(ROUND(SUMIFS($AE$2:$AE$4001,$L$2:$L$4001,$L2397,$F$2:$F$4001,"4")-SUMIFS('AR SALES'!$Y$2:$Y$2501,'AR SALES'!$L$2:$L$2501,$L2397,'AR SALES'!$AD$2:$AD$2501,"OFF"),2)=0,"","STALE")))</f>
        <v/>
      </c>
      <c r="BB2397" s="2" t="str">
        <f>IF(OR(""&amp;$F2397="2",""&amp;$F2397="4",""&amp;$F2397="G",""&amp;$F2397="H"),IF($AY2397="YES","",IF($AB2397&lt;&gt;0,"",IF(COUNTIFS('AR SALES'!$L$2:$L$2501,$L2397,'AR SALES'!$AD$2:$AD$2501,IF(""&amp;$F2397="4","OFF","ON"),'AR SALES'!$AF$2:$AF$2501,"Y")&gt;0,"","NO EXEMPTION"))),"")</f>
        <v/>
      </c>
    </row>
    <row r="2398" spans="46:54" x14ac:dyDescent="0.25">
      <c r="AT2398" s="2" t="str">
        <f>IF($L2398="","",IFERROR(INDEX('AR SALES'!$H$2:$H$2501,MATCH(""&amp;$L2398,'AR SALES'!$AE$2:$AE$2501,0)),""))</f>
        <v/>
      </c>
      <c r="AU2398" s="2" t="str">
        <f t="shared" si="148"/>
        <v/>
      </c>
      <c r="AV2398" s="2" t="str">
        <f t="shared" si="149"/>
        <v/>
      </c>
      <c r="AW2398" s="2" t="str">
        <f t="shared" si="150"/>
        <v/>
      </c>
      <c r="AX2398" s="2" t="str">
        <f t="shared" si="151"/>
        <v/>
      </c>
      <c r="AY2398" s="2" t="str">
        <f>IF($AV2398="","",IF(AND($Z2398=0,COUNTIF('AR SALES'!$L$2:$L$2501,$L2398)=0),"YES",""))</f>
        <v/>
      </c>
      <c r="AZ2398" s="2" t="str">
        <f>IF($AV2398="","",IF(COUNTIF(LISTS!$C$2:$C$250,$AU2398)=0,"NEW",""))</f>
        <v/>
      </c>
      <c r="BA2398" s="2" t="str">
        <f>IF(""&amp;$F2398&lt;&gt;"4","",IF($AY2398="YES","",IF(ROUND(SUMIFS($AE$2:$AE$4001,$L$2:$L$4001,$L2398,$F$2:$F$4001,"4")-SUMIFS('AR SALES'!$Y$2:$Y$2501,'AR SALES'!$L$2:$L$2501,$L2398,'AR SALES'!$AD$2:$AD$2501,"OFF"),2)=0,"","STALE")))</f>
        <v/>
      </c>
      <c r="BB2398" s="2" t="str">
        <f>IF(OR(""&amp;$F2398="2",""&amp;$F2398="4",""&amp;$F2398="G",""&amp;$F2398="H"),IF($AY2398="YES","",IF($AB2398&lt;&gt;0,"",IF(COUNTIFS('AR SALES'!$L$2:$L$2501,$L2398,'AR SALES'!$AD$2:$AD$2501,IF(""&amp;$F2398="4","OFF","ON"),'AR SALES'!$AF$2:$AF$2501,"Y")&gt;0,"","NO EXEMPTION"))),"")</f>
        <v/>
      </c>
    </row>
    <row r="2399" spans="46:54" x14ac:dyDescent="0.25">
      <c r="AT2399" s="2" t="str">
        <f>IF($L2399="","",IFERROR(INDEX('AR SALES'!$H$2:$H$2501,MATCH(""&amp;$L2399,'AR SALES'!$AE$2:$AE$2501,0)),""))</f>
        <v/>
      </c>
      <c r="AU2399" s="2" t="str">
        <f t="shared" si="148"/>
        <v/>
      </c>
      <c r="AV2399" s="2" t="str">
        <f t="shared" si="149"/>
        <v/>
      </c>
      <c r="AW2399" s="2" t="str">
        <f t="shared" si="150"/>
        <v/>
      </c>
      <c r="AX2399" s="2" t="str">
        <f t="shared" si="151"/>
        <v/>
      </c>
      <c r="AY2399" s="2" t="str">
        <f>IF($AV2399="","",IF(AND($Z2399=0,COUNTIF('AR SALES'!$L$2:$L$2501,$L2399)=0),"YES",""))</f>
        <v/>
      </c>
      <c r="AZ2399" s="2" t="str">
        <f>IF($AV2399="","",IF(COUNTIF(LISTS!$C$2:$C$250,$AU2399)=0,"NEW",""))</f>
        <v/>
      </c>
      <c r="BA2399" s="2" t="str">
        <f>IF(""&amp;$F2399&lt;&gt;"4","",IF($AY2399="YES","",IF(ROUND(SUMIFS($AE$2:$AE$4001,$L$2:$L$4001,$L2399,$F$2:$F$4001,"4")-SUMIFS('AR SALES'!$Y$2:$Y$2501,'AR SALES'!$L$2:$L$2501,$L2399,'AR SALES'!$AD$2:$AD$2501,"OFF"),2)=0,"","STALE")))</f>
        <v/>
      </c>
      <c r="BB2399" s="2" t="str">
        <f>IF(OR(""&amp;$F2399="2",""&amp;$F2399="4",""&amp;$F2399="G",""&amp;$F2399="H"),IF($AY2399="YES","",IF($AB2399&lt;&gt;0,"",IF(COUNTIFS('AR SALES'!$L$2:$L$2501,$L2399,'AR SALES'!$AD$2:$AD$2501,IF(""&amp;$F2399="4","OFF","ON"),'AR SALES'!$AF$2:$AF$2501,"Y")&gt;0,"","NO EXEMPTION"))),"")</f>
        <v/>
      </c>
    </row>
    <row r="2400" spans="46:54" x14ac:dyDescent="0.25">
      <c r="AT2400" s="2" t="str">
        <f>IF($L2400="","",IFERROR(INDEX('AR SALES'!$H$2:$H$2501,MATCH(""&amp;$L2400,'AR SALES'!$AE$2:$AE$2501,0)),""))</f>
        <v/>
      </c>
      <c r="AU2400" s="2" t="str">
        <f t="shared" si="148"/>
        <v/>
      </c>
      <c r="AV2400" s="2" t="str">
        <f t="shared" si="149"/>
        <v/>
      </c>
      <c r="AW2400" s="2" t="str">
        <f t="shared" si="150"/>
        <v/>
      </c>
      <c r="AX2400" s="2" t="str">
        <f t="shared" si="151"/>
        <v/>
      </c>
      <c r="AY2400" s="2" t="str">
        <f>IF($AV2400="","",IF(AND($Z2400=0,COUNTIF('AR SALES'!$L$2:$L$2501,$L2400)=0),"YES",""))</f>
        <v/>
      </c>
      <c r="AZ2400" s="2" t="str">
        <f>IF($AV2400="","",IF(COUNTIF(LISTS!$C$2:$C$250,$AU2400)=0,"NEW",""))</f>
        <v/>
      </c>
      <c r="BA2400" s="2" t="str">
        <f>IF(""&amp;$F2400&lt;&gt;"4","",IF($AY2400="YES","",IF(ROUND(SUMIFS($AE$2:$AE$4001,$L$2:$L$4001,$L2400,$F$2:$F$4001,"4")-SUMIFS('AR SALES'!$Y$2:$Y$2501,'AR SALES'!$L$2:$L$2501,$L2400,'AR SALES'!$AD$2:$AD$2501,"OFF"),2)=0,"","STALE")))</f>
        <v/>
      </c>
      <c r="BB2400" s="2" t="str">
        <f>IF(OR(""&amp;$F2400="2",""&amp;$F2400="4",""&amp;$F2400="G",""&amp;$F2400="H"),IF($AY2400="YES","",IF($AB2400&lt;&gt;0,"",IF(COUNTIFS('AR SALES'!$L$2:$L$2501,$L2400,'AR SALES'!$AD$2:$AD$2501,IF(""&amp;$F2400="4","OFF","ON"),'AR SALES'!$AF$2:$AF$2501,"Y")&gt;0,"","NO EXEMPTION"))),"")</f>
        <v/>
      </c>
    </row>
    <row r="2401" spans="46:54" x14ac:dyDescent="0.25">
      <c r="AT2401" s="2" t="str">
        <f>IF($L2401="","",IFERROR(INDEX('AR SALES'!$H$2:$H$2501,MATCH(""&amp;$L2401,'AR SALES'!$AE$2:$AE$2501,0)),""))</f>
        <v/>
      </c>
      <c r="AU2401" s="2" t="str">
        <f t="shared" si="148"/>
        <v/>
      </c>
      <c r="AV2401" s="2" t="str">
        <f t="shared" si="149"/>
        <v/>
      </c>
      <c r="AW2401" s="2" t="str">
        <f t="shared" si="150"/>
        <v/>
      </c>
      <c r="AX2401" s="2" t="str">
        <f t="shared" si="151"/>
        <v/>
      </c>
      <c r="AY2401" s="2" t="str">
        <f>IF($AV2401="","",IF(AND($Z2401=0,COUNTIF('AR SALES'!$L$2:$L$2501,$L2401)=0),"YES",""))</f>
        <v/>
      </c>
      <c r="AZ2401" s="2" t="str">
        <f>IF($AV2401="","",IF(COUNTIF(LISTS!$C$2:$C$250,$AU2401)=0,"NEW",""))</f>
        <v/>
      </c>
      <c r="BA2401" s="2" t="str">
        <f>IF(""&amp;$F2401&lt;&gt;"4","",IF($AY2401="YES","",IF(ROUND(SUMIFS($AE$2:$AE$4001,$L$2:$L$4001,$L2401,$F$2:$F$4001,"4")-SUMIFS('AR SALES'!$Y$2:$Y$2501,'AR SALES'!$L$2:$L$2501,$L2401,'AR SALES'!$AD$2:$AD$2501,"OFF"),2)=0,"","STALE")))</f>
        <v/>
      </c>
      <c r="BB2401" s="2" t="str">
        <f>IF(OR(""&amp;$F2401="2",""&amp;$F2401="4",""&amp;$F2401="G",""&amp;$F2401="H"),IF($AY2401="YES","",IF($AB2401&lt;&gt;0,"",IF(COUNTIFS('AR SALES'!$L$2:$L$2501,$L2401,'AR SALES'!$AD$2:$AD$2501,IF(""&amp;$F2401="4","OFF","ON"),'AR SALES'!$AF$2:$AF$2501,"Y")&gt;0,"","NO EXEMPTION"))),"")</f>
        <v/>
      </c>
    </row>
    <row r="2402" spans="46:54" x14ac:dyDescent="0.25">
      <c r="AT2402" s="2" t="str">
        <f>IF($L2402="","",IFERROR(INDEX('AR SALES'!$H$2:$H$2501,MATCH(""&amp;$L2402,'AR SALES'!$AE$2:$AE$2501,0)),""))</f>
        <v/>
      </c>
      <c r="AU2402" s="2" t="str">
        <f t="shared" si="148"/>
        <v/>
      </c>
      <c r="AV2402" s="2" t="str">
        <f t="shared" si="149"/>
        <v/>
      </c>
      <c r="AW2402" s="2" t="str">
        <f t="shared" si="150"/>
        <v/>
      </c>
      <c r="AX2402" s="2" t="str">
        <f t="shared" si="151"/>
        <v/>
      </c>
      <c r="AY2402" s="2" t="str">
        <f>IF($AV2402="","",IF(AND($Z2402=0,COUNTIF('AR SALES'!$L$2:$L$2501,$L2402)=0),"YES",""))</f>
        <v/>
      </c>
      <c r="AZ2402" s="2" t="str">
        <f>IF($AV2402="","",IF(COUNTIF(LISTS!$C$2:$C$250,$AU2402)=0,"NEW",""))</f>
        <v/>
      </c>
      <c r="BA2402" s="2" t="str">
        <f>IF(""&amp;$F2402&lt;&gt;"4","",IF($AY2402="YES","",IF(ROUND(SUMIFS($AE$2:$AE$4001,$L$2:$L$4001,$L2402,$F$2:$F$4001,"4")-SUMIFS('AR SALES'!$Y$2:$Y$2501,'AR SALES'!$L$2:$L$2501,$L2402,'AR SALES'!$AD$2:$AD$2501,"OFF"),2)=0,"","STALE")))</f>
        <v/>
      </c>
      <c r="BB2402" s="2" t="str">
        <f>IF(OR(""&amp;$F2402="2",""&amp;$F2402="4",""&amp;$F2402="G",""&amp;$F2402="H"),IF($AY2402="YES","",IF($AB2402&lt;&gt;0,"",IF(COUNTIFS('AR SALES'!$L$2:$L$2501,$L2402,'AR SALES'!$AD$2:$AD$2501,IF(""&amp;$F2402="4","OFF","ON"),'AR SALES'!$AF$2:$AF$2501,"Y")&gt;0,"","NO EXEMPTION"))),"")</f>
        <v/>
      </c>
    </row>
    <row r="2403" spans="46:54" x14ac:dyDescent="0.25">
      <c r="AT2403" s="2" t="str">
        <f>IF($L2403="","",IFERROR(INDEX('AR SALES'!$H$2:$H$2501,MATCH(""&amp;$L2403,'AR SALES'!$AE$2:$AE$2501,0)),""))</f>
        <v/>
      </c>
      <c r="AU2403" s="2" t="str">
        <f t="shared" si="148"/>
        <v/>
      </c>
      <c r="AV2403" s="2" t="str">
        <f t="shared" si="149"/>
        <v/>
      </c>
      <c r="AW2403" s="2" t="str">
        <f t="shared" si="150"/>
        <v/>
      </c>
      <c r="AX2403" s="2" t="str">
        <f t="shared" si="151"/>
        <v/>
      </c>
      <c r="AY2403" s="2" t="str">
        <f>IF($AV2403="","",IF(AND($Z2403=0,COUNTIF('AR SALES'!$L$2:$L$2501,$L2403)=0),"YES",""))</f>
        <v/>
      </c>
      <c r="AZ2403" s="2" t="str">
        <f>IF($AV2403="","",IF(COUNTIF(LISTS!$C$2:$C$250,$AU2403)=0,"NEW",""))</f>
        <v/>
      </c>
      <c r="BA2403" s="2" t="str">
        <f>IF(""&amp;$F2403&lt;&gt;"4","",IF($AY2403="YES","",IF(ROUND(SUMIFS($AE$2:$AE$4001,$L$2:$L$4001,$L2403,$F$2:$F$4001,"4")-SUMIFS('AR SALES'!$Y$2:$Y$2501,'AR SALES'!$L$2:$L$2501,$L2403,'AR SALES'!$AD$2:$AD$2501,"OFF"),2)=0,"","STALE")))</f>
        <v/>
      </c>
      <c r="BB2403" s="2" t="str">
        <f>IF(OR(""&amp;$F2403="2",""&amp;$F2403="4",""&amp;$F2403="G",""&amp;$F2403="H"),IF($AY2403="YES","",IF($AB2403&lt;&gt;0,"",IF(COUNTIFS('AR SALES'!$L$2:$L$2501,$L2403,'AR SALES'!$AD$2:$AD$2501,IF(""&amp;$F2403="4","OFF","ON"),'AR SALES'!$AF$2:$AF$2501,"Y")&gt;0,"","NO EXEMPTION"))),"")</f>
        <v/>
      </c>
    </row>
    <row r="2404" spans="46:54" x14ac:dyDescent="0.25">
      <c r="AT2404" s="2" t="str">
        <f>IF($L2404="","",IFERROR(INDEX('AR SALES'!$H$2:$H$2501,MATCH(""&amp;$L2404,'AR SALES'!$AE$2:$AE$2501,0)),""))</f>
        <v/>
      </c>
      <c r="AU2404" s="2" t="str">
        <f t="shared" si="148"/>
        <v/>
      </c>
      <c r="AV2404" s="2" t="str">
        <f t="shared" si="149"/>
        <v/>
      </c>
      <c r="AW2404" s="2" t="str">
        <f t="shared" si="150"/>
        <v/>
      </c>
      <c r="AX2404" s="2" t="str">
        <f t="shared" si="151"/>
        <v/>
      </c>
      <c r="AY2404" s="2" t="str">
        <f>IF($AV2404="","",IF(AND($Z2404=0,COUNTIF('AR SALES'!$L$2:$L$2501,$L2404)=0),"YES",""))</f>
        <v/>
      </c>
      <c r="AZ2404" s="2" t="str">
        <f>IF($AV2404="","",IF(COUNTIF(LISTS!$C$2:$C$250,$AU2404)=0,"NEW",""))</f>
        <v/>
      </c>
      <c r="BA2404" s="2" t="str">
        <f>IF(""&amp;$F2404&lt;&gt;"4","",IF($AY2404="YES","",IF(ROUND(SUMIFS($AE$2:$AE$4001,$L$2:$L$4001,$L2404,$F$2:$F$4001,"4")-SUMIFS('AR SALES'!$Y$2:$Y$2501,'AR SALES'!$L$2:$L$2501,$L2404,'AR SALES'!$AD$2:$AD$2501,"OFF"),2)=0,"","STALE")))</f>
        <v/>
      </c>
      <c r="BB2404" s="2" t="str">
        <f>IF(OR(""&amp;$F2404="2",""&amp;$F2404="4",""&amp;$F2404="G",""&amp;$F2404="H"),IF($AY2404="YES","",IF($AB2404&lt;&gt;0,"",IF(COUNTIFS('AR SALES'!$L$2:$L$2501,$L2404,'AR SALES'!$AD$2:$AD$2501,IF(""&amp;$F2404="4","OFF","ON"),'AR SALES'!$AF$2:$AF$2501,"Y")&gt;0,"","NO EXEMPTION"))),"")</f>
        <v/>
      </c>
    </row>
    <row r="2405" spans="46:54" x14ac:dyDescent="0.25">
      <c r="AT2405" s="2" t="str">
        <f>IF($L2405="","",IFERROR(INDEX('AR SALES'!$H$2:$H$2501,MATCH(""&amp;$L2405,'AR SALES'!$AE$2:$AE$2501,0)),""))</f>
        <v/>
      </c>
      <c r="AU2405" s="2" t="str">
        <f t="shared" si="148"/>
        <v/>
      </c>
      <c r="AV2405" s="2" t="str">
        <f t="shared" si="149"/>
        <v/>
      </c>
      <c r="AW2405" s="2" t="str">
        <f t="shared" si="150"/>
        <v/>
      </c>
      <c r="AX2405" s="2" t="str">
        <f t="shared" si="151"/>
        <v/>
      </c>
      <c r="AY2405" s="2" t="str">
        <f>IF($AV2405="","",IF(AND($Z2405=0,COUNTIF('AR SALES'!$L$2:$L$2501,$L2405)=0),"YES",""))</f>
        <v/>
      </c>
      <c r="AZ2405" s="2" t="str">
        <f>IF($AV2405="","",IF(COUNTIF(LISTS!$C$2:$C$250,$AU2405)=0,"NEW",""))</f>
        <v/>
      </c>
      <c r="BA2405" s="2" t="str">
        <f>IF(""&amp;$F2405&lt;&gt;"4","",IF($AY2405="YES","",IF(ROUND(SUMIFS($AE$2:$AE$4001,$L$2:$L$4001,$L2405,$F$2:$F$4001,"4")-SUMIFS('AR SALES'!$Y$2:$Y$2501,'AR SALES'!$L$2:$L$2501,$L2405,'AR SALES'!$AD$2:$AD$2501,"OFF"),2)=0,"","STALE")))</f>
        <v/>
      </c>
      <c r="BB2405" s="2" t="str">
        <f>IF(OR(""&amp;$F2405="2",""&amp;$F2405="4",""&amp;$F2405="G",""&amp;$F2405="H"),IF($AY2405="YES","",IF($AB2405&lt;&gt;0,"",IF(COUNTIFS('AR SALES'!$L$2:$L$2501,$L2405,'AR SALES'!$AD$2:$AD$2501,IF(""&amp;$F2405="4","OFF","ON"),'AR SALES'!$AF$2:$AF$2501,"Y")&gt;0,"","NO EXEMPTION"))),"")</f>
        <v/>
      </c>
    </row>
    <row r="2406" spans="46:54" x14ac:dyDescent="0.25">
      <c r="AT2406" s="2" t="str">
        <f>IF($L2406="","",IFERROR(INDEX('AR SALES'!$H$2:$H$2501,MATCH(""&amp;$L2406,'AR SALES'!$AE$2:$AE$2501,0)),""))</f>
        <v/>
      </c>
      <c r="AU2406" s="2" t="str">
        <f t="shared" si="148"/>
        <v/>
      </c>
      <c r="AV2406" s="2" t="str">
        <f t="shared" si="149"/>
        <v/>
      </c>
      <c r="AW2406" s="2" t="str">
        <f t="shared" si="150"/>
        <v/>
      </c>
      <c r="AX2406" s="2" t="str">
        <f t="shared" si="151"/>
        <v/>
      </c>
      <c r="AY2406" s="2" t="str">
        <f>IF($AV2406="","",IF(AND($Z2406=0,COUNTIF('AR SALES'!$L$2:$L$2501,$L2406)=0),"YES",""))</f>
        <v/>
      </c>
      <c r="AZ2406" s="2" t="str">
        <f>IF($AV2406="","",IF(COUNTIF(LISTS!$C$2:$C$250,$AU2406)=0,"NEW",""))</f>
        <v/>
      </c>
      <c r="BA2406" s="2" t="str">
        <f>IF(""&amp;$F2406&lt;&gt;"4","",IF($AY2406="YES","",IF(ROUND(SUMIFS($AE$2:$AE$4001,$L$2:$L$4001,$L2406,$F$2:$F$4001,"4")-SUMIFS('AR SALES'!$Y$2:$Y$2501,'AR SALES'!$L$2:$L$2501,$L2406,'AR SALES'!$AD$2:$AD$2501,"OFF"),2)=0,"","STALE")))</f>
        <v/>
      </c>
      <c r="BB2406" s="2" t="str">
        <f>IF(OR(""&amp;$F2406="2",""&amp;$F2406="4",""&amp;$F2406="G",""&amp;$F2406="H"),IF($AY2406="YES","",IF($AB2406&lt;&gt;0,"",IF(COUNTIFS('AR SALES'!$L$2:$L$2501,$L2406,'AR SALES'!$AD$2:$AD$2501,IF(""&amp;$F2406="4","OFF","ON"),'AR SALES'!$AF$2:$AF$2501,"Y")&gt;0,"","NO EXEMPTION"))),"")</f>
        <v/>
      </c>
    </row>
    <row r="2407" spans="46:54" x14ac:dyDescent="0.25">
      <c r="AT2407" s="2" t="str">
        <f>IF($L2407="","",IFERROR(INDEX('AR SALES'!$H$2:$H$2501,MATCH(""&amp;$L2407,'AR SALES'!$AE$2:$AE$2501,0)),""))</f>
        <v/>
      </c>
      <c r="AU2407" s="2" t="str">
        <f t="shared" si="148"/>
        <v/>
      </c>
      <c r="AV2407" s="2" t="str">
        <f t="shared" si="149"/>
        <v/>
      </c>
      <c r="AW2407" s="2" t="str">
        <f t="shared" si="150"/>
        <v/>
      </c>
      <c r="AX2407" s="2" t="str">
        <f t="shared" si="151"/>
        <v/>
      </c>
      <c r="AY2407" s="2" t="str">
        <f>IF($AV2407="","",IF(AND($Z2407=0,COUNTIF('AR SALES'!$L$2:$L$2501,$L2407)=0),"YES",""))</f>
        <v/>
      </c>
      <c r="AZ2407" s="2" t="str">
        <f>IF($AV2407="","",IF(COUNTIF(LISTS!$C$2:$C$250,$AU2407)=0,"NEW",""))</f>
        <v/>
      </c>
      <c r="BA2407" s="2" t="str">
        <f>IF(""&amp;$F2407&lt;&gt;"4","",IF($AY2407="YES","",IF(ROUND(SUMIFS($AE$2:$AE$4001,$L$2:$L$4001,$L2407,$F$2:$F$4001,"4")-SUMIFS('AR SALES'!$Y$2:$Y$2501,'AR SALES'!$L$2:$L$2501,$L2407,'AR SALES'!$AD$2:$AD$2501,"OFF"),2)=0,"","STALE")))</f>
        <v/>
      </c>
      <c r="BB2407" s="2" t="str">
        <f>IF(OR(""&amp;$F2407="2",""&amp;$F2407="4",""&amp;$F2407="G",""&amp;$F2407="H"),IF($AY2407="YES","",IF($AB2407&lt;&gt;0,"",IF(COUNTIFS('AR SALES'!$L$2:$L$2501,$L2407,'AR SALES'!$AD$2:$AD$2501,IF(""&amp;$F2407="4","OFF","ON"),'AR SALES'!$AF$2:$AF$2501,"Y")&gt;0,"","NO EXEMPTION"))),"")</f>
        <v/>
      </c>
    </row>
    <row r="2408" spans="46:54" x14ac:dyDescent="0.25">
      <c r="AT2408" s="2" t="str">
        <f>IF($L2408="","",IFERROR(INDEX('AR SALES'!$H$2:$H$2501,MATCH(""&amp;$L2408,'AR SALES'!$AE$2:$AE$2501,0)),""))</f>
        <v/>
      </c>
      <c r="AU2408" s="2" t="str">
        <f t="shared" si="148"/>
        <v/>
      </c>
      <c r="AV2408" s="2" t="str">
        <f t="shared" si="149"/>
        <v/>
      </c>
      <c r="AW2408" s="2" t="str">
        <f t="shared" si="150"/>
        <v/>
      </c>
      <c r="AX2408" s="2" t="str">
        <f t="shared" si="151"/>
        <v/>
      </c>
      <c r="AY2408" s="2" t="str">
        <f>IF($AV2408="","",IF(AND($Z2408=0,COUNTIF('AR SALES'!$L$2:$L$2501,$L2408)=0),"YES",""))</f>
        <v/>
      </c>
      <c r="AZ2408" s="2" t="str">
        <f>IF($AV2408="","",IF(COUNTIF(LISTS!$C$2:$C$250,$AU2408)=0,"NEW",""))</f>
        <v/>
      </c>
      <c r="BA2408" s="2" t="str">
        <f>IF(""&amp;$F2408&lt;&gt;"4","",IF($AY2408="YES","",IF(ROUND(SUMIFS($AE$2:$AE$4001,$L$2:$L$4001,$L2408,$F$2:$F$4001,"4")-SUMIFS('AR SALES'!$Y$2:$Y$2501,'AR SALES'!$L$2:$L$2501,$L2408,'AR SALES'!$AD$2:$AD$2501,"OFF"),2)=0,"","STALE")))</f>
        <v/>
      </c>
      <c r="BB2408" s="2" t="str">
        <f>IF(OR(""&amp;$F2408="2",""&amp;$F2408="4",""&amp;$F2408="G",""&amp;$F2408="H"),IF($AY2408="YES","",IF($AB2408&lt;&gt;0,"",IF(COUNTIFS('AR SALES'!$L$2:$L$2501,$L2408,'AR SALES'!$AD$2:$AD$2501,IF(""&amp;$F2408="4","OFF","ON"),'AR SALES'!$AF$2:$AF$2501,"Y")&gt;0,"","NO EXEMPTION"))),"")</f>
        <v/>
      </c>
    </row>
    <row r="2409" spans="46:54" x14ac:dyDescent="0.25">
      <c r="AT2409" s="2" t="str">
        <f>IF($L2409="","",IFERROR(INDEX('AR SALES'!$H$2:$H$2501,MATCH(""&amp;$L2409,'AR SALES'!$AE$2:$AE$2501,0)),""))</f>
        <v/>
      </c>
      <c r="AU2409" s="2" t="str">
        <f t="shared" si="148"/>
        <v/>
      </c>
      <c r="AV2409" s="2" t="str">
        <f t="shared" si="149"/>
        <v/>
      </c>
      <c r="AW2409" s="2" t="str">
        <f t="shared" si="150"/>
        <v/>
      </c>
      <c r="AX2409" s="2" t="str">
        <f t="shared" si="151"/>
        <v/>
      </c>
      <c r="AY2409" s="2" t="str">
        <f>IF($AV2409="","",IF(AND($Z2409=0,COUNTIF('AR SALES'!$L$2:$L$2501,$L2409)=0),"YES",""))</f>
        <v/>
      </c>
      <c r="AZ2409" s="2" t="str">
        <f>IF($AV2409="","",IF(COUNTIF(LISTS!$C$2:$C$250,$AU2409)=0,"NEW",""))</f>
        <v/>
      </c>
      <c r="BA2409" s="2" t="str">
        <f>IF(""&amp;$F2409&lt;&gt;"4","",IF($AY2409="YES","",IF(ROUND(SUMIFS($AE$2:$AE$4001,$L$2:$L$4001,$L2409,$F$2:$F$4001,"4")-SUMIFS('AR SALES'!$Y$2:$Y$2501,'AR SALES'!$L$2:$L$2501,$L2409,'AR SALES'!$AD$2:$AD$2501,"OFF"),2)=0,"","STALE")))</f>
        <v/>
      </c>
      <c r="BB2409" s="2" t="str">
        <f>IF(OR(""&amp;$F2409="2",""&amp;$F2409="4",""&amp;$F2409="G",""&amp;$F2409="H"),IF($AY2409="YES","",IF($AB2409&lt;&gt;0,"",IF(COUNTIFS('AR SALES'!$L$2:$L$2501,$L2409,'AR SALES'!$AD$2:$AD$2501,IF(""&amp;$F2409="4","OFF","ON"),'AR SALES'!$AF$2:$AF$2501,"Y")&gt;0,"","NO EXEMPTION"))),"")</f>
        <v/>
      </c>
    </row>
    <row r="2410" spans="46:54" x14ac:dyDescent="0.25">
      <c r="AT2410" s="2" t="str">
        <f>IF($L2410="","",IFERROR(INDEX('AR SALES'!$H$2:$H$2501,MATCH(""&amp;$L2410,'AR SALES'!$AE$2:$AE$2501,0)),""))</f>
        <v/>
      </c>
      <c r="AU2410" s="2" t="str">
        <f t="shared" si="148"/>
        <v/>
      </c>
      <c r="AV2410" s="2" t="str">
        <f t="shared" si="149"/>
        <v/>
      </c>
      <c r="AW2410" s="2" t="str">
        <f t="shared" si="150"/>
        <v/>
      </c>
      <c r="AX2410" s="2" t="str">
        <f t="shared" si="151"/>
        <v/>
      </c>
      <c r="AY2410" s="2" t="str">
        <f>IF($AV2410="","",IF(AND($Z2410=0,COUNTIF('AR SALES'!$L$2:$L$2501,$L2410)=0),"YES",""))</f>
        <v/>
      </c>
      <c r="AZ2410" s="2" t="str">
        <f>IF($AV2410="","",IF(COUNTIF(LISTS!$C$2:$C$250,$AU2410)=0,"NEW",""))</f>
        <v/>
      </c>
      <c r="BA2410" s="2" t="str">
        <f>IF(""&amp;$F2410&lt;&gt;"4","",IF($AY2410="YES","",IF(ROUND(SUMIFS($AE$2:$AE$4001,$L$2:$L$4001,$L2410,$F$2:$F$4001,"4")-SUMIFS('AR SALES'!$Y$2:$Y$2501,'AR SALES'!$L$2:$L$2501,$L2410,'AR SALES'!$AD$2:$AD$2501,"OFF"),2)=0,"","STALE")))</f>
        <v/>
      </c>
      <c r="BB2410" s="2" t="str">
        <f>IF(OR(""&amp;$F2410="2",""&amp;$F2410="4",""&amp;$F2410="G",""&amp;$F2410="H"),IF($AY2410="YES","",IF($AB2410&lt;&gt;0,"",IF(COUNTIFS('AR SALES'!$L$2:$L$2501,$L2410,'AR SALES'!$AD$2:$AD$2501,IF(""&amp;$F2410="4","OFF","ON"),'AR SALES'!$AF$2:$AF$2501,"Y")&gt;0,"","NO EXEMPTION"))),"")</f>
        <v/>
      </c>
    </row>
    <row r="2411" spans="46:54" x14ac:dyDescent="0.25">
      <c r="AT2411" s="2" t="str">
        <f>IF($L2411="","",IFERROR(INDEX('AR SALES'!$H$2:$H$2501,MATCH(""&amp;$L2411,'AR SALES'!$AE$2:$AE$2501,0)),""))</f>
        <v/>
      </c>
      <c r="AU2411" s="2" t="str">
        <f t="shared" si="148"/>
        <v/>
      </c>
      <c r="AV2411" s="2" t="str">
        <f t="shared" si="149"/>
        <v/>
      </c>
      <c r="AW2411" s="2" t="str">
        <f t="shared" si="150"/>
        <v/>
      </c>
      <c r="AX2411" s="2" t="str">
        <f t="shared" si="151"/>
        <v/>
      </c>
      <c r="AY2411" s="2" t="str">
        <f>IF($AV2411="","",IF(AND($Z2411=0,COUNTIF('AR SALES'!$L$2:$L$2501,$L2411)=0),"YES",""))</f>
        <v/>
      </c>
      <c r="AZ2411" s="2" t="str">
        <f>IF($AV2411="","",IF(COUNTIF(LISTS!$C$2:$C$250,$AU2411)=0,"NEW",""))</f>
        <v/>
      </c>
      <c r="BA2411" s="2" t="str">
        <f>IF(""&amp;$F2411&lt;&gt;"4","",IF($AY2411="YES","",IF(ROUND(SUMIFS($AE$2:$AE$4001,$L$2:$L$4001,$L2411,$F$2:$F$4001,"4")-SUMIFS('AR SALES'!$Y$2:$Y$2501,'AR SALES'!$L$2:$L$2501,$L2411,'AR SALES'!$AD$2:$AD$2501,"OFF"),2)=0,"","STALE")))</f>
        <v/>
      </c>
      <c r="BB2411" s="2" t="str">
        <f>IF(OR(""&amp;$F2411="2",""&amp;$F2411="4",""&amp;$F2411="G",""&amp;$F2411="H"),IF($AY2411="YES","",IF($AB2411&lt;&gt;0,"",IF(COUNTIFS('AR SALES'!$L$2:$L$2501,$L2411,'AR SALES'!$AD$2:$AD$2501,IF(""&amp;$F2411="4","OFF","ON"),'AR SALES'!$AF$2:$AF$2501,"Y")&gt;0,"","NO EXEMPTION"))),"")</f>
        <v/>
      </c>
    </row>
    <row r="2412" spans="46:54" x14ac:dyDescent="0.25">
      <c r="AT2412" s="2" t="str">
        <f>IF($L2412="","",IFERROR(INDEX('AR SALES'!$H$2:$H$2501,MATCH(""&amp;$L2412,'AR SALES'!$AE$2:$AE$2501,0)),""))</f>
        <v/>
      </c>
      <c r="AU2412" s="2" t="str">
        <f t="shared" si="148"/>
        <v/>
      </c>
      <c r="AV2412" s="2" t="str">
        <f t="shared" si="149"/>
        <v/>
      </c>
      <c r="AW2412" s="2" t="str">
        <f t="shared" si="150"/>
        <v/>
      </c>
      <c r="AX2412" s="2" t="str">
        <f t="shared" si="151"/>
        <v/>
      </c>
      <c r="AY2412" s="2" t="str">
        <f>IF($AV2412="","",IF(AND($Z2412=0,COUNTIF('AR SALES'!$L$2:$L$2501,$L2412)=0),"YES",""))</f>
        <v/>
      </c>
      <c r="AZ2412" s="2" t="str">
        <f>IF($AV2412="","",IF(COUNTIF(LISTS!$C$2:$C$250,$AU2412)=0,"NEW",""))</f>
        <v/>
      </c>
      <c r="BA2412" s="2" t="str">
        <f>IF(""&amp;$F2412&lt;&gt;"4","",IF($AY2412="YES","",IF(ROUND(SUMIFS($AE$2:$AE$4001,$L$2:$L$4001,$L2412,$F$2:$F$4001,"4")-SUMIFS('AR SALES'!$Y$2:$Y$2501,'AR SALES'!$L$2:$L$2501,$L2412,'AR SALES'!$AD$2:$AD$2501,"OFF"),2)=0,"","STALE")))</f>
        <v/>
      </c>
      <c r="BB2412" s="2" t="str">
        <f>IF(OR(""&amp;$F2412="2",""&amp;$F2412="4",""&amp;$F2412="G",""&amp;$F2412="H"),IF($AY2412="YES","",IF($AB2412&lt;&gt;0,"",IF(COUNTIFS('AR SALES'!$L$2:$L$2501,$L2412,'AR SALES'!$AD$2:$AD$2501,IF(""&amp;$F2412="4","OFF","ON"),'AR SALES'!$AF$2:$AF$2501,"Y")&gt;0,"","NO EXEMPTION"))),"")</f>
        <v/>
      </c>
    </row>
    <row r="2413" spans="46:54" x14ac:dyDescent="0.25">
      <c r="AT2413" s="2" t="str">
        <f>IF($L2413="","",IFERROR(INDEX('AR SALES'!$H$2:$H$2501,MATCH(""&amp;$L2413,'AR SALES'!$AE$2:$AE$2501,0)),""))</f>
        <v/>
      </c>
      <c r="AU2413" s="2" t="str">
        <f t="shared" si="148"/>
        <v/>
      </c>
      <c r="AV2413" s="2" t="str">
        <f t="shared" si="149"/>
        <v/>
      </c>
      <c r="AW2413" s="2" t="str">
        <f t="shared" si="150"/>
        <v/>
      </c>
      <c r="AX2413" s="2" t="str">
        <f t="shared" si="151"/>
        <v/>
      </c>
      <c r="AY2413" s="2" t="str">
        <f>IF($AV2413="","",IF(AND($Z2413=0,COUNTIF('AR SALES'!$L$2:$L$2501,$L2413)=0),"YES",""))</f>
        <v/>
      </c>
      <c r="AZ2413" s="2" t="str">
        <f>IF($AV2413="","",IF(COUNTIF(LISTS!$C$2:$C$250,$AU2413)=0,"NEW",""))</f>
        <v/>
      </c>
      <c r="BA2413" s="2" t="str">
        <f>IF(""&amp;$F2413&lt;&gt;"4","",IF($AY2413="YES","",IF(ROUND(SUMIFS($AE$2:$AE$4001,$L$2:$L$4001,$L2413,$F$2:$F$4001,"4")-SUMIFS('AR SALES'!$Y$2:$Y$2501,'AR SALES'!$L$2:$L$2501,$L2413,'AR SALES'!$AD$2:$AD$2501,"OFF"),2)=0,"","STALE")))</f>
        <v/>
      </c>
      <c r="BB2413" s="2" t="str">
        <f>IF(OR(""&amp;$F2413="2",""&amp;$F2413="4",""&amp;$F2413="G",""&amp;$F2413="H"),IF($AY2413="YES","",IF($AB2413&lt;&gt;0,"",IF(COUNTIFS('AR SALES'!$L$2:$L$2501,$L2413,'AR SALES'!$AD$2:$AD$2501,IF(""&amp;$F2413="4","OFF","ON"),'AR SALES'!$AF$2:$AF$2501,"Y")&gt;0,"","NO EXEMPTION"))),"")</f>
        <v/>
      </c>
    </row>
    <row r="2414" spans="46:54" x14ac:dyDescent="0.25">
      <c r="AT2414" s="2" t="str">
        <f>IF($L2414="","",IFERROR(INDEX('AR SALES'!$H$2:$H$2501,MATCH(""&amp;$L2414,'AR SALES'!$AE$2:$AE$2501,0)),""))</f>
        <v/>
      </c>
      <c r="AU2414" s="2" t="str">
        <f t="shared" si="148"/>
        <v/>
      </c>
      <c r="AV2414" s="2" t="str">
        <f t="shared" si="149"/>
        <v/>
      </c>
      <c r="AW2414" s="2" t="str">
        <f t="shared" si="150"/>
        <v/>
      </c>
      <c r="AX2414" s="2" t="str">
        <f t="shared" si="151"/>
        <v/>
      </c>
      <c r="AY2414" s="2" t="str">
        <f>IF($AV2414="","",IF(AND($Z2414=0,COUNTIF('AR SALES'!$L$2:$L$2501,$L2414)=0),"YES",""))</f>
        <v/>
      </c>
      <c r="AZ2414" s="2" t="str">
        <f>IF($AV2414="","",IF(COUNTIF(LISTS!$C$2:$C$250,$AU2414)=0,"NEW",""))</f>
        <v/>
      </c>
      <c r="BA2414" s="2" t="str">
        <f>IF(""&amp;$F2414&lt;&gt;"4","",IF($AY2414="YES","",IF(ROUND(SUMIFS($AE$2:$AE$4001,$L$2:$L$4001,$L2414,$F$2:$F$4001,"4")-SUMIFS('AR SALES'!$Y$2:$Y$2501,'AR SALES'!$L$2:$L$2501,$L2414,'AR SALES'!$AD$2:$AD$2501,"OFF"),2)=0,"","STALE")))</f>
        <v/>
      </c>
      <c r="BB2414" s="2" t="str">
        <f>IF(OR(""&amp;$F2414="2",""&amp;$F2414="4",""&amp;$F2414="G",""&amp;$F2414="H"),IF($AY2414="YES","",IF($AB2414&lt;&gt;0,"",IF(COUNTIFS('AR SALES'!$L$2:$L$2501,$L2414,'AR SALES'!$AD$2:$AD$2501,IF(""&amp;$F2414="4","OFF","ON"),'AR SALES'!$AF$2:$AF$2501,"Y")&gt;0,"","NO EXEMPTION"))),"")</f>
        <v/>
      </c>
    </row>
    <row r="2415" spans="46:54" x14ac:dyDescent="0.25">
      <c r="AT2415" s="2" t="str">
        <f>IF($L2415="","",IFERROR(INDEX('AR SALES'!$H$2:$H$2501,MATCH(""&amp;$L2415,'AR SALES'!$AE$2:$AE$2501,0)),""))</f>
        <v/>
      </c>
      <c r="AU2415" s="2" t="str">
        <f t="shared" si="148"/>
        <v/>
      </c>
      <c r="AV2415" s="2" t="str">
        <f t="shared" si="149"/>
        <v/>
      </c>
      <c r="AW2415" s="2" t="str">
        <f t="shared" si="150"/>
        <v/>
      </c>
      <c r="AX2415" s="2" t="str">
        <f t="shared" si="151"/>
        <v/>
      </c>
      <c r="AY2415" s="2" t="str">
        <f>IF($AV2415="","",IF(AND($Z2415=0,COUNTIF('AR SALES'!$L$2:$L$2501,$L2415)=0),"YES",""))</f>
        <v/>
      </c>
      <c r="AZ2415" s="2" t="str">
        <f>IF($AV2415="","",IF(COUNTIF(LISTS!$C$2:$C$250,$AU2415)=0,"NEW",""))</f>
        <v/>
      </c>
      <c r="BA2415" s="2" t="str">
        <f>IF(""&amp;$F2415&lt;&gt;"4","",IF($AY2415="YES","",IF(ROUND(SUMIFS($AE$2:$AE$4001,$L$2:$L$4001,$L2415,$F$2:$F$4001,"4")-SUMIFS('AR SALES'!$Y$2:$Y$2501,'AR SALES'!$L$2:$L$2501,$L2415,'AR SALES'!$AD$2:$AD$2501,"OFF"),2)=0,"","STALE")))</f>
        <v/>
      </c>
      <c r="BB2415" s="2" t="str">
        <f>IF(OR(""&amp;$F2415="2",""&amp;$F2415="4",""&amp;$F2415="G",""&amp;$F2415="H"),IF($AY2415="YES","",IF($AB2415&lt;&gt;0,"",IF(COUNTIFS('AR SALES'!$L$2:$L$2501,$L2415,'AR SALES'!$AD$2:$AD$2501,IF(""&amp;$F2415="4","OFF","ON"),'AR SALES'!$AF$2:$AF$2501,"Y")&gt;0,"","NO EXEMPTION"))),"")</f>
        <v/>
      </c>
    </row>
    <row r="2416" spans="46:54" x14ac:dyDescent="0.25">
      <c r="AT2416" s="2" t="str">
        <f>IF($L2416="","",IFERROR(INDEX('AR SALES'!$H$2:$H$2501,MATCH(""&amp;$L2416,'AR SALES'!$AE$2:$AE$2501,0)),""))</f>
        <v/>
      </c>
      <c r="AU2416" s="2" t="str">
        <f t="shared" si="148"/>
        <v/>
      </c>
      <c r="AV2416" s="2" t="str">
        <f t="shared" si="149"/>
        <v/>
      </c>
      <c r="AW2416" s="2" t="str">
        <f t="shared" si="150"/>
        <v/>
      </c>
      <c r="AX2416" s="2" t="str">
        <f t="shared" si="151"/>
        <v/>
      </c>
      <c r="AY2416" s="2" t="str">
        <f>IF($AV2416="","",IF(AND($Z2416=0,COUNTIF('AR SALES'!$L$2:$L$2501,$L2416)=0),"YES",""))</f>
        <v/>
      </c>
      <c r="AZ2416" s="2" t="str">
        <f>IF($AV2416="","",IF(COUNTIF(LISTS!$C$2:$C$250,$AU2416)=0,"NEW",""))</f>
        <v/>
      </c>
      <c r="BA2416" s="2" t="str">
        <f>IF(""&amp;$F2416&lt;&gt;"4","",IF($AY2416="YES","",IF(ROUND(SUMIFS($AE$2:$AE$4001,$L$2:$L$4001,$L2416,$F$2:$F$4001,"4")-SUMIFS('AR SALES'!$Y$2:$Y$2501,'AR SALES'!$L$2:$L$2501,$L2416,'AR SALES'!$AD$2:$AD$2501,"OFF"),2)=0,"","STALE")))</f>
        <v/>
      </c>
      <c r="BB2416" s="2" t="str">
        <f>IF(OR(""&amp;$F2416="2",""&amp;$F2416="4",""&amp;$F2416="G",""&amp;$F2416="H"),IF($AY2416="YES","",IF($AB2416&lt;&gt;0,"",IF(COUNTIFS('AR SALES'!$L$2:$L$2501,$L2416,'AR SALES'!$AD$2:$AD$2501,IF(""&amp;$F2416="4","OFF","ON"),'AR SALES'!$AF$2:$AF$2501,"Y")&gt;0,"","NO EXEMPTION"))),"")</f>
        <v/>
      </c>
    </row>
    <row r="2417" spans="46:54" x14ac:dyDescent="0.25">
      <c r="AT2417" s="2" t="str">
        <f>IF($L2417="","",IFERROR(INDEX('AR SALES'!$H$2:$H$2501,MATCH(""&amp;$L2417,'AR SALES'!$AE$2:$AE$2501,0)),""))</f>
        <v/>
      </c>
      <c r="AU2417" s="2" t="str">
        <f t="shared" si="148"/>
        <v/>
      </c>
      <c r="AV2417" s="2" t="str">
        <f t="shared" si="149"/>
        <v/>
      </c>
      <c r="AW2417" s="2" t="str">
        <f t="shared" si="150"/>
        <v/>
      </c>
      <c r="AX2417" s="2" t="str">
        <f t="shared" si="151"/>
        <v/>
      </c>
      <c r="AY2417" s="2" t="str">
        <f>IF($AV2417="","",IF(AND($Z2417=0,COUNTIF('AR SALES'!$L$2:$L$2501,$L2417)=0),"YES",""))</f>
        <v/>
      </c>
      <c r="AZ2417" s="2" t="str">
        <f>IF($AV2417="","",IF(COUNTIF(LISTS!$C$2:$C$250,$AU2417)=0,"NEW",""))</f>
        <v/>
      </c>
      <c r="BA2417" s="2" t="str">
        <f>IF(""&amp;$F2417&lt;&gt;"4","",IF($AY2417="YES","",IF(ROUND(SUMIFS($AE$2:$AE$4001,$L$2:$L$4001,$L2417,$F$2:$F$4001,"4")-SUMIFS('AR SALES'!$Y$2:$Y$2501,'AR SALES'!$L$2:$L$2501,$L2417,'AR SALES'!$AD$2:$AD$2501,"OFF"),2)=0,"","STALE")))</f>
        <v/>
      </c>
      <c r="BB2417" s="2" t="str">
        <f>IF(OR(""&amp;$F2417="2",""&amp;$F2417="4",""&amp;$F2417="G",""&amp;$F2417="H"),IF($AY2417="YES","",IF($AB2417&lt;&gt;0,"",IF(COUNTIFS('AR SALES'!$L$2:$L$2501,$L2417,'AR SALES'!$AD$2:$AD$2501,IF(""&amp;$F2417="4","OFF","ON"),'AR SALES'!$AF$2:$AF$2501,"Y")&gt;0,"","NO EXEMPTION"))),"")</f>
        <v/>
      </c>
    </row>
    <row r="2418" spans="46:54" x14ac:dyDescent="0.25">
      <c r="AT2418" s="2" t="str">
        <f>IF($L2418="","",IFERROR(INDEX('AR SALES'!$H$2:$H$2501,MATCH(""&amp;$L2418,'AR SALES'!$AE$2:$AE$2501,0)),""))</f>
        <v/>
      </c>
      <c r="AU2418" s="2" t="str">
        <f t="shared" si="148"/>
        <v/>
      </c>
      <c r="AV2418" s="2" t="str">
        <f t="shared" si="149"/>
        <v/>
      </c>
      <c r="AW2418" s="2" t="str">
        <f t="shared" si="150"/>
        <v/>
      </c>
      <c r="AX2418" s="2" t="str">
        <f t="shared" si="151"/>
        <v/>
      </c>
      <c r="AY2418" s="2" t="str">
        <f>IF($AV2418="","",IF(AND($Z2418=0,COUNTIF('AR SALES'!$L$2:$L$2501,$L2418)=0),"YES",""))</f>
        <v/>
      </c>
      <c r="AZ2418" s="2" t="str">
        <f>IF($AV2418="","",IF(COUNTIF(LISTS!$C$2:$C$250,$AU2418)=0,"NEW",""))</f>
        <v/>
      </c>
      <c r="BA2418" s="2" t="str">
        <f>IF(""&amp;$F2418&lt;&gt;"4","",IF($AY2418="YES","",IF(ROUND(SUMIFS($AE$2:$AE$4001,$L$2:$L$4001,$L2418,$F$2:$F$4001,"4")-SUMIFS('AR SALES'!$Y$2:$Y$2501,'AR SALES'!$L$2:$L$2501,$L2418,'AR SALES'!$AD$2:$AD$2501,"OFF"),2)=0,"","STALE")))</f>
        <v/>
      </c>
      <c r="BB2418" s="2" t="str">
        <f>IF(OR(""&amp;$F2418="2",""&amp;$F2418="4",""&amp;$F2418="G",""&amp;$F2418="H"),IF($AY2418="YES","",IF($AB2418&lt;&gt;0,"",IF(COUNTIFS('AR SALES'!$L$2:$L$2501,$L2418,'AR SALES'!$AD$2:$AD$2501,IF(""&amp;$F2418="4","OFF","ON"),'AR SALES'!$AF$2:$AF$2501,"Y")&gt;0,"","NO EXEMPTION"))),"")</f>
        <v/>
      </c>
    </row>
    <row r="2419" spans="46:54" x14ac:dyDescent="0.25">
      <c r="AT2419" s="2" t="str">
        <f>IF($L2419="","",IFERROR(INDEX('AR SALES'!$H$2:$H$2501,MATCH(""&amp;$L2419,'AR SALES'!$AE$2:$AE$2501,0)),""))</f>
        <v/>
      </c>
      <c r="AU2419" s="2" t="str">
        <f t="shared" si="148"/>
        <v/>
      </c>
      <c r="AV2419" s="2" t="str">
        <f t="shared" si="149"/>
        <v/>
      </c>
      <c r="AW2419" s="2" t="str">
        <f t="shared" si="150"/>
        <v/>
      </c>
      <c r="AX2419" s="2" t="str">
        <f t="shared" si="151"/>
        <v/>
      </c>
      <c r="AY2419" s="2" t="str">
        <f>IF($AV2419="","",IF(AND($Z2419=0,COUNTIF('AR SALES'!$L$2:$L$2501,$L2419)=0),"YES",""))</f>
        <v/>
      </c>
      <c r="AZ2419" s="2" t="str">
        <f>IF($AV2419="","",IF(COUNTIF(LISTS!$C$2:$C$250,$AU2419)=0,"NEW",""))</f>
        <v/>
      </c>
      <c r="BA2419" s="2" t="str">
        <f>IF(""&amp;$F2419&lt;&gt;"4","",IF($AY2419="YES","",IF(ROUND(SUMIFS($AE$2:$AE$4001,$L$2:$L$4001,$L2419,$F$2:$F$4001,"4")-SUMIFS('AR SALES'!$Y$2:$Y$2501,'AR SALES'!$L$2:$L$2501,$L2419,'AR SALES'!$AD$2:$AD$2501,"OFF"),2)=0,"","STALE")))</f>
        <v/>
      </c>
      <c r="BB2419" s="2" t="str">
        <f>IF(OR(""&amp;$F2419="2",""&amp;$F2419="4",""&amp;$F2419="G",""&amp;$F2419="H"),IF($AY2419="YES","",IF($AB2419&lt;&gt;0,"",IF(COUNTIFS('AR SALES'!$L$2:$L$2501,$L2419,'AR SALES'!$AD$2:$AD$2501,IF(""&amp;$F2419="4","OFF","ON"),'AR SALES'!$AF$2:$AF$2501,"Y")&gt;0,"","NO EXEMPTION"))),"")</f>
        <v/>
      </c>
    </row>
    <row r="2420" spans="46:54" x14ac:dyDescent="0.25">
      <c r="AT2420" s="2" t="str">
        <f>IF($L2420="","",IFERROR(INDEX('AR SALES'!$H$2:$H$2501,MATCH(""&amp;$L2420,'AR SALES'!$AE$2:$AE$2501,0)),""))</f>
        <v/>
      </c>
      <c r="AU2420" s="2" t="str">
        <f t="shared" si="148"/>
        <v/>
      </c>
      <c r="AV2420" s="2" t="str">
        <f t="shared" si="149"/>
        <v/>
      </c>
      <c r="AW2420" s="2" t="str">
        <f t="shared" si="150"/>
        <v/>
      </c>
      <c r="AX2420" s="2" t="str">
        <f t="shared" si="151"/>
        <v/>
      </c>
      <c r="AY2420" s="2" t="str">
        <f>IF($AV2420="","",IF(AND($Z2420=0,COUNTIF('AR SALES'!$L$2:$L$2501,$L2420)=0),"YES",""))</f>
        <v/>
      </c>
      <c r="AZ2420" s="2" t="str">
        <f>IF($AV2420="","",IF(COUNTIF(LISTS!$C$2:$C$250,$AU2420)=0,"NEW",""))</f>
        <v/>
      </c>
      <c r="BA2420" s="2" t="str">
        <f>IF(""&amp;$F2420&lt;&gt;"4","",IF($AY2420="YES","",IF(ROUND(SUMIFS($AE$2:$AE$4001,$L$2:$L$4001,$L2420,$F$2:$F$4001,"4")-SUMIFS('AR SALES'!$Y$2:$Y$2501,'AR SALES'!$L$2:$L$2501,$L2420,'AR SALES'!$AD$2:$AD$2501,"OFF"),2)=0,"","STALE")))</f>
        <v/>
      </c>
      <c r="BB2420" s="2" t="str">
        <f>IF(OR(""&amp;$F2420="2",""&amp;$F2420="4",""&amp;$F2420="G",""&amp;$F2420="H"),IF($AY2420="YES","",IF($AB2420&lt;&gt;0,"",IF(COUNTIFS('AR SALES'!$L$2:$L$2501,$L2420,'AR SALES'!$AD$2:$AD$2501,IF(""&amp;$F2420="4","OFF","ON"),'AR SALES'!$AF$2:$AF$2501,"Y")&gt;0,"","NO EXEMPTION"))),"")</f>
        <v/>
      </c>
    </row>
    <row r="2421" spans="46:54" x14ac:dyDescent="0.25">
      <c r="AT2421" s="2" t="str">
        <f>IF($L2421="","",IFERROR(INDEX('AR SALES'!$H$2:$H$2501,MATCH(""&amp;$L2421,'AR SALES'!$AE$2:$AE$2501,0)),""))</f>
        <v/>
      </c>
      <c r="AU2421" s="2" t="str">
        <f t="shared" si="148"/>
        <v/>
      </c>
      <c r="AV2421" s="2" t="str">
        <f t="shared" si="149"/>
        <v/>
      </c>
      <c r="AW2421" s="2" t="str">
        <f t="shared" si="150"/>
        <v/>
      </c>
      <c r="AX2421" s="2" t="str">
        <f t="shared" si="151"/>
        <v/>
      </c>
      <c r="AY2421" s="2" t="str">
        <f>IF($AV2421="","",IF(AND($Z2421=0,COUNTIF('AR SALES'!$L$2:$L$2501,$L2421)=0),"YES",""))</f>
        <v/>
      </c>
      <c r="AZ2421" s="2" t="str">
        <f>IF($AV2421="","",IF(COUNTIF(LISTS!$C$2:$C$250,$AU2421)=0,"NEW",""))</f>
        <v/>
      </c>
      <c r="BA2421" s="2" t="str">
        <f>IF(""&amp;$F2421&lt;&gt;"4","",IF($AY2421="YES","",IF(ROUND(SUMIFS($AE$2:$AE$4001,$L$2:$L$4001,$L2421,$F$2:$F$4001,"4")-SUMIFS('AR SALES'!$Y$2:$Y$2501,'AR SALES'!$L$2:$L$2501,$L2421,'AR SALES'!$AD$2:$AD$2501,"OFF"),2)=0,"","STALE")))</f>
        <v/>
      </c>
      <c r="BB2421" s="2" t="str">
        <f>IF(OR(""&amp;$F2421="2",""&amp;$F2421="4",""&amp;$F2421="G",""&amp;$F2421="H"),IF($AY2421="YES","",IF($AB2421&lt;&gt;0,"",IF(COUNTIFS('AR SALES'!$L$2:$L$2501,$L2421,'AR SALES'!$AD$2:$AD$2501,IF(""&amp;$F2421="4","OFF","ON"),'AR SALES'!$AF$2:$AF$2501,"Y")&gt;0,"","NO EXEMPTION"))),"")</f>
        <v/>
      </c>
    </row>
    <row r="2422" spans="46:54" x14ac:dyDescent="0.25">
      <c r="AT2422" s="2" t="str">
        <f>IF($L2422="","",IFERROR(INDEX('AR SALES'!$H$2:$H$2501,MATCH(""&amp;$L2422,'AR SALES'!$AE$2:$AE$2501,0)),""))</f>
        <v/>
      </c>
      <c r="AU2422" s="2" t="str">
        <f t="shared" si="148"/>
        <v/>
      </c>
      <c r="AV2422" s="2" t="str">
        <f t="shared" si="149"/>
        <v/>
      </c>
      <c r="AW2422" s="2" t="str">
        <f t="shared" si="150"/>
        <v/>
      </c>
      <c r="AX2422" s="2" t="str">
        <f t="shared" si="151"/>
        <v/>
      </c>
      <c r="AY2422" s="2" t="str">
        <f>IF($AV2422="","",IF(AND($Z2422=0,COUNTIF('AR SALES'!$L$2:$L$2501,$L2422)=0),"YES",""))</f>
        <v/>
      </c>
      <c r="AZ2422" s="2" t="str">
        <f>IF($AV2422="","",IF(COUNTIF(LISTS!$C$2:$C$250,$AU2422)=0,"NEW",""))</f>
        <v/>
      </c>
      <c r="BA2422" s="2" t="str">
        <f>IF(""&amp;$F2422&lt;&gt;"4","",IF($AY2422="YES","",IF(ROUND(SUMIFS($AE$2:$AE$4001,$L$2:$L$4001,$L2422,$F$2:$F$4001,"4")-SUMIFS('AR SALES'!$Y$2:$Y$2501,'AR SALES'!$L$2:$L$2501,$L2422,'AR SALES'!$AD$2:$AD$2501,"OFF"),2)=0,"","STALE")))</f>
        <v/>
      </c>
      <c r="BB2422" s="2" t="str">
        <f>IF(OR(""&amp;$F2422="2",""&amp;$F2422="4",""&amp;$F2422="G",""&amp;$F2422="H"),IF($AY2422="YES","",IF($AB2422&lt;&gt;0,"",IF(COUNTIFS('AR SALES'!$L$2:$L$2501,$L2422,'AR SALES'!$AD$2:$AD$2501,IF(""&amp;$F2422="4","OFF","ON"),'AR SALES'!$AF$2:$AF$2501,"Y")&gt;0,"","NO EXEMPTION"))),"")</f>
        <v/>
      </c>
    </row>
    <row r="2423" spans="46:54" x14ac:dyDescent="0.25">
      <c r="AT2423" s="2" t="str">
        <f>IF($L2423="","",IFERROR(INDEX('AR SALES'!$H$2:$H$2501,MATCH(""&amp;$L2423,'AR SALES'!$AE$2:$AE$2501,0)),""))</f>
        <v/>
      </c>
      <c r="AU2423" s="2" t="str">
        <f t="shared" si="148"/>
        <v/>
      </c>
      <c r="AV2423" s="2" t="str">
        <f t="shared" si="149"/>
        <v/>
      </c>
      <c r="AW2423" s="2" t="str">
        <f t="shared" si="150"/>
        <v/>
      </c>
      <c r="AX2423" s="2" t="str">
        <f t="shared" si="151"/>
        <v/>
      </c>
      <c r="AY2423" s="2" t="str">
        <f>IF($AV2423="","",IF(AND($Z2423=0,COUNTIF('AR SALES'!$L$2:$L$2501,$L2423)=0),"YES",""))</f>
        <v/>
      </c>
      <c r="AZ2423" s="2" t="str">
        <f>IF($AV2423="","",IF(COUNTIF(LISTS!$C$2:$C$250,$AU2423)=0,"NEW",""))</f>
        <v/>
      </c>
      <c r="BA2423" s="2" t="str">
        <f>IF(""&amp;$F2423&lt;&gt;"4","",IF($AY2423="YES","",IF(ROUND(SUMIFS($AE$2:$AE$4001,$L$2:$L$4001,$L2423,$F$2:$F$4001,"4")-SUMIFS('AR SALES'!$Y$2:$Y$2501,'AR SALES'!$L$2:$L$2501,$L2423,'AR SALES'!$AD$2:$AD$2501,"OFF"),2)=0,"","STALE")))</f>
        <v/>
      </c>
      <c r="BB2423" s="2" t="str">
        <f>IF(OR(""&amp;$F2423="2",""&amp;$F2423="4",""&amp;$F2423="G",""&amp;$F2423="H"),IF($AY2423="YES","",IF($AB2423&lt;&gt;0,"",IF(COUNTIFS('AR SALES'!$L$2:$L$2501,$L2423,'AR SALES'!$AD$2:$AD$2501,IF(""&amp;$F2423="4","OFF","ON"),'AR SALES'!$AF$2:$AF$2501,"Y")&gt;0,"","NO EXEMPTION"))),"")</f>
        <v/>
      </c>
    </row>
    <row r="2424" spans="46:54" x14ac:dyDescent="0.25">
      <c r="AT2424" s="2" t="str">
        <f>IF($L2424="","",IFERROR(INDEX('AR SALES'!$H$2:$H$2501,MATCH(""&amp;$L2424,'AR SALES'!$AE$2:$AE$2501,0)),""))</f>
        <v/>
      </c>
      <c r="AU2424" s="2" t="str">
        <f t="shared" si="148"/>
        <v/>
      </c>
      <c r="AV2424" s="2" t="str">
        <f t="shared" si="149"/>
        <v/>
      </c>
      <c r="AW2424" s="2" t="str">
        <f t="shared" si="150"/>
        <v/>
      </c>
      <c r="AX2424" s="2" t="str">
        <f t="shared" si="151"/>
        <v/>
      </c>
      <c r="AY2424" s="2" t="str">
        <f>IF($AV2424="","",IF(AND($Z2424=0,COUNTIF('AR SALES'!$L$2:$L$2501,$L2424)=0),"YES",""))</f>
        <v/>
      </c>
      <c r="AZ2424" s="2" t="str">
        <f>IF($AV2424="","",IF(COUNTIF(LISTS!$C$2:$C$250,$AU2424)=0,"NEW",""))</f>
        <v/>
      </c>
      <c r="BA2424" s="2" t="str">
        <f>IF(""&amp;$F2424&lt;&gt;"4","",IF($AY2424="YES","",IF(ROUND(SUMIFS($AE$2:$AE$4001,$L$2:$L$4001,$L2424,$F$2:$F$4001,"4")-SUMIFS('AR SALES'!$Y$2:$Y$2501,'AR SALES'!$L$2:$L$2501,$L2424,'AR SALES'!$AD$2:$AD$2501,"OFF"),2)=0,"","STALE")))</f>
        <v/>
      </c>
      <c r="BB2424" s="2" t="str">
        <f>IF(OR(""&amp;$F2424="2",""&amp;$F2424="4",""&amp;$F2424="G",""&amp;$F2424="H"),IF($AY2424="YES","",IF($AB2424&lt;&gt;0,"",IF(COUNTIFS('AR SALES'!$L$2:$L$2501,$L2424,'AR SALES'!$AD$2:$AD$2501,IF(""&amp;$F2424="4","OFF","ON"),'AR SALES'!$AF$2:$AF$2501,"Y")&gt;0,"","NO EXEMPTION"))),"")</f>
        <v/>
      </c>
    </row>
    <row r="2425" spans="46:54" x14ac:dyDescent="0.25">
      <c r="AT2425" s="2" t="str">
        <f>IF($L2425="","",IFERROR(INDEX('AR SALES'!$H$2:$H$2501,MATCH(""&amp;$L2425,'AR SALES'!$AE$2:$AE$2501,0)),""))</f>
        <v/>
      </c>
      <c r="AU2425" s="2" t="str">
        <f t="shared" si="148"/>
        <v/>
      </c>
      <c r="AV2425" s="2" t="str">
        <f t="shared" si="149"/>
        <v/>
      </c>
      <c r="AW2425" s="2" t="str">
        <f t="shared" si="150"/>
        <v/>
      </c>
      <c r="AX2425" s="2" t="str">
        <f t="shared" si="151"/>
        <v/>
      </c>
      <c r="AY2425" s="2" t="str">
        <f>IF($AV2425="","",IF(AND($Z2425=0,COUNTIF('AR SALES'!$L$2:$L$2501,$L2425)=0),"YES",""))</f>
        <v/>
      </c>
      <c r="AZ2425" s="2" t="str">
        <f>IF($AV2425="","",IF(COUNTIF(LISTS!$C$2:$C$250,$AU2425)=0,"NEW",""))</f>
        <v/>
      </c>
      <c r="BA2425" s="2" t="str">
        <f>IF(""&amp;$F2425&lt;&gt;"4","",IF($AY2425="YES","",IF(ROUND(SUMIFS($AE$2:$AE$4001,$L$2:$L$4001,$L2425,$F$2:$F$4001,"4")-SUMIFS('AR SALES'!$Y$2:$Y$2501,'AR SALES'!$L$2:$L$2501,$L2425,'AR SALES'!$AD$2:$AD$2501,"OFF"),2)=0,"","STALE")))</f>
        <v/>
      </c>
      <c r="BB2425" s="2" t="str">
        <f>IF(OR(""&amp;$F2425="2",""&amp;$F2425="4",""&amp;$F2425="G",""&amp;$F2425="H"),IF($AY2425="YES","",IF($AB2425&lt;&gt;0,"",IF(COUNTIFS('AR SALES'!$L$2:$L$2501,$L2425,'AR SALES'!$AD$2:$AD$2501,IF(""&amp;$F2425="4","OFF","ON"),'AR SALES'!$AF$2:$AF$2501,"Y")&gt;0,"","NO EXEMPTION"))),"")</f>
        <v/>
      </c>
    </row>
    <row r="2426" spans="46:54" x14ac:dyDescent="0.25">
      <c r="AT2426" s="2" t="str">
        <f>IF($L2426="","",IFERROR(INDEX('AR SALES'!$H$2:$H$2501,MATCH(""&amp;$L2426,'AR SALES'!$AE$2:$AE$2501,0)),""))</f>
        <v/>
      </c>
      <c r="AU2426" s="2" t="str">
        <f t="shared" si="148"/>
        <v/>
      </c>
      <c r="AV2426" s="2" t="str">
        <f t="shared" si="149"/>
        <v/>
      </c>
      <c r="AW2426" s="2" t="str">
        <f t="shared" si="150"/>
        <v/>
      </c>
      <c r="AX2426" s="2" t="str">
        <f t="shared" si="151"/>
        <v/>
      </c>
      <c r="AY2426" s="2" t="str">
        <f>IF($AV2426="","",IF(AND($Z2426=0,COUNTIF('AR SALES'!$L$2:$L$2501,$L2426)=0),"YES",""))</f>
        <v/>
      </c>
      <c r="AZ2426" s="2" t="str">
        <f>IF($AV2426="","",IF(COUNTIF(LISTS!$C$2:$C$250,$AU2426)=0,"NEW",""))</f>
        <v/>
      </c>
      <c r="BA2426" s="2" t="str">
        <f>IF(""&amp;$F2426&lt;&gt;"4","",IF($AY2426="YES","",IF(ROUND(SUMIFS($AE$2:$AE$4001,$L$2:$L$4001,$L2426,$F$2:$F$4001,"4")-SUMIFS('AR SALES'!$Y$2:$Y$2501,'AR SALES'!$L$2:$L$2501,$L2426,'AR SALES'!$AD$2:$AD$2501,"OFF"),2)=0,"","STALE")))</f>
        <v/>
      </c>
      <c r="BB2426" s="2" t="str">
        <f>IF(OR(""&amp;$F2426="2",""&amp;$F2426="4",""&amp;$F2426="G",""&amp;$F2426="H"),IF($AY2426="YES","",IF($AB2426&lt;&gt;0,"",IF(COUNTIFS('AR SALES'!$L$2:$L$2501,$L2426,'AR SALES'!$AD$2:$AD$2501,IF(""&amp;$F2426="4","OFF","ON"),'AR SALES'!$AF$2:$AF$2501,"Y")&gt;0,"","NO EXEMPTION"))),"")</f>
        <v/>
      </c>
    </row>
    <row r="2427" spans="46:54" x14ac:dyDescent="0.25">
      <c r="AT2427" s="2" t="str">
        <f>IF($L2427="","",IFERROR(INDEX('AR SALES'!$H$2:$H$2501,MATCH(""&amp;$L2427,'AR SALES'!$AE$2:$AE$2501,0)),""))</f>
        <v/>
      </c>
      <c r="AU2427" s="2" t="str">
        <f t="shared" si="148"/>
        <v/>
      </c>
      <c r="AV2427" s="2" t="str">
        <f t="shared" si="149"/>
        <v/>
      </c>
      <c r="AW2427" s="2" t="str">
        <f t="shared" si="150"/>
        <v/>
      </c>
      <c r="AX2427" s="2" t="str">
        <f t="shared" si="151"/>
        <v/>
      </c>
      <c r="AY2427" s="2" t="str">
        <f>IF($AV2427="","",IF(AND($Z2427=0,COUNTIF('AR SALES'!$L$2:$L$2501,$L2427)=0),"YES",""))</f>
        <v/>
      </c>
      <c r="AZ2427" s="2" t="str">
        <f>IF($AV2427="","",IF(COUNTIF(LISTS!$C$2:$C$250,$AU2427)=0,"NEW",""))</f>
        <v/>
      </c>
      <c r="BA2427" s="2" t="str">
        <f>IF(""&amp;$F2427&lt;&gt;"4","",IF($AY2427="YES","",IF(ROUND(SUMIFS($AE$2:$AE$4001,$L$2:$L$4001,$L2427,$F$2:$F$4001,"4")-SUMIFS('AR SALES'!$Y$2:$Y$2501,'AR SALES'!$L$2:$L$2501,$L2427,'AR SALES'!$AD$2:$AD$2501,"OFF"),2)=0,"","STALE")))</f>
        <v/>
      </c>
      <c r="BB2427" s="2" t="str">
        <f>IF(OR(""&amp;$F2427="2",""&amp;$F2427="4",""&amp;$F2427="G",""&amp;$F2427="H"),IF($AY2427="YES","",IF($AB2427&lt;&gt;0,"",IF(COUNTIFS('AR SALES'!$L$2:$L$2501,$L2427,'AR SALES'!$AD$2:$AD$2501,IF(""&amp;$F2427="4","OFF","ON"),'AR SALES'!$AF$2:$AF$2501,"Y")&gt;0,"","NO EXEMPTION"))),"")</f>
        <v/>
      </c>
    </row>
    <row r="2428" spans="46:54" x14ac:dyDescent="0.25">
      <c r="AT2428" s="2" t="str">
        <f>IF($L2428="","",IFERROR(INDEX('AR SALES'!$H$2:$H$2501,MATCH(""&amp;$L2428,'AR SALES'!$AE$2:$AE$2501,0)),""))</f>
        <v/>
      </c>
      <c r="AU2428" s="2" t="str">
        <f t="shared" si="148"/>
        <v/>
      </c>
      <c r="AV2428" s="2" t="str">
        <f t="shared" si="149"/>
        <v/>
      </c>
      <c r="AW2428" s="2" t="str">
        <f t="shared" si="150"/>
        <v/>
      </c>
      <c r="AX2428" s="2" t="str">
        <f t="shared" si="151"/>
        <v/>
      </c>
      <c r="AY2428" s="2" t="str">
        <f>IF($AV2428="","",IF(AND($Z2428=0,COUNTIF('AR SALES'!$L$2:$L$2501,$L2428)=0),"YES",""))</f>
        <v/>
      </c>
      <c r="AZ2428" s="2" t="str">
        <f>IF($AV2428="","",IF(COUNTIF(LISTS!$C$2:$C$250,$AU2428)=0,"NEW",""))</f>
        <v/>
      </c>
      <c r="BA2428" s="2" t="str">
        <f>IF(""&amp;$F2428&lt;&gt;"4","",IF($AY2428="YES","",IF(ROUND(SUMIFS($AE$2:$AE$4001,$L$2:$L$4001,$L2428,$F$2:$F$4001,"4")-SUMIFS('AR SALES'!$Y$2:$Y$2501,'AR SALES'!$L$2:$L$2501,$L2428,'AR SALES'!$AD$2:$AD$2501,"OFF"),2)=0,"","STALE")))</f>
        <v/>
      </c>
      <c r="BB2428" s="2" t="str">
        <f>IF(OR(""&amp;$F2428="2",""&amp;$F2428="4",""&amp;$F2428="G",""&amp;$F2428="H"),IF($AY2428="YES","",IF($AB2428&lt;&gt;0,"",IF(COUNTIFS('AR SALES'!$L$2:$L$2501,$L2428,'AR SALES'!$AD$2:$AD$2501,IF(""&amp;$F2428="4","OFF","ON"),'AR SALES'!$AF$2:$AF$2501,"Y")&gt;0,"","NO EXEMPTION"))),"")</f>
        <v/>
      </c>
    </row>
    <row r="2429" spans="46:54" x14ac:dyDescent="0.25">
      <c r="AT2429" s="2" t="str">
        <f>IF($L2429="","",IFERROR(INDEX('AR SALES'!$H$2:$H$2501,MATCH(""&amp;$L2429,'AR SALES'!$AE$2:$AE$2501,0)),""))</f>
        <v/>
      </c>
      <c r="AU2429" s="2" t="str">
        <f t="shared" si="148"/>
        <v/>
      </c>
      <c r="AV2429" s="2" t="str">
        <f t="shared" si="149"/>
        <v/>
      </c>
      <c r="AW2429" s="2" t="str">
        <f t="shared" si="150"/>
        <v/>
      </c>
      <c r="AX2429" s="2" t="str">
        <f t="shared" si="151"/>
        <v/>
      </c>
      <c r="AY2429" s="2" t="str">
        <f>IF($AV2429="","",IF(AND($Z2429=0,COUNTIF('AR SALES'!$L$2:$L$2501,$L2429)=0),"YES",""))</f>
        <v/>
      </c>
      <c r="AZ2429" s="2" t="str">
        <f>IF($AV2429="","",IF(COUNTIF(LISTS!$C$2:$C$250,$AU2429)=0,"NEW",""))</f>
        <v/>
      </c>
      <c r="BA2429" s="2" t="str">
        <f>IF(""&amp;$F2429&lt;&gt;"4","",IF($AY2429="YES","",IF(ROUND(SUMIFS($AE$2:$AE$4001,$L$2:$L$4001,$L2429,$F$2:$F$4001,"4")-SUMIFS('AR SALES'!$Y$2:$Y$2501,'AR SALES'!$L$2:$L$2501,$L2429,'AR SALES'!$AD$2:$AD$2501,"OFF"),2)=0,"","STALE")))</f>
        <v/>
      </c>
      <c r="BB2429" s="2" t="str">
        <f>IF(OR(""&amp;$F2429="2",""&amp;$F2429="4",""&amp;$F2429="G",""&amp;$F2429="H"),IF($AY2429="YES","",IF($AB2429&lt;&gt;0,"",IF(COUNTIFS('AR SALES'!$L$2:$L$2501,$L2429,'AR SALES'!$AD$2:$AD$2501,IF(""&amp;$F2429="4","OFF","ON"),'AR SALES'!$AF$2:$AF$2501,"Y")&gt;0,"","NO EXEMPTION"))),"")</f>
        <v/>
      </c>
    </row>
    <row r="2430" spans="46:54" x14ac:dyDescent="0.25">
      <c r="AT2430" s="2" t="str">
        <f>IF($L2430="","",IFERROR(INDEX('AR SALES'!$H$2:$H$2501,MATCH(""&amp;$L2430,'AR SALES'!$AE$2:$AE$2501,0)),""))</f>
        <v/>
      </c>
      <c r="AU2430" s="2" t="str">
        <f t="shared" si="148"/>
        <v/>
      </c>
      <c r="AV2430" s="2" t="str">
        <f t="shared" si="149"/>
        <v/>
      </c>
      <c r="AW2430" s="2" t="str">
        <f t="shared" si="150"/>
        <v/>
      </c>
      <c r="AX2430" s="2" t="str">
        <f t="shared" si="151"/>
        <v/>
      </c>
      <c r="AY2430" s="2" t="str">
        <f>IF($AV2430="","",IF(AND($Z2430=0,COUNTIF('AR SALES'!$L$2:$L$2501,$L2430)=0),"YES",""))</f>
        <v/>
      </c>
      <c r="AZ2430" s="2" t="str">
        <f>IF($AV2430="","",IF(COUNTIF(LISTS!$C$2:$C$250,$AU2430)=0,"NEW",""))</f>
        <v/>
      </c>
      <c r="BA2430" s="2" t="str">
        <f>IF(""&amp;$F2430&lt;&gt;"4","",IF($AY2430="YES","",IF(ROUND(SUMIFS($AE$2:$AE$4001,$L$2:$L$4001,$L2430,$F$2:$F$4001,"4")-SUMIFS('AR SALES'!$Y$2:$Y$2501,'AR SALES'!$L$2:$L$2501,$L2430,'AR SALES'!$AD$2:$AD$2501,"OFF"),2)=0,"","STALE")))</f>
        <v/>
      </c>
      <c r="BB2430" s="2" t="str">
        <f>IF(OR(""&amp;$F2430="2",""&amp;$F2430="4",""&amp;$F2430="G",""&amp;$F2430="H"),IF($AY2430="YES","",IF($AB2430&lt;&gt;0,"",IF(COUNTIFS('AR SALES'!$L$2:$L$2501,$L2430,'AR SALES'!$AD$2:$AD$2501,IF(""&amp;$F2430="4","OFF","ON"),'AR SALES'!$AF$2:$AF$2501,"Y")&gt;0,"","NO EXEMPTION"))),"")</f>
        <v/>
      </c>
    </row>
    <row r="2431" spans="46:54" x14ac:dyDescent="0.25">
      <c r="AT2431" s="2" t="str">
        <f>IF($L2431="","",IFERROR(INDEX('AR SALES'!$H$2:$H$2501,MATCH(""&amp;$L2431,'AR SALES'!$AE$2:$AE$2501,0)),""))</f>
        <v/>
      </c>
      <c r="AU2431" s="2" t="str">
        <f t="shared" si="148"/>
        <v/>
      </c>
      <c r="AV2431" s="2" t="str">
        <f t="shared" si="149"/>
        <v/>
      </c>
      <c r="AW2431" s="2" t="str">
        <f t="shared" si="150"/>
        <v/>
      </c>
      <c r="AX2431" s="2" t="str">
        <f t="shared" si="151"/>
        <v/>
      </c>
      <c r="AY2431" s="2" t="str">
        <f>IF($AV2431="","",IF(AND($Z2431=0,COUNTIF('AR SALES'!$L$2:$L$2501,$L2431)=0),"YES",""))</f>
        <v/>
      </c>
      <c r="AZ2431" s="2" t="str">
        <f>IF($AV2431="","",IF(COUNTIF(LISTS!$C$2:$C$250,$AU2431)=0,"NEW",""))</f>
        <v/>
      </c>
      <c r="BA2431" s="2" t="str">
        <f>IF(""&amp;$F2431&lt;&gt;"4","",IF($AY2431="YES","",IF(ROUND(SUMIFS($AE$2:$AE$4001,$L$2:$L$4001,$L2431,$F$2:$F$4001,"4")-SUMIFS('AR SALES'!$Y$2:$Y$2501,'AR SALES'!$L$2:$L$2501,$L2431,'AR SALES'!$AD$2:$AD$2501,"OFF"),2)=0,"","STALE")))</f>
        <v/>
      </c>
      <c r="BB2431" s="2" t="str">
        <f>IF(OR(""&amp;$F2431="2",""&amp;$F2431="4",""&amp;$F2431="G",""&amp;$F2431="H"),IF($AY2431="YES","",IF($AB2431&lt;&gt;0,"",IF(COUNTIFS('AR SALES'!$L$2:$L$2501,$L2431,'AR SALES'!$AD$2:$AD$2501,IF(""&amp;$F2431="4","OFF","ON"),'AR SALES'!$AF$2:$AF$2501,"Y")&gt;0,"","NO EXEMPTION"))),"")</f>
        <v/>
      </c>
    </row>
    <row r="2432" spans="46:54" x14ac:dyDescent="0.25">
      <c r="AT2432" s="2" t="str">
        <f>IF($L2432="","",IFERROR(INDEX('AR SALES'!$H$2:$H$2501,MATCH(""&amp;$L2432,'AR SALES'!$AE$2:$AE$2501,0)),""))</f>
        <v/>
      </c>
      <c r="AU2432" s="2" t="str">
        <f t="shared" si="148"/>
        <v/>
      </c>
      <c r="AV2432" s="2" t="str">
        <f t="shared" si="149"/>
        <v/>
      </c>
      <c r="AW2432" s="2" t="str">
        <f t="shared" si="150"/>
        <v/>
      </c>
      <c r="AX2432" s="2" t="str">
        <f t="shared" si="151"/>
        <v/>
      </c>
      <c r="AY2432" s="2" t="str">
        <f>IF($AV2432="","",IF(AND($Z2432=0,COUNTIF('AR SALES'!$L$2:$L$2501,$L2432)=0),"YES",""))</f>
        <v/>
      </c>
      <c r="AZ2432" s="2" t="str">
        <f>IF($AV2432="","",IF(COUNTIF(LISTS!$C$2:$C$250,$AU2432)=0,"NEW",""))</f>
        <v/>
      </c>
      <c r="BA2432" s="2" t="str">
        <f>IF(""&amp;$F2432&lt;&gt;"4","",IF($AY2432="YES","",IF(ROUND(SUMIFS($AE$2:$AE$4001,$L$2:$L$4001,$L2432,$F$2:$F$4001,"4")-SUMIFS('AR SALES'!$Y$2:$Y$2501,'AR SALES'!$L$2:$L$2501,$L2432,'AR SALES'!$AD$2:$AD$2501,"OFF"),2)=0,"","STALE")))</f>
        <v/>
      </c>
      <c r="BB2432" s="2" t="str">
        <f>IF(OR(""&amp;$F2432="2",""&amp;$F2432="4",""&amp;$F2432="G",""&amp;$F2432="H"),IF($AY2432="YES","",IF($AB2432&lt;&gt;0,"",IF(COUNTIFS('AR SALES'!$L$2:$L$2501,$L2432,'AR SALES'!$AD$2:$AD$2501,IF(""&amp;$F2432="4","OFF","ON"),'AR SALES'!$AF$2:$AF$2501,"Y")&gt;0,"","NO EXEMPTION"))),"")</f>
        <v/>
      </c>
    </row>
    <row r="2433" spans="46:54" x14ac:dyDescent="0.25">
      <c r="AT2433" s="2" t="str">
        <f>IF($L2433="","",IFERROR(INDEX('AR SALES'!$H$2:$H$2501,MATCH(""&amp;$L2433,'AR SALES'!$AE$2:$AE$2501,0)),""))</f>
        <v/>
      </c>
      <c r="AU2433" s="2" t="str">
        <f t="shared" si="148"/>
        <v/>
      </c>
      <c r="AV2433" s="2" t="str">
        <f t="shared" si="149"/>
        <v/>
      </c>
      <c r="AW2433" s="2" t="str">
        <f t="shared" si="150"/>
        <v/>
      </c>
      <c r="AX2433" s="2" t="str">
        <f t="shared" si="151"/>
        <v/>
      </c>
      <c r="AY2433" s="2" t="str">
        <f>IF($AV2433="","",IF(AND($Z2433=0,COUNTIF('AR SALES'!$L$2:$L$2501,$L2433)=0),"YES",""))</f>
        <v/>
      </c>
      <c r="AZ2433" s="2" t="str">
        <f>IF($AV2433="","",IF(COUNTIF(LISTS!$C$2:$C$250,$AU2433)=0,"NEW",""))</f>
        <v/>
      </c>
      <c r="BA2433" s="2" t="str">
        <f>IF(""&amp;$F2433&lt;&gt;"4","",IF($AY2433="YES","",IF(ROUND(SUMIFS($AE$2:$AE$4001,$L$2:$L$4001,$L2433,$F$2:$F$4001,"4")-SUMIFS('AR SALES'!$Y$2:$Y$2501,'AR SALES'!$L$2:$L$2501,$L2433,'AR SALES'!$AD$2:$AD$2501,"OFF"),2)=0,"","STALE")))</f>
        <v/>
      </c>
      <c r="BB2433" s="2" t="str">
        <f>IF(OR(""&amp;$F2433="2",""&amp;$F2433="4",""&amp;$F2433="G",""&amp;$F2433="H"),IF($AY2433="YES","",IF($AB2433&lt;&gt;0,"",IF(COUNTIFS('AR SALES'!$L$2:$L$2501,$L2433,'AR SALES'!$AD$2:$AD$2501,IF(""&amp;$F2433="4","OFF","ON"),'AR SALES'!$AF$2:$AF$2501,"Y")&gt;0,"","NO EXEMPTION"))),"")</f>
        <v/>
      </c>
    </row>
    <row r="2434" spans="46:54" x14ac:dyDescent="0.25">
      <c r="AT2434" s="2" t="str">
        <f>IF($L2434="","",IFERROR(INDEX('AR SALES'!$H$2:$H$2501,MATCH(""&amp;$L2434,'AR SALES'!$AE$2:$AE$2501,0)),""))</f>
        <v/>
      </c>
      <c r="AU2434" s="2" t="str">
        <f t="shared" ref="AU2434:AU2497" si="152">IF($L2434="","",IF($A2434&lt;&gt;"GA","",IF($E2434="FULTON",IF(ISNUMBER(SEARCH("COLLEGE PARK",$AT2434)),"FULTON (COLLEGE PARK)",IF(ISNUMBER(SEARCH("ATLANTA CITY",$AT2434)),"FULTON (ATL LIMITS)","FULTON")),IF($E2434="DEKALB",IF(ISNUMBER(SEARCH("ATLANTA CITY",$AT2434)),"DEKALB (ATL LIMITS)","DEKALB"),$E2434))))</f>
        <v/>
      </c>
      <c r="AV2434" s="2" t="str">
        <f t="shared" ref="AV2434:AV2497" si="153">IF($L2434="","",IF(""&amp;$F2434="2","DIESEL",IF(OR(""&amp;$F2434="G",""&amp;$F2434="H"),"GAS","")))</f>
        <v/>
      </c>
      <c r="AW2434" s="2" t="str">
        <f t="shared" ref="AW2434:AW2497" si="154">IF($AV2434="","",$R2434)</f>
        <v/>
      </c>
      <c r="AX2434" s="2" t="str">
        <f t="shared" ref="AX2434:AX2497" si="155">IF($AV2434="","",IF($AB2434=0,$R2434,0))</f>
        <v/>
      </c>
      <c r="AY2434" s="2" t="str">
        <f>IF($AV2434="","",IF(AND($Z2434=0,COUNTIF('AR SALES'!$L$2:$L$2501,$L2434)=0),"YES",""))</f>
        <v/>
      </c>
      <c r="AZ2434" s="2" t="str">
        <f>IF($AV2434="","",IF(COUNTIF(LISTS!$C$2:$C$250,$AU2434)=0,"NEW",""))</f>
        <v/>
      </c>
      <c r="BA2434" s="2" t="str">
        <f>IF(""&amp;$F2434&lt;&gt;"4","",IF($AY2434="YES","",IF(ROUND(SUMIFS($AE$2:$AE$4001,$L$2:$L$4001,$L2434,$F$2:$F$4001,"4")-SUMIFS('AR SALES'!$Y$2:$Y$2501,'AR SALES'!$L$2:$L$2501,$L2434,'AR SALES'!$AD$2:$AD$2501,"OFF"),2)=0,"","STALE")))</f>
        <v/>
      </c>
      <c r="BB2434" s="2" t="str">
        <f>IF(OR(""&amp;$F2434="2",""&amp;$F2434="4",""&amp;$F2434="G",""&amp;$F2434="H"),IF($AY2434="YES","",IF($AB2434&lt;&gt;0,"",IF(COUNTIFS('AR SALES'!$L$2:$L$2501,$L2434,'AR SALES'!$AD$2:$AD$2501,IF(""&amp;$F2434="4","OFF","ON"),'AR SALES'!$AF$2:$AF$2501,"Y")&gt;0,"","NO EXEMPTION"))),"")</f>
        <v/>
      </c>
    </row>
    <row r="2435" spans="46:54" x14ac:dyDescent="0.25">
      <c r="AT2435" s="2" t="str">
        <f>IF($L2435="","",IFERROR(INDEX('AR SALES'!$H$2:$H$2501,MATCH(""&amp;$L2435,'AR SALES'!$AE$2:$AE$2501,0)),""))</f>
        <v/>
      </c>
      <c r="AU2435" s="2" t="str">
        <f t="shared" si="152"/>
        <v/>
      </c>
      <c r="AV2435" s="2" t="str">
        <f t="shared" si="153"/>
        <v/>
      </c>
      <c r="AW2435" s="2" t="str">
        <f t="shared" si="154"/>
        <v/>
      </c>
      <c r="AX2435" s="2" t="str">
        <f t="shared" si="155"/>
        <v/>
      </c>
      <c r="AY2435" s="2" t="str">
        <f>IF($AV2435="","",IF(AND($Z2435=0,COUNTIF('AR SALES'!$L$2:$L$2501,$L2435)=0),"YES",""))</f>
        <v/>
      </c>
      <c r="AZ2435" s="2" t="str">
        <f>IF($AV2435="","",IF(COUNTIF(LISTS!$C$2:$C$250,$AU2435)=0,"NEW",""))</f>
        <v/>
      </c>
      <c r="BA2435" s="2" t="str">
        <f>IF(""&amp;$F2435&lt;&gt;"4","",IF($AY2435="YES","",IF(ROUND(SUMIFS($AE$2:$AE$4001,$L$2:$L$4001,$L2435,$F$2:$F$4001,"4")-SUMIFS('AR SALES'!$Y$2:$Y$2501,'AR SALES'!$L$2:$L$2501,$L2435,'AR SALES'!$AD$2:$AD$2501,"OFF"),2)=0,"","STALE")))</f>
        <v/>
      </c>
      <c r="BB2435" s="2" t="str">
        <f>IF(OR(""&amp;$F2435="2",""&amp;$F2435="4",""&amp;$F2435="G",""&amp;$F2435="H"),IF($AY2435="YES","",IF($AB2435&lt;&gt;0,"",IF(COUNTIFS('AR SALES'!$L$2:$L$2501,$L2435,'AR SALES'!$AD$2:$AD$2501,IF(""&amp;$F2435="4","OFF","ON"),'AR SALES'!$AF$2:$AF$2501,"Y")&gt;0,"","NO EXEMPTION"))),"")</f>
        <v/>
      </c>
    </row>
    <row r="2436" spans="46:54" x14ac:dyDescent="0.25">
      <c r="AT2436" s="2" t="str">
        <f>IF($L2436="","",IFERROR(INDEX('AR SALES'!$H$2:$H$2501,MATCH(""&amp;$L2436,'AR SALES'!$AE$2:$AE$2501,0)),""))</f>
        <v/>
      </c>
      <c r="AU2436" s="2" t="str">
        <f t="shared" si="152"/>
        <v/>
      </c>
      <c r="AV2436" s="2" t="str">
        <f t="shared" si="153"/>
        <v/>
      </c>
      <c r="AW2436" s="2" t="str">
        <f t="shared" si="154"/>
        <v/>
      </c>
      <c r="AX2436" s="2" t="str">
        <f t="shared" si="155"/>
        <v/>
      </c>
      <c r="AY2436" s="2" t="str">
        <f>IF($AV2436="","",IF(AND($Z2436=0,COUNTIF('AR SALES'!$L$2:$L$2501,$L2436)=0),"YES",""))</f>
        <v/>
      </c>
      <c r="AZ2436" s="2" t="str">
        <f>IF($AV2436="","",IF(COUNTIF(LISTS!$C$2:$C$250,$AU2436)=0,"NEW",""))</f>
        <v/>
      </c>
      <c r="BA2436" s="2" t="str">
        <f>IF(""&amp;$F2436&lt;&gt;"4","",IF($AY2436="YES","",IF(ROUND(SUMIFS($AE$2:$AE$4001,$L$2:$L$4001,$L2436,$F$2:$F$4001,"4")-SUMIFS('AR SALES'!$Y$2:$Y$2501,'AR SALES'!$L$2:$L$2501,$L2436,'AR SALES'!$AD$2:$AD$2501,"OFF"),2)=0,"","STALE")))</f>
        <v/>
      </c>
      <c r="BB2436" s="2" t="str">
        <f>IF(OR(""&amp;$F2436="2",""&amp;$F2436="4",""&amp;$F2436="G",""&amp;$F2436="H"),IF($AY2436="YES","",IF($AB2436&lt;&gt;0,"",IF(COUNTIFS('AR SALES'!$L$2:$L$2501,$L2436,'AR SALES'!$AD$2:$AD$2501,IF(""&amp;$F2436="4","OFF","ON"),'AR SALES'!$AF$2:$AF$2501,"Y")&gt;0,"","NO EXEMPTION"))),"")</f>
        <v/>
      </c>
    </row>
    <row r="2437" spans="46:54" x14ac:dyDescent="0.25">
      <c r="AT2437" s="2" t="str">
        <f>IF($L2437="","",IFERROR(INDEX('AR SALES'!$H$2:$H$2501,MATCH(""&amp;$L2437,'AR SALES'!$AE$2:$AE$2501,0)),""))</f>
        <v/>
      </c>
      <c r="AU2437" s="2" t="str">
        <f t="shared" si="152"/>
        <v/>
      </c>
      <c r="AV2437" s="2" t="str">
        <f t="shared" si="153"/>
        <v/>
      </c>
      <c r="AW2437" s="2" t="str">
        <f t="shared" si="154"/>
        <v/>
      </c>
      <c r="AX2437" s="2" t="str">
        <f t="shared" si="155"/>
        <v/>
      </c>
      <c r="AY2437" s="2" t="str">
        <f>IF($AV2437="","",IF(AND($Z2437=0,COUNTIF('AR SALES'!$L$2:$L$2501,$L2437)=0),"YES",""))</f>
        <v/>
      </c>
      <c r="AZ2437" s="2" t="str">
        <f>IF($AV2437="","",IF(COUNTIF(LISTS!$C$2:$C$250,$AU2437)=0,"NEW",""))</f>
        <v/>
      </c>
      <c r="BA2437" s="2" t="str">
        <f>IF(""&amp;$F2437&lt;&gt;"4","",IF($AY2437="YES","",IF(ROUND(SUMIFS($AE$2:$AE$4001,$L$2:$L$4001,$L2437,$F$2:$F$4001,"4")-SUMIFS('AR SALES'!$Y$2:$Y$2501,'AR SALES'!$L$2:$L$2501,$L2437,'AR SALES'!$AD$2:$AD$2501,"OFF"),2)=0,"","STALE")))</f>
        <v/>
      </c>
      <c r="BB2437" s="2" t="str">
        <f>IF(OR(""&amp;$F2437="2",""&amp;$F2437="4",""&amp;$F2437="G",""&amp;$F2437="H"),IF($AY2437="YES","",IF($AB2437&lt;&gt;0,"",IF(COUNTIFS('AR SALES'!$L$2:$L$2501,$L2437,'AR SALES'!$AD$2:$AD$2501,IF(""&amp;$F2437="4","OFF","ON"),'AR SALES'!$AF$2:$AF$2501,"Y")&gt;0,"","NO EXEMPTION"))),"")</f>
        <v/>
      </c>
    </row>
    <row r="2438" spans="46:54" x14ac:dyDescent="0.25">
      <c r="AT2438" s="2" t="str">
        <f>IF($L2438="","",IFERROR(INDEX('AR SALES'!$H$2:$H$2501,MATCH(""&amp;$L2438,'AR SALES'!$AE$2:$AE$2501,0)),""))</f>
        <v/>
      </c>
      <c r="AU2438" s="2" t="str">
        <f t="shared" si="152"/>
        <v/>
      </c>
      <c r="AV2438" s="2" t="str">
        <f t="shared" si="153"/>
        <v/>
      </c>
      <c r="AW2438" s="2" t="str">
        <f t="shared" si="154"/>
        <v/>
      </c>
      <c r="AX2438" s="2" t="str">
        <f t="shared" si="155"/>
        <v/>
      </c>
      <c r="AY2438" s="2" t="str">
        <f>IF($AV2438="","",IF(AND($Z2438=0,COUNTIF('AR SALES'!$L$2:$L$2501,$L2438)=0),"YES",""))</f>
        <v/>
      </c>
      <c r="AZ2438" s="2" t="str">
        <f>IF($AV2438="","",IF(COUNTIF(LISTS!$C$2:$C$250,$AU2438)=0,"NEW",""))</f>
        <v/>
      </c>
      <c r="BA2438" s="2" t="str">
        <f>IF(""&amp;$F2438&lt;&gt;"4","",IF($AY2438="YES","",IF(ROUND(SUMIFS($AE$2:$AE$4001,$L$2:$L$4001,$L2438,$F$2:$F$4001,"4")-SUMIFS('AR SALES'!$Y$2:$Y$2501,'AR SALES'!$L$2:$L$2501,$L2438,'AR SALES'!$AD$2:$AD$2501,"OFF"),2)=0,"","STALE")))</f>
        <v/>
      </c>
      <c r="BB2438" s="2" t="str">
        <f>IF(OR(""&amp;$F2438="2",""&amp;$F2438="4",""&amp;$F2438="G",""&amp;$F2438="H"),IF($AY2438="YES","",IF($AB2438&lt;&gt;0,"",IF(COUNTIFS('AR SALES'!$L$2:$L$2501,$L2438,'AR SALES'!$AD$2:$AD$2501,IF(""&amp;$F2438="4","OFF","ON"),'AR SALES'!$AF$2:$AF$2501,"Y")&gt;0,"","NO EXEMPTION"))),"")</f>
        <v/>
      </c>
    </row>
    <row r="2439" spans="46:54" x14ac:dyDescent="0.25">
      <c r="AT2439" s="2" t="str">
        <f>IF($L2439="","",IFERROR(INDEX('AR SALES'!$H$2:$H$2501,MATCH(""&amp;$L2439,'AR SALES'!$AE$2:$AE$2501,0)),""))</f>
        <v/>
      </c>
      <c r="AU2439" s="2" t="str">
        <f t="shared" si="152"/>
        <v/>
      </c>
      <c r="AV2439" s="2" t="str">
        <f t="shared" si="153"/>
        <v/>
      </c>
      <c r="AW2439" s="2" t="str">
        <f t="shared" si="154"/>
        <v/>
      </c>
      <c r="AX2439" s="2" t="str">
        <f t="shared" si="155"/>
        <v/>
      </c>
      <c r="AY2439" s="2" t="str">
        <f>IF($AV2439="","",IF(AND($Z2439=0,COUNTIF('AR SALES'!$L$2:$L$2501,$L2439)=0),"YES",""))</f>
        <v/>
      </c>
      <c r="AZ2439" s="2" t="str">
        <f>IF($AV2439="","",IF(COUNTIF(LISTS!$C$2:$C$250,$AU2439)=0,"NEW",""))</f>
        <v/>
      </c>
      <c r="BA2439" s="2" t="str">
        <f>IF(""&amp;$F2439&lt;&gt;"4","",IF($AY2439="YES","",IF(ROUND(SUMIFS($AE$2:$AE$4001,$L$2:$L$4001,$L2439,$F$2:$F$4001,"4")-SUMIFS('AR SALES'!$Y$2:$Y$2501,'AR SALES'!$L$2:$L$2501,$L2439,'AR SALES'!$AD$2:$AD$2501,"OFF"),2)=0,"","STALE")))</f>
        <v/>
      </c>
      <c r="BB2439" s="2" t="str">
        <f>IF(OR(""&amp;$F2439="2",""&amp;$F2439="4",""&amp;$F2439="G",""&amp;$F2439="H"),IF($AY2439="YES","",IF($AB2439&lt;&gt;0,"",IF(COUNTIFS('AR SALES'!$L$2:$L$2501,$L2439,'AR SALES'!$AD$2:$AD$2501,IF(""&amp;$F2439="4","OFF","ON"),'AR SALES'!$AF$2:$AF$2501,"Y")&gt;0,"","NO EXEMPTION"))),"")</f>
        <v/>
      </c>
    </row>
    <row r="2440" spans="46:54" x14ac:dyDescent="0.25">
      <c r="AT2440" s="2" t="str">
        <f>IF($L2440="","",IFERROR(INDEX('AR SALES'!$H$2:$H$2501,MATCH(""&amp;$L2440,'AR SALES'!$AE$2:$AE$2501,0)),""))</f>
        <v/>
      </c>
      <c r="AU2440" s="2" t="str">
        <f t="shared" si="152"/>
        <v/>
      </c>
      <c r="AV2440" s="2" t="str">
        <f t="shared" si="153"/>
        <v/>
      </c>
      <c r="AW2440" s="2" t="str">
        <f t="shared" si="154"/>
        <v/>
      </c>
      <c r="AX2440" s="2" t="str">
        <f t="shared" si="155"/>
        <v/>
      </c>
      <c r="AY2440" s="2" t="str">
        <f>IF($AV2440="","",IF(AND($Z2440=0,COUNTIF('AR SALES'!$L$2:$L$2501,$L2440)=0),"YES",""))</f>
        <v/>
      </c>
      <c r="AZ2440" s="2" t="str">
        <f>IF($AV2440="","",IF(COUNTIF(LISTS!$C$2:$C$250,$AU2440)=0,"NEW",""))</f>
        <v/>
      </c>
      <c r="BA2440" s="2" t="str">
        <f>IF(""&amp;$F2440&lt;&gt;"4","",IF($AY2440="YES","",IF(ROUND(SUMIFS($AE$2:$AE$4001,$L$2:$L$4001,$L2440,$F$2:$F$4001,"4")-SUMIFS('AR SALES'!$Y$2:$Y$2501,'AR SALES'!$L$2:$L$2501,$L2440,'AR SALES'!$AD$2:$AD$2501,"OFF"),2)=0,"","STALE")))</f>
        <v/>
      </c>
      <c r="BB2440" s="2" t="str">
        <f>IF(OR(""&amp;$F2440="2",""&amp;$F2440="4",""&amp;$F2440="G",""&amp;$F2440="H"),IF($AY2440="YES","",IF($AB2440&lt;&gt;0,"",IF(COUNTIFS('AR SALES'!$L$2:$L$2501,$L2440,'AR SALES'!$AD$2:$AD$2501,IF(""&amp;$F2440="4","OFF","ON"),'AR SALES'!$AF$2:$AF$2501,"Y")&gt;0,"","NO EXEMPTION"))),"")</f>
        <v/>
      </c>
    </row>
    <row r="2441" spans="46:54" x14ac:dyDescent="0.25">
      <c r="AT2441" s="2" t="str">
        <f>IF($L2441="","",IFERROR(INDEX('AR SALES'!$H$2:$H$2501,MATCH(""&amp;$L2441,'AR SALES'!$AE$2:$AE$2501,0)),""))</f>
        <v/>
      </c>
      <c r="AU2441" s="2" t="str">
        <f t="shared" si="152"/>
        <v/>
      </c>
      <c r="AV2441" s="2" t="str">
        <f t="shared" si="153"/>
        <v/>
      </c>
      <c r="AW2441" s="2" t="str">
        <f t="shared" si="154"/>
        <v/>
      </c>
      <c r="AX2441" s="2" t="str">
        <f t="shared" si="155"/>
        <v/>
      </c>
      <c r="AY2441" s="2" t="str">
        <f>IF($AV2441="","",IF(AND($Z2441=0,COUNTIF('AR SALES'!$L$2:$L$2501,$L2441)=0),"YES",""))</f>
        <v/>
      </c>
      <c r="AZ2441" s="2" t="str">
        <f>IF($AV2441="","",IF(COUNTIF(LISTS!$C$2:$C$250,$AU2441)=0,"NEW",""))</f>
        <v/>
      </c>
      <c r="BA2441" s="2" t="str">
        <f>IF(""&amp;$F2441&lt;&gt;"4","",IF($AY2441="YES","",IF(ROUND(SUMIFS($AE$2:$AE$4001,$L$2:$L$4001,$L2441,$F$2:$F$4001,"4")-SUMIFS('AR SALES'!$Y$2:$Y$2501,'AR SALES'!$L$2:$L$2501,$L2441,'AR SALES'!$AD$2:$AD$2501,"OFF"),2)=0,"","STALE")))</f>
        <v/>
      </c>
      <c r="BB2441" s="2" t="str">
        <f>IF(OR(""&amp;$F2441="2",""&amp;$F2441="4",""&amp;$F2441="G",""&amp;$F2441="H"),IF($AY2441="YES","",IF($AB2441&lt;&gt;0,"",IF(COUNTIFS('AR SALES'!$L$2:$L$2501,$L2441,'AR SALES'!$AD$2:$AD$2501,IF(""&amp;$F2441="4","OFF","ON"),'AR SALES'!$AF$2:$AF$2501,"Y")&gt;0,"","NO EXEMPTION"))),"")</f>
        <v/>
      </c>
    </row>
    <row r="2442" spans="46:54" x14ac:dyDescent="0.25">
      <c r="AT2442" s="2" t="str">
        <f>IF($L2442="","",IFERROR(INDEX('AR SALES'!$H$2:$H$2501,MATCH(""&amp;$L2442,'AR SALES'!$AE$2:$AE$2501,0)),""))</f>
        <v/>
      </c>
      <c r="AU2442" s="2" t="str">
        <f t="shared" si="152"/>
        <v/>
      </c>
      <c r="AV2442" s="2" t="str">
        <f t="shared" si="153"/>
        <v/>
      </c>
      <c r="AW2442" s="2" t="str">
        <f t="shared" si="154"/>
        <v/>
      </c>
      <c r="AX2442" s="2" t="str">
        <f t="shared" si="155"/>
        <v/>
      </c>
      <c r="AY2442" s="2" t="str">
        <f>IF($AV2442="","",IF(AND($Z2442=0,COUNTIF('AR SALES'!$L$2:$L$2501,$L2442)=0),"YES",""))</f>
        <v/>
      </c>
      <c r="AZ2442" s="2" t="str">
        <f>IF($AV2442="","",IF(COUNTIF(LISTS!$C$2:$C$250,$AU2442)=0,"NEW",""))</f>
        <v/>
      </c>
      <c r="BA2442" s="2" t="str">
        <f>IF(""&amp;$F2442&lt;&gt;"4","",IF($AY2442="YES","",IF(ROUND(SUMIFS($AE$2:$AE$4001,$L$2:$L$4001,$L2442,$F$2:$F$4001,"4")-SUMIFS('AR SALES'!$Y$2:$Y$2501,'AR SALES'!$L$2:$L$2501,$L2442,'AR SALES'!$AD$2:$AD$2501,"OFF"),2)=0,"","STALE")))</f>
        <v/>
      </c>
      <c r="BB2442" s="2" t="str">
        <f>IF(OR(""&amp;$F2442="2",""&amp;$F2442="4",""&amp;$F2442="G",""&amp;$F2442="H"),IF($AY2442="YES","",IF($AB2442&lt;&gt;0,"",IF(COUNTIFS('AR SALES'!$L$2:$L$2501,$L2442,'AR SALES'!$AD$2:$AD$2501,IF(""&amp;$F2442="4","OFF","ON"),'AR SALES'!$AF$2:$AF$2501,"Y")&gt;0,"","NO EXEMPTION"))),"")</f>
        <v/>
      </c>
    </row>
    <row r="2443" spans="46:54" x14ac:dyDescent="0.25">
      <c r="AT2443" s="2" t="str">
        <f>IF($L2443="","",IFERROR(INDEX('AR SALES'!$H$2:$H$2501,MATCH(""&amp;$L2443,'AR SALES'!$AE$2:$AE$2501,0)),""))</f>
        <v/>
      </c>
      <c r="AU2443" s="2" t="str">
        <f t="shared" si="152"/>
        <v/>
      </c>
      <c r="AV2443" s="2" t="str">
        <f t="shared" si="153"/>
        <v/>
      </c>
      <c r="AW2443" s="2" t="str">
        <f t="shared" si="154"/>
        <v/>
      </c>
      <c r="AX2443" s="2" t="str">
        <f t="shared" si="155"/>
        <v/>
      </c>
      <c r="AY2443" s="2" t="str">
        <f>IF($AV2443="","",IF(AND($Z2443=0,COUNTIF('AR SALES'!$L$2:$L$2501,$L2443)=0),"YES",""))</f>
        <v/>
      </c>
      <c r="AZ2443" s="2" t="str">
        <f>IF($AV2443="","",IF(COUNTIF(LISTS!$C$2:$C$250,$AU2443)=0,"NEW",""))</f>
        <v/>
      </c>
      <c r="BA2443" s="2" t="str">
        <f>IF(""&amp;$F2443&lt;&gt;"4","",IF($AY2443="YES","",IF(ROUND(SUMIFS($AE$2:$AE$4001,$L$2:$L$4001,$L2443,$F$2:$F$4001,"4")-SUMIFS('AR SALES'!$Y$2:$Y$2501,'AR SALES'!$L$2:$L$2501,$L2443,'AR SALES'!$AD$2:$AD$2501,"OFF"),2)=0,"","STALE")))</f>
        <v/>
      </c>
      <c r="BB2443" s="2" t="str">
        <f>IF(OR(""&amp;$F2443="2",""&amp;$F2443="4",""&amp;$F2443="G",""&amp;$F2443="H"),IF($AY2443="YES","",IF($AB2443&lt;&gt;0,"",IF(COUNTIFS('AR SALES'!$L$2:$L$2501,$L2443,'AR SALES'!$AD$2:$AD$2501,IF(""&amp;$F2443="4","OFF","ON"),'AR SALES'!$AF$2:$AF$2501,"Y")&gt;0,"","NO EXEMPTION"))),"")</f>
        <v/>
      </c>
    </row>
    <row r="2444" spans="46:54" x14ac:dyDescent="0.25">
      <c r="AT2444" s="2" t="str">
        <f>IF($L2444="","",IFERROR(INDEX('AR SALES'!$H$2:$H$2501,MATCH(""&amp;$L2444,'AR SALES'!$AE$2:$AE$2501,0)),""))</f>
        <v/>
      </c>
      <c r="AU2444" s="2" t="str">
        <f t="shared" si="152"/>
        <v/>
      </c>
      <c r="AV2444" s="2" t="str">
        <f t="shared" si="153"/>
        <v/>
      </c>
      <c r="AW2444" s="2" t="str">
        <f t="shared" si="154"/>
        <v/>
      </c>
      <c r="AX2444" s="2" t="str">
        <f t="shared" si="155"/>
        <v/>
      </c>
      <c r="AY2444" s="2" t="str">
        <f>IF($AV2444="","",IF(AND($Z2444=0,COUNTIF('AR SALES'!$L$2:$L$2501,$L2444)=0),"YES",""))</f>
        <v/>
      </c>
      <c r="AZ2444" s="2" t="str">
        <f>IF($AV2444="","",IF(COUNTIF(LISTS!$C$2:$C$250,$AU2444)=0,"NEW",""))</f>
        <v/>
      </c>
      <c r="BA2444" s="2" t="str">
        <f>IF(""&amp;$F2444&lt;&gt;"4","",IF($AY2444="YES","",IF(ROUND(SUMIFS($AE$2:$AE$4001,$L$2:$L$4001,$L2444,$F$2:$F$4001,"4")-SUMIFS('AR SALES'!$Y$2:$Y$2501,'AR SALES'!$L$2:$L$2501,$L2444,'AR SALES'!$AD$2:$AD$2501,"OFF"),2)=0,"","STALE")))</f>
        <v/>
      </c>
      <c r="BB2444" s="2" t="str">
        <f>IF(OR(""&amp;$F2444="2",""&amp;$F2444="4",""&amp;$F2444="G",""&amp;$F2444="H"),IF($AY2444="YES","",IF($AB2444&lt;&gt;0,"",IF(COUNTIFS('AR SALES'!$L$2:$L$2501,$L2444,'AR SALES'!$AD$2:$AD$2501,IF(""&amp;$F2444="4","OFF","ON"),'AR SALES'!$AF$2:$AF$2501,"Y")&gt;0,"","NO EXEMPTION"))),"")</f>
        <v/>
      </c>
    </row>
    <row r="2445" spans="46:54" x14ac:dyDescent="0.25">
      <c r="AT2445" s="2" t="str">
        <f>IF($L2445="","",IFERROR(INDEX('AR SALES'!$H$2:$H$2501,MATCH(""&amp;$L2445,'AR SALES'!$AE$2:$AE$2501,0)),""))</f>
        <v/>
      </c>
      <c r="AU2445" s="2" t="str">
        <f t="shared" si="152"/>
        <v/>
      </c>
      <c r="AV2445" s="2" t="str">
        <f t="shared" si="153"/>
        <v/>
      </c>
      <c r="AW2445" s="2" t="str">
        <f t="shared" si="154"/>
        <v/>
      </c>
      <c r="AX2445" s="2" t="str">
        <f t="shared" si="155"/>
        <v/>
      </c>
      <c r="AY2445" s="2" t="str">
        <f>IF($AV2445="","",IF(AND($Z2445=0,COUNTIF('AR SALES'!$L$2:$L$2501,$L2445)=0),"YES",""))</f>
        <v/>
      </c>
      <c r="AZ2445" s="2" t="str">
        <f>IF($AV2445="","",IF(COUNTIF(LISTS!$C$2:$C$250,$AU2445)=0,"NEW",""))</f>
        <v/>
      </c>
      <c r="BA2445" s="2" t="str">
        <f>IF(""&amp;$F2445&lt;&gt;"4","",IF($AY2445="YES","",IF(ROUND(SUMIFS($AE$2:$AE$4001,$L$2:$L$4001,$L2445,$F$2:$F$4001,"4")-SUMIFS('AR SALES'!$Y$2:$Y$2501,'AR SALES'!$L$2:$L$2501,$L2445,'AR SALES'!$AD$2:$AD$2501,"OFF"),2)=0,"","STALE")))</f>
        <v/>
      </c>
      <c r="BB2445" s="2" t="str">
        <f>IF(OR(""&amp;$F2445="2",""&amp;$F2445="4",""&amp;$F2445="G",""&amp;$F2445="H"),IF($AY2445="YES","",IF($AB2445&lt;&gt;0,"",IF(COUNTIFS('AR SALES'!$L$2:$L$2501,$L2445,'AR SALES'!$AD$2:$AD$2501,IF(""&amp;$F2445="4","OFF","ON"),'AR SALES'!$AF$2:$AF$2501,"Y")&gt;0,"","NO EXEMPTION"))),"")</f>
        <v/>
      </c>
    </row>
    <row r="2446" spans="46:54" x14ac:dyDescent="0.25">
      <c r="AT2446" s="2" t="str">
        <f>IF($L2446="","",IFERROR(INDEX('AR SALES'!$H$2:$H$2501,MATCH(""&amp;$L2446,'AR SALES'!$AE$2:$AE$2501,0)),""))</f>
        <v/>
      </c>
      <c r="AU2446" s="2" t="str">
        <f t="shared" si="152"/>
        <v/>
      </c>
      <c r="AV2446" s="2" t="str">
        <f t="shared" si="153"/>
        <v/>
      </c>
      <c r="AW2446" s="2" t="str">
        <f t="shared" si="154"/>
        <v/>
      </c>
      <c r="AX2446" s="2" t="str">
        <f t="shared" si="155"/>
        <v/>
      </c>
      <c r="AY2446" s="2" t="str">
        <f>IF($AV2446="","",IF(AND($Z2446=0,COUNTIF('AR SALES'!$L$2:$L$2501,$L2446)=0),"YES",""))</f>
        <v/>
      </c>
      <c r="AZ2446" s="2" t="str">
        <f>IF($AV2446="","",IF(COUNTIF(LISTS!$C$2:$C$250,$AU2446)=0,"NEW",""))</f>
        <v/>
      </c>
      <c r="BA2446" s="2" t="str">
        <f>IF(""&amp;$F2446&lt;&gt;"4","",IF($AY2446="YES","",IF(ROUND(SUMIFS($AE$2:$AE$4001,$L$2:$L$4001,$L2446,$F$2:$F$4001,"4")-SUMIFS('AR SALES'!$Y$2:$Y$2501,'AR SALES'!$L$2:$L$2501,$L2446,'AR SALES'!$AD$2:$AD$2501,"OFF"),2)=0,"","STALE")))</f>
        <v/>
      </c>
      <c r="BB2446" s="2" t="str">
        <f>IF(OR(""&amp;$F2446="2",""&amp;$F2446="4",""&amp;$F2446="G",""&amp;$F2446="H"),IF($AY2446="YES","",IF($AB2446&lt;&gt;0,"",IF(COUNTIFS('AR SALES'!$L$2:$L$2501,$L2446,'AR SALES'!$AD$2:$AD$2501,IF(""&amp;$F2446="4","OFF","ON"),'AR SALES'!$AF$2:$AF$2501,"Y")&gt;0,"","NO EXEMPTION"))),"")</f>
        <v/>
      </c>
    </row>
    <row r="2447" spans="46:54" x14ac:dyDescent="0.25">
      <c r="AT2447" s="2" t="str">
        <f>IF($L2447="","",IFERROR(INDEX('AR SALES'!$H$2:$H$2501,MATCH(""&amp;$L2447,'AR SALES'!$AE$2:$AE$2501,0)),""))</f>
        <v/>
      </c>
      <c r="AU2447" s="2" t="str">
        <f t="shared" si="152"/>
        <v/>
      </c>
      <c r="AV2447" s="2" t="str">
        <f t="shared" si="153"/>
        <v/>
      </c>
      <c r="AW2447" s="2" t="str">
        <f t="shared" si="154"/>
        <v/>
      </c>
      <c r="AX2447" s="2" t="str">
        <f t="shared" si="155"/>
        <v/>
      </c>
      <c r="AY2447" s="2" t="str">
        <f>IF($AV2447="","",IF(AND($Z2447=0,COUNTIF('AR SALES'!$L$2:$L$2501,$L2447)=0),"YES",""))</f>
        <v/>
      </c>
      <c r="AZ2447" s="2" t="str">
        <f>IF($AV2447="","",IF(COUNTIF(LISTS!$C$2:$C$250,$AU2447)=0,"NEW",""))</f>
        <v/>
      </c>
      <c r="BA2447" s="2" t="str">
        <f>IF(""&amp;$F2447&lt;&gt;"4","",IF($AY2447="YES","",IF(ROUND(SUMIFS($AE$2:$AE$4001,$L$2:$L$4001,$L2447,$F$2:$F$4001,"4")-SUMIFS('AR SALES'!$Y$2:$Y$2501,'AR SALES'!$L$2:$L$2501,$L2447,'AR SALES'!$AD$2:$AD$2501,"OFF"),2)=0,"","STALE")))</f>
        <v/>
      </c>
      <c r="BB2447" s="2" t="str">
        <f>IF(OR(""&amp;$F2447="2",""&amp;$F2447="4",""&amp;$F2447="G",""&amp;$F2447="H"),IF($AY2447="YES","",IF($AB2447&lt;&gt;0,"",IF(COUNTIFS('AR SALES'!$L$2:$L$2501,$L2447,'AR SALES'!$AD$2:$AD$2501,IF(""&amp;$F2447="4","OFF","ON"),'AR SALES'!$AF$2:$AF$2501,"Y")&gt;0,"","NO EXEMPTION"))),"")</f>
        <v/>
      </c>
    </row>
    <row r="2448" spans="46:54" x14ac:dyDescent="0.25">
      <c r="AT2448" s="2" t="str">
        <f>IF($L2448="","",IFERROR(INDEX('AR SALES'!$H$2:$H$2501,MATCH(""&amp;$L2448,'AR SALES'!$AE$2:$AE$2501,0)),""))</f>
        <v/>
      </c>
      <c r="AU2448" s="2" t="str">
        <f t="shared" si="152"/>
        <v/>
      </c>
      <c r="AV2448" s="2" t="str">
        <f t="shared" si="153"/>
        <v/>
      </c>
      <c r="AW2448" s="2" t="str">
        <f t="shared" si="154"/>
        <v/>
      </c>
      <c r="AX2448" s="2" t="str">
        <f t="shared" si="155"/>
        <v/>
      </c>
      <c r="AY2448" s="2" t="str">
        <f>IF($AV2448="","",IF(AND($Z2448=0,COUNTIF('AR SALES'!$L$2:$L$2501,$L2448)=0),"YES",""))</f>
        <v/>
      </c>
      <c r="AZ2448" s="2" t="str">
        <f>IF($AV2448="","",IF(COUNTIF(LISTS!$C$2:$C$250,$AU2448)=0,"NEW",""))</f>
        <v/>
      </c>
      <c r="BA2448" s="2" t="str">
        <f>IF(""&amp;$F2448&lt;&gt;"4","",IF($AY2448="YES","",IF(ROUND(SUMIFS($AE$2:$AE$4001,$L$2:$L$4001,$L2448,$F$2:$F$4001,"4")-SUMIFS('AR SALES'!$Y$2:$Y$2501,'AR SALES'!$L$2:$L$2501,$L2448,'AR SALES'!$AD$2:$AD$2501,"OFF"),2)=0,"","STALE")))</f>
        <v/>
      </c>
      <c r="BB2448" s="2" t="str">
        <f>IF(OR(""&amp;$F2448="2",""&amp;$F2448="4",""&amp;$F2448="G",""&amp;$F2448="H"),IF($AY2448="YES","",IF($AB2448&lt;&gt;0,"",IF(COUNTIFS('AR SALES'!$L$2:$L$2501,$L2448,'AR SALES'!$AD$2:$AD$2501,IF(""&amp;$F2448="4","OFF","ON"),'AR SALES'!$AF$2:$AF$2501,"Y")&gt;0,"","NO EXEMPTION"))),"")</f>
        <v/>
      </c>
    </row>
    <row r="2449" spans="46:54" x14ac:dyDescent="0.25">
      <c r="AT2449" s="2" t="str">
        <f>IF($L2449="","",IFERROR(INDEX('AR SALES'!$H$2:$H$2501,MATCH(""&amp;$L2449,'AR SALES'!$AE$2:$AE$2501,0)),""))</f>
        <v/>
      </c>
      <c r="AU2449" s="2" t="str">
        <f t="shared" si="152"/>
        <v/>
      </c>
      <c r="AV2449" s="2" t="str">
        <f t="shared" si="153"/>
        <v/>
      </c>
      <c r="AW2449" s="2" t="str">
        <f t="shared" si="154"/>
        <v/>
      </c>
      <c r="AX2449" s="2" t="str">
        <f t="shared" si="155"/>
        <v/>
      </c>
      <c r="AY2449" s="2" t="str">
        <f>IF($AV2449="","",IF(AND($Z2449=0,COUNTIF('AR SALES'!$L$2:$L$2501,$L2449)=0),"YES",""))</f>
        <v/>
      </c>
      <c r="AZ2449" s="2" t="str">
        <f>IF($AV2449="","",IF(COUNTIF(LISTS!$C$2:$C$250,$AU2449)=0,"NEW",""))</f>
        <v/>
      </c>
      <c r="BA2449" s="2" t="str">
        <f>IF(""&amp;$F2449&lt;&gt;"4","",IF($AY2449="YES","",IF(ROUND(SUMIFS($AE$2:$AE$4001,$L$2:$L$4001,$L2449,$F$2:$F$4001,"4")-SUMIFS('AR SALES'!$Y$2:$Y$2501,'AR SALES'!$L$2:$L$2501,$L2449,'AR SALES'!$AD$2:$AD$2501,"OFF"),2)=0,"","STALE")))</f>
        <v/>
      </c>
      <c r="BB2449" s="2" t="str">
        <f>IF(OR(""&amp;$F2449="2",""&amp;$F2449="4",""&amp;$F2449="G",""&amp;$F2449="H"),IF($AY2449="YES","",IF($AB2449&lt;&gt;0,"",IF(COUNTIFS('AR SALES'!$L$2:$L$2501,$L2449,'AR SALES'!$AD$2:$AD$2501,IF(""&amp;$F2449="4","OFF","ON"),'AR SALES'!$AF$2:$AF$2501,"Y")&gt;0,"","NO EXEMPTION"))),"")</f>
        <v/>
      </c>
    </row>
    <row r="2450" spans="46:54" x14ac:dyDescent="0.25">
      <c r="AT2450" s="2" t="str">
        <f>IF($L2450="","",IFERROR(INDEX('AR SALES'!$H$2:$H$2501,MATCH(""&amp;$L2450,'AR SALES'!$AE$2:$AE$2501,0)),""))</f>
        <v/>
      </c>
      <c r="AU2450" s="2" t="str">
        <f t="shared" si="152"/>
        <v/>
      </c>
      <c r="AV2450" s="2" t="str">
        <f t="shared" si="153"/>
        <v/>
      </c>
      <c r="AW2450" s="2" t="str">
        <f t="shared" si="154"/>
        <v/>
      </c>
      <c r="AX2450" s="2" t="str">
        <f t="shared" si="155"/>
        <v/>
      </c>
      <c r="AY2450" s="2" t="str">
        <f>IF($AV2450="","",IF(AND($Z2450=0,COUNTIF('AR SALES'!$L$2:$L$2501,$L2450)=0),"YES",""))</f>
        <v/>
      </c>
      <c r="AZ2450" s="2" t="str">
        <f>IF($AV2450="","",IF(COUNTIF(LISTS!$C$2:$C$250,$AU2450)=0,"NEW",""))</f>
        <v/>
      </c>
      <c r="BA2450" s="2" t="str">
        <f>IF(""&amp;$F2450&lt;&gt;"4","",IF($AY2450="YES","",IF(ROUND(SUMIFS($AE$2:$AE$4001,$L$2:$L$4001,$L2450,$F$2:$F$4001,"4")-SUMIFS('AR SALES'!$Y$2:$Y$2501,'AR SALES'!$L$2:$L$2501,$L2450,'AR SALES'!$AD$2:$AD$2501,"OFF"),2)=0,"","STALE")))</f>
        <v/>
      </c>
      <c r="BB2450" s="2" t="str">
        <f>IF(OR(""&amp;$F2450="2",""&amp;$F2450="4",""&amp;$F2450="G",""&amp;$F2450="H"),IF($AY2450="YES","",IF($AB2450&lt;&gt;0,"",IF(COUNTIFS('AR SALES'!$L$2:$L$2501,$L2450,'AR SALES'!$AD$2:$AD$2501,IF(""&amp;$F2450="4","OFF","ON"),'AR SALES'!$AF$2:$AF$2501,"Y")&gt;0,"","NO EXEMPTION"))),"")</f>
        <v/>
      </c>
    </row>
    <row r="2451" spans="46:54" x14ac:dyDescent="0.25">
      <c r="AT2451" s="2" t="str">
        <f>IF($L2451="","",IFERROR(INDEX('AR SALES'!$H$2:$H$2501,MATCH(""&amp;$L2451,'AR SALES'!$AE$2:$AE$2501,0)),""))</f>
        <v/>
      </c>
      <c r="AU2451" s="2" t="str">
        <f t="shared" si="152"/>
        <v/>
      </c>
      <c r="AV2451" s="2" t="str">
        <f t="shared" si="153"/>
        <v/>
      </c>
      <c r="AW2451" s="2" t="str">
        <f t="shared" si="154"/>
        <v/>
      </c>
      <c r="AX2451" s="2" t="str">
        <f t="shared" si="155"/>
        <v/>
      </c>
      <c r="AY2451" s="2" t="str">
        <f>IF($AV2451="","",IF(AND($Z2451=0,COUNTIF('AR SALES'!$L$2:$L$2501,$L2451)=0),"YES",""))</f>
        <v/>
      </c>
      <c r="AZ2451" s="2" t="str">
        <f>IF($AV2451="","",IF(COUNTIF(LISTS!$C$2:$C$250,$AU2451)=0,"NEW",""))</f>
        <v/>
      </c>
      <c r="BA2451" s="2" t="str">
        <f>IF(""&amp;$F2451&lt;&gt;"4","",IF($AY2451="YES","",IF(ROUND(SUMIFS($AE$2:$AE$4001,$L$2:$L$4001,$L2451,$F$2:$F$4001,"4")-SUMIFS('AR SALES'!$Y$2:$Y$2501,'AR SALES'!$L$2:$L$2501,$L2451,'AR SALES'!$AD$2:$AD$2501,"OFF"),2)=0,"","STALE")))</f>
        <v/>
      </c>
      <c r="BB2451" s="2" t="str">
        <f>IF(OR(""&amp;$F2451="2",""&amp;$F2451="4",""&amp;$F2451="G",""&amp;$F2451="H"),IF($AY2451="YES","",IF($AB2451&lt;&gt;0,"",IF(COUNTIFS('AR SALES'!$L$2:$L$2501,$L2451,'AR SALES'!$AD$2:$AD$2501,IF(""&amp;$F2451="4","OFF","ON"),'AR SALES'!$AF$2:$AF$2501,"Y")&gt;0,"","NO EXEMPTION"))),"")</f>
        <v/>
      </c>
    </row>
    <row r="2452" spans="46:54" x14ac:dyDescent="0.25">
      <c r="AT2452" s="2" t="str">
        <f>IF($L2452="","",IFERROR(INDEX('AR SALES'!$H$2:$H$2501,MATCH(""&amp;$L2452,'AR SALES'!$AE$2:$AE$2501,0)),""))</f>
        <v/>
      </c>
      <c r="AU2452" s="2" t="str">
        <f t="shared" si="152"/>
        <v/>
      </c>
      <c r="AV2452" s="2" t="str">
        <f t="shared" si="153"/>
        <v/>
      </c>
      <c r="AW2452" s="2" t="str">
        <f t="shared" si="154"/>
        <v/>
      </c>
      <c r="AX2452" s="2" t="str">
        <f t="shared" si="155"/>
        <v/>
      </c>
      <c r="AY2452" s="2" t="str">
        <f>IF($AV2452="","",IF(AND($Z2452=0,COUNTIF('AR SALES'!$L$2:$L$2501,$L2452)=0),"YES",""))</f>
        <v/>
      </c>
      <c r="AZ2452" s="2" t="str">
        <f>IF($AV2452="","",IF(COUNTIF(LISTS!$C$2:$C$250,$AU2452)=0,"NEW",""))</f>
        <v/>
      </c>
      <c r="BA2452" s="2" t="str">
        <f>IF(""&amp;$F2452&lt;&gt;"4","",IF($AY2452="YES","",IF(ROUND(SUMIFS($AE$2:$AE$4001,$L$2:$L$4001,$L2452,$F$2:$F$4001,"4")-SUMIFS('AR SALES'!$Y$2:$Y$2501,'AR SALES'!$L$2:$L$2501,$L2452,'AR SALES'!$AD$2:$AD$2501,"OFF"),2)=0,"","STALE")))</f>
        <v/>
      </c>
      <c r="BB2452" s="2" t="str">
        <f>IF(OR(""&amp;$F2452="2",""&amp;$F2452="4",""&amp;$F2452="G",""&amp;$F2452="H"),IF($AY2452="YES","",IF($AB2452&lt;&gt;0,"",IF(COUNTIFS('AR SALES'!$L$2:$L$2501,$L2452,'AR SALES'!$AD$2:$AD$2501,IF(""&amp;$F2452="4","OFF","ON"),'AR SALES'!$AF$2:$AF$2501,"Y")&gt;0,"","NO EXEMPTION"))),"")</f>
        <v/>
      </c>
    </row>
    <row r="2453" spans="46:54" x14ac:dyDescent="0.25">
      <c r="AT2453" s="2" t="str">
        <f>IF($L2453="","",IFERROR(INDEX('AR SALES'!$H$2:$H$2501,MATCH(""&amp;$L2453,'AR SALES'!$AE$2:$AE$2501,0)),""))</f>
        <v/>
      </c>
      <c r="AU2453" s="2" t="str">
        <f t="shared" si="152"/>
        <v/>
      </c>
      <c r="AV2453" s="2" t="str">
        <f t="shared" si="153"/>
        <v/>
      </c>
      <c r="AW2453" s="2" t="str">
        <f t="shared" si="154"/>
        <v/>
      </c>
      <c r="AX2453" s="2" t="str">
        <f t="shared" si="155"/>
        <v/>
      </c>
      <c r="AY2453" s="2" t="str">
        <f>IF($AV2453="","",IF(AND($Z2453=0,COUNTIF('AR SALES'!$L$2:$L$2501,$L2453)=0),"YES",""))</f>
        <v/>
      </c>
      <c r="AZ2453" s="2" t="str">
        <f>IF($AV2453="","",IF(COUNTIF(LISTS!$C$2:$C$250,$AU2453)=0,"NEW",""))</f>
        <v/>
      </c>
      <c r="BA2453" s="2" t="str">
        <f>IF(""&amp;$F2453&lt;&gt;"4","",IF($AY2453="YES","",IF(ROUND(SUMIFS($AE$2:$AE$4001,$L$2:$L$4001,$L2453,$F$2:$F$4001,"4")-SUMIFS('AR SALES'!$Y$2:$Y$2501,'AR SALES'!$L$2:$L$2501,$L2453,'AR SALES'!$AD$2:$AD$2501,"OFF"),2)=0,"","STALE")))</f>
        <v/>
      </c>
      <c r="BB2453" s="2" t="str">
        <f>IF(OR(""&amp;$F2453="2",""&amp;$F2453="4",""&amp;$F2453="G",""&amp;$F2453="H"),IF($AY2453="YES","",IF($AB2453&lt;&gt;0,"",IF(COUNTIFS('AR SALES'!$L$2:$L$2501,$L2453,'AR SALES'!$AD$2:$AD$2501,IF(""&amp;$F2453="4","OFF","ON"),'AR SALES'!$AF$2:$AF$2501,"Y")&gt;0,"","NO EXEMPTION"))),"")</f>
        <v/>
      </c>
    </row>
    <row r="2454" spans="46:54" x14ac:dyDescent="0.25">
      <c r="AT2454" s="2" t="str">
        <f>IF($L2454="","",IFERROR(INDEX('AR SALES'!$H$2:$H$2501,MATCH(""&amp;$L2454,'AR SALES'!$AE$2:$AE$2501,0)),""))</f>
        <v/>
      </c>
      <c r="AU2454" s="2" t="str">
        <f t="shared" si="152"/>
        <v/>
      </c>
      <c r="AV2454" s="2" t="str">
        <f t="shared" si="153"/>
        <v/>
      </c>
      <c r="AW2454" s="2" t="str">
        <f t="shared" si="154"/>
        <v/>
      </c>
      <c r="AX2454" s="2" t="str">
        <f t="shared" si="155"/>
        <v/>
      </c>
      <c r="AY2454" s="2" t="str">
        <f>IF($AV2454="","",IF(AND($Z2454=0,COUNTIF('AR SALES'!$L$2:$L$2501,$L2454)=0),"YES",""))</f>
        <v/>
      </c>
      <c r="AZ2454" s="2" t="str">
        <f>IF($AV2454="","",IF(COUNTIF(LISTS!$C$2:$C$250,$AU2454)=0,"NEW",""))</f>
        <v/>
      </c>
      <c r="BA2454" s="2" t="str">
        <f>IF(""&amp;$F2454&lt;&gt;"4","",IF($AY2454="YES","",IF(ROUND(SUMIFS($AE$2:$AE$4001,$L$2:$L$4001,$L2454,$F$2:$F$4001,"4")-SUMIFS('AR SALES'!$Y$2:$Y$2501,'AR SALES'!$L$2:$L$2501,$L2454,'AR SALES'!$AD$2:$AD$2501,"OFF"),2)=0,"","STALE")))</f>
        <v/>
      </c>
      <c r="BB2454" s="2" t="str">
        <f>IF(OR(""&amp;$F2454="2",""&amp;$F2454="4",""&amp;$F2454="G",""&amp;$F2454="H"),IF($AY2454="YES","",IF($AB2454&lt;&gt;0,"",IF(COUNTIFS('AR SALES'!$L$2:$L$2501,$L2454,'AR SALES'!$AD$2:$AD$2501,IF(""&amp;$F2454="4","OFF","ON"),'AR SALES'!$AF$2:$AF$2501,"Y")&gt;0,"","NO EXEMPTION"))),"")</f>
        <v/>
      </c>
    </row>
    <row r="2455" spans="46:54" x14ac:dyDescent="0.25">
      <c r="AT2455" s="2" t="str">
        <f>IF($L2455="","",IFERROR(INDEX('AR SALES'!$H$2:$H$2501,MATCH(""&amp;$L2455,'AR SALES'!$AE$2:$AE$2501,0)),""))</f>
        <v/>
      </c>
      <c r="AU2455" s="2" t="str">
        <f t="shared" si="152"/>
        <v/>
      </c>
      <c r="AV2455" s="2" t="str">
        <f t="shared" si="153"/>
        <v/>
      </c>
      <c r="AW2455" s="2" t="str">
        <f t="shared" si="154"/>
        <v/>
      </c>
      <c r="AX2455" s="2" t="str">
        <f t="shared" si="155"/>
        <v/>
      </c>
      <c r="AY2455" s="2" t="str">
        <f>IF($AV2455="","",IF(AND($Z2455=0,COUNTIF('AR SALES'!$L$2:$L$2501,$L2455)=0),"YES",""))</f>
        <v/>
      </c>
      <c r="AZ2455" s="2" t="str">
        <f>IF($AV2455="","",IF(COUNTIF(LISTS!$C$2:$C$250,$AU2455)=0,"NEW",""))</f>
        <v/>
      </c>
      <c r="BA2455" s="2" t="str">
        <f>IF(""&amp;$F2455&lt;&gt;"4","",IF($AY2455="YES","",IF(ROUND(SUMIFS($AE$2:$AE$4001,$L$2:$L$4001,$L2455,$F$2:$F$4001,"4")-SUMIFS('AR SALES'!$Y$2:$Y$2501,'AR SALES'!$L$2:$L$2501,$L2455,'AR SALES'!$AD$2:$AD$2501,"OFF"),2)=0,"","STALE")))</f>
        <v/>
      </c>
      <c r="BB2455" s="2" t="str">
        <f>IF(OR(""&amp;$F2455="2",""&amp;$F2455="4",""&amp;$F2455="G",""&amp;$F2455="H"),IF($AY2455="YES","",IF($AB2455&lt;&gt;0,"",IF(COUNTIFS('AR SALES'!$L$2:$L$2501,$L2455,'AR SALES'!$AD$2:$AD$2501,IF(""&amp;$F2455="4","OFF","ON"),'AR SALES'!$AF$2:$AF$2501,"Y")&gt;0,"","NO EXEMPTION"))),"")</f>
        <v/>
      </c>
    </row>
    <row r="2456" spans="46:54" x14ac:dyDescent="0.25">
      <c r="AT2456" s="2" t="str">
        <f>IF($L2456="","",IFERROR(INDEX('AR SALES'!$H$2:$H$2501,MATCH(""&amp;$L2456,'AR SALES'!$AE$2:$AE$2501,0)),""))</f>
        <v/>
      </c>
      <c r="AU2456" s="2" t="str">
        <f t="shared" si="152"/>
        <v/>
      </c>
      <c r="AV2456" s="2" t="str">
        <f t="shared" si="153"/>
        <v/>
      </c>
      <c r="AW2456" s="2" t="str">
        <f t="shared" si="154"/>
        <v/>
      </c>
      <c r="AX2456" s="2" t="str">
        <f t="shared" si="155"/>
        <v/>
      </c>
      <c r="AY2456" s="2" t="str">
        <f>IF($AV2456="","",IF(AND($Z2456=0,COUNTIF('AR SALES'!$L$2:$L$2501,$L2456)=0),"YES",""))</f>
        <v/>
      </c>
      <c r="AZ2456" s="2" t="str">
        <f>IF($AV2456="","",IF(COUNTIF(LISTS!$C$2:$C$250,$AU2456)=0,"NEW",""))</f>
        <v/>
      </c>
      <c r="BA2456" s="2" t="str">
        <f>IF(""&amp;$F2456&lt;&gt;"4","",IF($AY2456="YES","",IF(ROUND(SUMIFS($AE$2:$AE$4001,$L$2:$L$4001,$L2456,$F$2:$F$4001,"4")-SUMIFS('AR SALES'!$Y$2:$Y$2501,'AR SALES'!$L$2:$L$2501,$L2456,'AR SALES'!$AD$2:$AD$2501,"OFF"),2)=0,"","STALE")))</f>
        <v/>
      </c>
      <c r="BB2456" s="2" t="str">
        <f>IF(OR(""&amp;$F2456="2",""&amp;$F2456="4",""&amp;$F2456="G",""&amp;$F2456="H"),IF($AY2456="YES","",IF($AB2456&lt;&gt;0,"",IF(COUNTIFS('AR SALES'!$L$2:$L$2501,$L2456,'AR SALES'!$AD$2:$AD$2501,IF(""&amp;$F2456="4","OFF","ON"),'AR SALES'!$AF$2:$AF$2501,"Y")&gt;0,"","NO EXEMPTION"))),"")</f>
        <v/>
      </c>
    </row>
    <row r="2457" spans="46:54" x14ac:dyDescent="0.25">
      <c r="AT2457" s="2" t="str">
        <f>IF($L2457="","",IFERROR(INDEX('AR SALES'!$H$2:$H$2501,MATCH(""&amp;$L2457,'AR SALES'!$AE$2:$AE$2501,0)),""))</f>
        <v/>
      </c>
      <c r="AU2457" s="2" t="str">
        <f t="shared" si="152"/>
        <v/>
      </c>
      <c r="AV2457" s="2" t="str">
        <f t="shared" si="153"/>
        <v/>
      </c>
      <c r="AW2457" s="2" t="str">
        <f t="shared" si="154"/>
        <v/>
      </c>
      <c r="AX2457" s="2" t="str">
        <f t="shared" si="155"/>
        <v/>
      </c>
      <c r="AY2457" s="2" t="str">
        <f>IF($AV2457="","",IF(AND($Z2457=0,COUNTIF('AR SALES'!$L$2:$L$2501,$L2457)=0),"YES",""))</f>
        <v/>
      </c>
      <c r="AZ2457" s="2" t="str">
        <f>IF($AV2457="","",IF(COUNTIF(LISTS!$C$2:$C$250,$AU2457)=0,"NEW",""))</f>
        <v/>
      </c>
      <c r="BA2457" s="2" t="str">
        <f>IF(""&amp;$F2457&lt;&gt;"4","",IF($AY2457="YES","",IF(ROUND(SUMIFS($AE$2:$AE$4001,$L$2:$L$4001,$L2457,$F$2:$F$4001,"4")-SUMIFS('AR SALES'!$Y$2:$Y$2501,'AR SALES'!$L$2:$L$2501,$L2457,'AR SALES'!$AD$2:$AD$2501,"OFF"),2)=0,"","STALE")))</f>
        <v/>
      </c>
      <c r="BB2457" s="2" t="str">
        <f>IF(OR(""&amp;$F2457="2",""&amp;$F2457="4",""&amp;$F2457="G",""&amp;$F2457="H"),IF($AY2457="YES","",IF($AB2457&lt;&gt;0,"",IF(COUNTIFS('AR SALES'!$L$2:$L$2501,$L2457,'AR SALES'!$AD$2:$AD$2501,IF(""&amp;$F2457="4","OFF","ON"),'AR SALES'!$AF$2:$AF$2501,"Y")&gt;0,"","NO EXEMPTION"))),"")</f>
        <v/>
      </c>
    </row>
    <row r="2458" spans="46:54" x14ac:dyDescent="0.25">
      <c r="AT2458" s="2" t="str">
        <f>IF($L2458="","",IFERROR(INDEX('AR SALES'!$H$2:$H$2501,MATCH(""&amp;$L2458,'AR SALES'!$AE$2:$AE$2501,0)),""))</f>
        <v/>
      </c>
      <c r="AU2458" s="2" t="str">
        <f t="shared" si="152"/>
        <v/>
      </c>
      <c r="AV2458" s="2" t="str">
        <f t="shared" si="153"/>
        <v/>
      </c>
      <c r="AW2458" s="2" t="str">
        <f t="shared" si="154"/>
        <v/>
      </c>
      <c r="AX2458" s="2" t="str">
        <f t="shared" si="155"/>
        <v/>
      </c>
      <c r="AY2458" s="2" t="str">
        <f>IF($AV2458="","",IF(AND($Z2458=0,COUNTIF('AR SALES'!$L$2:$L$2501,$L2458)=0),"YES",""))</f>
        <v/>
      </c>
      <c r="AZ2458" s="2" t="str">
        <f>IF($AV2458="","",IF(COUNTIF(LISTS!$C$2:$C$250,$AU2458)=0,"NEW",""))</f>
        <v/>
      </c>
      <c r="BA2458" s="2" t="str">
        <f>IF(""&amp;$F2458&lt;&gt;"4","",IF($AY2458="YES","",IF(ROUND(SUMIFS($AE$2:$AE$4001,$L$2:$L$4001,$L2458,$F$2:$F$4001,"4")-SUMIFS('AR SALES'!$Y$2:$Y$2501,'AR SALES'!$L$2:$L$2501,$L2458,'AR SALES'!$AD$2:$AD$2501,"OFF"),2)=0,"","STALE")))</f>
        <v/>
      </c>
      <c r="BB2458" s="2" t="str">
        <f>IF(OR(""&amp;$F2458="2",""&amp;$F2458="4",""&amp;$F2458="G",""&amp;$F2458="H"),IF($AY2458="YES","",IF($AB2458&lt;&gt;0,"",IF(COUNTIFS('AR SALES'!$L$2:$L$2501,$L2458,'AR SALES'!$AD$2:$AD$2501,IF(""&amp;$F2458="4","OFF","ON"),'AR SALES'!$AF$2:$AF$2501,"Y")&gt;0,"","NO EXEMPTION"))),"")</f>
        <v/>
      </c>
    </row>
    <row r="2459" spans="46:54" x14ac:dyDescent="0.25">
      <c r="AT2459" s="2" t="str">
        <f>IF($L2459="","",IFERROR(INDEX('AR SALES'!$H$2:$H$2501,MATCH(""&amp;$L2459,'AR SALES'!$AE$2:$AE$2501,0)),""))</f>
        <v/>
      </c>
      <c r="AU2459" s="2" t="str">
        <f t="shared" si="152"/>
        <v/>
      </c>
      <c r="AV2459" s="2" t="str">
        <f t="shared" si="153"/>
        <v/>
      </c>
      <c r="AW2459" s="2" t="str">
        <f t="shared" si="154"/>
        <v/>
      </c>
      <c r="AX2459" s="2" t="str">
        <f t="shared" si="155"/>
        <v/>
      </c>
      <c r="AY2459" s="2" t="str">
        <f>IF($AV2459="","",IF(AND($Z2459=0,COUNTIF('AR SALES'!$L$2:$L$2501,$L2459)=0),"YES",""))</f>
        <v/>
      </c>
      <c r="AZ2459" s="2" t="str">
        <f>IF($AV2459="","",IF(COUNTIF(LISTS!$C$2:$C$250,$AU2459)=0,"NEW",""))</f>
        <v/>
      </c>
      <c r="BA2459" s="2" t="str">
        <f>IF(""&amp;$F2459&lt;&gt;"4","",IF($AY2459="YES","",IF(ROUND(SUMIFS($AE$2:$AE$4001,$L$2:$L$4001,$L2459,$F$2:$F$4001,"4")-SUMIFS('AR SALES'!$Y$2:$Y$2501,'AR SALES'!$L$2:$L$2501,$L2459,'AR SALES'!$AD$2:$AD$2501,"OFF"),2)=0,"","STALE")))</f>
        <v/>
      </c>
      <c r="BB2459" s="2" t="str">
        <f>IF(OR(""&amp;$F2459="2",""&amp;$F2459="4",""&amp;$F2459="G",""&amp;$F2459="H"),IF($AY2459="YES","",IF($AB2459&lt;&gt;0,"",IF(COUNTIFS('AR SALES'!$L$2:$L$2501,$L2459,'AR SALES'!$AD$2:$AD$2501,IF(""&amp;$F2459="4","OFF","ON"),'AR SALES'!$AF$2:$AF$2501,"Y")&gt;0,"","NO EXEMPTION"))),"")</f>
        <v/>
      </c>
    </row>
    <row r="2460" spans="46:54" x14ac:dyDescent="0.25">
      <c r="AT2460" s="2" t="str">
        <f>IF($L2460="","",IFERROR(INDEX('AR SALES'!$H$2:$H$2501,MATCH(""&amp;$L2460,'AR SALES'!$AE$2:$AE$2501,0)),""))</f>
        <v/>
      </c>
      <c r="AU2460" s="2" t="str">
        <f t="shared" si="152"/>
        <v/>
      </c>
      <c r="AV2460" s="2" t="str">
        <f t="shared" si="153"/>
        <v/>
      </c>
      <c r="AW2460" s="2" t="str">
        <f t="shared" si="154"/>
        <v/>
      </c>
      <c r="AX2460" s="2" t="str">
        <f t="shared" si="155"/>
        <v/>
      </c>
      <c r="AY2460" s="2" t="str">
        <f>IF($AV2460="","",IF(AND($Z2460=0,COUNTIF('AR SALES'!$L$2:$L$2501,$L2460)=0),"YES",""))</f>
        <v/>
      </c>
      <c r="AZ2460" s="2" t="str">
        <f>IF($AV2460="","",IF(COUNTIF(LISTS!$C$2:$C$250,$AU2460)=0,"NEW",""))</f>
        <v/>
      </c>
      <c r="BA2460" s="2" t="str">
        <f>IF(""&amp;$F2460&lt;&gt;"4","",IF($AY2460="YES","",IF(ROUND(SUMIFS($AE$2:$AE$4001,$L$2:$L$4001,$L2460,$F$2:$F$4001,"4")-SUMIFS('AR SALES'!$Y$2:$Y$2501,'AR SALES'!$L$2:$L$2501,$L2460,'AR SALES'!$AD$2:$AD$2501,"OFF"),2)=0,"","STALE")))</f>
        <v/>
      </c>
      <c r="BB2460" s="2" t="str">
        <f>IF(OR(""&amp;$F2460="2",""&amp;$F2460="4",""&amp;$F2460="G",""&amp;$F2460="H"),IF($AY2460="YES","",IF($AB2460&lt;&gt;0,"",IF(COUNTIFS('AR SALES'!$L$2:$L$2501,$L2460,'AR SALES'!$AD$2:$AD$2501,IF(""&amp;$F2460="4","OFF","ON"),'AR SALES'!$AF$2:$AF$2501,"Y")&gt;0,"","NO EXEMPTION"))),"")</f>
        <v/>
      </c>
    </row>
    <row r="2461" spans="46:54" x14ac:dyDescent="0.25">
      <c r="AT2461" s="2" t="str">
        <f>IF($L2461="","",IFERROR(INDEX('AR SALES'!$H$2:$H$2501,MATCH(""&amp;$L2461,'AR SALES'!$AE$2:$AE$2501,0)),""))</f>
        <v/>
      </c>
      <c r="AU2461" s="2" t="str">
        <f t="shared" si="152"/>
        <v/>
      </c>
      <c r="AV2461" s="2" t="str">
        <f t="shared" si="153"/>
        <v/>
      </c>
      <c r="AW2461" s="2" t="str">
        <f t="shared" si="154"/>
        <v/>
      </c>
      <c r="AX2461" s="2" t="str">
        <f t="shared" si="155"/>
        <v/>
      </c>
      <c r="AY2461" s="2" t="str">
        <f>IF($AV2461="","",IF(AND($Z2461=0,COUNTIF('AR SALES'!$L$2:$L$2501,$L2461)=0),"YES",""))</f>
        <v/>
      </c>
      <c r="AZ2461" s="2" t="str">
        <f>IF($AV2461="","",IF(COUNTIF(LISTS!$C$2:$C$250,$AU2461)=0,"NEW",""))</f>
        <v/>
      </c>
      <c r="BA2461" s="2" t="str">
        <f>IF(""&amp;$F2461&lt;&gt;"4","",IF($AY2461="YES","",IF(ROUND(SUMIFS($AE$2:$AE$4001,$L$2:$L$4001,$L2461,$F$2:$F$4001,"4")-SUMIFS('AR SALES'!$Y$2:$Y$2501,'AR SALES'!$L$2:$L$2501,$L2461,'AR SALES'!$AD$2:$AD$2501,"OFF"),2)=0,"","STALE")))</f>
        <v/>
      </c>
      <c r="BB2461" s="2" t="str">
        <f>IF(OR(""&amp;$F2461="2",""&amp;$F2461="4",""&amp;$F2461="G",""&amp;$F2461="H"),IF($AY2461="YES","",IF($AB2461&lt;&gt;0,"",IF(COUNTIFS('AR SALES'!$L$2:$L$2501,$L2461,'AR SALES'!$AD$2:$AD$2501,IF(""&amp;$F2461="4","OFF","ON"),'AR SALES'!$AF$2:$AF$2501,"Y")&gt;0,"","NO EXEMPTION"))),"")</f>
        <v/>
      </c>
    </row>
    <row r="2462" spans="46:54" x14ac:dyDescent="0.25">
      <c r="AT2462" s="2" t="str">
        <f>IF($L2462="","",IFERROR(INDEX('AR SALES'!$H$2:$H$2501,MATCH(""&amp;$L2462,'AR SALES'!$AE$2:$AE$2501,0)),""))</f>
        <v/>
      </c>
      <c r="AU2462" s="2" t="str">
        <f t="shared" si="152"/>
        <v/>
      </c>
      <c r="AV2462" s="2" t="str">
        <f t="shared" si="153"/>
        <v/>
      </c>
      <c r="AW2462" s="2" t="str">
        <f t="shared" si="154"/>
        <v/>
      </c>
      <c r="AX2462" s="2" t="str">
        <f t="shared" si="155"/>
        <v/>
      </c>
      <c r="AY2462" s="2" t="str">
        <f>IF($AV2462="","",IF(AND($Z2462=0,COUNTIF('AR SALES'!$L$2:$L$2501,$L2462)=0),"YES",""))</f>
        <v/>
      </c>
      <c r="AZ2462" s="2" t="str">
        <f>IF($AV2462="","",IF(COUNTIF(LISTS!$C$2:$C$250,$AU2462)=0,"NEW",""))</f>
        <v/>
      </c>
      <c r="BA2462" s="2" t="str">
        <f>IF(""&amp;$F2462&lt;&gt;"4","",IF($AY2462="YES","",IF(ROUND(SUMIFS($AE$2:$AE$4001,$L$2:$L$4001,$L2462,$F$2:$F$4001,"4")-SUMIFS('AR SALES'!$Y$2:$Y$2501,'AR SALES'!$L$2:$L$2501,$L2462,'AR SALES'!$AD$2:$AD$2501,"OFF"),2)=0,"","STALE")))</f>
        <v/>
      </c>
      <c r="BB2462" s="2" t="str">
        <f>IF(OR(""&amp;$F2462="2",""&amp;$F2462="4",""&amp;$F2462="G",""&amp;$F2462="H"),IF($AY2462="YES","",IF($AB2462&lt;&gt;0,"",IF(COUNTIFS('AR SALES'!$L$2:$L$2501,$L2462,'AR SALES'!$AD$2:$AD$2501,IF(""&amp;$F2462="4","OFF","ON"),'AR SALES'!$AF$2:$AF$2501,"Y")&gt;0,"","NO EXEMPTION"))),"")</f>
        <v/>
      </c>
    </row>
    <row r="2463" spans="46:54" x14ac:dyDescent="0.25">
      <c r="AT2463" s="2" t="str">
        <f>IF($L2463="","",IFERROR(INDEX('AR SALES'!$H$2:$H$2501,MATCH(""&amp;$L2463,'AR SALES'!$AE$2:$AE$2501,0)),""))</f>
        <v/>
      </c>
      <c r="AU2463" s="2" t="str">
        <f t="shared" si="152"/>
        <v/>
      </c>
      <c r="AV2463" s="2" t="str">
        <f t="shared" si="153"/>
        <v/>
      </c>
      <c r="AW2463" s="2" t="str">
        <f t="shared" si="154"/>
        <v/>
      </c>
      <c r="AX2463" s="2" t="str">
        <f t="shared" si="155"/>
        <v/>
      </c>
      <c r="AY2463" s="2" t="str">
        <f>IF($AV2463="","",IF(AND($Z2463=0,COUNTIF('AR SALES'!$L$2:$L$2501,$L2463)=0),"YES",""))</f>
        <v/>
      </c>
      <c r="AZ2463" s="2" t="str">
        <f>IF($AV2463="","",IF(COUNTIF(LISTS!$C$2:$C$250,$AU2463)=0,"NEW",""))</f>
        <v/>
      </c>
      <c r="BA2463" s="2" t="str">
        <f>IF(""&amp;$F2463&lt;&gt;"4","",IF($AY2463="YES","",IF(ROUND(SUMIFS($AE$2:$AE$4001,$L$2:$L$4001,$L2463,$F$2:$F$4001,"4")-SUMIFS('AR SALES'!$Y$2:$Y$2501,'AR SALES'!$L$2:$L$2501,$L2463,'AR SALES'!$AD$2:$AD$2501,"OFF"),2)=0,"","STALE")))</f>
        <v/>
      </c>
      <c r="BB2463" s="2" t="str">
        <f>IF(OR(""&amp;$F2463="2",""&amp;$F2463="4",""&amp;$F2463="G",""&amp;$F2463="H"),IF($AY2463="YES","",IF($AB2463&lt;&gt;0,"",IF(COUNTIFS('AR SALES'!$L$2:$L$2501,$L2463,'AR SALES'!$AD$2:$AD$2501,IF(""&amp;$F2463="4","OFF","ON"),'AR SALES'!$AF$2:$AF$2501,"Y")&gt;0,"","NO EXEMPTION"))),"")</f>
        <v/>
      </c>
    </row>
    <row r="2464" spans="46:54" x14ac:dyDescent="0.25">
      <c r="AT2464" s="2" t="str">
        <f>IF($L2464="","",IFERROR(INDEX('AR SALES'!$H$2:$H$2501,MATCH(""&amp;$L2464,'AR SALES'!$AE$2:$AE$2501,0)),""))</f>
        <v/>
      </c>
      <c r="AU2464" s="2" t="str">
        <f t="shared" si="152"/>
        <v/>
      </c>
      <c r="AV2464" s="2" t="str">
        <f t="shared" si="153"/>
        <v/>
      </c>
      <c r="AW2464" s="2" t="str">
        <f t="shared" si="154"/>
        <v/>
      </c>
      <c r="AX2464" s="2" t="str">
        <f t="shared" si="155"/>
        <v/>
      </c>
      <c r="AY2464" s="2" t="str">
        <f>IF($AV2464="","",IF(AND($Z2464=0,COUNTIF('AR SALES'!$L$2:$L$2501,$L2464)=0),"YES",""))</f>
        <v/>
      </c>
      <c r="AZ2464" s="2" t="str">
        <f>IF($AV2464="","",IF(COUNTIF(LISTS!$C$2:$C$250,$AU2464)=0,"NEW",""))</f>
        <v/>
      </c>
      <c r="BA2464" s="2" t="str">
        <f>IF(""&amp;$F2464&lt;&gt;"4","",IF($AY2464="YES","",IF(ROUND(SUMIFS($AE$2:$AE$4001,$L$2:$L$4001,$L2464,$F$2:$F$4001,"4")-SUMIFS('AR SALES'!$Y$2:$Y$2501,'AR SALES'!$L$2:$L$2501,$L2464,'AR SALES'!$AD$2:$AD$2501,"OFF"),2)=0,"","STALE")))</f>
        <v/>
      </c>
      <c r="BB2464" s="2" t="str">
        <f>IF(OR(""&amp;$F2464="2",""&amp;$F2464="4",""&amp;$F2464="G",""&amp;$F2464="H"),IF($AY2464="YES","",IF($AB2464&lt;&gt;0,"",IF(COUNTIFS('AR SALES'!$L$2:$L$2501,$L2464,'AR SALES'!$AD$2:$AD$2501,IF(""&amp;$F2464="4","OFF","ON"),'AR SALES'!$AF$2:$AF$2501,"Y")&gt;0,"","NO EXEMPTION"))),"")</f>
        <v/>
      </c>
    </row>
    <row r="2465" spans="46:54" x14ac:dyDescent="0.25">
      <c r="AT2465" s="2" t="str">
        <f>IF($L2465="","",IFERROR(INDEX('AR SALES'!$H$2:$H$2501,MATCH(""&amp;$L2465,'AR SALES'!$AE$2:$AE$2501,0)),""))</f>
        <v/>
      </c>
      <c r="AU2465" s="2" t="str">
        <f t="shared" si="152"/>
        <v/>
      </c>
      <c r="AV2465" s="2" t="str">
        <f t="shared" si="153"/>
        <v/>
      </c>
      <c r="AW2465" s="2" t="str">
        <f t="shared" si="154"/>
        <v/>
      </c>
      <c r="AX2465" s="2" t="str">
        <f t="shared" si="155"/>
        <v/>
      </c>
      <c r="AY2465" s="2" t="str">
        <f>IF($AV2465="","",IF(AND($Z2465=0,COUNTIF('AR SALES'!$L$2:$L$2501,$L2465)=0),"YES",""))</f>
        <v/>
      </c>
      <c r="AZ2465" s="2" t="str">
        <f>IF($AV2465="","",IF(COUNTIF(LISTS!$C$2:$C$250,$AU2465)=0,"NEW",""))</f>
        <v/>
      </c>
      <c r="BA2465" s="2" t="str">
        <f>IF(""&amp;$F2465&lt;&gt;"4","",IF($AY2465="YES","",IF(ROUND(SUMIFS($AE$2:$AE$4001,$L$2:$L$4001,$L2465,$F$2:$F$4001,"4")-SUMIFS('AR SALES'!$Y$2:$Y$2501,'AR SALES'!$L$2:$L$2501,$L2465,'AR SALES'!$AD$2:$AD$2501,"OFF"),2)=0,"","STALE")))</f>
        <v/>
      </c>
      <c r="BB2465" s="2" t="str">
        <f>IF(OR(""&amp;$F2465="2",""&amp;$F2465="4",""&amp;$F2465="G",""&amp;$F2465="H"),IF($AY2465="YES","",IF($AB2465&lt;&gt;0,"",IF(COUNTIFS('AR SALES'!$L$2:$L$2501,$L2465,'AR SALES'!$AD$2:$AD$2501,IF(""&amp;$F2465="4","OFF","ON"),'AR SALES'!$AF$2:$AF$2501,"Y")&gt;0,"","NO EXEMPTION"))),"")</f>
        <v/>
      </c>
    </row>
    <row r="2466" spans="46:54" x14ac:dyDescent="0.25">
      <c r="AT2466" s="2" t="str">
        <f>IF($L2466="","",IFERROR(INDEX('AR SALES'!$H$2:$H$2501,MATCH(""&amp;$L2466,'AR SALES'!$AE$2:$AE$2501,0)),""))</f>
        <v/>
      </c>
      <c r="AU2466" s="2" t="str">
        <f t="shared" si="152"/>
        <v/>
      </c>
      <c r="AV2466" s="2" t="str">
        <f t="shared" si="153"/>
        <v/>
      </c>
      <c r="AW2466" s="2" t="str">
        <f t="shared" si="154"/>
        <v/>
      </c>
      <c r="AX2466" s="2" t="str">
        <f t="shared" si="155"/>
        <v/>
      </c>
      <c r="AY2466" s="2" t="str">
        <f>IF($AV2466="","",IF(AND($Z2466=0,COUNTIF('AR SALES'!$L$2:$L$2501,$L2466)=0),"YES",""))</f>
        <v/>
      </c>
      <c r="AZ2466" s="2" t="str">
        <f>IF($AV2466="","",IF(COUNTIF(LISTS!$C$2:$C$250,$AU2466)=0,"NEW",""))</f>
        <v/>
      </c>
      <c r="BA2466" s="2" t="str">
        <f>IF(""&amp;$F2466&lt;&gt;"4","",IF($AY2466="YES","",IF(ROUND(SUMIFS($AE$2:$AE$4001,$L$2:$L$4001,$L2466,$F$2:$F$4001,"4")-SUMIFS('AR SALES'!$Y$2:$Y$2501,'AR SALES'!$L$2:$L$2501,$L2466,'AR SALES'!$AD$2:$AD$2501,"OFF"),2)=0,"","STALE")))</f>
        <v/>
      </c>
      <c r="BB2466" s="2" t="str">
        <f>IF(OR(""&amp;$F2466="2",""&amp;$F2466="4",""&amp;$F2466="G",""&amp;$F2466="H"),IF($AY2466="YES","",IF($AB2466&lt;&gt;0,"",IF(COUNTIFS('AR SALES'!$L$2:$L$2501,$L2466,'AR SALES'!$AD$2:$AD$2501,IF(""&amp;$F2466="4","OFF","ON"),'AR SALES'!$AF$2:$AF$2501,"Y")&gt;0,"","NO EXEMPTION"))),"")</f>
        <v/>
      </c>
    </row>
    <row r="2467" spans="46:54" x14ac:dyDescent="0.25">
      <c r="AT2467" s="2" t="str">
        <f>IF($L2467="","",IFERROR(INDEX('AR SALES'!$H$2:$H$2501,MATCH(""&amp;$L2467,'AR SALES'!$AE$2:$AE$2501,0)),""))</f>
        <v/>
      </c>
      <c r="AU2467" s="2" t="str">
        <f t="shared" si="152"/>
        <v/>
      </c>
      <c r="AV2467" s="2" t="str">
        <f t="shared" si="153"/>
        <v/>
      </c>
      <c r="AW2467" s="2" t="str">
        <f t="shared" si="154"/>
        <v/>
      </c>
      <c r="AX2467" s="2" t="str">
        <f t="shared" si="155"/>
        <v/>
      </c>
      <c r="AY2467" s="2" t="str">
        <f>IF($AV2467="","",IF(AND($Z2467=0,COUNTIF('AR SALES'!$L$2:$L$2501,$L2467)=0),"YES",""))</f>
        <v/>
      </c>
      <c r="AZ2467" s="2" t="str">
        <f>IF($AV2467="","",IF(COUNTIF(LISTS!$C$2:$C$250,$AU2467)=0,"NEW",""))</f>
        <v/>
      </c>
      <c r="BA2467" s="2" t="str">
        <f>IF(""&amp;$F2467&lt;&gt;"4","",IF($AY2467="YES","",IF(ROUND(SUMIFS($AE$2:$AE$4001,$L$2:$L$4001,$L2467,$F$2:$F$4001,"4")-SUMIFS('AR SALES'!$Y$2:$Y$2501,'AR SALES'!$L$2:$L$2501,$L2467,'AR SALES'!$AD$2:$AD$2501,"OFF"),2)=0,"","STALE")))</f>
        <v/>
      </c>
      <c r="BB2467" s="2" t="str">
        <f>IF(OR(""&amp;$F2467="2",""&amp;$F2467="4",""&amp;$F2467="G",""&amp;$F2467="H"),IF($AY2467="YES","",IF($AB2467&lt;&gt;0,"",IF(COUNTIFS('AR SALES'!$L$2:$L$2501,$L2467,'AR SALES'!$AD$2:$AD$2501,IF(""&amp;$F2467="4","OFF","ON"),'AR SALES'!$AF$2:$AF$2501,"Y")&gt;0,"","NO EXEMPTION"))),"")</f>
        <v/>
      </c>
    </row>
    <row r="2468" spans="46:54" x14ac:dyDescent="0.25">
      <c r="AT2468" s="2" t="str">
        <f>IF($L2468="","",IFERROR(INDEX('AR SALES'!$H$2:$H$2501,MATCH(""&amp;$L2468,'AR SALES'!$AE$2:$AE$2501,0)),""))</f>
        <v/>
      </c>
      <c r="AU2468" s="2" t="str">
        <f t="shared" si="152"/>
        <v/>
      </c>
      <c r="AV2468" s="2" t="str">
        <f t="shared" si="153"/>
        <v/>
      </c>
      <c r="AW2468" s="2" t="str">
        <f t="shared" si="154"/>
        <v/>
      </c>
      <c r="AX2468" s="2" t="str">
        <f t="shared" si="155"/>
        <v/>
      </c>
      <c r="AY2468" s="2" t="str">
        <f>IF($AV2468="","",IF(AND($Z2468=0,COUNTIF('AR SALES'!$L$2:$L$2501,$L2468)=0),"YES",""))</f>
        <v/>
      </c>
      <c r="AZ2468" s="2" t="str">
        <f>IF($AV2468="","",IF(COUNTIF(LISTS!$C$2:$C$250,$AU2468)=0,"NEW",""))</f>
        <v/>
      </c>
      <c r="BA2468" s="2" t="str">
        <f>IF(""&amp;$F2468&lt;&gt;"4","",IF($AY2468="YES","",IF(ROUND(SUMIFS($AE$2:$AE$4001,$L$2:$L$4001,$L2468,$F$2:$F$4001,"4")-SUMIFS('AR SALES'!$Y$2:$Y$2501,'AR SALES'!$L$2:$L$2501,$L2468,'AR SALES'!$AD$2:$AD$2501,"OFF"),2)=0,"","STALE")))</f>
        <v/>
      </c>
      <c r="BB2468" s="2" t="str">
        <f>IF(OR(""&amp;$F2468="2",""&amp;$F2468="4",""&amp;$F2468="G",""&amp;$F2468="H"),IF($AY2468="YES","",IF($AB2468&lt;&gt;0,"",IF(COUNTIFS('AR SALES'!$L$2:$L$2501,$L2468,'AR SALES'!$AD$2:$AD$2501,IF(""&amp;$F2468="4","OFF","ON"),'AR SALES'!$AF$2:$AF$2501,"Y")&gt;0,"","NO EXEMPTION"))),"")</f>
        <v/>
      </c>
    </row>
    <row r="2469" spans="46:54" x14ac:dyDescent="0.25">
      <c r="AT2469" s="2" t="str">
        <f>IF($L2469="","",IFERROR(INDEX('AR SALES'!$H$2:$H$2501,MATCH(""&amp;$L2469,'AR SALES'!$AE$2:$AE$2501,0)),""))</f>
        <v/>
      </c>
      <c r="AU2469" s="2" t="str">
        <f t="shared" si="152"/>
        <v/>
      </c>
      <c r="AV2469" s="2" t="str">
        <f t="shared" si="153"/>
        <v/>
      </c>
      <c r="AW2469" s="2" t="str">
        <f t="shared" si="154"/>
        <v/>
      </c>
      <c r="AX2469" s="2" t="str">
        <f t="shared" si="155"/>
        <v/>
      </c>
      <c r="AY2469" s="2" t="str">
        <f>IF($AV2469="","",IF(AND($Z2469=0,COUNTIF('AR SALES'!$L$2:$L$2501,$L2469)=0),"YES",""))</f>
        <v/>
      </c>
      <c r="AZ2469" s="2" t="str">
        <f>IF($AV2469="","",IF(COUNTIF(LISTS!$C$2:$C$250,$AU2469)=0,"NEW",""))</f>
        <v/>
      </c>
      <c r="BA2469" s="2" t="str">
        <f>IF(""&amp;$F2469&lt;&gt;"4","",IF($AY2469="YES","",IF(ROUND(SUMIFS($AE$2:$AE$4001,$L$2:$L$4001,$L2469,$F$2:$F$4001,"4")-SUMIFS('AR SALES'!$Y$2:$Y$2501,'AR SALES'!$L$2:$L$2501,$L2469,'AR SALES'!$AD$2:$AD$2501,"OFF"),2)=0,"","STALE")))</f>
        <v/>
      </c>
      <c r="BB2469" s="2" t="str">
        <f>IF(OR(""&amp;$F2469="2",""&amp;$F2469="4",""&amp;$F2469="G",""&amp;$F2469="H"),IF($AY2469="YES","",IF($AB2469&lt;&gt;0,"",IF(COUNTIFS('AR SALES'!$L$2:$L$2501,$L2469,'AR SALES'!$AD$2:$AD$2501,IF(""&amp;$F2469="4","OFF","ON"),'AR SALES'!$AF$2:$AF$2501,"Y")&gt;0,"","NO EXEMPTION"))),"")</f>
        <v/>
      </c>
    </row>
    <row r="2470" spans="46:54" x14ac:dyDescent="0.25">
      <c r="AT2470" s="2" t="str">
        <f>IF($L2470="","",IFERROR(INDEX('AR SALES'!$H$2:$H$2501,MATCH(""&amp;$L2470,'AR SALES'!$AE$2:$AE$2501,0)),""))</f>
        <v/>
      </c>
      <c r="AU2470" s="2" t="str">
        <f t="shared" si="152"/>
        <v/>
      </c>
      <c r="AV2470" s="2" t="str">
        <f t="shared" si="153"/>
        <v/>
      </c>
      <c r="AW2470" s="2" t="str">
        <f t="shared" si="154"/>
        <v/>
      </c>
      <c r="AX2470" s="2" t="str">
        <f t="shared" si="155"/>
        <v/>
      </c>
      <c r="AY2470" s="2" t="str">
        <f>IF($AV2470="","",IF(AND($Z2470=0,COUNTIF('AR SALES'!$L$2:$L$2501,$L2470)=0),"YES",""))</f>
        <v/>
      </c>
      <c r="AZ2470" s="2" t="str">
        <f>IF($AV2470="","",IF(COUNTIF(LISTS!$C$2:$C$250,$AU2470)=0,"NEW",""))</f>
        <v/>
      </c>
      <c r="BA2470" s="2" t="str">
        <f>IF(""&amp;$F2470&lt;&gt;"4","",IF($AY2470="YES","",IF(ROUND(SUMIFS($AE$2:$AE$4001,$L$2:$L$4001,$L2470,$F$2:$F$4001,"4")-SUMIFS('AR SALES'!$Y$2:$Y$2501,'AR SALES'!$L$2:$L$2501,$L2470,'AR SALES'!$AD$2:$AD$2501,"OFF"),2)=0,"","STALE")))</f>
        <v/>
      </c>
      <c r="BB2470" s="2" t="str">
        <f>IF(OR(""&amp;$F2470="2",""&amp;$F2470="4",""&amp;$F2470="G",""&amp;$F2470="H"),IF($AY2470="YES","",IF($AB2470&lt;&gt;0,"",IF(COUNTIFS('AR SALES'!$L$2:$L$2501,$L2470,'AR SALES'!$AD$2:$AD$2501,IF(""&amp;$F2470="4","OFF","ON"),'AR SALES'!$AF$2:$AF$2501,"Y")&gt;0,"","NO EXEMPTION"))),"")</f>
        <v/>
      </c>
    </row>
    <row r="2471" spans="46:54" x14ac:dyDescent="0.25">
      <c r="AT2471" s="2" t="str">
        <f>IF($L2471="","",IFERROR(INDEX('AR SALES'!$H$2:$H$2501,MATCH(""&amp;$L2471,'AR SALES'!$AE$2:$AE$2501,0)),""))</f>
        <v/>
      </c>
      <c r="AU2471" s="2" t="str">
        <f t="shared" si="152"/>
        <v/>
      </c>
      <c r="AV2471" s="2" t="str">
        <f t="shared" si="153"/>
        <v/>
      </c>
      <c r="AW2471" s="2" t="str">
        <f t="shared" si="154"/>
        <v/>
      </c>
      <c r="AX2471" s="2" t="str">
        <f t="shared" si="155"/>
        <v/>
      </c>
      <c r="AY2471" s="2" t="str">
        <f>IF($AV2471="","",IF(AND($Z2471=0,COUNTIF('AR SALES'!$L$2:$L$2501,$L2471)=0),"YES",""))</f>
        <v/>
      </c>
      <c r="AZ2471" s="2" t="str">
        <f>IF($AV2471="","",IF(COUNTIF(LISTS!$C$2:$C$250,$AU2471)=0,"NEW",""))</f>
        <v/>
      </c>
      <c r="BA2471" s="2" t="str">
        <f>IF(""&amp;$F2471&lt;&gt;"4","",IF($AY2471="YES","",IF(ROUND(SUMIFS($AE$2:$AE$4001,$L$2:$L$4001,$L2471,$F$2:$F$4001,"4")-SUMIFS('AR SALES'!$Y$2:$Y$2501,'AR SALES'!$L$2:$L$2501,$L2471,'AR SALES'!$AD$2:$AD$2501,"OFF"),2)=0,"","STALE")))</f>
        <v/>
      </c>
      <c r="BB2471" s="2" t="str">
        <f>IF(OR(""&amp;$F2471="2",""&amp;$F2471="4",""&amp;$F2471="G",""&amp;$F2471="H"),IF($AY2471="YES","",IF($AB2471&lt;&gt;0,"",IF(COUNTIFS('AR SALES'!$L$2:$L$2501,$L2471,'AR SALES'!$AD$2:$AD$2501,IF(""&amp;$F2471="4","OFF","ON"),'AR SALES'!$AF$2:$AF$2501,"Y")&gt;0,"","NO EXEMPTION"))),"")</f>
        <v/>
      </c>
    </row>
    <row r="2472" spans="46:54" x14ac:dyDescent="0.25">
      <c r="AT2472" s="2" t="str">
        <f>IF($L2472="","",IFERROR(INDEX('AR SALES'!$H$2:$H$2501,MATCH(""&amp;$L2472,'AR SALES'!$AE$2:$AE$2501,0)),""))</f>
        <v/>
      </c>
      <c r="AU2472" s="2" t="str">
        <f t="shared" si="152"/>
        <v/>
      </c>
      <c r="AV2472" s="2" t="str">
        <f t="shared" si="153"/>
        <v/>
      </c>
      <c r="AW2472" s="2" t="str">
        <f t="shared" si="154"/>
        <v/>
      </c>
      <c r="AX2472" s="2" t="str">
        <f t="shared" si="155"/>
        <v/>
      </c>
      <c r="AY2472" s="2" t="str">
        <f>IF($AV2472="","",IF(AND($Z2472=0,COUNTIF('AR SALES'!$L$2:$L$2501,$L2472)=0),"YES",""))</f>
        <v/>
      </c>
      <c r="AZ2472" s="2" t="str">
        <f>IF($AV2472="","",IF(COUNTIF(LISTS!$C$2:$C$250,$AU2472)=0,"NEW",""))</f>
        <v/>
      </c>
      <c r="BA2472" s="2" t="str">
        <f>IF(""&amp;$F2472&lt;&gt;"4","",IF($AY2472="YES","",IF(ROUND(SUMIFS($AE$2:$AE$4001,$L$2:$L$4001,$L2472,$F$2:$F$4001,"4")-SUMIFS('AR SALES'!$Y$2:$Y$2501,'AR SALES'!$L$2:$L$2501,$L2472,'AR SALES'!$AD$2:$AD$2501,"OFF"),2)=0,"","STALE")))</f>
        <v/>
      </c>
      <c r="BB2472" s="2" t="str">
        <f>IF(OR(""&amp;$F2472="2",""&amp;$F2472="4",""&amp;$F2472="G",""&amp;$F2472="H"),IF($AY2472="YES","",IF($AB2472&lt;&gt;0,"",IF(COUNTIFS('AR SALES'!$L$2:$L$2501,$L2472,'AR SALES'!$AD$2:$AD$2501,IF(""&amp;$F2472="4","OFF","ON"),'AR SALES'!$AF$2:$AF$2501,"Y")&gt;0,"","NO EXEMPTION"))),"")</f>
        <v/>
      </c>
    </row>
    <row r="2473" spans="46:54" x14ac:dyDescent="0.25">
      <c r="AT2473" s="2" t="str">
        <f>IF($L2473="","",IFERROR(INDEX('AR SALES'!$H$2:$H$2501,MATCH(""&amp;$L2473,'AR SALES'!$AE$2:$AE$2501,0)),""))</f>
        <v/>
      </c>
      <c r="AU2473" s="2" t="str">
        <f t="shared" si="152"/>
        <v/>
      </c>
      <c r="AV2473" s="2" t="str">
        <f t="shared" si="153"/>
        <v/>
      </c>
      <c r="AW2473" s="2" t="str">
        <f t="shared" si="154"/>
        <v/>
      </c>
      <c r="AX2473" s="2" t="str">
        <f t="shared" si="155"/>
        <v/>
      </c>
      <c r="AY2473" s="2" t="str">
        <f>IF($AV2473="","",IF(AND($Z2473=0,COUNTIF('AR SALES'!$L$2:$L$2501,$L2473)=0),"YES",""))</f>
        <v/>
      </c>
      <c r="AZ2473" s="2" t="str">
        <f>IF($AV2473="","",IF(COUNTIF(LISTS!$C$2:$C$250,$AU2473)=0,"NEW",""))</f>
        <v/>
      </c>
      <c r="BA2473" s="2" t="str">
        <f>IF(""&amp;$F2473&lt;&gt;"4","",IF($AY2473="YES","",IF(ROUND(SUMIFS($AE$2:$AE$4001,$L$2:$L$4001,$L2473,$F$2:$F$4001,"4")-SUMIFS('AR SALES'!$Y$2:$Y$2501,'AR SALES'!$L$2:$L$2501,$L2473,'AR SALES'!$AD$2:$AD$2501,"OFF"),2)=0,"","STALE")))</f>
        <v/>
      </c>
      <c r="BB2473" s="2" t="str">
        <f>IF(OR(""&amp;$F2473="2",""&amp;$F2473="4",""&amp;$F2473="G",""&amp;$F2473="H"),IF($AY2473="YES","",IF($AB2473&lt;&gt;0,"",IF(COUNTIFS('AR SALES'!$L$2:$L$2501,$L2473,'AR SALES'!$AD$2:$AD$2501,IF(""&amp;$F2473="4","OFF","ON"),'AR SALES'!$AF$2:$AF$2501,"Y")&gt;0,"","NO EXEMPTION"))),"")</f>
        <v/>
      </c>
    </row>
    <row r="2474" spans="46:54" x14ac:dyDescent="0.25">
      <c r="AT2474" s="2" t="str">
        <f>IF($L2474="","",IFERROR(INDEX('AR SALES'!$H$2:$H$2501,MATCH(""&amp;$L2474,'AR SALES'!$AE$2:$AE$2501,0)),""))</f>
        <v/>
      </c>
      <c r="AU2474" s="2" t="str">
        <f t="shared" si="152"/>
        <v/>
      </c>
      <c r="AV2474" s="2" t="str">
        <f t="shared" si="153"/>
        <v/>
      </c>
      <c r="AW2474" s="2" t="str">
        <f t="shared" si="154"/>
        <v/>
      </c>
      <c r="AX2474" s="2" t="str">
        <f t="shared" si="155"/>
        <v/>
      </c>
      <c r="AY2474" s="2" t="str">
        <f>IF($AV2474="","",IF(AND($Z2474=0,COUNTIF('AR SALES'!$L$2:$L$2501,$L2474)=0),"YES",""))</f>
        <v/>
      </c>
      <c r="AZ2474" s="2" t="str">
        <f>IF($AV2474="","",IF(COUNTIF(LISTS!$C$2:$C$250,$AU2474)=0,"NEW",""))</f>
        <v/>
      </c>
      <c r="BA2474" s="2" t="str">
        <f>IF(""&amp;$F2474&lt;&gt;"4","",IF($AY2474="YES","",IF(ROUND(SUMIFS($AE$2:$AE$4001,$L$2:$L$4001,$L2474,$F$2:$F$4001,"4")-SUMIFS('AR SALES'!$Y$2:$Y$2501,'AR SALES'!$L$2:$L$2501,$L2474,'AR SALES'!$AD$2:$AD$2501,"OFF"),2)=0,"","STALE")))</f>
        <v/>
      </c>
      <c r="BB2474" s="2" t="str">
        <f>IF(OR(""&amp;$F2474="2",""&amp;$F2474="4",""&amp;$F2474="G",""&amp;$F2474="H"),IF($AY2474="YES","",IF($AB2474&lt;&gt;0,"",IF(COUNTIFS('AR SALES'!$L$2:$L$2501,$L2474,'AR SALES'!$AD$2:$AD$2501,IF(""&amp;$F2474="4","OFF","ON"),'AR SALES'!$AF$2:$AF$2501,"Y")&gt;0,"","NO EXEMPTION"))),"")</f>
        <v/>
      </c>
    </row>
    <row r="2475" spans="46:54" x14ac:dyDescent="0.25">
      <c r="AT2475" s="2" t="str">
        <f>IF($L2475="","",IFERROR(INDEX('AR SALES'!$H$2:$H$2501,MATCH(""&amp;$L2475,'AR SALES'!$AE$2:$AE$2501,0)),""))</f>
        <v/>
      </c>
      <c r="AU2475" s="2" t="str">
        <f t="shared" si="152"/>
        <v/>
      </c>
      <c r="AV2475" s="2" t="str">
        <f t="shared" si="153"/>
        <v/>
      </c>
      <c r="AW2475" s="2" t="str">
        <f t="shared" si="154"/>
        <v/>
      </c>
      <c r="AX2475" s="2" t="str">
        <f t="shared" si="155"/>
        <v/>
      </c>
      <c r="AY2475" s="2" t="str">
        <f>IF($AV2475="","",IF(AND($Z2475=0,COUNTIF('AR SALES'!$L$2:$L$2501,$L2475)=0),"YES",""))</f>
        <v/>
      </c>
      <c r="AZ2475" s="2" t="str">
        <f>IF($AV2475="","",IF(COUNTIF(LISTS!$C$2:$C$250,$AU2475)=0,"NEW",""))</f>
        <v/>
      </c>
      <c r="BA2475" s="2" t="str">
        <f>IF(""&amp;$F2475&lt;&gt;"4","",IF($AY2475="YES","",IF(ROUND(SUMIFS($AE$2:$AE$4001,$L$2:$L$4001,$L2475,$F$2:$F$4001,"4")-SUMIFS('AR SALES'!$Y$2:$Y$2501,'AR SALES'!$L$2:$L$2501,$L2475,'AR SALES'!$AD$2:$AD$2501,"OFF"),2)=0,"","STALE")))</f>
        <v/>
      </c>
      <c r="BB2475" s="2" t="str">
        <f>IF(OR(""&amp;$F2475="2",""&amp;$F2475="4",""&amp;$F2475="G",""&amp;$F2475="H"),IF($AY2475="YES","",IF($AB2475&lt;&gt;0,"",IF(COUNTIFS('AR SALES'!$L$2:$L$2501,$L2475,'AR SALES'!$AD$2:$AD$2501,IF(""&amp;$F2475="4","OFF","ON"),'AR SALES'!$AF$2:$AF$2501,"Y")&gt;0,"","NO EXEMPTION"))),"")</f>
        <v/>
      </c>
    </row>
    <row r="2476" spans="46:54" x14ac:dyDescent="0.25">
      <c r="AT2476" s="2" t="str">
        <f>IF($L2476="","",IFERROR(INDEX('AR SALES'!$H$2:$H$2501,MATCH(""&amp;$L2476,'AR SALES'!$AE$2:$AE$2501,0)),""))</f>
        <v/>
      </c>
      <c r="AU2476" s="2" t="str">
        <f t="shared" si="152"/>
        <v/>
      </c>
      <c r="AV2476" s="2" t="str">
        <f t="shared" si="153"/>
        <v/>
      </c>
      <c r="AW2476" s="2" t="str">
        <f t="shared" si="154"/>
        <v/>
      </c>
      <c r="AX2476" s="2" t="str">
        <f t="shared" si="155"/>
        <v/>
      </c>
      <c r="AY2476" s="2" t="str">
        <f>IF($AV2476="","",IF(AND($Z2476=0,COUNTIF('AR SALES'!$L$2:$L$2501,$L2476)=0),"YES",""))</f>
        <v/>
      </c>
      <c r="AZ2476" s="2" t="str">
        <f>IF($AV2476="","",IF(COUNTIF(LISTS!$C$2:$C$250,$AU2476)=0,"NEW",""))</f>
        <v/>
      </c>
      <c r="BA2476" s="2" t="str">
        <f>IF(""&amp;$F2476&lt;&gt;"4","",IF($AY2476="YES","",IF(ROUND(SUMIFS($AE$2:$AE$4001,$L$2:$L$4001,$L2476,$F$2:$F$4001,"4")-SUMIFS('AR SALES'!$Y$2:$Y$2501,'AR SALES'!$L$2:$L$2501,$L2476,'AR SALES'!$AD$2:$AD$2501,"OFF"),2)=0,"","STALE")))</f>
        <v/>
      </c>
      <c r="BB2476" s="2" t="str">
        <f>IF(OR(""&amp;$F2476="2",""&amp;$F2476="4",""&amp;$F2476="G",""&amp;$F2476="H"),IF($AY2476="YES","",IF($AB2476&lt;&gt;0,"",IF(COUNTIFS('AR SALES'!$L$2:$L$2501,$L2476,'AR SALES'!$AD$2:$AD$2501,IF(""&amp;$F2476="4","OFF","ON"),'AR SALES'!$AF$2:$AF$2501,"Y")&gt;0,"","NO EXEMPTION"))),"")</f>
        <v/>
      </c>
    </row>
    <row r="2477" spans="46:54" x14ac:dyDescent="0.25">
      <c r="AT2477" s="2" t="str">
        <f>IF($L2477="","",IFERROR(INDEX('AR SALES'!$H$2:$H$2501,MATCH(""&amp;$L2477,'AR SALES'!$AE$2:$AE$2501,0)),""))</f>
        <v/>
      </c>
      <c r="AU2477" s="2" t="str">
        <f t="shared" si="152"/>
        <v/>
      </c>
      <c r="AV2477" s="2" t="str">
        <f t="shared" si="153"/>
        <v/>
      </c>
      <c r="AW2477" s="2" t="str">
        <f t="shared" si="154"/>
        <v/>
      </c>
      <c r="AX2477" s="2" t="str">
        <f t="shared" si="155"/>
        <v/>
      </c>
      <c r="AY2477" s="2" t="str">
        <f>IF($AV2477="","",IF(AND($Z2477=0,COUNTIF('AR SALES'!$L$2:$L$2501,$L2477)=0),"YES",""))</f>
        <v/>
      </c>
      <c r="AZ2477" s="2" t="str">
        <f>IF($AV2477="","",IF(COUNTIF(LISTS!$C$2:$C$250,$AU2477)=0,"NEW",""))</f>
        <v/>
      </c>
      <c r="BA2477" s="2" t="str">
        <f>IF(""&amp;$F2477&lt;&gt;"4","",IF($AY2477="YES","",IF(ROUND(SUMIFS($AE$2:$AE$4001,$L$2:$L$4001,$L2477,$F$2:$F$4001,"4")-SUMIFS('AR SALES'!$Y$2:$Y$2501,'AR SALES'!$L$2:$L$2501,$L2477,'AR SALES'!$AD$2:$AD$2501,"OFF"),2)=0,"","STALE")))</f>
        <v/>
      </c>
      <c r="BB2477" s="2" t="str">
        <f>IF(OR(""&amp;$F2477="2",""&amp;$F2477="4",""&amp;$F2477="G",""&amp;$F2477="H"),IF($AY2477="YES","",IF($AB2477&lt;&gt;0,"",IF(COUNTIFS('AR SALES'!$L$2:$L$2501,$L2477,'AR SALES'!$AD$2:$AD$2501,IF(""&amp;$F2477="4","OFF","ON"),'AR SALES'!$AF$2:$AF$2501,"Y")&gt;0,"","NO EXEMPTION"))),"")</f>
        <v/>
      </c>
    </row>
    <row r="2478" spans="46:54" x14ac:dyDescent="0.25">
      <c r="AT2478" s="2" t="str">
        <f>IF($L2478="","",IFERROR(INDEX('AR SALES'!$H$2:$H$2501,MATCH(""&amp;$L2478,'AR SALES'!$AE$2:$AE$2501,0)),""))</f>
        <v/>
      </c>
      <c r="AU2478" s="2" t="str">
        <f t="shared" si="152"/>
        <v/>
      </c>
      <c r="AV2478" s="2" t="str">
        <f t="shared" si="153"/>
        <v/>
      </c>
      <c r="AW2478" s="2" t="str">
        <f t="shared" si="154"/>
        <v/>
      </c>
      <c r="AX2478" s="2" t="str">
        <f t="shared" si="155"/>
        <v/>
      </c>
      <c r="AY2478" s="2" t="str">
        <f>IF($AV2478="","",IF(AND($Z2478=0,COUNTIF('AR SALES'!$L$2:$L$2501,$L2478)=0),"YES",""))</f>
        <v/>
      </c>
      <c r="AZ2478" s="2" t="str">
        <f>IF($AV2478="","",IF(COUNTIF(LISTS!$C$2:$C$250,$AU2478)=0,"NEW",""))</f>
        <v/>
      </c>
      <c r="BA2478" s="2" t="str">
        <f>IF(""&amp;$F2478&lt;&gt;"4","",IF($AY2478="YES","",IF(ROUND(SUMIFS($AE$2:$AE$4001,$L$2:$L$4001,$L2478,$F$2:$F$4001,"4")-SUMIFS('AR SALES'!$Y$2:$Y$2501,'AR SALES'!$L$2:$L$2501,$L2478,'AR SALES'!$AD$2:$AD$2501,"OFF"),2)=0,"","STALE")))</f>
        <v/>
      </c>
      <c r="BB2478" s="2" t="str">
        <f>IF(OR(""&amp;$F2478="2",""&amp;$F2478="4",""&amp;$F2478="G",""&amp;$F2478="H"),IF($AY2478="YES","",IF($AB2478&lt;&gt;0,"",IF(COUNTIFS('AR SALES'!$L$2:$L$2501,$L2478,'AR SALES'!$AD$2:$AD$2501,IF(""&amp;$F2478="4","OFF","ON"),'AR SALES'!$AF$2:$AF$2501,"Y")&gt;0,"","NO EXEMPTION"))),"")</f>
        <v/>
      </c>
    </row>
    <row r="2479" spans="46:54" x14ac:dyDescent="0.25">
      <c r="AT2479" s="2" t="str">
        <f>IF($L2479="","",IFERROR(INDEX('AR SALES'!$H$2:$H$2501,MATCH(""&amp;$L2479,'AR SALES'!$AE$2:$AE$2501,0)),""))</f>
        <v/>
      </c>
      <c r="AU2479" s="2" t="str">
        <f t="shared" si="152"/>
        <v/>
      </c>
      <c r="AV2479" s="2" t="str">
        <f t="shared" si="153"/>
        <v/>
      </c>
      <c r="AW2479" s="2" t="str">
        <f t="shared" si="154"/>
        <v/>
      </c>
      <c r="AX2479" s="2" t="str">
        <f t="shared" si="155"/>
        <v/>
      </c>
      <c r="AY2479" s="2" t="str">
        <f>IF($AV2479="","",IF(AND($Z2479=0,COUNTIF('AR SALES'!$L$2:$L$2501,$L2479)=0),"YES",""))</f>
        <v/>
      </c>
      <c r="AZ2479" s="2" t="str">
        <f>IF($AV2479="","",IF(COUNTIF(LISTS!$C$2:$C$250,$AU2479)=0,"NEW",""))</f>
        <v/>
      </c>
      <c r="BA2479" s="2" t="str">
        <f>IF(""&amp;$F2479&lt;&gt;"4","",IF($AY2479="YES","",IF(ROUND(SUMIFS($AE$2:$AE$4001,$L$2:$L$4001,$L2479,$F$2:$F$4001,"4")-SUMIFS('AR SALES'!$Y$2:$Y$2501,'AR SALES'!$L$2:$L$2501,$L2479,'AR SALES'!$AD$2:$AD$2501,"OFF"),2)=0,"","STALE")))</f>
        <v/>
      </c>
      <c r="BB2479" s="2" t="str">
        <f>IF(OR(""&amp;$F2479="2",""&amp;$F2479="4",""&amp;$F2479="G",""&amp;$F2479="H"),IF($AY2479="YES","",IF($AB2479&lt;&gt;0,"",IF(COUNTIFS('AR SALES'!$L$2:$L$2501,$L2479,'AR SALES'!$AD$2:$AD$2501,IF(""&amp;$F2479="4","OFF","ON"),'AR SALES'!$AF$2:$AF$2501,"Y")&gt;0,"","NO EXEMPTION"))),"")</f>
        <v/>
      </c>
    </row>
    <row r="2480" spans="46:54" x14ac:dyDescent="0.25">
      <c r="AT2480" s="2" t="str">
        <f>IF($L2480="","",IFERROR(INDEX('AR SALES'!$H$2:$H$2501,MATCH(""&amp;$L2480,'AR SALES'!$AE$2:$AE$2501,0)),""))</f>
        <v/>
      </c>
      <c r="AU2480" s="2" t="str">
        <f t="shared" si="152"/>
        <v/>
      </c>
      <c r="AV2480" s="2" t="str">
        <f t="shared" si="153"/>
        <v/>
      </c>
      <c r="AW2480" s="2" t="str">
        <f t="shared" si="154"/>
        <v/>
      </c>
      <c r="AX2480" s="2" t="str">
        <f t="shared" si="155"/>
        <v/>
      </c>
      <c r="AY2480" s="2" t="str">
        <f>IF($AV2480="","",IF(AND($Z2480=0,COUNTIF('AR SALES'!$L$2:$L$2501,$L2480)=0),"YES",""))</f>
        <v/>
      </c>
      <c r="AZ2480" s="2" t="str">
        <f>IF($AV2480="","",IF(COUNTIF(LISTS!$C$2:$C$250,$AU2480)=0,"NEW",""))</f>
        <v/>
      </c>
      <c r="BA2480" s="2" t="str">
        <f>IF(""&amp;$F2480&lt;&gt;"4","",IF($AY2480="YES","",IF(ROUND(SUMIFS($AE$2:$AE$4001,$L$2:$L$4001,$L2480,$F$2:$F$4001,"4")-SUMIFS('AR SALES'!$Y$2:$Y$2501,'AR SALES'!$L$2:$L$2501,$L2480,'AR SALES'!$AD$2:$AD$2501,"OFF"),2)=0,"","STALE")))</f>
        <v/>
      </c>
      <c r="BB2480" s="2" t="str">
        <f>IF(OR(""&amp;$F2480="2",""&amp;$F2480="4",""&amp;$F2480="G",""&amp;$F2480="H"),IF($AY2480="YES","",IF($AB2480&lt;&gt;0,"",IF(COUNTIFS('AR SALES'!$L$2:$L$2501,$L2480,'AR SALES'!$AD$2:$AD$2501,IF(""&amp;$F2480="4","OFF","ON"),'AR SALES'!$AF$2:$AF$2501,"Y")&gt;0,"","NO EXEMPTION"))),"")</f>
        <v/>
      </c>
    </row>
    <row r="2481" spans="46:54" x14ac:dyDescent="0.25">
      <c r="AT2481" s="2" t="str">
        <f>IF($L2481="","",IFERROR(INDEX('AR SALES'!$H$2:$H$2501,MATCH(""&amp;$L2481,'AR SALES'!$AE$2:$AE$2501,0)),""))</f>
        <v/>
      </c>
      <c r="AU2481" s="2" t="str">
        <f t="shared" si="152"/>
        <v/>
      </c>
      <c r="AV2481" s="2" t="str">
        <f t="shared" si="153"/>
        <v/>
      </c>
      <c r="AW2481" s="2" t="str">
        <f t="shared" si="154"/>
        <v/>
      </c>
      <c r="AX2481" s="2" t="str">
        <f t="shared" si="155"/>
        <v/>
      </c>
      <c r="AY2481" s="2" t="str">
        <f>IF($AV2481="","",IF(AND($Z2481=0,COUNTIF('AR SALES'!$L$2:$L$2501,$L2481)=0),"YES",""))</f>
        <v/>
      </c>
      <c r="AZ2481" s="2" t="str">
        <f>IF($AV2481="","",IF(COUNTIF(LISTS!$C$2:$C$250,$AU2481)=0,"NEW",""))</f>
        <v/>
      </c>
      <c r="BA2481" s="2" t="str">
        <f>IF(""&amp;$F2481&lt;&gt;"4","",IF($AY2481="YES","",IF(ROUND(SUMIFS($AE$2:$AE$4001,$L$2:$L$4001,$L2481,$F$2:$F$4001,"4")-SUMIFS('AR SALES'!$Y$2:$Y$2501,'AR SALES'!$L$2:$L$2501,$L2481,'AR SALES'!$AD$2:$AD$2501,"OFF"),2)=0,"","STALE")))</f>
        <v/>
      </c>
      <c r="BB2481" s="2" t="str">
        <f>IF(OR(""&amp;$F2481="2",""&amp;$F2481="4",""&amp;$F2481="G",""&amp;$F2481="H"),IF($AY2481="YES","",IF($AB2481&lt;&gt;0,"",IF(COUNTIFS('AR SALES'!$L$2:$L$2501,$L2481,'AR SALES'!$AD$2:$AD$2501,IF(""&amp;$F2481="4","OFF","ON"),'AR SALES'!$AF$2:$AF$2501,"Y")&gt;0,"","NO EXEMPTION"))),"")</f>
        <v/>
      </c>
    </row>
    <row r="2482" spans="46:54" x14ac:dyDescent="0.25">
      <c r="AT2482" s="2" t="str">
        <f>IF($L2482="","",IFERROR(INDEX('AR SALES'!$H$2:$H$2501,MATCH(""&amp;$L2482,'AR SALES'!$AE$2:$AE$2501,0)),""))</f>
        <v/>
      </c>
      <c r="AU2482" s="2" t="str">
        <f t="shared" si="152"/>
        <v/>
      </c>
      <c r="AV2482" s="2" t="str">
        <f t="shared" si="153"/>
        <v/>
      </c>
      <c r="AW2482" s="2" t="str">
        <f t="shared" si="154"/>
        <v/>
      </c>
      <c r="AX2482" s="2" t="str">
        <f t="shared" si="155"/>
        <v/>
      </c>
      <c r="AY2482" s="2" t="str">
        <f>IF($AV2482="","",IF(AND($Z2482=0,COUNTIF('AR SALES'!$L$2:$L$2501,$L2482)=0),"YES",""))</f>
        <v/>
      </c>
      <c r="AZ2482" s="2" t="str">
        <f>IF($AV2482="","",IF(COUNTIF(LISTS!$C$2:$C$250,$AU2482)=0,"NEW",""))</f>
        <v/>
      </c>
      <c r="BA2482" s="2" t="str">
        <f>IF(""&amp;$F2482&lt;&gt;"4","",IF($AY2482="YES","",IF(ROUND(SUMIFS($AE$2:$AE$4001,$L$2:$L$4001,$L2482,$F$2:$F$4001,"4")-SUMIFS('AR SALES'!$Y$2:$Y$2501,'AR SALES'!$L$2:$L$2501,$L2482,'AR SALES'!$AD$2:$AD$2501,"OFF"),2)=0,"","STALE")))</f>
        <v/>
      </c>
      <c r="BB2482" s="2" t="str">
        <f>IF(OR(""&amp;$F2482="2",""&amp;$F2482="4",""&amp;$F2482="G",""&amp;$F2482="H"),IF($AY2482="YES","",IF($AB2482&lt;&gt;0,"",IF(COUNTIFS('AR SALES'!$L$2:$L$2501,$L2482,'AR SALES'!$AD$2:$AD$2501,IF(""&amp;$F2482="4","OFF","ON"),'AR SALES'!$AF$2:$AF$2501,"Y")&gt;0,"","NO EXEMPTION"))),"")</f>
        <v/>
      </c>
    </row>
    <row r="2483" spans="46:54" x14ac:dyDescent="0.25">
      <c r="AT2483" s="2" t="str">
        <f>IF($L2483="","",IFERROR(INDEX('AR SALES'!$H$2:$H$2501,MATCH(""&amp;$L2483,'AR SALES'!$AE$2:$AE$2501,0)),""))</f>
        <v/>
      </c>
      <c r="AU2483" s="2" t="str">
        <f t="shared" si="152"/>
        <v/>
      </c>
      <c r="AV2483" s="2" t="str">
        <f t="shared" si="153"/>
        <v/>
      </c>
      <c r="AW2483" s="2" t="str">
        <f t="shared" si="154"/>
        <v/>
      </c>
      <c r="AX2483" s="2" t="str">
        <f t="shared" si="155"/>
        <v/>
      </c>
      <c r="AY2483" s="2" t="str">
        <f>IF($AV2483="","",IF(AND($Z2483=0,COUNTIF('AR SALES'!$L$2:$L$2501,$L2483)=0),"YES",""))</f>
        <v/>
      </c>
      <c r="AZ2483" s="2" t="str">
        <f>IF($AV2483="","",IF(COUNTIF(LISTS!$C$2:$C$250,$AU2483)=0,"NEW",""))</f>
        <v/>
      </c>
      <c r="BA2483" s="2" t="str">
        <f>IF(""&amp;$F2483&lt;&gt;"4","",IF($AY2483="YES","",IF(ROUND(SUMIFS($AE$2:$AE$4001,$L$2:$L$4001,$L2483,$F$2:$F$4001,"4")-SUMIFS('AR SALES'!$Y$2:$Y$2501,'AR SALES'!$L$2:$L$2501,$L2483,'AR SALES'!$AD$2:$AD$2501,"OFF"),2)=0,"","STALE")))</f>
        <v/>
      </c>
      <c r="BB2483" s="2" t="str">
        <f>IF(OR(""&amp;$F2483="2",""&amp;$F2483="4",""&amp;$F2483="G",""&amp;$F2483="H"),IF($AY2483="YES","",IF($AB2483&lt;&gt;0,"",IF(COUNTIFS('AR SALES'!$L$2:$L$2501,$L2483,'AR SALES'!$AD$2:$AD$2501,IF(""&amp;$F2483="4","OFF","ON"),'AR SALES'!$AF$2:$AF$2501,"Y")&gt;0,"","NO EXEMPTION"))),"")</f>
        <v/>
      </c>
    </row>
    <row r="2484" spans="46:54" x14ac:dyDescent="0.25">
      <c r="AT2484" s="2" t="str">
        <f>IF($L2484="","",IFERROR(INDEX('AR SALES'!$H$2:$H$2501,MATCH(""&amp;$L2484,'AR SALES'!$AE$2:$AE$2501,0)),""))</f>
        <v/>
      </c>
      <c r="AU2484" s="2" t="str">
        <f t="shared" si="152"/>
        <v/>
      </c>
      <c r="AV2484" s="2" t="str">
        <f t="shared" si="153"/>
        <v/>
      </c>
      <c r="AW2484" s="2" t="str">
        <f t="shared" si="154"/>
        <v/>
      </c>
      <c r="AX2484" s="2" t="str">
        <f t="shared" si="155"/>
        <v/>
      </c>
      <c r="AY2484" s="2" t="str">
        <f>IF($AV2484="","",IF(AND($Z2484=0,COUNTIF('AR SALES'!$L$2:$L$2501,$L2484)=0),"YES",""))</f>
        <v/>
      </c>
      <c r="AZ2484" s="2" t="str">
        <f>IF($AV2484="","",IF(COUNTIF(LISTS!$C$2:$C$250,$AU2484)=0,"NEW",""))</f>
        <v/>
      </c>
      <c r="BA2484" s="2" t="str">
        <f>IF(""&amp;$F2484&lt;&gt;"4","",IF($AY2484="YES","",IF(ROUND(SUMIFS($AE$2:$AE$4001,$L$2:$L$4001,$L2484,$F$2:$F$4001,"4")-SUMIFS('AR SALES'!$Y$2:$Y$2501,'AR SALES'!$L$2:$L$2501,$L2484,'AR SALES'!$AD$2:$AD$2501,"OFF"),2)=0,"","STALE")))</f>
        <v/>
      </c>
      <c r="BB2484" s="2" t="str">
        <f>IF(OR(""&amp;$F2484="2",""&amp;$F2484="4",""&amp;$F2484="G",""&amp;$F2484="H"),IF($AY2484="YES","",IF($AB2484&lt;&gt;0,"",IF(COUNTIFS('AR SALES'!$L$2:$L$2501,$L2484,'AR SALES'!$AD$2:$AD$2501,IF(""&amp;$F2484="4","OFF","ON"),'AR SALES'!$AF$2:$AF$2501,"Y")&gt;0,"","NO EXEMPTION"))),"")</f>
        <v/>
      </c>
    </row>
    <row r="2485" spans="46:54" x14ac:dyDescent="0.25">
      <c r="AT2485" s="2" t="str">
        <f>IF($L2485="","",IFERROR(INDEX('AR SALES'!$H$2:$H$2501,MATCH(""&amp;$L2485,'AR SALES'!$AE$2:$AE$2501,0)),""))</f>
        <v/>
      </c>
      <c r="AU2485" s="2" t="str">
        <f t="shared" si="152"/>
        <v/>
      </c>
      <c r="AV2485" s="2" t="str">
        <f t="shared" si="153"/>
        <v/>
      </c>
      <c r="AW2485" s="2" t="str">
        <f t="shared" si="154"/>
        <v/>
      </c>
      <c r="AX2485" s="2" t="str">
        <f t="shared" si="155"/>
        <v/>
      </c>
      <c r="AY2485" s="2" t="str">
        <f>IF($AV2485="","",IF(AND($Z2485=0,COUNTIF('AR SALES'!$L$2:$L$2501,$L2485)=0),"YES",""))</f>
        <v/>
      </c>
      <c r="AZ2485" s="2" t="str">
        <f>IF($AV2485="","",IF(COUNTIF(LISTS!$C$2:$C$250,$AU2485)=0,"NEW",""))</f>
        <v/>
      </c>
      <c r="BA2485" s="2" t="str">
        <f>IF(""&amp;$F2485&lt;&gt;"4","",IF($AY2485="YES","",IF(ROUND(SUMIFS($AE$2:$AE$4001,$L$2:$L$4001,$L2485,$F$2:$F$4001,"4")-SUMIFS('AR SALES'!$Y$2:$Y$2501,'AR SALES'!$L$2:$L$2501,$L2485,'AR SALES'!$AD$2:$AD$2501,"OFF"),2)=0,"","STALE")))</f>
        <v/>
      </c>
      <c r="BB2485" s="2" t="str">
        <f>IF(OR(""&amp;$F2485="2",""&amp;$F2485="4",""&amp;$F2485="G",""&amp;$F2485="H"),IF($AY2485="YES","",IF($AB2485&lt;&gt;0,"",IF(COUNTIFS('AR SALES'!$L$2:$L$2501,$L2485,'AR SALES'!$AD$2:$AD$2501,IF(""&amp;$F2485="4","OFF","ON"),'AR SALES'!$AF$2:$AF$2501,"Y")&gt;0,"","NO EXEMPTION"))),"")</f>
        <v/>
      </c>
    </row>
    <row r="2486" spans="46:54" x14ac:dyDescent="0.25">
      <c r="AT2486" s="2" t="str">
        <f>IF($L2486="","",IFERROR(INDEX('AR SALES'!$H$2:$H$2501,MATCH(""&amp;$L2486,'AR SALES'!$AE$2:$AE$2501,0)),""))</f>
        <v/>
      </c>
      <c r="AU2486" s="2" t="str">
        <f t="shared" si="152"/>
        <v/>
      </c>
      <c r="AV2486" s="2" t="str">
        <f t="shared" si="153"/>
        <v/>
      </c>
      <c r="AW2486" s="2" t="str">
        <f t="shared" si="154"/>
        <v/>
      </c>
      <c r="AX2486" s="2" t="str">
        <f t="shared" si="155"/>
        <v/>
      </c>
      <c r="AY2486" s="2" t="str">
        <f>IF($AV2486="","",IF(AND($Z2486=0,COUNTIF('AR SALES'!$L$2:$L$2501,$L2486)=0),"YES",""))</f>
        <v/>
      </c>
      <c r="AZ2486" s="2" t="str">
        <f>IF($AV2486="","",IF(COUNTIF(LISTS!$C$2:$C$250,$AU2486)=0,"NEW",""))</f>
        <v/>
      </c>
      <c r="BA2486" s="2" t="str">
        <f>IF(""&amp;$F2486&lt;&gt;"4","",IF($AY2486="YES","",IF(ROUND(SUMIFS($AE$2:$AE$4001,$L$2:$L$4001,$L2486,$F$2:$F$4001,"4")-SUMIFS('AR SALES'!$Y$2:$Y$2501,'AR SALES'!$L$2:$L$2501,$L2486,'AR SALES'!$AD$2:$AD$2501,"OFF"),2)=0,"","STALE")))</f>
        <v/>
      </c>
      <c r="BB2486" s="2" t="str">
        <f>IF(OR(""&amp;$F2486="2",""&amp;$F2486="4",""&amp;$F2486="G",""&amp;$F2486="H"),IF($AY2486="YES","",IF($AB2486&lt;&gt;0,"",IF(COUNTIFS('AR SALES'!$L$2:$L$2501,$L2486,'AR SALES'!$AD$2:$AD$2501,IF(""&amp;$F2486="4","OFF","ON"),'AR SALES'!$AF$2:$AF$2501,"Y")&gt;0,"","NO EXEMPTION"))),"")</f>
        <v/>
      </c>
    </row>
    <row r="2487" spans="46:54" x14ac:dyDescent="0.25">
      <c r="AT2487" s="2" t="str">
        <f>IF($L2487="","",IFERROR(INDEX('AR SALES'!$H$2:$H$2501,MATCH(""&amp;$L2487,'AR SALES'!$AE$2:$AE$2501,0)),""))</f>
        <v/>
      </c>
      <c r="AU2487" s="2" t="str">
        <f t="shared" si="152"/>
        <v/>
      </c>
      <c r="AV2487" s="2" t="str">
        <f t="shared" si="153"/>
        <v/>
      </c>
      <c r="AW2487" s="2" t="str">
        <f t="shared" si="154"/>
        <v/>
      </c>
      <c r="AX2487" s="2" t="str">
        <f t="shared" si="155"/>
        <v/>
      </c>
      <c r="AY2487" s="2" t="str">
        <f>IF($AV2487="","",IF(AND($Z2487=0,COUNTIF('AR SALES'!$L$2:$L$2501,$L2487)=0),"YES",""))</f>
        <v/>
      </c>
      <c r="AZ2487" s="2" t="str">
        <f>IF($AV2487="","",IF(COUNTIF(LISTS!$C$2:$C$250,$AU2487)=0,"NEW",""))</f>
        <v/>
      </c>
      <c r="BA2487" s="2" t="str">
        <f>IF(""&amp;$F2487&lt;&gt;"4","",IF($AY2487="YES","",IF(ROUND(SUMIFS($AE$2:$AE$4001,$L$2:$L$4001,$L2487,$F$2:$F$4001,"4")-SUMIFS('AR SALES'!$Y$2:$Y$2501,'AR SALES'!$L$2:$L$2501,$L2487,'AR SALES'!$AD$2:$AD$2501,"OFF"),2)=0,"","STALE")))</f>
        <v/>
      </c>
      <c r="BB2487" s="2" t="str">
        <f>IF(OR(""&amp;$F2487="2",""&amp;$F2487="4",""&amp;$F2487="G",""&amp;$F2487="H"),IF($AY2487="YES","",IF($AB2487&lt;&gt;0,"",IF(COUNTIFS('AR SALES'!$L$2:$L$2501,$L2487,'AR SALES'!$AD$2:$AD$2501,IF(""&amp;$F2487="4","OFF","ON"),'AR SALES'!$AF$2:$AF$2501,"Y")&gt;0,"","NO EXEMPTION"))),"")</f>
        <v/>
      </c>
    </row>
    <row r="2488" spans="46:54" x14ac:dyDescent="0.25">
      <c r="AT2488" s="2" t="str">
        <f>IF($L2488="","",IFERROR(INDEX('AR SALES'!$H$2:$H$2501,MATCH(""&amp;$L2488,'AR SALES'!$AE$2:$AE$2501,0)),""))</f>
        <v/>
      </c>
      <c r="AU2488" s="2" t="str">
        <f t="shared" si="152"/>
        <v/>
      </c>
      <c r="AV2488" s="2" t="str">
        <f t="shared" si="153"/>
        <v/>
      </c>
      <c r="AW2488" s="2" t="str">
        <f t="shared" si="154"/>
        <v/>
      </c>
      <c r="AX2488" s="2" t="str">
        <f t="shared" si="155"/>
        <v/>
      </c>
      <c r="AY2488" s="2" t="str">
        <f>IF($AV2488="","",IF(AND($Z2488=0,COUNTIF('AR SALES'!$L$2:$L$2501,$L2488)=0),"YES",""))</f>
        <v/>
      </c>
      <c r="AZ2488" s="2" t="str">
        <f>IF($AV2488="","",IF(COUNTIF(LISTS!$C$2:$C$250,$AU2488)=0,"NEW",""))</f>
        <v/>
      </c>
      <c r="BA2488" s="2" t="str">
        <f>IF(""&amp;$F2488&lt;&gt;"4","",IF($AY2488="YES","",IF(ROUND(SUMIFS($AE$2:$AE$4001,$L$2:$L$4001,$L2488,$F$2:$F$4001,"4")-SUMIFS('AR SALES'!$Y$2:$Y$2501,'AR SALES'!$L$2:$L$2501,$L2488,'AR SALES'!$AD$2:$AD$2501,"OFF"),2)=0,"","STALE")))</f>
        <v/>
      </c>
      <c r="BB2488" s="2" t="str">
        <f>IF(OR(""&amp;$F2488="2",""&amp;$F2488="4",""&amp;$F2488="G",""&amp;$F2488="H"),IF($AY2488="YES","",IF($AB2488&lt;&gt;0,"",IF(COUNTIFS('AR SALES'!$L$2:$L$2501,$L2488,'AR SALES'!$AD$2:$AD$2501,IF(""&amp;$F2488="4","OFF","ON"),'AR SALES'!$AF$2:$AF$2501,"Y")&gt;0,"","NO EXEMPTION"))),"")</f>
        <v/>
      </c>
    </row>
    <row r="2489" spans="46:54" x14ac:dyDescent="0.25">
      <c r="AT2489" s="2" t="str">
        <f>IF($L2489="","",IFERROR(INDEX('AR SALES'!$H$2:$H$2501,MATCH(""&amp;$L2489,'AR SALES'!$AE$2:$AE$2501,0)),""))</f>
        <v/>
      </c>
      <c r="AU2489" s="2" t="str">
        <f t="shared" si="152"/>
        <v/>
      </c>
      <c r="AV2489" s="2" t="str">
        <f t="shared" si="153"/>
        <v/>
      </c>
      <c r="AW2489" s="2" t="str">
        <f t="shared" si="154"/>
        <v/>
      </c>
      <c r="AX2489" s="2" t="str">
        <f t="shared" si="155"/>
        <v/>
      </c>
      <c r="AY2489" s="2" t="str">
        <f>IF($AV2489="","",IF(AND($Z2489=0,COUNTIF('AR SALES'!$L$2:$L$2501,$L2489)=0),"YES",""))</f>
        <v/>
      </c>
      <c r="AZ2489" s="2" t="str">
        <f>IF($AV2489="","",IF(COUNTIF(LISTS!$C$2:$C$250,$AU2489)=0,"NEW",""))</f>
        <v/>
      </c>
      <c r="BA2489" s="2" t="str">
        <f>IF(""&amp;$F2489&lt;&gt;"4","",IF($AY2489="YES","",IF(ROUND(SUMIFS($AE$2:$AE$4001,$L$2:$L$4001,$L2489,$F$2:$F$4001,"4")-SUMIFS('AR SALES'!$Y$2:$Y$2501,'AR SALES'!$L$2:$L$2501,$L2489,'AR SALES'!$AD$2:$AD$2501,"OFF"),2)=0,"","STALE")))</f>
        <v/>
      </c>
      <c r="BB2489" s="2" t="str">
        <f>IF(OR(""&amp;$F2489="2",""&amp;$F2489="4",""&amp;$F2489="G",""&amp;$F2489="H"),IF($AY2489="YES","",IF($AB2489&lt;&gt;0,"",IF(COUNTIFS('AR SALES'!$L$2:$L$2501,$L2489,'AR SALES'!$AD$2:$AD$2501,IF(""&amp;$F2489="4","OFF","ON"),'AR SALES'!$AF$2:$AF$2501,"Y")&gt;0,"","NO EXEMPTION"))),"")</f>
        <v/>
      </c>
    </row>
    <row r="2490" spans="46:54" x14ac:dyDescent="0.25">
      <c r="AT2490" s="2" t="str">
        <f>IF($L2490="","",IFERROR(INDEX('AR SALES'!$H$2:$H$2501,MATCH(""&amp;$L2490,'AR SALES'!$AE$2:$AE$2501,0)),""))</f>
        <v/>
      </c>
      <c r="AU2490" s="2" t="str">
        <f t="shared" si="152"/>
        <v/>
      </c>
      <c r="AV2490" s="2" t="str">
        <f t="shared" si="153"/>
        <v/>
      </c>
      <c r="AW2490" s="2" t="str">
        <f t="shared" si="154"/>
        <v/>
      </c>
      <c r="AX2490" s="2" t="str">
        <f t="shared" si="155"/>
        <v/>
      </c>
      <c r="AY2490" s="2" t="str">
        <f>IF($AV2490="","",IF(AND($Z2490=0,COUNTIF('AR SALES'!$L$2:$L$2501,$L2490)=0),"YES",""))</f>
        <v/>
      </c>
      <c r="AZ2490" s="2" t="str">
        <f>IF($AV2490="","",IF(COUNTIF(LISTS!$C$2:$C$250,$AU2490)=0,"NEW",""))</f>
        <v/>
      </c>
      <c r="BA2490" s="2" t="str">
        <f>IF(""&amp;$F2490&lt;&gt;"4","",IF($AY2490="YES","",IF(ROUND(SUMIFS($AE$2:$AE$4001,$L$2:$L$4001,$L2490,$F$2:$F$4001,"4")-SUMIFS('AR SALES'!$Y$2:$Y$2501,'AR SALES'!$L$2:$L$2501,$L2490,'AR SALES'!$AD$2:$AD$2501,"OFF"),2)=0,"","STALE")))</f>
        <v/>
      </c>
      <c r="BB2490" s="2" t="str">
        <f>IF(OR(""&amp;$F2490="2",""&amp;$F2490="4",""&amp;$F2490="G",""&amp;$F2490="H"),IF($AY2490="YES","",IF($AB2490&lt;&gt;0,"",IF(COUNTIFS('AR SALES'!$L$2:$L$2501,$L2490,'AR SALES'!$AD$2:$AD$2501,IF(""&amp;$F2490="4","OFF","ON"),'AR SALES'!$AF$2:$AF$2501,"Y")&gt;0,"","NO EXEMPTION"))),"")</f>
        <v/>
      </c>
    </row>
    <row r="2491" spans="46:54" x14ac:dyDescent="0.25">
      <c r="AT2491" s="2" t="str">
        <f>IF($L2491="","",IFERROR(INDEX('AR SALES'!$H$2:$H$2501,MATCH(""&amp;$L2491,'AR SALES'!$AE$2:$AE$2501,0)),""))</f>
        <v/>
      </c>
      <c r="AU2491" s="2" t="str">
        <f t="shared" si="152"/>
        <v/>
      </c>
      <c r="AV2491" s="2" t="str">
        <f t="shared" si="153"/>
        <v/>
      </c>
      <c r="AW2491" s="2" t="str">
        <f t="shared" si="154"/>
        <v/>
      </c>
      <c r="AX2491" s="2" t="str">
        <f t="shared" si="155"/>
        <v/>
      </c>
      <c r="AY2491" s="2" t="str">
        <f>IF($AV2491="","",IF(AND($Z2491=0,COUNTIF('AR SALES'!$L$2:$L$2501,$L2491)=0),"YES",""))</f>
        <v/>
      </c>
      <c r="AZ2491" s="2" t="str">
        <f>IF($AV2491="","",IF(COUNTIF(LISTS!$C$2:$C$250,$AU2491)=0,"NEW",""))</f>
        <v/>
      </c>
      <c r="BA2491" s="2" t="str">
        <f>IF(""&amp;$F2491&lt;&gt;"4","",IF($AY2491="YES","",IF(ROUND(SUMIFS($AE$2:$AE$4001,$L$2:$L$4001,$L2491,$F$2:$F$4001,"4")-SUMIFS('AR SALES'!$Y$2:$Y$2501,'AR SALES'!$L$2:$L$2501,$L2491,'AR SALES'!$AD$2:$AD$2501,"OFF"),2)=0,"","STALE")))</f>
        <v/>
      </c>
      <c r="BB2491" s="2" t="str">
        <f>IF(OR(""&amp;$F2491="2",""&amp;$F2491="4",""&amp;$F2491="G",""&amp;$F2491="H"),IF($AY2491="YES","",IF($AB2491&lt;&gt;0,"",IF(COUNTIFS('AR SALES'!$L$2:$L$2501,$L2491,'AR SALES'!$AD$2:$AD$2501,IF(""&amp;$F2491="4","OFF","ON"),'AR SALES'!$AF$2:$AF$2501,"Y")&gt;0,"","NO EXEMPTION"))),"")</f>
        <v/>
      </c>
    </row>
    <row r="2492" spans="46:54" x14ac:dyDescent="0.25">
      <c r="AT2492" s="2" t="str">
        <f>IF($L2492="","",IFERROR(INDEX('AR SALES'!$H$2:$H$2501,MATCH(""&amp;$L2492,'AR SALES'!$AE$2:$AE$2501,0)),""))</f>
        <v/>
      </c>
      <c r="AU2492" s="2" t="str">
        <f t="shared" si="152"/>
        <v/>
      </c>
      <c r="AV2492" s="2" t="str">
        <f t="shared" si="153"/>
        <v/>
      </c>
      <c r="AW2492" s="2" t="str">
        <f t="shared" si="154"/>
        <v/>
      </c>
      <c r="AX2492" s="2" t="str">
        <f t="shared" si="155"/>
        <v/>
      </c>
      <c r="AY2492" s="2" t="str">
        <f>IF($AV2492="","",IF(AND($Z2492=0,COUNTIF('AR SALES'!$L$2:$L$2501,$L2492)=0),"YES",""))</f>
        <v/>
      </c>
      <c r="AZ2492" s="2" t="str">
        <f>IF($AV2492="","",IF(COUNTIF(LISTS!$C$2:$C$250,$AU2492)=0,"NEW",""))</f>
        <v/>
      </c>
      <c r="BA2492" s="2" t="str">
        <f>IF(""&amp;$F2492&lt;&gt;"4","",IF($AY2492="YES","",IF(ROUND(SUMIFS($AE$2:$AE$4001,$L$2:$L$4001,$L2492,$F$2:$F$4001,"4")-SUMIFS('AR SALES'!$Y$2:$Y$2501,'AR SALES'!$L$2:$L$2501,$L2492,'AR SALES'!$AD$2:$AD$2501,"OFF"),2)=0,"","STALE")))</f>
        <v/>
      </c>
      <c r="BB2492" s="2" t="str">
        <f>IF(OR(""&amp;$F2492="2",""&amp;$F2492="4",""&amp;$F2492="G",""&amp;$F2492="H"),IF($AY2492="YES","",IF($AB2492&lt;&gt;0,"",IF(COUNTIFS('AR SALES'!$L$2:$L$2501,$L2492,'AR SALES'!$AD$2:$AD$2501,IF(""&amp;$F2492="4","OFF","ON"),'AR SALES'!$AF$2:$AF$2501,"Y")&gt;0,"","NO EXEMPTION"))),"")</f>
        <v/>
      </c>
    </row>
    <row r="2493" spans="46:54" x14ac:dyDescent="0.25">
      <c r="AT2493" s="2" t="str">
        <f>IF($L2493="","",IFERROR(INDEX('AR SALES'!$H$2:$H$2501,MATCH(""&amp;$L2493,'AR SALES'!$AE$2:$AE$2501,0)),""))</f>
        <v/>
      </c>
      <c r="AU2493" s="2" t="str">
        <f t="shared" si="152"/>
        <v/>
      </c>
      <c r="AV2493" s="2" t="str">
        <f t="shared" si="153"/>
        <v/>
      </c>
      <c r="AW2493" s="2" t="str">
        <f t="shared" si="154"/>
        <v/>
      </c>
      <c r="AX2493" s="2" t="str">
        <f t="shared" si="155"/>
        <v/>
      </c>
      <c r="AY2493" s="2" t="str">
        <f>IF($AV2493="","",IF(AND($Z2493=0,COUNTIF('AR SALES'!$L$2:$L$2501,$L2493)=0),"YES",""))</f>
        <v/>
      </c>
      <c r="AZ2493" s="2" t="str">
        <f>IF($AV2493="","",IF(COUNTIF(LISTS!$C$2:$C$250,$AU2493)=0,"NEW",""))</f>
        <v/>
      </c>
      <c r="BA2493" s="2" t="str">
        <f>IF(""&amp;$F2493&lt;&gt;"4","",IF($AY2493="YES","",IF(ROUND(SUMIFS($AE$2:$AE$4001,$L$2:$L$4001,$L2493,$F$2:$F$4001,"4")-SUMIFS('AR SALES'!$Y$2:$Y$2501,'AR SALES'!$L$2:$L$2501,$L2493,'AR SALES'!$AD$2:$AD$2501,"OFF"),2)=0,"","STALE")))</f>
        <v/>
      </c>
      <c r="BB2493" s="2" t="str">
        <f>IF(OR(""&amp;$F2493="2",""&amp;$F2493="4",""&amp;$F2493="G",""&amp;$F2493="H"),IF($AY2493="YES","",IF($AB2493&lt;&gt;0,"",IF(COUNTIFS('AR SALES'!$L$2:$L$2501,$L2493,'AR SALES'!$AD$2:$AD$2501,IF(""&amp;$F2493="4","OFF","ON"),'AR SALES'!$AF$2:$AF$2501,"Y")&gt;0,"","NO EXEMPTION"))),"")</f>
        <v/>
      </c>
    </row>
    <row r="2494" spans="46:54" x14ac:dyDescent="0.25">
      <c r="AT2494" s="2" t="str">
        <f>IF($L2494="","",IFERROR(INDEX('AR SALES'!$H$2:$H$2501,MATCH(""&amp;$L2494,'AR SALES'!$AE$2:$AE$2501,0)),""))</f>
        <v/>
      </c>
      <c r="AU2494" s="2" t="str">
        <f t="shared" si="152"/>
        <v/>
      </c>
      <c r="AV2494" s="2" t="str">
        <f t="shared" si="153"/>
        <v/>
      </c>
      <c r="AW2494" s="2" t="str">
        <f t="shared" si="154"/>
        <v/>
      </c>
      <c r="AX2494" s="2" t="str">
        <f t="shared" si="155"/>
        <v/>
      </c>
      <c r="AY2494" s="2" t="str">
        <f>IF($AV2494="","",IF(AND($Z2494=0,COUNTIF('AR SALES'!$L$2:$L$2501,$L2494)=0),"YES",""))</f>
        <v/>
      </c>
      <c r="AZ2494" s="2" t="str">
        <f>IF($AV2494="","",IF(COUNTIF(LISTS!$C$2:$C$250,$AU2494)=0,"NEW",""))</f>
        <v/>
      </c>
      <c r="BA2494" s="2" t="str">
        <f>IF(""&amp;$F2494&lt;&gt;"4","",IF($AY2494="YES","",IF(ROUND(SUMIFS($AE$2:$AE$4001,$L$2:$L$4001,$L2494,$F$2:$F$4001,"4")-SUMIFS('AR SALES'!$Y$2:$Y$2501,'AR SALES'!$L$2:$L$2501,$L2494,'AR SALES'!$AD$2:$AD$2501,"OFF"),2)=0,"","STALE")))</f>
        <v/>
      </c>
      <c r="BB2494" s="2" t="str">
        <f>IF(OR(""&amp;$F2494="2",""&amp;$F2494="4",""&amp;$F2494="G",""&amp;$F2494="H"),IF($AY2494="YES","",IF($AB2494&lt;&gt;0,"",IF(COUNTIFS('AR SALES'!$L$2:$L$2501,$L2494,'AR SALES'!$AD$2:$AD$2501,IF(""&amp;$F2494="4","OFF","ON"),'AR SALES'!$AF$2:$AF$2501,"Y")&gt;0,"","NO EXEMPTION"))),"")</f>
        <v/>
      </c>
    </row>
    <row r="2495" spans="46:54" x14ac:dyDescent="0.25">
      <c r="AT2495" s="2" t="str">
        <f>IF($L2495="","",IFERROR(INDEX('AR SALES'!$H$2:$H$2501,MATCH(""&amp;$L2495,'AR SALES'!$AE$2:$AE$2501,0)),""))</f>
        <v/>
      </c>
      <c r="AU2495" s="2" t="str">
        <f t="shared" si="152"/>
        <v/>
      </c>
      <c r="AV2495" s="2" t="str">
        <f t="shared" si="153"/>
        <v/>
      </c>
      <c r="AW2495" s="2" t="str">
        <f t="shared" si="154"/>
        <v/>
      </c>
      <c r="AX2495" s="2" t="str">
        <f t="shared" si="155"/>
        <v/>
      </c>
      <c r="AY2495" s="2" t="str">
        <f>IF($AV2495="","",IF(AND($Z2495=0,COUNTIF('AR SALES'!$L$2:$L$2501,$L2495)=0),"YES",""))</f>
        <v/>
      </c>
      <c r="AZ2495" s="2" t="str">
        <f>IF($AV2495="","",IF(COUNTIF(LISTS!$C$2:$C$250,$AU2495)=0,"NEW",""))</f>
        <v/>
      </c>
      <c r="BA2495" s="2" t="str">
        <f>IF(""&amp;$F2495&lt;&gt;"4","",IF($AY2495="YES","",IF(ROUND(SUMIFS($AE$2:$AE$4001,$L$2:$L$4001,$L2495,$F$2:$F$4001,"4")-SUMIFS('AR SALES'!$Y$2:$Y$2501,'AR SALES'!$L$2:$L$2501,$L2495,'AR SALES'!$AD$2:$AD$2501,"OFF"),2)=0,"","STALE")))</f>
        <v/>
      </c>
      <c r="BB2495" s="2" t="str">
        <f>IF(OR(""&amp;$F2495="2",""&amp;$F2495="4",""&amp;$F2495="G",""&amp;$F2495="H"),IF($AY2495="YES","",IF($AB2495&lt;&gt;0,"",IF(COUNTIFS('AR SALES'!$L$2:$L$2501,$L2495,'AR SALES'!$AD$2:$AD$2501,IF(""&amp;$F2495="4","OFF","ON"),'AR SALES'!$AF$2:$AF$2501,"Y")&gt;0,"","NO EXEMPTION"))),"")</f>
        <v/>
      </c>
    </row>
    <row r="2496" spans="46:54" x14ac:dyDescent="0.25">
      <c r="AT2496" s="2" t="str">
        <f>IF($L2496="","",IFERROR(INDEX('AR SALES'!$H$2:$H$2501,MATCH(""&amp;$L2496,'AR SALES'!$AE$2:$AE$2501,0)),""))</f>
        <v/>
      </c>
      <c r="AU2496" s="2" t="str">
        <f t="shared" si="152"/>
        <v/>
      </c>
      <c r="AV2496" s="2" t="str">
        <f t="shared" si="153"/>
        <v/>
      </c>
      <c r="AW2496" s="2" t="str">
        <f t="shared" si="154"/>
        <v/>
      </c>
      <c r="AX2496" s="2" t="str">
        <f t="shared" si="155"/>
        <v/>
      </c>
      <c r="AY2496" s="2" t="str">
        <f>IF($AV2496="","",IF(AND($Z2496=0,COUNTIF('AR SALES'!$L$2:$L$2501,$L2496)=0),"YES",""))</f>
        <v/>
      </c>
      <c r="AZ2496" s="2" t="str">
        <f>IF($AV2496="","",IF(COUNTIF(LISTS!$C$2:$C$250,$AU2496)=0,"NEW",""))</f>
        <v/>
      </c>
      <c r="BA2496" s="2" t="str">
        <f>IF(""&amp;$F2496&lt;&gt;"4","",IF($AY2496="YES","",IF(ROUND(SUMIFS($AE$2:$AE$4001,$L$2:$L$4001,$L2496,$F$2:$F$4001,"4")-SUMIFS('AR SALES'!$Y$2:$Y$2501,'AR SALES'!$L$2:$L$2501,$L2496,'AR SALES'!$AD$2:$AD$2501,"OFF"),2)=0,"","STALE")))</f>
        <v/>
      </c>
      <c r="BB2496" s="2" t="str">
        <f>IF(OR(""&amp;$F2496="2",""&amp;$F2496="4",""&amp;$F2496="G",""&amp;$F2496="H"),IF($AY2496="YES","",IF($AB2496&lt;&gt;0,"",IF(COUNTIFS('AR SALES'!$L$2:$L$2501,$L2496,'AR SALES'!$AD$2:$AD$2501,IF(""&amp;$F2496="4","OFF","ON"),'AR SALES'!$AF$2:$AF$2501,"Y")&gt;0,"","NO EXEMPTION"))),"")</f>
        <v/>
      </c>
    </row>
    <row r="2497" spans="46:54" x14ac:dyDescent="0.25">
      <c r="AT2497" s="2" t="str">
        <f>IF($L2497="","",IFERROR(INDEX('AR SALES'!$H$2:$H$2501,MATCH(""&amp;$L2497,'AR SALES'!$AE$2:$AE$2501,0)),""))</f>
        <v/>
      </c>
      <c r="AU2497" s="2" t="str">
        <f t="shared" si="152"/>
        <v/>
      </c>
      <c r="AV2497" s="2" t="str">
        <f t="shared" si="153"/>
        <v/>
      </c>
      <c r="AW2497" s="2" t="str">
        <f t="shared" si="154"/>
        <v/>
      </c>
      <c r="AX2497" s="2" t="str">
        <f t="shared" si="155"/>
        <v/>
      </c>
      <c r="AY2497" s="2" t="str">
        <f>IF($AV2497="","",IF(AND($Z2497=0,COUNTIF('AR SALES'!$L$2:$L$2501,$L2497)=0),"YES",""))</f>
        <v/>
      </c>
      <c r="AZ2497" s="2" t="str">
        <f>IF($AV2497="","",IF(COUNTIF(LISTS!$C$2:$C$250,$AU2497)=0,"NEW",""))</f>
        <v/>
      </c>
      <c r="BA2497" s="2" t="str">
        <f>IF(""&amp;$F2497&lt;&gt;"4","",IF($AY2497="YES","",IF(ROUND(SUMIFS($AE$2:$AE$4001,$L$2:$L$4001,$L2497,$F$2:$F$4001,"4")-SUMIFS('AR SALES'!$Y$2:$Y$2501,'AR SALES'!$L$2:$L$2501,$L2497,'AR SALES'!$AD$2:$AD$2501,"OFF"),2)=0,"","STALE")))</f>
        <v/>
      </c>
      <c r="BB2497" s="2" t="str">
        <f>IF(OR(""&amp;$F2497="2",""&amp;$F2497="4",""&amp;$F2497="G",""&amp;$F2497="H"),IF($AY2497="YES","",IF($AB2497&lt;&gt;0,"",IF(COUNTIFS('AR SALES'!$L$2:$L$2501,$L2497,'AR SALES'!$AD$2:$AD$2501,IF(""&amp;$F2497="4","OFF","ON"),'AR SALES'!$AF$2:$AF$2501,"Y")&gt;0,"","NO EXEMPTION"))),"")</f>
        <v/>
      </c>
    </row>
    <row r="2498" spans="46:54" x14ac:dyDescent="0.25">
      <c r="AT2498" s="2" t="str">
        <f>IF($L2498="","",IFERROR(INDEX('AR SALES'!$H$2:$H$2501,MATCH(""&amp;$L2498,'AR SALES'!$AE$2:$AE$2501,0)),""))</f>
        <v/>
      </c>
      <c r="AU2498" s="2" t="str">
        <f t="shared" ref="AU2498:AU2561" si="156">IF($L2498="","",IF($A2498&lt;&gt;"GA","",IF($E2498="FULTON",IF(ISNUMBER(SEARCH("COLLEGE PARK",$AT2498)),"FULTON (COLLEGE PARK)",IF(ISNUMBER(SEARCH("ATLANTA CITY",$AT2498)),"FULTON (ATL LIMITS)","FULTON")),IF($E2498="DEKALB",IF(ISNUMBER(SEARCH("ATLANTA CITY",$AT2498)),"DEKALB (ATL LIMITS)","DEKALB"),$E2498))))</f>
        <v/>
      </c>
      <c r="AV2498" s="2" t="str">
        <f t="shared" ref="AV2498:AV2561" si="157">IF($L2498="","",IF(""&amp;$F2498="2","DIESEL",IF(OR(""&amp;$F2498="G",""&amp;$F2498="H"),"GAS","")))</f>
        <v/>
      </c>
      <c r="AW2498" s="2" t="str">
        <f t="shared" ref="AW2498:AW2561" si="158">IF($AV2498="","",$R2498)</f>
        <v/>
      </c>
      <c r="AX2498" s="2" t="str">
        <f t="shared" ref="AX2498:AX2561" si="159">IF($AV2498="","",IF($AB2498=0,$R2498,0))</f>
        <v/>
      </c>
      <c r="AY2498" s="2" t="str">
        <f>IF($AV2498="","",IF(AND($Z2498=0,COUNTIF('AR SALES'!$L$2:$L$2501,$L2498)=0),"YES",""))</f>
        <v/>
      </c>
      <c r="AZ2498" s="2" t="str">
        <f>IF($AV2498="","",IF(COUNTIF(LISTS!$C$2:$C$250,$AU2498)=0,"NEW",""))</f>
        <v/>
      </c>
      <c r="BA2498" s="2" t="str">
        <f>IF(""&amp;$F2498&lt;&gt;"4","",IF($AY2498="YES","",IF(ROUND(SUMIFS($AE$2:$AE$4001,$L$2:$L$4001,$L2498,$F$2:$F$4001,"4")-SUMIFS('AR SALES'!$Y$2:$Y$2501,'AR SALES'!$L$2:$L$2501,$L2498,'AR SALES'!$AD$2:$AD$2501,"OFF"),2)=0,"","STALE")))</f>
        <v/>
      </c>
      <c r="BB2498" s="2" t="str">
        <f>IF(OR(""&amp;$F2498="2",""&amp;$F2498="4",""&amp;$F2498="G",""&amp;$F2498="H"),IF($AY2498="YES","",IF($AB2498&lt;&gt;0,"",IF(COUNTIFS('AR SALES'!$L$2:$L$2501,$L2498,'AR SALES'!$AD$2:$AD$2501,IF(""&amp;$F2498="4","OFF","ON"),'AR SALES'!$AF$2:$AF$2501,"Y")&gt;0,"","NO EXEMPTION"))),"")</f>
        <v/>
      </c>
    </row>
    <row r="2499" spans="46:54" x14ac:dyDescent="0.25">
      <c r="AT2499" s="2" t="str">
        <f>IF($L2499="","",IFERROR(INDEX('AR SALES'!$H$2:$H$2501,MATCH(""&amp;$L2499,'AR SALES'!$AE$2:$AE$2501,0)),""))</f>
        <v/>
      </c>
      <c r="AU2499" s="2" t="str">
        <f t="shared" si="156"/>
        <v/>
      </c>
      <c r="AV2499" s="2" t="str">
        <f t="shared" si="157"/>
        <v/>
      </c>
      <c r="AW2499" s="2" t="str">
        <f t="shared" si="158"/>
        <v/>
      </c>
      <c r="AX2499" s="2" t="str">
        <f t="shared" si="159"/>
        <v/>
      </c>
      <c r="AY2499" s="2" t="str">
        <f>IF($AV2499="","",IF(AND($Z2499=0,COUNTIF('AR SALES'!$L$2:$L$2501,$L2499)=0),"YES",""))</f>
        <v/>
      </c>
      <c r="AZ2499" s="2" t="str">
        <f>IF($AV2499="","",IF(COUNTIF(LISTS!$C$2:$C$250,$AU2499)=0,"NEW",""))</f>
        <v/>
      </c>
      <c r="BA2499" s="2" t="str">
        <f>IF(""&amp;$F2499&lt;&gt;"4","",IF($AY2499="YES","",IF(ROUND(SUMIFS($AE$2:$AE$4001,$L$2:$L$4001,$L2499,$F$2:$F$4001,"4")-SUMIFS('AR SALES'!$Y$2:$Y$2501,'AR SALES'!$L$2:$L$2501,$L2499,'AR SALES'!$AD$2:$AD$2501,"OFF"),2)=0,"","STALE")))</f>
        <v/>
      </c>
      <c r="BB2499" s="2" t="str">
        <f>IF(OR(""&amp;$F2499="2",""&amp;$F2499="4",""&amp;$F2499="G",""&amp;$F2499="H"),IF($AY2499="YES","",IF($AB2499&lt;&gt;0,"",IF(COUNTIFS('AR SALES'!$L$2:$L$2501,$L2499,'AR SALES'!$AD$2:$AD$2501,IF(""&amp;$F2499="4","OFF","ON"),'AR SALES'!$AF$2:$AF$2501,"Y")&gt;0,"","NO EXEMPTION"))),"")</f>
        <v/>
      </c>
    </row>
    <row r="2500" spans="46:54" x14ac:dyDescent="0.25">
      <c r="AT2500" s="2" t="str">
        <f>IF($L2500="","",IFERROR(INDEX('AR SALES'!$H$2:$H$2501,MATCH(""&amp;$L2500,'AR SALES'!$AE$2:$AE$2501,0)),""))</f>
        <v/>
      </c>
      <c r="AU2500" s="2" t="str">
        <f t="shared" si="156"/>
        <v/>
      </c>
      <c r="AV2500" s="2" t="str">
        <f t="shared" si="157"/>
        <v/>
      </c>
      <c r="AW2500" s="2" t="str">
        <f t="shared" si="158"/>
        <v/>
      </c>
      <c r="AX2500" s="2" t="str">
        <f t="shared" si="159"/>
        <v/>
      </c>
      <c r="AY2500" s="2" t="str">
        <f>IF($AV2500="","",IF(AND($Z2500=0,COUNTIF('AR SALES'!$L$2:$L$2501,$L2500)=0),"YES",""))</f>
        <v/>
      </c>
      <c r="AZ2500" s="2" t="str">
        <f>IF($AV2500="","",IF(COUNTIF(LISTS!$C$2:$C$250,$AU2500)=0,"NEW",""))</f>
        <v/>
      </c>
      <c r="BA2500" s="2" t="str">
        <f>IF(""&amp;$F2500&lt;&gt;"4","",IF($AY2500="YES","",IF(ROUND(SUMIFS($AE$2:$AE$4001,$L$2:$L$4001,$L2500,$F$2:$F$4001,"4")-SUMIFS('AR SALES'!$Y$2:$Y$2501,'AR SALES'!$L$2:$L$2501,$L2500,'AR SALES'!$AD$2:$AD$2501,"OFF"),2)=0,"","STALE")))</f>
        <v/>
      </c>
      <c r="BB2500" s="2" t="str">
        <f>IF(OR(""&amp;$F2500="2",""&amp;$F2500="4",""&amp;$F2500="G",""&amp;$F2500="H"),IF($AY2500="YES","",IF($AB2500&lt;&gt;0,"",IF(COUNTIFS('AR SALES'!$L$2:$L$2501,$L2500,'AR SALES'!$AD$2:$AD$2501,IF(""&amp;$F2500="4","OFF","ON"),'AR SALES'!$AF$2:$AF$2501,"Y")&gt;0,"","NO EXEMPTION"))),"")</f>
        <v/>
      </c>
    </row>
    <row r="2501" spans="46:54" x14ac:dyDescent="0.25">
      <c r="AT2501" s="2" t="str">
        <f>IF($L2501="","",IFERROR(INDEX('AR SALES'!$H$2:$H$2501,MATCH(""&amp;$L2501,'AR SALES'!$AE$2:$AE$2501,0)),""))</f>
        <v/>
      </c>
      <c r="AU2501" s="2" t="str">
        <f t="shared" si="156"/>
        <v/>
      </c>
      <c r="AV2501" s="2" t="str">
        <f t="shared" si="157"/>
        <v/>
      </c>
      <c r="AW2501" s="2" t="str">
        <f t="shared" si="158"/>
        <v/>
      </c>
      <c r="AX2501" s="2" t="str">
        <f t="shared" si="159"/>
        <v/>
      </c>
      <c r="AY2501" s="2" t="str">
        <f>IF($AV2501="","",IF(AND($Z2501=0,COUNTIF('AR SALES'!$L$2:$L$2501,$L2501)=0),"YES",""))</f>
        <v/>
      </c>
      <c r="AZ2501" s="2" t="str">
        <f>IF($AV2501="","",IF(COUNTIF(LISTS!$C$2:$C$250,$AU2501)=0,"NEW",""))</f>
        <v/>
      </c>
      <c r="BA2501" s="2" t="str">
        <f>IF(""&amp;$F2501&lt;&gt;"4","",IF($AY2501="YES","",IF(ROUND(SUMIFS($AE$2:$AE$4001,$L$2:$L$4001,$L2501,$F$2:$F$4001,"4")-SUMIFS('AR SALES'!$Y$2:$Y$2501,'AR SALES'!$L$2:$L$2501,$L2501,'AR SALES'!$AD$2:$AD$2501,"OFF"),2)=0,"","STALE")))</f>
        <v/>
      </c>
      <c r="BB2501" s="2" t="str">
        <f>IF(OR(""&amp;$F2501="2",""&amp;$F2501="4",""&amp;$F2501="G",""&amp;$F2501="H"),IF($AY2501="YES","",IF($AB2501&lt;&gt;0,"",IF(COUNTIFS('AR SALES'!$L$2:$L$2501,$L2501,'AR SALES'!$AD$2:$AD$2501,IF(""&amp;$F2501="4","OFF","ON"),'AR SALES'!$AF$2:$AF$2501,"Y")&gt;0,"","NO EXEMPTION"))),"")</f>
        <v/>
      </c>
    </row>
    <row r="2502" spans="46:54" x14ac:dyDescent="0.25">
      <c r="AT2502" s="2" t="str">
        <f>IF($L2502="","",IFERROR(INDEX('AR SALES'!$H$2:$H$2501,MATCH(""&amp;$L2502,'AR SALES'!$AE$2:$AE$2501,0)),""))</f>
        <v/>
      </c>
      <c r="AU2502" s="2" t="str">
        <f t="shared" si="156"/>
        <v/>
      </c>
      <c r="AV2502" s="2" t="str">
        <f t="shared" si="157"/>
        <v/>
      </c>
      <c r="AW2502" s="2" t="str">
        <f t="shared" si="158"/>
        <v/>
      </c>
      <c r="AX2502" s="2" t="str">
        <f t="shared" si="159"/>
        <v/>
      </c>
      <c r="AY2502" s="2" t="str">
        <f>IF($AV2502="","",IF(AND($Z2502=0,COUNTIF('AR SALES'!$L$2:$L$2501,$L2502)=0),"YES",""))</f>
        <v/>
      </c>
      <c r="AZ2502" s="2" t="str">
        <f>IF($AV2502="","",IF(COUNTIF(LISTS!$C$2:$C$250,$AU2502)=0,"NEW",""))</f>
        <v/>
      </c>
      <c r="BA2502" s="2" t="str">
        <f>IF(""&amp;$F2502&lt;&gt;"4","",IF($AY2502="YES","",IF(ROUND(SUMIFS($AE$2:$AE$4001,$L$2:$L$4001,$L2502,$F$2:$F$4001,"4")-SUMIFS('AR SALES'!$Y$2:$Y$2501,'AR SALES'!$L$2:$L$2501,$L2502,'AR SALES'!$AD$2:$AD$2501,"OFF"),2)=0,"","STALE")))</f>
        <v/>
      </c>
      <c r="BB2502" s="2" t="str">
        <f>IF(OR(""&amp;$F2502="2",""&amp;$F2502="4",""&amp;$F2502="G",""&amp;$F2502="H"),IF($AY2502="YES","",IF($AB2502&lt;&gt;0,"",IF(COUNTIFS('AR SALES'!$L$2:$L$2501,$L2502,'AR SALES'!$AD$2:$AD$2501,IF(""&amp;$F2502="4","OFF","ON"),'AR SALES'!$AF$2:$AF$2501,"Y")&gt;0,"","NO EXEMPTION"))),"")</f>
        <v/>
      </c>
    </row>
    <row r="2503" spans="46:54" x14ac:dyDescent="0.25">
      <c r="AT2503" s="2" t="str">
        <f>IF($L2503="","",IFERROR(INDEX('AR SALES'!$H$2:$H$2501,MATCH(""&amp;$L2503,'AR SALES'!$AE$2:$AE$2501,0)),""))</f>
        <v/>
      </c>
      <c r="AU2503" s="2" t="str">
        <f t="shared" si="156"/>
        <v/>
      </c>
      <c r="AV2503" s="2" t="str">
        <f t="shared" si="157"/>
        <v/>
      </c>
      <c r="AW2503" s="2" t="str">
        <f t="shared" si="158"/>
        <v/>
      </c>
      <c r="AX2503" s="2" t="str">
        <f t="shared" si="159"/>
        <v/>
      </c>
      <c r="AY2503" s="2" t="str">
        <f>IF($AV2503="","",IF(AND($Z2503=0,COUNTIF('AR SALES'!$L$2:$L$2501,$L2503)=0),"YES",""))</f>
        <v/>
      </c>
      <c r="AZ2503" s="2" t="str">
        <f>IF($AV2503="","",IF(COUNTIF(LISTS!$C$2:$C$250,$AU2503)=0,"NEW",""))</f>
        <v/>
      </c>
      <c r="BA2503" s="2" t="str">
        <f>IF(""&amp;$F2503&lt;&gt;"4","",IF($AY2503="YES","",IF(ROUND(SUMIFS($AE$2:$AE$4001,$L$2:$L$4001,$L2503,$F$2:$F$4001,"4")-SUMIFS('AR SALES'!$Y$2:$Y$2501,'AR SALES'!$L$2:$L$2501,$L2503,'AR SALES'!$AD$2:$AD$2501,"OFF"),2)=0,"","STALE")))</f>
        <v/>
      </c>
      <c r="BB2503" s="2" t="str">
        <f>IF(OR(""&amp;$F2503="2",""&amp;$F2503="4",""&amp;$F2503="G",""&amp;$F2503="H"),IF($AY2503="YES","",IF($AB2503&lt;&gt;0,"",IF(COUNTIFS('AR SALES'!$L$2:$L$2501,$L2503,'AR SALES'!$AD$2:$AD$2501,IF(""&amp;$F2503="4","OFF","ON"),'AR SALES'!$AF$2:$AF$2501,"Y")&gt;0,"","NO EXEMPTION"))),"")</f>
        <v/>
      </c>
    </row>
    <row r="2504" spans="46:54" x14ac:dyDescent="0.25">
      <c r="AT2504" s="2" t="str">
        <f>IF($L2504="","",IFERROR(INDEX('AR SALES'!$H$2:$H$2501,MATCH(""&amp;$L2504,'AR SALES'!$AE$2:$AE$2501,0)),""))</f>
        <v/>
      </c>
      <c r="AU2504" s="2" t="str">
        <f t="shared" si="156"/>
        <v/>
      </c>
      <c r="AV2504" s="2" t="str">
        <f t="shared" si="157"/>
        <v/>
      </c>
      <c r="AW2504" s="2" t="str">
        <f t="shared" si="158"/>
        <v/>
      </c>
      <c r="AX2504" s="2" t="str">
        <f t="shared" si="159"/>
        <v/>
      </c>
      <c r="AY2504" s="2" t="str">
        <f>IF($AV2504="","",IF(AND($Z2504=0,COUNTIF('AR SALES'!$L$2:$L$2501,$L2504)=0),"YES",""))</f>
        <v/>
      </c>
      <c r="AZ2504" s="2" t="str">
        <f>IF($AV2504="","",IF(COUNTIF(LISTS!$C$2:$C$250,$AU2504)=0,"NEW",""))</f>
        <v/>
      </c>
      <c r="BA2504" s="2" t="str">
        <f>IF(""&amp;$F2504&lt;&gt;"4","",IF($AY2504="YES","",IF(ROUND(SUMIFS($AE$2:$AE$4001,$L$2:$L$4001,$L2504,$F$2:$F$4001,"4")-SUMIFS('AR SALES'!$Y$2:$Y$2501,'AR SALES'!$L$2:$L$2501,$L2504,'AR SALES'!$AD$2:$AD$2501,"OFF"),2)=0,"","STALE")))</f>
        <v/>
      </c>
      <c r="BB2504" s="2" t="str">
        <f>IF(OR(""&amp;$F2504="2",""&amp;$F2504="4",""&amp;$F2504="G",""&amp;$F2504="H"),IF($AY2504="YES","",IF($AB2504&lt;&gt;0,"",IF(COUNTIFS('AR SALES'!$L$2:$L$2501,$L2504,'AR SALES'!$AD$2:$AD$2501,IF(""&amp;$F2504="4","OFF","ON"),'AR SALES'!$AF$2:$AF$2501,"Y")&gt;0,"","NO EXEMPTION"))),"")</f>
        <v/>
      </c>
    </row>
    <row r="2505" spans="46:54" x14ac:dyDescent="0.25">
      <c r="AT2505" s="2" t="str">
        <f>IF($L2505="","",IFERROR(INDEX('AR SALES'!$H$2:$H$2501,MATCH(""&amp;$L2505,'AR SALES'!$AE$2:$AE$2501,0)),""))</f>
        <v/>
      </c>
      <c r="AU2505" s="2" t="str">
        <f t="shared" si="156"/>
        <v/>
      </c>
      <c r="AV2505" s="2" t="str">
        <f t="shared" si="157"/>
        <v/>
      </c>
      <c r="AW2505" s="2" t="str">
        <f t="shared" si="158"/>
        <v/>
      </c>
      <c r="AX2505" s="2" t="str">
        <f t="shared" si="159"/>
        <v/>
      </c>
      <c r="AY2505" s="2" t="str">
        <f>IF($AV2505="","",IF(AND($Z2505=0,COUNTIF('AR SALES'!$L$2:$L$2501,$L2505)=0),"YES",""))</f>
        <v/>
      </c>
      <c r="AZ2505" s="2" t="str">
        <f>IF($AV2505="","",IF(COUNTIF(LISTS!$C$2:$C$250,$AU2505)=0,"NEW",""))</f>
        <v/>
      </c>
      <c r="BA2505" s="2" t="str">
        <f>IF(""&amp;$F2505&lt;&gt;"4","",IF($AY2505="YES","",IF(ROUND(SUMIFS($AE$2:$AE$4001,$L$2:$L$4001,$L2505,$F$2:$F$4001,"4")-SUMIFS('AR SALES'!$Y$2:$Y$2501,'AR SALES'!$L$2:$L$2501,$L2505,'AR SALES'!$AD$2:$AD$2501,"OFF"),2)=0,"","STALE")))</f>
        <v/>
      </c>
      <c r="BB2505" s="2" t="str">
        <f>IF(OR(""&amp;$F2505="2",""&amp;$F2505="4",""&amp;$F2505="G",""&amp;$F2505="H"),IF($AY2505="YES","",IF($AB2505&lt;&gt;0,"",IF(COUNTIFS('AR SALES'!$L$2:$L$2501,$L2505,'AR SALES'!$AD$2:$AD$2501,IF(""&amp;$F2505="4","OFF","ON"),'AR SALES'!$AF$2:$AF$2501,"Y")&gt;0,"","NO EXEMPTION"))),"")</f>
        <v/>
      </c>
    </row>
    <row r="2506" spans="46:54" x14ac:dyDescent="0.25">
      <c r="AT2506" s="2" t="str">
        <f>IF($L2506="","",IFERROR(INDEX('AR SALES'!$H$2:$H$2501,MATCH(""&amp;$L2506,'AR SALES'!$AE$2:$AE$2501,0)),""))</f>
        <v/>
      </c>
      <c r="AU2506" s="2" t="str">
        <f t="shared" si="156"/>
        <v/>
      </c>
      <c r="AV2506" s="2" t="str">
        <f t="shared" si="157"/>
        <v/>
      </c>
      <c r="AW2506" s="2" t="str">
        <f t="shared" si="158"/>
        <v/>
      </c>
      <c r="AX2506" s="2" t="str">
        <f t="shared" si="159"/>
        <v/>
      </c>
      <c r="AY2506" s="2" t="str">
        <f>IF($AV2506="","",IF(AND($Z2506=0,COUNTIF('AR SALES'!$L$2:$L$2501,$L2506)=0),"YES",""))</f>
        <v/>
      </c>
      <c r="AZ2506" s="2" t="str">
        <f>IF($AV2506="","",IF(COUNTIF(LISTS!$C$2:$C$250,$AU2506)=0,"NEW",""))</f>
        <v/>
      </c>
      <c r="BA2506" s="2" t="str">
        <f>IF(""&amp;$F2506&lt;&gt;"4","",IF($AY2506="YES","",IF(ROUND(SUMIFS($AE$2:$AE$4001,$L$2:$L$4001,$L2506,$F$2:$F$4001,"4")-SUMIFS('AR SALES'!$Y$2:$Y$2501,'AR SALES'!$L$2:$L$2501,$L2506,'AR SALES'!$AD$2:$AD$2501,"OFF"),2)=0,"","STALE")))</f>
        <v/>
      </c>
      <c r="BB2506" s="2" t="str">
        <f>IF(OR(""&amp;$F2506="2",""&amp;$F2506="4",""&amp;$F2506="G",""&amp;$F2506="H"),IF($AY2506="YES","",IF($AB2506&lt;&gt;0,"",IF(COUNTIFS('AR SALES'!$L$2:$L$2501,$L2506,'AR SALES'!$AD$2:$AD$2501,IF(""&amp;$F2506="4","OFF","ON"),'AR SALES'!$AF$2:$AF$2501,"Y")&gt;0,"","NO EXEMPTION"))),"")</f>
        <v/>
      </c>
    </row>
    <row r="2507" spans="46:54" x14ac:dyDescent="0.25">
      <c r="AT2507" s="2" t="str">
        <f>IF($L2507="","",IFERROR(INDEX('AR SALES'!$H$2:$H$2501,MATCH(""&amp;$L2507,'AR SALES'!$AE$2:$AE$2501,0)),""))</f>
        <v/>
      </c>
      <c r="AU2507" s="2" t="str">
        <f t="shared" si="156"/>
        <v/>
      </c>
      <c r="AV2507" s="2" t="str">
        <f t="shared" si="157"/>
        <v/>
      </c>
      <c r="AW2507" s="2" t="str">
        <f t="shared" si="158"/>
        <v/>
      </c>
      <c r="AX2507" s="2" t="str">
        <f t="shared" si="159"/>
        <v/>
      </c>
      <c r="AY2507" s="2" t="str">
        <f>IF($AV2507="","",IF(AND($Z2507=0,COUNTIF('AR SALES'!$L$2:$L$2501,$L2507)=0),"YES",""))</f>
        <v/>
      </c>
      <c r="AZ2507" s="2" t="str">
        <f>IF($AV2507="","",IF(COUNTIF(LISTS!$C$2:$C$250,$AU2507)=0,"NEW",""))</f>
        <v/>
      </c>
      <c r="BA2507" s="2" t="str">
        <f>IF(""&amp;$F2507&lt;&gt;"4","",IF($AY2507="YES","",IF(ROUND(SUMIFS($AE$2:$AE$4001,$L$2:$L$4001,$L2507,$F$2:$F$4001,"4")-SUMIFS('AR SALES'!$Y$2:$Y$2501,'AR SALES'!$L$2:$L$2501,$L2507,'AR SALES'!$AD$2:$AD$2501,"OFF"),2)=0,"","STALE")))</f>
        <v/>
      </c>
      <c r="BB2507" s="2" t="str">
        <f>IF(OR(""&amp;$F2507="2",""&amp;$F2507="4",""&amp;$F2507="G",""&amp;$F2507="H"),IF($AY2507="YES","",IF($AB2507&lt;&gt;0,"",IF(COUNTIFS('AR SALES'!$L$2:$L$2501,$L2507,'AR SALES'!$AD$2:$AD$2501,IF(""&amp;$F2507="4","OFF","ON"),'AR SALES'!$AF$2:$AF$2501,"Y")&gt;0,"","NO EXEMPTION"))),"")</f>
        <v/>
      </c>
    </row>
    <row r="2508" spans="46:54" x14ac:dyDescent="0.25">
      <c r="AT2508" s="2" t="str">
        <f>IF($L2508="","",IFERROR(INDEX('AR SALES'!$H$2:$H$2501,MATCH(""&amp;$L2508,'AR SALES'!$AE$2:$AE$2501,0)),""))</f>
        <v/>
      </c>
      <c r="AU2508" s="2" t="str">
        <f t="shared" si="156"/>
        <v/>
      </c>
      <c r="AV2508" s="2" t="str">
        <f t="shared" si="157"/>
        <v/>
      </c>
      <c r="AW2508" s="2" t="str">
        <f t="shared" si="158"/>
        <v/>
      </c>
      <c r="AX2508" s="2" t="str">
        <f t="shared" si="159"/>
        <v/>
      </c>
      <c r="AY2508" s="2" t="str">
        <f>IF($AV2508="","",IF(AND($Z2508=0,COUNTIF('AR SALES'!$L$2:$L$2501,$L2508)=0),"YES",""))</f>
        <v/>
      </c>
      <c r="AZ2508" s="2" t="str">
        <f>IF($AV2508="","",IF(COUNTIF(LISTS!$C$2:$C$250,$AU2508)=0,"NEW",""))</f>
        <v/>
      </c>
      <c r="BA2508" s="2" t="str">
        <f>IF(""&amp;$F2508&lt;&gt;"4","",IF($AY2508="YES","",IF(ROUND(SUMIFS($AE$2:$AE$4001,$L$2:$L$4001,$L2508,$F$2:$F$4001,"4")-SUMIFS('AR SALES'!$Y$2:$Y$2501,'AR SALES'!$L$2:$L$2501,$L2508,'AR SALES'!$AD$2:$AD$2501,"OFF"),2)=0,"","STALE")))</f>
        <v/>
      </c>
      <c r="BB2508" s="2" t="str">
        <f>IF(OR(""&amp;$F2508="2",""&amp;$F2508="4",""&amp;$F2508="G",""&amp;$F2508="H"),IF($AY2508="YES","",IF($AB2508&lt;&gt;0,"",IF(COUNTIFS('AR SALES'!$L$2:$L$2501,$L2508,'AR SALES'!$AD$2:$AD$2501,IF(""&amp;$F2508="4","OFF","ON"),'AR SALES'!$AF$2:$AF$2501,"Y")&gt;0,"","NO EXEMPTION"))),"")</f>
        <v/>
      </c>
    </row>
    <row r="2509" spans="46:54" x14ac:dyDescent="0.25">
      <c r="AT2509" s="2" t="str">
        <f>IF($L2509="","",IFERROR(INDEX('AR SALES'!$H$2:$H$2501,MATCH(""&amp;$L2509,'AR SALES'!$AE$2:$AE$2501,0)),""))</f>
        <v/>
      </c>
      <c r="AU2509" s="2" t="str">
        <f t="shared" si="156"/>
        <v/>
      </c>
      <c r="AV2509" s="2" t="str">
        <f t="shared" si="157"/>
        <v/>
      </c>
      <c r="AW2509" s="2" t="str">
        <f t="shared" si="158"/>
        <v/>
      </c>
      <c r="AX2509" s="2" t="str">
        <f t="shared" si="159"/>
        <v/>
      </c>
      <c r="AY2509" s="2" t="str">
        <f>IF($AV2509="","",IF(AND($Z2509=0,COUNTIF('AR SALES'!$L$2:$L$2501,$L2509)=0),"YES",""))</f>
        <v/>
      </c>
      <c r="AZ2509" s="2" t="str">
        <f>IF($AV2509="","",IF(COUNTIF(LISTS!$C$2:$C$250,$AU2509)=0,"NEW",""))</f>
        <v/>
      </c>
      <c r="BA2509" s="2" t="str">
        <f>IF(""&amp;$F2509&lt;&gt;"4","",IF($AY2509="YES","",IF(ROUND(SUMIFS($AE$2:$AE$4001,$L$2:$L$4001,$L2509,$F$2:$F$4001,"4")-SUMIFS('AR SALES'!$Y$2:$Y$2501,'AR SALES'!$L$2:$L$2501,$L2509,'AR SALES'!$AD$2:$AD$2501,"OFF"),2)=0,"","STALE")))</f>
        <v/>
      </c>
      <c r="BB2509" s="2" t="str">
        <f>IF(OR(""&amp;$F2509="2",""&amp;$F2509="4",""&amp;$F2509="G",""&amp;$F2509="H"),IF($AY2509="YES","",IF($AB2509&lt;&gt;0,"",IF(COUNTIFS('AR SALES'!$L$2:$L$2501,$L2509,'AR SALES'!$AD$2:$AD$2501,IF(""&amp;$F2509="4","OFF","ON"),'AR SALES'!$AF$2:$AF$2501,"Y")&gt;0,"","NO EXEMPTION"))),"")</f>
        <v/>
      </c>
    </row>
    <row r="2510" spans="46:54" x14ac:dyDescent="0.25">
      <c r="AT2510" s="2" t="str">
        <f>IF($L2510="","",IFERROR(INDEX('AR SALES'!$H$2:$H$2501,MATCH(""&amp;$L2510,'AR SALES'!$AE$2:$AE$2501,0)),""))</f>
        <v/>
      </c>
      <c r="AU2510" s="2" t="str">
        <f t="shared" si="156"/>
        <v/>
      </c>
      <c r="AV2510" s="2" t="str">
        <f t="shared" si="157"/>
        <v/>
      </c>
      <c r="AW2510" s="2" t="str">
        <f t="shared" si="158"/>
        <v/>
      </c>
      <c r="AX2510" s="2" t="str">
        <f t="shared" si="159"/>
        <v/>
      </c>
      <c r="AY2510" s="2" t="str">
        <f>IF($AV2510="","",IF(AND($Z2510=0,COUNTIF('AR SALES'!$L$2:$L$2501,$L2510)=0),"YES",""))</f>
        <v/>
      </c>
      <c r="AZ2510" s="2" t="str">
        <f>IF($AV2510="","",IF(COUNTIF(LISTS!$C$2:$C$250,$AU2510)=0,"NEW",""))</f>
        <v/>
      </c>
      <c r="BA2510" s="2" t="str">
        <f>IF(""&amp;$F2510&lt;&gt;"4","",IF($AY2510="YES","",IF(ROUND(SUMIFS($AE$2:$AE$4001,$L$2:$L$4001,$L2510,$F$2:$F$4001,"4")-SUMIFS('AR SALES'!$Y$2:$Y$2501,'AR SALES'!$L$2:$L$2501,$L2510,'AR SALES'!$AD$2:$AD$2501,"OFF"),2)=0,"","STALE")))</f>
        <v/>
      </c>
      <c r="BB2510" s="2" t="str">
        <f>IF(OR(""&amp;$F2510="2",""&amp;$F2510="4",""&amp;$F2510="G",""&amp;$F2510="H"),IF($AY2510="YES","",IF($AB2510&lt;&gt;0,"",IF(COUNTIFS('AR SALES'!$L$2:$L$2501,$L2510,'AR SALES'!$AD$2:$AD$2501,IF(""&amp;$F2510="4","OFF","ON"),'AR SALES'!$AF$2:$AF$2501,"Y")&gt;0,"","NO EXEMPTION"))),"")</f>
        <v/>
      </c>
    </row>
    <row r="2511" spans="46:54" x14ac:dyDescent="0.25">
      <c r="AT2511" s="2" t="str">
        <f>IF($L2511="","",IFERROR(INDEX('AR SALES'!$H$2:$H$2501,MATCH(""&amp;$L2511,'AR SALES'!$AE$2:$AE$2501,0)),""))</f>
        <v/>
      </c>
      <c r="AU2511" s="2" t="str">
        <f t="shared" si="156"/>
        <v/>
      </c>
      <c r="AV2511" s="2" t="str">
        <f t="shared" si="157"/>
        <v/>
      </c>
      <c r="AW2511" s="2" t="str">
        <f t="shared" si="158"/>
        <v/>
      </c>
      <c r="AX2511" s="2" t="str">
        <f t="shared" si="159"/>
        <v/>
      </c>
      <c r="AY2511" s="2" t="str">
        <f>IF($AV2511="","",IF(AND($Z2511=0,COUNTIF('AR SALES'!$L$2:$L$2501,$L2511)=0),"YES",""))</f>
        <v/>
      </c>
      <c r="AZ2511" s="2" t="str">
        <f>IF($AV2511="","",IF(COUNTIF(LISTS!$C$2:$C$250,$AU2511)=0,"NEW",""))</f>
        <v/>
      </c>
      <c r="BA2511" s="2" t="str">
        <f>IF(""&amp;$F2511&lt;&gt;"4","",IF($AY2511="YES","",IF(ROUND(SUMIFS($AE$2:$AE$4001,$L$2:$L$4001,$L2511,$F$2:$F$4001,"4")-SUMIFS('AR SALES'!$Y$2:$Y$2501,'AR SALES'!$L$2:$L$2501,$L2511,'AR SALES'!$AD$2:$AD$2501,"OFF"),2)=0,"","STALE")))</f>
        <v/>
      </c>
      <c r="BB2511" s="2" t="str">
        <f>IF(OR(""&amp;$F2511="2",""&amp;$F2511="4",""&amp;$F2511="G",""&amp;$F2511="H"),IF($AY2511="YES","",IF($AB2511&lt;&gt;0,"",IF(COUNTIFS('AR SALES'!$L$2:$L$2501,$L2511,'AR SALES'!$AD$2:$AD$2501,IF(""&amp;$F2511="4","OFF","ON"),'AR SALES'!$AF$2:$AF$2501,"Y")&gt;0,"","NO EXEMPTION"))),"")</f>
        <v/>
      </c>
    </row>
    <row r="2512" spans="46:54" x14ac:dyDescent="0.25">
      <c r="AT2512" s="2" t="str">
        <f>IF($L2512="","",IFERROR(INDEX('AR SALES'!$H$2:$H$2501,MATCH(""&amp;$L2512,'AR SALES'!$AE$2:$AE$2501,0)),""))</f>
        <v/>
      </c>
      <c r="AU2512" s="2" t="str">
        <f t="shared" si="156"/>
        <v/>
      </c>
      <c r="AV2512" s="2" t="str">
        <f t="shared" si="157"/>
        <v/>
      </c>
      <c r="AW2512" s="2" t="str">
        <f t="shared" si="158"/>
        <v/>
      </c>
      <c r="AX2512" s="2" t="str">
        <f t="shared" si="159"/>
        <v/>
      </c>
      <c r="AY2512" s="2" t="str">
        <f>IF($AV2512="","",IF(AND($Z2512=0,COUNTIF('AR SALES'!$L$2:$L$2501,$L2512)=0),"YES",""))</f>
        <v/>
      </c>
      <c r="AZ2512" s="2" t="str">
        <f>IF($AV2512="","",IF(COUNTIF(LISTS!$C$2:$C$250,$AU2512)=0,"NEW",""))</f>
        <v/>
      </c>
      <c r="BA2512" s="2" t="str">
        <f>IF(""&amp;$F2512&lt;&gt;"4","",IF($AY2512="YES","",IF(ROUND(SUMIFS($AE$2:$AE$4001,$L$2:$L$4001,$L2512,$F$2:$F$4001,"4")-SUMIFS('AR SALES'!$Y$2:$Y$2501,'AR SALES'!$L$2:$L$2501,$L2512,'AR SALES'!$AD$2:$AD$2501,"OFF"),2)=0,"","STALE")))</f>
        <v/>
      </c>
      <c r="BB2512" s="2" t="str">
        <f>IF(OR(""&amp;$F2512="2",""&amp;$F2512="4",""&amp;$F2512="G",""&amp;$F2512="H"),IF($AY2512="YES","",IF($AB2512&lt;&gt;0,"",IF(COUNTIFS('AR SALES'!$L$2:$L$2501,$L2512,'AR SALES'!$AD$2:$AD$2501,IF(""&amp;$F2512="4","OFF","ON"),'AR SALES'!$AF$2:$AF$2501,"Y")&gt;0,"","NO EXEMPTION"))),"")</f>
        <v/>
      </c>
    </row>
    <row r="2513" spans="46:54" x14ac:dyDescent="0.25">
      <c r="AT2513" s="2" t="str">
        <f>IF($L2513="","",IFERROR(INDEX('AR SALES'!$H$2:$H$2501,MATCH(""&amp;$L2513,'AR SALES'!$AE$2:$AE$2501,0)),""))</f>
        <v/>
      </c>
      <c r="AU2513" s="2" t="str">
        <f t="shared" si="156"/>
        <v/>
      </c>
      <c r="AV2513" s="2" t="str">
        <f t="shared" si="157"/>
        <v/>
      </c>
      <c r="AW2513" s="2" t="str">
        <f t="shared" si="158"/>
        <v/>
      </c>
      <c r="AX2513" s="2" t="str">
        <f t="shared" si="159"/>
        <v/>
      </c>
      <c r="AY2513" s="2" t="str">
        <f>IF($AV2513="","",IF(AND($Z2513=0,COUNTIF('AR SALES'!$L$2:$L$2501,$L2513)=0),"YES",""))</f>
        <v/>
      </c>
      <c r="AZ2513" s="2" t="str">
        <f>IF($AV2513="","",IF(COUNTIF(LISTS!$C$2:$C$250,$AU2513)=0,"NEW",""))</f>
        <v/>
      </c>
      <c r="BA2513" s="2" t="str">
        <f>IF(""&amp;$F2513&lt;&gt;"4","",IF($AY2513="YES","",IF(ROUND(SUMIFS($AE$2:$AE$4001,$L$2:$L$4001,$L2513,$F$2:$F$4001,"4")-SUMIFS('AR SALES'!$Y$2:$Y$2501,'AR SALES'!$L$2:$L$2501,$L2513,'AR SALES'!$AD$2:$AD$2501,"OFF"),2)=0,"","STALE")))</f>
        <v/>
      </c>
      <c r="BB2513" s="2" t="str">
        <f>IF(OR(""&amp;$F2513="2",""&amp;$F2513="4",""&amp;$F2513="G",""&amp;$F2513="H"),IF($AY2513="YES","",IF($AB2513&lt;&gt;0,"",IF(COUNTIFS('AR SALES'!$L$2:$L$2501,$L2513,'AR SALES'!$AD$2:$AD$2501,IF(""&amp;$F2513="4","OFF","ON"),'AR SALES'!$AF$2:$AF$2501,"Y")&gt;0,"","NO EXEMPTION"))),"")</f>
        <v/>
      </c>
    </row>
    <row r="2514" spans="46:54" x14ac:dyDescent="0.25">
      <c r="AT2514" s="2" t="str">
        <f>IF($L2514="","",IFERROR(INDEX('AR SALES'!$H$2:$H$2501,MATCH(""&amp;$L2514,'AR SALES'!$AE$2:$AE$2501,0)),""))</f>
        <v/>
      </c>
      <c r="AU2514" s="2" t="str">
        <f t="shared" si="156"/>
        <v/>
      </c>
      <c r="AV2514" s="2" t="str">
        <f t="shared" si="157"/>
        <v/>
      </c>
      <c r="AW2514" s="2" t="str">
        <f t="shared" si="158"/>
        <v/>
      </c>
      <c r="AX2514" s="2" t="str">
        <f t="shared" si="159"/>
        <v/>
      </c>
      <c r="AY2514" s="2" t="str">
        <f>IF($AV2514="","",IF(AND($Z2514=0,COUNTIF('AR SALES'!$L$2:$L$2501,$L2514)=0),"YES",""))</f>
        <v/>
      </c>
      <c r="AZ2514" s="2" t="str">
        <f>IF($AV2514="","",IF(COUNTIF(LISTS!$C$2:$C$250,$AU2514)=0,"NEW",""))</f>
        <v/>
      </c>
      <c r="BA2514" s="2" t="str">
        <f>IF(""&amp;$F2514&lt;&gt;"4","",IF($AY2514="YES","",IF(ROUND(SUMIFS($AE$2:$AE$4001,$L$2:$L$4001,$L2514,$F$2:$F$4001,"4")-SUMIFS('AR SALES'!$Y$2:$Y$2501,'AR SALES'!$L$2:$L$2501,$L2514,'AR SALES'!$AD$2:$AD$2501,"OFF"),2)=0,"","STALE")))</f>
        <v/>
      </c>
      <c r="BB2514" s="2" t="str">
        <f>IF(OR(""&amp;$F2514="2",""&amp;$F2514="4",""&amp;$F2514="G",""&amp;$F2514="H"),IF($AY2514="YES","",IF($AB2514&lt;&gt;0,"",IF(COUNTIFS('AR SALES'!$L$2:$L$2501,$L2514,'AR SALES'!$AD$2:$AD$2501,IF(""&amp;$F2514="4","OFF","ON"),'AR SALES'!$AF$2:$AF$2501,"Y")&gt;0,"","NO EXEMPTION"))),"")</f>
        <v/>
      </c>
    </row>
    <row r="2515" spans="46:54" x14ac:dyDescent="0.25">
      <c r="AT2515" s="2" t="str">
        <f>IF($L2515="","",IFERROR(INDEX('AR SALES'!$H$2:$H$2501,MATCH(""&amp;$L2515,'AR SALES'!$AE$2:$AE$2501,0)),""))</f>
        <v/>
      </c>
      <c r="AU2515" s="2" t="str">
        <f t="shared" si="156"/>
        <v/>
      </c>
      <c r="AV2515" s="2" t="str">
        <f t="shared" si="157"/>
        <v/>
      </c>
      <c r="AW2515" s="2" t="str">
        <f t="shared" si="158"/>
        <v/>
      </c>
      <c r="AX2515" s="2" t="str">
        <f t="shared" si="159"/>
        <v/>
      </c>
      <c r="AY2515" s="2" t="str">
        <f>IF($AV2515="","",IF(AND($Z2515=0,COUNTIF('AR SALES'!$L$2:$L$2501,$L2515)=0),"YES",""))</f>
        <v/>
      </c>
      <c r="AZ2515" s="2" t="str">
        <f>IF($AV2515="","",IF(COUNTIF(LISTS!$C$2:$C$250,$AU2515)=0,"NEW",""))</f>
        <v/>
      </c>
      <c r="BA2515" s="2" t="str">
        <f>IF(""&amp;$F2515&lt;&gt;"4","",IF($AY2515="YES","",IF(ROUND(SUMIFS($AE$2:$AE$4001,$L$2:$L$4001,$L2515,$F$2:$F$4001,"4")-SUMIFS('AR SALES'!$Y$2:$Y$2501,'AR SALES'!$L$2:$L$2501,$L2515,'AR SALES'!$AD$2:$AD$2501,"OFF"),2)=0,"","STALE")))</f>
        <v/>
      </c>
      <c r="BB2515" s="2" t="str">
        <f>IF(OR(""&amp;$F2515="2",""&amp;$F2515="4",""&amp;$F2515="G",""&amp;$F2515="H"),IF($AY2515="YES","",IF($AB2515&lt;&gt;0,"",IF(COUNTIFS('AR SALES'!$L$2:$L$2501,$L2515,'AR SALES'!$AD$2:$AD$2501,IF(""&amp;$F2515="4","OFF","ON"),'AR SALES'!$AF$2:$AF$2501,"Y")&gt;0,"","NO EXEMPTION"))),"")</f>
        <v/>
      </c>
    </row>
    <row r="2516" spans="46:54" x14ac:dyDescent="0.25">
      <c r="AT2516" s="2" t="str">
        <f>IF($L2516="","",IFERROR(INDEX('AR SALES'!$H$2:$H$2501,MATCH(""&amp;$L2516,'AR SALES'!$AE$2:$AE$2501,0)),""))</f>
        <v/>
      </c>
      <c r="AU2516" s="2" t="str">
        <f t="shared" si="156"/>
        <v/>
      </c>
      <c r="AV2516" s="2" t="str">
        <f t="shared" si="157"/>
        <v/>
      </c>
      <c r="AW2516" s="2" t="str">
        <f t="shared" si="158"/>
        <v/>
      </c>
      <c r="AX2516" s="2" t="str">
        <f t="shared" si="159"/>
        <v/>
      </c>
      <c r="AY2516" s="2" t="str">
        <f>IF($AV2516="","",IF(AND($Z2516=0,COUNTIF('AR SALES'!$L$2:$L$2501,$L2516)=0),"YES",""))</f>
        <v/>
      </c>
      <c r="AZ2516" s="2" t="str">
        <f>IF($AV2516="","",IF(COUNTIF(LISTS!$C$2:$C$250,$AU2516)=0,"NEW",""))</f>
        <v/>
      </c>
      <c r="BA2516" s="2" t="str">
        <f>IF(""&amp;$F2516&lt;&gt;"4","",IF($AY2516="YES","",IF(ROUND(SUMIFS($AE$2:$AE$4001,$L$2:$L$4001,$L2516,$F$2:$F$4001,"4")-SUMIFS('AR SALES'!$Y$2:$Y$2501,'AR SALES'!$L$2:$L$2501,$L2516,'AR SALES'!$AD$2:$AD$2501,"OFF"),2)=0,"","STALE")))</f>
        <v/>
      </c>
      <c r="BB2516" s="2" t="str">
        <f>IF(OR(""&amp;$F2516="2",""&amp;$F2516="4",""&amp;$F2516="G",""&amp;$F2516="H"),IF($AY2516="YES","",IF($AB2516&lt;&gt;0,"",IF(COUNTIFS('AR SALES'!$L$2:$L$2501,$L2516,'AR SALES'!$AD$2:$AD$2501,IF(""&amp;$F2516="4","OFF","ON"),'AR SALES'!$AF$2:$AF$2501,"Y")&gt;0,"","NO EXEMPTION"))),"")</f>
        <v/>
      </c>
    </row>
    <row r="2517" spans="46:54" x14ac:dyDescent="0.25">
      <c r="AT2517" s="2" t="str">
        <f>IF($L2517="","",IFERROR(INDEX('AR SALES'!$H$2:$H$2501,MATCH(""&amp;$L2517,'AR SALES'!$AE$2:$AE$2501,0)),""))</f>
        <v/>
      </c>
      <c r="AU2517" s="2" t="str">
        <f t="shared" si="156"/>
        <v/>
      </c>
      <c r="AV2517" s="2" t="str">
        <f t="shared" si="157"/>
        <v/>
      </c>
      <c r="AW2517" s="2" t="str">
        <f t="shared" si="158"/>
        <v/>
      </c>
      <c r="AX2517" s="2" t="str">
        <f t="shared" si="159"/>
        <v/>
      </c>
      <c r="AY2517" s="2" t="str">
        <f>IF($AV2517="","",IF(AND($Z2517=0,COUNTIF('AR SALES'!$L$2:$L$2501,$L2517)=0),"YES",""))</f>
        <v/>
      </c>
      <c r="AZ2517" s="2" t="str">
        <f>IF($AV2517="","",IF(COUNTIF(LISTS!$C$2:$C$250,$AU2517)=0,"NEW",""))</f>
        <v/>
      </c>
      <c r="BA2517" s="2" t="str">
        <f>IF(""&amp;$F2517&lt;&gt;"4","",IF($AY2517="YES","",IF(ROUND(SUMIFS($AE$2:$AE$4001,$L$2:$L$4001,$L2517,$F$2:$F$4001,"4")-SUMIFS('AR SALES'!$Y$2:$Y$2501,'AR SALES'!$L$2:$L$2501,$L2517,'AR SALES'!$AD$2:$AD$2501,"OFF"),2)=0,"","STALE")))</f>
        <v/>
      </c>
      <c r="BB2517" s="2" t="str">
        <f>IF(OR(""&amp;$F2517="2",""&amp;$F2517="4",""&amp;$F2517="G",""&amp;$F2517="H"),IF($AY2517="YES","",IF($AB2517&lt;&gt;0,"",IF(COUNTIFS('AR SALES'!$L$2:$L$2501,$L2517,'AR SALES'!$AD$2:$AD$2501,IF(""&amp;$F2517="4","OFF","ON"),'AR SALES'!$AF$2:$AF$2501,"Y")&gt;0,"","NO EXEMPTION"))),"")</f>
        <v/>
      </c>
    </row>
    <row r="2518" spans="46:54" x14ac:dyDescent="0.25">
      <c r="AT2518" s="2" t="str">
        <f>IF($L2518="","",IFERROR(INDEX('AR SALES'!$H$2:$H$2501,MATCH(""&amp;$L2518,'AR SALES'!$AE$2:$AE$2501,0)),""))</f>
        <v/>
      </c>
      <c r="AU2518" s="2" t="str">
        <f t="shared" si="156"/>
        <v/>
      </c>
      <c r="AV2518" s="2" t="str">
        <f t="shared" si="157"/>
        <v/>
      </c>
      <c r="AW2518" s="2" t="str">
        <f t="shared" si="158"/>
        <v/>
      </c>
      <c r="AX2518" s="2" t="str">
        <f t="shared" si="159"/>
        <v/>
      </c>
      <c r="AY2518" s="2" t="str">
        <f>IF($AV2518="","",IF(AND($Z2518=0,COUNTIF('AR SALES'!$L$2:$L$2501,$L2518)=0),"YES",""))</f>
        <v/>
      </c>
      <c r="AZ2518" s="2" t="str">
        <f>IF($AV2518="","",IF(COUNTIF(LISTS!$C$2:$C$250,$AU2518)=0,"NEW",""))</f>
        <v/>
      </c>
      <c r="BA2518" s="2" t="str">
        <f>IF(""&amp;$F2518&lt;&gt;"4","",IF($AY2518="YES","",IF(ROUND(SUMIFS($AE$2:$AE$4001,$L$2:$L$4001,$L2518,$F$2:$F$4001,"4")-SUMIFS('AR SALES'!$Y$2:$Y$2501,'AR SALES'!$L$2:$L$2501,$L2518,'AR SALES'!$AD$2:$AD$2501,"OFF"),2)=0,"","STALE")))</f>
        <v/>
      </c>
      <c r="BB2518" s="2" t="str">
        <f>IF(OR(""&amp;$F2518="2",""&amp;$F2518="4",""&amp;$F2518="G",""&amp;$F2518="H"),IF($AY2518="YES","",IF($AB2518&lt;&gt;0,"",IF(COUNTIFS('AR SALES'!$L$2:$L$2501,$L2518,'AR SALES'!$AD$2:$AD$2501,IF(""&amp;$F2518="4","OFF","ON"),'AR SALES'!$AF$2:$AF$2501,"Y")&gt;0,"","NO EXEMPTION"))),"")</f>
        <v/>
      </c>
    </row>
    <row r="2519" spans="46:54" x14ac:dyDescent="0.25">
      <c r="AT2519" s="2" t="str">
        <f>IF($L2519="","",IFERROR(INDEX('AR SALES'!$H$2:$H$2501,MATCH(""&amp;$L2519,'AR SALES'!$AE$2:$AE$2501,0)),""))</f>
        <v/>
      </c>
      <c r="AU2519" s="2" t="str">
        <f t="shared" si="156"/>
        <v/>
      </c>
      <c r="AV2519" s="2" t="str">
        <f t="shared" si="157"/>
        <v/>
      </c>
      <c r="AW2519" s="2" t="str">
        <f t="shared" si="158"/>
        <v/>
      </c>
      <c r="AX2519" s="2" t="str">
        <f t="shared" si="159"/>
        <v/>
      </c>
      <c r="AY2519" s="2" t="str">
        <f>IF($AV2519="","",IF(AND($Z2519=0,COUNTIF('AR SALES'!$L$2:$L$2501,$L2519)=0),"YES",""))</f>
        <v/>
      </c>
      <c r="AZ2519" s="2" t="str">
        <f>IF($AV2519="","",IF(COUNTIF(LISTS!$C$2:$C$250,$AU2519)=0,"NEW",""))</f>
        <v/>
      </c>
      <c r="BA2519" s="2" t="str">
        <f>IF(""&amp;$F2519&lt;&gt;"4","",IF($AY2519="YES","",IF(ROUND(SUMIFS($AE$2:$AE$4001,$L$2:$L$4001,$L2519,$F$2:$F$4001,"4")-SUMIFS('AR SALES'!$Y$2:$Y$2501,'AR SALES'!$L$2:$L$2501,$L2519,'AR SALES'!$AD$2:$AD$2501,"OFF"),2)=0,"","STALE")))</f>
        <v/>
      </c>
      <c r="BB2519" s="2" t="str">
        <f>IF(OR(""&amp;$F2519="2",""&amp;$F2519="4",""&amp;$F2519="G",""&amp;$F2519="H"),IF($AY2519="YES","",IF($AB2519&lt;&gt;0,"",IF(COUNTIFS('AR SALES'!$L$2:$L$2501,$L2519,'AR SALES'!$AD$2:$AD$2501,IF(""&amp;$F2519="4","OFF","ON"),'AR SALES'!$AF$2:$AF$2501,"Y")&gt;0,"","NO EXEMPTION"))),"")</f>
        <v/>
      </c>
    </row>
    <row r="2520" spans="46:54" x14ac:dyDescent="0.25">
      <c r="AT2520" s="2" t="str">
        <f>IF($L2520="","",IFERROR(INDEX('AR SALES'!$H$2:$H$2501,MATCH(""&amp;$L2520,'AR SALES'!$AE$2:$AE$2501,0)),""))</f>
        <v/>
      </c>
      <c r="AU2520" s="2" t="str">
        <f t="shared" si="156"/>
        <v/>
      </c>
      <c r="AV2520" s="2" t="str">
        <f t="shared" si="157"/>
        <v/>
      </c>
      <c r="AW2520" s="2" t="str">
        <f t="shared" si="158"/>
        <v/>
      </c>
      <c r="AX2520" s="2" t="str">
        <f t="shared" si="159"/>
        <v/>
      </c>
      <c r="AY2520" s="2" t="str">
        <f>IF($AV2520="","",IF(AND($Z2520=0,COUNTIF('AR SALES'!$L$2:$L$2501,$L2520)=0),"YES",""))</f>
        <v/>
      </c>
      <c r="AZ2520" s="2" t="str">
        <f>IF($AV2520="","",IF(COUNTIF(LISTS!$C$2:$C$250,$AU2520)=0,"NEW",""))</f>
        <v/>
      </c>
      <c r="BA2520" s="2" t="str">
        <f>IF(""&amp;$F2520&lt;&gt;"4","",IF($AY2520="YES","",IF(ROUND(SUMIFS($AE$2:$AE$4001,$L$2:$L$4001,$L2520,$F$2:$F$4001,"4")-SUMIFS('AR SALES'!$Y$2:$Y$2501,'AR SALES'!$L$2:$L$2501,$L2520,'AR SALES'!$AD$2:$AD$2501,"OFF"),2)=0,"","STALE")))</f>
        <v/>
      </c>
      <c r="BB2520" s="2" t="str">
        <f>IF(OR(""&amp;$F2520="2",""&amp;$F2520="4",""&amp;$F2520="G",""&amp;$F2520="H"),IF($AY2520="YES","",IF($AB2520&lt;&gt;0,"",IF(COUNTIFS('AR SALES'!$L$2:$L$2501,$L2520,'AR SALES'!$AD$2:$AD$2501,IF(""&amp;$F2520="4","OFF","ON"),'AR SALES'!$AF$2:$AF$2501,"Y")&gt;0,"","NO EXEMPTION"))),"")</f>
        <v/>
      </c>
    </row>
    <row r="2521" spans="46:54" x14ac:dyDescent="0.25">
      <c r="AT2521" s="2" t="str">
        <f>IF($L2521="","",IFERROR(INDEX('AR SALES'!$H$2:$H$2501,MATCH(""&amp;$L2521,'AR SALES'!$AE$2:$AE$2501,0)),""))</f>
        <v/>
      </c>
      <c r="AU2521" s="2" t="str">
        <f t="shared" si="156"/>
        <v/>
      </c>
      <c r="AV2521" s="2" t="str">
        <f t="shared" si="157"/>
        <v/>
      </c>
      <c r="AW2521" s="2" t="str">
        <f t="shared" si="158"/>
        <v/>
      </c>
      <c r="AX2521" s="2" t="str">
        <f t="shared" si="159"/>
        <v/>
      </c>
      <c r="AY2521" s="2" t="str">
        <f>IF($AV2521="","",IF(AND($Z2521=0,COUNTIF('AR SALES'!$L$2:$L$2501,$L2521)=0),"YES",""))</f>
        <v/>
      </c>
      <c r="AZ2521" s="2" t="str">
        <f>IF($AV2521="","",IF(COUNTIF(LISTS!$C$2:$C$250,$AU2521)=0,"NEW",""))</f>
        <v/>
      </c>
      <c r="BA2521" s="2" t="str">
        <f>IF(""&amp;$F2521&lt;&gt;"4","",IF($AY2521="YES","",IF(ROUND(SUMIFS($AE$2:$AE$4001,$L$2:$L$4001,$L2521,$F$2:$F$4001,"4")-SUMIFS('AR SALES'!$Y$2:$Y$2501,'AR SALES'!$L$2:$L$2501,$L2521,'AR SALES'!$AD$2:$AD$2501,"OFF"),2)=0,"","STALE")))</f>
        <v/>
      </c>
      <c r="BB2521" s="2" t="str">
        <f>IF(OR(""&amp;$F2521="2",""&amp;$F2521="4",""&amp;$F2521="G",""&amp;$F2521="H"),IF($AY2521="YES","",IF($AB2521&lt;&gt;0,"",IF(COUNTIFS('AR SALES'!$L$2:$L$2501,$L2521,'AR SALES'!$AD$2:$AD$2501,IF(""&amp;$F2521="4","OFF","ON"),'AR SALES'!$AF$2:$AF$2501,"Y")&gt;0,"","NO EXEMPTION"))),"")</f>
        <v/>
      </c>
    </row>
    <row r="2522" spans="46:54" x14ac:dyDescent="0.25">
      <c r="AT2522" s="2" t="str">
        <f>IF($L2522="","",IFERROR(INDEX('AR SALES'!$H$2:$H$2501,MATCH(""&amp;$L2522,'AR SALES'!$AE$2:$AE$2501,0)),""))</f>
        <v/>
      </c>
      <c r="AU2522" s="2" t="str">
        <f t="shared" si="156"/>
        <v/>
      </c>
      <c r="AV2522" s="2" t="str">
        <f t="shared" si="157"/>
        <v/>
      </c>
      <c r="AW2522" s="2" t="str">
        <f t="shared" si="158"/>
        <v/>
      </c>
      <c r="AX2522" s="2" t="str">
        <f t="shared" si="159"/>
        <v/>
      </c>
      <c r="AY2522" s="2" t="str">
        <f>IF($AV2522="","",IF(AND($Z2522=0,COUNTIF('AR SALES'!$L$2:$L$2501,$L2522)=0),"YES",""))</f>
        <v/>
      </c>
      <c r="AZ2522" s="2" t="str">
        <f>IF($AV2522="","",IF(COUNTIF(LISTS!$C$2:$C$250,$AU2522)=0,"NEW",""))</f>
        <v/>
      </c>
      <c r="BA2522" s="2" t="str">
        <f>IF(""&amp;$F2522&lt;&gt;"4","",IF($AY2522="YES","",IF(ROUND(SUMIFS($AE$2:$AE$4001,$L$2:$L$4001,$L2522,$F$2:$F$4001,"4")-SUMIFS('AR SALES'!$Y$2:$Y$2501,'AR SALES'!$L$2:$L$2501,$L2522,'AR SALES'!$AD$2:$AD$2501,"OFF"),2)=0,"","STALE")))</f>
        <v/>
      </c>
      <c r="BB2522" s="2" t="str">
        <f>IF(OR(""&amp;$F2522="2",""&amp;$F2522="4",""&amp;$F2522="G",""&amp;$F2522="H"),IF($AY2522="YES","",IF($AB2522&lt;&gt;0,"",IF(COUNTIFS('AR SALES'!$L$2:$L$2501,$L2522,'AR SALES'!$AD$2:$AD$2501,IF(""&amp;$F2522="4","OFF","ON"),'AR SALES'!$AF$2:$AF$2501,"Y")&gt;0,"","NO EXEMPTION"))),"")</f>
        <v/>
      </c>
    </row>
    <row r="2523" spans="46:54" x14ac:dyDescent="0.25">
      <c r="AT2523" s="2" t="str">
        <f>IF($L2523="","",IFERROR(INDEX('AR SALES'!$H$2:$H$2501,MATCH(""&amp;$L2523,'AR SALES'!$AE$2:$AE$2501,0)),""))</f>
        <v/>
      </c>
      <c r="AU2523" s="2" t="str">
        <f t="shared" si="156"/>
        <v/>
      </c>
      <c r="AV2523" s="2" t="str">
        <f t="shared" si="157"/>
        <v/>
      </c>
      <c r="AW2523" s="2" t="str">
        <f t="shared" si="158"/>
        <v/>
      </c>
      <c r="AX2523" s="2" t="str">
        <f t="shared" si="159"/>
        <v/>
      </c>
      <c r="AY2523" s="2" t="str">
        <f>IF($AV2523="","",IF(AND($Z2523=0,COUNTIF('AR SALES'!$L$2:$L$2501,$L2523)=0),"YES",""))</f>
        <v/>
      </c>
      <c r="AZ2523" s="2" t="str">
        <f>IF($AV2523="","",IF(COUNTIF(LISTS!$C$2:$C$250,$AU2523)=0,"NEW",""))</f>
        <v/>
      </c>
      <c r="BA2523" s="2" t="str">
        <f>IF(""&amp;$F2523&lt;&gt;"4","",IF($AY2523="YES","",IF(ROUND(SUMIFS($AE$2:$AE$4001,$L$2:$L$4001,$L2523,$F$2:$F$4001,"4")-SUMIFS('AR SALES'!$Y$2:$Y$2501,'AR SALES'!$L$2:$L$2501,$L2523,'AR SALES'!$AD$2:$AD$2501,"OFF"),2)=0,"","STALE")))</f>
        <v/>
      </c>
      <c r="BB2523" s="2" t="str">
        <f>IF(OR(""&amp;$F2523="2",""&amp;$F2523="4",""&amp;$F2523="G",""&amp;$F2523="H"),IF($AY2523="YES","",IF($AB2523&lt;&gt;0,"",IF(COUNTIFS('AR SALES'!$L$2:$L$2501,$L2523,'AR SALES'!$AD$2:$AD$2501,IF(""&amp;$F2523="4","OFF","ON"),'AR SALES'!$AF$2:$AF$2501,"Y")&gt;0,"","NO EXEMPTION"))),"")</f>
        <v/>
      </c>
    </row>
    <row r="2524" spans="46:54" x14ac:dyDescent="0.25">
      <c r="AT2524" s="2" t="str">
        <f>IF($L2524="","",IFERROR(INDEX('AR SALES'!$H$2:$H$2501,MATCH(""&amp;$L2524,'AR SALES'!$AE$2:$AE$2501,0)),""))</f>
        <v/>
      </c>
      <c r="AU2524" s="2" t="str">
        <f t="shared" si="156"/>
        <v/>
      </c>
      <c r="AV2524" s="2" t="str">
        <f t="shared" si="157"/>
        <v/>
      </c>
      <c r="AW2524" s="2" t="str">
        <f t="shared" si="158"/>
        <v/>
      </c>
      <c r="AX2524" s="2" t="str">
        <f t="shared" si="159"/>
        <v/>
      </c>
      <c r="AY2524" s="2" t="str">
        <f>IF($AV2524="","",IF(AND($Z2524=0,COUNTIF('AR SALES'!$L$2:$L$2501,$L2524)=0),"YES",""))</f>
        <v/>
      </c>
      <c r="AZ2524" s="2" t="str">
        <f>IF($AV2524="","",IF(COUNTIF(LISTS!$C$2:$C$250,$AU2524)=0,"NEW",""))</f>
        <v/>
      </c>
      <c r="BA2524" s="2" t="str">
        <f>IF(""&amp;$F2524&lt;&gt;"4","",IF($AY2524="YES","",IF(ROUND(SUMIFS($AE$2:$AE$4001,$L$2:$L$4001,$L2524,$F$2:$F$4001,"4")-SUMIFS('AR SALES'!$Y$2:$Y$2501,'AR SALES'!$L$2:$L$2501,$L2524,'AR SALES'!$AD$2:$AD$2501,"OFF"),2)=0,"","STALE")))</f>
        <v/>
      </c>
      <c r="BB2524" s="2" t="str">
        <f>IF(OR(""&amp;$F2524="2",""&amp;$F2524="4",""&amp;$F2524="G",""&amp;$F2524="H"),IF($AY2524="YES","",IF($AB2524&lt;&gt;0,"",IF(COUNTIFS('AR SALES'!$L$2:$L$2501,$L2524,'AR SALES'!$AD$2:$AD$2501,IF(""&amp;$F2524="4","OFF","ON"),'AR SALES'!$AF$2:$AF$2501,"Y")&gt;0,"","NO EXEMPTION"))),"")</f>
        <v/>
      </c>
    </row>
    <row r="2525" spans="46:54" x14ac:dyDescent="0.25">
      <c r="AT2525" s="2" t="str">
        <f>IF($L2525="","",IFERROR(INDEX('AR SALES'!$H$2:$H$2501,MATCH(""&amp;$L2525,'AR SALES'!$AE$2:$AE$2501,0)),""))</f>
        <v/>
      </c>
      <c r="AU2525" s="2" t="str">
        <f t="shared" si="156"/>
        <v/>
      </c>
      <c r="AV2525" s="2" t="str">
        <f t="shared" si="157"/>
        <v/>
      </c>
      <c r="AW2525" s="2" t="str">
        <f t="shared" si="158"/>
        <v/>
      </c>
      <c r="AX2525" s="2" t="str">
        <f t="shared" si="159"/>
        <v/>
      </c>
      <c r="AY2525" s="2" t="str">
        <f>IF($AV2525="","",IF(AND($Z2525=0,COUNTIF('AR SALES'!$L$2:$L$2501,$L2525)=0),"YES",""))</f>
        <v/>
      </c>
      <c r="AZ2525" s="2" t="str">
        <f>IF($AV2525="","",IF(COUNTIF(LISTS!$C$2:$C$250,$AU2525)=0,"NEW",""))</f>
        <v/>
      </c>
      <c r="BA2525" s="2" t="str">
        <f>IF(""&amp;$F2525&lt;&gt;"4","",IF($AY2525="YES","",IF(ROUND(SUMIFS($AE$2:$AE$4001,$L$2:$L$4001,$L2525,$F$2:$F$4001,"4")-SUMIFS('AR SALES'!$Y$2:$Y$2501,'AR SALES'!$L$2:$L$2501,$L2525,'AR SALES'!$AD$2:$AD$2501,"OFF"),2)=0,"","STALE")))</f>
        <v/>
      </c>
      <c r="BB2525" s="2" t="str">
        <f>IF(OR(""&amp;$F2525="2",""&amp;$F2525="4",""&amp;$F2525="G",""&amp;$F2525="H"),IF($AY2525="YES","",IF($AB2525&lt;&gt;0,"",IF(COUNTIFS('AR SALES'!$L$2:$L$2501,$L2525,'AR SALES'!$AD$2:$AD$2501,IF(""&amp;$F2525="4","OFF","ON"),'AR SALES'!$AF$2:$AF$2501,"Y")&gt;0,"","NO EXEMPTION"))),"")</f>
        <v/>
      </c>
    </row>
    <row r="2526" spans="46:54" x14ac:dyDescent="0.25">
      <c r="AT2526" s="2" t="str">
        <f>IF($L2526="","",IFERROR(INDEX('AR SALES'!$H$2:$H$2501,MATCH(""&amp;$L2526,'AR SALES'!$AE$2:$AE$2501,0)),""))</f>
        <v/>
      </c>
      <c r="AU2526" s="2" t="str">
        <f t="shared" si="156"/>
        <v/>
      </c>
      <c r="AV2526" s="2" t="str">
        <f t="shared" si="157"/>
        <v/>
      </c>
      <c r="AW2526" s="2" t="str">
        <f t="shared" si="158"/>
        <v/>
      </c>
      <c r="AX2526" s="2" t="str">
        <f t="shared" si="159"/>
        <v/>
      </c>
      <c r="AY2526" s="2" t="str">
        <f>IF($AV2526="","",IF(AND($Z2526=0,COUNTIF('AR SALES'!$L$2:$L$2501,$L2526)=0),"YES",""))</f>
        <v/>
      </c>
      <c r="AZ2526" s="2" t="str">
        <f>IF($AV2526="","",IF(COUNTIF(LISTS!$C$2:$C$250,$AU2526)=0,"NEW",""))</f>
        <v/>
      </c>
      <c r="BA2526" s="2" t="str">
        <f>IF(""&amp;$F2526&lt;&gt;"4","",IF($AY2526="YES","",IF(ROUND(SUMIFS($AE$2:$AE$4001,$L$2:$L$4001,$L2526,$F$2:$F$4001,"4")-SUMIFS('AR SALES'!$Y$2:$Y$2501,'AR SALES'!$L$2:$L$2501,$L2526,'AR SALES'!$AD$2:$AD$2501,"OFF"),2)=0,"","STALE")))</f>
        <v/>
      </c>
      <c r="BB2526" s="2" t="str">
        <f>IF(OR(""&amp;$F2526="2",""&amp;$F2526="4",""&amp;$F2526="G",""&amp;$F2526="H"),IF($AY2526="YES","",IF($AB2526&lt;&gt;0,"",IF(COUNTIFS('AR SALES'!$L$2:$L$2501,$L2526,'AR SALES'!$AD$2:$AD$2501,IF(""&amp;$F2526="4","OFF","ON"),'AR SALES'!$AF$2:$AF$2501,"Y")&gt;0,"","NO EXEMPTION"))),"")</f>
        <v/>
      </c>
    </row>
    <row r="2527" spans="46:54" x14ac:dyDescent="0.25">
      <c r="AT2527" s="2" t="str">
        <f>IF($L2527="","",IFERROR(INDEX('AR SALES'!$H$2:$H$2501,MATCH(""&amp;$L2527,'AR SALES'!$AE$2:$AE$2501,0)),""))</f>
        <v/>
      </c>
      <c r="AU2527" s="2" t="str">
        <f t="shared" si="156"/>
        <v/>
      </c>
      <c r="AV2527" s="2" t="str">
        <f t="shared" si="157"/>
        <v/>
      </c>
      <c r="AW2527" s="2" t="str">
        <f t="shared" si="158"/>
        <v/>
      </c>
      <c r="AX2527" s="2" t="str">
        <f t="shared" si="159"/>
        <v/>
      </c>
      <c r="AY2527" s="2" t="str">
        <f>IF($AV2527="","",IF(AND($Z2527=0,COUNTIF('AR SALES'!$L$2:$L$2501,$L2527)=0),"YES",""))</f>
        <v/>
      </c>
      <c r="AZ2527" s="2" t="str">
        <f>IF($AV2527="","",IF(COUNTIF(LISTS!$C$2:$C$250,$AU2527)=0,"NEW",""))</f>
        <v/>
      </c>
      <c r="BA2527" s="2" t="str">
        <f>IF(""&amp;$F2527&lt;&gt;"4","",IF($AY2527="YES","",IF(ROUND(SUMIFS($AE$2:$AE$4001,$L$2:$L$4001,$L2527,$F$2:$F$4001,"4")-SUMIFS('AR SALES'!$Y$2:$Y$2501,'AR SALES'!$L$2:$L$2501,$L2527,'AR SALES'!$AD$2:$AD$2501,"OFF"),2)=0,"","STALE")))</f>
        <v/>
      </c>
      <c r="BB2527" s="2" t="str">
        <f>IF(OR(""&amp;$F2527="2",""&amp;$F2527="4",""&amp;$F2527="G",""&amp;$F2527="H"),IF($AY2527="YES","",IF($AB2527&lt;&gt;0,"",IF(COUNTIFS('AR SALES'!$L$2:$L$2501,$L2527,'AR SALES'!$AD$2:$AD$2501,IF(""&amp;$F2527="4","OFF","ON"),'AR SALES'!$AF$2:$AF$2501,"Y")&gt;0,"","NO EXEMPTION"))),"")</f>
        <v/>
      </c>
    </row>
    <row r="2528" spans="46:54" x14ac:dyDescent="0.25">
      <c r="AT2528" s="2" t="str">
        <f>IF($L2528="","",IFERROR(INDEX('AR SALES'!$H$2:$H$2501,MATCH(""&amp;$L2528,'AR SALES'!$AE$2:$AE$2501,0)),""))</f>
        <v/>
      </c>
      <c r="AU2528" s="2" t="str">
        <f t="shared" si="156"/>
        <v/>
      </c>
      <c r="AV2528" s="2" t="str">
        <f t="shared" si="157"/>
        <v/>
      </c>
      <c r="AW2528" s="2" t="str">
        <f t="shared" si="158"/>
        <v/>
      </c>
      <c r="AX2528" s="2" t="str">
        <f t="shared" si="159"/>
        <v/>
      </c>
      <c r="AY2528" s="2" t="str">
        <f>IF($AV2528="","",IF(AND($Z2528=0,COUNTIF('AR SALES'!$L$2:$L$2501,$L2528)=0),"YES",""))</f>
        <v/>
      </c>
      <c r="AZ2528" s="2" t="str">
        <f>IF($AV2528="","",IF(COUNTIF(LISTS!$C$2:$C$250,$AU2528)=0,"NEW",""))</f>
        <v/>
      </c>
      <c r="BA2528" s="2" t="str">
        <f>IF(""&amp;$F2528&lt;&gt;"4","",IF($AY2528="YES","",IF(ROUND(SUMIFS($AE$2:$AE$4001,$L$2:$L$4001,$L2528,$F$2:$F$4001,"4")-SUMIFS('AR SALES'!$Y$2:$Y$2501,'AR SALES'!$L$2:$L$2501,$L2528,'AR SALES'!$AD$2:$AD$2501,"OFF"),2)=0,"","STALE")))</f>
        <v/>
      </c>
      <c r="BB2528" s="2" t="str">
        <f>IF(OR(""&amp;$F2528="2",""&amp;$F2528="4",""&amp;$F2528="G",""&amp;$F2528="H"),IF($AY2528="YES","",IF($AB2528&lt;&gt;0,"",IF(COUNTIFS('AR SALES'!$L$2:$L$2501,$L2528,'AR SALES'!$AD$2:$AD$2501,IF(""&amp;$F2528="4","OFF","ON"),'AR SALES'!$AF$2:$AF$2501,"Y")&gt;0,"","NO EXEMPTION"))),"")</f>
        <v/>
      </c>
    </row>
    <row r="2529" spans="46:54" x14ac:dyDescent="0.25">
      <c r="AT2529" s="2" t="str">
        <f>IF($L2529="","",IFERROR(INDEX('AR SALES'!$H$2:$H$2501,MATCH(""&amp;$L2529,'AR SALES'!$AE$2:$AE$2501,0)),""))</f>
        <v/>
      </c>
      <c r="AU2529" s="2" t="str">
        <f t="shared" si="156"/>
        <v/>
      </c>
      <c r="AV2529" s="2" t="str">
        <f t="shared" si="157"/>
        <v/>
      </c>
      <c r="AW2529" s="2" t="str">
        <f t="shared" si="158"/>
        <v/>
      </c>
      <c r="AX2529" s="2" t="str">
        <f t="shared" si="159"/>
        <v/>
      </c>
      <c r="AY2529" s="2" t="str">
        <f>IF($AV2529="","",IF(AND($Z2529=0,COUNTIF('AR SALES'!$L$2:$L$2501,$L2529)=0),"YES",""))</f>
        <v/>
      </c>
      <c r="AZ2529" s="2" t="str">
        <f>IF($AV2529="","",IF(COUNTIF(LISTS!$C$2:$C$250,$AU2529)=0,"NEW",""))</f>
        <v/>
      </c>
      <c r="BA2529" s="2" t="str">
        <f>IF(""&amp;$F2529&lt;&gt;"4","",IF($AY2529="YES","",IF(ROUND(SUMIFS($AE$2:$AE$4001,$L$2:$L$4001,$L2529,$F$2:$F$4001,"4")-SUMIFS('AR SALES'!$Y$2:$Y$2501,'AR SALES'!$L$2:$L$2501,$L2529,'AR SALES'!$AD$2:$AD$2501,"OFF"),2)=0,"","STALE")))</f>
        <v/>
      </c>
      <c r="BB2529" s="2" t="str">
        <f>IF(OR(""&amp;$F2529="2",""&amp;$F2529="4",""&amp;$F2529="G",""&amp;$F2529="H"),IF($AY2529="YES","",IF($AB2529&lt;&gt;0,"",IF(COUNTIFS('AR SALES'!$L$2:$L$2501,$L2529,'AR SALES'!$AD$2:$AD$2501,IF(""&amp;$F2529="4","OFF","ON"),'AR SALES'!$AF$2:$AF$2501,"Y")&gt;0,"","NO EXEMPTION"))),"")</f>
        <v/>
      </c>
    </row>
    <row r="2530" spans="46:54" x14ac:dyDescent="0.25">
      <c r="AT2530" s="2" t="str">
        <f>IF($L2530="","",IFERROR(INDEX('AR SALES'!$H$2:$H$2501,MATCH(""&amp;$L2530,'AR SALES'!$AE$2:$AE$2501,0)),""))</f>
        <v/>
      </c>
      <c r="AU2530" s="2" t="str">
        <f t="shared" si="156"/>
        <v/>
      </c>
      <c r="AV2530" s="2" t="str">
        <f t="shared" si="157"/>
        <v/>
      </c>
      <c r="AW2530" s="2" t="str">
        <f t="shared" si="158"/>
        <v/>
      </c>
      <c r="AX2530" s="2" t="str">
        <f t="shared" si="159"/>
        <v/>
      </c>
      <c r="AY2530" s="2" t="str">
        <f>IF($AV2530="","",IF(AND($Z2530=0,COUNTIF('AR SALES'!$L$2:$L$2501,$L2530)=0),"YES",""))</f>
        <v/>
      </c>
      <c r="AZ2530" s="2" t="str">
        <f>IF($AV2530="","",IF(COUNTIF(LISTS!$C$2:$C$250,$AU2530)=0,"NEW",""))</f>
        <v/>
      </c>
      <c r="BA2530" s="2" t="str">
        <f>IF(""&amp;$F2530&lt;&gt;"4","",IF($AY2530="YES","",IF(ROUND(SUMIFS($AE$2:$AE$4001,$L$2:$L$4001,$L2530,$F$2:$F$4001,"4")-SUMIFS('AR SALES'!$Y$2:$Y$2501,'AR SALES'!$L$2:$L$2501,$L2530,'AR SALES'!$AD$2:$AD$2501,"OFF"),2)=0,"","STALE")))</f>
        <v/>
      </c>
      <c r="BB2530" s="2" t="str">
        <f>IF(OR(""&amp;$F2530="2",""&amp;$F2530="4",""&amp;$F2530="G",""&amp;$F2530="H"),IF($AY2530="YES","",IF($AB2530&lt;&gt;0,"",IF(COUNTIFS('AR SALES'!$L$2:$L$2501,$L2530,'AR SALES'!$AD$2:$AD$2501,IF(""&amp;$F2530="4","OFF","ON"),'AR SALES'!$AF$2:$AF$2501,"Y")&gt;0,"","NO EXEMPTION"))),"")</f>
        <v/>
      </c>
    </row>
    <row r="2531" spans="46:54" x14ac:dyDescent="0.25">
      <c r="AT2531" s="2" t="str">
        <f>IF($L2531="","",IFERROR(INDEX('AR SALES'!$H$2:$H$2501,MATCH(""&amp;$L2531,'AR SALES'!$AE$2:$AE$2501,0)),""))</f>
        <v/>
      </c>
      <c r="AU2531" s="2" t="str">
        <f t="shared" si="156"/>
        <v/>
      </c>
      <c r="AV2531" s="2" t="str">
        <f t="shared" si="157"/>
        <v/>
      </c>
      <c r="AW2531" s="2" t="str">
        <f t="shared" si="158"/>
        <v/>
      </c>
      <c r="AX2531" s="2" t="str">
        <f t="shared" si="159"/>
        <v/>
      </c>
      <c r="AY2531" s="2" t="str">
        <f>IF($AV2531="","",IF(AND($Z2531=0,COUNTIF('AR SALES'!$L$2:$L$2501,$L2531)=0),"YES",""))</f>
        <v/>
      </c>
      <c r="AZ2531" s="2" t="str">
        <f>IF($AV2531="","",IF(COUNTIF(LISTS!$C$2:$C$250,$AU2531)=0,"NEW",""))</f>
        <v/>
      </c>
      <c r="BA2531" s="2" t="str">
        <f>IF(""&amp;$F2531&lt;&gt;"4","",IF($AY2531="YES","",IF(ROUND(SUMIFS($AE$2:$AE$4001,$L$2:$L$4001,$L2531,$F$2:$F$4001,"4")-SUMIFS('AR SALES'!$Y$2:$Y$2501,'AR SALES'!$L$2:$L$2501,$L2531,'AR SALES'!$AD$2:$AD$2501,"OFF"),2)=0,"","STALE")))</f>
        <v/>
      </c>
      <c r="BB2531" s="2" t="str">
        <f>IF(OR(""&amp;$F2531="2",""&amp;$F2531="4",""&amp;$F2531="G",""&amp;$F2531="H"),IF($AY2531="YES","",IF($AB2531&lt;&gt;0,"",IF(COUNTIFS('AR SALES'!$L$2:$L$2501,$L2531,'AR SALES'!$AD$2:$AD$2501,IF(""&amp;$F2531="4","OFF","ON"),'AR SALES'!$AF$2:$AF$2501,"Y")&gt;0,"","NO EXEMPTION"))),"")</f>
        <v/>
      </c>
    </row>
    <row r="2532" spans="46:54" x14ac:dyDescent="0.25">
      <c r="AT2532" s="2" t="str">
        <f>IF($L2532="","",IFERROR(INDEX('AR SALES'!$H$2:$H$2501,MATCH(""&amp;$L2532,'AR SALES'!$AE$2:$AE$2501,0)),""))</f>
        <v/>
      </c>
      <c r="AU2532" s="2" t="str">
        <f t="shared" si="156"/>
        <v/>
      </c>
      <c r="AV2532" s="2" t="str">
        <f t="shared" si="157"/>
        <v/>
      </c>
      <c r="AW2532" s="2" t="str">
        <f t="shared" si="158"/>
        <v/>
      </c>
      <c r="AX2532" s="2" t="str">
        <f t="shared" si="159"/>
        <v/>
      </c>
      <c r="AY2532" s="2" t="str">
        <f>IF($AV2532="","",IF(AND($Z2532=0,COUNTIF('AR SALES'!$L$2:$L$2501,$L2532)=0),"YES",""))</f>
        <v/>
      </c>
      <c r="AZ2532" s="2" t="str">
        <f>IF($AV2532="","",IF(COUNTIF(LISTS!$C$2:$C$250,$AU2532)=0,"NEW",""))</f>
        <v/>
      </c>
      <c r="BA2532" s="2" t="str">
        <f>IF(""&amp;$F2532&lt;&gt;"4","",IF($AY2532="YES","",IF(ROUND(SUMIFS($AE$2:$AE$4001,$L$2:$L$4001,$L2532,$F$2:$F$4001,"4")-SUMIFS('AR SALES'!$Y$2:$Y$2501,'AR SALES'!$L$2:$L$2501,$L2532,'AR SALES'!$AD$2:$AD$2501,"OFF"),2)=0,"","STALE")))</f>
        <v/>
      </c>
      <c r="BB2532" s="2" t="str">
        <f>IF(OR(""&amp;$F2532="2",""&amp;$F2532="4",""&amp;$F2532="G",""&amp;$F2532="H"),IF($AY2532="YES","",IF($AB2532&lt;&gt;0,"",IF(COUNTIFS('AR SALES'!$L$2:$L$2501,$L2532,'AR SALES'!$AD$2:$AD$2501,IF(""&amp;$F2532="4","OFF","ON"),'AR SALES'!$AF$2:$AF$2501,"Y")&gt;0,"","NO EXEMPTION"))),"")</f>
        <v/>
      </c>
    </row>
    <row r="2533" spans="46:54" x14ac:dyDescent="0.25">
      <c r="AT2533" s="2" t="str">
        <f>IF($L2533="","",IFERROR(INDEX('AR SALES'!$H$2:$H$2501,MATCH(""&amp;$L2533,'AR SALES'!$AE$2:$AE$2501,0)),""))</f>
        <v/>
      </c>
      <c r="AU2533" s="2" t="str">
        <f t="shared" si="156"/>
        <v/>
      </c>
      <c r="AV2533" s="2" t="str">
        <f t="shared" si="157"/>
        <v/>
      </c>
      <c r="AW2533" s="2" t="str">
        <f t="shared" si="158"/>
        <v/>
      </c>
      <c r="AX2533" s="2" t="str">
        <f t="shared" si="159"/>
        <v/>
      </c>
      <c r="AY2533" s="2" t="str">
        <f>IF($AV2533="","",IF(AND($Z2533=0,COUNTIF('AR SALES'!$L$2:$L$2501,$L2533)=0),"YES",""))</f>
        <v/>
      </c>
      <c r="AZ2533" s="2" t="str">
        <f>IF($AV2533="","",IF(COUNTIF(LISTS!$C$2:$C$250,$AU2533)=0,"NEW",""))</f>
        <v/>
      </c>
      <c r="BA2533" s="2" t="str">
        <f>IF(""&amp;$F2533&lt;&gt;"4","",IF($AY2533="YES","",IF(ROUND(SUMIFS($AE$2:$AE$4001,$L$2:$L$4001,$L2533,$F$2:$F$4001,"4")-SUMIFS('AR SALES'!$Y$2:$Y$2501,'AR SALES'!$L$2:$L$2501,$L2533,'AR SALES'!$AD$2:$AD$2501,"OFF"),2)=0,"","STALE")))</f>
        <v/>
      </c>
      <c r="BB2533" s="2" t="str">
        <f>IF(OR(""&amp;$F2533="2",""&amp;$F2533="4",""&amp;$F2533="G",""&amp;$F2533="H"),IF($AY2533="YES","",IF($AB2533&lt;&gt;0,"",IF(COUNTIFS('AR SALES'!$L$2:$L$2501,$L2533,'AR SALES'!$AD$2:$AD$2501,IF(""&amp;$F2533="4","OFF","ON"),'AR SALES'!$AF$2:$AF$2501,"Y")&gt;0,"","NO EXEMPTION"))),"")</f>
        <v/>
      </c>
    </row>
    <row r="2534" spans="46:54" x14ac:dyDescent="0.25">
      <c r="AT2534" s="2" t="str">
        <f>IF($L2534="","",IFERROR(INDEX('AR SALES'!$H$2:$H$2501,MATCH(""&amp;$L2534,'AR SALES'!$AE$2:$AE$2501,0)),""))</f>
        <v/>
      </c>
      <c r="AU2534" s="2" t="str">
        <f t="shared" si="156"/>
        <v/>
      </c>
      <c r="AV2534" s="2" t="str">
        <f t="shared" si="157"/>
        <v/>
      </c>
      <c r="AW2534" s="2" t="str">
        <f t="shared" si="158"/>
        <v/>
      </c>
      <c r="AX2534" s="2" t="str">
        <f t="shared" si="159"/>
        <v/>
      </c>
      <c r="AY2534" s="2" t="str">
        <f>IF($AV2534="","",IF(AND($Z2534=0,COUNTIF('AR SALES'!$L$2:$L$2501,$L2534)=0),"YES",""))</f>
        <v/>
      </c>
      <c r="AZ2534" s="2" t="str">
        <f>IF($AV2534="","",IF(COUNTIF(LISTS!$C$2:$C$250,$AU2534)=0,"NEW",""))</f>
        <v/>
      </c>
      <c r="BA2534" s="2" t="str">
        <f>IF(""&amp;$F2534&lt;&gt;"4","",IF($AY2534="YES","",IF(ROUND(SUMIFS($AE$2:$AE$4001,$L$2:$L$4001,$L2534,$F$2:$F$4001,"4")-SUMIFS('AR SALES'!$Y$2:$Y$2501,'AR SALES'!$L$2:$L$2501,$L2534,'AR SALES'!$AD$2:$AD$2501,"OFF"),2)=0,"","STALE")))</f>
        <v/>
      </c>
      <c r="BB2534" s="2" t="str">
        <f>IF(OR(""&amp;$F2534="2",""&amp;$F2534="4",""&amp;$F2534="G",""&amp;$F2534="H"),IF($AY2534="YES","",IF($AB2534&lt;&gt;0,"",IF(COUNTIFS('AR SALES'!$L$2:$L$2501,$L2534,'AR SALES'!$AD$2:$AD$2501,IF(""&amp;$F2534="4","OFF","ON"),'AR SALES'!$AF$2:$AF$2501,"Y")&gt;0,"","NO EXEMPTION"))),"")</f>
        <v/>
      </c>
    </row>
    <row r="2535" spans="46:54" x14ac:dyDescent="0.25">
      <c r="AT2535" s="2" t="str">
        <f>IF($L2535="","",IFERROR(INDEX('AR SALES'!$H$2:$H$2501,MATCH(""&amp;$L2535,'AR SALES'!$AE$2:$AE$2501,0)),""))</f>
        <v/>
      </c>
      <c r="AU2535" s="2" t="str">
        <f t="shared" si="156"/>
        <v/>
      </c>
      <c r="AV2535" s="2" t="str">
        <f t="shared" si="157"/>
        <v/>
      </c>
      <c r="AW2535" s="2" t="str">
        <f t="shared" si="158"/>
        <v/>
      </c>
      <c r="AX2535" s="2" t="str">
        <f t="shared" si="159"/>
        <v/>
      </c>
      <c r="AY2535" s="2" t="str">
        <f>IF($AV2535="","",IF(AND($Z2535=0,COUNTIF('AR SALES'!$L$2:$L$2501,$L2535)=0),"YES",""))</f>
        <v/>
      </c>
      <c r="AZ2535" s="2" t="str">
        <f>IF($AV2535="","",IF(COUNTIF(LISTS!$C$2:$C$250,$AU2535)=0,"NEW",""))</f>
        <v/>
      </c>
      <c r="BA2535" s="2" t="str">
        <f>IF(""&amp;$F2535&lt;&gt;"4","",IF($AY2535="YES","",IF(ROUND(SUMIFS($AE$2:$AE$4001,$L$2:$L$4001,$L2535,$F$2:$F$4001,"4")-SUMIFS('AR SALES'!$Y$2:$Y$2501,'AR SALES'!$L$2:$L$2501,$L2535,'AR SALES'!$AD$2:$AD$2501,"OFF"),2)=0,"","STALE")))</f>
        <v/>
      </c>
      <c r="BB2535" s="2" t="str">
        <f>IF(OR(""&amp;$F2535="2",""&amp;$F2535="4",""&amp;$F2535="G",""&amp;$F2535="H"),IF($AY2535="YES","",IF($AB2535&lt;&gt;0,"",IF(COUNTIFS('AR SALES'!$L$2:$L$2501,$L2535,'AR SALES'!$AD$2:$AD$2501,IF(""&amp;$F2535="4","OFF","ON"),'AR SALES'!$AF$2:$AF$2501,"Y")&gt;0,"","NO EXEMPTION"))),"")</f>
        <v/>
      </c>
    </row>
    <row r="2536" spans="46:54" x14ac:dyDescent="0.25">
      <c r="AT2536" s="2" t="str">
        <f>IF($L2536="","",IFERROR(INDEX('AR SALES'!$H$2:$H$2501,MATCH(""&amp;$L2536,'AR SALES'!$AE$2:$AE$2501,0)),""))</f>
        <v/>
      </c>
      <c r="AU2536" s="2" t="str">
        <f t="shared" si="156"/>
        <v/>
      </c>
      <c r="AV2536" s="2" t="str">
        <f t="shared" si="157"/>
        <v/>
      </c>
      <c r="AW2536" s="2" t="str">
        <f t="shared" si="158"/>
        <v/>
      </c>
      <c r="AX2536" s="2" t="str">
        <f t="shared" si="159"/>
        <v/>
      </c>
      <c r="AY2536" s="2" t="str">
        <f>IF($AV2536="","",IF(AND($Z2536=0,COUNTIF('AR SALES'!$L$2:$L$2501,$L2536)=0),"YES",""))</f>
        <v/>
      </c>
      <c r="AZ2536" s="2" t="str">
        <f>IF($AV2536="","",IF(COUNTIF(LISTS!$C$2:$C$250,$AU2536)=0,"NEW",""))</f>
        <v/>
      </c>
      <c r="BA2536" s="2" t="str">
        <f>IF(""&amp;$F2536&lt;&gt;"4","",IF($AY2536="YES","",IF(ROUND(SUMIFS($AE$2:$AE$4001,$L$2:$L$4001,$L2536,$F$2:$F$4001,"4")-SUMIFS('AR SALES'!$Y$2:$Y$2501,'AR SALES'!$L$2:$L$2501,$L2536,'AR SALES'!$AD$2:$AD$2501,"OFF"),2)=0,"","STALE")))</f>
        <v/>
      </c>
      <c r="BB2536" s="2" t="str">
        <f>IF(OR(""&amp;$F2536="2",""&amp;$F2536="4",""&amp;$F2536="G",""&amp;$F2536="H"),IF($AY2536="YES","",IF($AB2536&lt;&gt;0,"",IF(COUNTIFS('AR SALES'!$L$2:$L$2501,$L2536,'AR SALES'!$AD$2:$AD$2501,IF(""&amp;$F2536="4","OFF","ON"),'AR SALES'!$AF$2:$AF$2501,"Y")&gt;0,"","NO EXEMPTION"))),"")</f>
        <v/>
      </c>
    </row>
    <row r="2537" spans="46:54" x14ac:dyDescent="0.25">
      <c r="AT2537" s="2" t="str">
        <f>IF($L2537="","",IFERROR(INDEX('AR SALES'!$H$2:$H$2501,MATCH(""&amp;$L2537,'AR SALES'!$AE$2:$AE$2501,0)),""))</f>
        <v/>
      </c>
      <c r="AU2537" s="2" t="str">
        <f t="shared" si="156"/>
        <v/>
      </c>
      <c r="AV2537" s="2" t="str">
        <f t="shared" si="157"/>
        <v/>
      </c>
      <c r="AW2537" s="2" t="str">
        <f t="shared" si="158"/>
        <v/>
      </c>
      <c r="AX2537" s="2" t="str">
        <f t="shared" si="159"/>
        <v/>
      </c>
      <c r="AY2537" s="2" t="str">
        <f>IF($AV2537="","",IF(AND($Z2537=0,COUNTIF('AR SALES'!$L$2:$L$2501,$L2537)=0),"YES",""))</f>
        <v/>
      </c>
      <c r="AZ2537" s="2" t="str">
        <f>IF($AV2537="","",IF(COUNTIF(LISTS!$C$2:$C$250,$AU2537)=0,"NEW",""))</f>
        <v/>
      </c>
      <c r="BA2537" s="2" t="str">
        <f>IF(""&amp;$F2537&lt;&gt;"4","",IF($AY2537="YES","",IF(ROUND(SUMIFS($AE$2:$AE$4001,$L$2:$L$4001,$L2537,$F$2:$F$4001,"4")-SUMIFS('AR SALES'!$Y$2:$Y$2501,'AR SALES'!$L$2:$L$2501,$L2537,'AR SALES'!$AD$2:$AD$2501,"OFF"),2)=0,"","STALE")))</f>
        <v/>
      </c>
      <c r="BB2537" s="2" t="str">
        <f>IF(OR(""&amp;$F2537="2",""&amp;$F2537="4",""&amp;$F2537="G",""&amp;$F2537="H"),IF($AY2537="YES","",IF($AB2537&lt;&gt;0,"",IF(COUNTIFS('AR SALES'!$L$2:$L$2501,$L2537,'AR SALES'!$AD$2:$AD$2501,IF(""&amp;$F2537="4","OFF","ON"),'AR SALES'!$AF$2:$AF$2501,"Y")&gt;0,"","NO EXEMPTION"))),"")</f>
        <v/>
      </c>
    </row>
    <row r="2538" spans="46:54" x14ac:dyDescent="0.25">
      <c r="AT2538" s="2" t="str">
        <f>IF($L2538="","",IFERROR(INDEX('AR SALES'!$H$2:$H$2501,MATCH(""&amp;$L2538,'AR SALES'!$AE$2:$AE$2501,0)),""))</f>
        <v/>
      </c>
      <c r="AU2538" s="2" t="str">
        <f t="shared" si="156"/>
        <v/>
      </c>
      <c r="AV2538" s="2" t="str">
        <f t="shared" si="157"/>
        <v/>
      </c>
      <c r="AW2538" s="2" t="str">
        <f t="shared" si="158"/>
        <v/>
      </c>
      <c r="AX2538" s="2" t="str">
        <f t="shared" si="159"/>
        <v/>
      </c>
      <c r="AY2538" s="2" t="str">
        <f>IF($AV2538="","",IF(AND($Z2538=0,COUNTIF('AR SALES'!$L$2:$L$2501,$L2538)=0),"YES",""))</f>
        <v/>
      </c>
      <c r="AZ2538" s="2" t="str">
        <f>IF($AV2538="","",IF(COUNTIF(LISTS!$C$2:$C$250,$AU2538)=0,"NEW",""))</f>
        <v/>
      </c>
      <c r="BA2538" s="2" t="str">
        <f>IF(""&amp;$F2538&lt;&gt;"4","",IF($AY2538="YES","",IF(ROUND(SUMIFS($AE$2:$AE$4001,$L$2:$L$4001,$L2538,$F$2:$F$4001,"4")-SUMIFS('AR SALES'!$Y$2:$Y$2501,'AR SALES'!$L$2:$L$2501,$L2538,'AR SALES'!$AD$2:$AD$2501,"OFF"),2)=0,"","STALE")))</f>
        <v/>
      </c>
      <c r="BB2538" s="2" t="str">
        <f>IF(OR(""&amp;$F2538="2",""&amp;$F2538="4",""&amp;$F2538="G",""&amp;$F2538="H"),IF($AY2538="YES","",IF($AB2538&lt;&gt;0,"",IF(COUNTIFS('AR SALES'!$L$2:$L$2501,$L2538,'AR SALES'!$AD$2:$AD$2501,IF(""&amp;$F2538="4","OFF","ON"),'AR SALES'!$AF$2:$AF$2501,"Y")&gt;0,"","NO EXEMPTION"))),"")</f>
        <v/>
      </c>
    </row>
    <row r="2539" spans="46:54" x14ac:dyDescent="0.25">
      <c r="AT2539" s="2" t="str">
        <f>IF($L2539="","",IFERROR(INDEX('AR SALES'!$H$2:$H$2501,MATCH(""&amp;$L2539,'AR SALES'!$AE$2:$AE$2501,0)),""))</f>
        <v/>
      </c>
      <c r="AU2539" s="2" t="str">
        <f t="shared" si="156"/>
        <v/>
      </c>
      <c r="AV2539" s="2" t="str">
        <f t="shared" si="157"/>
        <v/>
      </c>
      <c r="AW2539" s="2" t="str">
        <f t="shared" si="158"/>
        <v/>
      </c>
      <c r="AX2539" s="2" t="str">
        <f t="shared" si="159"/>
        <v/>
      </c>
      <c r="AY2539" s="2" t="str">
        <f>IF($AV2539="","",IF(AND($Z2539=0,COUNTIF('AR SALES'!$L$2:$L$2501,$L2539)=0),"YES",""))</f>
        <v/>
      </c>
      <c r="AZ2539" s="2" t="str">
        <f>IF($AV2539="","",IF(COUNTIF(LISTS!$C$2:$C$250,$AU2539)=0,"NEW",""))</f>
        <v/>
      </c>
      <c r="BA2539" s="2" t="str">
        <f>IF(""&amp;$F2539&lt;&gt;"4","",IF($AY2539="YES","",IF(ROUND(SUMIFS($AE$2:$AE$4001,$L$2:$L$4001,$L2539,$F$2:$F$4001,"4")-SUMIFS('AR SALES'!$Y$2:$Y$2501,'AR SALES'!$L$2:$L$2501,$L2539,'AR SALES'!$AD$2:$AD$2501,"OFF"),2)=0,"","STALE")))</f>
        <v/>
      </c>
      <c r="BB2539" s="2" t="str">
        <f>IF(OR(""&amp;$F2539="2",""&amp;$F2539="4",""&amp;$F2539="G",""&amp;$F2539="H"),IF($AY2539="YES","",IF($AB2539&lt;&gt;0,"",IF(COUNTIFS('AR SALES'!$L$2:$L$2501,$L2539,'AR SALES'!$AD$2:$AD$2501,IF(""&amp;$F2539="4","OFF","ON"),'AR SALES'!$AF$2:$AF$2501,"Y")&gt;0,"","NO EXEMPTION"))),"")</f>
        <v/>
      </c>
    </row>
    <row r="2540" spans="46:54" x14ac:dyDescent="0.25">
      <c r="AT2540" s="2" t="str">
        <f>IF($L2540="","",IFERROR(INDEX('AR SALES'!$H$2:$H$2501,MATCH(""&amp;$L2540,'AR SALES'!$AE$2:$AE$2501,0)),""))</f>
        <v/>
      </c>
      <c r="AU2540" s="2" t="str">
        <f t="shared" si="156"/>
        <v/>
      </c>
      <c r="AV2540" s="2" t="str">
        <f t="shared" si="157"/>
        <v/>
      </c>
      <c r="AW2540" s="2" t="str">
        <f t="shared" si="158"/>
        <v/>
      </c>
      <c r="AX2540" s="2" t="str">
        <f t="shared" si="159"/>
        <v/>
      </c>
      <c r="AY2540" s="2" t="str">
        <f>IF($AV2540="","",IF(AND($Z2540=0,COUNTIF('AR SALES'!$L$2:$L$2501,$L2540)=0),"YES",""))</f>
        <v/>
      </c>
      <c r="AZ2540" s="2" t="str">
        <f>IF($AV2540="","",IF(COUNTIF(LISTS!$C$2:$C$250,$AU2540)=0,"NEW",""))</f>
        <v/>
      </c>
      <c r="BA2540" s="2" t="str">
        <f>IF(""&amp;$F2540&lt;&gt;"4","",IF($AY2540="YES","",IF(ROUND(SUMIFS($AE$2:$AE$4001,$L$2:$L$4001,$L2540,$F$2:$F$4001,"4")-SUMIFS('AR SALES'!$Y$2:$Y$2501,'AR SALES'!$L$2:$L$2501,$L2540,'AR SALES'!$AD$2:$AD$2501,"OFF"),2)=0,"","STALE")))</f>
        <v/>
      </c>
      <c r="BB2540" s="2" t="str">
        <f>IF(OR(""&amp;$F2540="2",""&amp;$F2540="4",""&amp;$F2540="G",""&amp;$F2540="H"),IF($AY2540="YES","",IF($AB2540&lt;&gt;0,"",IF(COUNTIFS('AR SALES'!$L$2:$L$2501,$L2540,'AR SALES'!$AD$2:$AD$2501,IF(""&amp;$F2540="4","OFF","ON"),'AR SALES'!$AF$2:$AF$2501,"Y")&gt;0,"","NO EXEMPTION"))),"")</f>
        <v/>
      </c>
    </row>
    <row r="2541" spans="46:54" x14ac:dyDescent="0.25">
      <c r="AT2541" s="2" t="str">
        <f>IF($L2541="","",IFERROR(INDEX('AR SALES'!$H$2:$H$2501,MATCH(""&amp;$L2541,'AR SALES'!$AE$2:$AE$2501,0)),""))</f>
        <v/>
      </c>
      <c r="AU2541" s="2" t="str">
        <f t="shared" si="156"/>
        <v/>
      </c>
      <c r="AV2541" s="2" t="str">
        <f t="shared" si="157"/>
        <v/>
      </c>
      <c r="AW2541" s="2" t="str">
        <f t="shared" si="158"/>
        <v/>
      </c>
      <c r="AX2541" s="2" t="str">
        <f t="shared" si="159"/>
        <v/>
      </c>
      <c r="AY2541" s="2" t="str">
        <f>IF($AV2541="","",IF(AND($Z2541=0,COUNTIF('AR SALES'!$L$2:$L$2501,$L2541)=0),"YES",""))</f>
        <v/>
      </c>
      <c r="AZ2541" s="2" t="str">
        <f>IF($AV2541="","",IF(COUNTIF(LISTS!$C$2:$C$250,$AU2541)=0,"NEW",""))</f>
        <v/>
      </c>
      <c r="BA2541" s="2" t="str">
        <f>IF(""&amp;$F2541&lt;&gt;"4","",IF($AY2541="YES","",IF(ROUND(SUMIFS($AE$2:$AE$4001,$L$2:$L$4001,$L2541,$F$2:$F$4001,"4")-SUMIFS('AR SALES'!$Y$2:$Y$2501,'AR SALES'!$L$2:$L$2501,$L2541,'AR SALES'!$AD$2:$AD$2501,"OFF"),2)=0,"","STALE")))</f>
        <v/>
      </c>
      <c r="BB2541" s="2" t="str">
        <f>IF(OR(""&amp;$F2541="2",""&amp;$F2541="4",""&amp;$F2541="G",""&amp;$F2541="H"),IF($AY2541="YES","",IF($AB2541&lt;&gt;0,"",IF(COUNTIFS('AR SALES'!$L$2:$L$2501,$L2541,'AR SALES'!$AD$2:$AD$2501,IF(""&amp;$F2541="4","OFF","ON"),'AR SALES'!$AF$2:$AF$2501,"Y")&gt;0,"","NO EXEMPTION"))),"")</f>
        <v/>
      </c>
    </row>
    <row r="2542" spans="46:54" x14ac:dyDescent="0.25">
      <c r="AT2542" s="2" t="str">
        <f>IF($L2542="","",IFERROR(INDEX('AR SALES'!$H$2:$H$2501,MATCH(""&amp;$L2542,'AR SALES'!$AE$2:$AE$2501,0)),""))</f>
        <v/>
      </c>
      <c r="AU2542" s="2" t="str">
        <f t="shared" si="156"/>
        <v/>
      </c>
      <c r="AV2542" s="2" t="str">
        <f t="shared" si="157"/>
        <v/>
      </c>
      <c r="AW2542" s="2" t="str">
        <f t="shared" si="158"/>
        <v/>
      </c>
      <c r="AX2542" s="2" t="str">
        <f t="shared" si="159"/>
        <v/>
      </c>
      <c r="AY2542" s="2" t="str">
        <f>IF($AV2542="","",IF(AND($Z2542=0,COUNTIF('AR SALES'!$L$2:$L$2501,$L2542)=0),"YES",""))</f>
        <v/>
      </c>
      <c r="AZ2542" s="2" t="str">
        <f>IF($AV2542="","",IF(COUNTIF(LISTS!$C$2:$C$250,$AU2542)=0,"NEW",""))</f>
        <v/>
      </c>
      <c r="BA2542" s="2" t="str">
        <f>IF(""&amp;$F2542&lt;&gt;"4","",IF($AY2542="YES","",IF(ROUND(SUMIFS($AE$2:$AE$4001,$L$2:$L$4001,$L2542,$F$2:$F$4001,"4")-SUMIFS('AR SALES'!$Y$2:$Y$2501,'AR SALES'!$L$2:$L$2501,$L2542,'AR SALES'!$AD$2:$AD$2501,"OFF"),2)=0,"","STALE")))</f>
        <v/>
      </c>
      <c r="BB2542" s="2" t="str">
        <f>IF(OR(""&amp;$F2542="2",""&amp;$F2542="4",""&amp;$F2542="G",""&amp;$F2542="H"),IF($AY2542="YES","",IF($AB2542&lt;&gt;0,"",IF(COUNTIFS('AR SALES'!$L$2:$L$2501,$L2542,'AR SALES'!$AD$2:$AD$2501,IF(""&amp;$F2542="4","OFF","ON"),'AR SALES'!$AF$2:$AF$2501,"Y")&gt;0,"","NO EXEMPTION"))),"")</f>
        <v/>
      </c>
    </row>
    <row r="2543" spans="46:54" x14ac:dyDescent="0.25">
      <c r="AT2543" s="2" t="str">
        <f>IF($L2543="","",IFERROR(INDEX('AR SALES'!$H$2:$H$2501,MATCH(""&amp;$L2543,'AR SALES'!$AE$2:$AE$2501,0)),""))</f>
        <v/>
      </c>
      <c r="AU2543" s="2" t="str">
        <f t="shared" si="156"/>
        <v/>
      </c>
      <c r="AV2543" s="2" t="str">
        <f t="shared" si="157"/>
        <v/>
      </c>
      <c r="AW2543" s="2" t="str">
        <f t="shared" si="158"/>
        <v/>
      </c>
      <c r="AX2543" s="2" t="str">
        <f t="shared" si="159"/>
        <v/>
      </c>
      <c r="AY2543" s="2" t="str">
        <f>IF($AV2543="","",IF(AND($Z2543=0,COUNTIF('AR SALES'!$L$2:$L$2501,$L2543)=0),"YES",""))</f>
        <v/>
      </c>
      <c r="AZ2543" s="2" t="str">
        <f>IF($AV2543="","",IF(COUNTIF(LISTS!$C$2:$C$250,$AU2543)=0,"NEW",""))</f>
        <v/>
      </c>
      <c r="BA2543" s="2" t="str">
        <f>IF(""&amp;$F2543&lt;&gt;"4","",IF($AY2543="YES","",IF(ROUND(SUMIFS($AE$2:$AE$4001,$L$2:$L$4001,$L2543,$F$2:$F$4001,"4")-SUMIFS('AR SALES'!$Y$2:$Y$2501,'AR SALES'!$L$2:$L$2501,$L2543,'AR SALES'!$AD$2:$AD$2501,"OFF"),2)=0,"","STALE")))</f>
        <v/>
      </c>
      <c r="BB2543" s="2" t="str">
        <f>IF(OR(""&amp;$F2543="2",""&amp;$F2543="4",""&amp;$F2543="G",""&amp;$F2543="H"),IF($AY2543="YES","",IF($AB2543&lt;&gt;0,"",IF(COUNTIFS('AR SALES'!$L$2:$L$2501,$L2543,'AR SALES'!$AD$2:$AD$2501,IF(""&amp;$F2543="4","OFF","ON"),'AR SALES'!$AF$2:$AF$2501,"Y")&gt;0,"","NO EXEMPTION"))),"")</f>
        <v/>
      </c>
    </row>
    <row r="2544" spans="46:54" x14ac:dyDescent="0.25">
      <c r="AT2544" s="2" t="str">
        <f>IF($L2544="","",IFERROR(INDEX('AR SALES'!$H$2:$H$2501,MATCH(""&amp;$L2544,'AR SALES'!$AE$2:$AE$2501,0)),""))</f>
        <v/>
      </c>
      <c r="AU2544" s="2" t="str">
        <f t="shared" si="156"/>
        <v/>
      </c>
      <c r="AV2544" s="2" t="str">
        <f t="shared" si="157"/>
        <v/>
      </c>
      <c r="AW2544" s="2" t="str">
        <f t="shared" si="158"/>
        <v/>
      </c>
      <c r="AX2544" s="2" t="str">
        <f t="shared" si="159"/>
        <v/>
      </c>
      <c r="AY2544" s="2" t="str">
        <f>IF($AV2544="","",IF(AND($Z2544=0,COUNTIF('AR SALES'!$L$2:$L$2501,$L2544)=0),"YES",""))</f>
        <v/>
      </c>
      <c r="AZ2544" s="2" t="str">
        <f>IF($AV2544="","",IF(COUNTIF(LISTS!$C$2:$C$250,$AU2544)=0,"NEW",""))</f>
        <v/>
      </c>
      <c r="BA2544" s="2" t="str">
        <f>IF(""&amp;$F2544&lt;&gt;"4","",IF($AY2544="YES","",IF(ROUND(SUMIFS($AE$2:$AE$4001,$L$2:$L$4001,$L2544,$F$2:$F$4001,"4")-SUMIFS('AR SALES'!$Y$2:$Y$2501,'AR SALES'!$L$2:$L$2501,$L2544,'AR SALES'!$AD$2:$AD$2501,"OFF"),2)=0,"","STALE")))</f>
        <v/>
      </c>
      <c r="BB2544" s="2" t="str">
        <f>IF(OR(""&amp;$F2544="2",""&amp;$F2544="4",""&amp;$F2544="G",""&amp;$F2544="H"),IF($AY2544="YES","",IF($AB2544&lt;&gt;0,"",IF(COUNTIFS('AR SALES'!$L$2:$L$2501,$L2544,'AR SALES'!$AD$2:$AD$2501,IF(""&amp;$F2544="4","OFF","ON"),'AR SALES'!$AF$2:$AF$2501,"Y")&gt;0,"","NO EXEMPTION"))),"")</f>
        <v/>
      </c>
    </row>
    <row r="2545" spans="46:54" x14ac:dyDescent="0.25">
      <c r="AT2545" s="2" t="str">
        <f>IF($L2545="","",IFERROR(INDEX('AR SALES'!$H$2:$H$2501,MATCH(""&amp;$L2545,'AR SALES'!$AE$2:$AE$2501,0)),""))</f>
        <v/>
      </c>
      <c r="AU2545" s="2" t="str">
        <f t="shared" si="156"/>
        <v/>
      </c>
      <c r="AV2545" s="2" t="str">
        <f t="shared" si="157"/>
        <v/>
      </c>
      <c r="AW2545" s="2" t="str">
        <f t="shared" si="158"/>
        <v/>
      </c>
      <c r="AX2545" s="2" t="str">
        <f t="shared" si="159"/>
        <v/>
      </c>
      <c r="AY2545" s="2" t="str">
        <f>IF($AV2545="","",IF(AND($Z2545=0,COUNTIF('AR SALES'!$L$2:$L$2501,$L2545)=0),"YES",""))</f>
        <v/>
      </c>
      <c r="AZ2545" s="2" t="str">
        <f>IF($AV2545="","",IF(COUNTIF(LISTS!$C$2:$C$250,$AU2545)=0,"NEW",""))</f>
        <v/>
      </c>
      <c r="BA2545" s="2" t="str">
        <f>IF(""&amp;$F2545&lt;&gt;"4","",IF($AY2545="YES","",IF(ROUND(SUMIFS($AE$2:$AE$4001,$L$2:$L$4001,$L2545,$F$2:$F$4001,"4")-SUMIFS('AR SALES'!$Y$2:$Y$2501,'AR SALES'!$L$2:$L$2501,$L2545,'AR SALES'!$AD$2:$AD$2501,"OFF"),2)=0,"","STALE")))</f>
        <v/>
      </c>
      <c r="BB2545" s="2" t="str">
        <f>IF(OR(""&amp;$F2545="2",""&amp;$F2545="4",""&amp;$F2545="G",""&amp;$F2545="H"),IF($AY2545="YES","",IF($AB2545&lt;&gt;0,"",IF(COUNTIFS('AR SALES'!$L$2:$L$2501,$L2545,'AR SALES'!$AD$2:$AD$2501,IF(""&amp;$F2545="4","OFF","ON"),'AR SALES'!$AF$2:$AF$2501,"Y")&gt;0,"","NO EXEMPTION"))),"")</f>
        <v/>
      </c>
    </row>
    <row r="2546" spans="46:54" x14ac:dyDescent="0.25">
      <c r="AT2546" s="2" t="str">
        <f>IF($L2546="","",IFERROR(INDEX('AR SALES'!$H$2:$H$2501,MATCH(""&amp;$L2546,'AR SALES'!$AE$2:$AE$2501,0)),""))</f>
        <v/>
      </c>
      <c r="AU2546" s="2" t="str">
        <f t="shared" si="156"/>
        <v/>
      </c>
      <c r="AV2546" s="2" t="str">
        <f t="shared" si="157"/>
        <v/>
      </c>
      <c r="AW2546" s="2" t="str">
        <f t="shared" si="158"/>
        <v/>
      </c>
      <c r="AX2546" s="2" t="str">
        <f t="shared" si="159"/>
        <v/>
      </c>
      <c r="AY2546" s="2" t="str">
        <f>IF($AV2546="","",IF(AND($Z2546=0,COUNTIF('AR SALES'!$L$2:$L$2501,$L2546)=0),"YES",""))</f>
        <v/>
      </c>
      <c r="AZ2546" s="2" t="str">
        <f>IF($AV2546="","",IF(COUNTIF(LISTS!$C$2:$C$250,$AU2546)=0,"NEW",""))</f>
        <v/>
      </c>
      <c r="BA2546" s="2" t="str">
        <f>IF(""&amp;$F2546&lt;&gt;"4","",IF($AY2546="YES","",IF(ROUND(SUMIFS($AE$2:$AE$4001,$L$2:$L$4001,$L2546,$F$2:$F$4001,"4")-SUMIFS('AR SALES'!$Y$2:$Y$2501,'AR SALES'!$L$2:$L$2501,$L2546,'AR SALES'!$AD$2:$AD$2501,"OFF"),2)=0,"","STALE")))</f>
        <v/>
      </c>
      <c r="BB2546" s="2" t="str">
        <f>IF(OR(""&amp;$F2546="2",""&amp;$F2546="4",""&amp;$F2546="G",""&amp;$F2546="H"),IF($AY2546="YES","",IF($AB2546&lt;&gt;0,"",IF(COUNTIFS('AR SALES'!$L$2:$L$2501,$L2546,'AR SALES'!$AD$2:$AD$2501,IF(""&amp;$F2546="4","OFF","ON"),'AR SALES'!$AF$2:$AF$2501,"Y")&gt;0,"","NO EXEMPTION"))),"")</f>
        <v/>
      </c>
    </row>
    <row r="2547" spans="46:54" x14ac:dyDescent="0.25">
      <c r="AT2547" s="2" t="str">
        <f>IF($L2547="","",IFERROR(INDEX('AR SALES'!$H$2:$H$2501,MATCH(""&amp;$L2547,'AR SALES'!$AE$2:$AE$2501,0)),""))</f>
        <v/>
      </c>
      <c r="AU2547" s="2" t="str">
        <f t="shared" si="156"/>
        <v/>
      </c>
      <c r="AV2547" s="2" t="str">
        <f t="shared" si="157"/>
        <v/>
      </c>
      <c r="AW2547" s="2" t="str">
        <f t="shared" si="158"/>
        <v/>
      </c>
      <c r="AX2547" s="2" t="str">
        <f t="shared" si="159"/>
        <v/>
      </c>
      <c r="AY2547" s="2" t="str">
        <f>IF($AV2547="","",IF(AND($Z2547=0,COUNTIF('AR SALES'!$L$2:$L$2501,$L2547)=0),"YES",""))</f>
        <v/>
      </c>
      <c r="AZ2547" s="2" t="str">
        <f>IF($AV2547="","",IF(COUNTIF(LISTS!$C$2:$C$250,$AU2547)=0,"NEW",""))</f>
        <v/>
      </c>
      <c r="BA2547" s="2" t="str">
        <f>IF(""&amp;$F2547&lt;&gt;"4","",IF($AY2547="YES","",IF(ROUND(SUMIFS($AE$2:$AE$4001,$L$2:$L$4001,$L2547,$F$2:$F$4001,"4")-SUMIFS('AR SALES'!$Y$2:$Y$2501,'AR SALES'!$L$2:$L$2501,$L2547,'AR SALES'!$AD$2:$AD$2501,"OFF"),2)=0,"","STALE")))</f>
        <v/>
      </c>
      <c r="BB2547" s="2" t="str">
        <f>IF(OR(""&amp;$F2547="2",""&amp;$F2547="4",""&amp;$F2547="G",""&amp;$F2547="H"),IF($AY2547="YES","",IF($AB2547&lt;&gt;0,"",IF(COUNTIFS('AR SALES'!$L$2:$L$2501,$L2547,'AR SALES'!$AD$2:$AD$2501,IF(""&amp;$F2547="4","OFF","ON"),'AR SALES'!$AF$2:$AF$2501,"Y")&gt;0,"","NO EXEMPTION"))),"")</f>
        <v/>
      </c>
    </row>
    <row r="2548" spans="46:54" x14ac:dyDescent="0.25">
      <c r="AT2548" s="2" t="str">
        <f>IF($L2548="","",IFERROR(INDEX('AR SALES'!$H$2:$H$2501,MATCH(""&amp;$L2548,'AR SALES'!$AE$2:$AE$2501,0)),""))</f>
        <v/>
      </c>
      <c r="AU2548" s="2" t="str">
        <f t="shared" si="156"/>
        <v/>
      </c>
      <c r="AV2548" s="2" t="str">
        <f t="shared" si="157"/>
        <v/>
      </c>
      <c r="AW2548" s="2" t="str">
        <f t="shared" si="158"/>
        <v/>
      </c>
      <c r="AX2548" s="2" t="str">
        <f t="shared" si="159"/>
        <v/>
      </c>
      <c r="AY2548" s="2" t="str">
        <f>IF($AV2548="","",IF(AND($Z2548=0,COUNTIF('AR SALES'!$L$2:$L$2501,$L2548)=0),"YES",""))</f>
        <v/>
      </c>
      <c r="AZ2548" s="2" t="str">
        <f>IF($AV2548="","",IF(COUNTIF(LISTS!$C$2:$C$250,$AU2548)=0,"NEW",""))</f>
        <v/>
      </c>
      <c r="BA2548" s="2" t="str">
        <f>IF(""&amp;$F2548&lt;&gt;"4","",IF($AY2548="YES","",IF(ROUND(SUMIFS($AE$2:$AE$4001,$L$2:$L$4001,$L2548,$F$2:$F$4001,"4")-SUMIFS('AR SALES'!$Y$2:$Y$2501,'AR SALES'!$L$2:$L$2501,$L2548,'AR SALES'!$AD$2:$AD$2501,"OFF"),2)=0,"","STALE")))</f>
        <v/>
      </c>
      <c r="BB2548" s="2" t="str">
        <f>IF(OR(""&amp;$F2548="2",""&amp;$F2548="4",""&amp;$F2548="G",""&amp;$F2548="H"),IF($AY2548="YES","",IF($AB2548&lt;&gt;0,"",IF(COUNTIFS('AR SALES'!$L$2:$L$2501,$L2548,'AR SALES'!$AD$2:$AD$2501,IF(""&amp;$F2548="4","OFF","ON"),'AR SALES'!$AF$2:$AF$2501,"Y")&gt;0,"","NO EXEMPTION"))),"")</f>
        <v/>
      </c>
    </row>
    <row r="2549" spans="46:54" x14ac:dyDescent="0.25">
      <c r="AT2549" s="2" t="str">
        <f>IF($L2549="","",IFERROR(INDEX('AR SALES'!$H$2:$H$2501,MATCH(""&amp;$L2549,'AR SALES'!$AE$2:$AE$2501,0)),""))</f>
        <v/>
      </c>
      <c r="AU2549" s="2" t="str">
        <f t="shared" si="156"/>
        <v/>
      </c>
      <c r="AV2549" s="2" t="str">
        <f t="shared" si="157"/>
        <v/>
      </c>
      <c r="AW2549" s="2" t="str">
        <f t="shared" si="158"/>
        <v/>
      </c>
      <c r="AX2549" s="2" t="str">
        <f t="shared" si="159"/>
        <v/>
      </c>
      <c r="AY2549" s="2" t="str">
        <f>IF($AV2549="","",IF(AND($Z2549=0,COUNTIF('AR SALES'!$L$2:$L$2501,$L2549)=0),"YES",""))</f>
        <v/>
      </c>
      <c r="AZ2549" s="2" t="str">
        <f>IF($AV2549="","",IF(COUNTIF(LISTS!$C$2:$C$250,$AU2549)=0,"NEW",""))</f>
        <v/>
      </c>
      <c r="BA2549" s="2" t="str">
        <f>IF(""&amp;$F2549&lt;&gt;"4","",IF($AY2549="YES","",IF(ROUND(SUMIFS($AE$2:$AE$4001,$L$2:$L$4001,$L2549,$F$2:$F$4001,"4")-SUMIFS('AR SALES'!$Y$2:$Y$2501,'AR SALES'!$L$2:$L$2501,$L2549,'AR SALES'!$AD$2:$AD$2501,"OFF"),2)=0,"","STALE")))</f>
        <v/>
      </c>
      <c r="BB2549" s="2" t="str">
        <f>IF(OR(""&amp;$F2549="2",""&amp;$F2549="4",""&amp;$F2549="G",""&amp;$F2549="H"),IF($AY2549="YES","",IF($AB2549&lt;&gt;0,"",IF(COUNTIFS('AR SALES'!$L$2:$L$2501,$L2549,'AR SALES'!$AD$2:$AD$2501,IF(""&amp;$F2549="4","OFF","ON"),'AR SALES'!$AF$2:$AF$2501,"Y")&gt;0,"","NO EXEMPTION"))),"")</f>
        <v/>
      </c>
    </row>
    <row r="2550" spans="46:54" x14ac:dyDescent="0.25">
      <c r="AT2550" s="2" t="str">
        <f>IF($L2550="","",IFERROR(INDEX('AR SALES'!$H$2:$H$2501,MATCH(""&amp;$L2550,'AR SALES'!$AE$2:$AE$2501,0)),""))</f>
        <v/>
      </c>
      <c r="AU2550" s="2" t="str">
        <f t="shared" si="156"/>
        <v/>
      </c>
      <c r="AV2550" s="2" t="str">
        <f t="shared" si="157"/>
        <v/>
      </c>
      <c r="AW2550" s="2" t="str">
        <f t="shared" si="158"/>
        <v/>
      </c>
      <c r="AX2550" s="2" t="str">
        <f t="shared" si="159"/>
        <v/>
      </c>
      <c r="AY2550" s="2" t="str">
        <f>IF($AV2550="","",IF(AND($Z2550=0,COUNTIF('AR SALES'!$L$2:$L$2501,$L2550)=0),"YES",""))</f>
        <v/>
      </c>
      <c r="AZ2550" s="2" t="str">
        <f>IF($AV2550="","",IF(COUNTIF(LISTS!$C$2:$C$250,$AU2550)=0,"NEW",""))</f>
        <v/>
      </c>
      <c r="BA2550" s="2" t="str">
        <f>IF(""&amp;$F2550&lt;&gt;"4","",IF($AY2550="YES","",IF(ROUND(SUMIFS($AE$2:$AE$4001,$L$2:$L$4001,$L2550,$F$2:$F$4001,"4")-SUMIFS('AR SALES'!$Y$2:$Y$2501,'AR SALES'!$L$2:$L$2501,$L2550,'AR SALES'!$AD$2:$AD$2501,"OFF"),2)=0,"","STALE")))</f>
        <v/>
      </c>
      <c r="BB2550" s="2" t="str">
        <f>IF(OR(""&amp;$F2550="2",""&amp;$F2550="4",""&amp;$F2550="G",""&amp;$F2550="H"),IF($AY2550="YES","",IF($AB2550&lt;&gt;0,"",IF(COUNTIFS('AR SALES'!$L$2:$L$2501,$L2550,'AR SALES'!$AD$2:$AD$2501,IF(""&amp;$F2550="4","OFF","ON"),'AR SALES'!$AF$2:$AF$2501,"Y")&gt;0,"","NO EXEMPTION"))),"")</f>
        <v/>
      </c>
    </row>
    <row r="2551" spans="46:54" x14ac:dyDescent="0.25">
      <c r="AT2551" s="2" t="str">
        <f>IF($L2551="","",IFERROR(INDEX('AR SALES'!$H$2:$H$2501,MATCH(""&amp;$L2551,'AR SALES'!$AE$2:$AE$2501,0)),""))</f>
        <v/>
      </c>
      <c r="AU2551" s="2" t="str">
        <f t="shared" si="156"/>
        <v/>
      </c>
      <c r="AV2551" s="2" t="str">
        <f t="shared" si="157"/>
        <v/>
      </c>
      <c r="AW2551" s="2" t="str">
        <f t="shared" si="158"/>
        <v/>
      </c>
      <c r="AX2551" s="2" t="str">
        <f t="shared" si="159"/>
        <v/>
      </c>
      <c r="AY2551" s="2" t="str">
        <f>IF($AV2551="","",IF(AND($Z2551=0,COUNTIF('AR SALES'!$L$2:$L$2501,$L2551)=0),"YES",""))</f>
        <v/>
      </c>
      <c r="AZ2551" s="2" t="str">
        <f>IF($AV2551="","",IF(COUNTIF(LISTS!$C$2:$C$250,$AU2551)=0,"NEW",""))</f>
        <v/>
      </c>
      <c r="BA2551" s="2" t="str">
        <f>IF(""&amp;$F2551&lt;&gt;"4","",IF($AY2551="YES","",IF(ROUND(SUMIFS($AE$2:$AE$4001,$L$2:$L$4001,$L2551,$F$2:$F$4001,"4")-SUMIFS('AR SALES'!$Y$2:$Y$2501,'AR SALES'!$L$2:$L$2501,$L2551,'AR SALES'!$AD$2:$AD$2501,"OFF"),2)=0,"","STALE")))</f>
        <v/>
      </c>
      <c r="BB2551" s="2" t="str">
        <f>IF(OR(""&amp;$F2551="2",""&amp;$F2551="4",""&amp;$F2551="G",""&amp;$F2551="H"),IF($AY2551="YES","",IF($AB2551&lt;&gt;0,"",IF(COUNTIFS('AR SALES'!$L$2:$L$2501,$L2551,'AR SALES'!$AD$2:$AD$2501,IF(""&amp;$F2551="4","OFF","ON"),'AR SALES'!$AF$2:$AF$2501,"Y")&gt;0,"","NO EXEMPTION"))),"")</f>
        <v/>
      </c>
    </row>
    <row r="2552" spans="46:54" x14ac:dyDescent="0.25">
      <c r="AT2552" s="2" t="str">
        <f>IF($L2552="","",IFERROR(INDEX('AR SALES'!$H$2:$H$2501,MATCH(""&amp;$L2552,'AR SALES'!$AE$2:$AE$2501,0)),""))</f>
        <v/>
      </c>
      <c r="AU2552" s="2" t="str">
        <f t="shared" si="156"/>
        <v/>
      </c>
      <c r="AV2552" s="2" t="str">
        <f t="shared" si="157"/>
        <v/>
      </c>
      <c r="AW2552" s="2" t="str">
        <f t="shared" si="158"/>
        <v/>
      </c>
      <c r="AX2552" s="2" t="str">
        <f t="shared" si="159"/>
        <v/>
      </c>
      <c r="AY2552" s="2" t="str">
        <f>IF($AV2552="","",IF(AND($Z2552=0,COUNTIF('AR SALES'!$L$2:$L$2501,$L2552)=0),"YES",""))</f>
        <v/>
      </c>
      <c r="AZ2552" s="2" t="str">
        <f>IF($AV2552="","",IF(COUNTIF(LISTS!$C$2:$C$250,$AU2552)=0,"NEW",""))</f>
        <v/>
      </c>
      <c r="BA2552" s="2" t="str">
        <f>IF(""&amp;$F2552&lt;&gt;"4","",IF($AY2552="YES","",IF(ROUND(SUMIFS($AE$2:$AE$4001,$L$2:$L$4001,$L2552,$F$2:$F$4001,"4")-SUMIFS('AR SALES'!$Y$2:$Y$2501,'AR SALES'!$L$2:$L$2501,$L2552,'AR SALES'!$AD$2:$AD$2501,"OFF"),2)=0,"","STALE")))</f>
        <v/>
      </c>
      <c r="BB2552" s="2" t="str">
        <f>IF(OR(""&amp;$F2552="2",""&amp;$F2552="4",""&amp;$F2552="G",""&amp;$F2552="H"),IF($AY2552="YES","",IF($AB2552&lt;&gt;0,"",IF(COUNTIFS('AR SALES'!$L$2:$L$2501,$L2552,'AR SALES'!$AD$2:$AD$2501,IF(""&amp;$F2552="4","OFF","ON"),'AR SALES'!$AF$2:$AF$2501,"Y")&gt;0,"","NO EXEMPTION"))),"")</f>
        <v/>
      </c>
    </row>
    <row r="2553" spans="46:54" x14ac:dyDescent="0.25">
      <c r="AT2553" s="2" t="str">
        <f>IF($L2553="","",IFERROR(INDEX('AR SALES'!$H$2:$H$2501,MATCH(""&amp;$L2553,'AR SALES'!$AE$2:$AE$2501,0)),""))</f>
        <v/>
      </c>
      <c r="AU2553" s="2" t="str">
        <f t="shared" si="156"/>
        <v/>
      </c>
      <c r="AV2553" s="2" t="str">
        <f t="shared" si="157"/>
        <v/>
      </c>
      <c r="AW2553" s="2" t="str">
        <f t="shared" si="158"/>
        <v/>
      </c>
      <c r="AX2553" s="2" t="str">
        <f t="shared" si="159"/>
        <v/>
      </c>
      <c r="AY2553" s="2" t="str">
        <f>IF($AV2553="","",IF(AND($Z2553=0,COUNTIF('AR SALES'!$L$2:$L$2501,$L2553)=0),"YES",""))</f>
        <v/>
      </c>
      <c r="AZ2553" s="2" t="str">
        <f>IF($AV2553="","",IF(COUNTIF(LISTS!$C$2:$C$250,$AU2553)=0,"NEW",""))</f>
        <v/>
      </c>
      <c r="BA2553" s="2" t="str">
        <f>IF(""&amp;$F2553&lt;&gt;"4","",IF($AY2553="YES","",IF(ROUND(SUMIFS($AE$2:$AE$4001,$L$2:$L$4001,$L2553,$F$2:$F$4001,"4")-SUMIFS('AR SALES'!$Y$2:$Y$2501,'AR SALES'!$L$2:$L$2501,$L2553,'AR SALES'!$AD$2:$AD$2501,"OFF"),2)=0,"","STALE")))</f>
        <v/>
      </c>
      <c r="BB2553" s="2" t="str">
        <f>IF(OR(""&amp;$F2553="2",""&amp;$F2553="4",""&amp;$F2553="G",""&amp;$F2553="H"),IF($AY2553="YES","",IF($AB2553&lt;&gt;0,"",IF(COUNTIFS('AR SALES'!$L$2:$L$2501,$L2553,'AR SALES'!$AD$2:$AD$2501,IF(""&amp;$F2553="4","OFF","ON"),'AR SALES'!$AF$2:$AF$2501,"Y")&gt;0,"","NO EXEMPTION"))),"")</f>
        <v/>
      </c>
    </row>
    <row r="2554" spans="46:54" x14ac:dyDescent="0.25">
      <c r="AT2554" s="2" t="str">
        <f>IF($L2554="","",IFERROR(INDEX('AR SALES'!$H$2:$H$2501,MATCH(""&amp;$L2554,'AR SALES'!$AE$2:$AE$2501,0)),""))</f>
        <v/>
      </c>
      <c r="AU2554" s="2" t="str">
        <f t="shared" si="156"/>
        <v/>
      </c>
      <c r="AV2554" s="2" t="str">
        <f t="shared" si="157"/>
        <v/>
      </c>
      <c r="AW2554" s="2" t="str">
        <f t="shared" si="158"/>
        <v/>
      </c>
      <c r="AX2554" s="2" t="str">
        <f t="shared" si="159"/>
        <v/>
      </c>
      <c r="AY2554" s="2" t="str">
        <f>IF($AV2554="","",IF(AND($Z2554=0,COUNTIF('AR SALES'!$L$2:$L$2501,$L2554)=0),"YES",""))</f>
        <v/>
      </c>
      <c r="AZ2554" s="2" t="str">
        <f>IF($AV2554="","",IF(COUNTIF(LISTS!$C$2:$C$250,$AU2554)=0,"NEW",""))</f>
        <v/>
      </c>
      <c r="BA2554" s="2" t="str">
        <f>IF(""&amp;$F2554&lt;&gt;"4","",IF($AY2554="YES","",IF(ROUND(SUMIFS($AE$2:$AE$4001,$L$2:$L$4001,$L2554,$F$2:$F$4001,"4")-SUMIFS('AR SALES'!$Y$2:$Y$2501,'AR SALES'!$L$2:$L$2501,$L2554,'AR SALES'!$AD$2:$AD$2501,"OFF"),2)=0,"","STALE")))</f>
        <v/>
      </c>
      <c r="BB2554" s="2" t="str">
        <f>IF(OR(""&amp;$F2554="2",""&amp;$F2554="4",""&amp;$F2554="G",""&amp;$F2554="H"),IF($AY2554="YES","",IF($AB2554&lt;&gt;0,"",IF(COUNTIFS('AR SALES'!$L$2:$L$2501,$L2554,'AR SALES'!$AD$2:$AD$2501,IF(""&amp;$F2554="4","OFF","ON"),'AR SALES'!$AF$2:$AF$2501,"Y")&gt;0,"","NO EXEMPTION"))),"")</f>
        <v/>
      </c>
    </row>
    <row r="2555" spans="46:54" x14ac:dyDescent="0.25">
      <c r="AT2555" s="2" t="str">
        <f>IF($L2555="","",IFERROR(INDEX('AR SALES'!$H$2:$H$2501,MATCH(""&amp;$L2555,'AR SALES'!$AE$2:$AE$2501,0)),""))</f>
        <v/>
      </c>
      <c r="AU2555" s="2" t="str">
        <f t="shared" si="156"/>
        <v/>
      </c>
      <c r="AV2555" s="2" t="str">
        <f t="shared" si="157"/>
        <v/>
      </c>
      <c r="AW2555" s="2" t="str">
        <f t="shared" si="158"/>
        <v/>
      </c>
      <c r="AX2555" s="2" t="str">
        <f t="shared" si="159"/>
        <v/>
      </c>
      <c r="AY2555" s="2" t="str">
        <f>IF($AV2555="","",IF(AND($Z2555=0,COUNTIF('AR SALES'!$L$2:$L$2501,$L2555)=0),"YES",""))</f>
        <v/>
      </c>
      <c r="AZ2555" s="2" t="str">
        <f>IF($AV2555="","",IF(COUNTIF(LISTS!$C$2:$C$250,$AU2555)=0,"NEW",""))</f>
        <v/>
      </c>
      <c r="BA2555" s="2" t="str">
        <f>IF(""&amp;$F2555&lt;&gt;"4","",IF($AY2555="YES","",IF(ROUND(SUMIFS($AE$2:$AE$4001,$L$2:$L$4001,$L2555,$F$2:$F$4001,"4")-SUMIFS('AR SALES'!$Y$2:$Y$2501,'AR SALES'!$L$2:$L$2501,$L2555,'AR SALES'!$AD$2:$AD$2501,"OFF"),2)=0,"","STALE")))</f>
        <v/>
      </c>
      <c r="BB2555" s="2" t="str">
        <f>IF(OR(""&amp;$F2555="2",""&amp;$F2555="4",""&amp;$F2555="G",""&amp;$F2555="H"),IF($AY2555="YES","",IF($AB2555&lt;&gt;0,"",IF(COUNTIFS('AR SALES'!$L$2:$L$2501,$L2555,'AR SALES'!$AD$2:$AD$2501,IF(""&amp;$F2555="4","OFF","ON"),'AR SALES'!$AF$2:$AF$2501,"Y")&gt;0,"","NO EXEMPTION"))),"")</f>
        <v/>
      </c>
    </row>
    <row r="2556" spans="46:54" x14ac:dyDescent="0.25">
      <c r="AT2556" s="2" t="str">
        <f>IF($L2556="","",IFERROR(INDEX('AR SALES'!$H$2:$H$2501,MATCH(""&amp;$L2556,'AR SALES'!$AE$2:$AE$2501,0)),""))</f>
        <v/>
      </c>
      <c r="AU2556" s="2" t="str">
        <f t="shared" si="156"/>
        <v/>
      </c>
      <c r="AV2556" s="2" t="str">
        <f t="shared" si="157"/>
        <v/>
      </c>
      <c r="AW2556" s="2" t="str">
        <f t="shared" si="158"/>
        <v/>
      </c>
      <c r="AX2556" s="2" t="str">
        <f t="shared" si="159"/>
        <v/>
      </c>
      <c r="AY2556" s="2" t="str">
        <f>IF($AV2556="","",IF(AND($Z2556=0,COUNTIF('AR SALES'!$L$2:$L$2501,$L2556)=0),"YES",""))</f>
        <v/>
      </c>
      <c r="AZ2556" s="2" t="str">
        <f>IF($AV2556="","",IF(COUNTIF(LISTS!$C$2:$C$250,$AU2556)=0,"NEW",""))</f>
        <v/>
      </c>
      <c r="BA2556" s="2" t="str">
        <f>IF(""&amp;$F2556&lt;&gt;"4","",IF($AY2556="YES","",IF(ROUND(SUMIFS($AE$2:$AE$4001,$L$2:$L$4001,$L2556,$F$2:$F$4001,"4")-SUMIFS('AR SALES'!$Y$2:$Y$2501,'AR SALES'!$L$2:$L$2501,$L2556,'AR SALES'!$AD$2:$AD$2501,"OFF"),2)=0,"","STALE")))</f>
        <v/>
      </c>
      <c r="BB2556" s="2" t="str">
        <f>IF(OR(""&amp;$F2556="2",""&amp;$F2556="4",""&amp;$F2556="G",""&amp;$F2556="H"),IF($AY2556="YES","",IF($AB2556&lt;&gt;0,"",IF(COUNTIFS('AR SALES'!$L$2:$L$2501,$L2556,'AR SALES'!$AD$2:$AD$2501,IF(""&amp;$F2556="4","OFF","ON"),'AR SALES'!$AF$2:$AF$2501,"Y")&gt;0,"","NO EXEMPTION"))),"")</f>
        <v/>
      </c>
    </row>
    <row r="2557" spans="46:54" x14ac:dyDescent="0.25">
      <c r="AT2557" s="2" t="str">
        <f>IF($L2557="","",IFERROR(INDEX('AR SALES'!$H$2:$H$2501,MATCH(""&amp;$L2557,'AR SALES'!$AE$2:$AE$2501,0)),""))</f>
        <v/>
      </c>
      <c r="AU2557" s="2" t="str">
        <f t="shared" si="156"/>
        <v/>
      </c>
      <c r="AV2557" s="2" t="str">
        <f t="shared" si="157"/>
        <v/>
      </c>
      <c r="AW2557" s="2" t="str">
        <f t="shared" si="158"/>
        <v/>
      </c>
      <c r="AX2557" s="2" t="str">
        <f t="shared" si="159"/>
        <v/>
      </c>
      <c r="AY2557" s="2" t="str">
        <f>IF($AV2557="","",IF(AND($Z2557=0,COUNTIF('AR SALES'!$L$2:$L$2501,$L2557)=0),"YES",""))</f>
        <v/>
      </c>
      <c r="AZ2557" s="2" t="str">
        <f>IF($AV2557="","",IF(COUNTIF(LISTS!$C$2:$C$250,$AU2557)=0,"NEW",""))</f>
        <v/>
      </c>
      <c r="BA2557" s="2" t="str">
        <f>IF(""&amp;$F2557&lt;&gt;"4","",IF($AY2557="YES","",IF(ROUND(SUMIFS($AE$2:$AE$4001,$L$2:$L$4001,$L2557,$F$2:$F$4001,"4")-SUMIFS('AR SALES'!$Y$2:$Y$2501,'AR SALES'!$L$2:$L$2501,$L2557,'AR SALES'!$AD$2:$AD$2501,"OFF"),2)=0,"","STALE")))</f>
        <v/>
      </c>
      <c r="BB2557" s="2" t="str">
        <f>IF(OR(""&amp;$F2557="2",""&amp;$F2557="4",""&amp;$F2557="G",""&amp;$F2557="H"),IF($AY2557="YES","",IF($AB2557&lt;&gt;0,"",IF(COUNTIFS('AR SALES'!$L$2:$L$2501,$L2557,'AR SALES'!$AD$2:$AD$2501,IF(""&amp;$F2557="4","OFF","ON"),'AR SALES'!$AF$2:$AF$2501,"Y")&gt;0,"","NO EXEMPTION"))),"")</f>
        <v/>
      </c>
    </row>
    <row r="2558" spans="46:54" x14ac:dyDescent="0.25">
      <c r="AT2558" s="2" t="str">
        <f>IF($L2558="","",IFERROR(INDEX('AR SALES'!$H$2:$H$2501,MATCH(""&amp;$L2558,'AR SALES'!$AE$2:$AE$2501,0)),""))</f>
        <v/>
      </c>
      <c r="AU2558" s="2" t="str">
        <f t="shared" si="156"/>
        <v/>
      </c>
      <c r="AV2558" s="2" t="str">
        <f t="shared" si="157"/>
        <v/>
      </c>
      <c r="AW2558" s="2" t="str">
        <f t="shared" si="158"/>
        <v/>
      </c>
      <c r="AX2558" s="2" t="str">
        <f t="shared" si="159"/>
        <v/>
      </c>
      <c r="AY2558" s="2" t="str">
        <f>IF($AV2558="","",IF(AND($Z2558=0,COUNTIF('AR SALES'!$L$2:$L$2501,$L2558)=0),"YES",""))</f>
        <v/>
      </c>
      <c r="AZ2558" s="2" t="str">
        <f>IF($AV2558="","",IF(COUNTIF(LISTS!$C$2:$C$250,$AU2558)=0,"NEW",""))</f>
        <v/>
      </c>
      <c r="BA2558" s="2" t="str">
        <f>IF(""&amp;$F2558&lt;&gt;"4","",IF($AY2558="YES","",IF(ROUND(SUMIFS($AE$2:$AE$4001,$L$2:$L$4001,$L2558,$F$2:$F$4001,"4")-SUMIFS('AR SALES'!$Y$2:$Y$2501,'AR SALES'!$L$2:$L$2501,$L2558,'AR SALES'!$AD$2:$AD$2501,"OFF"),2)=0,"","STALE")))</f>
        <v/>
      </c>
      <c r="BB2558" s="2" t="str">
        <f>IF(OR(""&amp;$F2558="2",""&amp;$F2558="4",""&amp;$F2558="G",""&amp;$F2558="H"),IF($AY2558="YES","",IF($AB2558&lt;&gt;0,"",IF(COUNTIFS('AR SALES'!$L$2:$L$2501,$L2558,'AR SALES'!$AD$2:$AD$2501,IF(""&amp;$F2558="4","OFF","ON"),'AR SALES'!$AF$2:$AF$2501,"Y")&gt;0,"","NO EXEMPTION"))),"")</f>
        <v/>
      </c>
    </row>
    <row r="2559" spans="46:54" x14ac:dyDescent="0.25">
      <c r="AT2559" s="2" t="str">
        <f>IF($L2559="","",IFERROR(INDEX('AR SALES'!$H$2:$H$2501,MATCH(""&amp;$L2559,'AR SALES'!$AE$2:$AE$2501,0)),""))</f>
        <v/>
      </c>
      <c r="AU2559" s="2" t="str">
        <f t="shared" si="156"/>
        <v/>
      </c>
      <c r="AV2559" s="2" t="str">
        <f t="shared" si="157"/>
        <v/>
      </c>
      <c r="AW2559" s="2" t="str">
        <f t="shared" si="158"/>
        <v/>
      </c>
      <c r="AX2559" s="2" t="str">
        <f t="shared" si="159"/>
        <v/>
      </c>
      <c r="AY2559" s="2" t="str">
        <f>IF($AV2559="","",IF(AND($Z2559=0,COUNTIF('AR SALES'!$L$2:$L$2501,$L2559)=0),"YES",""))</f>
        <v/>
      </c>
      <c r="AZ2559" s="2" t="str">
        <f>IF($AV2559="","",IF(COUNTIF(LISTS!$C$2:$C$250,$AU2559)=0,"NEW",""))</f>
        <v/>
      </c>
      <c r="BA2559" s="2" t="str">
        <f>IF(""&amp;$F2559&lt;&gt;"4","",IF($AY2559="YES","",IF(ROUND(SUMIFS($AE$2:$AE$4001,$L$2:$L$4001,$L2559,$F$2:$F$4001,"4")-SUMIFS('AR SALES'!$Y$2:$Y$2501,'AR SALES'!$L$2:$L$2501,$L2559,'AR SALES'!$AD$2:$AD$2501,"OFF"),2)=0,"","STALE")))</f>
        <v/>
      </c>
      <c r="BB2559" s="2" t="str">
        <f>IF(OR(""&amp;$F2559="2",""&amp;$F2559="4",""&amp;$F2559="G",""&amp;$F2559="H"),IF($AY2559="YES","",IF($AB2559&lt;&gt;0,"",IF(COUNTIFS('AR SALES'!$L$2:$L$2501,$L2559,'AR SALES'!$AD$2:$AD$2501,IF(""&amp;$F2559="4","OFF","ON"),'AR SALES'!$AF$2:$AF$2501,"Y")&gt;0,"","NO EXEMPTION"))),"")</f>
        <v/>
      </c>
    </row>
    <row r="2560" spans="46:54" x14ac:dyDescent="0.25">
      <c r="AT2560" s="2" t="str">
        <f>IF($L2560="","",IFERROR(INDEX('AR SALES'!$H$2:$H$2501,MATCH(""&amp;$L2560,'AR SALES'!$AE$2:$AE$2501,0)),""))</f>
        <v/>
      </c>
      <c r="AU2560" s="2" t="str">
        <f t="shared" si="156"/>
        <v/>
      </c>
      <c r="AV2560" s="2" t="str">
        <f t="shared" si="157"/>
        <v/>
      </c>
      <c r="AW2560" s="2" t="str">
        <f t="shared" si="158"/>
        <v/>
      </c>
      <c r="AX2560" s="2" t="str">
        <f t="shared" si="159"/>
        <v/>
      </c>
      <c r="AY2560" s="2" t="str">
        <f>IF($AV2560="","",IF(AND($Z2560=0,COUNTIF('AR SALES'!$L$2:$L$2501,$L2560)=0),"YES",""))</f>
        <v/>
      </c>
      <c r="AZ2560" s="2" t="str">
        <f>IF($AV2560="","",IF(COUNTIF(LISTS!$C$2:$C$250,$AU2560)=0,"NEW",""))</f>
        <v/>
      </c>
      <c r="BA2560" s="2" t="str">
        <f>IF(""&amp;$F2560&lt;&gt;"4","",IF($AY2560="YES","",IF(ROUND(SUMIFS($AE$2:$AE$4001,$L$2:$L$4001,$L2560,$F$2:$F$4001,"4")-SUMIFS('AR SALES'!$Y$2:$Y$2501,'AR SALES'!$L$2:$L$2501,$L2560,'AR SALES'!$AD$2:$AD$2501,"OFF"),2)=0,"","STALE")))</f>
        <v/>
      </c>
      <c r="BB2560" s="2" t="str">
        <f>IF(OR(""&amp;$F2560="2",""&amp;$F2560="4",""&amp;$F2560="G",""&amp;$F2560="H"),IF($AY2560="YES","",IF($AB2560&lt;&gt;0,"",IF(COUNTIFS('AR SALES'!$L$2:$L$2501,$L2560,'AR SALES'!$AD$2:$AD$2501,IF(""&amp;$F2560="4","OFF","ON"),'AR SALES'!$AF$2:$AF$2501,"Y")&gt;0,"","NO EXEMPTION"))),"")</f>
        <v/>
      </c>
    </row>
    <row r="2561" spans="46:54" x14ac:dyDescent="0.25">
      <c r="AT2561" s="2" t="str">
        <f>IF($L2561="","",IFERROR(INDEX('AR SALES'!$H$2:$H$2501,MATCH(""&amp;$L2561,'AR SALES'!$AE$2:$AE$2501,0)),""))</f>
        <v/>
      </c>
      <c r="AU2561" s="2" t="str">
        <f t="shared" si="156"/>
        <v/>
      </c>
      <c r="AV2561" s="2" t="str">
        <f t="shared" si="157"/>
        <v/>
      </c>
      <c r="AW2561" s="2" t="str">
        <f t="shared" si="158"/>
        <v/>
      </c>
      <c r="AX2561" s="2" t="str">
        <f t="shared" si="159"/>
        <v/>
      </c>
      <c r="AY2561" s="2" t="str">
        <f>IF($AV2561="","",IF(AND($Z2561=0,COUNTIF('AR SALES'!$L$2:$L$2501,$L2561)=0),"YES",""))</f>
        <v/>
      </c>
      <c r="AZ2561" s="2" t="str">
        <f>IF($AV2561="","",IF(COUNTIF(LISTS!$C$2:$C$250,$AU2561)=0,"NEW",""))</f>
        <v/>
      </c>
      <c r="BA2561" s="2" t="str">
        <f>IF(""&amp;$F2561&lt;&gt;"4","",IF($AY2561="YES","",IF(ROUND(SUMIFS($AE$2:$AE$4001,$L$2:$L$4001,$L2561,$F$2:$F$4001,"4")-SUMIFS('AR SALES'!$Y$2:$Y$2501,'AR SALES'!$L$2:$L$2501,$L2561,'AR SALES'!$AD$2:$AD$2501,"OFF"),2)=0,"","STALE")))</f>
        <v/>
      </c>
      <c r="BB2561" s="2" t="str">
        <f>IF(OR(""&amp;$F2561="2",""&amp;$F2561="4",""&amp;$F2561="G",""&amp;$F2561="H"),IF($AY2561="YES","",IF($AB2561&lt;&gt;0,"",IF(COUNTIFS('AR SALES'!$L$2:$L$2501,$L2561,'AR SALES'!$AD$2:$AD$2501,IF(""&amp;$F2561="4","OFF","ON"),'AR SALES'!$AF$2:$AF$2501,"Y")&gt;0,"","NO EXEMPTION"))),"")</f>
        <v/>
      </c>
    </row>
    <row r="2562" spans="46:54" x14ac:dyDescent="0.25">
      <c r="AT2562" s="2" t="str">
        <f>IF($L2562="","",IFERROR(INDEX('AR SALES'!$H$2:$H$2501,MATCH(""&amp;$L2562,'AR SALES'!$AE$2:$AE$2501,0)),""))</f>
        <v/>
      </c>
      <c r="AU2562" s="2" t="str">
        <f t="shared" ref="AU2562:AU2625" si="160">IF($L2562="","",IF($A2562&lt;&gt;"GA","",IF($E2562="FULTON",IF(ISNUMBER(SEARCH("COLLEGE PARK",$AT2562)),"FULTON (COLLEGE PARK)",IF(ISNUMBER(SEARCH("ATLANTA CITY",$AT2562)),"FULTON (ATL LIMITS)","FULTON")),IF($E2562="DEKALB",IF(ISNUMBER(SEARCH("ATLANTA CITY",$AT2562)),"DEKALB (ATL LIMITS)","DEKALB"),$E2562))))</f>
        <v/>
      </c>
      <c r="AV2562" s="2" t="str">
        <f t="shared" ref="AV2562:AV2625" si="161">IF($L2562="","",IF(""&amp;$F2562="2","DIESEL",IF(OR(""&amp;$F2562="G",""&amp;$F2562="H"),"GAS","")))</f>
        <v/>
      </c>
      <c r="AW2562" s="2" t="str">
        <f t="shared" ref="AW2562:AW2625" si="162">IF($AV2562="","",$R2562)</f>
        <v/>
      </c>
      <c r="AX2562" s="2" t="str">
        <f t="shared" ref="AX2562:AX2625" si="163">IF($AV2562="","",IF($AB2562=0,$R2562,0))</f>
        <v/>
      </c>
      <c r="AY2562" s="2" t="str">
        <f>IF($AV2562="","",IF(AND($Z2562=0,COUNTIF('AR SALES'!$L$2:$L$2501,$L2562)=0),"YES",""))</f>
        <v/>
      </c>
      <c r="AZ2562" s="2" t="str">
        <f>IF($AV2562="","",IF(COUNTIF(LISTS!$C$2:$C$250,$AU2562)=0,"NEW",""))</f>
        <v/>
      </c>
      <c r="BA2562" s="2" t="str">
        <f>IF(""&amp;$F2562&lt;&gt;"4","",IF($AY2562="YES","",IF(ROUND(SUMIFS($AE$2:$AE$4001,$L$2:$L$4001,$L2562,$F$2:$F$4001,"4")-SUMIFS('AR SALES'!$Y$2:$Y$2501,'AR SALES'!$L$2:$L$2501,$L2562,'AR SALES'!$AD$2:$AD$2501,"OFF"),2)=0,"","STALE")))</f>
        <v/>
      </c>
      <c r="BB2562" s="2" t="str">
        <f>IF(OR(""&amp;$F2562="2",""&amp;$F2562="4",""&amp;$F2562="G",""&amp;$F2562="H"),IF($AY2562="YES","",IF($AB2562&lt;&gt;0,"",IF(COUNTIFS('AR SALES'!$L$2:$L$2501,$L2562,'AR SALES'!$AD$2:$AD$2501,IF(""&amp;$F2562="4","OFF","ON"),'AR SALES'!$AF$2:$AF$2501,"Y")&gt;0,"","NO EXEMPTION"))),"")</f>
        <v/>
      </c>
    </row>
    <row r="2563" spans="46:54" x14ac:dyDescent="0.25">
      <c r="AT2563" s="2" t="str">
        <f>IF($L2563="","",IFERROR(INDEX('AR SALES'!$H$2:$H$2501,MATCH(""&amp;$L2563,'AR SALES'!$AE$2:$AE$2501,0)),""))</f>
        <v/>
      </c>
      <c r="AU2563" s="2" t="str">
        <f t="shared" si="160"/>
        <v/>
      </c>
      <c r="AV2563" s="2" t="str">
        <f t="shared" si="161"/>
        <v/>
      </c>
      <c r="AW2563" s="2" t="str">
        <f t="shared" si="162"/>
        <v/>
      </c>
      <c r="AX2563" s="2" t="str">
        <f t="shared" si="163"/>
        <v/>
      </c>
      <c r="AY2563" s="2" t="str">
        <f>IF($AV2563="","",IF(AND($Z2563=0,COUNTIF('AR SALES'!$L$2:$L$2501,$L2563)=0),"YES",""))</f>
        <v/>
      </c>
      <c r="AZ2563" s="2" t="str">
        <f>IF($AV2563="","",IF(COUNTIF(LISTS!$C$2:$C$250,$AU2563)=0,"NEW",""))</f>
        <v/>
      </c>
      <c r="BA2563" s="2" t="str">
        <f>IF(""&amp;$F2563&lt;&gt;"4","",IF($AY2563="YES","",IF(ROUND(SUMIFS($AE$2:$AE$4001,$L$2:$L$4001,$L2563,$F$2:$F$4001,"4")-SUMIFS('AR SALES'!$Y$2:$Y$2501,'AR SALES'!$L$2:$L$2501,$L2563,'AR SALES'!$AD$2:$AD$2501,"OFF"),2)=0,"","STALE")))</f>
        <v/>
      </c>
      <c r="BB2563" s="2" t="str">
        <f>IF(OR(""&amp;$F2563="2",""&amp;$F2563="4",""&amp;$F2563="G",""&amp;$F2563="H"),IF($AY2563="YES","",IF($AB2563&lt;&gt;0,"",IF(COUNTIFS('AR SALES'!$L$2:$L$2501,$L2563,'AR SALES'!$AD$2:$AD$2501,IF(""&amp;$F2563="4","OFF","ON"),'AR SALES'!$AF$2:$AF$2501,"Y")&gt;0,"","NO EXEMPTION"))),"")</f>
        <v/>
      </c>
    </row>
    <row r="2564" spans="46:54" x14ac:dyDescent="0.25">
      <c r="AT2564" s="2" t="str">
        <f>IF($L2564="","",IFERROR(INDEX('AR SALES'!$H$2:$H$2501,MATCH(""&amp;$L2564,'AR SALES'!$AE$2:$AE$2501,0)),""))</f>
        <v/>
      </c>
      <c r="AU2564" s="2" t="str">
        <f t="shared" si="160"/>
        <v/>
      </c>
      <c r="AV2564" s="2" t="str">
        <f t="shared" si="161"/>
        <v/>
      </c>
      <c r="AW2564" s="2" t="str">
        <f t="shared" si="162"/>
        <v/>
      </c>
      <c r="AX2564" s="2" t="str">
        <f t="shared" si="163"/>
        <v/>
      </c>
      <c r="AY2564" s="2" t="str">
        <f>IF($AV2564="","",IF(AND($Z2564=0,COUNTIF('AR SALES'!$L$2:$L$2501,$L2564)=0),"YES",""))</f>
        <v/>
      </c>
      <c r="AZ2564" s="2" t="str">
        <f>IF($AV2564="","",IF(COUNTIF(LISTS!$C$2:$C$250,$AU2564)=0,"NEW",""))</f>
        <v/>
      </c>
      <c r="BA2564" s="2" t="str">
        <f>IF(""&amp;$F2564&lt;&gt;"4","",IF($AY2564="YES","",IF(ROUND(SUMIFS($AE$2:$AE$4001,$L$2:$L$4001,$L2564,$F$2:$F$4001,"4")-SUMIFS('AR SALES'!$Y$2:$Y$2501,'AR SALES'!$L$2:$L$2501,$L2564,'AR SALES'!$AD$2:$AD$2501,"OFF"),2)=0,"","STALE")))</f>
        <v/>
      </c>
      <c r="BB2564" s="2" t="str">
        <f>IF(OR(""&amp;$F2564="2",""&amp;$F2564="4",""&amp;$F2564="G",""&amp;$F2564="H"),IF($AY2564="YES","",IF($AB2564&lt;&gt;0,"",IF(COUNTIFS('AR SALES'!$L$2:$L$2501,$L2564,'AR SALES'!$AD$2:$AD$2501,IF(""&amp;$F2564="4","OFF","ON"),'AR SALES'!$AF$2:$AF$2501,"Y")&gt;0,"","NO EXEMPTION"))),"")</f>
        <v/>
      </c>
    </row>
    <row r="2565" spans="46:54" x14ac:dyDescent="0.25">
      <c r="AT2565" s="2" t="str">
        <f>IF($L2565="","",IFERROR(INDEX('AR SALES'!$H$2:$H$2501,MATCH(""&amp;$L2565,'AR SALES'!$AE$2:$AE$2501,0)),""))</f>
        <v/>
      </c>
      <c r="AU2565" s="2" t="str">
        <f t="shared" si="160"/>
        <v/>
      </c>
      <c r="AV2565" s="2" t="str">
        <f t="shared" si="161"/>
        <v/>
      </c>
      <c r="AW2565" s="2" t="str">
        <f t="shared" si="162"/>
        <v/>
      </c>
      <c r="AX2565" s="2" t="str">
        <f t="shared" si="163"/>
        <v/>
      </c>
      <c r="AY2565" s="2" t="str">
        <f>IF($AV2565="","",IF(AND($Z2565=0,COUNTIF('AR SALES'!$L$2:$L$2501,$L2565)=0),"YES",""))</f>
        <v/>
      </c>
      <c r="AZ2565" s="2" t="str">
        <f>IF($AV2565="","",IF(COUNTIF(LISTS!$C$2:$C$250,$AU2565)=0,"NEW",""))</f>
        <v/>
      </c>
      <c r="BA2565" s="2" t="str">
        <f>IF(""&amp;$F2565&lt;&gt;"4","",IF($AY2565="YES","",IF(ROUND(SUMIFS($AE$2:$AE$4001,$L$2:$L$4001,$L2565,$F$2:$F$4001,"4")-SUMIFS('AR SALES'!$Y$2:$Y$2501,'AR SALES'!$L$2:$L$2501,$L2565,'AR SALES'!$AD$2:$AD$2501,"OFF"),2)=0,"","STALE")))</f>
        <v/>
      </c>
      <c r="BB2565" s="2" t="str">
        <f>IF(OR(""&amp;$F2565="2",""&amp;$F2565="4",""&amp;$F2565="G",""&amp;$F2565="H"),IF($AY2565="YES","",IF($AB2565&lt;&gt;0,"",IF(COUNTIFS('AR SALES'!$L$2:$L$2501,$L2565,'AR SALES'!$AD$2:$AD$2501,IF(""&amp;$F2565="4","OFF","ON"),'AR SALES'!$AF$2:$AF$2501,"Y")&gt;0,"","NO EXEMPTION"))),"")</f>
        <v/>
      </c>
    </row>
    <row r="2566" spans="46:54" x14ac:dyDescent="0.25">
      <c r="AT2566" s="2" t="str">
        <f>IF($L2566="","",IFERROR(INDEX('AR SALES'!$H$2:$H$2501,MATCH(""&amp;$L2566,'AR SALES'!$AE$2:$AE$2501,0)),""))</f>
        <v/>
      </c>
      <c r="AU2566" s="2" t="str">
        <f t="shared" si="160"/>
        <v/>
      </c>
      <c r="AV2566" s="2" t="str">
        <f t="shared" si="161"/>
        <v/>
      </c>
      <c r="AW2566" s="2" t="str">
        <f t="shared" si="162"/>
        <v/>
      </c>
      <c r="AX2566" s="2" t="str">
        <f t="shared" si="163"/>
        <v/>
      </c>
      <c r="AY2566" s="2" t="str">
        <f>IF($AV2566="","",IF(AND($Z2566=0,COUNTIF('AR SALES'!$L$2:$L$2501,$L2566)=0),"YES",""))</f>
        <v/>
      </c>
      <c r="AZ2566" s="2" t="str">
        <f>IF($AV2566="","",IF(COUNTIF(LISTS!$C$2:$C$250,$AU2566)=0,"NEW",""))</f>
        <v/>
      </c>
      <c r="BA2566" s="2" t="str">
        <f>IF(""&amp;$F2566&lt;&gt;"4","",IF($AY2566="YES","",IF(ROUND(SUMIFS($AE$2:$AE$4001,$L$2:$L$4001,$L2566,$F$2:$F$4001,"4")-SUMIFS('AR SALES'!$Y$2:$Y$2501,'AR SALES'!$L$2:$L$2501,$L2566,'AR SALES'!$AD$2:$AD$2501,"OFF"),2)=0,"","STALE")))</f>
        <v/>
      </c>
      <c r="BB2566" s="2" t="str">
        <f>IF(OR(""&amp;$F2566="2",""&amp;$F2566="4",""&amp;$F2566="G",""&amp;$F2566="H"),IF($AY2566="YES","",IF($AB2566&lt;&gt;0,"",IF(COUNTIFS('AR SALES'!$L$2:$L$2501,$L2566,'AR SALES'!$AD$2:$AD$2501,IF(""&amp;$F2566="4","OFF","ON"),'AR SALES'!$AF$2:$AF$2501,"Y")&gt;0,"","NO EXEMPTION"))),"")</f>
        <v/>
      </c>
    </row>
    <row r="2567" spans="46:54" x14ac:dyDescent="0.25">
      <c r="AT2567" s="2" t="str">
        <f>IF($L2567="","",IFERROR(INDEX('AR SALES'!$H$2:$H$2501,MATCH(""&amp;$L2567,'AR SALES'!$AE$2:$AE$2501,0)),""))</f>
        <v/>
      </c>
      <c r="AU2567" s="2" t="str">
        <f t="shared" si="160"/>
        <v/>
      </c>
      <c r="AV2567" s="2" t="str">
        <f t="shared" si="161"/>
        <v/>
      </c>
      <c r="AW2567" s="2" t="str">
        <f t="shared" si="162"/>
        <v/>
      </c>
      <c r="AX2567" s="2" t="str">
        <f t="shared" si="163"/>
        <v/>
      </c>
      <c r="AY2567" s="2" t="str">
        <f>IF($AV2567="","",IF(AND($Z2567=0,COUNTIF('AR SALES'!$L$2:$L$2501,$L2567)=0),"YES",""))</f>
        <v/>
      </c>
      <c r="AZ2567" s="2" t="str">
        <f>IF($AV2567="","",IF(COUNTIF(LISTS!$C$2:$C$250,$AU2567)=0,"NEW",""))</f>
        <v/>
      </c>
      <c r="BA2567" s="2" t="str">
        <f>IF(""&amp;$F2567&lt;&gt;"4","",IF($AY2567="YES","",IF(ROUND(SUMIFS($AE$2:$AE$4001,$L$2:$L$4001,$L2567,$F$2:$F$4001,"4")-SUMIFS('AR SALES'!$Y$2:$Y$2501,'AR SALES'!$L$2:$L$2501,$L2567,'AR SALES'!$AD$2:$AD$2501,"OFF"),2)=0,"","STALE")))</f>
        <v/>
      </c>
      <c r="BB2567" s="2" t="str">
        <f>IF(OR(""&amp;$F2567="2",""&amp;$F2567="4",""&amp;$F2567="G",""&amp;$F2567="H"),IF($AY2567="YES","",IF($AB2567&lt;&gt;0,"",IF(COUNTIFS('AR SALES'!$L$2:$L$2501,$L2567,'AR SALES'!$AD$2:$AD$2501,IF(""&amp;$F2567="4","OFF","ON"),'AR SALES'!$AF$2:$AF$2501,"Y")&gt;0,"","NO EXEMPTION"))),"")</f>
        <v/>
      </c>
    </row>
    <row r="2568" spans="46:54" x14ac:dyDescent="0.25">
      <c r="AT2568" s="2" t="str">
        <f>IF($L2568="","",IFERROR(INDEX('AR SALES'!$H$2:$H$2501,MATCH(""&amp;$L2568,'AR SALES'!$AE$2:$AE$2501,0)),""))</f>
        <v/>
      </c>
      <c r="AU2568" s="2" t="str">
        <f t="shared" si="160"/>
        <v/>
      </c>
      <c r="AV2568" s="2" t="str">
        <f t="shared" si="161"/>
        <v/>
      </c>
      <c r="AW2568" s="2" t="str">
        <f t="shared" si="162"/>
        <v/>
      </c>
      <c r="AX2568" s="2" t="str">
        <f t="shared" si="163"/>
        <v/>
      </c>
      <c r="AY2568" s="2" t="str">
        <f>IF($AV2568="","",IF(AND($Z2568=0,COUNTIF('AR SALES'!$L$2:$L$2501,$L2568)=0),"YES",""))</f>
        <v/>
      </c>
      <c r="AZ2568" s="2" t="str">
        <f>IF($AV2568="","",IF(COUNTIF(LISTS!$C$2:$C$250,$AU2568)=0,"NEW",""))</f>
        <v/>
      </c>
      <c r="BA2568" s="2" t="str">
        <f>IF(""&amp;$F2568&lt;&gt;"4","",IF($AY2568="YES","",IF(ROUND(SUMIFS($AE$2:$AE$4001,$L$2:$L$4001,$L2568,$F$2:$F$4001,"4")-SUMIFS('AR SALES'!$Y$2:$Y$2501,'AR SALES'!$L$2:$L$2501,$L2568,'AR SALES'!$AD$2:$AD$2501,"OFF"),2)=0,"","STALE")))</f>
        <v/>
      </c>
      <c r="BB2568" s="2" t="str">
        <f>IF(OR(""&amp;$F2568="2",""&amp;$F2568="4",""&amp;$F2568="G",""&amp;$F2568="H"),IF($AY2568="YES","",IF($AB2568&lt;&gt;0,"",IF(COUNTIFS('AR SALES'!$L$2:$L$2501,$L2568,'AR SALES'!$AD$2:$AD$2501,IF(""&amp;$F2568="4","OFF","ON"),'AR SALES'!$AF$2:$AF$2501,"Y")&gt;0,"","NO EXEMPTION"))),"")</f>
        <v/>
      </c>
    </row>
    <row r="2569" spans="46:54" x14ac:dyDescent="0.25">
      <c r="AT2569" s="2" t="str">
        <f>IF($L2569="","",IFERROR(INDEX('AR SALES'!$H$2:$H$2501,MATCH(""&amp;$L2569,'AR SALES'!$AE$2:$AE$2501,0)),""))</f>
        <v/>
      </c>
      <c r="AU2569" s="2" t="str">
        <f t="shared" si="160"/>
        <v/>
      </c>
      <c r="AV2569" s="2" t="str">
        <f t="shared" si="161"/>
        <v/>
      </c>
      <c r="AW2569" s="2" t="str">
        <f t="shared" si="162"/>
        <v/>
      </c>
      <c r="AX2569" s="2" t="str">
        <f t="shared" si="163"/>
        <v/>
      </c>
      <c r="AY2569" s="2" t="str">
        <f>IF($AV2569="","",IF(AND($Z2569=0,COUNTIF('AR SALES'!$L$2:$L$2501,$L2569)=0),"YES",""))</f>
        <v/>
      </c>
      <c r="AZ2569" s="2" t="str">
        <f>IF($AV2569="","",IF(COUNTIF(LISTS!$C$2:$C$250,$AU2569)=0,"NEW",""))</f>
        <v/>
      </c>
      <c r="BA2569" s="2" t="str">
        <f>IF(""&amp;$F2569&lt;&gt;"4","",IF($AY2569="YES","",IF(ROUND(SUMIFS($AE$2:$AE$4001,$L$2:$L$4001,$L2569,$F$2:$F$4001,"4")-SUMIFS('AR SALES'!$Y$2:$Y$2501,'AR SALES'!$L$2:$L$2501,$L2569,'AR SALES'!$AD$2:$AD$2501,"OFF"),2)=0,"","STALE")))</f>
        <v/>
      </c>
      <c r="BB2569" s="2" t="str">
        <f>IF(OR(""&amp;$F2569="2",""&amp;$F2569="4",""&amp;$F2569="G",""&amp;$F2569="H"),IF($AY2569="YES","",IF($AB2569&lt;&gt;0,"",IF(COUNTIFS('AR SALES'!$L$2:$L$2501,$L2569,'AR SALES'!$AD$2:$AD$2501,IF(""&amp;$F2569="4","OFF","ON"),'AR SALES'!$AF$2:$AF$2501,"Y")&gt;0,"","NO EXEMPTION"))),"")</f>
        <v/>
      </c>
    </row>
    <row r="2570" spans="46:54" x14ac:dyDescent="0.25">
      <c r="AT2570" s="2" t="str">
        <f>IF($L2570="","",IFERROR(INDEX('AR SALES'!$H$2:$H$2501,MATCH(""&amp;$L2570,'AR SALES'!$AE$2:$AE$2501,0)),""))</f>
        <v/>
      </c>
      <c r="AU2570" s="2" t="str">
        <f t="shared" si="160"/>
        <v/>
      </c>
      <c r="AV2570" s="2" t="str">
        <f t="shared" si="161"/>
        <v/>
      </c>
      <c r="AW2570" s="2" t="str">
        <f t="shared" si="162"/>
        <v/>
      </c>
      <c r="AX2570" s="2" t="str">
        <f t="shared" si="163"/>
        <v/>
      </c>
      <c r="AY2570" s="2" t="str">
        <f>IF($AV2570="","",IF(AND($Z2570=0,COUNTIF('AR SALES'!$L$2:$L$2501,$L2570)=0),"YES",""))</f>
        <v/>
      </c>
      <c r="AZ2570" s="2" t="str">
        <f>IF($AV2570="","",IF(COUNTIF(LISTS!$C$2:$C$250,$AU2570)=0,"NEW",""))</f>
        <v/>
      </c>
      <c r="BA2570" s="2" t="str">
        <f>IF(""&amp;$F2570&lt;&gt;"4","",IF($AY2570="YES","",IF(ROUND(SUMIFS($AE$2:$AE$4001,$L$2:$L$4001,$L2570,$F$2:$F$4001,"4")-SUMIFS('AR SALES'!$Y$2:$Y$2501,'AR SALES'!$L$2:$L$2501,$L2570,'AR SALES'!$AD$2:$AD$2501,"OFF"),2)=0,"","STALE")))</f>
        <v/>
      </c>
      <c r="BB2570" s="2" t="str">
        <f>IF(OR(""&amp;$F2570="2",""&amp;$F2570="4",""&amp;$F2570="G",""&amp;$F2570="H"),IF($AY2570="YES","",IF($AB2570&lt;&gt;0,"",IF(COUNTIFS('AR SALES'!$L$2:$L$2501,$L2570,'AR SALES'!$AD$2:$AD$2501,IF(""&amp;$F2570="4","OFF","ON"),'AR SALES'!$AF$2:$AF$2501,"Y")&gt;0,"","NO EXEMPTION"))),"")</f>
        <v/>
      </c>
    </row>
    <row r="2571" spans="46:54" x14ac:dyDescent="0.25">
      <c r="AT2571" s="2" t="str">
        <f>IF($L2571="","",IFERROR(INDEX('AR SALES'!$H$2:$H$2501,MATCH(""&amp;$L2571,'AR SALES'!$AE$2:$AE$2501,0)),""))</f>
        <v/>
      </c>
      <c r="AU2571" s="2" t="str">
        <f t="shared" si="160"/>
        <v/>
      </c>
      <c r="AV2571" s="2" t="str">
        <f t="shared" si="161"/>
        <v/>
      </c>
      <c r="AW2571" s="2" t="str">
        <f t="shared" si="162"/>
        <v/>
      </c>
      <c r="AX2571" s="2" t="str">
        <f t="shared" si="163"/>
        <v/>
      </c>
      <c r="AY2571" s="2" t="str">
        <f>IF($AV2571="","",IF(AND($Z2571=0,COUNTIF('AR SALES'!$L$2:$L$2501,$L2571)=0),"YES",""))</f>
        <v/>
      </c>
      <c r="AZ2571" s="2" t="str">
        <f>IF($AV2571="","",IF(COUNTIF(LISTS!$C$2:$C$250,$AU2571)=0,"NEW",""))</f>
        <v/>
      </c>
      <c r="BA2571" s="2" t="str">
        <f>IF(""&amp;$F2571&lt;&gt;"4","",IF($AY2571="YES","",IF(ROUND(SUMIFS($AE$2:$AE$4001,$L$2:$L$4001,$L2571,$F$2:$F$4001,"4")-SUMIFS('AR SALES'!$Y$2:$Y$2501,'AR SALES'!$L$2:$L$2501,$L2571,'AR SALES'!$AD$2:$AD$2501,"OFF"),2)=0,"","STALE")))</f>
        <v/>
      </c>
      <c r="BB2571" s="2" t="str">
        <f>IF(OR(""&amp;$F2571="2",""&amp;$F2571="4",""&amp;$F2571="G",""&amp;$F2571="H"),IF($AY2571="YES","",IF($AB2571&lt;&gt;0,"",IF(COUNTIFS('AR SALES'!$L$2:$L$2501,$L2571,'AR SALES'!$AD$2:$AD$2501,IF(""&amp;$F2571="4","OFF","ON"),'AR SALES'!$AF$2:$AF$2501,"Y")&gt;0,"","NO EXEMPTION"))),"")</f>
        <v/>
      </c>
    </row>
    <row r="2572" spans="46:54" x14ac:dyDescent="0.25">
      <c r="AT2572" s="2" t="str">
        <f>IF($L2572="","",IFERROR(INDEX('AR SALES'!$H$2:$H$2501,MATCH(""&amp;$L2572,'AR SALES'!$AE$2:$AE$2501,0)),""))</f>
        <v/>
      </c>
      <c r="AU2572" s="2" t="str">
        <f t="shared" si="160"/>
        <v/>
      </c>
      <c r="AV2572" s="2" t="str">
        <f t="shared" si="161"/>
        <v/>
      </c>
      <c r="AW2572" s="2" t="str">
        <f t="shared" si="162"/>
        <v/>
      </c>
      <c r="AX2572" s="2" t="str">
        <f t="shared" si="163"/>
        <v/>
      </c>
      <c r="AY2572" s="2" t="str">
        <f>IF($AV2572="","",IF(AND($Z2572=0,COUNTIF('AR SALES'!$L$2:$L$2501,$L2572)=0),"YES",""))</f>
        <v/>
      </c>
      <c r="AZ2572" s="2" t="str">
        <f>IF($AV2572="","",IF(COUNTIF(LISTS!$C$2:$C$250,$AU2572)=0,"NEW",""))</f>
        <v/>
      </c>
      <c r="BA2572" s="2" t="str">
        <f>IF(""&amp;$F2572&lt;&gt;"4","",IF($AY2572="YES","",IF(ROUND(SUMIFS($AE$2:$AE$4001,$L$2:$L$4001,$L2572,$F$2:$F$4001,"4")-SUMIFS('AR SALES'!$Y$2:$Y$2501,'AR SALES'!$L$2:$L$2501,$L2572,'AR SALES'!$AD$2:$AD$2501,"OFF"),2)=0,"","STALE")))</f>
        <v/>
      </c>
      <c r="BB2572" s="2" t="str">
        <f>IF(OR(""&amp;$F2572="2",""&amp;$F2572="4",""&amp;$F2572="G",""&amp;$F2572="H"),IF($AY2572="YES","",IF($AB2572&lt;&gt;0,"",IF(COUNTIFS('AR SALES'!$L$2:$L$2501,$L2572,'AR SALES'!$AD$2:$AD$2501,IF(""&amp;$F2572="4","OFF","ON"),'AR SALES'!$AF$2:$AF$2501,"Y")&gt;0,"","NO EXEMPTION"))),"")</f>
        <v/>
      </c>
    </row>
    <row r="2573" spans="46:54" x14ac:dyDescent="0.25">
      <c r="AT2573" s="2" t="str">
        <f>IF($L2573="","",IFERROR(INDEX('AR SALES'!$H$2:$H$2501,MATCH(""&amp;$L2573,'AR SALES'!$AE$2:$AE$2501,0)),""))</f>
        <v/>
      </c>
      <c r="AU2573" s="2" t="str">
        <f t="shared" si="160"/>
        <v/>
      </c>
      <c r="AV2573" s="2" t="str">
        <f t="shared" si="161"/>
        <v/>
      </c>
      <c r="AW2573" s="2" t="str">
        <f t="shared" si="162"/>
        <v/>
      </c>
      <c r="AX2573" s="2" t="str">
        <f t="shared" si="163"/>
        <v/>
      </c>
      <c r="AY2573" s="2" t="str">
        <f>IF($AV2573="","",IF(AND($Z2573=0,COUNTIF('AR SALES'!$L$2:$L$2501,$L2573)=0),"YES",""))</f>
        <v/>
      </c>
      <c r="AZ2573" s="2" t="str">
        <f>IF($AV2573="","",IF(COUNTIF(LISTS!$C$2:$C$250,$AU2573)=0,"NEW",""))</f>
        <v/>
      </c>
      <c r="BA2573" s="2" t="str">
        <f>IF(""&amp;$F2573&lt;&gt;"4","",IF($AY2573="YES","",IF(ROUND(SUMIFS($AE$2:$AE$4001,$L$2:$L$4001,$L2573,$F$2:$F$4001,"4")-SUMIFS('AR SALES'!$Y$2:$Y$2501,'AR SALES'!$L$2:$L$2501,$L2573,'AR SALES'!$AD$2:$AD$2501,"OFF"),2)=0,"","STALE")))</f>
        <v/>
      </c>
      <c r="BB2573" s="2" t="str">
        <f>IF(OR(""&amp;$F2573="2",""&amp;$F2573="4",""&amp;$F2573="G",""&amp;$F2573="H"),IF($AY2573="YES","",IF($AB2573&lt;&gt;0,"",IF(COUNTIFS('AR SALES'!$L$2:$L$2501,$L2573,'AR SALES'!$AD$2:$AD$2501,IF(""&amp;$F2573="4","OFF","ON"),'AR SALES'!$AF$2:$AF$2501,"Y")&gt;0,"","NO EXEMPTION"))),"")</f>
        <v/>
      </c>
    </row>
    <row r="2574" spans="46:54" x14ac:dyDescent="0.25">
      <c r="AT2574" s="2" t="str">
        <f>IF($L2574="","",IFERROR(INDEX('AR SALES'!$H$2:$H$2501,MATCH(""&amp;$L2574,'AR SALES'!$AE$2:$AE$2501,0)),""))</f>
        <v/>
      </c>
      <c r="AU2574" s="2" t="str">
        <f t="shared" si="160"/>
        <v/>
      </c>
      <c r="AV2574" s="2" t="str">
        <f t="shared" si="161"/>
        <v/>
      </c>
      <c r="AW2574" s="2" t="str">
        <f t="shared" si="162"/>
        <v/>
      </c>
      <c r="AX2574" s="2" t="str">
        <f t="shared" si="163"/>
        <v/>
      </c>
      <c r="AY2574" s="2" t="str">
        <f>IF($AV2574="","",IF(AND($Z2574=0,COUNTIF('AR SALES'!$L$2:$L$2501,$L2574)=0),"YES",""))</f>
        <v/>
      </c>
      <c r="AZ2574" s="2" t="str">
        <f>IF($AV2574="","",IF(COUNTIF(LISTS!$C$2:$C$250,$AU2574)=0,"NEW",""))</f>
        <v/>
      </c>
      <c r="BA2574" s="2" t="str">
        <f>IF(""&amp;$F2574&lt;&gt;"4","",IF($AY2574="YES","",IF(ROUND(SUMIFS($AE$2:$AE$4001,$L$2:$L$4001,$L2574,$F$2:$F$4001,"4")-SUMIFS('AR SALES'!$Y$2:$Y$2501,'AR SALES'!$L$2:$L$2501,$L2574,'AR SALES'!$AD$2:$AD$2501,"OFF"),2)=0,"","STALE")))</f>
        <v/>
      </c>
      <c r="BB2574" s="2" t="str">
        <f>IF(OR(""&amp;$F2574="2",""&amp;$F2574="4",""&amp;$F2574="G",""&amp;$F2574="H"),IF($AY2574="YES","",IF($AB2574&lt;&gt;0,"",IF(COUNTIFS('AR SALES'!$L$2:$L$2501,$L2574,'AR SALES'!$AD$2:$AD$2501,IF(""&amp;$F2574="4","OFF","ON"),'AR SALES'!$AF$2:$AF$2501,"Y")&gt;0,"","NO EXEMPTION"))),"")</f>
        <v/>
      </c>
    </row>
    <row r="2575" spans="46:54" x14ac:dyDescent="0.25">
      <c r="AT2575" s="2" t="str">
        <f>IF($L2575="","",IFERROR(INDEX('AR SALES'!$H$2:$H$2501,MATCH(""&amp;$L2575,'AR SALES'!$AE$2:$AE$2501,0)),""))</f>
        <v/>
      </c>
      <c r="AU2575" s="2" t="str">
        <f t="shared" si="160"/>
        <v/>
      </c>
      <c r="AV2575" s="2" t="str">
        <f t="shared" si="161"/>
        <v/>
      </c>
      <c r="AW2575" s="2" t="str">
        <f t="shared" si="162"/>
        <v/>
      </c>
      <c r="AX2575" s="2" t="str">
        <f t="shared" si="163"/>
        <v/>
      </c>
      <c r="AY2575" s="2" t="str">
        <f>IF($AV2575="","",IF(AND($Z2575=0,COUNTIF('AR SALES'!$L$2:$L$2501,$L2575)=0),"YES",""))</f>
        <v/>
      </c>
      <c r="AZ2575" s="2" t="str">
        <f>IF($AV2575="","",IF(COUNTIF(LISTS!$C$2:$C$250,$AU2575)=0,"NEW",""))</f>
        <v/>
      </c>
      <c r="BA2575" s="2" t="str">
        <f>IF(""&amp;$F2575&lt;&gt;"4","",IF($AY2575="YES","",IF(ROUND(SUMIFS($AE$2:$AE$4001,$L$2:$L$4001,$L2575,$F$2:$F$4001,"4")-SUMIFS('AR SALES'!$Y$2:$Y$2501,'AR SALES'!$L$2:$L$2501,$L2575,'AR SALES'!$AD$2:$AD$2501,"OFF"),2)=0,"","STALE")))</f>
        <v/>
      </c>
      <c r="BB2575" s="2" t="str">
        <f>IF(OR(""&amp;$F2575="2",""&amp;$F2575="4",""&amp;$F2575="G",""&amp;$F2575="H"),IF($AY2575="YES","",IF($AB2575&lt;&gt;0,"",IF(COUNTIFS('AR SALES'!$L$2:$L$2501,$L2575,'AR SALES'!$AD$2:$AD$2501,IF(""&amp;$F2575="4","OFF","ON"),'AR SALES'!$AF$2:$AF$2501,"Y")&gt;0,"","NO EXEMPTION"))),"")</f>
        <v/>
      </c>
    </row>
    <row r="2576" spans="46:54" x14ac:dyDescent="0.25">
      <c r="AT2576" s="2" t="str">
        <f>IF($L2576="","",IFERROR(INDEX('AR SALES'!$H$2:$H$2501,MATCH(""&amp;$L2576,'AR SALES'!$AE$2:$AE$2501,0)),""))</f>
        <v/>
      </c>
      <c r="AU2576" s="2" t="str">
        <f t="shared" si="160"/>
        <v/>
      </c>
      <c r="AV2576" s="2" t="str">
        <f t="shared" si="161"/>
        <v/>
      </c>
      <c r="AW2576" s="2" t="str">
        <f t="shared" si="162"/>
        <v/>
      </c>
      <c r="AX2576" s="2" t="str">
        <f t="shared" si="163"/>
        <v/>
      </c>
      <c r="AY2576" s="2" t="str">
        <f>IF($AV2576="","",IF(AND($Z2576=0,COUNTIF('AR SALES'!$L$2:$L$2501,$L2576)=0),"YES",""))</f>
        <v/>
      </c>
      <c r="AZ2576" s="2" t="str">
        <f>IF($AV2576="","",IF(COUNTIF(LISTS!$C$2:$C$250,$AU2576)=0,"NEW",""))</f>
        <v/>
      </c>
      <c r="BA2576" s="2" t="str">
        <f>IF(""&amp;$F2576&lt;&gt;"4","",IF($AY2576="YES","",IF(ROUND(SUMIFS($AE$2:$AE$4001,$L$2:$L$4001,$L2576,$F$2:$F$4001,"4")-SUMIFS('AR SALES'!$Y$2:$Y$2501,'AR SALES'!$L$2:$L$2501,$L2576,'AR SALES'!$AD$2:$AD$2501,"OFF"),2)=0,"","STALE")))</f>
        <v/>
      </c>
      <c r="BB2576" s="2" t="str">
        <f>IF(OR(""&amp;$F2576="2",""&amp;$F2576="4",""&amp;$F2576="G",""&amp;$F2576="H"),IF($AY2576="YES","",IF($AB2576&lt;&gt;0,"",IF(COUNTIFS('AR SALES'!$L$2:$L$2501,$L2576,'AR SALES'!$AD$2:$AD$2501,IF(""&amp;$F2576="4","OFF","ON"),'AR SALES'!$AF$2:$AF$2501,"Y")&gt;0,"","NO EXEMPTION"))),"")</f>
        <v/>
      </c>
    </row>
    <row r="2577" spans="46:54" x14ac:dyDescent="0.25">
      <c r="AT2577" s="2" t="str">
        <f>IF($L2577="","",IFERROR(INDEX('AR SALES'!$H$2:$H$2501,MATCH(""&amp;$L2577,'AR SALES'!$AE$2:$AE$2501,0)),""))</f>
        <v/>
      </c>
      <c r="AU2577" s="2" t="str">
        <f t="shared" si="160"/>
        <v/>
      </c>
      <c r="AV2577" s="2" t="str">
        <f t="shared" si="161"/>
        <v/>
      </c>
      <c r="AW2577" s="2" t="str">
        <f t="shared" si="162"/>
        <v/>
      </c>
      <c r="AX2577" s="2" t="str">
        <f t="shared" si="163"/>
        <v/>
      </c>
      <c r="AY2577" s="2" t="str">
        <f>IF($AV2577="","",IF(AND($Z2577=0,COUNTIF('AR SALES'!$L$2:$L$2501,$L2577)=0),"YES",""))</f>
        <v/>
      </c>
      <c r="AZ2577" s="2" t="str">
        <f>IF($AV2577="","",IF(COUNTIF(LISTS!$C$2:$C$250,$AU2577)=0,"NEW",""))</f>
        <v/>
      </c>
      <c r="BA2577" s="2" t="str">
        <f>IF(""&amp;$F2577&lt;&gt;"4","",IF($AY2577="YES","",IF(ROUND(SUMIFS($AE$2:$AE$4001,$L$2:$L$4001,$L2577,$F$2:$F$4001,"4")-SUMIFS('AR SALES'!$Y$2:$Y$2501,'AR SALES'!$L$2:$L$2501,$L2577,'AR SALES'!$AD$2:$AD$2501,"OFF"),2)=0,"","STALE")))</f>
        <v/>
      </c>
      <c r="BB2577" s="2" t="str">
        <f>IF(OR(""&amp;$F2577="2",""&amp;$F2577="4",""&amp;$F2577="G",""&amp;$F2577="H"),IF($AY2577="YES","",IF($AB2577&lt;&gt;0,"",IF(COUNTIFS('AR SALES'!$L$2:$L$2501,$L2577,'AR SALES'!$AD$2:$AD$2501,IF(""&amp;$F2577="4","OFF","ON"),'AR SALES'!$AF$2:$AF$2501,"Y")&gt;0,"","NO EXEMPTION"))),"")</f>
        <v/>
      </c>
    </row>
    <row r="2578" spans="46:54" x14ac:dyDescent="0.25">
      <c r="AT2578" s="2" t="str">
        <f>IF($L2578="","",IFERROR(INDEX('AR SALES'!$H$2:$H$2501,MATCH(""&amp;$L2578,'AR SALES'!$AE$2:$AE$2501,0)),""))</f>
        <v/>
      </c>
      <c r="AU2578" s="2" t="str">
        <f t="shared" si="160"/>
        <v/>
      </c>
      <c r="AV2578" s="2" t="str">
        <f t="shared" si="161"/>
        <v/>
      </c>
      <c r="AW2578" s="2" t="str">
        <f t="shared" si="162"/>
        <v/>
      </c>
      <c r="AX2578" s="2" t="str">
        <f t="shared" si="163"/>
        <v/>
      </c>
      <c r="AY2578" s="2" t="str">
        <f>IF($AV2578="","",IF(AND($Z2578=0,COUNTIF('AR SALES'!$L$2:$L$2501,$L2578)=0),"YES",""))</f>
        <v/>
      </c>
      <c r="AZ2578" s="2" t="str">
        <f>IF($AV2578="","",IF(COUNTIF(LISTS!$C$2:$C$250,$AU2578)=0,"NEW",""))</f>
        <v/>
      </c>
      <c r="BA2578" s="2" t="str">
        <f>IF(""&amp;$F2578&lt;&gt;"4","",IF($AY2578="YES","",IF(ROUND(SUMIFS($AE$2:$AE$4001,$L$2:$L$4001,$L2578,$F$2:$F$4001,"4")-SUMIFS('AR SALES'!$Y$2:$Y$2501,'AR SALES'!$L$2:$L$2501,$L2578,'AR SALES'!$AD$2:$AD$2501,"OFF"),2)=0,"","STALE")))</f>
        <v/>
      </c>
      <c r="BB2578" s="2" t="str">
        <f>IF(OR(""&amp;$F2578="2",""&amp;$F2578="4",""&amp;$F2578="G",""&amp;$F2578="H"),IF($AY2578="YES","",IF($AB2578&lt;&gt;0,"",IF(COUNTIFS('AR SALES'!$L$2:$L$2501,$L2578,'AR SALES'!$AD$2:$AD$2501,IF(""&amp;$F2578="4","OFF","ON"),'AR SALES'!$AF$2:$AF$2501,"Y")&gt;0,"","NO EXEMPTION"))),"")</f>
        <v/>
      </c>
    </row>
    <row r="2579" spans="46:54" x14ac:dyDescent="0.25">
      <c r="AT2579" s="2" t="str">
        <f>IF($L2579="","",IFERROR(INDEX('AR SALES'!$H$2:$H$2501,MATCH(""&amp;$L2579,'AR SALES'!$AE$2:$AE$2501,0)),""))</f>
        <v/>
      </c>
      <c r="AU2579" s="2" t="str">
        <f t="shared" si="160"/>
        <v/>
      </c>
      <c r="AV2579" s="2" t="str">
        <f t="shared" si="161"/>
        <v/>
      </c>
      <c r="AW2579" s="2" t="str">
        <f t="shared" si="162"/>
        <v/>
      </c>
      <c r="AX2579" s="2" t="str">
        <f t="shared" si="163"/>
        <v/>
      </c>
      <c r="AY2579" s="2" t="str">
        <f>IF($AV2579="","",IF(AND($Z2579=0,COUNTIF('AR SALES'!$L$2:$L$2501,$L2579)=0),"YES",""))</f>
        <v/>
      </c>
      <c r="AZ2579" s="2" t="str">
        <f>IF($AV2579="","",IF(COUNTIF(LISTS!$C$2:$C$250,$AU2579)=0,"NEW",""))</f>
        <v/>
      </c>
      <c r="BA2579" s="2" t="str">
        <f>IF(""&amp;$F2579&lt;&gt;"4","",IF($AY2579="YES","",IF(ROUND(SUMIFS($AE$2:$AE$4001,$L$2:$L$4001,$L2579,$F$2:$F$4001,"4")-SUMIFS('AR SALES'!$Y$2:$Y$2501,'AR SALES'!$L$2:$L$2501,$L2579,'AR SALES'!$AD$2:$AD$2501,"OFF"),2)=0,"","STALE")))</f>
        <v/>
      </c>
      <c r="BB2579" s="2" t="str">
        <f>IF(OR(""&amp;$F2579="2",""&amp;$F2579="4",""&amp;$F2579="G",""&amp;$F2579="H"),IF($AY2579="YES","",IF($AB2579&lt;&gt;0,"",IF(COUNTIFS('AR SALES'!$L$2:$L$2501,$L2579,'AR SALES'!$AD$2:$AD$2501,IF(""&amp;$F2579="4","OFF","ON"),'AR SALES'!$AF$2:$AF$2501,"Y")&gt;0,"","NO EXEMPTION"))),"")</f>
        <v/>
      </c>
    </row>
    <row r="2580" spans="46:54" x14ac:dyDescent="0.25">
      <c r="AT2580" s="2" t="str">
        <f>IF($L2580="","",IFERROR(INDEX('AR SALES'!$H$2:$H$2501,MATCH(""&amp;$L2580,'AR SALES'!$AE$2:$AE$2501,0)),""))</f>
        <v/>
      </c>
      <c r="AU2580" s="2" t="str">
        <f t="shared" si="160"/>
        <v/>
      </c>
      <c r="AV2580" s="2" t="str">
        <f t="shared" si="161"/>
        <v/>
      </c>
      <c r="AW2580" s="2" t="str">
        <f t="shared" si="162"/>
        <v/>
      </c>
      <c r="AX2580" s="2" t="str">
        <f t="shared" si="163"/>
        <v/>
      </c>
      <c r="AY2580" s="2" t="str">
        <f>IF($AV2580="","",IF(AND($Z2580=0,COUNTIF('AR SALES'!$L$2:$L$2501,$L2580)=0),"YES",""))</f>
        <v/>
      </c>
      <c r="AZ2580" s="2" t="str">
        <f>IF($AV2580="","",IF(COUNTIF(LISTS!$C$2:$C$250,$AU2580)=0,"NEW",""))</f>
        <v/>
      </c>
      <c r="BA2580" s="2" t="str">
        <f>IF(""&amp;$F2580&lt;&gt;"4","",IF($AY2580="YES","",IF(ROUND(SUMIFS($AE$2:$AE$4001,$L$2:$L$4001,$L2580,$F$2:$F$4001,"4")-SUMIFS('AR SALES'!$Y$2:$Y$2501,'AR SALES'!$L$2:$L$2501,$L2580,'AR SALES'!$AD$2:$AD$2501,"OFF"),2)=0,"","STALE")))</f>
        <v/>
      </c>
      <c r="BB2580" s="2" t="str">
        <f>IF(OR(""&amp;$F2580="2",""&amp;$F2580="4",""&amp;$F2580="G",""&amp;$F2580="H"),IF($AY2580="YES","",IF($AB2580&lt;&gt;0,"",IF(COUNTIFS('AR SALES'!$L$2:$L$2501,$L2580,'AR SALES'!$AD$2:$AD$2501,IF(""&amp;$F2580="4","OFF","ON"),'AR SALES'!$AF$2:$AF$2501,"Y")&gt;0,"","NO EXEMPTION"))),"")</f>
        <v/>
      </c>
    </row>
    <row r="2581" spans="46:54" x14ac:dyDescent="0.25">
      <c r="AT2581" s="2" t="str">
        <f>IF($L2581="","",IFERROR(INDEX('AR SALES'!$H$2:$H$2501,MATCH(""&amp;$L2581,'AR SALES'!$AE$2:$AE$2501,0)),""))</f>
        <v/>
      </c>
      <c r="AU2581" s="2" t="str">
        <f t="shared" si="160"/>
        <v/>
      </c>
      <c r="AV2581" s="2" t="str">
        <f t="shared" si="161"/>
        <v/>
      </c>
      <c r="AW2581" s="2" t="str">
        <f t="shared" si="162"/>
        <v/>
      </c>
      <c r="AX2581" s="2" t="str">
        <f t="shared" si="163"/>
        <v/>
      </c>
      <c r="AY2581" s="2" t="str">
        <f>IF($AV2581="","",IF(AND($Z2581=0,COUNTIF('AR SALES'!$L$2:$L$2501,$L2581)=0),"YES",""))</f>
        <v/>
      </c>
      <c r="AZ2581" s="2" t="str">
        <f>IF($AV2581="","",IF(COUNTIF(LISTS!$C$2:$C$250,$AU2581)=0,"NEW",""))</f>
        <v/>
      </c>
      <c r="BA2581" s="2" t="str">
        <f>IF(""&amp;$F2581&lt;&gt;"4","",IF($AY2581="YES","",IF(ROUND(SUMIFS($AE$2:$AE$4001,$L$2:$L$4001,$L2581,$F$2:$F$4001,"4")-SUMIFS('AR SALES'!$Y$2:$Y$2501,'AR SALES'!$L$2:$L$2501,$L2581,'AR SALES'!$AD$2:$AD$2501,"OFF"),2)=0,"","STALE")))</f>
        <v/>
      </c>
      <c r="BB2581" s="2" t="str">
        <f>IF(OR(""&amp;$F2581="2",""&amp;$F2581="4",""&amp;$F2581="G",""&amp;$F2581="H"),IF($AY2581="YES","",IF($AB2581&lt;&gt;0,"",IF(COUNTIFS('AR SALES'!$L$2:$L$2501,$L2581,'AR SALES'!$AD$2:$AD$2501,IF(""&amp;$F2581="4","OFF","ON"),'AR SALES'!$AF$2:$AF$2501,"Y")&gt;0,"","NO EXEMPTION"))),"")</f>
        <v/>
      </c>
    </row>
    <row r="2582" spans="46:54" x14ac:dyDescent="0.25">
      <c r="AT2582" s="2" t="str">
        <f>IF($L2582="","",IFERROR(INDEX('AR SALES'!$H$2:$H$2501,MATCH(""&amp;$L2582,'AR SALES'!$AE$2:$AE$2501,0)),""))</f>
        <v/>
      </c>
      <c r="AU2582" s="2" t="str">
        <f t="shared" si="160"/>
        <v/>
      </c>
      <c r="AV2582" s="2" t="str">
        <f t="shared" si="161"/>
        <v/>
      </c>
      <c r="AW2582" s="2" t="str">
        <f t="shared" si="162"/>
        <v/>
      </c>
      <c r="AX2582" s="2" t="str">
        <f t="shared" si="163"/>
        <v/>
      </c>
      <c r="AY2582" s="2" t="str">
        <f>IF($AV2582="","",IF(AND($Z2582=0,COUNTIF('AR SALES'!$L$2:$L$2501,$L2582)=0),"YES",""))</f>
        <v/>
      </c>
      <c r="AZ2582" s="2" t="str">
        <f>IF($AV2582="","",IF(COUNTIF(LISTS!$C$2:$C$250,$AU2582)=0,"NEW",""))</f>
        <v/>
      </c>
      <c r="BA2582" s="2" t="str">
        <f>IF(""&amp;$F2582&lt;&gt;"4","",IF($AY2582="YES","",IF(ROUND(SUMIFS($AE$2:$AE$4001,$L$2:$L$4001,$L2582,$F$2:$F$4001,"4")-SUMIFS('AR SALES'!$Y$2:$Y$2501,'AR SALES'!$L$2:$L$2501,$L2582,'AR SALES'!$AD$2:$AD$2501,"OFF"),2)=0,"","STALE")))</f>
        <v/>
      </c>
      <c r="BB2582" s="2" t="str">
        <f>IF(OR(""&amp;$F2582="2",""&amp;$F2582="4",""&amp;$F2582="G",""&amp;$F2582="H"),IF($AY2582="YES","",IF($AB2582&lt;&gt;0,"",IF(COUNTIFS('AR SALES'!$L$2:$L$2501,$L2582,'AR SALES'!$AD$2:$AD$2501,IF(""&amp;$F2582="4","OFF","ON"),'AR SALES'!$AF$2:$AF$2501,"Y")&gt;0,"","NO EXEMPTION"))),"")</f>
        <v/>
      </c>
    </row>
    <row r="2583" spans="46:54" x14ac:dyDescent="0.25">
      <c r="AT2583" s="2" t="str">
        <f>IF($L2583="","",IFERROR(INDEX('AR SALES'!$H$2:$H$2501,MATCH(""&amp;$L2583,'AR SALES'!$AE$2:$AE$2501,0)),""))</f>
        <v/>
      </c>
      <c r="AU2583" s="2" t="str">
        <f t="shared" si="160"/>
        <v/>
      </c>
      <c r="AV2583" s="2" t="str">
        <f t="shared" si="161"/>
        <v/>
      </c>
      <c r="AW2583" s="2" t="str">
        <f t="shared" si="162"/>
        <v/>
      </c>
      <c r="AX2583" s="2" t="str">
        <f t="shared" si="163"/>
        <v/>
      </c>
      <c r="AY2583" s="2" t="str">
        <f>IF($AV2583="","",IF(AND($Z2583=0,COUNTIF('AR SALES'!$L$2:$L$2501,$L2583)=0),"YES",""))</f>
        <v/>
      </c>
      <c r="AZ2583" s="2" t="str">
        <f>IF($AV2583="","",IF(COUNTIF(LISTS!$C$2:$C$250,$AU2583)=0,"NEW",""))</f>
        <v/>
      </c>
      <c r="BA2583" s="2" t="str">
        <f>IF(""&amp;$F2583&lt;&gt;"4","",IF($AY2583="YES","",IF(ROUND(SUMIFS($AE$2:$AE$4001,$L$2:$L$4001,$L2583,$F$2:$F$4001,"4")-SUMIFS('AR SALES'!$Y$2:$Y$2501,'AR SALES'!$L$2:$L$2501,$L2583,'AR SALES'!$AD$2:$AD$2501,"OFF"),2)=0,"","STALE")))</f>
        <v/>
      </c>
      <c r="BB2583" s="2" t="str">
        <f>IF(OR(""&amp;$F2583="2",""&amp;$F2583="4",""&amp;$F2583="G",""&amp;$F2583="H"),IF($AY2583="YES","",IF($AB2583&lt;&gt;0,"",IF(COUNTIFS('AR SALES'!$L$2:$L$2501,$L2583,'AR SALES'!$AD$2:$AD$2501,IF(""&amp;$F2583="4","OFF","ON"),'AR SALES'!$AF$2:$AF$2501,"Y")&gt;0,"","NO EXEMPTION"))),"")</f>
        <v/>
      </c>
    </row>
    <row r="2584" spans="46:54" x14ac:dyDescent="0.25">
      <c r="AT2584" s="2" t="str">
        <f>IF($L2584="","",IFERROR(INDEX('AR SALES'!$H$2:$H$2501,MATCH(""&amp;$L2584,'AR SALES'!$AE$2:$AE$2501,0)),""))</f>
        <v/>
      </c>
      <c r="AU2584" s="2" t="str">
        <f t="shared" si="160"/>
        <v/>
      </c>
      <c r="AV2584" s="2" t="str">
        <f t="shared" si="161"/>
        <v/>
      </c>
      <c r="AW2584" s="2" t="str">
        <f t="shared" si="162"/>
        <v/>
      </c>
      <c r="AX2584" s="2" t="str">
        <f t="shared" si="163"/>
        <v/>
      </c>
      <c r="AY2584" s="2" t="str">
        <f>IF($AV2584="","",IF(AND($Z2584=0,COUNTIF('AR SALES'!$L$2:$L$2501,$L2584)=0),"YES",""))</f>
        <v/>
      </c>
      <c r="AZ2584" s="2" t="str">
        <f>IF($AV2584="","",IF(COUNTIF(LISTS!$C$2:$C$250,$AU2584)=0,"NEW",""))</f>
        <v/>
      </c>
      <c r="BA2584" s="2" t="str">
        <f>IF(""&amp;$F2584&lt;&gt;"4","",IF($AY2584="YES","",IF(ROUND(SUMIFS($AE$2:$AE$4001,$L$2:$L$4001,$L2584,$F$2:$F$4001,"4")-SUMIFS('AR SALES'!$Y$2:$Y$2501,'AR SALES'!$L$2:$L$2501,$L2584,'AR SALES'!$AD$2:$AD$2501,"OFF"),2)=0,"","STALE")))</f>
        <v/>
      </c>
      <c r="BB2584" s="2" t="str">
        <f>IF(OR(""&amp;$F2584="2",""&amp;$F2584="4",""&amp;$F2584="G",""&amp;$F2584="H"),IF($AY2584="YES","",IF($AB2584&lt;&gt;0,"",IF(COUNTIFS('AR SALES'!$L$2:$L$2501,$L2584,'AR SALES'!$AD$2:$AD$2501,IF(""&amp;$F2584="4","OFF","ON"),'AR SALES'!$AF$2:$AF$2501,"Y")&gt;0,"","NO EXEMPTION"))),"")</f>
        <v/>
      </c>
    </row>
    <row r="2585" spans="46:54" x14ac:dyDescent="0.25">
      <c r="AT2585" s="2" t="str">
        <f>IF($L2585="","",IFERROR(INDEX('AR SALES'!$H$2:$H$2501,MATCH(""&amp;$L2585,'AR SALES'!$AE$2:$AE$2501,0)),""))</f>
        <v/>
      </c>
      <c r="AU2585" s="2" t="str">
        <f t="shared" si="160"/>
        <v/>
      </c>
      <c r="AV2585" s="2" t="str">
        <f t="shared" si="161"/>
        <v/>
      </c>
      <c r="AW2585" s="2" t="str">
        <f t="shared" si="162"/>
        <v/>
      </c>
      <c r="AX2585" s="2" t="str">
        <f t="shared" si="163"/>
        <v/>
      </c>
      <c r="AY2585" s="2" t="str">
        <f>IF($AV2585="","",IF(AND($Z2585=0,COUNTIF('AR SALES'!$L$2:$L$2501,$L2585)=0),"YES",""))</f>
        <v/>
      </c>
      <c r="AZ2585" s="2" t="str">
        <f>IF($AV2585="","",IF(COUNTIF(LISTS!$C$2:$C$250,$AU2585)=0,"NEW",""))</f>
        <v/>
      </c>
      <c r="BA2585" s="2" t="str">
        <f>IF(""&amp;$F2585&lt;&gt;"4","",IF($AY2585="YES","",IF(ROUND(SUMIFS($AE$2:$AE$4001,$L$2:$L$4001,$L2585,$F$2:$F$4001,"4")-SUMIFS('AR SALES'!$Y$2:$Y$2501,'AR SALES'!$L$2:$L$2501,$L2585,'AR SALES'!$AD$2:$AD$2501,"OFF"),2)=0,"","STALE")))</f>
        <v/>
      </c>
      <c r="BB2585" s="2" t="str">
        <f>IF(OR(""&amp;$F2585="2",""&amp;$F2585="4",""&amp;$F2585="G",""&amp;$F2585="H"),IF($AY2585="YES","",IF($AB2585&lt;&gt;0,"",IF(COUNTIFS('AR SALES'!$L$2:$L$2501,$L2585,'AR SALES'!$AD$2:$AD$2501,IF(""&amp;$F2585="4","OFF","ON"),'AR SALES'!$AF$2:$AF$2501,"Y")&gt;0,"","NO EXEMPTION"))),"")</f>
        <v/>
      </c>
    </row>
    <row r="2586" spans="46:54" x14ac:dyDescent="0.25">
      <c r="AT2586" s="2" t="str">
        <f>IF($L2586="","",IFERROR(INDEX('AR SALES'!$H$2:$H$2501,MATCH(""&amp;$L2586,'AR SALES'!$AE$2:$AE$2501,0)),""))</f>
        <v/>
      </c>
      <c r="AU2586" s="2" t="str">
        <f t="shared" si="160"/>
        <v/>
      </c>
      <c r="AV2586" s="2" t="str">
        <f t="shared" si="161"/>
        <v/>
      </c>
      <c r="AW2586" s="2" t="str">
        <f t="shared" si="162"/>
        <v/>
      </c>
      <c r="AX2586" s="2" t="str">
        <f t="shared" si="163"/>
        <v/>
      </c>
      <c r="AY2586" s="2" t="str">
        <f>IF($AV2586="","",IF(AND($Z2586=0,COUNTIF('AR SALES'!$L$2:$L$2501,$L2586)=0),"YES",""))</f>
        <v/>
      </c>
      <c r="AZ2586" s="2" t="str">
        <f>IF($AV2586="","",IF(COUNTIF(LISTS!$C$2:$C$250,$AU2586)=0,"NEW",""))</f>
        <v/>
      </c>
      <c r="BA2586" s="2" t="str">
        <f>IF(""&amp;$F2586&lt;&gt;"4","",IF($AY2586="YES","",IF(ROUND(SUMIFS($AE$2:$AE$4001,$L$2:$L$4001,$L2586,$F$2:$F$4001,"4")-SUMIFS('AR SALES'!$Y$2:$Y$2501,'AR SALES'!$L$2:$L$2501,$L2586,'AR SALES'!$AD$2:$AD$2501,"OFF"),2)=0,"","STALE")))</f>
        <v/>
      </c>
      <c r="BB2586" s="2" t="str">
        <f>IF(OR(""&amp;$F2586="2",""&amp;$F2586="4",""&amp;$F2586="G",""&amp;$F2586="H"),IF($AY2586="YES","",IF($AB2586&lt;&gt;0,"",IF(COUNTIFS('AR SALES'!$L$2:$L$2501,$L2586,'AR SALES'!$AD$2:$AD$2501,IF(""&amp;$F2586="4","OFF","ON"),'AR SALES'!$AF$2:$AF$2501,"Y")&gt;0,"","NO EXEMPTION"))),"")</f>
        <v/>
      </c>
    </row>
    <row r="2587" spans="46:54" x14ac:dyDescent="0.25">
      <c r="AT2587" s="2" t="str">
        <f>IF($L2587="","",IFERROR(INDEX('AR SALES'!$H$2:$H$2501,MATCH(""&amp;$L2587,'AR SALES'!$AE$2:$AE$2501,0)),""))</f>
        <v/>
      </c>
      <c r="AU2587" s="2" t="str">
        <f t="shared" si="160"/>
        <v/>
      </c>
      <c r="AV2587" s="2" t="str">
        <f t="shared" si="161"/>
        <v/>
      </c>
      <c r="AW2587" s="2" t="str">
        <f t="shared" si="162"/>
        <v/>
      </c>
      <c r="AX2587" s="2" t="str">
        <f t="shared" si="163"/>
        <v/>
      </c>
      <c r="AY2587" s="2" t="str">
        <f>IF($AV2587="","",IF(AND($Z2587=0,COUNTIF('AR SALES'!$L$2:$L$2501,$L2587)=0),"YES",""))</f>
        <v/>
      </c>
      <c r="AZ2587" s="2" t="str">
        <f>IF($AV2587="","",IF(COUNTIF(LISTS!$C$2:$C$250,$AU2587)=0,"NEW",""))</f>
        <v/>
      </c>
      <c r="BA2587" s="2" t="str">
        <f>IF(""&amp;$F2587&lt;&gt;"4","",IF($AY2587="YES","",IF(ROUND(SUMIFS($AE$2:$AE$4001,$L$2:$L$4001,$L2587,$F$2:$F$4001,"4")-SUMIFS('AR SALES'!$Y$2:$Y$2501,'AR SALES'!$L$2:$L$2501,$L2587,'AR SALES'!$AD$2:$AD$2501,"OFF"),2)=0,"","STALE")))</f>
        <v/>
      </c>
      <c r="BB2587" s="2" t="str">
        <f>IF(OR(""&amp;$F2587="2",""&amp;$F2587="4",""&amp;$F2587="G",""&amp;$F2587="H"),IF($AY2587="YES","",IF($AB2587&lt;&gt;0,"",IF(COUNTIFS('AR SALES'!$L$2:$L$2501,$L2587,'AR SALES'!$AD$2:$AD$2501,IF(""&amp;$F2587="4","OFF","ON"),'AR SALES'!$AF$2:$AF$2501,"Y")&gt;0,"","NO EXEMPTION"))),"")</f>
        <v/>
      </c>
    </row>
    <row r="2588" spans="46:54" x14ac:dyDescent="0.25">
      <c r="AT2588" s="2" t="str">
        <f>IF($L2588="","",IFERROR(INDEX('AR SALES'!$H$2:$H$2501,MATCH(""&amp;$L2588,'AR SALES'!$AE$2:$AE$2501,0)),""))</f>
        <v/>
      </c>
      <c r="AU2588" s="2" t="str">
        <f t="shared" si="160"/>
        <v/>
      </c>
      <c r="AV2588" s="2" t="str">
        <f t="shared" si="161"/>
        <v/>
      </c>
      <c r="AW2588" s="2" t="str">
        <f t="shared" si="162"/>
        <v/>
      </c>
      <c r="AX2588" s="2" t="str">
        <f t="shared" si="163"/>
        <v/>
      </c>
      <c r="AY2588" s="2" t="str">
        <f>IF($AV2588="","",IF(AND($Z2588=0,COUNTIF('AR SALES'!$L$2:$L$2501,$L2588)=0),"YES",""))</f>
        <v/>
      </c>
      <c r="AZ2588" s="2" t="str">
        <f>IF($AV2588="","",IF(COUNTIF(LISTS!$C$2:$C$250,$AU2588)=0,"NEW",""))</f>
        <v/>
      </c>
      <c r="BA2588" s="2" t="str">
        <f>IF(""&amp;$F2588&lt;&gt;"4","",IF($AY2588="YES","",IF(ROUND(SUMIFS($AE$2:$AE$4001,$L$2:$L$4001,$L2588,$F$2:$F$4001,"4")-SUMIFS('AR SALES'!$Y$2:$Y$2501,'AR SALES'!$L$2:$L$2501,$L2588,'AR SALES'!$AD$2:$AD$2501,"OFF"),2)=0,"","STALE")))</f>
        <v/>
      </c>
      <c r="BB2588" s="2" t="str">
        <f>IF(OR(""&amp;$F2588="2",""&amp;$F2588="4",""&amp;$F2588="G",""&amp;$F2588="H"),IF($AY2588="YES","",IF($AB2588&lt;&gt;0,"",IF(COUNTIFS('AR SALES'!$L$2:$L$2501,$L2588,'AR SALES'!$AD$2:$AD$2501,IF(""&amp;$F2588="4","OFF","ON"),'AR SALES'!$AF$2:$AF$2501,"Y")&gt;0,"","NO EXEMPTION"))),"")</f>
        <v/>
      </c>
    </row>
    <row r="2589" spans="46:54" x14ac:dyDescent="0.25">
      <c r="AT2589" s="2" t="str">
        <f>IF($L2589="","",IFERROR(INDEX('AR SALES'!$H$2:$H$2501,MATCH(""&amp;$L2589,'AR SALES'!$AE$2:$AE$2501,0)),""))</f>
        <v/>
      </c>
      <c r="AU2589" s="2" t="str">
        <f t="shared" si="160"/>
        <v/>
      </c>
      <c r="AV2589" s="2" t="str">
        <f t="shared" si="161"/>
        <v/>
      </c>
      <c r="AW2589" s="2" t="str">
        <f t="shared" si="162"/>
        <v/>
      </c>
      <c r="AX2589" s="2" t="str">
        <f t="shared" si="163"/>
        <v/>
      </c>
      <c r="AY2589" s="2" t="str">
        <f>IF($AV2589="","",IF(AND($Z2589=0,COUNTIF('AR SALES'!$L$2:$L$2501,$L2589)=0),"YES",""))</f>
        <v/>
      </c>
      <c r="AZ2589" s="2" t="str">
        <f>IF($AV2589="","",IF(COUNTIF(LISTS!$C$2:$C$250,$AU2589)=0,"NEW",""))</f>
        <v/>
      </c>
      <c r="BA2589" s="2" t="str">
        <f>IF(""&amp;$F2589&lt;&gt;"4","",IF($AY2589="YES","",IF(ROUND(SUMIFS($AE$2:$AE$4001,$L$2:$L$4001,$L2589,$F$2:$F$4001,"4")-SUMIFS('AR SALES'!$Y$2:$Y$2501,'AR SALES'!$L$2:$L$2501,$L2589,'AR SALES'!$AD$2:$AD$2501,"OFF"),2)=0,"","STALE")))</f>
        <v/>
      </c>
      <c r="BB2589" s="2" t="str">
        <f>IF(OR(""&amp;$F2589="2",""&amp;$F2589="4",""&amp;$F2589="G",""&amp;$F2589="H"),IF($AY2589="YES","",IF($AB2589&lt;&gt;0,"",IF(COUNTIFS('AR SALES'!$L$2:$L$2501,$L2589,'AR SALES'!$AD$2:$AD$2501,IF(""&amp;$F2589="4","OFF","ON"),'AR SALES'!$AF$2:$AF$2501,"Y")&gt;0,"","NO EXEMPTION"))),"")</f>
        <v/>
      </c>
    </row>
    <row r="2590" spans="46:54" x14ac:dyDescent="0.25">
      <c r="AT2590" s="2" t="str">
        <f>IF($L2590="","",IFERROR(INDEX('AR SALES'!$H$2:$H$2501,MATCH(""&amp;$L2590,'AR SALES'!$AE$2:$AE$2501,0)),""))</f>
        <v/>
      </c>
      <c r="AU2590" s="2" t="str">
        <f t="shared" si="160"/>
        <v/>
      </c>
      <c r="AV2590" s="2" t="str">
        <f t="shared" si="161"/>
        <v/>
      </c>
      <c r="AW2590" s="2" t="str">
        <f t="shared" si="162"/>
        <v/>
      </c>
      <c r="AX2590" s="2" t="str">
        <f t="shared" si="163"/>
        <v/>
      </c>
      <c r="AY2590" s="2" t="str">
        <f>IF($AV2590="","",IF(AND($Z2590=0,COUNTIF('AR SALES'!$L$2:$L$2501,$L2590)=0),"YES",""))</f>
        <v/>
      </c>
      <c r="AZ2590" s="2" t="str">
        <f>IF($AV2590="","",IF(COUNTIF(LISTS!$C$2:$C$250,$AU2590)=0,"NEW",""))</f>
        <v/>
      </c>
      <c r="BA2590" s="2" t="str">
        <f>IF(""&amp;$F2590&lt;&gt;"4","",IF($AY2590="YES","",IF(ROUND(SUMIFS($AE$2:$AE$4001,$L$2:$L$4001,$L2590,$F$2:$F$4001,"4")-SUMIFS('AR SALES'!$Y$2:$Y$2501,'AR SALES'!$L$2:$L$2501,$L2590,'AR SALES'!$AD$2:$AD$2501,"OFF"),2)=0,"","STALE")))</f>
        <v/>
      </c>
      <c r="BB2590" s="2" t="str">
        <f>IF(OR(""&amp;$F2590="2",""&amp;$F2590="4",""&amp;$F2590="G",""&amp;$F2590="H"),IF($AY2590="YES","",IF($AB2590&lt;&gt;0,"",IF(COUNTIFS('AR SALES'!$L$2:$L$2501,$L2590,'AR SALES'!$AD$2:$AD$2501,IF(""&amp;$F2590="4","OFF","ON"),'AR SALES'!$AF$2:$AF$2501,"Y")&gt;0,"","NO EXEMPTION"))),"")</f>
        <v/>
      </c>
    </row>
    <row r="2591" spans="46:54" x14ac:dyDescent="0.25">
      <c r="AT2591" s="2" t="str">
        <f>IF($L2591="","",IFERROR(INDEX('AR SALES'!$H$2:$H$2501,MATCH(""&amp;$L2591,'AR SALES'!$AE$2:$AE$2501,0)),""))</f>
        <v/>
      </c>
      <c r="AU2591" s="2" t="str">
        <f t="shared" si="160"/>
        <v/>
      </c>
      <c r="AV2591" s="2" t="str">
        <f t="shared" si="161"/>
        <v/>
      </c>
      <c r="AW2591" s="2" t="str">
        <f t="shared" si="162"/>
        <v/>
      </c>
      <c r="AX2591" s="2" t="str">
        <f t="shared" si="163"/>
        <v/>
      </c>
      <c r="AY2591" s="2" t="str">
        <f>IF($AV2591="","",IF(AND($Z2591=0,COUNTIF('AR SALES'!$L$2:$L$2501,$L2591)=0),"YES",""))</f>
        <v/>
      </c>
      <c r="AZ2591" s="2" t="str">
        <f>IF($AV2591="","",IF(COUNTIF(LISTS!$C$2:$C$250,$AU2591)=0,"NEW",""))</f>
        <v/>
      </c>
      <c r="BA2591" s="2" t="str">
        <f>IF(""&amp;$F2591&lt;&gt;"4","",IF($AY2591="YES","",IF(ROUND(SUMIFS($AE$2:$AE$4001,$L$2:$L$4001,$L2591,$F$2:$F$4001,"4")-SUMIFS('AR SALES'!$Y$2:$Y$2501,'AR SALES'!$L$2:$L$2501,$L2591,'AR SALES'!$AD$2:$AD$2501,"OFF"),2)=0,"","STALE")))</f>
        <v/>
      </c>
      <c r="BB2591" s="2" t="str">
        <f>IF(OR(""&amp;$F2591="2",""&amp;$F2591="4",""&amp;$F2591="G",""&amp;$F2591="H"),IF($AY2591="YES","",IF($AB2591&lt;&gt;0,"",IF(COUNTIFS('AR SALES'!$L$2:$L$2501,$L2591,'AR SALES'!$AD$2:$AD$2501,IF(""&amp;$F2591="4","OFF","ON"),'AR SALES'!$AF$2:$AF$2501,"Y")&gt;0,"","NO EXEMPTION"))),"")</f>
        <v/>
      </c>
    </row>
    <row r="2592" spans="46:54" x14ac:dyDescent="0.25">
      <c r="AT2592" s="2" t="str">
        <f>IF($L2592="","",IFERROR(INDEX('AR SALES'!$H$2:$H$2501,MATCH(""&amp;$L2592,'AR SALES'!$AE$2:$AE$2501,0)),""))</f>
        <v/>
      </c>
      <c r="AU2592" s="2" t="str">
        <f t="shared" si="160"/>
        <v/>
      </c>
      <c r="AV2592" s="2" t="str">
        <f t="shared" si="161"/>
        <v/>
      </c>
      <c r="AW2592" s="2" t="str">
        <f t="shared" si="162"/>
        <v/>
      </c>
      <c r="AX2592" s="2" t="str">
        <f t="shared" si="163"/>
        <v/>
      </c>
      <c r="AY2592" s="2" t="str">
        <f>IF($AV2592="","",IF(AND($Z2592=0,COUNTIF('AR SALES'!$L$2:$L$2501,$L2592)=0),"YES",""))</f>
        <v/>
      </c>
      <c r="AZ2592" s="2" t="str">
        <f>IF($AV2592="","",IF(COUNTIF(LISTS!$C$2:$C$250,$AU2592)=0,"NEW",""))</f>
        <v/>
      </c>
      <c r="BA2592" s="2" t="str">
        <f>IF(""&amp;$F2592&lt;&gt;"4","",IF($AY2592="YES","",IF(ROUND(SUMIFS($AE$2:$AE$4001,$L$2:$L$4001,$L2592,$F$2:$F$4001,"4")-SUMIFS('AR SALES'!$Y$2:$Y$2501,'AR SALES'!$L$2:$L$2501,$L2592,'AR SALES'!$AD$2:$AD$2501,"OFF"),2)=0,"","STALE")))</f>
        <v/>
      </c>
      <c r="BB2592" s="2" t="str">
        <f>IF(OR(""&amp;$F2592="2",""&amp;$F2592="4",""&amp;$F2592="G",""&amp;$F2592="H"),IF($AY2592="YES","",IF($AB2592&lt;&gt;0,"",IF(COUNTIFS('AR SALES'!$L$2:$L$2501,$L2592,'AR SALES'!$AD$2:$AD$2501,IF(""&amp;$F2592="4","OFF","ON"),'AR SALES'!$AF$2:$AF$2501,"Y")&gt;0,"","NO EXEMPTION"))),"")</f>
        <v/>
      </c>
    </row>
    <row r="2593" spans="46:54" x14ac:dyDescent="0.25">
      <c r="AT2593" s="2" t="str">
        <f>IF($L2593="","",IFERROR(INDEX('AR SALES'!$H$2:$H$2501,MATCH(""&amp;$L2593,'AR SALES'!$AE$2:$AE$2501,0)),""))</f>
        <v/>
      </c>
      <c r="AU2593" s="2" t="str">
        <f t="shared" si="160"/>
        <v/>
      </c>
      <c r="AV2593" s="2" t="str">
        <f t="shared" si="161"/>
        <v/>
      </c>
      <c r="AW2593" s="2" t="str">
        <f t="shared" si="162"/>
        <v/>
      </c>
      <c r="AX2593" s="2" t="str">
        <f t="shared" si="163"/>
        <v/>
      </c>
      <c r="AY2593" s="2" t="str">
        <f>IF($AV2593="","",IF(AND($Z2593=0,COUNTIF('AR SALES'!$L$2:$L$2501,$L2593)=0),"YES",""))</f>
        <v/>
      </c>
      <c r="AZ2593" s="2" t="str">
        <f>IF($AV2593="","",IF(COUNTIF(LISTS!$C$2:$C$250,$AU2593)=0,"NEW",""))</f>
        <v/>
      </c>
      <c r="BA2593" s="2" t="str">
        <f>IF(""&amp;$F2593&lt;&gt;"4","",IF($AY2593="YES","",IF(ROUND(SUMIFS($AE$2:$AE$4001,$L$2:$L$4001,$L2593,$F$2:$F$4001,"4")-SUMIFS('AR SALES'!$Y$2:$Y$2501,'AR SALES'!$L$2:$L$2501,$L2593,'AR SALES'!$AD$2:$AD$2501,"OFF"),2)=0,"","STALE")))</f>
        <v/>
      </c>
      <c r="BB2593" s="2" t="str">
        <f>IF(OR(""&amp;$F2593="2",""&amp;$F2593="4",""&amp;$F2593="G",""&amp;$F2593="H"),IF($AY2593="YES","",IF($AB2593&lt;&gt;0,"",IF(COUNTIFS('AR SALES'!$L$2:$L$2501,$L2593,'AR SALES'!$AD$2:$AD$2501,IF(""&amp;$F2593="4","OFF","ON"),'AR SALES'!$AF$2:$AF$2501,"Y")&gt;0,"","NO EXEMPTION"))),"")</f>
        <v/>
      </c>
    </row>
    <row r="2594" spans="46:54" x14ac:dyDescent="0.25">
      <c r="AT2594" s="2" t="str">
        <f>IF($L2594="","",IFERROR(INDEX('AR SALES'!$H$2:$H$2501,MATCH(""&amp;$L2594,'AR SALES'!$AE$2:$AE$2501,0)),""))</f>
        <v/>
      </c>
      <c r="AU2594" s="2" t="str">
        <f t="shared" si="160"/>
        <v/>
      </c>
      <c r="AV2594" s="2" t="str">
        <f t="shared" si="161"/>
        <v/>
      </c>
      <c r="AW2594" s="2" t="str">
        <f t="shared" si="162"/>
        <v/>
      </c>
      <c r="AX2594" s="2" t="str">
        <f t="shared" si="163"/>
        <v/>
      </c>
      <c r="AY2594" s="2" t="str">
        <f>IF($AV2594="","",IF(AND($Z2594=0,COUNTIF('AR SALES'!$L$2:$L$2501,$L2594)=0),"YES",""))</f>
        <v/>
      </c>
      <c r="AZ2594" s="2" t="str">
        <f>IF($AV2594="","",IF(COUNTIF(LISTS!$C$2:$C$250,$AU2594)=0,"NEW",""))</f>
        <v/>
      </c>
      <c r="BA2594" s="2" t="str">
        <f>IF(""&amp;$F2594&lt;&gt;"4","",IF($AY2594="YES","",IF(ROUND(SUMIFS($AE$2:$AE$4001,$L$2:$L$4001,$L2594,$F$2:$F$4001,"4")-SUMIFS('AR SALES'!$Y$2:$Y$2501,'AR SALES'!$L$2:$L$2501,$L2594,'AR SALES'!$AD$2:$AD$2501,"OFF"),2)=0,"","STALE")))</f>
        <v/>
      </c>
      <c r="BB2594" s="2" t="str">
        <f>IF(OR(""&amp;$F2594="2",""&amp;$F2594="4",""&amp;$F2594="G",""&amp;$F2594="H"),IF($AY2594="YES","",IF($AB2594&lt;&gt;0,"",IF(COUNTIFS('AR SALES'!$L$2:$L$2501,$L2594,'AR SALES'!$AD$2:$AD$2501,IF(""&amp;$F2594="4","OFF","ON"),'AR SALES'!$AF$2:$AF$2501,"Y")&gt;0,"","NO EXEMPTION"))),"")</f>
        <v/>
      </c>
    </row>
    <row r="2595" spans="46:54" x14ac:dyDescent="0.25">
      <c r="AT2595" s="2" t="str">
        <f>IF($L2595="","",IFERROR(INDEX('AR SALES'!$H$2:$H$2501,MATCH(""&amp;$L2595,'AR SALES'!$AE$2:$AE$2501,0)),""))</f>
        <v/>
      </c>
      <c r="AU2595" s="2" t="str">
        <f t="shared" si="160"/>
        <v/>
      </c>
      <c r="AV2595" s="2" t="str">
        <f t="shared" si="161"/>
        <v/>
      </c>
      <c r="AW2595" s="2" t="str">
        <f t="shared" si="162"/>
        <v/>
      </c>
      <c r="AX2595" s="2" t="str">
        <f t="shared" si="163"/>
        <v/>
      </c>
      <c r="AY2595" s="2" t="str">
        <f>IF($AV2595="","",IF(AND($Z2595=0,COUNTIF('AR SALES'!$L$2:$L$2501,$L2595)=0),"YES",""))</f>
        <v/>
      </c>
      <c r="AZ2595" s="2" t="str">
        <f>IF($AV2595="","",IF(COUNTIF(LISTS!$C$2:$C$250,$AU2595)=0,"NEW",""))</f>
        <v/>
      </c>
      <c r="BA2595" s="2" t="str">
        <f>IF(""&amp;$F2595&lt;&gt;"4","",IF($AY2595="YES","",IF(ROUND(SUMIFS($AE$2:$AE$4001,$L$2:$L$4001,$L2595,$F$2:$F$4001,"4")-SUMIFS('AR SALES'!$Y$2:$Y$2501,'AR SALES'!$L$2:$L$2501,$L2595,'AR SALES'!$AD$2:$AD$2501,"OFF"),2)=0,"","STALE")))</f>
        <v/>
      </c>
      <c r="BB2595" s="2" t="str">
        <f>IF(OR(""&amp;$F2595="2",""&amp;$F2595="4",""&amp;$F2595="G",""&amp;$F2595="H"),IF($AY2595="YES","",IF($AB2595&lt;&gt;0,"",IF(COUNTIFS('AR SALES'!$L$2:$L$2501,$L2595,'AR SALES'!$AD$2:$AD$2501,IF(""&amp;$F2595="4","OFF","ON"),'AR SALES'!$AF$2:$AF$2501,"Y")&gt;0,"","NO EXEMPTION"))),"")</f>
        <v/>
      </c>
    </row>
    <row r="2596" spans="46:54" x14ac:dyDescent="0.25">
      <c r="AT2596" s="2" t="str">
        <f>IF($L2596="","",IFERROR(INDEX('AR SALES'!$H$2:$H$2501,MATCH(""&amp;$L2596,'AR SALES'!$AE$2:$AE$2501,0)),""))</f>
        <v/>
      </c>
      <c r="AU2596" s="2" t="str">
        <f t="shared" si="160"/>
        <v/>
      </c>
      <c r="AV2596" s="2" t="str">
        <f t="shared" si="161"/>
        <v/>
      </c>
      <c r="AW2596" s="2" t="str">
        <f t="shared" si="162"/>
        <v/>
      </c>
      <c r="AX2596" s="2" t="str">
        <f t="shared" si="163"/>
        <v/>
      </c>
      <c r="AY2596" s="2" t="str">
        <f>IF($AV2596="","",IF(AND($Z2596=0,COUNTIF('AR SALES'!$L$2:$L$2501,$L2596)=0),"YES",""))</f>
        <v/>
      </c>
      <c r="AZ2596" s="2" t="str">
        <f>IF($AV2596="","",IF(COUNTIF(LISTS!$C$2:$C$250,$AU2596)=0,"NEW",""))</f>
        <v/>
      </c>
      <c r="BA2596" s="2" t="str">
        <f>IF(""&amp;$F2596&lt;&gt;"4","",IF($AY2596="YES","",IF(ROUND(SUMIFS($AE$2:$AE$4001,$L$2:$L$4001,$L2596,$F$2:$F$4001,"4")-SUMIFS('AR SALES'!$Y$2:$Y$2501,'AR SALES'!$L$2:$L$2501,$L2596,'AR SALES'!$AD$2:$AD$2501,"OFF"),2)=0,"","STALE")))</f>
        <v/>
      </c>
      <c r="BB2596" s="2" t="str">
        <f>IF(OR(""&amp;$F2596="2",""&amp;$F2596="4",""&amp;$F2596="G",""&amp;$F2596="H"),IF($AY2596="YES","",IF($AB2596&lt;&gt;0,"",IF(COUNTIFS('AR SALES'!$L$2:$L$2501,$L2596,'AR SALES'!$AD$2:$AD$2501,IF(""&amp;$F2596="4","OFF","ON"),'AR SALES'!$AF$2:$AF$2501,"Y")&gt;0,"","NO EXEMPTION"))),"")</f>
        <v/>
      </c>
    </row>
    <row r="2597" spans="46:54" x14ac:dyDescent="0.25">
      <c r="AT2597" s="2" t="str">
        <f>IF($L2597="","",IFERROR(INDEX('AR SALES'!$H$2:$H$2501,MATCH(""&amp;$L2597,'AR SALES'!$AE$2:$AE$2501,0)),""))</f>
        <v/>
      </c>
      <c r="AU2597" s="2" t="str">
        <f t="shared" si="160"/>
        <v/>
      </c>
      <c r="AV2597" s="2" t="str">
        <f t="shared" si="161"/>
        <v/>
      </c>
      <c r="AW2597" s="2" t="str">
        <f t="shared" si="162"/>
        <v/>
      </c>
      <c r="AX2597" s="2" t="str">
        <f t="shared" si="163"/>
        <v/>
      </c>
      <c r="AY2597" s="2" t="str">
        <f>IF($AV2597="","",IF(AND($Z2597=0,COUNTIF('AR SALES'!$L$2:$L$2501,$L2597)=0),"YES",""))</f>
        <v/>
      </c>
      <c r="AZ2597" s="2" t="str">
        <f>IF($AV2597="","",IF(COUNTIF(LISTS!$C$2:$C$250,$AU2597)=0,"NEW",""))</f>
        <v/>
      </c>
      <c r="BA2597" s="2" t="str">
        <f>IF(""&amp;$F2597&lt;&gt;"4","",IF($AY2597="YES","",IF(ROUND(SUMIFS($AE$2:$AE$4001,$L$2:$L$4001,$L2597,$F$2:$F$4001,"4")-SUMIFS('AR SALES'!$Y$2:$Y$2501,'AR SALES'!$L$2:$L$2501,$L2597,'AR SALES'!$AD$2:$AD$2501,"OFF"),2)=0,"","STALE")))</f>
        <v/>
      </c>
      <c r="BB2597" s="2" t="str">
        <f>IF(OR(""&amp;$F2597="2",""&amp;$F2597="4",""&amp;$F2597="G",""&amp;$F2597="H"),IF($AY2597="YES","",IF($AB2597&lt;&gt;0,"",IF(COUNTIFS('AR SALES'!$L$2:$L$2501,$L2597,'AR SALES'!$AD$2:$AD$2501,IF(""&amp;$F2597="4","OFF","ON"),'AR SALES'!$AF$2:$AF$2501,"Y")&gt;0,"","NO EXEMPTION"))),"")</f>
        <v/>
      </c>
    </row>
    <row r="2598" spans="46:54" x14ac:dyDescent="0.25">
      <c r="AT2598" s="2" t="str">
        <f>IF($L2598="","",IFERROR(INDEX('AR SALES'!$H$2:$H$2501,MATCH(""&amp;$L2598,'AR SALES'!$AE$2:$AE$2501,0)),""))</f>
        <v/>
      </c>
      <c r="AU2598" s="2" t="str">
        <f t="shared" si="160"/>
        <v/>
      </c>
      <c r="AV2598" s="2" t="str">
        <f t="shared" si="161"/>
        <v/>
      </c>
      <c r="AW2598" s="2" t="str">
        <f t="shared" si="162"/>
        <v/>
      </c>
      <c r="AX2598" s="2" t="str">
        <f t="shared" si="163"/>
        <v/>
      </c>
      <c r="AY2598" s="2" t="str">
        <f>IF($AV2598="","",IF(AND($Z2598=0,COUNTIF('AR SALES'!$L$2:$L$2501,$L2598)=0),"YES",""))</f>
        <v/>
      </c>
      <c r="AZ2598" s="2" t="str">
        <f>IF($AV2598="","",IF(COUNTIF(LISTS!$C$2:$C$250,$AU2598)=0,"NEW",""))</f>
        <v/>
      </c>
      <c r="BA2598" s="2" t="str">
        <f>IF(""&amp;$F2598&lt;&gt;"4","",IF($AY2598="YES","",IF(ROUND(SUMIFS($AE$2:$AE$4001,$L$2:$L$4001,$L2598,$F$2:$F$4001,"4")-SUMIFS('AR SALES'!$Y$2:$Y$2501,'AR SALES'!$L$2:$L$2501,$L2598,'AR SALES'!$AD$2:$AD$2501,"OFF"),2)=0,"","STALE")))</f>
        <v/>
      </c>
      <c r="BB2598" s="2" t="str">
        <f>IF(OR(""&amp;$F2598="2",""&amp;$F2598="4",""&amp;$F2598="G",""&amp;$F2598="H"),IF($AY2598="YES","",IF($AB2598&lt;&gt;0,"",IF(COUNTIFS('AR SALES'!$L$2:$L$2501,$L2598,'AR SALES'!$AD$2:$AD$2501,IF(""&amp;$F2598="4","OFF","ON"),'AR SALES'!$AF$2:$AF$2501,"Y")&gt;0,"","NO EXEMPTION"))),"")</f>
        <v/>
      </c>
    </row>
    <row r="2599" spans="46:54" x14ac:dyDescent="0.25">
      <c r="AT2599" s="2" t="str">
        <f>IF($L2599="","",IFERROR(INDEX('AR SALES'!$H$2:$H$2501,MATCH(""&amp;$L2599,'AR SALES'!$AE$2:$AE$2501,0)),""))</f>
        <v/>
      </c>
      <c r="AU2599" s="2" t="str">
        <f t="shared" si="160"/>
        <v/>
      </c>
      <c r="AV2599" s="2" t="str">
        <f t="shared" si="161"/>
        <v/>
      </c>
      <c r="AW2599" s="2" t="str">
        <f t="shared" si="162"/>
        <v/>
      </c>
      <c r="AX2599" s="2" t="str">
        <f t="shared" si="163"/>
        <v/>
      </c>
      <c r="AY2599" s="2" t="str">
        <f>IF($AV2599="","",IF(AND($Z2599=0,COUNTIF('AR SALES'!$L$2:$L$2501,$L2599)=0),"YES",""))</f>
        <v/>
      </c>
      <c r="AZ2599" s="2" t="str">
        <f>IF($AV2599="","",IF(COUNTIF(LISTS!$C$2:$C$250,$AU2599)=0,"NEW",""))</f>
        <v/>
      </c>
      <c r="BA2599" s="2" t="str">
        <f>IF(""&amp;$F2599&lt;&gt;"4","",IF($AY2599="YES","",IF(ROUND(SUMIFS($AE$2:$AE$4001,$L$2:$L$4001,$L2599,$F$2:$F$4001,"4")-SUMIFS('AR SALES'!$Y$2:$Y$2501,'AR SALES'!$L$2:$L$2501,$L2599,'AR SALES'!$AD$2:$AD$2501,"OFF"),2)=0,"","STALE")))</f>
        <v/>
      </c>
      <c r="BB2599" s="2" t="str">
        <f>IF(OR(""&amp;$F2599="2",""&amp;$F2599="4",""&amp;$F2599="G",""&amp;$F2599="H"),IF($AY2599="YES","",IF($AB2599&lt;&gt;0,"",IF(COUNTIFS('AR SALES'!$L$2:$L$2501,$L2599,'AR SALES'!$AD$2:$AD$2501,IF(""&amp;$F2599="4","OFF","ON"),'AR SALES'!$AF$2:$AF$2501,"Y")&gt;0,"","NO EXEMPTION"))),"")</f>
        <v/>
      </c>
    </row>
    <row r="2600" spans="46:54" x14ac:dyDescent="0.25">
      <c r="AT2600" s="2" t="str">
        <f>IF($L2600="","",IFERROR(INDEX('AR SALES'!$H$2:$H$2501,MATCH(""&amp;$L2600,'AR SALES'!$AE$2:$AE$2501,0)),""))</f>
        <v/>
      </c>
      <c r="AU2600" s="2" t="str">
        <f t="shared" si="160"/>
        <v/>
      </c>
      <c r="AV2600" s="2" t="str">
        <f t="shared" si="161"/>
        <v/>
      </c>
      <c r="AW2600" s="2" t="str">
        <f t="shared" si="162"/>
        <v/>
      </c>
      <c r="AX2600" s="2" t="str">
        <f t="shared" si="163"/>
        <v/>
      </c>
      <c r="AY2600" s="2" t="str">
        <f>IF($AV2600="","",IF(AND($Z2600=0,COUNTIF('AR SALES'!$L$2:$L$2501,$L2600)=0),"YES",""))</f>
        <v/>
      </c>
      <c r="AZ2600" s="2" t="str">
        <f>IF($AV2600="","",IF(COUNTIF(LISTS!$C$2:$C$250,$AU2600)=0,"NEW",""))</f>
        <v/>
      </c>
      <c r="BA2600" s="2" t="str">
        <f>IF(""&amp;$F2600&lt;&gt;"4","",IF($AY2600="YES","",IF(ROUND(SUMIFS($AE$2:$AE$4001,$L$2:$L$4001,$L2600,$F$2:$F$4001,"4")-SUMIFS('AR SALES'!$Y$2:$Y$2501,'AR SALES'!$L$2:$L$2501,$L2600,'AR SALES'!$AD$2:$AD$2501,"OFF"),2)=0,"","STALE")))</f>
        <v/>
      </c>
      <c r="BB2600" s="2" t="str">
        <f>IF(OR(""&amp;$F2600="2",""&amp;$F2600="4",""&amp;$F2600="G",""&amp;$F2600="H"),IF($AY2600="YES","",IF($AB2600&lt;&gt;0,"",IF(COUNTIFS('AR SALES'!$L$2:$L$2501,$L2600,'AR SALES'!$AD$2:$AD$2501,IF(""&amp;$F2600="4","OFF","ON"),'AR SALES'!$AF$2:$AF$2501,"Y")&gt;0,"","NO EXEMPTION"))),"")</f>
        <v/>
      </c>
    </row>
    <row r="2601" spans="46:54" x14ac:dyDescent="0.25">
      <c r="AT2601" s="2" t="str">
        <f>IF($L2601="","",IFERROR(INDEX('AR SALES'!$H$2:$H$2501,MATCH(""&amp;$L2601,'AR SALES'!$AE$2:$AE$2501,0)),""))</f>
        <v/>
      </c>
      <c r="AU2601" s="2" t="str">
        <f t="shared" si="160"/>
        <v/>
      </c>
      <c r="AV2601" s="2" t="str">
        <f t="shared" si="161"/>
        <v/>
      </c>
      <c r="AW2601" s="2" t="str">
        <f t="shared" si="162"/>
        <v/>
      </c>
      <c r="AX2601" s="2" t="str">
        <f t="shared" si="163"/>
        <v/>
      </c>
      <c r="AY2601" s="2" t="str">
        <f>IF($AV2601="","",IF(AND($Z2601=0,COUNTIF('AR SALES'!$L$2:$L$2501,$L2601)=0),"YES",""))</f>
        <v/>
      </c>
      <c r="AZ2601" s="2" t="str">
        <f>IF($AV2601="","",IF(COUNTIF(LISTS!$C$2:$C$250,$AU2601)=0,"NEW",""))</f>
        <v/>
      </c>
      <c r="BA2601" s="2" t="str">
        <f>IF(""&amp;$F2601&lt;&gt;"4","",IF($AY2601="YES","",IF(ROUND(SUMIFS($AE$2:$AE$4001,$L$2:$L$4001,$L2601,$F$2:$F$4001,"4")-SUMIFS('AR SALES'!$Y$2:$Y$2501,'AR SALES'!$L$2:$L$2501,$L2601,'AR SALES'!$AD$2:$AD$2501,"OFF"),2)=0,"","STALE")))</f>
        <v/>
      </c>
      <c r="BB2601" s="2" t="str">
        <f>IF(OR(""&amp;$F2601="2",""&amp;$F2601="4",""&amp;$F2601="G",""&amp;$F2601="H"),IF($AY2601="YES","",IF($AB2601&lt;&gt;0,"",IF(COUNTIFS('AR SALES'!$L$2:$L$2501,$L2601,'AR SALES'!$AD$2:$AD$2501,IF(""&amp;$F2601="4","OFF","ON"),'AR SALES'!$AF$2:$AF$2501,"Y")&gt;0,"","NO EXEMPTION"))),"")</f>
        <v/>
      </c>
    </row>
    <row r="2602" spans="46:54" x14ac:dyDescent="0.25">
      <c r="AT2602" s="2" t="str">
        <f>IF($L2602="","",IFERROR(INDEX('AR SALES'!$H$2:$H$2501,MATCH(""&amp;$L2602,'AR SALES'!$AE$2:$AE$2501,0)),""))</f>
        <v/>
      </c>
      <c r="AU2602" s="2" t="str">
        <f t="shared" si="160"/>
        <v/>
      </c>
      <c r="AV2602" s="2" t="str">
        <f t="shared" si="161"/>
        <v/>
      </c>
      <c r="AW2602" s="2" t="str">
        <f t="shared" si="162"/>
        <v/>
      </c>
      <c r="AX2602" s="2" t="str">
        <f t="shared" si="163"/>
        <v/>
      </c>
      <c r="AY2602" s="2" t="str">
        <f>IF($AV2602="","",IF(AND($Z2602=0,COUNTIF('AR SALES'!$L$2:$L$2501,$L2602)=0),"YES",""))</f>
        <v/>
      </c>
      <c r="AZ2602" s="2" t="str">
        <f>IF($AV2602="","",IF(COUNTIF(LISTS!$C$2:$C$250,$AU2602)=0,"NEW",""))</f>
        <v/>
      </c>
      <c r="BA2602" s="2" t="str">
        <f>IF(""&amp;$F2602&lt;&gt;"4","",IF($AY2602="YES","",IF(ROUND(SUMIFS($AE$2:$AE$4001,$L$2:$L$4001,$L2602,$F$2:$F$4001,"4")-SUMIFS('AR SALES'!$Y$2:$Y$2501,'AR SALES'!$L$2:$L$2501,$L2602,'AR SALES'!$AD$2:$AD$2501,"OFF"),2)=0,"","STALE")))</f>
        <v/>
      </c>
      <c r="BB2602" s="2" t="str">
        <f>IF(OR(""&amp;$F2602="2",""&amp;$F2602="4",""&amp;$F2602="G",""&amp;$F2602="H"),IF($AY2602="YES","",IF($AB2602&lt;&gt;0,"",IF(COUNTIFS('AR SALES'!$L$2:$L$2501,$L2602,'AR SALES'!$AD$2:$AD$2501,IF(""&amp;$F2602="4","OFF","ON"),'AR SALES'!$AF$2:$AF$2501,"Y")&gt;0,"","NO EXEMPTION"))),"")</f>
        <v/>
      </c>
    </row>
    <row r="2603" spans="46:54" x14ac:dyDescent="0.25">
      <c r="AT2603" s="2" t="str">
        <f>IF($L2603="","",IFERROR(INDEX('AR SALES'!$H$2:$H$2501,MATCH(""&amp;$L2603,'AR SALES'!$AE$2:$AE$2501,0)),""))</f>
        <v/>
      </c>
      <c r="AU2603" s="2" t="str">
        <f t="shared" si="160"/>
        <v/>
      </c>
      <c r="AV2603" s="2" t="str">
        <f t="shared" si="161"/>
        <v/>
      </c>
      <c r="AW2603" s="2" t="str">
        <f t="shared" si="162"/>
        <v/>
      </c>
      <c r="AX2603" s="2" t="str">
        <f t="shared" si="163"/>
        <v/>
      </c>
      <c r="AY2603" s="2" t="str">
        <f>IF($AV2603="","",IF(AND($Z2603=0,COUNTIF('AR SALES'!$L$2:$L$2501,$L2603)=0),"YES",""))</f>
        <v/>
      </c>
      <c r="AZ2603" s="2" t="str">
        <f>IF($AV2603="","",IF(COUNTIF(LISTS!$C$2:$C$250,$AU2603)=0,"NEW",""))</f>
        <v/>
      </c>
      <c r="BA2603" s="2" t="str">
        <f>IF(""&amp;$F2603&lt;&gt;"4","",IF($AY2603="YES","",IF(ROUND(SUMIFS($AE$2:$AE$4001,$L$2:$L$4001,$L2603,$F$2:$F$4001,"4")-SUMIFS('AR SALES'!$Y$2:$Y$2501,'AR SALES'!$L$2:$L$2501,$L2603,'AR SALES'!$AD$2:$AD$2501,"OFF"),2)=0,"","STALE")))</f>
        <v/>
      </c>
      <c r="BB2603" s="2" t="str">
        <f>IF(OR(""&amp;$F2603="2",""&amp;$F2603="4",""&amp;$F2603="G",""&amp;$F2603="H"),IF($AY2603="YES","",IF($AB2603&lt;&gt;0,"",IF(COUNTIFS('AR SALES'!$L$2:$L$2501,$L2603,'AR SALES'!$AD$2:$AD$2501,IF(""&amp;$F2603="4","OFF","ON"),'AR SALES'!$AF$2:$AF$2501,"Y")&gt;0,"","NO EXEMPTION"))),"")</f>
        <v/>
      </c>
    </row>
    <row r="2604" spans="46:54" x14ac:dyDescent="0.25">
      <c r="AT2604" s="2" t="str">
        <f>IF($L2604="","",IFERROR(INDEX('AR SALES'!$H$2:$H$2501,MATCH(""&amp;$L2604,'AR SALES'!$AE$2:$AE$2501,0)),""))</f>
        <v/>
      </c>
      <c r="AU2604" s="2" t="str">
        <f t="shared" si="160"/>
        <v/>
      </c>
      <c r="AV2604" s="2" t="str">
        <f t="shared" si="161"/>
        <v/>
      </c>
      <c r="AW2604" s="2" t="str">
        <f t="shared" si="162"/>
        <v/>
      </c>
      <c r="AX2604" s="2" t="str">
        <f t="shared" si="163"/>
        <v/>
      </c>
      <c r="AY2604" s="2" t="str">
        <f>IF($AV2604="","",IF(AND($Z2604=0,COUNTIF('AR SALES'!$L$2:$L$2501,$L2604)=0),"YES",""))</f>
        <v/>
      </c>
      <c r="AZ2604" s="2" t="str">
        <f>IF($AV2604="","",IF(COUNTIF(LISTS!$C$2:$C$250,$AU2604)=0,"NEW",""))</f>
        <v/>
      </c>
      <c r="BA2604" s="2" t="str">
        <f>IF(""&amp;$F2604&lt;&gt;"4","",IF($AY2604="YES","",IF(ROUND(SUMIFS($AE$2:$AE$4001,$L$2:$L$4001,$L2604,$F$2:$F$4001,"4")-SUMIFS('AR SALES'!$Y$2:$Y$2501,'AR SALES'!$L$2:$L$2501,$L2604,'AR SALES'!$AD$2:$AD$2501,"OFF"),2)=0,"","STALE")))</f>
        <v/>
      </c>
      <c r="BB2604" s="2" t="str">
        <f>IF(OR(""&amp;$F2604="2",""&amp;$F2604="4",""&amp;$F2604="G",""&amp;$F2604="H"),IF($AY2604="YES","",IF($AB2604&lt;&gt;0,"",IF(COUNTIFS('AR SALES'!$L$2:$L$2501,$L2604,'AR SALES'!$AD$2:$AD$2501,IF(""&amp;$F2604="4","OFF","ON"),'AR SALES'!$AF$2:$AF$2501,"Y")&gt;0,"","NO EXEMPTION"))),"")</f>
        <v/>
      </c>
    </row>
    <row r="2605" spans="46:54" x14ac:dyDescent="0.25">
      <c r="AT2605" s="2" t="str">
        <f>IF($L2605="","",IFERROR(INDEX('AR SALES'!$H$2:$H$2501,MATCH(""&amp;$L2605,'AR SALES'!$AE$2:$AE$2501,0)),""))</f>
        <v/>
      </c>
      <c r="AU2605" s="2" t="str">
        <f t="shared" si="160"/>
        <v/>
      </c>
      <c r="AV2605" s="2" t="str">
        <f t="shared" si="161"/>
        <v/>
      </c>
      <c r="AW2605" s="2" t="str">
        <f t="shared" si="162"/>
        <v/>
      </c>
      <c r="AX2605" s="2" t="str">
        <f t="shared" si="163"/>
        <v/>
      </c>
      <c r="AY2605" s="2" t="str">
        <f>IF($AV2605="","",IF(AND($Z2605=0,COUNTIF('AR SALES'!$L$2:$L$2501,$L2605)=0),"YES",""))</f>
        <v/>
      </c>
      <c r="AZ2605" s="2" t="str">
        <f>IF($AV2605="","",IF(COUNTIF(LISTS!$C$2:$C$250,$AU2605)=0,"NEW",""))</f>
        <v/>
      </c>
      <c r="BA2605" s="2" t="str">
        <f>IF(""&amp;$F2605&lt;&gt;"4","",IF($AY2605="YES","",IF(ROUND(SUMIFS($AE$2:$AE$4001,$L$2:$L$4001,$L2605,$F$2:$F$4001,"4")-SUMIFS('AR SALES'!$Y$2:$Y$2501,'AR SALES'!$L$2:$L$2501,$L2605,'AR SALES'!$AD$2:$AD$2501,"OFF"),2)=0,"","STALE")))</f>
        <v/>
      </c>
      <c r="BB2605" s="2" t="str">
        <f>IF(OR(""&amp;$F2605="2",""&amp;$F2605="4",""&amp;$F2605="G",""&amp;$F2605="H"),IF($AY2605="YES","",IF($AB2605&lt;&gt;0,"",IF(COUNTIFS('AR SALES'!$L$2:$L$2501,$L2605,'AR SALES'!$AD$2:$AD$2501,IF(""&amp;$F2605="4","OFF","ON"),'AR SALES'!$AF$2:$AF$2501,"Y")&gt;0,"","NO EXEMPTION"))),"")</f>
        <v/>
      </c>
    </row>
    <row r="2606" spans="46:54" x14ac:dyDescent="0.25">
      <c r="AT2606" s="2" t="str">
        <f>IF($L2606="","",IFERROR(INDEX('AR SALES'!$H$2:$H$2501,MATCH(""&amp;$L2606,'AR SALES'!$AE$2:$AE$2501,0)),""))</f>
        <v/>
      </c>
      <c r="AU2606" s="2" t="str">
        <f t="shared" si="160"/>
        <v/>
      </c>
      <c r="AV2606" s="2" t="str">
        <f t="shared" si="161"/>
        <v/>
      </c>
      <c r="AW2606" s="2" t="str">
        <f t="shared" si="162"/>
        <v/>
      </c>
      <c r="AX2606" s="2" t="str">
        <f t="shared" si="163"/>
        <v/>
      </c>
      <c r="AY2606" s="2" t="str">
        <f>IF($AV2606="","",IF(AND($Z2606=0,COUNTIF('AR SALES'!$L$2:$L$2501,$L2606)=0),"YES",""))</f>
        <v/>
      </c>
      <c r="AZ2606" s="2" t="str">
        <f>IF($AV2606="","",IF(COUNTIF(LISTS!$C$2:$C$250,$AU2606)=0,"NEW",""))</f>
        <v/>
      </c>
      <c r="BA2606" s="2" t="str">
        <f>IF(""&amp;$F2606&lt;&gt;"4","",IF($AY2606="YES","",IF(ROUND(SUMIFS($AE$2:$AE$4001,$L$2:$L$4001,$L2606,$F$2:$F$4001,"4")-SUMIFS('AR SALES'!$Y$2:$Y$2501,'AR SALES'!$L$2:$L$2501,$L2606,'AR SALES'!$AD$2:$AD$2501,"OFF"),2)=0,"","STALE")))</f>
        <v/>
      </c>
      <c r="BB2606" s="2" t="str">
        <f>IF(OR(""&amp;$F2606="2",""&amp;$F2606="4",""&amp;$F2606="G",""&amp;$F2606="H"),IF($AY2606="YES","",IF($AB2606&lt;&gt;0,"",IF(COUNTIFS('AR SALES'!$L$2:$L$2501,$L2606,'AR SALES'!$AD$2:$AD$2501,IF(""&amp;$F2606="4","OFF","ON"),'AR SALES'!$AF$2:$AF$2501,"Y")&gt;0,"","NO EXEMPTION"))),"")</f>
        <v/>
      </c>
    </row>
    <row r="2607" spans="46:54" x14ac:dyDescent="0.25">
      <c r="AT2607" s="2" t="str">
        <f>IF($L2607="","",IFERROR(INDEX('AR SALES'!$H$2:$H$2501,MATCH(""&amp;$L2607,'AR SALES'!$AE$2:$AE$2501,0)),""))</f>
        <v/>
      </c>
      <c r="AU2607" s="2" t="str">
        <f t="shared" si="160"/>
        <v/>
      </c>
      <c r="AV2607" s="2" t="str">
        <f t="shared" si="161"/>
        <v/>
      </c>
      <c r="AW2607" s="2" t="str">
        <f t="shared" si="162"/>
        <v/>
      </c>
      <c r="AX2607" s="2" t="str">
        <f t="shared" si="163"/>
        <v/>
      </c>
      <c r="AY2607" s="2" t="str">
        <f>IF($AV2607="","",IF(AND($Z2607=0,COUNTIF('AR SALES'!$L$2:$L$2501,$L2607)=0),"YES",""))</f>
        <v/>
      </c>
      <c r="AZ2607" s="2" t="str">
        <f>IF($AV2607="","",IF(COUNTIF(LISTS!$C$2:$C$250,$AU2607)=0,"NEW",""))</f>
        <v/>
      </c>
      <c r="BA2607" s="2" t="str">
        <f>IF(""&amp;$F2607&lt;&gt;"4","",IF($AY2607="YES","",IF(ROUND(SUMIFS($AE$2:$AE$4001,$L$2:$L$4001,$L2607,$F$2:$F$4001,"4")-SUMIFS('AR SALES'!$Y$2:$Y$2501,'AR SALES'!$L$2:$L$2501,$L2607,'AR SALES'!$AD$2:$AD$2501,"OFF"),2)=0,"","STALE")))</f>
        <v/>
      </c>
      <c r="BB2607" s="2" t="str">
        <f>IF(OR(""&amp;$F2607="2",""&amp;$F2607="4",""&amp;$F2607="G",""&amp;$F2607="H"),IF($AY2607="YES","",IF($AB2607&lt;&gt;0,"",IF(COUNTIFS('AR SALES'!$L$2:$L$2501,$L2607,'AR SALES'!$AD$2:$AD$2501,IF(""&amp;$F2607="4","OFF","ON"),'AR SALES'!$AF$2:$AF$2501,"Y")&gt;0,"","NO EXEMPTION"))),"")</f>
        <v/>
      </c>
    </row>
    <row r="2608" spans="46:54" x14ac:dyDescent="0.25">
      <c r="AT2608" s="2" t="str">
        <f>IF($L2608="","",IFERROR(INDEX('AR SALES'!$H$2:$H$2501,MATCH(""&amp;$L2608,'AR SALES'!$AE$2:$AE$2501,0)),""))</f>
        <v/>
      </c>
      <c r="AU2608" s="2" t="str">
        <f t="shared" si="160"/>
        <v/>
      </c>
      <c r="AV2608" s="2" t="str">
        <f t="shared" si="161"/>
        <v/>
      </c>
      <c r="AW2608" s="2" t="str">
        <f t="shared" si="162"/>
        <v/>
      </c>
      <c r="AX2608" s="2" t="str">
        <f t="shared" si="163"/>
        <v/>
      </c>
      <c r="AY2608" s="2" t="str">
        <f>IF($AV2608="","",IF(AND($Z2608=0,COUNTIF('AR SALES'!$L$2:$L$2501,$L2608)=0),"YES",""))</f>
        <v/>
      </c>
      <c r="AZ2608" s="2" t="str">
        <f>IF($AV2608="","",IF(COUNTIF(LISTS!$C$2:$C$250,$AU2608)=0,"NEW",""))</f>
        <v/>
      </c>
      <c r="BA2608" s="2" t="str">
        <f>IF(""&amp;$F2608&lt;&gt;"4","",IF($AY2608="YES","",IF(ROUND(SUMIFS($AE$2:$AE$4001,$L$2:$L$4001,$L2608,$F$2:$F$4001,"4")-SUMIFS('AR SALES'!$Y$2:$Y$2501,'AR SALES'!$L$2:$L$2501,$L2608,'AR SALES'!$AD$2:$AD$2501,"OFF"),2)=0,"","STALE")))</f>
        <v/>
      </c>
      <c r="BB2608" s="2" t="str">
        <f>IF(OR(""&amp;$F2608="2",""&amp;$F2608="4",""&amp;$F2608="G",""&amp;$F2608="H"),IF($AY2608="YES","",IF($AB2608&lt;&gt;0,"",IF(COUNTIFS('AR SALES'!$L$2:$L$2501,$L2608,'AR SALES'!$AD$2:$AD$2501,IF(""&amp;$F2608="4","OFF","ON"),'AR SALES'!$AF$2:$AF$2501,"Y")&gt;0,"","NO EXEMPTION"))),"")</f>
        <v/>
      </c>
    </row>
    <row r="2609" spans="46:54" x14ac:dyDescent="0.25">
      <c r="AT2609" s="2" t="str">
        <f>IF($L2609="","",IFERROR(INDEX('AR SALES'!$H$2:$H$2501,MATCH(""&amp;$L2609,'AR SALES'!$AE$2:$AE$2501,0)),""))</f>
        <v/>
      </c>
      <c r="AU2609" s="2" t="str">
        <f t="shared" si="160"/>
        <v/>
      </c>
      <c r="AV2609" s="2" t="str">
        <f t="shared" si="161"/>
        <v/>
      </c>
      <c r="AW2609" s="2" t="str">
        <f t="shared" si="162"/>
        <v/>
      </c>
      <c r="AX2609" s="2" t="str">
        <f t="shared" si="163"/>
        <v/>
      </c>
      <c r="AY2609" s="2" t="str">
        <f>IF($AV2609="","",IF(AND($Z2609=0,COUNTIF('AR SALES'!$L$2:$L$2501,$L2609)=0),"YES",""))</f>
        <v/>
      </c>
      <c r="AZ2609" s="2" t="str">
        <f>IF($AV2609="","",IF(COUNTIF(LISTS!$C$2:$C$250,$AU2609)=0,"NEW",""))</f>
        <v/>
      </c>
      <c r="BA2609" s="2" t="str">
        <f>IF(""&amp;$F2609&lt;&gt;"4","",IF($AY2609="YES","",IF(ROUND(SUMIFS($AE$2:$AE$4001,$L$2:$L$4001,$L2609,$F$2:$F$4001,"4")-SUMIFS('AR SALES'!$Y$2:$Y$2501,'AR SALES'!$L$2:$L$2501,$L2609,'AR SALES'!$AD$2:$AD$2501,"OFF"),2)=0,"","STALE")))</f>
        <v/>
      </c>
      <c r="BB2609" s="2" t="str">
        <f>IF(OR(""&amp;$F2609="2",""&amp;$F2609="4",""&amp;$F2609="G",""&amp;$F2609="H"),IF($AY2609="YES","",IF($AB2609&lt;&gt;0,"",IF(COUNTIFS('AR SALES'!$L$2:$L$2501,$L2609,'AR SALES'!$AD$2:$AD$2501,IF(""&amp;$F2609="4","OFF","ON"),'AR SALES'!$AF$2:$AF$2501,"Y")&gt;0,"","NO EXEMPTION"))),"")</f>
        <v/>
      </c>
    </row>
    <row r="2610" spans="46:54" x14ac:dyDescent="0.25">
      <c r="AT2610" s="2" t="str">
        <f>IF($L2610="","",IFERROR(INDEX('AR SALES'!$H$2:$H$2501,MATCH(""&amp;$L2610,'AR SALES'!$AE$2:$AE$2501,0)),""))</f>
        <v/>
      </c>
      <c r="AU2610" s="2" t="str">
        <f t="shared" si="160"/>
        <v/>
      </c>
      <c r="AV2610" s="2" t="str">
        <f t="shared" si="161"/>
        <v/>
      </c>
      <c r="AW2610" s="2" t="str">
        <f t="shared" si="162"/>
        <v/>
      </c>
      <c r="AX2610" s="2" t="str">
        <f t="shared" si="163"/>
        <v/>
      </c>
      <c r="AY2610" s="2" t="str">
        <f>IF($AV2610="","",IF(AND($Z2610=0,COUNTIF('AR SALES'!$L$2:$L$2501,$L2610)=0),"YES",""))</f>
        <v/>
      </c>
      <c r="AZ2610" s="2" t="str">
        <f>IF($AV2610="","",IF(COUNTIF(LISTS!$C$2:$C$250,$AU2610)=0,"NEW",""))</f>
        <v/>
      </c>
      <c r="BA2610" s="2" t="str">
        <f>IF(""&amp;$F2610&lt;&gt;"4","",IF($AY2610="YES","",IF(ROUND(SUMIFS($AE$2:$AE$4001,$L$2:$L$4001,$L2610,$F$2:$F$4001,"4")-SUMIFS('AR SALES'!$Y$2:$Y$2501,'AR SALES'!$L$2:$L$2501,$L2610,'AR SALES'!$AD$2:$AD$2501,"OFF"),2)=0,"","STALE")))</f>
        <v/>
      </c>
      <c r="BB2610" s="2" t="str">
        <f>IF(OR(""&amp;$F2610="2",""&amp;$F2610="4",""&amp;$F2610="G",""&amp;$F2610="H"),IF($AY2610="YES","",IF($AB2610&lt;&gt;0,"",IF(COUNTIFS('AR SALES'!$L$2:$L$2501,$L2610,'AR SALES'!$AD$2:$AD$2501,IF(""&amp;$F2610="4","OFF","ON"),'AR SALES'!$AF$2:$AF$2501,"Y")&gt;0,"","NO EXEMPTION"))),"")</f>
        <v/>
      </c>
    </row>
    <row r="2611" spans="46:54" x14ac:dyDescent="0.25">
      <c r="AT2611" s="2" t="str">
        <f>IF($L2611="","",IFERROR(INDEX('AR SALES'!$H$2:$H$2501,MATCH(""&amp;$L2611,'AR SALES'!$AE$2:$AE$2501,0)),""))</f>
        <v/>
      </c>
      <c r="AU2611" s="2" t="str">
        <f t="shared" si="160"/>
        <v/>
      </c>
      <c r="AV2611" s="2" t="str">
        <f t="shared" si="161"/>
        <v/>
      </c>
      <c r="AW2611" s="2" t="str">
        <f t="shared" si="162"/>
        <v/>
      </c>
      <c r="AX2611" s="2" t="str">
        <f t="shared" si="163"/>
        <v/>
      </c>
      <c r="AY2611" s="2" t="str">
        <f>IF($AV2611="","",IF(AND($Z2611=0,COUNTIF('AR SALES'!$L$2:$L$2501,$L2611)=0),"YES",""))</f>
        <v/>
      </c>
      <c r="AZ2611" s="2" t="str">
        <f>IF($AV2611="","",IF(COUNTIF(LISTS!$C$2:$C$250,$AU2611)=0,"NEW",""))</f>
        <v/>
      </c>
      <c r="BA2611" s="2" t="str">
        <f>IF(""&amp;$F2611&lt;&gt;"4","",IF($AY2611="YES","",IF(ROUND(SUMIFS($AE$2:$AE$4001,$L$2:$L$4001,$L2611,$F$2:$F$4001,"4")-SUMIFS('AR SALES'!$Y$2:$Y$2501,'AR SALES'!$L$2:$L$2501,$L2611,'AR SALES'!$AD$2:$AD$2501,"OFF"),2)=0,"","STALE")))</f>
        <v/>
      </c>
      <c r="BB2611" s="2" t="str">
        <f>IF(OR(""&amp;$F2611="2",""&amp;$F2611="4",""&amp;$F2611="G",""&amp;$F2611="H"),IF($AY2611="YES","",IF($AB2611&lt;&gt;0,"",IF(COUNTIFS('AR SALES'!$L$2:$L$2501,$L2611,'AR SALES'!$AD$2:$AD$2501,IF(""&amp;$F2611="4","OFF","ON"),'AR SALES'!$AF$2:$AF$2501,"Y")&gt;0,"","NO EXEMPTION"))),"")</f>
        <v/>
      </c>
    </row>
    <row r="2612" spans="46:54" x14ac:dyDescent="0.25">
      <c r="AT2612" s="2" t="str">
        <f>IF($L2612="","",IFERROR(INDEX('AR SALES'!$H$2:$H$2501,MATCH(""&amp;$L2612,'AR SALES'!$AE$2:$AE$2501,0)),""))</f>
        <v/>
      </c>
      <c r="AU2612" s="2" t="str">
        <f t="shared" si="160"/>
        <v/>
      </c>
      <c r="AV2612" s="2" t="str">
        <f t="shared" si="161"/>
        <v/>
      </c>
      <c r="AW2612" s="2" t="str">
        <f t="shared" si="162"/>
        <v/>
      </c>
      <c r="AX2612" s="2" t="str">
        <f t="shared" si="163"/>
        <v/>
      </c>
      <c r="AY2612" s="2" t="str">
        <f>IF($AV2612="","",IF(AND($Z2612=0,COUNTIF('AR SALES'!$L$2:$L$2501,$L2612)=0),"YES",""))</f>
        <v/>
      </c>
      <c r="AZ2612" s="2" t="str">
        <f>IF($AV2612="","",IF(COUNTIF(LISTS!$C$2:$C$250,$AU2612)=0,"NEW",""))</f>
        <v/>
      </c>
      <c r="BA2612" s="2" t="str">
        <f>IF(""&amp;$F2612&lt;&gt;"4","",IF($AY2612="YES","",IF(ROUND(SUMIFS($AE$2:$AE$4001,$L$2:$L$4001,$L2612,$F$2:$F$4001,"4")-SUMIFS('AR SALES'!$Y$2:$Y$2501,'AR SALES'!$L$2:$L$2501,$L2612,'AR SALES'!$AD$2:$AD$2501,"OFF"),2)=0,"","STALE")))</f>
        <v/>
      </c>
      <c r="BB2612" s="2" t="str">
        <f>IF(OR(""&amp;$F2612="2",""&amp;$F2612="4",""&amp;$F2612="G",""&amp;$F2612="H"),IF($AY2612="YES","",IF($AB2612&lt;&gt;0,"",IF(COUNTIFS('AR SALES'!$L$2:$L$2501,$L2612,'AR SALES'!$AD$2:$AD$2501,IF(""&amp;$F2612="4","OFF","ON"),'AR SALES'!$AF$2:$AF$2501,"Y")&gt;0,"","NO EXEMPTION"))),"")</f>
        <v/>
      </c>
    </row>
    <row r="2613" spans="46:54" x14ac:dyDescent="0.25">
      <c r="AT2613" s="2" t="str">
        <f>IF($L2613="","",IFERROR(INDEX('AR SALES'!$H$2:$H$2501,MATCH(""&amp;$L2613,'AR SALES'!$AE$2:$AE$2501,0)),""))</f>
        <v/>
      </c>
      <c r="AU2613" s="2" t="str">
        <f t="shared" si="160"/>
        <v/>
      </c>
      <c r="AV2613" s="2" t="str">
        <f t="shared" si="161"/>
        <v/>
      </c>
      <c r="AW2613" s="2" t="str">
        <f t="shared" si="162"/>
        <v/>
      </c>
      <c r="AX2613" s="2" t="str">
        <f t="shared" si="163"/>
        <v/>
      </c>
      <c r="AY2613" s="2" t="str">
        <f>IF($AV2613="","",IF(AND($Z2613=0,COUNTIF('AR SALES'!$L$2:$L$2501,$L2613)=0),"YES",""))</f>
        <v/>
      </c>
      <c r="AZ2613" s="2" t="str">
        <f>IF($AV2613="","",IF(COUNTIF(LISTS!$C$2:$C$250,$AU2613)=0,"NEW",""))</f>
        <v/>
      </c>
      <c r="BA2613" s="2" t="str">
        <f>IF(""&amp;$F2613&lt;&gt;"4","",IF($AY2613="YES","",IF(ROUND(SUMIFS($AE$2:$AE$4001,$L$2:$L$4001,$L2613,$F$2:$F$4001,"4")-SUMIFS('AR SALES'!$Y$2:$Y$2501,'AR SALES'!$L$2:$L$2501,$L2613,'AR SALES'!$AD$2:$AD$2501,"OFF"),2)=0,"","STALE")))</f>
        <v/>
      </c>
      <c r="BB2613" s="2" t="str">
        <f>IF(OR(""&amp;$F2613="2",""&amp;$F2613="4",""&amp;$F2613="G",""&amp;$F2613="H"),IF($AY2613="YES","",IF($AB2613&lt;&gt;0,"",IF(COUNTIFS('AR SALES'!$L$2:$L$2501,$L2613,'AR SALES'!$AD$2:$AD$2501,IF(""&amp;$F2613="4","OFF","ON"),'AR SALES'!$AF$2:$AF$2501,"Y")&gt;0,"","NO EXEMPTION"))),"")</f>
        <v/>
      </c>
    </row>
    <row r="2614" spans="46:54" x14ac:dyDescent="0.25">
      <c r="AT2614" s="2" t="str">
        <f>IF($L2614="","",IFERROR(INDEX('AR SALES'!$H$2:$H$2501,MATCH(""&amp;$L2614,'AR SALES'!$AE$2:$AE$2501,0)),""))</f>
        <v/>
      </c>
      <c r="AU2614" s="2" t="str">
        <f t="shared" si="160"/>
        <v/>
      </c>
      <c r="AV2614" s="2" t="str">
        <f t="shared" si="161"/>
        <v/>
      </c>
      <c r="AW2614" s="2" t="str">
        <f t="shared" si="162"/>
        <v/>
      </c>
      <c r="AX2614" s="2" t="str">
        <f t="shared" si="163"/>
        <v/>
      </c>
      <c r="AY2614" s="2" t="str">
        <f>IF($AV2614="","",IF(AND($Z2614=0,COUNTIF('AR SALES'!$L$2:$L$2501,$L2614)=0),"YES",""))</f>
        <v/>
      </c>
      <c r="AZ2614" s="2" t="str">
        <f>IF($AV2614="","",IF(COUNTIF(LISTS!$C$2:$C$250,$AU2614)=0,"NEW",""))</f>
        <v/>
      </c>
      <c r="BA2614" s="2" t="str">
        <f>IF(""&amp;$F2614&lt;&gt;"4","",IF($AY2614="YES","",IF(ROUND(SUMIFS($AE$2:$AE$4001,$L$2:$L$4001,$L2614,$F$2:$F$4001,"4")-SUMIFS('AR SALES'!$Y$2:$Y$2501,'AR SALES'!$L$2:$L$2501,$L2614,'AR SALES'!$AD$2:$AD$2501,"OFF"),2)=0,"","STALE")))</f>
        <v/>
      </c>
      <c r="BB2614" s="2" t="str">
        <f>IF(OR(""&amp;$F2614="2",""&amp;$F2614="4",""&amp;$F2614="G",""&amp;$F2614="H"),IF($AY2614="YES","",IF($AB2614&lt;&gt;0,"",IF(COUNTIFS('AR SALES'!$L$2:$L$2501,$L2614,'AR SALES'!$AD$2:$AD$2501,IF(""&amp;$F2614="4","OFF","ON"),'AR SALES'!$AF$2:$AF$2501,"Y")&gt;0,"","NO EXEMPTION"))),"")</f>
        <v/>
      </c>
    </row>
    <row r="2615" spans="46:54" x14ac:dyDescent="0.25">
      <c r="AT2615" s="2" t="str">
        <f>IF($L2615="","",IFERROR(INDEX('AR SALES'!$H$2:$H$2501,MATCH(""&amp;$L2615,'AR SALES'!$AE$2:$AE$2501,0)),""))</f>
        <v/>
      </c>
      <c r="AU2615" s="2" t="str">
        <f t="shared" si="160"/>
        <v/>
      </c>
      <c r="AV2615" s="2" t="str">
        <f t="shared" si="161"/>
        <v/>
      </c>
      <c r="AW2615" s="2" t="str">
        <f t="shared" si="162"/>
        <v/>
      </c>
      <c r="AX2615" s="2" t="str">
        <f t="shared" si="163"/>
        <v/>
      </c>
      <c r="AY2615" s="2" t="str">
        <f>IF($AV2615="","",IF(AND($Z2615=0,COUNTIF('AR SALES'!$L$2:$L$2501,$L2615)=0),"YES",""))</f>
        <v/>
      </c>
      <c r="AZ2615" s="2" t="str">
        <f>IF($AV2615="","",IF(COUNTIF(LISTS!$C$2:$C$250,$AU2615)=0,"NEW",""))</f>
        <v/>
      </c>
      <c r="BA2615" s="2" t="str">
        <f>IF(""&amp;$F2615&lt;&gt;"4","",IF($AY2615="YES","",IF(ROUND(SUMIFS($AE$2:$AE$4001,$L$2:$L$4001,$L2615,$F$2:$F$4001,"4")-SUMIFS('AR SALES'!$Y$2:$Y$2501,'AR SALES'!$L$2:$L$2501,$L2615,'AR SALES'!$AD$2:$AD$2501,"OFF"),2)=0,"","STALE")))</f>
        <v/>
      </c>
      <c r="BB2615" s="2" t="str">
        <f>IF(OR(""&amp;$F2615="2",""&amp;$F2615="4",""&amp;$F2615="G",""&amp;$F2615="H"),IF($AY2615="YES","",IF($AB2615&lt;&gt;0,"",IF(COUNTIFS('AR SALES'!$L$2:$L$2501,$L2615,'AR SALES'!$AD$2:$AD$2501,IF(""&amp;$F2615="4","OFF","ON"),'AR SALES'!$AF$2:$AF$2501,"Y")&gt;0,"","NO EXEMPTION"))),"")</f>
        <v/>
      </c>
    </row>
    <row r="2616" spans="46:54" x14ac:dyDescent="0.25">
      <c r="AT2616" s="2" t="str">
        <f>IF($L2616="","",IFERROR(INDEX('AR SALES'!$H$2:$H$2501,MATCH(""&amp;$L2616,'AR SALES'!$AE$2:$AE$2501,0)),""))</f>
        <v/>
      </c>
      <c r="AU2616" s="2" t="str">
        <f t="shared" si="160"/>
        <v/>
      </c>
      <c r="AV2616" s="2" t="str">
        <f t="shared" si="161"/>
        <v/>
      </c>
      <c r="AW2616" s="2" t="str">
        <f t="shared" si="162"/>
        <v/>
      </c>
      <c r="AX2616" s="2" t="str">
        <f t="shared" si="163"/>
        <v/>
      </c>
      <c r="AY2616" s="2" t="str">
        <f>IF($AV2616="","",IF(AND($Z2616=0,COUNTIF('AR SALES'!$L$2:$L$2501,$L2616)=0),"YES",""))</f>
        <v/>
      </c>
      <c r="AZ2616" s="2" t="str">
        <f>IF($AV2616="","",IF(COUNTIF(LISTS!$C$2:$C$250,$AU2616)=0,"NEW",""))</f>
        <v/>
      </c>
      <c r="BA2616" s="2" t="str">
        <f>IF(""&amp;$F2616&lt;&gt;"4","",IF($AY2616="YES","",IF(ROUND(SUMIFS($AE$2:$AE$4001,$L$2:$L$4001,$L2616,$F$2:$F$4001,"4")-SUMIFS('AR SALES'!$Y$2:$Y$2501,'AR SALES'!$L$2:$L$2501,$L2616,'AR SALES'!$AD$2:$AD$2501,"OFF"),2)=0,"","STALE")))</f>
        <v/>
      </c>
      <c r="BB2616" s="2" t="str">
        <f>IF(OR(""&amp;$F2616="2",""&amp;$F2616="4",""&amp;$F2616="G",""&amp;$F2616="H"),IF($AY2616="YES","",IF($AB2616&lt;&gt;0,"",IF(COUNTIFS('AR SALES'!$L$2:$L$2501,$L2616,'AR SALES'!$AD$2:$AD$2501,IF(""&amp;$F2616="4","OFF","ON"),'AR SALES'!$AF$2:$AF$2501,"Y")&gt;0,"","NO EXEMPTION"))),"")</f>
        <v/>
      </c>
    </row>
    <row r="2617" spans="46:54" x14ac:dyDescent="0.25">
      <c r="AT2617" s="2" t="str">
        <f>IF($L2617="","",IFERROR(INDEX('AR SALES'!$H$2:$H$2501,MATCH(""&amp;$L2617,'AR SALES'!$AE$2:$AE$2501,0)),""))</f>
        <v/>
      </c>
      <c r="AU2617" s="2" t="str">
        <f t="shared" si="160"/>
        <v/>
      </c>
      <c r="AV2617" s="2" t="str">
        <f t="shared" si="161"/>
        <v/>
      </c>
      <c r="AW2617" s="2" t="str">
        <f t="shared" si="162"/>
        <v/>
      </c>
      <c r="AX2617" s="2" t="str">
        <f t="shared" si="163"/>
        <v/>
      </c>
      <c r="AY2617" s="2" t="str">
        <f>IF($AV2617="","",IF(AND($Z2617=0,COUNTIF('AR SALES'!$L$2:$L$2501,$L2617)=0),"YES",""))</f>
        <v/>
      </c>
      <c r="AZ2617" s="2" t="str">
        <f>IF($AV2617="","",IF(COUNTIF(LISTS!$C$2:$C$250,$AU2617)=0,"NEW",""))</f>
        <v/>
      </c>
      <c r="BA2617" s="2" t="str">
        <f>IF(""&amp;$F2617&lt;&gt;"4","",IF($AY2617="YES","",IF(ROUND(SUMIFS($AE$2:$AE$4001,$L$2:$L$4001,$L2617,$F$2:$F$4001,"4")-SUMIFS('AR SALES'!$Y$2:$Y$2501,'AR SALES'!$L$2:$L$2501,$L2617,'AR SALES'!$AD$2:$AD$2501,"OFF"),2)=0,"","STALE")))</f>
        <v/>
      </c>
      <c r="BB2617" s="2" t="str">
        <f>IF(OR(""&amp;$F2617="2",""&amp;$F2617="4",""&amp;$F2617="G",""&amp;$F2617="H"),IF($AY2617="YES","",IF($AB2617&lt;&gt;0,"",IF(COUNTIFS('AR SALES'!$L$2:$L$2501,$L2617,'AR SALES'!$AD$2:$AD$2501,IF(""&amp;$F2617="4","OFF","ON"),'AR SALES'!$AF$2:$AF$2501,"Y")&gt;0,"","NO EXEMPTION"))),"")</f>
        <v/>
      </c>
    </row>
    <row r="2618" spans="46:54" x14ac:dyDescent="0.25">
      <c r="AT2618" s="2" t="str">
        <f>IF($L2618="","",IFERROR(INDEX('AR SALES'!$H$2:$H$2501,MATCH(""&amp;$L2618,'AR SALES'!$AE$2:$AE$2501,0)),""))</f>
        <v/>
      </c>
      <c r="AU2618" s="2" t="str">
        <f t="shared" si="160"/>
        <v/>
      </c>
      <c r="AV2618" s="2" t="str">
        <f t="shared" si="161"/>
        <v/>
      </c>
      <c r="AW2618" s="2" t="str">
        <f t="shared" si="162"/>
        <v/>
      </c>
      <c r="AX2618" s="2" t="str">
        <f t="shared" si="163"/>
        <v/>
      </c>
      <c r="AY2618" s="2" t="str">
        <f>IF($AV2618="","",IF(AND($Z2618=0,COUNTIF('AR SALES'!$L$2:$L$2501,$L2618)=0),"YES",""))</f>
        <v/>
      </c>
      <c r="AZ2618" s="2" t="str">
        <f>IF($AV2618="","",IF(COUNTIF(LISTS!$C$2:$C$250,$AU2618)=0,"NEW",""))</f>
        <v/>
      </c>
      <c r="BA2618" s="2" t="str">
        <f>IF(""&amp;$F2618&lt;&gt;"4","",IF($AY2618="YES","",IF(ROUND(SUMIFS($AE$2:$AE$4001,$L$2:$L$4001,$L2618,$F$2:$F$4001,"4")-SUMIFS('AR SALES'!$Y$2:$Y$2501,'AR SALES'!$L$2:$L$2501,$L2618,'AR SALES'!$AD$2:$AD$2501,"OFF"),2)=0,"","STALE")))</f>
        <v/>
      </c>
      <c r="BB2618" s="2" t="str">
        <f>IF(OR(""&amp;$F2618="2",""&amp;$F2618="4",""&amp;$F2618="G",""&amp;$F2618="H"),IF($AY2618="YES","",IF($AB2618&lt;&gt;0,"",IF(COUNTIFS('AR SALES'!$L$2:$L$2501,$L2618,'AR SALES'!$AD$2:$AD$2501,IF(""&amp;$F2618="4","OFF","ON"),'AR SALES'!$AF$2:$AF$2501,"Y")&gt;0,"","NO EXEMPTION"))),"")</f>
        <v/>
      </c>
    </row>
    <row r="2619" spans="46:54" x14ac:dyDescent="0.25">
      <c r="AT2619" s="2" t="str">
        <f>IF($L2619="","",IFERROR(INDEX('AR SALES'!$H$2:$H$2501,MATCH(""&amp;$L2619,'AR SALES'!$AE$2:$AE$2501,0)),""))</f>
        <v/>
      </c>
      <c r="AU2619" s="2" t="str">
        <f t="shared" si="160"/>
        <v/>
      </c>
      <c r="AV2619" s="2" t="str">
        <f t="shared" si="161"/>
        <v/>
      </c>
      <c r="AW2619" s="2" t="str">
        <f t="shared" si="162"/>
        <v/>
      </c>
      <c r="AX2619" s="2" t="str">
        <f t="shared" si="163"/>
        <v/>
      </c>
      <c r="AY2619" s="2" t="str">
        <f>IF($AV2619="","",IF(AND($Z2619=0,COUNTIF('AR SALES'!$L$2:$L$2501,$L2619)=0),"YES",""))</f>
        <v/>
      </c>
      <c r="AZ2619" s="2" t="str">
        <f>IF($AV2619="","",IF(COUNTIF(LISTS!$C$2:$C$250,$AU2619)=0,"NEW",""))</f>
        <v/>
      </c>
      <c r="BA2619" s="2" t="str">
        <f>IF(""&amp;$F2619&lt;&gt;"4","",IF($AY2619="YES","",IF(ROUND(SUMIFS($AE$2:$AE$4001,$L$2:$L$4001,$L2619,$F$2:$F$4001,"4")-SUMIFS('AR SALES'!$Y$2:$Y$2501,'AR SALES'!$L$2:$L$2501,$L2619,'AR SALES'!$AD$2:$AD$2501,"OFF"),2)=0,"","STALE")))</f>
        <v/>
      </c>
      <c r="BB2619" s="2" t="str">
        <f>IF(OR(""&amp;$F2619="2",""&amp;$F2619="4",""&amp;$F2619="G",""&amp;$F2619="H"),IF($AY2619="YES","",IF($AB2619&lt;&gt;0,"",IF(COUNTIFS('AR SALES'!$L$2:$L$2501,$L2619,'AR SALES'!$AD$2:$AD$2501,IF(""&amp;$F2619="4","OFF","ON"),'AR SALES'!$AF$2:$AF$2501,"Y")&gt;0,"","NO EXEMPTION"))),"")</f>
        <v/>
      </c>
    </row>
    <row r="2620" spans="46:54" x14ac:dyDescent="0.25">
      <c r="AT2620" s="2" t="str">
        <f>IF($L2620="","",IFERROR(INDEX('AR SALES'!$H$2:$H$2501,MATCH(""&amp;$L2620,'AR SALES'!$AE$2:$AE$2501,0)),""))</f>
        <v/>
      </c>
      <c r="AU2620" s="2" t="str">
        <f t="shared" si="160"/>
        <v/>
      </c>
      <c r="AV2620" s="2" t="str">
        <f t="shared" si="161"/>
        <v/>
      </c>
      <c r="AW2620" s="2" t="str">
        <f t="shared" si="162"/>
        <v/>
      </c>
      <c r="AX2620" s="2" t="str">
        <f t="shared" si="163"/>
        <v/>
      </c>
      <c r="AY2620" s="2" t="str">
        <f>IF($AV2620="","",IF(AND($Z2620=0,COUNTIF('AR SALES'!$L$2:$L$2501,$L2620)=0),"YES",""))</f>
        <v/>
      </c>
      <c r="AZ2620" s="2" t="str">
        <f>IF($AV2620="","",IF(COUNTIF(LISTS!$C$2:$C$250,$AU2620)=0,"NEW",""))</f>
        <v/>
      </c>
      <c r="BA2620" s="2" t="str">
        <f>IF(""&amp;$F2620&lt;&gt;"4","",IF($AY2620="YES","",IF(ROUND(SUMIFS($AE$2:$AE$4001,$L$2:$L$4001,$L2620,$F$2:$F$4001,"4")-SUMIFS('AR SALES'!$Y$2:$Y$2501,'AR SALES'!$L$2:$L$2501,$L2620,'AR SALES'!$AD$2:$AD$2501,"OFF"),2)=0,"","STALE")))</f>
        <v/>
      </c>
      <c r="BB2620" s="2" t="str">
        <f>IF(OR(""&amp;$F2620="2",""&amp;$F2620="4",""&amp;$F2620="G",""&amp;$F2620="H"),IF($AY2620="YES","",IF($AB2620&lt;&gt;0,"",IF(COUNTIFS('AR SALES'!$L$2:$L$2501,$L2620,'AR SALES'!$AD$2:$AD$2501,IF(""&amp;$F2620="4","OFF","ON"),'AR SALES'!$AF$2:$AF$2501,"Y")&gt;0,"","NO EXEMPTION"))),"")</f>
        <v/>
      </c>
    </row>
    <row r="2621" spans="46:54" x14ac:dyDescent="0.25">
      <c r="AT2621" s="2" t="str">
        <f>IF($L2621="","",IFERROR(INDEX('AR SALES'!$H$2:$H$2501,MATCH(""&amp;$L2621,'AR SALES'!$AE$2:$AE$2501,0)),""))</f>
        <v/>
      </c>
      <c r="AU2621" s="2" t="str">
        <f t="shared" si="160"/>
        <v/>
      </c>
      <c r="AV2621" s="2" t="str">
        <f t="shared" si="161"/>
        <v/>
      </c>
      <c r="AW2621" s="2" t="str">
        <f t="shared" si="162"/>
        <v/>
      </c>
      <c r="AX2621" s="2" t="str">
        <f t="shared" si="163"/>
        <v/>
      </c>
      <c r="AY2621" s="2" t="str">
        <f>IF($AV2621="","",IF(AND($Z2621=0,COUNTIF('AR SALES'!$L$2:$L$2501,$L2621)=0),"YES",""))</f>
        <v/>
      </c>
      <c r="AZ2621" s="2" t="str">
        <f>IF($AV2621="","",IF(COUNTIF(LISTS!$C$2:$C$250,$AU2621)=0,"NEW",""))</f>
        <v/>
      </c>
      <c r="BA2621" s="2" t="str">
        <f>IF(""&amp;$F2621&lt;&gt;"4","",IF($AY2621="YES","",IF(ROUND(SUMIFS($AE$2:$AE$4001,$L$2:$L$4001,$L2621,$F$2:$F$4001,"4")-SUMIFS('AR SALES'!$Y$2:$Y$2501,'AR SALES'!$L$2:$L$2501,$L2621,'AR SALES'!$AD$2:$AD$2501,"OFF"),2)=0,"","STALE")))</f>
        <v/>
      </c>
      <c r="BB2621" s="2" t="str">
        <f>IF(OR(""&amp;$F2621="2",""&amp;$F2621="4",""&amp;$F2621="G",""&amp;$F2621="H"),IF($AY2621="YES","",IF($AB2621&lt;&gt;0,"",IF(COUNTIFS('AR SALES'!$L$2:$L$2501,$L2621,'AR SALES'!$AD$2:$AD$2501,IF(""&amp;$F2621="4","OFF","ON"),'AR SALES'!$AF$2:$AF$2501,"Y")&gt;0,"","NO EXEMPTION"))),"")</f>
        <v/>
      </c>
    </row>
    <row r="2622" spans="46:54" x14ac:dyDescent="0.25">
      <c r="AT2622" s="2" t="str">
        <f>IF($L2622="","",IFERROR(INDEX('AR SALES'!$H$2:$H$2501,MATCH(""&amp;$L2622,'AR SALES'!$AE$2:$AE$2501,0)),""))</f>
        <v/>
      </c>
      <c r="AU2622" s="2" t="str">
        <f t="shared" si="160"/>
        <v/>
      </c>
      <c r="AV2622" s="2" t="str">
        <f t="shared" si="161"/>
        <v/>
      </c>
      <c r="AW2622" s="2" t="str">
        <f t="shared" si="162"/>
        <v/>
      </c>
      <c r="AX2622" s="2" t="str">
        <f t="shared" si="163"/>
        <v/>
      </c>
      <c r="AY2622" s="2" t="str">
        <f>IF($AV2622="","",IF(AND($Z2622=0,COUNTIF('AR SALES'!$L$2:$L$2501,$L2622)=0),"YES",""))</f>
        <v/>
      </c>
      <c r="AZ2622" s="2" t="str">
        <f>IF($AV2622="","",IF(COUNTIF(LISTS!$C$2:$C$250,$AU2622)=0,"NEW",""))</f>
        <v/>
      </c>
      <c r="BA2622" s="2" t="str">
        <f>IF(""&amp;$F2622&lt;&gt;"4","",IF($AY2622="YES","",IF(ROUND(SUMIFS($AE$2:$AE$4001,$L$2:$L$4001,$L2622,$F$2:$F$4001,"4")-SUMIFS('AR SALES'!$Y$2:$Y$2501,'AR SALES'!$L$2:$L$2501,$L2622,'AR SALES'!$AD$2:$AD$2501,"OFF"),2)=0,"","STALE")))</f>
        <v/>
      </c>
      <c r="BB2622" s="2" t="str">
        <f>IF(OR(""&amp;$F2622="2",""&amp;$F2622="4",""&amp;$F2622="G",""&amp;$F2622="H"),IF($AY2622="YES","",IF($AB2622&lt;&gt;0,"",IF(COUNTIFS('AR SALES'!$L$2:$L$2501,$L2622,'AR SALES'!$AD$2:$AD$2501,IF(""&amp;$F2622="4","OFF","ON"),'AR SALES'!$AF$2:$AF$2501,"Y")&gt;0,"","NO EXEMPTION"))),"")</f>
        <v/>
      </c>
    </row>
    <row r="2623" spans="46:54" x14ac:dyDescent="0.25">
      <c r="AT2623" s="2" t="str">
        <f>IF($L2623="","",IFERROR(INDEX('AR SALES'!$H$2:$H$2501,MATCH(""&amp;$L2623,'AR SALES'!$AE$2:$AE$2501,0)),""))</f>
        <v/>
      </c>
      <c r="AU2623" s="2" t="str">
        <f t="shared" si="160"/>
        <v/>
      </c>
      <c r="AV2623" s="2" t="str">
        <f t="shared" si="161"/>
        <v/>
      </c>
      <c r="AW2623" s="2" t="str">
        <f t="shared" si="162"/>
        <v/>
      </c>
      <c r="AX2623" s="2" t="str">
        <f t="shared" si="163"/>
        <v/>
      </c>
      <c r="AY2623" s="2" t="str">
        <f>IF($AV2623="","",IF(AND($Z2623=0,COUNTIF('AR SALES'!$L$2:$L$2501,$L2623)=0),"YES",""))</f>
        <v/>
      </c>
      <c r="AZ2623" s="2" t="str">
        <f>IF($AV2623="","",IF(COUNTIF(LISTS!$C$2:$C$250,$AU2623)=0,"NEW",""))</f>
        <v/>
      </c>
      <c r="BA2623" s="2" t="str">
        <f>IF(""&amp;$F2623&lt;&gt;"4","",IF($AY2623="YES","",IF(ROUND(SUMIFS($AE$2:$AE$4001,$L$2:$L$4001,$L2623,$F$2:$F$4001,"4")-SUMIFS('AR SALES'!$Y$2:$Y$2501,'AR SALES'!$L$2:$L$2501,$L2623,'AR SALES'!$AD$2:$AD$2501,"OFF"),2)=0,"","STALE")))</f>
        <v/>
      </c>
      <c r="BB2623" s="2" t="str">
        <f>IF(OR(""&amp;$F2623="2",""&amp;$F2623="4",""&amp;$F2623="G",""&amp;$F2623="H"),IF($AY2623="YES","",IF($AB2623&lt;&gt;0,"",IF(COUNTIFS('AR SALES'!$L$2:$L$2501,$L2623,'AR SALES'!$AD$2:$AD$2501,IF(""&amp;$F2623="4","OFF","ON"),'AR SALES'!$AF$2:$AF$2501,"Y")&gt;0,"","NO EXEMPTION"))),"")</f>
        <v/>
      </c>
    </row>
    <row r="2624" spans="46:54" x14ac:dyDescent="0.25">
      <c r="AT2624" s="2" t="str">
        <f>IF($L2624="","",IFERROR(INDEX('AR SALES'!$H$2:$H$2501,MATCH(""&amp;$L2624,'AR SALES'!$AE$2:$AE$2501,0)),""))</f>
        <v/>
      </c>
      <c r="AU2624" s="2" t="str">
        <f t="shared" si="160"/>
        <v/>
      </c>
      <c r="AV2624" s="2" t="str">
        <f t="shared" si="161"/>
        <v/>
      </c>
      <c r="AW2624" s="2" t="str">
        <f t="shared" si="162"/>
        <v/>
      </c>
      <c r="AX2624" s="2" t="str">
        <f t="shared" si="163"/>
        <v/>
      </c>
      <c r="AY2624" s="2" t="str">
        <f>IF($AV2624="","",IF(AND($Z2624=0,COUNTIF('AR SALES'!$L$2:$L$2501,$L2624)=0),"YES",""))</f>
        <v/>
      </c>
      <c r="AZ2624" s="2" t="str">
        <f>IF($AV2624="","",IF(COUNTIF(LISTS!$C$2:$C$250,$AU2624)=0,"NEW",""))</f>
        <v/>
      </c>
      <c r="BA2624" s="2" t="str">
        <f>IF(""&amp;$F2624&lt;&gt;"4","",IF($AY2624="YES","",IF(ROUND(SUMIFS($AE$2:$AE$4001,$L$2:$L$4001,$L2624,$F$2:$F$4001,"4")-SUMIFS('AR SALES'!$Y$2:$Y$2501,'AR SALES'!$L$2:$L$2501,$L2624,'AR SALES'!$AD$2:$AD$2501,"OFF"),2)=0,"","STALE")))</f>
        <v/>
      </c>
      <c r="BB2624" s="2" t="str">
        <f>IF(OR(""&amp;$F2624="2",""&amp;$F2624="4",""&amp;$F2624="G",""&amp;$F2624="H"),IF($AY2624="YES","",IF($AB2624&lt;&gt;0,"",IF(COUNTIFS('AR SALES'!$L$2:$L$2501,$L2624,'AR SALES'!$AD$2:$AD$2501,IF(""&amp;$F2624="4","OFF","ON"),'AR SALES'!$AF$2:$AF$2501,"Y")&gt;0,"","NO EXEMPTION"))),"")</f>
        <v/>
      </c>
    </row>
    <row r="2625" spans="46:54" x14ac:dyDescent="0.25">
      <c r="AT2625" s="2" t="str">
        <f>IF($L2625="","",IFERROR(INDEX('AR SALES'!$H$2:$H$2501,MATCH(""&amp;$L2625,'AR SALES'!$AE$2:$AE$2501,0)),""))</f>
        <v/>
      </c>
      <c r="AU2625" s="2" t="str">
        <f t="shared" si="160"/>
        <v/>
      </c>
      <c r="AV2625" s="2" t="str">
        <f t="shared" si="161"/>
        <v/>
      </c>
      <c r="AW2625" s="2" t="str">
        <f t="shared" si="162"/>
        <v/>
      </c>
      <c r="AX2625" s="2" t="str">
        <f t="shared" si="163"/>
        <v/>
      </c>
      <c r="AY2625" s="2" t="str">
        <f>IF($AV2625="","",IF(AND($Z2625=0,COUNTIF('AR SALES'!$L$2:$L$2501,$L2625)=0),"YES",""))</f>
        <v/>
      </c>
      <c r="AZ2625" s="2" t="str">
        <f>IF($AV2625="","",IF(COUNTIF(LISTS!$C$2:$C$250,$AU2625)=0,"NEW",""))</f>
        <v/>
      </c>
      <c r="BA2625" s="2" t="str">
        <f>IF(""&amp;$F2625&lt;&gt;"4","",IF($AY2625="YES","",IF(ROUND(SUMIFS($AE$2:$AE$4001,$L$2:$L$4001,$L2625,$F$2:$F$4001,"4")-SUMIFS('AR SALES'!$Y$2:$Y$2501,'AR SALES'!$L$2:$L$2501,$L2625,'AR SALES'!$AD$2:$AD$2501,"OFF"),2)=0,"","STALE")))</f>
        <v/>
      </c>
      <c r="BB2625" s="2" t="str">
        <f>IF(OR(""&amp;$F2625="2",""&amp;$F2625="4",""&amp;$F2625="G",""&amp;$F2625="H"),IF($AY2625="YES","",IF($AB2625&lt;&gt;0,"",IF(COUNTIFS('AR SALES'!$L$2:$L$2501,$L2625,'AR SALES'!$AD$2:$AD$2501,IF(""&amp;$F2625="4","OFF","ON"),'AR SALES'!$AF$2:$AF$2501,"Y")&gt;0,"","NO EXEMPTION"))),"")</f>
        <v/>
      </c>
    </row>
    <row r="2626" spans="46:54" x14ac:dyDescent="0.25">
      <c r="AT2626" s="2" t="str">
        <f>IF($L2626="","",IFERROR(INDEX('AR SALES'!$H$2:$H$2501,MATCH(""&amp;$L2626,'AR SALES'!$AE$2:$AE$2501,0)),""))</f>
        <v/>
      </c>
      <c r="AU2626" s="2" t="str">
        <f t="shared" ref="AU2626:AU2689" si="164">IF($L2626="","",IF($A2626&lt;&gt;"GA","",IF($E2626="FULTON",IF(ISNUMBER(SEARCH("COLLEGE PARK",$AT2626)),"FULTON (COLLEGE PARK)",IF(ISNUMBER(SEARCH("ATLANTA CITY",$AT2626)),"FULTON (ATL LIMITS)","FULTON")),IF($E2626="DEKALB",IF(ISNUMBER(SEARCH("ATLANTA CITY",$AT2626)),"DEKALB (ATL LIMITS)","DEKALB"),$E2626))))</f>
        <v/>
      </c>
      <c r="AV2626" s="2" t="str">
        <f t="shared" ref="AV2626:AV2689" si="165">IF($L2626="","",IF(""&amp;$F2626="2","DIESEL",IF(OR(""&amp;$F2626="G",""&amp;$F2626="H"),"GAS","")))</f>
        <v/>
      </c>
      <c r="AW2626" s="2" t="str">
        <f t="shared" ref="AW2626:AW2689" si="166">IF($AV2626="","",$R2626)</f>
        <v/>
      </c>
      <c r="AX2626" s="2" t="str">
        <f t="shared" ref="AX2626:AX2689" si="167">IF($AV2626="","",IF($AB2626=0,$R2626,0))</f>
        <v/>
      </c>
      <c r="AY2626" s="2" t="str">
        <f>IF($AV2626="","",IF(AND($Z2626=0,COUNTIF('AR SALES'!$L$2:$L$2501,$L2626)=0),"YES",""))</f>
        <v/>
      </c>
      <c r="AZ2626" s="2" t="str">
        <f>IF($AV2626="","",IF(COUNTIF(LISTS!$C$2:$C$250,$AU2626)=0,"NEW",""))</f>
        <v/>
      </c>
      <c r="BA2626" s="2" t="str">
        <f>IF(""&amp;$F2626&lt;&gt;"4","",IF($AY2626="YES","",IF(ROUND(SUMIFS($AE$2:$AE$4001,$L$2:$L$4001,$L2626,$F$2:$F$4001,"4")-SUMIFS('AR SALES'!$Y$2:$Y$2501,'AR SALES'!$L$2:$L$2501,$L2626,'AR SALES'!$AD$2:$AD$2501,"OFF"),2)=0,"","STALE")))</f>
        <v/>
      </c>
      <c r="BB2626" s="2" t="str">
        <f>IF(OR(""&amp;$F2626="2",""&amp;$F2626="4",""&amp;$F2626="G",""&amp;$F2626="H"),IF($AY2626="YES","",IF($AB2626&lt;&gt;0,"",IF(COUNTIFS('AR SALES'!$L$2:$L$2501,$L2626,'AR SALES'!$AD$2:$AD$2501,IF(""&amp;$F2626="4","OFF","ON"),'AR SALES'!$AF$2:$AF$2501,"Y")&gt;0,"","NO EXEMPTION"))),"")</f>
        <v/>
      </c>
    </row>
    <row r="2627" spans="46:54" x14ac:dyDescent="0.25">
      <c r="AT2627" s="2" t="str">
        <f>IF($L2627="","",IFERROR(INDEX('AR SALES'!$H$2:$H$2501,MATCH(""&amp;$L2627,'AR SALES'!$AE$2:$AE$2501,0)),""))</f>
        <v/>
      </c>
      <c r="AU2627" s="2" t="str">
        <f t="shared" si="164"/>
        <v/>
      </c>
      <c r="AV2627" s="2" t="str">
        <f t="shared" si="165"/>
        <v/>
      </c>
      <c r="AW2627" s="2" t="str">
        <f t="shared" si="166"/>
        <v/>
      </c>
      <c r="AX2627" s="2" t="str">
        <f t="shared" si="167"/>
        <v/>
      </c>
      <c r="AY2627" s="2" t="str">
        <f>IF($AV2627="","",IF(AND($Z2627=0,COUNTIF('AR SALES'!$L$2:$L$2501,$L2627)=0),"YES",""))</f>
        <v/>
      </c>
      <c r="AZ2627" s="2" t="str">
        <f>IF($AV2627="","",IF(COUNTIF(LISTS!$C$2:$C$250,$AU2627)=0,"NEW",""))</f>
        <v/>
      </c>
      <c r="BA2627" s="2" t="str">
        <f>IF(""&amp;$F2627&lt;&gt;"4","",IF($AY2627="YES","",IF(ROUND(SUMIFS($AE$2:$AE$4001,$L$2:$L$4001,$L2627,$F$2:$F$4001,"4")-SUMIFS('AR SALES'!$Y$2:$Y$2501,'AR SALES'!$L$2:$L$2501,$L2627,'AR SALES'!$AD$2:$AD$2501,"OFF"),2)=0,"","STALE")))</f>
        <v/>
      </c>
      <c r="BB2627" s="2" t="str">
        <f>IF(OR(""&amp;$F2627="2",""&amp;$F2627="4",""&amp;$F2627="G",""&amp;$F2627="H"),IF($AY2627="YES","",IF($AB2627&lt;&gt;0,"",IF(COUNTIFS('AR SALES'!$L$2:$L$2501,$L2627,'AR SALES'!$AD$2:$AD$2501,IF(""&amp;$F2627="4","OFF","ON"),'AR SALES'!$AF$2:$AF$2501,"Y")&gt;0,"","NO EXEMPTION"))),"")</f>
        <v/>
      </c>
    </row>
    <row r="2628" spans="46:54" x14ac:dyDescent="0.25">
      <c r="AT2628" s="2" t="str">
        <f>IF($L2628="","",IFERROR(INDEX('AR SALES'!$H$2:$H$2501,MATCH(""&amp;$L2628,'AR SALES'!$AE$2:$AE$2501,0)),""))</f>
        <v/>
      </c>
      <c r="AU2628" s="2" t="str">
        <f t="shared" si="164"/>
        <v/>
      </c>
      <c r="AV2628" s="2" t="str">
        <f t="shared" si="165"/>
        <v/>
      </c>
      <c r="AW2628" s="2" t="str">
        <f t="shared" si="166"/>
        <v/>
      </c>
      <c r="AX2628" s="2" t="str">
        <f t="shared" si="167"/>
        <v/>
      </c>
      <c r="AY2628" s="2" t="str">
        <f>IF($AV2628="","",IF(AND($Z2628=0,COUNTIF('AR SALES'!$L$2:$L$2501,$L2628)=0),"YES",""))</f>
        <v/>
      </c>
      <c r="AZ2628" s="2" t="str">
        <f>IF($AV2628="","",IF(COUNTIF(LISTS!$C$2:$C$250,$AU2628)=0,"NEW",""))</f>
        <v/>
      </c>
      <c r="BA2628" s="2" t="str">
        <f>IF(""&amp;$F2628&lt;&gt;"4","",IF($AY2628="YES","",IF(ROUND(SUMIFS($AE$2:$AE$4001,$L$2:$L$4001,$L2628,$F$2:$F$4001,"4")-SUMIFS('AR SALES'!$Y$2:$Y$2501,'AR SALES'!$L$2:$L$2501,$L2628,'AR SALES'!$AD$2:$AD$2501,"OFF"),2)=0,"","STALE")))</f>
        <v/>
      </c>
      <c r="BB2628" s="2" t="str">
        <f>IF(OR(""&amp;$F2628="2",""&amp;$F2628="4",""&amp;$F2628="G",""&amp;$F2628="H"),IF($AY2628="YES","",IF($AB2628&lt;&gt;0,"",IF(COUNTIFS('AR SALES'!$L$2:$L$2501,$L2628,'AR SALES'!$AD$2:$AD$2501,IF(""&amp;$F2628="4","OFF","ON"),'AR SALES'!$AF$2:$AF$2501,"Y")&gt;0,"","NO EXEMPTION"))),"")</f>
        <v/>
      </c>
    </row>
    <row r="2629" spans="46:54" x14ac:dyDescent="0.25">
      <c r="AT2629" s="2" t="str">
        <f>IF($L2629="","",IFERROR(INDEX('AR SALES'!$H$2:$H$2501,MATCH(""&amp;$L2629,'AR SALES'!$AE$2:$AE$2501,0)),""))</f>
        <v/>
      </c>
      <c r="AU2629" s="2" t="str">
        <f t="shared" si="164"/>
        <v/>
      </c>
      <c r="AV2629" s="2" t="str">
        <f t="shared" si="165"/>
        <v/>
      </c>
      <c r="AW2629" s="2" t="str">
        <f t="shared" si="166"/>
        <v/>
      </c>
      <c r="AX2629" s="2" t="str">
        <f t="shared" si="167"/>
        <v/>
      </c>
      <c r="AY2629" s="2" t="str">
        <f>IF($AV2629="","",IF(AND($Z2629=0,COUNTIF('AR SALES'!$L$2:$L$2501,$L2629)=0),"YES",""))</f>
        <v/>
      </c>
      <c r="AZ2629" s="2" t="str">
        <f>IF($AV2629="","",IF(COUNTIF(LISTS!$C$2:$C$250,$AU2629)=0,"NEW",""))</f>
        <v/>
      </c>
      <c r="BA2629" s="2" t="str">
        <f>IF(""&amp;$F2629&lt;&gt;"4","",IF($AY2629="YES","",IF(ROUND(SUMIFS($AE$2:$AE$4001,$L$2:$L$4001,$L2629,$F$2:$F$4001,"4")-SUMIFS('AR SALES'!$Y$2:$Y$2501,'AR SALES'!$L$2:$L$2501,$L2629,'AR SALES'!$AD$2:$AD$2501,"OFF"),2)=0,"","STALE")))</f>
        <v/>
      </c>
      <c r="BB2629" s="2" t="str">
        <f>IF(OR(""&amp;$F2629="2",""&amp;$F2629="4",""&amp;$F2629="G",""&amp;$F2629="H"),IF($AY2629="YES","",IF($AB2629&lt;&gt;0,"",IF(COUNTIFS('AR SALES'!$L$2:$L$2501,$L2629,'AR SALES'!$AD$2:$AD$2501,IF(""&amp;$F2629="4","OFF","ON"),'AR SALES'!$AF$2:$AF$2501,"Y")&gt;0,"","NO EXEMPTION"))),"")</f>
        <v/>
      </c>
    </row>
    <row r="2630" spans="46:54" x14ac:dyDescent="0.25">
      <c r="AT2630" s="2" t="str">
        <f>IF($L2630="","",IFERROR(INDEX('AR SALES'!$H$2:$H$2501,MATCH(""&amp;$L2630,'AR SALES'!$AE$2:$AE$2501,0)),""))</f>
        <v/>
      </c>
      <c r="AU2630" s="2" t="str">
        <f t="shared" si="164"/>
        <v/>
      </c>
      <c r="AV2630" s="2" t="str">
        <f t="shared" si="165"/>
        <v/>
      </c>
      <c r="AW2630" s="2" t="str">
        <f t="shared" si="166"/>
        <v/>
      </c>
      <c r="AX2630" s="2" t="str">
        <f t="shared" si="167"/>
        <v/>
      </c>
      <c r="AY2630" s="2" t="str">
        <f>IF($AV2630="","",IF(AND($Z2630=0,COUNTIF('AR SALES'!$L$2:$L$2501,$L2630)=0),"YES",""))</f>
        <v/>
      </c>
      <c r="AZ2630" s="2" t="str">
        <f>IF($AV2630="","",IF(COUNTIF(LISTS!$C$2:$C$250,$AU2630)=0,"NEW",""))</f>
        <v/>
      </c>
      <c r="BA2630" s="2" t="str">
        <f>IF(""&amp;$F2630&lt;&gt;"4","",IF($AY2630="YES","",IF(ROUND(SUMIFS($AE$2:$AE$4001,$L$2:$L$4001,$L2630,$F$2:$F$4001,"4")-SUMIFS('AR SALES'!$Y$2:$Y$2501,'AR SALES'!$L$2:$L$2501,$L2630,'AR SALES'!$AD$2:$AD$2501,"OFF"),2)=0,"","STALE")))</f>
        <v/>
      </c>
      <c r="BB2630" s="2" t="str">
        <f>IF(OR(""&amp;$F2630="2",""&amp;$F2630="4",""&amp;$F2630="G",""&amp;$F2630="H"),IF($AY2630="YES","",IF($AB2630&lt;&gt;0,"",IF(COUNTIFS('AR SALES'!$L$2:$L$2501,$L2630,'AR SALES'!$AD$2:$AD$2501,IF(""&amp;$F2630="4","OFF","ON"),'AR SALES'!$AF$2:$AF$2501,"Y")&gt;0,"","NO EXEMPTION"))),"")</f>
        <v/>
      </c>
    </row>
    <row r="2631" spans="46:54" x14ac:dyDescent="0.25">
      <c r="AT2631" s="2" t="str">
        <f>IF($L2631="","",IFERROR(INDEX('AR SALES'!$H$2:$H$2501,MATCH(""&amp;$L2631,'AR SALES'!$AE$2:$AE$2501,0)),""))</f>
        <v/>
      </c>
      <c r="AU2631" s="2" t="str">
        <f t="shared" si="164"/>
        <v/>
      </c>
      <c r="AV2631" s="2" t="str">
        <f t="shared" si="165"/>
        <v/>
      </c>
      <c r="AW2631" s="2" t="str">
        <f t="shared" si="166"/>
        <v/>
      </c>
      <c r="AX2631" s="2" t="str">
        <f t="shared" si="167"/>
        <v/>
      </c>
      <c r="AY2631" s="2" t="str">
        <f>IF($AV2631="","",IF(AND($Z2631=0,COUNTIF('AR SALES'!$L$2:$L$2501,$L2631)=0),"YES",""))</f>
        <v/>
      </c>
      <c r="AZ2631" s="2" t="str">
        <f>IF($AV2631="","",IF(COUNTIF(LISTS!$C$2:$C$250,$AU2631)=0,"NEW",""))</f>
        <v/>
      </c>
      <c r="BA2631" s="2" t="str">
        <f>IF(""&amp;$F2631&lt;&gt;"4","",IF($AY2631="YES","",IF(ROUND(SUMIFS($AE$2:$AE$4001,$L$2:$L$4001,$L2631,$F$2:$F$4001,"4")-SUMIFS('AR SALES'!$Y$2:$Y$2501,'AR SALES'!$L$2:$L$2501,$L2631,'AR SALES'!$AD$2:$AD$2501,"OFF"),2)=0,"","STALE")))</f>
        <v/>
      </c>
      <c r="BB2631" s="2" t="str">
        <f>IF(OR(""&amp;$F2631="2",""&amp;$F2631="4",""&amp;$F2631="G",""&amp;$F2631="H"),IF($AY2631="YES","",IF($AB2631&lt;&gt;0,"",IF(COUNTIFS('AR SALES'!$L$2:$L$2501,$L2631,'AR SALES'!$AD$2:$AD$2501,IF(""&amp;$F2631="4","OFF","ON"),'AR SALES'!$AF$2:$AF$2501,"Y")&gt;0,"","NO EXEMPTION"))),"")</f>
        <v/>
      </c>
    </row>
    <row r="2632" spans="46:54" x14ac:dyDescent="0.25">
      <c r="AT2632" s="2" t="str">
        <f>IF($L2632="","",IFERROR(INDEX('AR SALES'!$H$2:$H$2501,MATCH(""&amp;$L2632,'AR SALES'!$AE$2:$AE$2501,0)),""))</f>
        <v/>
      </c>
      <c r="AU2632" s="2" t="str">
        <f t="shared" si="164"/>
        <v/>
      </c>
      <c r="AV2632" s="2" t="str">
        <f t="shared" si="165"/>
        <v/>
      </c>
      <c r="AW2632" s="2" t="str">
        <f t="shared" si="166"/>
        <v/>
      </c>
      <c r="AX2632" s="2" t="str">
        <f t="shared" si="167"/>
        <v/>
      </c>
      <c r="AY2632" s="2" t="str">
        <f>IF($AV2632="","",IF(AND($Z2632=0,COUNTIF('AR SALES'!$L$2:$L$2501,$L2632)=0),"YES",""))</f>
        <v/>
      </c>
      <c r="AZ2632" s="2" t="str">
        <f>IF($AV2632="","",IF(COUNTIF(LISTS!$C$2:$C$250,$AU2632)=0,"NEW",""))</f>
        <v/>
      </c>
      <c r="BA2632" s="2" t="str">
        <f>IF(""&amp;$F2632&lt;&gt;"4","",IF($AY2632="YES","",IF(ROUND(SUMIFS($AE$2:$AE$4001,$L$2:$L$4001,$L2632,$F$2:$F$4001,"4")-SUMIFS('AR SALES'!$Y$2:$Y$2501,'AR SALES'!$L$2:$L$2501,$L2632,'AR SALES'!$AD$2:$AD$2501,"OFF"),2)=0,"","STALE")))</f>
        <v/>
      </c>
      <c r="BB2632" s="2" t="str">
        <f>IF(OR(""&amp;$F2632="2",""&amp;$F2632="4",""&amp;$F2632="G",""&amp;$F2632="H"),IF($AY2632="YES","",IF($AB2632&lt;&gt;0,"",IF(COUNTIFS('AR SALES'!$L$2:$L$2501,$L2632,'AR SALES'!$AD$2:$AD$2501,IF(""&amp;$F2632="4","OFF","ON"),'AR SALES'!$AF$2:$AF$2501,"Y")&gt;0,"","NO EXEMPTION"))),"")</f>
        <v/>
      </c>
    </row>
    <row r="2633" spans="46:54" x14ac:dyDescent="0.25">
      <c r="AT2633" s="2" t="str">
        <f>IF($L2633="","",IFERROR(INDEX('AR SALES'!$H$2:$H$2501,MATCH(""&amp;$L2633,'AR SALES'!$AE$2:$AE$2501,0)),""))</f>
        <v/>
      </c>
      <c r="AU2633" s="2" t="str">
        <f t="shared" si="164"/>
        <v/>
      </c>
      <c r="AV2633" s="2" t="str">
        <f t="shared" si="165"/>
        <v/>
      </c>
      <c r="AW2633" s="2" t="str">
        <f t="shared" si="166"/>
        <v/>
      </c>
      <c r="AX2633" s="2" t="str">
        <f t="shared" si="167"/>
        <v/>
      </c>
      <c r="AY2633" s="2" t="str">
        <f>IF($AV2633="","",IF(AND($Z2633=0,COUNTIF('AR SALES'!$L$2:$L$2501,$L2633)=0),"YES",""))</f>
        <v/>
      </c>
      <c r="AZ2633" s="2" t="str">
        <f>IF($AV2633="","",IF(COUNTIF(LISTS!$C$2:$C$250,$AU2633)=0,"NEW",""))</f>
        <v/>
      </c>
      <c r="BA2633" s="2" t="str">
        <f>IF(""&amp;$F2633&lt;&gt;"4","",IF($AY2633="YES","",IF(ROUND(SUMIFS($AE$2:$AE$4001,$L$2:$L$4001,$L2633,$F$2:$F$4001,"4")-SUMIFS('AR SALES'!$Y$2:$Y$2501,'AR SALES'!$L$2:$L$2501,$L2633,'AR SALES'!$AD$2:$AD$2501,"OFF"),2)=0,"","STALE")))</f>
        <v/>
      </c>
      <c r="BB2633" s="2" t="str">
        <f>IF(OR(""&amp;$F2633="2",""&amp;$F2633="4",""&amp;$F2633="G",""&amp;$F2633="H"),IF($AY2633="YES","",IF($AB2633&lt;&gt;0,"",IF(COUNTIFS('AR SALES'!$L$2:$L$2501,$L2633,'AR SALES'!$AD$2:$AD$2501,IF(""&amp;$F2633="4","OFF","ON"),'AR SALES'!$AF$2:$AF$2501,"Y")&gt;0,"","NO EXEMPTION"))),"")</f>
        <v/>
      </c>
    </row>
    <row r="2634" spans="46:54" x14ac:dyDescent="0.25">
      <c r="AT2634" s="2" t="str">
        <f>IF($L2634="","",IFERROR(INDEX('AR SALES'!$H$2:$H$2501,MATCH(""&amp;$L2634,'AR SALES'!$AE$2:$AE$2501,0)),""))</f>
        <v/>
      </c>
      <c r="AU2634" s="2" t="str">
        <f t="shared" si="164"/>
        <v/>
      </c>
      <c r="AV2634" s="2" t="str">
        <f t="shared" si="165"/>
        <v/>
      </c>
      <c r="AW2634" s="2" t="str">
        <f t="shared" si="166"/>
        <v/>
      </c>
      <c r="AX2634" s="2" t="str">
        <f t="shared" si="167"/>
        <v/>
      </c>
      <c r="AY2634" s="2" t="str">
        <f>IF($AV2634="","",IF(AND($Z2634=0,COUNTIF('AR SALES'!$L$2:$L$2501,$L2634)=0),"YES",""))</f>
        <v/>
      </c>
      <c r="AZ2634" s="2" t="str">
        <f>IF($AV2634="","",IF(COUNTIF(LISTS!$C$2:$C$250,$AU2634)=0,"NEW",""))</f>
        <v/>
      </c>
      <c r="BA2634" s="2" t="str">
        <f>IF(""&amp;$F2634&lt;&gt;"4","",IF($AY2634="YES","",IF(ROUND(SUMIFS($AE$2:$AE$4001,$L$2:$L$4001,$L2634,$F$2:$F$4001,"4")-SUMIFS('AR SALES'!$Y$2:$Y$2501,'AR SALES'!$L$2:$L$2501,$L2634,'AR SALES'!$AD$2:$AD$2501,"OFF"),2)=0,"","STALE")))</f>
        <v/>
      </c>
      <c r="BB2634" s="2" t="str">
        <f>IF(OR(""&amp;$F2634="2",""&amp;$F2634="4",""&amp;$F2634="G",""&amp;$F2634="H"),IF($AY2634="YES","",IF($AB2634&lt;&gt;0,"",IF(COUNTIFS('AR SALES'!$L$2:$L$2501,$L2634,'AR SALES'!$AD$2:$AD$2501,IF(""&amp;$F2634="4","OFF","ON"),'AR SALES'!$AF$2:$AF$2501,"Y")&gt;0,"","NO EXEMPTION"))),"")</f>
        <v/>
      </c>
    </row>
    <row r="2635" spans="46:54" x14ac:dyDescent="0.25">
      <c r="AT2635" s="2" t="str">
        <f>IF($L2635="","",IFERROR(INDEX('AR SALES'!$H$2:$H$2501,MATCH(""&amp;$L2635,'AR SALES'!$AE$2:$AE$2501,0)),""))</f>
        <v/>
      </c>
      <c r="AU2635" s="2" t="str">
        <f t="shared" si="164"/>
        <v/>
      </c>
      <c r="AV2635" s="2" t="str">
        <f t="shared" si="165"/>
        <v/>
      </c>
      <c r="AW2635" s="2" t="str">
        <f t="shared" si="166"/>
        <v/>
      </c>
      <c r="AX2635" s="2" t="str">
        <f t="shared" si="167"/>
        <v/>
      </c>
      <c r="AY2635" s="2" t="str">
        <f>IF($AV2635="","",IF(AND($Z2635=0,COUNTIF('AR SALES'!$L$2:$L$2501,$L2635)=0),"YES",""))</f>
        <v/>
      </c>
      <c r="AZ2635" s="2" t="str">
        <f>IF($AV2635="","",IF(COUNTIF(LISTS!$C$2:$C$250,$AU2635)=0,"NEW",""))</f>
        <v/>
      </c>
      <c r="BA2635" s="2" t="str">
        <f>IF(""&amp;$F2635&lt;&gt;"4","",IF($AY2635="YES","",IF(ROUND(SUMIFS($AE$2:$AE$4001,$L$2:$L$4001,$L2635,$F$2:$F$4001,"4")-SUMIFS('AR SALES'!$Y$2:$Y$2501,'AR SALES'!$L$2:$L$2501,$L2635,'AR SALES'!$AD$2:$AD$2501,"OFF"),2)=0,"","STALE")))</f>
        <v/>
      </c>
      <c r="BB2635" s="2" t="str">
        <f>IF(OR(""&amp;$F2635="2",""&amp;$F2635="4",""&amp;$F2635="G",""&amp;$F2635="H"),IF($AY2635="YES","",IF($AB2635&lt;&gt;0,"",IF(COUNTIFS('AR SALES'!$L$2:$L$2501,$L2635,'AR SALES'!$AD$2:$AD$2501,IF(""&amp;$F2635="4","OFF","ON"),'AR SALES'!$AF$2:$AF$2501,"Y")&gt;0,"","NO EXEMPTION"))),"")</f>
        <v/>
      </c>
    </row>
    <row r="2636" spans="46:54" x14ac:dyDescent="0.25">
      <c r="AT2636" s="2" t="str">
        <f>IF($L2636="","",IFERROR(INDEX('AR SALES'!$H$2:$H$2501,MATCH(""&amp;$L2636,'AR SALES'!$AE$2:$AE$2501,0)),""))</f>
        <v/>
      </c>
      <c r="AU2636" s="2" t="str">
        <f t="shared" si="164"/>
        <v/>
      </c>
      <c r="AV2636" s="2" t="str">
        <f t="shared" si="165"/>
        <v/>
      </c>
      <c r="AW2636" s="2" t="str">
        <f t="shared" si="166"/>
        <v/>
      </c>
      <c r="AX2636" s="2" t="str">
        <f t="shared" si="167"/>
        <v/>
      </c>
      <c r="AY2636" s="2" t="str">
        <f>IF($AV2636="","",IF(AND($Z2636=0,COUNTIF('AR SALES'!$L$2:$L$2501,$L2636)=0),"YES",""))</f>
        <v/>
      </c>
      <c r="AZ2636" s="2" t="str">
        <f>IF($AV2636="","",IF(COUNTIF(LISTS!$C$2:$C$250,$AU2636)=0,"NEW",""))</f>
        <v/>
      </c>
      <c r="BA2636" s="2" t="str">
        <f>IF(""&amp;$F2636&lt;&gt;"4","",IF($AY2636="YES","",IF(ROUND(SUMIFS($AE$2:$AE$4001,$L$2:$L$4001,$L2636,$F$2:$F$4001,"4")-SUMIFS('AR SALES'!$Y$2:$Y$2501,'AR SALES'!$L$2:$L$2501,$L2636,'AR SALES'!$AD$2:$AD$2501,"OFF"),2)=0,"","STALE")))</f>
        <v/>
      </c>
      <c r="BB2636" s="2" t="str">
        <f>IF(OR(""&amp;$F2636="2",""&amp;$F2636="4",""&amp;$F2636="G",""&amp;$F2636="H"),IF($AY2636="YES","",IF($AB2636&lt;&gt;0,"",IF(COUNTIFS('AR SALES'!$L$2:$L$2501,$L2636,'AR SALES'!$AD$2:$AD$2501,IF(""&amp;$F2636="4","OFF","ON"),'AR SALES'!$AF$2:$AF$2501,"Y")&gt;0,"","NO EXEMPTION"))),"")</f>
        <v/>
      </c>
    </row>
    <row r="2637" spans="46:54" x14ac:dyDescent="0.25">
      <c r="AT2637" s="2" t="str">
        <f>IF($L2637="","",IFERROR(INDEX('AR SALES'!$H$2:$H$2501,MATCH(""&amp;$L2637,'AR SALES'!$AE$2:$AE$2501,0)),""))</f>
        <v/>
      </c>
      <c r="AU2637" s="2" t="str">
        <f t="shared" si="164"/>
        <v/>
      </c>
      <c r="AV2637" s="2" t="str">
        <f t="shared" si="165"/>
        <v/>
      </c>
      <c r="AW2637" s="2" t="str">
        <f t="shared" si="166"/>
        <v/>
      </c>
      <c r="AX2637" s="2" t="str">
        <f t="shared" si="167"/>
        <v/>
      </c>
      <c r="AY2637" s="2" t="str">
        <f>IF($AV2637="","",IF(AND($Z2637=0,COUNTIF('AR SALES'!$L$2:$L$2501,$L2637)=0),"YES",""))</f>
        <v/>
      </c>
      <c r="AZ2637" s="2" t="str">
        <f>IF($AV2637="","",IF(COUNTIF(LISTS!$C$2:$C$250,$AU2637)=0,"NEW",""))</f>
        <v/>
      </c>
      <c r="BA2637" s="2" t="str">
        <f>IF(""&amp;$F2637&lt;&gt;"4","",IF($AY2637="YES","",IF(ROUND(SUMIFS($AE$2:$AE$4001,$L$2:$L$4001,$L2637,$F$2:$F$4001,"4")-SUMIFS('AR SALES'!$Y$2:$Y$2501,'AR SALES'!$L$2:$L$2501,$L2637,'AR SALES'!$AD$2:$AD$2501,"OFF"),2)=0,"","STALE")))</f>
        <v/>
      </c>
      <c r="BB2637" s="2" t="str">
        <f>IF(OR(""&amp;$F2637="2",""&amp;$F2637="4",""&amp;$F2637="G",""&amp;$F2637="H"),IF($AY2637="YES","",IF($AB2637&lt;&gt;0,"",IF(COUNTIFS('AR SALES'!$L$2:$L$2501,$L2637,'AR SALES'!$AD$2:$AD$2501,IF(""&amp;$F2637="4","OFF","ON"),'AR SALES'!$AF$2:$AF$2501,"Y")&gt;0,"","NO EXEMPTION"))),"")</f>
        <v/>
      </c>
    </row>
    <row r="2638" spans="46:54" x14ac:dyDescent="0.25">
      <c r="AT2638" s="2" t="str">
        <f>IF($L2638="","",IFERROR(INDEX('AR SALES'!$H$2:$H$2501,MATCH(""&amp;$L2638,'AR SALES'!$AE$2:$AE$2501,0)),""))</f>
        <v/>
      </c>
      <c r="AU2638" s="2" t="str">
        <f t="shared" si="164"/>
        <v/>
      </c>
      <c r="AV2638" s="2" t="str">
        <f t="shared" si="165"/>
        <v/>
      </c>
      <c r="AW2638" s="2" t="str">
        <f t="shared" si="166"/>
        <v/>
      </c>
      <c r="AX2638" s="2" t="str">
        <f t="shared" si="167"/>
        <v/>
      </c>
      <c r="AY2638" s="2" t="str">
        <f>IF($AV2638="","",IF(AND($Z2638=0,COUNTIF('AR SALES'!$L$2:$L$2501,$L2638)=0),"YES",""))</f>
        <v/>
      </c>
      <c r="AZ2638" s="2" t="str">
        <f>IF($AV2638="","",IF(COUNTIF(LISTS!$C$2:$C$250,$AU2638)=0,"NEW",""))</f>
        <v/>
      </c>
      <c r="BA2638" s="2" t="str">
        <f>IF(""&amp;$F2638&lt;&gt;"4","",IF($AY2638="YES","",IF(ROUND(SUMIFS($AE$2:$AE$4001,$L$2:$L$4001,$L2638,$F$2:$F$4001,"4")-SUMIFS('AR SALES'!$Y$2:$Y$2501,'AR SALES'!$L$2:$L$2501,$L2638,'AR SALES'!$AD$2:$AD$2501,"OFF"),2)=0,"","STALE")))</f>
        <v/>
      </c>
      <c r="BB2638" s="2" t="str">
        <f>IF(OR(""&amp;$F2638="2",""&amp;$F2638="4",""&amp;$F2638="G",""&amp;$F2638="H"),IF($AY2638="YES","",IF($AB2638&lt;&gt;0,"",IF(COUNTIFS('AR SALES'!$L$2:$L$2501,$L2638,'AR SALES'!$AD$2:$AD$2501,IF(""&amp;$F2638="4","OFF","ON"),'AR SALES'!$AF$2:$AF$2501,"Y")&gt;0,"","NO EXEMPTION"))),"")</f>
        <v/>
      </c>
    </row>
    <row r="2639" spans="46:54" x14ac:dyDescent="0.25">
      <c r="AT2639" s="2" t="str">
        <f>IF($L2639="","",IFERROR(INDEX('AR SALES'!$H$2:$H$2501,MATCH(""&amp;$L2639,'AR SALES'!$AE$2:$AE$2501,0)),""))</f>
        <v/>
      </c>
      <c r="AU2639" s="2" t="str">
        <f t="shared" si="164"/>
        <v/>
      </c>
      <c r="AV2639" s="2" t="str">
        <f t="shared" si="165"/>
        <v/>
      </c>
      <c r="AW2639" s="2" t="str">
        <f t="shared" si="166"/>
        <v/>
      </c>
      <c r="AX2639" s="2" t="str">
        <f t="shared" si="167"/>
        <v/>
      </c>
      <c r="AY2639" s="2" t="str">
        <f>IF($AV2639="","",IF(AND($Z2639=0,COUNTIF('AR SALES'!$L$2:$L$2501,$L2639)=0),"YES",""))</f>
        <v/>
      </c>
      <c r="AZ2639" s="2" t="str">
        <f>IF($AV2639="","",IF(COUNTIF(LISTS!$C$2:$C$250,$AU2639)=0,"NEW",""))</f>
        <v/>
      </c>
      <c r="BA2639" s="2" t="str">
        <f>IF(""&amp;$F2639&lt;&gt;"4","",IF($AY2639="YES","",IF(ROUND(SUMIFS($AE$2:$AE$4001,$L$2:$L$4001,$L2639,$F$2:$F$4001,"4")-SUMIFS('AR SALES'!$Y$2:$Y$2501,'AR SALES'!$L$2:$L$2501,$L2639,'AR SALES'!$AD$2:$AD$2501,"OFF"),2)=0,"","STALE")))</f>
        <v/>
      </c>
      <c r="BB2639" s="2" t="str">
        <f>IF(OR(""&amp;$F2639="2",""&amp;$F2639="4",""&amp;$F2639="G",""&amp;$F2639="H"),IF($AY2639="YES","",IF($AB2639&lt;&gt;0,"",IF(COUNTIFS('AR SALES'!$L$2:$L$2501,$L2639,'AR SALES'!$AD$2:$AD$2501,IF(""&amp;$F2639="4","OFF","ON"),'AR SALES'!$AF$2:$AF$2501,"Y")&gt;0,"","NO EXEMPTION"))),"")</f>
        <v/>
      </c>
    </row>
    <row r="2640" spans="46:54" x14ac:dyDescent="0.25">
      <c r="AT2640" s="2" t="str">
        <f>IF($L2640="","",IFERROR(INDEX('AR SALES'!$H$2:$H$2501,MATCH(""&amp;$L2640,'AR SALES'!$AE$2:$AE$2501,0)),""))</f>
        <v/>
      </c>
      <c r="AU2640" s="2" t="str">
        <f t="shared" si="164"/>
        <v/>
      </c>
      <c r="AV2640" s="2" t="str">
        <f t="shared" si="165"/>
        <v/>
      </c>
      <c r="AW2640" s="2" t="str">
        <f t="shared" si="166"/>
        <v/>
      </c>
      <c r="AX2640" s="2" t="str">
        <f t="shared" si="167"/>
        <v/>
      </c>
      <c r="AY2640" s="2" t="str">
        <f>IF($AV2640="","",IF(AND($Z2640=0,COUNTIF('AR SALES'!$L$2:$L$2501,$L2640)=0),"YES",""))</f>
        <v/>
      </c>
      <c r="AZ2640" s="2" t="str">
        <f>IF($AV2640="","",IF(COUNTIF(LISTS!$C$2:$C$250,$AU2640)=0,"NEW",""))</f>
        <v/>
      </c>
      <c r="BA2640" s="2" t="str">
        <f>IF(""&amp;$F2640&lt;&gt;"4","",IF($AY2640="YES","",IF(ROUND(SUMIFS($AE$2:$AE$4001,$L$2:$L$4001,$L2640,$F$2:$F$4001,"4")-SUMIFS('AR SALES'!$Y$2:$Y$2501,'AR SALES'!$L$2:$L$2501,$L2640,'AR SALES'!$AD$2:$AD$2501,"OFF"),2)=0,"","STALE")))</f>
        <v/>
      </c>
      <c r="BB2640" s="2" t="str">
        <f>IF(OR(""&amp;$F2640="2",""&amp;$F2640="4",""&amp;$F2640="G",""&amp;$F2640="H"),IF($AY2640="YES","",IF($AB2640&lt;&gt;0,"",IF(COUNTIFS('AR SALES'!$L$2:$L$2501,$L2640,'AR SALES'!$AD$2:$AD$2501,IF(""&amp;$F2640="4","OFF","ON"),'AR SALES'!$AF$2:$AF$2501,"Y")&gt;0,"","NO EXEMPTION"))),"")</f>
        <v/>
      </c>
    </row>
    <row r="2641" spans="46:54" x14ac:dyDescent="0.25">
      <c r="AT2641" s="2" t="str">
        <f>IF($L2641="","",IFERROR(INDEX('AR SALES'!$H$2:$H$2501,MATCH(""&amp;$L2641,'AR SALES'!$AE$2:$AE$2501,0)),""))</f>
        <v/>
      </c>
      <c r="AU2641" s="2" t="str">
        <f t="shared" si="164"/>
        <v/>
      </c>
      <c r="AV2641" s="2" t="str">
        <f t="shared" si="165"/>
        <v/>
      </c>
      <c r="AW2641" s="2" t="str">
        <f t="shared" si="166"/>
        <v/>
      </c>
      <c r="AX2641" s="2" t="str">
        <f t="shared" si="167"/>
        <v/>
      </c>
      <c r="AY2641" s="2" t="str">
        <f>IF($AV2641="","",IF(AND($Z2641=0,COUNTIF('AR SALES'!$L$2:$L$2501,$L2641)=0),"YES",""))</f>
        <v/>
      </c>
      <c r="AZ2641" s="2" t="str">
        <f>IF($AV2641="","",IF(COUNTIF(LISTS!$C$2:$C$250,$AU2641)=0,"NEW",""))</f>
        <v/>
      </c>
      <c r="BA2641" s="2" t="str">
        <f>IF(""&amp;$F2641&lt;&gt;"4","",IF($AY2641="YES","",IF(ROUND(SUMIFS($AE$2:$AE$4001,$L$2:$L$4001,$L2641,$F$2:$F$4001,"4")-SUMIFS('AR SALES'!$Y$2:$Y$2501,'AR SALES'!$L$2:$L$2501,$L2641,'AR SALES'!$AD$2:$AD$2501,"OFF"),2)=0,"","STALE")))</f>
        <v/>
      </c>
      <c r="BB2641" s="2" t="str">
        <f>IF(OR(""&amp;$F2641="2",""&amp;$F2641="4",""&amp;$F2641="G",""&amp;$F2641="H"),IF($AY2641="YES","",IF($AB2641&lt;&gt;0,"",IF(COUNTIFS('AR SALES'!$L$2:$L$2501,$L2641,'AR SALES'!$AD$2:$AD$2501,IF(""&amp;$F2641="4","OFF","ON"),'AR SALES'!$AF$2:$AF$2501,"Y")&gt;0,"","NO EXEMPTION"))),"")</f>
        <v/>
      </c>
    </row>
    <row r="2642" spans="46:54" x14ac:dyDescent="0.25">
      <c r="AT2642" s="2" t="str">
        <f>IF($L2642="","",IFERROR(INDEX('AR SALES'!$H$2:$H$2501,MATCH(""&amp;$L2642,'AR SALES'!$AE$2:$AE$2501,0)),""))</f>
        <v/>
      </c>
      <c r="AU2642" s="2" t="str">
        <f t="shared" si="164"/>
        <v/>
      </c>
      <c r="AV2642" s="2" t="str">
        <f t="shared" si="165"/>
        <v/>
      </c>
      <c r="AW2642" s="2" t="str">
        <f t="shared" si="166"/>
        <v/>
      </c>
      <c r="AX2642" s="2" t="str">
        <f t="shared" si="167"/>
        <v/>
      </c>
      <c r="AY2642" s="2" t="str">
        <f>IF($AV2642="","",IF(AND($Z2642=0,COUNTIF('AR SALES'!$L$2:$L$2501,$L2642)=0),"YES",""))</f>
        <v/>
      </c>
      <c r="AZ2642" s="2" t="str">
        <f>IF($AV2642="","",IF(COUNTIF(LISTS!$C$2:$C$250,$AU2642)=0,"NEW",""))</f>
        <v/>
      </c>
      <c r="BA2642" s="2" t="str">
        <f>IF(""&amp;$F2642&lt;&gt;"4","",IF($AY2642="YES","",IF(ROUND(SUMIFS($AE$2:$AE$4001,$L$2:$L$4001,$L2642,$F$2:$F$4001,"4")-SUMIFS('AR SALES'!$Y$2:$Y$2501,'AR SALES'!$L$2:$L$2501,$L2642,'AR SALES'!$AD$2:$AD$2501,"OFF"),2)=0,"","STALE")))</f>
        <v/>
      </c>
      <c r="BB2642" s="2" t="str">
        <f>IF(OR(""&amp;$F2642="2",""&amp;$F2642="4",""&amp;$F2642="G",""&amp;$F2642="H"),IF($AY2642="YES","",IF($AB2642&lt;&gt;0,"",IF(COUNTIFS('AR SALES'!$L$2:$L$2501,$L2642,'AR SALES'!$AD$2:$AD$2501,IF(""&amp;$F2642="4","OFF","ON"),'AR SALES'!$AF$2:$AF$2501,"Y")&gt;0,"","NO EXEMPTION"))),"")</f>
        <v/>
      </c>
    </row>
    <row r="2643" spans="46:54" x14ac:dyDescent="0.25">
      <c r="AT2643" s="2" t="str">
        <f>IF($L2643="","",IFERROR(INDEX('AR SALES'!$H$2:$H$2501,MATCH(""&amp;$L2643,'AR SALES'!$AE$2:$AE$2501,0)),""))</f>
        <v/>
      </c>
      <c r="AU2643" s="2" t="str">
        <f t="shared" si="164"/>
        <v/>
      </c>
      <c r="AV2643" s="2" t="str">
        <f t="shared" si="165"/>
        <v/>
      </c>
      <c r="AW2643" s="2" t="str">
        <f t="shared" si="166"/>
        <v/>
      </c>
      <c r="AX2643" s="2" t="str">
        <f t="shared" si="167"/>
        <v/>
      </c>
      <c r="AY2643" s="2" t="str">
        <f>IF($AV2643="","",IF(AND($Z2643=0,COUNTIF('AR SALES'!$L$2:$L$2501,$L2643)=0),"YES",""))</f>
        <v/>
      </c>
      <c r="AZ2643" s="2" t="str">
        <f>IF($AV2643="","",IF(COUNTIF(LISTS!$C$2:$C$250,$AU2643)=0,"NEW",""))</f>
        <v/>
      </c>
      <c r="BA2643" s="2" t="str">
        <f>IF(""&amp;$F2643&lt;&gt;"4","",IF($AY2643="YES","",IF(ROUND(SUMIFS($AE$2:$AE$4001,$L$2:$L$4001,$L2643,$F$2:$F$4001,"4")-SUMIFS('AR SALES'!$Y$2:$Y$2501,'AR SALES'!$L$2:$L$2501,$L2643,'AR SALES'!$AD$2:$AD$2501,"OFF"),2)=0,"","STALE")))</f>
        <v/>
      </c>
      <c r="BB2643" s="2" t="str">
        <f>IF(OR(""&amp;$F2643="2",""&amp;$F2643="4",""&amp;$F2643="G",""&amp;$F2643="H"),IF($AY2643="YES","",IF($AB2643&lt;&gt;0,"",IF(COUNTIFS('AR SALES'!$L$2:$L$2501,$L2643,'AR SALES'!$AD$2:$AD$2501,IF(""&amp;$F2643="4","OFF","ON"),'AR SALES'!$AF$2:$AF$2501,"Y")&gt;0,"","NO EXEMPTION"))),"")</f>
        <v/>
      </c>
    </row>
    <row r="2644" spans="46:54" x14ac:dyDescent="0.25">
      <c r="AT2644" s="2" t="str">
        <f>IF($L2644="","",IFERROR(INDEX('AR SALES'!$H$2:$H$2501,MATCH(""&amp;$L2644,'AR SALES'!$AE$2:$AE$2501,0)),""))</f>
        <v/>
      </c>
      <c r="AU2644" s="2" t="str">
        <f t="shared" si="164"/>
        <v/>
      </c>
      <c r="AV2644" s="2" t="str">
        <f t="shared" si="165"/>
        <v/>
      </c>
      <c r="AW2644" s="2" t="str">
        <f t="shared" si="166"/>
        <v/>
      </c>
      <c r="AX2644" s="2" t="str">
        <f t="shared" si="167"/>
        <v/>
      </c>
      <c r="AY2644" s="2" t="str">
        <f>IF($AV2644="","",IF(AND($Z2644=0,COUNTIF('AR SALES'!$L$2:$L$2501,$L2644)=0),"YES",""))</f>
        <v/>
      </c>
      <c r="AZ2644" s="2" t="str">
        <f>IF($AV2644="","",IF(COUNTIF(LISTS!$C$2:$C$250,$AU2644)=0,"NEW",""))</f>
        <v/>
      </c>
      <c r="BA2644" s="2" t="str">
        <f>IF(""&amp;$F2644&lt;&gt;"4","",IF($AY2644="YES","",IF(ROUND(SUMIFS($AE$2:$AE$4001,$L$2:$L$4001,$L2644,$F$2:$F$4001,"4")-SUMIFS('AR SALES'!$Y$2:$Y$2501,'AR SALES'!$L$2:$L$2501,$L2644,'AR SALES'!$AD$2:$AD$2501,"OFF"),2)=0,"","STALE")))</f>
        <v/>
      </c>
      <c r="BB2644" s="2" t="str">
        <f>IF(OR(""&amp;$F2644="2",""&amp;$F2644="4",""&amp;$F2644="G",""&amp;$F2644="H"),IF($AY2644="YES","",IF($AB2644&lt;&gt;0,"",IF(COUNTIFS('AR SALES'!$L$2:$L$2501,$L2644,'AR SALES'!$AD$2:$AD$2501,IF(""&amp;$F2644="4","OFF","ON"),'AR SALES'!$AF$2:$AF$2501,"Y")&gt;0,"","NO EXEMPTION"))),"")</f>
        <v/>
      </c>
    </row>
    <row r="2645" spans="46:54" x14ac:dyDescent="0.25">
      <c r="AT2645" s="2" t="str">
        <f>IF($L2645="","",IFERROR(INDEX('AR SALES'!$H$2:$H$2501,MATCH(""&amp;$L2645,'AR SALES'!$AE$2:$AE$2501,0)),""))</f>
        <v/>
      </c>
      <c r="AU2645" s="2" t="str">
        <f t="shared" si="164"/>
        <v/>
      </c>
      <c r="AV2645" s="2" t="str">
        <f t="shared" si="165"/>
        <v/>
      </c>
      <c r="AW2645" s="2" t="str">
        <f t="shared" si="166"/>
        <v/>
      </c>
      <c r="AX2645" s="2" t="str">
        <f t="shared" si="167"/>
        <v/>
      </c>
      <c r="AY2645" s="2" t="str">
        <f>IF($AV2645="","",IF(AND($Z2645=0,COUNTIF('AR SALES'!$L$2:$L$2501,$L2645)=0),"YES",""))</f>
        <v/>
      </c>
      <c r="AZ2645" s="2" t="str">
        <f>IF($AV2645="","",IF(COUNTIF(LISTS!$C$2:$C$250,$AU2645)=0,"NEW",""))</f>
        <v/>
      </c>
      <c r="BA2645" s="2" t="str">
        <f>IF(""&amp;$F2645&lt;&gt;"4","",IF($AY2645="YES","",IF(ROUND(SUMIFS($AE$2:$AE$4001,$L$2:$L$4001,$L2645,$F$2:$F$4001,"4")-SUMIFS('AR SALES'!$Y$2:$Y$2501,'AR SALES'!$L$2:$L$2501,$L2645,'AR SALES'!$AD$2:$AD$2501,"OFF"),2)=0,"","STALE")))</f>
        <v/>
      </c>
      <c r="BB2645" s="2" t="str">
        <f>IF(OR(""&amp;$F2645="2",""&amp;$F2645="4",""&amp;$F2645="G",""&amp;$F2645="H"),IF($AY2645="YES","",IF($AB2645&lt;&gt;0,"",IF(COUNTIFS('AR SALES'!$L$2:$L$2501,$L2645,'AR SALES'!$AD$2:$AD$2501,IF(""&amp;$F2645="4","OFF","ON"),'AR SALES'!$AF$2:$AF$2501,"Y")&gt;0,"","NO EXEMPTION"))),"")</f>
        <v/>
      </c>
    </row>
    <row r="2646" spans="46:54" x14ac:dyDescent="0.25">
      <c r="AT2646" s="2" t="str">
        <f>IF($L2646="","",IFERROR(INDEX('AR SALES'!$H$2:$H$2501,MATCH(""&amp;$L2646,'AR SALES'!$AE$2:$AE$2501,0)),""))</f>
        <v/>
      </c>
      <c r="AU2646" s="2" t="str">
        <f t="shared" si="164"/>
        <v/>
      </c>
      <c r="AV2646" s="2" t="str">
        <f t="shared" si="165"/>
        <v/>
      </c>
      <c r="AW2646" s="2" t="str">
        <f t="shared" si="166"/>
        <v/>
      </c>
      <c r="AX2646" s="2" t="str">
        <f t="shared" si="167"/>
        <v/>
      </c>
      <c r="AY2646" s="2" t="str">
        <f>IF($AV2646="","",IF(AND($Z2646=0,COUNTIF('AR SALES'!$L$2:$L$2501,$L2646)=0),"YES",""))</f>
        <v/>
      </c>
      <c r="AZ2646" s="2" t="str">
        <f>IF($AV2646="","",IF(COUNTIF(LISTS!$C$2:$C$250,$AU2646)=0,"NEW",""))</f>
        <v/>
      </c>
      <c r="BA2646" s="2" t="str">
        <f>IF(""&amp;$F2646&lt;&gt;"4","",IF($AY2646="YES","",IF(ROUND(SUMIFS($AE$2:$AE$4001,$L$2:$L$4001,$L2646,$F$2:$F$4001,"4")-SUMIFS('AR SALES'!$Y$2:$Y$2501,'AR SALES'!$L$2:$L$2501,$L2646,'AR SALES'!$AD$2:$AD$2501,"OFF"),2)=0,"","STALE")))</f>
        <v/>
      </c>
      <c r="BB2646" s="2" t="str">
        <f>IF(OR(""&amp;$F2646="2",""&amp;$F2646="4",""&amp;$F2646="G",""&amp;$F2646="H"),IF($AY2646="YES","",IF($AB2646&lt;&gt;0,"",IF(COUNTIFS('AR SALES'!$L$2:$L$2501,$L2646,'AR SALES'!$AD$2:$AD$2501,IF(""&amp;$F2646="4","OFF","ON"),'AR SALES'!$AF$2:$AF$2501,"Y")&gt;0,"","NO EXEMPTION"))),"")</f>
        <v/>
      </c>
    </row>
    <row r="2647" spans="46:54" x14ac:dyDescent="0.25">
      <c r="AT2647" s="2" t="str">
        <f>IF($L2647="","",IFERROR(INDEX('AR SALES'!$H$2:$H$2501,MATCH(""&amp;$L2647,'AR SALES'!$AE$2:$AE$2501,0)),""))</f>
        <v/>
      </c>
      <c r="AU2647" s="2" t="str">
        <f t="shared" si="164"/>
        <v/>
      </c>
      <c r="AV2647" s="2" t="str">
        <f t="shared" si="165"/>
        <v/>
      </c>
      <c r="AW2647" s="2" t="str">
        <f t="shared" si="166"/>
        <v/>
      </c>
      <c r="AX2647" s="2" t="str">
        <f t="shared" si="167"/>
        <v/>
      </c>
      <c r="AY2647" s="2" t="str">
        <f>IF($AV2647="","",IF(AND($Z2647=0,COUNTIF('AR SALES'!$L$2:$L$2501,$L2647)=0),"YES",""))</f>
        <v/>
      </c>
      <c r="AZ2647" s="2" t="str">
        <f>IF($AV2647="","",IF(COUNTIF(LISTS!$C$2:$C$250,$AU2647)=0,"NEW",""))</f>
        <v/>
      </c>
      <c r="BA2647" s="2" t="str">
        <f>IF(""&amp;$F2647&lt;&gt;"4","",IF($AY2647="YES","",IF(ROUND(SUMIFS($AE$2:$AE$4001,$L$2:$L$4001,$L2647,$F$2:$F$4001,"4")-SUMIFS('AR SALES'!$Y$2:$Y$2501,'AR SALES'!$L$2:$L$2501,$L2647,'AR SALES'!$AD$2:$AD$2501,"OFF"),2)=0,"","STALE")))</f>
        <v/>
      </c>
      <c r="BB2647" s="2" t="str">
        <f>IF(OR(""&amp;$F2647="2",""&amp;$F2647="4",""&amp;$F2647="G",""&amp;$F2647="H"),IF($AY2647="YES","",IF($AB2647&lt;&gt;0,"",IF(COUNTIFS('AR SALES'!$L$2:$L$2501,$L2647,'AR SALES'!$AD$2:$AD$2501,IF(""&amp;$F2647="4","OFF","ON"),'AR SALES'!$AF$2:$AF$2501,"Y")&gt;0,"","NO EXEMPTION"))),"")</f>
        <v/>
      </c>
    </row>
    <row r="2648" spans="46:54" x14ac:dyDescent="0.25">
      <c r="AT2648" s="2" t="str">
        <f>IF($L2648="","",IFERROR(INDEX('AR SALES'!$H$2:$H$2501,MATCH(""&amp;$L2648,'AR SALES'!$AE$2:$AE$2501,0)),""))</f>
        <v/>
      </c>
      <c r="AU2648" s="2" t="str">
        <f t="shared" si="164"/>
        <v/>
      </c>
      <c r="AV2648" s="2" t="str">
        <f t="shared" si="165"/>
        <v/>
      </c>
      <c r="AW2648" s="2" t="str">
        <f t="shared" si="166"/>
        <v/>
      </c>
      <c r="AX2648" s="2" t="str">
        <f t="shared" si="167"/>
        <v/>
      </c>
      <c r="AY2648" s="2" t="str">
        <f>IF($AV2648="","",IF(AND($Z2648=0,COUNTIF('AR SALES'!$L$2:$L$2501,$L2648)=0),"YES",""))</f>
        <v/>
      </c>
      <c r="AZ2648" s="2" t="str">
        <f>IF($AV2648="","",IF(COUNTIF(LISTS!$C$2:$C$250,$AU2648)=0,"NEW",""))</f>
        <v/>
      </c>
      <c r="BA2648" s="2" t="str">
        <f>IF(""&amp;$F2648&lt;&gt;"4","",IF($AY2648="YES","",IF(ROUND(SUMIFS($AE$2:$AE$4001,$L$2:$L$4001,$L2648,$F$2:$F$4001,"4")-SUMIFS('AR SALES'!$Y$2:$Y$2501,'AR SALES'!$L$2:$L$2501,$L2648,'AR SALES'!$AD$2:$AD$2501,"OFF"),2)=0,"","STALE")))</f>
        <v/>
      </c>
      <c r="BB2648" s="2" t="str">
        <f>IF(OR(""&amp;$F2648="2",""&amp;$F2648="4",""&amp;$F2648="G",""&amp;$F2648="H"),IF($AY2648="YES","",IF($AB2648&lt;&gt;0,"",IF(COUNTIFS('AR SALES'!$L$2:$L$2501,$L2648,'AR SALES'!$AD$2:$AD$2501,IF(""&amp;$F2648="4","OFF","ON"),'AR SALES'!$AF$2:$AF$2501,"Y")&gt;0,"","NO EXEMPTION"))),"")</f>
        <v/>
      </c>
    </row>
    <row r="2649" spans="46:54" x14ac:dyDescent="0.25">
      <c r="AT2649" s="2" t="str">
        <f>IF($L2649="","",IFERROR(INDEX('AR SALES'!$H$2:$H$2501,MATCH(""&amp;$L2649,'AR SALES'!$AE$2:$AE$2501,0)),""))</f>
        <v/>
      </c>
      <c r="AU2649" s="2" t="str">
        <f t="shared" si="164"/>
        <v/>
      </c>
      <c r="AV2649" s="2" t="str">
        <f t="shared" si="165"/>
        <v/>
      </c>
      <c r="AW2649" s="2" t="str">
        <f t="shared" si="166"/>
        <v/>
      </c>
      <c r="AX2649" s="2" t="str">
        <f t="shared" si="167"/>
        <v/>
      </c>
      <c r="AY2649" s="2" t="str">
        <f>IF($AV2649="","",IF(AND($Z2649=0,COUNTIF('AR SALES'!$L$2:$L$2501,$L2649)=0),"YES",""))</f>
        <v/>
      </c>
      <c r="AZ2649" s="2" t="str">
        <f>IF($AV2649="","",IF(COUNTIF(LISTS!$C$2:$C$250,$AU2649)=0,"NEW",""))</f>
        <v/>
      </c>
      <c r="BA2649" s="2" t="str">
        <f>IF(""&amp;$F2649&lt;&gt;"4","",IF($AY2649="YES","",IF(ROUND(SUMIFS($AE$2:$AE$4001,$L$2:$L$4001,$L2649,$F$2:$F$4001,"4")-SUMIFS('AR SALES'!$Y$2:$Y$2501,'AR SALES'!$L$2:$L$2501,$L2649,'AR SALES'!$AD$2:$AD$2501,"OFF"),2)=0,"","STALE")))</f>
        <v/>
      </c>
      <c r="BB2649" s="2" t="str">
        <f>IF(OR(""&amp;$F2649="2",""&amp;$F2649="4",""&amp;$F2649="G",""&amp;$F2649="H"),IF($AY2649="YES","",IF($AB2649&lt;&gt;0,"",IF(COUNTIFS('AR SALES'!$L$2:$L$2501,$L2649,'AR SALES'!$AD$2:$AD$2501,IF(""&amp;$F2649="4","OFF","ON"),'AR SALES'!$AF$2:$AF$2501,"Y")&gt;0,"","NO EXEMPTION"))),"")</f>
        <v/>
      </c>
    </row>
    <row r="2650" spans="46:54" x14ac:dyDescent="0.25">
      <c r="AT2650" s="2" t="str">
        <f>IF($L2650="","",IFERROR(INDEX('AR SALES'!$H$2:$H$2501,MATCH(""&amp;$L2650,'AR SALES'!$AE$2:$AE$2501,0)),""))</f>
        <v/>
      </c>
      <c r="AU2650" s="2" t="str">
        <f t="shared" si="164"/>
        <v/>
      </c>
      <c r="AV2650" s="2" t="str">
        <f t="shared" si="165"/>
        <v/>
      </c>
      <c r="AW2650" s="2" t="str">
        <f t="shared" si="166"/>
        <v/>
      </c>
      <c r="AX2650" s="2" t="str">
        <f t="shared" si="167"/>
        <v/>
      </c>
      <c r="AY2650" s="2" t="str">
        <f>IF($AV2650="","",IF(AND($Z2650=0,COUNTIF('AR SALES'!$L$2:$L$2501,$L2650)=0),"YES",""))</f>
        <v/>
      </c>
      <c r="AZ2650" s="2" t="str">
        <f>IF($AV2650="","",IF(COUNTIF(LISTS!$C$2:$C$250,$AU2650)=0,"NEW",""))</f>
        <v/>
      </c>
      <c r="BA2650" s="2" t="str">
        <f>IF(""&amp;$F2650&lt;&gt;"4","",IF($AY2650="YES","",IF(ROUND(SUMIFS($AE$2:$AE$4001,$L$2:$L$4001,$L2650,$F$2:$F$4001,"4")-SUMIFS('AR SALES'!$Y$2:$Y$2501,'AR SALES'!$L$2:$L$2501,$L2650,'AR SALES'!$AD$2:$AD$2501,"OFF"),2)=0,"","STALE")))</f>
        <v/>
      </c>
      <c r="BB2650" s="2" t="str">
        <f>IF(OR(""&amp;$F2650="2",""&amp;$F2650="4",""&amp;$F2650="G",""&amp;$F2650="H"),IF($AY2650="YES","",IF($AB2650&lt;&gt;0,"",IF(COUNTIFS('AR SALES'!$L$2:$L$2501,$L2650,'AR SALES'!$AD$2:$AD$2501,IF(""&amp;$F2650="4","OFF","ON"),'AR SALES'!$AF$2:$AF$2501,"Y")&gt;0,"","NO EXEMPTION"))),"")</f>
        <v/>
      </c>
    </row>
    <row r="2651" spans="46:54" x14ac:dyDescent="0.25">
      <c r="AT2651" s="2" t="str">
        <f>IF($L2651="","",IFERROR(INDEX('AR SALES'!$H$2:$H$2501,MATCH(""&amp;$L2651,'AR SALES'!$AE$2:$AE$2501,0)),""))</f>
        <v/>
      </c>
      <c r="AU2651" s="2" t="str">
        <f t="shared" si="164"/>
        <v/>
      </c>
      <c r="AV2651" s="2" t="str">
        <f t="shared" si="165"/>
        <v/>
      </c>
      <c r="AW2651" s="2" t="str">
        <f t="shared" si="166"/>
        <v/>
      </c>
      <c r="AX2651" s="2" t="str">
        <f t="shared" si="167"/>
        <v/>
      </c>
      <c r="AY2651" s="2" t="str">
        <f>IF($AV2651="","",IF(AND($Z2651=0,COUNTIF('AR SALES'!$L$2:$L$2501,$L2651)=0),"YES",""))</f>
        <v/>
      </c>
      <c r="AZ2651" s="2" t="str">
        <f>IF($AV2651="","",IF(COUNTIF(LISTS!$C$2:$C$250,$AU2651)=0,"NEW",""))</f>
        <v/>
      </c>
      <c r="BA2651" s="2" t="str">
        <f>IF(""&amp;$F2651&lt;&gt;"4","",IF($AY2651="YES","",IF(ROUND(SUMIFS($AE$2:$AE$4001,$L$2:$L$4001,$L2651,$F$2:$F$4001,"4")-SUMIFS('AR SALES'!$Y$2:$Y$2501,'AR SALES'!$L$2:$L$2501,$L2651,'AR SALES'!$AD$2:$AD$2501,"OFF"),2)=0,"","STALE")))</f>
        <v/>
      </c>
      <c r="BB2651" s="2" t="str">
        <f>IF(OR(""&amp;$F2651="2",""&amp;$F2651="4",""&amp;$F2651="G",""&amp;$F2651="H"),IF($AY2651="YES","",IF($AB2651&lt;&gt;0,"",IF(COUNTIFS('AR SALES'!$L$2:$L$2501,$L2651,'AR SALES'!$AD$2:$AD$2501,IF(""&amp;$F2651="4","OFF","ON"),'AR SALES'!$AF$2:$AF$2501,"Y")&gt;0,"","NO EXEMPTION"))),"")</f>
        <v/>
      </c>
    </row>
    <row r="2652" spans="46:54" x14ac:dyDescent="0.25">
      <c r="AT2652" s="2" t="str">
        <f>IF($L2652="","",IFERROR(INDEX('AR SALES'!$H$2:$H$2501,MATCH(""&amp;$L2652,'AR SALES'!$AE$2:$AE$2501,0)),""))</f>
        <v/>
      </c>
      <c r="AU2652" s="2" t="str">
        <f t="shared" si="164"/>
        <v/>
      </c>
      <c r="AV2652" s="2" t="str">
        <f t="shared" si="165"/>
        <v/>
      </c>
      <c r="AW2652" s="2" t="str">
        <f t="shared" si="166"/>
        <v/>
      </c>
      <c r="AX2652" s="2" t="str">
        <f t="shared" si="167"/>
        <v/>
      </c>
      <c r="AY2652" s="2" t="str">
        <f>IF($AV2652="","",IF(AND($Z2652=0,COUNTIF('AR SALES'!$L$2:$L$2501,$L2652)=0),"YES",""))</f>
        <v/>
      </c>
      <c r="AZ2652" s="2" t="str">
        <f>IF($AV2652="","",IF(COUNTIF(LISTS!$C$2:$C$250,$AU2652)=0,"NEW",""))</f>
        <v/>
      </c>
      <c r="BA2652" s="2" t="str">
        <f>IF(""&amp;$F2652&lt;&gt;"4","",IF($AY2652="YES","",IF(ROUND(SUMIFS($AE$2:$AE$4001,$L$2:$L$4001,$L2652,$F$2:$F$4001,"4")-SUMIFS('AR SALES'!$Y$2:$Y$2501,'AR SALES'!$L$2:$L$2501,$L2652,'AR SALES'!$AD$2:$AD$2501,"OFF"),2)=0,"","STALE")))</f>
        <v/>
      </c>
      <c r="BB2652" s="2" t="str">
        <f>IF(OR(""&amp;$F2652="2",""&amp;$F2652="4",""&amp;$F2652="G",""&amp;$F2652="H"),IF($AY2652="YES","",IF($AB2652&lt;&gt;0,"",IF(COUNTIFS('AR SALES'!$L$2:$L$2501,$L2652,'AR SALES'!$AD$2:$AD$2501,IF(""&amp;$F2652="4","OFF","ON"),'AR SALES'!$AF$2:$AF$2501,"Y")&gt;0,"","NO EXEMPTION"))),"")</f>
        <v/>
      </c>
    </row>
    <row r="2653" spans="46:54" x14ac:dyDescent="0.25">
      <c r="AT2653" s="2" t="str">
        <f>IF($L2653="","",IFERROR(INDEX('AR SALES'!$H$2:$H$2501,MATCH(""&amp;$L2653,'AR SALES'!$AE$2:$AE$2501,0)),""))</f>
        <v/>
      </c>
      <c r="AU2653" s="2" t="str">
        <f t="shared" si="164"/>
        <v/>
      </c>
      <c r="AV2653" s="2" t="str">
        <f t="shared" si="165"/>
        <v/>
      </c>
      <c r="AW2653" s="2" t="str">
        <f t="shared" si="166"/>
        <v/>
      </c>
      <c r="AX2653" s="2" t="str">
        <f t="shared" si="167"/>
        <v/>
      </c>
      <c r="AY2653" s="2" t="str">
        <f>IF($AV2653="","",IF(AND($Z2653=0,COUNTIF('AR SALES'!$L$2:$L$2501,$L2653)=0),"YES",""))</f>
        <v/>
      </c>
      <c r="AZ2653" s="2" t="str">
        <f>IF($AV2653="","",IF(COUNTIF(LISTS!$C$2:$C$250,$AU2653)=0,"NEW",""))</f>
        <v/>
      </c>
      <c r="BA2653" s="2" t="str">
        <f>IF(""&amp;$F2653&lt;&gt;"4","",IF($AY2653="YES","",IF(ROUND(SUMIFS($AE$2:$AE$4001,$L$2:$L$4001,$L2653,$F$2:$F$4001,"4")-SUMIFS('AR SALES'!$Y$2:$Y$2501,'AR SALES'!$L$2:$L$2501,$L2653,'AR SALES'!$AD$2:$AD$2501,"OFF"),2)=0,"","STALE")))</f>
        <v/>
      </c>
      <c r="BB2653" s="2" t="str">
        <f>IF(OR(""&amp;$F2653="2",""&amp;$F2653="4",""&amp;$F2653="G",""&amp;$F2653="H"),IF($AY2653="YES","",IF($AB2653&lt;&gt;0,"",IF(COUNTIFS('AR SALES'!$L$2:$L$2501,$L2653,'AR SALES'!$AD$2:$AD$2501,IF(""&amp;$F2653="4","OFF","ON"),'AR SALES'!$AF$2:$AF$2501,"Y")&gt;0,"","NO EXEMPTION"))),"")</f>
        <v/>
      </c>
    </row>
    <row r="2654" spans="46:54" x14ac:dyDescent="0.25">
      <c r="AT2654" s="2" t="str">
        <f>IF($L2654="","",IFERROR(INDEX('AR SALES'!$H$2:$H$2501,MATCH(""&amp;$L2654,'AR SALES'!$AE$2:$AE$2501,0)),""))</f>
        <v/>
      </c>
      <c r="AU2654" s="2" t="str">
        <f t="shared" si="164"/>
        <v/>
      </c>
      <c r="AV2654" s="2" t="str">
        <f t="shared" si="165"/>
        <v/>
      </c>
      <c r="AW2654" s="2" t="str">
        <f t="shared" si="166"/>
        <v/>
      </c>
      <c r="AX2654" s="2" t="str">
        <f t="shared" si="167"/>
        <v/>
      </c>
      <c r="AY2654" s="2" t="str">
        <f>IF($AV2654="","",IF(AND($Z2654=0,COUNTIF('AR SALES'!$L$2:$L$2501,$L2654)=0),"YES",""))</f>
        <v/>
      </c>
      <c r="AZ2654" s="2" t="str">
        <f>IF($AV2654="","",IF(COUNTIF(LISTS!$C$2:$C$250,$AU2654)=0,"NEW",""))</f>
        <v/>
      </c>
      <c r="BA2654" s="2" t="str">
        <f>IF(""&amp;$F2654&lt;&gt;"4","",IF($AY2654="YES","",IF(ROUND(SUMIFS($AE$2:$AE$4001,$L$2:$L$4001,$L2654,$F$2:$F$4001,"4")-SUMIFS('AR SALES'!$Y$2:$Y$2501,'AR SALES'!$L$2:$L$2501,$L2654,'AR SALES'!$AD$2:$AD$2501,"OFF"),2)=0,"","STALE")))</f>
        <v/>
      </c>
      <c r="BB2654" s="2" t="str">
        <f>IF(OR(""&amp;$F2654="2",""&amp;$F2654="4",""&amp;$F2654="G",""&amp;$F2654="H"),IF($AY2654="YES","",IF($AB2654&lt;&gt;0,"",IF(COUNTIFS('AR SALES'!$L$2:$L$2501,$L2654,'AR SALES'!$AD$2:$AD$2501,IF(""&amp;$F2654="4","OFF","ON"),'AR SALES'!$AF$2:$AF$2501,"Y")&gt;0,"","NO EXEMPTION"))),"")</f>
        <v/>
      </c>
    </row>
    <row r="2655" spans="46:54" x14ac:dyDescent="0.25">
      <c r="AT2655" s="2" t="str">
        <f>IF($L2655="","",IFERROR(INDEX('AR SALES'!$H$2:$H$2501,MATCH(""&amp;$L2655,'AR SALES'!$AE$2:$AE$2501,0)),""))</f>
        <v/>
      </c>
      <c r="AU2655" s="2" t="str">
        <f t="shared" si="164"/>
        <v/>
      </c>
      <c r="AV2655" s="2" t="str">
        <f t="shared" si="165"/>
        <v/>
      </c>
      <c r="AW2655" s="2" t="str">
        <f t="shared" si="166"/>
        <v/>
      </c>
      <c r="AX2655" s="2" t="str">
        <f t="shared" si="167"/>
        <v/>
      </c>
      <c r="AY2655" s="2" t="str">
        <f>IF($AV2655="","",IF(AND($Z2655=0,COUNTIF('AR SALES'!$L$2:$L$2501,$L2655)=0),"YES",""))</f>
        <v/>
      </c>
      <c r="AZ2655" s="2" t="str">
        <f>IF($AV2655="","",IF(COUNTIF(LISTS!$C$2:$C$250,$AU2655)=0,"NEW",""))</f>
        <v/>
      </c>
      <c r="BA2655" s="2" t="str">
        <f>IF(""&amp;$F2655&lt;&gt;"4","",IF($AY2655="YES","",IF(ROUND(SUMIFS($AE$2:$AE$4001,$L$2:$L$4001,$L2655,$F$2:$F$4001,"4")-SUMIFS('AR SALES'!$Y$2:$Y$2501,'AR SALES'!$L$2:$L$2501,$L2655,'AR SALES'!$AD$2:$AD$2501,"OFF"),2)=0,"","STALE")))</f>
        <v/>
      </c>
      <c r="BB2655" s="2" t="str">
        <f>IF(OR(""&amp;$F2655="2",""&amp;$F2655="4",""&amp;$F2655="G",""&amp;$F2655="H"),IF($AY2655="YES","",IF($AB2655&lt;&gt;0,"",IF(COUNTIFS('AR SALES'!$L$2:$L$2501,$L2655,'AR SALES'!$AD$2:$AD$2501,IF(""&amp;$F2655="4","OFF","ON"),'AR SALES'!$AF$2:$AF$2501,"Y")&gt;0,"","NO EXEMPTION"))),"")</f>
        <v/>
      </c>
    </row>
    <row r="2656" spans="46:54" x14ac:dyDescent="0.25">
      <c r="AT2656" s="2" t="str">
        <f>IF($L2656="","",IFERROR(INDEX('AR SALES'!$H$2:$H$2501,MATCH(""&amp;$L2656,'AR SALES'!$AE$2:$AE$2501,0)),""))</f>
        <v/>
      </c>
      <c r="AU2656" s="2" t="str">
        <f t="shared" si="164"/>
        <v/>
      </c>
      <c r="AV2656" s="2" t="str">
        <f t="shared" si="165"/>
        <v/>
      </c>
      <c r="AW2656" s="2" t="str">
        <f t="shared" si="166"/>
        <v/>
      </c>
      <c r="AX2656" s="2" t="str">
        <f t="shared" si="167"/>
        <v/>
      </c>
      <c r="AY2656" s="2" t="str">
        <f>IF($AV2656="","",IF(AND($Z2656=0,COUNTIF('AR SALES'!$L$2:$L$2501,$L2656)=0),"YES",""))</f>
        <v/>
      </c>
      <c r="AZ2656" s="2" t="str">
        <f>IF($AV2656="","",IF(COUNTIF(LISTS!$C$2:$C$250,$AU2656)=0,"NEW",""))</f>
        <v/>
      </c>
      <c r="BA2656" s="2" t="str">
        <f>IF(""&amp;$F2656&lt;&gt;"4","",IF($AY2656="YES","",IF(ROUND(SUMIFS($AE$2:$AE$4001,$L$2:$L$4001,$L2656,$F$2:$F$4001,"4")-SUMIFS('AR SALES'!$Y$2:$Y$2501,'AR SALES'!$L$2:$L$2501,$L2656,'AR SALES'!$AD$2:$AD$2501,"OFF"),2)=0,"","STALE")))</f>
        <v/>
      </c>
      <c r="BB2656" s="2" t="str">
        <f>IF(OR(""&amp;$F2656="2",""&amp;$F2656="4",""&amp;$F2656="G",""&amp;$F2656="H"),IF($AY2656="YES","",IF($AB2656&lt;&gt;0,"",IF(COUNTIFS('AR SALES'!$L$2:$L$2501,$L2656,'AR SALES'!$AD$2:$AD$2501,IF(""&amp;$F2656="4","OFF","ON"),'AR SALES'!$AF$2:$AF$2501,"Y")&gt;0,"","NO EXEMPTION"))),"")</f>
        <v/>
      </c>
    </row>
    <row r="2657" spans="46:54" x14ac:dyDescent="0.25">
      <c r="AT2657" s="2" t="str">
        <f>IF($L2657="","",IFERROR(INDEX('AR SALES'!$H$2:$H$2501,MATCH(""&amp;$L2657,'AR SALES'!$AE$2:$AE$2501,0)),""))</f>
        <v/>
      </c>
      <c r="AU2657" s="2" t="str">
        <f t="shared" si="164"/>
        <v/>
      </c>
      <c r="AV2657" s="2" t="str">
        <f t="shared" si="165"/>
        <v/>
      </c>
      <c r="AW2657" s="2" t="str">
        <f t="shared" si="166"/>
        <v/>
      </c>
      <c r="AX2657" s="2" t="str">
        <f t="shared" si="167"/>
        <v/>
      </c>
      <c r="AY2657" s="2" t="str">
        <f>IF($AV2657="","",IF(AND($Z2657=0,COUNTIF('AR SALES'!$L$2:$L$2501,$L2657)=0),"YES",""))</f>
        <v/>
      </c>
      <c r="AZ2657" s="2" t="str">
        <f>IF($AV2657="","",IF(COUNTIF(LISTS!$C$2:$C$250,$AU2657)=0,"NEW",""))</f>
        <v/>
      </c>
      <c r="BA2657" s="2" t="str">
        <f>IF(""&amp;$F2657&lt;&gt;"4","",IF($AY2657="YES","",IF(ROUND(SUMIFS($AE$2:$AE$4001,$L$2:$L$4001,$L2657,$F$2:$F$4001,"4")-SUMIFS('AR SALES'!$Y$2:$Y$2501,'AR SALES'!$L$2:$L$2501,$L2657,'AR SALES'!$AD$2:$AD$2501,"OFF"),2)=0,"","STALE")))</f>
        <v/>
      </c>
      <c r="BB2657" s="2" t="str">
        <f>IF(OR(""&amp;$F2657="2",""&amp;$F2657="4",""&amp;$F2657="G",""&amp;$F2657="H"),IF($AY2657="YES","",IF($AB2657&lt;&gt;0,"",IF(COUNTIFS('AR SALES'!$L$2:$L$2501,$L2657,'AR SALES'!$AD$2:$AD$2501,IF(""&amp;$F2657="4","OFF","ON"),'AR SALES'!$AF$2:$AF$2501,"Y")&gt;0,"","NO EXEMPTION"))),"")</f>
        <v/>
      </c>
    </row>
    <row r="2658" spans="46:54" x14ac:dyDescent="0.25">
      <c r="AT2658" s="2" t="str">
        <f>IF($L2658="","",IFERROR(INDEX('AR SALES'!$H$2:$H$2501,MATCH(""&amp;$L2658,'AR SALES'!$AE$2:$AE$2501,0)),""))</f>
        <v/>
      </c>
      <c r="AU2658" s="2" t="str">
        <f t="shared" si="164"/>
        <v/>
      </c>
      <c r="AV2658" s="2" t="str">
        <f t="shared" si="165"/>
        <v/>
      </c>
      <c r="AW2658" s="2" t="str">
        <f t="shared" si="166"/>
        <v/>
      </c>
      <c r="AX2658" s="2" t="str">
        <f t="shared" si="167"/>
        <v/>
      </c>
      <c r="AY2658" s="2" t="str">
        <f>IF($AV2658="","",IF(AND($Z2658=0,COUNTIF('AR SALES'!$L$2:$L$2501,$L2658)=0),"YES",""))</f>
        <v/>
      </c>
      <c r="AZ2658" s="2" t="str">
        <f>IF($AV2658="","",IF(COUNTIF(LISTS!$C$2:$C$250,$AU2658)=0,"NEW",""))</f>
        <v/>
      </c>
      <c r="BA2658" s="2" t="str">
        <f>IF(""&amp;$F2658&lt;&gt;"4","",IF($AY2658="YES","",IF(ROUND(SUMIFS($AE$2:$AE$4001,$L$2:$L$4001,$L2658,$F$2:$F$4001,"4")-SUMIFS('AR SALES'!$Y$2:$Y$2501,'AR SALES'!$L$2:$L$2501,$L2658,'AR SALES'!$AD$2:$AD$2501,"OFF"),2)=0,"","STALE")))</f>
        <v/>
      </c>
      <c r="BB2658" s="2" t="str">
        <f>IF(OR(""&amp;$F2658="2",""&amp;$F2658="4",""&amp;$F2658="G",""&amp;$F2658="H"),IF($AY2658="YES","",IF($AB2658&lt;&gt;0,"",IF(COUNTIFS('AR SALES'!$L$2:$L$2501,$L2658,'AR SALES'!$AD$2:$AD$2501,IF(""&amp;$F2658="4","OFF","ON"),'AR SALES'!$AF$2:$AF$2501,"Y")&gt;0,"","NO EXEMPTION"))),"")</f>
        <v/>
      </c>
    </row>
    <row r="2659" spans="46:54" x14ac:dyDescent="0.25">
      <c r="AT2659" s="2" t="str">
        <f>IF($L2659="","",IFERROR(INDEX('AR SALES'!$H$2:$H$2501,MATCH(""&amp;$L2659,'AR SALES'!$AE$2:$AE$2501,0)),""))</f>
        <v/>
      </c>
      <c r="AU2659" s="2" t="str">
        <f t="shared" si="164"/>
        <v/>
      </c>
      <c r="AV2659" s="2" t="str">
        <f t="shared" si="165"/>
        <v/>
      </c>
      <c r="AW2659" s="2" t="str">
        <f t="shared" si="166"/>
        <v/>
      </c>
      <c r="AX2659" s="2" t="str">
        <f t="shared" si="167"/>
        <v/>
      </c>
      <c r="AY2659" s="2" t="str">
        <f>IF($AV2659="","",IF(AND($Z2659=0,COUNTIF('AR SALES'!$L$2:$L$2501,$L2659)=0),"YES",""))</f>
        <v/>
      </c>
      <c r="AZ2659" s="2" t="str">
        <f>IF($AV2659="","",IF(COUNTIF(LISTS!$C$2:$C$250,$AU2659)=0,"NEW",""))</f>
        <v/>
      </c>
      <c r="BA2659" s="2" t="str">
        <f>IF(""&amp;$F2659&lt;&gt;"4","",IF($AY2659="YES","",IF(ROUND(SUMIFS($AE$2:$AE$4001,$L$2:$L$4001,$L2659,$F$2:$F$4001,"4")-SUMIFS('AR SALES'!$Y$2:$Y$2501,'AR SALES'!$L$2:$L$2501,$L2659,'AR SALES'!$AD$2:$AD$2501,"OFF"),2)=0,"","STALE")))</f>
        <v/>
      </c>
      <c r="BB2659" s="2" t="str">
        <f>IF(OR(""&amp;$F2659="2",""&amp;$F2659="4",""&amp;$F2659="G",""&amp;$F2659="H"),IF($AY2659="YES","",IF($AB2659&lt;&gt;0,"",IF(COUNTIFS('AR SALES'!$L$2:$L$2501,$L2659,'AR SALES'!$AD$2:$AD$2501,IF(""&amp;$F2659="4","OFF","ON"),'AR SALES'!$AF$2:$AF$2501,"Y")&gt;0,"","NO EXEMPTION"))),"")</f>
        <v/>
      </c>
    </row>
    <row r="2660" spans="46:54" x14ac:dyDescent="0.25">
      <c r="AT2660" s="2" t="str">
        <f>IF($L2660="","",IFERROR(INDEX('AR SALES'!$H$2:$H$2501,MATCH(""&amp;$L2660,'AR SALES'!$AE$2:$AE$2501,0)),""))</f>
        <v/>
      </c>
      <c r="AU2660" s="2" t="str">
        <f t="shared" si="164"/>
        <v/>
      </c>
      <c r="AV2660" s="2" t="str">
        <f t="shared" si="165"/>
        <v/>
      </c>
      <c r="AW2660" s="2" t="str">
        <f t="shared" si="166"/>
        <v/>
      </c>
      <c r="AX2660" s="2" t="str">
        <f t="shared" si="167"/>
        <v/>
      </c>
      <c r="AY2660" s="2" t="str">
        <f>IF($AV2660="","",IF(AND($Z2660=0,COUNTIF('AR SALES'!$L$2:$L$2501,$L2660)=0),"YES",""))</f>
        <v/>
      </c>
      <c r="AZ2660" s="2" t="str">
        <f>IF($AV2660="","",IF(COUNTIF(LISTS!$C$2:$C$250,$AU2660)=0,"NEW",""))</f>
        <v/>
      </c>
      <c r="BA2660" s="2" t="str">
        <f>IF(""&amp;$F2660&lt;&gt;"4","",IF($AY2660="YES","",IF(ROUND(SUMIFS($AE$2:$AE$4001,$L$2:$L$4001,$L2660,$F$2:$F$4001,"4")-SUMIFS('AR SALES'!$Y$2:$Y$2501,'AR SALES'!$L$2:$L$2501,$L2660,'AR SALES'!$AD$2:$AD$2501,"OFF"),2)=0,"","STALE")))</f>
        <v/>
      </c>
      <c r="BB2660" s="2" t="str">
        <f>IF(OR(""&amp;$F2660="2",""&amp;$F2660="4",""&amp;$F2660="G",""&amp;$F2660="H"),IF($AY2660="YES","",IF($AB2660&lt;&gt;0,"",IF(COUNTIFS('AR SALES'!$L$2:$L$2501,$L2660,'AR SALES'!$AD$2:$AD$2501,IF(""&amp;$F2660="4","OFF","ON"),'AR SALES'!$AF$2:$AF$2501,"Y")&gt;0,"","NO EXEMPTION"))),"")</f>
        <v/>
      </c>
    </row>
    <row r="2661" spans="46:54" x14ac:dyDescent="0.25">
      <c r="AT2661" s="2" t="str">
        <f>IF($L2661="","",IFERROR(INDEX('AR SALES'!$H$2:$H$2501,MATCH(""&amp;$L2661,'AR SALES'!$AE$2:$AE$2501,0)),""))</f>
        <v/>
      </c>
      <c r="AU2661" s="2" t="str">
        <f t="shared" si="164"/>
        <v/>
      </c>
      <c r="AV2661" s="2" t="str">
        <f t="shared" si="165"/>
        <v/>
      </c>
      <c r="AW2661" s="2" t="str">
        <f t="shared" si="166"/>
        <v/>
      </c>
      <c r="AX2661" s="2" t="str">
        <f t="shared" si="167"/>
        <v/>
      </c>
      <c r="AY2661" s="2" t="str">
        <f>IF($AV2661="","",IF(AND($Z2661=0,COUNTIF('AR SALES'!$L$2:$L$2501,$L2661)=0),"YES",""))</f>
        <v/>
      </c>
      <c r="AZ2661" s="2" t="str">
        <f>IF($AV2661="","",IF(COUNTIF(LISTS!$C$2:$C$250,$AU2661)=0,"NEW",""))</f>
        <v/>
      </c>
      <c r="BA2661" s="2" t="str">
        <f>IF(""&amp;$F2661&lt;&gt;"4","",IF($AY2661="YES","",IF(ROUND(SUMIFS($AE$2:$AE$4001,$L$2:$L$4001,$L2661,$F$2:$F$4001,"4")-SUMIFS('AR SALES'!$Y$2:$Y$2501,'AR SALES'!$L$2:$L$2501,$L2661,'AR SALES'!$AD$2:$AD$2501,"OFF"),2)=0,"","STALE")))</f>
        <v/>
      </c>
      <c r="BB2661" s="2" t="str">
        <f>IF(OR(""&amp;$F2661="2",""&amp;$F2661="4",""&amp;$F2661="G",""&amp;$F2661="H"),IF($AY2661="YES","",IF($AB2661&lt;&gt;0,"",IF(COUNTIFS('AR SALES'!$L$2:$L$2501,$L2661,'AR SALES'!$AD$2:$AD$2501,IF(""&amp;$F2661="4","OFF","ON"),'AR SALES'!$AF$2:$AF$2501,"Y")&gt;0,"","NO EXEMPTION"))),"")</f>
        <v/>
      </c>
    </row>
    <row r="2662" spans="46:54" x14ac:dyDescent="0.25">
      <c r="AT2662" s="2" t="str">
        <f>IF($L2662="","",IFERROR(INDEX('AR SALES'!$H$2:$H$2501,MATCH(""&amp;$L2662,'AR SALES'!$AE$2:$AE$2501,0)),""))</f>
        <v/>
      </c>
      <c r="AU2662" s="2" t="str">
        <f t="shared" si="164"/>
        <v/>
      </c>
      <c r="AV2662" s="2" t="str">
        <f t="shared" si="165"/>
        <v/>
      </c>
      <c r="AW2662" s="2" t="str">
        <f t="shared" si="166"/>
        <v/>
      </c>
      <c r="AX2662" s="2" t="str">
        <f t="shared" si="167"/>
        <v/>
      </c>
      <c r="AY2662" s="2" t="str">
        <f>IF($AV2662="","",IF(AND($Z2662=0,COUNTIF('AR SALES'!$L$2:$L$2501,$L2662)=0),"YES",""))</f>
        <v/>
      </c>
      <c r="AZ2662" s="2" t="str">
        <f>IF($AV2662="","",IF(COUNTIF(LISTS!$C$2:$C$250,$AU2662)=0,"NEW",""))</f>
        <v/>
      </c>
      <c r="BA2662" s="2" t="str">
        <f>IF(""&amp;$F2662&lt;&gt;"4","",IF($AY2662="YES","",IF(ROUND(SUMIFS($AE$2:$AE$4001,$L$2:$L$4001,$L2662,$F$2:$F$4001,"4")-SUMIFS('AR SALES'!$Y$2:$Y$2501,'AR SALES'!$L$2:$L$2501,$L2662,'AR SALES'!$AD$2:$AD$2501,"OFF"),2)=0,"","STALE")))</f>
        <v/>
      </c>
      <c r="BB2662" s="2" t="str">
        <f>IF(OR(""&amp;$F2662="2",""&amp;$F2662="4",""&amp;$F2662="G",""&amp;$F2662="H"),IF($AY2662="YES","",IF($AB2662&lt;&gt;0,"",IF(COUNTIFS('AR SALES'!$L$2:$L$2501,$L2662,'AR SALES'!$AD$2:$AD$2501,IF(""&amp;$F2662="4","OFF","ON"),'AR SALES'!$AF$2:$AF$2501,"Y")&gt;0,"","NO EXEMPTION"))),"")</f>
        <v/>
      </c>
    </row>
    <row r="2663" spans="46:54" x14ac:dyDescent="0.25">
      <c r="AT2663" s="2" t="str">
        <f>IF($L2663="","",IFERROR(INDEX('AR SALES'!$H$2:$H$2501,MATCH(""&amp;$L2663,'AR SALES'!$AE$2:$AE$2501,0)),""))</f>
        <v/>
      </c>
      <c r="AU2663" s="2" t="str">
        <f t="shared" si="164"/>
        <v/>
      </c>
      <c r="AV2663" s="2" t="str">
        <f t="shared" si="165"/>
        <v/>
      </c>
      <c r="AW2663" s="2" t="str">
        <f t="shared" si="166"/>
        <v/>
      </c>
      <c r="AX2663" s="2" t="str">
        <f t="shared" si="167"/>
        <v/>
      </c>
      <c r="AY2663" s="2" t="str">
        <f>IF($AV2663="","",IF(AND($Z2663=0,COUNTIF('AR SALES'!$L$2:$L$2501,$L2663)=0),"YES",""))</f>
        <v/>
      </c>
      <c r="AZ2663" s="2" t="str">
        <f>IF($AV2663="","",IF(COUNTIF(LISTS!$C$2:$C$250,$AU2663)=0,"NEW",""))</f>
        <v/>
      </c>
      <c r="BA2663" s="2" t="str">
        <f>IF(""&amp;$F2663&lt;&gt;"4","",IF($AY2663="YES","",IF(ROUND(SUMIFS($AE$2:$AE$4001,$L$2:$L$4001,$L2663,$F$2:$F$4001,"4")-SUMIFS('AR SALES'!$Y$2:$Y$2501,'AR SALES'!$L$2:$L$2501,$L2663,'AR SALES'!$AD$2:$AD$2501,"OFF"),2)=0,"","STALE")))</f>
        <v/>
      </c>
      <c r="BB2663" s="2" t="str">
        <f>IF(OR(""&amp;$F2663="2",""&amp;$F2663="4",""&amp;$F2663="G",""&amp;$F2663="H"),IF($AY2663="YES","",IF($AB2663&lt;&gt;0,"",IF(COUNTIFS('AR SALES'!$L$2:$L$2501,$L2663,'AR SALES'!$AD$2:$AD$2501,IF(""&amp;$F2663="4","OFF","ON"),'AR SALES'!$AF$2:$AF$2501,"Y")&gt;0,"","NO EXEMPTION"))),"")</f>
        <v/>
      </c>
    </row>
    <row r="2664" spans="46:54" x14ac:dyDescent="0.25">
      <c r="AT2664" s="2" t="str">
        <f>IF($L2664="","",IFERROR(INDEX('AR SALES'!$H$2:$H$2501,MATCH(""&amp;$L2664,'AR SALES'!$AE$2:$AE$2501,0)),""))</f>
        <v/>
      </c>
      <c r="AU2664" s="2" t="str">
        <f t="shared" si="164"/>
        <v/>
      </c>
      <c r="AV2664" s="2" t="str">
        <f t="shared" si="165"/>
        <v/>
      </c>
      <c r="AW2664" s="2" t="str">
        <f t="shared" si="166"/>
        <v/>
      </c>
      <c r="AX2664" s="2" t="str">
        <f t="shared" si="167"/>
        <v/>
      </c>
      <c r="AY2664" s="2" t="str">
        <f>IF($AV2664="","",IF(AND($Z2664=0,COUNTIF('AR SALES'!$L$2:$L$2501,$L2664)=0),"YES",""))</f>
        <v/>
      </c>
      <c r="AZ2664" s="2" t="str">
        <f>IF($AV2664="","",IF(COUNTIF(LISTS!$C$2:$C$250,$AU2664)=0,"NEW",""))</f>
        <v/>
      </c>
      <c r="BA2664" s="2" t="str">
        <f>IF(""&amp;$F2664&lt;&gt;"4","",IF($AY2664="YES","",IF(ROUND(SUMIFS($AE$2:$AE$4001,$L$2:$L$4001,$L2664,$F$2:$F$4001,"4")-SUMIFS('AR SALES'!$Y$2:$Y$2501,'AR SALES'!$L$2:$L$2501,$L2664,'AR SALES'!$AD$2:$AD$2501,"OFF"),2)=0,"","STALE")))</f>
        <v/>
      </c>
      <c r="BB2664" s="2" t="str">
        <f>IF(OR(""&amp;$F2664="2",""&amp;$F2664="4",""&amp;$F2664="G",""&amp;$F2664="H"),IF($AY2664="YES","",IF($AB2664&lt;&gt;0,"",IF(COUNTIFS('AR SALES'!$L$2:$L$2501,$L2664,'AR SALES'!$AD$2:$AD$2501,IF(""&amp;$F2664="4","OFF","ON"),'AR SALES'!$AF$2:$AF$2501,"Y")&gt;0,"","NO EXEMPTION"))),"")</f>
        <v/>
      </c>
    </row>
    <row r="2665" spans="46:54" x14ac:dyDescent="0.25">
      <c r="AT2665" s="2" t="str">
        <f>IF($L2665="","",IFERROR(INDEX('AR SALES'!$H$2:$H$2501,MATCH(""&amp;$L2665,'AR SALES'!$AE$2:$AE$2501,0)),""))</f>
        <v/>
      </c>
      <c r="AU2665" s="2" t="str">
        <f t="shared" si="164"/>
        <v/>
      </c>
      <c r="AV2665" s="2" t="str">
        <f t="shared" si="165"/>
        <v/>
      </c>
      <c r="AW2665" s="2" t="str">
        <f t="shared" si="166"/>
        <v/>
      </c>
      <c r="AX2665" s="2" t="str">
        <f t="shared" si="167"/>
        <v/>
      </c>
      <c r="AY2665" s="2" t="str">
        <f>IF($AV2665="","",IF(AND($Z2665=0,COUNTIF('AR SALES'!$L$2:$L$2501,$L2665)=0),"YES",""))</f>
        <v/>
      </c>
      <c r="AZ2665" s="2" t="str">
        <f>IF($AV2665="","",IF(COUNTIF(LISTS!$C$2:$C$250,$AU2665)=0,"NEW",""))</f>
        <v/>
      </c>
      <c r="BA2665" s="2" t="str">
        <f>IF(""&amp;$F2665&lt;&gt;"4","",IF($AY2665="YES","",IF(ROUND(SUMIFS($AE$2:$AE$4001,$L$2:$L$4001,$L2665,$F$2:$F$4001,"4")-SUMIFS('AR SALES'!$Y$2:$Y$2501,'AR SALES'!$L$2:$L$2501,$L2665,'AR SALES'!$AD$2:$AD$2501,"OFF"),2)=0,"","STALE")))</f>
        <v/>
      </c>
      <c r="BB2665" s="2" t="str">
        <f>IF(OR(""&amp;$F2665="2",""&amp;$F2665="4",""&amp;$F2665="G",""&amp;$F2665="H"),IF($AY2665="YES","",IF($AB2665&lt;&gt;0,"",IF(COUNTIFS('AR SALES'!$L$2:$L$2501,$L2665,'AR SALES'!$AD$2:$AD$2501,IF(""&amp;$F2665="4","OFF","ON"),'AR SALES'!$AF$2:$AF$2501,"Y")&gt;0,"","NO EXEMPTION"))),"")</f>
        <v/>
      </c>
    </row>
    <row r="2666" spans="46:54" x14ac:dyDescent="0.25">
      <c r="AT2666" s="2" t="str">
        <f>IF($L2666="","",IFERROR(INDEX('AR SALES'!$H$2:$H$2501,MATCH(""&amp;$L2666,'AR SALES'!$AE$2:$AE$2501,0)),""))</f>
        <v/>
      </c>
      <c r="AU2666" s="2" t="str">
        <f t="shared" si="164"/>
        <v/>
      </c>
      <c r="AV2666" s="2" t="str">
        <f t="shared" si="165"/>
        <v/>
      </c>
      <c r="AW2666" s="2" t="str">
        <f t="shared" si="166"/>
        <v/>
      </c>
      <c r="AX2666" s="2" t="str">
        <f t="shared" si="167"/>
        <v/>
      </c>
      <c r="AY2666" s="2" t="str">
        <f>IF($AV2666="","",IF(AND($Z2666=0,COUNTIF('AR SALES'!$L$2:$L$2501,$L2666)=0),"YES",""))</f>
        <v/>
      </c>
      <c r="AZ2666" s="2" t="str">
        <f>IF($AV2666="","",IF(COUNTIF(LISTS!$C$2:$C$250,$AU2666)=0,"NEW",""))</f>
        <v/>
      </c>
      <c r="BA2666" s="2" t="str">
        <f>IF(""&amp;$F2666&lt;&gt;"4","",IF($AY2666="YES","",IF(ROUND(SUMIFS($AE$2:$AE$4001,$L$2:$L$4001,$L2666,$F$2:$F$4001,"4")-SUMIFS('AR SALES'!$Y$2:$Y$2501,'AR SALES'!$L$2:$L$2501,$L2666,'AR SALES'!$AD$2:$AD$2501,"OFF"),2)=0,"","STALE")))</f>
        <v/>
      </c>
      <c r="BB2666" s="2" t="str">
        <f>IF(OR(""&amp;$F2666="2",""&amp;$F2666="4",""&amp;$F2666="G",""&amp;$F2666="H"),IF($AY2666="YES","",IF($AB2666&lt;&gt;0,"",IF(COUNTIFS('AR SALES'!$L$2:$L$2501,$L2666,'AR SALES'!$AD$2:$AD$2501,IF(""&amp;$F2666="4","OFF","ON"),'AR SALES'!$AF$2:$AF$2501,"Y")&gt;0,"","NO EXEMPTION"))),"")</f>
        <v/>
      </c>
    </row>
    <row r="2667" spans="46:54" x14ac:dyDescent="0.25">
      <c r="AT2667" s="2" t="str">
        <f>IF($L2667="","",IFERROR(INDEX('AR SALES'!$H$2:$H$2501,MATCH(""&amp;$L2667,'AR SALES'!$AE$2:$AE$2501,0)),""))</f>
        <v/>
      </c>
      <c r="AU2667" s="2" t="str">
        <f t="shared" si="164"/>
        <v/>
      </c>
      <c r="AV2667" s="2" t="str">
        <f t="shared" si="165"/>
        <v/>
      </c>
      <c r="AW2667" s="2" t="str">
        <f t="shared" si="166"/>
        <v/>
      </c>
      <c r="AX2667" s="2" t="str">
        <f t="shared" si="167"/>
        <v/>
      </c>
      <c r="AY2667" s="2" t="str">
        <f>IF($AV2667="","",IF(AND($Z2667=0,COUNTIF('AR SALES'!$L$2:$L$2501,$L2667)=0),"YES",""))</f>
        <v/>
      </c>
      <c r="AZ2667" s="2" t="str">
        <f>IF($AV2667="","",IF(COUNTIF(LISTS!$C$2:$C$250,$AU2667)=0,"NEW",""))</f>
        <v/>
      </c>
      <c r="BA2667" s="2" t="str">
        <f>IF(""&amp;$F2667&lt;&gt;"4","",IF($AY2667="YES","",IF(ROUND(SUMIFS($AE$2:$AE$4001,$L$2:$L$4001,$L2667,$F$2:$F$4001,"4")-SUMIFS('AR SALES'!$Y$2:$Y$2501,'AR SALES'!$L$2:$L$2501,$L2667,'AR SALES'!$AD$2:$AD$2501,"OFF"),2)=0,"","STALE")))</f>
        <v/>
      </c>
      <c r="BB2667" s="2" t="str">
        <f>IF(OR(""&amp;$F2667="2",""&amp;$F2667="4",""&amp;$F2667="G",""&amp;$F2667="H"),IF($AY2667="YES","",IF($AB2667&lt;&gt;0,"",IF(COUNTIFS('AR SALES'!$L$2:$L$2501,$L2667,'AR SALES'!$AD$2:$AD$2501,IF(""&amp;$F2667="4","OFF","ON"),'AR SALES'!$AF$2:$AF$2501,"Y")&gt;0,"","NO EXEMPTION"))),"")</f>
        <v/>
      </c>
    </row>
    <row r="2668" spans="46:54" x14ac:dyDescent="0.25">
      <c r="AT2668" s="2" t="str">
        <f>IF($L2668="","",IFERROR(INDEX('AR SALES'!$H$2:$H$2501,MATCH(""&amp;$L2668,'AR SALES'!$AE$2:$AE$2501,0)),""))</f>
        <v/>
      </c>
      <c r="AU2668" s="2" t="str">
        <f t="shared" si="164"/>
        <v/>
      </c>
      <c r="AV2668" s="2" t="str">
        <f t="shared" si="165"/>
        <v/>
      </c>
      <c r="AW2668" s="2" t="str">
        <f t="shared" si="166"/>
        <v/>
      </c>
      <c r="AX2668" s="2" t="str">
        <f t="shared" si="167"/>
        <v/>
      </c>
      <c r="AY2668" s="2" t="str">
        <f>IF($AV2668="","",IF(AND($Z2668=0,COUNTIF('AR SALES'!$L$2:$L$2501,$L2668)=0),"YES",""))</f>
        <v/>
      </c>
      <c r="AZ2668" s="2" t="str">
        <f>IF($AV2668="","",IF(COUNTIF(LISTS!$C$2:$C$250,$AU2668)=0,"NEW",""))</f>
        <v/>
      </c>
      <c r="BA2668" s="2" t="str">
        <f>IF(""&amp;$F2668&lt;&gt;"4","",IF($AY2668="YES","",IF(ROUND(SUMIFS($AE$2:$AE$4001,$L$2:$L$4001,$L2668,$F$2:$F$4001,"4")-SUMIFS('AR SALES'!$Y$2:$Y$2501,'AR SALES'!$L$2:$L$2501,$L2668,'AR SALES'!$AD$2:$AD$2501,"OFF"),2)=0,"","STALE")))</f>
        <v/>
      </c>
      <c r="BB2668" s="2" t="str">
        <f>IF(OR(""&amp;$F2668="2",""&amp;$F2668="4",""&amp;$F2668="G",""&amp;$F2668="H"),IF($AY2668="YES","",IF($AB2668&lt;&gt;0,"",IF(COUNTIFS('AR SALES'!$L$2:$L$2501,$L2668,'AR SALES'!$AD$2:$AD$2501,IF(""&amp;$F2668="4","OFF","ON"),'AR SALES'!$AF$2:$AF$2501,"Y")&gt;0,"","NO EXEMPTION"))),"")</f>
        <v/>
      </c>
    </row>
    <row r="2669" spans="46:54" x14ac:dyDescent="0.25">
      <c r="AT2669" s="2" t="str">
        <f>IF($L2669="","",IFERROR(INDEX('AR SALES'!$H$2:$H$2501,MATCH(""&amp;$L2669,'AR SALES'!$AE$2:$AE$2501,0)),""))</f>
        <v/>
      </c>
      <c r="AU2669" s="2" t="str">
        <f t="shared" si="164"/>
        <v/>
      </c>
      <c r="AV2669" s="2" t="str">
        <f t="shared" si="165"/>
        <v/>
      </c>
      <c r="AW2669" s="2" t="str">
        <f t="shared" si="166"/>
        <v/>
      </c>
      <c r="AX2669" s="2" t="str">
        <f t="shared" si="167"/>
        <v/>
      </c>
      <c r="AY2669" s="2" t="str">
        <f>IF($AV2669="","",IF(AND($Z2669=0,COUNTIF('AR SALES'!$L$2:$L$2501,$L2669)=0),"YES",""))</f>
        <v/>
      </c>
      <c r="AZ2669" s="2" t="str">
        <f>IF($AV2669="","",IF(COUNTIF(LISTS!$C$2:$C$250,$AU2669)=0,"NEW",""))</f>
        <v/>
      </c>
      <c r="BA2669" s="2" t="str">
        <f>IF(""&amp;$F2669&lt;&gt;"4","",IF($AY2669="YES","",IF(ROUND(SUMIFS($AE$2:$AE$4001,$L$2:$L$4001,$L2669,$F$2:$F$4001,"4")-SUMIFS('AR SALES'!$Y$2:$Y$2501,'AR SALES'!$L$2:$L$2501,$L2669,'AR SALES'!$AD$2:$AD$2501,"OFF"),2)=0,"","STALE")))</f>
        <v/>
      </c>
      <c r="BB2669" s="2" t="str">
        <f>IF(OR(""&amp;$F2669="2",""&amp;$F2669="4",""&amp;$F2669="G",""&amp;$F2669="H"),IF($AY2669="YES","",IF($AB2669&lt;&gt;0,"",IF(COUNTIFS('AR SALES'!$L$2:$L$2501,$L2669,'AR SALES'!$AD$2:$AD$2501,IF(""&amp;$F2669="4","OFF","ON"),'AR SALES'!$AF$2:$AF$2501,"Y")&gt;0,"","NO EXEMPTION"))),"")</f>
        <v/>
      </c>
    </row>
    <row r="2670" spans="46:54" x14ac:dyDescent="0.25">
      <c r="AT2670" s="2" t="str">
        <f>IF($L2670="","",IFERROR(INDEX('AR SALES'!$H$2:$H$2501,MATCH(""&amp;$L2670,'AR SALES'!$AE$2:$AE$2501,0)),""))</f>
        <v/>
      </c>
      <c r="AU2670" s="2" t="str">
        <f t="shared" si="164"/>
        <v/>
      </c>
      <c r="AV2670" s="2" t="str">
        <f t="shared" si="165"/>
        <v/>
      </c>
      <c r="AW2670" s="2" t="str">
        <f t="shared" si="166"/>
        <v/>
      </c>
      <c r="AX2670" s="2" t="str">
        <f t="shared" si="167"/>
        <v/>
      </c>
      <c r="AY2670" s="2" t="str">
        <f>IF($AV2670="","",IF(AND($Z2670=0,COUNTIF('AR SALES'!$L$2:$L$2501,$L2670)=0),"YES",""))</f>
        <v/>
      </c>
      <c r="AZ2670" s="2" t="str">
        <f>IF($AV2670="","",IF(COUNTIF(LISTS!$C$2:$C$250,$AU2670)=0,"NEW",""))</f>
        <v/>
      </c>
      <c r="BA2670" s="2" t="str">
        <f>IF(""&amp;$F2670&lt;&gt;"4","",IF($AY2670="YES","",IF(ROUND(SUMIFS($AE$2:$AE$4001,$L$2:$L$4001,$L2670,$F$2:$F$4001,"4")-SUMIFS('AR SALES'!$Y$2:$Y$2501,'AR SALES'!$L$2:$L$2501,$L2670,'AR SALES'!$AD$2:$AD$2501,"OFF"),2)=0,"","STALE")))</f>
        <v/>
      </c>
      <c r="BB2670" s="2" t="str">
        <f>IF(OR(""&amp;$F2670="2",""&amp;$F2670="4",""&amp;$F2670="G",""&amp;$F2670="H"),IF($AY2670="YES","",IF($AB2670&lt;&gt;0,"",IF(COUNTIFS('AR SALES'!$L$2:$L$2501,$L2670,'AR SALES'!$AD$2:$AD$2501,IF(""&amp;$F2670="4","OFF","ON"),'AR SALES'!$AF$2:$AF$2501,"Y")&gt;0,"","NO EXEMPTION"))),"")</f>
        <v/>
      </c>
    </row>
    <row r="2671" spans="46:54" x14ac:dyDescent="0.25">
      <c r="AT2671" s="2" t="str">
        <f>IF($L2671="","",IFERROR(INDEX('AR SALES'!$H$2:$H$2501,MATCH(""&amp;$L2671,'AR SALES'!$AE$2:$AE$2501,0)),""))</f>
        <v/>
      </c>
      <c r="AU2671" s="2" t="str">
        <f t="shared" si="164"/>
        <v/>
      </c>
      <c r="AV2671" s="2" t="str">
        <f t="shared" si="165"/>
        <v/>
      </c>
      <c r="AW2671" s="2" t="str">
        <f t="shared" si="166"/>
        <v/>
      </c>
      <c r="AX2671" s="2" t="str">
        <f t="shared" si="167"/>
        <v/>
      </c>
      <c r="AY2671" s="2" t="str">
        <f>IF($AV2671="","",IF(AND($Z2671=0,COUNTIF('AR SALES'!$L$2:$L$2501,$L2671)=0),"YES",""))</f>
        <v/>
      </c>
      <c r="AZ2671" s="2" t="str">
        <f>IF($AV2671="","",IF(COUNTIF(LISTS!$C$2:$C$250,$AU2671)=0,"NEW",""))</f>
        <v/>
      </c>
      <c r="BA2671" s="2" t="str">
        <f>IF(""&amp;$F2671&lt;&gt;"4","",IF($AY2671="YES","",IF(ROUND(SUMIFS($AE$2:$AE$4001,$L$2:$L$4001,$L2671,$F$2:$F$4001,"4")-SUMIFS('AR SALES'!$Y$2:$Y$2501,'AR SALES'!$L$2:$L$2501,$L2671,'AR SALES'!$AD$2:$AD$2501,"OFF"),2)=0,"","STALE")))</f>
        <v/>
      </c>
      <c r="BB2671" s="2" t="str">
        <f>IF(OR(""&amp;$F2671="2",""&amp;$F2671="4",""&amp;$F2671="G",""&amp;$F2671="H"),IF($AY2671="YES","",IF($AB2671&lt;&gt;0,"",IF(COUNTIFS('AR SALES'!$L$2:$L$2501,$L2671,'AR SALES'!$AD$2:$AD$2501,IF(""&amp;$F2671="4","OFF","ON"),'AR SALES'!$AF$2:$AF$2501,"Y")&gt;0,"","NO EXEMPTION"))),"")</f>
        <v/>
      </c>
    </row>
    <row r="2672" spans="46:54" x14ac:dyDescent="0.25">
      <c r="AT2672" s="2" t="str">
        <f>IF($L2672="","",IFERROR(INDEX('AR SALES'!$H$2:$H$2501,MATCH(""&amp;$L2672,'AR SALES'!$AE$2:$AE$2501,0)),""))</f>
        <v/>
      </c>
      <c r="AU2672" s="2" t="str">
        <f t="shared" si="164"/>
        <v/>
      </c>
      <c r="AV2672" s="2" t="str">
        <f t="shared" si="165"/>
        <v/>
      </c>
      <c r="AW2672" s="2" t="str">
        <f t="shared" si="166"/>
        <v/>
      </c>
      <c r="AX2672" s="2" t="str">
        <f t="shared" si="167"/>
        <v/>
      </c>
      <c r="AY2672" s="2" t="str">
        <f>IF($AV2672="","",IF(AND($Z2672=0,COUNTIF('AR SALES'!$L$2:$L$2501,$L2672)=0),"YES",""))</f>
        <v/>
      </c>
      <c r="AZ2672" s="2" t="str">
        <f>IF($AV2672="","",IF(COUNTIF(LISTS!$C$2:$C$250,$AU2672)=0,"NEW",""))</f>
        <v/>
      </c>
      <c r="BA2672" s="2" t="str">
        <f>IF(""&amp;$F2672&lt;&gt;"4","",IF($AY2672="YES","",IF(ROUND(SUMIFS($AE$2:$AE$4001,$L$2:$L$4001,$L2672,$F$2:$F$4001,"4")-SUMIFS('AR SALES'!$Y$2:$Y$2501,'AR SALES'!$L$2:$L$2501,$L2672,'AR SALES'!$AD$2:$AD$2501,"OFF"),2)=0,"","STALE")))</f>
        <v/>
      </c>
      <c r="BB2672" s="2" t="str">
        <f>IF(OR(""&amp;$F2672="2",""&amp;$F2672="4",""&amp;$F2672="G",""&amp;$F2672="H"),IF($AY2672="YES","",IF($AB2672&lt;&gt;0,"",IF(COUNTIFS('AR SALES'!$L$2:$L$2501,$L2672,'AR SALES'!$AD$2:$AD$2501,IF(""&amp;$F2672="4","OFF","ON"),'AR SALES'!$AF$2:$AF$2501,"Y")&gt;0,"","NO EXEMPTION"))),"")</f>
        <v/>
      </c>
    </row>
    <row r="2673" spans="46:54" x14ac:dyDescent="0.25">
      <c r="AT2673" s="2" t="str">
        <f>IF($L2673="","",IFERROR(INDEX('AR SALES'!$H$2:$H$2501,MATCH(""&amp;$L2673,'AR SALES'!$AE$2:$AE$2501,0)),""))</f>
        <v/>
      </c>
      <c r="AU2673" s="2" t="str">
        <f t="shared" si="164"/>
        <v/>
      </c>
      <c r="AV2673" s="2" t="str">
        <f t="shared" si="165"/>
        <v/>
      </c>
      <c r="AW2673" s="2" t="str">
        <f t="shared" si="166"/>
        <v/>
      </c>
      <c r="AX2673" s="2" t="str">
        <f t="shared" si="167"/>
        <v/>
      </c>
      <c r="AY2673" s="2" t="str">
        <f>IF($AV2673="","",IF(AND($Z2673=0,COUNTIF('AR SALES'!$L$2:$L$2501,$L2673)=0),"YES",""))</f>
        <v/>
      </c>
      <c r="AZ2673" s="2" t="str">
        <f>IF($AV2673="","",IF(COUNTIF(LISTS!$C$2:$C$250,$AU2673)=0,"NEW",""))</f>
        <v/>
      </c>
      <c r="BA2673" s="2" t="str">
        <f>IF(""&amp;$F2673&lt;&gt;"4","",IF($AY2673="YES","",IF(ROUND(SUMIFS($AE$2:$AE$4001,$L$2:$L$4001,$L2673,$F$2:$F$4001,"4")-SUMIFS('AR SALES'!$Y$2:$Y$2501,'AR SALES'!$L$2:$L$2501,$L2673,'AR SALES'!$AD$2:$AD$2501,"OFF"),2)=0,"","STALE")))</f>
        <v/>
      </c>
      <c r="BB2673" s="2" t="str">
        <f>IF(OR(""&amp;$F2673="2",""&amp;$F2673="4",""&amp;$F2673="G",""&amp;$F2673="H"),IF($AY2673="YES","",IF($AB2673&lt;&gt;0,"",IF(COUNTIFS('AR SALES'!$L$2:$L$2501,$L2673,'AR SALES'!$AD$2:$AD$2501,IF(""&amp;$F2673="4","OFF","ON"),'AR SALES'!$AF$2:$AF$2501,"Y")&gt;0,"","NO EXEMPTION"))),"")</f>
        <v/>
      </c>
    </row>
    <row r="2674" spans="46:54" x14ac:dyDescent="0.25">
      <c r="AT2674" s="2" t="str">
        <f>IF($L2674="","",IFERROR(INDEX('AR SALES'!$H$2:$H$2501,MATCH(""&amp;$L2674,'AR SALES'!$AE$2:$AE$2501,0)),""))</f>
        <v/>
      </c>
      <c r="AU2674" s="2" t="str">
        <f t="shared" si="164"/>
        <v/>
      </c>
      <c r="AV2674" s="2" t="str">
        <f t="shared" si="165"/>
        <v/>
      </c>
      <c r="AW2674" s="2" t="str">
        <f t="shared" si="166"/>
        <v/>
      </c>
      <c r="AX2674" s="2" t="str">
        <f t="shared" si="167"/>
        <v/>
      </c>
      <c r="AY2674" s="2" t="str">
        <f>IF($AV2674="","",IF(AND($Z2674=0,COUNTIF('AR SALES'!$L$2:$L$2501,$L2674)=0),"YES",""))</f>
        <v/>
      </c>
      <c r="AZ2674" s="2" t="str">
        <f>IF($AV2674="","",IF(COUNTIF(LISTS!$C$2:$C$250,$AU2674)=0,"NEW",""))</f>
        <v/>
      </c>
      <c r="BA2674" s="2" t="str">
        <f>IF(""&amp;$F2674&lt;&gt;"4","",IF($AY2674="YES","",IF(ROUND(SUMIFS($AE$2:$AE$4001,$L$2:$L$4001,$L2674,$F$2:$F$4001,"4")-SUMIFS('AR SALES'!$Y$2:$Y$2501,'AR SALES'!$L$2:$L$2501,$L2674,'AR SALES'!$AD$2:$AD$2501,"OFF"),2)=0,"","STALE")))</f>
        <v/>
      </c>
      <c r="BB2674" s="2" t="str">
        <f>IF(OR(""&amp;$F2674="2",""&amp;$F2674="4",""&amp;$F2674="G",""&amp;$F2674="H"),IF($AY2674="YES","",IF($AB2674&lt;&gt;0,"",IF(COUNTIFS('AR SALES'!$L$2:$L$2501,$L2674,'AR SALES'!$AD$2:$AD$2501,IF(""&amp;$F2674="4","OFF","ON"),'AR SALES'!$AF$2:$AF$2501,"Y")&gt;0,"","NO EXEMPTION"))),"")</f>
        <v/>
      </c>
    </row>
    <row r="2675" spans="46:54" x14ac:dyDescent="0.25">
      <c r="AT2675" s="2" t="str">
        <f>IF($L2675="","",IFERROR(INDEX('AR SALES'!$H$2:$H$2501,MATCH(""&amp;$L2675,'AR SALES'!$AE$2:$AE$2501,0)),""))</f>
        <v/>
      </c>
      <c r="AU2675" s="2" t="str">
        <f t="shared" si="164"/>
        <v/>
      </c>
      <c r="AV2675" s="2" t="str">
        <f t="shared" si="165"/>
        <v/>
      </c>
      <c r="AW2675" s="2" t="str">
        <f t="shared" si="166"/>
        <v/>
      </c>
      <c r="AX2675" s="2" t="str">
        <f t="shared" si="167"/>
        <v/>
      </c>
      <c r="AY2675" s="2" t="str">
        <f>IF($AV2675="","",IF(AND($Z2675=0,COUNTIF('AR SALES'!$L$2:$L$2501,$L2675)=0),"YES",""))</f>
        <v/>
      </c>
      <c r="AZ2675" s="2" t="str">
        <f>IF($AV2675="","",IF(COUNTIF(LISTS!$C$2:$C$250,$AU2675)=0,"NEW",""))</f>
        <v/>
      </c>
      <c r="BA2675" s="2" t="str">
        <f>IF(""&amp;$F2675&lt;&gt;"4","",IF($AY2675="YES","",IF(ROUND(SUMIFS($AE$2:$AE$4001,$L$2:$L$4001,$L2675,$F$2:$F$4001,"4")-SUMIFS('AR SALES'!$Y$2:$Y$2501,'AR SALES'!$L$2:$L$2501,$L2675,'AR SALES'!$AD$2:$AD$2501,"OFF"),2)=0,"","STALE")))</f>
        <v/>
      </c>
      <c r="BB2675" s="2" t="str">
        <f>IF(OR(""&amp;$F2675="2",""&amp;$F2675="4",""&amp;$F2675="G",""&amp;$F2675="H"),IF($AY2675="YES","",IF($AB2675&lt;&gt;0,"",IF(COUNTIFS('AR SALES'!$L$2:$L$2501,$L2675,'AR SALES'!$AD$2:$AD$2501,IF(""&amp;$F2675="4","OFF","ON"),'AR SALES'!$AF$2:$AF$2501,"Y")&gt;0,"","NO EXEMPTION"))),"")</f>
        <v/>
      </c>
    </row>
    <row r="2676" spans="46:54" x14ac:dyDescent="0.25">
      <c r="AT2676" s="2" t="str">
        <f>IF($L2676="","",IFERROR(INDEX('AR SALES'!$H$2:$H$2501,MATCH(""&amp;$L2676,'AR SALES'!$AE$2:$AE$2501,0)),""))</f>
        <v/>
      </c>
      <c r="AU2676" s="2" t="str">
        <f t="shared" si="164"/>
        <v/>
      </c>
      <c r="AV2676" s="2" t="str">
        <f t="shared" si="165"/>
        <v/>
      </c>
      <c r="AW2676" s="2" t="str">
        <f t="shared" si="166"/>
        <v/>
      </c>
      <c r="AX2676" s="2" t="str">
        <f t="shared" si="167"/>
        <v/>
      </c>
      <c r="AY2676" s="2" t="str">
        <f>IF($AV2676="","",IF(AND($Z2676=0,COUNTIF('AR SALES'!$L$2:$L$2501,$L2676)=0),"YES",""))</f>
        <v/>
      </c>
      <c r="AZ2676" s="2" t="str">
        <f>IF($AV2676="","",IF(COUNTIF(LISTS!$C$2:$C$250,$AU2676)=0,"NEW",""))</f>
        <v/>
      </c>
      <c r="BA2676" s="2" t="str">
        <f>IF(""&amp;$F2676&lt;&gt;"4","",IF($AY2676="YES","",IF(ROUND(SUMIFS($AE$2:$AE$4001,$L$2:$L$4001,$L2676,$F$2:$F$4001,"4")-SUMIFS('AR SALES'!$Y$2:$Y$2501,'AR SALES'!$L$2:$L$2501,$L2676,'AR SALES'!$AD$2:$AD$2501,"OFF"),2)=0,"","STALE")))</f>
        <v/>
      </c>
      <c r="BB2676" s="2" t="str">
        <f>IF(OR(""&amp;$F2676="2",""&amp;$F2676="4",""&amp;$F2676="G",""&amp;$F2676="H"),IF($AY2676="YES","",IF($AB2676&lt;&gt;0,"",IF(COUNTIFS('AR SALES'!$L$2:$L$2501,$L2676,'AR SALES'!$AD$2:$AD$2501,IF(""&amp;$F2676="4","OFF","ON"),'AR SALES'!$AF$2:$AF$2501,"Y")&gt;0,"","NO EXEMPTION"))),"")</f>
        <v/>
      </c>
    </row>
    <row r="2677" spans="46:54" x14ac:dyDescent="0.25">
      <c r="AT2677" s="2" t="str">
        <f>IF($L2677="","",IFERROR(INDEX('AR SALES'!$H$2:$H$2501,MATCH(""&amp;$L2677,'AR SALES'!$AE$2:$AE$2501,0)),""))</f>
        <v/>
      </c>
      <c r="AU2677" s="2" t="str">
        <f t="shared" si="164"/>
        <v/>
      </c>
      <c r="AV2677" s="2" t="str">
        <f t="shared" si="165"/>
        <v/>
      </c>
      <c r="AW2677" s="2" t="str">
        <f t="shared" si="166"/>
        <v/>
      </c>
      <c r="AX2677" s="2" t="str">
        <f t="shared" si="167"/>
        <v/>
      </c>
      <c r="AY2677" s="2" t="str">
        <f>IF($AV2677="","",IF(AND($Z2677=0,COUNTIF('AR SALES'!$L$2:$L$2501,$L2677)=0),"YES",""))</f>
        <v/>
      </c>
      <c r="AZ2677" s="2" t="str">
        <f>IF($AV2677="","",IF(COUNTIF(LISTS!$C$2:$C$250,$AU2677)=0,"NEW",""))</f>
        <v/>
      </c>
      <c r="BA2677" s="2" t="str">
        <f>IF(""&amp;$F2677&lt;&gt;"4","",IF($AY2677="YES","",IF(ROUND(SUMIFS($AE$2:$AE$4001,$L$2:$L$4001,$L2677,$F$2:$F$4001,"4")-SUMIFS('AR SALES'!$Y$2:$Y$2501,'AR SALES'!$L$2:$L$2501,$L2677,'AR SALES'!$AD$2:$AD$2501,"OFF"),2)=0,"","STALE")))</f>
        <v/>
      </c>
      <c r="BB2677" s="2" t="str">
        <f>IF(OR(""&amp;$F2677="2",""&amp;$F2677="4",""&amp;$F2677="G",""&amp;$F2677="H"),IF($AY2677="YES","",IF($AB2677&lt;&gt;0,"",IF(COUNTIFS('AR SALES'!$L$2:$L$2501,$L2677,'AR SALES'!$AD$2:$AD$2501,IF(""&amp;$F2677="4","OFF","ON"),'AR SALES'!$AF$2:$AF$2501,"Y")&gt;0,"","NO EXEMPTION"))),"")</f>
        <v/>
      </c>
    </row>
    <row r="2678" spans="46:54" x14ac:dyDescent="0.25">
      <c r="AT2678" s="2" t="str">
        <f>IF($L2678="","",IFERROR(INDEX('AR SALES'!$H$2:$H$2501,MATCH(""&amp;$L2678,'AR SALES'!$AE$2:$AE$2501,0)),""))</f>
        <v/>
      </c>
      <c r="AU2678" s="2" t="str">
        <f t="shared" si="164"/>
        <v/>
      </c>
      <c r="AV2678" s="2" t="str">
        <f t="shared" si="165"/>
        <v/>
      </c>
      <c r="AW2678" s="2" t="str">
        <f t="shared" si="166"/>
        <v/>
      </c>
      <c r="AX2678" s="2" t="str">
        <f t="shared" si="167"/>
        <v/>
      </c>
      <c r="AY2678" s="2" t="str">
        <f>IF($AV2678="","",IF(AND($Z2678=0,COUNTIF('AR SALES'!$L$2:$L$2501,$L2678)=0),"YES",""))</f>
        <v/>
      </c>
      <c r="AZ2678" s="2" t="str">
        <f>IF($AV2678="","",IF(COUNTIF(LISTS!$C$2:$C$250,$AU2678)=0,"NEW",""))</f>
        <v/>
      </c>
      <c r="BA2678" s="2" t="str">
        <f>IF(""&amp;$F2678&lt;&gt;"4","",IF($AY2678="YES","",IF(ROUND(SUMIFS($AE$2:$AE$4001,$L$2:$L$4001,$L2678,$F$2:$F$4001,"4")-SUMIFS('AR SALES'!$Y$2:$Y$2501,'AR SALES'!$L$2:$L$2501,$L2678,'AR SALES'!$AD$2:$AD$2501,"OFF"),2)=0,"","STALE")))</f>
        <v/>
      </c>
      <c r="BB2678" s="2" t="str">
        <f>IF(OR(""&amp;$F2678="2",""&amp;$F2678="4",""&amp;$F2678="G",""&amp;$F2678="H"),IF($AY2678="YES","",IF($AB2678&lt;&gt;0,"",IF(COUNTIFS('AR SALES'!$L$2:$L$2501,$L2678,'AR SALES'!$AD$2:$AD$2501,IF(""&amp;$F2678="4","OFF","ON"),'AR SALES'!$AF$2:$AF$2501,"Y")&gt;0,"","NO EXEMPTION"))),"")</f>
        <v/>
      </c>
    </row>
    <row r="2679" spans="46:54" x14ac:dyDescent="0.25">
      <c r="AT2679" s="2" t="str">
        <f>IF($L2679="","",IFERROR(INDEX('AR SALES'!$H$2:$H$2501,MATCH(""&amp;$L2679,'AR SALES'!$AE$2:$AE$2501,0)),""))</f>
        <v/>
      </c>
      <c r="AU2679" s="2" t="str">
        <f t="shared" si="164"/>
        <v/>
      </c>
      <c r="AV2679" s="2" t="str">
        <f t="shared" si="165"/>
        <v/>
      </c>
      <c r="AW2679" s="2" t="str">
        <f t="shared" si="166"/>
        <v/>
      </c>
      <c r="AX2679" s="2" t="str">
        <f t="shared" si="167"/>
        <v/>
      </c>
      <c r="AY2679" s="2" t="str">
        <f>IF($AV2679="","",IF(AND($Z2679=0,COUNTIF('AR SALES'!$L$2:$L$2501,$L2679)=0),"YES",""))</f>
        <v/>
      </c>
      <c r="AZ2679" s="2" t="str">
        <f>IF($AV2679="","",IF(COUNTIF(LISTS!$C$2:$C$250,$AU2679)=0,"NEW",""))</f>
        <v/>
      </c>
      <c r="BA2679" s="2" t="str">
        <f>IF(""&amp;$F2679&lt;&gt;"4","",IF($AY2679="YES","",IF(ROUND(SUMIFS($AE$2:$AE$4001,$L$2:$L$4001,$L2679,$F$2:$F$4001,"4")-SUMIFS('AR SALES'!$Y$2:$Y$2501,'AR SALES'!$L$2:$L$2501,$L2679,'AR SALES'!$AD$2:$AD$2501,"OFF"),2)=0,"","STALE")))</f>
        <v/>
      </c>
      <c r="BB2679" s="2" t="str">
        <f>IF(OR(""&amp;$F2679="2",""&amp;$F2679="4",""&amp;$F2679="G",""&amp;$F2679="H"),IF($AY2679="YES","",IF($AB2679&lt;&gt;0,"",IF(COUNTIFS('AR SALES'!$L$2:$L$2501,$L2679,'AR SALES'!$AD$2:$AD$2501,IF(""&amp;$F2679="4","OFF","ON"),'AR SALES'!$AF$2:$AF$2501,"Y")&gt;0,"","NO EXEMPTION"))),"")</f>
        <v/>
      </c>
    </row>
    <row r="2680" spans="46:54" x14ac:dyDescent="0.25">
      <c r="AT2680" s="2" t="str">
        <f>IF($L2680="","",IFERROR(INDEX('AR SALES'!$H$2:$H$2501,MATCH(""&amp;$L2680,'AR SALES'!$AE$2:$AE$2501,0)),""))</f>
        <v/>
      </c>
      <c r="AU2680" s="2" t="str">
        <f t="shared" si="164"/>
        <v/>
      </c>
      <c r="AV2680" s="2" t="str">
        <f t="shared" si="165"/>
        <v/>
      </c>
      <c r="AW2680" s="2" t="str">
        <f t="shared" si="166"/>
        <v/>
      </c>
      <c r="AX2680" s="2" t="str">
        <f t="shared" si="167"/>
        <v/>
      </c>
      <c r="AY2680" s="2" t="str">
        <f>IF($AV2680="","",IF(AND($Z2680=0,COUNTIF('AR SALES'!$L$2:$L$2501,$L2680)=0),"YES",""))</f>
        <v/>
      </c>
      <c r="AZ2680" s="2" t="str">
        <f>IF($AV2680="","",IF(COUNTIF(LISTS!$C$2:$C$250,$AU2680)=0,"NEW",""))</f>
        <v/>
      </c>
      <c r="BA2680" s="2" t="str">
        <f>IF(""&amp;$F2680&lt;&gt;"4","",IF($AY2680="YES","",IF(ROUND(SUMIFS($AE$2:$AE$4001,$L$2:$L$4001,$L2680,$F$2:$F$4001,"4")-SUMIFS('AR SALES'!$Y$2:$Y$2501,'AR SALES'!$L$2:$L$2501,$L2680,'AR SALES'!$AD$2:$AD$2501,"OFF"),2)=0,"","STALE")))</f>
        <v/>
      </c>
      <c r="BB2680" s="2" t="str">
        <f>IF(OR(""&amp;$F2680="2",""&amp;$F2680="4",""&amp;$F2680="G",""&amp;$F2680="H"),IF($AY2680="YES","",IF($AB2680&lt;&gt;0,"",IF(COUNTIFS('AR SALES'!$L$2:$L$2501,$L2680,'AR SALES'!$AD$2:$AD$2501,IF(""&amp;$F2680="4","OFF","ON"),'AR SALES'!$AF$2:$AF$2501,"Y")&gt;0,"","NO EXEMPTION"))),"")</f>
        <v/>
      </c>
    </row>
    <row r="2681" spans="46:54" x14ac:dyDescent="0.25">
      <c r="AT2681" s="2" t="str">
        <f>IF($L2681="","",IFERROR(INDEX('AR SALES'!$H$2:$H$2501,MATCH(""&amp;$L2681,'AR SALES'!$AE$2:$AE$2501,0)),""))</f>
        <v/>
      </c>
      <c r="AU2681" s="2" t="str">
        <f t="shared" si="164"/>
        <v/>
      </c>
      <c r="AV2681" s="2" t="str">
        <f t="shared" si="165"/>
        <v/>
      </c>
      <c r="AW2681" s="2" t="str">
        <f t="shared" si="166"/>
        <v/>
      </c>
      <c r="AX2681" s="2" t="str">
        <f t="shared" si="167"/>
        <v/>
      </c>
      <c r="AY2681" s="2" t="str">
        <f>IF($AV2681="","",IF(AND($Z2681=0,COUNTIF('AR SALES'!$L$2:$L$2501,$L2681)=0),"YES",""))</f>
        <v/>
      </c>
      <c r="AZ2681" s="2" t="str">
        <f>IF($AV2681="","",IF(COUNTIF(LISTS!$C$2:$C$250,$AU2681)=0,"NEW",""))</f>
        <v/>
      </c>
      <c r="BA2681" s="2" t="str">
        <f>IF(""&amp;$F2681&lt;&gt;"4","",IF($AY2681="YES","",IF(ROUND(SUMIFS($AE$2:$AE$4001,$L$2:$L$4001,$L2681,$F$2:$F$4001,"4")-SUMIFS('AR SALES'!$Y$2:$Y$2501,'AR SALES'!$L$2:$L$2501,$L2681,'AR SALES'!$AD$2:$AD$2501,"OFF"),2)=0,"","STALE")))</f>
        <v/>
      </c>
      <c r="BB2681" s="2" t="str">
        <f>IF(OR(""&amp;$F2681="2",""&amp;$F2681="4",""&amp;$F2681="G",""&amp;$F2681="H"),IF($AY2681="YES","",IF($AB2681&lt;&gt;0,"",IF(COUNTIFS('AR SALES'!$L$2:$L$2501,$L2681,'AR SALES'!$AD$2:$AD$2501,IF(""&amp;$F2681="4","OFF","ON"),'AR SALES'!$AF$2:$AF$2501,"Y")&gt;0,"","NO EXEMPTION"))),"")</f>
        <v/>
      </c>
    </row>
    <row r="2682" spans="46:54" x14ac:dyDescent="0.25">
      <c r="AT2682" s="2" t="str">
        <f>IF($L2682="","",IFERROR(INDEX('AR SALES'!$H$2:$H$2501,MATCH(""&amp;$L2682,'AR SALES'!$AE$2:$AE$2501,0)),""))</f>
        <v/>
      </c>
      <c r="AU2682" s="2" t="str">
        <f t="shared" si="164"/>
        <v/>
      </c>
      <c r="AV2682" s="2" t="str">
        <f t="shared" si="165"/>
        <v/>
      </c>
      <c r="AW2682" s="2" t="str">
        <f t="shared" si="166"/>
        <v/>
      </c>
      <c r="AX2682" s="2" t="str">
        <f t="shared" si="167"/>
        <v/>
      </c>
      <c r="AY2682" s="2" t="str">
        <f>IF($AV2682="","",IF(AND($Z2682=0,COUNTIF('AR SALES'!$L$2:$L$2501,$L2682)=0),"YES",""))</f>
        <v/>
      </c>
      <c r="AZ2682" s="2" t="str">
        <f>IF($AV2682="","",IF(COUNTIF(LISTS!$C$2:$C$250,$AU2682)=0,"NEW",""))</f>
        <v/>
      </c>
      <c r="BA2682" s="2" t="str">
        <f>IF(""&amp;$F2682&lt;&gt;"4","",IF($AY2682="YES","",IF(ROUND(SUMIFS($AE$2:$AE$4001,$L$2:$L$4001,$L2682,$F$2:$F$4001,"4")-SUMIFS('AR SALES'!$Y$2:$Y$2501,'AR SALES'!$L$2:$L$2501,$L2682,'AR SALES'!$AD$2:$AD$2501,"OFF"),2)=0,"","STALE")))</f>
        <v/>
      </c>
      <c r="BB2682" s="2" t="str">
        <f>IF(OR(""&amp;$F2682="2",""&amp;$F2682="4",""&amp;$F2682="G",""&amp;$F2682="H"),IF($AY2682="YES","",IF($AB2682&lt;&gt;0,"",IF(COUNTIFS('AR SALES'!$L$2:$L$2501,$L2682,'AR SALES'!$AD$2:$AD$2501,IF(""&amp;$F2682="4","OFF","ON"),'AR SALES'!$AF$2:$AF$2501,"Y")&gt;0,"","NO EXEMPTION"))),"")</f>
        <v/>
      </c>
    </row>
    <row r="2683" spans="46:54" x14ac:dyDescent="0.25">
      <c r="AT2683" s="2" t="str">
        <f>IF($L2683="","",IFERROR(INDEX('AR SALES'!$H$2:$H$2501,MATCH(""&amp;$L2683,'AR SALES'!$AE$2:$AE$2501,0)),""))</f>
        <v/>
      </c>
      <c r="AU2683" s="2" t="str">
        <f t="shared" si="164"/>
        <v/>
      </c>
      <c r="AV2683" s="2" t="str">
        <f t="shared" si="165"/>
        <v/>
      </c>
      <c r="AW2683" s="2" t="str">
        <f t="shared" si="166"/>
        <v/>
      </c>
      <c r="AX2683" s="2" t="str">
        <f t="shared" si="167"/>
        <v/>
      </c>
      <c r="AY2683" s="2" t="str">
        <f>IF($AV2683="","",IF(AND($Z2683=0,COUNTIF('AR SALES'!$L$2:$L$2501,$L2683)=0),"YES",""))</f>
        <v/>
      </c>
      <c r="AZ2683" s="2" t="str">
        <f>IF($AV2683="","",IF(COUNTIF(LISTS!$C$2:$C$250,$AU2683)=0,"NEW",""))</f>
        <v/>
      </c>
      <c r="BA2683" s="2" t="str">
        <f>IF(""&amp;$F2683&lt;&gt;"4","",IF($AY2683="YES","",IF(ROUND(SUMIFS($AE$2:$AE$4001,$L$2:$L$4001,$L2683,$F$2:$F$4001,"4")-SUMIFS('AR SALES'!$Y$2:$Y$2501,'AR SALES'!$L$2:$L$2501,$L2683,'AR SALES'!$AD$2:$AD$2501,"OFF"),2)=0,"","STALE")))</f>
        <v/>
      </c>
      <c r="BB2683" s="2" t="str">
        <f>IF(OR(""&amp;$F2683="2",""&amp;$F2683="4",""&amp;$F2683="G",""&amp;$F2683="H"),IF($AY2683="YES","",IF($AB2683&lt;&gt;0,"",IF(COUNTIFS('AR SALES'!$L$2:$L$2501,$L2683,'AR SALES'!$AD$2:$AD$2501,IF(""&amp;$F2683="4","OFF","ON"),'AR SALES'!$AF$2:$AF$2501,"Y")&gt;0,"","NO EXEMPTION"))),"")</f>
        <v/>
      </c>
    </row>
    <row r="2684" spans="46:54" x14ac:dyDescent="0.25">
      <c r="AT2684" s="2" t="str">
        <f>IF($L2684="","",IFERROR(INDEX('AR SALES'!$H$2:$H$2501,MATCH(""&amp;$L2684,'AR SALES'!$AE$2:$AE$2501,0)),""))</f>
        <v/>
      </c>
      <c r="AU2684" s="2" t="str">
        <f t="shared" si="164"/>
        <v/>
      </c>
      <c r="AV2684" s="2" t="str">
        <f t="shared" si="165"/>
        <v/>
      </c>
      <c r="AW2684" s="2" t="str">
        <f t="shared" si="166"/>
        <v/>
      </c>
      <c r="AX2684" s="2" t="str">
        <f t="shared" si="167"/>
        <v/>
      </c>
      <c r="AY2684" s="2" t="str">
        <f>IF($AV2684="","",IF(AND($Z2684=0,COUNTIF('AR SALES'!$L$2:$L$2501,$L2684)=0),"YES",""))</f>
        <v/>
      </c>
      <c r="AZ2684" s="2" t="str">
        <f>IF($AV2684="","",IF(COUNTIF(LISTS!$C$2:$C$250,$AU2684)=0,"NEW",""))</f>
        <v/>
      </c>
      <c r="BA2684" s="2" t="str">
        <f>IF(""&amp;$F2684&lt;&gt;"4","",IF($AY2684="YES","",IF(ROUND(SUMIFS($AE$2:$AE$4001,$L$2:$L$4001,$L2684,$F$2:$F$4001,"4")-SUMIFS('AR SALES'!$Y$2:$Y$2501,'AR SALES'!$L$2:$L$2501,$L2684,'AR SALES'!$AD$2:$AD$2501,"OFF"),2)=0,"","STALE")))</f>
        <v/>
      </c>
      <c r="BB2684" s="2" t="str">
        <f>IF(OR(""&amp;$F2684="2",""&amp;$F2684="4",""&amp;$F2684="G",""&amp;$F2684="H"),IF($AY2684="YES","",IF($AB2684&lt;&gt;0,"",IF(COUNTIFS('AR SALES'!$L$2:$L$2501,$L2684,'AR SALES'!$AD$2:$AD$2501,IF(""&amp;$F2684="4","OFF","ON"),'AR SALES'!$AF$2:$AF$2501,"Y")&gt;0,"","NO EXEMPTION"))),"")</f>
        <v/>
      </c>
    </row>
    <row r="2685" spans="46:54" x14ac:dyDescent="0.25">
      <c r="AT2685" s="2" t="str">
        <f>IF($L2685="","",IFERROR(INDEX('AR SALES'!$H$2:$H$2501,MATCH(""&amp;$L2685,'AR SALES'!$AE$2:$AE$2501,0)),""))</f>
        <v/>
      </c>
      <c r="AU2685" s="2" t="str">
        <f t="shared" si="164"/>
        <v/>
      </c>
      <c r="AV2685" s="2" t="str">
        <f t="shared" si="165"/>
        <v/>
      </c>
      <c r="AW2685" s="2" t="str">
        <f t="shared" si="166"/>
        <v/>
      </c>
      <c r="AX2685" s="2" t="str">
        <f t="shared" si="167"/>
        <v/>
      </c>
      <c r="AY2685" s="2" t="str">
        <f>IF($AV2685="","",IF(AND($Z2685=0,COUNTIF('AR SALES'!$L$2:$L$2501,$L2685)=0),"YES",""))</f>
        <v/>
      </c>
      <c r="AZ2685" s="2" t="str">
        <f>IF($AV2685="","",IF(COUNTIF(LISTS!$C$2:$C$250,$AU2685)=0,"NEW",""))</f>
        <v/>
      </c>
      <c r="BA2685" s="2" t="str">
        <f>IF(""&amp;$F2685&lt;&gt;"4","",IF($AY2685="YES","",IF(ROUND(SUMIFS($AE$2:$AE$4001,$L$2:$L$4001,$L2685,$F$2:$F$4001,"4")-SUMIFS('AR SALES'!$Y$2:$Y$2501,'AR SALES'!$L$2:$L$2501,$L2685,'AR SALES'!$AD$2:$AD$2501,"OFF"),2)=0,"","STALE")))</f>
        <v/>
      </c>
      <c r="BB2685" s="2" t="str">
        <f>IF(OR(""&amp;$F2685="2",""&amp;$F2685="4",""&amp;$F2685="G",""&amp;$F2685="H"),IF($AY2685="YES","",IF($AB2685&lt;&gt;0,"",IF(COUNTIFS('AR SALES'!$L$2:$L$2501,$L2685,'AR SALES'!$AD$2:$AD$2501,IF(""&amp;$F2685="4","OFF","ON"),'AR SALES'!$AF$2:$AF$2501,"Y")&gt;0,"","NO EXEMPTION"))),"")</f>
        <v/>
      </c>
    </row>
    <row r="2686" spans="46:54" x14ac:dyDescent="0.25">
      <c r="AT2686" s="2" t="str">
        <f>IF($L2686="","",IFERROR(INDEX('AR SALES'!$H$2:$H$2501,MATCH(""&amp;$L2686,'AR SALES'!$AE$2:$AE$2501,0)),""))</f>
        <v/>
      </c>
      <c r="AU2686" s="2" t="str">
        <f t="shared" si="164"/>
        <v/>
      </c>
      <c r="AV2686" s="2" t="str">
        <f t="shared" si="165"/>
        <v/>
      </c>
      <c r="AW2686" s="2" t="str">
        <f t="shared" si="166"/>
        <v/>
      </c>
      <c r="AX2686" s="2" t="str">
        <f t="shared" si="167"/>
        <v/>
      </c>
      <c r="AY2686" s="2" t="str">
        <f>IF($AV2686="","",IF(AND($Z2686=0,COUNTIF('AR SALES'!$L$2:$L$2501,$L2686)=0),"YES",""))</f>
        <v/>
      </c>
      <c r="AZ2686" s="2" t="str">
        <f>IF($AV2686="","",IF(COUNTIF(LISTS!$C$2:$C$250,$AU2686)=0,"NEW",""))</f>
        <v/>
      </c>
      <c r="BA2686" s="2" t="str">
        <f>IF(""&amp;$F2686&lt;&gt;"4","",IF($AY2686="YES","",IF(ROUND(SUMIFS($AE$2:$AE$4001,$L$2:$L$4001,$L2686,$F$2:$F$4001,"4")-SUMIFS('AR SALES'!$Y$2:$Y$2501,'AR SALES'!$L$2:$L$2501,$L2686,'AR SALES'!$AD$2:$AD$2501,"OFF"),2)=0,"","STALE")))</f>
        <v/>
      </c>
      <c r="BB2686" s="2" t="str">
        <f>IF(OR(""&amp;$F2686="2",""&amp;$F2686="4",""&amp;$F2686="G",""&amp;$F2686="H"),IF($AY2686="YES","",IF($AB2686&lt;&gt;0,"",IF(COUNTIFS('AR SALES'!$L$2:$L$2501,$L2686,'AR SALES'!$AD$2:$AD$2501,IF(""&amp;$F2686="4","OFF","ON"),'AR SALES'!$AF$2:$AF$2501,"Y")&gt;0,"","NO EXEMPTION"))),"")</f>
        <v/>
      </c>
    </row>
    <row r="2687" spans="46:54" x14ac:dyDescent="0.25">
      <c r="AT2687" s="2" t="str">
        <f>IF($L2687="","",IFERROR(INDEX('AR SALES'!$H$2:$H$2501,MATCH(""&amp;$L2687,'AR SALES'!$AE$2:$AE$2501,0)),""))</f>
        <v/>
      </c>
      <c r="AU2687" s="2" t="str">
        <f t="shared" si="164"/>
        <v/>
      </c>
      <c r="AV2687" s="2" t="str">
        <f t="shared" si="165"/>
        <v/>
      </c>
      <c r="AW2687" s="2" t="str">
        <f t="shared" si="166"/>
        <v/>
      </c>
      <c r="AX2687" s="2" t="str">
        <f t="shared" si="167"/>
        <v/>
      </c>
      <c r="AY2687" s="2" t="str">
        <f>IF($AV2687="","",IF(AND($Z2687=0,COUNTIF('AR SALES'!$L$2:$L$2501,$L2687)=0),"YES",""))</f>
        <v/>
      </c>
      <c r="AZ2687" s="2" t="str">
        <f>IF($AV2687="","",IF(COUNTIF(LISTS!$C$2:$C$250,$AU2687)=0,"NEW",""))</f>
        <v/>
      </c>
      <c r="BA2687" s="2" t="str">
        <f>IF(""&amp;$F2687&lt;&gt;"4","",IF($AY2687="YES","",IF(ROUND(SUMIFS($AE$2:$AE$4001,$L$2:$L$4001,$L2687,$F$2:$F$4001,"4")-SUMIFS('AR SALES'!$Y$2:$Y$2501,'AR SALES'!$L$2:$L$2501,$L2687,'AR SALES'!$AD$2:$AD$2501,"OFF"),2)=0,"","STALE")))</f>
        <v/>
      </c>
      <c r="BB2687" s="2" t="str">
        <f>IF(OR(""&amp;$F2687="2",""&amp;$F2687="4",""&amp;$F2687="G",""&amp;$F2687="H"),IF($AY2687="YES","",IF($AB2687&lt;&gt;0,"",IF(COUNTIFS('AR SALES'!$L$2:$L$2501,$L2687,'AR SALES'!$AD$2:$AD$2501,IF(""&amp;$F2687="4","OFF","ON"),'AR SALES'!$AF$2:$AF$2501,"Y")&gt;0,"","NO EXEMPTION"))),"")</f>
        <v/>
      </c>
    </row>
    <row r="2688" spans="46:54" x14ac:dyDescent="0.25">
      <c r="AT2688" s="2" t="str">
        <f>IF($L2688="","",IFERROR(INDEX('AR SALES'!$H$2:$H$2501,MATCH(""&amp;$L2688,'AR SALES'!$AE$2:$AE$2501,0)),""))</f>
        <v/>
      </c>
      <c r="AU2688" s="2" t="str">
        <f t="shared" si="164"/>
        <v/>
      </c>
      <c r="AV2688" s="2" t="str">
        <f t="shared" si="165"/>
        <v/>
      </c>
      <c r="AW2688" s="2" t="str">
        <f t="shared" si="166"/>
        <v/>
      </c>
      <c r="AX2688" s="2" t="str">
        <f t="shared" si="167"/>
        <v/>
      </c>
      <c r="AY2688" s="2" t="str">
        <f>IF($AV2688="","",IF(AND($Z2688=0,COUNTIF('AR SALES'!$L$2:$L$2501,$L2688)=0),"YES",""))</f>
        <v/>
      </c>
      <c r="AZ2688" s="2" t="str">
        <f>IF($AV2688="","",IF(COUNTIF(LISTS!$C$2:$C$250,$AU2688)=0,"NEW",""))</f>
        <v/>
      </c>
      <c r="BA2688" s="2" t="str">
        <f>IF(""&amp;$F2688&lt;&gt;"4","",IF($AY2688="YES","",IF(ROUND(SUMIFS($AE$2:$AE$4001,$L$2:$L$4001,$L2688,$F$2:$F$4001,"4")-SUMIFS('AR SALES'!$Y$2:$Y$2501,'AR SALES'!$L$2:$L$2501,$L2688,'AR SALES'!$AD$2:$AD$2501,"OFF"),2)=0,"","STALE")))</f>
        <v/>
      </c>
      <c r="BB2688" s="2" t="str">
        <f>IF(OR(""&amp;$F2688="2",""&amp;$F2688="4",""&amp;$F2688="G",""&amp;$F2688="H"),IF($AY2688="YES","",IF($AB2688&lt;&gt;0,"",IF(COUNTIFS('AR SALES'!$L$2:$L$2501,$L2688,'AR SALES'!$AD$2:$AD$2501,IF(""&amp;$F2688="4","OFF","ON"),'AR SALES'!$AF$2:$AF$2501,"Y")&gt;0,"","NO EXEMPTION"))),"")</f>
        <v/>
      </c>
    </row>
    <row r="2689" spans="46:54" x14ac:dyDescent="0.25">
      <c r="AT2689" s="2" t="str">
        <f>IF($L2689="","",IFERROR(INDEX('AR SALES'!$H$2:$H$2501,MATCH(""&amp;$L2689,'AR SALES'!$AE$2:$AE$2501,0)),""))</f>
        <v/>
      </c>
      <c r="AU2689" s="2" t="str">
        <f t="shared" si="164"/>
        <v/>
      </c>
      <c r="AV2689" s="2" t="str">
        <f t="shared" si="165"/>
        <v/>
      </c>
      <c r="AW2689" s="2" t="str">
        <f t="shared" si="166"/>
        <v/>
      </c>
      <c r="AX2689" s="2" t="str">
        <f t="shared" si="167"/>
        <v/>
      </c>
      <c r="AY2689" s="2" t="str">
        <f>IF($AV2689="","",IF(AND($Z2689=0,COUNTIF('AR SALES'!$L$2:$L$2501,$L2689)=0),"YES",""))</f>
        <v/>
      </c>
      <c r="AZ2689" s="2" t="str">
        <f>IF($AV2689="","",IF(COUNTIF(LISTS!$C$2:$C$250,$AU2689)=0,"NEW",""))</f>
        <v/>
      </c>
      <c r="BA2689" s="2" t="str">
        <f>IF(""&amp;$F2689&lt;&gt;"4","",IF($AY2689="YES","",IF(ROUND(SUMIFS($AE$2:$AE$4001,$L$2:$L$4001,$L2689,$F$2:$F$4001,"4")-SUMIFS('AR SALES'!$Y$2:$Y$2501,'AR SALES'!$L$2:$L$2501,$L2689,'AR SALES'!$AD$2:$AD$2501,"OFF"),2)=0,"","STALE")))</f>
        <v/>
      </c>
      <c r="BB2689" s="2" t="str">
        <f>IF(OR(""&amp;$F2689="2",""&amp;$F2689="4",""&amp;$F2689="G",""&amp;$F2689="H"),IF($AY2689="YES","",IF($AB2689&lt;&gt;0,"",IF(COUNTIFS('AR SALES'!$L$2:$L$2501,$L2689,'AR SALES'!$AD$2:$AD$2501,IF(""&amp;$F2689="4","OFF","ON"),'AR SALES'!$AF$2:$AF$2501,"Y")&gt;0,"","NO EXEMPTION"))),"")</f>
        <v/>
      </c>
    </row>
    <row r="2690" spans="46:54" x14ac:dyDescent="0.25">
      <c r="AT2690" s="2" t="str">
        <f>IF($L2690="","",IFERROR(INDEX('AR SALES'!$H$2:$H$2501,MATCH(""&amp;$L2690,'AR SALES'!$AE$2:$AE$2501,0)),""))</f>
        <v/>
      </c>
      <c r="AU2690" s="2" t="str">
        <f t="shared" ref="AU2690:AU2753" si="168">IF($L2690="","",IF($A2690&lt;&gt;"GA","",IF($E2690="FULTON",IF(ISNUMBER(SEARCH("COLLEGE PARK",$AT2690)),"FULTON (COLLEGE PARK)",IF(ISNUMBER(SEARCH("ATLANTA CITY",$AT2690)),"FULTON (ATL LIMITS)","FULTON")),IF($E2690="DEKALB",IF(ISNUMBER(SEARCH("ATLANTA CITY",$AT2690)),"DEKALB (ATL LIMITS)","DEKALB"),$E2690))))</f>
        <v/>
      </c>
      <c r="AV2690" s="2" t="str">
        <f t="shared" ref="AV2690:AV2753" si="169">IF($L2690="","",IF(""&amp;$F2690="2","DIESEL",IF(OR(""&amp;$F2690="G",""&amp;$F2690="H"),"GAS","")))</f>
        <v/>
      </c>
      <c r="AW2690" s="2" t="str">
        <f t="shared" ref="AW2690:AW2753" si="170">IF($AV2690="","",$R2690)</f>
        <v/>
      </c>
      <c r="AX2690" s="2" t="str">
        <f t="shared" ref="AX2690:AX2753" si="171">IF($AV2690="","",IF($AB2690=0,$R2690,0))</f>
        <v/>
      </c>
      <c r="AY2690" s="2" t="str">
        <f>IF($AV2690="","",IF(AND($Z2690=0,COUNTIF('AR SALES'!$L$2:$L$2501,$L2690)=0),"YES",""))</f>
        <v/>
      </c>
      <c r="AZ2690" s="2" t="str">
        <f>IF($AV2690="","",IF(COUNTIF(LISTS!$C$2:$C$250,$AU2690)=0,"NEW",""))</f>
        <v/>
      </c>
      <c r="BA2690" s="2" t="str">
        <f>IF(""&amp;$F2690&lt;&gt;"4","",IF($AY2690="YES","",IF(ROUND(SUMIFS($AE$2:$AE$4001,$L$2:$L$4001,$L2690,$F$2:$F$4001,"4")-SUMIFS('AR SALES'!$Y$2:$Y$2501,'AR SALES'!$L$2:$L$2501,$L2690,'AR SALES'!$AD$2:$AD$2501,"OFF"),2)=0,"","STALE")))</f>
        <v/>
      </c>
      <c r="BB2690" s="2" t="str">
        <f>IF(OR(""&amp;$F2690="2",""&amp;$F2690="4",""&amp;$F2690="G",""&amp;$F2690="H"),IF($AY2690="YES","",IF($AB2690&lt;&gt;0,"",IF(COUNTIFS('AR SALES'!$L$2:$L$2501,$L2690,'AR SALES'!$AD$2:$AD$2501,IF(""&amp;$F2690="4","OFF","ON"),'AR SALES'!$AF$2:$AF$2501,"Y")&gt;0,"","NO EXEMPTION"))),"")</f>
        <v/>
      </c>
    </row>
    <row r="2691" spans="46:54" x14ac:dyDescent="0.25">
      <c r="AT2691" s="2" t="str">
        <f>IF($L2691="","",IFERROR(INDEX('AR SALES'!$H$2:$H$2501,MATCH(""&amp;$L2691,'AR SALES'!$AE$2:$AE$2501,0)),""))</f>
        <v/>
      </c>
      <c r="AU2691" s="2" t="str">
        <f t="shared" si="168"/>
        <v/>
      </c>
      <c r="AV2691" s="2" t="str">
        <f t="shared" si="169"/>
        <v/>
      </c>
      <c r="AW2691" s="2" t="str">
        <f t="shared" si="170"/>
        <v/>
      </c>
      <c r="AX2691" s="2" t="str">
        <f t="shared" si="171"/>
        <v/>
      </c>
      <c r="AY2691" s="2" t="str">
        <f>IF($AV2691="","",IF(AND($Z2691=0,COUNTIF('AR SALES'!$L$2:$L$2501,$L2691)=0),"YES",""))</f>
        <v/>
      </c>
      <c r="AZ2691" s="2" t="str">
        <f>IF($AV2691="","",IF(COUNTIF(LISTS!$C$2:$C$250,$AU2691)=0,"NEW",""))</f>
        <v/>
      </c>
      <c r="BA2691" s="2" t="str">
        <f>IF(""&amp;$F2691&lt;&gt;"4","",IF($AY2691="YES","",IF(ROUND(SUMIFS($AE$2:$AE$4001,$L$2:$L$4001,$L2691,$F$2:$F$4001,"4")-SUMIFS('AR SALES'!$Y$2:$Y$2501,'AR SALES'!$L$2:$L$2501,$L2691,'AR SALES'!$AD$2:$AD$2501,"OFF"),2)=0,"","STALE")))</f>
        <v/>
      </c>
      <c r="BB2691" s="2" t="str">
        <f>IF(OR(""&amp;$F2691="2",""&amp;$F2691="4",""&amp;$F2691="G",""&amp;$F2691="H"),IF($AY2691="YES","",IF($AB2691&lt;&gt;0,"",IF(COUNTIFS('AR SALES'!$L$2:$L$2501,$L2691,'AR SALES'!$AD$2:$AD$2501,IF(""&amp;$F2691="4","OFF","ON"),'AR SALES'!$AF$2:$AF$2501,"Y")&gt;0,"","NO EXEMPTION"))),"")</f>
        <v/>
      </c>
    </row>
    <row r="2692" spans="46:54" x14ac:dyDescent="0.25">
      <c r="AT2692" s="2" t="str">
        <f>IF($L2692="","",IFERROR(INDEX('AR SALES'!$H$2:$H$2501,MATCH(""&amp;$L2692,'AR SALES'!$AE$2:$AE$2501,0)),""))</f>
        <v/>
      </c>
      <c r="AU2692" s="2" t="str">
        <f t="shared" si="168"/>
        <v/>
      </c>
      <c r="AV2692" s="2" t="str">
        <f t="shared" si="169"/>
        <v/>
      </c>
      <c r="AW2692" s="2" t="str">
        <f t="shared" si="170"/>
        <v/>
      </c>
      <c r="AX2692" s="2" t="str">
        <f t="shared" si="171"/>
        <v/>
      </c>
      <c r="AY2692" s="2" t="str">
        <f>IF($AV2692="","",IF(AND($Z2692=0,COUNTIF('AR SALES'!$L$2:$L$2501,$L2692)=0),"YES",""))</f>
        <v/>
      </c>
      <c r="AZ2692" s="2" t="str">
        <f>IF($AV2692="","",IF(COUNTIF(LISTS!$C$2:$C$250,$AU2692)=0,"NEW",""))</f>
        <v/>
      </c>
      <c r="BA2692" s="2" t="str">
        <f>IF(""&amp;$F2692&lt;&gt;"4","",IF($AY2692="YES","",IF(ROUND(SUMIFS($AE$2:$AE$4001,$L$2:$L$4001,$L2692,$F$2:$F$4001,"4")-SUMIFS('AR SALES'!$Y$2:$Y$2501,'AR SALES'!$L$2:$L$2501,$L2692,'AR SALES'!$AD$2:$AD$2501,"OFF"),2)=0,"","STALE")))</f>
        <v/>
      </c>
      <c r="BB2692" s="2" t="str">
        <f>IF(OR(""&amp;$F2692="2",""&amp;$F2692="4",""&amp;$F2692="G",""&amp;$F2692="H"),IF($AY2692="YES","",IF($AB2692&lt;&gt;0,"",IF(COUNTIFS('AR SALES'!$L$2:$L$2501,$L2692,'AR SALES'!$AD$2:$AD$2501,IF(""&amp;$F2692="4","OFF","ON"),'AR SALES'!$AF$2:$AF$2501,"Y")&gt;0,"","NO EXEMPTION"))),"")</f>
        <v/>
      </c>
    </row>
    <row r="2693" spans="46:54" x14ac:dyDescent="0.25">
      <c r="AT2693" s="2" t="str">
        <f>IF($L2693="","",IFERROR(INDEX('AR SALES'!$H$2:$H$2501,MATCH(""&amp;$L2693,'AR SALES'!$AE$2:$AE$2501,0)),""))</f>
        <v/>
      </c>
      <c r="AU2693" s="2" t="str">
        <f t="shared" si="168"/>
        <v/>
      </c>
      <c r="AV2693" s="2" t="str">
        <f t="shared" si="169"/>
        <v/>
      </c>
      <c r="AW2693" s="2" t="str">
        <f t="shared" si="170"/>
        <v/>
      </c>
      <c r="AX2693" s="2" t="str">
        <f t="shared" si="171"/>
        <v/>
      </c>
      <c r="AY2693" s="2" t="str">
        <f>IF($AV2693="","",IF(AND($Z2693=0,COUNTIF('AR SALES'!$L$2:$L$2501,$L2693)=0),"YES",""))</f>
        <v/>
      </c>
      <c r="AZ2693" s="2" t="str">
        <f>IF($AV2693="","",IF(COUNTIF(LISTS!$C$2:$C$250,$AU2693)=0,"NEW",""))</f>
        <v/>
      </c>
      <c r="BA2693" s="2" t="str">
        <f>IF(""&amp;$F2693&lt;&gt;"4","",IF($AY2693="YES","",IF(ROUND(SUMIFS($AE$2:$AE$4001,$L$2:$L$4001,$L2693,$F$2:$F$4001,"4")-SUMIFS('AR SALES'!$Y$2:$Y$2501,'AR SALES'!$L$2:$L$2501,$L2693,'AR SALES'!$AD$2:$AD$2501,"OFF"),2)=0,"","STALE")))</f>
        <v/>
      </c>
      <c r="BB2693" s="2" t="str">
        <f>IF(OR(""&amp;$F2693="2",""&amp;$F2693="4",""&amp;$F2693="G",""&amp;$F2693="H"),IF($AY2693="YES","",IF($AB2693&lt;&gt;0,"",IF(COUNTIFS('AR SALES'!$L$2:$L$2501,$L2693,'AR SALES'!$AD$2:$AD$2501,IF(""&amp;$F2693="4","OFF","ON"),'AR SALES'!$AF$2:$AF$2501,"Y")&gt;0,"","NO EXEMPTION"))),"")</f>
        <v/>
      </c>
    </row>
    <row r="2694" spans="46:54" x14ac:dyDescent="0.25">
      <c r="AT2694" s="2" t="str">
        <f>IF($L2694="","",IFERROR(INDEX('AR SALES'!$H$2:$H$2501,MATCH(""&amp;$L2694,'AR SALES'!$AE$2:$AE$2501,0)),""))</f>
        <v/>
      </c>
      <c r="AU2694" s="2" t="str">
        <f t="shared" si="168"/>
        <v/>
      </c>
      <c r="AV2694" s="2" t="str">
        <f t="shared" si="169"/>
        <v/>
      </c>
      <c r="AW2694" s="2" t="str">
        <f t="shared" si="170"/>
        <v/>
      </c>
      <c r="AX2694" s="2" t="str">
        <f t="shared" si="171"/>
        <v/>
      </c>
      <c r="AY2694" s="2" t="str">
        <f>IF($AV2694="","",IF(AND($Z2694=0,COUNTIF('AR SALES'!$L$2:$L$2501,$L2694)=0),"YES",""))</f>
        <v/>
      </c>
      <c r="AZ2694" s="2" t="str">
        <f>IF($AV2694="","",IF(COUNTIF(LISTS!$C$2:$C$250,$AU2694)=0,"NEW",""))</f>
        <v/>
      </c>
      <c r="BA2694" s="2" t="str">
        <f>IF(""&amp;$F2694&lt;&gt;"4","",IF($AY2694="YES","",IF(ROUND(SUMIFS($AE$2:$AE$4001,$L$2:$L$4001,$L2694,$F$2:$F$4001,"4")-SUMIFS('AR SALES'!$Y$2:$Y$2501,'AR SALES'!$L$2:$L$2501,$L2694,'AR SALES'!$AD$2:$AD$2501,"OFF"),2)=0,"","STALE")))</f>
        <v/>
      </c>
      <c r="BB2694" s="2" t="str">
        <f>IF(OR(""&amp;$F2694="2",""&amp;$F2694="4",""&amp;$F2694="G",""&amp;$F2694="H"),IF($AY2694="YES","",IF($AB2694&lt;&gt;0,"",IF(COUNTIFS('AR SALES'!$L$2:$L$2501,$L2694,'AR SALES'!$AD$2:$AD$2501,IF(""&amp;$F2694="4","OFF","ON"),'AR SALES'!$AF$2:$AF$2501,"Y")&gt;0,"","NO EXEMPTION"))),"")</f>
        <v/>
      </c>
    </row>
    <row r="2695" spans="46:54" x14ac:dyDescent="0.25">
      <c r="AT2695" s="2" t="str">
        <f>IF($L2695="","",IFERROR(INDEX('AR SALES'!$H$2:$H$2501,MATCH(""&amp;$L2695,'AR SALES'!$AE$2:$AE$2501,0)),""))</f>
        <v/>
      </c>
      <c r="AU2695" s="2" t="str">
        <f t="shared" si="168"/>
        <v/>
      </c>
      <c r="AV2695" s="2" t="str">
        <f t="shared" si="169"/>
        <v/>
      </c>
      <c r="AW2695" s="2" t="str">
        <f t="shared" si="170"/>
        <v/>
      </c>
      <c r="AX2695" s="2" t="str">
        <f t="shared" si="171"/>
        <v/>
      </c>
      <c r="AY2695" s="2" t="str">
        <f>IF($AV2695="","",IF(AND($Z2695=0,COUNTIF('AR SALES'!$L$2:$L$2501,$L2695)=0),"YES",""))</f>
        <v/>
      </c>
      <c r="AZ2695" s="2" t="str">
        <f>IF($AV2695="","",IF(COUNTIF(LISTS!$C$2:$C$250,$AU2695)=0,"NEW",""))</f>
        <v/>
      </c>
      <c r="BA2695" s="2" t="str">
        <f>IF(""&amp;$F2695&lt;&gt;"4","",IF($AY2695="YES","",IF(ROUND(SUMIFS($AE$2:$AE$4001,$L$2:$L$4001,$L2695,$F$2:$F$4001,"4")-SUMIFS('AR SALES'!$Y$2:$Y$2501,'AR SALES'!$L$2:$L$2501,$L2695,'AR SALES'!$AD$2:$AD$2501,"OFF"),2)=0,"","STALE")))</f>
        <v/>
      </c>
      <c r="BB2695" s="2" t="str">
        <f>IF(OR(""&amp;$F2695="2",""&amp;$F2695="4",""&amp;$F2695="G",""&amp;$F2695="H"),IF($AY2695="YES","",IF($AB2695&lt;&gt;0,"",IF(COUNTIFS('AR SALES'!$L$2:$L$2501,$L2695,'AR SALES'!$AD$2:$AD$2501,IF(""&amp;$F2695="4","OFF","ON"),'AR SALES'!$AF$2:$AF$2501,"Y")&gt;0,"","NO EXEMPTION"))),"")</f>
        <v/>
      </c>
    </row>
    <row r="2696" spans="46:54" x14ac:dyDescent="0.25">
      <c r="AT2696" s="2" t="str">
        <f>IF($L2696="","",IFERROR(INDEX('AR SALES'!$H$2:$H$2501,MATCH(""&amp;$L2696,'AR SALES'!$AE$2:$AE$2501,0)),""))</f>
        <v/>
      </c>
      <c r="AU2696" s="2" t="str">
        <f t="shared" si="168"/>
        <v/>
      </c>
      <c r="AV2696" s="2" t="str">
        <f t="shared" si="169"/>
        <v/>
      </c>
      <c r="AW2696" s="2" t="str">
        <f t="shared" si="170"/>
        <v/>
      </c>
      <c r="AX2696" s="2" t="str">
        <f t="shared" si="171"/>
        <v/>
      </c>
      <c r="AY2696" s="2" t="str">
        <f>IF($AV2696="","",IF(AND($Z2696=0,COUNTIF('AR SALES'!$L$2:$L$2501,$L2696)=0),"YES",""))</f>
        <v/>
      </c>
      <c r="AZ2696" s="2" t="str">
        <f>IF($AV2696="","",IF(COUNTIF(LISTS!$C$2:$C$250,$AU2696)=0,"NEW",""))</f>
        <v/>
      </c>
      <c r="BA2696" s="2" t="str">
        <f>IF(""&amp;$F2696&lt;&gt;"4","",IF($AY2696="YES","",IF(ROUND(SUMIFS($AE$2:$AE$4001,$L$2:$L$4001,$L2696,$F$2:$F$4001,"4")-SUMIFS('AR SALES'!$Y$2:$Y$2501,'AR SALES'!$L$2:$L$2501,$L2696,'AR SALES'!$AD$2:$AD$2501,"OFF"),2)=0,"","STALE")))</f>
        <v/>
      </c>
      <c r="BB2696" s="2" t="str">
        <f>IF(OR(""&amp;$F2696="2",""&amp;$F2696="4",""&amp;$F2696="G",""&amp;$F2696="H"),IF($AY2696="YES","",IF($AB2696&lt;&gt;0,"",IF(COUNTIFS('AR SALES'!$L$2:$L$2501,$L2696,'AR SALES'!$AD$2:$AD$2501,IF(""&amp;$F2696="4","OFF","ON"),'AR SALES'!$AF$2:$AF$2501,"Y")&gt;0,"","NO EXEMPTION"))),"")</f>
        <v/>
      </c>
    </row>
    <row r="2697" spans="46:54" x14ac:dyDescent="0.25">
      <c r="AT2697" s="2" t="str">
        <f>IF($L2697="","",IFERROR(INDEX('AR SALES'!$H$2:$H$2501,MATCH(""&amp;$L2697,'AR SALES'!$AE$2:$AE$2501,0)),""))</f>
        <v/>
      </c>
      <c r="AU2697" s="2" t="str">
        <f t="shared" si="168"/>
        <v/>
      </c>
      <c r="AV2697" s="2" t="str">
        <f t="shared" si="169"/>
        <v/>
      </c>
      <c r="AW2697" s="2" t="str">
        <f t="shared" si="170"/>
        <v/>
      </c>
      <c r="AX2697" s="2" t="str">
        <f t="shared" si="171"/>
        <v/>
      </c>
      <c r="AY2697" s="2" t="str">
        <f>IF($AV2697="","",IF(AND($Z2697=0,COUNTIF('AR SALES'!$L$2:$L$2501,$L2697)=0),"YES",""))</f>
        <v/>
      </c>
      <c r="AZ2697" s="2" t="str">
        <f>IF($AV2697="","",IF(COUNTIF(LISTS!$C$2:$C$250,$AU2697)=0,"NEW",""))</f>
        <v/>
      </c>
      <c r="BA2697" s="2" t="str">
        <f>IF(""&amp;$F2697&lt;&gt;"4","",IF($AY2697="YES","",IF(ROUND(SUMIFS($AE$2:$AE$4001,$L$2:$L$4001,$L2697,$F$2:$F$4001,"4")-SUMIFS('AR SALES'!$Y$2:$Y$2501,'AR SALES'!$L$2:$L$2501,$L2697,'AR SALES'!$AD$2:$AD$2501,"OFF"),2)=0,"","STALE")))</f>
        <v/>
      </c>
      <c r="BB2697" s="2" t="str">
        <f>IF(OR(""&amp;$F2697="2",""&amp;$F2697="4",""&amp;$F2697="G",""&amp;$F2697="H"),IF($AY2697="YES","",IF($AB2697&lt;&gt;0,"",IF(COUNTIFS('AR SALES'!$L$2:$L$2501,$L2697,'AR SALES'!$AD$2:$AD$2501,IF(""&amp;$F2697="4","OFF","ON"),'AR SALES'!$AF$2:$AF$2501,"Y")&gt;0,"","NO EXEMPTION"))),"")</f>
        <v/>
      </c>
    </row>
    <row r="2698" spans="46:54" x14ac:dyDescent="0.25">
      <c r="AT2698" s="2" t="str">
        <f>IF($L2698="","",IFERROR(INDEX('AR SALES'!$H$2:$H$2501,MATCH(""&amp;$L2698,'AR SALES'!$AE$2:$AE$2501,0)),""))</f>
        <v/>
      </c>
      <c r="AU2698" s="2" t="str">
        <f t="shared" si="168"/>
        <v/>
      </c>
      <c r="AV2698" s="2" t="str">
        <f t="shared" si="169"/>
        <v/>
      </c>
      <c r="AW2698" s="2" t="str">
        <f t="shared" si="170"/>
        <v/>
      </c>
      <c r="AX2698" s="2" t="str">
        <f t="shared" si="171"/>
        <v/>
      </c>
      <c r="AY2698" s="2" t="str">
        <f>IF($AV2698="","",IF(AND($Z2698=0,COUNTIF('AR SALES'!$L$2:$L$2501,$L2698)=0),"YES",""))</f>
        <v/>
      </c>
      <c r="AZ2698" s="2" t="str">
        <f>IF($AV2698="","",IF(COUNTIF(LISTS!$C$2:$C$250,$AU2698)=0,"NEW",""))</f>
        <v/>
      </c>
      <c r="BA2698" s="2" t="str">
        <f>IF(""&amp;$F2698&lt;&gt;"4","",IF($AY2698="YES","",IF(ROUND(SUMIFS($AE$2:$AE$4001,$L$2:$L$4001,$L2698,$F$2:$F$4001,"4")-SUMIFS('AR SALES'!$Y$2:$Y$2501,'AR SALES'!$L$2:$L$2501,$L2698,'AR SALES'!$AD$2:$AD$2501,"OFF"),2)=0,"","STALE")))</f>
        <v/>
      </c>
      <c r="BB2698" s="2" t="str">
        <f>IF(OR(""&amp;$F2698="2",""&amp;$F2698="4",""&amp;$F2698="G",""&amp;$F2698="H"),IF($AY2698="YES","",IF($AB2698&lt;&gt;0,"",IF(COUNTIFS('AR SALES'!$L$2:$L$2501,$L2698,'AR SALES'!$AD$2:$AD$2501,IF(""&amp;$F2698="4","OFF","ON"),'AR SALES'!$AF$2:$AF$2501,"Y")&gt;0,"","NO EXEMPTION"))),"")</f>
        <v/>
      </c>
    </row>
    <row r="2699" spans="46:54" x14ac:dyDescent="0.25">
      <c r="AT2699" s="2" t="str">
        <f>IF($L2699="","",IFERROR(INDEX('AR SALES'!$H$2:$H$2501,MATCH(""&amp;$L2699,'AR SALES'!$AE$2:$AE$2501,0)),""))</f>
        <v/>
      </c>
      <c r="AU2699" s="2" t="str">
        <f t="shared" si="168"/>
        <v/>
      </c>
      <c r="AV2699" s="2" t="str">
        <f t="shared" si="169"/>
        <v/>
      </c>
      <c r="AW2699" s="2" t="str">
        <f t="shared" si="170"/>
        <v/>
      </c>
      <c r="AX2699" s="2" t="str">
        <f t="shared" si="171"/>
        <v/>
      </c>
      <c r="AY2699" s="2" t="str">
        <f>IF($AV2699="","",IF(AND($Z2699=0,COUNTIF('AR SALES'!$L$2:$L$2501,$L2699)=0),"YES",""))</f>
        <v/>
      </c>
      <c r="AZ2699" s="2" t="str">
        <f>IF($AV2699="","",IF(COUNTIF(LISTS!$C$2:$C$250,$AU2699)=0,"NEW",""))</f>
        <v/>
      </c>
      <c r="BA2699" s="2" t="str">
        <f>IF(""&amp;$F2699&lt;&gt;"4","",IF($AY2699="YES","",IF(ROUND(SUMIFS($AE$2:$AE$4001,$L$2:$L$4001,$L2699,$F$2:$F$4001,"4")-SUMIFS('AR SALES'!$Y$2:$Y$2501,'AR SALES'!$L$2:$L$2501,$L2699,'AR SALES'!$AD$2:$AD$2501,"OFF"),2)=0,"","STALE")))</f>
        <v/>
      </c>
      <c r="BB2699" s="2" t="str">
        <f>IF(OR(""&amp;$F2699="2",""&amp;$F2699="4",""&amp;$F2699="G",""&amp;$F2699="H"),IF($AY2699="YES","",IF($AB2699&lt;&gt;0,"",IF(COUNTIFS('AR SALES'!$L$2:$L$2501,$L2699,'AR SALES'!$AD$2:$AD$2501,IF(""&amp;$F2699="4","OFF","ON"),'AR SALES'!$AF$2:$AF$2501,"Y")&gt;0,"","NO EXEMPTION"))),"")</f>
        <v/>
      </c>
    </row>
    <row r="2700" spans="46:54" x14ac:dyDescent="0.25">
      <c r="AT2700" s="2" t="str">
        <f>IF($L2700="","",IFERROR(INDEX('AR SALES'!$H$2:$H$2501,MATCH(""&amp;$L2700,'AR SALES'!$AE$2:$AE$2501,0)),""))</f>
        <v/>
      </c>
      <c r="AU2700" s="2" t="str">
        <f t="shared" si="168"/>
        <v/>
      </c>
      <c r="AV2700" s="2" t="str">
        <f t="shared" si="169"/>
        <v/>
      </c>
      <c r="AW2700" s="2" t="str">
        <f t="shared" si="170"/>
        <v/>
      </c>
      <c r="AX2700" s="2" t="str">
        <f t="shared" si="171"/>
        <v/>
      </c>
      <c r="AY2700" s="2" t="str">
        <f>IF($AV2700="","",IF(AND($Z2700=0,COUNTIF('AR SALES'!$L$2:$L$2501,$L2700)=0),"YES",""))</f>
        <v/>
      </c>
      <c r="AZ2700" s="2" t="str">
        <f>IF($AV2700="","",IF(COUNTIF(LISTS!$C$2:$C$250,$AU2700)=0,"NEW",""))</f>
        <v/>
      </c>
      <c r="BA2700" s="2" t="str">
        <f>IF(""&amp;$F2700&lt;&gt;"4","",IF($AY2700="YES","",IF(ROUND(SUMIFS($AE$2:$AE$4001,$L$2:$L$4001,$L2700,$F$2:$F$4001,"4")-SUMIFS('AR SALES'!$Y$2:$Y$2501,'AR SALES'!$L$2:$L$2501,$L2700,'AR SALES'!$AD$2:$AD$2501,"OFF"),2)=0,"","STALE")))</f>
        <v/>
      </c>
      <c r="BB2700" s="2" t="str">
        <f>IF(OR(""&amp;$F2700="2",""&amp;$F2700="4",""&amp;$F2700="G",""&amp;$F2700="H"),IF($AY2700="YES","",IF($AB2700&lt;&gt;0,"",IF(COUNTIFS('AR SALES'!$L$2:$L$2501,$L2700,'AR SALES'!$AD$2:$AD$2501,IF(""&amp;$F2700="4","OFF","ON"),'AR SALES'!$AF$2:$AF$2501,"Y")&gt;0,"","NO EXEMPTION"))),"")</f>
        <v/>
      </c>
    </row>
    <row r="2701" spans="46:54" x14ac:dyDescent="0.25">
      <c r="AT2701" s="2" t="str">
        <f>IF($L2701="","",IFERROR(INDEX('AR SALES'!$H$2:$H$2501,MATCH(""&amp;$L2701,'AR SALES'!$AE$2:$AE$2501,0)),""))</f>
        <v/>
      </c>
      <c r="AU2701" s="2" t="str">
        <f t="shared" si="168"/>
        <v/>
      </c>
      <c r="AV2701" s="2" t="str">
        <f t="shared" si="169"/>
        <v/>
      </c>
      <c r="AW2701" s="2" t="str">
        <f t="shared" si="170"/>
        <v/>
      </c>
      <c r="AX2701" s="2" t="str">
        <f t="shared" si="171"/>
        <v/>
      </c>
      <c r="AY2701" s="2" t="str">
        <f>IF($AV2701="","",IF(AND($Z2701=0,COUNTIF('AR SALES'!$L$2:$L$2501,$L2701)=0),"YES",""))</f>
        <v/>
      </c>
      <c r="AZ2701" s="2" t="str">
        <f>IF($AV2701="","",IF(COUNTIF(LISTS!$C$2:$C$250,$AU2701)=0,"NEW",""))</f>
        <v/>
      </c>
      <c r="BA2701" s="2" t="str">
        <f>IF(""&amp;$F2701&lt;&gt;"4","",IF($AY2701="YES","",IF(ROUND(SUMIFS($AE$2:$AE$4001,$L$2:$L$4001,$L2701,$F$2:$F$4001,"4")-SUMIFS('AR SALES'!$Y$2:$Y$2501,'AR SALES'!$L$2:$L$2501,$L2701,'AR SALES'!$AD$2:$AD$2501,"OFF"),2)=0,"","STALE")))</f>
        <v/>
      </c>
      <c r="BB2701" s="2" t="str">
        <f>IF(OR(""&amp;$F2701="2",""&amp;$F2701="4",""&amp;$F2701="G",""&amp;$F2701="H"),IF($AY2701="YES","",IF($AB2701&lt;&gt;0,"",IF(COUNTIFS('AR SALES'!$L$2:$L$2501,$L2701,'AR SALES'!$AD$2:$AD$2501,IF(""&amp;$F2701="4","OFF","ON"),'AR SALES'!$AF$2:$AF$2501,"Y")&gt;0,"","NO EXEMPTION"))),"")</f>
        <v/>
      </c>
    </row>
    <row r="2702" spans="46:54" x14ac:dyDescent="0.25">
      <c r="AT2702" s="2" t="str">
        <f>IF($L2702="","",IFERROR(INDEX('AR SALES'!$H$2:$H$2501,MATCH(""&amp;$L2702,'AR SALES'!$AE$2:$AE$2501,0)),""))</f>
        <v/>
      </c>
      <c r="AU2702" s="2" t="str">
        <f t="shared" si="168"/>
        <v/>
      </c>
      <c r="AV2702" s="2" t="str">
        <f t="shared" si="169"/>
        <v/>
      </c>
      <c r="AW2702" s="2" t="str">
        <f t="shared" si="170"/>
        <v/>
      </c>
      <c r="AX2702" s="2" t="str">
        <f t="shared" si="171"/>
        <v/>
      </c>
      <c r="AY2702" s="2" t="str">
        <f>IF($AV2702="","",IF(AND($Z2702=0,COUNTIF('AR SALES'!$L$2:$L$2501,$L2702)=0),"YES",""))</f>
        <v/>
      </c>
      <c r="AZ2702" s="2" t="str">
        <f>IF($AV2702="","",IF(COUNTIF(LISTS!$C$2:$C$250,$AU2702)=0,"NEW",""))</f>
        <v/>
      </c>
      <c r="BA2702" s="2" t="str">
        <f>IF(""&amp;$F2702&lt;&gt;"4","",IF($AY2702="YES","",IF(ROUND(SUMIFS($AE$2:$AE$4001,$L$2:$L$4001,$L2702,$F$2:$F$4001,"4")-SUMIFS('AR SALES'!$Y$2:$Y$2501,'AR SALES'!$L$2:$L$2501,$L2702,'AR SALES'!$AD$2:$AD$2501,"OFF"),2)=0,"","STALE")))</f>
        <v/>
      </c>
      <c r="BB2702" s="2" t="str">
        <f>IF(OR(""&amp;$F2702="2",""&amp;$F2702="4",""&amp;$F2702="G",""&amp;$F2702="H"),IF($AY2702="YES","",IF($AB2702&lt;&gt;0,"",IF(COUNTIFS('AR SALES'!$L$2:$L$2501,$L2702,'AR SALES'!$AD$2:$AD$2501,IF(""&amp;$F2702="4","OFF","ON"),'AR SALES'!$AF$2:$AF$2501,"Y")&gt;0,"","NO EXEMPTION"))),"")</f>
        <v/>
      </c>
    </row>
    <row r="2703" spans="46:54" x14ac:dyDescent="0.25">
      <c r="AT2703" s="2" t="str">
        <f>IF($L2703="","",IFERROR(INDEX('AR SALES'!$H$2:$H$2501,MATCH(""&amp;$L2703,'AR SALES'!$AE$2:$AE$2501,0)),""))</f>
        <v/>
      </c>
      <c r="AU2703" s="2" t="str">
        <f t="shared" si="168"/>
        <v/>
      </c>
      <c r="AV2703" s="2" t="str">
        <f t="shared" si="169"/>
        <v/>
      </c>
      <c r="AW2703" s="2" t="str">
        <f t="shared" si="170"/>
        <v/>
      </c>
      <c r="AX2703" s="2" t="str">
        <f t="shared" si="171"/>
        <v/>
      </c>
      <c r="AY2703" s="2" t="str">
        <f>IF($AV2703="","",IF(AND($Z2703=0,COUNTIF('AR SALES'!$L$2:$L$2501,$L2703)=0),"YES",""))</f>
        <v/>
      </c>
      <c r="AZ2703" s="2" t="str">
        <f>IF($AV2703="","",IF(COUNTIF(LISTS!$C$2:$C$250,$AU2703)=0,"NEW",""))</f>
        <v/>
      </c>
      <c r="BA2703" s="2" t="str">
        <f>IF(""&amp;$F2703&lt;&gt;"4","",IF($AY2703="YES","",IF(ROUND(SUMIFS($AE$2:$AE$4001,$L$2:$L$4001,$L2703,$F$2:$F$4001,"4")-SUMIFS('AR SALES'!$Y$2:$Y$2501,'AR SALES'!$L$2:$L$2501,$L2703,'AR SALES'!$AD$2:$AD$2501,"OFF"),2)=0,"","STALE")))</f>
        <v/>
      </c>
      <c r="BB2703" s="2" t="str">
        <f>IF(OR(""&amp;$F2703="2",""&amp;$F2703="4",""&amp;$F2703="G",""&amp;$F2703="H"),IF($AY2703="YES","",IF($AB2703&lt;&gt;0,"",IF(COUNTIFS('AR SALES'!$L$2:$L$2501,$L2703,'AR SALES'!$AD$2:$AD$2501,IF(""&amp;$F2703="4","OFF","ON"),'AR SALES'!$AF$2:$AF$2501,"Y")&gt;0,"","NO EXEMPTION"))),"")</f>
        <v/>
      </c>
    </row>
    <row r="2704" spans="46:54" x14ac:dyDescent="0.25">
      <c r="AT2704" s="2" t="str">
        <f>IF($L2704="","",IFERROR(INDEX('AR SALES'!$H$2:$H$2501,MATCH(""&amp;$L2704,'AR SALES'!$AE$2:$AE$2501,0)),""))</f>
        <v/>
      </c>
      <c r="AU2704" s="2" t="str">
        <f t="shared" si="168"/>
        <v/>
      </c>
      <c r="AV2704" s="2" t="str">
        <f t="shared" si="169"/>
        <v/>
      </c>
      <c r="AW2704" s="2" t="str">
        <f t="shared" si="170"/>
        <v/>
      </c>
      <c r="AX2704" s="2" t="str">
        <f t="shared" si="171"/>
        <v/>
      </c>
      <c r="AY2704" s="2" t="str">
        <f>IF($AV2704="","",IF(AND($Z2704=0,COUNTIF('AR SALES'!$L$2:$L$2501,$L2704)=0),"YES",""))</f>
        <v/>
      </c>
      <c r="AZ2704" s="2" t="str">
        <f>IF($AV2704="","",IF(COUNTIF(LISTS!$C$2:$C$250,$AU2704)=0,"NEW",""))</f>
        <v/>
      </c>
      <c r="BA2704" s="2" t="str">
        <f>IF(""&amp;$F2704&lt;&gt;"4","",IF($AY2704="YES","",IF(ROUND(SUMIFS($AE$2:$AE$4001,$L$2:$L$4001,$L2704,$F$2:$F$4001,"4")-SUMIFS('AR SALES'!$Y$2:$Y$2501,'AR SALES'!$L$2:$L$2501,$L2704,'AR SALES'!$AD$2:$AD$2501,"OFF"),2)=0,"","STALE")))</f>
        <v/>
      </c>
      <c r="BB2704" s="2" t="str">
        <f>IF(OR(""&amp;$F2704="2",""&amp;$F2704="4",""&amp;$F2704="G",""&amp;$F2704="H"),IF($AY2704="YES","",IF($AB2704&lt;&gt;0,"",IF(COUNTIFS('AR SALES'!$L$2:$L$2501,$L2704,'AR SALES'!$AD$2:$AD$2501,IF(""&amp;$F2704="4","OFF","ON"),'AR SALES'!$AF$2:$AF$2501,"Y")&gt;0,"","NO EXEMPTION"))),"")</f>
        <v/>
      </c>
    </row>
    <row r="2705" spans="46:54" x14ac:dyDescent="0.25">
      <c r="AT2705" s="2" t="str">
        <f>IF($L2705="","",IFERROR(INDEX('AR SALES'!$H$2:$H$2501,MATCH(""&amp;$L2705,'AR SALES'!$AE$2:$AE$2501,0)),""))</f>
        <v/>
      </c>
      <c r="AU2705" s="2" t="str">
        <f t="shared" si="168"/>
        <v/>
      </c>
      <c r="AV2705" s="2" t="str">
        <f t="shared" si="169"/>
        <v/>
      </c>
      <c r="AW2705" s="2" t="str">
        <f t="shared" si="170"/>
        <v/>
      </c>
      <c r="AX2705" s="2" t="str">
        <f t="shared" si="171"/>
        <v/>
      </c>
      <c r="AY2705" s="2" t="str">
        <f>IF($AV2705="","",IF(AND($Z2705=0,COUNTIF('AR SALES'!$L$2:$L$2501,$L2705)=0),"YES",""))</f>
        <v/>
      </c>
      <c r="AZ2705" s="2" t="str">
        <f>IF($AV2705="","",IF(COUNTIF(LISTS!$C$2:$C$250,$AU2705)=0,"NEW",""))</f>
        <v/>
      </c>
      <c r="BA2705" s="2" t="str">
        <f>IF(""&amp;$F2705&lt;&gt;"4","",IF($AY2705="YES","",IF(ROUND(SUMIFS($AE$2:$AE$4001,$L$2:$L$4001,$L2705,$F$2:$F$4001,"4")-SUMIFS('AR SALES'!$Y$2:$Y$2501,'AR SALES'!$L$2:$L$2501,$L2705,'AR SALES'!$AD$2:$AD$2501,"OFF"),2)=0,"","STALE")))</f>
        <v/>
      </c>
      <c r="BB2705" s="2" t="str">
        <f>IF(OR(""&amp;$F2705="2",""&amp;$F2705="4",""&amp;$F2705="G",""&amp;$F2705="H"),IF($AY2705="YES","",IF($AB2705&lt;&gt;0,"",IF(COUNTIFS('AR SALES'!$L$2:$L$2501,$L2705,'AR SALES'!$AD$2:$AD$2501,IF(""&amp;$F2705="4","OFF","ON"),'AR SALES'!$AF$2:$AF$2501,"Y")&gt;0,"","NO EXEMPTION"))),"")</f>
        <v/>
      </c>
    </row>
    <row r="2706" spans="46:54" x14ac:dyDescent="0.25">
      <c r="AT2706" s="2" t="str">
        <f>IF($L2706="","",IFERROR(INDEX('AR SALES'!$H$2:$H$2501,MATCH(""&amp;$L2706,'AR SALES'!$AE$2:$AE$2501,0)),""))</f>
        <v/>
      </c>
      <c r="AU2706" s="2" t="str">
        <f t="shared" si="168"/>
        <v/>
      </c>
      <c r="AV2706" s="2" t="str">
        <f t="shared" si="169"/>
        <v/>
      </c>
      <c r="AW2706" s="2" t="str">
        <f t="shared" si="170"/>
        <v/>
      </c>
      <c r="AX2706" s="2" t="str">
        <f t="shared" si="171"/>
        <v/>
      </c>
      <c r="AY2706" s="2" t="str">
        <f>IF($AV2706="","",IF(AND($Z2706=0,COUNTIF('AR SALES'!$L$2:$L$2501,$L2706)=0),"YES",""))</f>
        <v/>
      </c>
      <c r="AZ2706" s="2" t="str">
        <f>IF($AV2706="","",IF(COUNTIF(LISTS!$C$2:$C$250,$AU2706)=0,"NEW",""))</f>
        <v/>
      </c>
      <c r="BA2706" s="2" t="str">
        <f>IF(""&amp;$F2706&lt;&gt;"4","",IF($AY2706="YES","",IF(ROUND(SUMIFS($AE$2:$AE$4001,$L$2:$L$4001,$L2706,$F$2:$F$4001,"4")-SUMIFS('AR SALES'!$Y$2:$Y$2501,'AR SALES'!$L$2:$L$2501,$L2706,'AR SALES'!$AD$2:$AD$2501,"OFF"),2)=0,"","STALE")))</f>
        <v/>
      </c>
      <c r="BB2706" s="2" t="str">
        <f>IF(OR(""&amp;$F2706="2",""&amp;$F2706="4",""&amp;$F2706="G",""&amp;$F2706="H"),IF($AY2706="YES","",IF($AB2706&lt;&gt;0,"",IF(COUNTIFS('AR SALES'!$L$2:$L$2501,$L2706,'AR SALES'!$AD$2:$AD$2501,IF(""&amp;$F2706="4","OFF","ON"),'AR SALES'!$AF$2:$AF$2501,"Y")&gt;0,"","NO EXEMPTION"))),"")</f>
        <v/>
      </c>
    </row>
    <row r="2707" spans="46:54" x14ac:dyDescent="0.25">
      <c r="AT2707" s="2" t="str">
        <f>IF($L2707="","",IFERROR(INDEX('AR SALES'!$H$2:$H$2501,MATCH(""&amp;$L2707,'AR SALES'!$AE$2:$AE$2501,0)),""))</f>
        <v/>
      </c>
      <c r="AU2707" s="2" t="str">
        <f t="shared" si="168"/>
        <v/>
      </c>
      <c r="AV2707" s="2" t="str">
        <f t="shared" si="169"/>
        <v/>
      </c>
      <c r="AW2707" s="2" t="str">
        <f t="shared" si="170"/>
        <v/>
      </c>
      <c r="AX2707" s="2" t="str">
        <f t="shared" si="171"/>
        <v/>
      </c>
      <c r="AY2707" s="2" t="str">
        <f>IF($AV2707="","",IF(AND($Z2707=0,COUNTIF('AR SALES'!$L$2:$L$2501,$L2707)=0),"YES",""))</f>
        <v/>
      </c>
      <c r="AZ2707" s="2" t="str">
        <f>IF($AV2707="","",IF(COUNTIF(LISTS!$C$2:$C$250,$AU2707)=0,"NEW",""))</f>
        <v/>
      </c>
      <c r="BA2707" s="2" t="str">
        <f>IF(""&amp;$F2707&lt;&gt;"4","",IF($AY2707="YES","",IF(ROUND(SUMIFS($AE$2:$AE$4001,$L$2:$L$4001,$L2707,$F$2:$F$4001,"4")-SUMIFS('AR SALES'!$Y$2:$Y$2501,'AR SALES'!$L$2:$L$2501,$L2707,'AR SALES'!$AD$2:$AD$2501,"OFF"),2)=0,"","STALE")))</f>
        <v/>
      </c>
      <c r="BB2707" s="2" t="str">
        <f>IF(OR(""&amp;$F2707="2",""&amp;$F2707="4",""&amp;$F2707="G",""&amp;$F2707="H"),IF($AY2707="YES","",IF($AB2707&lt;&gt;0,"",IF(COUNTIFS('AR SALES'!$L$2:$L$2501,$L2707,'AR SALES'!$AD$2:$AD$2501,IF(""&amp;$F2707="4","OFF","ON"),'AR SALES'!$AF$2:$AF$2501,"Y")&gt;0,"","NO EXEMPTION"))),"")</f>
        <v/>
      </c>
    </row>
    <row r="2708" spans="46:54" x14ac:dyDescent="0.25">
      <c r="AT2708" s="2" t="str">
        <f>IF($L2708="","",IFERROR(INDEX('AR SALES'!$H$2:$H$2501,MATCH(""&amp;$L2708,'AR SALES'!$AE$2:$AE$2501,0)),""))</f>
        <v/>
      </c>
      <c r="AU2708" s="2" t="str">
        <f t="shared" si="168"/>
        <v/>
      </c>
      <c r="AV2708" s="2" t="str">
        <f t="shared" si="169"/>
        <v/>
      </c>
      <c r="AW2708" s="2" t="str">
        <f t="shared" si="170"/>
        <v/>
      </c>
      <c r="AX2708" s="2" t="str">
        <f t="shared" si="171"/>
        <v/>
      </c>
      <c r="AY2708" s="2" t="str">
        <f>IF($AV2708="","",IF(AND($Z2708=0,COUNTIF('AR SALES'!$L$2:$L$2501,$L2708)=0),"YES",""))</f>
        <v/>
      </c>
      <c r="AZ2708" s="2" t="str">
        <f>IF($AV2708="","",IF(COUNTIF(LISTS!$C$2:$C$250,$AU2708)=0,"NEW",""))</f>
        <v/>
      </c>
      <c r="BA2708" s="2" t="str">
        <f>IF(""&amp;$F2708&lt;&gt;"4","",IF($AY2708="YES","",IF(ROUND(SUMIFS($AE$2:$AE$4001,$L$2:$L$4001,$L2708,$F$2:$F$4001,"4")-SUMIFS('AR SALES'!$Y$2:$Y$2501,'AR SALES'!$L$2:$L$2501,$L2708,'AR SALES'!$AD$2:$AD$2501,"OFF"),2)=0,"","STALE")))</f>
        <v/>
      </c>
      <c r="BB2708" s="2" t="str">
        <f>IF(OR(""&amp;$F2708="2",""&amp;$F2708="4",""&amp;$F2708="G",""&amp;$F2708="H"),IF($AY2708="YES","",IF($AB2708&lt;&gt;0,"",IF(COUNTIFS('AR SALES'!$L$2:$L$2501,$L2708,'AR SALES'!$AD$2:$AD$2501,IF(""&amp;$F2708="4","OFF","ON"),'AR SALES'!$AF$2:$AF$2501,"Y")&gt;0,"","NO EXEMPTION"))),"")</f>
        <v/>
      </c>
    </row>
    <row r="2709" spans="46:54" x14ac:dyDescent="0.25">
      <c r="AT2709" s="2" t="str">
        <f>IF($L2709="","",IFERROR(INDEX('AR SALES'!$H$2:$H$2501,MATCH(""&amp;$L2709,'AR SALES'!$AE$2:$AE$2501,0)),""))</f>
        <v/>
      </c>
      <c r="AU2709" s="2" t="str">
        <f t="shared" si="168"/>
        <v/>
      </c>
      <c r="AV2709" s="2" t="str">
        <f t="shared" si="169"/>
        <v/>
      </c>
      <c r="AW2709" s="2" t="str">
        <f t="shared" si="170"/>
        <v/>
      </c>
      <c r="AX2709" s="2" t="str">
        <f t="shared" si="171"/>
        <v/>
      </c>
      <c r="AY2709" s="2" t="str">
        <f>IF($AV2709="","",IF(AND($Z2709=0,COUNTIF('AR SALES'!$L$2:$L$2501,$L2709)=0),"YES",""))</f>
        <v/>
      </c>
      <c r="AZ2709" s="2" t="str">
        <f>IF($AV2709="","",IF(COUNTIF(LISTS!$C$2:$C$250,$AU2709)=0,"NEW",""))</f>
        <v/>
      </c>
      <c r="BA2709" s="2" t="str">
        <f>IF(""&amp;$F2709&lt;&gt;"4","",IF($AY2709="YES","",IF(ROUND(SUMIFS($AE$2:$AE$4001,$L$2:$L$4001,$L2709,$F$2:$F$4001,"4")-SUMIFS('AR SALES'!$Y$2:$Y$2501,'AR SALES'!$L$2:$L$2501,$L2709,'AR SALES'!$AD$2:$AD$2501,"OFF"),2)=0,"","STALE")))</f>
        <v/>
      </c>
      <c r="BB2709" s="2" t="str">
        <f>IF(OR(""&amp;$F2709="2",""&amp;$F2709="4",""&amp;$F2709="G",""&amp;$F2709="H"),IF($AY2709="YES","",IF($AB2709&lt;&gt;0,"",IF(COUNTIFS('AR SALES'!$L$2:$L$2501,$L2709,'AR SALES'!$AD$2:$AD$2501,IF(""&amp;$F2709="4","OFF","ON"),'AR SALES'!$AF$2:$AF$2501,"Y")&gt;0,"","NO EXEMPTION"))),"")</f>
        <v/>
      </c>
    </row>
    <row r="2710" spans="46:54" x14ac:dyDescent="0.25">
      <c r="AT2710" s="2" t="str">
        <f>IF($L2710="","",IFERROR(INDEX('AR SALES'!$H$2:$H$2501,MATCH(""&amp;$L2710,'AR SALES'!$AE$2:$AE$2501,0)),""))</f>
        <v/>
      </c>
      <c r="AU2710" s="2" t="str">
        <f t="shared" si="168"/>
        <v/>
      </c>
      <c r="AV2710" s="2" t="str">
        <f t="shared" si="169"/>
        <v/>
      </c>
      <c r="AW2710" s="2" t="str">
        <f t="shared" si="170"/>
        <v/>
      </c>
      <c r="AX2710" s="2" t="str">
        <f t="shared" si="171"/>
        <v/>
      </c>
      <c r="AY2710" s="2" t="str">
        <f>IF($AV2710="","",IF(AND($Z2710=0,COUNTIF('AR SALES'!$L$2:$L$2501,$L2710)=0),"YES",""))</f>
        <v/>
      </c>
      <c r="AZ2710" s="2" t="str">
        <f>IF($AV2710="","",IF(COUNTIF(LISTS!$C$2:$C$250,$AU2710)=0,"NEW",""))</f>
        <v/>
      </c>
      <c r="BA2710" s="2" t="str">
        <f>IF(""&amp;$F2710&lt;&gt;"4","",IF($AY2710="YES","",IF(ROUND(SUMIFS($AE$2:$AE$4001,$L$2:$L$4001,$L2710,$F$2:$F$4001,"4")-SUMIFS('AR SALES'!$Y$2:$Y$2501,'AR SALES'!$L$2:$L$2501,$L2710,'AR SALES'!$AD$2:$AD$2501,"OFF"),2)=0,"","STALE")))</f>
        <v/>
      </c>
      <c r="BB2710" s="2" t="str">
        <f>IF(OR(""&amp;$F2710="2",""&amp;$F2710="4",""&amp;$F2710="G",""&amp;$F2710="H"),IF($AY2710="YES","",IF($AB2710&lt;&gt;0,"",IF(COUNTIFS('AR SALES'!$L$2:$L$2501,$L2710,'AR SALES'!$AD$2:$AD$2501,IF(""&amp;$F2710="4","OFF","ON"),'AR SALES'!$AF$2:$AF$2501,"Y")&gt;0,"","NO EXEMPTION"))),"")</f>
        <v/>
      </c>
    </row>
    <row r="2711" spans="46:54" x14ac:dyDescent="0.25">
      <c r="AT2711" s="2" t="str">
        <f>IF($L2711="","",IFERROR(INDEX('AR SALES'!$H$2:$H$2501,MATCH(""&amp;$L2711,'AR SALES'!$AE$2:$AE$2501,0)),""))</f>
        <v/>
      </c>
      <c r="AU2711" s="2" t="str">
        <f t="shared" si="168"/>
        <v/>
      </c>
      <c r="AV2711" s="2" t="str">
        <f t="shared" si="169"/>
        <v/>
      </c>
      <c r="AW2711" s="2" t="str">
        <f t="shared" si="170"/>
        <v/>
      </c>
      <c r="AX2711" s="2" t="str">
        <f t="shared" si="171"/>
        <v/>
      </c>
      <c r="AY2711" s="2" t="str">
        <f>IF($AV2711="","",IF(AND($Z2711=0,COUNTIF('AR SALES'!$L$2:$L$2501,$L2711)=0),"YES",""))</f>
        <v/>
      </c>
      <c r="AZ2711" s="2" t="str">
        <f>IF($AV2711="","",IF(COUNTIF(LISTS!$C$2:$C$250,$AU2711)=0,"NEW",""))</f>
        <v/>
      </c>
      <c r="BA2711" s="2" t="str">
        <f>IF(""&amp;$F2711&lt;&gt;"4","",IF($AY2711="YES","",IF(ROUND(SUMIFS($AE$2:$AE$4001,$L$2:$L$4001,$L2711,$F$2:$F$4001,"4")-SUMIFS('AR SALES'!$Y$2:$Y$2501,'AR SALES'!$L$2:$L$2501,$L2711,'AR SALES'!$AD$2:$AD$2501,"OFF"),2)=0,"","STALE")))</f>
        <v/>
      </c>
      <c r="BB2711" s="2" t="str">
        <f>IF(OR(""&amp;$F2711="2",""&amp;$F2711="4",""&amp;$F2711="G",""&amp;$F2711="H"),IF($AY2711="YES","",IF($AB2711&lt;&gt;0,"",IF(COUNTIFS('AR SALES'!$L$2:$L$2501,$L2711,'AR SALES'!$AD$2:$AD$2501,IF(""&amp;$F2711="4","OFF","ON"),'AR SALES'!$AF$2:$AF$2501,"Y")&gt;0,"","NO EXEMPTION"))),"")</f>
        <v/>
      </c>
    </row>
    <row r="2712" spans="46:54" x14ac:dyDescent="0.25">
      <c r="AT2712" s="2" t="str">
        <f>IF($L2712="","",IFERROR(INDEX('AR SALES'!$H$2:$H$2501,MATCH(""&amp;$L2712,'AR SALES'!$AE$2:$AE$2501,0)),""))</f>
        <v/>
      </c>
      <c r="AU2712" s="2" t="str">
        <f t="shared" si="168"/>
        <v/>
      </c>
      <c r="AV2712" s="2" t="str">
        <f t="shared" si="169"/>
        <v/>
      </c>
      <c r="AW2712" s="2" t="str">
        <f t="shared" si="170"/>
        <v/>
      </c>
      <c r="AX2712" s="2" t="str">
        <f t="shared" si="171"/>
        <v/>
      </c>
      <c r="AY2712" s="2" t="str">
        <f>IF($AV2712="","",IF(AND($Z2712=0,COUNTIF('AR SALES'!$L$2:$L$2501,$L2712)=0),"YES",""))</f>
        <v/>
      </c>
      <c r="AZ2712" s="2" t="str">
        <f>IF($AV2712="","",IF(COUNTIF(LISTS!$C$2:$C$250,$AU2712)=0,"NEW",""))</f>
        <v/>
      </c>
      <c r="BA2712" s="2" t="str">
        <f>IF(""&amp;$F2712&lt;&gt;"4","",IF($AY2712="YES","",IF(ROUND(SUMIFS($AE$2:$AE$4001,$L$2:$L$4001,$L2712,$F$2:$F$4001,"4")-SUMIFS('AR SALES'!$Y$2:$Y$2501,'AR SALES'!$L$2:$L$2501,$L2712,'AR SALES'!$AD$2:$AD$2501,"OFF"),2)=0,"","STALE")))</f>
        <v/>
      </c>
      <c r="BB2712" s="2" t="str">
        <f>IF(OR(""&amp;$F2712="2",""&amp;$F2712="4",""&amp;$F2712="G",""&amp;$F2712="H"),IF($AY2712="YES","",IF($AB2712&lt;&gt;0,"",IF(COUNTIFS('AR SALES'!$L$2:$L$2501,$L2712,'AR SALES'!$AD$2:$AD$2501,IF(""&amp;$F2712="4","OFF","ON"),'AR SALES'!$AF$2:$AF$2501,"Y")&gt;0,"","NO EXEMPTION"))),"")</f>
        <v/>
      </c>
    </row>
    <row r="2713" spans="46:54" x14ac:dyDescent="0.25">
      <c r="AT2713" s="2" t="str">
        <f>IF($L2713="","",IFERROR(INDEX('AR SALES'!$H$2:$H$2501,MATCH(""&amp;$L2713,'AR SALES'!$AE$2:$AE$2501,0)),""))</f>
        <v/>
      </c>
      <c r="AU2713" s="2" t="str">
        <f t="shared" si="168"/>
        <v/>
      </c>
      <c r="AV2713" s="2" t="str">
        <f t="shared" si="169"/>
        <v/>
      </c>
      <c r="AW2713" s="2" t="str">
        <f t="shared" si="170"/>
        <v/>
      </c>
      <c r="AX2713" s="2" t="str">
        <f t="shared" si="171"/>
        <v/>
      </c>
      <c r="AY2713" s="2" t="str">
        <f>IF($AV2713="","",IF(AND($Z2713=0,COUNTIF('AR SALES'!$L$2:$L$2501,$L2713)=0),"YES",""))</f>
        <v/>
      </c>
      <c r="AZ2713" s="2" t="str">
        <f>IF($AV2713="","",IF(COUNTIF(LISTS!$C$2:$C$250,$AU2713)=0,"NEW",""))</f>
        <v/>
      </c>
      <c r="BA2713" s="2" t="str">
        <f>IF(""&amp;$F2713&lt;&gt;"4","",IF($AY2713="YES","",IF(ROUND(SUMIFS($AE$2:$AE$4001,$L$2:$L$4001,$L2713,$F$2:$F$4001,"4")-SUMIFS('AR SALES'!$Y$2:$Y$2501,'AR SALES'!$L$2:$L$2501,$L2713,'AR SALES'!$AD$2:$AD$2501,"OFF"),2)=0,"","STALE")))</f>
        <v/>
      </c>
      <c r="BB2713" s="2" t="str">
        <f>IF(OR(""&amp;$F2713="2",""&amp;$F2713="4",""&amp;$F2713="G",""&amp;$F2713="H"),IF($AY2713="YES","",IF($AB2713&lt;&gt;0,"",IF(COUNTIFS('AR SALES'!$L$2:$L$2501,$L2713,'AR SALES'!$AD$2:$AD$2501,IF(""&amp;$F2713="4","OFF","ON"),'AR SALES'!$AF$2:$AF$2501,"Y")&gt;0,"","NO EXEMPTION"))),"")</f>
        <v/>
      </c>
    </row>
    <row r="2714" spans="46:54" x14ac:dyDescent="0.25">
      <c r="AT2714" s="2" t="str">
        <f>IF($L2714="","",IFERROR(INDEX('AR SALES'!$H$2:$H$2501,MATCH(""&amp;$L2714,'AR SALES'!$AE$2:$AE$2501,0)),""))</f>
        <v/>
      </c>
      <c r="AU2714" s="2" t="str">
        <f t="shared" si="168"/>
        <v/>
      </c>
      <c r="AV2714" s="2" t="str">
        <f t="shared" si="169"/>
        <v/>
      </c>
      <c r="AW2714" s="2" t="str">
        <f t="shared" si="170"/>
        <v/>
      </c>
      <c r="AX2714" s="2" t="str">
        <f t="shared" si="171"/>
        <v/>
      </c>
      <c r="AY2714" s="2" t="str">
        <f>IF($AV2714="","",IF(AND($Z2714=0,COUNTIF('AR SALES'!$L$2:$L$2501,$L2714)=0),"YES",""))</f>
        <v/>
      </c>
      <c r="AZ2714" s="2" t="str">
        <f>IF($AV2714="","",IF(COUNTIF(LISTS!$C$2:$C$250,$AU2714)=0,"NEW",""))</f>
        <v/>
      </c>
      <c r="BA2714" s="2" t="str">
        <f>IF(""&amp;$F2714&lt;&gt;"4","",IF($AY2714="YES","",IF(ROUND(SUMIFS($AE$2:$AE$4001,$L$2:$L$4001,$L2714,$F$2:$F$4001,"4")-SUMIFS('AR SALES'!$Y$2:$Y$2501,'AR SALES'!$L$2:$L$2501,$L2714,'AR SALES'!$AD$2:$AD$2501,"OFF"),2)=0,"","STALE")))</f>
        <v/>
      </c>
      <c r="BB2714" s="2" t="str">
        <f>IF(OR(""&amp;$F2714="2",""&amp;$F2714="4",""&amp;$F2714="G",""&amp;$F2714="H"),IF($AY2714="YES","",IF($AB2714&lt;&gt;0,"",IF(COUNTIFS('AR SALES'!$L$2:$L$2501,$L2714,'AR SALES'!$AD$2:$AD$2501,IF(""&amp;$F2714="4","OFF","ON"),'AR SALES'!$AF$2:$AF$2501,"Y")&gt;0,"","NO EXEMPTION"))),"")</f>
        <v/>
      </c>
    </row>
    <row r="2715" spans="46:54" x14ac:dyDescent="0.25">
      <c r="AT2715" s="2" t="str">
        <f>IF($L2715="","",IFERROR(INDEX('AR SALES'!$H$2:$H$2501,MATCH(""&amp;$L2715,'AR SALES'!$AE$2:$AE$2501,0)),""))</f>
        <v/>
      </c>
      <c r="AU2715" s="2" t="str">
        <f t="shared" si="168"/>
        <v/>
      </c>
      <c r="AV2715" s="2" t="str">
        <f t="shared" si="169"/>
        <v/>
      </c>
      <c r="AW2715" s="2" t="str">
        <f t="shared" si="170"/>
        <v/>
      </c>
      <c r="AX2715" s="2" t="str">
        <f t="shared" si="171"/>
        <v/>
      </c>
      <c r="AY2715" s="2" t="str">
        <f>IF($AV2715="","",IF(AND($Z2715=0,COUNTIF('AR SALES'!$L$2:$L$2501,$L2715)=0),"YES",""))</f>
        <v/>
      </c>
      <c r="AZ2715" s="2" t="str">
        <f>IF($AV2715="","",IF(COUNTIF(LISTS!$C$2:$C$250,$AU2715)=0,"NEW",""))</f>
        <v/>
      </c>
      <c r="BA2715" s="2" t="str">
        <f>IF(""&amp;$F2715&lt;&gt;"4","",IF($AY2715="YES","",IF(ROUND(SUMIFS($AE$2:$AE$4001,$L$2:$L$4001,$L2715,$F$2:$F$4001,"4")-SUMIFS('AR SALES'!$Y$2:$Y$2501,'AR SALES'!$L$2:$L$2501,$L2715,'AR SALES'!$AD$2:$AD$2501,"OFF"),2)=0,"","STALE")))</f>
        <v/>
      </c>
      <c r="BB2715" s="2" t="str">
        <f>IF(OR(""&amp;$F2715="2",""&amp;$F2715="4",""&amp;$F2715="G",""&amp;$F2715="H"),IF($AY2715="YES","",IF($AB2715&lt;&gt;0,"",IF(COUNTIFS('AR SALES'!$L$2:$L$2501,$L2715,'AR SALES'!$AD$2:$AD$2501,IF(""&amp;$F2715="4","OFF","ON"),'AR SALES'!$AF$2:$AF$2501,"Y")&gt;0,"","NO EXEMPTION"))),"")</f>
        <v/>
      </c>
    </row>
    <row r="2716" spans="46:54" x14ac:dyDescent="0.25">
      <c r="AT2716" s="2" t="str">
        <f>IF($L2716="","",IFERROR(INDEX('AR SALES'!$H$2:$H$2501,MATCH(""&amp;$L2716,'AR SALES'!$AE$2:$AE$2501,0)),""))</f>
        <v/>
      </c>
      <c r="AU2716" s="2" t="str">
        <f t="shared" si="168"/>
        <v/>
      </c>
      <c r="AV2716" s="2" t="str">
        <f t="shared" si="169"/>
        <v/>
      </c>
      <c r="AW2716" s="2" t="str">
        <f t="shared" si="170"/>
        <v/>
      </c>
      <c r="AX2716" s="2" t="str">
        <f t="shared" si="171"/>
        <v/>
      </c>
      <c r="AY2716" s="2" t="str">
        <f>IF($AV2716="","",IF(AND($Z2716=0,COUNTIF('AR SALES'!$L$2:$L$2501,$L2716)=0),"YES",""))</f>
        <v/>
      </c>
      <c r="AZ2716" s="2" t="str">
        <f>IF($AV2716="","",IF(COUNTIF(LISTS!$C$2:$C$250,$AU2716)=0,"NEW",""))</f>
        <v/>
      </c>
      <c r="BA2716" s="2" t="str">
        <f>IF(""&amp;$F2716&lt;&gt;"4","",IF($AY2716="YES","",IF(ROUND(SUMIFS($AE$2:$AE$4001,$L$2:$L$4001,$L2716,$F$2:$F$4001,"4")-SUMIFS('AR SALES'!$Y$2:$Y$2501,'AR SALES'!$L$2:$L$2501,$L2716,'AR SALES'!$AD$2:$AD$2501,"OFF"),2)=0,"","STALE")))</f>
        <v/>
      </c>
      <c r="BB2716" s="2" t="str">
        <f>IF(OR(""&amp;$F2716="2",""&amp;$F2716="4",""&amp;$F2716="G",""&amp;$F2716="H"),IF($AY2716="YES","",IF($AB2716&lt;&gt;0,"",IF(COUNTIFS('AR SALES'!$L$2:$L$2501,$L2716,'AR SALES'!$AD$2:$AD$2501,IF(""&amp;$F2716="4","OFF","ON"),'AR SALES'!$AF$2:$AF$2501,"Y")&gt;0,"","NO EXEMPTION"))),"")</f>
        <v/>
      </c>
    </row>
    <row r="2717" spans="46:54" x14ac:dyDescent="0.25">
      <c r="AT2717" s="2" t="str">
        <f>IF($L2717="","",IFERROR(INDEX('AR SALES'!$H$2:$H$2501,MATCH(""&amp;$L2717,'AR SALES'!$AE$2:$AE$2501,0)),""))</f>
        <v/>
      </c>
      <c r="AU2717" s="2" t="str">
        <f t="shared" si="168"/>
        <v/>
      </c>
      <c r="AV2717" s="2" t="str">
        <f t="shared" si="169"/>
        <v/>
      </c>
      <c r="AW2717" s="2" t="str">
        <f t="shared" si="170"/>
        <v/>
      </c>
      <c r="AX2717" s="2" t="str">
        <f t="shared" si="171"/>
        <v/>
      </c>
      <c r="AY2717" s="2" t="str">
        <f>IF($AV2717="","",IF(AND($Z2717=0,COUNTIF('AR SALES'!$L$2:$L$2501,$L2717)=0),"YES",""))</f>
        <v/>
      </c>
      <c r="AZ2717" s="2" t="str">
        <f>IF($AV2717="","",IF(COUNTIF(LISTS!$C$2:$C$250,$AU2717)=0,"NEW",""))</f>
        <v/>
      </c>
      <c r="BA2717" s="2" t="str">
        <f>IF(""&amp;$F2717&lt;&gt;"4","",IF($AY2717="YES","",IF(ROUND(SUMIFS($AE$2:$AE$4001,$L$2:$L$4001,$L2717,$F$2:$F$4001,"4")-SUMIFS('AR SALES'!$Y$2:$Y$2501,'AR SALES'!$L$2:$L$2501,$L2717,'AR SALES'!$AD$2:$AD$2501,"OFF"),2)=0,"","STALE")))</f>
        <v/>
      </c>
      <c r="BB2717" s="2" t="str">
        <f>IF(OR(""&amp;$F2717="2",""&amp;$F2717="4",""&amp;$F2717="G",""&amp;$F2717="H"),IF($AY2717="YES","",IF($AB2717&lt;&gt;0,"",IF(COUNTIFS('AR SALES'!$L$2:$L$2501,$L2717,'AR SALES'!$AD$2:$AD$2501,IF(""&amp;$F2717="4","OFF","ON"),'AR SALES'!$AF$2:$AF$2501,"Y")&gt;0,"","NO EXEMPTION"))),"")</f>
        <v/>
      </c>
    </row>
    <row r="2718" spans="46:54" x14ac:dyDescent="0.25">
      <c r="AT2718" s="2" t="str">
        <f>IF($L2718="","",IFERROR(INDEX('AR SALES'!$H$2:$H$2501,MATCH(""&amp;$L2718,'AR SALES'!$AE$2:$AE$2501,0)),""))</f>
        <v/>
      </c>
      <c r="AU2718" s="2" t="str">
        <f t="shared" si="168"/>
        <v/>
      </c>
      <c r="AV2718" s="2" t="str">
        <f t="shared" si="169"/>
        <v/>
      </c>
      <c r="AW2718" s="2" t="str">
        <f t="shared" si="170"/>
        <v/>
      </c>
      <c r="AX2718" s="2" t="str">
        <f t="shared" si="171"/>
        <v/>
      </c>
      <c r="AY2718" s="2" t="str">
        <f>IF($AV2718="","",IF(AND($Z2718=0,COUNTIF('AR SALES'!$L$2:$L$2501,$L2718)=0),"YES",""))</f>
        <v/>
      </c>
      <c r="AZ2718" s="2" t="str">
        <f>IF($AV2718="","",IF(COUNTIF(LISTS!$C$2:$C$250,$AU2718)=0,"NEW",""))</f>
        <v/>
      </c>
      <c r="BA2718" s="2" t="str">
        <f>IF(""&amp;$F2718&lt;&gt;"4","",IF($AY2718="YES","",IF(ROUND(SUMIFS($AE$2:$AE$4001,$L$2:$L$4001,$L2718,$F$2:$F$4001,"4")-SUMIFS('AR SALES'!$Y$2:$Y$2501,'AR SALES'!$L$2:$L$2501,$L2718,'AR SALES'!$AD$2:$AD$2501,"OFF"),2)=0,"","STALE")))</f>
        <v/>
      </c>
      <c r="BB2718" s="2" t="str">
        <f>IF(OR(""&amp;$F2718="2",""&amp;$F2718="4",""&amp;$F2718="G",""&amp;$F2718="H"),IF($AY2718="YES","",IF($AB2718&lt;&gt;0,"",IF(COUNTIFS('AR SALES'!$L$2:$L$2501,$L2718,'AR SALES'!$AD$2:$AD$2501,IF(""&amp;$F2718="4","OFF","ON"),'AR SALES'!$AF$2:$AF$2501,"Y")&gt;0,"","NO EXEMPTION"))),"")</f>
        <v/>
      </c>
    </row>
    <row r="2719" spans="46:54" x14ac:dyDescent="0.25">
      <c r="AT2719" s="2" t="str">
        <f>IF($L2719="","",IFERROR(INDEX('AR SALES'!$H$2:$H$2501,MATCH(""&amp;$L2719,'AR SALES'!$AE$2:$AE$2501,0)),""))</f>
        <v/>
      </c>
      <c r="AU2719" s="2" t="str">
        <f t="shared" si="168"/>
        <v/>
      </c>
      <c r="AV2719" s="2" t="str">
        <f t="shared" si="169"/>
        <v/>
      </c>
      <c r="AW2719" s="2" t="str">
        <f t="shared" si="170"/>
        <v/>
      </c>
      <c r="AX2719" s="2" t="str">
        <f t="shared" si="171"/>
        <v/>
      </c>
      <c r="AY2719" s="2" t="str">
        <f>IF($AV2719="","",IF(AND($Z2719=0,COUNTIF('AR SALES'!$L$2:$L$2501,$L2719)=0),"YES",""))</f>
        <v/>
      </c>
      <c r="AZ2719" s="2" t="str">
        <f>IF($AV2719="","",IF(COUNTIF(LISTS!$C$2:$C$250,$AU2719)=0,"NEW",""))</f>
        <v/>
      </c>
      <c r="BA2719" s="2" t="str">
        <f>IF(""&amp;$F2719&lt;&gt;"4","",IF($AY2719="YES","",IF(ROUND(SUMIFS($AE$2:$AE$4001,$L$2:$L$4001,$L2719,$F$2:$F$4001,"4")-SUMIFS('AR SALES'!$Y$2:$Y$2501,'AR SALES'!$L$2:$L$2501,$L2719,'AR SALES'!$AD$2:$AD$2501,"OFF"),2)=0,"","STALE")))</f>
        <v/>
      </c>
      <c r="BB2719" s="2" t="str">
        <f>IF(OR(""&amp;$F2719="2",""&amp;$F2719="4",""&amp;$F2719="G",""&amp;$F2719="H"),IF($AY2719="YES","",IF($AB2719&lt;&gt;0,"",IF(COUNTIFS('AR SALES'!$L$2:$L$2501,$L2719,'AR SALES'!$AD$2:$AD$2501,IF(""&amp;$F2719="4","OFF","ON"),'AR SALES'!$AF$2:$AF$2501,"Y")&gt;0,"","NO EXEMPTION"))),"")</f>
        <v/>
      </c>
    </row>
    <row r="2720" spans="46:54" x14ac:dyDescent="0.25">
      <c r="AT2720" s="2" t="str">
        <f>IF($L2720="","",IFERROR(INDEX('AR SALES'!$H$2:$H$2501,MATCH(""&amp;$L2720,'AR SALES'!$AE$2:$AE$2501,0)),""))</f>
        <v/>
      </c>
      <c r="AU2720" s="2" t="str">
        <f t="shared" si="168"/>
        <v/>
      </c>
      <c r="AV2720" s="2" t="str">
        <f t="shared" si="169"/>
        <v/>
      </c>
      <c r="AW2720" s="2" t="str">
        <f t="shared" si="170"/>
        <v/>
      </c>
      <c r="AX2720" s="2" t="str">
        <f t="shared" si="171"/>
        <v/>
      </c>
      <c r="AY2720" s="2" t="str">
        <f>IF($AV2720="","",IF(AND($Z2720=0,COUNTIF('AR SALES'!$L$2:$L$2501,$L2720)=0),"YES",""))</f>
        <v/>
      </c>
      <c r="AZ2720" s="2" t="str">
        <f>IF($AV2720="","",IF(COUNTIF(LISTS!$C$2:$C$250,$AU2720)=0,"NEW",""))</f>
        <v/>
      </c>
      <c r="BA2720" s="2" t="str">
        <f>IF(""&amp;$F2720&lt;&gt;"4","",IF($AY2720="YES","",IF(ROUND(SUMIFS($AE$2:$AE$4001,$L$2:$L$4001,$L2720,$F$2:$F$4001,"4")-SUMIFS('AR SALES'!$Y$2:$Y$2501,'AR SALES'!$L$2:$L$2501,$L2720,'AR SALES'!$AD$2:$AD$2501,"OFF"),2)=0,"","STALE")))</f>
        <v/>
      </c>
      <c r="BB2720" s="2" t="str">
        <f>IF(OR(""&amp;$F2720="2",""&amp;$F2720="4",""&amp;$F2720="G",""&amp;$F2720="H"),IF($AY2720="YES","",IF($AB2720&lt;&gt;0,"",IF(COUNTIFS('AR SALES'!$L$2:$L$2501,$L2720,'AR SALES'!$AD$2:$AD$2501,IF(""&amp;$F2720="4","OFF","ON"),'AR SALES'!$AF$2:$AF$2501,"Y")&gt;0,"","NO EXEMPTION"))),"")</f>
        <v/>
      </c>
    </row>
    <row r="2721" spans="46:54" x14ac:dyDescent="0.25">
      <c r="AT2721" s="2" t="str">
        <f>IF($L2721="","",IFERROR(INDEX('AR SALES'!$H$2:$H$2501,MATCH(""&amp;$L2721,'AR SALES'!$AE$2:$AE$2501,0)),""))</f>
        <v/>
      </c>
      <c r="AU2721" s="2" t="str">
        <f t="shared" si="168"/>
        <v/>
      </c>
      <c r="AV2721" s="2" t="str">
        <f t="shared" si="169"/>
        <v/>
      </c>
      <c r="AW2721" s="2" t="str">
        <f t="shared" si="170"/>
        <v/>
      </c>
      <c r="AX2721" s="2" t="str">
        <f t="shared" si="171"/>
        <v/>
      </c>
      <c r="AY2721" s="2" t="str">
        <f>IF($AV2721="","",IF(AND($Z2721=0,COUNTIF('AR SALES'!$L$2:$L$2501,$L2721)=0),"YES",""))</f>
        <v/>
      </c>
      <c r="AZ2721" s="2" t="str">
        <f>IF($AV2721="","",IF(COUNTIF(LISTS!$C$2:$C$250,$AU2721)=0,"NEW",""))</f>
        <v/>
      </c>
      <c r="BA2721" s="2" t="str">
        <f>IF(""&amp;$F2721&lt;&gt;"4","",IF($AY2721="YES","",IF(ROUND(SUMIFS($AE$2:$AE$4001,$L$2:$L$4001,$L2721,$F$2:$F$4001,"4")-SUMIFS('AR SALES'!$Y$2:$Y$2501,'AR SALES'!$L$2:$L$2501,$L2721,'AR SALES'!$AD$2:$AD$2501,"OFF"),2)=0,"","STALE")))</f>
        <v/>
      </c>
      <c r="BB2721" s="2" t="str">
        <f>IF(OR(""&amp;$F2721="2",""&amp;$F2721="4",""&amp;$F2721="G",""&amp;$F2721="H"),IF($AY2721="YES","",IF($AB2721&lt;&gt;0,"",IF(COUNTIFS('AR SALES'!$L$2:$L$2501,$L2721,'AR SALES'!$AD$2:$AD$2501,IF(""&amp;$F2721="4","OFF","ON"),'AR SALES'!$AF$2:$AF$2501,"Y")&gt;0,"","NO EXEMPTION"))),"")</f>
        <v/>
      </c>
    </row>
    <row r="2722" spans="46:54" x14ac:dyDescent="0.25">
      <c r="AT2722" s="2" t="str">
        <f>IF($L2722="","",IFERROR(INDEX('AR SALES'!$H$2:$H$2501,MATCH(""&amp;$L2722,'AR SALES'!$AE$2:$AE$2501,0)),""))</f>
        <v/>
      </c>
      <c r="AU2722" s="2" t="str">
        <f t="shared" si="168"/>
        <v/>
      </c>
      <c r="AV2722" s="2" t="str">
        <f t="shared" si="169"/>
        <v/>
      </c>
      <c r="AW2722" s="2" t="str">
        <f t="shared" si="170"/>
        <v/>
      </c>
      <c r="AX2722" s="2" t="str">
        <f t="shared" si="171"/>
        <v/>
      </c>
      <c r="AY2722" s="2" t="str">
        <f>IF($AV2722="","",IF(AND($Z2722=0,COUNTIF('AR SALES'!$L$2:$L$2501,$L2722)=0),"YES",""))</f>
        <v/>
      </c>
      <c r="AZ2722" s="2" t="str">
        <f>IF($AV2722="","",IF(COUNTIF(LISTS!$C$2:$C$250,$AU2722)=0,"NEW",""))</f>
        <v/>
      </c>
      <c r="BA2722" s="2" t="str">
        <f>IF(""&amp;$F2722&lt;&gt;"4","",IF($AY2722="YES","",IF(ROUND(SUMIFS($AE$2:$AE$4001,$L$2:$L$4001,$L2722,$F$2:$F$4001,"4")-SUMIFS('AR SALES'!$Y$2:$Y$2501,'AR SALES'!$L$2:$L$2501,$L2722,'AR SALES'!$AD$2:$AD$2501,"OFF"),2)=0,"","STALE")))</f>
        <v/>
      </c>
      <c r="BB2722" s="2" t="str">
        <f>IF(OR(""&amp;$F2722="2",""&amp;$F2722="4",""&amp;$F2722="G",""&amp;$F2722="H"),IF($AY2722="YES","",IF($AB2722&lt;&gt;0,"",IF(COUNTIFS('AR SALES'!$L$2:$L$2501,$L2722,'AR SALES'!$AD$2:$AD$2501,IF(""&amp;$F2722="4","OFF","ON"),'AR SALES'!$AF$2:$AF$2501,"Y")&gt;0,"","NO EXEMPTION"))),"")</f>
        <v/>
      </c>
    </row>
    <row r="2723" spans="46:54" x14ac:dyDescent="0.25">
      <c r="AT2723" s="2" t="str">
        <f>IF($L2723="","",IFERROR(INDEX('AR SALES'!$H$2:$H$2501,MATCH(""&amp;$L2723,'AR SALES'!$AE$2:$AE$2501,0)),""))</f>
        <v/>
      </c>
      <c r="AU2723" s="2" t="str">
        <f t="shared" si="168"/>
        <v/>
      </c>
      <c r="AV2723" s="2" t="str">
        <f t="shared" si="169"/>
        <v/>
      </c>
      <c r="AW2723" s="2" t="str">
        <f t="shared" si="170"/>
        <v/>
      </c>
      <c r="AX2723" s="2" t="str">
        <f t="shared" si="171"/>
        <v/>
      </c>
      <c r="AY2723" s="2" t="str">
        <f>IF($AV2723="","",IF(AND($Z2723=0,COUNTIF('AR SALES'!$L$2:$L$2501,$L2723)=0),"YES",""))</f>
        <v/>
      </c>
      <c r="AZ2723" s="2" t="str">
        <f>IF($AV2723="","",IF(COUNTIF(LISTS!$C$2:$C$250,$AU2723)=0,"NEW",""))</f>
        <v/>
      </c>
      <c r="BA2723" s="2" t="str">
        <f>IF(""&amp;$F2723&lt;&gt;"4","",IF($AY2723="YES","",IF(ROUND(SUMIFS($AE$2:$AE$4001,$L$2:$L$4001,$L2723,$F$2:$F$4001,"4")-SUMIFS('AR SALES'!$Y$2:$Y$2501,'AR SALES'!$L$2:$L$2501,$L2723,'AR SALES'!$AD$2:$AD$2501,"OFF"),2)=0,"","STALE")))</f>
        <v/>
      </c>
      <c r="BB2723" s="2" t="str">
        <f>IF(OR(""&amp;$F2723="2",""&amp;$F2723="4",""&amp;$F2723="G",""&amp;$F2723="H"),IF($AY2723="YES","",IF($AB2723&lt;&gt;0,"",IF(COUNTIFS('AR SALES'!$L$2:$L$2501,$L2723,'AR SALES'!$AD$2:$AD$2501,IF(""&amp;$F2723="4","OFF","ON"),'AR SALES'!$AF$2:$AF$2501,"Y")&gt;0,"","NO EXEMPTION"))),"")</f>
        <v/>
      </c>
    </row>
    <row r="2724" spans="46:54" x14ac:dyDescent="0.25">
      <c r="AT2724" s="2" t="str">
        <f>IF($L2724="","",IFERROR(INDEX('AR SALES'!$H$2:$H$2501,MATCH(""&amp;$L2724,'AR SALES'!$AE$2:$AE$2501,0)),""))</f>
        <v/>
      </c>
      <c r="AU2724" s="2" t="str">
        <f t="shared" si="168"/>
        <v/>
      </c>
      <c r="AV2724" s="2" t="str">
        <f t="shared" si="169"/>
        <v/>
      </c>
      <c r="AW2724" s="2" t="str">
        <f t="shared" si="170"/>
        <v/>
      </c>
      <c r="AX2724" s="2" t="str">
        <f t="shared" si="171"/>
        <v/>
      </c>
      <c r="AY2724" s="2" t="str">
        <f>IF($AV2724="","",IF(AND($Z2724=0,COUNTIF('AR SALES'!$L$2:$L$2501,$L2724)=0),"YES",""))</f>
        <v/>
      </c>
      <c r="AZ2724" s="2" t="str">
        <f>IF($AV2724="","",IF(COUNTIF(LISTS!$C$2:$C$250,$AU2724)=0,"NEW",""))</f>
        <v/>
      </c>
      <c r="BA2724" s="2" t="str">
        <f>IF(""&amp;$F2724&lt;&gt;"4","",IF($AY2724="YES","",IF(ROUND(SUMIFS($AE$2:$AE$4001,$L$2:$L$4001,$L2724,$F$2:$F$4001,"4")-SUMIFS('AR SALES'!$Y$2:$Y$2501,'AR SALES'!$L$2:$L$2501,$L2724,'AR SALES'!$AD$2:$AD$2501,"OFF"),2)=0,"","STALE")))</f>
        <v/>
      </c>
      <c r="BB2724" s="2" t="str">
        <f>IF(OR(""&amp;$F2724="2",""&amp;$F2724="4",""&amp;$F2724="G",""&amp;$F2724="H"),IF($AY2724="YES","",IF($AB2724&lt;&gt;0,"",IF(COUNTIFS('AR SALES'!$L$2:$L$2501,$L2724,'AR SALES'!$AD$2:$AD$2501,IF(""&amp;$F2724="4","OFF","ON"),'AR SALES'!$AF$2:$AF$2501,"Y")&gt;0,"","NO EXEMPTION"))),"")</f>
        <v/>
      </c>
    </row>
    <row r="2725" spans="46:54" x14ac:dyDescent="0.25">
      <c r="AT2725" s="2" t="str">
        <f>IF($L2725="","",IFERROR(INDEX('AR SALES'!$H$2:$H$2501,MATCH(""&amp;$L2725,'AR SALES'!$AE$2:$AE$2501,0)),""))</f>
        <v/>
      </c>
      <c r="AU2725" s="2" t="str">
        <f t="shared" si="168"/>
        <v/>
      </c>
      <c r="AV2725" s="2" t="str">
        <f t="shared" si="169"/>
        <v/>
      </c>
      <c r="AW2725" s="2" t="str">
        <f t="shared" si="170"/>
        <v/>
      </c>
      <c r="AX2725" s="2" t="str">
        <f t="shared" si="171"/>
        <v/>
      </c>
      <c r="AY2725" s="2" t="str">
        <f>IF($AV2725="","",IF(AND($Z2725=0,COUNTIF('AR SALES'!$L$2:$L$2501,$L2725)=0),"YES",""))</f>
        <v/>
      </c>
      <c r="AZ2725" s="2" t="str">
        <f>IF($AV2725="","",IF(COUNTIF(LISTS!$C$2:$C$250,$AU2725)=0,"NEW",""))</f>
        <v/>
      </c>
      <c r="BA2725" s="2" t="str">
        <f>IF(""&amp;$F2725&lt;&gt;"4","",IF($AY2725="YES","",IF(ROUND(SUMIFS($AE$2:$AE$4001,$L$2:$L$4001,$L2725,$F$2:$F$4001,"4")-SUMIFS('AR SALES'!$Y$2:$Y$2501,'AR SALES'!$L$2:$L$2501,$L2725,'AR SALES'!$AD$2:$AD$2501,"OFF"),2)=0,"","STALE")))</f>
        <v/>
      </c>
      <c r="BB2725" s="2" t="str">
        <f>IF(OR(""&amp;$F2725="2",""&amp;$F2725="4",""&amp;$F2725="G",""&amp;$F2725="H"),IF($AY2725="YES","",IF($AB2725&lt;&gt;0,"",IF(COUNTIFS('AR SALES'!$L$2:$L$2501,$L2725,'AR SALES'!$AD$2:$AD$2501,IF(""&amp;$F2725="4","OFF","ON"),'AR SALES'!$AF$2:$AF$2501,"Y")&gt;0,"","NO EXEMPTION"))),"")</f>
        <v/>
      </c>
    </row>
    <row r="2726" spans="46:54" x14ac:dyDescent="0.25">
      <c r="AT2726" s="2" t="str">
        <f>IF($L2726="","",IFERROR(INDEX('AR SALES'!$H$2:$H$2501,MATCH(""&amp;$L2726,'AR SALES'!$AE$2:$AE$2501,0)),""))</f>
        <v/>
      </c>
      <c r="AU2726" s="2" t="str">
        <f t="shared" si="168"/>
        <v/>
      </c>
      <c r="AV2726" s="2" t="str">
        <f t="shared" si="169"/>
        <v/>
      </c>
      <c r="AW2726" s="2" t="str">
        <f t="shared" si="170"/>
        <v/>
      </c>
      <c r="AX2726" s="2" t="str">
        <f t="shared" si="171"/>
        <v/>
      </c>
      <c r="AY2726" s="2" t="str">
        <f>IF($AV2726="","",IF(AND($Z2726=0,COUNTIF('AR SALES'!$L$2:$L$2501,$L2726)=0),"YES",""))</f>
        <v/>
      </c>
      <c r="AZ2726" s="2" t="str">
        <f>IF($AV2726="","",IF(COUNTIF(LISTS!$C$2:$C$250,$AU2726)=0,"NEW",""))</f>
        <v/>
      </c>
      <c r="BA2726" s="2" t="str">
        <f>IF(""&amp;$F2726&lt;&gt;"4","",IF($AY2726="YES","",IF(ROUND(SUMIFS($AE$2:$AE$4001,$L$2:$L$4001,$L2726,$F$2:$F$4001,"4")-SUMIFS('AR SALES'!$Y$2:$Y$2501,'AR SALES'!$L$2:$L$2501,$L2726,'AR SALES'!$AD$2:$AD$2501,"OFF"),2)=0,"","STALE")))</f>
        <v/>
      </c>
      <c r="BB2726" s="2" t="str">
        <f>IF(OR(""&amp;$F2726="2",""&amp;$F2726="4",""&amp;$F2726="G",""&amp;$F2726="H"),IF($AY2726="YES","",IF($AB2726&lt;&gt;0,"",IF(COUNTIFS('AR SALES'!$L$2:$L$2501,$L2726,'AR SALES'!$AD$2:$AD$2501,IF(""&amp;$F2726="4","OFF","ON"),'AR SALES'!$AF$2:$AF$2501,"Y")&gt;0,"","NO EXEMPTION"))),"")</f>
        <v/>
      </c>
    </row>
    <row r="2727" spans="46:54" x14ac:dyDescent="0.25">
      <c r="AT2727" s="2" t="str">
        <f>IF($L2727="","",IFERROR(INDEX('AR SALES'!$H$2:$H$2501,MATCH(""&amp;$L2727,'AR SALES'!$AE$2:$AE$2501,0)),""))</f>
        <v/>
      </c>
      <c r="AU2727" s="2" t="str">
        <f t="shared" si="168"/>
        <v/>
      </c>
      <c r="AV2727" s="2" t="str">
        <f t="shared" si="169"/>
        <v/>
      </c>
      <c r="AW2727" s="2" t="str">
        <f t="shared" si="170"/>
        <v/>
      </c>
      <c r="AX2727" s="2" t="str">
        <f t="shared" si="171"/>
        <v/>
      </c>
      <c r="AY2727" s="2" t="str">
        <f>IF($AV2727="","",IF(AND($Z2727=0,COUNTIF('AR SALES'!$L$2:$L$2501,$L2727)=0),"YES",""))</f>
        <v/>
      </c>
      <c r="AZ2727" s="2" t="str">
        <f>IF($AV2727="","",IF(COUNTIF(LISTS!$C$2:$C$250,$AU2727)=0,"NEW",""))</f>
        <v/>
      </c>
      <c r="BA2727" s="2" t="str">
        <f>IF(""&amp;$F2727&lt;&gt;"4","",IF($AY2727="YES","",IF(ROUND(SUMIFS($AE$2:$AE$4001,$L$2:$L$4001,$L2727,$F$2:$F$4001,"4")-SUMIFS('AR SALES'!$Y$2:$Y$2501,'AR SALES'!$L$2:$L$2501,$L2727,'AR SALES'!$AD$2:$AD$2501,"OFF"),2)=0,"","STALE")))</f>
        <v/>
      </c>
      <c r="BB2727" s="2" t="str">
        <f>IF(OR(""&amp;$F2727="2",""&amp;$F2727="4",""&amp;$F2727="G",""&amp;$F2727="H"),IF($AY2727="YES","",IF($AB2727&lt;&gt;0,"",IF(COUNTIFS('AR SALES'!$L$2:$L$2501,$L2727,'AR SALES'!$AD$2:$AD$2501,IF(""&amp;$F2727="4","OFF","ON"),'AR SALES'!$AF$2:$AF$2501,"Y")&gt;0,"","NO EXEMPTION"))),"")</f>
        <v/>
      </c>
    </row>
    <row r="2728" spans="46:54" x14ac:dyDescent="0.25">
      <c r="AT2728" s="2" t="str">
        <f>IF($L2728="","",IFERROR(INDEX('AR SALES'!$H$2:$H$2501,MATCH(""&amp;$L2728,'AR SALES'!$AE$2:$AE$2501,0)),""))</f>
        <v/>
      </c>
      <c r="AU2728" s="2" t="str">
        <f t="shared" si="168"/>
        <v/>
      </c>
      <c r="AV2728" s="2" t="str">
        <f t="shared" si="169"/>
        <v/>
      </c>
      <c r="AW2728" s="2" t="str">
        <f t="shared" si="170"/>
        <v/>
      </c>
      <c r="AX2728" s="2" t="str">
        <f t="shared" si="171"/>
        <v/>
      </c>
      <c r="AY2728" s="2" t="str">
        <f>IF($AV2728="","",IF(AND($Z2728=0,COUNTIF('AR SALES'!$L$2:$L$2501,$L2728)=0),"YES",""))</f>
        <v/>
      </c>
      <c r="AZ2728" s="2" t="str">
        <f>IF($AV2728="","",IF(COUNTIF(LISTS!$C$2:$C$250,$AU2728)=0,"NEW",""))</f>
        <v/>
      </c>
      <c r="BA2728" s="2" t="str">
        <f>IF(""&amp;$F2728&lt;&gt;"4","",IF($AY2728="YES","",IF(ROUND(SUMIFS($AE$2:$AE$4001,$L$2:$L$4001,$L2728,$F$2:$F$4001,"4")-SUMIFS('AR SALES'!$Y$2:$Y$2501,'AR SALES'!$L$2:$L$2501,$L2728,'AR SALES'!$AD$2:$AD$2501,"OFF"),2)=0,"","STALE")))</f>
        <v/>
      </c>
      <c r="BB2728" s="2" t="str">
        <f>IF(OR(""&amp;$F2728="2",""&amp;$F2728="4",""&amp;$F2728="G",""&amp;$F2728="H"),IF($AY2728="YES","",IF($AB2728&lt;&gt;0,"",IF(COUNTIFS('AR SALES'!$L$2:$L$2501,$L2728,'AR SALES'!$AD$2:$AD$2501,IF(""&amp;$F2728="4","OFF","ON"),'AR SALES'!$AF$2:$AF$2501,"Y")&gt;0,"","NO EXEMPTION"))),"")</f>
        <v/>
      </c>
    </row>
    <row r="2729" spans="46:54" x14ac:dyDescent="0.25">
      <c r="AT2729" s="2" t="str">
        <f>IF($L2729="","",IFERROR(INDEX('AR SALES'!$H$2:$H$2501,MATCH(""&amp;$L2729,'AR SALES'!$AE$2:$AE$2501,0)),""))</f>
        <v/>
      </c>
      <c r="AU2729" s="2" t="str">
        <f t="shared" si="168"/>
        <v/>
      </c>
      <c r="AV2729" s="2" t="str">
        <f t="shared" si="169"/>
        <v/>
      </c>
      <c r="AW2729" s="2" t="str">
        <f t="shared" si="170"/>
        <v/>
      </c>
      <c r="AX2729" s="2" t="str">
        <f t="shared" si="171"/>
        <v/>
      </c>
      <c r="AY2729" s="2" t="str">
        <f>IF($AV2729="","",IF(AND($Z2729=0,COUNTIF('AR SALES'!$L$2:$L$2501,$L2729)=0),"YES",""))</f>
        <v/>
      </c>
      <c r="AZ2729" s="2" t="str">
        <f>IF($AV2729="","",IF(COUNTIF(LISTS!$C$2:$C$250,$AU2729)=0,"NEW",""))</f>
        <v/>
      </c>
      <c r="BA2729" s="2" t="str">
        <f>IF(""&amp;$F2729&lt;&gt;"4","",IF($AY2729="YES","",IF(ROUND(SUMIFS($AE$2:$AE$4001,$L$2:$L$4001,$L2729,$F$2:$F$4001,"4")-SUMIFS('AR SALES'!$Y$2:$Y$2501,'AR SALES'!$L$2:$L$2501,$L2729,'AR SALES'!$AD$2:$AD$2501,"OFF"),2)=0,"","STALE")))</f>
        <v/>
      </c>
      <c r="BB2729" s="2" t="str">
        <f>IF(OR(""&amp;$F2729="2",""&amp;$F2729="4",""&amp;$F2729="G",""&amp;$F2729="H"),IF($AY2729="YES","",IF($AB2729&lt;&gt;0,"",IF(COUNTIFS('AR SALES'!$L$2:$L$2501,$L2729,'AR SALES'!$AD$2:$AD$2501,IF(""&amp;$F2729="4","OFF","ON"),'AR SALES'!$AF$2:$AF$2501,"Y")&gt;0,"","NO EXEMPTION"))),"")</f>
        <v/>
      </c>
    </row>
    <row r="2730" spans="46:54" x14ac:dyDescent="0.25">
      <c r="AT2730" s="2" t="str">
        <f>IF($L2730="","",IFERROR(INDEX('AR SALES'!$H$2:$H$2501,MATCH(""&amp;$L2730,'AR SALES'!$AE$2:$AE$2501,0)),""))</f>
        <v/>
      </c>
      <c r="AU2730" s="2" t="str">
        <f t="shared" si="168"/>
        <v/>
      </c>
      <c r="AV2730" s="2" t="str">
        <f t="shared" si="169"/>
        <v/>
      </c>
      <c r="AW2730" s="2" t="str">
        <f t="shared" si="170"/>
        <v/>
      </c>
      <c r="AX2730" s="2" t="str">
        <f t="shared" si="171"/>
        <v/>
      </c>
      <c r="AY2730" s="2" t="str">
        <f>IF($AV2730="","",IF(AND($Z2730=0,COUNTIF('AR SALES'!$L$2:$L$2501,$L2730)=0),"YES",""))</f>
        <v/>
      </c>
      <c r="AZ2730" s="2" t="str">
        <f>IF($AV2730="","",IF(COUNTIF(LISTS!$C$2:$C$250,$AU2730)=0,"NEW",""))</f>
        <v/>
      </c>
      <c r="BA2730" s="2" t="str">
        <f>IF(""&amp;$F2730&lt;&gt;"4","",IF($AY2730="YES","",IF(ROUND(SUMIFS($AE$2:$AE$4001,$L$2:$L$4001,$L2730,$F$2:$F$4001,"4")-SUMIFS('AR SALES'!$Y$2:$Y$2501,'AR SALES'!$L$2:$L$2501,$L2730,'AR SALES'!$AD$2:$AD$2501,"OFF"),2)=0,"","STALE")))</f>
        <v/>
      </c>
      <c r="BB2730" s="2" t="str">
        <f>IF(OR(""&amp;$F2730="2",""&amp;$F2730="4",""&amp;$F2730="G",""&amp;$F2730="H"),IF($AY2730="YES","",IF($AB2730&lt;&gt;0,"",IF(COUNTIFS('AR SALES'!$L$2:$L$2501,$L2730,'AR SALES'!$AD$2:$AD$2501,IF(""&amp;$F2730="4","OFF","ON"),'AR SALES'!$AF$2:$AF$2501,"Y")&gt;0,"","NO EXEMPTION"))),"")</f>
        <v/>
      </c>
    </row>
    <row r="2731" spans="46:54" x14ac:dyDescent="0.25">
      <c r="AT2731" s="2" t="str">
        <f>IF($L2731="","",IFERROR(INDEX('AR SALES'!$H$2:$H$2501,MATCH(""&amp;$L2731,'AR SALES'!$AE$2:$AE$2501,0)),""))</f>
        <v/>
      </c>
      <c r="AU2731" s="2" t="str">
        <f t="shared" si="168"/>
        <v/>
      </c>
      <c r="AV2731" s="2" t="str">
        <f t="shared" si="169"/>
        <v/>
      </c>
      <c r="AW2731" s="2" t="str">
        <f t="shared" si="170"/>
        <v/>
      </c>
      <c r="AX2731" s="2" t="str">
        <f t="shared" si="171"/>
        <v/>
      </c>
      <c r="AY2731" s="2" t="str">
        <f>IF($AV2731="","",IF(AND($Z2731=0,COUNTIF('AR SALES'!$L$2:$L$2501,$L2731)=0),"YES",""))</f>
        <v/>
      </c>
      <c r="AZ2731" s="2" t="str">
        <f>IF($AV2731="","",IF(COUNTIF(LISTS!$C$2:$C$250,$AU2731)=0,"NEW",""))</f>
        <v/>
      </c>
      <c r="BA2731" s="2" t="str">
        <f>IF(""&amp;$F2731&lt;&gt;"4","",IF($AY2731="YES","",IF(ROUND(SUMIFS($AE$2:$AE$4001,$L$2:$L$4001,$L2731,$F$2:$F$4001,"4")-SUMIFS('AR SALES'!$Y$2:$Y$2501,'AR SALES'!$L$2:$L$2501,$L2731,'AR SALES'!$AD$2:$AD$2501,"OFF"),2)=0,"","STALE")))</f>
        <v/>
      </c>
      <c r="BB2731" s="2" t="str">
        <f>IF(OR(""&amp;$F2731="2",""&amp;$F2731="4",""&amp;$F2731="G",""&amp;$F2731="H"),IF($AY2731="YES","",IF($AB2731&lt;&gt;0,"",IF(COUNTIFS('AR SALES'!$L$2:$L$2501,$L2731,'AR SALES'!$AD$2:$AD$2501,IF(""&amp;$F2731="4","OFF","ON"),'AR SALES'!$AF$2:$AF$2501,"Y")&gt;0,"","NO EXEMPTION"))),"")</f>
        <v/>
      </c>
    </row>
    <row r="2732" spans="46:54" x14ac:dyDescent="0.25">
      <c r="AT2732" s="2" t="str">
        <f>IF($L2732="","",IFERROR(INDEX('AR SALES'!$H$2:$H$2501,MATCH(""&amp;$L2732,'AR SALES'!$AE$2:$AE$2501,0)),""))</f>
        <v/>
      </c>
      <c r="AU2732" s="2" t="str">
        <f t="shared" si="168"/>
        <v/>
      </c>
      <c r="AV2732" s="2" t="str">
        <f t="shared" si="169"/>
        <v/>
      </c>
      <c r="AW2732" s="2" t="str">
        <f t="shared" si="170"/>
        <v/>
      </c>
      <c r="AX2732" s="2" t="str">
        <f t="shared" si="171"/>
        <v/>
      </c>
      <c r="AY2732" s="2" t="str">
        <f>IF($AV2732="","",IF(AND($Z2732=0,COUNTIF('AR SALES'!$L$2:$L$2501,$L2732)=0),"YES",""))</f>
        <v/>
      </c>
      <c r="AZ2732" s="2" t="str">
        <f>IF($AV2732="","",IF(COUNTIF(LISTS!$C$2:$C$250,$AU2732)=0,"NEW",""))</f>
        <v/>
      </c>
      <c r="BA2732" s="2" t="str">
        <f>IF(""&amp;$F2732&lt;&gt;"4","",IF($AY2732="YES","",IF(ROUND(SUMIFS($AE$2:$AE$4001,$L$2:$L$4001,$L2732,$F$2:$F$4001,"4")-SUMIFS('AR SALES'!$Y$2:$Y$2501,'AR SALES'!$L$2:$L$2501,$L2732,'AR SALES'!$AD$2:$AD$2501,"OFF"),2)=0,"","STALE")))</f>
        <v/>
      </c>
      <c r="BB2732" s="2" t="str">
        <f>IF(OR(""&amp;$F2732="2",""&amp;$F2732="4",""&amp;$F2732="G",""&amp;$F2732="H"),IF($AY2732="YES","",IF($AB2732&lt;&gt;0,"",IF(COUNTIFS('AR SALES'!$L$2:$L$2501,$L2732,'AR SALES'!$AD$2:$AD$2501,IF(""&amp;$F2732="4","OFF","ON"),'AR SALES'!$AF$2:$AF$2501,"Y")&gt;0,"","NO EXEMPTION"))),"")</f>
        <v/>
      </c>
    </row>
    <row r="2733" spans="46:54" x14ac:dyDescent="0.25">
      <c r="AT2733" s="2" t="str">
        <f>IF($L2733="","",IFERROR(INDEX('AR SALES'!$H$2:$H$2501,MATCH(""&amp;$L2733,'AR SALES'!$AE$2:$AE$2501,0)),""))</f>
        <v/>
      </c>
      <c r="AU2733" s="2" t="str">
        <f t="shared" si="168"/>
        <v/>
      </c>
      <c r="AV2733" s="2" t="str">
        <f t="shared" si="169"/>
        <v/>
      </c>
      <c r="AW2733" s="2" t="str">
        <f t="shared" si="170"/>
        <v/>
      </c>
      <c r="AX2733" s="2" t="str">
        <f t="shared" si="171"/>
        <v/>
      </c>
      <c r="AY2733" s="2" t="str">
        <f>IF($AV2733="","",IF(AND($Z2733=0,COUNTIF('AR SALES'!$L$2:$L$2501,$L2733)=0),"YES",""))</f>
        <v/>
      </c>
      <c r="AZ2733" s="2" t="str">
        <f>IF($AV2733="","",IF(COUNTIF(LISTS!$C$2:$C$250,$AU2733)=0,"NEW",""))</f>
        <v/>
      </c>
      <c r="BA2733" s="2" t="str">
        <f>IF(""&amp;$F2733&lt;&gt;"4","",IF($AY2733="YES","",IF(ROUND(SUMIFS($AE$2:$AE$4001,$L$2:$L$4001,$L2733,$F$2:$F$4001,"4")-SUMIFS('AR SALES'!$Y$2:$Y$2501,'AR SALES'!$L$2:$L$2501,$L2733,'AR SALES'!$AD$2:$AD$2501,"OFF"),2)=0,"","STALE")))</f>
        <v/>
      </c>
      <c r="BB2733" s="2" t="str">
        <f>IF(OR(""&amp;$F2733="2",""&amp;$F2733="4",""&amp;$F2733="G",""&amp;$F2733="H"),IF($AY2733="YES","",IF($AB2733&lt;&gt;0,"",IF(COUNTIFS('AR SALES'!$L$2:$L$2501,$L2733,'AR SALES'!$AD$2:$AD$2501,IF(""&amp;$F2733="4","OFF","ON"),'AR SALES'!$AF$2:$AF$2501,"Y")&gt;0,"","NO EXEMPTION"))),"")</f>
        <v/>
      </c>
    </row>
    <row r="2734" spans="46:54" x14ac:dyDescent="0.25">
      <c r="AT2734" s="2" t="str">
        <f>IF($L2734="","",IFERROR(INDEX('AR SALES'!$H$2:$H$2501,MATCH(""&amp;$L2734,'AR SALES'!$AE$2:$AE$2501,0)),""))</f>
        <v/>
      </c>
      <c r="AU2734" s="2" t="str">
        <f t="shared" si="168"/>
        <v/>
      </c>
      <c r="AV2734" s="2" t="str">
        <f t="shared" si="169"/>
        <v/>
      </c>
      <c r="AW2734" s="2" t="str">
        <f t="shared" si="170"/>
        <v/>
      </c>
      <c r="AX2734" s="2" t="str">
        <f t="shared" si="171"/>
        <v/>
      </c>
      <c r="AY2734" s="2" t="str">
        <f>IF($AV2734="","",IF(AND($Z2734=0,COUNTIF('AR SALES'!$L$2:$L$2501,$L2734)=0),"YES",""))</f>
        <v/>
      </c>
      <c r="AZ2734" s="2" t="str">
        <f>IF($AV2734="","",IF(COUNTIF(LISTS!$C$2:$C$250,$AU2734)=0,"NEW",""))</f>
        <v/>
      </c>
      <c r="BA2734" s="2" t="str">
        <f>IF(""&amp;$F2734&lt;&gt;"4","",IF($AY2734="YES","",IF(ROUND(SUMIFS($AE$2:$AE$4001,$L$2:$L$4001,$L2734,$F$2:$F$4001,"4")-SUMIFS('AR SALES'!$Y$2:$Y$2501,'AR SALES'!$L$2:$L$2501,$L2734,'AR SALES'!$AD$2:$AD$2501,"OFF"),2)=0,"","STALE")))</f>
        <v/>
      </c>
      <c r="BB2734" s="2" t="str">
        <f>IF(OR(""&amp;$F2734="2",""&amp;$F2734="4",""&amp;$F2734="G",""&amp;$F2734="H"),IF($AY2734="YES","",IF($AB2734&lt;&gt;0,"",IF(COUNTIFS('AR SALES'!$L$2:$L$2501,$L2734,'AR SALES'!$AD$2:$AD$2501,IF(""&amp;$F2734="4","OFF","ON"),'AR SALES'!$AF$2:$AF$2501,"Y")&gt;0,"","NO EXEMPTION"))),"")</f>
        <v/>
      </c>
    </row>
    <row r="2735" spans="46:54" x14ac:dyDescent="0.25">
      <c r="AT2735" s="2" t="str">
        <f>IF($L2735="","",IFERROR(INDEX('AR SALES'!$H$2:$H$2501,MATCH(""&amp;$L2735,'AR SALES'!$AE$2:$AE$2501,0)),""))</f>
        <v/>
      </c>
      <c r="AU2735" s="2" t="str">
        <f t="shared" si="168"/>
        <v/>
      </c>
      <c r="AV2735" s="2" t="str">
        <f t="shared" si="169"/>
        <v/>
      </c>
      <c r="AW2735" s="2" t="str">
        <f t="shared" si="170"/>
        <v/>
      </c>
      <c r="AX2735" s="2" t="str">
        <f t="shared" si="171"/>
        <v/>
      </c>
      <c r="AY2735" s="2" t="str">
        <f>IF($AV2735="","",IF(AND($Z2735=0,COUNTIF('AR SALES'!$L$2:$L$2501,$L2735)=0),"YES",""))</f>
        <v/>
      </c>
      <c r="AZ2735" s="2" t="str">
        <f>IF($AV2735="","",IF(COUNTIF(LISTS!$C$2:$C$250,$AU2735)=0,"NEW",""))</f>
        <v/>
      </c>
      <c r="BA2735" s="2" t="str">
        <f>IF(""&amp;$F2735&lt;&gt;"4","",IF($AY2735="YES","",IF(ROUND(SUMIFS($AE$2:$AE$4001,$L$2:$L$4001,$L2735,$F$2:$F$4001,"4")-SUMIFS('AR SALES'!$Y$2:$Y$2501,'AR SALES'!$L$2:$L$2501,$L2735,'AR SALES'!$AD$2:$AD$2501,"OFF"),2)=0,"","STALE")))</f>
        <v/>
      </c>
      <c r="BB2735" s="2" t="str">
        <f>IF(OR(""&amp;$F2735="2",""&amp;$F2735="4",""&amp;$F2735="G",""&amp;$F2735="H"),IF($AY2735="YES","",IF($AB2735&lt;&gt;0,"",IF(COUNTIFS('AR SALES'!$L$2:$L$2501,$L2735,'AR SALES'!$AD$2:$AD$2501,IF(""&amp;$F2735="4","OFF","ON"),'AR SALES'!$AF$2:$AF$2501,"Y")&gt;0,"","NO EXEMPTION"))),"")</f>
        <v/>
      </c>
    </row>
    <row r="2736" spans="46:54" x14ac:dyDescent="0.25">
      <c r="AT2736" s="2" t="str">
        <f>IF($L2736="","",IFERROR(INDEX('AR SALES'!$H$2:$H$2501,MATCH(""&amp;$L2736,'AR SALES'!$AE$2:$AE$2501,0)),""))</f>
        <v/>
      </c>
      <c r="AU2736" s="2" t="str">
        <f t="shared" si="168"/>
        <v/>
      </c>
      <c r="AV2736" s="2" t="str">
        <f t="shared" si="169"/>
        <v/>
      </c>
      <c r="AW2736" s="2" t="str">
        <f t="shared" si="170"/>
        <v/>
      </c>
      <c r="AX2736" s="2" t="str">
        <f t="shared" si="171"/>
        <v/>
      </c>
      <c r="AY2736" s="2" t="str">
        <f>IF($AV2736="","",IF(AND($Z2736=0,COUNTIF('AR SALES'!$L$2:$L$2501,$L2736)=0),"YES",""))</f>
        <v/>
      </c>
      <c r="AZ2736" s="2" t="str">
        <f>IF($AV2736="","",IF(COUNTIF(LISTS!$C$2:$C$250,$AU2736)=0,"NEW",""))</f>
        <v/>
      </c>
      <c r="BA2736" s="2" t="str">
        <f>IF(""&amp;$F2736&lt;&gt;"4","",IF($AY2736="YES","",IF(ROUND(SUMIFS($AE$2:$AE$4001,$L$2:$L$4001,$L2736,$F$2:$F$4001,"4")-SUMIFS('AR SALES'!$Y$2:$Y$2501,'AR SALES'!$L$2:$L$2501,$L2736,'AR SALES'!$AD$2:$AD$2501,"OFF"),2)=0,"","STALE")))</f>
        <v/>
      </c>
      <c r="BB2736" s="2" t="str">
        <f>IF(OR(""&amp;$F2736="2",""&amp;$F2736="4",""&amp;$F2736="G",""&amp;$F2736="H"),IF($AY2736="YES","",IF($AB2736&lt;&gt;0,"",IF(COUNTIFS('AR SALES'!$L$2:$L$2501,$L2736,'AR SALES'!$AD$2:$AD$2501,IF(""&amp;$F2736="4","OFF","ON"),'AR SALES'!$AF$2:$AF$2501,"Y")&gt;0,"","NO EXEMPTION"))),"")</f>
        <v/>
      </c>
    </row>
    <row r="2737" spans="46:54" x14ac:dyDescent="0.25">
      <c r="AT2737" s="2" t="str">
        <f>IF($L2737="","",IFERROR(INDEX('AR SALES'!$H$2:$H$2501,MATCH(""&amp;$L2737,'AR SALES'!$AE$2:$AE$2501,0)),""))</f>
        <v/>
      </c>
      <c r="AU2737" s="2" t="str">
        <f t="shared" si="168"/>
        <v/>
      </c>
      <c r="AV2737" s="2" t="str">
        <f t="shared" si="169"/>
        <v/>
      </c>
      <c r="AW2737" s="2" t="str">
        <f t="shared" si="170"/>
        <v/>
      </c>
      <c r="AX2737" s="2" t="str">
        <f t="shared" si="171"/>
        <v/>
      </c>
      <c r="AY2737" s="2" t="str">
        <f>IF($AV2737="","",IF(AND($Z2737=0,COUNTIF('AR SALES'!$L$2:$L$2501,$L2737)=0),"YES",""))</f>
        <v/>
      </c>
      <c r="AZ2737" s="2" t="str">
        <f>IF($AV2737="","",IF(COUNTIF(LISTS!$C$2:$C$250,$AU2737)=0,"NEW",""))</f>
        <v/>
      </c>
      <c r="BA2737" s="2" t="str">
        <f>IF(""&amp;$F2737&lt;&gt;"4","",IF($AY2737="YES","",IF(ROUND(SUMIFS($AE$2:$AE$4001,$L$2:$L$4001,$L2737,$F$2:$F$4001,"4")-SUMIFS('AR SALES'!$Y$2:$Y$2501,'AR SALES'!$L$2:$L$2501,$L2737,'AR SALES'!$AD$2:$AD$2501,"OFF"),2)=0,"","STALE")))</f>
        <v/>
      </c>
      <c r="BB2737" s="2" t="str">
        <f>IF(OR(""&amp;$F2737="2",""&amp;$F2737="4",""&amp;$F2737="G",""&amp;$F2737="H"),IF($AY2737="YES","",IF($AB2737&lt;&gt;0,"",IF(COUNTIFS('AR SALES'!$L$2:$L$2501,$L2737,'AR SALES'!$AD$2:$AD$2501,IF(""&amp;$F2737="4","OFF","ON"),'AR SALES'!$AF$2:$AF$2501,"Y")&gt;0,"","NO EXEMPTION"))),"")</f>
        <v/>
      </c>
    </row>
    <row r="2738" spans="46:54" x14ac:dyDescent="0.25">
      <c r="AT2738" s="2" t="str">
        <f>IF($L2738="","",IFERROR(INDEX('AR SALES'!$H$2:$H$2501,MATCH(""&amp;$L2738,'AR SALES'!$AE$2:$AE$2501,0)),""))</f>
        <v/>
      </c>
      <c r="AU2738" s="2" t="str">
        <f t="shared" si="168"/>
        <v/>
      </c>
      <c r="AV2738" s="2" t="str">
        <f t="shared" si="169"/>
        <v/>
      </c>
      <c r="AW2738" s="2" t="str">
        <f t="shared" si="170"/>
        <v/>
      </c>
      <c r="AX2738" s="2" t="str">
        <f t="shared" si="171"/>
        <v/>
      </c>
      <c r="AY2738" s="2" t="str">
        <f>IF($AV2738="","",IF(AND($Z2738=0,COUNTIF('AR SALES'!$L$2:$L$2501,$L2738)=0),"YES",""))</f>
        <v/>
      </c>
      <c r="AZ2738" s="2" t="str">
        <f>IF($AV2738="","",IF(COUNTIF(LISTS!$C$2:$C$250,$AU2738)=0,"NEW",""))</f>
        <v/>
      </c>
      <c r="BA2738" s="2" t="str">
        <f>IF(""&amp;$F2738&lt;&gt;"4","",IF($AY2738="YES","",IF(ROUND(SUMIFS($AE$2:$AE$4001,$L$2:$L$4001,$L2738,$F$2:$F$4001,"4")-SUMIFS('AR SALES'!$Y$2:$Y$2501,'AR SALES'!$L$2:$L$2501,$L2738,'AR SALES'!$AD$2:$AD$2501,"OFF"),2)=0,"","STALE")))</f>
        <v/>
      </c>
      <c r="BB2738" s="2" t="str">
        <f>IF(OR(""&amp;$F2738="2",""&amp;$F2738="4",""&amp;$F2738="G",""&amp;$F2738="H"),IF($AY2738="YES","",IF($AB2738&lt;&gt;0,"",IF(COUNTIFS('AR SALES'!$L$2:$L$2501,$L2738,'AR SALES'!$AD$2:$AD$2501,IF(""&amp;$F2738="4","OFF","ON"),'AR SALES'!$AF$2:$AF$2501,"Y")&gt;0,"","NO EXEMPTION"))),"")</f>
        <v/>
      </c>
    </row>
    <row r="2739" spans="46:54" x14ac:dyDescent="0.25">
      <c r="AT2739" s="2" t="str">
        <f>IF($L2739="","",IFERROR(INDEX('AR SALES'!$H$2:$H$2501,MATCH(""&amp;$L2739,'AR SALES'!$AE$2:$AE$2501,0)),""))</f>
        <v/>
      </c>
      <c r="AU2739" s="2" t="str">
        <f t="shared" si="168"/>
        <v/>
      </c>
      <c r="AV2739" s="2" t="str">
        <f t="shared" si="169"/>
        <v/>
      </c>
      <c r="AW2739" s="2" t="str">
        <f t="shared" si="170"/>
        <v/>
      </c>
      <c r="AX2739" s="2" t="str">
        <f t="shared" si="171"/>
        <v/>
      </c>
      <c r="AY2739" s="2" t="str">
        <f>IF($AV2739="","",IF(AND($Z2739=0,COUNTIF('AR SALES'!$L$2:$L$2501,$L2739)=0),"YES",""))</f>
        <v/>
      </c>
      <c r="AZ2739" s="2" t="str">
        <f>IF($AV2739="","",IF(COUNTIF(LISTS!$C$2:$C$250,$AU2739)=0,"NEW",""))</f>
        <v/>
      </c>
      <c r="BA2739" s="2" t="str">
        <f>IF(""&amp;$F2739&lt;&gt;"4","",IF($AY2739="YES","",IF(ROUND(SUMIFS($AE$2:$AE$4001,$L$2:$L$4001,$L2739,$F$2:$F$4001,"4")-SUMIFS('AR SALES'!$Y$2:$Y$2501,'AR SALES'!$L$2:$L$2501,$L2739,'AR SALES'!$AD$2:$AD$2501,"OFF"),2)=0,"","STALE")))</f>
        <v/>
      </c>
      <c r="BB2739" s="2" t="str">
        <f>IF(OR(""&amp;$F2739="2",""&amp;$F2739="4",""&amp;$F2739="G",""&amp;$F2739="H"),IF($AY2739="YES","",IF($AB2739&lt;&gt;0,"",IF(COUNTIFS('AR SALES'!$L$2:$L$2501,$L2739,'AR SALES'!$AD$2:$AD$2501,IF(""&amp;$F2739="4","OFF","ON"),'AR SALES'!$AF$2:$AF$2501,"Y")&gt;0,"","NO EXEMPTION"))),"")</f>
        <v/>
      </c>
    </row>
    <row r="2740" spans="46:54" x14ac:dyDescent="0.25">
      <c r="AT2740" s="2" t="str">
        <f>IF($L2740="","",IFERROR(INDEX('AR SALES'!$H$2:$H$2501,MATCH(""&amp;$L2740,'AR SALES'!$AE$2:$AE$2501,0)),""))</f>
        <v/>
      </c>
      <c r="AU2740" s="2" t="str">
        <f t="shared" si="168"/>
        <v/>
      </c>
      <c r="AV2740" s="2" t="str">
        <f t="shared" si="169"/>
        <v/>
      </c>
      <c r="AW2740" s="2" t="str">
        <f t="shared" si="170"/>
        <v/>
      </c>
      <c r="AX2740" s="2" t="str">
        <f t="shared" si="171"/>
        <v/>
      </c>
      <c r="AY2740" s="2" t="str">
        <f>IF($AV2740="","",IF(AND($Z2740=0,COUNTIF('AR SALES'!$L$2:$L$2501,$L2740)=0),"YES",""))</f>
        <v/>
      </c>
      <c r="AZ2740" s="2" t="str">
        <f>IF($AV2740="","",IF(COUNTIF(LISTS!$C$2:$C$250,$AU2740)=0,"NEW",""))</f>
        <v/>
      </c>
      <c r="BA2740" s="2" t="str">
        <f>IF(""&amp;$F2740&lt;&gt;"4","",IF($AY2740="YES","",IF(ROUND(SUMIFS($AE$2:$AE$4001,$L$2:$L$4001,$L2740,$F$2:$F$4001,"4")-SUMIFS('AR SALES'!$Y$2:$Y$2501,'AR SALES'!$L$2:$L$2501,$L2740,'AR SALES'!$AD$2:$AD$2501,"OFF"),2)=0,"","STALE")))</f>
        <v/>
      </c>
      <c r="BB2740" s="2" t="str">
        <f>IF(OR(""&amp;$F2740="2",""&amp;$F2740="4",""&amp;$F2740="G",""&amp;$F2740="H"),IF($AY2740="YES","",IF($AB2740&lt;&gt;0,"",IF(COUNTIFS('AR SALES'!$L$2:$L$2501,$L2740,'AR SALES'!$AD$2:$AD$2501,IF(""&amp;$F2740="4","OFF","ON"),'AR SALES'!$AF$2:$AF$2501,"Y")&gt;0,"","NO EXEMPTION"))),"")</f>
        <v/>
      </c>
    </row>
    <row r="2741" spans="46:54" x14ac:dyDescent="0.25">
      <c r="AT2741" s="2" t="str">
        <f>IF($L2741="","",IFERROR(INDEX('AR SALES'!$H$2:$H$2501,MATCH(""&amp;$L2741,'AR SALES'!$AE$2:$AE$2501,0)),""))</f>
        <v/>
      </c>
      <c r="AU2741" s="2" t="str">
        <f t="shared" si="168"/>
        <v/>
      </c>
      <c r="AV2741" s="2" t="str">
        <f t="shared" si="169"/>
        <v/>
      </c>
      <c r="AW2741" s="2" t="str">
        <f t="shared" si="170"/>
        <v/>
      </c>
      <c r="AX2741" s="2" t="str">
        <f t="shared" si="171"/>
        <v/>
      </c>
      <c r="AY2741" s="2" t="str">
        <f>IF($AV2741="","",IF(AND($Z2741=0,COUNTIF('AR SALES'!$L$2:$L$2501,$L2741)=0),"YES",""))</f>
        <v/>
      </c>
      <c r="AZ2741" s="2" t="str">
        <f>IF($AV2741="","",IF(COUNTIF(LISTS!$C$2:$C$250,$AU2741)=0,"NEW",""))</f>
        <v/>
      </c>
      <c r="BA2741" s="2" t="str">
        <f>IF(""&amp;$F2741&lt;&gt;"4","",IF($AY2741="YES","",IF(ROUND(SUMIFS($AE$2:$AE$4001,$L$2:$L$4001,$L2741,$F$2:$F$4001,"4")-SUMIFS('AR SALES'!$Y$2:$Y$2501,'AR SALES'!$L$2:$L$2501,$L2741,'AR SALES'!$AD$2:$AD$2501,"OFF"),2)=0,"","STALE")))</f>
        <v/>
      </c>
      <c r="BB2741" s="2" t="str">
        <f>IF(OR(""&amp;$F2741="2",""&amp;$F2741="4",""&amp;$F2741="G",""&amp;$F2741="H"),IF($AY2741="YES","",IF($AB2741&lt;&gt;0,"",IF(COUNTIFS('AR SALES'!$L$2:$L$2501,$L2741,'AR SALES'!$AD$2:$AD$2501,IF(""&amp;$F2741="4","OFF","ON"),'AR SALES'!$AF$2:$AF$2501,"Y")&gt;0,"","NO EXEMPTION"))),"")</f>
        <v/>
      </c>
    </row>
    <row r="2742" spans="46:54" x14ac:dyDescent="0.25">
      <c r="AT2742" s="2" t="str">
        <f>IF($L2742="","",IFERROR(INDEX('AR SALES'!$H$2:$H$2501,MATCH(""&amp;$L2742,'AR SALES'!$AE$2:$AE$2501,0)),""))</f>
        <v/>
      </c>
      <c r="AU2742" s="2" t="str">
        <f t="shared" si="168"/>
        <v/>
      </c>
      <c r="AV2742" s="2" t="str">
        <f t="shared" si="169"/>
        <v/>
      </c>
      <c r="AW2742" s="2" t="str">
        <f t="shared" si="170"/>
        <v/>
      </c>
      <c r="AX2742" s="2" t="str">
        <f t="shared" si="171"/>
        <v/>
      </c>
      <c r="AY2742" s="2" t="str">
        <f>IF($AV2742="","",IF(AND($Z2742=0,COUNTIF('AR SALES'!$L$2:$L$2501,$L2742)=0),"YES",""))</f>
        <v/>
      </c>
      <c r="AZ2742" s="2" t="str">
        <f>IF($AV2742="","",IF(COUNTIF(LISTS!$C$2:$C$250,$AU2742)=0,"NEW",""))</f>
        <v/>
      </c>
      <c r="BA2742" s="2" t="str">
        <f>IF(""&amp;$F2742&lt;&gt;"4","",IF($AY2742="YES","",IF(ROUND(SUMIFS($AE$2:$AE$4001,$L$2:$L$4001,$L2742,$F$2:$F$4001,"4")-SUMIFS('AR SALES'!$Y$2:$Y$2501,'AR SALES'!$L$2:$L$2501,$L2742,'AR SALES'!$AD$2:$AD$2501,"OFF"),2)=0,"","STALE")))</f>
        <v/>
      </c>
      <c r="BB2742" s="2" t="str">
        <f>IF(OR(""&amp;$F2742="2",""&amp;$F2742="4",""&amp;$F2742="G",""&amp;$F2742="H"),IF($AY2742="YES","",IF($AB2742&lt;&gt;0,"",IF(COUNTIFS('AR SALES'!$L$2:$L$2501,$L2742,'AR SALES'!$AD$2:$AD$2501,IF(""&amp;$F2742="4","OFF","ON"),'AR SALES'!$AF$2:$AF$2501,"Y")&gt;0,"","NO EXEMPTION"))),"")</f>
        <v/>
      </c>
    </row>
    <row r="2743" spans="46:54" x14ac:dyDescent="0.25">
      <c r="AT2743" s="2" t="str">
        <f>IF($L2743="","",IFERROR(INDEX('AR SALES'!$H$2:$H$2501,MATCH(""&amp;$L2743,'AR SALES'!$AE$2:$AE$2501,0)),""))</f>
        <v/>
      </c>
      <c r="AU2743" s="2" t="str">
        <f t="shared" si="168"/>
        <v/>
      </c>
      <c r="AV2743" s="2" t="str">
        <f t="shared" si="169"/>
        <v/>
      </c>
      <c r="AW2743" s="2" t="str">
        <f t="shared" si="170"/>
        <v/>
      </c>
      <c r="AX2743" s="2" t="str">
        <f t="shared" si="171"/>
        <v/>
      </c>
      <c r="AY2743" s="2" t="str">
        <f>IF($AV2743="","",IF(AND($Z2743=0,COUNTIF('AR SALES'!$L$2:$L$2501,$L2743)=0),"YES",""))</f>
        <v/>
      </c>
      <c r="AZ2743" s="2" t="str">
        <f>IF($AV2743="","",IF(COUNTIF(LISTS!$C$2:$C$250,$AU2743)=0,"NEW",""))</f>
        <v/>
      </c>
      <c r="BA2743" s="2" t="str">
        <f>IF(""&amp;$F2743&lt;&gt;"4","",IF($AY2743="YES","",IF(ROUND(SUMIFS($AE$2:$AE$4001,$L$2:$L$4001,$L2743,$F$2:$F$4001,"4")-SUMIFS('AR SALES'!$Y$2:$Y$2501,'AR SALES'!$L$2:$L$2501,$L2743,'AR SALES'!$AD$2:$AD$2501,"OFF"),2)=0,"","STALE")))</f>
        <v/>
      </c>
      <c r="BB2743" s="2" t="str">
        <f>IF(OR(""&amp;$F2743="2",""&amp;$F2743="4",""&amp;$F2743="G",""&amp;$F2743="H"),IF($AY2743="YES","",IF($AB2743&lt;&gt;0,"",IF(COUNTIFS('AR SALES'!$L$2:$L$2501,$L2743,'AR SALES'!$AD$2:$AD$2501,IF(""&amp;$F2743="4","OFF","ON"),'AR SALES'!$AF$2:$AF$2501,"Y")&gt;0,"","NO EXEMPTION"))),"")</f>
        <v/>
      </c>
    </row>
    <row r="2744" spans="46:54" x14ac:dyDescent="0.25">
      <c r="AT2744" s="2" t="str">
        <f>IF($L2744="","",IFERROR(INDEX('AR SALES'!$H$2:$H$2501,MATCH(""&amp;$L2744,'AR SALES'!$AE$2:$AE$2501,0)),""))</f>
        <v/>
      </c>
      <c r="AU2744" s="2" t="str">
        <f t="shared" si="168"/>
        <v/>
      </c>
      <c r="AV2744" s="2" t="str">
        <f t="shared" si="169"/>
        <v/>
      </c>
      <c r="AW2744" s="2" t="str">
        <f t="shared" si="170"/>
        <v/>
      </c>
      <c r="AX2744" s="2" t="str">
        <f t="shared" si="171"/>
        <v/>
      </c>
      <c r="AY2744" s="2" t="str">
        <f>IF($AV2744="","",IF(AND($Z2744=0,COUNTIF('AR SALES'!$L$2:$L$2501,$L2744)=0),"YES",""))</f>
        <v/>
      </c>
      <c r="AZ2744" s="2" t="str">
        <f>IF($AV2744="","",IF(COUNTIF(LISTS!$C$2:$C$250,$AU2744)=0,"NEW",""))</f>
        <v/>
      </c>
      <c r="BA2744" s="2" t="str">
        <f>IF(""&amp;$F2744&lt;&gt;"4","",IF($AY2744="YES","",IF(ROUND(SUMIFS($AE$2:$AE$4001,$L$2:$L$4001,$L2744,$F$2:$F$4001,"4")-SUMIFS('AR SALES'!$Y$2:$Y$2501,'AR SALES'!$L$2:$L$2501,$L2744,'AR SALES'!$AD$2:$AD$2501,"OFF"),2)=0,"","STALE")))</f>
        <v/>
      </c>
      <c r="BB2744" s="2" t="str">
        <f>IF(OR(""&amp;$F2744="2",""&amp;$F2744="4",""&amp;$F2744="G",""&amp;$F2744="H"),IF($AY2744="YES","",IF($AB2744&lt;&gt;0,"",IF(COUNTIFS('AR SALES'!$L$2:$L$2501,$L2744,'AR SALES'!$AD$2:$AD$2501,IF(""&amp;$F2744="4","OFF","ON"),'AR SALES'!$AF$2:$AF$2501,"Y")&gt;0,"","NO EXEMPTION"))),"")</f>
        <v/>
      </c>
    </row>
    <row r="2745" spans="46:54" x14ac:dyDescent="0.25">
      <c r="AT2745" s="2" t="str">
        <f>IF($L2745="","",IFERROR(INDEX('AR SALES'!$H$2:$H$2501,MATCH(""&amp;$L2745,'AR SALES'!$AE$2:$AE$2501,0)),""))</f>
        <v/>
      </c>
      <c r="AU2745" s="2" t="str">
        <f t="shared" si="168"/>
        <v/>
      </c>
      <c r="AV2745" s="2" t="str">
        <f t="shared" si="169"/>
        <v/>
      </c>
      <c r="AW2745" s="2" t="str">
        <f t="shared" si="170"/>
        <v/>
      </c>
      <c r="AX2745" s="2" t="str">
        <f t="shared" si="171"/>
        <v/>
      </c>
      <c r="AY2745" s="2" t="str">
        <f>IF($AV2745="","",IF(AND($Z2745=0,COUNTIF('AR SALES'!$L$2:$L$2501,$L2745)=0),"YES",""))</f>
        <v/>
      </c>
      <c r="AZ2745" s="2" t="str">
        <f>IF($AV2745="","",IF(COUNTIF(LISTS!$C$2:$C$250,$AU2745)=0,"NEW",""))</f>
        <v/>
      </c>
      <c r="BA2745" s="2" t="str">
        <f>IF(""&amp;$F2745&lt;&gt;"4","",IF($AY2745="YES","",IF(ROUND(SUMIFS($AE$2:$AE$4001,$L$2:$L$4001,$L2745,$F$2:$F$4001,"4")-SUMIFS('AR SALES'!$Y$2:$Y$2501,'AR SALES'!$L$2:$L$2501,$L2745,'AR SALES'!$AD$2:$AD$2501,"OFF"),2)=0,"","STALE")))</f>
        <v/>
      </c>
      <c r="BB2745" s="2" t="str">
        <f>IF(OR(""&amp;$F2745="2",""&amp;$F2745="4",""&amp;$F2745="G",""&amp;$F2745="H"),IF($AY2745="YES","",IF($AB2745&lt;&gt;0,"",IF(COUNTIFS('AR SALES'!$L$2:$L$2501,$L2745,'AR SALES'!$AD$2:$AD$2501,IF(""&amp;$F2745="4","OFF","ON"),'AR SALES'!$AF$2:$AF$2501,"Y")&gt;0,"","NO EXEMPTION"))),"")</f>
        <v/>
      </c>
    </row>
    <row r="2746" spans="46:54" x14ac:dyDescent="0.25">
      <c r="AT2746" s="2" t="str">
        <f>IF($L2746="","",IFERROR(INDEX('AR SALES'!$H$2:$H$2501,MATCH(""&amp;$L2746,'AR SALES'!$AE$2:$AE$2501,0)),""))</f>
        <v/>
      </c>
      <c r="AU2746" s="2" t="str">
        <f t="shared" si="168"/>
        <v/>
      </c>
      <c r="AV2746" s="2" t="str">
        <f t="shared" si="169"/>
        <v/>
      </c>
      <c r="AW2746" s="2" t="str">
        <f t="shared" si="170"/>
        <v/>
      </c>
      <c r="AX2746" s="2" t="str">
        <f t="shared" si="171"/>
        <v/>
      </c>
      <c r="AY2746" s="2" t="str">
        <f>IF($AV2746="","",IF(AND($Z2746=0,COUNTIF('AR SALES'!$L$2:$L$2501,$L2746)=0),"YES",""))</f>
        <v/>
      </c>
      <c r="AZ2746" s="2" t="str">
        <f>IF($AV2746="","",IF(COUNTIF(LISTS!$C$2:$C$250,$AU2746)=0,"NEW",""))</f>
        <v/>
      </c>
      <c r="BA2746" s="2" t="str">
        <f>IF(""&amp;$F2746&lt;&gt;"4","",IF($AY2746="YES","",IF(ROUND(SUMIFS($AE$2:$AE$4001,$L$2:$L$4001,$L2746,$F$2:$F$4001,"4")-SUMIFS('AR SALES'!$Y$2:$Y$2501,'AR SALES'!$L$2:$L$2501,$L2746,'AR SALES'!$AD$2:$AD$2501,"OFF"),2)=0,"","STALE")))</f>
        <v/>
      </c>
      <c r="BB2746" s="2" t="str">
        <f>IF(OR(""&amp;$F2746="2",""&amp;$F2746="4",""&amp;$F2746="G",""&amp;$F2746="H"),IF($AY2746="YES","",IF($AB2746&lt;&gt;0,"",IF(COUNTIFS('AR SALES'!$L$2:$L$2501,$L2746,'AR SALES'!$AD$2:$AD$2501,IF(""&amp;$F2746="4","OFF","ON"),'AR SALES'!$AF$2:$AF$2501,"Y")&gt;0,"","NO EXEMPTION"))),"")</f>
        <v/>
      </c>
    </row>
    <row r="2747" spans="46:54" x14ac:dyDescent="0.25">
      <c r="AT2747" s="2" t="str">
        <f>IF($L2747="","",IFERROR(INDEX('AR SALES'!$H$2:$H$2501,MATCH(""&amp;$L2747,'AR SALES'!$AE$2:$AE$2501,0)),""))</f>
        <v/>
      </c>
      <c r="AU2747" s="2" t="str">
        <f t="shared" si="168"/>
        <v/>
      </c>
      <c r="AV2747" s="2" t="str">
        <f t="shared" si="169"/>
        <v/>
      </c>
      <c r="AW2747" s="2" t="str">
        <f t="shared" si="170"/>
        <v/>
      </c>
      <c r="AX2747" s="2" t="str">
        <f t="shared" si="171"/>
        <v/>
      </c>
      <c r="AY2747" s="2" t="str">
        <f>IF($AV2747="","",IF(AND($Z2747=0,COUNTIF('AR SALES'!$L$2:$L$2501,$L2747)=0),"YES",""))</f>
        <v/>
      </c>
      <c r="AZ2747" s="2" t="str">
        <f>IF($AV2747="","",IF(COUNTIF(LISTS!$C$2:$C$250,$AU2747)=0,"NEW",""))</f>
        <v/>
      </c>
      <c r="BA2747" s="2" t="str">
        <f>IF(""&amp;$F2747&lt;&gt;"4","",IF($AY2747="YES","",IF(ROUND(SUMIFS($AE$2:$AE$4001,$L$2:$L$4001,$L2747,$F$2:$F$4001,"4")-SUMIFS('AR SALES'!$Y$2:$Y$2501,'AR SALES'!$L$2:$L$2501,$L2747,'AR SALES'!$AD$2:$AD$2501,"OFF"),2)=0,"","STALE")))</f>
        <v/>
      </c>
      <c r="BB2747" s="2" t="str">
        <f>IF(OR(""&amp;$F2747="2",""&amp;$F2747="4",""&amp;$F2747="G",""&amp;$F2747="H"),IF($AY2747="YES","",IF($AB2747&lt;&gt;0,"",IF(COUNTIFS('AR SALES'!$L$2:$L$2501,$L2747,'AR SALES'!$AD$2:$AD$2501,IF(""&amp;$F2747="4","OFF","ON"),'AR SALES'!$AF$2:$AF$2501,"Y")&gt;0,"","NO EXEMPTION"))),"")</f>
        <v/>
      </c>
    </row>
    <row r="2748" spans="46:54" x14ac:dyDescent="0.25">
      <c r="AT2748" s="2" t="str">
        <f>IF($L2748="","",IFERROR(INDEX('AR SALES'!$H$2:$H$2501,MATCH(""&amp;$L2748,'AR SALES'!$AE$2:$AE$2501,0)),""))</f>
        <v/>
      </c>
      <c r="AU2748" s="2" t="str">
        <f t="shared" si="168"/>
        <v/>
      </c>
      <c r="AV2748" s="2" t="str">
        <f t="shared" si="169"/>
        <v/>
      </c>
      <c r="AW2748" s="2" t="str">
        <f t="shared" si="170"/>
        <v/>
      </c>
      <c r="AX2748" s="2" t="str">
        <f t="shared" si="171"/>
        <v/>
      </c>
      <c r="AY2748" s="2" t="str">
        <f>IF($AV2748="","",IF(AND($Z2748=0,COUNTIF('AR SALES'!$L$2:$L$2501,$L2748)=0),"YES",""))</f>
        <v/>
      </c>
      <c r="AZ2748" s="2" t="str">
        <f>IF($AV2748="","",IF(COUNTIF(LISTS!$C$2:$C$250,$AU2748)=0,"NEW",""))</f>
        <v/>
      </c>
      <c r="BA2748" s="2" t="str">
        <f>IF(""&amp;$F2748&lt;&gt;"4","",IF($AY2748="YES","",IF(ROUND(SUMIFS($AE$2:$AE$4001,$L$2:$L$4001,$L2748,$F$2:$F$4001,"4")-SUMIFS('AR SALES'!$Y$2:$Y$2501,'AR SALES'!$L$2:$L$2501,$L2748,'AR SALES'!$AD$2:$AD$2501,"OFF"),2)=0,"","STALE")))</f>
        <v/>
      </c>
      <c r="BB2748" s="2" t="str">
        <f>IF(OR(""&amp;$F2748="2",""&amp;$F2748="4",""&amp;$F2748="G",""&amp;$F2748="H"),IF($AY2748="YES","",IF($AB2748&lt;&gt;0,"",IF(COUNTIFS('AR SALES'!$L$2:$L$2501,$L2748,'AR SALES'!$AD$2:$AD$2501,IF(""&amp;$F2748="4","OFF","ON"),'AR SALES'!$AF$2:$AF$2501,"Y")&gt;0,"","NO EXEMPTION"))),"")</f>
        <v/>
      </c>
    </row>
    <row r="2749" spans="46:54" x14ac:dyDescent="0.25">
      <c r="AT2749" s="2" t="str">
        <f>IF($L2749="","",IFERROR(INDEX('AR SALES'!$H$2:$H$2501,MATCH(""&amp;$L2749,'AR SALES'!$AE$2:$AE$2501,0)),""))</f>
        <v/>
      </c>
      <c r="AU2749" s="2" t="str">
        <f t="shared" si="168"/>
        <v/>
      </c>
      <c r="AV2749" s="2" t="str">
        <f t="shared" si="169"/>
        <v/>
      </c>
      <c r="AW2749" s="2" t="str">
        <f t="shared" si="170"/>
        <v/>
      </c>
      <c r="AX2749" s="2" t="str">
        <f t="shared" si="171"/>
        <v/>
      </c>
      <c r="AY2749" s="2" t="str">
        <f>IF($AV2749="","",IF(AND($Z2749=0,COUNTIF('AR SALES'!$L$2:$L$2501,$L2749)=0),"YES",""))</f>
        <v/>
      </c>
      <c r="AZ2749" s="2" t="str">
        <f>IF($AV2749="","",IF(COUNTIF(LISTS!$C$2:$C$250,$AU2749)=0,"NEW",""))</f>
        <v/>
      </c>
      <c r="BA2749" s="2" t="str">
        <f>IF(""&amp;$F2749&lt;&gt;"4","",IF($AY2749="YES","",IF(ROUND(SUMIFS($AE$2:$AE$4001,$L$2:$L$4001,$L2749,$F$2:$F$4001,"4")-SUMIFS('AR SALES'!$Y$2:$Y$2501,'AR SALES'!$L$2:$L$2501,$L2749,'AR SALES'!$AD$2:$AD$2501,"OFF"),2)=0,"","STALE")))</f>
        <v/>
      </c>
      <c r="BB2749" s="2" t="str">
        <f>IF(OR(""&amp;$F2749="2",""&amp;$F2749="4",""&amp;$F2749="G",""&amp;$F2749="H"),IF($AY2749="YES","",IF($AB2749&lt;&gt;0,"",IF(COUNTIFS('AR SALES'!$L$2:$L$2501,$L2749,'AR SALES'!$AD$2:$AD$2501,IF(""&amp;$F2749="4","OFF","ON"),'AR SALES'!$AF$2:$AF$2501,"Y")&gt;0,"","NO EXEMPTION"))),"")</f>
        <v/>
      </c>
    </row>
    <row r="2750" spans="46:54" x14ac:dyDescent="0.25">
      <c r="AT2750" s="2" t="str">
        <f>IF($L2750="","",IFERROR(INDEX('AR SALES'!$H$2:$H$2501,MATCH(""&amp;$L2750,'AR SALES'!$AE$2:$AE$2501,0)),""))</f>
        <v/>
      </c>
      <c r="AU2750" s="2" t="str">
        <f t="shared" si="168"/>
        <v/>
      </c>
      <c r="AV2750" s="2" t="str">
        <f t="shared" si="169"/>
        <v/>
      </c>
      <c r="AW2750" s="2" t="str">
        <f t="shared" si="170"/>
        <v/>
      </c>
      <c r="AX2750" s="2" t="str">
        <f t="shared" si="171"/>
        <v/>
      </c>
      <c r="AY2750" s="2" t="str">
        <f>IF($AV2750="","",IF(AND($Z2750=0,COUNTIF('AR SALES'!$L$2:$L$2501,$L2750)=0),"YES",""))</f>
        <v/>
      </c>
      <c r="AZ2750" s="2" t="str">
        <f>IF($AV2750="","",IF(COUNTIF(LISTS!$C$2:$C$250,$AU2750)=0,"NEW",""))</f>
        <v/>
      </c>
      <c r="BA2750" s="2" t="str">
        <f>IF(""&amp;$F2750&lt;&gt;"4","",IF($AY2750="YES","",IF(ROUND(SUMIFS($AE$2:$AE$4001,$L$2:$L$4001,$L2750,$F$2:$F$4001,"4")-SUMIFS('AR SALES'!$Y$2:$Y$2501,'AR SALES'!$L$2:$L$2501,$L2750,'AR SALES'!$AD$2:$AD$2501,"OFF"),2)=0,"","STALE")))</f>
        <v/>
      </c>
      <c r="BB2750" s="2" t="str">
        <f>IF(OR(""&amp;$F2750="2",""&amp;$F2750="4",""&amp;$F2750="G",""&amp;$F2750="H"),IF($AY2750="YES","",IF($AB2750&lt;&gt;0,"",IF(COUNTIFS('AR SALES'!$L$2:$L$2501,$L2750,'AR SALES'!$AD$2:$AD$2501,IF(""&amp;$F2750="4","OFF","ON"),'AR SALES'!$AF$2:$AF$2501,"Y")&gt;0,"","NO EXEMPTION"))),"")</f>
        <v/>
      </c>
    </row>
    <row r="2751" spans="46:54" x14ac:dyDescent="0.25">
      <c r="AT2751" s="2" t="str">
        <f>IF($L2751="","",IFERROR(INDEX('AR SALES'!$H$2:$H$2501,MATCH(""&amp;$L2751,'AR SALES'!$AE$2:$AE$2501,0)),""))</f>
        <v/>
      </c>
      <c r="AU2751" s="2" t="str">
        <f t="shared" si="168"/>
        <v/>
      </c>
      <c r="AV2751" s="2" t="str">
        <f t="shared" si="169"/>
        <v/>
      </c>
      <c r="AW2751" s="2" t="str">
        <f t="shared" si="170"/>
        <v/>
      </c>
      <c r="AX2751" s="2" t="str">
        <f t="shared" si="171"/>
        <v/>
      </c>
      <c r="AY2751" s="2" t="str">
        <f>IF($AV2751="","",IF(AND($Z2751=0,COUNTIF('AR SALES'!$L$2:$L$2501,$L2751)=0),"YES",""))</f>
        <v/>
      </c>
      <c r="AZ2751" s="2" t="str">
        <f>IF($AV2751="","",IF(COUNTIF(LISTS!$C$2:$C$250,$AU2751)=0,"NEW",""))</f>
        <v/>
      </c>
      <c r="BA2751" s="2" t="str">
        <f>IF(""&amp;$F2751&lt;&gt;"4","",IF($AY2751="YES","",IF(ROUND(SUMIFS($AE$2:$AE$4001,$L$2:$L$4001,$L2751,$F$2:$F$4001,"4")-SUMIFS('AR SALES'!$Y$2:$Y$2501,'AR SALES'!$L$2:$L$2501,$L2751,'AR SALES'!$AD$2:$AD$2501,"OFF"),2)=0,"","STALE")))</f>
        <v/>
      </c>
      <c r="BB2751" s="2" t="str">
        <f>IF(OR(""&amp;$F2751="2",""&amp;$F2751="4",""&amp;$F2751="G",""&amp;$F2751="H"),IF($AY2751="YES","",IF($AB2751&lt;&gt;0,"",IF(COUNTIFS('AR SALES'!$L$2:$L$2501,$L2751,'AR SALES'!$AD$2:$AD$2501,IF(""&amp;$F2751="4","OFF","ON"),'AR SALES'!$AF$2:$AF$2501,"Y")&gt;0,"","NO EXEMPTION"))),"")</f>
        <v/>
      </c>
    </row>
    <row r="2752" spans="46:54" x14ac:dyDescent="0.25">
      <c r="AT2752" s="2" t="str">
        <f>IF($L2752="","",IFERROR(INDEX('AR SALES'!$H$2:$H$2501,MATCH(""&amp;$L2752,'AR SALES'!$AE$2:$AE$2501,0)),""))</f>
        <v/>
      </c>
      <c r="AU2752" s="2" t="str">
        <f t="shared" si="168"/>
        <v/>
      </c>
      <c r="AV2752" s="2" t="str">
        <f t="shared" si="169"/>
        <v/>
      </c>
      <c r="AW2752" s="2" t="str">
        <f t="shared" si="170"/>
        <v/>
      </c>
      <c r="AX2752" s="2" t="str">
        <f t="shared" si="171"/>
        <v/>
      </c>
      <c r="AY2752" s="2" t="str">
        <f>IF($AV2752="","",IF(AND($Z2752=0,COUNTIF('AR SALES'!$L$2:$L$2501,$L2752)=0),"YES",""))</f>
        <v/>
      </c>
      <c r="AZ2752" s="2" t="str">
        <f>IF($AV2752="","",IF(COUNTIF(LISTS!$C$2:$C$250,$AU2752)=0,"NEW",""))</f>
        <v/>
      </c>
      <c r="BA2752" s="2" t="str">
        <f>IF(""&amp;$F2752&lt;&gt;"4","",IF($AY2752="YES","",IF(ROUND(SUMIFS($AE$2:$AE$4001,$L$2:$L$4001,$L2752,$F$2:$F$4001,"4")-SUMIFS('AR SALES'!$Y$2:$Y$2501,'AR SALES'!$L$2:$L$2501,$L2752,'AR SALES'!$AD$2:$AD$2501,"OFF"),2)=0,"","STALE")))</f>
        <v/>
      </c>
      <c r="BB2752" s="2" t="str">
        <f>IF(OR(""&amp;$F2752="2",""&amp;$F2752="4",""&amp;$F2752="G",""&amp;$F2752="H"),IF($AY2752="YES","",IF($AB2752&lt;&gt;0,"",IF(COUNTIFS('AR SALES'!$L$2:$L$2501,$L2752,'AR SALES'!$AD$2:$AD$2501,IF(""&amp;$F2752="4","OFF","ON"),'AR SALES'!$AF$2:$AF$2501,"Y")&gt;0,"","NO EXEMPTION"))),"")</f>
        <v/>
      </c>
    </row>
    <row r="2753" spans="46:54" x14ac:dyDescent="0.25">
      <c r="AT2753" s="2" t="str">
        <f>IF($L2753="","",IFERROR(INDEX('AR SALES'!$H$2:$H$2501,MATCH(""&amp;$L2753,'AR SALES'!$AE$2:$AE$2501,0)),""))</f>
        <v/>
      </c>
      <c r="AU2753" s="2" t="str">
        <f t="shared" si="168"/>
        <v/>
      </c>
      <c r="AV2753" s="2" t="str">
        <f t="shared" si="169"/>
        <v/>
      </c>
      <c r="AW2753" s="2" t="str">
        <f t="shared" si="170"/>
        <v/>
      </c>
      <c r="AX2753" s="2" t="str">
        <f t="shared" si="171"/>
        <v/>
      </c>
      <c r="AY2753" s="2" t="str">
        <f>IF($AV2753="","",IF(AND($Z2753=0,COUNTIF('AR SALES'!$L$2:$L$2501,$L2753)=0),"YES",""))</f>
        <v/>
      </c>
      <c r="AZ2753" s="2" t="str">
        <f>IF($AV2753="","",IF(COUNTIF(LISTS!$C$2:$C$250,$AU2753)=0,"NEW",""))</f>
        <v/>
      </c>
      <c r="BA2753" s="2" t="str">
        <f>IF(""&amp;$F2753&lt;&gt;"4","",IF($AY2753="YES","",IF(ROUND(SUMIFS($AE$2:$AE$4001,$L$2:$L$4001,$L2753,$F$2:$F$4001,"4")-SUMIFS('AR SALES'!$Y$2:$Y$2501,'AR SALES'!$L$2:$L$2501,$L2753,'AR SALES'!$AD$2:$AD$2501,"OFF"),2)=0,"","STALE")))</f>
        <v/>
      </c>
      <c r="BB2753" s="2" t="str">
        <f>IF(OR(""&amp;$F2753="2",""&amp;$F2753="4",""&amp;$F2753="G",""&amp;$F2753="H"),IF($AY2753="YES","",IF($AB2753&lt;&gt;0,"",IF(COUNTIFS('AR SALES'!$L$2:$L$2501,$L2753,'AR SALES'!$AD$2:$AD$2501,IF(""&amp;$F2753="4","OFF","ON"),'AR SALES'!$AF$2:$AF$2501,"Y")&gt;0,"","NO EXEMPTION"))),"")</f>
        <v/>
      </c>
    </row>
    <row r="2754" spans="46:54" x14ac:dyDescent="0.25">
      <c r="AT2754" s="2" t="str">
        <f>IF($L2754="","",IFERROR(INDEX('AR SALES'!$H$2:$H$2501,MATCH(""&amp;$L2754,'AR SALES'!$AE$2:$AE$2501,0)),""))</f>
        <v/>
      </c>
      <c r="AU2754" s="2" t="str">
        <f t="shared" ref="AU2754:AU2817" si="172">IF($L2754="","",IF($A2754&lt;&gt;"GA","",IF($E2754="FULTON",IF(ISNUMBER(SEARCH("COLLEGE PARK",$AT2754)),"FULTON (COLLEGE PARK)",IF(ISNUMBER(SEARCH("ATLANTA CITY",$AT2754)),"FULTON (ATL LIMITS)","FULTON")),IF($E2754="DEKALB",IF(ISNUMBER(SEARCH("ATLANTA CITY",$AT2754)),"DEKALB (ATL LIMITS)","DEKALB"),$E2754))))</f>
        <v/>
      </c>
      <c r="AV2754" s="2" t="str">
        <f t="shared" ref="AV2754:AV2817" si="173">IF($L2754="","",IF(""&amp;$F2754="2","DIESEL",IF(OR(""&amp;$F2754="G",""&amp;$F2754="H"),"GAS","")))</f>
        <v/>
      </c>
      <c r="AW2754" s="2" t="str">
        <f t="shared" ref="AW2754:AW2817" si="174">IF($AV2754="","",$R2754)</f>
        <v/>
      </c>
      <c r="AX2754" s="2" t="str">
        <f t="shared" ref="AX2754:AX2817" si="175">IF($AV2754="","",IF($AB2754=0,$R2754,0))</f>
        <v/>
      </c>
      <c r="AY2754" s="2" t="str">
        <f>IF($AV2754="","",IF(AND($Z2754=0,COUNTIF('AR SALES'!$L$2:$L$2501,$L2754)=0),"YES",""))</f>
        <v/>
      </c>
      <c r="AZ2754" s="2" t="str">
        <f>IF($AV2754="","",IF(COUNTIF(LISTS!$C$2:$C$250,$AU2754)=0,"NEW",""))</f>
        <v/>
      </c>
      <c r="BA2754" s="2" t="str">
        <f>IF(""&amp;$F2754&lt;&gt;"4","",IF($AY2754="YES","",IF(ROUND(SUMIFS($AE$2:$AE$4001,$L$2:$L$4001,$L2754,$F$2:$F$4001,"4")-SUMIFS('AR SALES'!$Y$2:$Y$2501,'AR SALES'!$L$2:$L$2501,$L2754,'AR SALES'!$AD$2:$AD$2501,"OFF"),2)=0,"","STALE")))</f>
        <v/>
      </c>
      <c r="BB2754" s="2" t="str">
        <f>IF(OR(""&amp;$F2754="2",""&amp;$F2754="4",""&amp;$F2754="G",""&amp;$F2754="H"),IF($AY2754="YES","",IF($AB2754&lt;&gt;0,"",IF(COUNTIFS('AR SALES'!$L$2:$L$2501,$L2754,'AR SALES'!$AD$2:$AD$2501,IF(""&amp;$F2754="4","OFF","ON"),'AR SALES'!$AF$2:$AF$2501,"Y")&gt;0,"","NO EXEMPTION"))),"")</f>
        <v/>
      </c>
    </row>
    <row r="2755" spans="46:54" x14ac:dyDescent="0.25">
      <c r="AT2755" s="2" t="str">
        <f>IF($L2755="","",IFERROR(INDEX('AR SALES'!$H$2:$H$2501,MATCH(""&amp;$L2755,'AR SALES'!$AE$2:$AE$2501,0)),""))</f>
        <v/>
      </c>
      <c r="AU2755" s="2" t="str">
        <f t="shared" si="172"/>
        <v/>
      </c>
      <c r="AV2755" s="2" t="str">
        <f t="shared" si="173"/>
        <v/>
      </c>
      <c r="AW2755" s="2" t="str">
        <f t="shared" si="174"/>
        <v/>
      </c>
      <c r="AX2755" s="2" t="str">
        <f t="shared" si="175"/>
        <v/>
      </c>
      <c r="AY2755" s="2" t="str">
        <f>IF($AV2755="","",IF(AND($Z2755=0,COUNTIF('AR SALES'!$L$2:$L$2501,$L2755)=0),"YES",""))</f>
        <v/>
      </c>
      <c r="AZ2755" s="2" t="str">
        <f>IF($AV2755="","",IF(COUNTIF(LISTS!$C$2:$C$250,$AU2755)=0,"NEW",""))</f>
        <v/>
      </c>
      <c r="BA2755" s="2" t="str">
        <f>IF(""&amp;$F2755&lt;&gt;"4","",IF($AY2755="YES","",IF(ROUND(SUMIFS($AE$2:$AE$4001,$L$2:$L$4001,$L2755,$F$2:$F$4001,"4")-SUMIFS('AR SALES'!$Y$2:$Y$2501,'AR SALES'!$L$2:$L$2501,$L2755,'AR SALES'!$AD$2:$AD$2501,"OFF"),2)=0,"","STALE")))</f>
        <v/>
      </c>
      <c r="BB2755" s="2" t="str">
        <f>IF(OR(""&amp;$F2755="2",""&amp;$F2755="4",""&amp;$F2755="G",""&amp;$F2755="H"),IF($AY2755="YES","",IF($AB2755&lt;&gt;0,"",IF(COUNTIFS('AR SALES'!$L$2:$L$2501,$L2755,'AR SALES'!$AD$2:$AD$2501,IF(""&amp;$F2755="4","OFF","ON"),'AR SALES'!$AF$2:$AF$2501,"Y")&gt;0,"","NO EXEMPTION"))),"")</f>
        <v/>
      </c>
    </row>
    <row r="2756" spans="46:54" x14ac:dyDescent="0.25">
      <c r="AT2756" s="2" t="str">
        <f>IF($L2756="","",IFERROR(INDEX('AR SALES'!$H$2:$H$2501,MATCH(""&amp;$L2756,'AR SALES'!$AE$2:$AE$2501,0)),""))</f>
        <v/>
      </c>
      <c r="AU2756" s="2" t="str">
        <f t="shared" si="172"/>
        <v/>
      </c>
      <c r="AV2756" s="2" t="str">
        <f t="shared" si="173"/>
        <v/>
      </c>
      <c r="AW2756" s="2" t="str">
        <f t="shared" si="174"/>
        <v/>
      </c>
      <c r="AX2756" s="2" t="str">
        <f t="shared" si="175"/>
        <v/>
      </c>
      <c r="AY2756" s="2" t="str">
        <f>IF($AV2756="","",IF(AND($Z2756=0,COUNTIF('AR SALES'!$L$2:$L$2501,$L2756)=0),"YES",""))</f>
        <v/>
      </c>
      <c r="AZ2756" s="2" t="str">
        <f>IF($AV2756="","",IF(COUNTIF(LISTS!$C$2:$C$250,$AU2756)=0,"NEW",""))</f>
        <v/>
      </c>
      <c r="BA2756" s="2" t="str">
        <f>IF(""&amp;$F2756&lt;&gt;"4","",IF($AY2756="YES","",IF(ROUND(SUMIFS($AE$2:$AE$4001,$L$2:$L$4001,$L2756,$F$2:$F$4001,"4")-SUMIFS('AR SALES'!$Y$2:$Y$2501,'AR SALES'!$L$2:$L$2501,$L2756,'AR SALES'!$AD$2:$AD$2501,"OFF"),2)=0,"","STALE")))</f>
        <v/>
      </c>
      <c r="BB2756" s="2" t="str">
        <f>IF(OR(""&amp;$F2756="2",""&amp;$F2756="4",""&amp;$F2756="G",""&amp;$F2756="H"),IF($AY2756="YES","",IF($AB2756&lt;&gt;0,"",IF(COUNTIFS('AR SALES'!$L$2:$L$2501,$L2756,'AR SALES'!$AD$2:$AD$2501,IF(""&amp;$F2756="4","OFF","ON"),'AR SALES'!$AF$2:$AF$2501,"Y")&gt;0,"","NO EXEMPTION"))),"")</f>
        <v/>
      </c>
    </row>
    <row r="2757" spans="46:54" x14ac:dyDescent="0.25">
      <c r="AT2757" s="2" t="str">
        <f>IF($L2757="","",IFERROR(INDEX('AR SALES'!$H$2:$H$2501,MATCH(""&amp;$L2757,'AR SALES'!$AE$2:$AE$2501,0)),""))</f>
        <v/>
      </c>
      <c r="AU2757" s="2" t="str">
        <f t="shared" si="172"/>
        <v/>
      </c>
      <c r="AV2757" s="2" t="str">
        <f t="shared" si="173"/>
        <v/>
      </c>
      <c r="AW2757" s="2" t="str">
        <f t="shared" si="174"/>
        <v/>
      </c>
      <c r="AX2757" s="2" t="str">
        <f t="shared" si="175"/>
        <v/>
      </c>
      <c r="AY2757" s="2" t="str">
        <f>IF($AV2757="","",IF(AND($Z2757=0,COUNTIF('AR SALES'!$L$2:$L$2501,$L2757)=0),"YES",""))</f>
        <v/>
      </c>
      <c r="AZ2757" s="2" t="str">
        <f>IF($AV2757="","",IF(COUNTIF(LISTS!$C$2:$C$250,$AU2757)=0,"NEW",""))</f>
        <v/>
      </c>
      <c r="BA2757" s="2" t="str">
        <f>IF(""&amp;$F2757&lt;&gt;"4","",IF($AY2757="YES","",IF(ROUND(SUMIFS($AE$2:$AE$4001,$L$2:$L$4001,$L2757,$F$2:$F$4001,"4")-SUMIFS('AR SALES'!$Y$2:$Y$2501,'AR SALES'!$L$2:$L$2501,$L2757,'AR SALES'!$AD$2:$AD$2501,"OFF"),2)=0,"","STALE")))</f>
        <v/>
      </c>
      <c r="BB2757" s="2" t="str">
        <f>IF(OR(""&amp;$F2757="2",""&amp;$F2757="4",""&amp;$F2757="G",""&amp;$F2757="H"),IF($AY2757="YES","",IF($AB2757&lt;&gt;0,"",IF(COUNTIFS('AR SALES'!$L$2:$L$2501,$L2757,'AR SALES'!$AD$2:$AD$2501,IF(""&amp;$F2757="4","OFF","ON"),'AR SALES'!$AF$2:$AF$2501,"Y")&gt;0,"","NO EXEMPTION"))),"")</f>
        <v/>
      </c>
    </row>
    <row r="2758" spans="46:54" x14ac:dyDescent="0.25">
      <c r="AT2758" s="2" t="str">
        <f>IF($L2758="","",IFERROR(INDEX('AR SALES'!$H$2:$H$2501,MATCH(""&amp;$L2758,'AR SALES'!$AE$2:$AE$2501,0)),""))</f>
        <v/>
      </c>
      <c r="AU2758" s="2" t="str">
        <f t="shared" si="172"/>
        <v/>
      </c>
      <c r="AV2758" s="2" t="str">
        <f t="shared" si="173"/>
        <v/>
      </c>
      <c r="AW2758" s="2" t="str">
        <f t="shared" si="174"/>
        <v/>
      </c>
      <c r="AX2758" s="2" t="str">
        <f t="shared" si="175"/>
        <v/>
      </c>
      <c r="AY2758" s="2" t="str">
        <f>IF($AV2758="","",IF(AND($Z2758=0,COUNTIF('AR SALES'!$L$2:$L$2501,$L2758)=0),"YES",""))</f>
        <v/>
      </c>
      <c r="AZ2758" s="2" t="str">
        <f>IF($AV2758="","",IF(COUNTIF(LISTS!$C$2:$C$250,$AU2758)=0,"NEW",""))</f>
        <v/>
      </c>
      <c r="BA2758" s="2" t="str">
        <f>IF(""&amp;$F2758&lt;&gt;"4","",IF($AY2758="YES","",IF(ROUND(SUMIFS($AE$2:$AE$4001,$L$2:$L$4001,$L2758,$F$2:$F$4001,"4")-SUMIFS('AR SALES'!$Y$2:$Y$2501,'AR SALES'!$L$2:$L$2501,$L2758,'AR SALES'!$AD$2:$AD$2501,"OFF"),2)=0,"","STALE")))</f>
        <v/>
      </c>
      <c r="BB2758" s="2" t="str">
        <f>IF(OR(""&amp;$F2758="2",""&amp;$F2758="4",""&amp;$F2758="G",""&amp;$F2758="H"),IF($AY2758="YES","",IF($AB2758&lt;&gt;0,"",IF(COUNTIFS('AR SALES'!$L$2:$L$2501,$L2758,'AR SALES'!$AD$2:$AD$2501,IF(""&amp;$F2758="4","OFF","ON"),'AR SALES'!$AF$2:$AF$2501,"Y")&gt;0,"","NO EXEMPTION"))),"")</f>
        <v/>
      </c>
    </row>
    <row r="2759" spans="46:54" x14ac:dyDescent="0.25">
      <c r="AT2759" s="2" t="str">
        <f>IF($L2759="","",IFERROR(INDEX('AR SALES'!$H$2:$H$2501,MATCH(""&amp;$L2759,'AR SALES'!$AE$2:$AE$2501,0)),""))</f>
        <v/>
      </c>
      <c r="AU2759" s="2" t="str">
        <f t="shared" si="172"/>
        <v/>
      </c>
      <c r="AV2759" s="2" t="str">
        <f t="shared" si="173"/>
        <v/>
      </c>
      <c r="AW2759" s="2" t="str">
        <f t="shared" si="174"/>
        <v/>
      </c>
      <c r="AX2759" s="2" t="str">
        <f t="shared" si="175"/>
        <v/>
      </c>
      <c r="AY2759" s="2" t="str">
        <f>IF($AV2759="","",IF(AND($Z2759=0,COUNTIF('AR SALES'!$L$2:$L$2501,$L2759)=0),"YES",""))</f>
        <v/>
      </c>
      <c r="AZ2759" s="2" t="str">
        <f>IF($AV2759="","",IF(COUNTIF(LISTS!$C$2:$C$250,$AU2759)=0,"NEW",""))</f>
        <v/>
      </c>
      <c r="BA2759" s="2" t="str">
        <f>IF(""&amp;$F2759&lt;&gt;"4","",IF($AY2759="YES","",IF(ROUND(SUMIFS($AE$2:$AE$4001,$L$2:$L$4001,$L2759,$F$2:$F$4001,"4")-SUMIFS('AR SALES'!$Y$2:$Y$2501,'AR SALES'!$L$2:$L$2501,$L2759,'AR SALES'!$AD$2:$AD$2501,"OFF"),2)=0,"","STALE")))</f>
        <v/>
      </c>
      <c r="BB2759" s="2" t="str">
        <f>IF(OR(""&amp;$F2759="2",""&amp;$F2759="4",""&amp;$F2759="G",""&amp;$F2759="H"),IF($AY2759="YES","",IF($AB2759&lt;&gt;0,"",IF(COUNTIFS('AR SALES'!$L$2:$L$2501,$L2759,'AR SALES'!$AD$2:$AD$2501,IF(""&amp;$F2759="4","OFF","ON"),'AR SALES'!$AF$2:$AF$2501,"Y")&gt;0,"","NO EXEMPTION"))),"")</f>
        <v/>
      </c>
    </row>
    <row r="2760" spans="46:54" x14ac:dyDescent="0.25">
      <c r="AT2760" s="2" t="str">
        <f>IF($L2760="","",IFERROR(INDEX('AR SALES'!$H$2:$H$2501,MATCH(""&amp;$L2760,'AR SALES'!$AE$2:$AE$2501,0)),""))</f>
        <v/>
      </c>
      <c r="AU2760" s="2" t="str">
        <f t="shared" si="172"/>
        <v/>
      </c>
      <c r="AV2760" s="2" t="str">
        <f t="shared" si="173"/>
        <v/>
      </c>
      <c r="AW2760" s="2" t="str">
        <f t="shared" si="174"/>
        <v/>
      </c>
      <c r="AX2760" s="2" t="str">
        <f t="shared" si="175"/>
        <v/>
      </c>
      <c r="AY2760" s="2" t="str">
        <f>IF($AV2760="","",IF(AND($Z2760=0,COUNTIF('AR SALES'!$L$2:$L$2501,$L2760)=0),"YES",""))</f>
        <v/>
      </c>
      <c r="AZ2760" s="2" t="str">
        <f>IF($AV2760="","",IF(COUNTIF(LISTS!$C$2:$C$250,$AU2760)=0,"NEW",""))</f>
        <v/>
      </c>
      <c r="BA2760" s="2" t="str">
        <f>IF(""&amp;$F2760&lt;&gt;"4","",IF($AY2760="YES","",IF(ROUND(SUMIFS($AE$2:$AE$4001,$L$2:$L$4001,$L2760,$F$2:$F$4001,"4")-SUMIFS('AR SALES'!$Y$2:$Y$2501,'AR SALES'!$L$2:$L$2501,$L2760,'AR SALES'!$AD$2:$AD$2501,"OFF"),2)=0,"","STALE")))</f>
        <v/>
      </c>
      <c r="BB2760" s="2" t="str">
        <f>IF(OR(""&amp;$F2760="2",""&amp;$F2760="4",""&amp;$F2760="G",""&amp;$F2760="H"),IF($AY2760="YES","",IF($AB2760&lt;&gt;0,"",IF(COUNTIFS('AR SALES'!$L$2:$L$2501,$L2760,'AR SALES'!$AD$2:$AD$2501,IF(""&amp;$F2760="4","OFF","ON"),'AR SALES'!$AF$2:$AF$2501,"Y")&gt;0,"","NO EXEMPTION"))),"")</f>
        <v/>
      </c>
    </row>
    <row r="2761" spans="46:54" x14ac:dyDescent="0.25">
      <c r="AT2761" s="2" t="str">
        <f>IF($L2761="","",IFERROR(INDEX('AR SALES'!$H$2:$H$2501,MATCH(""&amp;$L2761,'AR SALES'!$AE$2:$AE$2501,0)),""))</f>
        <v/>
      </c>
      <c r="AU2761" s="2" t="str">
        <f t="shared" si="172"/>
        <v/>
      </c>
      <c r="AV2761" s="2" t="str">
        <f t="shared" si="173"/>
        <v/>
      </c>
      <c r="AW2761" s="2" t="str">
        <f t="shared" si="174"/>
        <v/>
      </c>
      <c r="AX2761" s="2" t="str">
        <f t="shared" si="175"/>
        <v/>
      </c>
      <c r="AY2761" s="2" t="str">
        <f>IF($AV2761="","",IF(AND($Z2761=0,COUNTIF('AR SALES'!$L$2:$L$2501,$L2761)=0),"YES",""))</f>
        <v/>
      </c>
      <c r="AZ2761" s="2" t="str">
        <f>IF($AV2761="","",IF(COUNTIF(LISTS!$C$2:$C$250,$AU2761)=0,"NEW",""))</f>
        <v/>
      </c>
      <c r="BA2761" s="2" t="str">
        <f>IF(""&amp;$F2761&lt;&gt;"4","",IF($AY2761="YES","",IF(ROUND(SUMIFS($AE$2:$AE$4001,$L$2:$L$4001,$L2761,$F$2:$F$4001,"4")-SUMIFS('AR SALES'!$Y$2:$Y$2501,'AR SALES'!$L$2:$L$2501,$L2761,'AR SALES'!$AD$2:$AD$2501,"OFF"),2)=0,"","STALE")))</f>
        <v/>
      </c>
      <c r="BB2761" s="2" t="str">
        <f>IF(OR(""&amp;$F2761="2",""&amp;$F2761="4",""&amp;$F2761="G",""&amp;$F2761="H"),IF($AY2761="YES","",IF($AB2761&lt;&gt;0,"",IF(COUNTIFS('AR SALES'!$L$2:$L$2501,$L2761,'AR SALES'!$AD$2:$AD$2501,IF(""&amp;$F2761="4","OFF","ON"),'AR SALES'!$AF$2:$AF$2501,"Y")&gt;0,"","NO EXEMPTION"))),"")</f>
        <v/>
      </c>
    </row>
    <row r="2762" spans="46:54" x14ac:dyDescent="0.25">
      <c r="AT2762" s="2" t="str">
        <f>IF($L2762="","",IFERROR(INDEX('AR SALES'!$H$2:$H$2501,MATCH(""&amp;$L2762,'AR SALES'!$AE$2:$AE$2501,0)),""))</f>
        <v/>
      </c>
      <c r="AU2762" s="2" t="str">
        <f t="shared" si="172"/>
        <v/>
      </c>
      <c r="AV2762" s="2" t="str">
        <f t="shared" si="173"/>
        <v/>
      </c>
      <c r="AW2762" s="2" t="str">
        <f t="shared" si="174"/>
        <v/>
      </c>
      <c r="AX2762" s="2" t="str">
        <f t="shared" si="175"/>
        <v/>
      </c>
      <c r="AY2762" s="2" t="str">
        <f>IF($AV2762="","",IF(AND($Z2762=0,COUNTIF('AR SALES'!$L$2:$L$2501,$L2762)=0),"YES",""))</f>
        <v/>
      </c>
      <c r="AZ2762" s="2" t="str">
        <f>IF($AV2762="","",IF(COUNTIF(LISTS!$C$2:$C$250,$AU2762)=0,"NEW",""))</f>
        <v/>
      </c>
      <c r="BA2762" s="2" t="str">
        <f>IF(""&amp;$F2762&lt;&gt;"4","",IF($AY2762="YES","",IF(ROUND(SUMIFS($AE$2:$AE$4001,$L$2:$L$4001,$L2762,$F$2:$F$4001,"4")-SUMIFS('AR SALES'!$Y$2:$Y$2501,'AR SALES'!$L$2:$L$2501,$L2762,'AR SALES'!$AD$2:$AD$2501,"OFF"),2)=0,"","STALE")))</f>
        <v/>
      </c>
      <c r="BB2762" s="2" t="str">
        <f>IF(OR(""&amp;$F2762="2",""&amp;$F2762="4",""&amp;$F2762="G",""&amp;$F2762="H"),IF($AY2762="YES","",IF($AB2762&lt;&gt;0,"",IF(COUNTIFS('AR SALES'!$L$2:$L$2501,$L2762,'AR SALES'!$AD$2:$AD$2501,IF(""&amp;$F2762="4","OFF","ON"),'AR SALES'!$AF$2:$AF$2501,"Y")&gt;0,"","NO EXEMPTION"))),"")</f>
        <v/>
      </c>
    </row>
    <row r="2763" spans="46:54" x14ac:dyDescent="0.25">
      <c r="AT2763" s="2" t="str">
        <f>IF($L2763="","",IFERROR(INDEX('AR SALES'!$H$2:$H$2501,MATCH(""&amp;$L2763,'AR SALES'!$AE$2:$AE$2501,0)),""))</f>
        <v/>
      </c>
      <c r="AU2763" s="2" t="str">
        <f t="shared" si="172"/>
        <v/>
      </c>
      <c r="AV2763" s="2" t="str">
        <f t="shared" si="173"/>
        <v/>
      </c>
      <c r="AW2763" s="2" t="str">
        <f t="shared" si="174"/>
        <v/>
      </c>
      <c r="AX2763" s="2" t="str">
        <f t="shared" si="175"/>
        <v/>
      </c>
      <c r="AY2763" s="2" t="str">
        <f>IF($AV2763="","",IF(AND($Z2763=0,COUNTIF('AR SALES'!$L$2:$L$2501,$L2763)=0),"YES",""))</f>
        <v/>
      </c>
      <c r="AZ2763" s="2" t="str">
        <f>IF($AV2763="","",IF(COUNTIF(LISTS!$C$2:$C$250,$AU2763)=0,"NEW",""))</f>
        <v/>
      </c>
      <c r="BA2763" s="2" t="str">
        <f>IF(""&amp;$F2763&lt;&gt;"4","",IF($AY2763="YES","",IF(ROUND(SUMIFS($AE$2:$AE$4001,$L$2:$L$4001,$L2763,$F$2:$F$4001,"4")-SUMIFS('AR SALES'!$Y$2:$Y$2501,'AR SALES'!$L$2:$L$2501,$L2763,'AR SALES'!$AD$2:$AD$2501,"OFF"),2)=0,"","STALE")))</f>
        <v/>
      </c>
      <c r="BB2763" s="2" t="str">
        <f>IF(OR(""&amp;$F2763="2",""&amp;$F2763="4",""&amp;$F2763="G",""&amp;$F2763="H"),IF($AY2763="YES","",IF($AB2763&lt;&gt;0,"",IF(COUNTIFS('AR SALES'!$L$2:$L$2501,$L2763,'AR SALES'!$AD$2:$AD$2501,IF(""&amp;$F2763="4","OFF","ON"),'AR SALES'!$AF$2:$AF$2501,"Y")&gt;0,"","NO EXEMPTION"))),"")</f>
        <v/>
      </c>
    </row>
    <row r="2764" spans="46:54" x14ac:dyDescent="0.25">
      <c r="AT2764" s="2" t="str">
        <f>IF($L2764="","",IFERROR(INDEX('AR SALES'!$H$2:$H$2501,MATCH(""&amp;$L2764,'AR SALES'!$AE$2:$AE$2501,0)),""))</f>
        <v/>
      </c>
      <c r="AU2764" s="2" t="str">
        <f t="shared" si="172"/>
        <v/>
      </c>
      <c r="AV2764" s="2" t="str">
        <f t="shared" si="173"/>
        <v/>
      </c>
      <c r="AW2764" s="2" t="str">
        <f t="shared" si="174"/>
        <v/>
      </c>
      <c r="AX2764" s="2" t="str">
        <f t="shared" si="175"/>
        <v/>
      </c>
      <c r="AY2764" s="2" t="str">
        <f>IF($AV2764="","",IF(AND($Z2764=0,COUNTIF('AR SALES'!$L$2:$L$2501,$L2764)=0),"YES",""))</f>
        <v/>
      </c>
      <c r="AZ2764" s="2" t="str">
        <f>IF($AV2764="","",IF(COUNTIF(LISTS!$C$2:$C$250,$AU2764)=0,"NEW",""))</f>
        <v/>
      </c>
      <c r="BA2764" s="2" t="str">
        <f>IF(""&amp;$F2764&lt;&gt;"4","",IF($AY2764="YES","",IF(ROUND(SUMIFS($AE$2:$AE$4001,$L$2:$L$4001,$L2764,$F$2:$F$4001,"4")-SUMIFS('AR SALES'!$Y$2:$Y$2501,'AR SALES'!$L$2:$L$2501,$L2764,'AR SALES'!$AD$2:$AD$2501,"OFF"),2)=0,"","STALE")))</f>
        <v/>
      </c>
      <c r="BB2764" s="2" t="str">
        <f>IF(OR(""&amp;$F2764="2",""&amp;$F2764="4",""&amp;$F2764="G",""&amp;$F2764="H"),IF($AY2764="YES","",IF($AB2764&lt;&gt;0,"",IF(COUNTIFS('AR SALES'!$L$2:$L$2501,$L2764,'AR SALES'!$AD$2:$AD$2501,IF(""&amp;$F2764="4","OFF","ON"),'AR SALES'!$AF$2:$AF$2501,"Y")&gt;0,"","NO EXEMPTION"))),"")</f>
        <v/>
      </c>
    </row>
    <row r="2765" spans="46:54" x14ac:dyDescent="0.25">
      <c r="AT2765" s="2" t="str">
        <f>IF($L2765="","",IFERROR(INDEX('AR SALES'!$H$2:$H$2501,MATCH(""&amp;$L2765,'AR SALES'!$AE$2:$AE$2501,0)),""))</f>
        <v/>
      </c>
      <c r="AU2765" s="2" t="str">
        <f t="shared" si="172"/>
        <v/>
      </c>
      <c r="AV2765" s="2" t="str">
        <f t="shared" si="173"/>
        <v/>
      </c>
      <c r="AW2765" s="2" t="str">
        <f t="shared" si="174"/>
        <v/>
      </c>
      <c r="AX2765" s="2" t="str">
        <f t="shared" si="175"/>
        <v/>
      </c>
      <c r="AY2765" s="2" t="str">
        <f>IF($AV2765="","",IF(AND($Z2765=0,COUNTIF('AR SALES'!$L$2:$L$2501,$L2765)=0),"YES",""))</f>
        <v/>
      </c>
      <c r="AZ2765" s="2" t="str">
        <f>IF($AV2765="","",IF(COUNTIF(LISTS!$C$2:$C$250,$AU2765)=0,"NEW",""))</f>
        <v/>
      </c>
      <c r="BA2765" s="2" t="str">
        <f>IF(""&amp;$F2765&lt;&gt;"4","",IF($AY2765="YES","",IF(ROUND(SUMIFS($AE$2:$AE$4001,$L$2:$L$4001,$L2765,$F$2:$F$4001,"4")-SUMIFS('AR SALES'!$Y$2:$Y$2501,'AR SALES'!$L$2:$L$2501,$L2765,'AR SALES'!$AD$2:$AD$2501,"OFF"),2)=0,"","STALE")))</f>
        <v/>
      </c>
      <c r="BB2765" s="2" t="str">
        <f>IF(OR(""&amp;$F2765="2",""&amp;$F2765="4",""&amp;$F2765="G",""&amp;$F2765="H"),IF($AY2765="YES","",IF($AB2765&lt;&gt;0,"",IF(COUNTIFS('AR SALES'!$L$2:$L$2501,$L2765,'AR SALES'!$AD$2:$AD$2501,IF(""&amp;$F2765="4","OFF","ON"),'AR SALES'!$AF$2:$AF$2501,"Y")&gt;0,"","NO EXEMPTION"))),"")</f>
        <v/>
      </c>
    </row>
    <row r="2766" spans="46:54" x14ac:dyDescent="0.25">
      <c r="AT2766" s="2" t="str">
        <f>IF($L2766="","",IFERROR(INDEX('AR SALES'!$H$2:$H$2501,MATCH(""&amp;$L2766,'AR SALES'!$AE$2:$AE$2501,0)),""))</f>
        <v/>
      </c>
      <c r="AU2766" s="2" t="str">
        <f t="shared" si="172"/>
        <v/>
      </c>
      <c r="AV2766" s="2" t="str">
        <f t="shared" si="173"/>
        <v/>
      </c>
      <c r="AW2766" s="2" t="str">
        <f t="shared" si="174"/>
        <v/>
      </c>
      <c r="AX2766" s="2" t="str">
        <f t="shared" si="175"/>
        <v/>
      </c>
      <c r="AY2766" s="2" t="str">
        <f>IF($AV2766="","",IF(AND($Z2766=0,COUNTIF('AR SALES'!$L$2:$L$2501,$L2766)=0),"YES",""))</f>
        <v/>
      </c>
      <c r="AZ2766" s="2" t="str">
        <f>IF($AV2766="","",IF(COUNTIF(LISTS!$C$2:$C$250,$AU2766)=0,"NEW",""))</f>
        <v/>
      </c>
      <c r="BA2766" s="2" t="str">
        <f>IF(""&amp;$F2766&lt;&gt;"4","",IF($AY2766="YES","",IF(ROUND(SUMIFS($AE$2:$AE$4001,$L$2:$L$4001,$L2766,$F$2:$F$4001,"4")-SUMIFS('AR SALES'!$Y$2:$Y$2501,'AR SALES'!$L$2:$L$2501,$L2766,'AR SALES'!$AD$2:$AD$2501,"OFF"),2)=0,"","STALE")))</f>
        <v/>
      </c>
      <c r="BB2766" s="2" t="str">
        <f>IF(OR(""&amp;$F2766="2",""&amp;$F2766="4",""&amp;$F2766="G",""&amp;$F2766="H"),IF($AY2766="YES","",IF($AB2766&lt;&gt;0,"",IF(COUNTIFS('AR SALES'!$L$2:$L$2501,$L2766,'AR SALES'!$AD$2:$AD$2501,IF(""&amp;$F2766="4","OFF","ON"),'AR SALES'!$AF$2:$AF$2501,"Y")&gt;0,"","NO EXEMPTION"))),"")</f>
        <v/>
      </c>
    </row>
    <row r="2767" spans="46:54" x14ac:dyDescent="0.25">
      <c r="AT2767" s="2" t="str">
        <f>IF($L2767="","",IFERROR(INDEX('AR SALES'!$H$2:$H$2501,MATCH(""&amp;$L2767,'AR SALES'!$AE$2:$AE$2501,0)),""))</f>
        <v/>
      </c>
      <c r="AU2767" s="2" t="str">
        <f t="shared" si="172"/>
        <v/>
      </c>
      <c r="AV2767" s="2" t="str">
        <f t="shared" si="173"/>
        <v/>
      </c>
      <c r="AW2767" s="2" t="str">
        <f t="shared" si="174"/>
        <v/>
      </c>
      <c r="AX2767" s="2" t="str">
        <f t="shared" si="175"/>
        <v/>
      </c>
      <c r="AY2767" s="2" t="str">
        <f>IF($AV2767="","",IF(AND($Z2767=0,COUNTIF('AR SALES'!$L$2:$L$2501,$L2767)=0),"YES",""))</f>
        <v/>
      </c>
      <c r="AZ2767" s="2" t="str">
        <f>IF($AV2767="","",IF(COUNTIF(LISTS!$C$2:$C$250,$AU2767)=0,"NEW",""))</f>
        <v/>
      </c>
      <c r="BA2767" s="2" t="str">
        <f>IF(""&amp;$F2767&lt;&gt;"4","",IF($AY2767="YES","",IF(ROUND(SUMIFS($AE$2:$AE$4001,$L$2:$L$4001,$L2767,$F$2:$F$4001,"4")-SUMIFS('AR SALES'!$Y$2:$Y$2501,'AR SALES'!$L$2:$L$2501,$L2767,'AR SALES'!$AD$2:$AD$2501,"OFF"),2)=0,"","STALE")))</f>
        <v/>
      </c>
      <c r="BB2767" s="2" t="str">
        <f>IF(OR(""&amp;$F2767="2",""&amp;$F2767="4",""&amp;$F2767="G",""&amp;$F2767="H"),IF($AY2767="YES","",IF($AB2767&lt;&gt;0,"",IF(COUNTIFS('AR SALES'!$L$2:$L$2501,$L2767,'AR SALES'!$AD$2:$AD$2501,IF(""&amp;$F2767="4","OFF","ON"),'AR SALES'!$AF$2:$AF$2501,"Y")&gt;0,"","NO EXEMPTION"))),"")</f>
        <v/>
      </c>
    </row>
    <row r="2768" spans="46:54" x14ac:dyDescent="0.25">
      <c r="AT2768" s="2" t="str">
        <f>IF($L2768="","",IFERROR(INDEX('AR SALES'!$H$2:$H$2501,MATCH(""&amp;$L2768,'AR SALES'!$AE$2:$AE$2501,0)),""))</f>
        <v/>
      </c>
      <c r="AU2768" s="2" t="str">
        <f t="shared" si="172"/>
        <v/>
      </c>
      <c r="AV2768" s="2" t="str">
        <f t="shared" si="173"/>
        <v/>
      </c>
      <c r="AW2768" s="2" t="str">
        <f t="shared" si="174"/>
        <v/>
      </c>
      <c r="AX2768" s="2" t="str">
        <f t="shared" si="175"/>
        <v/>
      </c>
      <c r="AY2768" s="2" t="str">
        <f>IF($AV2768="","",IF(AND($Z2768=0,COUNTIF('AR SALES'!$L$2:$L$2501,$L2768)=0),"YES",""))</f>
        <v/>
      </c>
      <c r="AZ2768" s="2" t="str">
        <f>IF($AV2768="","",IF(COUNTIF(LISTS!$C$2:$C$250,$AU2768)=0,"NEW",""))</f>
        <v/>
      </c>
      <c r="BA2768" s="2" t="str">
        <f>IF(""&amp;$F2768&lt;&gt;"4","",IF($AY2768="YES","",IF(ROUND(SUMIFS($AE$2:$AE$4001,$L$2:$L$4001,$L2768,$F$2:$F$4001,"4")-SUMIFS('AR SALES'!$Y$2:$Y$2501,'AR SALES'!$L$2:$L$2501,$L2768,'AR SALES'!$AD$2:$AD$2501,"OFF"),2)=0,"","STALE")))</f>
        <v/>
      </c>
      <c r="BB2768" s="2" t="str">
        <f>IF(OR(""&amp;$F2768="2",""&amp;$F2768="4",""&amp;$F2768="G",""&amp;$F2768="H"),IF($AY2768="YES","",IF($AB2768&lt;&gt;0,"",IF(COUNTIFS('AR SALES'!$L$2:$L$2501,$L2768,'AR SALES'!$AD$2:$AD$2501,IF(""&amp;$F2768="4","OFF","ON"),'AR SALES'!$AF$2:$AF$2501,"Y")&gt;0,"","NO EXEMPTION"))),"")</f>
        <v/>
      </c>
    </row>
    <row r="2769" spans="46:54" x14ac:dyDescent="0.25">
      <c r="AT2769" s="2" t="str">
        <f>IF($L2769="","",IFERROR(INDEX('AR SALES'!$H$2:$H$2501,MATCH(""&amp;$L2769,'AR SALES'!$AE$2:$AE$2501,0)),""))</f>
        <v/>
      </c>
      <c r="AU2769" s="2" t="str">
        <f t="shared" si="172"/>
        <v/>
      </c>
      <c r="AV2769" s="2" t="str">
        <f t="shared" si="173"/>
        <v/>
      </c>
      <c r="AW2769" s="2" t="str">
        <f t="shared" si="174"/>
        <v/>
      </c>
      <c r="AX2769" s="2" t="str">
        <f t="shared" si="175"/>
        <v/>
      </c>
      <c r="AY2769" s="2" t="str">
        <f>IF($AV2769="","",IF(AND($Z2769=0,COUNTIF('AR SALES'!$L$2:$L$2501,$L2769)=0),"YES",""))</f>
        <v/>
      </c>
      <c r="AZ2769" s="2" t="str">
        <f>IF($AV2769="","",IF(COUNTIF(LISTS!$C$2:$C$250,$AU2769)=0,"NEW",""))</f>
        <v/>
      </c>
      <c r="BA2769" s="2" t="str">
        <f>IF(""&amp;$F2769&lt;&gt;"4","",IF($AY2769="YES","",IF(ROUND(SUMIFS($AE$2:$AE$4001,$L$2:$L$4001,$L2769,$F$2:$F$4001,"4")-SUMIFS('AR SALES'!$Y$2:$Y$2501,'AR SALES'!$L$2:$L$2501,$L2769,'AR SALES'!$AD$2:$AD$2501,"OFF"),2)=0,"","STALE")))</f>
        <v/>
      </c>
      <c r="BB2769" s="2" t="str">
        <f>IF(OR(""&amp;$F2769="2",""&amp;$F2769="4",""&amp;$F2769="G",""&amp;$F2769="H"),IF($AY2769="YES","",IF($AB2769&lt;&gt;0,"",IF(COUNTIFS('AR SALES'!$L$2:$L$2501,$L2769,'AR SALES'!$AD$2:$AD$2501,IF(""&amp;$F2769="4","OFF","ON"),'AR SALES'!$AF$2:$AF$2501,"Y")&gt;0,"","NO EXEMPTION"))),"")</f>
        <v/>
      </c>
    </row>
    <row r="2770" spans="46:54" x14ac:dyDescent="0.25">
      <c r="AT2770" s="2" t="str">
        <f>IF($L2770="","",IFERROR(INDEX('AR SALES'!$H$2:$H$2501,MATCH(""&amp;$L2770,'AR SALES'!$AE$2:$AE$2501,0)),""))</f>
        <v/>
      </c>
      <c r="AU2770" s="2" t="str">
        <f t="shared" si="172"/>
        <v/>
      </c>
      <c r="AV2770" s="2" t="str">
        <f t="shared" si="173"/>
        <v/>
      </c>
      <c r="AW2770" s="2" t="str">
        <f t="shared" si="174"/>
        <v/>
      </c>
      <c r="AX2770" s="2" t="str">
        <f t="shared" si="175"/>
        <v/>
      </c>
      <c r="AY2770" s="2" t="str">
        <f>IF($AV2770="","",IF(AND($Z2770=0,COUNTIF('AR SALES'!$L$2:$L$2501,$L2770)=0),"YES",""))</f>
        <v/>
      </c>
      <c r="AZ2770" s="2" t="str">
        <f>IF($AV2770="","",IF(COUNTIF(LISTS!$C$2:$C$250,$AU2770)=0,"NEW",""))</f>
        <v/>
      </c>
      <c r="BA2770" s="2" t="str">
        <f>IF(""&amp;$F2770&lt;&gt;"4","",IF($AY2770="YES","",IF(ROUND(SUMIFS($AE$2:$AE$4001,$L$2:$L$4001,$L2770,$F$2:$F$4001,"4")-SUMIFS('AR SALES'!$Y$2:$Y$2501,'AR SALES'!$L$2:$L$2501,$L2770,'AR SALES'!$AD$2:$AD$2501,"OFF"),2)=0,"","STALE")))</f>
        <v/>
      </c>
      <c r="BB2770" s="2" t="str">
        <f>IF(OR(""&amp;$F2770="2",""&amp;$F2770="4",""&amp;$F2770="G",""&amp;$F2770="H"),IF($AY2770="YES","",IF($AB2770&lt;&gt;0,"",IF(COUNTIFS('AR SALES'!$L$2:$L$2501,$L2770,'AR SALES'!$AD$2:$AD$2501,IF(""&amp;$F2770="4","OFF","ON"),'AR SALES'!$AF$2:$AF$2501,"Y")&gt;0,"","NO EXEMPTION"))),"")</f>
        <v/>
      </c>
    </row>
    <row r="2771" spans="46:54" x14ac:dyDescent="0.25">
      <c r="AT2771" s="2" t="str">
        <f>IF($L2771="","",IFERROR(INDEX('AR SALES'!$H$2:$H$2501,MATCH(""&amp;$L2771,'AR SALES'!$AE$2:$AE$2501,0)),""))</f>
        <v/>
      </c>
      <c r="AU2771" s="2" t="str">
        <f t="shared" si="172"/>
        <v/>
      </c>
      <c r="AV2771" s="2" t="str">
        <f t="shared" si="173"/>
        <v/>
      </c>
      <c r="AW2771" s="2" t="str">
        <f t="shared" si="174"/>
        <v/>
      </c>
      <c r="AX2771" s="2" t="str">
        <f t="shared" si="175"/>
        <v/>
      </c>
      <c r="AY2771" s="2" t="str">
        <f>IF($AV2771="","",IF(AND($Z2771=0,COUNTIF('AR SALES'!$L$2:$L$2501,$L2771)=0),"YES",""))</f>
        <v/>
      </c>
      <c r="AZ2771" s="2" t="str">
        <f>IF($AV2771="","",IF(COUNTIF(LISTS!$C$2:$C$250,$AU2771)=0,"NEW",""))</f>
        <v/>
      </c>
      <c r="BA2771" s="2" t="str">
        <f>IF(""&amp;$F2771&lt;&gt;"4","",IF($AY2771="YES","",IF(ROUND(SUMIFS($AE$2:$AE$4001,$L$2:$L$4001,$L2771,$F$2:$F$4001,"4")-SUMIFS('AR SALES'!$Y$2:$Y$2501,'AR SALES'!$L$2:$L$2501,$L2771,'AR SALES'!$AD$2:$AD$2501,"OFF"),2)=0,"","STALE")))</f>
        <v/>
      </c>
      <c r="BB2771" s="2" t="str">
        <f>IF(OR(""&amp;$F2771="2",""&amp;$F2771="4",""&amp;$F2771="G",""&amp;$F2771="H"),IF($AY2771="YES","",IF($AB2771&lt;&gt;0,"",IF(COUNTIFS('AR SALES'!$L$2:$L$2501,$L2771,'AR SALES'!$AD$2:$AD$2501,IF(""&amp;$F2771="4","OFF","ON"),'AR SALES'!$AF$2:$AF$2501,"Y")&gt;0,"","NO EXEMPTION"))),"")</f>
        <v/>
      </c>
    </row>
    <row r="2772" spans="46:54" x14ac:dyDescent="0.25">
      <c r="AT2772" s="2" t="str">
        <f>IF($L2772="","",IFERROR(INDEX('AR SALES'!$H$2:$H$2501,MATCH(""&amp;$L2772,'AR SALES'!$AE$2:$AE$2501,0)),""))</f>
        <v/>
      </c>
      <c r="AU2772" s="2" t="str">
        <f t="shared" si="172"/>
        <v/>
      </c>
      <c r="AV2772" s="2" t="str">
        <f t="shared" si="173"/>
        <v/>
      </c>
      <c r="AW2772" s="2" t="str">
        <f t="shared" si="174"/>
        <v/>
      </c>
      <c r="AX2772" s="2" t="str">
        <f t="shared" si="175"/>
        <v/>
      </c>
      <c r="AY2772" s="2" t="str">
        <f>IF($AV2772="","",IF(AND($Z2772=0,COUNTIF('AR SALES'!$L$2:$L$2501,$L2772)=0),"YES",""))</f>
        <v/>
      </c>
      <c r="AZ2772" s="2" t="str">
        <f>IF($AV2772="","",IF(COUNTIF(LISTS!$C$2:$C$250,$AU2772)=0,"NEW",""))</f>
        <v/>
      </c>
      <c r="BA2772" s="2" t="str">
        <f>IF(""&amp;$F2772&lt;&gt;"4","",IF($AY2772="YES","",IF(ROUND(SUMIFS($AE$2:$AE$4001,$L$2:$L$4001,$L2772,$F$2:$F$4001,"4")-SUMIFS('AR SALES'!$Y$2:$Y$2501,'AR SALES'!$L$2:$L$2501,$L2772,'AR SALES'!$AD$2:$AD$2501,"OFF"),2)=0,"","STALE")))</f>
        <v/>
      </c>
      <c r="BB2772" s="2" t="str">
        <f>IF(OR(""&amp;$F2772="2",""&amp;$F2772="4",""&amp;$F2772="G",""&amp;$F2772="H"),IF($AY2772="YES","",IF($AB2772&lt;&gt;0,"",IF(COUNTIFS('AR SALES'!$L$2:$L$2501,$L2772,'AR SALES'!$AD$2:$AD$2501,IF(""&amp;$F2772="4","OFF","ON"),'AR SALES'!$AF$2:$AF$2501,"Y")&gt;0,"","NO EXEMPTION"))),"")</f>
        <v/>
      </c>
    </row>
    <row r="2773" spans="46:54" x14ac:dyDescent="0.25">
      <c r="AT2773" s="2" t="str">
        <f>IF($L2773="","",IFERROR(INDEX('AR SALES'!$H$2:$H$2501,MATCH(""&amp;$L2773,'AR SALES'!$AE$2:$AE$2501,0)),""))</f>
        <v/>
      </c>
      <c r="AU2773" s="2" t="str">
        <f t="shared" si="172"/>
        <v/>
      </c>
      <c r="AV2773" s="2" t="str">
        <f t="shared" si="173"/>
        <v/>
      </c>
      <c r="AW2773" s="2" t="str">
        <f t="shared" si="174"/>
        <v/>
      </c>
      <c r="AX2773" s="2" t="str">
        <f t="shared" si="175"/>
        <v/>
      </c>
      <c r="AY2773" s="2" t="str">
        <f>IF($AV2773="","",IF(AND($Z2773=0,COUNTIF('AR SALES'!$L$2:$L$2501,$L2773)=0),"YES",""))</f>
        <v/>
      </c>
      <c r="AZ2773" s="2" t="str">
        <f>IF($AV2773="","",IF(COUNTIF(LISTS!$C$2:$C$250,$AU2773)=0,"NEW",""))</f>
        <v/>
      </c>
      <c r="BA2773" s="2" t="str">
        <f>IF(""&amp;$F2773&lt;&gt;"4","",IF($AY2773="YES","",IF(ROUND(SUMIFS($AE$2:$AE$4001,$L$2:$L$4001,$L2773,$F$2:$F$4001,"4")-SUMIFS('AR SALES'!$Y$2:$Y$2501,'AR SALES'!$L$2:$L$2501,$L2773,'AR SALES'!$AD$2:$AD$2501,"OFF"),2)=0,"","STALE")))</f>
        <v/>
      </c>
      <c r="BB2773" s="2" t="str">
        <f>IF(OR(""&amp;$F2773="2",""&amp;$F2773="4",""&amp;$F2773="G",""&amp;$F2773="H"),IF($AY2773="YES","",IF($AB2773&lt;&gt;0,"",IF(COUNTIFS('AR SALES'!$L$2:$L$2501,$L2773,'AR SALES'!$AD$2:$AD$2501,IF(""&amp;$F2773="4","OFF","ON"),'AR SALES'!$AF$2:$AF$2501,"Y")&gt;0,"","NO EXEMPTION"))),"")</f>
        <v/>
      </c>
    </row>
    <row r="2774" spans="46:54" x14ac:dyDescent="0.25">
      <c r="AT2774" s="2" t="str">
        <f>IF($L2774="","",IFERROR(INDEX('AR SALES'!$H$2:$H$2501,MATCH(""&amp;$L2774,'AR SALES'!$AE$2:$AE$2501,0)),""))</f>
        <v/>
      </c>
      <c r="AU2774" s="2" t="str">
        <f t="shared" si="172"/>
        <v/>
      </c>
      <c r="AV2774" s="2" t="str">
        <f t="shared" si="173"/>
        <v/>
      </c>
      <c r="AW2774" s="2" t="str">
        <f t="shared" si="174"/>
        <v/>
      </c>
      <c r="AX2774" s="2" t="str">
        <f t="shared" si="175"/>
        <v/>
      </c>
      <c r="AY2774" s="2" t="str">
        <f>IF($AV2774="","",IF(AND($Z2774=0,COUNTIF('AR SALES'!$L$2:$L$2501,$L2774)=0),"YES",""))</f>
        <v/>
      </c>
      <c r="AZ2774" s="2" t="str">
        <f>IF($AV2774="","",IF(COUNTIF(LISTS!$C$2:$C$250,$AU2774)=0,"NEW",""))</f>
        <v/>
      </c>
      <c r="BA2774" s="2" t="str">
        <f>IF(""&amp;$F2774&lt;&gt;"4","",IF($AY2774="YES","",IF(ROUND(SUMIFS($AE$2:$AE$4001,$L$2:$L$4001,$L2774,$F$2:$F$4001,"4")-SUMIFS('AR SALES'!$Y$2:$Y$2501,'AR SALES'!$L$2:$L$2501,$L2774,'AR SALES'!$AD$2:$AD$2501,"OFF"),2)=0,"","STALE")))</f>
        <v/>
      </c>
      <c r="BB2774" s="2" t="str">
        <f>IF(OR(""&amp;$F2774="2",""&amp;$F2774="4",""&amp;$F2774="G",""&amp;$F2774="H"),IF($AY2774="YES","",IF($AB2774&lt;&gt;0,"",IF(COUNTIFS('AR SALES'!$L$2:$L$2501,$L2774,'AR SALES'!$AD$2:$AD$2501,IF(""&amp;$F2774="4","OFF","ON"),'AR SALES'!$AF$2:$AF$2501,"Y")&gt;0,"","NO EXEMPTION"))),"")</f>
        <v/>
      </c>
    </row>
    <row r="2775" spans="46:54" x14ac:dyDescent="0.25">
      <c r="AT2775" s="2" t="str">
        <f>IF($L2775="","",IFERROR(INDEX('AR SALES'!$H$2:$H$2501,MATCH(""&amp;$L2775,'AR SALES'!$AE$2:$AE$2501,0)),""))</f>
        <v/>
      </c>
      <c r="AU2775" s="2" t="str">
        <f t="shared" si="172"/>
        <v/>
      </c>
      <c r="AV2775" s="2" t="str">
        <f t="shared" si="173"/>
        <v/>
      </c>
      <c r="AW2775" s="2" t="str">
        <f t="shared" si="174"/>
        <v/>
      </c>
      <c r="AX2775" s="2" t="str">
        <f t="shared" si="175"/>
        <v/>
      </c>
      <c r="AY2775" s="2" t="str">
        <f>IF($AV2775="","",IF(AND($Z2775=0,COUNTIF('AR SALES'!$L$2:$L$2501,$L2775)=0),"YES",""))</f>
        <v/>
      </c>
      <c r="AZ2775" s="2" t="str">
        <f>IF($AV2775="","",IF(COUNTIF(LISTS!$C$2:$C$250,$AU2775)=0,"NEW",""))</f>
        <v/>
      </c>
      <c r="BA2775" s="2" t="str">
        <f>IF(""&amp;$F2775&lt;&gt;"4","",IF($AY2775="YES","",IF(ROUND(SUMIFS($AE$2:$AE$4001,$L$2:$L$4001,$L2775,$F$2:$F$4001,"4")-SUMIFS('AR SALES'!$Y$2:$Y$2501,'AR SALES'!$L$2:$L$2501,$L2775,'AR SALES'!$AD$2:$AD$2501,"OFF"),2)=0,"","STALE")))</f>
        <v/>
      </c>
      <c r="BB2775" s="2" t="str">
        <f>IF(OR(""&amp;$F2775="2",""&amp;$F2775="4",""&amp;$F2775="G",""&amp;$F2775="H"),IF($AY2775="YES","",IF($AB2775&lt;&gt;0,"",IF(COUNTIFS('AR SALES'!$L$2:$L$2501,$L2775,'AR SALES'!$AD$2:$AD$2501,IF(""&amp;$F2775="4","OFF","ON"),'AR SALES'!$AF$2:$AF$2501,"Y")&gt;0,"","NO EXEMPTION"))),"")</f>
        <v/>
      </c>
    </row>
    <row r="2776" spans="46:54" x14ac:dyDescent="0.25">
      <c r="AT2776" s="2" t="str">
        <f>IF($L2776="","",IFERROR(INDEX('AR SALES'!$H$2:$H$2501,MATCH(""&amp;$L2776,'AR SALES'!$AE$2:$AE$2501,0)),""))</f>
        <v/>
      </c>
      <c r="AU2776" s="2" t="str">
        <f t="shared" si="172"/>
        <v/>
      </c>
      <c r="AV2776" s="2" t="str">
        <f t="shared" si="173"/>
        <v/>
      </c>
      <c r="AW2776" s="2" t="str">
        <f t="shared" si="174"/>
        <v/>
      </c>
      <c r="AX2776" s="2" t="str">
        <f t="shared" si="175"/>
        <v/>
      </c>
      <c r="AY2776" s="2" t="str">
        <f>IF($AV2776="","",IF(AND($Z2776=0,COUNTIF('AR SALES'!$L$2:$L$2501,$L2776)=0),"YES",""))</f>
        <v/>
      </c>
      <c r="AZ2776" s="2" t="str">
        <f>IF($AV2776="","",IF(COUNTIF(LISTS!$C$2:$C$250,$AU2776)=0,"NEW",""))</f>
        <v/>
      </c>
      <c r="BA2776" s="2" t="str">
        <f>IF(""&amp;$F2776&lt;&gt;"4","",IF($AY2776="YES","",IF(ROUND(SUMIFS($AE$2:$AE$4001,$L$2:$L$4001,$L2776,$F$2:$F$4001,"4")-SUMIFS('AR SALES'!$Y$2:$Y$2501,'AR SALES'!$L$2:$L$2501,$L2776,'AR SALES'!$AD$2:$AD$2501,"OFF"),2)=0,"","STALE")))</f>
        <v/>
      </c>
      <c r="BB2776" s="2" t="str">
        <f>IF(OR(""&amp;$F2776="2",""&amp;$F2776="4",""&amp;$F2776="G",""&amp;$F2776="H"),IF($AY2776="YES","",IF($AB2776&lt;&gt;0,"",IF(COUNTIFS('AR SALES'!$L$2:$L$2501,$L2776,'AR SALES'!$AD$2:$AD$2501,IF(""&amp;$F2776="4","OFF","ON"),'AR SALES'!$AF$2:$AF$2501,"Y")&gt;0,"","NO EXEMPTION"))),"")</f>
        <v/>
      </c>
    </row>
    <row r="2777" spans="46:54" x14ac:dyDescent="0.25">
      <c r="AT2777" s="2" t="str">
        <f>IF($L2777="","",IFERROR(INDEX('AR SALES'!$H$2:$H$2501,MATCH(""&amp;$L2777,'AR SALES'!$AE$2:$AE$2501,0)),""))</f>
        <v/>
      </c>
      <c r="AU2777" s="2" t="str">
        <f t="shared" si="172"/>
        <v/>
      </c>
      <c r="AV2777" s="2" t="str">
        <f t="shared" si="173"/>
        <v/>
      </c>
      <c r="AW2777" s="2" t="str">
        <f t="shared" si="174"/>
        <v/>
      </c>
      <c r="AX2777" s="2" t="str">
        <f t="shared" si="175"/>
        <v/>
      </c>
      <c r="AY2777" s="2" t="str">
        <f>IF($AV2777="","",IF(AND($Z2777=0,COUNTIF('AR SALES'!$L$2:$L$2501,$L2777)=0),"YES",""))</f>
        <v/>
      </c>
      <c r="AZ2777" s="2" t="str">
        <f>IF($AV2777="","",IF(COUNTIF(LISTS!$C$2:$C$250,$AU2777)=0,"NEW",""))</f>
        <v/>
      </c>
      <c r="BA2777" s="2" t="str">
        <f>IF(""&amp;$F2777&lt;&gt;"4","",IF($AY2777="YES","",IF(ROUND(SUMIFS($AE$2:$AE$4001,$L$2:$L$4001,$L2777,$F$2:$F$4001,"4")-SUMIFS('AR SALES'!$Y$2:$Y$2501,'AR SALES'!$L$2:$L$2501,$L2777,'AR SALES'!$AD$2:$AD$2501,"OFF"),2)=0,"","STALE")))</f>
        <v/>
      </c>
      <c r="BB2777" s="2" t="str">
        <f>IF(OR(""&amp;$F2777="2",""&amp;$F2777="4",""&amp;$F2777="G",""&amp;$F2777="H"),IF($AY2777="YES","",IF($AB2777&lt;&gt;0,"",IF(COUNTIFS('AR SALES'!$L$2:$L$2501,$L2777,'AR SALES'!$AD$2:$AD$2501,IF(""&amp;$F2777="4","OFF","ON"),'AR SALES'!$AF$2:$AF$2501,"Y")&gt;0,"","NO EXEMPTION"))),"")</f>
        <v/>
      </c>
    </row>
    <row r="2778" spans="46:54" x14ac:dyDescent="0.25">
      <c r="AT2778" s="2" t="str">
        <f>IF($L2778="","",IFERROR(INDEX('AR SALES'!$H$2:$H$2501,MATCH(""&amp;$L2778,'AR SALES'!$AE$2:$AE$2501,0)),""))</f>
        <v/>
      </c>
      <c r="AU2778" s="2" t="str">
        <f t="shared" si="172"/>
        <v/>
      </c>
      <c r="AV2778" s="2" t="str">
        <f t="shared" si="173"/>
        <v/>
      </c>
      <c r="AW2778" s="2" t="str">
        <f t="shared" si="174"/>
        <v/>
      </c>
      <c r="AX2778" s="2" t="str">
        <f t="shared" si="175"/>
        <v/>
      </c>
      <c r="AY2778" s="2" t="str">
        <f>IF($AV2778="","",IF(AND($Z2778=0,COUNTIF('AR SALES'!$L$2:$L$2501,$L2778)=0),"YES",""))</f>
        <v/>
      </c>
      <c r="AZ2778" s="2" t="str">
        <f>IF($AV2778="","",IF(COUNTIF(LISTS!$C$2:$C$250,$AU2778)=0,"NEW",""))</f>
        <v/>
      </c>
      <c r="BA2778" s="2" t="str">
        <f>IF(""&amp;$F2778&lt;&gt;"4","",IF($AY2778="YES","",IF(ROUND(SUMIFS($AE$2:$AE$4001,$L$2:$L$4001,$L2778,$F$2:$F$4001,"4")-SUMIFS('AR SALES'!$Y$2:$Y$2501,'AR SALES'!$L$2:$L$2501,$L2778,'AR SALES'!$AD$2:$AD$2501,"OFF"),2)=0,"","STALE")))</f>
        <v/>
      </c>
      <c r="BB2778" s="2" t="str">
        <f>IF(OR(""&amp;$F2778="2",""&amp;$F2778="4",""&amp;$F2778="G",""&amp;$F2778="H"),IF($AY2778="YES","",IF($AB2778&lt;&gt;0,"",IF(COUNTIFS('AR SALES'!$L$2:$L$2501,$L2778,'AR SALES'!$AD$2:$AD$2501,IF(""&amp;$F2778="4","OFF","ON"),'AR SALES'!$AF$2:$AF$2501,"Y")&gt;0,"","NO EXEMPTION"))),"")</f>
        <v/>
      </c>
    </row>
    <row r="2779" spans="46:54" x14ac:dyDescent="0.25">
      <c r="AT2779" s="2" t="str">
        <f>IF($L2779="","",IFERROR(INDEX('AR SALES'!$H$2:$H$2501,MATCH(""&amp;$L2779,'AR SALES'!$AE$2:$AE$2501,0)),""))</f>
        <v/>
      </c>
      <c r="AU2779" s="2" t="str">
        <f t="shared" si="172"/>
        <v/>
      </c>
      <c r="AV2779" s="2" t="str">
        <f t="shared" si="173"/>
        <v/>
      </c>
      <c r="AW2779" s="2" t="str">
        <f t="shared" si="174"/>
        <v/>
      </c>
      <c r="AX2779" s="2" t="str">
        <f t="shared" si="175"/>
        <v/>
      </c>
      <c r="AY2779" s="2" t="str">
        <f>IF($AV2779="","",IF(AND($Z2779=0,COUNTIF('AR SALES'!$L$2:$L$2501,$L2779)=0),"YES",""))</f>
        <v/>
      </c>
      <c r="AZ2779" s="2" t="str">
        <f>IF($AV2779="","",IF(COUNTIF(LISTS!$C$2:$C$250,$AU2779)=0,"NEW",""))</f>
        <v/>
      </c>
      <c r="BA2779" s="2" t="str">
        <f>IF(""&amp;$F2779&lt;&gt;"4","",IF($AY2779="YES","",IF(ROUND(SUMIFS($AE$2:$AE$4001,$L$2:$L$4001,$L2779,$F$2:$F$4001,"4")-SUMIFS('AR SALES'!$Y$2:$Y$2501,'AR SALES'!$L$2:$L$2501,$L2779,'AR SALES'!$AD$2:$AD$2501,"OFF"),2)=0,"","STALE")))</f>
        <v/>
      </c>
      <c r="BB2779" s="2" t="str">
        <f>IF(OR(""&amp;$F2779="2",""&amp;$F2779="4",""&amp;$F2779="G",""&amp;$F2779="H"),IF($AY2779="YES","",IF($AB2779&lt;&gt;0,"",IF(COUNTIFS('AR SALES'!$L$2:$L$2501,$L2779,'AR SALES'!$AD$2:$AD$2501,IF(""&amp;$F2779="4","OFF","ON"),'AR SALES'!$AF$2:$AF$2501,"Y")&gt;0,"","NO EXEMPTION"))),"")</f>
        <v/>
      </c>
    </row>
    <row r="2780" spans="46:54" x14ac:dyDescent="0.25">
      <c r="AT2780" s="2" t="str">
        <f>IF($L2780="","",IFERROR(INDEX('AR SALES'!$H$2:$H$2501,MATCH(""&amp;$L2780,'AR SALES'!$AE$2:$AE$2501,0)),""))</f>
        <v/>
      </c>
      <c r="AU2780" s="2" t="str">
        <f t="shared" si="172"/>
        <v/>
      </c>
      <c r="AV2780" s="2" t="str">
        <f t="shared" si="173"/>
        <v/>
      </c>
      <c r="AW2780" s="2" t="str">
        <f t="shared" si="174"/>
        <v/>
      </c>
      <c r="AX2780" s="2" t="str">
        <f t="shared" si="175"/>
        <v/>
      </c>
      <c r="AY2780" s="2" t="str">
        <f>IF($AV2780="","",IF(AND($Z2780=0,COUNTIF('AR SALES'!$L$2:$L$2501,$L2780)=0),"YES",""))</f>
        <v/>
      </c>
      <c r="AZ2780" s="2" t="str">
        <f>IF($AV2780="","",IF(COUNTIF(LISTS!$C$2:$C$250,$AU2780)=0,"NEW",""))</f>
        <v/>
      </c>
      <c r="BA2780" s="2" t="str">
        <f>IF(""&amp;$F2780&lt;&gt;"4","",IF($AY2780="YES","",IF(ROUND(SUMIFS($AE$2:$AE$4001,$L$2:$L$4001,$L2780,$F$2:$F$4001,"4")-SUMIFS('AR SALES'!$Y$2:$Y$2501,'AR SALES'!$L$2:$L$2501,$L2780,'AR SALES'!$AD$2:$AD$2501,"OFF"),2)=0,"","STALE")))</f>
        <v/>
      </c>
      <c r="BB2780" s="2" t="str">
        <f>IF(OR(""&amp;$F2780="2",""&amp;$F2780="4",""&amp;$F2780="G",""&amp;$F2780="H"),IF($AY2780="YES","",IF($AB2780&lt;&gt;0,"",IF(COUNTIFS('AR SALES'!$L$2:$L$2501,$L2780,'AR SALES'!$AD$2:$AD$2501,IF(""&amp;$F2780="4","OFF","ON"),'AR SALES'!$AF$2:$AF$2501,"Y")&gt;0,"","NO EXEMPTION"))),"")</f>
        <v/>
      </c>
    </row>
    <row r="2781" spans="46:54" x14ac:dyDescent="0.25">
      <c r="AT2781" s="2" t="str">
        <f>IF($L2781="","",IFERROR(INDEX('AR SALES'!$H$2:$H$2501,MATCH(""&amp;$L2781,'AR SALES'!$AE$2:$AE$2501,0)),""))</f>
        <v/>
      </c>
      <c r="AU2781" s="2" t="str">
        <f t="shared" si="172"/>
        <v/>
      </c>
      <c r="AV2781" s="2" t="str">
        <f t="shared" si="173"/>
        <v/>
      </c>
      <c r="AW2781" s="2" t="str">
        <f t="shared" si="174"/>
        <v/>
      </c>
      <c r="AX2781" s="2" t="str">
        <f t="shared" si="175"/>
        <v/>
      </c>
      <c r="AY2781" s="2" t="str">
        <f>IF($AV2781="","",IF(AND($Z2781=0,COUNTIF('AR SALES'!$L$2:$L$2501,$L2781)=0),"YES",""))</f>
        <v/>
      </c>
      <c r="AZ2781" s="2" t="str">
        <f>IF($AV2781="","",IF(COUNTIF(LISTS!$C$2:$C$250,$AU2781)=0,"NEW",""))</f>
        <v/>
      </c>
      <c r="BA2781" s="2" t="str">
        <f>IF(""&amp;$F2781&lt;&gt;"4","",IF($AY2781="YES","",IF(ROUND(SUMIFS($AE$2:$AE$4001,$L$2:$L$4001,$L2781,$F$2:$F$4001,"4")-SUMIFS('AR SALES'!$Y$2:$Y$2501,'AR SALES'!$L$2:$L$2501,$L2781,'AR SALES'!$AD$2:$AD$2501,"OFF"),2)=0,"","STALE")))</f>
        <v/>
      </c>
      <c r="BB2781" s="2" t="str">
        <f>IF(OR(""&amp;$F2781="2",""&amp;$F2781="4",""&amp;$F2781="G",""&amp;$F2781="H"),IF($AY2781="YES","",IF($AB2781&lt;&gt;0,"",IF(COUNTIFS('AR SALES'!$L$2:$L$2501,$L2781,'AR SALES'!$AD$2:$AD$2501,IF(""&amp;$F2781="4","OFF","ON"),'AR SALES'!$AF$2:$AF$2501,"Y")&gt;0,"","NO EXEMPTION"))),"")</f>
        <v/>
      </c>
    </row>
    <row r="2782" spans="46:54" x14ac:dyDescent="0.25">
      <c r="AT2782" s="2" t="str">
        <f>IF($L2782="","",IFERROR(INDEX('AR SALES'!$H$2:$H$2501,MATCH(""&amp;$L2782,'AR SALES'!$AE$2:$AE$2501,0)),""))</f>
        <v/>
      </c>
      <c r="AU2782" s="2" t="str">
        <f t="shared" si="172"/>
        <v/>
      </c>
      <c r="AV2782" s="2" t="str">
        <f t="shared" si="173"/>
        <v/>
      </c>
      <c r="AW2782" s="2" t="str">
        <f t="shared" si="174"/>
        <v/>
      </c>
      <c r="AX2782" s="2" t="str">
        <f t="shared" si="175"/>
        <v/>
      </c>
      <c r="AY2782" s="2" t="str">
        <f>IF($AV2782="","",IF(AND($Z2782=0,COUNTIF('AR SALES'!$L$2:$L$2501,$L2782)=0),"YES",""))</f>
        <v/>
      </c>
      <c r="AZ2782" s="2" t="str">
        <f>IF($AV2782="","",IF(COUNTIF(LISTS!$C$2:$C$250,$AU2782)=0,"NEW",""))</f>
        <v/>
      </c>
      <c r="BA2782" s="2" t="str">
        <f>IF(""&amp;$F2782&lt;&gt;"4","",IF($AY2782="YES","",IF(ROUND(SUMIFS($AE$2:$AE$4001,$L$2:$L$4001,$L2782,$F$2:$F$4001,"4")-SUMIFS('AR SALES'!$Y$2:$Y$2501,'AR SALES'!$L$2:$L$2501,$L2782,'AR SALES'!$AD$2:$AD$2501,"OFF"),2)=0,"","STALE")))</f>
        <v/>
      </c>
      <c r="BB2782" s="2" t="str">
        <f>IF(OR(""&amp;$F2782="2",""&amp;$F2782="4",""&amp;$F2782="G",""&amp;$F2782="H"),IF($AY2782="YES","",IF($AB2782&lt;&gt;0,"",IF(COUNTIFS('AR SALES'!$L$2:$L$2501,$L2782,'AR SALES'!$AD$2:$AD$2501,IF(""&amp;$F2782="4","OFF","ON"),'AR SALES'!$AF$2:$AF$2501,"Y")&gt;0,"","NO EXEMPTION"))),"")</f>
        <v/>
      </c>
    </row>
    <row r="2783" spans="46:54" x14ac:dyDescent="0.25">
      <c r="AT2783" s="2" t="str">
        <f>IF($L2783="","",IFERROR(INDEX('AR SALES'!$H$2:$H$2501,MATCH(""&amp;$L2783,'AR SALES'!$AE$2:$AE$2501,0)),""))</f>
        <v/>
      </c>
      <c r="AU2783" s="2" t="str">
        <f t="shared" si="172"/>
        <v/>
      </c>
      <c r="AV2783" s="2" t="str">
        <f t="shared" si="173"/>
        <v/>
      </c>
      <c r="AW2783" s="2" t="str">
        <f t="shared" si="174"/>
        <v/>
      </c>
      <c r="AX2783" s="2" t="str">
        <f t="shared" si="175"/>
        <v/>
      </c>
      <c r="AY2783" s="2" t="str">
        <f>IF($AV2783="","",IF(AND($Z2783=0,COUNTIF('AR SALES'!$L$2:$L$2501,$L2783)=0),"YES",""))</f>
        <v/>
      </c>
      <c r="AZ2783" s="2" t="str">
        <f>IF($AV2783="","",IF(COUNTIF(LISTS!$C$2:$C$250,$AU2783)=0,"NEW",""))</f>
        <v/>
      </c>
      <c r="BA2783" s="2" t="str">
        <f>IF(""&amp;$F2783&lt;&gt;"4","",IF($AY2783="YES","",IF(ROUND(SUMIFS($AE$2:$AE$4001,$L$2:$L$4001,$L2783,$F$2:$F$4001,"4")-SUMIFS('AR SALES'!$Y$2:$Y$2501,'AR SALES'!$L$2:$L$2501,$L2783,'AR SALES'!$AD$2:$AD$2501,"OFF"),2)=0,"","STALE")))</f>
        <v/>
      </c>
      <c r="BB2783" s="2" t="str">
        <f>IF(OR(""&amp;$F2783="2",""&amp;$F2783="4",""&amp;$F2783="G",""&amp;$F2783="H"),IF($AY2783="YES","",IF($AB2783&lt;&gt;0,"",IF(COUNTIFS('AR SALES'!$L$2:$L$2501,$L2783,'AR SALES'!$AD$2:$AD$2501,IF(""&amp;$F2783="4","OFF","ON"),'AR SALES'!$AF$2:$AF$2501,"Y")&gt;0,"","NO EXEMPTION"))),"")</f>
        <v/>
      </c>
    </row>
    <row r="2784" spans="46:54" x14ac:dyDescent="0.25">
      <c r="AT2784" s="2" t="str">
        <f>IF($L2784="","",IFERROR(INDEX('AR SALES'!$H$2:$H$2501,MATCH(""&amp;$L2784,'AR SALES'!$AE$2:$AE$2501,0)),""))</f>
        <v/>
      </c>
      <c r="AU2784" s="2" t="str">
        <f t="shared" si="172"/>
        <v/>
      </c>
      <c r="AV2784" s="2" t="str">
        <f t="shared" si="173"/>
        <v/>
      </c>
      <c r="AW2784" s="2" t="str">
        <f t="shared" si="174"/>
        <v/>
      </c>
      <c r="AX2784" s="2" t="str">
        <f t="shared" si="175"/>
        <v/>
      </c>
      <c r="AY2784" s="2" t="str">
        <f>IF($AV2784="","",IF(AND($Z2784=0,COUNTIF('AR SALES'!$L$2:$L$2501,$L2784)=0),"YES",""))</f>
        <v/>
      </c>
      <c r="AZ2784" s="2" t="str">
        <f>IF($AV2784="","",IF(COUNTIF(LISTS!$C$2:$C$250,$AU2784)=0,"NEW",""))</f>
        <v/>
      </c>
      <c r="BA2784" s="2" t="str">
        <f>IF(""&amp;$F2784&lt;&gt;"4","",IF($AY2784="YES","",IF(ROUND(SUMIFS($AE$2:$AE$4001,$L$2:$L$4001,$L2784,$F$2:$F$4001,"4")-SUMIFS('AR SALES'!$Y$2:$Y$2501,'AR SALES'!$L$2:$L$2501,$L2784,'AR SALES'!$AD$2:$AD$2501,"OFF"),2)=0,"","STALE")))</f>
        <v/>
      </c>
      <c r="BB2784" s="2" t="str">
        <f>IF(OR(""&amp;$F2784="2",""&amp;$F2784="4",""&amp;$F2784="G",""&amp;$F2784="H"),IF($AY2784="YES","",IF($AB2784&lt;&gt;0,"",IF(COUNTIFS('AR SALES'!$L$2:$L$2501,$L2784,'AR SALES'!$AD$2:$AD$2501,IF(""&amp;$F2784="4","OFF","ON"),'AR SALES'!$AF$2:$AF$2501,"Y")&gt;0,"","NO EXEMPTION"))),"")</f>
        <v/>
      </c>
    </row>
    <row r="2785" spans="46:54" x14ac:dyDescent="0.25">
      <c r="AT2785" s="2" t="str">
        <f>IF($L2785="","",IFERROR(INDEX('AR SALES'!$H$2:$H$2501,MATCH(""&amp;$L2785,'AR SALES'!$AE$2:$AE$2501,0)),""))</f>
        <v/>
      </c>
      <c r="AU2785" s="2" t="str">
        <f t="shared" si="172"/>
        <v/>
      </c>
      <c r="AV2785" s="2" t="str">
        <f t="shared" si="173"/>
        <v/>
      </c>
      <c r="AW2785" s="2" t="str">
        <f t="shared" si="174"/>
        <v/>
      </c>
      <c r="AX2785" s="2" t="str">
        <f t="shared" si="175"/>
        <v/>
      </c>
      <c r="AY2785" s="2" t="str">
        <f>IF($AV2785="","",IF(AND($Z2785=0,COUNTIF('AR SALES'!$L$2:$L$2501,$L2785)=0),"YES",""))</f>
        <v/>
      </c>
      <c r="AZ2785" s="2" t="str">
        <f>IF($AV2785="","",IF(COUNTIF(LISTS!$C$2:$C$250,$AU2785)=0,"NEW",""))</f>
        <v/>
      </c>
      <c r="BA2785" s="2" t="str">
        <f>IF(""&amp;$F2785&lt;&gt;"4","",IF($AY2785="YES","",IF(ROUND(SUMIFS($AE$2:$AE$4001,$L$2:$L$4001,$L2785,$F$2:$F$4001,"4")-SUMIFS('AR SALES'!$Y$2:$Y$2501,'AR SALES'!$L$2:$L$2501,$L2785,'AR SALES'!$AD$2:$AD$2501,"OFF"),2)=0,"","STALE")))</f>
        <v/>
      </c>
      <c r="BB2785" s="2" t="str">
        <f>IF(OR(""&amp;$F2785="2",""&amp;$F2785="4",""&amp;$F2785="G",""&amp;$F2785="H"),IF($AY2785="YES","",IF($AB2785&lt;&gt;0,"",IF(COUNTIFS('AR SALES'!$L$2:$L$2501,$L2785,'AR SALES'!$AD$2:$AD$2501,IF(""&amp;$F2785="4","OFF","ON"),'AR SALES'!$AF$2:$AF$2501,"Y")&gt;0,"","NO EXEMPTION"))),"")</f>
        <v/>
      </c>
    </row>
    <row r="2786" spans="46:54" x14ac:dyDescent="0.25">
      <c r="AT2786" s="2" t="str">
        <f>IF($L2786="","",IFERROR(INDEX('AR SALES'!$H$2:$H$2501,MATCH(""&amp;$L2786,'AR SALES'!$AE$2:$AE$2501,0)),""))</f>
        <v/>
      </c>
      <c r="AU2786" s="2" t="str">
        <f t="shared" si="172"/>
        <v/>
      </c>
      <c r="AV2786" s="2" t="str">
        <f t="shared" si="173"/>
        <v/>
      </c>
      <c r="AW2786" s="2" t="str">
        <f t="shared" si="174"/>
        <v/>
      </c>
      <c r="AX2786" s="2" t="str">
        <f t="shared" si="175"/>
        <v/>
      </c>
      <c r="AY2786" s="2" t="str">
        <f>IF($AV2786="","",IF(AND($Z2786=0,COUNTIF('AR SALES'!$L$2:$L$2501,$L2786)=0),"YES",""))</f>
        <v/>
      </c>
      <c r="AZ2786" s="2" t="str">
        <f>IF($AV2786="","",IF(COUNTIF(LISTS!$C$2:$C$250,$AU2786)=0,"NEW",""))</f>
        <v/>
      </c>
      <c r="BA2786" s="2" t="str">
        <f>IF(""&amp;$F2786&lt;&gt;"4","",IF($AY2786="YES","",IF(ROUND(SUMIFS($AE$2:$AE$4001,$L$2:$L$4001,$L2786,$F$2:$F$4001,"4")-SUMIFS('AR SALES'!$Y$2:$Y$2501,'AR SALES'!$L$2:$L$2501,$L2786,'AR SALES'!$AD$2:$AD$2501,"OFF"),2)=0,"","STALE")))</f>
        <v/>
      </c>
      <c r="BB2786" s="2" t="str">
        <f>IF(OR(""&amp;$F2786="2",""&amp;$F2786="4",""&amp;$F2786="G",""&amp;$F2786="H"),IF($AY2786="YES","",IF($AB2786&lt;&gt;0,"",IF(COUNTIFS('AR SALES'!$L$2:$L$2501,$L2786,'AR SALES'!$AD$2:$AD$2501,IF(""&amp;$F2786="4","OFF","ON"),'AR SALES'!$AF$2:$AF$2501,"Y")&gt;0,"","NO EXEMPTION"))),"")</f>
        <v/>
      </c>
    </row>
    <row r="2787" spans="46:54" x14ac:dyDescent="0.25">
      <c r="AT2787" s="2" t="str">
        <f>IF($L2787="","",IFERROR(INDEX('AR SALES'!$H$2:$H$2501,MATCH(""&amp;$L2787,'AR SALES'!$AE$2:$AE$2501,0)),""))</f>
        <v/>
      </c>
      <c r="AU2787" s="2" t="str">
        <f t="shared" si="172"/>
        <v/>
      </c>
      <c r="AV2787" s="2" t="str">
        <f t="shared" si="173"/>
        <v/>
      </c>
      <c r="AW2787" s="2" t="str">
        <f t="shared" si="174"/>
        <v/>
      </c>
      <c r="AX2787" s="2" t="str">
        <f t="shared" si="175"/>
        <v/>
      </c>
      <c r="AY2787" s="2" t="str">
        <f>IF($AV2787="","",IF(AND($Z2787=0,COUNTIF('AR SALES'!$L$2:$L$2501,$L2787)=0),"YES",""))</f>
        <v/>
      </c>
      <c r="AZ2787" s="2" t="str">
        <f>IF($AV2787="","",IF(COUNTIF(LISTS!$C$2:$C$250,$AU2787)=0,"NEW",""))</f>
        <v/>
      </c>
      <c r="BA2787" s="2" t="str">
        <f>IF(""&amp;$F2787&lt;&gt;"4","",IF($AY2787="YES","",IF(ROUND(SUMIFS($AE$2:$AE$4001,$L$2:$L$4001,$L2787,$F$2:$F$4001,"4")-SUMIFS('AR SALES'!$Y$2:$Y$2501,'AR SALES'!$L$2:$L$2501,$L2787,'AR SALES'!$AD$2:$AD$2501,"OFF"),2)=0,"","STALE")))</f>
        <v/>
      </c>
      <c r="BB2787" s="2" t="str">
        <f>IF(OR(""&amp;$F2787="2",""&amp;$F2787="4",""&amp;$F2787="G",""&amp;$F2787="H"),IF($AY2787="YES","",IF($AB2787&lt;&gt;0,"",IF(COUNTIFS('AR SALES'!$L$2:$L$2501,$L2787,'AR SALES'!$AD$2:$AD$2501,IF(""&amp;$F2787="4","OFF","ON"),'AR SALES'!$AF$2:$AF$2501,"Y")&gt;0,"","NO EXEMPTION"))),"")</f>
        <v/>
      </c>
    </row>
    <row r="2788" spans="46:54" x14ac:dyDescent="0.25">
      <c r="AT2788" s="2" t="str">
        <f>IF($L2788="","",IFERROR(INDEX('AR SALES'!$H$2:$H$2501,MATCH(""&amp;$L2788,'AR SALES'!$AE$2:$AE$2501,0)),""))</f>
        <v/>
      </c>
      <c r="AU2788" s="2" t="str">
        <f t="shared" si="172"/>
        <v/>
      </c>
      <c r="AV2788" s="2" t="str">
        <f t="shared" si="173"/>
        <v/>
      </c>
      <c r="AW2788" s="2" t="str">
        <f t="shared" si="174"/>
        <v/>
      </c>
      <c r="AX2788" s="2" t="str">
        <f t="shared" si="175"/>
        <v/>
      </c>
      <c r="AY2788" s="2" t="str">
        <f>IF($AV2788="","",IF(AND($Z2788=0,COUNTIF('AR SALES'!$L$2:$L$2501,$L2788)=0),"YES",""))</f>
        <v/>
      </c>
      <c r="AZ2788" s="2" t="str">
        <f>IF($AV2788="","",IF(COUNTIF(LISTS!$C$2:$C$250,$AU2788)=0,"NEW",""))</f>
        <v/>
      </c>
      <c r="BA2788" s="2" t="str">
        <f>IF(""&amp;$F2788&lt;&gt;"4","",IF($AY2788="YES","",IF(ROUND(SUMIFS($AE$2:$AE$4001,$L$2:$L$4001,$L2788,$F$2:$F$4001,"4")-SUMIFS('AR SALES'!$Y$2:$Y$2501,'AR SALES'!$L$2:$L$2501,$L2788,'AR SALES'!$AD$2:$AD$2501,"OFF"),2)=0,"","STALE")))</f>
        <v/>
      </c>
      <c r="BB2788" s="2" t="str">
        <f>IF(OR(""&amp;$F2788="2",""&amp;$F2788="4",""&amp;$F2788="G",""&amp;$F2788="H"),IF($AY2788="YES","",IF($AB2788&lt;&gt;0,"",IF(COUNTIFS('AR SALES'!$L$2:$L$2501,$L2788,'AR SALES'!$AD$2:$AD$2501,IF(""&amp;$F2788="4","OFF","ON"),'AR SALES'!$AF$2:$AF$2501,"Y")&gt;0,"","NO EXEMPTION"))),"")</f>
        <v/>
      </c>
    </row>
    <row r="2789" spans="46:54" x14ac:dyDescent="0.25">
      <c r="AT2789" s="2" t="str">
        <f>IF($L2789="","",IFERROR(INDEX('AR SALES'!$H$2:$H$2501,MATCH(""&amp;$L2789,'AR SALES'!$AE$2:$AE$2501,0)),""))</f>
        <v/>
      </c>
      <c r="AU2789" s="2" t="str">
        <f t="shared" si="172"/>
        <v/>
      </c>
      <c r="AV2789" s="2" t="str">
        <f t="shared" si="173"/>
        <v/>
      </c>
      <c r="AW2789" s="2" t="str">
        <f t="shared" si="174"/>
        <v/>
      </c>
      <c r="AX2789" s="2" t="str">
        <f t="shared" si="175"/>
        <v/>
      </c>
      <c r="AY2789" s="2" t="str">
        <f>IF($AV2789="","",IF(AND($Z2789=0,COUNTIF('AR SALES'!$L$2:$L$2501,$L2789)=0),"YES",""))</f>
        <v/>
      </c>
      <c r="AZ2789" s="2" t="str">
        <f>IF($AV2789="","",IF(COUNTIF(LISTS!$C$2:$C$250,$AU2789)=0,"NEW",""))</f>
        <v/>
      </c>
      <c r="BA2789" s="2" t="str">
        <f>IF(""&amp;$F2789&lt;&gt;"4","",IF($AY2789="YES","",IF(ROUND(SUMIFS($AE$2:$AE$4001,$L$2:$L$4001,$L2789,$F$2:$F$4001,"4")-SUMIFS('AR SALES'!$Y$2:$Y$2501,'AR SALES'!$L$2:$L$2501,$L2789,'AR SALES'!$AD$2:$AD$2501,"OFF"),2)=0,"","STALE")))</f>
        <v/>
      </c>
      <c r="BB2789" s="2" t="str">
        <f>IF(OR(""&amp;$F2789="2",""&amp;$F2789="4",""&amp;$F2789="G",""&amp;$F2789="H"),IF($AY2789="YES","",IF($AB2789&lt;&gt;0,"",IF(COUNTIFS('AR SALES'!$L$2:$L$2501,$L2789,'AR SALES'!$AD$2:$AD$2501,IF(""&amp;$F2789="4","OFF","ON"),'AR SALES'!$AF$2:$AF$2501,"Y")&gt;0,"","NO EXEMPTION"))),"")</f>
        <v/>
      </c>
    </row>
    <row r="2790" spans="46:54" x14ac:dyDescent="0.25">
      <c r="AT2790" s="2" t="str">
        <f>IF($L2790="","",IFERROR(INDEX('AR SALES'!$H$2:$H$2501,MATCH(""&amp;$L2790,'AR SALES'!$AE$2:$AE$2501,0)),""))</f>
        <v/>
      </c>
      <c r="AU2790" s="2" t="str">
        <f t="shared" si="172"/>
        <v/>
      </c>
      <c r="AV2790" s="2" t="str">
        <f t="shared" si="173"/>
        <v/>
      </c>
      <c r="AW2790" s="2" t="str">
        <f t="shared" si="174"/>
        <v/>
      </c>
      <c r="AX2790" s="2" t="str">
        <f t="shared" si="175"/>
        <v/>
      </c>
      <c r="AY2790" s="2" t="str">
        <f>IF($AV2790="","",IF(AND($Z2790=0,COUNTIF('AR SALES'!$L$2:$L$2501,$L2790)=0),"YES",""))</f>
        <v/>
      </c>
      <c r="AZ2790" s="2" t="str">
        <f>IF($AV2790="","",IF(COUNTIF(LISTS!$C$2:$C$250,$AU2790)=0,"NEW",""))</f>
        <v/>
      </c>
      <c r="BA2790" s="2" t="str">
        <f>IF(""&amp;$F2790&lt;&gt;"4","",IF($AY2790="YES","",IF(ROUND(SUMIFS($AE$2:$AE$4001,$L$2:$L$4001,$L2790,$F$2:$F$4001,"4")-SUMIFS('AR SALES'!$Y$2:$Y$2501,'AR SALES'!$L$2:$L$2501,$L2790,'AR SALES'!$AD$2:$AD$2501,"OFF"),2)=0,"","STALE")))</f>
        <v/>
      </c>
      <c r="BB2790" s="2" t="str">
        <f>IF(OR(""&amp;$F2790="2",""&amp;$F2790="4",""&amp;$F2790="G",""&amp;$F2790="H"),IF($AY2790="YES","",IF($AB2790&lt;&gt;0,"",IF(COUNTIFS('AR SALES'!$L$2:$L$2501,$L2790,'AR SALES'!$AD$2:$AD$2501,IF(""&amp;$F2790="4","OFF","ON"),'AR SALES'!$AF$2:$AF$2501,"Y")&gt;0,"","NO EXEMPTION"))),"")</f>
        <v/>
      </c>
    </row>
    <row r="2791" spans="46:54" x14ac:dyDescent="0.25">
      <c r="AT2791" s="2" t="str">
        <f>IF($L2791="","",IFERROR(INDEX('AR SALES'!$H$2:$H$2501,MATCH(""&amp;$L2791,'AR SALES'!$AE$2:$AE$2501,0)),""))</f>
        <v/>
      </c>
      <c r="AU2791" s="2" t="str">
        <f t="shared" si="172"/>
        <v/>
      </c>
      <c r="AV2791" s="2" t="str">
        <f t="shared" si="173"/>
        <v/>
      </c>
      <c r="AW2791" s="2" t="str">
        <f t="shared" si="174"/>
        <v/>
      </c>
      <c r="AX2791" s="2" t="str">
        <f t="shared" si="175"/>
        <v/>
      </c>
      <c r="AY2791" s="2" t="str">
        <f>IF($AV2791="","",IF(AND($Z2791=0,COUNTIF('AR SALES'!$L$2:$L$2501,$L2791)=0),"YES",""))</f>
        <v/>
      </c>
      <c r="AZ2791" s="2" t="str">
        <f>IF($AV2791="","",IF(COUNTIF(LISTS!$C$2:$C$250,$AU2791)=0,"NEW",""))</f>
        <v/>
      </c>
      <c r="BA2791" s="2" t="str">
        <f>IF(""&amp;$F2791&lt;&gt;"4","",IF($AY2791="YES","",IF(ROUND(SUMIFS($AE$2:$AE$4001,$L$2:$L$4001,$L2791,$F$2:$F$4001,"4")-SUMIFS('AR SALES'!$Y$2:$Y$2501,'AR SALES'!$L$2:$L$2501,$L2791,'AR SALES'!$AD$2:$AD$2501,"OFF"),2)=0,"","STALE")))</f>
        <v/>
      </c>
      <c r="BB2791" s="2" t="str">
        <f>IF(OR(""&amp;$F2791="2",""&amp;$F2791="4",""&amp;$F2791="G",""&amp;$F2791="H"),IF($AY2791="YES","",IF($AB2791&lt;&gt;0,"",IF(COUNTIFS('AR SALES'!$L$2:$L$2501,$L2791,'AR SALES'!$AD$2:$AD$2501,IF(""&amp;$F2791="4","OFF","ON"),'AR SALES'!$AF$2:$AF$2501,"Y")&gt;0,"","NO EXEMPTION"))),"")</f>
        <v/>
      </c>
    </row>
    <row r="2792" spans="46:54" x14ac:dyDescent="0.25">
      <c r="AT2792" s="2" t="str">
        <f>IF($L2792="","",IFERROR(INDEX('AR SALES'!$H$2:$H$2501,MATCH(""&amp;$L2792,'AR SALES'!$AE$2:$AE$2501,0)),""))</f>
        <v/>
      </c>
      <c r="AU2792" s="2" t="str">
        <f t="shared" si="172"/>
        <v/>
      </c>
      <c r="AV2792" s="2" t="str">
        <f t="shared" si="173"/>
        <v/>
      </c>
      <c r="AW2792" s="2" t="str">
        <f t="shared" si="174"/>
        <v/>
      </c>
      <c r="AX2792" s="2" t="str">
        <f t="shared" si="175"/>
        <v/>
      </c>
      <c r="AY2792" s="2" t="str">
        <f>IF($AV2792="","",IF(AND($Z2792=0,COUNTIF('AR SALES'!$L$2:$L$2501,$L2792)=0),"YES",""))</f>
        <v/>
      </c>
      <c r="AZ2792" s="2" t="str">
        <f>IF($AV2792="","",IF(COUNTIF(LISTS!$C$2:$C$250,$AU2792)=0,"NEW",""))</f>
        <v/>
      </c>
      <c r="BA2792" s="2" t="str">
        <f>IF(""&amp;$F2792&lt;&gt;"4","",IF($AY2792="YES","",IF(ROUND(SUMIFS($AE$2:$AE$4001,$L$2:$L$4001,$L2792,$F$2:$F$4001,"4")-SUMIFS('AR SALES'!$Y$2:$Y$2501,'AR SALES'!$L$2:$L$2501,$L2792,'AR SALES'!$AD$2:$AD$2501,"OFF"),2)=0,"","STALE")))</f>
        <v/>
      </c>
      <c r="BB2792" s="2" t="str">
        <f>IF(OR(""&amp;$F2792="2",""&amp;$F2792="4",""&amp;$F2792="G",""&amp;$F2792="H"),IF($AY2792="YES","",IF($AB2792&lt;&gt;0,"",IF(COUNTIFS('AR SALES'!$L$2:$L$2501,$L2792,'AR SALES'!$AD$2:$AD$2501,IF(""&amp;$F2792="4","OFF","ON"),'AR SALES'!$AF$2:$AF$2501,"Y")&gt;0,"","NO EXEMPTION"))),"")</f>
        <v/>
      </c>
    </row>
    <row r="2793" spans="46:54" x14ac:dyDescent="0.25">
      <c r="AT2793" s="2" t="str">
        <f>IF($L2793="","",IFERROR(INDEX('AR SALES'!$H$2:$H$2501,MATCH(""&amp;$L2793,'AR SALES'!$AE$2:$AE$2501,0)),""))</f>
        <v/>
      </c>
      <c r="AU2793" s="2" t="str">
        <f t="shared" si="172"/>
        <v/>
      </c>
      <c r="AV2793" s="2" t="str">
        <f t="shared" si="173"/>
        <v/>
      </c>
      <c r="AW2793" s="2" t="str">
        <f t="shared" si="174"/>
        <v/>
      </c>
      <c r="AX2793" s="2" t="str">
        <f t="shared" si="175"/>
        <v/>
      </c>
      <c r="AY2793" s="2" t="str">
        <f>IF($AV2793="","",IF(AND($Z2793=0,COUNTIF('AR SALES'!$L$2:$L$2501,$L2793)=0),"YES",""))</f>
        <v/>
      </c>
      <c r="AZ2793" s="2" t="str">
        <f>IF($AV2793="","",IF(COUNTIF(LISTS!$C$2:$C$250,$AU2793)=0,"NEW",""))</f>
        <v/>
      </c>
      <c r="BA2793" s="2" t="str">
        <f>IF(""&amp;$F2793&lt;&gt;"4","",IF($AY2793="YES","",IF(ROUND(SUMIFS($AE$2:$AE$4001,$L$2:$L$4001,$L2793,$F$2:$F$4001,"4")-SUMIFS('AR SALES'!$Y$2:$Y$2501,'AR SALES'!$L$2:$L$2501,$L2793,'AR SALES'!$AD$2:$AD$2501,"OFF"),2)=0,"","STALE")))</f>
        <v/>
      </c>
      <c r="BB2793" s="2" t="str">
        <f>IF(OR(""&amp;$F2793="2",""&amp;$F2793="4",""&amp;$F2793="G",""&amp;$F2793="H"),IF($AY2793="YES","",IF($AB2793&lt;&gt;0,"",IF(COUNTIFS('AR SALES'!$L$2:$L$2501,$L2793,'AR SALES'!$AD$2:$AD$2501,IF(""&amp;$F2793="4","OFF","ON"),'AR SALES'!$AF$2:$AF$2501,"Y")&gt;0,"","NO EXEMPTION"))),"")</f>
        <v/>
      </c>
    </row>
    <row r="2794" spans="46:54" x14ac:dyDescent="0.25">
      <c r="AT2794" s="2" t="str">
        <f>IF($L2794="","",IFERROR(INDEX('AR SALES'!$H$2:$H$2501,MATCH(""&amp;$L2794,'AR SALES'!$AE$2:$AE$2501,0)),""))</f>
        <v/>
      </c>
      <c r="AU2794" s="2" t="str">
        <f t="shared" si="172"/>
        <v/>
      </c>
      <c r="AV2794" s="2" t="str">
        <f t="shared" si="173"/>
        <v/>
      </c>
      <c r="AW2794" s="2" t="str">
        <f t="shared" si="174"/>
        <v/>
      </c>
      <c r="AX2794" s="2" t="str">
        <f t="shared" si="175"/>
        <v/>
      </c>
      <c r="AY2794" s="2" t="str">
        <f>IF($AV2794="","",IF(AND($Z2794=0,COUNTIF('AR SALES'!$L$2:$L$2501,$L2794)=0),"YES",""))</f>
        <v/>
      </c>
      <c r="AZ2794" s="2" t="str">
        <f>IF($AV2794="","",IF(COUNTIF(LISTS!$C$2:$C$250,$AU2794)=0,"NEW",""))</f>
        <v/>
      </c>
      <c r="BA2794" s="2" t="str">
        <f>IF(""&amp;$F2794&lt;&gt;"4","",IF($AY2794="YES","",IF(ROUND(SUMIFS($AE$2:$AE$4001,$L$2:$L$4001,$L2794,$F$2:$F$4001,"4")-SUMIFS('AR SALES'!$Y$2:$Y$2501,'AR SALES'!$L$2:$L$2501,$L2794,'AR SALES'!$AD$2:$AD$2501,"OFF"),2)=0,"","STALE")))</f>
        <v/>
      </c>
      <c r="BB2794" s="2" t="str">
        <f>IF(OR(""&amp;$F2794="2",""&amp;$F2794="4",""&amp;$F2794="G",""&amp;$F2794="H"),IF($AY2794="YES","",IF($AB2794&lt;&gt;0,"",IF(COUNTIFS('AR SALES'!$L$2:$L$2501,$L2794,'AR SALES'!$AD$2:$AD$2501,IF(""&amp;$F2794="4","OFF","ON"),'AR SALES'!$AF$2:$AF$2501,"Y")&gt;0,"","NO EXEMPTION"))),"")</f>
        <v/>
      </c>
    </row>
    <row r="2795" spans="46:54" x14ac:dyDescent="0.25">
      <c r="AT2795" s="2" t="str">
        <f>IF($L2795="","",IFERROR(INDEX('AR SALES'!$H$2:$H$2501,MATCH(""&amp;$L2795,'AR SALES'!$AE$2:$AE$2501,0)),""))</f>
        <v/>
      </c>
      <c r="AU2795" s="2" t="str">
        <f t="shared" si="172"/>
        <v/>
      </c>
      <c r="AV2795" s="2" t="str">
        <f t="shared" si="173"/>
        <v/>
      </c>
      <c r="AW2795" s="2" t="str">
        <f t="shared" si="174"/>
        <v/>
      </c>
      <c r="AX2795" s="2" t="str">
        <f t="shared" si="175"/>
        <v/>
      </c>
      <c r="AY2795" s="2" t="str">
        <f>IF($AV2795="","",IF(AND($Z2795=0,COUNTIF('AR SALES'!$L$2:$L$2501,$L2795)=0),"YES",""))</f>
        <v/>
      </c>
      <c r="AZ2795" s="2" t="str">
        <f>IF($AV2795="","",IF(COUNTIF(LISTS!$C$2:$C$250,$AU2795)=0,"NEW",""))</f>
        <v/>
      </c>
      <c r="BA2795" s="2" t="str">
        <f>IF(""&amp;$F2795&lt;&gt;"4","",IF($AY2795="YES","",IF(ROUND(SUMIFS($AE$2:$AE$4001,$L$2:$L$4001,$L2795,$F$2:$F$4001,"4")-SUMIFS('AR SALES'!$Y$2:$Y$2501,'AR SALES'!$L$2:$L$2501,$L2795,'AR SALES'!$AD$2:$AD$2501,"OFF"),2)=0,"","STALE")))</f>
        <v/>
      </c>
      <c r="BB2795" s="2" t="str">
        <f>IF(OR(""&amp;$F2795="2",""&amp;$F2795="4",""&amp;$F2795="G",""&amp;$F2795="H"),IF($AY2795="YES","",IF($AB2795&lt;&gt;0,"",IF(COUNTIFS('AR SALES'!$L$2:$L$2501,$L2795,'AR SALES'!$AD$2:$AD$2501,IF(""&amp;$F2795="4","OFF","ON"),'AR SALES'!$AF$2:$AF$2501,"Y")&gt;0,"","NO EXEMPTION"))),"")</f>
        <v/>
      </c>
    </row>
    <row r="2796" spans="46:54" x14ac:dyDescent="0.25">
      <c r="AT2796" s="2" t="str">
        <f>IF($L2796="","",IFERROR(INDEX('AR SALES'!$H$2:$H$2501,MATCH(""&amp;$L2796,'AR SALES'!$AE$2:$AE$2501,0)),""))</f>
        <v/>
      </c>
      <c r="AU2796" s="2" t="str">
        <f t="shared" si="172"/>
        <v/>
      </c>
      <c r="AV2796" s="2" t="str">
        <f t="shared" si="173"/>
        <v/>
      </c>
      <c r="AW2796" s="2" t="str">
        <f t="shared" si="174"/>
        <v/>
      </c>
      <c r="AX2796" s="2" t="str">
        <f t="shared" si="175"/>
        <v/>
      </c>
      <c r="AY2796" s="2" t="str">
        <f>IF($AV2796="","",IF(AND($Z2796=0,COUNTIF('AR SALES'!$L$2:$L$2501,$L2796)=0),"YES",""))</f>
        <v/>
      </c>
      <c r="AZ2796" s="2" t="str">
        <f>IF($AV2796="","",IF(COUNTIF(LISTS!$C$2:$C$250,$AU2796)=0,"NEW",""))</f>
        <v/>
      </c>
      <c r="BA2796" s="2" t="str">
        <f>IF(""&amp;$F2796&lt;&gt;"4","",IF($AY2796="YES","",IF(ROUND(SUMIFS($AE$2:$AE$4001,$L$2:$L$4001,$L2796,$F$2:$F$4001,"4")-SUMIFS('AR SALES'!$Y$2:$Y$2501,'AR SALES'!$L$2:$L$2501,$L2796,'AR SALES'!$AD$2:$AD$2501,"OFF"),2)=0,"","STALE")))</f>
        <v/>
      </c>
      <c r="BB2796" s="2" t="str">
        <f>IF(OR(""&amp;$F2796="2",""&amp;$F2796="4",""&amp;$F2796="G",""&amp;$F2796="H"),IF($AY2796="YES","",IF($AB2796&lt;&gt;0,"",IF(COUNTIFS('AR SALES'!$L$2:$L$2501,$L2796,'AR SALES'!$AD$2:$AD$2501,IF(""&amp;$F2796="4","OFF","ON"),'AR SALES'!$AF$2:$AF$2501,"Y")&gt;0,"","NO EXEMPTION"))),"")</f>
        <v/>
      </c>
    </row>
    <row r="2797" spans="46:54" x14ac:dyDescent="0.25">
      <c r="AT2797" s="2" t="str">
        <f>IF($L2797="","",IFERROR(INDEX('AR SALES'!$H$2:$H$2501,MATCH(""&amp;$L2797,'AR SALES'!$AE$2:$AE$2501,0)),""))</f>
        <v/>
      </c>
      <c r="AU2797" s="2" t="str">
        <f t="shared" si="172"/>
        <v/>
      </c>
      <c r="AV2797" s="2" t="str">
        <f t="shared" si="173"/>
        <v/>
      </c>
      <c r="AW2797" s="2" t="str">
        <f t="shared" si="174"/>
        <v/>
      </c>
      <c r="AX2797" s="2" t="str">
        <f t="shared" si="175"/>
        <v/>
      </c>
      <c r="AY2797" s="2" t="str">
        <f>IF($AV2797="","",IF(AND($Z2797=0,COUNTIF('AR SALES'!$L$2:$L$2501,$L2797)=0),"YES",""))</f>
        <v/>
      </c>
      <c r="AZ2797" s="2" t="str">
        <f>IF($AV2797="","",IF(COUNTIF(LISTS!$C$2:$C$250,$AU2797)=0,"NEW",""))</f>
        <v/>
      </c>
      <c r="BA2797" s="2" t="str">
        <f>IF(""&amp;$F2797&lt;&gt;"4","",IF($AY2797="YES","",IF(ROUND(SUMIFS($AE$2:$AE$4001,$L$2:$L$4001,$L2797,$F$2:$F$4001,"4")-SUMIFS('AR SALES'!$Y$2:$Y$2501,'AR SALES'!$L$2:$L$2501,$L2797,'AR SALES'!$AD$2:$AD$2501,"OFF"),2)=0,"","STALE")))</f>
        <v/>
      </c>
      <c r="BB2797" s="2" t="str">
        <f>IF(OR(""&amp;$F2797="2",""&amp;$F2797="4",""&amp;$F2797="G",""&amp;$F2797="H"),IF($AY2797="YES","",IF($AB2797&lt;&gt;0,"",IF(COUNTIFS('AR SALES'!$L$2:$L$2501,$L2797,'AR SALES'!$AD$2:$AD$2501,IF(""&amp;$F2797="4","OFF","ON"),'AR SALES'!$AF$2:$AF$2501,"Y")&gt;0,"","NO EXEMPTION"))),"")</f>
        <v/>
      </c>
    </row>
    <row r="2798" spans="46:54" x14ac:dyDescent="0.25">
      <c r="AT2798" s="2" t="str">
        <f>IF($L2798="","",IFERROR(INDEX('AR SALES'!$H$2:$H$2501,MATCH(""&amp;$L2798,'AR SALES'!$AE$2:$AE$2501,0)),""))</f>
        <v/>
      </c>
      <c r="AU2798" s="2" t="str">
        <f t="shared" si="172"/>
        <v/>
      </c>
      <c r="AV2798" s="2" t="str">
        <f t="shared" si="173"/>
        <v/>
      </c>
      <c r="AW2798" s="2" t="str">
        <f t="shared" si="174"/>
        <v/>
      </c>
      <c r="AX2798" s="2" t="str">
        <f t="shared" si="175"/>
        <v/>
      </c>
      <c r="AY2798" s="2" t="str">
        <f>IF($AV2798="","",IF(AND($Z2798=0,COUNTIF('AR SALES'!$L$2:$L$2501,$L2798)=0),"YES",""))</f>
        <v/>
      </c>
      <c r="AZ2798" s="2" t="str">
        <f>IF($AV2798="","",IF(COUNTIF(LISTS!$C$2:$C$250,$AU2798)=0,"NEW",""))</f>
        <v/>
      </c>
      <c r="BA2798" s="2" t="str">
        <f>IF(""&amp;$F2798&lt;&gt;"4","",IF($AY2798="YES","",IF(ROUND(SUMIFS($AE$2:$AE$4001,$L$2:$L$4001,$L2798,$F$2:$F$4001,"4")-SUMIFS('AR SALES'!$Y$2:$Y$2501,'AR SALES'!$L$2:$L$2501,$L2798,'AR SALES'!$AD$2:$AD$2501,"OFF"),2)=0,"","STALE")))</f>
        <v/>
      </c>
      <c r="BB2798" s="2" t="str">
        <f>IF(OR(""&amp;$F2798="2",""&amp;$F2798="4",""&amp;$F2798="G",""&amp;$F2798="H"),IF($AY2798="YES","",IF($AB2798&lt;&gt;0,"",IF(COUNTIFS('AR SALES'!$L$2:$L$2501,$L2798,'AR SALES'!$AD$2:$AD$2501,IF(""&amp;$F2798="4","OFF","ON"),'AR SALES'!$AF$2:$AF$2501,"Y")&gt;0,"","NO EXEMPTION"))),"")</f>
        <v/>
      </c>
    </row>
    <row r="2799" spans="46:54" x14ac:dyDescent="0.25">
      <c r="AT2799" s="2" t="str">
        <f>IF($L2799="","",IFERROR(INDEX('AR SALES'!$H$2:$H$2501,MATCH(""&amp;$L2799,'AR SALES'!$AE$2:$AE$2501,0)),""))</f>
        <v/>
      </c>
      <c r="AU2799" s="2" t="str">
        <f t="shared" si="172"/>
        <v/>
      </c>
      <c r="AV2799" s="2" t="str">
        <f t="shared" si="173"/>
        <v/>
      </c>
      <c r="AW2799" s="2" t="str">
        <f t="shared" si="174"/>
        <v/>
      </c>
      <c r="AX2799" s="2" t="str">
        <f t="shared" si="175"/>
        <v/>
      </c>
      <c r="AY2799" s="2" t="str">
        <f>IF($AV2799="","",IF(AND($Z2799=0,COUNTIF('AR SALES'!$L$2:$L$2501,$L2799)=0),"YES",""))</f>
        <v/>
      </c>
      <c r="AZ2799" s="2" t="str">
        <f>IF($AV2799="","",IF(COUNTIF(LISTS!$C$2:$C$250,$AU2799)=0,"NEW",""))</f>
        <v/>
      </c>
      <c r="BA2799" s="2" t="str">
        <f>IF(""&amp;$F2799&lt;&gt;"4","",IF($AY2799="YES","",IF(ROUND(SUMIFS($AE$2:$AE$4001,$L$2:$L$4001,$L2799,$F$2:$F$4001,"4")-SUMIFS('AR SALES'!$Y$2:$Y$2501,'AR SALES'!$L$2:$L$2501,$L2799,'AR SALES'!$AD$2:$AD$2501,"OFF"),2)=0,"","STALE")))</f>
        <v/>
      </c>
      <c r="BB2799" s="2" t="str">
        <f>IF(OR(""&amp;$F2799="2",""&amp;$F2799="4",""&amp;$F2799="G",""&amp;$F2799="H"),IF($AY2799="YES","",IF($AB2799&lt;&gt;0,"",IF(COUNTIFS('AR SALES'!$L$2:$L$2501,$L2799,'AR SALES'!$AD$2:$AD$2501,IF(""&amp;$F2799="4","OFF","ON"),'AR SALES'!$AF$2:$AF$2501,"Y")&gt;0,"","NO EXEMPTION"))),"")</f>
        <v/>
      </c>
    </row>
    <row r="2800" spans="46:54" x14ac:dyDescent="0.25">
      <c r="AT2800" s="2" t="str">
        <f>IF($L2800="","",IFERROR(INDEX('AR SALES'!$H$2:$H$2501,MATCH(""&amp;$L2800,'AR SALES'!$AE$2:$AE$2501,0)),""))</f>
        <v/>
      </c>
      <c r="AU2800" s="2" t="str">
        <f t="shared" si="172"/>
        <v/>
      </c>
      <c r="AV2800" s="2" t="str">
        <f t="shared" si="173"/>
        <v/>
      </c>
      <c r="AW2800" s="2" t="str">
        <f t="shared" si="174"/>
        <v/>
      </c>
      <c r="AX2800" s="2" t="str">
        <f t="shared" si="175"/>
        <v/>
      </c>
      <c r="AY2800" s="2" t="str">
        <f>IF($AV2800="","",IF(AND($Z2800=0,COUNTIF('AR SALES'!$L$2:$L$2501,$L2800)=0),"YES",""))</f>
        <v/>
      </c>
      <c r="AZ2800" s="2" t="str">
        <f>IF($AV2800="","",IF(COUNTIF(LISTS!$C$2:$C$250,$AU2800)=0,"NEW",""))</f>
        <v/>
      </c>
      <c r="BA2800" s="2" t="str">
        <f>IF(""&amp;$F2800&lt;&gt;"4","",IF($AY2800="YES","",IF(ROUND(SUMIFS($AE$2:$AE$4001,$L$2:$L$4001,$L2800,$F$2:$F$4001,"4")-SUMIFS('AR SALES'!$Y$2:$Y$2501,'AR SALES'!$L$2:$L$2501,$L2800,'AR SALES'!$AD$2:$AD$2501,"OFF"),2)=0,"","STALE")))</f>
        <v/>
      </c>
      <c r="BB2800" s="2" t="str">
        <f>IF(OR(""&amp;$F2800="2",""&amp;$F2800="4",""&amp;$F2800="G",""&amp;$F2800="H"),IF($AY2800="YES","",IF($AB2800&lt;&gt;0,"",IF(COUNTIFS('AR SALES'!$L$2:$L$2501,$L2800,'AR SALES'!$AD$2:$AD$2501,IF(""&amp;$F2800="4","OFF","ON"),'AR SALES'!$AF$2:$AF$2501,"Y")&gt;0,"","NO EXEMPTION"))),"")</f>
        <v/>
      </c>
    </row>
    <row r="2801" spans="46:54" x14ac:dyDescent="0.25">
      <c r="AT2801" s="2" t="str">
        <f>IF($L2801="","",IFERROR(INDEX('AR SALES'!$H$2:$H$2501,MATCH(""&amp;$L2801,'AR SALES'!$AE$2:$AE$2501,0)),""))</f>
        <v/>
      </c>
      <c r="AU2801" s="2" t="str">
        <f t="shared" si="172"/>
        <v/>
      </c>
      <c r="AV2801" s="2" t="str">
        <f t="shared" si="173"/>
        <v/>
      </c>
      <c r="AW2801" s="2" t="str">
        <f t="shared" si="174"/>
        <v/>
      </c>
      <c r="AX2801" s="2" t="str">
        <f t="shared" si="175"/>
        <v/>
      </c>
      <c r="AY2801" s="2" t="str">
        <f>IF($AV2801="","",IF(AND($Z2801=0,COUNTIF('AR SALES'!$L$2:$L$2501,$L2801)=0),"YES",""))</f>
        <v/>
      </c>
      <c r="AZ2801" s="2" t="str">
        <f>IF($AV2801="","",IF(COUNTIF(LISTS!$C$2:$C$250,$AU2801)=0,"NEW",""))</f>
        <v/>
      </c>
      <c r="BA2801" s="2" t="str">
        <f>IF(""&amp;$F2801&lt;&gt;"4","",IF($AY2801="YES","",IF(ROUND(SUMIFS($AE$2:$AE$4001,$L$2:$L$4001,$L2801,$F$2:$F$4001,"4")-SUMIFS('AR SALES'!$Y$2:$Y$2501,'AR SALES'!$L$2:$L$2501,$L2801,'AR SALES'!$AD$2:$AD$2501,"OFF"),2)=0,"","STALE")))</f>
        <v/>
      </c>
      <c r="BB2801" s="2" t="str">
        <f>IF(OR(""&amp;$F2801="2",""&amp;$F2801="4",""&amp;$F2801="G",""&amp;$F2801="H"),IF($AY2801="YES","",IF($AB2801&lt;&gt;0,"",IF(COUNTIFS('AR SALES'!$L$2:$L$2501,$L2801,'AR SALES'!$AD$2:$AD$2501,IF(""&amp;$F2801="4","OFF","ON"),'AR SALES'!$AF$2:$AF$2501,"Y")&gt;0,"","NO EXEMPTION"))),"")</f>
        <v/>
      </c>
    </row>
    <row r="2802" spans="46:54" x14ac:dyDescent="0.25">
      <c r="AT2802" s="2" t="str">
        <f>IF($L2802="","",IFERROR(INDEX('AR SALES'!$H$2:$H$2501,MATCH(""&amp;$L2802,'AR SALES'!$AE$2:$AE$2501,0)),""))</f>
        <v/>
      </c>
      <c r="AU2802" s="2" t="str">
        <f t="shared" si="172"/>
        <v/>
      </c>
      <c r="AV2802" s="2" t="str">
        <f t="shared" si="173"/>
        <v/>
      </c>
      <c r="AW2802" s="2" t="str">
        <f t="shared" si="174"/>
        <v/>
      </c>
      <c r="AX2802" s="2" t="str">
        <f t="shared" si="175"/>
        <v/>
      </c>
      <c r="AY2802" s="2" t="str">
        <f>IF($AV2802="","",IF(AND($Z2802=0,COUNTIF('AR SALES'!$L$2:$L$2501,$L2802)=0),"YES",""))</f>
        <v/>
      </c>
      <c r="AZ2802" s="2" t="str">
        <f>IF($AV2802="","",IF(COUNTIF(LISTS!$C$2:$C$250,$AU2802)=0,"NEW",""))</f>
        <v/>
      </c>
      <c r="BA2802" s="2" t="str">
        <f>IF(""&amp;$F2802&lt;&gt;"4","",IF($AY2802="YES","",IF(ROUND(SUMIFS($AE$2:$AE$4001,$L$2:$L$4001,$L2802,$F$2:$F$4001,"4")-SUMIFS('AR SALES'!$Y$2:$Y$2501,'AR SALES'!$L$2:$L$2501,$L2802,'AR SALES'!$AD$2:$AD$2501,"OFF"),2)=0,"","STALE")))</f>
        <v/>
      </c>
      <c r="BB2802" s="2" t="str">
        <f>IF(OR(""&amp;$F2802="2",""&amp;$F2802="4",""&amp;$F2802="G",""&amp;$F2802="H"),IF($AY2802="YES","",IF($AB2802&lt;&gt;0,"",IF(COUNTIFS('AR SALES'!$L$2:$L$2501,$L2802,'AR SALES'!$AD$2:$AD$2501,IF(""&amp;$F2802="4","OFF","ON"),'AR SALES'!$AF$2:$AF$2501,"Y")&gt;0,"","NO EXEMPTION"))),"")</f>
        <v/>
      </c>
    </row>
    <row r="2803" spans="46:54" x14ac:dyDescent="0.25">
      <c r="AT2803" s="2" t="str">
        <f>IF($L2803="","",IFERROR(INDEX('AR SALES'!$H$2:$H$2501,MATCH(""&amp;$L2803,'AR SALES'!$AE$2:$AE$2501,0)),""))</f>
        <v/>
      </c>
      <c r="AU2803" s="2" t="str">
        <f t="shared" si="172"/>
        <v/>
      </c>
      <c r="AV2803" s="2" t="str">
        <f t="shared" si="173"/>
        <v/>
      </c>
      <c r="AW2803" s="2" t="str">
        <f t="shared" si="174"/>
        <v/>
      </c>
      <c r="AX2803" s="2" t="str">
        <f t="shared" si="175"/>
        <v/>
      </c>
      <c r="AY2803" s="2" t="str">
        <f>IF($AV2803="","",IF(AND($Z2803=0,COUNTIF('AR SALES'!$L$2:$L$2501,$L2803)=0),"YES",""))</f>
        <v/>
      </c>
      <c r="AZ2803" s="2" t="str">
        <f>IF($AV2803="","",IF(COUNTIF(LISTS!$C$2:$C$250,$AU2803)=0,"NEW",""))</f>
        <v/>
      </c>
      <c r="BA2803" s="2" t="str">
        <f>IF(""&amp;$F2803&lt;&gt;"4","",IF($AY2803="YES","",IF(ROUND(SUMIFS($AE$2:$AE$4001,$L$2:$L$4001,$L2803,$F$2:$F$4001,"4")-SUMIFS('AR SALES'!$Y$2:$Y$2501,'AR SALES'!$L$2:$L$2501,$L2803,'AR SALES'!$AD$2:$AD$2501,"OFF"),2)=0,"","STALE")))</f>
        <v/>
      </c>
      <c r="BB2803" s="2" t="str">
        <f>IF(OR(""&amp;$F2803="2",""&amp;$F2803="4",""&amp;$F2803="G",""&amp;$F2803="H"),IF($AY2803="YES","",IF($AB2803&lt;&gt;0,"",IF(COUNTIFS('AR SALES'!$L$2:$L$2501,$L2803,'AR SALES'!$AD$2:$AD$2501,IF(""&amp;$F2803="4","OFF","ON"),'AR SALES'!$AF$2:$AF$2501,"Y")&gt;0,"","NO EXEMPTION"))),"")</f>
        <v/>
      </c>
    </row>
    <row r="2804" spans="46:54" x14ac:dyDescent="0.25">
      <c r="AT2804" s="2" t="str">
        <f>IF($L2804="","",IFERROR(INDEX('AR SALES'!$H$2:$H$2501,MATCH(""&amp;$L2804,'AR SALES'!$AE$2:$AE$2501,0)),""))</f>
        <v/>
      </c>
      <c r="AU2804" s="2" t="str">
        <f t="shared" si="172"/>
        <v/>
      </c>
      <c r="AV2804" s="2" t="str">
        <f t="shared" si="173"/>
        <v/>
      </c>
      <c r="AW2804" s="2" t="str">
        <f t="shared" si="174"/>
        <v/>
      </c>
      <c r="AX2804" s="2" t="str">
        <f t="shared" si="175"/>
        <v/>
      </c>
      <c r="AY2804" s="2" t="str">
        <f>IF($AV2804="","",IF(AND($Z2804=0,COUNTIF('AR SALES'!$L$2:$L$2501,$L2804)=0),"YES",""))</f>
        <v/>
      </c>
      <c r="AZ2804" s="2" t="str">
        <f>IF($AV2804="","",IF(COUNTIF(LISTS!$C$2:$C$250,$AU2804)=0,"NEW",""))</f>
        <v/>
      </c>
      <c r="BA2804" s="2" t="str">
        <f>IF(""&amp;$F2804&lt;&gt;"4","",IF($AY2804="YES","",IF(ROUND(SUMIFS($AE$2:$AE$4001,$L$2:$L$4001,$L2804,$F$2:$F$4001,"4")-SUMIFS('AR SALES'!$Y$2:$Y$2501,'AR SALES'!$L$2:$L$2501,$L2804,'AR SALES'!$AD$2:$AD$2501,"OFF"),2)=0,"","STALE")))</f>
        <v/>
      </c>
      <c r="BB2804" s="2" t="str">
        <f>IF(OR(""&amp;$F2804="2",""&amp;$F2804="4",""&amp;$F2804="G",""&amp;$F2804="H"),IF($AY2804="YES","",IF($AB2804&lt;&gt;0,"",IF(COUNTIFS('AR SALES'!$L$2:$L$2501,$L2804,'AR SALES'!$AD$2:$AD$2501,IF(""&amp;$F2804="4","OFF","ON"),'AR SALES'!$AF$2:$AF$2501,"Y")&gt;0,"","NO EXEMPTION"))),"")</f>
        <v/>
      </c>
    </row>
    <row r="2805" spans="46:54" x14ac:dyDescent="0.25">
      <c r="AT2805" s="2" t="str">
        <f>IF($L2805="","",IFERROR(INDEX('AR SALES'!$H$2:$H$2501,MATCH(""&amp;$L2805,'AR SALES'!$AE$2:$AE$2501,0)),""))</f>
        <v/>
      </c>
      <c r="AU2805" s="2" t="str">
        <f t="shared" si="172"/>
        <v/>
      </c>
      <c r="AV2805" s="2" t="str">
        <f t="shared" si="173"/>
        <v/>
      </c>
      <c r="AW2805" s="2" t="str">
        <f t="shared" si="174"/>
        <v/>
      </c>
      <c r="AX2805" s="2" t="str">
        <f t="shared" si="175"/>
        <v/>
      </c>
      <c r="AY2805" s="2" t="str">
        <f>IF($AV2805="","",IF(AND($Z2805=0,COUNTIF('AR SALES'!$L$2:$L$2501,$L2805)=0),"YES",""))</f>
        <v/>
      </c>
      <c r="AZ2805" s="2" t="str">
        <f>IF($AV2805="","",IF(COUNTIF(LISTS!$C$2:$C$250,$AU2805)=0,"NEW",""))</f>
        <v/>
      </c>
      <c r="BA2805" s="2" t="str">
        <f>IF(""&amp;$F2805&lt;&gt;"4","",IF($AY2805="YES","",IF(ROUND(SUMIFS($AE$2:$AE$4001,$L$2:$L$4001,$L2805,$F$2:$F$4001,"4")-SUMIFS('AR SALES'!$Y$2:$Y$2501,'AR SALES'!$L$2:$L$2501,$L2805,'AR SALES'!$AD$2:$AD$2501,"OFF"),2)=0,"","STALE")))</f>
        <v/>
      </c>
      <c r="BB2805" s="2" t="str">
        <f>IF(OR(""&amp;$F2805="2",""&amp;$F2805="4",""&amp;$F2805="G",""&amp;$F2805="H"),IF($AY2805="YES","",IF($AB2805&lt;&gt;0,"",IF(COUNTIFS('AR SALES'!$L$2:$L$2501,$L2805,'AR SALES'!$AD$2:$AD$2501,IF(""&amp;$F2805="4","OFF","ON"),'AR SALES'!$AF$2:$AF$2501,"Y")&gt;0,"","NO EXEMPTION"))),"")</f>
        <v/>
      </c>
    </row>
    <row r="2806" spans="46:54" x14ac:dyDescent="0.25">
      <c r="AT2806" s="2" t="str">
        <f>IF($L2806="","",IFERROR(INDEX('AR SALES'!$H$2:$H$2501,MATCH(""&amp;$L2806,'AR SALES'!$AE$2:$AE$2501,0)),""))</f>
        <v/>
      </c>
      <c r="AU2806" s="2" t="str">
        <f t="shared" si="172"/>
        <v/>
      </c>
      <c r="AV2806" s="2" t="str">
        <f t="shared" si="173"/>
        <v/>
      </c>
      <c r="AW2806" s="2" t="str">
        <f t="shared" si="174"/>
        <v/>
      </c>
      <c r="AX2806" s="2" t="str">
        <f t="shared" si="175"/>
        <v/>
      </c>
      <c r="AY2806" s="2" t="str">
        <f>IF($AV2806="","",IF(AND($Z2806=0,COUNTIF('AR SALES'!$L$2:$L$2501,$L2806)=0),"YES",""))</f>
        <v/>
      </c>
      <c r="AZ2806" s="2" t="str">
        <f>IF($AV2806="","",IF(COUNTIF(LISTS!$C$2:$C$250,$AU2806)=0,"NEW",""))</f>
        <v/>
      </c>
      <c r="BA2806" s="2" t="str">
        <f>IF(""&amp;$F2806&lt;&gt;"4","",IF($AY2806="YES","",IF(ROUND(SUMIFS($AE$2:$AE$4001,$L$2:$L$4001,$L2806,$F$2:$F$4001,"4")-SUMIFS('AR SALES'!$Y$2:$Y$2501,'AR SALES'!$L$2:$L$2501,$L2806,'AR SALES'!$AD$2:$AD$2501,"OFF"),2)=0,"","STALE")))</f>
        <v/>
      </c>
      <c r="BB2806" s="2" t="str">
        <f>IF(OR(""&amp;$F2806="2",""&amp;$F2806="4",""&amp;$F2806="G",""&amp;$F2806="H"),IF($AY2806="YES","",IF($AB2806&lt;&gt;0,"",IF(COUNTIFS('AR SALES'!$L$2:$L$2501,$L2806,'AR SALES'!$AD$2:$AD$2501,IF(""&amp;$F2806="4","OFF","ON"),'AR SALES'!$AF$2:$AF$2501,"Y")&gt;0,"","NO EXEMPTION"))),"")</f>
        <v/>
      </c>
    </row>
    <row r="2807" spans="46:54" x14ac:dyDescent="0.25">
      <c r="AT2807" s="2" t="str">
        <f>IF($L2807="","",IFERROR(INDEX('AR SALES'!$H$2:$H$2501,MATCH(""&amp;$L2807,'AR SALES'!$AE$2:$AE$2501,0)),""))</f>
        <v/>
      </c>
      <c r="AU2807" s="2" t="str">
        <f t="shared" si="172"/>
        <v/>
      </c>
      <c r="AV2807" s="2" t="str">
        <f t="shared" si="173"/>
        <v/>
      </c>
      <c r="AW2807" s="2" t="str">
        <f t="shared" si="174"/>
        <v/>
      </c>
      <c r="AX2807" s="2" t="str">
        <f t="shared" si="175"/>
        <v/>
      </c>
      <c r="AY2807" s="2" t="str">
        <f>IF($AV2807="","",IF(AND($Z2807=0,COUNTIF('AR SALES'!$L$2:$L$2501,$L2807)=0),"YES",""))</f>
        <v/>
      </c>
      <c r="AZ2807" s="2" t="str">
        <f>IF($AV2807="","",IF(COUNTIF(LISTS!$C$2:$C$250,$AU2807)=0,"NEW",""))</f>
        <v/>
      </c>
      <c r="BA2807" s="2" t="str">
        <f>IF(""&amp;$F2807&lt;&gt;"4","",IF($AY2807="YES","",IF(ROUND(SUMIFS($AE$2:$AE$4001,$L$2:$L$4001,$L2807,$F$2:$F$4001,"4")-SUMIFS('AR SALES'!$Y$2:$Y$2501,'AR SALES'!$L$2:$L$2501,$L2807,'AR SALES'!$AD$2:$AD$2501,"OFF"),2)=0,"","STALE")))</f>
        <v/>
      </c>
      <c r="BB2807" s="2" t="str">
        <f>IF(OR(""&amp;$F2807="2",""&amp;$F2807="4",""&amp;$F2807="G",""&amp;$F2807="H"),IF($AY2807="YES","",IF($AB2807&lt;&gt;0,"",IF(COUNTIFS('AR SALES'!$L$2:$L$2501,$L2807,'AR SALES'!$AD$2:$AD$2501,IF(""&amp;$F2807="4","OFF","ON"),'AR SALES'!$AF$2:$AF$2501,"Y")&gt;0,"","NO EXEMPTION"))),"")</f>
        <v/>
      </c>
    </row>
    <row r="2808" spans="46:54" x14ac:dyDescent="0.25">
      <c r="AT2808" s="2" t="str">
        <f>IF($L2808="","",IFERROR(INDEX('AR SALES'!$H$2:$H$2501,MATCH(""&amp;$L2808,'AR SALES'!$AE$2:$AE$2501,0)),""))</f>
        <v/>
      </c>
      <c r="AU2808" s="2" t="str">
        <f t="shared" si="172"/>
        <v/>
      </c>
      <c r="AV2808" s="2" t="str">
        <f t="shared" si="173"/>
        <v/>
      </c>
      <c r="AW2808" s="2" t="str">
        <f t="shared" si="174"/>
        <v/>
      </c>
      <c r="AX2808" s="2" t="str">
        <f t="shared" si="175"/>
        <v/>
      </c>
      <c r="AY2808" s="2" t="str">
        <f>IF($AV2808="","",IF(AND($Z2808=0,COUNTIF('AR SALES'!$L$2:$L$2501,$L2808)=0),"YES",""))</f>
        <v/>
      </c>
      <c r="AZ2808" s="2" t="str">
        <f>IF($AV2808="","",IF(COUNTIF(LISTS!$C$2:$C$250,$AU2808)=0,"NEW",""))</f>
        <v/>
      </c>
      <c r="BA2808" s="2" t="str">
        <f>IF(""&amp;$F2808&lt;&gt;"4","",IF($AY2808="YES","",IF(ROUND(SUMIFS($AE$2:$AE$4001,$L$2:$L$4001,$L2808,$F$2:$F$4001,"4")-SUMIFS('AR SALES'!$Y$2:$Y$2501,'AR SALES'!$L$2:$L$2501,$L2808,'AR SALES'!$AD$2:$AD$2501,"OFF"),2)=0,"","STALE")))</f>
        <v/>
      </c>
      <c r="BB2808" s="2" t="str">
        <f>IF(OR(""&amp;$F2808="2",""&amp;$F2808="4",""&amp;$F2808="G",""&amp;$F2808="H"),IF($AY2808="YES","",IF($AB2808&lt;&gt;0,"",IF(COUNTIFS('AR SALES'!$L$2:$L$2501,$L2808,'AR SALES'!$AD$2:$AD$2501,IF(""&amp;$F2808="4","OFF","ON"),'AR SALES'!$AF$2:$AF$2501,"Y")&gt;0,"","NO EXEMPTION"))),"")</f>
        <v/>
      </c>
    </row>
    <row r="2809" spans="46:54" x14ac:dyDescent="0.25">
      <c r="AT2809" s="2" t="str">
        <f>IF($L2809="","",IFERROR(INDEX('AR SALES'!$H$2:$H$2501,MATCH(""&amp;$L2809,'AR SALES'!$AE$2:$AE$2501,0)),""))</f>
        <v/>
      </c>
      <c r="AU2809" s="2" t="str">
        <f t="shared" si="172"/>
        <v/>
      </c>
      <c r="AV2809" s="2" t="str">
        <f t="shared" si="173"/>
        <v/>
      </c>
      <c r="AW2809" s="2" t="str">
        <f t="shared" si="174"/>
        <v/>
      </c>
      <c r="AX2809" s="2" t="str">
        <f t="shared" si="175"/>
        <v/>
      </c>
      <c r="AY2809" s="2" t="str">
        <f>IF($AV2809="","",IF(AND($Z2809=0,COUNTIF('AR SALES'!$L$2:$L$2501,$L2809)=0),"YES",""))</f>
        <v/>
      </c>
      <c r="AZ2809" s="2" t="str">
        <f>IF($AV2809="","",IF(COUNTIF(LISTS!$C$2:$C$250,$AU2809)=0,"NEW",""))</f>
        <v/>
      </c>
      <c r="BA2809" s="2" t="str">
        <f>IF(""&amp;$F2809&lt;&gt;"4","",IF($AY2809="YES","",IF(ROUND(SUMIFS($AE$2:$AE$4001,$L$2:$L$4001,$L2809,$F$2:$F$4001,"4")-SUMIFS('AR SALES'!$Y$2:$Y$2501,'AR SALES'!$L$2:$L$2501,$L2809,'AR SALES'!$AD$2:$AD$2501,"OFF"),2)=0,"","STALE")))</f>
        <v/>
      </c>
      <c r="BB2809" s="2" t="str">
        <f>IF(OR(""&amp;$F2809="2",""&amp;$F2809="4",""&amp;$F2809="G",""&amp;$F2809="H"),IF($AY2809="YES","",IF($AB2809&lt;&gt;0,"",IF(COUNTIFS('AR SALES'!$L$2:$L$2501,$L2809,'AR SALES'!$AD$2:$AD$2501,IF(""&amp;$F2809="4","OFF","ON"),'AR SALES'!$AF$2:$AF$2501,"Y")&gt;0,"","NO EXEMPTION"))),"")</f>
        <v/>
      </c>
    </row>
    <row r="2810" spans="46:54" x14ac:dyDescent="0.25">
      <c r="AT2810" s="2" t="str">
        <f>IF($L2810="","",IFERROR(INDEX('AR SALES'!$H$2:$H$2501,MATCH(""&amp;$L2810,'AR SALES'!$AE$2:$AE$2501,0)),""))</f>
        <v/>
      </c>
      <c r="AU2810" s="2" t="str">
        <f t="shared" si="172"/>
        <v/>
      </c>
      <c r="AV2810" s="2" t="str">
        <f t="shared" si="173"/>
        <v/>
      </c>
      <c r="AW2810" s="2" t="str">
        <f t="shared" si="174"/>
        <v/>
      </c>
      <c r="AX2810" s="2" t="str">
        <f t="shared" si="175"/>
        <v/>
      </c>
      <c r="AY2810" s="2" t="str">
        <f>IF($AV2810="","",IF(AND($Z2810=0,COUNTIF('AR SALES'!$L$2:$L$2501,$L2810)=0),"YES",""))</f>
        <v/>
      </c>
      <c r="AZ2810" s="2" t="str">
        <f>IF($AV2810="","",IF(COUNTIF(LISTS!$C$2:$C$250,$AU2810)=0,"NEW",""))</f>
        <v/>
      </c>
      <c r="BA2810" s="2" t="str">
        <f>IF(""&amp;$F2810&lt;&gt;"4","",IF($AY2810="YES","",IF(ROUND(SUMIFS($AE$2:$AE$4001,$L$2:$L$4001,$L2810,$F$2:$F$4001,"4")-SUMIFS('AR SALES'!$Y$2:$Y$2501,'AR SALES'!$L$2:$L$2501,$L2810,'AR SALES'!$AD$2:$AD$2501,"OFF"),2)=0,"","STALE")))</f>
        <v/>
      </c>
      <c r="BB2810" s="2" t="str">
        <f>IF(OR(""&amp;$F2810="2",""&amp;$F2810="4",""&amp;$F2810="G",""&amp;$F2810="H"),IF($AY2810="YES","",IF($AB2810&lt;&gt;0,"",IF(COUNTIFS('AR SALES'!$L$2:$L$2501,$L2810,'AR SALES'!$AD$2:$AD$2501,IF(""&amp;$F2810="4","OFF","ON"),'AR SALES'!$AF$2:$AF$2501,"Y")&gt;0,"","NO EXEMPTION"))),"")</f>
        <v/>
      </c>
    </row>
    <row r="2811" spans="46:54" x14ac:dyDescent="0.25">
      <c r="AT2811" s="2" t="str">
        <f>IF($L2811="","",IFERROR(INDEX('AR SALES'!$H$2:$H$2501,MATCH(""&amp;$L2811,'AR SALES'!$AE$2:$AE$2501,0)),""))</f>
        <v/>
      </c>
      <c r="AU2811" s="2" t="str">
        <f t="shared" si="172"/>
        <v/>
      </c>
      <c r="AV2811" s="2" t="str">
        <f t="shared" si="173"/>
        <v/>
      </c>
      <c r="AW2811" s="2" t="str">
        <f t="shared" si="174"/>
        <v/>
      </c>
      <c r="AX2811" s="2" t="str">
        <f t="shared" si="175"/>
        <v/>
      </c>
      <c r="AY2811" s="2" t="str">
        <f>IF($AV2811="","",IF(AND($Z2811=0,COUNTIF('AR SALES'!$L$2:$L$2501,$L2811)=0),"YES",""))</f>
        <v/>
      </c>
      <c r="AZ2811" s="2" t="str">
        <f>IF($AV2811="","",IF(COUNTIF(LISTS!$C$2:$C$250,$AU2811)=0,"NEW",""))</f>
        <v/>
      </c>
      <c r="BA2811" s="2" t="str">
        <f>IF(""&amp;$F2811&lt;&gt;"4","",IF($AY2811="YES","",IF(ROUND(SUMIFS($AE$2:$AE$4001,$L$2:$L$4001,$L2811,$F$2:$F$4001,"4")-SUMIFS('AR SALES'!$Y$2:$Y$2501,'AR SALES'!$L$2:$L$2501,$L2811,'AR SALES'!$AD$2:$AD$2501,"OFF"),2)=0,"","STALE")))</f>
        <v/>
      </c>
      <c r="BB2811" s="2" t="str">
        <f>IF(OR(""&amp;$F2811="2",""&amp;$F2811="4",""&amp;$F2811="G",""&amp;$F2811="H"),IF($AY2811="YES","",IF($AB2811&lt;&gt;0,"",IF(COUNTIFS('AR SALES'!$L$2:$L$2501,$L2811,'AR SALES'!$AD$2:$AD$2501,IF(""&amp;$F2811="4","OFF","ON"),'AR SALES'!$AF$2:$AF$2501,"Y")&gt;0,"","NO EXEMPTION"))),"")</f>
        <v/>
      </c>
    </row>
    <row r="2812" spans="46:54" x14ac:dyDescent="0.25">
      <c r="AT2812" s="2" t="str">
        <f>IF($L2812="","",IFERROR(INDEX('AR SALES'!$H$2:$H$2501,MATCH(""&amp;$L2812,'AR SALES'!$AE$2:$AE$2501,0)),""))</f>
        <v/>
      </c>
      <c r="AU2812" s="2" t="str">
        <f t="shared" si="172"/>
        <v/>
      </c>
      <c r="AV2812" s="2" t="str">
        <f t="shared" si="173"/>
        <v/>
      </c>
      <c r="AW2812" s="2" t="str">
        <f t="shared" si="174"/>
        <v/>
      </c>
      <c r="AX2812" s="2" t="str">
        <f t="shared" si="175"/>
        <v/>
      </c>
      <c r="AY2812" s="2" t="str">
        <f>IF($AV2812="","",IF(AND($Z2812=0,COUNTIF('AR SALES'!$L$2:$L$2501,$L2812)=0),"YES",""))</f>
        <v/>
      </c>
      <c r="AZ2812" s="2" t="str">
        <f>IF($AV2812="","",IF(COUNTIF(LISTS!$C$2:$C$250,$AU2812)=0,"NEW",""))</f>
        <v/>
      </c>
      <c r="BA2812" s="2" t="str">
        <f>IF(""&amp;$F2812&lt;&gt;"4","",IF($AY2812="YES","",IF(ROUND(SUMIFS($AE$2:$AE$4001,$L$2:$L$4001,$L2812,$F$2:$F$4001,"4")-SUMIFS('AR SALES'!$Y$2:$Y$2501,'AR SALES'!$L$2:$L$2501,$L2812,'AR SALES'!$AD$2:$AD$2501,"OFF"),2)=0,"","STALE")))</f>
        <v/>
      </c>
      <c r="BB2812" s="2" t="str">
        <f>IF(OR(""&amp;$F2812="2",""&amp;$F2812="4",""&amp;$F2812="G",""&amp;$F2812="H"),IF($AY2812="YES","",IF($AB2812&lt;&gt;0,"",IF(COUNTIFS('AR SALES'!$L$2:$L$2501,$L2812,'AR SALES'!$AD$2:$AD$2501,IF(""&amp;$F2812="4","OFF","ON"),'AR SALES'!$AF$2:$AF$2501,"Y")&gt;0,"","NO EXEMPTION"))),"")</f>
        <v/>
      </c>
    </row>
    <row r="2813" spans="46:54" x14ac:dyDescent="0.25">
      <c r="AT2813" s="2" t="str">
        <f>IF($L2813="","",IFERROR(INDEX('AR SALES'!$H$2:$H$2501,MATCH(""&amp;$L2813,'AR SALES'!$AE$2:$AE$2501,0)),""))</f>
        <v/>
      </c>
      <c r="AU2813" s="2" t="str">
        <f t="shared" si="172"/>
        <v/>
      </c>
      <c r="AV2813" s="2" t="str">
        <f t="shared" si="173"/>
        <v/>
      </c>
      <c r="AW2813" s="2" t="str">
        <f t="shared" si="174"/>
        <v/>
      </c>
      <c r="AX2813" s="2" t="str">
        <f t="shared" si="175"/>
        <v/>
      </c>
      <c r="AY2813" s="2" t="str">
        <f>IF($AV2813="","",IF(AND($Z2813=0,COUNTIF('AR SALES'!$L$2:$L$2501,$L2813)=0),"YES",""))</f>
        <v/>
      </c>
      <c r="AZ2813" s="2" t="str">
        <f>IF($AV2813="","",IF(COUNTIF(LISTS!$C$2:$C$250,$AU2813)=0,"NEW",""))</f>
        <v/>
      </c>
      <c r="BA2813" s="2" t="str">
        <f>IF(""&amp;$F2813&lt;&gt;"4","",IF($AY2813="YES","",IF(ROUND(SUMIFS($AE$2:$AE$4001,$L$2:$L$4001,$L2813,$F$2:$F$4001,"4")-SUMIFS('AR SALES'!$Y$2:$Y$2501,'AR SALES'!$L$2:$L$2501,$L2813,'AR SALES'!$AD$2:$AD$2501,"OFF"),2)=0,"","STALE")))</f>
        <v/>
      </c>
      <c r="BB2813" s="2" t="str">
        <f>IF(OR(""&amp;$F2813="2",""&amp;$F2813="4",""&amp;$F2813="G",""&amp;$F2813="H"),IF($AY2813="YES","",IF($AB2813&lt;&gt;0,"",IF(COUNTIFS('AR SALES'!$L$2:$L$2501,$L2813,'AR SALES'!$AD$2:$AD$2501,IF(""&amp;$F2813="4","OFF","ON"),'AR SALES'!$AF$2:$AF$2501,"Y")&gt;0,"","NO EXEMPTION"))),"")</f>
        <v/>
      </c>
    </row>
    <row r="2814" spans="46:54" x14ac:dyDescent="0.25">
      <c r="AT2814" s="2" t="str">
        <f>IF($L2814="","",IFERROR(INDEX('AR SALES'!$H$2:$H$2501,MATCH(""&amp;$L2814,'AR SALES'!$AE$2:$AE$2501,0)),""))</f>
        <v/>
      </c>
      <c r="AU2814" s="2" t="str">
        <f t="shared" si="172"/>
        <v/>
      </c>
      <c r="AV2814" s="2" t="str">
        <f t="shared" si="173"/>
        <v/>
      </c>
      <c r="AW2814" s="2" t="str">
        <f t="shared" si="174"/>
        <v/>
      </c>
      <c r="AX2814" s="2" t="str">
        <f t="shared" si="175"/>
        <v/>
      </c>
      <c r="AY2814" s="2" t="str">
        <f>IF($AV2814="","",IF(AND($Z2814=0,COUNTIF('AR SALES'!$L$2:$L$2501,$L2814)=0),"YES",""))</f>
        <v/>
      </c>
      <c r="AZ2814" s="2" t="str">
        <f>IF($AV2814="","",IF(COUNTIF(LISTS!$C$2:$C$250,$AU2814)=0,"NEW",""))</f>
        <v/>
      </c>
      <c r="BA2814" s="2" t="str">
        <f>IF(""&amp;$F2814&lt;&gt;"4","",IF($AY2814="YES","",IF(ROUND(SUMIFS($AE$2:$AE$4001,$L$2:$L$4001,$L2814,$F$2:$F$4001,"4")-SUMIFS('AR SALES'!$Y$2:$Y$2501,'AR SALES'!$L$2:$L$2501,$L2814,'AR SALES'!$AD$2:$AD$2501,"OFF"),2)=0,"","STALE")))</f>
        <v/>
      </c>
      <c r="BB2814" s="2" t="str">
        <f>IF(OR(""&amp;$F2814="2",""&amp;$F2814="4",""&amp;$F2814="G",""&amp;$F2814="H"),IF($AY2814="YES","",IF($AB2814&lt;&gt;0,"",IF(COUNTIFS('AR SALES'!$L$2:$L$2501,$L2814,'AR SALES'!$AD$2:$AD$2501,IF(""&amp;$F2814="4","OFF","ON"),'AR SALES'!$AF$2:$AF$2501,"Y")&gt;0,"","NO EXEMPTION"))),"")</f>
        <v/>
      </c>
    </row>
    <row r="2815" spans="46:54" x14ac:dyDescent="0.25">
      <c r="AT2815" s="2" t="str">
        <f>IF($L2815="","",IFERROR(INDEX('AR SALES'!$H$2:$H$2501,MATCH(""&amp;$L2815,'AR SALES'!$AE$2:$AE$2501,0)),""))</f>
        <v/>
      </c>
      <c r="AU2815" s="2" t="str">
        <f t="shared" si="172"/>
        <v/>
      </c>
      <c r="AV2815" s="2" t="str">
        <f t="shared" si="173"/>
        <v/>
      </c>
      <c r="AW2815" s="2" t="str">
        <f t="shared" si="174"/>
        <v/>
      </c>
      <c r="AX2815" s="2" t="str">
        <f t="shared" si="175"/>
        <v/>
      </c>
      <c r="AY2815" s="2" t="str">
        <f>IF($AV2815="","",IF(AND($Z2815=0,COUNTIF('AR SALES'!$L$2:$L$2501,$L2815)=0),"YES",""))</f>
        <v/>
      </c>
      <c r="AZ2815" s="2" t="str">
        <f>IF($AV2815="","",IF(COUNTIF(LISTS!$C$2:$C$250,$AU2815)=0,"NEW",""))</f>
        <v/>
      </c>
      <c r="BA2815" s="2" t="str">
        <f>IF(""&amp;$F2815&lt;&gt;"4","",IF($AY2815="YES","",IF(ROUND(SUMIFS($AE$2:$AE$4001,$L$2:$L$4001,$L2815,$F$2:$F$4001,"4")-SUMIFS('AR SALES'!$Y$2:$Y$2501,'AR SALES'!$L$2:$L$2501,$L2815,'AR SALES'!$AD$2:$AD$2501,"OFF"),2)=0,"","STALE")))</f>
        <v/>
      </c>
      <c r="BB2815" s="2" t="str">
        <f>IF(OR(""&amp;$F2815="2",""&amp;$F2815="4",""&amp;$F2815="G",""&amp;$F2815="H"),IF($AY2815="YES","",IF($AB2815&lt;&gt;0,"",IF(COUNTIFS('AR SALES'!$L$2:$L$2501,$L2815,'AR SALES'!$AD$2:$AD$2501,IF(""&amp;$F2815="4","OFF","ON"),'AR SALES'!$AF$2:$AF$2501,"Y")&gt;0,"","NO EXEMPTION"))),"")</f>
        <v/>
      </c>
    </row>
    <row r="2816" spans="46:54" x14ac:dyDescent="0.25">
      <c r="AT2816" s="2" t="str">
        <f>IF($L2816="","",IFERROR(INDEX('AR SALES'!$H$2:$H$2501,MATCH(""&amp;$L2816,'AR SALES'!$AE$2:$AE$2501,0)),""))</f>
        <v/>
      </c>
      <c r="AU2816" s="2" t="str">
        <f t="shared" si="172"/>
        <v/>
      </c>
      <c r="AV2816" s="2" t="str">
        <f t="shared" si="173"/>
        <v/>
      </c>
      <c r="AW2816" s="2" t="str">
        <f t="shared" si="174"/>
        <v/>
      </c>
      <c r="AX2816" s="2" t="str">
        <f t="shared" si="175"/>
        <v/>
      </c>
      <c r="AY2816" s="2" t="str">
        <f>IF($AV2816="","",IF(AND($Z2816=0,COUNTIF('AR SALES'!$L$2:$L$2501,$L2816)=0),"YES",""))</f>
        <v/>
      </c>
      <c r="AZ2816" s="2" t="str">
        <f>IF($AV2816="","",IF(COUNTIF(LISTS!$C$2:$C$250,$AU2816)=0,"NEW",""))</f>
        <v/>
      </c>
      <c r="BA2816" s="2" t="str">
        <f>IF(""&amp;$F2816&lt;&gt;"4","",IF($AY2816="YES","",IF(ROUND(SUMIFS($AE$2:$AE$4001,$L$2:$L$4001,$L2816,$F$2:$F$4001,"4")-SUMIFS('AR SALES'!$Y$2:$Y$2501,'AR SALES'!$L$2:$L$2501,$L2816,'AR SALES'!$AD$2:$AD$2501,"OFF"),2)=0,"","STALE")))</f>
        <v/>
      </c>
      <c r="BB2816" s="2" t="str">
        <f>IF(OR(""&amp;$F2816="2",""&amp;$F2816="4",""&amp;$F2816="G",""&amp;$F2816="H"),IF($AY2816="YES","",IF($AB2816&lt;&gt;0,"",IF(COUNTIFS('AR SALES'!$L$2:$L$2501,$L2816,'AR SALES'!$AD$2:$AD$2501,IF(""&amp;$F2816="4","OFF","ON"),'AR SALES'!$AF$2:$AF$2501,"Y")&gt;0,"","NO EXEMPTION"))),"")</f>
        <v/>
      </c>
    </row>
    <row r="2817" spans="46:54" x14ac:dyDescent="0.25">
      <c r="AT2817" s="2" t="str">
        <f>IF($L2817="","",IFERROR(INDEX('AR SALES'!$H$2:$H$2501,MATCH(""&amp;$L2817,'AR SALES'!$AE$2:$AE$2501,0)),""))</f>
        <v/>
      </c>
      <c r="AU2817" s="2" t="str">
        <f t="shared" si="172"/>
        <v/>
      </c>
      <c r="AV2817" s="2" t="str">
        <f t="shared" si="173"/>
        <v/>
      </c>
      <c r="AW2817" s="2" t="str">
        <f t="shared" si="174"/>
        <v/>
      </c>
      <c r="AX2817" s="2" t="str">
        <f t="shared" si="175"/>
        <v/>
      </c>
      <c r="AY2817" s="2" t="str">
        <f>IF($AV2817="","",IF(AND($Z2817=0,COUNTIF('AR SALES'!$L$2:$L$2501,$L2817)=0),"YES",""))</f>
        <v/>
      </c>
      <c r="AZ2817" s="2" t="str">
        <f>IF($AV2817="","",IF(COUNTIF(LISTS!$C$2:$C$250,$AU2817)=0,"NEW",""))</f>
        <v/>
      </c>
      <c r="BA2817" s="2" t="str">
        <f>IF(""&amp;$F2817&lt;&gt;"4","",IF($AY2817="YES","",IF(ROUND(SUMIFS($AE$2:$AE$4001,$L$2:$L$4001,$L2817,$F$2:$F$4001,"4")-SUMIFS('AR SALES'!$Y$2:$Y$2501,'AR SALES'!$L$2:$L$2501,$L2817,'AR SALES'!$AD$2:$AD$2501,"OFF"),2)=0,"","STALE")))</f>
        <v/>
      </c>
      <c r="BB2817" s="2" t="str">
        <f>IF(OR(""&amp;$F2817="2",""&amp;$F2817="4",""&amp;$F2817="G",""&amp;$F2817="H"),IF($AY2817="YES","",IF($AB2817&lt;&gt;0,"",IF(COUNTIFS('AR SALES'!$L$2:$L$2501,$L2817,'AR SALES'!$AD$2:$AD$2501,IF(""&amp;$F2817="4","OFF","ON"),'AR SALES'!$AF$2:$AF$2501,"Y")&gt;0,"","NO EXEMPTION"))),"")</f>
        <v/>
      </c>
    </row>
    <row r="2818" spans="46:54" x14ac:dyDescent="0.25">
      <c r="AT2818" s="2" t="str">
        <f>IF($L2818="","",IFERROR(INDEX('AR SALES'!$H$2:$H$2501,MATCH(""&amp;$L2818,'AR SALES'!$AE$2:$AE$2501,0)),""))</f>
        <v/>
      </c>
      <c r="AU2818" s="2" t="str">
        <f t="shared" ref="AU2818:AU2881" si="176">IF($L2818="","",IF($A2818&lt;&gt;"GA","",IF($E2818="FULTON",IF(ISNUMBER(SEARCH("COLLEGE PARK",$AT2818)),"FULTON (COLLEGE PARK)",IF(ISNUMBER(SEARCH("ATLANTA CITY",$AT2818)),"FULTON (ATL LIMITS)","FULTON")),IF($E2818="DEKALB",IF(ISNUMBER(SEARCH("ATLANTA CITY",$AT2818)),"DEKALB (ATL LIMITS)","DEKALB"),$E2818))))</f>
        <v/>
      </c>
      <c r="AV2818" s="2" t="str">
        <f t="shared" ref="AV2818:AV2881" si="177">IF($L2818="","",IF(""&amp;$F2818="2","DIESEL",IF(OR(""&amp;$F2818="G",""&amp;$F2818="H"),"GAS","")))</f>
        <v/>
      </c>
      <c r="AW2818" s="2" t="str">
        <f t="shared" ref="AW2818:AW2881" si="178">IF($AV2818="","",$R2818)</f>
        <v/>
      </c>
      <c r="AX2818" s="2" t="str">
        <f t="shared" ref="AX2818:AX2881" si="179">IF($AV2818="","",IF($AB2818=0,$R2818,0))</f>
        <v/>
      </c>
      <c r="AY2818" s="2" t="str">
        <f>IF($AV2818="","",IF(AND($Z2818=0,COUNTIF('AR SALES'!$L$2:$L$2501,$L2818)=0),"YES",""))</f>
        <v/>
      </c>
      <c r="AZ2818" s="2" t="str">
        <f>IF($AV2818="","",IF(COUNTIF(LISTS!$C$2:$C$250,$AU2818)=0,"NEW",""))</f>
        <v/>
      </c>
      <c r="BA2818" s="2" t="str">
        <f>IF(""&amp;$F2818&lt;&gt;"4","",IF($AY2818="YES","",IF(ROUND(SUMIFS($AE$2:$AE$4001,$L$2:$L$4001,$L2818,$F$2:$F$4001,"4")-SUMIFS('AR SALES'!$Y$2:$Y$2501,'AR SALES'!$L$2:$L$2501,$L2818,'AR SALES'!$AD$2:$AD$2501,"OFF"),2)=0,"","STALE")))</f>
        <v/>
      </c>
      <c r="BB2818" s="2" t="str">
        <f>IF(OR(""&amp;$F2818="2",""&amp;$F2818="4",""&amp;$F2818="G",""&amp;$F2818="H"),IF($AY2818="YES","",IF($AB2818&lt;&gt;0,"",IF(COUNTIFS('AR SALES'!$L$2:$L$2501,$L2818,'AR SALES'!$AD$2:$AD$2501,IF(""&amp;$F2818="4","OFF","ON"),'AR SALES'!$AF$2:$AF$2501,"Y")&gt;0,"","NO EXEMPTION"))),"")</f>
        <v/>
      </c>
    </row>
    <row r="2819" spans="46:54" x14ac:dyDescent="0.25">
      <c r="AT2819" s="2" t="str">
        <f>IF($L2819="","",IFERROR(INDEX('AR SALES'!$H$2:$H$2501,MATCH(""&amp;$L2819,'AR SALES'!$AE$2:$AE$2501,0)),""))</f>
        <v/>
      </c>
      <c r="AU2819" s="2" t="str">
        <f t="shared" si="176"/>
        <v/>
      </c>
      <c r="AV2819" s="2" t="str">
        <f t="shared" si="177"/>
        <v/>
      </c>
      <c r="AW2819" s="2" t="str">
        <f t="shared" si="178"/>
        <v/>
      </c>
      <c r="AX2819" s="2" t="str">
        <f t="shared" si="179"/>
        <v/>
      </c>
      <c r="AY2819" s="2" t="str">
        <f>IF($AV2819="","",IF(AND($Z2819=0,COUNTIF('AR SALES'!$L$2:$L$2501,$L2819)=0),"YES",""))</f>
        <v/>
      </c>
      <c r="AZ2819" s="2" t="str">
        <f>IF($AV2819="","",IF(COUNTIF(LISTS!$C$2:$C$250,$AU2819)=0,"NEW",""))</f>
        <v/>
      </c>
      <c r="BA2819" s="2" t="str">
        <f>IF(""&amp;$F2819&lt;&gt;"4","",IF($AY2819="YES","",IF(ROUND(SUMIFS($AE$2:$AE$4001,$L$2:$L$4001,$L2819,$F$2:$F$4001,"4")-SUMIFS('AR SALES'!$Y$2:$Y$2501,'AR SALES'!$L$2:$L$2501,$L2819,'AR SALES'!$AD$2:$AD$2501,"OFF"),2)=0,"","STALE")))</f>
        <v/>
      </c>
      <c r="BB2819" s="2" t="str">
        <f>IF(OR(""&amp;$F2819="2",""&amp;$F2819="4",""&amp;$F2819="G",""&amp;$F2819="H"),IF($AY2819="YES","",IF($AB2819&lt;&gt;0,"",IF(COUNTIFS('AR SALES'!$L$2:$L$2501,$L2819,'AR SALES'!$AD$2:$AD$2501,IF(""&amp;$F2819="4","OFF","ON"),'AR SALES'!$AF$2:$AF$2501,"Y")&gt;0,"","NO EXEMPTION"))),"")</f>
        <v/>
      </c>
    </row>
    <row r="2820" spans="46:54" x14ac:dyDescent="0.25">
      <c r="AT2820" s="2" t="str">
        <f>IF($L2820="","",IFERROR(INDEX('AR SALES'!$H$2:$H$2501,MATCH(""&amp;$L2820,'AR SALES'!$AE$2:$AE$2501,0)),""))</f>
        <v/>
      </c>
      <c r="AU2820" s="2" t="str">
        <f t="shared" si="176"/>
        <v/>
      </c>
      <c r="AV2820" s="2" t="str">
        <f t="shared" si="177"/>
        <v/>
      </c>
      <c r="AW2820" s="2" t="str">
        <f t="shared" si="178"/>
        <v/>
      </c>
      <c r="AX2820" s="2" t="str">
        <f t="shared" si="179"/>
        <v/>
      </c>
      <c r="AY2820" s="2" t="str">
        <f>IF($AV2820="","",IF(AND($Z2820=0,COUNTIF('AR SALES'!$L$2:$L$2501,$L2820)=0),"YES",""))</f>
        <v/>
      </c>
      <c r="AZ2820" s="2" t="str">
        <f>IF($AV2820="","",IF(COUNTIF(LISTS!$C$2:$C$250,$AU2820)=0,"NEW",""))</f>
        <v/>
      </c>
      <c r="BA2820" s="2" t="str">
        <f>IF(""&amp;$F2820&lt;&gt;"4","",IF($AY2820="YES","",IF(ROUND(SUMIFS($AE$2:$AE$4001,$L$2:$L$4001,$L2820,$F$2:$F$4001,"4")-SUMIFS('AR SALES'!$Y$2:$Y$2501,'AR SALES'!$L$2:$L$2501,$L2820,'AR SALES'!$AD$2:$AD$2501,"OFF"),2)=0,"","STALE")))</f>
        <v/>
      </c>
      <c r="BB2820" s="2" t="str">
        <f>IF(OR(""&amp;$F2820="2",""&amp;$F2820="4",""&amp;$F2820="G",""&amp;$F2820="H"),IF($AY2820="YES","",IF($AB2820&lt;&gt;0,"",IF(COUNTIFS('AR SALES'!$L$2:$L$2501,$L2820,'AR SALES'!$AD$2:$AD$2501,IF(""&amp;$F2820="4","OFF","ON"),'AR SALES'!$AF$2:$AF$2501,"Y")&gt;0,"","NO EXEMPTION"))),"")</f>
        <v/>
      </c>
    </row>
    <row r="2821" spans="46:54" x14ac:dyDescent="0.25">
      <c r="AT2821" s="2" t="str">
        <f>IF($L2821="","",IFERROR(INDEX('AR SALES'!$H$2:$H$2501,MATCH(""&amp;$L2821,'AR SALES'!$AE$2:$AE$2501,0)),""))</f>
        <v/>
      </c>
      <c r="AU2821" s="2" t="str">
        <f t="shared" si="176"/>
        <v/>
      </c>
      <c r="AV2821" s="2" t="str">
        <f t="shared" si="177"/>
        <v/>
      </c>
      <c r="AW2821" s="2" t="str">
        <f t="shared" si="178"/>
        <v/>
      </c>
      <c r="AX2821" s="2" t="str">
        <f t="shared" si="179"/>
        <v/>
      </c>
      <c r="AY2821" s="2" t="str">
        <f>IF($AV2821="","",IF(AND($Z2821=0,COUNTIF('AR SALES'!$L$2:$L$2501,$L2821)=0),"YES",""))</f>
        <v/>
      </c>
      <c r="AZ2821" s="2" t="str">
        <f>IF($AV2821="","",IF(COUNTIF(LISTS!$C$2:$C$250,$AU2821)=0,"NEW",""))</f>
        <v/>
      </c>
      <c r="BA2821" s="2" t="str">
        <f>IF(""&amp;$F2821&lt;&gt;"4","",IF($AY2821="YES","",IF(ROUND(SUMIFS($AE$2:$AE$4001,$L$2:$L$4001,$L2821,$F$2:$F$4001,"4")-SUMIFS('AR SALES'!$Y$2:$Y$2501,'AR SALES'!$L$2:$L$2501,$L2821,'AR SALES'!$AD$2:$AD$2501,"OFF"),2)=0,"","STALE")))</f>
        <v/>
      </c>
      <c r="BB2821" s="2" t="str">
        <f>IF(OR(""&amp;$F2821="2",""&amp;$F2821="4",""&amp;$F2821="G",""&amp;$F2821="H"),IF($AY2821="YES","",IF($AB2821&lt;&gt;0,"",IF(COUNTIFS('AR SALES'!$L$2:$L$2501,$L2821,'AR SALES'!$AD$2:$AD$2501,IF(""&amp;$F2821="4","OFF","ON"),'AR SALES'!$AF$2:$AF$2501,"Y")&gt;0,"","NO EXEMPTION"))),"")</f>
        <v/>
      </c>
    </row>
    <row r="2822" spans="46:54" x14ac:dyDescent="0.25">
      <c r="AT2822" s="2" t="str">
        <f>IF($L2822="","",IFERROR(INDEX('AR SALES'!$H$2:$H$2501,MATCH(""&amp;$L2822,'AR SALES'!$AE$2:$AE$2501,0)),""))</f>
        <v/>
      </c>
      <c r="AU2822" s="2" t="str">
        <f t="shared" si="176"/>
        <v/>
      </c>
      <c r="AV2822" s="2" t="str">
        <f t="shared" si="177"/>
        <v/>
      </c>
      <c r="AW2822" s="2" t="str">
        <f t="shared" si="178"/>
        <v/>
      </c>
      <c r="AX2822" s="2" t="str">
        <f t="shared" si="179"/>
        <v/>
      </c>
      <c r="AY2822" s="2" t="str">
        <f>IF($AV2822="","",IF(AND($Z2822=0,COUNTIF('AR SALES'!$L$2:$L$2501,$L2822)=0),"YES",""))</f>
        <v/>
      </c>
      <c r="AZ2822" s="2" t="str">
        <f>IF($AV2822="","",IF(COUNTIF(LISTS!$C$2:$C$250,$AU2822)=0,"NEW",""))</f>
        <v/>
      </c>
      <c r="BA2822" s="2" t="str">
        <f>IF(""&amp;$F2822&lt;&gt;"4","",IF($AY2822="YES","",IF(ROUND(SUMIFS($AE$2:$AE$4001,$L$2:$L$4001,$L2822,$F$2:$F$4001,"4")-SUMIFS('AR SALES'!$Y$2:$Y$2501,'AR SALES'!$L$2:$L$2501,$L2822,'AR SALES'!$AD$2:$AD$2501,"OFF"),2)=0,"","STALE")))</f>
        <v/>
      </c>
      <c r="BB2822" s="2" t="str">
        <f>IF(OR(""&amp;$F2822="2",""&amp;$F2822="4",""&amp;$F2822="G",""&amp;$F2822="H"),IF($AY2822="YES","",IF($AB2822&lt;&gt;0,"",IF(COUNTIFS('AR SALES'!$L$2:$L$2501,$L2822,'AR SALES'!$AD$2:$AD$2501,IF(""&amp;$F2822="4","OFF","ON"),'AR SALES'!$AF$2:$AF$2501,"Y")&gt;0,"","NO EXEMPTION"))),"")</f>
        <v/>
      </c>
    </row>
    <row r="2823" spans="46:54" x14ac:dyDescent="0.25">
      <c r="AT2823" s="2" t="str">
        <f>IF($L2823="","",IFERROR(INDEX('AR SALES'!$H$2:$H$2501,MATCH(""&amp;$L2823,'AR SALES'!$AE$2:$AE$2501,0)),""))</f>
        <v/>
      </c>
      <c r="AU2823" s="2" t="str">
        <f t="shared" si="176"/>
        <v/>
      </c>
      <c r="AV2823" s="2" t="str">
        <f t="shared" si="177"/>
        <v/>
      </c>
      <c r="AW2823" s="2" t="str">
        <f t="shared" si="178"/>
        <v/>
      </c>
      <c r="AX2823" s="2" t="str">
        <f t="shared" si="179"/>
        <v/>
      </c>
      <c r="AY2823" s="2" t="str">
        <f>IF($AV2823="","",IF(AND($Z2823=0,COUNTIF('AR SALES'!$L$2:$L$2501,$L2823)=0),"YES",""))</f>
        <v/>
      </c>
      <c r="AZ2823" s="2" t="str">
        <f>IF($AV2823="","",IF(COUNTIF(LISTS!$C$2:$C$250,$AU2823)=0,"NEW",""))</f>
        <v/>
      </c>
      <c r="BA2823" s="2" t="str">
        <f>IF(""&amp;$F2823&lt;&gt;"4","",IF($AY2823="YES","",IF(ROUND(SUMIFS($AE$2:$AE$4001,$L$2:$L$4001,$L2823,$F$2:$F$4001,"4")-SUMIFS('AR SALES'!$Y$2:$Y$2501,'AR SALES'!$L$2:$L$2501,$L2823,'AR SALES'!$AD$2:$AD$2501,"OFF"),2)=0,"","STALE")))</f>
        <v/>
      </c>
      <c r="BB2823" s="2" t="str">
        <f>IF(OR(""&amp;$F2823="2",""&amp;$F2823="4",""&amp;$F2823="G",""&amp;$F2823="H"),IF($AY2823="YES","",IF($AB2823&lt;&gt;0,"",IF(COUNTIFS('AR SALES'!$L$2:$L$2501,$L2823,'AR SALES'!$AD$2:$AD$2501,IF(""&amp;$F2823="4","OFF","ON"),'AR SALES'!$AF$2:$AF$2501,"Y")&gt;0,"","NO EXEMPTION"))),"")</f>
        <v/>
      </c>
    </row>
    <row r="2824" spans="46:54" x14ac:dyDescent="0.25">
      <c r="AT2824" s="2" t="str">
        <f>IF($L2824="","",IFERROR(INDEX('AR SALES'!$H$2:$H$2501,MATCH(""&amp;$L2824,'AR SALES'!$AE$2:$AE$2501,0)),""))</f>
        <v/>
      </c>
      <c r="AU2824" s="2" t="str">
        <f t="shared" si="176"/>
        <v/>
      </c>
      <c r="AV2824" s="2" t="str">
        <f t="shared" si="177"/>
        <v/>
      </c>
      <c r="AW2824" s="2" t="str">
        <f t="shared" si="178"/>
        <v/>
      </c>
      <c r="AX2824" s="2" t="str">
        <f t="shared" si="179"/>
        <v/>
      </c>
      <c r="AY2824" s="2" t="str">
        <f>IF($AV2824="","",IF(AND($Z2824=0,COUNTIF('AR SALES'!$L$2:$L$2501,$L2824)=0),"YES",""))</f>
        <v/>
      </c>
      <c r="AZ2824" s="2" t="str">
        <f>IF($AV2824="","",IF(COUNTIF(LISTS!$C$2:$C$250,$AU2824)=0,"NEW",""))</f>
        <v/>
      </c>
      <c r="BA2824" s="2" t="str">
        <f>IF(""&amp;$F2824&lt;&gt;"4","",IF($AY2824="YES","",IF(ROUND(SUMIFS($AE$2:$AE$4001,$L$2:$L$4001,$L2824,$F$2:$F$4001,"4")-SUMIFS('AR SALES'!$Y$2:$Y$2501,'AR SALES'!$L$2:$L$2501,$L2824,'AR SALES'!$AD$2:$AD$2501,"OFF"),2)=0,"","STALE")))</f>
        <v/>
      </c>
      <c r="BB2824" s="2" t="str">
        <f>IF(OR(""&amp;$F2824="2",""&amp;$F2824="4",""&amp;$F2824="G",""&amp;$F2824="H"),IF($AY2824="YES","",IF($AB2824&lt;&gt;0,"",IF(COUNTIFS('AR SALES'!$L$2:$L$2501,$L2824,'AR SALES'!$AD$2:$AD$2501,IF(""&amp;$F2824="4","OFF","ON"),'AR SALES'!$AF$2:$AF$2501,"Y")&gt;0,"","NO EXEMPTION"))),"")</f>
        <v/>
      </c>
    </row>
    <row r="2825" spans="46:54" x14ac:dyDescent="0.25">
      <c r="AT2825" s="2" t="str">
        <f>IF($L2825="","",IFERROR(INDEX('AR SALES'!$H$2:$H$2501,MATCH(""&amp;$L2825,'AR SALES'!$AE$2:$AE$2501,0)),""))</f>
        <v/>
      </c>
      <c r="AU2825" s="2" t="str">
        <f t="shared" si="176"/>
        <v/>
      </c>
      <c r="AV2825" s="2" t="str">
        <f t="shared" si="177"/>
        <v/>
      </c>
      <c r="AW2825" s="2" t="str">
        <f t="shared" si="178"/>
        <v/>
      </c>
      <c r="AX2825" s="2" t="str">
        <f t="shared" si="179"/>
        <v/>
      </c>
      <c r="AY2825" s="2" t="str">
        <f>IF($AV2825="","",IF(AND($Z2825=0,COUNTIF('AR SALES'!$L$2:$L$2501,$L2825)=0),"YES",""))</f>
        <v/>
      </c>
      <c r="AZ2825" s="2" t="str">
        <f>IF($AV2825="","",IF(COUNTIF(LISTS!$C$2:$C$250,$AU2825)=0,"NEW",""))</f>
        <v/>
      </c>
      <c r="BA2825" s="2" t="str">
        <f>IF(""&amp;$F2825&lt;&gt;"4","",IF($AY2825="YES","",IF(ROUND(SUMIFS($AE$2:$AE$4001,$L$2:$L$4001,$L2825,$F$2:$F$4001,"4")-SUMIFS('AR SALES'!$Y$2:$Y$2501,'AR SALES'!$L$2:$L$2501,$L2825,'AR SALES'!$AD$2:$AD$2501,"OFF"),2)=0,"","STALE")))</f>
        <v/>
      </c>
      <c r="BB2825" s="2" t="str">
        <f>IF(OR(""&amp;$F2825="2",""&amp;$F2825="4",""&amp;$F2825="G",""&amp;$F2825="H"),IF($AY2825="YES","",IF($AB2825&lt;&gt;0,"",IF(COUNTIFS('AR SALES'!$L$2:$L$2501,$L2825,'AR SALES'!$AD$2:$AD$2501,IF(""&amp;$F2825="4","OFF","ON"),'AR SALES'!$AF$2:$AF$2501,"Y")&gt;0,"","NO EXEMPTION"))),"")</f>
        <v/>
      </c>
    </row>
    <row r="2826" spans="46:54" x14ac:dyDescent="0.25">
      <c r="AT2826" s="2" t="str">
        <f>IF($L2826="","",IFERROR(INDEX('AR SALES'!$H$2:$H$2501,MATCH(""&amp;$L2826,'AR SALES'!$AE$2:$AE$2501,0)),""))</f>
        <v/>
      </c>
      <c r="AU2826" s="2" t="str">
        <f t="shared" si="176"/>
        <v/>
      </c>
      <c r="AV2826" s="2" t="str">
        <f t="shared" si="177"/>
        <v/>
      </c>
      <c r="AW2826" s="2" t="str">
        <f t="shared" si="178"/>
        <v/>
      </c>
      <c r="AX2826" s="2" t="str">
        <f t="shared" si="179"/>
        <v/>
      </c>
      <c r="AY2826" s="2" t="str">
        <f>IF($AV2826="","",IF(AND($Z2826=0,COUNTIF('AR SALES'!$L$2:$L$2501,$L2826)=0),"YES",""))</f>
        <v/>
      </c>
      <c r="AZ2826" s="2" t="str">
        <f>IF($AV2826="","",IF(COUNTIF(LISTS!$C$2:$C$250,$AU2826)=0,"NEW",""))</f>
        <v/>
      </c>
      <c r="BA2826" s="2" t="str">
        <f>IF(""&amp;$F2826&lt;&gt;"4","",IF($AY2826="YES","",IF(ROUND(SUMIFS($AE$2:$AE$4001,$L$2:$L$4001,$L2826,$F$2:$F$4001,"4")-SUMIFS('AR SALES'!$Y$2:$Y$2501,'AR SALES'!$L$2:$L$2501,$L2826,'AR SALES'!$AD$2:$AD$2501,"OFF"),2)=0,"","STALE")))</f>
        <v/>
      </c>
      <c r="BB2826" s="2" t="str">
        <f>IF(OR(""&amp;$F2826="2",""&amp;$F2826="4",""&amp;$F2826="G",""&amp;$F2826="H"),IF($AY2826="YES","",IF($AB2826&lt;&gt;0,"",IF(COUNTIFS('AR SALES'!$L$2:$L$2501,$L2826,'AR SALES'!$AD$2:$AD$2501,IF(""&amp;$F2826="4","OFF","ON"),'AR SALES'!$AF$2:$AF$2501,"Y")&gt;0,"","NO EXEMPTION"))),"")</f>
        <v/>
      </c>
    </row>
    <row r="2827" spans="46:54" x14ac:dyDescent="0.25">
      <c r="AT2827" s="2" t="str">
        <f>IF($L2827="","",IFERROR(INDEX('AR SALES'!$H$2:$H$2501,MATCH(""&amp;$L2827,'AR SALES'!$AE$2:$AE$2501,0)),""))</f>
        <v/>
      </c>
      <c r="AU2827" s="2" t="str">
        <f t="shared" si="176"/>
        <v/>
      </c>
      <c r="AV2827" s="2" t="str">
        <f t="shared" si="177"/>
        <v/>
      </c>
      <c r="AW2827" s="2" t="str">
        <f t="shared" si="178"/>
        <v/>
      </c>
      <c r="AX2827" s="2" t="str">
        <f t="shared" si="179"/>
        <v/>
      </c>
      <c r="AY2827" s="2" t="str">
        <f>IF($AV2827="","",IF(AND($Z2827=0,COUNTIF('AR SALES'!$L$2:$L$2501,$L2827)=0),"YES",""))</f>
        <v/>
      </c>
      <c r="AZ2827" s="2" t="str">
        <f>IF($AV2827="","",IF(COUNTIF(LISTS!$C$2:$C$250,$AU2827)=0,"NEW",""))</f>
        <v/>
      </c>
      <c r="BA2827" s="2" t="str">
        <f>IF(""&amp;$F2827&lt;&gt;"4","",IF($AY2827="YES","",IF(ROUND(SUMIFS($AE$2:$AE$4001,$L$2:$L$4001,$L2827,$F$2:$F$4001,"4")-SUMIFS('AR SALES'!$Y$2:$Y$2501,'AR SALES'!$L$2:$L$2501,$L2827,'AR SALES'!$AD$2:$AD$2501,"OFF"),2)=0,"","STALE")))</f>
        <v/>
      </c>
      <c r="BB2827" s="2" t="str">
        <f>IF(OR(""&amp;$F2827="2",""&amp;$F2827="4",""&amp;$F2827="G",""&amp;$F2827="H"),IF($AY2827="YES","",IF($AB2827&lt;&gt;0,"",IF(COUNTIFS('AR SALES'!$L$2:$L$2501,$L2827,'AR SALES'!$AD$2:$AD$2501,IF(""&amp;$F2827="4","OFF","ON"),'AR SALES'!$AF$2:$AF$2501,"Y")&gt;0,"","NO EXEMPTION"))),"")</f>
        <v/>
      </c>
    </row>
    <row r="2828" spans="46:54" x14ac:dyDescent="0.25">
      <c r="AT2828" s="2" t="str">
        <f>IF($L2828="","",IFERROR(INDEX('AR SALES'!$H$2:$H$2501,MATCH(""&amp;$L2828,'AR SALES'!$AE$2:$AE$2501,0)),""))</f>
        <v/>
      </c>
      <c r="AU2828" s="2" t="str">
        <f t="shared" si="176"/>
        <v/>
      </c>
      <c r="AV2828" s="2" t="str">
        <f t="shared" si="177"/>
        <v/>
      </c>
      <c r="AW2828" s="2" t="str">
        <f t="shared" si="178"/>
        <v/>
      </c>
      <c r="AX2828" s="2" t="str">
        <f t="shared" si="179"/>
        <v/>
      </c>
      <c r="AY2828" s="2" t="str">
        <f>IF($AV2828="","",IF(AND($Z2828=0,COUNTIF('AR SALES'!$L$2:$L$2501,$L2828)=0),"YES",""))</f>
        <v/>
      </c>
      <c r="AZ2828" s="2" t="str">
        <f>IF($AV2828="","",IF(COUNTIF(LISTS!$C$2:$C$250,$AU2828)=0,"NEW",""))</f>
        <v/>
      </c>
      <c r="BA2828" s="2" t="str">
        <f>IF(""&amp;$F2828&lt;&gt;"4","",IF($AY2828="YES","",IF(ROUND(SUMIFS($AE$2:$AE$4001,$L$2:$L$4001,$L2828,$F$2:$F$4001,"4")-SUMIFS('AR SALES'!$Y$2:$Y$2501,'AR SALES'!$L$2:$L$2501,$L2828,'AR SALES'!$AD$2:$AD$2501,"OFF"),2)=0,"","STALE")))</f>
        <v/>
      </c>
      <c r="BB2828" s="2" t="str">
        <f>IF(OR(""&amp;$F2828="2",""&amp;$F2828="4",""&amp;$F2828="G",""&amp;$F2828="H"),IF($AY2828="YES","",IF($AB2828&lt;&gt;0,"",IF(COUNTIFS('AR SALES'!$L$2:$L$2501,$L2828,'AR SALES'!$AD$2:$AD$2501,IF(""&amp;$F2828="4","OFF","ON"),'AR SALES'!$AF$2:$AF$2501,"Y")&gt;0,"","NO EXEMPTION"))),"")</f>
        <v/>
      </c>
    </row>
    <row r="2829" spans="46:54" x14ac:dyDescent="0.25">
      <c r="AT2829" s="2" t="str">
        <f>IF($L2829="","",IFERROR(INDEX('AR SALES'!$H$2:$H$2501,MATCH(""&amp;$L2829,'AR SALES'!$AE$2:$AE$2501,0)),""))</f>
        <v/>
      </c>
      <c r="AU2829" s="2" t="str">
        <f t="shared" si="176"/>
        <v/>
      </c>
      <c r="AV2829" s="2" t="str">
        <f t="shared" si="177"/>
        <v/>
      </c>
      <c r="AW2829" s="2" t="str">
        <f t="shared" si="178"/>
        <v/>
      </c>
      <c r="AX2829" s="2" t="str">
        <f t="shared" si="179"/>
        <v/>
      </c>
      <c r="AY2829" s="2" t="str">
        <f>IF($AV2829="","",IF(AND($Z2829=0,COUNTIF('AR SALES'!$L$2:$L$2501,$L2829)=0),"YES",""))</f>
        <v/>
      </c>
      <c r="AZ2829" s="2" t="str">
        <f>IF($AV2829="","",IF(COUNTIF(LISTS!$C$2:$C$250,$AU2829)=0,"NEW",""))</f>
        <v/>
      </c>
      <c r="BA2829" s="2" t="str">
        <f>IF(""&amp;$F2829&lt;&gt;"4","",IF($AY2829="YES","",IF(ROUND(SUMIFS($AE$2:$AE$4001,$L$2:$L$4001,$L2829,$F$2:$F$4001,"4")-SUMIFS('AR SALES'!$Y$2:$Y$2501,'AR SALES'!$L$2:$L$2501,$L2829,'AR SALES'!$AD$2:$AD$2501,"OFF"),2)=0,"","STALE")))</f>
        <v/>
      </c>
      <c r="BB2829" s="2" t="str">
        <f>IF(OR(""&amp;$F2829="2",""&amp;$F2829="4",""&amp;$F2829="G",""&amp;$F2829="H"),IF($AY2829="YES","",IF($AB2829&lt;&gt;0,"",IF(COUNTIFS('AR SALES'!$L$2:$L$2501,$L2829,'AR SALES'!$AD$2:$AD$2501,IF(""&amp;$F2829="4","OFF","ON"),'AR SALES'!$AF$2:$AF$2501,"Y")&gt;0,"","NO EXEMPTION"))),"")</f>
        <v/>
      </c>
    </row>
    <row r="2830" spans="46:54" x14ac:dyDescent="0.25">
      <c r="AT2830" s="2" t="str">
        <f>IF($L2830="","",IFERROR(INDEX('AR SALES'!$H$2:$H$2501,MATCH(""&amp;$L2830,'AR SALES'!$AE$2:$AE$2501,0)),""))</f>
        <v/>
      </c>
      <c r="AU2830" s="2" t="str">
        <f t="shared" si="176"/>
        <v/>
      </c>
      <c r="AV2830" s="2" t="str">
        <f t="shared" si="177"/>
        <v/>
      </c>
      <c r="AW2830" s="2" t="str">
        <f t="shared" si="178"/>
        <v/>
      </c>
      <c r="AX2830" s="2" t="str">
        <f t="shared" si="179"/>
        <v/>
      </c>
      <c r="AY2830" s="2" t="str">
        <f>IF($AV2830="","",IF(AND($Z2830=0,COUNTIF('AR SALES'!$L$2:$L$2501,$L2830)=0),"YES",""))</f>
        <v/>
      </c>
      <c r="AZ2830" s="2" t="str">
        <f>IF($AV2830="","",IF(COUNTIF(LISTS!$C$2:$C$250,$AU2830)=0,"NEW",""))</f>
        <v/>
      </c>
      <c r="BA2830" s="2" t="str">
        <f>IF(""&amp;$F2830&lt;&gt;"4","",IF($AY2830="YES","",IF(ROUND(SUMIFS($AE$2:$AE$4001,$L$2:$L$4001,$L2830,$F$2:$F$4001,"4")-SUMIFS('AR SALES'!$Y$2:$Y$2501,'AR SALES'!$L$2:$L$2501,$L2830,'AR SALES'!$AD$2:$AD$2501,"OFF"),2)=0,"","STALE")))</f>
        <v/>
      </c>
      <c r="BB2830" s="2" t="str">
        <f>IF(OR(""&amp;$F2830="2",""&amp;$F2830="4",""&amp;$F2830="G",""&amp;$F2830="H"),IF($AY2830="YES","",IF($AB2830&lt;&gt;0,"",IF(COUNTIFS('AR SALES'!$L$2:$L$2501,$L2830,'AR SALES'!$AD$2:$AD$2501,IF(""&amp;$F2830="4","OFF","ON"),'AR SALES'!$AF$2:$AF$2501,"Y")&gt;0,"","NO EXEMPTION"))),"")</f>
        <v/>
      </c>
    </row>
    <row r="2831" spans="46:54" x14ac:dyDescent="0.25">
      <c r="AT2831" s="2" t="str">
        <f>IF($L2831="","",IFERROR(INDEX('AR SALES'!$H$2:$H$2501,MATCH(""&amp;$L2831,'AR SALES'!$AE$2:$AE$2501,0)),""))</f>
        <v/>
      </c>
      <c r="AU2831" s="2" t="str">
        <f t="shared" si="176"/>
        <v/>
      </c>
      <c r="AV2831" s="2" t="str">
        <f t="shared" si="177"/>
        <v/>
      </c>
      <c r="AW2831" s="2" t="str">
        <f t="shared" si="178"/>
        <v/>
      </c>
      <c r="AX2831" s="2" t="str">
        <f t="shared" si="179"/>
        <v/>
      </c>
      <c r="AY2831" s="2" t="str">
        <f>IF($AV2831="","",IF(AND($Z2831=0,COUNTIF('AR SALES'!$L$2:$L$2501,$L2831)=0),"YES",""))</f>
        <v/>
      </c>
      <c r="AZ2831" s="2" t="str">
        <f>IF($AV2831="","",IF(COUNTIF(LISTS!$C$2:$C$250,$AU2831)=0,"NEW",""))</f>
        <v/>
      </c>
      <c r="BA2831" s="2" t="str">
        <f>IF(""&amp;$F2831&lt;&gt;"4","",IF($AY2831="YES","",IF(ROUND(SUMIFS($AE$2:$AE$4001,$L$2:$L$4001,$L2831,$F$2:$F$4001,"4")-SUMIFS('AR SALES'!$Y$2:$Y$2501,'AR SALES'!$L$2:$L$2501,$L2831,'AR SALES'!$AD$2:$AD$2501,"OFF"),2)=0,"","STALE")))</f>
        <v/>
      </c>
      <c r="BB2831" s="2" t="str">
        <f>IF(OR(""&amp;$F2831="2",""&amp;$F2831="4",""&amp;$F2831="G",""&amp;$F2831="H"),IF($AY2831="YES","",IF($AB2831&lt;&gt;0,"",IF(COUNTIFS('AR SALES'!$L$2:$L$2501,$L2831,'AR SALES'!$AD$2:$AD$2501,IF(""&amp;$F2831="4","OFF","ON"),'AR SALES'!$AF$2:$AF$2501,"Y")&gt;0,"","NO EXEMPTION"))),"")</f>
        <v/>
      </c>
    </row>
    <row r="2832" spans="46:54" x14ac:dyDescent="0.25">
      <c r="AT2832" s="2" t="str">
        <f>IF($L2832="","",IFERROR(INDEX('AR SALES'!$H$2:$H$2501,MATCH(""&amp;$L2832,'AR SALES'!$AE$2:$AE$2501,0)),""))</f>
        <v/>
      </c>
      <c r="AU2832" s="2" t="str">
        <f t="shared" si="176"/>
        <v/>
      </c>
      <c r="AV2832" s="2" t="str">
        <f t="shared" si="177"/>
        <v/>
      </c>
      <c r="AW2832" s="2" t="str">
        <f t="shared" si="178"/>
        <v/>
      </c>
      <c r="AX2832" s="2" t="str">
        <f t="shared" si="179"/>
        <v/>
      </c>
      <c r="AY2832" s="2" t="str">
        <f>IF($AV2832="","",IF(AND($Z2832=0,COUNTIF('AR SALES'!$L$2:$L$2501,$L2832)=0),"YES",""))</f>
        <v/>
      </c>
      <c r="AZ2832" s="2" t="str">
        <f>IF($AV2832="","",IF(COUNTIF(LISTS!$C$2:$C$250,$AU2832)=0,"NEW",""))</f>
        <v/>
      </c>
      <c r="BA2832" s="2" t="str">
        <f>IF(""&amp;$F2832&lt;&gt;"4","",IF($AY2832="YES","",IF(ROUND(SUMIFS($AE$2:$AE$4001,$L$2:$L$4001,$L2832,$F$2:$F$4001,"4")-SUMIFS('AR SALES'!$Y$2:$Y$2501,'AR SALES'!$L$2:$L$2501,$L2832,'AR SALES'!$AD$2:$AD$2501,"OFF"),2)=0,"","STALE")))</f>
        <v/>
      </c>
      <c r="BB2832" s="2" t="str">
        <f>IF(OR(""&amp;$F2832="2",""&amp;$F2832="4",""&amp;$F2832="G",""&amp;$F2832="H"),IF($AY2832="YES","",IF($AB2832&lt;&gt;0,"",IF(COUNTIFS('AR SALES'!$L$2:$L$2501,$L2832,'AR SALES'!$AD$2:$AD$2501,IF(""&amp;$F2832="4","OFF","ON"),'AR SALES'!$AF$2:$AF$2501,"Y")&gt;0,"","NO EXEMPTION"))),"")</f>
        <v/>
      </c>
    </row>
    <row r="2833" spans="46:54" x14ac:dyDescent="0.25">
      <c r="AT2833" s="2" t="str">
        <f>IF($L2833="","",IFERROR(INDEX('AR SALES'!$H$2:$H$2501,MATCH(""&amp;$L2833,'AR SALES'!$AE$2:$AE$2501,0)),""))</f>
        <v/>
      </c>
      <c r="AU2833" s="2" t="str">
        <f t="shared" si="176"/>
        <v/>
      </c>
      <c r="AV2833" s="2" t="str">
        <f t="shared" si="177"/>
        <v/>
      </c>
      <c r="AW2833" s="2" t="str">
        <f t="shared" si="178"/>
        <v/>
      </c>
      <c r="AX2833" s="2" t="str">
        <f t="shared" si="179"/>
        <v/>
      </c>
      <c r="AY2833" s="2" t="str">
        <f>IF($AV2833="","",IF(AND($Z2833=0,COUNTIF('AR SALES'!$L$2:$L$2501,$L2833)=0),"YES",""))</f>
        <v/>
      </c>
      <c r="AZ2833" s="2" t="str">
        <f>IF($AV2833="","",IF(COUNTIF(LISTS!$C$2:$C$250,$AU2833)=0,"NEW",""))</f>
        <v/>
      </c>
      <c r="BA2833" s="2" t="str">
        <f>IF(""&amp;$F2833&lt;&gt;"4","",IF($AY2833="YES","",IF(ROUND(SUMIFS($AE$2:$AE$4001,$L$2:$L$4001,$L2833,$F$2:$F$4001,"4")-SUMIFS('AR SALES'!$Y$2:$Y$2501,'AR SALES'!$L$2:$L$2501,$L2833,'AR SALES'!$AD$2:$AD$2501,"OFF"),2)=0,"","STALE")))</f>
        <v/>
      </c>
      <c r="BB2833" s="2" t="str">
        <f>IF(OR(""&amp;$F2833="2",""&amp;$F2833="4",""&amp;$F2833="G",""&amp;$F2833="H"),IF($AY2833="YES","",IF($AB2833&lt;&gt;0,"",IF(COUNTIFS('AR SALES'!$L$2:$L$2501,$L2833,'AR SALES'!$AD$2:$AD$2501,IF(""&amp;$F2833="4","OFF","ON"),'AR SALES'!$AF$2:$AF$2501,"Y")&gt;0,"","NO EXEMPTION"))),"")</f>
        <v/>
      </c>
    </row>
    <row r="2834" spans="46:54" x14ac:dyDescent="0.25">
      <c r="AT2834" s="2" t="str">
        <f>IF($L2834="","",IFERROR(INDEX('AR SALES'!$H$2:$H$2501,MATCH(""&amp;$L2834,'AR SALES'!$AE$2:$AE$2501,0)),""))</f>
        <v/>
      </c>
      <c r="AU2834" s="2" t="str">
        <f t="shared" si="176"/>
        <v/>
      </c>
      <c r="AV2834" s="2" t="str">
        <f t="shared" si="177"/>
        <v/>
      </c>
      <c r="AW2834" s="2" t="str">
        <f t="shared" si="178"/>
        <v/>
      </c>
      <c r="AX2834" s="2" t="str">
        <f t="shared" si="179"/>
        <v/>
      </c>
      <c r="AY2834" s="2" t="str">
        <f>IF($AV2834="","",IF(AND($Z2834=0,COUNTIF('AR SALES'!$L$2:$L$2501,$L2834)=0),"YES",""))</f>
        <v/>
      </c>
      <c r="AZ2834" s="2" t="str">
        <f>IF($AV2834="","",IF(COUNTIF(LISTS!$C$2:$C$250,$AU2834)=0,"NEW",""))</f>
        <v/>
      </c>
      <c r="BA2834" s="2" t="str">
        <f>IF(""&amp;$F2834&lt;&gt;"4","",IF($AY2834="YES","",IF(ROUND(SUMIFS($AE$2:$AE$4001,$L$2:$L$4001,$L2834,$F$2:$F$4001,"4")-SUMIFS('AR SALES'!$Y$2:$Y$2501,'AR SALES'!$L$2:$L$2501,$L2834,'AR SALES'!$AD$2:$AD$2501,"OFF"),2)=0,"","STALE")))</f>
        <v/>
      </c>
      <c r="BB2834" s="2" t="str">
        <f>IF(OR(""&amp;$F2834="2",""&amp;$F2834="4",""&amp;$F2834="G",""&amp;$F2834="H"),IF($AY2834="YES","",IF($AB2834&lt;&gt;0,"",IF(COUNTIFS('AR SALES'!$L$2:$L$2501,$L2834,'AR SALES'!$AD$2:$AD$2501,IF(""&amp;$F2834="4","OFF","ON"),'AR SALES'!$AF$2:$AF$2501,"Y")&gt;0,"","NO EXEMPTION"))),"")</f>
        <v/>
      </c>
    </row>
    <row r="2835" spans="46:54" x14ac:dyDescent="0.25">
      <c r="AT2835" s="2" t="str">
        <f>IF($L2835="","",IFERROR(INDEX('AR SALES'!$H$2:$H$2501,MATCH(""&amp;$L2835,'AR SALES'!$AE$2:$AE$2501,0)),""))</f>
        <v/>
      </c>
      <c r="AU2835" s="2" t="str">
        <f t="shared" si="176"/>
        <v/>
      </c>
      <c r="AV2835" s="2" t="str">
        <f t="shared" si="177"/>
        <v/>
      </c>
      <c r="AW2835" s="2" t="str">
        <f t="shared" si="178"/>
        <v/>
      </c>
      <c r="AX2835" s="2" t="str">
        <f t="shared" si="179"/>
        <v/>
      </c>
      <c r="AY2835" s="2" t="str">
        <f>IF($AV2835="","",IF(AND($Z2835=0,COUNTIF('AR SALES'!$L$2:$L$2501,$L2835)=0),"YES",""))</f>
        <v/>
      </c>
      <c r="AZ2835" s="2" t="str">
        <f>IF($AV2835="","",IF(COUNTIF(LISTS!$C$2:$C$250,$AU2835)=0,"NEW",""))</f>
        <v/>
      </c>
      <c r="BA2835" s="2" t="str">
        <f>IF(""&amp;$F2835&lt;&gt;"4","",IF($AY2835="YES","",IF(ROUND(SUMIFS($AE$2:$AE$4001,$L$2:$L$4001,$L2835,$F$2:$F$4001,"4")-SUMIFS('AR SALES'!$Y$2:$Y$2501,'AR SALES'!$L$2:$L$2501,$L2835,'AR SALES'!$AD$2:$AD$2501,"OFF"),2)=0,"","STALE")))</f>
        <v/>
      </c>
      <c r="BB2835" s="2" t="str">
        <f>IF(OR(""&amp;$F2835="2",""&amp;$F2835="4",""&amp;$F2835="G",""&amp;$F2835="H"),IF($AY2835="YES","",IF($AB2835&lt;&gt;0,"",IF(COUNTIFS('AR SALES'!$L$2:$L$2501,$L2835,'AR SALES'!$AD$2:$AD$2501,IF(""&amp;$F2835="4","OFF","ON"),'AR SALES'!$AF$2:$AF$2501,"Y")&gt;0,"","NO EXEMPTION"))),"")</f>
        <v/>
      </c>
    </row>
    <row r="2836" spans="46:54" x14ac:dyDescent="0.25">
      <c r="AT2836" s="2" t="str">
        <f>IF($L2836="","",IFERROR(INDEX('AR SALES'!$H$2:$H$2501,MATCH(""&amp;$L2836,'AR SALES'!$AE$2:$AE$2501,0)),""))</f>
        <v/>
      </c>
      <c r="AU2836" s="2" t="str">
        <f t="shared" si="176"/>
        <v/>
      </c>
      <c r="AV2836" s="2" t="str">
        <f t="shared" si="177"/>
        <v/>
      </c>
      <c r="AW2836" s="2" t="str">
        <f t="shared" si="178"/>
        <v/>
      </c>
      <c r="AX2836" s="2" t="str">
        <f t="shared" si="179"/>
        <v/>
      </c>
      <c r="AY2836" s="2" t="str">
        <f>IF($AV2836="","",IF(AND($Z2836=0,COUNTIF('AR SALES'!$L$2:$L$2501,$L2836)=0),"YES",""))</f>
        <v/>
      </c>
      <c r="AZ2836" s="2" t="str">
        <f>IF($AV2836="","",IF(COUNTIF(LISTS!$C$2:$C$250,$AU2836)=0,"NEW",""))</f>
        <v/>
      </c>
      <c r="BA2836" s="2" t="str">
        <f>IF(""&amp;$F2836&lt;&gt;"4","",IF($AY2836="YES","",IF(ROUND(SUMIFS($AE$2:$AE$4001,$L$2:$L$4001,$L2836,$F$2:$F$4001,"4")-SUMIFS('AR SALES'!$Y$2:$Y$2501,'AR SALES'!$L$2:$L$2501,$L2836,'AR SALES'!$AD$2:$AD$2501,"OFF"),2)=0,"","STALE")))</f>
        <v/>
      </c>
      <c r="BB2836" s="2" t="str">
        <f>IF(OR(""&amp;$F2836="2",""&amp;$F2836="4",""&amp;$F2836="G",""&amp;$F2836="H"),IF($AY2836="YES","",IF($AB2836&lt;&gt;0,"",IF(COUNTIFS('AR SALES'!$L$2:$L$2501,$L2836,'AR SALES'!$AD$2:$AD$2501,IF(""&amp;$F2836="4","OFF","ON"),'AR SALES'!$AF$2:$AF$2501,"Y")&gt;0,"","NO EXEMPTION"))),"")</f>
        <v/>
      </c>
    </row>
    <row r="2837" spans="46:54" x14ac:dyDescent="0.25">
      <c r="AT2837" s="2" t="str">
        <f>IF($L2837="","",IFERROR(INDEX('AR SALES'!$H$2:$H$2501,MATCH(""&amp;$L2837,'AR SALES'!$AE$2:$AE$2501,0)),""))</f>
        <v/>
      </c>
      <c r="AU2837" s="2" t="str">
        <f t="shared" si="176"/>
        <v/>
      </c>
      <c r="AV2837" s="2" t="str">
        <f t="shared" si="177"/>
        <v/>
      </c>
      <c r="AW2837" s="2" t="str">
        <f t="shared" si="178"/>
        <v/>
      </c>
      <c r="AX2837" s="2" t="str">
        <f t="shared" si="179"/>
        <v/>
      </c>
      <c r="AY2837" s="2" t="str">
        <f>IF($AV2837="","",IF(AND($Z2837=0,COUNTIF('AR SALES'!$L$2:$L$2501,$L2837)=0),"YES",""))</f>
        <v/>
      </c>
      <c r="AZ2837" s="2" t="str">
        <f>IF($AV2837="","",IF(COUNTIF(LISTS!$C$2:$C$250,$AU2837)=0,"NEW",""))</f>
        <v/>
      </c>
      <c r="BA2837" s="2" t="str">
        <f>IF(""&amp;$F2837&lt;&gt;"4","",IF($AY2837="YES","",IF(ROUND(SUMIFS($AE$2:$AE$4001,$L$2:$L$4001,$L2837,$F$2:$F$4001,"4")-SUMIFS('AR SALES'!$Y$2:$Y$2501,'AR SALES'!$L$2:$L$2501,$L2837,'AR SALES'!$AD$2:$AD$2501,"OFF"),2)=0,"","STALE")))</f>
        <v/>
      </c>
      <c r="BB2837" s="2" t="str">
        <f>IF(OR(""&amp;$F2837="2",""&amp;$F2837="4",""&amp;$F2837="G",""&amp;$F2837="H"),IF($AY2837="YES","",IF($AB2837&lt;&gt;0,"",IF(COUNTIFS('AR SALES'!$L$2:$L$2501,$L2837,'AR SALES'!$AD$2:$AD$2501,IF(""&amp;$F2837="4","OFF","ON"),'AR SALES'!$AF$2:$AF$2501,"Y")&gt;0,"","NO EXEMPTION"))),"")</f>
        <v/>
      </c>
    </row>
    <row r="2838" spans="46:54" x14ac:dyDescent="0.25">
      <c r="AT2838" s="2" t="str">
        <f>IF($L2838="","",IFERROR(INDEX('AR SALES'!$H$2:$H$2501,MATCH(""&amp;$L2838,'AR SALES'!$AE$2:$AE$2501,0)),""))</f>
        <v/>
      </c>
      <c r="AU2838" s="2" t="str">
        <f t="shared" si="176"/>
        <v/>
      </c>
      <c r="AV2838" s="2" t="str">
        <f t="shared" si="177"/>
        <v/>
      </c>
      <c r="AW2838" s="2" t="str">
        <f t="shared" si="178"/>
        <v/>
      </c>
      <c r="AX2838" s="2" t="str">
        <f t="shared" si="179"/>
        <v/>
      </c>
      <c r="AY2838" s="2" t="str">
        <f>IF($AV2838="","",IF(AND($Z2838=0,COUNTIF('AR SALES'!$L$2:$L$2501,$L2838)=0),"YES",""))</f>
        <v/>
      </c>
      <c r="AZ2838" s="2" t="str">
        <f>IF($AV2838="","",IF(COUNTIF(LISTS!$C$2:$C$250,$AU2838)=0,"NEW",""))</f>
        <v/>
      </c>
      <c r="BA2838" s="2" t="str">
        <f>IF(""&amp;$F2838&lt;&gt;"4","",IF($AY2838="YES","",IF(ROUND(SUMIFS($AE$2:$AE$4001,$L$2:$L$4001,$L2838,$F$2:$F$4001,"4")-SUMIFS('AR SALES'!$Y$2:$Y$2501,'AR SALES'!$L$2:$L$2501,$L2838,'AR SALES'!$AD$2:$AD$2501,"OFF"),2)=0,"","STALE")))</f>
        <v/>
      </c>
      <c r="BB2838" s="2" t="str">
        <f>IF(OR(""&amp;$F2838="2",""&amp;$F2838="4",""&amp;$F2838="G",""&amp;$F2838="H"),IF($AY2838="YES","",IF($AB2838&lt;&gt;0,"",IF(COUNTIFS('AR SALES'!$L$2:$L$2501,$L2838,'AR SALES'!$AD$2:$AD$2501,IF(""&amp;$F2838="4","OFF","ON"),'AR SALES'!$AF$2:$AF$2501,"Y")&gt;0,"","NO EXEMPTION"))),"")</f>
        <v/>
      </c>
    </row>
    <row r="2839" spans="46:54" x14ac:dyDescent="0.25">
      <c r="AT2839" s="2" t="str">
        <f>IF($L2839="","",IFERROR(INDEX('AR SALES'!$H$2:$H$2501,MATCH(""&amp;$L2839,'AR SALES'!$AE$2:$AE$2501,0)),""))</f>
        <v/>
      </c>
      <c r="AU2839" s="2" t="str">
        <f t="shared" si="176"/>
        <v/>
      </c>
      <c r="AV2839" s="2" t="str">
        <f t="shared" si="177"/>
        <v/>
      </c>
      <c r="AW2839" s="2" t="str">
        <f t="shared" si="178"/>
        <v/>
      </c>
      <c r="AX2839" s="2" t="str">
        <f t="shared" si="179"/>
        <v/>
      </c>
      <c r="AY2839" s="2" t="str">
        <f>IF($AV2839="","",IF(AND($Z2839=0,COUNTIF('AR SALES'!$L$2:$L$2501,$L2839)=0),"YES",""))</f>
        <v/>
      </c>
      <c r="AZ2839" s="2" t="str">
        <f>IF($AV2839="","",IF(COUNTIF(LISTS!$C$2:$C$250,$AU2839)=0,"NEW",""))</f>
        <v/>
      </c>
      <c r="BA2839" s="2" t="str">
        <f>IF(""&amp;$F2839&lt;&gt;"4","",IF($AY2839="YES","",IF(ROUND(SUMIFS($AE$2:$AE$4001,$L$2:$L$4001,$L2839,$F$2:$F$4001,"4")-SUMIFS('AR SALES'!$Y$2:$Y$2501,'AR SALES'!$L$2:$L$2501,$L2839,'AR SALES'!$AD$2:$AD$2501,"OFF"),2)=0,"","STALE")))</f>
        <v/>
      </c>
      <c r="BB2839" s="2" t="str">
        <f>IF(OR(""&amp;$F2839="2",""&amp;$F2839="4",""&amp;$F2839="G",""&amp;$F2839="H"),IF($AY2839="YES","",IF($AB2839&lt;&gt;0,"",IF(COUNTIFS('AR SALES'!$L$2:$L$2501,$L2839,'AR SALES'!$AD$2:$AD$2501,IF(""&amp;$F2839="4","OFF","ON"),'AR SALES'!$AF$2:$AF$2501,"Y")&gt;0,"","NO EXEMPTION"))),"")</f>
        <v/>
      </c>
    </row>
    <row r="2840" spans="46:54" x14ac:dyDescent="0.25">
      <c r="AT2840" s="2" t="str">
        <f>IF($L2840="","",IFERROR(INDEX('AR SALES'!$H$2:$H$2501,MATCH(""&amp;$L2840,'AR SALES'!$AE$2:$AE$2501,0)),""))</f>
        <v/>
      </c>
      <c r="AU2840" s="2" t="str">
        <f t="shared" si="176"/>
        <v/>
      </c>
      <c r="AV2840" s="2" t="str">
        <f t="shared" si="177"/>
        <v/>
      </c>
      <c r="AW2840" s="2" t="str">
        <f t="shared" si="178"/>
        <v/>
      </c>
      <c r="AX2840" s="2" t="str">
        <f t="shared" si="179"/>
        <v/>
      </c>
      <c r="AY2840" s="2" t="str">
        <f>IF($AV2840="","",IF(AND($Z2840=0,COUNTIF('AR SALES'!$L$2:$L$2501,$L2840)=0),"YES",""))</f>
        <v/>
      </c>
      <c r="AZ2840" s="2" t="str">
        <f>IF($AV2840="","",IF(COUNTIF(LISTS!$C$2:$C$250,$AU2840)=0,"NEW",""))</f>
        <v/>
      </c>
      <c r="BA2840" s="2" t="str">
        <f>IF(""&amp;$F2840&lt;&gt;"4","",IF($AY2840="YES","",IF(ROUND(SUMIFS($AE$2:$AE$4001,$L$2:$L$4001,$L2840,$F$2:$F$4001,"4")-SUMIFS('AR SALES'!$Y$2:$Y$2501,'AR SALES'!$L$2:$L$2501,$L2840,'AR SALES'!$AD$2:$AD$2501,"OFF"),2)=0,"","STALE")))</f>
        <v/>
      </c>
      <c r="BB2840" s="2" t="str">
        <f>IF(OR(""&amp;$F2840="2",""&amp;$F2840="4",""&amp;$F2840="G",""&amp;$F2840="H"),IF($AY2840="YES","",IF($AB2840&lt;&gt;0,"",IF(COUNTIFS('AR SALES'!$L$2:$L$2501,$L2840,'AR SALES'!$AD$2:$AD$2501,IF(""&amp;$F2840="4","OFF","ON"),'AR SALES'!$AF$2:$AF$2501,"Y")&gt;0,"","NO EXEMPTION"))),"")</f>
        <v/>
      </c>
    </row>
    <row r="2841" spans="46:54" x14ac:dyDescent="0.25">
      <c r="AT2841" s="2" t="str">
        <f>IF($L2841="","",IFERROR(INDEX('AR SALES'!$H$2:$H$2501,MATCH(""&amp;$L2841,'AR SALES'!$AE$2:$AE$2501,0)),""))</f>
        <v/>
      </c>
      <c r="AU2841" s="2" t="str">
        <f t="shared" si="176"/>
        <v/>
      </c>
      <c r="AV2841" s="2" t="str">
        <f t="shared" si="177"/>
        <v/>
      </c>
      <c r="AW2841" s="2" t="str">
        <f t="shared" si="178"/>
        <v/>
      </c>
      <c r="AX2841" s="2" t="str">
        <f t="shared" si="179"/>
        <v/>
      </c>
      <c r="AY2841" s="2" t="str">
        <f>IF($AV2841="","",IF(AND($Z2841=0,COUNTIF('AR SALES'!$L$2:$L$2501,$L2841)=0),"YES",""))</f>
        <v/>
      </c>
      <c r="AZ2841" s="2" t="str">
        <f>IF($AV2841="","",IF(COUNTIF(LISTS!$C$2:$C$250,$AU2841)=0,"NEW",""))</f>
        <v/>
      </c>
      <c r="BA2841" s="2" t="str">
        <f>IF(""&amp;$F2841&lt;&gt;"4","",IF($AY2841="YES","",IF(ROUND(SUMIFS($AE$2:$AE$4001,$L$2:$L$4001,$L2841,$F$2:$F$4001,"4")-SUMIFS('AR SALES'!$Y$2:$Y$2501,'AR SALES'!$L$2:$L$2501,$L2841,'AR SALES'!$AD$2:$AD$2501,"OFF"),2)=0,"","STALE")))</f>
        <v/>
      </c>
      <c r="BB2841" s="2" t="str">
        <f>IF(OR(""&amp;$F2841="2",""&amp;$F2841="4",""&amp;$F2841="G",""&amp;$F2841="H"),IF($AY2841="YES","",IF($AB2841&lt;&gt;0,"",IF(COUNTIFS('AR SALES'!$L$2:$L$2501,$L2841,'AR SALES'!$AD$2:$AD$2501,IF(""&amp;$F2841="4","OFF","ON"),'AR SALES'!$AF$2:$AF$2501,"Y")&gt;0,"","NO EXEMPTION"))),"")</f>
        <v/>
      </c>
    </row>
    <row r="2842" spans="46:54" x14ac:dyDescent="0.25">
      <c r="AT2842" s="2" t="str">
        <f>IF($L2842="","",IFERROR(INDEX('AR SALES'!$H$2:$H$2501,MATCH(""&amp;$L2842,'AR SALES'!$AE$2:$AE$2501,0)),""))</f>
        <v/>
      </c>
      <c r="AU2842" s="2" t="str">
        <f t="shared" si="176"/>
        <v/>
      </c>
      <c r="AV2842" s="2" t="str">
        <f t="shared" si="177"/>
        <v/>
      </c>
      <c r="AW2842" s="2" t="str">
        <f t="shared" si="178"/>
        <v/>
      </c>
      <c r="AX2842" s="2" t="str">
        <f t="shared" si="179"/>
        <v/>
      </c>
      <c r="AY2842" s="2" t="str">
        <f>IF($AV2842="","",IF(AND($Z2842=0,COUNTIF('AR SALES'!$L$2:$L$2501,$L2842)=0),"YES",""))</f>
        <v/>
      </c>
      <c r="AZ2842" s="2" t="str">
        <f>IF($AV2842="","",IF(COUNTIF(LISTS!$C$2:$C$250,$AU2842)=0,"NEW",""))</f>
        <v/>
      </c>
      <c r="BA2842" s="2" t="str">
        <f>IF(""&amp;$F2842&lt;&gt;"4","",IF($AY2842="YES","",IF(ROUND(SUMIFS($AE$2:$AE$4001,$L$2:$L$4001,$L2842,$F$2:$F$4001,"4")-SUMIFS('AR SALES'!$Y$2:$Y$2501,'AR SALES'!$L$2:$L$2501,$L2842,'AR SALES'!$AD$2:$AD$2501,"OFF"),2)=0,"","STALE")))</f>
        <v/>
      </c>
      <c r="BB2842" s="2" t="str">
        <f>IF(OR(""&amp;$F2842="2",""&amp;$F2842="4",""&amp;$F2842="G",""&amp;$F2842="H"),IF($AY2842="YES","",IF($AB2842&lt;&gt;0,"",IF(COUNTIFS('AR SALES'!$L$2:$L$2501,$L2842,'AR SALES'!$AD$2:$AD$2501,IF(""&amp;$F2842="4","OFF","ON"),'AR SALES'!$AF$2:$AF$2501,"Y")&gt;0,"","NO EXEMPTION"))),"")</f>
        <v/>
      </c>
    </row>
    <row r="2843" spans="46:54" x14ac:dyDescent="0.25">
      <c r="AT2843" s="2" t="str">
        <f>IF($L2843="","",IFERROR(INDEX('AR SALES'!$H$2:$H$2501,MATCH(""&amp;$L2843,'AR SALES'!$AE$2:$AE$2501,0)),""))</f>
        <v/>
      </c>
      <c r="AU2843" s="2" t="str">
        <f t="shared" si="176"/>
        <v/>
      </c>
      <c r="AV2843" s="2" t="str">
        <f t="shared" si="177"/>
        <v/>
      </c>
      <c r="AW2843" s="2" t="str">
        <f t="shared" si="178"/>
        <v/>
      </c>
      <c r="AX2843" s="2" t="str">
        <f t="shared" si="179"/>
        <v/>
      </c>
      <c r="AY2843" s="2" t="str">
        <f>IF($AV2843="","",IF(AND($Z2843=0,COUNTIF('AR SALES'!$L$2:$L$2501,$L2843)=0),"YES",""))</f>
        <v/>
      </c>
      <c r="AZ2843" s="2" t="str">
        <f>IF($AV2843="","",IF(COUNTIF(LISTS!$C$2:$C$250,$AU2843)=0,"NEW",""))</f>
        <v/>
      </c>
      <c r="BA2843" s="2" t="str">
        <f>IF(""&amp;$F2843&lt;&gt;"4","",IF($AY2843="YES","",IF(ROUND(SUMIFS($AE$2:$AE$4001,$L$2:$L$4001,$L2843,$F$2:$F$4001,"4")-SUMIFS('AR SALES'!$Y$2:$Y$2501,'AR SALES'!$L$2:$L$2501,$L2843,'AR SALES'!$AD$2:$AD$2501,"OFF"),2)=0,"","STALE")))</f>
        <v/>
      </c>
      <c r="BB2843" s="2" t="str">
        <f>IF(OR(""&amp;$F2843="2",""&amp;$F2843="4",""&amp;$F2843="G",""&amp;$F2843="H"),IF($AY2843="YES","",IF($AB2843&lt;&gt;0,"",IF(COUNTIFS('AR SALES'!$L$2:$L$2501,$L2843,'AR SALES'!$AD$2:$AD$2501,IF(""&amp;$F2843="4","OFF","ON"),'AR SALES'!$AF$2:$AF$2501,"Y")&gt;0,"","NO EXEMPTION"))),"")</f>
        <v/>
      </c>
    </row>
    <row r="2844" spans="46:54" x14ac:dyDescent="0.25">
      <c r="AT2844" s="2" t="str">
        <f>IF($L2844="","",IFERROR(INDEX('AR SALES'!$H$2:$H$2501,MATCH(""&amp;$L2844,'AR SALES'!$AE$2:$AE$2501,0)),""))</f>
        <v/>
      </c>
      <c r="AU2844" s="2" t="str">
        <f t="shared" si="176"/>
        <v/>
      </c>
      <c r="AV2844" s="2" t="str">
        <f t="shared" si="177"/>
        <v/>
      </c>
      <c r="AW2844" s="2" t="str">
        <f t="shared" si="178"/>
        <v/>
      </c>
      <c r="AX2844" s="2" t="str">
        <f t="shared" si="179"/>
        <v/>
      </c>
      <c r="AY2844" s="2" t="str">
        <f>IF($AV2844="","",IF(AND($Z2844=0,COUNTIF('AR SALES'!$L$2:$L$2501,$L2844)=0),"YES",""))</f>
        <v/>
      </c>
      <c r="AZ2844" s="2" t="str">
        <f>IF($AV2844="","",IF(COUNTIF(LISTS!$C$2:$C$250,$AU2844)=0,"NEW",""))</f>
        <v/>
      </c>
      <c r="BA2844" s="2" t="str">
        <f>IF(""&amp;$F2844&lt;&gt;"4","",IF($AY2844="YES","",IF(ROUND(SUMIFS($AE$2:$AE$4001,$L$2:$L$4001,$L2844,$F$2:$F$4001,"4")-SUMIFS('AR SALES'!$Y$2:$Y$2501,'AR SALES'!$L$2:$L$2501,$L2844,'AR SALES'!$AD$2:$AD$2501,"OFF"),2)=0,"","STALE")))</f>
        <v/>
      </c>
      <c r="BB2844" s="2" t="str">
        <f>IF(OR(""&amp;$F2844="2",""&amp;$F2844="4",""&amp;$F2844="G",""&amp;$F2844="H"),IF($AY2844="YES","",IF($AB2844&lt;&gt;0,"",IF(COUNTIFS('AR SALES'!$L$2:$L$2501,$L2844,'AR SALES'!$AD$2:$AD$2501,IF(""&amp;$F2844="4","OFF","ON"),'AR SALES'!$AF$2:$AF$2501,"Y")&gt;0,"","NO EXEMPTION"))),"")</f>
        <v/>
      </c>
    </row>
    <row r="2845" spans="46:54" x14ac:dyDescent="0.25">
      <c r="AT2845" s="2" t="str">
        <f>IF($L2845="","",IFERROR(INDEX('AR SALES'!$H$2:$H$2501,MATCH(""&amp;$L2845,'AR SALES'!$AE$2:$AE$2501,0)),""))</f>
        <v/>
      </c>
      <c r="AU2845" s="2" t="str">
        <f t="shared" si="176"/>
        <v/>
      </c>
      <c r="AV2845" s="2" t="str">
        <f t="shared" si="177"/>
        <v/>
      </c>
      <c r="AW2845" s="2" t="str">
        <f t="shared" si="178"/>
        <v/>
      </c>
      <c r="AX2845" s="2" t="str">
        <f t="shared" si="179"/>
        <v/>
      </c>
      <c r="AY2845" s="2" t="str">
        <f>IF($AV2845="","",IF(AND($Z2845=0,COUNTIF('AR SALES'!$L$2:$L$2501,$L2845)=0),"YES",""))</f>
        <v/>
      </c>
      <c r="AZ2845" s="2" t="str">
        <f>IF($AV2845="","",IF(COUNTIF(LISTS!$C$2:$C$250,$AU2845)=0,"NEW",""))</f>
        <v/>
      </c>
      <c r="BA2845" s="2" t="str">
        <f>IF(""&amp;$F2845&lt;&gt;"4","",IF($AY2845="YES","",IF(ROUND(SUMIFS($AE$2:$AE$4001,$L$2:$L$4001,$L2845,$F$2:$F$4001,"4")-SUMIFS('AR SALES'!$Y$2:$Y$2501,'AR SALES'!$L$2:$L$2501,$L2845,'AR SALES'!$AD$2:$AD$2501,"OFF"),2)=0,"","STALE")))</f>
        <v/>
      </c>
      <c r="BB2845" s="2" t="str">
        <f>IF(OR(""&amp;$F2845="2",""&amp;$F2845="4",""&amp;$F2845="G",""&amp;$F2845="H"),IF($AY2845="YES","",IF($AB2845&lt;&gt;0,"",IF(COUNTIFS('AR SALES'!$L$2:$L$2501,$L2845,'AR SALES'!$AD$2:$AD$2501,IF(""&amp;$F2845="4","OFF","ON"),'AR SALES'!$AF$2:$AF$2501,"Y")&gt;0,"","NO EXEMPTION"))),"")</f>
        <v/>
      </c>
    </row>
    <row r="2846" spans="46:54" x14ac:dyDescent="0.25">
      <c r="AT2846" s="2" t="str">
        <f>IF($L2846="","",IFERROR(INDEX('AR SALES'!$H$2:$H$2501,MATCH(""&amp;$L2846,'AR SALES'!$AE$2:$AE$2501,0)),""))</f>
        <v/>
      </c>
      <c r="AU2846" s="2" t="str">
        <f t="shared" si="176"/>
        <v/>
      </c>
      <c r="AV2846" s="2" t="str">
        <f t="shared" si="177"/>
        <v/>
      </c>
      <c r="AW2846" s="2" t="str">
        <f t="shared" si="178"/>
        <v/>
      </c>
      <c r="AX2846" s="2" t="str">
        <f t="shared" si="179"/>
        <v/>
      </c>
      <c r="AY2846" s="2" t="str">
        <f>IF($AV2846="","",IF(AND($Z2846=0,COUNTIF('AR SALES'!$L$2:$L$2501,$L2846)=0),"YES",""))</f>
        <v/>
      </c>
      <c r="AZ2846" s="2" t="str">
        <f>IF($AV2846="","",IF(COUNTIF(LISTS!$C$2:$C$250,$AU2846)=0,"NEW",""))</f>
        <v/>
      </c>
      <c r="BA2846" s="2" t="str">
        <f>IF(""&amp;$F2846&lt;&gt;"4","",IF($AY2846="YES","",IF(ROUND(SUMIFS($AE$2:$AE$4001,$L$2:$L$4001,$L2846,$F$2:$F$4001,"4")-SUMIFS('AR SALES'!$Y$2:$Y$2501,'AR SALES'!$L$2:$L$2501,$L2846,'AR SALES'!$AD$2:$AD$2501,"OFF"),2)=0,"","STALE")))</f>
        <v/>
      </c>
      <c r="BB2846" s="2" t="str">
        <f>IF(OR(""&amp;$F2846="2",""&amp;$F2846="4",""&amp;$F2846="G",""&amp;$F2846="H"),IF($AY2846="YES","",IF($AB2846&lt;&gt;0,"",IF(COUNTIFS('AR SALES'!$L$2:$L$2501,$L2846,'AR SALES'!$AD$2:$AD$2501,IF(""&amp;$F2846="4","OFF","ON"),'AR SALES'!$AF$2:$AF$2501,"Y")&gt;0,"","NO EXEMPTION"))),"")</f>
        <v/>
      </c>
    </row>
    <row r="2847" spans="46:54" x14ac:dyDescent="0.25">
      <c r="AT2847" s="2" t="str">
        <f>IF($L2847="","",IFERROR(INDEX('AR SALES'!$H$2:$H$2501,MATCH(""&amp;$L2847,'AR SALES'!$AE$2:$AE$2501,0)),""))</f>
        <v/>
      </c>
      <c r="AU2847" s="2" t="str">
        <f t="shared" si="176"/>
        <v/>
      </c>
      <c r="AV2847" s="2" t="str">
        <f t="shared" si="177"/>
        <v/>
      </c>
      <c r="AW2847" s="2" t="str">
        <f t="shared" si="178"/>
        <v/>
      </c>
      <c r="AX2847" s="2" t="str">
        <f t="shared" si="179"/>
        <v/>
      </c>
      <c r="AY2847" s="2" t="str">
        <f>IF($AV2847="","",IF(AND($Z2847=0,COUNTIF('AR SALES'!$L$2:$L$2501,$L2847)=0),"YES",""))</f>
        <v/>
      </c>
      <c r="AZ2847" s="2" t="str">
        <f>IF($AV2847="","",IF(COUNTIF(LISTS!$C$2:$C$250,$AU2847)=0,"NEW",""))</f>
        <v/>
      </c>
      <c r="BA2847" s="2" t="str">
        <f>IF(""&amp;$F2847&lt;&gt;"4","",IF($AY2847="YES","",IF(ROUND(SUMIFS($AE$2:$AE$4001,$L$2:$L$4001,$L2847,$F$2:$F$4001,"4")-SUMIFS('AR SALES'!$Y$2:$Y$2501,'AR SALES'!$L$2:$L$2501,$L2847,'AR SALES'!$AD$2:$AD$2501,"OFF"),2)=0,"","STALE")))</f>
        <v/>
      </c>
      <c r="BB2847" s="2" t="str">
        <f>IF(OR(""&amp;$F2847="2",""&amp;$F2847="4",""&amp;$F2847="G",""&amp;$F2847="H"),IF($AY2847="YES","",IF($AB2847&lt;&gt;0,"",IF(COUNTIFS('AR SALES'!$L$2:$L$2501,$L2847,'AR SALES'!$AD$2:$AD$2501,IF(""&amp;$F2847="4","OFF","ON"),'AR SALES'!$AF$2:$AF$2501,"Y")&gt;0,"","NO EXEMPTION"))),"")</f>
        <v/>
      </c>
    </row>
    <row r="2848" spans="46:54" x14ac:dyDescent="0.25">
      <c r="AT2848" s="2" t="str">
        <f>IF($L2848="","",IFERROR(INDEX('AR SALES'!$H$2:$H$2501,MATCH(""&amp;$L2848,'AR SALES'!$AE$2:$AE$2501,0)),""))</f>
        <v/>
      </c>
      <c r="AU2848" s="2" t="str">
        <f t="shared" si="176"/>
        <v/>
      </c>
      <c r="AV2848" s="2" t="str">
        <f t="shared" si="177"/>
        <v/>
      </c>
      <c r="AW2848" s="2" t="str">
        <f t="shared" si="178"/>
        <v/>
      </c>
      <c r="AX2848" s="2" t="str">
        <f t="shared" si="179"/>
        <v/>
      </c>
      <c r="AY2848" s="2" t="str">
        <f>IF($AV2848="","",IF(AND($Z2848=0,COUNTIF('AR SALES'!$L$2:$L$2501,$L2848)=0),"YES",""))</f>
        <v/>
      </c>
      <c r="AZ2848" s="2" t="str">
        <f>IF($AV2848="","",IF(COUNTIF(LISTS!$C$2:$C$250,$AU2848)=0,"NEW",""))</f>
        <v/>
      </c>
      <c r="BA2848" s="2" t="str">
        <f>IF(""&amp;$F2848&lt;&gt;"4","",IF($AY2848="YES","",IF(ROUND(SUMIFS($AE$2:$AE$4001,$L$2:$L$4001,$L2848,$F$2:$F$4001,"4")-SUMIFS('AR SALES'!$Y$2:$Y$2501,'AR SALES'!$L$2:$L$2501,$L2848,'AR SALES'!$AD$2:$AD$2501,"OFF"),2)=0,"","STALE")))</f>
        <v/>
      </c>
      <c r="BB2848" s="2" t="str">
        <f>IF(OR(""&amp;$F2848="2",""&amp;$F2848="4",""&amp;$F2848="G",""&amp;$F2848="H"),IF($AY2848="YES","",IF($AB2848&lt;&gt;0,"",IF(COUNTIFS('AR SALES'!$L$2:$L$2501,$L2848,'AR SALES'!$AD$2:$AD$2501,IF(""&amp;$F2848="4","OFF","ON"),'AR SALES'!$AF$2:$AF$2501,"Y")&gt;0,"","NO EXEMPTION"))),"")</f>
        <v/>
      </c>
    </row>
    <row r="2849" spans="46:54" x14ac:dyDescent="0.25">
      <c r="AT2849" s="2" t="str">
        <f>IF($L2849="","",IFERROR(INDEX('AR SALES'!$H$2:$H$2501,MATCH(""&amp;$L2849,'AR SALES'!$AE$2:$AE$2501,0)),""))</f>
        <v/>
      </c>
      <c r="AU2849" s="2" t="str">
        <f t="shared" si="176"/>
        <v/>
      </c>
      <c r="AV2849" s="2" t="str">
        <f t="shared" si="177"/>
        <v/>
      </c>
      <c r="AW2849" s="2" t="str">
        <f t="shared" si="178"/>
        <v/>
      </c>
      <c r="AX2849" s="2" t="str">
        <f t="shared" si="179"/>
        <v/>
      </c>
      <c r="AY2849" s="2" t="str">
        <f>IF($AV2849="","",IF(AND($Z2849=0,COUNTIF('AR SALES'!$L$2:$L$2501,$L2849)=0),"YES",""))</f>
        <v/>
      </c>
      <c r="AZ2849" s="2" t="str">
        <f>IF($AV2849="","",IF(COUNTIF(LISTS!$C$2:$C$250,$AU2849)=0,"NEW",""))</f>
        <v/>
      </c>
      <c r="BA2849" s="2" t="str">
        <f>IF(""&amp;$F2849&lt;&gt;"4","",IF($AY2849="YES","",IF(ROUND(SUMIFS($AE$2:$AE$4001,$L$2:$L$4001,$L2849,$F$2:$F$4001,"4")-SUMIFS('AR SALES'!$Y$2:$Y$2501,'AR SALES'!$L$2:$L$2501,$L2849,'AR SALES'!$AD$2:$AD$2501,"OFF"),2)=0,"","STALE")))</f>
        <v/>
      </c>
      <c r="BB2849" s="2" t="str">
        <f>IF(OR(""&amp;$F2849="2",""&amp;$F2849="4",""&amp;$F2849="G",""&amp;$F2849="H"),IF($AY2849="YES","",IF($AB2849&lt;&gt;0,"",IF(COUNTIFS('AR SALES'!$L$2:$L$2501,$L2849,'AR SALES'!$AD$2:$AD$2501,IF(""&amp;$F2849="4","OFF","ON"),'AR SALES'!$AF$2:$AF$2501,"Y")&gt;0,"","NO EXEMPTION"))),"")</f>
        <v/>
      </c>
    </row>
    <row r="2850" spans="46:54" x14ac:dyDescent="0.25">
      <c r="AT2850" s="2" t="str">
        <f>IF($L2850="","",IFERROR(INDEX('AR SALES'!$H$2:$H$2501,MATCH(""&amp;$L2850,'AR SALES'!$AE$2:$AE$2501,0)),""))</f>
        <v/>
      </c>
      <c r="AU2850" s="2" t="str">
        <f t="shared" si="176"/>
        <v/>
      </c>
      <c r="AV2850" s="2" t="str">
        <f t="shared" si="177"/>
        <v/>
      </c>
      <c r="AW2850" s="2" t="str">
        <f t="shared" si="178"/>
        <v/>
      </c>
      <c r="AX2850" s="2" t="str">
        <f t="shared" si="179"/>
        <v/>
      </c>
      <c r="AY2850" s="2" t="str">
        <f>IF($AV2850="","",IF(AND($Z2850=0,COUNTIF('AR SALES'!$L$2:$L$2501,$L2850)=0),"YES",""))</f>
        <v/>
      </c>
      <c r="AZ2850" s="2" t="str">
        <f>IF($AV2850="","",IF(COUNTIF(LISTS!$C$2:$C$250,$AU2850)=0,"NEW",""))</f>
        <v/>
      </c>
      <c r="BA2850" s="2" t="str">
        <f>IF(""&amp;$F2850&lt;&gt;"4","",IF($AY2850="YES","",IF(ROUND(SUMIFS($AE$2:$AE$4001,$L$2:$L$4001,$L2850,$F$2:$F$4001,"4")-SUMIFS('AR SALES'!$Y$2:$Y$2501,'AR SALES'!$L$2:$L$2501,$L2850,'AR SALES'!$AD$2:$AD$2501,"OFF"),2)=0,"","STALE")))</f>
        <v/>
      </c>
      <c r="BB2850" s="2" t="str">
        <f>IF(OR(""&amp;$F2850="2",""&amp;$F2850="4",""&amp;$F2850="G",""&amp;$F2850="H"),IF($AY2850="YES","",IF($AB2850&lt;&gt;0,"",IF(COUNTIFS('AR SALES'!$L$2:$L$2501,$L2850,'AR SALES'!$AD$2:$AD$2501,IF(""&amp;$F2850="4","OFF","ON"),'AR SALES'!$AF$2:$AF$2501,"Y")&gt;0,"","NO EXEMPTION"))),"")</f>
        <v/>
      </c>
    </row>
    <row r="2851" spans="46:54" x14ac:dyDescent="0.25">
      <c r="AT2851" s="2" t="str">
        <f>IF($L2851="","",IFERROR(INDEX('AR SALES'!$H$2:$H$2501,MATCH(""&amp;$L2851,'AR SALES'!$AE$2:$AE$2501,0)),""))</f>
        <v/>
      </c>
      <c r="AU2851" s="2" t="str">
        <f t="shared" si="176"/>
        <v/>
      </c>
      <c r="AV2851" s="2" t="str">
        <f t="shared" si="177"/>
        <v/>
      </c>
      <c r="AW2851" s="2" t="str">
        <f t="shared" si="178"/>
        <v/>
      </c>
      <c r="AX2851" s="2" t="str">
        <f t="shared" si="179"/>
        <v/>
      </c>
      <c r="AY2851" s="2" t="str">
        <f>IF($AV2851="","",IF(AND($Z2851=0,COUNTIF('AR SALES'!$L$2:$L$2501,$L2851)=0),"YES",""))</f>
        <v/>
      </c>
      <c r="AZ2851" s="2" t="str">
        <f>IF($AV2851="","",IF(COUNTIF(LISTS!$C$2:$C$250,$AU2851)=0,"NEW",""))</f>
        <v/>
      </c>
      <c r="BA2851" s="2" t="str">
        <f>IF(""&amp;$F2851&lt;&gt;"4","",IF($AY2851="YES","",IF(ROUND(SUMIFS($AE$2:$AE$4001,$L$2:$L$4001,$L2851,$F$2:$F$4001,"4")-SUMIFS('AR SALES'!$Y$2:$Y$2501,'AR SALES'!$L$2:$L$2501,$L2851,'AR SALES'!$AD$2:$AD$2501,"OFF"),2)=0,"","STALE")))</f>
        <v/>
      </c>
      <c r="BB2851" s="2" t="str">
        <f>IF(OR(""&amp;$F2851="2",""&amp;$F2851="4",""&amp;$F2851="G",""&amp;$F2851="H"),IF($AY2851="YES","",IF($AB2851&lt;&gt;0,"",IF(COUNTIFS('AR SALES'!$L$2:$L$2501,$L2851,'AR SALES'!$AD$2:$AD$2501,IF(""&amp;$F2851="4","OFF","ON"),'AR SALES'!$AF$2:$AF$2501,"Y")&gt;0,"","NO EXEMPTION"))),"")</f>
        <v/>
      </c>
    </row>
    <row r="2852" spans="46:54" x14ac:dyDescent="0.25">
      <c r="AT2852" s="2" t="str">
        <f>IF($L2852="","",IFERROR(INDEX('AR SALES'!$H$2:$H$2501,MATCH(""&amp;$L2852,'AR SALES'!$AE$2:$AE$2501,0)),""))</f>
        <v/>
      </c>
      <c r="AU2852" s="2" t="str">
        <f t="shared" si="176"/>
        <v/>
      </c>
      <c r="AV2852" s="2" t="str">
        <f t="shared" si="177"/>
        <v/>
      </c>
      <c r="AW2852" s="2" t="str">
        <f t="shared" si="178"/>
        <v/>
      </c>
      <c r="AX2852" s="2" t="str">
        <f t="shared" si="179"/>
        <v/>
      </c>
      <c r="AY2852" s="2" t="str">
        <f>IF($AV2852="","",IF(AND($Z2852=0,COUNTIF('AR SALES'!$L$2:$L$2501,$L2852)=0),"YES",""))</f>
        <v/>
      </c>
      <c r="AZ2852" s="2" t="str">
        <f>IF($AV2852="","",IF(COUNTIF(LISTS!$C$2:$C$250,$AU2852)=0,"NEW",""))</f>
        <v/>
      </c>
      <c r="BA2852" s="2" t="str">
        <f>IF(""&amp;$F2852&lt;&gt;"4","",IF($AY2852="YES","",IF(ROUND(SUMIFS($AE$2:$AE$4001,$L$2:$L$4001,$L2852,$F$2:$F$4001,"4")-SUMIFS('AR SALES'!$Y$2:$Y$2501,'AR SALES'!$L$2:$L$2501,$L2852,'AR SALES'!$AD$2:$AD$2501,"OFF"),2)=0,"","STALE")))</f>
        <v/>
      </c>
      <c r="BB2852" s="2" t="str">
        <f>IF(OR(""&amp;$F2852="2",""&amp;$F2852="4",""&amp;$F2852="G",""&amp;$F2852="H"),IF($AY2852="YES","",IF($AB2852&lt;&gt;0,"",IF(COUNTIFS('AR SALES'!$L$2:$L$2501,$L2852,'AR SALES'!$AD$2:$AD$2501,IF(""&amp;$F2852="4","OFF","ON"),'AR SALES'!$AF$2:$AF$2501,"Y")&gt;0,"","NO EXEMPTION"))),"")</f>
        <v/>
      </c>
    </row>
    <row r="2853" spans="46:54" x14ac:dyDescent="0.25">
      <c r="AT2853" s="2" t="str">
        <f>IF($L2853="","",IFERROR(INDEX('AR SALES'!$H$2:$H$2501,MATCH(""&amp;$L2853,'AR SALES'!$AE$2:$AE$2501,0)),""))</f>
        <v/>
      </c>
      <c r="AU2853" s="2" t="str">
        <f t="shared" si="176"/>
        <v/>
      </c>
      <c r="AV2853" s="2" t="str">
        <f t="shared" si="177"/>
        <v/>
      </c>
      <c r="AW2853" s="2" t="str">
        <f t="shared" si="178"/>
        <v/>
      </c>
      <c r="AX2853" s="2" t="str">
        <f t="shared" si="179"/>
        <v/>
      </c>
      <c r="AY2853" s="2" t="str">
        <f>IF($AV2853="","",IF(AND($Z2853=0,COUNTIF('AR SALES'!$L$2:$L$2501,$L2853)=0),"YES",""))</f>
        <v/>
      </c>
      <c r="AZ2853" s="2" t="str">
        <f>IF($AV2853="","",IF(COUNTIF(LISTS!$C$2:$C$250,$AU2853)=0,"NEW",""))</f>
        <v/>
      </c>
      <c r="BA2853" s="2" t="str">
        <f>IF(""&amp;$F2853&lt;&gt;"4","",IF($AY2853="YES","",IF(ROUND(SUMIFS($AE$2:$AE$4001,$L$2:$L$4001,$L2853,$F$2:$F$4001,"4")-SUMIFS('AR SALES'!$Y$2:$Y$2501,'AR SALES'!$L$2:$L$2501,$L2853,'AR SALES'!$AD$2:$AD$2501,"OFF"),2)=0,"","STALE")))</f>
        <v/>
      </c>
      <c r="BB2853" s="2" t="str">
        <f>IF(OR(""&amp;$F2853="2",""&amp;$F2853="4",""&amp;$F2853="G",""&amp;$F2853="H"),IF($AY2853="YES","",IF($AB2853&lt;&gt;0,"",IF(COUNTIFS('AR SALES'!$L$2:$L$2501,$L2853,'AR SALES'!$AD$2:$AD$2501,IF(""&amp;$F2853="4","OFF","ON"),'AR SALES'!$AF$2:$AF$2501,"Y")&gt;0,"","NO EXEMPTION"))),"")</f>
        <v/>
      </c>
    </row>
    <row r="2854" spans="46:54" x14ac:dyDescent="0.25">
      <c r="AT2854" s="2" t="str">
        <f>IF($L2854="","",IFERROR(INDEX('AR SALES'!$H$2:$H$2501,MATCH(""&amp;$L2854,'AR SALES'!$AE$2:$AE$2501,0)),""))</f>
        <v/>
      </c>
      <c r="AU2854" s="2" t="str">
        <f t="shared" si="176"/>
        <v/>
      </c>
      <c r="AV2854" s="2" t="str">
        <f t="shared" si="177"/>
        <v/>
      </c>
      <c r="AW2854" s="2" t="str">
        <f t="shared" si="178"/>
        <v/>
      </c>
      <c r="AX2854" s="2" t="str">
        <f t="shared" si="179"/>
        <v/>
      </c>
      <c r="AY2854" s="2" t="str">
        <f>IF($AV2854="","",IF(AND($Z2854=0,COUNTIF('AR SALES'!$L$2:$L$2501,$L2854)=0),"YES",""))</f>
        <v/>
      </c>
      <c r="AZ2854" s="2" t="str">
        <f>IF($AV2854="","",IF(COUNTIF(LISTS!$C$2:$C$250,$AU2854)=0,"NEW",""))</f>
        <v/>
      </c>
      <c r="BA2854" s="2" t="str">
        <f>IF(""&amp;$F2854&lt;&gt;"4","",IF($AY2854="YES","",IF(ROUND(SUMIFS($AE$2:$AE$4001,$L$2:$L$4001,$L2854,$F$2:$F$4001,"4")-SUMIFS('AR SALES'!$Y$2:$Y$2501,'AR SALES'!$L$2:$L$2501,$L2854,'AR SALES'!$AD$2:$AD$2501,"OFF"),2)=0,"","STALE")))</f>
        <v/>
      </c>
      <c r="BB2854" s="2" t="str">
        <f>IF(OR(""&amp;$F2854="2",""&amp;$F2854="4",""&amp;$F2854="G",""&amp;$F2854="H"),IF($AY2854="YES","",IF($AB2854&lt;&gt;0,"",IF(COUNTIFS('AR SALES'!$L$2:$L$2501,$L2854,'AR SALES'!$AD$2:$AD$2501,IF(""&amp;$F2854="4","OFF","ON"),'AR SALES'!$AF$2:$AF$2501,"Y")&gt;0,"","NO EXEMPTION"))),"")</f>
        <v/>
      </c>
    </row>
    <row r="2855" spans="46:54" x14ac:dyDescent="0.25">
      <c r="AT2855" s="2" t="str">
        <f>IF($L2855="","",IFERROR(INDEX('AR SALES'!$H$2:$H$2501,MATCH(""&amp;$L2855,'AR SALES'!$AE$2:$AE$2501,0)),""))</f>
        <v/>
      </c>
      <c r="AU2855" s="2" t="str">
        <f t="shared" si="176"/>
        <v/>
      </c>
      <c r="AV2855" s="2" t="str">
        <f t="shared" si="177"/>
        <v/>
      </c>
      <c r="AW2855" s="2" t="str">
        <f t="shared" si="178"/>
        <v/>
      </c>
      <c r="AX2855" s="2" t="str">
        <f t="shared" si="179"/>
        <v/>
      </c>
      <c r="AY2855" s="2" t="str">
        <f>IF($AV2855="","",IF(AND($Z2855=0,COUNTIF('AR SALES'!$L$2:$L$2501,$L2855)=0),"YES",""))</f>
        <v/>
      </c>
      <c r="AZ2855" s="2" t="str">
        <f>IF($AV2855="","",IF(COUNTIF(LISTS!$C$2:$C$250,$AU2855)=0,"NEW",""))</f>
        <v/>
      </c>
      <c r="BA2855" s="2" t="str">
        <f>IF(""&amp;$F2855&lt;&gt;"4","",IF($AY2855="YES","",IF(ROUND(SUMIFS($AE$2:$AE$4001,$L$2:$L$4001,$L2855,$F$2:$F$4001,"4")-SUMIFS('AR SALES'!$Y$2:$Y$2501,'AR SALES'!$L$2:$L$2501,$L2855,'AR SALES'!$AD$2:$AD$2501,"OFF"),2)=0,"","STALE")))</f>
        <v/>
      </c>
      <c r="BB2855" s="2" t="str">
        <f>IF(OR(""&amp;$F2855="2",""&amp;$F2855="4",""&amp;$F2855="G",""&amp;$F2855="H"),IF($AY2855="YES","",IF($AB2855&lt;&gt;0,"",IF(COUNTIFS('AR SALES'!$L$2:$L$2501,$L2855,'AR SALES'!$AD$2:$AD$2501,IF(""&amp;$F2855="4","OFF","ON"),'AR SALES'!$AF$2:$AF$2501,"Y")&gt;0,"","NO EXEMPTION"))),"")</f>
        <v/>
      </c>
    </row>
    <row r="2856" spans="46:54" x14ac:dyDescent="0.25">
      <c r="AT2856" s="2" t="str">
        <f>IF($L2856="","",IFERROR(INDEX('AR SALES'!$H$2:$H$2501,MATCH(""&amp;$L2856,'AR SALES'!$AE$2:$AE$2501,0)),""))</f>
        <v/>
      </c>
      <c r="AU2856" s="2" t="str">
        <f t="shared" si="176"/>
        <v/>
      </c>
      <c r="AV2856" s="2" t="str">
        <f t="shared" si="177"/>
        <v/>
      </c>
      <c r="AW2856" s="2" t="str">
        <f t="shared" si="178"/>
        <v/>
      </c>
      <c r="AX2856" s="2" t="str">
        <f t="shared" si="179"/>
        <v/>
      </c>
      <c r="AY2856" s="2" t="str">
        <f>IF($AV2856="","",IF(AND($Z2856=0,COUNTIF('AR SALES'!$L$2:$L$2501,$L2856)=0),"YES",""))</f>
        <v/>
      </c>
      <c r="AZ2856" s="2" t="str">
        <f>IF($AV2856="","",IF(COUNTIF(LISTS!$C$2:$C$250,$AU2856)=0,"NEW",""))</f>
        <v/>
      </c>
      <c r="BA2856" s="2" t="str">
        <f>IF(""&amp;$F2856&lt;&gt;"4","",IF($AY2856="YES","",IF(ROUND(SUMIFS($AE$2:$AE$4001,$L$2:$L$4001,$L2856,$F$2:$F$4001,"4")-SUMIFS('AR SALES'!$Y$2:$Y$2501,'AR SALES'!$L$2:$L$2501,$L2856,'AR SALES'!$AD$2:$AD$2501,"OFF"),2)=0,"","STALE")))</f>
        <v/>
      </c>
      <c r="BB2856" s="2" t="str">
        <f>IF(OR(""&amp;$F2856="2",""&amp;$F2856="4",""&amp;$F2856="G",""&amp;$F2856="H"),IF($AY2856="YES","",IF($AB2856&lt;&gt;0,"",IF(COUNTIFS('AR SALES'!$L$2:$L$2501,$L2856,'AR SALES'!$AD$2:$AD$2501,IF(""&amp;$F2856="4","OFF","ON"),'AR SALES'!$AF$2:$AF$2501,"Y")&gt;0,"","NO EXEMPTION"))),"")</f>
        <v/>
      </c>
    </row>
    <row r="2857" spans="46:54" x14ac:dyDescent="0.25">
      <c r="AT2857" s="2" t="str">
        <f>IF($L2857="","",IFERROR(INDEX('AR SALES'!$H$2:$H$2501,MATCH(""&amp;$L2857,'AR SALES'!$AE$2:$AE$2501,0)),""))</f>
        <v/>
      </c>
      <c r="AU2857" s="2" t="str">
        <f t="shared" si="176"/>
        <v/>
      </c>
      <c r="AV2857" s="2" t="str">
        <f t="shared" si="177"/>
        <v/>
      </c>
      <c r="AW2857" s="2" t="str">
        <f t="shared" si="178"/>
        <v/>
      </c>
      <c r="AX2857" s="2" t="str">
        <f t="shared" si="179"/>
        <v/>
      </c>
      <c r="AY2857" s="2" t="str">
        <f>IF($AV2857="","",IF(AND($Z2857=0,COUNTIF('AR SALES'!$L$2:$L$2501,$L2857)=0),"YES",""))</f>
        <v/>
      </c>
      <c r="AZ2857" s="2" t="str">
        <f>IF($AV2857="","",IF(COUNTIF(LISTS!$C$2:$C$250,$AU2857)=0,"NEW",""))</f>
        <v/>
      </c>
      <c r="BA2857" s="2" t="str">
        <f>IF(""&amp;$F2857&lt;&gt;"4","",IF($AY2857="YES","",IF(ROUND(SUMIFS($AE$2:$AE$4001,$L$2:$L$4001,$L2857,$F$2:$F$4001,"4")-SUMIFS('AR SALES'!$Y$2:$Y$2501,'AR SALES'!$L$2:$L$2501,$L2857,'AR SALES'!$AD$2:$AD$2501,"OFF"),2)=0,"","STALE")))</f>
        <v/>
      </c>
      <c r="BB2857" s="2" t="str">
        <f>IF(OR(""&amp;$F2857="2",""&amp;$F2857="4",""&amp;$F2857="G",""&amp;$F2857="H"),IF($AY2857="YES","",IF($AB2857&lt;&gt;0,"",IF(COUNTIFS('AR SALES'!$L$2:$L$2501,$L2857,'AR SALES'!$AD$2:$AD$2501,IF(""&amp;$F2857="4","OFF","ON"),'AR SALES'!$AF$2:$AF$2501,"Y")&gt;0,"","NO EXEMPTION"))),"")</f>
        <v/>
      </c>
    </row>
    <row r="2858" spans="46:54" x14ac:dyDescent="0.25">
      <c r="AT2858" s="2" t="str">
        <f>IF($L2858="","",IFERROR(INDEX('AR SALES'!$H$2:$H$2501,MATCH(""&amp;$L2858,'AR SALES'!$AE$2:$AE$2501,0)),""))</f>
        <v/>
      </c>
      <c r="AU2858" s="2" t="str">
        <f t="shared" si="176"/>
        <v/>
      </c>
      <c r="AV2858" s="2" t="str">
        <f t="shared" si="177"/>
        <v/>
      </c>
      <c r="AW2858" s="2" t="str">
        <f t="shared" si="178"/>
        <v/>
      </c>
      <c r="AX2858" s="2" t="str">
        <f t="shared" si="179"/>
        <v/>
      </c>
      <c r="AY2858" s="2" t="str">
        <f>IF($AV2858="","",IF(AND($Z2858=0,COUNTIF('AR SALES'!$L$2:$L$2501,$L2858)=0),"YES",""))</f>
        <v/>
      </c>
      <c r="AZ2858" s="2" t="str">
        <f>IF($AV2858="","",IF(COUNTIF(LISTS!$C$2:$C$250,$AU2858)=0,"NEW",""))</f>
        <v/>
      </c>
      <c r="BA2858" s="2" t="str">
        <f>IF(""&amp;$F2858&lt;&gt;"4","",IF($AY2858="YES","",IF(ROUND(SUMIFS($AE$2:$AE$4001,$L$2:$L$4001,$L2858,$F$2:$F$4001,"4")-SUMIFS('AR SALES'!$Y$2:$Y$2501,'AR SALES'!$L$2:$L$2501,$L2858,'AR SALES'!$AD$2:$AD$2501,"OFF"),2)=0,"","STALE")))</f>
        <v/>
      </c>
      <c r="BB2858" s="2" t="str">
        <f>IF(OR(""&amp;$F2858="2",""&amp;$F2858="4",""&amp;$F2858="G",""&amp;$F2858="H"),IF($AY2858="YES","",IF($AB2858&lt;&gt;0,"",IF(COUNTIFS('AR SALES'!$L$2:$L$2501,$L2858,'AR SALES'!$AD$2:$AD$2501,IF(""&amp;$F2858="4","OFF","ON"),'AR SALES'!$AF$2:$AF$2501,"Y")&gt;0,"","NO EXEMPTION"))),"")</f>
        <v/>
      </c>
    </row>
    <row r="2859" spans="46:54" x14ac:dyDescent="0.25">
      <c r="AT2859" s="2" t="str">
        <f>IF($L2859="","",IFERROR(INDEX('AR SALES'!$H$2:$H$2501,MATCH(""&amp;$L2859,'AR SALES'!$AE$2:$AE$2501,0)),""))</f>
        <v/>
      </c>
      <c r="AU2859" s="2" t="str">
        <f t="shared" si="176"/>
        <v/>
      </c>
      <c r="AV2859" s="2" t="str">
        <f t="shared" si="177"/>
        <v/>
      </c>
      <c r="AW2859" s="2" t="str">
        <f t="shared" si="178"/>
        <v/>
      </c>
      <c r="AX2859" s="2" t="str">
        <f t="shared" si="179"/>
        <v/>
      </c>
      <c r="AY2859" s="2" t="str">
        <f>IF($AV2859="","",IF(AND($Z2859=0,COUNTIF('AR SALES'!$L$2:$L$2501,$L2859)=0),"YES",""))</f>
        <v/>
      </c>
      <c r="AZ2859" s="2" t="str">
        <f>IF($AV2859="","",IF(COUNTIF(LISTS!$C$2:$C$250,$AU2859)=0,"NEW",""))</f>
        <v/>
      </c>
      <c r="BA2859" s="2" t="str">
        <f>IF(""&amp;$F2859&lt;&gt;"4","",IF($AY2859="YES","",IF(ROUND(SUMIFS($AE$2:$AE$4001,$L$2:$L$4001,$L2859,$F$2:$F$4001,"4")-SUMIFS('AR SALES'!$Y$2:$Y$2501,'AR SALES'!$L$2:$L$2501,$L2859,'AR SALES'!$AD$2:$AD$2501,"OFF"),2)=0,"","STALE")))</f>
        <v/>
      </c>
      <c r="BB2859" s="2" t="str">
        <f>IF(OR(""&amp;$F2859="2",""&amp;$F2859="4",""&amp;$F2859="G",""&amp;$F2859="H"),IF($AY2859="YES","",IF($AB2859&lt;&gt;0,"",IF(COUNTIFS('AR SALES'!$L$2:$L$2501,$L2859,'AR SALES'!$AD$2:$AD$2501,IF(""&amp;$F2859="4","OFF","ON"),'AR SALES'!$AF$2:$AF$2501,"Y")&gt;0,"","NO EXEMPTION"))),"")</f>
        <v/>
      </c>
    </row>
    <row r="2860" spans="46:54" x14ac:dyDescent="0.25">
      <c r="AT2860" s="2" t="str">
        <f>IF($L2860="","",IFERROR(INDEX('AR SALES'!$H$2:$H$2501,MATCH(""&amp;$L2860,'AR SALES'!$AE$2:$AE$2501,0)),""))</f>
        <v/>
      </c>
      <c r="AU2860" s="2" t="str">
        <f t="shared" si="176"/>
        <v/>
      </c>
      <c r="AV2860" s="2" t="str">
        <f t="shared" si="177"/>
        <v/>
      </c>
      <c r="AW2860" s="2" t="str">
        <f t="shared" si="178"/>
        <v/>
      </c>
      <c r="AX2860" s="2" t="str">
        <f t="shared" si="179"/>
        <v/>
      </c>
      <c r="AY2860" s="2" t="str">
        <f>IF($AV2860="","",IF(AND($Z2860=0,COUNTIF('AR SALES'!$L$2:$L$2501,$L2860)=0),"YES",""))</f>
        <v/>
      </c>
      <c r="AZ2860" s="2" t="str">
        <f>IF($AV2860="","",IF(COUNTIF(LISTS!$C$2:$C$250,$AU2860)=0,"NEW",""))</f>
        <v/>
      </c>
      <c r="BA2860" s="2" t="str">
        <f>IF(""&amp;$F2860&lt;&gt;"4","",IF($AY2860="YES","",IF(ROUND(SUMIFS($AE$2:$AE$4001,$L$2:$L$4001,$L2860,$F$2:$F$4001,"4")-SUMIFS('AR SALES'!$Y$2:$Y$2501,'AR SALES'!$L$2:$L$2501,$L2860,'AR SALES'!$AD$2:$AD$2501,"OFF"),2)=0,"","STALE")))</f>
        <v/>
      </c>
      <c r="BB2860" s="2" t="str">
        <f>IF(OR(""&amp;$F2860="2",""&amp;$F2860="4",""&amp;$F2860="G",""&amp;$F2860="H"),IF($AY2860="YES","",IF($AB2860&lt;&gt;0,"",IF(COUNTIFS('AR SALES'!$L$2:$L$2501,$L2860,'AR SALES'!$AD$2:$AD$2501,IF(""&amp;$F2860="4","OFF","ON"),'AR SALES'!$AF$2:$AF$2501,"Y")&gt;0,"","NO EXEMPTION"))),"")</f>
        <v/>
      </c>
    </row>
    <row r="2861" spans="46:54" x14ac:dyDescent="0.25">
      <c r="AT2861" s="2" t="str">
        <f>IF($L2861="","",IFERROR(INDEX('AR SALES'!$H$2:$H$2501,MATCH(""&amp;$L2861,'AR SALES'!$AE$2:$AE$2501,0)),""))</f>
        <v/>
      </c>
      <c r="AU2861" s="2" t="str">
        <f t="shared" si="176"/>
        <v/>
      </c>
      <c r="AV2861" s="2" t="str">
        <f t="shared" si="177"/>
        <v/>
      </c>
      <c r="AW2861" s="2" t="str">
        <f t="shared" si="178"/>
        <v/>
      </c>
      <c r="AX2861" s="2" t="str">
        <f t="shared" si="179"/>
        <v/>
      </c>
      <c r="AY2861" s="2" t="str">
        <f>IF($AV2861="","",IF(AND($Z2861=0,COUNTIF('AR SALES'!$L$2:$L$2501,$L2861)=0),"YES",""))</f>
        <v/>
      </c>
      <c r="AZ2861" s="2" t="str">
        <f>IF($AV2861="","",IF(COUNTIF(LISTS!$C$2:$C$250,$AU2861)=0,"NEW",""))</f>
        <v/>
      </c>
      <c r="BA2861" s="2" t="str">
        <f>IF(""&amp;$F2861&lt;&gt;"4","",IF($AY2861="YES","",IF(ROUND(SUMIFS($AE$2:$AE$4001,$L$2:$L$4001,$L2861,$F$2:$F$4001,"4")-SUMIFS('AR SALES'!$Y$2:$Y$2501,'AR SALES'!$L$2:$L$2501,$L2861,'AR SALES'!$AD$2:$AD$2501,"OFF"),2)=0,"","STALE")))</f>
        <v/>
      </c>
      <c r="BB2861" s="2" t="str">
        <f>IF(OR(""&amp;$F2861="2",""&amp;$F2861="4",""&amp;$F2861="G",""&amp;$F2861="H"),IF($AY2861="YES","",IF($AB2861&lt;&gt;0,"",IF(COUNTIFS('AR SALES'!$L$2:$L$2501,$L2861,'AR SALES'!$AD$2:$AD$2501,IF(""&amp;$F2861="4","OFF","ON"),'AR SALES'!$AF$2:$AF$2501,"Y")&gt;0,"","NO EXEMPTION"))),"")</f>
        <v/>
      </c>
    </row>
    <row r="2862" spans="46:54" x14ac:dyDescent="0.25">
      <c r="AT2862" s="2" t="str">
        <f>IF($L2862="","",IFERROR(INDEX('AR SALES'!$H$2:$H$2501,MATCH(""&amp;$L2862,'AR SALES'!$AE$2:$AE$2501,0)),""))</f>
        <v/>
      </c>
      <c r="AU2862" s="2" t="str">
        <f t="shared" si="176"/>
        <v/>
      </c>
      <c r="AV2862" s="2" t="str">
        <f t="shared" si="177"/>
        <v/>
      </c>
      <c r="AW2862" s="2" t="str">
        <f t="shared" si="178"/>
        <v/>
      </c>
      <c r="AX2862" s="2" t="str">
        <f t="shared" si="179"/>
        <v/>
      </c>
      <c r="AY2862" s="2" t="str">
        <f>IF($AV2862="","",IF(AND($Z2862=0,COUNTIF('AR SALES'!$L$2:$L$2501,$L2862)=0),"YES",""))</f>
        <v/>
      </c>
      <c r="AZ2862" s="2" t="str">
        <f>IF($AV2862="","",IF(COUNTIF(LISTS!$C$2:$C$250,$AU2862)=0,"NEW",""))</f>
        <v/>
      </c>
      <c r="BA2862" s="2" t="str">
        <f>IF(""&amp;$F2862&lt;&gt;"4","",IF($AY2862="YES","",IF(ROUND(SUMIFS($AE$2:$AE$4001,$L$2:$L$4001,$L2862,$F$2:$F$4001,"4")-SUMIFS('AR SALES'!$Y$2:$Y$2501,'AR SALES'!$L$2:$L$2501,$L2862,'AR SALES'!$AD$2:$AD$2501,"OFF"),2)=0,"","STALE")))</f>
        <v/>
      </c>
      <c r="BB2862" s="2" t="str">
        <f>IF(OR(""&amp;$F2862="2",""&amp;$F2862="4",""&amp;$F2862="G",""&amp;$F2862="H"),IF($AY2862="YES","",IF($AB2862&lt;&gt;0,"",IF(COUNTIFS('AR SALES'!$L$2:$L$2501,$L2862,'AR SALES'!$AD$2:$AD$2501,IF(""&amp;$F2862="4","OFF","ON"),'AR SALES'!$AF$2:$AF$2501,"Y")&gt;0,"","NO EXEMPTION"))),"")</f>
        <v/>
      </c>
    </row>
    <row r="2863" spans="46:54" x14ac:dyDescent="0.25">
      <c r="AT2863" s="2" t="str">
        <f>IF($L2863="","",IFERROR(INDEX('AR SALES'!$H$2:$H$2501,MATCH(""&amp;$L2863,'AR SALES'!$AE$2:$AE$2501,0)),""))</f>
        <v/>
      </c>
      <c r="AU2863" s="2" t="str">
        <f t="shared" si="176"/>
        <v/>
      </c>
      <c r="AV2863" s="2" t="str">
        <f t="shared" si="177"/>
        <v/>
      </c>
      <c r="AW2863" s="2" t="str">
        <f t="shared" si="178"/>
        <v/>
      </c>
      <c r="AX2863" s="2" t="str">
        <f t="shared" si="179"/>
        <v/>
      </c>
      <c r="AY2863" s="2" t="str">
        <f>IF($AV2863="","",IF(AND($Z2863=0,COUNTIF('AR SALES'!$L$2:$L$2501,$L2863)=0),"YES",""))</f>
        <v/>
      </c>
      <c r="AZ2863" s="2" t="str">
        <f>IF($AV2863="","",IF(COUNTIF(LISTS!$C$2:$C$250,$AU2863)=0,"NEW",""))</f>
        <v/>
      </c>
      <c r="BA2863" s="2" t="str">
        <f>IF(""&amp;$F2863&lt;&gt;"4","",IF($AY2863="YES","",IF(ROUND(SUMIFS($AE$2:$AE$4001,$L$2:$L$4001,$L2863,$F$2:$F$4001,"4")-SUMIFS('AR SALES'!$Y$2:$Y$2501,'AR SALES'!$L$2:$L$2501,$L2863,'AR SALES'!$AD$2:$AD$2501,"OFF"),2)=0,"","STALE")))</f>
        <v/>
      </c>
      <c r="BB2863" s="2" t="str">
        <f>IF(OR(""&amp;$F2863="2",""&amp;$F2863="4",""&amp;$F2863="G",""&amp;$F2863="H"),IF($AY2863="YES","",IF($AB2863&lt;&gt;0,"",IF(COUNTIFS('AR SALES'!$L$2:$L$2501,$L2863,'AR SALES'!$AD$2:$AD$2501,IF(""&amp;$F2863="4","OFF","ON"),'AR SALES'!$AF$2:$AF$2501,"Y")&gt;0,"","NO EXEMPTION"))),"")</f>
        <v/>
      </c>
    </row>
    <row r="2864" spans="46:54" x14ac:dyDescent="0.25">
      <c r="AT2864" s="2" t="str">
        <f>IF($L2864="","",IFERROR(INDEX('AR SALES'!$H$2:$H$2501,MATCH(""&amp;$L2864,'AR SALES'!$AE$2:$AE$2501,0)),""))</f>
        <v/>
      </c>
      <c r="AU2864" s="2" t="str">
        <f t="shared" si="176"/>
        <v/>
      </c>
      <c r="AV2864" s="2" t="str">
        <f t="shared" si="177"/>
        <v/>
      </c>
      <c r="AW2864" s="2" t="str">
        <f t="shared" si="178"/>
        <v/>
      </c>
      <c r="AX2864" s="2" t="str">
        <f t="shared" si="179"/>
        <v/>
      </c>
      <c r="AY2864" s="2" t="str">
        <f>IF($AV2864="","",IF(AND($Z2864=0,COUNTIF('AR SALES'!$L$2:$L$2501,$L2864)=0),"YES",""))</f>
        <v/>
      </c>
      <c r="AZ2864" s="2" t="str">
        <f>IF($AV2864="","",IF(COUNTIF(LISTS!$C$2:$C$250,$AU2864)=0,"NEW",""))</f>
        <v/>
      </c>
      <c r="BA2864" s="2" t="str">
        <f>IF(""&amp;$F2864&lt;&gt;"4","",IF($AY2864="YES","",IF(ROUND(SUMIFS($AE$2:$AE$4001,$L$2:$L$4001,$L2864,$F$2:$F$4001,"4")-SUMIFS('AR SALES'!$Y$2:$Y$2501,'AR SALES'!$L$2:$L$2501,$L2864,'AR SALES'!$AD$2:$AD$2501,"OFF"),2)=0,"","STALE")))</f>
        <v/>
      </c>
      <c r="BB2864" s="2" t="str">
        <f>IF(OR(""&amp;$F2864="2",""&amp;$F2864="4",""&amp;$F2864="G",""&amp;$F2864="H"),IF($AY2864="YES","",IF($AB2864&lt;&gt;0,"",IF(COUNTIFS('AR SALES'!$L$2:$L$2501,$L2864,'AR SALES'!$AD$2:$AD$2501,IF(""&amp;$F2864="4","OFF","ON"),'AR SALES'!$AF$2:$AF$2501,"Y")&gt;0,"","NO EXEMPTION"))),"")</f>
        <v/>
      </c>
    </row>
    <row r="2865" spans="46:54" x14ac:dyDescent="0.25">
      <c r="AT2865" s="2" t="str">
        <f>IF($L2865="","",IFERROR(INDEX('AR SALES'!$H$2:$H$2501,MATCH(""&amp;$L2865,'AR SALES'!$AE$2:$AE$2501,0)),""))</f>
        <v/>
      </c>
      <c r="AU2865" s="2" t="str">
        <f t="shared" si="176"/>
        <v/>
      </c>
      <c r="AV2865" s="2" t="str">
        <f t="shared" si="177"/>
        <v/>
      </c>
      <c r="AW2865" s="2" t="str">
        <f t="shared" si="178"/>
        <v/>
      </c>
      <c r="AX2865" s="2" t="str">
        <f t="shared" si="179"/>
        <v/>
      </c>
      <c r="AY2865" s="2" t="str">
        <f>IF($AV2865="","",IF(AND($Z2865=0,COUNTIF('AR SALES'!$L$2:$L$2501,$L2865)=0),"YES",""))</f>
        <v/>
      </c>
      <c r="AZ2865" s="2" t="str">
        <f>IF($AV2865="","",IF(COUNTIF(LISTS!$C$2:$C$250,$AU2865)=0,"NEW",""))</f>
        <v/>
      </c>
      <c r="BA2865" s="2" t="str">
        <f>IF(""&amp;$F2865&lt;&gt;"4","",IF($AY2865="YES","",IF(ROUND(SUMIFS($AE$2:$AE$4001,$L$2:$L$4001,$L2865,$F$2:$F$4001,"4")-SUMIFS('AR SALES'!$Y$2:$Y$2501,'AR SALES'!$L$2:$L$2501,$L2865,'AR SALES'!$AD$2:$AD$2501,"OFF"),2)=0,"","STALE")))</f>
        <v/>
      </c>
      <c r="BB2865" s="2" t="str">
        <f>IF(OR(""&amp;$F2865="2",""&amp;$F2865="4",""&amp;$F2865="G",""&amp;$F2865="H"),IF($AY2865="YES","",IF($AB2865&lt;&gt;0,"",IF(COUNTIFS('AR SALES'!$L$2:$L$2501,$L2865,'AR SALES'!$AD$2:$AD$2501,IF(""&amp;$F2865="4","OFF","ON"),'AR SALES'!$AF$2:$AF$2501,"Y")&gt;0,"","NO EXEMPTION"))),"")</f>
        <v/>
      </c>
    </row>
    <row r="2866" spans="46:54" x14ac:dyDescent="0.25">
      <c r="AT2866" s="2" t="str">
        <f>IF($L2866="","",IFERROR(INDEX('AR SALES'!$H$2:$H$2501,MATCH(""&amp;$L2866,'AR SALES'!$AE$2:$AE$2501,0)),""))</f>
        <v/>
      </c>
      <c r="AU2866" s="2" t="str">
        <f t="shared" si="176"/>
        <v/>
      </c>
      <c r="AV2866" s="2" t="str">
        <f t="shared" si="177"/>
        <v/>
      </c>
      <c r="AW2866" s="2" t="str">
        <f t="shared" si="178"/>
        <v/>
      </c>
      <c r="AX2866" s="2" t="str">
        <f t="shared" si="179"/>
        <v/>
      </c>
      <c r="AY2866" s="2" t="str">
        <f>IF($AV2866="","",IF(AND($Z2866=0,COUNTIF('AR SALES'!$L$2:$L$2501,$L2866)=0),"YES",""))</f>
        <v/>
      </c>
      <c r="AZ2866" s="2" t="str">
        <f>IF($AV2866="","",IF(COUNTIF(LISTS!$C$2:$C$250,$AU2866)=0,"NEW",""))</f>
        <v/>
      </c>
      <c r="BA2866" s="2" t="str">
        <f>IF(""&amp;$F2866&lt;&gt;"4","",IF($AY2866="YES","",IF(ROUND(SUMIFS($AE$2:$AE$4001,$L$2:$L$4001,$L2866,$F$2:$F$4001,"4")-SUMIFS('AR SALES'!$Y$2:$Y$2501,'AR SALES'!$L$2:$L$2501,$L2866,'AR SALES'!$AD$2:$AD$2501,"OFF"),2)=0,"","STALE")))</f>
        <v/>
      </c>
      <c r="BB2866" s="2" t="str">
        <f>IF(OR(""&amp;$F2866="2",""&amp;$F2866="4",""&amp;$F2866="G",""&amp;$F2866="H"),IF($AY2866="YES","",IF($AB2866&lt;&gt;0,"",IF(COUNTIFS('AR SALES'!$L$2:$L$2501,$L2866,'AR SALES'!$AD$2:$AD$2501,IF(""&amp;$F2866="4","OFF","ON"),'AR SALES'!$AF$2:$AF$2501,"Y")&gt;0,"","NO EXEMPTION"))),"")</f>
        <v/>
      </c>
    </row>
    <row r="2867" spans="46:54" x14ac:dyDescent="0.25">
      <c r="AT2867" s="2" t="str">
        <f>IF($L2867="","",IFERROR(INDEX('AR SALES'!$H$2:$H$2501,MATCH(""&amp;$L2867,'AR SALES'!$AE$2:$AE$2501,0)),""))</f>
        <v/>
      </c>
      <c r="AU2867" s="2" t="str">
        <f t="shared" si="176"/>
        <v/>
      </c>
      <c r="AV2867" s="2" t="str">
        <f t="shared" si="177"/>
        <v/>
      </c>
      <c r="AW2867" s="2" t="str">
        <f t="shared" si="178"/>
        <v/>
      </c>
      <c r="AX2867" s="2" t="str">
        <f t="shared" si="179"/>
        <v/>
      </c>
      <c r="AY2867" s="2" t="str">
        <f>IF($AV2867="","",IF(AND($Z2867=0,COUNTIF('AR SALES'!$L$2:$L$2501,$L2867)=0),"YES",""))</f>
        <v/>
      </c>
      <c r="AZ2867" s="2" t="str">
        <f>IF($AV2867="","",IF(COUNTIF(LISTS!$C$2:$C$250,$AU2867)=0,"NEW",""))</f>
        <v/>
      </c>
      <c r="BA2867" s="2" t="str">
        <f>IF(""&amp;$F2867&lt;&gt;"4","",IF($AY2867="YES","",IF(ROUND(SUMIFS($AE$2:$AE$4001,$L$2:$L$4001,$L2867,$F$2:$F$4001,"4")-SUMIFS('AR SALES'!$Y$2:$Y$2501,'AR SALES'!$L$2:$L$2501,$L2867,'AR SALES'!$AD$2:$AD$2501,"OFF"),2)=0,"","STALE")))</f>
        <v/>
      </c>
      <c r="BB2867" s="2" t="str">
        <f>IF(OR(""&amp;$F2867="2",""&amp;$F2867="4",""&amp;$F2867="G",""&amp;$F2867="H"),IF($AY2867="YES","",IF($AB2867&lt;&gt;0,"",IF(COUNTIFS('AR SALES'!$L$2:$L$2501,$L2867,'AR SALES'!$AD$2:$AD$2501,IF(""&amp;$F2867="4","OFF","ON"),'AR SALES'!$AF$2:$AF$2501,"Y")&gt;0,"","NO EXEMPTION"))),"")</f>
        <v/>
      </c>
    </row>
    <row r="2868" spans="46:54" x14ac:dyDescent="0.25">
      <c r="AT2868" s="2" t="str">
        <f>IF($L2868="","",IFERROR(INDEX('AR SALES'!$H$2:$H$2501,MATCH(""&amp;$L2868,'AR SALES'!$AE$2:$AE$2501,0)),""))</f>
        <v/>
      </c>
      <c r="AU2868" s="2" t="str">
        <f t="shared" si="176"/>
        <v/>
      </c>
      <c r="AV2868" s="2" t="str">
        <f t="shared" si="177"/>
        <v/>
      </c>
      <c r="AW2868" s="2" t="str">
        <f t="shared" si="178"/>
        <v/>
      </c>
      <c r="AX2868" s="2" t="str">
        <f t="shared" si="179"/>
        <v/>
      </c>
      <c r="AY2868" s="2" t="str">
        <f>IF($AV2868="","",IF(AND($Z2868=0,COUNTIF('AR SALES'!$L$2:$L$2501,$L2868)=0),"YES",""))</f>
        <v/>
      </c>
      <c r="AZ2868" s="2" t="str">
        <f>IF($AV2868="","",IF(COUNTIF(LISTS!$C$2:$C$250,$AU2868)=0,"NEW",""))</f>
        <v/>
      </c>
      <c r="BA2868" s="2" t="str">
        <f>IF(""&amp;$F2868&lt;&gt;"4","",IF($AY2868="YES","",IF(ROUND(SUMIFS($AE$2:$AE$4001,$L$2:$L$4001,$L2868,$F$2:$F$4001,"4")-SUMIFS('AR SALES'!$Y$2:$Y$2501,'AR SALES'!$L$2:$L$2501,$L2868,'AR SALES'!$AD$2:$AD$2501,"OFF"),2)=0,"","STALE")))</f>
        <v/>
      </c>
      <c r="BB2868" s="2" t="str">
        <f>IF(OR(""&amp;$F2868="2",""&amp;$F2868="4",""&amp;$F2868="G",""&amp;$F2868="H"),IF($AY2868="YES","",IF($AB2868&lt;&gt;0,"",IF(COUNTIFS('AR SALES'!$L$2:$L$2501,$L2868,'AR SALES'!$AD$2:$AD$2501,IF(""&amp;$F2868="4","OFF","ON"),'AR SALES'!$AF$2:$AF$2501,"Y")&gt;0,"","NO EXEMPTION"))),"")</f>
        <v/>
      </c>
    </row>
    <row r="2869" spans="46:54" x14ac:dyDescent="0.25">
      <c r="AT2869" s="2" t="str">
        <f>IF($L2869="","",IFERROR(INDEX('AR SALES'!$H$2:$H$2501,MATCH(""&amp;$L2869,'AR SALES'!$AE$2:$AE$2501,0)),""))</f>
        <v/>
      </c>
      <c r="AU2869" s="2" t="str">
        <f t="shared" si="176"/>
        <v/>
      </c>
      <c r="AV2869" s="2" t="str">
        <f t="shared" si="177"/>
        <v/>
      </c>
      <c r="AW2869" s="2" t="str">
        <f t="shared" si="178"/>
        <v/>
      </c>
      <c r="AX2869" s="2" t="str">
        <f t="shared" si="179"/>
        <v/>
      </c>
      <c r="AY2869" s="2" t="str">
        <f>IF($AV2869="","",IF(AND($Z2869=0,COUNTIF('AR SALES'!$L$2:$L$2501,$L2869)=0),"YES",""))</f>
        <v/>
      </c>
      <c r="AZ2869" s="2" t="str">
        <f>IF($AV2869="","",IF(COUNTIF(LISTS!$C$2:$C$250,$AU2869)=0,"NEW",""))</f>
        <v/>
      </c>
      <c r="BA2869" s="2" t="str">
        <f>IF(""&amp;$F2869&lt;&gt;"4","",IF($AY2869="YES","",IF(ROUND(SUMIFS($AE$2:$AE$4001,$L$2:$L$4001,$L2869,$F$2:$F$4001,"4")-SUMIFS('AR SALES'!$Y$2:$Y$2501,'AR SALES'!$L$2:$L$2501,$L2869,'AR SALES'!$AD$2:$AD$2501,"OFF"),2)=0,"","STALE")))</f>
        <v/>
      </c>
      <c r="BB2869" s="2" t="str">
        <f>IF(OR(""&amp;$F2869="2",""&amp;$F2869="4",""&amp;$F2869="G",""&amp;$F2869="H"),IF($AY2869="YES","",IF($AB2869&lt;&gt;0,"",IF(COUNTIFS('AR SALES'!$L$2:$L$2501,$L2869,'AR SALES'!$AD$2:$AD$2501,IF(""&amp;$F2869="4","OFF","ON"),'AR SALES'!$AF$2:$AF$2501,"Y")&gt;0,"","NO EXEMPTION"))),"")</f>
        <v/>
      </c>
    </row>
    <row r="2870" spans="46:54" x14ac:dyDescent="0.25">
      <c r="AT2870" s="2" t="str">
        <f>IF($L2870="","",IFERROR(INDEX('AR SALES'!$H$2:$H$2501,MATCH(""&amp;$L2870,'AR SALES'!$AE$2:$AE$2501,0)),""))</f>
        <v/>
      </c>
      <c r="AU2870" s="2" t="str">
        <f t="shared" si="176"/>
        <v/>
      </c>
      <c r="AV2870" s="2" t="str">
        <f t="shared" si="177"/>
        <v/>
      </c>
      <c r="AW2870" s="2" t="str">
        <f t="shared" si="178"/>
        <v/>
      </c>
      <c r="AX2870" s="2" t="str">
        <f t="shared" si="179"/>
        <v/>
      </c>
      <c r="AY2870" s="2" t="str">
        <f>IF($AV2870="","",IF(AND($Z2870=0,COUNTIF('AR SALES'!$L$2:$L$2501,$L2870)=0),"YES",""))</f>
        <v/>
      </c>
      <c r="AZ2870" s="2" t="str">
        <f>IF($AV2870="","",IF(COUNTIF(LISTS!$C$2:$C$250,$AU2870)=0,"NEW",""))</f>
        <v/>
      </c>
      <c r="BA2870" s="2" t="str">
        <f>IF(""&amp;$F2870&lt;&gt;"4","",IF($AY2870="YES","",IF(ROUND(SUMIFS($AE$2:$AE$4001,$L$2:$L$4001,$L2870,$F$2:$F$4001,"4")-SUMIFS('AR SALES'!$Y$2:$Y$2501,'AR SALES'!$L$2:$L$2501,$L2870,'AR SALES'!$AD$2:$AD$2501,"OFF"),2)=0,"","STALE")))</f>
        <v/>
      </c>
      <c r="BB2870" s="2" t="str">
        <f>IF(OR(""&amp;$F2870="2",""&amp;$F2870="4",""&amp;$F2870="G",""&amp;$F2870="H"),IF($AY2870="YES","",IF($AB2870&lt;&gt;0,"",IF(COUNTIFS('AR SALES'!$L$2:$L$2501,$L2870,'AR SALES'!$AD$2:$AD$2501,IF(""&amp;$F2870="4","OFF","ON"),'AR SALES'!$AF$2:$AF$2501,"Y")&gt;0,"","NO EXEMPTION"))),"")</f>
        <v/>
      </c>
    </row>
    <row r="2871" spans="46:54" x14ac:dyDescent="0.25">
      <c r="AT2871" s="2" t="str">
        <f>IF($L2871="","",IFERROR(INDEX('AR SALES'!$H$2:$H$2501,MATCH(""&amp;$L2871,'AR SALES'!$AE$2:$AE$2501,0)),""))</f>
        <v/>
      </c>
      <c r="AU2871" s="2" t="str">
        <f t="shared" si="176"/>
        <v/>
      </c>
      <c r="AV2871" s="2" t="str">
        <f t="shared" si="177"/>
        <v/>
      </c>
      <c r="AW2871" s="2" t="str">
        <f t="shared" si="178"/>
        <v/>
      </c>
      <c r="AX2871" s="2" t="str">
        <f t="shared" si="179"/>
        <v/>
      </c>
      <c r="AY2871" s="2" t="str">
        <f>IF($AV2871="","",IF(AND($Z2871=0,COUNTIF('AR SALES'!$L$2:$L$2501,$L2871)=0),"YES",""))</f>
        <v/>
      </c>
      <c r="AZ2871" s="2" t="str">
        <f>IF($AV2871="","",IF(COUNTIF(LISTS!$C$2:$C$250,$AU2871)=0,"NEW",""))</f>
        <v/>
      </c>
      <c r="BA2871" s="2" t="str">
        <f>IF(""&amp;$F2871&lt;&gt;"4","",IF($AY2871="YES","",IF(ROUND(SUMIFS($AE$2:$AE$4001,$L$2:$L$4001,$L2871,$F$2:$F$4001,"4")-SUMIFS('AR SALES'!$Y$2:$Y$2501,'AR SALES'!$L$2:$L$2501,$L2871,'AR SALES'!$AD$2:$AD$2501,"OFF"),2)=0,"","STALE")))</f>
        <v/>
      </c>
      <c r="BB2871" s="2" t="str">
        <f>IF(OR(""&amp;$F2871="2",""&amp;$F2871="4",""&amp;$F2871="G",""&amp;$F2871="H"),IF($AY2871="YES","",IF($AB2871&lt;&gt;0,"",IF(COUNTIFS('AR SALES'!$L$2:$L$2501,$L2871,'AR SALES'!$AD$2:$AD$2501,IF(""&amp;$F2871="4","OFF","ON"),'AR SALES'!$AF$2:$AF$2501,"Y")&gt;0,"","NO EXEMPTION"))),"")</f>
        <v/>
      </c>
    </row>
    <row r="2872" spans="46:54" x14ac:dyDescent="0.25">
      <c r="AT2872" s="2" t="str">
        <f>IF($L2872="","",IFERROR(INDEX('AR SALES'!$H$2:$H$2501,MATCH(""&amp;$L2872,'AR SALES'!$AE$2:$AE$2501,0)),""))</f>
        <v/>
      </c>
      <c r="AU2872" s="2" t="str">
        <f t="shared" si="176"/>
        <v/>
      </c>
      <c r="AV2872" s="2" t="str">
        <f t="shared" si="177"/>
        <v/>
      </c>
      <c r="AW2872" s="2" t="str">
        <f t="shared" si="178"/>
        <v/>
      </c>
      <c r="AX2872" s="2" t="str">
        <f t="shared" si="179"/>
        <v/>
      </c>
      <c r="AY2872" s="2" t="str">
        <f>IF($AV2872="","",IF(AND($Z2872=0,COUNTIF('AR SALES'!$L$2:$L$2501,$L2872)=0),"YES",""))</f>
        <v/>
      </c>
      <c r="AZ2872" s="2" t="str">
        <f>IF($AV2872="","",IF(COUNTIF(LISTS!$C$2:$C$250,$AU2872)=0,"NEW",""))</f>
        <v/>
      </c>
      <c r="BA2872" s="2" t="str">
        <f>IF(""&amp;$F2872&lt;&gt;"4","",IF($AY2872="YES","",IF(ROUND(SUMIFS($AE$2:$AE$4001,$L$2:$L$4001,$L2872,$F$2:$F$4001,"4")-SUMIFS('AR SALES'!$Y$2:$Y$2501,'AR SALES'!$L$2:$L$2501,$L2872,'AR SALES'!$AD$2:$AD$2501,"OFF"),2)=0,"","STALE")))</f>
        <v/>
      </c>
      <c r="BB2872" s="2" t="str">
        <f>IF(OR(""&amp;$F2872="2",""&amp;$F2872="4",""&amp;$F2872="G",""&amp;$F2872="H"),IF($AY2872="YES","",IF($AB2872&lt;&gt;0,"",IF(COUNTIFS('AR SALES'!$L$2:$L$2501,$L2872,'AR SALES'!$AD$2:$AD$2501,IF(""&amp;$F2872="4","OFF","ON"),'AR SALES'!$AF$2:$AF$2501,"Y")&gt;0,"","NO EXEMPTION"))),"")</f>
        <v/>
      </c>
    </row>
    <row r="2873" spans="46:54" x14ac:dyDescent="0.25">
      <c r="AT2873" s="2" t="str">
        <f>IF($L2873="","",IFERROR(INDEX('AR SALES'!$H$2:$H$2501,MATCH(""&amp;$L2873,'AR SALES'!$AE$2:$AE$2501,0)),""))</f>
        <v/>
      </c>
      <c r="AU2873" s="2" t="str">
        <f t="shared" si="176"/>
        <v/>
      </c>
      <c r="AV2873" s="2" t="str">
        <f t="shared" si="177"/>
        <v/>
      </c>
      <c r="AW2873" s="2" t="str">
        <f t="shared" si="178"/>
        <v/>
      </c>
      <c r="AX2873" s="2" t="str">
        <f t="shared" si="179"/>
        <v/>
      </c>
      <c r="AY2873" s="2" t="str">
        <f>IF($AV2873="","",IF(AND($Z2873=0,COUNTIF('AR SALES'!$L$2:$L$2501,$L2873)=0),"YES",""))</f>
        <v/>
      </c>
      <c r="AZ2873" s="2" t="str">
        <f>IF($AV2873="","",IF(COUNTIF(LISTS!$C$2:$C$250,$AU2873)=0,"NEW",""))</f>
        <v/>
      </c>
      <c r="BA2873" s="2" t="str">
        <f>IF(""&amp;$F2873&lt;&gt;"4","",IF($AY2873="YES","",IF(ROUND(SUMIFS($AE$2:$AE$4001,$L$2:$L$4001,$L2873,$F$2:$F$4001,"4")-SUMIFS('AR SALES'!$Y$2:$Y$2501,'AR SALES'!$L$2:$L$2501,$L2873,'AR SALES'!$AD$2:$AD$2501,"OFF"),2)=0,"","STALE")))</f>
        <v/>
      </c>
      <c r="BB2873" s="2" t="str">
        <f>IF(OR(""&amp;$F2873="2",""&amp;$F2873="4",""&amp;$F2873="G",""&amp;$F2873="H"),IF($AY2873="YES","",IF($AB2873&lt;&gt;0,"",IF(COUNTIFS('AR SALES'!$L$2:$L$2501,$L2873,'AR SALES'!$AD$2:$AD$2501,IF(""&amp;$F2873="4","OFF","ON"),'AR SALES'!$AF$2:$AF$2501,"Y")&gt;0,"","NO EXEMPTION"))),"")</f>
        <v/>
      </c>
    </row>
    <row r="2874" spans="46:54" x14ac:dyDescent="0.25">
      <c r="AT2874" s="2" t="str">
        <f>IF($L2874="","",IFERROR(INDEX('AR SALES'!$H$2:$H$2501,MATCH(""&amp;$L2874,'AR SALES'!$AE$2:$AE$2501,0)),""))</f>
        <v/>
      </c>
      <c r="AU2874" s="2" t="str">
        <f t="shared" si="176"/>
        <v/>
      </c>
      <c r="AV2874" s="2" t="str">
        <f t="shared" si="177"/>
        <v/>
      </c>
      <c r="AW2874" s="2" t="str">
        <f t="shared" si="178"/>
        <v/>
      </c>
      <c r="AX2874" s="2" t="str">
        <f t="shared" si="179"/>
        <v/>
      </c>
      <c r="AY2874" s="2" t="str">
        <f>IF($AV2874="","",IF(AND($Z2874=0,COUNTIF('AR SALES'!$L$2:$L$2501,$L2874)=0),"YES",""))</f>
        <v/>
      </c>
      <c r="AZ2874" s="2" t="str">
        <f>IF($AV2874="","",IF(COUNTIF(LISTS!$C$2:$C$250,$AU2874)=0,"NEW",""))</f>
        <v/>
      </c>
      <c r="BA2874" s="2" t="str">
        <f>IF(""&amp;$F2874&lt;&gt;"4","",IF($AY2874="YES","",IF(ROUND(SUMIFS($AE$2:$AE$4001,$L$2:$L$4001,$L2874,$F$2:$F$4001,"4")-SUMIFS('AR SALES'!$Y$2:$Y$2501,'AR SALES'!$L$2:$L$2501,$L2874,'AR SALES'!$AD$2:$AD$2501,"OFF"),2)=0,"","STALE")))</f>
        <v/>
      </c>
      <c r="BB2874" s="2" t="str">
        <f>IF(OR(""&amp;$F2874="2",""&amp;$F2874="4",""&amp;$F2874="G",""&amp;$F2874="H"),IF($AY2874="YES","",IF($AB2874&lt;&gt;0,"",IF(COUNTIFS('AR SALES'!$L$2:$L$2501,$L2874,'AR SALES'!$AD$2:$AD$2501,IF(""&amp;$F2874="4","OFF","ON"),'AR SALES'!$AF$2:$AF$2501,"Y")&gt;0,"","NO EXEMPTION"))),"")</f>
        <v/>
      </c>
    </row>
    <row r="2875" spans="46:54" x14ac:dyDescent="0.25">
      <c r="AT2875" s="2" t="str">
        <f>IF($L2875="","",IFERROR(INDEX('AR SALES'!$H$2:$H$2501,MATCH(""&amp;$L2875,'AR SALES'!$AE$2:$AE$2501,0)),""))</f>
        <v/>
      </c>
      <c r="AU2875" s="2" t="str">
        <f t="shared" si="176"/>
        <v/>
      </c>
      <c r="AV2875" s="2" t="str">
        <f t="shared" si="177"/>
        <v/>
      </c>
      <c r="AW2875" s="2" t="str">
        <f t="shared" si="178"/>
        <v/>
      </c>
      <c r="AX2875" s="2" t="str">
        <f t="shared" si="179"/>
        <v/>
      </c>
      <c r="AY2875" s="2" t="str">
        <f>IF($AV2875="","",IF(AND($Z2875=0,COUNTIF('AR SALES'!$L$2:$L$2501,$L2875)=0),"YES",""))</f>
        <v/>
      </c>
      <c r="AZ2875" s="2" t="str">
        <f>IF($AV2875="","",IF(COUNTIF(LISTS!$C$2:$C$250,$AU2875)=0,"NEW",""))</f>
        <v/>
      </c>
      <c r="BA2875" s="2" t="str">
        <f>IF(""&amp;$F2875&lt;&gt;"4","",IF($AY2875="YES","",IF(ROUND(SUMIFS($AE$2:$AE$4001,$L$2:$L$4001,$L2875,$F$2:$F$4001,"4")-SUMIFS('AR SALES'!$Y$2:$Y$2501,'AR SALES'!$L$2:$L$2501,$L2875,'AR SALES'!$AD$2:$AD$2501,"OFF"),2)=0,"","STALE")))</f>
        <v/>
      </c>
      <c r="BB2875" s="2" t="str">
        <f>IF(OR(""&amp;$F2875="2",""&amp;$F2875="4",""&amp;$F2875="G",""&amp;$F2875="H"),IF($AY2875="YES","",IF($AB2875&lt;&gt;0,"",IF(COUNTIFS('AR SALES'!$L$2:$L$2501,$L2875,'AR SALES'!$AD$2:$AD$2501,IF(""&amp;$F2875="4","OFF","ON"),'AR SALES'!$AF$2:$AF$2501,"Y")&gt;0,"","NO EXEMPTION"))),"")</f>
        <v/>
      </c>
    </row>
    <row r="2876" spans="46:54" x14ac:dyDescent="0.25">
      <c r="AT2876" s="2" t="str">
        <f>IF($L2876="","",IFERROR(INDEX('AR SALES'!$H$2:$H$2501,MATCH(""&amp;$L2876,'AR SALES'!$AE$2:$AE$2501,0)),""))</f>
        <v/>
      </c>
      <c r="AU2876" s="2" t="str">
        <f t="shared" si="176"/>
        <v/>
      </c>
      <c r="AV2876" s="2" t="str">
        <f t="shared" si="177"/>
        <v/>
      </c>
      <c r="AW2876" s="2" t="str">
        <f t="shared" si="178"/>
        <v/>
      </c>
      <c r="AX2876" s="2" t="str">
        <f t="shared" si="179"/>
        <v/>
      </c>
      <c r="AY2876" s="2" t="str">
        <f>IF($AV2876="","",IF(AND($Z2876=0,COUNTIF('AR SALES'!$L$2:$L$2501,$L2876)=0),"YES",""))</f>
        <v/>
      </c>
      <c r="AZ2876" s="2" t="str">
        <f>IF($AV2876="","",IF(COUNTIF(LISTS!$C$2:$C$250,$AU2876)=0,"NEW",""))</f>
        <v/>
      </c>
      <c r="BA2876" s="2" t="str">
        <f>IF(""&amp;$F2876&lt;&gt;"4","",IF($AY2876="YES","",IF(ROUND(SUMIFS($AE$2:$AE$4001,$L$2:$L$4001,$L2876,$F$2:$F$4001,"4")-SUMIFS('AR SALES'!$Y$2:$Y$2501,'AR SALES'!$L$2:$L$2501,$L2876,'AR SALES'!$AD$2:$AD$2501,"OFF"),2)=0,"","STALE")))</f>
        <v/>
      </c>
      <c r="BB2876" s="2" t="str">
        <f>IF(OR(""&amp;$F2876="2",""&amp;$F2876="4",""&amp;$F2876="G",""&amp;$F2876="H"),IF($AY2876="YES","",IF($AB2876&lt;&gt;0,"",IF(COUNTIFS('AR SALES'!$L$2:$L$2501,$L2876,'AR SALES'!$AD$2:$AD$2501,IF(""&amp;$F2876="4","OFF","ON"),'AR SALES'!$AF$2:$AF$2501,"Y")&gt;0,"","NO EXEMPTION"))),"")</f>
        <v/>
      </c>
    </row>
    <row r="2877" spans="46:54" x14ac:dyDescent="0.25">
      <c r="AT2877" s="2" t="str">
        <f>IF($L2877="","",IFERROR(INDEX('AR SALES'!$H$2:$H$2501,MATCH(""&amp;$L2877,'AR SALES'!$AE$2:$AE$2501,0)),""))</f>
        <v/>
      </c>
      <c r="AU2877" s="2" t="str">
        <f t="shared" si="176"/>
        <v/>
      </c>
      <c r="AV2877" s="2" t="str">
        <f t="shared" si="177"/>
        <v/>
      </c>
      <c r="AW2877" s="2" t="str">
        <f t="shared" si="178"/>
        <v/>
      </c>
      <c r="AX2877" s="2" t="str">
        <f t="shared" si="179"/>
        <v/>
      </c>
      <c r="AY2877" s="2" t="str">
        <f>IF($AV2877="","",IF(AND($Z2877=0,COUNTIF('AR SALES'!$L$2:$L$2501,$L2877)=0),"YES",""))</f>
        <v/>
      </c>
      <c r="AZ2877" s="2" t="str">
        <f>IF($AV2877="","",IF(COUNTIF(LISTS!$C$2:$C$250,$AU2877)=0,"NEW",""))</f>
        <v/>
      </c>
      <c r="BA2877" s="2" t="str">
        <f>IF(""&amp;$F2877&lt;&gt;"4","",IF($AY2877="YES","",IF(ROUND(SUMIFS($AE$2:$AE$4001,$L$2:$L$4001,$L2877,$F$2:$F$4001,"4")-SUMIFS('AR SALES'!$Y$2:$Y$2501,'AR SALES'!$L$2:$L$2501,$L2877,'AR SALES'!$AD$2:$AD$2501,"OFF"),2)=0,"","STALE")))</f>
        <v/>
      </c>
      <c r="BB2877" s="2" t="str">
        <f>IF(OR(""&amp;$F2877="2",""&amp;$F2877="4",""&amp;$F2877="G",""&amp;$F2877="H"),IF($AY2877="YES","",IF($AB2877&lt;&gt;0,"",IF(COUNTIFS('AR SALES'!$L$2:$L$2501,$L2877,'AR SALES'!$AD$2:$AD$2501,IF(""&amp;$F2877="4","OFF","ON"),'AR SALES'!$AF$2:$AF$2501,"Y")&gt;0,"","NO EXEMPTION"))),"")</f>
        <v/>
      </c>
    </row>
    <row r="2878" spans="46:54" x14ac:dyDescent="0.25">
      <c r="AT2878" s="2" t="str">
        <f>IF($L2878="","",IFERROR(INDEX('AR SALES'!$H$2:$H$2501,MATCH(""&amp;$L2878,'AR SALES'!$AE$2:$AE$2501,0)),""))</f>
        <v/>
      </c>
      <c r="AU2878" s="2" t="str">
        <f t="shared" si="176"/>
        <v/>
      </c>
      <c r="AV2878" s="2" t="str">
        <f t="shared" si="177"/>
        <v/>
      </c>
      <c r="AW2878" s="2" t="str">
        <f t="shared" si="178"/>
        <v/>
      </c>
      <c r="AX2878" s="2" t="str">
        <f t="shared" si="179"/>
        <v/>
      </c>
      <c r="AY2878" s="2" t="str">
        <f>IF($AV2878="","",IF(AND($Z2878=0,COUNTIF('AR SALES'!$L$2:$L$2501,$L2878)=0),"YES",""))</f>
        <v/>
      </c>
      <c r="AZ2878" s="2" t="str">
        <f>IF($AV2878="","",IF(COUNTIF(LISTS!$C$2:$C$250,$AU2878)=0,"NEW",""))</f>
        <v/>
      </c>
      <c r="BA2878" s="2" t="str">
        <f>IF(""&amp;$F2878&lt;&gt;"4","",IF($AY2878="YES","",IF(ROUND(SUMIFS($AE$2:$AE$4001,$L$2:$L$4001,$L2878,$F$2:$F$4001,"4")-SUMIFS('AR SALES'!$Y$2:$Y$2501,'AR SALES'!$L$2:$L$2501,$L2878,'AR SALES'!$AD$2:$AD$2501,"OFF"),2)=0,"","STALE")))</f>
        <v/>
      </c>
      <c r="BB2878" s="2" t="str">
        <f>IF(OR(""&amp;$F2878="2",""&amp;$F2878="4",""&amp;$F2878="G",""&amp;$F2878="H"),IF($AY2878="YES","",IF($AB2878&lt;&gt;0,"",IF(COUNTIFS('AR SALES'!$L$2:$L$2501,$L2878,'AR SALES'!$AD$2:$AD$2501,IF(""&amp;$F2878="4","OFF","ON"),'AR SALES'!$AF$2:$AF$2501,"Y")&gt;0,"","NO EXEMPTION"))),"")</f>
        <v/>
      </c>
    </row>
    <row r="2879" spans="46:54" x14ac:dyDescent="0.25">
      <c r="AT2879" s="2" t="str">
        <f>IF($L2879="","",IFERROR(INDEX('AR SALES'!$H$2:$H$2501,MATCH(""&amp;$L2879,'AR SALES'!$AE$2:$AE$2501,0)),""))</f>
        <v/>
      </c>
      <c r="AU2879" s="2" t="str">
        <f t="shared" si="176"/>
        <v/>
      </c>
      <c r="AV2879" s="2" t="str">
        <f t="shared" si="177"/>
        <v/>
      </c>
      <c r="AW2879" s="2" t="str">
        <f t="shared" si="178"/>
        <v/>
      </c>
      <c r="AX2879" s="2" t="str">
        <f t="shared" si="179"/>
        <v/>
      </c>
      <c r="AY2879" s="2" t="str">
        <f>IF($AV2879="","",IF(AND($Z2879=0,COUNTIF('AR SALES'!$L$2:$L$2501,$L2879)=0),"YES",""))</f>
        <v/>
      </c>
      <c r="AZ2879" s="2" t="str">
        <f>IF($AV2879="","",IF(COUNTIF(LISTS!$C$2:$C$250,$AU2879)=0,"NEW",""))</f>
        <v/>
      </c>
      <c r="BA2879" s="2" t="str">
        <f>IF(""&amp;$F2879&lt;&gt;"4","",IF($AY2879="YES","",IF(ROUND(SUMIFS($AE$2:$AE$4001,$L$2:$L$4001,$L2879,$F$2:$F$4001,"4")-SUMIFS('AR SALES'!$Y$2:$Y$2501,'AR SALES'!$L$2:$L$2501,$L2879,'AR SALES'!$AD$2:$AD$2501,"OFF"),2)=0,"","STALE")))</f>
        <v/>
      </c>
      <c r="BB2879" s="2" t="str">
        <f>IF(OR(""&amp;$F2879="2",""&amp;$F2879="4",""&amp;$F2879="G",""&amp;$F2879="H"),IF($AY2879="YES","",IF($AB2879&lt;&gt;0,"",IF(COUNTIFS('AR SALES'!$L$2:$L$2501,$L2879,'AR SALES'!$AD$2:$AD$2501,IF(""&amp;$F2879="4","OFF","ON"),'AR SALES'!$AF$2:$AF$2501,"Y")&gt;0,"","NO EXEMPTION"))),"")</f>
        <v/>
      </c>
    </row>
    <row r="2880" spans="46:54" x14ac:dyDescent="0.25">
      <c r="AT2880" s="2" t="str">
        <f>IF($L2880="","",IFERROR(INDEX('AR SALES'!$H$2:$H$2501,MATCH(""&amp;$L2880,'AR SALES'!$AE$2:$AE$2501,0)),""))</f>
        <v/>
      </c>
      <c r="AU2880" s="2" t="str">
        <f t="shared" si="176"/>
        <v/>
      </c>
      <c r="AV2880" s="2" t="str">
        <f t="shared" si="177"/>
        <v/>
      </c>
      <c r="AW2880" s="2" t="str">
        <f t="shared" si="178"/>
        <v/>
      </c>
      <c r="AX2880" s="2" t="str">
        <f t="shared" si="179"/>
        <v/>
      </c>
      <c r="AY2880" s="2" t="str">
        <f>IF($AV2880="","",IF(AND($Z2880=0,COUNTIF('AR SALES'!$L$2:$L$2501,$L2880)=0),"YES",""))</f>
        <v/>
      </c>
      <c r="AZ2880" s="2" t="str">
        <f>IF($AV2880="","",IF(COUNTIF(LISTS!$C$2:$C$250,$AU2880)=0,"NEW",""))</f>
        <v/>
      </c>
      <c r="BA2880" s="2" t="str">
        <f>IF(""&amp;$F2880&lt;&gt;"4","",IF($AY2880="YES","",IF(ROUND(SUMIFS($AE$2:$AE$4001,$L$2:$L$4001,$L2880,$F$2:$F$4001,"4")-SUMIFS('AR SALES'!$Y$2:$Y$2501,'AR SALES'!$L$2:$L$2501,$L2880,'AR SALES'!$AD$2:$AD$2501,"OFF"),2)=0,"","STALE")))</f>
        <v/>
      </c>
      <c r="BB2880" s="2" t="str">
        <f>IF(OR(""&amp;$F2880="2",""&amp;$F2880="4",""&amp;$F2880="G",""&amp;$F2880="H"),IF($AY2880="YES","",IF($AB2880&lt;&gt;0,"",IF(COUNTIFS('AR SALES'!$L$2:$L$2501,$L2880,'AR SALES'!$AD$2:$AD$2501,IF(""&amp;$F2880="4","OFF","ON"),'AR SALES'!$AF$2:$AF$2501,"Y")&gt;0,"","NO EXEMPTION"))),"")</f>
        <v/>
      </c>
    </row>
    <row r="2881" spans="46:54" x14ac:dyDescent="0.25">
      <c r="AT2881" s="2" t="str">
        <f>IF($L2881="","",IFERROR(INDEX('AR SALES'!$H$2:$H$2501,MATCH(""&amp;$L2881,'AR SALES'!$AE$2:$AE$2501,0)),""))</f>
        <v/>
      </c>
      <c r="AU2881" s="2" t="str">
        <f t="shared" si="176"/>
        <v/>
      </c>
      <c r="AV2881" s="2" t="str">
        <f t="shared" si="177"/>
        <v/>
      </c>
      <c r="AW2881" s="2" t="str">
        <f t="shared" si="178"/>
        <v/>
      </c>
      <c r="AX2881" s="2" t="str">
        <f t="shared" si="179"/>
        <v/>
      </c>
      <c r="AY2881" s="2" t="str">
        <f>IF($AV2881="","",IF(AND($Z2881=0,COUNTIF('AR SALES'!$L$2:$L$2501,$L2881)=0),"YES",""))</f>
        <v/>
      </c>
      <c r="AZ2881" s="2" t="str">
        <f>IF($AV2881="","",IF(COUNTIF(LISTS!$C$2:$C$250,$AU2881)=0,"NEW",""))</f>
        <v/>
      </c>
      <c r="BA2881" s="2" t="str">
        <f>IF(""&amp;$F2881&lt;&gt;"4","",IF($AY2881="YES","",IF(ROUND(SUMIFS($AE$2:$AE$4001,$L$2:$L$4001,$L2881,$F$2:$F$4001,"4")-SUMIFS('AR SALES'!$Y$2:$Y$2501,'AR SALES'!$L$2:$L$2501,$L2881,'AR SALES'!$AD$2:$AD$2501,"OFF"),2)=0,"","STALE")))</f>
        <v/>
      </c>
      <c r="BB2881" s="2" t="str">
        <f>IF(OR(""&amp;$F2881="2",""&amp;$F2881="4",""&amp;$F2881="G",""&amp;$F2881="H"),IF($AY2881="YES","",IF($AB2881&lt;&gt;0,"",IF(COUNTIFS('AR SALES'!$L$2:$L$2501,$L2881,'AR SALES'!$AD$2:$AD$2501,IF(""&amp;$F2881="4","OFF","ON"),'AR SALES'!$AF$2:$AF$2501,"Y")&gt;0,"","NO EXEMPTION"))),"")</f>
        <v/>
      </c>
    </row>
    <row r="2882" spans="46:54" x14ac:dyDescent="0.25">
      <c r="AT2882" s="2" t="str">
        <f>IF($L2882="","",IFERROR(INDEX('AR SALES'!$H$2:$H$2501,MATCH(""&amp;$L2882,'AR SALES'!$AE$2:$AE$2501,0)),""))</f>
        <v/>
      </c>
      <c r="AU2882" s="2" t="str">
        <f t="shared" ref="AU2882:AU2945" si="180">IF($L2882="","",IF($A2882&lt;&gt;"GA","",IF($E2882="FULTON",IF(ISNUMBER(SEARCH("COLLEGE PARK",$AT2882)),"FULTON (COLLEGE PARK)",IF(ISNUMBER(SEARCH("ATLANTA CITY",$AT2882)),"FULTON (ATL LIMITS)","FULTON")),IF($E2882="DEKALB",IF(ISNUMBER(SEARCH("ATLANTA CITY",$AT2882)),"DEKALB (ATL LIMITS)","DEKALB"),$E2882))))</f>
        <v/>
      </c>
      <c r="AV2882" s="2" t="str">
        <f t="shared" ref="AV2882:AV2945" si="181">IF($L2882="","",IF(""&amp;$F2882="2","DIESEL",IF(OR(""&amp;$F2882="G",""&amp;$F2882="H"),"GAS","")))</f>
        <v/>
      </c>
      <c r="AW2882" s="2" t="str">
        <f t="shared" ref="AW2882:AW2945" si="182">IF($AV2882="","",$R2882)</f>
        <v/>
      </c>
      <c r="AX2882" s="2" t="str">
        <f t="shared" ref="AX2882:AX2945" si="183">IF($AV2882="","",IF($AB2882=0,$R2882,0))</f>
        <v/>
      </c>
      <c r="AY2882" s="2" t="str">
        <f>IF($AV2882="","",IF(AND($Z2882=0,COUNTIF('AR SALES'!$L$2:$L$2501,$L2882)=0),"YES",""))</f>
        <v/>
      </c>
      <c r="AZ2882" s="2" t="str">
        <f>IF($AV2882="","",IF(COUNTIF(LISTS!$C$2:$C$250,$AU2882)=0,"NEW",""))</f>
        <v/>
      </c>
      <c r="BA2882" s="2" t="str">
        <f>IF(""&amp;$F2882&lt;&gt;"4","",IF($AY2882="YES","",IF(ROUND(SUMIFS($AE$2:$AE$4001,$L$2:$L$4001,$L2882,$F$2:$F$4001,"4")-SUMIFS('AR SALES'!$Y$2:$Y$2501,'AR SALES'!$L$2:$L$2501,$L2882,'AR SALES'!$AD$2:$AD$2501,"OFF"),2)=0,"","STALE")))</f>
        <v/>
      </c>
      <c r="BB2882" s="2" t="str">
        <f>IF(OR(""&amp;$F2882="2",""&amp;$F2882="4",""&amp;$F2882="G",""&amp;$F2882="H"),IF($AY2882="YES","",IF($AB2882&lt;&gt;0,"",IF(COUNTIFS('AR SALES'!$L$2:$L$2501,$L2882,'AR SALES'!$AD$2:$AD$2501,IF(""&amp;$F2882="4","OFF","ON"),'AR SALES'!$AF$2:$AF$2501,"Y")&gt;0,"","NO EXEMPTION"))),"")</f>
        <v/>
      </c>
    </row>
    <row r="2883" spans="46:54" x14ac:dyDescent="0.25">
      <c r="AT2883" s="2" t="str">
        <f>IF($L2883="","",IFERROR(INDEX('AR SALES'!$H$2:$H$2501,MATCH(""&amp;$L2883,'AR SALES'!$AE$2:$AE$2501,0)),""))</f>
        <v/>
      </c>
      <c r="AU2883" s="2" t="str">
        <f t="shared" si="180"/>
        <v/>
      </c>
      <c r="AV2883" s="2" t="str">
        <f t="shared" si="181"/>
        <v/>
      </c>
      <c r="AW2883" s="2" t="str">
        <f t="shared" si="182"/>
        <v/>
      </c>
      <c r="AX2883" s="2" t="str">
        <f t="shared" si="183"/>
        <v/>
      </c>
      <c r="AY2883" s="2" t="str">
        <f>IF($AV2883="","",IF(AND($Z2883=0,COUNTIF('AR SALES'!$L$2:$L$2501,$L2883)=0),"YES",""))</f>
        <v/>
      </c>
      <c r="AZ2883" s="2" t="str">
        <f>IF($AV2883="","",IF(COUNTIF(LISTS!$C$2:$C$250,$AU2883)=0,"NEW",""))</f>
        <v/>
      </c>
      <c r="BA2883" s="2" t="str">
        <f>IF(""&amp;$F2883&lt;&gt;"4","",IF($AY2883="YES","",IF(ROUND(SUMIFS($AE$2:$AE$4001,$L$2:$L$4001,$L2883,$F$2:$F$4001,"4")-SUMIFS('AR SALES'!$Y$2:$Y$2501,'AR SALES'!$L$2:$L$2501,$L2883,'AR SALES'!$AD$2:$AD$2501,"OFF"),2)=0,"","STALE")))</f>
        <v/>
      </c>
      <c r="BB2883" s="2" t="str">
        <f>IF(OR(""&amp;$F2883="2",""&amp;$F2883="4",""&amp;$F2883="G",""&amp;$F2883="H"),IF($AY2883="YES","",IF($AB2883&lt;&gt;0,"",IF(COUNTIFS('AR SALES'!$L$2:$L$2501,$L2883,'AR SALES'!$AD$2:$AD$2501,IF(""&amp;$F2883="4","OFF","ON"),'AR SALES'!$AF$2:$AF$2501,"Y")&gt;0,"","NO EXEMPTION"))),"")</f>
        <v/>
      </c>
    </row>
    <row r="2884" spans="46:54" x14ac:dyDescent="0.25">
      <c r="AT2884" s="2" t="str">
        <f>IF($L2884="","",IFERROR(INDEX('AR SALES'!$H$2:$H$2501,MATCH(""&amp;$L2884,'AR SALES'!$AE$2:$AE$2501,0)),""))</f>
        <v/>
      </c>
      <c r="AU2884" s="2" t="str">
        <f t="shared" si="180"/>
        <v/>
      </c>
      <c r="AV2884" s="2" t="str">
        <f t="shared" si="181"/>
        <v/>
      </c>
      <c r="AW2884" s="2" t="str">
        <f t="shared" si="182"/>
        <v/>
      </c>
      <c r="AX2884" s="2" t="str">
        <f t="shared" si="183"/>
        <v/>
      </c>
      <c r="AY2884" s="2" t="str">
        <f>IF($AV2884="","",IF(AND($Z2884=0,COUNTIF('AR SALES'!$L$2:$L$2501,$L2884)=0),"YES",""))</f>
        <v/>
      </c>
      <c r="AZ2884" s="2" t="str">
        <f>IF($AV2884="","",IF(COUNTIF(LISTS!$C$2:$C$250,$AU2884)=0,"NEW",""))</f>
        <v/>
      </c>
      <c r="BA2884" s="2" t="str">
        <f>IF(""&amp;$F2884&lt;&gt;"4","",IF($AY2884="YES","",IF(ROUND(SUMIFS($AE$2:$AE$4001,$L$2:$L$4001,$L2884,$F$2:$F$4001,"4")-SUMIFS('AR SALES'!$Y$2:$Y$2501,'AR SALES'!$L$2:$L$2501,$L2884,'AR SALES'!$AD$2:$AD$2501,"OFF"),2)=0,"","STALE")))</f>
        <v/>
      </c>
      <c r="BB2884" s="2" t="str">
        <f>IF(OR(""&amp;$F2884="2",""&amp;$F2884="4",""&amp;$F2884="G",""&amp;$F2884="H"),IF($AY2884="YES","",IF($AB2884&lt;&gt;0,"",IF(COUNTIFS('AR SALES'!$L$2:$L$2501,$L2884,'AR SALES'!$AD$2:$AD$2501,IF(""&amp;$F2884="4","OFF","ON"),'AR SALES'!$AF$2:$AF$2501,"Y")&gt;0,"","NO EXEMPTION"))),"")</f>
        <v/>
      </c>
    </row>
    <row r="2885" spans="46:54" x14ac:dyDescent="0.25">
      <c r="AT2885" s="2" t="str">
        <f>IF($L2885="","",IFERROR(INDEX('AR SALES'!$H$2:$H$2501,MATCH(""&amp;$L2885,'AR SALES'!$AE$2:$AE$2501,0)),""))</f>
        <v/>
      </c>
      <c r="AU2885" s="2" t="str">
        <f t="shared" si="180"/>
        <v/>
      </c>
      <c r="AV2885" s="2" t="str">
        <f t="shared" si="181"/>
        <v/>
      </c>
      <c r="AW2885" s="2" t="str">
        <f t="shared" si="182"/>
        <v/>
      </c>
      <c r="AX2885" s="2" t="str">
        <f t="shared" si="183"/>
        <v/>
      </c>
      <c r="AY2885" s="2" t="str">
        <f>IF($AV2885="","",IF(AND($Z2885=0,COUNTIF('AR SALES'!$L$2:$L$2501,$L2885)=0),"YES",""))</f>
        <v/>
      </c>
      <c r="AZ2885" s="2" t="str">
        <f>IF($AV2885="","",IF(COUNTIF(LISTS!$C$2:$C$250,$AU2885)=0,"NEW",""))</f>
        <v/>
      </c>
      <c r="BA2885" s="2" t="str">
        <f>IF(""&amp;$F2885&lt;&gt;"4","",IF($AY2885="YES","",IF(ROUND(SUMIFS($AE$2:$AE$4001,$L$2:$L$4001,$L2885,$F$2:$F$4001,"4")-SUMIFS('AR SALES'!$Y$2:$Y$2501,'AR SALES'!$L$2:$L$2501,$L2885,'AR SALES'!$AD$2:$AD$2501,"OFF"),2)=0,"","STALE")))</f>
        <v/>
      </c>
      <c r="BB2885" s="2" t="str">
        <f>IF(OR(""&amp;$F2885="2",""&amp;$F2885="4",""&amp;$F2885="G",""&amp;$F2885="H"),IF($AY2885="YES","",IF($AB2885&lt;&gt;0,"",IF(COUNTIFS('AR SALES'!$L$2:$L$2501,$L2885,'AR SALES'!$AD$2:$AD$2501,IF(""&amp;$F2885="4","OFF","ON"),'AR SALES'!$AF$2:$AF$2501,"Y")&gt;0,"","NO EXEMPTION"))),"")</f>
        <v/>
      </c>
    </row>
    <row r="2886" spans="46:54" x14ac:dyDescent="0.25">
      <c r="AT2886" s="2" t="str">
        <f>IF($L2886="","",IFERROR(INDEX('AR SALES'!$H$2:$H$2501,MATCH(""&amp;$L2886,'AR SALES'!$AE$2:$AE$2501,0)),""))</f>
        <v/>
      </c>
      <c r="AU2886" s="2" t="str">
        <f t="shared" si="180"/>
        <v/>
      </c>
      <c r="AV2886" s="2" t="str">
        <f t="shared" si="181"/>
        <v/>
      </c>
      <c r="AW2886" s="2" t="str">
        <f t="shared" si="182"/>
        <v/>
      </c>
      <c r="AX2886" s="2" t="str">
        <f t="shared" si="183"/>
        <v/>
      </c>
      <c r="AY2886" s="2" t="str">
        <f>IF($AV2886="","",IF(AND($Z2886=0,COUNTIF('AR SALES'!$L$2:$L$2501,$L2886)=0),"YES",""))</f>
        <v/>
      </c>
      <c r="AZ2886" s="2" t="str">
        <f>IF($AV2886="","",IF(COUNTIF(LISTS!$C$2:$C$250,$AU2886)=0,"NEW",""))</f>
        <v/>
      </c>
      <c r="BA2886" s="2" t="str">
        <f>IF(""&amp;$F2886&lt;&gt;"4","",IF($AY2886="YES","",IF(ROUND(SUMIFS($AE$2:$AE$4001,$L$2:$L$4001,$L2886,$F$2:$F$4001,"4")-SUMIFS('AR SALES'!$Y$2:$Y$2501,'AR SALES'!$L$2:$L$2501,$L2886,'AR SALES'!$AD$2:$AD$2501,"OFF"),2)=0,"","STALE")))</f>
        <v/>
      </c>
      <c r="BB2886" s="2" t="str">
        <f>IF(OR(""&amp;$F2886="2",""&amp;$F2886="4",""&amp;$F2886="G",""&amp;$F2886="H"),IF($AY2886="YES","",IF($AB2886&lt;&gt;0,"",IF(COUNTIFS('AR SALES'!$L$2:$L$2501,$L2886,'AR SALES'!$AD$2:$AD$2501,IF(""&amp;$F2886="4","OFF","ON"),'AR SALES'!$AF$2:$AF$2501,"Y")&gt;0,"","NO EXEMPTION"))),"")</f>
        <v/>
      </c>
    </row>
    <row r="2887" spans="46:54" x14ac:dyDescent="0.25">
      <c r="AT2887" s="2" t="str">
        <f>IF($L2887="","",IFERROR(INDEX('AR SALES'!$H$2:$H$2501,MATCH(""&amp;$L2887,'AR SALES'!$AE$2:$AE$2501,0)),""))</f>
        <v/>
      </c>
      <c r="AU2887" s="2" t="str">
        <f t="shared" si="180"/>
        <v/>
      </c>
      <c r="AV2887" s="2" t="str">
        <f t="shared" si="181"/>
        <v/>
      </c>
      <c r="AW2887" s="2" t="str">
        <f t="shared" si="182"/>
        <v/>
      </c>
      <c r="AX2887" s="2" t="str">
        <f t="shared" si="183"/>
        <v/>
      </c>
      <c r="AY2887" s="2" t="str">
        <f>IF($AV2887="","",IF(AND($Z2887=0,COUNTIF('AR SALES'!$L$2:$L$2501,$L2887)=0),"YES",""))</f>
        <v/>
      </c>
      <c r="AZ2887" s="2" t="str">
        <f>IF($AV2887="","",IF(COUNTIF(LISTS!$C$2:$C$250,$AU2887)=0,"NEW",""))</f>
        <v/>
      </c>
      <c r="BA2887" s="2" t="str">
        <f>IF(""&amp;$F2887&lt;&gt;"4","",IF($AY2887="YES","",IF(ROUND(SUMIFS($AE$2:$AE$4001,$L$2:$L$4001,$L2887,$F$2:$F$4001,"4")-SUMIFS('AR SALES'!$Y$2:$Y$2501,'AR SALES'!$L$2:$L$2501,$L2887,'AR SALES'!$AD$2:$AD$2501,"OFF"),2)=0,"","STALE")))</f>
        <v/>
      </c>
      <c r="BB2887" s="2" t="str">
        <f>IF(OR(""&amp;$F2887="2",""&amp;$F2887="4",""&amp;$F2887="G",""&amp;$F2887="H"),IF($AY2887="YES","",IF($AB2887&lt;&gt;0,"",IF(COUNTIFS('AR SALES'!$L$2:$L$2501,$L2887,'AR SALES'!$AD$2:$AD$2501,IF(""&amp;$F2887="4","OFF","ON"),'AR SALES'!$AF$2:$AF$2501,"Y")&gt;0,"","NO EXEMPTION"))),"")</f>
        <v/>
      </c>
    </row>
    <row r="2888" spans="46:54" x14ac:dyDescent="0.25">
      <c r="AT2888" s="2" t="str">
        <f>IF($L2888="","",IFERROR(INDEX('AR SALES'!$H$2:$H$2501,MATCH(""&amp;$L2888,'AR SALES'!$AE$2:$AE$2501,0)),""))</f>
        <v/>
      </c>
      <c r="AU2888" s="2" t="str">
        <f t="shared" si="180"/>
        <v/>
      </c>
      <c r="AV2888" s="2" t="str">
        <f t="shared" si="181"/>
        <v/>
      </c>
      <c r="AW2888" s="2" t="str">
        <f t="shared" si="182"/>
        <v/>
      </c>
      <c r="AX2888" s="2" t="str">
        <f t="shared" si="183"/>
        <v/>
      </c>
      <c r="AY2888" s="2" t="str">
        <f>IF($AV2888="","",IF(AND($Z2888=0,COUNTIF('AR SALES'!$L$2:$L$2501,$L2888)=0),"YES",""))</f>
        <v/>
      </c>
      <c r="AZ2888" s="2" t="str">
        <f>IF($AV2888="","",IF(COUNTIF(LISTS!$C$2:$C$250,$AU2888)=0,"NEW",""))</f>
        <v/>
      </c>
      <c r="BA2888" s="2" t="str">
        <f>IF(""&amp;$F2888&lt;&gt;"4","",IF($AY2888="YES","",IF(ROUND(SUMIFS($AE$2:$AE$4001,$L$2:$L$4001,$L2888,$F$2:$F$4001,"4")-SUMIFS('AR SALES'!$Y$2:$Y$2501,'AR SALES'!$L$2:$L$2501,$L2888,'AR SALES'!$AD$2:$AD$2501,"OFF"),2)=0,"","STALE")))</f>
        <v/>
      </c>
      <c r="BB2888" s="2" t="str">
        <f>IF(OR(""&amp;$F2888="2",""&amp;$F2888="4",""&amp;$F2888="G",""&amp;$F2888="H"),IF($AY2888="YES","",IF($AB2888&lt;&gt;0,"",IF(COUNTIFS('AR SALES'!$L$2:$L$2501,$L2888,'AR SALES'!$AD$2:$AD$2501,IF(""&amp;$F2888="4","OFF","ON"),'AR SALES'!$AF$2:$AF$2501,"Y")&gt;0,"","NO EXEMPTION"))),"")</f>
        <v/>
      </c>
    </row>
    <row r="2889" spans="46:54" x14ac:dyDescent="0.25">
      <c r="AT2889" s="2" t="str">
        <f>IF($L2889="","",IFERROR(INDEX('AR SALES'!$H$2:$H$2501,MATCH(""&amp;$L2889,'AR SALES'!$AE$2:$AE$2501,0)),""))</f>
        <v/>
      </c>
      <c r="AU2889" s="2" t="str">
        <f t="shared" si="180"/>
        <v/>
      </c>
      <c r="AV2889" s="2" t="str">
        <f t="shared" si="181"/>
        <v/>
      </c>
      <c r="AW2889" s="2" t="str">
        <f t="shared" si="182"/>
        <v/>
      </c>
      <c r="AX2889" s="2" t="str">
        <f t="shared" si="183"/>
        <v/>
      </c>
      <c r="AY2889" s="2" t="str">
        <f>IF($AV2889="","",IF(AND($Z2889=0,COUNTIF('AR SALES'!$L$2:$L$2501,$L2889)=0),"YES",""))</f>
        <v/>
      </c>
      <c r="AZ2889" s="2" t="str">
        <f>IF($AV2889="","",IF(COUNTIF(LISTS!$C$2:$C$250,$AU2889)=0,"NEW",""))</f>
        <v/>
      </c>
      <c r="BA2889" s="2" t="str">
        <f>IF(""&amp;$F2889&lt;&gt;"4","",IF($AY2889="YES","",IF(ROUND(SUMIFS($AE$2:$AE$4001,$L$2:$L$4001,$L2889,$F$2:$F$4001,"4")-SUMIFS('AR SALES'!$Y$2:$Y$2501,'AR SALES'!$L$2:$L$2501,$L2889,'AR SALES'!$AD$2:$AD$2501,"OFF"),2)=0,"","STALE")))</f>
        <v/>
      </c>
      <c r="BB2889" s="2" t="str">
        <f>IF(OR(""&amp;$F2889="2",""&amp;$F2889="4",""&amp;$F2889="G",""&amp;$F2889="H"),IF($AY2889="YES","",IF($AB2889&lt;&gt;0,"",IF(COUNTIFS('AR SALES'!$L$2:$L$2501,$L2889,'AR SALES'!$AD$2:$AD$2501,IF(""&amp;$F2889="4","OFF","ON"),'AR SALES'!$AF$2:$AF$2501,"Y")&gt;0,"","NO EXEMPTION"))),"")</f>
        <v/>
      </c>
    </row>
    <row r="2890" spans="46:54" x14ac:dyDescent="0.25">
      <c r="AT2890" s="2" t="str">
        <f>IF($L2890="","",IFERROR(INDEX('AR SALES'!$H$2:$H$2501,MATCH(""&amp;$L2890,'AR SALES'!$AE$2:$AE$2501,0)),""))</f>
        <v/>
      </c>
      <c r="AU2890" s="2" t="str">
        <f t="shared" si="180"/>
        <v/>
      </c>
      <c r="AV2890" s="2" t="str">
        <f t="shared" si="181"/>
        <v/>
      </c>
      <c r="AW2890" s="2" t="str">
        <f t="shared" si="182"/>
        <v/>
      </c>
      <c r="AX2890" s="2" t="str">
        <f t="shared" si="183"/>
        <v/>
      </c>
      <c r="AY2890" s="2" t="str">
        <f>IF($AV2890="","",IF(AND($Z2890=0,COUNTIF('AR SALES'!$L$2:$L$2501,$L2890)=0),"YES",""))</f>
        <v/>
      </c>
      <c r="AZ2890" s="2" t="str">
        <f>IF($AV2890="","",IF(COUNTIF(LISTS!$C$2:$C$250,$AU2890)=0,"NEW",""))</f>
        <v/>
      </c>
      <c r="BA2890" s="2" t="str">
        <f>IF(""&amp;$F2890&lt;&gt;"4","",IF($AY2890="YES","",IF(ROUND(SUMIFS($AE$2:$AE$4001,$L$2:$L$4001,$L2890,$F$2:$F$4001,"4")-SUMIFS('AR SALES'!$Y$2:$Y$2501,'AR SALES'!$L$2:$L$2501,$L2890,'AR SALES'!$AD$2:$AD$2501,"OFF"),2)=0,"","STALE")))</f>
        <v/>
      </c>
      <c r="BB2890" s="2" t="str">
        <f>IF(OR(""&amp;$F2890="2",""&amp;$F2890="4",""&amp;$F2890="G",""&amp;$F2890="H"),IF($AY2890="YES","",IF($AB2890&lt;&gt;0,"",IF(COUNTIFS('AR SALES'!$L$2:$L$2501,$L2890,'AR SALES'!$AD$2:$AD$2501,IF(""&amp;$F2890="4","OFF","ON"),'AR SALES'!$AF$2:$AF$2501,"Y")&gt;0,"","NO EXEMPTION"))),"")</f>
        <v/>
      </c>
    </row>
    <row r="2891" spans="46:54" x14ac:dyDescent="0.25">
      <c r="AT2891" s="2" t="str">
        <f>IF($L2891="","",IFERROR(INDEX('AR SALES'!$H$2:$H$2501,MATCH(""&amp;$L2891,'AR SALES'!$AE$2:$AE$2501,0)),""))</f>
        <v/>
      </c>
      <c r="AU2891" s="2" t="str">
        <f t="shared" si="180"/>
        <v/>
      </c>
      <c r="AV2891" s="2" t="str">
        <f t="shared" si="181"/>
        <v/>
      </c>
      <c r="AW2891" s="2" t="str">
        <f t="shared" si="182"/>
        <v/>
      </c>
      <c r="AX2891" s="2" t="str">
        <f t="shared" si="183"/>
        <v/>
      </c>
      <c r="AY2891" s="2" t="str">
        <f>IF($AV2891="","",IF(AND($Z2891=0,COUNTIF('AR SALES'!$L$2:$L$2501,$L2891)=0),"YES",""))</f>
        <v/>
      </c>
      <c r="AZ2891" s="2" t="str">
        <f>IF($AV2891="","",IF(COUNTIF(LISTS!$C$2:$C$250,$AU2891)=0,"NEW",""))</f>
        <v/>
      </c>
      <c r="BA2891" s="2" t="str">
        <f>IF(""&amp;$F2891&lt;&gt;"4","",IF($AY2891="YES","",IF(ROUND(SUMIFS($AE$2:$AE$4001,$L$2:$L$4001,$L2891,$F$2:$F$4001,"4")-SUMIFS('AR SALES'!$Y$2:$Y$2501,'AR SALES'!$L$2:$L$2501,$L2891,'AR SALES'!$AD$2:$AD$2501,"OFF"),2)=0,"","STALE")))</f>
        <v/>
      </c>
      <c r="BB2891" s="2" t="str">
        <f>IF(OR(""&amp;$F2891="2",""&amp;$F2891="4",""&amp;$F2891="G",""&amp;$F2891="H"),IF($AY2891="YES","",IF($AB2891&lt;&gt;0,"",IF(COUNTIFS('AR SALES'!$L$2:$L$2501,$L2891,'AR SALES'!$AD$2:$AD$2501,IF(""&amp;$F2891="4","OFF","ON"),'AR SALES'!$AF$2:$AF$2501,"Y")&gt;0,"","NO EXEMPTION"))),"")</f>
        <v/>
      </c>
    </row>
    <row r="2892" spans="46:54" x14ac:dyDescent="0.25">
      <c r="AT2892" s="2" t="str">
        <f>IF($L2892="","",IFERROR(INDEX('AR SALES'!$H$2:$H$2501,MATCH(""&amp;$L2892,'AR SALES'!$AE$2:$AE$2501,0)),""))</f>
        <v/>
      </c>
      <c r="AU2892" s="2" t="str">
        <f t="shared" si="180"/>
        <v/>
      </c>
      <c r="AV2892" s="2" t="str">
        <f t="shared" si="181"/>
        <v/>
      </c>
      <c r="AW2892" s="2" t="str">
        <f t="shared" si="182"/>
        <v/>
      </c>
      <c r="AX2892" s="2" t="str">
        <f t="shared" si="183"/>
        <v/>
      </c>
      <c r="AY2892" s="2" t="str">
        <f>IF($AV2892="","",IF(AND($Z2892=0,COUNTIF('AR SALES'!$L$2:$L$2501,$L2892)=0),"YES",""))</f>
        <v/>
      </c>
      <c r="AZ2892" s="2" t="str">
        <f>IF($AV2892="","",IF(COUNTIF(LISTS!$C$2:$C$250,$AU2892)=0,"NEW",""))</f>
        <v/>
      </c>
      <c r="BA2892" s="2" t="str">
        <f>IF(""&amp;$F2892&lt;&gt;"4","",IF($AY2892="YES","",IF(ROUND(SUMIFS($AE$2:$AE$4001,$L$2:$L$4001,$L2892,$F$2:$F$4001,"4")-SUMIFS('AR SALES'!$Y$2:$Y$2501,'AR SALES'!$L$2:$L$2501,$L2892,'AR SALES'!$AD$2:$AD$2501,"OFF"),2)=0,"","STALE")))</f>
        <v/>
      </c>
      <c r="BB2892" s="2" t="str">
        <f>IF(OR(""&amp;$F2892="2",""&amp;$F2892="4",""&amp;$F2892="G",""&amp;$F2892="H"),IF($AY2892="YES","",IF($AB2892&lt;&gt;0,"",IF(COUNTIFS('AR SALES'!$L$2:$L$2501,$L2892,'AR SALES'!$AD$2:$AD$2501,IF(""&amp;$F2892="4","OFF","ON"),'AR SALES'!$AF$2:$AF$2501,"Y")&gt;0,"","NO EXEMPTION"))),"")</f>
        <v/>
      </c>
    </row>
    <row r="2893" spans="46:54" x14ac:dyDescent="0.25">
      <c r="AT2893" s="2" t="str">
        <f>IF($L2893="","",IFERROR(INDEX('AR SALES'!$H$2:$H$2501,MATCH(""&amp;$L2893,'AR SALES'!$AE$2:$AE$2501,0)),""))</f>
        <v/>
      </c>
      <c r="AU2893" s="2" t="str">
        <f t="shared" si="180"/>
        <v/>
      </c>
      <c r="AV2893" s="2" t="str">
        <f t="shared" si="181"/>
        <v/>
      </c>
      <c r="AW2893" s="2" t="str">
        <f t="shared" si="182"/>
        <v/>
      </c>
      <c r="AX2893" s="2" t="str">
        <f t="shared" si="183"/>
        <v/>
      </c>
      <c r="AY2893" s="2" t="str">
        <f>IF($AV2893="","",IF(AND($Z2893=0,COUNTIF('AR SALES'!$L$2:$L$2501,$L2893)=0),"YES",""))</f>
        <v/>
      </c>
      <c r="AZ2893" s="2" t="str">
        <f>IF($AV2893="","",IF(COUNTIF(LISTS!$C$2:$C$250,$AU2893)=0,"NEW",""))</f>
        <v/>
      </c>
      <c r="BA2893" s="2" t="str">
        <f>IF(""&amp;$F2893&lt;&gt;"4","",IF($AY2893="YES","",IF(ROUND(SUMIFS($AE$2:$AE$4001,$L$2:$L$4001,$L2893,$F$2:$F$4001,"4")-SUMIFS('AR SALES'!$Y$2:$Y$2501,'AR SALES'!$L$2:$L$2501,$L2893,'AR SALES'!$AD$2:$AD$2501,"OFF"),2)=0,"","STALE")))</f>
        <v/>
      </c>
      <c r="BB2893" s="2" t="str">
        <f>IF(OR(""&amp;$F2893="2",""&amp;$F2893="4",""&amp;$F2893="G",""&amp;$F2893="H"),IF($AY2893="YES","",IF($AB2893&lt;&gt;0,"",IF(COUNTIFS('AR SALES'!$L$2:$L$2501,$L2893,'AR SALES'!$AD$2:$AD$2501,IF(""&amp;$F2893="4","OFF","ON"),'AR SALES'!$AF$2:$AF$2501,"Y")&gt;0,"","NO EXEMPTION"))),"")</f>
        <v/>
      </c>
    </row>
    <row r="2894" spans="46:54" x14ac:dyDescent="0.25">
      <c r="AT2894" s="2" t="str">
        <f>IF($L2894="","",IFERROR(INDEX('AR SALES'!$H$2:$H$2501,MATCH(""&amp;$L2894,'AR SALES'!$AE$2:$AE$2501,0)),""))</f>
        <v/>
      </c>
      <c r="AU2894" s="2" t="str">
        <f t="shared" si="180"/>
        <v/>
      </c>
      <c r="AV2894" s="2" t="str">
        <f t="shared" si="181"/>
        <v/>
      </c>
      <c r="AW2894" s="2" t="str">
        <f t="shared" si="182"/>
        <v/>
      </c>
      <c r="AX2894" s="2" t="str">
        <f t="shared" si="183"/>
        <v/>
      </c>
      <c r="AY2894" s="2" t="str">
        <f>IF($AV2894="","",IF(AND($Z2894=0,COUNTIF('AR SALES'!$L$2:$L$2501,$L2894)=0),"YES",""))</f>
        <v/>
      </c>
      <c r="AZ2894" s="2" t="str">
        <f>IF($AV2894="","",IF(COUNTIF(LISTS!$C$2:$C$250,$AU2894)=0,"NEW",""))</f>
        <v/>
      </c>
      <c r="BA2894" s="2" t="str">
        <f>IF(""&amp;$F2894&lt;&gt;"4","",IF($AY2894="YES","",IF(ROUND(SUMIFS($AE$2:$AE$4001,$L$2:$L$4001,$L2894,$F$2:$F$4001,"4")-SUMIFS('AR SALES'!$Y$2:$Y$2501,'AR SALES'!$L$2:$L$2501,$L2894,'AR SALES'!$AD$2:$AD$2501,"OFF"),2)=0,"","STALE")))</f>
        <v/>
      </c>
      <c r="BB2894" s="2" t="str">
        <f>IF(OR(""&amp;$F2894="2",""&amp;$F2894="4",""&amp;$F2894="G",""&amp;$F2894="H"),IF($AY2894="YES","",IF($AB2894&lt;&gt;0,"",IF(COUNTIFS('AR SALES'!$L$2:$L$2501,$L2894,'AR SALES'!$AD$2:$AD$2501,IF(""&amp;$F2894="4","OFF","ON"),'AR SALES'!$AF$2:$AF$2501,"Y")&gt;0,"","NO EXEMPTION"))),"")</f>
        <v/>
      </c>
    </row>
    <row r="2895" spans="46:54" x14ac:dyDescent="0.25">
      <c r="AT2895" s="2" t="str">
        <f>IF($L2895="","",IFERROR(INDEX('AR SALES'!$H$2:$H$2501,MATCH(""&amp;$L2895,'AR SALES'!$AE$2:$AE$2501,0)),""))</f>
        <v/>
      </c>
      <c r="AU2895" s="2" t="str">
        <f t="shared" si="180"/>
        <v/>
      </c>
      <c r="AV2895" s="2" t="str">
        <f t="shared" si="181"/>
        <v/>
      </c>
      <c r="AW2895" s="2" t="str">
        <f t="shared" si="182"/>
        <v/>
      </c>
      <c r="AX2895" s="2" t="str">
        <f t="shared" si="183"/>
        <v/>
      </c>
      <c r="AY2895" s="2" t="str">
        <f>IF($AV2895="","",IF(AND($Z2895=0,COUNTIF('AR SALES'!$L$2:$L$2501,$L2895)=0),"YES",""))</f>
        <v/>
      </c>
      <c r="AZ2895" s="2" t="str">
        <f>IF($AV2895="","",IF(COUNTIF(LISTS!$C$2:$C$250,$AU2895)=0,"NEW",""))</f>
        <v/>
      </c>
      <c r="BA2895" s="2" t="str">
        <f>IF(""&amp;$F2895&lt;&gt;"4","",IF($AY2895="YES","",IF(ROUND(SUMIFS($AE$2:$AE$4001,$L$2:$L$4001,$L2895,$F$2:$F$4001,"4")-SUMIFS('AR SALES'!$Y$2:$Y$2501,'AR SALES'!$L$2:$L$2501,$L2895,'AR SALES'!$AD$2:$AD$2501,"OFF"),2)=0,"","STALE")))</f>
        <v/>
      </c>
      <c r="BB2895" s="2" t="str">
        <f>IF(OR(""&amp;$F2895="2",""&amp;$F2895="4",""&amp;$F2895="G",""&amp;$F2895="H"),IF($AY2895="YES","",IF($AB2895&lt;&gt;0,"",IF(COUNTIFS('AR SALES'!$L$2:$L$2501,$L2895,'AR SALES'!$AD$2:$AD$2501,IF(""&amp;$F2895="4","OFF","ON"),'AR SALES'!$AF$2:$AF$2501,"Y")&gt;0,"","NO EXEMPTION"))),"")</f>
        <v/>
      </c>
    </row>
    <row r="2896" spans="46:54" x14ac:dyDescent="0.25">
      <c r="AT2896" s="2" t="str">
        <f>IF($L2896="","",IFERROR(INDEX('AR SALES'!$H$2:$H$2501,MATCH(""&amp;$L2896,'AR SALES'!$AE$2:$AE$2501,0)),""))</f>
        <v/>
      </c>
      <c r="AU2896" s="2" t="str">
        <f t="shared" si="180"/>
        <v/>
      </c>
      <c r="AV2896" s="2" t="str">
        <f t="shared" si="181"/>
        <v/>
      </c>
      <c r="AW2896" s="2" t="str">
        <f t="shared" si="182"/>
        <v/>
      </c>
      <c r="AX2896" s="2" t="str">
        <f t="shared" si="183"/>
        <v/>
      </c>
      <c r="AY2896" s="2" t="str">
        <f>IF($AV2896="","",IF(AND($Z2896=0,COUNTIF('AR SALES'!$L$2:$L$2501,$L2896)=0),"YES",""))</f>
        <v/>
      </c>
      <c r="AZ2896" s="2" t="str">
        <f>IF($AV2896="","",IF(COUNTIF(LISTS!$C$2:$C$250,$AU2896)=0,"NEW",""))</f>
        <v/>
      </c>
      <c r="BA2896" s="2" t="str">
        <f>IF(""&amp;$F2896&lt;&gt;"4","",IF($AY2896="YES","",IF(ROUND(SUMIFS($AE$2:$AE$4001,$L$2:$L$4001,$L2896,$F$2:$F$4001,"4")-SUMIFS('AR SALES'!$Y$2:$Y$2501,'AR SALES'!$L$2:$L$2501,$L2896,'AR SALES'!$AD$2:$AD$2501,"OFF"),2)=0,"","STALE")))</f>
        <v/>
      </c>
      <c r="BB2896" s="2" t="str">
        <f>IF(OR(""&amp;$F2896="2",""&amp;$F2896="4",""&amp;$F2896="G",""&amp;$F2896="H"),IF($AY2896="YES","",IF($AB2896&lt;&gt;0,"",IF(COUNTIFS('AR SALES'!$L$2:$L$2501,$L2896,'AR SALES'!$AD$2:$AD$2501,IF(""&amp;$F2896="4","OFF","ON"),'AR SALES'!$AF$2:$AF$2501,"Y")&gt;0,"","NO EXEMPTION"))),"")</f>
        <v/>
      </c>
    </row>
    <row r="2897" spans="46:54" x14ac:dyDescent="0.25">
      <c r="AT2897" s="2" t="str">
        <f>IF($L2897="","",IFERROR(INDEX('AR SALES'!$H$2:$H$2501,MATCH(""&amp;$L2897,'AR SALES'!$AE$2:$AE$2501,0)),""))</f>
        <v/>
      </c>
      <c r="AU2897" s="2" t="str">
        <f t="shared" si="180"/>
        <v/>
      </c>
      <c r="AV2897" s="2" t="str">
        <f t="shared" si="181"/>
        <v/>
      </c>
      <c r="AW2897" s="2" t="str">
        <f t="shared" si="182"/>
        <v/>
      </c>
      <c r="AX2897" s="2" t="str">
        <f t="shared" si="183"/>
        <v/>
      </c>
      <c r="AY2897" s="2" t="str">
        <f>IF($AV2897="","",IF(AND($Z2897=0,COUNTIF('AR SALES'!$L$2:$L$2501,$L2897)=0),"YES",""))</f>
        <v/>
      </c>
      <c r="AZ2897" s="2" t="str">
        <f>IF($AV2897="","",IF(COUNTIF(LISTS!$C$2:$C$250,$AU2897)=0,"NEW",""))</f>
        <v/>
      </c>
      <c r="BA2897" s="2" t="str">
        <f>IF(""&amp;$F2897&lt;&gt;"4","",IF($AY2897="YES","",IF(ROUND(SUMIFS($AE$2:$AE$4001,$L$2:$L$4001,$L2897,$F$2:$F$4001,"4")-SUMIFS('AR SALES'!$Y$2:$Y$2501,'AR SALES'!$L$2:$L$2501,$L2897,'AR SALES'!$AD$2:$AD$2501,"OFF"),2)=0,"","STALE")))</f>
        <v/>
      </c>
      <c r="BB2897" s="2" t="str">
        <f>IF(OR(""&amp;$F2897="2",""&amp;$F2897="4",""&amp;$F2897="G",""&amp;$F2897="H"),IF($AY2897="YES","",IF($AB2897&lt;&gt;0,"",IF(COUNTIFS('AR SALES'!$L$2:$L$2501,$L2897,'AR SALES'!$AD$2:$AD$2501,IF(""&amp;$F2897="4","OFF","ON"),'AR SALES'!$AF$2:$AF$2501,"Y")&gt;0,"","NO EXEMPTION"))),"")</f>
        <v/>
      </c>
    </row>
    <row r="2898" spans="46:54" x14ac:dyDescent="0.25">
      <c r="AT2898" s="2" t="str">
        <f>IF($L2898="","",IFERROR(INDEX('AR SALES'!$H$2:$H$2501,MATCH(""&amp;$L2898,'AR SALES'!$AE$2:$AE$2501,0)),""))</f>
        <v/>
      </c>
      <c r="AU2898" s="2" t="str">
        <f t="shared" si="180"/>
        <v/>
      </c>
      <c r="AV2898" s="2" t="str">
        <f t="shared" si="181"/>
        <v/>
      </c>
      <c r="AW2898" s="2" t="str">
        <f t="shared" si="182"/>
        <v/>
      </c>
      <c r="AX2898" s="2" t="str">
        <f t="shared" si="183"/>
        <v/>
      </c>
      <c r="AY2898" s="2" t="str">
        <f>IF($AV2898="","",IF(AND($Z2898=0,COUNTIF('AR SALES'!$L$2:$L$2501,$L2898)=0),"YES",""))</f>
        <v/>
      </c>
      <c r="AZ2898" s="2" t="str">
        <f>IF($AV2898="","",IF(COUNTIF(LISTS!$C$2:$C$250,$AU2898)=0,"NEW",""))</f>
        <v/>
      </c>
      <c r="BA2898" s="2" t="str">
        <f>IF(""&amp;$F2898&lt;&gt;"4","",IF($AY2898="YES","",IF(ROUND(SUMIFS($AE$2:$AE$4001,$L$2:$L$4001,$L2898,$F$2:$F$4001,"4")-SUMIFS('AR SALES'!$Y$2:$Y$2501,'AR SALES'!$L$2:$L$2501,$L2898,'AR SALES'!$AD$2:$AD$2501,"OFF"),2)=0,"","STALE")))</f>
        <v/>
      </c>
      <c r="BB2898" s="2" t="str">
        <f>IF(OR(""&amp;$F2898="2",""&amp;$F2898="4",""&amp;$F2898="G",""&amp;$F2898="H"),IF($AY2898="YES","",IF($AB2898&lt;&gt;0,"",IF(COUNTIFS('AR SALES'!$L$2:$L$2501,$L2898,'AR SALES'!$AD$2:$AD$2501,IF(""&amp;$F2898="4","OFF","ON"),'AR SALES'!$AF$2:$AF$2501,"Y")&gt;0,"","NO EXEMPTION"))),"")</f>
        <v/>
      </c>
    </row>
    <row r="2899" spans="46:54" x14ac:dyDescent="0.25">
      <c r="AT2899" s="2" t="str">
        <f>IF($L2899="","",IFERROR(INDEX('AR SALES'!$H$2:$H$2501,MATCH(""&amp;$L2899,'AR SALES'!$AE$2:$AE$2501,0)),""))</f>
        <v/>
      </c>
      <c r="AU2899" s="2" t="str">
        <f t="shared" si="180"/>
        <v/>
      </c>
      <c r="AV2899" s="2" t="str">
        <f t="shared" si="181"/>
        <v/>
      </c>
      <c r="AW2899" s="2" t="str">
        <f t="shared" si="182"/>
        <v/>
      </c>
      <c r="AX2899" s="2" t="str">
        <f t="shared" si="183"/>
        <v/>
      </c>
      <c r="AY2899" s="2" t="str">
        <f>IF($AV2899="","",IF(AND($Z2899=0,COUNTIF('AR SALES'!$L$2:$L$2501,$L2899)=0),"YES",""))</f>
        <v/>
      </c>
      <c r="AZ2899" s="2" t="str">
        <f>IF($AV2899="","",IF(COUNTIF(LISTS!$C$2:$C$250,$AU2899)=0,"NEW",""))</f>
        <v/>
      </c>
      <c r="BA2899" s="2" t="str">
        <f>IF(""&amp;$F2899&lt;&gt;"4","",IF($AY2899="YES","",IF(ROUND(SUMIFS($AE$2:$AE$4001,$L$2:$L$4001,$L2899,$F$2:$F$4001,"4")-SUMIFS('AR SALES'!$Y$2:$Y$2501,'AR SALES'!$L$2:$L$2501,$L2899,'AR SALES'!$AD$2:$AD$2501,"OFF"),2)=0,"","STALE")))</f>
        <v/>
      </c>
      <c r="BB2899" s="2" t="str">
        <f>IF(OR(""&amp;$F2899="2",""&amp;$F2899="4",""&amp;$F2899="G",""&amp;$F2899="H"),IF($AY2899="YES","",IF($AB2899&lt;&gt;0,"",IF(COUNTIFS('AR SALES'!$L$2:$L$2501,$L2899,'AR SALES'!$AD$2:$AD$2501,IF(""&amp;$F2899="4","OFF","ON"),'AR SALES'!$AF$2:$AF$2501,"Y")&gt;0,"","NO EXEMPTION"))),"")</f>
        <v/>
      </c>
    </row>
    <row r="2900" spans="46:54" x14ac:dyDescent="0.25">
      <c r="AT2900" s="2" t="str">
        <f>IF($L2900="","",IFERROR(INDEX('AR SALES'!$H$2:$H$2501,MATCH(""&amp;$L2900,'AR SALES'!$AE$2:$AE$2501,0)),""))</f>
        <v/>
      </c>
      <c r="AU2900" s="2" t="str">
        <f t="shared" si="180"/>
        <v/>
      </c>
      <c r="AV2900" s="2" t="str">
        <f t="shared" si="181"/>
        <v/>
      </c>
      <c r="AW2900" s="2" t="str">
        <f t="shared" si="182"/>
        <v/>
      </c>
      <c r="AX2900" s="2" t="str">
        <f t="shared" si="183"/>
        <v/>
      </c>
      <c r="AY2900" s="2" t="str">
        <f>IF($AV2900="","",IF(AND($Z2900=0,COUNTIF('AR SALES'!$L$2:$L$2501,$L2900)=0),"YES",""))</f>
        <v/>
      </c>
      <c r="AZ2900" s="2" t="str">
        <f>IF($AV2900="","",IF(COUNTIF(LISTS!$C$2:$C$250,$AU2900)=0,"NEW",""))</f>
        <v/>
      </c>
      <c r="BA2900" s="2" t="str">
        <f>IF(""&amp;$F2900&lt;&gt;"4","",IF($AY2900="YES","",IF(ROUND(SUMIFS($AE$2:$AE$4001,$L$2:$L$4001,$L2900,$F$2:$F$4001,"4")-SUMIFS('AR SALES'!$Y$2:$Y$2501,'AR SALES'!$L$2:$L$2501,$L2900,'AR SALES'!$AD$2:$AD$2501,"OFF"),2)=0,"","STALE")))</f>
        <v/>
      </c>
      <c r="BB2900" s="2" t="str">
        <f>IF(OR(""&amp;$F2900="2",""&amp;$F2900="4",""&amp;$F2900="G",""&amp;$F2900="H"),IF($AY2900="YES","",IF($AB2900&lt;&gt;0,"",IF(COUNTIFS('AR SALES'!$L$2:$L$2501,$L2900,'AR SALES'!$AD$2:$AD$2501,IF(""&amp;$F2900="4","OFF","ON"),'AR SALES'!$AF$2:$AF$2501,"Y")&gt;0,"","NO EXEMPTION"))),"")</f>
        <v/>
      </c>
    </row>
    <row r="2901" spans="46:54" x14ac:dyDescent="0.25">
      <c r="AT2901" s="2" t="str">
        <f>IF($L2901="","",IFERROR(INDEX('AR SALES'!$H$2:$H$2501,MATCH(""&amp;$L2901,'AR SALES'!$AE$2:$AE$2501,0)),""))</f>
        <v/>
      </c>
      <c r="AU2901" s="2" t="str">
        <f t="shared" si="180"/>
        <v/>
      </c>
      <c r="AV2901" s="2" t="str">
        <f t="shared" si="181"/>
        <v/>
      </c>
      <c r="AW2901" s="2" t="str">
        <f t="shared" si="182"/>
        <v/>
      </c>
      <c r="AX2901" s="2" t="str">
        <f t="shared" si="183"/>
        <v/>
      </c>
      <c r="AY2901" s="2" t="str">
        <f>IF($AV2901="","",IF(AND($Z2901=0,COUNTIF('AR SALES'!$L$2:$L$2501,$L2901)=0),"YES",""))</f>
        <v/>
      </c>
      <c r="AZ2901" s="2" t="str">
        <f>IF($AV2901="","",IF(COUNTIF(LISTS!$C$2:$C$250,$AU2901)=0,"NEW",""))</f>
        <v/>
      </c>
      <c r="BA2901" s="2" t="str">
        <f>IF(""&amp;$F2901&lt;&gt;"4","",IF($AY2901="YES","",IF(ROUND(SUMIFS($AE$2:$AE$4001,$L$2:$L$4001,$L2901,$F$2:$F$4001,"4")-SUMIFS('AR SALES'!$Y$2:$Y$2501,'AR SALES'!$L$2:$L$2501,$L2901,'AR SALES'!$AD$2:$AD$2501,"OFF"),2)=0,"","STALE")))</f>
        <v/>
      </c>
      <c r="BB2901" s="2" t="str">
        <f>IF(OR(""&amp;$F2901="2",""&amp;$F2901="4",""&amp;$F2901="G",""&amp;$F2901="H"),IF($AY2901="YES","",IF($AB2901&lt;&gt;0,"",IF(COUNTIFS('AR SALES'!$L$2:$L$2501,$L2901,'AR SALES'!$AD$2:$AD$2501,IF(""&amp;$F2901="4","OFF","ON"),'AR SALES'!$AF$2:$AF$2501,"Y")&gt;0,"","NO EXEMPTION"))),"")</f>
        <v/>
      </c>
    </row>
    <row r="2902" spans="46:54" x14ac:dyDescent="0.25">
      <c r="AT2902" s="2" t="str">
        <f>IF($L2902="","",IFERROR(INDEX('AR SALES'!$H$2:$H$2501,MATCH(""&amp;$L2902,'AR SALES'!$AE$2:$AE$2501,0)),""))</f>
        <v/>
      </c>
      <c r="AU2902" s="2" t="str">
        <f t="shared" si="180"/>
        <v/>
      </c>
      <c r="AV2902" s="2" t="str">
        <f t="shared" si="181"/>
        <v/>
      </c>
      <c r="AW2902" s="2" t="str">
        <f t="shared" si="182"/>
        <v/>
      </c>
      <c r="AX2902" s="2" t="str">
        <f t="shared" si="183"/>
        <v/>
      </c>
      <c r="AY2902" s="2" t="str">
        <f>IF($AV2902="","",IF(AND($Z2902=0,COUNTIF('AR SALES'!$L$2:$L$2501,$L2902)=0),"YES",""))</f>
        <v/>
      </c>
      <c r="AZ2902" s="2" t="str">
        <f>IF($AV2902="","",IF(COUNTIF(LISTS!$C$2:$C$250,$AU2902)=0,"NEW",""))</f>
        <v/>
      </c>
      <c r="BA2902" s="2" t="str">
        <f>IF(""&amp;$F2902&lt;&gt;"4","",IF($AY2902="YES","",IF(ROUND(SUMIFS($AE$2:$AE$4001,$L$2:$L$4001,$L2902,$F$2:$F$4001,"4")-SUMIFS('AR SALES'!$Y$2:$Y$2501,'AR SALES'!$L$2:$L$2501,$L2902,'AR SALES'!$AD$2:$AD$2501,"OFF"),2)=0,"","STALE")))</f>
        <v/>
      </c>
      <c r="BB2902" s="2" t="str">
        <f>IF(OR(""&amp;$F2902="2",""&amp;$F2902="4",""&amp;$F2902="G",""&amp;$F2902="H"),IF($AY2902="YES","",IF($AB2902&lt;&gt;0,"",IF(COUNTIFS('AR SALES'!$L$2:$L$2501,$L2902,'AR SALES'!$AD$2:$AD$2501,IF(""&amp;$F2902="4","OFF","ON"),'AR SALES'!$AF$2:$AF$2501,"Y")&gt;0,"","NO EXEMPTION"))),"")</f>
        <v/>
      </c>
    </row>
    <row r="2903" spans="46:54" x14ac:dyDescent="0.25">
      <c r="AT2903" s="2" t="str">
        <f>IF($L2903="","",IFERROR(INDEX('AR SALES'!$H$2:$H$2501,MATCH(""&amp;$L2903,'AR SALES'!$AE$2:$AE$2501,0)),""))</f>
        <v/>
      </c>
      <c r="AU2903" s="2" t="str">
        <f t="shared" si="180"/>
        <v/>
      </c>
      <c r="AV2903" s="2" t="str">
        <f t="shared" si="181"/>
        <v/>
      </c>
      <c r="AW2903" s="2" t="str">
        <f t="shared" si="182"/>
        <v/>
      </c>
      <c r="AX2903" s="2" t="str">
        <f t="shared" si="183"/>
        <v/>
      </c>
      <c r="AY2903" s="2" t="str">
        <f>IF($AV2903="","",IF(AND($Z2903=0,COUNTIF('AR SALES'!$L$2:$L$2501,$L2903)=0),"YES",""))</f>
        <v/>
      </c>
      <c r="AZ2903" s="2" t="str">
        <f>IF($AV2903="","",IF(COUNTIF(LISTS!$C$2:$C$250,$AU2903)=0,"NEW",""))</f>
        <v/>
      </c>
      <c r="BA2903" s="2" t="str">
        <f>IF(""&amp;$F2903&lt;&gt;"4","",IF($AY2903="YES","",IF(ROUND(SUMIFS($AE$2:$AE$4001,$L$2:$L$4001,$L2903,$F$2:$F$4001,"4")-SUMIFS('AR SALES'!$Y$2:$Y$2501,'AR SALES'!$L$2:$L$2501,$L2903,'AR SALES'!$AD$2:$AD$2501,"OFF"),2)=0,"","STALE")))</f>
        <v/>
      </c>
      <c r="BB2903" s="2" t="str">
        <f>IF(OR(""&amp;$F2903="2",""&amp;$F2903="4",""&amp;$F2903="G",""&amp;$F2903="H"),IF($AY2903="YES","",IF($AB2903&lt;&gt;0,"",IF(COUNTIFS('AR SALES'!$L$2:$L$2501,$L2903,'AR SALES'!$AD$2:$AD$2501,IF(""&amp;$F2903="4","OFF","ON"),'AR SALES'!$AF$2:$AF$2501,"Y")&gt;0,"","NO EXEMPTION"))),"")</f>
        <v/>
      </c>
    </row>
    <row r="2904" spans="46:54" x14ac:dyDescent="0.25">
      <c r="AT2904" s="2" t="str">
        <f>IF($L2904="","",IFERROR(INDEX('AR SALES'!$H$2:$H$2501,MATCH(""&amp;$L2904,'AR SALES'!$AE$2:$AE$2501,0)),""))</f>
        <v/>
      </c>
      <c r="AU2904" s="2" t="str">
        <f t="shared" si="180"/>
        <v/>
      </c>
      <c r="AV2904" s="2" t="str">
        <f t="shared" si="181"/>
        <v/>
      </c>
      <c r="AW2904" s="2" t="str">
        <f t="shared" si="182"/>
        <v/>
      </c>
      <c r="AX2904" s="2" t="str">
        <f t="shared" si="183"/>
        <v/>
      </c>
      <c r="AY2904" s="2" t="str">
        <f>IF($AV2904="","",IF(AND($Z2904=0,COUNTIF('AR SALES'!$L$2:$L$2501,$L2904)=0),"YES",""))</f>
        <v/>
      </c>
      <c r="AZ2904" s="2" t="str">
        <f>IF($AV2904="","",IF(COUNTIF(LISTS!$C$2:$C$250,$AU2904)=0,"NEW",""))</f>
        <v/>
      </c>
      <c r="BA2904" s="2" t="str">
        <f>IF(""&amp;$F2904&lt;&gt;"4","",IF($AY2904="YES","",IF(ROUND(SUMIFS($AE$2:$AE$4001,$L$2:$L$4001,$L2904,$F$2:$F$4001,"4")-SUMIFS('AR SALES'!$Y$2:$Y$2501,'AR SALES'!$L$2:$L$2501,$L2904,'AR SALES'!$AD$2:$AD$2501,"OFF"),2)=0,"","STALE")))</f>
        <v/>
      </c>
      <c r="BB2904" s="2" t="str">
        <f>IF(OR(""&amp;$F2904="2",""&amp;$F2904="4",""&amp;$F2904="G",""&amp;$F2904="H"),IF($AY2904="YES","",IF($AB2904&lt;&gt;0,"",IF(COUNTIFS('AR SALES'!$L$2:$L$2501,$L2904,'AR SALES'!$AD$2:$AD$2501,IF(""&amp;$F2904="4","OFF","ON"),'AR SALES'!$AF$2:$AF$2501,"Y")&gt;0,"","NO EXEMPTION"))),"")</f>
        <v/>
      </c>
    </row>
    <row r="2905" spans="46:54" x14ac:dyDescent="0.25">
      <c r="AT2905" s="2" t="str">
        <f>IF($L2905="","",IFERROR(INDEX('AR SALES'!$H$2:$H$2501,MATCH(""&amp;$L2905,'AR SALES'!$AE$2:$AE$2501,0)),""))</f>
        <v/>
      </c>
      <c r="AU2905" s="2" t="str">
        <f t="shared" si="180"/>
        <v/>
      </c>
      <c r="AV2905" s="2" t="str">
        <f t="shared" si="181"/>
        <v/>
      </c>
      <c r="AW2905" s="2" t="str">
        <f t="shared" si="182"/>
        <v/>
      </c>
      <c r="AX2905" s="2" t="str">
        <f t="shared" si="183"/>
        <v/>
      </c>
      <c r="AY2905" s="2" t="str">
        <f>IF($AV2905="","",IF(AND($Z2905=0,COUNTIF('AR SALES'!$L$2:$L$2501,$L2905)=0),"YES",""))</f>
        <v/>
      </c>
      <c r="AZ2905" s="2" t="str">
        <f>IF($AV2905="","",IF(COUNTIF(LISTS!$C$2:$C$250,$AU2905)=0,"NEW",""))</f>
        <v/>
      </c>
      <c r="BA2905" s="2" t="str">
        <f>IF(""&amp;$F2905&lt;&gt;"4","",IF($AY2905="YES","",IF(ROUND(SUMIFS($AE$2:$AE$4001,$L$2:$L$4001,$L2905,$F$2:$F$4001,"4")-SUMIFS('AR SALES'!$Y$2:$Y$2501,'AR SALES'!$L$2:$L$2501,$L2905,'AR SALES'!$AD$2:$AD$2501,"OFF"),2)=0,"","STALE")))</f>
        <v/>
      </c>
      <c r="BB2905" s="2" t="str">
        <f>IF(OR(""&amp;$F2905="2",""&amp;$F2905="4",""&amp;$F2905="G",""&amp;$F2905="H"),IF($AY2905="YES","",IF($AB2905&lt;&gt;0,"",IF(COUNTIFS('AR SALES'!$L$2:$L$2501,$L2905,'AR SALES'!$AD$2:$AD$2501,IF(""&amp;$F2905="4","OFF","ON"),'AR SALES'!$AF$2:$AF$2501,"Y")&gt;0,"","NO EXEMPTION"))),"")</f>
        <v/>
      </c>
    </row>
    <row r="2906" spans="46:54" x14ac:dyDescent="0.25">
      <c r="AT2906" s="2" t="str">
        <f>IF($L2906="","",IFERROR(INDEX('AR SALES'!$H$2:$H$2501,MATCH(""&amp;$L2906,'AR SALES'!$AE$2:$AE$2501,0)),""))</f>
        <v/>
      </c>
      <c r="AU2906" s="2" t="str">
        <f t="shared" si="180"/>
        <v/>
      </c>
      <c r="AV2906" s="2" t="str">
        <f t="shared" si="181"/>
        <v/>
      </c>
      <c r="AW2906" s="2" t="str">
        <f t="shared" si="182"/>
        <v/>
      </c>
      <c r="AX2906" s="2" t="str">
        <f t="shared" si="183"/>
        <v/>
      </c>
      <c r="AY2906" s="2" t="str">
        <f>IF($AV2906="","",IF(AND($Z2906=0,COUNTIF('AR SALES'!$L$2:$L$2501,$L2906)=0),"YES",""))</f>
        <v/>
      </c>
      <c r="AZ2906" s="2" t="str">
        <f>IF($AV2906="","",IF(COUNTIF(LISTS!$C$2:$C$250,$AU2906)=0,"NEW",""))</f>
        <v/>
      </c>
      <c r="BA2906" s="2" t="str">
        <f>IF(""&amp;$F2906&lt;&gt;"4","",IF($AY2906="YES","",IF(ROUND(SUMIFS($AE$2:$AE$4001,$L$2:$L$4001,$L2906,$F$2:$F$4001,"4")-SUMIFS('AR SALES'!$Y$2:$Y$2501,'AR SALES'!$L$2:$L$2501,$L2906,'AR SALES'!$AD$2:$AD$2501,"OFF"),2)=0,"","STALE")))</f>
        <v/>
      </c>
      <c r="BB2906" s="2" t="str">
        <f>IF(OR(""&amp;$F2906="2",""&amp;$F2906="4",""&amp;$F2906="G",""&amp;$F2906="H"),IF($AY2906="YES","",IF($AB2906&lt;&gt;0,"",IF(COUNTIFS('AR SALES'!$L$2:$L$2501,$L2906,'AR SALES'!$AD$2:$AD$2501,IF(""&amp;$F2906="4","OFF","ON"),'AR SALES'!$AF$2:$AF$2501,"Y")&gt;0,"","NO EXEMPTION"))),"")</f>
        <v/>
      </c>
    </row>
    <row r="2907" spans="46:54" x14ac:dyDescent="0.25">
      <c r="AT2907" s="2" t="str">
        <f>IF($L2907="","",IFERROR(INDEX('AR SALES'!$H$2:$H$2501,MATCH(""&amp;$L2907,'AR SALES'!$AE$2:$AE$2501,0)),""))</f>
        <v/>
      </c>
      <c r="AU2907" s="2" t="str">
        <f t="shared" si="180"/>
        <v/>
      </c>
      <c r="AV2907" s="2" t="str">
        <f t="shared" si="181"/>
        <v/>
      </c>
      <c r="AW2907" s="2" t="str">
        <f t="shared" si="182"/>
        <v/>
      </c>
      <c r="AX2907" s="2" t="str">
        <f t="shared" si="183"/>
        <v/>
      </c>
      <c r="AY2907" s="2" t="str">
        <f>IF($AV2907="","",IF(AND($Z2907=0,COUNTIF('AR SALES'!$L$2:$L$2501,$L2907)=0),"YES",""))</f>
        <v/>
      </c>
      <c r="AZ2907" s="2" t="str">
        <f>IF($AV2907="","",IF(COUNTIF(LISTS!$C$2:$C$250,$AU2907)=0,"NEW",""))</f>
        <v/>
      </c>
      <c r="BA2907" s="2" t="str">
        <f>IF(""&amp;$F2907&lt;&gt;"4","",IF($AY2907="YES","",IF(ROUND(SUMIFS($AE$2:$AE$4001,$L$2:$L$4001,$L2907,$F$2:$F$4001,"4")-SUMIFS('AR SALES'!$Y$2:$Y$2501,'AR SALES'!$L$2:$L$2501,$L2907,'AR SALES'!$AD$2:$AD$2501,"OFF"),2)=0,"","STALE")))</f>
        <v/>
      </c>
      <c r="BB2907" s="2" t="str">
        <f>IF(OR(""&amp;$F2907="2",""&amp;$F2907="4",""&amp;$F2907="G",""&amp;$F2907="H"),IF($AY2907="YES","",IF($AB2907&lt;&gt;0,"",IF(COUNTIFS('AR SALES'!$L$2:$L$2501,$L2907,'AR SALES'!$AD$2:$AD$2501,IF(""&amp;$F2907="4","OFF","ON"),'AR SALES'!$AF$2:$AF$2501,"Y")&gt;0,"","NO EXEMPTION"))),"")</f>
        <v/>
      </c>
    </row>
    <row r="2908" spans="46:54" x14ac:dyDescent="0.25">
      <c r="AT2908" s="2" t="str">
        <f>IF($L2908="","",IFERROR(INDEX('AR SALES'!$H$2:$H$2501,MATCH(""&amp;$L2908,'AR SALES'!$AE$2:$AE$2501,0)),""))</f>
        <v/>
      </c>
      <c r="AU2908" s="2" t="str">
        <f t="shared" si="180"/>
        <v/>
      </c>
      <c r="AV2908" s="2" t="str">
        <f t="shared" si="181"/>
        <v/>
      </c>
      <c r="AW2908" s="2" t="str">
        <f t="shared" si="182"/>
        <v/>
      </c>
      <c r="AX2908" s="2" t="str">
        <f t="shared" si="183"/>
        <v/>
      </c>
      <c r="AY2908" s="2" t="str">
        <f>IF($AV2908="","",IF(AND($Z2908=0,COUNTIF('AR SALES'!$L$2:$L$2501,$L2908)=0),"YES",""))</f>
        <v/>
      </c>
      <c r="AZ2908" s="2" t="str">
        <f>IF($AV2908="","",IF(COUNTIF(LISTS!$C$2:$C$250,$AU2908)=0,"NEW",""))</f>
        <v/>
      </c>
      <c r="BA2908" s="2" t="str">
        <f>IF(""&amp;$F2908&lt;&gt;"4","",IF($AY2908="YES","",IF(ROUND(SUMIFS($AE$2:$AE$4001,$L$2:$L$4001,$L2908,$F$2:$F$4001,"4")-SUMIFS('AR SALES'!$Y$2:$Y$2501,'AR SALES'!$L$2:$L$2501,$L2908,'AR SALES'!$AD$2:$AD$2501,"OFF"),2)=0,"","STALE")))</f>
        <v/>
      </c>
      <c r="BB2908" s="2" t="str">
        <f>IF(OR(""&amp;$F2908="2",""&amp;$F2908="4",""&amp;$F2908="G",""&amp;$F2908="H"),IF($AY2908="YES","",IF($AB2908&lt;&gt;0,"",IF(COUNTIFS('AR SALES'!$L$2:$L$2501,$L2908,'AR SALES'!$AD$2:$AD$2501,IF(""&amp;$F2908="4","OFF","ON"),'AR SALES'!$AF$2:$AF$2501,"Y")&gt;0,"","NO EXEMPTION"))),"")</f>
        <v/>
      </c>
    </row>
    <row r="2909" spans="46:54" x14ac:dyDescent="0.25">
      <c r="AT2909" s="2" t="str">
        <f>IF($L2909="","",IFERROR(INDEX('AR SALES'!$H$2:$H$2501,MATCH(""&amp;$L2909,'AR SALES'!$AE$2:$AE$2501,0)),""))</f>
        <v/>
      </c>
      <c r="AU2909" s="2" t="str">
        <f t="shared" si="180"/>
        <v/>
      </c>
      <c r="AV2909" s="2" t="str">
        <f t="shared" si="181"/>
        <v/>
      </c>
      <c r="AW2909" s="2" t="str">
        <f t="shared" si="182"/>
        <v/>
      </c>
      <c r="AX2909" s="2" t="str">
        <f t="shared" si="183"/>
        <v/>
      </c>
      <c r="AY2909" s="2" t="str">
        <f>IF($AV2909="","",IF(AND($Z2909=0,COUNTIF('AR SALES'!$L$2:$L$2501,$L2909)=0),"YES",""))</f>
        <v/>
      </c>
      <c r="AZ2909" s="2" t="str">
        <f>IF($AV2909="","",IF(COUNTIF(LISTS!$C$2:$C$250,$AU2909)=0,"NEW",""))</f>
        <v/>
      </c>
      <c r="BA2909" s="2" t="str">
        <f>IF(""&amp;$F2909&lt;&gt;"4","",IF($AY2909="YES","",IF(ROUND(SUMIFS($AE$2:$AE$4001,$L$2:$L$4001,$L2909,$F$2:$F$4001,"4")-SUMIFS('AR SALES'!$Y$2:$Y$2501,'AR SALES'!$L$2:$L$2501,$L2909,'AR SALES'!$AD$2:$AD$2501,"OFF"),2)=0,"","STALE")))</f>
        <v/>
      </c>
      <c r="BB2909" s="2" t="str">
        <f>IF(OR(""&amp;$F2909="2",""&amp;$F2909="4",""&amp;$F2909="G",""&amp;$F2909="H"),IF($AY2909="YES","",IF($AB2909&lt;&gt;0,"",IF(COUNTIFS('AR SALES'!$L$2:$L$2501,$L2909,'AR SALES'!$AD$2:$AD$2501,IF(""&amp;$F2909="4","OFF","ON"),'AR SALES'!$AF$2:$AF$2501,"Y")&gt;0,"","NO EXEMPTION"))),"")</f>
        <v/>
      </c>
    </row>
    <row r="2910" spans="46:54" x14ac:dyDescent="0.25">
      <c r="AT2910" s="2" t="str">
        <f>IF($L2910="","",IFERROR(INDEX('AR SALES'!$H$2:$H$2501,MATCH(""&amp;$L2910,'AR SALES'!$AE$2:$AE$2501,0)),""))</f>
        <v/>
      </c>
      <c r="AU2910" s="2" t="str">
        <f t="shared" si="180"/>
        <v/>
      </c>
      <c r="AV2910" s="2" t="str">
        <f t="shared" si="181"/>
        <v/>
      </c>
      <c r="AW2910" s="2" t="str">
        <f t="shared" si="182"/>
        <v/>
      </c>
      <c r="AX2910" s="2" t="str">
        <f t="shared" si="183"/>
        <v/>
      </c>
      <c r="AY2910" s="2" t="str">
        <f>IF($AV2910="","",IF(AND($Z2910=0,COUNTIF('AR SALES'!$L$2:$L$2501,$L2910)=0),"YES",""))</f>
        <v/>
      </c>
      <c r="AZ2910" s="2" t="str">
        <f>IF($AV2910="","",IF(COUNTIF(LISTS!$C$2:$C$250,$AU2910)=0,"NEW",""))</f>
        <v/>
      </c>
      <c r="BA2910" s="2" t="str">
        <f>IF(""&amp;$F2910&lt;&gt;"4","",IF($AY2910="YES","",IF(ROUND(SUMIFS($AE$2:$AE$4001,$L$2:$L$4001,$L2910,$F$2:$F$4001,"4")-SUMIFS('AR SALES'!$Y$2:$Y$2501,'AR SALES'!$L$2:$L$2501,$L2910,'AR SALES'!$AD$2:$AD$2501,"OFF"),2)=0,"","STALE")))</f>
        <v/>
      </c>
      <c r="BB2910" s="2" t="str">
        <f>IF(OR(""&amp;$F2910="2",""&amp;$F2910="4",""&amp;$F2910="G",""&amp;$F2910="H"),IF($AY2910="YES","",IF($AB2910&lt;&gt;0,"",IF(COUNTIFS('AR SALES'!$L$2:$L$2501,$L2910,'AR SALES'!$AD$2:$AD$2501,IF(""&amp;$F2910="4","OFF","ON"),'AR SALES'!$AF$2:$AF$2501,"Y")&gt;0,"","NO EXEMPTION"))),"")</f>
        <v/>
      </c>
    </row>
    <row r="2911" spans="46:54" x14ac:dyDescent="0.25">
      <c r="AT2911" s="2" t="str">
        <f>IF($L2911="","",IFERROR(INDEX('AR SALES'!$H$2:$H$2501,MATCH(""&amp;$L2911,'AR SALES'!$AE$2:$AE$2501,0)),""))</f>
        <v/>
      </c>
      <c r="AU2911" s="2" t="str">
        <f t="shared" si="180"/>
        <v/>
      </c>
      <c r="AV2911" s="2" t="str">
        <f t="shared" si="181"/>
        <v/>
      </c>
      <c r="AW2911" s="2" t="str">
        <f t="shared" si="182"/>
        <v/>
      </c>
      <c r="AX2911" s="2" t="str">
        <f t="shared" si="183"/>
        <v/>
      </c>
      <c r="AY2911" s="2" t="str">
        <f>IF($AV2911="","",IF(AND($Z2911=0,COUNTIF('AR SALES'!$L$2:$L$2501,$L2911)=0),"YES",""))</f>
        <v/>
      </c>
      <c r="AZ2911" s="2" t="str">
        <f>IF($AV2911="","",IF(COUNTIF(LISTS!$C$2:$C$250,$AU2911)=0,"NEW",""))</f>
        <v/>
      </c>
      <c r="BA2911" s="2" t="str">
        <f>IF(""&amp;$F2911&lt;&gt;"4","",IF($AY2911="YES","",IF(ROUND(SUMIFS($AE$2:$AE$4001,$L$2:$L$4001,$L2911,$F$2:$F$4001,"4")-SUMIFS('AR SALES'!$Y$2:$Y$2501,'AR SALES'!$L$2:$L$2501,$L2911,'AR SALES'!$AD$2:$AD$2501,"OFF"),2)=0,"","STALE")))</f>
        <v/>
      </c>
      <c r="BB2911" s="2" t="str">
        <f>IF(OR(""&amp;$F2911="2",""&amp;$F2911="4",""&amp;$F2911="G",""&amp;$F2911="H"),IF($AY2911="YES","",IF($AB2911&lt;&gt;0,"",IF(COUNTIFS('AR SALES'!$L$2:$L$2501,$L2911,'AR SALES'!$AD$2:$AD$2501,IF(""&amp;$F2911="4","OFF","ON"),'AR SALES'!$AF$2:$AF$2501,"Y")&gt;0,"","NO EXEMPTION"))),"")</f>
        <v/>
      </c>
    </row>
    <row r="2912" spans="46:54" x14ac:dyDescent="0.25">
      <c r="AT2912" s="2" t="str">
        <f>IF($L2912="","",IFERROR(INDEX('AR SALES'!$H$2:$H$2501,MATCH(""&amp;$L2912,'AR SALES'!$AE$2:$AE$2501,0)),""))</f>
        <v/>
      </c>
      <c r="AU2912" s="2" t="str">
        <f t="shared" si="180"/>
        <v/>
      </c>
      <c r="AV2912" s="2" t="str">
        <f t="shared" si="181"/>
        <v/>
      </c>
      <c r="AW2912" s="2" t="str">
        <f t="shared" si="182"/>
        <v/>
      </c>
      <c r="AX2912" s="2" t="str">
        <f t="shared" si="183"/>
        <v/>
      </c>
      <c r="AY2912" s="2" t="str">
        <f>IF($AV2912="","",IF(AND($Z2912=0,COUNTIF('AR SALES'!$L$2:$L$2501,$L2912)=0),"YES",""))</f>
        <v/>
      </c>
      <c r="AZ2912" s="2" t="str">
        <f>IF($AV2912="","",IF(COUNTIF(LISTS!$C$2:$C$250,$AU2912)=0,"NEW",""))</f>
        <v/>
      </c>
      <c r="BA2912" s="2" t="str">
        <f>IF(""&amp;$F2912&lt;&gt;"4","",IF($AY2912="YES","",IF(ROUND(SUMIFS($AE$2:$AE$4001,$L$2:$L$4001,$L2912,$F$2:$F$4001,"4")-SUMIFS('AR SALES'!$Y$2:$Y$2501,'AR SALES'!$L$2:$L$2501,$L2912,'AR SALES'!$AD$2:$AD$2501,"OFF"),2)=0,"","STALE")))</f>
        <v/>
      </c>
      <c r="BB2912" s="2" t="str">
        <f>IF(OR(""&amp;$F2912="2",""&amp;$F2912="4",""&amp;$F2912="G",""&amp;$F2912="H"),IF($AY2912="YES","",IF($AB2912&lt;&gt;0,"",IF(COUNTIFS('AR SALES'!$L$2:$L$2501,$L2912,'AR SALES'!$AD$2:$AD$2501,IF(""&amp;$F2912="4","OFF","ON"),'AR SALES'!$AF$2:$AF$2501,"Y")&gt;0,"","NO EXEMPTION"))),"")</f>
        <v/>
      </c>
    </row>
    <row r="2913" spans="46:54" x14ac:dyDescent="0.25">
      <c r="AT2913" s="2" t="str">
        <f>IF($L2913="","",IFERROR(INDEX('AR SALES'!$H$2:$H$2501,MATCH(""&amp;$L2913,'AR SALES'!$AE$2:$AE$2501,0)),""))</f>
        <v/>
      </c>
      <c r="AU2913" s="2" t="str">
        <f t="shared" si="180"/>
        <v/>
      </c>
      <c r="AV2913" s="2" t="str">
        <f t="shared" si="181"/>
        <v/>
      </c>
      <c r="AW2913" s="2" t="str">
        <f t="shared" si="182"/>
        <v/>
      </c>
      <c r="AX2913" s="2" t="str">
        <f t="shared" si="183"/>
        <v/>
      </c>
      <c r="AY2913" s="2" t="str">
        <f>IF($AV2913="","",IF(AND($Z2913=0,COUNTIF('AR SALES'!$L$2:$L$2501,$L2913)=0),"YES",""))</f>
        <v/>
      </c>
      <c r="AZ2913" s="2" t="str">
        <f>IF($AV2913="","",IF(COUNTIF(LISTS!$C$2:$C$250,$AU2913)=0,"NEW",""))</f>
        <v/>
      </c>
      <c r="BA2913" s="2" t="str">
        <f>IF(""&amp;$F2913&lt;&gt;"4","",IF($AY2913="YES","",IF(ROUND(SUMIFS($AE$2:$AE$4001,$L$2:$L$4001,$L2913,$F$2:$F$4001,"4")-SUMIFS('AR SALES'!$Y$2:$Y$2501,'AR SALES'!$L$2:$L$2501,$L2913,'AR SALES'!$AD$2:$AD$2501,"OFF"),2)=0,"","STALE")))</f>
        <v/>
      </c>
      <c r="BB2913" s="2" t="str">
        <f>IF(OR(""&amp;$F2913="2",""&amp;$F2913="4",""&amp;$F2913="G",""&amp;$F2913="H"),IF($AY2913="YES","",IF($AB2913&lt;&gt;0,"",IF(COUNTIFS('AR SALES'!$L$2:$L$2501,$L2913,'AR SALES'!$AD$2:$AD$2501,IF(""&amp;$F2913="4","OFF","ON"),'AR SALES'!$AF$2:$AF$2501,"Y")&gt;0,"","NO EXEMPTION"))),"")</f>
        <v/>
      </c>
    </row>
    <row r="2914" spans="46:54" x14ac:dyDescent="0.25">
      <c r="AT2914" s="2" t="str">
        <f>IF($L2914="","",IFERROR(INDEX('AR SALES'!$H$2:$H$2501,MATCH(""&amp;$L2914,'AR SALES'!$AE$2:$AE$2501,0)),""))</f>
        <v/>
      </c>
      <c r="AU2914" s="2" t="str">
        <f t="shared" si="180"/>
        <v/>
      </c>
      <c r="AV2914" s="2" t="str">
        <f t="shared" si="181"/>
        <v/>
      </c>
      <c r="AW2914" s="2" t="str">
        <f t="shared" si="182"/>
        <v/>
      </c>
      <c r="AX2914" s="2" t="str">
        <f t="shared" si="183"/>
        <v/>
      </c>
      <c r="AY2914" s="2" t="str">
        <f>IF($AV2914="","",IF(AND($Z2914=0,COUNTIF('AR SALES'!$L$2:$L$2501,$L2914)=0),"YES",""))</f>
        <v/>
      </c>
      <c r="AZ2914" s="2" t="str">
        <f>IF($AV2914="","",IF(COUNTIF(LISTS!$C$2:$C$250,$AU2914)=0,"NEW",""))</f>
        <v/>
      </c>
      <c r="BA2914" s="2" t="str">
        <f>IF(""&amp;$F2914&lt;&gt;"4","",IF($AY2914="YES","",IF(ROUND(SUMIFS($AE$2:$AE$4001,$L$2:$L$4001,$L2914,$F$2:$F$4001,"4")-SUMIFS('AR SALES'!$Y$2:$Y$2501,'AR SALES'!$L$2:$L$2501,$L2914,'AR SALES'!$AD$2:$AD$2501,"OFF"),2)=0,"","STALE")))</f>
        <v/>
      </c>
      <c r="BB2914" s="2" t="str">
        <f>IF(OR(""&amp;$F2914="2",""&amp;$F2914="4",""&amp;$F2914="G",""&amp;$F2914="H"),IF($AY2914="YES","",IF($AB2914&lt;&gt;0,"",IF(COUNTIFS('AR SALES'!$L$2:$L$2501,$L2914,'AR SALES'!$AD$2:$AD$2501,IF(""&amp;$F2914="4","OFF","ON"),'AR SALES'!$AF$2:$AF$2501,"Y")&gt;0,"","NO EXEMPTION"))),"")</f>
        <v/>
      </c>
    </row>
    <row r="2915" spans="46:54" x14ac:dyDescent="0.25">
      <c r="AT2915" s="2" t="str">
        <f>IF($L2915="","",IFERROR(INDEX('AR SALES'!$H$2:$H$2501,MATCH(""&amp;$L2915,'AR SALES'!$AE$2:$AE$2501,0)),""))</f>
        <v/>
      </c>
      <c r="AU2915" s="2" t="str">
        <f t="shared" si="180"/>
        <v/>
      </c>
      <c r="AV2915" s="2" t="str">
        <f t="shared" si="181"/>
        <v/>
      </c>
      <c r="AW2915" s="2" t="str">
        <f t="shared" si="182"/>
        <v/>
      </c>
      <c r="AX2915" s="2" t="str">
        <f t="shared" si="183"/>
        <v/>
      </c>
      <c r="AY2915" s="2" t="str">
        <f>IF($AV2915="","",IF(AND($Z2915=0,COUNTIF('AR SALES'!$L$2:$L$2501,$L2915)=0),"YES",""))</f>
        <v/>
      </c>
      <c r="AZ2915" s="2" t="str">
        <f>IF($AV2915="","",IF(COUNTIF(LISTS!$C$2:$C$250,$AU2915)=0,"NEW",""))</f>
        <v/>
      </c>
      <c r="BA2915" s="2" t="str">
        <f>IF(""&amp;$F2915&lt;&gt;"4","",IF($AY2915="YES","",IF(ROUND(SUMIFS($AE$2:$AE$4001,$L$2:$L$4001,$L2915,$F$2:$F$4001,"4")-SUMIFS('AR SALES'!$Y$2:$Y$2501,'AR SALES'!$L$2:$L$2501,$L2915,'AR SALES'!$AD$2:$AD$2501,"OFF"),2)=0,"","STALE")))</f>
        <v/>
      </c>
      <c r="BB2915" s="2" t="str">
        <f>IF(OR(""&amp;$F2915="2",""&amp;$F2915="4",""&amp;$F2915="G",""&amp;$F2915="H"),IF($AY2915="YES","",IF($AB2915&lt;&gt;0,"",IF(COUNTIFS('AR SALES'!$L$2:$L$2501,$L2915,'AR SALES'!$AD$2:$AD$2501,IF(""&amp;$F2915="4","OFF","ON"),'AR SALES'!$AF$2:$AF$2501,"Y")&gt;0,"","NO EXEMPTION"))),"")</f>
        <v/>
      </c>
    </row>
    <row r="2916" spans="46:54" x14ac:dyDescent="0.25">
      <c r="AT2916" s="2" t="str">
        <f>IF($L2916="","",IFERROR(INDEX('AR SALES'!$H$2:$H$2501,MATCH(""&amp;$L2916,'AR SALES'!$AE$2:$AE$2501,0)),""))</f>
        <v/>
      </c>
      <c r="AU2916" s="2" t="str">
        <f t="shared" si="180"/>
        <v/>
      </c>
      <c r="AV2916" s="2" t="str">
        <f t="shared" si="181"/>
        <v/>
      </c>
      <c r="AW2916" s="2" t="str">
        <f t="shared" si="182"/>
        <v/>
      </c>
      <c r="AX2916" s="2" t="str">
        <f t="shared" si="183"/>
        <v/>
      </c>
      <c r="AY2916" s="2" t="str">
        <f>IF($AV2916="","",IF(AND($Z2916=0,COUNTIF('AR SALES'!$L$2:$L$2501,$L2916)=0),"YES",""))</f>
        <v/>
      </c>
      <c r="AZ2916" s="2" t="str">
        <f>IF($AV2916="","",IF(COUNTIF(LISTS!$C$2:$C$250,$AU2916)=0,"NEW",""))</f>
        <v/>
      </c>
      <c r="BA2916" s="2" t="str">
        <f>IF(""&amp;$F2916&lt;&gt;"4","",IF($AY2916="YES","",IF(ROUND(SUMIFS($AE$2:$AE$4001,$L$2:$L$4001,$L2916,$F$2:$F$4001,"4")-SUMIFS('AR SALES'!$Y$2:$Y$2501,'AR SALES'!$L$2:$L$2501,$L2916,'AR SALES'!$AD$2:$AD$2501,"OFF"),2)=0,"","STALE")))</f>
        <v/>
      </c>
      <c r="BB2916" s="2" t="str">
        <f>IF(OR(""&amp;$F2916="2",""&amp;$F2916="4",""&amp;$F2916="G",""&amp;$F2916="H"),IF($AY2916="YES","",IF($AB2916&lt;&gt;0,"",IF(COUNTIFS('AR SALES'!$L$2:$L$2501,$L2916,'AR SALES'!$AD$2:$AD$2501,IF(""&amp;$F2916="4","OFF","ON"),'AR SALES'!$AF$2:$AF$2501,"Y")&gt;0,"","NO EXEMPTION"))),"")</f>
        <v/>
      </c>
    </row>
    <row r="2917" spans="46:54" x14ac:dyDescent="0.25">
      <c r="AT2917" s="2" t="str">
        <f>IF($L2917="","",IFERROR(INDEX('AR SALES'!$H$2:$H$2501,MATCH(""&amp;$L2917,'AR SALES'!$AE$2:$AE$2501,0)),""))</f>
        <v/>
      </c>
      <c r="AU2917" s="2" t="str">
        <f t="shared" si="180"/>
        <v/>
      </c>
      <c r="AV2917" s="2" t="str">
        <f t="shared" si="181"/>
        <v/>
      </c>
      <c r="AW2917" s="2" t="str">
        <f t="shared" si="182"/>
        <v/>
      </c>
      <c r="AX2917" s="2" t="str">
        <f t="shared" si="183"/>
        <v/>
      </c>
      <c r="AY2917" s="2" t="str">
        <f>IF($AV2917="","",IF(AND($Z2917=0,COUNTIF('AR SALES'!$L$2:$L$2501,$L2917)=0),"YES",""))</f>
        <v/>
      </c>
      <c r="AZ2917" s="2" t="str">
        <f>IF($AV2917="","",IF(COUNTIF(LISTS!$C$2:$C$250,$AU2917)=0,"NEW",""))</f>
        <v/>
      </c>
      <c r="BA2917" s="2" t="str">
        <f>IF(""&amp;$F2917&lt;&gt;"4","",IF($AY2917="YES","",IF(ROUND(SUMIFS($AE$2:$AE$4001,$L$2:$L$4001,$L2917,$F$2:$F$4001,"4")-SUMIFS('AR SALES'!$Y$2:$Y$2501,'AR SALES'!$L$2:$L$2501,$L2917,'AR SALES'!$AD$2:$AD$2501,"OFF"),2)=0,"","STALE")))</f>
        <v/>
      </c>
      <c r="BB2917" s="2" t="str">
        <f>IF(OR(""&amp;$F2917="2",""&amp;$F2917="4",""&amp;$F2917="G",""&amp;$F2917="H"),IF($AY2917="YES","",IF($AB2917&lt;&gt;0,"",IF(COUNTIFS('AR SALES'!$L$2:$L$2501,$L2917,'AR SALES'!$AD$2:$AD$2501,IF(""&amp;$F2917="4","OFF","ON"),'AR SALES'!$AF$2:$AF$2501,"Y")&gt;0,"","NO EXEMPTION"))),"")</f>
        <v/>
      </c>
    </row>
    <row r="2918" spans="46:54" x14ac:dyDescent="0.25">
      <c r="AT2918" s="2" t="str">
        <f>IF($L2918="","",IFERROR(INDEX('AR SALES'!$H$2:$H$2501,MATCH(""&amp;$L2918,'AR SALES'!$AE$2:$AE$2501,0)),""))</f>
        <v/>
      </c>
      <c r="AU2918" s="2" t="str">
        <f t="shared" si="180"/>
        <v/>
      </c>
      <c r="AV2918" s="2" t="str">
        <f t="shared" si="181"/>
        <v/>
      </c>
      <c r="AW2918" s="2" t="str">
        <f t="shared" si="182"/>
        <v/>
      </c>
      <c r="AX2918" s="2" t="str">
        <f t="shared" si="183"/>
        <v/>
      </c>
      <c r="AY2918" s="2" t="str">
        <f>IF($AV2918="","",IF(AND($Z2918=0,COUNTIF('AR SALES'!$L$2:$L$2501,$L2918)=0),"YES",""))</f>
        <v/>
      </c>
      <c r="AZ2918" s="2" t="str">
        <f>IF($AV2918="","",IF(COUNTIF(LISTS!$C$2:$C$250,$AU2918)=0,"NEW",""))</f>
        <v/>
      </c>
      <c r="BA2918" s="2" t="str">
        <f>IF(""&amp;$F2918&lt;&gt;"4","",IF($AY2918="YES","",IF(ROUND(SUMIFS($AE$2:$AE$4001,$L$2:$L$4001,$L2918,$F$2:$F$4001,"4")-SUMIFS('AR SALES'!$Y$2:$Y$2501,'AR SALES'!$L$2:$L$2501,$L2918,'AR SALES'!$AD$2:$AD$2501,"OFF"),2)=0,"","STALE")))</f>
        <v/>
      </c>
      <c r="BB2918" s="2" t="str">
        <f>IF(OR(""&amp;$F2918="2",""&amp;$F2918="4",""&amp;$F2918="G",""&amp;$F2918="H"),IF($AY2918="YES","",IF($AB2918&lt;&gt;0,"",IF(COUNTIFS('AR SALES'!$L$2:$L$2501,$L2918,'AR SALES'!$AD$2:$AD$2501,IF(""&amp;$F2918="4","OFF","ON"),'AR SALES'!$AF$2:$AF$2501,"Y")&gt;0,"","NO EXEMPTION"))),"")</f>
        <v/>
      </c>
    </row>
    <row r="2919" spans="46:54" x14ac:dyDescent="0.25">
      <c r="AT2919" s="2" t="str">
        <f>IF($L2919="","",IFERROR(INDEX('AR SALES'!$H$2:$H$2501,MATCH(""&amp;$L2919,'AR SALES'!$AE$2:$AE$2501,0)),""))</f>
        <v/>
      </c>
      <c r="AU2919" s="2" t="str">
        <f t="shared" si="180"/>
        <v/>
      </c>
      <c r="AV2919" s="2" t="str">
        <f t="shared" si="181"/>
        <v/>
      </c>
      <c r="AW2919" s="2" t="str">
        <f t="shared" si="182"/>
        <v/>
      </c>
      <c r="AX2919" s="2" t="str">
        <f t="shared" si="183"/>
        <v/>
      </c>
      <c r="AY2919" s="2" t="str">
        <f>IF($AV2919="","",IF(AND($Z2919=0,COUNTIF('AR SALES'!$L$2:$L$2501,$L2919)=0),"YES",""))</f>
        <v/>
      </c>
      <c r="AZ2919" s="2" t="str">
        <f>IF($AV2919="","",IF(COUNTIF(LISTS!$C$2:$C$250,$AU2919)=0,"NEW",""))</f>
        <v/>
      </c>
      <c r="BA2919" s="2" t="str">
        <f>IF(""&amp;$F2919&lt;&gt;"4","",IF($AY2919="YES","",IF(ROUND(SUMIFS($AE$2:$AE$4001,$L$2:$L$4001,$L2919,$F$2:$F$4001,"4")-SUMIFS('AR SALES'!$Y$2:$Y$2501,'AR SALES'!$L$2:$L$2501,$L2919,'AR SALES'!$AD$2:$AD$2501,"OFF"),2)=0,"","STALE")))</f>
        <v/>
      </c>
      <c r="BB2919" s="2" t="str">
        <f>IF(OR(""&amp;$F2919="2",""&amp;$F2919="4",""&amp;$F2919="G",""&amp;$F2919="H"),IF($AY2919="YES","",IF($AB2919&lt;&gt;0,"",IF(COUNTIFS('AR SALES'!$L$2:$L$2501,$L2919,'AR SALES'!$AD$2:$AD$2501,IF(""&amp;$F2919="4","OFF","ON"),'AR SALES'!$AF$2:$AF$2501,"Y")&gt;0,"","NO EXEMPTION"))),"")</f>
        <v/>
      </c>
    </row>
    <row r="2920" spans="46:54" x14ac:dyDescent="0.25">
      <c r="AT2920" s="2" t="str">
        <f>IF($L2920="","",IFERROR(INDEX('AR SALES'!$H$2:$H$2501,MATCH(""&amp;$L2920,'AR SALES'!$AE$2:$AE$2501,0)),""))</f>
        <v/>
      </c>
      <c r="AU2920" s="2" t="str">
        <f t="shared" si="180"/>
        <v/>
      </c>
      <c r="AV2920" s="2" t="str">
        <f t="shared" si="181"/>
        <v/>
      </c>
      <c r="AW2920" s="2" t="str">
        <f t="shared" si="182"/>
        <v/>
      </c>
      <c r="AX2920" s="2" t="str">
        <f t="shared" si="183"/>
        <v/>
      </c>
      <c r="AY2920" s="2" t="str">
        <f>IF($AV2920="","",IF(AND($Z2920=0,COUNTIF('AR SALES'!$L$2:$L$2501,$L2920)=0),"YES",""))</f>
        <v/>
      </c>
      <c r="AZ2920" s="2" t="str">
        <f>IF($AV2920="","",IF(COUNTIF(LISTS!$C$2:$C$250,$AU2920)=0,"NEW",""))</f>
        <v/>
      </c>
      <c r="BA2920" s="2" t="str">
        <f>IF(""&amp;$F2920&lt;&gt;"4","",IF($AY2920="YES","",IF(ROUND(SUMIFS($AE$2:$AE$4001,$L$2:$L$4001,$L2920,$F$2:$F$4001,"4")-SUMIFS('AR SALES'!$Y$2:$Y$2501,'AR SALES'!$L$2:$L$2501,$L2920,'AR SALES'!$AD$2:$AD$2501,"OFF"),2)=0,"","STALE")))</f>
        <v/>
      </c>
      <c r="BB2920" s="2" t="str">
        <f>IF(OR(""&amp;$F2920="2",""&amp;$F2920="4",""&amp;$F2920="G",""&amp;$F2920="H"),IF($AY2920="YES","",IF($AB2920&lt;&gt;0,"",IF(COUNTIFS('AR SALES'!$L$2:$L$2501,$L2920,'AR SALES'!$AD$2:$AD$2501,IF(""&amp;$F2920="4","OFF","ON"),'AR SALES'!$AF$2:$AF$2501,"Y")&gt;0,"","NO EXEMPTION"))),"")</f>
        <v/>
      </c>
    </row>
    <row r="2921" spans="46:54" x14ac:dyDescent="0.25">
      <c r="AT2921" s="2" t="str">
        <f>IF($L2921="","",IFERROR(INDEX('AR SALES'!$H$2:$H$2501,MATCH(""&amp;$L2921,'AR SALES'!$AE$2:$AE$2501,0)),""))</f>
        <v/>
      </c>
      <c r="AU2921" s="2" t="str">
        <f t="shared" si="180"/>
        <v/>
      </c>
      <c r="AV2921" s="2" t="str">
        <f t="shared" si="181"/>
        <v/>
      </c>
      <c r="AW2921" s="2" t="str">
        <f t="shared" si="182"/>
        <v/>
      </c>
      <c r="AX2921" s="2" t="str">
        <f t="shared" si="183"/>
        <v/>
      </c>
      <c r="AY2921" s="2" t="str">
        <f>IF($AV2921="","",IF(AND($Z2921=0,COUNTIF('AR SALES'!$L$2:$L$2501,$L2921)=0),"YES",""))</f>
        <v/>
      </c>
      <c r="AZ2921" s="2" t="str">
        <f>IF($AV2921="","",IF(COUNTIF(LISTS!$C$2:$C$250,$AU2921)=0,"NEW",""))</f>
        <v/>
      </c>
      <c r="BA2921" s="2" t="str">
        <f>IF(""&amp;$F2921&lt;&gt;"4","",IF($AY2921="YES","",IF(ROUND(SUMIFS($AE$2:$AE$4001,$L$2:$L$4001,$L2921,$F$2:$F$4001,"4")-SUMIFS('AR SALES'!$Y$2:$Y$2501,'AR SALES'!$L$2:$L$2501,$L2921,'AR SALES'!$AD$2:$AD$2501,"OFF"),2)=0,"","STALE")))</f>
        <v/>
      </c>
      <c r="BB2921" s="2" t="str">
        <f>IF(OR(""&amp;$F2921="2",""&amp;$F2921="4",""&amp;$F2921="G",""&amp;$F2921="H"),IF($AY2921="YES","",IF($AB2921&lt;&gt;0,"",IF(COUNTIFS('AR SALES'!$L$2:$L$2501,$L2921,'AR SALES'!$AD$2:$AD$2501,IF(""&amp;$F2921="4","OFF","ON"),'AR SALES'!$AF$2:$AF$2501,"Y")&gt;0,"","NO EXEMPTION"))),"")</f>
        <v/>
      </c>
    </row>
    <row r="2922" spans="46:54" x14ac:dyDescent="0.25">
      <c r="AT2922" s="2" t="str">
        <f>IF($L2922="","",IFERROR(INDEX('AR SALES'!$H$2:$H$2501,MATCH(""&amp;$L2922,'AR SALES'!$AE$2:$AE$2501,0)),""))</f>
        <v/>
      </c>
      <c r="AU2922" s="2" t="str">
        <f t="shared" si="180"/>
        <v/>
      </c>
      <c r="AV2922" s="2" t="str">
        <f t="shared" si="181"/>
        <v/>
      </c>
      <c r="AW2922" s="2" t="str">
        <f t="shared" si="182"/>
        <v/>
      </c>
      <c r="AX2922" s="2" t="str">
        <f t="shared" si="183"/>
        <v/>
      </c>
      <c r="AY2922" s="2" t="str">
        <f>IF($AV2922="","",IF(AND($Z2922=0,COUNTIF('AR SALES'!$L$2:$L$2501,$L2922)=0),"YES",""))</f>
        <v/>
      </c>
      <c r="AZ2922" s="2" t="str">
        <f>IF($AV2922="","",IF(COUNTIF(LISTS!$C$2:$C$250,$AU2922)=0,"NEW",""))</f>
        <v/>
      </c>
      <c r="BA2922" s="2" t="str">
        <f>IF(""&amp;$F2922&lt;&gt;"4","",IF($AY2922="YES","",IF(ROUND(SUMIFS($AE$2:$AE$4001,$L$2:$L$4001,$L2922,$F$2:$F$4001,"4")-SUMIFS('AR SALES'!$Y$2:$Y$2501,'AR SALES'!$L$2:$L$2501,$L2922,'AR SALES'!$AD$2:$AD$2501,"OFF"),2)=0,"","STALE")))</f>
        <v/>
      </c>
      <c r="BB2922" s="2" t="str">
        <f>IF(OR(""&amp;$F2922="2",""&amp;$F2922="4",""&amp;$F2922="G",""&amp;$F2922="H"),IF($AY2922="YES","",IF($AB2922&lt;&gt;0,"",IF(COUNTIFS('AR SALES'!$L$2:$L$2501,$L2922,'AR SALES'!$AD$2:$AD$2501,IF(""&amp;$F2922="4","OFF","ON"),'AR SALES'!$AF$2:$AF$2501,"Y")&gt;0,"","NO EXEMPTION"))),"")</f>
        <v/>
      </c>
    </row>
    <row r="2923" spans="46:54" x14ac:dyDescent="0.25">
      <c r="AT2923" s="2" t="str">
        <f>IF($L2923="","",IFERROR(INDEX('AR SALES'!$H$2:$H$2501,MATCH(""&amp;$L2923,'AR SALES'!$AE$2:$AE$2501,0)),""))</f>
        <v/>
      </c>
      <c r="AU2923" s="2" t="str">
        <f t="shared" si="180"/>
        <v/>
      </c>
      <c r="AV2923" s="2" t="str">
        <f t="shared" si="181"/>
        <v/>
      </c>
      <c r="AW2923" s="2" t="str">
        <f t="shared" si="182"/>
        <v/>
      </c>
      <c r="AX2923" s="2" t="str">
        <f t="shared" si="183"/>
        <v/>
      </c>
      <c r="AY2923" s="2" t="str">
        <f>IF($AV2923="","",IF(AND($Z2923=0,COUNTIF('AR SALES'!$L$2:$L$2501,$L2923)=0),"YES",""))</f>
        <v/>
      </c>
      <c r="AZ2923" s="2" t="str">
        <f>IF($AV2923="","",IF(COUNTIF(LISTS!$C$2:$C$250,$AU2923)=0,"NEW",""))</f>
        <v/>
      </c>
      <c r="BA2923" s="2" t="str">
        <f>IF(""&amp;$F2923&lt;&gt;"4","",IF($AY2923="YES","",IF(ROUND(SUMIFS($AE$2:$AE$4001,$L$2:$L$4001,$L2923,$F$2:$F$4001,"4")-SUMIFS('AR SALES'!$Y$2:$Y$2501,'AR SALES'!$L$2:$L$2501,$L2923,'AR SALES'!$AD$2:$AD$2501,"OFF"),2)=0,"","STALE")))</f>
        <v/>
      </c>
      <c r="BB2923" s="2" t="str">
        <f>IF(OR(""&amp;$F2923="2",""&amp;$F2923="4",""&amp;$F2923="G",""&amp;$F2923="H"),IF($AY2923="YES","",IF($AB2923&lt;&gt;0,"",IF(COUNTIFS('AR SALES'!$L$2:$L$2501,$L2923,'AR SALES'!$AD$2:$AD$2501,IF(""&amp;$F2923="4","OFF","ON"),'AR SALES'!$AF$2:$AF$2501,"Y")&gt;0,"","NO EXEMPTION"))),"")</f>
        <v/>
      </c>
    </row>
    <row r="2924" spans="46:54" x14ac:dyDescent="0.25">
      <c r="AT2924" s="2" t="str">
        <f>IF($L2924="","",IFERROR(INDEX('AR SALES'!$H$2:$H$2501,MATCH(""&amp;$L2924,'AR SALES'!$AE$2:$AE$2501,0)),""))</f>
        <v/>
      </c>
      <c r="AU2924" s="2" t="str">
        <f t="shared" si="180"/>
        <v/>
      </c>
      <c r="AV2924" s="2" t="str">
        <f t="shared" si="181"/>
        <v/>
      </c>
      <c r="AW2924" s="2" t="str">
        <f t="shared" si="182"/>
        <v/>
      </c>
      <c r="AX2924" s="2" t="str">
        <f t="shared" si="183"/>
        <v/>
      </c>
      <c r="AY2924" s="2" t="str">
        <f>IF($AV2924="","",IF(AND($Z2924=0,COUNTIF('AR SALES'!$L$2:$L$2501,$L2924)=0),"YES",""))</f>
        <v/>
      </c>
      <c r="AZ2924" s="2" t="str">
        <f>IF($AV2924="","",IF(COUNTIF(LISTS!$C$2:$C$250,$AU2924)=0,"NEW",""))</f>
        <v/>
      </c>
      <c r="BA2924" s="2" t="str">
        <f>IF(""&amp;$F2924&lt;&gt;"4","",IF($AY2924="YES","",IF(ROUND(SUMIFS($AE$2:$AE$4001,$L$2:$L$4001,$L2924,$F$2:$F$4001,"4")-SUMIFS('AR SALES'!$Y$2:$Y$2501,'AR SALES'!$L$2:$L$2501,$L2924,'AR SALES'!$AD$2:$AD$2501,"OFF"),2)=0,"","STALE")))</f>
        <v/>
      </c>
      <c r="BB2924" s="2" t="str">
        <f>IF(OR(""&amp;$F2924="2",""&amp;$F2924="4",""&amp;$F2924="G",""&amp;$F2924="H"),IF($AY2924="YES","",IF($AB2924&lt;&gt;0,"",IF(COUNTIFS('AR SALES'!$L$2:$L$2501,$L2924,'AR SALES'!$AD$2:$AD$2501,IF(""&amp;$F2924="4","OFF","ON"),'AR SALES'!$AF$2:$AF$2501,"Y")&gt;0,"","NO EXEMPTION"))),"")</f>
        <v/>
      </c>
    </row>
    <row r="2925" spans="46:54" x14ac:dyDescent="0.25">
      <c r="AT2925" s="2" t="str">
        <f>IF($L2925="","",IFERROR(INDEX('AR SALES'!$H$2:$H$2501,MATCH(""&amp;$L2925,'AR SALES'!$AE$2:$AE$2501,0)),""))</f>
        <v/>
      </c>
      <c r="AU2925" s="2" t="str">
        <f t="shared" si="180"/>
        <v/>
      </c>
      <c r="AV2925" s="2" t="str">
        <f t="shared" si="181"/>
        <v/>
      </c>
      <c r="AW2925" s="2" t="str">
        <f t="shared" si="182"/>
        <v/>
      </c>
      <c r="AX2925" s="2" t="str">
        <f t="shared" si="183"/>
        <v/>
      </c>
      <c r="AY2925" s="2" t="str">
        <f>IF($AV2925="","",IF(AND($Z2925=0,COUNTIF('AR SALES'!$L$2:$L$2501,$L2925)=0),"YES",""))</f>
        <v/>
      </c>
      <c r="AZ2925" s="2" t="str">
        <f>IF($AV2925="","",IF(COUNTIF(LISTS!$C$2:$C$250,$AU2925)=0,"NEW",""))</f>
        <v/>
      </c>
      <c r="BA2925" s="2" t="str">
        <f>IF(""&amp;$F2925&lt;&gt;"4","",IF($AY2925="YES","",IF(ROUND(SUMIFS($AE$2:$AE$4001,$L$2:$L$4001,$L2925,$F$2:$F$4001,"4")-SUMIFS('AR SALES'!$Y$2:$Y$2501,'AR SALES'!$L$2:$L$2501,$L2925,'AR SALES'!$AD$2:$AD$2501,"OFF"),2)=0,"","STALE")))</f>
        <v/>
      </c>
      <c r="BB2925" s="2" t="str">
        <f>IF(OR(""&amp;$F2925="2",""&amp;$F2925="4",""&amp;$F2925="G",""&amp;$F2925="H"),IF($AY2925="YES","",IF($AB2925&lt;&gt;0,"",IF(COUNTIFS('AR SALES'!$L$2:$L$2501,$L2925,'AR SALES'!$AD$2:$AD$2501,IF(""&amp;$F2925="4","OFF","ON"),'AR SALES'!$AF$2:$AF$2501,"Y")&gt;0,"","NO EXEMPTION"))),"")</f>
        <v/>
      </c>
    </row>
    <row r="2926" spans="46:54" x14ac:dyDescent="0.25">
      <c r="AT2926" s="2" t="str">
        <f>IF($L2926="","",IFERROR(INDEX('AR SALES'!$H$2:$H$2501,MATCH(""&amp;$L2926,'AR SALES'!$AE$2:$AE$2501,0)),""))</f>
        <v/>
      </c>
      <c r="AU2926" s="2" t="str">
        <f t="shared" si="180"/>
        <v/>
      </c>
      <c r="AV2926" s="2" t="str">
        <f t="shared" si="181"/>
        <v/>
      </c>
      <c r="AW2926" s="2" t="str">
        <f t="shared" si="182"/>
        <v/>
      </c>
      <c r="AX2926" s="2" t="str">
        <f t="shared" si="183"/>
        <v/>
      </c>
      <c r="AY2926" s="2" t="str">
        <f>IF($AV2926="","",IF(AND($Z2926=0,COUNTIF('AR SALES'!$L$2:$L$2501,$L2926)=0),"YES",""))</f>
        <v/>
      </c>
      <c r="AZ2926" s="2" t="str">
        <f>IF($AV2926="","",IF(COUNTIF(LISTS!$C$2:$C$250,$AU2926)=0,"NEW",""))</f>
        <v/>
      </c>
      <c r="BA2926" s="2" t="str">
        <f>IF(""&amp;$F2926&lt;&gt;"4","",IF($AY2926="YES","",IF(ROUND(SUMIFS($AE$2:$AE$4001,$L$2:$L$4001,$L2926,$F$2:$F$4001,"4")-SUMIFS('AR SALES'!$Y$2:$Y$2501,'AR SALES'!$L$2:$L$2501,$L2926,'AR SALES'!$AD$2:$AD$2501,"OFF"),2)=0,"","STALE")))</f>
        <v/>
      </c>
      <c r="BB2926" s="2" t="str">
        <f>IF(OR(""&amp;$F2926="2",""&amp;$F2926="4",""&amp;$F2926="G",""&amp;$F2926="H"),IF($AY2926="YES","",IF($AB2926&lt;&gt;0,"",IF(COUNTIFS('AR SALES'!$L$2:$L$2501,$L2926,'AR SALES'!$AD$2:$AD$2501,IF(""&amp;$F2926="4","OFF","ON"),'AR SALES'!$AF$2:$AF$2501,"Y")&gt;0,"","NO EXEMPTION"))),"")</f>
        <v/>
      </c>
    </row>
    <row r="2927" spans="46:54" x14ac:dyDescent="0.25">
      <c r="AT2927" s="2" t="str">
        <f>IF($L2927="","",IFERROR(INDEX('AR SALES'!$H$2:$H$2501,MATCH(""&amp;$L2927,'AR SALES'!$AE$2:$AE$2501,0)),""))</f>
        <v/>
      </c>
      <c r="AU2927" s="2" t="str">
        <f t="shared" si="180"/>
        <v/>
      </c>
      <c r="AV2927" s="2" t="str">
        <f t="shared" si="181"/>
        <v/>
      </c>
      <c r="AW2927" s="2" t="str">
        <f t="shared" si="182"/>
        <v/>
      </c>
      <c r="AX2927" s="2" t="str">
        <f t="shared" si="183"/>
        <v/>
      </c>
      <c r="AY2927" s="2" t="str">
        <f>IF($AV2927="","",IF(AND($Z2927=0,COUNTIF('AR SALES'!$L$2:$L$2501,$L2927)=0),"YES",""))</f>
        <v/>
      </c>
      <c r="AZ2927" s="2" t="str">
        <f>IF($AV2927="","",IF(COUNTIF(LISTS!$C$2:$C$250,$AU2927)=0,"NEW",""))</f>
        <v/>
      </c>
      <c r="BA2927" s="2" t="str">
        <f>IF(""&amp;$F2927&lt;&gt;"4","",IF($AY2927="YES","",IF(ROUND(SUMIFS($AE$2:$AE$4001,$L$2:$L$4001,$L2927,$F$2:$F$4001,"4")-SUMIFS('AR SALES'!$Y$2:$Y$2501,'AR SALES'!$L$2:$L$2501,$L2927,'AR SALES'!$AD$2:$AD$2501,"OFF"),2)=0,"","STALE")))</f>
        <v/>
      </c>
      <c r="BB2927" s="2" t="str">
        <f>IF(OR(""&amp;$F2927="2",""&amp;$F2927="4",""&amp;$F2927="G",""&amp;$F2927="H"),IF($AY2927="YES","",IF($AB2927&lt;&gt;0,"",IF(COUNTIFS('AR SALES'!$L$2:$L$2501,$L2927,'AR SALES'!$AD$2:$AD$2501,IF(""&amp;$F2927="4","OFF","ON"),'AR SALES'!$AF$2:$AF$2501,"Y")&gt;0,"","NO EXEMPTION"))),"")</f>
        <v/>
      </c>
    </row>
    <row r="2928" spans="46:54" x14ac:dyDescent="0.25">
      <c r="AT2928" s="2" t="str">
        <f>IF($L2928="","",IFERROR(INDEX('AR SALES'!$H$2:$H$2501,MATCH(""&amp;$L2928,'AR SALES'!$AE$2:$AE$2501,0)),""))</f>
        <v/>
      </c>
      <c r="AU2928" s="2" t="str">
        <f t="shared" si="180"/>
        <v/>
      </c>
      <c r="AV2928" s="2" t="str">
        <f t="shared" si="181"/>
        <v/>
      </c>
      <c r="AW2928" s="2" t="str">
        <f t="shared" si="182"/>
        <v/>
      </c>
      <c r="AX2928" s="2" t="str">
        <f t="shared" si="183"/>
        <v/>
      </c>
      <c r="AY2928" s="2" t="str">
        <f>IF($AV2928="","",IF(AND($Z2928=0,COUNTIF('AR SALES'!$L$2:$L$2501,$L2928)=0),"YES",""))</f>
        <v/>
      </c>
      <c r="AZ2928" s="2" t="str">
        <f>IF($AV2928="","",IF(COUNTIF(LISTS!$C$2:$C$250,$AU2928)=0,"NEW",""))</f>
        <v/>
      </c>
      <c r="BA2928" s="2" t="str">
        <f>IF(""&amp;$F2928&lt;&gt;"4","",IF($AY2928="YES","",IF(ROUND(SUMIFS($AE$2:$AE$4001,$L$2:$L$4001,$L2928,$F$2:$F$4001,"4")-SUMIFS('AR SALES'!$Y$2:$Y$2501,'AR SALES'!$L$2:$L$2501,$L2928,'AR SALES'!$AD$2:$AD$2501,"OFF"),2)=0,"","STALE")))</f>
        <v/>
      </c>
      <c r="BB2928" s="2" t="str">
        <f>IF(OR(""&amp;$F2928="2",""&amp;$F2928="4",""&amp;$F2928="G",""&amp;$F2928="H"),IF($AY2928="YES","",IF($AB2928&lt;&gt;0,"",IF(COUNTIFS('AR SALES'!$L$2:$L$2501,$L2928,'AR SALES'!$AD$2:$AD$2501,IF(""&amp;$F2928="4","OFF","ON"),'AR SALES'!$AF$2:$AF$2501,"Y")&gt;0,"","NO EXEMPTION"))),"")</f>
        <v/>
      </c>
    </row>
    <row r="2929" spans="46:54" x14ac:dyDescent="0.25">
      <c r="AT2929" s="2" t="str">
        <f>IF($L2929="","",IFERROR(INDEX('AR SALES'!$H$2:$H$2501,MATCH(""&amp;$L2929,'AR SALES'!$AE$2:$AE$2501,0)),""))</f>
        <v/>
      </c>
      <c r="AU2929" s="2" t="str">
        <f t="shared" si="180"/>
        <v/>
      </c>
      <c r="AV2929" s="2" t="str">
        <f t="shared" si="181"/>
        <v/>
      </c>
      <c r="AW2929" s="2" t="str">
        <f t="shared" si="182"/>
        <v/>
      </c>
      <c r="AX2929" s="2" t="str">
        <f t="shared" si="183"/>
        <v/>
      </c>
      <c r="AY2929" s="2" t="str">
        <f>IF($AV2929="","",IF(AND($Z2929=0,COUNTIF('AR SALES'!$L$2:$L$2501,$L2929)=0),"YES",""))</f>
        <v/>
      </c>
      <c r="AZ2929" s="2" t="str">
        <f>IF($AV2929="","",IF(COUNTIF(LISTS!$C$2:$C$250,$AU2929)=0,"NEW",""))</f>
        <v/>
      </c>
      <c r="BA2929" s="2" t="str">
        <f>IF(""&amp;$F2929&lt;&gt;"4","",IF($AY2929="YES","",IF(ROUND(SUMIFS($AE$2:$AE$4001,$L$2:$L$4001,$L2929,$F$2:$F$4001,"4")-SUMIFS('AR SALES'!$Y$2:$Y$2501,'AR SALES'!$L$2:$L$2501,$L2929,'AR SALES'!$AD$2:$AD$2501,"OFF"),2)=0,"","STALE")))</f>
        <v/>
      </c>
      <c r="BB2929" s="2" t="str">
        <f>IF(OR(""&amp;$F2929="2",""&amp;$F2929="4",""&amp;$F2929="G",""&amp;$F2929="H"),IF($AY2929="YES","",IF($AB2929&lt;&gt;0,"",IF(COUNTIFS('AR SALES'!$L$2:$L$2501,$L2929,'AR SALES'!$AD$2:$AD$2501,IF(""&amp;$F2929="4","OFF","ON"),'AR SALES'!$AF$2:$AF$2501,"Y")&gt;0,"","NO EXEMPTION"))),"")</f>
        <v/>
      </c>
    </row>
    <row r="2930" spans="46:54" x14ac:dyDescent="0.25">
      <c r="AT2930" s="2" t="str">
        <f>IF($L2930="","",IFERROR(INDEX('AR SALES'!$H$2:$H$2501,MATCH(""&amp;$L2930,'AR SALES'!$AE$2:$AE$2501,0)),""))</f>
        <v/>
      </c>
      <c r="AU2930" s="2" t="str">
        <f t="shared" si="180"/>
        <v/>
      </c>
      <c r="AV2930" s="2" t="str">
        <f t="shared" si="181"/>
        <v/>
      </c>
      <c r="AW2930" s="2" t="str">
        <f t="shared" si="182"/>
        <v/>
      </c>
      <c r="AX2930" s="2" t="str">
        <f t="shared" si="183"/>
        <v/>
      </c>
      <c r="AY2930" s="2" t="str">
        <f>IF($AV2930="","",IF(AND($Z2930=0,COUNTIF('AR SALES'!$L$2:$L$2501,$L2930)=0),"YES",""))</f>
        <v/>
      </c>
      <c r="AZ2930" s="2" t="str">
        <f>IF($AV2930="","",IF(COUNTIF(LISTS!$C$2:$C$250,$AU2930)=0,"NEW",""))</f>
        <v/>
      </c>
      <c r="BA2930" s="2" t="str">
        <f>IF(""&amp;$F2930&lt;&gt;"4","",IF($AY2930="YES","",IF(ROUND(SUMIFS($AE$2:$AE$4001,$L$2:$L$4001,$L2930,$F$2:$F$4001,"4")-SUMIFS('AR SALES'!$Y$2:$Y$2501,'AR SALES'!$L$2:$L$2501,$L2930,'AR SALES'!$AD$2:$AD$2501,"OFF"),2)=0,"","STALE")))</f>
        <v/>
      </c>
      <c r="BB2930" s="2" t="str">
        <f>IF(OR(""&amp;$F2930="2",""&amp;$F2930="4",""&amp;$F2930="G",""&amp;$F2930="H"),IF($AY2930="YES","",IF($AB2930&lt;&gt;0,"",IF(COUNTIFS('AR SALES'!$L$2:$L$2501,$L2930,'AR SALES'!$AD$2:$AD$2501,IF(""&amp;$F2930="4","OFF","ON"),'AR SALES'!$AF$2:$AF$2501,"Y")&gt;0,"","NO EXEMPTION"))),"")</f>
        <v/>
      </c>
    </row>
    <row r="2931" spans="46:54" x14ac:dyDescent="0.25">
      <c r="AT2931" s="2" t="str">
        <f>IF($L2931="","",IFERROR(INDEX('AR SALES'!$H$2:$H$2501,MATCH(""&amp;$L2931,'AR SALES'!$AE$2:$AE$2501,0)),""))</f>
        <v/>
      </c>
      <c r="AU2931" s="2" t="str">
        <f t="shared" si="180"/>
        <v/>
      </c>
      <c r="AV2931" s="2" t="str">
        <f t="shared" si="181"/>
        <v/>
      </c>
      <c r="AW2931" s="2" t="str">
        <f t="shared" si="182"/>
        <v/>
      </c>
      <c r="AX2931" s="2" t="str">
        <f t="shared" si="183"/>
        <v/>
      </c>
      <c r="AY2931" s="2" t="str">
        <f>IF($AV2931="","",IF(AND($Z2931=0,COUNTIF('AR SALES'!$L$2:$L$2501,$L2931)=0),"YES",""))</f>
        <v/>
      </c>
      <c r="AZ2931" s="2" t="str">
        <f>IF($AV2931="","",IF(COUNTIF(LISTS!$C$2:$C$250,$AU2931)=0,"NEW",""))</f>
        <v/>
      </c>
      <c r="BA2931" s="2" t="str">
        <f>IF(""&amp;$F2931&lt;&gt;"4","",IF($AY2931="YES","",IF(ROUND(SUMIFS($AE$2:$AE$4001,$L$2:$L$4001,$L2931,$F$2:$F$4001,"4")-SUMIFS('AR SALES'!$Y$2:$Y$2501,'AR SALES'!$L$2:$L$2501,$L2931,'AR SALES'!$AD$2:$AD$2501,"OFF"),2)=0,"","STALE")))</f>
        <v/>
      </c>
      <c r="BB2931" s="2" t="str">
        <f>IF(OR(""&amp;$F2931="2",""&amp;$F2931="4",""&amp;$F2931="G",""&amp;$F2931="H"),IF($AY2931="YES","",IF($AB2931&lt;&gt;0,"",IF(COUNTIFS('AR SALES'!$L$2:$L$2501,$L2931,'AR SALES'!$AD$2:$AD$2501,IF(""&amp;$F2931="4","OFF","ON"),'AR SALES'!$AF$2:$AF$2501,"Y")&gt;0,"","NO EXEMPTION"))),"")</f>
        <v/>
      </c>
    </row>
    <row r="2932" spans="46:54" x14ac:dyDescent="0.25">
      <c r="AT2932" s="2" t="str">
        <f>IF($L2932="","",IFERROR(INDEX('AR SALES'!$H$2:$H$2501,MATCH(""&amp;$L2932,'AR SALES'!$AE$2:$AE$2501,0)),""))</f>
        <v/>
      </c>
      <c r="AU2932" s="2" t="str">
        <f t="shared" si="180"/>
        <v/>
      </c>
      <c r="AV2932" s="2" t="str">
        <f t="shared" si="181"/>
        <v/>
      </c>
      <c r="AW2932" s="2" t="str">
        <f t="shared" si="182"/>
        <v/>
      </c>
      <c r="AX2932" s="2" t="str">
        <f t="shared" si="183"/>
        <v/>
      </c>
      <c r="AY2932" s="2" t="str">
        <f>IF($AV2932="","",IF(AND($Z2932=0,COUNTIF('AR SALES'!$L$2:$L$2501,$L2932)=0),"YES",""))</f>
        <v/>
      </c>
      <c r="AZ2932" s="2" t="str">
        <f>IF($AV2932="","",IF(COUNTIF(LISTS!$C$2:$C$250,$AU2932)=0,"NEW",""))</f>
        <v/>
      </c>
      <c r="BA2932" s="2" t="str">
        <f>IF(""&amp;$F2932&lt;&gt;"4","",IF($AY2932="YES","",IF(ROUND(SUMIFS($AE$2:$AE$4001,$L$2:$L$4001,$L2932,$F$2:$F$4001,"4")-SUMIFS('AR SALES'!$Y$2:$Y$2501,'AR SALES'!$L$2:$L$2501,$L2932,'AR SALES'!$AD$2:$AD$2501,"OFF"),2)=0,"","STALE")))</f>
        <v/>
      </c>
      <c r="BB2932" s="2" t="str">
        <f>IF(OR(""&amp;$F2932="2",""&amp;$F2932="4",""&amp;$F2932="G",""&amp;$F2932="H"),IF($AY2932="YES","",IF($AB2932&lt;&gt;0,"",IF(COUNTIFS('AR SALES'!$L$2:$L$2501,$L2932,'AR SALES'!$AD$2:$AD$2501,IF(""&amp;$F2932="4","OFF","ON"),'AR SALES'!$AF$2:$AF$2501,"Y")&gt;0,"","NO EXEMPTION"))),"")</f>
        <v/>
      </c>
    </row>
    <row r="2933" spans="46:54" x14ac:dyDescent="0.25">
      <c r="AT2933" s="2" t="str">
        <f>IF($L2933="","",IFERROR(INDEX('AR SALES'!$H$2:$H$2501,MATCH(""&amp;$L2933,'AR SALES'!$AE$2:$AE$2501,0)),""))</f>
        <v/>
      </c>
      <c r="AU2933" s="2" t="str">
        <f t="shared" si="180"/>
        <v/>
      </c>
      <c r="AV2933" s="2" t="str">
        <f t="shared" si="181"/>
        <v/>
      </c>
      <c r="AW2933" s="2" t="str">
        <f t="shared" si="182"/>
        <v/>
      </c>
      <c r="AX2933" s="2" t="str">
        <f t="shared" si="183"/>
        <v/>
      </c>
      <c r="AY2933" s="2" t="str">
        <f>IF($AV2933="","",IF(AND($Z2933=0,COUNTIF('AR SALES'!$L$2:$L$2501,$L2933)=0),"YES",""))</f>
        <v/>
      </c>
      <c r="AZ2933" s="2" t="str">
        <f>IF($AV2933="","",IF(COUNTIF(LISTS!$C$2:$C$250,$AU2933)=0,"NEW",""))</f>
        <v/>
      </c>
      <c r="BA2933" s="2" t="str">
        <f>IF(""&amp;$F2933&lt;&gt;"4","",IF($AY2933="YES","",IF(ROUND(SUMIFS($AE$2:$AE$4001,$L$2:$L$4001,$L2933,$F$2:$F$4001,"4")-SUMIFS('AR SALES'!$Y$2:$Y$2501,'AR SALES'!$L$2:$L$2501,$L2933,'AR SALES'!$AD$2:$AD$2501,"OFF"),2)=0,"","STALE")))</f>
        <v/>
      </c>
      <c r="BB2933" s="2" t="str">
        <f>IF(OR(""&amp;$F2933="2",""&amp;$F2933="4",""&amp;$F2933="G",""&amp;$F2933="H"),IF($AY2933="YES","",IF($AB2933&lt;&gt;0,"",IF(COUNTIFS('AR SALES'!$L$2:$L$2501,$L2933,'AR SALES'!$AD$2:$AD$2501,IF(""&amp;$F2933="4","OFF","ON"),'AR SALES'!$AF$2:$AF$2501,"Y")&gt;0,"","NO EXEMPTION"))),"")</f>
        <v/>
      </c>
    </row>
    <row r="2934" spans="46:54" x14ac:dyDescent="0.25">
      <c r="AT2934" s="2" t="str">
        <f>IF($L2934="","",IFERROR(INDEX('AR SALES'!$H$2:$H$2501,MATCH(""&amp;$L2934,'AR SALES'!$AE$2:$AE$2501,0)),""))</f>
        <v/>
      </c>
      <c r="AU2934" s="2" t="str">
        <f t="shared" si="180"/>
        <v/>
      </c>
      <c r="AV2934" s="2" t="str">
        <f t="shared" si="181"/>
        <v/>
      </c>
      <c r="AW2934" s="2" t="str">
        <f t="shared" si="182"/>
        <v/>
      </c>
      <c r="AX2934" s="2" t="str">
        <f t="shared" si="183"/>
        <v/>
      </c>
      <c r="AY2934" s="2" t="str">
        <f>IF($AV2934="","",IF(AND($Z2934=0,COUNTIF('AR SALES'!$L$2:$L$2501,$L2934)=0),"YES",""))</f>
        <v/>
      </c>
      <c r="AZ2934" s="2" t="str">
        <f>IF($AV2934="","",IF(COUNTIF(LISTS!$C$2:$C$250,$AU2934)=0,"NEW",""))</f>
        <v/>
      </c>
      <c r="BA2934" s="2" t="str">
        <f>IF(""&amp;$F2934&lt;&gt;"4","",IF($AY2934="YES","",IF(ROUND(SUMIFS($AE$2:$AE$4001,$L$2:$L$4001,$L2934,$F$2:$F$4001,"4")-SUMIFS('AR SALES'!$Y$2:$Y$2501,'AR SALES'!$L$2:$L$2501,$L2934,'AR SALES'!$AD$2:$AD$2501,"OFF"),2)=0,"","STALE")))</f>
        <v/>
      </c>
      <c r="BB2934" s="2" t="str">
        <f>IF(OR(""&amp;$F2934="2",""&amp;$F2934="4",""&amp;$F2934="G",""&amp;$F2934="H"),IF($AY2934="YES","",IF($AB2934&lt;&gt;0,"",IF(COUNTIFS('AR SALES'!$L$2:$L$2501,$L2934,'AR SALES'!$AD$2:$AD$2501,IF(""&amp;$F2934="4","OFF","ON"),'AR SALES'!$AF$2:$AF$2501,"Y")&gt;0,"","NO EXEMPTION"))),"")</f>
        <v/>
      </c>
    </row>
    <row r="2935" spans="46:54" x14ac:dyDescent="0.25">
      <c r="AT2935" s="2" t="str">
        <f>IF($L2935="","",IFERROR(INDEX('AR SALES'!$H$2:$H$2501,MATCH(""&amp;$L2935,'AR SALES'!$AE$2:$AE$2501,0)),""))</f>
        <v/>
      </c>
      <c r="AU2935" s="2" t="str">
        <f t="shared" si="180"/>
        <v/>
      </c>
      <c r="AV2935" s="2" t="str">
        <f t="shared" si="181"/>
        <v/>
      </c>
      <c r="AW2935" s="2" t="str">
        <f t="shared" si="182"/>
        <v/>
      </c>
      <c r="AX2935" s="2" t="str">
        <f t="shared" si="183"/>
        <v/>
      </c>
      <c r="AY2935" s="2" t="str">
        <f>IF($AV2935="","",IF(AND($Z2935=0,COUNTIF('AR SALES'!$L$2:$L$2501,$L2935)=0),"YES",""))</f>
        <v/>
      </c>
      <c r="AZ2935" s="2" t="str">
        <f>IF($AV2935="","",IF(COUNTIF(LISTS!$C$2:$C$250,$AU2935)=0,"NEW",""))</f>
        <v/>
      </c>
      <c r="BA2935" s="2" t="str">
        <f>IF(""&amp;$F2935&lt;&gt;"4","",IF($AY2935="YES","",IF(ROUND(SUMIFS($AE$2:$AE$4001,$L$2:$L$4001,$L2935,$F$2:$F$4001,"4")-SUMIFS('AR SALES'!$Y$2:$Y$2501,'AR SALES'!$L$2:$L$2501,$L2935,'AR SALES'!$AD$2:$AD$2501,"OFF"),2)=0,"","STALE")))</f>
        <v/>
      </c>
      <c r="BB2935" s="2" t="str">
        <f>IF(OR(""&amp;$F2935="2",""&amp;$F2935="4",""&amp;$F2935="G",""&amp;$F2935="H"),IF($AY2935="YES","",IF($AB2935&lt;&gt;0,"",IF(COUNTIFS('AR SALES'!$L$2:$L$2501,$L2935,'AR SALES'!$AD$2:$AD$2501,IF(""&amp;$F2935="4","OFF","ON"),'AR SALES'!$AF$2:$AF$2501,"Y")&gt;0,"","NO EXEMPTION"))),"")</f>
        <v/>
      </c>
    </row>
    <row r="2936" spans="46:54" x14ac:dyDescent="0.25">
      <c r="AT2936" s="2" t="str">
        <f>IF($L2936="","",IFERROR(INDEX('AR SALES'!$H$2:$H$2501,MATCH(""&amp;$L2936,'AR SALES'!$AE$2:$AE$2501,0)),""))</f>
        <v/>
      </c>
      <c r="AU2936" s="2" t="str">
        <f t="shared" si="180"/>
        <v/>
      </c>
      <c r="AV2936" s="2" t="str">
        <f t="shared" si="181"/>
        <v/>
      </c>
      <c r="AW2936" s="2" t="str">
        <f t="shared" si="182"/>
        <v/>
      </c>
      <c r="AX2936" s="2" t="str">
        <f t="shared" si="183"/>
        <v/>
      </c>
      <c r="AY2936" s="2" t="str">
        <f>IF($AV2936="","",IF(AND($Z2936=0,COUNTIF('AR SALES'!$L$2:$L$2501,$L2936)=0),"YES",""))</f>
        <v/>
      </c>
      <c r="AZ2936" s="2" t="str">
        <f>IF($AV2936="","",IF(COUNTIF(LISTS!$C$2:$C$250,$AU2936)=0,"NEW",""))</f>
        <v/>
      </c>
      <c r="BA2936" s="2" t="str">
        <f>IF(""&amp;$F2936&lt;&gt;"4","",IF($AY2936="YES","",IF(ROUND(SUMIFS($AE$2:$AE$4001,$L$2:$L$4001,$L2936,$F$2:$F$4001,"4")-SUMIFS('AR SALES'!$Y$2:$Y$2501,'AR SALES'!$L$2:$L$2501,$L2936,'AR SALES'!$AD$2:$AD$2501,"OFF"),2)=0,"","STALE")))</f>
        <v/>
      </c>
      <c r="BB2936" s="2" t="str">
        <f>IF(OR(""&amp;$F2936="2",""&amp;$F2936="4",""&amp;$F2936="G",""&amp;$F2936="H"),IF($AY2936="YES","",IF($AB2936&lt;&gt;0,"",IF(COUNTIFS('AR SALES'!$L$2:$L$2501,$L2936,'AR SALES'!$AD$2:$AD$2501,IF(""&amp;$F2936="4","OFF","ON"),'AR SALES'!$AF$2:$AF$2501,"Y")&gt;0,"","NO EXEMPTION"))),"")</f>
        <v/>
      </c>
    </row>
    <row r="2937" spans="46:54" x14ac:dyDescent="0.25">
      <c r="AT2937" s="2" t="str">
        <f>IF($L2937="","",IFERROR(INDEX('AR SALES'!$H$2:$H$2501,MATCH(""&amp;$L2937,'AR SALES'!$AE$2:$AE$2501,0)),""))</f>
        <v/>
      </c>
      <c r="AU2937" s="2" t="str">
        <f t="shared" si="180"/>
        <v/>
      </c>
      <c r="AV2937" s="2" t="str">
        <f t="shared" si="181"/>
        <v/>
      </c>
      <c r="AW2937" s="2" t="str">
        <f t="shared" si="182"/>
        <v/>
      </c>
      <c r="AX2937" s="2" t="str">
        <f t="shared" si="183"/>
        <v/>
      </c>
      <c r="AY2937" s="2" t="str">
        <f>IF($AV2937="","",IF(AND($Z2937=0,COUNTIF('AR SALES'!$L$2:$L$2501,$L2937)=0),"YES",""))</f>
        <v/>
      </c>
      <c r="AZ2937" s="2" t="str">
        <f>IF($AV2937="","",IF(COUNTIF(LISTS!$C$2:$C$250,$AU2937)=0,"NEW",""))</f>
        <v/>
      </c>
      <c r="BA2937" s="2" t="str">
        <f>IF(""&amp;$F2937&lt;&gt;"4","",IF($AY2937="YES","",IF(ROUND(SUMIFS($AE$2:$AE$4001,$L$2:$L$4001,$L2937,$F$2:$F$4001,"4")-SUMIFS('AR SALES'!$Y$2:$Y$2501,'AR SALES'!$L$2:$L$2501,$L2937,'AR SALES'!$AD$2:$AD$2501,"OFF"),2)=0,"","STALE")))</f>
        <v/>
      </c>
      <c r="BB2937" s="2" t="str">
        <f>IF(OR(""&amp;$F2937="2",""&amp;$F2937="4",""&amp;$F2937="G",""&amp;$F2937="H"),IF($AY2937="YES","",IF($AB2937&lt;&gt;0,"",IF(COUNTIFS('AR SALES'!$L$2:$L$2501,$L2937,'AR SALES'!$AD$2:$AD$2501,IF(""&amp;$F2937="4","OFF","ON"),'AR SALES'!$AF$2:$AF$2501,"Y")&gt;0,"","NO EXEMPTION"))),"")</f>
        <v/>
      </c>
    </row>
    <row r="2938" spans="46:54" x14ac:dyDescent="0.25">
      <c r="AT2938" s="2" t="str">
        <f>IF($L2938="","",IFERROR(INDEX('AR SALES'!$H$2:$H$2501,MATCH(""&amp;$L2938,'AR SALES'!$AE$2:$AE$2501,0)),""))</f>
        <v/>
      </c>
      <c r="AU2938" s="2" t="str">
        <f t="shared" si="180"/>
        <v/>
      </c>
      <c r="AV2938" s="2" t="str">
        <f t="shared" si="181"/>
        <v/>
      </c>
      <c r="AW2938" s="2" t="str">
        <f t="shared" si="182"/>
        <v/>
      </c>
      <c r="AX2938" s="2" t="str">
        <f t="shared" si="183"/>
        <v/>
      </c>
      <c r="AY2938" s="2" t="str">
        <f>IF($AV2938="","",IF(AND($Z2938=0,COUNTIF('AR SALES'!$L$2:$L$2501,$L2938)=0),"YES",""))</f>
        <v/>
      </c>
      <c r="AZ2938" s="2" t="str">
        <f>IF($AV2938="","",IF(COUNTIF(LISTS!$C$2:$C$250,$AU2938)=0,"NEW",""))</f>
        <v/>
      </c>
      <c r="BA2938" s="2" t="str">
        <f>IF(""&amp;$F2938&lt;&gt;"4","",IF($AY2938="YES","",IF(ROUND(SUMIFS($AE$2:$AE$4001,$L$2:$L$4001,$L2938,$F$2:$F$4001,"4")-SUMIFS('AR SALES'!$Y$2:$Y$2501,'AR SALES'!$L$2:$L$2501,$L2938,'AR SALES'!$AD$2:$AD$2501,"OFF"),2)=0,"","STALE")))</f>
        <v/>
      </c>
      <c r="BB2938" s="2" t="str">
        <f>IF(OR(""&amp;$F2938="2",""&amp;$F2938="4",""&amp;$F2938="G",""&amp;$F2938="H"),IF($AY2938="YES","",IF($AB2938&lt;&gt;0,"",IF(COUNTIFS('AR SALES'!$L$2:$L$2501,$L2938,'AR SALES'!$AD$2:$AD$2501,IF(""&amp;$F2938="4","OFF","ON"),'AR SALES'!$AF$2:$AF$2501,"Y")&gt;0,"","NO EXEMPTION"))),"")</f>
        <v/>
      </c>
    </row>
    <row r="2939" spans="46:54" x14ac:dyDescent="0.25">
      <c r="AT2939" s="2" t="str">
        <f>IF($L2939="","",IFERROR(INDEX('AR SALES'!$H$2:$H$2501,MATCH(""&amp;$L2939,'AR SALES'!$AE$2:$AE$2501,0)),""))</f>
        <v/>
      </c>
      <c r="AU2939" s="2" t="str">
        <f t="shared" si="180"/>
        <v/>
      </c>
      <c r="AV2939" s="2" t="str">
        <f t="shared" si="181"/>
        <v/>
      </c>
      <c r="AW2939" s="2" t="str">
        <f t="shared" si="182"/>
        <v/>
      </c>
      <c r="AX2939" s="2" t="str">
        <f t="shared" si="183"/>
        <v/>
      </c>
      <c r="AY2939" s="2" t="str">
        <f>IF($AV2939="","",IF(AND($Z2939=0,COUNTIF('AR SALES'!$L$2:$L$2501,$L2939)=0),"YES",""))</f>
        <v/>
      </c>
      <c r="AZ2939" s="2" t="str">
        <f>IF($AV2939="","",IF(COUNTIF(LISTS!$C$2:$C$250,$AU2939)=0,"NEW",""))</f>
        <v/>
      </c>
      <c r="BA2939" s="2" t="str">
        <f>IF(""&amp;$F2939&lt;&gt;"4","",IF($AY2939="YES","",IF(ROUND(SUMIFS($AE$2:$AE$4001,$L$2:$L$4001,$L2939,$F$2:$F$4001,"4")-SUMIFS('AR SALES'!$Y$2:$Y$2501,'AR SALES'!$L$2:$L$2501,$L2939,'AR SALES'!$AD$2:$AD$2501,"OFF"),2)=0,"","STALE")))</f>
        <v/>
      </c>
      <c r="BB2939" s="2" t="str">
        <f>IF(OR(""&amp;$F2939="2",""&amp;$F2939="4",""&amp;$F2939="G",""&amp;$F2939="H"),IF($AY2939="YES","",IF($AB2939&lt;&gt;0,"",IF(COUNTIFS('AR SALES'!$L$2:$L$2501,$L2939,'AR SALES'!$AD$2:$AD$2501,IF(""&amp;$F2939="4","OFF","ON"),'AR SALES'!$AF$2:$AF$2501,"Y")&gt;0,"","NO EXEMPTION"))),"")</f>
        <v/>
      </c>
    </row>
    <row r="2940" spans="46:54" x14ac:dyDescent="0.25">
      <c r="AT2940" s="2" t="str">
        <f>IF($L2940="","",IFERROR(INDEX('AR SALES'!$H$2:$H$2501,MATCH(""&amp;$L2940,'AR SALES'!$AE$2:$AE$2501,0)),""))</f>
        <v/>
      </c>
      <c r="AU2940" s="2" t="str">
        <f t="shared" si="180"/>
        <v/>
      </c>
      <c r="AV2940" s="2" t="str">
        <f t="shared" si="181"/>
        <v/>
      </c>
      <c r="AW2940" s="2" t="str">
        <f t="shared" si="182"/>
        <v/>
      </c>
      <c r="AX2940" s="2" t="str">
        <f t="shared" si="183"/>
        <v/>
      </c>
      <c r="AY2940" s="2" t="str">
        <f>IF($AV2940="","",IF(AND($Z2940=0,COUNTIF('AR SALES'!$L$2:$L$2501,$L2940)=0),"YES",""))</f>
        <v/>
      </c>
      <c r="AZ2940" s="2" t="str">
        <f>IF($AV2940="","",IF(COUNTIF(LISTS!$C$2:$C$250,$AU2940)=0,"NEW",""))</f>
        <v/>
      </c>
      <c r="BA2940" s="2" t="str">
        <f>IF(""&amp;$F2940&lt;&gt;"4","",IF($AY2940="YES","",IF(ROUND(SUMIFS($AE$2:$AE$4001,$L$2:$L$4001,$L2940,$F$2:$F$4001,"4")-SUMIFS('AR SALES'!$Y$2:$Y$2501,'AR SALES'!$L$2:$L$2501,$L2940,'AR SALES'!$AD$2:$AD$2501,"OFF"),2)=0,"","STALE")))</f>
        <v/>
      </c>
      <c r="BB2940" s="2" t="str">
        <f>IF(OR(""&amp;$F2940="2",""&amp;$F2940="4",""&amp;$F2940="G",""&amp;$F2940="H"),IF($AY2940="YES","",IF($AB2940&lt;&gt;0,"",IF(COUNTIFS('AR SALES'!$L$2:$L$2501,$L2940,'AR SALES'!$AD$2:$AD$2501,IF(""&amp;$F2940="4","OFF","ON"),'AR SALES'!$AF$2:$AF$2501,"Y")&gt;0,"","NO EXEMPTION"))),"")</f>
        <v/>
      </c>
    </row>
    <row r="2941" spans="46:54" x14ac:dyDescent="0.25">
      <c r="AT2941" s="2" t="str">
        <f>IF($L2941="","",IFERROR(INDEX('AR SALES'!$H$2:$H$2501,MATCH(""&amp;$L2941,'AR SALES'!$AE$2:$AE$2501,0)),""))</f>
        <v/>
      </c>
      <c r="AU2941" s="2" t="str">
        <f t="shared" si="180"/>
        <v/>
      </c>
      <c r="AV2941" s="2" t="str">
        <f t="shared" si="181"/>
        <v/>
      </c>
      <c r="AW2941" s="2" t="str">
        <f t="shared" si="182"/>
        <v/>
      </c>
      <c r="AX2941" s="2" t="str">
        <f t="shared" si="183"/>
        <v/>
      </c>
      <c r="AY2941" s="2" t="str">
        <f>IF($AV2941="","",IF(AND($Z2941=0,COUNTIF('AR SALES'!$L$2:$L$2501,$L2941)=0),"YES",""))</f>
        <v/>
      </c>
      <c r="AZ2941" s="2" t="str">
        <f>IF($AV2941="","",IF(COUNTIF(LISTS!$C$2:$C$250,$AU2941)=0,"NEW",""))</f>
        <v/>
      </c>
      <c r="BA2941" s="2" t="str">
        <f>IF(""&amp;$F2941&lt;&gt;"4","",IF($AY2941="YES","",IF(ROUND(SUMIFS($AE$2:$AE$4001,$L$2:$L$4001,$L2941,$F$2:$F$4001,"4")-SUMIFS('AR SALES'!$Y$2:$Y$2501,'AR SALES'!$L$2:$L$2501,$L2941,'AR SALES'!$AD$2:$AD$2501,"OFF"),2)=0,"","STALE")))</f>
        <v/>
      </c>
      <c r="BB2941" s="2" t="str">
        <f>IF(OR(""&amp;$F2941="2",""&amp;$F2941="4",""&amp;$F2941="G",""&amp;$F2941="H"),IF($AY2941="YES","",IF($AB2941&lt;&gt;0,"",IF(COUNTIFS('AR SALES'!$L$2:$L$2501,$L2941,'AR SALES'!$AD$2:$AD$2501,IF(""&amp;$F2941="4","OFF","ON"),'AR SALES'!$AF$2:$AF$2501,"Y")&gt;0,"","NO EXEMPTION"))),"")</f>
        <v/>
      </c>
    </row>
    <row r="2942" spans="46:54" x14ac:dyDescent="0.25">
      <c r="AT2942" s="2" t="str">
        <f>IF($L2942="","",IFERROR(INDEX('AR SALES'!$H$2:$H$2501,MATCH(""&amp;$L2942,'AR SALES'!$AE$2:$AE$2501,0)),""))</f>
        <v/>
      </c>
      <c r="AU2942" s="2" t="str">
        <f t="shared" si="180"/>
        <v/>
      </c>
      <c r="AV2942" s="2" t="str">
        <f t="shared" si="181"/>
        <v/>
      </c>
      <c r="AW2942" s="2" t="str">
        <f t="shared" si="182"/>
        <v/>
      </c>
      <c r="AX2942" s="2" t="str">
        <f t="shared" si="183"/>
        <v/>
      </c>
      <c r="AY2942" s="2" t="str">
        <f>IF($AV2942="","",IF(AND($Z2942=0,COUNTIF('AR SALES'!$L$2:$L$2501,$L2942)=0),"YES",""))</f>
        <v/>
      </c>
      <c r="AZ2942" s="2" t="str">
        <f>IF($AV2942="","",IF(COUNTIF(LISTS!$C$2:$C$250,$AU2942)=0,"NEW",""))</f>
        <v/>
      </c>
      <c r="BA2942" s="2" t="str">
        <f>IF(""&amp;$F2942&lt;&gt;"4","",IF($AY2942="YES","",IF(ROUND(SUMIFS($AE$2:$AE$4001,$L$2:$L$4001,$L2942,$F$2:$F$4001,"4")-SUMIFS('AR SALES'!$Y$2:$Y$2501,'AR SALES'!$L$2:$L$2501,$L2942,'AR SALES'!$AD$2:$AD$2501,"OFF"),2)=0,"","STALE")))</f>
        <v/>
      </c>
      <c r="BB2942" s="2" t="str">
        <f>IF(OR(""&amp;$F2942="2",""&amp;$F2942="4",""&amp;$F2942="G",""&amp;$F2942="H"),IF($AY2942="YES","",IF($AB2942&lt;&gt;0,"",IF(COUNTIFS('AR SALES'!$L$2:$L$2501,$L2942,'AR SALES'!$AD$2:$AD$2501,IF(""&amp;$F2942="4","OFF","ON"),'AR SALES'!$AF$2:$AF$2501,"Y")&gt;0,"","NO EXEMPTION"))),"")</f>
        <v/>
      </c>
    </row>
    <row r="2943" spans="46:54" x14ac:dyDescent="0.25">
      <c r="AT2943" s="2" t="str">
        <f>IF($L2943="","",IFERROR(INDEX('AR SALES'!$H$2:$H$2501,MATCH(""&amp;$L2943,'AR SALES'!$AE$2:$AE$2501,0)),""))</f>
        <v/>
      </c>
      <c r="AU2943" s="2" t="str">
        <f t="shared" si="180"/>
        <v/>
      </c>
      <c r="AV2943" s="2" t="str">
        <f t="shared" si="181"/>
        <v/>
      </c>
      <c r="AW2943" s="2" t="str">
        <f t="shared" si="182"/>
        <v/>
      </c>
      <c r="AX2943" s="2" t="str">
        <f t="shared" si="183"/>
        <v/>
      </c>
      <c r="AY2943" s="2" t="str">
        <f>IF($AV2943="","",IF(AND($Z2943=0,COUNTIF('AR SALES'!$L$2:$L$2501,$L2943)=0),"YES",""))</f>
        <v/>
      </c>
      <c r="AZ2943" s="2" t="str">
        <f>IF($AV2943="","",IF(COUNTIF(LISTS!$C$2:$C$250,$AU2943)=0,"NEW",""))</f>
        <v/>
      </c>
      <c r="BA2943" s="2" t="str">
        <f>IF(""&amp;$F2943&lt;&gt;"4","",IF($AY2943="YES","",IF(ROUND(SUMIFS($AE$2:$AE$4001,$L$2:$L$4001,$L2943,$F$2:$F$4001,"4")-SUMIFS('AR SALES'!$Y$2:$Y$2501,'AR SALES'!$L$2:$L$2501,$L2943,'AR SALES'!$AD$2:$AD$2501,"OFF"),2)=0,"","STALE")))</f>
        <v/>
      </c>
      <c r="BB2943" s="2" t="str">
        <f>IF(OR(""&amp;$F2943="2",""&amp;$F2943="4",""&amp;$F2943="G",""&amp;$F2943="H"),IF($AY2943="YES","",IF($AB2943&lt;&gt;0,"",IF(COUNTIFS('AR SALES'!$L$2:$L$2501,$L2943,'AR SALES'!$AD$2:$AD$2501,IF(""&amp;$F2943="4","OFF","ON"),'AR SALES'!$AF$2:$AF$2501,"Y")&gt;0,"","NO EXEMPTION"))),"")</f>
        <v/>
      </c>
    </row>
    <row r="2944" spans="46:54" x14ac:dyDescent="0.25">
      <c r="AT2944" s="2" t="str">
        <f>IF($L2944="","",IFERROR(INDEX('AR SALES'!$H$2:$H$2501,MATCH(""&amp;$L2944,'AR SALES'!$AE$2:$AE$2501,0)),""))</f>
        <v/>
      </c>
      <c r="AU2944" s="2" t="str">
        <f t="shared" si="180"/>
        <v/>
      </c>
      <c r="AV2944" s="2" t="str">
        <f t="shared" si="181"/>
        <v/>
      </c>
      <c r="AW2944" s="2" t="str">
        <f t="shared" si="182"/>
        <v/>
      </c>
      <c r="AX2944" s="2" t="str">
        <f t="shared" si="183"/>
        <v/>
      </c>
      <c r="AY2944" s="2" t="str">
        <f>IF($AV2944="","",IF(AND($Z2944=0,COUNTIF('AR SALES'!$L$2:$L$2501,$L2944)=0),"YES",""))</f>
        <v/>
      </c>
      <c r="AZ2944" s="2" t="str">
        <f>IF($AV2944="","",IF(COUNTIF(LISTS!$C$2:$C$250,$AU2944)=0,"NEW",""))</f>
        <v/>
      </c>
      <c r="BA2944" s="2" t="str">
        <f>IF(""&amp;$F2944&lt;&gt;"4","",IF($AY2944="YES","",IF(ROUND(SUMIFS($AE$2:$AE$4001,$L$2:$L$4001,$L2944,$F$2:$F$4001,"4")-SUMIFS('AR SALES'!$Y$2:$Y$2501,'AR SALES'!$L$2:$L$2501,$L2944,'AR SALES'!$AD$2:$AD$2501,"OFF"),2)=0,"","STALE")))</f>
        <v/>
      </c>
      <c r="BB2944" s="2" t="str">
        <f>IF(OR(""&amp;$F2944="2",""&amp;$F2944="4",""&amp;$F2944="G",""&amp;$F2944="H"),IF($AY2944="YES","",IF($AB2944&lt;&gt;0,"",IF(COUNTIFS('AR SALES'!$L$2:$L$2501,$L2944,'AR SALES'!$AD$2:$AD$2501,IF(""&amp;$F2944="4","OFF","ON"),'AR SALES'!$AF$2:$AF$2501,"Y")&gt;0,"","NO EXEMPTION"))),"")</f>
        <v/>
      </c>
    </row>
    <row r="2945" spans="46:54" x14ac:dyDescent="0.25">
      <c r="AT2945" s="2" t="str">
        <f>IF($L2945="","",IFERROR(INDEX('AR SALES'!$H$2:$H$2501,MATCH(""&amp;$L2945,'AR SALES'!$AE$2:$AE$2501,0)),""))</f>
        <v/>
      </c>
      <c r="AU2945" s="2" t="str">
        <f t="shared" si="180"/>
        <v/>
      </c>
      <c r="AV2945" s="2" t="str">
        <f t="shared" si="181"/>
        <v/>
      </c>
      <c r="AW2945" s="2" t="str">
        <f t="shared" si="182"/>
        <v/>
      </c>
      <c r="AX2945" s="2" t="str">
        <f t="shared" si="183"/>
        <v/>
      </c>
      <c r="AY2945" s="2" t="str">
        <f>IF($AV2945="","",IF(AND($Z2945=0,COUNTIF('AR SALES'!$L$2:$L$2501,$L2945)=0),"YES",""))</f>
        <v/>
      </c>
      <c r="AZ2945" s="2" t="str">
        <f>IF($AV2945="","",IF(COUNTIF(LISTS!$C$2:$C$250,$AU2945)=0,"NEW",""))</f>
        <v/>
      </c>
      <c r="BA2945" s="2" t="str">
        <f>IF(""&amp;$F2945&lt;&gt;"4","",IF($AY2945="YES","",IF(ROUND(SUMIFS($AE$2:$AE$4001,$L$2:$L$4001,$L2945,$F$2:$F$4001,"4")-SUMIFS('AR SALES'!$Y$2:$Y$2501,'AR SALES'!$L$2:$L$2501,$L2945,'AR SALES'!$AD$2:$AD$2501,"OFF"),2)=0,"","STALE")))</f>
        <v/>
      </c>
      <c r="BB2945" s="2" t="str">
        <f>IF(OR(""&amp;$F2945="2",""&amp;$F2945="4",""&amp;$F2945="G",""&amp;$F2945="H"),IF($AY2945="YES","",IF($AB2945&lt;&gt;0,"",IF(COUNTIFS('AR SALES'!$L$2:$L$2501,$L2945,'AR SALES'!$AD$2:$AD$2501,IF(""&amp;$F2945="4","OFF","ON"),'AR SALES'!$AF$2:$AF$2501,"Y")&gt;0,"","NO EXEMPTION"))),"")</f>
        <v/>
      </c>
    </row>
    <row r="2946" spans="46:54" x14ac:dyDescent="0.25">
      <c r="AT2946" s="2" t="str">
        <f>IF($L2946="","",IFERROR(INDEX('AR SALES'!$H$2:$H$2501,MATCH(""&amp;$L2946,'AR SALES'!$AE$2:$AE$2501,0)),""))</f>
        <v/>
      </c>
      <c r="AU2946" s="2" t="str">
        <f t="shared" ref="AU2946:AU3009" si="184">IF($L2946="","",IF($A2946&lt;&gt;"GA","",IF($E2946="FULTON",IF(ISNUMBER(SEARCH("COLLEGE PARK",$AT2946)),"FULTON (COLLEGE PARK)",IF(ISNUMBER(SEARCH("ATLANTA CITY",$AT2946)),"FULTON (ATL LIMITS)","FULTON")),IF($E2946="DEKALB",IF(ISNUMBER(SEARCH("ATLANTA CITY",$AT2946)),"DEKALB (ATL LIMITS)","DEKALB"),$E2946))))</f>
        <v/>
      </c>
      <c r="AV2946" s="2" t="str">
        <f t="shared" ref="AV2946:AV3009" si="185">IF($L2946="","",IF(""&amp;$F2946="2","DIESEL",IF(OR(""&amp;$F2946="G",""&amp;$F2946="H"),"GAS","")))</f>
        <v/>
      </c>
      <c r="AW2946" s="2" t="str">
        <f t="shared" ref="AW2946:AW3009" si="186">IF($AV2946="","",$R2946)</f>
        <v/>
      </c>
      <c r="AX2946" s="2" t="str">
        <f t="shared" ref="AX2946:AX3009" si="187">IF($AV2946="","",IF($AB2946=0,$R2946,0))</f>
        <v/>
      </c>
      <c r="AY2946" s="2" t="str">
        <f>IF($AV2946="","",IF(AND($Z2946=0,COUNTIF('AR SALES'!$L$2:$L$2501,$L2946)=0),"YES",""))</f>
        <v/>
      </c>
      <c r="AZ2946" s="2" t="str">
        <f>IF($AV2946="","",IF(COUNTIF(LISTS!$C$2:$C$250,$AU2946)=0,"NEW",""))</f>
        <v/>
      </c>
      <c r="BA2946" s="2" t="str">
        <f>IF(""&amp;$F2946&lt;&gt;"4","",IF($AY2946="YES","",IF(ROUND(SUMIFS($AE$2:$AE$4001,$L$2:$L$4001,$L2946,$F$2:$F$4001,"4")-SUMIFS('AR SALES'!$Y$2:$Y$2501,'AR SALES'!$L$2:$L$2501,$L2946,'AR SALES'!$AD$2:$AD$2501,"OFF"),2)=0,"","STALE")))</f>
        <v/>
      </c>
      <c r="BB2946" s="2" t="str">
        <f>IF(OR(""&amp;$F2946="2",""&amp;$F2946="4",""&amp;$F2946="G",""&amp;$F2946="H"),IF($AY2946="YES","",IF($AB2946&lt;&gt;0,"",IF(COUNTIFS('AR SALES'!$L$2:$L$2501,$L2946,'AR SALES'!$AD$2:$AD$2501,IF(""&amp;$F2946="4","OFF","ON"),'AR SALES'!$AF$2:$AF$2501,"Y")&gt;0,"","NO EXEMPTION"))),"")</f>
        <v/>
      </c>
    </row>
    <row r="2947" spans="46:54" x14ac:dyDescent="0.25">
      <c r="AT2947" s="2" t="str">
        <f>IF($L2947="","",IFERROR(INDEX('AR SALES'!$H$2:$H$2501,MATCH(""&amp;$L2947,'AR SALES'!$AE$2:$AE$2501,0)),""))</f>
        <v/>
      </c>
      <c r="AU2947" s="2" t="str">
        <f t="shared" si="184"/>
        <v/>
      </c>
      <c r="AV2947" s="2" t="str">
        <f t="shared" si="185"/>
        <v/>
      </c>
      <c r="AW2947" s="2" t="str">
        <f t="shared" si="186"/>
        <v/>
      </c>
      <c r="AX2947" s="2" t="str">
        <f t="shared" si="187"/>
        <v/>
      </c>
      <c r="AY2947" s="2" t="str">
        <f>IF($AV2947="","",IF(AND($Z2947=0,COUNTIF('AR SALES'!$L$2:$L$2501,$L2947)=0),"YES",""))</f>
        <v/>
      </c>
      <c r="AZ2947" s="2" t="str">
        <f>IF($AV2947="","",IF(COUNTIF(LISTS!$C$2:$C$250,$AU2947)=0,"NEW",""))</f>
        <v/>
      </c>
      <c r="BA2947" s="2" t="str">
        <f>IF(""&amp;$F2947&lt;&gt;"4","",IF($AY2947="YES","",IF(ROUND(SUMIFS($AE$2:$AE$4001,$L$2:$L$4001,$L2947,$F$2:$F$4001,"4")-SUMIFS('AR SALES'!$Y$2:$Y$2501,'AR SALES'!$L$2:$L$2501,$L2947,'AR SALES'!$AD$2:$AD$2501,"OFF"),2)=0,"","STALE")))</f>
        <v/>
      </c>
      <c r="BB2947" s="2" t="str">
        <f>IF(OR(""&amp;$F2947="2",""&amp;$F2947="4",""&amp;$F2947="G",""&amp;$F2947="H"),IF($AY2947="YES","",IF($AB2947&lt;&gt;0,"",IF(COUNTIFS('AR SALES'!$L$2:$L$2501,$L2947,'AR SALES'!$AD$2:$AD$2501,IF(""&amp;$F2947="4","OFF","ON"),'AR SALES'!$AF$2:$AF$2501,"Y")&gt;0,"","NO EXEMPTION"))),"")</f>
        <v/>
      </c>
    </row>
    <row r="2948" spans="46:54" x14ac:dyDescent="0.25">
      <c r="AT2948" s="2" t="str">
        <f>IF($L2948="","",IFERROR(INDEX('AR SALES'!$H$2:$H$2501,MATCH(""&amp;$L2948,'AR SALES'!$AE$2:$AE$2501,0)),""))</f>
        <v/>
      </c>
      <c r="AU2948" s="2" t="str">
        <f t="shared" si="184"/>
        <v/>
      </c>
      <c r="AV2948" s="2" t="str">
        <f t="shared" si="185"/>
        <v/>
      </c>
      <c r="AW2948" s="2" t="str">
        <f t="shared" si="186"/>
        <v/>
      </c>
      <c r="AX2948" s="2" t="str">
        <f t="shared" si="187"/>
        <v/>
      </c>
      <c r="AY2948" s="2" t="str">
        <f>IF($AV2948="","",IF(AND($Z2948=0,COUNTIF('AR SALES'!$L$2:$L$2501,$L2948)=0),"YES",""))</f>
        <v/>
      </c>
      <c r="AZ2948" s="2" t="str">
        <f>IF($AV2948="","",IF(COUNTIF(LISTS!$C$2:$C$250,$AU2948)=0,"NEW",""))</f>
        <v/>
      </c>
      <c r="BA2948" s="2" t="str">
        <f>IF(""&amp;$F2948&lt;&gt;"4","",IF($AY2948="YES","",IF(ROUND(SUMIFS($AE$2:$AE$4001,$L$2:$L$4001,$L2948,$F$2:$F$4001,"4")-SUMIFS('AR SALES'!$Y$2:$Y$2501,'AR SALES'!$L$2:$L$2501,$L2948,'AR SALES'!$AD$2:$AD$2501,"OFF"),2)=0,"","STALE")))</f>
        <v/>
      </c>
      <c r="BB2948" s="2" t="str">
        <f>IF(OR(""&amp;$F2948="2",""&amp;$F2948="4",""&amp;$F2948="G",""&amp;$F2948="H"),IF($AY2948="YES","",IF($AB2948&lt;&gt;0,"",IF(COUNTIFS('AR SALES'!$L$2:$L$2501,$L2948,'AR SALES'!$AD$2:$AD$2501,IF(""&amp;$F2948="4","OFF","ON"),'AR SALES'!$AF$2:$AF$2501,"Y")&gt;0,"","NO EXEMPTION"))),"")</f>
        <v/>
      </c>
    </row>
    <row r="2949" spans="46:54" x14ac:dyDescent="0.25">
      <c r="AT2949" s="2" t="str">
        <f>IF($L2949="","",IFERROR(INDEX('AR SALES'!$H$2:$H$2501,MATCH(""&amp;$L2949,'AR SALES'!$AE$2:$AE$2501,0)),""))</f>
        <v/>
      </c>
      <c r="AU2949" s="2" t="str">
        <f t="shared" si="184"/>
        <v/>
      </c>
      <c r="AV2949" s="2" t="str">
        <f t="shared" si="185"/>
        <v/>
      </c>
      <c r="AW2949" s="2" t="str">
        <f t="shared" si="186"/>
        <v/>
      </c>
      <c r="AX2949" s="2" t="str">
        <f t="shared" si="187"/>
        <v/>
      </c>
      <c r="AY2949" s="2" t="str">
        <f>IF($AV2949="","",IF(AND($Z2949=0,COUNTIF('AR SALES'!$L$2:$L$2501,$L2949)=0),"YES",""))</f>
        <v/>
      </c>
      <c r="AZ2949" s="2" t="str">
        <f>IF($AV2949="","",IF(COUNTIF(LISTS!$C$2:$C$250,$AU2949)=0,"NEW",""))</f>
        <v/>
      </c>
      <c r="BA2949" s="2" t="str">
        <f>IF(""&amp;$F2949&lt;&gt;"4","",IF($AY2949="YES","",IF(ROUND(SUMIFS($AE$2:$AE$4001,$L$2:$L$4001,$L2949,$F$2:$F$4001,"4")-SUMIFS('AR SALES'!$Y$2:$Y$2501,'AR SALES'!$L$2:$L$2501,$L2949,'AR SALES'!$AD$2:$AD$2501,"OFF"),2)=0,"","STALE")))</f>
        <v/>
      </c>
      <c r="BB2949" s="2" t="str">
        <f>IF(OR(""&amp;$F2949="2",""&amp;$F2949="4",""&amp;$F2949="G",""&amp;$F2949="H"),IF($AY2949="YES","",IF($AB2949&lt;&gt;0,"",IF(COUNTIFS('AR SALES'!$L$2:$L$2501,$L2949,'AR SALES'!$AD$2:$AD$2501,IF(""&amp;$F2949="4","OFF","ON"),'AR SALES'!$AF$2:$AF$2501,"Y")&gt;0,"","NO EXEMPTION"))),"")</f>
        <v/>
      </c>
    </row>
    <row r="2950" spans="46:54" x14ac:dyDescent="0.25">
      <c r="AT2950" s="2" t="str">
        <f>IF($L2950="","",IFERROR(INDEX('AR SALES'!$H$2:$H$2501,MATCH(""&amp;$L2950,'AR SALES'!$AE$2:$AE$2501,0)),""))</f>
        <v/>
      </c>
      <c r="AU2950" s="2" t="str">
        <f t="shared" si="184"/>
        <v/>
      </c>
      <c r="AV2950" s="2" t="str">
        <f t="shared" si="185"/>
        <v/>
      </c>
      <c r="AW2950" s="2" t="str">
        <f t="shared" si="186"/>
        <v/>
      </c>
      <c r="AX2950" s="2" t="str">
        <f t="shared" si="187"/>
        <v/>
      </c>
      <c r="AY2950" s="2" t="str">
        <f>IF($AV2950="","",IF(AND($Z2950=0,COUNTIF('AR SALES'!$L$2:$L$2501,$L2950)=0),"YES",""))</f>
        <v/>
      </c>
      <c r="AZ2950" s="2" t="str">
        <f>IF($AV2950="","",IF(COUNTIF(LISTS!$C$2:$C$250,$AU2950)=0,"NEW",""))</f>
        <v/>
      </c>
      <c r="BA2950" s="2" t="str">
        <f>IF(""&amp;$F2950&lt;&gt;"4","",IF($AY2950="YES","",IF(ROUND(SUMIFS($AE$2:$AE$4001,$L$2:$L$4001,$L2950,$F$2:$F$4001,"4")-SUMIFS('AR SALES'!$Y$2:$Y$2501,'AR SALES'!$L$2:$L$2501,$L2950,'AR SALES'!$AD$2:$AD$2501,"OFF"),2)=0,"","STALE")))</f>
        <v/>
      </c>
      <c r="BB2950" s="2" t="str">
        <f>IF(OR(""&amp;$F2950="2",""&amp;$F2950="4",""&amp;$F2950="G",""&amp;$F2950="H"),IF($AY2950="YES","",IF($AB2950&lt;&gt;0,"",IF(COUNTIFS('AR SALES'!$L$2:$L$2501,$L2950,'AR SALES'!$AD$2:$AD$2501,IF(""&amp;$F2950="4","OFF","ON"),'AR SALES'!$AF$2:$AF$2501,"Y")&gt;0,"","NO EXEMPTION"))),"")</f>
        <v/>
      </c>
    </row>
    <row r="2951" spans="46:54" x14ac:dyDescent="0.25">
      <c r="AT2951" s="2" t="str">
        <f>IF($L2951="","",IFERROR(INDEX('AR SALES'!$H$2:$H$2501,MATCH(""&amp;$L2951,'AR SALES'!$AE$2:$AE$2501,0)),""))</f>
        <v/>
      </c>
      <c r="AU2951" s="2" t="str">
        <f t="shared" si="184"/>
        <v/>
      </c>
      <c r="AV2951" s="2" t="str">
        <f t="shared" si="185"/>
        <v/>
      </c>
      <c r="AW2951" s="2" t="str">
        <f t="shared" si="186"/>
        <v/>
      </c>
      <c r="AX2951" s="2" t="str">
        <f t="shared" si="187"/>
        <v/>
      </c>
      <c r="AY2951" s="2" t="str">
        <f>IF($AV2951="","",IF(AND($Z2951=0,COUNTIF('AR SALES'!$L$2:$L$2501,$L2951)=0),"YES",""))</f>
        <v/>
      </c>
      <c r="AZ2951" s="2" t="str">
        <f>IF($AV2951="","",IF(COUNTIF(LISTS!$C$2:$C$250,$AU2951)=0,"NEW",""))</f>
        <v/>
      </c>
      <c r="BA2951" s="2" t="str">
        <f>IF(""&amp;$F2951&lt;&gt;"4","",IF($AY2951="YES","",IF(ROUND(SUMIFS($AE$2:$AE$4001,$L$2:$L$4001,$L2951,$F$2:$F$4001,"4")-SUMIFS('AR SALES'!$Y$2:$Y$2501,'AR SALES'!$L$2:$L$2501,$L2951,'AR SALES'!$AD$2:$AD$2501,"OFF"),2)=0,"","STALE")))</f>
        <v/>
      </c>
      <c r="BB2951" s="2" t="str">
        <f>IF(OR(""&amp;$F2951="2",""&amp;$F2951="4",""&amp;$F2951="G",""&amp;$F2951="H"),IF($AY2951="YES","",IF($AB2951&lt;&gt;0,"",IF(COUNTIFS('AR SALES'!$L$2:$L$2501,$L2951,'AR SALES'!$AD$2:$AD$2501,IF(""&amp;$F2951="4","OFF","ON"),'AR SALES'!$AF$2:$AF$2501,"Y")&gt;0,"","NO EXEMPTION"))),"")</f>
        <v/>
      </c>
    </row>
    <row r="2952" spans="46:54" x14ac:dyDescent="0.25">
      <c r="AT2952" s="2" t="str">
        <f>IF($L2952="","",IFERROR(INDEX('AR SALES'!$H$2:$H$2501,MATCH(""&amp;$L2952,'AR SALES'!$AE$2:$AE$2501,0)),""))</f>
        <v/>
      </c>
      <c r="AU2952" s="2" t="str">
        <f t="shared" si="184"/>
        <v/>
      </c>
      <c r="AV2952" s="2" t="str">
        <f t="shared" si="185"/>
        <v/>
      </c>
      <c r="AW2952" s="2" t="str">
        <f t="shared" si="186"/>
        <v/>
      </c>
      <c r="AX2952" s="2" t="str">
        <f t="shared" si="187"/>
        <v/>
      </c>
      <c r="AY2952" s="2" t="str">
        <f>IF($AV2952="","",IF(AND($Z2952=0,COUNTIF('AR SALES'!$L$2:$L$2501,$L2952)=0),"YES",""))</f>
        <v/>
      </c>
      <c r="AZ2952" s="2" t="str">
        <f>IF($AV2952="","",IF(COUNTIF(LISTS!$C$2:$C$250,$AU2952)=0,"NEW",""))</f>
        <v/>
      </c>
      <c r="BA2952" s="2" t="str">
        <f>IF(""&amp;$F2952&lt;&gt;"4","",IF($AY2952="YES","",IF(ROUND(SUMIFS($AE$2:$AE$4001,$L$2:$L$4001,$L2952,$F$2:$F$4001,"4")-SUMIFS('AR SALES'!$Y$2:$Y$2501,'AR SALES'!$L$2:$L$2501,$L2952,'AR SALES'!$AD$2:$AD$2501,"OFF"),2)=0,"","STALE")))</f>
        <v/>
      </c>
      <c r="BB2952" s="2" t="str">
        <f>IF(OR(""&amp;$F2952="2",""&amp;$F2952="4",""&amp;$F2952="G",""&amp;$F2952="H"),IF($AY2952="YES","",IF($AB2952&lt;&gt;0,"",IF(COUNTIFS('AR SALES'!$L$2:$L$2501,$L2952,'AR SALES'!$AD$2:$AD$2501,IF(""&amp;$F2952="4","OFF","ON"),'AR SALES'!$AF$2:$AF$2501,"Y")&gt;0,"","NO EXEMPTION"))),"")</f>
        <v/>
      </c>
    </row>
    <row r="2953" spans="46:54" x14ac:dyDescent="0.25">
      <c r="AT2953" s="2" t="str">
        <f>IF($L2953="","",IFERROR(INDEX('AR SALES'!$H$2:$H$2501,MATCH(""&amp;$L2953,'AR SALES'!$AE$2:$AE$2501,0)),""))</f>
        <v/>
      </c>
      <c r="AU2953" s="2" t="str">
        <f t="shared" si="184"/>
        <v/>
      </c>
      <c r="AV2953" s="2" t="str">
        <f t="shared" si="185"/>
        <v/>
      </c>
      <c r="AW2953" s="2" t="str">
        <f t="shared" si="186"/>
        <v/>
      </c>
      <c r="AX2953" s="2" t="str">
        <f t="shared" si="187"/>
        <v/>
      </c>
      <c r="AY2953" s="2" t="str">
        <f>IF($AV2953="","",IF(AND($Z2953=0,COUNTIF('AR SALES'!$L$2:$L$2501,$L2953)=0),"YES",""))</f>
        <v/>
      </c>
      <c r="AZ2953" s="2" t="str">
        <f>IF($AV2953="","",IF(COUNTIF(LISTS!$C$2:$C$250,$AU2953)=0,"NEW",""))</f>
        <v/>
      </c>
      <c r="BA2953" s="2" t="str">
        <f>IF(""&amp;$F2953&lt;&gt;"4","",IF($AY2953="YES","",IF(ROUND(SUMIFS($AE$2:$AE$4001,$L$2:$L$4001,$L2953,$F$2:$F$4001,"4")-SUMIFS('AR SALES'!$Y$2:$Y$2501,'AR SALES'!$L$2:$L$2501,$L2953,'AR SALES'!$AD$2:$AD$2501,"OFF"),2)=0,"","STALE")))</f>
        <v/>
      </c>
      <c r="BB2953" s="2" t="str">
        <f>IF(OR(""&amp;$F2953="2",""&amp;$F2953="4",""&amp;$F2953="G",""&amp;$F2953="H"),IF($AY2953="YES","",IF($AB2953&lt;&gt;0,"",IF(COUNTIFS('AR SALES'!$L$2:$L$2501,$L2953,'AR SALES'!$AD$2:$AD$2501,IF(""&amp;$F2953="4","OFF","ON"),'AR SALES'!$AF$2:$AF$2501,"Y")&gt;0,"","NO EXEMPTION"))),"")</f>
        <v/>
      </c>
    </row>
    <row r="2954" spans="46:54" x14ac:dyDescent="0.25">
      <c r="AT2954" s="2" t="str">
        <f>IF($L2954="","",IFERROR(INDEX('AR SALES'!$H$2:$H$2501,MATCH(""&amp;$L2954,'AR SALES'!$AE$2:$AE$2501,0)),""))</f>
        <v/>
      </c>
      <c r="AU2954" s="2" t="str">
        <f t="shared" si="184"/>
        <v/>
      </c>
      <c r="AV2954" s="2" t="str">
        <f t="shared" si="185"/>
        <v/>
      </c>
      <c r="AW2954" s="2" t="str">
        <f t="shared" si="186"/>
        <v/>
      </c>
      <c r="AX2954" s="2" t="str">
        <f t="shared" si="187"/>
        <v/>
      </c>
      <c r="AY2954" s="2" t="str">
        <f>IF($AV2954="","",IF(AND($Z2954=0,COUNTIF('AR SALES'!$L$2:$L$2501,$L2954)=0),"YES",""))</f>
        <v/>
      </c>
      <c r="AZ2954" s="2" t="str">
        <f>IF($AV2954="","",IF(COUNTIF(LISTS!$C$2:$C$250,$AU2954)=0,"NEW",""))</f>
        <v/>
      </c>
      <c r="BA2954" s="2" t="str">
        <f>IF(""&amp;$F2954&lt;&gt;"4","",IF($AY2954="YES","",IF(ROUND(SUMIFS($AE$2:$AE$4001,$L$2:$L$4001,$L2954,$F$2:$F$4001,"4")-SUMIFS('AR SALES'!$Y$2:$Y$2501,'AR SALES'!$L$2:$L$2501,$L2954,'AR SALES'!$AD$2:$AD$2501,"OFF"),2)=0,"","STALE")))</f>
        <v/>
      </c>
      <c r="BB2954" s="2" t="str">
        <f>IF(OR(""&amp;$F2954="2",""&amp;$F2954="4",""&amp;$F2954="G",""&amp;$F2954="H"),IF($AY2954="YES","",IF($AB2954&lt;&gt;0,"",IF(COUNTIFS('AR SALES'!$L$2:$L$2501,$L2954,'AR SALES'!$AD$2:$AD$2501,IF(""&amp;$F2954="4","OFF","ON"),'AR SALES'!$AF$2:$AF$2501,"Y")&gt;0,"","NO EXEMPTION"))),"")</f>
        <v/>
      </c>
    </row>
    <row r="2955" spans="46:54" x14ac:dyDescent="0.25">
      <c r="AT2955" s="2" t="str">
        <f>IF($L2955="","",IFERROR(INDEX('AR SALES'!$H$2:$H$2501,MATCH(""&amp;$L2955,'AR SALES'!$AE$2:$AE$2501,0)),""))</f>
        <v/>
      </c>
      <c r="AU2955" s="2" t="str">
        <f t="shared" si="184"/>
        <v/>
      </c>
      <c r="AV2955" s="2" t="str">
        <f t="shared" si="185"/>
        <v/>
      </c>
      <c r="AW2955" s="2" t="str">
        <f t="shared" si="186"/>
        <v/>
      </c>
      <c r="AX2955" s="2" t="str">
        <f t="shared" si="187"/>
        <v/>
      </c>
      <c r="AY2955" s="2" t="str">
        <f>IF($AV2955="","",IF(AND($Z2955=0,COUNTIF('AR SALES'!$L$2:$L$2501,$L2955)=0),"YES",""))</f>
        <v/>
      </c>
      <c r="AZ2955" s="2" t="str">
        <f>IF($AV2955="","",IF(COUNTIF(LISTS!$C$2:$C$250,$AU2955)=0,"NEW",""))</f>
        <v/>
      </c>
      <c r="BA2955" s="2" t="str">
        <f>IF(""&amp;$F2955&lt;&gt;"4","",IF($AY2955="YES","",IF(ROUND(SUMIFS($AE$2:$AE$4001,$L$2:$L$4001,$L2955,$F$2:$F$4001,"4")-SUMIFS('AR SALES'!$Y$2:$Y$2501,'AR SALES'!$L$2:$L$2501,$L2955,'AR SALES'!$AD$2:$AD$2501,"OFF"),2)=0,"","STALE")))</f>
        <v/>
      </c>
      <c r="BB2955" s="2" t="str">
        <f>IF(OR(""&amp;$F2955="2",""&amp;$F2955="4",""&amp;$F2955="G",""&amp;$F2955="H"),IF($AY2955="YES","",IF($AB2955&lt;&gt;0,"",IF(COUNTIFS('AR SALES'!$L$2:$L$2501,$L2955,'AR SALES'!$AD$2:$AD$2501,IF(""&amp;$F2955="4","OFF","ON"),'AR SALES'!$AF$2:$AF$2501,"Y")&gt;0,"","NO EXEMPTION"))),"")</f>
        <v/>
      </c>
    </row>
    <row r="2956" spans="46:54" x14ac:dyDescent="0.25">
      <c r="AT2956" s="2" t="str">
        <f>IF($L2956="","",IFERROR(INDEX('AR SALES'!$H$2:$H$2501,MATCH(""&amp;$L2956,'AR SALES'!$AE$2:$AE$2501,0)),""))</f>
        <v/>
      </c>
      <c r="AU2956" s="2" t="str">
        <f t="shared" si="184"/>
        <v/>
      </c>
      <c r="AV2956" s="2" t="str">
        <f t="shared" si="185"/>
        <v/>
      </c>
      <c r="AW2956" s="2" t="str">
        <f t="shared" si="186"/>
        <v/>
      </c>
      <c r="AX2956" s="2" t="str">
        <f t="shared" si="187"/>
        <v/>
      </c>
      <c r="AY2956" s="2" t="str">
        <f>IF($AV2956="","",IF(AND($Z2956=0,COUNTIF('AR SALES'!$L$2:$L$2501,$L2956)=0),"YES",""))</f>
        <v/>
      </c>
      <c r="AZ2956" s="2" t="str">
        <f>IF($AV2956="","",IF(COUNTIF(LISTS!$C$2:$C$250,$AU2956)=0,"NEW",""))</f>
        <v/>
      </c>
      <c r="BA2956" s="2" t="str">
        <f>IF(""&amp;$F2956&lt;&gt;"4","",IF($AY2956="YES","",IF(ROUND(SUMIFS($AE$2:$AE$4001,$L$2:$L$4001,$L2956,$F$2:$F$4001,"4")-SUMIFS('AR SALES'!$Y$2:$Y$2501,'AR SALES'!$L$2:$L$2501,$L2956,'AR SALES'!$AD$2:$AD$2501,"OFF"),2)=0,"","STALE")))</f>
        <v/>
      </c>
      <c r="BB2956" s="2" t="str">
        <f>IF(OR(""&amp;$F2956="2",""&amp;$F2956="4",""&amp;$F2956="G",""&amp;$F2956="H"),IF($AY2956="YES","",IF($AB2956&lt;&gt;0,"",IF(COUNTIFS('AR SALES'!$L$2:$L$2501,$L2956,'AR SALES'!$AD$2:$AD$2501,IF(""&amp;$F2956="4","OFF","ON"),'AR SALES'!$AF$2:$AF$2501,"Y")&gt;0,"","NO EXEMPTION"))),"")</f>
        <v/>
      </c>
    </row>
    <row r="2957" spans="46:54" x14ac:dyDescent="0.25">
      <c r="AT2957" s="2" t="str">
        <f>IF($L2957="","",IFERROR(INDEX('AR SALES'!$H$2:$H$2501,MATCH(""&amp;$L2957,'AR SALES'!$AE$2:$AE$2501,0)),""))</f>
        <v/>
      </c>
      <c r="AU2957" s="2" t="str">
        <f t="shared" si="184"/>
        <v/>
      </c>
      <c r="AV2957" s="2" t="str">
        <f t="shared" si="185"/>
        <v/>
      </c>
      <c r="AW2957" s="2" t="str">
        <f t="shared" si="186"/>
        <v/>
      </c>
      <c r="AX2957" s="2" t="str">
        <f t="shared" si="187"/>
        <v/>
      </c>
      <c r="AY2957" s="2" t="str">
        <f>IF($AV2957="","",IF(AND($Z2957=0,COUNTIF('AR SALES'!$L$2:$L$2501,$L2957)=0),"YES",""))</f>
        <v/>
      </c>
      <c r="AZ2957" s="2" t="str">
        <f>IF($AV2957="","",IF(COUNTIF(LISTS!$C$2:$C$250,$AU2957)=0,"NEW",""))</f>
        <v/>
      </c>
      <c r="BA2957" s="2" t="str">
        <f>IF(""&amp;$F2957&lt;&gt;"4","",IF($AY2957="YES","",IF(ROUND(SUMIFS($AE$2:$AE$4001,$L$2:$L$4001,$L2957,$F$2:$F$4001,"4")-SUMIFS('AR SALES'!$Y$2:$Y$2501,'AR SALES'!$L$2:$L$2501,$L2957,'AR SALES'!$AD$2:$AD$2501,"OFF"),2)=0,"","STALE")))</f>
        <v/>
      </c>
      <c r="BB2957" s="2" t="str">
        <f>IF(OR(""&amp;$F2957="2",""&amp;$F2957="4",""&amp;$F2957="G",""&amp;$F2957="H"),IF($AY2957="YES","",IF($AB2957&lt;&gt;0,"",IF(COUNTIFS('AR SALES'!$L$2:$L$2501,$L2957,'AR SALES'!$AD$2:$AD$2501,IF(""&amp;$F2957="4","OFF","ON"),'AR SALES'!$AF$2:$AF$2501,"Y")&gt;0,"","NO EXEMPTION"))),"")</f>
        <v/>
      </c>
    </row>
    <row r="2958" spans="46:54" x14ac:dyDescent="0.25">
      <c r="AT2958" s="2" t="str">
        <f>IF($L2958="","",IFERROR(INDEX('AR SALES'!$H$2:$H$2501,MATCH(""&amp;$L2958,'AR SALES'!$AE$2:$AE$2501,0)),""))</f>
        <v/>
      </c>
      <c r="AU2958" s="2" t="str">
        <f t="shared" si="184"/>
        <v/>
      </c>
      <c r="AV2958" s="2" t="str">
        <f t="shared" si="185"/>
        <v/>
      </c>
      <c r="AW2958" s="2" t="str">
        <f t="shared" si="186"/>
        <v/>
      </c>
      <c r="AX2958" s="2" t="str">
        <f t="shared" si="187"/>
        <v/>
      </c>
      <c r="AY2958" s="2" t="str">
        <f>IF($AV2958="","",IF(AND($Z2958=0,COUNTIF('AR SALES'!$L$2:$L$2501,$L2958)=0),"YES",""))</f>
        <v/>
      </c>
      <c r="AZ2958" s="2" t="str">
        <f>IF($AV2958="","",IF(COUNTIF(LISTS!$C$2:$C$250,$AU2958)=0,"NEW",""))</f>
        <v/>
      </c>
      <c r="BA2958" s="2" t="str">
        <f>IF(""&amp;$F2958&lt;&gt;"4","",IF($AY2958="YES","",IF(ROUND(SUMIFS($AE$2:$AE$4001,$L$2:$L$4001,$L2958,$F$2:$F$4001,"4")-SUMIFS('AR SALES'!$Y$2:$Y$2501,'AR SALES'!$L$2:$L$2501,$L2958,'AR SALES'!$AD$2:$AD$2501,"OFF"),2)=0,"","STALE")))</f>
        <v/>
      </c>
      <c r="BB2958" s="2" t="str">
        <f>IF(OR(""&amp;$F2958="2",""&amp;$F2958="4",""&amp;$F2958="G",""&amp;$F2958="H"),IF($AY2958="YES","",IF($AB2958&lt;&gt;0,"",IF(COUNTIFS('AR SALES'!$L$2:$L$2501,$L2958,'AR SALES'!$AD$2:$AD$2501,IF(""&amp;$F2958="4","OFF","ON"),'AR SALES'!$AF$2:$AF$2501,"Y")&gt;0,"","NO EXEMPTION"))),"")</f>
        <v/>
      </c>
    </row>
    <row r="2959" spans="46:54" x14ac:dyDescent="0.25">
      <c r="AT2959" s="2" t="str">
        <f>IF($L2959="","",IFERROR(INDEX('AR SALES'!$H$2:$H$2501,MATCH(""&amp;$L2959,'AR SALES'!$AE$2:$AE$2501,0)),""))</f>
        <v/>
      </c>
      <c r="AU2959" s="2" t="str">
        <f t="shared" si="184"/>
        <v/>
      </c>
      <c r="AV2959" s="2" t="str">
        <f t="shared" si="185"/>
        <v/>
      </c>
      <c r="AW2959" s="2" t="str">
        <f t="shared" si="186"/>
        <v/>
      </c>
      <c r="AX2959" s="2" t="str">
        <f t="shared" si="187"/>
        <v/>
      </c>
      <c r="AY2959" s="2" t="str">
        <f>IF($AV2959="","",IF(AND($Z2959=0,COUNTIF('AR SALES'!$L$2:$L$2501,$L2959)=0),"YES",""))</f>
        <v/>
      </c>
      <c r="AZ2959" s="2" t="str">
        <f>IF($AV2959="","",IF(COUNTIF(LISTS!$C$2:$C$250,$AU2959)=0,"NEW",""))</f>
        <v/>
      </c>
      <c r="BA2959" s="2" t="str">
        <f>IF(""&amp;$F2959&lt;&gt;"4","",IF($AY2959="YES","",IF(ROUND(SUMIFS($AE$2:$AE$4001,$L$2:$L$4001,$L2959,$F$2:$F$4001,"4")-SUMIFS('AR SALES'!$Y$2:$Y$2501,'AR SALES'!$L$2:$L$2501,$L2959,'AR SALES'!$AD$2:$AD$2501,"OFF"),2)=0,"","STALE")))</f>
        <v/>
      </c>
      <c r="BB2959" s="2" t="str">
        <f>IF(OR(""&amp;$F2959="2",""&amp;$F2959="4",""&amp;$F2959="G",""&amp;$F2959="H"),IF($AY2959="YES","",IF($AB2959&lt;&gt;0,"",IF(COUNTIFS('AR SALES'!$L$2:$L$2501,$L2959,'AR SALES'!$AD$2:$AD$2501,IF(""&amp;$F2959="4","OFF","ON"),'AR SALES'!$AF$2:$AF$2501,"Y")&gt;0,"","NO EXEMPTION"))),"")</f>
        <v/>
      </c>
    </row>
    <row r="2960" spans="46:54" x14ac:dyDescent="0.25">
      <c r="AT2960" s="2" t="str">
        <f>IF($L2960="","",IFERROR(INDEX('AR SALES'!$H$2:$H$2501,MATCH(""&amp;$L2960,'AR SALES'!$AE$2:$AE$2501,0)),""))</f>
        <v/>
      </c>
      <c r="AU2960" s="2" t="str">
        <f t="shared" si="184"/>
        <v/>
      </c>
      <c r="AV2960" s="2" t="str">
        <f t="shared" si="185"/>
        <v/>
      </c>
      <c r="AW2960" s="2" t="str">
        <f t="shared" si="186"/>
        <v/>
      </c>
      <c r="AX2960" s="2" t="str">
        <f t="shared" si="187"/>
        <v/>
      </c>
      <c r="AY2960" s="2" t="str">
        <f>IF($AV2960="","",IF(AND($Z2960=0,COUNTIF('AR SALES'!$L$2:$L$2501,$L2960)=0),"YES",""))</f>
        <v/>
      </c>
      <c r="AZ2960" s="2" t="str">
        <f>IF($AV2960="","",IF(COUNTIF(LISTS!$C$2:$C$250,$AU2960)=0,"NEW",""))</f>
        <v/>
      </c>
      <c r="BA2960" s="2" t="str">
        <f>IF(""&amp;$F2960&lt;&gt;"4","",IF($AY2960="YES","",IF(ROUND(SUMIFS($AE$2:$AE$4001,$L$2:$L$4001,$L2960,$F$2:$F$4001,"4")-SUMIFS('AR SALES'!$Y$2:$Y$2501,'AR SALES'!$L$2:$L$2501,$L2960,'AR SALES'!$AD$2:$AD$2501,"OFF"),2)=0,"","STALE")))</f>
        <v/>
      </c>
      <c r="BB2960" s="2" t="str">
        <f>IF(OR(""&amp;$F2960="2",""&amp;$F2960="4",""&amp;$F2960="G",""&amp;$F2960="H"),IF($AY2960="YES","",IF($AB2960&lt;&gt;0,"",IF(COUNTIFS('AR SALES'!$L$2:$L$2501,$L2960,'AR SALES'!$AD$2:$AD$2501,IF(""&amp;$F2960="4","OFF","ON"),'AR SALES'!$AF$2:$AF$2501,"Y")&gt;0,"","NO EXEMPTION"))),"")</f>
        <v/>
      </c>
    </row>
    <row r="2961" spans="46:54" x14ac:dyDescent="0.25">
      <c r="AT2961" s="2" t="str">
        <f>IF($L2961="","",IFERROR(INDEX('AR SALES'!$H$2:$H$2501,MATCH(""&amp;$L2961,'AR SALES'!$AE$2:$AE$2501,0)),""))</f>
        <v/>
      </c>
      <c r="AU2961" s="2" t="str">
        <f t="shared" si="184"/>
        <v/>
      </c>
      <c r="AV2961" s="2" t="str">
        <f t="shared" si="185"/>
        <v/>
      </c>
      <c r="AW2961" s="2" t="str">
        <f t="shared" si="186"/>
        <v/>
      </c>
      <c r="AX2961" s="2" t="str">
        <f t="shared" si="187"/>
        <v/>
      </c>
      <c r="AY2961" s="2" t="str">
        <f>IF($AV2961="","",IF(AND($Z2961=0,COUNTIF('AR SALES'!$L$2:$L$2501,$L2961)=0),"YES",""))</f>
        <v/>
      </c>
      <c r="AZ2961" s="2" t="str">
        <f>IF($AV2961="","",IF(COUNTIF(LISTS!$C$2:$C$250,$AU2961)=0,"NEW",""))</f>
        <v/>
      </c>
      <c r="BA2961" s="2" t="str">
        <f>IF(""&amp;$F2961&lt;&gt;"4","",IF($AY2961="YES","",IF(ROUND(SUMIFS($AE$2:$AE$4001,$L$2:$L$4001,$L2961,$F$2:$F$4001,"4")-SUMIFS('AR SALES'!$Y$2:$Y$2501,'AR SALES'!$L$2:$L$2501,$L2961,'AR SALES'!$AD$2:$AD$2501,"OFF"),2)=0,"","STALE")))</f>
        <v/>
      </c>
      <c r="BB2961" s="2" t="str">
        <f>IF(OR(""&amp;$F2961="2",""&amp;$F2961="4",""&amp;$F2961="G",""&amp;$F2961="H"),IF($AY2961="YES","",IF($AB2961&lt;&gt;0,"",IF(COUNTIFS('AR SALES'!$L$2:$L$2501,$L2961,'AR SALES'!$AD$2:$AD$2501,IF(""&amp;$F2961="4","OFF","ON"),'AR SALES'!$AF$2:$AF$2501,"Y")&gt;0,"","NO EXEMPTION"))),"")</f>
        <v/>
      </c>
    </row>
    <row r="2962" spans="46:54" x14ac:dyDescent="0.25">
      <c r="AT2962" s="2" t="str">
        <f>IF($L2962="","",IFERROR(INDEX('AR SALES'!$H$2:$H$2501,MATCH(""&amp;$L2962,'AR SALES'!$AE$2:$AE$2501,0)),""))</f>
        <v/>
      </c>
      <c r="AU2962" s="2" t="str">
        <f t="shared" si="184"/>
        <v/>
      </c>
      <c r="AV2962" s="2" t="str">
        <f t="shared" si="185"/>
        <v/>
      </c>
      <c r="AW2962" s="2" t="str">
        <f t="shared" si="186"/>
        <v/>
      </c>
      <c r="AX2962" s="2" t="str">
        <f t="shared" si="187"/>
        <v/>
      </c>
      <c r="AY2962" s="2" t="str">
        <f>IF($AV2962="","",IF(AND($Z2962=0,COUNTIF('AR SALES'!$L$2:$L$2501,$L2962)=0),"YES",""))</f>
        <v/>
      </c>
      <c r="AZ2962" s="2" t="str">
        <f>IF($AV2962="","",IF(COUNTIF(LISTS!$C$2:$C$250,$AU2962)=0,"NEW",""))</f>
        <v/>
      </c>
      <c r="BA2962" s="2" t="str">
        <f>IF(""&amp;$F2962&lt;&gt;"4","",IF($AY2962="YES","",IF(ROUND(SUMIFS($AE$2:$AE$4001,$L$2:$L$4001,$L2962,$F$2:$F$4001,"4")-SUMIFS('AR SALES'!$Y$2:$Y$2501,'AR SALES'!$L$2:$L$2501,$L2962,'AR SALES'!$AD$2:$AD$2501,"OFF"),2)=0,"","STALE")))</f>
        <v/>
      </c>
      <c r="BB2962" s="2" t="str">
        <f>IF(OR(""&amp;$F2962="2",""&amp;$F2962="4",""&amp;$F2962="G",""&amp;$F2962="H"),IF($AY2962="YES","",IF($AB2962&lt;&gt;0,"",IF(COUNTIFS('AR SALES'!$L$2:$L$2501,$L2962,'AR SALES'!$AD$2:$AD$2501,IF(""&amp;$F2962="4","OFF","ON"),'AR SALES'!$AF$2:$AF$2501,"Y")&gt;0,"","NO EXEMPTION"))),"")</f>
        <v/>
      </c>
    </row>
    <row r="2963" spans="46:54" x14ac:dyDescent="0.25">
      <c r="AT2963" s="2" t="str">
        <f>IF($L2963="","",IFERROR(INDEX('AR SALES'!$H$2:$H$2501,MATCH(""&amp;$L2963,'AR SALES'!$AE$2:$AE$2501,0)),""))</f>
        <v/>
      </c>
      <c r="AU2963" s="2" t="str">
        <f t="shared" si="184"/>
        <v/>
      </c>
      <c r="AV2963" s="2" t="str">
        <f t="shared" si="185"/>
        <v/>
      </c>
      <c r="AW2963" s="2" t="str">
        <f t="shared" si="186"/>
        <v/>
      </c>
      <c r="AX2963" s="2" t="str">
        <f t="shared" si="187"/>
        <v/>
      </c>
      <c r="AY2963" s="2" t="str">
        <f>IF($AV2963="","",IF(AND($Z2963=0,COUNTIF('AR SALES'!$L$2:$L$2501,$L2963)=0),"YES",""))</f>
        <v/>
      </c>
      <c r="AZ2963" s="2" t="str">
        <f>IF($AV2963="","",IF(COUNTIF(LISTS!$C$2:$C$250,$AU2963)=0,"NEW",""))</f>
        <v/>
      </c>
      <c r="BA2963" s="2" t="str">
        <f>IF(""&amp;$F2963&lt;&gt;"4","",IF($AY2963="YES","",IF(ROUND(SUMIFS($AE$2:$AE$4001,$L$2:$L$4001,$L2963,$F$2:$F$4001,"4")-SUMIFS('AR SALES'!$Y$2:$Y$2501,'AR SALES'!$L$2:$L$2501,$L2963,'AR SALES'!$AD$2:$AD$2501,"OFF"),2)=0,"","STALE")))</f>
        <v/>
      </c>
      <c r="BB2963" s="2" t="str">
        <f>IF(OR(""&amp;$F2963="2",""&amp;$F2963="4",""&amp;$F2963="G",""&amp;$F2963="H"),IF($AY2963="YES","",IF($AB2963&lt;&gt;0,"",IF(COUNTIFS('AR SALES'!$L$2:$L$2501,$L2963,'AR SALES'!$AD$2:$AD$2501,IF(""&amp;$F2963="4","OFF","ON"),'AR SALES'!$AF$2:$AF$2501,"Y")&gt;0,"","NO EXEMPTION"))),"")</f>
        <v/>
      </c>
    </row>
    <row r="2964" spans="46:54" x14ac:dyDescent="0.25">
      <c r="AT2964" s="2" t="str">
        <f>IF($L2964="","",IFERROR(INDEX('AR SALES'!$H$2:$H$2501,MATCH(""&amp;$L2964,'AR SALES'!$AE$2:$AE$2501,0)),""))</f>
        <v/>
      </c>
      <c r="AU2964" s="2" t="str">
        <f t="shared" si="184"/>
        <v/>
      </c>
      <c r="AV2964" s="2" t="str">
        <f t="shared" si="185"/>
        <v/>
      </c>
      <c r="AW2964" s="2" t="str">
        <f t="shared" si="186"/>
        <v/>
      </c>
      <c r="AX2964" s="2" t="str">
        <f t="shared" si="187"/>
        <v/>
      </c>
      <c r="AY2964" s="2" t="str">
        <f>IF($AV2964="","",IF(AND($Z2964=0,COUNTIF('AR SALES'!$L$2:$L$2501,$L2964)=0),"YES",""))</f>
        <v/>
      </c>
      <c r="AZ2964" s="2" t="str">
        <f>IF($AV2964="","",IF(COUNTIF(LISTS!$C$2:$C$250,$AU2964)=0,"NEW",""))</f>
        <v/>
      </c>
      <c r="BA2964" s="2" t="str">
        <f>IF(""&amp;$F2964&lt;&gt;"4","",IF($AY2964="YES","",IF(ROUND(SUMIFS($AE$2:$AE$4001,$L$2:$L$4001,$L2964,$F$2:$F$4001,"4")-SUMIFS('AR SALES'!$Y$2:$Y$2501,'AR SALES'!$L$2:$L$2501,$L2964,'AR SALES'!$AD$2:$AD$2501,"OFF"),2)=0,"","STALE")))</f>
        <v/>
      </c>
      <c r="BB2964" s="2" t="str">
        <f>IF(OR(""&amp;$F2964="2",""&amp;$F2964="4",""&amp;$F2964="G",""&amp;$F2964="H"),IF($AY2964="YES","",IF($AB2964&lt;&gt;0,"",IF(COUNTIFS('AR SALES'!$L$2:$L$2501,$L2964,'AR SALES'!$AD$2:$AD$2501,IF(""&amp;$F2964="4","OFF","ON"),'AR SALES'!$AF$2:$AF$2501,"Y")&gt;0,"","NO EXEMPTION"))),"")</f>
        <v/>
      </c>
    </row>
    <row r="2965" spans="46:54" x14ac:dyDescent="0.25">
      <c r="AT2965" s="2" t="str">
        <f>IF($L2965="","",IFERROR(INDEX('AR SALES'!$H$2:$H$2501,MATCH(""&amp;$L2965,'AR SALES'!$AE$2:$AE$2501,0)),""))</f>
        <v/>
      </c>
      <c r="AU2965" s="2" t="str">
        <f t="shared" si="184"/>
        <v/>
      </c>
      <c r="AV2965" s="2" t="str">
        <f t="shared" si="185"/>
        <v/>
      </c>
      <c r="AW2965" s="2" t="str">
        <f t="shared" si="186"/>
        <v/>
      </c>
      <c r="AX2965" s="2" t="str">
        <f t="shared" si="187"/>
        <v/>
      </c>
      <c r="AY2965" s="2" t="str">
        <f>IF($AV2965="","",IF(AND($Z2965=0,COUNTIF('AR SALES'!$L$2:$L$2501,$L2965)=0),"YES",""))</f>
        <v/>
      </c>
      <c r="AZ2965" s="2" t="str">
        <f>IF($AV2965="","",IF(COUNTIF(LISTS!$C$2:$C$250,$AU2965)=0,"NEW",""))</f>
        <v/>
      </c>
      <c r="BA2965" s="2" t="str">
        <f>IF(""&amp;$F2965&lt;&gt;"4","",IF($AY2965="YES","",IF(ROUND(SUMIFS($AE$2:$AE$4001,$L$2:$L$4001,$L2965,$F$2:$F$4001,"4")-SUMIFS('AR SALES'!$Y$2:$Y$2501,'AR SALES'!$L$2:$L$2501,$L2965,'AR SALES'!$AD$2:$AD$2501,"OFF"),2)=0,"","STALE")))</f>
        <v/>
      </c>
      <c r="BB2965" s="2" t="str">
        <f>IF(OR(""&amp;$F2965="2",""&amp;$F2965="4",""&amp;$F2965="G",""&amp;$F2965="H"),IF($AY2965="YES","",IF($AB2965&lt;&gt;0,"",IF(COUNTIFS('AR SALES'!$L$2:$L$2501,$L2965,'AR SALES'!$AD$2:$AD$2501,IF(""&amp;$F2965="4","OFF","ON"),'AR SALES'!$AF$2:$AF$2501,"Y")&gt;0,"","NO EXEMPTION"))),"")</f>
        <v/>
      </c>
    </row>
    <row r="2966" spans="46:54" x14ac:dyDescent="0.25">
      <c r="AT2966" s="2" t="str">
        <f>IF($L2966="","",IFERROR(INDEX('AR SALES'!$H$2:$H$2501,MATCH(""&amp;$L2966,'AR SALES'!$AE$2:$AE$2501,0)),""))</f>
        <v/>
      </c>
      <c r="AU2966" s="2" t="str">
        <f t="shared" si="184"/>
        <v/>
      </c>
      <c r="AV2966" s="2" t="str">
        <f t="shared" si="185"/>
        <v/>
      </c>
      <c r="AW2966" s="2" t="str">
        <f t="shared" si="186"/>
        <v/>
      </c>
      <c r="AX2966" s="2" t="str">
        <f t="shared" si="187"/>
        <v/>
      </c>
      <c r="AY2966" s="2" t="str">
        <f>IF($AV2966="","",IF(AND($Z2966=0,COUNTIF('AR SALES'!$L$2:$L$2501,$L2966)=0),"YES",""))</f>
        <v/>
      </c>
      <c r="AZ2966" s="2" t="str">
        <f>IF($AV2966="","",IF(COUNTIF(LISTS!$C$2:$C$250,$AU2966)=0,"NEW",""))</f>
        <v/>
      </c>
      <c r="BA2966" s="2" t="str">
        <f>IF(""&amp;$F2966&lt;&gt;"4","",IF($AY2966="YES","",IF(ROUND(SUMIFS($AE$2:$AE$4001,$L$2:$L$4001,$L2966,$F$2:$F$4001,"4")-SUMIFS('AR SALES'!$Y$2:$Y$2501,'AR SALES'!$L$2:$L$2501,$L2966,'AR SALES'!$AD$2:$AD$2501,"OFF"),2)=0,"","STALE")))</f>
        <v/>
      </c>
      <c r="BB2966" s="2" t="str">
        <f>IF(OR(""&amp;$F2966="2",""&amp;$F2966="4",""&amp;$F2966="G",""&amp;$F2966="H"),IF($AY2966="YES","",IF($AB2966&lt;&gt;0,"",IF(COUNTIFS('AR SALES'!$L$2:$L$2501,$L2966,'AR SALES'!$AD$2:$AD$2501,IF(""&amp;$F2966="4","OFF","ON"),'AR SALES'!$AF$2:$AF$2501,"Y")&gt;0,"","NO EXEMPTION"))),"")</f>
        <v/>
      </c>
    </row>
    <row r="2967" spans="46:54" x14ac:dyDescent="0.25">
      <c r="AT2967" s="2" t="str">
        <f>IF($L2967="","",IFERROR(INDEX('AR SALES'!$H$2:$H$2501,MATCH(""&amp;$L2967,'AR SALES'!$AE$2:$AE$2501,0)),""))</f>
        <v/>
      </c>
      <c r="AU2967" s="2" t="str">
        <f t="shared" si="184"/>
        <v/>
      </c>
      <c r="AV2967" s="2" t="str">
        <f t="shared" si="185"/>
        <v/>
      </c>
      <c r="AW2967" s="2" t="str">
        <f t="shared" si="186"/>
        <v/>
      </c>
      <c r="AX2967" s="2" t="str">
        <f t="shared" si="187"/>
        <v/>
      </c>
      <c r="AY2967" s="2" t="str">
        <f>IF($AV2967="","",IF(AND($Z2967=0,COUNTIF('AR SALES'!$L$2:$L$2501,$L2967)=0),"YES",""))</f>
        <v/>
      </c>
      <c r="AZ2967" s="2" t="str">
        <f>IF($AV2967="","",IF(COUNTIF(LISTS!$C$2:$C$250,$AU2967)=0,"NEW",""))</f>
        <v/>
      </c>
      <c r="BA2967" s="2" t="str">
        <f>IF(""&amp;$F2967&lt;&gt;"4","",IF($AY2967="YES","",IF(ROUND(SUMIFS($AE$2:$AE$4001,$L$2:$L$4001,$L2967,$F$2:$F$4001,"4")-SUMIFS('AR SALES'!$Y$2:$Y$2501,'AR SALES'!$L$2:$L$2501,$L2967,'AR SALES'!$AD$2:$AD$2501,"OFF"),2)=0,"","STALE")))</f>
        <v/>
      </c>
      <c r="BB2967" s="2" t="str">
        <f>IF(OR(""&amp;$F2967="2",""&amp;$F2967="4",""&amp;$F2967="G",""&amp;$F2967="H"),IF($AY2967="YES","",IF($AB2967&lt;&gt;0,"",IF(COUNTIFS('AR SALES'!$L$2:$L$2501,$L2967,'AR SALES'!$AD$2:$AD$2501,IF(""&amp;$F2967="4","OFF","ON"),'AR SALES'!$AF$2:$AF$2501,"Y")&gt;0,"","NO EXEMPTION"))),"")</f>
        <v/>
      </c>
    </row>
    <row r="2968" spans="46:54" x14ac:dyDescent="0.25">
      <c r="AT2968" s="2" t="str">
        <f>IF($L2968="","",IFERROR(INDEX('AR SALES'!$H$2:$H$2501,MATCH(""&amp;$L2968,'AR SALES'!$AE$2:$AE$2501,0)),""))</f>
        <v/>
      </c>
      <c r="AU2968" s="2" t="str">
        <f t="shared" si="184"/>
        <v/>
      </c>
      <c r="AV2968" s="2" t="str">
        <f t="shared" si="185"/>
        <v/>
      </c>
      <c r="AW2968" s="2" t="str">
        <f t="shared" si="186"/>
        <v/>
      </c>
      <c r="AX2968" s="2" t="str">
        <f t="shared" si="187"/>
        <v/>
      </c>
      <c r="AY2968" s="2" t="str">
        <f>IF($AV2968="","",IF(AND($Z2968=0,COUNTIF('AR SALES'!$L$2:$L$2501,$L2968)=0),"YES",""))</f>
        <v/>
      </c>
      <c r="AZ2968" s="2" t="str">
        <f>IF($AV2968="","",IF(COUNTIF(LISTS!$C$2:$C$250,$AU2968)=0,"NEW",""))</f>
        <v/>
      </c>
      <c r="BA2968" s="2" t="str">
        <f>IF(""&amp;$F2968&lt;&gt;"4","",IF($AY2968="YES","",IF(ROUND(SUMIFS($AE$2:$AE$4001,$L$2:$L$4001,$L2968,$F$2:$F$4001,"4")-SUMIFS('AR SALES'!$Y$2:$Y$2501,'AR SALES'!$L$2:$L$2501,$L2968,'AR SALES'!$AD$2:$AD$2501,"OFF"),2)=0,"","STALE")))</f>
        <v/>
      </c>
      <c r="BB2968" s="2" t="str">
        <f>IF(OR(""&amp;$F2968="2",""&amp;$F2968="4",""&amp;$F2968="G",""&amp;$F2968="H"),IF($AY2968="YES","",IF($AB2968&lt;&gt;0,"",IF(COUNTIFS('AR SALES'!$L$2:$L$2501,$L2968,'AR SALES'!$AD$2:$AD$2501,IF(""&amp;$F2968="4","OFF","ON"),'AR SALES'!$AF$2:$AF$2501,"Y")&gt;0,"","NO EXEMPTION"))),"")</f>
        <v/>
      </c>
    </row>
    <row r="2969" spans="46:54" x14ac:dyDescent="0.25">
      <c r="AT2969" s="2" t="str">
        <f>IF($L2969="","",IFERROR(INDEX('AR SALES'!$H$2:$H$2501,MATCH(""&amp;$L2969,'AR SALES'!$AE$2:$AE$2501,0)),""))</f>
        <v/>
      </c>
      <c r="AU2969" s="2" t="str">
        <f t="shared" si="184"/>
        <v/>
      </c>
      <c r="AV2969" s="2" t="str">
        <f t="shared" si="185"/>
        <v/>
      </c>
      <c r="AW2969" s="2" t="str">
        <f t="shared" si="186"/>
        <v/>
      </c>
      <c r="AX2969" s="2" t="str">
        <f t="shared" si="187"/>
        <v/>
      </c>
      <c r="AY2969" s="2" t="str">
        <f>IF($AV2969="","",IF(AND($Z2969=0,COUNTIF('AR SALES'!$L$2:$L$2501,$L2969)=0),"YES",""))</f>
        <v/>
      </c>
      <c r="AZ2969" s="2" t="str">
        <f>IF($AV2969="","",IF(COUNTIF(LISTS!$C$2:$C$250,$AU2969)=0,"NEW",""))</f>
        <v/>
      </c>
      <c r="BA2969" s="2" t="str">
        <f>IF(""&amp;$F2969&lt;&gt;"4","",IF($AY2969="YES","",IF(ROUND(SUMIFS($AE$2:$AE$4001,$L$2:$L$4001,$L2969,$F$2:$F$4001,"4")-SUMIFS('AR SALES'!$Y$2:$Y$2501,'AR SALES'!$L$2:$L$2501,$L2969,'AR SALES'!$AD$2:$AD$2501,"OFF"),2)=0,"","STALE")))</f>
        <v/>
      </c>
      <c r="BB2969" s="2" t="str">
        <f>IF(OR(""&amp;$F2969="2",""&amp;$F2969="4",""&amp;$F2969="G",""&amp;$F2969="H"),IF($AY2969="YES","",IF($AB2969&lt;&gt;0,"",IF(COUNTIFS('AR SALES'!$L$2:$L$2501,$L2969,'AR SALES'!$AD$2:$AD$2501,IF(""&amp;$F2969="4","OFF","ON"),'AR SALES'!$AF$2:$AF$2501,"Y")&gt;0,"","NO EXEMPTION"))),"")</f>
        <v/>
      </c>
    </row>
    <row r="2970" spans="46:54" x14ac:dyDescent="0.25">
      <c r="AT2970" s="2" t="str">
        <f>IF($L2970="","",IFERROR(INDEX('AR SALES'!$H$2:$H$2501,MATCH(""&amp;$L2970,'AR SALES'!$AE$2:$AE$2501,0)),""))</f>
        <v/>
      </c>
      <c r="AU2970" s="2" t="str">
        <f t="shared" si="184"/>
        <v/>
      </c>
      <c r="AV2970" s="2" t="str">
        <f t="shared" si="185"/>
        <v/>
      </c>
      <c r="AW2970" s="2" t="str">
        <f t="shared" si="186"/>
        <v/>
      </c>
      <c r="AX2970" s="2" t="str">
        <f t="shared" si="187"/>
        <v/>
      </c>
      <c r="AY2970" s="2" t="str">
        <f>IF($AV2970="","",IF(AND($Z2970=0,COUNTIF('AR SALES'!$L$2:$L$2501,$L2970)=0),"YES",""))</f>
        <v/>
      </c>
      <c r="AZ2970" s="2" t="str">
        <f>IF($AV2970="","",IF(COUNTIF(LISTS!$C$2:$C$250,$AU2970)=0,"NEW",""))</f>
        <v/>
      </c>
      <c r="BA2970" s="2" t="str">
        <f>IF(""&amp;$F2970&lt;&gt;"4","",IF($AY2970="YES","",IF(ROUND(SUMIFS($AE$2:$AE$4001,$L$2:$L$4001,$L2970,$F$2:$F$4001,"4")-SUMIFS('AR SALES'!$Y$2:$Y$2501,'AR SALES'!$L$2:$L$2501,$L2970,'AR SALES'!$AD$2:$AD$2501,"OFF"),2)=0,"","STALE")))</f>
        <v/>
      </c>
      <c r="BB2970" s="2" t="str">
        <f>IF(OR(""&amp;$F2970="2",""&amp;$F2970="4",""&amp;$F2970="G",""&amp;$F2970="H"),IF($AY2970="YES","",IF($AB2970&lt;&gt;0,"",IF(COUNTIFS('AR SALES'!$L$2:$L$2501,$L2970,'AR SALES'!$AD$2:$AD$2501,IF(""&amp;$F2970="4","OFF","ON"),'AR SALES'!$AF$2:$AF$2501,"Y")&gt;0,"","NO EXEMPTION"))),"")</f>
        <v/>
      </c>
    </row>
    <row r="2971" spans="46:54" x14ac:dyDescent="0.25">
      <c r="AT2971" s="2" t="str">
        <f>IF($L2971="","",IFERROR(INDEX('AR SALES'!$H$2:$H$2501,MATCH(""&amp;$L2971,'AR SALES'!$AE$2:$AE$2501,0)),""))</f>
        <v/>
      </c>
      <c r="AU2971" s="2" t="str">
        <f t="shared" si="184"/>
        <v/>
      </c>
      <c r="AV2971" s="2" t="str">
        <f t="shared" si="185"/>
        <v/>
      </c>
      <c r="AW2971" s="2" t="str">
        <f t="shared" si="186"/>
        <v/>
      </c>
      <c r="AX2971" s="2" t="str">
        <f t="shared" si="187"/>
        <v/>
      </c>
      <c r="AY2971" s="2" t="str">
        <f>IF($AV2971="","",IF(AND($Z2971=0,COUNTIF('AR SALES'!$L$2:$L$2501,$L2971)=0),"YES",""))</f>
        <v/>
      </c>
      <c r="AZ2971" s="2" t="str">
        <f>IF($AV2971="","",IF(COUNTIF(LISTS!$C$2:$C$250,$AU2971)=0,"NEW",""))</f>
        <v/>
      </c>
      <c r="BA2971" s="2" t="str">
        <f>IF(""&amp;$F2971&lt;&gt;"4","",IF($AY2971="YES","",IF(ROUND(SUMIFS($AE$2:$AE$4001,$L$2:$L$4001,$L2971,$F$2:$F$4001,"4")-SUMIFS('AR SALES'!$Y$2:$Y$2501,'AR SALES'!$L$2:$L$2501,$L2971,'AR SALES'!$AD$2:$AD$2501,"OFF"),2)=0,"","STALE")))</f>
        <v/>
      </c>
      <c r="BB2971" s="2" t="str">
        <f>IF(OR(""&amp;$F2971="2",""&amp;$F2971="4",""&amp;$F2971="G",""&amp;$F2971="H"),IF($AY2971="YES","",IF($AB2971&lt;&gt;0,"",IF(COUNTIFS('AR SALES'!$L$2:$L$2501,$L2971,'AR SALES'!$AD$2:$AD$2501,IF(""&amp;$F2971="4","OFF","ON"),'AR SALES'!$AF$2:$AF$2501,"Y")&gt;0,"","NO EXEMPTION"))),"")</f>
        <v/>
      </c>
    </row>
    <row r="2972" spans="46:54" x14ac:dyDescent="0.25">
      <c r="AT2972" s="2" t="str">
        <f>IF($L2972="","",IFERROR(INDEX('AR SALES'!$H$2:$H$2501,MATCH(""&amp;$L2972,'AR SALES'!$AE$2:$AE$2501,0)),""))</f>
        <v/>
      </c>
      <c r="AU2972" s="2" t="str">
        <f t="shared" si="184"/>
        <v/>
      </c>
      <c r="AV2972" s="2" t="str">
        <f t="shared" si="185"/>
        <v/>
      </c>
      <c r="AW2972" s="2" t="str">
        <f t="shared" si="186"/>
        <v/>
      </c>
      <c r="AX2972" s="2" t="str">
        <f t="shared" si="187"/>
        <v/>
      </c>
      <c r="AY2972" s="2" t="str">
        <f>IF($AV2972="","",IF(AND($Z2972=0,COUNTIF('AR SALES'!$L$2:$L$2501,$L2972)=0),"YES",""))</f>
        <v/>
      </c>
      <c r="AZ2972" s="2" t="str">
        <f>IF($AV2972="","",IF(COUNTIF(LISTS!$C$2:$C$250,$AU2972)=0,"NEW",""))</f>
        <v/>
      </c>
      <c r="BA2972" s="2" t="str">
        <f>IF(""&amp;$F2972&lt;&gt;"4","",IF($AY2972="YES","",IF(ROUND(SUMIFS($AE$2:$AE$4001,$L$2:$L$4001,$L2972,$F$2:$F$4001,"4")-SUMIFS('AR SALES'!$Y$2:$Y$2501,'AR SALES'!$L$2:$L$2501,$L2972,'AR SALES'!$AD$2:$AD$2501,"OFF"),2)=0,"","STALE")))</f>
        <v/>
      </c>
      <c r="BB2972" s="2" t="str">
        <f>IF(OR(""&amp;$F2972="2",""&amp;$F2972="4",""&amp;$F2972="G",""&amp;$F2972="H"),IF($AY2972="YES","",IF($AB2972&lt;&gt;0,"",IF(COUNTIFS('AR SALES'!$L$2:$L$2501,$L2972,'AR SALES'!$AD$2:$AD$2501,IF(""&amp;$F2972="4","OFF","ON"),'AR SALES'!$AF$2:$AF$2501,"Y")&gt;0,"","NO EXEMPTION"))),"")</f>
        <v/>
      </c>
    </row>
    <row r="2973" spans="46:54" x14ac:dyDescent="0.25">
      <c r="AT2973" s="2" t="str">
        <f>IF($L2973="","",IFERROR(INDEX('AR SALES'!$H$2:$H$2501,MATCH(""&amp;$L2973,'AR SALES'!$AE$2:$AE$2501,0)),""))</f>
        <v/>
      </c>
      <c r="AU2973" s="2" t="str">
        <f t="shared" si="184"/>
        <v/>
      </c>
      <c r="AV2973" s="2" t="str">
        <f t="shared" si="185"/>
        <v/>
      </c>
      <c r="AW2973" s="2" t="str">
        <f t="shared" si="186"/>
        <v/>
      </c>
      <c r="AX2973" s="2" t="str">
        <f t="shared" si="187"/>
        <v/>
      </c>
      <c r="AY2973" s="2" t="str">
        <f>IF($AV2973="","",IF(AND($Z2973=0,COUNTIF('AR SALES'!$L$2:$L$2501,$L2973)=0),"YES",""))</f>
        <v/>
      </c>
      <c r="AZ2973" s="2" t="str">
        <f>IF($AV2973="","",IF(COUNTIF(LISTS!$C$2:$C$250,$AU2973)=0,"NEW",""))</f>
        <v/>
      </c>
      <c r="BA2973" s="2" t="str">
        <f>IF(""&amp;$F2973&lt;&gt;"4","",IF($AY2973="YES","",IF(ROUND(SUMIFS($AE$2:$AE$4001,$L$2:$L$4001,$L2973,$F$2:$F$4001,"4")-SUMIFS('AR SALES'!$Y$2:$Y$2501,'AR SALES'!$L$2:$L$2501,$L2973,'AR SALES'!$AD$2:$AD$2501,"OFF"),2)=0,"","STALE")))</f>
        <v/>
      </c>
      <c r="BB2973" s="2" t="str">
        <f>IF(OR(""&amp;$F2973="2",""&amp;$F2973="4",""&amp;$F2973="G",""&amp;$F2973="H"),IF($AY2973="YES","",IF($AB2973&lt;&gt;0,"",IF(COUNTIFS('AR SALES'!$L$2:$L$2501,$L2973,'AR SALES'!$AD$2:$AD$2501,IF(""&amp;$F2973="4","OFF","ON"),'AR SALES'!$AF$2:$AF$2501,"Y")&gt;0,"","NO EXEMPTION"))),"")</f>
        <v/>
      </c>
    </row>
    <row r="2974" spans="46:54" x14ac:dyDescent="0.25">
      <c r="AT2974" s="2" t="str">
        <f>IF($L2974="","",IFERROR(INDEX('AR SALES'!$H$2:$H$2501,MATCH(""&amp;$L2974,'AR SALES'!$AE$2:$AE$2501,0)),""))</f>
        <v/>
      </c>
      <c r="AU2974" s="2" t="str">
        <f t="shared" si="184"/>
        <v/>
      </c>
      <c r="AV2974" s="2" t="str">
        <f t="shared" si="185"/>
        <v/>
      </c>
      <c r="AW2974" s="2" t="str">
        <f t="shared" si="186"/>
        <v/>
      </c>
      <c r="AX2974" s="2" t="str">
        <f t="shared" si="187"/>
        <v/>
      </c>
      <c r="AY2974" s="2" t="str">
        <f>IF($AV2974="","",IF(AND($Z2974=0,COUNTIF('AR SALES'!$L$2:$L$2501,$L2974)=0),"YES",""))</f>
        <v/>
      </c>
      <c r="AZ2974" s="2" t="str">
        <f>IF($AV2974="","",IF(COUNTIF(LISTS!$C$2:$C$250,$AU2974)=0,"NEW",""))</f>
        <v/>
      </c>
      <c r="BA2974" s="2" t="str">
        <f>IF(""&amp;$F2974&lt;&gt;"4","",IF($AY2974="YES","",IF(ROUND(SUMIFS($AE$2:$AE$4001,$L$2:$L$4001,$L2974,$F$2:$F$4001,"4")-SUMIFS('AR SALES'!$Y$2:$Y$2501,'AR SALES'!$L$2:$L$2501,$L2974,'AR SALES'!$AD$2:$AD$2501,"OFF"),2)=0,"","STALE")))</f>
        <v/>
      </c>
      <c r="BB2974" s="2" t="str">
        <f>IF(OR(""&amp;$F2974="2",""&amp;$F2974="4",""&amp;$F2974="G",""&amp;$F2974="H"),IF($AY2974="YES","",IF($AB2974&lt;&gt;0,"",IF(COUNTIFS('AR SALES'!$L$2:$L$2501,$L2974,'AR SALES'!$AD$2:$AD$2501,IF(""&amp;$F2974="4","OFF","ON"),'AR SALES'!$AF$2:$AF$2501,"Y")&gt;0,"","NO EXEMPTION"))),"")</f>
        <v/>
      </c>
    </row>
    <row r="2975" spans="46:54" x14ac:dyDescent="0.25">
      <c r="AT2975" s="2" t="str">
        <f>IF($L2975="","",IFERROR(INDEX('AR SALES'!$H$2:$H$2501,MATCH(""&amp;$L2975,'AR SALES'!$AE$2:$AE$2501,0)),""))</f>
        <v/>
      </c>
      <c r="AU2975" s="2" t="str">
        <f t="shared" si="184"/>
        <v/>
      </c>
      <c r="AV2975" s="2" t="str">
        <f t="shared" si="185"/>
        <v/>
      </c>
      <c r="AW2975" s="2" t="str">
        <f t="shared" si="186"/>
        <v/>
      </c>
      <c r="AX2975" s="2" t="str">
        <f t="shared" si="187"/>
        <v/>
      </c>
      <c r="AY2975" s="2" t="str">
        <f>IF($AV2975="","",IF(AND($Z2975=0,COUNTIF('AR SALES'!$L$2:$L$2501,$L2975)=0),"YES",""))</f>
        <v/>
      </c>
      <c r="AZ2975" s="2" t="str">
        <f>IF($AV2975="","",IF(COUNTIF(LISTS!$C$2:$C$250,$AU2975)=0,"NEW",""))</f>
        <v/>
      </c>
      <c r="BA2975" s="2" t="str">
        <f>IF(""&amp;$F2975&lt;&gt;"4","",IF($AY2975="YES","",IF(ROUND(SUMIFS($AE$2:$AE$4001,$L$2:$L$4001,$L2975,$F$2:$F$4001,"4")-SUMIFS('AR SALES'!$Y$2:$Y$2501,'AR SALES'!$L$2:$L$2501,$L2975,'AR SALES'!$AD$2:$AD$2501,"OFF"),2)=0,"","STALE")))</f>
        <v/>
      </c>
      <c r="BB2975" s="2" t="str">
        <f>IF(OR(""&amp;$F2975="2",""&amp;$F2975="4",""&amp;$F2975="G",""&amp;$F2975="H"),IF($AY2975="YES","",IF($AB2975&lt;&gt;0,"",IF(COUNTIFS('AR SALES'!$L$2:$L$2501,$L2975,'AR SALES'!$AD$2:$AD$2501,IF(""&amp;$F2975="4","OFF","ON"),'AR SALES'!$AF$2:$AF$2501,"Y")&gt;0,"","NO EXEMPTION"))),"")</f>
        <v/>
      </c>
    </row>
    <row r="2976" spans="46:54" x14ac:dyDescent="0.25">
      <c r="AT2976" s="2" t="str">
        <f>IF($L2976="","",IFERROR(INDEX('AR SALES'!$H$2:$H$2501,MATCH(""&amp;$L2976,'AR SALES'!$AE$2:$AE$2501,0)),""))</f>
        <v/>
      </c>
      <c r="AU2976" s="2" t="str">
        <f t="shared" si="184"/>
        <v/>
      </c>
      <c r="AV2976" s="2" t="str">
        <f t="shared" si="185"/>
        <v/>
      </c>
      <c r="AW2976" s="2" t="str">
        <f t="shared" si="186"/>
        <v/>
      </c>
      <c r="AX2976" s="2" t="str">
        <f t="shared" si="187"/>
        <v/>
      </c>
      <c r="AY2976" s="2" t="str">
        <f>IF($AV2976="","",IF(AND($Z2976=0,COUNTIF('AR SALES'!$L$2:$L$2501,$L2976)=0),"YES",""))</f>
        <v/>
      </c>
      <c r="AZ2976" s="2" t="str">
        <f>IF($AV2976="","",IF(COUNTIF(LISTS!$C$2:$C$250,$AU2976)=0,"NEW",""))</f>
        <v/>
      </c>
      <c r="BA2976" s="2" t="str">
        <f>IF(""&amp;$F2976&lt;&gt;"4","",IF($AY2976="YES","",IF(ROUND(SUMIFS($AE$2:$AE$4001,$L$2:$L$4001,$L2976,$F$2:$F$4001,"4")-SUMIFS('AR SALES'!$Y$2:$Y$2501,'AR SALES'!$L$2:$L$2501,$L2976,'AR SALES'!$AD$2:$AD$2501,"OFF"),2)=0,"","STALE")))</f>
        <v/>
      </c>
      <c r="BB2976" s="2" t="str">
        <f>IF(OR(""&amp;$F2976="2",""&amp;$F2976="4",""&amp;$F2976="G",""&amp;$F2976="H"),IF($AY2976="YES","",IF($AB2976&lt;&gt;0,"",IF(COUNTIFS('AR SALES'!$L$2:$L$2501,$L2976,'AR SALES'!$AD$2:$AD$2501,IF(""&amp;$F2976="4","OFF","ON"),'AR SALES'!$AF$2:$AF$2501,"Y")&gt;0,"","NO EXEMPTION"))),"")</f>
        <v/>
      </c>
    </row>
    <row r="2977" spans="46:54" x14ac:dyDescent="0.25">
      <c r="AT2977" s="2" t="str">
        <f>IF($L2977="","",IFERROR(INDEX('AR SALES'!$H$2:$H$2501,MATCH(""&amp;$L2977,'AR SALES'!$AE$2:$AE$2501,0)),""))</f>
        <v/>
      </c>
      <c r="AU2977" s="2" t="str">
        <f t="shared" si="184"/>
        <v/>
      </c>
      <c r="AV2977" s="2" t="str">
        <f t="shared" si="185"/>
        <v/>
      </c>
      <c r="AW2977" s="2" t="str">
        <f t="shared" si="186"/>
        <v/>
      </c>
      <c r="AX2977" s="2" t="str">
        <f t="shared" si="187"/>
        <v/>
      </c>
      <c r="AY2977" s="2" t="str">
        <f>IF($AV2977="","",IF(AND($Z2977=0,COUNTIF('AR SALES'!$L$2:$L$2501,$L2977)=0),"YES",""))</f>
        <v/>
      </c>
      <c r="AZ2977" s="2" t="str">
        <f>IF($AV2977="","",IF(COUNTIF(LISTS!$C$2:$C$250,$AU2977)=0,"NEW",""))</f>
        <v/>
      </c>
      <c r="BA2977" s="2" t="str">
        <f>IF(""&amp;$F2977&lt;&gt;"4","",IF($AY2977="YES","",IF(ROUND(SUMIFS($AE$2:$AE$4001,$L$2:$L$4001,$L2977,$F$2:$F$4001,"4")-SUMIFS('AR SALES'!$Y$2:$Y$2501,'AR SALES'!$L$2:$L$2501,$L2977,'AR SALES'!$AD$2:$AD$2501,"OFF"),2)=0,"","STALE")))</f>
        <v/>
      </c>
      <c r="BB2977" s="2" t="str">
        <f>IF(OR(""&amp;$F2977="2",""&amp;$F2977="4",""&amp;$F2977="G",""&amp;$F2977="H"),IF($AY2977="YES","",IF($AB2977&lt;&gt;0,"",IF(COUNTIFS('AR SALES'!$L$2:$L$2501,$L2977,'AR SALES'!$AD$2:$AD$2501,IF(""&amp;$F2977="4","OFF","ON"),'AR SALES'!$AF$2:$AF$2501,"Y")&gt;0,"","NO EXEMPTION"))),"")</f>
        <v/>
      </c>
    </row>
    <row r="2978" spans="46:54" x14ac:dyDescent="0.25">
      <c r="AT2978" s="2" t="str">
        <f>IF($L2978="","",IFERROR(INDEX('AR SALES'!$H$2:$H$2501,MATCH(""&amp;$L2978,'AR SALES'!$AE$2:$AE$2501,0)),""))</f>
        <v/>
      </c>
      <c r="AU2978" s="2" t="str">
        <f t="shared" si="184"/>
        <v/>
      </c>
      <c r="AV2978" s="2" t="str">
        <f t="shared" si="185"/>
        <v/>
      </c>
      <c r="AW2978" s="2" t="str">
        <f t="shared" si="186"/>
        <v/>
      </c>
      <c r="AX2978" s="2" t="str">
        <f t="shared" si="187"/>
        <v/>
      </c>
      <c r="AY2978" s="2" t="str">
        <f>IF($AV2978="","",IF(AND($Z2978=0,COUNTIF('AR SALES'!$L$2:$L$2501,$L2978)=0),"YES",""))</f>
        <v/>
      </c>
      <c r="AZ2978" s="2" t="str">
        <f>IF($AV2978="","",IF(COUNTIF(LISTS!$C$2:$C$250,$AU2978)=0,"NEW",""))</f>
        <v/>
      </c>
      <c r="BA2978" s="2" t="str">
        <f>IF(""&amp;$F2978&lt;&gt;"4","",IF($AY2978="YES","",IF(ROUND(SUMIFS($AE$2:$AE$4001,$L$2:$L$4001,$L2978,$F$2:$F$4001,"4")-SUMIFS('AR SALES'!$Y$2:$Y$2501,'AR SALES'!$L$2:$L$2501,$L2978,'AR SALES'!$AD$2:$AD$2501,"OFF"),2)=0,"","STALE")))</f>
        <v/>
      </c>
      <c r="BB2978" s="2" t="str">
        <f>IF(OR(""&amp;$F2978="2",""&amp;$F2978="4",""&amp;$F2978="G",""&amp;$F2978="H"),IF($AY2978="YES","",IF($AB2978&lt;&gt;0,"",IF(COUNTIFS('AR SALES'!$L$2:$L$2501,$L2978,'AR SALES'!$AD$2:$AD$2501,IF(""&amp;$F2978="4","OFF","ON"),'AR SALES'!$AF$2:$AF$2501,"Y")&gt;0,"","NO EXEMPTION"))),"")</f>
        <v/>
      </c>
    </row>
    <row r="2979" spans="46:54" x14ac:dyDescent="0.25">
      <c r="AT2979" s="2" t="str">
        <f>IF($L2979="","",IFERROR(INDEX('AR SALES'!$H$2:$H$2501,MATCH(""&amp;$L2979,'AR SALES'!$AE$2:$AE$2501,0)),""))</f>
        <v/>
      </c>
      <c r="AU2979" s="2" t="str">
        <f t="shared" si="184"/>
        <v/>
      </c>
      <c r="AV2979" s="2" t="str">
        <f t="shared" si="185"/>
        <v/>
      </c>
      <c r="AW2979" s="2" t="str">
        <f t="shared" si="186"/>
        <v/>
      </c>
      <c r="AX2979" s="2" t="str">
        <f t="shared" si="187"/>
        <v/>
      </c>
      <c r="AY2979" s="2" t="str">
        <f>IF($AV2979="","",IF(AND($Z2979=0,COUNTIF('AR SALES'!$L$2:$L$2501,$L2979)=0),"YES",""))</f>
        <v/>
      </c>
      <c r="AZ2979" s="2" t="str">
        <f>IF($AV2979="","",IF(COUNTIF(LISTS!$C$2:$C$250,$AU2979)=0,"NEW",""))</f>
        <v/>
      </c>
      <c r="BA2979" s="2" t="str">
        <f>IF(""&amp;$F2979&lt;&gt;"4","",IF($AY2979="YES","",IF(ROUND(SUMIFS($AE$2:$AE$4001,$L$2:$L$4001,$L2979,$F$2:$F$4001,"4")-SUMIFS('AR SALES'!$Y$2:$Y$2501,'AR SALES'!$L$2:$L$2501,$L2979,'AR SALES'!$AD$2:$AD$2501,"OFF"),2)=0,"","STALE")))</f>
        <v/>
      </c>
      <c r="BB2979" s="2" t="str">
        <f>IF(OR(""&amp;$F2979="2",""&amp;$F2979="4",""&amp;$F2979="G",""&amp;$F2979="H"),IF($AY2979="YES","",IF($AB2979&lt;&gt;0,"",IF(COUNTIFS('AR SALES'!$L$2:$L$2501,$L2979,'AR SALES'!$AD$2:$AD$2501,IF(""&amp;$F2979="4","OFF","ON"),'AR SALES'!$AF$2:$AF$2501,"Y")&gt;0,"","NO EXEMPTION"))),"")</f>
        <v/>
      </c>
    </row>
    <row r="2980" spans="46:54" x14ac:dyDescent="0.25">
      <c r="AT2980" s="2" t="str">
        <f>IF($L2980="","",IFERROR(INDEX('AR SALES'!$H$2:$H$2501,MATCH(""&amp;$L2980,'AR SALES'!$AE$2:$AE$2501,0)),""))</f>
        <v/>
      </c>
      <c r="AU2980" s="2" t="str">
        <f t="shared" si="184"/>
        <v/>
      </c>
      <c r="AV2980" s="2" t="str">
        <f t="shared" si="185"/>
        <v/>
      </c>
      <c r="AW2980" s="2" t="str">
        <f t="shared" si="186"/>
        <v/>
      </c>
      <c r="AX2980" s="2" t="str">
        <f t="shared" si="187"/>
        <v/>
      </c>
      <c r="AY2980" s="2" t="str">
        <f>IF($AV2980="","",IF(AND($Z2980=0,COUNTIF('AR SALES'!$L$2:$L$2501,$L2980)=0),"YES",""))</f>
        <v/>
      </c>
      <c r="AZ2980" s="2" t="str">
        <f>IF($AV2980="","",IF(COUNTIF(LISTS!$C$2:$C$250,$AU2980)=0,"NEW",""))</f>
        <v/>
      </c>
      <c r="BA2980" s="2" t="str">
        <f>IF(""&amp;$F2980&lt;&gt;"4","",IF($AY2980="YES","",IF(ROUND(SUMIFS($AE$2:$AE$4001,$L$2:$L$4001,$L2980,$F$2:$F$4001,"4")-SUMIFS('AR SALES'!$Y$2:$Y$2501,'AR SALES'!$L$2:$L$2501,$L2980,'AR SALES'!$AD$2:$AD$2501,"OFF"),2)=0,"","STALE")))</f>
        <v/>
      </c>
      <c r="BB2980" s="2" t="str">
        <f>IF(OR(""&amp;$F2980="2",""&amp;$F2980="4",""&amp;$F2980="G",""&amp;$F2980="H"),IF($AY2980="YES","",IF($AB2980&lt;&gt;0,"",IF(COUNTIFS('AR SALES'!$L$2:$L$2501,$L2980,'AR SALES'!$AD$2:$AD$2501,IF(""&amp;$F2980="4","OFF","ON"),'AR SALES'!$AF$2:$AF$2501,"Y")&gt;0,"","NO EXEMPTION"))),"")</f>
        <v/>
      </c>
    </row>
    <row r="2981" spans="46:54" x14ac:dyDescent="0.25">
      <c r="AT2981" s="2" t="str">
        <f>IF($L2981="","",IFERROR(INDEX('AR SALES'!$H$2:$H$2501,MATCH(""&amp;$L2981,'AR SALES'!$AE$2:$AE$2501,0)),""))</f>
        <v/>
      </c>
      <c r="AU2981" s="2" t="str">
        <f t="shared" si="184"/>
        <v/>
      </c>
      <c r="AV2981" s="2" t="str">
        <f t="shared" si="185"/>
        <v/>
      </c>
      <c r="AW2981" s="2" t="str">
        <f t="shared" si="186"/>
        <v/>
      </c>
      <c r="AX2981" s="2" t="str">
        <f t="shared" si="187"/>
        <v/>
      </c>
      <c r="AY2981" s="2" t="str">
        <f>IF($AV2981="","",IF(AND($Z2981=0,COUNTIF('AR SALES'!$L$2:$L$2501,$L2981)=0),"YES",""))</f>
        <v/>
      </c>
      <c r="AZ2981" s="2" t="str">
        <f>IF($AV2981="","",IF(COUNTIF(LISTS!$C$2:$C$250,$AU2981)=0,"NEW",""))</f>
        <v/>
      </c>
      <c r="BA2981" s="2" t="str">
        <f>IF(""&amp;$F2981&lt;&gt;"4","",IF($AY2981="YES","",IF(ROUND(SUMIFS($AE$2:$AE$4001,$L$2:$L$4001,$L2981,$F$2:$F$4001,"4")-SUMIFS('AR SALES'!$Y$2:$Y$2501,'AR SALES'!$L$2:$L$2501,$L2981,'AR SALES'!$AD$2:$AD$2501,"OFF"),2)=0,"","STALE")))</f>
        <v/>
      </c>
      <c r="BB2981" s="2" t="str">
        <f>IF(OR(""&amp;$F2981="2",""&amp;$F2981="4",""&amp;$F2981="G",""&amp;$F2981="H"),IF($AY2981="YES","",IF($AB2981&lt;&gt;0,"",IF(COUNTIFS('AR SALES'!$L$2:$L$2501,$L2981,'AR SALES'!$AD$2:$AD$2501,IF(""&amp;$F2981="4","OFF","ON"),'AR SALES'!$AF$2:$AF$2501,"Y")&gt;0,"","NO EXEMPTION"))),"")</f>
        <v/>
      </c>
    </row>
    <row r="2982" spans="46:54" x14ac:dyDescent="0.25">
      <c r="AT2982" s="2" t="str">
        <f>IF($L2982="","",IFERROR(INDEX('AR SALES'!$H$2:$H$2501,MATCH(""&amp;$L2982,'AR SALES'!$AE$2:$AE$2501,0)),""))</f>
        <v/>
      </c>
      <c r="AU2982" s="2" t="str">
        <f t="shared" si="184"/>
        <v/>
      </c>
      <c r="AV2982" s="2" t="str">
        <f t="shared" si="185"/>
        <v/>
      </c>
      <c r="AW2982" s="2" t="str">
        <f t="shared" si="186"/>
        <v/>
      </c>
      <c r="AX2982" s="2" t="str">
        <f t="shared" si="187"/>
        <v/>
      </c>
      <c r="AY2982" s="2" t="str">
        <f>IF($AV2982="","",IF(AND($Z2982=0,COUNTIF('AR SALES'!$L$2:$L$2501,$L2982)=0),"YES",""))</f>
        <v/>
      </c>
      <c r="AZ2982" s="2" t="str">
        <f>IF($AV2982="","",IF(COUNTIF(LISTS!$C$2:$C$250,$AU2982)=0,"NEW",""))</f>
        <v/>
      </c>
      <c r="BA2982" s="2" t="str">
        <f>IF(""&amp;$F2982&lt;&gt;"4","",IF($AY2982="YES","",IF(ROUND(SUMIFS($AE$2:$AE$4001,$L$2:$L$4001,$L2982,$F$2:$F$4001,"4")-SUMIFS('AR SALES'!$Y$2:$Y$2501,'AR SALES'!$L$2:$L$2501,$L2982,'AR SALES'!$AD$2:$AD$2501,"OFF"),2)=0,"","STALE")))</f>
        <v/>
      </c>
      <c r="BB2982" s="2" t="str">
        <f>IF(OR(""&amp;$F2982="2",""&amp;$F2982="4",""&amp;$F2982="G",""&amp;$F2982="H"),IF($AY2982="YES","",IF($AB2982&lt;&gt;0,"",IF(COUNTIFS('AR SALES'!$L$2:$L$2501,$L2982,'AR SALES'!$AD$2:$AD$2501,IF(""&amp;$F2982="4","OFF","ON"),'AR SALES'!$AF$2:$AF$2501,"Y")&gt;0,"","NO EXEMPTION"))),"")</f>
        <v/>
      </c>
    </row>
    <row r="2983" spans="46:54" x14ac:dyDescent="0.25">
      <c r="AT2983" s="2" t="str">
        <f>IF($L2983="","",IFERROR(INDEX('AR SALES'!$H$2:$H$2501,MATCH(""&amp;$L2983,'AR SALES'!$AE$2:$AE$2501,0)),""))</f>
        <v/>
      </c>
      <c r="AU2983" s="2" t="str">
        <f t="shared" si="184"/>
        <v/>
      </c>
      <c r="AV2983" s="2" t="str">
        <f t="shared" si="185"/>
        <v/>
      </c>
      <c r="AW2983" s="2" t="str">
        <f t="shared" si="186"/>
        <v/>
      </c>
      <c r="AX2983" s="2" t="str">
        <f t="shared" si="187"/>
        <v/>
      </c>
      <c r="AY2983" s="2" t="str">
        <f>IF($AV2983="","",IF(AND($Z2983=0,COUNTIF('AR SALES'!$L$2:$L$2501,$L2983)=0),"YES",""))</f>
        <v/>
      </c>
      <c r="AZ2983" s="2" t="str">
        <f>IF($AV2983="","",IF(COUNTIF(LISTS!$C$2:$C$250,$AU2983)=0,"NEW",""))</f>
        <v/>
      </c>
      <c r="BA2983" s="2" t="str">
        <f>IF(""&amp;$F2983&lt;&gt;"4","",IF($AY2983="YES","",IF(ROUND(SUMIFS($AE$2:$AE$4001,$L$2:$L$4001,$L2983,$F$2:$F$4001,"4")-SUMIFS('AR SALES'!$Y$2:$Y$2501,'AR SALES'!$L$2:$L$2501,$L2983,'AR SALES'!$AD$2:$AD$2501,"OFF"),2)=0,"","STALE")))</f>
        <v/>
      </c>
      <c r="BB2983" s="2" t="str">
        <f>IF(OR(""&amp;$F2983="2",""&amp;$F2983="4",""&amp;$F2983="G",""&amp;$F2983="H"),IF($AY2983="YES","",IF($AB2983&lt;&gt;0,"",IF(COUNTIFS('AR SALES'!$L$2:$L$2501,$L2983,'AR SALES'!$AD$2:$AD$2501,IF(""&amp;$F2983="4","OFF","ON"),'AR SALES'!$AF$2:$AF$2501,"Y")&gt;0,"","NO EXEMPTION"))),"")</f>
        <v/>
      </c>
    </row>
    <row r="2984" spans="46:54" x14ac:dyDescent="0.25">
      <c r="AT2984" s="2" t="str">
        <f>IF($L2984="","",IFERROR(INDEX('AR SALES'!$H$2:$H$2501,MATCH(""&amp;$L2984,'AR SALES'!$AE$2:$AE$2501,0)),""))</f>
        <v/>
      </c>
      <c r="AU2984" s="2" t="str">
        <f t="shared" si="184"/>
        <v/>
      </c>
      <c r="AV2984" s="2" t="str">
        <f t="shared" si="185"/>
        <v/>
      </c>
      <c r="AW2984" s="2" t="str">
        <f t="shared" si="186"/>
        <v/>
      </c>
      <c r="AX2984" s="2" t="str">
        <f t="shared" si="187"/>
        <v/>
      </c>
      <c r="AY2984" s="2" t="str">
        <f>IF($AV2984="","",IF(AND($Z2984=0,COUNTIF('AR SALES'!$L$2:$L$2501,$L2984)=0),"YES",""))</f>
        <v/>
      </c>
      <c r="AZ2984" s="2" t="str">
        <f>IF($AV2984="","",IF(COUNTIF(LISTS!$C$2:$C$250,$AU2984)=0,"NEW",""))</f>
        <v/>
      </c>
      <c r="BA2984" s="2" t="str">
        <f>IF(""&amp;$F2984&lt;&gt;"4","",IF($AY2984="YES","",IF(ROUND(SUMIFS($AE$2:$AE$4001,$L$2:$L$4001,$L2984,$F$2:$F$4001,"4")-SUMIFS('AR SALES'!$Y$2:$Y$2501,'AR SALES'!$L$2:$L$2501,$L2984,'AR SALES'!$AD$2:$AD$2501,"OFF"),2)=0,"","STALE")))</f>
        <v/>
      </c>
      <c r="BB2984" s="2" t="str">
        <f>IF(OR(""&amp;$F2984="2",""&amp;$F2984="4",""&amp;$F2984="G",""&amp;$F2984="H"),IF($AY2984="YES","",IF($AB2984&lt;&gt;0,"",IF(COUNTIFS('AR SALES'!$L$2:$L$2501,$L2984,'AR SALES'!$AD$2:$AD$2501,IF(""&amp;$F2984="4","OFF","ON"),'AR SALES'!$AF$2:$AF$2501,"Y")&gt;0,"","NO EXEMPTION"))),"")</f>
        <v/>
      </c>
    </row>
    <row r="2985" spans="46:54" x14ac:dyDescent="0.25">
      <c r="AT2985" s="2" t="str">
        <f>IF($L2985="","",IFERROR(INDEX('AR SALES'!$H$2:$H$2501,MATCH(""&amp;$L2985,'AR SALES'!$AE$2:$AE$2501,0)),""))</f>
        <v/>
      </c>
      <c r="AU2985" s="2" t="str">
        <f t="shared" si="184"/>
        <v/>
      </c>
      <c r="AV2985" s="2" t="str">
        <f t="shared" si="185"/>
        <v/>
      </c>
      <c r="AW2985" s="2" t="str">
        <f t="shared" si="186"/>
        <v/>
      </c>
      <c r="AX2985" s="2" t="str">
        <f t="shared" si="187"/>
        <v/>
      </c>
      <c r="AY2985" s="2" t="str">
        <f>IF($AV2985="","",IF(AND($Z2985=0,COUNTIF('AR SALES'!$L$2:$L$2501,$L2985)=0),"YES",""))</f>
        <v/>
      </c>
      <c r="AZ2985" s="2" t="str">
        <f>IF($AV2985="","",IF(COUNTIF(LISTS!$C$2:$C$250,$AU2985)=0,"NEW",""))</f>
        <v/>
      </c>
      <c r="BA2985" s="2" t="str">
        <f>IF(""&amp;$F2985&lt;&gt;"4","",IF($AY2985="YES","",IF(ROUND(SUMIFS($AE$2:$AE$4001,$L$2:$L$4001,$L2985,$F$2:$F$4001,"4")-SUMIFS('AR SALES'!$Y$2:$Y$2501,'AR SALES'!$L$2:$L$2501,$L2985,'AR SALES'!$AD$2:$AD$2501,"OFF"),2)=0,"","STALE")))</f>
        <v/>
      </c>
      <c r="BB2985" s="2" t="str">
        <f>IF(OR(""&amp;$F2985="2",""&amp;$F2985="4",""&amp;$F2985="G",""&amp;$F2985="H"),IF($AY2985="YES","",IF($AB2985&lt;&gt;0,"",IF(COUNTIFS('AR SALES'!$L$2:$L$2501,$L2985,'AR SALES'!$AD$2:$AD$2501,IF(""&amp;$F2985="4","OFF","ON"),'AR SALES'!$AF$2:$AF$2501,"Y")&gt;0,"","NO EXEMPTION"))),"")</f>
        <v/>
      </c>
    </row>
    <row r="2986" spans="46:54" x14ac:dyDescent="0.25">
      <c r="AT2986" s="2" t="str">
        <f>IF($L2986="","",IFERROR(INDEX('AR SALES'!$H$2:$H$2501,MATCH(""&amp;$L2986,'AR SALES'!$AE$2:$AE$2501,0)),""))</f>
        <v/>
      </c>
      <c r="AU2986" s="2" t="str">
        <f t="shared" si="184"/>
        <v/>
      </c>
      <c r="AV2986" s="2" t="str">
        <f t="shared" si="185"/>
        <v/>
      </c>
      <c r="AW2986" s="2" t="str">
        <f t="shared" si="186"/>
        <v/>
      </c>
      <c r="AX2986" s="2" t="str">
        <f t="shared" si="187"/>
        <v/>
      </c>
      <c r="AY2986" s="2" t="str">
        <f>IF($AV2986="","",IF(AND($Z2986=0,COUNTIF('AR SALES'!$L$2:$L$2501,$L2986)=0),"YES",""))</f>
        <v/>
      </c>
      <c r="AZ2986" s="2" t="str">
        <f>IF($AV2986="","",IF(COUNTIF(LISTS!$C$2:$C$250,$AU2986)=0,"NEW",""))</f>
        <v/>
      </c>
      <c r="BA2986" s="2" t="str">
        <f>IF(""&amp;$F2986&lt;&gt;"4","",IF($AY2986="YES","",IF(ROUND(SUMIFS($AE$2:$AE$4001,$L$2:$L$4001,$L2986,$F$2:$F$4001,"4")-SUMIFS('AR SALES'!$Y$2:$Y$2501,'AR SALES'!$L$2:$L$2501,$L2986,'AR SALES'!$AD$2:$AD$2501,"OFF"),2)=0,"","STALE")))</f>
        <v/>
      </c>
      <c r="BB2986" s="2" t="str">
        <f>IF(OR(""&amp;$F2986="2",""&amp;$F2986="4",""&amp;$F2986="G",""&amp;$F2986="H"),IF($AY2986="YES","",IF($AB2986&lt;&gt;0,"",IF(COUNTIFS('AR SALES'!$L$2:$L$2501,$L2986,'AR SALES'!$AD$2:$AD$2501,IF(""&amp;$F2986="4","OFF","ON"),'AR SALES'!$AF$2:$AF$2501,"Y")&gt;0,"","NO EXEMPTION"))),"")</f>
        <v/>
      </c>
    </row>
    <row r="2987" spans="46:54" x14ac:dyDescent="0.25">
      <c r="AT2987" s="2" t="str">
        <f>IF($L2987="","",IFERROR(INDEX('AR SALES'!$H$2:$H$2501,MATCH(""&amp;$L2987,'AR SALES'!$AE$2:$AE$2501,0)),""))</f>
        <v/>
      </c>
      <c r="AU2987" s="2" t="str">
        <f t="shared" si="184"/>
        <v/>
      </c>
      <c r="AV2987" s="2" t="str">
        <f t="shared" si="185"/>
        <v/>
      </c>
      <c r="AW2987" s="2" t="str">
        <f t="shared" si="186"/>
        <v/>
      </c>
      <c r="AX2987" s="2" t="str">
        <f t="shared" si="187"/>
        <v/>
      </c>
      <c r="AY2987" s="2" t="str">
        <f>IF($AV2987="","",IF(AND($Z2987=0,COUNTIF('AR SALES'!$L$2:$L$2501,$L2987)=0),"YES",""))</f>
        <v/>
      </c>
      <c r="AZ2987" s="2" t="str">
        <f>IF($AV2987="","",IF(COUNTIF(LISTS!$C$2:$C$250,$AU2987)=0,"NEW",""))</f>
        <v/>
      </c>
      <c r="BA2987" s="2" t="str">
        <f>IF(""&amp;$F2987&lt;&gt;"4","",IF($AY2987="YES","",IF(ROUND(SUMIFS($AE$2:$AE$4001,$L$2:$L$4001,$L2987,$F$2:$F$4001,"4")-SUMIFS('AR SALES'!$Y$2:$Y$2501,'AR SALES'!$L$2:$L$2501,$L2987,'AR SALES'!$AD$2:$AD$2501,"OFF"),2)=0,"","STALE")))</f>
        <v/>
      </c>
      <c r="BB2987" s="2" t="str">
        <f>IF(OR(""&amp;$F2987="2",""&amp;$F2987="4",""&amp;$F2987="G",""&amp;$F2987="H"),IF($AY2987="YES","",IF($AB2987&lt;&gt;0,"",IF(COUNTIFS('AR SALES'!$L$2:$L$2501,$L2987,'AR SALES'!$AD$2:$AD$2501,IF(""&amp;$F2987="4","OFF","ON"),'AR SALES'!$AF$2:$AF$2501,"Y")&gt;0,"","NO EXEMPTION"))),"")</f>
        <v/>
      </c>
    </row>
    <row r="2988" spans="46:54" x14ac:dyDescent="0.25">
      <c r="AT2988" s="2" t="str">
        <f>IF($L2988="","",IFERROR(INDEX('AR SALES'!$H$2:$H$2501,MATCH(""&amp;$L2988,'AR SALES'!$AE$2:$AE$2501,0)),""))</f>
        <v/>
      </c>
      <c r="AU2988" s="2" t="str">
        <f t="shared" si="184"/>
        <v/>
      </c>
      <c r="AV2988" s="2" t="str">
        <f t="shared" si="185"/>
        <v/>
      </c>
      <c r="AW2988" s="2" t="str">
        <f t="shared" si="186"/>
        <v/>
      </c>
      <c r="AX2988" s="2" t="str">
        <f t="shared" si="187"/>
        <v/>
      </c>
      <c r="AY2988" s="2" t="str">
        <f>IF($AV2988="","",IF(AND($Z2988=0,COUNTIF('AR SALES'!$L$2:$L$2501,$L2988)=0),"YES",""))</f>
        <v/>
      </c>
      <c r="AZ2988" s="2" t="str">
        <f>IF($AV2988="","",IF(COUNTIF(LISTS!$C$2:$C$250,$AU2988)=0,"NEW",""))</f>
        <v/>
      </c>
      <c r="BA2988" s="2" t="str">
        <f>IF(""&amp;$F2988&lt;&gt;"4","",IF($AY2988="YES","",IF(ROUND(SUMIFS($AE$2:$AE$4001,$L$2:$L$4001,$L2988,$F$2:$F$4001,"4")-SUMIFS('AR SALES'!$Y$2:$Y$2501,'AR SALES'!$L$2:$L$2501,$L2988,'AR SALES'!$AD$2:$AD$2501,"OFF"),2)=0,"","STALE")))</f>
        <v/>
      </c>
      <c r="BB2988" s="2" t="str">
        <f>IF(OR(""&amp;$F2988="2",""&amp;$F2988="4",""&amp;$F2988="G",""&amp;$F2988="H"),IF($AY2988="YES","",IF($AB2988&lt;&gt;0,"",IF(COUNTIFS('AR SALES'!$L$2:$L$2501,$L2988,'AR SALES'!$AD$2:$AD$2501,IF(""&amp;$F2988="4","OFF","ON"),'AR SALES'!$AF$2:$AF$2501,"Y")&gt;0,"","NO EXEMPTION"))),"")</f>
        <v/>
      </c>
    </row>
    <row r="2989" spans="46:54" x14ac:dyDescent="0.25">
      <c r="AT2989" s="2" t="str">
        <f>IF($L2989="","",IFERROR(INDEX('AR SALES'!$H$2:$H$2501,MATCH(""&amp;$L2989,'AR SALES'!$AE$2:$AE$2501,0)),""))</f>
        <v/>
      </c>
      <c r="AU2989" s="2" t="str">
        <f t="shared" si="184"/>
        <v/>
      </c>
      <c r="AV2989" s="2" t="str">
        <f t="shared" si="185"/>
        <v/>
      </c>
      <c r="AW2989" s="2" t="str">
        <f t="shared" si="186"/>
        <v/>
      </c>
      <c r="AX2989" s="2" t="str">
        <f t="shared" si="187"/>
        <v/>
      </c>
      <c r="AY2989" s="2" t="str">
        <f>IF($AV2989="","",IF(AND($Z2989=0,COUNTIF('AR SALES'!$L$2:$L$2501,$L2989)=0),"YES",""))</f>
        <v/>
      </c>
      <c r="AZ2989" s="2" t="str">
        <f>IF($AV2989="","",IF(COUNTIF(LISTS!$C$2:$C$250,$AU2989)=0,"NEW",""))</f>
        <v/>
      </c>
      <c r="BA2989" s="2" t="str">
        <f>IF(""&amp;$F2989&lt;&gt;"4","",IF($AY2989="YES","",IF(ROUND(SUMIFS($AE$2:$AE$4001,$L$2:$L$4001,$L2989,$F$2:$F$4001,"4")-SUMIFS('AR SALES'!$Y$2:$Y$2501,'AR SALES'!$L$2:$L$2501,$L2989,'AR SALES'!$AD$2:$AD$2501,"OFF"),2)=0,"","STALE")))</f>
        <v/>
      </c>
      <c r="BB2989" s="2" t="str">
        <f>IF(OR(""&amp;$F2989="2",""&amp;$F2989="4",""&amp;$F2989="G",""&amp;$F2989="H"),IF($AY2989="YES","",IF($AB2989&lt;&gt;0,"",IF(COUNTIFS('AR SALES'!$L$2:$L$2501,$L2989,'AR SALES'!$AD$2:$AD$2501,IF(""&amp;$F2989="4","OFF","ON"),'AR SALES'!$AF$2:$AF$2501,"Y")&gt;0,"","NO EXEMPTION"))),"")</f>
        <v/>
      </c>
    </row>
    <row r="2990" spans="46:54" x14ac:dyDescent="0.25">
      <c r="AT2990" s="2" t="str">
        <f>IF($L2990="","",IFERROR(INDEX('AR SALES'!$H$2:$H$2501,MATCH(""&amp;$L2990,'AR SALES'!$AE$2:$AE$2501,0)),""))</f>
        <v/>
      </c>
      <c r="AU2990" s="2" t="str">
        <f t="shared" si="184"/>
        <v/>
      </c>
      <c r="AV2990" s="2" t="str">
        <f t="shared" si="185"/>
        <v/>
      </c>
      <c r="AW2990" s="2" t="str">
        <f t="shared" si="186"/>
        <v/>
      </c>
      <c r="AX2990" s="2" t="str">
        <f t="shared" si="187"/>
        <v/>
      </c>
      <c r="AY2990" s="2" t="str">
        <f>IF($AV2990="","",IF(AND($Z2990=0,COUNTIF('AR SALES'!$L$2:$L$2501,$L2990)=0),"YES",""))</f>
        <v/>
      </c>
      <c r="AZ2990" s="2" t="str">
        <f>IF($AV2990="","",IF(COUNTIF(LISTS!$C$2:$C$250,$AU2990)=0,"NEW",""))</f>
        <v/>
      </c>
      <c r="BA2990" s="2" t="str">
        <f>IF(""&amp;$F2990&lt;&gt;"4","",IF($AY2990="YES","",IF(ROUND(SUMIFS($AE$2:$AE$4001,$L$2:$L$4001,$L2990,$F$2:$F$4001,"4")-SUMIFS('AR SALES'!$Y$2:$Y$2501,'AR SALES'!$L$2:$L$2501,$L2990,'AR SALES'!$AD$2:$AD$2501,"OFF"),2)=0,"","STALE")))</f>
        <v/>
      </c>
      <c r="BB2990" s="2" t="str">
        <f>IF(OR(""&amp;$F2990="2",""&amp;$F2990="4",""&amp;$F2990="G",""&amp;$F2990="H"),IF($AY2990="YES","",IF($AB2990&lt;&gt;0,"",IF(COUNTIFS('AR SALES'!$L$2:$L$2501,$L2990,'AR SALES'!$AD$2:$AD$2501,IF(""&amp;$F2990="4","OFF","ON"),'AR SALES'!$AF$2:$AF$2501,"Y")&gt;0,"","NO EXEMPTION"))),"")</f>
        <v/>
      </c>
    </row>
    <row r="2991" spans="46:54" x14ac:dyDescent="0.25">
      <c r="AT2991" s="2" t="str">
        <f>IF($L2991="","",IFERROR(INDEX('AR SALES'!$H$2:$H$2501,MATCH(""&amp;$L2991,'AR SALES'!$AE$2:$AE$2501,0)),""))</f>
        <v/>
      </c>
      <c r="AU2991" s="2" t="str">
        <f t="shared" si="184"/>
        <v/>
      </c>
      <c r="AV2991" s="2" t="str">
        <f t="shared" si="185"/>
        <v/>
      </c>
      <c r="AW2991" s="2" t="str">
        <f t="shared" si="186"/>
        <v/>
      </c>
      <c r="AX2991" s="2" t="str">
        <f t="shared" si="187"/>
        <v/>
      </c>
      <c r="AY2991" s="2" t="str">
        <f>IF($AV2991="","",IF(AND($Z2991=0,COUNTIF('AR SALES'!$L$2:$L$2501,$L2991)=0),"YES",""))</f>
        <v/>
      </c>
      <c r="AZ2991" s="2" t="str">
        <f>IF($AV2991="","",IF(COUNTIF(LISTS!$C$2:$C$250,$AU2991)=0,"NEW",""))</f>
        <v/>
      </c>
      <c r="BA2991" s="2" t="str">
        <f>IF(""&amp;$F2991&lt;&gt;"4","",IF($AY2991="YES","",IF(ROUND(SUMIFS($AE$2:$AE$4001,$L$2:$L$4001,$L2991,$F$2:$F$4001,"4")-SUMIFS('AR SALES'!$Y$2:$Y$2501,'AR SALES'!$L$2:$L$2501,$L2991,'AR SALES'!$AD$2:$AD$2501,"OFF"),2)=0,"","STALE")))</f>
        <v/>
      </c>
      <c r="BB2991" s="2" t="str">
        <f>IF(OR(""&amp;$F2991="2",""&amp;$F2991="4",""&amp;$F2991="G",""&amp;$F2991="H"),IF($AY2991="YES","",IF($AB2991&lt;&gt;0,"",IF(COUNTIFS('AR SALES'!$L$2:$L$2501,$L2991,'AR SALES'!$AD$2:$AD$2501,IF(""&amp;$F2991="4","OFF","ON"),'AR SALES'!$AF$2:$AF$2501,"Y")&gt;0,"","NO EXEMPTION"))),"")</f>
        <v/>
      </c>
    </row>
    <row r="2992" spans="46:54" x14ac:dyDescent="0.25">
      <c r="AT2992" s="2" t="str">
        <f>IF($L2992="","",IFERROR(INDEX('AR SALES'!$H$2:$H$2501,MATCH(""&amp;$L2992,'AR SALES'!$AE$2:$AE$2501,0)),""))</f>
        <v/>
      </c>
      <c r="AU2992" s="2" t="str">
        <f t="shared" si="184"/>
        <v/>
      </c>
      <c r="AV2992" s="2" t="str">
        <f t="shared" si="185"/>
        <v/>
      </c>
      <c r="AW2992" s="2" t="str">
        <f t="shared" si="186"/>
        <v/>
      </c>
      <c r="AX2992" s="2" t="str">
        <f t="shared" si="187"/>
        <v/>
      </c>
      <c r="AY2992" s="2" t="str">
        <f>IF($AV2992="","",IF(AND($Z2992=0,COUNTIF('AR SALES'!$L$2:$L$2501,$L2992)=0),"YES",""))</f>
        <v/>
      </c>
      <c r="AZ2992" s="2" t="str">
        <f>IF($AV2992="","",IF(COUNTIF(LISTS!$C$2:$C$250,$AU2992)=0,"NEW",""))</f>
        <v/>
      </c>
      <c r="BA2992" s="2" t="str">
        <f>IF(""&amp;$F2992&lt;&gt;"4","",IF($AY2992="YES","",IF(ROUND(SUMIFS($AE$2:$AE$4001,$L$2:$L$4001,$L2992,$F$2:$F$4001,"4")-SUMIFS('AR SALES'!$Y$2:$Y$2501,'AR SALES'!$L$2:$L$2501,$L2992,'AR SALES'!$AD$2:$AD$2501,"OFF"),2)=0,"","STALE")))</f>
        <v/>
      </c>
      <c r="BB2992" s="2" t="str">
        <f>IF(OR(""&amp;$F2992="2",""&amp;$F2992="4",""&amp;$F2992="G",""&amp;$F2992="H"),IF($AY2992="YES","",IF($AB2992&lt;&gt;0,"",IF(COUNTIFS('AR SALES'!$L$2:$L$2501,$L2992,'AR SALES'!$AD$2:$AD$2501,IF(""&amp;$F2992="4","OFF","ON"),'AR SALES'!$AF$2:$AF$2501,"Y")&gt;0,"","NO EXEMPTION"))),"")</f>
        <v/>
      </c>
    </row>
    <row r="2993" spans="46:54" x14ac:dyDescent="0.25">
      <c r="AT2993" s="2" t="str">
        <f>IF($L2993="","",IFERROR(INDEX('AR SALES'!$H$2:$H$2501,MATCH(""&amp;$L2993,'AR SALES'!$AE$2:$AE$2501,0)),""))</f>
        <v/>
      </c>
      <c r="AU2993" s="2" t="str">
        <f t="shared" si="184"/>
        <v/>
      </c>
      <c r="AV2993" s="2" t="str">
        <f t="shared" si="185"/>
        <v/>
      </c>
      <c r="AW2993" s="2" t="str">
        <f t="shared" si="186"/>
        <v/>
      </c>
      <c r="AX2993" s="2" t="str">
        <f t="shared" si="187"/>
        <v/>
      </c>
      <c r="AY2993" s="2" t="str">
        <f>IF($AV2993="","",IF(AND($Z2993=0,COUNTIF('AR SALES'!$L$2:$L$2501,$L2993)=0),"YES",""))</f>
        <v/>
      </c>
      <c r="AZ2993" s="2" t="str">
        <f>IF($AV2993="","",IF(COUNTIF(LISTS!$C$2:$C$250,$AU2993)=0,"NEW",""))</f>
        <v/>
      </c>
      <c r="BA2993" s="2" t="str">
        <f>IF(""&amp;$F2993&lt;&gt;"4","",IF($AY2993="YES","",IF(ROUND(SUMIFS($AE$2:$AE$4001,$L$2:$L$4001,$L2993,$F$2:$F$4001,"4")-SUMIFS('AR SALES'!$Y$2:$Y$2501,'AR SALES'!$L$2:$L$2501,$L2993,'AR SALES'!$AD$2:$AD$2501,"OFF"),2)=0,"","STALE")))</f>
        <v/>
      </c>
      <c r="BB2993" s="2" t="str">
        <f>IF(OR(""&amp;$F2993="2",""&amp;$F2993="4",""&amp;$F2993="G",""&amp;$F2993="H"),IF($AY2993="YES","",IF($AB2993&lt;&gt;0,"",IF(COUNTIFS('AR SALES'!$L$2:$L$2501,$L2993,'AR SALES'!$AD$2:$AD$2501,IF(""&amp;$F2993="4","OFF","ON"),'AR SALES'!$AF$2:$AF$2501,"Y")&gt;0,"","NO EXEMPTION"))),"")</f>
        <v/>
      </c>
    </row>
    <row r="2994" spans="46:54" x14ac:dyDescent="0.25">
      <c r="AT2994" s="2" t="str">
        <f>IF($L2994="","",IFERROR(INDEX('AR SALES'!$H$2:$H$2501,MATCH(""&amp;$L2994,'AR SALES'!$AE$2:$AE$2501,0)),""))</f>
        <v/>
      </c>
      <c r="AU2994" s="2" t="str">
        <f t="shared" si="184"/>
        <v/>
      </c>
      <c r="AV2994" s="2" t="str">
        <f t="shared" si="185"/>
        <v/>
      </c>
      <c r="AW2994" s="2" t="str">
        <f t="shared" si="186"/>
        <v/>
      </c>
      <c r="AX2994" s="2" t="str">
        <f t="shared" si="187"/>
        <v/>
      </c>
      <c r="AY2994" s="2" t="str">
        <f>IF($AV2994="","",IF(AND($Z2994=0,COUNTIF('AR SALES'!$L$2:$L$2501,$L2994)=0),"YES",""))</f>
        <v/>
      </c>
      <c r="AZ2994" s="2" t="str">
        <f>IF($AV2994="","",IF(COUNTIF(LISTS!$C$2:$C$250,$AU2994)=0,"NEW",""))</f>
        <v/>
      </c>
      <c r="BA2994" s="2" t="str">
        <f>IF(""&amp;$F2994&lt;&gt;"4","",IF($AY2994="YES","",IF(ROUND(SUMIFS($AE$2:$AE$4001,$L$2:$L$4001,$L2994,$F$2:$F$4001,"4")-SUMIFS('AR SALES'!$Y$2:$Y$2501,'AR SALES'!$L$2:$L$2501,$L2994,'AR SALES'!$AD$2:$AD$2501,"OFF"),2)=0,"","STALE")))</f>
        <v/>
      </c>
      <c r="BB2994" s="2" t="str">
        <f>IF(OR(""&amp;$F2994="2",""&amp;$F2994="4",""&amp;$F2994="G",""&amp;$F2994="H"),IF($AY2994="YES","",IF($AB2994&lt;&gt;0,"",IF(COUNTIFS('AR SALES'!$L$2:$L$2501,$L2994,'AR SALES'!$AD$2:$AD$2501,IF(""&amp;$F2994="4","OFF","ON"),'AR SALES'!$AF$2:$AF$2501,"Y")&gt;0,"","NO EXEMPTION"))),"")</f>
        <v/>
      </c>
    </row>
    <row r="2995" spans="46:54" x14ac:dyDescent="0.25">
      <c r="AT2995" s="2" t="str">
        <f>IF($L2995="","",IFERROR(INDEX('AR SALES'!$H$2:$H$2501,MATCH(""&amp;$L2995,'AR SALES'!$AE$2:$AE$2501,0)),""))</f>
        <v/>
      </c>
      <c r="AU2995" s="2" t="str">
        <f t="shared" si="184"/>
        <v/>
      </c>
      <c r="AV2995" s="2" t="str">
        <f t="shared" si="185"/>
        <v/>
      </c>
      <c r="AW2995" s="2" t="str">
        <f t="shared" si="186"/>
        <v/>
      </c>
      <c r="AX2995" s="2" t="str">
        <f t="shared" si="187"/>
        <v/>
      </c>
      <c r="AY2995" s="2" t="str">
        <f>IF($AV2995="","",IF(AND($Z2995=0,COUNTIF('AR SALES'!$L$2:$L$2501,$L2995)=0),"YES",""))</f>
        <v/>
      </c>
      <c r="AZ2995" s="2" t="str">
        <f>IF($AV2995="","",IF(COUNTIF(LISTS!$C$2:$C$250,$AU2995)=0,"NEW",""))</f>
        <v/>
      </c>
      <c r="BA2995" s="2" t="str">
        <f>IF(""&amp;$F2995&lt;&gt;"4","",IF($AY2995="YES","",IF(ROUND(SUMIFS($AE$2:$AE$4001,$L$2:$L$4001,$L2995,$F$2:$F$4001,"4")-SUMIFS('AR SALES'!$Y$2:$Y$2501,'AR SALES'!$L$2:$L$2501,$L2995,'AR SALES'!$AD$2:$AD$2501,"OFF"),2)=0,"","STALE")))</f>
        <v/>
      </c>
      <c r="BB2995" s="2" t="str">
        <f>IF(OR(""&amp;$F2995="2",""&amp;$F2995="4",""&amp;$F2995="G",""&amp;$F2995="H"),IF($AY2995="YES","",IF($AB2995&lt;&gt;0,"",IF(COUNTIFS('AR SALES'!$L$2:$L$2501,$L2995,'AR SALES'!$AD$2:$AD$2501,IF(""&amp;$F2995="4","OFF","ON"),'AR SALES'!$AF$2:$AF$2501,"Y")&gt;0,"","NO EXEMPTION"))),"")</f>
        <v/>
      </c>
    </row>
    <row r="2996" spans="46:54" x14ac:dyDescent="0.25">
      <c r="AT2996" s="2" t="str">
        <f>IF($L2996="","",IFERROR(INDEX('AR SALES'!$H$2:$H$2501,MATCH(""&amp;$L2996,'AR SALES'!$AE$2:$AE$2501,0)),""))</f>
        <v/>
      </c>
      <c r="AU2996" s="2" t="str">
        <f t="shared" si="184"/>
        <v/>
      </c>
      <c r="AV2996" s="2" t="str">
        <f t="shared" si="185"/>
        <v/>
      </c>
      <c r="AW2996" s="2" t="str">
        <f t="shared" si="186"/>
        <v/>
      </c>
      <c r="AX2996" s="2" t="str">
        <f t="shared" si="187"/>
        <v/>
      </c>
      <c r="AY2996" s="2" t="str">
        <f>IF($AV2996="","",IF(AND($Z2996=0,COUNTIF('AR SALES'!$L$2:$L$2501,$L2996)=0),"YES",""))</f>
        <v/>
      </c>
      <c r="AZ2996" s="2" t="str">
        <f>IF($AV2996="","",IF(COUNTIF(LISTS!$C$2:$C$250,$AU2996)=0,"NEW",""))</f>
        <v/>
      </c>
      <c r="BA2996" s="2" t="str">
        <f>IF(""&amp;$F2996&lt;&gt;"4","",IF($AY2996="YES","",IF(ROUND(SUMIFS($AE$2:$AE$4001,$L$2:$L$4001,$L2996,$F$2:$F$4001,"4")-SUMIFS('AR SALES'!$Y$2:$Y$2501,'AR SALES'!$L$2:$L$2501,$L2996,'AR SALES'!$AD$2:$AD$2501,"OFF"),2)=0,"","STALE")))</f>
        <v/>
      </c>
      <c r="BB2996" s="2" t="str">
        <f>IF(OR(""&amp;$F2996="2",""&amp;$F2996="4",""&amp;$F2996="G",""&amp;$F2996="H"),IF($AY2996="YES","",IF($AB2996&lt;&gt;0,"",IF(COUNTIFS('AR SALES'!$L$2:$L$2501,$L2996,'AR SALES'!$AD$2:$AD$2501,IF(""&amp;$F2996="4","OFF","ON"),'AR SALES'!$AF$2:$AF$2501,"Y")&gt;0,"","NO EXEMPTION"))),"")</f>
        <v/>
      </c>
    </row>
    <row r="2997" spans="46:54" x14ac:dyDescent="0.25">
      <c r="AT2997" s="2" t="str">
        <f>IF($L2997="","",IFERROR(INDEX('AR SALES'!$H$2:$H$2501,MATCH(""&amp;$L2997,'AR SALES'!$AE$2:$AE$2501,0)),""))</f>
        <v/>
      </c>
      <c r="AU2997" s="2" t="str">
        <f t="shared" si="184"/>
        <v/>
      </c>
      <c r="AV2997" s="2" t="str">
        <f t="shared" si="185"/>
        <v/>
      </c>
      <c r="AW2997" s="2" t="str">
        <f t="shared" si="186"/>
        <v/>
      </c>
      <c r="AX2997" s="2" t="str">
        <f t="shared" si="187"/>
        <v/>
      </c>
      <c r="AY2997" s="2" t="str">
        <f>IF($AV2997="","",IF(AND($Z2997=0,COUNTIF('AR SALES'!$L$2:$L$2501,$L2997)=0),"YES",""))</f>
        <v/>
      </c>
      <c r="AZ2997" s="2" t="str">
        <f>IF($AV2997="","",IF(COUNTIF(LISTS!$C$2:$C$250,$AU2997)=0,"NEW",""))</f>
        <v/>
      </c>
      <c r="BA2997" s="2" t="str">
        <f>IF(""&amp;$F2997&lt;&gt;"4","",IF($AY2997="YES","",IF(ROUND(SUMIFS($AE$2:$AE$4001,$L$2:$L$4001,$L2997,$F$2:$F$4001,"4")-SUMIFS('AR SALES'!$Y$2:$Y$2501,'AR SALES'!$L$2:$L$2501,$L2997,'AR SALES'!$AD$2:$AD$2501,"OFF"),2)=0,"","STALE")))</f>
        <v/>
      </c>
      <c r="BB2997" s="2" t="str">
        <f>IF(OR(""&amp;$F2997="2",""&amp;$F2997="4",""&amp;$F2997="G",""&amp;$F2997="H"),IF($AY2997="YES","",IF($AB2997&lt;&gt;0,"",IF(COUNTIFS('AR SALES'!$L$2:$L$2501,$L2997,'AR SALES'!$AD$2:$AD$2501,IF(""&amp;$F2997="4","OFF","ON"),'AR SALES'!$AF$2:$AF$2501,"Y")&gt;0,"","NO EXEMPTION"))),"")</f>
        <v/>
      </c>
    </row>
    <row r="2998" spans="46:54" x14ac:dyDescent="0.25">
      <c r="AT2998" s="2" t="str">
        <f>IF($L2998="","",IFERROR(INDEX('AR SALES'!$H$2:$H$2501,MATCH(""&amp;$L2998,'AR SALES'!$AE$2:$AE$2501,0)),""))</f>
        <v/>
      </c>
      <c r="AU2998" s="2" t="str">
        <f t="shared" si="184"/>
        <v/>
      </c>
      <c r="AV2998" s="2" t="str">
        <f t="shared" si="185"/>
        <v/>
      </c>
      <c r="AW2998" s="2" t="str">
        <f t="shared" si="186"/>
        <v/>
      </c>
      <c r="AX2998" s="2" t="str">
        <f t="shared" si="187"/>
        <v/>
      </c>
      <c r="AY2998" s="2" t="str">
        <f>IF($AV2998="","",IF(AND($Z2998=0,COUNTIF('AR SALES'!$L$2:$L$2501,$L2998)=0),"YES",""))</f>
        <v/>
      </c>
      <c r="AZ2998" s="2" t="str">
        <f>IF($AV2998="","",IF(COUNTIF(LISTS!$C$2:$C$250,$AU2998)=0,"NEW",""))</f>
        <v/>
      </c>
      <c r="BA2998" s="2" t="str">
        <f>IF(""&amp;$F2998&lt;&gt;"4","",IF($AY2998="YES","",IF(ROUND(SUMIFS($AE$2:$AE$4001,$L$2:$L$4001,$L2998,$F$2:$F$4001,"4")-SUMIFS('AR SALES'!$Y$2:$Y$2501,'AR SALES'!$L$2:$L$2501,$L2998,'AR SALES'!$AD$2:$AD$2501,"OFF"),2)=0,"","STALE")))</f>
        <v/>
      </c>
      <c r="BB2998" s="2" t="str">
        <f>IF(OR(""&amp;$F2998="2",""&amp;$F2998="4",""&amp;$F2998="G",""&amp;$F2998="H"),IF($AY2998="YES","",IF($AB2998&lt;&gt;0,"",IF(COUNTIFS('AR SALES'!$L$2:$L$2501,$L2998,'AR SALES'!$AD$2:$AD$2501,IF(""&amp;$F2998="4","OFF","ON"),'AR SALES'!$AF$2:$AF$2501,"Y")&gt;0,"","NO EXEMPTION"))),"")</f>
        <v/>
      </c>
    </row>
    <row r="2999" spans="46:54" x14ac:dyDescent="0.25">
      <c r="AT2999" s="2" t="str">
        <f>IF($L2999="","",IFERROR(INDEX('AR SALES'!$H$2:$H$2501,MATCH(""&amp;$L2999,'AR SALES'!$AE$2:$AE$2501,0)),""))</f>
        <v/>
      </c>
      <c r="AU2999" s="2" t="str">
        <f t="shared" si="184"/>
        <v/>
      </c>
      <c r="AV2999" s="2" t="str">
        <f t="shared" si="185"/>
        <v/>
      </c>
      <c r="AW2999" s="2" t="str">
        <f t="shared" si="186"/>
        <v/>
      </c>
      <c r="AX2999" s="2" t="str">
        <f t="shared" si="187"/>
        <v/>
      </c>
      <c r="AY2999" s="2" t="str">
        <f>IF($AV2999="","",IF(AND($Z2999=0,COUNTIF('AR SALES'!$L$2:$L$2501,$L2999)=0),"YES",""))</f>
        <v/>
      </c>
      <c r="AZ2999" s="2" t="str">
        <f>IF($AV2999="","",IF(COUNTIF(LISTS!$C$2:$C$250,$AU2999)=0,"NEW",""))</f>
        <v/>
      </c>
      <c r="BA2999" s="2" t="str">
        <f>IF(""&amp;$F2999&lt;&gt;"4","",IF($AY2999="YES","",IF(ROUND(SUMIFS($AE$2:$AE$4001,$L$2:$L$4001,$L2999,$F$2:$F$4001,"4")-SUMIFS('AR SALES'!$Y$2:$Y$2501,'AR SALES'!$L$2:$L$2501,$L2999,'AR SALES'!$AD$2:$AD$2501,"OFF"),2)=0,"","STALE")))</f>
        <v/>
      </c>
      <c r="BB2999" s="2" t="str">
        <f>IF(OR(""&amp;$F2999="2",""&amp;$F2999="4",""&amp;$F2999="G",""&amp;$F2999="H"),IF($AY2999="YES","",IF($AB2999&lt;&gt;0,"",IF(COUNTIFS('AR SALES'!$L$2:$L$2501,$L2999,'AR SALES'!$AD$2:$AD$2501,IF(""&amp;$F2999="4","OFF","ON"),'AR SALES'!$AF$2:$AF$2501,"Y")&gt;0,"","NO EXEMPTION"))),"")</f>
        <v/>
      </c>
    </row>
    <row r="3000" spans="46:54" x14ac:dyDescent="0.25">
      <c r="AT3000" s="2" t="str">
        <f>IF($L3000="","",IFERROR(INDEX('AR SALES'!$H$2:$H$2501,MATCH(""&amp;$L3000,'AR SALES'!$AE$2:$AE$2501,0)),""))</f>
        <v/>
      </c>
      <c r="AU3000" s="2" t="str">
        <f t="shared" si="184"/>
        <v/>
      </c>
      <c r="AV3000" s="2" t="str">
        <f t="shared" si="185"/>
        <v/>
      </c>
      <c r="AW3000" s="2" t="str">
        <f t="shared" si="186"/>
        <v/>
      </c>
      <c r="AX3000" s="2" t="str">
        <f t="shared" si="187"/>
        <v/>
      </c>
      <c r="AY3000" s="2" t="str">
        <f>IF($AV3000="","",IF(AND($Z3000=0,COUNTIF('AR SALES'!$L$2:$L$2501,$L3000)=0),"YES",""))</f>
        <v/>
      </c>
      <c r="AZ3000" s="2" t="str">
        <f>IF($AV3000="","",IF(COUNTIF(LISTS!$C$2:$C$250,$AU3000)=0,"NEW",""))</f>
        <v/>
      </c>
      <c r="BA3000" s="2" t="str">
        <f>IF(""&amp;$F3000&lt;&gt;"4","",IF($AY3000="YES","",IF(ROUND(SUMIFS($AE$2:$AE$4001,$L$2:$L$4001,$L3000,$F$2:$F$4001,"4")-SUMIFS('AR SALES'!$Y$2:$Y$2501,'AR SALES'!$L$2:$L$2501,$L3000,'AR SALES'!$AD$2:$AD$2501,"OFF"),2)=0,"","STALE")))</f>
        <v/>
      </c>
      <c r="BB3000" s="2" t="str">
        <f>IF(OR(""&amp;$F3000="2",""&amp;$F3000="4",""&amp;$F3000="G",""&amp;$F3000="H"),IF($AY3000="YES","",IF($AB3000&lt;&gt;0,"",IF(COUNTIFS('AR SALES'!$L$2:$L$2501,$L3000,'AR SALES'!$AD$2:$AD$2501,IF(""&amp;$F3000="4","OFF","ON"),'AR SALES'!$AF$2:$AF$2501,"Y")&gt;0,"","NO EXEMPTION"))),"")</f>
        <v/>
      </c>
    </row>
    <row r="3001" spans="46:54" x14ac:dyDescent="0.25">
      <c r="AT3001" s="2" t="str">
        <f>IF($L3001="","",IFERROR(INDEX('AR SALES'!$H$2:$H$2501,MATCH(""&amp;$L3001,'AR SALES'!$AE$2:$AE$2501,0)),""))</f>
        <v/>
      </c>
      <c r="AU3001" s="2" t="str">
        <f t="shared" si="184"/>
        <v/>
      </c>
      <c r="AV3001" s="2" t="str">
        <f t="shared" si="185"/>
        <v/>
      </c>
      <c r="AW3001" s="2" t="str">
        <f t="shared" si="186"/>
        <v/>
      </c>
      <c r="AX3001" s="2" t="str">
        <f t="shared" si="187"/>
        <v/>
      </c>
      <c r="AY3001" s="2" t="str">
        <f>IF($AV3001="","",IF(AND($Z3001=0,COUNTIF('AR SALES'!$L$2:$L$2501,$L3001)=0),"YES",""))</f>
        <v/>
      </c>
      <c r="AZ3001" s="2" t="str">
        <f>IF($AV3001="","",IF(COUNTIF(LISTS!$C$2:$C$250,$AU3001)=0,"NEW",""))</f>
        <v/>
      </c>
      <c r="BA3001" s="2" t="str">
        <f>IF(""&amp;$F3001&lt;&gt;"4","",IF($AY3001="YES","",IF(ROUND(SUMIFS($AE$2:$AE$4001,$L$2:$L$4001,$L3001,$F$2:$F$4001,"4")-SUMIFS('AR SALES'!$Y$2:$Y$2501,'AR SALES'!$L$2:$L$2501,$L3001,'AR SALES'!$AD$2:$AD$2501,"OFF"),2)=0,"","STALE")))</f>
        <v/>
      </c>
      <c r="BB3001" s="2" t="str">
        <f>IF(OR(""&amp;$F3001="2",""&amp;$F3001="4",""&amp;$F3001="G",""&amp;$F3001="H"),IF($AY3001="YES","",IF($AB3001&lt;&gt;0,"",IF(COUNTIFS('AR SALES'!$L$2:$L$2501,$L3001,'AR SALES'!$AD$2:$AD$2501,IF(""&amp;$F3001="4","OFF","ON"),'AR SALES'!$AF$2:$AF$2501,"Y")&gt;0,"","NO EXEMPTION"))),"")</f>
        <v/>
      </c>
    </row>
    <row r="3002" spans="46:54" x14ac:dyDescent="0.25">
      <c r="AT3002" s="2" t="str">
        <f>IF($L3002="","",IFERROR(INDEX('AR SALES'!$H$2:$H$2501,MATCH(""&amp;$L3002,'AR SALES'!$AE$2:$AE$2501,0)),""))</f>
        <v/>
      </c>
      <c r="AU3002" s="2" t="str">
        <f t="shared" si="184"/>
        <v/>
      </c>
      <c r="AV3002" s="2" t="str">
        <f t="shared" si="185"/>
        <v/>
      </c>
      <c r="AW3002" s="2" t="str">
        <f t="shared" si="186"/>
        <v/>
      </c>
      <c r="AX3002" s="2" t="str">
        <f t="shared" si="187"/>
        <v/>
      </c>
      <c r="AY3002" s="2" t="str">
        <f>IF($AV3002="","",IF(AND($Z3002=0,COUNTIF('AR SALES'!$L$2:$L$2501,$L3002)=0),"YES",""))</f>
        <v/>
      </c>
      <c r="AZ3002" s="2" t="str">
        <f>IF($AV3002="","",IF(COUNTIF(LISTS!$C$2:$C$250,$AU3002)=0,"NEW",""))</f>
        <v/>
      </c>
      <c r="BA3002" s="2" t="str">
        <f>IF(""&amp;$F3002&lt;&gt;"4","",IF($AY3002="YES","",IF(ROUND(SUMIFS($AE$2:$AE$4001,$L$2:$L$4001,$L3002,$F$2:$F$4001,"4")-SUMIFS('AR SALES'!$Y$2:$Y$2501,'AR SALES'!$L$2:$L$2501,$L3002,'AR SALES'!$AD$2:$AD$2501,"OFF"),2)=0,"","STALE")))</f>
        <v/>
      </c>
      <c r="BB3002" s="2" t="str">
        <f>IF(OR(""&amp;$F3002="2",""&amp;$F3002="4",""&amp;$F3002="G",""&amp;$F3002="H"),IF($AY3002="YES","",IF($AB3002&lt;&gt;0,"",IF(COUNTIFS('AR SALES'!$L$2:$L$2501,$L3002,'AR SALES'!$AD$2:$AD$2501,IF(""&amp;$F3002="4","OFF","ON"),'AR SALES'!$AF$2:$AF$2501,"Y")&gt;0,"","NO EXEMPTION"))),"")</f>
        <v/>
      </c>
    </row>
    <row r="3003" spans="46:54" x14ac:dyDescent="0.25">
      <c r="AT3003" s="2" t="str">
        <f>IF($L3003="","",IFERROR(INDEX('AR SALES'!$H$2:$H$2501,MATCH(""&amp;$L3003,'AR SALES'!$AE$2:$AE$2501,0)),""))</f>
        <v/>
      </c>
      <c r="AU3003" s="2" t="str">
        <f t="shared" si="184"/>
        <v/>
      </c>
      <c r="AV3003" s="2" t="str">
        <f t="shared" si="185"/>
        <v/>
      </c>
      <c r="AW3003" s="2" t="str">
        <f t="shared" si="186"/>
        <v/>
      </c>
      <c r="AX3003" s="2" t="str">
        <f t="shared" si="187"/>
        <v/>
      </c>
      <c r="AY3003" s="2" t="str">
        <f>IF($AV3003="","",IF(AND($Z3003=0,COUNTIF('AR SALES'!$L$2:$L$2501,$L3003)=0),"YES",""))</f>
        <v/>
      </c>
      <c r="AZ3003" s="2" t="str">
        <f>IF($AV3003="","",IF(COUNTIF(LISTS!$C$2:$C$250,$AU3003)=0,"NEW",""))</f>
        <v/>
      </c>
      <c r="BA3003" s="2" t="str">
        <f>IF(""&amp;$F3003&lt;&gt;"4","",IF($AY3003="YES","",IF(ROUND(SUMIFS($AE$2:$AE$4001,$L$2:$L$4001,$L3003,$F$2:$F$4001,"4")-SUMIFS('AR SALES'!$Y$2:$Y$2501,'AR SALES'!$L$2:$L$2501,$L3003,'AR SALES'!$AD$2:$AD$2501,"OFF"),2)=0,"","STALE")))</f>
        <v/>
      </c>
      <c r="BB3003" s="2" t="str">
        <f>IF(OR(""&amp;$F3003="2",""&amp;$F3003="4",""&amp;$F3003="G",""&amp;$F3003="H"),IF($AY3003="YES","",IF($AB3003&lt;&gt;0,"",IF(COUNTIFS('AR SALES'!$L$2:$L$2501,$L3003,'AR SALES'!$AD$2:$AD$2501,IF(""&amp;$F3003="4","OFF","ON"),'AR SALES'!$AF$2:$AF$2501,"Y")&gt;0,"","NO EXEMPTION"))),"")</f>
        <v/>
      </c>
    </row>
    <row r="3004" spans="46:54" x14ac:dyDescent="0.25">
      <c r="AT3004" s="2" t="str">
        <f>IF($L3004="","",IFERROR(INDEX('AR SALES'!$H$2:$H$2501,MATCH(""&amp;$L3004,'AR SALES'!$AE$2:$AE$2501,0)),""))</f>
        <v/>
      </c>
      <c r="AU3004" s="2" t="str">
        <f t="shared" si="184"/>
        <v/>
      </c>
      <c r="AV3004" s="2" t="str">
        <f t="shared" si="185"/>
        <v/>
      </c>
      <c r="AW3004" s="2" t="str">
        <f t="shared" si="186"/>
        <v/>
      </c>
      <c r="AX3004" s="2" t="str">
        <f t="shared" si="187"/>
        <v/>
      </c>
      <c r="AY3004" s="2" t="str">
        <f>IF($AV3004="","",IF(AND($Z3004=0,COUNTIF('AR SALES'!$L$2:$L$2501,$L3004)=0),"YES",""))</f>
        <v/>
      </c>
      <c r="AZ3004" s="2" t="str">
        <f>IF($AV3004="","",IF(COUNTIF(LISTS!$C$2:$C$250,$AU3004)=0,"NEW",""))</f>
        <v/>
      </c>
      <c r="BA3004" s="2" t="str">
        <f>IF(""&amp;$F3004&lt;&gt;"4","",IF($AY3004="YES","",IF(ROUND(SUMIFS($AE$2:$AE$4001,$L$2:$L$4001,$L3004,$F$2:$F$4001,"4")-SUMIFS('AR SALES'!$Y$2:$Y$2501,'AR SALES'!$L$2:$L$2501,$L3004,'AR SALES'!$AD$2:$AD$2501,"OFF"),2)=0,"","STALE")))</f>
        <v/>
      </c>
      <c r="BB3004" s="2" t="str">
        <f>IF(OR(""&amp;$F3004="2",""&amp;$F3004="4",""&amp;$F3004="G",""&amp;$F3004="H"),IF($AY3004="YES","",IF($AB3004&lt;&gt;0,"",IF(COUNTIFS('AR SALES'!$L$2:$L$2501,$L3004,'AR SALES'!$AD$2:$AD$2501,IF(""&amp;$F3004="4","OFF","ON"),'AR SALES'!$AF$2:$AF$2501,"Y")&gt;0,"","NO EXEMPTION"))),"")</f>
        <v/>
      </c>
    </row>
    <row r="3005" spans="46:54" x14ac:dyDescent="0.25">
      <c r="AT3005" s="2" t="str">
        <f>IF($L3005="","",IFERROR(INDEX('AR SALES'!$H$2:$H$2501,MATCH(""&amp;$L3005,'AR SALES'!$AE$2:$AE$2501,0)),""))</f>
        <v/>
      </c>
      <c r="AU3005" s="2" t="str">
        <f t="shared" si="184"/>
        <v/>
      </c>
      <c r="AV3005" s="2" t="str">
        <f t="shared" si="185"/>
        <v/>
      </c>
      <c r="AW3005" s="2" t="str">
        <f t="shared" si="186"/>
        <v/>
      </c>
      <c r="AX3005" s="2" t="str">
        <f t="shared" si="187"/>
        <v/>
      </c>
      <c r="AY3005" s="2" t="str">
        <f>IF($AV3005="","",IF(AND($Z3005=0,COUNTIF('AR SALES'!$L$2:$L$2501,$L3005)=0),"YES",""))</f>
        <v/>
      </c>
      <c r="AZ3005" s="2" t="str">
        <f>IF($AV3005="","",IF(COUNTIF(LISTS!$C$2:$C$250,$AU3005)=0,"NEW",""))</f>
        <v/>
      </c>
      <c r="BA3005" s="2" t="str">
        <f>IF(""&amp;$F3005&lt;&gt;"4","",IF($AY3005="YES","",IF(ROUND(SUMIFS($AE$2:$AE$4001,$L$2:$L$4001,$L3005,$F$2:$F$4001,"4")-SUMIFS('AR SALES'!$Y$2:$Y$2501,'AR SALES'!$L$2:$L$2501,$L3005,'AR SALES'!$AD$2:$AD$2501,"OFF"),2)=0,"","STALE")))</f>
        <v/>
      </c>
      <c r="BB3005" s="2" t="str">
        <f>IF(OR(""&amp;$F3005="2",""&amp;$F3005="4",""&amp;$F3005="G",""&amp;$F3005="H"),IF($AY3005="YES","",IF($AB3005&lt;&gt;0,"",IF(COUNTIFS('AR SALES'!$L$2:$L$2501,$L3005,'AR SALES'!$AD$2:$AD$2501,IF(""&amp;$F3005="4","OFF","ON"),'AR SALES'!$AF$2:$AF$2501,"Y")&gt;0,"","NO EXEMPTION"))),"")</f>
        <v/>
      </c>
    </row>
    <row r="3006" spans="46:54" x14ac:dyDescent="0.25">
      <c r="AT3006" s="2" t="str">
        <f>IF($L3006="","",IFERROR(INDEX('AR SALES'!$H$2:$H$2501,MATCH(""&amp;$L3006,'AR SALES'!$AE$2:$AE$2501,0)),""))</f>
        <v/>
      </c>
      <c r="AU3006" s="2" t="str">
        <f t="shared" si="184"/>
        <v/>
      </c>
      <c r="AV3006" s="2" t="str">
        <f t="shared" si="185"/>
        <v/>
      </c>
      <c r="AW3006" s="2" t="str">
        <f t="shared" si="186"/>
        <v/>
      </c>
      <c r="AX3006" s="2" t="str">
        <f t="shared" si="187"/>
        <v/>
      </c>
      <c r="AY3006" s="2" t="str">
        <f>IF($AV3006="","",IF(AND($Z3006=0,COUNTIF('AR SALES'!$L$2:$L$2501,$L3006)=0),"YES",""))</f>
        <v/>
      </c>
      <c r="AZ3006" s="2" t="str">
        <f>IF($AV3006="","",IF(COUNTIF(LISTS!$C$2:$C$250,$AU3006)=0,"NEW",""))</f>
        <v/>
      </c>
      <c r="BA3006" s="2" t="str">
        <f>IF(""&amp;$F3006&lt;&gt;"4","",IF($AY3006="YES","",IF(ROUND(SUMIFS($AE$2:$AE$4001,$L$2:$L$4001,$L3006,$F$2:$F$4001,"4")-SUMIFS('AR SALES'!$Y$2:$Y$2501,'AR SALES'!$L$2:$L$2501,$L3006,'AR SALES'!$AD$2:$AD$2501,"OFF"),2)=0,"","STALE")))</f>
        <v/>
      </c>
      <c r="BB3006" s="2" t="str">
        <f>IF(OR(""&amp;$F3006="2",""&amp;$F3006="4",""&amp;$F3006="G",""&amp;$F3006="H"),IF($AY3006="YES","",IF($AB3006&lt;&gt;0,"",IF(COUNTIFS('AR SALES'!$L$2:$L$2501,$L3006,'AR SALES'!$AD$2:$AD$2501,IF(""&amp;$F3006="4","OFF","ON"),'AR SALES'!$AF$2:$AF$2501,"Y")&gt;0,"","NO EXEMPTION"))),"")</f>
        <v/>
      </c>
    </row>
    <row r="3007" spans="46:54" x14ac:dyDescent="0.25">
      <c r="AT3007" s="2" t="str">
        <f>IF($L3007="","",IFERROR(INDEX('AR SALES'!$H$2:$H$2501,MATCH(""&amp;$L3007,'AR SALES'!$AE$2:$AE$2501,0)),""))</f>
        <v/>
      </c>
      <c r="AU3007" s="2" t="str">
        <f t="shared" si="184"/>
        <v/>
      </c>
      <c r="AV3007" s="2" t="str">
        <f t="shared" si="185"/>
        <v/>
      </c>
      <c r="AW3007" s="2" t="str">
        <f t="shared" si="186"/>
        <v/>
      </c>
      <c r="AX3007" s="2" t="str">
        <f t="shared" si="187"/>
        <v/>
      </c>
      <c r="AY3007" s="2" t="str">
        <f>IF($AV3007="","",IF(AND($Z3007=0,COUNTIF('AR SALES'!$L$2:$L$2501,$L3007)=0),"YES",""))</f>
        <v/>
      </c>
      <c r="AZ3007" s="2" t="str">
        <f>IF($AV3007="","",IF(COUNTIF(LISTS!$C$2:$C$250,$AU3007)=0,"NEW",""))</f>
        <v/>
      </c>
      <c r="BA3007" s="2" t="str">
        <f>IF(""&amp;$F3007&lt;&gt;"4","",IF($AY3007="YES","",IF(ROUND(SUMIFS($AE$2:$AE$4001,$L$2:$L$4001,$L3007,$F$2:$F$4001,"4")-SUMIFS('AR SALES'!$Y$2:$Y$2501,'AR SALES'!$L$2:$L$2501,$L3007,'AR SALES'!$AD$2:$AD$2501,"OFF"),2)=0,"","STALE")))</f>
        <v/>
      </c>
      <c r="BB3007" s="2" t="str">
        <f>IF(OR(""&amp;$F3007="2",""&amp;$F3007="4",""&amp;$F3007="G",""&amp;$F3007="H"),IF($AY3007="YES","",IF($AB3007&lt;&gt;0,"",IF(COUNTIFS('AR SALES'!$L$2:$L$2501,$L3007,'AR SALES'!$AD$2:$AD$2501,IF(""&amp;$F3007="4","OFF","ON"),'AR SALES'!$AF$2:$AF$2501,"Y")&gt;0,"","NO EXEMPTION"))),"")</f>
        <v/>
      </c>
    </row>
    <row r="3008" spans="46:54" x14ac:dyDescent="0.25">
      <c r="AT3008" s="2" t="str">
        <f>IF($L3008="","",IFERROR(INDEX('AR SALES'!$H$2:$H$2501,MATCH(""&amp;$L3008,'AR SALES'!$AE$2:$AE$2501,0)),""))</f>
        <v/>
      </c>
      <c r="AU3008" s="2" t="str">
        <f t="shared" si="184"/>
        <v/>
      </c>
      <c r="AV3008" s="2" t="str">
        <f t="shared" si="185"/>
        <v/>
      </c>
      <c r="AW3008" s="2" t="str">
        <f t="shared" si="186"/>
        <v/>
      </c>
      <c r="AX3008" s="2" t="str">
        <f t="shared" si="187"/>
        <v/>
      </c>
      <c r="AY3008" s="2" t="str">
        <f>IF($AV3008="","",IF(AND($Z3008=0,COUNTIF('AR SALES'!$L$2:$L$2501,$L3008)=0),"YES",""))</f>
        <v/>
      </c>
      <c r="AZ3008" s="2" t="str">
        <f>IF($AV3008="","",IF(COUNTIF(LISTS!$C$2:$C$250,$AU3008)=0,"NEW",""))</f>
        <v/>
      </c>
      <c r="BA3008" s="2" t="str">
        <f>IF(""&amp;$F3008&lt;&gt;"4","",IF($AY3008="YES","",IF(ROUND(SUMIFS($AE$2:$AE$4001,$L$2:$L$4001,$L3008,$F$2:$F$4001,"4")-SUMIFS('AR SALES'!$Y$2:$Y$2501,'AR SALES'!$L$2:$L$2501,$L3008,'AR SALES'!$AD$2:$AD$2501,"OFF"),2)=0,"","STALE")))</f>
        <v/>
      </c>
      <c r="BB3008" s="2" t="str">
        <f>IF(OR(""&amp;$F3008="2",""&amp;$F3008="4",""&amp;$F3008="G",""&amp;$F3008="H"),IF($AY3008="YES","",IF($AB3008&lt;&gt;0,"",IF(COUNTIFS('AR SALES'!$L$2:$L$2501,$L3008,'AR SALES'!$AD$2:$AD$2501,IF(""&amp;$F3008="4","OFF","ON"),'AR SALES'!$AF$2:$AF$2501,"Y")&gt;0,"","NO EXEMPTION"))),"")</f>
        <v/>
      </c>
    </row>
    <row r="3009" spans="46:54" x14ac:dyDescent="0.25">
      <c r="AT3009" s="2" t="str">
        <f>IF($L3009="","",IFERROR(INDEX('AR SALES'!$H$2:$H$2501,MATCH(""&amp;$L3009,'AR SALES'!$AE$2:$AE$2501,0)),""))</f>
        <v/>
      </c>
      <c r="AU3009" s="2" t="str">
        <f t="shared" si="184"/>
        <v/>
      </c>
      <c r="AV3009" s="2" t="str">
        <f t="shared" si="185"/>
        <v/>
      </c>
      <c r="AW3009" s="2" t="str">
        <f t="shared" si="186"/>
        <v/>
      </c>
      <c r="AX3009" s="2" t="str">
        <f t="shared" si="187"/>
        <v/>
      </c>
      <c r="AY3009" s="2" t="str">
        <f>IF($AV3009="","",IF(AND($Z3009=0,COUNTIF('AR SALES'!$L$2:$L$2501,$L3009)=0),"YES",""))</f>
        <v/>
      </c>
      <c r="AZ3009" s="2" t="str">
        <f>IF($AV3009="","",IF(COUNTIF(LISTS!$C$2:$C$250,$AU3009)=0,"NEW",""))</f>
        <v/>
      </c>
      <c r="BA3009" s="2" t="str">
        <f>IF(""&amp;$F3009&lt;&gt;"4","",IF($AY3009="YES","",IF(ROUND(SUMIFS($AE$2:$AE$4001,$L$2:$L$4001,$L3009,$F$2:$F$4001,"4")-SUMIFS('AR SALES'!$Y$2:$Y$2501,'AR SALES'!$L$2:$L$2501,$L3009,'AR SALES'!$AD$2:$AD$2501,"OFF"),2)=0,"","STALE")))</f>
        <v/>
      </c>
      <c r="BB3009" s="2" t="str">
        <f>IF(OR(""&amp;$F3009="2",""&amp;$F3009="4",""&amp;$F3009="G",""&amp;$F3009="H"),IF($AY3009="YES","",IF($AB3009&lt;&gt;0,"",IF(COUNTIFS('AR SALES'!$L$2:$L$2501,$L3009,'AR SALES'!$AD$2:$AD$2501,IF(""&amp;$F3009="4","OFF","ON"),'AR SALES'!$AF$2:$AF$2501,"Y")&gt;0,"","NO EXEMPTION"))),"")</f>
        <v/>
      </c>
    </row>
    <row r="3010" spans="46:54" x14ac:dyDescent="0.25">
      <c r="AT3010" s="2" t="str">
        <f>IF($L3010="","",IFERROR(INDEX('AR SALES'!$H$2:$H$2501,MATCH(""&amp;$L3010,'AR SALES'!$AE$2:$AE$2501,0)),""))</f>
        <v/>
      </c>
      <c r="AU3010" s="2" t="str">
        <f t="shared" ref="AU3010:AU3073" si="188">IF($L3010="","",IF($A3010&lt;&gt;"GA","",IF($E3010="FULTON",IF(ISNUMBER(SEARCH("COLLEGE PARK",$AT3010)),"FULTON (COLLEGE PARK)",IF(ISNUMBER(SEARCH("ATLANTA CITY",$AT3010)),"FULTON (ATL LIMITS)","FULTON")),IF($E3010="DEKALB",IF(ISNUMBER(SEARCH("ATLANTA CITY",$AT3010)),"DEKALB (ATL LIMITS)","DEKALB"),$E3010))))</f>
        <v/>
      </c>
      <c r="AV3010" s="2" t="str">
        <f t="shared" ref="AV3010:AV3073" si="189">IF($L3010="","",IF(""&amp;$F3010="2","DIESEL",IF(OR(""&amp;$F3010="G",""&amp;$F3010="H"),"GAS","")))</f>
        <v/>
      </c>
      <c r="AW3010" s="2" t="str">
        <f t="shared" ref="AW3010:AW3073" si="190">IF($AV3010="","",$R3010)</f>
        <v/>
      </c>
      <c r="AX3010" s="2" t="str">
        <f t="shared" ref="AX3010:AX3073" si="191">IF($AV3010="","",IF($AB3010=0,$R3010,0))</f>
        <v/>
      </c>
      <c r="AY3010" s="2" t="str">
        <f>IF($AV3010="","",IF(AND($Z3010=0,COUNTIF('AR SALES'!$L$2:$L$2501,$L3010)=0),"YES",""))</f>
        <v/>
      </c>
      <c r="AZ3010" s="2" t="str">
        <f>IF($AV3010="","",IF(COUNTIF(LISTS!$C$2:$C$250,$AU3010)=0,"NEW",""))</f>
        <v/>
      </c>
      <c r="BA3010" s="2" t="str">
        <f>IF(""&amp;$F3010&lt;&gt;"4","",IF($AY3010="YES","",IF(ROUND(SUMIFS($AE$2:$AE$4001,$L$2:$L$4001,$L3010,$F$2:$F$4001,"4")-SUMIFS('AR SALES'!$Y$2:$Y$2501,'AR SALES'!$L$2:$L$2501,$L3010,'AR SALES'!$AD$2:$AD$2501,"OFF"),2)=0,"","STALE")))</f>
        <v/>
      </c>
      <c r="BB3010" s="2" t="str">
        <f>IF(OR(""&amp;$F3010="2",""&amp;$F3010="4",""&amp;$F3010="G",""&amp;$F3010="H"),IF($AY3010="YES","",IF($AB3010&lt;&gt;0,"",IF(COUNTIFS('AR SALES'!$L$2:$L$2501,$L3010,'AR SALES'!$AD$2:$AD$2501,IF(""&amp;$F3010="4","OFF","ON"),'AR SALES'!$AF$2:$AF$2501,"Y")&gt;0,"","NO EXEMPTION"))),"")</f>
        <v/>
      </c>
    </row>
    <row r="3011" spans="46:54" x14ac:dyDescent="0.25">
      <c r="AT3011" s="2" t="str">
        <f>IF($L3011="","",IFERROR(INDEX('AR SALES'!$H$2:$H$2501,MATCH(""&amp;$L3011,'AR SALES'!$AE$2:$AE$2501,0)),""))</f>
        <v/>
      </c>
      <c r="AU3011" s="2" t="str">
        <f t="shared" si="188"/>
        <v/>
      </c>
      <c r="AV3011" s="2" t="str">
        <f t="shared" si="189"/>
        <v/>
      </c>
      <c r="AW3011" s="2" t="str">
        <f t="shared" si="190"/>
        <v/>
      </c>
      <c r="AX3011" s="2" t="str">
        <f t="shared" si="191"/>
        <v/>
      </c>
      <c r="AY3011" s="2" t="str">
        <f>IF($AV3011="","",IF(AND($Z3011=0,COUNTIF('AR SALES'!$L$2:$L$2501,$L3011)=0),"YES",""))</f>
        <v/>
      </c>
      <c r="AZ3011" s="2" t="str">
        <f>IF($AV3011="","",IF(COUNTIF(LISTS!$C$2:$C$250,$AU3011)=0,"NEW",""))</f>
        <v/>
      </c>
      <c r="BA3011" s="2" t="str">
        <f>IF(""&amp;$F3011&lt;&gt;"4","",IF($AY3011="YES","",IF(ROUND(SUMIFS($AE$2:$AE$4001,$L$2:$L$4001,$L3011,$F$2:$F$4001,"4")-SUMIFS('AR SALES'!$Y$2:$Y$2501,'AR SALES'!$L$2:$L$2501,$L3011,'AR SALES'!$AD$2:$AD$2501,"OFF"),2)=0,"","STALE")))</f>
        <v/>
      </c>
      <c r="BB3011" s="2" t="str">
        <f>IF(OR(""&amp;$F3011="2",""&amp;$F3011="4",""&amp;$F3011="G",""&amp;$F3011="H"),IF($AY3011="YES","",IF($AB3011&lt;&gt;0,"",IF(COUNTIFS('AR SALES'!$L$2:$L$2501,$L3011,'AR SALES'!$AD$2:$AD$2501,IF(""&amp;$F3011="4","OFF","ON"),'AR SALES'!$AF$2:$AF$2501,"Y")&gt;0,"","NO EXEMPTION"))),"")</f>
        <v/>
      </c>
    </row>
    <row r="3012" spans="46:54" x14ac:dyDescent="0.25">
      <c r="AT3012" s="2" t="str">
        <f>IF($L3012="","",IFERROR(INDEX('AR SALES'!$H$2:$H$2501,MATCH(""&amp;$L3012,'AR SALES'!$AE$2:$AE$2501,0)),""))</f>
        <v/>
      </c>
      <c r="AU3012" s="2" t="str">
        <f t="shared" si="188"/>
        <v/>
      </c>
      <c r="AV3012" s="2" t="str">
        <f t="shared" si="189"/>
        <v/>
      </c>
      <c r="AW3012" s="2" t="str">
        <f t="shared" si="190"/>
        <v/>
      </c>
      <c r="AX3012" s="2" t="str">
        <f t="shared" si="191"/>
        <v/>
      </c>
      <c r="AY3012" s="2" t="str">
        <f>IF($AV3012="","",IF(AND($Z3012=0,COUNTIF('AR SALES'!$L$2:$L$2501,$L3012)=0),"YES",""))</f>
        <v/>
      </c>
      <c r="AZ3012" s="2" t="str">
        <f>IF($AV3012="","",IF(COUNTIF(LISTS!$C$2:$C$250,$AU3012)=0,"NEW",""))</f>
        <v/>
      </c>
      <c r="BA3012" s="2" t="str">
        <f>IF(""&amp;$F3012&lt;&gt;"4","",IF($AY3012="YES","",IF(ROUND(SUMIFS($AE$2:$AE$4001,$L$2:$L$4001,$L3012,$F$2:$F$4001,"4")-SUMIFS('AR SALES'!$Y$2:$Y$2501,'AR SALES'!$L$2:$L$2501,$L3012,'AR SALES'!$AD$2:$AD$2501,"OFF"),2)=0,"","STALE")))</f>
        <v/>
      </c>
      <c r="BB3012" s="2" t="str">
        <f>IF(OR(""&amp;$F3012="2",""&amp;$F3012="4",""&amp;$F3012="G",""&amp;$F3012="H"),IF($AY3012="YES","",IF($AB3012&lt;&gt;0,"",IF(COUNTIFS('AR SALES'!$L$2:$L$2501,$L3012,'AR SALES'!$AD$2:$AD$2501,IF(""&amp;$F3012="4","OFF","ON"),'AR SALES'!$AF$2:$AF$2501,"Y")&gt;0,"","NO EXEMPTION"))),"")</f>
        <v/>
      </c>
    </row>
    <row r="3013" spans="46:54" x14ac:dyDescent="0.25">
      <c r="AT3013" s="2" t="str">
        <f>IF($L3013="","",IFERROR(INDEX('AR SALES'!$H$2:$H$2501,MATCH(""&amp;$L3013,'AR SALES'!$AE$2:$AE$2501,0)),""))</f>
        <v/>
      </c>
      <c r="AU3013" s="2" t="str">
        <f t="shared" si="188"/>
        <v/>
      </c>
      <c r="AV3013" s="2" t="str">
        <f t="shared" si="189"/>
        <v/>
      </c>
      <c r="AW3013" s="2" t="str">
        <f t="shared" si="190"/>
        <v/>
      </c>
      <c r="AX3013" s="2" t="str">
        <f t="shared" si="191"/>
        <v/>
      </c>
      <c r="AY3013" s="2" t="str">
        <f>IF($AV3013="","",IF(AND($Z3013=0,COUNTIF('AR SALES'!$L$2:$L$2501,$L3013)=0),"YES",""))</f>
        <v/>
      </c>
      <c r="AZ3013" s="2" t="str">
        <f>IF($AV3013="","",IF(COUNTIF(LISTS!$C$2:$C$250,$AU3013)=0,"NEW",""))</f>
        <v/>
      </c>
      <c r="BA3013" s="2" t="str">
        <f>IF(""&amp;$F3013&lt;&gt;"4","",IF($AY3013="YES","",IF(ROUND(SUMIFS($AE$2:$AE$4001,$L$2:$L$4001,$L3013,$F$2:$F$4001,"4")-SUMIFS('AR SALES'!$Y$2:$Y$2501,'AR SALES'!$L$2:$L$2501,$L3013,'AR SALES'!$AD$2:$AD$2501,"OFF"),2)=0,"","STALE")))</f>
        <v/>
      </c>
      <c r="BB3013" s="2" t="str">
        <f>IF(OR(""&amp;$F3013="2",""&amp;$F3013="4",""&amp;$F3013="G",""&amp;$F3013="H"),IF($AY3013="YES","",IF($AB3013&lt;&gt;0,"",IF(COUNTIFS('AR SALES'!$L$2:$L$2501,$L3013,'AR SALES'!$AD$2:$AD$2501,IF(""&amp;$F3013="4","OFF","ON"),'AR SALES'!$AF$2:$AF$2501,"Y")&gt;0,"","NO EXEMPTION"))),"")</f>
        <v/>
      </c>
    </row>
    <row r="3014" spans="46:54" x14ac:dyDescent="0.25">
      <c r="AT3014" s="2" t="str">
        <f>IF($L3014="","",IFERROR(INDEX('AR SALES'!$H$2:$H$2501,MATCH(""&amp;$L3014,'AR SALES'!$AE$2:$AE$2501,0)),""))</f>
        <v/>
      </c>
      <c r="AU3014" s="2" t="str">
        <f t="shared" si="188"/>
        <v/>
      </c>
      <c r="AV3014" s="2" t="str">
        <f t="shared" si="189"/>
        <v/>
      </c>
      <c r="AW3014" s="2" t="str">
        <f t="shared" si="190"/>
        <v/>
      </c>
      <c r="AX3014" s="2" t="str">
        <f t="shared" si="191"/>
        <v/>
      </c>
      <c r="AY3014" s="2" t="str">
        <f>IF($AV3014="","",IF(AND($Z3014=0,COUNTIF('AR SALES'!$L$2:$L$2501,$L3014)=0),"YES",""))</f>
        <v/>
      </c>
      <c r="AZ3014" s="2" t="str">
        <f>IF($AV3014="","",IF(COUNTIF(LISTS!$C$2:$C$250,$AU3014)=0,"NEW",""))</f>
        <v/>
      </c>
      <c r="BA3014" s="2" t="str">
        <f>IF(""&amp;$F3014&lt;&gt;"4","",IF($AY3014="YES","",IF(ROUND(SUMIFS($AE$2:$AE$4001,$L$2:$L$4001,$L3014,$F$2:$F$4001,"4")-SUMIFS('AR SALES'!$Y$2:$Y$2501,'AR SALES'!$L$2:$L$2501,$L3014,'AR SALES'!$AD$2:$AD$2501,"OFF"),2)=0,"","STALE")))</f>
        <v/>
      </c>
      <c r="BB3014" s="2" t="str">
        <f>IF(OR(""&amp;$F3014="2",""&amp;$F3014="4",""&amp;$F3014="G",""&amp;$F3014="H"),IF($AY3014="YES","",IF($AB3014&lt;&gt;0,"",IF(COUNTIFS('AR SALES'!$L$2:$L$2501,$L3014,'AR SALES'!$AD$2:$AD$2501,IF(""&amp;$F3014="4","OFF","ON"),'AR SALES'!$AF$2:$AF$2501,"Y")&gt;0,"","NO EXEMPTION"))),"")</f>
        <v/>
      </c>
    </row>
    <row r="3015" spans="46:54" x14ac:dyDescent="0.25">
      <c r="AT3015" s="2" t="str">
        <f>IF($L3015="","",IFERROR(INDEX('AR SALES'!$H$2:$H$2501,MATCH(""&amp;$L3015,'AR SALES'!$AE$2:$AE$2501,0)),""))</f>
        <v/>
      </c>
      <c r="AU3015" s="2" t="str">
        <f t="shared" si="188"/>
        <v/>
      </c>
      <c r="AV3015" s="2" t="str">
        <f t="shared" si="189"/>
        <v/>
      </c>
      <c r="AW3015" s="2" t="str">
        <f t="shared" si="190"/>
        <v/>
      </c>
      <c r="AX3015" s="2" t="str">
        <f t="shared" si="191"/>
        <v/>
      </c>
      <c r="AY3015" s="2" t="str">
        <f>IF($AV3015="","",IF(AND($Z3015=0,COUNTIF('AR SALES'!$L$2:$L$2501,$L3015)=0),"YES",""))</f>
        <v/>
      </c>
      <c r="AZ3015" s="2" t="str">
        <f>IF($AV3015="","",IF(COUNTIF(LISTS!$C$2:$C$250,$AU3015)=0,"NEW",""))</f>
        <v/>
      </c>
      <c r="BA3015" s="2" t="str">
        <f>IF(""&amp;$F3015&lt;&gt;"4","",IF($AY3015="YES","",IF(ROUND(SUMIFS($AE$2:$AE$4001,$L$2:$L$4001,$L3015,$F$2:$F$4001,"4")-SUMIFS('AR SALES'!$Y$2:$Y$2501,'AR SALES'!$L$2:$L$2501,$L3015,'AR SALES'!$AD$2:$AD$2501,"OFF"),2)=0,"","STALE")))</f>
        <v/>
      </c>
      <c r="BB3015" s="2" t="str">
        <f>IF(OR(""&amp;$F3015="2",""&amp;$F3015="4",""&amp;$F3015="G",""&amp;$F3015="H"),IF($AY3015="YES","",IF($AB3015&lt;&gt;0,"",IF(COUNTIFS('AR SALES'!$L$2:$L$2501,$L3015,'AR SALES'!$AD$2:$AD$2501,IF(""&amp;$F3015="4","OFF","ON"),'AR SALES'!$AF$2:$AF$2501,"Y")&gt;0,"","NO EXEMPTION"))),"")</f>
        <v/>
      </c>
    </row>
    <row r="3016" spans="46:54" x14ac:dyDescent="0.25">
      <c r="AT3016" s="2" t="str">
        <f>IF($L3016="","",IFERROR(INDEX('AR SALES'!$H$2:$H$2501,MATCH(""&amp;$L3016,'AR SALES'!$AE$2:$AE$2501,0)),""))</f>
        <v/>
      </c>
      <c r="AU3016" s="2" t="str">
        <f t="shared" si="188"/>
        <v/>
      </c>
      <c r="AV3016" s="2" t="str">
        <f t="shared" si="189"/>
        <v/>
      </c>
      <c r="AW3016" s="2" t="str">
        <f t="shared" si="190"/>
        <v/>
      </c>
      <c r="AX3016" s="2" t="str">
        <f t="shared" si="191"/>
        <v/>
      </c>
      <c r="AY3016" s="2" t="str">
        <f>IF($AV3016="","",IF(AND($Z3016=0,COUNTIF('AR SALES'!$L$2:$L$2501,$L3016)=0),"YES",""))</f>
        <v/>
      </c>
      <c r="AZ3016" s="2" t="str">
        <f>IF($AV3016="","",IF(COUNTIF(LISTS!$C$2:$C$250,$AU3016)=0,"NEW",""))</f>
        <v/>
      </c>
      <c r="BA3016" s="2" t="str">
        <f>IF(""&amp;$F3016&lt;&gt;"4","",IF($AY3016="YES","",IF(ROUND(SUMIFS($AE$2:$AE$4001,$L$2:$L$4001,$L3016,$F$2:$F$4001,"4")-SUMIFS('AR SALES'!$Y$2:$Y$2501,'AR SALES'!$L$2:$L$2501,$L3016,'AR SALES'!$AD$2:$AD$2501,"OFF"),2)=0,"","STALE")))</f>
        <v/>
      </c>
      <c r="BB3016" s="2" t="str">
        <f>IF(OR(""&amp;$F3016="2",""&amp;$F3016="4",""&amp;$F3016="G",""&amp;$F3016="H"),IF($AY3016="YES","",IF($AB3016&lt;&gt;0,"",IF(COUNTIFS('AR SALES'!$L$2:$L$2501,$L3016,'AR SALES'!$AD$2:$AD$2501,IF(""&amp;$F3016="4","OFF","ON"),'AR SALES'!$AF$2:$AF$2501,"Y")&gt;0,"","NO EXEMPTION"))),"")</f>
        <v/>
      </c>
    </row>
    <row r="3017" spans="46:54" x14ac:dyDescent="0.25">
      <c r="AT3017" s="2" t="str">
        <f>IF($L3017="","",IFERROR(INDEX('AR SALES'!$H$2:$H$2501,MATCH(""&amp;$L3017,'AR SALES'!$AE$2:$AE$2501,0)),""))</f>
        <v/>
      </c>
      <c r="AU3017" s="2" t="str">
        <f t="shared" si="188"/>
        <v/>
      </c>
      <c r="AV3017" s="2" t="str">
        <f t="shared" si="189"/>
        <v/>
      </c>
      <c r="AW3017" s="2" t="str">
        <f t="shared" si="190"/>
        <v/>
      </c>
      <c r="AX3017" s="2" t="str">
        <f t="shared" si="191"/>
        <v/>
      </c>
      <c r="AY3017" s="2" t="str">
        <f>IF($AV3017="","",IF(AND($Z3017=0,COUNTIF('AR SALES'!$L$2:$L$2501,$L3017)=0),"YES",""))</f>
        <v/>
      </c>
      <c r="AZ3017" s="2" t="str">
        <f>IF($AV3017="","",IF(COUNTIF(LISTS!$C$2:$C$250,$AU3017)=0,"NEW",""))</f>
        <v/>
      </c>
      <c r="BA3017" s="2" t="str">
        <f>IF(""&amp;$F3017&lt;&gt;"4","",IF($AY3017="YES","",IF(ROUND(SUMIFS($AE$2:$AE$4001,$L$2:$L$4001,$L3017,$F$2:$F$4001,"4")-SUMIFS('AR SALES'!$Y$2:$Y$2501,'AR SALES'!$L$2:$L$2501,$L3017,'AR SALES'!$AD$2:$AD$2501,"OFF"),2)=0,"","STALE")))</f>
        <v/>
      </c>
      <c r="BB3017" s="2" t="str">
        <f>IF(OR(""&amp;$F3017="2",""&amp;$F3017="4",""&amp;$F3017="G",""&amp;$F3017="H"),IF($AY3017="YES","",IF($AB3017&lt;&gt;0,"",IF(COUNTIFS('AR SALES'!$L$2:$L$2501,$L3017,'AR SALES'!$AD$2:$AD$2501,IF(""&amp;$F3017="4","OFF","ON"),'AR SALES'!$AF$2:$AF$2501,"Y")&gt;0,"","NO EXEMPTION"))),"")</f>
        <v/>
      </c>
    </row>
    <row r="3018" spans="46:54" x14ac:dyDescent="0.25">
      <c r="AT3018" s="2" t="str">
        <f>IF($L3018="","",IFERROR(INDEX('AR SALES'!$H$2:$H$2501,MATCH(""&amp;$L3018,'AR SALES'!$AE$2:$AE$2501,0)),""))</f>
        <v/>
      </c>
      <c r="AU3018" s="2" t="str">
        <f t="shared" si="188"/>
        <v/>
      </c>
      <c r="AV3018" s="2" t="str">
        <f t="shared" si="189"/>
        <v/>
      </c>
      <c r="AW3018" s="2" t="str">
        <f t="shared" si="190"/>
        <v/>
      </c>
      <c r="AX3018" s="2" t="str">
        <f t="shared" si="191"/>
        <v/>
      </c>
      <c r="AY3018" s="2" t="str">
        <f>IF($AV3018="","",IF(AND($Z3018=0,COUNTIF('AR SALES'!$L$2:$L$2501,$L3018)=0),"YES",""))</f>
        <v/>
      </c>
      <c r="AZ3018" s="2" t="str">
        <f>IF($AV3018="","",IF(COUNTIF(LISTS!$C$2:$C$250,$AU3018)=0,"NEW",""))</f>
        <v/>
      </c>
      <c r="BA3018" s="2" t="str">
        <f>IF(""&amp;$F3018&lt;&gt;"4","",IF($AY3018="YES","",IF(ROUND(SUMIFS($AE$2:$AE$4001,$L$2:$L$4001,$L3018,$F$2:$F$4001,"4")-SUMIFS('AR SALES'!$Y$2:$Y$2501,'AR SALES'!$L$2:$L$2501,$L3018,'AR SALES'!$AD$2:$AD$2501,"OFF"),2)=0,"","STALE")))</f>
        <v/>
      </c>
      <c r="BB3018" s="2" t="str">
        <f>IF(OR(""&amp;$F3018="2",""&amp;$F3018="4",""&amp;$F3018="G",""&amp;$F3018="H"),IF($AY3018="YES","",IF($AB3018&lt;&gt;0,"",IF(COUNTIFS('AR SALES'!$L$2:$L$2501,$L3018,'AR SALES'!$AD$2:$AD$2501,IF(""&amp;$F3018="4","OFF","ON"),'AR SALES'!$AF$2:$AF$2501,"Y")&gt;0,"","NO EXEMPTION"))),"")</f>
        <v/>
      </c>
    </row>
    <row r="3019" spans="46:54" x14ac:dyDescent="0.25">
      <c r="AT3019" s="2" t="str">
        <f>IF($L3019="","",IFERROR(INDEX('AR SALES'!$H$2:$H$2501,MATCH(""&amp;$L3019,'AR SALES'!$AE$2:$AE$2501,0)),""))</f>
        <v/>
      </c>
      <c r="AU3019" s="2" t="str">
        <f t="shared" si="188"/>
        <v/>
      </c>
      <c r="AV3019" s="2" t="str">
        <f t="shared" si="189"/>
        <v/>
      </c>
      <c r="AW3019" s="2" t="str">
        <f t="shared" si="190"/>
        <v/>
      </c>
      <c r="AX3019" s="2" t="str">
        <f t="shared" si="191"/>
        <v/>
      </c>
      <c r="AY3019" s="2" t="str">
        <f>IF($AV3019="","",IF(AND($Z3019=0,COUNTIF('AR SALES'!$L$2:$L$2501,$L3019)=0),"YES",""))</f>
        <v/>
      </c>
      <c r="AZ3019" s="2" t="str">
        <f>IF($AV3019="","",IF(COUNTIF(LISTS!$C$2:$C$250,$AU3019)=0,"NEW",""))</f>
        <v/>
      </c>
      <c r="BA3019" s="2" t="str">
        <f>IF(""&amp;$F3019&lt;&gt;"4","",IF($AY3019="YES","",IF(ROUND(SUMIFS($AE$2:$AE$4001,$L$2:$L$4001,$L3019,$F$2:$F$4001,"4")-SUMIFS('AR SALES'!$Y$2:$Y$2501,'AR SALES'!$L$2:$L$2501,$L3019,'AR SALES'!$AD$2:$AD$2501,"OFF"),2)=0,"","STALE")))</f>
        <v/>
      </c>
      <c r="BB3019" s="2" t="str">
        <f>IF(OR(""&amp;$F3019="2",""&amp;$F3019="4",""&amp;$F3019="G",""&amp;$F3019="H"),IF($AY3019="YES","",IF($AB3019&lt;&gt;0,"",IF(COUNTIFS('AR SALES'!$L$2:$L$2501,$L3019,'AR SALES'!$AD$2:$AD$2501,IF(""&amp;$F3019="4","OFF","ON"),'AR SALES'!$AF$2:$AF$2501,"Y")&gt;0,"","NO EXEMPTION"))),"")</f>
        <v/>
      </c>
    </row>
    <row r="3020" spans="46:54" x14ac:dyDescent="0.25">
      <c r="AT3020" s="2" t="str">
        <f>IF($L3020="","",IFERROR(INDEX('AR SALES'!$H$2:$H$2501,MATCH(""&amp;$L3020,'AR SALES'!$AE$2:$AE$2501,0)),""))</f>
        <v/>
      </c>
      <c r="AU3020" s="2" t="str">
        <f t="shared" si="188"/>
        <v/>
      </c>
      <c r="AV3020" s="2" t="str">
        <f t="shared" si="189"/>
        <v/>
      </c>
      <c r="AW3020" s="2" t="str">
        <f t="shared" si="190"/>
        <v/>
      </c>
      <c r="AX3020" s="2" t="str">
        <f t="shared" si="191"/>
        <v/>
      </c>
      <c r="AY3020" s="2" t="str">
        <f>IF($AV3020="","",IF(AND($Z3020=0,COUNTIF('AR SALES'!$L$2:$L$2501,$L3020)=0),"YES",""))</f>
        <v/>
      </c>
      <c r="AZ3020" s="2" t="str">
        <f>IF($AV3020="","",IF(COUNTIF(LISTS!$C$2:$C$250,$AU3020)=0,"NEW",""))</f>
        <v/>
      </c>
      <c r="BA3020" s="2" t="str">
        <f>IF(""&amp;$F3020&lt;&gt;"4","",IF($AY3020="YES","",IF(ROUND(SUMIFS($AE$2:$AE$4001,$L$2:$L$4001,$L3020,$F$2:$F$4001,"4")-SUMIFS('AR SALES'!$Y$2:$Y$2501,'AR SALES'!$L$2:$L$2501,$L3020,'AR SALES'!$AD$2:$AD$2501,"OFF"),2)=0,"","STALE")))</f>
        <v/>
      </c>
      <c r="BB3020" s="2" t="str">
        <f>IF(OR(""&amp;$F3020="2",""&amp;$F3020="4",""&amp;$F3020="G",""&amp;$F3020="H"),IF($AY3020="YES","",IF($AB3020&lt;&gt;0,"",IF(COUNTIFS('AR SALES'!$L$2:$L$2501,$L3020,'AR SALES'!$AD$2:$AD$2501,IF(""&amp;$F3020="4","OFF","ON"),'AR SALES'!$AF$2:$AF$2501,"Y")&gt;0,"","NO EXEMPTION"))),"")</f>
        <v/>
      </c>
    </row>
    <row r="3021" spans="46:54" x14ac:dyDescent="0.25">
      <c r="AT3021" s="2" t="str">
        <f>IF($L3021="","",IFERROR(INDEX('AR SALES'!$H$2:$H$2501,MATCH(""&amp;$L3021,'AR SALES'!$AE$2:$AE$2501,0)),""))</f>
        <v/>
      </c>
      <c r="AU3021" s="2" t="str">
        <f t="shared" si="188"/>
        <v/>
      </c>
      <c r="AV3021" s="2" t="str">
        <f t="shared" si="189"/>
        <v/>
      </c>
      <c r="AW3021" s="2" t="str">
        <f t="shared" si="190"/>
        <v/>
      </c>
      <c r="AX3021" s="2" t="str">
        <f t="shared" si="191"/>
        <v/>
      </c>
      <c r="AY3021" s="2" t="str">
        <f>IF($AV3021="","",IF(AND($Z3021=0,COUNTIF('AR SALES'!$L$2:$L$2501,$L3021)=0),"YES",""))</f>
        <v/>
      </c>
      <c r="AZ3021" s="2" t="str">
        <f>IF($AV3021="","",IF(COUNTIF(LISTS!$C$2:$C$250,$AU3021)=0,"NEW",""))</f>
        <v/>
      </c>
      <c r="BA3021" s="2" t="str">
        <f>IF(""&amp;$F3021&lt;&gt;"4","",IF($AY3021="YES","",IF(ROUND(SUMIFS($AE$2:$AE$4001,$L$2:$L$4001,$L3021,$F$2:$F$4001,"4")-SUMIFS('AR SALES'!$Y$2:$Y$2501,'AR SALES'!$L$2:$L$2501,$L3021,'AR SALES'!$AD$2:$AD$2501,"OFF"),2)=0,"","STALE")))</f>
        <v/>
      </c>
      <c r="BB3021" s="2" t="str">
        <f>IF(OR(""&amp;$F3021="2",""&amp;$F3021="4",""&amp;$F3021="G",""&amp;$F3021="H"),IF($AY3021="YES","",IF($AB3021&lt;&gt;0,"",IF(COUNTIFS('AR SALES'!$L$2:$L$2501,$L3021,'AR SALES'!$AD$2:$AD$2501,IF(""&amp;$F3021="4","OFF","ON"),'AR SALES'!$AF$2:$AF$2501,"Y")&gt;0,"","NO EXEMPTION"))),"")</f>
        <v/>
      </c>
    </row>
    <row r="3022" spans="46:54" x14ac:dyDescent="0.25">
      <c r="AT3022" s="2" t="str">
        <f>IF($L3022="","",IFERROR(INDEX('AR SALES'!$H$2:$H$2501,MATCH(""&amp;$L3022,'AR SALES'!$AE$2:$AE$2501,0)),""))</f>
        <v/>
      </c>
      <c r="AU3022" s="2" t="str">
        <f t="shared" si="188"/>
        <v/>
      </c>
      <c r="AV3022" s="2" t="str">
        <f t="shared" si="189"/>
        <v/>
      </c>
      <c r="AW3022" s="2" t="str">
        <f t="shared" si="190"/>
        <v/>
      </c>
      <c r="AX3022" s="2" t="str">
        <f t="shared" si="191"/>
        <v/>
      </c>
      <c r="AY3022" s="2" t="str">
        <f>IF($AV3022="","",IF(AND($Z3022=0,COUNTIF('AR SALES'!$L$2:$L$2501,$L3022)=0),"YES",""))</f>
        <v/>
      </c>
      <c r="AZ3022" s="2" t="str">
        <f>IF($AV3022="","",IF(COUNTIF(LISTS!$C$2:$C$250,$AU3022)=0,"NEW",""))</f>
        <v/>
      </c>
      <c r="BA3022" s="2" t="str">
        <f>IF(""&amp;$F3022&lt;&gt;"4","",IF($AY3022="YES","",IF(ROUND(SUMIFS($AE$2:$AE$4001,$L$2:$L$4001,$L3022,$F$2:$F$4001,"4")-SUMIFS('AR SALES'!$Y$2:$Y$2501,'AR SALES'!$L$2:$L$2501,$L3022,'AR SALES'!$AD$2:$AD$2501,"OFF"),2)=0,"","STALE")))</f>
        <v/>
      </c>
      <c r="BB3022" s="2" t="str">
        <f>IF(OR(""&amp;$F3022="2",""&amp;$F3022="4",""&amp;$F3022="G",""&amp;$F3022="H"),IF($AY3022="YES","",IF($AB3022&lt;&gt;0,"",IF(COUNTIFS('AR SALES'!$L$2:$L$2501,$L3022,'AR SALES'!$AD$2:$AD$2501,IF(""&amp;$F3022="4","OFF","ON"),'AR SALES'!$AF$2:$AF$2501,"Y")&gt;0,"","NO EXEMPTION"))),"")</f>
        <v/>
      </c>
    </row>
    <row r="3023" spans="46:54" x14ac:dyDescent="0.25">
      <c r="AT3023" s="2" t="str">
        <f>IF($L3023="","",IFERROR(INDEX('AR SALES'!$H$2:$H$2501,MATCH(""&amp;$L3023,'AR SALES'!$AE$2:$AE$2501,0)),""))</f>
        <v/>
      </c>
      <c r="AU3023" s="2" t="str">
        <f t="shared" si="188"/>
        <v/>
      </c>
      <c r="AV3023" s="2" t="str">
        <f t="shared" si="189"/>
        <v/>
      </c>
      <c r="AW3023" s="2" t="str">
        <f t="shared" si="190"/>
        <v/>
      </c>
      <c r="AX3023" s="2" t="str">
        <f t="shared" si="191"/>
        <v/>
      </c>
      <c r="AY3023" s="2" t="str">
        <f>IF($AV3023="","",IF(AND($Z3023=0,COUNTIF('AR SALES'!$L$2:$L$2501,$L3023)=0),"YES",""))</f>
        <v/>
      </c>
      <c r="AZ3023" s="2" t="str">
        <f>IF($AV3023="","",IF(COUNTIF(LISTS!$C$2:$C$250,$AU3023)=0,"NEW",""))</f>
        <v/>
      </c>
      <c r="BA3023" s="2" t="str">
        <f>IF(""&amp;$F3023&lt;&gt;"4","",IF($AY3023="YES","",IF(ROUND(SUMIFS($AE$2:$AE$4001,$L$2:$L$4001,$L3023,$F$2:$F$4001,"4")-SUMIFS('AR SALES'!$Y$2:$Y$2501,'AR SALES'!$L$2:$L$2501,$L3023,'AR SALES'!$AD$2:$AD$2501,"OFF"),2)=0,"","STALE")))</f>
        <v/>
      </c>
      <c r="BB3023" s="2" t="str">
        <f>IF(OR(""&amp;$F3023="2",""&amp;$F3023="4",""&amp;$F3023="G",""&amp;$F3023="H"),IF($AY3023="YES","",IF($AB3023&lt;&gt;0,"",IF(COUNTIFS('AR SALES'!$L$2:$L$2501,$L3023,'AR SALES'!$AD$2:$AD$2501,IF(""&amp;$F3023="4","OFF","ON"),'AR SALES'!$AF$2:$AF$2501,"Y")&gt;0,"","NO EXEMPTION"))),"")</f>
        <v/>
      </c>
    </row>
    <row r="3024" spans="46:54" x14ac:dyDescent="0.25">
      <c r="AT3024" s="2" t="str">
        <f>IF($L3024="","",IFERROR(INDEX('AR SALES'!$H$2:$H$2501,MATCH(""&amp;$L3024,'AR SALES'!$AE$2:$AE$2501,0)),""))</f>
        <v/>
      </c>
      <c r="AU3024" s="2" t="str">
        <f t="shared" si="188"/>
        <v/>
      </c>
      <c r="AV3024" s="2" t="str">
        <f t="shared" si="189"/>
        <v/>
      </c>
      <c r="AW3024" s="2" t="str">
        <f t="shared" si="190"/>
        <v/>
      </c>
      <c r="AX3024" s="2" t="str">
        <f t="shared" si="191"/>
        <v/>
      </c>
      <c r="AY3024" s="2" t="str">
        <f>IF($AV3024="","",IF(AND($Z3024=0,COUNTIF('AR SALES'!$L$2:$L$2501,$L3024)=0),"YES",""))</f>
        <v/>
      </c>
      <c r="AZ3024" s="2" t="str">
        <f>IF($AV3024="","",IF(COUNTIF(LISTS!$C$2:$C$250,$AU3024)=0,"NEW",""))</f>
        <v/>
      </c>
      <c r="BA3024" s="2" t="str">
        <f>IF(""&amp;$F3024&lt;&gt;"4","",IF($AY3024="YES","",IF(ROUND(SUMIFS($AE$2:$AE$4001,$L$2:$L$4001,$L3024,$F$2:$F$4001,"4")-SUMIFS('AR SALES'!$Y$2:$Y$2501,'AR SALES'!$L$2:$L$2501,$L3024,'AR SALES'!$AD$2:$AD$2501,"OFF"),2)=0,"","STALE")))</f>
        <v/>
      </c>
      <c r="BB3024" s="2" t="str">
        <f>IF(OR(""&amp;$F3024="2",""&amp;$F3024="4",""&amp;$F3024="G",""&amp;$F3024="H"),IF($AY3024="YES","",IF($AB3024&lt;&gt;0,"",IF(COUNTIFS('AR SALES'!$L$2:$L$2501,$L3024,'AR SALES'!$AD$2:$AD$2501,IF(""&amp;$F3024="4","OFF","ON"),'AR SALES'!$AF$2:$AF$2501,"Y")&gt;0,"","NO EXEMPTION"))),"")</f>
        <v/>
      </c>
    </row>
    <row r="3025" spans="46:54" x14ac:dyDescent="0.25">
      <c r="AT3025" s="2" t="str">
        <f>IF($L3025="","",IFERROR(INDEX('AR SALES'!$H$2:$H$2501,MATCH(""&amp;$L3025,'AR SALES'!$AE$2:$AE$2501,0)),""))</f>
        <v/>
      </c>
      <c r="AU3025" s="2" t="str">
        <f t="shared" si="188"/>
        <v/>
      </c>
      <c r="AV3025" s="2" t="str">
        <f t="shared" si="189"/>
        <v/>
      </c>
      <c r="AW3025" s="2" t="str">
        <f t="shared" si="190"/>
        <v/>
      </c>
      <c r="AX3025" s="2" t="str">
        <f t="shared" si="191"/>
        <v/>
      </c>
      <c r="AY3025" s="2" t="str">
        <f>IF($AV3025="","",IF(AND($Z3025=0,COUNTIF('AR SALES'!$L$2:$L$2501,$L3025)=0),"YES",""))</f>
        <v/>
      </c>
      <c r="AZ3025" s="2" t="str">
        <f>IF($AV3025="","",IF(COUNTIF(LISTS!$C$2:$C$250,$AU3025)=0,"NEW",""))</f>
        <v/>
      </c>
      <c r="BA3025" s="2" t="str">
        <f>IF(""&amp;$F3025&lt;&gt;"4","",IF($AY3025="YES","",IF(ROUND(SUMIFS($AE$2:$AE$4001,$L$2:$L$4001,$L3025,$F$2:$F$4001,"4")-SUMIFS('AR SALES'!$Y$2:$Y$2501,'AR SALES'!$L$2:$L$2501,$L3025,'AR SALES'!$AD$2:$AD$2501,"OFF"),2)=0,"","STALE")))</f>
        <v/>
      </c>
      <c r="BB3025" s="2" t="str">
        <f>IF(OR(""&amp;$F3025="2",""&amp;$F3025="4",""&amp;$F3025="G",""&amp;$F3025="H"),IF($AY3025="YES","",IF($AB3025&lt;&gt;0,"",IF(COUNTIFS('AR SALES'!$L$2:$L$2501,$L3025,'AR SALES'!$AD$2:$AD$2501,IF(""&amp;$F3025="4","OFF","ON"),'AR SALES'!$AF$2:$AF$2501,"Y")&gt;0,"","NO EXEMPTION"))),"")</f>
        <v/>
      </c>
    </row>
    <row r="3026" spans="46:54" x14ac:dyDescent="0.25">
      <c r="AT3026" s="2" t="str">
        <f>IF($L3026="","",IFERROR(INDEX('AR SALES'!$H$2:$H$2501,MATCH(""&amp;$L3026,'AR SALES'!$AE$2:$AE$2501,0)),""))</f>
        <v/>
      </c>
      <c r="AU3026" s="2" t="str">
        <f t="shared" si="188"/>
        <v/>
      </c>
      <c r="AV3026" s="2" t="str">
        <f t="shared" si="189"/>
        <v/>
      </c>
      <c r="AW3026" s="2" t="str">
        <f t="shared" si="190"/>
        <v/>
      </c>
      <c r="AX3026" s="2" t="str">
        <f t="shared" si="191"/>
        <v/>
      </c>
      <c r="AY3026" s="2" t="str">
        <f>IF($AV3026="","",IF(AND($Z3026=0,COUNTIF('AR SALES'!$L$2:$L$2501,$L3026)=0),"YES",""))</f>
        <v/>
      </c>
      <c r="AZ3026" s="2" t="str">
        <f>IF($AV3026="","",IF(COUNTIF(LISTS!$C$2:$C$250,$AU3026)=0,"NEW",""))</f>
        <v/>
      </c>
      <c r="BA3026" s="2" t="str">
        <f>IF(""&amp;$F3026&lt;&gt;"4","",IF($AY3026="YES","",IF(ROUND(SUMIFS($AE$2:$AE$4001,$L$2:$L$4001,$L3026,$F$2:$F$4001,"4")-SUMIFS('AR SALES'!$Y$2:$Y$2501,'AR SALES'!$L$2:$L$2501,$L3026,'AR SALES'!$AD$2:$AD$2501,"OFF"),2)=0,"","STALE")))</f>
        <v/>
      </c>
      <c r="BB3026" s="2" t="str">
        <f>IF(OR(""&amp;$F3026="2",""&amp;$F3026="4",""&amp;$F3026="G",""&amp;$F3026="H"),IF($AY3026="YES","",IF($AB3026&lt;&gt;0,"",IF(COUNTIFS('AR SALES'!$L$2:$L$2501,$L3026,'AR SALES'!$AD$2:$AD$2501,IF(""&amp;$F3026="4","OFF","ON"),'AR SALES'!$AF$2:$AF$2501,"Y")&gt;0,"","NO EXEMPTION"))),"")</f>
        <v/>
      </c>
    </row>
    <row r="3027" spans="46:54" x14ac:dyDescent="0.25">
      <c r="AT3027" s="2" t="str">
        <f>IF($L3027="","",IFERROR(INDEX('AR SALES'!$H$2:$H$2501,MATCH(""&amp;$L3027,'AR SALES'!$AE$2:$AE$2501,0)),""))</f>
        <v/>
      </c>
      <c r="AU3027" s="2" t="str">
        <f t="shared" si="188"/>
        <v/>
      </c>
      <c r="AV3027" s="2" t="str">
        <f t="shared" si="189"/>
        <v/>
      </c>
      <c r="AW3027" s="2" t="str">
        <f t="shared" si="190"/>
        <v/>
      </c>
      <c r="AX3027" s="2" t="str">
        <f t="shared" si="191"/>
        <v/>
      </c>
      <c r="AY3027" s="2" t="str">
        <f>IF($AV3027="","",IF(AND($Z3027=0,COUNTIF('AR SALES'!$L$2:$L$2501,$L3027)=0),"YES",""))</f>
        <v/>
      </c>
      <c r="AZ3027" s="2" t="str">
        <f>IF($AV3027="","",IF(COUNTIF(LISTS!$C$2:$C$250,$AU3027)=0,"NEW",""))</f>
        <v/>
      </c>
      <c r="BA3027" s="2" t="str">
        <f>IF(""&amp;$F3027&lt;&gt;"4","",IF($AY3027="YES","",IF(ROUND(SUMIFS($AE$2:$AE$4001,$L$2:$L$4001,$L3027,$F$2:$F$4001,"4")-SUMIFS('AR SALES'!$Y$2:$Y$2501,'AR SALES'!$L$2:$L$2501,$L3027,'AR SALES'!$AD$2:$AD$2501,"OFF"),2)=0,"","STALE")))</f>
        <v/>
      </c>
      <c r="BB3027" s="2" t="str">
        <f>IF(OR(""&amp;$F3027="2",""&amp;$F3027="4",""&amp;$F3027="G",""&amp;$F3027="H"),IF($AY3027="YES","",IF($AB3027&lt;&gt;0,"",IF(COUNTIFS('AR SALES'!$L$2:$L$2501,$L3027,'AR SALES'!$AD$2:$AD$2501,IF(""&amp;$F3027="4","OFF","ON"),'AR SALES'!$AF$2:$AF$2501,"Y")&gt;0,"","NO EXEMPTION"))),"")</f>
        <v/>
      </c>
    </row>
    <row r="3028" spans="46:54" x14ac:dyDescent="0.25">
      <c r="AT3028" s="2" t="str">
        <f>IF($L3028="","",IFERROR(INDEX('AR SALES'!$H$2:$H$2501,MATCH(""&amp;$L3028,'AR SALES'!$AE$2:$AE$2501,0)),""))</f>
        <v/>
      </c>
      <c r="AU3028" s="2" t="str">
        <f t="shared" si="188"/>
        <v/>
      </c>
      <c r="AV3028" s="2" t="str">
        <f t="shared" si="189"/>
        <v/>
      </c>
      <c r="AW3028" s="2" t="str">
        <f t="shared" si="190"/>
        <v/>
      </c>
      <c r="AX3028" s="2" t="str">
        <f t="shared" si="191"/>
        <v/>
      </c>
      <c r="AY3028" s="2" t="str">
        <f>IF($AV3028="","",IF(AND($Z3028=0,COUNTIF('AR SALES'!$L$2:$L$2501,$L3028)=0),"YES",""))</f>
        <v/>
      </c>
      <c r="AZ3028" s="2" t="str">
        <f>IF($AV3028="","",IF(COUNTIF(LISTS!$C$2:$C$250,$AU3028)=0,"NEW",""))</f>
        <v/>
      </c>
      <c r="BA3028" s="2" t="str">
        <f>IF(""&amp;$F3028&lt;&gt;"4","",IF($AY3028="YES","",IF(ROUND(SUMIFS($AE$2:$AE$4001,$L$2:$L$4001,$L3028,$F$2:$F$4001,"4")-SUMIFS('AR SALES'!$Y$2:$Y$2501,'AR SALES'!$L$2:$L$2501,$L3028,'AR SALES'!$AD$2:$AD$2501,"OFF"),2)=0,"","STALE")))</f>
        <v/>
      </c>
      <c r="BB3028" s="2" t="str">
        <f>IF(OR(""&amp;$F3028="2",""&amp;$F3028="4",""&amp;$F3028="G",""&amp;$F3028="H"),IF($AY3028="YES","",IF($AB3028&lt;&gt;0,"",IF(COUNTIFS('AR SALES'!$L$2:$L$2501,$L3028,'AR SALES'!$AD$2:$AD$2501,IF(""&amp;$F3028="4","OFF","ON"),'AR SALES'!$AF$2:$AF$2501,"Y")&gt;0,"","NO EXEMPTION"))),"")</f>
        <v/>
      </c>
    </row>
    <row r="3029" spans="46:54" x14ac:dyDescent="0.25">
      <c r="AT3029" s="2" t="str">
        <f>IF($L3029="","",IFERROR(INDEX('AR SALES'!$H$2:$H$2501,MATCH(""&amp;$L3029,'AR SALES'!$AE$2:$AE$2501,0)),""))</f>
        <v/>
      </c>
      <c r="AU3029" s="2" t="str">
        <f t="shared" si="188"/>
        <v/>
      </c>
      <c r="AV3029" s="2" t="str">
        <f t="shared" si="189"/>
        <v/>
      </c>
      <c r="AW3029" s="2" t="str">
        <f t="shared" si="190"/>
        <v/>
      </c>
      <c r="AX3029" s="2" t="str">
        <f t="shared" si="191"/>
        <v/>
      </c>
      <c r="AY3029" s="2" t="str">
        <f>IF($AV3029="","",IF(AND($Z3029=0,COUNTIF('AR SALES'!$L$2:$L$2501,$L3029)=0),"YES",""))</f>
        <v/>
      </c>
      <c r="AZ3029" s="2" t="str">
        <f>IF($AV3029="","",IF(COUNTIF(LISTS!$C$2:$C$250,$AU3029)=0,"NEW",""))</f>
        <v/>
      </c>
      <c r="BA3029" s="2" t="str">
        <f>IF(""&amp;$F3029&lt;&gt;"4","",IF($AY3029="YES","",IF(ROUND(SUMIFS($AE$2:$AE$4001,$L$2:$L$4001,$L3029,$F$2:$F$4001,"4")-SUMIFS('AR SALES'!$Y$2:$Y$2501,'AR SALES'!$L$2:$L$2501,$L3029,'AR SALES'!$AD$2:$AD$2501,"OFF"),2)=0,"","STALE")))</f>
        <v/>
      </c>
      <c r="BB3029" s="2" t="str">
        <f>IF(OR(""&amp;$F3029="2",""&amp;$F3029="4",""&amp;$F3029="G",""&amp;$F3029="H"),IF($AY3029="YES","",IF($AB3029&lt;&gt;0,"",IF(COUNTIFS('AR SALES'!$L$2:$L$2501,$L3029,'AR SALES'!$AD$2:$AD$2501,IF(""&amp;$F3029="4","OFF","ON"),'AR SALES'!$AF$2:$AF$2501,"Y")&gt;0,"","NO EXEMPTION"))),"")</f>
        <v/>
      </c>
    </row>
    <row r="3030" spans="46:54" x14ac:dyDescent="0.25">
      <c r="AT3030" s="2" t="str">
        <f>IF($L3030="","",IFERROR(INDEX('AR SALES'!$H$2:$H$2501,MATCH(""&amp;$L3030,'AR SALES'!$AE$2:$AE$2501,0)),""))</f>
        <v/>
      </c>
      <c r="AU3030" s="2" t="str">
        <f t="shared" si="188"/>
        <v/>
      </c>
      <c r="AV3030" s="2" t="str">
        <f t="shared" si="189"/>
        <v/>
      </c>
      <c r="AW3030" s="2" t="str">
        <f t="shared" si="190"/>
        <v/>
      </c>
      <c r="AX3030" s="2" t="str">
        <f t="shared" si="191"/>
        <v/>
      </c>
      <c r="AY3030" s="2" t="str">
        <f>IF($AV3030="","",IF(AND($Z3030=0,COUNTIF('AR SALES'!$L$2:$L$2501,$L3030)=0),"YES",""))</f>
        <v/>
      </c>
      <c r="AZ3030" s="2" t="str">
        <f>IF($AV3030="","",IF(COUNTIF(LISTS!$C$2:$C$250,$AU3030)=0,"NEW",""))</f>
        <v/>
      </c>
      <c r="BA3030" s="2" t="str">
        <f>IF(""&amp;$F3030&lt;&gt;"4","",IF($AY3030="YES","",IF(ROUND(SUMIFS($AE$2:$AE$4001,$L$2:$L$4001,$L3030,$F$2:$F$4001,"4")-SUMIFS('AR SALES'!$Y$2:$Y$2501,'AR SALES'!$L$2:$L$2501,$L3030,'AR SALES'!$AD$2:$AD$2501,"OFF"),2)=0,"","STALE")))</f>
        <v/>
      </c>
      <c r="BB3030" s="2" t="str">
        <f>IF(OR(""&amp;$F3030="2",""&amp;$F3030="4",""&amp;$F3030="G",""&amp;$F3030="H"),IF($AY3030="YES","",IF($AB3030&lt;&gt;0,"",IF(COUNTIFS('AR SALES'!$L$2:$L$2501,$L3030,'AR SALES'!$AD$2:$AD$2501,IF(""&amp;$F3030="4","OFF","ON"),'AR SALES'!$AF$2:$AF$2501,"Y")&gt;0,"","NO EXEMPTION"))),"")</f>
        <v/>
      </c>
    </row>
    <row r="3031" spans="46:54" x14ac:dyDescent="0.25">
      <c r="AT3031" s="2" t="str">
        <f>IF($L3031="","",IFERROR(INDEX('AR SALES'!$H$2:$H$2501,MATCH(""&amp;$L3031,'AR SALES'!$AE$2:$AE$2501,0)),""))</f>
        <v/>
      </c>
      <c r="AU3031" s="2" t="str">
        <f t="shared" si="188"/>
        <v/>
      </c>
      <c r="AV3031" s="2" t="str">
        <f t="shared" si="189"/>
        <v/>
      </c>
      <c r="AW3031" s="2" t="str">
        <f t="shared" si="190"/>
        <v/>
      </c>
      <c r="AX3031" s="2" t="str">
        <f t="shared" si="191"/>
        <v/>
      </c>
      <c r="AY3031" s="2" t="str">
        <f>IF($AV3031="","",IF(AND($Z3031=0,COUNTIF('AR SALES'!$L$2:$L$2501,$L3031)=0),"YES",""))</f>
        <v/>
      </c>
      <c r="AZ3031" s="2" t="str">
        <f>IF($AV3031="","",IF(COUNTIF(LISTS!$C$2:$C$250,$AU3031)=0,"NEW",""))</f>
        <v/>
      </c>
      <c r="BA3031" s="2" t="str">
        <f>IF(""&amp;$F3031&lt;&gt;"4","",IF($AY3031="YES","",IF(ROUND(SUMIFS($AE$2:$AE$4001,$L$2:$L$4001,$L3031,$F$2:$F$4001,"4")-SUMIFS('AR SALES'!$Y$2:$Y$2501,'AR SALES'!$L$2:$L$2501,$L3031,'AR SALES'!$AD$2:$AD$2501,"OFF"),2)=0,"","STALE")))</f>
        <v/>
      </c>
      <c r="BB3031" s="2" t="str">
        <f>IF(OR(""&amp;$F3031="2",""&amp;$F3031="4",""&amp;$F3031="G",""&amp;$F3031="H"),IF($AY3031="YES","",IF($AB3031&lt;&gt;0,"",IF(COUNTIFS('AR SALES'!$L$2:$L$2501,$L3031,'AR SALES'!$AD$2:$AD$2501,IF(""&amp;$F3031="4","OFF","ON"),'AR SALES'!$AF$2:$AF$2501,"Y")&gt;0,"","NO EXEMPTION"))),"")</f>
        <v/>
      </c>
    </row>
    <row r="3032" spans="46:54" x14ac:dyDescent="0.25">
      <c r="AT3032" s="2" t="str">
        <f>IF($L3032="","",IFERROR(INDEX('AR SALES'!$H$2:$H$2501,MATCH(""&amp;$L3032,'AR SALES'!$AE$2:$AE$2501,0)),""))</f>
        <v/>
      </c>
      <c r="AU3032" s="2" t="str">
        <f t="shared" si="188"/>
        <v/>
      </c>
      <c r="AV3032" s="2" t="str">
        <f t="shared" si="189"/>
        <v/>
      </c>
      <c r="AW3032" s="2" t="str">
        <f t="shared" si="190"/>
        <v/>
      </c>
      <c r="AX3032" s="2" t="str">
        <f t="shared" si="191"/>
        <v/>
      </c>
      <c r="AY3032" s="2" t="str">
        <f>IF($AV3032="","",IF(AND($Z3032=0,COUNTIF('AR SALES'!$L$2:$L$2501,$L3032)=0),"YES",""))</f>
        <v/>
      </c>
      <c r="AZ3032" s="2" t="str">
        <f>IF($AV3032="","",IF(COUNTIF(LISTS!$C$2:$C$250,$AU3032)=0,"NEW",""))</f>
        <v/>
      </c>
      <c r="BA3032" s="2" t="str">
        <f>IF(""&amp;$F3032&lt;&gt;"4","",IF($AY3032="YES","",IF(ROUND(SUMIFS($AE$2:$AE$4001,$L$2:$L$4001,$L3032,$F$2:$F$4001,"4")-SUMIFS('AR SALES'!$Y$2:$Y$2501,'AR SALES'!$L$2:$L$2501,$L3032,'AR SALES'!$AD$2:$AD$2501,"OFF"),2)=0,"","STALE")))</f>
        <v/>
      </c>
      <c r="BB3032" s="2" t="str">
        <f>IF(OR(""&amp;$F3032="2",""&amp;$F3032="4",""&amp;$F3032="G",""&amp;$F3032="H"),IF($AY3032="YES","",IF($AB3032&lt;&gt;0,"",IF(COUNTIFS('AR SALES'!$L$2:$L$2501,$L3032,'AR SALES'!$AD$2:$AD$2501,IF(""&amp;$F3032="4","OFF","ON"),'AR SALES'!$AF$2:$AF$2501,"Y")&gt;0,"","NO EXEMPTION"))),"")</f>
        <v/>
      </c>
    </row>
    <row r="3033" spans="46:54" x14ac:dyDescent="0.25">
      <c r="AT3033" s="2" t="str">
        <f>IF($L3033="","",IFERROR(INDEX('AR SALES'!$H$2:$H$2501,MATCH(""&amp;$L3033,'AR SALES'!$AE$2:$AE$2501,0)),""))</f>
        <v/>
      </c>
      <c r="AU3033" s="2" t="str">
        <f t="shared" si="188"/>
        <v/>
      </c>
      <c r="AV3033" s="2" t="str">
        <f t="shared" si="189"/>
        <v/>
      </c>
      <c r="AW3033" s="2" t="str">
        <f t="shared" si="190"/>
        <v/>
      </c>
      <c r="AX3033" s="2" t="str">
        <f t="shared" si="191"/>
        <v/>
      </c>
      <c r="AY3033" s="2" t="str">
        <f>IF($AV3033="","",IF(AND($Z3033=0,COUNTIF('AR SALES'!$L$2:$L$2501,$L3033)=0),"YES",""))</f>
        <v/>
      </c>
      <c r="AZ3033" s="2" t="str">
        <f>IF($AV3033="","",IF(COUNTIF(LISTS!$C$2:$C$250,$AU3033)=0,"NEW",""))</f>
        <v/>
      </c>
      <c r="BA3033" s="2" t="str">
        <f>IF(""&amp;$F3033&lt;&gt;"4","",IF($AY3033="YES","",IF(ROUND(SUMIFS($AE$2:$AE$4001,$L$2:$L$4001,$L3033,$F$2:$F$4001,"4")-SUMIFS('AR SALES'!$Y$2:$Y$2501,'AR SALES'!$L$2:$L$2501,$L3033,'AR SALES'!$AD$2:$AD$2501,"OFF"),2)=0,"","STALE")))</f>
        <v/>
      </c>
      <c r="BB3033" s="2" t="str">
        <f>IF(OR(""&amp;$F3033="2",""&amp;$F3033="4",""&amp;$F3033="G",""&amp;$F3033="H"),IF($AY3033="YES","",IF($AB3033&lt;&gt;0,"",IF(COUNTIFS('AR SALES'!$L$2:$L$2501,$L3033,'AR SALES'!$AD$2:$AD$2501,IF(""&amp;$F3033="4","OFF","ON"),'AR SALES'!$AF$2:$AF$2501,"Y")&gt;0,"","NO EXEMPTION"))),"")</f>
        <v/>
      </c>
    </row>
    <row r="3034" spans="46:54" x14ac:dyDescent="0.25">
      <c r="AT3034" s="2" t="str">
        <f>IF($L3034="","",IFERROR(INDEX('AR SALES'!$H$2:$H$2501,MATCH(""&amp;$L3034,'AR SALES'!$AE$2:$AE$2501,0)),""))</f>
        <v/>
      </c>
      <c r="AU3034" s="2" t="str">
        <f t="shared" si="188"/>
        <v/>
      </c>
      <c r="AV3034" s="2" t="str">
        <f t="shared" si="189"/>
        <v/>
      </c>
      <c r="AW3034" s="2" t="str">
        <f t="shared" si="190"/>
        <v/>
      </c>
      <c r="AX3034" s="2" t="str">
        <f t="shared" si="191"/>
        <v/>
      </c>
      <c r="AY3034" s="2" t="str">
        <f>IF($AV3034="","",IF(AND($Z3034=0,COUNTIF('AR SALES'!$L$2:$L$2501,$L3034)=0),"YES",""))</f>
        <v/>
      </c>
      <c r="AZ3034" s="2" t="str">
        <f>IF($AV3034="","",IF(COUNTIF(LISTS!$C$2:$C$250,$AU3034)=0,"NEW",""))</f>
        <v/>
      </c>
      <c r="BA3034" s="2" t="str">
        <f>IF(""&amp;$F3034&lt;&gt;"4","",IF($AY3034="YES","",IF(ROUND(SUMIFS($AE$2:$AE$4001,$L$2:$L$4001,$L3034,$F$2:$F$4001,"4")-SUMIFS('AR SALES'!$Y$2:$Y$2501,'AR SALES'!$L$2:$L$2501,$L3034,'AR SALES'!$AD$2:$AD$2501,"OFF"),2)=0,"","STALE")))</f>
        <v/>
      </c>
      <c r="BB3034" s="2" t="str">
        <f>IF(OR(""&amp;$F3034="2",""&amp;$F3034="4",""&amp;$F3034="G",""&amp;$F3034="H"),IF($AY3034="YES","",IF($AB3034&lt;&gt;0,"",IF(COUNTIFS('AR SALES'!$L$2:$L$2501,$L3034,'AR SALES'!$AD$2:$AD$2501,IF(""&amp;$F3034="4","OFF","ON"),'AR SALES'!$AF$2:$AF$2501,"Y")&gt;0,"","NO EXEMPTION"))),"")</f>
        <v/>
      </c>
    </row>
    <row r="3035" spans="46:54" x14ac:dyDescent="0.25">
      <c r="AT3035" s="2" t="str">
        <f>IF($L3035="","",IFERROR(INDEX('AR SALES'!$H$2:$H$2501,MATCH(""&amp;$L3035,'AR SALES'!$AE$2:$AE$2501,0)),""))</f>
        <v/>
      </c>
      <c r="AU3035" s="2" t="str">
        <f t="shared" si="188"/>
        <v/>
      </c>
      <c r="AV3035" s="2" t="str">
        <f t="shared" si="189"/>
        <v/>
      </c>
      <c r="AW3035" s="2" t="str">
        <f t="shared" si="190"/>
        <v/>
      </c>
      <c r="AX3035" s="2" t="str">
        <f t="shared" si="191"/>
        <v/>
      </c>
      <c r="AY3035" s="2" t="str">
        <f>IF($AV3035="","",IF(AND($Z3035=0,COUNTIF('AR SALES'!$L$2:$L$2501,$L3035)=0),"YES",""))</f>
        <v/>
      </c>
      <c r="AZ3035" s="2" t="str">
        <f>IF($AV3035="","",IF(COUNTIF(LISTS!$C$2:$C$250,$AU3035)=0,"NEW",""))</f>
        <v/>
      </c>
      <c r="BA3035" s="2" t="str">
        <f>IF(""&amp;$F3035&lt;&gt;"4","",IF($AY3035="YES","",IF(ROUND(SUMIFS($AE$2:$AE$4001,$L$2:$L$4001,$L3035,$F$2:$F$4001,"4")-SUMIFS('AR SALES'!$Y$2:$Y$2501,'AR SALES'!$L$2:$L$2501,$L3035,'AR SALES'!$AD$2:$AD$2501,"OFF"),2)=0,"","STALE")))</f>
        <v/>
      </c>
      <c r="BB3035" s="2" t="str">
        <f>IF(OR(""&amp;$F3035="2",""&amp;$F3035="4",""&amp;$F3035="G",""&amp;$F3035="H"),IF($AY3035="YES","",IF($AB3035&lt;&gt;0,"",IF(COUNTIFS('AR SALES'!$L$2:$L$2501,$L3035,'AR SALES'!$AD$2:$AD$2501,IF(""&amp;$F3035="4","OFF","ON"),'AR SALES'!$AF$2:$AF$2501,"Y")&gt;0,"","NO EXEMPTION"))),"")</f>
        <v/>
      </c>
    </row>
    <row r="3036" spans="46:54" x14ac:dyDescent="0.25">
      <c r="AT3036" s="2" t="str">
        <f>IF($L3036="","",IFERROR(INDEX('AR SALES'!$H$2:$H$2501,MATCH(""&amp;$L3036,'AR SALES'!$AE$2:$AE$2501,0)),""))</f>
        <v/>
      </c>
      <c r="AU3036" s="2" t="str">
        <f t="shared" si="188"/>
        <v/>
      </c>
      <c r="AV3036" s="2" t="str">
        <f t="shared" si="189"/>
        <v/>
      </c>
      <c r="AW3036" s="2" t="str">
        <f t="shared" si="190"/>
        <v/>
      </c>
      <c r="AX3036" s="2" t="str">
        <f t="shared" si="191"/>
        <v/>
      </c>
      <c r="AY3036" s="2" t="str">
        <f>IF($AV3036="","",IF(AND($Z3036=0,COUNTIF('AR SALES'!$L$2:$L$2501,$L3036)=0),"YES",""))</f>
        <v/>
      </c>
      <c r="AZ3036" s="2" t="str">
        <f>IF($AV3036="","",IF(COUNTIF(LISTS!$C$2:$C$250,$AU3036)=0,"NEW",""))</f>
        <v/>
      </c>
      <c r="BA3036" s="2" t="str">
        <f>IF(""&amp;$F3036&lt;&gt;"4","",IF($AY3036="YES","",IF(ROUND(SUMIFS($AE$2:$AE$4001,$L$2:$L$4001,$L3036,$F$2:$F$4001,"4")-SUMIFS('AR SALES'!$Y$2:$Y$2501,'AR SALES'!$L$2:$L$2501,$L3036,'AR SALES'!$AD$2:$AD$2501,"OFF"),2)=0,"","STALE")))</f>
        <v/>
      </c>
      <c r="BB3036" s="2" t="str">
        <f>IF(OR(""&amp;$F3036="2",""&amp;$F3036="4",""&amp;$F3036="G",""&amp;$F3036="H"),IF($AY3036="YES","",IF($AB3036&lt;&gt;0,"",IF(COUNTIFS('AR SALES'!$L$2:$L$2501,$L3036,'AR SALES'!$AD$2:$AD$2501,IF(""&amp;$F3036="4","OFF","ON"),'AR SALES'!$AF$2:$AF$2501,"Y")&gt;0,"","NO EXEMPTION"))),"")</f>
        <v/>
      </c>
    </row>
    <row r="3037" spans="46:54" x14ac:dyDescent="0.25">
      <c r="AT3037" s="2" t="str">
        <f>IF($L3037="","",IFERROR(INDEX('AR SALES'!$H$2:$H$2501,MATCH(""&amp;$L3037,'AR SALES'!$AE$2:$AE$2501,0)),""))</f>
        <v/>
      </c>
      <c r="AU3037" s="2" t="str">
        <f t="shared" si="188"/>
        <v/>
      </c>
      <c r="AV3037" s="2" t="str">
        <f t="shared" si="189"/>
        <v/>
      </c>
      <c r="AW3037" s="2" t="str">
        <f t="shared" si="190"/>
        <v/>
      </c>
      <c r="AX3037" s="2" t="str">
        <f t="shared" si="191"/>
        <v/>
      </c>
      <c r="AY3037" s="2" t="str">
        <f>IF($AV3037="","",IF(AND($Z3037=0,COUNTIF('AR SALES'!$L$2:$L$2501,$L3037)=0),"YES",""))</f>
        <v/>
      </c>
      <c r="AZ3037" s="2" t="str">
        <f>IF($AV3037="","",IF(COUNTIF(LISTS!$C$2:$C$250,$AU3037)=0,"NEW",""))</f>
        <v/>
      </c>
      <c r="BA3037" s="2" t="str">
        <f>IF(""&amp;$F3037&lt;&gt;"4","",IF($AY3037="YES","",IF(ROUND(SUMIFS($AE$2:$AE$4001,$L$2:$L$4001,$L3037,$F$2:$F$4001,"4")-SUMIFS('AR SALES'!$Y$2:$Y$2501,'AR SALES'!$L$2:$L$2501,$L3037,'AR SALES'!$AD$2:$AD$2501,"OFF"),2)=0,"","STALE")))</f>
        <v/>
      </c>
      <c r="BB3037" s="2" t="str">
        <f>IF(OR(""&amp;$F3037="2",""&amp;$F3037="4",""&amp;$F3037="G",""&amp;$F3037="H"),IF($AY3037="YES","",IF($AB3037&lt;&gt;0,"",IF(COUNTIFS('AR SALES'!$L$2:$L$2501,$L3037,'AR SALES'!$AD$2:$AD$2501,IF(""&amp;$F3037="4","OFF","ON"),'AR SALES'!$AF$2:$AF$2501,"Y")&gt;0,"","NO EXEMPTION"))),"")</f>
        <v/>
      </c>
    </row>
    <row r="3038" spans="46:54" x14ac:dyDescent="0.25">
      <c r="AT3038" s="2" t="str">
        <f>IF($L3038="","",IFERROR(INDEX('AR SALES'!$H$2:$H$2501,MATCH(""&amp;$L3038,'AR SALES'!$AE$2:$AE$2501,0)),""))</f>
        <v/>
      </c>
      <c r="AU3038" s="2" t="str">
        <f t="shared" si="188"/>
        <v/>
      </c>
      <c r="AV3038" s="2" t="str">
        <f t="shared" si="189"/>
        <v/>
      </c>
      <c r="AW3038" s="2" t="str">
        <f t="shared" si="190"/>
        <v/>
      </c>
      <c r="AX3038" s="2" t="str">
        <f t="shared" si="191"/>
        <v/>
      </c>
      <c r="AY3038" s="2" t="str">
        <f>IF($AV3038="","",IF(AND($Z3038=0,COUNTIF('AR SALES'!$L$2:$L$2501,$L3038)=0),"YES",""))</f>
        <v/>
      </c>
      <c r="AZ3038" s="2" t="str">
        <f>IF($AV3038="","",IF(COUNTIF(LISTS!$C$2:$C$250,$AU3038)=0,"NEW",""))</f>
        <v/>
      </c>
      <c r="BA3038" s="2" t="str">
        <f>IF(""&amp;$F3038&lt;&gt;"4","",IF($AY3038="YES","",IF(ROUND(SUMIFS($AE$2:$AE$4001,$L$2:$L$4001,$L3038,$F$2:$F$4001,"4")-SUMIFS('AR SALES'!$Y$2:$Y$2501,'AR SALES'!$L$2:$L$2501,$L3038,'AR SALES'!$AD$2:$AD$2501,"OFF"),2)=0,"","STALE")))</f>
        <v/>
      </c>
      <c r="BB3038" s="2" t="str">
        <f>IF(OR(""&amp;$F3038="2",""&amp;$F3038="4",""&amp;$F3038="G",""&amp;$F3038="H"),IF($AY3038="YES","",IF($AB3038&lt;&gt;0,"",IF(COUNTIFS('AR SALES'!$L$2:$L$2501,$L3038,'AR SALES'!$AD$2:$AD$2501,IF(""&amp;$F3038="4","OFF","ON"),'AR SALES'!$AF$2:$AF$2501,"Y")&gt;0,"","NO EXEMPTION"))),"")</f>
        <v/>
      </c>
    </row>
    <row r="3039" spans="46:54" x14ac:dyDescent="0.25">
      <c r="AT3039" s="2" t="str">
        <f>IF($L3039="","",IFERROR(INDEX('AR SALES'!$H$2:$H$2501,MATCH(""&amp;$L3039,'AR SALES'!$AE$2:$AE$2501,0)),""))</f>
        <v/>
      </c>
      <c r="AU3039" s="2" t="str">
        <f t="shared" si="188"/>
        <v/>
      </c>
      <c r="AV3039" s="2" t="str">
        <f t="shared" si="189"/>
        <v/>
      </c>
      <c r="AW3039" s="2" t="str">
        <f t="shared" si="190"/>
        <v/>
      </c>
      <c r="AX3039" s="2" t="str">
        <f t="shared" si="191"/>
        <v/>
      </c>
      <c r="AY3039" s="2" t="str">
        <f>IF($AV3039="","",IF(AND($Z3039=0,COUNTIF('AR SALES'!$L$2:$L$2501,$L3039)=0),"YES",""))</f>
        <v/>
      </c>
      <c r="AZ3039" s="2" t="str">
        <f>IF($AV3039="","",IF(COUNTIF(LISTS!$C$2:$C$250,$AU3039)=0,"NEW",""))</f>
        <v/>
      </c>
      <c r="BA3039" s="2" t="str">
        <f>IF(""&amp;$F3039&lt;&gt;"4","",IF($AY3039="YES","",IF(ROUND(SUMIFS($AE$2:$AE$4001,$L$2:$L$4001,$L3039,$F$2:$F$4001,"4")-SUMIFS('AR SALES'!$Y$2:$Y$2501,'AR SALES'!$L$2:$L$2501,$L3039,'AR SALES'!$AD$2:$AD$2501,"OFF"),2)=0,"","STALE")))</f>
        <v/>
      </c>
      <c r="BB3039" s="2" t="str">
        <f>IF(OR(""&amp;$F3039="2",""&amp;$F3039="4",""&amp;$F3039="G",""&amp;$F3039="H"),IF($AY3039="YES","",IF($AB3039&lt;&gt;0,"",IF(COUNTIFS('AR SALES'!$L$2:$L$2501,$L3039,'AR SALES'!$AD$2:$AD$2501,IF(""&amp;$F3039="4","OFF","ON"),'AR SALES'!$AF$2:$AF$2501,"Y")&gt;0,"","NO EXEMPTION"))),"")</f>
        <v/>
      </c>
    </row>
    <row r="3040" spans="46:54" x14ac:dyDescent="0.25">
      <c r="AT3040" s="2" t="str">
        <f>IF($L3040="","",IFERROR(INDEX('AR SALES'!$H$2:$H$2501,MATCH(""&amp;$L3040,'AR SALES'!$AE$2:$AE$2501,0)),""))</f>
        <v/>
      </c>
      <c r="AU3040" s="2" t="str">
        <f t="shared" si="188"/>
        <v/>
      </c>
      <c r="AV3040" s="2" t="str">
        <f t="shared" si="189"/>
        <v/>
      </c>
      <c r="AW3040" s="2" t="str">
        <f t="shared" si="190"/>
        <v/>
      </c>
      <c r="AX3040" s="2" t="str">
        <f t="shared" si="191"/>
        <v/>
      </c>
      <c r="AY3040" s="2" t="str">
        <f>IF($AV3040="","",IF(AND($Z3040=0,COUNTIF('AR SALES'!$L$2:$L$2501,$L3040)=0),"YES",""))</f>
        <v/>
      </c>
      <c r="AZ3040" s="2" t="str">
        <f>IF($AV3040="","",IF(COUNTIF(LISTS!$C$2:$C$250,$AU3040)=0,"NEW",""))</f>
        <v/>
      </c>
      <c r="BA3040" s="2" t="str">
        <f>IF(""&amp;$F3040&lt;&gt;"4","",IF($AY3040="YES","",IF(ROUND(SUMIFS($AE$2:$AE$4001,$L$2:$L$4001,$L3040,$F$2:$F$4001,"4")-SUMIFS('AR SALES'!$Y$2:$Y$2501,'AR SALES'!$L$2:$L$2501,$L3040,'AR SALES'!$AD$2:$AD$2501,"OFF"),2)=0,"","STALE")))</f>
        <v/>
      </c>
      <c r="BB3040" s="2" t="str">
        <f>IF(OR(""&amp;$F3040="2",""&amp;$F3040="4",""&amp;$F3040="G",""&amp;$F3040="H"),IF($AY3040="YES","",IF($AB3040&lt;&gt;0,"",IF(COUNTIFS('AR SALES'!$L$2:$L$2501,$L3040,'AR SALES'!$AD$2:$AD$2501,IF(""&amp;$F3040="4","OFF","ON"),'AR SALES'!$AF$2:$AF$2501,"Y")&gt;0,"","NO EXEMPTION"))),"")</f>
        <v/>
      </c>
    </row>
    <row r="3041" spans="46:54" x14ac:dyDescent="0.25">
      <c r="AT3041" s="2" t="str">
        <f>IF($L3041="","",IFERROR(INDEX('AR SALES'!$H$2:$H$2501,MATCH(""&amp;$L3041,'AR SALES'!$AE$2:$AE$2501,0)),""))</f>
        <v/>
      </c>
      <c r="AU3041" s="2" t="str">
        <f t="shared" si="188"/>
        <v/>
      </c>
      <c r="AV3041" s="2" t="str">
        <f t="shared" si="189"/>
        <v/>
      </c>
      <c r="AW3041" s="2" t="str">
        <f t="shared" si="190"/>
        <v/>
      </c>
      <c r="AX3041" s="2" t="str">
        <f t="shared" si="191"/>
        <v/>
      </c>
      <c r="AY3041" s="2" t="str">
        <f>IF($AV3041="","",IF(AND($Z3041=0,COUNTIF('AR SALES'!$L$2:$L$2501,$L3041)=0),"YES",""))</f>
        <v/>
      </c>
      <c r="AZ3041" s="2" t="str">
        <f>IF($AV3041="","",IF(COUNTIF(LISTS!$C$2:$C$250,$AU3041)=0,"NEW",""))</f>
        <v/>
      </c>
      <c r="BA3041" s="2" t="str">
        <f>IF(""&amp;$F3041&lt;&gt;"4","",IF($AY3041="YES","",IF(ROUND(SUMIFS($AE$2:$AE$4001,$L$2:$L$4001,$L3041,$F$2:$F$4001,"4")-SUMIFS('AR SALES'!$Y$2:$Y$2501,'AR SALES'!$L$2:$L$2501,$L3041,'AR SALES'!$AD$2:$AD$2501,"OFF"),2)=0,"","STALE")))</f>
        <v/>
      </c>
      <c r="BB3041" s="2" t="str">
        <f>IF(OR(""&amp;$F3041="2",""&amp;$F3041="4",""&amp;$F3041="G",""&amp;$F3041="H"),IF($AY3041="YES","",IF($AB3041&lt;&gt;0,"",IF(COUNTIFS('AR SALES'!$L$2:$L$2501,$L3041,'AR SALES'!$AD$2:$AD$2501,IF(""&amp;$F3041="4","OFF","ON"),'AR SALES'!$AF$2:$AF$2501,"Y")&gt;0,"","NO EXEMPTION"))),"")</f>
        <v/>
      </c>
    </row>
    <row r="3042" spans="46:54" x14ac:dyDescent="0.25">
      <c r="AT3042" s="2" t="str">
        <f>IF($L3042="","",IFERROR(INDEX('AR SALES'!$H$2:$H$2501,MATCH(""&amp;$L3042,'AR SALES'!$AE$2:$AE$2501,0)),""))</f>
        <v/>
      </c>
      <c r="AU3042" s="2" t="str">
        <f t="shared" si="188"/>
        <v/>
      </c>
      <c r="AV3042" s="2" t="str">
        <f t="shared" si="189"/>
        <v/>
      </c>
      <c r="AW3042" s="2" t="str">
        <f t="shared" si="190"/>
        <v/>
      </c>
      <c r="AX3042" s="2" t="str">
        <f t="shared" si="191"/>
        <v/>
      </c>
      <c r="AY3042" s="2" t="str">
        <f>IF($AV3042="","",IF(AND($Z3042=0,COUNTIF('AR SALES'!$L$2:$L$2501,$L3042)=0),"YES",""))</f>
        <v/>
      </c>
      <c r="AZ3042" s="2" t="str">
        <f>IF($AV3042="","",IF(COUNTIF(LISTS!$C$2:$C$250,$AU3042)=0,"NEW",""))</f>
        <v/>
      </c>
      <c r="BA3042" s="2" t="str">
        <f>IF(""&amp;$F3042&lt;&gt;"4","",IF($AY3042="YES","",IF(ROUND(SUMIFS($AE$2:$AE$4001,$L$2:$L$4001,$L3042,$F$2:$F$4001,"4")-SUMIFS('AR SALES'!$Y$2:$Y$2501,'AR SALES'!$L$2:$L$2501,$L3042,'AR SALES'!$AD$2:$AD$2501,"OFF"),2)=0,"","STALE")))</f>
        <v/>
      </c>
      <c r="BB3042" s="2" t="str">
        <f>IF(OR(""&amp;$F3042="2",""&amp;$F3042="4",""&amp;$F3042="G",""&amp;$F3042="H"),IF($AY3042="YES","",IF($AB3042&lt;&gt;0,"",IF(COUNTIFS('AR SALES'!$L$2:$L$2501,$L3042,'AR SALES'!$AD$2:$AD$2501,IF(""&amp;$F3042="4","OFF","ON"),'AR SALES'!$AF$2:$AF$2501,"Y")&gt;0,"","NO EXEMPTION"))),"")</f>
        <v/>
      </c>
    </row>
    <row r="3043" spans="46:54" x14ac:dyDescent="0.25">
      <c r="AT3043" s="2" t="str">
        <f>IF($L3043="","",IFERROR(INDEX('AR SALES'!$H$2:$H$2501,MATCH(""&amp;$L3043,'AR SALES'!$AE$2:$AE$2501,0)),""))</f>
        <v/>
      </c>
      <c r="AU3043" s="2" t="str">
        <f t="shared" si="188"/>
        <v/>
      </c>
      <c r="AV3043" s="2" t="str">
        <f t="shared" si="189"/>
        <v/>
      </c>
      <c r="AW3043" s="2" t="str">
        <f t="shared" si="190"/>
        <v/>
      </c>
      <c r="AX3043" s="2" t="str">
        <f t="shared" si="191"/>
        <v/>
      </c>
      <c r="AY3043" s="2" t="str">
        <f>IF($AV3043="","",IF(AND($Z3043=0,COUNTIF('AR SALES'!$L$2:$L$2501,$L3043)=0),"YES",""))</f>
        <v/>
      </c>
      <c r="AZ3043" s="2" t="str">
        <f>IF($AV3043="","",IF(COUNTIF(LISTS!$C$2:$C$250,$AU3043)=0,"NEW",""))</f>
        <v/>
      </c>
      <c r="BA3043" s="2" t="str">
        <f>IF(""&amp;$F3043&lt;&gt;"4","",IF($AY3043="YES","",IF(ROUND(SUMIFS($AE$2:$AE$4001,$L$2:$L$4001,$L3043,$F$2:$F$4001,"4")-SUMIFS('AR SALES'!$Y$2:$Y$2501,'AR SALES'!$L$2:$L$2501,$L3043,'AR SALES'!$AD$2:$AD$2501,"OFF"),2)=0,"","STALE")))</f>
        <v/>
      </c>
      <c r="BB3043" s="2" t="str">
        <f>IF(OR(""&amp;$F3043="2",""&amp;$F3043="4",""&amp;$F3043="G",""&amp;$F3043="H"),IF($AY3043="YES","",IF($AB3043&lt;&gt;0,"",IF(COUNTIFS('AR SALES'!$L$2:$L$2501,$L3043,'AR SALES'!$AD$2:$AD$2501,IF(""&amp;$F3043="4","OFF","ON"),'AR SALES'!$AF$2:$AF$2501,"Y")&gt;0,"","NO EXEMPTION"))),"")</f>
        <v/>
      </c>
    </row>
    <row r="3044" spans="46:54" x14ac:dyDescent="0.25">
      <c r="AT3044" s="2" t="str">
        <f>IF($L3044="","",IFERROR(INDEX('AR SALES'!$H$2:$H$2501,MATCH(""&amp;$L3044,'AR SALES'!$AE$2:$AE$2501,0)),""))</f>
        <v/>
      </c>
      <c r="AU3044" s="2" t="str">
        <f t="shared" si="188"/>
        <v/>
      </c>
      <c r="AV3044" s="2" t="str">
        <f t="shared" si="189"/>
        <v/>
      </c>
      <c r="AW3044" s="2" t="str">
        <f t="shared" si="190"/>
        <v/>
      </c>
      <c r="AX3044" s="2" t="str">
        <f t="shared" si="191"/>
        <v/>
      </c>
      <c r="AY3044" s="2" t="str">
        <f>IF($AV3044="","",IF(AND($Z3044=0,COUNTIF('AR SALES'!$L$2:$L$2501,$L3044)=0),"YES",""))</f>
        <v/>
      </c>
      <c r="AZ3044" s="2" t="str">
        <f>IF($AV3044="","",IF(COUNTIF(LISTS!$C$2:$C$250,$AU3044)=0,"NEW",""))</f>
        <v/>
      </c>
      <c r="BA3044" s="2" t="str">
        <f>IF(""&amp;$F3044&lt;&gt;"4","",IF($AY3044="YES","",IF(ROUND(SUMIFS($AE$2:$AE$4001,$L$2:$L$4001,$L3044,$F$2:$F$4001,"4")-SUMIFS('AR SALES'!$Y$2:$Y$2501,'AR SALES'!$L$2:$L$2501,$L3044,'AR SALES'!$AD$2:$AD$2501,"OFF"),2)=0,"","STALE")))</f>
        <v/>
      </c>
      <c r="BB3044" s="2" t="str">
        <f>IF(OR(""&amp;$F3044="2",""&amp;$F3044="4",""&amp;$F3044="G",""&amp;$F3044="H"),IF($AY3044="YES","",IF($AB3044&lt;&gt;0,"",IF(COUNTIFS('AR SALES'!$L$2:$L$2501,$L3044,'AR SALES'!$AD$2:$AD$2501,IF(""&amp;$F3044="4","OFF","ON"),'AR SALES'!$AF$2:$AF$2501,"Y")&gt;0,"","NO EXEMPTION"))),"")</f>
        <v/>
      </c>
    </row>
    <row r="3045" spans="46:54" x14ac:dyDescent="0.25">
      <c r="AT3045" s="2" t="str">
        <f>IF($L3045="","",IFERROR(INDEX('AR SALES'!$H$2:$H$2501,MATCH(""&amp;$L3045,'AR SALES'!$AE$2:$AE$2501,0)),""))</f>
        <v/>
      </c>
      <c r="AU3045" s="2" t="str">
        <f t="shared" si="188"/>
        <v/>
      </c>
      <c r="AV3045" s="2" t="str">
        <f t="shared" si="189"/>
        <v/>
      </c>
      <c r="AW3045" s="2" t="str">
        <f t="shared" si="190"/>
        <v/>
      </c>
      <c r="AX3045" s="2" t="str">
        <f t="shared" si="191"/>
        <v/>
      </c>
      <c r="AY3045" s="2" t="str">
        <f>IF($AV3045="","",IF(AND($Z3045=0,COUNTIF('AR SALES'!$L$2:$L$2501,$L3045)=0),"YES",""))</f>
        <v/>
      </c>
      <c r="AZ3045" s="2" t="str">
        <f>IF($AV3045="","",IF(COUNTIF(LISTS!$C$2:$C$250,$AU3045)=0,"NEW",""))</f>
        <v/>
      </c>
      <c r="BA3045" s="2" t="str">
        <f>IF(""&amp;$F3045&lt;&gt;"4","",IF($AY3045="YES","",IF(ROUND(SUMIFS($AE$2:$AE$4001,$L$2:$L$4001,$L3045,$F$2:$F$4001,"4")-SUMIFS('AR SALES'!$Y$2:$Y$2501,'AR SALES'!$L$2:$L$2501,$L3045,'AR SALES'!$AD$2:$AD$2501,"OFF"),2)=0,"","STALE")))</f>
        <v/>
      </c>
      <c r="BB3045" s="2" t="str">
        <f>IF(OR(""&amp;$F3045="2",""&amp;$F3045="4",""&amp;$F3045="G",""&amp;$F3045="H"),IF($AY3045="YES","",IF($AB3045&lt;&gt;0,"",IF(COUNTIFS('AR SALES'!$L$2:$L$2501,$L3045,'AR SALES'!$AD$2:$AD$2501,IF(""&amp;$F3045="4","OFF","ON"),'AR SALES'!$AF$2:$AF$2501,"Y")&gt;0,"","NO EXEMPTION"))),"")</f>
        <v/>
      </c>
    </row>
    <row r="3046" spans="46:54" x14ac:dyDescent="0.25">
      <c r="AT3046" s="2" t="str">
        <f>IF($L3046="","",IFERROR(INDEX('AR SALES'!$H$2:$H$2501,MATCH(""&amp;$L3046,'AR SALES'!$AE$2:$AE$2501,0)),""))</f>
        <v/>
      </c>
      <c r="AU3046" s="2" t="str">
        <f t="shared" si="188"/>
        <v/>
      </c>
      <c r="AV3046" s="2" t="str">
        <f t="shared" si="189"/>
        <v/>
      </c>
      <c r="AW3046" s="2" t="str">
        <f t="shared" si="190"/>
        <v/>
      </c>
      <c r="AX3046" s="2" t="str">
        <f t="shared" si="191"/>
        <v/>
      </c>
      <c r="AY3046" s="2" t="str">
        <f>IF($AV3046="","",IF(AND($Z3046=0,COUNTIF('AR SALES'!$L$2:$L$2501,$L3046)=0),"YES",""))</f>
        <v/>
      </c>
      <c r="AZ3046" s="2" t="str">
        <f>IF($AV3046="","",IF(COUNTIF(LISTS!$C$2:$C$250,$AU3046)=0,"NEW",""))</f>
        <v/>
      </c>
      <c r="BA3046" s="2" t="str">
        <f>IF(""&amp;$F3046&lt;&gt;"4","",IF($AY3046="YES","",IF(ROUND(SUMIFS($AE$2:$AE$4001,$L$2:$L$4001,$L3046,$F$2:$F$4001,"4")-SUMIFS('AR SALES'!$Y$2:$Y$2501,'AR SALES'!$L$2:$L$2501,$L3046,'AR SALES'!$AD$2:$AD$2501,"OFF"),2)=0,"","STALE")))</f>
        <v/>
      </c>
      <c r="BB3046" s="2" t="str">
        <f>IF(OR(""&amp;$F3046="2",""&amp;$F3046="4",""&amp;$F3046="G",""&amp;$F3046="H"),IF($AY3046="YES","",IF($AB3046&lt;&gt;0,"",IF(COUNTIFS('AR SALES'!$L$2:$L$2501,$L3046,'AR SALES'!$AD$2:$AD$2501,IF(""&amp;$F3046="4","OFF","ON"),'AR SALES'!$AF$2:$AF$2501,"Y")&gt;0,"","NO EXEMPTION"))),"")</f>
        <v/>
      </c>
    </row>
    <row r="3047" spans="46:54" x14ac:dyDescent="0.25">
      <c r="AT3047" s="2" t="str">
        <f>IF($L3047="","",IFERROR(INDEX('AR SALES'!$H$2:$H$2501,MATCH(""&amp;$L3047,'AR SALES'!$AE$2:$AE$2501,0)),""))</f>
        <v/>
      </c>
      <c r="AU3047" s="2" t="str">
        <f t="shared" si="188"/>
        <v/>
      </c>
      <c r="AV3047" s="2" t="str">
        <f t="shared" si="189"/>
        <v/>
      </c>
      <c r="AW3047" s="2" t="str">
        <f t="shared" si="190"/>
        <v/>
      </c>
      <c r="AX3047" s="2" t="str">
        <f t="shared" si="191"/>
        <v/>
      </c>
      <c r="AY3047" s="2" t="str">
        <f>IF($AV3047="","",IF(AND($Z3047=0,COUNTIF('AR SALES'!$L$2:$L$2501,$L3047)=0),"YES",""))</f>
        <v/>
      </c>
      <c r="AZ3047" s="2" t="str">
        <f>IF($AV3047="","",IF(COUNTIF(LISTS!$C$2:$C$250,$AU3047)=0,"NEW",""))</f>
        <v/>
      </c>
      <c r="BA3047" s="2" t="str">
        <f>IF(""&amp;$F3047&lt;&gt;"4","",IF($AY3047="YES","",IF(ROUND(SUMIFS($AE$2:$AE$4001,$L$2:$L$4001,$L3047,$F$2:$F$4001,"4")-SUMIFS('AR SALES'!$Y$2:$Y$2501,'AR SALES'!$L$2:$L$2501,$L3047,'AR SALES'!$AD$2:$AD$2501,"OFF"),2)=0,"","STALE")))</f>
        <v/>
      </c>
      <c r="BB3047" s="2" t="str">
        <f>IF(OR(""&amp;$F3047="2",""&amp;$F3047="4",""&amp;$F3047="G",""&amp;$F3047="H"),IF($AY3047="YES","",IF($AB3047&lt;&gt;0,"",IF(COUNTIFS('AR SALES'!$L$2:$L$2501,$L3047,'AR SALES'!$AD$2:$AD$2501,IF(""&amp;$F3047="4","OFF","ON"),'AR SALES'!$AF$2:$AF$2501,"Y")&gt;0,"","NO EXEMPTION"))),"")</f>
        <v/>
      </c>
    </row>
    <row r="3048" spans="46:54" x14ac:dyDescent="0.25">
      <c r="AT3048" s="2" t="str">
        <f>IF($L3048="","",IFERROR(INDEX('AR SALES'!$H$2:$H$2501,MATCH(""&amp;$L3048,'AR SALES'!$AE$2:$AE$2501,0)),""))</f>
        <v/>
      </c>
      <c r="AU3048" s="2" t="str">
        <f t="shared" si="188"/>
        <v/>
      </c>
      <c r="AV3048" s="2" t="str">
        <f t="shared" si="189"/>
        <v/>
      </c>
      <c r="AW3048" s="2" t="str">
        <f t="shared" si="190"/>
        <v/>
      </c>
      <c r="AX3048" s="2" t="str">
        <f t="shared" si="191"/>
        <v/>
      </c>
      <c r="AY3048" s="2" t="str">
        <f>IF($AV3048="","",IF(AND($Z3048=0,COUNTIF('AR SALES'!$L$2:$L$2501,$L3048)=0),"YES",""))</f>
        <v/>
      </c>
      <c r="AZ3048" s="2" t="str">
        <f>IF($AV3048="","",IF(COUNTIF(LISTS!$C$2:$C$250,$AU3048)=0,"NEW",""))</f>
        <v/>
      </c>
      <c r="BA3048" s="2" t="str">
        <f>IF(""&amp;$F3048&lt;&gt;"4","",IF($AY3048="YES","",IF(ROUND(SUMIFS($AE$2:$AE$4001,$L$2:$L$4001,$L3048,$F$2:$F$4001,"4")-SUMIFS('AR SALES'!$Y$2:$Y$2501,'AR SALES'!$L$2:$L$2501,$L3048,'AR SALES'!$AD$2:$AD$2501,"OFF"),2)=0,"","STALE")))</f>
        <v/>
      </c>
      <c r="BB3048" s="2" t="str">
        <f>IF(OR(""&amp;$F3048="2",""&amp;$F3048="4",""&amp;$F3048="G",""&amp;$F3048="H"),IF($AY3048="YES","",IF($AB3048&lt;&gt;0,"",IF(COUNTIFS('AR SALES'!$L$2:$L$2501,$L3048,'AR SALES'!$AD$2:$AD$2501,IF(""&amp;$F3048="4","OFF","ON"),'AR SALES'!$AF$2:$AF$2501,"Y")&gt;0,"","NO EXEMPTION"))),"")</f>
        <v/>
      </c>
    </row>
    <row r="3049" spans="46:54" x14ac:dyDescent="0.25">
      <c r="AT3049" s="2" t="str">
        <f>IF($L3049="","",IFERROR(INDEX('AR SALES'!$H$2:$H$2501,MATCH(""&amp;$L3049,'AR SALES'!$AE$2:$AE$2501,0)),""))</f>
        <v/>
      </c>
      <c r="AU3049" s="2" t="str">
        <f t="shared" si="188"/>
        <v/>
      </c>
      <c r="AV3049" s="2" t="str">
        <f t="shared" si="189"/>
        <v/>
      </c>
      <c r="AW3049" s="2" t="str">
        <f t="shared" si="190"/>
        <v/>
      </c>
      <c r="AX3049" s="2" t="str">
        <f t="shared" si="191"/>
        <v/>
      </c>
      <c r="AY3049" s="2" t="str">
        <f>IF($AV3049="","",IF(AND($Z3049=0,COUNTIF('AR SALES'!$L$2:$L$2501,$L3049)=0),"YES",""))</f>
        <v/>
      </c>
      <c r="AZ3049" s="2" t="str">
        <f>IF($AV3049="","",IF(COUNTIF(LISTS!$C$2:$C$250,$AU3049)=0,"NEW",""))</f>
        <v/>
      </c>
      <c r="BA3049" s="2" t="str">
        <f>IF(""&amp;$F3049&lt;&gt;"4","",IF($AY3049="YES","",IF(ROUND(SUMIFS($AE$2:$AE$4001,$L$2:$L$4001,$L3049,$F$2:$F$4001,"4")-SUMIFS('AR SALES'!$Y$2:$Y$2501,'AR SALES'!$L$2:$L$2501,$L3049,'AR SALES'!$AD$2:$AD$2501,"OFF"),2)=0,"","STALE")))</f>
        <v/>
      </c>
      <c r="BB3049" s="2" t="str">
        <f>IF(OR(""&amp;$F3049="2",""&amp;$F3049="4",""&amp;$F3049="G",""&amp;$F3049="H"),IF($AY3049="YES","",IF($AB3049&lt;&gt;0,"",IF(COUNTIFS('AR SALES'!$L$2:$L$2501,$L3049,'AR SALES'!$AD$2:$AD$2501,IF(""&amp;$F3049="4","OFF","ON"),'AR SALES'!$AF$2:$AF$2501,"Y")&gt;0,"","NO EXEMPTION"))),"")</f>
        <v/>
      </c>
    </row>
    <row r="3050" spans="46:54" x14ac:dyDescent="0.25">
      <c r="AT3050" s="2" t="str">
        <f>IF($L3050="","",IFERROR(INDEX('AR SALES'!$H$2:$H$2501,MATCH(""&amp;$L3050,'AR SALES'!$AE$2:$AE$2501,0)),""))</f>
        <v/>
      </c>
      <c r="AU3050" s="2" t="str">
        <f t="shared" si="188"/>
        <v/>
      </c>
      <c r="AV3050" s="2" t="str">
        <f t="shared" si="189"/>
        <v/>
      </c>
      <c r="AW3050" s="2" t="str">
        <f t="shared" si="190"/>
        <v/>
      </c>
      <c r="AX3050" s="2" t="str">
        <f t="shared" si="191"/>
        <v/>
      </c>
      <c r="AY3050" s="2" t="str">
        <f>IF($AV3050="","",IF(AND($Z3050=0,COUNTIF('AR SALES'!$L$2:$L$2501,$L3050)=0),"YES",""))</f>
        <v/>
      </c>
      <c r="AZ3050" s="2" t="str">
        <f>IF($AV3050="","",IF(COUNTIF(LISTS!$C$2:$C$250,$AU3050)=0,"NEW",""))</f>
        <v/>
      </c>
      <c r="BA3050" s="2" t="str">
        <f>IF(""&amp;$F3050&lt;&gt;"4","",IF($AY3050="YES","",IF(ROUND(SUMIFS($AE$2:$AE$4001,$L$2:$L$4001,$L3050,$F$2:$F$4001,"4")-SUMIFS('AR SALES'!$Y$2:$Y$2501,'AR SALES'!$L$2:$L$2501,$L3050,'AR SALES'!$AD$2:$AD$2501,"OFF"),2)=0,"","STALE")))</f>
        <v/>
      </c>
      <c r="BB3050" s="2" t="str">
        <f>IF(OR(""&amp;$F3050="2",""&amp;$F3050="4",""&amp;$F3050="G",""&amp;$F3050="H"),IF($AY3050="YES","",IF($AB3050&lt;&gt;0,"",IF(COUNTIFS('AR SALES'!$L$2:$L$2501,$L3050,'AR SALES'!$AD$2:$AD$2501,IF(""&amp;$F3050="4","OFF","ON"),'AR SALES'!$AF$2:$AF$2501,"Y")&gt;0,"","NO EXEMPTION"))),"")</f>
        <v/>
      </c>
    </row>
    <row r="3051" spans="46:54" x14ac:dyDescent="0.25">
      <c r="AT3051" s="2" t="str">
        <f>IF($L3051="","",IFERROR(INDEX('AR SALES'!$H$2:$H$2501,MATCH(""&amp;$L3051,'AR SALES'!$AE$2:$AE$2501,0)),""))</f>
        <v/>
      </c>
      <c r="AU3051" s="2" t="str">
        <f t="shared" si="188"/>
        <v/>
      </c>
      <c r="AV3051" s="2" t="str">
        <f t="shared" si="189"/>
        <v/>
      </c>
      <c r="AW3051" s="2" t="str">
        <f t="shared" si="190"/>
        <v/>
      </c>
      <c r="AX3051" s="2" t="str">
        <f t="shared" si="191"/>
        <v/>
      </c>
      <c r="AY3051" s="2" t="str">
        <f>IF($AV3051="","",IF(AND($Z3051=0,COUNTIF('AR SALES'!$L$2:$L$2501,$L3051)=0),"YES",""))</f>
        <v/>
      </c>
      <c r="AZ3051" s="2" t="str">
        <f>IF($AV3051="","",IF(COUNTIF(LISTS!$C$2:$C$250,$AU3051)=0,"NEW",""))</f>
        <v/>
      </c>
      <c r="BA3051" s="2" t="str">
        <f>IF(""&amp;$F3051&lt;&gt;"4","",IF($AY3051="YES","",IF(ROUND(SUMIFS($AE$2:$AE$4001,$L$2:$L$4001,$L3051,$F$2:$F$4001,"4")-SUMIFS('AR SALES'!$Y$2:$Y$2501,'AR SALES'!$L$2:$L$2501,$L3051,'AR SALES'!$AD$2:$AD$2501,"OFF"),2)=0,"","STALE")))</f>
        <v/>
      </c>
      <c r="BB3051" s="2" t="str">
        <f>IF(OR(""&amp;$F3051="2",""&amp;$F3051="4",""&amp;$F3051="G",""&amp;$F3051="H"),IF($AY3051="YES","",IF($AB3051&lt;&gt;0,"",IF(COUNTIFS('AR SALES'!$L$2:$L$2501,$L3051,'AR SALES'!$AD$2:$AD$2501,IF(""&amp;$F3051="4","OFF","ON"),'AR SALES'!$AF$2:$AF$2501,"Y")&gt;0,"","NO EXEMPTION"))),"")</f>
        <v/>
      </c>
    </row>
    <row r="3052" spans="46:54" x14ac:dyDescent="0.25">
      <c r="AT3052" s="2" t="str">
        <f>IF($L3052="","",IFERROR(INDEX('AR SALES'!$H$2:$H$2501,MATCH(""&amp;$L3052,'AR SALES'!$AE$2:$AE$2501,0)),""))</f>
        <v/>
      </c>
      <c r="AU3052" s="2" t="str">
        <f t="shared" si="188"/>
        <v/>
      </c>
      <c r="AV3052" s="2" t="str">
        <f t="shared" si="189"/>
        <v/>
      </c>
      <c r="AW3052" s="2" t="str">
        <f t="shared" si="190"/>
        <v/>
      </c>
      <c r="AX3052" s="2" t="str">
        <f t="shared" si="191"/>
        <v/>
      </c>
      <c r="AY3052" s="2" t="str">
        <f>IF($AV3052="","",IF(AND($Z3052=0,COUNTIF('AR SALES'!$L$2:$L$2501,$L3052)=0),"YES",""))</f>
        <v/>
      </c>
      <c r="AZ3052" s="2" t="str">
        <f>IF($AV3052="","",IF(COUNTIF(LISTS!$C$2:$C$250,$AU3052)=0,"NEW",""))</f>
        <v/>
      </c>
      <c r="BA3052" s="2" t="str">
        <f>IF(""&amp;$F3052&lt;&gt;"4","",IF($AY3052="YES","",IF(ROUND(SUMIFS($AE$2:$AE$4001,$L$2:$L$4001,$L3052,$F$2:$F$4001,"4")-SUMIFS('AR SALES'!$Y$2:$Y$2501,'AR SALES'!$L$2:$L$2501,$L3052,'AR SALES'!$AD$2:$AD$2501,"OFF"),2)=0,"","STALE")))</f>
        <v/>
      </c>
      <c r="BB3052" s="2" t="str">
        <f>IF(OR(""&amp;$F3052="2",""&amp;$F3052="4",""&amp;$F3052="G",""&amp;$F3052="H"),IF($AY3052="YES","",IF($AB3052&lt;&gt;0,"",IF(COUNTIFS('AR SALES'!$L$2:$L$2501,$L3052,'AR SALES'!$AD$2:$AD$2501,IF(""&amp;$F3052="4","OFF","ON"),'AR SALES'!$AF$2:$AF$2501,"Y")&gt;0,"","NO EXEMPTION"))),"")</f>
        <v/>
      </c>
    </row>
    <row r="3053" spans="46:54" x14ac:dyDescent="0.25">
      <c r="AT3053" s="2" t="str">
        <f>IF($L3053="","",IFERROR(INDEX('AR SALES'!$H$2:$H$2501,MATCH(""&amp;$L3053,'AR SALES'!$AE$2:$AE$2501,0)),""))</f>
        <v/>
      </c>
      <c r="AU3053" s="2" t="str">
        <f t="shared" si="188"/>
        <v/>
      </c>
      <c r="AV3053" s="2" t="str">
        <f t="shared" si="189"/>
        <v/>
      </c>
      <c r="AW3053" s="2" t="str">
        <f t="shared" si="190"/>
        <v/>
      </c>
      <c r="AX3053" s="2" t="str">
        <f t="shared" si="191"/>
        <v/>
      </c>
      <c r="AY3053" s="2" t="str">
        <f>IF($AV3053="","",IF(AND($Z3053=0,COUNTIF('AR SALES'!$L$2:$L$2501,$L3053)=0),"YES",""))</f>
        <v/>
      </c>
      <c r="AZ3053" s="2" t="str">
        <f>IF($AV3053="","",IF(COUNTIF(LISTS!$C$2:$C$250,$AU3053)=0,"NEW",""))</f>
        <v/>
      </c>
      <c r="BA3053" s="2" t="str">
        <f>IF(""&amp;$F3053&lt;&gt;"4","",IF($AY3053="YES","",IF(ROUND(SUMIFS($AE$2:$AE$4001,$L$2:$L$4001,$L3053,$F$2:$F$4001,"4")-SUMIFS('AR SALES'!$Y$2:$Y$2501,'AR SALES'!$L$2:$L$2501,$L3053,'AR SALES'!$AD$2:$AD$2501,"OFF"),2)=0,"","STALE")))</f>
        <v/>
      </c>
      <c r="BB3053" s="2" t="str">
        <f>IF(OR(""&amp;$F3053="2",""&amp;$F3053="4",""&amp;$F3053="G",""&amp;$F3053="H"),IF($AY3053="YES","",IF($AB3053&lt;&gt;0,"",IF(COUNTIFS('AR SALES'!$L$2:$L$2501,$L3053,'AR SALES'!$AD$2:$AD$2501,IF(""&amp;$F3053="4","OFF","ON"),'AR SALES'!$AF$2:$AF$2501,"Y")&gt;0,"","NO EXEMPTION"))),"")</f>
        <v/>
      </c>
    </row>
    <row r="3054" spans="46:54" x14ac:dyDescent="0.25">
      <c r="AT3054" s="2" t="str">
        <f>IF($L3054="","",IFERROR(INDEX('AR SALES'!$H$2:$H$2501,MATCH(""&amp;$L3054,'AR SALES'!$AE$2:$AE$2501,0)),""))</f>
        <v/>
      </c>
      <c r="AU3054" s="2" t="str">
        <f t="shared" si="188"/>
        <v/>
      </c>
      <c r="AV3054" s="2" t="str">
        <f t="shared" si="189"/>
        <v/>
      </c>
      <c r="AW3054" s="2" t="str">
        <f t="shared" si="190"/>
        <v/>
      </c>
      <c r="AX3054" s="2" t="str">
        <f t="shared" si="191"/>
        <v/>
      </c>
      <c r="AY3054" s="2" t="str">
        <f>IF($AV3054="","",IF(AND($Z3054=0,COUNTIF('AR SALES'!$L$2:$L$2501,$L3054)=0),"YES",""))</f>
        <v/>
      </c>
      <c r="AZ3054" s="2" t="str">
        <f>IF($AV3054="","",IF(COUNTIF(LISTS!$C$2:$C$250,$AU3054)=0,"NEW",""))</f>
        <v/>
      </c>
      <c r="BA3054" s="2" t="str">
        <f>IF(""&amp;$F3054&lt;&gt;"4","",IF($AY3054="YES","",IF(ROUND(SUMIFS($AE$2:$AE$4001,$L$2:$L$4001,$L3054,$F$2:$F$4001,"4")-SUMIFS('AR SALES'!$Y$2:$Y$2501,'AR SALES'!$L$2:$L$2501,$L3054,'AR SALES'!$AD$2:$AD$2501,"OFF"),2)=0,"","STALE")))</f>
        <v/>
      </c>
      <c r="BB3054" s="2" t="str">
        <f>IF(OR(""&amp;$F3054="2",""&amp;$F3054="4",""&amp;$F3054="G",""&amp;$F3054="H"),IF($AY3054="YES","",IF($AB3054&lt;&gt;0,"",IF(COUNTIFS('AR SALES'!$L$2:$L$2501,$L3054,'AR SALES'!$AD$2:$AD$2501,IF(""&amp;$F3054="4","OFF","ON"),'AR SALES'!$AF$2:$AF$2501,"Y")&gt;0,"","NO EXEMPTION"))),"")</f>
        <v/>
      </c>
    </row>
    <row r="3055" spans="46:54" x14ac:dyDescent="0.25">
      <c r="AT3055" s="2" t="str">
        <f>IF($L3055="","",IFERROR(INDEX('AR SALES'!$H$2:$H$2501,MATCH(""&amp;$L3055,'AR SALES'!$AE$2:$AE$2501,0)),""))</f>
        <v/>
      </c>
      <c r="AU3055" s="2" t="str">
        <f t="shared" si="188"/>
        <v/>
      </c>
      <c r="AV3055" s="2" t="str">
        <f t="shared" si="189"/>
        <v/>
      </c>
      <c r="AW3055" s="2" t="str">
        <f t="shared" si="190"/>
        <v/>
      </c>
      <c r="AX3055" s="2" t="str">
        <f t="shared" si="191"/>
        <v/>
      </c>
      <c r="AY3055" s="2" t="str">
        <f>IF($AV3055="","",IF(AND($Z3055=0,COUNTIF('AR SALES'!$L$2:$L$2501,$L3055)=0),"YES",""))</f>
        <v/>
      </c>
      <c r="AZ3055" s="2" t="str">
        <f>IF($AV3055="","",IF(COUNTIF(LISTS!$C$2:$C$250,$AU3055)=0,"NEW",""))</f>
        <v/>
      </c>
      <c r="BA3055" s="2" t="str">
        <f>IF(""&amp;$F3055&lt;&gt;"4","",IF($AY3055="YES","",IF(ROUND(SUMIFS($AE$2:$AE$4001,$L$2:$L$4001,$L3055,$F$2:$F$4001,"4")-SUMIFS('AR SALES'!$Y$2:$Y$2501,'AR SALES'!$L$2:$L$2501,$L3055,'AR SALES'!$AD$2:$AD$2501,"OFF"),2)=0,"","STALE")))</f>
        <v/>
      </c>
      <c r="BB3055" s="2" t="str">
        <f>IF(OR(""&amp;$F3055="2",""&amp;$F3055="4",""&amp;$F3055="G",""&amp;$F3055="H"),IF($AY3055="YES","",IF($AB3055&lt;&gt;0,"",IF(COUNTIFS('AR SALES'!$L$2:$L$2501,$L3055,'AR SALES'!$AD$2:$AD$2501,IF(""&amp;$F3055="4","OFF","ON"),'AR SALES'!$AF$2:$AF$2501,"Y")&gt;0,"","NO EXEMPTION"))),"")</f>
        <v/>
      </c>
    </row>
    <row r="3056" spans="46:54" x14ac:dyDescent="0.25">
      <c r="AT3056" s="2" t="str">
        <f>IF($L3056="","",IFERROR(INDEX('AR SALES'!$H$2:$H$2501,MATCH(""&amp;$L3056,'AR SALES'!$AE$2:$AE$2501,0)),""))</f>
        <v/>
      </c>
      <c r="AU3056" s="2" t="str">
        <f t="shared" si="188"/>
        <v/>
      </c>
      <c r="AV3056" s="2" t="str">
        <f t="shared" si="189"/>
        <v/>
      </c>
      <c r="AW3056" s="2" t="str">
        <f t="shared" si="190"/>
        <v/>
      </c>
      <c r="AX3056" s="2" t="str">
        <f t="shared" si="191"/>
        <v/>
      </c>
      <c r="AY3056" s="2" t="str">
        <f>IF($AV3056="","",IF(AND($Z3056=0,COUNTIF('AR SALES'!$L$2:$L$2501,$L3056)=0),"YES",""))</f>
        <v/>
      </c>
      <c r="AZ3056" s="2" t="str">
        <f>IF($AV3056="","",IF(COUNTIF(LISTS!$C$2:$C$250,$AU3056)=0,"NEW",""))</f>
        <v/>
      </c>
      <c r="BA3056" s="2" t="str">
        <f>IF(""&amp;$F3056&lt;&gt;"4","",IF($AY3056="YES","",IF(ROUND(SUMIFS($AE$2:$AE$4001,$L$2:$L$4001,$L3056,$F$2:$F$4001,"4")-SUMIFS('AR SALES'!$Y$2:$Y$2501,'AR SALES'!$L$2:$L$2501,$L3056,'AR SALES'!$AD$2:$AD$2501,"OFF"),2)=0,"","STALE")))</f>
        <v/>
      </c>
      <c r="BB3056" s="2" t="str">
        <f>IF(OR(""&amp;$F3056="2",""&amp;$F3056="4",""&amp;$F3056="G",""&amp;$F3056="H"),IF($AY3056="YES","",IF($AB3056&lt;&gt;0,"",IF(COUNTIFS('AR SALES'!$L$2:$L$2501,$L3056,'AR SALES'!$AD$2:$AD$2501,IF(""&amp;$F3056="4","OFF","ON"),'AR SALES'!$AF$2:$AF$2501,"Y")&gt;0,"","NO EXEMPTION"))),"")</f>
        <v/>
      </c>
    </row>
    <row r="3057" spans="46:54" x14ac:dyDescent="0.25">
      <c r="AT3057" s="2" t="str">
        <f>IF($L3057="","",IFERROR(INDEX('AR SALES'!$H$2:$H$2501,MATCH(""&amp;$L3057,'AR SALES'!$AE$2:$AE$2501,0)),""))</f>
        <v/>
      </c>
      <c r="AU3057" s="2" t="str">
        <f t="shared" si="188"/>
        <v/>
      </c>
      <c r="AV3057" s="2" t="str">
        <f t="shared" si="189"/>
        <v/>
      </c>
      <c r="AW3057" s="2" t="str">
        <f t="shared" si="190"/>
        <v/>
      </c>
      <c r="AX3057" s="2" t="str">
        <f t="shared" si="191"/>
        <v/>
      </c>
      <c r="AY3057" s="2" t="str">
        <f>IF($AV3057="","",IF(AND($Z3057=0,COUNTIF('AR SALES'!$L$2:$L$2501,$L3057)=0),"YES",""))</f>
        <v/>
      </c>
      <c r="AZ3057" s="2" t="str">
        <f>IF($AV3057="","",IF(COUNTIF(LISTS!$C$2:$C$250,$AU3057)=0,"NEW",""))</f>
        <v/>
      </c>
      <c r="BA3057" s="2" t="str">
        <f>IF(""&amp;$F3057&lt;&gt;"4","",IF($AY3057="YES","",IF(ROUND(SUMIFS($AE$2:$AE$4001,$L$2:$L$4001,$L3057,$F$2:$F$4001,"4")-SUMIFS('AR SALES'!$Y$2:$Y$2501,'AR SALES'!$L$2:$L$2501,$L3057,'AR SALES'!$AD$2:$AD$2501,"OFF"),2)=0,"","STALE")))</f>
        <v/>
      </c>
      <c r="BB3057" s="2" t="str">
        <f>IF(OR(""&amp;$F3057="2",""&amp;$F3057="4",""&amp;$F3057="G",""&amp;$F3057="H"),IF($AY3057="YES","",IF($AB3057&lt;&gt;0,"",IF(COUNTIFS('AR SALES'!$L$2:$L$2501,$L3057,'AR SALES'!$AD$2:$AD$2501,IF(""&amp;$F3057="4","OFF","ON"),'AR SALES'!$AF$2:$AF$2501,"Y")&gt;0,"","NO EXEMPTION"))),"")</f>
        <v/>
      </c>
    </row>
    <row r="3058" spans="46:54" x14ac:dyDescent="0.25">
      <c r="AT3058" s="2" t="str">
        <f>IF($L3058="","",IFERROR(INDEX('AR SALES'!$H$2:$H$2501,MATCH(""&amp;$L3058,'AR SALES'!$AE$2:$AE$2501,0)),""))</f>
        <v/>
      </c>
      <c r="AU3058" s="2" t="str">
        <f t="shared" si="188"/>
        <v/>
      </c>
      <c r="AV3058" s="2" t="str">
        <f t="shared" si="189"/>
        <v/>
      </c>
      <c r="AW3058" s="2" t="str">
        <f t="shared" si="190"/>
        <v/>
      </c>
      <c r="AX3058" s="2" t="str">
        <f t="shared" si="191"/>
        <v/>
      </c>
      <c r="AY3058" s="2" t="str">
        <f>IF($AV3058="","",IF(AND($Z3058=0,COUNTIF('AR SALES'!$L$2:$L$2501,$L3058)=0),"YES",""))</f>
        <v/>
      </c>
      <c r="AZ3058" s="2" t="str">
        <f>IF($AV3058="","",IF(COUNTIF(LISTS!$C$2:$C$250,$AU3058)=0,"NEW",""))</f>
        <v/>
      </c>
      <c r="BA3058" s="2" t="str">
        <f>IF(""&amp;$F3058&lt;&gt;"4","",IF($AY3058="YES","",IF(ROUND(SUMIFS($AE$2:$AE$4001,$L$2:$L$4001,$L3058,$F$2:$F$4001,"4")-SUMIFS('AR SALES'!$Y$2:$Y$2501,'AR SALES'!$L$2:$L$2501,$L3058,'AR SALES'!$AD$2:$AD$2501,"OFF"),2)=0,"","STALE")))</f>
        <v/>
      </c>
      <c r="BB3058" s="2" t="str">
        <f>IF(OR(""&amp;$F3058="2",""&amp;$F3058="4",""&amp;$F3058="G",""&amp;$F3058="H"),IF($AY3058="YES","",IF($AB3058&lt;&gt;0,"",IF(COUNTIFS('AR SALES'!$L$2:$L$2501,$L3058,'AR SALES'!$AD$2:$AD$2501,IF(""&amp;$F3058="4","OFF","ON"),'AR SALES'!$AF$2:$AF$2501,"Y")&gt;0,"","NO EXEMPTION"))),"")</f>
        <v/>
      </c>
    </row>
    <row r="3059" spans="46:54" x14ac:dyDescent="0.25">
      <c r="AT3059" s="2" t="str">
        <f>IF($L3059="","",IFERROR(INDEX('AR SALES'!$H$2:$H$2501,MATCH(""&amp;$L3059,'AR SALES'!$AE$2:$AE$2501,0)),""))</f>
        <v/>
      </c>
      <c r="AU3059" s="2" t="str">
        <f t="shared" si="188"/>
        <v/>
      </c>
      <c r="AV3059" s="2" t="str">
        <f t="shared" si="189"/>
        <v/>
      </c>
      <c r="AW3059" s="2" t="str">
        <f t="shared" si="190"/>
        <v/>
      </c>
      <c r="AX3059" s="2" t="str">
        <f t="shared" si="191"/>
        <v/>
      </c>
      <c r="AY3059" s="2" t="str">
        <f>IF($AV3059="","",IF(AND($Z3059=0,COUNTIF('AR SALES'!$L$2:$L$2501,$L3059)=0),"YES",""))</f>
        <v/>
      </c>
      <c r="AZ3059" s="2" t="str">
        <f>IF($AV3059="","",IF(COUNTIF(LISTS!$C$2:$C$250,$AU3059)=0,"NEW",""))</f>
        <v/>
      </c>
      <c r="BA3059" s="2" t="str">
        <f>IF(""&amp;$F3059&lt;&gt;"4","",IF($AY3059="YES","",IF(ROUND(SUMIFS($AE$2:$AE$4001,$L$2:$L$4001,$L3059,$F$2:$F$4001,"4")-SUMIFS('AR SALES'!$Y$2:$Y$2501,'AR SALES'!$L$2:$L$2501,$L3059,'AR SALES'!$AD$2:$AD$2501,"OFF"),2)=0,"","STALE")))</f>
        <v/>
      </c>
      <c r="BB3059" s="2" t="str">
        <f>IF(OR(""&amp;$F3059="2",""&amp;$F3059="4",""&amp;$F3059="G",""&amp;$F3059="H"),IF($AY3059="YES","",IF($AB3059&lt;&gt;0,"",IF(COUNTIFS('AR SALES'!$L$2:$L$2501,$L3059,'AR SALES'!$AD$2:$AD$2501,IF(""&amp;$F3059="4","OFF","ON"),'AR SALES'!$AF$2:$AF$2501,"Y")&gt;0,"","NO EXEMPTION"))),"")</f>
        <v/>
      </c>
    </row>
    <row r="3060" spans="46:54" x14ac:dyDescent="0.25">
      <c r="AT3060" s="2" t="str">
        <f>IF($L3060="","",IFERROR(INDEX('AR SALES'!$H$2:$H$2501,MATCH(""&amp;$L3060,'AR SALES'!$AE$2:$AE$2501,0)),""))</f>
        <v/>
      </c>
      <c r="AU3060" s="2" t="str">
        <f t="shared" si="188"/>
        <v/>
      </c>
      <c r="AV3060" s="2" t="str">
        <f t="shared" si="189"/>
        <v/>
      </c>
      <c r="AW3060" s="2" t="str">
        <f t="shared" si="190"/>
        <v/>
      </c>
      <c r="AX3060" s="2" t="str">
        <f t="shared" si="191"/>
        <v/>
      </c>
      <c r="AY3060" s="2" t="str">
        <f>IF($AV3060="","",IF(AND($Z3060=0,COUNTIF('AR SALES'!$L$2:$L$2501,$L3060)=0),"YES",""))</f>
        <v/>
      </c>
      <c r="AZ3060" s="2" t="str">
        <f>IF($AV3060="","",IF(COUNTIF(LISTS!$C$2:$C$250,$AU3060)=0,"NEW",""))</f>
        <v/>
      </c>
      <c r="BA3060" s="2" t="str">
        <f>IF(""&amp;$F3060&lt;&gt;"4","",IF($AY3060="YES","",IF(ROUND(SUMIFS($AE$2:$AE$4001,$L$2:$L$4001,$L3060,$F$2:$F$4001,"4")-SUMIFS('AR SALES'!$Y$2:$Y$2501,'AR SALES'!$L$2:$L$2501,$L3060,'AR SALES'!$AD$2:$AD$2501,"OFF"),2)=0,"","STALE")))</f>
        <v/>
      </c>
      <c r="BB3060" s="2" t="str">
        <f>IF(OR(""&amp;$F3060="2",""&amp;$F3060="4",""&amp;$F3060="G",""&amp;$F3060="H"),IF($AY3060="YES","",IF($AB3060&lt;&gt;0,"",IF(COUNTIFS('AR SALES'!$L$2:$L$2501,$L3060,'AR SALES'!$AD$2:$AD$2501,IF(""&amp;$F3060="4","OFF","ON"),'AR SALES'!$AF$2:$AF$2501,"Y")&gt;0,"","NO EXEMPTION"))),"")</f>
        <v/>
      </c>
    </row>
    <row r="3061" spans="46:54" x14ac:dyDescent="0.25">
      <c r="AT3061" s="2" t="str">
        <f>IF($L3061="","",IFERROR(INDEX('AR SALES'!$H$2:$H$2501,MATCH(""&amp;$L3061,'AR SALES'!$AE$2:$AE$2501,0)),""))</f>
        <v/>
      </c>
      <c r="AU3061" s="2" t="str">
        <f t="shared" si="188"/>
        <v/>
      </c>
      <c r="AV3061" s="2" t="str">
        <f t="shared" si="189"/>
        <v/>
      </c>
      <c r="AW3061" s="2" t="str">
        <f t="shared" si="190"/>
        <v/>
      </c>
      <c r="AX3061" s="2" t="str">
        <f t="shared" si="191"/>
        <v/>
      </c>
      <c r="AY3061" s="2" t="str">
        <f>IF($AV3061="","",IF(AND($Z3061=0,COUNTIF('AR SALES'!$L$2:$L$2501,$L3061)=0),"YES",""))</f>
        <v/>
      </c>
      <c r="AZ3061" s="2" t="str">
        <f>IF($AV3061="","",IF(COUNTIF(LISTS!$C$2:$C$250,$AU3061)=0,"NEW",""))</f>
        <v/>
      </c>
      <c r="BA3061" s="2" t="str">
        <f>IF(""&amp;$F3061&lt;&gt;"4","",IF($AY3061="YES","",IF(ROUND(SUMIFS($AE$2:$AE$4001,$L$2:$L$4001,$L3061,$F$2:$F$4001,"4")-SUMIFS('AR SALES'!$Y$2:$Y$2501,'AR SALES'!$L$2:$L$2501,$L3061,'AR SALES'!$AD$2:$AD$2501,"OFF"),2)=0,"","STALE")))</f>
        <v/>
      </c>
      <c r="BB3061" s="2" t="str">
        <f>IF(OR(""&amp;$F3061="2",""&amp;$F3061="4",""&amp;$F3061="G",""&amp;$F3061="H"),IF($AY3061="YES","",IF($AB3061&lt;&gt;0,"",IF(COUNTIFS('AR SALES'!$L$2:$L$2501,$L3061,'AR SALES'!$AD$2:$AD$2501,IF(""&amp;$F3061="4","OFF","ON"),'AR SALES'!$AF$2:$AF$2501,"Y")&gt;0,"","NO EXEMPTION"))),"")</f>
        <v/>
      </c>
    </row>
    <row r="3062" spans="46:54" x14ac:dyDescent="0.25">
      <c r="AT3062" s="2" t="str">
        <f>IF($L3062="","",IFERROR(INDEX('AR SALES'!$H$2:$H$2501,MATCH(""&amp;$L3062,'AR SALES'!$AE$2:$AE$2501,0)),""))</f>
        <v/>
      </c>
      <c r="AU3062" s="2" t="str">
        <f t="shared" si="188"/>
        <v/>
      </c>
      <c r="AV3062" s="2" t="str">
        <f t="shared" si="189"/>
        <v/>
      </c>
      <c r="AW3062" s="2" t="str">
        <f t="shared" si="190"/>
        <v/>
      </c>
      <c r="AX3062" s="2" t="str">
        <f t="shared" si="191"/>
        <v/>
      </c>
      <c r="AY3062" s="2" t="str">
        <f>IF($AV3062="","",IF(AND($Z3062=0,COUNTIF('AR SALES'!$L$2:$L$2501,$L3062)=0),"YES",""))</f>
        <v/>
      </c>
      <c r="AZ3062" s="2" t="str">
        <f>IF($AV3062="","",IF(COUNTIF(LISTS!$C$2:$C$250,$AU3062)=0,"NEW",""))</f>
        <v/>
      </c>
      <c r="BA3062" s="2" t="str">
        <f>IF(""&amp;$F3062&lt;&gt;"4","",IF($AY3062="YES","",IF(ROUND(SUMIFS($AE$2:$AE$4001,$L$2:$L$4001,$L3062,$F$2:$F$4001,"4")-SUMIFS('AR SALES'!$Y$2:$Y$2501,'AR SALES'!$L$2:$L$2501,$L3062,'AR SALES'!$AD$2:$AD$2501,"OFF"),2)=0,"","STALE")))</f>
        <v/>
      </c>
      <c r="BB3062" s="2" t="str">
        <f>IF(OR(""&amp;$F3062="2",""&amp;$F3062="4",""&amp;$F3062="G",""&amp;$F3062="H"),IF($AY3062="YES","",IF($AB3062&lt;&gt;0,"",IF(COUNTIFS('AR SALES'!$L$2:$L$2501,$L3062,'AR SALES'!$AD$2:$AD$2501,IF(""&amp;$F3062="4","OFF","ON"),'AR SALES'!$AF$2:$AF$2501,"Y")&gt;0,"","NO EXEMPTION"))),"")</f>
        <v/>
      </c>
    </row>
    <row r="3063" spans="46:54" x14ac:dyDescent="0.25">
      <c r="AT3063" s="2" t="str">
        <f>IF($L3063="","",IFERROR(INDEX('AR SALES'!$H$2:$H$2501,MATCH(""&amp;$L3063,'AR SALES'!$AE$2:$AE$2501,0)),""))</f>
        <v/>
      </c>
      <c r="AU3063" s="2" t="str">
        <f t="shared" si="188"/>
        <v/>
      </c>
      <c r="AV3063" s="2" t="str">
        <f t="shared" si="189"/>
        <v/>
      </c>
      <c r="AW3063" s="2" t="str">
        <f t="shared" si="190"/>
        <v/>
      </c>
      <c r="AX3063" s="2" t="str">
        <f t="shared" si="191"/>
        <v/>
      </c>
      <c r="AY3063" s="2" t="str">
        <f>IF($AV3063="","",IF(AND($Z3063=0,COUNTIF('AR SALES'!$L$2:$L$2501,$L3063)=0),"YES",""))</f>
        <v/>
      </c>
      <c r="AZ3063" s="2" t="str">
        <f>IF($AV3063="","",IF(COUNTIF(LISTS!$C$2:$C$250,$AU3063)=0,"NEW",""))</f>
        <v/>
      </c>
      <c r="BA3063" s="2" t="str">
        <f>IF(""&amp;$F3063&lt;&gt;"4","",IF($AY3063="YES","",IF(ROUND(SUMIFS($AE$2:$AE$4001,$L$2:$L$4001,$L3063,$F$2:$F$4001,"4")-SUMIFS('AR SALES'!$Y$2:$Y$2501,'AR SALES'!$L$2:$L$2501,$L3063,'AR SALES'!$AD$2:$AD$2501,"OFF"),2)=0,"","STALE")))</f>
        <v/>
      </c>
      <c r="BB3063" s="2" t="str">
        <f>IF(OR(""&amp;$F3063="2",""&amp;$F3063="4",""&amp;$F3063="G",""&amp;$F3063="H"),IF($AY3063="YES","",IF($AB3063&lt;&gt;0,"",IF(COUNTIFS('AR SALES'!$L$2:$L$2501,$L3063,'AR SALES'!$AD$2:$AD$2501,IF(""&amp;$F3063="4","OFF","ON"),'AR SALES'!$AF$2:$AF$2501,"Y")&gt;0,"","NO EXEMPTION"))),"")</f>
        <v/>
      </c>
    </row>
    <row r="3064" spans="46:54" x14ac:dyDescent="0.25">
      <c r="AT3064" s="2" t="str">
        <f>IF($L3064="","",IFERROR(INDEX('AR SALES'!$H$2:$H$2501,MATCH(""&amp;$L3064,'AR SALES'!$AE$2:$AE$2501,0)),""))</f>
        <v/>
      </c>
      <c r="AU3064" s="2" t="str">
        <f t="shared" si="188"/>
        <v/>
      </c>
      <c r="AV3064" s="2" t="str">
        <f t="shared" si="189"/>
        <v/>
      </c>
      <c r="AW3064" s="2" t="str">
        <f t="shared" si="190"/>
        <v/>
      </c>
      <c r="AX3064" s="2" t="str">
        <f t="shared" si="191"/>
        <v/>
      </c>
      <c r="AY3064" s="2" t="str">
        <f>IF($AV3064="","",IF(AND($Z3064=0,COUNTIF('AR SALES'!$L$2:$L$2501,$L3064)=0),"YES",""))</f>
        <v/>
      </c>
      <c r="AZ3064" s="2" t="str">
        <f>IF($AV3064="","",IF(COUNTIF(LISTS!$C$2:$C$250,$AU3064)=0,"NEW",""))</f>
        <v/>
      </c>
      <c r="BA3064" s="2" t="str">
        <f>IF(""&amp;$F3064&lt;&gt;"4","",IF($AY3064="YES","",IF(ROUND(SUMIFS($AE$2:$AE$4001,$L$2:$L$4001,$L3064,$F$2:$F$4001,"4")-SUMIFS('AR SALES'!$Y$2:$Y$2501,'AR SALES'!$L$2:$L$2501,$L3064,'AR SALES'!$AD$2:$AD$2501,"OFF"),2)=0,"","STALE")))</f>
        <v/>
      </c>
      <c r="BB3064" s="2" t="str">
        <f>IF(OR(""&amp;$F3064="2",""&amp;$F3064="4",""&amp;$F3064="G",""&amp;$F3064="H"),IF($AY3064="YES","",IF($AB3064&lt;&gt;0,"",IF(COUNTIFS('AR SALES'!$L$2:$L$2501,$L3064,'AR SALES'!$AD$2:$AD$2501,IF(""&amp;$F3064="4","OFF","ON"),'AR SALES'!$AF$2:$AF$2501,"Y")&gt;0,"","NO EXEMPTION"))),"")</f>
        <v/>
      </c>
    </row>
    <row r="3065" spans="46:54" x14ac:dyDescent="0.25">
      <c r="AT3065" s="2" t="str">
        <f>IF($L3065="","",IFERROR(INDEX('AR SALES'!$H$2:$H$2501,MATCH(""&amp;$L3065,'AR SALES'!$AE$2:$AE$2501,0)),""))</f>
        <v/>
      </c>
      <c r="AU3065" s="2" t="str">
        <f t="shared" si="188"/>
        <v/>
      </c>
      <c r="AV3065" s="2" t="str">
        <f t="shared" si="189"/>
        <v/>
      </c>
      <c r="AW3065" s="2" t="str">
        <f t="shared" si="190"/>
        <v/>
      </c>
      <c r="AX3065" s="2" t="str">
        <f t="shared" si="191"/>
        <v/>
      </c>
      <c r="AY3065" s="2" t="str">
        <f>IF($AV3065="","",IF(AND($Z3065=0,COUNTIF('AR SALES'!$L$2:$L$2501,$L3065)=0),"YES",""))</f>
        <v/>
      </c>
      <c r="AZ3065" s="2" t="str">
        <f>IF($AV3065="","",IF(COUNTIF(LISTS!$C$2:$C$250,$AU3065)=0,"NEW",""))</f>
        <v/>
      </c>
      <c r="BA3065" s="2" t="str">
        <f>IF(""&amp;$F3065&lt;&gt;"4","",IF($AY3065="YES","",IF(ROUND(SUMIFS($AE$2:$AE$4001,$L$2:$L$4001,$L3065,$F$2:$F$4001,"4")-SUMIFS('AR SALES'!$Y$2:$Y$2501,'AR SALES'!$L$2:$L$2501,$L3065,'AR SALES'!$AD$2:$AD$2501,"OFF"),2)=0,"","STALE")))</f>
        <v/>
      </c>
      <c r="BB3065" s="2" t="str">
        <f>IF(OR(""&amp;$F3065="2",""&amp;$F3065="4",""&amp;$F3065="G",""&amp;$F3065="H"),IF($AY3065="YES","",IF($AB3065&lt;&gt;0,"",IF(COUNTIFS('AR SALES'!$L$2:$L$2501,$L3065,'AR SALES'!$AD$2:$AD$2501,IF(""&amp;$F3065="4","OFF","ON"),'AR SALES'!$AF$2:$AF$2501,"Y")&gt;0,"","NO EXEMPTION"))),"")</f>
        <v/>
      </c>
    </row>
    <row r="3066" spans="46:54" x14ac:dyDescent="0.25">
      <c r="AT3066" s="2" t="str">
        <f>IF($L3066="","",IFERROR(INDEX('AR SALES'!$H$2:$H$2501,MATCH(""&amp;$L3066,'AR SALES'!$AE$2:$AE$2501,0)),""))</f>
        <v/>
      </c>
      <c r="AU3066" s="2" t="str">
        <f t="shared" si="188"/>
        <v/>
      </c>
      <c r="AV3066" s="2" t="str">
        <f t="shared" si="189"/>
        <v/>
      </c>
      <c r="AW3066" s="2" t="str">
        <f t="shared" si="190"/>
        <v/>
      </c>
      <c r="AX3066" s="2" t="str">
        <f t="shared" si="191"/>
        <v/>
      </c>
      <c r="AY3066" s="2" t="str">
        <f>IF($AV3066="","",IF(AND($Z3066=0,COUNTIF('AR SALES'!$L$2:$L$2501,$L3066)=0),"YES",""))</f>
        <v/>
      </c>
      <c r="AZ3066" s="2" t="str">
        <f>IF($AV3066="","",IF(COUNTIF(LISTS!$C$2:$C$250,$AU3066)=0,"NEW",""))</f>
        <v/>
      </c>
      <c r="BA3066" s="2" t="str">
        <f>IF(""&amp;$F3066&lt;&gt;"4","",IF($AY3066="YES","",IF(ROUND(SUMIFS($AE$2:$AE$4001,$L$2:$L$4001,$L3066,$F$2:$F$4001,"4")-SUMIFS('AR SALES'!$Y$2:$Y$2501,'AR SALES'!$L$2:$L$2501,$L3066,'AR SALES'!$AD$2:$AD$2501,"OFF"),2)=0,"","STALE")))</f>
        <v/>
      </c>
      <c r="BB3066" s="2" t="str">
        <f>IF(OR(""&amp;$F3066="2",""&amp;$F3066="4",""&amp;$F3066="G",""&amp;$F3066="H"),IF($AY3066="YES","",IF($AB3066&lt;&gt;0,"",IF(COUNTIFS('AR SALES'!$L$2:$L$2501,$L3066,'AR SALES'!$AD$2:$AD$2501,IF(""&amp;$F3066="4","OFF","ON"),'AR SALES'!$AF$2:$AF$2501,"Y")&gt;0,"","NO EXEMPTION"))),"")</f>
        <v/>
      </c>
    </row>
    <row r="3067" spans="46:54" x14ac:dyDescent="0.25">
      <c r="AT3067" s="2" t="str">
        <f>IF($L3067="","",IFERROR(INDEX('AR SALES'!$H$2:$H$2501,MATCH(""&amp;$L3067,'AR SALES'!$AE$2:$AE$2501,0)),""))</f>
        <v/>
      </c>
      <c r="AU3067" s="2" t="str">
        <f t="shared" si="188"/>
        <v/>
      </c>
      <c r="AV3067" s="2" t="str">
        <f t="shared" si="189"/>
        <v/>
      </c>
      <c r="AW3067" s="2" t="str">
        <f t="shared" si="190"/>
        <v/>
      </c>
      <c r="AX3067" s="2" t="str">
        <f t="shared" si="191"/>
        <v/>
      </c>
      <c r="AY3067" s="2" t="str">
        <f>IF($AV3067="","",IF(AND($Z3067=0,COUNTIF('AR SALES'!$L$2:$L$2501,$L3067)=0),"YES",""))</f>
        <v/>
      </c>
      <c r="AZ3067" s="2" t="str">
        <f>IF($AV3067="","",IF(COUNTIF(LISTS!$C$2:$C$250,$AU3067)=0,"NEW",""))</f>
        <v/>
      </c>
      <c r="BA3067" s="2" t="str">
        <f>IF(""&amp;$F3067&lt;&gt;"4","",IF($AY3067="YES","",IF(ROUND(SUMIFS($AE$2:$AE$4001,$L$2:$L$4001,$L3067,$F$2:$F$4001,"4")-SUMIFS('AR SALES'!$Y$2:$Y$2501,'AR SALES'!$L$2:$L$2501,$L3067,'AR SALES'!$AD$2:$AD$2501,"OFF"),2)=0,"","STALE")))</f>
        <v/>
      </c>
      <c r="BB3067" s="2" t="str">
        <f>IF(OR(""&amp;$F3067="2",""&amp;$F3067="4",""&amp;$F3067="G",""&amp;$F3067="H"),IF($AY3067="YES","",IF($AB3067&lt;&gt;0,"",IF(COUNTIFS('AR SALES'!$L$2:$L$2501,$L3067,'AR SALES'!$AD$2:$AD$2501,IF(""&amp;$F3067="4","OFF","ON"),'AR SALES'!$AF$2:$AF$2501,"Y")&gt;0,"","NO EXEMPTION"))),"")</f>
        <v/>
      </c>
    </row>
    <row r="3068" spans="46:54" x14ac:dyDescent="0.25">
      <c r="AT3068" s="2" t="str">
        <f>IF($L3068="","",IFERROR(INDEX('AR SALES'!$H$2:$H$2501,MATCH(""&amp;$L3068,'AR SALES'!$AE$2:$AE$2501,0)),""))</f>
        <v/>
      </c>
      <c r="AU3068" s="2" t="str">
        <f t="shared" si="188"/>
        <v/>
      </c>
      <c r="AV3068" s="2" t="str">
        <f t="shared" si="189"/>
        <v/>
      </c>
      <c r="AW3068" s="2" t="str">
        <f t="shared" si="190"/>
        <v/>
      </c>
      <c r="AX3068" s="2" t="str">
        <f t="shared" si="191"/>
        <v/>
      </c>
      <c r="AY3068" s="2" t="str">
        <f>IF($AV3068="","",IF(AND($Z3068=0,COUNTIF('AR SALES'!$L$2:$L$2501,$L3068)=0),"YES",""))</f>
        <v/>
      </c>
      <c r="AZ3068" s="2" t="str">
        <f>IF($AV3068="","",IF(COUNTIF(LISTS!$C$2:$C$250,$AU3068)=0,"NEW",""))</f>
        <v/>
      </c>
      <c r="BA3068" s="2" t="str">
        <f>IF(""&amp;$F3068&lt;&gt;"4","",IF($AY3068="YES","",IF(ROUND(SUMIFS($AE$2:$AE$4001,$L$2:$L$4001,$L3068,$F$2:$F$4001,"4")-SUMIFS('AR SALES'!$Y$2:$Y$2501,'AR SALES'!$L$2:$L$2501,$L3068,'AR SALES'!$AD$2:$AD$2501,"OFF"),2)=0,"","STALE")))</f>
        <v/>
      </c>
      <c r="BB3068" s="2" t="str">
        <f>IF(OR(""&amp;$F3068="2",""&amp;$F3068="4",""&amp;$F3068="G",""&amp;$F3068="H"),IF($AY3068="YES","",IF($AB3068&lt;&gt;0,"",IF(COUNTIFS('AR SALES'!$L$2:$L$2501,$L3068,'AR SALES'!$AD$2:$AD$2501,IF(""&amp;$F3068="4","OFF","ON"),'AR SALES'!$AF$2:$AF$2501,"Y")&gt;0,"","NO EXEMPTION"))),"")</f>
        <v/>
      </c>
    </row>
    <row r="3069" spans="46:54" x14ac:dyDescent="0.25">
      <c r="AT3069" s="2" t="str">
        <f>IF($L3069="","",IFERROR(INDEX('AR SALES'!$H$2:$H$2501,MATCH(""&amp;$L3069,'AR SALES'!$AE$2:$AE$2501,0)),""))</f>
        <v/>
      </c>
      <c r="AU3069" s="2" t="str">
        <f t="shared" si="188"/>
        <v/>
      </c>
      <c r="AV3069" s="2" t="str">
        <f t="shared" si="189"/>
        <v/>
      </c>
      <c r="AW3069" s="2" t="str">
        <f t="shared" si="190"/>
        <v/>
      </c>
      <c r="AX3069" s="2" t="str">
        <f t="shared" si="191"/>
        <v/>
      </c>
      <c r="AY3069" s="2" t="str">
        <f>IF($AV3069="","",IF(AND($Z3069=0,COUNTIF('AR SALES'!$L$2:$L$2501,$L3069)=0),"YES",""))</f>
        <v/>
      </c>
      <c r="AZ3069" s="2" t="str">
        <f>IF($AV3069="","",IF(COUNTIF(LISTS!$C$2:$C$250,$AU3069)=0,"NEW",""))</f>
        <v/>
      </c>
      <c r="BA3069" s="2" t="str">
        <f>IF(""&amp;$F3069&lt;&gt;"4","",IF($AY3069="YES","",IF(ROUND(SUMIFS($AE$2:$AE$4001,$L$2:$L$4001,$L3069,$F$2:$F$4001,"4")-SUMIFS('AR SALES'!$Y$2:$Y$2501,'AR SALES'!$L$2:$L$2501,$L3069,'AR SALES'!$AD$2:$AD$2501,"OFF"),2)=0,"","STALE")))</f>
        <v/>
      </c>
      <c r="BB3069" s="2" t="str">
        <f>IF(OR(""&amp;$F3069="2",""&amp;$F3069="4",""&amp;$F3069="G",""&amp;$F3069="H"),IF($AY3069="YES","",IF($AB3069&lt;&gt;0,"",IF(COUNTIFS('AR SALES'!$L$2:$L$2501,$L3069,'AR SALES'!$AD$2:$AD$2501,IF(""&amp;$F3069="4","OFF","ON"),'AR SALES'!$AF$2:$AF$2501,"Y")&gt;0,"","NO EXEMPTION"))),"")</f>
        <v/>
      </c>
    </row>
    <row r="3070" spans="46:54" x14ac:dyDescent="0.25">
      <c r="AT3070" s="2" t="str">
        <f>IF($L3070="","",IFERROR(INDEX('AR SALES'!$H$2:$H$2501,MATCH(""&amp;$L3070,'AR SALES'!$AE$2:$AE$2501,0)),""))</f>
        <v/>
      </c>
      <c r="AU3070" s="2" t="str">
        <f t="shared" si="188"/>
        <v/>
      </c>
      <c r="AV3070" s="2" t="str">
        <f t="shared" si="189"/>
        <v/>
      </c>
      <c r="AW3070" s="2" t="str">
        <f t="shared" si="190"/>
        <v/>
      </c>
      <c r="AX3070" s="2" t="str">
        <f t="shared" si="191"/>
        <v/>
      </c>
      <c r="AY3070" s="2" t="str">
        <f>IF($AV3070="","",IF(AND($Z3070=0,COUNTIF('AR SALES'!$L$2:$L$2501,$L3070)=0),"YES",""))</f>
        <v/>
      </c>
      <c r="AZ3070" s="2" t="str">
        <f>IF($AV3070="","",IF(COUNTIF(LISTS!$C$2:$C$250,$AU3070)=0,"NEW",""))</f>
        <v/>
      </c>
      <c r="BA3070" s="2" t="str">
        <f>IF(""&amp;$F3070&lt;&gt;"4","",IF($AY3070="YES","",IF(ROUND(SUMIFS($AE$2:$AE$4001,$L$2:$L$4001,$L3070,$F$2:$F$4001,"4")-SUMIFS('AR SALES'!$Y$2:$Y$2501,'AR SALES'!$L$2:$L$2501,$L3070,'AR SALES'!$AD$2:$AD$2501,"OFF"),2)=0,"","STALE")))</f>
        <v/>
      </c>
      <c r="BB3070" s="2" t="str">
        <f>IF(OR(""&amp;$F3070="2",""&amp;$F3070="4",""&amp;$F3070="G",""&amp;$F3070="H"),IF($AY3070="YES","",IF($AB3070&lt;&gt;0,"",IF(COUNTIFS('AR SALES'!$L$2:$L$2501,$L3070,'AR SALES'!$AD$2:$AD$2501,IF(""&amp;$F3070="4","OFF","ON"),'AR SALES'!$AF$2:$AF$2501,"Y")&gt;0,"","NO EXEMPTION"))),"")</f>
        <v/>
      </c>
    </row>
    <row r="3071" spans="46:54" x14ac:dyDescent="0.25">
      <c r="AT3071" s="2" t="str">
        <f>IF($L3071="","",IFERROR(INDEX('AR SALES'!$H$2:$H$2501,MATCH(""&amp;$L3071,'AR SALES'!$AE$2:$AE$2501,0)),""))</f>
        <v/>
      </c>
      <c r="AU3071" s="2" t="str">
        <f t="shared" si="188"/>
        <v/>
      </c>
      <c r="AV3071" s="2" t="str">
        <f t="shared" si="189"/>
        <v/>
      </c>
      <c r="AW3071" s="2" t="str">
        <f t="shared" si="190"/>
        <v/>
      </c>
      <c r="AX3071" s="2" t="str">
        <f t="shared" si="191"/>
        <v/>
      </c>
      <c r="AY3071" s="2" t="str">
        <f>IF($AV3071="","",IF(AND($Z3071=0,COUNTIF('AR SALES'!$L$2:$L$2501,$L3071)=0),"YES",""))</f>
        <v/>
      </c>
      <c r="AZ3071" s="2" t="str">
        <f>IF($AV3071="","",IF(COUNTIF(LISTS!$C$2:$C$250,$AU3071)=0,"NEW",""))</f>
        <v/>
      </c>
      <c r="BA3071" s="2" t="str">
        <f>IF(""&amp;$F3071&lt;&gt;"4","",IF($AY3071="YES","",IF(ROUND(SUMIFS($AE$2:$AE$4001,$L$2:$L$4001,$L3071,$F$2:$F$4001,"4")-SUMIFS('AR SALES'!$Y$2:$Y$2501,'AR SALES'!$L$2:$L$2501,$L3071,'AR SALES'!$AD$2:$AD$2501,"OFF"),2)=0,"","STALE")))</f>
        <v/>
      </c>
      <c r="BB3071" s="2" t="str">
        <f>IF(OR(""&amp;$F3071="2",""&amp;$F3071="4",""&amp;$F3071="G",""&amp;$F3071="H"),IF($AY3071="YES","",IF($AB3071&lt;&gt;0,"",IF(COUNTIFS('AR SALES'!$L$2:$L$2501,$L3071,'AR SALES'!$AD$2:$AD$2501,IF(""&amp;$F3071="4","OFF","ON"),'AR SALES'!$AF$2:$AF$2501,"Y")&gt;0,"","NO EXEMPTION"))),"")</f>
        <v/>
      </c>
    </row>
    <row r="3072" spans="46:54" x14ac:dyDescent="0.25">
      <c r="AT3072" s="2" t="str">
        <f>IF($L3072="","",IFERROR(INDEX('AR SALES'!$H$2:$H$2501,MATCH(""&amp;$L3072,'AR SALES'!$AE$2:$AE$2501,0)),""))</f>
        <v/>
      </c>
      <c r="AU3072" s="2" t="str">
        <f t="shared" si="188"/>
        <v/>
      </c>
      <c r="AV3072" s="2" t="str">
        <f t="shared" si="189"/>
        <v/>
      </c>
      <c r="AW3072" s="2" t="str">
        <f t="shared" si="190"/>
        <v/>
      </c>
      <c r="AX3072" s="2" t="str">
        <f t="shared" si="191"/>
        <v/>
      </c>
      <c r="AY3072" s="2" t="str">
        <f>IF($AV3072="","",IF(AND($Z3072=0,COUNTIF('AR SALES'!$L$2:$L$2501,$L3072)=0),"YES",""))</f>
        <v/>
      </c>
      <c r="AZ3072" s="2" t="str">
        <f>IF($AV3072="","",IF(COUNTIF(LISTS!$C$2:$C$250,$AU3072)=0,"NEW",""))</f>
        <v/>
      </c>
      <c r="BA3072" s="2" t="str">
        <f>IF(""&amp;$F3072&lt;&gt;"4","",IF($AY3072="YES","",IF(ROUND(SUMIFS($AE$2:$AE$4001,$L$2:$L$4001,$L3072,$F$2:$F$4001,"4")-SUMIFS('AR SALES'!$Y$2:$Y$2501,'AR SALES'!$L$2:$L$2501,$L3072,'AR SALES'!$AD$2:$AD$2501,"OFF"),2)=0,"","STALE")))</f>
        <v/>
      </c>
      <c r="BB3072" s="2" t="str">
        <f>IF(OR(""&amp;$F3072="2",""&amp;$F3072="4",""&amp;$F3072="G",""&amp;$F3072="H"),IF($AY3072="YES","",IF($AB3072&lt;&gt;0,"",IF(COUNTIFS('AR SALES'!$L$2:$L$2501,$L3072,'AR SALES'!$AD$2:$AD$2501,IF(""&amp;$F3072="4","OFF","ON"),'AR SALES'!$AF$2:$AF$2501,"Y")&gt;0,"","NO EXEMPTION"))),"")</f>
        <v/>
      </c>
    </row>
    <row r="3073" spans="46:54" x14ac:dyDescent="0.25">
      <c r="AT3073" s="2" t="str">
        <f>IF($L3073="","",IFERROR(INDEX('AR SALES'!$H$2:$H$2501,MATCH(""&amp;$L3073,'AR SALES'!$AE$2:$AE$2501,0)),""))</f>
        <v/>
      </c>
      <c r="AU3073" s="2" t="str">
        <f t="shared" si="188"/>
        <v/>
      </c>
      <c r="AV3073" s="2" t="str">
        <f t="shared" si="189"/>
        <v/>
      </c>
      <c r="AW3073" s="2" t="str">
        <f t="shared" si="190"/>
        <v/>
      </c>
      <c r="AX3073" s="2" t="str">
        <f t="shared" si="191"/>
        <v/>
      </c>
      <c r="AY3073" s="2" t="str">
        <f>IF($AV3073="","",IF(AND($Z3073=0,COUNTIF('AR SALES'!$L$2:$L$2501,$L3073)=0),"YES",""))</f>
        <v/>
      </c>
      <c r="AZ3073" s="2" t="str">
        <f>IF($AV3073="","",IF(COUNTIF(LISTS!$C$2:$C$250,$AU3073)=0,"NEW",""))</f>
        <v/>
      </c>
      <c r="BA3073" s="2" t="str">
        <f>IF(""&amp;$F3073&lt;&gt;"4","",IF($AY3073="YES","",IF(ROUND(SUMIFS($AE$2:$AE$4001,$L$2:$L$4001,$L3073,$F$2:$F$4001,"4")-SUMIFS('AR SALES'!$Y$2:$Y$2501,'AR SALES'!$L$2:$L$2501,$L3073,'AR SALES'!$AD$2:$AD$2501,"OFF"),2)=0,"","STALE")))</f>
        <v/>
      </c>
      <c r="BB3073" s="2" t="str">
        <f>IF(OR(""&amp;$F3073="2",""&amp;$F3073="4",""&amp;$F3073="G",""&amp;$F3073="H"),IF($AY3073="YES","",IF($AB3073&lt;&gt;0,"",IF(COUNTIFS('AR SALES'!$L$2:$L$2501,$L3073,'AR SALES'!$AD$2:$AD$2501,IF(""&amp;$F3073="4","OFF","ON"),'AR SALES'!$AF$2:$AF$2501,"Y")&gt;0,"","NO EXEMPTION"))),"")</f>
        <v/>
      </c>
    </row>
    <row r="3074" spans="46:54" x14ac:dyDescent="0.25">
      <c r="AT3074" s="2" t="str">
        <f>IF($L3074="","",IFERROR(INDEX('AR SALES'!$H$2:$H$2501,MATCH(""&amp;$L3074,'AR SALES'!$AE$2:$AE$2501,0)),""))</f>
        <v/>
      </c>
      <c r="AU3074" s="2" t="str">
        <f t="shared" ref="AU3074:AU3137" si="192">IF($L3074="","",IF($A3074&lt;&gt;"GA","",IF($E3074="FULTON",IF(ISNUMBER(SEARCH("COLLEGE PARK",$AT3074)),"FULTON (COLLEGE PARK)",IF(ISNUMBER(SEARCH("ATLANTA CITY",$AT3074)),"FULTON (ATL LIMITS)","FULTON")),IF($E3074="DEKALB",IF(ISNUMBER(SEARCH("ATLANTA CITY",$AT3074)),"DEKALB (ATL LIMITS)","DEKALB"),$E3074))))</f>
        <v/>
      </c>
      <c r="AV3074" s="2" t="str">
        <f t="shared" ref="AV3074:AV3137" si="193">IF($L3074="","",IF(""&amp;$F3074="2","DIESEL",IF(OR(""&amp;$F3074="G",""&amp;$F3074="H"),"GAS","")))</f>
        <v/>
      </c>
      <c r="AW3074" s="2" t="str">
        <f t="shared" ref="AW3074:AW3137" si="194">IF($AV3074="","",$R3074)</f>
        <v/>
      </c>
      <c r="AX3074" s="2" t="str">
        <f t="shared" ref="AX3074:AX3137" si="195">IF($AV3074="","",IF($AB3074=0,$R3074,0))</f>
        <v/>
      </c>
      <c r="AY3074" s="2" t="str">
        <f>IF($AV3074="","",IF(AND($Z3074=0,COUNTIF('AR SALES'!$L$2:$L$2501,$L3074)=0),"YES",""))</f>
        <v/>
      </c>
      <c r="AZ3074" s="2" t="str">
        <f>IF($AV3074="","",IF(COUNTIF(LISTS!$C$2:$C$250,$AU3074)=0,"NEW",""))</f>
        <v/>
      </c>
      <c r="BA3074" s="2" t="str">
        <f>IF(""&amp;$F3074&lt;&gt;"4","",IF($AY3074="YES","",IF(ROUND(SUMIFS($AE$2:$AE$4001,$L$2:$L$4001,$L3074,$F$2:$F$4001,"4")-SUMIFS('AR SALES'!$Y$2:$Y$2501,'AR SALES'!$L$2:$L$2501,$L3074,'AR SALES'!$AD$2:$AD$2501,"OFF"),2)=0,"","STALE")))</f>
        <v/>
      </c>
      <c r="BB3074" s="2" t="str">
        <f>IF(OR(""&amp;$F3074="2",""&amp;$F3074="4",""&amp;$F3074="G",""&amp;$F3074="H"),IF($AY3074="YES","",IF($AB3074&lt;&gt;0,"",IF(COUNTIFS('AR SALES'!$L$2:$L$2501,$L3074,'AR SALES'!$AD$2:$AD$2501,IF(""&amp;$F3074="4","OFF","ON"),'AR SALES'!$AF$2:$AF$2501,"Y")&gt;0,"","NO EXEMPTION"))),"")</f>
        <v/>
      </c>
    </row>
    <row r="3075" spans="46:54" x14ac:dyDescent="0.25">
      <c r="AT3075" s="2" t="str">
        <f>IF($L3075="","",IFERROR(INDEX('AR SALES'!$H$2:$H$2501,MATCH(""&amp;$L3075,'AR SALES'!$AE$2:$AE$2501,0)),""))</f>
        <v/>
      </c>
      <c r="AU3075" s="2" t="str">
        <f t="shared" si="192"/>
        <v/>
      </c>
      <c r="AV3075" s="2" t="str">
        <f t="shared" si="193"/>
        <v/>
      </c>
      <c r="AW3075" s="2" t="str">
        <f t="shared" si="194"/>
        <v/>
      </c>
      <c r="AX3075" s="2" t="str">
        <f t="shared" si="195"/>
        <v/>
      </c>
      <c r="AY3075" s="2" t="str">
        <f>IF($AV3075="","",IF(AND($Z3075=0,COUNTIF('AR SALES'!$L$2:$L$2501,$L3075)=0),"YES",""))</f>
        <v/>
      </c>
      <c r="AZ3075" s="2" t="str">
        <f>IF($AV3075="","",IF(COUNTIF(LISTS!$C$2:$C$250,$AU3075)=0,"NEW",""))</f>
        <v/>
      </c>
      <c r="BA3075" s="2" t="str">
        <f>IF(""&amp;$F3075&lt;&gt;"4","",IF($AY3075="YES","",IF(ROUND(SUMIFS($AE$2:$AE$4001,$L$2:$L$4001,$L3075,$F$2:$F$4001,"4")-SUMIFS('AR SALES'!$Y$2:$Y$2501,'AR SALES'!$L$2:$L$2501,$L3075,'AR SALES'!$AD$2:$AD$2501,"OFF"),2)=0,"","STALE")))</f>
        <v/>
      </c>
      <c r="BB3075" s="2" t="str">
        <f>IF(OR(""&amp;$F3075="2",""&amp;$F3075="4",""&amp;$F3075="G",""&amp;$F3075="H"),IF($AY3075="YES","",IF($AB3075&lt;&gt;0,"",IF(COUNTIFS('AR SALES'!$L$2:$L$2501,$L3075,'AR SALES'!$AD$2:$AD$2501,IF(""&amp;$F3075="4","OFF","ON"),'AR SALES'!$AF$2:$AF$2501,"Y")&gt;0,"","NO EXEMPTION"))),"")</f>
        <v/>
      </c>
    </row>
    <row r="3076" spans="46:54" x14ac:dyDescent="0.25">
      <c r="AT3076" s="2" t="str">
        <f>IF($L3076="","",IFERROR(INDEX('AR SALES'!$H$2:$H$2501,MATCH(""&amp;$L3076,'AR SALES'!$AE$2:$AE$2501,0)),""))</f>
        <v/>
      </c>
      <c r="AU3076" s="2" t="str">
        <f t="shared" si="192"/>
        <v/>
      </c>
      <c r="AV3076" s="2" t="str">
        <f t="shared" si="193"/>
        <v/>
      </c>
      <c r="AW3076" s="2" t="str">
        <f t="shared" si="194"/>
        <v/>
      </c>
      <c r="AX3076" s="2" t="str">
        <f t="shared" si="195"/>
        <v/>
      </c>
      <c r="AY3076" s="2" t="str">
        <f>IF($AV3076="","",IF(AND($Z3076=0,COUNTIF('AR SALES'!$L$2:$L$2501,$L3076)=0),"YES",""))</f>
        <v/>
      </c>
      <c r="AZ3076" s="2" t="str">
        <f>IF($AV3076="","",IF(COUNTIF(LISTS!$C$2:$C$250,$AU3076)=0,"NEW",""))</f>
        <v/>
      </c>
      <c r="BA3076" s="2" t="str">
        <f>IF(""&amp;$F3076&lt;&gt;"4","",IF($AY3076="YES","",IF(ROUND(SUMIFS($AE$2:$AE$4001,$L$2:$L$4001,$L3076,$F$2:$F$4001,"4")-SUMIFS('AR SALES'!$Y$2:$Y$2501,'AR SALES'!$L$2:$L$2501,$L3076,'AR SALES'!$AD$2:$AD$2501,"OFF"),2)=0,"","STALE")))</f>
        <v/>
      </c>
      <c r="BB3076" s="2" t="str">
        <f>IF(OR(""&amp;$F3076="2",""&amp;$F3076="4",""&amp;$F3076="G",""&amp;$F3076="H"),IF($AY3076="YES","",IF($AB3076&lt;&gt;0,"",IF(COUNTIFS('AR SALES'!$L$2:$L$2501,$L3076,'AR SALES'!$AD$2:$AD$2501,IF(""&amp;$F3076="4","OFF","ON"),'AR SALES'!$AF$2:$AF$2501,"Y")&gt;0,"","NO EXEMPTION"))),"")</f>
        <v/>
      </c>
    </row>
    <row r="3077" spans="46:54" x14ac:dyDescent="0.25">
      <c r="AT3077" s="2" t="str">
        <f>IF($L3077="","",IFERROR(INDEX('AR SALES'!$H$2:$H$2501,MATCH(""&amp;$L3077,'AR SALES'!$AE$2:$AE$2501,0)),""))</f>
        <v/>
      </c>
      <c r="AU3077" s="2" t="str">
        <f t="shared" si="192"/>
        <v/>
      </c>
      <c r="AV3077" s="2" t="str">
        <f t="shared" si="193"/>
        <v/>
      </c>
      <c r="AW3077" s="2" t="str">
        <f t="shared" si="194"/>
        <v/>
      </c>
      <c r="AX3077" s="2" t="str">
        <f t="shared" si="195"/>
        <v/>
      </c>
      <c r="AY3077" s="2" t="str">
        <f>IF($AV3077="","",IF(AND($Z3077=0,COUNTIF('AR SALES'!$L$2:$L$2501,$L3077)=0),"YES",""))</f>
        <v/>
      </c>
      <c r="AZ3077" s="2" t="str">
        <f>IF($AV3077="","",IF(COUNTIF(LISTS!$C$2:$C$250,$AU3077)=0,"NEW",""))</f>
        <v/>
      </c>
      <c r="BA3077" s="2" t="str">
        <f>IF(""&amp;$F3077&lt;&gt;"4","",IF($AY3077="YES","",IF(ROUND(SUMIFS($AE$2:$AE$4001,$L$2:$L$4001,$L3077,$F$2:$F$4001,"4")-SUMIFS('AR SALES'!$Y$2:$Y$2501,'AR SALES'!$L$2:$L$2501,$L3077,'AR SALES'!$AD$2:$AD$2501,"OFF"),2)=0,"","STALE")))</f>
        <v/>
      </c>
      <c r="BB3077" s="2" t="str">
        <f>IF(OR(""&amp;$F3077="2",""&amp;$F3077="4",""&amp;$F3077="G",""&amp;$F3077="H"),IF($AY3077="YES","",IF($AB3077&lt;&gt;0,"",IF(COUNTIFS('AR SALES'!$L$2:$L$2501,$L3077,'AR SALES'!$AD$2:$AD$2501,IF(""&amp;$F3077="4","OFF","ON"),'AR SALES'!$AF$2:$AF$2501,"Y")&gt;0,"","NO EXEMPTION"))),"")</f>
        <v/>
      </c>
    </row>
    <row r="3078" spans="46:54" x14ac:dyDescent="0.25">
      <c r="AT3078" s="2" t="str">
        <f>IF($L3078="","",IFERROR(INDEX('AR SALES'!$H$2:$H$2501,MATCH(""&amp;$L3078,'AR SALES'!$AE$2:$AE$2501,0)),""))</f>
        <v/>
      </c>
      <c r="AU3078" s="2" t="str">
        <f t="shared" si="192"/>
        <v/>
      </c>
      <c r="AV3078" s="2" t="str">
        <f t="shared" si="193"/>
        <v/>
      </c>
      <c r="AW3078" s="2" t="str">
        <f t="shared" si="194"/>
        <v/>
      </c>
      <c r="AX3078" s="2" t="str">
        <f t="shared" si="195"/>
        <v/>
      </c>
      <c r="AY3078" s="2" t="str">
        <f>IF($AV3078="","",IF(AND($Z3078=0,COUNTIF('AR SALES'!$L$2:$L$2501,$L3078)=0),"YES",""))</f>
        <v/>
      </c>
      <c r="AZ3078" s="2" t="str">
        <f>IF($AV3078="","",IF(COUNTIF(LISTS!$C$2:$C$250,$AU3078)=0,"NEW",""))</f>
        <v/>
      </c>
      <c r="BA3078" s="2" t="str">
        <f>IF(""&amp;$F3078&lt;&gt;"4","",IF($AY3078="YES","",IF(ROUND(SUMIFS($AE$2:$AE$4001,$L$2:$L$4001,$L3078,$F$2:$F$4001,"4")-SUMIFS('AR SALES'!$Y$2:$Y$2501,'AR SALES'!$L$2:$L$2501,$L3078,'AR SALES'!$AD$2:$AD$2501,"OFF"),2)=0,"","STALE")))</f>
        <v/>
      </c>
      <c r="BB3078" s="2" t="str">
        <f>IF(OR(""&amp;$F3078="2",""&amp;$F3078="4",""&amp;$F3078="G",""&amp;$F3078="H"),IF($AY3078="YES","",IF($AB3078&lt;&gt;0,"",IF(COUNTIFS('AR SALES'!$L$2:$L$2501,$L3078,'AR SALES'!$AD$2:$AD$2501,IF(""&amp;$F3078="4","OFF","ON"),'AR SALES'!$AF$2:$AF$2501,"Y")&gt;0,"","NO EXEMPTION"))),"")</f>
        <v/>
      </c>
    </row>
    <row r="3079" spans="46:54" x14ac:dyDescent="0.25">
      <c r="AT3079" s="2" t="str">
        <f>IF($L3079="","",IFERROR(INDEX('AR SALES'!$H$2:$H$2501,MATCH(""&amp;$L3079,'AR SALES'!$AE$2:$AE$2501,0)),""))</f>
        <v/>
      </c>
      <c r="AU3079" s="2" t="str">
        <f t="shared" si="192"/>
        <v/>
      </c>
      <c r="AV3079" s="2" t="str">
        <f t="shared" si="193"/>
        <v/>
      </c>
      <c r="AW3079" s="2" t="str">
        <f t="shared" si="194"/>
        <v/>
      </c>
      <c r="AX3079" s="2" t="str">
        <f t="shared" si="195"/>
        <v/>
      </c>
      <c r="AY3079" s="2" t="str">
        <f>IF($AV3079="","",IF(AND($Z3079=0,COUNTIF('AR SALES'!$L$2:$L$2501,$L3079)=0),"YES",""))</f>
        <v/>
      </c>
      <c r="AZ3079" s="2" t="str">
        <f>IF($AV3079="","",IF(COUNTIF(LISTS!$C$2:$C$250,$AU3079)=0,"NEW",""))</f>
        <v/>
      </c>
      <c r="BA3079" s="2" t="str">
        <f>IF(""&amp;$F3079&lt;&gt;"4","",IF($AY3079="YES","",IF(ROUND(SUMIFS($AE$2:$AE$4001,$L$2:$L$4001,$L3079,$F$2:$F$4001,"4")-SUMIFS('AR SALES'!$Y$2:$Y$2501,'AR SALES'!$L$2:$L$2501,$L3079,'AR SALES'!$AD$2:$AD$2501,"OFF"),2)=0,"","STALE")))</f>
        <v/>
      </c>
      <c r="BB3079" s="2" t="str">
        <f>IF(OR(""&amp;$F3079="2",""&amp;$F3079="4",""&amp;$F3079="G",""&amp;$F3079="H"),IF($AY3079="YES","",IF($AB3079&lt;&gt;0,"",IF(COUNTIFS('AR SALES'!$L$2:$L$2501,$L3079,'AR SALES'!$AD$2:$AD$2501,IF(""&amp;$F3079="4","OFF","ON"),'AR SALES'!$AF$2:$AF$2501,"Y")&gt;0,"","NO EXEMPTION"))),"")</f>
        <v/>
      </c>
    </row>
    <row r="3080" spans="46:54" x14ac:dyDescent="0.25">
      <c r="AT3080" s="2" t="str">
        <f>IF($L3080="","",IFERROR(INDEX('AR SALES'!$H$2:$H$2501,MATCH(""&amp;$L3080,'AR SALES'!$AE$2:$AE$2501,0)),""))</f>
        <v/>
      </c>
      <c r="AU3080" s="2" t="str">
        <f t="shared" si="192"/>
        <v/>
      </c>
      <c r="AV3080" s="2" t="str">
        <f t="shared" si="193"/>
        <v/>
      </c>
      <c r="AW3080" s="2" t="str">
        <f t="shared" si="194"/>
        <v/>
      </c>
      <c r="AX3080" s="2" t="str">
        <f t="shared" si="195"/>
        <v/>
      </c>
      <c r="AY3080" s="2" t="str">
        <f>IF($AV3080="","",IF(AND($Z3080=0,COUNTIF('AR SALES'!$L$2:$L$2501,$L3080)=0),"YES",""))</f>
        <v/>
      </c>
      <c r="AZ3080" s="2" t="str">
        <f>IF($AV3080="","",IF(COUNTIF(LISTS!$C$2:$C$250,$AU3080)=0,"NEW",""))</f>
        <v/>
      </c>
      <c r="BA3080" s="2" t="str">
        <f>IF(""&amp;$F3080&lt;&gt;"4","",IF($AY3080="YES","",IF(ROUND(SUMIFS($AE$2:$AE$4001,$L$2:$L$4001,$L3080,$F$2:$F$4001,"4")-SUMIFS('AR SALES'!$Y$2:$Y$2501,'AR SALES'!$L$2:$L$2501,$L3080,'AR SALES'!$AD$2:$AD$2501,"OFF"),2)=0,"","STALE")))</f>
        <v/>
      </c>
      <c r="BB3080" s="2" t="str">
        <f>IF(OR(""&amp;$F3080="2",""&amp;$F3080="4",""&amp;$F3080="G",""&amp;$F3080="H"),IF($AY3080="YES","",IF($AB3080&lt;&gt;0,"",IF(COUNTIFS('AR SALES'!$L$2:$L$2501,$L3080,'AR SALES'!$AD$2:$AD$2501,IF(""&amp;$F3080="4","OFF","ON"),'AR SALES'!$AF$2:$AF$2501,"Y")&gt;0,"","NO EXEMPTION"))),"")</f>
        <v/>
      </c>
    </row>
    <row r="3081" spans="46:54" x14ac:dyDescent="0.25">
      <c r="AT3081" s="2" t="str">
        <f>IF($L3081="","",IFERROR(INDEX('AR SALES'!$H$2:$H$2501,MATCH(""&amp;$L3081,'AR SALES'!$AE$2:$AE$2501,0)),""))</f>
        <v/>
      </c>
      <c r="AU3081" s="2" t="str">
        <f t="shared" si="192"/>
        <v/>
      </c>
      <c r="AV3081" s="2" t="str">
        <f t="shared" si="193"/>
        <v/>
      </c>
      <c r="AW3081" s="2" t="str">
        <f t="shared" si="194"/>
        <v/>
      </c>
      <c r="AX3081" s="2" t="str">
        <f t="shared" si="195"/>
        <v/>
      </c>
      <c r="AY3081" s="2" t="str">
        <f>IF($AV3081="","",IF(AND($Z3081=0,COUNTIF('AR SALES'!$L$2:$L$2501,$L3081)=0),"YES",""))</f>
        <v/>
      </c>
      <c r="AZ3081" s="2" t="str">
        <f>IF($AV3081="","",IF(COUNTIF(LISTS!$C$2:$C$250,$AU3081)=0,"NEW",""))</f>
        <v/>
      </c>
      <c r="BA3081" s="2" t="str">
        <f>IF(""&amp;$F3081&lt;&gt;"4","",IF($AY3081="YES","",IF(ROUND(SUMIFS($AE$2:$AE$4001,$L$2:$L$4001,$L3081,$F$2:$F$4001,"4")-SUMIFS('AR SALES'!$Y$2:$Y$2501,'AR SALES'!$L$2:$L$2501,$L3081,'AR SALES'!$AD$2:$AD$2501,"OFF"),2)=0,"","STALE")))</f>
        <v/>
      </c>
      <c r="BB3081" s="2" t="str">
        <f>IF(OR(""&amp;$F3081="2",""&amp;$F3081="4",""&amp;$F3081="G",""&amp;$F3081="H"),IF($AY3081="YES","",IF($AB3081&lt;&gt;0,"",IF(COUNTIFS('AR SALES'!$L$2:$L$2501,$L3081,'AR SALES'!$AD$2:$AD$2501,IF(""&amp;$F3081="4","OFF","ON"),'AR SALES'!$AF$2:$AF$2501,"Y")&gt;0,"","NO EXEMPTION"))),"")</f>
        <v/>
      </c>
    </row>
    <row r="3082" spans="46:54" x14ac:dyDescent="0.25">
      <c r="AT3082" s="2" t="str">
        <f>IF($L3082="","",IFERROR(INDEX('AR SALES'!$H$2:$H$2501,MATCH(""&amp;$L3082,'AR SALES'!$AE$2:$AE$2501,0)),""))</f>
        <v/>
      </c>
      <c r="AU3082" s="2" t="str">
        <f t="shared" si="192"/>
        <v/>
      </c>
      <c r="AV3082" s="2" t="str">
        <f t="shared" si="193"/>
        <v/>
      </c>
      <c r="AW3082" s="2" t="str">
        <f t="shared" si="194"/>
        <v/>
      </c>
      <c r="AX3082" s="2" t="str">
        <f t="shared" si="195"/>
        <v/>
      </c>
      <c r="AY3082" s="2" t="str">
        <f>IF($AV3082="","",IF(AND($Z3082=0,COUNTIF('AR SALES'!$L$2:$L$2501,$L3082)=0),"YES",""))</f>
        <v/>
      </c>
      <c r="AZ3082" s="2" t="str">
        <f>IF($AV3082="","",IF(COUNTIF(LISTS!$C$2:$C$250,$AU3082)=0,"NEW",""))</f>
        <v/>
      </c>
      <c r="BA3082" s="2" t="str">
        <f>IF(""&amp;$F3082&lt;&gt;"4","",IF($AY3082="YES","",IF(ROUND(SUMIFS($AE$2:$AE$4001,$L$2:$L$4001,$L3082,$F$2:$F$4001,"4")-SUMIFS('AR SALES'!$Y$2:$Y$2501,'AR SALES'!$L$2:$L$2501,$L3082,'AR SALES'!$AD$2:$AD$2501,"OFF"),2)=0,"","STALE")))</f>
        <v/>
      </c>
      <c r="BB3082" s="2" t="str">
        <f>IF(OR(""&amp;$F3082="2",""&amp;$F3082="4",""&amp;$F3082="G",""&amp;$F3082="H"),IF($AY3082="YES","",IF($AB3082&lt;&gt;0,"",IF(COUNTIFS('AR SALES'!$L$2:$L$2501,$L3082,'AR SALES'!$AD$2:$AD$2501,IF(""&amp;$F3082="4","OFF","ON"),'AR SALES'!$AF$2:$AF$2501,"Y")&gt;0,"","NO EXEMPTION"))),"")</f>
        <v/>
      </c>
    </row>
    <row r="3083" spans="46:54" x14ac:dyDescent="0.25">
      <c r="AT3083" s="2" t="str">
        <f>IF($L3083="","",IFERROR(INDEX('AR SALES'!$H$2:$H$2501,MATCH(""&amp;$L3083,'AR SALES'!$AE$2:$AE$2501,0)),""))</f>
        <v/>
      </c>
      <c r="AU3083" s="2" t="str">
        <f t="shared" si="192"/>
        <v/>
      </c>
      <c r="AV3083" s="2" t="str">
        <f t="shared" si="193"/>
        <v/>
      </c>
      <c r="AW3083" s="2" t="str">
        <f t="shared" si="194"/>
        <v/>
      </c>
      <c r="AX3083" s="2" t="str">
        <f t="shared" si="195"/>
        <v/>
      </c>
      <c r="AY3083" s="2" t="str">
        <f>IF($AV3083="","",IF(AND($Z3083=0,COUNTIF('AR SALES'!$L$2:$L$2501,$L3083)=0),"YES",""))</f>
        <v/>
      </c>
      <c r="AZ3083" s="2" t="str">
        <f>IF($AV3083="","",IF(COUNTIF(LISTS!$C$2:$C$250,$AU3083)=0,"NEW",""))</f>
        <v/>
      </c>
      <c r="BA3083" s="2" t="str">
        <f>IF(""&amp;$F3083&lt;&gt;"4","",IF($AY3083="YES","",IF(ROUND(SUMIFS($AE$2:$AE$4001,$L$2:$L$4001,$L3083,$F$2:$F$4001,"4")-SUMIFS('AR SALES'!$Y$2:$Y$2501,'AR SALES'!$L$2:$L$2501,$L3083,'AR SALES'!$AD$2:$AD$2501,"OFF"),2)=0,"","STALE")))</f>
        <v/>
      </c>
      <c r="BB3083" s="2" t="str">
        <f>IF(OR(""&amp;$F3083="2",""&amp;$F3083="4",""&amp;$F3083="G",""&amp;$F3083="H"),IF($AY3083="YES","",IF($AB3083&lt;&gt;0,"",IF(COUNTIFS('AR SALES'!$L$2:$L$2501,$L3083,'AR SALES'!$AD$2:$AD$2501,IF(""&amp;$F3083="4","OFF","ON"),'AR SALES'!$AF$2:$AF$2501,"Y")&gt;0,"","NO EXEMPTION"))),"")</f>
        <v/>
      </c>
    </row>
    <row r="3084" spans="46:54" x14ac:dyDescent="0.25">
      <c r="AT3084" s="2" t="str">
        <f>IF($L3084="","",IFERROR(INDEX('AR SALES'!$H$2:$H$2501,MATCH(""&amp;$L3084,'AR SALES'!$AE$2:$AE$2501,0)),""))</f>
        <v/>
      </c>
      <c r="AU3084" s="2" t="str">
        <f t="shared" si="192"/>
        <v/>
      </c>
      <c r="AV3084" s="2" t="str">
        <f t="shared" si="193"/>
        <v/>
      </c>
      <c r="AW3084" s="2" t="str">
        <f t="shared" si="194"/>
        <v/>
      </c>
      <c r="AX3084" s="2" t="str">
        <f t="shared" si="195"/>
        <v/>
      </c>
      <c r="AY3084" s="2" t="str">
        <f>IF($AV3084="","",IF(AND($Z3084=0,COUNTIF('AR SALES'!$L$2:$L$2501,$L3084)=0),"YES",""))</f>
        <v/>
      </c>
      <c r="AZ3084" s="2" t="str">
        <f>IF($AV3084="","",IF(COUNTIF(LISTS!$C$2:$C$250,$AU3084)=0,"NEW",""))</f>
        <v/>
      </c>
      <c r="BA3084" s="2" t="str">
        <f>IF(""&amp;$F3084&lt;&gt;"4","",IF($AY3084="YES","",IF(ROUND(SUMIFS($AE$2:$AE$4001,$L$2:$L$4001,$L3084,$F$2:$F$4001,"4")-SUMIFS('AR SALES'!$Y$2:$Y$2501,'AR SALES'!$L$2:$L$2501,$L3084,'AR SALES'!$AD$2:$AD$2501,"OFF"),2)=0,"","STALE")))</f>
        <v/>
      </c>
      <c r="BB3084" s="2" t="str">
        <f>IF(OR(""&amp;$F3084="2",""&amp;$F3084="4",""&amp;$F3084="G",""&amp;$F3084="H"),IF($AY3084="YES","",IF($AB3084&lt;&gt;0,"",IF(COUNTIFS('AR SALES'!$L$2:$L$2501,$L3084,'AR SALES'!$AD$2:$AD$2501,IF(""&amp;$F3084="4","OFF","ON"),'AR SALES'!$AF$2:$AF$2501,"Y")&gt;0,"","NO EXEMPTION"))),"")</f>
        <v/>
      </c>
    </row>
    <row r="3085" spans="46:54" x14ac:dyDescent="0.25">
      <c r="AT3085" s="2" t="str">
        <f>IF($L3085="","",IFERROR(INDEX('AR SALES'!$H$2:$H$2501,MATCH(""&amp;$L3085,'AR SALES'!$AE$2:$AE$2501,0)),""))</f>
        <v/>
      </c>
      <c r="AU3085" s="2" t="str">
        <f t="shared" si="192"/>
        <v/>
      </c>
      <c r="AV3085" s="2" t="str">
        <f t="shared" si="193"/>
        <v/>
      </c>
      <c r="AW3085" s="2" t="str">
        <f t="shared" si="194"/>
        <v/>
      </c>
      <c r="AX3085" s="2" t="str">
        <f t="shared" si="195"/>
        <v/>
      </c>
      <c r="AY3085" s="2" t="str">
        <f>IF($AV3085="","",IF(AND($Z3085=0,COUNTIF('AR SALES'!$L$2:$L$2501,$L3085)=0),"YES",""))</f>
        <v/>
      </c>
      <c r="AZ3085" s="2" t="str">
        <f>IF($AV3085="","",IF(COUNTIF(LISTS!$C$2:$C$250,$AU3085)=0,"NEW",""))</f>
        <v/>
      </c>
      <c r="BA3085" s="2" t="str">
        <f>IF(""&amp;$F3085&lt;&gt;"4","",IF($AY3085="YES","",IF(ROUND(SUMIFS($AE$2:$AE$4001,$L$2:$L$4001,$L3085,$F$2:$F$4001,"4")-SUMIFS('AR SALES'!$Y$2:$Y$2501,'AR SALES'!$L$2:$L$2501,$L3085,'AR SALES'!$AD$2:$AD$2501,"OFF"),2)=0,"","STALE")))</f>
        <v/>
      </c>
      <c r="BB3085" s="2" t="str">
        <f>IF(OR(""&amp;$F3085="2",""&amp;$F3085="4",""&amp;$F3085="G",""&amp;$F3085="H"),IF($AY3085="YES","",IF($AB3085&lt;&gt;0,"",IF(COUNTIFS('AR SALES'!$L$2:$L$2501,$L3085,'AR SALES'!$AD$2:$AD$2501,IF(""&amp;$F3085="4","OFF","ON"),'AR SALES'!$AF$2:$AF$2501,"Y")&gt;0,"","NO EXEMPTION"))),"")</f>
        <v/>
      </c>
    </row>
    <row r="3086" spans="46:54" x14ac:dyDescent="0.25">
      <c r="AT3086" s="2" t="str">
        <f>IF($L3086="","",IFERROR(INDEX('AR SALES'!$H$2:$H$2501,MATCH(""&amp;$L3086,'AR SALES'!$AE$2:$AE$2501,0)),""))</f>
        <v/>
      </c>
      <c r="AU3086" s="2" t="str">
        <f t="shared" si="192"/>
        <v/>
      </c>
      <c r="AV3086" s="2" t="str">
        <f t="shared" si="193"/>
        <v/>
      </c>
      <c r="AW3086" s="2" t="str">
        <f t="shared" si="194"/>
        <v/>
      </c>
      <c r="AX3086" s="2" t="str">
        <f t="shared" si="195"/>
        <v/>
      </c>
      <c r="AY3086" s="2" t="str">
        <f>IF($AV3086="","",IF(AND($Z3086=0,COUNTIF('AR SALES'!$L$2:$L$2501,$L3086)=0),"YES",""))</f>
        <v/>
      </c>
      <c r="AZ3086" s="2" t="str">
        <f>IF($AV3086="","",IF(COUNTIF(LISTS!$C$2:$C$250,$AU3086)=0,"NEW",""))</f>
        <v/>
      </c>
      <c r="BA3086" s="2" t="str">
        <f>IF(""&amp;$F3086&lt;&gt;"4","",IF($AY3086="YES","",IF(ROUND(SUMIFS($AE$2:$AE$4001,$L$2:$L$4001,$L3086,$F$2:$F$4001,"4")-SUMIFS('AR SALES'!$Y$2:$Y$2501,'AR SALES'!$L$2:$L$2501,$L3086,'AR SALES'!$AD$2:$AD$2501,"OFF"),2)=0,"","STALE")))</f>
        <v/>
      </c>
      <c r="BB3086" s="2" t="str">
        <f>IF(OR(""&amp;$F3086="2",""&amp;$F3086="4",""&amp;$F3086="G",""&amp;$F3086="H"),IF($AY3086="YES","",IF($AB3086&lt;&gt;0,"",IF(COUNTIFS('AR SALES'!$L$2:$L$2501,$L3086,'AR SALES'!$AD$2:$AD$2501,IF(""&amp;$F3086="4","OFF","ON"),'AR SALES'!$AF$2:$AF$2501,"Y")&gt;0,"","NO EXEMPTION"))),"")</f>
        <v/>
      </c>
    </row>
    <row r="3087" spans="46:54" x14ac:dyDescent="0.25">
      <c r="AT3087" s="2" t="str">
        <f>IF($L3087="","",IFERROR(INDEX('AR SALES'!$H$2:$H$2501,MATCH(""&amp;$L3087,'AR SALES'!$AE$2:$AE$2501,0)),""))</f>
        <v/>
      </c>
      <c r="AU3087" s="2" t="str">
        <f t="shared" si="192"/>
        <v/>
      </c>
      <c r="AV3087" s="2" t="str">
        <f t="shared" si="193"/>
        <v/>
      </c>
      <c r="AW3087" s="2" t="str">
        <f t="shared" si="194"/>
        <v/>
      </c>
      <c r="AX3087" s="2" t="str">
        <f t="shared" si="195"/>
        <v/>
      </c>
      <c r="AY3087" s="2" t="str">
        <f>IF($AV3087="","",IF(AND($Z3087=0,COUNTIF('AR SALES'!$L$2:$L$2501,$L3087)=0),"YES",""))</f>
        <v/>
      </c>
      <c r="AZ3087" s="2" t="str">
        <f>IF($AV3087="","",IF(COUNTIF(LISTS!$C$2:$C$250,$AU3087)=0,"NEW",""))</f>
        <v/>
      </c>
      <c r="BA3087" s="2" t="str">
        <f>IF(""&amp;$F3087&lt;&gt;"4","",IF($AY3087="YES","",IF(ROUND(SUMIFS($AE$2:$AE$4001,$L$2:$L$4001,$L3087,$F$2:$F$4001,"4")-SUMIFS('AR SALES'!$Y$2:$Y$2501,'AR SALES'!$L$2:$L$2501,$L3087,'AR SALES'!$AD$2:$AD$2501,"OFF"),2)=0,"","STALE")))</f>
        <v/>
      </c>
      <c r="BB3087" s="2" t="str">
        <f>IF(OR(""&amp;$F3087="2",""&amp;$F3087="4",""&amp;$F3087="G",""&amp;$F3087="H"),IF($AY3087="YES","",IF($AB3087&lt;&gt;0,"",IF(COUNTIFS('AR SALES'!$L$2:$L$2501,$L3087,'AR SALES'!$AD$2:$AD$2501,IF(""&amp;$F3087="4","OFF","ON"),'AR SALES'!$AF$2:$AF$2501,"Y")&gt;0,"","NO EXEMPTION"))),"")</f>
        <v/>
      </c>
    </row>
    <row r="3088" spans="46:54" x14ac:dyDescent="0.25">
      <c r="AT3088" s="2" t="str">
        <f>IF($L3088="","",IFERROR(INDEX('AR SALES'!$H$2:$H$2501,MATCH(""&amp;$L3088,'AR SALES'!$AE$2:$AE$2501,0)),""))</f>
        <v/>
      </c>
      <c r="AU3088" s="2" t="str">
        <f t="shared" si="192"/>
        <v/>
      </c>
      <c r="AV3088" s="2" t="str">
        <f t="shared" si="193"/>
        <v/>
      </c>
      <c r="AW3088" s="2" t="str">
        <f t="shared" si="194"/>
        <v/>
      </c>
      <c r="AX3088" s="2" t="str">
        <f t="shared" si="195"/>
        <v/>
      </c>
      <c r="AY3088" s="2" t="str">
        <f>IF($AV3088="","",IF(AND($Z3088=0,COUNTIF('AR SALES'!$L$2:$L$2501,$L3088)=0),"YES",""))</f>
        <v/>
      </c>
      <c r="AZ3088" s="2" t="str">
        <f>IF($AV3088="","",IF(COUNTIF(LISTS!$C$2:$C$250,$AU3088)=0,"NEW",""))</f>
        <v/>
      </c>
      <c r="BA3088" s="2" t="str">
        <f>IF(""&amp;$F3088&lt;&gt;"4","",IF($AY3088="YES","",IF(ROUND(SUMIFS($AE$2:$AE$4001,$L$2:$L$4001,$L3088,$F$2:$F$4001,"4")-SUMIFS('AR SALES'!$Y$2:$Y$2501,'AR SALES'!$L$2:$L$2501,$L3088,'AR SALES'!$AD$2:$AD$2501,"OFF"),2)=0,"","STALE")))</f>
        <v/>
      </c>
      <c r="BB3088" s="2" t="str">
        <f>IF(OR(""&amp;$F3088="2",""&amp;$F3088="4",""&amp;$F3088="G",""&amp;$F3088="H"),IF($AY3088="YES","",IF($AB3088&lt;&gt;0,"",IF(COUNTIFS('AR SALES'!$L$2:$L$2501,$L3088,'AR SALES'!$AD$2:$AD$2501,IF(""&amp;$F3088="4","OFF","ON"),'AR SALES'!$AF$2:$AF$2501,"Y")&gt;0,"","NO EXEMPTION"))),"")</f>
        <v/>
      </c>
    </row>
    <row r="3089" spans="46:54" x14ac:dyDescent="0.25">
      <c r="AT3089" s="2" t="str">
        <f>IF($L3089="","",IFERROR(INDEX('AR SALES'!$H$2:$H$2501,MATCH(""&amp;$L3089,'AR SALES'!$AE$2:$AE$2501,0)),""))</f>
        <v/>
      </c>
      <c r="AU3089" s="2" t="str">
        <f t="shared" si="192"/>
        <v/>
      </c>
      <c r="AV3089" s="2" t="str">
        <f t="shared" si="193"/>
        <v/>
      </c>
      <c r="AW3089" s="2" t="str">
        <f t="shared" si="194"/>
        <v/>
      </c>
      <c r="AX3089" s="2" t="str">
        <f t="shared" si="195"/>
        <v/>
      </c>
      <c r="AY3089" s="2" t="str">
        <f>IF($AV3089="","",IF(AND($Z3089=0,COUNTIF('AR SALES'!$L$2:$L$2501,$L3089)=0),"YES",""))</f>
        <v/>
      </c>
      <c r="AZ3089" s="2" t="str">
        <f>IF($AV3089="","",IF(COUNTIF(LISTS!$C$2:$C$250,$AU3089)=0,"NEW",""))</f>
        <v/>
      </c>
      <c r="BA3089" s="2" t="str">
        <f>IF(""&amp;$F3089&lt;&gt;"4","",IF($AY3089="YES","",IF(ROUND(SUMIFS($AE$2:$AE$4001,$L$2:$L$4001,$L3089,$F$2:$F$4001,"4")-SUMIFS('AR SALES'!$Y$2:$Y$2501,'AR SALES'!$L$2:$L$2501,$L3089,'AR SALES'!$AD$2:$AD$2501,"OFF"),2)=0,"","STALE")))</f>
        <v/>
      </c>
      <c r="BB3089" s="2" t="str">
        <f>IF(OR(""&amp;$F3089="2",""&amp;$F3089="4",""&amp;$F3089="G",""&amp;$F3089="H"),IF($AY3089="YES","",IF($AB3089&lt;&gt;0,"",IF(COUNTIFS('AR SALES'!$L$2:$L$2501,$L3089,'AR SALES'!$AD$2:$AD$2501,IF(""&amp;$F3089="4","OFF","ON"),'AR SALES'!$AF$2:$AF$2501,"Y")&gt;0,"","NO EXEMPTION"))),"")</f>
        <v/>
      </c>
    </row>
    <row r="3090" spans="46:54" x14ac:dyDescent="0.25">
      <c r="AT3090" s="2" t="str">
        <f>IF($L3090="","",IFERROR(INDEX('AR SALES'!$H$2:$H$2501,MATCH(""&amp;$L3090,'AR SALES'!$AE$2:$AE$2501,0)),""))</f>
        <v/>
      </c>
      <c r="AU3090" s="2" t="str">
        <f t="shared" si="192"/>
        <v/>
      </c>
      <c r="AV3090" s="2" t="str">
        <f t="shared" si="193"/>
        <v/>
      </c>
      <c r="AW3090" s="2" t="str">
        <f t="shared" si="194"/>
        <v/>
      </c>
      <c r="AX3090" s="2" t="str">
        <f t="shared" si="195"/>
        <v/>
      </c>
      <c r="AY3090" s="2" t="str">
        <f>IF($AV3090="","",IF(AND($Z3090=0,COUNTIF('AR SALES'!$L$2:$L$2501,$L3090)=0),"YES",""))</f>
        <v/>
      </c>
      <c r="AZ3090" s="2" t="str">
        <f>IF($AV3090="","",IF(COUNTIF(LISTS!$C$2:$C$250,$AU3090)=0,"NEW",""))</f>
        <v/>
      </c>
      <c r="BA3090" s="2" t="str">
        <f>IF(""&amp;$F3090&lt;&gt;"4","",IF($AY3090="YES","",IF(ROUND(SUMIFS($AE$2:$AE$4001,$L$2:$L$4001,$L3090,$F$2:$F$4001,"4")-SUMIFS('AR SALES'!$Y$2:$Y$2501,'AR SALES'!$L$2:$L$2501,$L3090,'AR SALES'!$AD$2:$AD$2501,"OFF"),2)=0,"","STALE")))</f>
        <v/>
      </c>
      <c r="BB3090" s="2" t="str">
        <f>IF(OR(""&amp;$F3090="2",""&amp;$F3090="4",""&amp;$F3090="G",""&amp;$F3090="H"),IF($AY3090="YES","",IF($AB3090&lt;&gt;0,"",IF(COUNTIFS('AR SALES'!$L$2:$L$2501,$L3090,'AR SALES'!$AD$2:$AD$2501,IF(""&amp;$F3090="4","OFF","ON"),'AR SALES'!$AF$2:$AF$2501,"Y")&gt;0,"","NO EXEMPTION"))),"")</f>
        <v/>
      </c>
    </row>
    <row r="3091" spans="46:54" x14ac:dyDescent="0.25">
      <c r="AT3091" s="2" t="str">
        <f>IF($L3091="","",IFERROR(INDEX('AR SALES'!$H$2:$H$2501,MATCH(""&amp;$L3091,'AR SALES'!$AE$2:$AE$2501,0)),""))</f>
        <v/>
      </c>
      <c r="AU3091" s="2" t="str">
        <f t="shared" si="192"/>
        <v/>
      </c>
      <c r="AV3091" s="2" t="str">
        <f t="shared" si="193"/>
        <v/>
      </c>
      <c r="AW3091" s="2" t="str">
        <f t="shared" si="194"/>
        <v/>
      </c>
      <c r="AX3091" s="2" t="str">
        <f t="shared" si="195"/>
        <v/>
      </c>
      <c r="AY3091" s="2" t="str">
        <f>IF($AV3091="","",IF(AND($Z3091=0,COUNTIF('AR SALES'!$L$2:$L$2501,$L3091)=0),"YES",""))</f>
        <v/>
      </c>
      <c r="AZ3091" s="2" t="str">
        <f>IF($AV3091="","",IF(COUNTIF(LISTS!$C$2:$C$250,$AU3091)=0,"NEW",""))</f>
        <v/>
      </c>
      <c r="BA3091" s="2" t="str">
        <f>IF(""&amp;$F3091&lt;&gt;"4","",IF($AY3091="YES","",IF(ROUND(SUMIFS($AE$2:$AE$4001,$L$2:$L$4001,$L3091,$F$2:$F$4001,"4")-SUMIFS('AR SALES'!$Y$2:$Y$2501,'AR SALES'!$L$2:$L$2501,$L3091,'AR SALES'!$AD$2:$AD$2501,"OFF"),2)=0,"","STALE")))</f>
        <v/>
      </c>
      <c r="BB3091" s="2" t="str">
        <f>IF(OR(""&amp;$F3091="2",""&amp;$F3091="4",""&amp;$F3091="G",""&amp;$F3091="H"),IF($AY3091="YES","",IF($AB3091&lt;&gt;0,"",IF(COUNTIFS('AR SALES'!$L$2:$L$2501,$L3091,'AR SALES'!$AD$2:$AD$2501,IF(""&amp;$F3091="4","OFF","ON"),'AR SALES'!$AF$2:$AF$2501,"Y")&gt;0,"","NO EXEMPTION"))),"")</f>
        <v/>
      </c>
    </row>
    <row r="3092" spans="46:54" x14ac:dyDescent="0.25">
      <c r="AT3092" s="2" t="str">
        <f>IF($L3092="","",IFERROR(INDEX('AR SALES'!$H$2:$H$2501,MATCH(""&amp;$L3092,'AR SALES'!$AE$2:$AE$2501,0)),""))</f>
        <v/>
      </c>
      <c r="AU3092" s="2" t="str">
        <f t="shared" si="192"/>
        <v/>
      </c>
      <c r="AV3092" s="2" t="str">
        <f t="shared" si="193"/>
        <v/>
      </c>
      <c r="AW3092" s="2" t="str">
        <f t="shared" si="194"/>
        <v/>
      </c>
      <c r="AX3092" s="2" t="str">
        <f t="shared" si="195"/>
        <v/>
      </c>
      <c r="AY3092" s="2" t="str">
        <f>IF($AV3092="","",IF(AND($Z3092=0,COUNTIF('AR SALES'!$L$2:$L$2501,$L3092)=0),"YES",""))</f>
        <v/>
      </c>
      <c r="AZ3092" s="2" t="str">
        <f>IF($AV3092="","",IF(COUNTIF(LISTS!$C$2:$C$250,$AU3092)=0,"NEW",""))</f>
        <v/>
      </c>
      <c r="BA3092" s="2" t="str">
        <f>IF(""&amp;$F3092&lt;&gt;"4","",IF($AY3092="YES","",IF(ROUND(SUMIFS($AE$2:$AE$4001,$L$2:$L$4001,$L3092,$F$2:$F$4001,"4")-SUMIFS('AR SALES'!$Y$2:$Y$2501,'AR SALES'!$L$2:$L$2501,$L3092,'AR SALES'!$AD$2:$AD$2501,"OFF"),2)=0,"","STALE")))</f>
        <v/>
      </c>
      <c r="BB3092" s="2" t="str">
        <f>IF(OR(""&amp;$F3092="2",""&amp;$F3092="4",""&amp;$F3092="G",""&amp;$F3092="H"),IF($AY3092="YES","",IF($AB3092&lt;&gt;0,"",IF(COUNTIFS('AR SALES'!$L$2:$L$2501,$L3092,'AR SALES'!$AD$2:$AD$2501,IF(""&amp;$F3092="4","OFF","ON"),'AR SALES'!$AF$2:$AF$2501,"Y")&gt;0,"","NO EXEMPTION"))),"")</f>
        <v/>
      </c>
    </row>
    <row r="3093" spans="46:54" x14ac:dyDescent="0.25">
      <c r="AT3093" s="2" t="str">
        <f>IF($L3093="","",IFERROR(INDEX('AR SALES'!$H$2:$H$2501,MATCH(""&amp;$L3093,'AR SALES'!$AE$2:$AE$2501,0)),""))</f>
        <v/>
      </c>
      <c r="AU3093" s="2" t="str">
        <f t="shared" si="192"/>
        <v/>
      </c>
      <c r="AV3093" s="2" t="str">
        <f t="shared" si="193"/>
        <v/>
      </c>
      <c r="AW3093" s="2" t="str">
        <f t="shared" si="194"/>
        <v/>
      </c>
      <c r="AX3093" s="2" t="str">
        <f t="shared" si="195"/>
        <v/>
      </c>
      <c r="AY3093" s="2" t="str">
        <f>IF($AV3093="","",IF(AND($Z3093=0,COUNTIF('AR SALES'!$L$2:$L$2501,$L3093)=0),"YES",""))</f>
        <v/>
      </c>
      <c r="AZ3093" s="2" t="str">
        <f>IF($AV3093="","",IF(COUNTIF(LISTS!$C$2:$C$250,$AU3093)=0,"NEW",""))</f>
        <v/>
      </c>
      <c r="BA3093" s="2" t="str">
        <f>IF(""&amp;$F3093&lt;&gt;"4","",IF($AY3093="YES","",IF(ROUND(SUMIFS($AE$2:$AE$4001,$L$2:$L$4001,$L3093,$F$2:$F$4001,"4")-SUMIFS('AR SALES'!$Y$2:$Y$2501,'AR SALES'!$L$2:$L$2501,$L3093,'AR SALES'!$AD$2:$AD$2501,"OFF"),2)=0,"","STALE")))</f>
        <v/>
      </c>
      <c r="BB3093" s="2" t="str">
        <f>IF(OR(""&amp;$F3093="2",""&amp;$F3093="4",""&amp;$F3093="G",""&amp;$F3093="H"),IF($AY3093="YES","",IF($AB3093&lt;&gt;0,"",IF(COUNTIFS('AR SALES'!$L$2:$L$2501,$L3093,'AR SALES'!$AD$2:$AD$2501,IF(""&amp;$F3093="4","OFF","ON"),'AR SALES'!$AF$2:$AF$2501,"Y")&gt;0,"","NO EXEMPTION"))),"")</f>
        <v/>
      </c>
    </row>
    <row r="3094" spans="46:54" x14ac:dyDescent="0.25">
      <c r="AT3094" s="2" t="str">
        <f>IF($L3094="","",IFERROR(INDEX('AR SALES'!$H$2:$H$2501,MATCH(""&amp;$L3094,'AR SALES'!$AE$2:$AE$2501,0)),""))</f>
        <v/>
      </c>
      <c r="AU3094" s="2" t="str">
        <f t="shared" si="192"/>
        <v/>
      </c>
      <c r="AV3094" s="2" t="str">
        <f t="shared" si="193"/>
        <v/>
      </c>
      <c r="AW3094" s="2" t="str">
        <f t="shared" si="194"/>
        <v/>
      </c>
      <c r="AX3094" s="2" t="str">
        <f t="shared" si="195"/>
        <v/>
      </c>
      <c r="AY3094" s="2" t="str">
        <f>IF($AV3094="","",IF(AND($Z3094=0,COUNTIF('AR SALES'!$L$2:$L$2501,$L3094)=0),"YES",""))</f>
        <v/>
      </c>
      <c r="AZ3094" s="2" t="str">
        <f>IF($AV3094="","",IF(COUNTIF(LISTS!$C$2:$C$250,$AU3094)=0,"NEW",""))</f>
        <v/>
      </c>
      <c r="BA3094" s="2" t="str">
        <f>IF(""&amp;$F3094&lt;&gt;"4","",IF($AY3094="YES","",IF(ROUND(SUMIFS($AE$2:$AE$4001,$L$2:$L$4001,$L3094,$F$2:$F$4001,"4")-SUMIFS('AR SALES'!$Y$2:$Y$2501,'AR SALES'!$L$2:$L$2501,$L3094,'AR SALES'!$AD$2:$AD$2501,"OFF"),2)=0,"","STALE")))</f>
        <v/>
      </c>
      <c r="BB3094" s="2" t="str">
        <f>IF(OR(""&amp;$F3094="2",""&amp;$F3094="4",""&amp;$F3094="G",""&amp;$F3094="H"),IF($AY3094="YES","",IF($AB3094&lt;&gt;0,"",IF(COUNTIFS('AR SALES'!$L$2:$L$2501,$L3094,'AR SALES'!$AD$2:$AD$2501,IF(""&amp;$F3094="4","OFF","ON"),'AR SALES'!$AF$2:$AF$2501,"Y")&gt;0,"","NO EXEMPTION"))),"")</f>
        <v/>
      </c>
    </row>
    <row r="3095" spans="46:54" x14ac:dyDescent="0.25">
      <c r="AT3095" s="2" t="str">
        <f>IF($L3095="","",IFERROR(INDEX('AR SALES'!$H$2:$H$2501,MATCH(""&amp;$L3095,'AR SALES'!$AE$2:$AE$2501,0)),""))</f>
        <v/>
      </c>
      <c r="AU3095" s="2" t="str">
        <f t="shared" si="192"/>
        <v/>
      </c>
      <c r="AV3095" s="2" t="str">
        <f t="shared" si="193"/>
        <v/>
      </c>
      <c r="AW3095" s="2" t="str">
        <f t="shared" si="194"/>
        <v/>
      </c>
      <c r="AX3095" s="2" t="str">
        <f t="shared" si="195"/>
        <v/>
      </c>
      <c r="AY3095" s="2" t="str">
        <f>IF($AV3095="","",IF(AND($Z3095=0,COUNTIF('AR SALES'!$L$2:$L$2501,$L3095)=0),"YES",""))</f>
        <v/>
      </c>
      <c r="AZ3095" s="2" t="str">
        <f>IF($AV3095="","",IF(COUNTIF(LISTS!$C$2:$C$250,$AU3095)=0,"NEW",""))</f>
        <v/>
      </c>
      <c r="BA3095" s="2" t="str">
        <f>IF(""&amp;$F3095&lt;&gt;"4","",IF($AY3095="YES","",IF(ROUND(SUMIFS($AE$2:$AE$4001,$L$2:$L$4001,$L3095,$F$2:$F$4001,"4")-SUMIFS('AR SALES'!$Y$2:$Y$2501,'AR SALES'!$L$2:$L$2501,$L3095,'AR SALES'!$AD$2:$AD$2501,"OFF"),2)=0,"","STALE")))</f>
        <v/>
      </c>
      <c r="BB3095" s="2" t="str">
        <f>IF(OR(""&amp;$F3095="2",""&amp;$F3095="4",""&amp;$F3095="G",""&amp;$F3095="H"),IF($AY3095="YES","",IF($AB3095&lt;&gt;0,"",IF(COUNTIFS('AR SALES'!$L$2:$L$2501,$L3095,'AR SALES'!$AD$2:$AD$2501,IF(""&amp;$F3095="4","OFF","ON"),'AR SALES'!$AF$2:$AF$2501,"Y")&gt;0,"","NO EXEMPTION"))),"")</f>
        <v/>
      </c>
    </row>
    <row r="3096" spans="46:54" x14ac:dyDescent="0.25">
      <c r="AT3096" s="2" t="str">
        <f>IF($L3096="","",IFERROR(INDEX('AR SALES'!$H$2:$H$2501,MATCH(""&amp;$L3096,'AR SALES'!$AE$2:$AE$2501,0)),""))</f>
        <v/>
      </c>
      <c r="AU3096" s="2" t="str">
        <f t="shared" si="192"/>
        <v/>
      </c>
      <c r="AV3096" s="2" t="str">
        <f t="shared" si="193"/>
        <v/>
      </c>
      <c r="AW3096" s="2" t="str">
        <f t="shared" si="194"/>
        <v/>
      </c>
      <c r="AX3096" s="2" t="str">
        <f t="shared" si="195"/>
        <v/>
      </c>
      <c r="AY3096" s="2" t="str">
        <f>IF($AV3096="","",IF(AND($Z3096=0,COUNTIF('AR SALES'!$L$2:$L$2501,$L3096)=0),"YES",""))</f>
        <v/>
      </c>
      <c r="AZ3096" s="2" t="str">
        <f>IF($AV3096="","",IF(COUNTIF(LISTS!$C$2:$C$250,$AU3096)=0,"NEW",""))</f>
        <v/>
      </c>
      <c r="BA3096" s="2" t="str">
        <f>IF(""&amp;$F3096&lt;&gt;"4","",IF($AY3096="YES","",IF(ROUND(SUMIFS($AE$2:$AE$4001,$L$2:$L$4001,$L3096,$F$2:$F$4001,"4")-SUMIFS('AR SALES'!$Y$2:$Y$2501,'AR SALES'!$L$2:$L$2501,$L3096,'AR SALES'!$AD$2:$AD$2501,"OFF"),2)=0,"","STALE")))</f>
        <v/>
      </c>
      <c r="BB3096" s="2" t="str">
        <f>IF(OR(""&amp;$F3096="2",""&amp;$F3096="4",""&amp;$F3096="G",""&amp;$F3096="H"),IF($AY3096="YES","",IF($AB3096&lt;&gt;0,"",IF(COUNTIFS('AR SALES'!$L$2:$L$2501,$L3096,'AR SALES'!$AD$2:$AD$2501,IF(""&amp;$F3096="4","OFF","ON"),'AR SALES'!$AF$2:$AF$2501,"Y")&gt;0,"","NO EXEMPTION"))),"")</f>
        <v/>
      </c>
    </row>
    <row r="3097" spans="46:54" x14ac:dyDescent="0.25">
      <c r="AT3097" s="2" t="str">
        <f>IF($L3097="","",IFERROR(INDEX('AR SALES'!$H$2:$H$2501,MATCH(""&amp;$L3097,'AR SALES'!$AE$2:$AE$2501,0)),""))</f>
        <v/>
      </c>
      <c r="AU3097" s="2" t="str">
        <f t="shared" si="192"/>
        <v/>
      </c>
      <c r="AV3097" s="2" t="str">
        <f t="shared" si="193"/>
        <v/>
      </c>
      <c r="AW3097" s="2" t="str">
        <f t="shared" si="194"/>
        <v/>
      </c>
      <c r="AX3097" s="2" t="str">
        <f t="shared" si="195"/>
        <v/>
      </c>
      <c r="AY3097" s="2" t="str">
        <f>IF($AV3097="","",IF(AND($Z3097=0,COUNTIF('AR SALES'!$L$2:$L$2501,$L3097)=0),"YES",""))</f>
        <v/>
      </c>
      <c r="AZ3097" s="2" t="str">
        <f>IF($AV3097="","",IF(COUNTIF(LISTS!$C$2:$C$250,$AU3097)=0,"NEW",""))</f>
        <v/>
      </c>
      <c r="BA3097" s="2" t="str">
        <f>IF(""&amp;$F3097&lt;&gt;"4","",IF($AY3097="YES","",IF(ROUND(SUMIFS($AE$2:$AE$4001,$L$2:$L$4001,$L3097,$F$2:$F$4001,"4")-SUMIFS('AR SALES'!$Y$2:$Y$2501,'AR SALES'!$L$2:$L$2501,$L3097,'AR SALES'!$AD$2:$AD$2501,"OFF"),2)=0,"","STALE")))</f>
        <v/>
      </c>
      <c r="BB3097" s="2" t="str">
        <f>IF(OR(""&amp;$F3097="2",""&amp;$F3097="4",""&amp;$F3097="G",""&amp;$F3097="H"),IF($AY3097="YES","",IF($AB3097&lt;&gt;0,"",IF(COUNTIFS('AR SALES'!$L$2:$L$2501,$L3097,'AR SALES'!$AD$2:$AD$2501,IF(""&amp;$F3097="4","OFF","ON"),'AR SALES'!$AF$2:$AF$2501,"Y")&gt;0,"","NO EXEMPTION"))),"")</f>
        <v/>
      </c>
    </row>
    <row r="3098" spans="46:54" x14ac:dyDescent="0.25">
      <c r="AT3098" s="2" t="str">
        <f>IF($L3098="","",IFERROR(INDEX('AR SALES'!$H$2:$H$2501,MATCH(""&amp;$L3098,'AR SALES'!$AE$2:$AE$2501,0)),""))</f>
        <v/>
      </c>
      <c r="AU3098" s="2" t="str">
        <f t="shared" si="192"/>
        <v/>
      </c>
      <c r="AV3098" s="2" t="str">
        <f t="shared" si="193"/>
        <v/>
      </c>
      <c r="AW3098" s="2" t="str">
        <f t="shared" si="194"/>
        <v/>
      </c>
      <c r="AX3098" s="2" t="str">
        <f t="shared" si="195"/>
        <v/>
      </c>
      <c r="AY3098" s="2" t="str">
        <f>IF($AV3098="","",IF(AND($Z3098=0,COUNTIF('AR SALES'!$L$2:$L$2501,$L3098)=0),"YES",""))</f>
        <v/>
      </c>
      <c r="AZ3098" s="2" t="str">
        <f>IF($AV3098="","",IF(COUNTIF(LISTS!$C$2:$C$250,$AU3098)=0,"NEW",""))</f>
        <v/>
      </c>
      <c r="BA3098" s="2" t="str">
        <f>IF(""&amp;$F3098&lt;&gt;"4","",IF($AY3098="YES","",IF(ROUND(SUMIFS($AE$2:$AE$4001,$L$2:$L$4001,$L3098,$F$2:$F$4001,"4")-SUMIFS('AR SALES'!$Y$2:$Y$2501,'AR SALES'!$L$2:$L$2501,$L3098,'AR SALES'!$AD$2:$AD$2501,"OFF"),2)=0,"","STALE")))</f>
        <v/>
      </c>
      <c r="BB3098" s="2" t="str">
        <f>IF(OR(""&amp;$F3098="2",""&amp;$F3098="4",""&amp;$F3098="G",""&amp;$F3098="H"),IF($AY3098="YES","",IF($AB3098&lt;&gt;0,"",IF(COUNTIFS('AR SALES'!$L$2:$L$2501,$L3098,'AR SALES'!$AD$2:$AD$2501,IF(""&amp;$F3098="4","OFF","ON"),'AR SALES'!$AF$2:$AF$2501,"Y")&gt;0,"","NO EXEMPTION"))),"")</f>
        <v/>
      </c>
    </row>
    <row r="3099" spans="46:54" x14ac:dyDescent="0.25">
      <c r="AT3099" s="2" t="str">
        <f>IF($L3099="","",IFERROR(INDEX('AR SALES'!$H$2:$H$2501,MATCH(""&amp;$L3099,'AR SALES'!$AE$2:$AE$2501,0)),""))</f>
        <v/>
      </c>
      <c r="AU3099" s="2" t="str">
        <f t="shared" si="192"/>
        <v/>
      </c>
      <c r="AV3099" s="2" t="str">
        <f t="shared" si="193"/>
        <v/>
      </c>
      <c r="AW3099" s="2" t="str">
        <f t="shared" si="194"/>
        <v/>
      </c>
      <c r="AX3099" s="2" t="str">
        <f t="shared" si="195"/>
        <v/>
      </c>
      <c r="AY3099" s="2" t="str">
        <f>IF($AV3099="","",IF(AND($Z3099=0,COUNTIF('AR SALES'!$L$2:$L$2501,$L3099)=0),"YES",""))</f>
        <v/>
      </c>
      <c r="AZ3099" s="2" t="str">
        <f>IF($AV3099="","",IF(COUNTIF(LISTS!$C$2:$C$250,$AU3099)=0,"NEW",""))</f>
        <v/>
      </c>
      <c r="BA3099" s="2" t="str">
        <f>IF(""&amp;$F3099&lt;&gt;"4","",IF($AY3099="YES","",IF(ROUND(SUMIFS($AE$2:$AE$4001,$L$2:$L$4001,$L3099,$F$2:$F$4001,"4")-SUMIFS('AR SALES'!$Y$2:$Y$2501,'AR SALES'!$L$2:$L$2501,$L3099,'AR SALES'!$AD$2:$AD$2501,"OFF"),2)=0,"","STALE")))</f>
        <v/>
      </c>
      <c r="BB3099" s="2" t="str">
        <f>IF(OR(""&amp;$F3099="2",""&amp;$F3099="4",""&amp;$F3099="G",""&amp;$F3099="H"),IF($AY3099="YES","",IF($AB3099&lt;&gt;0,"",IF(COUNTIFS('AR SALES'!$L$2:$L$2501,$L3099,'AR SALES'!$AD$2:$AD$2501,IF(""&amp;$F3099="4","OFF","ON"),'AR SALES'!$AF$2:$AF$2501,"Y")&gt;0,"","NO EXEMPTION"))),"")</f>
        <v/>
      </c>
    </row>
    <row r="3100" spans="46:54" x14ac:dyDescent="0.25">
      <c r="AT3100" s="2" t="str">
        <f>IF($L3100="","",IFERROR(INDEX('AR SALES'!$H$2:$H$2501,MATCH(""&amp;$L3100,'AR SALES'!$AE$2:$AE$2501,0)),""))</f>
        <v/>
      </c>
      <c r="AU3100" s="2" t="str">
        <f t="shared" si="192"/>
        <v/>
      </c>
      <c r="AV3100" s="2" t="str">
        <f t="shared" si="193"/>
        <v/>
      </c>
      <c r="AW3100" s="2" t="str">
        <f t="shared" si="194"/>
        <v/>
      </c>
      <c r="AX3100" s="2" t="str">
        <f t="shared" si="195"/>
        <v/>
      </c>
      <c r="AY3100" s="2" t="str">
        <f>IF($AV3100="","",IF(AND($Z3100=0,COUNTIF('AR SALES'!$L$2:$L$2501,$L3100)=0),"YES",""))</f>
        <v/>
      </c>
      <c r="AZ3100" s="2" t="str">
        <f>IF($AV3100="","",IF(COUNTIF(LISTS!$C$2:$C$250,$AU3100)=0,"NEW",""))</f>
        <v/>
      </c>
      <c r="BA3100" s="2" t="str">
        <f>IF(""&amp;$F3100&lt;&gt;"4","",IF($AY3100="YES","",IF(ROUND(SUMIFS($AE$2:$AE$4001,$L$2:$L$4001,$L3100,$F$2:$F$4001,"4")-SUMIFS('AR SALES'!$Y$2:$Y$2501,'AR SALES'!$L$2:$L$2501,$L3100,'AR SALES'!$AD$2:$AD$2501,"OFF"),2)=0,"","STALE")))</f>
        <v/>
      </c>
      <c r="BB3100" s="2" t="str">
        <f>IF(OR(""&amp;$F3100="2",""&amp;$F3100="4",""&amp;$F3100="G",""&amp;$F3100="H"),IF($AY3100="YES","",IF($AB3100&lt;&gt;0,"",IF(COUNTIFS('AR SALES'!$L$2:$L$2501,$L3100,'AR SALES'!$AD$2:$AD$2501,IF(""&amp;$F3100="4","OFF","ON"),'AR SALES'!$AF$2:$AF$2501,"Y")&gt;0,"","NO EXEMPTION"))),"")</f>
        <v/>
      </c>
    </row>
    <row r="3101" spans="46:54" x14ac:dyDescent="0.25">
      <c r="AT3101" s="2" t="str">
        <f>IF($L3101="","",IFERROR(INDEX('AR SALES'!$H$2:$H$2501,MATCH(""&amp;$L3101,'AR SALES'!$AE$2:$AE$2501,0)),""))</f>
        <v/>
      </c>
      <c r="AU3101" s="2" t="str">
        <f t="shared" si="192"/>
        <v/>
      </c>
      <c r="AV3101" s="2" t="str">
        <f t="shared" si="193"/>
        <v/>
      </c>
      <c r="AW3101" s="2" t="str">
        <f t="shared" si="194"/>
        <v/>
      </c>
      <c r="AX3101" s="2" t="str">
        <f t="shared" si="195"/>
        <v/>
      </c>
      <c r="AY3101" s="2" t="str">
        <f>IF($AV3101="","",IF(AND($Z3101=0,COUNTIF('AR SALES'!$L$2:$L$2501,$L3101)=0),"YES",""))</f>
        <v/>
      </c>
      <c r="AZ3101" s="2" t="str">
        <f>IF($AV3101="","",IF(COUNTIF(LISTS!$C$2:$C$250,$AU3101)=0,"NEW",""))</f>
        <v/>
      </c>
      <c r="BA3101" s="2" t="str">
        <f>IF(""&amp;$F3101&lt;&gt;"4","",IF($AY3101="YES","",IF(ROUND(SUMIFS($AE$2:$AE$4001,$L$2:$L$4001,$L3101,$F$2:$F$4001,"4")-SUMIFS('AR SALES'!$Y$2:$Y$2501,'AR SALES'!$L$2:$L$2501,$L3101,'AR SALES'!$AD$2:$AD$2501,"OFF"),2)=0,"","STALE")))</f>
        <v/>
      </c>
      <c r="BB3101" s="2" t="str">
        <f>IF(OR(""&amp;$F3101="2",""&amp;$F3101="4",""&amp;$F3101="G",""&amp;$F3101="H"),IF($AY3101="YES","",IF($AB3101&lt;&gt;0,"",IF(COUNTIFS('AR SALES'!$L$2:$L$2501,$L3101,'AR SALES'!$AD$2:$AD$2501,IF(""&amp;$F3101="4","OFF","ON"),'AR SALES'!$AF$2:$AF$2501,"Y")&gt;0,"","NO EXEMPTION"))),"")</f>
        <v/>
      </c>
    </row>
    <row r="3102" spans="46:54" x14ac:dyDescent="0.25">
      <c r="AT3102" s="2" t="str">
        <f>IF($L3102="","",IFERROR(INDEX('AR SALES'!$H$2:$H$2501,MATCH(""&amp;$L3102,'AR SALES'!$AE$2:$AE$2501,0)),""))</f>
        <v/>
      </c>
      <c r="AU3102" s="2" t="str">
        <f t="shared" si="192"/>
        <v/>
      </c>
      <c r="AV3102" s="2" t="str">
        <f t="shared" si="193"/>
        <v/>
      </c>
      <c r="AW3102" s="2" t="str">
        <f t="shared" si="194"/>
        <v/>
      </c>
      <c r="AX3102" s="2" t="str">
        <f t="shared" si="195"/>
        <v/>
      </c>
      <c r="AY3102" s="2" t="str">
        <f>IF($AV3102="","",IF(AND($Z3102=0,COUNTIF('AR SALES'!$L$2:$L$2501,$L3102)=0),"YES",""))</f>
        <v/>
      </c>
      <c r="AZ3102" s="2" t="str">
        <f>IF($AV3102="","",IF(COUNTIF(LISTS!$C$2:$C$250,$AU3102)=0,"NEW",""))</f>
        <v/>
      </c>
      <c r="BA3102" s="2" t="str">
        <f>IF(""&amp;$F3102&lt;&gt;"4","",IF($AY3102="YES","",IF(ROUND(SUMIFS($AE$2:$AE$4001,$L$2:$L$4001,$L3102,$F$2:$F$4001,"4")-SUMIFS('AR SALES'!$Y$2:$Y$2501,'AR SALES'!$L$2:$L$2501,$L3102,'AR SALES'!$AD$2:$AD$2501,"OFF"),2)=0,"","STALE")))</f>
        <v/>
      </c>
      <c r="BB3102" s="2" t="str">
        <f>IF(OR(""&amp;$F3102="2",""&amp;$F3102="4",""&amp;$F3102="G",""&amp;$F3102="H"),IF($AY3102="YES","",IF($AB3102&lt;&gt;0,"",IF(COUNTIFS('AR SALES'!$L$2:$L$2501,$L3102,'AR SALES'!$AD$2:$AD$2501,IF(""&amp;$F3102="4","OFF","ON"),'AR SALES'!$AF$2:$AF$2501,"Y")&gt;0,"","NO EXEMPTION"))),"")</f>
        <v/>
      </c>
    </row>
    <row r="3103" spans="46:54" x14ac:dyDescent="0.25">
      <c r="AT3103" s="2" t="str">
        <f>IF($L3103="","",IFERROR(INDEX('AR SALES'!$H$2:$H$2501,MATCH(""&amp;$L3103,'AR SALES'!$AE$2:$AE$2501,0)),""))</f>
        <v/>
      </c>
      <c r="AU3103" s="2" t="str">
        <f t="shared" si="192"/>
        <v/>
      </c>
      <c r="AV3103" s="2" t="str">
        <f t="shared" si="193"/>
        <v/>
      </c>
      <c r="AW3103" s="2" t="str">
        <f t="shared" si="194"/>
        <v/>
      </c>
      <c r="AX3103" s="2" t="str">
        <f t="shared" si="195"/>
        <v/>
      </c>
      <c r="AY3103" s="2" t="str">
        <f>IF($AV3103="","",IF(AND($Z3103=0,COUNTIF('AR SALES'!$L$2:$L$2501,$L3103)=0),"YES",""))</f>
        <v/>
      </c>
      <c r="AZ3103" s="2" t="str">
        <f>IF($AV3103="","",IF(COUNTIF(LISTS!$C$2:$C$250,$AU3103)=0,"NEW",""))</f>
        <v/>
      </c>
      <c r="BA3103" s="2" t="str">
        <f>IF(""&amp;$F3103&lt;&gt;"4","",IF($AY3103="YES","",IF(ROUND(SUMIFS($AE$2:$AE$4001,$L$2:$L$4001,$L3103,$F$2:$F$4001,"4")-SUMIFS('AR SALES'!$Y$2:$Y$2501,'AR SALES'!$L$2:$L$2501,$L3103,'AR SALES'!$AD$2:$AD$2501,"OFF"),2)=0,"","STALE")))</f>
        <v/>
      </c>
      <c r="BB3103" s="2" t="str">
        <f>IF(OR(""&amp;$F3103="2",""&amp;$F3103="4",""&amp;$F3103="G",""&amp;$F3103="H"),IF($AY3103="YES","",IF($AB3103&lt;&gt;0,"",IF(COUNTIFS('AR SALES'!$L$2:$L$2501,$L3103,'AR SALES'!$AD$2:$AD$2501,IF(""&amp;$F3103="4","OFF","ON"),'AR SALES'!$AF$2:$AF$2501,"Y")&gt;0,"","NO EXEMPTION"))),"")</f>
        <v/>
      </c>
    </row>
    <row r="3104" spans="46:54" x14ac:dyDescent="0.25">
      <c r="AT3104" s="2" t="str">
        <f>IF($L3104="","",IFERROR(INDEX('AR SALES'!$H$2:$H$2501,MATCH(""&amp;$L3104,'AR SALES'!$AE$2:$AE$2501,0)),""))</f>
        <v/>
      </c>
      <c r="AU3104" s="2" t="str">
        <f t="shared" si="192"/>
        <v/>
      </c>
      <c r="AV3104" s="2" t="str">
        <f t="shared" si="193"/>
        <v/>
      </c>
      <c r="AW3104" s="2" t="str">
        <f t="shared" si="194"/>
        <v/>
      </c>
      <c r="AX3104" s="2" t="str">
        <f t="shared" si="195"/>
        <v/>
      </c>
      <c r="AY3104" s="2" t="str">
        <f>IF($AV3104="","",IF(AND($Z3104=0,COUNTIF('AR SALES'!$L$2:$L$2501,$L3104)=0),"YES",""))</f>
        <v/>
      </c>
      <c r="AZ3104" s="2" t="str">
        <f>IF($AV3104="","",IF(COUNTIF(LISTS!$C$2:$C$250,$AU3104)=0,"NEW",""))</f>
        <v/>
      </c>
      <c r="BA3104" s="2" t="str">
        <f>IF(""&amp;$F3104&lt;&gt;"4","",IF($AY3104="YES","",IF(ROUND(SUMIFS($AE$2:$AE$4001,$L$2:$L$4001,$L3104,$F$2:$F$4001,"4")-SUMIFS('AR SALES'!$Y$2:$Y$2501,'AR SALES'!$L$2:$L$2501,$L3104,'AR SALES'!$AD$2:$AD$2501,"OFF"),2)=0,"","STALE")))</f>
        <v/>
      </c>
      <c r="BB3104" s="2" t="str">
        <f>IF(OR(""&amp;$F3104="2",""&amp;$F3104="4",""&amp;$F3104="G",""&amp;$F3104="H"),IF($AY3104="YES","",IF($AB3104&lt;&gt;0,"",IF(COUNTIFS('AR SALES'!$L$2:$L$2501,$L3104,'AR SALES'!$AD$2:$AD$2501,IF(""&amp;$F3104="4","OFF","ON"),'AR SALES'!$AF$2:$AF$2501,"Y")&gt;0,"","NO EXEMPTION"))),"")</f>
        <v/>
      </c>
    </row>
    <row r="3105" spans="46:54" x14ac:dyDescent="0.25">
      <c r="AT3105" s="2" t="str">
        <f>IF($L3105="","",IFERROR(INDEX('AR SALES'!$H$2:$H$2501,MATCH(""&amp;$L3105,'AR SALES'!$AE$2:$AE$2501,0)),""))</f>
        <v/>
      </c>
      <c r="AU3105" s="2" t="str">
        <f t="shared" si="192"/>
        <v/>
      </c>
      <c r="AV3105" s="2" t="str">
        <f t="shared" si="193"/>
        <v/>
      </c>
      <c r="AW3105" s="2" t="str">
        <f t="shared" si="194"/>
        <v/>
      </c>
      <c r="AX3105" s="2" t="str">
        <f t="shared" si="195"/>
        <v/>
      </c>
      <c r="AY3105" s="2" t="str">
        <f>IF($AV3105="","",IF(AND($Z3105=0,COUNTIF('AR SALES'!$L$2:$L$2501,$L3105)=0),"YES",""))</f>
        <v/>
      </c>
      <c r="AZ3105" s="2" t="str">
        <f>IF($AV3105="","",IF(COUNTIF(LISTS!$C$2:$C$250,$AU3105)=0,"NEW",""))</f>
        <v/>
      </c>
      <c r="BA3105" s="2" t="str">
        <f>IF(""&amp;$F3105&lt;&gt;"4","",IF($AY3105="YES","",IF(ROUND(SUMIFS($AE$2:$AE$4001,$L$2:$L$4001,$L3105,$F$2:$F$4001,"4")-SUMIFS('AR SALES'!$Y$2:$Y$2501,'AR SALES'!$L$2:$L$2501,$L3105,'AR SALES'!$AD$2:$AD$2501,"OFF"),2)=0,"","STALE")))</f>
        <v/>
      </c>
      <c r="BB3105" s="2" t="str">
        <f>IF(OR(""&amp;$F3105="2",""&amp;$F3105="4",""&amp;$F3105="G",""&amp;$F3105="H"),IF($AY3105="YES","",IF($AB3105&lt;&gt;0,"",IF(COUNTIFS('AR SALES'!$L$2:$L$2501,$L3105,'AR SALES'!$AD$2:$AD$2501,IF(""&amp;$F3105="4","OFF","ON"),'AR SALES'!$AF$2:$AF$2501,"Y")&gt;0,"","NO EXEMPTION"))),"")</f>
        <v/>
      </c>
    </row>
    <row r="3106" spans="46:54" x14ac:dyDescent="0.25">
      <c r="AT3106" s="2" t="str">
        <f>IF($L3106="","",IFERROR(INDEX('AR SALES'!$H$2:$H$2501,MATCH(""&amp;$L3106,'AR SALES'!$AE$2:$AE$2501,0)),""))</f>
        <v/>
      </c>
      <c r="AU3106" s="2" t="str">
        <f t="shared" si="192"/>
        <v/>
      </c>
      <c r="AV3106" s="2" t="str">
        <f t="shared" si="193"/>
        <v/>
      </c>
      <c r="AW3106" s="2" t="str">
        <f t="shared" si="194"/>
        <v/>
      </c>
      <c r="AX3106" s="2" t="str">
        <f t="shared" si="195"/>
        <v/>
      </c>
      <c r="AY3106" s="2" t="str">
        <f>IF($AV3106="","",IF(AND($Z3106=0,COUNTIF('AR SALES'!$L$2:$L$2501,$L3106)=0),"YES",""))</f>
        <v/>
      </c>
      <c r="AZ3106" s="2" t="str">
        <f>IF($AV3106="","",IF(COUNTIF(LISTS!$C$2:$C$250,$AU3106)=0,"NEW",""))</f>
        <v/>
      </c>
      <c r="BA3106" s="2" t="str">
        <f>IF(""&amp;$F3106&lt;&gt;"4","",IF($AY3106="YES","",IF(ROUND(SUMIFS($AE$2:$AE$4001,$L$2:$L$4001,$L3106,$F$2:$F$4001,"4")-SUMIFS('AR SALES'!$Y$2:$Y$2501,'AR SALES'!$L$2:$L$2501,$L3106,'AR SALES'!$AD$2:$AD$2501,"OFF"),2)=0,"","STALE")))</f>
        <v/>
      </c>
      <c r="BB3106" s="2" t="str">
        <f>IF(OR(""&amp;$F3106="2",""&amp;$F3106="4",""&amp;$F3106="G",""&amp;$F3106="H"),IF($AY3106="YES","",IF($AB3106&lt;&gt;0,"",IF(COUNTIFS('AR SALES'!$L$2:$L$2501,$L3106,'AR SALES'!$AD$2:$AD$2501,IF(""&amp;$F3106="4","OFF","ON"),'AR SALES'!$AF$2:$AF$2501,"Y")&gt;0,"","NO EXEMPTION"))),"")</f>
        <v/>
      </c>
    </row>
    <row r="3107" spans="46:54" x14ac:dyDescent="0.25">
      <c r="AT3107" s="2" t="str">
        <f>IF($L3107="","",IFERROR(INDEX('AR SALES'!$H$2:$H$2501,MATCH(""&amp;$L3107,'AR SALES'!$AE$2:$AE$2501,0)),""))</f>
        <v/>
      </c>
      <c r="AU3107" s="2" t="str">
        <f t="shared" si="192"/>
        <v/>
      </c>
      <c r="AV3107" s="2" t="str">
        <f t="shared" si="193"/>
        <v/>
      </c>
      <c r="AW3107" s="2" t="str">
        <f t="shared" si="194"/>
        <v/>
      </c>
      <c r="AX3107" s="2" t="str">
        <f t="shared" si="195"/>
        <v/>
      </c>
      <c r="AY3107" s="2" t="str">
        <f>IF($AV3107="","",IF(AND($Z3107=0,COUNTIF('AR SALES'!$L$2:$L$2501,$L3107)=0),"YES",""))</f>
        <v/>
      </c>
      <c r="AZ3107" s="2" t="str">
        <f>IF($AV3107="","",IF(COUNTIF(LISTS!$C$2:$C$250,$AU3107)=0,"NEW",""))</f>
        <v/>
      </c>
      <c r="BA3107" s="2" t="str">
        <f>IF(""&amp;$F3107&lt;&gt;"4","",IF($AY3107="YES","",IF(ROUND(SUMIFS($AE$2:$AE$4001,$L$2:$L$4001,$L3107,$F$2:$F$4001,"4")-SUMIFS('AR SALES'!$Y$2:$Y$2501,'AR SALES'!$L$2:$L$2501,$L3107,'AR SALES'!$AD$2:$AD$2501,"OFF"),2)=0,"","STALE")))</f>
        <v/>
      </c>
      <c r="BB3107" s="2" t="str">
        <f>IF(OR(""&amp;$F3107="2",""&amp;$F3107="4",""&amp;$F3107="G",""&amp;$F3107="H"),IF($AY3107="YES","",IF($AB3107&lt;&gt;0,"",IF(COUNTIFS('AR SALES'!$L$2:$L$2501,$L3107,'AR SALES'!$AD$2:$AD$2501,IF(""&amp;$F3107="4","OFF","ON"),'AR SALES'!$AF$2:$AF$2501,"Y")&gt;0,"","NO EXEMPTION"))),"")</f>
        <v/>
      </c>
    </row>
    <row r="3108" spans="46:54" x14ac:dyDescent="0.25">
      <c r="AT3108" s="2" t="str">
        <f>IF($L3108="","",IFERROR(INDEX('AR SALES'!$H$2:$H$2501,MATCH(""&amp;$L3108,'AR SALES'!$AE$2:$AE$2501,0)),""))</f>
        <v/>
      </c>
      <c r="AU3108" s="2" t="str">
        <f t="shared" si="192"/>
        <v/>
      </c>
      <c r="AV3108" s="2" t="str">
        <f t="shared" si="193"/>
        <v/>
      </c>
      <c r="AW3108" s="2" t="str">
        <f t="shared" si="194"/>
        <v/>
      </c>
      <c r="AX3108" s="2" t="str">
        <f t="shared" si="195"/>
        <v/>
      </c>
      <c r="AY3108" s="2" t="str">
        <f>IF($AV3108="","",IF(AND($Z3108=0,COUNTIF('AR SALES'!$L$2:$L$2501,$L3108)=0),"YES",""))</f>
        <v/>
      </c>
      <c r="AZ3108" s="2" t="str">
        <f>IF($AV3108="","",IF(COUNTIF(LISTS!$C$2:$C$250,$AU3108)=0,"NEW",""))</f>
        <v/>
      </c>
      <c r="BA3108" s="2" t="str">
        <f>IF(""&amp;$F3108&lt;&gt;"4","",IF($AY3108="YES","",IF(ROUND(SUMIFS($AE$2:$AE$4001,$L$2:$L$4001,$L3108,$F$2:$F$4001,"4")-SUMIFS('AR SALES'!$Y$2:$Y$2501,'AR SALES'!$L$2:$L$2501,$L3108,'AR SALES'!$AD$2:$AD$2501,"OFF"),2)=0,"","STALE")))</f>
        <v/>
      </c>
      <c r="BB3108" s="2" t="str">
        <f>IF(OR(""&amp;$F3108="2",""&amp;$F3108="4",""&amp;$F3108="G",""&amp;$F3108="H"),IF($AY3108="YES","",IF($AB3108&lt;&gt;0,"",IF(COUNTIFS('AR SALES'!$L$2:$L$2501,$L3108,'AR SALES'!$AD$2:$AD$2501,IF(""&amp;$F3108="4","OFF","ON"),'AR SALES'!$AF$2:$AF$2501,"Y")&gt;0,"","NO EXEMPTION"))),"")</f>
        <v/>
      </c>
    </row>
    <row r="3109" spans="46:54" x14ac:dyDescent="0.25">
      <c r="AT3109" s="2" t="str">
        <f>IF($L3109="","",IFERROR(INDEX('AR SALES'!$H$2:$H$2501,MATCH(""&amp;$L3109,'AR SALES'!$AE$2:$AE$2501,0)),""))</f>
        <v/>
      </c>
      <c r="AU3109" s="2" t="str">
        <f t="shared" si="192"/>
        <v/>
      </c>
      <c r="AV3109" s="2" t="str">
        <f t="shared" si="193"/>
        <v/>
      </c>
      <c r="AW3109" s="2" t="str">
        <f t="shared" si="194"/>
        <v/>
      </c>
      <c r="AX3109" s="2" t="str">
        <f t="shared" si="195"/>
        <v/>
      </c>
      <c r="AY3109" s="2" t="str">
        <f>IF($AV3109="","",IF(AND($Z3109=0,COUNTIF('AR SALES'!$L$2:$L$2501,$L3109)=0),"YES",""))</f>
        <v/>
      </c>
      <c r="AZ3109" s="2" t="str">
        <f>IF($AV3109="","",IF(COUNTIF(LISTS!$C$2:$C$250,$AU3109)=0,"NEW",""))</f>
        <v/>
      </c>
      <c r="BA3109" s="2" t="str">
        <f>IF(""&amp;$F3109&lt;&gt;"4","",IF($AY3109="YES","",IF(ROUND(SUMIFS($AE$2:$AE$4001,$L$2:$L$4001,$L3109,$F$2:$F$4001,"4")-SUMIFS('AR SALES'!$Y$2:$Y$2501,'AR SALES'!$L$2:$L$2501,$L3109,'AR SALES'!$AD$2:$AD$2501,"OFF"),2)=0,"","STALE")))</f>
        <v/>
      </c>
      <c r="BB3109" s="2" t="str">
        <f>IF(OR(""&amp;$F3109="2",""&amp;$F3109="4",""&amp;$F3109="G",""&amp;$F3109="H"),IF($AY3109="YES","",IF($AB3109&lt;&gt;0,"",IF(COUNTIFS('AR SALES'!$L$2:$L$2501,$L3109,'AR SALES'!$AD$2:$AD$2501,IF(""&amp;$F3109="4","OFF","ON"),'AR SALES'!$AF$2:$AF$2501,"Y")&gt;0,"","NO EXEMPTION"))),"")</f>
        <v/>
      </c>
    </row>
    <row r="3110" spans="46:54" x14ac:dyDescent="0.25">
      <c r="AT3110" s="2" t="str">
        <f>IF($L3110="","",IFERROR(INDEX('AR SALES'!$H$2:$H$2501,MATCH(""&amp;$L3110,'AR SALES'!$AE$2:$AE$2501,0)),""))</f>
        <v/>
      </c>
      <c r="AU3110" s="2" t="str">
        <f t="shared" si="192"/>
        <v/>
      </c>
      <c r="AV3110" s="2" t="str">
        <f t="shared" si="193"/>
        <v/>
      </c>
      <c r="AW3110" s="2" t="str">
        <f t="shared" si="194"/>
        <v/>
      </c>
      <c r="AX3110" s="2" t="str">
        <f t="shared" si="195"/>
        <v/>
      </c>
      <c r="AY3110" s="2" t="str">
        <f>IF($AV3110="","",IF(AND($Z3110=0,COUNTIF('AR SALES'!$L$2:$L$2501,$L3110)=0),"YES",""))</f>
        <v/>
      </c>
      <c r="AZ3110" s="2" t="str">
        <f>IF($AV3110="","",IF(COUNTIF(LISTS!$C$2:$C$250,$AU3110)=0,"NEW",""))</f>
        <v/>
      </c>
      <c r="BA3110" s="2" t="str">
        <f>IF(""&amp;$F3110&lt;&gt;"4","",IF($AY3110="YES","",IF(ROUND(SUMIFS($AE$2:$AE$4001,$L$2:$L$4001,$L3110,$F$2:$F$4001,"4")-SUMIFS('AR SALES'!$Y$2:$Y$2501,'AR SALES'!$L$2:$L$2501,$L3110,'AR SALES'!$AD$2:$AD$2501,"OFF"),2)=0,"","STALE")))</f>
        <v/>
      </c>
      <c r="BB3110" s="2" t="str">
        <f>IF(OR(""&amp;$F3110="2",""&amp;$F3110="4",""&amp;$F3110="G",""&amp;$F3110="H"),IF($AY3110="YES","",IF($AB3110&lt;&gt;0,"",IF(COUNTIFS('AR SALES'!$L$2:$L$2501,$L3110,'AR SALES'!$AD$2:$AD$2501,IF(""&amp;$F3110="4","OFF","ON"),'AR SALES'!$AF$2:$AF$2501,"Y")&gt;0,"","NO EXEMPTION"))),"")</f>
        <v/>
      </c>
    </row>
    <row r="3111" spans="46:54" x14ac:dyDescent="0.25">
      <c r="AT3111" s="2" t="str">
        <f>IF($L3111="","",IFERROR(INDEX('AR SALES'!$H$2:$H$2501,MATCH(""&amp;$L3111,'AR SALES'!$AE$2:$AE$2501,0)),""))</f>
        <v/>
      </c>
      <c r="AU3111" s="2" t="str">
        <f t="shared" si="192"/>
        <v/>
      </c>
      <c r="AV3111" s="2" t="str">
        <f t="shared" si="193"/>
        <v/>
      </c>
      <c r="AW3111" s="2" t="str">
        <f t="shared" si="194"/>
        <v/>
      </c>
      <c r="AX3111" s="2" t="str">
        <f t="shared" si="195"/>
        <v/>
      </c>
      <c r="AY3111" s="2" t="str">
        <f>IF($AV3111="","",IF(AND($Z3111=0,COUNTIF('AR SALES'!$L$2:$L$2501,$L3111)=0),"YES",""))</f>
        <v/>
      </c>
      <c r="AZ3111" s="2" t="str">
        <f>IF($AV3111="","",IF(COUNTIF(LISTS!$C$2:$C$250,$AU3111)=0,"NEW",""))</f>
        <v/>
      </c>
      <c r="BA3111" s="2" t="str">
        <f>IF(""&amp;$F3111&lt;&gt;"4","",IF($AY3111="YES","",IF(ROUND(SUMIFS($AE$2:$AE$4001,$L$2:$L$4001,$L3111,$F$2:$F$4001,"4")-SUMIFS('AR SALES'!$Y$2:$Y$2501,'AR SALES'!$L$2:$L$2501,$L3111,'AR SALES'!$AD$2:$AD$2501,"OFF"),2)=0,"","STALE")))</f>
        <v/>
      </c>
      <c r="BB3111" s="2" t="str">
        <f>IF(OR(""&amp;$F3111="2",""&amp;$F3111="4",""&amp;$F3111="G",""&amp;$F3111="H"),IF($AY3111="YES","",IF($AB3111&lt;&gt;0,"",IF(COUNTIFS('AR SALES'!$L$2:$L$2501,$L3111,'AR SALES'!$AD$2:$AD$2501,IF(""&amp;$F3111="4","OFF","ON"),'AR SALES'!$AF$2:$AF$2501,"Y")&gt;0,"","NO EXEMPTION"))),"")</f>
        <v/>
      </c>
    </row>
    <row r="3112" spans="46:54" x14ac:dyDescent="0.25">
      <c r="AT3112" s="2" t="str">
        <f>IF($L3112="","",IFERROR(INDEX('AR SALES'!$H$2:$H$2501,MATCH(""&amp;$L3112,'AR SALES'!$AE$2:$AE$2501,0)),""))</f>
        <v/>
      </c>
      <c r="AU3112" s="2" t="str">
        <f t="shared" si="192"/>
        <v/>
      </c>
      <c r="AV3112" s="2" t="str">
        <f t="shared" si="193"/>
        <v/>
      </c>
      <c r="AW3112" s="2" t="str">
        <f t="shared" si="194"/>
        <v/>
      </c>
      <c r="AX3112" s="2" t="str">
        <f t="shared" si="195"/>
        <v/>
      </c>
      <c r="AY3112" s="2" t="str">
        <f>IF($AV3112="","",IF(AND($Z3112=0,COUNTIF('AR SALES'!$L$2:$L$2501,$L3112)=0),"YES",""))</f>
        <v/>
      </c>
      <c r="AZ3112" s="2" t="str">
        <f>IF($AV3112="","",IF(COUNTIF(LISTS!$C$2:$C$250,$AU3112)=0,"NEW",""))</f>
        <v/>
      </c>
      <c r="BA3112" s="2" t="str">
        <f>IF(""&amp;$F3112&lt;&gt;"4","",IF($AY3112="YES","",IF(ROUND(SUMIFS($AE$2:$AE$4001,$L$2:$L$4001,$L3112,$F$2:$F$4001,"4")-SUMIFS('AR SALES'!$Y$2:$Y$2501,'AR SALES'!$L$2:$L$2501,$L3112,'AR SALES'!$AD$2:$AD$2501,"OFF"),2)=0,"","STALE")))</f>
        <v/>
      </c>
      <c r="BB3112" s="2" t="str">
        <f>IF(OR(""&amp;$F3112="2",""&amp;$F3112="4",""&amp;$F3112="G",""&amp;$F3112="H"),IF($AY3112="YES","",IF($AB3112&lt;&gt;0,"",IF(COUNTIFS('AR SALES'!$L$2:$L$2501,$L3112,'AR SALES'!$AD$2:$AD$2501,IF(""&amp;$F3112="4","OFF","ON"),'AR SALES'!$AF$2:$AF$2501,"Y")&gt;0,"","NO EXEMPTION"))),"")</f>
        <v/>
      </c>
    </row>
    <row r="3113" spans="46:54" x14ac:dyDescent="0.25">
      <c r="AT3113" s="2" t="str">
        <f>IF($L3113="","",IFERROR(INDEX('AR SALES'!$H$2:$H$2501,MATCH(""&amp;$L3113,'AR SALES'!$AE$2:$AE$2501,0)),""))</f>
        <v/>
      </c>
      <c r="AU3113" s="2" t="str">
        <f t="shared" si="192"/>
        <v/>
      </c>
      <c r="AV3113" s="2" t="str">
        <f t="shared" si="193"/>
        <v/>
      </c>
      <c r="AW3113" s="2" t="str">
        <f t="shared" si="194"/>
        <v/>
      </c>
      <c r="AX3113" s="2" t="str">
        <f t="shared" si="195"/>
        <v/>
      </c>
      <c r="AY3113" s="2" t="str">
        <f>IF($AV3113="","",IF(AND($Z3113=0,COUNTIF('AR SALES'!$L$2:$L$2501,$L3113)=0),"YES",""))</f>
        <v/>
      </c>
      <c r="AZ3113" s="2" t="str">
        <f>IF($AV3113="","",IF(COUNTIF(LISTS!$C$2:$C$250,$AU3113)=0,"NEW",""))</f>
        <v/>
      </c>
      <c r="BA3113" s="2" t="str">
        <f>IF(""&amp;$F3113&lt;&gt;"4","",IF($AY3113="YES","",IF(ROUND(SUMIFS($AE$2:$AE$4001,$L$2:$L$4001,$L3113,$F$2:$F$4001,"4")-SUMIFS('AR SALES'!$Y$2:$Y$2501,'AR SALES'!$L$2:$L$2501,$L3113,'AR SALES'!$AD$2:$AD$2501,"OFF"),2)=0,"","STALE")))</f>
        <v/>
      </c>
      <c r="BB3113" s="2" t="str">
        <f>IF(OR(""&amp;$F3113="2",""&amp;$F3113="4",""&amp;$F3113="G",""&amp;$F3113="H"),IF($AY3113="YES","",IF($AB3113&lt;&gt;0,"",IF(COUNTIFS('AR SALES'!$L$2:$L$2501,$L3113,'AR SALES'!$AD$2:$AD$2501,IF(""&amp;$F3113="4","OFF","ON"),'AR SALES'!$AF$2:$AF$2501,"Y")&gt;0,"","NO EXEMPTION"))),"")</f>
        <v/>
      </c>
    </row>
    <row r="3114" spans="46:54" x14ac:dyDescent="0.25">
      <c r="AT3114" s="2" t="str">
        <f>IF($L3114="","",IFERROR(INDEX('AR SALES'!$H$2:$H$2501,MATCH(""&amp;$L3114,'AR SALES'!$AE$2:$AE$2501,0)),""))</f>
        <v/>
      </c>
      <c r="AU3114" s="2" t="str">
        <f t="shared" si="192"/>
        <v/>
      </c>
      <c r="AV3114" s="2" t="str">
        <f t="shared" si="193"/>
        <v/>
      </c>
      <c r="AW3114" s="2" t="str">
        <f t="shared" si="194"/>
        <v/>
      </c>
      <c r="AX3114" s="2" t="str">
        <f t="shared" si="195"/>
        <v/>
      </c>
      <c r="AY3114" s="2" t="str">
        <f>IF($AV3114="","",IF(AND($Z3114=0,COUNTIF('AR SALES'!$L$2:$L$2501,$L3114)=0),"YES",""))</f>
        <v/>
      </c>
      <c r="AZ3114" s="2" t="str">
        <f>IF($AV3114="","",IF(COUNTIF(LISTS!$C$2:$C$250,$AU3114)=0,"NEW",""))</f>
        <v/>
      </c>
      <c r="BA3114" s="2" t="str">
        <f>IF(""&amp;$F3114&lt;&gt;"4","",IF($AY3114="YES","",IF(ROUND(SUMIFS($AE$2:$AE$4001,$L$2:$L$4001,$L3114,$F$2:$F$4001,"4")-SUMIFS('AR SALES'!$Y$2:$Y$2501,'AR SALES'!$L$2:$L$2501,$L3114,'AR SALES'!$AD$2:$AD$2501,"OFF"),2)=0,"","STALE")))</f>
        <v/>
      </c>
      <c r="BB3114" s="2" t="str">
        <f>IF(OR(""&amp;$F3114="2",""&amp;$F3114="4",""&amp;$F3114="G",""&amp;$F3114="H"),IF($AY3114="YES","",IF($AB3114&lt;&gt;0,"",IF(COUNTIFS('AR SALES'!$L$2:$L$2501,$L3114,'AR SALES'!$AD$2:$AD$2501,IF(""&amp;$F3114="4","OFF","ON"),'AR SALES'!$AF$2:$AF$2501,"Y")&gt;0,"","NO EXEMPTION"))),"")</f>
        <v/>
      </c>
    </row>
    <row r="3115" spans="46:54" x14ac:dyDescent="0.25">
      <c r="AT3115" s="2" t="str">
        <f>IF($L3115="","",IFERROR(INDEX('AR SALES'!$H$2:$H$2501,MATCH(""&amp;$L3115,'AR SALES'!$AE$2:$AE$2501,0)),""))</f>
        <v/>
      </c>
      <c r="AU3115" s="2" t="str">
        <f t="shared" si="192"/>
        <v/>
      </c>
      <c r="AV3115" s="2" t="str">
        <f t="shared" si="193"/>
        <v/>
      </c>
      <c r="AW3115" s="2" t="str">
        <f t="shared" si="194"/>
        <v/>
      </c>
      <c r="AX3115" s="2" t="str">
        <f t="shared" si="195"/>
        <v/>
      </c>
      <c r="AY3115" s="2" t="str">
        <f>IF($AV3115="","",IF(AND($Z3115=0,COUNTIF('AR SALES'!$L$2:$L$2501,$L3115)=0),"YES",""))</f>
        <v/>
      </c>
      <c r="AZ3115" s="2" t="str">
        <f>IF($AV3115="","",IF(COUNTIF(LISTS!$C$2:$C$250,$AU3115)=0,"NEW",""))</f>
        <v/>
      </c>
      <c r="BA3115" s="2" t="str">
        <f>IF(""&amp;$F3115&lt;&gt;"4","",IF($AY3115="YES","",IF(ROUND(SUMIFS($AE$2:$AE$4001,$L$2:$L$4001,$L3115,$F$2:$F$4001,"4")-SUMIFS('AR SALES'!$Y$2:$Y$2501,'AR SALES'!$L$2:$L$2501,$L3115,'AR SALES'!$AD$2:$AD$2501,"OFF"),2)=0,"","STALE")))</f>
        <v/>
      </c>
      <c r="BB3115" s="2" t="str">
        <f>IF(OR(""&amp;$F3115="2",""&amp;$F3115="4",""&amp;$F3115="G",""&amp;$F3115="H"),IF($AY3115="YES","",IF($AB3115&lt;&gt;0,"",IF(COUNTIFS('AR SALES'!$L$2:$L$2501,$L3115,'AR SALES'!$AD$2:$AD$2501,IF(""&amp;$F3115="4","OFF","ON"),'AR SALES'!$AF$2:$AF$2501,"Y")&gt;0,"","NO EXEMPTION"))),"")</f>
        <v/>
      </c>
    </row>
    <row r="3116" spans="46:54" x14ac:dyDescent="0.25">
      <c r="AT3116" s="2" t="str">
        <f>IF($L3116="","",IFERROR(INDEX('AR SALES'!$H$2:$H$2501,MATCH(""&amp;$L3116,'AR SALES'!$AE$2:$AE$2501,0)),""))</f>
        <v/>
      </c>
      <c r="AU3116" s="2" t="str">
        <f t="shared" si="192"/>
        <v/>
      </c>
      <c r="AV3116" s="2" t="str">
        <f t="shared" si="193"/>
        <v/>
      </c>
      <c r="AW3116" s="2" t="str">
        <f t="shared" si="194"/>
        <v/>
      </c>
      <c r="AX3116" s="2" t="str">
        <f t="shared" si="195"/>
        <v/>
      </c>
      <c r="AY3116" s="2" t="str">
        <f>IF($AV3116="","",IF(AND($Z3116=0,COUNTIF('AR SALES'!$L$2:$L$2501,$L3116)=0),"YES",""))</f>
        <v/>
      </c>
      <c r="AZ3116" s="2" t="str">
        <f>IF($AV3116="","",IF(COUNTIF(LISTS!$C$2:$C$250,$AU3116)=0,"NEW",""))</f>
        <v/>
      </c>
      <c r="BA3116" s="2" t="str">
        <f>IF(""&amp;$F3116&lt;&gt;"4","",IF($AY3116="YES","",IF(ROUND(SUMIFS($AE$2:$AE$4001,$L$2:$L$4001,$L3116,$F$2:$F$4001,"4")-SUMIFS('AR SALES'!$Y$2:$Y$2501,'AR SALES'!$L$2:$L$2501,$L3116,'AR SALES'!$AD$2:$AD$2501,"OFF"),2)=0,"","STALE")))</f>
        <v/>
      </c>
      <c r="BB3116" s="2" t="str">
        <f>IF(OR(""&amp;$F3116="2",""&amp;$F3116="4",""&amp;$F3116="G",""&amp;$F3116="H"),IF($AY3116="YES","",IF($AB3116&lt;&gt;0,"",IF(COUNTIFS('AR SALES'!$L$2:$L$2501,$L3116,'AR SALES'!$AD$2:$AD$2501,IF(""&amp;$F3116="4","OFF","ON"),'AR SALES'!$AF$2:$AF$2501,"Y")&gt;0,"","NO EXEMPTION"))),"")</f>
        <v/>
      </c>
    </row>
    <row r="3117" spans="46:54" x14ac:dyDescent="0.25">
      <c r="AT3117" s="2" t="str">
        <f>IF($L3117="","",IFERROR(INDEX('AR SALES'!$H$2:$H$2501,MATCH(""&amp;$L3117,'AR SALES'!$AE$2:$AE$2501,0)),""))</f>
        <v/>
      </c>
      <c r="AU3117" s="2" t="str">
        <f t="shared" si="192"/>
        <v/>
      </c>
      <c r="AV3117" s="2" t="str">
        <f t="shared" si="193"/>
        <v/>
      </c>
      <c r="AW3117" s="2" t="str">
        <f t="shared" si="194"/>
        <v/>
      </c>
      <c r="AX3117" s="2" t="str">
        <f t="shared" si="195"/>
        <v/>
      </c>
      <c r="AY3117" s="2" t="str">
        <f>IF($AV3117="","",IF(AND($Z3117=0,COUNTIF('AR SALES'!$L$2:$L$2501,$L3117)=0),"YES",""))</f>
        <v/>
      </c>
      <c r="AZ3117" s="2" t="str">
        <f>IF($AV3117="","",IF(COUNTIF(LISTS!$C$2:$C$250,$AU3117)=0,"NEW",""))</f>
        <v/>
      </c>
      <c r="BA3117" s="2" t="str">
        <f>IF(""&amp;$F3117&lt;&gt;"4","",IF($AY3117="YES","",IF(ROUND(SUMIFS($AE$2:$AE$4001,$L$2:$L$4001,$L3117,$F$2:$F$4001,"4")-SUMIFS('AR SALES'!$Y$2:$Y$2501,'AR SALES'!$L$2:$L$2501,$L3117,'AR SALES'!$AD$2:$AD$2501,"OFF"),2)=0,"","STALE")))</f>
        <v/>
      </c>
      <c r="BB3117" s="2" t="str">
        <f>IF(OR(""&amp;$F3117="2",""&amp;$F3117="4",""&amp;$F3117="G",""&amp;$F3117="H"),IF($AY3117="YES","",IF($AB3117&lt;&gt;0,"",IF(COUNTIFS('AR SALES'!$L$2:$L$2501,$L3117,'AR SALES'!$AD$2:$AD$2501,IF(""&amp;$F3117="4","OFF","ON"),'AR SALES'!$AF$2:$AF$2501,"Y")&gt;0,"","NO EXEMPTION"))),"")</f>
        <v/>
      </c>
    </row>
    <row r="3118" spans="46:54" x14ac:dyDescent="0.25">
      <c r="AT3118" s="2" t="str">
        <f>IF($L3118="","",IFERROR(INDEX('AR SALES'!$H$2:$H$2501,MATCH(""&amp;$L3118,'AR SALES'!$AE$2:$AE$2501,0)),""))</f>
        <v/>
      </c>
      <c r="AU3118" s="2" t="str">
        <f t="shared" si="192"/>
        <v/>
      </c>
      <c r="AV3118" s="2" t="str">
        <f t="shared" si="193"/>
        <v/>
      </c>
      <c r="AW3118" s="2" t="str">
        <f t="shared" si="194"/>
        <v/>
      </c>
      <c r="AX3118" s="2" t="str">
        <f t="shared" si="195"/>
        <v/>
      </c>
      <c r="AY3118" s="2" t="str">
        <f>IF($AV3118="","",IF(AND($Z3118=0,COUNTIF('AR SALES'!$L$2:$L$2501,$L3118)=0),"YES",""))</f>
        <v/>
      </c>
      <c r="AZ3118" s="2" t="str">
        <f>IF($AV3118="","",IF(COUNTIF(LISTS!$C$2:$C$250,$AU3118)=0,"NEW",""))</f>
        <v/>
      </c>
      <c r="BA3118" s="2" t="str">
        <f>IF(""&amp;$F3118&lt;&gt;"4","",IF($AY3118="YES","",IF(ROUND(SUMIFS($AE$2:$AE$4001,$L$2:$L$4001,$L3118,$F$2:$F$4001,"4")-SUMIFS('AR SALES'!$Y$2:$Y$2501,'AR SALES'!$L$2:$L$2501,$L3118,'AR SALES'!$AD$2:$AD$2501,"OFF"),2)=0,"","STALE")))</f>
        <v/>
      </c>
      <c r="BB3118" s="2" t="str">
        <f>IF(OR(""&amp;$F3118="2",""&amp;$F3118="4",""&amp;$F3118="G",""&amp;$F3118="H"),IF($AY3118="YES","",IF($AB3118&lt;&gt;0,"",IF(COUNTIFS('AR SALES'!$L$2:$L$2501,$L3118,'AR SALES'!$AD$2:$AD$2501,IF(""&amp;$F3118="4","OFF","ON"),'AR SALES'!$AF$2:$AF$2501,"Y")&gt;0,"","NO EXEMPTION"))),"")</f>
        <v/>
      </c>
    </row>
    <row r="3119" spans="46:54" x14ac:dyDescent="0.25">
      <c r="AT3119" s="2" t="str">
        <f>IF($L3119="","",IFERROR(INDEX('AR SALES'!$H$2:$H$2501,MATCH(""&amp;$L3119,'AR SALES'!$AE$2:$AE$2501,0)),""))</f>
        <v/>
      </c>
      <c r="AU3119" s="2" t="str">
        <f t="shared" si="192"/>
        <v/>
      </c>
      <c r="AV3119" s="2" t="str">
        <f t="shared" si="193"/>
        <v/>
      </c>
      <c r="AW3119" s="2" t="str">
        <f t="shared" si="194"/>
        <v/>
      </c>
      <c r="AX3119" s="2" t="str">
        <f t="shared" si="195"/>
        <v/>
      </c>
      <c r="AY3119" s="2" t="str">
        <f>IF($AV3119="","",IF(AND($Z3119=0,COUNTIF('AR SALES'!$L$2:$L$2501,$L3119)=0),"YES",""))</f>
        <v/>
      </c>
      <c r="AZ3119" s="2" t="str">
        <f>IF($AV3119="","",IF(COUNTIF(LISTS!$C$2:$C$250,$AU3119)=0,"NEW",""))</f>
        <v/>
      </c>
      <c r="BA3119" s="2" t="str">
        <f>IF(""&amp;$F3119&lt;&gt;"4","",IF($AY3119="YES","",IF(ROUND(SUMIFS($AE$2:$AE$4001,$L$2:$L$4001,$L3119,$F$2:$F$4001,"4")-SUMIFS('AR SALES'!$Y$2:$Y$2501,'AR SALES'!$L$2:$L$2501,$L3119,'AR SALES'!$AD$2:$AD$2501,"OFF"),2)=0,"","STALE")))</f>
        <v/>
      </c>
      <c r="BB3119" s="2" t="str">
        <f>IF(OR(""&amp;$F3119="2",""&amp;$F3119="4",""&amp;$F3119="G",""&amp;$F3119="H"),IF($AY3119="YES","",IF($AB3119&lt;&gt;0,"",IF(COUNTIFS('AR SALES'!$L$2:$L$2501,$L3119,'AR SALES'!$AD$2:$AD$2501,IF(""&amp;$F3119="4","OFF","ON"),'AR SALES'!$AF$2:$AF$2501,"Y")&gt;0,"","NO EXEMPTION"))),"")</f>
        <v/>
      </c>
    </row>
    <row r="3120" spans="46:54" x14ac:dyDescent="0.25">
      <c r="AT3120" s="2" t="str">
        <f>IF($L3120="","",IFERROR(INDEX('AR SALES'!$H$2:$H$2501,MATCH(""&amp;$L3120,'AR SALES'!$AE$2:$AE$2501,0)),""))</f>
        <v/>
      </c>
      <c r="AU3120" s="2" t="str">
        <f t="shared" si="192"/>
        <v/>
      </c>
      <c r="AV3120" s="2" t="str">
        <f t="shared" si="193"/>
        <v/>
      </c>
      <c r="AW3120" s="2" t="str">
        <f t="shared" si="194"/>
        <v/>
      </c>
      <c r="AX3120" s="2" t="str">
        <f t="shared" si="195"/>
        <v/>
      </c>
      <c r="AY3120" s="2" t="str">
        <f>IF($AV3120="","",IF(AND($Z3120=0,COUNTIF('AR SALES'!$L$2:$L$2501,$L3120)=0),"YES",""))</f>
        <v/>
      </c>
      <c r="AZ3120" s="2" t="str">
        <f>IF($AV3120="","",IF(COUNTIF(LISTS!$C$2:$C$250,$AU3120)=0,"NEW",""))</f>
        <v/>
      </c>
      <c r="BA3120" s="2" t="str">
        <f>IF(""&amp;$F3120&lt;&gt;"4","",IF($AY3120="YES","",IF(ROUND(SUMIFS($AE$2:$AE$4001,$L$2:$L$4001,$L3120,$F$2:$F$4001,"4")-SUMIFS('AR SALES'!$Y$2:$Y$2501,'AR SALES'!$L$2:$L$2501,$L3120,'AR SALES'!$AD$2:$AD$2501,"OFF"),2)=0,"","STALE")))</f>
        <v/>
      </c>
      <c r="BB3120" s="2" t="str">
        <f>IF(OR(""&amp;$F3120="2",""&amp;$F3120="4",""&amp;$F3120="G",""&amp;$F3120="H"),IF($AY3120="YES","",IF($AB3120&lt;&gt;0,"",IF(COUNTIFS('AR SALES'!$L$2:$L$2501,$L3120,'AR SALES'!$AD$2:$AD$2501,IF(""&amp;$F3120="4","OFF","ON"),'AR SALES'!$AF$2:$AF$2501,"Y")&gt;0,"","NO EXEMPTION"))),"")</f>
        <v/>
      </c>
    </row>
    <row r="3121" spans="46:54" x14ac:dyDescent="0.25">
      <c r="AT3121" s="2" t="str">
        <f>IF($L3121="","",IFERROR(INDEX('AR SALES'!$H$2:$H$2501,MATCH(""&amp;$L3121,'AR SALES'!$AE$2:$AE$2501,0)),""))</f>
        <v/>
      </c>
      <c r="AU3121" s="2" t="str">
        <f t="shared" si="192"/>
        <v/>
      </c>
      <c r="AV3121" s="2" t="str">
        <f t="shared" si="193"/>
        <v/>
      </c>
      <c r="AW3121" s="2" t="str">
        <f t="shared" si="194"/>
        <v/>
      </c>
      <c r="AX3121" s="2" t="str">
        <f t="shared" si="195"/>
        <v/>
      </c>
      <c r="AY3121" s="2" t="str">
        <f>IF($AV3121="","",IF(AND($Z3121=0,COUNTIF('AR SALES'!$L$2:$L$2501,$L3121)=0),"YES",""))</f>
        <v/>
      </c>
      <c r="AZ3121" s="2" t="str">
        <f>IF($AV3121="","",IF(COUNTIF(LISTS!$C$2:$C$250,$AU3121)=0,"NEW",""))</f>
        <v/>
      </c>
      <c r="BA3121" s="2" t="str">
        <f>IF(""&amp;$F3121&lt;&gt;"4","",IF($AY3121="YES","",IF(ROUND(SUMIFS($AE$2:$AE$4001,$L$2:$L$4001,$L3121,$F$2:$F$4001,"4")-SUMIFS('AR SALES'!$Y$2:$Y$2501,'AR SALES'!$L$2:$L$2501,$L3121,'AR SALES'!$AD$2:$AD$2501,"OFF"),2)=0,"","STALE")))</f>
        <v/>
      </c>
      <c r="BB3121" s="2" t="str">
        <f>IF(OR(""&amp;$F3121="2",""&amp;$F3121="4",""&amp;$F3121="G",""&amp;$F3121="H"),IF($AY3121="YES","",IF($AB3121&lt;&gt;0,"",IF(COUNTIFS('AR SALES'!$L$2:$L$2501,$L3121,'AR SALES'!$AD$2:$AD$2501,IF(""&amp;$F3121="4","OFF","ON"),'AR SALES'!$AF$2:$AF$2501,"Y")&gt;0,"","NO EXEMPTION"))),"")</f>
        <v/>
      </c>
    </row>
    <row r="3122" spans="46:54" x14ac:dyDescent="0.25">
      <c r="AT3122" s="2" t="str">
        <f>IF($L3122="","",IFERROR(INDEX('AR SALES'!$H$2:$H$2501,MATCH(""&amp;$L3122,'AR SALES'!$AE$2:$AE$2501,0)),""))</f>
        <v/>
      </c>
      <c r="AU3122" s="2" t="str">
        <f t="shared" si="192"/>
        <v/>
      </c>
      <c r="AV3122" s="2" t="str">
        <f t="shared" si="193"/>
        <v/>
      </c>
      <c r="AW3122" s="2" t="str">
        <f t="shared" si="194"/>
        <v/>
      </c>
      <c r="AX3122" s="2" t="str">
        <f t="shared" si="195"/>
        <v/>
      </c>
      <c r="AY3122" s="2" t="str">
        <f>IF($AV3122="","",IF(AND($Z3122=0,COUNTIF('AR SALES'!$L$2:$L$2501,$L3122)=0),"YES",""))</f>
        <v/>
      </c>
      <c r="AZ3122" s="2" t="str">
        <f>IF($AV3122="","",IF(COUNTIF(LISTS!$C$2:$C$250,$AU3122)=0,"NEW",""))</f>
        <v/>
      </c>
      <c r="BA3122" s="2" t="str">
        <f>IF(""&amp;$F3122&lt;&gt;"4","",IF($AY3122="YES","",IF(ROUND(SUMIFS($AE$2:$AE$4001,$L$2:$L$4001,$L3122,$F$2:$F$4001,"4")-SUMIFS('AR SALES'!$Y$2:$Y$2501,'AR SALES'!$L$2:$L$2501,$L3122,'AR SALES'!$AD$2:$AD$2501,"OFF"),2)=0,"","STALE")))</f>
        <v/>
      </c>
      <c r="BB3122" s="2" t="str">
        <f>IF(OR(""&amp;$F3122="2",""&amp;$F3122="4",""&amp;$F3122="G",""&amp;$F3122="H"),IF($AY3122="YES","",IF($AB3122&lt;&gt;0,"",IF(COUNTIFS('AR SALES'!$L$2:$L$2501,$L3122,'AR SALES'!$AD$2:$AD$2501,IF(""&amp;$F3122="4","OFF","ON"),'AR SALES'!$AF$2:$AF$2501,"Y")&gt;0,"","NO EXEMPTION"))),"")</f>
        <v/>
      </c>
    </row>
    <row r="3123" spans="46:54" x14ac:dyDescent="0.25">
      <c r="AT3123" s="2" t="str">
        <f>IF($L3123="","",IFERROR(INDEX('AR SALES'!$H$2:$H$2501,MATCH(""&amp;$L3123,'AR SALES'!$AE$2:$AE$2501,0)),""))</f>
        <v/>
      </c>
      <c r="AU3123" s="2" t="str">
        <f t="shared" si="192"/>
        <v/>
      </c>
      <c r="AV3123" s="2" t="str">
        <f t="shared" si="193"/>
        <v/>
      </c>
      <c r="AW3123" s="2" t="str">
        <f t="shared" si="194"/>
        <v/>
      </c>
      <c r="AX3123" s="2" t="str">
        <f t="shared" si="195"/>
        <v/>
      </c>
      <c r="AY3123" s="2" t="str">
        <f>IF($AV3123="","",IF(AND($Z3123=0,COUNTIF('AR SALES'!$L$2:$L$2501,$L3123)=0),"YES",""))</f>
        <v/>
      </c>
      <c r="AZ3123" s="2" t="str">
        <f>IF($AV3123="","",IF(COUNTIF(LISTS!$C$2:$C$250,$AU3123)=0,"NEW",""))</f>
        <v/>
      </c>
      <c r="BA3123" s="2" t="str">
        <f>IF(""&amp;$F3123&lt;&gt;"4","",IF($AY3123="YES","",IF(ROUND(SUMIFS($AE$2:$AE$4001,$L$2:$L$4001,$L3123,$F$2:$F$4001,"4")-SUMIFS('AR SALES'!$Y$2:$Y$2501,'AR SALES'!$L$2:$L$2501,$L3123,'AR SALES'!$AD$2:$AD$2501,"OFF"),2)=0,"","STALE")))</f>
        <v/>
      </c>
      <c r="BB3123" s="2" t="str">
        <f>IF(OR(""&amp;$F3123="2",""&amp;$F3123="4",""&amp;$F3123="G",""&amp;$F3123="H"),IF($AY3123="YES","",IF($AB3123&lt;&gt;0,"",IF(COUNTIFS('AR SALES'!$L$2:$L$2501,$L3123,'AR SALES'!$AD$2:$AD$2501,IF(""&amp;$F3123="4","OFF","ON"),'AR SALES'!$AF$2:$AF$2501,"Y")&gt;0,"","NO EXEMPTION"))),"")</f>
        <v/>
      </c>
    </row>
    <row r="3124" spans="46:54" x14ac:dyDescent="0.25">
      <c r="AT3124" s="2" t="str">
        <f>IF($L3124="","",IFERROR(INDEX('AR SALES'!$H$2:$H$2501,MATCH(""&amp;$L3124,'AR SALES'!$AE$2:$AE$2501,0)),""))</f>
        <v/>
      </c>
      <c r="AU3124" s="2" t="str">
        <f t="shared" si="192"/>
        <v/>
      </c>
      <c r="AV3124" s="2" t="str">
        <f t="shared" si="193"/>
        <v/>
      </c>
      <c r="AW3124" s="2" t="str">
        <f t="shared" si="194"/>
        <v/>
      </c>
      <c r="AX3124" s="2" t="str">
        <f t="shared" si="195"/>
        <v/>
      </c>
      <c r="AY3124" s="2" t="str">
        <f>IF($AV3124="","",IF(AND($Z3124=0,COUNTIF('AR SALES'!$L$2:$L$2501,$L3124)=0),"YES",""))</f>
        <v/>
      </c>
      <c r="AZ3124" s="2" t="str">
        <f>IF($AV3124="","",IF(COUNTIF(LISTS!$C$2:$C$250,$AU3124)=0,"NEW",""))</f>
        <v/>
      </c>
      <c r="BA3124" s="2" t="str">
        <f>IF(""&amp;$F3124&lt;&gt;"4","",IF($AY3124="YES","",IF(ROUND(SUMIFS($AE$2:$AE$4001,$L$2:$L$4001,$L3124,$F$2:$F$4001,"4")-SUMIFS('AR SALES'!$Y$2:$Y$2501,'AR SALES'!$L$2:$L$2501,$L3124,'AR SALES'!$AD$2:$AD$2501,"OFF"),2)=0,"","STALE")))</f>
        <v/>
      </c>
      <c r="BB3124" s="2" t="str">
        <f>IF(OR(""&amp;$F3124="2",""&amp;$F3124="4",""&amp;$F3124="G",""&amp;$F3124="H"),IF($AY3124="YES","",IF($AB3124&lt;&gt;0,"",IF(COUNTIFS('AR SALES'!$L$2:$L$2501,$L3124,'AR SALES'!$AD$2:$AD$2501,IF(""&amp;$F3124="4","OFF","ON"),'AR SALES'!$AF$2:$AF$2501,"Y")&gt;0,"","NO EXEMPTION"))),"")</f>
        <v/>
      </c>
    </row>
    <row r="3125" spans="46:54" x14ac:dyDescent="0.25">
      <c r="AT3125" s="2" t="str">
        <f>IF($L3125="","",IFERROR(INDEX('AR SALES'!$H$2:$H$2501,MATCH(""&amp;$L3125,'AR SALES'!$AE$2:$AE$2501,0)),""))</f>
        <v/>
      </c>
      <c r="AU3125" s="2" t="str">
        <f t="shared" si="192"/>
        <v/>
      </c>
      <c r="AV3125" s="2" t="str">
        <f t="shared" si="193"/>
        <v/>
      </c>
      <c r="AW3125" s="2" t="str">
        <f t="shared" si="194"/>
        <v/>
      </c>
      <c r="AX3125" s="2" t="str">
        <f t="shared" si="195"/>
        <v/>
      </c>
      <c r="AY3125" s="2" t="str">
        <f>IF($AV3125="","",IF(AND($Z3125=0,COUNTIF('AR SALES'!$L$2:$L$2501,$L3125)=0),"YES",""))</f>
        <v/>
      </c>
      <c r="AZ3125" s="2" t="str">
        <f>IF($AV3125="","",IF(COUNTIF(LISTS!$C$2:$C$250,$AU3125)=0,"NEW",""))</f>
        <v/>
      </c>
      <c r="BA3125" s="2" t="str">
        <f>IF(""&amp;$F3125&lt;&gt;"4","",IF($AY3125="YES","",IF(ROUND(SUMIFS($AE$2:$AE$4001,$L$2:$L$4001,$L3125,$F$2:$F$4001,"4")-SUMIFS('AR SALES'!$Y$2:$Y$2501,'AR SALES'!$L$2:$L$2501,$L3125,'AR SALES'!$AD$2:$AD$2501,"OFF"),2)=0,"","STALE")))</f>
        <v/>
      </c>
      <c r="BB3125" s="2" t="str">
        <f>IF(OR(""&amp;$F3125="2",""&amp;$F3125="4",""&amp;$F3125="G",""&amp;$F3125="H"),IF($AY3125="YES","",IF($AB3125&lt;&gt;0,"",IF(COUNTIFS('AR SALES'!$L$2:$L$2501,$L3125,'AR SALES'!$AD$2:$AD$2501,IF(""&amp;$F3125="4","OFF","ON"),'AR SALES'!$AF$2:$AF$2501,"Y")&gt;0,"","NO EXEMPTION"))),"")</f>
        <v/>
      </c>
    </row>
    <row r="3126" spans="46:54" x14ac:dyDescent="0.25">
      <c r="AT3126" s="2" t="str">
        <f>IF($L3126="","",IFERROR(INDEX('AR SALES'!$H$2:$H$2501,MATCH(""&amp;$L3126,'AR SALES'!$AE$2:$AE$2501,0)),""))</f>
        <v/>
      </c>
      <c r="AU3126" s="2" t="str">
        <f t="shared" si="192"/>
        <v/>
      </c>
      <c r="AV3126" s="2" t="str">
        <f t="shared" si="193"/>
        <v/>
      </c>
      <c r="AW3126" s="2" t="str">
        <f t="shared" si="194"/>
        <v/>
      </c>
      <c r="AX3126" s="2" t="str">
        <f t="shared" si="195"/>
        <v/>
      </c>
      <c r="AY3126" s="2" t="str">
        <f>IF($AV3126="","",IF(AND($Z3126=0,COUNTIF('AR SALES'!$L$2:$L$2501,$L3126)=0),"YES",""))</f>
        <v/>
      </c>
      <c r="AZ3126" s="2" t="str">
        <f>IF($AV3126="","",IF(COUNTIF(LISTS!$C$2:$C$250,$AU3126)=0,"NEW",""))</f>
        <v/>
      </c>
      <c r="BA3126" s="2" t="str">
        <f>IF(""&amp;$F3126&lt;&gt;"4","",IF($AY3126="YES","",IF(ROUND(SUMIFS($AE$2:$AE$4001,$L$2:$L$4001,$L3126,$F$2:$F$4001,"4")-SUMIFS('AR SALES'!$Y$2:$Y$2501,'AR SALES'!$L$2:$L$2501,$L3126,'AR SALES'!$AD$2:$AD$2501,"OFF"),2)=0,"","STALE")))</f>
        <v/>
      </c>
      <c r="BB3126" s="2" t="str">
        <f>IF(OR(""&amp;$F3126="2",""&amp;$F3126="4",""&amp;$F3126="G",""&amp;$F3126="H"),IF($AY3126="YES","",IF($AB3126&lt;&gt;0,"",IF(COUNTIFS('AR SALES'!$L$2:$L$2501,$L3126,'AR SALES'!$AD$2:$AD$2501,IF(""&amp;$F3126="4","OFF","ON"),'AR SALES'!$AF$2:$AF$2501,"Y")&gt;0,"","NO EXEMPTION"))),"")</f>
        <v/>
      </c>
    </row>
    <row r="3127" spans="46:54" x14ac:dyDescent="0.25">
      <c r="AT3127" s="2" t="str">
        <f>IF($L3127="","",IFERROR(INDEX('AR SALES'!$H$2:$H$2501,MATCH(""&amp;$L3127,'AR SALES'!$AE$2:$AE$2501,0)),""))</f>
        <v/>
      </c>
      <c r="AU3127" s="2" t="str">
        <f t="shared" si="192"/>
        <v/>
      </c>
      <c r="AV3127" s="2" t="str">
        <f t="shared" si="193"/>
        <v/>
      </c>
      <c r="AW3127" s="2" t="str">
        <f t="shared" si="194"/>
        <v/>
      </c>
      <c r="AX3127" s="2" t="str">
        <f t="shared" si="195"/>
        <v/>
      </c>
      <c r="AY3127" s="2" t="str">
        <f>IF($AV3127="","",IF(AND($Z3127=0,COUNTIF('AR SALES'!$L$2:$L$2501,$L3127)=0),"YES",""))</f>
        <v/>
      </c>
      <c r="AZ3127" s="2" t="str">
        <f>IF($AV3127="","",IF(COUNTIF(LISTS!$C$2:$C$250,$AU3127)=0,"NEW",""))</f>
        <v/>
      </c>
      <c r="BA3127" s="2" t="str">
        <f>IF(""&amp;$F3127&lt;&gt;"4","",IF($AY3127="YES","",IF(ROUND(SUMIFS($AE$2:$AE$4001,$L$2:$L$4001,$L3127,$F$2:$F$4001,"4")-SUMIFS('AR SALES'!$Y$2:$Y$2501,'AR SALES'!$L$2:$L$2501,$L3127,'AR SALES'!$AD$2:$AD$2501,"OFF"),2)=0,"","STALE")))</f>
        <v/>
      </c>
      <c r="BB3127" s="2" t="str">
        <f>IF(OR(""&amp;$F3127="2",""&amp;$F3127="4",""&amp;$F3127="G",""&amp;$F3127="H"),IF($AY3127="YES","",IF($AB3127&lt;&gt;0,"",IF(COUNTIFS('AR SALES'!$L$2:$L$2501,$L3127,'AR SALES'!$AD$2:$AD$2501,IF(""&amp;$F3127="4","OFF","ON"),'AR SALES'!$AF$2:$AF$2501,"Y")&gt;0,"","NO EXEMPTION"))),"")</f>
        <v/>
      </c>
    </row>
    <row r="3128" spans="46:54" x14ac:dyDescent="0.25">
      <c r="AT3128" s="2" t="str">
        <f>IF($L3128="","",IFERROR(INDEX('AR SALES'!$H$2:$H$2501,MATCH(""&amp;$L3128,'AR SALES'!$AE$2:$AE$2501,0)),""))</f>
        <v/>
      </c>
      <c r="AU3128" s="2" t="str">
        <f t="shared" si="192"/>
        <v/>
      </c>
      <c r="AV3128" s="2" t="str">
        <f t="shared" si="193"/>
        <v/>
      </c>
      <c r="AW3128" s="2" t="str">
        <f t="shared" si="194"/>
        <v/>
      </c>
      <c r="AX3128" s="2" t="str">
        <f t="shared" si="195"/>
        <v/>
      </c>
      <c r="AY3128" s="2" t="str">
        <f>IF($AV3128="","",IF(AND($Z3128=0,COUNTIF('AR SALES'!$L$2:$L$2501,$L3128)=0),"YES",""))</f>
        <v/>
      </c>
      <c r="AZ3128" s="2" t="str">
        <f>IF($AV3128="","",IF(COUNTIF(LISTS!$C$2:$C$250,$AU3128)=0,"NEW",""))</f>
        <v/>
      </c>
      <c r="BA3128" s="2" t="str">
        <f>IF(""&amp;$F3128&lt;&gt;"4","",IF($AY3128="YES","",IF(ROUND(SUMIFS($AE$2:$AE$4001,$L$2:$L$4001,$L3128,$F$2:$F$4001,"4")-SUMIFS('AR SALES'!$Y$2:$Y$2501,'AR SALES'!$L$2:$L$2501,$L3128,'AR SALES'!$AD$2:$AD$2501,"OFF"),2)=0,"","STALE")))</f>
        <v/>
      </c>
      <c r="BB3128" s="2" t="str">
        <f>IF(OR(""&amp;$F3128="2",""&amp;$F3128="4",""&amp;$F3128="G",""&amp;$F3128="H"),IF($AY3128="YES","",IF($AB3128&lt;&gt;0,"",IF(COUNTIFS('AR SALES'!$L$2:$L$2501,$L3128,'AR SALES'!$AD$2:$AD$2501,IF(""&amp;$F3128="4","OFF","ON"),'AR SALES'!$AF$2:$AF$2501,"Y")&gt;0,"","NO EXEMPTION"))),"")</f>
        <v/>
      </c>
    </row>
    <row r="3129" spans="46:54" x14ac:dyDescent="0.25">
      <c r="AT3129" s="2" t="str">
        <f>IF($L3129="","",IFERROR(INDEX('AR SALES'!$H$2:$H$2501,MATCH(""&amp;$L3129,'AR SALES'!$AE$2:$AE$2501,0)),""))</f>
        <v/>
      </c>
      <c r="AU3129" s="2" t="str">
        <f t="shared" si="192"/>
        <v/>
      </c>
      <c r="AV3129" s="2" t="str">
        <f t="shared" si="193"/>
        <v/>
      </c>
      <c r="AW3129" s="2" t="str">
        <f t="shared" si="194"/>
        <v/>
      </c>
      <c r="AX3129" s="2" t="str">
        <f t="shared" si="195"/>
        <v/>
      </c>
      <c r="AY3129" s="2" t="str">
        <f>IF($AV3129="","",IF(AND($Z3129=0,COUNTIF('AR SALES'!$L$2:$L$2501,$L3129)=0),"YES",""))</f>
        <v/>
      </c>
      <c r="AZ3129" s="2" t="str">
        <f>IF($AV3129="","",IF(COUNTIF(LISTS!$C$2:$C$250,$AU3129)=0,"NEW",""))</f>
        <v/>
      </c>
      <c r="BA3129" s="2" t="str">
        <f>IF(""&amp;$F3129&lt;&gt;"4","",IF($AY3129="YES","",IF(ROUND(SUMIFS($AE$2:$AE$4001,$L$2:$L$4001,$L3129,$F$2:$F$4001,"4")-SUMIFS('AR SALES'!$Y$2:$Y$2501,'AR SALES'!$L$2:$L$2501,$L3129,'AR SALES'!$AD$2:$AD$2501,"OFF"),2)=0,"","STALE")))</f>
        <v/>
      </c>
      <c r="BB3129" s="2" t="str">
        <f>IF(OR(""&amp;$F3129="2",""&amp;$F3129="4",""&amp;$F3129="G",""&amp;$F3129="H"),IF($AY3129="YES","",IF($AB3129&lt;&gt;0,"",IF(COUNTIFS('AR SALES'!$L$2:$L$2501,$L3129,'AR SALES'!$AD$2:$AD$2501,IF(""&amp;$F3129="4","OFF","ON"),'AR SALES'!$AF$2:$AF$2501,"Y")&gt;0,"","NO EXEMPTION"))),"")</f>
        <v/>
      </c>
    </row>
    <row r="3130" spans="46:54" x14ac:dyDescent="0.25">
      <c r="AT3130" s="2" t="str">
        <f>IF($L3130="","",IFERROR(INDEX('AR SALES'!$H$2:$H$2501,MATCH(""&amp;$L3130,'AR SALES'!$AE$2:$AE$2501,0)),""))</f>
        <v/>
      </c>
      <c r="AU3130" s="2" t="str">
        <f t="shared" si="192"/>
        <v/>
      </c>
      <c r="AV3130" s="2" t="str">
        <f t="shared" si="193"/>
        <v/>
      </c>
      <c r="AW3130" s="2" t="str">
        <f t="shared" si="194"/>
        <v/>
      </c>
      <c r="AX3130" s="2" t="str">
        <f t="shared" si="195"/>
        <v/>
      </c>
      <c r="AY3130" s="2" t="str">
        <f>IF($AV3130="","",IF(AND($Z3130=0,COUNTIF('AR SALES'!$L$2:$L$2501,$L3130)=0),"YES",""))</f>
        <v/>
      </c>
      <c r="AZ3130" s="2" t="str">
        <f>IF($AV3130="","",IF(COUNTIF(LISTS!$C$2:$C$250,$AU3130)=0,"NEW",""))</f>
        <v/>
      </c>
      <c r="BA3130" s="2" t="str">
        <f>IF(""&amp;$F3130&lt;&gt;"4","",IF($AY3130="YES","",IF(ROUND(SUMIFS($AE$2:$AE$4001,$L$2:$L$4001,$L3130,$F$2:$F$4001,"4")-SUMIFS('AR SALES'!$Y$2:$Y$2501,'AR SALES'!$L$2:$L$2501,$L3130,'AR SALES'!$AD$2:$AD$2501,"OFF"),2)=0,"","STALE")))</f>
        <v/>
      </c>
      <c r="BB3130" s="2" t="str">
        <f>IF(OR(""&amp;$F3130="2",""&amp;$F3130="4",""&amp;$F3130="G",""&amp;$F3130="H"),IF($AY3130="YES","",IF($AB3130&lt;&gt;0,"",IF(COUNTIFS('AR SALES'!$L$2:$L$2501,$L3130,'AR SALES'!$AD$2:$AD$2501,IF(""&amp;$F3130="4","OFF","ON"),'AR SALES'!$AF$2:$AF$2501,"Y")&gt;0,"","NO EXEMPTION"))),"")</f>
        <v/>
      </c>
    </row>
    <row r="3131" spans="46:54" x14ac:dyDescent="0.25">
      <c r="AT3131" s="2" t="str">
        <f>IF($L3131="","",IFERROR(INDEX('AR SALES'!$H$2:$H$2501,MATCH(""&amp;$L3131,'AR SALES'!$AE$2:$AE$2501,0)),""))</f>
        <v/>
      </c>
      <c r="AU3131" s="2" t="str">
        <f t="shared" si="192"/>
        <v/>
      </c>
      <c r="AV3131" s="2" t="str">
        <f t="shared" si="193"/>
        <v/>
      </c>
      <c r="AW3131" s="2" t="str">
        <f t="shared" si="194"/>
        <v/>
      </c>
      <c r="AX3131" s="2" t="str">
        <f t="shared" si="195"/>
        <v/>
      </c>
      <c r="AY3131" s="2" t="str">
        <f>IF($AV3131="","",IF(AND($Z3131=0,COUNTIF('AR SALES'!$L$2:$L$2501,$L3131)=0),"YES",""))</f>
        <v/>
      </c>
      <c r="AZ3131" s="2" t="str">
        <f>IF($AV3131="","",IF(COUNTIF(LISTS!$C$2:$C$250,$AU3131)=0,"NEW",""))</f>
        <v/>
      </c>
      <c r="BA3131" s="2" t="str">
        <f>IF(""&amp;$F3131&lt;&gt;"4","",IF($AY3131="YES","",IF(ROUND(SUMIFS($AE$2:$AE$4001,$L$2:$L$4001,$L3131,$F$2:$F$4001,"4")-SUMIFS('AR SALES'!$Y$2:$Y$2501,'AR SALES'!$L$2:$L$2501,$L3131,'AR SALES'!$AD$2:$AD$2501,"OFF"),2)=0,"","STALE")))</f>
        <v/>
      </c>
      <c r="BB3131" s="2" t="str">
        <f>IF(OR(""&amp;$F3131="2",""&amp;$F3131="4",""&amp;$F3131="G",""&amp;$F3131="H"),IF($AY3131="YES","",IF($AB3131&lt;&gt;0,"",IF(COUNTIFS('AR SALES'!$L$2:$L$2501,$L3131,'AR SALES'!$AD$2:$AD$2501,IF(""&amp;$F3131="4","OFF","ON"),'AR SALES'!$AF$2:$AF$2501,"Y")&gt;0,"","NO EXEMPTION"))),"")</f>
        <v/>
      </c>
    </row>
    <row r="3132" spans="46:54" x14ac:dyDescent="0.25">
      <c r="AT3132" s="2" t="str">
        <f>IF($L3132="","",IFERROR(INDEX('AR SALES'!$H$2:$H$2501,MATCH(""&amp;$L3132,'AR SALES'!$AE$2:$AE$2501,0)),""))</f>
        <v/>
      </c>
      <c r="AU3132" s="2" t="str">
        <f t="shared" si="192"/>
        <v/>
      </c>
      <c r="AV3132" s="2" t="str">
        <f t="shared" si="193"/>
        <v/>
      </c>
      <c r="AW3132" s="2" t="str">
        <f t="shared" si="194"/>
        <v/>
      </c>
      <c r="AX3132" s="2" t="str">
        <f t="shared" si="195"/>
        <v/>
      </c>
      <c r="AY3132" s="2" t="str">
        <f>IF($AV3132="","",IF(AND($Z3132=0,COUNTIF('AR SALES'!$L$2:$L$2501,$L3132)=0),"YES",""))</f>
        <v/>
      </c>
      <c r="AZ3132" s="2" t="str">
        <f>IF($AV3132="","",IF(COUNTIF(LISTS!$C$2:$C$250,$AU3132)=0,"NEW",""))</f>
        <v/>
      </c>
      <c r="BA3132" s="2" t="str">
        <f>IF(""&amp;$F3132&lt;&gt;"4","",IF($AY3132="YES","",IF(ROUND(SUMIFS($AE$2:$AE$4001,$L$2:$L$4001,$L3132,$F$2:$F$4001,"4")-SUMIFS('AR SALES'!$Y$2:$Y$2501,'AR SALES'!$L$2:$L$2501,$L3132,'AR SALES'!$AD$2:$AD$2501,"OFF"),2)=0,"","STALE")))</f>
        <v/>
      </c>
      <c r="BB3132" s="2" t="str">
        <f>IF(OR(""&amp;$F3132="2",""&amp;$F3132="4",""&amp;$F3132="G",""&amp;$F3132="H"),IF($AY3132="YES","",IF($AB3132&lt;&gt;0,"",IF(COUNTIFS('AR SALES'!$L$2:$L$2501,$L3132,'AR SALES'!$AD$2:$AD$2501,IF(""&amp;$F3132="4","OFF","ON"),'AR SALES'!$AF$2:$AF$2501,"Y")&gt;0,"","NO EXEMPTION"))),"")</f>
        <v/>
      </c>
    </row>
    <row r="3133" spans="46:54" x14ac:dyDescent="0.25">
      <c r="AT3133" s="2" t="str">
        <f>IF($L3133="","",IFERROR(INDEX('AR SALES'!$H$2:$H$2501,MATCH(""&amp;$L3133,'AR SALES'!$AE$2:$AE$2501,0)),""))</f>
        <v/>
      </c>
      <c r="AU3133" s="2" t="str">
        <f t="shared" si="192"/>
        <v/>
      </c>
      <c r="AV3133" s="2" t="str">
        <f t="shared" si="193"/>
        <v/>
      </c>
      <c r="AW3133" s="2" t="str">
        <f t="shared" si="194"/>
        <v/>
      </c>
      <c r="AX3133" s="2" t="str">
        <f t="shared" si="195"/>
        <v/>
      </c>
      <c r="AY3133" s="2" t="str">
        <f>IF($AV3133="","",IF(AND($Z3133=0,COUNTIF('AR SALES'!$L$2:$L$2501,$L3133)=0),"YES",""))</f>
        <v/>
      </c>
      <c r="AZ3133" s="2" t="str">
        <f>IF($AV3133="","",IF(COUNTIF(LISTS!$C$2:$C$250,$AU3133)=0,"NEW",""))</f>
        <v/>
      </c>
      <c r="BA3133" s="2" t="str">
        <f>IF(""&amp;$F3133&lt;&gt;"4","",IF($AY3133="YES","",IF(ROUND(SUMIFS($AE$2:$AE$4001,$L$2:$L$4001,$L3133,$F$2:$F$4001,"4")-SUMIFS('AR SALES'!$Y$2:$Y$2501,'AR SALES'!$L$2:$L$2501,$L3133,'AR SALES'!$AD$2:$AD$2501,"OFF"),2)=0,"","STALE")))</f>
        <v/>
      </c>
      <c r="BB3133" s="2" t="str">
        <f>IF(OR(""&amp;$F3133="2",""&amp;$F3133="4",""&amp;$F3133="G",""&amp;$F3133="H"),IF($AY3133="YES","",IF($AB3133&lt;&gt;0,"",IF(COUNTIFS('AR SALES'!$L$2:$L$2501,$L3133,'AR SALES'!$AD$2:$AD$2501,IF(""&amp;$F3133="4","OFF","ON"),'AR SALES'!$AF$2:$AF$2501,"Y")&gt;0,"","NO EXEMPTION"))),"")</f>
        <v/>
      </c>
    </row>
    <row r="3134" spans="46:54" x14ac:dyDescent="0.25">
      <c r="AT3134" s="2" t="str">
        <f>IF($L3134="","",IFERROR(INDEX('AR SALES'!$H$2:$H$2501,MATCH(""&amp;$L3134,'AR SALES'!$AE$2:$AE$2501,0)),""))</f>
        <v/>
      </c>
      <c r="AU3134" s="2" t="str">
        <f t="shared" si="192"/>
        <v/>
      </c>
      <c r="AV3134" s="2" t="str">
        <f t="shared" si="193"/>
        <v/>
      </c>
      <c r="AW3134" s="2" t="str">
        <f t="shared" si="194"/>
        <v/>
      </c>
      <c r="AX3134" s="2" t="str">
        <f t="shared" si="195"/>
        <v/>
      </c>
      <c r="AY3134" s="2" t="str">
        <f>IF($AV3134="","",IF(AND($Z3134=0,COUNTIF('AR SALES'!$L$2:$L$2501,$L3134)=0),"YES",""))</f>
        <v/>
      </c>
      <c r="AZ3134" s="2" t="str">
        <f>IF($AV3134="","",IF(COUNTIF(LISTS!$C$2:$C$250,$AU3134)=0,"NEW",""))</f>
        <v/>
      </c>
      <c r="BA3134" s="2" t="str">
        <f>IF(""&amp;$F3134&lt;&gt;"4","",IF($AY3134="YES","",IF(ROUND(SUMIFS($AE$2:$AE$4001,$L$2:$L$4001,$L3134,$F$2:$F$4001,"4")-SUMIFS('AR SALES'!$Y$2:$Y$2501,'AR SALES'!$L$2:$L$2501,$L3134,'AR SALES'!$AD$2:$AD$2501,"OFF"),2)=0,"","STALE")))</f>
        <v/>
      </c>
      <c r="BB3134" s="2" t="str">
        <f>IF(OR(""&amp;$F3134="2",""&amp;$F3134="4",""&amp;$F3134="G",""&amp;$F3134="H"),IF($AY3134="YES","",IF($AB3134&lt;&gt;0,"",IF(COUNTIFS('AR SALES'!$L$2:$L$2501,$L3134,'AR SALES'!$AD$2:$AD$2501,IF(""&amp;$F3134="4","OFF","ON"),'AR SALES'!$AF$2:$AF$2501,"Y")&gt;0,"","NO EXEMPTION"))),"")</f>
        <v/>
      </c>
    </row>
    <row r="3135" spans="46:54" x14ac:dyDescent="0.25">
      <c r="AT3135" s="2" t="str">
        <f>IF($L3135="","",IFERROR(INDEX('AR SALES'!$H$2:$H$2501,MATCH(""&amp;$L3135,'AR SALES'!$AE$2:$AE$2501,0)),""))</f>
        <v/>
      </c>
      <c r="AU3135" s="2" t="str">
        <f t="shared" si="192"/>
        <v/>
      </c>
      <c r="AV3135" s="2" t="str">
        <f t="shared" si="193"/>
        <v/>
      </c>
      <c r="AW3135" s="2" t="str">
        <f t="shared" si="194"/>
        <v/>
      </c>
      <c r="AX3135" s="2" t="str">
        <f t="shared" si="195"/>
        <v/>
      </c>
      <c r="AY3135" s="2" t="str">
        <f>IF($AV3135="","",IF(AND($Z3135=0,COUNTIF('AR SALES'!$L$2:$L$2501,$L3135)=0),"YES",""))</f>
        <v/>
      </c>
      <c r="AZ3135" s="2" t="str">
        <f>IF($AV3135="","",IF(COUNTIF(LISTS!$C$2:$C$250,$AU3135)=0,"NEW",""))</f>
        <v/>
      </c>
      <c r="BA3135" s="2" t="str">
        <f>IF(""&amp;$F3135&lt;&gt;"4","",IF($AY3135="YES","",IF(ROUND(SUMIFS($AE$2:$AE$4001,$L$2:$L$4001,$L3135,$F$2:$F$4001,"4")-SUMIFS('AR SALES'!$Y$2:$Y$2501,'AR SALES'!$L$2:$L$2501,$L3135,'AR SALES'!$AD$2:$AD$2501,"OFF"),2)=0,"","STALE")))</f>
        <v/>
      </c>
      <c r="BB3135" s="2" t="str">
        <f>IF(OR(""&amp;$F3135="2",""&amp;$F3135="4",""&amp;$F3135="G",""&amp;$F3135="H"),IF($AY3135="YES","",IF($AB3135&lt;&gt;0,"",IF(COUNTIFS('AR SALES'!$L$2:$L$2501,$L3135,'AR SALES'!$AD$2:$AD$2501,IF(""&amp;$F3135="4","OFF","ON"),'AR SALES'!$AF$2:$AF$2501,"Y")&gt;0,"","NO EXEMPTION"))),"")</f>
        <v/>
      </c>
    </row>
    <row r="3136" spans="46:54" x14ac:dyDescent="0.25">
      <c r="AT3136" s="2" t="str">
        <f>IF($L3136="","",IFERROR(INDEX('AR SALES'!$H$2:$H$2501,MATCH(""&amp;$L3136,'AR SALES'!$AE$2:$AE$2501,0)),""))</f>
        <v/>
      </c>
      <c r="AU3136" s="2" t="str">
        <f t="shared" si="192"/>
        <v/>
      </c>
      <c r="AV3136" s="2" t="str">
        <f t="shared" si="193"/>
        <v/>
      </c>
      <c r="AW3136" s="2" t="str">
        <f t="shared" si="194"/>
        <v/>
      </c>
      <c r="AX3136" s="2" t="str">
        <f t="shared" si="195"/>
        <v/>
      </c>
      <c r="AY3136" s="2" t="str">
        <f>IF($AV3136="","",IF(AND($Z3136=0,COUNTIF('AR SALES'!$L$2:$L$2501,$L3136)=0),"YES",""))</f>
        <v/>
      </c>
      <c r="AZ3136" s="2" t="str">
        <f>IF($AV3136="","",IF(COUNTIF(LISTS!$C$2:$C$250,$AU3136)=0,"NEW",""))</f>
        <v/>
      </c>
      <c r="BA3136" s="2" t="str">
        <f>IF(""&amp;$F3136&lt;&gt;"4","",IF($AY3136="YES","",IF(ROUND(SUMIFS($AE$2:$AE$4001,$L$2:$L$4001,$L3136,$F$2:$F$4001,"4")-SUMIFS('AR SALES'!$Y$2:$Y$2501,'AR SALES'!$L$2:$L$2501,$L3136,'AR SALES'!$AD$2:$AD$2501,"OFF"),2)=0,"","STALE")))</f>
        <v/>
      </c>
      <c r="BB3136" s="2" t="str">
        <f>IF(OR(""&amp;$F3136="2",""&amp;$F3136="4",""&amp;$F3136="G",""&amp;$F3136="H"),IF($AY3136="YES","",IF($AB3136&lt;&gt;0,"",IF(COUNTIFS('AR SALES'!$L$2:$L$2501,$L3136,'AR SALES'!$AD$2:$AD$2501,IF(""&amp;$F3136="4","OFF","ON"),'AR SALES'!$AF$2:$AF$2501,"Y")&gt;0,"","NO EXEMPTION"))),"")</f>
        <v/>
      </c>
    </row>
    <row r="3137" spans="46:54" x14ac:dyDescent="0.25">
      <c r="AT3137" s="2" t="str">
        <f>IF($L3137="","",IFERROR(INDEX('AR SALES'!$H$2:$H$2501,MATCH(""&amp;$L3137,'AR SALES'!$AE$2:$AE$2501,0)),""))</f>
        <v/>
      </c>
      <c r="AU3137" s="2" t="str">
        <f t="shared" si="192"/>
        <v/>
      </c>
      <c r="AV3137" s="2" t="str">
        <f t="shared" si="193"/>
        <v/>
      </c>
      <c r="AW3137" s="2" t="str">
        <f t="shared" si="194"/>
        <v/>
      </c>
      <c r="AX3137" s="2" t="str">
        <f t="shared" si="195"/>
        <v/>
      </c>
      <c r="AY3137" s="2" t="str">
        <f>IF($AV3137="","",IF(AND($Z3137=0,COUNTIF('AR SALES'!$L$2:$L$2501,$L3137)=0),"YES",""))</f>
        <v/>
      </c>
      <c r="AZ3137" s="2" t="str">
        <f>IF($AV3137="","",IF(COUNTIF(LISTS!$C$2:$C$250,$AU3137)=0,"NEW",""))</f>
        <v/>
      </c>
      <c r="BA3137" s="2" t="str">
        <f>IF(""&amp;$F3137&lt;&gt;"4","",IF($AY3137="YES","",IF(ROUND(SUMIFS($AE$2:$AE$4001,$L$2:$L$4001,$L3137,$F$2:$F$4001,"4")-SUMIFS('AR SALES'!$Y$2:$Y$2501,'AR SALES'!$L$2:$L$2501,$L3137,'AR SALES'!$AD$2:$AD$2501,"OFF"),2)=0,"","STALE")))</f>
        <v/>
      </c>
      <c r="BB3137" s="2" t="str">
        <f>IF(OR(""&amp;$F3137="2",""&amp;$F3137="4",""&amp;$F3137="G",""&amp;$F3137="H"),IF($AY3137="YES","",IF($AB3137&lt;&gt;0,"",IF(COUNTIFS('AR SALES'!$L$2:$L$2501,$L3137,'AR SALES'!$AD$2:$AD$2501,IF(""&amp;$F3137="4","OFF","ON"),'AR SALES'!$AF$2:$AF$2501,"Y")&gt;0,"","NO EXEMPTION"))),"")</f>
        <v/>
      </c>
    </row>
    <row r="3138" spans="46:54" x14ac:dyDescent="0.25">
      <c r="AT3138" s="2" t="str">
        <f>IF($L3138="","",IFERROR(INDEX('AR SALES'!$H$2:$H$2501,MATCH(""&amp;$L3138,'AR SALES'!$AE$2:$AE$2501,0)),""))</f>
        <v/>
      </c>
      <c r="AU3138" s="2" t="str">
        <f t="shared" ref="AU3138:AU3201" si="196">IF($L3138="","",IF($A3138&lt;&gt;"GA","",IF($E3138="FULTON",IF(ISNUMBER(SEARCH("COLLEGE PARK",$AT3138)),"FULTON (COLLEGE PARK)",IF(ISNUMBER(SEARCH("ATLANTA CITY",$AT3138)),"FULTON (ATL LIMITS)","FULTON")),IF($E3138="DEKALB",IF(ISNUMBER(SEARCH("ATLANTA CITY",$AT3138)),"DEKALB (ATL LIMITS)","DEKALB"),$E3138))))</f>
        <v/>
      </c>
      <c r="AV3138" s="2" t="str">
        <f t="shared" ref="AV3138:AV3201" si="197">IF($L3138="","",IF(""&amp;$F3138="2","DIESEL",IF(OR(""&amp;$F3138="G",""&amp;$F3138="H"),"GAS","")))</f>
        <v/>
      </c>
      <c r="AW3138" s="2" t="str">
        <f t="shared" ref="AW3138:AW3201" si="198">IF($AV3138="","",$R3138)</f>
        <v/>
      </c>
      <c r="AX3138" s="2" t="str">
        <f t="shared" ref="AX3138:AX3201" si="199">IF($AV3138="","",IF($AB3138=0,$R3138,0))</f>
        <v/>
      </c>
      <c r="AY3138" s="2" t="str">
        <f>IF($AV3138="","",IF(AND($Z3138=0,COUNTIF('AR SALES'!$L$2:$L$2501,$L3138)=0),"YES",""))</f>
        <v/>
      </c>
      <c r="AZ3138" s="2" t="str">
        <f>IF($AV3138="","",IF(COUNTIF(LISTS!$C$2:$C$250,$AU3138)=0,"NEW",""))</f>
        <v/>
      </c>
      <c r="BA3138" s="2" t="str">
        <f>IF(""&amp;$F3138&lt;&gt;"4","",IF($AY3138="YES","",IF(ROUND(SUMIFS($AE$2:$AE$4001,$L$2:$L$4001,$L3138,$F$2:$F$4001,"4")-SUMIFS('AR SALES'!$Y$2:$Y$2501,'AR SALES'!$L$2:$L$2501,$L3138,'AR SALES'!$AD$2:$AD$2501,"OFF"),2)=0,"","STALE")))</f>
        <v/>
      </c>
      <c r="BB3138" s="2" t="str">
        <f>IF(OR(""&amp;$F3138="2",""&amp;$F3138="4",""&amp;$F3138="G",""&amp;$F3138="H"),IF($AY3138="YES","",IF($AB3138&lt;&gt;0,"",IF(COUNTIFS('AR SALES'!$L$2:$L$2501,$L3138,'AR SALES'!$AD$2:$AD$2501,IF(""&amp;$F3138="4","OFF","ON"),'AR SALES'!$AF$2:$AF$2501,"Y")&gt;0,"","NO EXEMPTION"))),"")</f>
        <v/>
      </c>
    </row>
    <row r="3139" spans="46:54" x14ac:dyDescent="0.25">
      <c r="AT3139" s="2" t="str">
        <f>IF($L3139="","",IFERROR(INDEX('AR SALES'!$H$2:$H$2501,MATCH(""&amp;$L3139,'AR SALES'!$AE$2:$AE$2501,0)),""))</f>
        <v/>
      </c>
      <c r="AU3139" s="2" t="str">
        <f t="shared" si="196"/>
        <v/>
      </c>
      <c r="AV3139" s="2" t="str">
        <f t="shared" si="197"/>
        <v/>
      </c>
      <c r="AW3139" s="2" t="str">
        <f t="shared" si="198"/>
        <v/>
      </c>
      <c r="AX3139" s="2" t="str">
        <f t="shared" si="199"/>
        <v/>
      </c>
      <c r="AY3139" s="2" t="str">
        <f>IF($AV3139="","",IF(AND($Z3139=0,COUNTIF('AR SALES'!$L$2:$L$2501,$L3139)=0),"YES",""))</f>
        <v/>
      </c>
      <c r="AZ3139" s="2" t="str">
        <f>IF($AV3139="","",IF(COUNTIF(LISTS!$C$2:$C$250,$AU3139)=0,"NEW",""))</f>
        <v/>
      </c>
      <c r="BA3139" s="2" t="str">
        <f>IF(""&amp;$F3139&lt;&gt;"4","",IF($AY3139="YES","",IF(ROUND(SUMIFS($AE$2:$AE$4001,$L$2:$L$4001,$L3139,$F$2:$F$4001,"4")-SUMIFS('AR SALES'!$Y$2:$Y$2501,'AR SALES'!$L$2:$L$2501,$L3139,'AR SALES'!$AD$2:$AD$2501,"OFF"),2)=0,"","STALE")))</f>
        <v/>
      </c>
      <c r="BB3139" s="2" t="str">
        <f>IF(OR(""&amp;$F3139="2",""&amp;$F3139="4",""&amp;$F3139="G",""&amp;$F3139="H"),IF($AY3139="YES","",IF($AB3139&lt;&gt;0,"",IF(COUNTIFS('AR SALES'!$L$2:$L$2501,$L3139,'AR SALES'!$AD$2:$AD$2501,IF(""&amp;$F3139="4","OFF","ON"),'AR SALES'!$AF$2:$AF$2501,"Y")&gt;0,"","NO EXEMPTION"))),"")</f>
        <v/>
      </c>
    </row>
    <row r="3140" spans="46:54" x14ac:dyDescent="0.25">
      <c r="AT3140" s="2" t="str">
        <f>IF($L3140="","",IFERROR(INDEX('AR SALES'!$H$2:$H$2501,MATCH(""&amp;$L3140,'AR SALES'!$AE$2:$AE$2501,0)),""))</f>
        <v/>
      </c>
      <c r="AU3140" s="2" t="str">
        <f t="shared" si="196"/>
        <v/>
      </c>
      <c r="AV3140" s="2" t="str">
        <f t="shared" si="197"/>
        <v/>
      </c>
      <c r="AW3140" s="2" t="str">
        <f t="shared" si="198"/>
        <v/>
      </c>
      <c r="AX3140" s="2" t="str">
        <f t="shared" si="199"/>
        <v/>
      </c>
      <c r="AY3140" s="2" t="str">
        <f>IF($AV3140="","",IF(AND($Z3140=0,COUNTIF('AR SALES'!$L$2:$L$2501,$L3140)=0),"YES",""))</f>
        <v/>
      </c>
      <c r="AZ3140" s="2" t="str">
        <f>IF($AV3140="","",IF(COUNTIF(LISTS!$C$2:$C$250,$AU3140)=0,"NEW",""))</f>
        <v/>
      </c>
      <c r="BA3140" s="2" t="str">
        <f>IF(""&amp;$F3140&lt;&gt;"4","",IF($AY3140="YES","",IF(ROUND(SUMIFS($AE$2:$AE$4001,$L$2:$L$4001,$L3140,$F$2:$F$4001,"4")-SUMIFS('AR SALES'!$Y$2:$Y$2501,'AR SALES'!$L$2:$L$2501,$L3140,'AR SALES'!$AD$2:$AD$2501,"OFF"),2)=0,"","STALE")))</f>
        <v/>
      </c>
      <c r="BB3140" s="2" t="str">
        <f>IF(OR(""&amp;$F3140="2",""&amp;$F3140="4",""&amp;$F3140="G",""&amp;$F3140="H"),IF($AY3140="YES","",IF($AB3140&lt;&gt;0,"",IF(COUNTIFS('AR SALES'!$L$2:$L$2501,$L3140,'AR SALES'!$AD$2:$AD$2501,IF(""&amp;$F3140="4","OFF","ON"),'AR SALES'!$AF$2:$AF$2501,"Y")&gt;0,"","NO EXEMPTION"))),"")</f>
        <v/>
      </c>
    </row>
    <row r="3141" spans="46:54" x14ac:dyDescent="0.25">
      <c r="AT3141" s="2" t="str">
        <f>IF($L3141="","",IFERROR(INDEX('AR SALES'!$H$2:$H$2501,MATCH(""&amp;$L3141,'AR SALES'!$AE$2:$AE$2501,0)),""))</f>
        <v/>
      </c>
      <c r="AU3141" s="2" t="str">
        <f t="shared" si="196"/>
        <v/>
      </c>
      <c r="AV3141" s="2" t="str">
        <f t="shared" si="197"/>
        <v/>
      </c>
      <c r="AW3141" s="2" t="str">
        <f t="shared" si="198"/>
        <v/>
      </c>
      <c r="AX3141" s="2" t="str">
        <f t="shared" si="199"/>
        <v/>
      </c>
      <c r="AY3141" s="2" t="str">
        <f>IF($AV3141="","",IF(AND($Z3141=0,COUNTIF('AR SALES'!$L$2:$L$2501,$L3141)=0),"YES",""))</f>
        <v/>
      </c>
      <c r="AZ3141" s="2" t="str">
        <f>IF($AV3141="","",IF(COUNTIF(LISTS!$C$2:$C$250,$AU3141)=0,"NEW",""))</f>
        <v/>
      </c>
      <c r="BA3141" s="2" t="str">
        <f>IF(""&amp;$F3141&lt;&gt;"4","",IF($AY3141="YES","",IF(ROUND(SUMIFS($AE$2:$AE$4001,$L$2:$L$4001,$L3141,$F$2:$F$4001,"4")-SUMIFS('AR SALES'!$Y$2:$Y$2501,'AR SALES'!$L$2:$L$2501,$L3141,'AR SALES'!$AD$2:$AD$2501,"OFF"),2)=0,"","STALE")))</f>
        <v/>
      </c>
      <c r="BB3141" s="2" t="str">
        <f>IF(OR(""&amp;$F3141="2",""&amp;$F3141="4",""&amp;$F3141="G",""&amp;$F3141="H"),IF($AY3141="YES","",IF($AB3141&lt;&gt;0,"",IF(COUNTIFS('AR SALES'!$L$2:$L$2501,$L3141,'AR SALES'!$AD$2:$AD$2501,IF(""&amp;$F3141="4","OFF","ON"),'AR SALES'!$AF$2:$AF$2501,"Y")&gt;0,"","NO EXEMPTION"))),"")</f>
        <v/>
      </c>
    </row>
    <row r="3142" spans="46:54" x14ac:dyDescent="0.25">
      <c r="AT3142" s="2" t="str">
        <f>IF($L3142="","",IFERROR(INDEX('AR SALES'!$H$2:$H$2501,MATCH(""&amp;$L3142,'AR SALES'!$AE$2:$AE$2501,0)),""))</f>
        <v/>
      </c>
      <c r="AU3142" s="2" t="str">
        <f t="shared" si="196"/>
        <v/>
      </c>
      <c r="AV3142" s="2" t="str">
        <f t="shared" si="197"/>
        <v/>
      </c>
      <c r="AW3142" s="2" t="str">
        <f t="shared" si="198"/>
        <v/>
      </c>
      <c r="AX3142" s="2" t="str">
        <f t="shared" si="199"/>
        <v/>
      </c>
      <c r="AY3142" s="2" t="str">
        <f>IF($AV3142="","",IF(AND($Z3142=0,COUNTIF('AR SALES'!$L$2:$L$2501,$L3142)=0),"YES",""))</f>
        <v/>
      </c>
      <c r="AZ3142" s="2" t="str">
        <f>IF($AV3142="","",IF(COUNTIF(LISTS!$C$2:$C$250,$AU3142)=0,"NEW",""))</f>
        <v/>
      </c>
      <c r="BA3142" s="2" t="str">
        <f>IF(""&amp;$F3142&lt;&gt;"4","",IF($AY3142="YES","",IF(ROUND(SUMIFS($AE$2:$AE$4001,$L$2:$L$4001,$L3142,$F$2:$F$4001,"4")-SUMIFS('AR SALES'!$Y$2:$Y$2501,'AR SALES'!$L$2:$L$2501,$L3142,'AR SALES'!$AD$2:$AD$2501,"OFF"),2)=0,"","STALE")))</f>
        <v/>
      </c>
      <c r="BB3142" s="2" t="str">
        <f>IF(OR(""&amp;$F3142="2",""&amp;$F3142="4",""&amp;$F3142="G",""&amp;$F3142="H"),IF($AY3142="YES","",IF($AB3142&lt;&gt;0,"",IF(COUNTIFS('AR SALES'!$L$2:$L$2501,$L3142,'AR SALES'!$AD$2:$AD$2501,IF(""&amp;$F3142="4","OFF","ON"),'AR SALES'!$AF$2:$AF$2501,"Y")&gt;0,"","NO EXEMPTION"))),"")</f>
        <v/>
      </c>
    </row>
    <row r="3143" spans="46:54" x14ac:dyDescent="0.25">
      <c r="AT3143" s="2" t="str">
        <f>IF($L3143="","",IFERROR(INDEX('AR SALES'!$H$2:$H$2501,MATCH(""&amp;$L3143,'AR SALES'!$AE$2:$AE$2501,0)),""))</f>
        <v/>
      </c>
      <c r="AU3143" s="2" t="str">
        <f t="shared" si="196"/>
        <v/>
      </c>
      <c r="AV3143" s="2" t="str">
        <f t="shared" si="197"/>
        <v/>
      </c>
      <c r="AW3143" s="2" t="str">
        <f t="shared" si="198"/>
        <v/>
      </c>
      <c r="AX3143" s="2" t="str">
        <f t="shared" si="199"/>
        <v/>
      </c>
      <c r="AY3143" s="2" t="str">
        <f>IF($AV3143="","",IF(AND($Z3143=0,COUNTIF('AR SALES'!$L$2:$L$2501,$L3143)=0),"YES",""))</f>
        <v/>
      </c>
      <c r="AZ3143" s="2" t="str">
        <f>IF($AV3143="","",IF(COUNTIF(LISTS!$C$2:$C$250,$AU3143)=0,"NEW",""))</f>
        <v/>
      </c>
      <c r="BA3143" s="2" t="str">
        <f>IF(""&amp;$F3143&lt;&gt;"4","",IF($AY3143="YES","",IF(ROUND(SUMIFS($AE$2:$AE$4001,$L$2:$L$4001,$L3143,$F$2:$F$4001,"4")-SUMIFS('AR SALES'!$Y$2:$Y$2501,'AR SALES'!$L$2:$L$2501,$L3143,'AR SALES'!$AD$2:$AD$2501,"OFF"),2)=0,"","STALE")))</f>
        <v/>
      </c>
      <c r="BB3143" s="2" t="str">
        <f>IF(OR(""&amp;$F3143="2",""&amp;$F3143="4",""&amp;$F3143="G",""&amp;$F3143="H"),IF($AY3143="YES","",IF($AB3143&lt;&gt;0,"",IF(COUNTIFS('AR SALES'!$L$2:$L$2501,$L3143,'AR SALES'!$AD$2:$AD$2501,IF(""&amp;$F3143="4","OFF","ON"),'AR SALES'!$AF$2:$AF$2501,"Y")&gt;0,"","NO EXEMPTION"))),"")</f>
        <v/>
      </c>
    </row>
    <row r="3144" spans="46:54" x14ac:dyDescent="0.25">
      <c r="AT3144" s="2" t="str">
        <f>IF($L3144="","",IFERROR(INDEX('AR SALES'!$H$2:$H$2501,MATCH(""&amp;$L3144,'AR SALES'!$AE$2:$AE$2501,0)),""))</f>
        <v/>
      </c>
      <c r="AU3144" s="2" t="str">
        <f t="shared" si="196"/>
        <v/>
      </c>
      <c r="AV3144" s="2" t="str">
        <f t="shared" si="197"/>
        <v/>
      </c>
      <c r="AW3144" s="2" t="str">
        <f t="shared" si="198"/>
        <v/>
      </c>
      <c r="AX3144" s="2" t="str">
        <f t="shared" si="199"/>
        <v/>
      </c>
      <c r="AY3144" s="2" t="str">
        <f>IF($AV3144="","",IF(AND($Z3144=0,COUNTIF('AR SALES'!$L$2:$L$2501,$L3144)=0),"YES",""))</f>
        <v/>
      </c>
      <c r="AZ3144" s="2" t="str">
        <f>IF($AV3144="","",IF(COUNTIF(LISTS!$C$2:$C$250,$AU3144)=0,"NEW",""))</f>
        <v/>
      </c>
      <c r="BA3144" s="2" t="str">
        <f>IF(""&amp;$F3144&lt;&gt;"4","",IF($AY3144="YES","",IF(ROUND(SUMIFS($AE$2:$AE$4001,$L$2:$L$4001,$L3144,$F$2:$F$4001,"4")-SUMIFS('AR SALES'!$Y$2:$Y$2501,'AR SALES'!$L$2:$L$2501,$L3144,'AR SALES'!$AD$2:$AD$2501,"OFF"),2)=0,"","STALE")))</f>
        <v/>
      </c>
      <c r="BB3144" s="2" t="str">
        <f>IF(OR(""&amp;$F3144="2",""&amp;$F3144="4",""&amp;$F3144="G",""&amp;$F3144="H"),IF($AY3144="YES","",IF($AB3144&lt;&gt;0,"",IF(COUNTIFS('AR SALES'!$L$2:$L$2501,$L3144,'AR SALES'!$AD$2:$AD$2501,IF(""&amp;$F3144="4","OFF","ON"),'AR SALES'!$AF$2:$AF$2501,"Y")&gt;0,"","NO EXEMPTION"))),"")</f>
        <v/>
      </c>
    </row>
    <row r="3145" spans="46:54" x14ac:dyDescent="0.25">
      <c r="AT3145" s="2" t="str">
        <f>IF($L3145="","",IFERROR(INDEX('AR SALES'!$H$2:$H$2501,MATCH(""&amp;$L3145,'AR SALES'!$AE$2:$AE$2501,0)),""))</f>
        <v/>
      </c>
      <c r="AU3145" s="2" t="str">
        <f t="shared" si="196"/>
        <v/>
      </c>
      <c r="AV3145" s="2" t="str">
        <f t="shared" si="197"/>
        <v/>
      </c>
      <c r="AW3145" s="2" t="str">
        <f t="shared" si="198"/>
        <v/>
      </c>
      <c r="AX3145" s="2" t="str">
        <f t="shared" si="199"/>
        <v/>
      </c>
      <c r="AY3145" s="2" t="str">
        <f>IF($AV3145="","",IF(AND($Z3145=0,COUNTIF('AR SALES'!$L$2:$L$2501,$L3145)=0),"YES",""))</f>
        <v/>
      </c>
      <c r="AZ3145" s="2" t="str">
        <f>IF($AV3145="","",IF(COUNTIF(LISTS!$C$2:$C$250,$AU3145)=0,"NEW",""))</f>
        <v/>
      </c>
      <c r="BA3145" s="2" t="str">
        <f>IF(""&amp;$F3145&lt;&gt;"4","",IF($AY3145="YES","",IF(ROUND(SUMIFS($AE$2:$AE$4001,$L$2:$L$4001,$L3145,$F$2:$F$4001,"4")-SUMIFS('AR SALES'!$Y$2:$Y$2501,'AR SALES'!$L$2:$L$2501,$L3145,'AR SALES'!$AD$2:$AD$2501,"OFF"),2)=0,"","STALE")))</f>
        <v/>
      </c>
      <c r="BB3145" s="2" t="str">
        <f>IF(OR(""&amp;$F3145="2",""&amp;$F3145="4",""&amp;$F3145="G",""&amp;$F3145="H"),IF($AY3145="YES","",IF($AB3145&lt;&gt;0,"",IF(COUNTIFS('AR SALES'!$L$2:$L$2501,$L3145,'AR SALES'!$AD$2:$AD$2501,IF(""&amp;$F3145="4","OFF","ON"),'AR SALES'!$AF$2:$AF$2501,"Y")&gt;0,"","NO EXEMPTION"))),"")</f>
        <v/>
      </c>
    </row>
    <row r="3146" spans="46:54" x14ac:dyDescent="0.25">
      <c r="AT3146" s="2" t="str">
        <f>IF($L3146="","",IFERROR(INDEX('AR SALES'!$H$2:$H$2501,MATCH(""&amp;$L3146,'AR SALES'!$AE$2:$AE$2501,0)),""))</f>
        <v/>
      </c>
      <c r="AU3146" s="2" t="str">
        <f t="shared" si="196"/>
        <v/>
      </c>
      <c r="AV3146" s="2" t="str">
        <f t="shared" si="197"/>
        <v/>
      </c>
      <c r="AW3146" s="2" t="str">
        <f t="shared" si="198"/>
        <v/>
      </c>
      <c r="AX3146" s="2" t="str">
        <f t="shared" si="199"/>
        <v/>
      </c>
      <c r="AY3146" s="2" t="str">
        <f>IF($AV3146="","",IF(AND($Z3146=0,COUNTIF('AR SALES'!$L$2:$L$2501,$L3146)=0),"YES",""))</f>
        <v/>
      </c>
      <c r="AZ3146" s="2" t="str">
        <f>IF($AV3146="","",IF(COUNTIF(LISTS!$C$2:$C$250,$AU3146)=0,"NEW",""))</f>
        <v/>
      </c>
      <c r="BA3146" s="2" t="str">
        <f>IF(""&amp;$F3146&lt;&gt;"4","",IF($AY3146="YES","",IF(ROUND(SUMIFS($AE$2:$AE$4001,$L$2:$L$4001,$L3146,$F$2:$F$4001,"4")-SUMIFS('AR SALES'!$Y$2:$Y$2501,'AR SALES'!$L$2:$L$2501,$L3146,'AR SALES'!$AD$2:$AD$2501,"OFF"),2)=0,"","STALE")))</f>
        <v/>
      </c>
      <c r="BB3146" s="2" t="str">
        <f>IF(OR(""&amp;$F3146="2",""&amp;$F3146="4",""&amp;$F3146="G",""&amp;$F3146="H"),IF($AY3146="YES","",IF($AB3146&lt;&gt;0,"",IF(COUNTIFS('AR SALES'!$L$2:$L$2501,$L3146,'AR SALES'!$AD$2:$AD$2501,IF(""&amp;$F3146="4","OFF","ON"),'AR SALES'!$AF$2:$AF$2501,"Y")&gt;0,"","NO EXEMPTION"))),"")</f>
        <v/>
      </c>
    </row>
    <row r="3147" spans="46:54" x14ac:dyDescent="0.25">
      <c r="AT3147" s="2" t="str">
        <f>IF($L3147="","",IFERROR(INDEX('AR SALES'!$H$2:$H$2501,MATCH(""&amp;$L3147,'AR SALES'!$AE$2:$AE$2501,0)),""))</f>
        <v/>
      </c>
      <c r="AU3147" s="2" t="str">
        <f t="shared" si="196"/>
        <v/>
      </c>
      <c r="AV3147" s="2" t="str">
        <f t="shared" si="197"/>
        <v/>
      </c>
      <c r="AW3147" s="2" t="str">
        <f t="shared" si="198"/>
        <v/>
      </c>
      <c r="AX3147" s="2" t="str">
        <f t="shared" si="199"/>
        <v/>
      </c>
      <c r="AY3147" s="2" t="str">
        <f>IF($AV3147="","",IF(AND($Z3147=0,COUNTIF('AR SALES'!$L$2:$L$2501,$L3147)=0),"YES",""))</f>
        <v/>
      </c>
      <c r="AZ3147" s="2" t="str">
        <f>IF($AV3147="","",IF(COUNTIF(LISTS!$C$2:$C$250,$AU3147)=0,"NEW",""))</f>
        <v/>
      </c>
      <c r="BA3147" s="2" t="str">
        <f>IF(""&amp;$F3147&lt;&gt;"4","",IF($AY3147="YES","",IF(ROUND(SUMIFS($AE$2:$AE$4001,$L$2:$L$4001,$L3147,$F$2:$F$4001,"4")-SUMIFS('AR SALES'!$Y$2:$Y$2501,'AR SALES'!$L$2:$L$2501,$L3147,'AR SALES'!$AD$2:$AD$2501,"OFF"),2)=0,"","STALE")))</f>
        <v/>
      </c>
      <c r="BB3147" s="2" t="str">
        <f>IF(OR(""&amp;$F3147="2",""&amp;$F3147="4",""&amp;$F3147="G",""&amp;$F3147="H"),IF($AY3147="YES","",IF($AB3147&lt;&gt;0,"",IF(COUNTIFS('AR SALES'!$L$2:$L$2501,$L3147,'AR SALES'!$AD$2:$AD$2501,IF(""&amp;$F3147="4","OFF","ON"),'AR SALES'!$AF$2:$AF$2501,"Y")&gt;0,"","NO EXEMPTION"))),"")</f>
        <v/>
      </c>
    </row>
    <row r="3148" spans="46:54" x14ac:dyDescent="0.25">
      <c r="AT3148" s="2" t="str">
        <f>IF($L3148="","",IFERROR(INDEX('AR SALES'!$H$2:$H$2501,MATCH(""&amp;$L3148,'AR SALES'!$AE$2:$AE$2501,0)),""))</f>
        <v/>
      </c>
      <c r="AU3148" s="2" t="str">
        <f t="shared" si="196"/>
        <v/>
      </c>
      <c r="AV3148" s="2" t="str">
        <f t="shared" si="197"/>
        <v/>
      </c>
      <c r="AW3148" s="2" t="str">
        <f t="shared" si="198"/>
        <v/>
      </c>
      <c r="AX3148" s="2" t="str">
        <f t="shared" si="199"/>
        <v/>
      </c>
      <c r="AY3148" s="2" t="str">
        <f>IF($AV3148="","",IF(AND($Z3148=0,COUNTIF('AR SALES'!$L$2:$L$2501,$L3148)=0),"YES",""))</f>
        <v/>
      </c>
      <c r="AZ3148" s="2" t="str">
        <f>IF($AV3148="","",IF(COUNTIF(LISTS!$C$2:$C$250,$AU3148)=0,"NEW",""))</f>
        <v/>
      </c>
      <c r="BA3148" s="2" t="str">
        <f>IF(""&amp;$F3148&lt;&gt;"4","",IF($AY3148="YES","",IF(ROUND(SUMIFS($AE$2:$AE$4001,$L$2:$L$4001,$L3148,$F$2:$F$4001,"4")-SUMIFS('AR SALES'!$Y$2:$Y$2501,'AR SALES'!$L$2:$L$2501,$L3148,'AR SALES'!$AD$2:$AD$2501,"OFF"),2)=0,"","STALE")))</f>
        <v/>
      </c>
      <c r="BB3148" s="2" t="str">
        <f>IF(OR(""&amp;$F3148="2",""&amp;$F3148="4",""&amp;$F3148="G",""&amp;$F3148="H"),IF($AY3148="YES","",IF($AB3148&lt;&gt;0,"",IF(COUNTIFS('AR SALES'!$L$2:$L$2501,$L3148,'AR SALES'!$AD$2:$AD$2501,IF(""&amp;$F3148="4","OFF","ON"),'AR SALES'!$AF$2:$AF$2501,"Y")&gt;0,"","NO EXEMPTION"))),"")</f>
        <v/>
      </c>
    </row>
    <row r="3149" spans="46:54" x14ac:dyDescent="0.25">
      <c r="AT3149" s="2" t="str">
        <f>IF($L3149="","",IFERROR(INDEX('AR SALES'!$H$2:$H$2501,MATCH(""&amp;$L3149,'AR SALES'!$AE$2:$AE$2501,0)),""))</f>
        <v/>
      </c>
      <c r="AU3149" s="2" t="str">
        <f t="shared" si="196"/>
        <v/>
      </c>
      <c r="AV3149" s="2" t="str">
        <f t="shared" si="197"/>
        <v/>
      </c>
      <c r="AW3149" s="2" t="str">
        <f t="shared" si="198"/>
        <v/>
      </c>
      <c r="AX3149" s="2" t="str">
        <f t="shared" si="199"/>
        <v/>
      </c>
      <c r="AY3149" s="2" t="str">
        <f>IF($AV3149="","",IF(AND($Z3149=0,COUNTIF('AR SALES'!$L$2:$L$2501,$L3149)=0),"YES",""))</f>
        <v/>
      </c>
      <c r="AZ3149" s="2" t="str">
        <f>IF($AV3149="","",IF(COUNTIF(LISTS!$C$2:$C$250,$AU3149)=0,"NEW",""))</f>
        <v/>
      </c>
      <c r="BA3149" s="2" t="str">
        <f>IF(""&amp;$F3149&lt;&gt;"4","",IF($AY3149="YES","",IF(ROUND(SUMIFS($AE$2:$AE$4001,$L$2:$L$4001,$L3149,$F$2:$F$4001,"4")-SUMIFS('AR SALES'!$Y$2:$Y$2501,'AR SALES'!$L$2:$L$2501,$L3149,'AR SALES'!$AD$2:$AD$2501,"OFF"),2)=0,"","STALE")))</f>
        <v/>
      </c>
      <c r="BB3149" s="2" t="str">
        <f>IF(OR(""&amp;$F3149="2",""&amp;$F3149="4",""&amp;$F3149="G",""&amp;$F3149="H"),IF($AY3149="YES","",IF($AB3149&lt;&gt;0,"",IF(COUNTIFS('AR SALES'!$L$2:$L$2501,$L3149,'AR SALES'!$AD$2:$AD$2501,IF(""&amp;$F3149="4","OFF","ON"),'AR SALES'!$AF$2:$AF$2501,"Y")&gt;0,"","NO EXEMPTION"))),"")</f>
        <v/>
      </c>
    </row>
    <row r="3150" spans="46:54" x14ac:dyDescent="0.25">
      <c r="AT3150" s="2" t="str">
        <f>IF($L3150="","",IFERROR(INDEX('AR SALES'!$H$2:$H$2501,MATCH(""&amp;$L3150,'AR SALES'!$AE$2:$AE$2501,0)),""))</f>
        <v/>
      </c>
      <c r="AU3150" s="2" t="str">
        <f t="shared" si="196"/>
        <v/>
      </c>
      <c r="AV3150" s="2" t="str">
        <f t="shared" si="197"/>
        <v/>
      </c>
      <c r="AW3150" s="2" t="str">
        <f t="shared" si="198"/>
        <v/>
      </c>
      <c r="AX3150" s="2" t="str">
        <f t="shared" si="199"/>
        <v/>
      </c>
      <c r="AY3150" s="2" t="str">
        <f>IF($AV3150="","",IF(AND($Z3150=0,COUNTIF('AR SALES'!$L$2:$L$2501,$L3150)=0),"YES",""))</f>
        <v/>
      </c>
      <c r="AZ3150" s="2" t="str">
        <f>IF($AV3150="","",IF(COUNTIF(LISTS!$C$2:$C$250,$AU3150)=0,"NEW",""))</f>
        <v/>
      </c>
      <c r="BA3150" s="2" t="str">
        <f>IF(""&amp;$F3150&lt;&gt;"4","",IF($AY3150="YES","",IF(ROUND(SUMIFS($AE$2:$AE$4001,$L$2:$L$4001,$L3150,$F$2:$F$4001,"4")-SUMIFS('AR SALES'!$Y$2:$Y$2501,'AR SALES'!$L$2:$L$2501,$L3150,'AR SALES'!$AD$2:$AD$2501,"OFF"),2)=0,"","STALE")))</f>
        <v/>
      </c>
      <c r="BB3150" s="2" t="str">
        <f>IF(OR(""&amp;$F3150="2",""&amp;$F3150="4",""&amp;$F3150="G",""&amp;$F3150="H"),IF($AY3150="YES","",IF($AB3150&lt;&gt;0,"",IF(COUNTIFS('AR SALES'!$L$2:$L$2501,$L3150,'AR SALES'!$AD$2:$AD$2501,IF(""&amp;$F3150="4","OFF","ON"),'AR SALES'!$AF$2:$AF$2501,"Y")&gt;0,"","NO EXEMPTION"))),"")</f>
        <v/>
      </c>
    </row>
    <row r="3151" spans="46:54" x14ac:dyDescent="0.25">
      <c r="AT3151" s="2" t="str">
        <f>IF($L3151="","",IFERROR(INDEX('AR SALES'!$H$2:$H$2501,MATCH(""&amp;$L3151,'AR SALES'!$AE$2:$AE$2501,0)),""))</f>
        <v/>
      </c>
      <c r="AU3151" s="2" t="str">
        <f t="shared" si="196"/>
        <v/>
      </c>
      <c r="AV3151" s="2" t="str">
        <f t="shared" si="197"/>
        <v/>
      </c>
      <c r="AW3151" s="2" t="str">
        <f t="shared" si="198"/>
        <v/>
      </c>
      <c r="AX3151" s="2" t="str">
        <f t="shared" si="199"/>
        <v/>
      </c>
      <c r="AY3151" s="2" t="str">
        <f>IF($AV3151="","",IF(AND($Z3151=0,COUNTIF('AR SALES'!$L$2:$L$2501,$L3151)=0),"YES",""))</f>
        <v/>
      </c>
      <c r="AZ3151" s="2" t="str">
        <f>IF($AV3151="","",IF(COUNTIF(LISTS!$C$2:$C$250,$AU3151)=0,"NEW",""))</f>
        <v/>
      </c>
      <c r="BA3151" s="2" t="str">
        <f>IF(""&amp;$F3151&lt;&gt;"4","",IF($AY3151="YES","",IF(ROUND(SUMIFS($AE$2:$AE$4001,$L$2:$L$4001,$L3151,$F$2:$F$4001,"4")-SUMIFS('AR SALES'!$Y$2:$Y$2501,'AR SALES'!$L$2:$L$2501,$L3151,'AR SALES'!$AD$2:$AD$2501,"OFF"),2)=0,"","STALE")))</f>
        <v/>
      </c>
      <c r="BB3151" s="2" t="str">
        <f>IF(OR(""&amp;$F3151="2",""&amp;$F3151="4",""&amp;$F3151="G",""&amp;$F3151="H"),IF($AY3151="YES","",IF($AB3151&lt;&gt;0,"",IF(COUNTIFS('AR SALES'!$L$2:$L$2501,$L3151,'AR SALES'!$AD$2:$AD$2501,IF(""&amp;$F3151="4","OFF","ON"),'AR SALES'!$AF$2:$AF$2501,"Y")&gt;0,"","NO EXEMPTION"))),"")</f>
        <v/>
      </c>
    </row>
    <row r="3152" spans="46:54" x14ac:dyDescent="0.25">
      <c r="AT3152" s="2" t="str">
        <f>IF($L3152="","",IFERROR(INDEX('AR SALES'!$H$2:$H$2501,MATCH(""&amp;$L3152,'AR SALES'!$AE$2:$AE$2501,0)),""))</f>
        <v/>
      </c>
      <c r="AU3152" s="2" t="str">
        <f t="shared" si="196"/>
        <v/>
      </c>
      <c r="AV3152" s="2" t="str">
        <f t="shared" si="197"/>
        <v/>
      </c>
      <c r="AW3152" s="2" t="str">
        <f t="shared" si="198"/>
        <v/>
      </c>
      <c r="AX3152" s="2" t="str">
        <f t="shared" si="199"/>
        <v/>
      </c>
      <c r="AY3152" s="2" t="str">
        <f>IF($AV3152="","",IF(AND($Z3152=0,COUNTIF('AR SALES'!$L$2:$L$2501,$L3152)=0),"YES",""))</f>
        <v/>
      </c>
      <c r="AZ3152" s="2" t="str">
        <f>IF($AV3152="","",IF(COUNTIF(LISTS!$C$2:$C$250,$AU3152)=0,"NEW",""))</f>
        <v/>
      </c>
      <c r="BA3152" s="2" t="str">
        <f>IF(""&amp;$F3152&lt;&gt;"4","",IF($AY3152="YES","",IF(ROUND(SUMIFS($AE$2:$AE$4001,$L$2:$L$4001,$L3152,$F$2:$F$4001,"4")-SUMIFS('AR SALES'!$Y$2:$Y$2501,'AR SALES'!$L$2:$L$2501,$L3152,'AR SALES'!$AD$2:$AD$2501,"OFF"),2)=0,"","STALE")))</f>
        <v/>
      </c>
      <c r="BB3152" s="2" t="str">
        <f>IF(OR(""&amp;$F3152="2",""&amp;$F3152="4",""&amp;$F3152="G",""&amp;$F3152="H"),IF($AY3152="YES","",IF($AB3152&lt;&gt;0,"",IF(COUNTIFS('AR SALES'!$L$2:$L$2501,$L3152,'AR SALES'!$AD$2:$AD$2501,IF(""&amp;$F3152="4","OFF","ON"),'AR SALES'!$AF$2:$AF$2501,"Y")&gt;0,"","NO EXEMPTION"))),"")</f>
        <v/>
      </c>
    </row>
    <row r="3153" spans="46:54" x14ac:dyDescent="0.25">
      <c r="AT3153" s="2" t="str">
        <f>IF($L3153="","",IFERROR(INDEX('AR SALES'!$H$2:$H$2501,MATCH(""&amp;$L3153,'AR SALES'!$AE$2:$AE$2501,0)),""))</f>
        <v/>
      </c>
      <c r="AU3153" s="2" t="str">
        <f t="shared" si="196"/>
        <v/>
      </c>
      <c r="AV3153" s="2" t="str">
        <f t="shared" si="197"/>
        <v/>
      </c>
      <c r="AW3153" s="2" t="str">
        <f t="shared" si="198"/>
        <v/>
      </c>
      <c r="AX3153" s="2" t="str">
        <f t="shared" si="199"/>
        <v/>
      </c>
      <c r="AY3153" s="2" t="str">
        <f>IF($AV3153="","",IF(AND($Z3153=0,COUNTIF('AR SALES'!$L$2:$L$2501,$L3153)=0),"YES",""))</f>
        <v/>
      </c>
      <c r="AZ3153" s="2" t="str">
        <f>IF($AV3153="","",IF(COUNTIF(LISTS!$C$2:$C$250,$AU3153)=0,"NEW",""))</f>
        <v/>
      </c>
      <c r="BA3153" s="2" t="str">
        <f>IF(""&amp;$F3153&lt;&gt;"4","",IF($AY3153="YES","",IF(ROUND(SUMIFS($AE$2:$AE$4001,$L$2:$L$4001,$L3153,$F$2:$F$4001,"4")-SUMIFS('AR SALES'!$Y$2:$Y$2501,'AR SALES'!$L$2:$L$2501,$L3153,'AR SALES'!$AD$2:$AD$2501,"OFF"),2)=0,"","STALE")))</f>
        <v/>
      </c>
      <c r="BB3153" s="2" t="str">
        <f>IF(OR(""&amp;$F3153="2",""&amp;$F3153="4",""&amp;$F3153="G",""&amp;$F3153="H"),IF($AY3153="YES","",IF($AB3153&lt;&gt;0,"",IF(COUNTIFS('AR SALES'!$L$2:$L$2501,$L3153,'AR SALES'!$AD$2:$AD$2501,IF(""&amp;$F3153="4","OFF","ON"),'AR SALES'!$AF$2:$AF$2501,"Y")&gt;0,"","NO EXEMPTION"))),"")</f>
        <v/>
      </c>
    </row>
    <row r="3154" spans="46:54" x14ac:dyDescent="0.25">
      <c r="AT3154" s="2" t="str">
        <f>IF($L3154="","",IFERROR(INDEX('AR SALES'!$H$2:$H$2501,MATCH(""&amp;$L3154,'AR SALES'!$AE$2:$AE$2501,0)),""))</f>
        <v/>
      </c>
      <c r="AU3154" s="2" t="str">
        <f t="shared" si="196"/>
        <v/>
      </c>
      <c r="AV3154" s="2" t="str">
        <f t="shared" si="197"/>
        <v/>
      </c>
      <c r="AW3154" s="2" t="str">
        <f t="shared" si="198"/>
        <v/>
      </c>
      <c r="AX3154" s="2" t="str">
        <f t="shared" si="199"/>
        <v/>
      </c>
      <c r="AY3154" s="2" t="str">
        <f>IF($AV3154="","",IF(AND($Z3154=0,COUNTIF('AR SALES'!$L$2:$L$2501,$L3154)=0),"YES",""))</f>
        <v/>
      </c>
      <c r="AZ3154" s="2" t="str">
        <f>IF($AV3154="","",IF(COUNTIF(LISTS!$C$2:$C$250,$AU3154)=0,"NEW",""))</f>
        <v/>
      </c>
      <c r="BA3154" s="2" t="str">
        <f>IF(""&amp;$F3154&lt;&gt;"4","",IF($AY3154="YES","",IF(ROUND(SUMIFS($AE$2:$AE$4001,$L$2:$L$4001,$L3154,$F$2:$F$4001,"4")-SUMIFS('AR SALES'!$Y$2:$Y$2501,'AR SALES'!$L$2:$L$2501,$L3154,'AR SALES'!$AD$2:$AD$2501,"OFF"),2)=0,"","STALE")))</f>
        <v/>
      </c>
      <c r="BB3154" s="2" t="str">
        <f>IF(OR(""&amp;$F3154="2",""&amp;$F3154="4",""&amp;$F3154="G",""&amp;$F3154="H"),IF($AY3154="YES","",IF($AB3154&lt;&gt;0,"",IF(COUNTIFS('AR SALES'!$L$2:$L$2501,$L3154,'AR SALES'!$AD$2:$AD$2501,IF(""&amp;$F3154="4","OFF","ON"),'AR SALES'!$AF$2:$AF$2501,"Y")&gt;0,"","NO EXEMPTION"))),"")</f>
        <v/>
      </c>
    </row>
    <row r="3155" spans="46:54" x14ac:dyDescent="0.25">
      <c r="AT3155" s="2" t="str">
        <f>IF($L3155="","",IFERROR(INDEX('AR SALES'!$H$2:$H$2501,MATCH(""&amp;$L3155,'AR SALES'!$AE$2:$AE$2501,0)),""))</f>
        <v/>
      </c>
      <c r="AU3155" s="2" t="str">
        <f t="shared" si="196"/>
        <v/>
      </c>
      <c r="AV3155" s="2" t="str">
        <f t="shared" si="197"/>
        <v/>
      </c>
      <c r="AW3155" s="2" t="str">
        <f t="shared" si="198"/>
        <v/>
      </c>
      <c r="AX3155" s="2" t="str">
        <f t="shared" si="199"/>
        <v/>
      </c>
      <c r="AY3155" s="2" t="str">
        <f>IF($AV3155="","",IF(AND($Z3155=0,COUNTIF('AR SALES'!$L$2:$L$2501,$L3155)=0),"YES",""))</f>
        <v/>
      </c>
      <c r="AZ3155" s="2" t="str">
        <f>IF($AV3155="","",IF(COUNTIF(LISTS!$C$2:$C$250,$AU3155)=0,"NEW",""))</f>
        <v/>
      </c>
      <c r="BA3155" s="2" t="str">
        <f>IF(""&amp;$F3155&lt;&gt;"4","",IF($AY3155="YES","",IF(ROUND(SUMIFS($AE$2:$AE$4001,$L$2:$L$4001,$L3155,$F$2:$F$4001,"4")-SUMIFS('AR SALES'!$Y$2:$Y$2501,'AR SALES'!$L$2:$L$2501,$L3155,'AR SALES'!$AD$2:$AD$2501,"OFF"),2)=0,"","STALE")))</f>
        <v/>
      </c>
      <c r="BB3155" s="2" t="str">
        <f>IF(OR(""&amp;$F3155="2",""&amp;$F3155="4",""&amp;$F3155="G",""&amp;$F3155="H"),IF($AY3155="YES","",IF($AB3155&lt;&gt;0,"",IF(COUNTIFS('AR SALES'!$L$2:$L$2501,$L3155,'AR SALES'!$AD$2:$AD$2501,IF(""&amp;$F3155="4","OFF","ON"),'AR SALES'!$AF$2:$AF$2501,"Y")&gt;0,"","NO EXEMPTION"))),"")</f>
        <v/>
      </c>
    </row>
    <row r="3156" spans="46:54" x14ac:dyDescent="0.25">
      <c r="AT3156" s="2" t="str">
        <f>IF($L3156="","",IFERROR(INDEX('AR SALES'!$H$2:$H$2501,MATCH(""&amp;$L3156,'AR SALES'!$AE$2:$AE$2501,0)),""))</f>
        <v/>
      </c>
      <c r="AU3156" s="2" t="str">
        <f t="shared" si="196"/>
        <v/>
      </c>
      <c r="AV3156" s="2" t="str">
        <f t="shared" si="197"/>
        <v/>
      </c>
      <c r="AW3156" s="2" t="str">
        <f t="shared" si="198"/>
        <v/>
      </c>
      <c r="AX3156" s="2" t="str">
        <f t="shared" si="199"/>
        <v/>
      </c>
      <c r="AY3156" s="2" t="str">
        <f>IF($AV3156="","",IF(AND($Z3156=0,COUNTIF('AR SALES'!$L$2:$L$2501,$L3156)=0),"YES",""))</f>
        <v/>
      </c>
      <c r="AZ3156" s="2" t="str">
        <f>IF($AV3156="","",IF(COUNTIF(LISTS!$C$2:$C$250,$AU3156)=0,"NEW",""))</f>
        <v/>
      </c>
      <c r="BA3156" s="2" t="str">
        <f>IF(""&amp;$F3156&lt;&gt;"4","",IF($AY3156="YES","",IF(ROUND(SUMIFS($AE$2:$AE$4001,$L$2:$L$4001,$L3156,$F$2:$F$4001,"4")-SUMIFS('AR SALES'!$Y$2:$Y$2501,'AR SALES'!$L$2:$L$2501,$L3156,'AR SALES'!$AD$2:$AD$2501,"OFF"),2)=0,"","STALE")))</f>
        <v/>
      </c>
      <c r="BB3156" s="2" t="str">
        <f>IF(OR(""&amp;$F3156="2",""&amp;$F3156="4",""&amp;$F3156="G",""&amp;$F3156="H"),IF($AY3156="YES","",IF($AB3156&lt;&gt;0,"",IF(COUNTIFS('AR SALES'!$L$2:$L$2501,$L3156,'AR SALES'!$AD$2:$AD$2501,IF(""&amp;$F3156="4","OFF","ON"),'AR SALES'!$AF$2:$AF$2501,"Y")&gt;0,"","NO EXEMPTION"))),"")</f>
        <v/>
      </c>
    </row>
    <row r="3157" spans="46:54" x14ac:dyDescent="0.25">
      <c r="AT3157" s="2" t="str">
        <f>IF($L3157="","",IFERROR(INDEX('AR SALES'!$H$2:$H$2501,MATCH(""&amp;$L3157,'AR SALES'!$AE$2:$AE$2501,0)),""))</f>
        <v/>
      </c>
      <c r="AU3157" s="2" t="str">
        <f t="shared" si="196"/>
        <v/>
      </c>
      <c r="AV3157" s="2" t="str">
        <f t="shared" si="197"/>
        <v/>
      </c>
      <c r="AW3157" s="2" t="str">
        <f t="shared" si="198"/>
        <v/>
      </c>
      <c r="AX3157" s="2" t="str">
        <f t="shared" si="199"/>
        <v/>
      </c>
      <c r="AY3157" s="2" t="str">
        <f>IF($AV3157="","",IF(AND($Z3157=0,COUNTIF('AR SALES'!$L$2:$L$2501,$L3157)=0),"YES",""))</f>
        <v/>
      </c>
      <c r="AZ3157" s="2" t="str">
        <f>IF($AV3157="","",IF(COUNTIF(LISTS!$C$2:$C$250,$AU3157)=0,"NEW",""))</f>
        <v/>
      </c>
      <c r="BA3157" s="2" t="str">
        <f>IF(""&amp;$F3157&lt;&gt;"4","",IF($AY3157="YES","",IF(ROUND(SUMIFS($AE$2:$AE$4001,$L$2:$L$4001,$L3157,$F$2:$F$4001,"4")-SUMIFS('AR SALES'!$Y$2:$Y$2501,'AR SALES'!$L$2:$L$2501,$L3157,'AR SALES'!$AD$2:$AD$2501,"OFF"),2)=0,"","STALE")))</f>
        <v/>
      </c>
      <c r="BB3157" s="2" t="str">
        <f>IF(OR(""&amp;$F3157="2",""&amp;$F3157="4",""&amp;$F3157="G",""&amp;$F3157="H"),IF($AY3157="YES","",IF($AB3157&lt;&gt;0,"",IF(COUNTIFS('AR SALES'!$L$2:$L$2501,$L3157,'AR SALES'!$AD$2:$AD$2501,IF(""&amp;$F3157="4","OFF","ON"),'AR SALES'!$AF$2:$AF$2501,"Y")&gt;0,"","NO EXEMPTION"))),"")</f>
        <v/>
      </c>
    </row>
    <row r="3158" spans="46:54" x14ac:dyDescent="0.25">
      <c r="AT3158" s="2" t="str">
        <f>IF($L3158="","",IFERROR(INDEX('AR SALES'!$H$2:$H$2501,MATCH(""&amp;$L3158,'AR SALES'!$AE$2:$AE$2501,0)),""))</f>
        <v/>
      </c>
      <c r="AU3158" s="2" t="str">
        <f t="shared" si="196"/>
        <v/>
      </c>
      <c r="AV3158" s="2" t="str">
        <f t="shared" si="197"/>
        <v/>
      </c>
      <c r="AW3158" s="2" t="str">
        <f t="shared" si="198"/>
        <v/>
      </c>
      <c r="AX3158" s="2" t="str">
        <f t="shared" si="199"/>
        <v/>
      </c>
      <c r="AY3158" s="2" t="str">
        <f>IF($AV3158="","",IF(AND($Z3158=0,COUNTIF('AR SALES'!$L$2:$L$2501,$L3158)=0),"YES",""))</f>
        <v/>
      </c>
      <c r="AZ3158" s="2" t="str">
        <f>IF($AV3158="","",IF(COUNTIF(LISTS!$C$2:$C$250,$AU3158)=0,"NEW",""))</f>
        <v/>
      </c>
      <c r="BA3158" s="2" t="str">
        <f>IF(""&amp;$F3158&lt;&gt;"4","",IF($AY3158="YES","",IF(ROUND(SUMIFS($AE$2:$AE$4001,$L$2:$L$4001,$L3158,$F$2:$F$4001,"4")-SUMIFS('AR SALES'!$Y$2:$Y$2501,'AR SALES'!$L$2:$L$2501,$L3158,'AR SALES'!$AD$2:$AD$2501,"OFF"),2)=0,"","STALE")))</f>
        <v/>
      </c>
      <c r="BB3158" s="2" t="str">
        <f>IF(OR(""&amp;$F3158="2",""&amp;$F3158="4",""&amp;$F3158="G",""&amp;$F3158="H"),IF($AY3158="YES","",IF($AB3158&lt;&gt;0,"",IF(COUNTIFS('AR SALES'!$L$2:$L$2501,$L3158,'AR SALES'!$AD$2:$AD$2501,IF(""&amp;$F3158="4","OFF","ON"),'AR SALES'!$AF$2:$AF$2501,"Y")&gt;0,"","NO EXEMPTION"))),"")</f>
        <v/>
      </c>
    </row>
    <row r="3159" spans="46:54" x14ac:dyDescent="0.25">
      <c r="AT3159" s="2" t="str">
        <f>IF($L3159="","",IFERROR(INDEX('AR SALES'!$H$2:$H$2501,MATCH(""&amp;$L3159,'AR SALES'!$AE$2:$AE$2501,0)),""))</f>
        <v/>
      </c>
      <c r="AU3159" s="2" t="str">
        <f t="shared" si="196"/>
        <v/>
      </c>
      <c r="AV3159" s="2" t="str">
        <f t="shared" si="197"/>
        <v/>
      </c>
      <c r="AW3159" s="2" t="str">
        <f t="shared" si="198"/>
        <v/>
      </c>
      <c r="AX3159" s="2" t="str">
        <f t="shared" si="199"/>
        <v/>
      </c>
      <c r="AY3159" s="2" t="str">
        <f>IF($AV3159="","",IF(AND($Z3159=0,COUNTIF('AR SALES'!$L$2:$L$2501,$L3159)=0),"YES",""))</f>
        <v/>
      </c>
      <c r="AZ3159" s="2" t="str">
        <f>IF($AV3159="","",IF(COUNTIF(LISTS!$C$2:$C$250,$AU3159)=0,"NEW",""))</f>
        <v/>
      </c>
      <c r="BA3159" s="2" t="str">
        <f>IF(""&amp;$F3159&lt;&gt;"4","",IF($AY3159="YES","",IF(ROUND(SUMIFS($AE$2:$AE$4001,$L$2:$L$4001,$L3159,$F$2:$F$4001,"4")-SUMIFS('AR SALES'!$Y$2:$Y$2501,'AR SALES'!$L$2:$L$2501,$L3159,'AR SALES'!$AD$2:$AD$2501,"OFF"),2)=0,"","STALE")))</f>
        <v/>
      </c>
      <c r="BB3159" s="2" t="str">
        <f>IF(OR(""&amp;$F3159="2",""&amp;$F3159="4",""&amp;$F3159="G",""&amp;$F3159="H"),IF($AY3159="YES","",IF($AB3159&lt;&gt;0,"",IF(COUNTIFS('AR SALES'!$L$2:$L$2501,$L3159,'AR SALES'!$AD$2:$AD$2501,IF(""&amp;$F3159="4","OFF","ON"),'AR SALES'!$AF$2:$AF$2501,"Y")&gt;0,"","NO EXEMPTION"))),"")</f>
        <v/>
      </c>
    </row>
    <row r="3160" spans="46:54" x14ac:dyDescent="0.25">
      <c r="AT3160" s="2" t="str">
        <f>IF($L3160="","",IFERROR(INDEX('AR SALES'!$H$2:$H$2501,MATCH(""&amp;$L3160,'AR SALES'!$AE$2:$AE$2501,0)),""))</f>
        <v/>
      </c>
      <c r="AU3160" s="2" t="str">
        <f t="shared" si="196"/>
        <v/>
      </c>
      <c r="AV3160" s="2" t="str">
        <f t="shared" si="197"/>
        <v/>
      </c>
      <c r="AW3160" s="2" t="str">
        <f t="shared" si="198"/>
        <v/>
      </c>
      <c r="AX3160" s="2" t="str">
        <f t="shared" si="199"/>
        <v/>
      </c>
      <c r="AY3160" s="2" t="str">
        <f>IF($AV3160="","",IF(AND($Z3160=0,COUNTIF('AR SALES'!$L$2:$L$2501,$L3160)=0),"YES",""))</f>
        <v/>
      </c>
      <c r="AZ3160" s="2" t="str">
        <f>IF($AV3160="","",IF(COUNTIF(LISTS!$C$2:$C$250,$AU3160)=0,"NEW",""))</f>
        <v/>
      </c>
      <c r="BA3160" s="2" t="str">
        <f>IF(""&amp;$F3160&lt;&gt;"4","",IF($AY3160="YES","",IF(ROUND(SUMIFS($AE$2:$AE$4001,$L$2:$L$4001,$L3160,$F$2:$F$4001,"4")-SUMIFS('AR SALES'!$Y$2:$Y$2501,'AR SALES'!$L$2:$L$2501,$L3160,'AR SALES'!$AD$2:$AD$2501,"OFF"),2)=0,"","STALE")))</f>
        <v/>
      </c>
      <c r="BB3160" s="2" t="str">
        <f>IF(OR(""&amp;$F3160="2",""&amp;$F3160="4",""&amp;$F3160="G",""&amp;$F3160="H"),IF($AY3160="YES","",IF($AB3160&lt;&gt;0,"",IF(COUNTIFS('AR SALES'!$L$2:$L$2501,$L3160,'AR SALES'!$AD$2:$AD$2501,IF(""&amp;$F3160="4","OFF","ON"),'AR SALES'!$AF$2:$AF$2501,"Y")&gt;0,"","NO EXEMPTION"))),"")</f>
        <v/>
      </c>
    </row>
    <row r="3161" spans="46:54" x14ac:dyDescent="0.25">
      <c r="AT3161" s="2" t="str">
        <f>IF($L3161="","",IFERROR(INDEX('AR SALES'!$H$2:$H$2501,MATCH(""&amp;$L3161,'AR SALES'!$AE$2:$AE$2501,0)),""))</f>
        <v/>
      </c>
      <c r="AU3161" s="2" t="str">
        <f t="shared" si="196"/>
        <v/>
      </c>
      <c r="AV3161" s="2" t="str">
        <f t="shared" si="197"/>
        <v/>
      </c>
      <c r="AW3161" s="2" t="str">
        <f t="shared" si="198"/>
        <v/>
      </c>
      <c r="AX3161" s="2" t="str">
        <f t="shared" si="199"/>
        <v/>
      </c>
      <c r="AY3161" s="2" t="str">
        <f>IF($AV3161="","",IF(AND($Z3161=0,COUNTIF('AR SALES'!$L$2:$L$2501,$L3161)=0),"YES",""))</f>
        <v/>
      </c>
      <c r="AZ3161" s="2" t="str">
        <f>IF($AV3161="","",IF(COUNTIF(LISTS!$C$2:$C$250,$AU3161)=0,"NEW",""))</f>
        <v/>
      </c>
      <c r="BA3161" s="2" t="str">
        <f>IF(""&amp;$F3161&lt;&gt;"4","",IF($AY3161="YES","",IF(ROUND(SUMIFS($AE$2:$AE$4001,$L$2:$L$4001,$L3161,$F$2:$F$4001,"4")-SUMIFS('AR SALES'!$Y$2:$Y$2501,'AR SALES'!$L$2:$L$2501,$L3161,'AR SALES'!$AD$2:$AD$2501,"OFF"),2)=0,"","STALE")))</f>
        <v/>
      </c>
      <c r="BB3161" s="2" t="str">
        <f>IF(OR(""&amp;$F3161="2",""&amp;$F3161="4",""&amp;$F3161="G",""&amp;$F3161="H"),IF($AY3161="YES","",IF($AB3161&lt;&gt;0,"",IF(COUNTIFS('AR SALES'!$L$2:$L$2501,$L3161,'AR SALES'!$AD$2:$AD$2501,IF(""&amp;$F3161="4","OFF","ON"),'AR SALES'!$AF$2:$AF$2501,"Y")&gt;0,"","NO EXEMPTION"))),"")</f>
        <v/>
      </c>
    </row>
    <row r="3162" spans="46:54" x14ac:dyDescent="0.25">
      <c r="AT3162" s="2" t="str">
        <f>IF($L3162="","",IFERROR(INDEX('AR SALES'!$H$2:$H$2501,MATCH(""&amp;$L3162,'AR SALES'!$AE$2:$AE$2501,0)),""))</f>
        <v/>
      </c>
      <c r="AU3162" s="2" t="str">
        <f t="shared" si="196"/>
        <v/>
      </c>
      <c r="AV3162" s="2" t="str">
        <f t="shared" si="197"/>
        <v/>
      </c>
      <c r="AW3162" s="2" t="str">
        <f t="shared" si="198"/>
        <v/>
      </c>
      <c r="AX3162" s="2" t="str">
        <f t="shared" si="199"/>
        <v/>
      </c>
      <c r="AY3162" s="2" t="str">
        <f>IF($AV3162="","",IF(AND($Z3162=0,COUNTIF('AR SALES'!$L$2:$L$2501,$L3162)=0),"YES",""))</f>
        <v/>
      </c>
      <c r="AZ3162" s="2" t="str">
        <f>IF($AV3162="","",IF(COUNTIF(LISTS!$C$2:$C$250,$AU3162)=0,"NEW",""))</f>
        <v/>
      </c>
      <c r="BA3162" s="2" t="str">
        <f>IF(""&amp;$F3162&lt;&gt;"4","",IF($AY3162="YES","",IF(ROUND(SUMIFS($AE$2:$AE$4001,$L$2:$L$4001,$L3162,$F$2:$F$4001,"4")-SUMIFS('AR SALES'!$Y$2:$Y$2501,'AR SALES'!$L$2:$L$2501,$L3162,'AR SALES'!$AD$2:$AD$2501,"OFF"),2)=0,"","STALE")))</f>
        <v/>
      </c>
      <c r="BB3162" s="2" t="str">
        <f>IF(OR(""&amp;$F3162="2",""&amp;$F3162="4",""&amp;$F3162="G",""&amp;$F3162="H"),IF($AY3162="YES","",IF($AB3162&lt;&gt;0,"",IF(COUNTIFS('AR SALES'!$L$2:$L$2501,$L3162,'AR SALES'!$AD$2:$AD$2501,IF(""&amp;$F3162="4","OFF","ON"),'AR SALES'!$AF$2:$AF$2501,"Y")&gt;0,"","NO EXEMPTION"))),"")</f>
        <v/>
      </c>
    </row>
    <row r="3163" spans="46:54" x14ac:dyDescent="0.25">
      <c r="AT3163" s="2" t="str">
        <f>IF($L3163="","",IFERROR(INDEX('AR SALES'!$H$2:$H$2501,MATCH(""&amp;$L3163,'AR SALES'!$AE$2:$AE$2501,0)),""))</f>
        <v/>
      </c>
      <c r="AU3163" s="2" t="str">
        <f t="shared" si="196"/>
        <v/>
      </c>
      <c r="AV3163" s="2" t="str">
        <f t="shared" si="197"/>
        <v/>
      </c>
      <c r="AW3163" s="2" t="str">
        <f t="shared" si="198"/>
        <v/>
      </c>
      <c r="AX3163" s="2" t="str">
        <f t="shared" si="199"/>
        <v/>
      </c>
      <c r="AY3163" s="2" t="str">
        <f>IF($AV3163="","",IF(AND($Z3163=0,COUNTIF('AR SALES'!$L$2:$L$2501,$L3163)=0),"YES",""))</f>
        <v/>
      </c>
      <c r="AZ3163" s="2" t="str">
        <f>IF($AV3163="","",IF(COUNTIF(LISTS!$C$2:$C$250,$AU3163)=0,"NEW",""))</f>
        <v/>
      </c>
      <c r="BA3163" s="2" t="str">
        <f>IF(""&amp;$F3163&lt;&gt;"4","",IF($AY3163="YES","",IF(ROUND(SUMIFS($AE$2:$AE$4001,$L$2:$L$4001,$L3163,$F$2:$F$4001,"4")-SUMIFS('AR SALES'!$Y$2:$Y$2501,'AR SALES'!$L$2:$L$2501,$L3163,'AR SALES'!$AD$2:$AD$2501,"OFF"),2)=0,"","STALE")))</f>
        <v/>
      </c>
      <c r="BB3163" s="2" t="str">
        <f>IF(OR(""&amp;$F3163="2",""&amp;$F3163="4",""&amp;$F3163="G",""&amp;$F3163="H"),IF($AY3163="YES","",IF($AB3163&lt;&gt;0,"",IF(COUNTIFS('AR SALES'!$L$2:$L$2501,$L3163,'AR SALES'!$AD$2:$AD$2501,IF(""&amp;$F3163="4","OFF","ON"),'AR SALES'!$AF$2:$AF$2501,"Y")&gt;0,"","NO EXEMPTION"))),"")</f>
        <v/>
      </c>
    </row>
    <row r="3164" spans="46:54" x14ac:dyDescent="0.25">
      <c r="AT3164" s="2" t="str">
        <f>IF($L3164="","",IFERROR(INDEX('AR SALES'!$H$2:$H$2501,MATCH(""&amp;$L3164,'AR SALES'!$AE$2:$AE$2501,0)),""))</f>
        <v/>
      </c>
      <c r="AU3164" s="2" t="str">
        <f t="shared" si="196"/>
        <v/>
      </c>
      <c r="AV3164" s="2" t="str">
        <f t="shared" si="197"/>
        <v/>
      </c>
      <c r="AW3164" s="2" t="str">
        <f t="shared" si="198"/>
        <v/>
      </c>
      <c r="AX3164" s="2" t="str">
        <f t="shared" si="199"/>
        <v/>
      </c>
      <c r="AY3164" s="2" t="str">
        <f>IF($AV3164="","",IF(AND($Z3164=0,COUNTIF('AR SALES'!$L$2:$L$2501,$L3164)=0),"YES",""))</f>
        <v/>
      </c>
      <c r="AZ3164" s="2" t="str">
        <f>IF($AV3164="","",IF(COUNTIF(LISTS!$C$2:$C$250,$AU3164)=0,"NEW",""))</f>
        <v/>
      </c>
      <c r="BA3164" s="2" t="str">
        <f>IF(""&amp;$F3164&lt;&gt;"4","",IF($AY3164="YES","",IF(ROUND(SUMIFS($AE$2:$AE$4001,$L$2:$L$4001,$L3164,$F$2:$F$4001,"4")-SUMIFS('AR SALES'!$Y$2:$Y$2501,'AR SALES'!$L$2:$L$2501,$L3164,'AR SALES'!$AD$2:$AD$2501,"OFF"),2)=0,"","STALE")))</f>
        <v/>
      </c>
      <c r="BB3164" s="2" t="str">
        <f>IF(OR(""&amp;$F3164="2",""&amp;$F3164="4",""&amp;$F3164="G",""&amp;$F3164="H"),IF($AY3164="YES","",IF($AB3164&lt;&gt;0,"",IF(COUNTIFS('AR SALES'!$L$2:$L$2501,$L3164,'AR SALES'!$AD$2:$AD$2501,IF(""&amp;$F3164="4","OFF","ON"),'AR SALES'!$AF$2:$AF$2501,"Y")&gt;0,"","NO EXEMPTION"))),"")</f>
        <v/>
      </c>
    </row>
    <row r="3165" spans="46:54" x14ac:dyDescent="0.25">
      <c r="AT3165" s="2" t="str">
        <f>IF($L3165="","",IFERROR(INDEX('AR SALES'!$H$2:$H$2501,MATCH(""&amp;$L3165,'AR SALES'!$AE$2:$AE$2501,0)),""))</f>
        <v/>
      </c>
      <c r="AU3165" s="2" t="str">
        <f t="shared" si="196"/>
        <v/>
      </c>
      <c r="AV3165" s="2" t="str">
        <f t="shared" si="197"/>
        <v/>
      </c>
      <c r="AW3165" s="2" t="str">
        <f t="shared" si="198"/>
        <v/>
      </c>
      <c r="AX3165" s="2" t="str">
        <f t="shared" si="199"/>
        <v/>
      </c>
      <c r="AY3165" s="2" t="str">
        <f>IF($AV3165="","",IF(AND($Z3165=0,COUNTIF('AR SALES'!$L$2:$L$2501,$L3165)=0),"YES",""))</f>
        <v/>
      </c>
      <c r="AZ3165" s="2" t="str">
        <f>IF($AV3165="","",IF(COUNTIF(LISTS!$C$2:$C$250,$AU3165)=0,"NEW",""))</f>
        <v/>
      </c>
      <c r="BA3165" s="2" t="str">
        <f>IF(""&amp;$F3165&lt;&gt;"4","",IF($AY3165="YES","",IF(ROUND(SUMIFS($AE$2:$AE$4001,$L$2:$L$4001,$L3165,$F$2:$F$4001,"4")-SUMIFS('AR SALES'!$Y$2:$Y$2501,'AR SALES'!$L$2:$L$2501,$L3165,'AR SALES'!$AD$2:$AD$2501,"OFF"),2)=0,"","STALE")))</f>
        <v/>
      </c>
      <c r="BB3165" s="2" t="str">
        <f>IF(OR(""&amp;$F3165="2",""&amp;$F3165="4",""&amp;$F3165="G",""&amp;$F3165="H"),IF($AY3165="YES","",IF($AB3165&lt;&gt;0,"",IF(COUNTIFS('AR SALES'!$L$2:$L$2501,$L3165,'AR SALES'!$AD$2:$AD$2501,IF(""&amp;$F3165="4","OFF","ON"),'AR SALES'!$AF$2:$AF$2501,"Y")&gt;0,"","NO EXEMPTION"))),"")</f>
        <v/>
      </c>
    </row>
    <row r="3166" spans="46:54" x14ac:dyDescent="0.25">
      <c r="AT3166" s="2" t="str">
        <f>IF($L3166="","",IFERROR(INDEX('AR SALES'!$H$2:$H$2501,MATCH(""&amp;$L3166,'AR SALES'!$AE$2:$AE$2501,0)),""))</f>
        <v/>
      </c>
      <c r="AU3166" s="2" t="str">
        <f t="shared" si="196"/>
        <v/>
      </c>
      <c r="AV3166" s="2" t="str">
        <f t="shared" si="197"/>
        <v/>
      </c>
      <c r="AW3166" s="2" t="str">
        <f t="shared" si="198"/>
        <v/>
      </c>
      <c r="AX3166" s="2" t="str">
        <f t="shared" si="199"/>
        <v/>
      </c>
      <c r="AY3166" s="2" t="str">
        <f>IF($AV3166="","",IF(AND($Z3166=0,COUNTIF('AR SALES'!$L$2:$L$2501,$L3166)=0),"YES",""))</f>
        <v/>
      </c>
      <c r="AZ3166" s="2" t="str">
        <f>IF($AV3166="","",IF(COUNTIF(LISTS!$C$2:$C$250,$AU3166)=0,"NEW",""))</f>
        <v/>
      </c>
      <c r="BA3166" s="2" t="str">
        <f>IF(""&amp;$F3166&lt;&gt;"4","",IF($AY3166="YES","",IF(ROUND(SUMIFS($AE$2:$AE$4001,$L$2:$L$4001,$L3166,$F$2:$F$4001,"4")-SUMIFS('AR SALES'!$Y$2:$Y$2501,'AR SALES'!$L$2:$L$2501,$L3166,'AR SALES'!$AD$2:$AD$2501,"OFF"),2)=0,"","STALE")))</f>
        <v/>
      </c>
      <c r="BB3166" s="2" t="str">
        <f>IF(OR(""&amp;$F3166="2",""&amp;$F3166="4",""&amp;$F3166="G",""&amp;$F3166="H"),IF($AY3166="YES","",IF($AB3166&lt;&gt;0,"",IF(COUNTIFS('AR SALES'!$L$2:$L$2501,$L3166,'AR SALES'!$AD$2:$AD$2501,IF(""&amp;$F3166="4","OFF","ON"),'AR SALES'!$AF$2:$AF$2501,"Y")&gt;0,"","NO EXEMPTION"))),"")</f>
        <v/>
      </c>
    </row>
    <row r="3167" spans="46:54" x14ac:dyDescent="0.25">
      <c r="AT3167" s="2" t="str">
        <f>IF($L3167="","",IFERROR(INDEX('AR SALES'!$H$2:$H$2501,MATCH(""&amp;$L3167,'AR SALES'!$AE$2:$AE$2501,0)),""))</f>
        <v/>
      </c>
      <c r="AU3167" s="2" t="str">
        <f t="shared" si="196"/>
        <v/>
      </c>
      <c r="AV3167" s="2" t="str">
        <f t="shared" si="197"/>
        <v/>
      </c>
      <c r="AW3167" s="2" t="str">
        <f t="shared" si="198"/>
        <v/>
      </c>
      <c r="AX3167" s="2" t="str">
        <f t="shared" si="199"/>
        <v/>
      </c>
      <c r="AY3167" s="2" t="str">
        <f>IF($AV3167="","",IF(AND($Z3167=0,COUNTIF('AR SALES'!$L$2:$L$2501,$L3167)=0),"YES",""))</f>
        <v/>
      </c>
      <c r="AZ3167" s="2" t="str">
        <f>IF($AV3167="","",IF(COUNTIF(LISTS!$C$2:$C$250,$AU3167)=0,"NEW",""))</f>
        <v/>
      </c>
      <c r="BA3167" s="2" t="str">
        <f>IF(""&amp;$F3167&lt;&gt;"4","",IF($AY3167="YES","",IF(ROUND(SUMIFS($AE$2:$AE$4001,$L$2:$L$4001,$L3167,$F$2:$F$4001,"4")-SUMIFS('AR SALES'!$Y$2:$Y$2501,'AR SALES'!$L$2:$L$2501,$L3167,'AR SALES'!$AD$2:$AD$2501,"OFF"),2)=0,"","STALE")))</f>
        <v/>
      </c>
      <c r="BB3167" s="2" t="str">
        <f>IF(OR(""&amp;$F3167="2",""&amp;$F3167="4",""&amp;$F3167="G",""&amp;$F3167="H"),IF($AY3167="YES","",IF($AB3167&lt;&gt;0,"",IF(COUNTIFS('AR SALES'!$L$2:$L$2501,$L3167,'AR SALES'!$AD$2:$AD$2501,IF(""&amp;$F3167="4","OFF","ON"),'AR SALES'!$AF$2:$AF$2501,"Y")&gt;0,"","NO EXEMPTION"))),"")</f>
        <v/>
      </c>
    </row>
    <row r="3168" spans="46:54" x14ac:dyDescent="0.25">
      <c r="AT3168" s="2" t="str">
        <f>IF($L3168="","",IFERROR(INDEX('AR SALES'!$H$2:$H$2501,MATCH(""&amp;$L3168,'AR SALES'!$AE$2:$AE$2501,0)),""))</f>
        <v/>
      </c>
      <c r="AU3168" s="2" t="str">
        <f t="shared" si="196"/>
        <v/>
      </c>
      <c r="AV3168" s="2" t="str">
        <f t="shared" si="197"/>
        <v/>
      </c>
      <c r="AW3168" s="2" t="str">
        <f t="shared" si="198"/>
        <v/>
      </c>
      <c r="AX3168" s="2" t="str">
        <f t="shared" si="199"/>
        <v/>
      </c>
      <c r="AY3168" s="2" t="str">
        <f>IF($AV3168="","",IF(AND($Z3168=0,COUNTIF('AR SALES'!$L$2:$L$2501,$L3168)=0),"YES",""))</f>
        <v/>
      </c>
      <c r="AZ3168" s="2" t="str">
        <f>IF($AV3168="","",IF(COUNTIF(LISTS!$C$2:$C$250,$AU3168)=0,"NEW",""))</f>
        <v/>
      </c>
      <c r="BA3168" s="2" t="str">
        <f>IF(""&amp;$F3168&lt;&gt;"4","",IF($AY3168="YES","",IF(ROUND(SUMIFS($AE$2:$AE$4001,$L$2:$L$4001,$L3168,$F$2:$F$4001,"4")-SUMIFS('AR SALES'!$Y$2:$Y$2501,'AR SALES'!$L$2:$L$2501,$L3168,'AR SALES'!$AD$2:$AD$2501,"OFF"),2)=0,"","STALE")))</f>
        <v/>
      </c>
      <c r="BB3168" s="2" t="str">
        <f>IF(OR(""&amp;$F3168="2",""&amp;$F3168="4",""&amp;$F3168="G",""&amp;$F3168="H"),IF($AY3168="YES","",IF($AB3168&lt;&gt;0,"",IF(COUNTIFS('AR SALES'!$L$2:$L$2501,$L3168,'AR SALES'!$AD$2:$AD$2501,IF(""&amp;$F3168="4","OFF","ON"),'AR SALES'!$AF$2:$AF$2501,"Y")&gt;0,"","NO EXEMPTION"))),"")</f>
        <v/>
      </c>
    </row>
    <row r="3169" spans="46:54" x14ac:dyDescent="0.25">
      <c r="AT3169" s="2" t="str">
        <f>IF($L3169="","",IFERROR(INDEX('AR SALES'!$H$2:$H$2501,MATCH(""&amp;$L3169,'AR SALES'!$AE$2:$AE$2501,0)),""))</f>
        <v/>
      </c>
      <c r="AU3169" s="2" t="str">
        <f t="shared" si="196"/>
        <v/>
      </c>
      <c r="AV3169" s="2" t="str">
        <f t="shared" si="197"/>
        <v/>
      </c>
      <c r="AW3169" s="2" t="str">
        <f t="shared" si="198"/>
        <v/>
      </c>
      <c r="AX3169" s="2" t="str">
        <f t="shared" si="199"/>
        <v/>
      </c>
      <c r="AY3169" s="2" t="str">
        <f>IF($AV3169="","",IF(AND($Z3169=0,COUNTIF('AR SALES'!$L$2:$L$2501,$L3169)=0),"YES",""))</f>
        <v/>
      </c>
      <c r="AZ3169" s="2" t="str">
        <f>IF($AV3169="","",IF(COUNTIF(LISTS!$C$2:$C$250,$AU3169)=0,"NEW",""))</f>
        <v/>
      </c>
      <c r="BA3169" s="2" t="str">
        <f>IF(""&amp;$F3169&lt;&gt;"4","",IF($AY3169="YES","",IF(ROUND(SUMIFS($AE$2:$AE$4001,$L$2:$L$4001,$L3169,$F$2:$F$4001,"4")-SUMIFS('AR SALES'!$Y$2:$Y$2501,'AR SALES'!$L$2:$L$2501,$L3169,'AR SALES'!$AD$2:$AD$2501,"OFF"),2)=0,"","STALE")))</f>
        <v/>
      </c>
      <c r="BB3169" s="2" t="str">
        <f>IF(OR(""&amp;$F3169="2",""&amp;$F3169="4",""&amp;$F3169="G",""&amp;$F3169="H"),IF($AY3169="YES","",IF($AB3169&lt;&gt;0,"",IF(COUNTIFS('AR SALES'!$L$2:$L$2501,$L3169,'AR SALES'!$AD$2:$AD$2501,IF(""&amp;$F3169="4","OFF","ON"),'AR SALES'!$AF$2:$AF$2501,"Y")&gt;0,"","NO EXEMPTION"))),"")</f>
        <v/>
      </c>
    </row>
    <row r="3170" spans="46:54" x14ac:dyDescent="0.25">
      <c r="AT3170" s="2" t="str">
        <f>IF($L3170="","",IFERROR(INDEX('AR SALES'!$H$2:$H$2501,MATCH(""&amp;$L3170,'AR SALES'!$AE$2:$AE$2501,0)),""))</f>
        <v/>
      </c>
      <c r="AU3170" s="2" t="str">
        <f t="shared" si="196"/>
        <v/>
      </c>
      <c r="AV3170" s="2" t="str">
        <f t="shared" si="197"/>
        <v/>
      </c>
      <c r="AW3170" s="2" t="str">
        <f t="shared" si="198"/>
        <v/>
      </c>
      <c r="AX3170" s="2" t="str">
        <f t="shared" si="199"/>
        <v/>
      </c>
      <c r="AY3170" s="2" t="str">
        <f>IF($AV3170="","",IF(AND($Z3170=0,COUNTIF('AR SALES'!$L$2:$L$2501,$L3170)=0),"YES",""))</f>
        <v/>
      </c>
      <c r="AZ3170" s="2" t="str">
        <f>IF($AV3170="","",IF(COUNTIF(LISTS!$C$2:$C$250,$AU3170)=0,"NEW",""))</f>
        <v/>
      </c>
      <c r="BA3170" s="2" t="str">
        <f>IF(""&amp;$F3170&lt;&gt;"4","",IF($AY3170="YES","",IF(ROUND(SUMIFS($AE$2:$AE$4001,$L$2:$L$4001,$L3170,$F$2:$F$4001,"4")-SUMIFS('AR SALES'!$Y$2:$Y$2501,'AR SALES'!$L$2:$L$2501,$L3170,'AR SALES'!$AD$2:$AD$2501,"OFF"),2)=0,"","STALE")))</f>
        <v/>
      </c>
      <c r="BB3170" s="2" t="str">
        <f>IF(OR(""&amp;$F3170="2",""&amp;$F3170="4",""&amp;$F3170="G",""&amp;$F3170="H"),IF($AY3170="YES","",IF($AB3170&lt;&gt;0,"",IF(COUNTIFS('AR SALES'!$L$2:$L$2501,$L3170,'AR SALES'!$AD$2:$AD$2501,IF(""&amp;$F3170="4","OFF","ON"),'AR SALES'!$AF$2:$AF$2501,"Y")&gt;0,"","NO EXEMPTION"))),"")</f>
        <v/>
      </c>
    </row>
    <row r="3171" spans="46:54" x14ac:dyDescent="0.25">
      <c r="AT3171" s="2" t="str">
        <f>IF($L3171="","",IFERROR(INDEX('AR SALES'!$H$2:$H$2501,MATCH(""&amp;$L3171,'AR SALES'!$AE$2:$AE$2501,0)),""))</f>
        <v/>
      </c>
      <c r="AU3171" s="2" t="str">
        <f t="shared" si="196"/>
        <v/>
      </c>
      <c r="AV3171" s="2" t="str">
        <f t="shared" si="197"/>
        <v/>
      </c>
      <c r="AW3171" s="2" t="str">
        <f t="shared" si="198"/>
        <v/>
      </c>
      <c r="AX3171" s="2" t="str">
        <f t="shared" si="199"/>
        <v/>
      </c>
      <c r="AY3171" s="2" t="str">
        <f>IF($AV3171="","",IF(AND($Z3171=0,COUNTIF('AR SALES'!$L$2:$L$2501,$L3171)=0),"YES",""))</f>
        <v/>
      </c>
      <c r="AZ3171" s="2" t="str">
        <f>IF($AV3171="","",IF(COUNTIF(LISTS!$C$2:$C$250,$AU3171)=0,"NEW",""))</f>
        <v/>
      </c>
      <c r="BA3171" s="2" t="str">
        <f>IF(""&amp;$F3171&lt;&gt;"4","",IF($AY3171="YES","",IF(ROUND(SUMIFS($AE$2:$AE$4001,$L$2:$L$4001,$L3171,$F$2:$F$4001,"4")-SUMIFS('AR SALES'!$Y$2:$Y$2501,'AR SALES'!$L$2:$L$2501,$L3171,'AR SALES'!$AD$2:$AD$2501,"OFF"),2)=0,"","STALE")))</f>
        <v/>
      </c>
      <c r="BB3171" s="2" t="str">
        <f>IF(OR(""&amp;$F3171="2",""&amp;$F3171="4",""&amp;$F3171="G",""&amp;$F3171="H"),IF($AY3171="YES","",IF($AB3171&lt;&gt;0,"",IF(COUNTIFS('AR SALES'!$L$2:$L$2501,$L3171,'AR SALES'!$AD$2:$AD$2501,IF(""&amp;$F3171="4","OFF","ON"),'AR SALES'!$AF$2:$AF$2501,"Y")&gt;0,"","NO EXEMPTION"))),"")</f>
        <v/>
      </c>
    </row>
    <row r="3172" spans="46:54" x14ac:dyDescent="0.25">
      <c r="AT3172" s="2" t="str">
        <f>IF($L3172="","",IFERROR(INDEX('AR SALES'!$H$2:$H$2501,MATCH(""&amp;$L3172,'AR SALES'!$AE$2:$AE$2501,0)),""))</f>
        <v/>
      </c>
      <c r="AU3172" s="2" t="str">
        <f t="shared" si="196"/>
        <v/>
      </c>
      <c r="AV3172" s="2" t="str">
        <f t="shared" si="197"/>
        <v/>
      </c>
      <c r="AW3172" s="2" t="str">
        <f t="shared" si="198"/>
        <v/>
      </c>
      <c r="AX3172" s="2" t="str">
        <f t="shared" si="199"/>
        <v/>
      </c>
      <c r="AY3172" s="2" t="str">
        <f>IF($AV3172="","",IF(AND($Z3172=0,COUNTIF('AR SALES'!$L$2:$L$2501,$L3172)=0),"YES",""))</f>
        <v/>
      </c>
      <c r="AZ3172" s="2" t="str">
        <f>IF($AV3172="","",IF(COUNTIF(LISTS!$C$2:$C$250,$AU3172)=0,"NEW",""))</f>
        <v/>
      </c>
      <c r="BA3172" s="2" t="str">
        <f>IF(""&amp;$F3172&lt;&gt;"4","",IF($AY3172="YES","",IF(ROUND(SUMIFS($AE$2:$AE$4001,$L$2:$L$4001,$L3172,$F$2:$F$4001,"4")-SUMIFS('AR SALES'!$Y$2:$Y$2501,'AR SALES'!$L$2:$L$2501,$L3172,'AR SALES'!$AD$2:$AD$2501,"OFF"),2)=0,"","STALE")))</f>
        <v/>
      </c>
      <c r="BB3172" s="2" t="str">
        <f>IF(OR(""&amp;$F3172="2",""&amp;$F3172="4",""&amp;$F3172="G",""&amp;$F3172="H"),IF($AY3172="YES","",IF($AB3172&lt;&gt;0,"",IF(COUNTIFS('AR SALES'!$L$2:$L$2501,$L3172,'AR SALES'!$AD$2:$AD$2501,IF(""&amp;$F3172="4","OFF","ON"),'AR SALES'!$AF$2:$AF$2501,"Y")&gt;0,"","NO EXEMPTION"))),"")</f>
        <v/>
      </c>
    </row>
    <row r="3173" spans="46:54" x14ac:dyDescent="0.25">
      <c r="AT3173" s="2" t="str">
        <f>IF($L3173="","",IFERROR(INDEX('AR SALES'!$H$2:$H$2501,MATCH(""&amp;$L3173,'AR SALES'!$AE$2:$AE$2501,0)),""))</f>
        <v/>
      </c>
      <c r="AU3173" s="2" t="str">
        <f t="shared" si="196"/>
        <v/>
      </c>
      <c r="AV3173" s="2" t="str">
        <f t="shared" si="197"/>
        <v/>
      </c>
      <c r="AW3173" s="2" t="str">
        <f t="shared" si="198"/>
        <v/>
      </c>
      <c r="AX3173" s="2" t="str">
        <f t="shared" si="199"/>
        <v/>
      </c>
      <c r="AY3173" s="2" t="str">
        <f>IF($AV3173="","",IF(AND($Z3173=0,COUNTIF('AR SALES'!$L$2:$L$2501,$L3173)=0),"YES",""))</f>
        <v/>
      </c>
      <c r="AZ3173" s="2" t="str">
        <f>IF($AV3173="","",IF(COUNTIF(LISTS!$C$2:$C$250,$AU3173)=0,"NEW",""))</f>
        <v/>
      </c>
      <c r="BA3173" s="2" t="str">
        <f>IF(""&amp;$F3173&lt;&gt;"4","",IF($AY3173="YES","",IF(ROUND(SUMIFS($AE$2:$AE$4001,$L$2:$L$4001,$L3173,$F$2:$F$4001,"4")-SUMIFS('AR SALES'!$Y$2:$Y$2501,'AR SALES'!$L$2:$L$2501,$L3173,'AR SALES'!$AD$2:$AD$2501,"OFF"),2)=0,"","STALE")))</f>
        <v/>
      </c>
      <c r="BB3173" s="2" t="str">
        <f>IF(OR(""&amp;$F3173="2",""&amp;$F3173="4",""&amp;$F3173="G",""&amp;$F3173="H"),IF($AY3173="YES","",IF($AB3173&lt;&gt;0,"",IF(COUNTIFS('AR SALES'!$L$2:$L$2501,$L3173,'AR SALES'!$AD$2:$AD$2501,IF(""&amp;$F3173="4","OFF","ON"),'AR SALES'!$AF$2:$AF$2501,"Y")&gt;0,"","NO EXEMPTION"))),"")</f>
        <v/>
      </c>
    </row>
    <row r="3174" spans="46:54" x14ac:dyDescent="0.25">
      <c r="AT3174" s="2" t="str">
        <f>IF($L3174="","",IFERROR(INDEX('AR SALES'!$H$2:$H$2501,MATCH(""&amp;$L3174,'AR SALES'!$AE$2:$AE$2501,0)),""))</f>
        <v/>
      </c>
      <c r="AU3174" s="2" t="str">
        <f t="shared" si="196"/>
        <v/>
      </c>
      <c r="AV3174" s="2" t="str">
        <f t="shared" si="197"/>
        <v/>
      </c>
      <c r="AW3174" s="2" t="str">
        <f t="shared" si="198"/>
        <v/>
      </c>
      <c r="AX3174" s="2" t="str">
        <f t="shared" si="199"/>
        <v/>
      </c>
      <c r="AY3174" s="2" t="str">
        <f>IF($AV3174="","",IF(AND($Z3174=0,COUNTIF('AR SALES'!$L$2:$L$2501,$L3174)=0),"YES",""))</f>
        <v/>
      </c>
      <c r="AZ3174" s="2" t="str">
        <f>IF($AV3174="","",IF(COUNTIF(LISTS!$C$2:$C$250,$AU3174)=0,"NEW",""))</f>
        <v/>
      </c>
      <c r="BA3174" s="2" t="str">
        <f>IF(""&amp;$F3174&lt;&gt;"4","",IF($AY3174="YES","",IF(ROUND(SUMIFS($AE$2:$AE$4001,$L$2:$L$4001,$L3174,$F$2:$F$4001,"4")-SUMIFS('AR SALES'!$Y$2:$Y$2501,'AR SALES'!$L$2:$L$2501,$L3174,'AR SALES'!$AD$2:$AD$2501,"OFF"),2)=0,"","STALE")))</f>
        <v/>
      </c>
      <c r="BB3174" s="2" t="str">
        <f>IF(OR(""&amp;$F3174="2",""&amp;$F3174="4",""&amp;$F3174="G",""&amp;$F3174="H"),IF($AY3174="YES","",IF($AB3174&lt;&gt;0,"",IF(COUNTIFS('AR SALES'!$L$2:$L$2501,$L3174,'AR SALES'!$AD$2:$AD$2501,IF(""&amp;$F3174="4","OFF","ON"),'AR SALES'!$AF$2:$AF$2501,"Y")&gt;0,"","NO EXEMPTION"))),"")</f>
        <v/>
      </c>
    </row>
    <row r="3175" spans="46:54" x14ac:dyDescent="0.25">
      <c r="AT3175" s="2" t="str">
        <f>IF($L3175="","",IFERROR(INDEX('AR SALES'!$H$2:$H$2501,MATCH(""&amp;$L3175,'AR SALES'!$AE$2:$AE$2501,0)),""))</f>
        <v/>
      </c>
      <c r="AU3175" s="2" t="str">
        <f t="shared" si="196"/>
        <v/>
      </c>
      <c r="AV3175" s="2" t="str">
        <f t="shared" si="197"/>
        <v/>
      </c>
      <c r="AW3175" s="2" t="str">
        <f t="shared" si="198"/>
        <v/>
      </c>
      <c r="AX3175" s="2" t="str">
        <f t="shared" si="199"/>
        <v/>
      </c>
      <c r="AY3175" s="2" t="str">
        <f>IF($AV3175="","",IF(AND($Z3175=0,COUNTIF('AR SALES'!$L$2:$L$2501,$L3175)=0),"YES",""))</f>
        <v/>
      </c>
      <c r="AZ3175" s="2" t="str">
        <f>IF($AV3175="","",IF(COUNTIF(LISTS!$C$2:$C$250,$AU3175)=0,"NEW",""))</f>
        <v/>
      </c>
      <c r="BA3175" s="2" t="str">
        <f>IF(""&amp;$F3175&lt;&gt;"4","",IF($AY3175="YES","",IF(ROUND(SUMIFS($AE$2:$AE$4001,$L$2:$L$4001,$L3175,$F$2:$F$4001,"4")-SUMIFS('AR SALES'!$Y$2:$Y$2501,'AR SALES'!$L$2:$L$2501,$L3175,'AR SALES'!$AD$2:$AD$2501,"OFF"),2)=0,"","STALE")))</f>
        <v/>
      </c>
      <c r="BB3175" s="2" t="str">
        <f>IF(OR(""&amp;$F3175="2",""&amp;$F3175="4",""&amp;$F3175="G",""&amp;$F3175="H"),IF($AY3175="YES","",IF($AB3175&lt;&gt;0,"",IF(COUNTIFS('AR SALES'!$L$2:$L$2501,$L3175,'AR SALES'!$AD$2:$AD$2501,IF(""&amp;$F3175="4","OFF","ON"),'AR SALES'!$AF$2:$AF$2501,"Y")&gt;0,"","NO EXEMPTION"))),"")</f>
        <v/>
      </c>
    </row>
    <row r="3176" spans="46:54" x14ac:dyDescent="0.25">
      <c r="AT3176" s="2" t="str">
        <f>IF($L3176="","",IFERROR(INDEX('AR SALES'!$H$2:$H$2501,MATCH(""&amp;$L3176,'AR SALES'!$AE$2:$AE$2501,0)),""))</f>
        <v/>
      </c>
      <c r="AU3176" s="2" t="str">
        <f t="shared" si="196"/>
        <v/>
      </c>
      <c r="AV3176" s="2" t="str">
        <f t="shared" si="197"/>
        <v/>
      </c>
      <c r="AW3176" s="2" t="str">
        <f t="shared" si="198"/>
        <v/>
      </c>
      <c r="AX3176" s="2" t="str">
        <f t="shared" si="199"/>
        <v/>
      </c>
      <c r="AY3176" s="2" t="str">
        <f>IF($AV3176="","",IF(AND($Z3176=0,COUNTIF('AR SALES'!$L$2:$L$2501,$L3176)=0),"YES",""))</f>
        <v/>
      </c>
      <c r="AZ3176" s="2" t="str">
        <f>IF($AV3176="","",IF(COUNTIF(LISTS!$C$2:$C$250,$AU3176)=0,"NEW",""))</f>
        <v/>
      </c>
      <c r="BA3176" s="2" t="str">
        <f>IF(""&amp;$F3176&lt;&gt;"4","",IF($AY3176="YES","",IF(ROUND(SUMIFS($AE$2:$AE$4001,$L$2:$L$4001,$L3176,$F$2:$F$4001,"4")-SUMIFS('AR SALES'!$Y$2:$Y$2501,'AR SALES'!$L$2:$L$2501,$L3176,'AR SALES'!$AD$2:$AD$2501,"OFF"),2)=0,"","STALE")))</f>
        <v/>
      </c>
      <c r="BB3176" s="2" t="str">
        <f>IF(OR(""&amp;$F3176="2",""&amp;$F3176="4",""&amp;$F3176="G",""&amp;$F3176="H"),IF($AY3176="YES","",IF($AB3176&lt;&gt;0,"",IF(COUNTIFS('AR SALES'!$L$2:$L$2501,$L3176,'AR SALES'!$AD$2:$AD$2501,IF(""&amp;$F3176="4","OFF","ON"),'AR SALES'!$AF$2:$AF$2501,"Y")&gt;0,"","NO EXEMPTION"))),"")</f>
        <v/>
      </c>
    </row>
    <row r="3177" spans="46:54" x14ac:dyDescent="0.25">
      <c r="AT3177" s="2" t="str">
        <f>IF($L3177="","",IFERROR(INDEX('AR SALES'!$H$2:$H$2501,MATCH(""&amp;$L3177,'AR SALES'!$AE$2:$AE$2501,0)),""))</f>
        <v/>
      </c>
      <c r="AU3177" s="2" t="str">
        <f t="shared" si="196"/>
        <v/>
      </c>
      <c r="AV3177" s="2" t="str">
        <f t="shared" si="197"/>
        <v/>
      </c>
      <c r="AW3177" s="2" t="str">
        <f t="shared" si="198"/>
        <v/>
      </c>
      <c r="AX3177" s="2" t="str">
        <f t="shared" si="199"/>
        <v/>
      </c>
      <c r="AY3177" s="2" t="str">
        <f>IF($AV3177="","",IF(AND($Z3177=0,COUNTIF('AR SALES'!$L$2:$L$2501,$L3177)=0),"YES",""))</f>
        <v/>
      </c>
      <c r="AZ3177" s="2" t="str">
        <f>IF($AV3177="","",IF(COUNTIF(LISTS!$C$2:$C$250,$AU3177)=0,"NEW",""))</f>
        <v/>
      </c>
      <c r="BA3177" s="2" t="str">
        <f>IF(""&amp;$F3177&lt;&gt;"4","",IF($AY3177="YES","",IF(ROUND(SUMIFS($AE$2:$AE$4001,$L$2:$L$4001,$L3177,$F$2:$F$4001,"4")-SUMIFS('AR SALES'!$Y$2:$Y$2501,'AR SALES'!$L$2:$L$2501,$L3177,'AR SALES'!$AD$2:$AD$2501,"OFF"),2)=0,"","STALE")))</f>
        <v/>
      </c>
      <c r="BB3177" s="2" t="str">
        <f>IF(OR(""&amp;$F3177="2",""&amp;$F3177="4",""&amp;$F3177="G",""&amp;$F3177="H"),IF($AY3177="YES","",IF($AB3177&lt;&gt;0,"",IF(COUNTIFS('AR SALES'!$L$2:$L$2501,$L3177,'AR SALES'!$AD$2:$AD$2501,IF(""&amp;$F3177="4","OFF","ON"),'AR SALES'!$AF$2:$AF$2501,"Y")&gt;0,"","NO EXEMPTION"))),"")</f>
        <v/>
      </c>
    </row>
    <row r="3178" spans="46:54" x14ac:dyDescent="0.25">
      <c r="AT3178" s="2" t="str">
        <f>IF($L3178="","",IFERROR(INDEX('AR SALES'!$H$2:$H$2501,MATCH(""&amp;$L3178,'AR SALES'!$AE$2:$AE$2501,0)),""))</f>
        <v/>
      </c>
      <c r="AU3178" s="2" t="str">
        <f t="shared" si="196"/>
        <v/>
      </c>
      <c r="AV3178" s="2" t="str">
        <f t="shared" si="197"/>
        <v/>
      </c>
      <c r="AW3178" s="2" t="str">
        <f t="shared" si="198"/>
        <v/>
      </c>
      <c r="AX3178" s="2" t="str">
        <f t="shared" si="199"/>
        <v/>
      </c>
      <c r="AY3178" s="2" t="str">
        <f>IF($AV3178="","",IF(AND($Z3178=0,COUNTIF('AR SALES'!$L$2:$L$2501,$L3178)=0),"YES",""))</f>
        <v/>
      </c>
      <c r="AZ3178" s="2" t="str">
        <f>IF($AV3178="","",IF(COUNTIF(LISTS!$C$2:$C$250,$AU3178)=0,"NEW",""))</f>
        <v/>
      </c>
      <c r="BA3178" s="2" t="str">
        <f>IF(""&amp;$F3178&lt;&gt;"4","",IF($AY3178="YES","",IF(ROUND(SUMIFS($AE$2:$AE$4001,$L$2:$L$4001,$L3178,$F$2:$F$4001,"4")-SUMIFS('AR SALES'!$Y$2:$Y$2501,'AR SALES'!$L$2:$L$2501,$L3178,'AR SALES'!$AD$2:$AD$2501,"OFF"),2)=0,"","STALE")))</f>
        <v/>
      </c>
      <c r="BB3178" s="2" t="str">
        <f>IF(OR(""&amp;$F3178="2",""&amp;$F3178="4",""&amp;$F3178="G",""&amp;$F3178="H"),IF($AY3178="YES","",IF($AB3178&lt;&gt;0,"",IF(COUNTIFS('AR SALES'!$L$2:$L$2501,$L3178,'AR SALES'!$AD$2:$AD$2501,IF(""&amp;$F3178="4","OFF","ON"),'AR SALES'!$AF$2:$AF$2501,"Y")&gt;0,"","NO EXEMPTION"))),"")</f>
        <v/>
      </c>
    </row>
    <row r="3179" spans="46:54" x14ac:dyDescent="0.25">
      <c r="AT3179" s="2" t="str">
        <f>IF($L3179="","",IFERROR(INDEX('AR SALES'!$H$2:$H$2501,MATCH(""&amp;$L3179,'AR SALES'!$AE$2:$AE$2501,0)),""))</f>
        <v/>
      </c>
      <c r="AU3179" s="2" t="str">
        <f t="shared" si="196"/>
        <v/>
      </c>
      <c r="AV3179" s="2" t="str">
        <f t="shared" si="197"/>
        <v/>
      </c>
      <c r="AW3179" s="2" t="str">
        <f t="shared" si="198"/>
        <v/>
      </c>
      <c r="AX3179" s="2" t="str">
        <f t="shared" si="199"/>
        <v/>
      </c>
      <c r="AY3179" s="2" t="str">
        <f>IF($AV3179="","",IF(AND($Z3179=0,COUNTIF('AR SALES'!$L$2:$L$2501,$L3179)=0),"YES",""))</f>
        <v/>
      </c>
      <c r="AZ3179" s="2" t="str">
        <f>IF($AV3179="","",IF(COUNTIF(LISTS!$C$2:$C$250,$AU3179)=0,"NEW",""))</f>
        <v/>
      </c>
      <c r="BA3179" s="2" t="str">
        <f>IF(""&amp;$F3179&lt;&gt;"4","",IF($AY3179="YES","",IF(ROUND(SUMIFS($AE$2:$AE$4001,$L$2:$L$4001,$L3179,$F$2:$F$4001,"4")-SUMIFS('AR SALES'!$Y$2:$Y$2501,'AR SALES'!$L$2:$L$2501,$L3179,'AR SALES'!$AD$2:$AD$2501,"OFF"),2)=0,"","STALE")))</f>
        <v/>
      </c>
      <c r="BB3179" s="2" t="str">
        <f>IF(OR(""&amp;$F3179="2",""&amp;$F3179="4",""&amp;$F3179="G",""&amp;$F3179="H"),IF($AY3179="YES","",IF($AB3179&lt;&gt;0,"",IF(COUNTIFS('AR SALES'!$L$2:$L$2501,$L3179,'AR SALES'!$AD$2:$AD$2501,IF(""&amp;$F3179="4","OFF","ON"),'AR SALES'!$AF$2:$AF$2501,"Y")&gt;0,"","NO EXEMPTION"))),"")</f>
        <v/>
      </c>
    </row>
    <row r="3180" spans="46:54" x14ac:dyDescent="0.25">
      <c r="AT3180" s="2" t="str">
        <f>IF($L3180="","",IFERROR(INDEX('AR SALES'!$H$2:$H$2501,MATCH(""&amp;$L3180,'AR SALES'!$AE$2:$AE$2501,0)),""))</f>
        <v/>
      </c>
      <c r="AU3180" s="2" t="str">
        <f t="shared" si="196"/>
        <v/>
      </c>
      <c r="AV3180" s="2" t="str">
        <f t="shared" si="197"/>
        <v/>
      </c>
      <c r="AW3180" s="2" t="str">
        <f t="shared" si="198"/>
        <v/>
      </c>
      <c r="AX3180" s="2" t="str">
        <f t="shared" si="199"/>
        <v/>
      </c>
      <c r="AY3180" s="2" t="str">
        <f>IF($AV3180="","",IF(AND($Z3180=0,COUNTIF('AR SALES'!$L$2:$L$2501,$L3180)=0),"YES",""))</f>
        <v/>
      </c>
      <c r="AZ3180" s="2" t="str">
        <f>IF($AV3180="","",IF(COUNTIF(LISTS!$C$2:$C$250,$AU3180)=0,"NEW",""))</f>
        <v/>
      </c>
      <c r="BA3180" s="2" t="str">
        <f>IF(""&amp;$F3180&lt;&gt;"4","",IF($AY3180="YES","",IF(ROUND(SUMIFS($AE$2:$AE$4001,$L$2:$L$4001,$L3180,$F$2:$F$4001,"4")-SUMIFS('AR SALES'!$Y$2:$Y$2501,'AR SALES'!$L$2:$L$2501,$L3180,'AR SALES'!$AD$2:$AD$2501,"OFF"),2)=0,"","STALE")))</f>
        <v/>
      </c>
      <c r="BB3180" s="2" t="str">
        <f>IF(OR(""&amp;$F3180="2",""&amp;$F3180="4",""&amp;$F3180="G",""&amp;$F3180="H"),IF($AY3180="YES","",IF($AB3180&lt;&gt;0,"",IF(COUNTIFS('AR SALES'!$L$2:$L$2501,$L3180,'AR SALES'!$AD$2:$AD$2501,IF(""&amp;$F3180="4","OFF","ON"),'AR SALES'!$AF$2:$AF$2501,"Y")&gt;0,"","NO EXEMPTION"))),"")</f>
        <v/>
      </c>
    </row>
    <row r="3181" spans="46:54" x14ac:dyDescent="0.25">
      <c r="AT3181" s="2" t="str">
        <f>IF($L3181="","",IFERROR(INDEX('AR SALES'!$H$2:$H$2501,MATCH(""&amp;$L3181,'AR SALES'!$AE$2:$AE$2501,0)),""))</f>
        <v/>
      </c>
      <c r="AU3181" s="2" t="str">
        <f t="shared" si="196"/>
        <v/>
      </c>
      <c r="AV3181" s="2" t="str">
        <f t="shared" si="197"/>
        <v/>
      </c>
      <c r="AW3181" s="2" t="str">
        <f t="shared" si="198"/>
        <v/>
      </c>
      <c r="AX3181" s="2" t="str">
        <f t="shared" si="199"/>
        <v/>
      </c>
      <c r="AY3181" s="2" t="str">
        <f>IF($AV3181="","",IF(AND($Z3181=0,COUNTIF('AR SALES'!$L$2:$L$2501,$L3181)=0),"YES",""))</f>
        <v/>
      </c>
      <c r="AZ3181" s="2" t="str">
        <f>IF($AV3181="","",IF(COUNTIF(LISTS!$C$2:$C$250,$AU3181)=0,"NEW",""))</f>
        <v/>
      </c>
      <c r="BA3181" s="2" t="str">
        <f>IF(""&amp;$F3181&lt;&gt;"4","",IF($AY3181="YES","",IF(ROUND(SUMIFS($AE$2:$AE$4001,$L$2:$L$4001,$L3181,$F$2:$F$4001,"4")-SUMIFS('AR SALES'!$Y$2:$Y$2501,'AR SALES'!$L$2:$L$2501,$L3181,'AR SALES'!$AD$2:$AD$2501,"OFF"),2)=0,"","STALE")))</f>
        <v/>
      </c>
      <c r="BB3181" s="2" t="str">
        <f>IF(OR(""&amp;$F3181="2",""&amp;$F3181="4",""&amp;$F3181="G",""&amp;$F3181="H"),IF($AY3181="YES","",IF($AB3181&lt;&gt;0,"",IF(COUNTIFS('AR SALES'!$L$2:$L$2501,$L3181,'AR SALES'!$AD$2:$AD$2501,IF(""&amp;$F3181="4","OFF","ON"),'AR SALES'!$AF$2:$AF$2501,"Y")&gt;0,"","NO EXEMPTION"))),"")</f>
        <v/>
      </c>
    </row>
    <row r="3182" spans="46:54" x14ac:dyDescent="0.25">
      <c r="AT3182" s="2" t="str">
        <f>IF($L3182="","",IFERROR(INDEX('AR SALES'!$H$2:$H$2501,MATCH(""&amp;$L3182,'AR SALES'!$AE$2:$AE$2501,0)),""))</f>
        <v/>
      </c>
      <c r="AU3182" s="2" t="str">
        <f t="shared" si="196"/>
        <v/>
      </c>
      <c r="AV3182" s="2" t="str">
        <f t="shared" si="197"/>
        <v/>
      </c>
      <c r="AW3182" s="2" t="str">
        <f t="shared" si="198"/>
        <v/>
      </c>
      <c r="AX3182" s="2" t="str">
        <f t="shared" si="199"/>
        <v/>
      </c>
      <c r="AY3182" s="2" t="str">
        <f>IF($AV3182="","",IF(AND($Z3182=0,COUNTIF('AR SALES'!$L$2:$L$2501,$L3182)=0),"YES",""))</f>
        <v/>
      </c>
      <c r="AZ3182" s="2" t="str">
        <f>IF($AV3182="","",IF(COUNTIF(LISTS!$C$2:$C$250,$AU3182)=0,"NEW",""))</f>
        <v/>
      </c>
      <c r="BA3182" s="2" t="str">
        <f>IF(""&amp;$F3182&lt;&gt;"4","",IF($AY3182="YES","",IF(ROUND(SUMIFS($AE$2:$AE$4001,$L$2:$L$4001,$L3182,$F$2:$F$4001,"4")-SUMIFS('AR SALES'!$Y$2:$Y$2501,'AR SALES'!$L$2:$L$2501,$L3182,'AR SALES'!$AD$2:$AD$2501,"OFF"),2)=0,"","STALE")))</f>
        <v/>
      </c>
      <c r="BB3182" s="2" t="str">
        <f>IF(OR(""&amp;$F3182="2",""&amp;$F3182="4",""&amp;$F3182="G",""&amp;$F3182="H"),IF($AY3182="YES","",IF($AB3182&lt;&gt;0,"",IF(COUNTIFS('AR SALES'!$L$2:$L$2501,$L3182,'AR SALES'!$AD$2:$AD$2501,IF(""&amp;$F3182="4","OFF","ON"),'AR SALES'!$AF$2:$AF$2501,"Y")&gt;0,"","NO EXEMPTION"))),"")</f>
        <v/>
      </c>
    </row>
    <row r="3183" spans="46:54" x14ac:dyDescent="0.25">
      <c r="AT3183" s="2" t="str">
        <f>IF($L3183="","",IFERROR(INDEX('AR SALES'!$H$2:$H$2501,MATCH(""&amp;$L3183,'AR SALES'!$AE$2:$AE$2501,0)),""))</f>
        <v/>
      </c>
      <c r="AU3183" s="2" t="str">
        <f t="shared" si="196"/>
        <v/>
      </c>
      <c r="AV3183" s="2" t="str">
        <f t="shared" si="197"/>
        <v/>
      </c>
      <c r="AW3183" s="2" t="str">
        <f t="shared" si="198"/>
        <v/>
      </c>
      <c r="AX3183" s="2" t="str">
        <f t="shared" si="199"/>
        <v/>
      </c>
      <c r="AY3183" s="2" t="str">
        <f>IF($AV3183="","",IF(AND($Z3183=0,COUNTIF('AR SALES'!$L$2:$L$2501,$L3183)=0),"YES",""))</f>
        <v/>
      </c>
      <c r="AZ3183" s="2" t="str">
        <f>IF($AV3183="","",IF(COUNTIF(LISTS!$C$2:$C$250,$AU3183)=0,"NEW",""))</f>
        <v/>
      </c>
      <c r="BA3183" s="2" t="str">
        <f>IF(""&amp;$F3183&lt;&gt;"4","",IF($AY3183="YES","",IF(ROUND(SUMIFS($AE$2:$AE$4001,$L$2:$L$4001,$L3183,$F$2:$F$4001,"4")-SUMIFS('AR SALES'!$Y$2:$Y$2501,'AR SALES'!$L$2:$L$2501,$L3183,'AR SALES'!$AD$2:$AD$2501,"OFF"),2)=0,"","STALE")))</f>
        <v/>
      </c>
      <c r="BB3183" s="2" t="str">
        <f>IF(OR(""&amp;$F3183="2",""&amp;$F3183="4",""&amp;$F3183="G",""&amp;$F3183="H"),IF($AY3183="YES","",IF($AB3183&lt;&gt;0,"",IF(COUNTIFS('AR SALES'!$L$2:$L$2501,$L3183,'AR SALES'!$AD$2:$AD$2501,IF(""&amp;$F3183="4","OFF","ON"),'AR SALES'!$AF$2:$AF$2501,"Y")&gt;0,"","NO EXEMPTION"))),"")</f>
        <v/>
      </c>
    </row>
    <row r="3184" spans="46:54" x14ac:dyDescent="0.25">
      <c r="AT3184" s="2" t="str">
        <f>IF($L3184="","",IFERROR(INDEX('AR SALES'!$H$2:$H$2501,MATCH(""&amp;$L3184,'AR SALES'!$AE$2:$AE$2501,0)),""))</f>
        <v/>
      </c>
      <c r="AU3184" s="2" t="str">
        <f t="shared" si="196"/>
        <v/>
      </c>
      <c r="AV3184" s="2" t="str">
        <f t="shared" si="197"/>
        <v/>
      </c>
      <c r="AW3184" s="2" t="str">
        <f t="shared" si="198"/>
        <v/>
      </c>
      <c r="AX3184" s="2" t="str">
        <f t="shared" si="199"/>
        <v/>
      </c>
      <c r="AY3184" s="2" t="str">
        <f>IF($AV3184="","",IF(AND($Z3184=0,COUNTIF('AR SALES'!$L$2:$L$2501,$L3184)=0),"YES",""))</f>
        <v/>
      </c>
      <c r="AZ3184" s="2" t="str">
        <f>IF($AV3184="","",IF(COUNTIF(LISTS!$C$2:$C$250,$AU3184)=0,"NEW",""))</f>
        <v/>
      </c>
      <c r="BA3184" s="2" t="str">
        <f>IF(""&amp;$F3184&lt;&gt;"4","",IF($AY3184="YES","",IF(ROUND(SUMIFS($AE$2:$AE$4001,$L$2:$L$4001,$L3184,$F$2:$F$4001,"4")-SUMIFS('AR SALES'!$Y$2:$Y$2501,'AR SALES'!$L$2:$L$2501,$L3184,'AR SALES'!$AD$2:$AD$2501,"OFF"),2)=0,"","STALE")))</f>
        <v/>
      </c>
      <c r="BB3184" s="2" t="str">
        <f>IF(OR(""&amp;$F3184="2",""&amp;$F3184="4",""&amp;$F3184="G",""&amp;$F3184="H"),IF($AY3184="YES","",IF($AB3184&lt;&gt;0,"",IF(COUNTIFS('AR SALES'!$L$2:$L$2501,$L3184,'AR SALES'!$AD$2:$AD$2501,IF(""&amp;$F3184="4","OFF","ON"),'AR SALES'!$AF$2:$AF$2501,"Y")&gt;0,"","NO EXEMPTION"))),"")</f>
        <v/>
      </c>
    </row>
    <row r="3185" spans="46:54" x14ac:dyDescent="0.25">
      <c r="AT3185" s="2" t="str">
        <f>IF($L3185="","",IFERROR(INDEX('AR SALES'!$H$2:$H$2501,MATCH(""&amp;$L3185,'AR SALES'!$AE$2:$AE$2501,0)),""))</f>
        <v/>
      </c>
      <c r="AU3185" s="2" t="str">
        <f t="shared" si="196"/>
        <v/>
      </c>
      <c r="AV3185" s="2" t="str">
        <f t="shared" si="197"/>
        <v/>
      </c>
      <c r="AW3185" s="2" t="str">
        <f t="shared" si="198"/>
        <v/>
      </c>
      <c r="AX3185" s="2" t="str">
        <f t="shared" si="199"/>
        <v/>
      </c>
      <c r="AY3185" s="2" t="str">
        <f>IF($AV3185="","",IF(AND($Z3185=0,COUNTIF('AR SALES'!$L$2:$L$2501,$L3185)=0),"YES",""))</f>
        <v/>
      </c>
      <c r="AZ3185" s="2" t="str">
        <f>IF($AV3185="","",IF(COUNTIF(LISTS!$C$2:$C$250,$AU3185)=0,"NEW",""))</f>
        <v/>
      </c>
      <c r="BA3185" s="2" t="str">
        <f>IF(""&amp;$F3185&lt;&gt;"4","",IF($AY3185="YES","",IF(ROUND(SUMIFS($AE$2:$AE$4001,$L$2:$L$4001,$L3185,$F$2:$F$4001,"4")-SUMIFS('AR SALES'!$Y$2:$Y$2501,'AR SALES'!$L$2:$L$2501,$L3185,'AR SALES'!$AD$2:$AD$2501,"OFF"),2)=0,"","STALE")))</f>
        <v/>
      </c>
      <c r="BB3185" s="2" t="str">
        <f>IF(OR(""&amp;$F3185="2",""&amp;$F3185="4",""&amp;$F3185="G",""&amp;$F3185="H"),IF($AY3185="YES","",IF($AB3185&lt;&gt;0,"",IF(COUNTIFS('AR SALES'!$L$2:$L$2501,$L3185,'AR SALES'!$AD$2:$AD$2501,IF(""&amp;$F3185="4","OFF","ON"),'AR SALES'!$AF$2:$AF$2501,"Y")&gt;0,"","NO EXEMPTION"))),"")</f>
        <v/>
      </c>
    </row>
    <row r="3186" spans="46:54" x14ac:dyDescent="0.25">
      <c r="AT3186" s="2" t="str">
        <f>IF($L3186="","",IFERROR(INDEX('AR SALES'!$H$2:$H$2501,MATCH(""&amp;$L3186,'AR SALES'!$AE$2:$AE$2501,0)),""))</f>
        <v/>
      </c>
      <c r="AU3186" s="2" t="str">
        <f t="shared" si="196"/>
        <v/>
      </c>
      <c r="AV3186" s="2" t="str">
        <f t="shared" si="197"/>
        <v/>
      </c>
      <c r="AW3186" s="2" t="str">
        <f t="shared" si="198"/>
        <v/>
      </c>
      <c r="AX3186" s="2" t="str">
        <f t="shared" si="199"/>
        <v/>
      </c>
      <c r="AY3186" s="2" t="str">
        <f>IF($AV3186="","",IF(AND($Z3186=0,COUNTIF('AR SALES'!$L$2:$L$2501,$L3186)=0),"YES",""))</f>
        <v/>
      </c>
      <c r="AZ3186" s="2" t="str">
        <f>IF($AV3186="","",IF(COUNTIF(LISTS!$C$2:$C$250,$AU3186)=0,"NEW",""))</f>
        <v/>
      </c>
      <c r="BA3186" s="2" t="str">
        <f>IF(""&amp;$F3186&lt;&gt;"4","",IF($AY3186="YES","",IF(ROUND(SUMIFS($AE$2:$AE$4001,$L$2:$L$4001,$L3186,$F$2:$F$4001,"4")-SUMIFS('AR SALES'!$Y$2:$Y$2501,'AR SALES'!$L$2:$L$2501,$L3186,'AR SALES'!$AD$2:$AD$2501,"OFF"),2)=0,"","STALE")))</f>
        <v/>
      </c>
      <c r="BB3186" s="2" t="str">
        <f>IF(OR(""&amp;$F3186="2",""&amp;$F3186="4",""&amp;$F3186="G",""&amp;$F3186="H"),IF($AY3186="YES","",IF($AB3186&lt;&gt;0,"",IF(COUNTIFS('AR SALES'!$L$2:$L$2501,$L3186,'AR SALES'!$AD$2:$AD$2501,IF(""&amp;$F3186="4","OFF","ON"),'AR SALES'!$AF$2:$AF$2501,"Y")&gt;0,"","NO EXEMPTION"))),"")</f>
        <v/>
      </c>
    </row>
    <row r="3187" spans="46:54" x14ac:dyDescent="0.25">
      <c r="AT3187" s="2" t="str">
        <f>IF($L3187="","",IFERROR(INDEX('AR SALES'!$H$2:$H$2501,MATCH(""&amp;$L3187,'AR SALES'!$AE$2:$AE$2501,0)),""))</f>
        <v/>
      </c>
      <c r="AU3187" s="2" t="str">
        <f t="shared" si="196"/>
        <v/>
      </c>
      <c r="AV3187" s="2" t="str">
        <f t="shared" si="197"/>
        <v/>
      </c>
      <c r="AW3187" s="2" t="str">
        <f t="shared" si="198"/>
        <v/>
      </c>
      <c r="AX3187" s="2" t="str">
        <f t="shared" si="199"/>
        <v/>
      </c>
      <c r="AY3187" s="2" t="str">
        <f>IF($AV3187="","",IF(AND($Z3187=0,COUNTIF('AR SALES'!$L$2:$L$2501,$L3187)=0),"YES",""))</f>
        <v/>
      </c>
      <c r="AZ3187" s="2" t="str">
        <f>IF($AV3187="","",IF(COUNTIF(LISTS!$C$2:$C$250,$AU3187)=0,"NEW",""))</f>
        <v/>
      </c>
      <c r="BA3187" s="2" t="str">
        <f>IF(""&amp;$F3187&lt;&gt;"4","",IF($AY3187="YES","",IF(ROUND(SUMIFS($AE$2:$AE$4001,$L$2:$L$4001,$L3187,$F$2:$F$4001,"4")-SUMIFS('AR SALES'!$Y$2:$Y$2501,'AR SALES'!$L$2:$L$2501,$L3187,'AR SALES'!$AD$2:$AD$2501,"OFF"),2)=0,"","STALE")))</f>
        <v/>
      </c>
      <c r="BB3187" s="2" t="str">
        <f>IF(OR(""&amp;$F3187="2",""&amp;$F3187="4",""&amp;$F3187="G",""&amp;$F3187="H"),IF($AY3187="YES","",IF($AB3187&lt;&gt;0,"",IF(COUNTIFS('AR SALES'!$L$2:$L$2501,$L3187,'AR SALES'!$AD$2:$AD$2501,IF(""&amp;$F3187="4","OFF","ON"),'AR SALES'!$AF$2:$AF$2501,"Y")&gt;0,"","NO EXEMPTION"))),"")</f>
        <v/>
      </c>
    </row>
    <row r="3188" spans="46:54" x14ac:dyDescent="0.25">
      <c r="AT3188" s="2" t="str">
        <f>IF($L3188="","",IFERROR(INDEX('AR SALES'!$H$2:$H$2501,MATCH(""&amp;$L3188,'AR SALES'!$AE$2:$AE$2501,0)),""))</f>
        <v/>
      </c>
      <c r="AU3188" s="2" t="str">
        <f t="shared" si="196"/>
        <v/>
      </c>
      <c r="AV3188" s="2" t="str">
        <f t="shared" si="197"/>
        <v/>
      </c>
      <c r="AW3188" s="2" t="str">
        <f t="shared" si="198"/>
        <v/>
      </c>
      <c r="AX3188" s="2" t="str">
        <f t="shared" si="199"/>
        <v/>
      </c>
      <c r="AY3188" s="2" t="str">
        <f>IF($AV3188="","",IF(AND($Z3188=0,COUNTIF('AR SALES'!$L$2:$L$2501,$L3188)=0),"YES",""))</f>
        <v/>
      </c>
      <c r="AZ3188" s="2" t="str">
        <f>IF($AV3188="","",IF(COUNTIF(LISTS!$C$2:$C$250,$AU3188)=0,"NEW",""))</f>
        <v/>
      </c>
      <c r="BA3188" s="2" t="str">
        <f>IF(""&amp;$F3188&lt;&gt;"4","",IF($AY3188="YES","",IF(ROUND(SUMIFS($AE$2:$AE$4001,$L$2:$L$4001,$L3188,$F$2:$F$4001,"4")-SUMIFS('AR SALES'!$Y$2:$Y$2501,'AR SALES'!$L$2:$L$2501,$L3188,'AR SALES'!$AD$2:$AD$2501,"OFF"),2)=0,"","STALE")))</f>
        <v/>
      </c>
      <c r="BB3188" s="2" t="str">
        <f>IF(OR(""&amp;$F3188="2",""&amp;$F3188="4",""&amp;$F3188="G",""&amp;$F3188="H"),IF($AY3188="YES","",IF($AB3188&lt;&gt;0,"",IF(COUNTIFS('AR SALES'!$L$2:$L$2501,$L3188,'AR SALES'!$AD$2:$AD$2501,IF(""&amp;$F3188="4","OFF","ON"),'AR SALES'!$AF$2:$AF$2501,"Y")&gt;0,"","NO EXEMPTION"))),"")</f>
        <v/>
      </c>
    </row>
    <row r="3189" spans="46:54" x14ac:dyDescent="0.25">
      <c r="AT3189" s="2" t="str">
        <f>IF($L3189="","",IFERROR(INDEX('AR SALES'!$H$2:$H$2501,MATCH(""&amp;$L3189,'AR SALES'!$AE$2:$AE$2501,0)),""))</f>
        <v/>
      </c>
      <c r="AU3189" s="2" t="str">
        <f t="shared" si="196"/>
        <v/>
      </c>
      <c r="AV3189" s="2" t="str">
        <f t="shared" si="197"/>
        <v/>
      </c>
      <c r="AW3189" s="2" t="str">
        <f t="shared" si="198"/>
        <v/>
      </c>
      <c r="AX3189" s="2" t="str">
        <f t="shared" si="199"/>
        <v/>
      </c>
      <c r="AY3189" s="2" t="str">
        <f>IF($AV3189="","",IF(AND($Z3189=0,COUNTIF('AR SALES'!$L$2:$L$2501,$L3189)=0),"YES",""))</f>
        <v/>
      </c>
      <c r="AZ3189" s="2" t="str">
        <f>IF($AV3189="","",IF(COUNTIF(LISTS!$C$2:$C$250,$AU3189)=0,"NEW",""))</f>
        <v/>
      </c>
      <c r="BA3189" s="2" t="str">
        <f>IF(""&amp;$F3189&lt;&gt;"4","",IF($AY3189="YES","",IF(ROUND(SUMIFS($AE$2:$AE$4001,$L$2:$L$4001,$L3189,$F$2:$F$4001,"4")-SUMIFS('AR SALES'!$Y$2:$Y$2501,'AR SALES'!$L$2:$L$2501,$L3189,'AR SALES'!$AD$2:$AD$2501,"OFF"),2)=0,"","STALE")))</f>
        <v/>
      </c>
      <c r="BB3189" s="2" t="str">
        <f>IF(OR(""&amp;$F3189="2",""&amp;$F3189="4",""&amp;$F3189="G",""&amp;$F3189="H"),IF($AY3189="YES","",IF($AB3189&lt;&gt;0,"",IF(COUNTIFS('AR SALES'!$L$2:$L$2501,$L3189,'AR SALES'!$AD$2:$AD$2501,IF(""&amp;$F3189="4","OFF","ON"),'AR SALES'!$AF$2:$AF$2501,"Y")&gt;0,"","NO EXEMPTION"))),"")</f>
        <v/>
      </c>
    </row>
    <row r="3190" spans="46:54" x14ac:dyDescent="0.25">
      <c r="AT3190" s="2" t="str">
        <f>IF($L3190="","",IFERROR(INDEX('AR SALES'!$H$2:$H$2501,MATCH(""&amp;$L3190,'AR SALES'!$AE$2:$AE$2501,0)),""))</f>
        <v/>
      </c>
      <c r="AU3190" s="2" t="str">
        <f t="shared" si="196"/>
        <v/>
      </c>
      <c r="AV3190" s="2" t="str">
        <f t="shared" si="197"/>
        <v/>
      </c>
      <c r="AW3190" s="2" t="str">
        <f t="shared" si="198"/>
        <v/>
      </c>
      <c r="AX3190" s="2" t="str">
        <f t="shared" si="199"/>
        <v/>
      </c>
      <c r="AY3190" s="2" t="str">
        <f>IF($AV3190="","",IF(AND($Z3190=0,COUNTIF('AR SALES'!$L$2:$L$2501,$L3190)=0),"YES",""))</f>
        <v/>
      </c>
      <c r="AZ3190" s="2" t="str">
        <f>IF($AV3190="","",IF(COUNTIF(LISTS!$C$2:$C$250,$AU3190)=0,"NEW",""))</f>
        <v/>
      </c>
      <c r="BA3190" s="2" t="str">
        <f>IF(""&amp;$F3190&lt;&gt;"4","",IF($AY3190="YES","",IF(ROUND(SUMIFS($AE$2:$AE$4001,$L$2:$L$4001,$L3190,$F$2:$F$4001,"4")-SUMIFS('AR SALES'!$Y$2:$Y$2501,'AR SALES'!$L$2:$L$2501,$L3190,'AR SALES'!$AD$2:$AD$2501,"OFF"),2)=0,"","STALE")))</f>
        <v/>
      </c>
      <c r="BB3190" s="2" t="str">
        <f>IF(OR(""&amp;$F3190="2",""&amp;$F3190="4",""&amp;$F3190="G",""&amp;$F3190="H"),IF($AY3190="YES","",IF($AB3190&lt;&gt;0,"",IF(COUNTIFS('AR SALES'!$L$2:$L$2501,$L3190,'AR SALES'!$AD$2:$AD$2501,IF(""&amp;$F3190="4","OFF","ON"),'AR SALES'!$AF$2:$AF$2501,"Y")&gt;0,"","NO EXEMPTION"))),"")</f>
        <v/>
      </c>
    </row>
    <row r="3191" spans="46:54" x14ac:dyDescent="0.25">
      <c r="AT3191" s="2" t="str">
        <f>IF($L3191="","",IFERROR(INDEX('AR SALES'!$H$2:$H$2501,MATCH(""&amp;$L3191,'AR SALES'!$AE$2:$AE$2501,0)),""))</f>
        <v/>
      </c>
      <c r="AU3191" s="2" t="str">
        <f t="shared" si="196"/>
        <v/>
      </c>
      <c r="AV3191" s="2" t="str">
        <f t="shared" si="197"/>
        <v/>
      </c>
      <c r="AW3191" s="2" t="str">
        <f t="shared" si="198"/>
        <v/>
      </c>
      <c r="AX3191" s="2" t="str">
        <f t="shared" si="199"/>
        <v/>
      </c>
      <c r="AY3191" s="2" t="str">
        <f>IF($AV3191="","",IF(AND($Z3191=0,COUNTIF('AR SALES'!$L$2:$L$2501,$L3191)=0),"YES",""))</f>
        <v/>
      </c>
      <c r="AZ3191" s="2" t="str">
        <f>IF($AV3191="","",IF(COUNTIF(LISTS!$C$2:$C$250,$AU3191)=0,"NEW",""))</f>
        <v/>
      </c>
      <c r="BA3191" s="2" t="str">
        <f>IF(""&amp;$F3191&lt;&gt;"4","",IF($AY3191="YES","",IF(ROUND(SUMIFS($AE$2:$AE$4001,$L$2:$L$4001,$L3191,$F$2:$F$4001,"4")-SUMIFS('AR SALES'!$Y$2:$Y$2501,'AR SALES'!$L$2:$L$2501,$L3191,'AR SALES'!$AD$2:$AD$2501,"OFF"),2)=0,"","STALE")))</f>
        <v/>
      </c>
      <c r="BB3191" s="2" t="str">
        <f>IF(OR(""&amp;$F3191="2",""&amp;$F3191="4",""&amp;$F3191="G",""&amp;$F3191="H"),IF($AY3191="YES","",IF($AB3191&lt;&gt;0,"",IF(COUNTIFS('AR SALES'!$L$2:$L$2501,$L3191,'AR SALES'!$AD$2:$AD$2501,IF(""&amp;$F3191="4","OFF","ON"),'AR SALES'!$AF$2:$AF$2501,"Y")&gt;0,"","NO EXEMPTION"))),"")</f>
        <v/>
      </c>
    </row>
    <row r="3192" spans="46:54" x14ac:dyDescent="0.25">
      <c r="AT3192" s="2" t="str">
        <f>IF($L3192="","",IFERROR(INDEX('AR SALES'!$H$2:$H$2501,MATCH(""&amp;$L3192,'AR SALES'!$AE$2:$AE$2501,0)),""))</f>
        <v/>
      </c>
      <c r="AU3192" s="2" t="str">
        <f t="shared" si="196"/>
        <v/>
      </c>
      <c r="AV3192" s="2" t="str">
        <f t="shared" si="197"/>
        <v/>
      </c>
      <c r="AW3192" s="2" t="str">
        <f t="shared" si="198"/>
        <v/>
      </c>
      <c r="AX3192" s="2" t="str">
        <f t="shared" si="199"/>
        <v/>
      </c>
      <c r="AY3192" s="2" t="str">
        <f>IF($AV3192="","",IF(AND($Z3192=0,COUNTIF('AR SALES'!$L$2:$L$2501,$L3192)=0),"YES",""))</f>
        <v/>
      </c>
      <c r="AZ3192" s="2" t="str">
        <f>IF($AV3192="","",IF(COUNTIF(LISTS!$C$2:$C$250,$AU3192)=0,"NEW",""))</f>
        <v/>
      </c>
      <c r="BA3192" s="2" t="str">
        <f>IF(""&amp;$F3192&lt;&gt;"4","",IF($AY3192="YES","",IF(ROUND(SUMIFS($AE$2:$AE$4001,$L$2:$L$4001,$L3192,$F$2:$F$4001,"4")-SUMIFS('AR SALES'!$Y$2:$Y$2501,'AR SALES'!$L$2:$L$2501,$L3192,'AR SALES'!$AD$2:$AD$2501,"OFF"),2)=0,"","STALE")))</f>
        <v/>
      </c>
      <c r="BB3192" s="2" t="str">
        <f>IF(OR(""&amp;$F3192="2",""&amp;$F3192="4",""&amp;$F3192="G",""&amp;$F3192="H"),IF($AY3192="YES","",IF($AB3192&lt;&gt;0,"",IF(COUNTIFS('AR SALES'!$L$2:$L$2501,$L3192,'AR SALES'!$AD$2:$AD$2501,IF(""&amp;$F3192="4","OFF","ON"),'AR SALES'!$AF$2:$AF$2501,"Y")&gt;0,"","NO EXEMPTION"))),"")</f>
        <v/>
      </c>
    </row>
    <row r="3193" spans="46:54" x14ac:dyDescent="0.25">
      <c r="AT3193" s="2" t="str">
        <f>IF($L3193="","",IFERROR(INDEX('AR SALES'!$H$2:$H$2501,MATCH(""&amp;$L3193,'AR SALES'!$AE$2:$AE$2501,0)),""))</f>
        <v/>
      </c>
      <c r="AU3193" s="2" t="str">
        <f t="shared" si="196"/>
        <v/>
      </c>
      <c r="AV3193" s="2" t="str">
        <f t="shared" si="197"/>
        <v/>
      </c>
      <c r="AW3193" s="2" t="str">
        <f t="shared" si="198"/>
        <v/>
      </c>
      <c r="AX3193" s="2" t="str">
        <f t="shared" si="199"/>
        <v/>
      </c>
      <c r="AY3193" s="2" t="str">
        <f>IF($AV3193="","",IF(AND($Z3193=0,COUNTIF('AR SALES'!$L$2:$L$2501,$L3193)=0),"YES",""))</f>
        <v/>
      </c>
      <c r="AZ3193" s="2" t="str">
        <f>IF($AV3193="","",IF(COUNTIF(LISTS!$C$2:$C$250,$AU3193)=0,"NEW",""))</f>
        <v/>
      </c>
      <c r="BA3193" s="2" t="str">
        <f>IF(""&amp;$F3193&lt;&gt;"4","",IF($AY3193="YES","",IF(ROUND(SUMIFS($AE$2:$AE$4001,$L$2:$L$4001,$L3193,$F$2:$F$4001,"4")-SUMIFS('AR SALES'!$Y$2:$Y$2501,'AR SALES'!$L$2:$L$2501,$L3193,'AR SALES'!$AD$2:$AD$2501,"OFF"),2)=0,"","STALE")))</f>
        <v/>
      </c>
      <c r="BB3193" s="2" t="str">
        <f>IF(OR(""&amp;$F3193="2",""&amp;$F3193="4",""&amp;$F3193="G",""&amp;$F3193="H"),IF($AY3193="YES","",IF($AB3193&lt;&gt;0,"",IF(COUNTIFS('AR SALES'!$L$2:$L$2501,$L3193,'AR SALES'!$AD$2:$AD$2501,IF(""&amp;$F3193="4","OFF","ON"),'AR SALES'!$AF$2:$AF$2501,"Y")&gt;0,"","NO EXEMPTION"))),"")</f>
        <v/>
      </c>
    </row>
    <row r="3194" spans="46:54" x14ac:dyDescent="0.25">
      <c r="AT3194" s="2" t="str">
        <f>IF($L3194="","",IFERROR(INDEX('AR SALES'!$H$2:$H$2501,MATCH(""&amp;$L3194,'AR SALES'!$AE$2:$AE$2501,0)),""))</f>
        <v/>
      </c>
      <c r="AU3194" s="2" t="str">
        <f t="shared" si="196"/>
        <v/>
      </c>
      <c r="AV3194" s="2" t="str">
        <f t="shared" si="197"/>
        <v/>
      </c>
      <c r="AW3194" s="2" t="str">
        <f t="shared" si="198"/>
        <v/>
      </c>
      <c r="AX3194" s="2" t="str">
        <f t="shared" si="199"/>
        <v/>
      </c>
      <c r="AY3194" s="2" t="str">
        <f>IF($AV3194="","",IF(AND($Z3194=0,COUNTIF('AR SALES'!$L$2:$L$2501,$L3194)=0),"YES",""))</f>
        <v/>
      </c>
      <c r="AZ3194" s="2" t="str">
        <f>IF($AV3194="","",IF(COUNTIF(LISTS!$C$2:$C$250,$AU3194)=0,"NEW",""))</f>
        <v/>
      </c>
      <c r="BA3194" s="2" t="str">
        <f>IF(""&amp;$F3194&lt;&gt;"4","",IF($AY3194="YES","",IF(ROUND(SUMIFS($AE$2:$AE$4001,$L$2:$L$4001,$L3194,$F$2:$F$4001,"4")-SUMIFS('AR SALES'!$Y$2:$Y$2501,'AR SALES'!$L$2:$L$2501,$L3194,'AR SALES'!$AD$2:$AD$2501,"OFF"),2)=0,"","STALE")))</f>
        <v/>
      </c>
      <c r="BB3194" s="2" t="str">
        <f>IF(OR(""&amp;$F3194="2",""&amp;$F3194="4",""&amp;$F3194="G",""&amp;$F3194="H"),IF($AY3194="YES","",IF($AB3194&lt;&gt;0,"",IF(COUNTIFS('AR SALES'!$L$2:$L$2501,$L3194,'AR SALES'!$AD$2:$AD$2501,IF(""&amp;$F3194="4","OFF","ON"),'AR SALES'!$AF$2:$AF$2501,"Y")&gt;0,"","NO EXEMPTION"))),"")</f>
        <v/>
      </c>
    </row>
    <row r="3195" spans="46:54" x14ac:dyDescent="0.25">
      <c r="AT3195" s="2" t="str">
        <f>IF($L3195="","",IFERROR(INDEX('AR SALES'!$H$2:$H$2501,MATCH(""&amp;$L3195,'AR SALES'!$AE$2:$AE$2501,0)),""))</f>
        <v/>
      </c>
      <c r="AU3195" s="2" t="str">
        <f t="shared" si="196"/>
        <v/>
      </c>
      <c r="AV3195" s="2" t="str">
        <f t="shared" si="197"/>
        <v/>
      </c>
      <c r="AW3195" s="2" t="str">
        <f t="shared" si="198"/>
        <v/>
      </c>
      <c r="AX3195" s="2" t="str">
        <f t="shared" si="199"/>
        <v/>
      </c>
      <c r="AY3195" s="2" t="str">
        <f>IF($AV3195="","",IF(AND($Z3195=0,COUNTIF('AR SALES'!$L$2:$L$2501,$L3195)=0),"YES",""))</f>
        <v/>
      </c>
      <c r="AZ3195" s="2" t="str">
        <f>IF($AV3195="","",IF(COUNTIF(LISTS!$C$2:$C$250,$AU3195)=0,"NEW",""))</f>
        <v/>
      </c>
      <c r="BA3195" s="2" t="str">
        <f>IF(""&amp;$F3195&lt;&gt;"4","",IF($AY3195="YES","",IF(ROUND(SUMIFS($AE$2:$AE$4001,$L$2:$L$4001,$L3195,$F$2:$F$4001,"4")-SUMIFS('AR SALES'!$Y$2:$Y$2501,'AR SALES'!$L$2:$L$2501,$L3195,'AR SALES'!$AD$2:$AD$2501,"OFF"),2)=0,"","STALE")))</f>
        <v/>
      </c>
      <c r="BB3195" s="2" t="str">
        <f>IF(OR(""&amp;$F3195="2",""&amp;$F3195="4",""&amp;$F3195="G",""&amp;$F3195="H"),IF($AY3195="YES","",IF($AB3195&lt;&gt;0,"",IF(COUNTIFS('AR SALES'!$L$2:$L$2501,$L3195,'AR SALES'!$AD$2:$AD$2501,IF(""&amp;$F3195="4","OFF","ON"),'AR SALES'!$AF$2:$AF$2501,"Y")&gt;0,"","NO EXEMPTION"))),"")</f>
        <v/>
      </c>
    </row>
    <row r="3196" spans="46:54" x14ac:dyDescent="0.25">
      <c r="AT3196" s="2" t="str">
        <f>IF($L3196="","",IFERROR(INDEX('AR SALES'!$H$2:$H$2501,MATCH(""&amp;$L3196,'AR SALES'!$AE$2:$AE$2501,0)),""))</f>
        <v/>
      </c>
      <c r="AU3196" s="2" t="str">
        <f t="shared" si="196"/>
        <v/>
      </c>
      <c r="AV3196" s="2" t="str">
        <f t="shared" si="197"/>
        <v/>
      </c>
      <c r="AW3196" s="2" t="str">
        <f t="shared" si="198"/>
        <v/>
      </c>
      <c r="AX3196" s="2" t="str">
        <f t="shared" si="199"/>
        <v/>
      </c>
      <c r="AY3196" s="2" t="str">
        <f>IF($AV3196="","",IF(AND($Z3196=0,COUNTIF('AR SALES'!$L$2:$L$2501,$L3196)=0),"YES",""))</f>
        <v/>
      </c>
      <c r="AZ3196" s="2" t="str">
        <f>IF($AV3196="","",IF(COUNTIF(LISTS!$C$2:$C$250,$AU3196)=0,"NEW",""))</f>
        <v/>
      </c>
      <c r="BA3196" s="2" t="str">
        <f>IF(""&amp;$F3196&lt;&gt;"4","",IF($AY3196="YES","",IF(ROUND(SUMIFS($AE$2:$AE$4001,$L$2:$L$4001,$L3196,$F$2:$F$4001,"4")-SUMIFS('AR SALES'!$Y$2:$Y$2501,'AR SALES'!$L$2:$L$2501,$L3196,'AR SALES'!$AD$2:$AD$2501,"OFF"),2)=0,"","STALE")))</f>
        <v/>
      </c>
      <c r="BB3196" s="2" t="str">
        <f>IF(OR(""&amp;$F3196="2",""&amp;$F3196="4",""&amp;$F3196="G",""&amp;$F3196="H"),IF($AY3196="YES","",IF($AB3196&lt;&gt;0,"",IF(COUNTIFS('AR SALES'!$L$2:$L$2501,$L3196,'AR SALES'!$AD$2:$AD$2501,IF(""&amp;$F3196="4","OFF","ON"),'AR SALES'!$AF$2:$AF$2501,"Y")&gt;0,"","NO EXEMPTION"))),"")</f>
        <v/>
      </c>
    </row>
    <row r="3197" spans="46:54" x14ac:dyDescent="0.25">
      <c r="AT3197" s="2" t="str">
        <f>IF($L3197="","",IFERROR(INDEX('AR SALES'!$H$2:$H$2501,MATCH(""&amp;$L3197,'AR SALES'!$AE$2:$AE$2501,0)),""))</f>
        <v/>
      </c>
      <c r="AU3197" s="2" t="str">
        <f t="shared" si="196"/>
        <v/>
      </c>
      <c r="AV3197" s="2" t="str">
        <f t="shared" si="197"/>
        <v/>
      </c>
      <c r="AW3197" s="2" t="str">
        <f t="shared" si="198"/>
        <v/>
      </c>
      <c r="AX3197" s="2" t="str">
        <f t="shared" si="199"/>
        <v/>
      </c>
      <c r="AY3197" s="2" t="str">
        <f>IF($AV3197="","",IF(AND($Z3197=0,COUNTIF('AR SALES'!$L$2:$L$2501,$L3197)=0),"YES",""))</f>
        <v/>
      </c>
      <c r="AZ3197" s="2" t="str">
        <f>IF($AV3197="","",IF(COUNTIF(LISTS!$C$2:$C$250,$AU3197)=0,"NEW",""))</f>
        <v/>
      </c>
      <c r="BA3197" s="2" t="str">
        <f>IF(""&amp;$F3197&lt;&gt;"4","",IF($AY3197="YES","",IF(ROUND(SUMIFS($AE$2:$AE$4001,$L$2:$L$4001,$L3197,$F$2:$F$4001,"4")-SUMIFS('AR SALES'!$Y$2:$Y$2501,'AR SALES'!$L$2:$L$2501,$L3197,'AR SALES'!$AD$2:$AD$2501,"OFF"),2)=0,"","STALE")))</f>
        <v/>
      </c>
      <c r="BB3197" s="2" t="str">
        <f>IF(OR(""&amp;$F3197="2",""&amp;$F3197="4",""&amp;$F3197="G",""&amp;$F3197="H"),IF($AY3197="YES","",IF($AB3197&lt;&gt;0,"",IF(COUNTIFS('AR SALES'!$L$2:$L$2501,$L3197,'AR SALES'!$AD$2:$AD$2501,IF(""&amp;$F3197="4","OFF","ON"),'AR SALES'!$AF$2:$AF$2501,"Y")&gt;0,"","NO EXEMPTION"))),"")</f>
        <v/>
      </c>
    </row>
    <row r="3198" spans="46:54" x14ac:dyDescent="0.25">
      <c r="AT3198" s="2" t="str">
        <f>IF($L3198="","",IFERROR(INDEX('AR SALES'!$H$2:$H$2501,MATCH(""&amp;$L3198,'AR SALES'!$AE$2:$AE$2501,0)),""))</f>
        <v/>
      </c>
      <c r="AU3198" s="2" t="str">
        <f t="shared" si="196"/>
        <v/>
      </c>
      <c r="AV3198" s="2" t="str">
        <f t="shared" si="197"/>
        <v/>
      </c>
      <c r="AW3198" s="2" t="str">
        <f t="shared" si="198"/>
        <v/>
      </c>
      <c r="AX3198" s="2" t="str">
        <f t="shared" si="199"/>
        <v/>
      </c>
      <c r="AY3198" s="2" t="str">
        <f>IF($AV3198="","",IF(AND($Z3198=0,COUNTIF('AR SALES'!$L$2:$L$2501,$L3198)=0),"YES",""))</f>
        <v/>
      </c>
      <c r="AZ3198" s="2" t="str">
        <f>IF($AV3198="","",IF(COUNTIF(LISTS!$C$2:$C$250,$AU3198)=0,"NEW",""))</f>
        <v/>
      </c>
      <c r="BA3198" s="2" t="str">
        <f>IF(""&amp;$F3198&lt;&gt;"4","",IF($AY3198="YES","",IF(ROUND(SUMIFS($AE$2:$AE$4001,$L$2:$L$4001,$L3198,$F$2:$F$4001,"4")-SUMIFS('AR SALES'!$Y$2:$Y$2501,'AR SALES'!$L$2:$L$2501,$L3198,'AR SALES'!$AD$2:$AD$2501,"OFF"),2)=0,"","STALE")))</f>
        <v/>
      </c>
      <c r="BB3198" s="2" t="str">
        <f>IF(OR(""&amp;$F3198="2",""&amp;$F3198="4",""&amp;$F3198="G",""&amp;$F3198="H"),IF($AY3198="YES","",IF($AB3198&lt;&gt;0,"",IF(COUNTIFS('AR SALES'!$L$2:$L$2501,$L3198,'AR SALES'!$AD$2:$AD$2501,IF(""&amp;$F3198="4","OFF","ON"),'AR SALES'!$AF$2:$AF$2501,"Y")&gt;0,"","NO EXEMPTION"))),"")</f>
        <v/>
      </c>
    </row>
    <row r="3199" spans="46:54" x14ac:dyDescent="0.25">
      <c r="AT3199" s="2" t="str">
        <f>IF($L3199="","",IFERROR(INDEX('AR SALES'!$H$2:$H$2501,MATCH(""&amp;$L3199,'AR SALES'!$AE$2:$AE$2501,0)),""))</f>
        <v/>
      </c>
      <c r="AU3199" s="2" t="str">
        <f t="shared" si="196"/>
        <v/>
      </c>
      <c r="AV3199" s="2" t="str">
        <f t="shared" si="197"/>
        <v/>
      </c>
      <c r="AW3199" s="2" t="str">
        <f t="shared" si="198"/>
        <v/>
      </c>
      <c r="AX3199" s="2" t="str">
        <f t="shared" si="199"/>
        <v/>
      </c>
      <c r="AY3199" s="2" t="str">
        <f>IF($AV3199="","",IF(AND($Z3199=0,COUNTIF('AR SALES'!$L$2:$L$2501,$L3199)=0),"YES",""))</f>
        <v/>
      </c>
      <c r="AZ3199" s="2" t="str">
        <f>IF($AV3199="","",IF(COUNTIF(LISTS!$C$2:$C$250,$AU3199)=0,"NEW",""))</f>
        <v/>
      </c>
      <c r="BA3199" s="2" t="str">
        <f>IF(""&amp;$F3199&lt;&gt;"4","",IF($AY3199="YES","",IF(ROUND(SUMIFS($AE$2:$AE$4001,$L$2:$L$4001,$L3199,$F$2:$F$4001,"4")-SUMIFS('AR SALES'!$Y$2:$Y$2501,'AR SALES'!$L$2:$L$2501,$L3199,'AR SALES'!$AD$2:$AD$2501,"OFF"),2)=0,"","STALE")))</f>
        <v/>
      </c>
      <c r="BB3199" s="2" t="str">
        <f>IF(OR(""&amp;$F3199="2",""&amp;$F3199="4",""&amp;$F3199="G",""&amp;$F3199="H"),IF($AY3199="YES","",IF($AB3199&lt;&gt;0,"",IF(COUNTIFS('AR SALES'!$L$2:$L$2501,$L3199,'AR SALES'!$AD$2:$AD$2501,IF(""&amp;$F3199="4","OFF","ON"),'AR SALES'!$AF$2:$AF$2501,"Y")&gt;0,"","NO EXEMPTION"))),"")</f>
        <v/>
      </c>
    </row>
    <row r="3200" spans="46:54" x14ac:dyDescent="0.25">
      <c r="AT3200" s="2" t="str">
        <f>IF($L3200="","",IFERROR(INDEX('AR SALES'!$H$2:$H$2501,MATCH(""&amp;$L3200,'AR SALES'!$AE$2:$AE$2501,0)),""))</f>
        <v/>
      </c>
      <c r="AU3200" s="2" t="str">
        <f t="shared" si="196"/>
        <v/>
      </c>
      <c r="AV3200" s="2" t="str">
        <f t="shared" si="197"/>
        <v/>
      </c>
      <c r="AW3200" s="2" t="str">
        <f t="shared" si="198"/>
        <v/>
      </c>
      <c r="AX3200" s="2" t="str">
        <f t="shared" si="199"/>
        <v/>
      </c>
      <c r="AY3200" s="2" t="str">
        <f>IF($AV3200="","",IF(AND($Z3200=0,COUNTIF('AR SALES'!$L$2:$L$2501,$L3200)=0),"YES",""))</f>
        <v/>
      </c>
      <c r="AZ3200" s="2" t="str">
        <f>IF($AV3200="","",IF(COUNTIF(LISTS!$C$2:$C$250,$AU3200)=0,"NEW",""))</f>
        <v/>
      </c>
      <c r="BA3200" s="2" t="str">
        <f>IF(""&amp;$F3200&lt;&gt;"4","",IF($AY3200="YES","",IF(ROUND(SUMIFS($AE$2:$AE$4001,$L$2:$L$4001,$L3200,$F$2:$F$4001,"4")-SUMIFS('AR SALES'!$Y$2:$Y$2501,'AR SALES'!$L$2:$L$2501,$L3200,'AR SALES'!$AD$2:$AD$2501,"OFF"),2)=0,"","STALE")))</f>
        <v/>
      </c>
      <c r="BB3200" s="2" t="str">
        <f>IF(OR(""&amp;$F3200="2",""&amp;$F3200="4",""&amp;$F3200="G",""&amp;$F3200="H"),IF($AY3200="YES","",IF($AB3200&lt;&gt;0,"",IF(COUNTIFS('AR SALES'!$L$2:$L$2501,$L3200,'AR SALES'!$AD$2:$AD$2501,IF(""&amp;$F3200="4","OFF","ON"),'AR SALES'!$AF$2:$AF$2501,"Y")&gt;0,"","NO EXEMPTION"))),"")</f>
        <v/>
      </c>
    </row>
    <row r="3201" spans="46:54" x14ac:dyDescent="0.25">
      <c r="AT3201" s="2" t="str">
        <f>IF($L3201="","",IFERROR(INDEX('AR SALES'!$H$2:$H$2501,MATCH(""&amp;$L3201,'AR SALES'!$AE$2:$AE$2501,0)),""))</f>
        <v/>
      </c>
      <c r="AU3201" s="2" t="str">
        <f t="shared" si="196"/>
        <v/>
      </c>
      <c r="AV3201" s="2" t="str">
        <f t="shared" si="197"/>
        <v/>
      </c>
      <c r="AW3201" s="2" t="str">
        <f t="shared" si="198"/>
        <v/>
      </c>
      <c r="AX3201" s="2" t="str">
        <f t="shared" si="199"/>
        <v/>
      </c>
      <c r="AY3201" s="2" t="str">
        <f>IF($AV3201="","",IF(AND($Z3201=0,COUNTIF('AR SALES'!$L$2:$L$2501,$L3201)=0),"YES",""))</f>
        <v/>
      </c>
      <c r="AZ3201" s="2" t="str">
        <f>IF($AV3201="","",IF(COUNTIF(LISTS!$C$2:$C$250,$AU3201)=0,"NEW",""))</f>
        <v/>
      </c>
      <c r="BA3201" s="2" t="str">
        <f>IF(""&amp;$F3201&lt;&gt;"4","",IF($AY3201="YES","",IF(ROUND(SUMIFS($AE$2:$AE$4001,$L$2:$L$4001,$L3201,$F$2:$F$4001,"4")-SUMIFS('AR SALES'!$Y$2:$Y$2501,'AR SALES'!$L$2:$L$2501,$L3201,'AR SALES'!$AD$2:$AD$2501,"OFF"),2)=0,"","STALE")))</f>
        <v/>
      </c>
      <c r="BB3201" s="2" t="str">
        <f>IF(OR(""&amp;$F3201="2",""&amp;$F3201="4",""&amp;$F3201="G",""&amp;$F3201="H"),IF($AY3201="YES","",IF($AB3201&lt;&gt;0,"",IF(COUNTIFS('AR SALES'!$L$2:$L$2501,$L3201,'AR SALES'!$AD$2:$AD$2501,IF(""&amp;$F3201="4","OFF","ON"),'AR SALES'!$AF$2:$AF$2501,"Y")&gt;0,"","NO EXEMPTION"))),"")</f>
        <v/>
      </c>
    </row>
    <row r="3202" spans="46:54" x14ac:dyDescent="0.25">
      <c r="AT3202" s="2" t="str">
        <f>IF($L3202="","",IFERROR(INDEX('AR SALES'!$H$2:$H$2501,MATCH(""&amp;$L3202,'AR SALES'!$AE$2:$AE$2501,0)),""))</f>
        <v/>
      </c>
      <c r="AU3202" s="2" t="str">
        <f t="shared" ref="AU3202:AU3265" si="200">IF($L3202="","",IF($A3202&lt;&gt;"GA","",IF($E3202="FULTON",IF(ISNUMBER(SEARCH("COLLEGE PARK",$AT3202)),"FULTON (COLLEGE PARK)",IF(ISNUMBER(SEARCH("ATLANTA CITY",$AT3202)),"FULTON (ATL LIMITS)","FULTON")),IF($E3202="DEKALB",IF(ISNUMBER(SEARCH("ATLANTA CITY",$AT3202)),"DEKALB (ATL LIMITS)","DEKALB"),$E3202))))</f>
        <v/>
      </c>
      <c r="AV3202" s="2" t="str">
        <f t="shared" ref="AV3202:AV3265" si="201">IF($L3202="","",IF(""&amp;$F3202="2","DIESEL",IF(OR(""&amp;$F3202="G",""&amp;$F3202="H"),"GAS","")))</f>
        <v/>
      </c>
      <c r="AW3202" s="2" t="str">
        <f t="shared" ref="AW3202:AW3265" si="202">IF($AV3202="","",$R3202)</f>
        <v/>
      </c>
      <c r="AX3202" s="2" t="str">
        <f t="shared" ref="AX3202:AX3265" si="203">IF($AV3202="","",IF($AB3202=0,$R3202,0))</f>
        <v/>
      </c>
      <c r="AY3202" s="2" t="str">
        <f>IF($AV3202="","",IF(AND($Z3202=0,COUNTIF('AR SALES'!$L$2:$L$2501,$L3202)=0),"YES",""))</f>
        <v/>
      </c>
      <c r="AZ3202" s="2" t="str">
        <f>IF($AV3202="","",IF(COUNTIF(LISTS!$C$2:$C$250,$AU3202)=0,"NEW",""))</f>
        <v/>
      </c>
      <c r="BA3202" s="2" t="str">
        <f>IF(""&amp;$F3202&lt;&gt;"4","",IF($AY3202="YES","",IF(ROUND(SUMIFS($AE$2:$AE$4001,$L$2:$L$4001,$L3202,$F$2:$F$4001,"4")-SUMIFS('AR SALES'!$Y$2:$Y$2501,'AR SALES'!$L$2:$L$2501,$L3202,'AR SALES'!$AD$2:$AD$2501,"OFF"),2)=0,"","STALE")))</f>
        <v/>
      </c>
      <c r="BB3202" s="2" t="str">
        <f>IF(OR(""&amp;$F3202="2",""&amp;$F3202="4",""&amp;$F3202="G",""&amp;$F3202="H"),IF($AY3202="YES","",IF($AB3202&lt;&gt;0,"",IF(COUNTIFS('AR SALES'!$L$2:$L$2501,$L3202,'AR SALES'!$AD$2:$AD$2501,IF(""&amp;$F3202="4","OFF","ON"),'AR SALES'!$AF$2:$AF$2501,"Y")&gt;0,"","NO EXEMPTION"))),"")</f>
        <v/>
      </c>
    </row>
    <row r="3203" spans="46:54" x14ac:dyDescent="0.25">
      <c r="AT3203" s="2" t="str">
        <f>IF($L3203="","",IFERROR(INDEX('AR SALES'!$H$2:$H$2501,MATCH(""&amp;$L3203,'AR SALES'!$AE$2:$AE$2501,0)),""))</f>
        <v/>
      </c>
      <c r="AU3203" s="2" t="str">
        <f t="shared" si="200"/>
        <v/>
      </c>
      <c r="AV3203" s="2" t="str">
        <f t="shared" si="201"/>
        <v/>
      </c>
      <c r="AW3203" s="2" t="str">
        <f t="shared" si="202"/>
        <v/>
      </c>
      <c r="AX3203" s="2" t="str">
        <f t="shared" si="203"/>
        <v/>
      </c>
      <c r="AY3203" s="2" t="str">
        <f>IF($AV3203="","",IF(AND($Z3203=0,COUNTIF('AR SALES'!$L$2:$L$2501,$L3203)=0),"YES",""))</f>
        <v/>
      </c>
      <c r="AZ3203" s="2" t="str">
        <f>IF($AV3203="","",IF(COUNTIF(LISTS!$C$2:$C$250,$AU3203)=0,"NEW",""))</f>
        <v/>
      </c>
      <c r="BA3203" s="2" t="str">
        <f>IF(""&amp;$F3203&lt;&gt;"4","",IF($AY3203="YES","",IF(ROUND(SUMIFS($AE$2:$AE$4001,$L$2:$L$4001,$L3203,$F$2:$F$4001,"4")-SUMIFS('AR SALES'!$Y$2:$Y$2501,'AR SALES'!$L$2:$L$2501,$L3203,'AR SALES'!$AD$2:$AD$2501,"OFF"),2)=0,"","STALE")))</f>
        <v/>
      </c>
      <c r="BB3203" s="2" t="str">
        <f>IF(OR(""&amp;$F3203="2",""&amp;$F3203="4",""&amp;$F3203="G",""&amp;$F3203="H"),IF($AY3203="YES","",IF($AB3203&lt;&gt;0,"",IF(COUNTIFS('AR SALES'!$L$2:$L$2501,$L3203,'AR SALES'!$AD$2:$AD$2501,IF(""&amp;$F3203="4","OFF","ON"),'AR SALES'!$AF$2:$AF$2501,"Y")&gt;0,"","NO EXEMPTION"))),"")</f>
        <v/>
      </c>
    </row>
    <row r="3204" spans="46:54" x14ac:dyDescent="0.25">
      <c r="AT3204" s="2" t="str">
        <f>IF($L3204="","",IFERROR(INDEX('AR SALES'!$H$2:$H$2501,MATCH(""&amp;$L3204,'AR SALES'!$AE$2:$AE$2501,0)),""))</f>
        <v/>
      </c>
      <c r="AU3204" s="2" t="str">
        <f t="shared" si="200"/>
        <v/>
      </c>
      <c r="AV3204" s="2" t="str">
        <f t="shared" si="201"/>
        <v/>
      </c>
      <c r="AW3204" s="2" t="str">
        <f t="shared" si="202"/>
        <v/>
      </c>
      <c r="AX3204" s="2" t="str">
        <f t="shared" si="203"/>
        <v/>
      </c>
      <c r="AY3204" s="2" t="str">
        <f>IF($AV3204="","",IF(AND($Z3204=0,COUNTIF('AR SALES'!$L$2:$L$2501,$L3204)=0),"YES",""))</f>
        <v/>
      </c>
      <c r="AZ3204" s="2" t="str">
        <f>IF($AV3204="","",IF(COUNTIF(LISTS!$C$2:$C$250,$AU3204)=0,"NEW",""))</f>
        <v/>
      </c>
      <c r="BA3204" s="2" t="str">
        <f>IF(""&amp;$F3204&lt;&gt;"4","",IF($AY3204="YES","",IF(ROUND(SUMIFS($AE$2:$AE$4001,$L$2:$L$4001,$L3204,$F$2:$F$4001,"4")-SUMIFS('AR SALES'!$Y$2:$Y$2501,'AR SALES'!$L$2:$L$2501,$L3204,'AR SALES'!$AD$2:$AD$2501,"OFF"),2)=0,"","STALE")))</f>
        <v/>
      </c>
      <c r="BB3204" s="2" t="str">
        <f>IF(OR(""&amp;$F3204="2",""&amp;$F3204="4",""&amp;$F3204="G",""&amp;$F3204="H"),IF($AY3204="YES","",IF($AB3204&lt;&gt;0,"",IF(COUNTIFS('AR SALES'!$L$2:$L$2501,$L3204,'AR SALES'!$AD$2:$AD$2501,IF(""&amp;$F3204="4","OFF","ON"),'AR SALES'!$AF$2:$AF$2501,"Y")&gt;0,"","NO EXEMPTION"))),"")</f>
        <v/>
      </c>
    </row>
    <row r="3205" spans="46:54" x14ac:dyDescent="0.25">
      <c r="AT3205" s="2" t="str">
        <f>IF($L3205="","",IFERROR(INDEX('AR SALES'!$H$2:$H$2501,MATCH(""&amp;$L3205,'AR SALES'!$AE$2:$AE$2501,0)),""))</f>
        <v/>
      </c>
      <c r="AU3205" s="2" t="str">
        <f t="shared" si="200"/>
        <v/>
      </c>
      <c r="AV3205" s="2" t="str">
        <f t="shared" si="201"/>
        <v/>
      </c>
      <c r="AW3205" s="2" t="str">
        <f t="shared" si="202"/>
        <v/>
      </c>
      <c r="AX3205" s="2" t="str">
        <f t="shared" si="203"/>
        <v/>
      </c>
      <c r="AY3205" s="2" t="str">
        <f>IF($AV3205="","",IF(AND($Z3205=0,COUNTIF('AR SALES'!$L$2:$L$2501,$L3205)=0),"YES",""))</f>
        <v/>
      </c>
      <c r="AZ3205" s="2" t="str">
        <f>IF($AV3205="","",IF(COUNTIF(LISTS!$C$2:$C$250,$AU3205)=0,"NEW",""))</f>
        <v/>
      </c>
      <c r="BA3205" s="2" t="str">
        <f>IF(""&amp;$F3205&lt;&gt;"4","",IF($AY3205="YES","",IF(ROUND(SUMIFS($AE$2:$AE$4001,$L$2:$L$4001,$L3205,$F$2:$F$4001,"4")-SUMIFS('AR SALES'!$Y$2:$Y$2501,'AR SALES'!$L$2:$L$2501,$L3205,'AR SALES'!$AD$2:$AD$2501,"OFF"),2)=0,"","STALE")))</f>
        <v/>
      </c>
      <c r="BB3205" s="2" t="str">
        <f>IF(OR(""&amp;$F3205="2",""&amp;$F3205="4",""&amp;$F3205="G",""&amp;$F3205="H"),IF($AY3205="YES","",IF($AB3205&lt;&gt;0,"",IF(COUNTIFS('AR SALES'!$L$2:$L$2501,$L3205,'AR SALES'!$AD$2:$AD$2501,IF(""&amp;$F3205="4","OFF","ON"),'AR SALES'!$AF$2:$AF$2501,"Y")&gt;0,"","NO EXEMPTION"))),"")</f>
        <v/>
      </c>
    </row>
    <row r="3206" spans="46:54" x14ac:dyDescent="0.25">
      <c r="AT3206" s="2" t="str">
        <f>IF($L3206="","",IFERROR(INDEX('AR SALES'!$H$2:$H$2501,MATCH(""&amp;$L3206,'AR SALES'!$AE$2:$AE$2501,0)),""))</f>
        <v/>
      </c>
      <c r="AU3206" s="2" t="str">
        <f t="shared" si="200"/>
        <v/>
      </c>
      <c r="AV3206" s="2" t="str">
        <f t="shared" si="201"/>
        <v/>
      </c>
      <c r="AW3206" s="2" t="str">
        <f t="shared" si="202"/>
        <v/>
      </c>
      <c r="AX3206" s="2" t="str">
        <f t="shared" si="203"/>
        <v/>
      </c>
      <c r="AY3206" s="2" t="str">
        <f>IF($AV3206="","",IF(AND($Z3206=0,COUNTIF('AR SALES'!$L$2:$L$2501,$L3206)=0),"YES",""))</f>
        <v/>
      </c>
      <c r="AZ3206" s="2" t="str">
        <f>IF($AV3206="","",IF(COUNTIF(LISTS!$C$2:$C$250,$AU3206)=0,"NEW",""))</f>
        <v/>
      </c>
      <c r="BA3206" s="2" t="str">
        <f>IF(""&amp;$F3206&lt;&gt;"4","",IF($AY3206="YES","",IF(ROUND(SUMIFS($AE$2:$AE$4001,$L$2:$L$4001,$L3206,$F$2:$F$4001,"4")-SUMIFS('AR SALES'!$Y$2:$Y$2501,'AR SALES'!$L$2:$L$2501,$L3206,'AR SALES'!$AD$2:$AD$2501,"OFF"),2)=0,"","STALE")))</f>
        <v/>
      </c>
      <c r="BB3206" s="2" t="str">
        <f>IF(OR(""&amp;$F3206="2",""&amp;$F3206="4",""&amp;$F3206="G",""&amp;$F3206="H"),IF($AY3206="YES","",IF($AB3206&lt;&gt;0,"",IF(COUNTIFS('AR SALES'!$L$2:$L$2501,$L3206,'AR SALES'!$AD$2:$AD$2501,IF(""&amp;$F3206="4","OFF","ON"),'AR SALES'!$AF$2:$AF$2501,"Y")&gt;0,"","NO EXEMPTION"))),"")</f>
        <v/>
      </c>
    </row>
    <row r="3207" spans="46:54" x14ac:dyDescent="0.25">
      <c r="AT3207" s="2" t="str">
        <f>IF($L3207="","",IFERROR(INDEX('AR SALES'!$H$2:$H$2501,MATCH(""&amp;$L3207,'AR SALES'!$AE$2:$AE$2501,0)),""))</f>
        <v/>
      </c>
      <c r="AU3207" s="2" t="str">
        <f t="shared" si="200"/>
        <v/>
      </c>
      <c r="AV3207" s="2" t="str">
        <f t="shared" si="201"/>
        <v/>
      </c>
      <c r="AW3207" s="2" t="str">
        <f t="shared" si="202"/>
        <v/>
      </c>
      <c r="AX3207" s="2" t="str">
        <f t="shared" si="203"/>
        <v/>
      </c>
      <c r="AY3207" s="2" t="str">
        <f>IF($AV3207="","",IF(AND($Z3207=0,COUNTIF('AR SALES'!$L$2:$L$2501,$L3207)=0),"YES",""))</f>
        <v/>
      </c>
      <c r="AZ3207" s="2" t="str">
        <f>IF($AV3207="","",IF(COUNTIF(LISTS!$C$2:$C$250,$AU3207)=0,"NEW",""))</f>
        <v/>
      </c>
      <c r="BA3207" s="2" t="str">
        <f>IF(""&amp;$F3207&lt;&gt;"4","",IF($AY3207="YES","",IF(ROUND(SUMIFS($AE$2:$AE$4001,$L$2:$L$4001,$L3207,$F$2:$F$4001,"4")-SUMIFS('AR SALES'!$Y$2:$Y$2501,'AR SALES'!$L$2:$L$2501,$L3207,'AR SALES'!$AD$2:$AD$2501,"OFF"),2)=0,"","STALE")))</f>
        <v/>
      </c>
      <c r="BB3207" s="2" t="str">
        <f>IF(OR(""&amp;$F3207="2",""&amp;$F3207="4",""&amp;$F3207="G",""&amp;$F3207="H"),IF($AY3207="YES","",IF($AB3207&lt;&gt;0,"",IF(COUNTIFS('AR SALES'!$L$2:$L$2501,$L3207,'AR SALES'!$AD$2:$AD$2501,IF(""&amp;$F3207="4","OFF","ON"),'AR SALES'!$AF$2:$AF$2501,"Y")&gt;0,"","NO EXEMPTION"))),"")</f>
        <v/>
      </c>
    </row>
    <row r="3208" spans="46:54" x14ac:dyDescent="0.25">
      <c r="AT3208" s="2" t="str">
        <f>IF($L3208="","",IFERROR(INDEX('AR SALES'!$H$2:$H$2501,MATCH(""&amp;$L3208,'AR SALES'!$AE$2:$AE$2501,0)),""))</f>
        <v/>
      </c>
      <c r="AU3208" s="2" t="str">
        <f t="shared" si="200"/>
        <v/>
      </c>
      <c r="AV3208" s="2" t="str">
        <f t="shared" si="201"/>
        <v/>
      </c>
      <c r="AW3208" s="2" t="str">
        <f t="shared" si="202"/>
        <v/>
      </c>
      <c r="AX3208" s="2" t="str">
        <f t="shared" si="203"/>
        <v/>
      </c>
      <c r="AY3208" s="2" t="str">
        <f>IF($AV3208="","",IF(AND($Z3208=0,COUNTIF('AR SALES'!$L$2:$L$2501,$L3208)=0),"YES",""))</f>
        <v/>
      </c>
      <c r="AZ3208" s="2" t="str">
        <f>IF($AV3208="","",IF(COUNTIF(LISTS!$C$2:$C$250,$AU3208)=0,"NEW",""))</f>
        <v/>
      </c>
      <c r="BA3208" s="2" t="str">
        <f>IF(""&amp;$F3208&lt;&gt;"4","",IF($AY3208="YES","",IF(ROUND(SUMIFS($AE$2:$AE$4001,$L$2:$L$4001,$L3208,$F$2:$F$4001,"4")-SUMIFS('AR SALES'!$Y$2:$Y$2501,'AR SALES'!$L$2:$L$2501,$L3208,'AR SALES'!$AD$2:$AD$2501,"OFF"),2)=0,"","STALE")))</f>
        <v/>
      </c>
      <c r="BB3208" s="2" t="str">
        <f>IF(OR(""&amp;$F3208="2",""&amp;$F3208="4",""&amp;$F3208="G",""&amp;$F3208="H"),IF($AY3208="YES","",IF($AB3208&lt;&gt;0,"",IF(COUNTIFS('AR SALES'!$L$2:$L$2501,$L3208,'AR SALES'!$AD$2:$AD$2501,IF(""&amp;$F3208="4","OFF","ON"),'AR SALES'!$AF$2:$AF$2501,"Y")&gt;0,"","NO EXEMPTION"))),"")</f>
        <v/>
      </c>
    </row>
    <row r="3209" spans="46:54" x14ac:dyDescent="0.25">
      <c r="AT3209" s="2" t="str">
        <f>IF($L3209="","",IFERROR(INDEX('AR SALES'!$H$2:$H$2501,MATCH(""&amp;$L3209,'AR SALES'!$AE$2:$AE$2501,0)),""))</f>
        <v/>
      </c>
      <c r="AU3209" s="2" t="str">
        <f t="shared" si="200"/>
        <v/>
      </c>
      <c r="AV3209" s="2" t="str">
        <f t="shared" si="201"/>
        <v/>
      </c>
      <c r="AW3209" s="2" t="str">
        <f t="shared" si="202"/>
        <v/>
      </c>
      <c r="AX3209" s="2" t="str">
        <f t="shared" si="203"/>
        <v/>
      </c>
      <c r="AY3209" s="2" t="str">
        <f>IF($AV3209="","",IF(AND($Z3209=0,COUNTIF('AR SALES'!$L$2:$L$2501,$L3209)=0),"YES",""))</f>
        <v/>
      </c>
      <c r="AZ3209" s="2" t="str">
        <f>IF($AV3209="","",IF(COUNTIF(LISTS!$C$2:$C$250,$AU3209)=0,"NEW",""))</f>
        <v/>
      </c>
      <c r="BA3209" s="2" t="str">
        <f>IF(""&amp;$F3209&lt;&gt;"4","",IF($AY3209="YES","",IF(ROUND(SUMIFS($AE$2:$AE$4001,$L$2:$L$4001,$L3209,$F$2:$F$4001,"4")-SUMIFS('AR SALES'!$Y$2:$Y$2501,'AR SALES'!$L$2:$L$2501,$L3209,'AR SALES'!$AD$2:$AD$2501,"OFF"),2)=0,"","STALE")))</f>
        <v/>
      </c>
      <c r="BB3209" s="2" t="str">
        <f>IF(OR(""&amp;$F3209="2",""&amp;$F3209="4",""&amp;$F3209="G",""&amp;$F3209="H"),IF($AY3209="YES","",IF($AB3209&lt;&gt;0,"",IF(COUNTIFS('AR SALES'!$L$2:$L$2501,$L3209,'AR SALES'!$AD$2:$AD$2501,IF(""&amp;$F3209="4","OFF","ON"),'AR SALES'!$AF$2:$AF$2501,"Y")&gt;0,"","NO EXEMPTION"))),"")</f>
        <v/>
      </c>
    </row>
    <row r="3210" spans="46:54" x14ac:dyDescent="0.25">
      <c r="AT3210" s="2" t="str">
        <f>IF($L3210="","",IFERROR(INDEX('AR SALES'!$H$2:$H$2501,MATCH(""&amp;$L3210,'AR SALES'!$AE$2:$AE$2501,0)),""))</f>
        <v/>
      </c>
      <c r="AU3210" s="2" t="str">
        <f t="shared" si="200"/>
        <v/>
      </c>
      <c r="AV3210" s="2" t="str">
        <f t="shared" si="201"/>
        <v/>
      </c>
      <c r="AW3210" s="2" t="str">
        <f t="shared" si="202"/>
        <v/>
      </c>
      <c r="AX3210" s="2" t="str">
        <f t="shared" si="203"/>
        <v/>
      </c>
      <c r="AY3210" s="2" t="str">
        <f>IF($AV3210="","",IF(AND($Z3210=0,COUNTIF('AR SALES'!$L$2:$L$2501,$L3210)=0),"YES",""))</f>
        <v/>
      </c>
      <c r="AZ3210" s="2" t="str">
        <f>IF($AV3210="","",IF(COUNTIF(LISTS!$C$2:$C$250,$AU3210)=0,"NEW",""))</f>
        <v/>
      </c>
      <c r="BA3210" s="2" t="str">
        <f>IF(""&amp;$F3210&lt;&gt;"4","",IF($AY3210="YES","",IF(ROUND(SUMIFS($AE$2:$AE$4001,$L$2:$L$4001,$L3210,$F$2:$F$4001,"4")-SUMIFS('AR SALES'!$Y$2:$Y$2501,'AR SALES'!$L$2:$L$2501,$L3210,'AR SALES'!$AD$2:$AD$2501,"OFF"),2)=0,"","STALE")))</f>
        <v/>
      </c>
      <c r="BB3210" s="2" t="str">
        <f>IF(OR(""&amp;$F3210="2",""&amp;$F3210="4",""&amp;$F3210="G",""&amp;$F3210="H"),IF($AY3210="YES","",IF($AB3210&lt;&gt;0,"",IF(COUNTIFS('AR SALES'!$L$2:$L$2501,$L3210,'AR SALES'!$AD$2:$AD$2501,IF(""&amp;$F3210="4","OFF","ON"),'AR SALES'!$AF$2:$AF$2501,"Y")&gt;0,"","NO EXEMPTION"))),"")</f>
        <v/>
      </c>
    </row>
    <row r="3211" spans="46:54" x14ac:dyDescent="0.25">
      <c r="AT3211" s="2" t="str">
        <f>IF($L3211="","",IFERROR(INDEX('AR SALES'!$H$2:$H$2501,MATCH(""&amp;$L3211,'AR SALES'!$AE$2:$AE$2501,0)),""))</f>
        <v/>
      </c>
      <c r="AU3211" s="2" t="str">
        <f t="shared" si="200"/>
        <v/>
      </c>
      <c r="AV3211" s="2" t="str">
        <f t="shared" si="201"/>
        <v/>
      </c>
      <c r="AW3211" s="2" t="str">
        <f t="shared" si="202"/>
        <v/>
      </c>
      <c r="AX3211" s="2" t="str">
        <f t="shared" si="203"/>
        <v/>
      </c>
      <c r="AY3211" s="2" t="str">
        <f>IF($AV3211="","",IF(AND($Z3211=0,COUNTIF('AR SALES'!$L$2:$L$2501,$L3211)=0),"YES",""))</f>
        <v/>
      </c>
      <c r="AZ3211" s="2" t="str">
        <f>IF($AV3211="","",IF(COUNTIF(LISTS!$C$2:$C$250,$AU3211)=0,"NEW",""))</f>
        <v/>
      </c>
      <c r="BA3211" s="2" t="str">
        <f>IF(""&amp;$F3211&lt;&gt;"4","",IF($AY3211="YES","",IF(ROUND(SUMIFS($AE$2:$AE$4001,$L$2:$L$4001,$L3211,$F$2:$F$4001,"4")-SUMIFS('AR SALES'!$Y$2:$Y$2501,'AR SALES'!$L$2:$L$2501,$L3211,'AR SALES'!$AD$2:$AD$2501,"OFF"),2)=0,"","STALE")))</f>
        <v/>
      </c>
      <c r="BB3211" s="2" t="str">
        <f>IF(OR(""&amp;$F3211="2",""&amp;$F3211="4",""&amp;$F3211="G",""&amp;$F3211="H"),IF($AY3211="YES","",IF($AB3211&lt;&gt;0,"",IF(COUNTIFS('AR SALES'!$L$2:$L$2501,$L3211,'AR SALES'!$AD$2:$AD$2501,IF(""&amp;$F3211="4","OFF","ON"),'AR SALES'!$AF$2:$AF$2501,"Y")&gt;0,"","NO EXEMPTION"))),"")</f>
        <v/>
      </c>
    </row>
    <row r="3212" spans="46:54" x14ac:dyDescent="0.25">
      <c r="AT3212" s="2" t="str">
        <f>IF($L3212="","",IFERROR(INDEX('AR SALES'!$H$2:$H$2501,MATCH(""&amp;$L3212,'AR SALES'!$AE$2:$AE$2501,0)),""))</f>
        <v/>
      </c>
      <c r="AU3212" s="2" t="str">
        <f t="shared" si="200"/>
        <v/>
      </c>
      <c r="AV3212" s="2" t="str">
        <f t="shared" si="201"/>
        <v/>
      </c>
      <c r="AW3212" s="2" t="str">
        <f t="shared" si="202"/>
        <v/>
      </c>
      <c r="AX3212" s="2" t="str">
        <f t="shared" si="203"/>
        <v/>
      </c>
      <c r="AY3212" s="2" t="str">
        <f>IF($AV3212="","",IF(AND($Z3212=0,COUNTIF('AR SALES'!$L$2:$L$2501,$L3212)=0),"YES",""))</f>
        <v/>
      </c>
      <c r="AZ3212" s="2" t="str">
        <f>IF($AV3212="","",IF(COUNTIF(LISTS!$C$2:$C$250,$AU3212)=0,"NEW",""))</f>
        <v/>
      </c>
      <c r="BA3212" s="2" t="str">
        <f>IF(""&amp;$F3212&lt;&gt;"4","",IF($AY3212="YES","",IF(ROUND(SUMIFS($AE$2:$AE$4001,$L$2:$L$4001,$L3212,$F$2:$F$4001,"4")-SUMIFS('AR SALES'!$Y$2:$Y$2501,'AR SALES'!$L$2:$L$2501,$L3212,'AR SALES'!$AD$2:$AD$2501,"OFF"),2)=0,"","STALE")))</f>
        <v/>
      </c>
      <c r="BB3212" s="2" t="str">
        <f>IF(OR(""&amp;$F3212="2",""&amp;$F3212="4",""&amp;$F3212="G",""&amp;$F3212="H"),IF($AY3212="YES","",IF($AB3212&lt;&gt;0,"",IF(COUNTIFS('AR SALES'!$L$2:$L$2501,$L3212,'AR SALES'!$AD$2:$AD$2501,IF(""&amp;$F3212="4","OFF","ON"),'AR SALES'!$AF$2:$AF$2501,"Y")&gt;0,"","NO EXEMPTION"))),"")</f>
        <v/>
      </c>
    </row>
    <row r="3213" spans="46:54" x14ac:dyDescent="0.25">
      <c r="AT3213" s="2" t="str">
        <f>IF($L3213="","",IFERROR(INDEX('AR SALES'!$H$2:$H$2501,MATCH(""&amp;$L3213,'AR SALES'!$AE$2:$AE$2501,0)),""))</f>
        <v/>
      </c>
      <c r="AU3213" s="2" t="str">
        <f t="shared" si="200"/>
        <v/>
      </c>
      <c r="AV3213" s="2" t="str">
        <f t="shared" si="201"/>
        <v/>
      </c>
      <c r="AW3213" s="2" t="str">
        <f t="shared" si="202"/>
        <v/>
      </c>
      <c r="AX3213" s="2" t="str">
        <f t="shared" si="203"/>
        <v/>
      </c>
      <c r="AY3213" s="2" t="str">
        <f>IF($AV3213="","",IF(AND($Z3213=0,COUNTIF('AR SALES'!$L$2:$L$2501,$L3213)=0),"YES",""))</f>
        <v/>
      </c>
      <c r="AZ3213" s="2" t="str">
        <f>IF($AV3213="","",IF(COUNTIF(LISTS!$C$2:$C$250,$AU3213)=0,"NEW",""))</f>
        <v/>
      </c>
      <c r="BA3213" s="2" t="str">
        <f>IF(""&amp;$F3213&lt;&gt;"4","",IF($AY3213="YES","",IF(ROUND(SUMIFS($AE$2:$AE$4001,$L$2:$L$4001,$L3213,$F$2:$F$4001,"4")-SUMIFS('AR SALES'!$Y$2:$Y$2501,'AR SALES'!$L$2:$L$2501,$L3213,'AR SALES'!$AD$2:$AD$2501,"OFF"),2)=0,"","STALE")))</f>
        <v/>
      </c>
      <c r="BB3213" s="2" t="str">
        <f>IF(OR(""&amp;$F3213="2",""&amp;$F3213="4",""&amp;$F3213="G",""&amp;$F3213="H"),IF($AY3213="YES","",IF($AB3213&lt;&gt;0,"",IF(COUNTIFS('AR SALES'!$L$2:$L$2501,$L3213,'AR SALES'!$AD$2:$AD$2501,IF(""&amp;$F3213="4","OFF","ON"),'AR SALES'!$AF$2:$AF$2501,"Y")&gt;0,"","NO EXEMPTION"))),"")</f>
        <v/>
      </c>
    </row>
    <row r="3214" spans="46:54" x14ac:dyDescent="0.25">
      <c r="AT3214" s="2" t="str">
        <f>IF($L3214="","",IFERROR(INDEX('AR SALES'!$H$2:$H$2501,MATCH(""&amp;$L3214,'AR SALES'!$AE$2:$AE$2501,0)),""))</f>
        <v/>
      </c>
      <c r="AU3214" s="2" t="str">
        <f t="shared" si="200"/>
        <v/>
      </c>
      <c r="AV3214" s="2" t="str">
        <f t="shared" si="201"/>
        <v/>
      </c>
      <c r="AW3214" s="2" t="str">
        <f t="shared" si="202"/>
        <v/>
      </c>
      <c r="AX3214" s="2" t="str">
        <f t="shared" si="203"/>
        <v/>
      </c>
      <c r="AY3214" s="2" t="str">
        <f>IF($AV3214="","",IF(AND($Z3214=0,COUNTIF('AR SALES'!$L$2:$L$2501,$L3214)=0),"YES",""))</f>
        <v/>
      </c>
      <c r="AZ3214" s="2" t="str">
        <f>IF($AV3214="","",IF(COUNTIF(LISTS!$C$2:$C$250,$AU3214)=0,"NEW",""))</f>
        <v/>
      </c>
      <c r="BA3214" s="2" t="str">
        <f>IF(""&amp;$F3214&lt;&gt;"4","",IF($AY3214="YES","",IF(ROUND(SUMIFS($AE$2:$AE$4001,$L$2:$L$4001,$L3214,$F$2:$F$4001,"4")-SUMIFS('AR SALES'!$Y$2:$Y$2501,'AR SALES'!$L$2:$L$2501,$L3214,'AR SALES'!$AD$2:$AD$2501,"OFF"),2)=0,"","STALE")))</f>
        <v/>
      </c>
      <c r="BB3214" s="2" t="str">
        <f>IF(OR(""&amp;$F3214="2",""&amp;$F3214="4",""&amp;$F3214="G",""&amp;$F3214="H"),IF($AY3214="YES","",IF($AB3214&lt;&gt;0,"",IF(COUNTIFS('AR SALES'!$L$2:$L$2501,$L3214,'AR SALES'!$AD$2:$AD$2501,IF(""&amp;$F3214="4","OFF","ON"),'AR SALES'!$AF$2:$AF$2501,"Y")&gt;0,"","NO EXEMPTION"))),"")</f>
        <v/>
      </c>
    </row>
    <row r="3215" spans="46:54" x14ac:dyDescent="0.25">
      <c r="AT3215" s="2" t="str">
        <f>IF($L3215="","",IFERROR(INDEX('AR SALES'!$H$2:$H$2501,MATCH(""&amp;$L3215,'AR SALES'!$AE$2:$AE$2501,0)),""))</f>
        <v/>
      </c>
      <c r="AU3215" s="2" t="str">
        <f t="shared" si="200"/>
        <v/>
      </c>
      <c r="AV3215" s="2" t="str">
        <f t="shared" si="201"/>
        <v/>
      </c>
      <c r="AW3215" s="2" t="str">
        <f t="shared" si="202"/>
        <v/>
      </c>
      <c r="AX3215" s="2" t="str">
        <f t="shared" si="203"/>
        <v/>
      </c>
      <c r="AY3215" s="2" t="str">
        <f>IF($AV3215="","",IF(AND($Z3215=0,COUNTIF('AR SALES'!$L$2:$L$2501,$L3215)=0),"YES",""))</f>
        <v/>
      </c>
      <c r="AZ3215" s="2" t="str">
        <f>IF($AV3215="","",IF(COUNTIF(LISTS!$C$2:$C$250,$AU3215)=0,"NEW",""))</f>
        <v/>
      </c>
      <c r="BA3215" s="2" t="str">
        <f>IF(""&amp;$F3215&lt;&gt;"4","",IF($AY3215="YES","",IF(ROUND(SUMIFS($AE$2:$AE$4001,$L$2:$L$4001,$L3215,$F$2:$F$4001,"4")-SUMIFS('AR SALES'!$Y$2:$Y$2501,'AR SALES'!$L$2:$L$2501,$L3215,'AR SALES'!$AD$2:$AD$2501,"OFF"),2)=0,"","STALE")))</f>
        <v/>
      </c>
      <c r="BB3215" s="2" t="str">
        <f>IF(OR(""&amp;$F3215="2",""&amp;$F3215="4",""&amp;$F3215="G",""&amp;$F3215="H"),IF($AY3215="YES","",IF($AB3215&lt;&gt;0,"",IF(COUNTIFS('AR SALES'!$L$2:$L$2501,$L3215,'AR SALES'!$AD$2:$AD$2501,IF(""&amp;$F3215="4","OFF","ON"),'AR SALES'!$AF$2:$AF$2501,"Y")&gt;0,"","NO EXEMPTION"))),"")</f>
        <v/>
      </c>
    </row>
    <row r="3216" spans="46:54" x14ac:dyDescent="0.25">
      <c r="AT3216" s="2" t="str">
        <f>IF($L3216="","",IFERROR(INDEX('AR SALES'!$H$2:$H$2501,MATCH(""&amp;$L3216,'AR SALES'!$AE$2:$AE$2501,0)),""))</f>
        <v/>
      </c>
      <c r="AU3216" s="2" t="str">
        <f t="shared" si="200"/>
        <v/>
      </c>
      <c r="AV3216" s="2" t="str">
        <f t="shared" si="201"/>
        <v/>
      </c>
      <c r="AW3216" s="2" t="str">
        <f t="shared" si="202"/>
        <v/>
      </c>
      <c r="AX3216" s="2" t="str">
        <f t="shared" si="203"/>
        <v/>
      </c>
      <c r="AY3216" s="2" t="str">
        <f>IF($AV3216="","",IF(AND($Z3216=0,COUNTIF('AR SALES'!$L$2:$L$2501,$L3216)=0),"YES",""))</f>
        <v/>
      </c>
      <c r="AZ3216" s="2" t="str">
        <f>IF($AV3216="","",IF(COUNTIF(LISTS!$C$2:$C$250,$AU3216)=0,"NEW",""))</f>
        <v/>
      </c>
      <c r="BA3216" s="2" t="str">
        <f>IF(""&amp;$F3216&lt;&gt;"4","",IF($AY3216="YES","",IF(ROUND(SUMIFS($AE$2:$AE$4001,$L$2:$L$4001,$L3216,$F$2:$F$4001,"4")-SUMIFS('AR SALES'!$Y$2:$Y$2501,'AR SALES'!$L$2:$L$2501,$L3216,'AR SALES'!$AD$2:$AD$2501,"OFF"),2)=0,"","STALE")))</f>
        <v/>
      </c>
      <c r="BB3216" s="2" t="str">
        <f>IF(OR(""&amp;$F3216="2",""&amp;$F3216="4",""&amp;$F3216="G",""&amp;$F3216="H"),IF($AY3216="YES","",IF($AB3216&lt;&gt;0,"",IF(COUNTIFS('AR SALES'!$L$2:$L$2501,$L3216,'AR SALES'!$AD$2:$AD$2501,IF(""&amp;$F3216="4","OFF","ON"),'AR SALES'!$AF$2:$AF$2501,"Y")&gt;0,"","NO EXEMPTION"))),"")</f>
        <v/>
      </c>
    </row>
    <row r="3217" spans="46:54" x14ac:dyDescent="0.25">
      <c r="AT3217" s="2" t="str">
        <f>IF($L3217="","",IFERROR(INDEX('AR SALES'!$H$2:$H$2501,MATCH(""&amp;$L3217,'AR SALES'!$AE$2:$AE$2501,0)),""))</f>
        <v/>
      </c>
      <c r="AU3217" s="2" t="str">
        <f t="shared" si="200"/>
        <v/>
      </c>
      <c r="AV3217" s="2" t="str">
        <f t="shared" si="201"/>
        <v/>
      </c>
      <c r="AW3217" s="2" t="str">
        <f t="shared" si="202"/>
        <v/>
      </c>
      <c r="AX3217" s="2" t="str">
        <f t="shared" si="203"/>
        <v/>
      </c>
      <c r="AY3217" s="2" t="str">
        <f>IF($AV3217="","",IF(AND($Z3217=0,COUNTIF('AR SALES'!$L$2:$L$2501,$L3217)=0),"YES",""))</f>
        <v/>
      </c>
      <c r="AZ3217" s="2" t="str">
        <f>IF($AV3217="","",IF(COUNTIF(LISTS!$C$2:$C$250,$AU3217)=0,"NEW",""))</f>
        <v/>
      </c>
      <c r="BA3217" s="2" t="str">
        <f>IF(""&amp;$F3217&lt;&gt;"4","",IF($AY3217="YES","",IF(ROUND(SUMIFS($AE$2:$AE$4001,$L$2:$L$4001,$L3217,$F$2:$F$4001,"4")-SUMIFS('AR SALES'!$Y$2:$Y$2501,'AR SALES'!$L$2:$L$2501,$L3217,'AR SALES'!$AD$2:$AD$2501,"OFF"),2)=0,"","STALE")))</f>
        <v/>
      </c>
      <c r="BB3217" s="2" t="str">
        <f>IF(OR(""&amp;$F3217="2",""&amp;$F3217="4",""&amp;$F3217="G",""&amp;$F3217="H"),IF($AY3217="YES","",IF($AB3217&lt;&gt;0,"",IF(COUNTIFS('AR SALES'!$L$2:$L$2501,$L3217,'AR SALES'!$AD$2:$AD$2501,IF(""&amp;$F3217="4","OFF","ON"),'AR SALES'!$AF$2:$AF$2501,"Y")&gt;0,"","NO EXEMPTION"))),"")</f>
        <v/>
      </c>
    </row>
    <row r="3218" spans="46:54" x14ac:dyDescent="0.25">
      <c r="AT3218" s="2" t="str">
        <f>IF($L3218="","",IFERROR(INDEX('AR SALES'!$H$2:$H$2501,MATCH(""&amp;$L3218,'AR SALES'!$AE$2:$AE$2501,0)),""))</f>
        <v/>
      </c>
      <c r="AU3218" s="2" t="str">
        <f t="shared" si="200"/>
        <v/>
      </c>
      <c r="AV3218" s="2" t="str">
        <f t="shared" si="201"/>
        <v/>
      </c>
      <c r="AW3218" s="2" t="str">
        <f t="shared" si="202"/>
        <v/>
      </c>
      <c r="AX3218" s="2" t="str">
        <f t="shared" si="203"/>
        <v/>
      </c>
      <c r="AY3218" s="2" t="str">
        <f>IF($AV3218="","",IF(AND($Z3218=0,COUNTIF('AR SALES'!$L$2:$L$2501,$L3218)=0),"YES",""))</f>
        <v/>
      </c>
      <c r="AZ3218" s="2" t="str">
        <f>IF($AV3218="","",IF(COUNTIF(LISTS!$C$2:$C$250,$AU3218)=0,"NEW",""))</f>
        <v/>
      </c>
      <c r="BA3218" s="2" t="str">
        <f>IF(""&amp;$F3218&lt;&gt;"4","",IF($AY3218="YES","",IF(ROUND(SUMIFS($AE$2:$AE$4001,$L$2:$L$4001,$L3218,$F$2:$F$4001,"4")-SUMIFS('AR SALES'!$Y$2:$Y$2501,'AR SALES'!$L$2:$L$2501,$L3218,'AR SALES'!$AD$2:$AD$2501,"OFF"),2)=0,"","STALE")))</f>
        <v/>
      </c>
      <c r="BB3218" s="2" t="str">
        <f>IF(OR(""&amp;$F3218="2",""&amp;$F3218="4",""&amp;$F3218="G",""&amp;$F3218="H"),IF($AY3218="YES","",IF($AB3218&lt;&gt;0,"",IF(COUNTIFS('AR SALES'!$L$2:$L$2501,$L3218,'AR SALES'!$AD$2:$AD$2501,IF(""&amp;$F3218="4","OFF","ON"),'AR SALES'!$AF$2:$AF$2501,"Y")&gt;0,"","NO EXEMPTION"))),"")</f>
        <v/>
      </c>
    </row>
    <row r="3219" spans="46:54" x14ac:dyDescent="0.25">
      <c r="AT3219" s="2" t="str">
        <f>IF($L3219="","",IFERROR(INDEX('AR SALES'!$H$2:$H$2501,MATCH(""&amp;$L3219,'AR SALES'!$AE$2:$AE$2501,0)),""))</f>
        <v/>
      </c>
      <c r="AU3219" s="2" t="str">
        <f t="shared" si="200"/>
        <v/>
      </c>
      <c r="AV3219" s="2" t="str">
        <f t="shared" si="201"/>
        <v/>
      </c>
      <c r="AW3219" s="2" t="str">
        <f t="shared" si="202"/>
        <v/>
      </c>
      <c r="AX3219" s="2" t="str">
        <f t="shared" si="203"/>
        <v/>
      </c>
      <c r="AY3219" s="2" t="str">
        <f>IF($AV3219="","",IF(AND($Z3219=0,COUNTIF('AR SALES'!$L$2:$L$2501,$L3219)=0),"YES",""))</f>
        <v/>
      </c>
      <c r="AZ3219" s="2" t="str">
        <f>IF($AV3219="","",IF(COUNTIF(LISTS!$C$2:$C$250,$AU3219)=0,"NEW",""))</f>
        <v/>
      </c>
      <c r="BA3219" s="2" t="str">
        <f>IF(""&amp;$F3219&lt;&gt;"4","",IF($AY3219="YES","",IF(ROUND(SUMIFS($AE$2:$AE$4001,$L$2:$L$4001,$L3219,$F$2:$F$4001,"4")-SUMIFS('AR SALES'!$Y$2:$Y$2501,'AR SALES'!$L$2:$L$2501,$L3219,'AR SALES'!$AD$2:$AD$2501,"OFF"),2)=0,"","STALE")))</f>
        <v/>
      </c>
      <c r="BB3219" s="2" t="str">
        <f>IF(OR(""&amp;$F3219="2",""&amp;$F3219="4",""&amp;$F3219="G",""&amp;$F3219="H"),IF($AY3219="YES","",IF($AB3219&lt;&gt;0,"",IF(COUNTIFS('AR SALES'!$L$2:$L$2501,$L3219,'AR SALES'!$AD$2:$AD$2501,IF(""&amp;$F3219="4","OFF","ON"),'AR SALES'!$AF$2:$AF$2501,"Y")&gt;0,"","NO EXEMPTION"))),"")</f>
        <v/>
      </c>
    </row>
    <row r="3220" spans="46:54" x14ac:dyDescent="0.25">
      <c r="AT3220" s="2" t="str">
        <f>IF($L3220="","",IFERROR(INDEX('AR SALES'!$H$2:$H$2501,MATCH(""&amp;$L3220,'AR SALES'!$AE$2:$AE$2501,0)),""))</f>
        <v/>
      </c>
      <c r="AU3220" s="2" t="str">
        <f t="shared" si="200"/>
        <v/>
      </c>
      <c r="AV3220" s="2" t="str">
        <f t="shared" si="201"/>
        <v/>
      </c>
      <c r="AW3220" s="2" t="str">
        <f t="shared" si="202"/>
        <v/>
      </c>
      <c r="AX3220" s="2" t="str">
        <f t="shared" si="203"/>
        <v/>
      </c>
      <c r="AY3220" s="2" t="str">
        <f>IF($AV3220="","",IF(AND($Z3220=0,COUNTIF('AR SALES'!$L$2:$L$2501,$L3220)=0),"YES",""))</f>
        <v/>
      </c>
      <c r="AZ3220" s="2" t="str">
        <f>IF($AV3220="","",IF(COUNTIF(LISTS!$C$2:$C$250,$AU3220)=0,"NEW",""))</f>
        <v/>
      </c>
      <c r="BA3220" s="2" t="str">
        <f>IF(""&amp;$F3220&lt;&gt;"4","",IF($AY3220="YES","",IF(ROUND(SUMIFS($AE$2:$AE$4001,$L$2:$L$4001,$L3220,$F$2:$F$4001,"4")-SUMIFS('AR SALES'!$Y$2:$Y$2501,'AR SALES'!$L$2:$L$2501,$L3220,'AR SALES'!$AD$2:$AD$2501,"OFF"),2)=0,"","STALE")))</f>
        <v/>
      </c>
      <c r="BB3220" s="2" t="str">
        <f>IF(OR(""&amp;$F3220="2",""&amp;$F3220="4",""&amp;$F3220="G",""&amp;$F3220="H"),IF($AY3220="YES","",IF($AB3220&lt;&gt;0,"",IF(COUNTIFS('AR SALES'!$L$2:$L$2501,$L3220,'AR SALES'!$AD$2:$AD$2501,IF(""&amp;$F3220="4","OFF","ON"),'AR SALES'!$AF$2:$AF$2501,"Y")&gt;0,"","NO EXEMPTION"))),"")</f>
        <v/>
      </c>
    </row>
    <row r="3221" spans="46:54" x14ac:dyDescent="0.25">
      <c r="AT3221" s="2" t="str">
        <f>IF($L3221="","",IFERROR(INDEX('AR SALES'!$H$2:$H$2501,MATCH(""&amp;$L3221,'AR SALES'!$AE$2:$AE$2501,0)),""))</f>
        <v/>
      </c>
      <c r="AU3221" s="2" t="str">
        <f t="shared" si="200"/>
        <v/>
      </c>
      <c r="AV3221" s="2" t="str">
        <f t="shared" si="201"/>
        <v/>
      </c>
      <c r="AW3221" s="2" t="str">
        <f t="shared" si="202"/>
        <v/>
      </c>
      <c r="AX3221" s="2" t="str">
        <f t="shared" si="203"/>
        <v/>
      </c>
      <c r="AY3221" s="2" t="str">
        <f>IF($AV3221="","",IF(AND($Z3221=0,COUNTIF('AR SALES'!$L$2:$L$2501,$L3221)=0),"YES",""))</f>
        <v/>
      </c>
      <c r="AZ3221" s="2" t="str">
        <f>IF($AV3221="","",IF(COUNTIF(LISTS!$C$2:$C$250,$AU3221)=0,"NEW",""))</f>
        <v/>
      </c>
      <c r="BA3221" s="2" t="str">
        <f>IF(""&amp;$F3221&lt;&gt;"4","",IF($AY3221="YES","",IF(ROUND(SUMIFS($AE$2:$AE$4001,$L$2:$L$4001,$L3221,$F$2:$F$4001,"4")-SUMIFS('AR SALES'!$Y$2:$Y$2501,'AR SALES'!$L$2:$L$2501,$L3221,'AR SALES'!$AD$2:$AD$2501,"OFF"),2)=0,"","STALE")))</f>
        <v/>
      </c>
      <c r="BB3221" s="2" t="str">
        <f>IF(OR(""&amp;$F3221="2",""&amp;$F3221="4",""&amp;$F3221="G",""&amp;$F3221="H"),IF($AY3221="YES","",IF($AB3221&lt;&gt;0,"",IF(COUNTIFS('AR SALES'!$L$2:$L$2501,$L3221,'AR SALES'!$AD$2:$AD$2501,IF(""&amp;$F3221="4","OFF","ON"),'AR SALES'!$AF$2:$AF$2501,"Y")&gt;0,"","NO EXEMPTION"))),"")</f>
        <v/>
      </c>
    </row>
    <row r="3222" spans="46:54" x14ac:dyDescent="0.25">
      <c r="AT3222" s="2" t="str">
        <f>IF($L3222="","",IFERROR(INDEX('AR SALES'!$H$2:$H$2501,MATCH(""&amp;$L3222,'AR SALES'!$AE$2:$AE$2501,0)),""))</f>
        <v/>
      </c>
      <c r="AU3222" s="2" t="str">
        <f t="shared" si="200"/>
        <v/>
      </c>
      <c r="AV3222" s="2" t="str">
        <f t="shared" si="201"/>
        <v/>
      </c>
      <c r="AW3222" s="2" t="str">
        <f t="shared" si="202"/>
        <v/>
      </c>
      <c r="AX3222" s="2" t="str">
        <f t="shared" si="203"/>
        <v/>
      </c>
      <c r="AY3222" s="2" t="str">
        <f>IF($AV3222="","",IF(AND($Z3222=0,COUNTIF('AR SALES'!$L$2:$L$2501,$L3222)=0),"YES",""))</f>
        <v/>
      </c>
      <c r="AZ3222" s="2" t="str">
        <f>IF($AV3222="","",IF(COUNTIF(LISTS!$C$2:$C$250,$AU3222)=0,"NEW",""))</f>
        <v/>
      </c>
      <c r="BA3222" s="2" t="str">
        <f>IF(""&amp;$F3222&lt;&gt;"4","",IF($AY3222="YES","",IF(ROUND(SUMIFS($AE$2:$AE$4001,$L$2:$L$4001,$L3222,$F$2:$F$4001,"4")-SUMIFS('AR SALES'!$Y$2:$Y$2501,'AR SALES'!$L$2:$L$2501,$L3222,'AR SALES'!$AD$2:$AD$2501,"OFF"),2)=0,"","STALE")))</f>
        <v/>
      </c>
      <c r="BB3222" s="2" t="str">
        <f>IF(OR(""&amp;$F3222="2",""&amp;$F3222="4",""&amp;$F3222="G",""&amp;$F3222="H"),IF($AY3222="YES","",IF($AB3222&lt;&gt;0,"",IF(COUNTIFS('AR SALES'!$L$2:$L$2501,$L3222,'AR SALES'!$AD$2:$AD$2501,IF(""&amp;$F3222="4","OFF","ON"),'AR SALES'!$AF$2:$AF$2501,"Y")&gt;0,"","NO EXEMPTION"))),"")</f>
        <v/>
      </c>
    </row>
    <row r="3223" spans="46:54" x14ac:dyDescent="0.25">
      <c r="AT3223" s="2" t="str">
        <f>IF($L3223="","",IFERROR(INDEX('AR SALES'!$H$2:$H$2501,MATCH(""&amp;$L3223,'AR SALES'!$AE$2:$AE$2501,0)),""))</f>
        <v/>
      </c>
      <c r="AU3223" s="2" t="str">
        <f t="shared" si="200"/>
        <v/>
      </c>
      <c r="AV3223" s="2" t="str">
        <f t="shared" si="201"/>
        <v/>
      </c>
      <c r="AW3223" s="2" t="str">
        <f t="shared" si="202"/>
        <v/>
      </c>
      <c r="AX3223" s="2" t="str">
        <f t="shared" si="203"/>
        <v/>
      </c>
      <c r="AY3223" s="2" t="str">
        <f>IF($AV3223="","",IF(AND($Z3223=0,COUNTIF('AR SALES'!$L$2:$L$2501,$L3223)=0),"YES",""))</f>
        <v/>
      </c>
      <c r="AZ3223" s="2" t="str">
        <f>IF($AV3223="","",IF(COUNTIF(LISTS!$C$2:$C$250,$AU3223)=0,"NEW",""))</f>
        <v/>
      </c>
      <c r="BA3223" s="2" t="str">
        <f>IF(""&amp;$F3223&lt;&gt;"4","",IF($AY3223="YES","",IF(ROUND(SUMIFS($AE$2:$AE$4001,$L$2:$L$4001,$L3223,$F$2:$F$4001,"4")-SUMIFS('AR SALES'!$Y$2:$Y$2501,'AR SALES'!$L$2:$L$2501,$L3223,'AR SALES'!$AD$2:$AD$2501,"OFF"),2)=0,"","STALE")))</f>
        <v/>
      </c>
      <c r="BB3223" s="2" t="str">
        <f>IF(OR(""&amp;$F3223="2",""&amp;$F3223="4",""&amp;$F3223="G",""&amp;$F3223="H"),IF($AY3223="YES","",IF($AB3223&lt;&gt;0,"",IF(COUNTIFS('AR SALES'!$L$2:$L$2501,$L3223,'AR SALES'!$AD$2:$AD$2501,IF(""&amp;$F3223="4","OFF","ON"),'AR SALES'!$AF$2:$AF$2501,"Y")&gt;0,"","NO EXEMPTION"))),"")</f>
        <v/>
      </c>
    </row>
    <row r="3224" spans="46:54" x14ac:dyDescent="0.25">
      <c r="AT3224" s="2" t="str">
        <f>IF($L3224="","",IFERROR(INDEX('AR SALES'!$H$2:$H$2501,MATCH(""&amp;$L3224,'AR SALES'!$AE$2:$AE$2501,0)),""))</f>
        <v/>
      </c>
      <c r="AU3224" s="2" t="str">
        <f t="shared" si="200"/>
        <v/>
      </c>
      <c r="AV3224" s="2" t="str">
        <f t="shared" si="201"/>
        <v/>
      </c>
      <c r="AW3224" s="2" t="str">
        <f t="shared" si="202"/>
        <v/>
      </c>
      <c r="AX3224" s="2" t="str">
        <f t="shared" si="203"/>
        <v/>
      </c>
      <c r="AY3224" s="2" t="str">
        <f>IF($AV3224="","",IF(AND($Z3224=0,COUNTIF('AR SALES'!$L$2:$L$2501,$L3224)=0),"YES",""))</f>
        <v/>
      </c>
      <c r="AZ3224" s="2" t="str">
        <f>IF($AV3224="","",IF(COUNTIF(LISTS!$C$2:$C$250,$AU3224)=0,"NEW",""))</f>
        <v/>
      </c>
      <c r="BA3224" s="2" t="str">
        <f>IF(""&amp;$F3224&lt;&gt;"4","",IF($AY3224="YES","",IF(ROUND(SUMIFS($AE$2:$AE$4001,$L$2:$L$4001,$L3224,$F$2:$F$4001,"4")-SUMIFS('AR SALES'!$Y$2:$Y$2501,'AR SALES'!$L$2:$L$2501,$L3224,'AR SALES'!$AD$2:$AD$2501,"OFF"),2)=0,"","STALE")))</f>
        <v/>
      </c>
      <c r="BB3224" s="2" t="str">
        <f>IF(OR(""&amp;$F3224="2",""&amp;$F3224="4",""&amp;$F3224="G",""&amp;$F3224="H"),IF($AY3224="YES","",IF($AB3224&lt;&gt;0,"",IF(COUNTIFS('AR SALES'!$L$2:$L$2501,$L3224,'AR SALES'!$AD$2:$AD$2501,IF(""&amp;$F3224="4","OFF","ON"),'AR SALES'!$AF$2:$AF$2501,"Y")&gt;0,"","NO EXEMPTION"))),"")</f>
        <v/>
      </c>
    </row>
    <row r="3225" spans="46:54" x14ac:dyDescent="0.25">
      <c r="AT3225" s="2" t="str">
        <f>IF($L3225="","",IFERROR(INDEX('AR SALES'!$H$2:$H$2501,MATCH(""&amp;$L3225,'AR SALES'!$AE$2:$AE$2501,0)),""))</f>
        <v/>
      </c>
      <c r="AU3225" s="2" t="str">
        <f t="shared" si="200"/>
        <v/>
      </c>
      <c r="AV3225" s="2" t="str">
        <f t="shared" si="201"/>
        <v/>
      </c>
      <c r="AW3225" s="2" t="str">
        <f t="shared" si="202"/>
        <v/>
      </c>
      <c r="AX3225" s="2" t="str">
        <f t="shared" si="203"/>
        <v/>
      </c>
      <c r="AY3225" s="2" t="str">
        <f>IF($AV3225="","",IF(AND($Z3225=0,COUNTIF('AR SALES'!$L$2:$L$2501,$L3225)=0),"YES",""))</f>
        <v/>
      </c>
      <c r="AZ3225" s="2" t="str">
        <f>IF($AV3225="","",IF(COUNTIF(LISTS!$C$2:$C$250,$AU3225)=0,"NEW",""))</f>
        <v/>
      </c>
      <c r="BA3225" s="2" t="str">
        <f>IF(""&amp;$F3225&lt;&gt;"4","",IF($AY3225="YES","",IF(ROUND(SUMIFS($AE$2:$AE$4001,$L$2:$L$4001,$L3225,$F$2:$F$4001,"4")-SUMIFS('AR SALES'!$Y$2:$Y$2501,'AR SALES'!$L$2:$L$2501,$L3225,'AR SALES'!$AD$2:$AD$2501,"OFF"),2)=0,"","STALE")))</f>
        <v/>
      </c>
      <c r="BB3225" s="2" t="str">
        <f>IF(OR(""&amp;$F3225="2",""&amp;$F3225="4",""&amp;$F3225="G",""&amp;$F3225="H"),IF($AY3225="YES","",IF($AB3225&lt;&gt;0,"",IF(COUNTIFS('AR SALES'!$L$2:$L$2501,$L3225,'AR SALES'!$AD$2:$AD$2501,IF(""&amp;$F3225="4","OFF","ON"),'AR SALES'!$AF$2:$AF$2501,"Y")&gt;0,"","NO EXEMPTION"))),"")</f>
        <v/>
      </c>
    </row>
    <row r="3226" spans="46:54" x14ac:dyDescent="0.25">
      <c r="AT3226" s="2" t="str">
        <f>IF($L3226="","",IFERROR(INDEX('AR SALES'!$H$2:$H$2501,MATCH(""&amp;$L3226,'AR SALES'!$AE$2:$AE$2501,0)),""))</f>
        <v/>
      </c>
      <c r="AU3226" s="2" t="str">
        <f t="shared" si="200"/>
        <v/>
      </c>
      <c r="AV3226" s="2" t="str">
        <f t="shared" si="201"/>
        <v/>
      </c>
      <c r="AW3226" s="2" t="str">
        <f t="shared" si="202"/>
        <v/>
      </c>
      <c r="AX3226" s="2" t="str">
        <f t="shared" si="203"/>
        <v/>
      </c>
      <c r="AY3226" s="2" t="str">
        <f>IF($AV3226="","",IF(AND($Z3226=0,COUNTIF('AR SALES'!$L$2:$L$2501,$L3226)=0),"YES",""))</f>
        <v/>
      </c>
      <c r="AZ3226" s="2" t="str">
        <f>IF($AV3226="","",IF(COUNTIF(LISTS!$C$2:$C$250,$AU3226)=0,"NEW",""))</f>
        <v/>
      </c>
      <c r="BA3226" s="2" t="str">
        <f>IF(""&amp;$F3226&lt;&gt;"4","",IF($AY3226="YES","",IF(ROUND(SUMIFS($AE$2:$AE$4001,$L$2:$L$4001,$L3226,$F$2:$F$4001,"4")-SUMIFS('AR SALES'!$Y$2:$Y$2501,'AR SALES'!$L$2:$L$2501,$L3226,'AR SALES'!$AD$2:$AD$2501,"OFF"),2)=0,"","STALE")))</f>
        <v/>
      </c>
      <c r="BB3226" s="2" t="str">
        <f>IF(OR(""&amp;$F3226="2",""&amp;$F3226="4",""&amp;$F3226="G",""&amp;$F3226="H"),IF($AY3226="YES","",IF($AB3226&lt;&gt;0,"",IF(COUNTIFS('AR SALES'!$L$2:$L$2501,$L3226,'AR SALES'!$AD$2:$AD$2501,IF(""&amp;$F3226="4","OFF","ON"),'AR SALES'!$AF$2:$AF$2501,"Y")&gt;0,"","NO EXEMPTION"))),"")</f>
        <v/>
      </c>
    </row>
    <row r="3227" spans="46:54" x14ac:dyDescent="0.25">
      <c r="AT3227" s="2" t="str">
        <f>IF($L3227="","",IFERROR(INDEX('AR SALES'!$H$2:$H$2501,MATCH(""&amp;$L3227,'AR SALES'!$AE$2:$AE$2501,0)),""))</f>
        <v/>
      </c>
      <c r="AU3227" s="2" t="str">
        <f t="shared" si="200"/>
        <v/>
      </c>
      <c r="AV3227" s="2" t="str">
        <f t="shared" si="201"/>
        <v/>
      </c>
      <c r="AW3227" s="2" t="str">
        <f t="shared" si="202"/>
        <v/>
      </c>
      <c r="AX3227" s="2" t="str">
        <f t="shared" si="203"/>
        <v/>
      </c>
      <c r="AY3227" s="2" t="str">
        <f>IF($AV3227="","",IF(AND($Z3227=0,COUNTIF('AR SALES'!$L$2:$L$2501,$L3227)=0),"YES",""))</f>
        <v/>
      </c>
      <c r="AZ3227" s="2" t="str">
        <f>IF($AV3227="","",IF(COUNTIF(LISTS!$C$2:$C$250,$AU3227)=0,"NEW",""))</f>
        <v/>
      </c>
      <c r="BA3227" s="2" t="str">
        <f>IF(""&amp;$F3227&lt;&gt;"4","",IF($AY3227="YES","",IF(ROUND(SUMIFS($AE$2:$AE$4001,$L$2:$L$4001,$L3227,$F$2:$F$4001,"4")-SUMIFS('AR SALES'!$Y$2:$Y$2501,'AR SALES'!$L$2:$L$2501,$L3227,'AR SALES'!$AD$2:$AD$2501,"OFF"),2)=0,"","STALE")))</f>
        <v/>
      </c>
      <c r="BB3227" s="2" t="str">
        <f>IF(OR(""&amp;$F3227="2",""&amp;$F3227="4",""&amp;$F3227="G",""&amp;$F3227="H"),IF($AY3227="YES","",IF($AB3227&lt;&gt;0,"",IF(COUNTIFS('AR SALES'!$L$2:$L$2501,$L3227,'AR SALES'!$AD$2:$AD$2501,IF(""&amp;$F3227="4","OFF","ON"),'AR SALES'!$AF$2:$AF$2501,"Y")&gt;0,"","NO EXEMPTION"))),"")</f>
        <v/>
      </c>
    </row>
    <row r="3228" spans="46:54" x14ac:dyDescent="0.25">
      <c r="AT3228" s="2" t="str">
        <f>IF($L3228="","",IFERROR(INDEX('AR SALES'!$H$2:$H$2501,MATCH(""&amp;$L3228,'AR SALES'!$AE$2:$AE$2501,0)),""))</f>
        <v/>
      </c>
      <c r="AU3228" s="2" t="str">
        <f t="shared" si="200"/>
        <v/>
      </c>
      <c r="AV3228" s="2" t="str">
        <f t="shared" si="201"/>
        <v/>
      </c>
      <c r="AW3228" s="2" t="str">
        <f t="shared" si="202"/>
        <v/>
      </c>
      <c r="AX3228" s="2" t="str">
        <f t="shared" si="203"/>
        <v/>
      </c>
      <c r="AY3228" s="2" t="str">
        <f>IF($AV3228="","",IF(AND($Z3228=0,COUNTIF('AR SALES'!$L$2:$L$2501,$L3228)=0),"YES",""))</f>
        <v/>
      </c>
      <c r="AZ3228" s="2" t="str">
        <f>IF($AV3228="","",IF(COUNTIF(LISTS!$C$2:$C$250,$AU3228)=0,"NEW",""))</f>
        <v/>
      </c>
      <c r="BA3228" s="2" t="str">
        <f>IF(""&amp;$F3228&lt;&gt;"4","",IF($AY3228="YES","",IF(ROUND(SUMIFS($AE$2:$AE$4001,$L$2:$L$4001,$L3228,$F$2:$F$4001,"4")-SUMIFS('AR SALES'!$Y$2:$Y$2501,'AR SALES'!$L$2:$L$2501,$L3228,'AR SALES'!$AD$2:$AD$2501,"OFF"),2)=0,"","STALE")))</f>
        <v/>
      </c>
      <c r="BB3228" s="2" t="str">
        <f>IF(OR(""&amp;$F3228="2",""&amp;$F3228="4",""&amp;$F3228="G",""&amp;$F3228="H"),IF($AY3228="YES","",IF($AB3228&lt;&gt;0,"",IF(COUNTIFS('AR SALES'!$L$2:$L$2501,$L3228,'AR SALES'!$AD$2:$AD$2501,IF(""&amp;$F3228="4","OFF","ON"),'AR SALES'!$AF$2:$AF$2501,"Y")&gt;0,"","NO EXEMPTION"))),"")</f>
        <v/>
      </c>
    </row>
    <row r="3229" spans="46:54" x14ac:dyDescent="0.25">
      <c r="AT3229" s="2" t="str">
        <f>IF($L3229="","",IFERROR(INDEX('AR SALES'!$H$2:$H$2501,MATCH(""&amp;$L3229,'AR SALES'!$AE$2:$AE$2501,0)),""))</f>
        <v/>
      </c>
      <c r="AU3229" s="2" t="str">
        <f t="shared" si="200"/>
        <v/>
      </c>
      <c r="AV3229" s="2" t="str">
        <f t="shared" si="201"/>
        <v/>
      </c>
      <c r="AW3229" s="2" t="str">
        <f t="shared" si="202"/>
        <v/>
      </c>
      <c r="AX3229" s="2" t="str">
        <f t="shared" si="203"/>
        <v/>
      </c>
      <c r="AY3229" s="2" t="str">
        <f>IF($AV3229="","",IF(AND($Z3229=0,COUNTIF('AR SALES'!$L$2:$L$2501,$L3229)=0),"YES",""))</f>
        <v/>
      </c>
      <c r="AZ3229" s="2" t="str">
        <f>IF($AV3229="","",IF(COUNTIF(LISTS!$C$2:$C$250,$AU3229)=0,"NEW",""))</f>
        <v/>
      </c>
      <c r="BA3229" s="2" t="str">
        <f>IF(""&amp;$F3229&lt;&gt;"4","",IF($AY3229="YES","",IF(ROUND(SUMIFS($AE$2:$AE$4001,$L$2:$L$4001,$L3229,$F$2:$F$4001,"4")-SUMIFS('AR SALES'!$Y$2:$Y$2501,'AR SALES'!$L$2:$L$2501,$L3229,'AR SALES'!$AD$2:$AD$2501,"OFF"),2)=0,"","STALE")))</f>
        <v/>
      </c>
      <c r="BB3229" s="2" t="str">
        <f>IF(OR(""&amp;$F3229="2",""&amp;$F3229="4",""&amp;$F3229="G",""&amp;$F3229="H"),IF($AY3229="YES","",IF($AB3229&lt;&gt;0,"",IF(COUNTIFS('AR SALES'!$L$2:$L$2501,$L3229,'AR SALES'!$AD$2:$AD$2501,IF(""&amp;$F3229="4","OFF","ON"),'AR SALES'!$AF$2:$AF$2501,"Y")&gt;0,"","NO EXEMPTION"))),"")</f>
        <v/>
      </c>
    </row>
    <row r="3230" spans="46:54" x14ac:dyDescent="0.25">
      <c r="AT3230" s="2" t="str">
        <f>IF($L3230="","",IFERROR(INDEX('AR SALES'!$H$2:$H$2501,MATCH(""&amp;$L3230,'AR SALES'!$AE$2:$AE$2501,0)),""))</f>
        <v/>
      </c>
      <c r="AU3230" s="2" t="str">
        <f t="shared" si="200"/>
        <v/>
      </c>
      <c r="AV3230" s="2" t="str">
        <f t="shared" si="201"/>
        <v/>
      </c>
      <c r="AW3230" s="2" t="str">
        <f t="shared" si="202"/>
        <v/>
      </c>
      <c r="AX3230" s="2" t="str">
        <f t="shared" si="203"/>
        <v/>
      </c>
      <c r="AY3230" s="2" t="str">
        <f>IF($AV3230="","",IF(AND($Z3230=0,COUNTIF('AR SALES'!$L$2:$L$2501,$L3230)=0),"YES",""))</f>
        <v/>
      </c>
      <c r="AZ3230" s="2" t="str">
        <f>IF($AV3230="","",IF(COUNTIF(LISTS!$C$2:$C$250,$AU3230)=0,"NEW",""))</f>
        <v/>
      </c>
      <c r="BA3230" s="2" t="str">
        <f>IF(""&amp;$F3230&lt;&gt;"4","",IF($AY3230="YES","",IF(ROUND(SUMIFS($AE$2:$AE$4001,$L$2:$L$4001,$L3230,$F$2:$F$4001,"4")-SUMIFS('AR SALES'!$Y$2:$Y$2501,'AR SALES'!$L$2:$L$2501,$L3230,'AR SALES'!$AD$2:$AD$2501,"OFF"),2)=0,"","STALE")))</f>
        <v/>
      </c>
      <c r="BB3230" s="2" t="str">
        <f>IF(OR(""&amp;$F3230="2",""&amp;$F3230="4",""&amp;$F3230="G",""&amp;$F3230="H"),IF($AY3230="YES","",IF($AB3230&lt;&gt;0,"",IF(COUNTIFS('AR SALES'!$L$2:$L$2501,$L3230,'AR SALES'!$AD$2:$AD$2501,IF(""&amp;$F3230="4","OFF","ON"),'AR SALES'!$AF$2:$AF$2501,"Y")&gt;0,"","NO EXEMPTION"))),"")</f>
        <v/>
      </c>
    </row>
    <row r="3231" spans="46:54" x14ac:dyDescent="0.25">
      <c r="AT3231" s="2" t="str">
        <f>IF($L3231="","",IFERROR(INDEX('AR SALES'!$H$2:$H$2501,MATCH(""&amp;$L3231,'AR SALES'!$AE$2:$AE$2501,0)),""))</f>
        <v/>
      </c>
      <c r="AU3231" s="2" t="str">
        <f t="shared" si="200"/>
        <v/>
      </c>
      <c r="AV3231" s="2" t="str">
        <f t="shared" si="201"/>
        <v/>
      </c>
      <c r="AW3231" s="2" t="str">
        <f t="shared" si="202"/>
        <v/>
      </c>
      <c r="AX3231" s="2" t="str">
        <f t="shared" si="203"/>
        <v/>
      </c>
      <c r="AY3231" s="2" t="str">
        <f>IF($AV3231="","",IF(AND($Z3231=0,COUNTIF('AR SALES'!$L$2:$L$2501,$L3231)=0),"YES",""))</f>
        <v/>
      </c>
      <c r="AZ3231" s="2" t="str">
        <f>IF($AV3231="","",IF(COUNTIF(LISTS!$C$2:$C$250,$AU3231)=0,"NEW",""))</f>
        <v/>
      </c>
      <c r="BA3231" s="2" t="str">
        <f>IF(""&amp;$F3231&lt;&gt;"4","",IF($AY3231="YES","",IF(ROUND(SUMIFS($AE$2:$AE$4001,$L$2:$L$4001,$L3231,$F$2:$F$4001,"4")-SUMIFS('AR SALES'!$Y$2:$Y$2501,'AR SALES'!$L$2:$L$2501,$L3231,'AR SALES'!$AD$2:$AD$2501,"OFF"),2)=0,"","STALE")))</f>
        <v/>
      </c>
      <c r="BB3231" s="2" t="str">
        <f>IF(OR(""&amp;$F3231="2",""&amp;$F3231="4",""&amp;$F3231="G",""&amp;$F3231="H"),IF($AY3231="YES","",IF($AB3231&lt;&gt;0,"",IF(COUNTIFS('AR SALES'!$L$2:$L$2501,$L3231,'AR SALES'!$AD$2:$AD$2501,IF(""&amp;$F3231="4","OFF","ON"),'AR SALES'!$AF$2:$AF$2501,"Y")&gt;0,"","NO EXEMPTION"))),"")</f>
        <v/>
      </c>
    </row>
    <row r="3232" spans="46:54" x14ac:dyDescent="0.25">
      <c r="AT3232" s="2" t="str">
        <f>IF($L3232="","",IFERROR(INDEX('AR SALES'!$H$2:$H$2501,MATCH(""&amp;$L3232,'AR SALES'!$AE$2:$AE$2501,0)),""))</f>
        <v/>
      </c>
      <c r="AU3232" s="2" t="str">
        <f t="shared" si="200"/>
        <v/>
      </c>
      <c r="AV3232" s="2" t="str">
        <f t="shared" si="201"/>
        <v/>
      </c>
      <c r="AW3232" s="2" t="str">
        <f t="shared" si="202"/>
        <v/>
      </c>
      <c r="AX3232" s="2" t="str">
        <f t="shared" si="203"/>
        <v/>
      </c>
      <c r="AY3232" s="2" t="str">
        <f>IF($AV3232="","",IF(AND($Z3232=0,COUNTIF('AR SALES'!$L$2:$L$2501,$L3232)=0),"YES",""))</f>
        <v/>
      </c>
      <c r="AZ3232" s="2" t="str">
        <f>IF($AV3232="","",IF(COUNTIF(LISTS!$C$2:$C$250,$AU3232)=0,"NEW",""))</f>
        <v/>
      </c>
      <c r="BA3232" s="2" t="str">
        <f>IF(""&amp;$F3232&lt;&gt;"4","",IF($AY3232="YES","",IF(ROUND(SUMIFS($AE$2:$AE$4001,$L$2:$L$4001,$L3232,$F$2:$F$4001,"4")-SUMIFS('AR SALES'!$Y$2:$Y$2501,'AR SALES'!$L$2:$L$2501,$L3232,'AR SALES'!$AD$2:$AD$2501,"OFF"),2)=0,"","STALE")))</f>
        <v/>
      </c>
      <c r="BB3232" s="2" t="str">
        <f>IF(OR(""&amp;$F3232="2",""&amp;$F3232="4",""&amp;$F3232="G",""&amp;$F3232="H"),IF($AY3232="YES","",IF($AB3232&lt;&gt;0,"",IF(COUNTIFS('AR SALES'!$L$2:$L$2501,$L3232,'AR SALES'!$AD$2:$AD$2501,IF(""&amp;$F3232="4","OFF","ON"),'AR SALES'!$AF$2:$AF$2501,"Y")&gt;0,"","NO EXEMPTION"))),"")</f>
        <v/>
      </c>
    </row>
    <row r="3233" spans="46:54" x14ac:dyDescent="0.25">
      <c r="AT3233" s="2" t="str">
        <f>IF($L3233="","",IFERROR(INDEX('AR SALES'!$H$2:$H$2501,MATCH(""&amp;$L3233,'AR SALES'!$AE$2:$AE$2501,0)),""))</f>
        <v/>
      </c>
      <c r="AU3233" s="2" t="str">
        <f t="shared" si="200"/>
        <v/>
      </c>
      <c r="AV3233" s="2" t="str">
        <f t="shared" si="201"/>
        <v/>
      </c>
      <c r="AW3233" s="2" t="str">
        <f t="shared" si="202"/>
        <v/>
      </c>
      <c r="AX3233" s="2" t="str">
        <f t="shared" si="203"/>
        <v/>
      </c>
      <c r="AY3233" s="2" t="str">
        <f>IF($AV3233="","",IF(AND($Z3233=0,COUNTIF('AR SALES'!$L$2:$L$2501,$L3233)=0),"YES",""))</f>
        <v/>
      </c>
      <c r="AZ3233" s="2" t="str">
        <f>IF($AV3233="","",IF(COUNTIF(LISTS!$C$2:$C$250,$AU3233)=0,"NEW",""))</f>
        <v/>
      </c>
      <c r="BA3233" s="2" t="str">
        <f>IF(""&amp;$F3233&lt;&gt;"4","",IF($AY3233="YES","",IF(ROUND(SUMIFS($AE$2:$AE$4001,$L$2:$L$4001,$L3233,$F$2:$F$4001,"4")-SUMIFS('AR SALES'!$Y$2:$Y$2501,'AR SALES'!$L$2:$L$2501,$L3233,'AR SALES'!$AD$2:$AD$2501,"OFF"),2)=0,"","STALE")))</f>
        <v/>
      </c>
      <c r="BB3233" s="2" t="str">
        <f>IF(OR(""&amp;$F3233="2",""&amp;$F3233="4",""&amp;$F3233="G",""&amp;$F3233="H"),IF($AY3233="YES","",IF($AB3233&lt;&gt;0,"",IF(COUNTIFS('AR SALES'!$L$2:$L$2501,$L3233,'AR SALES'!$AD$2:$AD$2501,IF(""&amp;$F3233="4","OFF","ON"),'AR SALES'!$AF$2:$AF$2501,"Y")&gt;0,"","NO EXEMPTION"))),"")</f>
        <v/>
      </c>
    </row>
    <row r="3234" spans="46:54" x14ac:dyDescent="0.25">
      <c r="AT3234" s="2" t="str">
        <f>IF($L3234="","",IFERROR(INDEX('AR SALES'!$H$2:$H$2501,MATCH(""&amp;$L3234,'AR SALES'!$AE$2:$AE$2501,0)),""))</f>
        <v/>
      </c>
      <c r="AU3234" s="2" t="str">
        <f t="shared" si="200"/>
        <v/>
      </c>
      <c r="AV3234" s="2" t="str">
        <f t="shared" si="201"/>
        <v/>
      </c>
      <c r="AW3234" s="2" t="str">
        <f t="shared" si="202"/>
        <v/>
      </c>
      <c r="AX3234" s="2" t="str">
        <f t="shared" si="203"/>
        <v/>
      </c>
      <c r="AY3234" s="2" t="str">
        <f>IF($AV3234="","",IF(AND($Z3234=0,COUNTIF('AR SALES'!$L$2:$L$2501,$L3234)=0),"YES",""))</f>
        <v/>
      </c>
      <c r="AZ3234" s="2" t="str">
        <f>IF($AV3234="","",IF(COUNTIF(LISTS!$C$2:$C$250,$AU3234)=0,"NEW",""))</f>
        <v/>
      </c>
      <c r="BA3234" s="2" t="str">
        <f>IF(""&amp;$F3234&lt;&gt;"4","",IF($AY3234="YES","",IF(ROUND(SUMIFS($AE$2:$AE$4001,$L$2:$L$4001,$L3234,$F$2:$F$4001,"4")-SUMIFS('AR SALES'!$Y$2:$Y$2501,'AR SALES'!$L$2:$L$2501,$L3234,'AR SALES'!$AD$2:$AD$2501,"OFF"),2)=0,"","STALE")))</f>
        <v/>
      </c>
      <c r="BB3234" s="2" t="str">
        <f>IF(OR(""&amp;$F3234="2",""&amp;$F3234="4",""&amp;$F3234="G",""&amp;$F3234="H"),IF($AY3234="YES","",IF($AB3234&lt;&gt;0,"",IF(COUNTIFS('AR SALES'!$L$2:$L$2501,$L3234,'AR SALES'!$AD$2:$AD$2501,IF(""&amp;$F3234="4","OFF","ON"),'AR SALES'!$AF$2:$AF$2501,"Y")&gt;0,"","NO EXEMPTION"))),"")</f>
        <v/>
      </c>
    </row>
    <row r="3235" spans="46:54" x14ac:dyDescent="0.25">
      <c r="AT3235" s="2" t="str">
        <f>IF($L3235="","",IFERROR(INDEX('AR SALES'!$H$2:$H$2501,MATCH(""&amp;$L3235,'AR SALES'!$AE$2:$AE$2501,0)),""))</f>
        <v/>
      </c>
      <c r="AU3235" s="2" t="str">
        <f t="shared" si="200"/>
        <v/>
      </c>
      <c r="AV3235" s="2" t="str">
        <f t="shared" si="201"/>
        <v/>
      </c>
      <c r="AW3235" s="2" t="str">
        <f t="shared" si="202"/>
        <v/>
      </c>
      <c r="AX3235" s="2" t="str">
        <f t="shared" si="203"/>
        <v/>
      </c>
      <c r="AY3235" s="2" t="str">
        <f>IF($AV3235="","",IF(AND($Z3235=0,COUNTIF('AR SALES'!$L$2:$L$2501,$L3235)=0),"YES",""))</f>
        <v/>
      </c>
      <c r="AZ3235" s="2" t="str">
        <f>IF($AV3235="","",IF(COUNTIF(LISTS!$C$2:$C$250,$AU3235)=0,"NEW",""))</f>
        <v/>
      </c>
      <c r="BA3235" s="2" t="str">
        <f>IF(""&amp;$F3235&lt;&gt;"4","",IF($AY3235="YES","",IF(ROUND(SUMIFS($AE$2:$AE$4001,$L$2:$L$4001,$L3235,$F$2:$F$4001,"4")-SUMIFS('AR SALES'!$Y$2:$Y$2501,'AR SALES'!$L$2:$L$2501,$L3235,'AR SALES'!$AD$2:$AD$2501,"OFF"),2)=0,"","STALE")))</f>
        <v/>
      </c>
      <c r="BB3235" s="2" t="str">
        <f>IF(OR(""&amp;$F3235="2",""&amp;$F3235="4",""&amp;$F3235="G",""&amp;$F3235="H"),IF($AY3235="YES","",IF($AB3235&lt;&gt;0,"",IF(COUNTIFS('AR SALES'!$L$2:$L$2501,$L3235,'AR SALES'!$AD$2:$AD$2501,IF(""&amp;$F3235="4","OFF","ON"),'AR SALES'!$AF$2:$AF$2501,"Y")&gt;0,"","NO EXEMPTION"))),"")</f>
        <v/>
      </c>
    </row>
    <row r="3236" spans="46:54" x14ac:dyDescent="0.25">
      <c r="AT3236" s="2" t="str">
        <f>IF($L3236="","",IFERROR(INDEX('AR SALES'!$H$2:$H$2501,MATCH(""&amp;$L3236,'AR SALES'!$AE$2:$AE$2501,0)),""))</f>
        <v/>
      </c>
      <c r="AU3236" s="2" t="str">
        <f t="shared" si="200"/>
        <v/>
      </c>
      <c r="AV3236" s="2" t="str">
        <f t="shared" si="201"/>
        <v/>
      </c>
      <c r="AW3236" s="2" t="str">
        <f t="shared" si="202"/>
        <v/>
      </c>
      <c r="AX3236" s="2" t="str">
        <f t="shared" si="203"/>
        <v/>
      </c>
      <c r="AY3236" s="2" t="str">
        <f>IF($AV3236="","",IF(AND($Z3236=0,COUNTIF('AR SALES'!$L$2:$L$2501,$L3236)=0),"YES",""))</f>
        <v/>
      </c>
      <c r="AZ3236" s="2" t="str">
        <f>IF($AV3236="","",IF(COUNTIF(LISTS!$C$2:$C$250,$AU3236)=0,"NEW",""))</f>
        <v/>
      </c>
      <c r="BA3236" s="2" t="str">
        <f>IF(""&amp;$F3236&lt;&gt;"4","",IF($AY3236="YES","",IF(ROUND(SUMIFS($AE$2:$AE$4001,$L$2:$L$4001,$L3236,$F$2:$F$4001,"4")-SUMIFS('AR SALES'!$Y$2:$Y$2501,'AR SALES'!$L$2:$L$2501,$L3236,'AR SALES'!$AD$2:$AD$2501,"OFF"),2)=0,"","STALE")))</f>
        <v/>
      </c>
      <c r="BB3236" s="2" t="str">
        <f>IF(OR(""&amp;$F3236="2",""&amp;$F3236="4",""&amp;$F3236="G",""&amp;$F3236="H"),IF($AY3236="YES","",IF($AB3236&lt;&gt;0,"",IF(COUNTIFS('AR SALES'!$L$2:$L$2501,$L3236,'AR SALES'!$AD$2:$AD$2501,IF(""&amp;$F3236="4","OFF","ON"),'AR SALES'!$AF$2:$AF$2501,"Y")&gt;0,"","NO EXEMPTION"))),"")</f>
        <v/>
      </c>
    </row>
    <row r="3237" spans="46:54" x14ac:dyDescent="0.25">
      <c r="AT3237" s="2" t="str">
        <f>IF($L3237="","",IFERROR(INDEX('AR SALES'!$H$2:$H$2501,MATCH(""&amp;$L3237,'AR SALES'!$AE$2:$AE$2501,0)),""))</f>
        <v/>
      </c>
      <c r="AU3237" s="2" t="str">
        <f t="shared" si="200"/>
        <v/>
      </c>
      <c r="AV3237" s="2" t="str">
        <f t="shared" si="201"/>
        <v/>
      </c>
      <c r="AW3237" s="2" t="str">
        <f t="shared" si="202"/>
        <v/>
      </c>
      <c r="AX3237" s="2" t="str">
        <f t="shared" si="203"/>
        <v/>
      </c>
      <c r="AY3237" s="2" t="str">
        <f>IF($AV3237="","",IF(AND($Z3237=0,COUNTIF('AR SALES'!$L$2:$L$2501,$L3237)=0),"YES",""))</f>
        <v/>
      </c>
      <c r="AZ3237" s="2" t="str">
        <f>IF($AV3237="","",IF(COUNTIF(LISTS!$C$2:$C$250,$AU3237)=0,"NEW",""))</f>
        <v/>
      </c>
      <c r="BA3237" s="2" t="str">
        <f>IF(""&amp;$F3237&lt;&gt;"4","",IF($AY3237="YES","",IF(ROUND(SUMIFS($AE$2:$AE$4001,$L$2:$L$4001,$L3237,$F$2:$F$4001,"4")-SUMIFS('AR SALES'!$Y$2:$Y$2501,'AR SALES'!$L$2:$L$2501,$L3237,'AR SALES'!$AD$2:$AD$2501,"OFF"),2)=0,"","STALE")))</f>
        <v/>
      </c>
      <c r="BB3237" s="2" t="str">
        <f>IF(OR(""&amp;$F3237="2",""&amp;$F3237="4",""&amp;$F3237="G",""&amp;$F3237="H"),IF($AY3237="YES","",IF($AB3237&lt;&gt;0,"",IF(COUNTIFS('AR SALES'!$L$2:$L$2501,$L3237,'AR SALES'!$AD$2:$AD$2501,IF(""&amp;$F3237="4","OFF","ON"),'AR SALES'!$AF$2:$AF$2501,"Y")&gt;0,"","NO EXEMPTION"))),"")</f>
        <v/>
      </c>
    </row>
    <row r="3238" spans="46:54" x14ac:dyDescent="0.25">
      <c r="AT3238" s="2" t="str">
        <f>IF($L3238="","",IFERROR(INDEX('AR SALES'!$H$2:$H$2501,MATCH(""&amp;$L3238,'AR SALES'!$AE$2:$AE$2501,0)),""))</f>
        <v/>
      </c>
      <c r="AU3238" s="2" t="str">
        <f t="shared" si="200"/>
        <v/>
      </c>
      <c r="AV3238" s="2" t="str">
        <f t="shared" si="201"/>
        <v/>
      </c>
      <c r="AW3238" s="2" t="str">
        <f t="shared" si="202"/>
        <v/>
      </c>
      <c r="AX3238" s="2" t="str">
        <f t="shared" si="203"/>
        <v/>
      </c>
      <c r="AY3238" s="2" t="str">
        <f>IF($AV3238="","",IF(AND($Z3238=0,COUNTIF('AR SALES'!$L$2:$L$2501,$L3238)=0),"YES",""))</f>
        <v/>
      </c>
      <c r="AZ3238" s="2" t="str">
        <f>IF($AV3238="","",IF(COUNTIF(LISTS!$C$2:$C$250,$AU3238)=0,"NEW",""))</f>
        <v/>
      </c>
      <c r="BA3238" s="2" t="str">
        <f>IF(""&amp;$F3238&lt;&gt;"4","",IF($AY3238="YES","",IF(ROUND(SUMIFS($AE$2:$AE$4001,$L$2:$L$4001,$L3238,$F$2:$F$4001,"4")-SUMIFS('AR SALES'!$Y$2:$Y$2501,'AR SALES'!$L$2:$L$2501,$L3238,'AR SALES'!$AD$2:$AD$2501,"OFF"),2)=0,"","STALE")))</f>
        <v/>
      </c>
      <c r="BB3238" s="2" t="str">
        <f>IF(OR(""&amp;$F3238="2",""&amp;$F3238="4",""&amp;$F3238="G",""&amp;$F3238="H"),IF($AY3238="YES","",IF($AB3238&lt;&gt;0,"",IF(COUNTIFS('AR SALES'!$L$2:$L$2501,$L3238,'AR SALES'!$AD$2:$AD$2501,IF(""&amp;$F3238="4","OFF","ON"),'AR SALES'!$AF$2:$AF$2501,"Y")&gt;0,"","NO EXEMPTION"))),"")</f>
        <v/>
      </c>
    </row>
    <row r="3239" spans="46:54" x14ac:dyDescent="0.25">
      <c r="AT3239" s="2" t="str">
        <f>IF($L3239="","",IFERROR(INDEX('AR SALES'!$H$2:$H$2501,MATCH(""&amp;$L3239,'AR SALES'!$AE$2:$AE$2501,0)),""))</f>
        <v/>
      </c>
      <c r="AU3239" s="2" t="str">
        <f t="shared" si="200"/>
        <v/>
      </c>
      <c r="AV3239" s="2" t="str">
        <f t="shared" si="201"/>
        <v/>
      </c>
      <c r="AW3239" s="2" t="str">
        <f t="shared" si="202"/>
        <v/>
      </c>
      <c r="AX3239" s="2" t="str">
        <f t="shared" si="203"/>
        <v/>
      </c>
      <c r="AY3239" s="2" t="str">
        <f>IF($AV3239="","",IF(AND($Z3239=0,COUNTIF('AR SALES'!$L$2:$L$2501,$L3239)=0),"YES",""))</f>
        <v/>
      </c>
      <c r="AZ3239" s="2" t="str">
        <f>IF($AV3239="","",IF(COUNTIF(LISTS!$C$2:$C$250,$AU3239)=0,"NEW",""))</f>
        <v/>
      </c>
      <c r="BA3239" s="2" t="str">
        <f>IF(""&amp;$F3239&lt;&gt;"4","",IF($AY3239="YES","",IF(ROUND(SUMIFS($AE$2:$AE$4001,$L$2:$L$4001,$L3239,$F$2:$F$4001,"4")-SUMIFS('AR SALES'!$Y$2:$Y$2501,'AR SALES'!$L$2:$L$2501,$L3239,'AR SALES'!$AD$2:$AD$2501,"OFF"),2)=0,"","STALE")))</f>
        <v/>
      </c>
      <c r="BB3239" s="2" t="str">
        <f>IF(OR(""&amp;$F3239="2",""&amp;$F3239="4",""&amp;$F3239="G",""&amp;$F3239="H"),IF($AY3239="YES","",IF($AB3239&lt;&gt;0,"",IF(COUNTIFS('AR SALES'!$L$2:$L$2501,$L3239,'AR SALES'!$AD$2:$AD$2501,IF(""&amp;$F3239="4","OFF","ON"),'AR SALES'!$AF$2:$AF$2501,"Y")&gt;0,"","NO EXEMPTION"))),"")</f>
        <v/>
      </c>
    </row>
    <row r="3240" spans="46:54" x14ac:dyDescent="0.25">
      <c r="AT3240" s="2" t="str">
        <f>IF($L3240="","",IFERROR(INDEX('AR SALES'!$H$2:$H$2501,MATCH(""&amp;$L3240,'AR SALES'!$AE$2:$AE$2501,0)),""))</f>
        <v/>
      </c>
      <c r="AU3240" s="2" t="str">
        <f t="shared" si="200"/>
        <v/>
      </c>
      <c r="AV3240" s="2" t="str">
        <f t="shared" si="201"/>
        <v/>
      </c>
      <c r="AW3240" s="2" t="str">
        <f t="shared" si="202"/>
        <v/>
      </c>
      <c r="AX3240" s="2" t="str">
        <f t="shared" si="203"/>
        <v/>
      </c>
      <c r="AY3240" s="2" t="str">
        <f>IF($AV3240="","",IF(AND($Z3240=0,COUNTIF('AR SALES'!$L$2:$L$2501,$L3240)=0),"YES",""))</f>
        <v/>
      </c>
      <c r="AZ3240" s="2" t="str">
        <f>IF($AV3240="","",IF(COUNTIF(LISTS!$C$2:$C$250,$AU3240)=0,"NEW",""))</f>
        <v/>
      </c>
      <c r="BA3240" s="2" t="str">
        <f>IF(""&amp;$F3240&lt;&gt;"4","",IF($AY3240="YES","",IF(ROUND(SUMIFS($AE$2:$AE$4001,$L$2:$L$4001,$L3240,$F$2:$F$4001,"4")-SUMIFS('AR SALES'!$Y$2:$Y$2501,'AR SALES'!$L$2:$L$2501,$L3240,'AR SALES'!$AD$2:$AD$2501,"OFF"),2)=0,"","STALE")))</f>
        <v/>
      </c>
      <c r="BB3240" s="2" t="str">
        <f>IF(OR(""&amp;$F3240="2",""&amp;$F3240="4",""&amp;$F3240="G",""&amp;$F3240="H"),IF($AY3240="YES","",IF($AB3240&lt;&gt;0,"",IF(COUNTIFS('AR SALES'!$L$2:$L$2501,$L3240,'AR SALES'!$AD$2:$AD$2501,IF(""&amp;$F3240="4","OFF","ON"),'AR SALES'!$AF$2:$AF$2501,"Y")&gt;0,"","NO EXEMPTION"))),"")</f>
        <v/>
      </c>
    </row>
    <row r="3241" spans="46:54" x14ac:dyDescent="0.25">
      <c r="AT3241" s="2" t="str">
        <f>IF($L3241="","",IFERROR(INDEX('AR SALES'!$H$2:$H$2501,MATCH(""&amp;$L3241,'AR SALES'!$AE$2:$AE$2501,0)),""))</f>
        <v/>
      </c>
      <c r="AU3241" s="2" t="str">
        <f t="shared" si="200"/>
        <v/>
      </c>
      <c r="AV3241" s="2" t="str">
        <f t="shared" si="201"/>
        <v/>
      </c>
      <c r="AW3241" s="2" t="str">
        <f t="shared" si="202"/>
        <v/>
      </c>
      <c r="AX3241" s="2" t="str">
        <f t="shared" si="203"/>
        <v/>
      </c>
      <c r="AY3241" s="2" t="str">
        <f>IF($AV3241="","",IF(AND($Z3241=0,COUNTIF('AR SALES'!$L$2:$L$2501,$L3241)=0),"YES",""))</f>
        <v/>
      </c>
      <c r="AZ3241" s="2" t="str">
        <f>IF($AV3241="","",IF(COUNTIF(LISTS!$C$2:$C$250,$AU3241)=0,"NEW",""))</f>
        <v/>
      </c>
      <c r="BA3241" s="2" t="str">
        <f>IF(""&amp;$F3241&lt;&gt;"4","",IF($AY3241="YES","",IF(ROUND(SUMIFS($AE$2:$AE$4001,$L$2:$L$4001,$L3241,$F$2:$F$4001,"4")-SUMIFS('AR SALES'!$Y$2:$Y$2501,'AR SALES'!$L$2:$L$2501,$L3241,'AR SALES'!$AD$2:$AD$2501,"OFF"),2)=0,"","STALE")))</f>
        <v/>
      </c>
      <c r="BB3241" s="2" t="str">
        <f>IF(OR(""&amp;$F3241="2",""&amp;$F3241="4",""&amp;$F3241="G",""&amp;$F3241="H"),IF($AY3241="YES","",IF($AB3241&lt;&gt;0,"",IF(COUNTIFS('AR SALES'!$L$2:$L$2501,$L3241,'AR SALES'!$AD$2:$AD$2501,IF(""&amp;$F3241="4","OFF","ON"),'AR SALES'!$AF$2:$AF$2501,"Y")&gt;0,"","NO EXEMPTION"))),"")</f>
        <v/>
      </c>
    </row>
    <row r="3242" spans="46:54" x14ac:dyDescent="0.25">
      <c r="AT3242" s="2" t="str">
        <f>IF($L3242="","",IFERROR(INDEX('AR SALES'!$H$2:$H$2501,MATCH(""&amp;$L3242,'AR SALES'!$AE$2:$AE$2501,0)),""))</f>
        <v/>
      </c>
      <c r="AU3242" s="2" t="str">
        <f t="shared" si="200"/>
        <v/>
      </c>
      <c r="AV3242" s="2" t="str">
        <f t="shared" si="201"/>
        <v/>
      </c>
      <c r="AW3242" s="2" t="str">
        <f t="shared" si="202"/>
        <v/>
      </c>
      <c r="AX3242" s="2" t="str">
        <f t="shared" si="203"/>
        <v/>
      </c>
      <c r="AY3242" s="2" t="str">
        <f>IF($AV3242="","",IF(AND($Z3242=0,COUNTIF('AR SALES'!$L$2:$L$2501,$L3242)=0),"YES",""))</f>
        <v/>
      </c>
      <c r="AZ3242" s="2" t="str">
        <f>IF($AV3242="","",IF(COUNTIF(LISTS!$C$2:$C$250,$AU3242)=0,"NEW",""))</f>
        <v/>
      </c>
      <c r="BA3242" s="2" t="str">
        <f>IF(""&amp;$F3242&lt;&gt;"4","",IF($AY3242="YES","",IF(ROUND(SUMIFS($AE$2:$AE$4001,$L$2:$L$4001,$L3242,$F$2:$F$4001,"4")-SUMIFS('AR SALES'!$Y$2:$Y$2501,'AR SALES'!$L$2:$L$2501,$L3242,'AR SALES'!$AD$2:$AD$2501,"OFF"),2)=0,"","STALE")))</f>
        <v/>
      </c>
      <c r="BB3242" s="2" t="str">
        <f>IF(OR(""&amp;$F3242="2",""&amp;$F3242="4",""&amp;$F3242="G",""&amp;$F3242="H"),IF($AY3242="YES","",IF($AB3242&lt;&gt;0,"",IF(COUNTIFS('AR SALES'!$L$2:$L$2501,$L3242,'AR SALES'!$AD$2:$AD$2501,IF(""&amp;$F3242="4","OFF","ON"),'AR SALES'!$AF$2:$AF$2501,"Y")&gt;0,"","NO EXEMPTION"))),"")</f>
        <v/>
      </c>
    </row>
    <row r="3243" spans="46:54" x14ac:dyDescent="0.25">
      <c r="AT3243" s="2" t="str">
        <f>IF($L3243="","",IFERROR(INDEX('AR SALES'!$H$2:$H$2501,MATCH(""&amp;$L3243,'AR SALES'!$AE$2:$AE$2501,0)),""))</f>
        <v/>
      </c>
      <c r="AU3243" s="2" t="str">
        <f t="shared" si="200"/>
        <v/>
      </c>
      <c r="AV3243" s="2" t="str">
        <f t="shared" si="201"/>
        <v/>
      </c>
      <c r="AW3243" s="2" t="str">
        <f t="shared" si="202"/>
        <v/>
      </c>
      <c r="AX3243" s="2" t="str">
        <f t="shared" si="203"/>
        <v/>
      </c>
      <c r="AY3243" s="2" t="str">
        <f>IF($AV3243="","",IF(AND($Z3243=0,COUNTIF('AR SALES'!$L$2:$L$2501,$L3243)=0),"YES",""))</f>
        <v/>
      </c>
      <c r="AZ3243" s="2" t="str">
        <f>IF($AV3243="","",IF(COUNTIF(LISTS!$C$2:$C$250,$AU3243)=0,"NEW",""))</f>
        <v/>
      </c>
      <c r="BA3243" s="2" t="str">
        <f>IF(""&amp;$F3243&lt;&gt;"4","",IF($AY3243="YES","",IF(ROUND(SUMIFS($AE$2:$AE$4001,$L$2:$L$4001,$L3243,$F$2:$F$4001,"4")-SUMIFS('AR SALES'!$Y$2:$Y$2501,'AR SALES'!$L$2:$L$2501,$L3243,'AR SALES'!$AD$2:$AD$2501,"OFF"),2)=0,"","STALE")))</f>
        <v/>
      </c>
      <c r="BB3243" s="2" t="str">
        <f>IF(OR(""&amp;$F3243="2",""&amp;$F3243="4",""&amp;$F3243="G",""&amp;$F3243="H"),IF($AY3243="YES","",IF($AB3243&lt;&gt;0,"",IF(COUNTIFS('AR SALES'!$L$2:$L$2501,$L3243,'AR SALES'!$AD$2:$AD$2501,IF(""&amp;$F3243="4","OFF","ON"),'AR SALES'!$AF$2:$AF$2501,"Y")&gt;0,"","NO EXEMPTION"))),"")</f>
        <v/>
      </c>
    </row>
    <row r="3244" spans="46:54" x14ac:dyDescent="0.25">
      <c r="AT3244" s="2" t="str">
        <f>IF($L3244="","",IFERROR(INDEX('AR SALES'!$H$2:$H$2501,MATCH(""&amp;$L3244,'AR SALES'!$AE$2:$AE$2501,0)),""))</f>
        <v/>
      </c>
      <c r="AU3244" s="2" t="str">
        <f t="shared" si="200"/>
        <v/>
      </c>
      <c r="AV3244" s="2" t="str">
        <f t="shared" si="201"/>
        <v/>
      </c>
      <c r="AW3244" s="2" t="str">
        <f t="shared" si="202"/>
        <v/>
      </c>
      <c r="AX3244" s="2" t="str">
        <f t="shared" si="203"/>
        <v/>
      </c>
      <c r="AY3244" s="2" t="str">
        <f>IF($AV3244="","",IF(AND($Z3244=0,COUNTIF('AR SALES'!$L$2:$L$2501,$L3244)=0),"YES",""))</f>
        <v/>
      </c>
      <c r="AZ3244" s="2" t="str">
        <f>IF($AV3244="","",IF(COUNTIF(LISTS!$C$2:$C$250,$AU3244)=0,"NEW",""))</f>
        <v/>
      </c>
      <c r="BA3244" s="2" t="str">
        <f>IF(""&amp;$F3244&lt;&gt;"4","",IF($AY3244="YES","",IF(ROUND(SUMIFS($AE$2:$AE$4001,$L$2:$L$4001,$L3244,$F$2:$F$4001,"4")-SUMIFS('AR SALES'!$Y$2:$Y$2501,'AR SALES'!$L$2:$L$2501,$L3244,'AR SALES'!$AD$2:$AD$2501,"OFF"),2)=0,"","STALE")))</f>
        <v/>
      </c>
      <c r="BB3244" s="2" t="str">
        <f>IF(OR(""&amp;$F3244="2",""&amp;$F3244="4",""&amp;$F3244="G",""&amp;$F3244="H"),IF($AY3244="YES","",IF($AB3244&lt;&gt;0,"",IF(COUNTIFS('AR SALES'!$L$2:$L$2501,$L3244,'AR SALES'!$AD$2:$AD$2501,IF(""&amp;$F3244="4","OFF","ON"),'AR SALES'!$AF$2:$AF$2501,"Y")&gt;0,"","NO EXEMPTION"))),"")</f>
        <v/>
      </c>
    </row>
    <row r="3245" spans="46:54" x14ac:dyDescent="0.25">
      <c r="AT3245" s="2" t="str">
        <f>IF($L3245="","",IFERROR(INDEX('AR SALES'!$H$2:$H$2501,MATCH(""&amp;$L3245,'AR SALES'!$AE$2:$AE$2501,0)),""))</f>
        <v/>
      </c>
      <c r="AU3245" s="2" t="str">
        <f t="shared" si="200"/>
        <v/>
      </c>
      <c r="AV3245" s="2" t="str">
        <f t="shared" si="201"/>
        <v/>
      </c>
      <c r="AW3245" s="2" t="str">
        <f t="shared" si="202"/>
        <v/>
      </c>
      <c r="AX3245" s="2" t="str">
        <f t="shared" si="203"/>
        <v/>
      </c>
      <c r="AY3245" s="2" t="str">
        <f>IF($AV3245="","",IF(AND($Z3245=0,COUNTIF('AR SALES'!$L$2:$L$2501,$L3245)=0),"YES",""))</f>
        <v/>
      </c>
      <c r="AZ3245" s="2" t="str">
        <f>IF($AV3245="","",IF(COUNTIF(LISTS!$C$2:$C$250,$AU3245)=0,"NEW",""))</f>
        <v/>
      </c>
      <c r="BA3245" s="2" t="str">
        <f>IF(""&amp;$F3245&lt;&gt;"4","",IF($AY3245="YES","",IF(ROUND(SUMIFS($AE$2:$AE$4001,$L$2:$L$4001,$L3245,$F$2:$F$4001,"4")-SUMIFS('AR SALES'!$Y$2:$Y$2501,'AR SALES'!$L$2:$L$2501,$L3245,'AR SALES'!$AD$2:$AD$2501,"OFF"),2)=0,"","STALE")))</f>
        <v/>
      </c>
      <c r="BB3245" s="2" t="str">
        <f>IF(OR(""&amp;$F3245="2",""&amp;$F3245="4",""&amp;$F3245="G",""&amp;$F3245="H"),IF($AY3245="YES","",IF($AB3245&lt;&gt;0,"",IF(COUNTIFS('AR SALES'!$L$2:$L$2501,$L3245,'AR SALES'!$AD$2:$AD$2501,IF(""&amp;$F3245="4","OFF","ON"),'AR SALES'!$AF$2:$AF$2501,"Y")&gt;0,"","NO EXEMPTION"))),"")</f>
        <v/>
      </c>
    </row>
    <row r="3246" spans="46:54" x14ac:dyDescent="0.25">
      <c r="AT3246" s="2" t="str">
        <f>IF($L3246="","",IFERROR(INDEX('AR SALES'!$H$2:$H$2501,MATCH(""&amp;$L3246,'AR SALES'!$AE$2:$AE$2501,0)),""))</f>
        <v/>
      </c>
      <c r="AU3246" s="2" t="str">
        <f t="shared" si="200"/>
        <v/>
      </c>
      <c r="AV3246" s="2" t="str">
        <f t="shared" si="201"/>
        <v/>
      </c>
      <c r="AW3246" s="2" t="str">
        <f t="shared" si="202"/>
        <v/>
      </c>
      <c r="AX3246" s="2" t="str">
        <f t="shared" si="203"/>
        <v/>
      </c>
      <c r="AY3246" s="2" t="str">
        <f>IF($AV3246="","",IF(AND($Z3246=0,COUNTIF('AR SALES'!$L$2:$L$2501,$L3246)=0),"YES",""))</f>
        <v/>
      </c>
      <c r="AZ3246" s="2" t="str">
        <f>IF($AV3246="","",IF(COUNTIF(LISTS!$C$2:$C$250,$AU3246)=0,"NEW",""))</f>
        <v/>
      </c>
      <c r="BA3246" s="2" t="str">
        <f>IF(""&amp;$F3246&lt;&gt;"4","",IF($AY3246="YES","",IF(ROUND(SUMIFS($AE$2:$AE$4001,$L$2:$L$4001,$L3246,$F$2:$F$4001,"4")-SUMIFS('AR SALES'!$Y$2:$Y$2501,'AR SALES'!$L$2:$L$2501,$L3246,'AR SALES'!$AD$2:$AD$2501,"OFF"),2)=0,"","STALE")))</f>
        <v/>
      </c>
      <c r="BB3246" s="2" t="str">
        <f>IF(OR(""&amp;$F3246="2",""&amp;$F3246="4",""&amp;$F3246="G",""&amp;$F3246="H"),IF($AY3246="YES","",IF($AB3246&lt;&gt;0,"",IF(COUNTIFS('AR SALES'!$L$2:$L$2501,$L3246,'AR SALES'!$AD$2:$AD$2501,IF(""&amp;$F3246="4","OFF","ON"),'AR SALES'!$AF$2:$AF$2501,"Y")&gt;0,"","NO EXEMPTION"))),"")</f>
        <v/>
      </c>
    </row>
    <row r="3247" spans="46:54" x14ac:dyDescent="0.25">
      <c r="AT3247" s="2" t="str">
        <f>IF($L3247="","",IFERROR(INDEX('AR SALES'!$H$2:$H$2501,MATCH(""&amp;$L3247,'AR SALES'!$AE$2:$AE$2501,0)),""))</f>
        <v/>
      </c>
      <c r="AU3247" s="2" t="str">
        <f t="shared" si="200"/>
        <v/>
      </c>
      <c r="AV3247" s="2" t="str">
        <f t="shared" si="201"/>
        <v/>
      </c>
      <c r="AW3247" s="2" t="str">
        <f t="shared" si="202"/>
        <v/>
      </c>
      <c r="AX3247" s="2" t="str">
        <f t="shared" si="203"/>
        <v/>
      </c>
      <c r="AY3247" s="2" t="str">
        <f>IF($AV3247="","",IF(AND($Z3247=0,COUNTIF('AR SALES'!$L$2:$L$2501,$L3247)=0),"YES",""))</f>
        <v/>
      </c>
      <c r="AZ3247" s="2" t="str">
        <f>IF($AV3247="","",IF(COUNTIF(LISTS!$C$2:$C$250,$AU3247)=0,"NEW",""))</f>
        <v/>
      </c>
      <c r="BA3247" s="2" t="str">
        <f>IF(""&amp;$F3247&lt;&gt;"4","",IF($AY3247="YES","",IF(ROUND(SUMIFS($AE$2:$AE$4001,$L$2:$L$4001,$L3247,$F$2:$F$4001,"4")-SUMIFS('AR SALES'!$Y$2:$Y$2501,'AR SALES'!$L$2:$L$2501,$L3247,'AR SALES'!$AD$2:$AD$2501,"OFF"),2)=0,"","STALE")))</f>
        <v/>
      </c>
      <c r="BB3247" s="2" t="str">
        <f>IF(OR(""&amp;$F3247="2",""&amp;$F3247="4",""&amp;$F3247="G",""&amp;$F3247="H"),IF($AY3247="YES","",IF($AB3247&lt;&gt;0,"",IF(COUNTIFS('AR SALES'!$L$2:$L$2501,$L3247,'AR SALES'!$AD$2:$AD$2501,IF(""&amp;$F3247="4","OFF","ON"),'AR SALES'!$AF$2:$AF$2501,"Y")&gt;0,"","NO EXEMPTION"))),"")</f>
        <v/>
      </c>
    </row>
    <row r="3248" spans="46:54" x14ac:dyDescent="0.25">
      <c r="AT3248" s="2" t="str">
        <f>IF($L3248="","",IFERROR(INDEX('AR SALES'!$H$2:$H$2501,MATCH(""&amp;$L3248,'AR SALES'!$AE$2:$AE$2501,0)),""))</f>
        <v/>
      </c>
      <c r="AU3248" s="2" t="str">
        <f t="shared" si="200"/>
        <v/>
      </c>
      <c r="AV3248" s="2" t="str">
        <f t="shared" si="201"/>
        <v/>
      </c>
      <c r="AW3248" s="2" t="str">
        <f t="shared" si="202"/>
        <v/>
      </c>
      <c r="AX3248" s="2" t="str">
        <f t="shared" si="203"/>
        <v/>
      </c>
      <c r="AY3248" s="2" t="str">
        <f>IF($AV3248="","",IF(AND($Z3248=0,COUNTIF('AR SALES'!$L$2:$L$2501,$L3248)=0),"YES",""))</f>
        <v/>
      </c>
      <c r="AZ3248" s="2" t="str">
        <f>IF($AV3248="","",IF(COUNTIF(LISTS!$C$2:$C$250,$AU3248)=0,"NEW",""))</f>
        <v/>
      </c>
      <c r="BA3248" s="2" t="str">
        <f>IF(""&amp;$F3248&lt;&gt;"4","",IF($AY3248="YES","",IF(ROUND(SUMIFS($AE$2:$AE$4001,$L$2:$L$4001,$L3248,$F$2:$F$4001,"4")-SUMIFS('AR SALES'!$Y$2:$Y$2501,'AR SALES'!$L$2:$L$2501,$L3248,'AR SALES'!$AD$2:$AD$2501,"OFF"),2)=0,"","STALE")))</f>
        <v/>
      </c>
      <c r="BB3248" s="2" t="str">
        <f>IF(OR(""&amp;$F3248="2",""&amp;$F3248="4",""&amp;$F3248="G",""&amp;$F3248="H"),IF($AY3248="YES","",IF($AB3248&lt;&gt;0,"",IF(COUNTIFS('AR SALES'!$L$2:$L$2501,$L3248,'AR SALES'!$AD$2:$AD$2501,IF(""&amp;$F3248="4","OFF","ON"),'AR SALES'!$AF$2:$AF$2501,"Y")&gt;0,"","NO EXEMPTION"))),"")</f>
        <v/>
      </c>
    </row>
    <row r="3249" spans="46:54" x14ac:dyDescent="0.25">
      <c r="AT3249" s="2" t="str">
        <f>IF($L3249="","",IFERROR(INDEX('AR SALES'!$H$2:$H$2501,MATCH(""&amp;$L3249,'AR SALES'!$AE$2:$AE$2501,0)),""))</f>
        <v/>
      </c>
      <c r="AU3249" s="2" t="str">
        <f t="shared" si="200"/>
        <v/>
      </c>
      <c r="AV3249" s="2" t="str">
        <f t="shared" si="201"/>
        <v/>
      </c>
      <c r="AW3249" s="2" t="str">
        <f t="shared" si="202"/>
        <v/>
      </c>
      <c r="AX3249" s="2" t="str">
        <f t="shared" si="203"/>
        <v/>
      </c>
      <c r="AY3249" s="2" t="str">
        <f>IF($AV3249="","",IF(AND($Z3249=0,COUNTIF('AR SALES'!$L$2:$L$2501,$L3249)=0),"YES",""))</f>
        <v/>
      </c>
      <c r="AZ3249" s="2" t="str">
        <f>IF($AV3249="","",IF(COUNTIF(LISTS!$C$2:$C$250,$AU3249)=0,"NEW",""))</f>
        <v/>
      </c>
      <c r="BA3249" s="2" t="str">
        <f>IF(""&amp;$F3249&lt;&gt;"4","",IF($AY3249="YES","",IF(ROUND(SUMIFS($AE$2:$AE$4001,$L$2:$L$4001,$L3249,$F$2:$F$4001,"4")-SUMIFS('AR SALES'!$Y$2:$Y$2501,'AR SALES'!$L$2:$L$2501,$L3249,'AR SALES'!$AD$2:$AD$2501,"OFF"),2)=0,"","STALE")))</f>
        <v/>
      </c>
      <c r="BB3249" s="2" t="str">
        <f>IF(OR(""&amp;$F3249="2",""&amp;$F3249="4",""&amp;$F3249="G",""&amp;$F3249="H"),IF($AY3249="YES","",IF($AB3249&lt;&gt;0,"",IF(COUNTIFS('AR SALES'!$L$2:$L$2501,$L3249,'AR SALES'!$AD$2:$AD$2501,IF(""&amp;$F3249="4","OFF","ON"),'AR SALES'!$AF$2:$AF$2501,"Y")&gt;0,"","NO EXEMPTION"))),"")</f>
        <v/>
      </c>
    </row>
    <row r="3250" spans="46:54" x14ac:dyDescent="0.25">
      <c r="AT3250" s="2" t="str">
        <f>IF($L3250="","",IFERROR(INDEX('AR SALES'!$H$2:$H$2501,MATCH(""&amp;$L3250,'AR SALES'!$AE$2:$AE$2501,0)),""))</f>
        <v/>
      </c>
      <c r="AU3250" s="2" t="str">
        <f t="shared" si="200"/>
        <v/>
      </c>
      <c r="AV3250" s="2" t="str">
        <f t="shared" si="201"/>
        <v/>
      </c>
      <c r="AW3250" s="2" t="str">
        <f t="shared" si="202"/>
        <v/>
      </c>
      <c r="AX3250" s="2" t="str">
        <f t="shared" si="203"/>
        <v/>
      </c>
      <c r="AY3250" s="2" t="str">
        <f>IF($AV3250="","",IF(AND($Z3250=0,COUNTIF('AR SALES'!$L$2:$L$2501,$L3250)=0),"YES",""))</f>
        <v/>
      </c>
      <c r="AZ3250" s="2" t="str">
        <f>IF($AV3250="","",IF(COUNTIF(LISTS!$C$2:$C$250,$AU3250)=0,"NEW",""))</f>
        <v/>
      </c>
      <c r="BA3250" s="2" t="str">
        <f>IF(""&amp;$F3250&lt;&gt;"4","",IF($AY3250="YES","",IF(ROUND(SUMIFS($AE$2:$AE$4001,$L$2:$L$4001,$L3250,$F$2:$F$4001,"4")-SUMIFS('AR SALES'!$Y$2:$Y$2501,'AR SALES'!$L$2:$L$2501,$L3250,'AR SALES'!$AD$2:$AD$2501,"OFF"),2)=0,"","STALE")))</f>
        <v/>
      </c>
      <c r="BB3250" s="2" t="str">
        <f>IF(OR(""&amp;$F3250="2",""&amp;$F3250="4",""&amp;$F3250="G",""&amp;$F3250="H"),IF($AY3250="YES","",IF($AB3250&lt;&gt;0,"",IF(COUNTIFS('AR SALES'!$L$2:$L$2501,$L3250,'AR SALES'!$AD$2:$AD$2501,IF(""&amp;$F3250="4","OFF","ON"),'AR SALES'!$AF$2:$AF$2501,"Y")&gt;0,"","NO EXEMPTION"))),"")</f>
        <v/>
      </c>
    </row>
    <row r="3251" spans="46:54" x14ac:dyDescent="0.25">
      <c r="AT3251" s="2" t="str">
        <f>IF($L3251="","",IFERROR(INDEX('AR SALES'!$H$2:$H$2501,MATCH(""&amp;$L3251,'AR SALES'!$AE$2:$AE$2501,0)),""))</f>
        <v/>
      </c>
      <c r="AU3251" s="2" t="str">
        <f t="shared" si="200"/>
        <v/>
      </c>
      <c r="AV3251" s="2" t="str">
        <f t="shared" si="201"/>
        <v/>
      </c>
      <c r="AW3251" s="2" t="str">
        <f t="shared" si="202"/>
        <v/>
      </c>
      <c r="AX3251" s="2" t="str">
        <f t="shared" si="203"/>
        <v/>
      </c>
      <c r="AY3251" s="2" t="str">
        <f>IF($AV3251="","",IF(AND($Z3251=0,COUNTIF('AR SALES'!$L$2:$L$2501,$L3251)=0),"YES",""))</f>
        <v/>
      </c>
      <c r="AZ3251" s="2" t="str">
        <f>IF($AV3251="","",IF(COUNTIF(LISTS!$C$2:$C$250,$AU3251)=0,"NEW",""))</f>
        <v/>
      </c>
      <c r="BA3251" s="2" t="str">
        <f>IF(""&amp;$F3251&lt;&gt;"4","",IF($AY3251="YES","",IF(ROUND(SUMIFS($AE$2:$AE$4001,$L$2:$L$4001,$L3251,$F$2:$F$4001,"4")-SUMIFS('AR SALES'!$Y$2:$Y$2501,'AR SALES'!$L$2:$L$2501,$L3251,'AR SALES'!$AD$2:$AD$2501,"OFF"),2)=0,"","STALE")))</f>
        <v/>
      </c>
      <c r="BB3251" s="2" t="str">
        <f>IF(OR(""&amp;$F3251="2",""&amp;$F3251="4",""&amp;$F3251="G",""&amp;$F3251="H"),IF($AY3251="YES","",IF($AB3251&lt;&gt;0,"",IF(COUNTIFS('AR SALES'!$L$2:$L$2501,$L3251,'AR SALES'!$AD$2:$AD$2501,IF(""&amp;$F3251="4","OFF","ON"),'AR SALES'!$AF$2:$AF$2501,"Y")&gt;0,"","NO EXEMPTION"))),"")</f>
        <v/>
      </c>
    </row>
    <row r="3252" spans="46:54" x14ac:dyDescent="0.25">
      <c r="AT3252" s="2" t="str">
        <f>IF($L3252="","",IFERROR(INDEX('AR SALES'!$H$2:$H$2501,MATCH(""&amp;$L3252,'AR SALES'!$AE$2:$AE$2501,0)),""))</f>
        <v/>
      </c>
      <c r="AU3252" s="2" t="str">
        <f t="shared" si="200"/>
        <v/>
      </c>
      <c r="AV3252" s="2" t="str">
        <f t="shared" si="201"/>
        <v/>
      </c>
      <c r="AW3252" s="2" t="str">
        <f t="shared" si="202"/>
        <v/>
      </c>
      <c r="AX3252" s="2" t="str">
        <f t="shared" si="203"/>
        <v/>
      </c>
      <c r="AY3252" s="2" t="str">
        <f>IF($AV3252="","",IF(AND($Z3252=0,COUNTIF('AR SALES'!$L$2:$L$2501,$L3252)=0),"YES",""))</f>
        <v/>
      </c>
      <c r="AZ3252" s="2" t="str">
        <f>IF($AV3252="","",IF(COUNTIF(LISTS!$C$2:$C$250,$AU3252)=0,"NEW",""))</f>
        <v/>
      </c>
      <c r="BA3252" s="2" t="str">
        <f>IF(""&amp;$F3252&lt;&gt;"4","",IF($AY3252="YES","",IF(ROUND(SUMIFS($AE$2:$AE$4001,$L$2:$L$4001,$L3252,$F$2:$F$4001,"4")-SUMIFS('AR SALES'!$Y$2:$Y$2501,'AR SALES'!$L$2:$L$2501,$L3252,'AR SALES'!$AD$2:$AD$2501,"OFF"),2)=0,"","STALE")))</f>
        <v/>
      </c>
      <c r="BB3252" s="2" t="str">
        <f>IF(OR(""&amp;$F3252="2",""&amp;$F3252="4",""&amp;$F3252="G",""&amp;$F3252="H"),IF($AY3252="YES","",IF($AB3252&lt;&gt;0,"",IF(COUNTIFS('AR SALES'!$L$2:$L$2501,$L3252,'AR SALES'!$AD$2:$AD$2501,IF(""&amp;$F3252="4","OFF","ON"),'AR SALES'!$AF$2:$AF$2501,"Y")&gt;0,"","NO EXEMPTION"))),"")</f>
        <v/>
      </c>
    </row>
    <row r="3253" spans="46:54" x14ac:dyDescent="0.25">
      <c r="AT3253" s="2" t="str">
        <f>IF($L3253="","",IFERROR(INDEX('AR SALES'!$H$2:$H$2501,MATCH(""&amp;$L3253,'AR SALES'!$AE$2:$AE$2501,0)),""))</f>
        <v/>
      </c>
      <c r="AU3253" s="2" t="str">
        <f t="shared" si="200"/>
        <v/>
      </c>
      <c r="AV3253" s="2" t="str">
        <f t="shared" si="201"/>
        <v/>
      </c>
      <c r="AW3253" s="2" t="str">
        <f t="shared" si="202"/>
        <v/>
      </c>
      <c r="AX3253" s="2" t="str">
        <f t="shared" si="203"/>
        <v/>
      </c>
      <c r="AY3253" s="2" t="str">
        <f>IF($AV3253="","",IF(AND($Z3253=0,COUNTIF('AR SALES'!$L$2:$L$2501,$L3253)=0),"YES",""))</f>
        <v/>
      </c>
      <c r="AZ3253" s="2" t="str">
        <f>IF($AV3253="","",IF(COUNTIF(LISTS!$C$2:$C$250,$AU3253)=0,"NEW",""))</f>
        <v/>
      </c>
      <c r="BA3253" s="2" t="str">
        <f>IF(""&amp;$F3253&lt;&gt;"4","",IF($AY3253="YES","",IF(ROUND(SUMIFS($AE$2:$AE$4001,$L$2:$L$4001,$L3253,$F$2:$F$4001,"4")-SUMIFS('AR SALES'!$Y$2:$Y$2501,'AR SALES'!$L$2:$L$2501,$L3253,'AR SALES'!$AD$2:$AD$2501,"OFF"),2)=0,"","STALE")))</f>
        <v/>
      </c>
      <c r="BB3253" s="2" t="str">
        <f>IF(OR(""&amp;$F3253="2",""&amp;$F3253="4",""&amp;$F3253="G",""&amp;$F3253="H"),IF($AY3253="YES","",IF($AB3253&lt;&gt;0,"",IF(COUNTIFS('AR SALES'!$L$2:$L$2501,$L3253,'AR SALES'!$AD$2:$AD$2501,IF(""&amp;$F3253="4","OFF","ON"),'AR SALES'!$AF$2:$AF$2501,"Y")&gt;0,"","NO EXEMPTION"))),"")</f>
        <v/>
      </c>
    </row>
    <row r="3254" spans="46:54" x14ac:dyDescent="0.25">
      <c r="AT3254" s="2" t="str">
        <f>IF($L3254="","",IFERROR(INDEX('AR SALES'!$H$2:$H$2501,MATCH(""&amp;$L3254,'AR SALES'!$AE$2:$AE$2501,0)),""))</f>
        <v/>
      </c>
      <c r="AU3254" s="2" t="str">
        <f t="shared" si="200"/>
        <v/>
      </c>
      <c r="AV3254" s="2" t="str">
        <f t="shared" si="201"/>
        <v/>
      </c>
      <c r="AW3254" s="2" t="str">
        <f t="shared" si="202"/>
        <v/>
      </c>
      <c r="AX3254" s="2" t="str">
        <f t="shared" si="203"/>
        <v/>
      </c>
      <c r="AY3254" s="2" t="str">
        <f>IF($AV3254="","",IF(AND($Z3254=0,COUNTIF('AR SALES'!$L$2:$L$2501,$L3254)=0),"YES",""))</f>
        <v/>
      </c>
      <c r="AZ3254" s="2" t="str">
        <f>IF($AV3254="","",IF(COUNTIF(LISTS!$C$2:$C$250,$AU3254)=0,"NEW",""))</f>
        <v/>
      </c>
      <c r="BA3254" s="2" t="str">
        <f>IF(""&amp;$F3254&lt;&gt;"4","",IF($AY3254="YES","",IF(ROUND(SUMIFS($AE$2:$AE$4001,$L$2:$L$4001,$L3254,$F$2:$F$4001,"4")-SUMIFS('AR SALES'!$Y$2:$Y$2501,'AR SALES'!$L$2:$L$2501,$L3254,'AR SALES'!$AD$2:$AD$2501,"OFF"),2)=0,"","STALE")))</f>
        <v/>
      </c>
      <c r="BB3254" s="2" t="str">
        <f>IF(OR(""&amp;$F3254="2",""&amp;$F3254="4",""&amp;$F3254="G",""&amp;$F3254="H"),IF($AY3254="YES","",IF($AB3254&lt;&gt;0,"",IF(COUNTIFS('AR SALES'!$L$2:$L$2501,$L3254,'AR SALES'!$AD$2:$AD$2501,IF(""&amp;$F3254="4","OFF","ON"),'AR SALES'!$AF$2:$AF$2501,"Y")&gt;0,"","NO EXEMPTION"))),"")</f>
        <v/>
      </c>
    </row>
    <row r="3255" spans="46:54" x14ac:dyDescent="0.25">
      <c r="AT3255" s="2" t="str">
        <f>IF($L3255="","",IFERROR(INDEX('AR SALES'!$H$2:$H$2501,MATCH(""&amp;$L3255,'AR SALES'!$AE$2:$AE$2501,0)),""))</f>
        <v/>
      </c>
      <c r="AU3255" s="2" t="str">
        <f t="shared" si="200"/>
        <v/>
      </c>
      <c r="AV3255" s="2" t="str">
        <f t="shared" si="201"/>
        <v/>
      </c>
      <c r="AW3255" s="2" t="str">
        <f t="shared" si="202"/>
        <v/>
      </c>
      <c r="AX3255" s="2" t="str">
        <f t="shared" si="203"/>
        <v/>
      </c>
      <c r="AY3255" s="2" t="str">
        <f>IF($AV3255="","",IF(AND($Z3255=0,COUNTIF('AR SALES'!$L$2:$L$2501,$L3255)=0),"YES",""))</f>
        <v/>
      </c>
      <c r="AZ3255" s="2" t="str">
        <f>IF($AV3255="","",IF(COUNTIF(LISTS!$C$2:$C$250,$AU3255)=0,"NEW",""))</f>
        <v/>
      </c>
      <c r="BA3255" s="2" t="str">
        <f>IF(""&amp;$F3255&lt;&gt;"4","",IF($AY3255="YES","",IF(ROUND(SUMIFS($AE$2:$AE$4001,$L$2:$L$4001,$L3255,$F$2:$F$4001,"4")-SUMIFS('AR SALES'!$Y$2:$Y$2501,'AR SALES'!$L$2:$L$2501,$L3255,'AR SALES'!$AD$2:$AD$2501,"OFF"),2)=0,"","STALE")))</f>
        <v/>
      </c>
      <c r="BB3255" s="2" t="str">
        <f>IF(OR(""&amp;$F3255="2",""&amp;$F3255="4",""&amp;$F3255="G",""&amp;$F3255="H"),IF($AY3255="YES","",IF($AB3255&lt;&gt;0,"",IF(COUNTIFS('AR SALES'!$L$2:$L$2501,$L3255,'AR SALES'!$AD$2:$AD$2501,IF(""&amp;$F3255="4","OFF","ON"),'AR SALES'!$AF$2:$AF$2501,"Y")&gt;0,"","NO EXEMPTION"))),"")</f>
        <v/>
      </c>
    </row>
    <row r="3256" spans="46:54" x14ac:dyDescent="0.25">
      <c r="AT3256" s="2" t="str">
        <f>IF($L3256="","",IFERROR(INDEX('AR SALES'!$H$2:$H$2501,MATCH(""&amp;$L3256,'AR SALES'!$AE$2:$AE$2501,0)),""))</f>
        <v/>
      </c>
      <c r="AU3256" s="2" t="str">
        <f t="shared" si="200"/>
        <v/>
      </c>
      <c r="AV3256" s="2" t="str">
        <f t="shared" si="201"/>
        <v/>
      </c>
      <c r="AW3256" s="2" t="str">
        <f t="shared" si="202"/>
        <v/>
      </c>
      <c r="AX3256" s="2" t="str">
        <f t="shared" si="203"/>
        <v/>
      </c>
      <c r="AY3256" s="2" t="str">
        <f>IF($AV3256="","",IF(AND($Z3256=0,COUNTIF('AR SALES'!$L$2:$L$2501,$L3256)=0),"YES",""))</f>
        <v/>
      </c>
      <c r="AZ3256" s="2" t="str">
        <f>IF($AV3256="","",IF(COUNTIF(LISTS!$C$2:$C$250,$AU3256)=0,"NEW",""))</f>
        <v/>
      </c>
      <c r="BA3256" s="2" t="str">
        <f>IF(""&amp;$F3256&lt;&gt;"4","",IF($AY3256="YES","",IF(ROUND(SUMIFS($AE$2:$AE$4001,$L$2:$L$4001,$L3256,$F$2:$F$4001,"4")-SUMIFS('AR SALES'!$Y$2:$Y$2501,'AR SALES'!$L$2:$L$2501,$L3256,'AR SALES'!$AD$2:$AD$2501,"OFF"),2)=0,"","STALE")))</f>
        <v/>
      </c>
      <c r="BB3256" s="2" t="str">
        <f>IF(OR(""&amp;$F3256="2",""&amp;$F3256="4",""&amp;$F3256="G",""&amp;$F3256="H"),IF($AY3256="YES","",IF($AB3256&lt;&gt;0,"",IF(COUNTIFS('AR SALES'!$L$2:$L$2501,$L3256,'AR SALES'!$AD$2:$AD$2501,IF(""&amp;$F3256="4","OFF","ON"),'AR SALES'!$AF$2:$AF$2501,"Y")&gt;0,"","NO EXEMPTION"))),"")</f>
        <v/>
      </c>
    </row>
    <row r="3257" spans="46:54" x14ac:dyDescent="0.25">
      <c r="AT3257" s="2" t="str">
        <f>IF($L3257="","",IFERROR(INDEX('AR SALES'!$H$2:$H$2501,MATCH(""&amp;$L3257,'AR SALES'!$AE$2:$AE$2501,0)),""))</f>
        <v/>
      </c>
      <c r="AU3257" s="2" t="str">
        <f t="shared" si="200"/>
        <v/>
      </c>
      <c r="AV3257" s="2" t="str">
        <f t="shared" si="201"/>
        <v/>
      </c>
      <c r="AW3257" s="2" t="str">
        <f t="shared" si="202"/>
        <v/>
      </c>
      <c r="AX3257" s="2" t="str">
        <f t="shared" si="203"/>
        <v/>
      </c>
      <c r="AY3257" s="2" t="str">
        <f>IF($AV3257="","",IF(AND($Z3257=0,COUNTIF('AR SALES'!$L$2:$L$2501,$L3257)=0),"YES",""))</f>
        <v/>
      </c>
      <c r="AZ3257" s="2" t="str">
        <f>IF($AV3257="","",IF(COUNTIF(LISTS!$C$2:$C$250,$AU3257)=0,"NEW",""))</f>
        <v/>
      </c>
      <c r="BA3257" s="2" t="str">
        <f>IF(""&amp;$F3257&lt;&gt;"4","",IF($AY3257="YES","",IF(ROUND(SUMIFS($AE$2:$AE$4001,$L$2:$L$4001,$L3257,$F$2:$F$4001,"4")-SUMIFS('AR SALES'!$Y$2:$Y$2501,'AR SALES'!$L$2:$L$2501,$L3257,'AR SALES'!$AD$2:$AD$2501,"OFF"),2)=0,"","STALE")))</f>
        <v/>
      </c>
      <c r="BB3257" s="2" t="str">
        <f>IF(OR(""&amp;$F3257="2",""&amp;$F3257="4",""&amp;$F3257="G",""&amp;$F3257="H"),IF($AY3257="YES","",IF($AB3257&lt;&gt;0,"",IF(COUNTIFS('AR SALES'!$L$2:$L$2501,$L3257,'AR SALES'!$AD$2:$AD$2501,IF(""&amp;$F3257="4","OFF","ON"),'AR SALES'!$AF$2:$AF$2501,"Y")&gt;0,"","NO EXEMPTION"))),"")</f>
        <v/>
      </c>
    </row>
    <row r="3258" spans="46:54" x14ac:dyDescent="0.25">
      <c r="AT3258" s="2" t="str">
        <f>IF($L3258="","",IFERROR(INDEX('AR SALES'!$H$2:$H$2501,MATCH(""&amp;$L3258,'AR SALES'!$AE$2:$AE$2501,0)),""))</f>
        <v/>
      </c>
      <c r="AU3258" s="2" t="str">
        <f t="shared" si="200"/>
        <v/>
      </c>
      <c r="AV3258" s="2" t="str">
        <f t="shared" si="201"/>
        <v/>
      </c>
      <c r="AW3258" s="2" t="str">
        <f t="shared" si="202"/>
        <v/>
      </c>
      <c r="AX3258" s="2" t="str">
        <f t="shared" si="203"/>
        <v/>
      </c>
      <c r="AY3258" s="2" t="str">
        <f>IF($AV3258="","",IF(AND($Z3258=0,COUNTIF('AR SALES'!$L$2:$L$2501,$L3258)=0),"YES",""))</f>
        <v/>
      </c>
      <c r="AZ3258" s="2" t="str">
        <f>IF($AV3258="","",IF(COUNTIF(LISTS!$C$2:$C$250,$AU3258)=0,"NEW",""))</f>
        <v/>
      </c>
      <c r="BA3258" s="2" t="str">
        <f>IF(""&amp;$F3258&lt;&gt;"4","",IF($AY3258="YES","",IF(ROUND(SUMIFS($AE$2:$AE$4001,$L$2:$L$4001,$L3258,$F$2:$F$4001,"4")-SUMIFS('AR SALES'!$Y$2:$Y$2501,'AR SALES'!$L$2:$L$2501,$L3258,'AR SALES'!$AD$2:$AD$2501,"OFF"),2)=0,"","STALE")))</f>
        <v/>
      </c>
      <c r="BB3258" s="2" t="str">
        <f>IF(OR(""&amp;$F3258="2",""&amp;$F3258="4",""&amp;$F3258="G",""&amp;$F3258="H"),IF($AY3258="YES","",IF($AB3258&lt;&gt;0,"",IF(COUNTIFS('AR SALES'!$L$2:$L$2501,$L3258,'AR SALES'!$AD$2:$AD$2501,IF(""&amp;$F3258="4","OFF","ON"),'AR SALES'!$AF$2:$AF$2501,"Y")&gt;0,"","NO EXEMPTION"))),"")</f>
        <v/>
      </c>
    </row>
    <row r="3259" spans="46:54" x14ac:dyDescent="0.25">
      <c r="AT3259" s="2" t="str">
        <f>IF($L3259="","",IFERROR(INDEX('AR SALES'!$H$2:$H$2501,MATCH(""&amp;$L3259,'AR SALES'!$AE$2:$AE$2501,0)),""))</f>
        <v/>
      </c>
      <c r="AU3259" s="2" t="str">
        <f t="shared" si="200"/>
        <v/>
      </c>
      <c r="AV3259" s="2" t="str">
        <f t="shared" si="201"/>
        <v/>
      </c>
      <c r="AW3259" s="2" t="str">
        <f t="shared" si="202"/>
        <v/>
      </c>
      <c r="AX3259" s="2" t="str">
        <f t="shared" si="203"/>
        <v/>
      </c>
      <c r="AY3259" s="2" t="str">
        <f>IF($AV3259="","",IF(AND($Z3259=0,COUNTIF('AR SALES'!$L$2:$L$2501,$L3259)=0),"YES",""))</f>
        <v/>
      </c>
      <c r="AZ3259" s="2" t="str">
        <f>IF($AV3259="","",IF(COUNTIF(LISTS!$C$2:$C$250,$AU3259)=0,"NEW",""))</f>
        <v/>
      </c>
      <c r="BA3259" s="2" t="str">
        <f>IF(""&amp;$F3259&lt;&gt;"4","",IF($AY3259="YES","",IF(ROUND(SUMIFS($AE$2:$AE$4001,$L$2:$L$4001,$L3259,$F$2:$F$4001,"4")-SUMIFS('AR SALES'!$Y$2:$Y$2501,'AR SALES'!$L$2:$L$2501,$L3259,'AR SALES'!$AD$2:$AD$2501,"OFF"),2)=0,"","STALE")))</f>
        <v/>
      </c>
      <c r="BB3259" s="2" t="str">
        <f>IF(OR(""&amp;$F3259="2",""&amp;$F3259="4",""&amp;$F3259="G",""&amp;$F3259="H"),IF($AY3259="YES","",IF($AB3259&lt;&gt;0,"",IF(COUNTIFS('AR SALES'!$L$2:$L$2501,$L3259,'AR SALES'!$AD$2:$AD$2501,IF(""&amp;$F3259="4","OFF","ON"),'AR SALES'!$AF$2:$AF$2501,"Y")&gt;0,"","NO EXEMPTION"))),"")</f>
        <v/>
      </c>
    </row>
    <row r="3260" spans="46:54" x14ac:dyDescent="0.25">
      <c r="AT3260" s="2" t="str">
        <f>IF($L3260="","",IFERROR(INDEX('AR SALES'!$H$2:$H$2501,MATCH(""&amp;$L3260,'AR SALES'!$AE$2:$AE$2501,0)),""))</f>
        <v/>
      </c>
      <c r="AU3260" s="2" t="str">
        <f t="shared" si="200"/>
        <v/>
      </c>
      <c r="AV3260" s="2" t="str">
        <f t="shared" si="201"/>
        <v/>
      </c>
      <c r="AW3260" s="2" t="str">
        <f t="shared" si="202"/>
        <v/>
      </c>
      <c r="AX3260" s="2" t="str">
        <f t="shared" si="203"/>
        <v/>
      </c>
      <c r="AY3260" s="2" t="str">
        <f>IF($AV3260="","",IF(AND($Z3260=0,COUNTIF('AR SALES'!$L$2:$L$2501,$L3260)=0),"YES",""))</f>
        <v/>
      </c>
      <c r="AZ3260" s="2" t="str">
        <f>IF($AV3260="","",IF(COUNTIF(LISTS!$C$2:$C$250,$AU3260)=0,"NEW",""))</f>
        <v/>
      </c>
      <c r="BA3260" s="2" t="str">
        <f>IF(""&amp;$F3260&lt;&gt;"4","",IF($AY3260="YES","",IF(ROUND(SUMIFS($AE$2:$AE$4001,$L$2:$L$4001,$L3260,$F$2:$F$4001,"4")-SUMIFS('AR SALES'!$Y$2:$Y$2501,'AR SALES'!$L$2:$L$2501,$L3260,'AR SALES'!$AD$2:$AD$2501,"OFF"),2)=0,"","STALE")))</f>
        <v/>
      </c>
      <c r="BB3260" s="2" t="str">
        <f>IF(OR(""&amp;$F3260="2",""&amp;$F3260="4",""&amp;$F3260="G",""&amp;$F3260="H"),IF($AY3260="YES","",IF($AB3260&lt;&gt;0,"",IF(COUNTIFS('AR SALES'!$L$2:$L$2501,$L3260,'AR SALES'!$AD$2:$AD$2501,IF(""&amp;$F3260="4","OFF","ON"),'AR SALES'!$AF$2:$AF$2501,"Y")&gt;0,"","NO EXEMPTION"))),"")</f>
        <v/>
      </c>
    </row>
    <row r="3261" spans="46:54" x14ac:dyDescent="0.25">
      <c r="AT3261" s="2" t="str">
        <f>IF($L3261="","",IFERROR(INDEX('AR SALES'!$H$2:$H$2501,MATCH(""&amp;$L3261,'AR SALES'!$AE$2:$AE$2501,0)),""))</f>
        <v/>
      </c>
      <c r="AU3261" s="2" t="str">
        <f t="shared" si="200"/>
        <v/>
      </c>
      <c r="AV3261" s="2" t="str">
        <f t="shared" si="201"/>
        <v/>
      </c>
      <c r="AW3261" s="2" t="str">
        <f t="shared" si="202"/>
        <v/>
      </c>
      <c r="AX3261" s="2" t="str">
        <f t="shared" si="203"/>
        <v/>
      </c>
      <c r="AY3261" s="2" t="str">
        <f>IF($AV3261="","",IF(AND($Z3261=0,COUNTIF('AR SALES'!$L$2:$L$2501,$L3261)=0),"YES",""))</f>
        <v/>
      </c>
      <c r="AZ3261" s="2" t="str">
        <f>IF($AV3261="","",IF(COUNTIF(LISTS!$C$2:$C$250,$AU3261)=0,"NEW",""))</f>
        <v/>
      </c>
      <c r="BA3261" s="2" t="str">
        <f>IF(""&amp;$F3261&lt;&gt;"4","",IF($AY3261="YES","",IF(ROUND(SUMIFS($AE$2:$AE$4001,$L$2:$L$4001,$L3261,$F$2:$F$4001,"4")-SUMIFS('AR SALES'!$Y$2:$Y$2501,'AR SALES'!$L$2:$L$2501,$L3261,'AR SALES'!$AD$2:$AD$2501,"OFF"),2)=0,"","STALE")))</f>
        <v/>
      </c>
      <c r="BB3261" s="2" t="str">
        <f>IF(OR(""&amp;$F3261="2",""&amp;$F3261="4",""&amp;$F3261="G",""&amp;$F3261="H"),IF($AY3261="YES","",IF($AB3261&lt;&gt;0,"",IF(COUNTIFS('AR SALES'!$L$2:$L$2501,$L3261,'AR SALES'!$AD$2:$AD$2501,IF(""&amp;$F3261="4","OFF","ON"),'AR SALES'!$AF$2:$AF$2501,"Y")&gt;0,"","NO EXEMPTION"))),"")</f>
        <v/>
      </c>
    </row>
    <row r="3262" spans="46:54" x14ac:dyDescent="0.25">
      <c r="AT3262" s="2" t="str">
        <f>IF($L3262="","",IFERROR(INDEX('AR SALES'!$H$2:$H$2501,MATCH(""&amp;$L3262,'AR SALES'!$AE$2:$AE$2501,0)),""))</f>
        <v/>
      </c>
      <c r="AU3262" s="2" t="str">
        <f t="shared" si="200"/>
        <v/>
      </c>
      <c r="AV3262" s="2" t="str">
        <f t="shared" si="201"/>
        <v/>
      </c>
      <c r="AW3262" s="2" t="str">
        <f t="shared" si="202"/>
        <v/>
      </c>
      <c r="AX3262" s="2" t="str">
        <f t="shared" si="203"/>
        <v/>
      </c>
      <c r="AY3262" s="2" t="str">
        <f>IF($AV3262="","",IF(AND($Z3262=0,COUNTIF('AR SALES'!$L$2:$L$2501,$L3262)=0),"YES",""))</f>
        <v/>
      </c>
      <c r="AZ3262" s="2" t="str">
        <f>IF($AV3262="","",IF(COUNTIF(LISTS!$C$2:$C$250,$AU3262)=0,"NEW",""))</f>
        <v/>
      </c>
      <c r="BA3262" s="2" t="str">
        <f>IF(""&amp;$F3262&lt;&gt;"4","",IF($AY3262="YES","",IF(ROUND(SUMIFS($AE$2:$AE$4001,$L$2:$L$4001,$L3262,$F$2:$F$4001,"4")-SUMIFS('AR SALES'!$Y$2:$Y$2501,'AR SALES'!$L$2:$L$2501,$L3262,'AR SALES'!$AD$2:$AD$2501,"OFF"),2)=0,"","STALE")))</f>
        <v/>
      </c>
      <c r="BB3262" s="2" t="str">
        <f>IF(OR(""&amp;$F3262="2",""&amp;$F3262="4",""&amp;$F3262="G",""&amp;$F3262="H"),IF($AY3262="YES","",IF($AB3262&lt;&gt;0,"",IF(COUNTIFS('AR SALES'!$L$2:$L$2501,$L3262,'AR SALES'!$AD$2:$AD$2501,IF(""&amp;$F3262="4","OFF","ON"),'AR SALES'!$AF$2:$AF$2501,"Y")&gt;0,"","NO EXEMPTION"))),"")</f>
        <v/>
      </c>
    </row>
    <row r="3263" spans="46:54" x14ac:dyDescent="0.25">
      <c r="AT3263" s="2" t="str">
        <f>IF($L3263="","",IFERROR(INDEX('AR SALES'!$H$2:$H$2501,MATCH(""&amp;$L3263,'AR SALES'!$AE$2:$AE$2501,0)),""))</f>
        <v/>
      </c>
      <c r="AU3263" s="2" t="str">
        <f t="shared" si="200"/>
        <v/>
      </c>
      <c r="AV3263" s="2" t="str">
        <f t="shared" si="201"/>
        <v/>
      </c>
      <c r="AW3263" s="2" t="str">
        <f t="shared" si="202"/>
        <v/>
      </c>
      <c r="AX3263" s="2" t="str">
        <f t="shared" si="203"/>
        <v/>
      </c>
      <c r="AY3263" s="2" t="str">
        <f>IF($AV3263="","",IF(AND($Z3263=0,COUNTIF('AR SALES'!$L$2:$L$2501,$L3263)=0),"YES",""))</f>
        <v/>
      </c>
      <c r="AZ3263" s="2" t="str">
        <f>IF($AV3263="","",IF(COUNTIF(LISTS!$C$2:$C$250,$AU3263)=0,"NEW",""))</f>
        <v/>
      </c>
      <c r="BA3263" s="2" t="str">
        <f>IF(""&amp;$F3263&lt;&gt;"4","",IF($AY3263="YES","",IF(ROUND(SUMIFS($AE$2:$AE$4001,$L$2:$L$4001,$L3263,$F$2:$F$4001,"4")-SUMIFS('AR SALES'!$Y$2:$Y$2501,'AR SALES'!$L$2:$L$2501,$L3263,'AR SALES'!$AD$2:$AD$2501,"OFF"),2)=0,"","STALE")))</f>
        <v/>
      </c>
      <c r="BB3263" s="2" t="str">
        <f>IF(OR(""&amp;$F3263="2",""&amp;$F3263="4",""&amp;$F3263="G",""&amp;$F3263="H"),IF($AY3263="YES","",IF($AB3263&lt;&gt;0,"",IF(COUNTIFS('AR SALES'!$L$2:$L$2501,$L3263,'AR SALES'!$AD$2:$AD$2501,IF(""&amp;$F3263="4","OFF","ON"),'AR SALES'!$AF$2:$AF$2501,"Y")&gt;0,"","NO EXEMPTION"))),"")</f>
        <v/>
      </c>
    </row>
    <row r="3264" spans="46:54" x14ac:dyDescent="0.25">
      <c r="AT3264" s="2" t="str">
        <f>IF($L3264="","",IFERROR(INDEX('AR SALES'!$H$2:$H$2501,MATCH(""&amp;$L3264,'AR SALES'!$AE$2:$AE$2501,0)),""))</f>
        <v/>
      </c>
      <c r="AU3264" s="2" t="str">
        <f t="shared" si="200"/>
        <v/>
      </c>
      <c r="AV3264" s="2" t="str">
        <f t="shared" si="201"/>
        <v/>
      </c>
      <c r="AW3264" s="2" t="str">
        <f t="shared" si="202"/>
        <v/>
      </c>
      <c r="AX3264" s="2" t="str">
        <f t="shared" si="203"/>
        <v/>
      </c>
      <c r="AY3264" s="2" t="str">
        <f>IF($AV3264="","",IF(AND($Z3264=0,COUNTIF('AR SALES'!$L$2:$L$2501,$L3264)=0),"YES",""))</f>
        <v/>
      </c>
      <c r="AZ3264" s="2" t="str">
        <f>IF($AV3264="","",IF(COUNTIF(LISTS!$C$2:$C$250,$AU3264)=0,"NEW",""))</f>
        <v/>
      </c>
      <c r="BA3264" s="2" t="str">
        <f>IF(""&amp;$F3264&lt;&gt;"4","",IF($AY3264="YES","",IF(ROUND(SUMIFS($AE$2:$AE$4001,$L$2:$L$4001,$L3264,$F$2:$F$4001,"4")-SUMIFS('AR SALES'!$Y$2:$Y$2501,'AR SALES'!$L$2:$L$2501,$L3264,'AR SALES'!$AD$2:$AD$2501,"OFF"),2)=0,"","STALE")))</f>
        <v/>
      </c>
      <c r="BB3264" s="2" t="str">
        <f>IF(OR(""&amp;$F3264="2",""&amp;$F3264="4",""&amp;$F3264="G",""&amp;$F3264="H"),IF($AY3264="YES","",IF($AB3264&lt;&gt;0,"",IF(COUNTIFS('AR SALES'!$L$2:$L$2501,$L3264,'AR SALES'!$AD$2:$AD$2501,IF(""&amp;$F3264="4","OFF","ON"),'AR SALES'!$AF$2:$AF$2501,"Y")&gt;0,"","NO EXEMPTION"))),"")</f>
        <v/>
      </c>
    </row>
    <row r="3265" spans="46:54" x14ac:dyDescent="0.25">
      <c r="AT3265" s="2" t="str">
        <f>IF($L3265="","",IFERROR(INDEX('AR SALES'!$H$2:$H$2501,MATCH(""&amp;$L3265,'AR SALES'!$AE$2:$AE$2501,0)),""))</f>
        <v/>
      </c>
      <c r="AU3265" s="2" t="str">
        <f t="shared" si="200"/>
        <v/>
      </c>
      <c r="AV3265" s="2" t="str">
        <f t="shared" si="201"/>
        <v/>
      </c>
      <c r="AW3265" s="2" t="str">
        <f t="shared" si="202"/>
        <v/>
      </c>
      <c r="AX3265" s="2" t="str">
        <f t="shared" si="203"/>
        <v/>
      </c>
      <c r="AY3265" s="2" t="str">
        <f>IF($AV3265="","",IF(AND($Z3265=0,COUNTIF('AR SALES'!$L$2:$L$2501,$L3265)=0),"YES",""))</f>
        <v/>
      </c>
      <c r="AZ3265" s="2" t="str">
        <f>IF($AV3265="","",IF(COUNTIF(LISTS!$C$2:$C$250,$AU3265)=0,"NEW",""))</f>
        <v/>
      </c>
      <c r="BA3265" s="2" t="str">
        <f>IF(""&amp;$F3265&lt;&gt;"4","",IF($AY3265="YES","",IF(ROUND(SUMIFS($AE$2:$AE$4001,$L$2:$L$4001,$L3265,$F$2:$F$4001,"4")-SUMIFS('AR SALES'!$Y$2:$Y$2501,'AR SALES'!$L$2:$L$2501,$L3265,'AR SALES'!$AD$2:$AD$2501,"OFF"),2)=0,"","STALE")))</f>
        <v/>
      </c>
      <c r="BB3265" s="2" t="str">
        <f>IF(OR(""&amp;$F3265="2",""&amp;$F3265="4",""&amp;$F3265="G",""&amp;$F3265="H"),IF($AY3265="YES","",IF($AB3265&lt;&gt;0,"",IF(COUNTIFS('AR SALES'!$L$2:$L$2501,$L3265,'AR SALES'!$AD$2:$AD$2501,IF(""&amp;$F3265="4","OFF","ON"),'AR SALES'!$AF$2:$AF$2501,"Y")&gt;0,"","NO EXEMPTION"))),"")</f>
        <v/>
      </c>
    </row>
    <row r="3266" spans="46:54" x14ac:dyDescent="0.25">
      <c r="AT3266" s="2" t="str">
        <f>IF($L3266="","",IFERROR(INDEX('AR SALES'!$H$2:$H$2501,MATCH(""&amp;$L3266,'AR SALES'!$AE$2:$AE$2501,0)),""))</f>
        <v/>
      </c>
      <c r="AU3266" s="2" t="str">
        <f t="shared" ref="AU3266:AU3329" si="204">IF($L3266="","",IF($A3266&lt;&gt;"GA","",IF($E3266="FULTON",IF(ISNUMBER(SEARCH("COLLEGE PARK",$AT3266)),"FULTON (COLLEGE PARK)",IF(ISNUMBER(SEARCH("ATLANTA CITY",$AT3266)),"FULTON (ATL LIMITS)","FULTON")),IF($E3266="DEKALB",IF(ISNUMBER(SEARCH("ATLANTA CITY",$AT3266)),"DEKALB (ATL LIMITS)","DEKALB"),$E3266))))</f>
        <v/>
      </c>
      <c r="AV3266" s="2" t="str">
        <f t="shared" ref="AV3266:AV3329" si="205">IF($L3266="","",IF(""&amp;$F3266="2","DIESEL",IF(OR(""&amp;$F3266="G",""&amp;$F3266="H"),"GAS","")))</f>
        <v/>
      </c>
      <c r="AW3266" s="2" t="str">
        <f t="shared" ref="AW3266:AW3329" si="206">IF($AV3266="","",$R3266)</f>
        <v/>
      </c>
      <c r="AX3266" s="2" t="str">
        <f t="shared" ref="AX3266:AX3329" si="207">IF($AV3266="","",IF($AB3266=0,$R3266,0))</f>
        <v/>
      </c>
      <c r="AY3266" s="2" t="str">
        <f>IF($AV3266="","",IF(AND($Z3266=0,COUNTIF('AR SALES'!$L$2:$L$2501,$L3266)=0),"YES",""))</f>
        <v/>
      </c>
      <c r="AZ3266" s="2" t="str">
        <f>IF($AV3266="","",IF(COUNTIF(LISTS!$C$2:$C$250,$AU3266)=0,"NEW",""))</f>
        <v/>
      </c>
      <c r="BA3266" s="2" t="str">
        <f>IF(""&amp;$F3266&lt;&gt;"4","",IF($AY3266="YES","",IF(ROUND(SUMIFS($AE$2:$AE$4001,$L$2:$L$4001,$L3266,$F$2:$F$4001,"4")-SUMIFS('AR SALES'!$Y$2:$Y$2501,'AR SALES'!$L$2:$L$2501,$L3266,'AR SALES'!$AD$2:$AD$2501,"OFF"),2)=0,"","STALE")))</f>
        <v/>
      </c>
      <c r="BB3266" s="2" t="str">
        <f>IF(OR(""&amp;$F3266="2",""&amp;$F3266="4",""&amp;$F3266="G",""&amp;$F3266="H"),IF($AY3266="YES","",IF($AB3266&lt;&gt;0,"",IF(COUNTIFS('AR SALES'!$L$2:$L$2501,$L3266,'AR SALES'!$AD$2:$AD$2501,IF(""&amp;$F3266="4","OFF","ON"),'AR SALES'!$AF$2:$AF$2501,"Y")&gt;0,"","NO EXEMPTION"))),"")</f>
        <v/>
      </c>
    </row>
    <row r="3267" spans="46:54" x14ac:dyDescent="0.25">
      <c r="AT3267" s="2" t="str">
        <f>IF($L3267="","",IFERROR(INDEX('AR SALES'!$H$2:$H$2501,MATCH(""&amp;$L3267,'AR SALES'!$AE$2:$AE$2501,0)),""))</f>
        <v/>
      </c>
      <c r="AU3267" s="2" t="str">
        <f t="shared" si="204"/>
        <v/>
      </c>
      <c r="AV3267" s="2" t="str">
        <f t="shared" si="205"/>
        <v/>
      </c>
      <c r="AW3267" s="2" t="str">
        <f t="shared" si="206"/>
        <v/>
      </c>
      <c r="AX3267" s="2" t="str">
        <f t="shared" si="207"/>
        <v/>
      </c>
      <c r="AY3267" s="2" t="str">
        <f>IF($AV3267="","",IF(AND($Z3267=0,COUNTIF('AR SALES'!$L$2:$L$2501,$L3267)=0),"YES",""))</f>
        <v/>
      </c>
      <c r="AZ3267" s="2" t="str">
        <f>IF($AV3267="","",IF(COUNTIF(LISTS!$C$2:$C$250,$AU3267)=0,"NEW",""))</f>
        <v/>
      </c>
      <c r="BA3267" s="2" t="str">
        <f>IF(""&amp;$F3267&lt;&gt;"4","",IF($AY3267="YES","",IF(ROUND(SUMIFS($AE$2:$AE$4001,$L$2:$L$4001,$L3267,$F$2:$F$4001,"4")-SUMIFS('AR SALES'!$Y$2:$Y$2501,'AR SALES'!$L$2:$L$2501,$L3267,'AR SALES'!$AD$2:$AD$2501,"OFF"),2)=0,"","STALE")))</f>
        <v/>
      </c>
      <c r="BB3267" s="2" t="str">
        <f>IF(OR(""&amp;$F3267="2",""&amp;$F3267="4",""&amp;$F3267="G",""&amp;$F3267="H"),IF($AY3267="YES","",IF($AB3267&lt;&gt;0,"",IF(COUNTIFS('AR SALES'!$L$2:$L$2501,$L3267,'AR SALES'!$AD$2:$AD$2501,IF(""&amp;$F3267="4","OFF","ON"),'AR SALES'!$AF$2:$AF$2501,"Y")&gt;0,"","NO EXEMPTION"))),"")</f>
        <v/>
      </c>
    </row>
    <row r="3268" spans="46:54" x14ac:dyDescent="0.25">
      <c r="AT3268" s="2" t="str">
        <f>IF($L3268="","",IFERROR(INDEX('AR SALES'!$H$2:$H$2501,MATCH(""&amp;$L3268,'AR SALES'!$AE$2:$AE$2501,0)),""))</f>
        <v/>
      </c>
      <c r="AU3268" s="2" t="str">
        <f t="shared" si="204"/>
        <v/>
      </c>
      <c r="AV3268" s="2" t="str">
        <f t="shared" si="205"/>
        <v/>
      </c>
      <c r="AW3268" s="2" t="str">
        <f t="shared" si="206"/>
        <v/>
      </c>
      <c r="AX3268" s="2" t="str">
        <f t="shared" si="207"/>
        <v/>
      </c>
      <c r="AY3268" s="2" t="str">
        <f>IF($AV3268="","",IF(AND($Z3268=0,COUNTIF('AR SALES'!$L$2:$L$2501,$L3268)=0),"YES",""))</f>
        <v/>
      </c>
      <c r="AZ3268" s="2" t="str">
        <f>IF($AV3268="","",IF(COUNTIF(LISTS!$C$2:$C$250,$AU3268)=0,"NEW",""))</f>
        <v/>
      </c>
      <c r="BA3268" s="2" t="str">
        <f>IF(""&amp;$F3268&lt;&gt;"4","",IF($AY3268="YES","",IF(ROUND(SUMIFS($AE$2:$AE$4001,$L$2:$L$4001,$L3268,$F$2:$F$4001,"4")-SUMIFS('AR SALES'!$Y$2:$Y$2501,'AR SALES'!$L$2:$L$2501,$L3268,'AR SALES'!$AD$2:$AD$2501,"OFF"),2)=0,"","STALE")))</f>
        <v/>
      </c>
      <c r="BB3268" s="2" t="str">
        <f>IF(OR(""&amp;$F3268="2",""&amp;$F3268="4",""&amp;$F3268="G",""&amp;$F3268="H"),IF($AY3268="YES","",IF($AB3268&lt;&gt;0,"",IF(COUNTIFS('AR SALES'!$L$2:$L$2501,$L3268,'AR SALES'!$AD$2:$AD$2501,IF(""&amp;$F3268="4","OFF","ON"),'AR SALES'!$AF$2:$AF$2501,"Y")&gt;0,"","NO EXEMPTION"))),"")</f>
        <v/>
      </c>
    </row>
    <row r="3269" spans="46:54" x14ac:dyDescent="0.25">
      <c r="AT3269" s="2" t="str">
        <f>IF($L3269="","",IFERROR(INDEX('AR SALES'!$H$2:$H$2501,MATCH(""&amp;$L3269,'AR SALES'!$AE$2:$AE$2501,0)),""))</f>
        <v/>
      </c>
      <c r="AU3269" s="2" t="str">
        <f t="shared" si="204"/>
        <v/>
      </c>
      <c r="AV3269" s="2" t="str">
        <f t="shared" si="205"/>
        <v/>
      </c>
      <c r="AW3269" s="2" t="str">
        <f t="shared" si="206"/>
        <v/>
      </c>
      <c r="AX3269" s="2" t="str">
        <f t="shared" si="207"/>
        <v/>
      </c>
      <c r="AY3269" s="2" t="str">
        <f>IF($AV3269="","",IF(AND($Z3269=0,COUNTIF('AR SALES'!$L$2:$L$2501,$L3269)=0),"YES",""))</f>
        <v/>
      </c>
      <c r="AZ3269" s="2" t="str">
        <f>IF($AV3269="","",IF(COUNTIF(LISTS!$C$2:$C$250,$AU3269)=0,"NEW",""))</f>
        <v/>
      </c>
      <c r="BA3269" s="2" t="str">
        <f>IF(""&amp;$F3269&lt;&gt;"4","",IF($AY3269="YES","",IF(ROUND(SUMIFS($AE$2:$AE$4001,$L$2:$L$4001,$L3269,$F$2:$F$4001,"4")-SUMIFS('AR SALES'!$Y$2:$Y$2501,'AR SALES'!$L$2:$L$2501,$L3269,'AR SALES'!$AD$2:$AD$2501,"OFF"),2)=0,"","STALE")))</f>
        <v/>
      </c>
      <c r="BB3269" s="2" t="str">
        <f>IF(OR(""&amp;$F3269="2",""&amp;$F3269="4",""&amp;$F3269="G",""&amp;$F3269="H"),IF($AY3269="YES","",IF($AB3269&lt;&gt;0,"",IF(COUNTIFS('AR SALES'!$L$2:$L$2501,$L3269,'AR SALES'!$AD$2:$AD$2501,IF(""&amp;$F3269="4","OFF","ON"),'AR SALES'!$AF$2:$AF$2501,"Y")&gt;0,"","NO EXEMPTION"))),"")</f>
        <v/>
      </c>
    </row>
    <row r="3270" spans="46:54" x14ac:dyDescent="0.25">
      <c r="AT3270" s="2" t="str">
        <f>IF($L3270="","",IFERROR(INDEX('AR SALES'!$H$2:$H$2501,MATCH(""&amp;$L3270,'AR SALES'!$AE$2:$AE$2501,0)),""))</f>
        <v/>
      </c>
      <c r="AU3270" s="2" t="str">
        <f t="shared" si="204"/>
        <v/>
      </c>
      <c r="AV3270" s="2" t="str">
        <f t="shared" si="205"/>
        <v/>
      </c>
      <c r="AW3270" s="2" t="str">
        <f t="shared" si="206"/>
        <v/>
      </c>
      <c r="AX3270" s="2" t="str">
        <f t="shared" si="207"/>
        <v/>
      </c>
      <c r="AY3270" s="2" t="str">
        <f>IF($AV3270="","",IF(AND($Z3270=0,COUNTIF('AR SALES'!$L$2:$L$2501,$L3270)=0),"YES",""))</f>
        <v/>
      </c>
      <c r="AZ3270" s="2" t="str">
        <f>IF($AV3270="","",IF(COUNTIF(LISTS!$C$2:$C$250,$AU3270)=0,"NEW",""))</f>
        <v/>
      </c>
      <c r="BA3270" s="2" t="str">
        <f>IF(""&amp;$F3270&lt;&gt;"4","",IF($AY3270="YES","",IF(ROUND(SUMIFS($AE$2:$AE$4001,$L$2:$L$4001,$L3270,$F$2:$F$4001,"4")-SUMIFS('AR SALES'!$Y$2:$Y$2501,'AR SALES'!$L$2:$L$2501,$L3270,'AR SALES'!$AD$2:$AD$2501,"OFF"),2)=0,"","STALE")))</f>
        <v/>
      </c>
      <c r="BB3270" s="2" t="str">
        <f>IF(OR(""&amp;$F3270="2",""&amp;$F3270="4",""&amp;$F3270="G",""&amp;$F3270="H"),IF($AY3270="YES","",IF($AB3270&lt;&gt;0,"",IF(COUNTIFS('AR SALES'!$L$2:$L$2501,$L3270,'AR SALES'!$AD$2:$AD$2501,IF(""&amp;$F3270="4","OFF","ON"),'AR SALES'!$AF$2:$AF$2501,"Y")&gt;0,"","NO EXEMPTION"))),"")</f>
        <v/>
      </c>
    </row>
    <row r="3271" spans="46:54" x14ac:dyDescent="0.25">
      <c r="AT3271" s="2" t="str">
        <f>IF($L3271="","",IFERROR(INDEX('AR SALES'!$H$2:$H$2501,MATCH(""&amp;$L3271,'AR SALES'!$AE$2:$AE$2501,0)),""))</f>
        <v/>
      </c>
      <c r="AU3271" s="2" t="str">
        <f t="shared" si="204"/>
        <v/>
      </c>
      <c r="AV3271" s="2" t="str">
        <f t="shared" si="205"/>
        <v/>
      </c>
      <c r="AW3271" s="2" t="str">
        <f t="shared" si="206"/>
        <v/>
      </c>
      <c r="AX3271" s="2" t="str">
        <f t="shared" si="207"/>
        <v/>
      </c>
      <c r="AY3271" s="2" t="str">
        <f>IF($AV3271="","",IF(AND($Z3271=0,COUNTIF('AR SALES'!$L$2:$L$2501,$L3271)=0),"YES",""))</f>
        <v/>
      </c>
      <c r="AZ3271" s="2" t="str">
        <f>IF($AV3271="","",IF(COUNTIF(LISTS!$C$2:$C$250,$AU3271)=0,"NEW",""))</f>
        <v/>
      </c>
      <c r="BA3271" s="2" t="str">
        <f>IF(""&amp;$F3271&lt;&gt;"4","",IF($AY3271="YES","",IF(ROUND(SUMIFS($AE$2:$AE$4001,$L$2:$L$4001,$L3271,$F$2:$F$4001,"4")-SUMIFS('AR SALES'!$Y$2:$Y$2501,'AR SALES'!$L$2:$L$2501,$L3271,'AR SALES'!$AD$2:$AD$2501,"OFF"),2)=0,"","STALE")))</f>
        <v/>
      </c>
      <c r="BB3271" s="2" t="str">
        <f>IF(OR(""&amp;$F3271="2",""&amp;$F3271="4",""&amp;$F3271="G",""&amp;$F3271="H"),IF($AY3271="YES","",IF($AB3271&lt;&gt;0,"",IF(COUNTIFS('AR SALES'!$L$2:$L$2501,$L3271,'AR SALES'!$AD$2:$AD$2501,IF(""&amp;$F3271="4","OFF","ON"),'AR SALES'!$AF$2:$AF$2501,"Y")&gt;0,"","NO EXEMPTION"))),"")</f>
        <v/>
      </c>
    </row>
    <row r="3272" spans="46:54" x14ac:dyDescent="0.25">
      <c r="AT3272" s="2" t="str">
        <f>IF($L3272="","",IFERROR(INDEX('AR SALES'!$H$2:$H$2501,MATCH(""&amp;$L3272,'AR SALES'!$AE$2:$AE$2501,0)),""))</f>
        <v/>
      </c>
      <c r="AU3272" s="2" t="str">
        <f t="shared" si="204"/>
        <v/>
      </c>
      <c r="AV3272" s="2" t="str">
        <f t="shared" si="205"/>
        <v/>
      </c>
      <c r="AW3272" s="2" t="str">
        <f t="shared" si="206"/>
        <v/>
      </c>
      <c r="AX3272" s="2" t="str">
        <f t="shared" si="207"/>
        <v/>
      </c>
      <c r="AY3272" s="2" t="str">
        <f>IF($AV3272="","",IF(AND($Z3272=0,COUNTIF('AR SALES'!$L$2:$L$2501,$L3272)=0),"YES",""))</f>
        <v/>
      </c>
      <c r="AZ3272" s="2" t="str">
        <f>IF($AV3272="","",IF(COUNTIF(LISTS!$C$2:$C$250,$AU3272)=0,"NEW",""))</f>
        <v/>
      </c>
      <c r="BA3272" s="2" t="str">
        <f>IF(""&amp;$F3272&lt;&gt;"4","",IF($AY3272="YES","",IF(ROUND(SUMIFS($AE$2:$AE$4001,$L$2:$L$4001,$L3272,$F$2:$F$4001,"4")-SUMIFS('AR SALES'!$Y$2:$Y$2501,'AR SALES'!$L$2:$L$2501,$L3272,'AR SALES'!$AD$2:$AD$2501,"OFF"),2)=0,"","STALE")))</f>
        <v/>
      </c>
      <c r="BB3272" s="2" t="str">
        <f>IF(OR(""&amp;$F3272="2",""&amp;$F3272="4",""&amp;$F3272="G",""&amp;$F3272="H"),IF($AY3272="YES","",IF($AB3272&lt;&gt;0,"",IF(COUNTIFS('AR SALES'!$L$2:$L$2501,$L3272,'AR SALES'!$AD$2:$AD$2501,IF(""&amp;$F3272="4","OFF","ON"),'AR SALES'!$AF$2:$AF$2501,"Y")&gt;0,"","NO EXEMPTION"))),"")</f>
        <v/>
      </c>
    </row>
    <row r="3273" spans="46:54" x14ac:dyDescent="0.25">
      <c r="AT3273" s="2" t="str">
        <f>IF($L3273="","",IFERROR(INDEX('AR SALES'!$H$2:$H$2501,MATCH(""&amp;$L3273,'AR SALES'!$AE$2:$AE$2501,0)),""))</f>
        <v/>
      </c>
      <c r="AU3273" s="2" t="str">
        <f t="shared" si="204"/>
        <v/>
      </c>
      <c r="AV3273" s="2" t="str">
        <f t="shared" si="205"/>
        <v/>
      </c>
      <c r="AW3273" s="2" t="str">
        <f t="shared" si="206"/>
        <v/>
      </c>
      <c r="AX3273" s="2" t="str">
        <f t="shared" si="207"/>
        <v/>
      </c>
      <c r="AY3273" s="2" t="str">
        <f>IF($AV3273="","",IF(AND($Z3273=0,COUNTIF('AR SALES'!$L$2:$L$2501,$L3273)=0),"YES",""))</f>
        <v/>
      </c>
      <c r="AZ3273" s="2" t="str">
        <f>IF($AV3273="","",IF(COUNTIF(LISTS!$C$2:$C$250,$AU3273)=0,"NEW",""))</f>
        <v/>
      </c>
      <c r="BA3273" s="2" t="str">
        <f>IF(""&amp;$F3273&lt;&gt;"4","",IF($AY3273="YES","",IF(ROUND(SUMIFS($AE$2:$AE$4001,$L$2:$L$4001,$L3273,$F$2:$F$4001,"4")-SUMIFS('AR SALES'!$Y$2:$Y$2501,'AR SALES'!$L$2:$L$2501,$L3273,'AR SALES'!$AD$2:$AD$2501,"OFF"),2)=0,"","STALE")))</f>
        <v/>
      </c>
      <c r="BB3273" s="2" t="str">
        <f>IF(OR(""&amp;$F3273="2",""&amp;$F3273="4",""&amp;$F3273="G",""&amp;$F3273="H"),IF($AY3273="YES","",IF($AB3273&lt;&gt;0,"",IF(COUNTIFS('AR SALES'!$L$2:$L$2501,$L3273,'AR SALES'!$AD$2:$AD$2501,IF(""&amp;$F3273="4","OFF","ON"),'AR SALES'!$AF$2:$AF$2501,"Y")&gt;0,"","NO EXEMPTION"))),"")</f>
        <v/>
      </c>
    </row>
    <row r="3274" spans="46:54" x14ac:dyDescent="0.25">
      <c r="AT3274" s="2" t="str">
        <f>IF($L3274="","",IFERROR(INDEX('AR SALES'!$H$2:$H$2501,MATCH(""&amp;$L3274,'AR SALES'!$AE$2:$AE$2501,0)),""))</f>
        <v/>
      </c>
      <c r="AU3274" s="2" t="str">
        <f t="shared" si="204"/>
        <v/>
      </c>
      <c r="AV3274" s="2" t="str">
        <f t="shared" si="205"/>
        <v/>
      </c>
      <c r="AW3274" s="2" t="str">
        <f t="shared" si="206"/>
        <v/>
      </c>
      <c r="AX3274" s="2" t="str">
        <f t="shared" si="207"/>
        <v/>
      </c>
      <c r="AY3274" s="2" t="str">
        <f>IF($AV3274="","",IF(AND($Z3274=0,COUNTIF('AR SALES'!$L$2:$L$2501,$L3274)=0),"YES",""))</f>
        <v/>
      </c>
      <c r="AZ3274" s="2" t="str">
        <f>IF($AV3274="","",IF(COUNTIF(LISTS!$C$2:$C$250,$AU3274)=0,"NEW",""))</f>
        <v/>
      </c>
      <c r="BA3274" s="2" t="str">
        <f>IF(""&amp;$F3274&lt;&gt;"4","",IF($AY3274="YES","",IF(ROUND(SUMIFS($AE$2:$AE$4001,$L$2:$L$4001,$L3274,$F$2:$F$4001,"4")-SUMIFS('AR SALES'!$Y$2:$Y$2501,'AR SALES'!$L$2:$L$2501,$L3274,'AR SALES'!$AD$2:$AD$2501,"OFF"),2)=0,"","STALE")))</f>
        <v/>
      </c>
      <c r="BB3274" s="2" t="str">
        <f>IF(OR(""&amp;$F3274="2",""&amp;$F3274="4",""&amp;$F3274="G",""&amp;$F3274="H"),IF($AY3274="YES","",IF($AB3274&lt;&gt;0,"",IF(COUNTIFS('AR SALES'!$L$2:$L$2501,$L3274,'AR SALES'!$AD$2:$AD$2501,IF(""&amp;$F3274="4","OFF","ON"),'AR SALES'!$AF$2:$AF$2501,"Y")&gt;0,"","NO EXEMPTION"))),"")</f>
        <v/>
      </c>
    </row>
    <row r="3275" spans="46:54" x14ac:dyDescent="0.25">
      <c r="AT3275" s="2" t="str">
        <f>IF($L3275="","",IFERROR(INDEX('AR SALES'!$H$2:$H$2501,MATCH(""&amp;$L3275,'AR SALES'!$AE$2:$AE$2501,0)),""))</f>
        <v/>
      </c>
      <c r="AU3275" s="2" t="str">
        <f t="shared" si="204"/>
        <v/>
      </c>
      <c r="AV3275" s="2" t="str">
        <f t="shared" si="205"/>
        <v/>
      </c>
      <c r="AW3275" s="2" t="str">
        <f t="shared" si="206"/>
        <v/>
      </c>
      <c r="AX3275" s="2" t="str">
        <f t="shared" si="207"/>
        <v/>
      </c>
      <c r="AY3275" s="2" t="str">
        <f>IF($AV3275="","",IF(AND($Z3275=0,COUNTIF('AR SALES'!$L$2:$L$2501,$L3275)=0),"YES",""))</f>
        <v/>
      </c>
      <c r="AZ3275" s="2" t="str">
        <f>IF($AV3275="","",IF(COUNTIF(LISTS!$C$2:$C$250,$AU3275)=0,"NEW",""))</f>
        <v/>
      </c>
      <c r="BA3275" s="2" t="str">
        <f>IF(""&amp;$F3275&lt;&gt;"4","",IF($AY3275="YES","",IF(ROUND(SUMIFS($AE$2:$AE$4001,$L$2:$L$4001,$L3275,$F$2:$F$4001,"4")-SUMIFS('AR SALES'!$Y$2:$Y$2501,'AR SALES'!$L$2:$L$2501,$L3275,'AR SALES'!$AD$2:$AD$2501,"OFF"),2)=0,"","STALE")))</f>
        <v/>
      </c>
      <c r="BB3275" s="2" t="str">
        <f>IF(OR(""&amp;$F3275="2",""&amp;$F3275="4",""&amp;$F3275="G",""&amp;$F3275="H"),IF($AY3275="YES","",IF($AB3275&lt;&gt;0,"",IF(COUNTIFS('AR SALES'!$L$2:$L$2501,$L3275,'AR SALES'!$AD$2:$AD$2501,IF(""&amp;$F3275="4","OFF","ON"),'AR SALES'!$AF$2:$AF$2501,"Y")&gt;0,"","NO EXEMPTION"))),"")</f>
        <v/>
      </c>
    </row>
    <row r="3276" spans="46:54" x14ac:dyDescent="0.25">
      <c r="AT3276" s="2" t="str">
        <f>IF($L3276="","",IFERROR(INDEX('AR SALES'!$H$2:$H$2501,MATCH(""&amp;$L3276,'AR SALES'!$AE$2:$AE$2501,0)),""))</f>
        <v/>
      </c>
      <c r="AU3276" s="2" t="str">
        <f t="shared" si="204"/>
        <v/>
      </c>
      <c r="AV3276" s="2" t="str">
        <f t="shared" si="205"/>
        <v/>
      </c>
      <c r="AW3276" s="2" t="str">
        <f t="shared" si="206"/>
        <v/>
      </c>
      <c r="AX3276" s="2" t="str">
        <f t="shared" si="207"/>
        <v/>
      </c>
      <c r="AY3276" s="2" t="str">
        <f>IF($AV3276="","",IF(AND($Z3276=0,COUNTIF('AR SALES'!$L$2:$L$2501,$L3276)=0),"YES",""))</f>
        <v/>
      </c>
      <c r="AZ3276" s="2" t="str">
        <f>IF($AV3276="","",IF(COUNTIF(LISTS!$C$2:$C$250,$AU3276)=0,"NEW",""))</f>
        <v/>
      </c>
      <c r="BA3276" s="2" t="str">
        <f>IF(""&amp;$F3276&lt;&gt;"4","",IF($AY3276="YES","",IF(ROUND(SUMIFS($AE$2:$AE$4001,$L$2:$L$4001,$L3276,$F$2:$F$4001,"4")-SUMIFS('AR SALES'!$Y$2:$Y$2501,'AR SALES'!$L$2:$L$2501,$L3276,'AR SALES'!$AD$2:$AD$2501,"OFF"),2)=0,"","STALE")))</f>
        <v/>
      </c>
      <c r="BB3276" s="2" t="str">
        <f>IF(OR(""&amp;$F3276="2",""&amp;$F3276="4",""&amp;$F3276="G",""&amp;$F3276="H"),IF($AY3276="YES","",IF($AB3276&lt;&gt;0,"",IF(COUNTIFS('AR SALES'!$L$2:$L$2501,$L3276,'AR SALES'!$AD$2:$AD$2501,IF(""&amp;$F3276="4","OFF","ON"),'AR SALES'!$AF$2:$AF$2501,"Y")&gt;0,"","NO EXEMPTION"))),"")</f>
        <v/>
      </c>
    </row>
    <row r="3277" spans="46:54" x14ac:dyDescent="0.25">
      <c r="AT3277" s="2" t="str">
        <f>IF($L3277="","",IFERROR(INDEX('AR SALES'!$H$2:$H$2501,MATCH(""&amp;$L3277,'AR SALES'!$AE$2:$AE$2501,0)),""))</f>
        <v/>
      </c>
      <c r="AU3277" s="2" t="str">
        <f t="shared" si="204"/>
        <v/>
      </c>
      <c r="AV3277" s="2" t="str">
        <f t="shared" si="205"/>
        <v/>
      </c>
      <c r="AW3277" s="2" t="str">
        <f t="shared" si="206"/>
        <v/>
      </c>
      <c r="AX3277" s="2" t="str">
        <f t="shared" si="207"/>
        <v/>
      </c>
      <c r="AY3277" s="2" t="str">
        <f>IF($AV3277="","",IF(AND($Z3277=0,COUNTIF('AR SALES'!$L$2:$L$2501,$L3277)=0),"YES",""))</f>
        <v/>
      </c>
      <c r="AZ3277" s="2" t="str">
        <f>IF($AV3277="","",IF(COUNTIF(LISTS!$C$2:$C$250,$AU3277)=0,"NEW",""))</f>
        <v/>
      </c>
      <c r="BA3277" s="2" t="str">
        <f>IF(""&amp;$F3277&lt;&gt;"4","",IF($AY3277="YES","",IF(ROUND(SUMIFS($AE$2:$AE$4001,$L$2:$L$4001,$L3277,$F$2:$F$4001,"4")-SUMIFS('AR SALES'!$Y$2:$Y$2501,'AR SALES'!$L$2:$L$2501,$L3277,'AR SALES'!$AD$2:$AD$2501,"OFF"),2)=0,"","STALE")))</f>
        <v/>
      </c>
      <c r="BB3277" s="2" t="str">
        <f>IF(OR(""&amp;$F3277="2",""&amp;$F3277="4",""&amp;$F3277="G",""&amp;$F3277="H"),IF($AY3277="YES","",IF($AB3277&lt;&gt;0,"",IF(COUNTIFS('AR SALES'!$L$2:$L$2501,$L3277,'AR SALES'!$AD$2:$AD$2501,IF(""&amp;$F3277="4","OFF","ON"),'AR SALES'!$AF$2:$AF$2501,"Y")&gt;0,"","NO EXEMPTION"))),"")</f>
        <v/>
      </c>
    </row>
    <row r="3278" spans="46:54" x14ac:dyDescent="0.25">
      <c r="AT3278" s="2" t="str">
        <f>IF($L3278="","",IFERROR(INDEX('AR SALES'!$H$2:$H$2501,MATCH(""&amp;$L3278,'AR SALES'!$AE$2:$AE$2501,0)),""))</f>
        <v/>
      </c>
      <c r="AU3278" s="2" t="str">
        <f t="shared" si="204"/>
        <v/>
      </c>
      <c r="AV3278" s="2" t="str">
        <f t="shared" si="205"/>
        <v/>
      </c>
      <c r="AW3278" s="2" t="str">
        <f t="shared" si="206"/>
        <v/>
      </c>
      <c r="AX3278" s="2" t="str">
        <f t="shared" si="207"/>
        <v/>
      </c>
      <c r="AY3278" s="2" t="str">
        <f>IF($AV3278="","",IF(AND($Z3278=0,COUNTIF('AR SALES'!$L$2:$L$2501,$L3278)=0),"YES",""))</f>
        <v/>
      </c>
      <c r="AZ3278" s="2" t="str">
        <f>IF($AV3278="","",IF(COUNTIF(LISTS!$C$2:$C$250,$AU3278)=0,"NEW",""))</f>
        <v/>
      </c>
      <c r="BA3278" s="2" t="str">
        <f>IF(""&amp;$F3278&lt;&gt;"4","",IF($AY3278="YES","",IF(ROUND(SUMIFS($AE$2:$AE$4001,$L$2:$L$4001,$L3278,$F$2:$F$4001,"4")-SUMIFS('AR SALES'!$Y$2:$Y$2501,'AR SALES'!$L$2:$L$2501,$L3278,'AR SALES'!$AD$2:$AD$2501,"OFF"),2)=0,"","STALE")))</f>
        <v/>
      </c>
      <c r="BB3278" s="2" t="str">
        <f>IF(OR(""&amp;$F3278="2",""&amp;$F3278="4",""&amp;$F3278="G",""&amp;$F3278="H"),IF($AY3278="YES","",IF($AB3278&lt;&gt;0,"",IF(COUNTIFS('AR SALES'!$L$2:$L$2501,$L3278,'AR SALES'!$AD$2:$AD$2501,IF(""&amp;$F3278="4","OFF","ON"),'AR SALES'!$AF$2:$AF$2501,"Y")&gt;0,"","NO EXEMPTION"))),"")</f>
        <v/>
      </c>
    </row>
    <row r="3279" spans="46:54" x14ac:dyDescent="0.25">
      <c r="AT3279" s="2" t="str">
        <f>IF($L3279="","",IFERROR(INDEX('AR SALES'!$H$2:$H$2501,MATCH(""&amp;$L3279,'AR SALES'!$AE$2:$AE$2501,0)),""))</f>
        <v/>
      </c>
      <c r="AU3279" s="2" t="str">
        <f t="shared" si="204"/>
        <v/>
      </c>
      <c r="AV3279" s="2" t="str">
        <f t="shared" si="205"/>
        <v/>
      </c>
      <c r="AW3279" s="2" t="str">
        <f t="shared" si="206"/>
        <v/>
      </c>
      <c r="AX3279" s="2" t="str">
        <f t="shared" si="207"/>
        <v/>
      </c>
      <c r="AY3279" s="2" t="str">
        <f>IF($AV3279="","",IF(AND($Z3279=0,COUNTIF('AR SALES'!$L$2:$L$2501,$L3279)=0),"YES",""))</f>
        <v/>
      </c>
      <c r="AZ3279" s="2" t="str">
        <f>IF($AV3279="","",IF(COUNTIF(LISTS!$C$2:$C$250,$AU3279)=0,"NEW",""))</f>
        <v/>
      </c>
      <c r="BA3279" s="2" t="str">
        <f>IF(""&amp;$F3279&lt;&gt;"4","",IF($AY3279="YES","",IF(ROUND(SUMIFS($AE$2:$AE$4001,$L$2:$L$4001,$L3279,$F$2:$F$4001,"4")-SUMIFS('AR SALES'!$Y$2:$Y$2501,'AR SALES'!$L$2:$L$2501,$L3279,'AR SALES'!$AD$2:$AD$2501,"OFF"),2)=0,"","STALE")))</f>
        <v/>
      </c>
      <c r="BB3279" s="2" t="str">
        <f>IF(OR(""&amp;$F3279="2",""&amp;$F3279="4",""&amp;$F3279="G",""&amp;$F3279="H"),IF($AY3279="YES","",IF($AB3279&lt;&gt;0,"",IF(COUNTIFS('AR SALES'!$L$2:$L$2501,$L3279,'AR SALES'!$AD$2:$AD$2501,IF(""&amp;$F3279="4","OFF","ON"),'AR SALES'!$AF$2:$AF$2501,"Y")&gt;0,"","NO EXEMPTION"))),"")</f>
        <v/>
      </c>
    </row>
    <row r="3280" spans="46:54" x14ac:dyDescent="0.25">
      <c r="AT3280" s="2" t="str">
        <f>IF($L3280="","",IFERROR(INDEX('AR SALES'!$H$2:$H$2501,MATCH(""&amp;$L3280,'AR SALES'!$AE$2:$AE$2501,0)),""))</f>
        <v/>
      </c>
      <c r="AU3280" s="2" t="str">
        <f t="shared" si="204"/>
        <v/>
      </c>
      <c r="AV3280" s="2" t="str">
        <f t="shared" si="205"/>
        <v/>
      </c>
      <c r="AW3280" s="2" t="str">
        <f t="shared" si="206"/>
        <v/>
      </c>
      <c r="AX3280" s="2" t="str">
        <f t="shared" si="207"/>
        <v/>
      </c>
      <c r="AY3280" s="2" t="str">
        <f>IF($AV3280="","",IF(AND($Z3280=0,COUNTIF('AR SALES'!$L$2:$L$2501,$L3280)=0),"YES",""))</f>
        <v/>
      </c>
      <c r="AZ3280" s="2" t="str">
        <f>IF($AV3280="","",IF(COUNTIF(LISTS!$C$2:$C$250,$AU3280)=0,"NEW",""))</f>
        <v/>
      </c>
      <c r="BA3280" s="2" t="str">
        <f>IF(""&amp;$F3280&lt;&gt;"4","",IF($AY3280="YES","",IF(ROUND(SUMIFS($AE$2:$AE$4001,$L$2:$L$4001,$L3280,$F$2:$F$4001,"4")-SUMIFS('AR SALES'!$Y$2:$Y$2501,'AR SALES'!$L$2:$L$2501,$L3280,'AR SALES'!$AD$2:$AD$2501,"OFF"),2)=0,"","STALE")))</f>
        <v/>
      </c>
      <c r="BB3280" s="2" t="str">
        <f>IF(OR(""&amp;$F3280="2",""&amp;$F3280="4",""&amp;$F3280="G",""&amp;$F3280="H"),IF($AY3280="YES","",IF($AB3280&lt;&gt;0,"",IF(COUNTIFS('AR SALES'!$L$2:$L$2501,$L3280,'AR SALES'!$AD$2:$AD$2501,IF(""&amp;$F3280="4","OFF","ON"),'AR SALES'!$AF$2:$AF$2501,"Y")&gt;0,"","NO EXEMPTION"))),"")</f>
        <v/>
      </c>
    </row>
    <row r="3281" spans="46:54" x14ac:dyDescent="0.25">
      <c r="AT3281" s="2" t="str">
        <f>IF($L3281="","",IFERROR(INDEX('AR SALES'!$H$2:$H$2501,MATCH(""&amp;$L3281,'AR SALES'!$AE$2:$AE$2501,0)),""))</f>
        <v/>
      </c>
      <c r="AU3281" s="2" t="str">
        <f t="shared" si="204"/>
        <v/>
      </c>
      <c r="AV3281" s="2" t="str">
        <f t="shared" si="205"/>
        <v/>
      </c>
      <c r="AW3281" s="2" t="str">
        <f t="shared" si="206"/>
        <v/>
      </c>
      <c r="AX3281" s="2" t="str">
        <f t="shared" si="207"/>
        <v/>
      </c>
      <c r="AY3281" s="2" t="str">
        <f>IF($AV3281="","",IF(AND($Z3281=0,COUNTIF('AR SALES'!$L$2:$L$2501,$L3281)=0),"YES",""))</f>
        <v/>
      </c>
      <c r="AZ3281" s="2" t="str">
        <f>IF($AV3281="","",IF(COUNTIF(LISTS!$C$2:$C$250,$AU3281)=0,"NEW",""))</f>
        <v/>
      </c>
      <c r="BA3281" s="2" t="str">
        <f>IF(""&amp;$F3281&lt;&gt;"4","",IF($AY3281="YES","",IF(ROUND(SUMIFS($AE$2:$AE$4001,$L$2:$L$4001,$L3281,$F$2:$F$4001,"4")-SUMIFS('AR SALES'!$Y$2:$Y$2501,'AR SALES'!$L$2:$L$2501,$L3281,'AR SALES'!$AD$2:$AD$2501,"OFF"),2)=0,"","STALE")))</f>
        <v/>
      </c>
      <c r="BB3281" s="2" t="str">
        <f>IF(OR(""&amp;$F3281="2",""&amp;$F3281="4",""&amp;$F3281="G",""&amp;$F3281="H"),IF($AY3281="YES","",IF($AB3281&lt;&gt;0,"",IF(COUNTIFS('AR SALES'!$L$2:$L$2501,$L3281,'AR SALES'!$AD$2:$AD$2501,IF(""&amp;$F3281="4","OFF","ON"),'AR SALES'!$AF$2:$AF$2501,"Y")&gt;0,"","NO EXEMPTION"))),"")</f>
        <v/>
      </c>
    </row>
    <row r="3282" spans="46:54" x14ac:dyDescent="0.25">
      <c r="AT3282" s="2" t="str">
        <f>IF($L3282="","",IFERROR(INDEX('AR SALES'!$H$2:$H$2501,MATCH(""&amp;$L3282,'AR SALES'!$AE$2:$AE$2501,0)),""))</f>
        <v/>
      </c>
      <c r="AU3282" s="2" t="str">
        <f t="shared" si="204"/>
        <v/>
      </c>
      <c r="AV3282" s="2" t="str">
        <f t="shared" si="205"/>
        <v/>
      </c>
      <c r="AW3282" s="2" t="str">
        <f t="shared" si="206"/>
        <v/>
      </c>
      <c r="AX3282" s="2" t="str">
        <f t="shared" si="207"/>
        <v/>
      </c>
      <c r="AY3282" s="2" t="str">
        <f>IF($AV3282="","",IF(AND($Z3282=0,COUNTIF('AR SALES'!$L$2:$L$2501,$L3282)=0),"YES",""))</f>
        <v/>
      </c>
      <c r="AZ3282" s="2" t="str">
        <f>IF($AV3282="","",IF(COUNTIF(LISTS!$C$2:$C$250,$AU3282)=0,"NEW",""))</f>
        <v/>
      </c>
      <c r="BA3282" s="2" t="str">
        <f>IF(""&amp;$F3282&lt;&gt;"4","",IF($AY3282="YES","",IF(ROUND(SUMIFS($AE$2:$AE$4001,$L$2:$L$4001,$L3282,$F$2:$F$4001,"4")-SUMIFS('AR SALES'!$Y$2:$Y$2501,'AR SALES'!$L$2:$L$2501,$L3282,'AR SALES'!$AD$2:$AD$2501,"OFF"),2)=0,"","STALE")))</f>
        <v/>
      </c>
      <c r="BB3282" s="2" t="str">
        <f>IF(OR(""&amp;$F3282="2",""&amp;$F3282="4",""&amp;$F3282="G",""&amp;$F3282="H"),IF($AY3282="YES","",IF($AB3282&lt;&gt;0,"",IF(COUNTIFS('AR SALES'!$L$2:$L$2501,$L3282,'AR SALES'!$AD$2:$AD$2501,IF(""&amp;$F3282="4","OFF","ON"),'AR SALES'!$AF$2:$AF$2501,"Y")&gt;0,"","NO EXEMPTION"))),"")</f>
        <v/>
      </c>
    </row>
    <row r="3283" spans="46:54" x14ac:dyDescent="0.25">
      <c r="AT3283" s="2" t="str">
        <f>IF($L3283="","",IFERROR(INDEX('AR SALES'!$H$2:$H$2501,MATCH(""&amp;$L3283,'AR SALES'!$AE$2:$AE$2501,0)),""))</f>
        <v/>
      </c>
      <c r="AU3283" s="2" t="str">
        <f t="shared" si="204"/>
        <v/>
      </c>
      <c r="AV3283" s="2" t="str">
        <f t="shared" si="205"/>
        <v/>
      </c>
      <c r="AW3283" s="2" t="str">
        <f t="shared" si="206"/>
        <v/>
      </c>
      <c r="AX3283" s="2" t="str">
        <f t="shared" si="207"/>
        <v/>
      </c>
      <c r="AY3283" s="2" t="str">
        <f>IF($AV3283="","",IF(AND($Z3283=0,COUNTIF('AR SALES'!$L$2:$L$2501,$L3283)=0),"YES",""))</f>
        <v/>
      </c>
      <c r="AZ3283" s="2" t="str">
        <f>IF($AV3283="","",IF(COUNTIF(LISTS!$C$2:$C$250,$AU3283)=0,"NEW",""))</f>
        <v/>
      </c>
      <c r="BA3283" s="2" t="str">
        <f>IF(""&amp;$F3283&lt;&gt;"4","",IF($AY3283="YES","",IF(ROUND(SUMIFS($AE$2:$AE$4001,$L$2:$L$4001,$L3283,$F$2:$F$4001,"4")-SUMIFS('AR SALES'!$Y$2:$Y$2501,'AR SALES'!$L$2:$L$2501,$L3283,'AR SALES'!$AD$2:$AD$2501,"OFF"),2)=0,"","STALE")))</f>
        <v/>
      </c>
      <c r="BB3283" s="2" t="str">
        <f>IF(OR(""&amp;$F3283="2",""&amp;$F3283="4",""&amp;$F3283="G",""&amp;$F3283="H"),IF($AY3283="YES","",IF($AB3283&lt;&gt;0,"",IF(COUNTIFS('AR SALES'!$L$2:$L$2501,$L3283,'AR SALES'!$AD$2:$AD$2501,IF(""&amp;$F3283="4","OFF","ON"),'AR SALES'!$AF$2:$AF$2501,"Y")&gt;0,"","NO EXEMPTION"))),"")</f>
        <v/>
      </c>
    </row>
    <row r="3284" spans="46:54" x14ac:dyDescent="0.25">
      <c r="AT3284" s="2" t="str">
        <f>IF($L3284="","",IFERROR(INDEX('AR SALES'!$H$2:$H$2501,MATCH(""&amp;$L3284,'AR SALES'!$AE$2:$AE$2501,0)),""))</f>
        <v/>
      </c>
      <c r="AU3284" s="2" t="str">
        <f t="shared" si="204"/>
        <v/>
      </c>
      <c r="AV3284" s="2" t="str">
        <f t="shared" si="205"/>
        <v/>
      </c>
      <c r="AW3284" s="2" t="str">
        <f t="shared" si="206"/>
        <v/>
      </c>
      <c r="AX3284" s="2" t="str">
        <f t="shared" si="207"/>
        <v/>
      </c>
      <c r="AY3284" s="2" t="str">
        <f>IF($AV3284="","",IF(AND($Z3284=0,COUNTIF('AR SALES'!$L$2:$L$2501,$L3284)=0),"YES",""))</f>
        <v/>
      </c>
      <c r="AZ3284" s="2" t="str">
        <f>IF($AV3284="","",IF(COUNTIF(LISTS!$C$2:$C$250,$AU3284)=0,"NEW",""))</f>
        <v/>
      </c>
      <c r="BA3284" s="2" t="str">
        <f>IF(""&amp;$F3284&lt;&gt;"4","",IF($AY3284="YES","",IF(ROUND(SUMIFS($AE$2:$AE$4001,$L$2:$L$4001,$L3284,$F$2:$F$4001,"4")-SUMIFS('AR SALES'!$Y$2:$Y$2501,'AR SALES'!$L$2:$L$2501,$L3284,'AR SALES'!$AD$2:$AD$2501,"OFF"),2)=0,"","STALE")))</f>
        <v/>
      </c>
      <c r="BB3284" s="2" t="str">
        <f>IF(OR(""&amp;$F3284="2",""&amp;$F3284="4",""&amp;$F3284="G",""&amp;$F3284="H"),IF($AY3284="YES","",IF($AB3284&lt;&gt;0,"",IF(COUNTIFS('AR SALES'!$L$2:$L$2501,$L3284,'AR SALES'!$AD$2:$AD$2501,IF(""&amp;$F3284="4","OFF","ON"),'AR SALES'!$AF$2:$AF$2501,"Y")&gt;0,"","NO EXEMPTION"))),"")</f>
        <v/>
      </c>
    </row>
    <row r="3285" spans="46:54" x14ac:dyDescent="0.25">
      <c r="AT3285" s="2" t="str">
        <f>IF($L3285="","",IFERROR(INDEX('AR SALES'!$H$2:$H$2501,MATCH(""&amp;$L3285,'AR SALES'!$AE$2:$AE$2501,0)),""))</f>
        <v/>
      </c>
      <c r="AU3285" s="2" t="str">
        <f t="shared" si="204"/>
        <v/>
      </c>
      <c r="AV3285" s="2" t="str">
        <f t="shared" si="205"/>
        <v/>
      </c>
      <c r="AW3285" s="2" t="str">
        <f t="shared" si="206"/>
        <v/>
      </c>
      <c r="AX3285" s="2" t="str">
        <f t="shared" si="207"/>
        <v/>
      </c>
      <c r="AY3285" s="2" t="str">
        <f>IF($AV3285="","",IF(AND($Z3285=0,COUNTIF('AR SALES'!$L$2:$L$2501,$L3285)=0),"YES",""))</f>
        <v/>
      </c>
      <c r="AZ3285" s="2" t="str">
        <f>IF($AV3285="","",IF(COUNTIF(LISTS!$C$2:$C$250,$AU3285)=0,"NEW",""))</f>
        <v/>
      </c>
      <c r="BA3285" s="2" t="str">
        <f>IF(""&amp;$F3285&lt;&gt;"4","",IF($AY3285="YES","",IF(ROUND(SUMIFS($AE$2:$AE$4001,$L$2:$L$4001,$L3285,$F$2:$F$4001,"4")-SUMIFS('AR SALES'!$Y$2:$Y$2501,'AR SALES'!$L$2:$L$2501,$L3285,'AR SALES'!$AD$2:$AD$2501,"OFF"),2)=0,"","STALE")))</f>
        <v/>
      </c>
      <c r="BB3285" s="2" t="str">
        <f>IF(OR(""&amp;$F3285="2",""&amp;$F3285="4",""&amp;$F3285="G",""&amp;$F3285="H"),IF($AY3285="YES","",IF($AB3285&lt;&gt;0,"",IF(COUNTIFS('AR SALES'!$L$2:$L$2501,$L3285,'AR SALES'!$AD$2:$AD$2501,IF(""&amp;$F3285="4","OFF","ON"),'AR SALES'!$AF$2:$AF$2501,"Y")&gt;0,"","NO EXEMPTION"))),"")</f>
        <v/>
      </c>
    </row>
    <row r="3286" spans="46:54" x14ac:dyDescent="0.25">
      <c r="AT3286" s="2" t="str">
        <f>IF($L3286="","",IFERROR(INDEX('AR SALES'!$H$2:$H$2501,MATCH(""&amp;$L3286,'AR SALES'!$AE$2:$AE$2501,0)),""))</f>
        <v/>
      </c>
      <c r="AU3286" s="2" t="str">
        <f t="shared" si="204"/>
        <v/>
      </c>
      <c r="AV3286" s="2" t="str">
        <f t="shared" si="205"/>
        <v/>
      </c>
      <c r="AW3286" s="2" t="str">
        <f t="shared" si="206"/>
        <v/>
      </c>
      <c r="AX3286" s="2" t="str">
        <f t="shared" si="207"/>
        <v/>
      </c>
      <c r="AY3286" s="2" t="str">
        <f>IF($AV3286="","",IF(AND($Z3286=0,COUNTIF('AR SALES'!$L$2:$L$2501,$L3286)=0),"YES",""))</f>
        <v/>
      </c>
      <c r="AZ3286" s="2" t="str">
        <f>IF($AV3286="","",IF(COUNTIF(LISTS!$C$2:$C$250,$AU3286)=0,"NEW",""))</f>
        <v/>
      </c>
      <c r="BA3286" s="2" t="str">
        <f>IF(""&amp;$F3286&lt;&gt;"4","",IF($AY3286="YES","",IF(ROUND(SUMIFS($AE$2:$AE$4001,$L$2:$L$4001,$L3286,$F$2:$F$4001,"4")-SUMIFS('AR SALES'!$Y$2:$Y$2501,'AR SALES'!$L$2:$L$2501,$L3286,'AR SALES'!$AD$2:$AD$2501,"OFF"),2)=0,"","STALE")))</f>
        <v/>
      </c>
      <c r="BB3286" s="2" t="str">
        <f>IF(OR(""&amp;$F3286="2",""&amp;$F3286="4",""&amp;$F3286="G",""&amp;$F3286="H"),IF($AY3286="YES","",IF($AB3286&lt;&gt;0,"",IF(COUNTIFS('AR SALES'!$L$2:$L$2501,$L3286,'AR SALES'!$AD$2:$AD$2501,IF(""&amp;$F3286="4","OFF","ON"),'AR SALES'!$AF$2:$AF$2501,"Y")&gt;0,"","NO EXEMPTION"))),"")</f>
        <v/>
      </c>
    </row>
    <row r="3287" spans="46:54" x14ac:dyDescent="0.25">
      <c r="AT3287" s="2" t="str">
        <f>IF($L3287="","",IFERROR(INDEX('AR SALES'!$H$2:$H$2501,MATCH(""&amp;$L3287,'AR SALES'!$AE$2:$AE$2501,0)),""))</f>
        <v/>
      </c>
      <c r="AU3287" s="2" t="str">
        <f t="shared" si="204"/>
        <v/>
      </c>
      <c r="AV3287" s="2" t="str">
        <f t="shared" si="205"/>
        <v/>
      </c>
      <c r="AW3287" s="2" t="str">
        <f t="shared" si="206"/>
        <v/>
      </c>
      <c r="AX3287" s="2" t="str">
        <f t="shared" si="207"/>
        <v/>
      </c>
      <c r="AY3287" s="2" t="str">
        <f>IF($AV3287="","",IF(AND($Z3287=0,COUNTIF('AR SALES'!$L$2:$L$2501,$L3287)=0),"YES",""))</f>
        <v/>
      </c>
      <c r="AZ3287" s="2" t="str">
        <f>IF($AV3287="","",IF(COUNTIF(LISTS!$C$2:$C$250,$AU3287)=0,"NEW",""))</f>
        <v/>
      </c>
      <c r="BA3287" s="2" t="str">
        <f>IF(""&amp;$F3287&lt;&gt;"4","",IF($AY3287="YES","",IF(ROUND(SUMIFS($AE$2:$AE$4001,$L$2:$L$4001,$L3287,$F$2:$F$4001,"4")-SUMIFS('AR SALES'!$Y$2:$Y$2501,'AR SALES'!$L$2:$L$2501,$L3287,'AR SALES'!$AD$2:$AD$2501,"OFF"),2)=0,"","STALE")))</f>
        <v/>
      </c>
      <c r="BB3287" s="2" t="str">
        <f>IF(OR(""&amp;$F3287="2",""&amp;$F3287="4",""&amp;$F3287="G",""&amp;$F3287="H"),IF($AY3287="YES","",IF($AB3287&lt;&gt;0,"",IF(COUNTIFS('AR SALES'!$L$2:$L$2501,$L3287,'AR SALES'!$AD$2:$AD$2501,IF(""&amp;$F3287="4","OFF","ON"),'AR SALES'!$AF$2:$AF$2501,"Y")&gt;0,"","NO EXEMPTION"))),"")</f>
        <v/>
      </c>
    </row>
    <row r="3288" spans="46:54" x14ac:dyDescent="0.25">
      <c r="AT3288" s="2" t="str">
        <f>IF($L3288="","",IFERROR(INDEX('AR SALES'!$H$2:$H$2501,MATCH(""&amp;$L3288,'AR SALES'!$AE$2:$AE$2501,0)),""))</f>
        <v/>
      </c>
      <c r="AU3288" s="2" t="str">
        <f t="shared" si="204"/>
        <v/>
      </c>
      <c r="AV3288" s="2" t="str">
        <f t="shared" si="205"/>
        <v/>
      </c>
      <c r="AW3288" s="2" t="str">
        <f t="shared" si="206"/>
        <v/>
      </c>
      <c r="AX3288" s="2" t="str">
        <f t="shared" si="207"/>
        <v/>
      </c>
      <c r="AY3288" s="2" t="str">
        <f>IF($AV3288="","",IF(AND($Z3288=0,COUNTIF('AR SALES'!$L$2:$L$2501,$L3288)=0),"YES",""))</f>
        <v/>
      </c>
      <c r="AZ3288" s="2" t="str">
        <f>IF($AV3288="","",IF(COUNTIF(LISTS!$C$2:$C$250,$AU3288)=0,"NEW",""))</f>
        <v/>
      </c>
      <c r="BA3288" s="2" t="str">
        <f>IF(""&amp;$F3288&lt;&gt;"4","",IF($AY3288="YES","",IF(ROUND(SUMIFS($AE$2:$AE$4001,$L$2:$L$4001,$L3288,$F$2:$F$4001,"4")-SUMIFS('AR SALES'!$Y$2:$Y$2501,'AR SALES'!$L$2:$L$2501,$L3288,'AR SALES'!$AD$2:$AD$2501,"OFF"),2)=0,"","STALE")))</f>
        <v/>
      </c>
      <c r="BB3288" s="2" t="str">
        <f>IF(OR(""&amp;$F3288="2",""&amp;$F3288="4",""&amp;$F3288="G",""&amp;$F3288="H"),IF($AY3288="YES","",IF($AB3288&lt;&gt;0,"",IF(COUNTIFS('AR SALES'!$L$2:$L$2501,$L3288,'AR SALES'!$AD$2:$AD$2501,IF(""&amp;$F3288="4","OFF","ON"),'AR SALES'!$AF$2:$AF$2501,"Y")&gt;0,"","NO EXEMPTION"))),"")</f>
        <v/>
      </c>
    </row>
    <row r="3289" spans="46:54" x14ac:dyDescent="0.25">
      <c r="AT3289" s="2" t="str">
        <f>IF($L3289="","",IFERROR(INDEX('AR SALES'!$H$2:$H$2501,MATCH(""&amp;$L3289,'AR SALES'!$AE$2:$AE$2501,0)),""))</f>
        <v/>
      </c>
      <c r="AU3289" s="2" t="str">
        <f t="shared" si="204"/>
        <v/>
      </c>
      <c r="AV3289" s="2" t="str">
        <f t="shared" si="205"/>
        <v/>
      </c>
      <c r="AW3289" s="2" t="str">
        <f t="shared" si="206"/>
        <v/>
      </c>
      <c r="AX3289" s="2" t="str">
        <f t="shared" si="207"/>
        <v/>
      </c>
      <c r="AY3289" s="2" t="str">
        <f>IF($AV3289="","",IF(AND($Z3289=0,COUNTIF('AR SALES'!$L$2:$L$2501,$L3289)=0),"YES",""))</f>
        <v/>
      </c>
      <c r="AZ3289" s="2" t="str">
        <f>IF($AV3289="","",IF(COUNTIF(LISTS!$C$2:$C$250,$AU3289)=0,"NEW",""))</f>
        <v/>
      </c>
      <c r="BA3289" s="2" t="str">
        <f>IF(""&amp;$F3289&lt;&gt;"4","",IF($AY3289="YES","",IF(ROUND(SUMIFS($AE$2:$AE$4001,$L$2:$L$4001,$L3289,$F$2:$F$4001,"4")-SUMIFS('AR SALES'!$Y$2:$Y$2501,'AR SALES'!$L$2:$L$2501,$L3289,'AR SALES'!$AD$2:$AD$2501,"OFF"),2)=0,"","STALE")))</f>
        <v/>
      </c>
      <c r="BB3289" s="2" t="str">
        <f>IF(OR(""&amp;$F3289="2",""&amp;$F3289="4",""&amp;$F3289="G",""&amp;$F3289="H"),IF($AY3289="YES","",IF($AB3289&lt;&gt;0,"",IF(COUNTIFS('AR SALES'!$L$2:$L$2501,$L3289,'AR SALES'!$AD$2:$AD$2501,IF(""&amp;$F3289="4","OFF","ON"),'AR SALES'!$AF$2:$AF$2501,"Y")&gt;0,"","NO EXEMPTION"))),"")</f>
        <v/>
      </c>
    </row>
    <row r="3290" spans="46:54" x14ac:dyDescent="0.25">
      <c r="AT3290" s="2" t="str">
        <f>IF($L3290="","",IFERROR(INDEX('AR SALES'!$H$2:$H$2501,MATCH(""&amp;$L3290,'AR SALES'!$AE$2:$AE$2501,0)),""))</f>
        <v/>
      </c>
      <c r="AU3290" s="2" t="str">
        <f t="shared" si="204"/>
        <v/>
      </c>
      <c r="AV3290" s="2" t="str">
        <f t="shared" si="205"/>
        <v/>
      </c>
      <c r="AW3290" s="2" t="str">
        <f t="shared" si="206"/>
        <v/>
      </c>
      <c r="AX3290" s="2" t="str">
        <f t="shared" si="207"/>
        <v/>
      </c>
      <c r="AY3290" s="2" t="str">
        <f>IF($AV3290="","",IF(AND($Z3290=0,COUNTIF('AR SALES'!$L$2:$L$2501,$L3290)=0),"YES",""))</f>
        <v/>
      </c>
      <c r="AZ3290" s="2" t="str">
        <f>IF($AV3290="","",IF(COUNTIF(LISTS!$C$2:$C$250,$AU3290)=0,"NEW",""))</f>
        <v/>
      </c>
      <c r="BA3290" s="2" t="str">
        <f>IF(""&amp;$F3290&lt;&gt;"4","",IF($AY3290="YES","",IF(ROUND(SUMIFS($AE$2:$AE$4001,$L$2:$L$4001,$L3290,$F$2:$F$4001,"4")-SUMIFS('AR SALES'!$Y$2:$Y$2501,'AR SALES'!$L$2:$L$2501,$L3290,'AR SALES'!$AD$2:$AD$2501,"OFF"),2)=0,"","STALE")))</f>
        <v/>
      </c>
      <c r="BB3290" s="2" t="str">
        <f>IF(OR(""&amp;$F3290="2",""&amp;$F3290="4",""&amp;$F3290="G",""&amp;$F3290="H"),IF($AY3290="YES","",IF($AB3290&lt;&gt;0,"",IF(COUNTIFS('AR SALES'!$L$2:$L$2501,$L3290,'AR SALES'!$AD$2:$AD$2501,IF(""&amp;$F3290="4","OFF","ON"),'AR SALES'!$AF$2:$AF$2501,"Y")&gt;0,"","NO EXEMPTION"))),"")</f>
        <v/>
      </c>
    </row>
    <row r="3291" spans="46:54" x14ac:dyDescent="0.25">
      <c r="AT3291" s="2" t="str">
        <f>IF($L3291="","",IFERROR(INDEX('AR SALES'!$H$2:$H$2501,MATCH(""&amp;$L3291,'AR SALES'!$AE$2:$AE$2501,0)),""))</f>
        <v/>
      </c>
      <c r="AU3291" s="2" t="str">
        <f t="shared" si="204"/>
        <v/>
      </c>
      <c r="AV3291" s="2" t="str">
        <f t="shared" si="205"/>
        <v/>
      </c>
      <c r="AW3291" s="2" t="str">
        <f t="shared" si="206"/>
        <v/>
      </c>
      <c r="AX3291" s="2" t="str">
        <f t="shared" si="207"/>
        <v/>
      </c>
      <c r="AY3291" s="2" t="str">
        <f>IF($AV3291="","",IF(AND($Z3291=0,COUNTIF('AR SALES'!$L$2:$L$2501,$L3291)=0),"YES",""))</f>
        <v/>
      </c>
      <c r="AZ3291" s="2" t="str">
        <f>IF($AV3291="","",IF(COUNTIF(LISTS!$C$2:$C$250,$AU3291)=0,"NEW",""))</f>
        <v/>
      </c>
      <c r="BA3291" s="2" t="str">
        <f>IF(""&amp;$F3291&lt;&gt;"4","",IF($AY3291="YES","",IF(ROUND(SUMIFS($AE$2:$AE$4001,$L$2:$L$4001,$L3291,$F$2:$F$4001,"4")-SUMIFS('AR SALES'!$Y$2:$Y$2501,'AR SALES'!$L$2:$L$2501,$L3291,'AR SALES'!$AD$2:$AD$2501,"OFF"),2)=0,"","STALE")))</f>
        <v/>
      </c>
      <c r="BB3291" s="2" t="str">
        <f>IF(OR(""&amp;$F3291="2",""&amp;$F3291="4",""&amp;$F3291="G",""&amp;$F3291="H"),IF($AY3291="YES","",IF($AB3291&lt;&gt;0,"",IF(COUNTIFS('AR SALES'!$L$2:$L$2501,$L3291,'AR SALES'!$AD$2:$AD$2501,IF(""&amp;$F3291="4","OFF","ON"),'AR SALES'!$AF$2:$AF$2501,"Y")&gt;0,"","NO EXEMPTION"))),"")</f>
        <v/>
      </c>
    </row>
    <row r="3292" spans="46:54" x14ac:dyDescent="0.25">
      <c r="AT3292" s="2" t="str">
        <f>IF($L3292="","",IFERROR(INDEX('AR SALES'!$H$2:$H$2501,MATCH(""&amp;$L3292,'AR SALES'!$AE$2:$AE$2501,0)),""))</f>
        <v/>
      </c>
      <c r="AU3292" s="2" t="str">
        <f t="shared" si="204"/>
        <v/>
      </c>
      <c r="AV3292" s="2" t="str">
        <f t="shared" si="205"/>
        <v/>
      </c>
      <c r="AW3292" s="2" t="str">
        <f t="shared" si="206"/>
        <v/>
      </c>
      <c r="AX3292" s="2" t="str">
        <f t="shared" si="207"/>
        <v/>
      </c>
      <c r="AY3292" s="2" t="str">
        <f>IF($AV3292="","",IF(AND($Z3292=0,COUNTIF('AR SALES'!$L$2:$L$2501,$L3292)=0),"YES",""))</f>
        <v/>
      </c>
      <c r="AZ3292" s="2" t="str">
        <f>IF($AV3292="","",IF(COUNTIF(LISTS!$C$2:$C$250,$AU3292)=0,"NEW",""))</f>
        <v/>
      </c>
      <c r="BA3292" s="2" t="str">
        <f>IF(""&amp;$F3292&lt;&gt;"4","",IF($AY3292="YES","",IF(ROUND(SUMIFS($AE$2:$AE$4001,$L$2:$L$4001,$L3292,$F$2:$F$4001,"4")-SUMIFS('AR SALES'!$Y$2:$Y$2501,'AR SALES'!$L$2:$L$2501,$L3292,'AR SALES'!$AD$2:$AD$2501,"OFF"),2)=0,"","STALE")))</f>
        <v/>
      </c>
      <c r="BB3292" s="2" t="str">
        <f>IF(OR(""&amp;$F3292="2",""&amp;$F3292="4",""&amp;$F3292="G",""&amp;$F3292="H"),IF($AY3292="YES","",IF($AB3292&lt;&gt;0,"",IF(COUNTIFS('AR SALES'!$L$2:$L$2501,$L3292,'AR SALES'!$AD$2:$AD$2501,IF(""&amp;$F3292="4","OFF","ON"),'AR SALES'!$AF$2:$AF$2501,"Y")&gt;0,"","NO EXEMPTION"))),"")</f>
        <v/>
      </c>
    </row>
    <row r="3293" spans="46:54" x14ac:dyDescent="0.25">
      <c r="AT3293" s="2" t="str">
        <f>IF($L3293="","",IFERROR(INDEX('AR SALES'!$H$2:$H$2501,MATCH(""&amp;$L3293,'AR SALES'!$AE$2:$AE$2501,0)),""))</f>
        <v/>
      </c>
      <c r="AU3293" s="2" t="str">
        <f t="shared" si="204"/>
        <v/>
      </c>
      <c r="AV3293" s="2" t="str">
        <f t="shared" si="205"/>
        <v/>
      </c>
      <c r="AW3293" s="2" t="str">
        <f t="shared" si="206"/>
        <v/>
      </c>
      <c r="AX3293" s="2" t="str">
        <f t="shared" si="207"/>
        <v/>
      </c>
      <c r="AY3293" s="2" t="str">
        <f>IF($AV3293="","",IF(AND($Z3293=0,COUNTIF('AR SALES'!$L$2:$L$2501,$L3293)=0),"YES",""))</f>
        <v/>
      </c>
      <c r="AZ3293" s="2" t="str">
        <f>IF($AV3293="","",IF(COUNTIF(LISTS!$C$2:$C$250,$AU3293)=0,"NEW",""))</f>
        <v/>
      </c>
      <c r="BA3293" s="2" t="str">
        <f>IF(""&amp;$F3293&lt;&gt;"4","",IF($AY3293="YES","",IF(ROUND(SUMIFS($AE$2:$AE$4001,$L$2:$L$4001,$L3293,$F$2:$F$4001,"4")-SUMIFS('AR SALES'!$Y$2:$Y$2501,'AR SALES'!$L$2:$L$2501,$L3293,'AR SALES'!$AD$2:$AD$2501,"OFF"),2)=0,"","STALE")))</f>
        <v/>
      </c>
      <c r="BB3293" s="2" t="str">
        <f>IF(OR(""&amp;$F3293="2",""&amp;$F3293="4",""&amp;$F3293="G",""&amp;$F3293="H"),IF($AY3293="YES","",IF($AB3293&lt;&gt;0,"",IF(COUNTIFS('AR SALES'!$L$2:$L$2501,$L3293,'AR SALES'!$AD$2:$AD$2501,IF(""&amp;$F3293="4","OFF","ON"),'AR SALES'!$AF$2:$AF$2501,"Y")&gt;0,"","NO EXEMPTION"))),"")</f>
        <v/>
      </c>
    </row>
    <row r="3294" spans="46:54" x14ac:dyDescent="0.25">
      <c r="AT3294" s="2" t="str">
        <f>IF($L3294="","",IFERROR(INDEX('AR SALES'!$H$2:$H$2501,MATCH(""&amp;$L3294,'AR SALES'!$AE$2:$AE$2501,0)),""))</f>
        <v/>
      </c>
      <c r="AU3294" s="2" t="str">
        <f t="shared" si="204"/>
        <v/>
      </c>
      <c r="AV3294" s="2" t="str">
        <f t="shared" si="205"/>
        <v/>
      </c>
      <c r="AW3294" s="2" t="str">
        <f t="shared" si="206"/>
        <v/>
      </c>
      <c r="AX3294" s="2" t="str">
        <f t="shared" si="207"/>
        <v/>
      </c>
      <c r="AY3294" s="2" t="str">
        <f>IF($AV3294="","",IF(AND($Z3294=0,COUNTIF('AR SALES'!$L$2:$L$2501,$L3294)=0),"YES",""))</f>
        <v/>
      </c>
      <c r="AZ3294" s="2" t="str">
        <f>IF($AV3294="","",IF(COUNTIF(LISTS!$C$2:$C$250,$AU3294)=0,"NEW",""))</f>
        <v/>
      </c>
      <c r="BA3294" s="2" t="str">
        <f>IF(""&amp;$F3294&lt;&gt;"4","",IF($AY3294="YES","",IF(ROUND(SUMIFS($AE$2:$AE$4001,$L$2:$L$4001,$L3294,$F$2:$F$4001,"4")-SUMIFS('AR SALES'!$Y$2:$Y$2501,'AR SALES'!$L$2:$L$2501,$L3294,'AR SALES'!$AD$2:$AD$2501,"OFF"),2)=0,"","STALE")))</f>
        <v/>
      </c>
      <c r="BB3294" s="2" t="str">
        <f>IF(OR(""&amp;$F3294="2",""&amp;$F3294="4",""&amp;$F3294="G",""&amp;$F3294="H"),IF($AY3294="YES","",IF($AB3294&lt;&gt;0,"",IF(COUNTIFS('AR SALES'!$L$2:$L$2501,$L3294,'AR SALES'!$AD$2:$AD$2501,IF(""&amp;$F3294="4","OFF","ON"),'AR SALES'!$AF$2:$AF$2501,"Y")&gt;0,"","NO EXEMPTION"))),"")</f>
        <v/>
      </c>
    </row>
    <row r="3295" spans="46:54" x14ac:dyDescent="0.25">
      <c r="AT3295" s="2" t="str">
        <f>IF($L3295="","",IFERROR(INDEX('AR SALES'!$H$2:$H$2501,MATCH(""&amp;$L3295,'AR SALES'!$AE$2:$AE$2501,0)),""))</f>
        <v/>
      </c>
      <c r="AU3295" s="2" t="str">
        <f t="shared" si="204"/>
        <v/>
      </c>
      <c r="AV3295" s="2" t="str">
        <f t="shared" si="205"/>
        <v/>
      </c>
      <c r="AW3295" s="2" t="str">
        <f t="shared" si="206"/>
        <v/>
      </c>
      <c r="AX3295" s="2" t="str">
        <f t="shared" si="207"/>
        <v/>
      </c>
      <c r="AY3295" s="2" t="str">
        <f>IF($AV3295="","",IF(AND($Z3295=0,COUNTIF('AR SALES'!$L$2:$L$2501,$L3295)=0),"YES",""))</f>
        <v/>
      </c>
      <c r="AZ3295" s="2" t="str">
        <f>IF($AV3295="","",IF(COUNTIF(LISTS!$C$2:$C$250,$AU3295)=0,"NEW",""))</f>
        <v/>
      </c>
      <c r="BA3295" s="2" t="str">
        <f>IF(""&amp;$F3295&lt;&gt;"4","",IF($AY3295="YES","",IF(ROUND(SUMIFS($AE$2:$AE$4001,$L$2:$L$4001,$L3295,$F$2:$F$4001,"4")-SUMIFS('AR SALES'!$Y$2:$Y$2501,'AR SALES'!$L$2:$L$2501,$L3295,'AR SALES'!$AD$2:$AD$2501,"OFF"),2)=0,"","STALE")))</f>
        <v/>
      </c>
      <c r="BB3295" s="2" t="str">
        <f>IF(OR(""&amp;$F3295="2",""&amp;$F3295="4",""&amp;$F3295="G",""&amp;$F3295="H"),IF($AY3295="YES","",IF($AB3295&lt;&gt;0,"",IF(COUNTIFS('AR SALES'!$L$2:$L$2501,$L3295,'AR SALES'!$AD$2:$AD$2501,IF(""&amp;$F3295="4","OFF","ON"),'AR SALES'!$AF$2:$AF$2501,"Y")&gt;0,"","NO EXEMPTION"))),"")</f>
        <v/>
      </c>
    </row>
    <row r="3296" spans="46:54" x14ac:dyDescent="0.25">
      <c r="AT3296" s="2" t="str">
        <f>IF($L3296="","",IFERROR(INDEX('AR SALES'!$H$2:$H$2501,MATCH(""&amp;$L3296,'AR SALES'!$AE$2:$AE$2501,0)),""))</f>
        <v/>
      </c>
      <c r="AU3296" s="2" t="str">
        <f t="shared" si="204"/>
        <v/>
      </c>
      <c r="AV3296" s="2" t="str">
        <f t="shared" si="205"/>
        <v/>
      </c>
      <c r="AW3296" s="2" t="str">
        <f t="shared" si="206"/>
        <v/>
      </c>
      <c r="AX3296" s="2" t="str">
        <f t="shared" si="207"/>
        <v/>
      </c>
      <c r="AY3296" s="2" t="str">
        <f>IF($AV3296="","",IF(AND($Z3296=0,COUNTIF('AR SALES'!$L$2:$L$2501,$L3296)=0),"YES",""))</f>
        <v/>
      </c>
      <c r="AZ3296" s="2" t="str">
        <f>IF($AV3296="","",IF(COUNTIF(LISTS!$C$2:$C$250,$AU3296)=0,"NEW",""))</f>
        <v/>
      </c>
      <c r="BA3296" s="2" t="str">
        <f>IF(""&amp;$F3296&lt;&gt;"4","",IF($AY3296="YES","",IF(ROUND(SUMIFS($AE$2:$AE$4001,$L$2:$L$4001,$L3296,$F$2:$F$4001,"4")-SUMIFS('AR SALES'!$Y$2:$Y$2501,'AR SALES'!$L$2:$L$2501,$L3296,'AR SALES'!$AD$2:$AD$2501,"OFF"),2)=0,"","STALE")))</f>
        <v/>
      </c>
      <c r="BB3296" s="2" t="str">
        <f>IF(OR(""&amp;$F3296="2",""&amp;$F3296="4",""&amp;$F3296="G",""&amp;$F3296="H"),IF($AY3296="YES","",IF($AB3296&lt;&gt;0,"",IF(COUNTIFS('AR SALES'!$L$2:$L$2501,$L3296,'AR SALES'!$AD$2:$AD$2501,IF(""&amp;$F3296="4","OFF","ON"),'AR SALES'!$AF$2:$AF$2501,"Y")&gt;0,"","NO EXEMPTION"))),"")</f>
        <v/>
      </c>
    </row>
    <row r="3297" spans="46:54" x14ac:dyDescent="0.25">
      <c r="AT3297" s="2" t="str">
        <f>IF($L3297="","",IFERROR(INDEX('AR SALES'!$H$2:$H$2501,MATCH(""&amp;$L3297,'AR SALES'!$AE$2:$AE$2501,0)),""))</f>
        <v/>
      </c>
      <c r="AU3297" s="2" t="str">
        <f t="shared" si="204"/>
        <v/>
      </c>
      <c r="AV3297" s="2" t="str">
        <f t="shared" si="205"/>
        <v/>
      </c>
      <c r="AW3297" s="2" t="str">
        <f t="shared" si="206"/>
        <v/>
      </c>
      <c r="AX3297" s="2" t="str">
        <f t="shared" si="207"/>
        <v/>
      </c>
      <c r="AY3297" s="2" t="str">
        <f>IF($AV3297="","",IF(AND($Z3297=0,COUNTIF('AR SALES'!$L$2:$L$2501,$L3297)=0),"YES",""))</f>
        <v/>
      </c>
      <c r="AZ3297" s="2" t="str">
        <f>IF($AV3297="","",IF(COUNTIF(LISTS!$C$2:$C$250,$AU3297)=0,"NEW",""))</f>
        <v/>
      </c>
      <c r="BA3297" s="2" t="str">
        <f>IF(""&amp;$F3297&lt;&gt;"4","",IF($AY3297="YES","",IF(ROUND(SUMIFS($AE$2:$AE$4001,$L$2:$L$4001,$L3297,$F$2:$F$4001,"4")-SUMIFS('AR SALES'!$Y$2:$Y$2501,'AR SALES'!$L$2:$L$2501,$L3297,'AR SALES'!$AD$2:$AD$2501,"OFF"),2)=0,"","STALE")))</f>
        <v/>
      </c>
      <c r="BB3297" s="2" t="str">
        <f>IF(OR(""&amp;$F3297="2",""&amp;$F3297="4",""&amp;$F3297="G",""&amp;$F3297="H"),IF($AY3297="YES","",IF($AB3297&lt;&gt;0,"",IF(COUNTIFS('AR SALES'!$L$2:$L$2501,$L3297,'AR SALES'!$AD$2:$AD$2501,IF(""&amp;$F3297="4","OFF","ON"),'AR SALES'!$AF$2:$AF$2501,"Y")&gt;0,"","NO EXEMPTION"))),"")</f>
        <v/>
      </c>
    </row>
    <row r="3298" spans="46:54" x14ac:dyDescent="0.25">
      <c r="AT3298" s="2" t="str">
        <f>IF($L3298="","",IFERROR(INDEX('AR SALES'!$H$2:$H$2501,MATCH(""&amp;$L3298,'AR SALES'!$AE$2:$AE$2501,0)),""))</f>
        <v/>
      </c>
      <c r="AU3298" s="2" t="str">
        <f t="shared" si="204"/>
        <v/>
      </c>
      <c r="AV3298" s="2" t="str">
        <f t="shared" si="205"/>
        <v/>
      </c>
      <c r="AW3298" s="2" t="str">
        <f t="shared" si="206"/>
        <v/>
      </c>
      <c r="AX3298" s="2" t="str">
        <f t="shared" si="207"/>
        <v/>
      </c>
      <c r="AY3298" s="2" t="str">
        <f>IF($AV3298="","",IF(AND($Z3298=0,COUNTIF('AR SALES'!$L$2:$L$2501,$L3298)=0),"YES",""))</f>
        <v/>
      </c>
      <c r="AZ3298" s="2" t="str">
        <f>IF($AV3298="","",IF(COUNTIF(LISTS!$C$2:$C$250,$AU3298)=0,"NEW",""))</f>
        <v/>
      </c>
      <c r="BA3298" s="2" t="str">
        <f>IF(""&amp;$F3298&lt;&gt;"4","",IF($AY3298="YES","",IF(ROUND(SUMIFS($AE$2:$AE$4001,$L$2:$L$4001,$L3298,$F$2:$F$4001,"4")-SUMIFS('AR SALES'!$Y$2:$Y$2501,'AR SALES'!$L$2:$L$2501,$L3298,'AR SALES'!$AD$2:$AD$2501,"OFF"),2)=0,"","STALE")))</f>
        <v/>
      </c>
      <c r="BB3298" s="2" t="str">
        <f>IF(OR(""&amp;$F3298="2",""&amp;$F3298="4",""&amp;$F3298="G",""&amp;$F3298="H"),IF($AY3298="YES","",IF($AB3298&lt;&gt;0,"",IF(COUNTIFS('AR SALES'!$L$2:$L$2501,$L3298,'AR SALES'!$AD$2:$AD$2501,IF(""&amp;$F3298="4","OFF","ON"),'AR SALES'!$AF$2:$AF$2501,"Y")&gt;0,"","NO EXEMPTION"))),"")</f>
        <v/>
      </c>
    </row>
    <row r="3299" spans="46:54" x14ac:dyDescent="0.25">
      <c r="AT3299" s="2" t="str">
        <f>IF($L3299="","",IFERROR(INDEX('AR SALES'!$H$2:$H$2501,MATCH(""&amp;$L3299,'AR SALES'!$AE$2:$AE$2501,0)),""))</f>
        <v/>
      </c>
      <c r="AU3299" s="2" t="str">
        <f t="shared" si="204"/>
        <v/>
      </c>
      <c r="AV3299" s="2" t="str">
        <f t="shared" si="205"/>
        <v/>
      </c>
      <c r="AW3299" s="2" t="str">
        <f t="shared" si="206"/>
        <v/>
      </c>
      <c r="AX3299" s="2" t="str">
        <f t="shared" si="207"/>
        <v/>
      </c>
      <c r="AY3299" s="2" t="str">
        <f>IF($AV3299="","",IF(AND($Z3299=0,COUNTIF('AR SALES'!$L$2:$L$2501,$L3299)=0),"YES",""))</f>
        <v/>
      </c>
      <c r="AZ3299" s="2" t="str">
        <f>IF($AV3299="","",IF(COUNTIF(LISTS!$C$2:$C$250,$AU3299)=0,"NEW",""))</f>
        <v/>
      </c>
      <c r="BA3299" s="2" t="str">
        <f>IF(""&amp;$F3299&lt;&gt;"4","",IF($AY3299="YES","",IF(ROUND(SUMIFS($AE$2:$AE$4001,$L$2:$L$4001,$L3299,$F$2:$F$4001,"4")-SUMIFS('AR SALES'!$Y$2:$Y$2501,'AR SALES'!$L$2:$L$2501,$L3299,'AR SALES'!$AD$2:$AD$2501,"OFF"),2)=0,"","STALE")))</f>
        <v/>
      </c>
      <c r="BB3299" s="2" t="str">
        <f>IF(OR(""&amp;$F3299="2",""&amp;$F3299="4",""&amp;$F3299="G",""&amp;$F3299="H"),IF($AY3299="YES","",IF($AB3299&lt;&gt;0,"",IF(COUNTIFS('AR SALES'!$L$2:$L$2501,$L3299,'AR SALES'!$AD$2:$AD$2501,IF(""&amp;$F3299="4","OFF","ON"),'AR SALES'!$AF$2:$AF$2501,"Y")&gt;0,"","NO EXEMPTION"))),"")</f>
        <v/>
      </c>
    </row>
    <row r="3300" spans="46:54" x14ac:dyDescent="0.25">
      <c r="AT3300" s="2" t="str">
        <f>IF($L3300="","",IFERROR(INDEX('AR SALES'!$H$2:$H$2501,MATCH(""&amp;$L3300,'AR SALES'!$AE$2:$AE$2501,0)),""))</f>
        <v/>
      </c>
      <c r="AU3300" s="2" t="str">
        <f t="shared" si="204"/>
        <v/>
      </c>
      <c r="AV3300" s="2" t="str">
        <f t="shared" si="205"/>
        <v/>
      </c>
      <c r="AW3300" s="2" t="str">
        <f t="shared" si="206"/>
        <v/>
      </c>
      <c r="AX3300" s="2" t="str">
        <f t="shared" si="207"/>
        <v/>
      </c>
      <c r="AY3300" s="2" t="str">
        <f>IF($AV3300="","",IF(AND($Z3300=0,COUNTIF('AR SALES'!$L$2:$L$2501,$L3300)=0),"YES",""))</f>
        <v/>
      </c>
      <c r="AZ3300" s="2" t="str">
        <f>IF($AV3300="","",IF(COUNTIF(LISTS!$C$2:$C$250,$AU3300)=0,"NEW",""))</f>
        <v/>
      </c>
      <c r="BA3300" s="2" t="str">
        <f>IF(""&amp;$F3300&lt;&gt;"4","",IF($AY3300="YES","",IF(ROUND(SUMIFS($AE$2:$AE$4001,$L$2:$L$4001,$L3300,$F$2:$F$4001,"4")-SUMIFS('AR SALES'!$Y$2:$Y$2501,'AR SALES'!$L$2:$L$2501,$L3300,'AR SALES'!$AD$2:$AD$2501,"OFF"),2)=0,"","STALE")))</f>
        <v/>
      </c>
      <c r="BB3300" s="2" t="str">
        <f>IF(OR(""&amp;$F3300="2",""&amp;$F3300="4",""&amp;$F3300="G",""&amp;$F3300="H"),IF($AY3300="YES","",IF($AB3300&lt;&gt;0,"",IF(COUNTIFS('AR SALES'!$L$2:$L$2501,$L3300,'AR SALES'!$AD$2:$AD$2501,IF(""&amp;$F3300="4","OFF","ON"),'AR SALES'!$AF$2:$AF$2501,"Y")&gt;0,"","NO EXEMPTION"))),"")</f>
        <v/>
      </c>
    </row>
    <row r="3301" spans="46:54" x14ac:dyDescent="0.25">
      <c r="AT3301" s="2" t="str">
        <f>IF($L3301="","",IFERROR(INDEX('AR SALES'!$H$2:$H$2501,MATCH(""&amp;$L3301,'AR SALES'!$AE$2:$AE$2501,0)),""))</f>
        <v/>
      </c>
      <c r="AU3301" s="2" t="str">
        <f t="shared" si="204"/>
        <v/>
      </c>
      <c r="AV3301" s="2" t="str">
        <f t="shared" si="205"/>
        <v/>
      </c>
      <c r="AW3301" s="2" t="str">
        <f t="shared" si="206"/>
        <v/>
      </c>
      <c r="AX3301" s="2" t="str">
        <f t="shared" si="207"/>
        <v/>
      </c>
      <c r="AY3301" s="2" t="str">
        <f>IF($AV3301="","",IF(AND($Z3301=0,COUNTIF('AR SALES'!$L$2:$L$2501,$L3301)=0),"YES",""))</f>
        <v/>
      </c>
      <c r="AZ3301" s="2" t="str">
        <f>IF($AV3301="","",IF(COUNTIF(LISTS!$C$2:$C$250,$AU3301)=0,"NEW",""))</f>
        <v/>
      </c>
      <c r="BA3301" s="2" t="str">
        <f>IF(""&amp;$F3301&lt;&gt;"4","",IF($AY3301="YES","",IF(ROUND(SUMIFS($AE$2:$AE$4001,$L$2:$L$4001,$L3301,$F$2:$F$4001,"4")-SUMIFS('AR SALES'!$Y$2:$Y$2501,'AR SALES'!$L$2:$L$2501,$L3301,'AR SALES'!$AD$2:$AD$2501,"OFF"),2)=0,"","STALE")))</f>
        <v/>
      </c>
      <c r="BB3301" s="2" t="str">
        <f>IF(OR(""&amp;$F3301="2",""&amp;$F3301="4",""&amp;$F3301="G",""&amp;$F3301="H"),IF($AY3301="YES","",IF($AB3301&lt;&gt;0,"",IF(COUNTIFS('AR SALES'!$L$2:$L$2501,$L3301,'AR SALES'!$AD$2:$AD$2501,IF(""&amp;$F3301="4","OFF","ON"),'AR SALES'!$AF$2:$AF$2501,"Y")&gt;0,"","NO EXEMPTION"))),"")</f>
        <v/>
      </c>
    </row>
    <row r="3302" spans="46:54" x14ac:dyDescent="0.25">
      <c r="AT3302" s="2" t="str">
        <f>IF($L3302="","",IFERROR(INDEX('AR SALES'!$H$2:$H$2501,MATCH(""&amp;$L3302,'AR SALES'!$AE$2:$AE$2501,0)),""))</f>
        <v/>
      </c>
      <c r="AU3302" s="2" t="str">
        <f t="shared" si="204"/>
        <v/>
      </c>
      <c r="AV3302" s="2" t="str">
        <f t="shared" si="205"/>
        <v/>
      </c>
      <c r="AW3302" s="2" t="str">
        <f t="shared" si="206"/>
        <v/>
      </c>
      <c r="AX3302" s="2" t="str">
        <f t="shared" si="207"/>
        <v/>
      </c>
      <c r="AY3302" s="2" t="str">
        <f>IF($AV3302="","",IF(AND($Z3302=0,COUNTIF('AR SALES'!$L$2:$L$2501,$L3302)=0),"YES",""))</f>
        <v/>
      </c>
      <c r="AZ3302" s="2" t="str">
        <f>IF($AV3302="","",IF(COUNTIF(LISTS!$C$2:$C$250,$AU3302)=0,"NEW",""))</f>
        <v/>
      </c>
      <c r="BA3302" s="2" t="str">
        <f>IF(""&amp;$F3302&lt;&gt;"4","",IF($AY3302="YES","",IF(ROUND(SUMIFS($AE$2:$AE$4001,$L$2:$L$4001,$L3302,$F$2:$F$4001,"4")-SUMIFS('AR SALES'!$Y$2:$Y$2501,'AR SALES'!$L$2:$L$2501,$L3302,'AR SALES'!$AD$2:$AD$2501,"OFF"),2)=0,"","STALE")))</f>
        <v/>
      </c>
      <c r="BB3302" s="2" t="str">
        <f>IF(OR(""&amp;$F3302="2",""&amp;$F3302="4",""&amp;$F3302="G",""&amp;$F3302="H"),IF($AY3302="YES","",IF($AB3302&lt;&gt;0,"",IF(COUNTIFS('AR SALES'!$L$2:$L$2501,$L3302,'AR SALES'!$AD$2:$AD$2501,IF(""&amp;$F3302="4","OFF","ON"),'AR SALES'!$AF$2:$AF$2501,"Y")&gt;0,"","NO EXEMPTION"))),"")</f>
        <v/>
      </c>
    </row>
    <row r="3303" spans="46:54" x14ac:dyDescent="0.25">
      <c r="AT3303" s="2" t="str">
        <f>IF($L3303="","",IFERROR(INDEX('AR SALES'!$H$2:$H$2501,MATCH(""&amp;$L3303,'AR SALES'!$AE$2:$AE$2501,0)),""))</f>
        <v/>
      </c>
      <c r="AU3303" s="2" t="str">
        <f t="shared" si="204"/>
        <v/>
      </c>
      <c r="AV3303" s="2" t="str">
        <f t="shared" si="205"/>
        <v/>
      </c>
      <c r="AW3303" s="2" t="str">
        <f t="shared" si="206"/>
        <v/>
      </c>
      <c r="AX3303" s="2" t="str">
        <f t="shared" si="207"/>
        <v/>
      </c>
      <c r="AY3303" s="2" t="str">
        <f>IF($AV3303="","",IF(AND($Z3303=0,COUNTIF('AR SALES'!$L$2:$L$2501,$L3303)=0),"YES",""))</f>
        <v/>
      </c>
      <c r="AZ3303" s="2" t="str">
        <f>IF($AV3303="","",IF(COUNTIF(LISTS!$C$2:$C$250,$AU3303)=0,"NEW",""))</f>
        <v/>
      </c>
      <c r="BA3303" s="2" t="str">
        <f>IF(""&amp;$F3303&lt;&gt;"4","",IF($AY3303="YES","",IF(ROUND(SUMIFS($AE$2:$AE$4001,$L$2:$L$4001,$L3303,$F$2:$F$4001,"4")-SUMIFS('AR SALES'!$Y$2:$Y$2501,'AR SALES'!$L$2:$L$2501,$L3303,'AR SALES'!$AD$2:$AD$2501,"OFF"),2)=0,"","STALE")))</f>
        <v/>
      </c>
      <c r="BB3303" s="2" t="str">
        <f>IF(OR(""&amp;$F3303="2",""&amp;$F3303="4",""&amp;$F3303="G",""&amp;$F3303="H"),IF($AY3303="YES","",IF($AB3303&lt;&gt;0,"",IF(COUNTIFS('AR SALES'!$L$2:$L$2501,$L3303,'AR SALES'!$AD$2:$AD$2501,IF(""&amp;$F3303="4","OFF","ON"),'AR SALES'!$AF$2:$AF$2501,"Y")&gt;0,"","NO EXEMPTION"))),"")</f>
        <v/>
      </c>
    </row>
    <row r="3304" spans="46:54" x14ac:dyDescent="0.25">
      <c r="AT3304" s="2" t="str">
        <f>IF($L3304="","",IFERROR(INDEX('AR SALES'!$H$2:$H$2501,MATCH(""&amp;$L3304,'AR SALES'!$AE$2:$AE$2501,0)),""))</f>
        <v/>
      </c>
      <c r="AU3304" s="2" t="str">
        <f t="shared" si="204"/>
        <v/>
      </c>
      <c r="AV3304" s="2" t="str">
        <f t="shared" si="205"/>
        <v/>
      </c>
      <c r="AW3304" s="2" t="str">
        <f t="shared" si="206"/>
        <v/>
      </c>
      <c r="AX3304" s="2" t="str">
        <f t="shared" si="207"/>
        <v/>
      </c>
      <c r="AY3304" s="2" t="str">
        <f>IF($AV3304="","",IF(AND($Z3304=0,COUNTIF('AR SALES'!$L$2:$L$2501,$L3304)=0),"YES",""))</f>
        <v/>
      </c>
      <c r="AZ3304" s="2" t="str">
        <f>IF($AV3304="","",IF(COUNTIF(LISTS!$C$2:$C$250,$AU3304)=0,"NEW",""))</f>
        <v/>
      </c>
      <c r="BA3304" s="2" t="str">
        <f>IF(""&amp;$F3304&lt;&gt;"4","",IF($AY3304="YES","",IF(ROUND(SUMIFS($AE$2:$AE$4001,$L$2:$L$4001,$L3304,$F$2:$F$4001,"4")-SUMIFS('AR SALES'!$Y$2:$Y$2501,'AR SALES'!$L$2:$L$2501,$L3304,'AR SALES'!$AD$2:$AD$2501,"OFF"),2)=0,"","STALE")))</f>
        <v/>
      </c>
      <c r="BB3304" s="2" t="str">
        <f>IF(OR(""&amp;$F3304="2",""&amp;$F3304="4",""&amp;$F3304="G",""&amp;$F3304="H"),IF($AY3304="YES","",IF($AB3304&lt;&gt;0,"",IF(COUNTIFS('AR SALES'!$L$2:$L$2501,$L3304,'AR SALES'!$AD$2:$AD$2501,IF(""&amp;$F3304="4","OFF","ON"),'AR SALES'!$AF$2:$AF$2501,"Y")&gt;0,"","NO EXEMPTION"))),"")</f>
        <v/>
      </c>
    </row>
    <row r="3305" spans="46:54" x14ac:dyDescent="0.25">
      <c r="AT3305" s="2" t="str">
        <f>IF($L3305="","",IFERROR(INDEX('AR SALES'!$H$2:$H$2501,MATCH(""&amp;$L3305,'AR SALES'!$AE$2:$AE$2501,0)),""))</f>
        <v/>
      </c>
      <c r="AU3305" s="2" t="str">
        <f t="shared" si="204"/>
        <v/>
      </c>
      <c r="AV3305" s="2" t="str">
        <f t="shared" si="205"/>
        <v/>
      </c>
      <c r="AW3305" s="2" t="str">
        <f t="shared" si="206"/>
        <v/>
      </c>
      <c r="AX3305" s="2" t="str">
        <f t="shared" si="207"/>
        <v/>
      </c>
      <c r="AY3305" s="2" t="str">
        <f>IF($AV3305="","",IF(AND($Z3305=0,COUNTIF('AR SALES'!$L$2:$L$2501,$L3305)=0),"YES",""))</f>
        <v/>
      </c>
      <c r="AZ3305" s="2" t="str">
        <f>IF($AV3305="","",IF(COUNTIF(LISTS!$C$2:$C$250,$AU3305)=0,"NEW",""))</f>
        <v/>
      </c>
      <c r="BA3305" s="2" t="str">
        <f>IF(""&amp;$F3305&lt;&gt;"4","",IF($AY3305="YES","",IF(ROUND(SUMIFS($AE$2:$AE$4001,$L$2:$L$4001,$L3305,$F$2:$F$4001,"4")-SUMIFS('AR SALES'!$Y$2:$Y$2501,'AR SALES'!$L$2:$L$2501,$L3305,'AR SALES'!$AD$2:$AD$2501,"OFF"),2)=0,"","STALE")))</f>
        <v/>
      </c>
      <c r="BB3305" s="2" t="str">
        <f>IF(OR(""&amp;$F3305="2",""&amp;$F3305="4",""&amp;$F3305="G",""&amp;$F3305="H"),IF($AY3305="YES","",IF($AB3305&lt;&gt;0,"",IF(COUNTIFS('AR SALES'!$L$2:$L$2501,$L3305,'AR SALES'!$AD$2:$AD$2501,IF(""&amp;$F3305="4","OFF","ON"),'AR SALES'!$AF$2:$AF$2501,"Y")&gt;0,"","NO EXEMPTION"))),"")</f>
        <v/>
      </c>
    </row>
    <row r="3306" spans="46:54" x14ac:dyDescent="0.25">
      <c r="AT3306" s="2" t="str">
        <f>IF($L3306="","",IFERROR(INDEX('AR SALES'!$H$2:$H$2501,MATCH(""&amp;$L3306,'AR SALES'!$AE$2:$AE$2501,0)),""))</f>
        <v/>
      </c>
      <c r="AU3306" s="2" t="str">
        <f t="shared" si="204"/>
        <v/>
      </c>
      <c r="AV3306" s="2" t="str">
        <f t="shared" si="205"/>
        <v/>
      </c>
      <c r="AW3306" s="2" t="str">
        <f t="shared" si="206"/>
        <v/>
      </c>
      <c r="AX3306" s="2" t="str">
        <f t="shared" si="207"/>
        <v/>
      </c>
      <c r="AY3306" s="2" t="str">
        <f>IF($AV3306="","",IF(AND($Z3306=0,COUNTIF('AR SALES'!$L$2:$L$2501,$L3306)=0),"YES",""))</f>
        <v/>
      </c>
      <c r="AZ3306" s="2" t="str">
        <f>IF($AV3306="","",IF(COUNTIF(LISTS!$C$2:$C$250,$AU3306)=0,"NEW",""))</f>
        <v/>
      </c>
      <c r="BA3306" s="2" t="str">
        <f>IF(""&amp;$F3306&lt;&gt;"4","",IF($AY3306="YES","",IF(ROUND(SUMIFS($AE$2:$AE$4001,$L$2:$L$4001,$L3306,$F$2:$F$4001,"4")-SUMIFS('AR SALES'!$Y$2:$Y$2501,'AR SALES'!$L$2:$L$2501,$L3306,'AR SALES'!$AD$2:$AD$2501,"OFF"),2)=0,"","STALE")))</f>
        <v/>
      </c>
      <c r="BB3306" s="2" t="str">
        <f>IF(OR(""&amp;$F3306="2",""&amp;$F3306="4",""&amp;$F3306="G",""&amp;$F3306="H"),IF($AY3306="YES","",IF($AB3306&lt;&gt;0,"",IF(COUNTIFS('AR SALES'!$L$2:$L$2501,$L3306,'AR SALES'!$AD$2:$AD$2501,IF(""&amp;$F3306="4","OFF","ON"),'AR SALES'!$AF$2:$AF$2501,"Y")&gt;0,"","NO EXEMPTION"))),"")</f>
        <v/>
      </c>
    </row>
    <row r="3307" spans="46:54" x14ac:dyDescent="0.25">
      <c r="AT3307" s="2" t="str">
        <f>IF($L3307="","",IFERROR(INDEX('AR SALES'!$H$2:$H$2501,MATCH(""&amp;$L3307,'AR SALES'!$AE$2:$AE$2501,0)),""))</f>
        <v/>
      </c>
      <c r="AU3307" s="2" t="str">
        <f t="shared" si="204"/>
        <v/>
      </c>
      <c r="AV3307" s="2" t="str">
        <f t="shared" si="205"/>
        <v/>
      </c>
      <c r="AW3307" s="2" t="str">
        <f t="shared" si="206"/>
        <v/>
      </c>
      <c r="AX3307" s="2" t="str">
        <f t="shared" si="207"/>
        <v/>
      </c>
      <c r="AY3307" s="2" t="str">
        <f>IF($AV3307="","",IF(AND($Z3307=0,COUNTIF('AR SALES'!$L$2:$L$2501,$L3307)=0),"YES",""))</f>
        <v/>
      </c>
      <c r="AZ3307" s="2" t="str">
        <f>IF($AV3307="","",IF(COUNTIF(LISTS!$C$2:$C$250,$AU3307)=0,"NEW",""))</f>
        <v/>
      </c>
      <c r="BA3307" s="2" t="str">
        <f>IF(""&amp;$F3307&lt;&gt;"4","",IF($AY3307="YES","",IF(ROUND(SUMIFS($AE$2:$AE$4001,$L$2:$L$4001,$L3307,$F$2:$F$4001,"4")-SUMIFS('AR SALES'!$Y$2:$Y$2501,'AR SALES'!$L$2:$L$2501,$L3307,'AR SALES'!$AD$2:$AD$2501,"OFF"),2)=0,"","STALE")))</f>
        <v/>
      </c>
      <c r="BB3307" s="2" t="str">
        <f>IF(OR(""&amp;$F3307="2",""&amp;$F3307="4",""&amp;$F3307="G",""&amp;$F3307="H"),IF($AY3307="YES","",IF($AB3307&lt;&gt;0,"",IF(COUNTIFS('AR SALES'!$L$2:$L$2501,$L3307,'AR SALES'!$AD$2:$AD$2501,IF(""&amp;$F3307="4","OFF","ON"),'AR SALES'!$AF$2:$AF$2501,"Y")&gt;0,"","NO EXEMPTION"))),"")</f>
        <v/>
      </c>
    </row>
    <row r="3308" spans="46:54" x14ac:dyDescent="0.25">
      <c r="AT3308" s="2" t="str">
        <f>IF($L3308="","",IFERROR(INDEX('AR SALES'!$H$2:$H$2501,MATCH(""&amp;$L3308,'AR SALES'!$AE$2:$AE$2501,0)),""))</f>
        <v/>
      </c>
      <c r="AU3308" s="2" t="str">
        <f t="shared" si="204"/>
        <v/>
      </c>
      <c r="AV3308" s="2" t="str">
        <f t="shared" si="205"/>
        <v/>
      </c>
      <c r="AW3308" s="2" t="str">
        <f t="shared" si="206"/>
        <v/>
      </c>
      <c r="AX3308" s="2" t="str">
        <f t="shared" si="207"/>
        <v/>
      </c>
      <c r="AY3308" s="2" t="str">
        <f>IF($AV3308="","",IF(AND($Z3308=0,COUNTIF('AR SALES'!$L$2:$L$2501,$L3308)=0),"YES",""))</f>
        <v/>
      </c>
      <c r="AZ3308" s="2" t="str">
        <f>IF($AV3308="","",IF(COUNTIF(LISTS!$C$2:$C$250,$AU3308)=0,"NEW",""))</f>
        <v/>
      </c>
      <c r="BA3308" s="2" t="str">
        <f>IF(""&amp;$F3308&lt;&gt;"4","",IF($AY3308="YES","",IF(ROUND(SUMIFS($AE$2:$AE$4001,$L$2:$L$4001,$L3308,$F$2:$F$4001,"4")-SUMIFS('AR SALES'!$Y$2:$Y$2501,'AR SALES'!$L$2:$L$2501,$L3308,'AR SALES'!$AD$2:$AD$2501,"OFF"),2)=0,"","STALE")))</f>
        <v/>
      </c>
      <c r="BB3308" s="2" t="str">
        <f>IF(OR(""&amp;$F3308="2",""&amp;$F3308="4",""&amp;$F3308="G",""&amp;$F3308="H"),IF($AY3308="YES","",IF($AB3308&lt;&gt;0,"",IF(COUNTIFS('AR SALES'!$L$2:$L$2501,$L3308,'AR SALES'!$AD$2:$AD$2501,IF(""&amp;$F3308="4","OFF","ON"),'AR SALES'!$AF$2:$AF$2501,"Y")&gt;0,"","NO EXEMPTION"))),"")</f>
        <v/>
      </c>
    </row>
    <row r="3309" spans="46:54" x14ac:dyDescent="0.25">
      <c r="AT3309" s="2" t="str">
        <f>IF($L3309="","",IFERROR(INDEX('AR SALES'!$H$2:$H$2501,MATCH(""&amp;$L3309,'AR SALES'!$AE$2:$AE$2501,0)),""))</f>
        <v/>
      </c>
      <c r="AU3309" s="2" t="str">
        <f t="shared" si="204"/>
        <v/>
      </c>
      <c r="AV3309" s="2" t="str">
        <f t="shared" si="205"/>
        <v/>
      </c>
      <c r="AW3309" s="2" t="str">
        <f t="shared" si="206"/>
        <v/>
      </c>
      <c r="AX3309" s="2" t="str">
        <f t="shared" si="207"/>
        <v/>
      </c>
      <c r="AY3309" s="2" t="str">
        <f>IF($AV3309="","",IF(AND($Z3309=0,COUNTIF('AR SALES'!$L$2:$L$2501,$L3309)=0),"YES",""))</f>
        <v/>
      </c>
      <c r="AZ3309" s="2" t="str">
        <f>IF($AV3309="","",IF(COUNTIF(LISTS!$C$2:$C$250,$AU3309)=0,"NEW",""))</f>
        <v/>
      </c>
      <c r="BA3309" s="2" t="str">
        <f>IF(""&amp;$F3309&lt;&gt;"4","",IF($AY3309="YES","",IF(ROUND(SUMIFS($AE$2:$AE$4001,$L$2:$L$4001,$L3309,$F$2:$F$4001,"4")-SUMIFS('AR SALES'!$Y$2:$Y$2501,'AR SALES'!$L$2:$L$2501,$L3309,'AR SALES'!$AD$2:$AD$2501,"OFF"),2)=0,"","STALE")))</f>
        <v/>
      </c>
      <c r="BB3309" s="2" t="str">
        <f>IF(OR(""&amp;$F3309="2",""&amp;$F3309="4",""&amp;$F3309="G",""&amp;$F3309="H"),IF($AY3309="YES","",IF($AB3309&lt;&gt;0,"",IF(COUNTIFS('AR SALES'!$L$2:$L$2501,$L3309,'AR SALES'!$AD$2:$AD$2501,IF(""&amp;$F3309="4","OFF","ON"),'AR SALES'!$AF$2:$AF$2501,"Y")&gt;0,"","NO EXEMPTION"))),"")</f>
        <v/>
      </c>
    </row>
    <row r="3310" spans="46:54" x14ac:dyDescent="0.25">
      <c r="AT3310" s="2" t="str">
        <f>IF($L3310="","",IFERROR(INDEX('AR SALES'!$H$2:$H$2501,MATCH(""&amp;$L3310,'AR SALES'!$AE$2:$AE$2501,0)),""))</f>
        <v/>
      </c>
      <c r="AU3310" s="2" t="str">
        <f t="shared" si="204"/>
        <v/>
      </c>
      <c r="AV3310" s="2" t="str">
        <f t="shared" si="205"/>
        <v/>
      </c>
      <c r="AW3310" s="2" t="str">
        <f t="shared" si="206"/>
        <v/>
      </c>
      <c r="AX3310" s="2" t="str">
        <f t="shared" si="207"/>
        <v/>
      </c>
      <c r="AY3310" s="2" t="str">
        <f>IF($AV3310="","",IF(AND($Z3310=0,COUNTIF('AR SALES'!$L$2:$L$2501,$L3310)=0),"YES",""))</f>
        <v/>
      </c>
      <c r="AZ3310" s="2" t="str">
        <f>IF($AV3310="","",IF(COUNTIF(LISTS!$C$2:$C$250,$AU3310)=0,"NEW",""))</f>
        <v/>
      </c>
      <c r="BA3310" s="2" t="str">
        <f>IF(""&amp;$F3310&lt;&gt;"4","",IF($AY3310="YES","",IF(ROUND(SUMIFS($AE$2:$AE$4001,$L$2:$L$4001,$L3310,$F$2:$F$4001,"4")-SUMIFS('AR SALES'!$Y$2:$Y$2501,'AR SALES'!$L$2:$L$2501,$L3310,'AR SALES'!$AD$2:$AD$2501,"OFF"),2)=0,"","STALE")))</f>
        <v/>
      </c>
      <c r="BB3310" s="2" t="str">
        <f>IF(OR(""&amp;$F3310="2",""&amp;$F3310="4",""&amp;$F3310="G",""&amp;$F3310="H"),IF($AY3310="YES","",IF($AB3310&lt;&gt;0,"",IF(COUNTIFS('AR SALES'!$L$2:$L$2501,$L3310,'AR SALES'!$AD$2:$AD$2501,IF(""&amp;$F3310="4","OFF","ON"),'AR SALES'!$AF$2:$AF$2501,"Y")&gt;0,"","NO EXEMPTION"))),"")</f>
        <v/>
      </c>
    </row>
    <row r="3311" spans="46:54" x14ac:dyDescent="0.25">
      <c r="AT3311" s="2" t="str">
        <f>IF($L3311="","",IFERROR(INDEX('AR SALES'!$H$2:$H$2501,MATCH(""&amp;$L3311,'AR SALES'!$AE$2:$AE$2501,0)),""))</f>
        <v/>
      </c>
      <c r="AU3311" s="2" t="str">
        <f t="shared" si="204"/>
        <v/>
      </c>
      <c r="AV3311" s="2" t="str">
        <f t="shared" si="205"/>
        <v/>
      </c>
      <c r="AW3311" s="2" t="str">
        <f t="shared" si="206"/>
        <v/>
      </c>
      <c r="AX3311" s="2" t="str">
        <f t="shared" si="207"/>
        <v/>
      </c>
      <c r="AY3311" s="2" t="str">
        <f>IF($AV3311="","",IF(AND($Z3311=0,COUNTIF('AR SALES'!$L$2:$L$2501,$L3311)=0),"YES",""))</f>
        <v/>
      </c>
      <c r="AZ3311" s="2" t="str">
        <f>IF($AV3311="","",IF(COUNTIF(LISTS!$C$2:$C$250,$AU3311)=0,"NEW",""))</f>
        <v/>
      </c>
      <c r="BA3311" s="2" t="str">
        <f>IF(""&amp;$F3311&lt;&gt;"4","",IF($AY3311="YES","",IF(ROUND(SUMIFS($AE$2:$AE$4001,$L$2:$L$4001,$L3311,$F$2:$F$4001,"4")-SUMIFS('AR SALES'!$Y$2:$Y$2501,'AR SALES'!$L$2:$L$2501,$L3311,'AR SALES'!$AD$2:$AD$2501,"OFF"),2)=0,"","STALE")))</f>
        <v/>
      </c>
      <c r="BB3311" s="2" t="str">
        <f>IF(OR(""&amp;$F3311="2",""&amp;$F3311="4",""&amp;$F3311="G",""&amp;$F3311="H"),IF($AY3311="YES","",IF($AB3311&lt;&gt;0,"",IF(COUNTIFS('AR SALES'!$L$2:$L$2501,$L3311,'AR SALES'!$AD$2:$AD$2501,IF(""&amp;$F3311="4","OFF","ON"),'AR SALES'!$AF$2:$AF$2501,"Y")&gt;0,"","NO EXEMPTION"))),"")</f>
        <v/>
      </c>
    </row>
    <row r="3312" spans="46:54" x14ac:dyDescent="0.25">
      <c r="AT3312" s="2" t="str">
        <f>IF($L3312="","",IFERROR(INDEX('AR SALES'!$H$2:$H$2501,MATCH(""&amp;$L3312,'AR SALES'!$AE$2:$AE$2501,0)),""))</f>
        <v/>
      </c>
      <c r="AU3312" s="2" t="str">
        <f t="shared" si="204"/>
        <v/>
      </c>
      <c r="AV3312" s="2" t="str">
        <f t="shared" si="205"/>
        <v/>
      </c>
      <c r="AW3312" s="2" t="str">
        <f t="shared" si="206"/>
        <v/>
      </c>
      <c r="AX3312" s="2" t="str">
        <f t="shared" si="207"/>
        <v/>
      </c>
      <c r="AY3312" s="2" t="str">
        <f>IF($AV3312="","",IF(AND($Z3312=0,COUNTIF('AR SALES'!$L$2:$L$2501,$L3312)=0),"YES",""))</f>
        <v/>
      </c>
      <c r="AZ3312" s="2" t="str">
        <f>IF($AV3312="","",IF(COUNTIF(LISTS!$C$2:$C$250,$AU3312)=0,"NEW",""))</f>
        <v/>
      </c>
      <c r="BA3312" s="2" t="str">
        <f>IF(""&amp;$F3312&lt;&gt;"4","",IF($AY3312="YES","",IF(ROUND(SUMIFS($AE$2:$AE$4001,$L$2:$L$4001,$L3312,$F$2:$F$4001,"4")-SUMIFS('AR SALES'!$Y$2:$Y$2501,'AR SALES'!$L$2:$L$2501,$L3312,'AR SALES'!$AD$2:$AD$2501,"OFF"),2)=0,"","STALE")))</f>
        <v/>
      </c>
      <c r="BB3312" s="2" t="str">
        <f>IF(OR(""&amp;$F3312="2",""&amp;$F3312="4",""&amp;$F3312="G",""&amp;$F3312="H"),IF($AY3312="YES","",IF($AB3312&lt;&gt;0,"",IF(COUNTIFS('AR SALES'!$L$2:$L$2501,$L3312,'AR SALES'!$AD$2:$AD$2501,IF(""&amp;$F3312="4","OFF","ON"),'AR SALES'!$AF$2:$AF$2501,"Y")&gt;0,"","NO EXEMPTION"))),"")</f>
        <v/>
      </c>
    </row>
    <row r="3313" spans="46:54" x14ac:dyDescent="0.25">
      <c r="AT3313" s="2" t="str">
        <f>IF($L3313="","",IFERROR(INDEX('AR SALES'!$H$2:$H$2501,MATCH(""&amp;$L3313,'AR SALES'!$AE$2:$AE$2501,0)),""))</f>
        <v/>
      </c>
      <c r="AU3313" s="2" t="str">
        <f t="shared" si="204"/>
        <v/>
      </c>
      <c r="AV3313" s="2" t="str">
        <f t="shared" si="205"/>
        <v/>
      </c>
      <c r="AW3313" s="2" t="str">
        <f t="shared" si="206"/>
        <v/>
      </c>
      <c r="AX3313" s="2" t="str">
        <f t="shared" si="207"/>
        <v/>
      </c>
      <c r="AY3313" s="2" t="str">
        <f>IF($AV3313="","",IF(AND($Z3313=0,COUNTIF('AR SALES'!$L$2:$L$2501,$L3313)=0),"YES",""))</f>
        <v/>
      </c>
      <c r="AZ3313" s="2" t="str">
        <f>IF($AV3313="","",IF(COUNTIF(LISTS!$C$2:$C$250,$AU3313)=0,"NEW",""))</f>
        <v/>
      </c>
      <c r="BA3313" s="2" t="str">
        <f>IF(""&amp;$F3313&lt;&gt;"4","",IF($AY3313="YES","",IF(ROUND(SUMIFS($AE$2:$AE$4001,$L$2:$L$4001,$L3313,$F$2:$F$4001,"4")-SUMIFS('AR SALES'!$Y$2:$Y$2501,'AR SALES'!$L$2:$L$2501,$L3313,'AR SALES'!$AD$2:$AD$2501,"OFF"),2)=0,"","STALE")))</f>
        <v/>
      </c>
      <c r="BB3313" s="2" t="str">
        <f>IF(OR(""&amp;$F3313="2",""&amp;$F3313="4",""&amp;$F3313="G",""&amp;$F3313="H"),IF($AY3313="YES","",IF($AB3313&lt;&gt;0,"",IF(COUNTIFS('AR SALES'!$L$2:$L$2501,$L3313,'AR SALES'!$AD$2:$AD$2501,IF(""&amp;$F3313="4","OFF","ON"),'AR SALES'!$AF$2:$AF$2501,"Y")&gt;0,"","NO EXEMPTION"))),"")</f>
        <v/>
      </c>
    </row>
    <row r="3314" spans="46:54" x14ac:dyDescent="0.25">
      <c r="AT3314" s="2" t="str">
        <f>IF($L3314="","",IFERROR(INDEX('AR SALES'!$H$2:$H$2501,MATCH(""&amp;$L3314,'AR SALES'!$AE$2:$AE$2501,0)),""))</f>
        <v/>
      </c>
      <c r="AU3314" s="2" t="str">
        <f t="shared" si="204"/>
        <v/>
      </c>
      <c r="AV3314" s="2" t="str">
        <f t="shared" si="205"/>
        <v/>
      </c>
      <c r="AW3314" s="2" t="str">
        <f t="shared" si="206"/>
        <v/>
      </c>
      <c r="AX3314" s="2" t="str">
        <f t="shared" si="207"/>
        <v/>
      </c>
      <c r="AY3314" s="2" t="str">
        <f>IF($AV3314="","",IF(AND($Z3314=0,COUNTIF('AR SALES'!$L$2:$L$2501,$L3314)=0),"YES",""))</f>
        <v/>
      </c>
      <c r="AZ3314" s="2" t="str">
        <f>IF($AV3314="","",IF(COUNTIF(LISTS!$C$2:$C$250,$AU3314)=0,"NEW",""))</f>
        <v/>
      </c>
      <c r="BA3314" s="2" t="str">
        <f>IF(""&amp;$F3314&lt;&gt;"4","",IF($AY3314="YES","",IF(ROUND(SUMIFS($AE$2:$AE$4001,$L$2:$L$4001,$L3314,$F$2:$F$4001,"4")-SUMIFS('AR SALES'!$Y$2:$Y$2501,'AR SALES'!$L$2:$L$2501,$L3314,'AR SALES'!$AD$2:$AD$2501,"OFF"),2)=0,"","STALE")))</f>
        <v/>
      </c>
      <c r="BB3314" s="2" t="str">
        <f>IF(OR(""&amp;$F3314="2",""&amp;$F3314="4",""&amp;$F3314="G",""&amp;$F3314="H"),IF($AY3314="YES","",IF($AB3314&lt;&gt;0,"",IF(COUNTIFS('AR SALES'!$L$2:$L$2501,$L3314,'AR SALES'!$AD$2:$AD$2501,IF(""&amp;$F3314="4","OFF","ON"),'AR SALES'!$AF$2:$AF$2501,"Y")&gt;0,"","NO EXEMPTION"))),"")</f>
        <v/>
      </c>
    </row>
    <row r="3315" spans="46:54" x14ac:dyDescent="0.25">
      <c r="AT3315" s="2" t="str">
        <f>IF($L3315="","",IFERROR(INDEX('AR SALES'!$H$2:$H$2501,MATCH(""&amp;$L3315,'AR SALES'!$AE$2:$AE$2501,0)),""))</f>
        <v/>
      </c>
      <c r="AU3315" s="2" t="str">
        <f t="shared" si="204"/>
        <v/>
      </c>
      <c r="AV3315" s="2" t="str">
        <f t="shared" si="205"/>
        <v/>
      </c>
      <c r="AW3315" s="2" t="str">
        <f t="shared" si="206"/>
        <v/>
      </c>
      <c r="AX3315" s="2" t="str">
        <f t="shared" si="207"/>
        <v/>
      </c>
      <c r="AY3315" s="2" t="str">
        <f>IF($AV3315="","",IF(AND($Z3315=0,COUNTIF('AR SALES'!$L$2:$L$2501,$L3315)=0),"YES",""))</f>
        <v/>
      </c>
      <c r="AZ3315" s="2" t="str">
        <f>IF($AV3315="","",IF(COUNTIF(LISTS!$C$2:$C$250,$AU3315)=0,"NEW",""))</f>
        <v/>
      </c>
      <c r="BA3315" s="2" t="str">
        <f>IF(""&amp;$F3315&lt;&gt;"4","",IF($AY3315="YES","",IF(ROUND(SUMIFS($AE$2:$AE$4001,$L$2:$L$4001,$L3315,$F$2:$F$4001,"4")-SUMIFS('AR SALES'!$Y$2:$Y$2501,'AR SALES'!$L$2:$L$2501,$L3315,'AR SALES'!$AD$2:$AD$2501,"OFF"),2)=0,"","STALE")))</f>
        <v/>
      </c>
      <c r="BB3315" s="2" t="str">
        <f>IF(OR(""&amp;$F3315="2",""&amp;$F3315="4",""&amp;$F3315="G",""&amp;$F3315="H"),IF($AY3315="YES","",IF($AB3315&lt;&gt;0,"",IF(COUNTIFS('AR SALES'!$L$2:$L$2501,$L3315,'AR SALES'!$AD$2:$AD$2501,IF(""&amp;$F3315="4","OFF","ON"),'AR SALES'!$AF$2:$AF$2501,"Y")&gt;0,"","NO EXEMPTION"))),"")</f>
        <v/>
      </c>
    </row>
    <row r="3316" spans="46:54" x14ac:dyDescent="0.25">
      <c r="AT3316" s="2" t="str">
        <f>IF($L3316="","",IFERROR(INDEX('AR SALES'!$H$2:$H$2501,MATCH(""&amp;$L3316,'AR SALES'!$AE$2:$AE$2501,0)),""))</f>
        <v/>
      </c>
      <c r="AU3316" s="2" t="str">
        <f t="shared" si="204"/>
        <v/>
      </c>
      <c r="AV3316" s="2" t="str">
        <f t="shared" si="205"/>
        <v/>
      </c>
      <c r="AW3316" s="2" t="str">
        <f t="shared" si="206"/>
        <v/>
      </c>
      <c r="AX3316" s="2" t="str">
        <f t="shared" si="207"/>
        <v/>
      </c>
      <c r="AY3316" s="2" t="str">
        <f>IF($AV3316="","",IF(AND($Z3316=0,COUNTIF('AR SALES'!$L$2:$L$2501,$L3316)=0),"YES",""))</f>
        <v/>
      </c>
      <c r="AZ3316" s="2" t="str">
        <f>IF($AV3316="","",IF(COUNTIF(LISTS!$C$2:$C$250,$AU3316)=0,"NEW",""))</f>
        <v/>
      </c>
      <c r="BA3316" s="2" t="str">
        <f>IF(""&amp;$F3316&lt;&gt;"4","",IF($AY3316="YES","",IF(ROUND(SUMIFS($AE$2:$AE$4001,$L$2:$L$4001,$L3316,$F$2:$F$4001,"4")-SUMIFS('AR SALES'!$Y$2:$Y$2501,'AR SALES'!$L$2:$L$2501,$L3316,'AR SALES'!$AD$2:$AD$2501,"OFF"),2)=0,"","STALE")))</f>
        <v/>
      </c>
      <c r="BB3316" s="2" t="str">
        <f>IF(OR(""&amp;$F3316="2",""&amp;$F3316="4",""&amp;$F3316="G",""&amp;$F3316="H"),IF($AY3316="YES","",IF($AB3316&lt;&gt;0,"",IF(COUNTIFS('AR SALES'!$L$2:$L$2501,$L3316,'AR SALES'!$AD$2:$AD$2501,IF(""&amp;$F3316="4","OFF","ON"),'AR SALES'!$AF$2:$AF$2501,"Y")&gt;0,"","NO EXEMPTION"))),"")</f>
        <v/>
      </c>
    </row>
    <row r="3317" spans="46:54" x14ac:dyDescent="0.25">
      <c r="AT3317" s="2" t="str">
        <f>IF($L3317="","",IFERROR(INDEX('AR SALES'!$H$2:$H$2501,MATCH(""&amp;$L3317,'AR SALES'!$AE$2:$AE$2501,0)),""))</f>
        <v/>
      </c>
      <c r="AU3317" s="2" t="str">
        <f t="shared" si="204"/>
        <v/>
      </c>
      <c r="AV3317" s="2" t="str">
        <f t="shared" si="205"/>
        <v/>
      </c>
      <c r="AW3317" s="2" t="str">
        <f t="shared" si="206"/>
        <v/>
      </c>
      <c r="AX3317" s="2" t="str">
        <f t="shared" si="207"/>
        <v/>
      </c>
      <c r="AY3317" s="2" t="str">
        <f>IF($AV3317="","",IF(AND($Z3317=0,COUNTIF('AR SALES'!$L$2:$L$2501,$L3317)=0),"YES",""))</f>
        <v/>
      </c>
      <c r="AZ3317" s="2" t="str">
        <f>IF($AV3317="","",IF(COUNTIF(LISTS!$C$2:$C$250,$AU3317)=0,"NEW",""))</f>
        <v/>
      </c>
      <c r="BA3317" s="2" t="str">
        <f>IF(""&amp;$F3317&lt;&gt;"4","",IF($AY3317="YES","",IF(ROUND(SUMIFS($AE$2:$AE$4001,$L$2:$L$4001,$L3317,$F$2:$F$4001,"4")-SUMIFS('AR SALES'!$Y$2:$Y$2501,'AR SALES'!$L$2:$L$2501,$L3317,'AR SALES'!$AD$2:$AD$2501,"OFF"),2)=0,"","STALE")))</f>
        <v/>
      </c>
      <c r="BB3317" s="2" t="str">
        <f>IF(OR(""&amp;$F3317="2",""&amp;$F3317="4",""&amp;$F3317="G",""&amp;$F3317="H"),IF($AY3317="YES","",IF($AB3317&lt;&gt;0,"",IF(COUNTIFS('AR SALES'!$L$2:$L$2501,$L3317,'AR SALES'!$AD$2:$AD$2501,IF(""&amp;$F3317="4","OFF","ON"),'AR SALES'!$AF$2:$AF$2501,"Y")&gt;0,"","NO EXEMPTION"))),"")</f>
        <v/>
      </c>
    </row>
    <row r="3318" spans="46:54" x14ac:dyDescent="0.25">
      <c r="AT3318" s="2" t="str">
        <f>IF($L3318="","",IFERROR(INDEX('AR SALES'!$H$2:$H$2501,MATCH(""&amp;$L3318,'AR SALES'!$AE$2:$AE$2501,0)),""))</f>
        <v/>
      </c>
      <c r="AU3318" s="2" t="str">
        <f t="shared" si="204"/>
        <v/>
      </c>
      <c r="AV3318" s="2" t="str">
        <f t="shared" si="205"/>
        <v/>
      </c>
      <c r="AW3318" s="2" t="str">
        <f t="shared" si="206"/>
        <v/>
      </c>
      <c r="AX3318" s="2" t="str">
        <f t="shared" si="207"/>
        <v/>
      </c>
      <c r="AY3318" s="2" t="str">
        <f>IF($AV3318="","",IF(AND($Z3318=0,COUNTIF('AR SALES'!$L$2:$L$2501,$L3318)=0),"YES",""))</f>
        <v/>
      </c>
      <c r="AZ3318" s="2" t="str">
        <f>IF($AV3318="","",IF(COUNTIF(LISTS!$C$2:$C$250,$AU3318)=0,"NEW",""))</f>
        <v/>
      </c>
      <c r="BA3318" s="2" t="str">
        <f>IF(""&amp;$F3318&lt;&gt;"4","",IF($AY3318="YES","",IF(ROUND(SUMIFS($AE$2:$AE$4001,$L$2:$L$4001,$L3318,$F$2:$F$4001,"4")-SUMIFS('AR SALES'!$Y$2:$Y$2501,'AR SALES'!$L$2:$L$2501,$L3318,'AR SALES'!$AD$2:$AD$2501,"OFF"),2)=0,"","STALE")))</f>
        <v/>
      </c>
      <c r="BB3318" s="2" t="str">
        <f>IF(OR(""&amp;$F3318="2",""&amp;$F3318="4",""&amp;$F3318="G",""&amp;$F3318="H"),IF($AY3318="YES","",IF($AB3318&lt;&gt;0,"",IF(COUNTIFS('AR SALES'!$L$2:$L$2501,$L3318,'AR SALES'!$AD$2:$AD$2501,IF(""&amp;$F3318="4","OFF","ON"),'AR SALES'!$AF$2:$AF$2501,"Y")&gt;0,"","NO EXEMPTION"))),"")</f>
        <v/>
      </c>
    </row>
    <row r="3319" spans="46:54" x14ac:dyDescent="0.25">
      <c r="AT3319" s="2" t="str">
        <f>IF($L3319="","",IFERROR(INDEX('AR SALES'!$H$2:$H$2501,MATCH(""&amp;$L3319,'AR SALES'!$AE$2:$AE$2501,0)),""))</f>
        <v/>
      </c>
      <c r="AU3319" s="2" t="str">
        <f t="shared" si="204"/>
        <v/>
      </c>
      <c r="AV3319" s="2" t="str">
        <f t="shared" si="205"/>
        <v/>
      </c>
      <c r="AW3319" s="2" t="str">
        <f t="shared" si="206"/>
        <v/>
      </c>
      <c r="AX3319" s="2" t="str">
        <f t="shared" si="207"/>
        <v/>
      </c>
      <c r="AY3319" s="2" t="str">
        <f>IF($AV3319="","",IF(AND($Z3319=0,COUNTIF('AR SALES'!$L$2:$L$2501,$L3319)=0),"YES",""))</f>
        <v/>
      </c>
      <c r="AZ3319" s="2" t="str">
        <f>IF($AV3319="","",IF(COUNTIF(LISTS!$C$2:$C$250,$AU3319)=0,"NEW",""))</f>
        <v/>
      </c>
      <c r="BA3319" s="2" t="str">
        <f>IF(""&amp;$F3319&lt;&gt;"4","",IF($AY3319="YES","",IF(ROUND(SUMIFS($AE$2:$AE$4001,$L$2:$L$4001,$L3319,$F$2:$F$4001,"4")-SUMIFS('AR SALES'!$Y$2:$Y$2501,'AR SALES'!$L$2:$L$2501,$L3319,'AR SALES'!$AD$2:$AD$2501,"OFF"),2)=0,"","STALE")))</f>
        <v/>
      </c>
      <c r="BB3319" s="2" t="str">
        <f>IF(OR(""&amp;$F3319="2",""&amp;$F3319="4",""&amp;$F3319="G",""&amp;$F3319="H"),IF($AY3319="YES","",IF($AB3319&lt;&gt;0,"",IF(COUNTIFS('AR SALES'!$L$2:$L$2501,$L3319,'AR SALES'!$AD$2:$AD$2501,IF(""&amp;$F3319="4","OFF","ON"),'AR SALES'!$AF$2:$AF$2501,"Y")&gt;0,"","NO EXEMPTION"))),"")</f>
        <v/>
      </c>
    </row>
    <row r="3320" spans="46:54" x14ac:dyDescent="0.25">
      <c r="AT3320" s="2" t="str">
        <f>IF($L3320="","",IFERROR(INDEX('AR SALES'!$H$2:$H$2501,MATCH(""&amp;$L3320,'AR SALES'!$AE$2:$AE$2501,0)),""))</f>
        <v/>
      </c>
      <c r="AU3320" s="2" t="str">
        <f t="shared" si="204"/>
        <v/>
      </c>
      <c r="AV3320" s="2" t="str">
        <f t="shared" si="205"/>
        <v/>
      </c>
      <c r="AW3320" s="2" t="str">
        <f t="shared" si="206"/>
        <v/>
      </c>
      <c r="AX3320" s="2" t="str">
        <f t="shared" si="207"/>
        <v/>
      </c>
      <c r="AY3320" s="2" t="str">
        <f>IF($AV3320="","",IF(AND($Z3320=0,COUNTIF('AR SALES'!$L$2:$L$2501,$L3320)=0),"YES",""))</f>
        <v/>
      </c>
      <c r="AZ3320" s="2" t="str">
        <f>IF($AV3320="","",IF(COUNTIF(LISTS!$C$2:$C$250,$AU3320)=0,"NEW",""))</f>
        <v/>
      </c>
      <c r="BA3320" s="2" t="str">
        <f>IF(""&amp;$F3320&lt;&gt;"4","",IF($AY3320="YES","",IF(ROUND(SUMIFS($AE$2:$AE$4001,$L$2:$L$4001,$L3320,$F$2:$F$4001,"4")-SUMIFS('AR SALES'!$Y$2:$Y$2501,'AR SALES'!$L$2:$L$2501,$L3320,'AR SALES'!$AD$2:$AD$2501,"OFF"),2)=0,"","STALE")))</f>
        <v/>
      </c>
      <c r="BB3320" s="2" t="str">
        <f>IF(OR(""&amp;$F3320="2",""&amp;$F3320="4",""&amp;$F3320="G",""&amp;$F3320="H"),IF($AY3320="YES","",IF($AB3320&lt;&gt;0,"",IF(COUNTIFS('AR SALES'!$L$2:$L$2501,$L3320,'AR SALES'!$AD$2:$AD$2501,IF(""&amp;$F3320="4","OFF","ON"),'AR SALES'!$AF$2:$AF$2501,"Y")&gt;0,"","NO EXEMPTION"))),"")</f>
        <v/>
      </c>
    </row>
    <row r="3321" spans="46:54" x14ac:dyDescent="0.25">
      <c r="AT3321" s="2" t="str">
        <f>IF($L3321="","",IFERROR(INDEX('AR SALES'!$H$2:$H$2501,MATCH(""&amp;$L3321,'AR SALES'!$AE$2:$AE$2501,0)),""))</f>
        <v/>
      </c>
      <c r="AU3321" s="2" t="str">
        <f t="shared" si="204"/>
        <v/>
      </c>
      <c r="AV3321" s="2" t="str">
        <f t="shared" si="205"/>
        <v/>
      </c>
      <c r="AW3321" s="2" t="str">
        <f t="shared" si="206"/>
        <v/>
      </c>
      <c r="AX3321" s="2" t="str">
        <f t="shared" si="207"/>
        <v/>
      </c>
      <c r="AY3321" s="2" t="str">
        <f>IF($AV3321="","",IF(AND($Z3321=0,COUNTIF('AR SALES'!$L$2:$L$2501,$L3321)=0),"YES",""))</f>
        <v/>
      </c>
      <c r="AZ3321" s="2" t="str">
        <f>IF($AV3321="","",IF(COUNTIF(LISTS!$C$2:$C$250,$AU3321)=0,"NEW",""))</f>
        <v/>
      </c>
      <c r="BA3321" s="2" t="str">
        <f>IF(""&amp;$F3321&lt;&gt;"4","",IF($AY3321="YES","",IF(ROUND(SUMIFS($AE$2:$AE$4001,$L$2:$L$4001,$L3321,$F$2:$F$4001,"4")-SUMIFS('AR SALES'!$Y$2:$Y$2501,'AR SALES'!$L$2:$L$2501,$L3321,'AR SALES'!$AD$2:$AD$2501,"OFF"),2)=0,"","STALE")))</f>
        <v/>
      </c>
      <c r="BB3321" s="2" t="str">
        <f>IF(OR(""&amp;$F3321="2",""&amp;$F3321="4",""&amp;$F3321="G",""&amp;$F3321="H"),IF($AY3321="YES","",IF($AB3321&lt;&gt;0,"",IF(COUNTIFS('AR SALES'!$L$2:$L$2501,$L3321,'AR SALES'!$AD$2:$AD$2501,IF(""&amp;$F3321="4","OFF","ON"),'AR SALES'!$AF$2:$AF$2501,"Y")&gt;0,"","NO EXEMPTION"))),"")</f>
        <v/>
      </c>
    </row>
    <row r="3322" spans="46:54" x14ac:dyDescent="0.25">
      <c r="AT3322" s="2" t="str">
        <f>IF($L3322="","",IFERROR(INDEX('AR SALES'!$H$2:$H$2501,MATCH(""&amp;$L3322,'AR SALES'!$AE$2:$AE$2501,0)),""))</f>
        <v/>
      </c>
      <c r="AU3322" s="2" t="str">
        <f t="shared" si="204"/>
        <v/>
      </c>
      <c r="AV3322" s="2" t="str">
        <f t="shared" si="205"/>
        <v/>
      </c>
      <c r="AW3322" s="2" t="str">
        <f t="shared" si="206"/>
        <v/>
      </c>
      <c r="AX3322" s="2" t="str">
        <f t="shared" si="207"/>
        <v/>
      </c>
      <c r="AY3322" s="2" t="str">
        <f>IF($AV3322="","",IF(AND($Z3322=0,COUNTIF('AR SALES'!$L$2:$L$2501,$L3322)=0),"YES",""))</f>
        <v/>
      </c>
      <c r="AZ3322" s="2" t="str">
        <f>IF($AV3322="","",IF(COUNTIF(LISTS!$C$2:$C$250,$AU3322)=0,"NEW",""))</f>
        <v/>
      </c>
      <c r="BA3322" s="2" t="str">
        <f>IF(""&amp;$F3322&lt;&gt;"4","",IF($AY3322="YES","",IF(ROUND(SUMIFS($AE$2:$AE$4001,$L$2:$L$4001,$L3322,$F$2:$F$4001,"4")-SUMIFS('AR SALES'!$Y$2:$Y$2501,'AR SALES'!$L$2:$L$2501,$L3322,'AR SALES'!$AD$2:$AD$2501,"OFF"),2)=0,"","STALE")))</f>
        <v/>
      </c>
      <c r="BB3322" s="2" t="str">
        <f>IF(OR(""&amp;$F3322="2",""&amp;$F3322="4",""&amp;$F3322="G",""&amp;$F3322="H"),IF($AY3322="YES","",IF($AB3322&lt;&gt;0,"",IF(COUNTIFS('AR SALES'!$L$2:$L$2501,$L3322,'AR SALES'!$AD$2:$AD$2501,IF(""&amp;$F3322="4","OFF","ON"),'AR SALES'!$AF$2:$AF$2501,"Y")&gt;0,"","NO EXEMPTION"))),"")</f>
        <v/>
      </c>
    </row>
    <row r="3323" spans="46:54" x14ac:dyDescent="0.25">
      <c r="AT3323" s="2" t="str">
        <f>IF($L3323="","",IFERROR(INDEX('AR SALES'!$H$2:$H$2501,MATCH(""&amp;$L3323,'AR SALES'!$AE$2:$AE$2501,0)),""))</f>
        <v/>
      </c>
      <c r="AU3323" s="2" t="str">
        <f t="shared" si="204"/>
        <v/>
      </c>
      <c r="AV3323" s="2" t="str">
        <f t="shared" si="205"/>
        <v/>
      </c>
      <c r="AW3323" s="2" t="str">
        <f t="shared" si="206"/>
        <v/>
      </c>
      <c r="AX3323" s="2" t="str">
        <f t="shared" si="207"/>
        <v/>
      </c>
      <c r="AY3323" s="2" t="str">
        <f>IF($AV3323="","",IF(AND($Z3323=0,COUNTIF('AR SALES'!$L$2:$L$2501,$L3323)=0),"YES",""))</f>
        <v/>
      </c>
      <c r="AZ3323" s="2" t="str">
        <f>IF($AV3323="","",IF(COUNTIF(LISTS!$C$2:$C$250,$AU3323)=0,"NEW",""))</f>
        <v/>
      </c>
      <c r="BA3323" s="2" t="str">
        <f>IF(""&amp;$F3323&lt;&gt;"4","",IF($AY3323="YES","",IF(ROUND(SUMIFS($AE$2:$AE$4001,$L$2:$L$4001,$L3323,$F$2:$F$4001,"4")-SUMIFS('AR SALES'!$Y$2:$Y$2501,'AR SALES'!$L$2:$L$2501,$L3323,'AR SALES'!$AD$2:$AD$2501,"OFF"),2)=0,"","STALE")))</f>
        <v/>
      </c>
      <c r="BB3323" s="2" t="str">
        <f>IF(OR(""&amp;$F3323="2",""&amp;$F3323="4",""&amp;$F3323="G",""&amp;$F3323="H"),IF($AY3323="YES","",IF($AB3323&lt;&gt;0,"",IF(COUNTIFS('AR SALES'!$L$2:$L$2501,$L3323,'AR SALES'!$AD$2:$AD$2501,IF(""&amp;$F3323="4","OFF","ON"),'AR SALES'!$AF$2:$AF$2501,"Y")&gt;0,"","NO EXEMPTION"))),"")</f>
        <v/>
      </c>
    </row>
    <row r="3324" spans="46:54" x14ac:dyDescent="0.25">
      <c r="AT3324" s="2" t="str">
        <f>IF($L3324="","",IFERROR(INDEX('AR SALES'!$H$2:$H$2501,MATCH(""&amp;$L3324,'AR SALES'!$AE$2:$AE$2501,0)),""))</f>
        <v/>
      </c>
      <c r="AU3324" s="2" t="str">
        <f t="shared" si="204"/>
        <v/>
      </c>
      <c r="AV3324" s="2" t="str">
        <f t="shared" si="205"/>
        <v/>
      </c>
      <c r="AW3324" s="2" t="str">
        <f t="shared" si="206"/>
        <v/>
      </c>
      <c r="AX3324" s="2" t="str">
        <f t="shared" si="207"/>
        <v/>
      </c>
      <c r="AY3324" s="2" t="str">
        <f>IF($AV3324="","",IF(AND($Z3324=0,COUNTIF('AR SALES'!$L$2:$L$2501,$L3324)=0),"YES",""))</f>
        <v/>
      </c>
      <c r="AZ3324" s="2" t="str">
        <f>IF($AV3324="","",IF(COUNTIF(LISTS!$C$2:$C$250,$AU3324)=0,"NEW",""))</f>
        <v/>
      </c>
      <c r="BA3324" s="2" t="str">
        <f>IF(""&amp;$F3324&lt;&gt;"4","",IF($AY3324="YES","",IF(ROUND(SUMIFS($AE$2:$AE$4001,$L$2:$L$4001,$L3324,$F$2:$F$4001,"4")-SUMIFS('AR SALES'!$Y$2:$Y$2501,'AR SALES'!$L$2:$L$2501,$L3324,'AR SALES'!$AD$2:$AD$2501,"OFF"),2)=0,"","STALE")))</f>
        <v/>
      </c>
      <c r="BB3324" s="2" t="str">
        <f>IF(OR(""&amp;$F3324="2",""&amp;$F3324="4",""&amp;$F3324="G",""&amp;$F3324="H"),IF($AY3324="YES","",IF($AB3324&lt;&gt;0,"",IF(COUNTIFS('AR SALES'!$L$2:$L$2501,$L3324,'AR SALES'!$AD$2:$AD$2501,IF(""&amp;$F3324="4","OFF","ON"),'AR SALES'!$AF$2:$AF$2501,"Y")&gt;0,"","NO EXEMPTION"))),"")</f>
        <v/>
      </c>
    </row>
    <row r="3325" spans="46:54" x14ac:dyDescent="0.25">
      <c r="AT3325" s="2" t="str">
        <f>IF($L3325="","",IFERROR(INDEX('AR SALES'!$H$2:$H$2501,MATCH(""&amp;$L3325,'AR SALES'!$AE$2:$AE$2501,0)),""))</f>
        <v/>
      </c>
      <c r="AU3325" s="2" t="str">
        <f t="shared" si="204"/>
        <v/>
      </c>
      <c r="AV3325" s="2" t="str">
        <f t="shared" si="205"/>
        <v/>
      </c>
      <c r="AW3325" s="2" t="str">
        <f t="shared" si="206"/>
        <v/>
      </c>
      <c r="AX3325" s="2" t="str">
        <f t="shared" si="207"/>
        <v/>
      </c>
      <c r="AY3325" s="2" t="str">
        <f>IF($AV3325="","",IF(AND($Z3325=0,COUNTIF('AR SALES'!$L$2:$L$2501,$L3325)=0),"YES",""))</f>
        <v/>
      </c>
      <c r="AZ3325" s="2" t="str">
        <f>IF($AV3325="","",IF(COUNTIF(LISTS!$C$2:$C$250,$AU3325)=0,"NEW",""))</f>
        <v/>
      </c>
      <c r="BA3325" s="2" t="str">
        <f>IF(""&amp;$F3325&lt;&gt;"4","",IF($AY3325="YES","",IF(ROUND(SUMIFS($AE$2:$AE$4001,$L$2:$L$4001,$L3325,$F$2:$F$4001,"4")-SUMIFS('AR SALES'!$Y$2:$Y$2501,'AR SALES'!$L$2:$L$2501,$L3325,'AR SALES'!$AD$2:$AD$2501,"OFF"),2)=0,"","STALE")))</f>
        <v/>
      </c>
      <c r="BB3325" s="2" t="str">
        <f>IF(OR(""&amp;$F3325="2",""&amp;$F3325="4",""&amp;$F3325="G",""&amp;$F3325="H"),IF($AY3325="YES","",IF($AB3325&lt;&gt;0,"",IF(COUNTIFS('AR SALES'!$L$2:$L$2501,$L3325,'AR SALES'!$AD$2:$AD$2501,IF(""&amp;$F3325="4","OFF","ON"),'AR SALES'!$AF$2:$AF$2501,"Y")&gt;0,"","NO EXEMPTION"))),"")</f>
        <v/>
      </c>
    </row>
    <row r="3326" spans="46:54" x14ac:dyDescent="0.25">
      <c r="AT3326" s="2" t="str">
        <f>IF($L3326="","",IFERROR(INDEX('AR SALES'!$H$2:$H$2501,MATCH(""&amp;$L3326,'AR SALES'!$AE$2:$AE$2501,0)),""))</f>
        <v/>
      </c>
      <c r="AU3326" s="2" t="str">
        <f t="shared" si="204"/>
        <v/>
      </c>
      <c r="AV3326" s="2" t="str">
        <f t="shared" si="205"/>
        <v/>
      </c>
      <c r="AW3326" s="2" t="str">
        <f t="shared" si="206"/>
        <v/>
      </c>
      <c r="AX3326" s="2" t="str">
        <f t="shared" si="207"/>
        <v/>
      </c>
      <c r="AY3326" s="2" t="str">
        <f>IF($AV3326="","",IF(AND($Z3326=0,COUNTIF('AR SALES'!$L$2:$L$2501,$L3326)=0),"YES",""))</f>
        <v/>
      </c>
      <c r="AZ3326" s="2" t="str">
        <f>IF($AV3326="","",IF(COUNTIF(LISTS!$C$2:$C$250,$AU3326)=0,"NEW",""))</f>
        <v/>
      </c>
      <c r="BA3326" s="2" t="str">
        <f>IF(""&amp;$F3326&lt;&gt;"4","",IF($AY3326="YES","",IF(ROUND(SUMIFS($AE$2:$AE$4001,$L$2:$L$4001,$L3326,$F$2:$F$4001,"4")-SUMIFS('AR SALES'!$Y$2:$Y$2501,'AR SALES'!$L$2:$L$2501,$L3326,'AR SALES'!$AD$2:$AD$2501,"OFF"),2)=0,"","STALE")))</f>
        <v/>
      </c>
      <c r="BB3326" s="2" t="str">
        <f>IF(OR(""&amp;$F3326="2",""&amp;$F3326="4",""&amp;$F3326="G",""&amp;$F3326="H"),IF($AY3326="YES","",IF($AB3326&lt;&gt;0,"",IF(COUNTIFS('AR SALES'!$L$2:$L$2501,$L3326,'AR SALES'!$AD$2:$AD$2501,IF(""&amp;$F3326="4","OFF","ON"),'AR SALES'!$AF$2:$AF$2501,"Y")&gt;0,"","NO EXEMPTION"))),"")</f>
        <v/>
      </c>
    </row>
    <row r="3327" spans="46:54" x14ac:dyDescent="0.25">
      <c r="AT3327" s="2" t="str">
        <f>IF($L3327="","",IFERROR(INDEX('AR SALES'!$H$2:$H$2501,MATCH(""&amp;$L3327,'AR SALES'!$AE$2:$AE$2501,0)),""))</f>
        <v/>
      </c>
      <c r="AU3327" s="2" t="str">
        <f t="shared" si="204"/>
        <v/>
      </c>
      <c r="AV3327" s="2" t="str">
        <f t="shared" si="205"/>
        <v/>
      </c>
      <c r="AW3327" s="2" t="str">
        <f t="shared" si="206"/>
        <v/>
      </c>
      <c r="AX3327" s="2" t="str">
        <f t="shared" si="207"/>
        <v/>
      </c>
      <c r="AY3327" s="2" t="str">
        <f>IF($AV3327="","",IF(AND($Z3327=0,COUNTIF('AR SALES'!$L$2:$L$2501,$L3327)=0),"YES",""))</f>
        <v/>
      </c>
      <c r="AZ3327" s="2" t="str">
        <f>IF($AV3327="","",IF(COUNTIF(LISTS!$C$2:$C$250,$AU3327)=0,"NEW",""))</f>
        <v/>
      </c>
      <c r="BA3327" s="2" t="str">
        <f>IF(""&amp;$F3327&lt;&gt;"4","",IF($AY3327="YES","",IF(ROUND(SUMIFS($AE$2:$AE$4001,$L$2:$L$4001,$L3327,$F$2:$F$4001,"4")-SUMIFS('AR SALES'!$Y$2:$Y$2501,'AR SALES'!$L$2:$L$2501,$L3327,'AR SALES'!$AD$2:$AD$2501,"OFF"),2)=0,"","STALE")))</f>
        <v/>
      </c>
      <c r="BB3327" s="2" t="str">
        <f>IF(OR(""&amp;$F3327="2",""&amp;$F3327="4",""&amp;$F3327="G",""&amp;$F3327="H"),IF($AY3327="YES","",IF($AB3327&lt;&gt;0,"",IF(COUNTIFS('AR SALES'!$L$2:$L$2501,$L3327,'AR SALES'!$AD$2:$AD$2501,IF(""&amp;$F3327="4","OFF","ON"),'AR SALES'!$AF$2:$AF$2501,"Y")&gt;0,"","NO EXEMPTION"))),"")</f>
        <v/>
      </c>
    </row>
    <row r="3328" spans="46:54" x14ac:dyDescent="0.25">
      <c r="AT3328" s="2" t="str">
        <f>IF($L3328="","",IFERROR(INDEX('AR SALES'!$H$2:$H$2501,MATCH(""&amp;$L3328,'AR SALES'!$AE$2:$AE$2501,0)),""))</f>
        <v/>
      </c>
      <c r="AU3328" s="2" t="str">
        <f t="shared" si="204"/>
        <v/>
      </c>
      <c r="AV3328" s="2" t="str">
        <f t="shared" si="205"/>
        <v/>
      </c>
      <c r="AW3328" s="2" t="str">
        <f t="shared" si="206"/>
        <v/>
      </c>
      <c r="AX3328" s="2" t="str">
        <f t="shared" si="207"/>
        <v/>
      </c>
      <c r="AY3328" s="2" t="str">
        <f>IF($AV3328="","",IF(AND($Z3328=0,COUNTIF('AR SALES'!$L$2:$L$2501,$L3328)=0),"YES",""))</f>
        <v/>
      </c>
      <c r="AZ3328" s="2" t="str">
        <f>IF($AV3328="","",IF(COUNTIF(LISTS!$C$2:$C$250,$AU3328)=0,"NEW",""))</f>
        <v/>
      </c>
      <c r="BA3328" s="2" t="str">
        <f>IF(""&amp;$F3328&lt;&gt;"4","",IF($AY3328="YES","",IF(ROUND(SUMIFS($AE$2:$AE$4001,$L$2:$L$4001,$L3328,$F$2:$F$4001,"4")-SUMIFS('AR SALES'!$Y$2:$Y$2501,'AR SALES'!$L$2:$L$2501,$L3328,'AR SALES'!$AD$2:$AD$2501,"OFF"),2)=0,"","STALE")))</f>
        <v/>
      </c>
      <c r="BB3328" s="2" t="str">
        <f>IF(OR(""&amp;$F3328="2",""&amp;$F3328="4",""&amp;$F3328="G",""&amp;$F3328="H"),IF($AY3328="YES","",IF($AB3328&lt;&gt;0,"",IF(COUNTIFS('AR SALES'!$L$2:$L$2501,$L3328,'AR SALES'!$AD$2:$AD$2501,IF(""&amp;$F3328="4","OFF","ON"),'AR SALES'!$AF$2:$AF$2501,"Y")&gt;0,"","NO EXEMPTION"))),"")</f>
        <v/>
      </c>
    </row>
    <row r="3329" spans="46:54" x14ac:dyDescent="0.25">
      <c r="AT3329" s="2" t="str">
        <f>IF($L3329="","",IFERROR(INDEX('AR SALES'!$H$2:$H$2501,MATCH(""&amp;$L3329,'AR SALES'!$AE$2:$AE$2501,0)),""))</f>
        <v/>
      </c>
      <c r="AU3329" s="2" t="str">
        <f t="shared" si="204"/>
        <v/>
      </c>
      <c r="AV3329" s="2" t="str">
        <f t="shared" si="205"/>
        <v/>
      </c>
      <c r="AW3329" s="2" t="str">
        <f t="shared" si="206"/>
        <v/>
      </c>
      <c r="AX3329" s="2" t="str">
        <f t="shared" si="207"/>
        <v/>
      </c>
      <c r="AY3329" s="2" t="str">
        <f>IF($AV3329="","",IF(AND($Z3329=0,COUNTIF('AR SALES'!$L$2:$L$2501,$L3329)=0),"YES",""))</f>
        <v/>
      </c>
      <c r="AZ3329" s="2" t="str">
        <f>IF($AV3329="","",IF(COUNTIF(LISTS!$C$2:$C$250,$AU3329)=0,"NEW",""))</f>
        <v/>
      </c>
      <c r="BA3329" s="2" t="str">
        <f>IF(""&amp;$F3329&lt;&gt;"4","",IF($AY3329="YES","",IF(ROUND(SUMIFS($AE$2:$AE$4001,$L$2:$L$4001,$L3329,$F$2:$F$4001,"4")-SUMIFS('AR SALES'!$Y$2:$Y$2501,'AR SALES'!$L$2:$L$2501,$L3329,'AR SALES'!$AD$2:$AD$2501,"OFF"),2)=0,"","STALE")))</f>
        <v/>
      </c>
      <c r="BB3329" s="2" t="str">
        <f>IF(OR(""&amp;$F3329="2",""&amp;$F3329="4",""&amp;$F3329="G",""&amp;$F3329="H"),IF($AY3329="YES","",IF($AB3329&lt;&gt;0,"",IF(COUNTIFS('AR SALES'!$L$2:$L$2501,$L3329,'AR SALES'!$AD$2:$AD$2501,IF(""&amp;$F3329="4","OFF","ON"),'AR SALES'!$AF$2:$AF$2501,"Y")&gt;0,"","NO EXEMPTION"))),"")</f>
        <v/>
      </c>
    </row>
    <row r="3330" spans="46:54" x14ac:dyDescent="0.25">
      <c r="AT3330" s="2" t="str">
        <f>IF($L3330="","",IFERROR(INDEX('AR SALES'!$H$2:$H$2501,MATCH(""&amp;$L3330,'AR SALES'!$AE$2:$AE$2501,0)),""))</f>
        <v/>
      </c>
      <c r="AU3330" s="2" t="str">
        <f t="shared" ref="AU3330:AU3393" si="208">IF($L3330="","",IF($A3330&lt;&gt;"GA","",IF($E3330="FULTON",IF(ISNUMBER(SEARCH("COLLEGE PARK",$AT3330)),"FULTON (COLLEGE PARK)",IF(ISNUMBER(SEARCH("ATLANTA CITY",$AT3330)),"FULTON (ATL LIMITS)","FULTON")),IF($E3330="DEKALB",IF(ISNUMBER(SEARCH("ATLANTA CITY",$AT3330)),"DEKALB (ATL LIMITS)","DEKALB"),$E3330))))</f>
        <v/>
      </c>
      <c r="AV3330" s="2" t="str">
        <f t="shared" ref="AV3330:AV3393" si="209">IF($L3330="","",IF(""&amp;$F3330="2","DIESEL",IF(OR(""&amp;$F3330="G",""&amp;$F3330="H"),"GAS","")))</f>
        <v/>
      </c>
      <c r="AW3330" s="2" t="str">
        <f t="shared" ref="AW3330:AW3393" si="210">IF($AV3330="","",$R3330)</f>
        <v/>
      </c>
      <c r="AX3330" s="2" t="str">
        <f t="shared" ref="AX3330:AX3393" si="211">IF($AV3330="","",IF($AB3330=0,$R3330,0))</f>
        <v/>
      </c>
      <c r="AY3330" s="2" t="str">
        <f>IF($AV3330="","",IF(AND($Z3330=0,COUNTIF('AR SALES'!$L$2:$L$2501,$L3330)=0),"YES",""))</f>
        <v/>
      </c>
      <c r="AZ3330" s="2" t="str">
        <f>IF($AV3330="","",IF(COUNTIF(LISTS!$C$2:$C$250,$AU3330)=0,"NEW",""))</f>
        <v/>
      </c>
      <c r="BA3330" s="2" t="str">
        <f>IF(""&amp;$F3330&lt;&gt;"4","",IF($AY3330="YES","",IF(ROUND(SUMIFS($AE$2:$AE$4001,$L$2:$L$4001,$L3330,$F$2:$F$4001,"4")-SUMIFS('AR SALES'!$Y$2:$Y$2501,'AR SALES'!$L$2:$L$2501,$L3330,'AR SALES'!$AD$2:$AD$2501,"OFF"),2)=0,"","STALE")))</f>
        <v/>
      </c>
      <c r="BB3330" s="2" t="str">
        <f>IF(OR(""&amp;$F3330="2",""&amp;$F3330="4",""&amp;$F3330="G",""&amp;$F3330="H"),IF($AY3330="YES","",IF($AB3330&lt;&gt;0,"",IF(COUNTIFS('AR SALES'!$L$2:$L$2501,$L3330,'AR SALES'!$AD$2:$AD$2501,IF(""&amp;$F3330="4","OFF","ON"),'AR SALES'!$AF$2:$AF$2501,"Y")&gt;0,"","NO EXEMPTION"))),"")</f>
        <v/>
      </c>
    </row>
    <row r="3331" spans="46:54" x14ac:dyDescent="0.25">
      <c r="AT3331" s="2" t="str">
        <f>IF($L3331="","",IFERROR(INDEX('AR SALES'!$H$2:$H$2501,MATCH(""&amp;$L3331,'AR SALES'!$AE$2:$AE$2501,0)),""))</f>
        <v/>
      </c>
      <c r="AU3331" s="2" t="str">
        <f t="shared" si="208"/>
        <v/>
      </c>
      <c r="AV3331" s="2" t="str">
        <f t="shared" si="209"/>
        <v/>
      </c>
      <c r="AW3331" s="2" t="str">
        <f t="shared" si="210"/>
        <v/>
      </c>
      <c r="AX3331" s="2" t="str">
        <f t="shared" si="211"/>
        <v/>
      </c>
      <c r="AY3331" s="2" t="str">
        <f>IF($AV3331="","",IF(AND($Z3331=0,COUNTIF('AR SALES'!$L$2:$L$2501,$L3331)=0),"YES",""))</f>
        <v/>
      </c>
      <c r="AZ3331" s="2" t="str">
        <f>IF($AV3331="","",IF(COUNTIF(LISTS!$C$2:$C$250,$AU3331)=0,"NEW",""))</f>
        <v/>
      </c>
      <c r="BA3331" s="2" t="str">
        <f>IF(""&amp;$F3331&lt;&gt;"4","",IF($AY3331="YES","",IF(ROUND(SUMIFS($AE$2:$AE$4001,$L$2:$L$4001,$L3331,$F$2:$F$4001,"4")-SUMIFS('AR SALES'!$Y$2:$Y$2501,'AR SALES'!$L$2:$L$2501,$L3331,'AR SALES'!$AD$2:$AD$2501,"OFF"),2)=0,"","STALE")))</f>
        <v/>
      </c>
      <c r="BB3331" s="2" t="str">
        <f>IF(OR(""&amp;$F3331="2",""&amp;$F3331="4",""&amp;$F3331="G",""&amp;$F3331="H"),IF($AY3331="YES","",IF($AB3331&lt;&gt;0,"",IF(COUNTIFS('AR SALES'!$L$2:$L$2501,$L3331,'AR SALES'!$AD$2:$AD$2501,IF(""&amp;$F3331="4","OFF","ON"),'AR SALES'!$AF$2:$AF$2501,"Y")&gt;0,"","NO EXEMPTION"))),"")</f>
        <v/>
      </c>
    </row>
    <row r="3332" spans="46:54" x14ac:dyDescent="0.25">
      <c r="AT3332" s="2" t="str">
        <f>IF($L3332="","",IFERROR(INDEX('AR SALES'!$H$2:$H$2501,MATCH(""&amp;$L3332,'AR SALES'!$AE$2:$AE$2501,0)),""))</f>
        <v/>
      </c>
      <c r="AU3332" s="2" t="str">
        <f t="shared" si="208"/>
        <v/>
      </c>
      <c r="AV3332" s="2" t="str">
        <f t="shared" si="209"/>
        <v/>
      </c>
      <c r="AW3332" s="2" t="str">
        <f t="shared" si="210"/>
        <v/>
      </c>
      <c r="AX3332" s="2" t="str">
        <f t="shared" si="211"/>
        <v/>
      </c>
      <c r="AY3332" s="2" t="str">
        <f>IF($AV3332="","",IF(AND($Z3332=0,COUNTIF('AR SALES'!$L$2:$L$2501,$L3332)=0),"YES",""))</f>
        <v/>
      </c>
      <c r="AZ3332" s="2" t="str">
        <f>IF($AV3332="","",IF(COUNTIF(LISTS!$C$2:$C$250,$AU3332)=0,"NEW",""))</f>
        <v/>
      </c>
      <c r="BA3332" s="2" t="str">
        <f>IF(""&amp;$F3332&lt;&gt;"4","",IF($AY3332="YES","",IF(ROUND(SUMIFS($AE$2:$AE$4001,$L$2:$L$4001,$L3332,$F$2:$F$4001,"4")-SUMIFS('AR SALES'!$Y$2:$Y$2501,'AR SALES'!$L$2:$L$2501,$L3332,'AR SALES'!$AD$2:$AD$2501,"OFF"),2)=0,"","STALE")))</f>
        <v/>
      </c>
      <c r="BB3332" s="2" t="str">
        <f>IF(OR(""&amp;$F3332="2",""&amp;$F3332="4",""&amp;$F3332="G",""&amp;$F3332="H"),IF($AY3332="YES","",IF($AB3332&lt;&gt;0,"",IF(COUNTIFS('AR SALES'!$L$2:$L$2501,$L3332,'AR SALES'!$AD$2:$AD$2501,IF(""&amp;$F3332="4","OFF","ON"),'AR SALES'!$AF$2:$AF$2501,"Y")&gt;0,"","NO EXEMPTION"))),"")</f>
        <v/>
      </c>
    </row>
    <row r="3333" spans="46:54" x14ac:dyDescent="0.25">
      <c r="AT3333" s="2" t="str">
        <f>IF($L3333="","",IFERROR(INDEX('AR SALES'!$H$2:$H$2501,MATCH(""&amp;$L3333,'AR SALES'!$AE$2:$AE$2501,0)),""))</f>
        <v/>
      </c>
      <c r="AU3333" s="2" t="str">
        <f t="shared" si="208"/>
        <v/>
      </c>
      <c r="AV3333" s="2" t="str">
        <f t="shared" si="209"/>
        <v/>
      </c>
      <c r="AW3333" s="2" t="str">
        <f t="shared" si="210"/>
        <v/>
      </c>
      <c r="AX3333" s="2" t="str">
        <f t="shared" si="211"/>
        <v/>
      </c>
      <c r="AY3333" s="2" t="str">
        <f>IF($AV3333="","",IF(AND($Z3333=0,COUNTIF('AR SALES'!$L$2:$L$2501,$L3333)=0),"YES",""))</f>
        <v/>
      </c>
      <c r="AZ3333" s="2" t="str">
        <f>IF($AV3333="","",IF(COUNTIF(LISTS!$C$2:$C$250,$AU3333)=0,"NEW",""))</f>
        <v/>
      </c>
      <c r="BA3333" s="2" t="str">
        <f>IF(""&amp;$F3333&lt;&gt;"4","",IF($AY3333="YES","",IF(ROUND(SUMIFS($AE$2:$AE$4001,$L$2:$L$4001,$L3333,$F$2:$F$4001,"4")-SUMIFS('AR SALES'!$Y$2:$Y$2501,'AR SALES'!$L$2:$L$2501,$L3333,'AR SALES'!$AD$2:$AD$2501,"OFF"),2)=0,"","STALE")))</f>
        <v/>
      </c>
      <c r="BB3333" s="2" t="str">
        <f>IF(OR(""&amp;$F3333="2",""&amp;$F3333="4",""&amp;$F3333="G",""&amp;$F3333="H"),IF($AY3333="YES","",IF($AB3333&lt;&gt;0,"",IF(COUNTIFS('AR SALES'!$L$2:$L$2501,$L3333,'AR SALES'!$AD$2:$AD$2501,IF(""&amp;$F3333="4","OFF","ON"),'AR SALES'!$AF$2:$AF$2501,"Y")&gt;0,"","NO EXEMPTION"))),"")</f>
        <v/>
      </c>
    </row>
    <row r="3334" spans="46:54" x14ac:dyDescent="0.25">
      <c r="AT3334" s="2" t="str">
        <f>IF($L3334="","",IFERROR(INDEX('AR SALES'!$H$2:$H$2501,MATCH(""&amp;$L3334,'AR SALES'!$AE$2:$AE$2501,0)),""))</f>
        <v/>
      </c>
      <c r="AU3334" s="2" t="str">
        <f t="shared" si="208"/>
        <v/>
      </c>
      <c r="AV3334" s="2" t="str">
        <f t="shared" si="209"/>
        <v/>
      </c>
      <c r="AW3334" s="2" t="str">
        <f t="shared" si="210"/>
        <v/>
      </c>
      <c r="AX3334" s="2" t="str">
        <f t="shared" si="211"/>
        <v/>
      </c>
      <c r="AY3334" s="2" t="str">
        <f>IF($AV3334="","",IF(AND($Z3334=0,COUNTIF('AR SALES'!$L$2:$L$2501,$L3334)=0),"YES",""))</f>
        <v/>
      </c>
      <c r="AZ3334" s="2" t="str">
        <f>IF($AV3334="","",IF(COUNTIF(LISTS!$C$2:$C$250,$AU3334)=0,"NEW",""))</f>
        <v/>
      </c>
      <c r="BA3334" s="2" t="str">
        <f>IF(""&amp;$F3334&lt;&gt;"4","",IF($AY3334="YES","",IF(ROUND(SUMIFS($AE$2:$AE$4001,$L$2:$L$4001,$L3334,$F$2:$F$4001,"4")-SUMIFS('AR SALES'!$Y$2:$Y$2501,'AR SALES'!$L$2:$L$2501,$L3334,'AR SALES'!$AD$2:$AD$2501,"OFF"),2)=0,"","STALE")))</f>
        <v/>
      </c>
      <c r="BB3334" s="2" t="str">
        <f>IF(OR(""&amp;$F3334="2",""&amp;$F3334="4",""&amp;$F3334="G",""&amp;$F3334="H"),IF($AY3334="YES","",IF($AB3334&lt;&gt;0,"",IF(COUNTIFS('AR SALES'!$L$2:$L$2501,$L3334,'AR SALES'!$AD$2:$AD$2501,IF(""&amp;$F3334="4","OFF","ON"),'AR SALES'!$AF$2:$AF$2501,"Y")&gt;0,"","NO EXEMPTION"))),"")</f>
        <v/>
      </c>
    </row>
    <row r="3335" spans="46:54" x14ac:dyDescent="0.25">
      <c r="AT3335" s="2" t="str">
        <f>IF($L3335="","",IFERROR(INDEX('AR SALES'!$H$2:$H$2501,MATCH(""&amp;$L3335,'AR SALES'!$AE$2:$AE$2501,0)),""))</f>
        <v/>
      </c>
      <c r="AU3335" s="2" t="str">
        <f t="shared" si="208"/>
        <v/>
      </c>
      <c r="AV3335" s="2" t="str">
        <f t="shared" si="209"/>
        <v/>
      </c>
      <c r="AW3335" s="2" t="str">
        <f t="shared" si="210"/>
        <v/>
      </c>
      <c r="AX3335" s="2" t="str">
        <f t="shared" si="211"/>
        <v/>
      </c>
      <c r="AY3335" s="2" t="str">
        <f>IF($AV3335="","",IF(AND($Z3335=0,COUNTIF('AR SALES'!$L$2:$L$2501,$L3335)=0),"YES",""))</f>
        <v/>
      </c>
      <c r="AZ3335" s="2" t="str">
        <f>IF($AV3335="","",IF(COUNTIF(LISTS!$C$2:$C$250,$AU3335)=0,"NEW",""))</f>
        <v/>
      </c>
      <c r="BA3335" s="2" t="str">
        <f>IF(""&amp;$F3335&lt;&gt;"4","",IF($AY3335="YES","",IF(ROUND(SUMIFS($AE$2:$AE$4001,$L$2:$L$4001,$L3335,$F$2:$F$4001,"4")-SUMIFS('AR SALES'!$Y$2:$Y$2501,'AR SALES'!$L$2:$L$2501,$L3335,'AR SALES'!$AD$2:$AD$2501,"OFF"),2)=0,"","STALE")))</f>
        <v/>
      </c>
      <c r="BB3335" s="2" t="str">
        <f>IF(OR(""&amp;$F3335="2",""&amp;$F3335="4",""&amp;$F3335="G",""&amp;$F3335="H"),IF($AY3335="YES","",IF($AB3335&lt;&gt;0,"",IF(COUNTIFS('AR SALES'!$L$2:$L$2501,$L3335,'AR SALES'!$AD$2:$AD$2501,IF(""&amp;$F3335="4","OFF","ON"),'AR SALES'!$AF$2:$AF$2501,"Y")&gt;0,"","NO EXEMPTION"))),"")</f>
        <v/>
      </c>
    </row>
    <row r="3336" spans="46:54" x14ac:dyDescent="0.25">
      <c r="AT3336" s="2" t="str">
        <f>IF($L3336="","",IFERROR(INDEX('AR SALES'!$H$2:$H$2501,MATCH(""&amp;$L3336,'AR SALES'!$AE$2:$AE$2501,0)),""))</f>
        <v/>
      </c>
      <c r="AU3336" s="2" t="str">
        <f t="shared" si="208"/>
        <v/>
      </c>
      <c r="AV3336" s="2" t="str">
        <f t="shared" si="209"/>
        <v/>
      </c>
      <c r="AW3336" s="2" t="str">
        <f t="shared" si="210"/>
        <v/>
      </c>
      <c r="AX3336" s="2" t="str">
        <f t="shared" si="211"/>
        <v/>
      </c>
      <c r="AY3336" s="2" t="str">
        <f>IF($AV3336="","",IF(AND($Z3336=0,COUNTIF('AR SALES'!$L$2:$L$2501,$L3336)=0),"YES",""))</f>
        <v/>
      </c>
      <c r="AZ3336" s="2" t="str">
        <f>IF($AV3336="","",IF(COUNTIF(LISTS!$C$2:$C$250,$AU3336)=0,"NEW",""))</f>
        <v/>
      </c>
      <c r="BA3336" s="2" t="str">
        <f>IF(""&amp;$F3336&lt;&gt;"4","",IF($AY3336="YES","",IF(ROUND(SUMIFS($AE$2:$AE$4001,$L$2:$L$4001,$L3336,$F$2:$F$4001,"4")-SUMIFS('AR SALES'!$Y$2:$Y$2501,'AR SALES'!$L$2:$L$2501,$L3336,'AR SALES'!$AD$2:$AD$2501,"OFF"),2)=0,"","STALE")))</f>
        <v/>
      </c>
      <c r="BB3336" s="2" t="str">
        <f>IF(OR(""&amp;$F3336="2",""&amp;$F3336="4",""&amp;$F3336="G",""&amp;$F3336="H"),IF($AY3336="YES","",IF($AB3336&lt;&gt;0,"",IF(COUNTIFS('AR SALES'!$L$2:$L$2501,$L3336,'AR SALES'!$AD$2:$AD$2501,IF(""&amp;$F3336="4","OFF","ON"),'AR SALES'!$AF$2:$AF$2501,"Y")&gt;0,"","NO EXEMPTION"))),"")</f>
        <v/>
      </c>
    </row>
    <row r="3337" spans="46:54" x14ac:dyDescent="0.25">
      <c r="AT3337" s="2" t="str">
        <f>IF($L3337="","",IFERROR(INDEX('AR SALES'!$H$2:$H$2501,MATCH(""&amp;$L3337,'AR SALES'!$AE$2:$AE$2501,0)),""))</f>
        <v/>
      </c>
      <c r="AU3337" s="2" t="str">
        <f t="shared" si="208"/>
        <v/>
      </c>
      <c r="AV3337" s="2" t="str">
        <f t="shared" si="209"/>
        <v/>
      </c>
      <c r="AW3337" s="2" t="str">
        <f t="shared" si="210"/>
        <v/>
      </c>
      <c r="AX3337" s="2" t="str">
        <f t="shared" si="211"/>
        <v/>
      </c>
      <c r="AY3337" s="2" t="str">
        <f>IF($AV3337="","",IF(AND($Z3337=0,COUNTIF('AR SALES'!$L$2:$L$2501,$L3337)=0),"YES",""))</f>
        <v/>
      </c>
      <c r="AZ3337" s="2" t="str">
        <f>IF($AV3337="","",IF(COUNTIF(LISTS!$C$2:$C$250,$AU3337)=0,"NEW",""))</f>
        <v/>
      </c>
      <c r="BA3337" s="2" t="str">
        <f>IF(""&amp;$F3337&lt;&gt;"4","",IF($AY3337="YES","",IF(ROUND(SUMIFS($AE$2:$AE$4001,$L$2:$L$4001,$L3337,$F$2:$F$4001,"4")-SUMIFS('AR SALES'!$Y$2:$Y$2501,'AR SALES'!$L$2:$L$2501,$L3337,'AR SALES'!$AD$2:$AD$2501,"OFF"),2)=0,"","STALE")))</f>
        <v/>
      </c>
      <c r="BB3337" s="2" t="str">
        <f>IF(OR(""&amp;$F3337="2",""&amp;$F3337="4",""&amp;$F3337="G",""&amp;$F3337="H"),IF($AY3337="YES","",IF($AB3337&lt;&gt;0,"",IF(COUNTIFS('AR SALES'!$L$2:$L$2501,$L3337,'AR SALES'!$AD$2:$AD$2501,IF(""&amp;$F3337="4","OFF","ON"),'AR SALES'!$AF$2:$AF$2501,"Y")&gt;0,"","NO EXEMPTION"))),"")</f>
        <v/>
      </c>
    </row>
    <row r="3338" spans="46:54" x14ac:dyDescent="0.25">
      <c r="AT3338" s="2" t="str">
        <f>IF($L3338="","",IFERROR(INDEX('AR SALES'!$H$2:$H$2501,MATCH(""&amp;$L3338,'AR SALES'!$AE$2:$AE$2501,0)),""))</f>
        <v/>
      </c>
      <c r="AU3338" s="2" t="str">
        <f t="shared" si="208"/>
        <v/>
      </c>
      <c r="AV3338" s="2" t="str">
        <f t="shared" si="209"/>
        <v/>
      </c>
      <c r="AW3338" s="2" t="str">
        <f t="shared" si="210"/>
        <v/>
      </c>
      <c r="AX3338" s="2" t="str">
        <f t="shared" si="211"/>
        <v/>
      </c>
      <c r="AY3338" s="2" t="str">
        <f>IF($AV3338="","",IF(AND($Z3338=0,COUNTIF('AR SALES'!$L$2:$L$2501,$L3338)=0),"YES",""))</f>
        <v/>
      </c>
      <c r="AZ3338" s="2" t="str">
        <f>IF($AV3338="","",IF(COUNTIF(LISTS!$C$2:$C$250,$AU3338)=0,"NEW",""))</f>
        <v/>
      </c>
      <c r="BA3338" s="2" t="str">
        <f>IF(""&amp;$F3338&lt;&gt;"4","",IF($AY3338="YES","",IF(ROUND(SUMIFS($AE$2:$AE$4001,$L$2:$L$4001,$L3338,$F$2:$F$4001,"4")-SUMIFS('AR SALES'!$Y$2:$Y$2501,'AR SALES'!$L$2:$L$2501,$L3338,'AR SALES'!$AD$2:$AD$2501,"OFF"),2)=0,"","STALE")))</f>
        <v/>
      </c>
      <c r="BB3338" s="2" t="str">
        <f>IF(OR(""&amp;$F3338="2",""&amp;$F3338="4",""&amp;$F3338="G",""&amp;$F3338="H"),IF($AY3338="YES","",IF($AB3338&lt;&gt;0,"",IF(COUNTIFS('AR SALES'!$L$2:$L$2501,$L3338,'AR SALES'!$AD$2:$AD$2501,IF(""&amp;$F3338="4","OFF","ON"),'AR SALES'!$AF$2:$AF$2501,"Y")&gt;0,"","NO EXEMPTION"))),"")</f>
        <v/>
      </c>
    </row>
    <row r="3339" spans="46:54" x14ac:dyDescent="0.25">
      <c r="AT3339" s="2" t="str">
        <f>IF($L3339="","",IFERROR(INDEX('AR SALES'!$H$2:$H$2501,MATCH(""&amp;$L3339,'AR SALES'!$AE$2:$AE$2501,0)),""))</f>
        <v/>
      </c>
      <c r="AU3339" s="2" t="str">
        <f t="shared" si="208"/>
        <v/>
      </c>
      <c r="AV3339" s="2" t="str">
        <f t="shared" si="209"/>
        <v/>
      </c>
      <c r="AW3339" s="2" t="str">
        <f t="shared" si="210"/>
        <v/>
      </c>
      <c r="AX3339" s="2" t="str">
        <f t="shared" si="211"/>
        <v/>
      </c>
      <c r="AY3339" s="2" t="str">
        <f>IF($AV3339="","",IF(AND($Z3339=0,COUNTIF('AR SALES'!$L$2:$L$2501,$L3339)=0),"YES",""))</f>
        <v/>
      </c>
      <c r="AZ3339" s="2" t="str">
        <f>IF($AV3339="","",IF(COUNTIF(LISTS!$C$2:$C$250,$AU3339)=0,"NEW",""))</f>
        <v/>
      </c>
      <c r="BA3339" s="2" t="str">
        <f>IF(""&amp;$F3339&lt;&gt;"4","",IF($AY3339="YES","",IF(ROUND(SUMIFS($AE$2:$AE$4001,$L$2:$L$4001,$L3339,$F$2:$F$4001,"4")-SUMIFS('AR SALES'!$Y$2:$Y$2501,'AR SALES'!$L$2:$L$2501,$L3339,'AR SALES'!$AD$2:$AD$2501,"OFF"),2)=0,"","STALE")))</f>
        <v/>
      </c>
      <c r="BB3339" s="2" t="str">
        <f>IF(OR(""&amp;$F3339="2",""&amp;$F3339="4",""&amp;$F3339="G",""&amp;$F3339="H"),IF($AY3339="YES","",IF($AB3339&lt;&gt;0,"",IF(COUNTIFS('AR SALES'!$L$2:$L$2501,$L3339,'AR SALES'!$AD$2:$AD$2501,IF(""&amp;$F3339="4","OFF","ON"),'AR SALES'!$AF$2:$AF$2501,"Y")&gt;0,"","NO EXEMPTION"))),"")</f>
        <v/>
      </c>
    </row>
    <row r="3340" spans="46:54" x14ac:dyDescent="0.25">
      <c r="AT3340" s="2" t="str">
        <f>IF($L3340="","",IFERROR(INDEX('AR SALES'!$H$2:$H$2501,MATCH(""&amp;$L3340,'AR SALES'!$AE$2:$AE$2501,0)),""))</f>
        <v/>
      </c>
      <c r="AU3340" s="2" t="str">
        <f t="shared" si="208"/>
        <v/>
      </c>
      <c r="AV3340" s="2" t="str">
        <f t="shared" si="209"/>
        <v/>
      </c>
      <c r="AW3340" s="2" t="str">
        <f t="shared" si="210"/>
        <v/>
      </c>
      <c r="AX3340" s="2" t="str">
        <f t="shared" si="211"/>
        <v/>
      </c>
      <c r="AY3340" s="2" t="str">
        <f>IF($AV3340="","",IF(AND($Z3340=0,COUNTIF('AR SALES'!$L$2:$L$2501,$L3340)=0),"YES",""))</f>
        <v/>
      </c>
      <c r="AZ3340" s="2" t="str">
        <f>IF($AV3340="","",IF(COUNTIF(LISTS!$C$2:$C$250,$AU3340)=0,"NEW",""))</f>
        <v/>
      </c>
      <c r="BA3340" s="2" t="str">
        <f>IF(""&amp;$F3340&lt;&gt;"4","",IF($AY3340="YES","",IF(ROUND(SUMIFS($AE$2:$AE$4001,$L$2:$L$4001,$L3340,$F$2:$F$4001,"4")-SUMIFS('AR SALES'!$Y$2:$Y$2501,'AR SALES'!$L$2:$L$2501,$L3340,'AR SALES'!$AD$2:$AD$2501,"OFF"),2)=0,"","STALE")))</f>
        <v/>
      </c>
      <c r="BB3340" s="2" t="str">
        <f>IF(OR(""&amp;$F3340="2",""&amp;$F3340="4",""&amp;$F3340="G",""&amp;$F3340="H"),IF($AY3340="YES","",IF($AB3340&lt;&gt;0,"",IF(COUNTIFS('AR SALES'!$L$2:$L$2501,$L3340,'AR SALES'!$AD$2:$AD$2501,IF(""&amp;$F3340="4","OFF","ON"),'AR SALES'!$AF$2:$AF$2501,"Y")&gt;0,"","NO EXEMPTION"))),"")</f>
        <v/>
      </c>
    </row>
    <row r="3341" spans="46:54" x14ac:dyDescent="0.25">
      <c r="AT3341" s="2" t="str">
        <f>IF($L3341="","",IFERROR(INDEX('AR SALES'!$H$2:$H$2501,MATCH(""&amp;$L3341,'AR SALES'!$AE$2:$AE$2501,0)),""))</f>
        <v/>
      </c>
      <c r="AU3341" s="2" t="str">
        <f t="shared" si="208"/>
        <v/>
      </c>
      <c r="AV3341" s="2" t="str">
        <f t="shared" si="209"/>
        <v/>
      </c>
      <c r="AW3341" s="2" t="str">
        <f t="shared" si="210"/>
        <v/>
      </c>
      <c r="AX3341" s="2" t="str">
        <f t="shared" si="211"/>
        <v/>
      </c>
      <c r="AY3341" s="2" t="str">
        <f>IF($AV3341="","",IF(AND($Z3341=0,COUNTIF('AR SALES'!$L$2:$L$2501,$L3341)=0),"YES",""))</f>
        <v/>
      </c>
      <c r="AZ3341" s="2" t="str">
        <f>IF($AV3341="","",IF(COUNTIF(LISTS!$C$2:$C$250,$AU3341)=0,"NEW",""))</f>
        <v/>
      </c>
      <c r="BA3341" s="2" t="str">
        <f>IF(""&amp;$F3341&lt;&gt;"4","",IF($AY3341="YES","",IF(ROUND(SUMIFS($AE$2:$AE$4001,$L$2:$L$4001,$L3341,$F$2:$F$4001,"4")-SUMIFS('AR SALES'!$Y$2:$Y$2501,'AR SALES'!$L$2:$L$2501,$L3341,'AR SALES'!$AD$2:$AD$2501,"OFF"),2)=0,"","STALE")))</f>
        <v/>
      </c>
      <c r="BB3341" s="2" t="str">
        <f>IF(OR(""&amp;$F3341="2",""&amp;$F3341="4",""&amp;$F3341="G",""&amp;$F3341="H"),IF($AY3341="YES","",IF($AB3341&lt;&gt;0,"",IF(COUNTIFS('AR SALES'!$L$2:$L$2501,$L3341,'AR SALES'!$AD$2:$AD$2501,IF(""&amp;$F3341="4","OFF","ON"),'AR SALES'!$AF$2:$AF$2501,"Y")&gt;0,"","NO EXEMPTION"))),"")</f>
        <v/>
      </c>
    </row>
    <row r="3342" spans="46:54" x14ac:dyDescent="0.25">
      <c r="AT3342" s="2" t="str">
        <f>IF($L3342="","",IFERROR(INDEX('AR SALES'!$H$2:$H$2501,MATCH(""&amp;$L3342,'AR SALES'!$AE$2:$AE$2501,0)),""))</f>
        <v/>
      </c>
      <c r="AU3342" s="2" t="str">
        <f t="shared" si="208"/>
        <v/>
      </c>
      <c r="AV3342" s="2" t="str">
        <f t="shared" si="209"/>
        <v/>
      </c>
      <c r="AW3342" s="2" t="str">
        <f t="shared" si="210"/>
        <v/>
      </c>
      <c r="AX3342" s="2" t="str">
        <f t="shared" si="211"/>
        <v/>
      </c>
      <c r="AY3342" s="2" t="str">
        <f>IF($AV3342="","",IF(AND($Z3342=0,COUNTIF('AR SALES'!$L$2:$L$2501,$L3342)=0),"YES",""))</f>
        <v/>
      </c>
      <c r="AZ3342" s="2" t="str">
        <f>IF($AV3342="","",IF(COUNTIF(LISTS!$C$2:$C$250,$AU3342)=0,"NEW",""))</f>
        <v/>
      </c>
      <c r="BA3342" s="2" t="str">
        <f>IF(""&amp;$F3342&lt;&gt;"4","",IF($AY3342="YES","",IF(ROUND(SUMIFS($AE$2:$AE$4001,$L$2:$L$4001,$L3342,$F$2:$F$4001,"4")-SUMIFS('AR SALES'!$Y$2:$Y$2501,'AR SALES'!$L$2:$L$2501,$L3342,'AR SALES'!$AD$2:$AD$2501,"OFF"),2)=0,"","STALE")))</f>
        <v/>
      </c>
      <c r="BB3342" s="2" t="str">
        <f>IF(OR(""&amp;$F3342="2",""&amp;$F3342="4",""&amp;$F3342="G",""&amp;$F3342="H"),IF($AY3342="YES","",IF($AB3342&lt;&gt;0,"",IF(COUNTIFS('AR SALES'!$L$2:$L$2501,$L3342,'AR SALES'!$AD$2:$AD$2501,IF(""&amp;$F3342="4","OFF","ON"),'AR SALES'!$AF$2:$AF$2501,"Y")&gt;0,"","NO EXEMPTION"))),"")</f>
        <v/>
      </c>
    </row>
    <row r="3343" spans="46:54" x14ac:dyDescent="0.25">
      <c r="AT3343" s="2" t="str">
        <f>IF($L3343="","",IFERROR(INDEX('AR SALES'!$H$2:$H$2501,MATCH(""&amp;$L3343,'AR SALES'!$AE$2:$AE$2501,0)),""))</f>
        <v/>
      </c>
      <c r="AU3343" s="2" t="str">
        <f t="shared" si="208"/>
        <v/>
      </c>
      <c r="AV3343" s="2" t="str">
        <f t="shared" si="209"/>
        <v/>
      </c>
      <c r="AW3343" s="2" t="str">
        <f t="shared" si="210"/>
        <v/>
      </c>
      <c r="AX3343" s="2" t="str">
        <f t="shared" si="211"/>
        <v/>
      </c>
      <c r="AY3343" s="2" t="str">
        <f>IF($AV3343="","",IF(AND($Z3343=0,COUNTIF('AR SALES'!$L$2:$L$2501,$L3343)=0),"YES",""))</f>
        <v/>
      </c>
      <c r="AZ3343" s="2" t="str">
        <f>IF($AV3343="","",IF(COUNTIF(LISTS!$C$2:$C$250,$AU3343)=0,"NEW",""))</f>
        <v/>
      </c>
      <c r="BA3343" s="2" t="str">
        <f>IF(""&amp;$F3343&lt;&gt;"4","",IF($AY3343="YES","",IF(ROUND(SUMIFS($AE$2:$AE$4001,$L$2:$L$4001,$L3343,$F$2:$F$4001,"4")-SUMIFS('AR SALES'!$Y$2:$Y$2501,'AR SALES'!$L$2:$L$2501,$L3343,'AR SALES'!$AD$2:$AD$2501,"OFF"),2)=0,"","STALE")))</f>
        <v/>
      </c>
      <c r="BB3343" s="2" t="str">
        <f>IF(OR(""&amp;$F3343="2",""&amp;$F3343="4",""&amp;$F3343="G",""&amp;$F3343="H"),IF($AY3343="YES","",IF($AB3343&lt;&gt;0,"",IF(COUNTIFS('AR SALES'!$L$2:$L$2501,$L3343,'AR SALES'!$AD$2:$AD$2501,IF(""&amp;$F3343="4","OFF","ON"),'AR SALES'!$AF$2:$AF$2501,"Y")&gt;0,"","NO EXEMPTION"))),"")</f>
        <v/>
      </c>
    </row>
    <row r="3344" spans="46:54" x14ac:dyDescent="0.25">
      <c r="AT3344" s="2" t="str">
        <f>IF($L3344="","",IFERROR(INDEX('AR SALES'!$H$2:$H$2501,MATCH(""&amp;$L3344,'AR SALES'!$AE$2:$AE$2501,0)),""))</f>
        <v/>
      </c>
      <c r="AU3344" s="2" t="str">
        <f t="shared" si="208"/>
        <v/>
      </c>
      <c r="AV3344" s="2" t="str">
        <f t="shared" si="209"/>
        <v/>
      </c>
      <c r="AW3344" s="2" t="str">
        <f t="shared" si="210"/>
        <v/>
      </c>
      <c r="AX3344" s="2" t="str">
        <f t="shared" si="211"/>
        <v/>
      </c>
      <c r="AY3344" s="2" t="str">
        <f>IF($AV3344="","",IF(AND($Z3344=0,COUNTIF('AR SALES'!$L$2:$L$2501,$L3344)=0),"YES",""))</f>
        <v/>
      </c>
      <c r="AZ3344" s="2" t="str">
        <f>IF($AV3344="","",IF(COUNTIF(LISTS!$C$2:$C$250,$AU3344)=0,"NEW",""))</f>
        <v/>
      </c>
      <c r="BA3344" s="2" t="str">
        <f>IF(""&amp;$F3344&lt;&gt;"4","",IF($AY3344="YES","",IF(ROUND(SUMIFS($AE$2:$AE$4001,$L$2:$L$4001,$L3344,$F$2:$F$4001,"4")-SUMIFS('AR SALES'!$Y$2:$Y$2501,'AR SALES'!$L$2:$L$2501,$L3344,'AR SALES'!$AD$2:$AD$2501,"OFF"),2)=0,"","STALE")))</f>
        <v/>
      </c>
      <c r="BB3344" s="2" t="str">
        <f>IF(OR(""&amp;$F3344="2",""&amp;$F3344="4",""&amp;$F3344="G",""&amp;$F3344="H"),IF($AY3344="YES","",IF($AB3344&lt;&gt;0,"",IF(COUNTIFS('AR SALES'!$L$2:$L$2501,$L3344,'AR SALES'!$AD$2:$AD$2501,IF(""&amp;$F3344="4","OFF","ON"),'AR SALES'!$AF$2:$AF$2501,"Y")&gt;0,"","NO EXEMPTION"))),"")</f>
        <v/>
      </c>
    </row>
    <row r="3345" spans="46:54" x14ac:dyDescent="0.25">
      <c r="AT3345" s="2" t="str">
        <f>IF($L3345="","",IFERROR(INDEX('AR SALES'!$H$2:$H$2501,MATCH(""&amp;$L3345,'AR SALES'!$AE$2:$AE$2501,0)),""))</f>
        <v/>
      </c>
      <c r="AU3345" s="2" t="str">
        <f t="shared" si="208"/>
        <v/>
      </c>
      <c r="AV3345" s="2" t="str">
        <f t="shared" si="209"/>
        <v/>
      </c>
      <c r="AW3345" s="2" t="str">
        <f t="shared" si="210"/>
        <v/>
      </c>
      <c r="AX3345" s="2" t="str">
        <f t="shared" si="211"/>
        <v/>
      </c>
      <c r="AY3345" s="2" t="str">
        <f>IF($AV3345="","",IF(AND($Z3345=0,COUNTIF('AR SALES'!$L$2:$L$2501,$L3345)=0),"YES",""))</f>
        <v/>
      </c>
      <c r="AZ3345" s="2" t="str">
        <f>IF($AV3345="","",IF(COUNTIF(LISTS!$C$2:$C$250,$AU3345)=0,"NEW",""))</f>
        <v/>
      </c>
      <c r="BA3345" s="2" t="str">
        <f>IF(""&amp;$F3345&lt;&gt;"4","",IF($AY3345="YES","",IF(ROUND(SUMIFS($AE$2:$AE$4001,$L$2:$L$4001,$L3345,$F$2:$F$4001,"4")-SUMIFS('AR SALES'!$Y$2:$Y$2501,'AR SALES'!$L$2:$L$2501,$L3345,'AR SALES'!$AD$2:$AD$2501,"OFF"),2)=0,"","STALE")))</f>
        <v/>
      </c>
      <c r="BB3345" s="2" t="str">
        <f>IF(OR(""&amp;$F3345="2",""&amp;$F3345="4",""&amp;$F3345="G",""&amp;$F3345="H"),IF($AY3345="YES","",IF($AB3345&lt;&gt;0,"",IF(COUNTIFS('AR SALES'!$L$2:$L$2501,$L3345,'AR SALES'!$AD$2:$AD$2501,IF(""&amp;$F3345="4","OFF","ON"),'AR SALES'!$AF$2:$AF$2501,"Y")&gt;0,"","NO EXEMPTION"))),"")</f>
        <v/>
      </c>
    </row>
    <row r="3346" spans="46:54" x14ac:dyDescent="0.25">
      <c r="AT3346" s="2" t="str">
        <f>IF($L3346="","",IFERROR(INDEX('AR SALES'!$H$2:$H$2501,MATCH(""&amp;$L3346,'AR SALES'!$AE$2:$AE$2501,0)),""))</f>
        <v/>
      </c>
      <c r="AU3346" s="2" t="str">
        <f t="shared" si="208"/>
        <v/>
      </c>
      <c r="AV3346" s="2" t="str">
        <f t="shared" si="209"/>
        <v/>
      </c>
      <c r="AW3346" s="2" t="str">
        <f t="shared" si="210"/>
        <v/>
      </c>
      <c r="AX3346" s="2" t="str">
        <f t="shared" si="211"/>
        <v/>
      </c>
      <c r="AY3346" s="2" t="str">
        <f>IF($AV3346="","",IF(AND($Z3346=0,COUNTIF('AR SALES'!$L$2:$L$2501,$L3346)=0),"YES",""))</f>
        <v/>
      </c>
      <c r="AZ3346" s="2" t="str">
        <f>IF($AV3346="","",IF(COUNTIF(LISTS!$C$2:$C$250,$AU3346)=0,"NEW",""))</f>
        <v/>
      </c>
      <c r="BA3346" s="2" t="str">
        <f>IF(""&amp;$F3346&lt;&gt;"4","",IF($AY3346="YES","",IF(ROUND(SUMIFS($AE$2:$AE$4001,$L$2:$L$4001,$L3346,$F$2:$F$4001,"4")-SUMIFS('AR SALES'!$Y$2:$Y$2501,'AR SALES'!$L$2:$L$2501,$L3346,'AR SALES'!$AD$2:$AD$2501,"OFF"),2)=0,"","STALE")))</f>
        <v/>
      </c>
      <c r="BB3346" s="2" t="str">
        <f>IF(OR(""&amp;$F3346="2",""&amp;$F3346="4",""&amp;$F3346="G",""&amp;$F3346="H"),IF($AY3346="YES","",IF($AB3346&lt;&gt;0,"",IF(COUNTIFS('AR SALES'!$L$2:$L$2501,$L3346,'AR SALES'!$AD$2:$AD$2501,IF(""&amp;$F3346="4","OFF","ON"),'AR SALES'!$AF$2:$AF$2501,"Y")&gt;0,"","NO EXEMPTION"))),"")</f>
        <v/>
      </c>
    </row>
    <row r="3347" spans="46:54" x14ac:dyDescent="0.25">
      <c r="AT3347" s="2" t="str">
        <f>IF($L3347="","",IFERROR(INDEX('AR SALES'!$H$2:$H$2501,MATCH(""&amp;$L3347,'AR SALES'!$AE$2:$AE$2501,0)),""))</f>
        <v/>
      </c>
      <c r="AU3347" s="2" t="str">
        <f t="shared" si="208"/>
        <v/>
      </c>
      <c r="AV3347" s="2" t="str">
        <f t="shared" si="209"/>
        <v/>
      </c>
      <c r="AW3347" s="2" t="str">
        <f t="shared" si="210"/>
        <v/>
      </c>
      <c r="AX3347" s="2" t="str">
        <f t="shared" si="211"/>
        <v/>
      </c>
      <c r="AY3347" s="2" t="str">
        <f>IF($AV3347="","",IF(AND($Z3347=0,COUNTIF('AR SALES'!$L$2:$L$2501,$L3347)=0),"YES",""))</f>
        <v/>
      </c>
      <c r="AZ3347" s="2" t="str">
        <f>IF($AV3347="","",IF(COUNTIF(LISTS!$C$2:$C$250,$AU3347)=0,"NEW",""))</f>
        <v/>
      </c>
      <c r="BA3347" s="2" t="str">
        <f>IF(""&amp;$F3347&lt;&gt;"4","",IF($AY3347="YES","",IF(ROUND(SUMIFS($AE$2:$AE$4001,$L$2:$L$4001,$L3347,$F$2:$F$4001,"4")-SUMIFS('AR SALES'!$Y$2:$Y$2501,'AR SALES'!$L$2:$L$2501,$L3347,'AR SALES'!$AD$2:$AD$2501,"OFF"),2)=0,"","STALE")))</f>
        <v/>
      </c>
      <c r="BB3347" s="2" t="str">
        <f>IF(OR(""&amp;$F3347="2",""&amp;$F3347="4",""&amp;$F3347="G",""&amp;$F3347="H"),IF($AY3347="YES","",IF($AB3347&lt;&gt;0,"",IF(COUNTIFS('AR SALES'!$L$2:$L$2501,$L3347,'AR SALES'!$AD$2:$AD$2501,IF(""&amp;$F3347="4","OFF","ON"),'AR SALES'!$AF$2:$AF$2501,"Y")&gt;0,"","NO EXEMPTION"))),"")</f>
        <v/>
      </c>
    </row>
    <row r="3348" spans="46:54" x14ac:dyDescent="0.25">
      <c r="AT3348" s="2" t="str">
        <f>IF($L3348="","",IFERROR(INDEX('AR SALES'!$H$2:$H$2501,MATCH(""&amp;$L3348,'AR SALES'!$AE$2:$AE$2501,0)),""))</f>
        <v/>
      </c>
      <c r="AU3348" s="2" t="str">
        <f t="shared" si="208"/>
        <v/>
      </c>
      <c r="AV3348" s="2" t="str">
        <f t="shared" si="209"/>
        <v/>
      </c>
      <c r="AW3348" s="2" t="str">
        <f t="shared" si="210"/>
        <v/>
      </c>
      <c r="AX3348" s="2" t="str">
        <f t="shared" si="211"/>
        <v/>
      </c>
      <c r="AY3348" s="2" t="str">
        <f>IF($AV3348="","",IF(AND($Z3348=0,COUNTIF('AR SALES'!$L$2:$L$2501,$L3348)=0),"YES",""))</f>
        <v/>
      </c>
      <c r="AZ3348" s="2" t="str">
        <f>IF($AV3348="","",IF(COUNTIF(LISTS!$C$2:$C$250,$AU3348)=0,"NEW",""))</f>
        <v/>
      </c>
      <c r="BA3348" s="2" t="str">
        <f>IF(""&amp;$F3348&lt;&gt;"4","",IF($AY3348="YES","",IF(ROUND(SUMIFS($AE$2:$AE$4001,$L$2:$L$4001,$L3348,$F$2:$F$4001,"4")-SUMIFS('AR SALES'!$Y$2:$Y$2501,'AR SALES'!$L$2:$L$2501,$L3348,'AR SALES'!$AD$2:$AD$2501,"OFF"),2)=0,"","STALE")))</f>
        <v/>
      </c>
      <c r="BB3348" s="2" t="str">
        <f>IF(OR(""&amp;$F3348="2",""&amp;$F3348="4",""&amp;$F3348="G",""&amp;$F3348="H"),IF($AY3348="YES","",IF($AB3348&lt;&gt;0,"",IF(COUNTIFS('AR SALES'!$L$2:$L$2501,$L3348,'AR SALES'!$AD$2:$AD$2501,IF(""&amp;$F3348="4","OFF","ON"),'AR SALES'!$AF$2:$AF$2501,"Y")&gt;0,"","NO EXEMPTION"))),"")</f>
        <v/>
      </c>
    </row>
    <row r="3349" spans="46:54" x14ac:dyDescent="0.25">
      <c r="AT3349" s="2" t="str">
        <f>IF($L3349="","",IFERROR(INDEX('AR SALES'!$H$2:$H$2501,MATCH(""&amp;$L3349,'AR SALES'!$AE$2:$AE$2501,0)),""))</f>
        <v/>
      </c>
      <c r="AU3349" s="2" t="str">
        <f t="shared" si="208"/>
        <v/>
      </c>
      <c r="AV3349" s="2" t="str">
        <f t="shared" si="209"/>
        <v/>
      </c>
      <c r="AW3349" s="2" t="str">
        <f t="shared" si="210"/>
        <v/>
      </c>
      <c r="AX3349" s="2" t="str">
        <f t="shared" si="211"/>
        <v/>
      </c>
      <c r="AY3349" s="2" t="str">
        <f>IF($AV3349="","",IF(AND($Z3349=0,COUNTIF('AR SALES'!$L$2:$L$2501,$L3349)=0),"YES",""))</f>
        <v/>
      </c>
      <c r="AZ3349" s="2" t="str">
        <f>IF($AV3349="","",IF(COUNTIF(LISTS!$C$2:$C$250,$AU3349)=0,"NEW",""))</f>
        <v/>
      </c>
      <c r="BA3349" s="2" t="str">
        <f>IF(""&amp;$F3349&lt;&gt;"4","",IF($AY3349="YES","",IF(ROUND(SUMIFS($AE$2:$AE$4001,$L$2:$L$4001,$L3349,$F$2:$F$4001,"4")-SUMIFS('AR SALES'!$Y$2:$Y$2501,'AR SALES'!$L$2:$L$2501,$L3349,'AR SALES'!$AD$2:$AD$2501,"OFF"),2)=0,"","STALE")))</f>
        <v/>
      </c>
      <c r="BB3349" s="2" t="str">
        <f>IF(OR(""&amp;$F3349="2",""&amp;$F3349="4",""&amp;$F3349="G",""&amp;$F3349="H"),IF($AY3349="YES","",IF($AB3349&lt;&gt;0,"",IF(COUNTIFS('AR SALES'!$L$2:$L$2501,$L3349,'AR SALES'!$AD$2:$AD$2501,IF(""&amp;$F3349="4","OFF","ON"),'AR SALES'!$AF$2:$AF$2501,"Y")&gt;0,"","NO EXEMPTION"))),"")</f>
        <v/>
      </c>
    </row>
    <row r="3350" spans="46:54" x14ac:dyDescent="0.25">
      <c r="AT3350" s="2" t="str">
        <f>IF($L3350="","",IFERROR(INDEX('AR SALES'!$H$2:$H$2501,MATCH(""&amp;$L3350,'AR SALES'!$AE$2:$AE$2501,0)),""))</f>
        <v/>
      </c>
      <c r="AU3350" s="2" t="str">
        <f t="shared" si="208"/>
        <v/>
      </c>
      <c r="AV3350" s="2" t="str">
        <f t="shared" si="209"/>
        <v/>
      </c>
      <c r="AW3350" s="2" t="str">
        <f t="shared" si="210"/>
        <v/>
      </c>
      <c r="AX3350" s="2" t="str">
        <f t="shared" si="211"/>
        <v/>
      </c>
      <c r="AY3350" s="2" t="str">
        <f>IF($AV3350="","",IF(AND($Z3350=0,COUNTIF('AR SALES'!$L$2:$L$2501,$L3350)=0),"YES",""))</f>
        <v/>
      </c>
      <c r="AZ3350" s="2" t="str">
        <f>IF($AV3350="","",IF(COUNTIF(LISTS!$C$2:$C$250,$AU3350)=0,"NEW",""))</f>
        <v/>
      </c>
      <c r="BA3350" s="2" t="str">
        <f>IF(""&amp;$F3350&lt;&gt;"4","",IF($AY3350="YES","",IF(ROUND(SUMIFS($AE$2:$AE$4001,$L$2:$L$4001,$L3350,$F$2:$F$4001,"4")-SUMIFS('AR SALES'!$Y$2:$Y$2501,'AR SALES'!$L$2:$L$2501,$L3350,'AR SALES'!$AD$2:$AD$2501,"OFF"),2)=0,"","STALE")))</f>
        <v/>
      </c>
      <c r="BB3350" s="2" t="str">
        <f>IF(OR(""&amp;$F3350="2",""&amp;$F3350="4",""&amp;$F3350="G",""&amp;$F3350="H"),IF($AY3350="YES","",IF($AB3350&lt;&gt;0,"",IF(COUNTIFS('AR SALES'!$L$2:$L$2501,$L3350,'AR SALES'!$AD$2:$AD$2501,IF(""&amp;$F3350="4","OFF","ON"),'AR SALES'!$AF$2:$AF$2501,"Y")&gt;0,"","NO EXEMPTION"))),"")</f>
        <v/>
      </c>
    </row>
    <row r="3351" spans="46:54" x14ac:dyDescent="0.25">
      <c r="AT3351" s="2" t="str">
        <f>IF($L3351="","",IFERROR(INDEX('AR SALES'!$H$2:$H$2501,MATCH(""&amp;$L3351,'AR SALES'!$AE$2:$AE$2501,0)),""))</f>
        <v/>
      </c>
      <c r="AU3351" s="2" t="str">
        <f t="shared" si="208"/>
        <v/>
      </c>
      <c r="AV3351" s="2" t="str">
        <f t="shared" si="209"/>
        <v/>
      </c>
      <c r="AW3351" s="2" t="str">
        <f t="shared" si="210"/>
        <v/>
      </c>
      <c r="AX3351" s="2" t="str">
        <f t="shared" si="211"/>
        <v/>
      </c>
      <c r="AY3351" s="2" t="str">
        <f>IF($AV3351="","",IF(AND($Z3351=0,COUNTIF('AR SALES'!$L$2:$L$2501,$L3351)=0),"YES",""))</f>
        <v/>
      </c>
      <c r="AZ3351" s="2" t="str">
        <f>IF($AV3351="","",IF(COUNTIF(LISTS!$C$2:$C$250,$AU3351)=0,"NEW",""))</f>
        <v/>
      </c>
      <c r="BA3351" s="2" t="str">
        <f>IF(""&amp;$F3351&lt;&gt;"4","",IF($AY3351="YES","",IF(ROUND(SUMIFS($AE$2:$AE$4001,$L$2:$L$4001,$L3351,$F$2:$F$4001,"4")-SUMIFS('AR SALES'!$Y$2:$Y$2501,'AR SALES'!$L$2:$L$2501,$L3351,'AR SALES'!$AD$2:$AD$2501,"OFF"),2)=0,"","STALE")))</f>
        <v/>
      </c>
      <c r="BB3351" s="2" t="str">
        <f>IF(OR(""&amp;$F3351="2",""&amp;$F3351="4",""&amp;$F3351="G",""&amp;$F3351="H"),IF($AY3351="YES","",IF($AB3351&lt;&gt;0,"",IF(COUNTIFS('AR SALES'!$L$2:$L$2501,$L3351,'AR SALES'!$AD$2:$AD$2501,IF(""&amp;$F3351="4","OFF","ON"),'AR SALES'!$AF$2:$AF$2501,"Y")&gt;0,"","NO EXEMPTION"))),"")</f>
        <v/>
      </c>
    </row>
    <row r="3352" spans="46:54" x14ac:dyDescent="0.25">
      <c r="AT3352" s="2" t="str">
        <f>IF($L3352="","",IFERROR(INDEX('AR SALES'!$H$2:$H$2501,MATCH(""&amp;$L3352,'AR SALES'!$AE$2:$AE$2501,0)),""))</f>
        <v/>
      </c>
      <c r="AU3352" s="2" t="str">
        <f t="shared" si="208"/>
        <v/>
      </c>
      <c r="AV3352" s="2" t="str">
        <f t="shared" si="209"/>
        <v/>
      </c>
      <c r="AW3352" s="2" t="str">
        <f t="shared" si="210"/>
        <v/>
      </c>
      <c r="AX3352" s="2" t="str">
        <f t="shared" si="211"/>
        <v/>
      </c>
      <c r="AY3352" s="2" t="str">
        <f>IF($AV3352="","",IF(AND($Z3352=0,COUNTIF('AR SALES'!$L$2:$L$2501,$L3352)=0),"YES",""))</f>
        <v/>
      </c>
      <c r="AZ3352" s="2" t="str">
        <f>IF($AV3352="","",IF(COUNTIF(LISTS!$C$2:$C$250,$AU3352)=0,"NEW",""))</f>
        <v/>
      </c>
      <c r="BA3352" s="2" t="str">
        <f>IF(""&amp;$F3352&lt;&gt;"4","",IF($AY3352="YES","",IF(ROUND(SUMIFS($AE$2:$AE$4001,$L$2:$L$4001,$L3352,$F$2:$F$4001,"4")-SUMIFS('AR SALES'!$Y$2:$Y$2501,'AR SALES'!$L$2:$L$2501,$L3352,'AR SALES'!$AD$2:$AD$2501,"OFF"),2)=0,"","STALE")))</f>
        <v/>
      </c>
      <c r="BB3352" s="2" t="str">
        <f>IF(OR(""&amp;$F3352="2",""&amp;$F3352="4",""&amp;$F3352="G",""&amp;$F3352="H"),IF($AY3352="YES","",IF($AB3352&lt;&gt;0,"",IF(COUNTIFS('AR SALES'!$L$2:$L$2501,$L3352,'AR SALES'!$AD$2:$AD$2501,IF(""&amp;$F3352="4","OFF","ON"),'AR SALES'!$AF$2:$AF$2501,"Y")&gt;0,"","NO EXEMPTION"))),"")</f>
        <v/>
      </c>
    </row>
    <row r="3353" spans="46:54" x14ac:dyDescent="0.25">
      <c r="AT3353" s="2" t="str">
        <f>IF($L3353="","",IFERROR(INDEX('AR SALES'!$H$2:$H$2501,MATCH(""&amp;$L3353,'AR SALES'!$AE$2:$AE$2501,0)),""))</f>
        <v/>
      </c>
      <c r="AU3353" s="2" t="str">
        <f t="shared" si="208"/>
        <v/>
      </c>
      <c r="AV3353" s="2" t="str">
        <f t="shared" si="209"/>
        <v/>
      </c>
      <c r="AW3353" s="2" t="str">
        <f t="shared" si="210"/>
        <v/>
      </c>
      <c r="AX3353" s="2" t="str">
        <f t="shared" si="211"/>
        <v/>
      </c>
      <c r="AY3353" s="2" t="str">
        <f>IF($AV3353="","",IF(AND($Z3353=0,COUNTIF('AR SALES'!$L$2:$L$2501,$L3353)=0),"YES",""))</f>
        <v/>
      </c>
      <c r="AZ3353" s="2" t="str">
        <f>IF($AV3353="","",IF(COUNTIF(LISTS!$C$2:$C$250,$AU3353)=0,"NEW",""))</f>
        <v/>
      </c>
      <c r="BA3353" s="2" t="str">
        <f>IF(""&amp;$F3353&lt;&gt;"4","",IF($AY3353="YES","",IF(ROUND(SUMIFS($AE$2:$AE$4001,$L$2:$L$4001,$L3353,$F$2:$F$4001,"4")-SUMIFS('AR SALES'!$Y$2:$Y$2501,'AR SALES'!$L$2:$L$2501,$L3353,'AR SALES'!$AD$2:$AD$2501,"OFF"),2)=0,"","STALE")))</f>
        <v/>
      </c>
      <c r="BB3353" s="2" t="str">
        <f>IF(OR(""&amp;$F3353="2",""&amp;$F3353="4",""&amp;$F3353="G",""&amp;$F3353="H"),IF($AY3353="YES","",IF($AB3353&lt;&gt;0,"",IF(COUNTIFS('AR SALES'!$L$2:$L$2501,$L3353,'AR SALES'!$AD$2:$AD$2501,IF(""&amp;$F3353="4","OFF","ON"),'AR SALES'!$AF$2:$AF$2501,"Y")&gt;0,"","NO EXEMPTION"))),"")</f>
        <v/>
      </c>
    </row>
    <row r="3354" spans="46:54" x14ac:dyDescent="0.25">
      <c r="AT3354" s="2" t="str">
        <f>IF($L3354="","",IFERROR(INDEX('AR SALES'!$H$2:$H$2501,MATCH(""&amp;$L3354,'AR SALES'!$AE$2:$AE$2501,0)),""))</f>
        <v/>
      </c>
      <c r="AU3354" s="2" t="str">
        <f t="shared" si="208"/>
        <v/>
      </c>
      <c r="AV3354" s="2" t="str">
        <f t="shared" si="209"/>
        <v/>
      </c>
      <c r="AW3354" s="2" t="str">
        <f t="shared" si="210"/>
        <v/>
      </c>
      <c r="AX3354" s="2" t="str">
        <f t="shared" si="211"/>
        <v/>
      </c>
      <c r="AY3354" s="2" t="str">
        <f>IF($AV3354="","",IF(AND($Z3354=0,COUNTIF('AR SALES'!$L$2:$L$2501,$L3354)=0),"YES",""))</f>
        <v/>
      </c>
      <c r="AZ3354" s="2" t="str">
        <f>IF($AV3354="","",IF(COUNTIF(LISTS!$C$2:$C$250,$AU3354)=0,"NEW",""))</f>
        <v/>
      </c>
      <c r="BA3354" s="2" t="str">
        <f>IF(""&amp;$F3354&lt;&gt;"4","",IF($AY3354="YES","",IF(ROUND(SUMIFS($AE$2:$AE$4001,$L$2:$L$4001,$L3354,$F$2:$F$4001,"4")-SUMIFS('AR SALES'!$Y$2:$Y$2501,'AR SALES'!$L$2:$L$2501,$L3354,'AR SALES'!$AD$2:$AD$2501,"OFF"),2)=0,"","STALE")))</f>
        <v/>
      </c>
      <c r="BB3354" s="2" t="str">
        <f>IF(OR(""&amp;$F3354="2",""&amp;$F3354="4",""&amp;$F3354="G",""&amp;$F3354="H"),IF($AY3354="YES","",IF($AB3354&lt;&gt;0,"",IF(COUNTIFS('AR SALES'!$L$2:$L$2501,$L3354,'AR SALES'!$AD$2:$AD$2501,IF(""&amp;$F3354="4","OFF","ON"),'AR SALES'!$AF$2:$AF$2501,"Y")&gt;0,"","NO EXEMPTION"))),"")</f>
        <v/>
      </c>
    </row>
    <row r="3355" spans="46:54" x14ac:dyDescent="0.25">
      <c r="AT3355" s="2" t="str">
        <f>IF($L3355="","",IFERROR(INDEX('AR SALES'!$H$2:$H$2501,MATCH(""&amp;$L3355,'AR SALES'!$AE$2:$AE$2501,0)),""))</f>
        <v/>
      </c>
      <c r="AU3355" s="2" t="str">
        <f t="shared" si="208"/>
        <v/>
      </c>
      <c r="AV3355" s="2" t="str">
        <f t="shared" si="209"/>
        <v/>
      </c>
      <c r="AW3355" s="2" t="str">
        <f t="shared" si="210"/>
        <v/>
      </c>
      <c r="AX3355" s="2" t="str">
        <f t="shared" si="211"/>
        <v/>
      </c>
      <c r="AY3355" s="2" t="str">
        <f>IF($AV3355="","",IF(AND($Z3355=0,COUNTIF('AR SALES'!$L$2:$L$2501,$L3355)=0),"YES",""))</f>
        <v/>
      </c>
      <c r="AZ3355" s="2" t="str">
        <f>IF($AV3355="","",IF(COUNTIF(LISTS!$C$2:$C$250,$AU3355)=0,"NEW",""))</f>
        <v/>
      </c>
      <c r="BA3355" s="2" t="str">
        <f>IF(""&amp;$F3355&lt;&gt;"4","",IF($AY3355="YES","",IF(ROUND(SUMIFS($AE$2:$AE$4001,$L$2:$L$4001,$L3355,$F$2:$F$4001,"4")-SUMIFS('AR SALES'!$Y$2:$Y$2501,'AR SALES'!$L$2:$L$2501,$L3355,'AR SALES'!$AD$2:$AD$2501,"OFF"),2)=0,"","STALE")))</f>
        <v/>
      </c>
      <c r="BB3355" s="2" t="str">
        <f>IF(OR(""&amp;$F3355="2",""&amp;$F3355="4",""&amp;$F3355="G",""&amp;$F3355="H"),IF($AY3355="YES","",IF($AB3355&lt;&gt;0,"",IF(COUNTIFS('AR SALES'!$L$2:$L$2501,$L3355,'AR SALES'!$AD$2:$AD$2501,IF(""&amp;$F3355="4","OFF","ON"),'AR SALES'!$AF$2:$AF$2501,"Y")&gt;0,"","NO EXEMPTION"))),"")</f>
        <v/>
      </c>
    </row>
    <row r="3356" spans="46:54" x14ac:dyDescent="0.25">
      <c r="AT3356" s="2" t="str">
        <f>IF($L3356="","",IFERROR(INDEX('AR SALES'!$H$2:$H$2501,MATCH(""&amp;$L3356,'AR SALES'!$AE$2:$AE$2501,0)),""))</f>
        <v/>
      </c>
      <c r="AU3356" s="2" t="str">
        <f t="shared" si="208"/>
        <v/>
      </c>
      <c r="AV3356" s="2" t="str">
        <f t="shared" si="209"/>
        <v/>
      </c>
      <c r="AW3356" s="2" t="str">
        <f t="shared" si="210"/>
        <v/>
      </c>
      <c r="AX3356" s="2" t="str">
        <f t="shared" si="211"/>
        <v/>
      </c>
      <c r="AY3356" s="2" t="str">
        <f>IF($AV3356="","",IF(AND($Z3356=0,COUNTIF('AR SALES'!$L$2:$L$2501,$L3356)=0),"YES",""))</f>
        <v/>
      </c>
      <c r="AZ3356" s="2" t="str">
        <f>IF($AV3356="","",IF(COUNTIF(LISTS!$C$2:$C$250,$AU3356)=0,"NEW",""))</f>
        <v/>
      </c>
      <c r="BA3356" s="2" t="str">
        <f>IF(""&amp;$F3356&lt;&gt;"4","",IF($AY3356="YES","",IF(ROUND(SUMIFS($AE$2:$AE$4001,$L$2:$L$4001,$L3356,$F$2:$F$4001,"4")-SUMIFS('AR SALES'!$Y$2:$Y$2501,'AR SALES'!$L$2:$L$2501,$L3356,'AR SALES'!$AD$2:$AD$2501,"OFF"),2)=0,"","STALE")))</f>
        <v/>
      </c>
      <c r="BB3356" s="2" t="str">
        <f>IF(OR(""&amp;$F3356="2",""&amp;$F3356="4",""&amp;$F3356="G",""&amp;$F3356="H"),IF($AY3356="YES","",IF($AB3356&lt;&gt;0,"",IF(COUNTIFS('AR SALES'!$L$2:$L$2501,$L3356,'AR SALES'!$AD$2:$AD$2501,IF(""&amp;$F3356="4","OFF","ON"),'AR SALES'!$AF$2:$AF$2501,"Y")&gt;0,"","NO EXEMPTION"))),"")</f>
        <v/>
      </c>
    </row>
    <row r="3357" spans="46:54" x14ac:dyDescent="0.25">
      <c r="AT3357" s="2" t="str">
        <f>IF($L3357="","",IFERROR(INDEX('AR SALES'!$H$2:$H$2501,MATCH(""&amp;$L3357,'AR SALES'!$AE$2:$AE$2501,0)),""))</f>
        <v/>
      </c>
      <c r="AU3357" s="2" t="str">
        <f t="shared" si="208"/>
        <v/>
      </c>
      <c r="AV3357" s="2" t="str">
        <f t="shared" si="209"/>
        <v/>
      </c>
      <c r="AW3357" s="2" t="str">
        <f t="shared" si="210"/>
        <v/>
      </c>
      <c r="AX3357" s="2" t="str">
        <f t="shared" si="211"/>
        <v/>
      </c>
      <c r="AY3357" s="2" t="str">
        <f>IF($AV3357="","",IF(AND($Z3357=0,COUNTIF('AR SALES'!$L$2:$L$2501,$L3357)=0),"YES",""))</f>
        <v/>
      </c>
      <c r="AZ3357" s="2" t="str">
        <f>IF($AV3357="","",IF(COUNTIF(LISTS!$C$2:$C$250,$AU3357)=0,"NEW",""))</f>
        <v/>
      </c>
      <c r="BA3357" s="2" t="str">
        <f>IF(""&amp;$F3357&lt;&gt;"4","",IF($AY3357="YES","",IF(ROUND(SUMIFS($AE$2:$AE$4001,$L$2:$L$4001,$L3357,$F$2:$F$4001,"4")-SUMIFS('AR SALES'!$Y$2:$Y$2501,'AR SALES'!$L$2:$L$2501,$L3357,'AR SALES'!$AD$2:$AD$2501,"OFF"),2)=0,"","STALE")))</f>
        <v/>
      </c>
      <c r="BB3357" s="2" t="str">
        <f>IF(OR(""&amp;$F3357="2",""&amp;$F3357="4",""&amp;$F3357="G",""&amp;$F3357="H"),IF($AY3357="YES","",IF($AB3357&lt;&gt;0,"",IF(COUNTIFS('AR SALES'!$L$2:$L$2501,$L3357,'AR SALES'!$AD$2:$AD$2501,IF(""&amp;$F3357="4","OFF","ON"),'AR SALES'!$AF$2:$AF$2501,"Y")&gt;0,"","NO EXEMPTION"))),"")</f>
        <v/>
      </c>
    </row>
    <row r="3358" spans="46:54" x14ac:dyDescent="0.25">
      <c r="AT3358" s="2" t="str">
        <f>IF($L3358="","",IFERROR(INDEX('AR SALES'!$H$2:$H$2501,MATCH(""&amp;$L3358,'AR SALES'!$AE$2:$AE$2501,0)),""))</f>
        <v/>
      </c>
      <c r="AU3358" s="2" t="str">
        <f t="shared" si="208"/>
        <v/>
      </c>
      <c r="AV3358" s="2" t="str">
        <f t="shared" si="209"/>
        <v/>
      </c>
      <c r="AW3358" s="2" t="str">
        <f t="shared" si="210"/>
        <v/>
      </c>
      <c r="AX3358" s="2" t="str">
        <f t="shared" si="211"/>
        <v/>
      </c>
      <c r="AY3358" s="2" t="str">
        <f>IF($AV3358="","",IF(AND($Z3358=0,COUNTIF('AR SALES'!$L$2:$L$2501,$L3358)=0),"YES",""))</f>
        <v/>
      </c>
      <c r="AZ3358" s="2" t="str">
        <f>IF($AV3358="","",IF(COUNTIF(LISTS!$C$2:$C$250,$AU3358)=0,"NEW",""))</f>
        <v/>
      </c>
      <c r="BA3358" s="2" t="str">
        <f>IF(""&amp;$F3358&lt;&gt;"4","",IF($AY3358="YES","",IF(ROUND(SUMIFS($AE$2:$AE$4001,$L$2:$L$4001,$L3358,$F$2:$F$4001,"4")-SUMIFS('AR SALES'!$Y$2:$Y$2501,'AR SALES'!$L$2:$L$2501,$L3358,'AR SALES'!$AD$2:$AD$2501,"OFF"),2)=0,"","STALE")))</f>
        <v/>
      </c>
      <c r="BB3358" s="2" t="str">
        <f>IF(OR(""&amp;$F3358="2",""&amp;$F3358="4",""&amp;$F3358="G",""&amp;$F3358="H"),IF($AY3358="YES","",IF($AB3358&lt;&gt;0,"",IF(COUNTIFS('AR SALES'!$L$2:$L$2501,$L3358,'AR SALES'!$AD$2:$AD$2501,IF(""&amp;$F3358="4","OFF","ON"),'AR SALES'!$AF$2:$AF$2501,"Y")&gt;0,"","NO EXEMPTION"))),"")</f>
        <v/>
      </c>
    </row>
    <row r="3359" spans="46:54" x14ac:dyDescent="0.25">
      <c r="AT3359" s="2" t="str">
        <f>IF($L3359="","",IFERROR(INDEX('AR SALES'!$H$2:$H$2501,MATCH(""&amp;$L3359,'AR SALES'!$AE$2:$AE$2501,0)),""))</f>
        <v/>
      </c>
      <c r="AU3359" s="2" t="str">
        <f t="shared" si="208"/>
        <v/>
      </c>
      <c r="AV3359" s="2" t="str">
        <f t="shared" si="209"/>
        <v/>
      </c>
      <c r="AW3359" s="2" t="str">
        <f t="shared" si="210"/>
        <v/>
      </c>
      <c r="AX3359" s="2" t="str">
        <f t="shared" si="211"/>
        <v/>
      </c>
      <c r="AY3359" s="2" t="str">
        <f>IF($AV3359="","",IF(AND($Z3359=0,COUNTIF('AR SALES'!$L$2:$L$2501,$L3359)=0),"YES",""))</f>
        <v/>
      </c>
      <c r="AZ3359" s="2" t="str">
        <f>IF($AV3359="","",IF(COUNTIF(LISTS!$C$2:$C$250,$AU3359)=0,"NEW",""))</f>
        <v/>
      </c>
      <c r="BA3359" s="2" t="str">
        <f>IF(""&amp;$F3359&lt;&gt;"4","",IF($AY3359="YES","",IF(ROUND(SUMIFS($AE$2:$AE$4001,$L$2:$L$4001,$L3359,$F$2:$F$4001,"4")-SUMIFS('AR SALES'!$Y$2:$Y$2501,'AR SALES'!$L$2:$L$2501,$L3359,'AR SALES'!$AD$2:$AD$2501,"OFF"),2)=0,"","STALE")))</f>
        <v/>
      </c>
      <c r="BB3359" s="2" t="str">
        <f>IF(OR(""&amp;$F3359="2",""&amp;$F3359="4",""&amp;$F3359="G",""&amp;$F3359="H"),IF($AY3359="YES","",IF($AB3359&lt;&gt;0,"",IF(COUNTIFS('AR SALES'!$L$2:$L$2501,$L3359,'AR SALES'!$AD$2:$AD$2501,IF(""&amp;$F3359="4","OFF","ON"),'AR SALES'!$AF$2:$AF$2501,"Y")&gt;0,"","NO EXEMPTION"))),"")</f>
        <v/>
      </c>
    </row>
    <row r="3360" spans="46:54" x14ac:dyDescent="0.25">
      <c r="AT3360" s="2" t="str">
        <f>IF($L3360="","",IFERROR(INDEX('AR SALES'!$H$2:$H$2501,MATCH(""&amp;$L3360,'AR SALES'!$AE$2:$AE$2501,0)),""))</f>
        <v/>
      </c>
      <c r="AU3360" s="2" t="str">
        <f t="shared" si="208"/>
        <v/>
      </c>
      <c r="AV3360" s="2" t="str">
        <f t="shared" si="209"/>
        <v/>
      </c>
      <c r="AW3360" s="2" t="str">
        <f t="shared" si="210"/>
        <v/>
      </c>
      <c r="AX3360" s="2" t="str">
        <f t="shared" si="211"/>
        <v/>
      </c>
      <c r="AY3360" s="2" t="str">
        <f>IF($AV3360="","",IF(AND($Z3360=0,COUNTIF('AR SALES'!$L$2:$L$2501,$L3360)=0),"YES",""))</f>
        <v/>
      </c>
      <c r="AZ3360" s="2" t="str">
        <f>IF($AV3360="","",IF(COUNTIF(LISTS!$C$2:$C$250,$AU3360)=0,"NEW",""))</f>
        <v/>
      </c>
      <c r="BA3360" s="2" t="str">
        <f>IF(""&amp;$F3360&lt;&gt;"4","",IF($AY3360="YES","",IF(ROUND(SUMIFS($AE$2:$AE$4001,$L$2:$L$4001,$L3360,$F$2:$F$4001,"4")-SUMIFS('AR SALES'!$Y$2:$Y$2501,'AR SALES'!$L$2:$L$2501,$L3360,'AR SALES'!$AD$2:$AD$2501,"OFF"),2)=0,"","STALE")))</f>
        <v/>
      </c>
      <c r="BB3360" s="2" t="str">
        <f>IF(OR(""&amp;$F3360="2",""&amp;$F3360="4",""&amp;$F3360="G",""&amp;$F3360="H"),IF($AY3360="YES","",IF($AB3360&lt;&gt;0,"",IF(COUNTIFS('AR SALES'!$L$2:$L$2501,$L3360,'AR SALES'!$AD$2:$AD$2501,IF(""&amp;$F3360="4","OFF","ON"),'AR SALES'!$AF$2:$AF$2501,"Y")&gt;0,"","NO EXEMPTION"))),"")</f>
        <v/>
      </c>
    </row>
    <row r="3361" spans="46:54" x14ac:dyDescent="0.25">
      <c r="AT3361" s="2" t="str">
        <f>IF($L3361="","",IFERROR(INDEX('AR SALES'!$H$2:$H$2501,MATCH(""&amp;$L3361,'AR SALES'!$AE$2:$AE$2501,0)),""))</f>
        <v/>
      </c>
      <c r="AU3361" s="2" t="str">
        <f t="shared" si="208"/>
        <v/>
      </c>
      <c r="AV3361" s="2" t="str">
        <f t="shared" si="209"/>
        <v/>
      </c>
      <c r="AW3361" s="2" t="str">
        <f t="shared" si="210"/>
        <v/>
      </c>
      <c r="AX3361" s="2" t="str">
        <f t="shared" si="211"/>
        <v/>
      </c>
      <c r="AY3361" s="2" t="str">
        <f>IF($AV3361="","",IF(AND($Z3361=0,COUNTIF('AR SALES'!$L$2:$L$2501,$L3361)=0),"YES",""))</f>
        <v/>
      </c>
      <c r="AZ3361" s="2" t="str">
        <f>IF($AV3361="","",IF(COUNTIF(LISTS!$C$2:$C$250,$AU3361)=0,"NEW",""))</f>
        <v/>
      </c>
      <c r="BA3361" s="2" t="str">
        <f>IF(""&amp;$F3361&lt;&gt;"4","",IF($AY3361="YES","",IF(ROUND(SUMIFS($AE$2:$AE$4001,$L$2:$L$4001,$L3361,$F$2:$F$4001,"4")-SUMIFS('AR SALES'!$Y$2:$Y$2501,'AR SALES'!$L$2:$L$2501,$L3361,'AR SALES'!$AD$2:$AD$2501,"OFF"),2)=0,"","STALE")))</f>
        <v/>
      </c>
      <c r="BB3361" s="2" t="str">
        <f>IF(OR(""&amp;$F3361="2",""&amp;$F3361="4",""&amp;$F3361="G",""&amp;$F3361="H"),IF($AY3361="YES","",IF($AB3361&lt;&gt;0,"",IF(COUNTIFS('AR SALES'!$L$2:$L$2501,$L3361,'AR SALES'!$AD$2:$AD$2501,IF(""&amp;$F3361="4","OFF","ON"),'AR SALES'!$AF$2:$AF$2501,"Y")&gt;0,"","NO EXEMPTION"))),"")</f>
        <v/>
      </c>
    </row>
    <row r="3362" spans="46:54" x14ac:dyDescent="0.25">
      <c r="AT3362" s="2" t="str">
        <f>IF($L3362="","",IFERROR(INDEX('AR SALES'!$H$2:$H$2501,MATCH(""&amp;$L3362,'AR SALES'!$AE$2:$AE$2501,0)),""))</f>
        <v/>
      </c>
      <c r="AU3362" s="2" t="str">
        <f t="shared" si="208"/>
        <v/>
      </c>
      <c r="AV3362" s="2" t="str">
        <f t="shared" si="209"/>
        <v/>
      </c>
      <c r="AW3362" s="2" t="str">
        <f t="shared" si="210"/>
        <v/>
      </c>
      <c r="AX3362" s="2" t="str">
        <f t="shared" si="211"/>
        <v/>
      </c>
      <c r="AY3362" s="2" t="str">
        <f>IF($AV3362="","",IF(AND($Z3362=0,COUNTIF('AR SALES'!$L$2:$L$2501,$L3362)=0),"YES",""))</f>
        <v/>
      </c>
      <c r="AZ3362" s="2" t="str">
        <f>IF($AV3362="","",IF(COUNTIF(LISTS!$C$2:$C$250,$AU3362)=0,"NEW",""))</f>
        <v/>
      </c>
      <c r="BA3362" s="2" t="str">
        <f>IF(""&amp;$F3362&lt;&gt;"4","",IF($AY3362="YES","",IF(ROUND(SUMIFS($AE$2:$AE$4001,$L$2:$L$4001,$L3362,$F$2:$F$4001,"4")-SUMIFS('AR SALES'!$Y$2:$Y$2501,'AR SALES'!$L$2:$L$2501,$L3362,'AR SALES'!$AD$2:$AD$2501,"OFF"),2)=0,"","STALE")))</f>
        <v/>
      </c>
      <c r="BB3362" s="2" t="str">
        <f>IF(OR(""&amp;$F3362="2",""&amp;$F3362="4",""&amp;$F3362="G",""&amp;$F3362="H"),IF($AY3362="YES","",IF($AB3362&lt;&gt;0,"",IF(COUNTIFS('AR SALES'!$L$2:$L$2501,$L3362,'AR SALES'!$AD$2:$AD$2501,IF(""&amp;$F3362="4","OFF","ON"),'AR SALES'!$AF$2:$AF$2501,"Y")&gt;0,"","NO EXEMPTION"))),"")</f>
        <v/>
      </c>
    </row>
    <row r="3363" spans="46:54" x14ac:dyDescent="0.25">
      <c r="AT3363" s="2" t="str">
        <f>IF($L3363="","",IFERROR(INDEX('AR SALES'!$H$2:$H$2501,MATCH(""&amp;$L3363,'AR SALES'!$AE$2:$AE$2501,0)),""))</f>
        <v/>
      </c>
      <c r="AU3363" s="2" t="str">
        <f t="shared" si="208"/>
        <v/>
      </c>
      <c r="AV3363" s="2" t="str">
        <f t="shared" si="209"/>
        <v/>
      </c>
      <c r="AW3363" s="2" t="str">
        <f t="shared" si="210"/>
        <v/>
      </c>
      <c r="AX3363" s="2" t="str">
        <f t="shared" si="211"/>
        <v/>
      </c>
      <c r="AY3363" s="2" t="str">
        <f>IF($AV3363="","",IF(AND($Z3363=0,COUNTIF('AR SALES'!$L$2:$L$2501,$L3363)=0),"YES",""))</f>
        <v/>
      </c>
      <c r="AZ3363" s="2" t="str">
        <f>IF($AV3363="","",IF(COUNTIF(LISTS!$C$2:$C$250,$AU3363)=0,"NEW",""))</f>
        <v/>
      </c>
      <c r="BA3363" s="2" t="str">
        <f>IF(""&amp;$F3363&lt;&gt;"4","",IF($AY3363="YES","",IF(ROUND(SUMIFS($AE$2:$AE$4001,$L$2:$L$4001,$L3363,$F$2:$F$4001,"4")-SUMIFS('AR SALES'!$Y$2:$Y$2501,'AR SALES'!$L$2:$L$2501,$L3363,'AR SALES'!$AD$2:$AD$2501,"OFF"),2)=0,"","STALE")))</f>
        <v/>
      </c>
      <c r="BB3363" s="2" t="str">
        <f>IF(OR(""&amp;$F3363="2",""&amp;$F3363="4",""&amp;$F3363="G",""&amp;$F3363="H"),IF($AY3363="YES","",IF($AB3363&lt;&gt;0,"",IF(COUNTIFS('AR SALES'!$L$2:$L$2501,$L3363,'AR SALES'!$AD$2:$AD$2501,IF(""&amp;$F3363="4","OFF","ON"),'AR SALES'!$AF$2:$AF$2501,"Y")&gt;0,"","NO EXEMPTION"))),"")</f>
        <v/>
      </c>
    </row>
    <row r="3364" spans="46:54" x14ac:dyDescent="0.25">
      <c r="AT3364" s="2" t="str">
        <f>IF($L3364="","",IFERROR(INDEX('AR SALES'!$H$2:$H$2501,MATCH(""&amp;$L3364,'AR SALES'!$AE$2:$AE$2501,0)),""))</f>
        <v/>
      </c>
      <c r="AU3364" s="2" t="str">
        <f t="shared" si="208"/>
        <v/>
      </c>
      <c r="AV3364" s="2" t="str">
        <f t="shared" si="209"/>
        <v/>
      </c>
      <c r="AW3364" s="2" t="str">
        <f t="shared" si="210"/>
        <v/>
      </c>
      <c r="AX3364" s="2" t="str">
        <f t="shared" si="211"/>
        <v/>
      </c>
      <c r="AY3364" s="2" t="str">
        <f>IF($AV3364="","",IF(AND($Z3364=0,COUNTIF('AR SALES'!$L$2:$L$2501,$L3364)=0),"YES",""))</f>
        <v/>
      </c>
      <c r="AZ3364" s="2" t="str">
        <f>IF($AV3364="","",IF(COUNTIF(LISTS!$C$2:$C$250,$AU3364)=0,"NEW",""))</f>
        <v/>
      </c>
      <c r="BA3364" s="2" t="str">
        <f>IF(""&amp;$F3364&lt;&gt;"4","",IF($AY3364="YES","",IF(ROUND(SUMIFS($AE$2:$AE$4001,$L$2:$L$4001,$L3364,$F$2:$F$4001,"4")-SUMIFS('AR SALES'!$Y$2:$Y$2501,'AR SALES'!$L$2:$L$2501,$L3364,'AR SALES'!$AD$2:$AD$2501,"OFF"),2)=0,"","STALE")))</f>
        <v/>
      </c>
      <c r="BB3364" s="2" t="str">
        <f>IF(OR(""&amp;$F3364="2",""&amp;$F3364="4",""&amp;$F3364="G",""&amp;$F3364="H"),IF($AY3364="YES","",IF($AB3364&lt;&gt;0,"",IF(COUNTIFS('AR SALES'!$L$2:$L$2501,$L3364,'AR SALES'!$AD$2:$AD$2501,IF(""&amp;$F3364="4","OFF","ON"),'AR SALES'!$AF$2:$AF$2501,"Y")&gt;0,"","NO EXEMPTION"))),"")</f>
        <v/>
      </c>
    </row>
    <row r="3365" spans="46:54" x14ac:dyDescent="0.25">
      <c r="AT3365" s="2" t="str">
        <f>IF($L3365="","",IFERROR(INDEX('AR SALES'!$H$2:$H$2501,MATCH(""&amp;$L3365,'AR SALES'!$AE$2:$AE$2501,0)),""))</f>
        <v/>
      </c>
      <c r="AU3365" s="2" t="str">
        <f t="shared" si="208"/>
        <v/>
      </c>
      <c r="AV3365" s="2" t="str">
        <f t="shared" si="209"/>
        <v/>
      </c>
      <c r="AW3365" s="2" t="str">
        <f t="shared" si="210"/>
        <v/>
      </c>
      <c r="AX3365" s="2" t="str">
        <f t="shared" si="211"/>
        <v/>
      </c>
      <c r="AY3365" s="2" t="str">
        <f>IF($AV3365="","",IF(AND($Z3365=0,COUNTIF('AR SALES'!$L$2:$L$2501,$L3365)=0),"YES",""))</f>
        <v/>
      </c>
      <c r="AZ3365" s="2" t="str">
        <f>IF($AV3365="","",IF(COUNTIF(LISTS!$C$2:$C$250,$AU3365)=0,"NEW",""))</f>
        <v/>
      </c>
      <c r="BA3365" s="2" t="str">
        <f>IF(""&amp;$F3365&lt;&gt;"4","",IF($AY3365="YES","",IF(ROUND(SUMIFS($AE$2:$AE$4001,$L$2:$L$4001,$L3365,$F$2:$F$4001,"4")-SUMIFS('AR SALES'!$Y$2:$Y$2501,'AR SALES'!$L$2:$L$2501,$L3365,'AR SALES'!$AD$2:$AD$2501,"OFF"),2)=0,"","STALE")))</f>
        <v/>
      </c>
      <c r="BB3365" s="2" t="str">
        <f>IF(OR(""&amp;$F3365="2",""&amp;$F3365="4",""&amp;$F3365="G",""&amp;$F3365="H"),IF($AY3365="YES","",IF($AB3365&lt;&gt;0,"",IF(COUNTIFS('AR SALES'!$L$2:$L$2501,$L3365,'AR SALES'!$AD$2:$AD$2501,IF(""&amp;$F3365="4","OFF","ON"),'AR SALES'!$AF$2:$AF$2501,"Y")&gt;0,"","NO EXEMPTION"))),"")</f>
        <v/>
      </c>
    </row>
    <row r="3366" spans="46:54" x14ac:dyDescent="0.25">
      <c r="AT3366" s="2" t="str">
        <f>IF($L3366="","",IFERROR(INDEX('AR SALES'!$H$2:$H$2501,MATCH(""&amp;$L3366,'AR SALES'!$AE$2:$AE$2501,0)),""))</f>
        <v/>
      </c>
      <c r="AU3366" s="2" t="str">
        <f t="shared" si="208"/>
        <v/>
      </c>
      <c r="AV3366" s="2" t="str">
        <f t="shared" si="209"/>
        <v/>
      </c>
      <c r="AW3366" s="2" t="str">
        <f t="shared" si="210"/>
        <v/>
      </c>
      <c r="AX3366" s="2" t="str">
        <f t="shared" si="211"/>
        <v/>
      </c>
      <c r="AY3366" s="2" t="str">
        <f>IF($AV3366="","",IF(AND($Z3366=0,COUNTIF('AR SALES'!$L$2:$L$2501,$L3366)=0),"YES",""))</f>
        <v/>
      </c>
      <c r="AZ3366" s="2" t="str">
        <f>IF($AV3366="","",IF(COUNTIF(LISTS!$C$2:$C$250,$AU3366)=0,"NEW",""))</f>
        <v/>
      </c>
      <c r="BA3366" s="2" t="str">
        <f>IF(""&amp;$F3366&lt;&gt;"4","",IF($AY3366="YES","",IF(ROUND(SUMIFS($AE$2:$AE$4001,$L$2:$L$4001,$L3366,$F$2:$F$4001,"4")-SUMIFS('AR SALES'!$Y$2:$Y$2501,'AR SALES'!$L$2:$L$2501,$L3366,'AR SALES'!$AD$2:$AD$2501,"OFF"),2)=0,"","STALE")))</f>
        <v/>
      </c>
      <c r="BB3366" s="2" t="str">
        <f>IF(OR(""&amp;$F3366="2",""&amp;$F3366="4",""&amp;$F3366="G",""&amp;$F3366="H"),IF($AY3366="YES","",IF($AB3366&lt;&gt;0,"",IF(COUNTIFS('AR SALES'!$L$2:$L$2501,$L3366,'AR SALES'!$AD$2:$AD$2501,IF(""&amp;$F3366="4","OFF","ON"),'AR SALES'!$AF$2:$AF$2501,"Y")&gt;0,"","NO EXEMPTION"))),"")</f>
        <v/>
      </c>
    </row>
    <row r="3367" spans="46:54" x14ac:dyDescent="0.25">
      <c r="AT3367" s="2" t="str">
        <f>IF($L3367="","",IFERROR(INDEX('AR SALES'!$H$2:$H$2501,MATCH(""&amp;$L3367,'AR SALES'!$AE$2:$AE$2501,0)),""))</f>
        <v/>
      </c>
      <c r="AU3367" s="2" t="str">
        <f t="shared" si="208"/>
        <v/>
      </c>
      <c r="AV3367" s="2" t="str">
        <f t="shared" si="209"/>
        <v/>
      </c>
      <c r="AW3367" s="2" t="str">
        <f t="shared" si="210"/>
        <v/>
      </c>
      <c r="AX3367" s="2" t="str">
        <f t="shared" si="211"/>
        <v/>
      </c>
      <c r="AY3367" s="2" t="str">
        <f>IF($AV3367="","",IF(AND($Z3367=0,COUNTIF('AR SALES'!$L$2:$L$2501,$L3367)=0),"YES",""))</f>
        <v/>
      </c>
      <c r="AZ3367" s="2" t="str">
        <f>IF($AV3367="","",IF(COUNTIF(LISTS!$C$2:$C$250,$AU3367)=0,"NEW",""))</f>
        <v/>
      </c>
      <c r="BA3367" s="2" t="str">
        <f>IF(""&amp;$F3367&lt;&gt;"4","",IF($AY3367="YES","",IF(ROUND(SUMIFS($AE$2:$AE$4001,$L$2:$L$4001,$L3367,$F$2:$F$4001,"4")-SUMIFS('AR SALES'!$Y$2:$Y$2501,'AR SALES'!$L$2:$L$2501,$L3367,'AR SALES'!$AD$2:$AD$2501,"OFF"),2)=0,"","STALE")))</f>
        <v/>
      </c>
      <c r="BB3367" s="2" t="str">
        <f>IF(OR(""&amp;$F3367="2",""&amp;$F3367="4",""&amp;$F3367="G",""&amp;$F3367="H"),IF($AY3367="YES","",IF($AB3367&lt;&gt;0,"",IF(COUNTIFS('AR SALES'!$L$2:$L$2501,$L3367,'AR SALES'!$AD$2:$AD$2501,IF(""&amp;$F3367="4","OFF","ON"),'AR SALES'!$AF$2:$AF$2501,"Y")&gt;0,"","NO EXEMPTION"))),"")</f>
        <v/>
      </c>
    </row>
    <row r="3368" spans="46:54" x14ac:dyDescent="0.25">
      <c r="AT3368" s="2" t="str">
        <f>IF($L3368="","",IFERROR(INDEX('AR SALES'!$H$2:$H$2501,MATCH(""&amp;$L3368,'AR SALES'!$AE$2:$AE$2501,0)),""))</f>
        <v/>
      </c>
      <c r="AU3368" s="2" t="str">
        <f t="shared" si="208"/>
        <v/>
      </c>
      <c r="AV3368" s="2" t="str">
        <f t="shared" si="209"/>
        <v/>
      </c>
      <c r="AW3368" s="2" t="str">
        <f t="shared" si="210"/>
        <v/>
      </c>
      <c r="AX3368" s="2" t="str">
        <f t="shared" si="211"/>
        <v/>
      </c>
      <c r="AY3368" s="2" t="str">
        <f>IF($AV3368="","",IF(AND($Z3368=0,COUNTIF('AR SALES'!$L$2:$L$2501,$L3368)=0),"YES",""))</f>
        <v/>
      </c>
      <c r="AZ3368" s="2" t="str">
        <f>IF($AV3368="","",IF(COUNTIF(LISTS!$C$2:$C$250,$AU3368)=0,"NEW",""))</f>
        <v/>
      </c>
      <c r="BA3368" s="2" t="str">
        <f>IF(""&amp;$F3368&lt;&gt;"4","",IF($AY3368="YES","",IF(ROUND(SUMIFS($AE$2:$AE$4001,$L$2:$L$4001,$L3368,$F$2:$F$4001,"4")-SUMIFS('AR SALES'!$Y$2:$Y$2501,'AR SALES'!$L$2:$L$2501,$L3368,'AR SALES'!$AD$2:$AD$2501,"OFF"),2)=0,"","STALE")))</f>
        <v/>
      </c>
      <c r="BB3368" s="2" t="str">
        <f>IF(OR(""&amp;$F3368="2",""&amp;$F3368="4",""&amp;$F3368="G",""&amp;$F3368="H"),IF($AY3368="YES","",IF($AB3368&lt;&gt;0,"",IF(COUNTIFS('AR SALES'!$L$2:$L$2501,$L3368,'AR SALES'!$AD$2:$AD$2501,IF(""&amp;$F3368="4","OFF","ON"),'AR SALES'!$AF$2:$AF$2501,"Y")&gt;0,"","NO EXEMPTION"))),"")</f>
        <v/>
      </c>
    </row>
    <row r="3369" spans="46:54" x14ac:dyDescent="0.25">
      <c r="AT3369" s="2" t="str">
        <f>IF($L3369="","",IFERROR(INDEX('AR SALES'!$H$2:$H$2501,MATCH(""&amp;$L3369,'AR SALES'!$AE$2:$AE$2501,0)),""))</f>
        <v/>
      </c>
      <c r="AU3369" s="2" t="str">
        <f t="shared" si="208"/>
        <v/>
      </c>
      <c r="AV3369" s="2" t="str">
        <f t="shared" si="209"/>
        <v/>
      </c>
      <c r="AW3369" s="2" t="str">
        <f t="shared" si="210"/>
        <v/>
      </c>
      <c r="AX3369" s="2" t="str">
        <f t="shared" si="211"/>
        <v/>
      </c>
      <c r="AY3369" s="2" t="str">
        <f>IF($AV3369="","",IF(AND($Z3369=0,COUNTIF('AR SALES'!$L$2:$L$2501,$L3369)=0),"YES",""))</f>
        <v/>
      </c>
      <c r="AZ3369" s="2" t="str">
        <f>IF($AV3369="","",IF(COUNTIF(LISTS!$C$2:$C$250,$AU3369)=0,"NEW",""))</f>
        <v/>
      </c>
      <c r="BA3369" s="2" t="str">
        <f>IF(""&amp;$F3369&lt;&gt;"4","",IF($AY3369="YES","",IF(ROUND(SUMIFS($AE$2:$AE$4001,$L$2:$L$4001,$L3369,$F$2:$F$4001,"4")-SUMIFS('AR SALES'!$Y$2:$Y$2501,'AR SALES'!$L$2:$L$2501,$L3369,'AR SALES'!$AD$2:$AD$2501,"OFF"),2)=0,"","STALE")))</f>
        <v/>
      </c>
      <c r="BB3369" s="2" t="str">
        <f>IF(OR(""&amp;$F3369="2",""&amp;$F3369="4",""&amp;$F3369="G",""&amp;$F3369="H"),IF($AY3369="YES","",IF($AB3369&lt;&gt;0,"",IF(COUNTIFS('AR SALES'!$L$2:$L$2501,$L3369,'AR SALES'!$AD$2:$AD$2501,IF(""&amp;$F3369="4","OFF","ON"),'AR SALES'!$AF$2:$AF$2501,"Y")&gt;0,"","NO EXEMPTION"))),"")</f>
        <v/>
      </c>
    </row>
    <row r="3370" spans="46:54" x14ac:dyDescent="0.25">
      <c r="AT3370" s="2" t="str">
        <f>IF($L3370="","",IFERROR(INDEX('AR SALES'!$H$2:$H$2501,MATCH(""&amp;$L3370,'AR SALES'!$AE$2:$AE$2501,0)),""))</f>
        <v/>
      </c>
      <c r="AU3370" s="2" t="str">
        <f t="shared" si="208"/>
        <v/>
      </c>
      <c r="AV3370" s="2" t="str">
        <f t="shared" si="209"/>
        <v/>
      </c>
      <c r="AW3370" s="2" t="str">
        <f t="shared" si="210"/>
        <v/>
      </c>
      <c r="AX3370" s="2" t="str">
        <f t="shared" si="211"/>
        <v/>
      </c>
      <c r="AY3370" s="2" t="str">
        <f>IF($AV3370="","",IF(AND($Z3370=0,COUNTIF('AR SALES'!$L$2:$L$2501,$L3370)=0),"YES",""))</f>
        <v/>
      </c>
      <c r="AZ3370" s="2" t="str">
        <f>IF($AV3370="","",IF(COUNTIF(LISTS!$C$2:$C$250,$AU3370)=0,"NEW",""))</f>
        <v/>
      </c>
      <c r="BA3370" s="2" t="str">
        <f>IF(""&amp;$F3370&lt;&gt;"4","",IF($AY3370="YES","",IF(ROUND(SUMIFS($AE$2:$AE$4001,$L$2:$L$4001,$L3370,$F$2:$F$4001,"4")-SUMIFS('AR SALES'!$Y$2:$Y$2501,'AR SALES'!$L$2:$L$2501,$L3370,'AR SALES'!$AD$2:$AD$2501,"OFF"),2)=0,"","STALE")))</f>
        <v/>
      </c>
      <c r="BB3370" s="2" t="str">
        <f>IF(OR(""&amp;$F3370="2",""&amp;$F3370="4",""&amp;$F3370="G",""&amp;$F3370="H"),IF($AY3370="YES","",IF($AB3370&lt;&gt;0,"",IF(COUNTIFS('AR SALES'!$L$2:$L$2501,$L3370,'AR SALES'!$AD$2:$AD$2501,IF(""&amp;$F3370="4","OFF","ON"),'AR SALES'!$AF$2:$AF$2501,"Y")&gt;0,"","NO EXEMPTION"))),"")</f>
        <v/>
      </c>
    </row>
    <row r="3371" spans="46:54" x14ac:dyDescent="0.25">
      <c r="AT3371" s="2" t="str">
        <f>IF($L3371="","",IFERROR(INDEX('AR SALES'!$H$2:$H$2501,MATCH(""&amp;$L3371,'AR SALES'!$AE$2:$AE$2501,0)),""))</f>
        <v/>
      </c>
      <c r="AU3371" s="2" t="str">
        <f t="shared" si="208"/>
        <v/>
      </c>
      <c r="AV3371" s="2" t="str">
        <f t="shared" si="209"/>
        <v/>
      </c>
      <c r="AW3371" s="2" t="str">
        <f t="shared" si="210"/>
        <v/>
      </c>
      <c r="AX3371" s="2" t="str">
        <f t="shared" si="211"/>
        <v/>
      </c>
      <c r="AY3371" s="2" t="str">
        <f>IF($AV3371="","",IF(AND($Z3371=0,COUNTIF('AR SALES'!$L$2:$L$2501,$L3371)=0),"YES",""))</f>
        <v/>
      </c>
      <c r="AZ3371" s="2" t="str">
        <f>IF($AV3371="","",IF(COUNTIF(LISTS!$C$2:$C$250,$AU3371)=0,"NEW",""))</f>
        <v/>
      </c>
      <c r="BA3371" s="2" t="str">
        <f>IF(""&amp;$F3371&lt;&gt;"4","",IF($AY3371="YES","",IF(ROUND(SUMIFS($AE$2:$AE$4001,$L$2:$L$4001,$L3371,$F$2:$F$4001,"4")-SUMIFS('AR SALES'!$Y$2:$Y$2501,'AR SALES'!$L$2:$L$2501,$L3371,'AR SALES'!$AD$2:$AD$2501,"OFF"),2)=0,"","STALE")))</f>
        <v/>
      </c>
      <c r="BB3371" s="2" t="str">
        <f>IF(OR(""&amp;$F3371="2",""&amp;$F3371="4",""&amp;$F3371="G",""&amp;$F3371="H"),IF($AY3371="YES","",IF($AB3371&lt;&gt;0,"",IF(COUNTIFS('AR SALES'!$L$2:$L$2501,$L3371,'AR SALES'!$AD$2:$AD$2501,IF(""&amp;$F3371="4","OFF","ON"),'AR SALES'!$AF$2:$AF$2501,"Y")&gt;0,"","NO EXEMPTION"))),"")</f>
        <v/>
      </c>
    </row>
    <row r="3372" spans="46:54" x14ac:dyDescent="0.25">
      <c r="AT3372" s="2" t="str">
        <f>IF($L3372="","",IFERROR(INDEX('AR SALES'!$H$2:$H$2501,MATCH(""&amp;$L3372,'AR SALES'!$AE$2:$AE$2501,0)),""))</f>
        <v/>
      </c>
      <c r="AU3372" s="2" t="str">
        <f t="shared" si="208"/>
        <v/>
      </c>
      <c r="AV3372" s="2" t="str">
        <f t="shared" si="209"/>
        <v/>
      </c>
      <c r="AW3372" s="2" t="str">
        <f t="shared" si="210"/>
        <v/>
      </c>
      <c r="AX3372" s="2" t="str">
        <f t="shared" si="211"/>
        <v/>
      </c>
      <c r="AY3372" s="2" t="str">
        <f>IF($AV3372="","",IF(AND($Z3372=0,COUNTIF('AR SALES'!$L$2:$L$2501,$L3372)=0),"YES",""))</f>
        <v/>
      </c>
      <c r="AZ3372" s="2" t="str">
        <f>IF($AV3372="","",IF(COUNTIF(LISTS!$C$2:$C$250,$AU3372)=0,"NEW",""))</f>
        <v/>
      </c>
      <c r="BA3372" s="2" t="str">
        <f>IF(""&amp;$F3372&lt;&gt;"4","",IF($AY3372="YES","",IF(ROUND(SUMIFS($AE$2:$AE$4001,$L$2:$L$4001,$L3372,$F$2:$F$4001,"4")-SUMIFS('AR SALES'!$Y$2:$Y$2501,'AR SALES'!$L$2:$L$2501,$L3372,'AR SALES'!$AD$2:$AD$2501,"OFF"),2)=0,"","STALE")))</f>
        <v/>
      </c>
      <c r="BB3372" s="2" t="str">
        <f>IF(OR(""&amp;$F3372="2",""&amp;$F3372="4",""&amp;$F3372="G",""&amp;$F3372="H"),IF($AY3372="YES","",IF($AB3372&lt;&gt;0,"",IF(COUNTIFS('AR SALES'!$L$2:$L$2501,$L3372,'AR SALES'!$AD$2:$AD$2501,IF(""&amp;$F3372="4","OFF","ON"),'AR SALES'!$AF$2:$AF$2501,"Y")&gt;0,"","NO EXEMPTION"))),"")</f>
        <v/>
      </c>
    </row>
    <row r="3373" spans="46:54" x14ac:dyDescent="0.25">
      <c r="AT3373" s="2" t="str">
        <f>IF($L3373="","",IFERROR(INDEX('AR SALES'!$H$2:$H$2501,MATCH(""&amp;$L3373,'AR SALES'!$AE$2:$AE$2501,0)),""))</f>
        <v/>
      </c>
      <c r="AU3373" s="2" t="str">
        <f t="shared" si="208"/>
        <v/>
      </c>
      <c r="AV3373" s="2" t="str">
        <f t="shared" si="209"/>
        <v/>
      </c>
      <c r="AW3373" s="2" t="str">
        <f t="shared" si="210"/>
        <v/>
      </c>
      <c r="AX3373" s="2" t="str">
        <f t="shared" si="211"/>
        <v/>
      </c>
      <c r="AY3373" s="2" t="str">
        <f>IF($AV3373="","",IF(AND($Z3373=0,COUNTIF('AR SALES'!$L$2:$L$2501,$L3373)=0),"YES",""))</f>
        <v/>
      </c>
      <c r="AZ3373" s="2" t="str">
        <f>IF($AV3373="","",IF(COUNTIF(LISTS!$C$2:$C$250,$AU3373)=0,"NEW",""))</f>
        <v/>
      </c>
      <c r="BA3373" s="2" t="str">
        <f>IF(""&amp;$F3373&lt;&gt;"4","",IF($AY3373="YES","",IF(ROUND(SUMIFS($AE$2:$AE$4001,$L$2:$L$4001,$L3373,$F$2:$F$4001,"4")-SUMIFS('AR SALES'!$Y$2:$Y$2501,'AR SALES'!$L$2:$L$2501,$L3373,'AR SALES'!$AD$2:$AD$2501,"OFF"),2)=0,"","STALE")))</f>
        <v/>
      </c>
      <c r="BB3373" s="2" t="str">
        <f>IF(OR(""&amp;$F3373="2",""&amp;$F3373="4",""&amp;$F3373="G",""&amp;$F3373="H"),IF($AY3373="YES","",IF($AB3373&lt;&gt;0,"",IF(COUNTIFS('AR SALES'!$L$2:$L$2501,$L3373,'AR SALES'!$AD$2:$AD$2501,IF(""&amp;$F3373="4","OFF","ON"),'AR SALES'!$AF$2:$AF$2501,"Y")&gt;0,"","NO EXEMPTION"))),"")</f>
        <v/>
      </c>
    </row>
    <row r="3374" spans="46:54" x14ac:dyDescent="0.25">
      <c r="AT3374" s="2" t="str">
        <f>IF($L3374="","",IFERROR(INDEX('AR SALES'!$H$2:$H$2501,MATCH(""&amp;$L3374,'AR SALES'!$AE$2:$AE$2501,0)),""))</f>
        <v/>
      </c>
      <c r="AU3374" s="2" t="str">
        <f t="shared" si="208"/>
        <v/>
      </c>
      <c r="AV3374" s="2" t="str">
        <f t="shared" si="209"/>
        <v/>
      </c>
      <c r="AW3374" s="2" t="str">
        <f t="shared" si="210"/>
        <v/>
      </c>
      <c r="AX3374" s="2" t="str">
        <f t="shared" si="211"/>
        <v/>
      </c>
      <c r="AY3374" s="2" t="str">
        <f>IF($AV3374="","",IF(AND($Z3374=0,COUNTIF('AR SALES'!$L$2:$L$2501,$L3374)=0),"YES",""))</f>
        <v/>
      </c>
      <c r="AZ3374" s="2" t="str">
        <f>IF($AV3374="","",IF(COUNTIF(LISTS!$C$2:$C$250,$AU3374)=0,"NEW",""))</f>
        <v/>
      </c>
      <c r="BA3374" s="2" t="str">
        <f>IF(""&amp;$F3374&lt;&gt;"4","",IF($AY3374="YES","",IF(ROUND(SUMIFS($AE$2:$AE$4001,$L$2:$L$4001,$L3374,$F$2:$F$4001,"4")-SUMIFS('AR SALES'!$Y$2:$Y$2501,'AR SALES'!$L$2:$L$2501,$L3374,'AR SALES'!$AD$2:$AD$2501,"OFF"),2)=0,"","STALE")))</f>
        <v/>
      </c>
      <c r="BB3374" s="2" t="str">
        <f>IF(OR(""&amp;$F3374="2",""&amp;$F3374="4",""&amp;$F3374="G",""&amp;$F3374="H"),IF($AY3374="YES","",IF($AB3374&lt;&gt;0,"",IF(COUNTIFS('AR SALES'!$L$2:$L$2501,$L3374,'AR SALES'!$AD$2:$AD$2501,IF(""&amp;$F3374="4","OFF","ON"),'AR SALES'!$AF$2:$AF$2501,"Y")&gt;0,"","NO EXEMPTION"))),"")</f>
        <v/>
      </c>
    </row>
    <row r="3375" spans="46:54" x14ac:dyDescent="0.25">
      <c r="AT3375" s="2" t="str">
        <f>IF($L3375="","",IFERROR(INDEX('AR SALES'!$H$2:$H$2501,MATCH(""&amp;$L3375,'AR SALES'!$AE$2:$AE$2501,0)),""))</f>
        <v/>
      </c>
      <c r="AU3375" s="2" t="str">
        <f t="shared" si="208"/>
        <v/>
      </c>
      <c r="AV3375" s="2" t="str">
        <f t="shared" si="209"/>
        <v/>
      </c>
      <c r="AW3375" s="2" t="str">
        <f t="shared" si="210"/>
        <v/>
      </c>
      <c r="AX3375" s="2" t="str">
        <f t="shared" si="211"/>
        <v/>
      </c>
      <c r="AY3375" s="2" t="str">
        <f>IF($AV3375="","",IF(AND($Z3375=0,COUNTIF('AR SALES'!$L$2:$L$2501,$L3375)=0),"YES",""))</f>
        <v/>
      </c>
      <c r="AZ3375" s="2" t="str">
        <f>IF($AV3375="","",IF(COUNTIF(LISTS!$C$2:$C$250,$AU3375)=0,"NEW",""))</f>
        <v/>
      </c>
      <c r="BA3375" s="2" t="str">
        <f>IF(""&amp;$F3375&lt;&gt;"4","",IF($AY3375="YES","",IF(ROUND(SUMIFS($AE$2:$AE$4001,$L$2:$L$4001,$L3375,$F$2:$F$4001,"4")-SUMIFS('AR SALES'!$Y$2:$Y$2501,'AR SALES'!$L$2:$L$2501,$L3375,'AR SALES'!$AD$2:$AD$2501,"OFF"),2)=0,"","STALE")))</f>
        <v/>
      </c>
      <c r="BB3375" s="2" t="str">
        <f>IF(OR(""&amp;$F3375="2",""&amp;$F3375="4",""&amp;$F3375="G",""&amp;$F3375="H"),IF($AY3375="YES","",IF($AB3375&lt;&gt;0,"",IF(COUNTIFS('AR SALES'!$L$2:$L$2501,$L3375,'AR SALES'!$AD$2:$AD$2501,IF(""&amp;$F3375="4","OFF","ON"),'AR SALES'!$AF$2:$AF$2501,"Y")&gt;0,"","NO EXEMPTION"))),"")</f>
        <v/>
      </c>
    </row>
    <row r="3376" spans="46:54" x14ac:dyDescent="0.25">
      <c r="AT3376" s="2" t="str">
        <f>IF($L3376="","",IFERROR(INDEX('AR SALES'!$H$2:$H$2501,MATCH(""&amp;$L3376,'AR SALES'!$AE$2:$AE$2501,0)),""))</f>
        <v/>
      </c>
      <c r="AU3376" s="2" t="str">
        <f t="shared" si="208"/>
        <v/>
      </c>
      <c r="AV3376" s="2" t="str">
        <f t="shared" si="209"/>
        <v/>
      </c>
      <c r="AW3376" s="2" t="str">
        <f t="shared" si="210"/>
        <v/>
      </c>
      <c r="AX3376" s="2" t="str">
        <f t="shared" si="211"/>
        <v/>
      </c>
      <c r="AY3376" s="2" t="str">
        <f>IF($AV3376="","",IF(AND($Z3376=0,COUNTIF('AR SALES'!$L$2:$L$2501,$L3376)=0),"YES",""))</f>
        <v/>
      </c>
      <c r="AZ3376" s="2" t="str">
        <f>IF($AV3376="","",IF(COUNTIF(LISTS!$C$2:$C$250,$AU3376)=0,"NEW",""))</f>
        <v/>
      </c>
      <c r="BA3376" s="2" t="str">
        <f>IF(""&amp;$F3376&lt;&gt;"4","",IF($AY3376="YES","",IF(ROUND(SUMIFS($AE$2:$AE$4001,$L$2:$L$4001,$L3376,$F$2:$F$4001,"4")-SUMIFS('AR SALES'!$Y$2:$Y$2501,'AR SALES'!$L$2:$L$2501,$L3376,'AR SALES'!$AD$2:$AD$2501,"OFF"),2)=0,"","STALE")))</f>
        <v/>
      </c>
      <c r="BB3376" s="2" t="str">
        <f>IF(OR(""&amp;$F3376="2",""&amp;$F3376="4",""&amp;$F3376="G",""&amp;$F3376="H"),IF($AY3376="YES","",IF($AB3376&lt;&gt;0,"",IF(COUNTIFS('AR SALES'!$L$2:$L$2501,$L3376,'AR SALES'!$AD$2:$AD$2501,IF(""&amp;$F3376="4","OFF","ON"),'AR SALES'!$AF$2:$AF$2501,"Y")&gt;0,"","NO EXEMPTION"))),"")</f>
        <v/>
      </c>
    </row>
    <row r="3377" spans="46:54" x14ac:dyDescent="0.25">
      <c r="AT3377" s="2" t="str">
        <f>IF($L3377="","",IFERROR(INDEX('AR SALES'!$H$2:$H$2501,MATCH(""&amp;$L3377,'AR SALES'!$AE$2:$AE$2501,0)),""))</f>
        <v/>
      </c>
      <c r="AU3377" s="2" t="str">
        <f t="shared" si="208"/>
        <v/>
      </c>
      <c r="AV3377" s="2" t="str">
        <f t="shared" si="209"/>
        <v/>
      </c>
      <c r="AW3377" s="2" t="str">
        <f t="shared" si="210"/>
        <v/>
      </c>
      <c r="AX3377" s="2" t="str">
        <f t="shared" si="211"/>
        <v/>
      </c>
      <c r="AY3377" s="2" t="str">
        <f>IF($AV3377="","",IF(AND($Z3377=0,COUNTIF('AR SALES'!$L$2:$L$2501,$L3377)=0),"YES",""))</f>
        <v/>
      </c>
      <c r="AZ3377" s="2" t="str">
        <f>IF($AV3377="","",IF(COUNTIF(LISTS!$C$2:$C$250,$AU3377)=0,"NEW",""))</f>
        <v/>
      </c>
      <c r="BA3377" s="2" t="str">
        <f>IF(""&amp;$F3377&lt;&gt;"4","",IF($AY3377="YES","",IF(ROUND(SUMIFS($AE$2:$AE$4001,$L$2:$L$4001,$L3377,$F$2:$F$4001,"4")-SUMIFS('AR SALES'!$Y$2:$Y$2501,'AR SALES'!$L$2:$L$2501,$L3377,'AR SALES'!$AD$2:$AD$2501,"OFF"),2)=0,"","STALE")))</f>
        <v/>
      </c>
      <c r="BB3377" s="2" t="str">
        <f>IF(OR(""&amp;$F3377="2",""&amp;$F3377="4",""&amp;$F3377="G",""&amp;$F3377="H"),IF($AY3377="YES","",IF($AB3377&lt;&gt;0,"",IF(COUNTIFS('AR SALES'!$L$2:$L$2501,$L3377,'AR SALES'!$AD$2:$AD$2501,IF(""&amp;$F3377="4","OFF","ON"),'AR SALES'!$AF$2:$AF$2501,"Y")&gt;0,"","NO EXEMPTION"))),"")</f>
        <v/>
      </c>
    </row>
    <row r="3378" spans="46:54" x14ac:dyDescent="0.25">
      <c r="AT3378" s="2" t="str">
        <f>IF($L3378="","",IFERROR(INDEX('AR SALES'!$H$2:$H$2501,MATCH(""&amp;$L3378,'AR SALES'!$AE$2:$AE$2501,0)),""))</f>
        <v/>
      </c>
      <c r="AU3378" s="2" t="str">
        <f t="shared" si="208"/>
        <v/>
      </c>
      <c r="AV3378" s="2" t="str">
        <f t="shared" si="209"/>
        <v/>
      </c>
      <c r="AW3378" s="2" t="str">
        <f t="shared" si="210"/>
        <v/>
      </c>
      <c r="AX3378" s="2" t="str">
        <f t="shared" si="211"/>
        <v/>
      </c>
      <c r="AY3378" s="2" t="str">
        <f>IF($AV3378="","",IF(AND($Z3378=0,COUNTIF('AR SALES'!$L$2:$L$2501,$L3378)=0),"YES",""))</f>
        <v/>
      </c>
      <c r="AZ3378" s="2" t="str">
        <f>IF($AV3378="","",IF(COUNTIF(LISTS!$C$2:$C$250,$AU3378)=0,"NEW",""))</f>
        <v/>
      </c>
      <c r="BA3378" s="2" t="str">
        <f>IF(""&amp;$F3378&lt;&gt;"4","",IF($AY3378="YES","",IF(ROUND(SUMIFS($AE$2:$AE$4001,$L$2:$L$4001,$L3378,$F$2:$F$4001,"4")-SUMIFS('AR SALES'!$Y$2:$Y$2501,'AR SALES'!$L$2:$L$2501,$L3378,'AR SALES'!$AD$2:$AD$2501,"OFF"),2)=0,"","STALE")))</f>
        <v/>
      </c>
      <c r="BB3378" s="2" t="str">
        <f>IF(OR(""&amp;$F3378="2",""&amp;$F3378="4",""&amp;$F3378="G",""&amp;$F3378="H"),IF($AY3378="YES","",IF($AB3378&lt;&gt;0,"",IF(COUNTIFS('AR SALES'!$L$2:$L$2501,$L3378,'AR SALES'!$AD$2:$AD$2501,IF(""&amp;$F3378="4","OFF","ON"),'AR SALES'!$AF$2:$AF$2501,"Y")&gt;0,"","NO EXEMPTION"))),"")</f>
        <v/>
      </c>
    </row>
    <row r="3379" spans="46:54" x14ac:dyDescent="0.25">
      <c r="AT3379" s="2" t="str">
        <f>IF($L3379="","",IFERROR(INDEX('AR SALES'!$H$2:$H$2501,MATCH(""&amp;$L3379,'AR SALES'!$AE$2:$AE$2501,0)),""))</f>
        <v/>
      </c>
      <c r="AU3379" s="2" t="str">
        <f t="shared" si="208"/>
        <v/>
      </c>
      <c r="AV3379" s="2" t="str">
        <f t="shared" si="209"/>
        <v/>
      </c>
      <c r="AW3379" s="2" t="str">
        <f t="shared" si="210"/>
        <v/>
      </c>
      <c r="AX3379" s="2" t="str">
        <f t="shared" si="211"/>
        <v/>
      </c>
      <c r="AY3379" s="2" t="str">
        <f>IF($AV3379="","",IF(AND($Z3379=0,COUNTIF('AR SALES'!$L$2:$L$2501,$L3379)=0),"YES",""))</f>
        <v/>
      </c>
      <c r="AZ3379" s="2" t="str">
        <f>IF($AV3379="","",IF(COUNTIF(LISTS!$C$2:$C$250,$AU3379)=0,"NEW",""))</f>
        <v/>
      </c>
      <c r="BA3379" s="2" t="str">
        <f>IF(""&amp;$F3379&lt;&gt;"4","",IF($AY3379="YES","",IF(ROUND(SUMIFS($AE$2:$AE$4001,$L$2:$L$4001,$L3379,$F$2:$F$4001,"4")-SUMIFS('AR SALES'!$Y$2:$Y$2501,'AR SALES'!$L$2:$L$2501,$L3379,'AR SALES'!$AD$2:$AD$2501,"OFF"),2)=0,"","STALE")))</f>
        <v/>
      </c>
      <c r="BB3379" s="2" t="str">
        <f>IF(OR(""&amp;$F3379="2",""&amp;$F3379="4",""&amp;$F3379="G",""&amp;$F3379="H"),IF($AY3379="YES","",IF($AB3379&lt;&gt;0,"",IF(COUNTIFS('AR SALES'!$L$2:$L$2501,$L3379,'AR SALES'!$AD$2:$AD$2501,IF(""&amp;$F3379="4","OFF","ON"),'AR SALES'!$AF$2:$AF$2501,"Y")&gt;0,"","NO EXEMPTION"))),"")</f>
        <v/>
      </c>
    </row>
    <row r="3380" spans="46:54" x14ac:dyDescent="0.25">
      <c r="AT3380" s="2" t="str">
        <f>IF($L3380="","",IFERROR(INDEX('AR SALES'!$H$2:$H$2501,MATCH(""&amp;$L3380,'AR SALES'!$AE$2:$AE$2501,0)),""))</f>
        <v/>
      </c>
      <c r="AU3380" s="2" t="str">
        <f t="shared" si="208"/>
        <v/>
      </c>
      <c r="AV3380" s="2" t="str">
        <f t="shared" si="209"/>
        <v/>
      </c>
      <c r="AW3380" s="2" t="str">
        <f t="shared" si="210"/>
        <v/>
      </c>
      <c r="AX3380" s="2" t="str">
        <f t="shared" si="211"/>
        <v/>
      </c>
      <c r="AY3380" s="2" t="str">
        <f>IF($AV3380="","",IF(AND($Z3380=0,COUNTIF('AR SALES'!$L$2:$L$2501,$L3380)=0),"YES",""))</f>
        <v/>
      </c>
      <c r="AZ3380" s="2" t="str">
        <f>IF($AV3380="","",IF(COUNTIF(LISTS!$C$2:$C$250,$AU3380)=0,"NEW",""))</f>
        <v/>
      </c>
      <c r="BA3380" s="2" t="str">
        <f>IF(""&amp;$F3380&lt;&gt;"4","",IF($AY3380="YES","",IF(ROUND(SUMIFS($AE$2:$AE$4001,$L$2:$L$4001,$L3380,$F$2:$F$4001,"4")-SUMIFS('AR SALES'!$Y$2:$Y$2501,'AR SALES'!$L$2:$L$2501,$L3380,'AR SALES'!$AD$2:$AD$2501,"OFF"),2)=0,"","STALE")))</f>
        <v/>
      </c>
      <c r="BB3380" s="2" t="str">
        <f>IF(OR(""&amp;$F3380="2",""&amp;$F3380="4",""&amp;$F3380="G",""&amp;$F3380="H"),IF($AY3380="YES","",IF($AB3380&lt;&gt;0,"",IF(COUNTIFS('AR SALES'!$L$2:$L$2501,$L3380,'AR SALES'!$AD$2:$AD$2501,IF(""&amp;$F3380="4","OFF","ON"),'AR SALES'!$AF$2:$AF$2501,"Y")&gt;0,"","NO EXEMPTION"))),"")</f>
        <v/>
      </c>
    </row>
    <row r="3381" spans="46:54" x14ac:dyDescent="0.25">
      <c r="AT3381" s="2" t="str">
        <f>IF($L3381="","",IFERROR(INDEX('AR SALES'!$H$2:$H$2501,MATCH(""&amp;$L3381,'AR SALES'!$AE$2:$AE$2501,0)),""))</f>
        <v/>
      </c>
      <c r="AU3381" s="2" t="str">
        <f t="shared" si="208"/>
        <v/>
      </c>
      <c r="AV3381" s="2" t="str">
        <f t="shared" si="209"/>
        <v/>
      </c>
      <c r="AW3381" s="2" t="str">
        <f t="shared" si="210"/>
        <v/>
      </c>
      <c r="AX3381" s="2" t="str">
        <f t="shared" si="211"/>
        <v/>
      </c>
      <c r="AY3381" s="2" t="str">
        <f>IF($AV3381="","",IF(AND($Z3381=0,COUNTIF('AR SALES'!$L$2:$L$2501,$L3381)=0),"YES",""))</f>
        <v/>
      </c>
      <c r="AZ3381" s="2" t="str">
        <f>IF($AV3381="","",IF(COUNTIF(LISTS!$C$2:$C$250,$AU3381)=0,"NEW",""))</f>
        <v/>
      </c>
      <c r="BA3381" s="2" t="str">
        <f>IF(""&amp;$F3381&lt;&gt;"4","",IF($AY3381="YES","",IF(ROUND(SUMIFS($AE$2:$AE$4001,$L$2:$L$4001,$L3381,$F$2:$F$4001,"4")-SUMIFS('AR SALES'!$Y$2:$Y$2501,'AR SALES'!$L$2:$L$2501,$L3381,'AR SALES'!$AD$2:$AD$2501,"OFF"),2)=0,"","STALE")))</f>
        <v/>
      </c>
      <c r="BB3381" s="2" t="str">
        <f>IF(OR(""&amp;$F3381="2",""&amp;$F3381="4",""&amp;$F3381="G",""&amp;$F3381="H"),IF($AY3381="YES","",IF($AB3381&lt;&gt;0,"",IF(COUNTIFS('AR SALES'!$L$2:$L$2501,$L3381,'AR SALES'!$AD$2:$AD$2501,IF(""&amp;$F3381="4","OFF","ON"),'AR SALES'!$AF$2:$AF$2501,"Y")&gt;0,"","NO EXEMPTION"))),"")</f>
        <v/>
      </c>
    </row>
    <row r="3382" spans="46:54" x14ac:dyDescent="0.25">
      <c r="AT3382" s="2" t="str">
        <f>IF($L3382="","",IFERROR(INDEX('AR SALES'!$H$2:$H$2501,MATCH(""&amp;$L3382,'AR SALES'!$AE$2:$AE$2501,0)),""))</f>
        <v/>
      </c>
      <c r="AU3382" s="2" t="str">
        <f t="shared" si="208"/>
        <v/>
      </c>
      <c r="AV3382" s="2" t="str">
        <f t="shared" si="209"/>
        <v/>
      </c>
      <c r="AW3382" s="2" t="str">
        <f t="shared" si="210"/>
        <v/>
      </c>
      <c r="AX3382" s="2" t="str">
        <f t="shared" si="211"/>
        <v/>
      </c>
      <c r="AY3382" s="2" t="str">
        <f>IF($AV3382="","",IF(AND($Z3382=0,COUNTIF('AR SALES'!$L$2:$L$2501,$L3382)=0),"YES",""))</f>
        <v/>
      </c>
      <c r="AZ3382" s="2" t="str">
        <f>IF($AV3382="","",IF(COUNTIF(LISTS!$C$2:$C$250,$AU3382)=0,"NEW",""))</f>
        <v/>
      </c>
      <c r="BA3382" s="2" t="str">
        <f>IF(""&amp;$F3382&lt;&gt;"4","",IF($AY3382="YES","",IF(ROUND(SUMIFS($AE$2:$AE$4001,$L$2:$L$4001,$L3382,$F$2:$F$4001,"4")-SUMIFS('AR SALES'!$Y$2:$Y$2501,'AR SALES'!$L$2:$L$2501,$L3382,'AR SALES'!$AD$2:$AD$2501,"OFF"),2)=0,"","STALE")))</f>
        <v/>
      </c>
      <c r="BB3382" s="2" t="str">
        <f>IF(OR(""&amp;$F3382="2",""&amp;$F3382="4",""&amp;$F3382="G",""&amp;$F3382="H"),IF($AY3382="YES","",IF($AB3382&lt;&gt;0,"",IF(COUNTIFS('AR SALES'!$L$2:$L$2501,$L3382,'AR SALES'!$AD$2:$AD$2501,IF(""&amp;$F3382="4","OFF","ON"),'AR SALES'!$AF$2:$AF$2501,"Y")&gt;0,"","NO EXEMPTION"))),"")</f>
        <v/>
      </c>
    </row>
    <row r="3383" spans="46:54" x14ac:dyDescent="0.25">
      <c r="AT3383" s="2" t="str">
        <f>IF($L3383="","",IFERROR(INDEX('AR SALES'!$H$2:$H$2501,MATCH(""&amp;$L3383,'AR SALES'!$AE$2:$AE$2501,0)),""))</f>
        <v/>
      </c>
      <c r="AU3383" s="2" t="str">
        <f t="shared" si="208"/>
        <v/>
      </c>
      <c r="AV3383" s="2" t="str">
        <f t="shared" si="209"/>
        <v/>
      </c>
      <c r="AW3383" s="2" t="str">
        <f t="shared" si="210"/>
        <v/>
      </c>
      <c r="AX3383" s="2" t="str">
        <f t="shared" si="211"/>
        <v/>
      </c>
      <c r="AY3383" s="2" t="str">
        <f>IF($AV3383="","",IF(AND($Z3383=0,COUNTIF('AR SALES'!$L$2:$L$2501,$L3383)=0),"YES",""))</f>
        <v/>
      </c>
      <c r="AZ3383" s="2" t="str">
        <f>IF($AV3383="","",IF(COUNTIF(LISTS!$C$2:$C$250,$AU3383)=0,"NEW",""))</f>
        <v/>
      </c>
      <c r="BA3383" s="2" t="str">
        <f>IF(""&amp;$F3383&lt;&gt;"4","",IF($AY3383="YES","",IF(ROUND(SUMIFS($AE$2:$AE$4001,$L$2:$L$4001,$L3383,$F$2:$F$4001,"4")-SUMIFS('AR SALES'!$Y$2:$Y$2501,'AR SALES'!$L$2:$L$2501,$L3383,'AR SALES'!$AD$2:$AD$2501,"OFF"),2)=0,"","STALE")))</f>
        <v/>
      </c>
      <c r="BB3383" s="2" t="str">
        <f>IF(OR(""&amp;$F3383="2",""&amp;$F3383="4",""&amp;$F3383="G",""&amp;$F3383="H"),IF($AY3383="YES","",IF($AB3383&lt;&gt;0,"",IF(COUNTIFS('AR SALES'!$L$2:$L$2501,$L3383,'AR SALES'!$AD$2:$AD$2501,IF(""&amp;$F3383="4","OFF","ON"),'AR SALES'!$AF$2:$AF$2501,"Y")&gt;0,"","NO EXEMPTION"))),"")</f>
        <v/>
      </c>
    </row>
    <row r="3384" spans="46:54" x14ac:dyDescent="0.25">
      <c r="AT3384" s="2" t="str">
        <f>IF($L3384="","",IFERROR(INDEX('AR SALES'!$H$2:$H$2501,MATCH(""&amp;$L3384,'AR SALES'!$AE$2:$AE$2501,0)),""))</f>
        <v/>
      </c>
      <c r="AU3384" s="2" t="str">
        <f t="shared" si="208"/>
        <v/>
      </c>
      <c r="AV3384" s="2" t="str">
        <f t="shared" si="209"/>
        <v/>
      </c>
      <c r="AW3384" s="2" t="str">
        <f t="shared" si="210"/>
        <v/>
      </c>
      <c r="AX3384" s="2" t="str">
        <f t="shared" si="211"/>
        <v/>
      </c>
      <c r="AY3384" s="2" t="str">
        <f>IF($AV3384="","",IF(AND($Z3384=0,COUNTIF('AR SALES'!$L$2:$L$2501,$L3384)=0),"YES",""))</f>
        <v/>
      </c>
      <c r="AZ3384" s="2" t="str">
        <f>IF($AV3384="","",IF(COUNTIF(LISTS!$C$2:$C$250,$AU3384)=0,"NEW",""))</f>
        <v/>
      </c>
      <c r="BA3384" s="2" t="str">
        <f>IF(""&amp;$F3384&lt;&gt;"4","",IF($AY3384="YES","",IF(ROUND(SUMIFS($AE$2:$AE$4001,$L$2:$L$4001,$L3384,$F$2:$F$4001,"4")-SUMIFS('AR SALES'!$Y$2:$Y$2501,'AR SALES'!$L$2:$L$2501,$L3384,'AR SALES'!$AD$2:$AD$2501,"OFF"),2)=0,"","STALE")))</f>
        <v/>
      </c>
      <c r="BB3384" s="2" t="str">
        <f>IF(OR(""&amp;$F3384="2",""&amp;$F3384="4",""&amp;$F3384="G",""&amp;$F3384="H"),IF($AY3384="YES","",IF($AB3384&lt;&gt;0,"",IF(COUNTIFS('AR SALES'!$L$2:$L$2501,$L3384,'AR SALES'!$AD$2:$AD$2501,IF(""&amp;$F3384="4","OFF","ON"),'AR SALES'!$AF$2:$AF$2501,"Y")&gt;0,"","NO EXEMPTION"))),"")</f>
        <v/>
      </c>
    </row>
    <row r="3385" spans="46:54" x14ac:dyDescent="0.25">
      <c r="AT3385" s="2" t="str">
        <f>IF($L3385="","",IFERROR(INDEX('AR SALES'!$H$2:$H$2501,MATCH(""&amp;$L3385,'AR SALES'!$AE$2:$AE$2501,0)),""))</f>
        <v/>
      </c>
      <c r="AU3385" s="2" t="str">
        <f t="shared" si="208"/>
        <v/>
      </c>
      <c r="AV3385" s="2" t="str">
        <f t="shared" si="209"/>
        <v/>
      </c>
      <c r="AW3385" s="2" t="str">
        <f t="shared" si="210"/>
        <v/>
      </c>
      <c r="AX3385" s="2" t="str">
        <f t="shared" si="211"/>
        <v/>
      </c>
      <c r="AY3385" s="2" t="str">
        <f>IF($AV3385="","",IF(AND($Z3385=0,COUNTIF('AR SALES'!$L$2:$L$2501,$L3385)=0),"YES",""))</f>
        <v/>
      </c>
      <c r="AZ3385" s="2" t="str">
        <f>IF($AV3385="","",IF(COUNTIF(LISTS!$C$2:$C$250,$AU3385)=0,"NEW",""))</f>
        <v/>
      </c>
      <c r="BA3385" s="2" t="str">
        <f>IF(""&amp;$F3385&lt;&gt;"4","",IF($AY3385="YES","",IF(ROUND(SUMIFS($AE$2:$AE$4001,$L$2:$L$4001,$L3385,$F$2:$F$4001,"4")-SUMIFS('AR SALES'!$Y$2:$Y$2501,'AR SALES'!$L$2:$L$2501,$L3385,'AR SALES'!$AD$2:$AD$2501,"OFF"),2)=0,"","STALE")))</f>
        <v/>
      </c>
      <c r="BB3385" s="2" t="str">
        <f>IF(OR(""&amp;$F3385="2",""&amp;$F3385="4",""&amp;$F3385="G",""&amp;$F3385="H"),IF($AY3385="YES","",IF($AB3385&lt;&gt;0,"",IF(COUNTIFS('AR SALES'!$L$2:$L$2501,$L3385,'AR SALES'!$AD$2:$AD$2501,IF(""&amp;$F3385="4","OFF","ON"),'AR SALES'!$AF$2:$AF$2501,"Y")&gt;0,"","NO EXEMPTION"))),"")</f>
        <v/>
      </c>
    </row>
    <row r="3386" spans="46:54" x14ac:dyDescent="0.25">
      <c r="AT3386" s="2" t="str">
        <f>IF($L3386="","",IFERROR(INDEX('AR SALES'!$H$2:$H$2501,MATCH(""&amp;$L3386,'AR SALES'!$AE$2:$AE$2501,0)),""))</f>
        <v/>
      </c>
      <c r="AU3386" s="2" t="str">
        <f t="shared" si="208"/>
        <v/>
      </c>
      <c r="AV3386" s="2" t="str">
        <f t="shared" si="209"/>
        <v/>
      </c>
      <c r="AW3386" s="2" t="str">
        <f t="shared" si="210"/>
        <v/>
      </c>
      <c r="AX3386" s="2" t="str">
        <f t="shared" si="211"/>
        <v/>
      </c>
      <c r="AY3386" s="2" t="str">
        <f>IF($AV3386="","",IF(AND($Z3386=0,COUNTIF('AR SALES'!$L$2:$L$2501,$L3386)=0),"YES",""))</f>
        <v/>
      </c>
      <c r="AZ3386" s="2" t="str">
        <f>IF($AV3386="","",IF(COUNTIF(LISTS!$C$2:$C$250,$AU3386)=0,"NEW",""))</f>
        <v/>
      </c>
      <c r="BA3386" s="2" t="str">
        <f>IF(""&amp;$F3386&lt;&gt;"4","",IF($AY3386="YES","",IF(ROUND(SUMIFS($AE$2:$AE$4001,$L$2:$L$4001,$L3386,$F$2:$F$4001,"4")-SUMIFS('AR SALES'!$Y$2:$Y$2501,'AR SALES'!$L$2:$L$2501,$L3386,'AR SALES'!$AD$2:$AD$2501,"OFF"),2)=0,"","STALE")))</f>
        <v/>
      </c>
      <c r="BB3386" s="2" t="str">
        <f>IF(OR(""&amp;$F3386="2",""&amp;$F3386="4",""&amp;$F3386="G",""&amp;$F3386="H"),IF($AY3386="YES","",IF($AB3386&lt;&gt;0,"",IF(COUNTIFS('AR SALES'!$L$2:$L$2501,$L3386,'AR SALES'!$AD$2:$AD$2501,IF(""&amp;$F3386="4","OFF","ON"),'AR SALES'!$AF$2:$AF$2501,"Y")&gt;0,"","NO EXEMPTION"))),"")</f>
        <v/>
      </c>
    </row>
    <row r="3387" spans="46:54" x14ac:dyDescent="0.25">
      <c r="AT3387" s="2" t="str">
        <f>IF($L3387="","",IFERROR(INDEX('AR SALES'!$H$2:$H$2501,MATCH(""&amp;$L3387,'AR SALES'!$AE$2:$AE$2501,0)),""))</f>
        <v/>
      </c>
      <c r="AU3387" s="2" t="str">
        <f t="shared" si="208"/>
        <v/>
      </c>
      <c r="AV3387" s="2" t="str">
        <f t="shared" si="209"/>
        <v/>
      </c>
      <c r="AW3387" s="2" t="str">
        <f t="shared" si="210"/>
        <v/>
      </c>
      <c r="AX3387" s="2" t="str">
        <f t="shared" si="211"/>
        <v/>
      </c>
      <c r="AY3387" s="2" t="str">
        <f>IF($AV3387="","",IF(AND($Z3387=0,COUNTIF('AR SALES'!$L$2:$L$2501,$L3387)=0),"YES",""))</f>
        <v/>
      </c>
      <c r="AZ3387" s="2" t="str">
        <f>IF($AV3387="","",IF(COUNTIF(LISTS!$C$2:$C$250,$AU3387)=0,"NEW",""))</f>
        <v/>
      </c>
      <c r="BA3387" s="2" t="str">
        <f>IF(""&amp;$F3387&lt;&gt;"4","",IF($AY3387="YES","",IF(ROUND(SUMIFS($AE$2:$AE$4001,$L$2:$L$4001,$L3387,$F$2:$F$4001,"4")-SUMIFS('AR SALES'!$Y$2:$Y$2501,'AR SALES'!$L$2:$L$2501,$L3387,'AR SALES'!$AD$2:$AD$2501,"OFF"),2)=0,"","STALE")))</f>
        <v/>
      </c>
      <c r="BB3387" s="2" t="str">
        <f>IF(OR(""&amp;$F3387="2",""&amp;$F3387="4",""&amp;$F3387="G",""&amp;$F3387="H"),IF($AY3387="YES","",IF($AB3387&lt;&gt;0,"",IF(COUNTIFS('AR SALES'!$L$2:$L$2501,$L3387,'AR SALES'!$AD$2:$AD$2501,IF(""&amp;$F3387="4","OFF","ON"),'AR SALES'!$AF$2:$AF$2501,"Y")&gt;0,"","NO EXEMPTION"))),"")</f>
        <v/>
      </c>
    </row>
    <row r="3388" spans="46:54" x14ac:dyDescent="0.25">
      <c r="AT3388" s="2" t="str">
        <f>IF($L3388="","",IFERROR(INDEX('AR SALES'!$H$2:$H$2501,MATCH(""&amp;$L3388,'AR SALES'!$AE$2:$AE$2501,0)),""))</f>
        <v/>
      </c>
      <c r="AU3388" s="2" t="str">
        <f t="shared" si="208"/>
        <v/>
      </c>
      <c r="AV3388" s="2" t="str">
        <f t="shared" si="209"/>
        <v/>
      </c>
      <c r="AW3388" s="2" t="str">
        <f t="shared" si="210"/>
        <v/>
      </c>
      <c r="AX3388" s="2" t="str">
        <f t="shared" si="211"/>
        <v/>
      </c>
      <c r="AY3388" s="2" t="str">
        <f>IF($AV3388="","",IF(AND($Z3388=0,COUNTIF('AR SALES'!$L$2:$L$2501,$L3388)=0),"YES",""))</f>
        <v/>
      </c>
      <c r="AZ3388" s="2" t="str">
        <f>IF($AV3388="","",IF(COUNTIF(LISTS!$C$2:$C$250,$AU3388)=0,"NEW",""))</f>
        <v/>
      </c>
      <c r="BA3388" s="2" t="str">
        <f>IF(""&amp;$F3388&lt;&gt;"4","",IF($AY3388="YES","",IF(ROUND(SUMIFS($AE$2:$AE$4001,$L$2:$L$4001,$L3388,$F$2:$F$4001,"4")-SUMIFS('AR SALES'!$Y$2:$Y$2501,'AR SALES'!$L$2:$L$2501,$L3388,'AR SALES'!$AD$2:$AD$2501,"OFF"),2)=0,"","STALE")))</f>
        <v/>
      </c>
      <c r="BB3388" s="2" t="str">
        <f>IF(OR(""&amp;$F3388="2",""&amp;$F3388="4",""&amp;$F3388="G",""&amp;$F3388="H"),IF($AY3388="YES","",IF($AB3388&lt;&gt;0,"",IF(COUNTIFS('AR SALES'!$L$2:$L$2501,$L3388,'AR SALES'!$AD$2:$AD$2501,IF(""&amp;$F3388="4","OFF","ON"),'AR SALES'!$AF$2:$AF$2501,"Y")&gt;0,"","NO EXEMPTION"))),"")</f>
        <v/>
      </c>
    </row>
    <row r="3389" spans="46:54" x14ac:dyDescent="0.25">
      <c r="AT3389" s="2" t="str">
        <f>IF($L3389="","",IFERROR(INDEX('AR SALES'!$H$2:$H$2501,MATCH(""&amp;$L3389,'AR SALES'!$AE$2:$AE$2501,0)),""))</f>
        <v/>
      </c>
      <c r="AU3389" s="2" t="str">
        <f t="shared" si="208"/>
        <v/>
      </c>
      <c r="AV3389" s="2" t="str">
        <f t="shared" si="209"/>
        <v/>
      </c>
      <c r="AW3389" s="2" t="str">
        <f t="shared" si="210"/>
        <v/>
      </c>
      <c r="AX3389" s="2" t="str">
        <f t="shared" si="211"/>
        <v/>
      </c>
      <c r="AY3389" s="2" t="str">
        <f>IF($AV3389="","",IF(AND($Z3389=0,COUNTIF('AR SALES'!$L$2:$L$2501,$L3389)=0),"YES",""))</f>
        <v/>
      </c>
      <c r="AZ3389" s="2" t="str">
        <f>IF($AV3389="","",IF(COUNTIF(LISTS!$C$2:$C$250,$AU3389)=0,"NEW",""))</f>
        <v/>
      </c>
      <c r="BA3389" s="2" t="str">
        <f>IF(""&amp;$F3389&lt;&gt;"4","",IF($AY3389="YES","",IF(ROUND(SUMIFS($AE$2:$AE$4001,$L$2:$L$4001,$L3389,$F$2:$F$4001,"4")-SUMIFS('AR SALES'!$Y$2:$Y$2501,'AR SALES'!$L$2:$L$2501,$L3389,'AR SALES'!$AD$2:$AD$2501,"OFF"),2)=0,"","STALE")))</f>
        <v/>
      </c>
      <c r="BB3389" s="2" t="str">
        <f>IF(OR(""&amp;$F3389="2",""&amp;$F3389="4",""&amp;$F3389="G",""&amp;$F3389="H"),IF($AY3389="YES","",IF($AB3389&lt;&gt;0,"",IF(COUNTIFS('AR SALES'!$L$2:$L$2501,$L3389,'AR SALES'!$AD$2:$AD$2501,IF(""&amp;$F3389="4","OFF","ON"),'AR SALES'!$AF$2:$AF$2501,"Y")&gt;0,"","NO EXEMPTION"))),"")</f>
        <v/>
      </c>
    </row>
    <row r="3390" spans="46:54" x14ac:dyDescent="0.25">
      <c r="AT3390" s="2" t="str">
        <f>IF($L3390="","",IFERROR(INDEX('AR SALES'!$H$2:$H$2501,MATCH(""&amp;$L3390,'AR SALES'!$AE$2:$AE$2501,0)),""))</f>
        <v/>
      </c>
      <c r="AU3390" s="2" t="str">
        <f t="shared" si="208"/>
        <v/>
      </c>
      <c r="AV3390" s="2" t="str">
        <f t="shared" si="209"/>
        <v/>
      </c>
      <c r="AW3390" s="2" t="str">
        <f t="shared" si="210"/>
        <v/>
      </c>
      <c r="AX3390" s="2" t="str">
        <f t="shared" si="211"/>
        <v/>
      </c>
      <c r="AY3390" s="2" t="str">
        <f>IF($AV3390="","",IF(AND($Z3390=0,COUNTIF('AR SALES'!$L$2:$L$2501,$L3390)=0),"YES",""))</f>
        <v/>
      </c>
      <c r="AZ3390" s="2" t="str">
        <f>IF($AV3390="","",IF(COUNTIF(LISTS!$C$2:$C$250,$AU3390)=0,"NEW",""))</f>
        <v/>
      </c>
      <c r="BA3390" s="2" t="str">
        <f>IF(""&amp;$F3390&lt;&gt;"4","",IF($AY3390="YES","",IF(ROUND(SUMIFS($AE$2:$AE$4001,$L$2:$L$4001,$L3390,$F$2:$F$4001,"4")-SUMIFS('AR SALES'!$Y$2:$Y$2501,'AR SALES'!$L$2:$L$2501,$L3390,'AR SALES'!$AD$2:$AD$2501,"OFF"),2)=0,"","STALE")))</f>
        <v/>
      </c>
      <c r="BB3390" s="2" t="str">
        <f>IF(OR(""&amp;$F3390="2",""&amp;$F3390="4",""&amp;$F3390="G",""&amp;$F3390="H"),IF($AY3390="YES","",IF($AB3390&lt;&gt;0,"",IF(COUNTIFS('AR SALES'!$L$2:$L$2501,$L3390,'AR SALES'!$AD$2:$AD$2501,IF(""&amp;$F3390="4","OFF","ON"),'AR SALES'!$AF$2:$AF$2501,"Y")&gt;0,"","NO EXEMPTION"))),"")</f>
        <v/>
      </c>
    </row>
    <row r="3391" spans="46:54" x14ac:dyDescent="0.25">
      <c r="AT3391" s="2" t="str">
        <f>IF($L3391="","",IFERROR(INDEX('AR SALES'!$H$2:$H$2501,MATCH(""&amp;$L3391,'AR SALES'!$AE$2:$AE$2501,0)),""))</f>
        <v/>
      </c>
      <c r="AU3391" s="2" t="str">
        <f t="shared" si="208"/>
        <v/>
      </c>
      <c r="AV3391" s="2" t="str">
        <f t="shared" si="209"/>
        <v/>
      </c>
      <c r="AW3391" s="2" t="str">
        <f t="shared" si="210"/>
        <v/>
      </c>
      <c r="AX3391" s="2" t="str">
        <f t="shared" si="211"/>
        <v/>
      </c>
      <c r="AY3391" s="2" t="str">
        <f>IF($AV3391="","",IF(AND($Z3391=0,COUNTIF('AR SALES'!$L$2:$L$2501,$L3391)=0),"YES",""))</f>
        <v/>
      </c>
      <c r="AZ3391" s="2" t="str">
        <f>IF($AV3391="","",IF(COUNTIF(LISTS!$C$2:$C$250,$AU3391)=0,"NEW",""))</f>
        <v/>
      </c>
      <c r="BA3391" s="2" t="str">
        <f>IF(""&amp;$F3391&lt;&gt;"4","",IF($AY3391="YES","",IF(ROUND(SUMIFS($AE$2:$AE$4001,$L$2:$L$4001,$L3391,$F$2:$F$4001,"4")-SUMIFS('AR SALES'!$Y$2:$Y$2501,'AR SALES'!$L$2:$L$2501,$L3391,'AR SALES'!$AD$2:$AD$2501,"OFF"),2)=0,"","STALE")))</f>
        <v/>
      </c>
      <c r="BB3391" s="2" t="str">
        <f>IF(OR(""&amp;$F3391="2",""&amp;$F3391="4",""&amp;$F3391="G",""&amp;$F3391="H"),IF($AY3391="YES","",IF($AB3391&lt;&gt;0,"",IF(COUNTIFS('AR SALES'!$L$2:$L$2501,$L3391,'AR SALES'!$AD$2:$AD$2501,IF(""&amp;$F3391="4","OFF","ON"),'AR SALES'!$AF$2:$AF$2501,"Y")&gt;0,"","NO EXEMPTION"))),"")</f>
        <v/>
      </c>
    </row>
    <row r="3392" spans="46:54" x14ac:dyDescent="0.25">
      <c r="AT3392" s="2" t="str">
        <f>IF($L3392="","",IFERROR(INDEX('AR SALES'!$H$2:$H$2501,MATCH(""&amp;$L3392,'AR SALES'!$AE$2:$AE$2501,0)),""))</f>
        <v/>
      </c>
      <c r="AU3392" s="2" t="str">
        <f t="shared" si="208"/>
        <v/>
      </c>
      <c r="AV3392" s="2" t="str">
        <f t="shared" si="209"/>
        <v/>
      </c>
      <c r="AW3392" s="2" t="str">
        <f t="shared" si="210"/>
        <v/>
      </c>
      <c r="AX3392" s="2" t="str">
        <f t="shared" si="211"/>
        <v/>
      </c>
      <c r="AY3392" s="2" t="str">
        <f>IF($AV3392="","",IF(AND($Z3392=0,COUNTIF('AR SALES'!$L$2:$L$2501,$L3392)=0),"YES",""))</f>
        <v/>
      </c>
      <c r="AZ3392" s="2" t="str">
        <f>IF($AV3392="","",IF(COUNTIF(LISTS!$C$2:$C$250,$AU3392)=0,"NEW",""))</f>
        <v/>
      </c>
      <c r="BA3392" s="2" t="str">
        <f>IF(""&amp;$F3392&lt;&gt;"4","",IF($AY3392="YES","",IF(ROUND(SUMIFS($AE$2:$AE$4001,$L$2:$L$4001,$L3392,$F$2:$F$4001,"4")-SUMIFS('AR SALES'!$Y$2:$Y$2501,'AR SALES'!$L$2:$L$2501,$L3392,'AR SALES'!$AD$2:$AD$2501,"OFF"),2)=0,"","STALE")))</f>
        <v/>
      </c>
      <c r="BB3392" s="2" t="str">
        <f>IF(OR(""&amp;$F3392="2",""&amp;$F3392="4",""&amp;$F3392="G",""&amp;$F3392="H"),IF($AY3392="YES","",IF($AB3392&lt;&gt;0,"",IF(COUNTIFS('AR SALES'!$L$2:$L$2501,$L3392,'AR SALES'!$AD$2:$AD$2501,IF(""&amp;$F3392="4","OFF","ON"),'AR SALES'!$AF$2:$AF$2501,"Y")&gt;0,"","NO EXEMPTION"))),"")</f>
        <v/>
      </c>
    </row>
    <row r="3393" spans="46:54" x14ac:dyDescent="0.25">
      <c r="AT3393" s="2" t="str">
        <f>IF($L3393="","",IFERROR(INDEX('AR SALES'!$H$2:$H$2501,MATCH(""&amp;$L3393,'AR SALES'!$AE$2:$AE$2501,0)),""))</f>
        <v/>
      </c>
      <c r="AU3393" s="2" t="str">
        <f t="shared" si="208"/>
        <v/>
      </c>
      <c r="AV3393" s="2" t="str">
        <f t="shared" si="209"/>
        <v/>
      </c>
      <c r="AW3393" s="2" t="str">
        <f t="shared" si="210"/>
        <v/>
      </c>
      <c r="AX3393" s="2" t="str">
        <f t="shared" si="211"/>
        <v/>
      </c>
      <c r="AY3393" s="2" t="str">
        <f>IF($AV3393="","",IF(AND($Z3393=0,COUNTIF('AR SALES'!$L$2:$L$2501,$L3393)=0),"YES",""))</f>
        <v/>
      </c>
      <c r="AZ3393" s="2" t="str">
        <f>IF($AV3393="","",IF(COUNTIF(LISTS!$C$2:$C$250,$AU3393)=0,"NEW",""))</f>
        <v/>
      </c>
      <c r="BA3393" s="2" t="str">
        <f>IF(""&amp;$F3393&lt;&gt;"4","",IF($AY3393="YES","",IF(ROUND(SUMIFS($AE$2:$AE$4001,$L$2:$L$4001,$L3393,$F$2:$F$4001,"4")-SUMIFS('AR SALES'!$Y$2:$Y$2501,'AR SALES'!$L$2:$L$2501,$L3393,'AR SALES'!$AD$2:$AD$2501,"OFF"),2)=0,"","STALE")))</f>
        <v/>
      </c>
      <c r="BB3393" s="2" t="str">
        <f>IF(OR(""&amp;$F3393="2",""&amp;$F3393="4",""&amp;$F3393="G",""&amp;$F3393="H"),IF($AY3393="YES","",IF($AB3393&lt;&gt;0,"",IF(COUNTIFS('AR SALES'!$L$2:$L$2501,$L3393,'AR SALES'!$AD$2:$AD$2501,IF(""&amp;$F3393="4","OFF","ON"),'AR SALES'!$AF$2:$AF$2501,"Y")&gt;0,"","NO EXEMPTION"))),"")</f>
        <v/>
      </c>
    </row>
    <row r="3394" spans="46:54" x14ac:dyDescent="0.25">
      <c r="AT3394" s="2" t="str">
        <f>IF($L3394="","",IFERROR(INDEX('AR SALES'!$H$2:$H$2501,MATCH(""&amp;$L3394,'AR SALES'!$AE$2:$AE$2501,0)),""))</f>
        <v/>
      </c>
      <c r="AU3394" s="2" t="str">
        <f t="shared" ref="AU3394:AU3457" si="212">IF($L3394="","",IF($A3394&lt;&gt;"GA","",IF($E3394="FULTON",IF(ISNUMBER(SEARCH("COLLEGE PARK",$AT3394)),"FULTON (COLLEGE PARK)",IF(ISNUMBER(SEARCH("ATLANTA CITY",$AT3394)),"FULTON (ATL LIMITS)","FULTON")),IF($E3394="DEKALB",IF(ISNUMBER(SEARCH("ATLANTA CITY",$AT3394)),"DEKALB (ATL LIMITS)","DEKALB"),$E3394))))</f>
        <v/>
      </c>
      <c r="AV3394" s="2" t="str">
        <f t="shared" ref="AV3394:AV3457" si="213">IF($L3394="","",IF(""&amp;$F3394="2","DIESEL",IF(OR(""&amp;$F3394="G",""&amp;$F3394="H"),"GAS","")))</f>
        <v/>
      </c>
      <c r="AW3394" s="2" t="str">
        <f t="shared" ref="AW3394:AW3457" si="214">IF($AV3394="","",$R3394)</f>
        <v/>
      </c>
      <c r="AX3394" s="2" t="str">
        <f t="shared" ref="AX3394:AX3457" si="215">IF($AV3394="","",IF($AB3394=0,$R3394,0))</f>
        <v/>
      </c>
      <c r="AY3394" s="2" t="str">
        <f>IF($AV3394="","",IF(AND($Z3394=0,COUNTIF('AR SALES'!$L$2:$L$2501,$L3394)=0),"YES",""))</f>
        <v/>
      </c>
      <c r="AZ3394" s="2" t="str">
        <f>IF($AV3394="","",IF(COUNTIF(LISTS!$C$2:$C$250,$AU3394)=0,"NEW",""))</f>
        <v/>
      </c>
      <c r="BA3394" s="2" t="str">
        <f>IF(""&amp;$F3394&lt;&gt;"4","",IF($AY3394="YES","",IF(ROUND(SUMIFS($AE$2:$AE$4001,$L$2:$L$4001,$L3394,$F$2:$F$4001,"4")-SUMIFS('AR SALES'!$Y$2:$Y$2501,'AR SALES'!$L$2:$L$2501,$L3394,'AR SALES'!$AD$2:$AD$2501,"OFF"),2)=0,"","STALE")))</f>
        <v/>
      </c>
      <c r="BB3394" s="2" t="str">
        <f>IF(OR(""&amp;$F3394="2",""&amp;$F3394="4",""&amp;$F3394="G",""&amp;$F3394="H"),IF($AY3394="YES","",IF($AB3394&lt;&gt;0,"",IF(COUNTIFS('AR SALES'!$L$2:$L$2501,$L3394,'AR SALES'!$AD$2:$AD$2501,IF(""&amp;$F3394="4","OFF","ON"),'AR SALES'!$AF$2:$AF$2501,"Y")&gt;0,"","NO EXEMPTION"))),"")</f>
        <v/>
      </c>
    </row>
    <row r="3395" spans="46:54" x14ac:dyDescent="0.25">
      <c r="AT3395" s="2" t="str">
        <f>IF($L3395="","",IFERROR(INDEX('AR SALES'!$H$2:$H$2501,MATCH(""&amp;$L3395,'AR SALES'!$AE$2:$AE$2501,0)),""))</f>
        <v/>
      </c>
      <c r="AU3395" s="2" t="str">
        <f t="shared" si="212"/>
        <v/>
      </c>
      <c r="AV3395" s="2" t="str">
        <f t="shared" si="213"/>
        <v/>
      </c>
      <c r="AW3395" s="2" t="str">
        <f t="shared" si="214"/>
        <v/>
      </c>
      <c r="AX3395" s="2" t="str">
        <f t="shared" si="215"/>
        <v/>
      </c>
      <c r="AY3395" s="2" t="str">
        <f>IF($AV3395="","",IF(AND($Z3395=0,COUNTIF('AR SALES'!$L$2:$L$2501,$L3395)=0),"YES",""))</f>
        <v/>
      </c>
      <c r="AZ3395" s="2" t="str">
        <f>IF($AV3395="","",IF(COUNTIF(LISTS!$C$2:$C$250,$AU3395)=0,"NEW",""))</f>
        <v/>
      </c>
      <c r="BA3395" s="2" t="str">
        <f>IF(""&amp;$F3395&lt;&gt;"4","",IF($AY3395="YES","",IF(ROUND(SUMIFS($AE$2:$AE$4001,$L$2:$L$4001,$L3395,$F$2:$F$4001,"4")-SUMIFS('AR SALES'!$Y$2:$Y$2501,'AR SALES'!$L$2:$L$2501,$L3395,'AR SALES'!$AD$2:$AD$2501,"OFF"),2)=0,"","STALE")))</f>
        <v/>
      </c>
      <c r="BB3395" s="2" t="str">
        <f>IF(OR(""&amp;$F3395="2",""&amp;$F3395="4",""&amp;$F3395="G",""&amp;$F3395="H"),IF($AY3395="YES","",IF($AB3395&lt;&gt;0,"",IF(COUNTIFS('AR SALES'!$L$2:$L$2501,$L3395,'AR SALES'!$AD$2:$AD$2501,IF(""&amp;$F3395="4","OFF","ON"),'AR SALES'!$AF$2:$AF$2501,"Y")&gt;0,"","NO EXEMPTION"))),"")</f>
        <v/>
      </c>
    </row>
    <row r="3396" spans="46:54" x14ac:dyDescent="0.25">
      <c r="AT3396" s="2" t="str">
        <f>IF($L3396="","",IFERROR(INDEX('AR SALES'!$H$2:$H$2501,MATCH(""&amp;$L3396,'AR SALES'!$AE$2:$AE$2501,0)),""))</f>
        <v/>
      </c>
      <c r="AU3396" s="2" t="str">
        <f t="shared" si="212"/>
        <v/>
      </c>
      <c r="AV3396" s="2" t="str">
        <f t="shared" si="213"/>
        <v/>
      </c>
      <c r="AW3396" s="2" t="str">
        <f t="shared" si="214"/>
        <v/>
      </c>
      <c r="AX3396" s="2" t="str">
        <f t="shared" si="215"/>
        <v/>
      </c>
      <c r="AY3396" s="2" t="str">
        <f>IF($AV3396="","",IF(AND($Z3396=0,COUNTIF('AR SALES'!$L$2:$L$2501,$L3396)=0),"YES",""))</f>
        <v/>
      </c>
      <c r="AZ3396" s="2" t="str">
        <f>IF($AV3396="","",IF(COUNTIF(LISTS!$C$2:$C$250,$AU3396)=0,"NEW",""))</f>
        <v/>
      </c>
      <c r="BA3396" s="2" t="str">
        <f>IF(""&amp;$F3396&lt;&gt;"4","",IF($AY3396="YES","",IF(ROUND(SUMIFS($AE$2:$AE$4001,$L$2:$L$4001,$L3396,$F$2:$F$4001,"4")-SUMIFS('AR SALES'!$Y$2:$Y$2501,'AR SALES'!$L$2:$L$2501,$L3396,'AR SALES'!$AD$2:$AD$2501,"OFF"),2)=0,"","STALE")))</f>
        <v/>
      </c>
      <c r="BB3396" s="2" t="str">
        <f>IF(OR(""&amp;$F3396="2",""&amp;$F3396="4",""&amp;$F3396="G",""&amp;$F3396="H"),IF($AY3396="YES","",IF($AB3396&lt;&gt;0,"",IF(COUNTIFS('AR SALES'!$L$2:$L$2501,$L3396,'AR SALES'!$AD$2:$AD$2501,IF(""&amp;$F3396="4","OFF","ON"),'AR SALES'!$AF$2:$AF$2501,"Y")&gt;0,"","NO EXEMPTION"))),"")</f>
        <v/>
      </c>
    </row>
    <row r="3397" spans="46:54" x14ac:dyDescent="0.25">
      <c r="AT3397" s="2" t="str">
        <f>IF($L3397="","",IFERROR(INDEX('AR SALES'!$H$2:$H$2501,MATCH(""&amp;$L3397,'AR SALES'!$AE$2:$AE$2501,0)),""))</f>
        <v/>
      </c>
      <c r="AU3397" s="2" t="str">
        <f t="shared" si="212"/>
        <v/>
      </c>
      <c r="AV3397" s="2" t="str">
        <f t="shared" si="213"/>
        <v/>
      </c>
      <c r="AW3397" s="2" t="str">
        <f t="shared" si="214"/>
        <v/>
      </c>
      <c r="AX3397" s="2" t="str">
        <f t="shared" si="215"/>
        <v/>
      </c>
      <c r="AY3397" s="2" t="str">
        <f>IF($AV3397="","",IF(AND($Z3397=0,COUNTIF('AR SALES'!$L$2:$L$2501,$L3397)=0),"YES",""))</f>
        <v/>
      </c>
      <c r="AZ3397" s="2" t="str">
        <f>IF($AV3397="","",IF(COUNTIF(LISTS!$C$2:$C$250,$AU3397)=0,"NEW",""))</f>
        <v/>
      </c>
      <c r="BA3397" s="2" t="str">
        <f>IF(""&amp;$F3397&lt;&gt;"4","",IF($AY3397="YES","",IF(ROUND(SUMIFS($AE$2:$AE$4001,$L$2:$L$4001,$L3397,$F$2:$F$4001,"4")-SUMIFS('AR SALES'!$Y$2:$Y$2501,'AR SALES'!$L$2:$L$2501,$L3397,'AR SALES'!$AD$2:$AD$2501,"OFF"),2)=0,"","STALE")))</f>
        <v/>
      </c>
      <c r="BB3397" s="2" t="str">
        <f>IF(OR(""&amp;$F3397="2",""&amp;$F3397="4",""&amp;$F3397="G",""&amp;$F3397="H"),IF($AY3397="YES","",IF($AB3397&lt;&gt;0,"",IF(COUNTIFS('AR SALES'!$L$2:$L$2501,$L3397,'AR SALES'!$AD$2:$AD$2501,IF(""&amp;$F3397="4","OFF","ON"),'AR SALES'!$AF$2:$AF$2501,"Y")&gt;0,"","NO EXEMPTION"))),"")</f>
        <v/>
      </c>
    </row>
    <row r="3398" spans="46:54" x14ac:dyDescent="0.25">
      <c r="AT3398" s="2" t="str">
        <f>IF($L3398="","",IFERROR(INDEX('AR SALES'!$H$2:$H$2501,MATCH(""&amp;$L3398,'AR SALES'!$AE$2:$AE$2501,0)),""))</f>
        <v/>
      </c>
      <c r="AU3398" s="2" t="str">
        <f t="shared" si="212"/>
        <v/>
      </c>
      <c r="AV3398" s="2" t="str">
        <f t="shared" si="213"/>
        <v/>
      </c>
      <c r="AW3398" s="2" t="str">
        <f t="shared" si="214"/>
        <v/>
      </c>
      <c r="AX3398" s="2" t="str">
        <f t="shared" si="215"/>
        <v/>
      </c>
      <c r="AY3398" s="2" t="str">
        <f>IF($AV3398="","",IF(AND($Z3398=0,COUNTIF('AR SALES'!$L$2:$L$2501,$L3398)=0),"YES",""))</f>
        <v/>
      </c>
      <c r="AZ3398" s="2" t="str">
        <f>IF($AV3398="","",IF(COUNTIF(LISTS!$C$2:$C$250,$AU3398)=0,"NEW",""))</f>
        <v/>
      </c>
      <c r="BA3398" s="2" t="str">
        <f>IF(""&amp;$F3398&lt;&gt;"4","",IF($AY3398="YES","",IF(ROUND(SUMIFS($AE$2:$AE$4001,$L$2:$L$4001,$L3398,$F$2:$F$4001,"4")-SUMIFS('AR SALES'!$Y$2:$Y$2501,'AR SALES'!$L$2:$L$2501,$L3398,'AR SALES'!$AD$2:$AD$2501,"OFF"),2)=0,"","STALE")))</f>
        <v/>
      </c>
      <c r="BB3398" s="2" t="str">
        <f>IF(OR(""&amp;$F3398="2",""&amp;$F3398="4",""&amp;$F3398="G",""&amp;$F3398="H"),IF($AY3398="YES","",IF($AB3398&lt;&gt;0,"",IF(COUNTIFS('AR SALES'!$L$2:$L$2501,$L3398,'AR SALES'!$AD$2:$AD$2501,IF(""&amp;$F3398="4","OFF","ON"),'AR SALES'!$AF$2:$AF$2501,"Y")&gt;0,"","NO EXEMPTION"))),"")</f>
        <v/>
      </c>
    </row>
    <row r="3399" spans="46:54" x14ac:dyDescent="0.25">
      <c r="AT3399" s="2" t="str">
        <f>IF($L3399="","",IFERROR(INDEX('AR SALES'!$H$2:$H$2501,MATCH(""&amp;$L3399,'AR SALES'!$AE$2:$AE$2501,0)),""))</f>
        <v/>
      </c>
      <c r="AU3399" s="2" t="str">
        <f t="shared" si="212"/>
        <v/>
      </c>
      <c r="AV3399" s="2" t="str">
        <f t="shared" si="213"/>
        <v/>
      </c>
      <c r="AW3399" s="2" t="str">
        <f t="shared" si="214"/>
        <v/>
      </c>
      <c r="AX3399" s="2" t="str">
        <f t="shared" si="215"/>
        <v/>
      </c>
      <c r="AY3399" s="2" t="str">
        <f>IF($AV3399="","",IF(AND($Z3399=0,COUNTIF('AR SALES'!$L$2:$L$2501,$L3399)=0),"YES",""))</f>
        <v/>
      </c>
      <c r="AZ3399" s="2" t="str">
        <f>IF($AV3399="","",IF(COUNTIF(LISTS!$C$2:$C$250,$AU3399)=0,"NEW",""))</f>
        <v/>
      </c>
      <c r="BA3399" s="2" t="str">
        <f>IF(""&amp;$F3399&lt;&gt;"4","",IF($AY3399="YES","",IF(ROUND(SUMIFS($AE$2:$AE$4001,$L$2:$L$4001,$L3399,$F$2:$F$4001,"4")-SUMIFS('AR SALES'!$Y$2:$Y$2501,'AR SALES'!$L$2:$L$2501,$L3399,'AR SALES'!$AD$2:$AD$2501,"OFF"),2)=0,"","STALE")))</f>
        <v/>
      </c>
      <c r="BB3399" s="2" t="str">
        <f>IF(OR(""&amp;$F3399="2",""&amp;$F3399="4",""&amp;$F3399="G",""&amp;$F3399="H"),IF($AY3399="YES","",IF($AB3399&lt;&gt;0,"",IF(COUNTIFS('AR SALES'!$L$2:$L$2501,$L3399,'AR SALES'!$AD$2:$AD$2501,IF(""&amp;$F3399="4","OFF","ON"),'AR SALES'!$AF$2:$AF$2501,"Y")&gt;0,"","NO EXEMPTION"))),"")</f>
        <v/>
      </c>
    </row>
    <row r="3400" spans="46:54" x14ac:dyDescent="0.25">
      <c r="AT3400" s="2" t="str">
        <f>IF($L3400="","",IFERROR(INDEX('AR SALES'!$H$2:$H$2501,MATCH(""&amp;$L3400,'AR SALES'!$AE$2:$AE$2501,0)),""))</f>
        <v/>
      </c>
      <c r="AU3400" s="2" t="str">
        <f t="shared" si="212"/>
        <v/>
      </c>
      <c r="AV3400" s="2" t="str">
        <f t="shared" si="213"/>
        <v/>
      </c>
      <c r="AW3400" s="2" t="str">
        <f t="shared" si="214"/>
        <v/>
      </c>
      <c r="AX3400" s="2" t="str">
        <f t="shared" si="215"/>
        <v/>
      </c>
      <c r="AY3400" s="2" t="str">
        <f>IF($AV3400="","",IF(AND($Z3400=0,COUNTIF('AR SALES'!$L$2:$L$2501,$L3400)=0),"YES",""))</f>
        <v/>
      </c>
      <c r="AZ3400" s="2" t="str">
        <f>IF($AV3400="","",IF(COUNTIF(LISTS!$C$2:$C$250,$AU3400)=0,"NEW",""))</f>
        <v/>
      </c>
      <c r="BA3400" s="2" t="str">
        <f>IF(""&amp;$F3400&lt;&gt;"4","",IF($AY3400="YES","",IF(ROUND(SUMIFS($AE$2:$AE$4001,$L$2:$L$4001,$L3400,$F$2:$F$4001,"4")-SUMIFS('AR SALES'!$Y$2:$Y$2501,'AR SALES'!$L$2:$L$2501,$L3400,'AR SALES'!$AD$2:$AD$2501,"OFF"),2)=0,"","STALE")))</f>
        <v/>
      </c>
      <c r="BB3400" s="2" t="str">
        <f>IF(OR(""&amp;$F3400="2",""&amp;$F3400="4",""&amp;$F3400="G",""&amp;$F3400="H"),IF($AY3400="YES","",IF($AB3400&lt;&gt;0,"",IF(COUNTIFS('AR SALES'!$L$2:$L$2501,$L3400,'AR SALES'!$AD$2:$AD$2501,IF(""&amp;$F3400="4","OFF","ON"),'AR SALES'!$AF$2:$AF$2501,"Y")&gt;0,"","NO EXEMPTION"))),"")</f>
        <v/>
      </c>
    </row>
    <row r="3401" spans="46:54" x14ac:dyDescent="0.25">
      <c r="AT3401" s="2" t="str">
        <f>IF($L3401="","",IFERROR(INDEX('AR SALES'!$H$2:$H$2501,MATCH(""&amp;$L3401,'AR SALES'!$AE$2:$AE$2501,0)),""))</f>
        <v/>
      </c>
      <c r="AU3401" s="2" t="str">
        <f t="shared" si="212"/>
        <v/>
      </c>
      <c r="AV3401" s="2" t="str">
        <f t="shared" si="213"/>
        <v/>
      </c>
      <c r="AW3401" s="2" t="str">
        <f t="shared" si="214"/>
        <v/>
      </c>
      <c r="AX3401" s="2" t="str">
        <f t="shared" si="215"/>
        <v/>
      </c>
      <c r="AY3401" s="2" t="str">
        <f>IF($AV3401="","",IF(AND($Z3401=0,COUNTIF('AR SALES'!$L$2:$L$2501,$L3401)=0),"YES",""))</f>
        <v/>
      </c>
      <c r="AZ3401" s="2" t="str">
        <f>IF($AV3401="","",IF(COUNTIF(LISTS!$C$2:$C$250,$AU3401)=0,"NEW",""))</f>
        <v/>
      </c>
      <c r="BA3401" s="2" t="str">
        <f>IF(""&amp;$F3401&lt;&gt;"4","",IF($AY3401="YES","",IF(ROUND(SUMIFS($AE$2:$AE$4001,$L$2:$L$4001,$L3401,$F$2:$F$4001,"4")-SUMIFS('AR SALES'!$Y$2:$Y$2501,'AR SALES'!$L$2:$L$2501,$L3401,'AR SALES'!$AD$2:$AD$2501,"OFF"),2)=0,"","STALE")))</f>
        <v/>
      </c>
      <c r="BB3401" s="2" t="str">
        <f>IF(OR(""&amp;$F3401="2",""&amp;$F3401="4",""&amp;$F3401="G",""&amp;$F3401="H"),IF($AY3401="YES","",IF($AB3401&lt;&gt;0,"",IF(COUNTIFS('AR SALES'!$L$2:$L$2501,$L3401,'AR SALES'!$AD$2:$AD$2501,IF(""&amp;$F3401="4","OFF","ON"),'AR SALES'!$AF$2:$AF$2501,"Y")&gt;0,"","NO EXEMPTION"))),"")</f>
        <v/>
      </c>
    </row>
    <row r="3402" spans="46:54" x14ac:dyDescent="0.25">
      <c r="AT3402" s="2" t="str">
        <f>IF($L3402="","",IFERROR(INDEX('AR SALES'!$H$2:$H$2501,MATCH(""&amp;$L3402,'AR SALES'!$AE$2:$AE$2501,0)),""))</f>
        <v/>
      </c>
      <c r="AU3402" s="2" t="str">
        <f t="shared" si="212"/>
        <v/>
      </c>
      <c r="AV3402" s="2" t="str">
        <f t="shared" si="213"/>
        <v/>
      </c>
      <c r="AW3402" s="2" t="str">
        <f t="shared" si="214"/>
        <v/>
      </c>
      <c r="AX3402" s="2" t="str">
        <f t="shared" si="215"/>
        <v/>
      </c>
      <c r="AY3402" s="2" t="str">
        <f>IF($AV3402="","",IF(AND($Z3402=0,COUNTIF('AR SALES'!$L$2:$L$2501,$L3402)=0),"YES",""))</f>
        <v/>
      </c>
      <c r="AZ3402" s="2" t="str">
        <f>IF($AV3402="","",IF(COUNTIF(LISTS!$C$2:$C$250,$AU3402)=0,"NEW",""))</f>
        <v/>
      </c>
      <c r="BA3402" s="2" t="str">
        <f>IF(""&amp;$F3402&lt;&gt;"4","",IF($AY3402="YES","",IF(ROUND(SUMIFS($AE$2:$AE$4001,$L$2:$L$4001,$L3402,$F$2:$F$4001,"4")-SUMIFS('AR SALES'!$Y$2:$Y$2501,'AR SALES'!$L$2:$L$2501,$L3402,'AR SALES'!$AD$2:$AD$2501,"OFF"),2)=0,"","STALE")))</f>
        <v/>
      </c>
      <c r="BB3402" s="2" t="str">
        <f>IF(OR(""&amp;$F3402="2",""&amp;$F3402="4",""&amp;$F3402="G",""&amp;$F3402="H"),IF($AY3402="YES","",IF($AB3402&lt;&gt;0,"",IF(COUNTIFS('AR SALES'!$L$2:$L$2501,$L3402,'AR SALES'!$AD$2:$AD$2501,IF(""&amp;$F3402="4","OFF","ON"),'AR SALES'!$AF$2:$AF$2501,"Y")&gt;0,"","NO EXEMPTION"))),"")</f>
        <v/>
      </c>
    </row>
    <row r="3403" spans="46:54" x14ac:dyDescent="0.25">
      <c r="AT3403" s="2" t="str">
        <f>IF($L3403="","",IFERROR(INDEX('AR SALES'!$H$2:$H$2501,MATCH(""&amp;$L3403,'AR SALES'!$AE$2:$AE$2501,0)),""))</f>
        <v/>
      </c>
      <c r="AU3403" s="2" t="str">
        <f t="shared" si="212"/>
        <v/>
      </c>
      <c r="AV3403" s="2" t="str">
        <f t="shared" si="213"/>
        <v/>
      </c>
      <c r="AW3403" s="2" t="str">
        <f t="shared" si="214"/>
        <v/>
      </c>
      <c r="AX3403" s="2" t="str">
        <f t="shared" si="215"/>
        <v/>
      </c>
      <c r="AY3403" s="2" t="str">
        <f>IF($AV3403="","",IF(AND($Z3403=0,COUNTIF('AR SALES'!$L$2:$L$2501,$L3403)=0),"YES",""))</f>
        <v/>
      </c>
      <c r="AZ3403" s="2" t="str">
        <f>IF($AV3403="","",IF(COUNTIF(LISTS!$C$2:$C$250,$AU3403)=0,"NEW",""))</f>
        <v/>
      </c>
      <c r="BA3403" s="2" t="str">
        <f>IF(""&amp;$F3403&lt;&gt;"4","",IF($AY3403="YES","",IF(ROUND(SUMIFS($AE$2:$AE$4001,$L$2:$L$4001,$L3403,$F$2:$F$4001,"4")-SUMIFS('AR SALES'!$Y$2:$Y$2501,'AR SALES'!$L$2:$L$2501,$L3403,'AR SALES'!$AD$2:$AD$2501,"OFF"),2)=0,"","STALE")))</f>
        <v/>
      </c>
      <c r="BB3403" s="2" t="str">
        <f>IF(OR(""&amp;$F3403="2",""&amp;$F3403="4",""&amp;$F3403="G",""&amp;$F3403="H"),IF($AY3403="YES","",IF($AB3403&lt;&gt;0,"",IF(COUNTIFS('AR SALES'!$L$2:$L$2501,$L3403,'AR SALES'!$AD$2:$AD$2501,IF(""&amp;$F3403="4","OFF","ON"),'AR SALES'!$AF$2:$AF$2501,"Y")&gt;0,"","NO EXEMPTION"))),"")</f>
        <v/>
      </c>
    </row>
    <row r="3404" spans="46:54" x14ac:dyDescent="0.25">
      <c r="AT3404" s="2" t="str">
        <f>IF($L3404="","",IFERROR(INDEX('AR SALES'!$H$2:$H$2501,MATCH(""&amp;$L3404,'AR SALES'!$AE$2:$AE$2501,0)),""))</f>
        <v/>
      </c>
      <c r="AU3404" s="2" t="str">
        <f t="shared" si="212"/>
        <v/>
      </c>
      <c r="AV3404" s="2" t="str">
        <f t="shared" si="213"/>
        <v/>
      </c>
      <c r="AW3404" s="2" t="str">
        <f t="shared" si="214"/>
        <v/>
      </c>
      <c r="AX3404" s="2" t="str">
        <f t="shared" si="215"/>
        <v/>
      </c>
      <c r="AY3404" s="2" t="str">
        <f>IF($AV3404="","",IF(AND($Z3404=0,COUNTIF('AR SALES'!$L$2:$L$2501,$L3404)=0),"YES",""))</f>
        <v/>
      </c>
      <c r="AZ3404" s="2" t="str">
        <f>IF($AV3404="","",IF(COUNTIF(LISTS!$C$2:$C$250,$AU3404)=0,"NEW",""))</f>
        <v/>
      </c>
      <c r="BA3404" s="2" t="str">
        <f>IF(""&amp;$F3404&lt;&gt;"4","",IF($AY3404="YES","",IF(ROUND(SUMIFS($AE$2:$AE$4001,$L$2:$L$4001,$L3404,$F$2:$F$4001,"4")-SUMIFS('AR SALES'!$Y$2:$Y$2501,'AR SALES'!$L$2:$L$2501,$L3404,'AR SALES'!$AD$2:$AD$2501,"OFF"),2)=0,"","STALE")))</f>
        <v/>
      </c>
      <c r="BB3404" s="2" t="str">
        <f>IF(OR(""&amp;$F3404="2",""&amp;$F3404="4",""&amp;$F3404="G",""&amp;$F3404="H"),IF($AY3404="YES","",IF($AB3404&lt;&gt;0,"",IF(COUNTIFS('AR SALES'!$L$2:$L$2501,$L3404,'AR SALES'!$AD$2:$AD$2501,IF(""&amp;$F3404="4","OFF","ON"),'AR SALES'!$AF$2:$AF$2501,"Y")&gt;0,"","NO EXEMPTION"))),"")</f>
        <v/>
      </c>
    </row>
    <row r="3405" spans="46:54" x14ac:dyDescent="0.25">
      <c r="AT3405" s="2" t="str">
        <f>IF($L3405="","",IFERROR(INDEX('AR SALES'!$H$2:$H$2501,MATCH(""&amp;$L3405,'AR SALES'!$AE$2:$AE$2501,0)),""))</f>
        <v/>
      </c>
      <c r="AU3405" s="2" t="str">
        <f t="shared" si="212"/>
        <v/>
      </c>
      <c r="AV3405" s="2" t="str">
        <f t="shared" si="213"/>
        <v/>
      </c>
      <c r="AW3405" s="2" t="str">
        <f t="shared" si="214"/>
        <v/>
      </c>
      <c r="AX3405" s="2" t="str">
        <f t="shared" si="215"/>
        <v/>
      </c>
      <c r="AY3405" s="2" t="str">
        <f>IF($AV3405="","",IF(AND($Z3405=0,COUNTIF('AR SALES'!$L$2:$L$2501,$L3405)=0),"YES",""))</f>
        <v/>
      </c>
      <c r="AZ3405" s="2" t="str">
        <f>IF($AV3405="","",IF(COUNTIF(LISTS!$C$2:$C$250,$AU3405)=0,"NEW",""))</f>
        <v/>
      </c>
      <c r="BA3405" s="2" t="str">
        <f>IF(""&amp;$F3405&lt;&gt;"4","",IF($AY3405="YES","",IF(ROUND(SUMIFS($AE$2:$AE$4001,$L$2:$L$4001,$L3405,$F$2:$F$4001,"4")-SUMIFS('AR SALES'!$Y$2:$Y$2501,'AR SALES'!$L$2:$L$2501,$L3405,'AR SALES'!$AD$2:$AD$2501,"OFF"),2)=0,"","STALE")))</f>
        <v/>
      </c>
      <c r="BB3405" s="2" t="str">
        <f>IF(OR(""&amp;$F3405="2",""&amp;$F3405="4",""&amp;$F3405="G",""&amp;$F3405="H"),IF($AY3405="YES","",IF($AB3405&lt;&gt;0,"",IF(COUNTIFS('AR SALES'!$L$2:$L$2501,$L3405,'AR SALES'!$AD$2:$AD$2501,IF(""&amp;$F3405="4","OFF","ON"),'AR SALES'!$AF$2:$AF$2501,"Y")&gt;0,"","NO EXEMPTION"))),"")</f>
        <v/>
      </c>
    </row>
    <row r="3406" spans="46:54" x14ac:dyDescent="0.25">
      <c r="AT3406" s="2" t="str">
        <f>IF($L3406="","",IFERROR(INDEX('AR SALES'!$H$2:$H$2501,MATCH(""&amp;$L3406,'AR SALES'!$AE$2:$AE$2501,0)),""))</f>
        <v/>
      </c>
      <c r="AU3406" s="2" t="str">
        <f t="shared" si="212"/>
        <v/>
      </c>
      <c r="AV3406" s="2" t="str">
        <f t="shared" si="213"/>
        <v/>
      </c>
      <c r="AW3406" s="2" t="str">
        <f t="shared" si="214"/>
        <v/>
      </c>
      <c r="AX3406" s="2" t="str">
        <f t="shared" si="215"/>
        <v/>
      </c>
      <c r="AY3406" s="2" t="str">
        <f>IF($AV3406="","",IF(AND($Z3406=0,COUNTIF('AR SALES'!$L$2:$L$2501,$L3406)=0),"YES",""))</f>
        <v/>
      </c>
      <c r="AZ3406" s="2" t="str">
        <f>IF($AV3406="","",IF(COUNTIF(LISTS!$C$2:$C$250,$AU3406)=0,"NEW",""))</f>
        <v/>
      </c>
      <c r="BA3406" s="2" t="str">
        <f>IF(""&amp;$F3406&lt;&gt;"4","",IF($AY3406="YES","",IF(ROUND(SUMIFS($AE$2:$AE$4001,$L$2:$L$4001,$L3406,$F$2:$F$4001,"4")-SUMIFS('AR SALES'!$Y$2:$Y$2501,'AR SALES'!$L$2:$L$2501,$L3406,'AR SALES'!$AD$2:$AD$2501,"OFF"),2)=0,"","STALE")))</f>
        <v/>
      </c>
      <c r="BB3406" s="2" t="str">
        <f>IF(OR(""&amp;$F3406="2",""&amp;$F3406="4",""&amp;$F3406="G",""&amp;$F3406="H"),IF($AY3406="YES","",IF($AB3406&lt;&gt;0,"",IF(COUNTIFS('AR SALES'!$L$2:$L$2501,$L3406,'AR SALES'!$AD$2:$AD$2501,IF(""&amp;$F3406="4","OFF","ON"),'AR SALES'!$AF$2:$AF$2501,"Y")&gt;0,"","NO EXEMPTION"))),"")</f>
        <v/>
      </c>
    </row>
    <row r="3407" spans="46:54" x14ac:dyDescent="0.25">
      <c r="AT3407" s="2" t="str">
        <f>IF($L3407="","",IFERROR(INDEX('AR SALES'!$H$2:$H$2501,MATCH(""&amp;$L3407,'AR SALES'!$AE$2:$AE$2501,0)),""))</f>
        <v/>
      </c>
      <c r="AU3407" s="2" t="str">
        <f t="shared" si="212"/>
        <v/>
      </c>
      <c r="AV3407" s="2" t="str">
        <f t="shared" si="213"/>
        <v/>
      </c>
      <c r="AW3407" s="2" t="str">
        <f t="shared" si="214"/>
        <v/>
      </c>
      <c r="AX3407" s="2" t="str">
        <f t="shared" si="215"/>
        <v/>
      </c>
      <c r="AY3407" s="2" t="str">
        <f>IF($AV3407="","",IF(AND($Z3407=0,COUNTIF('AR SALES'!$L$2:$L$2501,$L3407)=0),"YES",""))</f>
        <v/>
      </c>
      <c r="AZ3407" s="2" t="str">
        <f>IF($AV3407="","",IF(COUNTIF(LISTS!$C$2:$C$250,$AU3407)=0,"NEW",""))</f>
        <v/>
      </c>
      <c r="BA3407" s="2" t="str">
        <f>IF(""&amp;$F3407&lt;&gt;"4","",IF($AY3407="YES","",IF(ROUND(SUMIFS($AE$2:$AE$4001,$L$2:$L$4001,$L3407,$F$2:$F$4001,"4")-SUMIFS('AR SALES'!$Y$2:$Y$2501,'AR SALES'!$L$2:$L$2501,$L3407,'AR SALES'!$AD$2:$AD$2501,"OFF"),2)=0,"","STALE")))</f>
        <v/>
      </c>
      <c r="BB3407" s="2" t="str">
        <f>IF(OR(""&amp;$F3407="2",""&amp;$F3407="4",""&amp;$F3407="G",""&amp;$F3407="H"),IF($AY3407="YES","",IF($AB3407&lt;&gt;0,"",IF(COUNTIFS('AR SALES'!$L$2:$L$2501,$L3407,'AR SALES'!$AD$2:$AD$2501,IF(""&amp;$F3407="4","OFF","ON"),'AR SALES'!$AF$2:$AF$2501,"Y")&gt;0,"","NO EXEMPTION"))),"")</f>
        <v/>
      </c>
    </row>
    <row r="3408" spans="46:54" x14ac:dyDescent="0.25">
      <c r="AT3408" s="2" t="str">
        <f>IF($L3408="","",IFERROR(INDEX('AR SALES'!$H$2:$H$2501,MATCH(""&amp;$L3408,'AR SALES'!$AE$2:$AE$2501,0)),""))</f>
        <v/>
      </c>
      <c r="AU3408" s="2" t="str">
        <f t="shared" si="212"/>
        <v/>
      </c>
      <c r="AV3408" s="2" t="str">
        <f t="shared" si="213"/>
        <v/>
      </c>
      <c r="AW3408" s="2" t="str">
        <f t="shared" si="214"/>
        <v/>
      </c>
      <c r="AX3408" s="2" t="str">
        <f t="shared" si="215"/>
        <v/>
      </c>
      <c r="AY3408" s="2" t="str">
        <f>IF($AV3408="","",IF(AND($Z3408=0,COUNTIF('AR SALES'!$L$2:$L$2501,$L3408)=0),"YES",""))</f>
        <v/>
      </c>
      <c r="AZ3408" s="2" t="str">
        <f>IF($AV3408="","",IF(COUNTIF(LISTS!$C$2:$C$250,$AU3408)=0,"NEW",""))</f>
        <v/>
      </c>
      <c r="BA3408" s="2" t="str">
        <f>IF(""&amp;$F3408&lt;&gt;"4","",IF($AY3408="YES","",IF(ROUND(SUMIFS($AE$2:$AE$4001,$L$2:$L$4001,$L3408,$F$2:$F$4001,"4")-SUMIFS('AR SALES'!$Y$2:$Y$2501,'AR SALES'!$L$2:$L$2501,$L3408,'AR SALES'!$AD$2:$AD$2501,"OFF"),2)=0,"","STALE")))</f>
        <v/>
      </c>
      <c r="BB3408" s="2" t="str">
        <f>IF(OR(""&amp;$F3408="2",""&amp;$F3408="4",""&amp;$F3408="G",""&amp;$F3408="H"),IF($AY3408="YES","",IF($AB3408&lt;&gt;0,"",IF(COUNTIFS('AR SALES'!$L$2:$L$2501,$L3408,'AR SALES'!$AD$2:$AD$2501,IF(""&amp;$F3408="4","OFF","ON"),'AR SALES'!$AF$2:$AF$2501,"Y")&gt;0,"","NO EXEMPTION"))),"")</f>
        <v/>
      </c>
    </row>
    <row r="3409" spans="46:54" x14ac:dyDescent="0.25">
      <c r="AT3409" s="2" t="str">
        <f>IF($L3409="","",IFERROR(INDEX('AR SALES'!$H$2:$H$2501,MATCH(""&amp;$L3409,'AR SALES'!$AE$2:$AE$2501,0)),""))</f>
        <v/>
      </c>
      <c r="AU3409" s="2" t="str">
        <f t="shared" si="212"/>
        <v/>
      </c>
      <c r="AV3409" s="2" t="str">
        <f t="shared" si="213"/>
        <v/>
      </c>
      <c r="AW3409" s="2" t="str">
        <f t="shared" si="214"/>
        <v/>
      </c>
      <c r="AX3409" s="2" t="str">
        <f t="shared" si="215"/>
        <v/>
      </c>
      <c r="AY3409" s="2" t="str">
        <f>IF($AV3409="","",IF(AND($Z3409=0,COUNTIF('AR SALES'!$L$2:$L$2501,$L3409)=0),"YES",""))</f>
        <v/>
      </c>
      <c r="AZ3409" s="2" t="str">
        <f>IF($AV3409="","",IF(COUNTIF(LISTS!$C$2:$C$250,$AU3409)=0,"NEW",""))</f>
        <v/>
      </c>
      <c r="BA3409" s="2" t="str">
        <f>IF(""&amp;$F3409&lt;&gt;"4","",IF($AY3409="YES","",IF(ROUND(SUMIFS($AE$2:$AE$4001,$L$2:$L$4001,$L3409,$F$2:$F$4001,"4")-SUMIFS('AR SALES'!$Y$2:$Y$2501,'AR SALES'!$L$2:$L$2501,$L3409,'AR SALES'!$AD$2:$AD$2501,"OFF"),2)=0,"","STALE")))</f>
        <v/>
      </c>
      <c r="BB3409" s="2" t="str">
        <f>IF(OR(""&amp;$F3409="2",""&amp;$F3409="4",""&amp;$F3409="G",""&amp;$F3409="H"),IF($AY3409="YES","",IF($AB3409&lt;&gt;0,"",IF(COUNTIFS('AR SALES'!$L$2:$L$2501,$L3409,'AR SALES'!$AD$2:$AD$2501,IF(""&amp;$F3409="4","OFF","ON"),'AR SALES'!$AF$2:$AF$2501,"Y")&gt;0,"","NO EXEMPTION"))),"")</f>
        <v/>
      </c>
    </row>
    <row r="3410" spans="46:54" x14ac:dyDescent="0.25">
      <c r="AT3410" s="2" t="str">
        <f>IF($L3410="","",IFERROR(INDEX('AR SALES'!$H$2:$H$2501,MATCH(""&amp;$L3410,'AR SALES'!$AE$2:$AE$2501,0)),""))</f>
        <v/>
      </c>
      <c r="AU3410" s="2" t="str">
        <f t="shared" si="212"/>
        <v/>
      </c>
      <c r="AV3410" s="2" t="str">
        <f t="shared" si="213"/>
        <v/>
      </c>
      <c r="AW3410" s="2" t="str">
        <f t="shared" si="214"/>
        <v/>
      </c>
      <c r="AX3410" s="2" t="str">
        <f t="shared" si="215"/>
        <v/>
      </c>
      <c r="AY3410" s="2" t="str">
        <f>IF($AV3410="","",IF(AND($Z3410=0,COUNTIF('AR SALES'!$L$2:$L$2501,$L3410)=0),"YES",""))</f>
        <v/>
      </c>
      <c r="AZ3410" s="2" t="str">
        <f>IF($AV3410="","",IF(COUNTIF(LISTS!$C$2:$C$250,$AU3410)=0,"NEW",""))</f>
        <v/>
      </c>
      <c r="BA3410" s="2" t="str">
        <f>IF(""&amp;$F3410&lt;&gt;"4","",IF($AY3410="YES","",IF(ROUND(SUMIFS($AE$2:$AE$4001,$L$2:$L$4001,$L3410,$F$2:$F$4001,"4")-SUMIFS('AR SALES'!$Y$2:$Y$2501,'AR SALES'!$L$2:$L$2501,$L3410,'AR SALES'!$AD$2:$AD$2501,"OFF"),2)=0,"","STALE")))</f>
        <v/>
      </c>
      <c r="BB3410" s="2" t="str">
        <f>IF(OR(""&amp;$F3410="2",""&amp;$F3410="4",""&amp;$F3410="G",""&amp;$F3410="H"),IF($AY3410="YES","",IF($AB3410&lt;&gt;0,"",IF(COUNTIFS('AR SALES'!$L$2:$L$2501,$L3410,'AR SALES'!$AD$2:$AD$2501,IF(""&amp;$F3410="4","OFF","ON"),'AR SALES'!$AF$2:$AF$2501,"Y")&gt;0,"","NO EXEMPTION"))),"")</f>
        <v/>
      </c>
    </row>
    <row r="3411" spans="46:54" x14ac:dyDescent="0.25">
      <c r="AT3411" s="2" t="str">
        <f>IF($L3411="","",IFERROR(INDEX('AR SALES'!$H$2:$H$2501,MATCH(""&amp;$L3411,'AR SALES'!$AE$2:$AE$2501,0)),""))</f>
        <v/>
      </c>
      <c r="AU3411" s="2" t="str">
        <f t="shared" si="212"/>
        <v/>
      </c>
      <c r="AV3411" s="2" t="str">
        <f t="shared" si="213"/>
        <v/>
      </c>
      <c r="AW3411" s="2" t="str">
        <f t="shared" si="214"/>
        <v/>
      </c>
      <c r="AX3411" s="2" t="str">
        <f t="shared" si="215"/>
        <v/>
      </c>
      <c r="AY3411" s="2" t="str">
        <f>IF($AV3411="","",IF(AND($Z3411=0,COUNTIF('AR SALES'!$L$2:$L$2501,$L3411)=0),"YES",""))</f>
        <v/>
      </c>
      <c r="AZ3411" s="2" t="str">
        <f>IF($AV3411="","",IF(COUNTIF(LISTS!$C$2:$C$250,$AU3411)=0,"NEW",""))</f>
        <v/>
      </c>
      <c r="BA3411" s="2" t="str">
        <f>IF(""&amp;$F3411&lt;&gt;"4","",IF($AY3411="YES","",IF(ROUND(SUMIFS($AE$2:$AE$4001,$L$2:$L$4001,$L3411,$F$2:$F$4001,"4")-SUMIFS('AR SALES'!$Y$2:$Y$2501,'AR SALES'!$L$2:$L$2501,$L3411,'AR SALES'!$AD$2:$AD$2501,"OFF"),2)=0,"","STALE")))</f>
        <v/>
      </c>
      <c r="BB3411" s="2" t="str">
        <f>IF(OR(""&amp;$F3411="2",""&amp;$F3411="4",""&amp;$F3411="G",""&amp;$F3411="H"),IF($AY3411="YES","",IF($AB3411&lt;&gt;0,"",IF(COUNTIFS('AR SALES'!$L$2:$L$2501,$L3411,'AR SALES'!$AD$2:$AD$2501,IF(""&amp;$F3411="4","OFF","ON"),'AR SALES'!$AF$2:$AF$2501,"Y")&gt;0,"","NO EXEMPTION"))),"")</f>
        <v/>
      </c>
    </row>
    <row r="3412" spans="46:54" x14ac:dyDescent="0.25">
      <c r="AT3412" s="2" t="str">
        <f>IF($L3412="","",IFERROR(INDEX('AR SALES'!$H$2:$H$2501,MATCH(""&amp;$L3412,'AR SALES'!$AE$2:$AE$2501,0)),""))</f>
        <v/>
      </c>
      <c r="AU3412" s="2" t="str">
        <f t="shared" si="212"/>
        <v/>
      </c>
      <c r="AV3412" s="2" t="str">
        <f t="shared" si="213"/>
        <v/>
      </c>
      <c r="AW3412" s="2" t="str">
        <f t="shared" si="214"/>
        <v/>
      </c>
      <c r="AX3412" s="2" t="str">
        <f t="shared" si="215"/>
        <v/>
      </c>
      <c r="AY3412" s="2" t="str">
        <f>IF($AV3412="","",IF(AND($Z3412=0,COUNTIF('AR SALES'!$L$2:$L$2501,$L3412)=0),"YES",""))</f>
        <v/>
      </c>
      <c r="AZ3412" s="2" t="str">
        <f>IF($AV3412="","",IF(COUNTIF(LISTS!$C$2:$C$250,$AU3412)=0,"NEW",""))</f>
        <v/>
      </c>
      <c r="BA3412" s="2" t="str">
        <f>IF(""&amp;$F3412&lt;&gt;"4","",IF($AY3412="YES","",IF(ROUND(SUMIFS($AE$2:$AE$4001,$L$2:$L$4001,$L3412,$F$2:$F$4001,"4")-SUMIFS('AR SALES'!$Y$2:$Y$2501,'AR SALES'!$L$2:$L$2501,$L3412,'AR SALES'!$AD$2:$AD$2501,"OFF"),2)=0,"","STALE")))</f>
        <v/>
      </c>
      <c r="BB3412" s="2" t="str">
        <f>IF(OR(""&amp;$F3412="2",""&amp;$F3412="4",""&amp;$F3412="G",""&amp;$F3412="H"),IF($AY3412="YES","",IF($AB3412&lt;&gt;0,"",IF(COUNTIFS('AR SALES'!$L$2:$L$2501,$L3412,'AR SALES'!$AD$2:$AD$2501,IF(""&amp;$F3412="4","OFF","ON"),'AR SALES'!$AF$2:$AF$2501,"Y")&gt;0,"","NO EXEMPTION"))),"")</f>
        <v/>
      </c>
    </row>
    <row r="3413" spans="46:54" x14ac:dyDescent="0.25">
      <c r="AT3413" s="2" t="str">
        <f>IF($L3413="","",IFERROR(INDEX('AR SALES'!$H$2:$H$2501,MATCH(""&amp;$L3413,'AR SALES'!$AE$2:$AE$2501,0)),""))</f>
        <v/>
      </c>
      <c r="AU3413" s="2" t="str">
        <f t="shared" si="212"/>
        <v/>
      </c>
      <c r="AV3413" s="2" t="str">
        <f t="shared" si="213"/>
        <v/>
      </c>
      <c r="AW3413" s="2" t="str">
        <f t="shared" si="214"/>
        <v/>
      </c>
      <c r="AX3413" s="2" t="str">
        <f t="shared" si="215"/>
        <v/>
      </c>
      <c r="AY3413" s="2" t="str">
        <f>IF($AV3413="","",IF(AND($Z3413=0,COUNTIF('AR SALES'!$L$2:$L$2501,$L3413)=0),"YES",""))</f>
        <v/>
      </c>
      <c r="AZ3413" s="2" t="str">
        <f>IF($AV3413="","",IF(COUNTIF(LISTS!$C$2:$C$250,$AU3413)=0,"NEW",""))</f>
        <v/>
      </c>
      <c r="BA3413" s="2" t="str">
        <f>IF(""&amp;$F3413&lt;&gt;"4","",IF($AY3413="YES","",IF(ROUND(SUMIFS($AE$2:$AE$4001,$L$2:$L$4001,$L3413,$F$2:$F$4001,"4")-SUMIFS('AR SALES'!$Y$2:$Y$2501,'AR SALES'!$L$2:$L$2501,$L3413,'AR SALES'!$AD$2:$AD$2501,"OFF"),2)=0,"","STALE")))</f>
        <v/>
      </c>
      <c r="BB3413" s="2" t="str">
        <f>IF(OR(""&amp;$F3413="2",""&amp;$F3413="4",""&amp;$F3413="G",""&amp;$F3413="H"),IF($AY3413="YES","",IF($AB3413&lt;&gt;0,"",IF(COUNTIFS('AR SALES'!$L$2:$L$2501,$L3413,'AR SALES'!$AD$2:$AD$2501,IF(""&amp;$F3413="4","OFF","ON"),'AR SALES'!$AF$2:$AF$2501,"Y")&gt;0,"","NO EXEMPTION"))),"")</f>
        <v/>
      </c>
    </row>
    <row r="3414" spans="46:54" x14ac:dyDescent="0.25">
      <c r="AT3414" s="2" t="str">
        <f>IF($L3414="","",IFERROR(INDEX('AR SALES'!$H$2:$H$2501,MATCH(""&amp;$L3414,'AR SALES'!$AE$2:$AE$2501,0)),""))</f>
        <v/>
      </c>
      <c r="AU3414" s="2" t="str">
        <f t="shared" si="212"/>
        <v/>
      </c>
      <c r="AV3414" s="2" t="str">
        <f t="shared" si="213"/>
        <v/>
      </c>
      <c r="AW3414" s="2" t="str">
        <f t="shared" si="214"/>
        <v/>
      </c>
      <c r="AX3414" s="2" t="str">
        <f t="shared" si="215"/>
        <v/>
      </c>
      <c r="AY3414" s="2" t="str">
        <f>IF($AV3414="","",IF(AND($Z3414=0,COUNTIF('AR SALES'!$L$2:$L$2501,$L3414)=0),"YES",""))</f>
        <v/>
      </c>
      <c r="AZ3414" s="2" t="str">
        <f>IF($AV3414="","",IF(COUNTIF(LISTS!$C$2:$C$250,$AU3414)=0,"NEW",""))</f>
        <v/>
      </c>
      <c r="BA3414" s="2" t="str">
        <f>IF(""&amp;$F3414&lt;&gt;"4","",IF($AY3414="YES","",IF(ROUND(SUMIFS($AE$2:$AE$4001,$L$2:$L$4001,$L3414,$F$2:$F$4001,"4")-SUMIFS('AR SALES'!$Y$2:$Y$2501,'AR SALES'!$L$2:$L$2501,$L3414,'AR SALES'!$AD$2:$AD$2501,"OFF"),2)=0,"","STALE")))</f>
        <v/>
      </c>
      <c r="BB3414" s="2" t="str">
        <f>IF(OR(""&amp;$F3414="2",""&amp;$F3414="4",""&amp;$F3414="G",""&amp;$F3414="H"),IF($AY3414="YES","",IF($AB3414&lt;&gt;0,"",IF(COUNTIFS('AR SALES'!$L$2:$L$2501,$L3414,'AR SALES'!$AD$2:$AD$2501,IF(""&amp;$F3414="4","OFF","ON"),'AR SALES'!$AF$2:$AF$2501,"Y")&gt;0,"","NO EXEMPTION"))),"")</f>
        <v/>
      </c>
    </row>
    <row r="3415" spans="46:54" x14ac:dyDescent="0.25">
      <c r="AT3415" s="2" t="str">
        <f>IF($L3415="","",IFERROR(INDEX('AR SALES'!$H$2:$H$2501,MATCH(""&amp;$L3415,'AR SALES'!$AE$2:$AE$2501,0)),""))</f>
        <v/>
      </c>
      <c r="AU3415" s="2" t="str">
        <f t="shared" si="212"/>
        <v/>
      </c>
      <c r="AV3415" s="2" t="str">
        <f t="shared" si="213"/>
        <v/>
      </c>
      <c r="AW3415" s="2" t="str">
        <f t="shared" si="214"/>
        <v/>
      </c>
      <c r="AX3415" s="2" t="str">
        <f t="shared" si="215"/>
        <v/>
      </c>
      <c r="AY3415" s="2" t="str">
        <f>IF($AV3415="","",IF(AND($Z3415=0,COUNTIF('AR SALES'!$L$2:$L$2501,$L3415)=0),"YES",""))</f>
        <v/>
      </c>
      <c r="AZ3415" s="2" t="str">
        <f>IF($AV3415="","",IF(COUNTIF(LISTS!$C$2:$C$250,$AU3415)=0,"NEW",""))</f>
        <v/>
      </c>
      <c r="BA3415" s="2" t="str">
        <f>IF(""&amp;$F3415&lt;&gt;"4","",IF($AY3415="YES","",IF(ROUND(SUMIFS($AE$2:$AE$4001,$L$2:$L$4001,$L3415,$F$2:$F$4001,"4")-SUMIFS('AR SALES'!$Y$2:$Y$2501,'AR SALES'!$L$2:$L$2501,$L3415,'AR SALES'!$AD$2:$AD$2501,"OFF"),2)=0,"","STALE")))</f>
        <v/>
      </c>
      <c r="BB3415" s="2" t="str">
        <f>IF(OR(""&amp;$F3415="2",""&amp;$F3415="4",""&amp;$F3415="G",""&amp;$F3415="H"),IF($AY3415="YES","",IF($AB3415&lt;&gt;0,"",IF(COUNTIFS('AR SALES'!$L$2:$L$2501,$L3415,'AR SALES'!$AD$2:$AD$2501,IF(""&amp;$F3415="4","OFF","ON"),'AR SALES'!$AF$2:$AF$2501,"Y")&gt;0,"","NO EXEMPTION"))),"")</f>
        <v/>
      </c>
    </row>
    <row r="3416" spans="46:54" x14ac:dyDescent="0.25">
      <c r="AT3416" s="2" t="str">
        <f>IF($L3416="","",IFERROR(INDEX('AR SALES'!$H$2:$H$2501,MATCH(""&amp;$L3416,'AR SALES'!$AE$2:$AE$2501,0)),""))</f>
        <v/>
      </c>
      <c r="AU3416" s="2" t="str">
        <f t="shared" si="212"/>
        <v/>
      </c>
      <c r="AV3416" s="2" t="str">
        <f t="shared" si="213"/>
        <v/>
      </c>
      <c r="AW3416" s="2" t="str">
        <f t="shared" si="214"/>
        <v/>
      </c>
      <c r="AX3416" s="2" t="str">
        <f t="shared" si="215"/>
        <v/>
      </c>
      <c r="AY3416" s="2" t="str">
        <f>IF($AV3416="","",IF(AND($Z3416=0,COUNTIF('AR SALES'!$L$2:$L$2501,$L3416)=0),"YES",""))</f>
        <v/>
      </c>
      <c r="AZ3416" s="2" t="str">
        <f>IF($AV3416="","",IF(COUNTIF(LISTS!$C$2:$C$250,$AU3416)=0,"NEW",""))</f>
        <v/>
      </c>
      <c r="BA3416" s="2" t="str">
        <f>IF(""&amp;$F3416&lt;&gt;"4","",IF($AY3416="YES","",IF(ROUND(SUMIFS($AE$2:$AE$4001,$L$2:$L$4001,$L3416,$F$2:$F$4001,"4")-SUMIFS('AR SALES'!$Y$2:$Y$2501,'AR SALES'!$L$2:$L$2501,$L3416,'AR SALES'!$AD$2:$AD$2501,"OFF"),2)=0,"","STALE")))</f>
        <v/>
      </c>
      <c r="BB3416" s="2" t="str">
        <f>IF(OR(""&amp;$F3416="2",""&amp;$F3416="4",""&amp;$F3416="G",""&amp;$F3416="H"),IF($AY3416="YES","",IF($AB3416&lt;&gt;0,"",IF(COUNTIFS('AR SALES'!$L$2:$L$2501,$L3416,'AR SALES'!$AD$2:$AD$2501,IF(""&amp;$F3416="4","OFF","ON"),'AR SALES'!$AF$2:$AF$2501,"Y")&gt;0,"","NO EXEMPTION"))),"")</f>
        <v/>
      </c>
    </row>
    <row r="3417" spans="46:54" x14ac:dyDescent="0.25">
      <c r="AT3417" s="2" t="str">
        <f>IF($L3417="","",IFERROR(INDEX('AR SALES'!$H$2:$H$2501,MATCH(""&amp;$L3417,'AR SALES'!$AE$2:$AE$2501,0)),""))</f>
        <v/>
      </c>
      <c r="AU3417" s="2" t="str">
        <f t="shared" si="212"/>
        <v/>
      </c>
      <c r="AV3417" s="2" t="str">
        <f t="shared" si="213"/>
        <v/>
      </c>
      <c r="AW3417" s="2" t="str">
        <f t="shared" si="214"/>
        <v/>
      </c>
      <c r="AX3417" s="2" t="str">
        <f t="shared" si="215"/>
        <v/>
      </c>
      <c r="AY3417" s="2" t="str">
        <f>IF($AV3417="","",IF(AND($Z3417=0,COUNTIF('AR SALES'!$L$2:$L$2501,$L3417)=0),"YES",""))</f>
        <v/>
      </c>
      <c r="AZ3417" s="2" t="str">
        <f>IF($AV3417="","",IF(COUNTIF(LISTS!$C$2:$C$250,$AU3417)=0,"NEW",""))</f>
        <v/>
      </c>
      <c r="BA3417" s="2" t="str">
        <f>IF(""&amp;$F3417&lt;&gt;"4","",IF($AY3417="YES","",IF(ROUND(SUMIFS($AE$2:$AE$4001,$L$2:$L$4001,$L3417,$F$2:$F$4001,"4")-SUMIFS('AR SALES'!$Y$2:$Y$2501,'AR SALES'!$L$2:$L$2501,$L3417,'AR SALES'!$AD$2:$AD$2501,"OFF"),2)=0,"","STALE")))</f>
        <v/>
      </c>
      <c r="BB3417" s="2" t="str">
        <f>IF(OR(""&amp;$F3417="2",""&amp;$F3417="4",""&amp;$F3417="G",""&amp;$F3417="H"),IF($AY3417="YES","",IF($AB3417&lt;&gt;0,"",IF(COUNTIFS('AR SALES'!$L$2:$L$2501,$L3417,'AR SALES'!$AD$2:$AD$2501,IF(""&amp;$F3417="4","OFF","ON"),'AR SALES'!$AF$2:$AF$2501,"Y")&gt;0,"","NO EXEMPTION"))),"")</f>
        <v/>
      </c>
    </row>
    <row r="3418" spans="46:54" x14ac:dyDescent="0.25">
      <c r="AT3418" s="2" t="str">
        <f>IF($L3418="","",IFERROR(INDEX('AR SALES'!$H$2:$H$2501,MATCH(""&amp;$L3418,'AR SALES'!$AE$2:$AE$2501,0)),""))</f>
        <v/>
      </c>
      <c r="AU3418" s="2" t="str">
        <f t="shared" si="212"/>
        <v/>
      </c>
      <c r="AV3418" s="2" t="str">
        <f t="shared" si="213"/>
        <v/>
      </c>
      <c r="AW3418" s="2" t="str">
        <f t="shared" si="214"/>
        <v/>
      </c>
      <c r="AX3418" s="2" t="str">
        <f t="shared" si="215"/>
        <v/>
      </c>
      <c r="AY3418" s="2" t="str">
        <f>IF($AV3418="","",IF(AND($Z3418=0,COUNTIF('AR SALES'!$L$2:$L$2501,$L3418)=0),"YES",""))</f>
        <v/>
      </c>
      <c r="AZ3418" s="2" t="str">
        <f>IF($AV3418="","",IF(COUNTIF(LISTS!$C$2:$C$250,$AU3418)=0,"NEW",""))</f>
        <v/>
      </c>
      <c r="BA3418" s="2" t="str">
        <f>IF(""&amp;$F3418&lt;&gt;"4","",IF($AY3418="YES","",IF(ROUND(SUMIFS($AE$2:$AE$4001,$L$2:$L$4001,$L3418,$F$2:$F$4001,"4")-SUMIFS('AR SALES'!$Y$2:$Y$2501,'AR SALES'!$L$2:$L$2501,$L3418,'AR SALES'!$AD$2:$AD$2501,"OFF"),2)=0,"","STALE")))</f>
        <v/>
      </c>
      <c r="BB3418" s="2" t="str">
        <f>IF(OR(""&amp;$F3418="2",""&amp;$F3418="4",""&amp;$F3418="G",""&amp;$F3418="H"),IF($AY3418="YES","",IF($AB3418&lt;&gt;0,"",IF(COUNTIFS('AR SALES'!$L$2:$L$2501,$L3418,'AR SALES'!$AD$2:$AD$2501,IF(""&amp;$F3418="4","OFF","ON"),'AR SALES'!$AF$2:$AF$2501,"Y")&gt;0,"","NO EXEMPTION"))),"")</f>
        <v/>
      </c>
    </row>
    <row r="3419" spans="46:54" x14ac:dyDescent="0.25">
      <c r="AT3419" s="2" t="str">
        <f>IF($L3419="","",IFERROR(INDEX('AR SALES'!$H$2:$H$2501,MATCH(""&amp;$L3419,'AR SALES'!$AE$2:$AE$2501,0)),""))</f>
        <v/>
      </c>
      <c r="AU3419" s="2" t="str">
        <f t="shared" si="212"/>
        <v/>
      </c>
      <c r="AV3419" s="2" t="str">
        <f t="shared" si="213"/>
        <v/>
      </c>
      <c r="AW3419" s="2" t="str">
        <f t="shared" si="214"/>
        <v/>
      </c>
      <c r="AX3419" s="2" t="str">
        <f t="shared" si="215"/>
        <v/>
      </c>
      <c r="AY3419" s="2" t="str">
        <f>IF($AV3419="","",IF(AND($Z3419=0,COUNTIF('AR SALES'!$L$2:$L$2501,$L3419)=0),"YES",""))</f>
        <v/>
      </c>
      <c r="AZ3419" s="2" t="str">
        <f>IF($AV3419="","",IF(COUNTIF(LISTS!$C$2:$C$250,$AU3419)=0,"NEW",""))</f>
        <v/>
      </c>
      <c r="BA3419" s="2" t="str">
        <f>IF(""&amp;$F3419&lt;&gt;"4","",IF($AY3419="YES","",IF(ROUND(SUMIFS($AE$2:$AE$4001,$L$2:$L$4001,$L3419,$F$2:$F$4001,"4")-SUMIFS('AR SALES'!$Y$2:$Y$2501,'AR SALES'!$L$2:$L$2501,$L3419,'AR SALES'!$AD$2:$AD$2501,"OFF"),2)=0,"","STALE")))</f>
        <v/>
      </c>
      <c r="BB3419" s="2" t="str">
        <f>IF(OR(""&amp;$F3419="2",""&amp;$F3419="4",""&amp;$F3419="G",""&amp;$F3419="H"),IF($AY3419="YES","",IF($AB3419&lt;&gt;0,"",IF(COUNTIFS('AR SALES'!$L$2:$L$2501,$L3419,'AR SALES'!$AD$2:$AD$2501,IF(""&amp;$F3419="4","OFF","ON"),'AR SALES'!$AF$2:$AF$2501,"Y")&gt;0,"","NO EXEMPTION"))),"")</f>
        <v/>
      </c>
    </row>
    <row r="3420" spans="46:54" x14ac:dyDescent="0.25">
      <c r="AT3420" s="2" t="str">
        <f>IF($L3420="","",IFERROR(INDEX('AR SALES'!$H$2:$H$2501,MATCH(""&amp;$L3420,'AR SALES'!$AE$2:$AE$2501,0)),""))</f>
        <v/>
      </c>
      <c r="AU3420" s="2" t="str">
        <f t="shared" si="212"/>
        <v/>
      </c>
      <c r="AV3420" s="2" t="str">
        <f t="shared" si="213"/>
        <v/>
      </c>
      <c r="AW3420" s="2" t="str">
        <f t="shared" si="214"/>
        <v/>
      </c>
      <c r="AX3420" s="2" t="str">
        <f t="shared" si="215"/>
        <v/>
      </c>
      <c r="AY3420" s="2" t="str">
        <f>IF($AV3420="","",IF(AND($Z3420=0,COUNTIF('AR SALES'!$L$2:$L$2501,$L3420)=0),"YES",""))</f>
        <v/>
      </c>
      <c r="AZ3420" s="2" t="str">
        <f>IF($AV3420="","",IF(COUNTIF(LISTS!$C$2:$C$250,$AU3420)=0,"NEW",""))</f>
        <v/>
      </c>
      <c r="BA3420" s="2" t="str">
        <f>IF(""&amp;$F3420&lt;&gt;"4","",IF($AY3420="YES","",IF(ROUND(SUMIFS($AE$2:$AE$4001,$L$2:$L$4001,$L3420,$F$2:$F$4001,"4")-SUMIFS('AR SALES'!$Y$2:$Y$2501,'AR SALES'!$L$2:$L$2501,$L3420,'AR SALES'!$AD$2:$AD$2501,"OFF"),2)=0,"","STALE")))</f>
        <v/>
      </c>
      <c r="BB3420" s="2" t="str">
        <f>IF(OR(""&amp;$F3420="2",""&amp;$F3420="4",""&amp;$F3420="G",""&amp;$F3420="H"),IF($AY3420="YES","",IF($AB3420&lt;&gt;0,"",IF(COUNTIFS('AR SALES'!$L$2:$L$2501,$L3420,'AR SALES'!$AD$2:$AD$2501,IF(""&amp;$F3420="4","OFF","ON"),'AR SALES'!$AF$2:$AF$2501,"Y")&gt;0,"","NO EXEMPTION"))),"")</f>
        <v/>
      </c>
    </row>
    <row r="3421" spans="46:54" x14ac:dyDescent="0.25">
      <c r="AT3421" s="2" t="str">
        <f>IF($L3421="","",IFERROR(INDEX('AR SALES'!$H$2:$H$2501,MATCH(""&amp;$L3421,'AR SALES'!$AE$2:$AE$2501,0)),""))</f>
        <v/>
      </c>
      <c r="AU3421" s="2" t="str">
        <f t="shared" si="212"/>
        <v/>
      </c>
      <c r="AV3421" s="2" t="str">
        <f t="shared" si="213"/>
        <v/>
      </c>
      <c r="AW3421" s="2" t="str">
        <f t="shared" si="214"/>
        <v/>
      </c>
      <c r="AX3421" s="2" t="str">
        <f t="shared" si="215"/>
        <v/>
      </c>
      <c r="AY3421" s="2" t="str">
        <f>IF($AV3421="","",IF(AND($Z3421=0,COUNTIF('AR SALES'!$L$2:$L$2501,$L3421)=0),"YES",""))</f>
        <v/>
      </c>
      <c r="AZ3421" s="2" t="str">
        <f>IF($AV3421="","",IF(COUNTIF(LISTS!$C$2:$C$250,$AU3421)=0,"NEW",""))</f>
        <v/>
      </c>
      <c r="BA3421" s="2" t="str">
        <f>IF(""&amp;$F3421&lt;&gt;"4","",IF($AY3421="YES","",IF(ROUND(SUMIFS($AE$2:$AE$4001,$L$2:$L$4001,$L3421,$F$2:$F$4001,"4")-SUMIFS('AR SALES'!$Y$2:$Y$2501,'AR SALES'!$L$2:$L$2501,$L3421,'AR SALES'!$AD$2:$AD$2501,"OFF"),2)=0,"","STALE")))</f>
        <v/>
      </c>
      <c r="BB3421" s="2" t="str">
        <f>IF(OR(""&amp;$F3421="2",""&amp;$F3421="4",""&amp;$F3421="G",""&amp;$F3421="H"),IF($AY3421="YES","",IF($AB3421&lt;&gt;0,"",IF(COUNTIFS('AR SALES'!$L$2:$L$2501,$L3421,'AR SALES'!$AD$2:$AD$2501,IF(""&amp;$F3421="4","OFF","ON"),'AR SALES'!$AF$2:$AF$2501,"Y")&gt;0,"","NO EXEMPTION"))),"")</f>
        <v/>
      </c>
    </row>
    <row r="3422" spans="46:54" x14ac:dyDescent="0.25">
      <c r="AT3422" s="2" t="str">
        <f>IF($L3422="","",IFERROR(INDEX('AR SALES'!$H$2:$H$2501,MATCH(""&amp;$L3422,'AR SALES'!$AE$2:$AE$2501,0)),""))</f>
        <v/>
      </c>
      <c r="AU3422" s="2" t="str">
        <f t="shared" si="212"/>
        <v/>
      </c>
      <c r="AV3422" s="2" t="str">
        <f t="shared" si="213"/>
        <v/>
      </c>
      <c r="AW3422" s="2" t="str">
        <f t="shared" si="214"/>
        <v/>
      </c>
      <c r="AX3422" s="2" t="str">
        <f t="shared" si="215"/>
        <v/>
      </c>
      <c r="AY3422" s="2" t="str">
        <f>IF($AV3422="","",IF(AND($Z3422=0,COUNTIF('AR SALES'!$L$2:$L$2501,$L3422)=0),"YES",""))</f>
        <v/>
      </c>
      <c r="AZ3422" s="2" t="str">
        <f>IF($AV3422="","",IF(COUNTIF(LISTS!$C$2:$C$250,$AU3422)=0,"NEW",""))</f>
        <v/>
      </c>
      <c r="BA3422" s="2" t="str">
        <f>IF(""&amp;$F3422&lt;&gt;"4","",IF($AY3422="YES","",IF(ROUND(SUMIFS($AE$2:$AE$4001,$L$2:$L$4001,$L3422,$F$2:$F$4001,"4")-SUMIFS('AR SALES'!$Y$2:$Y$2501,'AR SALES'!$L$2:$L$2501,$L3422,'AR SALES'!$AD$2:$AD$2501,"OFF"),2)=0,"","STALE")))</f>
        <v/>
      </c>
      <c r="BB3422" s="2" t="str">
        <f>IF(OR(""&amp;$F3422="2",""&amp;$F3422="4",""&amp;$F3422="G",""&amp;$F3422="H"),IF($AY3422="YES","",IF($AB3422&lt;&gt;0,"",IF(COUNTIFS('AR SALES'!$L$2:$L$2501,$L3422,'AR SALES'!$AD$2:$AD$2501,IF(""&amp;$F3422="4","OFF","ON"),'AR SALES'!$AF$2:$AF$2501,"Y")&gt;0,"","NO EXEMPTION"))),"")</f>
        <v/>
      </c>
    </row>
    <row r="3423" spans="46:54" x14ac:dyDescent="0.25">
      <c r="AT3423" s="2" t="str">
        <f>IF($L3423="","",IFERROR(INDEX('AR SALES'!$H$2:$H$2501,MATCH(""&amp;$L3423,'AR SALES'!$AE$2:$AE$2501,0)),""))</f>
        <v/>
      </c>
      <c r="AU3423" s="2" t="str">
        <f t="shared" si="212"/>
        <v/>
      </c>
      <c r="AV3423" s="2" t="str">
        <f t="shared" si="213"/>
        <v/>
      </c>
      <c r="AW3423" s="2" t="str">
        <f t="shared" si="214"/>
        <v/>
      </c>
      <c r="AX3423" s="2" t="str">
        <f t="shared" si="215"/>
        <v/>
      </c>
      <c r="AY3423" s="2" t="str">
        <f>IF($AV3423="","",IF(AND($Z3423=0,COUNTIF('AR SALES'!$L$2:$L$2501,$L3423)=0),"YES",""))</f>
        <v/>
      </c>
      <c r="AZ3423" s="2" t="str">
        <f>IF($AV3423="","",IF(COUNTIF(LISTS!$C$2:$C$250,$AU3423)=0,"NEW",""))</f>
        <v/>
      </c>
      <c r="BA3423" s="2" t="str">
        <f>IF(""&amp;$F3423&lt;&gt;"4","",IF($AY3423="YES","",IF(ROUND(SUMIFS($AE$2:$AE$4001,$L$2:$L$4001,$L3423,$F$2:$F$4001,"4")-SUMIFS('AR SALES'!$Y$2:$Y$2501,'AR SALES'!$L$2:$L$2501,$L3423,'AR SALES'!$AD$2:$AD$2501,"OFF"),2)=0,"","STALE")))</f>
        <v/>
      </c>
      <c r="BB3423" s="2" t="str">
        <f>IF(OR(""&amp;$F3423="2",""&amp;$F3423="4",""&amp;$F3423="G",""&amp;$F3423="H"),IF($AY3423="YES","",IF($AB3423&lt;&gt;0,"",IF(COUNTIFS('AR SALES'!$L$2:$L$2501,$L3423,'AR SALES'!$AD$2:$AD$2501,IF(""&amp;$F3423="4","OFF","ON"),'AR SALES'!$AF$2:$AF$2501,"Y")&gt;0,"","NO EXEMPTION"))),"")</f>
        <v/>
      </c>
    </row>
    <row r="3424" spans="46:54" x14ac:dyDescent="0.25">
      <c r="AT3424" s="2" t="str">
        <f>IF($L3424="","",IFERROR(INDEX('AR SALES'!$H$2:$H$2501,MATCH(""&amp;$L3424,'AR SALES'!$AE$2:$AE$2501,0)),""))</f>
        <v/>
      </c>
      <c r="AU3424" s="2" t="str">
        <f t="shared" si="212"/>
        <v/>
      </c>
      <c r="AV3424" s="2" t="str">
        <f t="shared" si="213"/>
        <v/>
      </c>
      <c r="AW3424" s="2" t="str">
        <f t="shared" si="214"/>
        <v/>
      </c>
      <c r="AX3424" s="2" t="str">
        <f t="shared" si="215"/>
        <v/>
      </c>
      <c r="AY3424" s="2" t="str">
        <f>IF($AV3424="","",IF(AND($Z3424=0,COUNTIF('AR SALES'!$L$2:$L$2501,$L3424)=0),"YES",""))</f>
        <v/>
      </c>
      <c r="AZ3424" s="2" t="str">
        <f>IF($AV3424="","",IF(COUNTIF(LISTS!$C$2:$C$250,$AU3424)=0,"NEW",""))</f>
        <v/>
      </c>
      <c r="BA3424" s="2" t="str">
        <f>IF(""&amp;$F3424&lt;&gt;"4","",IF($AY3424="YES","",IF(ROUND(SUMIFS($AE$2:$AE$4001,$L$2:$L$4001,$L3424,$F$2:$F$4001,"4")-SUMIFS('AR SALES'!$Y$2:$Y$2501,'AR SALES'!$L$2:$L$2501,$L3424,'AR SALES'!$AD$2:$AD$2501,"OFF"),2)=0,"","STALE")))</f>
        <v/>
      </c>
      <c r="BB3424" s="2" t="str">
        <f>IF(OR(""&amp;$F3424="2",""&amp;$F3424="4",""&amp;$F3424="G",""&amp;$F3424="H"),IF($AY3424="YES","",IF($AB3424&lt;&gt;0,"",IF(COUNTIFS('AR SALES'!$L$2:$L$2501,$L3424,'AR SALES'!$AD$2:$AD$2501,IF(""&amp;$F3424="4","OFF","ON"),'AR SALES'!$AF$2:$AF$2501,"Y")&gt;0,"","NO EXEMPTION"))),"")</f>
        <v/>
      </c>
    </row>
    <row r="3425" spans="46:54" x14ac:dyDescent="0.25">
      <c r="AT3425" s="2" t="str">
        <f>IF($L3425="","",IFERROR(INDEX('AR SALES'!$H$2:$H$2501,MATCH(""&amp;$L3425,'AR SALES'!$AE$2:$AE$2501,0)),""))</f>
        <v/>
      </c>
      <c r="AU3425" s="2" t="str">
        <f t="shared" si="212"/>
        <v/>
      </c>
      <c r="AV3425" s="2" t="str">
        <f t="shared" si="213"/>
        <v/>
      </c>
      <c r="AW3425" s="2" t="str">
        <f t="shared" si="214"/>
        <v/>
      </c>
      <c r="AX3425" s="2" t="str">
        <f t="shared" si="215"/>
        <v/>
      </c>
      <c r="AY3425" s="2" t="str">
        <f>IF($AV3425="","",IF(AND($Z3425=0,COUNTIF('AR SALES'!$L$2:$L$2501,$L3425)=0),"YES",""))</f>
        <v/>
      </c>
      <c r="AZ3425" s="2" t="str">
        <f>IF($AV3425="","",IF(COUNTIF(LISTS!$C$2:$C$250,$AU3425)=0,"NEW",""))</f>
        <v/>
      </c>
      <c r="BA3425" s="2" t="str">
        <f>IF(""&amp;$F3425&lt;&gt;"4","",IF($AY3425="YES","",IF(ROUND(SUMIFS($AE$2:$AE$4001,$L$2:$L$4001,$L3425,$F$2:$F$4001,"4")-SUMIFS('AR SALES'!$Y$2:$Y$2501,'AR SALES'!$L$2:$L$2501,$L3425,'AR SALES'!$AD$2:$AD$2501,"OFF"),2)=0,"","STALE")))</f>
        <v/>
      </c>
      <c r="BB3425" s="2" t="str">
        <f>IF(OR(""&amp;$F3425="2",""&amp;$F3425="4",""&amp;$F3425="G",""&amp;$F3425="H"),IF($AY3425="YES","",IF($AB3425&lt;&gt;0,"",IF(COUNTIFS('AR SALES'!$L$2:$L$2501,$L3425,'AR SALES'!$AD$2:$AD$2501,IF(""&amp;$F3425="4","OFF","ON"),'AR SALES'!$AF$2:$AF$2501,"Y")&gt;0,"","NO EXEMPTION"))),"")</f>
        <v/>
      </c>
    </row>
    <row r="3426" spans="46:54" x14ac:dyDescent="0.25">
      <c r="AT3426" s="2" t="str">
        <f>IF($L3426="","",IFERROR(INDEX('AR SALES'!$H$2:$H$2501,MATCH(""&amp;$L3426,'AR SALES'!$AE$2:$AE$2501,0)),""))</f>
        <v/>
      </c>
      <c r="AU3426" s="2" t="str">
        <f t="shared" si="212"/>
        <v/>
      </c>
      <c r="AV3426" s="2" t="str">
        <f t="shared" si="213"/>
        <v/>
      </c>
      <c r="AW3426" s="2" t="str">
        <f t="shared" si="214"/>
        <v/>
      </c>
      <c r="AX3426" s="2" t="str">
        <f t="shared" si="215"/>
        <v/>
      </c>
      <c r="AY3426" s="2" t="str">
        <f>IF($AV3426="","",IF(AND($Z3426=0,COUNTIF('AR SALES'!$L$2:$L$2501,$L3426)=0),"YES",""))</f>
        <v/>
      </c>
      <c r="AZ3426" s="2" t="str">
        <f>IF($AV3426="","",IF(COUNTIF(LISTS!$C$2:$C$250,$AU3426)=0,"NEW",""))</f>
        <v/>
      </c>
      <c r="BA3426" s="2" t="str">
        <f>IF(""&amp;$F3426&lt;&gt;"4","",IF($AY3426="YES","",IF(ROUND(SUMIFS($AE$2:$AE$4001,$L$2:$L$4001,$L3426,$F$2:$F$4001,"4")-SUMIFS('AR SALES'!$Y$2:$Y$2501,'AR SALES'!$L$2:$L$2501,$L3426,'AR SALES'!$AD$2:$AD$2501,"OFF"),2)=0,"","STALE")))</f>
        <v/>
      </c>
      <c r="BB3426" s="2" t="str">
        <f>IF(OR(""&amp;$F3426="2",""&amp;$F3426="4",""&amp;$F3426="G",""&amp;$F3426="H"),IF($AY3426="YES","",IF($AB3426&lt;&gt;0,"",IF(COUNTIFS('AR SALES'!$L$2:$L$2501,$L3426,'AR SALES'!$AD$2:$AD$2501,IF(""&amp;$F3426="4","OFF","ON"),'AR SALES'!$AF$2:$AF$2501,"Y")&gt;0,"","NO EXEMPTION"))),"")</f>
        <v/>
      </c>
    </row>
    <row r="3427" spans="46:54" x14ac:dyDescent="0.25">
      <c r="AT3427" s="2" t="str">
        <f>IF($L3427="","",IFERROR(INDEX('AR SALES'!$H$2:$H$2501,MATCH(""&amp;$L3427,'AR SALES'!$AE$2:$AE$2501,0)),""))</f>
        <v/>
      </c>
      <c r="AU3427" s="2" t="str">
        <f t="shared" si="212"/>
        <v/>
      </c>
      <c r="AV3427" s="2" t="str">
        <f t="shared" si="213"/>
        <v/>
      </c>
      <c r="AW3427" s="2" t="str">
        <f t="shared" si="214"/>
        <v/>
      </c>
      <c r="AX3427" s="2" t="str">
        <f t="shared" si="215"/>
        <v/>
      </c>
      <c r="AY3427" s="2" t="str">
        <f>IF($AV3427="","",IF(AND($Z3427=0,COUNTIF('AR SALES'!$L$2:$L$2501,$L3427)=0),"YES",""))</f>
        <v/>
      </c>
      <c r="AZ3427" s="2" t="str">
        <f>IF($AV3427="","",IF(COUNTIF(LISTS!$C$2:$C$250,$AU3427)=0,"NEW",""))</f>
        <v/>
      </c>
      <c r="BA3427" s="2" t="str">
        <f>IF(""&amp;$F3427&lt;&gt;"4","",IF($AY3427="YES","",IF(ROUND(SUMIFS($AE$2:$AE$4001,$L$2:$L$4001,$L3427,$F$2:$F$4001,"4")-SUMIFS('AR SALES'!$Y$2:$Y$2501,'AR SALES'!$L$2:$L$2501,$L3427,'AR SALES'!$AD$2:$AD$2501,"OFF"),2)=0,"","STALE")))</f>
        <v/>
      </c>
      <c r="BB3427" s="2" t="str">
        <f>IF(OR(""&amp;$F3427="2",""&amp;$F3427="4",""&amp;$F3427="G",""&amp;$F3427="H"),IF($AY3427="YES","",IF($AB3427&lt;&gt;0,"",IF(COUNTIFS('AR SALES'!$L$2:$L$2501,$L3427,'AR SALES'!$AD$2:$AD$2501,IF(""&amp;$F3427="4","OFF","ON"),'AR SALES'!$AF$2:$AF$2501,"Y")&gt;0,"","NO EXEMPTION"))),"")</f>
        <v/>
      </c>
    </row>
    <row r="3428" spans="46:54" x14ac:dyDescent="0.25">
      <c r="AT3428" s="2" t="str">
        <f>IF($L3428="","",IFERROR(INDEX('AR SALES'!$H$2:$H$2501,MATCH(""&amp;$L3428,'AR SALES'!$AE$2:$AE$2501,0)),""))</f>
        <v/>
      </c>
      <c r="AU3428" s="2" t="str">
        <f t="shared" si="212"/>
        <v/>
      </c>
      <c r="AV3428" s="2" t="str">
        <f t="shared" si="213"/>
        <v/>
      </c>
      <c r="AW3428" s="2" t="str">
        <f t="shared" si="214"/>
        <v/>
      </c>
      <c r="AX3428" s="2" t="str">
        <f t="shared" si="215"/>
        <v/>
      </c>
      <c r="AY3428" s="2" t="str">
        <f>IF($AV3428="","",IF(AND($Z3428=0,COUNTIF('AR SALES'!$L$2:$L$2501,$L3428)=0),"YES",""))</f>
        <v/>
      </c>
      <c r="AZ3428" s="2" t="str">
        <f>IF($AV3428="","",IF(COUNTIF(LISTS!$C$2:$C$250,$AU3428)=0,"NEW",""))</f>
        <v/>
      </c>
      <c r="BA3428" s="2" t="str">
        <f>IF(""&amp;$F3428&lt;&gt;"4","",IF($AY3428="YES","",IF(ROUND(SUMIFS($AE$2:$AE$4001,$L$2:$L$4001,$L3428,$F$2:$F$4001,"4")-SUMIFS('AR SALES'!$Y$2:$Y$2501,'AR SALES'!$L$2:$L$2501,$L3428,'AR SALES'!$AD$2:$AD$2501,"OFF"),2)=0,"","STALE")))</f>
        <v/>
      </c>
      <c r="BB3428" s="2" t="str">
        <f>IF(OR(""&amp;$F3428="2",""&amp;$F3428="4",""&amp;$F3428="G",""&amp;$F3428="H"),IF($AY3428="YES","",IF($AB3428&lt;&gt;0,"",IF(COUNTIFS('AR SALES'!$L$2:$L$2501,$L3428,'AR SALES'!$AD$2:$AD$2501,IF(""&amp;$F3428="4","OFF","ON"),'AR SALES'!$AF$2:$AF$2501,"Y")&gt;0,"","NO EXEMPTION"))),"")</f>
        <v/>
      </c>
    </row>
    <row r="3429" spans="46:54" x14ac:dyDescent="0.25">
      <c r="AT3429" s="2" t="str">
        <f>IF($L3429="","",IFERROR(INDEX('AR SALES'!$H$2:$H$2501,MATCH(""&amp;$L3429,'AR SALES'!$AE$2:$AE$2501,0)),""))</f>
        <v/>
      </c>
      <c r="AU3429" s="2" t="str">
        <f t="shared" si="212"/>
        <v/>
      </c>
      <c r="AV3429" s="2" t="str">
        <f t="shared" si="213"/>
        <v/>
      </c>
      <c r="AW3429" s="2" t="str">
        <f t="shared" si="214"/>
        <v/>
      </c>
      <c r="AX3429" s="2" t="str">
        <f t="shared" si="215"/>
        <v/>
      </c>
      <c r="AY3429" s="2" t="str">
        <f>IF($AV3429="","",IF(AND($Z3429=0,COUNTIF('AR SALES'!$L$2:$L$2501,$L3429)=0),"YES",""))</f>
        <v/>
      </c>
      <c r="AZ3429" s="2" t="str">
        <f>IF($AV3429="","",IF(COUNTIF(LISTS!$C$2:$C$250,$AU3429)=0,"NEW",""))</f>
        <v/>
      </c>
      <c r="BA3429" s="2" t="str">
        <f>IF(""&amp;$F3429&lt;&gt;"4","",IF($AY3429="YES","",IF(ROUND(SUMIFS($AE$2:$AE$4001,$L$2:$L$4001,$L3429,$F$2:$F$4001,"4")-SUMIFS('AR SALES'!$Y$2:$Y$2501,'AR SALES'!$L$2:$L$2501,$L3429,'AR SALES'!$AD$2:$AD$2501,"OFF"),2)=0,"","STALE")))</f>
        <v/>
      </c>
      <c r="BB3429" s="2" t="str">
        <f>IF(OR(""&amp;$F3429="2",""&amp;$F3429="4",""&amp;$F3429="G",""&amp;$F3429="H"),IF($AY3429="YES","",IF($AB3429&lt;&gt;0,"",IF(COUNTIFS('AR SALES'!$L$2:$L$2501,$L3429,'AR SALES'!$AD$2:$AD$2501,IF(""&amp;$F3429="4","OFF","ON"),'AR SALES'!$AF$2:$AF$2501,"Y")&gt;0,"","NO EXEMPTION"))),"")</f>
        <v/>
      </c>
    </row>
    <row r="3430" spans="46:54" x14ac:dyDescent="0.25">
      <c r="AT3430" s="2" t="str">
        <f>IF($L3430="","",IFERROR(INDEX('AR SALES'!$H$2:$H$2501,MATCH(""&amp;$L3430,'AR SALES'!$AE$2:$AE$2501,0)),""))</f>
        <v/>
      </c>
      <c r="AU3430" s="2" t="str">
        <f t="shared" si="212"/>
        <v/>
      </c>
      <c r="AV3430" s="2" t="str">
        <f t="shared" si="213"/>
        <v/>
      </c>
      <c r="AW3430" s="2" t="str">
        <f t="shared" si="214"/>
        <v/>
      </c>
      <c r="AX3430" s="2" t="str">
        <f t="shared" si="215"/>
        <v/>
      </c>
      <c r="AY3430" s="2" t="str">
        <f>IF($AV3430="","",IF(AND($Z3430=0,COUNTIF('AR SALES'!$L$2:$L$2501,$L3430)=0),"YES",""))</f>
        <v/>
      </c>
      <c r="AZ3430" s="2" t="str">
        <f>IF($AV3430="","",IF(COUNTIF(LISTS!$C$2:$C$250,$AU3430)=0,"NEW",""))</f>
        <v/>
      </c>
      <c r="BA3430" s="2" t="str">
        <f>IF(""&amp;$F3430&lt;&gt;"4","",IF($AY3430="YES","",IF(ROUND(SUMIFS($AE$2:$AE$4001,$L$2:$L$4001,$L3430,$F$2:$F$4001,"4")-SUMIFS('AR SALES'!$Y$2:$Y$2501,'AR SALES'!$L$2:$L$2501,$L3430,'AR SALES'!$AD$2:$AD$2501,"OFF"),2)=0,"","STALE")))</f>
        <v/>
      </c>
      <c r="BB3430" s="2" t="str">
        <f>IF(OR(""&amp;$F3430="2",""&amp;$F3430="4",""&amp;$F3430="G",""&amp;$F3430="H"),IF($AY3430="YES","",IF($AB3430&lt;&gt;0,"",IF(COUNTIFS('AR SALES'!$L$2:$L$2501,$L3430,'AR SALES'!$AD$2:$AD$2501,IF(""&amp;$F3430="4","OFF","ON"),'AR SALES'!$AF$2:$AF$2501,"Y")&gt;0,"","NO EXEMPTION"))),"")</f>
        <v/>
      </c>
    </row>
    <row r="3431" spans="46:54" x14ac:dyDescent="0.25">
      <c r="AT3431" s="2" t="str">
        <f>IF($L3431="","",IFERROR(INDEX('AR SALES'!$H$2:$H$2501,MATCH(""&amp;$L3431,'AR SALES'!$AE$2:$AE$2501,0)),""))</f>
        <v/>
      </c>
      <c r="AU3431" s="2" t="str">
        <f t="shared" si="212"/>
        <v/>
      </c>
      <c r="AV3431" s="2" t="str">
        <f t="shared" si="213"/>
        <v/>
      </c>
      <c r="AW3431" s="2" t="str">
        <f t="shared" si="214"/>
        <v/>
      </c>
      <c r="AX3431" s="2" t="str">
        <f t="shared" si="215"/>
        <v/>
      </c>
      <c r="AY3431" s="2" t="str">
        <f>IF($AV3431="","",IF(AND($Z3431=0,COUNTIF('AR SALES'!$L$2:$L$2501,$L3431)=0),"YES",""))</f>
        <v/>
      </c>
      <c r="AZ3431" s="2" t="str">
        <f>IF($AV3431="","",IF(COUNTIF(LISTS!$C$2:$C$250,$AU3431)=0,"NEW",""))</f>
        <v/>
      </c>
      <c r="BA3431" s="2" t="str">
        <f>IF(""&amp;$F3431&lt;&gt;"4","",IF($AY3431="YES","",IF(ROUND(SUMIFS($AE$2:$AE$4001,$L$2:$L$4001,$L3431,$F$2:$F$4001,"4")-SUMIFS('AR SALES'!$Y$2:$Y$2501,'AR SALES'!$L$2:$L$2501,$L3431,'AR SALES'!$AD$2:$AD$2501,"OFF"),2)=0,"","STALE")))</f>
        <v/>
      </c>
      <c r="BB3431" s="2" t="str">
        <f>IF(OR(""&amp;$F3431="2",""&amp;$F3431="4",""&amp;$F3431="G",""&amp;$F3431="H"),IF($AY3431="YES","",IF($AB3431&lt;&gt;0,"",IF(COUNTIFS('AR SALES'!$L$2:$L$2501,$L3431,'AR SALES'!$AD$2:$AD$2501,IF(""&amp;$F3431="4","OFF","ON"),'AR SALES'!$AF$2:$AF$2501,"Y")&gt;0,"","NO EXEMPTION"))),"")</f>
        <v/>
      </c>
    </row>
    <row r="3432" spans="46:54" x14ac:dyDescent="0.25">
      <c r="AT3432" s="2" t="str">
        <f>IF($L3432="","",IFERROR(INDEX('AR SALES'!$H$2:$H$2501,MATCH(""&amp;$L3432,'AR SALES'!$AE$2:$AE$2501,0)),""))</f>
        <v/>
      </c>
      <c r="AU3432" s="2" t="str">
        <f t="shared" si="212"/>
        <v/>
      </c>
      <c r="AV3432" s="2" t="str">
        <f t="shared" si="213"/>
        <v/>
      </c>
      <c r="AW3432" s="2" t="str">
        <f t="shared" si="214"/>
        <v/>
      </c>
      <c r="AX3432" s="2" t="str">
        <f t="shared" si="215"/>
        <v/>
      </c>
      <c r="AY3432" s="2" t="str">
        <f>IF($AV3432="","",IF(AND($Z3432=0,COUNTIF('AR SALES'!$L$2:$L$2501,$L3432)=0),"YES",""))</f>
        <v/>
      </c>
      <c r="AZ3432" s="2" t="str">
        <f>IF($AV3432="","",IF(COUNTIF(LISTS!$C$2:$C$250,$AU3432)=0,"NEW",""))</f>
        <v/>
      </c>
      <c r="BA3432" s="2" t="str">
        <f>IF(""&amp;$F3432&lt;&gt;"4","",IF($AY3432="YES","",IF(ROUND(SUMIFS($AE$2:$AE$4001,$L$2:$L$4001,$L3432,$F$2:$F$4001,"4")-SUMIFS('AR SALES'!$Y$2:$Y$2501,'AR SALES'!$L$2:$L$2501,$L3432,'AR SALES'!$AD$2:$AD$2501,"OFF"),2)=0,"","STALE")))</f>
        <v/>
      </c>
      <c r="BB3432" s="2" t="str">
        <f>IF(OR(""&amp;$F3432="2",""&amp;$F3432="4",""&amp;$F3432="G",""&amp;$F3432="H"),IF($AY3432="YES","",IF($AB3432&lt;&gt;0,"",IF(COUNTIFS('AR SALES'!$L$2:$L$2501,$L3432,'AR SALES'!$AD$2:$AD$2501,IF(""&amp;$F3432="4","OFF","ON"),'AR SALES'!$AF$2:$AF$2501,"Y")&gt;0,"","NO EXEMPTION"))),"")</f>
        <v/>
      </c>
    </row>
    <row r="3433" spans="46:54" x14ac:dyDescent="0.25">
      <c r="AT3433" s="2" t="str">
        <f>IF($L3433="","",IFERROR(INDEX('AR SALES'!$H$2:$H$2501,MATCH(""&amp;$L3433,'AR SALES'!$AE$2:$AE$2501,0)),""))</f>
        <v/>
      </c>
      <c r="AU3433" s="2" t="str">
        <f t="shared" si="212"/>
        <v/>
      </c>
      <c r="AV3433" s="2" t="str">
        <f t="shared" si="213"/>
        <v/>
      </c>
      <c r="AW3433" s="2" t="str">
        <f t="shared" si="214"/>
        <v/>
      </c>
      <c r="AX3433" s="2" t="str">
        <f t="shared" si="215"/>
        <v/>
      </c>
      <c r="AY3433" s="2" t="str">
        <f>IF($AV3433="","",IF(AND($Z3433=0,COUNTIF('AR SALES'!$L$2:$L$2501,$L3433)=0),"YES",""))</f>
        <v/>
      </c>
      <c r="AZ3433" s="2" t="str">
        <f>IF($AV3433="","",IF(COUNTIF(LISTS!$C$2:$C$250,$AU3433)=0,"NEW",""))</f>
        <v/>
      </c>
      <c r="BA3433" s="2" t="str">
        <f>IF(""&amp;$F3433&lt;&gt;"4","",IF($AY3433="YES","",IF(ROUND(SUMIFS($AE$2:$AE$4001,$L$2:$L$4001,$L3433,$F$2:$F$4001,"4")-SUMIFS('AR SALES'!$Y$2:$Y$2501,'AR SALES'!$L$2:$L$2501,$L3433,'AR SALES'!$AD$2:$AD$2501,"OFF"),2)=0,"","STALE")))</f>
        <v/>
      </c>
      <c r="BB3433" s="2" t="str">
        <f>IF(OR(""&amp;$F3433="2",""&amp;$F3433="4",""&amp;$F3433="G",""&amp;$F3433="H"),IF($AY3433="YES","",IF($AB3433&lt;&gt;0,"",IF(COUNTIFS('AR SALES'!$L$2:$L$2501,$L3433,'AR SALES'!$AD$2:$AD$2501,IF(""&amp;$F3433="4","OFF","ON"),'AR SALES'!$AF$2:$AF$2501,"Y")&gt;0,"","NO EXEMPTION"))),"")</f>
        <v/>
      </c>
    </row>
    <row r="3434" spans="46:54" x14ac:dyDescent="0.25">
      <c r="AT3434" s="2" t="str">
        <f>IF($L3434="","",IFERROR(INDEX('AR SALES'!$H$2:$H$2501,MATCH(""&amp;$L3434,'AR SALES'!$AE$2:$AE$2501,0)),""))</f>
        <v/>
      </c>
      <c r="AU3434" s="2" t="str">
        <f t="shared" si="212"/>
        <v/>
      </c>
      <c r="AV3434" s="2" t="str">
        <f t="shared" si="213"/>
        <v/>
      </c>
      <c r="AW3434" s="2" t="str">
        <f t="shared" si="214"/>
        <v/>
      </c>
      <c r="AX3434" s="2" t="str">
        <f t="shared" si="215"/>
        <v/>
      </c>
      <c r="AY3434" s="2" t="str">
        <f>IF($AV3434="","",IF(AND($Z3434=0,COUNTIF('AR SALES'!$L$2:$L$2501,$L3434)=0),"YES",""))</f>
        <v/>
      </c>
      <c r="AZ3434" s="2" t="str">
        <f>IF($AV3434="","",IF(COUNTIF(LISTS!$C$2:$C$250,$AU3434)=0,"NEW",""))</f>
        <v/>
      </c>
      <c r="BA3434" s="2" t="str">
        <f>IF(""&amp;$F3434&lt;&gt;"4","",IF($AY3434="YES","",IF(ROUND(SUMIFS($AE$2:$AE$4001,$L$2:$L$4001,$L3434,$F$2:$F$4001,"4")-SUMIFS('AR SALES'!$Y$2:$Y$2501,'AR SALES'!$L$2:$L$2501,$L3434,'AR SALES'!$AD$2:$AD$2501,"OFF"),2)=0,"","STALE")))</f>
        <v/>
      </c>
      <c r="BB3434" s="2" t="str">
        <f>IF(OR(""&amp;$F3434="2",""&amp;$F3434="4",""&amp;$F3434="G",""&amp;$F3434="H"),IF($AY3434="YES","",IF($AB3434&lt;&gt;0,"",IF(COUNTIFS('AR SALES'!$L$2:$L$2501,$L3434,'AR SALES'!$AD$2:$AD$2501,IF(""&amp;$F3434="4","OFF","ON"),'AR SALES'!$AF$2:$AF$2501,"Y")&gt;0,"","NO EXEMPTION"))),"")</f>
        <v/>
      </c>
    </row>
    <row r="3435" spans="46:54" x14ac:dyDescent="0.25">
      <c r="AT3435" s="2" t="str">
        <f>IF($L3435="","",IFERROR(INDEX('AR SALES'!$H$2:$H$2501,MATCH(""&amp;$L3435,'AR SALES'!$AE$2:$AE$2501,0)),""))</f>
        <v/>
      </c>
      <c r="AU3435" s="2" t="str">
        <f t="shared" si="212"/>
        <v/>
      </c>
      <c r="AV3435" s="2" t="str">
        <f t="shared" si="213"/>
        <v/>
      </c>
      <c r="AW3435" s="2" t="str">
        <f t="shared" si="214"/>
        <v/>
      </c>
      <c r="AX3435" s="2" t="str">
        <f t="shared" si="215"/>
        <v/>
      </c>
      <c r="AY3435" s="2" t="str">
        <f>IF($AV3435="","",IF(AND($Z3435=0,COUNTIF('AR SALES'!$L$2:$L$2501,$L3435)=0),"YES",""))</f>
        <v/>
      </c>
      <c r="AZ3435" s="2" t="str">
        <f>IF($AV3435="","",IF(COUNTIF(LISTS!$C$2:$C$250,$AU3435)=0,"NEW",""))</f>
        <v/>
      </c>
      <c r="BA3435" s="2" t="str">
        <f>IF(""&amp;$F3435&lt;&gt;"4","",IF($AY3435="YES","",IF(ROUND(SUMIFS($AE$2:$AE$4001,$L$2:$L$4001,$L3435,$F$2:$F$4001,"4")-SUMIFS('AR SALES'!$Y$2:$Y$2501,'AR SALES'!$L$2:$L$2501,$L3435,'AR SALES'!$AD$2:$AD$2501,"OFF"),2)=0,"","STALE")))</f>
        <v/>
      </c>
      <c r="BB3435" s="2" t="str">
        <f>IF(OR(""&amp;$F3435="2",""&amp;$F3435="4",""&amp;$F3435="G",""&amp;$F3435="H"),IF($AY3435="YES","",IF($AB3435&lt;&gt;0,"",IF(COUNTIFS('AR SALES'!$L$2:$L$2501,$L3435,'AR SALES'!$AD$2:$AD$2501,IF(""&amp;$F3435="4","OFF","ON"),'AR SALES'!$AF$2:$AF$2501,"Y")&gt;0,"","NO EXEMPTION"))),"")</f>
        <v/>
      </c>
    </row>
    <row r="3436" spans="46:54" x14ac:dyDescent="0.25">
      <c r="AT3436" s="2" t="str">
        <f>IF($L3436="","",IFERROR(INDEX('AR SALES'!$H$2:$H$2501,MATCH(""&amp;$L3436,'AR SALES'!$AE$2:$AE$2501,0)),""))</f>
        <v/>
      </c>
      <c r="AU3436" s="2" t="str">
        <f t="shared" si="212"/>
        <v/>
      </c>
      <c r="AV3436" s="2" t="str">
        <f t="shared" si="213"/>
        <v/>
      </c>
      <c r="AW3436" s="2" t="str">
        <f t="shared" si="214"/>
        <v/>
      </c>
      <c r="AX3436" s="2" t="str">
        <f t="shared" si="215"/>
        <v/>
      </c>
      <c r="AY3436" s="2" t="str">
        <f>IF($AV3436="","",IF(AND($Z3436=0,COUNTIF('AR SALES'!$L$2:$L$2501,$L3436)=0),"YES",""))</f>
        <v/>
      </c>
      <c r="AZ3436" s="2" t="str">
        <f>IF($AV3436="","",IF(COUNTIF(LISTS!$C$2:$C$250,$AU3436)=0,"NEW",""))</f>
        <v/>
      </c>
      <c r="BA3436" s="2" t="str">
        <f>IF(""&amp;$F3436&lt;&gt;"4","",IF($AY3436="YES","",IF(ROUND(SUMIFS($AE$2:$AE$4001,$L$2:$L$4001,$L3436,$F$2:$F$4001,"4")-SUMIFS('AR SALES'!$Y$2:$Y$2501,'AR SALES'!$L$2:$L$2501,$L3436,'AR SALES'!$AD$2:$AD$2501,"OFF"),2)=0,"","STALE")))</f>
        <v/>
      </c>
      <c r="BB3436" s="2" t="str">
        <f>IF(OR(""&amp;$F3436="2",""&amp;$F3436="4",""&amp;$F3436="G",""&amp;$F3436="H"),IF($AY3436="YES","",IF($AB3436&lt;&gt;0,"",IF(COUNTIFS('AR SALES'!$L$2:$L$2501,$L3436,'AR SALES'!$AD$2:$AD$2501,IF(""&amp;$F3436="4","OFF","ON"),'AR SALES'!$AF$2:$AF$2501,"Y")&gt;0,"","NO EXEMPTION"))),"")</f>
        <v/>
      </c>
    </row>
    <row r="3437" spans="46:54" x14ac:dyDescent="0.25">
      <c r="AT3437" s="2" t="str">
        <f>IF($L3437="","",IFERROR(INDEX('AR SALES'!$H$2:$H$2501,MATCH(""&amp;$L3437,'AR SALES'!$AE$2:$AE$2501,0)),""))</f>
        <v/>
      </c>
      <c r="AU3437" s="2" t="str">
        <f t="shared" si="212"/>
        <v/>
      </c>
      <c r="AV3437" s="2" t="str">
        <f t="shared" si="213"/>
        <v/>
      </c>
      <c r="AW3437" s="2" t="str">
        <f t="shared" si="214"/>
        <v/>
      </c>
      <c r="AX3437" s="2" t="str">
        <f t="shared" si="215"/>
        <v/>
      </c>
      <c r="AY3437" s="2" t="str">
        <f>IF($AV3437="","",IF(AND($Z3437=0,COUNTIF('AR SALES'!$L$2:$L$2501,$L3437)=0),"YES",""))</f>
        <v/>
      </c>
      <c r="AZ3437" s="2" t="str">
        <f>IF($AV3437="","",IF(COUNTIF(LISTS!$C$2:$C$250,$AU3437)=0,"NEW",""))</f>
        <v/>
      </c>
      <c r="BA3437" s="2" t="str">
        <f>IF(""&amp;$F3437&lt;&gt;"4","",IF($AY3437="YES","",IF(ROUND(SUMIFS($AE$2:$AE$4001,$L$2:$L$4001,$L3437,$F$2:$F$4001,"4")-SUMIFS('AR SALES'!$Y$2:$Y$2501,'AR SALES'!$L$2:$L$2501,$L3437,'AR SALES'!$AD$2:$AD$2501,"OFF"),2)=0,"","STALE")))</f>
        <v/>
      </c>
      <c r="BB3437" s="2" t="str">
        <f>IF(OR(""&amp;$F3437="2",""&amp;$F3437="4",""&amp;$F3437="G",""&amp;$F3437="H"),IF($AY3437="YES","",IF($AB3437&lt;&gt;0,"",IF(COUNTIFS('AR SALES'!$L$2:$L$2501,$L3437,'AR SALES'!$AD$2:$AD$2501,IF(""&amp;$F3437="4","OFF","ON"),'AR SALES'!$AF$2:$AF$2501,"Y")&gt;0,"","NO EXEMPTION"))),"")</f>
        <v/>
      </c>
    </row>
    <row r="3438" spans="46:54" x14ac:dyDescent="0.25">
      <c r="AT3438" s="2" t="str">
        <f>IF($L3438="","",IFERROR(INDEX('AR SALES'!$H$2:$H$2501,MATCH(""&amp;$L3438,'AR SALES'!$AE$2:$AE$2501,0)),""))</f>
        <v/>
      </c>
      <c r="AU3438" s="2" t="str">
        <f t="shared" si="212"/>
        <v/>
      </c>
      <c r="AV3438" s="2" t="str">
        <f t="shared" si="213"/>
        <v/>
      </c>
      <c r="AW3438" s="2" t="str">
        <f t="shared" si="214"/>
        <v/>
      </c>
      <c r="AX3438" s="2" t="str">
        <f t="shared" si="215"/>
        <v/>
      </c>
      <c r="AY3438" s="2" t="str">
        <f>IF($AV3438="","",IF(AND($Z3438=0,COUNTIF('AR SALES'!$L$2:$L$2501,$L3438)=0),"YES",""))</f>
        <v/>
      </c>
      <c r="AZ3438" s="2" t="str">
        <f>IF($AV3438="","",IF(COUNTIF(LISTS!$C$2:$C$250,$AU3438)=0,"NEW",""))</f>
        <v/>
      </c>
      <c r="BA3438" s="2" t="str">
        <f>IF(""&amp;$F3438&lt;&gt;"4","",IF($AY3438="YES","",IF(ROUND(SUMIFS($AE$2:$AE$4001,$L$2:$L$4001,$L3438,$F$2:$F$4001,"4")-SUMIFS('AR SALES'!$Y$2:$Y$2501,'AR SALES'!$L$2:$L$2501,$L3438,'AR SALES'!$AD$2:$AD$2501,"OFF"),2)=0,"","STALE")))</f>
        <v/>
      </c>
      <c r="BB3438" s="2" t="str">
        <f>IF(OR(""&amp;$F3438="2",""&amp;$F3438="4",""&amp;$F3438="G",""&amp;$F3438="H"),IF($AY3438="YES","",IF($AB3438&lt;&gt;0,"",IF(COUNTIFS('AR SALES'!$L$2:$L$2501,$L3438,'AR SALES'!$AD$2:$AD$2501,IF(""&amp;$F3438="4","OFF","ON"),'AR SALES'!$AF$2:$AF$2501,"Y")&gt;0,"","NO EXEMPTION"))),"")</f>
        <v/>
      </c>
    </row>
    <row r="3439" spans="46:54" x14ac:dyDescent="0.25">
      <c r="AT3439" s="2" t="str">
        <f>IF($L3439="","",IFERROR(INDEX('AR SALES'!$H$2:$H$2501,MATCH(""&amp;$L3439,'AR SALES'!$AE$2:$AE$2501,0)),""))</f>
        <v/>
      </c>
      <c r="AU3439" s="2" t="str">
        <f t="shared" si="212"/>
        <v/>
      </c>
      <c r="AV3439" s="2" t="str">
        <f t="shared" si="213"/>
        <v/>
      </c>
      <c r="AW3439" s="2" t="str">
        <f t="shared" si="214"/>
        <v/>
      </c>
      <c r="AX3439" s="2" t="str">
        <f t="shared" si="215"/>
        <v/>
      </c>
      <c r="AY3439" s="2" t="str">
        <f>IF($AV3439="","",IF(AND($Z3439=0,COUNTIF('AR SALES'!$L$2:$L$2501,$L3439)=0),"YES",""))</f>
        <v/>
      </c>
      <c r="AZ3439" s="2" t="str">
        <f>IF($AV3439="","",IF(COUNTIF(LISTS!$C$2:$C$250,$AU3439)=0,"NEW",""))</f>
        <v/>
      </c>
      <c r="BA3439" s="2" t="str">
        <f>IF(""&amp;$F3439&lt;&gt;"4","",IF($AY3439="YES","",IF(ROUND(SUMIFS($AE$2:$AE$4001,$L$2:$L$4001,$L3439,$F$2:$F$4001,"4")-SUMIFS('AR SALES'!$Y$2:$Y$2501,'AR SALES'!$L$2:$L$2501,$L3439,'AR SALES'!$AD$2:$AD$2501,"OFF"),2)=0,"","STALE")))</f>
        <v/>
      </c>
      <c r="BB3439" s="2" t="str">
        <f>IF(OR(""&amp;$F3439="2",""&amp;$F3439="4",""&amp;$F3439="G",""&amp;$F3439="H"),IF($AY3439="YES","",IF($AB3439&lt;&gt;0,"",IF(COUNTIFS('AR SALES'!$L$2:$L$2501,$L3439,'AR SALES'!$AD$2:$AD$2501,IF(""&amp;$F3439="4","OFF","ON"),'AR SALES'!$AF$2:$AF$2501,"Y")&gt;0,"","NO EXEMPTION"))),"")</f>
        <v/>
      </c>
    </row>
    <row r="3440" spans="46:54" x14ac:dyDescent="0.25">
      <c r="AT3440" s="2" t="str">
        <f>IF($L3440="","",IFERROR(INDEX('AR SALES'!$H$2:$H$2501,MATCH(""&amp;$L3440,'AR SALES'!$AE$2:$AE$2501,0)),""))</f>
        <v/>
      </c>
      <c r="AU3440" s="2" t="str">
        <f t="shared" si="212"/>
        <v/>
      </c>
      <c r="AV3440" s="2" t="str">
        <f t="shared" si="213"/>
        <v/>
      </c>
      <c r="AW3440" s="2" t="str">
        <f t="shared" si="214"/>
        <v/>
      </c>
      <c r="AX3440" s="2" t="str">
        <f t="shared" si="215"/>
        <v/>
      </c>
      <c r="AY3440" s="2" t="str">
        <f>IF($AV3440="","",IF(AND($Z3440=0,COUNTIF('AR SALES'!$L$2:$L$2501,$L3440)=0),"YES",""))</f>
        <v/>
      </c>
      <c r="AZ3440" s="2" t="str">
        <f>IF($AV3440="","",IF(COUNTIF(LISTS!$C$2:$C$250,$AU3440)=0,"NEW",""))</f>
        <v/>
      </c>
      <c r="BA3440" s="2" t="str">
        <f>IF(""&amp;$F3440&lt;&gt;"4","",IF($AY3440="YES","",IF(ROUND(SUMIFS($AE$2:$AE$4001,$L$2:$L$4001,$L3440,$F$2:$F$4001,"4")-SUMIFS('AR SALES'!$Y$2:$Y$2501,'AR SALES'!$L$2:$L$2501,$L3440,'AR SALES'!$AD$2:$AD$2501,"OFF"),2)=0,"","STALE")))</f>
        <v/>
      </c>
      <c r="BB3440" s="2" t="str">
        <f>IF(OR(""&amp;$F3440="2",""&amp;$F3440="4",""&amp;$F3440="G",""&amp;$F3440="H"),IF($AY3440="YES","",IF($AB3440&lt;&gt;0,"",IF(COUNTIFS('AR SALES'!$L$2:$L$2501,$L3440,'AR SALES'!$AD$2:$AD$2501,IF(""&amp;$F3440="4","OFF","ON"),'AR SALES'!$AF$2:$AF$2501,"Y")&gt;0,"","NO EXEMPTION"))),"")</f>
        <v/>
      </c>
    </row>
    <row r="3441" spans="46:54" x14ac:dyDescent="0.25">
      <c r="AT3441" s="2" t="str">
        <f>IF($L3441="","",IFERROR(INDEX('AR SALES'!$H$2:$H$2501,MATCH(""&amp;$L3441,'AR SALES'!$AE$2:$AE$2501,0)),""))</f>
        <v/>
      </c>
      <c r="AU3441" s="2" t="str">
        <f t="shared" si="212"/>
        <v/>
      </c>
      <c r="AV3441" s="2" t="str">
        <f t="shared" si="213"/>
        <v/>
      </c>
      <c r="AW3441" s="2" t="str">
        <f t="shared" si="214"/>
        <v/>
      </c>
      <c r="AX3441" s="2" t="str">
        <f t="shared" si="215"/>
        <v/>
      </c>
      <c r="AY3441" s="2" t="str">
        <f>IF($AV3441="","",IF(AND($Z3441=0,COUNTIF('AR SALES'!$L$2:$L$2501,$L3441)=0),"YES",""))</f>
        <v/>
      </c>
      <c r="AZ3441" s="2" t="str">
        <f>IF($AV3441="","",IF(COUNTIF(LISTS!$C$2:$C$250,$AU3441)=0,"NEW",""))</f>
        <v/>
      </c>
      <c r="BA3441" s="2" t="str">
        <f>IF(""&amp;$F3441&lt;&gt;"4","",IF($AY3441="YES","",IF(ROUND(SUMIFS($AE$2:$AE$4001,$L$2:$L$4001,$L3441,$F$2:$F$4001,"4")-SUMIFS('AR SALES'!$Y$2:$Y$2501,'AR SALES'!$L$2:$L$2501,$L3441,'AR SALES'!$AD$2:$AD$2501,"OFF"),2)=0,"","STALE")))</f>
        <v/>
      </c>
      <c r="BB3441" s="2" t="str">
        <f>IF(OR(""&amp;$F3441="2",""&amp;$F3441="4",""&amp;$F3441="G",""&amp;$F3441="H"),IF($AY3441="YES","",IF($AB3441&lt;&gt;0,"",IF(COUNTIFS('AR SALES'!$L$2:$L$2501,$L3441,'AR SALES'!$AD$2:$AD$2501,IF(""&amp;$F3441="4","OFF","ON"),'AR SALES'!$AF$2:$AF$2501,"Y")&gt;0,"","NO EXEMPTION"))),"")</f>
        <v/>
      </c>
    </row>
    <row r="3442" spans="46:54" x14ac:dyDescent="0.25">
      <c r="AT3442" s="2" t="str">
        <f>IF($L3442="","",IFERROR(INDEX('AR SALES'!$H$2:$H$2501,MATCH(""&amp;$L3442,'AR SALES'!$AE$2:$AE$2501,0)),""))</f>
        <v/>
      </c>
      <c r="AU3442" s="2" t="str">
        <f t="shared" si="212"/>
        <v/>
      </c>
      <c r="AV3442" s="2" t="str">
        <f t="shared" si="213"/>
        <v/>
      </c>
      <c r="AW3442" s="2" t="str">
        <f t="shared" si="214"/>
        <v/>
      </c>
      <c r="AX3442" s="2" t="str">
        <f t="shared" si="215"/>
        <v/>
      </c>
      <c r="AY3442" s="2" t="str">
        <f>IF($AV3442="","",IF(AND($Z3442=0,COUNTIF('AR SALES'!$L$2:$L$2501,$L3442)=0),"YES",""))</f>
        <v/>
      </c>
      <c r="AZ3442" s="2" t="str">
        <f>IF($AV3442="","",IF(COUNTIF(LISTS!$C$2:$C$250,$AU3442)=0,"NEW",""))</f>
        <v/>
      </c>
      <c r="BA3442" s="2" t="str">
        <f>IF(""&amp;$F3442&lt;&gt;"4","",IF($AY3442="YES","",IF(ROUND(SUMIFS($AE$2:$AE$4001,$L$2:$L$4001,$L3442,$F$2:$F$4001,"4")-SUMIFS('AR SALES'!$Y$2:$Y$2501,'AR SALES'!$L$2:$L$2501,$L3442,'AR SALES'!$AD$2:$AD$2501,"OFF"),2)=0,"","STALE")))</f>
        <v/>
      </c>
      <c r="BB3442" s="2" t="str">
        <f>IF(OR(""&amp;$F3442="2",""&amp;$F3442="4",""&amp;$F3442="G",""&amp;$F3442="H"),IF($AY3442="YES","",IF($AB3442&lt;&gt;0,"",IF(COUNTIFS('AR SALES'!$L$2:$L$2501,$L3442,'AR SALES'!$AD$2:$AD$2501,IF(""&amp;$F3442="4","OFF","ON"),'AR SALES'!$AF$2:$AF$2501,"Y")&gt;0,"","NO EXEMPTION"))),"")</f>
        <v/>
      </c>
    </row>
    <row r="3443" spans="46:54" x14ac:dyDescent="0.25">
      <c r="AT3443" s="2" t="str">
        <f>IF($L3443="","",IFERROR(INDEX('AR SALES'!$H$2:$H$2501,MATCH(""&amp;$L3443,'AR SALES'!$AE$2:$AE$2501,0)),""))</f>
        <v/>
      </c>
      <c r="AU3443" s="2" t="str">
        <f t="shared" si="212"/>
        <v/>
      </c>
      <c r="AV3443" s="2" t="str">
        <f t="shared" si="213"/>
        <v/>
      </c>
      <c r="AW3443" s="2" t="str">
        <f t="shared" si="214"/>
        <v/>
      </c>
      <c r="AX3443" s="2" t="str">
        <f t="shared" si="215"/>
        <v/>
      </c>
      <c r="AY3443" s="2" t="str">
        <f>IF($AV3443="","",IF(AND($Z3443=0,COUNTIF('AR SALES'!$L$2:$L$2501,$L3443)=0),"YES",""))</f>
        <v/>
      </c>
      <c r="AZ3443" s="2" t="str">
        <f>IF($AV3443="","",IF(COUNTIF(LISTS!$C$2:$C$250,$AU3443)=0,"NEW",""))</f>
        <v/>
      </c>
      <c r="BA3443" s="2" t="str">
        <f>IF(""&amp;$F3443&lt;&gt;"4","",IF($AY3443="YES","",IF(ROUND(SUMIFS($AE$2:$AE$4001,$L$2:$L$4001,$L3443,$F$2:$F$4001,"4")-SUMIFS('AR SALES'!$Y$2:$Y$2501,'AR SALES'!$L$2:$L$2501,$L3443,'AR SALES'!$AD$2:$AD$2501,"OFF"),2)=0,"","STALE")))</f>
        <v/>
      </c>
      <c r="BB3443" s="2" t="str">
        <f>IF(OR(""&amp;$F3443="2",""&amp;$F3443="4",""&amp;$F3443="G",""&amp;$F3443="H"),IF($AY3443="YES","",IF($AB3443&lt;&gt;0,"",IF(COUNTIFS('AR SALES'!$L$2:$L$2501,$L3443,'AR SALES'!$AD$2:$AD$2501,IF(""&amp;$F3443="4","OFF","ON"),'AR SALES'!$AF$2:$AF$2501,"Y")&gt;0,"","NO EXEMPTION"))),"")</f>
        <v/>
      </c>
    </row>
    <row r="3444" spans="46:54" x14ac:dyDescent="0.25">
      <c r="AT3444" s="2" t="str">
        <f>IF($L3444="","",IFERROR(INDEX('AR SALES'!$H$2:$H$2501,MATCH(""&amp;$L3444,'AR SALES'!$AE$2:$AE$2501,0)),""))</f>
        <v/>
      </c>
      <c r="AU3444" s="2" t="str">
        <f t="shared" si="212"/>
        <v/>
      </c>
      <c r="AV3444" s="2" t="str">
        <f t="shared" si="213"/>
        <v/>
      </c>
      <c r="AW3444" s="2" t="str">
        <f t="shared" si="214"/>
        <v/>
      </c>
      <c r="AX3444" s="2" t="str">
        <f t="shared" si="215"/>
        <v/>
      </c>
      <c r="AY3444" s="2" t="str">
        <f>IF($AV3444="","",IF(AND($Z3444=0,COUNTIF('AR SALES'!$L$2:$L$2501,$L3444)=0),"YES",""))</f>
        <v/>
      </c>
      <c r="AZ3444" s="2" t="str">
        <f>IF($AV3444="","",IF(COUNTIF(LISTS!$C$2:$C$250,$AU3444)=0,"NEW",""))</f>
        <v/>
      </c>
      <c r="BA3444" s="2" t="str">
        <f>IF(""&amp;$F3444&lt;&gt;"4","",IF($AY3444="YES","",IF(ROUND(SUMIFS($AE$2:$AE$4001,$L$2:$L$4001,$L3444,$F$2:$F$4001,"4")-SUMIFS('AR SALES'!$Y$2:$Y$2501,'AR SALES'!$L$2:$L$2501,$L3444,'AR SALES'!$AD$2:$AD$2501,"OFF"),2)=0,"","STALE")))</f>
        <v/>
      </c>
      <c r="BB3444" s="2" t="str">
        <f>IF(OR(""&amp;$F3444="2",""&amp;$F3444="4",""&amp;$F3444="G",""&amp;$F3444="H"),IF($AY3444="YES","",IF($AB3444&lt;&gt;0,"",IF(COUNTIFS('AR SALES'!$L$2:$L$2501,$L3444,'AR SALES'!$AD$2:$AD$2501,IF(""&amp;$F3444="4","OFF","ON"),'AR SALES'!$AF$2:$AF$2501,"Y")&gt;0,"","NO EXEMPTION"))),"")</f>
        <v/>
      </c>
    </row>
    <row r="3445" spans="46:54" x14ac:dyDescent="0.25">
      <c r="AT3445" s="2" t="str">
        <f>IF($L3445="","",IFERROR(INDEX('AR SALES'!$H$2:$H$2501,MATCH(""&amp;$L3445,'AR SALES'!$AE$2:$AE$2501,0)),""))</f>
        <v/>
      </c>
      <c r="AU3445" s="2" t="str">
        <f t="shared" si="212"/>
        <v/>
      </c>
      <c r="AV3445" s="2" t="str">
        <f t="shared" si="213"/>
        <v/>
      </c>
      <c r="AW3445" s="2" t="str">
        <f t="shared" si="214"/>
        <v/>
      </c>
      <c r="AX3445" s="2" t="str">
        <f t="shared" si="215"/>
        <v/>
      </c>
      <c r="AY3445" s="2" t="str">
        <f>IF($AV3445="","",IF(AND($Z3445=0,COUNTIF('AR SALES'!$L$2:$L$2501,$L3445)=0),"YES",""))</f>
        <v/>
      </c>
      <c r="AZ3445" s="2" t="str">
        <f>IF($AV3445="","",IF(COUNTIF(LISTS!$C$2:$C$250,$AU3445)=0,"NEW",""))</f>
        <v/>
      </c>
      <c r="BA3445" s="2" t="str">
        <f>IF(""&amp;$F3445&lt;&gt;"4","",IF($AY3445="YES","",IF(ROUND(SUMIFS($AE$2:$AE$4001,$L$2:$L$4001,$L3445,$F$2:$F$4001,"4")-SUMIFS('AR SALES'!$Y$2:$Y$2501,'AR SALES'!$L$2:$L$2501,$L3445,'AR SALES'!$AD$2:$AD$2501,"OFF"),2)=0,"","STALE")))</f>
        <v/>
      </c>
      <c r="BB3445" s="2" t="str">
        <f>IF(OR(""&amp;$F3445="2",""&amp;$F3445="4",""&amp;$F3445="G",""&amp;$F3445="H"),IF($AY3445="YES","",IF($AB3445&lt;&gt;0,"",IF(COUNTIFS('AR SALES'!$L$2:$L$2501,$L3445,'AR SALES'!$AD$2:$AD$2501,IF(""&amp;$F3445="4","OFF","ON"),'AR SALES'!$AF$2:$AF$2501,"Y")&gt;0,"","NO EXEMPTION"))),"")</f>
        <v/>
      </c>
    </row>
    <row r="3446" spans="46:54" x14ac:dyDescent="0.25">
      <c r="AT3446" s="2" t="str">
        <f>IF($L3446="","",IFERROR(INDEX('AR SALES'!$H$2:$H$2501,MATCH(""&amp;$L3446,'AR SALES'!$AE$2:$AE$2501,0)),""))</f>
        <v/>
      </c>
      <c r="AU3446" s="2" t="str">
        <f t="shared" si="212"/>
        <v/>
      </c>
      <c r="AV3446" s="2" t="str">
        <f t="shared" si="213"/>
        <v/>
      </c>
      <c r="AW3446" s="2" t="str">
        <f t="shared" si="214"/>
        <v/>
      </c>
      <c r="AX3446" s="2" t="str">
        <f t="shared" si="215"/>
        <v/>
      </c>
      <c r="AY3446" s="2" t="str">
        <f>IF($AV3446="","",IF(AND($Z3446=0,COUNTIF('AR SALES'!$L$2:$L$2501,$L3446)=0),"YES",""))</f>
        <v/>
      </c>
      <c r="AZ3446" s="2" t="str">
        <f>IF($AV3446="","",IF(COUNTIF(LISTS!$C$2:$C$250,$AU3446)=0,"NEW",""))</f>
        <v/>
      </c>
      <c r="BA3446" s="2" t="str">
        <f>IF(""&amp;$F3446&lt;&gt;"4","",IF($AY3446="YES","",IF(ROUND(SUMIFS($AE$2:$AE$4001,$L$2:$L$4001,$L3446,$F$2:$F$4001,"4")-SUMIFS('AR SALES'!$Y$2:$Y$2501,'AR SALES'!$L$2:$L$2501,$L3446,'AR SALES'!$AD$2:$AD$2501,"OFF"),2)=0,"","STALE")))</f>
        <v/>
      </c>
      <c r="BB3446" s="2" t="str">
        <f>IF(OR(""&amp;$F3446="2",""&amp;$F3446="4",""&amp;$F3446="G",""&amp;$F3446="H"),IF($AY3446="YES","",IF($AB3446&lt;&gt;0,"",IF(COUNTIFS('AR SALES'!$L$2:$L$2501,$L3446,'AR SALES'!$AD$2:$AD$2501,IF(""&amp;$F3446="4","OFF","ON"),'AR SALES'!$AF$2:$AF$2501,"Y")&gt;0,"","NO EXEMPTION"))),"")</f>
        <v/>
      </c>
    </row>
    <row r="3447" spans="46:54" x14ac:dyDescent="0.25">
      <c r="AT3447" s="2" t="str">
        <f>IF($L3447="","",IFERROR(INDEX('AR SALES'!$H$2:$H$2501,MATCH(""&amp;$L3447,'AR SALES'!$AE$2:$AE$2501,0)),""))</f>
        <v/>
      </c>
      <c r="AU3447" s="2" t="str">
        <f t="shared" si="212"/>
        <v/>
      </c>
      <c r="AV3447" s="2" t="str">
        <f t="shared" si="213"/>
        <v/>
      </c>
      <c r="AW3447" s="2" t="str">
        <f t="shared" si="214"/>
        <v/>
      </c>
      <c r="AX3447" s="2" t="str">
        <f t="shared" si="215"/>
        <v/>
      </c>
      <c r="AY3447" s="2" t="str">
        <f>IF($AV3447="","",IF(AND($Z3447=0,COUNTIF('AR SALES'!$L$2:$L$2501,$L3447)=0),"YES",""))</f>
        <v/>
      </c>
      <c r="AZ3447" s="2" t="str">
        <f>IF($AV3447="","",IF(COUNTIF(LISTS!$C$2:$C$250,$AU3447)=0,"NEW",""))</f>
        <v/>
      </c>
      <c r="BA3447" s="2" t="str">
        <f>IF(""&amp;$F3447&lt;&gt;"4","",IF($AY3447="YES","",IF(ROUND(SUMIFS($AE$2:$AE$4001,$L$2:$L$4001,$L3447,$F$2:$F$4001,"4")-SUMIFS('AR SALES'!$Y$2:$Y$2501,'AR SALES'!$L$2:$L$2501,$L3447,'AR SALES'!$AD$2:$AD$2501,"OFF"),2)=0,"","STALE")))</f>
        <v/>
      </c>
      <c r="BB3447" s="2" t="str">
        <f>IF(OR(""&amp;$F3447="2",""&amp;$F3447="4",""&amp;$F3447="G",""&amp;$F3447="H"),IF($AY3447="YES","",IF($AB3447&lt;&gt;0,"",IF(COUNTIFS('AR SALES'!$L$2:$L$2501,$L3447,'AR SALES'!$AD$2:$AD$2501,IF(""&amp;$F3447="4","OFF","ON"),'AR SALES'!$AF$2:$AF$2501,"Y")&gt;0,"","NO EXEMPTION"))),"")</f>
        <v/>
      </c>
    </row>
    <row r="3448" spans="46:54" x14ac:dyDescent="0.25">
      <c r="AT3448" s="2" t="str">
        <f>IF($L3448="","",IFERROR(INDEX('AR SALES'!$H$2:$H$2501,MATCH(""&amp;$L3448,'AR SALES'!$AE$2:$AE$2501,0)),""))</f>
        <v/>
      </c>
      <c r="AU3448" s="2" t="str">
        <f t="shared" si="212"/>
        <v/>
      </c>
      <c r="AV3448" s="2" t="str">
        <f t="shared" si="213"/>
        <v/>
      </c>
      <c r="AW3448" s="2" t="str">
        <f t="shared" si="214"/>
        <v/>
      </c>
      <c r="AX3448" s="2" t="str">
        <f t="shared" si="215"/>
        <v/>
      </c>
      <c r="AY3448" s="2" t="str">
        <f>IF($AV3448="","",IF(AND($Z3448=0,COUNTIF('AR SALES'!$L$2:$L$2501,$L3448)=0),"YES",""))</f>
        <v/>
      </c>
      <c r="AZ3448" s="2" t="str">
        <f>IF($AV3448="","",IF(COUNTIF(LISTS!$C$2:$C$250,$AU3448)=0,"NEW",""))</f>
        <v/>
      </c>
      <c r="BA3448" s="2" t="str">
        <f>IF(""&amp;$F3448&lt;&gt;"4","",IF($AY3448="YES","",IF(ROUND(SUMIFS($AE$2:$AE$4001,$L$2:$L$4001,$L3448,$F$2:$F$4001,"4")-SUMIFS('AR SALES'!$Y$2:$Y$2501,'AR SALES'!$L$2:$L$2501,$L3448,'AR SALES'!$AD$2:$AD$2501,"OFF"),2)=0,"","STALE")))</f>
        <v/>
      </c>
      <c r="BB3448" s="2" t="str">
        <f>IF(OR(""&amp;$F3448="2",""&amp;$F3448="4",""&amp;$F3448="G",""&amp;$F3448="H"),IF($AY3448="YES","",IF($AB3448&lt;&gt;0,"",IF(COUNTIFS('AR SALES'!$L$2:$L$2501,$L3448,'AR SALES'!$AD$2:$AD$2501,IF(""&amp;$F3448="4","OFF","ON"),'AR SALES'!$AF$2:$AF$2501,"Y")&gt;0,"","NO EXEMPTION"))),"")</f>
        <v/>
      </c>
    </row>
    <row r="3449" spans="46:54" x14ac:dyDescent="0.25">
      <c r="AT3449" s="2" t="str">
        <f>IF($L3449="","",IFERROR(INDEX('AR SALES'!$H$2:$H$2501,MATCH(""&amp;$L3449,'AR SALES'!$AE$2:$AE$2501,0)),""))</f>
        <v/>
      </c>
      <c r="AU3449" s="2" t="str">
        <f t="shared" si="212"/>
        <v/>
      </c>
      <c r="AV3449" s="2" t="str">
        <f t="shared" si="213"/>
        <v/>
      </c>
      <c r="AW3449" s="2" t="str">
        <f t="shared" si="214"/>
        <v/>
      </c>
      <c r="AX3449" s="2" t="str">
        <f t="shared" si="215"/>
        <v/>
      </c>
      <c r="AY3449" s="2" t="str">
        <f>IF($AV3449="","",IF(AND($Z3449=0,COUNTIF('AR SALES'!$L$2:$L$2501,$L3449)=0),"YES",""))</f>
        <v/>
      </c>
      <c r="AZ3449" s="2" t="str">
        <f>IF($AV3449="","",IF(COUNTIF(LISTS!$C$2:$C$250,$AU3449)=0,"NEW",""))</f>
        <v/>
      </c>
      <c r="BA3449" s="2" t="str">
        <f>IF(""&amp;$F3449&lt;&gt;"4","",IF($AY3449="YES","",IF(ROUND(SUMIFS($AE$2:$AE$4001,$L$2:$L$4001,$L3449,$F$2:$F$4001,"4")-SUMIFS('AR SALES'!$Y$2:$Y$2501,'AR SALES'!$L$2:$L$2501,$L3449,'AR SALES'!$AD$2:$AD$2501,"OFF"),2)=0,"","STALE")))</f>
        <v/>
      </c>
      <c r="BB3449" s="2" t="str">
        <f>IF(OR(""&amp;$F3449="2",""&amp;$F3449="4",""&amp;$F3449="G",""&amp;$F3449="H"),IF($AY3449="YES","",IF($AB3449&lt;&gt;0,"",IF(COUNTIFS('AR SALES'!$L$2:$L$2501,$L3449,'AR SALES'!$AD$2:$AD$2501,IF(""&amp;$F3449="4","OFF","ON"),'AR SALES'!$AF$2:$AF$2501,"Y")&gt;0,"","NO EXEMPTION"))),"")</f>
        <v/>
      </c>
    </row>
    <row r="3450" spans="46:54" x14ac:dyDescent="0.25">
      <c r="AT3450" s="2" t="str">
        <f>IF($L3450="","",IFERROR(INDEX('AR SALES'!$H$2:$H$2501,MATCH(""&amp;$L3450,'AR SALES'!$AE$2:$AE$2501,0)),""))</f>
        <v/>
      </c>
      <c r="AU3450" s="2" t="str">
        <f t="shared" si="212"/>
        <v/>
      </c>
      <c r="AV3450" s="2" t="str">
        <f t="shared" si="213"/>
        <v/>
      </c>
      <c r="AW3450" s="2" t="str">
        <f t="shared" si="214"/>
        <v/>
      </c>
      <c r="AX3450" s="2" t="str">
        <f t="shared" si="215"/>
        <v/>
      </c>
      <c r="AY3450" s="2" t="str">
        <f>IF($AV3450="","",IF(AND($Z3450=0,COUNTIF('AR SALES'!$L$2:$L$2501,$L3450)=0),"YES",""))</f>
        <v/>
      </c>
      <c r="AZ3450" s="2" t="str">
        <f>IF($AV3450="","",IF(COUNTIF(LISTS!$C$2:$C$250,$AU3450)=0,"NEW",""))</f>
        <v/>
      </c>
      <c r="BA3450" s="2" t="str">
        <f>IF(""&amp;$F3450&lt;&gt;"4","",IF($AY3450="YES","",IF(ROUND(SUMIFS($AE$2:$AE$4001,$L$2:$L$4001,$L3450,$F$2:$F$4001,"4")-SUMIFS('AR SALES'!$Y$2:$Y$2501,'AR SALES'!$L$2:$L$2501,$L3450,'AR SALES'!$AD$2:$AD$2501,"OFF"),2)=0,"","STALE")))</f>
        <v/>
      </c>
      <c r="BB3450" s="2" t="str">
        <f>IF(OR(""&amp;$F3450="2",""&amp;$F3450="4",""&amp;$F3450="G",""&amp;$F3450="H"),IF($AY3450="YES","",IF($AB3450&lt;&gt;0,"",IF(COUNTIFS('AR SALES'!$L$2:$L$2501,$L3450,'AR SALES'!$AD$2:$AD$2501,IF(""&amp;$F3450="4","OFF","ON"),'AR SALES'!$AF$2:$AF$2501,"Y")&gt;0,"","NO EXEMPTION"))),"")</f>
        <v/>
      </c>
    </row>
    <row r="3451" spans="46:54" x14ac:dyDescent="0.25">
      <c r="AT3451" s="2" t="str">
        <f>IF($L3451="","",IFERROR(INDEX('AR SALES'!$H$2:$H$2501,MATCH(""&amp;$L3451,'AR SALES'!$AE$2:$AE$2501,0)),""))</f>
        <v/>
      </c>
      <c r="AU3451" s="2" t="str">
        <f t="shared" si="212"/>
        <v/>
      </c>
      <c r="AV3451" s="2" t="str">
        <f t="shared" si="213"/>
        <v/>
      </c>
      <c r="AW3451" s="2" t="str">
        <f t="shared" si="214"/>
        <v/>
      </c>
      <c r="AX3451" s="2" t="str">
        <f t="shared" si="215"/>
        <v/>
      </c>
      <c r="AY3451" s="2" t="str">
        <f>IF($AV3451="","",IF(AND($Z3451=0,COUNTIF('AR SALES'!$L$2:$L$2501,$L3451)=0),"YES",""))</f>
        <v/>
      </c>
      <c r="AZ3451" s="2" t="str">
        <f>IF($AV3451="","",IF(COUNTIF(LISTS!$C$2:$C$250,$AU3451)=0,"NEW",""))</f>
        <v/>
      </c>
      <c r="BA3451" s="2" t="str">
        <f>IF(""&amp;$F3451&lt;&gt;"4","",IF($AY3451="YES","",IF(ROUND(SUMIFS($AE$2:$AE$4001,$L$2:$L$4001,$L3451,$F$2:$F$4001,"4")-SUMIFS('AR SALES'!$Y$2:$Y$2501,'AR SALES'!$L$2:$L$2501,$L3451,'AR SALES'!$AD$2:$AD$2501,"OFF"),2)=0,"","STALE")))</f>
        <v/>
      </c>
      <c r="BB3451" s="2" t="str">
        <f>IF(OR(""&amp;$F3451="2",""&amp;$F3451="4",""&amp;$F3451="G",""&amp;$F3451="H"),IF($AY3451="YES","",IF($AB3451&lt;&gt;0,"",IF(COUNTIFS('AR SALES'!$L$2:$L$2501,$L3451,'AR SALES'!$AD$2:$AD$2501,IF(""&amp;$F3451="4","OFF","ON"),'AR SALES'!$AF$2:$AF$2501,"Y")&gt;0,"","NO EXEMPTION"))),"")</f>
        <v/>
      </c>
    </row>
    <row r="3452" spans="46:54" x14ac:dyDescent="0.25">
      <c r="AT3452" s="2" t="str">
        <f>IF($L3452="","",IFERROR(INDEX('AR SALES'!$H$2:$H$2501,MATCH(""&amp;$L3452,'AR SALES'!$AE$2:$AE$2501,0)),""))</f>
        <v/>
      </c>
      <c r="AU3452" s="2" t="str">
        <f t="shared" si="212"/>
        <v/>
      </c>
      <c r="AV3452" s="2" t="str">
        <f t="shared" si="213"/>
        <v/>
      </c>
      <c r="AW3452" s="2" t="str">
        <f t="shared" si="214"/>
        <v/>
      </c>
      <c r="AX3452" s="2" t="str">
        <f t="shared" si="215"/>
        <v/>
      </c>
      <c r="AY3452" s="2" t="str">
        <f>IF($AV3452="","",IF(AND($Z3452=0,COUNTIF('AR SALES'!$L$2:$L$2501,$L3452)=0),"YES",""))</f>
        <v/>
      </c>
      <c r="AZ3452" s="2" t="str">
        <f>IF($AV3452="","",IF(COUNTIF(LISTS!$C$2:$C$250,$AU3452)=0,"NEW",""))</f>
        <v/>
      </c>
      <c r="BA3452" s="2" t="str">
        <f>IF(""&amp;$F3452&lt;&gt;"4","",IF($AY3452="YES","",IF(ROUND(SUMIFS($AE$2:$AE$4001,$L$2:$L$4001,$L3452,$F$2:$F$4001,"4")-SUMIFS('AR SALES'!$Y$2:$Y$2501,'AR SALES'!$L$2:$L$2501,$L3452,'AR SALES'!$AD$2:$AD$2501,"OFF"),2)=0,"","STALE")))</f>
        <v/>
      </c>
      <c r="BB3452" s="2" t="str">
        <f>IF(OR(""&amp;$F3452="2",""&amp;$F3452="4",""&amp;$F3452="G",""&amp;$F3452="H"),IF($AY3452="YES","",IF($AB3452&lt;&gt;0,"",IF(COUNTIFS('AR SALES'!$L$2:$L$2501,$L3452,'AR SALES'!$AD$2:$AD$2501,IF(""&amp;$F3452="4","OFF","ON"),'AR SALES'!$AF$2:$AF$2501,"Y")&gt;0,"","NO EXEMPTION"))),"")</f>
        <v/>
      </c>
    </row>
    <row r="3453" spans="46:54" x14ac:dyDescent="0.25">
      <c r="AT3453" s="2" t="str">
        <f>IF($L3453="","",IFERROR(INDEX('AR SALES'!$H$2:$H$2501,MATCH(""&amp;$L3453,'AR SALES'!$AE$2:$AE$2501,0)),""))</f>
        <v/>
      </c>
      <c r="AU3453" s="2" t="str">
        <f t="shared" si="212"/>
        <v/>
      </c>
      <c r="AV3453" s="2" t="str">
        <f t="shared" si="213"/>
        <v/>
      </c>
      <c r="AW3453" s="2" t="str">
        <f t="shared" si="214"/>
        <v/>
      </c>
      <c r="AX3453" s="2" t="str">
        <f t="shared" si="215"/>
        <v/>
      </c>
      <c r="AY3453" s="2" t="str">
        <f>IF($AV3453="","",IF(AND($Z3453=0,COUNTIF('AR SALES'!$L$2:$L$2501,$L3453)=0),"YES",""))</f>
        <v/>
      </c>
      <c r="AZ3453" s="2" t="str">
        <f>IF($AV3453="","",IF(COUNTIF(LISTS!$C$2:$C$250,$AU3453)=0,"NEW",""))</f>
        <v/>
      </c>
      <c r="BA3453" s="2" t="str">
        <f>IF(""&amp;$F3453&lt;&gt;"4","",IF($AY3453="YES","",IF(ROUND(SUMIFS($AE$2:$AE$4001,$L$2:$L$4001,$L3453,$F$2:$F$4001,"4")-SUMIFS('AR SALES'!$Y$2:$Y$2501,'AR SALES'!$L$2:$L$2501,$L3453,'AR SALES'!$AD$2:$AD$2501,"OFF"),2)=0,"","STALE")))</f>
        <v/>
      </c>
      <c r="BB3453" s="2" t="str">
        <f>IF(OR(""&amp;$F3453="2",""&amp;$F3453="4",""&amp;$F3453="G",""&amp;$F3453="H"),IF($AY3453="YES","",IF($AB3453&lt;&gt;0,"",IF(COUNTIFS('AR SALES'!$L$2:$L$2501,$L3453,'AR SALES'!$AD$2:$AD$2501,IF(""&amp;$F3453="4","OFF","ON"),'AR SALES'!$AF$2:$AF$2501,"Y")&gt;0,"","NO EXEMPTION"))),"")</f>
        <v/>
      </c>
    </row>
    <row r="3454" spans="46:54" x14ac:dyDescent="0.25">
      <c r="AT3454" s="2" t="str">
        <f>IF($L3454="","",IFERROR(INDEX('AR SALES'!$H$2:$H$2501,MATCH(""&amp;$L3454,'AR SALES'!$AE$2:$AE$2501,0)),""))</f>
        <v/>
      </c>
      <c r="AU3454" s="2" t="str">
        <f t="shared" si="212"/>
        <v/>
      </c>
      <c r="AV3454" s="2" t="str">
        <f t="shared" si="213"/>
        <v/>
      </c>
      <c r="AW3454" s="2" t="str">
        <f t="shared" si="214"/>
        <v/>
      </c>
      <c r="AX3454" s="2" t="str">
        <f t="shared" si="215"/>
        <v/>
      </c>
      <c r="AY3454" s="2" t="str">
        <f>IF($AV3454="","",IF(AND($Z3454=0,COUNTIF('AR SALES'!$L$2:$L$2501,$L3454)=0),"YES",""))</f>
        <v/>
      </c>
      <c r="AZ3454" s="2" t="str">
        <f>IF($AV3454="","",IF(COUNTIF(LISTS!$C$2:$C$250,$AU3454)=0,"NEW",""))</f>
        <v/>
      </c>
      <c r="BA3454" s="2" t="str">
        <f>IF(""&amp;$F3454&lt;&gt;"4","",IF($AY3454="YES","",IF(ROUND(SUMIFS($AE$2:$AE$4001,$L$2:$L$4001,$L3454,$F$2:$F$4001,"4")-SUMIFS('AR SALES'!$Y$2:$Y$2501,'AR SALES'!$L$2:$L$2501,$L3454,'AR SALES'!$AD$2:$AD$2501,"OFF"),2)=0,"","STALE")))</f>
        <v/>
      </c>
      <c r="BB3454" s="2" t="str">
        <f>IF(OR(""&amp;$F3454="2",""&amp;$F3454="4",""&amp;$F3454="G",""&amp;$F3454="H"),IF($AY3454="YES","",IF($AB3454&lt;&gt;0,"",IF(COUNTIFS('AR SALES'!$L$2:$L$2501,$L3454,'AR SALES'!$AD$2:$AD$2501,IF(""&amp;$F3454="4","OFF","ON"),'AR SALES'!$AF$2:$AF$2501,"Y")&gt;0,"","NO EXEMPTION"))),"")</f>
        <v/>
      </c>
    </row>
    <row r="3455" spans="46:54" x14ac:dyDescent="0.25">
      <c r="AT3455" s="2" t="str">
        <f>IF($L3455="","",IFERROR(INDEX('AR SALES'!$H$2:$H$2501,MATCH(""&amp;$L3455,'AR SALES'!$AE$2:$AE$2501,0)),""))</f>
        <v/>
      </c>
      <c r="AU3455" s="2" t="str">
        <f t="shared" si="212"/>
        <v/>
      </c>
      <c r="AV3455" s="2" t="str">
        <f t="shared" si="213"/>
        <v/>
      </c>
      <c r="AW3455" s="2" t="str">
        <f t="shared" si="214"/>
        <v/>
      </c>
      <c r="AX3455" s="2" t="str">
        <f t="shared" si="215"/>
        <v/>
      </c>
      <c r="AY3455" s="2" t="str">
        <f>IF($AV3455="","",IF(AND($Z3455=0,COUNTIF('AR SALES'!$L$2:$L$2501,$L3455)=0),"YES",""))</f>
        <v/>
      </c>
      <c r="AZ3455" s="2" t="str">
        <f>IF($AV3455="","",IF(COUNTIF(LISTS!$C$2:$C$250,$AU3455)=0,"NEW",""))</f>
        <v/>
      </c>
      <c r="BA3455" s="2" t="str">
        <f>IF(""&amp;$F3455&lt;&gt;"4","",IF($AY3455="YES","",IF(ROUND(SUMIFS($AE$2:$AE$4001,$L$2:$L$4001,$L3455,$F$2:$F$4001,"4")-SUMIFS('AR SALES'!$Y$2:$Y$2501,'AR SALES'!$L$2:$L$2501,$L3455,'AR SALES'!$AD$2:$AD$2501,"OFF"),2)=0,"","STALE")))</f>
        <v/>
      </c>
      <c r="BB3455" s="2" t="str">
        <f>IF(OR(""&amp;$F3455="2",""&amp;$F3455="4",""&amp;$F3455="G",""&amp;$F3455="H"),IF($AY3455="YES","",IF($AB3455&lt;&gt;0,"",IF(COUNTIFS('AR SALES'!$L$2:$L$2501,$L3455,'AR SALES'!$AD$2:$AD$2501,IF(""&amp;$F3455="4","OFF","ON"),'AR SALES'!$AF$2:$AF$2501,"Y")&gt;0,"","NO EXEMPTION"))),"")</f>
        <v/>
      </c>
    </row>
    <row r="3456" spans="46:54" x14ac:dyDescent="0.25">
      <c r="AT3456" s="2" t="str">
        <f>IF($L3456="","",IFERROR(INDEX('AR SALES'!$H$2:$H$2501,MATCH(""&amp;$L3456,'AR SALES'!$AE$2:$AE$2501,0)),""))</f>
        <v/>
      </c>
      <c r="AU3456" s="2" t="str">
        <f t="shared" si="212"/>
        <v/>
      </c>
      <c r="AV3456" s="2" t="str">
        <f t="shared" si="213"/>
        <v/>
      </c>
      <c r="AW3456" s="2" t="str">
        <f t="shared" si="214"/>
        <v/>
      </c>
      <c r="AX3456" s="2" t="str">
        <f t="shared" si="215"/>
        <v/>
      </c>
      <c r="AY3456" s="2" t="str">
        <f>IF($AV3456="","",IF(AND($Z3456=0,COUNTIF('AR SALES'!$L$2:$L$2501,$L3456)=0),"YES",""))</f>
        <v/>
      </c>
      <c r="AZ3456" s="2" t="str">
        <f>IF($AV3456="","",IF(COUNTIF(LISTS!$C$2:$C$250,$AU3456)=0,"NEW",""))</f>
        <v/>
      </c>
      <c r="BA3456" s="2" t="str">
        <f>IF(""&amp;$F3456&lt;&gt;"4","",IF($AY3456="YES","",IF(ROUND(SUMIFS($AE$2:$AE$4001,$L$2:$L$4001,$L3456,$F$2:$F$4001,"4")-SUMIFS('AR SALES'!$Y$2:$Y$2501,'AR SALES'!$L$2:$L$2501,$L3456,'AR SALES'!$AD$2:$AD$2501,"OFF"),2)=0,"","STALE")))</f>
        <v/>
      </c>
      <c r="BB3456" s="2" t="str">
        <f>IF(OR(""&amp;$F3456="2",""&amp;$F3456="4",""&amp;$F3456="G",""&amp;$F3456="H"),IF($AY3456="YES","",IF($AB3456&lt;&gt;0,"",IF(COUNTIFS('AR SALES'!$L$2:$L$2501,$L3456,'AR SALES'!$AD$2:$AD$2501,IF(""&amp;$F3456="4","OFF","ON"),'AR SALES'!$AF$2:$AF$2501,"Y")&gt;0,"","NO EXEMPTION"))),"")</f>
        <v/>
      </c>
    </row>
    <row r="3457" spans="46:54" x14ac:dyDescent="0.25">
      <c r="AT3457" s="2" t="str">
        <f>IF($L3457="","",IFERROR(INDEX('AR SALES'!$H$2:$H$2501,MATCH(""&amp;$L3457,'AR SALES'!$AE$2:$AE$2501,0)),""))</f>
        <v/>
      </c>
      <c r="AU3457" s="2" t="str">
        <f t="shared" si="212"/>
        <v/>
      </c>
      <c r="AV3457" s="2" t="str">
        <f t="shared" si="213"/>
        <v/>
      </c>
      <c r="AW3457" s="2" t="str">
        <f t="shared" si="214"/>
        <v/>
      </c>
      <c r="AX3457" s="2" t="str">
        <f t="shared" si="215"/>
        <v/>
      </c>
      <c r="AY3457" s="2" t="str">
        <f>IF($AV3457="","",IF(AND($Z3457=0,COUNTIF('AR SALES'!$L$2:$L$2501,$L3457)=0),"YES",""))</f>
        <v/>
      </c>
      <c r="AZ3457" s="2" t="str">
        <f>IF($AV3457="","",IF(COUNTIF(LISTS!$C$2:$C$250,$AU3457)=0,"NEW",""))</f>
        <v/>
      </c>
      <c r="BA3457" s="2" t="str">
        <f>IF(""&amp;$F3457&lt;&gt;"4","",IF($AY3457="YES","",IF(ROUND(SUMIFS($AE$2:$AE$4001,$L$2:$L$4001,$L3457,$F$2:$F$4001,"4")-SUMIFS('AR SALES'!$Y$2:$Y$2501,'AR SALES'!$L$2:$L$2501,$L3457,'AR SALES'!$AD$2:$AD$2501,"OFF"),2)=0,"","STALE")))</f>
        <v/>
      </c>
      <c r="BB3457" s="2" t="str">
        <f>IF(OR(""&amp;$F3457="2",""&amp;$F3457="4",""&amp;$F3457="G",""&amp;$F3457="H"),IF($AY3457="YES","",IF($AB3457&lt;&gt;0,"",IF(COUNTIFS('AR SALES'!$L$2:$L$2501,$L3457,'AR SALES'!$AD$2:$AD$2501,IF(""&amp;$F3457="4","OFF","ON"),'AR SALES'!$AF$2:$AF$2501,"Y")&gt;0,"","NO EXEMPTION"))),"")</f>
        <v/>
      </c>
    </row>
    <row r="3458" spans="46:54" x14ac:dyDescent="0.25">
      <c r="AT3458" s="2" t="str">
        <f>IF($L3458="","",IFERROR(INDEX('AR SALES'!$H$2:$H$2501,MATCH(""&amp;$L3458,'AR SALES'!$AE$2:$AE$2501,0)),""))</f>
        <v/>
      </c>
      <c r="AU3458" s="2" t="str">
        <f t="shared" ref="AU3458:AU3521" si="216">IF($L3458="","",IF($A3458&lt;&gt;"GA","",IF($E3458="FULTON",IF(ISNUMBER(SEARCH("COLLEGE PARK",$AT3458)),"FULTON (COLLEGE PARK)",IF(ISNUMBER(SEARCH("ATLANTA CITY",$AT3458)),"FULTON (ATL LIMITS)","FULTON")),IF($E3458="DEKALB",IF(ISNUMBER(SEARCH("ATLANTA CITY",$AT3458)),"DEKALB (ATL LIMITS)","DEKALB"),$E3458))))</f>
        <v/>
      </c>
      <c r="AV3458" s="2" t="str">
        <f t="shared" ref="AV3458:AV3521" si="217">IF($L3458="","",IF(""&amp;$F3458="2","DIESEL",IF(OR(""&amp;$F3458="G",""&amp;$F3458="H"),"GAS","")))</f>
        <v/>
      </c>
      <c r="AW3458" s="2" t="str">
        <f t="shared" ref="AW3458:AW3521" si="218">IF($AV3458="","",$R3458)</f>
        <v/>
      </c>
      <c r="AX3458" s="2" t="str">
        <f t="shared" ref="AX3458:AX3521" si="219">IF($AV3458="","",IF($AB3458=0,$R3458,0))</f>
        <v/>
      </c>
      <c r="AY3458" s="2" t="str">
        <f>IF($AV3458="","",IF(AND($Z3458=0,COUNTIF('AR SALES'!$L$2:$L$2501,$L3458)=0),"YES",""))</f>
        <v/>
      </c>
      <c r="AZ3458" s="2" t="str">
        <f>IF($AV3458="","",IF(COUNTIF(LISTS!$C$2:$C$250,$AU3458)=0,"NEW",""))</f>
        <v/>
      </c>
      <c r="BA3458" s="2" t="str">
        <f>IF(""&amp;$F3458&lt;&gt;"4","",IF($AY3458="YES","",IF(ROUND(SUMIFS($AE$2:$AE$4001,$L$2:$L$4001,$L3458,$F$2:$F$4001,"4")-SUMIFS('AR SALES'!$Y$2:$Y$2501,'AR SALES'!$L$2:$L$2501,$L3458,'AR SALES'!$AD$2:$AD$2501,"OFF"),2)=0,"","STALE")))</f>
        <v/>
      </c>
      <c r="BB3458" s="2" t="str">
        <f>IF(OR(""&amp;$F3458="2",""&amp;$F3458="4",""&amp;$F3458="G",""&amp;$F3458="H"),IF($AY3458="YES","",IF($AB3458&lt;&gt;0,"",IF(COUNTIFS('AR SALES'!$L$2:$L$2501,$L3458,'AR SALES'!$AD$2:$AD$2501,IF(""&amp;$F3458="4","OFF","ON"),'AR SALES'!$AF$2:$AF$2501,"Y")&gt;0,"","NO EXEMPTION"))),"")</f>
        <v/>
      </c>
    </row>
    <row r="3459" spans="46:54" x14ac:dyDescent="0.25">
      <c r="AT3459" s="2" t="str">
        <f>IF($L3459="","",IFERROR(INDEX('AR SALES'!$H$2:$H$2501,MATCH(""&amp;$L3459,'AR SALES'!$AE$2:$AE$2501,0)),""))</f>
        <v/>
      </c>
      <c r="AU3459" s="2" t="str">
        <f t="shared" si="216"/>
        <v/>
      </c>
      <c r="AV3459" s="2" t="str">
        <f t="shared" si="217"/>
        <v/>
      </c>
      <c r="AW3459" s="2" t="str">
        <f t="shared" si="218"/>
        <v/>
      </c>
      <c r="AX3459" s="2" t="str">
        <f t="shared" si="219"/>
        <v/>
      </c>
      <c r="AY3459" s="2" t="str">
        <f>IF($AV3459="","",IF(AND($Z3459=0,COUNTIF('AR SALES'!$L$2:$L$2501,$L3459)=0),"YES",""))</f>
        <v/>
      </c>
      <c r="AZ3459" s="2" t="str">
        <f>IF($AV3459="","",IF(COUNTIF(LISTS!$C$2:$C$250,$AU3459)=0,"NEW",""))</f>
        <v/>
      </c>
      <c r="BA3459" s="2" t="str">
        <f>IF(""&amp;$F3459&lt;&gt;"4","",IF($AY3459="YES","",IF(ROUND(SUMIFS($AE$2:$AE$4001,$L$2:$L$4001,$L3459,$F$2:$F$4001,"4")-SUMIFS('AR SALES'!$Y$2:$Y$2501,'AR SALES'!$L$2:$L$2501,$L3459,'AR SALES'!$AD$2:$AD$2501,"OFF"),2)=0,"","STALE")))</f>
        <v/>
      </c>
      <c r="BB3459" s="2" t="str">
        <f>IF(OR(""&amp;$F3459="2",""&amp;$F3459="4",""&amp;$F3459="G",""&amp;$F3459="H"),IF($AY3459="YES","",IF($AB3459&lt;&gt;0,"",IF(COUNTIFS('AR SALES'!$L$2:$L$2501,$L3459,'AR SALES'!$AD$2:$AD$2501,IF(""&amp;$F3459="4","OFF","ON"),'AR SALES'!$AF$2:$AF$2501,"Y")&gt;0,"","NO EXEMPTION"))),"")</f>
        <v/>
      </c>
    </row>
    <row r="3460" spans="46:54" x14ac:dyDescent="0.25">
      <c r="AT3460" s="2" t="str">
        <f>IF($L3460="","",IFERROR(INDEX('AR SALES'!$H$2:$H$2501,MATCH(""&amp;$L3460,'AR SALES'!$AE$2:$AE$2501,0)),""))</f>
        <v/>
      </c>
      <c r="AU3460" s="2" t="str">
        <f t="shared" si="216"/>
        <v/>
      </c>
      <c r="AV3460" s="2" t="str">
        <f t="shared" si="217"/>
        <v/>
      </c>
      <c r="AW3460" s="2" t="str">
        <f t="shared" si="218"/>
        <v/>
      </c>
      <c r="AX3460" s="2" t="str">
        <f t="shared" si="219"/>
        <v/>
      </c>
      <c r="AY3460" s="2" t="str">
        <f>IF($AV3460="","",IF(AND($Z3460=0,COUNTIF('AR SALES'!$L$2:$L$2501,$L3460)=0),"YES",""))</f>
        <v/>
      </c>
      <c r="AZ3460" s="2" t="str">
        <f>IF($AV3460="","",IF(COUNTIF(LISTS!$C$2:$C$250,$AU3460)=0,"NEW",""))</f>
        <v/>
      </c>
      <c r="BA3460" s="2" t="str">
        <f>IF(""&amp;$F3460&lt;&gt;"4","",IF($AY3460="YES","",IF(ROUND(SUMIFS($AE$2:$AE$4001,$L$2:$L$4001,$L3460,$F$2:$F$4001,"4")-SUMIFS('AR SALES'!$Y$2:$Y$2501,'AR SALES'!$L$2:$L$2501,$L3460,'AR SALES'!$AD$2:$AD$2501,"OFF"),2)=0,"","STALE")))</f>
        <v/>
      </c>
      <c r="BB3460" s="2" t="str">
        <f>IF(OR(""&amp;$F3460="2",""&amp;$F3460="4",""&amp;$F3460="G",""&amp;$F3460="H"),IF($AY3460="YES","",IF($AB3460&lt;&gt;0,"",IF(COUNTIFS('AR SALES'!$L$2:$L$2501,$L3460,'AR SALES'!$AD$2:$AD$2501,IF(""&amp;$F3460="4","OFF","ON"),'AR SALES'!$AF$2:$AF$2501,"Y")&gt;0,"","NO EXEMPTION"))),"")</f>
        <v/>
      </c>
    </row>
    <row r="3461" spans="46:54" x14ac:dyDescent="0.25">
      <c r="AT3461" s="2" t="str">
        <f>IF($L3461="","",IFERROR(INDEX('AR SALES'!$H$2:$H$2501,MATCH(""&amp;$L3461,'AR SALES'!$AE$2:$AE$2501,0)),""))</f>
        <v/>
      </c>
      <c r="AU3461" s="2" t="str">
        <f t="shared" si="216"/>
        <v/>
      </c>
      <c r="AV3461" s="2" t="str">
        <f t="shared" si="217"/>
        <v/>
      </c>
      <c r="AW3461" s="2" t="str">
        <f t="shared" si="218"/>
        <v/>
      </c>
      <c r="AX3461" s="2" t="str">
        <f t="shared" si="219"/>
        <v/>
      </c>
      <c r="AY3461" s="2" t="str">
        <f>IF($AV3461="","",IF(AND($Z3461=0,COUNTIF('AR SALES'!$L$2:$L$2501,$L3461)=0),"YES",""))</f>
        <v/>
      </c>
      <c r="AZ3461" s="2" t="str">
        <f>IF($AV3461="","",IF(COUNTIF(LISTS!$C$2:$C$250,$AU3461)=0,"NEW",""))</f>
        <v/>
      </c>
      <c r="BA3461" s="2" t="str">
        <f>IF(""&amp;$F3461&lt;&gt;"4","",IF($AY3461="YES","",IF(ROUND(SUMIFS($AE$2:$AE$4001,$L$2:$L$4001,$L3461,$F$2:$F$4001,"4")-SUMIFS('AR SALES'!$Y$2:$Y$2501,'AR SALES'!$L$2:$L$2501,$L3461,'AR SALES'!$AD$2:$AD$2501,"OFF"),2)=0,"","STALE")))</f>
        <v/>
      </c>
      <c r="BB3461" s="2" t="str">
        <f>IF(OR(""&amp;$F3461="2",""&amp;$F3461="4",""&amp;$F3461="G",""&amp;$F3461="H"),IF($AY3461="YES","",IF($AB3461&lt;&gt;0,"",IF(COUNTIFS('AR SALES'!$L$2:$L$2501,$L3461,'AR SALES'!$AD$2:$AD$2501,IF(""&amp;$F3461="4","OFF","ON"),'AR SALES'!$AF$2:$AF$2501,"Y")&gt;0,"","NO EXEMPTION"))),"")</f>
        <v/>
      </c>
    </row>
    <row r="3462" spans="46:54" x14ac:dyDescent="0.25">
      <c r="AT3462" s="2" t="str">
        <f>IF($L3462="","",IFERROR(INDEX('AR SALES'!$H$2:$H$2501,MATCH(""&amp;$L3462,'AR SALES'!$AE$2:$AE$2501,0)),""))</f>
        <v/>
      </c>
      <c r="AU3462" s="2" t="str">
        <f t="shared" si="216"/>
        <v/>
      </c>
      <c r="AV3462" s="2" t="str">
        <f t="shared" si="217"/>
        <v/>
      </c>
      <c r="AW3462" s="2" t="str">
        <f t="shared" si="218"/>
        <v/>
      </c>
      <c r="AX3462" s="2" t="str">
        <f t="shared" si="219"/>
        <v/>
      </c>
      <c r="AY3462" s="2" t="str">
        <f>IF($AV3462="","",IF(AND($Z3462=0,COUNTIF('AR SALES'!$L$2:$L$2501,$L3462)=0),"YES",""))</f>
        <v/>
      </c>
      <c r="AZ3462" s="2" t="str">
        <f>IF($AV3462="","",IF(COUNTIF(LISTS!$C$2:$C$250,$AU3462)=0,"NEW",""))</f>
        <v/>
      </c>
      <c r="BA3462" s="2" t="str">
        <f>IF(""&amp;$F3462&lt;&gt;"4","",IF($AY3462="YES","",IF(ROUND(SUMIFS($AE$2:$AE$4001,$L$2:$L$4001,$L3462,$F$2:$F$4001,"4")-SUMIFS('AR SALES'!$Y$2:$Y$2501,'AR SALES'!$L$2:$L$2501,$L3462,'AR SALES'!$AD$2:$AD$2501,"OFF"),2)=0,"","STALE")))</f>
        <v/>
      </c>
      <c r="BB3462" s="2" t="str">
        <f>IF(OR(""&amp;$F3462="2",""&amp;$F3462="4",""&amp;$F3462="G",""&amp;$F3462="H"),IF($AY3462="YES","",IF($AB3462&lt;&gt;0,"",IF(COUNTIFS('AR SALES'!$L$2:$L$2501,$L3462,'AR SALES'!$AD$2:$AD$2501,IF(""&amp;$F3462="4","OFF","ON"),'AR SALES'!$AF$2:$AF$2501,"Y")&gt;0,"","NO EXEMPTION"))),"")</f>
        <v/>
      </c>
    </row>
    <row r="3463" spans="46:54" x14ac:dyDescent="0.25">
      <c r="AT3463" s="2" t="str">
        <f>IF($L3463="","",IFERROR(INDEX('AR SALES'!$H$2:$H$2501,MATCH(""&amp;$L3463,'AR SALES'!$AE$2:$AE$2501,0)),""))</f>
        <v/>
      </c>
      <c r="AU3463" s="2" t="str">
        <f t="shared" si="216"/>
        <v/>
      </c>
      <c r="AV3463" s="2" t="str">
        <f t="shared" si="217"/>
        <v/>
      </c>
      <c r="AW3463" s="2" t="str">
        <f t="shared" si="218"/>
        <v/>
      </c>
      <c r="AX3463" s="2" t="str">
        <f t="shared" si="219"/>
        <v/>
      </c>
      <c r="AY3463" s="2" t="str">
        <f>IF($AV3463="","",IF(AND($Z3463=0,COUNTIF('AR SALES'!$L$2:$L$2501,$L3463)=0),"YES",""))</f>
        <v/>
      </c>
      <c r="AZ3463" s="2" t="str">
        <f>IF($AV3463="","",IF(COUNTIF(LISTS!$C$2:$C$250,$AU3463)=0,"NEW",""))</f>
        <v/>
      </c>
      <c r="BA3463" s="2" t="str">
        <f>IF(""&amp;$F3463&lt;&gt;"4","",IF($AY3463="YES","",IF(ROUND(SUMIFS($AE$2:$AE$4001,$L$2:$L$4001,$L3463,$F$2:$F$4001,"4")-SUMIFS('AR SALES'!$Y$2:$Y$2501,'AR SALES'!$L$2:$L$2501,$L3463,'AR SALES'!$AD$2:$AD$2501,"OFF"),2)=0,"","STALE")))</f>
        <v/>
      </c>
      <c r="BB3463" s="2" t="str">
        <f>IF(OR(""&amp;$F3463="2",""&amp;$F3463="4",""&amp;$F3463="G",""&amp;$F3463="H"),IF($AY3463="YES","",IF($AB3463&lt;&gt;0,"",IF(COUNTIFS('AR SALES'!$L$2:$L$2501,$L3463,'AR SALES'!$AD$2:$AD$2501,IF(""&amp;$F3463="4","OFF","ON"),'AR SALES'!$AF$2:$AF$2501,"Y")&gt;0,"","NO EXEMPTION"))),"")</f>
        <v/>
      </c>
    </row>
    <row r="3464" spans="46:54" x14ac:dyDescent="0.25">
      <c r="AT3464" s="2" t="str">
        <f>IF($L3464="","",IFERROR(INDEX('AR SALES'!$H$2:$H$2501,MATCH(""&amp;$L3464,'AR SALES'!$AE$2:$AE$2501,0)),""))</f>
        <v/>
      </c>
      <c r="AU3464" s="2" t="str">
        <f t="shared" si="216"/>
        <v/>
      </c>
      <c r="AV3464" s="2" t="str">
        <f t="shared" si="217"/>
        <v/>
      </c>
      <c r="AW3464" s="2" t="str">
        <f t="shared" si="218"/>
        <v/>
      </c>
      <c r="AX3464" s="2" t="str">
        <f t="shared" si="219"/>
        <v/>
      </c>
      <c r="AY3464" s="2" t="str">
        <f>IF($AV3464="","",IF(AND($Z3464=0,COUNTIF('AR SALES'!$L$2:$L$2501,$L3464)=0),"YES",""))</f>
        <v/>
      </c>
      <c r="AZ3464" s="2" t="str">
        <f>IF($AV3464="","",IF(COUNTIF(LISTS!$C$2:$C$250,$AU3464)=0,"NEW",""))</f>
        <v/>
      </c>
      <c r="BA3464" s="2" t="str">
        <f>IF(""&amp;$F3464&lt;&gt;"4","",IF($AY3464="YES","",IF(ROUND(SUMIFS($AE$2:$AE$4001,$L$2:$L$4001,$L3464,$F$2:$F$4001,"4")-SUMIFS('AR SALES'!$Y$2:$Y$2501,'AR SALES'!$L$2:$L$2501,$L3464,'AR SALES'!$AD$2:$AD$2501,"OFF"),2)=0,"","STALE")))</f>
        <v/>
      </c>
      <c r="BB3464" s="2" t="str">
        <f>IF(OR(""&amp;$F3464="2",""&amp;$F3464="4",""&amp;$F3464="G",""&amp;$F3464="H"),IF($AY3464="YES","",IF($AB3464&lt;&gt;0,"",IF(COUNTIFS('AR SALES'!$L$2:$L$2501,$L3464,'AR SALES'!$AD$2:$AD$2501,IF(""&amp;$F3464="4","OFF","ON"),'AR SALES'!$AF$2:$AF$2501,"Y")&gt;0,"","NO EXEMPTION"))),"")</f>
        <v/>
      </c>
    </row>
    <row r="3465" spans="46:54" x14ac:dyDescent="0.25">
      <c r="AT3465" s="2" t="str">
        <f>IF($L3465="","",IFERROR(INDEX('AR SALES'!$H$2:$H$2501,MATCH(""&amp;$L3465,'AR SALES'!$AE$2:$AE$2501,0)),""))</f>
        <v/>
      </c>
      <c r="AU3465" s="2" t="str">
        <f t="shared" si="216"/>
        <v/>
      </c>
      <c r="AV3465" s="2" t="str">
        <f t="shared" si="217"/>
        <v/>
      </c>
      <c r="AW3465" s="2" t="str">
        <f t="shared" si="218"/>
        <v/>
      </c>
      <c r="AX3465" s="2" t="str">
        <f t="shared" si="219"/>
        <v/>
      </c>
      <c r="AY3465" s="2" t="str">
        <f>IF($AV3465="","",IF(AND($Z3465=0,COUNTIF('AR SALES'!$L$2:$L$2501,$L3465)=0),"YES",""))</f>
        <v/>
      </c>
      <c r="AZ3465" s="2" t="str">
        <f>IF($AV3465="","",IF(COUNTIF(LISTS!$C$2:$C$250,$AU3465)=0,"NEW",""))</f>
        <v/>
      </c>
      <c r="BA3465" s="2" t="str">
        <f>IF(""&amp;$F3465&lt;&gt;"4","",IF($AY3465="YES","",IF(ROUND(SUMIFS($AE$2:$AE$4001,$L$2:$L$4001,$L3465,$F$2:$F$4001,"4")-SUMIFS('AR SALES'!$Y$2:$Y$2501,'AR SALES'!$L$2:$L$2501,$L3465,'AR SALES'!$AD$2:$AD$2501,"OFF"),2)=0,"","STALE")))</f>
        <v/>
      </c>
      <c r="BB3465" s="2" t="str">
        <f>IF(OR(""&amp;$F3465="2",""&amp;$F3465="4",""&amp;$F3465="G",""&amp;$F3465="H"),IF($AY3465="YES","",IF($AB3465&lt;&gt;0,"",IF(COUNTIFS('AR SALES'!$L$2:$L$2501,$L3465,'AR SALES'!$AD$2:$AD$2501,IF(""&amp;$F3465="4","OFF","ON"),'AR SALES'!$AF$2:$AF$2501,"Y")&gt;0,"","NO EXEMPTION"))),"")</f>
        <v/>
      </c>
    </row>
    <row r="3466" spans="46:54" x14ac:dyDescent="0.25">
      <c r="AT3466" s="2" t="str">
        <f>IF($L3466="","",IFERROR(INDEX('AR SALES'!$H$2:$H$2501,MATCH(""&amp;$L3466,'AR SALES'!$AE$2:$AE$2501,0)),""))</f>
        <v/>
      </c>
      <c r="AU3466" s="2" t="str">
        <f t="shared" si="216"/>
        <v/>
      </c>
      <c r="AV3466" s="2" t="str">
        <f t="shared" si="217"/>
        <v/>
      </c>
      <c r="AW3466" s="2" t="str">
        <f t="shared" si="218"/>
        <v/>
      </c>
      <c r="AX3466" s="2" t="str">
        <f t="shared" si="219"/>
        <v/>
      </c>
      <c r="AY3466" s="2" t="str">
        <f>IF($AV3466="","",IF(AND($Z3466=0,COUNTIF('AR SALES'!$L$2:$L$2501,$L3466)=0),"YES",""))</f>
        <v/>
      </c>
      <c r="AZ3466" s="2" t="str">
        <f>IF($AV3466="","",IF(COUNTIF(LISTS!$C$2:$C$250,$AU3466)=0,"NEW",""))</f>
        <v/>
      </c>
      <c r="BA3466" s="2" t="str">
        <f>IF(""&amp;$F3466&lt;&gt;"4","",IF($AY3466="YES","",IF(ROUND(SUMIFS($AE$2:$AE$4001,$L$2:$L$4001,$L3466,$F$2:$F$4001,"4")-SUMIFS('AR SALES'!$Y$2:$Y$2501,'AR SALES'!$L$2:$L$2501,$L3466,'AR SALES'!$AD$2:$AD$2501,"OFF"),2)=0,"","STALE")))</f>
        <v/>
      </c>
      <c r="BB3466" s="2" t="str">
        <f>IF(OR(""&amp;$F3466="2",""&amp;$F3466="4",""&amp;$F3466="G",""&amp;$F3466="H"),IF($AY3466="YES","",IF($AB3466&lt;&gt;0,"",IF(COUNTIFS('AR SALES'!$L$2:$L$2501,$L3466,'AR SALES'!$AD$2:$AD$2501,IF(""&amp;$F3466="4","OFF","ON"),'AR SALES'!$AF$2:$AF$2501,"Y")&gt;0,"","NO EXEMPTION"))),"")</f>
        <v/>
      </c>
    </row>
    <row r="3467" spans="46:54" x14ac:dyDescent="0.25">
      <c r="AT3467" s="2" t="str">
        <f>IF($L3467="","",IFERROR(INDEX('AR SALES'!$H$2:$H$2501,MATCH(""&amp;$L3467,'AR SALES'!$AE$2:$AE$2501,0)),""))</f>
        <v/>
      </c>
      <c r="AU3467" s="2" t="str">
        <f t="shared" si="216"/>
        <v/>
      </c>
      <c r="AV3467" s="2" t="str">
        <f t="shared" si="217"/>
        <v/>
      </c>
      <c r="AW3467" s="2" t="str">
        <f t="shared" si="218"/>
        <v/>
      </c>
      <c r="AX3467" s="2" t="str">
        <f t="shared" si="219"/>
        <v/>
      </c>
      <c r="AY3467" s="2" t="str">
        <f>IF($AV3467="","",IF(AND($Z3467=0,COUNTIF('AR SALES'!$L$2:$L$2501,$L3467)=0),"YES",""))</f>
        <v/>
      </c>
      <c r="AZ3467" s="2" t="str">
        <f>IF($AV3467="","",IF(COUNTIF(LISTS!$C$2:$C$250,$AU3467)=0,"NEW",""))</f>
        <v/>
      </c>
      <c r="BA3467" s="2" t="str">
        <f>IF(""&amp;$F3467&lt;&gt;"4","",IF($AY3467="YES","",IF(ROUND(SUMIFS($AE$2:$AE$4001,$L$2:$L$4001,$L3467,$F$2:$F$4001,"4")-SUMIFS('AR SALES'!$Y$2:$Y$2501,'AR SALES'!$L$2:$L$2501,$L3467,'AR SALES'!$AD$2:$AD$2501,"OFF"),2)=0,"","STALE")))</f>
        <v/>
      </c>
      <c r="BB3467" s="2" t="str">
        <f>IF(OR(""&amp;$F3467="2",""&amp;$F3467="4",""&amp;$F3467="G",""&amp;$F3467="H"),IF($AY3467="YES","",IF($AB3467&lt;&gt;0,"",IF(COUNTIFS('AR SALES'!$L$2:$L$2501,$L3467,'AR SALES'!$AD$2:$AD$2501,IF(""&amp;$F3467="4","OFF","ON"),'AR SALES'!$AF$2:$AF$2501,"Y")&gt;0,"","NO EXEMPTION"))),"")</f>
        <v/>
      </c>
    </row>
    <row r="3468" spans="46:54" x14ac:dyDescent="0.25">
      <c r="AT3468" s="2" t="str">
        <f>IF($L3468="","",IFERROR(INDEX('AR SALES'!$H$2:$H$2501,MATCH(""&amp;$L3468,'AR SALES'!$AE$2:$AE$2501,0)),""))</f>
        <v/>
      </c>
      <c r="AU3468" s="2" t="str">
        <f t="shared" si="216"/>
        <v/>
      </c>
      <c r="AV3468" s="2" t="str">
        <f t="shared" si="217"/>
        <v/>
      </c>
      <c r="AW3468" s="2" t="str">
        <f t="shared" si="218"/>
        <v/>
      </c>
      <c r="AX3468" s="2" t="str">
        <f t="shared" si="219"/>
        <v/>
      </c>
      <c r="AY3468" s="2" t="str">
        <f>IF($AV3468="","",IF(AND($Z3468=0,COUNTIF('AR SALES'!$L$2:$L$2501,$L3468)=0),"YES",""))</f>
        <v/>
      </c>
      <c r="AZ3468" s="2" t="str">
        <f>IF($AV3468="","",IF(COUNTIF(LISTS!$C$2:$C$250,$AU3468)=0,"NEW",""))</f>
        <v/>
      </c>
      <c r="BA3468" s="2" t="str">
        <f>IF(""&amp;$F3468&lt;&gt;"4","",IF($AY3468="YES","",IF(ROUND(SUMIFS($AE$2:$AE$4001,$L$2:$L$4001,$L3468,$F$2:$F$4001,"4")-SUMIFS('AR SALES'!$Y$2:$Y$2501,'AR SALES'!$L$2:$L$2501,$L3468,'AR SALES'!$AD$2:$AD$2501,"OFF"),2)=0,"","STALE")))</f>
        <v/>
      </c>
      <c r="BB3468" s="2" t="str">
        <f>IF(OR(""&amp;$F3468="2",""&amp;$F3468="4",""&amp;$F3468="G",""&amp;$F3468="H"),IF($AY3468="YES","",IF($AB3468&lt;&gt;0,"",IF(COUNTIFS('AR SALES'!$L$2:$L$2501,$L3468,'AR SALES'!$AD$2:$AD$2501,IF(""&amp;$F3468="4","OFF","ON"),'AR SALES'!$AF$2:$AF$2501,"Y")&gt;0,"","NO EXEMPTION"))),"")</f>
        <v/>
      </c>
    </row>
    <row r="3469" spans="46:54" x14ac:dyDescent="0.25">
      <c r="AT3469" s="2" t="str">
        <f>IF($L3469="","",IFERROR(INDEX('AR SALES'!$H$2:$H$2501,MATCH(""&amp;$L3469,'AR SALES'!$AE$2:$AE$2501,0)),""))</f>
        <v/>
      </c>
      <c r="AU3469" s="2" t="str">
        <f t="shared" si="216"/>
        <v/>
      </c>
      <c r="AV3469" s="2" t="str">
        <f t="shared" si="217"/>
        <v/>
      </c>
      <c r="AW3469" s="2" t="str">
        <f t="shared" si="218"/>
        <v/>
      </c>
      <c r="AX3469" s="2" t="str">
        <f t="shared" si="219"/>
        <v/>
      </c>
      <c r="AY3469" s="2" t="str">
        <f>IF($AV3469="","",IF(AND($Z3469=0,COUNTIF('AR SALES'!$L$2:$L$2501,$L3469)=0),"YES",""))</f>
        <v/>
      </c>
      <c r="AZ3469" s="2" t="str">
        <f>IF($AV3469="","",IF(COUNTIF(LISTS!$C$2:$C$250,$AU3469)=0,"NEW",""))</f>
        <v/>
      </c>
      <c r="BA3469" s="2" t="str">
        <f>IF(""&amp;$F3469&lt;&gt;"4","",IF($AY3469="YES","",IF(ROUND(SUMIFS($AE$2:$AE$4001,$L$2:$L$4001,$L3469,$F$2:$F$4001,"4")-SUMIFS('AR SALES'!$Y$2:$Y$2501,'AR SALES'!$L$2:$L$2501,$L3469,'AR SALES'!$AD$2:$AD$2501,"OFF"),2)=0,"","STALE")))</f>
        <v/>
      </c>
      <c r="BB3469" s="2" t="str">
        <f>IF(OR(""&amp;$F3469="2",""&amp;$F3469="4",""&amp;$F3469="G",""&amp;$F3469="H"),IF($AY3469="YES","",IF($AB3469&lt;&gt;0,"",IF(COUNTIFS('AR SALES'!$L$2:$L$2501,$L3469,'AR SALES'!$AD$2:$AD$2501,IF(""&amp;$F3469="4","OFF","ON"),'AR SALES'!$AF$2:$AF$2501,"Y")&gt;0,"","NO EXEMPTION"))),"")</f>
        <v/>
      </c>
    </row>
    <row r="3470" spans="46:54" x14ac:dyDescent="0.25">
      <c r="AT3470" s="2" t="str">
        <f>IF($L3470="","",IFERROR(INDEX('AR SALES'!$H$2:$H$2501,MATCH(""&amp;$L3470,'AR SALES'!$AE$2:$AE$2501,0)),""))</f>
        <v/>
      </c>
      <c r="AU3470" s="2" t="str">
        <f t="shared" si="216"/>
        <v/>
      </c>
      <c r="AV3470" s="2" t="str">
        <f t="shared" si="217"/>
        <v/>
      </c>
      <c r="AW3470" s="2" t="str">
        <f t="shared" si="218"/>
        <v/>
      </c>
      <c r="AX3470" s="2" t="str">
        <f t="shared" si="219"/>
        <v/>
      </c>
      <c r="AY3470" s="2" t="str">
        <f>IF($AV3470="","",IF(AND($Z3470=0,COUNTIF('AR SALES'!$L$2:$L$2501,$L3470)=0),"YES",""))</f>
        <v/>
      </c>
      <c r="AZ3470" s="2" t="str">
        <f>IF($AV3470="","",IF(COUNTIF(LISTS!$C$2:$C$250,$AU3470)=0,"NEW",""))</f>
        <v/>
      </c>
      <c r="BA3470" s="2" t="str">
        <f>IF(""&amp;$F3470&lt;&gt;"4","",IF($AY3470="YES","",IF(ROUND(SUMIFS($AE$2:$AE$4001,$L$2:$L$4001,$L3470,$F$2:$F$4001,"4")-SUMIFS('AR SALES'!$Y$2:$Y$2501,'AR SALES'!$L$2:$L$2501,$L3470,'AR SALES'!$AD$2:$AD$2501,"OFF"),2)=0,"","STALE")))</f>
        <v/>
      </c>
      <c r="BB3470" s="2" t="str">
        <f>IF(OR(""&amp;$F3470="2",""&amp;$F3470="4",""&amp;$F3470="G",""&amp;$F3470="H"),IF($AY3470="YES","",IF($AB3470&lt;&gt;0,"",IF(COUNTIFS('AR SALES'!$L$2:$L$2501,$L3470,'AR SALES'!$AD$2:$AD$2501,IF(""&amp;$F3470="4","OFF","ON"),'AR SALES'!$AF$2:$AF$2501,"Y")&gt;0,"","NO EXEMPTION"))),"")</f>
        <v/>
      </c>
    </row>
    <row r="3471" spans="46:54" x14ac:dyDescent="0.25">
      <c r="AT3471" s="2" t="str">
        <f>IF($L3471="","",IFERROR(INDEX('AR SALES'!$H$2:$H$2501,MATCH(""&amp;$L3471,'AR SALES'!$AE$2:$AE$2501,0)),""))</f>
        <v/>
      </c>
      <c r="AU3471" s="2" t="str">
        <f t="shared" si="216"/>
        <v/>
      </c>
      <c r="AV3471" s="2" t="str">
        <f t="shared" si="217"/>
        <v/>
      </c>
      <c r="AW3471" s="2" t="str">
        <f t="shared" si="218"/>
        <v/>
      </c>
      <c r="AX3471" s="2" t="str">
        <f t="shared" si="219"/>
        <v/>
      </c>
      <c r="AY3471" s="2" t="str">
        <f>IF($AV3471="","",IF(AND($Z3471=0,COUNTIF('AR SALES'!$L$2:$L$2501,$L3471)=0),"YES",""))</f>
        <v/>
      </c>
      <c r="AZ3471" s="2" t="str">
        <f>IF($AV3471="","",IF(COUNTIF(LISTS!$C$2:$C$250,$AU3471)=0,"NEW",""))</f>
        <v/>
      </c>
      <c r="BA3471" s="2" t="str">
        <f>IF(""&amp;$F3471&lt;&gt;"4","",IF($AY3471="YES","",IF(ROUND(SUMIFS($AE$2:$AE$4001,$L$2:$L$4001,$L3471,$F$2:$F$4001,"4")-SUMIFS('AR SALES'!$Y$2:$Y$2501,'AR SALES'!$L$2:$L$2501,$L3471,'AR SALES'!$AD$2:$AD$2501,"OFF"),2)=0,"","STALE")))</f>
        <v/>
      </c>
      <c r="BB3471" s="2" t="str">
        <f>IF(OR(""&amp;$F3471="2",""&amp;$F3471="4",""&amp;$F3471="G",""&amp;$F3471="H"),IF($AY3471="YES","",IF($AB3471&lt;&gt;0,"",IF(COUNTIFS('AR SALES'!$L$2:$L$2501,$L3471,'AR SALES'!$AD$2:$AD$2501,IF(""&amp;$F3471="4","OFF","ON"),'AR SALES'!$AF$2:$AF$2501,"Y")&gt;0,"","NO EXEMPTION"))),"")</f>
        <v/>
      </c>
    </row>
    <row r="3472" spans="46:54" x14ac:dyDescent="0.25">
      <c r="AT3472" s="2" t="str">
        <f>IF($L3472="","",IFERROR(INDEX('AR SALES'!$H$2:$H$2501,MATCH(""&amp;$L3472,'AR SALES'!$AE$2:$AE$2501,0)),""))</f>
        <v/>
      </c>
      <c r="AU3472" s="2" t="str">
        <f t="shared" si="216"/>
        <v/>
      </c>
      <c r="AV3472" s="2" t="str">
        <f t="shared" si="217"/>
        <v/>
      </c>
      <c r="AW3472" s="2" t="str">
        <f t="shared" si="218"/>
        <v/>
      </c>
      <c r="AX3472" s="2" t="str">
        <f t="shared" si="219"/>
        <v/>
      </c>
      <c r="AY3472" s="2" t="str">
        <f>IF($AV3472="","",IF(AND($Z3472=0,COUNTIF('AR SALES'!$L$2:$L$2501,$L3472)=0),"YES",""))</f>
        <v/>
      </c>
      <c r="AZ3472" s="2" t="str">
        <f>IF($AV3472="","",IF(COUNTIF(LISTS!$C$2:$C$250,$AU3472)=0,"NEW",""))</f>
        <v/>
      </c>
      <c r="BA3472" s="2" t="str">
        <f>IF(""&amp;$F3472&lt;&gt;"4","",IF($AY3472="YES","",IF(ROUND(SUMIFS($AE$2:$AE$4001,$L$2:$L$4001,$L3472,$F$2:$F$4001,"4")-SUMIFS('AR SALES'!$Y$2:$Y$2501,'AR SALES'!$L$2:$L$2501,$L3472,'AR SALES'!$AD$2:$AD$2501,"OFF"),2)=0,"","STALE")))</f>
        <v/>
      </c>
      <c r="BB3472" s="2" t="str">
        <f>IF(OR(""&amp;$F3472="2",""&amp;$F3472="4",""&amp;$F3472="G",""&amp;$F3472="H"),IF($AY3472="YES","",IF($AB3472&lt;&gt;0,"",IF(COUNTIFS('AR SALES'!$L$2:$L$2501,$L3472,'AR SALES'!$AD$2:$AD$2501,IF(""&amp;$F3472="4","OFF","ON"),'AR SALES'!$AF$2:$AF$2501,"Y")&gt;0,"","NO EXEMPTION"))),"")</f>
        <v/>
      </c>
    </row>
    <row r="3473" spans="46:54" x14ac:dyDescent="0.25">
      <c r="AT3473" s="2" t="str">
        <f>IF($L3473="","",IFERROR(INDEX('AR SALES'!$H$2:$H$2501,MATCH(""&amp;$L3473,'AR SALES'!$AE$2:$AE$2501,0)),""))</f>
        <v/>
      </c>
      <c r="AU3473" s="2" t="str">
        <f t="shared" si="216"/>
        <v/>
      </c>
      <c r="AV3473" s="2" t="str">
        <f t="shared" si="217"/>
        <v/>
      </c>
      <c r="AW3473" s="2" t="str">
        <f t="shared" si="218"/>
        <v/>
      </c>
      <c r="AX3473" s="2" t="str">
        <f t="shared" si="219"/>
        <v/>
      </c>
      <c r="AY3473" s="2" t="str">
        <f>IF($AV3473="","",IF(AND($Z3473=0,COUNTIF('AR SALES'!$L$2:$L$2501,$L3473)=0),"YES",""))</f>
        <v/>
      </c>
      <c r="AZ3473" s="2" t="str">
        <f>IF($AV3473="","",IF(COUNTIF(LISTS!$C$2:$C$250,$AU3473)=0,"NEW",""))</f>
        <v/>
      </c>
      <c r="BA3473" s="2" t="str">
        <f>IF(""&amp;$F3473&lt;&gt;"4","",IF($AY3473="YES","",IF(ROUND(SUMIFS($AE$2:$AE$4001,$L$2:$L$4001,$L3473,$F$2:$F$4001,"4")-SUMIFS('AR SALES'!$Y$2:$Y$2501,'AR SALES'!$L$2:$L$2501,$L3473,'AR SALES'!$AD$2:$AD$2501,"OFF"),2)=0,"","STALE")))</f>
        <v/>
      </c>
      <c r="BB3473" s="2" t="str">
        <f>IF(OR(""&amp;$F3473="2",""&amp;$F3473="4",""&amp;$F3473="G",""&amp;$F3473="H"),IF($AY3473="YES","",IF($AB3473&lt;&gt;0,"",IF(COUNTIFS('AR SALES'!$L$2:$L$2501,$L3473,'AR SALES'!$AD$2:$AD$2501,IF(""&amp;$F3473="4","OFF","ON"),'AR SALES'!$AF$2:$AF$2501,"Y")&gt;0,"","NO EXEMPTION"))),"")</f>
        <v/>
      </c>
    </row>
    <row r="3474" spans="46:54" x14ac:dyDescent="0.25">
      <c r="AT3474" s="2" t="str">
        <f>IF($L3474="","",IFERROR(INDEX('AR SALES'!$H$2:$H$2501,MATCH(""&amp;$L3474,'AR SALES'!$AE$2:$AE$2501,0)),""))</f>
        <v/>
      </c>
      <c r="AU3474" s="2" t="str">
        <f t="shared" si="216"/>
        <v/>
      </c>
      <c r="AV3474" s="2" t="str">
        <f t="shared" si="217"/>
        <v/>
      </c>
      <c r="AW3474" s="2" t="str">
        <f t="shared" si="218"/>
        <v/>
      </c>
      <c r="AX3474" s="2" t="str">
        <f t="shared" si="219"/>
        <v/>
      </c>
      <c r="AY3474" s="2" t="str">
        <f>IF($AV3474="","",IF(AND($Z3474=0,COUNTIF('AR SALES'!$L$2:$L$2501,$L3474)=0),"YES",""))</f>
        <v/>
      </c>
      <c r="AZ3474" s="2" t="str">
        <f>IF($AV3474="","",IF(COUNTIF(LISTS!$C$2:$C$250,$AU3474)=0,"NEW",""))</f>
        <v/>
      </c>
      <c r="BA3474" s="2" t="str">
        <f>IF(""&amp;$F3474&lt;&gt;"4","",IF($AY3474="YES","",IF(ROUND(SUMIFS($AE$2:$AE$4001,$L$2:$L$4001,$L3474,$F$2:$F$4001,"4")-SUMIFS('AR SALES'!$Y$2:$Y$2501,'AR SALES'!$L$2:$L$2501,$L3474,'AR SALES'!$AD$2:$AD$2501,"OFF"),2)=0,"","STALE")))</f>
        <v/>
      </c>
      <c r="BB3474" s="2" t="str">
        <f>IF(OR(""&amp;$F3474="2",""&amp;$F3474="4",""&amp;$F3474="G",""&amp;$F3474="H"),IF($AY3474="YES","",IF($AB3474&lt;&gt;0,"",IF(COUNTIFS('AR SALES'!$L$2:$L$2501,$L3474,'AR SALES'!$AD$2:$AD$2501,IF(""&amp;$F3474="4","OFF","ON"),'AR SALES'!$AF$2:$AF$2501,"Y")&gt;0,"","NO EXEMPTION"))),"")</f>
        <v/>
      </c>
    </row>
    <row r="3475" spans="46:54" x14ac:dyDescent="0.25">
      <c r="AT3475" s="2" t="str">
        <f>IF($L3475="","",IFERROR(INDEX('AR SALES'!$H$2:$H$2501,MATCH(""&amp;$L3475,'AR SALES'!$AE$2:$AE$2501,0)),""))</f>
        <v/>
      </c>
      <c r="AU3475" s="2" t="str">
        <f t="shared" si="216"/>
        <v/>
      </c>
      <c r="AV3475" s="2" t="str">
        <f t="shared" si="217"/>
        <v/>
      </c>
      <c r="AW3475" s="2" t="str">
        <f t="shared" si="218"/>
        <v/>
      </c>
      <c r="AX3475" s="2" t="str">
        <f t="shared" si="219"/>
        <v/>
      </c>
      <c r="AY3475" s="2" t="str">
        <f>IF($AV3475="","",IF(AND($Z3475=0,COUNTIF('AR SALES'!$L$2:$L$2501,$L3475)=0),"YES",""))</f>
        <v/>
      </c>
      <c r="AZ3475" s="2" t="str">
        <f>IF($AV3475="","",IF(COUNTIF(LISTS!$C$2:$C$250,$AU3475)=0,"NEW",""))</f>
        <v/>
      </c>
      <c r="BA3475" s="2" t="str">
        <f>IF(""&amp;$F3475&lt;&gt;"4","",IF($AY3475="YES","",IF(ROUND(SUMIFS($AE$2:$AE$4001,$L$2:$L$4001,$L3475,$F$2:$F$4001,"4")-SUMIFS('AR SALES'!$Y$2:$Y$2501,'AR SALES'!$L$2:$L$2501,$L3475,'AR SALES'!$AD$2:$AD$2501,"OFF"),2)=0,"","STALE")))</f>
        <v/>
      </c>
      <c r="BB3475" s="2" t="str">
        <f>IF(OR(""&amp;$F3475="2",""&amp;$F3475="4",""&amp;$F3475="G",""&amp;$F3475="H"),IF($AY3475="YES","",IF($AB3475&lt;&gt;0,"",IF(COUNTIFS('AR SALES'!$L$2:$L$2501,$L3475,'AR SALES'!$AD$2:$AD$2501,IF(""&amp;$F3475="4","OFF","ON"),'AR SALES'!$AF$2:$AF$2501,"Y")&gt;0,"","NO EXEMPTION"))),"")</f>
        <v/>
      </c>
    </row>
    <row r="3476" spans="46:54" x14ac:dyDescent="0.25">
      <c r="AT3476" s="2" t="str">
        <f>IF($L3476="","",IFERROR(INDEX('AR SALES'!$H$2:$H$2501,MATCH(""&amp;$L3476,'AR SALES'!$AE$2:$AE$2501,0)),""))</f>
        <v/>
      </c>
      <c r="AU3476" s="2" t="str">
        <f t="shared" si="216"/>
        <v/>
      </c>
      <c r="AV3476" s="2" t="str">
        <f t="shared" si="217"/>
        <v/>
      </c>
      <c r="AW3476" s="2" t="str">
        <f t="shared" si="218"/>
        <v/>
      </c>
      <c r="AX3476" s="2" t="str">
        <f t="shared" si="219"/>
        <v/>
      </c>
      <c r="AY3476" s="2" t="str">
        <f>IF($AV3476="","",IF(AND($Z3476=0,COUNTIF('AR SALES'!$L$2:$L$2501,$L3476)=0),"YES",""))</f>
        <v/>
      </c>
      <c r="AZ3476" s="2" t="str">
        <f>IF($AV3476="","",IF(COUNTIF(LISTS!$C$2:$C$250,$AU3476)=0,"NEW",""))</f>
        <v/>
      </c>
      <c r="BA3476" s="2" t="str">
        <f>IF(""&amp;$F3476&lt;&gt;"4","",IF($AY3476="YES","",IF(ROUND(SUMIFS($AE$2:$AE$4001,$L$2:$L$4001,$L3476,$F$2:$F$4001,"4")-SUMIFS('AR SALES'!$Y$2:$Y$2501,'AR SALES'!$L$2:$L$2501,$L3476,'AR SALES'!$AD$2:$AD$2501,"OFF"),2)=0,"","STALE")))</f>
        <v/>
      </c>
      <c r="BB3476" s="2" t="str">
        <f>IF(OR(""&amp;$F3476="2",""&amp;$F3476="4",""&amp;$F3476="G",""&amp;$F3476="H"),IF($AY3476="YES","",IF($AB3476&lt;&gt;0,"",IF(COUNTIFS('AR SALES'!$L$2:$L$2501,$L3476,'AR SALES'!$AD$2:$AD$2501,IF(""&amp;$F3476="4","OFF","ON"),'AR SALES'!$AF$2:$AF$2501,"Y")&gt;0,"","NO EXEMPTION"))),"")</f>
        <v/>
      </c>
    </row>
    <row r="3477" spans="46:54" x14ac:dyDescent="0.25">
      <c r="AT3477" s="2" t="str">
        <f>IF($L3477="","",IFERROR(INDEX('AR SALES'!$H$2:$H$2501,MATCH(""&amp;$L3477,'AR SALES'!$AE$2:$AE$2501,0)),""))</f>
        <v/>
      </c>
      <c r="AU3477" s="2" t="str">
        <f t="shared" si="216"/>
        <v/>
      </c>
      <c r="AV3477" s="2" t="str">
        <f t="shared" si="217"/>
        <v/>
      </c>
      <c r="AW3477" s="2" t="str">
        <f t="shared" si="218"/>
        <v/>
      </c>
      <c r="AX3477" s="2" t="str">
        <f t="shared" si="219"/>
        <v/>
      </c>
      <c r="AY3477" s="2" t="str">
        <f>IF($AV3477="","",IF(AND($Z3477=0,COUNTIF('AR SALES'!$L$2:$L$2501,$L3477)=0),"YES",""))</f>
        <v/>
      </c>
      <c r="AZ3477" s="2" t="str">
        <f>IF($AV3477="","",IF(COUNTIF(LISTS!$C$2:$C$250,$AU3477)=0,"NEW",""))</f>
        <v/>
      </c>
      <c r="BA3477" s="2" t="str">
        <f>IF(""&amp;$F3477&lt;&gt;"4","",IF($AY3477="YES","",IF(ROUND(SUMIFS($AE$2:$AE$4001,$L$2:$L$4001,$L3477,$F$2:$F$4001,"4")-SUMIFS('AR SALES'!$Y$2:$Y$2501,'AR SALES'!$L$2:$L$2501,$L3477,'AR SALES'!$AD$2:$AD$2501,"OFF"),2)=0,"","STALE")))</f>
        <v/>
      </c>
      <c r="BB3477" s="2" t="str">
        <f>IF(OR(""&amp;$F3477="2",""&amp;$F3477="4",""&amp;$F3477="G",""&amp;$F3477="H"),IF($AY3477="YES","",IF($AB3477&lt;&gt;0,"",IF(COUNTIFS('AR SALES'!$L$2:$L$2501,$L3477,'AR SALES'!$AD$2:$AD$2501,IF(""&amp;$F3477="4","OFF","ON"),'AR SALES'!$AF$2:$AF$2501,"Y")&gt;0,"","NO EXEMPTION"))),"")</f>
        <v/>
      </c>
    </row>
    <row r="3478" spans="46:54" x14ac:dyDescent="0.25">
      <c r="AT3478" s="2" t="str">
        <f>IF($L3478="","",IFERROR(INDEX('AR SALES'!$H$2:$H$2501,MATCH(""&amp;$L3478,'AR SALES'!$AE$2:$AE$2501,0)),""))</f>
        <v/>
      </c>
      <c r="AU3478" s="2" t="str">
        <f t="shared" si="216"/>
        <v/>
      </c>
      <c r="AV3478" s="2" t="str">
        <f t="shared" si="217"/>
        <v/>
      </c>
      <c r="AW3478" s="2" t="str">
        <f t="shared" si="218"/>
        <v/>
      </c>
      <c r="AX3478" s="2" t="str">
        <f t="shared" si="219"/>
        <v/>
      </c>
      <c r="AY3478" s="2" t="str">
        <f>IF($AV3478="","",IF(AND($Z3478=0,COUNTIF('AR SALES'!$L$2:$L$2501,$L3478)=0),"YES",""))</f>
        <v/>
      </c>
      <c r="AZ3478" s="2" t="str">
        <f>IF($AV3478="","",IF(COUNTIF(LISTS!$C$2:$C$250,$AU3478)=0,"NEW",""))</f>
        <v/>
      </c>
      <c r="BA3478" s="2" t="str">
        <f>IF(""&amp;$F3478&lt;&gt;"4","",IF($AY3478="YES","",IF(ROUND(SUMIFS($AE$2:$AE$4001,$L$2:$L$4001,$L3478,$F$2:$F$4001,"4")-SUMIFS('AR SALES'!$Y$2:$Y$2501,'AR SALES'!$L$2:$L$2501,$L3478,'AR SALES'!$AD$2:$AD$2501,"OFF"),2)=0,"","STALE")))</f>
        <v/>
      </c>
      <c r="BB3478" s="2" t="str">
        <f>IF(OR(""&amp;$F3478="2",""&amp;$F3478="4",""&amp;$F3478="G",""&amp;$F3478="H"),IF($AY3478="YES","",IF($AB3478&lt;&gt;0,"",IF(COUNTIFS('AR SALES'!$L$2:$L$2501,$L3478,'AR SALES'!$AD$2:$AD$2501,IF(""&amp;$F3478="4","OFF","ON"),'AR SALES'!$AF$2:$AF$2501,"Y")&gt;0,"","NO EXEMPTION"))),"")</f>
        <v/>
      </c>
    </row>
    <row r="3479" spans="46:54" x14ac:dyDescent="0.25">
      <c r="AT3479" s="2" t="str">
        <f>IF($L3479="","",IFERROR(INDEX('AR SALES'!$H$2:$H$2501,MATCH(""&amp;$L3479,'AR SALES'!$AE$2:$AE$2501,0)),""))</f>
        <v/>
      </c>
      <c r="AU3479" s="2" t="str">
        <f t="shared" si="216"/>
        <v/>
      </c>
      <c r="AV3479" s="2" t="str">
        <f t="shared" si="217"/>
        <v/>
      </c>
      <c r="AW3479" s="2" t="str">
        <f t="shared" si="218"/>
        <v/>
      </c>
      <c r="AX3479" s="2" t="str">
        <f t="shared" si="219"/>
        <v/>
      </c>
      <c r="AY3479" s="2" t="str">
        <f>IF($AV3479="","",IF(AND($Z3479=0,COUNTIF('AR SALES'!$L$2:$L$2501,$L3479)=0),"YES",""))</f>
        <v/>
      </c>
      <c r="AZ3479" s="2" t="str">
        <f>IF($AV3479="","",IF(COUNTIF(LISTS!$C$2:$C$250,$AU3479)=0,"NEW",""))</f>
        <v/>
      </c>
      <c r="BA3479" s="2" t="str">
        <f>IF(""&amp;$F3479&lt;&gt;"4","",IF($AY3479="YES","",IF(ROUND(SUMIFS($AE$2:$AE$4001,$L$2:$L$4001,$L3479,$F$2:$F$4001,"4")-SUMIFS('AR SALES'!$Y$2:$Y$2501,'AR SALES'!$L$2:$L$2501,$L3479,'AR SALES'!$AD$2:$AD$2501,"OFF"),2)=0,"","STALE")))</f>
        <v/>
      </c>
      <c r="BB3479" s="2" t="str">
        <f>IF(OR(""&amp;$F3479="2",""&amp;$F3479="4",""&amp;$F3479="G",""&amp;$F3479="H"),IF($AY3479="YES","",IF($AB3479&lt;&gt;0,"",IF(COUNTIFS('AR SALES'!$L$2:$L$2501,$L3479,'AR SALES'!$AD$2:$AD$2501,IF(""&amp;$F3479="4","OFF","ON"),'AR SALES'!$AF$2:$AF$2501,"Y")&gt;0,"","NO EXEMPTION"))),"")</f>
        <v/>
      </c>
    </row>
    <row r="3480" spans="46:54" x14ac:dyDescent="0.25">
      <c r="AT3480" s="2" t="str">
        <f>IF($L3480="","",IFERROR(INDEX('AR SALES'!$H$2:$H$2501,MATCH(""&amp;$L3480,'AR SALES'!$AE$2:$AE$2501,0)),""))</f>
        <v/>
      </c>
      <c r="AU3480" s="2" t="str">
        <f t="shared" si="216"/>
        <v/>
      </c>
      <c r="AV3480" s="2" t="str">
        <f t="shared" si="217"/>
        <v/>
      </c>
      <c r="AW3480" s="2" t="str">
        <f t="shared" si="218"/>
        <v/>
      </c>
      <c r="AX3480" s="2" t="str">
        <f t="shared" si="219"/>
        <v/>
      </c>
      <c r="AY3480" s="2" t="str">
        <f>IF($AV3480="","",IF(AND($Z3480=0,COUNTIF('AR SALES'!$L$2:$L$2501,$L3480)=0),"YES",""))</f>
        <v/>
      </c>
      <c r="AZ3480" s="2" t="str">
        <f>IF($AV3480="","",IF(COUNTIF(LISTS!$C$2:$C$250,$AU3480)=0,"NEW",""))</f>
        <v/>
      </c>
      <c r="BA3480" s="2" t="str">
        <f>IF(""&amp;$F3480&lt;&gt;"4","",IF($AY3480="YES","",IF(ROUND(SUMIFS($AE$2:$AE$4001,$L$2:$L$4001,$L3480,$F$2:$F$4001,"4")-SUMIFS('AR SALES'!$Y$2:$Y$2501,'AR SALES'!$L$2:$L$2501,$L3480,'AR SALES'!$AD$2:$AD$2501,"OFF"),2)=0,"","STALE")))</f>
        <v/>
      </c>
      <c r="BB3480" s="2" t="str">
        <f>IF(OR(""&amp;$F3480="2",""&amp;$F3480="4",""&amp;$F3480="G",""&amp;$F3480="H"),IF($AY3480="YES","",IF($AB3480&lt;&gt;0,"",IF(COUNTIFS('AR SALES'!$L$2:$L$2501,$L3480,'AR SALES'!$AD$2:$AD$2501,IF(""&amp;$F3480="4","OFF","ON"),'AR SALES'!$AF$2:$AF$2501,"Y")&gt;0,"","NO EXEMPTION"))),"")</f>
        <v/>
      </c>
    </row>
    <row r="3481" spans="46:54" x14ac:dyDescent="0.25">
      <c r="AT3481" s="2" t="str">
        <f>IF($L3481="","",IFERROR(INDEX('AR SALES'!$H$2:$H$2501,MATCH(""&amp;$L3481,'AR SALES'!$AE$2:$AE$2501,0)),""))</f>
        <v/>
      </c>
      <c r="AU3481" s="2" t="str">
        <f t="shared" si="216"/>
        <v/>
      </c>
      <c r="AV3481" s="2" t="str">
        <f t="shared" si="217"/>
        <v/>
      </c>
      <c r="AW3481" s="2" t="str">
        <f t="shared" si="218"/>
        <v/>
      </c>
      <c r="AX3481" s="2" t="str">
        <f t="shared" si="219"/>
        <v/>
      </c>
      <c r="AY3481" s="2" t="str">
        <f>IF($AV3481="","",IF(AND($Z3481=0,COUNTIF('AR SALES'!$L$2:$L$2501,$L3481)=0),"YES",""))</f>
        <v/>
      </c>
      <c r="AZ3481" s="2" t="str">
        <f>IF($AV3481="","",IF(COUNTIF(LISTS!$C$2:$C$250,$AU3481)=0,"NEW",""))</f>
        <v/>
      </c>
      <c r="BA3481" s="2" t="str">
        <f>IF(""&amp;$F3481&lt;&gt;"4","",IF($AY3481="YES","",IF(ROUND(SUMIFS($AE$2:$AE$4001,$L$2:$L$4001,$L3481,$F$2:$F$4001,"4")-SUMIFS('AR SALES'!$Y$2:$Y$2501,'AR SALES'!$L$2:$L$2501,$L3481,'AR SALES'!$AD$2:$AD$2501,"OFF"),2)=0,"","STALE")))</f>
        <v/>
      </c>
      <c r="BB3481" s="2" t="str">
        <f>IF(OR(""&amp;$F3481="2",""&amp;$F3481="4",""&amp;$F3481="G",""&amp;$F3481="H"),IF($AY3481="YES","",IF($AB3481&lt;&gt;0,"",IF(COUNTIFS('AR SALES'!$L$2:$L$2501,$L3481,'AR SALES'!$AD$2:$AD$2501,IF(""&amp;$F3481="4","OFF","ON"),'AR SALES'!$AF$2:$AF$2501,"Y")&gt;0,"","NO EXEMPTION"))),"")</f>
        <v/>
      </c>
    </row>
    <row r="3482" spans="46:54" x14ac:dyDescent="0.25">
      <c r="AT3482" s="2" t="str">
        <f>IF($L3482="","",IFERROR(INDEX('AR SALES'!$H$2:$H$2501,MATCH(""&amp;$L3482,'AR SALES'!$AE$2:$AE$2501,0)),""))</f>
        <v/>
      </c>
      <c r="AU3482" s="2" t="str">
        <f t="shared" si="216"/>
        <v/>
      </c>
      <c r="AV3482" s="2" t="str">
        <f t="shared" si="217"/>
        <v/>
      </c>
      <c r="AW3482" s="2" t="str">
        <f t="shared" si="218"/>
        <v/>
      </c>
      <c r="AX3482" s="2" t="str">
        <f t="shared" si="219"/>
        <v/>
      </c>
      <c r="AY3482" s="2" t="str">
        <f>IF($AV3482="","",IF(AND($Z3482=0,COUNTIF('AR SALES'!$L$2:$L$2501,$L3482)=0),"YES",""))</f>
        <v/>
      </c>
      <c r="AZ3482" s="2" t="str">
        <f>IF($AV3482="","",IF(COUNTIF(LISTS!$C$2:$C$250,$AU3482)=0,"NEW",""))</f>
        <v/>
      </c>
      <c r="BA3482" s="2" t="str">
        <f>IF(""&amp;$F3482&lt;&gt;"4","",IF($AY3482="YES","",IF(ROUND(SUMIFS($AE$2:$AE$4001,$L$2:$L$4001,$L3482,$F$2:$F$4001,"4")-SUMIFS('AR SALES'!$Y$2:$Y$2501,'AR SALES'!$L$2:$L$2501,$L3482,'AR SALES'!$AD$2:$AD$2501,"OFF"),2)=0,"","STALE")))</f>
        <v/>
      </c>
      <c r="BB3482" s="2" t="str">
        <f>IF(OR(""&amp;$F3482="2",""&amp;$F3482="4",""&amp;$F3482="G",""&amp;$F3482="H"),IF($AY3482="YES","",IF($AB3482&lt;&gt;0,"",IF(COUNTIFS('AR SALES'!$L$2:$L$2501,$L3482,'AR SALES'!$AD$2:$AD$2501,IF(""&amp;$F3482="4","OFF","ON"),'AR SALES'!$AF$2:$AF$2501,"Y")&gt;0,"","NO EXEMPTION"))),"")</f>
        <v/>
      </c>
    </row>
    <row r="3483" spans="46:54" x14ac:dyDescent="0.25">
      <c r="AT3483" s="2" t="str">
        <f>IF($L3483="","",IFERROR(INDEX('AR SALES'!$H$2:$H$2501,MATCH(""&amp;$L3483,'AR SALES'!$AE$2:$AE$2501,0)),""))</f>
        <v/>
      </c>
      <c r="AU3483" s="2" t="str">
        <f t="shared" si="216"/>
        <v/>
      </c>
      <c r="AV3483" s="2" t="str">
        <f t="shared" si="217"/>
        <v/>
      </c>
      <c r="AW3483" s="2" t="str">
        <f t="shared" si="218"/>
        <v/>
      </c>
      <c r="AX3483" s="2" t="str">
        <f t="shared" si="219"/>
        <v/>
      </c>
      <c r="AY3483" s="2" t="str">
        <f>IF($AV3483="","",IF(AND($Z3483=0,COUNTIF('AR SALES'!$L$2:$L$2501,$L3483)=0),"YES",""))</f>
        <v/>
      </c>
      <c r="AZ3483" s="2" t="str">
        <f>IF($AV3483="","",IF(COUNTIF(LISTS!$C$2:$C$250,$AU3483)=0,"NEW",""))</f>
        <v/>
      </c>
      <c r="BA3483" s="2" t="str">
        <f>IF(""&amp;$F3483&lt;&gt;"4","",IF($AY3483="YES","",IF(ROUND(SUMIFS($AE$2:$AE$4001,$L$2:$L$4001,$L3483,$F$2:$F$4001,"4")-SUMIFS('AR SALES'!$Y$2:$Y$2501,'AR SALES'!$L$2:$L$2501,$L3483,'AR SALES'!$AD$2:$AD$2501,"OFF"),2)=0,"","STALE")))</f>
        <v/>
      </c>
      <c r="BB3483" s="2" t="str">
        <f>IF(OR(""&amp;$F3483="2",""&amp;$F3483="4",""&amp;$F3483="G",""&amp;$F3483="H"),IF($AY3483="YES","",IF($AB3483&lt;&gt;0,"",IF(COUNTIFS('AR SALES'!$L$2:$L$2501,$L3483,'AR SALES'!$AD$2:$AD$2501,IF(""&amp;$F3483="4","OFF","ON"),'AR SALES'!$AF$2:$AF$2501,"Y")&gt;0,"","NO EXEMPTION"))),"")</f>
        <v/>
      </c>
    </row>
    <row r="3484" spans="46:54" x14ac:dyDescent="0.25">
      <c r="AT3484" s="2" t="str">
        <f>IF($L3484="","",IFERROR(INDEX('AR SALES'!$H$2:$H$2501,MATCH(""&amp;$L3484,'AR SALES'!$AE$2:$AE$2501,0)),""))</f>
        <v/>
      </c>
      <c r="AU3484" s="2" t="str">
        <f t="shared" si="216"/>
        <v/>
      </c>
      <c r="AV3484" s="2" t="str">
        <f t="shared" si="217"/>
        <v/>
      </c>
      <c r="AW3484" s="2" t="str">
        <f t="shared" si="218"/>
        <v/>
      </c>
      <c r="AX3484" s="2" t="str">
        <f t="shared" si="219"/>
        <v/>
      </c>
      <c r="AY3484" s="2" t="str">
        <f>IF($AV3484="","",IF(AND($Z3484=0,COUNTIF('AR SALES'!$L$2:$L$2501,$L3484)=0),"YES",""))</f>
        <v/>
      </c>
      <c r="AZ3484" s="2" t="str">
        <f>IF($AV3484="","",IF(COUNTIF(LISTS!$C$2:$C$250,$AU3484)=0,"NEW",""))</f>
        <v/>
      </c>
      <c r="BA3484" s="2" t="str">
        <f>IF(""&amp;$F3484&lt;&gt;"4","",IF($AY3484="YES","",IF(ROUND(SUMIFS($AE$2:$AE$4001,$L$2:$L$4001,$L3484,$F$2:$F$4001,"4")-SUMIFS('AR SALES'!$Y$2:$Y$2501,'AR SALES'!$L$2:$L$2501,$L3484,'AR SALES'!$AD$2:$AD$2501,"OFF"),2)=0,"","STALE")))</f>
        <v/>
      </c>
      <c r="BB3484" s="2" t="str">
        <f>IF(OR(""&amp;$F3484="2",""&amp;$F3484="4",""&amp;$F3484="G",""&amp;$F3484="H"),IF($AY3484="YES","",IF($AB3484&lt;&gt;0,"",IF(COUNTIFS('AR SALES'!$L$2:$L$2501,$L3484,'AR SALES'!$AD$2:$AD$2501,IF(""&amp;$F3484="4","OFF","ON"),'AR SALES'!$AF$2:$AF$2501,"Y")&gt;0,"","NO EXEMPTION"))),"")</f>
        <v/>
      </c>
    </row>
    <row r="3485" spans="46:54" x14ac:dyDescent="0.25">
      <c r="AT3485" s="2" t="str">
        <f>IF($L3485="","",IFERROR(INDEX('AR SALES'!$H$2:$H$2501,MATCH(""&amp;$L3485,'AR SALES'!$AE$2:$AE$2501,0)),""))</f>
        <v/>
      </c>
      <c r="AU3485" s="2" t="str">
        <f t="shared" si="216"/>
        <v/>
      </c>
      <c r="AV3485" s="2" t="str">
        <f t="shared" si="217"/>
        <v/>
      </c>
      <c r="AW3485" s="2" t="str">
        <f t="shared" si="218"/>
        <v/>
      </c>
      <c r="AX3485" s="2" t="str">
        <f t="shared" si="219"/>
        <v/>
      </c>
      <c r="AY3485" s="2" t="str">
        <f>IF($AV3485="","",IF(AND($Z3485=0,COUNTIF('AR SALES'!$L$2:$L$2501,$L3485)=0),"YES",""))</f>
        <v/>
      </c>
      <c r="AZ3485" s="2" t="str">
        <f>IF($AV3485="","",IF(COUNTIF(LISTS!$C$2:$C$250,$AU3485)=0,"NEW",""))</f>
        <v/>
      </c>
      <c r="BA3485" s="2" t="str">
        <f>IF(""&amp;$F3485&lt;&gt;"4","",IF($AY3485="YES","",IF(ROUND(SUMIFS($AE$2:$AE$4001,$L$2:$L$4001,$L3485,$F$2:$F$4001,"4")-SUMIFS('AR SALES'!$Y$2:$Y$2501,'AR SALES'!$L$2:$L$2501,$L3485,'AR SALES'!$AD$2:$AD$2501,"OFF"),2)=0,"","STALE")))</f>
        <v/>
      </c>
      <c r="BB3485" s="2" t="str">
        <f>IF(OR(""&amp;$F3485="2",""&amp;$F3485="4",""&amp;$F3485="G",""&amp;$F3485="H"),IF($AY3485="YES","",IF($AB3485&lt;&gt;0,"",IF(COUNTIFS('AR SALES'!$L$2:$L$2501,$L3485,'AR SALES'!$AD$2:$AD$2501,IF(""&amp;$F3485="4","OFF","ON"),'AR SALES'!$AF$2:$AF$2501,"Y")&gt;0,"","NO EXEMPTION"))),"")</f>
        <v/>
      </c>
    </row>
    <row r="3486" spans="46:54" x14ac:dyDescent="0.25">
      <c r="AT3486" s="2" t="str">
        <f>IF($L3486="","",IFERROR(INDEX('AR SALES'!$H$2:$H$2501,MATCH(""&amp;$L3486,'AR SALES'!$AE$2:$AE$2501,0)),""))</f>
        <v/>
      </c>
      <c r="AU3486" s="2" t="str">
        <f t="shared" si="216"/>
        <v/>
      </c>
      <c r="AV3486" s="2" t="str">
        <f t="shared" si="217"/>
        <v/>
      </c>
      <c r="AW3486" s="2" t="str">
        <f t="shared" si="218"/>
        <v/>
      </c>
      <c r="AX3486" s="2" t="str">
        <f t="shared" si="219"/>
        <v/>
      </c>
      <c r="AY3486" s="2" t="str">
        <f>IF($AV3486="","",IF(AND($Z3486=0,COUNTIF('AR SALES'!$L$2:$L$2501,$L3486)=0),"YES",""))</f>
        <v/>
      </c>
      <c r="AZ3486" s="2" t="str">
        <f>IF($AV3486="","",IF(COUNTIF(LISTS!$C$2:$C$250,$AU3486)=0,"NEW",""))</f>
        <v/>
      </c>
      <c r="BA3486" s="2" t="str">
        <f>IF(""&amp;$F3486&lt;&gt;"4","",IF($AY3486="YES","",IF(ROUND(SUMIFS($AE$2:$AE$4001,$L$2:$L$4001,$L3486,$F$2:$F$4001,"4")-SUMIFS('AR SALES'!$Y$2:$Y$2501,'AR SALES'!$L$2:$L$2501,$L3486,'AR SALES'!$AD$2:$AD$2501,"OFF"),2)=0,"","STALE")))</f>
        <v/>
      </c>
      <c r="BB3486" s="2" t="str">
        <f>IF(OR(""&amp;$F3486="2",""&amp;$F3486="4",""&amp;$F3486="G",""&amp;$F3486="H"),IF($AY3486="YES","",IF($AB3486&lt;&gt;0,"",IF(COUNTIFS('AR SALES'!$L$2:$L$2501,$L3486,'AR SALES'!$AD$2:$AD$2501,IF(""&amp;$F3486="4","OFF","ON"),'AR SALES'!$AF$2:$AF$2501,"Y")&gt;0,"","NO EXEMPTION"))),"")</f>
        <v/>
      </c>
    </row>
    <row r="3487" spans="46:54" x14ac:dyDescent="0.25">
      <c r="AT3487" s="2" t="str">
        <f>IF($L3487="","",IFERROR(INDEX('AR SALES'!$H$2:$H$2501,MATCH(""&amp;$L3487,'AR SALES'!$AE$2:$AE$2501,0)),""))</f>
        <v/>
      </c>
      <c r="AU3487" s="2" t="str">
        <f t="shared" si="216"/>
        <v/>
      </c>
      <c r="AV3487" s="2" t="str">
        <f t="shared" si="217"/>
        <v/>
      </c>
      <c r="AW3487" s="2" t="str">
        <f t="shared" si="218"/>
        <v/>
      </c>
      <c r="AX3487" s="2" t="str">
        <f t="shared" si="219"/>
        <v/>
      </c>
      <c r="AY3487" s="2" t="str">
        <f>IF($AV3487="","",IF(AND($Z3487=0,COUNTIF('AR SALES'!$L$2:$L$2501,$L3487)=0),"YES",""))</f>
        <v/>
      </c>
      <c r="AZ3487" s="2" t="str">
        <f>IF($AV3487="","",IF(COUNTIF(LISTS!$C$2:$C$250,$AU3487)=0,"NEW",""))</f>
        <v/>
      </c>
      <c r="BA3487" s="2" t="str">
        <f>IF(""&amp;$F3487&lt;&gt;"4","",IF($AY3487="YES","",IF(ROUND(SUMIFS($AE$2:$AE$4001,$L$2:$L$4001,$L3487,$F$2:$F$4001,"4")-SUMIFS('AR SALES'!$Y$2:$Y$2501,'AR SALES'!$L$2:$L$2501,$L3487,'AR SALES'!$AD$2:$AD$2501,"OFF"),2)=0,"","STALE")))</f>
        <v/>
      </c>
      <c r="BB3487" s="2" t="str">
        <f>IF(OR(""&amp;$F3487="2",""&amp;$F3487="4",""&amp;$F3487="G",""&amp;$F3487="H"),IF($AY3487="YES","",IF($AB3487&lt;&gt;0,"",IF(COUNTIFS('AR SALES'!$L$2:$L$2501,$L3487,'AR SALES'!$AD$2:$AD$2501,IF(""&amp;$F3487="4","OFF","ON"),'AR SALES'!$AF$2:$AF$2501,"Y")&gt;0,"","NO EXEMPTION"))),"")</f>
        <v/>
      </c>
    </row>
    <row r="3488" spans="46:54" x14ac:dyDescent="0.25">
      <c r="AT3488" s="2" t="str">
        <f>IF($L3488="","",IFERROR(INDEX('AR SALES'!$H$2:$H$2501,MATCH(""&amp;$L3488,'AR SALES'!$AE$2:$AE$2501,0)),""))</f>
        <v/>
      </c>
      <c r="AU3488" s="2" t="str">
        <f t="shared" si="216"/>
        <v/>
      </c>
      <c r="AV3488" s="2" t="str">
        <f t="shared" si="217"/>
        <v/>
      </c>
      <c r="AW3488" s="2" t="str">
        <f t="shared" si="218"/>
        <v/>
      </c>
      <c r="AX3488" s="2" t="str">
        <f t="shared" si="219"/>
        <v/>
      </c>
      <c r="AY3488" s="2" t="str">
        <f>IF($AV3488="","",IF(AND($Z3488=0,COUNTIF('AR SALES'!$L$2:$L$2501,$L3488)=0),"YES",""))</f>
        <v/>
      </c>
      <c r="AZ3488" s="2" t="str">
        <f>IF($AV3488="","",IF(COUNTIF(LISTS!$C$2:$C$250,$AU3488)=0,"NEW",""))</f>
        <v/>
      </c>
      <c r="BA3488" s="2" t="str">
        <f>IF(""&amp;$F3488&lt;&gt;"4","",IF($AY3488="YES","",IF(ROUND(SUMIFS($AE$2:$AE$4001,$L$2:$L$4001,$L3488,$F$2:$F$4001,"4")-SUMIFS('AR SALES'!$Y$2:$Y$2501,'AR SALES'!$L$2:$L$2501,$L3488,'AR SALES'!$AD$2:$AD$2501,"OFF"),2)=0,"","STALE")))</f>
        <v/>
      </c>
      <c r="BB3488" s="2" t="str">
        <f>IF(OR(""&amp;$F3488="2",""&amp;$F3488="4",""&amp;$F3488="G",""&amp;$F3488="H"),IF($AY3488="YES","",IF($AB3488&lt;&gt;0,"",IF(COUNTIFS('AR SALES'!$L$2:$L$2501,$L3488,'AR SALES'!$AD$2:$AD$2501,IF(""&amp;$F3488="4","OFF","ON"),'AR SALES'!$AF$2:$AF$2501,"Y")&gt;0,"","NO EXEMPTION"))),"")</f>
        <v/>
      </c>
    </row>
    <row r="3489" spans="46:54" x14ac:dyDescent="0.25">
      <c r="AT3489" s="2" t="str">
        <f>IF($L3489="","",IFERROR(INDEX('AR SALES'!$H$2:$H$2501,MATCH(""&amp;$L3489,'AR SALES'!$AE$2:$AE$2501,0)),""))</f>
        <v/>
      </c>
      <c r="AU3489" s="2" t="str">
        <f t="shared" si="216"/>
        <v/>
      </c>
      <c r="AV3489" s="2" t="str">
        <f t="shared" si="217"/>
        <v/>
      </c>
      <c r="AW3489" s="2" t="str">
        <f t="shared" si="218"/>
        <v/>
      </c>
      <c r="AX3489" s="2" t="str">
        <f t="shared" si="219"/>
        <v/>
      </c>
      <c r="AY3489" s="2" t="str">
        <f>IF($AV3489="","",IF(AND($Z3489=0,COUNTIF('AR SALES'!$L$2:$L$2501,$L3489)=0),"YES",""))</f>
        <v/>
      </c>
      <c r="AZ3489" s="2" t="str">
        <f>IF($AV3489="","",IF(COUNTIF(LISTS!$C$2:$C$250,$AU3489)=0,"NEW",""))</f>
        <v/>
      </c>
      <c r="BA3489" s="2" t="str">
        <f>IF(""&amp;$F3489&lt;&gt;"4","",IF($AY3489="YES","",IF(ROUND(SUMIFS($AE$2:$AE$4001,$L$2:$L$4001,$L3489,$F$2:$F$4001,"4")-SUMIFS('AR SALES'!$Y$2:$Y$2501,'AR SALES'!$L$2:$L$2501,$L3489,'AR SALES'!$AD$2:$AD$2501,"OFF"),2)=0,"","STALE")))</f>
        <v/>
      </c>
      <c r="BB3489" s="2" t="str">
        <f>IF(OR(""&amp;$F3489="2",""&amp;$F3489="4",""&amp;$F3489="G",""&amp;$F3489="H"),IF($AY3489="YES","",IF($AB3489&lt;&gt;0,"",IF(COUNTIFS('AR SALES'!$L$2:$L$2501,$L3489,'AR SALES'!$AD$2:$AD$2501,IF(""&amp;$F3489="4","OFF","ON"),'AR SALES'!$AF$2:$AF$2501,"Y")&gt;0,"","NO EXEMPTION"))),"")</f>
        <v/>
      </c>
    </row>
    <row r="3490" spans="46:54" x14ac:dyDescent="0.25">
      <c r="AT3490" s="2" t="str">
        <f>IF($L3490="","",IFERROR(INDEX('AR SALES'!$H$2:$H$2501,MATCH(""&amp;$L3490,'AR SALES'!$AE$2:$AE$2501,0)),""))</f>
        <v/>
      </c>
      <c r="AU3490" s="2" t="str">
        <f t="shared" si="216"/>
        <v/>
      </c>
      <c r="AV3490" s="2" t="str">
        <f t="shared" si="217"/>
        <v/>
      </c>
      <c r="AW3490" s="2" t="str">
        <f t="shared" si="218"/>
        <v/>
      </c>
      <c r="AX3490" s="2" t="str">
        <f t="shared" si="219"/>
        <v/>
      </c>
      <c r="AY3490" s="2" t="str">
        <f>IF($AV3490="","",IF(AND($Z3490=0,COUNTIF('AR SALES'!$L$2:$L$2501,$L3490)=0),"YES",""))</f>
        <v/>
      </c>
      <c r="AZ3490" s="2" t="str">
        <f>IF($AV3490="","",IF(COUNTIF(LISTS!$C$2:$C$250,$AU3490)=0,"NEW",""))</f>
        <v/>
      </c>
      <c r="BA3490" s="2" t="str">
        <f>IF(""&amp;$F3490&lt;&gt;"4","",IF($AY3490="YES","",IF(ROUND(SUMIFS($AE$2:$AE$4001,$L$2:$L$4001,$L3490,$F$2:$F$4001,"4")-SUMIFS('AR SALES'!$Y$2:$Y$2501,'AR SALES'!$L$2:$L$2501,$L3490,'AR SALES'!$AD$2:$AD$2501,"OFF"),2)=0,"","STALE")))</f>
        <v/>
      </c>
      <c r="BB3490" s="2" t="str">
        <f>IF(OR(""&amp;$F3490="2",""&amp;$F3490="4",""&amp;$F3490="G",""&amp;$F3490="H"),IF($AY3490="YES","",IF($AB3490&lt;&gt;0,"",IF(COUNTIFS('AR SALES'!$L$2:$L$2501,$L3490,'AR SALES'!$AD$2:$AD$2501,IF(""&amp;$F3490="4","OFF","ON"),'AR SALES'!$AF$2:$AF$2501,"Y")&gt;0,"","NO EXEMPTION"))),"")</f>
        <v/>
      </c>
    </row>
    <row r="3491" spans="46:54" x14ac:dyDescent="0.25">
      <c r="AT3491" s="2" t="str">
        <f>IF($L3491="","",IFERROR(INDEX('AR SALES'!$H$2:$H$2501,MATCH(""&amp;$L3491,'AR SALES'!$AE$2:$AE$2501,0)),""))</f>
        <v/>
      </c>
      <c r="AU3491" s="2" t="str">
        <f t="shared" si="216"/>
        <v/>
      </c>
      <c r="AV3491" s="2" t="str">
        <f t="shared" si="217"/>
        <v/>
      </c>
      <c r="AW3491" s="2" t="str">
        <f t="shared" si="218"/>
        <v/>
      </c>
      <c r="AX3491" s="2" t="str">
        <f t="shared" si="219"/>
        <v/>
      </c>
      <c r="AY3491" s="2" t="str">
        <f>IF($AV3491="","",IF(AND($Z3491=0,COUNTIF('AR SALES'!$L$2:$L$2501,$L3491)=0),"YES",""))</f>
        <v/>
      </c>
      <c r="AZ3491" s="2" t="str">
        <f>IF($AV3491="","",IF(COUNTIF(LISTS!$C$2:$C$250,$AU3491)=0,"NEW",""))</f>
        <v/>
      </c>
      <c r="BA3491" s="2" t="str">
        <f>IF(""&amp;$F3491&lt;&gt;"4","",IF($AY3491="YES","",IF(ROUND(SUMIFS($AE$2:$AE$4001,$L$2:$L$4001,$L3491,$F$2:$F$4001,"4")-SUMIFS('AR SALES'!$Y$2:$Y$2501,'AR SALES'!$L$2:$L$2501,$L3491,'AR SALES'!$AD$2:$AD$2501,"OFF"),2)=0,"","STALE")))</f>
        <v/>
      </c>
      <c r="BB3491" s="2" t="str">
        <f>IF(OR(""&amp;$F3491="2",""&amp;$F3491="4",""&amp;$F3491="G",""&amp;$F3491="H"),IF($AY3491="YES","",IF($AB3491&lt;&gt;0,"",IF(COUNTIFS('AR SALES'!$L$2:$L$2501,$L3491,'AR SALES'!$AD$2:$AD$2501,IF(""&amp;$F3491="4","OFF","ON"),'AR SALES'!$AF$2:$AF$2501,"Y")&gt;0,"","NO EXEMPTION"))),"")</f>
        <v/>
      </c>
    </row>
    <row r="3492" spans="46:54" x14ac:dyDescent="0.25">
      <c r="AT3492" s="2" t="str">
        <f>IF($L3492="","",IFERROR(INDEX('AR SALES'!$H$2:$H$2501,MATCH(""&amp;$L3492,'AR SALES'!$AE$2:$AE$2501,0)),""))</f>
        <v/>
      </c>
      <c r="AU3492" s="2" t="str">
        <f t="shared" si="216"/>
        <v/>
      </c>
      <c r="AV3492" s="2" t="str">
        <f t="shared" si="217"/>
        <v/>
      </c>
      <c r="AW3492" s="2" t="str">
        <f t="shared" si="218"/>
        <v/>
      </c>
      <c r="AX3492" s="2" t="str">
        <f t="shared" si="219"/>
        <v/>
      </c>
      <c r="AY3492" s="2" t="str">
        <f>IF($AV3492="","",IF(AND($Z3492=0,COUNTIF('AR SALES'!$L$2:$L$2501,$L3492)=0),"YES",""))</f>
        <v/>
      </c>
      <c r="AZ3492" s="2" t="str">
        <f>IF($AV3492="","",IF(COUNTIF(LISTS!$C$2:$C$250,$AU3492)=0,"NEW",""))</f>
        <v/>
      </c>
      <c r="BA3492" s="2" t="str">
        <f>IF(""&amp;$F3492&lt;&gt;"4","",IF($AY3492="YES","",IF(ROUND(SUMIFS($AE$2:$AE$4001,$L$2:$L$4001,$L3492,$F$2:$F$4001,"4")-SUMIFS('AR SALES'!$Y$2:$Y$2501,'AR SALES'!$L$2:$L$2501,$L3492,'AR SALES'!$AD$2:$AD$2501,"OFF"),2)=0,"","STALE")))</f>
        <v/>
      </c>
      <c r="BB3492" s="2" t="str">
        <f>IF(OR(""&amp;$F3492="2",""&amp;$F3492="4",""&amp;$F3492="G",""&amp;$F3492="H"),IF($AY3492="YES","",IF($AB3492&lt;&gt;0,"",IF(COUNTIFS('AR SALES'!$L$2:$L$2501,$L3492,'AR SALES'!$AD$2:$AD$2501,IF(""&amp;$F3492="4","OFF","ON"),'AR SALES'!$AF$2:$AF$2501,"Y")&gt;0,"","NO EXEMPTION"))),"")</f>
        <v/>
      </c>
    </row>
    <row r="3493" spans="46:54" x14ac:dyDescent="0.25">
      <c r="AT3493" s="2" t="str">
        <f>IF($L3493="","",IFERROR(INDEX('AR SALES'!$H$2:$H$2501,MATCH(""&amp;$L3493,'AR SALES'!$AE$2:$AE$2501,0)),""))</f>
        <v/>
      </c>
      <c r="AU3493" s="2" t="str">
        <f t="shared" si="216"/>
        <v/>
      </c>
      <c r="AV3493" s="2" t="str">
        <f t="shared" si="217"/>
        <v/>
      </c>
      <c r="AW3493" s="2" t="str">
        <f t="shared" si="218"/>
        <v/>
      </c>
      <c r="AX3493" s="2" t="str">
        <f t="shared" si="219"/>
        <v/>
      </c>
      <c r="AY3493" s="2" t="str">
        <f>IF($AV3493="","",IF(AND($Z3493=0,COUNTIF('AR SALES'!$L$2:$L$2501,$L3493)=0),"YES",""))</f>
        <v/>
      </c>
      <c r="AZ3493" s="2" t="str">
        <f>IF($AV3493="","",IF(COUNTIF(LISTS!$C$2:$C$250,$AU3493)=0,"NEW",""))</f>
        <v/>
      </c>
      <c r="BA3493" s="2" t="str">
        <f>IF(""&amp;$F3493&lt;&gt;"4","",IF($AY3493="YES","",IF(ROUND(SUMIFS($AE$2:$AE$4001,$L$2:$L$4001,$L3493,$F$2:$F$4001,"4")-SUMIFS('AR SALES'!$Y$2:$Y$2501,'AR SALES'!$L$2:$L$2501,$L3493,'AR SALES'!$AD$2:$AD$2501,"OFF"),2)=0,"","STALE")))</f>
        <v/>
      </c>
      <c r="BB3493" s="2" t="str">
        <f>IF(OR(""&amp;$F3493="2",""&amp;$F3493="4",""&amp;$F3493="G",""&amp;$F3493="H"),IF($AY3493="YES","",IF($AB3493&lt;&gt;0,"",IF(COUNTIFS('AR SALES'!$L$2:$L$2501,$L3493,'AR SALES'!$AD$2:$AD$2501,IF(""&amp;$F3493="4","OFF","ON"),'AR SALES'!$AF$2:$AF$2501,"Y")&gt;0,"","NO EXEMPTION"))),"")</f>
        <v/>
      </c>
    </row>
    <row r="3494" spans="46:54" x14ac:dyDescent="0.25">
      <c r="AT3494" s="2" t="str">
        <f>IF($L3494="","",IFERROR(INDEX('AR SALES'!$H$2:$H$2501,MATCH(""&amp;$L3494,'AR SALES'!$AE$2:$AE$2501,0)),""))</f>
        <v/>
      </c>
      <c r="AU3494" s="2" t="str">
        <f t="shared" si="216"/>
        <v/>
      </c>
      <c r="AV3494" s="2" t="str">
        <f t="shared" si="217"/>
        <v/>
      </c>
      <c r="AW3494" s="2" t="str">
        <f t="shared" si="218"/>
        <v/>
      </c>
      <c r="AX3494" s="2" t="str">
        <f t="shared" si="219"/>
        <v/>
      </c>
      <c r="AY3494" s="2" t="str">
        <f>IF($AV3494="","",IF(AND($Z3494=0,COUNTIF('AR SALES'!$L$2:$L$2501,$L3494)=0),"YES",""))</f>
        <v/>
      </c>
      <c r="AZ3494" s="2" t="str">
        <f>IF($AV3494="","",IF(COUNTIF(LISTS!$C$2:$C$250,$AU3494)=0,"NEW",""))</f>
        <v/>
      </c>
      <c r="BA3494" s="2" t="str">
        <f>IF(""&amp;$F3494&lt;&gt;"4","",IF($AY3494="YES","",IF(ROUND(SUMIFS($AE$2:$AE$4001,$L$2:$L$4001,$L3494,$F$2:$F$4001,"4")-SUMIFS('AR SALES'!$Y$2:$Y$2501,'AR SALES'!$L$2:$L$2501,$L3494,'AR SALES'!$AD$2:$AD$2501,"OFF"),2)=0,"","STALE")))</f>
        <v/>
      </c>
      <c r="BB3494" s="2" t="str">
        <f>IF(OR(""&amp;$F3494="2",""&amp;$F3494="4",""&amp;$F3494="G",""&amp;$F3494="H"),IF($AY3494="YES","",IF($AB3494&lt;&gt;0,"",IF(COUNTIFS('AR SALES'!$L$2:$L$2501,$L3494,'AR SALES'!$AD$2:$AD$2501,IF(""&amp;$F3494="4","OFF","ON"),'AR SALES'!$AF$2:$AF$2501,"Y")&gt;0,"","NO EXEMPTION"))),"")</f>
        <v/>
      </c>
    </row>
    <row r="3495" spans="46:54" x14ac:dyDescent="0.25">
      <c r="AT3495" s="2" t="str">
        <f>IF($L3495="","",IFERROR(INDEX('AR SALES'!$H$2:$H$2501,MATCH(""&amp;$L3495,'AR SALES'!$AE$2:$AE$2501,0)),""))</f>
        <v/>
      </c>
      <c r="AU3495" s="2" t="str">
        <f t="shared" si="216"/>
        <v/>
      </c>
      <c r="AV3495" s="2" t="str">
        <f t="shared" si="217"/>
        <v/>
      </c>
      <c r="AW3495" s="2" t="str">
        <f t="shared" si="218"/>
        <v/>
      </c>
      <c r="AX3495" s="2" t="str">
        <f t="shared" si="219"/>
        <v/>
      </c>
      <c r="AY3495" s="2" t="str">
        <f>IF($AV3495="","",IF(AND($Z3495=0,COUNTIF('AR SALES'!$L$2:$L$2501,$L3495)=0),"YES",""))</f>
        <v/>
      </c>
      <c r="AZ3495" s="2" t="str">
        <f>IF($AV3495="","",IF(COUNTIF(LISTS!$C$2:$C$250,$AU3495)=0,"NEW",""))</f>
        <v/>
      </c>
      <c r="BA3495" s="2" t="str">
        <f>IF(""&amp;$F3495&lt;&gt;"4","",IF($AY3495="YES","",IF(ROUND(SUMIFS($AE$2:$AE$4001,$L$2:$L$4001,$L3495,$F$2:$F$4001,"4")-SUMIFS('AR SALES'!$Y$2:$Y$2501,'AR SALES'!$L$2:$L$2501,$L3495,'AR SALES'!$AD$2:$AD$2501,"OFF"),2)=0,"","STALE")))</f>
        <v/>
      </c>
      <c r="BB3495" s="2" t="str">
        <f>IF(OR(""&amp;$F3495="2",""&amp;$F3495="4",""&amp;$F3495="G",""&amp;$F3495="H"),IF($AY3495="YES","",IF($AB3495&lt;&gt;0,"",IF(COUNTIFS('AR SALES'!$L$2:$L$2501,$L3495,'AR SALES'!$AD$2:$AD$2501,IF(""&amp;$F3495="4","OFF","ON"),'AR SALES'!$AF$2:$AF$2501,"Y")&gt;0,"","NO EXEMPTION"))),"")</f>
        <v/>
      </c>
    </row>
    <row r="3496" spans="46:54" x14ac:dyDescent="0.25">
      <c r="AT3496" s="2" t="str">
        <f>IF($L3496="","",IFERROR(INDEX('AR SALES'!$H$2:$H$2501,MATCH(""&amp;$L3496,'AR SALES'!$AE$2:$AE$2501,0)),""))</f>
        <v/>
      </c>
      <c r="AU3496" s="2" t="str">
        <f t="shared" si="216"/>
        <v/>
      </c>
      <c r="AV3496" s="2" t="str">
        <f t="shared" si="217"/>
        <v/>
      </c>
      <c r="AW3496" s="2" t="str">
        <f t="shared" si="218"/>
        <v/>
      </c>
      <c r="AX3496" s="2" t="str">
        <f t="shared" si="219"/>
        <v/>
      </c>
      <c r="AY3496" s="2" t="str">
        <f>IF($AV3496="","",IF(AND($Z3496=0,COUNTIF('AR SALES'!$L$2:$L$2501,$L3496)=0),"YES",""))</f>
        <v/>
      </c>
      <c r="AZ3496" s="2" t="str">
        <f>IF($AV3496="","",IF(COUNTIF(LISTS!$C$2:$C$250,$AU3496)=0,"NEW",""))</f>
        <v/>
      </c>
      <c r="BA3496" s="2" t="str">
        <f>IF(""&amp;$F3496&lt;&gt;"4","",IF($AY3496="YES","",IF(ROUND(SUMIFS($AE$2:$AE$4001,$L$2:$L$4001,$L3496,$F$2:$F$4001,"4")-SUMIFS('AR SALES'!$Y$2:$Y$2501,'AR SALES'!$L$2:$L$2501,$L3496,'AR SALES'!$AD$2:$AD$2501,"OFF"),2)=0,"","STALE")))</f>
        <v/>
      </c>
      <c r="BB3496" s="2" t="str">
        <f>IF(OR(""&amp;$F3496="2",""&amp;$F3496="4",""&amp;$F3496="G",""&amp;$F3496="H"),IF($AY3496="YES","",IF($AB3496&lt;&gt;0,"",IF(COUNTIFS('AR SALES'!$L$2:$L$2501,$L3496,'AR SALES'!$AD$2:$AD$2501,IF(""&amp;$F3496="4","OFF","ON"),'AR SALES'!$AF$2:$AF$2501,"Y")&gt;0,"","NO EXEMPTION"))),"")</f>
        <v/>
      </c>
    </row>
    <row r="3497" spans="46:54" x14ac:dyDescent="0.25">
      <c r="AT3497" s="2" t="str">
        <f>IF($L3497="","",IFERROR(INDEX('AR SALES'!$H$2:$H$2501,MATCH(""&amp;$L3497,'AR SALES'!$AE$2:$AE$2501,0)),""))</f>
        <v/>
      </c>
      <c r="AU3497" s="2" t="str">
        <f t="shared" si="216"/>
        <v/>
      </c>
      <c r="AV3497" s="2" t="str">
        <f t="shared" si="217"/>
        <v/>
      </c>
      <c r="AW3497" s="2" t="str">
        <f t="shared" si="218"/>
        <v/>
      </c>
      <c r="AX3497" s="2" t="str">
        <f t="shared" si="219"/>
        <v/>
      </c>
      <c r="AY3497" s="2" t="str">
        <f>IF($AV3497="","",IF(AND($Z3497=0,COUNTIF('AR SALES'!$L$2:$L$2501,$L3497)=0),"YES",""))</f>
        <v/>
      </c>
      <c r="AZ3497" s="2" t="str">
        <f>IF($AV3497="","",IF(COUNTIF(LISTS!$C$2:$C$250,$AU3497)=0,"NEW",""))</f>
        <v/>
      </c>
      <c r="BA3497" s="2" t="str">
        <f>IF(""&amp;$F3497&lt;&gt;"4","",IF($AY3497="YES","",IF(ROUND(SUMIFS($AE$2:$AE$4001,$L$2:$L$4001,$L3497,$F$2:$F$4001,"4")-SUMIFS('AR SALES'!$Y$2:$Y$2501,'AR SALES'!$L$2:$L$2501,$L3497,'AR SALES'!$AD$2:$AD$2501,"OFF"),2)=0,"","STALE")))</f>
        <v/>
      </c>
      <c r="BB3497" s="2" t="str">
        <f>IF(OR(""&amp;$F3497="2",""&amp;$F3497="4",""&amp;$F3497="G",""&amp;$F3497="H"),IF($AY3497="YES","",IF($AB3497&lt;&gt;0,"",IF(COUNTIFS('AR SALES'!$L$2:$L$2501,$L3497,'AR SALES'!$AD$2:$AD$2501,IF(""&amp;$F3497="4","OFF","ON"),'AR SALES'!$AF$2:$AF$2501,"Y")&gt;0,"","NO EXEMPTION"))),"")</f>
        <v/>
      </c>
    </row>
    <row r="3498" spans="46:54" x14ac:dyDescent="0.25">
      <c r="AT3498" s="2" t="str">
        <f>IF($L3498="","",IFERROR(INDEX('AR SALES'!$H$2:$H$2501,MATCH(""&amp;$L3498,'AR SALES'!$AE$2:$AE$2501,0)),""))</f>
        <v/>
      </c>
      <c r="AU3498" s="2" t="str">
        <f t="shared" si="216"/>
        <v/>
      </c>
      <c r="AV3498" s="2" t="str">
        <f t="shared" si="217"/>
        <v/>
      </c>
      <c r="AW3498" s="2" t="str">
        <f t="shared" si="218"/>
        <v/>
      </c>
      <c r="AX3498" s="2" t="str">
        <f t="shared" si="219"/>
        <v/>
      </c>
      <c r="AY3498" s="2" t="str">
        <f>IF($AV3498="","",IF(AND($Z3498=0,COUNTIF('AR SALES'!$L$2:$L$2501,$L3498)=0),"YES",""))</f>
        <v/>
      </c>
      <c r="AZ3498" s="2" t="str">
        <f>IF($AV3498="","",IF(COUNTIF(LISTS!$C$2:$C$250,$AU3498)=0,"NEW",""))</f>
        <v/>
      </c>
      <c r="BA3498" s="2" t="str">
        <f>IF(""&amp;$F3498&lt;&gt;"4","",IF($AY3498="YES","",IF(ROUND(SUMIFS($AE$2:$AE$4001,$L$2:$L$4001,$L3498,$F$2:$F$4001,"4")-SUMIFS('AR SALES'!$Y$2:$Y$2501,'AR SALES'!$L$2:$L$2501,$L3498,'AR SALES'!$AD$2:$AD$2501,"OFF"),2)=0,"","STALE")))</f>
        <v/>
      </c>
      <c r="BB3498" s="2" t="str">
        <f>IF(OR(""&amp;$F3498="2",""&amp;$F3498="4",""&amp;$F3498="G",""&amp;$F3498="H"),IF($AY3498="YES","",IF($AB3498&lt;&gt;0,"",IF(COUNTIFS('AR SALES'!$L$2:$L$2501,$L3498,'AR SALES'!$AD$2:$AD$2501,IF(""&amp;$F3498="4","OFF","ON"),'AR SALES'!$AF$2:$AF$2501,"Y")&gt;0,"","NO EXEMPTION"))),"")</f>
        <v/>
      </c>
    </row>
    <row r="3499" spans="46:54" x14ac:dyDescent="0.25">
      <c r="AT3499" s="2" t="str">
        <f>IF($L3499="","",IFERROR(INDEX('AR SALES'!$H$2:$H$2501,MATCH(""&amp;$L3499,'AR SALES'!$AE$2:$AE$2501,0)),""))</f>
        <v/>
      </c>
      <c r="AU3499" s="2" t="str">
        <f t="shared" si="216"/>
        <v/>
      </c>
      <c r="AV3499" s="2" t="str">
        <f t="shared" si="217"/>
        <v/>
      </c>
      <c r="AW3499" s="2" t="str">
        <f t="shared" si="218"/>
        <v/>
      </c>
      <c r="AX3499" s="2" t="str">
        <f t="shared" si="219"/>
        <v/>
      </c>
      <c r="AY3499" s="2" t="str">
        <f>IF($AV3499="","",IF(AND($Z3499=0,COUNTIF('AR SALES'!$L$2:$L$2501,$L3499)=0),"YES",""))</f>
        <v/>
      </c>
      <c r="AZ3499" s="2" t="str">
        <f>IF($AV3499="","",IF(COUNTIF(LISTS!$C$2:$C$250,$AU3499)=0,"NEW",""))</f>
        <v/>
      </c>
      <c r="BA3499" s="2" t="str">
        <f>IF(""&amp;$F3499&lt;&gt;"4","",IF($AY3499="YES","",IF(ROUND(SUMIFS($AE$2:$AE$4001,$L$2:$L$4001,$L3499,$F$2:$F$4001,"4")-SUMIFS('AR SALES'!$Y$2:$Y$2501,'AR SALES'!$L$2:$L$2501,$L3499,'AR SALES'!$AD$2:$AD$2501,"OFF"),2)=0,"","STALE")))</f>
        <v/>
      </c>
      <c r="BB3499" s="2" t="str">
        <f>IF(OR(""&amp;$F3499="2",""&amp;$F3499="4",""&amp;$F3499="G",""&amp;$F3499="H"),IF($AY3499="YES","",IF($AB3499&lt;&gt;0,"",IF(COUNTIFS('AR SALES'!$L$2:$L$2501,$L3499,'AR SALES'!$AD$2:$AD$2501,IF(""&amp;$F3499="4","OFF","ON"),'AR SALES'!$AF$2:$AF$2501,"Y")&gt;0,"","NO EXEMPTION"))),"")</f>
        <v/>
      </c>
    </row>
    <row r="3500" spans="46:54" x14ac:dyDescent="0.25">
      <c r="AT3500" s="2" t="str">
        <f>IF($L3500="","",IFERROR(INDEX('AR SALES'!$H$2:$H$2501,MATCH(""&amp;$L3500,'AR SALES'!$AE$2:$AE$2501,0)),""))</f>
        <v/>
      </c>
      <c r="AU3500" s="2" t="str">
        <f t="shared" si="216"/>
        <v/>
      </c>
      <c r="AV3500" s="2" t="str">
        <f t="shared" si="217"/>
        <v/>
      </c>
      <c r="AW3500" s="2" t="str">
        <f t="shared" si="218"/>
        <v/>
      </c>
      <c r="AX3500" s="2" t="str">
        <f t="shared" si="219"/>
        <v/>
      </c>
      <c r="AY3500" s="2" t="str">
        <f>IF($AV3500="","",IF(AND($Z3500=0,COUNTIF('AR SALES'!$L$2:$L$2501,$L3500)=0),"YES",""))</f>
        <v/>
      </c>
      <c r="AZ3500" s="2" t="str">
        <f>IF($AV3500="","",IF(COUNTIF(LISTS!$C$2:$C$250,$AU3500)=0,"NEW",""))</f>
        <v/>
      </c>
      <c r="BA3500" s="2" t="str">
        <f>IF(""&amp;$F3500&lt;&gt;"4","",IF($AY3500="YES","",IF(ROUND(SUMIFS($AE$2:$AE$4001,$L$2:$L$4001,$L3500,$F$2:$F$4001,"4")-SUMIFS('AR SALES'!$Y$2:$Y$2501,'AR SALES'!$L$2:$L$2501,$L3500,'AR SALES'!$AD$2:$AD$2501,"OFF"),2)=0,"","STALE")))</f>
        <v/>
      </c>
      <c r="BB3500" s="2" t="str">
        <f>IF(OR(""&amp;$F3500="2",""&amp;$F3500="4",""&amp;$F3500="G",""&amp;$F3500="H"),IF($AY3500="YES","",IF($AB3500&lt;&gt;0,"",IF(COUNTIFS('AR SALES'!$L$2:$L$2501,$L3500,'AR SALES'!$AD$2:$AD$2501,IF(""&amp;$F3500="4","OFF","ON"),'AR SALES'!$AF$2:$AF$2501,"Y")&gt;0,"","NO EXEMPTION"))),"")</f>
        <v/>
      </c>
    </row>
    <row r="3501" spans="46:54" x14ac:dyDescent="0.25">
      <c r="AT3501" s="2" t="str">
        <f>IF($L3501="","",IFERROR(INDEX('AR SALES'!$H$2:$H$2501,MATCH(""&amp;$L3501,'AR SALES'!$AE$2:$AE$2501,0)),""))</f>
        <v/>
      </c>
      <c r="AU3501" s="2" t="str">
        <f t="shared" si="216"/>
        <v/>
      </c>
      <c r="AV3501" s="2" t="str">
        <f t="shared" si="217"/>
        <v/>
      </c>
      <c r="AW3501" s="2" t="str">
        <f t="shared" si="218"/>
        <v/>
      </c>
      <c r="AX3501" s="2" t="str">
        <f t="shared" si="219"/>
        <v/>
      </c>
      <c r="AY3501" s="2" t="str">
        <f>IF($AV3501="","",IF(AND($Z3501=0,COUNTIF('AR SALES'!$L$2:$L$2501,$L3501)=0),"YES",""))</f>
        <v/>
      </c>
      <c r="AZ3501" s="2" t="str">
        <f>IF($AV3501="","",IF(COUNTIF(LISTS!$C$2:$C$250,$AU3501)=0,"NEW",""))</f>
        <v/>
      </c>
      <c r="BA3501" s="2" t="str">
        <f>IF(""&amp;$F3501&lt;&gt;"4","",IF($AY3501="YES","",IF(ROUND(SUMIFS($AE$2:$AE$4001,$L$2:$L$4001,$L3501,$F$2:$F$4001,"4")-SUMIFS('AR SALES'!$Y$2:$Y$2501,'AR SALES'!$L$2:$L$2501,$L3501,'AR SALES'!$AD$2:$AD$2501,"OFF"),2)=0,"","STALE")))</f>
        <v/>
      </c>
      <c r="BB3501" s="2" t="str">
        <f>IF(OR(""&amp;$F3501="2",""&amp;$F3501="4",""&amp;$F3501="G",""&amp;$F3501="H"),IF($AY3501="YES","",IF($AB3501&lt;&gt;0,"",IF(COUNTIFS('AR SALES'!$L$2:$L$2501,$L3501,'AR SALES'!$AD$2:$AD$2501,IF(""&amp;$F3501="4","OFF","ON"),'AR SALES'!$AF$2:$AF$2501,"Y")&gt;0,"","NO EXEMPTION"))),"")</f>
        <v/>
      </c>
    </row>
    <row r="3502" spans="46:54" x14ac:dyDescent="0.25">
      <c r="AT3502" s="2" t="str">
        <f>IF($L3502="","",IFERROR(INDEX('AR SALES'!$H$2:$H$2501,MATCH(""&amp;$L3502,'AR SALES'!$AE$2:$AE$2501,0)),""))</f>
        <v/>
      </c>
      <c r="AU3502" s="2" t="str">
        <f t="shared" si="216"/>
        <v/>
      </c>
      <c r="AV3502" s="2" t="str">
        <f t="shared" si="217"/>
        <v/>
      </c>
      <c r="AW3502" s="2" t="str">
        <f t="shared" si="218"/>
        <v/>
      </c>
      <c r="AX3502" s="2" t="str">
        <f t="shared" si="219"/>
        <v/>
      </c>
      <c r="AY3502" s="2" t="str">
        <f>IF($AV3502="","",IF(AND($Z3502=0,COUNTIF('AR SALES'!$L$2:$L$2501,$L3502)=0),"YES",""))</f>
        <v/>
      </c>
      <c r="AZ3502" s="2" t="str">
        <f>IF($AV3502="","",IF(COUNTIF(LISTS!$C$2:$C$250,$AU3502)=0,"NEW",""))</f>
        <v/>
      </c>
      <c r="BA3502" s="2" t="str">
        <f>IF(""&amp;$F3502&lt;&gt;"4","",IF($AY3502="YES","",IF(ROUND(SUMIFS($AE$2:$AE$4001,$L$2:$L$4001,$L3502,$F$2:$F$4001,"4")-SUMIFS('AR SALES'!$Y$2:$Y$2501,'AR SALES'!$L$2:$L$2501,$L3502,'AR SALES'!$AD$2:$AD$2501,"OFF"),2)=0,"","STALE")))</f>
        <v/>
      </c>
      <c r="BB3502" s="2" t="str">
        <f>IF(OR(""&amp;$F3502="2",""&amp;$F3502="4",""&amp;$F3502="G",""&amp;$F3502="H"),IF($AY3502="YES","",IF($AB3502&lt;&gt;0,"",IF(COUNTIFS('AR SALES'!$L$2:$L$2501,$L3502,'AR SALES'!$AD$2:$AD$2501,IF(""&amp;$F3502="4","OFF","ON"),'AR SALES'!$AF$2:$AF$2501,"Y")&gt;0,"","NO EXEMPTION"))),"")</f>
        <v/>
      </c>
    </row>
    <row r="3503" spans="46:54" x14ac:dyDescent="0.25">
      <c r="AT3503" s="2" t="str">
        <f>IF($L3503="","",IFERROR(INDEX('AR SALES'!$H$2:$H$2501,MATCH(""&amp;$L3503,'AR SALES'!$AE$2:$AE$2501,0)),""))</f>
        <v/>
      </c>
      <c r="AU3503" s="2" t="str">
        <f t="shared" si="216"/>
        <v/>
      </c>
      <c r="AV3503" s="2" t="str">
        <f t="shared" si="217"/>
        <v/>
      </c>
      <c r="AW3503" s="2" t="str">
        <f t="shared" si="218"/>
        <v/>
      </c>
      <c r="AX3503" s="2" t="str">
        <f t="shared" si="219"/>
        <v/>
      </c>
      <c r="AY3503" s="2" t="str">
        <f>IF($AV3503="","",IF(AND($Z3503=0,COUNTIF('AR SALES'!$L$2:$L$2501,$L3503)=0),"YES",""))</f>
        <v/>
      </c>
      <c r="AZ3503" s="2" t="str">
        <f>IF($AV3503="","",IF(COUNTIF(LISTS!$C$2:$C$250,$AU3503)=0,"NEW",""))</f>
        <v/>
      </c>
      <c r="BA3503" s="2" t="str">
        <f>IF(""&amp;$F3503&lt;&gt;"4","",IF($AY3503="YES","",IF(ROUND(SUMIFS($AE$2:$AE$4001,$L$2:$L$4001,$L3503,$F$2:$F$4001,"4")-SUMIFS('AR SALES'!$Y$2:$Y$2501,'AR SALES'!$L$2:$L$2501,$L3503,'AR SALES'!$AD$2:$AD$2501,"OFF"),2)=0,"","STALE")))</f>
        <v/>
      </c>
      <c r="BB3503" s="2" t="str">
        <f>IF(OR(""&amp;$F3503="2",""&amp;$F3503="4",""&amp;$F3503="G",""&amp;$F3503="H"),IF($AY3503="YES","",IF($AB3503&lt;&gt;0,"",IF(COUNTIFS('AR SALES'!$L$2:$L$2501,$L3503,'AR SALES'!$AD$2:$AD$2501,IF(""&amp;$F3503="4","OFF","ON"),'AR SALES'!$AF$2:$AF$2501,"Y")&gt;0,"","NO EXEMPTION"))),"")</f>
        <v/>
      </c>
    </row>
    <row r="3504" spans="46:54" x14ac:dyDescent="0.25">
      <c r="AT3504" s="2" t="str">
        <f>IF($L3504="","",IFERROR(INDEX('AR SALES'!$H$2:$H$2501,MATCH(""&amp;$L3504,'AR SALES'!$AE$2:$AE$2501,0)),""))</f>
        <v/>
      </c>
      <c r="AU3504" s="2" t="str">
        <f t="shared" si="216"/>
        <v/>
      </c>
      <c r="AV3504" s="2" t="str">
        <f t="shared" si="217"/>
        <v/>
      </c>
      <c r="AW3504" s="2" t="str">
        <f t="shared" si="218"/>
        <v/>
      </c>
      <c r="AX3504" s="2" t="str">
        <f t="shared" si="219"/>
        <v/>
      </c>
      <c r="AY3504" s="2" t="str">
        <f>IF($AV3504="","",IF(AND($Z3504=0,COUNTIF('AR SALES'!$L$2:$L$2501,$L3504)=0),"YES",""))</f>
        <v/>
      </c>
      <c r="AZ3504" s="2" t="str">
        <f>IF($AV3504="","",IF(COUNTIF(LISTS!$C$2:$C$250,$AU3504)=0,"NEW",""))</f>
        <v/>
      </c>
      <c r="BA3504" s="2" t="str">
        <f>IF(""&amp;$F3504&lt;&gt;"4","",IF($AY3504="YES","",IF(ROUND(SUMIFS($AE$2:$AE$4001,$L$2:$L$4001,$L3504,$F$2:$F$4001,"4")-SUMIFS('AR SALES'!$Y$2:$Y$2501,'AR SALES'!$L$2:$L$2501,$L3504,'AR SALES'!$AD$2:$AD$2501,"OFF"),2)=0,"","STALE")))</f>
        <v/>
      </c>
      <c r="BB3504" s="2" t="str">
        <f>IF(OR(""&amp;$F3504="2",""&amp;$F3504="4",""&amp;$F3504="G",""&amp;$F3504="H"),IF($AY3504="YES","",IF($AB3504&lt;&gt;0,"",IF(COUNTIFS('AR SALES'!$L$2:$L$2501,$L3504,'AR SALES'!$AD$2:$AD$2501,IF(""&amp;$F3504="4","OFF","ON"),'AR SALES'!$AF$2:$AF$2501,"Y")&gt;0,"","NO EXEMPTION"))),"")</f>
        <v/>
      </c>
    </row>
    <row r="3505" spans="46:54" x14ac:dyDescent="0.25">
      <c r="AT3505" s="2" t="str">
        <f>IF($L3505="","",IFERROR(INDEX('AR SALES'!$H$2:$H$2501,MATCH(""&amp;$L3505,'AR SALES'!$AE$2:$AE$2501,0)),""))</f>
        <v/>
      </c>
      <c r="AU3505" s="2" t="str">
        <f t="shared" si="216"/>
        <v/>
      </c>
      <c r="AV3505" s="2" t="str">
        <f t="shared" si="217"/>
        <v/>
      </c>
      <c r="AW3505" s="2" t="str">
        <f t="shared" si="218"/>
        <v/>
      </c>
      <c r="AX3505" s="2" t="str">
        <f t="shared" si="219"/>
        <v/>
      </c>
      <c r="AY3505" s="2" t="str">
        <f>IF($AV3505="","",IF(AND($Z3505=0,COUNTIF('AR SALES'!$L$2:$L$2501,$L3505)=0),"YES",""))</f>
        <v/>
      </c>
      <c r="AZ3505" s="2" t="str">
        <f>IF($AV3505="","",IF(COUNTIF(LISTS!$C$2:$C$250,$AU3505)=0,"NEW",""))</f>
        <v/>
      </c>
      <c r="BA3505" s="2" t="str">
        <f>IF(""&amp;$F3505&lt;&gt;"4","",IF($AY3505="YES","",IF(ROUND(SUMIFS($AE$2:$AE$4001,$L$2:$L$4001,$L3505,$F$2:$F$4001,"4")-SUMIFS('AR SALES'!$Y$2:$Y$2501,'AR SALES'!$L$2:$L$2501,$L3505,'AR SALES'!$AD$2:$AD$2501,"OFF"),2)=0,"","STALE")))</f>
        <v/>
      </c>
      <c r="BB3505" s="2" t="str">
        <f>IF(OR(""&amp;$F3505="2",""&amp;$F3505="4",""&amp;$F3505="G",""&amp;$F3505="H"),IF($AY3505="YES","",IF($AB3505&lt;&gt;0,"",IF(COUNTIFS('AR SALES'!$L$2:$L$2501,$L3505,'AR SALES'!$AD$2:$AD$2501,IF(""&amp;$F3505="4","OFF","ON"),'AR SALES'!$AF$2:$AF$2501,"Y")&gt;0,"","NO EXEMPTION"))),"")</f>
        <v/>
      </c>
    </row>
    <row r="3506" spans="46:54" x14ac:dyDescent="0.25">
      <c r="AT3506" s="2" t="str">
        <f>IF($L3506="","",IFERROR(INDEX('AR SALES'!$H$2:$H$2501,MATCH(""&amp;$L3506,'AR SALES'!$AE$2:$AE$2501,0)),""))</f>
        <v/>
      </c>
      <c r="AU3506" s="2" t="str">
        <f t="shared" si="216"/>
        <v/>
      </c>
      <c r="AV3506" s="2" t="str">
        <f t="shared" si="217"/>
        <v/>
      </c>
      <c r="AW3506" s="2" t="str">
        <f t="shared" si="218"/>
        <v/>
      </c>
      <c r="AX3506" s="2" t="str">
        <f t="shared" si="219"/>
        <v/>
      </c>
      <c r="AY3506" s="2" t="str">
        <f>IF($AV3506="","",IF(AND($Z3506=0,COUNTIF('AR SALES'!$L$2:$L$2501,$L3506)=0),"YES",""))</f>
        <v/>
      </c>
      <c r="AZ3506" s="2" t="str">
        <f>IF($AV3506="","",IF(COUNTIF(LISTS!$C$2:$C$250,$AU3506)=0,"NEW",""))</f>
        <v/>
      </c>
      <c r="BA3506" s="2" t="str">
        <f>IF(""&amp;$F3506&lt;&gt;"4","",IF($AY3506="YES","",IF(ROUND(SUMIFS($AE$2:$AE$4001,$L$2:$L$4001,$L3506,$F$2:$F$4001,"4")-SUMIFS('AR SALES'!$Y$2:$Y$2501,'AR SALES'!$L$2:$L$2501,$L3506,'AR SALES'!$AD$2:$AD$2501,"OFF"),2)=0,"","STALE")))</f>
        <v/>
      </c>
      <c r="BB3506" s="2" t="str">
        <f>IF(OR(""&amp;$F3506="2",""&amp;$F3506="4",""&amp;$F3506="G",""&amp;$F3506="H"),IF($AY3506="YES","",IF($AB3506&lt;&gt;0,"",IF(COUNTIFS('AR SALES'!$L$2:$L$2501,$L3506,'AR SALES'!$AD$2:$AD$2501,IF(""&amp;$F3506="4","OFF","ON"),'AR SALES'!$AF$2:$AF$2501,"Y")&gt;0,"","NO EXEMPTION"))),"")</f>
        <v/>
      </c>
    </row>
    <row r="3507" spans="46:54" x14ac:dyDescent="0.25">
      <c r="AT3507" s="2" t="str">
        <f>IF($L3507="","",IFERROR(INDEX('AR SALES'!$H$2:$H$2501,MATCH(""&amp;$L3507,'AR SALES'!$AE$2:$AE$2501,0)),""))</f>
        <v/>
      </c>
      <c r="AU3507" s="2" t="str">
        <f t="shared" si="216"/>
        <v/>
      </c>
      <c r="AV3507" s="2" t="str">
        <f t="shared" si="217"/>
        <v/>
      </c>
      <c r="AW3507" s="2" t="str">
        <f t="shared" si="218"/>
        <v/>
      </c>
      <c r="AX3507" s="2" t="str">
        <f t="shared" si="219"/>
        <v/>
      </c>
      <c r="AY3507" s="2" t="str">
        <f>IF($AV3507="","",IF(AND($Z3507=0,COUNTIF('AR SALES'!$L$2:$L$2501,$L3507)=0),"YES",""))</f>
        <v/>
      </c>
      <c r="AZ3507" s="2" t="str">
        <f>IF($AV3507="","",IF(COUNTIF(LISTS!$C$2:$C$250,$AU3507)=0,"NEW",""))</f>
        <v/>
      </c>
      <c r="BA3507" s="2" t="str">
        <f>IF(""&amp;$F3507&lt;&gt;"4","",IF($AY3507="YES","",IF(ROUND(SUMIFS($AE$2:$AE$4001,$L$2:$L$4001,$L3507,$F$2:$F$4001,"4")-SUMIFS('AR SALES'!$Y$2:$Y$2501,'AR SALES'!$L$2:$L$2501,$L3507,'AR SALES'!$AD$2:$AD$2501,"OFF"),2)=0,"","STALE")))</f>
        <v/>
      </c>
      <c r="BB3507" s="2" t="str">
        <f>IF(OR(""&amp;$F3507="2",""&amp;$F3507="4",""&amp;$F3507="G",""&amp;$F3507="H"),IF($AY3507="YES","",IF($AB3507&lt;&gt;0,"",IF(COUNTIFS('AR SALES'!$L$2:$L$2501,$L3507,'AR SALES'!$AD$2:$AD$2501,IF(""&amp;$F3507="4","OFF","ON"),'AR SALES'!$AF$2:$AF$2501,"Y")&gt;0,"","NO EXEMPTION"))),"")</f>
        <v/>
      </c>
    </row>
    <row r="3508" spans="46:54" x14ac:dyDescent="0.25">
      <c r="AT3508" s="2" t="str">
        <f>IF($L3508="","",IFERROR(INDEX('AR SALES'!$H$2:$H$2501,MATCH(""&amp;$L3508,'AR SALES'!$AE$2:$AE$2501,0)),""))</f>
        <v/>
      </c>
      <c r="AU3508" s="2" t="str">
        <f t="shared" si="216"/>
        <v/>
      </c>
      <c r="AV3508" s="2" t="str">
        <f t="shared" si="217"/>
        <v/>
      </c>
      <c r="AW3508" s="2" t="str">
        <f t="shared" si="218"/>
        <v/>
      </c>
      <c r="AX3508" s="2" t="str">
        <f t="shared" si="219"/>
        <v/>
      </c>
      <c r="AY3508" s="2" t="str">
        <f>IF($AV3508="","",IF(AND($Z3508=0,COUNTIF('AR SALES'!$L$2:$L$2501,$L3508)=0),"YES",""))</f>
        <v/>
      </c>
      <c r="AZ3508" s="2" t="str">
        <f>IF($AV3508="","",IF(COUNTIF(LISTS!$C$2:$C$250,$AU3508)=0,"NEW",""))</f>
        <v/>
      </c>
      <c r="BA3508" s="2" t="str">
        <f>IF(""&amp;$F3508&lt;&gt;"4","",IF($AY3508="YES","",IF(ROUND(SUMIFS($AE$2:$AE$4001,$L$2:$L$4001,$L3508,$F$2:$F$4001,"4")-SUMIFS('AR SALES'!$Y$2:$Y$2501,'AR SALES'!$L$2:$L$2501,$L3508,'AR SALES'!$AD$2:$AD$2501,"OFF"),2)=0,"","STALE")))</f>
        <v/>
      </c>
      <c r="BB3508" s="2" t="str">
        <f>IF(OR(""&amp;$F3508="2",""&amp;$F3508="4",""&amp;$F3508="G",""&amp;$F3508="H"),IF($AY3508="YES","",IF($AB3508&lt;&gt;0,"",IF(COUNTIFS('AR SALES'!$L$2:$L$2501,$L3508,'AR SALES'!$AD$2:$AD$2501,IF(""&amp;$F3508="4","OFF","ON"),'AR SALES'!$AF$2:$AF$2501,"Y")&gt;0,"","NO EXEMPTION"))),"")</f>
        <v/>
      </c>
    </row>
    <row r="3509" spans="46:54" x14ac:dyDescent="0.25">
      <c r="AT3509" s="2" t="str">
        <f>IF($L3509="","",IFERROR(INDEX('AR SALES'!$H$2:$H$2501,MATCH(""&amp;$L3509,'AR SALES'!$AE$2:$AE$2501,0)),""))</f>
        <v/>
      </c>
      <c r="AU3509" s="2" t="str">
        <f t="shared" si="216"/>
        <v/>
      </c>
      <c r="AV3509" s="2" t="str">
        <f t="shared" si="217"/>
        <v/>
      </c>
      <c r="AW3509" s="2" t="str">
        <f t="shared" si="218"/>
        <v/>
      </c>
      <c r="AX3509" s="2" t="str">
        <f t="shared" si="219"/>
        <v/>
      </c>
      <c r="AY3509" s="2" t="str">
        <f>IF($AV3509="","",IF(AND($Z3509=0,COUNTIF('AR SALES'!$L$2:$L$2501,$L3509)=0),"YES",""))</f>
        <v/>
      </c>
      <c r="AZ3509" s="2" t="str">
        <f>IF($AV3509="","",IF(COUNTIF(LISTS!$C$2:$C$250,$AU3509)=0,"NEW",""))</f>
        <v/>
      </c>
      <c r="BA3509" s="2" t="str">
        <f>IF(""&amp;$F3509&lt;&gt;"4","",IF($AY3509="YES","",IF(ROUND(SUMIFS($AE$2:$AE$4001,$L$2:$L$4001,$L3509,$F$2:$F$4001,"4")-SUMIFS('AR SALES'!$Y$2:$Y$2501,'AR SALES'!$L$2:$L$2501,$L3509,'AR SALES'!$AD$2:$AD$2501,"OFF"),2)=0,"","STALE")))</f>
        <v/>
      </c>
      <c r="BB3509" s="2" t="str">
        <f>IF(OR(""&amp;$F3509="2",""&amp;$F3509="4",""&amp;$F3509="G",""&amp;$F3509="H"),IF($AY3509="YES","",IF($AB3509&lt;&gt;0,"",IF(COUNTIFS('AR SALES'!$L$2:$L$2501,$L3509,'AR SALES'!$AD$2:$AD$2501,IF(""&amp;$F3509="4","OFF","ON"),'AR SALES'!$AF$2:$AF$2501,"Y")&gt;0,"","NO EXEMPTION"))),"")</f>
        <v/>
      </c>
    </row>
    <row r="3510" spans="46:54" x14ac:dyDescent="0.25">
      <c r="AT3510" s="2" t="str">
        <f>IF($L3510="","",IFERROR(INDEX('AR SALES'!$H$2:$H$2501,MATCH(""&amp;$L3510,'AR SALES'!$AE$2:$AE$2501,0)),""))</f>
        <v/>
      </c>
      <c r="AU3510" s="2" t="str">
        <f t="shared" si="216"/>
        <v/>
      </c>
      <c r="AV3510" s="2" t="str">
        <f t="shared" si="217"/>
        <v/>
      </c>
      <c r="AW3510" s="2" t="str">
        <f t="shared" si="218"/>
        <v/>
      </c>
      <c r="AX3510" s="2" t="str">
        <f t="shared" si="219"/>
        <v/>
      </c>
      <c r="AY3510" s="2" t="str">
        <f>IF($AV3510="","",IF(AND($Z3510=0,COUNTIF('AR SALES'!$L$2:$L$2501,$L3510)=0),"YES",""))</f>
        <v/>
      </c>
      <c r="AZ3510" s="2" t="str">
        <f>IF($AV3510="","",IF(COUNTIF(LISTS!$C$2:$C$250,$AU3510)=0,"NEW",""))</f>
        <v/>
      </c>
      <c r="BA3510" s="2" t="str">
        <f>IF(""&amp;$F3510&lt;&gt;"4","",IF($AY3510="YES","",IF(ROUND(SUMIFS($AE$2:$AE$4001,$L$2:$L$4001,$L3510,$F$2:$F$4001,"4")-SUMIFS('AR SALES'!$Y$2:$Y$2501,'AR SALES'!$L$2:$L$2501,$L3510,'AR SALES'!$AD$2:$AD$2501,"OFF"),2)=0,"","STALE")))</f>
        <v/>
      </c>
      <c r="BB3510" s="2" t="str">
        <f>IF(OR(""&amp;$F3510="2",""&amp;$F3510="4",""&amp;$F3510="G",""&amp;$F3510="H"),IF($AY3510="YES","",IF($AB3510&lt;&gt;0,"",IF(COUNTIFS('AR SALES'!$L$2:$L$2501,$L3510,'AR SALES'!$AD$2:$AD$2501,IF(""&amp;$F3510="4","OFF","ON"),'AR SALES'!$AF$2:$AF$2501,"Y")&gt;0,"","NO EXEMPTION"))),"")</f>
        <v/>
      </c>
    </row>
    <row r="3511" spans="46:54" x14ac:dyDescent="0.25">
      <c r="AT3511" s="2" t="str">
        <f>IF($L3511="","",IFERROR(INDEX('AR SALES'!$H$2:$H$2501,MATCH(""&amp;$L3511,'AR SALES'!$AE$2:$AE$2501,0)),""))</f>
        <v/>
      </c>
      <c r="AU3511" s="2" t="str">
        <f t="shared" si="216"/>
        <v/>
      </c>
      <c r="AV3511" s="2" t="str">
        <f t="shared" si="217"/>
        <v/>
      </c>
      <c r="AW3511" s="2" t="str">
        <f t="shared" si="218"/>
        <v/>
      </c>
      <c r="AX3511" s="2" t="str">
        <f t="shared" si="219"/>
        <v/>
      </c>
      <c r="AY3511" s="2" t="str">
        <f>IF($AV3511="","",IF(AND($Z3511=0,COUNTIF('AR SALES'!$L$2:$L$2501,$L3511)=0),"YES",""))</f>
        <v/>
      </c>
      <c r="AZ3511" s="2" t="str">
        <f>IF($AV3511="","",IF(COUNTIF(LISTS!$C$2:$C$250,$AU3511)=0,"NEW",""))</f>
        <v/>
      </c>
      <c r="BA3511" s="2" t="str">
        <f>IF(""&amp;$F3511&lt;&gt;"4","",IF($AY3511="YES","",IF(ROUND(SUMIFS($AE$2:$AE$4001,$L$2:$L$4001,$L3511,$F$2:$F$4001,"4")-SUMIFS('AR SALES'!$Y$2:$Y$2501,'AR SALES'!$L$2:$L$2501,$L3511,'AR SALES'!$AD$2:$AD$2501,"OFF"),2)=0,"","STALE")))</f>
        <v/>
      </c>
      <c r="BB3511" s="2" t="str">
        <f>IF(OR(""&amp;$F3511="2",""&amp;$F3511="4",""&amp;$F3511="G",""&amp;$F3511="H"),IF($AY3511="YES","",IF($AB3511&lt;&gt;0,"",IF(COUNTIFS('AR SALES'!$L$2:$L$2501,$L3511,'AR SALES'!$AD$2:$AD$2501,IF(""&amp;$F3511="4","OFF","ON"),'AR SALES'!$AF$2:$AF$2501,"Y")&gt;0,"","NO EXEMPTION"))),"")</f>
        <v/>
      </c>
    </row>
    <row r="3512" spans="46:54" x14ac:dyDescent="0.25">
      <c r="AT3512" s="2" t="str">
        <f>IF($L3512="","",IFERROR(INDEX('AR SALES'!$H$2:$H$2501,MATCH(""&amp;$L3512,'AR SALES'!$AE$2:$AE$2501,0)),""))</f>
        <v/>
      </c>
      <c r="AU3512" s="2" t="str">
        <f t="shared" si="216"/>
        <v/>
      </c>
      <c r="AV3512" s="2" t="str">
        <f t="shared" si="217"/>
        <v/>
      </c>
      <c r="AW3512" s="2" t="str">
        <f t="shared" si="218"/>
        <v/>
      </c>
      <c r="AX3512" s="2" t="str">
        <f t="shared" si="219"/>
        <v/>
      </c>
      <c r="AY3512" s="2" t="str">
        <f>IF($AV3512="","",IF(AND($Z3512=0,COUNTIF('AR SALES'!$L$2:$L$2501,$L3512)=0),"YES",""))</f>
        <v/>
      </c>
      <c r="AZ3512" s="2" t="str">
        <f>IF($AV3512="","",IF(COUNTIF(LISTS!$C$2:$C$250,$AU3512)=0,"NEW",""))</f>
        <v/>
      </c>
      <c r="BA3512" s="2" t="str">
        <f>IF(""&amp;$F3512&lt;&gt;"4","",IF($AY3512="YES","",IF(ROUND(SUMIFS($AE$2:$AE$4001,$L$2:$L$4001,$L3512,$F$2:$F$4001,"4")-SUMIFS('AR SALES'!$Y$2:$Y$2501,'AR SALES'!$L$2:$L$2501,$L3512,'AR SALES'!$AD$2:$AD$2501,"OFF"),2)=0,"","STALE")))</f>
        <v/>
      </c>
      <c r="BB3512" s="2" t="str">
        <f>IF(OR(""&amp;$F3512="2",""&amp;$F3512="4",""&amp;$F3512="G",""&amp;$F3512="H"),IF($AY3512="YES","",IF($AB3512&lt;&gt;0,"",IF(COUNTIFS('AR SALES'!$L$2:$L$2501,$L3512,'AR SALES'!$AD$2:$AD$2501,IF(""&amp;$F3512="4","OFF","ON"),'AR SALES'!$AF$2:$AF$2501,"Y")&gt;0,"","NO EXEMPTION"))),"")</f>
        <v/>
      </c>
    </row>
    <row r="3513" spans="46:54" x14ac:dyDescent="0.25">
      <c r="AT3513" s="2" t="str">
        <f>IF($L3513="","",IFERROR(INDEX('AR SALES'!$H$2:$H$2501,MATCH(""&amp;$L3513,'AR SALES'!$AE$2:$AE$2501,0)),""))</f>
        <v/>
      </c>
      <c r="AU3513" s="2" t="str">
        <f t="shared" si="216"/>
        <v/>
      </c>
      <c r="AV3513" s="2" t="str">
        <f t="shared" si="217"/>
        <v/>
      </c>
      <c r="AW3513" s="2" t="str">
        <f t="shared" si="218"/>
        <v/>
      </c>
      <c r="AX3513" s="2" t="str">
        <f t="shared" si="219"/>
        <v/>
      </c>
      <c r="AY3513" s="2" t="str">
        <f>IF($AV3513="","",IF(AND($Z3513=0,COUNTIF('AR SALES'!$L$2:$L$2501,$L3513)=0),"YES",""))</f>
        <v/>
      </c>
      <c r="AZ3513" s="2" t="str">
        <f>IF($AV3513="","",IF(COUNTIF(LISTS!$C$2:$C$250,$AU3513)=0,"NEW",""))</f>
        <v/>
      </c>
      <c r="BA3513" s="2" t="str">
        <f>IF(""&amp;$F3513&lt;&gt;"4","",IF($AY3513="YES","",IF(ROUND(SUMIFS($AE$2:$AE$4001,$L$2:$L$4001,$L3513,$F$2:$F$4001,"4")-SUMIFS('AR SALES'!$Y$2:$Y$2501,'AR SALES'!$L$2:$L$2501,$L3513,'AR SALES'!$AD$2:$AD$2501,"OFF"),2)=0,"","STALE")))</f>
        <v/>
      </c>
      <c r="BB3513" s="2" t="str">
        <f>IF(OR(""&amp;$F3513="2",""&amp;$F3513="4",""&amp;$F3513="G",""&amp;$F3513="H"),IF($AY3513="YES","",IF($AB3513&lt;&gt;0,"",IF(COUNTIFS('AR SALES'!$L$2:$L$2501,$L3513,'AR SALES'!$AD$2:$AD$2501,IF(""&amp;$F3513="4","OFF","ON"),'AR SALES'!$AF$2:$AF$2501,"Y")&gt;0,"","NO EXEMPTION"))),"")</f>
        <v/>
      </c>
    </row>
    <row r="3514" spans="46:54" x14ac:dyDescent="0.25">
      <c r="AT3514" s="2" t="str">
        <f>IF($L3514="","",IFERROR(INDEX('AR SALES'!$H$2:$H$2501,MATCH(""&amp;$L3514,'AR SALES'!$AE$2:$AE$2501,0)),""))</f>
        <v/>
      </c>
      <c r="AU3514" s="2" t="str">
        <f t="shared" si="216"/>
        <v/>
      </c>
      <c r="AV3514" s="2" t="str">
        <f t="shared" si="217"/>
        <v/>
      </c>
      <c r="AW3514" s="2" t="str">
        <f t="shared" si="218"/>
        <v/>
      </c>
      <c r="AX3514" s="2" t="str">
        <f t="shared" si="219"/>
        <v/>
      </c>
      <c r="AY3514" s="2" t="str">
        <f>IF($AV3514="","",IF(AND($Z3514=0,COUNTIF('AR SALES'!$L$2:$L$2501,$L3514)=0),"YES",""))</f>
        <v/>
      </c>
      <c r="AZ3514" s="2" t="str">
        <f>IF($AV3514="","",IF(COUNTIF(LISTS!$C$2:$C$250,$AU3514)=0,"NEW",""))</f>
        <v/>
      </c>
      <c r="BA3514" s="2" t="str">
        <f>IF(""&amp;$F3514&lt;&gt;"4","",IF($AY3514="YES","",IF(ROUND(SUMIFS($AE$2:$AE$4001,$L$2:$L$4001,$L3514,$F$2:$F$4001,"4")-SUMIFS('AR SALES'!$Y$2:$Y$2501,'AR SALES'!$L$2:$L$2501,$L3514,'AR SALES'!$AD$2:$AD$2501,"OFF"),2)=0,"","STALE")))</f>
        <v/>
      </c>
      <c r="BB3514" s="2" t="str">
        <f>IF(OR(""&amp;$F3514="2",""&amp;$F3514="4",""&amp;$F3514="G",""&amp;$F3514="H"),IF($AY3514="YES","",IF($AB3514&lt;&gt;0,"",IF(COUNTIFS('AR SALES'!$L$2:$L$2501,$L3514,'AR SALES'!$AD$2:$AD$2501,IF(""&amp;$F3514="4","OFF","ON"),'AR SALES'!$AF$2:$AF$2501,"Y")&gt;0,"","NO EXEMPTION"))),"")</f>
        <v/>
      </c>
    </row>
    <row r="3515" spans="46:54" x14ac:dyDescent="0.25">
      <c r="AT3515" s="2" t="str">
        <f>IF($L3515="","",IFERROR(INDEX('AR SALES'!$H$2:$H$2501,MATCH(""&amp;$L3515,'AR SALES'!$AE$2:$AE$2501,0)),""))</f>
        <v/>
      </c>
      <c r="AU3515" s="2" t="str">
        <f t="shared" si="216"/>
        <v/>
      </c>
      <c r="AV3515" s="2" t="str">
        <f t="shared" si="217"/>
        <v/>
      </c>
      <c r="AW3515" s="2" t="str">
        <f t="shared" si="218"/>
        <v/>
      </c>
      <c r="AX3515" s="2" t="str">
        <f t="shared" si="219"/>
        <v/>
      </c>
      <c r="AY3515" s="2" t="str">
        <f>IF($AV3515="","",IF(AND($Z3515=0,COUNTIF('AR SALES'!$L$2:$L$2501,$L3515)=0),"YES",""))</f>
        <v/>
      </c>
      <c r="AZ3515" s="2" t="str">
        <f>IF($AV3515="","",IF(COUNTIF(LISTS!$C$2:$C$250,$AU3515)=0,"NEW",""))</f>
        <v/>
      </c>
      <c r="BA3515" s="2" t="str">
        <f>IF(""&amp;$F3515&lt;&gt;"4","",IF($AY3515="YES","",IF(ROUND(SUMIFS($AE$2:$AE$4001,$L$2:$L$4001,$L3515,$F$2:$F$4001,"4")-SUMIFS('AR SALES'!$Y$2:$Y$2501,'AR SALES'!$L$2:$L$2501,$L3515,'AR SALES'!$AD$2:$AD$2501,"OFF"),2)=0,"","STALE")))</f>
        <v/>
      </c>
      <c r="BB3515" s="2" t="str">
        <f>IF(OR(""&amp;$F3515="2",""&amp;$F3515="4",""&amp;$F3515="G",""&amp;$F3515="H"),IF($AY3515="YES","",IF($AB3515&lt;&gt;0,"",IF(COUNTIFS('AR SALES'!$L$2:$L$2501,$L3515,'AR SALES'!$AD$2:$AD$2501,IF(""&amp;$F3515="4","OFF","ON"),'AR SALES'!$AF$2:$AF$2501,"Y")&gt;0,"","NO EXEMPTION"))),"")</f>
        <v/>
      </c>
    </row>
    <row r="3516" spans="46:54" x14ac:dyDescent="0.25">
      <c r="AT3516" s="2" t="str">
        <f>IF($L3516="","",IFERROR(INDEX('AR SALES'!$H$2:$H$2501,MATCH(""&amp;$L3516,'AR SALES'!$AE$2:$AE$2501,0)),""))</f>
        <v/>
      </c>
      <c r="AU3516" s="2" t="str">
        <f t="shared" si="216"/>
        <v/>
      </c>
      <c r="AV3516" s="2" t="str">
        <f t="shared" si="217"/>
        <v/>
      </c>
      <c r="AW3516" s="2" t="str">
        <f t="shared" si="218"/>
        <v/>
      </c>
      <c r="AX3516" s="2" t="str">
        <f t="shared" si="219"/>
        <v/>
      </c>
      <c r="AY3516" s="2" t="str">
        <f>IF($AV3516="","",IF(AND($Z3516=0,COUNTIF('AR SALES'!$L$2:$L$2501,$L3516)=0),"YES",""))</f>
        <v/>
      </c>
      <c r="AZ3516" s="2" t="str">
        <f>IF($AV3516="","",IF(COUNTIF(LISTS!$C$2:$C$250,$AU3516)=0,"NEW",""))</f>
        <v/>
      </c>
      <c r="BA3516" s="2" t="str">
        <f>IF(""&amp;$F3516&lt;&gt;"4","",IF($AY3516="YES","",IF(ROUND(SUMIFS($AE$2:$AE$4001,$L$2:$L$4001,$L3516,$F$2:$F$4001,"4")-SUMIFS('AR SALES'!$Y$2:$Y$2501,'AR SALES'!$L$2:$L$2501,$L3516,'AR SALES'!$AD$2:$AD$2501,"OFF"),2)=0,"","STALE")))</f>
        <v/>
      </c>
      <c r="BB3516" s="2" t="str">
        <f>IF(OR(""&amp;$F3516="2",""&amp;$F3516="4",""&amp;$F3516="G",""&amp;$F3516="H"),IF($AY3516="YES","",IF($AB3516&lt;&gt;0,"",IF(COUNTIFS('AR SALES'!$L$2:$L$2501,$L3516,'AR SALES'!$AD$2:$AD$2501,IF(""&amp;$F3516="4","OFF","ON"),'AR SALES'!$AF$2:$AF$2501,"Y")&gt;0,"","NO EXEMPTION"))),"")</f>
        <v/>
      </c>
    </row>
    <row r="3517" spans="46:54" x14ac:dyDescent="0.25">
      <c r="AT3517" s="2" t="str">
        <f>IF($L3517="","",IFERROR(INDEX('AR SALES'!$H$2:$H$2501,MATCH(""&amp;$L3517,'AR SALES'!$AE$2:$AE$2501,0)),""))</f>
        <v/>
      </c>
      <c r="AU3517" s="2" t="str">
        <f t="shared" si="216"/>
        <v/>
      </c>
      <c r="AV3517" s="2" t="str">
        <f t="shared" si="217"/>
        <v/>
      </c>
      <c r="AW3517" s="2" t="str">
        <f t="shared" si="218"/>
        <v/>
      </c>
      <c r="AX3517" s="2" t="str">
        <f t="shared" si="219"/>
        <v/>
      </c>
      <c r="AY3517" s="2" t="str">
        <f>IF($AV3517="","",IF(AND($Z3517=0,COUNTIF('AR SALES'!$L$2:$L$2501,$L3517)=0),"YES",""))</f>
        <v/>
      </c>
      <c r="AZ3517" s="2" t="str">
        <f>IF($AV3517="","",IF(COUNTIF(LISTS!$C$2:$C$250,$AU3517)=0,"NEW",""))</f>
        <v/>
      </c>
      <c r="BA3517" s="2" t="str">
        <f>IF(""&amp;$F3517&lt;&gt;"4","",IF($AY3517="YES","",IF(ROUND(SUMIFS($AE$2:$AE$4001,$L$2:$L$4001,$L3517,$F$2:$F$4001,"4")-SUMIFS('AR SALES'!$Y$2:$Y$2501,'AR SALES'!$L$2:$L$2501,$L3517,'AR SALES'!$AD$2:$AD$2501,"OFF"),2)=0,"","STALE")))</f>
        <v/>
      </c>
      <c r="BB3517" s="2" t="str">
        <f>IF(OR(""&amp;$F3517="2",""&amp;$F3517="4",""&amp;$F3517="G",""&amp;$F3517="H"),IF($AY3517="YES","",IF($AB3517&lt;&gt;0,"",IF(COUNTIFS('AR SALES'!$L$2:$L$2501,$L3517,'AR SALES'!$AD$2:$AD$2501,IF(""&amp;$F3517="4","OFF","ON"),'AR SALES'!$AF$2:$AF$2501,"Y")&gt;0,"","NO EXEMPTION"))),"")</f>
        <v/>
      </c>
    </row>
    <row r="3518" spans="46:54" x14ac:dyDescent="0.25">
      <c r="AT3518" s="2" t="str">
        <f>IF($L3518="","",IFERROR(INDEX('AR SALES'!$H$2:$H$2501,MATCH(""&amp;$L3518,'AR SALES'!$AE$2:$AE$2501,0)),""))</f>
        <v/>
      </c>
      <c r="AU3518" s="2" t="str">
        <f t="shared" si="216"/>
        <v/>
      </c>
      <c r="AV3518" s="2" t="str">
        <f t="shared" si="217"/>
        <v/>
      </c>
      <c r="AW3518" s="2" t="str">
        <f t="shared" si="218"/>
        <v/>
      </c>
      <c r="AX3518" s="2" t="str">
        <f t="shared" si="219"/>
        <v/>
      </c>
      <c r="AY3518" s="2" t="str">
        <f>IF($AV3518="","",IF(AND($Z3518=0,COUNTIF('AR SALES'!$L$2:$L$2501,$L3518)=0),"YES",""))</f>
        <v/>
      </c>
      <c r="AZ3518" s="2" t="str">
        <f>IF($AV3518="","",IF(COUNTIF(LISTS!$C$2:$C$250,$AU3518)=0,"NEW",""))</f>
        <v/>
      </c>
      <c r="BA3518" s="2" t="str">
        <f>IF(""&amp;$F3518&lt;&gt;"4","",IF($AY3518="YES","",IF(ROUND(SUMIFS($AE$2:$AE$4001,$L$2:$L$4001,$L3518,$F$2:$F$4001,"4")-SUMIFS('AR SALES'!$Y$2:$Y$2501,'AR SALES'!$L$2:$L$2501,$L3518,'AR SALES'!$AD$2:$AD$2501,"OFF"),2)=0,"","STALE")))</f>
        <v/>
      </c>
      <c r="BB3518" s="2" t="str">
        <f>IF(OR(""&amp;$F3518="2",""&amp;$F3518="4",""&amp;$F3518="G",""&amp;$F3518="H"),IF($AY3518="YES","",IF($AB3518&lt;&gt;0,"",IF(COUNTIFS('AR SALES'!$L$2:$L$2501,$L3518,'AR SALES'!$AD$2:$AD$2501,IF(""&amp;$F3518="4","OFF","ON"),'AR SALES'!$AF$2:$AF$2501,"Y")&gt;0,"","NO EXEMPTION"))),"")</f>
        <v/>
      </c>
    </row>
    <row r="3519" spans="46:54" x14ac:dyDescent="0.25">
      <c r="AT3519" s="2" t="str">
        <f>IF($L3519="","",IFERROR(INDEX('AR SALES'!$H$2:$H$2501,MATCH(""&amp;$L3519,'AR SALES'!$AE$2:$AE$2501,0)),""))</f>
        <v/>
      </c>
      <c r="AU3519" s="2" t="str">
        <f t="shared" si="216"/>
        <v/>
      </c>
      <c r="AV3519" s="2" t="str">
        <f t="shared" si="217"/>
        <v/>
      </c>
      <c r="AW3519" s="2" t="str">
        <f t="shared" si="218"/>
        <v/>
      </c>
      <c r="AX3519" s="2" t="str">
        <f t="shared" si="219"/>
        <v/>
      </c>
      <c r="AY3519" s="2" t="str">
        <f>IF($AV3519="","",IF(AND($Z3519=0,COUNTIF('AR SALES'!$L$2:$L$2501,$L3519)=0),"YES",""))</f>
        <v/>
      </c>
      <c r="AZ3519" s="2" t="str">
        <f>IF($AV3519="","",IF(COUNTIF(LISTS!$C$2:$C$250,$AU3519)=0,"NEW",""))</f>
        <v/>
      </c>
      <c r="BA3519" s="2" t="str">
        <f>IF(""&amp;$F3519&lt;&gt;"4","",IF($AY3519="YES","",IF(ROUND(SUMIFS($AE$2:$AE$4001,$L$2:$L$4001,$L3519,$F$2:$F$4001,"4")-SUMIFS('AR SALES'!$Y$2:$Y$2501,'AR SALES'!$L$2:$L$2501,$L3519,'AR SALES'!$AD$2:$AD$2501,"OFF"),2)=0,"","STALE")))</f>
        <v/>
      </c>
      <c r="BB3519" s="2" t="str">
        <f>IF(OR(""&amp;$F3519="2",""&amp;$F3519="4",""&amp;$F3519="G",""&amp;$F3519="H"),IF($AY3519="YES","",IF($AB3519&lt;&gt;0,"",IF(COUNTIFS('AR SALES'!$L$2:$L$2501,$L3519,'AR SALES'!$AD$2:$AD$2501,IF(""&amp;$F3519="4","OFF","ON"),'AR SALES'!$AF$2:$AF$2501,"Y")&gt;0,"","NO EXEMPTION"))),"")</f>
        <v/>
      </c>
    </row>
    <row r="3520" spans="46:54" x14ac:dyDescent="0.25">
      <c r="AT3520" s="2" t="str">
        <f>IF($L3520="","",IFERROR(INDEX('AR SALES'!$H$2:$H$2501,MATCH(""&amp;$L3520,'AR SALES'!$AE$2:$AE$2501,0)),""))</f>
        <v/>
      </c>
      <c r="AU3520" s="2" t="str">
        <f t="shared" si="216"/>
        <v/>
      </c>
      <c r="AV3520" s="2" t="str">
        <f t="shared" si="217"/>
        <v/>
      </c>
      <c r="AW3520" s="2" t="str">
        <f t="shared" si="218"/>
        <v/>
      </c>
      <c r="AX3520" s="2" t="str">
        <f t="shared" si="219"/>
        <v/>
      </c>
      <c r="AY3520" s="2" t="str">
        <f>IF($AV3520="","",IF(AND($Z3520=0,COUNTIF('AR SALES'!$L$2:$L$2501,$L3520)=0),"YES",""))</f>
        <v/>
      </c>
      <c r="AZ3520" s="2" t="str">
        <f>IF($AV3520="","",IF(COUNTIF(LISTS!$C$2:$C$250,$AU3520)=0,"NEW",""))</f>
        <v/>
      </c>
      <c r="BA3520" s="2" t="str">
        <f>IF(""&amp;$F3520&lt;&gt;"4","",IF($AY3520="YES","",IF(ROUND(SUMIFS($AE$2:$AE$4001,$L$2:$L$4001,$L3520,$F$2:$F$4001,"4")-SUMIFS('AR SALES'!$Y$2:$Y$2501,'AR SALES'!$L$2:$L$2501,$L3520,'AR SALES'!$AD$2:$AD$2501,"OFF"),2)=0,"","STALE")))</f>
        <v/>
      </c>
      <c r="BB3520" s="2" t="str">
        <f>IF(OR(""&amp;$F3520="2",""&amp;$F3520="4",""&amp;$F3520="G",""&amp;$F3520="H"),IF($AY3520="YES","",IF($AB3520&lt;&gt;0,"",IF(COUNTIFS('AR SALES'!$L$2:$L$2501,$L3520,'AR SALES'!$AD$2:$AD$2501,IF(""&amp;$F3520="4","OFF","ON"),'AR SALES'!$AF$2:$AF$2501,"Y")&gt;0,"","NO EXEMPTION"))),"")</f>
        <v/>
      </c>
    </row>
    <row r="3521" spans="46:54" x14ac:dyDescent="0.25">
      <c r="AT3521" s="2" t="str">
        <f>IF($L3521="","",IFERROR(INDEX('AR SALES'!$H$2:$H$2501,MATCH(""&amp;$L3521,'AR SALES'!$AE$2:$AE$2501,0)),""))</f>
        <v/>
      </c>
      <c r="AU3521" s="2" t="str">
        <f t="shared" si="216"/>
        <v/>
      </c>
      <c r="AV3521" s="2" t="str">
        <f t="shared" si="217"/>
        <v/>
      </c>
      <c r="AW3521" s="2" t="str">
        <f t="shared" si="218"/>
        <v/>
      </c>
      <c r="AX3521" s="2" t="str">
        <f t="shared" si="219"/>
        <v/>
      </c>
      <c r="AY3521" s="2" t="str">
        <f>IF($AV3521="","",IF(AND($Z3521=0,COUNTIF('AR SALES'!$L$2:$L$2501,$L3521)=0),"YES",""))</f>
        <v/>
      </c>
      <c r="AZ3521" s="2" t="str">
        <f>IF($AV3521="","",IF(COUNTIF(LISTS!$C$2:$C$250,$AU3521)=0,"NEW",""))</f>
        <v/>
      </c>
      <c r="BA3521" s="2" t="str">
        <f>IF(""&amp;$F3521&lt;&gt;"4","",IF($AY3521="YES","",IF(ROUND(SUMIFS($AE$2:$AE$4001,$L$2:$L$4001,$L3521,$F$2:$F$4001,"4")-SUMIFS('AR SALES'!$Y$2:$Y$2501,'AR SALES'!$L$2:$L$2501,$L3521,'AR SALES'!$AD$2:$AD$2501,"OFF"),2)=0,"","STALE")))</f>
        <v/>
      </c>
      <c r="BB3521" s="2" t="str">
        <f>IF(OR(""&amp;$F3521="2",""&amp;$F3521="4",""&amp;$F3521="G",""&amp;$F3521="H"),IF($AY3521="YES","",IF($AB3521&lt;&gt;0,"",IF(COUNTIFS('AR SALES'!$L$2:$L$2501,$L3521,'AR SALES'!$AD$2:$AD$2501,IF(""&amp;$F3521="4","OFF","ON"),'AR SALES'!$AF$2:$AF$2501,"Y")&gt;0,"","NO EXEMPTION"))),"")</f>
        <v/>
      </c>
    </row>
    <row r="3522" spans="46:54" x14ac:dyDescent="0.25">
      <c r="AT3522" s="2" t="str">
        <f>IF($L3522="","",IFERROR(INDEX('AR SALES'!$H$2:$H$2501,MATCH(""&amp;$L3522,'AR SALES'!$AE$2:$AE$2501,0)),""))</f>
        <v/>
      </c>
      <c r="AU3522" s="2" t="str">
        <f t="shared" ref="AU3522:AU3585" si="220">IF($L3522="","",IF($A3522&lt;&gt;"GA","",IF($E3522="FULTON",IF(ISNUMBER(SEARCH("COLLEGE PARK",$AT3522)),"FULTON (COLLEGE PARK)",IF(ISNUMBER(SEARCH("ATLANTA CITY",$AT3522)),"FULTON (ATL LIMITS)","FULTON")),IF($E3522="DEKALB",IF(ISNUMBER(SEARCH("ATLANTA CITY",$AT3522)),"DEKALB (ATL LIMITS)","DEKALB"),$E3522))))</f>
        <v/>
      </c>
      <c r="AV3522" s="2" t="str">
        <f t="shared" ref="AV3522:AV3585" si="221">IF($L3522="","",IF(""&amp;$F3522="2","DIESEL",IF(OR(""&amp;$F3522="G",""&amp;$F3522="H"),"GAS","")))</f>
        <v/>
      </c>
      <c r="AW3522" s="2" t="str">
        <f t="shared" ref="AW3522:AW3585" si="222">IF($AV3522="","",$R3522)</f>
        <v/>
      </c>
      <c r="AX3522" s="2" t="str">
        <f t="shared" ref="AX3522:AX3585" si="223">IF($AV3522="","",IF($AB3522=0,$R3522,0))</f>
        <v/>
      </c>
      <c r="AY3522" s="2" t="str">
        <f>IF($AV3522="","",IF(AND($Z3522=0,COUNTIF('AR SALES'!$L$2:$L$2501,$L3522)=0),"YES",""))</f>
        <v/>
      </c>
      <c r="AZ3522" s="2" t="str">
        <f>IF($AV3522="","",IF(COUNTIF(LISTS!$C$2:$C$250,$AU3522)=0,"NEW",""))</f>
        <v/>
      </c>
      <c r="BA3522" s="2" t="str">
        <f>IF(""&amp;$F3522&lt;&gt;"4","",IF($AY3522="YES","",IF(ROUND(SUMIFS($AE$2:$AE$4001,$L$2:$L$4001,$L3522,$F$2:$F$4001,"4")-SUMIFS('AR SALES'!$Y$2:$Y$2501,'AR SALES'!$L$2:$L$2501,$L3522,'AR SALES'!$AD$2:$AD$2501,"OFF"),2)=0,"","STALE")))</f>
        <v/>
      </c>
      <c r="BB3522" s="2" t="str">
        <f>IF(OR(""&amp;$F3522="2",""&amp;$F3522="4",""&amp;$F3522="G",""&amp;$F3522="H"),IF($AY3522="YES","",IF($AB3522&lt;&gt;0,"",IF(COUNTIFS('AR SALES'!$L$2:$L$2501,$L3522,'AR SALES'!$AD$2:$AD$2501,IF(""&amp;$F3522="4","OFF","ON"),'AR SALES'!$AF$2:$AF$2501,"Y")&gt;0,"","NO EXEMPTION"))),"")</f>
        <v/>
      </c>
    </row>
    <row r="3523" spans="46:54" x14ac:dyDescent="0.25">
      <c r="AT3523" s="2" t="str">
        <f>IF($L3523="","",IFERROR(INDEX('AR SALES'!$H$2:$H$2501,MATCH(""&amp;$L3523,'AR SALES'!$AE$2:$AE$2501,0)),""))</f>
        <v/>
      </c>
      <c r="AU3523" s="2" t="str">
        <f t="shared" si="220"/>
        <v/>
      </c>
      <c r="AV3523" s="2" t="str">
        <f t="shared" si="221"/>
        <v/>
      </c>
      <c r="AW3523" s="2" t="str">
        <f t="shared" si="222"/>
        <v/>
      </c>
      <c r="AX3523" s="2" t="str">
        <f t="shared" si="223"/>
        <v/>
      </c>
      <c r="AY3523" s="2" t="str">
        <f>IF($AV3523="","",IF(AND($Z3523=0,COUNTIF('AR SALES'!$L$2:$L$2501,$L3523)=0),"YES",""))</f>
        <v/>
      </c>
      <c r="AZ3523" s="2" t="str">
        <f>IF($AV3523="","",IF(COUNTIF(LISTS!$C$2:$C$250,$AU3523)=0,"NEW",""))</f>
        <v/>
      </c>
      <c r="BA3523" s="2" t="str">
        <f>IF(""&amp;$F3523&lt;&gt;"4","",IF($AY3523="YES","",IF(ROUND(SUMIFS($AE$2:$AE$4001,$L$2:$L$4001,$L3523,$F$2:$F$4001,"4")-SUMIFS('AR SALES'!$Y$2:$Y$2501,'AR SALES'!$L$2:$L$2501,$L3523,'AR SALES'!$AD$2:$AD$2501,"OFF"),2)=0,"","STALE")))</f>
        <v/>
      </c>
      <c r="BB3523" s="2" t="str">
        <f>IF(OR(""&amp;$F3523="2",""&amp;$F3523="4",""&amp;$F3523="G",""&amp;$F3523="H"),IF($AY3523="YES","",IF($AB3523&lt;&gt;0,"",IF(COUNTIFS('AR SALES'!$L$2:$L$2501,$L3523,'AR SALES'!$AD$2:$AD$2501,IF(""&amp;$F3523="4","OFF","ON"),'AR SALES'!$AF$2:$AF$2501,"Y")&gt;0,"","NO EXEMPTION"))),"")</f>
        <v/>
      </c>
    </row>
    <row r="3524" spans="46:54" x14ac:dyDescent="0.25">
      <c r="AT3524" s="2" t="str">
        <f>IF($L3524="","",IFERROR(INDEX('AR SALES'!$H$2:$H$2501,MATCH(""&amp;$L3524,'AR SALES'!$AE$2:$AE$2501,0)),""))</f>
        <v/>
      </c>
      <c r="AU3524" s="2" t="str">
        <f t="shared" si="220"/>
        <v/>
      </c>
      <c r="AV3524" s="2" t="str">
        <f t="shared" si="221"/>
        <v/>
      </c>
      <c r="AW3524" s="2" t="str">
        <f t="shared" si="222"/>
        <v/>
      </c>
      <c r="AX3524" s="2" t="str">
        <f t="shared" si="223"/>
        <v/>
      </c>
      <c r="AY3524" s="2" t="str">
        <f>IF($AV3524="","",IF(AND($Z3524=0,COUNTIF('AR SALES'!$L$2:$L$2501,$L3524)=0),"YES",""))</f>
        <v/>
      </c>
      <c r="AZ3524" s="2" t="str">
        <f>IF($AV3524="","",IF(COUNTIF(LISTS!$C$2:$C$250,$AU3524)=0,"NEW",""))</f>
        <v/>
      </c>
      <c r="BA3524" s="2" t="str">
        <f>IF(""&amp;$F3524&lt;&gt;"4","",IF($AY3524="YES","",IF(ROUND(SUMIFS($AE$2:$AE$4001,$L$2:$L$4001,$L3524,$F$2:$F$4001,"4")-SUMIFS('AR SALES'!$Y$2:$Y$2501,'AR SALES'!$L$2:$L$2501,$L3524,'AR SALES'!$AD$2:$AD$2501,"OFF"),2)=0,"","STALE")))</f>
        <v/>
      </c>
      <c r="BB3524" s="2" t="str">
        <f>IF(OR(""&amp;$F3524="2",""&amp;$F3524="4",""&amp;$F3524="G",""&amp;$F3524="H"),IF($AY3524="YES","",IF($AB3524&lt;&gt;0,"",IF(COUNTIFS('AR SALES'!$L$2:$L$2501,$L3524,'AR SALES'!$AD$2:$AD$2501,IF(""&amp;$F3524="4","OFF","ON"),'AR SALES'!$AF$2:$AF$2501,"Y")&gt;0,"","NO EXEMPTION"))),"")</f>
        <v/>
      </c>
    </row>
    <row r="3525" spans="46:54" x14ac:dyDescent="0.25">
      <c r="AT3525" s="2" t="str">
        <f>IF($L3525="","",IFERROR(INDEX('AR SALES'!$H$2:$H$2501,MATCH(""&amp;$L3525,'AR SALES'!$AE$2:$AE$2501,0)),""))</f>
        <v/>
      </c>
      <c r="AU3525" s="2" t="str">
        <f t="shared" si="220"/>
        <v/>
      </c>
      <c r="AV3525" s="2" t="str">
        <f t="shared" si="221"/>
        <v/>
      </c>
      <c r="AW3525" s="2" t="str">
        <f t="shared" si="222"/>
        <v/>
      </c>
      <c r="AX3525" s="2" t="str">
        <f t="shared" si="223"/>
        <v/>
      </c>
      <c r="AY3525" s="2" t="str">
        <f>IF($AV3525="","",IF(AND($Z3525=0,COUNTIF('AR SALES'!$L$2:$L$2501,$L3525)=0),"YES",""))</f>
        <v/>
      </c>
      <c r="AZ3525" s="2" t="str">
        <f>IF($AV3525="","",IF(COUNTIF(LISTS!$C$2:$C$250,$AU3525)=0,"NEW",""))</f>
        <v/>
      </c>
      <c r="BA3525" s="2" t="str">
        <f>IF(""&amp;$F3525&lt;&gt;"4","",IF($AY3525="YES","",IF(ROUND(SUMIFS($AE$2:$AE$4001,$L$2:$L$4001,$L3525,$F$2:$F$4001,"4")-SUMIFS('AR SALES'!$Y$2:$Y$2501,'AR SALES'!$L$2:$L$2501,$L3525,'AR SALES'!$AD$2:$AD$2501,"OFF"),2)=0,"","STALE")))</f>
        <v/>
      </c>
      <c r="BB3525" s="2" t="str">
        <f>IF(OR(""&amp;$F3525="2",""&amp;$F3525="4",""&amp;$F3525="G",""&amp;$F3525="H"),IF($AY3525="YES","",IF($AB3525&lt;&gt;0,"",IF(COUNTIFS('AR SALES'!$L$2:$L$2501,$L3525,'AR SALES'!$AD$2:$AD$2501,IF(""&amp;$F3525="4","OFF","ON"),'AR SALES'!$AF$2:$AF$2501,"Y")&gt;0,"","NO EXEMPTION"))),"")</f>
        <v/>
      </c>
    </row>
    <row r="3526" spans="46:54" x14ac:dyDescent="0.25">
      <c r="AT3526" s="2" t="str">
        <f>IF($L3526="","",IFERROR(INDEX('AR SALES'!$H$2:$H$2501,MATCH(""&amp;$L3526,'AR SALES'!$AE$2:$AE$2501,0)),""))</f>
        <v/>
      </c>
      <c r="AU3526" s="2" t="str">
        <f t="shared" si="220"/>
        <v/>
      </c>
      <c r="AV3526" s="2" t="str">
        <f t="shared" si="221"/>
        <v/>
      </c>
      <c r="AW3526" s="2" t="str">
        <f t="shared" si="222"/>
        <v/>
      </c>
      <c r="AX3526" s="2" t="str">
        <f t="shared" si="223"/>
        <v/>
      </c>
      <c r="AY3526" s="2" t="str">
        <f>IF($AV3526="","",IF(AND($Z3526=0,COUNTIF('AR SALES'!$L$2:$L$2501,$L3526)=0),"YES",""))</f>
        <v/>
      </c>
      <c r="AZ3526" s="2" t="str">
        <f>IF($AV3526="","",IF(COUNTIF(LISTS!$C$2:$C$250,$AU3526)=0,"NEW",""))</f>
        <v/>
      </c>
      <c r="BA3526" s="2" t="str">
        <f>IF(""&amp;$F3526&lt;&gt;"4","",IF($AY3526="YES","",IF(ROUND(SUMIFS($AE$2:$AE$4001,$L$2:$L$4001,$L3526,$F$2:$F$4001,"4")-SUMIFS('AR SALES'!$Y$2:$Y$2501,'AR SALES'!$L$2:$L$2501,$L3526,'AR SALES'!$AD$2:$AD$2501,"OFF"),2)=0,"","STALE")))</f>
        <v/>
      </c>
      <c r="BB3526" s="2" t="str">
        <f>IF(OR(""&amp;$F3526="2",""&amp;$F3526="4",""&amp;$F3526="G",""&amp;$F3526="H"),IF($AY3526="YES","",IF($AB3526&lt;&gt;0,"",IF(COUNTIFS('AR SALES'!$L$2:$L$2501,$L3526,'AR SALES'!$AD$2:$AD$2501,IF(""&amp;$F3526="4","OFF","ON"),'AR SALES'!$AF$2:$AF$2501,"Y")&gt;0,"","NO EXEMPTION"))),"")</f>
        <v/>
      </c>
    </row>
    <row r="3527" spans="46:54" x14ac:dyDescent="0.25">
      <c r="AT3527" s="2" t="str">
        <f>IF($L3527="","",IFERROR(INDEX('AR SALES'!$H$2:$H$2501,MATCH(""&amp;$L3527,'AR SALES'!$AE$2:$AE$2501,0)),""))</f>
        <v/>
      </c>
      <c r="AU3527" s="2" t="str">
        <f t="shared" si="220"/>
        <v/>
      </c>
      <c r="AV3527" s="2" t="str">
        <f t="shared" si="221"/>
        <v/>
      </c>
      <c r="AW3527" s="2" t="str">
        <f t="shared" si="222"/>
        <v/>
      </c>
      <c r="AX3527" s="2" t="str">
        <f t="shared" si="223"/>
        <v/>
      </c>
      <c r="AY3527" s="2" t="str">
        <f>IF($AV3527="","",IF(AND($Z3527=0,COUNTIF('AR SALES'!$L$2:$L$2501,$L3527)=0),"YES",""))</f>
        <v/>
      </c>
      <c r="AZ3527" s="2" t="str">
        <f>IF($AV3527="","",IF(COUNTIF(LISTS!$C$2:$C$250,$AU3527)=0,"NEW",""))</f>
        <v/>
      </c>
      <c r="BA3527" s="2" t="str">
        <f>IF(""&amp;$F3527&lt;&gt;"4","",IF($AY3527="YES","",IF(ROUND(SUMIFS($AE$2:$AE$4001,$L$2:$L$4001,$L3527,$F$2:$F$4001,"4")-SUMIFS('AR SALES'!$Y$2:$Y$2501,'AR SALES'!$L$2:$L$2501,$L3527,'AR SALES'!$AD$2:$AD$2501,"OFF"),2)=0,"","STALE")))</f>
        <v/>
      </c>
      <c r="BB3527" s="2" t="str">
        <f>IF(OR(""&amp;$F3527="2",""&amp;$F3527="4",""&amp;$F3527="G",""&amp;$F3527="H"),IF($AY3527="YES","",IF($AB3527&lt;&gt;0,"",IF(COUNTIFS('AR SALES'!$L$2:$L$2501,$L3527,'AR SALES'!$AD$2:$AD$2501,IF(""&amp;$F3527="4","OFF","ON"),'AR SALES'!$AF$2:$AF$2501,"Y")&gt;0,"","NO EXEMPTION"))),"")</f>
        <v/>
      </c>
    </row>
    <row r="3528" spans="46:54" x14ac:dyDescent="0.25">
      <c r="AT3528" s="2" t="str">
        <f>IF($L3528="","",IFERROR(INDEX('AR SALES'!$H$2:$H$2501,MATCH(""&amp;$L3528,'AR SALES'!$AE$2:$AE$2501,0)),""))</f>
        <v/>
      </c>
      <c r="AU3528" s="2" t="str">
        <f t="shared" si="220"/>
        <v/>
      </c>
      <c r="AV3528" s="2" t="str">
        <f t="shared" si="221"/>
        <v/>
      </c>
      <c r="AW3528" s="2" t="str">
        <f t="shared" si="222"/>
        <v/>
      </c>
      <c r="AX3528" s="2" t="str">
        <f t="shared" si="223"/>
        <v/>
      </c>
      <c r="AY3528" s="2" t="str">
        <f>IF($AV3528="","",IF(AND($Z3528=0,COUNTIF('AR SALES'!$L$2:$L$2501,$L3528)=0),"YES",""))</f>
        <v/>
      </c>
      <c r="AZ3528" s="2" t="str">
        <f>IF($AV3528="","",IF(COUNTIF(LISTS!$C$2:$C$250,$AU3528)=0,"NEW",""))</f>
        <v/>
      </c>
      <c r="BA3528" s="2" t="str">
        <f>IF(""&amp;$F3528&lt;&gt;"4","",IF($AY3528="YES","",IF(ROUND(SUMIFS($AE$2:$AE$4001,$L$2:$L$4001,$L3528,$F$2:$F$4001,"4")-SUMIFS('AR SALES'!$Y$2:$Y$2501,'AR SALES'!$L$2:$L$2501,$L3528,'AR SALES'!$AD$2:$AD$2501,"OFF"),2)=0,"","STALE")))</f>
        <v/>
      </c>
      <c r="BB3528" s="2" t="str">
        <f>IF(OR(""&amp;$F3528="2",""&amp;$F3528="4",""&amp;$F3528="G",""&amp;$F3528="H"),IF($AY3528="YES","",IF($AB3528&lt;&gt;0,"",IF(COUNTIFS('AR SALES'!$L$2:$L$2501,$L3528,'AR SALES'!$AD$2:$AD$2501,IF(""&amp;$F3528="4","OFF","ON"),'AR SALES'!$AF$2:$AF$2501,"Y")&gt;0,"","NO EXEMPTION"))),"")</f>
        <v/>
      </c>
    </row>
    <row r="3529" spans="46:54" x14ac:dyDescent="0.25">
      <c r="AT3529" s="2" t="str">
        <f>IF($L3529="","",IFERROR(INDEX('AR SALES'!$H$2:$H$2501,MATCH(""&amp;$L3529,'AR SALES'!$AE$2:$AE$2501,0)),""))</f>
        <v/>
      </c>
      <c r="AU3529" s="2" t="str">
        <f t="shared" si="220"/>
        <v/>
      </c>
      <c r="AV3529" s="2" t="str">
        <f t="shared" si="221"/>
        <v/>
      </c>
      <c r="AW3529" s="2" t="str">
        <f t="shared" si="222"/>
        <v/>
      </c>
      <c r="AX3529" s="2" t="str">
        <f t="shared" si="223"/>
        <v/>
      </c>
      <c r="AY3529" s="2" t="str">
        <f>IF($AV3529="","",IF(AND($Z3529=0,COUNTIF('AR SALES'!$L$2:$L$2501,$L3529)=0),"YES",""))</f>
        <v/>
      </c>
      <c r="AZ3529" s="2" t="str">
        <f>IF($AV3529="","",IF(COUNTIF(LISTS!$C$2:$C$250,$AU3529)=0,"NEW",""))</f>
        <v/>
      </c>
      <c r="BA3529" s="2" t="str">
        <f>IF(""&amp;$F3529&lt;&gt;"4","",IF($AY3529="YES","",IF(ROUND(SUMIFS($AE$2:$AE$4001,$L$2:$L$4001,$L3529,$F$2:$F$4001,"4")-SUMIFS('AR SALES'!$Y$2:$Y$2501,'AR SALES'!$L$2:$L$2501,$L3529,'AR SALES'!$AD$2:$AD$2501,"OFF"),2)=0,"","STALE")))</f>
        <v/>
      </c>
      <c r="BB3529" s="2" t="str">
        <f>IF(OR(""&amp;$F3529="2",""&amp;$F3529="4",""&amp;$F3529="G",""&amp;$F3529="H"),IF($AY3529="YES","",IF($AB3529&lt;&gt;0,"",IF(COUNTIFS('AR SALES'!$L$2:$L$2501,$L3529,'AR SALES'!$AD$2:$AD$2501,IF(""&amp;$F3529="4","OFF","ON"),'AR SALES'!$AF$2:$AF$2501,"Y")&gt;0,"","NO EXEMPTION"))),"")</f>
        <v/>
      </c>
    </row>
    <row r="3530" spans="46:54" x14ac:dyDescent="0.25">
      <c r="AT3530" s="2" t="str">
        <f>IF($L3530="","",IFERROR(INDEX('AR SALES'!$H$2:$H$2501,MATCH(""&amp;$L3530,'AR SALES'!$AE$2:$AE$2501,0)),""))</f>
        <v/>
      </c>
      <c r="AU3530" s="2" t="str">
        <f t="shared" si="220"/>
        <v/>
      </c>
      <c r="AV3530" s="2" t="str">
        <f t="shared" si="221"/>
        <v/>
      </c>
      <c r="AW3530" s="2" t="str">
        <f t="shared" si="222"/>
        <v/>
      </c>
      <c r="AX3530" s="2" t="str">
        <f t="shared" si="223"/>
        <v/>
      </c>
      <c r="AY3530" s="2" t="str">
        <f>IF($AV3530="","",IF(AND($Z3530=0,COUNTIF('AR SALES'!$L$2:$L$2501,$L3530)=0),"YES",""))</f>
        <v/>
      </c>
      <c r="AZ3530" s="2" t="str">
        <f>IF($AV3530="","",IF(COUNTIF(LISTS!$C$2:$C$250,$AU3530)=0,"NEW",""))</f>
        <v/>
      </c>
      <c r="BA3530" s="2" t="str">
        <f>IF(""&amp;$F3530&lt;&gt;"4","",IF($AY3530="YES","",IF(ROUND(SUMIFS($AE$2:$AE$4001,$L$2:$L$4001,$L3530,$F$2:$F$4001,"4")-SUMIFS('AR SALES'!$Y$2:$Y$2501,'AR SALES'!$L$2:$L$2501,$L3530,'AR SALES'!$AD$2:$AD$2501,"OFF"),2)=0,"","STALE")))</f>
        <v/>
      </c>
      <c r="BB3530" s="2" t="str">
        <f>IF(OR(""&amp;$F3530="2",""&amp;$F3530="4",""&amp;$F3530="G",""&amp;$F3530="H"),IF($AY3530="YES","",IF($AB3530&lt;&gt;0,"",IF(COUNTIFS('AR SALES'!$L$2:$L$2501,$L3530,'AR SALES'!$AD$2:$AD$2501,IF(""&amp;$F3530="4","OFF","ON"),'AR SALES'!$AF$2:$AF$2501,"Y")&gt;0,"","NO EXEMPTION"))),"")</f>
        <v/>
      </c>
    </row>
    <row r="3531" spans="46:54" x14ac:dyDescent="0.25">
      <c r="AT3531" s="2" t="str">
        <f>IF($L3531="","",IFERROR(INDEX('AR SALES'!$H$2:$H$2501,MATCH(""&amp;$L3531,'AR SALES'!$AE$2:$AE$2501,0)),""))</f>
        <v/>
      </c>
      <c r="AU3531" s="2" t="str">
        <f t="shared" si="220"/>
        <v/>
      </c>
      <c r="AV3531" s="2" t="str">
        <f t="shared" si="221"/>
        <v/>
      </c>
      <c r="AW3531" s="2" t="str">
        <f t="shared" si="222"/>
        <v/>
      </c>
      <c r="AX3531" s="2" t="str">
        <f t="shared" si="223"/>
        <v/>
      </c>
      <c r="AY3531" s="2" t="str">
        <f>IF($AV3531="","",IF(AND($Z3531=0,COUNTIF('AR SALES'!$L$2:$L$2501,$L3531)=0),"YES",""))</f>
        <v/>
      </c>
      <c r="AZ3531" s="2" t="str">
        <f>IF($AV3531="","",IF(COUNTIF(LISTS!$C$2:$C$250,$AU3531)=0,"NEW",""))</f>
        <v/>
      </c>
      <c r="BA3531" s="2" t="str">
        <f>IF(""&amp;$F3531&lt;&gt;"4","",IF($AY3531="YES","",IF(ROUND(SUMIFS($AE$2:$AE$4001,$L$2:$L$4001,$L3531,$F$2:$F$4001,"4")-SUMIFS('AR SALES'!$Y$2:$Y$2501,'AR SALES'!$L$2:$L$2501,$L3531,'AR SALES'!$AD$2:$AD$2501,"OFF"),2)=0,"","STALE")))</f>
        <v/>
      </c>
      <c r="BB3531" s="2" t="str">
        <f>IF(OR(""&amp;$F3531="2",""&amp;$F3531="4",""&amp;$F3531="G",""&amp;$F3531="H"),IF($AY3531="YES","",IF($AB3531&lt;&gt;0,"",IF(COUNTIFS('AR SALES'!$L$2:$L$2501,$L3531,'AR SALES'!$AD$2:$AD$2501,IF(""&amp;$F3531="4","OFF","ON"),'AR SALES'!$AF$2:$AF$2501,"Y")&gt;0,"","NO EXEMPTION"))),"")</f>
        <v/>
      </c>
    </row>
    <row r="3532" spans="46:54" x14ac:dyDescent="0.25">
      <c r="AT3532" s="2" t="str">
        <f>IF($L3532="","",IFERROR(INDEX('AR SALES'!$H$2:$H$2501,MATCH(""&amp;$L3532,'AR SALES'!$AE$2:$AE$2501,0)),""))</f>
        <v/>
      </c>
      <c r="AU3532" s="2" t="str">
        <f t="shared" si="220"/>
        <v/>
      </c>
      <c r="AV3532" s="2" t="str">
        <f t="shared" si="221"/>
        <v/>
      </c>
      <c r="AW3532" s="2" t="str">
        <f t="shared" si="222"/>
        <v/>
      </c>
      <c r="AX3532" s="2" t="str">
        <f t="shared" si="223"/>
        <v/>
      </c>
      <c r="AY3532" s="2" t="str">
        <f>IF($AV3532="","",IF(AND($Z3532=0,COUNTIF('AR SALES'!$L$2:$L$2501,$L3532)=0),"YES",""))</f>
        <v/>
      </c>
      <c r="AZ3532" s="2" t="str">
        <f>IF($AV3532="","",IF(COUNTIF(LISTS!$C$2:$C$250,$AU3532)=0,"NEW",""))</f>
        <v/>
      </c>
      <c r="BA3532" s="2" t="str">
        <f>IF(""&amp;$F3532&lt;&gt;"4","",IF($AY3532="YES","",IF(ROUND(SUMIFS($AE$2:$AE$4001,$L$2:$L$4001,$L3532,$F$2:$F$4001,"4")-SUMIFS('AR SALES'!$Y$2:$Y$2501,'AR SALES'!$L$2:$L$2501,$L3532,'AR SALES'!$AD$2:$AD$2501,"OFF"),2)=0,"","STALE")))</f>
        <v/>
      </c>
      <c r="BB3532" s="2" t="str">
        <f>IF(OR(""&amp;$F3532="2",""&amp;$F3532="4",""&amp;$F3532="G",""&amp;$F3532="H"),IF($AY3532="YES","",IF($AB3532&lt;&gt;0,"",IF(COUNTIFS('AR SALES'!$L$2:$L$2501,$L3532,'AR SALES'!$AD$2:$AD$2501,IF(""&amp;$F3532="4","OFF","ON"),'AR SALES'!$AF$2:$AF$2501,"Y")&gt;0,"","NO EXEMPTION"))),"")</f>
        <v/>
      </c>
    </row>
    <row r="3533" spans="46:54" x14ac:dyDescent="0.25">
      <c r="AT3533" s="2" t="str">
        <f>IF($L3533="","",IFERROR(INDEX('AR SALES'!$H$2:$H$2501,MATCH(""&amp;$L3533,'AR SALES'!$AE$2:$AE$2501,0)),""))</f>
        <v/>
      </c>
      <c r="AU3533" s="2" t="str">
        <f t="shared" si="220"/>
        <v/>
      </c>
      <c r="AV3533" s="2" t="str">
        <f t="shared" si="221"/>
        <v/>
      </c>
      <c r="AW3533" s="2" t="str">
        <f t="shared" si="222"/>
        <v/>
      </c>
      <c r="AX3533" s="2" t="str">
        <f t="shared" si="223"/>
        <v/>
      </c>
      <c r="AY3533" s="2" t="str">
        <f>IF($AV3533="","",IF(AND($Z3533=0,COUNTIF('AR SALES'!$L$2:$L$2501,$L3533)=0),"YES",""))</f>
        <v/>
      </c>
      <c r="AZ3533" s="2" t="str">
        <f>IF($AV3533="","",IF(COUNTIF(LISTS!$C$2:$C$250,$AU3533)=0,"NEW",""))</f>
        <v/>
      </c>
      <c r="BA3533" s="2" t="str">
        <f>IF(""&amp;$F3533&lt;&gt;"4","",IF($AY3533="YES","",IF(ROUND(SUMIFS($AE$2:$AE$4001,$L$2:$L$4001,$L3533,$F$2:$F$4001,"4")-SUMIFS('AR SALES'!$Y$2:$Y$2501,'AR SALES'!$L$2:$L$2501,$L3533,'AR SALES'!$AD$2:$AD$2501,"OFF"),2)=0,"","STALE")))</f>
        <v/>
      </c>
      <c r="BB3533" s="2" t="str">
        <f>IF(OR(""&amp;$F3533="2",""&amp;$F3533="4",""&amp;$F3533="G",""&amp;$F3533="H"),IF($AY3533="YES","",IF($AB3533&lt;&gt;0,"",IF(COUNTIFS('AR SALES'!$L$2:$L$2501,$L3533,'AR SALES'!$AD$2:$AD$2501,IF(""&amp;$F3533="4","OFF","ON"),'AR SALES'!$AF$2:$AF$2501,"Y")&gt;0,"","NO EXEMPTION"))),"")</f>
        <v/>
      </c>
    </row>
    <row r="3534" spans="46:54" x14ac:dyDescent="0.25">
      <c r="AT3534" s="2" t="str">
        <f>IF($L3534="","",IFERROR(INDEX('AR SALES'!$H$2:$H$2501,MATCH(""&amp;$L3534,'AR SALES'!$AE$2:$AE$2501,0)),""))</f>
        <v/>
      </c>
      <c r="AU3534" s="2" t="str">
        <f t="shared" si="220"/>
        <v/>
      </c>
      <c r="AV3534" s="2" t="str">
        <f t="shared" si="221"/>
        <v/>
      </c>
      <c r="AW3534" s="2" t="str">
        <f t="shared" si="222"/>
        <v/>
      </c>
      <c r="AX3534" s="2" t="str">
        <f t="shared" si="223"/>
        <v/>
      </c>
      <c r="AY3534" s="2" t="str">
        <f>IF($AV3534="","",IF(AND($Z3534=0,COUNTIF('AR SALES'!$L$2:$L$2501,$L3534)=0),"YES",""))</f>
        <v/>
      </c>
      <c r="AZ3534" s="2" t="str">
        <f>IF($AV3534="","",IF(COUNTIF(LISTS!$C$2:$C$250,$AU3534)=0,"NEW",""))</f>
        <v/>
      </c>
      <c r="BA3534" s="2" t="str">
        <f>IF(""&amp;$F3534&lt;&gt;"4","",IF($AY3534="YES","",IF(ROUND(SUMIFS($AE$2:$AE$4001,$L$2:$L$4001,$L3534,$F$2:$F$4001,"4")-SUMIFS('AR SALES'!$Y$2:$Y$2501,'AR SALES'!$L$2:$L$2501,$L3534,'AR SALES'!$AD$2:$AD$2501,"OFF"),2)=0,"","STALE")))</f>
        <v/>
      </c>
      <c r="BB3534" s="2" t="str">
        <f>IF(OR(""&amp;$F3534="2",""&amp;$F3534="4",""&amp;$F3534="G",""&amp;$F3534="H"),IF($AY3534="YES","",IF($AB3534&lt;&gt;0,"",IF(COUNTIFS('AR SALES'!$L$2:$L$2501,$L3534,'AR SALES'!$AD$2:$AD$2501,IF(""&amp;$F3534="4","OFF","ON"),'AR SALES'!$AF$2:$AF$2501,"Y")&gt;0,"","NO EXEMPTION"))),"")</f>
        <v/>
      </c>
    </row>
    <row r="3535" spans="46:54" x14ac:dyDescent="0.25">
      <c r="AT3535" s="2" t="str">
        <f>IF($L3535="","",IFERROR(INDEX('AR SALES'!$H$2:$H$2501,MATCH(""&amp;$L3535,'AR SALES'!$AE$2:$AE$2501,0)),""))</f>
        <v/>
      </c>
      <c r="AU3535" s="2" t="str">
        <f t="shared" si="220"/>
        <v/>
      </c>
      <c r="AV3535" s="2" t="str">
        <f t="shared" si="221"/>
        <v/>
      </c>
      <c r="AW3535" s="2" t="str">
        <f t="shared" si="222"/>
        <v/>
      </c>
      <c r="AX3535" s="2" t="str">
        <f t="shared" si="223"/>
        <v/>
      </c>
      <c r="AY3535" s="2" t="str">
        <f>IF($AV3535="","",IF(AND($Z3535=0,COUNTIF('AR SALES'!$L$2:$L$2501,$L3535)=0),"YES",""))</f>
        <v/>
      </c>
      <c r="AZ3535" s="2" t="str">
        <f>IF($AV3535="","",IF(COUNTIF(LISTS!$C$2:$C$250,$AU3535)=0,"NEW",""))</f>
        <v/>
      </c>
      <c r="BA3535" s="2" t="str">
        <f>IF(""&amp;$F3535&lt;&gt;"4","",IF($AY3535="YES","",IF(ROUND(SUMIFS($AE$2:$AE$4001,$L$2:$L$4001,$L3535,$F$2:$F$4001,"4")-SUMIFS('AR SALES'!$Y$2:$Y$2501,'AR SALES'!$L$2:$L$2501,$L3535,'AR SALES'!$AD$2:$AD$2501,"OFF"),2)=0,"","STALE")))</f>
        <v/>
      </c>
      <c r="BB3535" s="2" t="str">
        <f>IF(OR(""&amp;$F3535="2",""&amp;$F3535="4",""&amp;$F3535="G",""&amp;$F3535="H"),IF($AY3535="YES","",IF($AB3535&lt;&gt;0,"",IF(COUNTIFS('AR SALES'!$L$2:$L$2501,$L3535,'AR SALES'!$AD$2:$AD$2501,IF(""&amp;$F3535="4","OFF","ON"),'AR SALES'!$AF$2:$AF$2501,"Y")&gt;0,"","NO EXEMPTION"))),"")</f>
        <v/>
      </c>
    </row>
    <row r="3536" spans="46:54" x14ac:dyDescent="0.25">
      <c r="AT3536" s="2" t="str">
        <f>IF($L3536="","",IFERROR(INDEX('AR SALES'!$H$2:$H$2501,MATCH(""&amp;$L3536,'AR SALES'!$AE$2:$AE$2501,0)),""))</f>
        <v/>
      </c>
      <c r="AU3536" s="2" t="str">
        <f t="shared" si="220"/>
        <v/>
      </c>
      <c r="AV3536" s="2" t="str">
        <f t="shared" si="221"/>
        <v/>
      </c>
      <c r="AW3536" s="2" t="str">
        <f t="shared" si="222"/>
        <v/>
      </c>
      <c r="AX3536" s="2" t="str">
        <f t="shared" si="223"/>
        <v/>
      </c>
      <c r="AY3536" s="2" t="str">
        <f>IF($AV3536="","",IF(AND($Z3536=0,COUNTIF('AR SALES'!$L$2:$L$2501,$L3536)=0),"YES",""))</f>
        <v/>
      </c>
      <c r="AZ3536" s="2" t="str">
        <f>IF($AV3536="","",IF(COUNTIF(LISTS!$C$2:$C$250,$AU3536)=0,"NEW",""))</f>
        <v/>
      </c>
      <c r="BA3536" s="2" t="str">
        <f>IF(""&amp;$F3536&lt;&gt;"4","",IF($AY3536="YES","",IF(ROUND(SUMIFS($AE$2:$AE$4001,$L$2:$L$4001,$L3536,$F$2:$F$4001,"4")-SUMIFS('AR SALES'!$Y$2:$Y$2501,'AR SALES'!$L$2:$L$2501,$L3536,'AR SALES'!$AD$2:$AD$2501,"OFF"),2)=0,"","STALE")))</f>
        <v/>
      </c>
      <c r="BB3536" s="2" t="str">
        <f>IF(OR(""&amp;$F3536="2",""&amp;$F3536="4",""&amp;$F3536="G",""&amp;$F3536="H"),IF($AY3536="YES","",IF($AB3536&lt;&gt;0,"",IF(COUNTIFS('AR SALES'!$L$2:$L$2501,$L3536,'AR SALES'!$AD$2:$AD$2501,IF(""&amp;$F3536="4","OFF","ON"),'AR SALES'!$AF$2:$AF$2501,"Y")&gt;0,"","NO EXEMPTION"))),"")</f>
        <v/>
      </c>
    </row>
    <row r="3537" spans="46:54" x14ac:dyDescent="0.25">
      <c r="AT3537" s="2" t="str">
        <f>IF($L3537="","",IFERROR(INDEX('AR SALES'!$H$2:$H$2501,MATCH(""&amp;$L3537,'AR SALES'!$AE$2:$AE$2501,0)),""))</f>
        <v/>
      </c>
      <c r="AU3537" s="2" t="str">
        <f t="shared" si="220"/>
        <v/>
      </c>
      <c r="AV3537" s="2" t="str">
        <f t="shared" si="221"/>
        <v/>
      </c>
      <c r="AW3537" s="2" t="str">
        <f t="shared" si="222"/>
        <v/>
      </c>
      <c r="AX3537" s="2" t="str">
        <f t="shared" si="223"/>
        <v/>
      </c>
      <c r="AY3537" s="2" t="str">
        <f>IF($AV3537="","",IF(AND($Z3537=0,COUNTIF('AR SALES'!$L$2:$L$2501,$L3537)=0),"YES",""))</f>
        <v/>
      </c>
      <c r="AZ3537" s="2" t="str">
        <f>IF($AV3537="","",IF(COUNTIF(LISTS!$C$2:$C$250,$AU3537)=0,"NEW",""))</f>
        <v/>
      </c>
      <c r="BA3537" s="2" t="str">
        <f>IF(""&amp;$F3537&lt;&gt;"4","",IF($AY3537="YES","",IF(ROUND(SUMIFS($AE$2:$AE$4001,$L$2:$L$4001,$L3537,$F$2:$F$4001,"4")-SUMIFS('AR SALES'!$Y$2:$Y$2501,'AR SALES'!$L$2:$L$2501,$L3537,'AR SALES'!$AD$2:$AD$2501,"OFF"),2)=0,"","STALE")))</f>
        <v/>
      </c>
      <c r="BB3537" s="2" t="str">
        <f>IF(OR(""&amp;$F3537="2",""&amp;$F3537="4",""&amp;$F3537="G",""&amp;$F3537="H"),IF($AY3537="YES","",IF($AB3537&lt;&gt;0,"",IF(COUNTIFS('AR SALES'!$L$2:$L$2501,$L3537,'AR SALES'!$AD$2:$AD$2501,IF(""&amp;$F3537="4","OFF","ON"),'AR SALES'!$AF$2:$AF$2501,"Y")&gt;0,"","NO EXEMPTION"))),"")</f>
        <v/>
      </c>
    </row>
    <row r="3538" spans="46:54" x14ac:dyDescent="0.25">
      <c r="AT3538" s="2" t="str">
        <f>IF($L3538="","",IFERROR(INDEX('AR SALES'!$H$2:$H$2501,MATCH(""&amp;$L3538,'AR SALES'!$AE$2:$AE$2501,0)),""))</f>
        <v/>
      </c>
      <c r="AU3538" s="2" t="str">
        <f t="shared" si="220"/>
        <v/>
      </c>
      <c r="AV3538" s="2" t="str">
        <f t="shared" si="221"/>
        <v/>
      </c>
      <c r="AW3538" s="2" t="str">
        <f t="shared" si="222"/>
        <v/>
      </c>
      <c r="AX3538" s="2" t="str">
        <f t="shared" si="223"/>
        <v/>
      </c>
      <c r="AY3538" s="2" t="str">
        <f>IF($AV3538="","",IF(AND($Z3538=0,COUNTIF('AR SALES'!$L$2:$L$2501,$L3538)=0),"YES",""))</f>
        <v/>
      </c>
      <c r="AZ3538" s="2" t="str">
        <f>IF($AV3538="","",IF(COUNTIF(LISTS!$C$2:$C$250,$AU3538)=0,"NEW",""))</f>
        <v/>
      </c>
      <c r="BA3538" s="2" t="str">
        <f>IF(""&amp;$F3538&lt;&gt;"4","",IF($AY3538="YES","",IF(ROUND(SUMIFS($AE$2:$AE$4001,$L$2:$L$4001,$L3538,$F$2:$F$4001,"4")-SUMIFS('AR SALES'!$Y$2:$Y$2501,'AR SALES'!$L$2:$L$2501,$L3538,'AR SALES'!$AD$2:$AD$2501,"OFF"),2)=0,"","STALE")))</f>
        <v/>
      </c>
      <c r="BB3538" s="2" t="str">
        <f>IF(OR(""&amp;$F3538="2",""&amp;$F3538="4",""&amp;$F3538="G",""&amp;$F3538="H"),IF($AY3538="YES","",IF($AB3538&lt;&gt;0,"",IF(COUNTIFS('AR SALES'!$L$2:$L$2501,$L3538,'AR SALES'!$AD$2:$AD$2501,IF(""&amp;$F3538="4","OFF","ON"),'AR SALES'!$AF$2:$AF$2501,"Y")&gt;0,"","NO EXEMPTION"))),"")</f>
        <v/>
      </c>
    </row>
    <row r="3539" spans="46:54" x14ac:dyDescent="0.25">
      <c r="AT3539" s="2" t="str">
        <f>IF($L3539="","",IFERROR(INDEX('AR SALES'!$H$2:$H$2501,MATCH(""&amp;$L3539,'AR SALES'!$AE$2:$AE$2501,0)),""))</f>
        <v/>
      </c>
      <c r="AU3539" s="2" t="str">
        <f t="shared" si="220"/>
        <v/>
      </c>
      <c r="AV3539" s="2" t="str">
        <f t="shared" si="221"/>
        <v/>
      </c>
      <c r="AW3539" s="2" t="str">
        <f t="shared" si="222"/>
        <v/>
      </c>
      <c r="AX3539" s="2" t="str">
        <f t="shared" si="223"/>
        <v/>
      </c>
      <c r="AY3539" s="2" t="str">
        <f>IF($AV3539="","",IF(AND($Z3539=0,COUNTIF('AR SALES'!$L$2:$L$2501,$L3539)=0),"YES",""))</f>
        <v/>
      </c>
      <c r="AZ3539" s="2" t="str">
        <f>IF($AV3539="","",IF(COUNTIF(LISTS!$C$2:$C$250,$AU3539)=0,"NEW",""))</f>
        <v/>
      </c>
      <c r="BA3539" s="2" t="str">
        <f>IF(""&amp;$F3539&lt;&gt;"4","",IF($AY3539="YES","",IF(ROUND(SUMIFS($AE$2:$AE$4001,$L$2:$L$4001,$L3539,$F$2:$F$4001,"4")-SUMIFS('AR SALES'!$Y$2:$Y$2501,'AR SALES'!$L$2:$L$2501,$L3539,'AR SALES'!$AD$2:$AD$2501,"OFF"),2)=0,"","STALE")))</f>
        <v/>
      </c>
      <c r="BB3539" s="2" t="str">
        <f>IF(OR(""&amp;$F3539="2",""&amp;$F3539="4",""&amp;$F3539="G",""&amp;$F3539="H"),IF($AY3539="YES","",IF($AB3539&lt;&gt;0,"",IF(COUNTIFS('AR SALES'!$L$2:$L$2501,$L3539,'AR SALES'!$AD$2:$AD$2501,IF(""&amp;$F3539="4","OFF","ON"),'AR SALES'!$AF$2:$AF$2501,"Y")&gt;0,"","NO EXEMPTION"))),"")</f>
        <v/>
      </c>
    </row>
    <row r="3540" spans="46:54" x14ac:dyDescent="0.25">
      <c r="AT3540" s="2" t="str">
        <f>IF($L3540="","",IFERROR(INDEX('AR SALES'!$H$2:$H$2501,MATCH(""&amp;$L3540,'AR SALES'!$AE$2:$AE$2501,0)),""))</f>
        <v/>
      </c>
      <c r="AU3540" s="2" t="str">
        <f t="shared" si="220"/>
        <v/>
      </c>
      <c r="AV3540" s="2" t="str">
        <f t="shared" si="221"/>
        <v/>
      </c>
      <c r="AW3540" s="2" t="str">
        <f t="shared" si="222"/>
        <v/>
      </c>
      <c r="AX3540" s="2" t="str">
        <f t="shared" si="223"/>
        <v/>
      </c>
      <c r="AY3540" s="2" t="str">
        <f>IF($AV3540="","",IF(AND($Z3540=0,COUNTIF('AR SALES'!$L$2:$L$2501,$L3540)=0),"YES",""))</f>
        <v/>
      </c>
      <c r="AZ3540" s="2" t="str">
        <f>IF($AV3540="","",IF(COUNTIF(LISTS!$C$2:$C$250,$AU3540)=0,"NEW",""))</f>
        <v/>
      </c>
      <c r="BA3540" s="2" t="str">
        <f>IF(""&amp;$F3540&lt;&gt;"4","",IF($AY3540="YES","",IF(ROUND(SUMIFS($AE$2:$AE$4001,$L$2:$L$4001,$L3540,$F$2:$F$4001,"4")-SUMIFS('AR SALES'!$Y$2:$Y$2501,'AR SALES'!$L$2:$L$2501,$L3540,'AR SALES'!$AD$2:$AD$2501,"OFF"),2)=0,"","STALE")))</f>
        <v/>
      </c>
      <c r="BB3540" s="2" t="str">
        <f>IF(OR(""&amp;$F3540="2",""&amp;$F3540="4",""&amp;$F3540="G",""&amp;$F3540="H"),IF($AY3540="YES","",IF($AB3540&lt;&gt;0,"",IF(COUNTIFS('AR SALES'!$L$2:$L$2501,$L3540,'AR SALES'!$AD$2:$AD$2501,IF(""&amp;$F3540="4","OFF","ON"),'AR SALES'!$AF$2:$AF$2501,"Y")&gt;0,"","NO EXEMPTION"))),"")</f>
        <v/>
      </c>
    </row>
    <row r="3541" spans="46:54" x14ac:dyDescent="0.25">
      <c r="AT3541" s="2" t="str">
        <f>IF($L3541="","",IFERROR(INDEX('AR SALES'!$H$2:$H$2501,MATCH(""&amp;$L3541,'AR SALES'!$AE$2:$AE$2501,0)),""))</f>
        <v/>
      </c>
      <c r="AU3541" s="2" t="str">
        <f t="shared" si="220"/>
        <v/>
      </c>
      <c r="AV3541" s="2" t="str">
        <f t="shared" si="221"/>
        <v/>
      </c>
      <c r="AW3541" s="2" t="str">
        <f t="shared" si="222"/>
        <v/>
      </c>
      <c r="AX3541" s="2" t="str">
        <f t="shared" si="223"/>
        <v/>
      </c>
      <c r="AY3541" s="2" t="str">
        <f>IF($AV3541="","",IF(AND($Z3541=0,COUNTIF('AR SALES'!$L$2:$L$2501,$L3541)=0),"YES",""))</f>
        <v/>
      </c>
      <c r="AZ3541" s="2" t="str">
        <f>IF($AV3541="","",IF(COUNTIF(LISTS!$C$2:$C$250,$AU3541)=0,"NEW",""))</f>
        <v/>
      </c>
      <c r="BA3541" s="2" t="str">
        <f>IF(""&amp;$F3541&lt;&gt;"4","",IF($AY3541="YES","",IF(ROUND(SUMIFS($AE$2:$AE$4001,$L$2:$L$4001,$L3541,$F$2:$F$4001,"4")-SUMIFS('AR SALES'!$Y$2:$Y$2501,'AR SALES'!$L$2:$L$2501,$L3541,'AR SALES'!$AD$2:$AD$2501,"OFF"),2)=0,"","STALE")))</f>
        <v/>
      </c>
      <c r="BB3541" s="2" t="str">
        <f>IF(OR(""&amp;$F3541="2",""&amp;$F3541="4",""&amp;$F3541="G",""&amp;$F3541="H"),IF($AY3541="YES","",IF($AB3541&lt;&gt;0,"",IF(COUNTIFS('AR SALES'!$L$2:$L$2501,$L3541,'AR SALES'!$AD$2:$AD$2501,IF(""&amp;$F3541="4","OFF","ON"),'AR SALES'!$AF$2:$AF$2501,"Y")&gt;0,"","NO EXEMPTION"))),"")</f>
        <v/>
      </c>
    </row>
    <row r="3542" spans="46:54" x14ac:dyDescent="0.25">
      <c r="AT3542" s="2" t="str">
        <f>IF($L3542="","",IFERROR(INDEX('AR SALES'!$H$2:$H$2501,MATCH(""&amp;$L3542,'AR SALES'!$AE$2:$AE$2501,0)),""))</f>
        <v/>
      </c>
      <c r="AU3542" s="2" t="str">
        <f t="shared" si="220"/>
        <v/>
      </c>
      <c r="AV3542" s="2" t="str">
        <f t="shared" si="221"/>
        <v/>
      </c>
      <c r="AW3542" s="2" t="str">
        <f t="shared" si="222"/>
        <v/>
      </c>
      <c r="AX3542" s="2" t="str">
        <f t="shared" si="223"/>
        <v/>
      </c>
      <c r="AY3542" s="2" t="str">
        <f>IF($AV3542="","",IF(AND($Z3542=0,COUNTIF('AR SALES'!$L$2:$L$2501,$L3542)=0),"YES",""))</f>
        <v/>
      </c>
      <c r="AZ3542" s="2" t="str">
        <f>IF($AV3542="","",IF(COUNTIF(LISTS!$C$2:$C$250,$AU3542)=0,"NEW",""))</f>
        <v/>
      </c>
      <c r="BA3542" s="2" t="str">
        <f>IF(""&amp;$F3542&lt;&gt;"4","",IF($AY3542="YES","",IF(ROUND(SUMIFS($AE$2:$AE$4001,$L$2:$L$4001,$L3542,$F$2:$F$4001,"4")-SUMIFS('AR SALES'!$Y$2:$Y$2501,'AR SALES'!$L$2:$L$2501,$L3542,'AR SALES'!$AD$2:$AD$2501,"OFF"),2)=0,"","STALE")))</f>
        <v/>
      </c>
      <c r="BB3542" s="2" t="str">
        <f>IF(OR(""&amp;$F3542="2",""&amp;$F3542="4",""&amp;$F3542="G",""&amp;$F3542="H"),IF($AY3542="YES","",IF($AB3542&lt;&gt;0,"",IF(COUNTIFS('AR SALES'!$L$2:$L$2501,$L3542,'AR SALES'!$AD$2:$AD$2501,IF(""&amp;$F3542="4","OFF","ON"),'AR SALES'!$AF$2:$AF$2501,"Y")&gt;0,"","NO EXEMPTION"))),"")</f>
        <v/>
      </c>
    </row>
    <row r="3543" spans="46:54" x14ac:dyDescent="0.25">
      <c r="AT3543" s="2" t="str">
        <f>IF($L3543="","",IFERROR(INDEX('AR SALES'!$H$2:$H$2501,MATCH(""&amp;$L3543,'AR SALES'!$AE$2:$AE$2501,0)),""))</f>
        <v/>
      </c>
      <c r="AU3543" s="2" t="str">
        <f t="shared" si="220"/>
        <v/>
      </c>
      <c r="AV3543" s="2" t="str">
        <f t="shared" si="221"/>
        <v/>
      </c>
      <c r="AW3543" s="2" t="str">
        <f t="shared" si="222"/>
        <v/>
      </c>
      <c r="AX3543" s="2" t="str">
        <f t="shared" si="223"/>
        <v/>
      </c>
      <c r="AY3543" s="2" t="str">
        <f>IF($AV3543="","",IF(AND($Z3543=0,COUNTIF('AR SALES'!$L$2:$L$2501,$L3543)=0),"YES",""))</f>
        <v/>
      </c>
      <c r="AZ3543" s="2" t="str">
        <f>IF($AV3543="","",IF(COUNTIF(LISTS!$C$2:$C$250,$AU3543)=0,"NEW",""))</f>
        <v/>
      </c>
      <c r="BA3543" s="2" t="str">
        <f>IF(""&amp;$F3543&lt;&gt;"4","",IF($AY3543="YES","",IF(ROUND(SUMIFS($AE$2:$AE$4001,$L$2:$L$4001,$L3543,$F$2:$F$4001,"4")-SUMIFS('AR SALES'!$Y$2:$Y$2501,'AR SALES'!$L$2:$L$2501,$L3543,'AR SALES'!$AD$2:$AD$2501,"OFF"),2)=0,"","STALE")))</f>
        <v/>
      </c>
      <c r="BB3543" s="2" t="str">
        <f>IF(OR(""&amp;$F3543="2",""&amp;$F3543="4",""&amp;$F3543="G",""&amp;$F3543="H"),IF($AY3543="YES","",IF($AB3543&lt;&gt;0,"",IF(COUNTIFS('AR SALES'!$L$2:$L$2501,$L3543,'AR SALES'!$AD$2:$AD$2501,IF(""&amp;$F3543="4","OFF","ON"),'AR SALES'!$AF$2:$AF$2501,"Y")&gt;0,"","NO EXEMPTION"))),"")</f>
        <v/>
      </c>
    </row>
    <row r="3544" spans="46:54" x14ac:dyDescent="0.25">
      <c r="AT3544" s="2" t="str">
        <f>IF($L3544="","",IFERROR(INDEX('AR SALES'!$H$2:$H$2501,MATCH(""&amp;$L3544,'AR SALES'!$AE$2:$AE$2501,0)),""))</f>
        <v/>
      </c>
      <c r="AU3544" s="2" t="str">
        <f t="shared" si="220"/>
        <v/>
      </c>
      <c r="AV3544" s="2" t="str">
        <f t="shared" si="221"/>
        <v/>
      </c>
      <c r="AW3544" s="2" t="str">
        <f t="shared" si="222"/>
        <v/>
      </c>
      <c r="AX3544" s="2" t="str">
        <f t="shared" si="223"/>
        <v/>
      </c>
      <c r="AY3544" s="2" t="str">
        <f>IF($AV3544="","",IF(AND($Z3544=0,COUNTIF('AR SALES'!$L$2:$L$2501,$L3544)=0),"YES",""))</f>
        <v/>
      </c>
      <c r="AZ3544" s="2" t="str">
        <f>IF($AV3544="","",IF(COUNTIF(LISTS!$C$2:$C$250,$AU3544)=0,"NEW",""))</f>
        <v/>
      </c>
      <c r="BA3544" s="2" t="str">
        <f>IF(""&amp;$F3544&lt;&gt;"4","",IF($AY3544="YES","",IF(ROUND(SUMIFS($AE$2:$AE$4001,$L$2:$L$4001,$L3544,$F$2:$F$4001,"4")-SUMIFS('AR SALES'!$Y$2:$Y$2501,'AR SALES'!$L$2:$L$2501,$L3544,'AR SALES'!$AD$2:$AD$2501,"OFF"),2)=0,"","STALE")))</f>
        <v/>
      </c>
      <c r="BB3544" s="2" t="str">
        <f>IF(OR(""&amp;$F3544="2",""&amp;$F3544="4",""&amp;$F3544="G",""&amp;$F3544="H"),IF($AY3544="YES","",IF($AB3544&lt;&gt;0,"",IF(COUNTIFS('AR SALES'!$L$2:$L$2501,$L3544,'AR SALES'!$AD$2:$AD$2501,IF(""&amp;$F3544="4","OFF","ON"),'AR SALES'!$AF$2:$AF$2501,"Y")&gt;0,"","NO EXEMPTION"))),"")</f>
        <v/>
      </c>
    </row>
    <row r="3545" spans="46:54" x14ac:dyDescent="0.25">
      <c r="AT3545" s="2" t="str">
        <f>IF($L3545="","",IFERROR(INDEX('AR SALES'!$H$2:$H$2501,MATCH(""&amp;$L3545,'AR SALES'!$AE$2:$AE$2501,0)),""))</f>
        <v/>
      </c>
      <c r="AU3545" s="2" t="str">
        <f t="shared" si="220"/>
        <v/>
      </c>
      <c r="AV3545" s="2" t="str">
        <f t="shared" si="221"/>
        <v/>
      </c>
      <c r="AW3545" s="2" t="str">
        <f t="shared" si="222"/>
        <v/>
      </c>
      <c r="AX3545" s="2" t="str">
        <f t="shared" si="223"/>
        <v/>
      </c>
      <c r="AY3545" s="2" t="str">
        <f>IF($AV3545="","",IF(AND($Z3545=0,COUNTIF('AR SALES'!$L$2:$L$2501,$L3545)=0),"YES",""))</f>
        <v/>
      </c>
      <c r="AZ3545" s="2" t="str">
        <f>IF($AV3545="","",IF(COUNTIF(LISTS!$C$2:$C$250,$AU3545)=0,"NEW",""))</f>
        <v/>
      </c>
      <c r="BA3545" s="2" t="str">
        <f>IF(""&amp;$F3545&lt;&gt;"4","",IF($AY3545="YES","",IF(ROUND(SUMIFS($AE$2:$AE$4001,$L$2:$L$4001,$L3545,$F$2:$F$4001,"4")-SUMIFS('AR SALES'!$Y$2:$Y$2501,'AR SALES'!$L$2:$L$2501,$L3545,'AR SALES'!$AD$2:$AD$2501,"OFF"),2)=0,"","STALE")))</f>
        <v/>
      </c>
      <c r="BB3545" s="2" t="str">
        <f>IF(OR(""&amp;$F3545="2",""&amp;$F3545="4",""&amp;$F3545="G",""&amp;$F3545="H"),IF($AY3545="YES","",IF($AB3545&lt;&gt;0,"",IF(COUNTIFS('AR SALES'!$L$2:$L$2501,$L3545,'AR SALES'!$AD$2:$AD$2501,IF(""&amp;$F3545="4","OFF","ON"),'AR SALES'!$AF$2:$AF$2501,"Y")&gt;0,"","NO EXEMPTION"))),"")</f>
        <v/>
      </c>
    </row>
    <row r="3546" spans="46:54" x14ac:dyDescent="0.25">
      <c r="AT3546" s="2" t="str">
        <f>IF($L3546="","",IFERROR(INDEX('AR SALES'!$H$2:$H$2501,MATCH(""&amp;$L3546,'AR SALES'!$AE$2:$AE$2501,0)),""))</f>
        <v/>
      </c>
      <c r="AU3546" s="2" t="str">
        <f t="shared" si="220"/>
        <v/>
      </c>
      <c r="AV3546" s="2" t="str">
        <f t="shared" si="221"/>
        <v/>
      </c>
      <c r="AW3546" s="2" t="str">
        <f t="shared" si="222"/>
        <v/>
      </c>
      <c r="AX3546" s="2" t="str">
        <f t="shared" si="223"/>
        <v/>
      </c>
      <c r="AY3546" s="2" t="str">
        <f>IF($AV3546="","",IF(AND($Z3546=0,COUNTIF('AR SALES'!$L$2:$L$2501,$L3546)=0),"YES",""))</f>
        <v/>
      </c>
      <c r="AZ3546" s="2" t="str">
        <f>IF($AV3546="","",IF(COUNTIF(LISTS!$C$2:$C$250,$AU3546)=0,"NEW",""))</f>
        <v/>
      </c>
      <c r="BA3546" s="2" t="str">
        <f>IF(""&amp;$F3546&lt;&gt;"4","",IF($AY3546="YES","",IF(ROUND(SUMIFS($AE$2:$AE$4001,$L$2:$L$4001,$L3546,$F$2:$F$4001,"4")-SUMIFS('AR SALES'!$Y$2:$Y$2501,'AR SALES'!$L$2:$L$2501,$L3546,'AR SALES'!$AD$2:$AD$2501,"OFF"),2)=0,"","STALE")))</f>
        <v/>
      </c>
      <c r="BB3546" s="2" t="str">
        <f>IF(OR(""&amp;$F3546="2",""&amp;$F3546="4",""&amp;$F3546="G",""&amp;$F3546="H"),IF($AY3546="YES","",IF($AB3546&lt;&gt;0,"",IF(COUNTIFS('AR SALES'!$L$2:$L$2501,$L3546,'AR SALES'!$AD$2:$AD$2501,IF(""&amp;$F3546="4","OFF","ON"),'AR SALES'!$AF$2:$AF$2501,"Y")&gt;0,"","NO EXEMPTION"))),"")</f>
        <v/>
      </c>
    </row>
    <row r="3547" spans="46:54" x14ac:dyDescent="0.25">
      <c r="AT3547" s="2" t="str">
        <f>IF($L3547="","",IFERROR(INDEX('AR SALES'!$H$2:$H$2501,MATCH(""&amp;$L3547,'AR SALES'!$AE$2:$AE$2501,0)),""))</f>
        <v/>
      </c>
      <c r="AU3547" s="2" t="str">
        <f t="shared" si="220"/>
        <v/>
      </c>
      <c r="AV3547" s="2" t="str">
        <f t="shared" si="221"/>
        <v/>
      </c>
      <c r="AW3547" s="2" t="str">
        <f t="shared" si="222"/>
        <v/>
      </c>
      <c r="AX3547" s="2" t="str">
        <f t="shared" si="223"/>
        <v/>
      </c>
      <c r="AY3547" s="2" t="str">
        <f>IF($AV3547="","",IF(AND($Z3547=0,COUNTIF('AR SALES'!$L$2:$L$2501,$L3547)=0),"YES",""))</f>
        <v/>
      </c>
      <c r="AZ3547" s="2" t="str">
        <f>IF($AV3547="","",IF(COUNTIF(LISTS!$C$2:$C$250,$AU3547)=0,"NEW",""))</f>
        <v/>
      </c>
      <c r="BA3547" s="2" t="str">
        <f>IF(""&amp;$F3547&lt;&gt;"4","",IF($AY3547="YES","",IF(ROUND(SUMIFS($AE$2:$AE$4001,$L$2:$L$4001,$L3547,$F$2:$F$4001,"4")-SUMIFS('AR SALES'!$Y$2:$Y$2501,'AR SALES'!$L$2:$L$2501,$L3547,'AR SALES'!$AD$2:$AD$2501,"OFF"),2)=0,"","STALE")))</f>
        <v/>
      </c>
      <c r="BB3547" s="2" t="str">
        <f>IF(OR(""&amp;$F3547="2",""&amp;$F3547="4",""&amp;$F3547="G",""&amp;$F3547="H"),IF($AY3547="YES","",IF($AB3547&lt;&gt;0,"",IF(COUNTIFS('AR SALES'!$L$2:$L$2501,$L3547,'AR SALES'!$AD$2:$AD$2501,IF(""&amp;$F3547="4","OFF","ON"),'AR SALES'!$AF$2:$AF$2501,"Y")&gt;0,"","NO EXEMPTION"))),"")</f>
        <v/>
      </c>
    </row>
    <row r="3548" spans="46:54" x14ac:dyDescent="0.25">
      <c r="AT3548" s="2" t="str">
        <f>IF($L3548="","",IFERROR(INDEX('AR SALES'!$H$2:$H$2501,MATCH(""&amp;$L3548,'AR SALES'!$AE$2:$AE$2501,0)),""))</f>
        <v/>
      </c>
      <c r="AU3548" s="2" t="str">
        <f t="shared" si="220"/>
        <v/>
      </c>
      <c r="AV3548" s="2" t="str">
        <f t="shared" si="221"/>
        <v/>
      </c>
      <c r="AW3548" s="2" t="str">
        <f t="shared" si="222"/>
        <v/>
      </c>
      <c r="AX3548" s="2" t="str">
        <f t="shared" si="223"/>
        <v/>
      </c>
      <c r="AY3548" s="2" t="str">
        <f>IF($AV3548="","",IF(AND($Z3548=0,COUNTIF('AR SALES'!$L$2:$L$2501,$L3548)=0),"YES",""))</f>
        <v/>
      </c>
      <c r="AZ3548" s="2" t="str">
        <f>IF($AV3548="","",IF(COUNTIF(LISTS!$C$2:$C$250,$AU3548)=0,"NEW",""))</f>
        <v/>
      </c>
      <c r="BA3548" s="2" t="str">
        <f>IF(""&amp;$F3548&lt;&gt;"4","",IF($AY3548="YES","",IF(ROUND(SUMIFS($AE$2:$AE$4001,$L$2:$L$4001,$L3548,$F$2:$F$4001,"4")-SUMIFS('AR SALES'!$Y$2:$Y$2501,'AR SALES'!$L$2:$L$2501,$L3548,'AR SALES'!$AD$2:$AD$2501,"OFF"),2)=0,"","STALE")))</f>
        <v/>
      </c>
      <c r="BB3548" s="2" t="str">
        <f>IF(OR(""&amp;$F3548="2",""&amp;$F3548="4",""&amp;$F3548="G",""&amp;$F3548="H"),IF($AY3548="YES","",IF($AB3548&lt;&gt;0,"",IF(COUNTIFS('AR SALES'!$L$2:$L$2501,$L3548,'AR SALES'!$AD$2:$AD$2501,IF(""&amp;$F3548="4","OFF","ON"),'AR SALES'!$AF$2:$AF$2501,"Y")&gt;0,"","NO EXEMPTION"))),"")</f>
        <v/>
      </c>
    </row>
    <row r="3549" spans="46:54" x14ac:dyDescent="0.25">
      <c r="AT3549" s="2" t="str">
        <f>IF($L3549="","",IFERROR(INDEX('AR SALES'!$H$2:$H$2501,MATCH(""&amp;$L3549,'AR SALES'!$AE$2:$AE$2501,0)),""))</f>
        <v/>
      </c>
      <c r="AU3549" s="2" t="str">
        <f t="shared" si="220"/>
        <v/>
      </c>
      <c r="AV3549" s="2" t="str">
        <f t="shared" si="221"/>
        <v/>
      </c>
      <c r="AW3549" s="2" t="str">
        <f t="shared" si="222"/>
        <v/>
      </c>
      <c r="AX3549" s="2" t="str">
        <f t="shared" si="223"/>
        <v/>
      </c>
      <c r="AY3549" s="2" t="str">
        <f>IF($AV3549="","",IF(AND($Z3549=0,COUNTIF('AR SALES'!$L$2:$L$2501,$L3549)=0),"YES",""))</f>
        <v/>
      </c>
      <c r="AZ3549" s="2" t="str">
        <f>IF($AV3549="","",IF(COUNTIF(LISTS!$C$2:$C$250,$AU3549)=0,"NEW",""))</f>
        <v/>
      </c>
      <c r="BA3549" s="2" t="str">
        <f>IF(""&amp;$F3549&lt;&gt;"4","",IF($AY3549="YES","",IF(ROUND(SUMIFS($AE$2:$AE$4001,$L$2:$L$4001,$L3549,$F$2:$F$4001,"4")-SUMIFS('AR SALES'!$Y$2:$Y$2501,'AR SALES'!$L$2:$L$2501,$L3549,'AR SALES'!$AD$2:$AD$2501,"OFF"),2)=0,"","STALE")))</f>
        <v/>
      </c>
      <c r="BB3549" s="2" t="str">
        <f>IF(OR(""&amp;$F3549="2",""&amp;$F3549="4",""&amp;$F3549="G",""&amp;$F3549="H"),IF($AY3549="YES","",IF($AB3549&lt;&gt;0,"",IF(COUNTIFS('AR SALES'!$L$2:$L$2501,$L3549,'AR SALES'!$AD$2:$AD$2501,IF(""&amp;$F3549="4","OFF","ON"),'AR SALES'!$AF$2:$AF$2501,"Y")&gt;0,"","NO EXEMPTION"))),"")</f>
        <v/>
      </c>
    </row>
    <row r="3550" spans="46:54" x14ac:dyDescent="0.25">
      <c r="AT3550" s="2" t="str">
        <f>IF($L3550="","",IFERROR(INDEX('AR SALES'!$H$2:$H$2501,MATCH(""&amp;$L3550,'AR SALES'!$AE$2:$AE$2501,0)),""))</f>
        <v/>
      </c>
      <c r="AU3550" s="2" t="str">
        <f t="shared" si="220"/>
        <v/>
      </c>
      <c r="AV3550" s="2" t="str">
        <f t="shared" si="221"/>
        <v/>
      </c>
      <c r="AW3550" s="2" t="str">
        <f t="shared" si="222"/>
        <v/>
      </c>
      <c r="AX3550" s="2" t="str">
        <f t="shared" si="223"/>
        <v/>
      </c>
      <c r="AY3550" s="2" t="str">
        <f>IF($AV3550="","",IF(AND($Z3550=0,COUNTIF('AR SALES'!$L$2:$L$2501,$L3550)=0),"YES",""))</f>
        <v/>
      </c>
      <c r="AZ3550" s="2" t="str">
        <f>IF($AV3550="","",IF(COUNTIF(LISTS!$C$2:$C$250,$AU3550)=0,"NEW",""))</f>
        <v/>
      </c>
      <c r="BA3550" s="2" t="str">
        <f>IF(""&amp;$F3550&lt;&gt;"4","",IF($AY3550="YES","",IF(ROUND(SUMIFS($AE$2:$AE$4001,$L$2:$L$4001,$L3550,$F$2:$F$4001,"4")-SUMIFS('AR SALES'!$Y$2:$Y$2501,'AR SALES'!$L$2:$L$2501,$L3550,'AR SALES'!$AD$2:$AD$2501,"OFF"),2)=0,"","STALE")))</f>
        <v/>
      </c>
      <c r="BB3550" s="2" t="str">
        <f>IF(OR(""&amp;$F3550="2",""&amp;$F3550="4",""&amp;$F3550="G",""&amp;$F3550="H"),IF($AY3550="YES","",IF($AB3550&lt;&gt;0,"",IF(COUNTIFS('AR SALES'!$L$2:$L$2501,$L3550,'AR SALES'!$AD$2:$AD$2501,IF(""&amp;$F3550="4","OFF","ON"),'AR SALES'!$AF$2:$AF$2501,"Y")&gt;0,"","NO EXEMPTION"))),"")</f>
        <v/>
      </c>
    </row>
    <row r="3551" spans="46:54" x14ac:dyDescent="0.25">
      <c r="AT3551" s="2" t="str">
        <f>IF($L3551="","",IFERROR(INDEX('AR SALES'!$H$2:$H$2501,MATCH(""&amp;$L3551,'AR SALES'!$AE$2:$AE$2501,0)),""))</f>
        <v/>
      </c>
      <c r="AU3551" s="2" t="str">
        <f t="shared" si="220"/>
        <v/>
      </c>
      <c r="AV3551" s="2" t="str">
        <f t="shared" si="221"/>
        <v/>
      </c>
      <c r="AW3551" s="2" t="str">
        <f t="shared" si="222"/>
        <v/>
      </c>
      <c r="AX3551" s="2" t="str">
        <f t="shared" si="223"/>
        <v/>
      </c>
      <c r="AY3551" s="2" t="str">
        <f>IF($AV3551="","",IF(AND($Z3551=0,COUNTIF('AR SALES'!$L$2:$L$2501,$L3551)=0),"YES",""))</f>
        <v/>
      </c>
      <c r="AZ3551" s="2" t="str">
        <f>IF($AV3551="","",IF(COUNTIF(LISTS!$C$2:$C$250,$AU3551)=0,"NEW",""))</f>
        <v/>
      </c>
      <c r="BA3551" s="2" t="str">
        <f>IF(""&amp;$F3551&lt;&gt;"4","",IF($AY3551="YES","",IF(ROUND(SUMIFS($AE$2:$AE$4001,$L$2:$L$4001,$L3551,$F$2:$F$4001,"4")-SUMIFS('AR SALES'!$Y$2:$Y$2501,'AR SALES'!$L$2:$L$2501,$L3551,'AR SALES'!$AD$2:$AD$2501,"OFF"),2)=0,"","STALE")))</f>
        <v/>
      </c>
      <c r="BB3551" s="2" t="str">
        <f>IF(OR(""&amp;$F3551="2",""&amp;$F3551="4",""&amp;$F3551="G",""&amp;$F3551="H"),IF($AY3551="YES","",IF($AB3551&lt;&gt;0,"",IF(COUNTIFS('AR SALES'!$L$2:$L$2501,$L3551,'AR SALES'!$AD$2:$AD$2501,IF(""&amp;$F3551="4","OFF","ON"),'AR SALES'!$AF$2:$AF$2501,"Y")&gt;0,"","NO EXEMPTION"))),"")</f>
        <v/>
      </c>
    </row>
    <row r="3552" spans="46:54" x14ac:dyDescent="0.25">
      <c r="AT3552" s="2" t="str">
        <f>IF($L3552="","",IFERROR(INDEX('AR SALES'!$H$2:$H$2501,MATCH(""&amp;$L3552,'AR SALES'!$AE$2:$AE$2501,0)),""))</f>
        <v/>
      </c>
      <c r="AU3552" s="2" t="str">
        <f t="shared" si="220"/>
        <v/>
      </c>
      <c r="AV3552" s="2" t="str">
        <f t="shared" si="221"/>
        <v/>
      </c>
      <c r="AW3552" s="2" t="str">
        <f t="shared" si="222"/>
        <v/>
      </c>
      <c r="AX3552" s="2" t="str">
        <f t="shared" si="223"/>
        <v/>
      </c>
      <c r="AY3552" s="2" t="str">
        <f>IF($AV3552="","",IF(AND($Z3552=0,COUNTIF('AR SALES'!$L$2:$L$2501,$L3552)=0),"YES",""))</f>
        <v/>
      </c>
      <c r="AZ3552" s="2" t="str">
        <f>IF($AV3552="","",IF(COUNTIF(LISTS!$C$2:$C$250,$AU3552)=0,"NEW",""))</f>
        <v/>
      </c>
      <c r="BA3552" s="2" t="str">
        <f>IF(""&amp;$F3552&lt;&gt;"4","",IF($AY3552="YES","",IF(ROUND(SUMIFS($AE$2:$AE$4001,$L$2:$L$4001,$L3552,$F$2:$F$4001,"4")-SUMIFS('AR SALES'!$Y$2:$Y$2501,'AR SALES'!$L$2:$L$2501,$L3552,'AR SALES'!$AD$2:$AD$2501,"OFF"),2)=0,"","STALE")))</f>
        <v/>
      </c>
      <c r="BB3552" s="2" t="str">
        <f>IF(OR(""&amp;$F3552="2",""&amp;$F3552="4",""&amp;$F3552="G",""&amp;$F3552="H"),IF($AY3552="YES","",IF($AB3552&lt;&gt;0,"",IF(COUNTIFS('AR SALES'!$L$2:$L$2501,$L3552,'AR SALES'!$AD$2:$AD$2501,IF(""&amp;$F3552="4","OFF","ON"),'AR SALES'!$AF$2:$AF$2501,"Y")&gt;0,"","NO EXEMPTION"))),"")</f>
        <v/>
      </c>
    </row>
    <row r="3553" spans="46:54" x14ac:dyDescent="0.25">
      <c r="AT3553" s="2" t="str">
        <f>IF($L3553="","",IFERROR(INDEX('AR SALES'!$H$2:$H$2501,MATCH(""&amp;$L3553,'AR SALES'!$AE$2:$AE$2501,0)),""))</f>
        <v/>
      </c>
      <c r="AU3553" s="2" t="str">
        <f t="shared" si="220"/>
        <v/>
      </c>
      <c r="AV3553" s="2" t="str">
        <f t="shared" si="221"/>
        <v/>
      </c>
      <c r="AW3553" s="2" t="str">
        <f t="shared" si="222"/>
        <v/>
      </c>
      <c r="AX3553" s="2" t="str">
        <f t="shared" si="223"/>
        <v/>
      </c>
      <c r="AY3553" s="2" t="str">
        <f>IF($AV3553="","",IF(AND($Z3553=0,COUNTIF('AR SALES'!$L$2:$L$2501,$L3553)=0),"YES",""))</f>
        <v/>
      </c>
      <c r="AZ3553" s="2" t="str">
        <f>IF($AV3553="","",IF(COUNTIF(LISTS!$C$2:$C$250,$AU3553)=0,"NEW",""))</f>
        <v/>
      </c>
      <c r="BA3553" s="2" t="str">
        <f>IF(""&amp;$F3553&lt;&gt;"4","",IF($AY3553="YES","",IF(ROUND(SUMIFS($AE$2:$AE$4001,$L$2:$L$4001,$L3553,$F$2:$F$4001,"4")-SUMIFS('AR SALES'!$Y$2:$Y$2501,'AR SALES'!$L$2:$L$2501,$L3553,'AR SALES'!$AD$2:$AD$2501,"OFF"),2)=0,"","STALE")))</f>
        <v/>
      </c>
      <c r="BB3553" s="2" t="str">
        <f>IF(OR(""&amp;$F3553="2",""&amp;$F3553="4",""&amp;$F3553="G",""&amp;$F3553="H"),IF($AY3553="YES","",IF($AB3553&lt;&gt;0,"",IF(COUNTIFS('AR SALES'!$L$2:$L$2501,$L3553,'AR SALES'!$AD$2:$AD$2501,IF(""&amp;$F3553="4","OFF","ON"),'AR SALES'!$AF$2:$AF$2501,"Y")&gt;0,"","NO EXEMPTION"))),"")</f>
        <v/>
      </c>
    </row>
    <row r="3554" spans="46:54" x14ac:dyDescent="0.25">
      <c r="AT3554" s="2" t="str">
        <f>IF($L3554="","",IFERROR(INDEX('AR SALES'!$H$2:$H$2501,MATCH(""&amp;$L3554,'AR SALES'!$AE$2:$AE$2501,0)),""))</f>
        <v/>
      </c>
      <c r="AU3554" s="2" t="str">
        <f t="shared" si="220"/>
        <v/>
      </c>
      <c r="AV3554" s="2" t="str">
        <f t="shared" si="221"/>
        <v/>
      </c>
      <c r="AW3554" s="2" t="str">
        <f t="shared" si="222"/>
        <v/>
      </c>
      <c r="AX3554" s="2" t="str">
        <f t="shared" si="223"/>
        <v/>
      </c>
      <c r="AY3554" s="2" t="str">
        <f>IF($AV3554="","",IF(AND($Z3554=0,COUNTIF('AR SALES'!$L$2:$L$2501,$L3554)=0),"YES",""))</f>
        <v/>
      </c>
      <c r="AZ3554" s="2" t="str">
        <f>IF($AV3554="","",IF(COUNTIF(LISTS!$C$2:$C$250,$AU3554)=0,"NEW",""))</f>
        <v/>
      </c>
      <c r="BA3554" s="2" t="str">
        <f>IF(""&amp;$F3554&lt;&gt;"4","",IF($AY3554="YES","",IF(ROUND(SUMIFS($AE$2:$AE$4001,$L$2:$L$4001,$L3554,$F$2:$F$4001,"4")-SUMIFS('AR SALES'!$Y$2:$Y$2501,'AR SALES'!$L$2:$L$2501,$L3554,'AR SALES'!$AD$2:$AD$2501,"OFF"),2)=0,"","STALE")))</f>
        <v/>
      </c>
      <c r="BB3554" s="2" t="str">
        <f>IF(OR(""&amp;$F3554="2",""&amp;$F3554="4",""&amp;$F3554="G",""&amp;$F3554="H"),IF($AY3554="YES","",IF($AB3554&lt;&gt;0,"",IF(COUNTIFS('AR SALES'!$L$2:$L$2501,$L3554,'AR SALES'!$AD$2:$AD$2501,IF(""&amp;$F3554="4","OFF","ON"),'AR SALES'!$AF$2:$AF$2501,"Y")&gt;0,"","NO EXEMPTION"))),"")</f>
        <v/>
      </c>
    </row>
    <row r="3555" spans="46:54" x14ac:dyDescent="0.25">
      <c r="AT3555" s="2" t="str">
        <f>IF($L3555="","",IFERROR(INDEX('AR SALES'!$H$2:$H$2501,MATCH(""&amp;$L3555,'AR SALES'!$AE$2:$AE$2501,0)),""))</f>
        <v/>
      </c>
      <c r="AU3555" s="2" t="str">
        <f t="shared" si="220"/>
        <v/>
      </c>
      <c r="AV3555" s="2" t="str">
        <f t="shared" si="221"/>
        <v/>
      </c>
      <c r="AW3555" s="2" t="str">
        <f t="shared" si="222"/>
        <v/>
      </c>
      <c r="AX3555" s="2" t="str">
        <f t="shared" si="223"/>
        <v/>
      </c>
      <c r="AY3555" s="2" t="str">
        <f>IF($AV3555="","",IF(AND($Z3555=0,COUNTIF('AR SALES'!$L$2:$L$2501,$L3555)=0),"YES",""))</f>
        <v/>
      </c>
      <c r="AZ3555" s="2" t="str">
        <f>IF($AV3555="","",IF(COUNTIF(LISTS!$C$2:$C$250,$AU3555)=0,"NEW",""))</f>
        <v/>
      </c>
      <c r="BA3555" s="2" t="str">
        <f>IF(""&amp;$F3555&lt;&gt;"4","",IF($AY3555="YES","",IF(ROUND(SUMIFS($AE$2:$AE$4001,$L$2:$L$4001,$L3555,$F$2:$F$4001,"4")-SUMIFS('AR SALES'!$Y$2:$Y$2501,'AR SALES'!$L$2:$L$2501,$L3555,'AR SALES'!$AD$2:$AD$2501,"OFF"),2)=0,"","STALE")))</f>
        <v/>
      </c>
      <c r="BB3555" s="2" t="str">
        <f>IF(OR(""&amp;$F3555="2",""&amp;$F3555="4",""&amp;$F3555="G",""&amp;$F3555="H"),IF($AY3555="YES","",IF($AB3555&lt;&gt;0,"",IF(COUNTIFS('AR SALES'!$L$2:$L$2501,$L3555,'AR SALES'!$AD$2:$AD$2501,IF(""&amp;$F3555="4","OFF","ON"),'AR SALES'!$AF$2:$AF$2501,"Y")&gt;0,"","NO EXEMPTION"))),"")</f>
        <v/>
      </c>
    </row>
    <row r="3556" spans="46:54" x14ac:dyDescent="0.25">
      <c r="AT3556" s="2" t="str">
        <f>IF($L3556="","",IFERROR(INDEX('AR SALES'!$H$2:$H$2501,MATCH(""&amp;$L3556,'AR SALES'!$AE$2:$AE$2501,0)),""))</f>
        <v/>
      </c>
      <c r="AU3556" s="2" t="str">
        <f t="shared" si="220"/>
        <v/>
      </c>
      <c r="AV3556" s="2" t="str">
        <f t="shared" si="221"/>
        <v/>
      </c>
      <c r="AW3556" s="2" t="str">
        <f t="shared" si="222"/>
        <v/>
      </c>
      <c r="AX3556" s="2" t="str">
        <f t="shared" si="223"/>
        <v/>
      </c>
      <c r="AY3556" s="2" t="str">
        <f>IF($AV3556="","",IF(AND($Z3556=0,COUNTIF('AR SALES'!$L$2:$L$2501,$L3556)=0),"YES",""))</f>
        <v/>
      </c>
      <c r="AZ3556" s="2" t="str">
        <f>IF($AV3556="","",IF(COUNTIF(LISTS!$C$2:$C$250,$AU3556)=0,"NEW",""))</f>
        <v/>
      </c>
      <c r="BA3556" s="2" t="str">
        <f>IF(""&amp;$F3556&lt;&gt;"4","",IF($AY3556="YES","",IF(ROUND(SUMIFS($AE$2:$AE$4001,$L$2:$L$4001,$L3556,$F$2:$F$4001,"4")-SUMIFS('AR SALES'!$Y$2:$Y$2501,'AR SALES'!$L$2:$L$2501,$L3556,'AR SALES'!$AD$2:$AD$2501,"OFF"),2)=0,"","STALE")))</f>
        <v/>
      </c>
      <c r="BB3556" s="2" t="str">
        <f>IF(OR(""&amp;$F3556="2",""&amp;$F3556="4",""&amp;$F3556="G",""&amp;$F3556="H"),IF($AY3556="YES","",IF($AB3556&lt;&gt;0,"",IF(COUNTIFS('AR SALES'!$L$2:$L$2501,$L3556,'AR SALES'!$AD$2:$AD$2501,IF(""&amp;$F3556="4","OFF","ON"),'AR SALES'!$AF$2:$AF$2501,"Y")&gt;0,"","NO EXEMPTION"))),"")</f>
        <v/>
      </c>
    </row>
    <row r="3557" spans="46:54" x14ac:dyDescent="0.25">
      <c r="AT3557" s="2" t="str">
        <f>IF($L3557="","",IFERROR(INDEX('AR SALES'!$H$2:$H$2501,MATCH(""&amp;$L3557,'AR SALES'!$AE$2:$AE$2501,0)),""))</f>
        <v/>
      </c>
      <c r="AU3557" s="2" t="str">
        <f t="shared" si="220"/>
        <v/>
      </c>
      <c r="AV3557" s="2" t="str">
        <f t="shared" si="221"/>
        <v/>
      </c>
      <c r="AW3557" s="2" t="str">
        <f t="shared" si="222"/>
        <v/>
      </c>
      <c r="AX3557" s="2" t="str">
        <f t="shared" si="223"/>
        <v/>
      </c>
      <c r="AY3557" s="2" t="str">
        <f>IF($AV3557="","",IF(AND($Z3557=0,COUNTIF('AR SALES'!$L$2:$L$2501,$L3557)=0),"YES",""))</f>
        <v/>
      </c>
      <c r="AZ3557" s="2" t="str">
        <f>IF($AV3557="","",IF(COUNTIF(LISTS!$C$2:$C$250,$AU3557)=0,"NEW",""))</f>
        <v/>
      </c>
      <c r="BA3557" s="2" t="str">
        <f>IF(""&amp;$F3557&lt;&gt;"4","",IF($AY3557="YES","",IF(ROUND(SUMIFS($AE$2:$AE$4001,$L$2:$L$4001,$L3557,$F$2:$F$4001,"4")-SUMIFS('AR SALES'!$Y$2:$Y$2501,'AR SALES'!$L$2:$L$2501,$L3557,'AR SALES'!$AD$2:$AD$2501,"OFF"),2)=0,"","STALE")))</f>
        <v/>
      </c>
      <c r="BB3557" s="2" t="str">
        <f>IF(OR(""&amp;$F3557="2",""&amp;$F3557="4",""&amp;$F3557="G",""&amp;$F3557="H"),IF($AY3557="YES","",IF($AB3557&lt;&gt;0,"",IF(COUNTIFS('AR SALES'!$L$2:$L$2501,$L3557,'AR SALES'!$AD$2:$AD$2501,IF(""&amp;$F3557="4","OFF","ON"),'AR SALES'!$AF$2:$AF$2501,"Y")&gt;0,"","NO EXEMPTION"))),"")</f>
        <v/>
      </c>
    </row>
    <row r="3558" spans="46:54" x14ac:dyDescent="0.25">
      <c r="AT3558" s="2" t="str">
        <f>IF($L3558="","",IFERROR(INDEX('AR SALES'!$H$2:$H$2501,MATCH(""&amp;$L3558,'AR SALES'!$AE$2:$AE$2501,0)),""))</f>
        <v/>
      </c>
      <c r="AU3558" s="2" t="str">
        <f t="shared" si="220"/>
        <v/>
      </c>
      <c r="AV3558" s="2" t="str">
        <f t="shared" si="221"/>
        <v/>
      </c>
      <c r="AW3558" s="2" t="str">
        <f t="shared" si="222"/>
        <v/>
      </c>
      <c r="AX3558" s="2" t="str">
        <f t="shared" si="223"/>
        <v/>
      </c>
      <c r="AY3558" s="2" t="str">
        <f>IF($AV3558="","",IF(AND($Z3558=0,COUNTIF('AR SALES'!$L$2:$L$2501,$L3558)=0),"YES",""))</f>
        <v/>
      </c>
      <c r="AZ3558" s="2" t="str">
        <f>IF($AV3558="","",IF(COUNTIF(LISTS!$C$2:$C$250,$AU3558)=0,"NEW",""))</f>
        <v/>
      </c>
      <c r="BA3558" s="2" t="str">
        <f>IF(""&amp;$F3558&lt;&gt;"4","",IF($AY3558="YES","",IF(ROUND(SUMIFS($AE$2:$AE$4001,$L$2:$L$4001,$L3558,$F$2:$F$4001,"4")-SUMIFS('AR SALES'!$Y$2:$Y$2501,'AR SALES'!$L$2:$L$2501,$L3558,'AR SALES'!$AD$2:$AD$2501,"OFF"),2)=0,"","STALE")))</f>
        <v/>
      </c>
      <c r="BB3558" s="2" t="str">
        <f>IF(OR(""&amp;$F3558="2",""&amp;$F3558="4",""&amp;$F3558="G",""&amp;$F3558="H"),IF($AY3558="YES","",IF($AB3558&lt;&gt;0,"",IF(COUNTIFS('AR SALES'!$L$2:$L$2501,$L3558,'AR SALES'!$AD$2:$AD$2501,IF(""&amp;$F3558="4","OFF","ON"),'AR SALES'!$AF$2:$AF$2501,"Y")&gt;0,"","NO EXEMPTION"))),"")</f>
        <v/>
      </c>
    </row>
    <row r="3559" spans="46:54" x14ac:dyDescent="0.25">
      <c r="AT3559" s="2" t="str">
        <f>IF($L3559="","",IFERROR(INDEX('AR SALES'!$H$2:$H$2501,MATCH(""&amp;$L3559,'AR SALES'!$AE$2:$AE$2501,0)),""))</f>
        <v/>
      </c>
      <c r="AU3559" s="2" t="str">
        <f t="shared" si="220"/>
        <v/>
      </c>
      <c r="AV3559" s="2" t="str">
        <f t="shared" si="221"/>
        <v/>
      </c>
      <c r="AW3559" s="2" t="str">
        <f t="shared" si="222"/>
        <v/>
      </c>
      <c r="AX3559" s="2" t="str">
        <f t="shared" si="223"/>
        <v/>
      </c>
      <c r="AY3559" s="2" t="str">
        <f>IF($AV3559="","",IF(AND($Z3559=0,COUNTIF('AR SALES'!$L$2:$L$2501,$L3559)=0),"YES",""))</f>
        <v/>
      </c>
      <c r="AZ3559" s="2" t="str">
        <f>IF($AV3559="","",IF(COUNTIF(LISTS!$C$2:$C$250,$AU3559)=0,"NEW",""))</f>
        <v/>
      </c>
      <c r="BA3559" s="2" t="str">
        <f>IF(""&amp;$F3559&lt;&gt;"4","",IF($AY3559="YES","",IF(ROUND(SUMIFS($AE$2:$AE$4001,$L$2:$L$4001,$L3559,$F$2:$F$4001,"4")-SUMIFS('AR SALES'!$Y$2:$Y$2501,'AR SALES'!$L$2:$L$2501,$L3559,'AR SALES'!$AD$2:$AD$2501,"OFF"),2)=0,"","STALE")))</f>
        <v/>
      </c>
      <c r="BB3559" s="2" t="str">
        <f>IF(OR(""&amp;$F3559="2",""&amp;$F3559="4",""&amp;$F3559="G",""&amp;$F3559="H"),IF($AY3559="YES","",IF($AB3559&lt;&gt;0,"",IF(COUNTIFS('AR SALES'!$L$2:$L$2501,$L3559,'AR SALES'!$AD$2:$AD$2501,IF(""&amp;$F3559="4","OFF","ON"),'AR SALES'!$AF$2:$AF$2501,"Y")&gt;0,"","NO EXEMPTION"))),"")</f>
        <v/>
      </c>
    </row>
    <row r="3560" spans="46:54" x14ac:dyDescent="0.25">
      <c r="AT3560" s="2" t="str">
        <f>IF($L3560="","",IFERROR(INDEX('AR SALES'!$H$2:$H$2501,MATCH(""&amp;$L3560,'AR SALES'!$AE$2:$AE$2501,0)),""))</f>
        <v/>
      </c>
      <c r="AU3560" s="2" t="str">
        <f t="shared" si="220"/>
        <v/>
      </c>
      <c r="AV3560" s="2" t="str">
        <f t="shared" si="221"/>
        <v/>
      </c>
      <c r="AW3560" s="2" t="str">
        <f t="shared" si="222"/>
        <v/>
      </c>
      <c r="AX3560" s="2" t="str">
        <f t="shared" si="223"/>
        <v/>
      </c>
      <c r="AY3560" s="2" t="str">
        <f>IF($AV3560="","",IF(AND($Z3560=0,COUNTIF('AR SALES'!$L$2:$L$2501,$L3560)=0),"YES",""))</f>
        <v/>
      </c>
      <c r="AZ3560" s="2" t="str">
        <f>IF($AV3560="","",IF(COUNTIF(LISTS!$C$2:$C$250,$AU3560)=0,"NEW",""))</f>
        <v/>
      </c>
      <c r="BA3560" s="2" t="str">
        <f>IF(""&amp;$F3560&lt;&gt;"4","",IF($AY3560="YES","",IF(ROUND(SUMIFS($AE$2:$AE$4001,$L$2:$L$4001,$L3560,$F$2:$F$4001,"4")-SUMIFS('AR SALES'!$Y$2:$Y$2501,'AR SALES'!$L$2:$L$2501,$L3560,'AR SALES'!$AD$2:$AD$2501,"OFF"),2)=0,"","STALE")))</f>
        <v/>
      </c>
      <c r="BB3560" s="2" t="str">
        <f>IF(OR(""&amp;$F3560="2",""&amp;$F3560="4",""&amp;$F3560="G",""&amp;$F3560="H"),IF($AY3560="YES","",IF($AB3560&lt;&gt;0,"",IF(COUNTIFS('AR SALES'!$L$2:$L$2501,$L3560,'AR SALES'!$AD$2:$AD$2501,IF(""&amp;$F3560="4","OFF","ON"),'AR SALES'!$AF$2:$AF$2501,"Y")&gt;0,"","NO EXEMPTION"))),"")</f>
        <v/>
      </c>
    </row>
    <row r="3561" spans="46:54" x14ac:dyDescent="0.25">
      <c r="AT3561" s="2" t="str">
        <f>IF($L3561="","",IFERROR(INDEX('AR SALES'!$H$2:$H$2501,MATCH(""&amp;$L3561,'AR SALES'!$AE$2:$AE$2501,0)),""))</f>
        <v/>
      </c>
      <c r="AU3561" s="2" t="str">
        <f t="shared" si="220"/>
        <v/>
      </c>
      <c r="AV3561" s="2" t="str">
        <f t="shared" si="221"/>
        <v/>
      </c>
      <c r="AW3561" s="2" t="str">
        <f t="shared" si="222"/>
        <v/>
      </c>
      <c r="AX3561" s="2" t="str">
        <f t="shared" si="223"/>
        <v/>
      </c>
      <c r="AY3561" s="2" t="str">
        <f>IF($AV3561="","",IF(AND($Z3561=0,COUNTIF('AR SALES'!$L$2:$L$2501,$L3561)=0),"YES",""))</f>
        <v/>
      </c>
      <c r="AZ3561" s="2" t="str">
        <f>IF($AV3561="","",IF(COUNTIF(LISTS!$C$2:$C$250,$AU3561)=0,"NEW",""))</f>
        <v/>
      </c>
      <c r="BA3561" s="2" t="str">
        <f>IF(""&amp;$F3561&lt;&gt;"4","",IF($AY3561="YES","",IF(ROUND(SUMIFS($AE$2:$AE$4001,$L$2:$L$4001,$L3561,$F$2:$F$4001,"4")-SUMIFS('AR SALES'!$Y$2:$Y$2501,'AR SALES'!$L$2:$L$2501,$L3561,'AR SALES'!$AD$2:$AD$2501,"OFF"),2)=0,"","STALE")))</f>
        <v/>
      </c>
      <c r="BB3561" s="2" t="str">
        <f>IF(OR(""&amp;$F3561="2",""&amp;$F3561="4",""&amp;$F3561="G",""&amp;$F3561="H"),IF($AY3561="YES","",IF($AB3561&lt;&gt;0,"",IF(COUNTIFS('AR SALES'!$L$2:$L$2501,$L3561,'AR SALES'!$AD$2:$AD$2501,IF(""&amp;$F3561="4","OFF","ON"),'AR SALES'!$AF$2:$AF$2501,"Y")&gt;0,"","NO EXEMPTION"))),"")</f>
        <v/>
      </c>
    </row>
    <row r="3562" spans="46:54" x14ac:dyDescent="0.25">
      <c r="AT3562" s="2" t="str">
        <f>IF($L3562="","",IFERROR(INDEX('AR SALES'!$H$2:$H$2501,MATCH(""&amp;$L3562,'AR SALES'!$AE$2:$AE$2501,0)),""))</f>
        <v/>
      </c>
      <c r="AU3562" s="2" t="str">
        <f t="shared" si="220"/>
        <v/>
      </c>
      <c r="AV3562" s="2" t="str">
        <f t="shared" si="221"/>
        <v/>
      </c>
      <c r="AW3562" s="2" t="str">
        <f t="shared" si="222"/>
        <v/>
      </c>
      <c r="AX3562" s="2" t="str">
        <f t="shared" si="223"/>
        <v/>
      </c>
      <c r="AY3562" s="2" t="str">
        <f>IF($AV3562="","",IF(AND($Z3562=0,COUNTIF('AR SALES'!$L$2:$L$2501,$L3562)=0),"YES",""))</f>
        <v/>
      </c>
      <c r="AZ3562" s="2" t="str">
        <f>IF($AV3562="","",IF(COUNTIF(LISTS!$C$2:$C$250,$AU3562)=0,"NEW",""))</f>
        <v/>
      </c>
      <c r="BA3562" s="2" t="str">
        <f>IF(""&amp;$F3562&lt;&gt;"4","",IF($AY3562="YES","",IF(ROUND(SUMIFS($AE$2:$AE$4001,$L$2:$L$4001,$L3562,$F$2:$F$4001,"4")-SUMIFS('AR SALES'!$Y$2:$Y$2501,'AR SALES'!$L$2:$L$2501,$L3562,'AR SALES'!$AD$2:$AD$2501,"OFF"),2)=0,"","STALE")))</f>
        <v/>
      </c>
      <c r="BB3562" s="2" t="str">
        <f>IF(OR(""&amp;$F3562="2",""&amp;$F3562="4",""&amp;$F3562="G",""&amp;$F3562="H"),IF($AY3562="YES","",IF($AB3562&lt;&gt;0,"",IF(COUNTIFS('AR SALES'!$L$2:$L$2501,$L3562,'AR SALES'!$AD$2:$AD$2501,IF(""&amp;$F3562="4","OFF","ON"),'AR SALES'!$AF$2:$AF$2501,"Y")&gt;0,"","NO EXEMPTION"))),"")</f>
        <v/>
      </c>
    </row>
    <row r="3563" spans="46:54" x14ac:dyDescent="0.25">
      <c r="AT3563" s="2" t="str">
        <f>IF($L3563="","",IFERROR(INDEX('AR SALES'!$H$2:$H$2501,MATCH(""&amp;$L3563,'AR SALES'!$AE$2:$AE$2501,0)),""))</f>
        <v/>
      </c>
      <c r="AU3563" s="2" t="str">
        <f t="shared" si="220"/>
        <v/>
      </c>
      <c r="AV3563" s="2" t="str">
        <f t="shared" si="221"/>
        <v/>
      </c>
      <c r="AW3563" s="2" t="str">
        <f t="shared" si="222"/>
        <v/>
      </c>
      <c r="AX3563" s="2" t="str">
        <f t="shared" si="223"/>
        <v/>
      </c>
      <c r="AY3563" s="2" t="str">
        <f>IF($AV3563="","",IF(AND($Z3563=0,COUNTIF('AR SALES'!$L$2:$L$2501,$L3563)=0),"YES",""))</f>
        <v/>
      </c>
      <c r="AZ3563" s="2" t="str">
        <f>IF($AV3563="","",IF(COUNTIF(LISTS!$C$2:$C$250,$AU3563)=0,"NEW",""))</f>
        <v/>
      </c>
      <c r="BA3563" s="2" t="str">
        <f>IF(""&amp;$F3563&lt;&gt;"4","",IF($AY3563="YES","",IF(ROUND(SUMIFS($AE$2:$AE$4001,$L$2:$L$4001,$L3563,$F$2:$F$4001,"4")-SUMIFS('AR SALES'!$Y$2:$Y$2501,'AR SALES'!$L$2:$L$2501,$L3563,'AR SALES'!$AD$2:$AD$2501,"OFF"),2)=0,"","STALE")))</f>
        <v/>
      </c>
      <c r="BB3563" s="2" t="str">
        <f>IF(OR(""&amp;$F3563="2",""&amp;$F3563="4",""&amp;$F3563="G",""&amp;$F3563="H"),IF($AY3563="YES","",IF($AB3563&lt;&gt;0,"",IF(COUNTIFS('AR SALES'!$L$2:$L$2501,$L3563,'AR SALES'!$AD$2:$AD$2501,IF(""&amp;$F3563="4","OFF","ON"),'AR SALES'!$AF$2:$AF$2501,"Y")&gt;0,"","NO EXEMPTION"))),"")</f>
        <v/>
      </c>
    </row>
    <row r="3564" spans="46:54" x14ac:dyDescent="0.25">
      <c r="AT3564" s="2" t="str">
        <f>IF($L3564="","",IFERROR(INDEX('AR SALES'!$H$2:$H$2501,MATCH(""&amp;$L3564,'AR SALES'!$AE$2:$AE$2501,0)),""))</f>
        <v/>
      </c>
      <c r="AU3564" s="2" t="str">
        <f t="shared" si="220"/>
        <v/>
      </c>
      <c r="AV3564" s="2" t="str">
        <f t="shared" si="221"/>
        <v/>
      </c>
      <c r="AW3564" s="2" t="str">
        <f t="shared" si="222"/>
        <v/>
      </c>
      <c r="AX3564" s="2" t="str">
        <f t="shared" si="223"/>
        <v/>
      </c>
      <c r="AY3564" s="2" t="str">
        <f>IF($AV3564="","",IF(AND($Z3564=0,COUNTIF('AR SALES'!$L$2:$L$2501,$L3564)=0),"YES",""))</f>
        <v/>
      </c>
      <c r="AZ3564" s="2" t="str">
        <f>IF($AV3564="","",IF(COUNTIF(LISTS!$C$2:$C$250,$AU3564)=0,"NEW",""))</f>
        <v/>
      </c>
      <c r="BA3564" s="2" t="str">
        <f>IF(""&amp;$F3564&lt;&gt;"4","",IF($AY3564="YES","",IF(ROUND(SUMIFS($AE$2:$AE$4001,$L$2:$L$4001,$L3564,$F$2:$F$4001,"4")-SUMIFS('AR SALES'!$Y$2:$Y$2501,'AR SALES'!$L$2:$L$2501,$L3564,'AR SALES'!$AD$2:$AD$2501,"OFF"),2)=0,"","STALE")))</f>
        <v/>
      </c>
      <c r="BB3564" s="2" t="str">
        <f>IF(OR(""&amp;$F3564="2",""&amp;$F3564="4",""&amp;$F3564="G",""&amp;$F3564="H"),IF($AY3564="YES","",IF($AB3564&lt;&gt;0,"",IF(COUNTIFS('AR SALES'!$L$2:$L$2501,$L3564,'AR SALES'!$AD$2:$AD$2501,IF(""&amp;$F3564="4","OFF","ON"),'AR SALES'!$AF$2:$AF$2501,"Y")&gt;0,"","NO EXEMPTION"))),"")</f>
        <v/>
      </c>
    </row>
    <row r="3565" spans="46:54" x14ac:dyDescent="0.25">
      <c r="AT3565" s="2" t="str">
        <f>IF($L3565="","",IFERROR(INDEX('AR SALES'!$H$2:$H$2501,MATCH(""&amp;$L3565,'AR SALES'!$AE$2:$AE$2501,0)),""))</f>
        <v/>
      </c>
      <c r="AU3565" s="2" t="str">
        <f t="shared" si="220"/>
        <v/>
      </c>
      <c r="AV3565" s="2" t="str">
        <f t="shared" si="221"/>
        <v/>
      </c>
      <c r="AW3565" s="2" t="str">
        <f t="shared" si="222"/>
        <v/>
      </c>
      <c r="AX3565" s="2" t="str">
        <f t="shared" si="223"/>
        <v/>
      </c>
      <c r="AY3565" s="2" t="str">
        <f>IF($AV3565="","",IF(AND($Z3565=0,COUNTIF('AR SALES'!$L$2:$L$2501,$L3565)=0),"YES",""))</f>
        <v/>
      </c>
      <c r="AZ3565" s="2" t="str">
        <f>IF($AV3565="","",IF(COUNTIF(LISTS!$C$2:$C$250,$AU3565)=0,"NEW",""))</f>
        <v/>
      </c>
      <c r="BA3565" s="2" t="str">
        <f>IF(""&amp;$F3565&lt;&gt;"4","",IF($AY3565="YES","",IF(ROUND(SUMIFS($AE$2:$AE$4001,$L$2:$L$4001,$L3565,$F$2:$F$4001,"4")-SUMIFS('AR SALES'!$Y$2:$Y$2501,'AR SALES'!$L$2:$L$2501,$L3565,'AR SALES'!$AD$2:$AD$2501,"OFF"),2)=0,"","STALE")))</f>
        <v/>
      </c>
      <c r="BB3565" s="2" t="str">
        <f>IF(OR(""&amp;$F3565="2",""&amp;$F3565="4",""&amp;$F3565="G",""&amp;$F3565="H"),IF($AY3565="YES","",IF($AB3565&lt;&gt;0,"",IF(COUNTIFS('AR SALES'!$L$2:$L$2501,$L3565,'AR SALES'!$AD$2:$AD$2501,IF(""&amp;$F3565="4","OFF","ON"),'AR SALES'!$AF$2:$AF$2501,"Y")&gt;0,"","NO EXEMPTION"))),"")</f>
        <v/>
      </c>
    </row>
    <row r="3566" spans="46:54" x14ac:dyDescent="0.25">
      <c r="AT3566" s="2" t="str">
        <f>IF($L3566="","",IFERROR(INDEX('AR SALES'!$H$2:$H$2501,MATCH(""&amp;$L3566,'AR SALES'!$AE$2:$AE$2501,0)),""))</f>
        <v/>
      </c>
      <c r="AU3566" s="2" t="str">
        <f t="shared" si="220"/>
        <v/>
      </c>
      <c r="AV3566" s="2" t="str">
        <f t="shared" si="221"/>
        <v/>
      </c>
      <c r="AW3566" s="2" t="str">
        <f t="shared" si="222"/>
        <v/>
      </c>
      <c r="AX3566" s="2" t="str">
        <f t="shared" si="223"/>
        <v/>
      </c>
      <c r="AY3566" s="2" t="str">
        <f>IF($AV3566="","",IF(AND($Z3566=0,COUNTIF('AR SALES'!$L$2:$L$2501,$L3566)=0),"YES",""))</f>
        <v/>
      </c>
      <c r="AZ3566" s="2" t="str">
        <f>IF($AV3566="","",IF(COUNTIF(LISTS!$C$2:$C$250,$AU3566)=0,"NEW",""))</f>
        <v/>
      </c>
      <c r="BA3566" s="2" t="str">
        <f>IF(""&amp;$F3566&lt;&gt;"4","",IF($AY3566="YES","",IF(ROUND(SUMIFS($AE$2:$AE$4001,$L$2:$L$4001,$L3566,$F$2:$F$4001,"4")-SUMIFS('AR SALES'!$Y$2:$Y$2501,'AR SALES'!$L$2:$L$2501,$L3566,'AR SALES'!$AD$2:$AD$2501,"OFF"),2)=0,"","STALE")))</f>
        <v/>
      </c>
      <c r="BB3566" s="2" t="str">
        <f>IF(OR(""&amp;$F3566="2",""&amp;$F3566="4",""&amp;$F3566="G",""&amp;$F3566="H"),IF($AY3566="YES","",IF($AB3566&lt;&gt;0,"",IF(COUNTIFS('AR SALES'!$L$2:$L$2501,$L3566,'AR SALES'!$AD$2:$AD$2501,IF(""&amp;$F3566="4","OFF","ON"),'AR SALES'!$AF$2:$AF$2501,"Y")&gt;0,"","NO EXEMPTION"))),"")</f>
        <v/>
      </c>
    </row>
    <row r="3567" spans="46:54" x14ac:dyDescent="0.25">
      <c r="AT3567" s="2" t="str">
        <f>IF($L3567="","",IFERROR(INDEX('AR SALES'!$H$2:$H$2501,MATCH(""&amp;$L3567,'AR SALES'!$AE$2:$AE$2501,0)),""))</f>
        <v/>
      </c>
      <c r="AU3567" s="2" t="str">
        <f t="shared" si="220"/>
        <v/>
      </c>
      <c r="AV3567" s="2" t="str">
        <f t="shared" si="221"/>
        <v/>
      </c>
      <c r="AW3567" s="2" t="str">
        <f t="shared" si="222"/>
        <v/>
      </c>
      <c r="AX3567" s="2" t="str">
        <f t="shared" si="223"/>
        <v/>
      </c>
      <c r="AY3567" s="2" t="str">
        <f>IF($AV3567="","",IF(AND($Z3567=0,COUNTIF('AR SALES'!$L$2:$L$2501,$L3567)=0),"YES",""))</f>
        <v/>
      </c>
      <c r="AZ3567" s="2" t="str">
        <f>IF($AV3567="","",IF(COUNTIF(LISTS!$C$2:$C$250,$AU3567)=0,"NEW",""))</f>
        <v/>
      </c>
      <c r="BA3567" s="2" t="str">
        <f>IF(""&amp;$F3567&lt;&gt;"4","",IF($AY3567="YES","",IF(ROUND(SUMIFS($AE$2:$AE$4001,$L$2:$L$4001,$L3567,$F$2:$F$4001,"4")-SUMIFS('AR SALES'!$Y$2:$Y$2501,'AR SALES'!$L$2:$L$2501,$L3567,'AR SALES'!$AD$2:$AD$2501,"OFF"),2)=0,"","STALE")))</f>
        <v/>
      </c>
      <c r="BB3567" s="2" t="str">
        <f>IF(OR(""&amp;$F3567="2",""&amp;$F3567="4",""&amp;$F3567="G",""&amp;$F3567="H"),IF($AY3567="YES","",IF($AB3567&lt;&gt;0,"",IF(COUNTIFS('AR SALES'!$L$2:$L$2501,$L3567,'AR SALES'!$AD$2:$AD$2501,IF(""&amp;$F3567="4","OFF","ON"),'AR SALES'!$AF$2:$AF$2501,"Y")&gt;0,"","NO EXEMPTION"))),"")</f>
        <v/>
      </c>
    </row>
    <row r="3568" spans="46:54" x14ac:dyDescent="0.25">
      <c r="AT3568" s="2" t="str">
        <f>IF($L3568="","",IFERROR(INDEX('AR SALES'!$H$2:$H$2501,MATCH(""&amp;$L3568,'AR SALES'!$AE$2:$AE$2501,0)),""))</f>
        <v/>
      </c>
      <c r="AU3568" s="2" t="str">
        <f t="shared" si="220"/>
        <v/>
      </c>
      <c r="AV3568" s="2" t="str">
        <f t="shared" si="221"/>
        <v/>
      </c>
      <c r="AW3568" s="2" t="str">
        <f t="shared" si="222"/>
        <v/>
      </c>
      <c r="AX3568" s="2" t="str">
        <f t="shared" si="223"/>
        <v/>
      </c>
      <c r="AY3568" s="2" t="str">
        <f>IF($AV3568="","",IF(AND($Z3568=0,COUNTIF('AR SALES'!$L$2:$L$2501,$L3568)=0),"YES",""))</f>
        <v/>
      </c>
      <c r="AZ3568" s="2" t="str">
        <f>IF($AV3568="","",IF(COUNTIF(LISTS!$C$2:$C$250,$AU3568)=0,"NEW",""))</f>
        <v/>
      </c>
      <c r="BA3568" s="2" t="str">
        <f>IF(""&amp;$F3568&lt;&gt;"4","",IF($AY3568="YES","",IF(ROUND(SUMIFS($AE$2:$AE$4001,$L$2:$L$4001,$L3568,$F$2:$F$4001,"4")-SUMIFS('AR SALES'!$Y$2:$Y$2501,'AR SALES'!$L$2:$L$2501,$L3568,'AR SALES'!$AD$2:$AD$2501,"OFF"),2)=0,"","STALE")))</f>
        <v/>
      </c>
      <c r="BB3568" s="2" t="str">
        <f>IF(OR(""&amp;$F3568="2",""&amp;$F3568="4",""&amp;$F3568="G",""&amp;$F3568="H"),IF($AY3568="YES","",IF($AB3568&lt;&gt;0,"",IF(COUNTIFS('AR SALES'!$L$2:$L$2501,$L3568,'AR SALES'!$AD$2:$AD$2501,IF(""&amp;$F3568="4","OFF","ON"),'AR SALES'!$AF$2:$AF$2501,"Y")&gt;0,"","NO EXEMPTION"))),"")</f>
        <v/>
      </c>
    </row>
    <row r="3569" spans="46:54" x14ac:dyDescent="0.25">
      <c r="AT3569" s="2" t="str">
        <f>IF($L3569="","",IFERROR(INDEX('AR SALES'!$H$2:$H$2501,MATCH(""&amp;$L3569,'AR SALES'!$AE$2:$AE$2501,0)),""))</f>
        <v/>
      </c>
      <c r="AU3569" s="2" t="str">
        <f t="shared" si="220"/>
        <v/>
      </c>
      <c r="AV3569" s="2" t="str">
        <f t="shared" si="221"/>
        <v/>
      </c>
      <c r="AW3569" s="2" t="str">
        <f t="shared" si="222"/>
        <v/>
      </c>
      <c r="AX3569" s="2" t="str">
        <f t="shared" si="223"/>
        <v/>
      </c>
      <c r="AY3569" s="2" t="str">
        <f>IF($AV3569="","",IF(AND($Z3569=0,COUNTIF('AR SALES'!$L$2:$L$2501,$L3569)=0),"YES",""))</f>
        <v/>
      </c>
      <c r="AZ3569" s="2" t="str">
        <f>IF($AV3569="","",IF(COUNTIF(LISTS!$C$2:$C$250,$AU3569)=0,"NEW",""))</f>
        <v/>
      </c>
      <c r="BA3569" s="2" t="str">
        <f>IF(""&amp;$F3569&lt;&gt;"4","",IF($AY3569="YES","",IF(ROUND(SUMIFS($AE$2:$AE$4001,$L$2:$L$4001,$L3569,$F$2:$F$4001,"4")-SUMIFS('AR SALES'!$Y$2:$Y$2501,'AR SALES'!$L$2:$L$2501,$L3569,'AR SALES'!$AD$2:$AD$2501,"OFF"),2)=0,"","STALE")))</f>
        <v/>
      </c>
      <c r="BB3569" s="2" t="str">
        <f>IF(OR(""&amp;$F3569="2",""&amp;$F3569="4",""&amp;$F3569="G",""&amp;$F3569="H"),IF($AY3569="YES","",IF($AB3569&lt;&gt;0,"",IF(COUNTIFS('AR SALES'!$L$2:$L$2501,$L3569,'AR SALES'!$AD$2:$AD$2501,IF(""&amp;$F3569="4","OFF","ON"),'AR SALES'!$AF$2:$AF$2501,"Y")&gt;0,"","NO EXEMPTION"))),"")</f>
        <v/>
      </c>
    </row>
    <row r="3570" spans="46:54" x14ac:dyDescent="0.25">
      <c r="AT3570" s="2" t="str">
        <f>IF($L3570="","",IFERROR(INDEX('AR SALES'!$H$2:$H$2501,MATCH(""&amp;$L3570,'AR SALES'!$AE$2:$AE$2501,0)),""))</f>
        <v/>
      </c>
      <c r="AU3570" s="2" t="str">
        <f t="shared" si="220"/>
        <v/>
      </c>
      <c r="AV3570" s="2" t="str">
        <f t="shared" si="221"/>
        <v/>
      </c>
      <c r="AW3570" s="2" t="str">
        <f t="shared" si="222"/>
        <v/>
      </c>
      <c r="AX3570" s="2" t="str">
        <f t="shared" si="223"/>
        <v/>
      </c>
      <c r="AY3570" s="2" t="str">
        <f>IF($AV3570="","",IF(AND($Z3570=0,COUNTIF('AR SALES'!$L$2:$L$2501,$L3570)=0),"YES",""))</f>
        <v/>
      </c>
      <c r="AZ3570" s="2" t="str">
        <f>IF($AV3570="","",IF(COUNTIF(LISTS!$C$2:$C$250,$AU3570)=0,"NEW",""))</f>
        <v/>
      </c>
      <c r="BA3570" s="2" t="str">
        <f>IF(""&amp;$F3570&lt;&gt;"4","",IF($AY3570="YES","",IF(ROUND(SUMIFS($AE$2:$AE$4001,$L$2:$L$4001,$L3570,$F$2:$F$4001,"4")-SUMIFS('AR SALES'!$Y$2:$Y$2501,'AR SALES'!$L$2:$L$2501,$L3570,'AR SALES'!$AD$2:$AD$2501,"OFF"),2)=0,"","STALE")))</f>
        <v/>
      </c>
      <c r="BB3570" s="2" t="str">
        <f>IF(OR(""&amp;$F3570="2",""&amp;$F3570="4",""&amp;$F3570="G",""&amp;$F3570="H"),IF($AY3570="YES","",IF($AB3570&lt;&gt;0,"",IF(COUNTIFS('AR SALES'!$L$2:$L$2501,$L3570,'AR SALES'!$AD$2:$AD$2501,IF(""&amp;$F3570="4","OFF","ON"),'AR SALES'!$AF$2:$AF$2501,"Y")&gt;0,"","NO EXEMPTION"))),"")</f>
        <v/>
      </c>
    </row>
    <row r="3571" spans="46:54" x14ac:dyDescent="0.25">
      <c r="AT3571" s="2" t="str">
        <f>IF($L3571="","",IFERROR(INDEX('AR SALES'!$H$2:$H$2501,MATCH(""&amp;$L3571,'AR SALES'!$AE$2:$AE$2501,0)),""))</f>
        <v/>
      </c>
      <c r="AU3571" s="2" t="str">
        <f t="shared" si="220"/>
        <v/>
      </c>
      <c r="AV3571" s="2" t="str">
        <f t="shared" si="221"/>
        <v/>
      </c>
      <c r="AW3571" s="2" t="str">
        <f t="shared" si="222"/>
        <v/>
      </c>
      <c r="AX3571" s="2" t="str">
        <f t="shared" si="223"/>
        <v/>
      </c>
      <c r="AY3571" s="2" t="str">
        <f>IF($AV3571="","",IF(AND($Z3571=0,COUNTIF('AR SALES'!$L$2:$L$2501,$L3571)=0),"YES",""))</f>
        <v/>
      </c>
      <c r="AZ3571" s="2" t="str">
        <f>IF($AV3571="","",IF(COUNTIF(LISTS!$C$2:$C$250,$AU3571)=0,"NEW",""))</f>
        <v/>
      </c>
      <c r="BA3571" s="2" t="str">
        <f>IF(""&amp;$F3571&lt;&gt;"4","",IF($AY3571="YES","",IF(ROUND(SUMIFS($AE$2:$AE$4001,$L$2:$L$4001,$L3571,$F$2:$F$4001,"4")-SUMIFS('AR SALES'!$Y$2:$Y$2501,'AR SALES'!$L$2:$L$2501,$L3571,'AR SALES'!$AD$2:$AD$2501,"OFF"),2)=0,"","STALE")))</f>
        <v/>
      </c>
      <c r="BB3571" s="2" t="str">
        <f>IF(OR(""&amp;$F3571="2",""&amp;$F3571="4",""&amp;$F3571="G",""&amp;$F3571="H"),IF($AY3571="YES","",IF($AB3571&lt;&gt;0,"",IF(COUNTIFS('AR SALES'!$L$2:$L$2501,$L3571,'AR SALES'!$AD$2:$AD$2501,IF(""&amp;$F3571="4","OFF","ON"),'AR SALES'!$AF$2:$AF$2501,"Y")&gt;0,"","NO EXEMPTION"))),"")</f>
        <v/>
      </c>
    </row>
    <row r="3572" spans="46:54" x14ac:dyDescent="0.25">
      <c r="AT3572" s="2" t="str">
        <f>IF($L3572="","",IFERROR(INDEX('AR SALES'!$H$2:$H$2501,MATCH(""&amp;$L3572,'AR SALES'!$AE$2:$AE$2501,0)),""))</f>
        <v/>
      </c>
      <c r="AU3572" s="2" t="str">
        <f t="shared" si="220"/>
        <v/>
      </c>
      <c r="AV3572" s="2" t="str">
        <f t="shared" si="221"/>
        <v/>
      </c>
      <c r="AW3572" s="2" t="str">
        <f t="shared" si="222"/>
        <v/>
      </c>
      <c r="AX3572" s="2" t="str">
        <f t="shared" si="223"/>
        <v/>
      </c>
      <c r="AY3572" s="2" t="str">
        <f>IF($AV3572="","",IF(AND($Z3572=0,COUNTIF('AR SALES'!$L$2:$L$2501,$L3572)=0),"YES",""))</f>
        <v/>
      </c>
      <c r="AZ3572" s="2" t="str">
        <f>IF($AV3572="","",IF(COUNTIF(LISTS!$C$2:$C$250,$AU3572)=0,"NEW",""))</f>
        <v/>
      </c>
      <c r="BA3572" s="2" t="str">
        <f>IF(""&amp;$F3572&lt;&gt;"4","",IF($AY3572="YES","",IF(ROUND(SUMIFS($AE$2:$AE$4001,$L$2:$L$4001,$L3572,$F$2:$F$4001,"4")-SUMIFS('AR SALES'!$Y$2:$Y$2501,'AR SALES'!$L$2:$L$2501,$L3572,'AR SALES'!$AD$2:$AD$2501,"OFF"),2)=0,"","STALE")))</f>
        <v/>
      </c>
      <c r="BB3572" s="2" t="str">
        <f>IF(OR(""&amp;$F3572="2",""&amp;$F3572="4",""&amp;$F3572="G",""&amp;$F3572="H"),IF($AY3572="YES","",IF($AB3572&lt;&gt;0,"",IF(COUNTIFS('AR SALES'!$L$2:$L$2501,$L3572,'AR SALES'!$AD$2:$AD$2501,IF(""&amp;$F3572="4","OFF","ON"),'AR SALES'!$AF$2:$AF$2501,"Y")&gt;0,"","NO EXEMPTION"))),"")</f>
        <v/>
      </c>
    </row>
    <row r="3573" spans="46:54" x14ac:dyDescent="0.25">
      <c r="AT3573" s="2" t="str">
        <f>IF($L3573="","",IFERROR(INDEX('AR SALES'!$H$2:$H$2501,MATCH(""&amp;$L3573,'AR SALES'!$AE$2:$AE$2501,0)),""))</f>
        <v/>
      </c>
      <c r="AU3573" s="2" t="str">
        <f t="shared" si="220"/>
        <v/>
      </c>
      <c r="AV3573" s="2" t="str">
        <f t="shared" si="221"/>
        <v/>
      </c>
      <c r="AW3573" s="2" t="str">
        <f t="shared" si="222"/>
        <v/>
      </c>
      <c r="AX3573" s="2" t="str">
        <f t="shared" si="223"/>
        <v/>
      </c>
      <c r="AY3573" s="2" t="str">
        <f>IF($AV3573="","",IF(AND($Z3573=0,COUNTIF('AR SALES'!$L$2:$L$2501,$L3573)=0),"YES",""))</f>
        <v/>
      </c>
      <c r="AZ3573" s="2" t="str">
        <f>IF($AV3573="","",IF(COUNTIF(LISTS!$C$2:$C$250,$AU3573)=0,"NEW",""))</f>
        <v/>
      </c>
      <c r="BA3573" s="2" t="str">
        <f>IF(""&amp;$F3573&lt;&gt;"4","",IF($AY3573="YES","",IF(ROUND(SUMIFS($AE$2:$AE$4001,$L$2:$L$4001,$L3573,$F$2:$F$4001,"4")-SUMIFS('AR SALES'!$Y$2:$Y$2501,'AR SALES'!$L$2:$L$2501,$L3573,'AR SALES'!$AD$2:$AD$2501,"OFF"),2)=0,"","STALE")))</f>
        <v/>
      </c>
      <c r="BB3573" s="2" t="str">
        <f>IF(OR(""&amp;$F3573="2",""&amp;$F3573="4",""&amp;$F3573="G",""&amp;$F3573="H"),IF($AY3573="YES","",IF($AB3573&lt;&gt;0,"",IF(COUNTIFS('AR SALES'!$L$2:$L$2501,$L3573,'AR SALES'!$AD$2:$AD$2501,IF(""&amp;$F3573="4","OFF","ON"),'AR SALES'!$AF$2:$AF$2501,"Y")&gt;0,"","NO EXEMPTION"))),"")</f>
        <v/>
      </c>
    </row>
    <row r="3574" spans="46:54" x14ac:dyDescent="0.25">
      <c r="AT3574" s="2" t="str">
        <f>IF($L3574="","",IFERROR(INDEX('AR SALES'!$H$2:$H$2501,MATCH(""&amp;$L3574,'AR SALES'!$AE$2:$AE$2501,0)),""))</f>
        <v/>
      </c>
      <c r="AU3574" s="2" t="str">
        <f t="shared" si="220"/>
        <v/>
      </c>
      <c r="AV3574" s="2" t="str">
        <f t="shared" si="221"/>
        <v/>
      </c>
      <c r="AW3574" s="2" t="str">
        <f t="shared" si="222"/>
        <v/>
      </c>
      <c r="AX3574" s="2" t="str">
        <f t="shared" si="223"/>
        <v/>
      </c>
      <c r="AY3574" s="2" t="str">
        <f>IF($AV3574="","",IF(AND($Z3574=0,COUNTIF('AR SALES'!$L$2:$L$2501,$L3574)=0),"YES",""))</f>
        <v/>
      </c>
      <c r="AZ3574" s="2" t="str">
        <f>IF($AV3574="","",IF(COUNTIF(LISTS!$C$2:$C$250,$AU3574)=0,"NEW",""))</f>
        <v/>
      </c>
      <c r="BA3574" s="2" t="str">
        <f>IF(""&amp;$F3574&lt;&gt;"4","",IF($AY3574="YES","",IF(ROUND(SUMIFS($AE$2:$AE$4001,$L$2:$L$4001,$L3574,$F$2:$F$4001,"4")-SUMIFS('AR SALES'!$Y$2:$Y$2501,'AR SALES'!$L$2:$L$2501,$L3574,'AR SALES'!$AD$2:$AD$2501,"OFF"),2)=0,"","STALE")))</f>
        <v/>
      </c>
      <c r="BB3574" s="2" t="str">
        <f>IF(OR(""&amp;$F3574="2",""&amp;$F3574="4",""&amp;$F3574="G",""&amp;$F3574="H"),IF($AY3574="YES","",IF($AB3574&lt;&gt;0,"",IF(COUNTIFS('AR SALES'!$L$2:$L$2501,$L3574,'AR SALES'!$AD$2:$AD$2501,IF(""&amp;$F3574="4","OFF","ON"),'AR SALES'!$AF$2:$AF$2501,"Y")&gt;0,"","NO EXEMPTION"))),"")</f>
        <v/>
      </c>
    </row>
    <row r="3575" spans="46:54" x14ac:dyDescent="0.25">
      <c r="AT3575" s="2" t="str">
        <f>IF($L3575="","",IFERROR(INDEX('AR SALES'!$H$2:$H$2501,MATCH(""&amp;$L3575,'AR SALES'!$AE$2:$AE$2501,0)),""))</f>
        <v/>
      </c>
      <c r="AU3575" s="2" t="str">
        <f t="shared" si="220"/>
        <v/>
      </c>
      <c r="AV3575" s="2" t="str">
        <f t="shared" si="221"/>
        <v/>
      </c>
      <c r="AW3575" s="2" t="str">
        <f t="shared" si="222"/>
        <v/>
      </c>
      <c r="AX3575" s="2" t="str">
        <f t="shared" si="223"/>
        <v/>
      </c>
      <c r="AY3575" s="2" t="str">
        <f>IF($AV3575="","",IF(AND($Z3575=0,COUNTIF('AR SALES'!$L$2:$L$2501,$L3575)=0),"YES",""))</f>
        <v/>
      </c>
      <c r="AZ3575" s="2" t="str">
        <f>IF($AV3575="","",IF(COUNTIF(LISTS!$C$2:$C$250,$AU3575)=0,"NEW",""))</f>
        <v/>
      </c>
      <c r="BA3575" s="2" t="str">
        <f>IF(""&amp;$F3575&lt;&gt;"4","",IF($AY3575="YES","",IF(ROUND(SUMIFS($AE$2:$AE$4001,$L$2:$L$4001,$L3575,$F$2:$F$4001,"4")-SUMIFS('AR SALES'!$Y$2:$Y$2501,'AR SALES'!$L$2:$L$2501,$L3575,'AR SALES'!$AD$2:$AD$2501,"OFF"),2)=0,"","STALE")))</f>
        <v/>
      </c>
      <c r="BB3575" s="2" t="str">
        <f>IF(OR(""&amp;$F3575="2",""&amp;$F3575="4",""&amp;$F3575="G",""&amp;$F3575="H"),IF($AY3575="YES","",IF($AB3575&lt;&gt;0,"",IF(COUNTIFS('AR SALES'!$L$2:$L$2501,$L3575,'AR SALES'!$AD$2:$AD$2501,IF(""&amp;$F3575="4","OFF","ON"),'AR SALES'!$AF$2:$AF$2501,"Y")&gt;0,"","NO EXEMPTION"))),"")</f>
        <v/>
      </c>
    </row>
    <row r="3576" spans="46:54" x14ac:dyDescent="0.25">
      <c r="AT3576" s="2" t="str">
        <f>IF($L3576="","",IFERROR(INDEX('AR SALES'!$H$2:$H$2501,MATCH(""&amp;$L3576,'AR SALES'!$AE$2:$AE$2501,0)),""))</f>
        <v/>
      </c>
      <c r="AU3576" s="2" t="str">
        <f t="shared" si="220"/>
        <v/>
      </c>
      <c r="AV3576" s="2" t="str">
        <f t="shared" si="221"/>
        <v/>
      </c>
      <c r="AW3576" s="2" t="str">
        <f t="shared" si="222"/>
        <v/>
      </c>
      <c r="AX3576" s="2" t="str">
        <f t="shared" si="223"/>
        <v/>
      </c>
      <c r="AY3576" s="2" t="str">
        <f>IF($AV3576="","",IF(AND($Z3576=0,COUNTIF('AR SALES'!$L$2:$L$2501,$L3576)=0),"YES",""))</f>
        <v/>
      </c>
      <c r="AZ3576" s="2" t="str">
        <f>IF($AV3576="","",IF(COUNTIF(LISTS!$C$2:$C$250,$AU3576)=0,"NEW",""))</f>
        <v/>
      </c>
      <c r="BA3576" s="2" t="str">
        <f>IF(""&amp;$F3576&lt;&gt;"4","",IF($AY3576="YES","",IF(ROUND(SUMIFS($AE$2:$AE$4001,$L$2:$L$4001,$L3576,$F$2:$F$4001,"4")-SUMIFS('AR SALES'!$Y$2:$Y$2501,'AR SALES'!$L$2:$L$2501,$L3576,'AR SALES'!$AD$2:$AD$2501,"OFF"),2)=0,"","STALE")))</f>
        <v/>
      </c>
      <c r="BB3576" s="2" t="str">
        <f>IF(OR(""&amp;$F3576="2",""&amp;$F3576="4",""&amp;$F3576="G",""&amp;$F3576="H"),IF($AY3576="YES","",IF($AB3576&lt;&gt;0,"",IF(COUNTIFS('AR SALES'!$L$2:$L$2501,$L3576,'AR SALES'!$AD$2:$AD$2501,IF(""&amp;$F3576="4","OFF","ON"),'AR SALES'!$AF$2:$AF$2501,"Y")&gt;0,"","NO EXEMPTION"))),"")</f>
        <v/>
      </c>
    </row>
    <row r="3577" spans="46:54" x14ac:dyDescent="0.25">
      <c r="AT3577" s="2" t="str">
        <f>IF($L3577="","",IFERROR(INDEX('AR SALES'!$H$2:$H$2501,MATCH(""&amp;$L3577,'AR SALES'!$AE$2:$AE$2501,0)),""))</f>
        <v/>
      </c>
      <c r="AU3577" s="2" t="str">
        <f t="shared" si="220"/>
        <v/>
      </c>
      <c r="AV3577" s="2" t="str">
        <f t="shared" si="221"/>
        <v/>
      </c>
      <c r="AW3577" s="2" t="str">
        <f t="shared" si="222"/>
        <v/>
      </c>
      <c r="AX3577" s="2" t="str">
        <f t="shared" si="223"/>
        <v/>
      </c>
      <c r="AY3577" s="2" t="str">
        <f>IF($AV3577="","",IF(AND($Z3577=0,COUNTIF('AR SALES'!$L$2:$L$2501,$L3577)=0),"YES",""))</f>
        <v/>
      </c>
      <c r="AZ3577" s="2" t="str">
        <f>IF($AV3577="","",IF(COUNTIF(LISTS!$C$2:$C$250,$AU3577)=0,"NEW",""))</f>
        <v/>
      </c>
      <c r="BA3577" s="2" t="str">
        <f>IF(""&amp;$F3577&lt;&gt;"4","",IF($AY3577="YES","",IF(ROUND(SUMIFS($AE$2:$AE$4001,$L$2:$L$4001,$L3577,$F$2:$F$4001,"4")-SUMIFS('AR SALES'!$Y$2:$Y$2501,'AR SALES'!$L$2:$L$2501,$L3577,'AR SALES'!$AD$2:$AD$2501,"OFF"),2)=0,"","STALE")))</f>
        <v/>
      </c>
      <c r="BB3577" s="2" t="str">
        <f>IF(OR(""&amp;$F3577="2",""&amp;$F3577="4",""&amp;$F3577="G",""&amp;$F3577="H"),IF($AY3577="YES","",IF($AB3577&lt;&gt;0,"",IF(COUNTIFS('AR SALES'!$L$2:$L$2501,$L3577,'AR SALES'!$AD$2:$AD$2501,IF(""&amp;$F3577="4","OFF","ON"),'AR SALES'!$AF$2:$AF$2501,"Y")&gt;0,"","NO EXEMPTION"))),"")</f>
        <v/>
      </c>
    </row>
    <row r="3578" spans="46:54" x14ac:dyDescent="0.25">
      <c r="AT3578" s="2" t="str">
        <f>IF($L3578="","",IFERROR(INDEX('AR SALES'!$H$2:$H$2501,MATCH(""&amp;$L3578,'AR SALES'!$AE$2:$AE$2501,0)),""))</f>
        <v/>
      </c>
      <c r="AU3578" s="2" t="str">
        <f t="shared" si="220"/>
        <v/>
      </c>
      <c r="AV3578" s="2" t="str">
        <f t="shared" si="221"/>
        <v/>
      </c>
      <c r="AW3578" s="2" t="str">
        <f t="shared" si="222"/>
        <v/>
      </c>
      <c r="AX3578" s="2" t="str">
        <f t="shared" si="223"/>
        <v/>
      </c>
      <c r="AY3578" s="2" t="str">
        <f>IF($AV3578="","",IF(AND($Z3578=0,COUNTIF('AR SALES'!$L$2:$L$2501,$L3578)=0),"YES",""))</f>
        <v/>
      </c>
      <c r="AZ3578" s="2" t="str">
        <f>IF($AV3578="","",IF(COUNTIF(LISTS!$C$2:$C$250,$AU3578)=0,"NEW",""))</f>
        <v/>
      </c>
      <c r="BA3578" s="2" t="str">
        <f>IF(""&amp;$F3578&lt;&gt;"4","",IF($AY3578="YES","",IF(ROUND(SUMIFS($AE$2:$AE$4001,$L$2:$L$4001,$L3578,$F$2:$F$4001,"4")-SUMIFS('AR SALES'!$Y$2:$Y$2501,'AR SALES'!$L$2:$L$2501,$L3578,'AR SALES'!$AD$2:$AD$2501,"OFF"),2)=0,"","STALE")))</f>
        <v/>
      </c>
      <c r="BB3578" s="2" t="str">
        <f>IF(OR(""&amp;$F3578="2",""&amp;$F3578="4",""&amp;$F3578="G",""&amp;$F3578="H"),IF($AY3578="YES","",IF($AB3578&lt;&gt;0,"",IF(COUNTIFS('AR SALES'!$L$2:$L$2501,$L3578,'AR SALES'!$AD$2:$AD$2501,IF(""&amp;$F3578="4","OFF","ON"),'AR SALES'!$AF$2:$AF$2501,"Y")&gt;0,"","NO EXEMPTION"))),"")</f>
        <v/>
      </c>
    </row>
    <row r="3579" spans="46:54" x14ac:dyDescent="0.25">
      <c r="AT3579" s="2" t="str">
        <f>IF($L3579="","",IFERROR(INDEX('AR SALES'!$H$2:$H$2501,MATCH(""&amp;$L3579,'AR SALES'!$AE$2:$AE$2501,0)),""))</f>
        <v/>
      </c>
      <c r="AU3579" s="2" t="str">
        <f t="shared" si="220"/>
        <v/>
      </c>
      <c r="AV3579" s="2" t="str">
        <f t="shared" si="221"/>
        <v/>
      </c>
      <c r="AW3579" s="2" t="str">
        <f t="shared" si="222"/>
        <v/>
      </c>
      <c r="AX3579" s="2" t="str">
        <f t="shared" si="223"/>
        <v/>
      </c>
      <c r="AY3579" s="2" t="str">
        <f>IF($AV3579="","",IF(AND($Z3579=0,COUNTIF('AR SALES'!$L$2:$L$2501,$L3579)=0),"YES",""))</f>
        <v/>
      </c>
      <c r="AZ3579" s="2" t="str">
        <f>IF($AV3579="","",IF(COUNTIF(LISTS!$C$2:$C$250,$AU3579)=0,"NEW",""))</f>
        <v/>
      </c>
      <c r="BA3579" s="2" t="str">
        <f>IF(""&amp;$F3579&lt;&gt;"4","",IF($AY3579="YES","",IF(ROUND(SUMIFS($AE$2:$AE$4001,$L$2:$L$4001,$L3579,$F$2:$F$4001,"4")-SUMIFS('AR SALES'!$Y$2:$Y$2501,'AR SALES'!$L$2:$L$2501,$L3579,'AR SALES'!$AD$2:$AD$2501,"OFF"),2)=0,"","STALE")))</f>
        <v/>
      </c>
      <c r="BB3579" s="2" t="str">
        <f>IF(OR(""&amp;$F3579="2",""&amp;$F3579="4",""&amp;$F3579="G",""&amp;$F3579="H"),IF($AY3579="YES","",IF($AB3579&lt;&gt;0,"",IF(COUNTIFS('AR SALES'!$L$2:$L$2501,$L3579,'AR SALES'!$AD$2:$AD$2501,IF(""&amp;$F3579="4","OFF","ON"),'AR SALES'!$AF$2:$AF$2501,"Y")&gt;0,"","NO EXEMPTION"))),"")</f>
        <v/>
      </c>
    </row>
    <row r="3580" spans="46:54" x14ac:dyDescent="0.25">
      <c r="AT3580" s="2" t="str">
        <f>IF($L3580="","",IFERROR(INDEX('AR SALES'!$H$2:$H$2501,MATCH(""&amp;$L3580,'AR SALES'!$AE$2:$AE$2501,0)),""))</f>
        <v/>
      </c>
      <c r="AU3580" s="2" t="str">
        <f t="shared" si="220"/>
        <v/>
      </c>
      <c r="AV3580" s="2" t="str">
        <f t="shared" si="221"/>
        <v/>
      </c>
      <c r="AW3580" s="2" t="str">
        <f t="shared" si="222"/>
        <v/>
      </c>
      <c r="AX3580" s="2" t="str">
        <f t="shared" si="223"/>
        <v/>
      </c>
      <c r="AY3580" s="2" t="str">
        <f>IF($AV3580="","",IF(AND($Z3580=0,COUNTIF('AR SALES'!$L$2:$L$2501,$L3580)=0),"YES",""))</f>
        <v/>
      </c>
      <c r="AZ3580" s="2" t="str">
        <f>IF($AV3580="","",IF(COUNTIF(LISTS!$C$2:$C$250,$AU3580)=0,"NEW",""))</f>
        <v/>
      </c>
      <c r="BA3580" s="2" t="str">
        <f>IF(""&amp;$F3580&lt;&gt;"4","",IF($AY3580="YES","",IF(ROUND(SUMIFS($AE$2:$AE$4001,$L$2:$L$4001,$L3580,$F$2:$F$4001,"4")-SUMIFS('AR SALES'!$Y$2:$Y$2501,'AR SALES'!$L$2:$L$2501,$L3580,'AR SALES'!$AD$2:$AD$2501,"OFF"),2)=0,"","STALE")))</f>
        <v/>
      </c>
      <c r="BB3580" s="2" t="str">
        <f>IF(OR(""&amp;$F3580="2",""&amp;$F3580="4",""&amp;$F3580="G",""&amp;$F3580="H"),IF($AY3580="YES","",IF($AB3580&lt;&gt;0,"",IF(COUNTIFS('AR SALES'!$L$2:$L$2501,$L3580,'AR SALES'!$AD$2:$AD$2501,IF(""&amp;$F3580="4","OFF","ON"),'AR SALES'!$AF$2:$AF$2501,"Y")&gt;0,"","NO EXEMPTION"))),"")</f>
        <v/>
      </c>
    </row>
    <row r="3581" spans="46:54" x14ac:dyDescent="0.25">
      <c r="AT3581" s="2" t="str">
        <f>IF($L3581="","",IFERROR(INDEX('AR SALES'!$H$2:$H$2501,MATCH(""&amp;$L3581,'AR SALES'!$AE$2:$AE$2501,0)),""))</f>
        <v/>
      </c>
      <c r="AU3581" s="2" t="str">
        <f t="shared" si="220"/>
        <v/>
      </c>
      <c r="AV3581" s="2" t="str">
        <f t="shared" si="221"/>
        <v/>
      </c>
      <c r="AW3581" s="2" t="str">
        <f t="shared" si="222"/>
        <v/>
      </c>
      <c r="AX3581" s="2" t="str">
        <f t="shared" si="223"/>
        <v/>
      </c>
      <c r="AY3581" s="2" t="str">
        <f>IF($AV3581="","",IF(AND($Z3581=0,COUNTIF('AR SALES'!$L$2:$L$2501,$L3581)=0),"YES",""))</f>
        <v/>
      </c>
      <c r="AZ3581" s="2" t="str">
        <f>IF($AV3581="","",IF(COUNTIF(LISTS!$C$2:$C$250,$AU3581)=0,"NEW",""))</f>
        <v/>
      </c>
      <c r="BA3581" s="2" t="str">
        <f>IF(""&amp;$F3581&lt;&gt;"4","",IF($AY3581="YES","",IF(ROUND(SUMIFS($AE$2:$AE$4001,$L$2:$L$4001,$L3581,$F$2:$F$4001,"4")-SUMIFS('AR SALES'!$Y$2:$Y$2501,'AR SALES'!$L$2:$L$2501,$L3581,'AR SALES'!$AD$2:$AD$2501,"OFF"),2)=0,"","STALE")))</f>
        <v/>
      </c>
      <c r="BB3581" s="2" t="str">
        <f>IF(OR(""&amp;$F3581="2",""&amp;$F3581="4",""&amp;$F3581="G",""&amp;$F3581="H"),IF($AY3581="YES","",IF($AB3581&lt;&gt;0,"",IF(COUNTIFS('AR SALES'!$L$2:$L$2501,$L3581,'AR SALES'!$AD$2:$AD$2501,IF(""&amp;$F3581="4","OFF","ON"),'AR SALES'!$AF$2:$AF$2501,"Y")&gt;0,"","NO EXEMPTION"))),"")</f>
        <v/>
      </c>
    </row>
    <row r="3582" spans="46:54" x14ac:dyDescent="0.25">
      <c r="AT3582" s="2" t="str">
        <f>IF($L3582="","",IFERROR(INDEX('AR SALES'!$H$2:$H$2501,MATCH(""&amp;$L3582,'AR SALES'!$AE$2:$AE$2501,0)),""))</f>
        <v/>
      </c>
      <c r="AU3582" s="2" t="str">
        <f t="shared" si="220"/>
        <v/>
      </c>
      <c r="AV3582" s="2" t="str">
        <f t="shared" si="221"/>
        <v/>
      </c>
      <c r="AW3582" s="2" t="str">
        <f t="shared" si="222"/>
        <v/>
      </c>
      <c r="AX3582" s="2" t="str">
        <f t="shared" si="223"/>
        <v/>
      </c>
      <c r="AY3582" s="2" t="str">
        <f>IF($AV3582="","",IF(AND($Z3582=0,COUNTIF('AR SALES'!$L$2:$L$2501,$L3582)=0),"YES",""))</f>
        <v/>
      </c>
      <c r="AZ3582" s="2" t="str">
        <f>IF($AV3582="","",IF(COUNTIF(LISTS!$C$2:$C$250,$AU3582)=0,"NEW",""))</f>
        <v/>
      </c>
      <c r="BA3582" s="2" t="str">
        <f>IF(""&amp;$F3582&lt;&gt;"4","",IF($AY3582="YES","",IF(ROUND(SUMIFS($AE$2:$AE$4001,$L$2:$L$4001,$L3582,$F$2:$F$4001,"4")-SUMIFS('AR SALES'!$Y$2:$Y$2501,'AR SALES'!$L$2:$L$2501,$L3582,'AR SALES'!$AD$2:$AD$2501,"OFF"),2)=0,"","STALE")))</f>
        <v/>
      </c>
      <c r="BB3582" s="2" t="str">
        <f>IF(OR(""&amp;$F3582="2",""&amp;$F3582="4",""&amp;$F3582="G",""&amp;$F3582="H"),IF($AY3582="YES","",IF($AB3582&lt;&gt;0,"",IF(COUNTIFS('AR SALES'!$L$2:$L$2501,$L3582,'AR SALES'!$AD$2:$AD$2501,IF(""&amp;$F3582="4","OFF","ON"),'AR SALES'!$AF$2:$AF$2501,"Y")&gt;0,"","NO EXEMPTION"))),"")</f>
        <v/>
      </c>
    </row>
    <row r="3583" spans="46:54" x14ac:dyDescent="0.25">
      <c r="AT3583" s="2" t="str">
        <f>IF($L3583="","",IFERROR(INDEX('AR SALES'!$H$2:$H$2501,MATCH(""&amp;$L3583,'AR SALES'!$AE$2:$AE$2501,0)),""))</f>
        <v/>
      </c>
      <c r="AU3583" s="2" t="str">
        <f t="shared" si="220"/>
        <v/>
      </c>
      <c r="AV3583" s="2" t="str">
        <f t="shared" si="221"/>
        <v/>
      </c>
      <c r="AW3583" s="2" t="str">
        <f t="shared" si="222"/>
        <v/>
      </c>
      <c r="AX3583" s="2" t="str">
        <f t="shared" si="223"/>
        <v/>
      </c>
      <c r="AY3583" s="2" t="str">
        <f>IF($AV3583="","",IF(AND($Z3583=0,COUNTIF('AR SALES'!$L$2:$L$2501,$L3583)=0),"YES",""))</f>
        <v/>
      </c>
      <c r="AZ3583" s="2" t="str">
        <f>IF($AV3583="","",IF(COUNTIF(LISTS!$C$2:$C$250,$AU3583)=0,"NEW",""))</f>
        <v/>
      </c>
      <c r="BA3583" s="2" t="str">
        <f>IF(""&amp;$F3583&lt;&gt;"4","",IF($AY3583="YES","",IF(ROUND(SUMIFS($AE$2:$AE$4001,$L$2:$L$4001,$L3583,$F$2:$F$4001,"4")-SUMIFS('AR SALES'!$Y$2:$Y$2501,'AR SALES'!$L$2:$L$2501,$L3583,'AR SALES'!$AD$2:$AD$2501,"OFF"),2)=0,"","STALE")))</f>
        <v/>
      </c>
      <c r="BB3583" s="2" t="str">
        <f>IF(OR(""&amp;$F3583="2",""&amp;$F3583="4",""&amp;$F3583="G",""&amp;$F3583="H"),IF($AY3583="YES","",IF($AB3583&lt;&gt;0,"",IF(COUNTIFS('AR SALES'!$L$2:$L$2501,$L3583,'AR SALES'!$AD$2:$AD$2501,IF(""&amp;$F3583="4","OFF","ON"),'AR SALES'!$AF$2:$AF$2501,"Y")&gt;0,"","NO EXEMPTION"))),"")</f>
        <v/>
      </c>
    </row>
    <row r="3584" spans="46:54" x14ac:dyDescent="0.25">
      <c r="AT3584" s="2" t="str">
        <f>IF($L3584="","",IFERROR(INDEX('AR SALES'!$H$2:$H$2501,MATCH(""&amp;$L3584,'AR SALES'!$AE$2:$AE$2501,0)),""))</f>
        <v/>
      </c>
      <c r="AU3584" s="2" t="str">
        <f t="shared" si="220"/>
        <v/>
      </c>
      <c r="AV3584" s="2" t="str">
        <f t="shared" si="221"/>
        <v/>
      </c>
      <c r="AW3584" s="2" t="str">
        <f t="shared" si="222"/>
        <v/>
      </c>
      <c r="AX3584" s="2" t="str">
        <f t="shared" si="223"/>
        <v/>
      </c>
      <c r="AY3584" s="2" t="str">
        <f>IF($AV3584="","",IF(AND($Z3584=0,COUNTIF('AR SALES'!$L$2:$L$2501,$L3584)=0),"YES",""))</f>
        <v/>
      </c>
      <c r="AZ3584" s="2" t="str">
        <f>IF($AV3584="","",IF(COUNTIF(LISTS!$C$2:$C$250,$AU3584)=0,"NEW",""))</f>
        <v/>
      </c>
      <c r="BA3584" s="2" t="str">
        <f>IF(""&amp;$F3584&lt;&gt;"4","",IF($AY3584="YES","",IF(ROUND(SUMIFS($AE$2:$AE$4001,$L$2:$L$4001,$L3584,$F$2:$F$4001,"4")-SUMIFS('AR SALES'!$Y$2:$Y$2501,'AR SALES'!$L$2:$L$2501,$L3584,'AR SALES'!$AD$2:$AD$2501,"OFF"),2)=0,"","STALE")))</f>
        <v/>
      </c>
      <c r="BB3584" s="2" t="str">
        <f>IF(OR(""&amp;$F3584="2",""&amp;$F3584="4",""&amp;$F3584="G",""&amp;$F3584="H"),IF($AY3584="YES","",IF($AB3584&lt;&gt;0,"",IF(COUNTIFS('AR SALES'!$L$2:$L$2501,$L3584,'AR SALES'!$AD$2:$AD$2501,IF(""&amp;$F3584="4","OFF","ON"),'AR SALES'!$AF$2:$AF$2501,"Y")&gt;0,"","NO EXEMPTION"))),"")</f>
        <v/>
      </c>
    </row>
    <row r="3585" spans="46:54" x14ac:dyDescent="0.25">
      <c r="AT3585" s="2" t="str">
        <f>IF($L3585="","",IFERROR(INDEX('AR SALES'!$H$2:$H$2501,MATCH(""&amp;$L3585,'AR SALES'!$AE$2:$AE$2501,0)),""))</f>
        <v/>
      </c>
      <c r="AU3585" s="2" t="str">
        <f t="shared" si="220"/>
        <v/>
      </c>
      <c r="AV3585" s="2" t="str">
        <f t="shared" si="221"/>
        <v/>
      </c>
      <c r="AW3585" s="2" t="str">
        <f t="shared" si="222"/>
        <v/>
      </c>
      <c r="AX3585" s="2" t="str">
        <f t="shared" si="223"/>
        <v/>
      </c>
      <c r="AY3585" s="2" t="str">
        <f>IF($AV3585="","",IF(AND($Z3585=0,COUNTIF('AR SALES'!$L$2:$L$2501,$L3585)=0),"YES",""))</f>
        <v/>
      </c>
      <c r="AZ3585" s="2" t="str">
        <f>IF($AV3585="","",IF(COUNTIF(LISTS!$C$2:$C$250,$AU3585)=0,"NEW",""))</f>
        <v/>
      </c>
      <c r="BA3585" s="2" t="str">
        <f>IF(""&amp;$F3585&lt;&gt;"4","",IF($AY3585="YES","",IF(ROUND(SUMIFS($AE$2:$AE$4001,$L$2:$L$4001,$L3585,$F$2:$F$4001,"4")-SUMIFS('AR SALES'!$Y$2:$Y$2501,'AR SALES'!$L$2:$L$2501,$L3585,'AR SALES'!$AD$2:$AD$2501,"OFF"),2)=0,"","STALE")))</f>
        <v/>
      </c>
      <c r="BB3585" s="2" t="str">
        <f>IF(OR(""&amp;$F3585="2",""&amp;$F3585="4",""&amp;$F3585="G",""&amp;$F3585="H"),IF($AY3585="YES","",IF($AB3585&lt;&gt;0,"",IF(COUNTIFS('AR SALES'!$L$2:$L$2501,$L3585,'AR SALES'!$AD$2:$AD$2501,IF(""&amp;$F3585="4","OFF","ON"),'AR SALES'!$AF$2:$AF$2501,"Y")&gt;0,"","NO EXEMPTION"))),"")</f>
        <v/>
      </c>
    </row>
    <row r="3586" spans="46:54" x14ac:dyDescent="0.25">
      <c r="AT3586" s="2" t="str">
        <f>IF($L3586="","",IFERROR(INDEX('AR SALES'!$H$2:$H$2501,MATCH(""&amp;$L3586,'AR SALES'!$AE$2:$AE$2501,0)),""))</f>
        <v/>
      </c>
      <c r="AU3586" s="2" t="str">
        <f t="shared" ref="AU3586:AU3649" si="224">IF($L3586="","",IF($A3586&lt;&gt;"GA","",IF($E3586="FULTON",IF(ISNUMBER(SEARCH("COLLEGE PARK",$AT3586)),"FULTON (COLLEGE PARK)",IF(ISNUMBER(SEARCH("ATLANTA CITY",$AT3586)),"FULTON (ATL LIMITS)","FULTON")),IF($E3586="DEKALB",IF(ISNUMBER(SEARCH("ATLANTA CITY",$AT3586)),"DEKALB (ATL LIMITS)","DEKALB"),$E3586))))</f>
        <v/>
      </c>
      <c r="AV3586" s="2" t="str">
        <f t="shared" ref="AV3586:AV3649" si="225">IF($L3586="","",IF(""&amp;$F3586="2","DIESEL",IF(OR(""&amp;$F3586="G",""&amp;$F3586="H"),"GAS","")))</f>
        <v/>
      </c>
      <c r="AW3586" s="2" t="str">
        <f t="shared" ref="AW3586:AW3649" si="226">IF($AV3586="","",$R3586)</f>
        <v/>
      </c>
      <c r="AX3586" s="2" t="str">
        <f t="shared" ref="AX3586:AX3649" si="227">IF($AV3586="","",IF($AB3586=0,$R3586,0))</f>
        <v/>
      </c>
      <c r="AY3586" s="2" t="str">
        <f>IF($AV3586="","",IF(AND($Z3586=0,COUNTIF('AR SALES'!$L$2:$L$2501,$L3586)=0),"YES",""))</f>
        <v/>
      </c>
      <c r="AZ3586" s="2" t="str">
        <f>IF($AV3586="","",IF(COUNTIF(LISTS!$C$2:$C$250,$AU3586)=0,"NEW",""))</f>
        <v/>
      </c>
      <c r="BA3586" s="2" t="str">
        <f>IF(""&amp;$F3586&lt;&gt;"4","",IF($AY3586="YES","",IF(ROUND(SUMIFS($AE$2:$AE$4001,$L$2:$L$4001,$L3586,$F$2:$F$4001,"4")-SUMIFS('AR SALES'!$Y$2:$Y$2501,'AR SALES'!$L$2:$L$2501,$L3586,'AR SALES'!$AD$2:$AD$2501,"OFF"),2)=0,"","STALE")))</f>
        <v/>
      </c>
      <c r="BB3586" s="2" t="str">
        <f>IF(OR(""&amp;$F3586="2",""&amp;$F3586="4",""&amp;$F3586="G",""&amp;$F3586="H"),IF($AY3586="YES","",IF($AB3586&lt;&gt;0,"",IF(COUNTIFS('AR SALES'!$L$2:$L$2501,$L3586,'AR SALES'!$AD$2:$AD$2501,IF(""&amp;$F3586="4","OFF","ON"),'AR SALES'!$AF$2:$AF$2501,"Y")&gt;0,"","NO EXEMPTION"))),"")</f>
        <v/>
      </c>
    </row>
    <row r="3587" spans="46:54" x14ac:dyDescent="0.25">
      <c r="AT3587" s="2" t="str">
        <f>IF($L3587="","",IFERROR(INDEX('AR SALES'!$H$2:$H$2501,MATCH(""&amp;$L3587,'AR SALES'!$AE$2:$AE$2501,0)),""))</f>
        <v/>
      </c>
      <c r="AU3587" s="2" t="str">
        <f t="shared" si="224"/>
        <v/>
      </c>
      <c r="AV3587" s="2" t="str">
        <f t="shared" si="225"/>
        <v/>
      </c>
      <c r="AW3587" s="2" t="str">
        <f t="shared" si="226"/>
        <v/>
      </c>
      <c r="AX3587" s="2" t="str">
        <f t="shared" si="227"/>
        <v/>
      </c>
      <c r="AY3587" s="2" t="str">
        <f>IF($AV3587="","",IF(AND($Z3587=0,COUNTIF('AR SALES'!$L$2:$L$2501,$L3587)=0),"YES",""))</f>
        <v/>
      </c>
      <c r="AZ3587" s="2" t="str">
        <f>IF($AV3587="","",IF(COUNTIF(LISTS!$C$2:$C$250,$AU3587)=0,"NEW",""))</f>
        <v/>
      </c>
      <c r="BA3587" s="2" t="str">
        <f>IF(""&amp;$F3587&lt;&gt;"4","",IF($AY3587="YES","",IF(ROUND(SUMIFS($AE$2:$AE$4001,$L$2:$L$4001,$L3587,$F$2:$F$4001,"4")-SUMIFS('AR SALES'!$Y$2:$Y$2501,'AR SALES'!$L$2:$L$2501,$L3587,'AR SALES'!$AD$2:$AD$2501,"OFF"),2)=0,"","STALE")))</f>
        <v/>
      </c>
      <c r="BB3587" s="2" t="str">
        <f>IF(OR(""&amp;$F3587="2",""&amp;$F3587="4",""&amp;$F3587="G",""&amp;$F3587="H"),IF($AY3587="YES","",IF($AB3587&lt;&gt;0,"",IF(COUNTIFS('AR SALES'!$L$2:$L$2501,$L3587,'AR SALES'!$AD$2:$AD$2501,IF(""&amp;$F3587="4","OFF","ON"),'AR SALES'!$AF$2:$AF$2501,"Y")&gt;0,"","NO EXEMPTION"))),"")</f>
        <v/>
      </c>
    </row>
    <row r="3588" spans="46:54" x14ac:dyDescent="0.25">
      <c r="AT3588" s="2" t="str">
        <f>IF($L3588="","",IFERROR(INDEX('AR SALES'!$H$2:$H$2501,MATCH(""&amp;$L3588,'AR SALES'!$AE$2:$AE$2501,0)),""))</f>
        <v/>
      </c>
      <c r="AU3588" s="2" t="str">
        <f t="shared" si="224"/>
        <v/>
      </c>
      <c r="AV3588" s="2" t="str">
        <f t="shared" si="225"/>
        <v/>
      </c>
      <c r="AW3588" s="2" t="str">
        <f t="shared" si="226"/>
        <v/>
      </c>
      <c r="AX3588" s="2" t="str">
        <f t="shared" si="227"/>
        <v/>
      </c>
      <c r="AY3588" s="2" t="str">
        <f>IF($AV3588="","",IF(AND($Z3588=0,COUNTIF('AR SALES'!$L$2:$L$2501,$L3588)=0),"YES",""))</f>
        <v/>
      </c>
      <c r="AZ3588" s="2" t="str">
        <f>IF($AV3588="","",IF(COUNTIF(LISTS!$C$2:$C$250,$AU3588)=0,"NEW",""))</f>
        <v/>
      </c>
      <c r="BA3588" s="2" t="str">
        <f>IF(""&amp;$F3588&lt;&gt;"4","",IF($AY3588="YES","",IF(ROUND(SUMIFS($AE$2:$AE$4001,$L$2:$L$4001,$L3588,$F$2:$F$4001,"4")-SUMIFS('AR SALES'!$Y$2:$Y$2501,'AR SALES'!$L$2:$L$2501,$L3588,'AR SALES'!$AD$2:$AD$2501,"OFF"),2)=0,"","STALE")))</f>
        <v/>
      </c>
      <c r="BB3588" s="2" t="str">
        <f>IF(OR(""&amp;$F3588="2",""&amp;$F3588="4",""&amp;$F3588="G",""&amp;$F3588="H"),IF($AY3588="YES","",IF($AB3588&lt;&gt;0,"",IF(COUNTIFS('AR SALES'!$L$2:$L$2501,$L3588,'AR SALES'!$AD$2:$AD$2501,IF(""&amp;$F3588="4","OFF","ON"),'AR SALES'!$AF$2:$AF$2501,"Y")&gt;0,"","NO EXEMPTION"))),"")</f>
        <v/>
      </c>
    </row>
    <row r="3589" spans="46:54" x14ac:dyDescent="0.25">
      <c r="AT3589" s="2" t="str">
        <f>IF($L3589="","",IFERROR(INDEX('AR SALES'!$H$2:$H$2501,MATCH(""&amp;$L3589,'AR SALES'!$AE$2:$AE$2501,0)),""))</f>
        <v/>
      </c>
      <c r="AU3589" s="2" t="str">
        <f t="shared" si="224"/>
        <v/>
      </c>
      <c r="AV3589" s="2" t="str">
        <f t="shared" si="225"/>
        <v/>
      </c>
      <c r="AW3589" s="2" t="str">
        <f t="shared" si="226"/>
        <v/>
      </c>
      <c r="AX3589" s="2" t="str">
        <f t="shared" si="227"/>
        <v/>
      </c>
      <c r="AY3589" s="2" t="str">
        <f>IF($AV3589="","",IF(AND($Z3589=0,COUNTIF('AR SALES'!$L$2:$L$2501,$L3589)=0),"YES",""))</f>
        <v/>
      </c>
      <c r="AZ3589" s="2" t="str">
        <f>IF($AV3589="","",IF(COUNTIF(LISTS!$C$2:$C$250,$AU3589)=0,"NEW",""))</f>
        <v/>
      </c>
      <c r="BA3589" s="2" t="str">
        <f>IF(""&amp;$F3589&lt;&gt;"4","",IF($AY3589="YES","",IF(ROUND(SUMIFS($AE$2:$AE$4001,$L$2:$L$4001,$L3589,$F$2:$F$4001,"4")-SUMIFS('AR SALES'!$Y$2:$Y$2501,'AR SALES'!$L$2:$L$2501,$L3589,'AR SALES'!$AD$2:$AD$2501,"OFF"),2)=0,"","STALE")))</f>
        <v/>
      </c>
      <c r="BB3589" s="2" t="str">
        <f>IF(OR(""&amp;$F3589="2",""&amp;$F3589="4",""&amp;$F3589="G",""&amp;$F3589="H"),IF($AY3589="YES","",IF($AB3589&lt;&gt;0,"",IF(COUNTIFS('AR SALES'!$L$2:$L$2501,$L3589,'AR SALES'!$AD$2:$AD$2501,IF(""&amp;$F3589="4","OFF","ON"),'AR SALES'!$AF$2:$AF$2501,"Y")&gt;0,"","NO EXEMPTION"))),"")</f>
        <v/>
      </c>
    </row>
    <row r="3590" spans="46:54" x14ac:dyDescent="0.25">
      <c r="AT3590" s="2" t="str">
        <f>IF($L3590="","",IFERROR(INDEX('AR SALES'!$H$2:$H$2501,MATCH(""&amp;$L3590,'AR SALES'!$AE$2:$AE$2501,0)),""))</f>
        <v/>
      </c>
      <c r="AU3590" s="2" t="str">
        <f t="shared" si="224"/>
        <v/>
      </c>
      <c r="AV3590" s="2" t="str">
        <f t="shared" si="225"/>
        <v/>
      </c>
      <c r="AW3590" s="2" t="str">
        <f t="shared" si="226"/>
        <v/>
      </c>
      <c r="AX3590" s="2" t="str">
        <f t="shared" si="227"/>
        <v/>
      </c>
      <c r="AY3590" s="2" t="str">
        <f>IF($AV3590="","",IF(AND($Z3590=0,COUNTIF('AR SALES'!$L$2:$L$2501,$L3590)=0),"YES",""))</f>
        <v/>
      </c>
      <c r="AZ3590" s="2" t="str">
        <f>IF($AV3590="","",IF(COUNTIF(LISTS!$C$2:$C$250,$AU3590)=0,"NEW",""))</f>
        <v/>
      </c>
      <c r="BA3590" s="2" t="str">
        <f>IF(""&amp;$F3590&lt;&gt;"4","",IF($AY3590="YES","",IF(ROUND(SUMIFS($AE$2:$AE$4001,$L$2:$L$4001,$L3590,$F$2:$F$4001,"4")-SUMIFS('AR SALES'!$Y$2:$Y$2501,'AR SALES'!$L$2:$L$2501,$L3590,'AR SALES'!$AD$2:$AD$2501,"OFF"),2)=0,"","STALE")))</f>
        <v/>
      </c>
      <c r="BB3590" s="2" t="str">
        <f>IF(OR(""&amp;$F3590="2",""&amp;$F3590="4",""&amp;$F3590="G",""&amp;$F3590="H"),IF($AY3590="YES","",IF($AB3590&lt;&gt;0,"",IF(COUNTIFS('AR SALES'!$L$2:$L$2501,$L3590,'AR SALES'!$AD$2:$AD$2501,IF(""&amp;$F3590="4","OFF","ON"),'AR SALES'!$AF$2:$AF$2501,"Y")&gt;0,"","NO EXEMPTION"))),"")</f>
        <v/>
      </c>
    </row>
    <row r="3591" spans="46:54" x14ac:dyDescent="0.25">
      <c r="AT3591" s="2" t="str">
        <f>IF($L3591="","",IFERROR(INDEX('AR SALES'!$H$2:$H$2501,MATCH(""&amp;$L3591,'AR SALES'!$AE$2:$AE$2501,0)),""))</f>
        <v/>
      </c>
      <c r="AU3591" s="2" t="str">
        <f t="shared" si="224"/>
        <v/>
      </c>
      <c r="AV3591" s="2" t="str">
        <f t="shared" si="225"/>
        <v/>
      </c>
      <c r="AW3591" s="2" t="str">
        <f t="shared" si="226"/>
        <v/>
      </c>
      <c r="AX3591" s="2" t="str">
        <f t="shared" si="227"/>
        <v/>
      </c>
      <c r="AY3591" s="2" t="str">
        <f>IF($AV3591="","",IF(AND($Z3591=0,COUNTIF('AR SALES'!$L$2:$L$2501,$L3591)=0),"YES",""))</f>
        <v/>
      </c>
      <c r="AZ3591" s="2" t="str">
        <f>IF($AV3591="","",IF(COUNTIF(LISTS!$C$2:$C$250,$AU3591)=0,"NEW",""))</f>
        <v/>
      </c>
      <c r="BA3591" s="2" t="str">
        <f>IF(""&amp;$F3591&lt;&gt;"4","",IF($AY3591="YES","",IF(ROUND(SUMIFS($AE$2:$AE$4001,$L$2:$L$4001,$L3591,$F$2:$F$4001,"4")-SUMIFS('AR SALES'!$Y$2:$Y$2501,'AR SALES'!$L$2:$L$2501,$L3591,'AR SALES'!$AD$2:$AD$2501,"OFF"),2)=0,"","STALE")))</f>
        <v/>
      </c>
      <c r="BB3591" s="2" t="str">
        <f>IF(OR(""&amp;$F3591="2",""&amp;$F3591="4",""&amp;$F3591="G",""&amp;$F3591="H"),IF($AY3591="YES","",IF($AB3591&lt;&gt;0,"",IF(COUNTIFS('AR SALES'!$L$2:$L$2501,$L3591,'AR SALES'!$AD$2:$AD$2501,IF(""&amp;$F3591="4","OFF","ON"),'AR SALES'!$AF$2:$AF$2501,"Y")&gt;0,"","NO EXEMPTION"))),"")</f>
        <v/>
      </c>
    </row>
    <row r="3592" spans="46:54" x14ac:dyDescent="0.25">
      <c r="AT3592" s="2" t="str">
        <f>IF($L3592="","",IFERROR(INDEX('AR SALES'!$H$2:$H$2501,MATCH(""&amp;$L3592,'AR SALES'!$AE$2:$AE$2501,0)),""))</f>
        <v/>
      </c>
      <c r="AU3592" s="2" t="str">
        <f t="shared" si="224"/>
        <v/>
      </c>
      <c r="AV3592" s="2" t="str">
        <f t="shared" si="225"/>
        <v/>
      </c>
      <c r="AW3592" s="2" t="str">
        <f t="shared" si="226"/>
        <v/>
      </c>
      <c r="AX3592" s="2" t="str">
        <f t="shared" si="227"/>
        <v/>
      </c>
      <c r="AY3592" s="2" t="str">
        <f>IF($AV3592="","",IF(AND($Z3592=0,COUNTIF('AR SALES'!$L$2:$L$2501,$L3592)=0),"YES",""))</f>
        <v/>
      </c>
      <c r="AZ3592" s="2" t="str">
        <f>IF($AV3592="","",IF(COUNTIF(LISTS!$C$2:$C$250,$AU3592)=0,"NEW",""))</f>
        <v/>
      </c>
      <c r="BA3592" s="2" t="str">
        <f>IF(""&amp;$F3592&lt;&gt;"4","",IF($AY3592="YES","",IF(ROUND(SUMIFS($AE$2:$AE$4001,$L$2:$L$4001,$L3592,$F$2:$F$4001,"4")-SUMIFS('AR SALES'!$Y$2:$Y$2501,'AR SALES'!$L$2:$L$2501,$L3592,'AR SALES'!$AD$2:$AD$2501,"OFF"),2)=0,"","STALE")))</f>
        <v/>
      </c>
      <c r="BB3592" s="2" t="str">
        <f>IF(OR(""&amp;$F3592="2",""&amp;$F3592="4",""&amp;$F3592="G",""&amp;$F3592="H"),IF($AY3592="YES","",IF($AB3592&lt;&gt;0,"",IF(COUNTIFS('AR SALES'!$L$2:$L$2501,$L3592,'AR SALES'!$AD$2:$AD$2501,IF(""&amp;$F3592="4","OFF","ON"),'AR SALES'!$AF$2:$AF$2501,"Y")&gt;0,"","NO EXEMPTION"))),"")</f>
        <v/>
      </c>
    </row>
    <row r="3593" spans="46:54" x14ac:dyDescent="0.25">
      <c r="AT3593" s="2" t="str">
        <f>IF($L3593="","",IFERROR(INDEX('AR SALES'!$H$2:$H$2501,MATCH(""&amp;$L3593,'AR SALES'!$AE$2:$AE$2501,0)),""))</f>
        <v/>
      </c>
      <c r="AU3593" s="2" t="str">
        <f t="shared" si="224"/>
        <v/>
      </c>
      <c r="AV3593" s="2" t="str">
        <f t="shared" si="225"/>
        <v/>
      </c>
      <c r="AW3593" s="2" t="str">
        <f t="shared" si="226"/>
        <v/>
      </c>
      <c r="AX3593" s="2" t="str">
        <f t="shared" si="227"/>
        <v/>
      </c>
      <c r="AY3593" s="2" t="str">
        <f>IF($AV3593="","",IF(AND($Z3593=0,COUNTIF('AR SALES'!$L$2:$L$2501,$L3593)=0),"YES",""))</f>
        <v/>
      </c>
      <c r="AZ3593" s="2" t="str">
        <f>IF($AV3593="","",IF(COUNTIF(LISTS!$C$2:$C$250,$AU3593)=0,"NEW",""))</f>
        <v/>
      </c>
      <c r="BA3593" s="2" t="str">
        <f>IF(""&amp;$F3593&lt;&gt;"4","",IF($AY3593="YES","",IF(ROUND(SUMIFS($AE$2:$AE$4001,$L$2:$L$4001,$L3593,$F$2:$F$4001,"4")-SUMIFS('AR SALES'!$Y$2:$Y$2501,'AR SALES'!$L$2:$L$2501,$L3593,'AR SALES'!$AD$2:$AD$2501,"OFF"),2)=0,"","STALE")))</f>
        <v/>
      </c>
      <c r="BB3593" s="2" t="str">
        <f>IF(OR(""&amp;$F3593="2",""&amp;$F3593="4",""&amp;$F3593="G",""&amp;$F3593="H"),IF($AY3593="YES","",IF($AB3593&lt;&gt;0,"",IF(COUNTIFS('AR SALES'!$L$2:$L$2501,$L3593,'AR SALES'!$AD$2:$AD$2501,IF(""&amp;$F3593="4","OFF","ON"),'AR SALES'!$AF$2:$AF$2501,"Y")&gt;0,"","NO EXEMPTION"))),"")</f>
        <v/>
      </c>
    </row>
    <row r="3594" spans="46:54" x14ac:dyDescent="0.25">
      <c r="AT3594" s="2" t="str">
        <f>IF($L3594="","",IFERROR(INDEX('AR SALES'!$H$2:$H$2501,MATCH(""&amp;$L3594,'AR SALES'!$AE$2:$AE$2501,0)),""))</f>
        <v/>
      </c>
      <c r="AU3594" s="2" t="str">
        <f t="shared" si="224"/>
        <v/>
      </c>
      <c r="AV3594" s="2" t="str">
        <f t="shared" si="225"/>
        <v/>
      </c>
      <c r="AW3594" s="2" t="str">
        <f t="shared" si="226"/>
        <v/>
      </c>
      <c r="AX3594" s="2" t="str">
        <f t="shared" si="227"/>
        <v/>
      </c>
      <c r="AY3594" s="2" t="str">
        <f>IF($AV3594="","",IF(AND($Z3594=0,COUNTIF('AR SALES'!$L$2:$L$2501,$L3594)=0),"YES",""))</f>
        <v/>
      </c>
      <c r="AZ3594" s="2" t="str">
        <f>IF($AV3594="","",IF(COUNTIF(LISTS!$C$2:$C$250,$AU3594)=0,"NEW",""))</f>
        <v/>
      </c>
      <c r="BA3594" s="2" t="str">
        <f>IF(""&amp;$F3594&lt;&gt;"4","",IF($AY3594="YES","",IF(ROUND(SUMIFS($AE$2:$AE$4001,$L$2:$L$4001,$L3594,$F$2:$F$4001,"4")-SUMIFS('AR SALES'!$Y$2:$Y$2501,'AR SALES'!$L$2:$L$2501,$L3594,'AR SALES'!$AD$2:$AD$2501,"OFF"),2)=0,"","STALE")))</f>
        <v/>
      </c>
      <c r="BB3594" s="2" t="str">
        <f>IF(OR(""&amp;$F3594="2",""&amp;$F3594="4",""&amp;$F3594="G",""&amp;$F3594="H"),IF($AY3594="YES","",IF($AB3594&lt;&gt;0,"",IF(COUNTIFS('AR SALES'!$L$2:$L$2501,$L3594,'AR SALES'!$AD$2:$AD$2501,IF(""&amp;$F3594="4","OFF","ON"),'AR SALES'!$AF$2:$AF$2501,"Y")&gt;0,"","NO EXEMPTION"))),"")</f>
        <v/>
      </c>
    </row>
    <row r="3595" spans="46:54" x14ac:dyDescent="0.25">
      <c r="AT3595" s="2" t="str">
        <f>IF($L3595="","",IFERROR(INDEX('AR SALES'!$H$2:$H$2501,MATCH(""&amp;$L3595,'AR SALES'!$AE$2:$AE$2501,0)),""))</f>
        <v/>
      </c>
      <c r="AU3595" s="2" t="str">
        <f t="shared" si="224"/>
        <v/>
      </c>
      <c r="AV3595" s="2" t="str">
        <f t="shared" si="225"/>
        <v/>
      </c>
      <c r="AW3595" s="2" t="str">
        <f t="shared" si="226"/>
        <v/>
      </c>
      <c r="AX3595" s="2" t="str">
        <f t="shared" si="227"/>
        <v/>
      </c>
      <c r="AY3595" s="2" t="str">
        <f>IF($AV3595="","",IF(AND($Z3595=0,COUNTIF('AR SALES'!$L$2:$L$2501,$L3595)=0),"YES",""))</f>
        <v/>
      </c>
      <c r="AZ3595" s="2" t="str">
        <f>IF($AV3595="","",IF(COUNTIF(LISTS!$C$2:$C$250,$AU3595)=0,"NEW",""))</f>
        <v/>
      </c>
      <c r="BA3595" s="2" t="str">
        <f>IF(""&amp;$F3595&lt;&gt;"4","",IF($AY3595="YES","",IF(ROUND(SUMIFS($AE$2:$AE$4001,$L$2:$L$4001,$L3595,$F$2:$F$4001,"4")-SUMIFS('AR SALES'!$Y$2:$Y$2501,'AR SALES'!$L$2:$L$2501,$L3595,'AR SALES'!$AD$2:$AD$2501,"OFF"),2)=0,"","STALE")))</f>
        <v/>
      </c>
      <c r="BB3595" s="2" t="str">
        <f>IF(OR(""&amp;$F3595="2",""&amp;$F3595="4",""&amp;$F3595="G",""&amp;$F3595="H"),IF($AY3595="YES","",IF($AB3595&lt;&gt;0,"",IF(COUNTIFS('AR SALES'!$L$2:$L$2501,$L3595,'AR SALES'!$AD$2:$AD$2501,IF(""&amp;$F3595="4","OFF","ON"),'AR SALES'!$AF$2:$AF$2501,"Y")&gt;0,"","NO EXEMPTION"))),"")</f>
        <v/>
      </c>
    </row>
    <row r="3596" spans="46:54" x14ac:dyDescent="0.25">
      <c r="AT3596" s="2" t="str">
        <f>IF($L3596="","",IFERROR(INDEX('AR SALES'!$H$2:$H$2501,MATCH(""&amp;$L3596,'AR SALES'!$AE$2:$AE$2501,0)),""))</f>
        <v/>
      </c>
      <c r="AU3596" s="2" t="str">
        <f t="shared" si="224"/>
        <v/>
      </c>
      <c r="AV3596" s="2" t="str">
        <f t="shared" si="225"/>
        <v/>
      </c>
      <c r="AW3596" s="2" t="str">
        <f t="shared" si="226"/>
        <v/>
      </c>
      <c r="AX3596" s="2" t="str">
        <f t="shared" si="227"/>
        <v/>
      </c>
      <c r="AY3596" s="2" t="str">
        <f>IF($AV3596="","",IF(AND($Z3596=0,COUNTIF('AR SALES'!$L$2:$L$2501,$L3596)=0),"YES",""))</f>
        <v/>
      </c>
      <c r="AZ3596" s="2" t="str">
        <f>IF($AV3596="","",IF(COUNTIF(LISTS!$C$2:$C$250,$AU3596)=0,"NEW",""))</f>
        <v/>
      </c>
      <c r="BA3596" s="2" t="str">
        <f>IF(""&amp;$F3596&lt;&gt;"4","",IF($AY3596="YES","",IF(ROUND(SUMIFS($AE$2:$AE$4001,$L$2:$L$4001,$L3596,$F$2:$F$4001,"4")-SUMIFS('AR SALES'!$Y$2:$Y$2501,'AR SALES'!$L$2:$L$2501,$L3596,'AR SALES'!$AD$2:$AD$2501,"OFF"),2)=0,"","STALE")))</f>
        <v/>
      </c>
      <c r="BB3596" s="2" t="str">
        <f>IF(OR(""&amp;$F3596="2",""&amp;$F3596="4",""&amp;$F3596="G",""&amp;$F3596="H"),IF($AY3596="YES","",IF($AB3596&lt;&gt;0,"",IF(COUNTIFS('AR SALES'!$L$2:$L$2501,$L3596,'AR SALES'!$AD$2:$AD$2501,IF(""&amp;$F3596="4","OFF","ON"),'AR SALES'!$AF$2:$AF$2501,"Y")&gt;0,"","NO EXEMPTION"))),"")</f>
        <v/>
      </c>
    </row>
    <row r="3597" spans="46:54" x14ac:dyDescent="0.25">
      <c r="AT3597" s="2" t="str">
        <f>IF($L3597="","",IFERROR(INDEX('AR SALES'!$H$2:$H$2501,MATCH(""&amp;$L3597,'AR SALES'!$AE$2:$AE$2501,0)),""))</f>
        <v/>
      </c>
      <c r="AU3597" s="2" t="str">
        <f t="shared" si="224"/>
        <v/>
      </c>
      <c r="AV3597" s="2" t="str">
        <f t="shared" si="225"/>
        <v/>
      </c>
      <c r="AW3597" s="2" t="str">
        <f t="shared" si="226"/>
        <v/>
      </c>
      <c r="AX3597" s="2" t="str">
        <f t="shared" si="227"/>
        <v/>
      </c>
      <c r="AY3597" s="2" t="str">
        <f>IF($AV3597="","",IF(AND($Z3597=0,COUNTIF('AR SALES'!$L$2:$L$2501,$L3597)=0),"YES",""))</f>
        <v/>
      </c>
      <c r="AZ3597" s="2" t="str">
        <f>IF($AV3597="","",IF(COUNTIF(LISTS!$C$2:$C$250,$AU3597)=0,"NEW",""))</f>
        <v/>
      </c>
      <c r="BA3597" s="2" t="str">
        <f>IF(""&amp;$F3597&lt;&gt;"4","",IF($AY3597="YES","",IF(ROUND(SUMIFS($AE$2:$AE$4001,$L$2:$L$4001,$L3597,$F$2:$F$4001,"4")-SUMIFS('AR SALES'!$Y$2:$Y$2501,'AR SALES'!$L$2:$L$2501,$L3597,'AR SALES'!$AD$2:$AD$2501,"OFF"),2)=0,"","STALE")))</f>
        <v/>
      </c>
      <c r="BB3597" s="2" t="str">
        <f>IF(OR(""&amp;$F3597="2",""&amp;$F3597="4",""&amp;$F3597="G",""&amp;$F3597="H"),IF($AY3597="YES","",IF($AB3597&lt;&gt;0,"",IF(COUNTIFS('AR SALES'!$L$2:$L$2501,$L3597,'AR SALES'!$AD$2:$AD$2501,IF(""&amp;$F3597="4","OFF","ON"),'AR SALES'!$AF$2:$AF$2501,"Y")&gt;0,"","NO EXEMPTION"))),"")</f>
        <v/>
      </c>
    </row>
    <row r="3598" spans="46:54" x14ac:dyDescent="0.25">
      <c r="AT3598" s="2" t="str">
        <f>IF($L3598="","",IFERROR(INDEX('AR SALES'!$H$2:$H$2501,MATCH(""&amp;$L3598,'AR SALES'!$AE$2:$AE$2501,0)),""))</f>
        <v/>
      </c>
      <c r="AU3598" s="2" t="str">
        <f t="shared" si="224"/>
        <v/>
      </c>
      <c r="AV3598" s="2" t="str">
        <f t="shared" si="225"/>
        <v/>
      </c>
      <c r="AW3598" s="2" t="str">
        <f t="shared" si="226"/>
        <v/>
      </c>
      <c r="AX3598" s="2" t="str">
        <f t="shared" si="227"/>
        <v/>
      </c>
      <c r="AY3598" s="2" t="str">
        <f>IF($AV3598="","",IF(AND($Z3598=0,COUNTIF('AR SALES'!$L$2:$L$2501,$L3598)=0),"YES",""))</f>
        <v/>
      </c>
      <c r="AZ3598" s="2" t="str">
        <f>IF($AV3598="","",IF(COUNTIF(LISTS!$C$2:$C$250,$AU3598)=0,"NEW",""))</f>
        <v/>
      </c>
      <c r="BA3598" s="2" t="str">
        <f>IF(""&amp;$F3598&lt;&gt;"4","",IF($AY3598="YES","",IF(ROUND(SUMIFS($AE$2:$AE$4001,$L$2:$L$4001,$L3598,$F$2:$F$4001,"4")-SUMIFS('AR SALES'!$Y$2:$Y$2501,'AR SALES'!$L$2:$L$2501,$L3598,'AR SALES'!$AD$2:$AD$2501,"OFF"),2)=0,"","STALE")))</f>
        <v/>
      </c>
      <c r="BB3598" s="2" t="str">
        <f>IF(OR(""&amp;$F3598="2",""&amp;$F3598="4",""&amp;$F3598="G",""&amp;$F3598="H"),IF($AY3598="YES","",IF($AB3598&lt;&gt;0,"",IF(COUNTIFS('AR SALES'!$L$2:$L$2501,$L3598,'AR SALES'!$AD$2:$AD$2501,IF(""&amp;$F3598="4","OFF","ON"),'AR SALES'!$AF$2:$AF$2501,"Y")&gt;0,"","NO EXEMPTION"))),"")</f>
        <v/>
      </c>
    </row>
    <row r="3599" spans="46:54" x14ac:dyDescent="0.25">
      <c r="AT3599" s="2" t="str">
        <f>IF($L3599="","",IFERROR(INDEX('AR SALES'!$H$2:$H$2501,MATCH(""&amp;$L3599,'AR SALES'!$AE$2:$AE$2501,0)),""))</f>
        <v/>
      </c>
      <c r="AU3599" s="2" t="str">
        <f t="shared" si="224"/>
        <v/>
      </c>
      <c r="AV3599" s="2" t="str">
        <f t="shared" si="225"/>
        <v/>
      </c>
      <c r="AW3599" s="2" t="str">
        <f t="shared" si="226"/>
        <v/>
      </c>
      <c r="AX3599" s="2" t="str">
        <f t="shared" si="227"/>
        <v/>
      </c>
      <c r="AY3599" s="2" t="str">
        <f>IF($AV3599="","",IF(AND($Z3599=0,COUNTIF('AR SALES'!$L$2:$L$2501,$L3599)=0),"YES",""))</f>
        <v/>
      </c>
      <c r="AZ3599" s="2" t="str">
        <f>IF($AV3599="","",IF(COUNTIF(LISTS!$C$2:$C$250,$AU3599)=0,"NEW",""))</f>
        <v/>
      </c>
      <c r="BA3599" s="2" t="str">
        <f>IF(""&amp;$F3599&lt;&gt;"4","",IF($AY3599="YES","",IF(ROUND(SUMIFS($AE$2:$AE$4001,$L$2:$L$4001,$L3599,$F$2:$F$4001,"4")-SUMIFS('AR SALES'!$Y$2:$Y$2501,'AR SALES'!$L$2:$L$2501,$L3599,'AR SALES'!$AD$2:$AD$2501,"OFF"),2)=0,"","STALE")))</f>
        <v/>
      </c>
      <c r="BB3599" s="2" t="str">
        <f>IF(OR(""&amp;$F3599="2",""&amp;$F3599="4",""&amp;$F3599="G",""&amp;$F3599="H"),IF($AY3599="YES","",IF($AB3599&lt;&gt;0,"",IF(COUNTIFS('AR SALES'!$L$2:$L$2501,$L3599,'AR SALES'!$AD$2:$AD$2501,IF(""&amp;$F3599="4","OFF","ON"),'AR SALES'!$AF$2:$AF$2501,"Y")&gt;0,"","NO EXEMPTION"))),"")</f>
        <v/>
      </c>
    </row>
    <row r="3600" spans="46:54" x14ac:dyDescent="0.25">
      <c r="AT3600" s="2" t="str">
        <f>IF($L3600="","",IFERROR(INDEX('AR SALES'!$H$2:$H$2501,MATCH(""&amp;$L3600,'AR SALES'!$AE$2:$AE$2501,0)),""))</f>
        <v/>
      </c>
      <c r="AU3600" s="2" t="str">
        <f t="shared" si="224"/>
        <v/>
      </c>
      <c r="AV3600" s="2" t="str">
        <f t="shared" si="225"/>
        <v/>
      </c>
      <c r="AW3600" s="2" t="str">
        <f t="shared" si="226"/>
        <v/>
      </c>
      <c r="AX3600" s="2" t="str">
        <f t="shared" si="227"/>
        <v/>
      </c>
      <c r="AY3600" s="2" t="str">
        <f>IF($AV3600="","",IF(AND($Z3600=0,COUNTIF('AR SALES'!$L$2:$L$2501,$L3600)=0),"YES",""))</f>
        <v/>
      </c>
      <c r="AZ3600" s="2" t="str">
        <f>IF($AV3600="","",IF(COUNTIF(LISTS!$C$2:$C$250,$AU3600)=0,"NEW",""))</f>
        <v/>
      </c>
      <c r="BA3600" s="2" t="str">
        <f>IF(""&amp;$F3600&lt;&gt;"4","",IF($AY3600="YES","",IF(ROUND(SUMIFS($AE$2:$AE$4001,$L$2:$L$4001,$L3600,$F$2:$F$4001,"4")-SUMIFS('AR SALES'!$Y$2:$Y$2501,'AR SALES'!$L$2:$L$2501,$L3600,'AR SALES'!$AD$2:$AD$2501,"OFF"),2)=0,"","STALE")))</f>
        <v/>
      </c>
      <c r="BB3600" s="2" t="str">
        <f>IF(OR(""&amp;$F3600="2",""&amp;$F3600="4",""&amp;$F3600="G",""&amp;$F3600="H"),IF($AY3600="YES","",IF($AB3600&lt;&gt;0,"",IF(COUNTIFS('AR SALES'!$L$2:$L$2501,$L3600,'AR SALES'!$AD$2:$AD$2501,IF(""&amp;$F3600="4","OFF","ON"),'AR SALES'!$AF$2:$AF$2501,"Y")&gt;0,"","NO EXEMPTION"))),"")</f>
        <v/>
      </c>
    </row>
    <row r="3601" spans="46:54" x14ac:dyDescent="0.25">
      <c r="AT3601" s="2" t="str">
        <f>IF($L3601="","",IFERROR(INDEX('AR SALES'!$H$2:$H$2501,MATCH(""&amp;$L3601,'AR SALES'!$AE$2:$AE$2501,0)),""))</f>
        <v/>
      </c>
      <c r="AU3601" s="2" t="str">
        <f t="shared" si="224"/>
        <v/>
      </c>
      <c r="AV3601" s="2" t="str">
        <f t="shared" si="225"/>
        <v/>
      </c>
      <c r="AW3601" s="2" t="str">
        <f t="shared" si="226"/>
        <v/>
      </c>
      <c r="AX3601" s="2" t="str">
        <f t="shared" si="227"/>
        <v/>
      </c>
      <c r="AY3601" s="2" t="str">
        <f>IF($AV3601="","",IF(AND($Z3601=0,COUNTIF('AR SALES'!$L$2:$L$2501,$L3601)=0),"YES",""))</f>
        <v/>
      </c>
      <c r="AZ3601" s="2" t="str">
        <f>IF($AV3601="","",IF(COUNTIF(LISTS!$C$2:$C$250,$AU3601)=0,"NEW",""))</f>
        <v/>
      </c>
      <c r="BA3601" s="2" t="str">
        <f>IF(""&amp;$F3601&lt;&gt;"4","",IF($AY3601="YES","",IF(ROUND(SUMIFS($AE$2:$AE$4001,$L$2:$L$4001,$L3601,$F$2:$F$4001,"4")-SUMIFS('AR SALES'!$Y$2:$Y$2501,'AR SALES'!$L$2:$L$2501,$L3601,'AR SALES'!$AD$2:$AD$2501,"OFF"),2)=0,"","STALE")))</f>
        <v/>
      </c>
      <c r="BB3601" s="2" t="str">
        <f>IF(OR(""&amp;$F3601="2",""&amp;$F3601="4",""&amp;$F3601="G",""&amp;$F3601="H"),IF($AY3601="YES","",IF($AB3601&lt;&gt;0,"",IF(COUNTIFS('AR SALES'!$L$2:$L$2501,$L3601,'AR SALES'!$AD$2:$AD$2501,IF(""&amp;$F3601="4","OFF","ON"),'AR SALES'!$AF$2:$AF$2501,"Y")&gt;0,"","NO EXEMPTION"))),"")</f>
        <v/>
      </c>
    </row>
    <row r="3602" spans="46:54" x14ac:dyDescent="0.25">
      <c r="AT3602" s="2" t="str">
        <f>IF($L3602="","",IFERROR(INDEX('AR SALES'!$H$2:$H$2501,MATCH(""&amp;$L3602,'AR SALES'!$AE$2:$AE$2501,0)),""))</f>
        <v/>
      </c>
      <c r="AU3602" s="2" t="str">
        <f t="shared" si="224"/>
        <v/>
      </c>
      <c r="AV3602" s="2" t="str">
        <f t="shared" si="225"/>
        <v/>
      </c>
      <c r="AW3602" s="2" t="str">
        <f t="shared" si="226"/>
        <v/>
      </c>
      <c r="AX3602" s="2" t="str">
        <f t="shared" si="227"/>
        <v/>
      </c>
      <c r="AY3602" s="2" t="str">
        <f>IF($AV3602="","",IF(AND($Z3602=0,COUNTIF('AR SALES'!$L$2:$L$2501,$L3602)=0),"YES",""))</f>
        <v/>
      </c>
      <c r="AZ3602" s="2" t="str">
        <f>IF($AV3602="","",IF(COUNTIF(LISTS!$C$2:$C$250,$AU3602)=0,"NEW",""))</f>
        <v/>
      </c>
      <c r="BA3602" s="2" t="str">
        <f>IF(""&amp;$F3602&lt;&gt;"4","",IF($AY3602="YES","",IF(ROUND(SUMIFS($AE$2:$AE$4001,$L$2:$L$4001,$L3602,$F$2:$F$4001,"4")-SUMIFS('AR SALES'!$Y$2:$Y$2501,'AR SALES'!$L$2:$L$2501,$L3602,'AR SALES'!$AD$2:$AD$2501,"OFF"),2)=0,"","STALE")))</f>
        <v/>
      </c>
      <c r="BB3602" s="2" t="str">
        <f>IF(OR(""&amp;$F3602="2",""&amp;$F3602="4",""&amp;$F3602="G",""&amp;$F3602="H"),IF($AY3602="YES","",IF($AB3602&lt;&gt;0,"",IF(COUNTIFS('AR SALES'!$L$2:$L$2501,$L3602,'AR SALES'!$AD$2:$AD$2501,IF(""&amp;$F3602="4","OFF","ON"),'AR SALES'!$AF$2:$AF$2501,"Y")&gt;0,"","NO EXEMPTION"))),"")</f>
        <v/>
      </c>
    </row>
    <row r="3603" spans="46:54" x14ac:dyDescent="0.25">
      <c r="AT3603" s="2" t="str">
        <f>IF($L3603="","",IFERROR(INDEX('AR SALES'!$H$2:$H$2501,MATCH(""&amp;$L3603,'AR SALES'!$AE$2:$AE$2501,0)),""))</f>
        <v/>
      </c>
      <c r="AU3603" s="2" t="str">
        <f t="shared" si="224"/>
        <v/>
      </c>
      <c r="AV3603" s="2" t="str">
        <f t="shared" si="225"/>
        <v/>
      </c>
      <c r="AW3603" s="2" t="str">
        <f t="shared" si="226"/>
        <v/>
      </c>
      <c r="AX3603" s="2" t="str">
        <f t="shared" si="227"/>
        <v/>
      </c>
      <c r="AY3603" s="2" t="str">
        <f>IF($AV3603="","",IF(AND($Z3603=0,COUNTIF('AR SALES'!$L$2:$L$2501,$L3603)=0),"YES",""))</f>
        <v/>
      </c>
      <c r="AZ3603" s="2" t="str">
        <f>IF($AV3603="","",IF(COUNTIF(LISTS!$C$2:$C$250,$AU3603)=0,"NEW",""))</f>
        <v/>
      </c>
      <c r="BA3603" s="2" t="str">
        <f>IF(""&amp;$F3603&lt;&gt;"4","",IF($AY3603="YES","",IF(ROUND(SUMIFS($AE$2:$AE$4001,$L$2:$L$4001,$L3603,$F$2:$F$4001,"4")-SUMIFS('AR SALES'!$Y$2:$Y$2501,'AR SALES'!$L$2:$L$2501,$L3603,'AR SALES'!$AD$2:$AD$2501,"OFF"),2)=0,"","STALE")))</f>
        <v/>
      </c>
      <c r="BB3603" s="2" t="str">
        <f>IF(OR(""&amp;$F3603="2",""&amp;$F3603="4",""&amp;$F3603="G",""&amp;$F3603="H"),IF($AY3603="YES","",IF($AB3603&lt;&gt;0,"",IF(COUNTIFS('AR SALES'!$L$2:$L$2501,$L3603,'AR SALES'!$AD$2:$AD$2501,IF(""&amp;$F3603="4","OFF","ON"),'AR SALES'!$AF$2:$AF$2501,"Y")&gt;0,"","NO EXEMPTION"))),"")</f>
        <v/>
      </c>
    </row>
    <row r="3604" spans="46:54" x14ac:dyDescent="0.25">
      <c r="AT3604" s="2" t="str">
        <f>IF($L3604="","",IFERROR(INDEX('AR SALES'!$H$2:$H$2501,MATCH(""&amp;$L3604,'AR SALES'!$AE$2:$AE$2501,0)),""))</f>
        <v/>
      </c>
      <c r="AU3604" s="2" t="str">
        <f t="shared" si="224"/>
        <v/>
      </c>
      <c r="AV3604" s="2" t="str">
        <f t="shared" si="225"/>
        <v/>
      </c>
      <c r="AW3604" s="2" t="str">
        <f t="shared" si="226"/>
        <v/>
      </c>
      <c r="AX3604" s="2" t="str">
        <f t="shared" si="227"/>
        <v/>
      </c>
      <c r="AY3604" s="2" t="str">
        <f>IF($AV3604="","",IF(AND($Z3604=0,COUNTIF('AR SALES'!$L$2:$L$2501,$L3604)=0),"YES",""))</f>
        <v/>
      </c>
      <c r="AZ3604" s="2" t="str">
        <f>IF($AV3604="","",IF(COUNTIF(LISTS!$C$2:$C$250,$AU3604)=0,"NEW",""))</f>
        <v/>
      </c>
      <c r="BA3604" s="2" t="str">
        <f>IF(""&amp;$F3604&lt;&gt;"4","",IF($AY3604="YES","",IF(ROUND(SUMIFS($AE$2:$AE$4001,$L$2:$L$4001,$L3604,$F$2:$F$4001,"4")-SUMIFS('AR SALES'!$Y$2:$Y$2501,'AR SALES'!$L$2:$L$2501,$L3604,'AR SALES'!$AD$2:$AD$2501,"OFF"),2)=0,"","STALE")))</f>
        <v/>
      </c>
      <c r="BB3604" s="2" t="str">
        <f>IF(OR(""&amp;$F3604="2",""&amp;$F3604="4",""&amp;$F3604="G",""&amp;$F3604="H"),IF($AY3604="YES","",IF($AB3604&lt;&gt;0,"",IF(COUNTIFS('AR SALES'!$L$2:$L$2501,$L3604,'AR SALES'!$AD$2:$AD$2501,IF(""&amp;$F3604="4","OFF","ON"),'AR SALES'!$AF$2:$AF$2501,"Y")&gt;0,"","NO EXEMPTION"))),"")</f>
        <v/>
      </c>
    </row>
    <row r="3605" spans="46:54" x14ac:dyDescent="0.25">
      <c r="AT3605" s="2" t="str">
        <f>IF($L3605="","",IFERROR(INDEX('AR SALES'!$H$2:$H$2501,MATCH(""&amp;$L3605,'AR SALES'!$AE$2:$AE$2501,0)),""))</f>
        <v/>
      </c>
      <c r="AU3605" s="2" t="str">
        <f t="shared" si="224"/>
        <v/>
      </c>
      <c r="AV3605" s="2" t="str">
        <f t="shared" si="225"/>
        <v/>
      </c>
      <c r="AW3605" s="2" t="str">
        <f t="shared" si="226"/>
        <v/>
      </c>
      <c r="AX3605" s="2" t="str">
        <f t="shared" si="227"/>
        <v/>
      </c>
      <c r="AY3605" s="2" t="str">
        <f>IF($AV3605="","",IF(AND($Z3605=0,COUNTIF('AR SALES'!$L$2:$L$2501,$L3605)=0),"YES",""))</f>
        <v/>
      </c>
      <c r="AZ3605" s="2" t="str">
        <f>IF($AV3605="","",IF(COUNTIF(LISTS!$C$2:$C$250,$AU3605)=0,"NEW",""))</f>
        <v/>
      </c>
      <c r="BA3605" s="2" t="str">
        <f>IF(""&amp;$F3605&lt;&gt;"4","",IF($AY3605="YES","",IF(ROUND(SUMIFS($AE$2:$AE$4001,$L$2:$L$4001,$L3605,$F$2:$F$4001,"4")-SUMIFS('AR SALES'!$Y$2:$Y$2501,'AR SALES'!$L$2:$L$2501,$L3605,'AR SALES'!$AD$2:$AD$2501,"OFF"),2)=0,"","STALE")))</f>
        <v/>
      </c>
      <c r="BB3605" s="2" t="str">
        <f>IF(OR(""&amp;$F3605="2",""&amp;$F3605="4",""&amp;$F3605="G",""&amp;$F3605="H"),IF($AY3605="YES","",IF($AB3605&lt;&gt;0,"",IF(COUNTIFS('AR SALES'!$L$2:$L$2501,$L3605,'AR SALES'!$AD$2:$AD$2501,IF(""&amp;$F3605="4","OFF","ON"),'AR SALES'!$AF$2:$AF$2501,"Y")&gt;0,"","NO EXEMPTION"))),"")</f>
        <v/>
      </c>
    </row>
    <row r="3606" spans="46:54" x14ac:dyDescent="0.25">
      <c r="AT3606" s="2" t="str">
        <f>IF($L3606="","",IFERROR(INDEX('AR SALES'!$H$2:$H$2501,MATCH(""&amp;$L3606,'AR SALES'!$AE$2:$AE$2501,0)),""))</f>
        <v/>
      </c>
      <c r="AU3606" s="2" t="str">
        <f t="shared" si="224"/>
        <v/>
      </c>
      <c r="AV3606" s="2" t="str">
        <f t="shared" si="225"/>
        <v/>
      </c>
      <c r="AW3606" s="2" t="str">
        <f t="shared" si="226"/>
        <v/>
      </c>
      <c r="AX3606" s="2" t="str">
        <f t="shared" si="227"/>
        <v/>
      </c>
      <c r="AY3606" s="2" t="str">
        <f>IF($AV3606="","",IF(AND($Z3606=0,COUNTIF('AR SALES'!$L$2:$L$2501,$L3606)=0),"YES",""))</f>
        <v/>
      </c>
      <c r="AZ3606" s="2" t="str">
        <f>IF($AV3606="","",IF(COUNTIF(LISTS!$C$2:$C$250,$AU3606)=0,"NEW",""))</f>
        <v/>
      </c>
      <c r="BA3606" s="2" t="str">
        <f>IF(""&amp;$F3606&lt;&gt;"4","",IF($AY3606="YES","",IF(ROUND(SUMIFS($AE$2:$AE$4001,$L$2:$L$4001,$L3606,$F$2:$F$4001,"4")-SUMIFS('AR SALES'!$Y$2:$Y$2501,'AR SALES'!$L$2:$L$2501,$L3606,'AR SALES'!$AD$2:$AD$2501,"OFF"),2)=0,"","STALE")))</f>
        <v/>
      </c>
      <c r="BB3606" s="2" t="str">
        <f>IF(OR(""&amp;$F3606="2",""&amp;$F3606="4",""&amp;$F3606="G",""&amp;$F3606="H"),IF($AY3606="YES","",IF($AB3606&lt;&gt;0,"",IF(COUNTIFS('AR SALES'!$L$2:$L$2501,$L3606,'AR SALES'!$AD$2:$AD$2501,IF(""&amp;$F3606="4","OFF","ON"),'AR SALES'!$AF$2:$AF$2501,"Y")&gt;0,"","NO EXEMPTION"))),"")</f>
        <v/>
      </c>
    </row>
    <row r="3607" spans="46:54" x14ac:dyDescent="0.25">
      <c r="AT3607" s="2" t="str">
        <f>IF($L3607="","",IFERROR(INDEX('AR SALES'!$H$2:$H$2501,MATCH(""&amp;$L3607,'AR SALES'!$AE$2:$AE$2501,0)),""))</f>
        <v/>
      </c>
      <c r="AU3607" s="2" t="str">
        <f t="shared" si="224"/>
        <v/>
      </c>
      <c r="AV3607" s="2" t="str">
        <f t="shared" si="225"/>
        <v/>
      </c>
      <c r="AW3607" s="2" t="str">
        <f t="shared" si="226"/>
        <v/>
      </c>
      <c r="AX3607" s="2" t="str">
        <f t="shared" si="227"/>
        <v/>
      </c>
      <c r="AY3607" s="2" t="str">
        <f>IF($AV3607="","",IF(AND($Z3607=0,COUNTIF('AR SALES'!$L$2:$L$2501,$L3607)=0),"YES",""))</f>
        <v/>
      </c>
      <c r="AZ3607" s="2" t="str">
        <f>IF($AV3607="","",IF(COUNTIF(LISTS!$C$2:$C$250,$AU3607)=0,"NEW",""))</f>
        <v/>
      </c>
      <c r="BA3607" s="2" t="str">
        <f>IF(""&amp;$F3607&lt;&gt;"4","",IF($AY3607="YES","",IF(ROUND(SUMIFS($AE$2:$AE$4001,$L$2:$L$4001,$L3607,$F$2:$F$4001,"4")-SUMIFS('AR SALES'!$Y$2:$Y$2501,'AR SALES'!$L$2:$L$2501,$L3607,'AR SALES'!$AD$2:$AD$2501,"OFF"),2)=0,"","STALE")))</f>
        <v/>
      </c>
      <c r="BB3607" s="2" t="str">
        <f>IF(OR(""&amp;$F3607="2",""&amp;$F3607="4",""&amp;$F3607="G",""&amp;$F3607="H"),IF($AY3607="YES","",IF($AB3607&lt;&gt;0,"",IF(COUNTIFS('AR SALES'!$L$2:$L$2501,$L3607,'AR SALES'!$AD$2:$AD$2501,IF(""&amp;$F3607="4","OFF","ON"),'AR SALES'!$AF$2:$AF$2501,"Y")&gt;0,"","NO EXEMPTION"))),"")</f>
        <v/>
      </c>
    </row>
    <row r="3608" spans="46:54" x14ac:dyDescent="0.25">
      <c r="AT3608" s="2" t="str">
        <f>IF($L3608="","",IFERROR(INDEX('AR SALES'!$H$2:$H$2501,MATCH(""&amp;$L3608,'AR SALES'!$AE$2:$AE$2501,0)),""))</f>
        <v/>
      </c>
      <c r="AU3608" s="2" t="str">
        <f t="shared" si="224"/>
        <v/>
      </c>
      <c r="AV3608" s="2" t="str">
        <f t="shared" si="225"/>
        <v/>
      </c>
      <c r="AW3608" s="2" t="str">
        <f t="shared" si="226"/>
        <v/>
      </c>
      <c r="AX3608" s="2" t="str">
        <f t="shared" si="227"/>
        <v/>
      </c>
      <c r="AY3608" s="2" t="str">
        <f>IF($AV3608="","",IF(AND($Z3608=0,COUNTIF('AR SALES'!$L$2:$L$2501,$L3608)=0),"YES",""))</f>
        <v/>
      </c>
      <c r="AZ3608" s="2" t="str">
        <f>IF($AV3608="","",IF(COUNTIF(LISTS!$C$2:$C$250,$AU3608)=0,"NEW",""))</f>
        <v/>
      </c>
      <c r="BA3608" s="2" t="str">
        <f>IF(""&amp;$F3608&lt;&gt;"4","",IF($AY3608="YES","",IF(ROUND(SUMIFS($AE$2:$AE$4001,$L$2:$L$4001,$L3608,$F$2:$F$4001,"4")-SUMIFS('AR SALES'!$Y$2:$Y$2501,'AR SALES'!$L$2:$L$2501,$L3608,'AR SALES'!$AD$2:$AD$2501,"OFF"),2)=0,"","STALE")))</f>
        <v/>
      </c>
      <c r="BB3608" s="2" t="str">
        <f>IF(OR(""&amp;$F3608="2",""&amp;$F3608="4",""&amp;$F3608="G",""&amp;$F3608="H"),IF($AY3608="YES","",IF($AB3608&lt;&gt;0,"",IF(COUNTIFS('AR SALES'!$L$2:$L$2501,$L3608,'AR SALES'!$AD$2:$AD$2501,IF(""&amp;$F3608="4","OFF","ON"),'AR SALES'!$AF$2:$AF$2501,"Y")&gt;0,"","NO EXEMPTION"))),"")</f>
        <v/>
      </c>
    </row>
    <row r="3609" spans="46:54" x14ac:dyDescent="0.25">
      <c r="AT3609" s="2" t="str">
        <f>IF($L3609="","",IFERROR(INDEX('AR SALES'!$H$2:$H$2501,MATCH(""&amp;$L3609,'AR SALES'!$AE$2:$AE$2501,0)),""))</f>
        <v/>
      </c>
      <c r="AU3609" s="2" t="str">
        <f t="shared" si="224"/>
        <v/>
      </c>
      <c r="AV3609" s="2" t="str">
        <f t="shared" si="225"/>
        <v/>
      </c>
      <c r="AW3609" s="2" t="str">
        <f t="shared" si="226"/>
        <v/>
      </c>
      <c r="AX3609" s="2" t="str">
        <f t="shared" si="227"/>
        <v/>
      </c>
      <c r="AY3609" s="2" t="str">
        <f>IF($AV3609="","",IF(AND($Z3609=0,COUNTIF('AR SALES'!$L$2:$L$2501,$L3609)=0),"YES",""))</f>
        <v/>
      </c>
      <c r="AZ3609" s="2" t="str">
        <f>IF($AV3609="","",IF(COUNTIF(LISTS!$C$2:$C$250,$AU3609)=0,"NEW",""))</f>
        <v/>
      </c>
      <c r="BA3609" s="2" t="str">
        <f>IF(""&amp;$F3609&lt;&gt;"4","",IF($AY3609="YES","",IF(ROUND(SUMIFS($AE$2:$AE$4001,$L$2:$L$4001,$L3609,$F$2:$F$4001,"4")-SUMIFS('AR SALES'!$Y$2:$Y$2501,'AR SALES'!$L$2:$L$2501,$L3609,'AR SALES'!$AD$2:$AD$2501,"OFF"),2)=0,"","STALE")))</f>
        <v/>
      </c>
      <c r="BB3609" s="2" t="str">
        <f>IF(OR(""&amp;$F3609="2",""&amp;$F3609="4",""&amp;$F3609="G",""&amp;$F3609="H"),IF($AY3609="YES","",IF($AB3609&lt;&gt;0,"",IF(COUNTIFS('AR SALES'!$L$2:$L$2501,$L3609,'AR SALES'!$AD$2:$AD$2501,IF(""&amp;$F3609="4","OFF","ON"),'AR SALES'!$AF$2:$AF$2501,"Y")&gt;0,"","NO EXEMPTION"))),"")</f>
        <v/>
      </c>
    </row>
    <row r="3610" spans="46:54" x14ac:dyDescent="0.25">
      <c r="AT3610" s="2" t="str">
        <f>IF($L3610="","",IFERROR(INDEX('AR SALES'!$H$2:$H$2501,MATCH(""&amp;$L3610,'AR SALES'!$AE$2:$AE$2501,0)),""))</f>
        <v/>
      </c>
      <c r="AU3610" s="2" t="str">
        <f t="shared" si="224"/>
        <v/>
      </c>
      <c r="AV3610" s="2" t="str">
        <f t="shared" si="225"/>
        <v/>
      </c>
      <c r="AW3610" s="2" t="str">
        <f t="shared" si="226"/>
        <v/>
      </c>
      <c r="AX3610" s="2" t="str">
        <f t="shared" si="227"/>
        <v/>
      </c>
      <c r="AY3610" s="2" t="str">
        <f>IF($AV3610="","",IF(AND($Z3610=0,COUNTIF('AR SALES'!$L$2:$L$2501,$L3610)=0),"YES",""))</f>
        <v/>
      </c>
      <c r="AZ3610" s="2" t="str">
        <f>IF($AV3610="","",IF(COUNTIF(LISTS!$C$2:$C$250,$AU3610)=0,"NEW",""))</f>
        <v/>
      </c>
      <c r="BA3610" s="2" t="str">
        <f>IF(""&amp;$F3610&lt;&gt;"4","",IF($AY3610="YES","",IF(ROUND(SUMIFS($AE$2:$AE$4001,$L$2:$L$4001,$L3610,$F$2:$F$4001,"4")-SUMIFS('AR SALES'!$Y$2:$Y$2501,'AR SALES'!$L$2:$L$2501,$L3610,'AR SALES'!$AD$2:$AD$2501,"OFF"),2)=0,"","STALE")))</f>
        <v/>
      </c>
      <c r="BB3610" s="2" t="str">
        <f>IF(OR(""&amp;$F3610="2",""&amp;$F3610="4",""&amp;$F3610="G",""&amp;$F3610="H"),IF($AY3610="YES","",IF($AB3610&lt;&gt;0,"",IF(COUNTIFS('AR SALES'!$L$2:$L$2501,$L3610,'AR SALES'!$AD$2:$AD$2501,IF(""&amp;$F3610="4","OFF","ON"),'AR SALES'!$AF$2:$AF$2501,"Y")&gt;0,"","NO EXEMPTION"))),"")</f>
        <v/>
      </c>
    </row>
    <row r="3611" spans="46:54" x14ac:dyDescent="0.25">
      <c r="AT3611" s="2" t="str">
        <f>IF($L3611="","",IFERROR(INDEX('AR SALES'!$H$2:$H$2501,MATCH(""&amp;$L3611,'AR SALES'!$AE$2:$AE$2501,0)),""))</f>
        <v/>
      </c>
      <c r="AU3611" s="2" t="str">
        <f t="shared" si="224"/>
        <v/>
      </c>
      <c r="AV3611" s="2" t="str">
        <f t="shared" si="225"/>
        <v/>
      </c>
      <c r="AW3611" s="2" t="str">
        <f t="shared" si="226"/>
        <v/>
      </c>
      <c r="AX3611" s="2" t="str">
        <f t="shared" si="227"/>
        <v/>
      </c>
      <c r="AY3611" s="2" t="str">
        <f>IF($AV3611="","",IF(AND($Z3611=0,COUNTIF('AR SALES'!$L$2:$L$2501,$L3611)=0),"YES",""))</f>
        <v/>
      </c>
      <c r="AZ3611" s="2" t="str">
        <f>IF($AV3611="","",IF(COUNTIF(LISTS!$C$2:$C$250,$AU3611)=0,"NEW",""))</f>
        <v/>
      </c>
      <c r="BA3611" s="2" t="str">
        <f>IF(""&amp;$F3611&lt;&gt;"4","",IF($AY3611="YES","",IF(ROUND(SUMIFS($AE$2:$AE$4001,$L$2:$L$4001,$L3611,$F$2:$F$4001,"4")-SUMIFS('AR SALES'!$Y$2:$Y$2501,'AR SALES'!$L$2:$L$2501,$L3611,'AR SALES'!$AD$2:$AD$2501,"OFF"),2)=0,"","STALE")))</f>
        <v/>
      </c>
      <c r="BB3611" s="2" t="str">
        <f>IF(OR(""&amp;$F3611="2",""&amp;$F3611="4",""&amp;$F3611="G",""&amp;$F3611="H"),IF($AY3611="YES","",IF($AB3611&lt;&gt;0,"",IF(COUNTIFS('AR SALES'!$L$2:$L$2501,$L3611,'AR SALES'!$AD$2:$AD$2501,IF(""&amp;$F3611="4","OFF","ON"),'AR SALES'!$AF$2:$AF$2501,"Y")&gt;0,"","NO EXEMPTION"))),"")</f>
        <v/>
      </c>
    </row>
    <row r="3612" spans="46:54" x14ac:dyDescent="0.25">
      <c r="AT3612" s="2" t="str">
        <f>IF($L3612="","",IFERROR(INDEX('AR SALES'!$H$2:$H$2501,MATCH(""&amp;$L3612,'AR SALES'!$AE$2:$AE$2501,0)),""))</f>
        <v/>
      </c>
      <c r="AU3612" s="2" t="str">
        <f t="shared" si="224"/>
        <v/>
      </c>
      <c r="AV3612" s="2" t="str">
        <f t="shared" si="225"/>
        <v/>
      </c>
      <c r="AW3612" s="2" t="str">
        <f t="shared" si="226"/>
        <v/>
      </c>
      <c r="AX3612" s="2" t="str">
        <f t="shared" si="227"/>
        <v/>
      </c>
      <c r="AY3612" s="2" t="str">
        <f>IF($AV3612="","",IF(AND($Z3612=0,COUNTIF('AR SALES'!$L$2:$L$2501,$L3612)=0),"YES",""))</f>
        <v/>
      </c>
      <c r="AZ3612" s="2" t="str">
        <f>IF($AV3612="","",IF(COUNTIF(LISTS!$C$2:$C$250,$AU3612)=0,"NEW",""))</f>
        <v/>
      </c>
      <c r="BA3612" s="2" t="str">
        <f>IF(""&amp;$F3612&lt;&gt;"4","",IF($AY3612="YES","",IF(ROUND(SUMIFS($AE$2:$AE$4001,$L$2:$L$4001,$L3612,$F$2:$F$4001,"4")-SUMIFS('AR SALES'!$Y$2:$Y$2501,'AR SALES'!$L$2:$L$2501,$L3612,'AR SALES'!$AD$2:$AD$2501,"OFF"),2)=0,"","STALE")))</f>
        <v/>
      </c>
      <c r="BB3612" s="2" t="str">
        <f>IF(OR(""&amp;$F3612="2",""&amp;$F3612="4",""&amp;$F3612="G",""&amp;$F3612="H"),IF($AY3612="YES","",IF($AB3612&lt;&gt;0,"",IF(COUNTIFS('AR SALES'!$L$2:$L$2501,$L3612,'AR SALES'!$AD$2:$AD$2501,IF(""&amp;$F3612="4","OFF","ON"),'AR SALES'!$AF$2:$AF$2501,"Y")&gt;0,"","NO EXEMPTION"))),"")</f>
        <v/>
      </c>
    </row>
    <row r="3613" spans="46:54" x14ac:dyDescent="0.25">
      <c r="AT3613" s="2" t="str">
        <f>IF($L3613="","",IFERROR(INDEX('AR SALES'!$H$2:$H$2501,MATCH(""&amp;$L3613,'AR SALES'!$AE$2:$AE$2501,0)),""))</f>
        <v/>
      </c>
      <c r="AU3613" s="2" t="str">
        <f t="shared" si="224"/>
        <v/>
      </c>
      <c r="AV3613" s="2" t="str">
        <f t="shared" si="225"/>
        <v/>
      </c>
      <c r="AW3613" s="2" t="str">
        <f t="shared" si="226"/>
        <v/>
      </c>
      <c r="AX3613" s="2" t="str">
        <f t="shared" si="227"/>
        <v/>
      </c>
      <c r="AY3613" s="2" t="str">
        <f>IF($AV3613="","",IF(AND($Z3613=0,COUNTIF('AR SALES'!$L$2:$L$2501,$L3613)=0),"YES",""))</f>
        <v/>
      </c>
      <c r="AZ3613" s="2" t="str">
        <f>IF($AV3613="","",IF(COUNTIF(LISTS!$C$2:$C$250,$AU3613)=0,"NEW",""))</f>
        <v/>
      </c>
      <c r="BA3613" s="2" t="str">
        <f>IF(""&amp;$F3613&lt;&gt;"4","",IF($AY3613="YES","",IF(ROUND(SUMIFS($AE$2:$AE$4001,$L$2:$L$4001,$L3613,$F$2:$F$4001,"4")-SUMIFS('AR SALES'!$Y$2:$Y$2501,'AR SALES'!$L$2:$L$2501,$L3613,'AR SALES'!$AD$2:$AD$2501,"OFF"),2)=0,"","STALE")))</f>
        <v/>
      </c>
      <c r="BB3613" s="2" t="str">
        <f>IF(OR(""&amp;$F3613="2",""&amp;$F3613="4",""&amp;$F3613="G",""&amp;$F3613="H"),IF($AY3613="YES","",IF($AB3613&lt;&gt;0,"",IF(COUNTIFS('AR SALES'!$L$2:$L$2501,$L3613,'AR SALES'!$AD$2:$AD$2501,IF(""&amp;$F3613="4","OFF","ON"),'AR SALES'!$AF$2:$AF$2501,"Y")&gt;0,"","NO EXEMPTION"))),"")</f>
        <v/>
      </c>
    </row>
    <row r="3614" spans="46:54" x14ac:dyDescent="0.25">
      <c r="AT3614" s="2" t="str">
        <f>IF($L3614="","",IFERROR(INDEX('AR SALES'!$H$2:$H$2501,MATCH(""&amp;$L3614,'AR SALES'!$AE$2:$AE$2501,0)),""))</f>
        <v/>
      </c>
      <c r="AU3614" s="2" t="str">
        <f t="shared" si="224"/>
        <v/>
      </c>
      <c r="AV3614" s="2" t="str">
        <f t="shared" si="225"/>
        <v/>
      </c>
      <c r="AW3614" s="2" t="str">
        <f t="shared" si="226"/>
        <v/>
      </c>
      <c r="AX3614" s="2" t="str">
        <f t="shared" si="227"/>
        <v/>
      </c>
      <c r="AY3614" s="2" t="str">
        <f>IF($AV3614="","",IF(AND($Z3614=0,COUNTIF('AR SALES'!$L$2:$L$2501,$L3614)=0),"YES",""))</f>
        <v/>
      </c>
      <c r="AZ3614" s="2" t="str">
        <f>IF($AV3614="","",IF(COUNTIF(LISTS!$C$2:$C$250,$AU3614)=0,"NEW",""))</f>
        <v/>
      </c>
      <c r="BA3614" s="2" t="str">
        <f>IF(""&amp;$F3614&lt;&gt;"4","",IF($AY3614="YES","",IF(ROUND(SUMIFS($AE$2:$AE$4001,$L$2:$L$4001,$L3614,$F$2:$F$4001,"4")-SUMIFS('AR SALES'!$Y$2:$Y$2501,'AR SALES'!$L$2:$L$2501,$L3614,'AR SALES'!$AD$2:$AD$2501,"OFF"),2)=0,"","STALE")))</f>
        <v/>
      </c>
      <c r="BB3614" s="2" t="str">
        <f>IF(OR(""&amp;$F3614="2",""&amp;$F3614="4",""&amp;$F3614="G",""&amp;$F3614="H"),IF($AY3614="YES","",IF($AB3614&lt;&gt;0,"",IF(COUNTIFS('AR SALES'!$L$2:$L$2501,$L3614,'AR SALES'!$AD$2:$AD$2501,IF(""&amp;$F3614="4","OFF","ON"),'AR SALES'!$AF$2:$AF$2501,"Y")&gt;0,"","NO EXEMPTION"))),"")</f>
        <v/>
      </c>
    </row>
    <row r="3615" spans="46:54" x14ac:dyDescent="0.25">
      <c r="AT3615" s="2" t="str">
        <f>IF($L3615="","",IFERROR(INDEX('AR SALES'!$H$2:$H$2501,MATCH(""&amp;$L3615,'AR SALES'!$AE$2:$AE$2501,0)),""))</f>
        <v/>
      </c>
      <c r="AU3615" s="2" t="str">
        <f t="shared" si="224"/>
        <v/>
      </c>
      <c r="AV3615" s="2" t="str">
        <f t="shared" si="225"/>
        <v/>
      </c>
      <c r="AW3615" s="2" t="str">
        <f t="shared" si="226"/>
        <v/>
      </c>
      <c r="AX3615" s="2" t="str">
        <f t="shared" si="227"/>
        <v/>
      </c>
      <c r="AY3615" s="2" t="str">
        <f>IF($AV3615="","",IF(AND($Z3615=0,COUNTIF('AR SALES'!$L$2:$L$2501,$L3615)=0),"YES",""))</f>
        <v/>
      </c>
      <c r="AZ3615" s="2" t="str">
        <f>IF($AV3615="","",IF(COUNTIF(LISTS!$C$2:$C$250,$AU3615)=0,"NEW",""))</f>
        <v/>
      </c>
      <c r="BA3615" s="2" t="str">
        <f>IF(""&amp;$F3615&lt;&gt;"4","",IF($AY3615="YES","",IF(ROUND(SUMIFS($AE$2:$AE$4001,$L$2:$L$4001,$L3615,$F$2:$F$4001,"4")-SUMIFS('AR SALES'!$Y$2:$Y$2501,'AR SALES'!$L$2:$L$2501,$L3615,'AR SALES'!$AD$2:$AD$2501,"OFF"),2)=0,"","STALE")))</f>
        <v/>
      </c>
      <c r="BB3615" s="2" t="str">
        <f>IF(OR(""&amp;$F3615="2",""&amp;$F3615="4",""&amp;$F3615="G",""&amp;$F3615="H"),IF($AY3615="YES","",IF($AB3615&lt;&gt;0,"",IF(COUNTIFS('AR SALES'!$L$2:$L$2501,$L3615,'AR SALES'!$AD$2:$AD$2501,IF(""&amp;$F3615="4","OFF","ON"),'AR SALES'!$AF$2:$AF$2501,"Y")&gt;0,"","NO EXEMPTION"))),"")</f>
        <v/>
      </c>
    </row>
    <row r="3616" spans="46:54" x14ac:dyDescent="0.25">
      <c r="AT3616" s="2" t="str">
        <f>IF($L3616="","",IFERROR(INDEX('AR SALES'!$H$2:$H$2501,MATCH(""&amp;$L3616,'AR SALES'!$AE$2:$AE$2501,0)),""))</f>
        <v/>
      </c>
      <c r="AU3616" s="2" t="str">
        <f t="shared" si="224"/>
        <v/>
      </c>
      <c r="AV3616" s="2" t="str">
        <f t="shared" si="225"/>
        <v/>
      </c>
      <c r="AW3616" s="2" t="str">
        <f t="shared" si="226"/>
        <v/>
      </c>
      <c r="AX3616" s="2" t="str">
        <f t="shared" si="227"/>
        <v/>
      </c>
      <c r="AY3616" s="2" t="str">
        <f>IF($AV3616="","",IF(AND($Z3616=0,COUNTIF('AR SALES'!$L$2:$L$2501,$L3616)=0),"YES",""))</f>
        <v/>
      </c>
      <c r="AZ3616" s="2" t="str">
        <f>IF($AV3616="","",IF(COUNTIF(LISTS!$C$2:$C$250,$AU3616)=0,"NEW",""))</f>
        <v/>
      </c>
      <c r="BA3616" s="2" t="str">
        <f>IF(""&amp;$F3616&lt;&gt;"4","",IF($AY3616="YES","",IF(ROUND(SUMIFS($AE$2:$AE$4001,$L$2:$L$4001,$L3616,$F$2:$F$4001,"4")-SUMIFS('AR SALES'!$Y$2:$Y$2501,'AR SALES'!$L$2:$L$2501,$L3616,'AR SALES'!$AD$2:$AD$2501,"OFF"),2)=0,"","STALE")))</f>
        <v/>
      </c>
      <c r="BB3616" s="2" t="str">
        <f>IF(OR(""&amp;$F3616="2",""&amp;$F3616="4",""&amp;$F3616="G",""&amp;$F3616="H"),IF($AY3616="YES","",IF($AB3616&lt;&gt;0,"",IF(COUNTIFS('AR SALES'!$L$2:$L$2501,$L3616,'AR SALES'!$AD$2:$AD$2501,IF(""&amp;$F3616="4","OFF","ON"),'AR SALES'!$AF$2:$AF$2501,"Y")&gt;0,"","NO EXEMPTION"))),"")</f>
        <v/>
      </c>
    </row>
    <row r="3617" spans="46:54" x14ac:dyDescent="0.25">
      <c r="AT3617" s="2" t="str">
        <f>IF($L3617="","",IFERROR(INDEX('AR SALES'!$H$2:$H$2501,MATCH(""&amp;$L3617,'AR SALES'!$AE$2:$AE$2501,0)),""))</f>
        <v/>
      </c>
      <c r="AU3617" s="2" t="str">
        <f t="shared" si="224"/>
        <v/>
      </c>
      <c r="AV3617" s="2" t="str">
        <f t="shared" si="225"/>
        <v/>
      </c>
      <c r="AW3617" s="2" t="str">
        <f t="shared" si="226"/>
        <v/>
      </c>
      <c r="AX3617" s="2" t="str">
        <f t="shared" si="227"/>
        <v/>
      </c>
      <c r="AY3617" s="2" t="str">
        <f>IF($AV3617="","",IF(AND($Z3617=0,COUNTIF('AR SALES'!$L$2:$L$2501,$L3617)=0),"YES",""))</f>
        <v/>
      </c>
      <c r="AZ3617" s="2" t="str">
        <f>IF($AV3617="","",IF(COUNTIF(LISTS!$C$2:$C$250,$AU3617)=0,"NEW",""))</f>
        <v/>
      </c>
      <c r="BA3617" s="2" t="str">
        <f>IF(""&amp;$F3617&lt;&gt;"4","",IF($AY3617="YES","",IF(ROUND(SUMIFS($AE$2:$AE$4001,$L$2:$L$4001,$L3617,$F$2:$F$4001,"4")-SUMIFS('AR SALES'!$Y$2:$Y$2501,'AR SALES'!$L$2:$L$2501,$L3617,'AR SALES'!$AD$2:$AD$2501,"OFF"),2)=0,"","STALE")))</f>
        <v/>
      </c>
      <c r="BB3617" s="2" t="str">
        <f>IF(OR(""&amp;$F3617="2",""&amp;$F3617="4",""&amp;$F3617="G",""&amp;$F3617="H"),IF($AY3617="YES","",IF($AB3617&lt;&gt;0,"",IF(COUNTIFS('AR SALES'!$L$2:$L$2501,$L3617,'AR SALES'!$AD$2:$AD$2501,IF(""&amp;$F3617="4","OFF","ON"),'AR SALES'!$AF$2:$AF$2501,"Y")&gt;0,"","NO EXEMPTION"))),"")</f>
        <v/>
      </c>
    </row>
    <row r="3618" spans="46:54" x14ac:dyDescent="0.25">
      <c r="AT3618" s="2" t="str">
        <f>IF($L3618="","",IFERROR(INDEX('AR SALES'!$H$2:$H$2501,MATCH(""&amp;$L3618,'AR SALES'!$AE$2:$AE$2501,0)),""))</f>
        <v/>
      </c>
      <c r="AU3618" s="2" t="str">
        <f t="shared" si="224"/>
        <v/>
      </c>
      <c r="AV3618" s="2" t="str">
        <f t="shared" si="225"/>
        <v/>
      </c>
      <c r="AW3618" s="2" t="str">
        <f t="shared" si="226"/>
        <v/>
      </c>
      <c r="AX3618" s="2" t="str">
        <f t="shared" si="227"/>
        <v/>
      </c>
      <c r="AY3618" s="2" t="str">
        <f>IF($AV3618="","",IF(AND($Z3618=0,COUNTIF('AR SALES'!$L$2:$L$2501,$L3618)=0),"YES",""))</f>
        <v/>
      </c>
      <c r="AZ3618" s="2" t="str">
        <f>IF($AV3618="","",IF(COUNTIF(LISTS!$C$2:$C$250,$AU3618)=0,"NEW",""))</f>
        <v/>
      </c>
      <c r="BA3618" s="2" t="str">
        <f>IF(""&amp;$F3618&lt;&gt;"4","",IF($AY3618="YES","",IF(ROUND(SUMIFS($AE$2:$AE$4001,$L$2:$L$4001,$L3618,$F$2:$F$4001,"4")-SUMIFS('AR SALES'!$Y$2:$Y$2501,'AR SALES'!$L$2:$L$2501,$L3618,'AR SALES'!$AD$2:$AD$2501,"OFF"),2)=0,"","STALE")))</f>
        <v/>
      </c>
      <c r="BB3618" s="2" t="str">
        <f>IF(OR(""&amp;$F3618="2",""&amp;$F3618="4",""&amp;$F3618="G",""&amp;$F3618="H"),IF($AY3618="YES","",IF($AB3618&lt;&gt;0,"",IF(COUNTIFS('AR SALES'!$L$2:$L$2501,$L3618,'AR SALES'!$AD$2:$AD$2501,IF(""&amp;$F3618="4","OFF","ON"),'AR SALES'!$AF$2:$AF$2501,"Y")&gt;0,"","NO EXEMPTION"))),"")</f>
        <v/>
      </c>
    </row>
    <row r="3619" spans="46:54" x14ac:dyDescent="0.25">
      <c r="AT3619" s="2" t="str">
        <f>IF($L3619="","",IFERROR(INDEX('AR SALES'!$H$2:$H$2501,MATCH(""&amp;$L3619,'AR SALES'!$AE$2:$AE$2501,0)),""))</f>
        <v/>
      </c>
      <c r="AU3619" s="2" t="str">
        <f t="shared" si="224"/>
        <v/>
      </c>
      <c r="AV3619" s="2" t="str">
        <f t="shared" si="225"/>
        <v/>
      </c>
      <c r="AW3619" s="2" t="str">
        <f t="shared" si="226"/>
        <v/>
      </c>
      <c r="AX3619" s="2" t="str">
        <f t="shared" si="227"/>
        <v/>
      </c>
      <c r="AY3619" s="2" t="str">
        <f>IF($AV3619="","",IF(AND($Z3619=0,COUNTIF('AR SALES'!$L$2:$L$2501,$L3619)=0),"YES",""))</f>
        <v/>
      </c>
      <c r="AZ3619" s="2" t="str">
        <f>IF($AV3619="","",IF(COUNTIF(LISTS!$C$2:$C$250,$AU3619)=0,"NEW",""))</f>
        <v/>
      </c>
      <c r="BA3619" s="2" t="str">
        <f>IF(""&amp;$F3619&lt;&gt;"4","",IF($AY3619="YES","",IF(ROUND(SUMIFS($AE$2:$AE$4001,$L$2:$L$4001,$L3619,$F$2:$F$4001,"4")-SUMIFS('AR SALES'!$Y$2:$Y$2501,'AR SALES'!$L$2:$L$2501,$L3619,'AR SALES'!$AD$2:$AD$2501,"OFF"),2)=0,"","STALE")))</f>
        <v/>
      </c>
      <c r="BB3619" s="2" t="str">
        <f>IF(OR(""&amp;$F3619="2",""&amp;$F3619="4",""&amp;$F3619="G",""&amp;$F3619="H"),IF($AY3619="YES","",IF($AB3619&lt;&gt;0,"",IF(COUNTIFS('AR SALES'!$L$2:$L$2501,$L3619,'AR SALES'!$AD$2:$AD$2501,IF(""&amp;$F3619="4","OFF","ON"),'AR SALES'!$AF$2:$AF$2501,"Y")&gt;0,"","NO EXEMPTION"))),"")</f>
        <v/>
      </c>
    </row>
    <row r="3620" spans="46:54" x14ac:dyDescent="0.25">
      <c r="AT3620" s="2" t="str">
        <f>IF($L3620="","",IFERROR(INDEX('AR SALES'!$H$2:$H$2501,MATCH(""&amp;$L3620,'AR SALES'!$AE$2:$AE$2501,0)),""))</f>
        <v/>
      </c>
      <c r="AU3620" s="2" t="str">
        <f t="shared" si="224"/>
        <v/>
      </c>
      <c r="AV3620" s="2" t="str">
        <f t="shared" si="225"/>
        <v/>
      </c>
      <c r="AW3620" s="2" t="str">
        <f t="shared" si="226"/>
        <v/>
      </c>
      <c r="AX3620" s="2" t="str">
        <f t="shared" si="227"/>
        <v/>
      </c>
      <c r="AY3620" s="2" t="str">
        <f>IF($AV3620="","",IF(AND($Z3620=0,COUNTIF('AR SALES'!$L$2:$L$2501,$L3620)=0),"YES",""))</f>
        <v/>
      </c>
      <c r="AZ3620" s="2" t="str">
        <f>IF($AV3620="","",IF(COUNTIF(LISTS!$C$2:$C$250,$AU3620)=0,"NEW",""))</f>
        <v/>
      </c>
      <c r="BA3620" s="2" t="str">
        <f>IF(""&amp;$F3620&lt;&gt;"4","",IF($AY3620="YES","",IF(ROUND(SUMIFS($AE$2:$AE$4001,$L$2:$L$4001,$L3620,$F$2:$F$4001,"4")-SUMIFS('AR SALES'!$Y$2:$Y$2501,'AR SALES'!$L$2:$L$2501,$L3620,'AR SALES'!$AD$2:$AD$2501,"OFF"),2)=0,"","STALE")))</f>
        <v/>
      </c>
      <c r="BB3620" s="2" t="str">
        <f>IF(OR(""&amp;$F3620="2",""&amp;$F3620="4",""&amp;$F3620="G",""&amp;$F3620="H"),IF($AY3620="YES","",IF($AB3620&lt;&gt;0,"",IF(COUNTIFS('AR SALES'!$L$2:$L$2501,$L3620,'AR SALES'!$AD$2:$AD$2501,IF(""&amp;$F3620="4","OFF","ON"),'AR SALES'!$AF$2:$AF$2501,"Y")&gt;0,"","NO EXEMPTION"))),"")</f>
        <v/>
      </c>
    </row>
    <row r="3621" spans="46:54" x14ac:dyDescent="0.25">
      <c r="AT3621" s="2" t="str">
        <f>IF($L3621="","",IFERROR(INDEX('AR SALES'!$H$2:$H$2501,MATCH(""&amp;$L3621,'AR SALES'!$AE$2:$AE$2501,0)),""))</f>
        <v/>
      </c>
      <c r="AU3621" s="2" t="str">
        <f t="shared" si="224"/>
        <v/>
      </c>
      <c r="AV3621" s="2" t="str">
        <f t="shared" si="225"/>
        <v/>
      </c>
      <c r="AW3621" s="2" t="str">
        <f t="shared" si="226"/>
        <v/>
      </c>
      <c r="AX3621" s="2" t="str">
        <f t="shared" si="227"/>
        <v/>
      </c>
      <c r="AY3621" s="2" t="str">
        <f>IF($AV3621="","",IF(AND($Z3621=0,COUNTIF('AR SALES'!$L$2:$L$2501,$L3621)=0),"YES",""))</f>
        <v/>
      </c>
      <c r="AZ3621" s="2" t="str">
        <f>IF($AV3621="","",IF(COUNTIF(LISTS!$C$2:$C$250,$AU3621)=0,"NEW",""))</f>
        <v/>
      </c>
      <c r="BA3621" s="2" t="str">
        <f>IF(""&amp;$F3621&lt;&gt;"4","",IF($AY3621="YES","",IF(ROUND(SUMIFS($AE$2:$AE$4001,$L$2:$L$4001,$L3621,$F$2:$F$4001,"4")-SUMIFS('AR SALES'!$Y$2:$Y$2501,'AR SALES'!$L$2:$L$2501,$L3621,'AR SALES'!$AD$2:$AD$2501,"OFF"),2)=0,"","STALE")))</f>
        <v/>
      </c>
      <c r="BB3621" s="2" t="str">
        <f>IF(OR(""&amp;$F3621="2",""&amp;$F3621="4",""&amp;$F3621="G",""&amp;$F3621="H"),IF($AY3621="YES","",IF($AB3621&lt;&gt;0,"",IF(COUNTIFS('AR SALES'!$L$2:$L$2501,$L3621,'AR SALES'!$AD$2:$AD$2501,IF(""&amp;$F3621="4","OFF","ON"),'AR SALES'!$AF$2:$AF$2501,"Y")&gt;0,"","NO EXEMPTION"))),"")</f>
        <v/>
      </c>
    </row>
    <row r="3622" spans="46:54" x14ac:dyDescent="0.25">
      <c r="AT3622" s="2" t="str">
        <f>IF($L3622="","",IFERROR(INDEX('AR SALES'!$H$2:$H$2501,MATCH(""&amp;$L3622,'AR SALES'!$AE$2:$AE$2501,0)),""))</f>
        <v/>
      </c>
      <c r="AU3622" s="2" t="str">
        <f t="shared" si="224"/>
        <v/>
      </c>
      <c r="AV3622" s="2" t="str">
        <f t="shared" si="225"/>
        <v/>
      </c>
      <c r="AW3622" s="2" t="str">
        <f t="shared" si="226"/>
        <v/>
      </c>
      <c r="AX3622" s="2" t="str">
        <f t="shared" si="227"/>
        <v/>
      </c>
      <c r="AY3622" s="2" t="str">
        <f>IF($AV3622="","",IF(AND($Z3622=0,COUNTIF('AR SALES'!$L$2:$L$2501,$L3622)=0),"YES",""))</f>
        <v/>
      </c>
      <c r="AZ3622" s="2" t="str">
        <f>IF($AV3622="","",IF(COUNTIF(LISTS!$C$2:$C$250,$AU3622)=0,"NEW",""))</f>
        <v/>
      </c>
      <c r="BA3622" s="2" t="str">
        <f>IF(""&amp;$F3622&lt;&gt;"4","",IF($AY3622="YES","",IF(ROUND(SUMIFS($AE$2:$AE$4001,$L$2:$L$4001,$L3622,$F$2:$F$4001,"4")-SUMIFS('AR SALES'!$Y$2:$Y$2501,'AR SALES'!$L$2:$L$2501,$L3622,'AR SALES'!$AD$2:$AD$2501,"OFF"),2)=0,"","STALE")))</f>
        <v/>
      </c>
      <c r="BB3622" s="2" t="str">
        <f>IF(OR(""&amp;$F3622="2",""&amp;$F3622="4",""&amp;$F3622="G",""&amp;$F3622="H"),IF($AY3622="YES","",IF($AB3622&lt;&gt;0,"",IF(COUNTIFS('AR SALES'!$L$2:$L$2501,$L3622,'AR SALES'!$AD$2:$AD$2501,IF(""&amp;$F3622="4","OFF","ON"),'AR SALES'!$AF$2:$AF$2501,"Y")&gt;0,"","NO EXEMPTION"))),"")</f>
        <v/>
      </c>
    </row>
    <row r="3623" spans="46:54" x14ac:dyDescent="0.25">
      <c r="AT3623" s="2" t="str">
        <f>IF($L3623="","",IFERROR(INDEX('AR SALES'!$H$2:$H$2501,MATCH(""&amp;$L3623,'AR SALES'!$AE$2:$AE$2501,0)),""))</f>
        <v/>
      </c>
      <c r="AU3623" s="2" t="str">
        <f t="shared" si="224"/>
        <v/>
      </c>
      <c r="AV3623" s="2" t="str">
        <f t="shared" si="225"/>
        <v/>
      </c>
      <c r="AW3623" s="2" t="str">
        <f t="shared" si="226"/>
        <v/>
      </c>
      <c r="AX3623" s="2" t="str">
        <f t="shared" si="227"/>
        <v/>
      </c>
      <c r="AY3623" s="2" t="str">
        <f>IF($AV3623="","",IF(AND($Z3623=0,COUNTIF('AR SALES'!$L$2:$L$2501,$L3623)=0),"YES",""))</f>
        <v/>
      </c>
      <c r="AZ3623" s="2" t="str">
        <f>IF($AV3623="","",IF(COUNTIF(LISTS!$C$2:$C$250,$AU3623)=0,"NEW",""))</f>
        <v/>
      </c>
      <c r="BA3623" s="2" t="str">
        <f>IF(""&amp;$F3623&lt;&gt;"4","",IF($AY3623="YES","",IF(ROUND(SUMIFS($AE$2:$AE$4001,$L$2:$L$4001,$L3623,$F$2:$F$4001,"4")-SUMIFS('AR SALES'!$Y$2:$Y$2501,'AR SALES'!$L$2:$L$2501,$L3623,'AR SALES'!$AD$2:$AD$2501,"OFF"),2)=0,"","STALE")))</f>
        <v/>
      </c>
      <c r="BB3623" s="2" t="str">
        <f>IF(OR(""&amp;$F3623="2",""&amp;$F3623="4",""&amp;$F3623="G",""&amp;$F3623="H"),IF($AY3623="YES","",IF($AB3623&lt;&gt;0,"",IF(COUNTIFS('AR SALES'!$L$2:$L$2501,$L3623,'AR SALES'!$AD$2:$AD$2501,IF(""&amp;$F3623="4","OFF","ON"),'AR SALES'!$AF$2:$AF$2501,"Y")&gt;0,"","NO EXEMPTION"))),"")</f>
        <v/>
      </c>
    </row>
    <row r="3624" spans="46:54" x14ac:dyDescent="0.25">
      <c r="AT3624" s="2" t="str">
        <f>IF($L3624="","",IFERROR(INDEX('AR SALES'!$H$2:$H$2501,MATCH(""&amp;$L3624,'AR SALES'!$AE$2:$AE$2501,0)),""))</f>
        <v/>
      </c>
      <c r="AU3624" s="2" t="str">
        <f t="shared" si="224"/>
        <v/>
      </c>
      <c r="AV3624" s="2" t="str">
        <f t="shared" si="225"/>
        <v/>
      </c>
      <c r="AW3624" s="2" t="str">
        <f t="shared" si="226"/>
        <v/>
      </c>
      <c r="AX3624" s="2" t="str">
        <f t="shared" si="227"/>
        <v/>
      </c>
      <c r="AY3624" s="2" t="str">
        <f>IF($AV3624="","",IF(AND($Z3624=0,COUNTIF('AR SALES'!$L$2:$L$2501,$L3624)=0),"YES",""))</f>
        <v/>
      </c>
      <c r="AZ3624" s="2" t="str">
        <f>IF($AV3624="","",IF(COUNTIF(LISTS!$C$2:$C$250,$AU3624)=0,"NEW",""))</f>
        <v/>
      </c>
      <c r="BA3624" s="2" t="str">
        <f>IF(""&amp;$F3624&lt;&gt;"4","",IF($AY3624="YES","",IF(ROUND(SUMIFS($AE$2:$AE$4001,$L$2:$L$4001,$L3624,$F$2:$F$4001,"4")-SUMIFS('AR SALES'!$Y$2:$Y$2501,'AR SALES'!$L$2:$L$2501,$L3624,'AR SALES'!$AD$2:$AD$2501,"OFF"),2)=0,"","STALE")))</f>
        <v/>
      </c>
      <c r="BB3624" s="2" t="str">
        <f>IF(OR(""&amp;$F3624="2",""&amp;$F3624="4",""&amp;$F3624="G",""&amp;$F3624="H"),IF($AY3624="YES","",IF($AB3624&lt;&gt;0,"",IF(COUNTIFS('AR SALES'!$L$2:$L$2501,$L3624,'AR SALES'!$AD$2:$AD$2501,IF(""&amp;$F3624="4","OFF","ON"),'AR SALES'!$AF$2:$AF$2501,"Y")&gt;0,"","NO EXEMPTION"))),"")</f>
        <v/>
      </c>
    </row>
    <row r="3625" spans="46:54" x14ac:dyDescent="0.25">
      <c r="AT3625" s="2" t="str">
        <f>IF($L3625="","",IFERROR(INDEX('AR SALES'!$H$2:$H$2501,MATCH(""&amp;$L3625,'AR SALES'!$AE$2:$AE$2501,0)),""))</f>
        <v/>
      </c>
      <c r="AU3625" s="2" t="str">
        <f t="shared" si="224"/>
        <v/>
      </c>
      <c r="AV3625" s="2" t="str">
        <f t="shared" si="225"/>
        <v/>
      </c>
      <c r="AW3625" s="2" t="str">
        <f t="shared" si="226"/>
        <v/>
      </c>
      <c r="AX3625" s="2" t="str">
        <f t="shared" si="227"/>
        <v/>
      </c>
      <c r="AY3625" s="2" t="str">
        <f>IF($AV3625="","",IF(AND($Z3625=0,COUNTIF('AR SALES'!$L$2:$L$2501,$L3625)=0),"YES",""))</f>
        <v/>
      </c>
      <c r="AZ3625" s="2" t="str">
        <f>IF($AV3625="","",IF(COUNTIF(LISTS!$C$2:$C$250,$AU3625)=0,"NEW",""))</f>
        <v/>
      </c>
      <c r="BA3625" s="2" t="str">
        <f>IF(""&amp;$F3625&lt;&gt;"4","",IF($AY3625="YES","",IF(ROUND(SUMIFS($AE$2:$AE$4001,$L$2:$L$4001,$L3625,$F$2:$F$4001,"4")-SUMIFS('AR SALES'!$Y$2:$Y$2501,'AR SALES'!$L$2:$L$2501,$L3625,'AR SALES'!$AD$2:$AD$2501,"OFF"),2)=0,"","STALE")))</f>
        <v/>
      </c>
      <c r="BB3625" s="2" t="str">
        <f>IF(OR(""&amp;$F3625="2",""&amp;$F3625="4",""&amp;$F3625="G",""&amp;$F3625="H"),IF($AY3625="YES","",IF($AB3625&lt;&gt;0,"",IF(COUNTIFS('AR SALES'!$L$2:$L$2501,$L3625,'AR SALES'!$AD$2:$AD$2501,IF(""&amp;$F3625="4","OFF","ON"),'AR SALES'!$AF$2:$AF$2501,"Y")&gt;0,"","NO EXEMPTION"))),"")</f>
        <v/>
      </c>
    </row>
    <row r="3626" spans="46:54" x14ac:dyDescent="0.25">
      <c r="AT3626" s="2" t="str">
        <f>IF($L3626="","",IFERROR(INDEX('AR SALES'!$H$2:$H$2501,MATCH(""&amp;$L3626,'AR SALES'!$AE$2:$AE$2501,0)),""))</f>
        <v/>
      </c>
      <c r="AU3626" s="2" t="str">
        <f t="shared" si="224"/>
        <v/>
      </c>
      <c r="AV3626" s="2" t="str">
        <f t="shared" si="225"/>
        <v/>
      </c>
      <c r="AW3626" s="2" t="str">
        <f t="shared" si="226"/>
        <v/>
      </c>
      <c r="AX3626" s="2" t="str">
        <f t="shared" si="227"/>
        <v/>
      </c>
      <c r="AY3626" s="2" t="str">
        <f>IF($AV3626="","",IF(AND($Z3626=0,COUNTIF('AR SALES'!$L$2:$L$2501,$L3626)=0),"YES",""))</f>
        <v/>
      </c>
      <c r="AZ3626" s="2" t="str">
        <f>IF($AV3626="","",IF(COUNTIF(LISTS!$C$2:$C$250,$AU3626)=0,"NEW",""))</f>
        <v/>
      </c>
      <c r="BA3626" s="2" t="str">
        <f>IF(""&amp;$F3626&lt;&gt;"4","",IF($AY3626="YES","",IF(ROUND(SUMIFS($AE$2:$AE$4001,$L$2:$L$4001,$L3626,$F$2:$F$4001,"4")-SUMIFS('AR SALES'!$Y$2:$Y$2501,'AR SALES'!$L$2:$L$2501,$L3626,'AR SALES'!$AD$2:$AD$2501,"OFF"),2)=0,"","STALE")))</f>
        <v/>
      </c>
      <c r="BB3626" s="2" t="str">
        <f>IF(OR(""&amp;$F3626="2",""&amp;$F3626="4",""&amp;$F3626="G",""&amp;$F3626="H"),IF($AY3626="YES","",IF($AB3626&lt;&gt;0,"",IF(COUNTIFS('AR SALES'!$L$2:$L$2501,$L3626,'AR SALES'!$AD$2:$AD$2501,IF(""&amp;$F3626="4","OFF","ON"),'AR SALES'!$AF$2:$AF$2501,"Y")&gt;0,"","NO EXEMPTION"))),"")</f>
        <v/>
      </c>
    </row>
    <row r="3627" spans="46:54" x14ac:dyDescent="0.25">
      <c r="AT3627" s="2" t="str">
        <f>IF($L3627="","",IFERROR(INDEX('AR SALES'!$H$2:$H$2501,MATCH(""&amp;$L3627,'AR SALES'!$AE$2:$AE$2501,0)),""))</f>
        <v/>
      </c>
      <c r="AU3627" s="2" t="str">
        <f t="shared" si="224"/>
        <v/>
      </c>
      <c r="AV3627" s="2" t="str">
        <f t="shared" si="225"/>
        <v/>
      </c>
      <c r="AW3627" s="2" t="str">
        <f t="shared" si="226"/>
        <v/>
      </c>
      <c r="AX3627" s="2" t="str">
        <f t="shared" si="227"/>
        <v/>
      </c>
      <c r="AY3627" s="2" t="str">
        <f>IF($AV3627="","",IF(AND($Z3627=0,COUNTIF('AR SALES'!$L$2:$L$2501,$L3627)=0),"YES",""))</f>
        <v/>
      </c>
      <c r="AZ3627" s="2" t="str">
        <f>IF($AV3627="","",IF(COUNTIF(LISTS!$C$2:$C$250,$AU3627)=0,"NEW",""))</f>
        <v/>
      </c>
      <c r="BA3627" s="2" t="str">
        <f>IF(""&amp;$F3627&lt;&gt;"4","",IF($AY3627="YES","",IF(ROUND(SUMIFS($AE$2:$AE$4001,$L$2:$L$4001,$L3627,$F$2:$F$4001,"4")-SUMIFS('AR SALES'!$Y$2:$Y$2501,'AR SALES'!$L$2:$L$2501,$L3627,'AR SALES'!$AD$2:$AD$2501,"OFF"),2)=0,"","STALE")))</f>
        <v/>
      </c>
      <c r="BB3627" s="2" t="str">
        <f>IF(OR(""&amp;$F3627="2",""&amp;$F3627="4",""&amp;$F3627="G",""&amp;$F3627="H"),IF($AY3627="YES","",IF($AB3627&lt;&gt;0,"",IF(COUNTIFS('AR SALES'!$L$2:$L$2501,$L3627,'AR SALES'!$AD$2:$AD$2501,IF(""&amp;$F3627="4","OFF","ON"),'AR SALES'!$AF$2:$AF$2501,"Y")&gt;0,"","NO EXEMPTION"))),"")</f>
        <v/>
      </c>
    </row>
    <row r="3628" spans="46:54" x14ac:dyDescent="0.25">
      <c r="AT3628" s="2" t="str">
        <f>IF($L3628="","",IFERROR(INDEX('AR SALES'!$H$2:$H$2501,MATCH(""&amp;$L3628,'AR SALES'!$AE$2:$AE$2501,0)),""))</f>
        <v/>
      </c>
      <c r="AU3628" s="2" t="str">
        <f t="shared" si="224"/>
        <v/>
      </c>
      <c r="AV3628" s="2" t="str">
        <f t="shared" si="225"/>
        <v/>
      </c>
      <c r="AW3628" s="2" t="str">
        <f t="shared" si="226"/>
        <v/>
      </c>
      <c r="AX3628" s="2" t="str">
        <f t="shared" si="227"/>
        <v/>
      </c>
      <c r="AY3628" s="2" t="str">
        <f>IF($AV3628="","",IF(AND($Z3628=0,COUNTIF('AR SALES'!$L$2:$L$2501,$L3628)=0),"YES",""))</f>
        <v/>
      </c>
      <c r="AZ3628" s="2" t="str">
        <f>IF($AV3628="","",IF(COUNTIF(LISTS!$C$2:$C$250,$AU3628)=0,"NEW",""))</f>
        <v/>
      </c>
      <c r="BA3628" s="2" t="str">
        <f>IF(""&amp;$F3628&lt;&gt;"4","",IF($AY3628="YES","",IF(ROUND(SUMIFS($AE$2:$AE$4001,$L$2:$L$4001,$L3628,$F$2:$F$4001,"4")-SUMIFS('AR SALES'!$Y$2:$Y$2501,'AR SALES'!$L$2:$L$2501,$L3628,'AR SALES'!$AD$2:$AD$2501,"OFF"),2)=0,"","STALE")))</f>
        <v/>
      </c>
      <c r="BB3628" s="2" t="str">
        <f>IF(OR(""&amp;$F3628="2",""&amp;$F3628="4",""&amp;$F3628="G",""&amp;$F3628="H"),IF($AY3628="YES","",IF($AB3628&lt;&gt;0,"",IF(COUNTIFS('AR SALES'!$L$2:$L$2501,$L3628,'AR SALES'!$AD$2:$AD$2501,IF(""&amp;$F3628="4","OFF","ON"),'AR SALES'!$AF$2:$AF$2501,"Y")&gt;0,"","NO EXEMPTION"))),"")</f>
        <v/>
      </c>
    </row>
    <row r="3629" spans="46:54" x14ac:dyDescent="0.25">
      <c r="AT3629" s="2" t="str">
        <f>IF($L3629="","",IFERROR(INDEX('AR SALES'!$H$2:$H$2501,MATCH(""&amp;$L3629,'AR SALES'!$AE$2:$AE$2501,0)),""))</f>
        <v/>
      </c>
      <c r="AU3629" s="2" t="str">
        <f t="shared" si="224"/>
        <v/>
      </c>
      <c r="AV3629" s="2" t="str">
        <f t="shared" si="225"/>
        <v/>
      </c>
      <c r="AW3629" s="2" t="str">
        <f t="shared" si="226"/>
        <v/>
      </c>
      <c r="AX3629" s="2" t="str">
        <f t="shared" si="227"/>
        <v/>
      </c>
      <c r="AY3629" s="2" t="str">
        <f>IF($AV3629="","",IF(AND($Z3629=0,COUNTIF('AR SALES'!$L$2:$L$2501,$L3629)=0),"YES",""))</f>
        <v/>
      </c>
      <c r="AZ3629" s="2" t="str">
        <f>IF($AV3629="","",IF(COUNTIF(LISTS!$C$2:$C$250,$AU3629)=0,"NEW",""))</f>
        <v/>
      </c>
      <c r="BA3629" s="2" t="str">
        <f>IF(""&amp;$F3629&lt;&gt;"4","",IF($AY3629="YES","",IF(ROUND(SUMIFS($AE$2:$AE$4001,$L$2:$L$4001,$L3629,$F$2:$F$4001,"4")-SUMIFS('AR SALES'!$Y$2:$Y$2501,'AR SALES'!$L$2:$L$2501,$L3629,'AR SALES'!$AD$2:$AD$2501,"OFF"),2)=0,"","STALE")))</f>
        <v/>
      </c>
      <c r="BB3629" s="2" t="str">
        <f>IF(OR(""&amp;$F3629="2",""&amp;$F3629="4",""&amp;$F3629="G",""&amp;$F3629="H"),IF($AY3629="YES","",IF($AB3629&lt;&gt;0,"",IF(COUNTIFS('AR SALES'!$L$2:$L$2501,$L3629,'AR SALES'!$AD$2:$AD$2501,IF(""&amp;$F3629="4","OFF","ON"),'AR SALES'!$AF$2:$AF$2501,"Y")&gt;0,"","NO EXEMPTION"))),"")</f>
        <v/>
      </c>
    </row>
    <row r="3630" spans="46:54" x14ac:dyDescent="0.25">
      <c r="AT3630" s="2" t="str">
        <f>IF($L3630="","",IFERROR(INDEX('AR SALES'!$H$2:$H$2501,MATCH(""&amp;$L3630,'AR SALES'!$AE$2:$AE$2501,0)),""))</f>
        <v/>
      </c>
      <c r="AU3630" s="2" t="str">
        <f t="shared" si="224"/>
        <v/>
      </c>
      <c r="AV3630" s="2" t="str">
        <f t="shared" si="225"/>
        <v/>
      </c>
      <c r="AW3630" s="2" t="str">
        <f t="shared" si="226"/>
        <v/>
      </c>
      <c r="AX3630" s="2" t="str">
        <f t="shared" si="227"/>
        <v/>
      </c>
      <c r="AY3630" s="2" t="str">
        <f>IF($AV3630="","",IF(AND($Z3630=0,COUNTIF('AR SALES'!$L$2:$L$2501,$L3630)=0),"YES",""))</f>
        <v/>
      </c>
      <c r="AZ3630" s="2" t="str">
        <f>IF($AV3630="","",IF(COUNTIF(LISTS!$C$2:$C$250,$AU3630)=0,"NEW",""))</f>
        <v/>
      </c>
      <c r="BA3630" s="2" t="str">
        <f>IF(""&amp;$F3630&lt;&gt;"4","",IF($AY3630="YES","",IF(ROUND(SUMIFS($AE$2:$AE$4001,$L$2:$L$4001,$L3630,$F$2:$F$4001,"4")-SUMIFS('AR SALES'!$Y$2:$Y$2501,'AR SALES'!$L$2:$L$2501,$L3630,'AR SALES'!$AD$2:$AD$2501,"OFF"),2)=0,"","STALE")))</f>
        <v/>
      </c>
      <c r="BB3630" s="2" t="str">
        <f>IF(OR(""&amp;$F3630="2",""&amp;$F3630="4",""&amp;$F3630="G",""&amp;$F3630="H"),IF($AY3630="YES","",IF($AB3630&lt;&gt;0,"",IF(COUNTIFS('AR SALES'!$L$2:$L$2501,$L3630,'AR SALES'!$AD$2:$AD$2501,IF(""&amp;$F3630="4","OFF","ON"),'AR SALES'!$AF$2:$AF$2501,"Y")&gt;0,"","NO EXEMPTION"))),"")</f>
        <v/>
      </c>
    </row>
    <row r="3631" spans="46:54" x14ac:dyDescent="0.25">
      <c r="AT3631" s="2" t="str">
        <f>IF($L3631="","",IFERROR(INDEX('AR SALES'!$H$2:$H$2501,MATCH(""&amp;$L3631,'AR SALES'!$AE$2:$AE$2501,0)),""))</f>
        <v/>
      </c>
      <c r="AU3631" s="2" t="str">
        <f t="shared" si="224"/>
        <v/>
      </c>
      <c r="AV3631" s="2" t="str">
        <f t="shared" si="225"/>
        <v/>
      </c>
      <c r="AW3631" s="2" t="str">
        <f t="shared" si="226"/>
        <v/>
      </c>
      <c r="AX3631" s="2" t="str">
        <f t="shared" si="227"/>
        <v/>
      </c>
      <c r="AY3631" s="2" t="str">
        <f>IF($AV3631="","",IF(AND($Z3631=0,COUNTIF('AR SALES'!$L$2:$L$2501,$L3631)=0),"YES",""))</f>
        <v/>
      </c>
      <c r="AZ3631" s="2" t="str">
        <f>IF($AV3631="","",IF(COUNTIF(LISTS!$C$2:$C$250,$AU3631)=0,"NEW",""))</f>
        <v/>
      </c>
      <c r="BA3631" s="2" t="str">
        <f>IF(""&amp;$F3631&lt;&gt;"4","",IF($AY3631="YES","",IF(ROUND(SUMIFS($AE$2:$AE$4001,$L$2:$L$4001,$L3631,$F$2:$F$4001,"4")-SUMIFS('AR SALES'!$Y$2:$Y$2501,'AR SALES'!$L$2:$L$2501,$L3631,'AR SALES'!$AD$2:$AD$2501,"OFF"),2)=0,"","STALE")))</f>
        <v/>
      </c>
      <c r="BB3631" s="2" t="str">
        <f>IF(OR(""&amp;$F3631="2",""&amp;$F3631="4",""&amp;$F3631="G",""&amp;$F3631="H"),IF($AY3631="YES","",IF($AB3631&lt;&gt;0,"",IF(COUNTIFS('AR SALES'!$L$2:$L$2501,$L3631,'AR SALES'!$AD$2:$AD$2501,IF(""&amp;$F3631="4","OFF","ON"),'AR SALES'!$AF$2:$AF$2501,"Y")&gt;0,"","NO EXEMPTION"))),"")</f>
        <v/>
      </c>
    </row>
    <row r="3632" spans="46:54" x14ac:dyDescent="0.25">
      <c r="AT3632" s="2" t="str">
        <f>IF($L3632="","",IFERROR(INDEX('AR SALES'!$H$2:$H$2501,MATCH(""&amp;$L3632,'AR SALES'!$AE$2:$AE$2501,0)),""))</f>
        <v/>
      </c>
      <c r="AU3632" s="2" t="str">
        <f t="shared" si="224"/>
        <v/>
      </c>
      <c r="AV3632" s="2" t="str">
        <f t="shared" si="225"/>
        <v/>
      </c>
      <c r="AW3632" s="2" t="str">
        <f t="shared" si="226"/>
        <v/>
      </c>
      <c r="AX3632" s="2" t="str">
        <f t="shared" si="227"/>
        <v/>
      </c>
      <c r="AY3632" s="2" t="str">
        <f>IF($AV3632="","",IF(AND($Z3632=0,COUNTIF('AR SALES'!$L$2:$L$2501,$L3632)=0),"YES",""))</f>
        <v/>
      </c>
      <c r="AZ3632" s="2" t="str">
        <f>IF($AV3632="","",IF(COUNTIF(LISTS!$C$2:$C$250,$AU3632)=0,"NEW",""))</f>
        <v/>
      </c>
      <c r="BA3632" s="2" t="str">
        <f>IF(""&amp;$F3632&lt;&gt;"4","",IF($AY3632="YES","",IF(ROUND(SUMIFS($AE$2:$AE$4001,$L$2:$L$4001,$L3632,$F$2:$F$4001,"4")-SUMIFS('AR SALES'!$Y$2:$Y$2501,'AR SALES'!$L$2:$L$2501,$L3632,'AR SALES'!$AD$2:$AD$2501,"OFF"),2)=0,"","STALE")))</f>
        <v/>
      </c>
      <c r="BB3632" s="2" t="str">
        <f>IF(OR(""&amp;$F3632="2",""&amp;$F3632="4",""&amp;$F3632="G",""&amp;$F3632="H"),IF($AY3632="YES","",IF($AB3632&lt;&gt;0,"",IF(COUNTIFS('AR SALES'!$L$2:$L$2501,$L3632,'AR SALES'!$AD$2:$AD$2501,IF(""&amp;$F3632="4","OFF","ON"),'AR SALES'!$AF$2:$AF$2501,"Y")&gt;0,"","NO EXEMPTION"))),"")</f>
        <v/>
      </c>
    </row>
    <row r="3633" spans="46:54" x14ac:dyDescent="0.25">
      <c r="AT3633" s="2" t="str">
        <f>IF($L3633="","",IFERROR(INDEX('AR SALES'!$H$2:$H$2501,MATCH(""&amp;$L3633,'AR SALES'!$AE$2:$AE$2501,0)),""))</f>
        <v/>
      </c>
      <c r="AU3633" s="2" t="str">
        <f t="shared" si="224"/>
        <v/>
      </c>
      <c r="AV3633" s="2" t="str">
        <f t="shared" si="225"/>
        <v/>
      </c>
      <c r="AW3633" s="2" t="str">
        <f t="shared" si="226"/>
        <v/>
      </c>
      <c r="AX3633" s="2" t="str">
        <f t="shared" si="227"/>
        <v/>
      </c>
      <c r="AY3633" s="2" t="str">
        <f>IF($AV3633="","",IF(AND($Z3633=0,COUNTIF('AR SALES'!$L$2:$L$2501,$L3633)=0),"YES",""))</f>
        <v/>
      </c>
      <c r="AZ3633" s="2" t="str">
        <f>IF($AV3633="","",IF(COUNTIF(LISTS!$C$2:$C$250,$AU3633)=0,"NEW",""))</f>
        <v/>
      </c>
      <c r="BA3633" s="2" t="str">
        <f>IF(""&amp;$F3633&lt;&gt;"4","",IF($AY3633="YES","",IF(ROUND(SUMIFS($AE$2:$AE$4001,$L$2:$L$4001,$L3633,$F$2:$F$4001,"4")-SUMIFS('AR SALES'!$Y$2:$Y$2501,'AR SALES'!$L$2:$L$2501,$L3633,'AR SALES'!$AD$2:$AD$2501,"OFF"),2)=0,"","STALE")))</f>
        <v/>
      </c>
      <c r="BB3633" s="2" t="str">
        <f>IF(OR(""&amp;$F3633="2",""&amp;$F3633="4",""&amp;$F3633="G",""&amp;$F3633="H"),IF($AY3633="YES","",IF($AB3633&lt;&gt;0,"",IF(COUNTIFS('AR SALES'!$L$2:$L$2501,$L3633,'AR SALES'!$AD$2:$AD$2501,IF(""&amp;$F3633="4","OFF","ON"),'AR SALES'!$AF$2:$AF$2501,"Y")&gt;0,"","NO EXEMPTION"))),"")</f>
        <v/>
      </c>
    </row>
    <row r="3634" spans="46:54" x14ac:dyDescent="0.25">
      <c r="AT3634" s="2" t="str">
        <f>IF($L3634="","",IFERROR(INDEX('AR SALES'!$H$2:$H$2501,MATCH(""&amp;$L3634,'AR SALES'!$AE$2:$AE$2501,0)),""))</f>
        <v/>
      </c>
      <c r="AU3634" s="2" t="str">
        <f t="shared" si="224"/>
        <v/>
      </c>
      <c r="AV3634" s="2" t="str">
        <f t="shared" si="225"/>
        <v/>
      </c>
      <c r="AW3634" s="2" t="str">
        <f t="shared" si="226"/>
        <v/>
      </c>
      <c r="AX3634" s="2" t="str">
        <f t="shared" si="227"/>
        <v/>
      </c>
      <c r="AY3634" s="2" t="str">
        <f>IF($AV3634="","",IF(AND($Z3634=0,COUNTIF('AR SALES'!$L$2:$L$2501,$L3634)=0),"YES",""))</f>
        <v/>
      </c>
      <c r="AZ3634" s="2" t="str">
        <f>IF($AV3634="","",IF(COUNTIF(LISTS!$C$2:$C$250,$AU3634)=0,"NEW",""))</f>
        <v/>
      </c>
      <c r="BA3634" s="2" t="str">
        <f>IF(""&amp;$F3634&lt;&gt;"4","",IF($AY3634="YES","",IF(ROUND(SUMIFS($AE$2:$AE$4001,$L$2:$L$4001,$L3634,$F$2:$F$4001,"4")-SUMIFS('AR SALES'!$Y$2:$Y$2501,'AR SALES'!$L$2:$L$2501,$L3634,'AR SALES'!$AD$2:$AD$2501,"OFF"),2)=0,"","STALE")))</f>
        <v/>
      </c>
      <c r="BB3634" s="2" t="str">
        <f>IF(OR(""&amp;$F3634="2",""&amp;$F3634="4",""&amp;$F3634="G",""&amp;$F3634="H"),IF($AY3634="YES","",IF($AB3634&lt;&gt;0,"",IF(COUNTIFS('AR SALES'!$L$2:$L$2501,$L3634,'AR SALES'!$AD$2:$AD$2501,IF(""&amp;$F3634="4","OFF","ON"),'AR SALES'!$AF$2:$AF$2501,"Y")&gt;0,"","NO EXEMPTION"))),"")</f>
        <v/>
      </c>
    </row>
    <row r="3635" spans="46:54" x14ac:dyDescent="0.25">
      <c r="AT3635" s="2" t="str">
        <f>IF($L3635="","",IFERROR(INDEX('AR SALES'!$H$2:$H$2501,MATCH(""&amp;$L3635,'AR SALES'!$AE$2:$AE$2501,0)),""))</f>
        <v/>
      </c>
      <c r="AU3635" s="2" t="str">
        <f t="shared" si="224"/>
        <v/>
      </c>
      <c r="AV3635" s="2" t="str">
        <f t="shared" si="225"/>
        <v/>
      </c>
      <c r="AW3635" s="2" t="str">
        <f t="shared" si="226"/>
        <v/>
      </c>
      <c r="AX3635" s="2" t="str">
        <f t="shared" si="227"/>
        <v/>
      </c>
      <c r="AY3635" s="2" t="str">
        <f>IF($AV3635="","",IF(AND($Z3635=0,COUNTIF('AR SALES'!$L$2:$L$2501,$L3635)=0),"YES",""))</f>
        <v/>
      </c>
      <c r="AZ3635" s="2" t="str">
        <f>IF($AV3635="","",IF(COUNTIF(LISTS!$C$2:$C$250,$AU3635)=0,"NEW",""))</f>
        <v/>
      </c>
      <c r="BA3635" s="2" t="str">
        <f>IF(""&amp;$F3635&lt;&gt;"4","",IF($AY3635="YES","",IF(ROUND(SUMIFS($AE$2:$AE$4001,$L$2:$L$4001,$L3635,$F$2:$F$4001,"4")-SUMIFS('AR SALES'!$Y$2:$Y$2501,'AR SALES'!$L$2:$L$2501,$L3635,'AR SALES'!$AD$2:$AD$2501,"OFF"),2)=0,"","STALE")))</f>
        <v/>
      </c>
      <c r="BB3635" s="2" t="str">
        <f>IF(OR(""&amp;$F3635="2",""&amp;$F3635="4",""&amp;$F3635="G",""&amp;$F3635="H"),IF($AY3635="YES","",IF($AB3635&lt;&gt;0,"",IF(COUNTIFS('AR SALES'!$L$2:$L$2501,$L3635,'AR SALES'!$AD$2:$AD$2501,IF(""&amp;$F3635="4","OFF","ON"),'AR SALES'!$AF$2:$AF$2501,"Y")&gt;0,"","NO EXEMPTION"))),"")</f>
        <v/>
      </c>
    </row>
    <row r="3636" spans="46:54" x14ac:dyDescent="0.25">
      <c r="AT3636" s="2" t="str">
        <f>IF($L3636="","",IFERROR(INDEX('AR SALES'!$H$2:$H$2501,MATCH(""&amp;$L3636,'AR SALES'!$AE$2:$AE$2501,0)),""))</f>
        <v/>
      </c>
      <c r="AU3636" s="2" t="str">
        <f t="shared" si="224"/>
        <v/>
      </c>
      <c r="AV3636" s="2" t="str">
        <f t="shared" si="225"/>
        <v/>
      </c>
      <c r="AW3636" s="2" t="str">
        <f t="shared" si="226"/>
        <v/>
      </c>
      <c r="AX3636" s="2" t="str">
        <f t="shared" si="227"/>
        <v/>
      </c>
      <c r="AY3636" s="2" t="str">
        <f>IF($AV3636="","",IF(AND($Z3636=0,COUNTIF('AR SALES'!$L$2:$L$2501,$L3636)=0),"YES",""))</f>
        <v/>
      </c>
      <c r="AZ3636" s="2" t="str">
        <f>IF($AV3636="","",IF(COUNTIF(LISTS!$C$2:$C$250,$AU3636)=0,"NEW",""))</f>
        <v/>
      </c>
      <c r="BA3636" s="2" t="str">
        <f>IF(""&amp;$F3636&lt;&gt;"4","",IF($AY3636="YES","",IF(ROUND(SUMIFS($AE$2:$AE$4001,$L$2:$L$4001,$L3636,$F$2:$F$4001,"4")-SUMIFS('AR SALES'!$Y$2:$Y$2501,'AR SALES'!$L$2:$L$2501,$L3636,'AR SALES'!$AD$2:$AD$2501,"OFF"),2)=0,"","STALE")))</f>
        <v/>
      </c>
      <c r="BB3636" s="2" t="str">
        <f>IF(OR(""&amp;$F3636="2",""&amp;$F3636="4",""&amp;$F3636="G",""&amp;$F3636="H"),IF($AY3636="YES","",IF($AB3636&lt;&gt;0,"",IF(COUNTIFS('AR SALES'!$L$2:$L$2501,$L3636,'AR SALES'!$AD$2:$AD$2501,IF(""&amp;$F3636="4","OFF","ON"),'AR SALES'!$AF$2:$AF$2501,"Y")&gt;0,"","NO EXEMPTION"))),"")</f>
        <v/>
      </c>
    </row>
    <row r="3637" spans="46:54" x14ac:dyDescent="0.25">
      <c r="AT3637" s="2" t="str">
        <f>IF($L3637="","",IFERROR(INDEX('AR SALES'!$H$2:$H$2501,MATCH(""&amp;$L3637,'AR SALES'!$AE$2:$AE$2501,0)),""))</f>
        <v/>
      </c>
      <c r="AU3637" s="2" t="str">
        <f t="shared" si="224"/>
        <v/>
      </c>
      <c r="AV3637" s="2" t="str">
        <f t="shared" si="225"/>
        <v/>
      </c>
      <c r="AW3637" s="2" t="str">
        <f t="shared" si="226"/>
        <v/>
      </c>
      <c r="AX3637" s="2" t="str">
        <f t="shared" si="227"/>
        <v/>
      </c>
      <c r="AY3637" s="2" t="str">
        <f>IF($AV3637="","",IF(AND($Z3637=0,COUNTIF('AR SALES'!$L$2:$L$2501,$L3637)=0),"YES",""))</f>
        <v/>
      </c>
      <c r="AZ3637" s="2" t="str">
        <f>IF($AV3637="","",IF(COUNTIF(LISTS!$C$2:$C$250,$AU3637)=0,"NEW",""))</f>
        <v/>
      </c>
      <c r="BA3637" s="2" t="str">
        <f>IF(""&amp;$F3637&lt;&gt;"4","",IF($AY3637="YES","",IF(ROUND(SUMIFS($AE$2:$AE$4001,$L$2:$L$4001,$L3637,$F$2:$F$4001,"4")-SUMIFS('AR SALES'!$Y$2:$Y$2501,'AR SALES'!$L$2:$L$2501,$L3637,'AR SALES'!$AD$2:$AD$2501,"OFF"),2)=0,"","STALE")))</f>
        <v/>
      </c>
      <c r="BB3637" s="2" t="str">
        <f>IF(OR(""&amp;$F3637="2",""&amp;$F3637="4",""&amp;$F3637="G",""&amp;$F3637="H"),IF($AY3637="YES","",IF($AB3637&lt;&gt;0,"",IF(COUNTIFS('AR SALES'!$L$2:$L$2501,$L3637,'AR SALES'!$AD$2:$AD$2501,IF(""&amp;$F3637="4","OFF","ON"),'AR SALES'!$AF$2:$AF$2501,"Y")&gt;0,"","NO EXEMPTION"))),"")</f>
        <v/>
      </c>
    </row>
    <row r="3638" spans="46:54" x14ac:dyDescent="0.25">
      <c r="AT3638" s="2" t="str">
        <f>IF($L3638="","",IFERROR(INDEX('AR SALES'!$H$2:$H$2501,MATCH(""&amp;$L3638,'AR SALES'!$AE$2:$AE$2501,0)),""))</f>
        <v/>
      </c>
      <c r="AU3638" s="2" t="str">
        <f t="shared" si="224"/>
        <v/>
      </c>
      <c r="AV3638" s="2" t="str">
        <f t="shared" si="225"/>
        <v/>
      </c>
      <c r="AW3638" s="2" t="str">
        <f t="shared" si="226"/>
        <v/>
      </c>
      <c r="AX3638" s="2" t="str">
        <f t="shared" si="227"/>
        <v/>
      </c>
      <c r="AY3638" s="2" t="str">
        <f>IF($AV3638="","",IF(AND($Z3638=0,COUNTIF('AR SALES'!$L$2:$L$2501,$L3638)=0),"YES",""))</f>
        <v/>
      </c>
      <c r="AZ3638" s="2" t="str">
        <f>IF($AV3638="","",IF(COUNTIF(LISTS!$C$2:$C$250,$AU3638)=0,"NEW",""))</f>
        <v/>
      </c>
      <c r="BA3638" s="2" t="str">
        <f>IF(""&amp;$F3638&lt;&gt;"4","",IF($AY3638="YES","",IF(ROUND(SUMIFS($AE$2:$AE$4001,$L$2:$L$4001,$L3638,$F$2:$F$4001,"4")-SUMIFS('AR SALES'!$Y$2:$Y$2501,'AR SALES'!$L$2:$L$2501,$L3638,'AR SALES'!$AD$2:$AD$2501,"OFF"),2)=0,"","STALE")))</f>
        <v/>
      </c>
      <c r="BB3638" s="2" t="str">
        <f>IF(OR(""&amp;$F3638="2",""&amp;$F3638="4",""&amp;$F3638="G",""&amp;$F3638="H"),IF($AY3638="YES","",IF($AB3638&lt;&gt;0,"",IF(COUNTIFS('AR SALES'!$L$2:$L$2501,$L3638,'AR SALES'!$AD$2:$AD$2501,IF(""&amp;$F3638="4","OFF","ON"),'AR SALES'!$AF$2:$AF$2501,"Y")&gt;0,"","NO EXEMPTION"))),"")</f>
        <v/>
      </c>
    </row>
    <row r="3639" spans="46:54" x14ac:dyDescent="0.25">
      <c r="AT3639" s="2" t="str">
        <f>IF($L3639="","",IFERROR(INDEX('AR SALES'!$H$2:$H$2501,MATCH(""&amp;$L3639,'AR SALES'!$AE$2:$AE$2501,0)),""))</f>
        <v/>
      </c>
      <c r="AU3639" s="2" t="str">
        <f t="shared" si="224"/>
        <v/>
      </c>
      <c r="AV3639" s="2" t="str">
        <f t="shared" si="225"/>
        <v/>
      </c>
      <c r="AW3639" s="2" t="str">
        <f t="shared" si="226"/>
        <v/>
      </c>
      <c r="AX3639" s="2" t="str">
        <f t="shared" si="227"/>
        <v/>
      </c>
      <c r="AY3639" s="2" t="str">
        <f>IF($AV3639="","",IF(AND($Z3639=0,COUNTIF('AR SALES'!$L$2:$L$2501,$L3639)=0),"YES",""))</f>
        <v/>
      </c>
      <c r="AZ3639" s="2" t="str">
        <f>IF($AV3639="","",IF(COUNTIF(LISTS!$C$2:$C$250,$AU3639)=0,"NEW",""))</f>
        <v/>
      </c>
      <c r="BA3639" s="2" t="str">
        <f>IF(""&amp;$F3639&lt;&gt;"4","",IF($AY3639="YES","",IF(ROUND(SUMIFS($AE$2:$AE$4001,$L$2:$L$4001,$L3639,$F$2:$F$4001,"4")-SUMIFS('AR SALES'!$Y$2:$Y$2501,'AR SALES'!$L$2:$L$2501,$L3639,'AR SALES'!$AD$2:$AD$2501,"OFF"),2)=0,"","STALE")))</f>
        <v/>
      </c>
      <c r="BB3639" s="2" t="str">
        <f>IF(OR(""&amp;$F3639="2",""&amp;$F3639="4",""&amp;$F3639="G",""&amp;$F3639="H"),IF($AY3639="YES","",IF($AB3639&lt;&gt;0,"",IF(COUNTIFS('AR SALES'!$L$2:$L$2501,$L3639,'AR SALES'!$AD$2:$AD$2501,IF(""&amp;$F3639="4","OFF","ON"),'AR SALES'!$AF$2:$AF$2501,"Y")&gt;0,"","NO EXEMPTION"))),"")</f>
        <v/>
      </c>
    </row>
    <row r="3640" spans="46:54" x14ac:dyDescent="0.25">
      <c r="AT3640" s="2" t="str">
        <f>IF($L3640="","",IFERROR(INDEX('AR SALES'!$H$2:$H$2501,MATCH(""&amp;$L3640,'AR SALES'!$AE$2:$AE$2501,0)),""))</f>
        <v/>
      </c>
      <c r="AU3640" s="2" t="str">
        <f t="shared" si="224"/>
        <v/>
      </c>
      <c r="AV3640" s="2" t="str">
        <f t="shared" si="225"/>
        <v/>
      </c>
      <c r="AW3640" s="2" t="str">
        <f t="shared" si="226"/>
        <v/>
      </c>
      <c r="AX3640" s="2" t="str">
        <f t="shared" si="227"/>
        <v/>
      </c>
      <c r="AY3640" s="2" t="str">
        <f>IF($AV3640="","",IF(AND($Z3640=0,COUNTIF('AR SALES'!$L$2:$L$2501,$L3640)=0),"YES",""))</f>
        <v/>
      </c>
      <c r="AZ3640" s="2" t="str">
        <f>IF($AV3640="","",IF(COUNTIF(LISTS!$C$2:$C$250,$AU3640)=0,"NEW",""))</f>
        <v/>
      </c>
      <c r="BA3640" s="2" t="str">
        <f>IF(""&amp;$F3640&lt;&gt;"4","",IF($AY3640="YES","",IF(ROUND(SUMIFS($AE$2:$AE$4001,$L$2:$L$4001,$L3640,$F$2:$F$4001,"4")-SUMIFS('AR SALES'!$Y$2:$Y$2501,'AR SALES'!$L$2:$L$2501,$L3640,'AR SALES'!$AD$2:$AD$2501,"OFF"),2)=0,"","STALE")))</f>
        <v/>
      </c>
      <c r="BB3640" s="2" t="str">
        <f>IF(OR(""&amp;$F3640="2",""&amp;$F3640="4",""&amp;$F3640="G",""&amp;$F3640="H"),IF($AY3640="YES","",IF($AB3640&lt;&gt;0,"",IF(COUNTIFS('AR SALES'!$L$2:$L$2501,$L3640,'AR SALES'!$AD$2:$AD$2501,IF(""&amp;$F3640="4","OFF","ON"),'AR SALES'!$AF$2:$AF$2501,"Y")&gt;0,"","NO EXEMPTION"))),"")</f>
        <v/>
      </c>
    </row>
    <row r="3641" spans="46:54" x14ac:dyDescent="0.25">
      <c r="AT3641" s="2" t="str">
        <f>IF($L3641="","",IFERROR(INDEX('AR SALES'!$H$2:$H$2501,MATCH(""&amp;$L3641,'AR SALES'!$AE$2:$AE$2501,0)),""))</f>
        <v/>
      </c>
      <c r="AU3641" s="2" t="str">
        <f t="shared" si="224"/>
        <v/>
      </c>
      <c r="AV3641" s="2" t="str">
        <f t="shared" si="225"/>
        <v/>
      </c>
      <c r="AW3641" s="2" t="str">
        <f t="shared" si="226"/>
        <v/>
      </c>
      <c r="AX3641" s="2" t="str">
        <f t="shared" si="227"/>
        <v/>
      </c>
      <c r="AY3641" s="2" t="str">
        <f>IF($AV3641="","",IF(AND($Z3641=0,COUNTIF('AR SALES'!$L$2:$L$2501,$L3641)=0),"YES",""))</f>
        <v/>
      </c>
      <c r="AZ3641" s="2" t="str">
        <f>IF($AV3641="","",IF(COUNTIF(LISTS!$C$2:$C$250,$AU3641)=0,"NEW",""))</f>
        <v/>
      </c>
      <c r="BA3641" s="2" t="str">
        <f>IF(""&amp;$F3641&lt;&gt;"4","",IF($AY3641="YES","",IF(ROUND(SUMIFS($AE$2:$AE$4001,$L$2:$L$4001,$L3641,$F$2:$F$4001,"4")-SUMIFS('AR SALES'!$Y$2:$Y$2501,'AR SALES'!$L$2:$L$2501,$L3641,'AR SALES'!$AD$2:$AD$2501,"OFF"),2)=0,"","STALE")))</f>
        <v/>
      </c>
      <c r="BB3641" s="2" t="str">
        <f>IF(OR(""&amp;$F3641="2",""&amp;$F3641="4",""&amp;$F3641="G",""&amp;$F3641="H"),IF($AY3641="YES","",IF($AB3641&lt;&gt;0,"",IF(COUNTIFS('AR SALES'!$L$2:$L$2501,$L3641,'AR SALES'!$AD$2:$AD$2501,IF(""&amp;$F3641="4","OFF","ON"),'AR SALES'!$AF$2:$AF$2501,"Y")&gt;0,"","NO EXEMPTION"))),"")</f>
        <v/>
      </c>
    </row>
    <row r="3642" spans="46:54" x14ac:dyDescent="0.25">
      <c r="AT3642" s="2" t="str">
        <f>IF($L3642="","",IFERROR(INDEX('AR SALES'!$H$2:$H$2501,MATCH(""&amp;$L3642,'AR SALES'!$AE$2:$AE$2501,0)),""))</f>
        <v/>
      </c>
      <c r="AU3642" s="2" t="str">
        <f t="shared" si="224"/>
        <v/>
      </c>
      <c r="AV3642" s="2" t="str">
        <f t="shared" si="225"/>
        <v/>
      </c>
      <c r="AW3642" s="2" t="str">
        <f t="shared" si="226"/>
        <v/>
      </c>
      <c r="AX3642" s="2" t="str">
        <f t="shared" si="227"/>
        <v/>
      </c>
      <c r="AY3642" s="2" t="str">
        <f>IF($AV3642="","",IF(AND($Z3642=0,COUNTIF('AR SALES'!$L$2:$L$2501,$L3642)=0),"YES",""))</f>
        <v/>
      </c>
      <c r="AZ3642" s="2" t="str">
        <f>IF($AV3642="","",IF(COUNTIF(LISTS!$C$2:$C$250,$AU3642)=0,"NEW",""))</f>
        <v/>
      </c>
      <c r="BA3642" s="2" t="str">
        <f>IF(""&amp;$F3642&lt;&gt;"4","",IF($AY3642="YES","",IF(ROUND(SUMIFS($AE$2:$AE$4001,$L$2:$L$4001,$L3642,$F$2:$F$4001,"4")-SUMIFS('AR SALES'!$Y$2:$Y$2501,'AR SALES'!$L$2:$L$2501,$L3642,'AR SALES'!$AD$2:$AD$2501,"OFF"),2)=0,"","STALE")))</f>
        <v/>
      </c>
      <c r="BB3642" s="2" t="str">
        <f>IF(OR(""&amp;$F3642="2",""&amp;$F3642="4",""&amp;$F3642="G",""&amp;$F3642="H"),IF($AY3642="YES","",IF($AB3642&lt;&gt;0,"",IF(COUNTIFS('AR SALES'!$L$2:$L$2501,$L3642,'AR SALES'!$AD$2:$AD$2501,IF(""&amp;$F3642="4","OFF","ON"),'AR SALES'!$AF$2:$AF$2501,"Y")&gt;0,"","NO EXEMPTION"))),"")</f>
        <v/>
      </c>
    </row>
    <row r="3643" spans="46:54" x14ac:dyDescent="0.25">
      <c r="AT3643" s="2" t="str">
        <f>IF($L3643="","",IFERROR(INDEX('AR SALES'!$H$2:$H$2501,MATCH(""&amp;$L3643,'AR SALES'!$AE$2:$AE$2501,0)),""))</f>
        <v/>
      </c>
      <c r="AU3643" s="2" t="str">
        <f t="shared" si="224"/>
        <v/>
      </c>
      <c r="AV3643" s="2" t="str">
        <f t="shared" si="225"/>
        <v/>
      </c>
      <c r="AW3643" s="2" t="str">
        <f t="shared" si="226"/>
        <v/>
      </c>
      <c r="AX3643" s="2" t="str">
        <f t="shared" si="227"/>
        <v/>
      </c>
      <c r="AY3643" s="2" t="str">
        <f>IF($AV3643="","",IF(AND($Z3643=0,COUNTIF('AR SALES'!$L$2:$L$2501,$L3643)=0),"YES",""))</f>
        <v/>
      </c>
      <c r="AZ3643" s="2" t="str">
        <f>IF($AV3643="","",IF(COUNTIF(LISTS!$C$2:$C$250,$AU3643)=0,"NEW",""))</f>
        <v/>
      </c>
      <c r="BA3643" s="2" t="str">
        <f>IF(""&amp;$F3643&lt;&gt;"4","",IF($AY3643="YES","",IF(ROUND(SUMIFS($AE$2:$AE$4001,$L$2:$L$4001,$L3643,$F$2:$F$4001,"4")-SUMIFS('AR SALES'!$Y$2:$Y$2501,'AR SALES'!$L$2:$L$2501,$L3643,'AR SALES'!$AD$2:$AD$2501,"OFF"),2)=0,"","STALE")))</f>
        <v/>
      </c>
      <c r="BB3643" s="2" t="str">
        <f>IF(OR(""&amp;$F3643="2",""&amp;$F3643="4",""&amp;$F3643="G",""&amp;$F3643="H"),IF($AY3643="YES","",IF($AB3643&lt;&gt;0,"",IF(COUNTIFS('AR SALES'!$L$2:$L$2501,$L3643,'AR SALES'!$AD$2:$AD$2501,IF(""&amp;$F3643="4","OFF","ON"),'AR SALES'!$AF$2:$AF$2501,"Y")&gt;0,"","NO EXEMPTION"))),"")</f>
        <v/>
      </c>
    </row>
    <row r="3644" spans="46:54" x14ac:dyDescent="0.25">
      <c r="AT3644" s="2" t="str">
        <f>IF($L3644="","",IFERROR(INDEX('AR SALES'!$H$2:$H$2501,MATCH(""&amp;$L3644,'AR SALES'!$AE$2:$AE$2501,0)),""))</f>
        <v/>
      </c>
      <c r="AU3644" s="2" t="str">
        <f t="shared" si="224"/>
        <v/>
      </c>
      <c r="AV3644" s="2" t="str">
        <f t="shared" si="225"/>
        <v/>
      </c>
      <c r="AW3644" s="2" t="str">
        <f t="shared" si="226"/>
        <v/>
      </c>
      <c r="AX3644" s="2" t="str">
        <f t="shared" si="227"/>
        <v/>
      </c>
      <c r="AY3644" s="2" t="str">
        <f>IF($AV3644="","",IF(AND($Z3644=0,COUNTIF('AR SALES'!$L$2:$L$2501,$L3644)=0),"YES",""))</f>
        <v/>
      </c>
      <c r="AZ3644" s="2" t="str">
        <f>IF($AV3644="","",IF(COUNTIF(LISTS!$C$2:$C$250,$AU3644)=0,"NEW",""))</f>
        <v/>
      </c>
      <c r="BA3644" s="2" t="str">
        <f>IF(""&amp;$F3644&lt;&gt;"4","",IF($AY3644="YES","",IF(ROUND(SUMIFS($AE$2:$AE$4001,$L$2:$L$4001,$L3644,$F$2:$F$4001,"4")-SUMIFS('AR SALES'!$Y$2:$Y$2501,'AR SALES'!$L$2:$L$2501,$L3644,'AR SALES'!$AD$2:$AD$2501,"OFF"),2)=0,"","STALE")))</f>
        <v/>
      </c>
      <c r="BB3644" s="2" t="str">
        <f>IF(OR(""&amp;$F3644="2",""&amp;$F3644="4",""&amp;$F3644="G",""&amp;$F3644="H"),IF($AY3644="YES","",IF($AB3644&lt;&gt;0,"",IF(COUNTIFS('AR SALES'!$L$2:$L$2501,$L3644,'AR SALES'!$AD$2:$AD$2501,IF(""&amp;$F3644="4","OFF","ON"),'AR SALES'!$AF$2:$AF$2501,"Y")&gt;0,"","NO EXEMPTION"))),"")</f>
        <v/>
      </c>
    </row>
    <row r="3645" spans="46:54" x14ac:dyDescent="0.25">
      <c r="AT3645" s="2" t="str">
        <f>IF($L3645="","",IFERROR(INDEX('AR SALES'!$H$2:$H$2501,MATCH(""&amp;$L3645,'AR SALES'!$AE$2:$AE$2501,0)),""))</f>
        <v/>
      </c>
      <c r="AU3645" s="2" t="str">
        <f t="shared" si="224"/>
        <v/>
      </c>
      <c r="AV3645" s="2" t="str">
        <f t="shared" si="225"/>
        <v/>
      </c>
      <c r="AW3645" s="2" t="str">
        <f t="shared" si="226"/>
        <v/>
      </c>
      <c r="AX3645" s="2" t="str">
        <f t="shared" si="227"/>
        <v/>
      </c>
      <c r="AY3645" s="2" t="str">
        <f>IF($AV3645="","",IF(AND($Z3645=0,COUNTIF('AR SALES'!$L$2:$L$2501,$L3645)=0),"YES",""))</f>
        <v/>
      </c>
      <c r="AZ3645" s="2" t="str">
        <f>IF($AV3645="","",IF(COUNTIF(LISTS!$C$2:$C$250,$AU3645)=0,"NEW",""))</f>
        <v/>
      </c>
      <c r="BA3645" s="2" t="str">
        <f>IF(""&amp;$F3645&lt;&gt;"4","",IF($AY3645="YES","",IF(ROUND(SUMIFS($AE$2:$AE$4001,$L$2:$L$4001,$L3645,$F$2:$F$4001,"4")-SUMIFS('AR SALES'!$Y$2:$Y$2501,'AR SALES'!$L$2:$L$2501,$L3645,'AR SALES'!$AD$2:$AD$2501,"OFF"),2)=0,"","STALE")))</f>
        <v/>
      </c>
      <c r="BB3645" s="2" t="str">
        <f>IF(OR(""&amp;$F3645="2",""&amp;$F3645="4",""&amp;$F3645="G",""&amp;$F3645="H"),IF($AY3645="YES","",IF($AB3645&lt;&gt;0,"",IF(COUNTIFS('AR SALES'!$L$2:$L$2501,$L3645,'AR SALES'!$AD$2:$AD$2501,IF(""&amp;$F3645="4","OFF","ON"),'AR SALES'!$AF$2:$AF$2501,"Y")&gt;0,"","NO EXEMPTION"))),"")</f>
        <v/>
      </c>
    </row>
    <row r="3646" spans="46:54" x14ac:dyDescent="0.25">
      <c r="AT3646" s="2" t="str">
        <f>IF($L3646="","",IFERROR(INDEX('AR SALES'!$H$2:$H$2501,MATCH(""&amp;$L3646,'AR SALES'!$AE$2:$AE$2501,0)),""))</f>
        <v/>
      </c>
      <c r="AU3646" s="2" t="str">
        <f t="shared" si="224"/>
        <v/>
      </c>
      <c r="AV3646" s="2" t="str">
        <f t="shared" si="225"/>
        <v/>
      </c>
      <c r="AW3646" s="2" t="str">
        <f t="shared" si="226"/>
        <v/>
      </c>
      <c r="AX3646" s="2" t="str">
        <f t="shared" si="227"/>
        <v/>
      </c>
      <c r="AY3646" s="2" t="str">
        <f>IF($AV3646="","",IF(AND($Z3646=0,COUNTIF('AR SALES'!$L$2:$L$2501,$L3646)=0),"YES",""))</f>
        <v/>
      </c>
      <c r="AZ3646" s="2" t="str">
        <f>IF($AV3646="","",IF(COUNTIF(LISTS!$C$2:$C$250,$AU3646)=0,"NEW",""))</f>
        <v/>
      </c>
      <c r="BA3646" s="2" t="str">
        <f>IF(""&amp;$F3646&lt;&gt;"4","",IF($AY3646="YES","",IF(ROUND(SUMIFS($AE$2:$AE$4001,$L$2:$L$4001,$L3646,$F$2:$F$4001,"4")-SUMIFS('AR SALES'!$Y$2:$Y$2501,'AR SALES'!$L$2:$L$2501,$L3646,'AR SALES'!$AD$2:$AD$2501,"OFF"),2)=0,"","STALE")))</f>
        <v/>
      </c>
      <c r="BB3646" s="2" t="str">
        <f>IF(OR(""&amp;$F3646="2",""&amp;$F3646="4",""&amp;$F3646="G",""&amp;$F3646="H"),IF($AY3646="YES","",IF($AB3646&lt;&gt;0,"",IF(COUNTIFS('AR SALES'!$L$2:$L$2501,$L3646,'AR SALES'!$AD$2:$AD$2501,IF(""&amp;$F3646="4","OFF","ON"),'AR SALES'!$AF$2:$AF$2501,"Y")&gt;0,"","NO EXEMPTION"))),"")</f>
        <v/>
      </c>
    </row>
    <row r="3647" spans="46:54" x14ac:dyDescent="0.25">
      <c r="AT3647" s="2" t="str">
        <f>IF($L3647="","",IFERROR(INDEX('AR SALES'!$H$2:$H$2501,MATCH(""&amp;$L3647,'AR SALES'!$AE$2:$AE$2501,0)),""))</f>
        <v/>
      </c>
      <c r="AU3647" s="2" t="str">
        <f t="shared" si="224"/>
        <v/>
      </c>
      <c r="AV3647" s="2" t="str">
        <f t="shared" si="225"/>
        <v/>
      </c>
      <c r="AW3647" s="2" t="str">
        <f t="shared" si="226"/>
        <v/>
      </c>
      <c r="AX3647" s="2" t="str">
        <f t="shared" si="227"/>
        <v/>
      </c>
      <c r="AY3647" s="2" t="str">
        <f>IF($AV3647="","",IF(AND($Z3647=0,COUNTIF('AR SALES'!$L$2:$L$2501,$L3647)=0),"YES",""))</f>
        <v/>
      </c>
      <c r="AZ3647" s="2" t="str">
        <f>IF($AV3647="","",IF(COUNTIF(LISTS!$C$2:$C$250,$AU3647)=0,"NEW",""))</f>
        <v/>
      </c>
      <c r="BA3647" s="2" t="str">
        <f>IF(""&amp;$F3647&lt;&gt;"4","",IF($AY3647="YES","",IF(ROUND(SUMIFS($AE$2:$AE$4001,$L$2:$L$4001,$L3647,$F$2:$F$4001,"4")-SUMIFS('AR SALES'!$Y$2:$Y$2501,'AR SALES'!$L$2:$L$2501,$L3647,'AR SALES'!$AD$2:$AD$2501,"OFF"),2)=0,"","STALE")))</f>
        <v/>
      </c>
      <c r="BB3647" s="2" t="str">
        <f>IF(OR(""&amp;$F3647="2",""&amp;$F3647="4",""&amp;$F3647="G",""&amp;$F3647="H"),IF($AY3647="YES","",IF($AB3647&lt;&gt;0,"",IF(COUNTIFS('AR SALES'!$L$2:$L$2501,$L3647,'AR SALES'!$AD$2:$AD$2501,IF(""&amp;$F3647="4","OFF","ON"),'AR SALES'!$AF$2:$AF$2501,"Y")&gt;0,"","NO EXEMPTION"))),"")</f>
        <v/>
      </c>
    </row>
    <row r="3648" spans="46:54" x14ac:dyDescent="0.25">
      <c r="AT3648" s="2" t="str">
        <f>IF($L3648="","",IFERROR(INDEX('AR SALES'!$H$2:$H$2501,MATCH(""&amp;$L3648,'AR SALES'!$AE$2:$AE$2501,0)),""))</f>
        <v/>
      </c>
      <c r="AU3648" s="2" t="str">
        <f t="shared" si="224"/>
        <v/>
      </c>
      <c r="AV3648" s="2" t="str">
        <f t="shared" si="225"/>
        <v/>
      </c>
      <c r="AW3648" s="2" t="str">
        <f t="shared" si="226"/>
        <v/>
      </c>
      <c r="AX3648" s="2" t="str">
        <f t="shared" si="227"/>
        <v/>
      </c>
      <c r="AY3648" s="2" t="str">
        <f>IF($AV3648="","",IF(AND($Z3648=0,COUNTIF('AR SALES'!$L$2:$L$2501,$L3648)=0),"YES",""))</f>
        <v/>
      </c>
      <c r="AZ3648" s="2" t="str">
        <f>IF($AV3648="","",IF(COUNTIF(LISTS!$C$2:$C$250,$AU3648)=0,"NEW",""))</f>
        <v/>
      </c>
      <c r="BA3648" s="2" t="str">
        <f>IF(""&amp;$F3648&lt;&gt;"4","",IF($AY3648="YES","",IF(ROUND(SUMIFS($AE$2:$AE$4001,$L$2:$L$4001,$L3648,$F$2:$F$4001,"4")-SUMIFS('AR SALES'!$Y$2:$Y$2501,'AR SALES'!$L$2:$L$2501,$L3648,'AR SALES'!$AD$2:$AD$2501,"OFF"),2)=0,"","STALE")))</f>
        <v/>
      </c>
      <c r="BB3648" s="2" t="str">
        <f>IF(OR(""&amp;$F3648="2",""&amp;$F3648="4",""&amp;$F3648="G",""&amp;$F3648="H"),IF($AY3648="YES","",IF($AB3648&lt;&gt;0,"",IF(COUNTIFS('AR SALES'!$L$2:$L$2501,$L3648,'AR SALES'!$AD$2:$AD$2501,IF(""&amp;$F3648="4","OFF","ON"),'AR SALES'!$AF$2:$AF$2501,"Y")&gt;0,"","NO EXEMPTION"))),"")</f>
        <v/>
      </c>
    </row>
    <row r="3649" spans="46:54" x14ac:dyDescent="0.25">
      <c r="AT3649" s="2" t="str">
        <f>IF($L3649="","",IFERROR(INDEX('AR SALES'!$H$2:$H$2501,MATCH(""&amp;$L3649,'AR SALES'!$AE$2:$AE$2501,0)),""))</f>
        <v/>
      </c>
      <c r="AU3649" s="2" t="str">
        <f t="shared" si="224"/>
        <v/>
      </c>
      <c r="AV3649" s="2" t="str">
        <f t="shared" si="225"/>
        <v/>
      </c>
      <c r="AW3649" s="2" t="str">
        <f t="shared" si="226"/>
        <v/>
      </c>
      <c r="AX3649" s="2" t="str">
        <f t="shared" si="227"/>
        <v/>
      </c>
      <c r="AY3649" s="2" t="str">
        <f>IF($AV3649="","",IF(AND($Z3649=0,COUNTIF('AR SALES'!$L$2:$L$2501,$L3649)=0),"YES",""))</f>
        <v/>
      </c>
      <c r="AZ3649" s="2" t="str">
        <f>IF($AV3649="","",IF(COUNTIF(LISTS!$C$2:$C$250,$AU3649)=0,"NEW",""))</f>
        <v/>
      </c>
      <c r="BA3649" s="2" t="str">
        <f>IF(""&amp;$F3649&lt;&gt;"4","",IF($AY3649="YES","",IF(ROUND(SUMIFS($AE$2:$AE$4001,$L$2:$L$4001,$L3649,$F$2:$F$4001,"4")-SUMIFS('AR SALES'!$Y$2:$Y$2501,'AR SALES'!$L$2:$L$2501,$L3649,'AR SALES'!$AD$2:$AD$2501,"OFF"),2)=0,"","STALE")))</f>
        <v/>
      </c>
      <c r="BB3649" s="2" t="str">
        <f>IF(OR(""&amp;$F3649="2",""&amp;$F3649="4",""&amp;$F3649="G",""&amp;$F3649="H"),IF($AY3649="YES","",IF($AB3649&lt;&gt;0,"",IF(COUNTIFS('AR SALES'!$L$2:$L$2501,$L3649,'AR SALES'!$AD$2:$AD$2501,IF(""&amp;$F3649="4","OFF","ON"),'AR SALES'!$AF$2:$AF$2501,"Y")&gt;0,"","NO EXEMPTION"))),"")</f>
        <v/>
      </c>
    </row>
    <row r="3650" spans="46:54" x14ac:dyDescent="0.25">
      <c r="AT3650" s="2" t="str">
        <f>IF($L3650="","",IFERROR(INDEX('AR SALES'!$H$2:$H$2501,MATCH(""&amp;$L3650,'AR SALES'!$AE$2:$AE$2501,0)),""))</f>
        <v/>
      </c>
      <c r="AU3650" s="2" t="str">
        <f t="shared" ref="AU3650:AU3713" si="228">IF($L3650="","",IF($A3650&lt;&gt;"GA","",IF($E3650="FULTON",IF(ISNUMBER(SEARCH("COLLEGE PARK",$AT3650)),"FULTON (COLLEGE PARK)",IF(ISNUMBER(SEARCH("ATLANTA CITY",$AT3650)),"FULTON (ATL LIMITS)","FULTON")),IF($E3650="DEKALB",IF(ISNUMBER(SEARCH("ATLANTA CITY",$AT3650)),"DEKALB (ATL LIMITS)","DEKALB"),$E3650))))</f>
        <v/>
      </c>
      <c r="AV3650" s="2" t="str">
        <f t="shared" ref="AV3650:AV3713" si="229">IF($L3650="","",IF(""&amp;$F3650="2","DIESEL",IF(OR(""&amp;$F3650="G",""&amp;$F3650="H"),"GAS","")))</f>
        <v/>
      </c>
      <c r="AW3650" s="2" t="str">
        <f t="shared" ref="AW3650:AW3713" si="230">IF($AV3650="","",$R3650)</f>
        <v/>
      </c>
      <c r="AX3650" s="2" t="str">
        <f t="shared" ref="AX3650:AX3713" si="231">IF($AV3650="","",IF($AB3650=0,$R3650,0))</f>
        <v/>
      </c>
      <c r="AY3650" s="2" t="str">
        <f>IF($AV3650="","",IF(AND($Z3650=0,COUNTIF('AR SALES'!$L$2:$L$2501,$L3650)=0),"YES",""))</f>
        <v/>
      </c>
      <c r="AZ3650" s="2" t="str">
        <f>IF($AV3650="","",IF(COUNTIF(LISTS!$C$2:$C$250,$AU3650)=0,"NEW",""))</f>
        <v/>
      </c>
      <c r="BA3650" s="2" t="str">
        <f>IF(""&amp;$F3650&lt;&gt;"4","",IF($AY3650="YES","",IF(ROUND(SUMIFS($AE$2:$AE$4001,$L$2:$L$4001,$L3650,$F$2:$F$4001,"4")-SUMIFS('AR SALES'!$Y$2:$Y$2501,'AR SALES'!$L$2:$L$2501,$L3650,'AR SALES'!$AD$2:$AD$2501,"OFF"),2)=0,"","STALE")))</f>
        <v/>
      </c>
      <c r="BB3650" s="2" t="str">
        <f>IF(OR(""&amp;$F3650="2",""&amp;$F3650="4",""&amp;$F3650="G",""&amp;$F3650="H"),IF($AY3650="YES","",IF($AB3650&lt;&gt;0,"",IF(COUNTIFS('AR SALES'!$L$2:$L$2501,$L3650,'AR SALES'!$AD$2:$AD$2501,IF(""&amp;$F3650="4","OFF","ON"),'AR SALES'!$AF$2:$AF$2501,"Y")&gt;0,"","NO EXEMPTION"))),"")</f>
        <v/>
      </c>
    </row>
    <row r="3651" spans="46:54" x14ac:dyDescent="0.25">
      <c r="AT3651" s="2" t="str">
        <f>IF($L3651="","",IFERROR(INDEX('AR SALES'!$H$2:$H$2501,MATCH(""&amp;$L3651,'AR SALES'!$AE$2:$AE$2501,0)),""))</f>
        <v/>
      </c>
      <c r="AU3651" s="2" t="str">
        <f t="shared" si="228"/>
        <v/>
      </c>
      <c r="AV3651" s="2" t="str">
        <f t="shared" si="229"/>
        <v/>
      </c>
      <c r="AW3651" s="2" t="str">
        <f t="shared" si="230"/>
        <v/>
      </c>
      <c r="AX3651" s="2" t="str">
        <f t="shared" si="231"/>
        <v/>
      </c>
      <c r="AY3651" s="2" t="str">
        <f>IF($AV3651="","",IF(AND($Z3651=0,COUNTIF('AR SALES'!$L$2:$L$2501,$L3651)=0),"YES",""))</f>
        <v/>
      </c>
      <c r="AZ3651" s="2" t="str">
        <f>IF($AV3651="","",IF(COUNTIF(LISTS!$C$2:$C$250,$AU3651)=0,"NEW",""))</f>
        <v/>
      </c>
      <c r="BA3651" s="2" t="str">
        <f>IF(""&amp;$F3651&lt;&gt;"4","",IF($AY3651="YES","",IF(ROUND(SUMIFS($AE$2:$AE$4001,$L$2:$L$4001,$L3651,$F$2:$F$4001,"4")-SUMIFS('AR SALES'!$Y$2:$Y$2501,'AR SALES'!$L$2:$L$2501,$L3651,'AR SALES'!$AD$2:$AD$2501,"OFF"),2)=0,"","STALE")))</f>
        <v/>
      </c>
      <c r="BB3651" s="2" t="str">
        <f>IF(OR(""&amp;$F3651="2",""&amp;$F3651="4",""&amp;$F3651="G",""&amp;$F3651="H"),IF($AY3651="YES","",IF($AB3651&lt;&gt;0,"",IF(COUNTIFS('AR SALES'!$L$2:$L$2501,$L3651,'AR SALES'!$AD$2:$AD$2501,IF(""&amp;$F3651="4","OFF","ON"),'AR SALES'!$AF$2:$AF$2501,"Y")&gt;0,"","NO EXEMPTION"))),"")</f>
        <v/>
      </c>
    </row>
    <row r="3652" spans="46:54" x14ac:dyDescent="0.25">
      <c r="AT3652" s="2" t="str">
        <f>IF($L3652="","",IFERROR(INDEX('AR SALES'!$H$2:$H$2501,MATCH(""&amp;$L3652,'AR SALES'!$AE$2:$AE$2501,0)),""))</f>
        <v/>
      </c>
      <c r="AU3652" s="2" t="str">
        <f t="shared" si="228"/>
        <v/>
      </c>
      <c r="AV3652" s="2" t="str">
        <f t="shared" si="229"/>
        <v/>
      </c>
      <c r="AW3652" s="2" t="str">
        <f t="shared" si="230"/>
        <v/>
      </c>
      <c r="AX3652" s="2" t="str">
        <f t="shared" si="231"/>
        <v/>
      </c>
      <c r="AY3652" s="2" t="str">
        <f>IF($AV3652="","",IF(AND($Z3652=0,COUNTIF('AR SALES'!$L$2:$L$2501,$L3652)=0),"YES",""))</f>
        <v/>
      </c>
      <c r="AZ3652" s="2" t="str">
        <f>IF($AV3652="","",IF(COUNTIF(LISTS!$C$2:$C$250,$AU3652)=0,"NEW",""))</f>
        <v/>
      </c>
      <c r="BA3652" s="2" t="str">
        <f>IF(""&amp;$F3652&lt;&gt;"4","",IF($AY3652="YES","",IF(ROUND(SUMIFS($AE$2:$AE$4001,$L$2:$L$4001,$L3652,$F$2:$F$4001,"4")-SUMIFS('AR SALES'!$Y$2:$Y$2501,'AR SALES'!$L$2:$L$2501,$L3652,'AR SALES'!$AD$2:$AD$2501,"OFF"),2)=0,"","STALE")))</f>
        <v/>
      </c>
      <c r="BB3652" s="2" t="str">
        <f>IF(OR(""&amp;$F3652="2",""&amp;$F3652="4",""&amp;$F3652="G",""&amp;$F3652="H"),IF($AY3652="YES","",IF($AB3652&lt;&gt;0,"",IF(COUNTIFS('AR SALES'!$L$2:$L$2501,$L3652,'AR SALES'!$AD$2:$AD$2501,IF(""&amp;$F3652="4","OFF","ON"),'AR SALES'!$AF$2:$AF$2501,"Y")&gt;0,"","NO EXEMPTION"))),"")</f>
        <v/>
      </c>
    </row>
    <row r="3653" spans="46:54" x14ac:dyDescent="0.25">
      <c r="AT3653" s="2" t="str">
        <f>IF($L3653="","",IFERROR(INDEX('AR SALES'!$H$2:$H$2501,MATCH(""&amp;$L3653,'AR SALES'!$AE$2:$AE$2501,0)),""))</f>
        <v/>
      </c>
      <c r="AU3653" s="2" t="str">
        <f t="shared" si="228"/>
        <v/>
      </c>
      <c r="AV3653" s="2" t="str">
        <f t="shared" si="229"/>
        <v/>
      </c>
      <c r="AW3653" s="2" t="str">
        <f t="shared" si="230"/>
        <v/>
      </c>
      <c r="AX3653" s="2" t="str">
        <f t="shared" si="231"/>
        <v/>
      </c>
      <c r="AY3653" s="2" t="str">
        <f>IF($AV3653="","",IF(AND($Z3653=0,COUNTIF('AR SALES'!$L$2:$L$2501,$L3653)=0),"YES",""))</f>
        <v/>
      </c>
      <c r="AZ3653" s="2" t="str">
        <f>IF($AV3653="","",IF(COUNTIF(LISTS!$C$2:$C$250,$AU3653)=0,"NEW",""))</f>
        <v/>
      </c>
      <c r="BA3653" s="2" t="str">
        <f>IF(""&amp;$F3653&lt;&gt;"4","",IF($AY3653="YES","",IF(ROUND(SUMIFS($AE$2:$AE$4001,$L$2:$L$4001,$L3653,$F$2:$F$4001,"4")-SUMIFS('AR SALES'!$Y$2:$Y$2501,'AR SALES'!$L$2:$L$2501,$L3653,'AR SALES'!$AD$2:$AD$2501,"OFF"),2)=0,"","STALE")))</f>
        <v/>
      </c>
      <c r="BB3653" s="2" t="str">
        <f>IF(OR(""&amp;$F3653="2",""&amp;$F3653="4",""&amp;$F3653="G",""&amp;$F3653="H"),IF($AY3653="YES","",IF($AB3653&lt;&gt;0,"",IF(COUNTIFS('AR SALES'!$L$2:$L$2501,$L3653,'AR SALES'!$AD$2:$AD$2501,IF(""&amp;$F3653="4","OFF","ON"),'AR SALES'!$AF$2:$AF$2501,"Y")&gt;0,"","NO EXEMPTION"))),"")</f>
        <v/>
      </c>
    </row>
    <row r="3654" spans="46:54" x14ac:dyDescent="0.25">
      <c r="AT3654" s="2" t="str">
        <f>IF($L3654="","",IFERROR(INDEX('AR SALES'!$H$2:$H$2501,MATCH(""&amp;$L3654,'AR SALES'!$AE$2:$AE$2501,0)),""))</f>
        <v/>
      </c>
      <c r="AU3654" s="2" t="str">
        <f t="shared" si="228"/>
        <v/>
      </c>
      <c r="AV3654" s="2" t="str">
        <f t="shared" si="229"/>
        <v/>
      </c>
      <c r="AW3654" s="2" t="str">
        <f t="shared" si="230"/>
        <v/>
      </c>
      <c r="AX3654" s="2" t="str">
        <f t="shared" si="231"/>
        <v/>
      </c>
      <c r="AY3654" s="2" t="str">
        <f>IF($AV3654="","",IF(AND($Z3654=0,COUNTIF('AR SALES'!$L$2:$L$2501,$L3654)=0),"YES",""))</f>
        <v/>
      </c>
      <c r="AZ3654" s="2" t="str">
        <f>IF($AV3654="","",IF(COUNTIF(LISTS!$C$2:$C$250,$AU3654)=0,"NEW",""))</f>
        <v/>
      </c>
      <c r="BA3654" s="2" t="str">
        <f>IF(""&amp;$F3654&lt;&gt;"4","",IF($AY3654="YES","",IF(ROUND(SUMIFS($AE$2:$AE$4001,$L$2:$L$4001,$L3654,$F$2:$F$4001,"4")-SUMIFS('AR SALES'!$Y$2:$Y$2501,'AR SALES'!$L$2:$L$2501,$L3654,'AR SALES'!$AD$2:$AD$2501,"OFF"),2)=0,"","STALE")))</f>
        <v/>
      </c>
      <c r="BB3654" s="2" t="str">
        <f>IF(OR(""&amp;$F3654="2",""&amp;$F3654="4",""&amp;$F3654="G",""&amp;$F3654="H"),IF($AY3654="YES","",IF($AB3654&lt;&gt;0,"",IF(COUNTIFS('AR SALES'!$L$2:$L$2501,$L3654,'AR SALES'!$AD$2:$AD$2501,IF(""&amp;$F3654="4","OFF","ON"),'AR SALES'!$AF$2:$AF$2501,"Y")&gt;0,"","NO EXEMPTION"))),"")</f>
        <v/>
      </c>
    </row>
    <row r="3655" spans="46:54" x14ac:dyDescent="0.25">
      <c r="AT3655" s="2" t="str">
        <f>IF($L3655="","",IFERROR(INDEX('AR SALES'!$H$2:$H$2501,MATCH(""&amp;$L3655,'AR SALES'!$AE$2:$AE$2501,0)),""))</f>
        <v/>
      </c>
      <c r="AU3655" s="2" t="str">
        <f t="shared" si="228"/>
        <v/>
      </c>
      <c r="AV3655" s="2" t="str">
        <f t="shared" si="229"/>
        <v/>
      </c>
      <c r="AW3655" s="2" t="str">
        <f t="shared" si="230"/>
        <v/>
      </c>
      <c r="AX3655" s="2" t="str">
        <f t="shared" si="231"/>
        <v/>
      </c>
      <c r="AY3655" s="2" t="str">
        <f>IF($AV3655="","",IF(AND($Z3655=0,COUNTIF('AR SALES'!$L$2:$L$2501,$L3655)=0),"YES",""))</f>
        <v/>
      </c>
      <c r="AZ3655" s="2" t="str">
        <f>IF($AV3655="","",IF(COUNTIF(LISTS!$C$2:$C$250,$AU3655)=0,"NEW",""))</f>
        <v/>
      </c>
      <c r="BA3655" s="2" t="str">
        <f>IF(""&amp;$F3655&lt;&gt;"4","",IF($AY3655="YES","",IF(ROUND(SUMIFS($AE$2:$AE$4001,$L$2:$L$4001,$L3655,$F$2:$F$4001,"4")-SUMIFS('AR SALES'!$Y$2:$Y$2501,'AR SALES'!$L$2:$L$2501,$L3655,'AR SALES'!$AD$2:$AD$2501,"OFF"),2)=0,"","STALE")))</f>
        <v/>
      </c>
      <c r="BB3655" s="2" t="str">
        <f>IF(OR(""&amp;$F3655="2",""&amp;$F3655="4",""&amp;$F3655="G",""&amp;$F3655="H"),IF($AY3655="YES","",IF($AB3655&lt;&gt;0,"",IF(COUNTIFS('AR SALES'!$L$2:$L$2501,$L3655,'AR SALES'!$AD$2:$AD$2501,IF(""&amp;$F3655="4","OFF","ON"),'AR SALES'!$AF$2:$AF$2501,"Y")&gt;0,"","NO EXEMPTION"))),"")</f>
        <v/>
      </c>
    </row>
    <row r="3656" spans="46:54" x14ac:dyDescent="0.25">
      <c r="AT3656" s="2" t="str">
        <f>IF($L3656="","",IFERROR(INDEX('AR SALES'!$H$2:$H$2501,MATCH(""&amp;$L3656,'AR SALES'!$AE$2:$AE$2501,0)),""))</f>
        <v/>
      </c>
      <c r="AU3656" s="2" t="str">
        <f t="shared" si="228"/>
        <v/>
      </c>
      <c r="AV3656" s="2" t="str">
        <f t="shared" si="229"/>
        <v/>
      </c>
      <c r="AW3656" s="2" t="str">
        <f t="shared" si="230"/>
        <v/>
      </c>
      <c r="AX3656" s="2" t="str">
        <f t="shared" si="231"/>
        <v/>
      </c>
      <c r="AY3656" s="2" t="str">
        <f>IF($AV3656="","",IF(AND($Z3656=0,COUNTIF('AR SALES'!$L$2:$L$2501,$L3656)=0),"YES",""))</f>
        <v/>
      </c>
      <c r="AZ3656" s="2" t="str">
        <f>IF($AV3656="","",IF(COUNTIF(LISTS!$C$2:$C$250,$AU3656)=0,"NEW",""))</f>
        <v/>
      </c>
      <c r="BA3656" s="2" t="str">
        <f>IF(""&amp;$F3656&lt;&gt;"4","",IF($AY3656="YES","",IF(ROUND(SUMIFS($AE$2:$AE$4001,$L$2:$L$4001,$L3656,$F$2:$F$4001,"4")-SUMIFS('AR SALES'!$Y$2:$Y$2501,'AR SALES'!$L$2:$L$2501,$L3656,'AR SALES'!$AD$2:$AD$2501,"OFF"),2)=0,"","STALE")))</f>
        <v/>
      </c>
      <c r="BB3656" s="2" t="str">
        <f>IF(OR(""&amp;$F3656="2",""&amp;$F3656="4",""&amp;$F3656="G",""&amp;$F3656="H"),IF($AY3656="YES","",IF($AB3656&lt;&gt;0,"",IF(COUNTIFS('AR SALES'!$L$2:$L$2501,$L3656,'AR SALES'!$AD$2:$AD$2501,IF(""&amp;$F3656="4","OFF","ON"),'AR SALES'!$AF$2:$AF$2501,"Y")&gt;0,"","NO EXEMPTION"))),"")</f>
        <v/>
      </c>
    </row>
    <row r="3657" spans="46:54" x14ac:dyDescent="0.25">
      <c r="AT3657" s="2" t="str">
        <f>IF($L3657="","",IFERROR(INDEX('AR SALES'!$H$2:$H$2501,MATCH(""&amp;$L3657,'AR SALES'!$AE$2:$AE$2501,0)),""))</f>
        <v/>
      </c>
      <c r="AU3657" s="2" t="str">
        <f t="shared" si="228"/>
        <v/>
      </c>
      <c r="AV3657" s="2" t="str">
        <f t="shared" si="229"/>
        <v/>
      </c>
      <c r="AW3657" s="2" t="str">
        <f t="shared" si="230"/>
        <v/>
      </c>
      <c r="AX3657" s="2" t="str">
        <f t="shared" si="231"/>
        <v/>
      </c>
      <c r="AY3657" s="2" t="str">
        <f>IF($AV3657="","",IF(AND($Z3657=0,COUNTIF('AR SALES'!$L$2:$L$2501,$L3657)=0),"YES",""))</f>
        <v/>
      </c>
      <c r="AZ3657" s="2" t="str">
        <f>IF($AV3657="","",IF(COUNTIF(LISTS!$C$2:$C$250,$AU3657)=0,"NEW",""))</f>
        <v/>
      </c>
      <c r="BA3657" s="2" t="str">
        <f>IF(""&amp;$F3657&lt;&gt;"4","",IF($AY3657="YES","",IF(ROUND(SUMIFS($AE$2:$AE$4001,$L$2:$L$4001,$L3657,$F$2:$F$4001,"4")-SUMIFS('AR SALES'!$Y$2:$Y$2501,'AR SALES'!$L$2:$L$2501,$L3657,'AR SALES'!$AD$2:$AD$2501,"OFF"),2)=0,"","STALE")))</f>
        <v/>
      </c>
      <c r="BB3657" s="2" t="str">
        <f>IF(OR(""&amp;$F3657="2",""&amp;$F3657="4",""&amp;$F3657="G",""&amp;$F3657="H"),IF($AY3657="YES","",IF($AB3657&lt;&gt;0,"",IF(COUNTIFS('AR SALES'!$L$2:$L$2501,$L3657,'AR SALES'!$AD$2:$AD$2501,IF(""&amp;$F3657="4","OFF","ON"),'AR SALES'!$AF$2:$AF$2501,"Y")&gt;0,"","NO EXEMPTION"))),"")</f>
        <v/>
      </c>
    </row>
    <row r="3658" spans="46:54" x14ac:dyDescent="0.25">
      <c r="AT3658" s="2" t="str">
        <f>IF($L3658="","",IFERROR(INDEX('AR SALES'!$H$2:$H$2501,MATCH(""&amp;$L3658,'AR SALES'!$AE$2:$AE$2501,0)),""))</f>
        <v/>
      </c>
      <c r="AU3658" s="2" t="str">
        <f t="shared" si="228"/>
        <v/>
      </c>
      <c r="AV3658" s="2" t="str">
        <f t="shared" si="229"/>
        <v/>
      </c>
      <c r="AW3658" s="2" t="str">
        <f t="shared" si="230"/>
        <v/>
      </c>
      <c r="AX3658" s="2" t="str">
        <f t="shared" si="231"/>
        <v/>
      </c>
      <c r="AY3658" s="2" t="str">
        <f>IF($AV3658="","",IF(AND($Z3658=0,COUNTIF('AR SALES'!$L$2:$L$2501,$L3658)=0),"YES",""))</f>
        <v/>
      </c>
      <c r="AZ3658" s="2" t="str">
        <f>IF($AV3658="","",IF(COUNTIF(LISTS!$C$2:$C$250,$AU3658)=0,"NEW",""))</f>
        <v/>
      </c>
      <c r="BA3658" s="2" t="str">
        <f>IF(""&amp;$F3658&lt;&gt;"4","",IF($AY3658="YES","",IF(ROUND(SUMIFS($AE$2:$AE$4001,$L$2:$L$4001,$L3658,$F$2:$F$4001,"4")-SUMIFS('AR SALES'!$Y$2:$Y$2501,'AR SALES'!$L$2:$L$2501,$L3658,'AR SALES'!$AD$2:$AD$2501,"OFF"),2)=0,"","STALE")))</f>
        <v/>
      </c>
      <c r="BB3658" s="2" t="str">
        <f>IF(OR(""&amp;$F3658="2",""&amp;$F3658="4",""&amp;$F3658="G",""&amp;$F3658="H"),IF($AY3658="YES","",IF($AB3658&lt;&gt;0,"",IF(COUNTIFS('AR SALES'!$L$2:$L$2501,$L3658,'AR SALES'!$AD$2:$AD$2501,IF(""&amp;$F3658="4","OFF","ON"),'AR SALES'!$AF$2:$AF$2501,"Y")&gt;0,"","NO EXEMPTION"))),"")</f>
        <v/>
      </c>
    </row>
    <row r="3659" spans="46:54" x14ac:dyDescent="0.25">
      <c r="AT3659" s="2" t="str">
        <f>IF($L3659="","",IFERROR(INDEX('AR SALES'!$H$2:$H$2501,MATCH(""&amp;$L3659,'AR SALES'!$AE$2:$AE$2501,0)),""))</f>
        <v/>
      </c>
      <c r="AU3659" s="2" t="str">
        <f t="shared" si="228"/>
        <v/>
      </c>
      <c r="AV3659" s="2" t="str">
        <f t="shared" si="229"/>
        <v/>
      </c>
      <c r="AW3659" s="2" t="str">
        <f t="shared" si="230"/>
        <v/>
      </c>
      <c r="AX3659" s="2" t="str">
        <f t="shared" si="231"/>
        <v/>
      </c>
      <c r="AY3659" s="2" t="str">
        <f>IF($AV3659="","",IF(AND($Z3659=0,COUNTIF('AR SALES'!$L$2:$L$2501,$L3659)=0),"YES",""))</f>
        <v/>
      </c>
      <c r="AZ3659" s="2" t="str">
        <f>IF($AV3659="","",IF(COUNTIF(LISTS!$C$2:$C$250,$AU3659)=0,"NEW",""))</f>
        <v/>
      </c>
      <c r="BA3659" s="2" t="str">
        <f>IF(""&amp;$F3659&lt;&gt;"4","",IF($AY3659="YES","",IF(ROUND(SUMIFS($AE$2:$AE$4001,$L$2:$L$4001,$L3659,$F$2:$F$4001,"4")-SUMIFS('AR SALES'!$Y$2:$Y$2501,'AR SALES'!$L$2:$L$2501,$L3659,'AR SALES'!$AD$2:$AD$2501,"OFF"),2)=0,"","STALE")))</f>
        <v/>
      </c>
      <c r="BB3659" s="2" t="str">
        <f>IF(OR(""&amp;$F3659="2",""&amp;$F3659="4",""&amp;$F3659="G",""&amp;$F3659="H"),IF($AY3659="YES","",IF($AB3659&lt;&gt;0,"",IF(COUNTIFS('AR SALES'!$L$2:$L$2501,$L3659,'AR SALES'!$AD$2:$AD$2501,IF(""&amp;$F3659="4","OFF","ON"),'AR SALES'!$AF$2:$AF$2501,"Y")&gt;0,"","NO EXEMPTION"))),"")</f>
        <v/>
      </c>
    </row>
    <row r="3660" spans="46:54" x14ac:dyDescent="0.25">
      <c r="AT3660" s="2" t="str">
        <f>IF($L3660="","",IFERROR(INDEX('AR SALES'!$H$2:$H$2501,MATCH(""&amp;$L3660,'AR SALES'!$AE$2:$AE$2501,0)),""))</f>
        <v/>
      </c>
      <c r="AU3660" s="2" t="str">
        <f t="shared" si="228"/>
        <v/>
      </c>
      <c r="AV3660" s="2" t="str">
        <f t="shared" si="229"/>
        <v/>
      </c>
      <c r="AW3660" s="2" t="str">
        <f t="shared" si="230"/>
        <v/>
      </c>
      <c r="AX3660" s="2" t="str">
        <f t="shared" si="231"/>
        <v/>
      </c>
      <c r="AY3660" s="2" t="str">
        <f>IF($AV3660="","",IF(AND($Z3660=0,COUNTIF('AR SALES'!$L$2:$L$2501,$L3660)=0),"YES",""))</f>
        <v/>
      </c>
      <c r="AZ3660" s="2" t="str">
        <f>IF($AV3660="","",IF(COUNTIF(LISTS!$C$2:$C$250,$AU3660)=0,"NEW",""))</f>
        <v/>
      </c>
      <c r="BA3660" s="2" t="str">
        <f>IF(""&amp;$F3660&lt;&gt;"4","",IF($AY3660="YES","",IF(ROUND(SUMIFS($AE$2:$AE$4001,$L$2:$L$4001,$L3660,$F$2:$F$4001,"4")-SUMIFS('AR SALES'!$Y$2:$Y$2501,'AR SALES'!$L$2:$L$2501,$L3660,'AR SALES'!$AD$2:$AD$2501,"OFF"),2)=0,"","STALE")))</f>
        <v/>
      </c>
      <c r="BB3660" s="2" t="str">
        <f>IF(OR(""&amp;$F3660="2",""&amp;$F3660="4",""&amp;$F3660="G",""&amp;$F3660="H"),IF($AY3660="YES","",IF($AB3660&lt;&gt;0,"",IF(COUNTIFS('AR SALES'!$L$2:$L$2501,$L3660,'AR SALES'!$AD$2:$AD$2501,IF(""&amp;$F3660="4","OFF","ON"),'AR SALES'!$AF$2:$AF$2501,"Y")&gt;0,"","NO EXEMPTION"))),"")</f>
        <v/>
      </c>
    </row>
    <row r="3661" spans="46:54" x14ac:dyDescent="0.25">
      <c r="AT3661" s="2" t="str">
        <f>IF($L3661="","",IFERROR(INDEX('AR SALES'!$H$2:$H$2501,MATCH(""&amp;$L3661,'AR SALES'!$AE$2:$AE$2501,0)),""))</f>
        <v/>
      </c>
      <c r="AU3661" s="2" t="str">
        <f t="shared" si="228"/>
        <v/>
      </c>
      <c r="AV3661" s="2" t="str">
        <f t="shared" si="229"/>
        <v/>
      </c>
      <c r="AW3661" s="2" t="str">
        <f t="shared" si="230"/>
        <v/>
      </c>
      <c r="AX3661" s="2" t="str">
        <f t="shared" si="231"/>
        <v/>
      </c>
      <c r="AY3661" s="2" t="str">
        <f>IF($AV3661="","",IF(AND($Z3661=0,COUNTIF('AR SALES'!$L$2:$L$2501,$L3661)=0),"YES",""))</f>
        <v/>
      </c>
      <c r="AZ3661" s="2" t="str">
        <f>IF($AV3661="","",IF(COUNTIF(LISTS!$C$2:$C$250,$AU3661)=0,"NEW",""))</f>
        <v/>
      </c>
      <c r="BA3661" s="2" t="str">
        <f>IF(""&amp;$F3661&lt;&gt;"4","",IF($AY3661="YES","",IF(ROUND(SUMIFS($AE$2:$AE$4001,$L$2:$L$4001,$L3661,$F$2:$F$4001,"4")-SUMIFS('AR SALES'!$Y$2:$Y$2501,'AR SALES'!$L$2:$L$2501,$L3661,'AR SALES'!$AD$2:$AD$2501,"OFF"),2)=0,"","STALE")))</f>
        <v/>
      </c>
      <c r="BB3661" s="2" t="str">
        <f>IF(OR(""&amp;$F3661="2",""&amp;$F3661="4",""&amp;$F3661="G",""&amp;$F3661="H"),IF($AY3661="YES","",IF($AB3661&lt;&gt;0,"",IF(COUNTIFS('AR SALES'!$L$2:$L$2501,$L3661,'AR SALES'!$AD$2:$AD$2501,IF(""&amp;$F3661="4","OFF","ON"),'AR SALES'!$AF$2:$AF$2501,"Y")&gt;0,"","NO EXEMPTION"))),"")</f>
        <v/>
      </c>
    </row>
    <row r="3662" spans="46:54" x14ac:dyDescent="0.25">
      <c r="AT3662" s="2" t="str">
        <f>IF($L3662="","",IFERROR(INDEX('AR SALES'!$H$2:$H$2501,MATCH(""&amp;$L3662,'AR SALES'!$AE$2:$AE$2501,0)),""))</f>
        <v/>
      </c>
      <c r="AU3662" s="2" t="str">
        <f t="shared" si="228"/>
        <v/>
      </c>
      <c r="AV3662" s="2" t="str">
        <f t="shared" si="229"/>
        <v/>
      </c>
      <c r="AW3662" s="2" t="str">
        <f t="shared" si="230"/>
        <v/>
      </c>
      <c r="AX3662" s="2" t="str">
        <f t="shared" si="231"/>
        <v/>
      </c>
      <c r="AY3662" s="2" t="str">
        <f>IF($AV3662="","",IF(AND($Z3662=0,COUNTIF('AR SALES'!$L$2:$L$2501,$L3662)=0),"YES",""))</f>
        <v/>
      </c>
      <c r="AZ3662" s="2" t="str">
        <f>IF($AV3662="","",IF(COUNTIF(LISTS!$C$2:$C$250,$AU3662)=0,"NEW",""))</f>
        <v/>
      </c>
      <c r="BA3662" s="2" t="str">
        <f>IF(""&amp;$F3662&lt;&gt;"4","",IF($AY3662="YES","",IF(ROUND(SUMIFS($AE$2:$AE$4001,$L$2:$L$4001,$L3662,$F$2:$F$4001,"4")-SUMIFS('AR SALES'!$Y$2:$Y$2501,'AR SALES'!$L$2:$L$2501,$L3662,'AR SALES'!$AD$2:$AD$2501,"OFF"),2)=0,"","STALE")))</f>
        <v/>
      </c>
      <c r="BB3662" s="2" t="str">
        <f>IF(OR(""&amp;$F3662="2",""&amp;$F3662="4",""&amp;$F3662="G",""&amp;$F3662="H"),IF($AY3662="YES","",IF($AB3662&lt;&gt;0,"",IF(COUNTIFS('AR SALES'!$L$2:$L$2501,$L3662,'AR SALES'!$AD$2:$AD$2501,IF(""&amp;$F3662="4","OFF","ON"),'AR SALES'!$AF$2:$AF$2501,"Y")&gt;0,"","NO EXEMPTION"))),"")</f>
        <v/>
      </c>
    </row>
    <row r="3663" spans="46:54" x14ac:dyDescent="0.25">
      <c r="AT3663" s="2" t="str">
        <f>IF($L3663="","",IFERROR(INDEX('AR SALES'!$H$2:$H$2501,MATCH(""&amp;$L3663,'AR SALES'!$AE$2:$AE$2501,0)),""))</f>
        <v/>
      </c>
      <c r="AU3663" s="2" t="str">
        <f t="shared" si="228"/>
        <v/>
      </c>
      <c r="AV3663" s="2" t="str">
        <f t="shared" si="229"/>
        <v/>
      </c>
      <c r="AW3663" s="2" t="str">
        <f t="shared" si="230"/>
        <v/>
      </c>
      <c r="AX3663" s="2" t="str">
        <f t="shared" si="231"/>
        <v/>
      </c>
      <c r="AY3663" s="2" t="str">
        <f>IF($AV3663="","",IF(AND($Z3663=0,COUNTIF('AR SALES'!$L$2:$L$2501,$L3663)=0),"YES",""))</f>
        <v/>
      </c>
      <c r="AZ3663" s="2" t="str">
        <f>IF($AV3663="","",IF(COUNTIF(LISTS!$C$2:$C$250,$AU3663)=0,"NEW",""))</f>
        <v/>
      </c>
      <c r="BA3663" s="2" t="str">
        <f>IF(""&amp;$F3663&lt;&gt;"4","",IF($AY3663="YES","",IF(ROUND(SUMIFS($AE$2:$AE$4001,$L$2:$L$4001,$L3663,$F$2:$F$4001,"4")-SUMIFS('AR SALES'!$Y$2:$Y$2501,'AR SALES'!$L$2:$L$2501,$L3663,'AR SALES'!$AD$2:$AD$2501,"OFF"),2)=0,"","STALE")))</f>
        <v/>
      </c>
      <c r="BB3663" s="2" t="str">
        <f>IF(OR(""&amp;$F3663="2",""&amp;$F3663="4",""&amp;$F3663="G",""&amp;$F3663="H"),IF($AY3663="YES","",IF($AB3663&lt;&gt;0,"",IF(COUNTIFS('AR SALES'!$L$2:$L$2501,$L3663,'AR SALES'!$AD$2:$AD$2501,IF(""&amp;$F3663="4","OFF","ON"),'AR SALES'!$AF$2:$AF$2501,"Y")&gt;0,"","NO EXEMPTION"))),"")</f>
        <v/>
      </c>
    </row>
    <row r="3664" spans="46:54" x14ac:dyDescent="0.25">
      <c r="AT3664" s="2" t="str">
        <f>IF($L3664="","",IFERROR(INDEX('AR SALES'!$H$2:$H$2501,MATCH(""&amp;$L3664,'AR SALES'!$AE$2:$AE$2501,0)),""))</f>
        <v/>
      </c>
      <c r="AU3664" s="2" t="str">
        <f t="shared" si="228"/>
        <v/>
      </c>
      <c r="AV3664" s="2" t="str">
        <f t="shared" si="229"/>
        <v/>
      </c>
      <c r="AW3664" s="2" t="str">
        <f t="shared" si="230"/>
        <v/>
      </c>
      <c r="AX3664" s="2" t="str">
        <f t="shared" si="231"/>
        <v/>
      </c>
      <c r="AY3664" s="2" t="str">
        <f>IF($AV3664="","",IF(AND($Z3664=0,COUNTIF('AR SALES'!$L$2:$L$2501,$L3664)=0),"YES",""))</f>
        <v/>
      </c>
      <c r="AZ3664" s="2" t="str">
        <f>IF($AV3664="","",IF(COUNTIF(LISTS!$C$2:$C$250,$AU3664)=0,"NEW",""))</f>
        <v/>
      </c>
      <c r="BA3664" s="2" t="str">
        <f>IF(""&amp;$F3664&lt;&gt;"4","",IF($AY3664="YES","",IF(ROUND(SUMIFS($AE$2:$AE$4001,$L$2:$L$4001,$L3664,$F$2:$F$4001,"4")-SUMIFS('AR SALES'!$Y$2:$Y$2501,'AR SALES'!$L$2:$L$2501,$L3664,'AR SALES'!$AD$2:$AD$2501,"OFF"),2)=0,"","STALE")))</f>
        <v/>
      </c>
      <c r="BB3664" s="2" t="str">
        <f>IF(OR(""&amp;$F3664="2",""&amp;$F3664="4",""&amp;$F3664="G",""&amp;$F3664="H"),IF($AY3664="YES","",IF($AB3664&lt;&gt;0,"",IF(COUNTIFS('AR SALES'!$L$2:$L$2501,$L3664,'AR SALES'!$AD$2:$AD$2501,IF(""&amp;$F3664="4","OFF","ON"),'AR SALES'!$AF$2:$AF$2501,"Y")&gt;0,"","NO EXEMPTION"))),"")</f>
        <v/>
      </c>
    </row>
    <row r="3665" spans="46:54" x14ac:dyDescent="0.25">
      <c r="AT3665" s="2" t="str">
        <f>IF($L3665="","",IFERROR(INDEX('AR SALES'!$H$2:$H$2501,MATCH(""&amp;$L3665,'AR SALES'!$AE$2:$AE$2501,0)),""))</f>
        <v/>
      </c>
      <c r="AU3665" s="2" t="str">
        <f t="shared" si="228"/>
        <v/>
      </c>
      <c r="AV3665" s="2" t="str">
        <f t="shared" si="229"/>
        <v/>
      </c>
      <c r="AW3665" s="2" t="str">
        <f t="shared" si="230"/>
        <v/>
      </c>
      <c r="AX3665" s="2" t="str">
        <f t="shared" si="231"/>
        <v/>
      </c>
      <c r="AY3665" s="2" t="str">
        <f>IF($AV3665="","",IF(AND($Z3665=0,COUNTIF('AR SALES'!$L$2:$L$2501,$L3665)=0),"YES",""))</f>
        <v/>
      </c>
      <c r="AZ3665" s="2" t="str">
        <f>IF($AV3665="","",IF(COUNTIF(LISTS!$C$2:$C$250,$AU3665)=0,"NEW",""))</f>
        <v/>
      </c>
      <c r="BA3665" s="2" t="str">
        <f>IF(""&amp;$F3665&lt;&gt;"4","",IF($AY3665="YES","",IF(ROUND(SUMIFS($AE$2:$AE$4001,$L$2:$L$4001,$L3665,$F$2:$F$4001,"4")-SUMIFS('AR SALES'!$Y$2:$Y$2501,'AR SALES'!$L$2:$L$2501,$L3665,'AR SALES'!$AD$2:$AD$2501,"OFF"),2)=0,"","STALE")))</f>
        <v/>
      </c>
      <c r="BB3665" s="2" t="str">
        <f>IF(OR(""&amp;$F3665="2",""&amp;$F3665="4",""&amp;$F3665="G",""&amp;$F3665="H"),IF($AY3665="YES","",IF($AB3665&lt;&gt;0,"",IF(COUNTIFS('AR SALES'!$L$2:$L$2501,$L3665,'AR SALES'!$AD$2:$AD$2501,IF(""&amp;$F3665="4","OFF","ON"),'AR SALES'!$AF$2:$AF$2501,"Y")&gt;0,"","NO EXEMPTION"))),"")</f>
        <v/>
      </c>
    </row>
    <row r="3666" spans="46:54" x14ac:dyDescent="0.25">
      <c r="AT3666" s="2" t="str">
        <f>IF($L3666="","",IFERROR(INDEX('AR SALES'!$H$2:$H$2501,MATCH(""&amp;$L3666,'AR SALES'!$AE$2:$AE$2501,0)),""))</f>
        <v/>
      </c>
      <c r="AU3666" s="2" t="str">
        <f t="shared" si="228"/>
        <v/>
      </c>
      <c r="AV3666" s="2" t="str">
        <f t="shared" si="229"/>
        <v/>
      </c>
      <c r="AW3666" s="2" t="str">
        <f t="shared" si="230"/>
        <v/>
      </c>
      <c r="AX3666" s="2" t="str">
        <f t="shared" si="231"/>
        <v/>
      </c>
      <c r="AY3666" s="2" t="str">
        <f>IF($AV3666="","",IF(AND($Z3666=0,COUNTIF('AR SALES'!$L$2:$L$2501,$L3666)=0),"YES",""))</f>
        <v/>
      </c>
      <c r="AZ3666" s="2" t="str">
        <f>IF($AV3666="","",IF(COUNTIF(LISTS!$C$2:$C$250,$AU3666)=0,"NEW",""))</f>
        <v/>
      </c>
      <c r="BA3666" s="2" t="str">
        <f>IF(""&amp;$F3666&lt;&gt;"4","",IF($AY3666="YES","",IF(ROUND(SUMIFS($AE$2:$AE$4001,$L$2:$L$4001,$L3666,$F$2:$F$4001,"4")-SUMIFS('AR SALES'!$Y$2:$Y$2501,'AR SALES'!$L$2:$L$2501,$L3666,'AR SALES'!$AD$2:$AD$2501,"OFF"),2)=0,"","STALE")))</f>
        <v/>
      </c>
      <c r="BB3666" s="2" t="str">
        <f>IF(OR(""&amp;$F3666="2",""&amp;$F3666="4",""&amp;$F3666="G",""&amp;$F3666="H"),IF($AY3666="YES","",IF($AB3666&lt;&gt;0,"",IF(COUNTIFS('AR SALES'!$L$2:$L$2501,$L3666,'AR SALES'!$AD$2:$AD$2501,IF(""&amp;$F3666="4","OFF","ON"),'AR SALES'!$AF$2:$AF$2501,"Y")&gt;0,"","NO EXEMPTION"))),"")</f>
        <v/>
      </c>
    </row>
    <row r="3667" spans="46:54" x14ac:dyDescent="0.25">
      <c r="AT3667" s="2" t="str">
        <f>IF($L3667="","",IFERROR(INDEX('AR SALES'!$H$2:$H$2501,MATCH(""&amp;$L3667,'AR SALES'!$AE$2:$AE$2501,0)),""))</f>
        <v/>
      </c>
      <c r="AU3667" s="2" t="str">
        <f t="shared" si="228"/>
        <v/>
      </c>
      <c r="AV3667" s="2" t="str">
        <f t="shared" si="229"/>
        <v/>
      </c>
      <c r="AW3667" s="2" t="str">
        <f t="shared" si="230"/>
        <v/>
      </c>
      <c r="AX3667" s="2" t="str">
        <f t="shared" si="231"/>
        <v/>
      </c>
      <c r="AY3667" s="2" t="str">
        <f>IF($AV3667="","",IF(AND($Z3667=0,COUNTIF('AR SALES'!$L$2:$L$2501,$L3667)=0),"YES",""))</f>
        <v/>
      </c>
      <c r="AZ3667" s="2" t="str">
        <f>IF($AV3667="","",IF(COUNTIF(LISTS!$C$2:$C$250,$AU3667)=0,"NEW",""))</f>
        <v/>
      </c>
      <c r="BA3667" s="2" t="str">
        <f>IF(""&amp;$F3667&lt;&gt;"4","",IF($AY3667="YES","",IF(ROUND(SUMIFS($AE$2:$AE$4001,$L$2:$L$4001,$L3667,$F$2:$F$4001,"4")-SUMIFS('AR SALES'!$Y$2:$Y$2501,'AR SALES'!$L$2:$L$2501,$L3667,'AR SALES'!$AD$2:$AD$2501,"OFF"),2)=0,"","STALE")))</f>
        <v/>
      </c>
      <c r="BB3667" s="2" t="str">
        <f>IF(OR(""&amp;$F3667="2",""&amp;$F3667="4",""&amp;$F3667="G",""&amp;$F3667="H"),IF($AY3667="YES","",IF($AB3667&lt;&gt;0,"",IF(COUNTIFS('AR SALES'!$L$2:$L$2501,$L3667,'AR SALES'!$AD$2:$AD$2501,IF(""&amp;$F3667="4","OFF","ON"),'AR SALES'!$AF$2:$AF$2501,"Y")&gt;0,"","NO EXEMPTION"))),"")</f>
        <v/>
      </c>
    </row>
    <row r="3668" spans="46:54" x14ac:dyDescent="0.25">
      <c r="AT3668" s="2" t="str">
        <f>IF($L3668="","",IFERROR(INDEX('AR SALES'!$H$2:$H$2501,MATCH(""&amp;$L3668,'AR SALES'!$AE$2:$AE$2501,0)),""))</f>
        <v/>
      </c>
      <c r="AU3668" s="2" t="str">
        <f t="shared" si="228"/>
        <v/>
      </c>
      <c r="AV3668" s="2" t="str">
        <f t="shared" si="229"/>
        <v/>
      </c>
      <c r="AW3668" s="2" t="str">
        <f t="shared" si="230"/>
        <v/>
      </c>
      <c r="AX3668" s="2" t="str">
        <f t="shared" si="231"/>
        <v/>
      </c>
      <c r="AY3668" s="2" t="str">
        <f>IF($AV3668="","",IF(AND($Z3668=0,COUNTIF('AR SALES'!$L$2:$L$2501,$L3668)=0),"YES",""))</f>
        <v/>
      </c>
      <c r="AZ3668" s="2" t="str">
        <f>IF($AV3668="","",IF(COUNTIF(LISTS!$C$2:$C$250,$AU3668)=0,"NEW",""))</f>
        <v/>
      </c>
      <c r="BA3668" s="2" t="str">
        <f>IF(""&amp;$F3668&lt;&gt;"4","",IF($AY3668="YES","",IF(ROUND(SUMIFS($AE$2:$AE$4001,$L$2:$L$4001,$L3668,$F$2:$F$4001,"4")-SUMIFS('AR SALES'!$Y$2:$Y$2501,'AR SALES'!$L$2:$L$2501,$L3668,'AR SALES'!$AD$2:$AD$2501,"OFF"),2)=0,"","STALE")))</f>
        <v/>
      </c>
      <c r="BB3668" s="2" t="str">
        <f>IF(OR(""&amp;$F3668="2",""&amp;$F3668="4",""&amp;$F3668="G",""&amp;$F3668="H"),IF($AY3668="YES","",IF($AB3668&lt;&gt;0,"",IF(COUNTIFS('AR SALES'!$L$2:$L$2501,$L3668,'AR SALES'!$AD$2:$AD$2501,IF(""&amp;$F3668="4","OFF","ON"),'AR SALES'!$AF$2:$AF$2501,"Y")&gt;0,"","NO EXEMPTION"))),"")</f>
        <v/>
      </c>
    </row>
    <row r="3669" spans="46:54" x14ac:dyDescent="0.25">
      <c r="AT3669" s="2" t="str">
        <f>IF($L3669="","",IFERROR(INDEX('AR SALES'!$H$2:$H$2501,MATCH(""&amp;$L3669,'AR SALES'!$AE$2:$AE$2501,0)),""))</f>
        <v/>
      </c>
      <c r="AU3669" s="2" t="str">
        <f t="shared" si="228"/>
        <v/>
      </c>
      <c r="AV3669" s="2" t="str">
        <f t="shared" si="229"/>
        <v/>
      </c>
      <c r="AW3669" s="2" t="str">
        <f t="shared" si="230"/>
        <v/>
      </c>
      <c r="AX3669" s="2" t="str">
        <f t="shared" si="231"/>
        <v/>
      </c>
      <c r="AY3669" s="2" t="str">
        <f>IF($AV3669="","",IF(AND($Z3669=0,COUNTIF('AR SALES'!$L$2:$L$2501,$L3669)=0),"YES",""))</f>
        <v/>
      </c>
      <c r="AZ3669" s="2" t="str">
        <f>IF($AV3669="","",IF(COUNTIF(LISTS!$C$2:$C$250,$AU3669)=0,"NEW",""))</f>
        <v/>
      </c>
      <c r="BA3669" s="2" t="str">
        <f>IF(""&amp;$F3669&lt;&gt;"4","",IF($AY3669="YES","",IF(ROUND(SUMIFS($AE$2:$AE$4001,$L$2:$L$4001,$L3669,$F$2:$F$4001,"4")-SUMIFS('AR SALES'!$Y$2:$Y$2501,'AR SALES'!$L$2:$L$2501,$L3669,'AR SALES'!$AD$2:$AD$2501,"OFF"),2)=0,"","STALE")))</f>
        <v/>
      </c>
      <c r="BB3669" s="2" t="str">
        <f>IF(OR(""&amp;$F3669="2",""&amp;$F3669="4",""&amp;$F3669="G",""&amp;$F3669="H"),IF($AY3669="YES","",IF($AB3669&lt;&gt;0,"",IF(COUNTIFS('AR SALES'!$L$2:$L$2501,$L3669,'AR SALES'!$AD$2:$AD$2501,IF(""&amp;$F3669="4","OFF","ON"),'AR SALES'!$AF$2:$AF$2501,"Y")&gt;0,"","NO EXEMPTION"))),"")</f>
        <v/>
      </c>
    </row>
    <row r="3670" spans="46:54" x14ac:dyDescent="0.25">
      <c r="AT3670" s="2" t="str">
        <f>IF($L3670="","",IFERROR(INDEX('AR SALES'!$H$2:$H$2501,MATCH(""&amp;$L3670,'AR SALES'!$AE$2:$AE$2501,0)),""))</f>
        <v/>
      </c>
      <c r="AU3670" s="2" t="str">
        <f t="shared" si="228"/>
        <v/>
      </c>
      <c r="AV3670" s="2" t="str">
        <f t="shared" si="229"/>
        <v/>
      </c>
      <c r="AW3670" s="2" t="str">
        <f t="shared" si="230"/>
        <v/>
      </c>
      <c r="AX3670" s="2" t="str">
        <f t="shared" si="231"/>
        <v/>
      </c>
      <c r="AY3670" s="2" t="str">
        <f>IF($AV3670="","",IF(AND($Z3670=0,COUNTIF('AR SALES'!$L$2:$L$2501,$L3670)=0),"YES",""))</f>
        <v/>
      </c>
      <c r="AZ3670" s="2" t="str">
        <f>IF($AV3670="","",IF(COUNTIF(LISTS!$C$2:$C$250,$AU3670)=0,"NEW",""))</f>
        <v/>
      </c>
      <c r="BA3670" s="2" t="str">
        <f>IF(""&amp;$F3670&lt;&gt;"4","",IF($AY3670="YES","",IF(ROUND(SUMIFS($AE$2:$AE$4001,$L$2:$L$4001,$L3670,$F$2:$F$4001,"4")-SUMIFS('AR SALES'!$Y$2:$Y$2501,'AR SALES'!$L$2:$L$2501,$L3670,'AR SALES'!$AD$2:$AD$2501,"OFF"),2)=0,"","STALE")))</f>
        <v/>
      </c>
      <c r="BB3670" s="2" t="str">
        <f>IF(OR(""&amp;$F3670="2",""&amp;$F3670="4",""&amp;$F3670="G",""&amp;$F3670="H"),IF($AY3670="YES","",IF($AB3670&lt;&gt;0,"",IF(COUNTIFS('AR SALES'!$L$2:$L$2501,$L3670,'AR SALES'!$AD$2:$AD$2501,IF(""&amp;$F3670="4","OFF","ON"),'AR SALES'!$AF$2:$AF$2501,"Y")&gt;0,"","NO EXEMPTION"))),"")</f>
        <v/>
      </c>
    </row>
    <row r="3671" spans="46:54" x14ac:dyDescent="0.25">
      <c r="AT3671" s="2" t="str">
        <f>IF($L3671="","",IFERROR(INDEX('AR SALES'!$H$2:$H$2501,MATCH(""&amp;$L3671,'AR SALES'!$AE$2:$AE$2501,0)),""))</f>
        <v/>
      </c>
      <c r="AU3671" s="2" t="str">
        <f t="shared" si="228"/>
        <v/>
      </c>
      <c r="AV3671" s="2" t="str">
        <f t="shared" si="229"/>
        <v/>
      </c>
      <c r="AW3671" s="2" t="str">
        <f t="shared" si="230"/>
        <v/>
      </c>
      <c r="AX3671" s="2" t="str">
        <f t="shared" si="231"/>
        <v/>
      </c>
      <c r="AY3671" s="2" t="str">
        <f>IF($AV3671="","",IF(AND($Z3671=0,COUNTIF('AR SALES'!$L$2:$L$2501,$L3671)=0),"YES",""))</f>
        <v/>
      </c>
      <c r="AZ3671" s="2" t="str">
        <f>IF($AV3671="","",IF(COUNTIF(LISTS!$C$2:$C$250,$AU3671)=0,"NEW",""))</f>
        <v/>
      </c>
      <c r="BA3671" s="2" t="str">
        <f>IF(""&amp;$F3671&lt;&gt;"4","",IF($AY3671="YES","",IF(ROUND(SUMIFS($AE$2:$AE$4001,$L$2:$L$4001,$L3671,$F$2:$F$4001,"4")-SUMIFS('AR SALES'!$Y$2:$Y$2501,'AR SALES'!$L$2:$L$2501,$L3671,'AR SALES'!$AD$2:$AD$2501,"OFF"),2)=0,"","STALE")))</f>
        <v/>
      </c>
      <c r="BB3671" s="2" t="str">
        <f>IF(OR(""&amp;$F3671="2",""&amp;$F3671="4",""&amp;$F3671="G",""&amp;$F3671="H"),IF($AY3671="YES","",IF($AB3671&lt;&gt;0,"",IF(COUNTIFS('AR SALES'!$L$2:$L$2501,$L3671,'AR SALES'!$AD$2:$AD$2501,IF(""&amp;$F3671="4","OFF","ON"),'AR SALES'!$AF$2:$AF$2501,"Y")&gt;0,"","NO EXEMPTION"))),"")</f>
        <v/>
      </c>
    </row>
    <row r="3672" spans="46:54" x14ac:dyDescent="0.25">
      <c r="AT3672" s="2" t="str">
        <f>IF($L3672="","",IFERROR(INDEX('AR SALES'!$H$2:$H$2501,MATCH(""&amp;$L3672,'AR SALES'!$AE$2:$AE$2501,0)),""))</f>
        <v/>
      </c>
      <c r="AU3672" s="2" t="str">
        <f t="shared" si="228"/>
        <v/>
      </c>
      <c r="AV3672" s="2" t="str">
        <f t="shared" si="229"/>
        <v/>
      </c>
      <c r="AW3672" s="2" t="str">
        <f t="shared" si="230"/>
        <v/>
      </c>
      <c r="AX3672" s="2" t="str">
        <f t="shared" si="231"/>
        <v/>
      </c>
      <c r="AY3672" s="2" t="str">
        <f>IF($AV3672="","",IF(AND($Z3672=0,COUNTIF('AR SALES'!$L$2:$L$2501,$L3672)=0),"YES",""))</f>
        <v/>
      </c>
      <c r="AZ3672" s="2" t="str">
        <f>IF($AV3672="","",IF(COUNTIF(LISTS!$C$2:$C$250,$AU3672)=0,"NEW",""))</f>
        <v/>
      </c>
      <c r="BA3672" s="2" t="str">
        <f>IF(""&amp;$F3672&lt;&gt;"4","",IF($AY3672="YES","",IF(ROUND(SUMIFS($AE$2:$AE$4001,$L$2:$L$4001,$L3672,$F$2:$F$4001,"4")-SUMIFS('AR SALES'!$Y$2:$Y$2501,'AR SALES'!$L$2:$L$2501,$L3672,'AR SALES'!$AD$2:$AD$2501,"OFF"),2)=0,"","STALE")))</f>
        <v/>
      </c>
      <c r="BB3672" s="2" t="str">
        <f>IF(OR(""&amp;$F3672="2",""&amp;$F3672="4",""&amp;$F3672="G",""&amp;$F3672="H"),IF($AY3672="YES","",IF($AB3672&lt;&gt;0,"",IF(COUNTIFS('AR SALES'!$L$2:$L$2501,$L3672,'AR SALES'!$AD$2:$AD$2501,IF(""&amp;$F3672="4","OFF","ON"),'AR SALES'!$AF$2:$AF$2501,"Y")&gt;0,"","NO EXEMPTION"))),"")</f>
        <v/>
      </c>
    </row>
    <row r="3673" spans="46:54" x14ac:dyDescent="0.25">
      <c r="AT3673" s="2" t="str">
        <f>IF($L3673="","",IFERROR(INDEX('AR SALES'!$H$2:$H$2501,MATCH(""&amp;$L3673,'AR SALES'!$AE$2:$AE$2501,0)),""))</f>
        <v/>
      </c>
      <c r="AU3673" s="2" t="str">
        <f t="shared" si="228"/>
        <v/>
      </c>
      <c r="AV3673" s="2" t="str">
        <f t="shared" si="229"/>
        <v/>
      </c>
      <c r="AW3673" s="2" t="str">
        <f t="shared" si="230"/>
        <v/>
      </c>
      <c r="AX3673" s="2" t="str">
        <f t="shared" si="231"/>
        <v/>
      </c>
      <c r="AY3673" s="2" t="str">
        <f>IF($AV3673="","",IF(AND($Z3673=0,COUNTIF('AR SALES'!$L$2:$L$2501,$L3673)=0),"YES",""))</f>
        <v/>
      </c>
      <c r="AZ3673" s="2" t="str">
        <f>IF($AV3673="","",IF(COUNTIF(LISTS!$C$2:$C$250,$AU3673)=0,"NEW",""))</f>
        <v/>
      </c>
      <c r="BA3673" s="2" t="str">
        <f>IF(""&amp;$F3673&lt;&gt;"4","",IF($AY3673="YES","",IF(ROUND(SUMIFS($AE$2:$AE$4001,$L$2:$L$4001,$L3673,$F$2:$F$4001,"4")-SUMIFS('AR SALES'!$Y$2:$Y$2501,'AR SALES'!$L$2:$L$2501,$L3673,'AR SALES'!$AD$2:$AD$2501,"OFF"),2)=0,"","STALE")))</f>
        <v/>
      </c>
      <c r="BB3673" s="2" t="str">
        <f>IF(OR(""&amp;$F3673="2",""&amp;$F3673="4",""&amp;$F3673="G",""&amp;$F3673="H"),IF($AY3673="YES","",IF($AB3673&lt;&gt;0,"",IF(COUNTIFS('AR SALES'!$L$2:$L$2501,$L3673,'AR SALES'!$AD$2:$AD$2501,IF(""&amp;$F3673="4","OFF","ON"),'AR SALES'!$AF$2:$AF$2501,"Y")&gt;0,"","NO EXEMPTION"))),"")</f>
        <v/>
      </c>
    </row>
    <row r="3674" spans="46:54" x14ac:dyDescent="0.25">
      <c r="AT3674" s="2" t="str">
        <f>IF($L3674="","",IFERROR(INDEX('AR SALES'!$H$2:$H$2501,MATCH(""&amp;$L3674,'AR SALES'!$AE$2:$AE$2501,0)),""))</f>
        <v/>
      </c>
      <c r="AU3674" s="2" t="str">
        <f t="shared" si="228"/>
        <v/>
      </c>
      <c r="AV3674" s="2" t="str">
        <f t="shared" si="229"/>
        <v/>
      </c>
      <c r="AW3674" s="2" t="str">
        <f t="shared" si="230"/>
        <v/>
      </c>
      <c r="AX3674" s="2" t="str">
        <f t="shared" si="231"/>
        <v/>
      </c>
      <c r="AY3674" s="2" t="str">
        <f>IF($AV3674="","",IF(AND($Z3674=0,COUNTIF('AR SALES'!$L$2:$L$2501,$L3674)=0),"YES",""))</f>
        <v/>
      </c>
      <c r="AZ3674" s="2" t="str">
        <f>IF($AV3674="","",IF(COUNTIF(LISTS!$C$2:$C$250,$AU3674)=0,"NEW",""))</f>
        <v/>
      </c>
      <c r="BA3674" s="2" t="str">
        <f>IF(""&amp;$F3674&lt;&gt;"4","",IF($AY3674="YES","",IF(ROUND(SUMIFS($AE$2:$AE$4001,$L$2:$L$4001,$L3674,$F$2:$F$4001,"4")-SUMIFS('AR SALES'!$Y$2:$Y$2501,'AR SALES'!$L$2:$L$2501,$L3674,'AR SALES'!$AD$2:$AD$2501,"OFF"),2)=0,"","STALE")))</f>
        <v/>
      </c>
      <c r="BB3674" s="2" t="str">
        <f>IF(OR(""&amp;$F3674="2",""&amp;$F3674="4",""&amp;$F3674="G",""&amp;$F3674="H"),IF($AY3674="YES","",IF($AB3674&lt;&gt;0,"",IF(COUNTIFS('AR SALES'!$L$2:$L$2501,$L3674,'AR SALES'!$AD$2:$AD$2501,IF(""&amp;$F3674="4","OFF","ON"),'AR SALES'!$AF$2:$AF$2501,"Y")&gt;0,"","NO EXEMPTION"))),"")</f>
        <v/>
      </c>
    </row>
    <row r="3675" spans="46:54" x14ac:dyDescent="0.25">
      <c r="AT3675" s="2" t="str">
        <f>IF($L3675="","",IFERROR(INDEX('AR SALES'!$H$2:$H$2501,MATCH(""&amp;$L3675,'AR SALES'!$AE$2:$AE$2501,0)),""))</f>
        <v/>
      </c>
      <c r="AU3675" s="2" t="str">
        <f t="shared" si="228"/>
        <v/>
      </c>
      <c r="AV3675" s="2" t="str">
        <f t="shared" si="229"/>
        <v/>
      </c>
      <c r="AW3675" s="2" t="str">
        <f t="shared" si="230"/>
        <v/>
      </c>
      <c r="AX3675" s="2" t="str">
        <f t="shared" si="231"/>
        <v/>
      </c>
      <c r="AY3675" s="2" t="str">
        <f>IF($AV3675="","",IF(AND($Z3675=0,COUNTIF('AR SALES'!$L$2:$L$2501,$L3675)=0),"YES",""))</f>
        <v/>
      </c>
      <c r="AZ3675" s="2" t="str">
        <f>IF($AV3675="","",IF(COUNTIF(LISTS!$C$2:$C$250,$AU3675)=0,"NEW",""))</f>
        <v/>
      </c>
      <c r="BA3675" s="2" t="str">
        <f>IF(""&amp;$F3675&lt;&gt;"4","",IF($AY3675="YES","",IF(ROUND(SUMIFS($AE$2:$AE$4001,$L$2:$L$4001,$L3675,$F$2:$F$4001,"4")-SUMIFS('AR SALES'!$Y$2:$Y$2501,'AR SALES'!$L$2:$L$2501,$L3675,'AR SALES'!$AD$2:$AD$2501,"OFF"),2)=0,"","STALE")))</f>
        <v/>
      </c>
      <c r="BB3675" s="2" t="str">
        <f>IF(OR(""&amp;$F3675="2",""&amp;$F3675="4",""&amp;$F3675="G",""&amp;$F3675="H"),IF($AY3675="YES","",IF($AB3675&lt;&gt;0,"",IF(COUNTIFS('AR SALES'!$L$2:$L$2501,$L3675,'AR SALES'!$AD$2:$AD$2501,IF(""&amp;$F3675="4","OFF","ON"),'AR SALES'!$AF$2:$AF$2501,"Y")&gt;0,"","NO EXEMPTION"))),"")</f>
        <v/>
      </c>
    </row>
    <row r="3676" spans="46:54" x14ac:dyDescent="0.25">
      <c r="AT3676" s="2" t="str">
        <f>IF($L3676="","",IFERROR(INDEX('AR SALES'!$H$2:$H$2501,MATCH(""&amp;$L3676,'AR SALES'!$AE$2:$AE$2501,0)),""))</f>
        <v/>
      </c>
      <c r="AU3676" s="2" t="str">
        <f t="shared" si="228"/>
        <v/>
      </c>
      <c r="AV3676" s="2" t="str">
        <f t="shared" si="229"/>
        <v/>
      </c>
      <c r="AW3676" s="2" t="str">
        <f t="shared" si="230"/>
        <v/>
      </c>
      <c r="AX3676" s="2" t="str">
        <f t="shared" si="231"/>
        <v/>
      </c>
      <c r="AY3676" s="2" t="str">
        <f>IF($AV3676="","",IF(AND($Z3676=0,COUNTIF('AR SALES'!$L$2:$L$2501,$L3676)=0),"YES",""))</f>
        <v/>
      </c>
      <c r="AZ3676" s="2" t="str">
        <f>IF($AV3676="","",IF(COUNTIF(LISTS!$C$2:$C$250,$AU3676)=0,"NEW",""))</f>
        <v/>
      </c>
      <c r="BA3676" s="2" t="str">
        <f>IF(""&amp;$F3676&lt;&gt;"4","",IF($AY3676="YES","",IF(ROUND(SUMIFS($AE$2:$AE$4001,$L$2:$L$4001,$L3676,$F$2:$F$4001,"4")-SUMIFS('AR SALES'!$Y$2:$Y$2501,'AR SALES'!$L$2:$L$2501,$L3676,'AR SALES'!$AD$2:$AD$2501,"OFF"),2)=0,"","STALE")))</f>
        <v/>
      </c>
      <c r="BB3676" s="2" t="str">
        <f>IF(OR(""&amp;$F3676="2",""&amp;$F3676="4",""&amp;$F3676="G",""&amp;$F3676="H"),IF($AY3676="YES","",IF($AB3676&lt;&gt;0,"",IF(COUNTIFS('AR SALES'!$L$2:$L$2501,$L3676,'AR SALES'!$AD$2:$AD$2501,IF(""&amp;$F3676="4","OFF","ON"),'AR SALES'!$AF$2:$AF$2501,"Y")&gt;0,"","NO EXEMPTION"))),"")</f>
        <v/>
      </c>
    </row>
    <row r="3677" spans="46:54" x14ac:dyDescent="0.25">
      <c r="AT3677" s="2" t="str">
        <f>IF($L3677="","",IFERROR(INDEX('AR SALES'!$H$2:$H$2501,MATCH(""&amp;$L3677,'AR SALES'!$AE$2:$AE$2501,0)),""))</f>
        <v/>
      </c>
      <c r="AU3677" s="2" t="str">
        <f t="shared" si="228"/>
        <v/>
      </c>
      <c r="AV3677" s="2" t="str">
        <f t="shared" si="229"/>
        <v/>
      </c>
      <c r="AW3677" s="2" t="str">
        <f t="shared" si="230"/>
        <v/>
      </c>
      <c r="AX3677" s="2" t="str">
        <f t="shared" si="231"/>
        <v/>
      </c>
      <c r="AY3677" s="2" t="str">
        <f>IF($AV3677="","",IF(AND($Z3677=0,COUNTIF('AR SALES'!$L$2:$L$2501,$L3677)=0),"YES",""))</f>
        <v/>
      </c>
      <c r="AZ3677" s="2" t="str">
        <f>IF($AV3677="","",IF(COUNTIF(LISTS!$C$2:$C$250,$AU3677)=0,"NEW",""))</f>
        <v/>
      </c>
      <c r="BA3677" s="2" t="str">
        <f>IF(""&amp;$F3677&lt;&gt;"4","",IF($AY3677="YES","",IF(ROUND(SUMIFS($AE$2:$AE$4001,$L$2:$L$4001,$L3677,$F$2:$F$4001,"4")-SUMIFS('AR SALES'!$Y$2:$Y$2501,'AR SALES'!$L$2:$L$2501,$L3677,'AR SALES'!$AD$2:$AD$2501,"OFF"),2)=0,"","STALE")))</f>
        <v/>
      </c>
      <c r="BB3677" s="2" t="str">
        <f>IF(OR(""&amp;$F3677="2",""&amp;$F3677="4",""&amp;$F3677="G",""&amp;$F3677="H"),IF($AY3677="YES","",IF($AB3677&lt;&gt;0,"",IF(COUNTIFS('AR SALES'!$L$2:$L$2501,$L3677,'AR SALES'!$AD$2:$AD$2501,IF(""&amp;$F3677="4","OFF","ON"),'AR SALES'!$AF$2:$AF$2501,"Y")&gt;0,"","NO EXEMPTION"))),"")</f>
        <v/>
      </c>
    </row>
    <row r="3678" spans="46:54" x14ac:dyDescent="0.25">
      <c r="AT3678" s="2" t="str">
        <f>IF($L3678="","",IFERROR(INDEX('AR SALES'!$H$2:$H$2501,MATCH(""&amp;$L3678,'AR SALES'!$AE$2:$AE$2501,0)),""))</f>
        <v/>
      </c>
      <c r="AU3678" s="2" t="str">
        <f t="shared" si="228"/>
        <v/>
      </c>
      <c r="AV3678" s="2" t="str">
        <f t="shared" si="229"/>
        <v/>
      </c>
      <c r="AW3678" s="2" t="str">
        <f t="shared" si="230"/>
        <v/>
      </c>
      <c r="AX3678" s="2" t="str">
        <f t="shared" si="231"/>
        <v/>
      </c>
      <c r="AY3678" s="2" t="str">
        <f>IF($AV3678="","",IF(AND($Z3678=0,COUNTIF('AR SALES'!$L$2:$L$2501,$L3678)=0),"YES",""))</f>
        <v/>
      </c>
      <c r="AZ3678" s="2" t="str">
        <f>IF($AV3678="","",IF(COUNTIF(LISTS!$C$2:$C$250,$AU3678)=0,"NEW",""))</f>
        <v/>
      </c>
      <c r="BA3678" s="2" t="str">
        <f>IF(""&amp;$F3678&lt;&gt;"4","",IF($AY3678="YES","",IF(ROUND(SUMIFS($AE$2:$AE$4001,$L$2:$L$4001,$L3678,$F$2:$F$4001,"4")-SUMIFS('AR SALES'!$Y$2:$Y$2501,'AR SALES'!$L$2:$L$2501,$L3678,'AR SALES'!$AD$2:$AD$2501,"OFF"),2)=0,"","STALE")))</f>
        <v/>
      </c>
      <c r="BB3678" s="2" t="str">
        <f>IF(OR(""&amp;$F3678="2",""&amp;$F3678="4",""&amp;$F3678="G",""&amp;$F3678="H"),IF($AY3678="YES","",IF($AB3678&lt;&gt;0,"",IF(COUNTIFS('AR SALES'!$L$2:$L$2501,$L3678,'AR SALES'!$AD$2:$AD$2501,IF(""&amp;$F3678="4","OFF","ON"),'AR SALES'!$AF$2:$AF$2501,"Y")&gt;0,"","NO EXEMPTION"))),"")</f>
        <v/>
      </c>
    </row>
    <row r="3679" spans="46:54" x14ac:dyDescent="0.25">
      <c r="AT3679" s="2" t="str">
        <f>IF($L3679="","",IFERROR(INDEX('AR SALES'!$H$2:$H$2501,MATCH(""&amp;$L3679,'AR SALES'!$AE$2:$AE$2501,0)),""))</f>
        <v/>
      </c>
      <c r="AU3679" s="2" t="str">
        <f t="shared" si="228"/>
        <v/>
      </c>
      <c r="AV3679" s="2" t="str">
        <f t="shared" si="229"/>
        <v/>
      </c>
      <c r="AW3679" s="2" t="str">
        <f t="shared" si="230"/>
        <v/>
      </c>
      <c r="AX3679" s="2" t="str">
        <f t="shared" si="231"/>
        <v/>
      </c>
      <c r="AY3679" s="2" t="str">
        <f>IF($AV3679="","",IF(AND($Z3679=0,COUNTIF('AR SALES'!$L$2:$L$2501,$L3679)=0),"YES",""))</f>
        <v/>
      </c>
      <c r="AZ3679" s="2" t="str">
        <f>IF($AV3679="","",IF(COUNTIF(LISTS!$C$2:$C$250,$AU3679)=0,"NEW",""))</f>
        <v/>
      </c>
      <c r="BA3679" s="2" t="str">
        <f>IF(""&amp;$F3679&lt;&gt;"4","",IF($AY3679="YES","",IF(ROUND(SUMIFS($AE$2:$AE$4001,$L$2:$L$4001,$L3679,$F$2:$F$4001,"4")-SUMIFS('AR SALES'!$Y$2:$Y$2501,'AR SALES'!$L$2:$L$2501,$L3679,'AR SALES'!$AD$2:$AD$2501,"OFF"),2)=0,"","STALE")))</f>
        <v/>
      </c>
      <c r="BB3679" s="2" t="str">
        <f>IF(OR(""&amp;$F3679="2",""&amp;$F3679="4",""&amp;$F3679="G",""&amp;$F3679="H"),IF($AY3679="YES","",IF($AB3679&lt;&gt;0,"",IF(COUNTIFS('AR SALES'!$L$2:$L$2501,$L3679,'AR SALES'!$AD$2:$AD$2501,IF(""&amp;$F3679="4","OFF","ON"),'AR SALES'!$AF$2:$AF$2501,"Y")&gt;0,"","NO EXEMPTION"))),"")</f>
        <v/>
      </c>
    </row>
    <row r="3680" spans="46:54" x14ac:dyDescent="0.25">
      <c r="AT3680" s="2" t="str">
        <f>IF($L3680="","",IFERROR(INDEX('AR SALES'!$H$2:$H$2501,MATCH(""&amp;$L3680,'AR SALES'!$AE$2:$AE$2501,0)),""))</f>
        <v/>
      </c>
      <c r="AU3680" s="2" t="str">
        <f t="shared" si="228"/>
        <v/>
      </c>
      <c r="AV3680" s="2" t="str">
        <f t="shared" si="229"/>
        <v/>
      </c>
      <c r="AW3680" s="2" t="str">
        <f t="shared" si="230"/>
        <v/>
      </c>
      <c r="AX3680" s="2" t="str">
        <f t="shared" si="231"/>
        <v/>
      </c>
      <c r="AY3680" s="2" t="str">
        <f>IF($AV3680="","",IF(AND($Z3680=0,COUNTIF('AR SALES'!$L$2:$L$2501,$L3680)=0),"YES",""))</f>
        <v/>
      </c>
      <c r="AZ3680" s="2" t="str">
        <f>IF($AV3680="","",IF(COUNTIF(LISTS!$C$2:$C$250,$AU3680)=0,"NEW",""))</f>
        <v/>
      </c>
      <c r="BA3680" s="2" t="str">
        <f>IF(""&amp;$F3680&lt;&gt;"4","",IF($AY3680="YES","",IF(ROUND(SUMIFS($AE$2:$AE$4001,$L$2:$L$4001,$L3680,$F$2:$F$4001,"4")-SUMIFS('AR SALES'!$Y$2:$Y$2501,'AR SALES'!$L$2:$L$2501,$L3680,'AR SALES'!$AD$2:$AD$2501,"OFF"),2)=0,"","STALE")))</f>
        <v/>
      </c>
      <c r="BB3680" s="2" t="str">
        <f>IF(OR(""&amp;$F3680="2",""&amp;$F3680="4",""&amp;$F3680="G",""&amp;$F3680="H"),IF($AY3680="YES","",IF($AB3680&lt;&gt;0,"",IF(COUNTIFS('AR SALES'!$L$2:$L$2501,$L3680,'AR SALES'!$AD$2:$AD$2501,IF(""&amp;$F3680="4","OFF","ON"),'AR SALES'!$AF$2:$AF$2501,"Y")&gt;0,"","NO EXEMPTION"))),"")</f>
        <v/>
      </c>
    </row>
    <row r="3681" spans="46:54" x14ac:dyDescent="0.25">
      <c r="AT3681" s="2" t="str">
        <f>IF($L3681="","",IFERROR(INDEX('AR SALES'!$H$2:$H$2501,MATCH(""&amp;$L3681,'AR SALES'!$AE$2:$AE$2501,0)),""))</f>
        <v/>
      </c>
      <c r="AU3681" s="2" t="str">
        <f t="shared" si="228"/>
        <v/>
      </c>
      <c r="AV3681" s="2" t="str">
        <f t="shared" si="229"/>
        <v/>
      </c>
      <c r="AW3681" s="2" t="str">
        <f t="shared" si="230"/>
        <v/>
      </c>
      <c r="AX3681" s="2" t="str">
        <f t="shared" si="231"/>
        <v/>
      </c>
      <c r="AY3681" s="2" t="str">
        <f>IF($AV3681="","",IF(AND($Z3681=0,COUNTIF('AR SALES'!$L$2:$L$2501,$L3681)=0),"YES",""))</f>
        <v/>
      </c>
      <c r="AZ3681" s="2" t="str">
        <f>IF($AV3681="","",IF(COUNTIF(LISTS!$C$2:$C$250,$AU3681)=0,"NEW",""))</f>
        <v/>
      </c>
      <c r="BA3681" s="2" t="str">
        <f>IF(""&amp;$F3681&lt;&gt;"4","",IF($AY3681="YES","",IF(ROUND(SUMIFS($AE$2:$AE$4001,$L$2:$L$4001,$L3681,$F$2:$F$4001,"4")-SUMIFS('AR SALES'!$Y$2:$Y$2501,'AR SALES'!$L$2:$L$2501,$L3681,'AR SALES'!$AD$2:$AD$2501,"OFF"),2)=0,"","STALE")))</f>
        <v/>
      </c>
      <c r="BB3681" s="2" t="str">
        <f>IF(OR(""&amp;$F3681="2",""&amp;$F3681="4",""&amp;$F3681="G",""&amp;$F3681="H"),IF($AY3681="YES","",IF($AB3681&lt;&gt;0,"",IF(COUNTIFS('AR SALES'!$L$2:$L$2501,$L3681,'AR SALES'!$AD$2:$AD$2501,IF(""&amp;$F3681="4","OFF","ON"),'AR SALES'!$AF$2:$AF$2501,"Y")&gt;0,"","NO EXEMPTION"))),"")</f>
        <v/>
      </c>
    </row>
    <row r="3682" spans="46:54" x14ac:dyDescent="0.25">
      <c r="AT3682" s="2" t="str">
        <f>IF($L3682="","",IFERROR(INDEX('AR SALES'!$H$2:$H$2501,MATCH(""&amp;$L3682,'AR SALES'!$AE$2:$AE$2501,0)),""))</f>
        <v/>
      </c>
      <c r="AU3682" s="2" t="str">
        <f t="shared" si="228"/>
        <v/>
      </c>
      <c r="AV3682" s="2" t="str">
        <f t="shared" si="229"/>
        <v/>
      </c>
      <c r="AW3682" s="2" t="str">
        <f t="shared" si="230"/>
        <v/>
      </c>
      <c r="AX3682" s="2" t="str">
        <f t="shared" si="231"/>
        <v/>
      </c>
      <c r="AY3682" s="2" t="str">
        <f>IF($AV3682="","",IF(AND($Z3682=0,COUNTIF('AR SALES'!$L$2:$L$2501,$L3682)=0),"YES",""))</f>
        <v/>
      </c>
      <c r="AZ3682" s="2" t="str">
        <f>IF($AV3682="","",IF(COUNTIF(LISTS!$C$2:$C$250,$AU3682)=0,"NEW",""))</f>
        <v/>
      </c>
      <c r="BA3682" s="2" t="str">
        <f>IF(""&amp;$F3682&lt;&gt;"4","",IF($AY3682="YES","",IF(ROUND(SUMIFS($AE$2:$AE$4001,$L$2:$L$4001,$L3682,$F$2:$F$4001,"4")-SUMIFS('AR SALES'!$Y$2:$Y$2501,'AR SALES'!$L$2:$L$2501,$L3682,'AR SALES'!$AD$2:$AD$2501,"OFF"),2)=0,"","STALE")))</f>
        <v/>
      </c>
      <c r="BB3682" s="2" t="str">
        <f>IF(OR(""&amp;$F3682="2",""&amp;$F3682="4",""&amp;$F3682="G",""&amp;$F3682="H"),IF($AY3682="YES","",IF($AB3682&lt;&gt;0,"",IF(COUNTIFS('AR SALES'!$L$2:$L$2501,$L3682,'AR SALES'!$AD$2:$AD$2501,IF(""&amp;$F3682="4","OFF","ON"),'AR SALES'!$AF$2:$AF$2501,"Y")&gt;0,"","NO EXEMPTION"))),"")</f>
        <v/>
      </c>
    </row>
    <row r="3683" spans="46:54" x14ac:dyDescent="0.25">
      <c r="AT3683" s="2" t="str">
        <f>IF($L3683="","",IFERROR(INDEX('AR SALES'!$H$2:$H$2501,MATCH(""&amp;$L3683,'AR SALES'!$AE$2:$AE$2501,0)),""))</f>
        <v/>
      </c>
      <c r="AU3683" s="2" t="str">
        <f t="shared" si="228"/>
        <v/>
      </c>
      <c r="AV3683" s="2" t="str">
        <f t="shared" si="229"/>
        <v/>
      </c>
      <c r="AW3683" s="2" t="str">
        <f t="shared" si="230"/>
        <v/>
      </c>
      <c r="AX3683" s="2" t="str">
        <f t="shared" si="231"/>
        <v/>
      </c>
      <c r="AY3683" s="2" t="str">
        <f>IF($AV3683="","",IF(AND($Z3683=0,COUNTIF('AR SALES'!$L$2:$L$2501,$L3683)=0),"YES",""))</f>
        <v/>
      </c>
      <c r="AZ3683" s="2" t="str">
        <f>IF($AV3683="","",IF(COUNTIF(LISTS!$C$2:$C$250,$AU3683)=0,"NEW",""))</f>
        <v/>
      </c>
      <c r="BA3683" s="2" t="str">
        <f>IF(""&amp;$F3683&lt;&gt;"4","",IF($AY3683="YES","",IF(ROUND(SUMIFS($AE$2:$AE$4001,$L$2:$L$4001,$L3683,$F$2:$F$4001,"4")-SUMIFS('AR SALES'!$Y$2:$Y$2501,'AR SALES'!$L$2:$L$2501,$L3683,'AR SALES'!$AD$2:$AD$2501,"OFF"),2)=0,"","STALE")))</f>
        <v/>
      </c>
      <c r="BB3683" s="2" t="str">
        <f>IF(OR(""&amp;$F3683="2",""&amp;$F3683="4",""&amp;$F3683="G",""&amp;$F3683="H"),IF($AY3683="YES","",IF($AB3683&lt;&gt;0,"",IF(COUNTIFS('AR SALES'!$L$2:$L$2501,$L3683,'AR SALES'!$AD$2:$AD$2501,IF(""&amp;$F3683="4","OFF","ON"),'AR SALES'!$AF$2:$AF$2501,"Y")&gt;0,"","NO EXEMPTION"))),"")</f>
        <v/>
      </c>
    </row>
    <row r="3684" spans="46:54" x14ac:dyDescent="0.25">
      <c r="AT3684" s="2" t="str">
        <f>IF($L3684="","",IFERROR(INDEX('AR SALES'!$H$2:$H$2501,MATCH(""&amp;$L3684,'AR SALES'!$AE$2:$AE$2501,0)),""))</f>
        <v/>
      </c>
      <c r="AU3684" s="2" t="str">
        <f t="shared" si="228"/>
        <v/>
      </c>
      <c r="AV3684" s="2" t="str">
        <f t="shared" si="229"/>
        <v/>
      </c>
      <c r="AW3684" s="2" t="str">
        <f t="shared" si="230"/>
        <v/>
      </c>
      <c r="AX3684" s="2" t="str">
        <f t="shared" si="231"/>
        <v/>
      </c>
      <c r="AY3684" s="2" t="str">
        <f>IF($AV3684="","",IF(AND($Z3684=0,COUNTIF('AR SALES'!$L$2:$L$2501,$L3684)=0),"YES",""))</f>
        <v/>
      </c>
      <c r="AZ3684" s="2" t="str">
        <f>IF($AV3684="","",IF(COUNTIF(LISTS!$C$2:$C$250,$AU3684)=0,"NEW",""))</f>
        <v/>
      </c>
      <c r="BA3684" s="2" t="str">
        <f>IF(""&amp;$F3684&lt;&gt;"4","",IF($AY3684="YES","",IF(ROUND(SUMIFS($AE$2:$AE$4001,$L$2:$L$4001,$L3684,$F$2:$F$4001,"4")-SUMIFS('AR SALES'!$Y$2:$Y$2501,'AR SALES'!$L$2:$L$2501,$L3684,'AR SALES'!$AD$2:$AD$2501,"OFF"),2)=0,"","STALE")))</f>
        <v/>
      </c>
      <c r="BB3684" s="2" t="str">
        <f>IF(OR(""&amp;$F3684="2",""&amp;$F3684="4",""&amp;$F3684="G",""&amp;$F3684="H"),IF($AY3684="YES","",IF($AB3684&lt;&gt;0,"",IF(COUNTIFS('AR SALES'!$L$2:$L$2501,$L3684,'AR SALES'!$AD$2:$AD$2501,IF(""&amp;$F3684="4","OFF","ON"),'AR SALES'!$AF$2:$AF$2501,"Y")&gt;0,"","NO EXEMPTION"))),"")</f>
        <v/>
      </c>
    </row>
    <row r="3685" spans="46:54" x14ac:dyDescent="0.25">
      <c r="AT3685" s="2" t="str">
        <f>IF($L3685="","",IFERROR(INDEX('AR SALES'!$H$2:$H$2501,MATCH(""&amp;$L3685,'AR SALES'!$AE$2:$AE$2501,0)),""))</f>
        <v/>
      </c>
      <c r="AU3685" s="2" t="str">
        <f t="shared" si="228"/>
        <v/>
      </c>
      <c r="AV3685" s="2" t="str">
        <f t="shared" si="229"/>
        <v/>
      </c>
      <c r="AW3685" s="2" t="str">
        <f t="shared" si="230"/>
        <v/>
      </c>
      <c r="AX3685" s="2" t="str">
        <f t="shared" si="231"/>
        <v/>
      </c>
      <c r="AY3685" s="2" t="str">
        <f>IF($AV3685="","",IF(AND($Z3685=0,COUNTIF('AR SALES'!$L$2:$L$2501,$L3685)=0),"YES",""))</f>
        <v/>
      </c>
      <c r="AZ3685" s="2" t="str">
        <f>IF($AV3685="","",IF(COUNTIF(LISTS!$C$2:$C$250,$AU3685)=0,"NEW",""))</f>
        <v/>
      </c>
      <c r="BA3685" s="2" t="str">
        <f>IF(""&amp;$F3685&lt;&gt;"4","",IF($AY3685="YES","",IF(ROUND(SUMIFS($AE$2:$AE$4001,$L$2:$L$4001,$L3685,$F$2:$F$4001,"4")-SUMIFS('AR SALES'!$Y$2:$Y$2501,'AR SALES'!$L$2:$L$2501,$L3685,'AR SALES'!$AD$2:$AD$2501,"OFF"),2)=0,"","STALE")))</f>
        <v/>
      </c>
      <c r="BB3685" s="2" t="str">
        <f>IF(OR(""&amp;$F3685="2",""&amp;$F3685="4",""&amp;$F3685="G",""&amp;$F3685="H"),IF($AY3685="YES","",IF($AB3685&lt;&gt;0,"",IF(COUNTIFS('AR SALES'!$L$2:$L$2501,$L3685,'AR SALES'!$AD$2:$AD$2501,IF(""&amp;$F3685="4","OFF","ON"),'AR SALES'!$AF$2:$AF$2501,"Y")&gt;0,"","NO EXEMPTION"))),"")</f>
        <v/>
      </c>
    </row>
    <row r="3686" spans="46:54" x14ac:dyDescent="0.25">
      <c r="AT3686" s="2" t="str">
        <f>IF($L3686="","",IFERROR(INDEX('AR SALES'!$H$2:$H$2501,MATCH(""&amp;$L3686,'AR SALES'!$AE$2:$AE$2501,0)),""))</f>
        <v/>
      </c>
      <c r="AU3686" s="2" t="str">
        <f t="shared" si="228"/>
        <v/>
      </c>
      <c r="AV3686" s="2" t="str">
        <f t="shared" si="229"/>
        <v/>
      </c>
      <c r="AW3686" s="2" t="str">
        <f t="shared" si="230"/>
        <v/>
      </c>
      <c r="AX3686" s="2" t="str">
        <f t="shared" si="231"/>
        <v/>
      </c>
      <c r="AY3686" s="2" t="str">
        <f>IF($AV3686="","",IF(AND($Z3686=0,COUNTIF('AR SALES'!$L$2:$L$2501,$L3686)=0),"YES",""))</f>
        <v/>
      </c>
      <c r="AZ3686" s="2" t="str">
        <f>IF($AV3686="","",IF(COUNTIF(LISTS!$C$2:$C$250,$AU3686)=0,"NEW",""))</f>
        <v/>
      </c>
      <c r="BA3686" s="2" t="str">
        <f>IF(""&amp;$F3686&lt;&gt;"4","",IF($AY3686="YES","",IF(ROUND(SUMIFS($AE$2:$AE$4001,$L$2:$L$4001,$L3686,$F$2:$F$4001,"4")-SUMIFS('AR SALES'!$Y$2:$Y$2501,'AR SALES'!$L$2:$L$2501,$L3686,'AR SALES'!$AD$2:$AD$2501,"OFF"),2)=0,"","STALE")))</f>
        <v/>
      </c>
      <c r="BB3686" s="2" t="str">
        <f>IF(OR(""&amp;$F3686="2",""&amp;$F3686="4",""&amp;$F3686="G",""&amp;$F3686="H"),IF($AY3686="YES","",IF($AB3686&lt;&gt;0,"",IF(COUNTIFS('AR SALES'!$L$2:$L$2501,$L3686,'AR SALES'!$AD$2:$AD$2501,IF(""&amp;$F3686="4","OFF","ON"),'AR SALES'!$AF$2:$AF$2501,"Y")&gt;0,"","NO EXEMPTION"))),"")</f>
        <v/>
      </c>
    </row>
    <row r="3687" spans="46:54" x14ac:dyDescent="0.25">
      <c r="AT3687" s="2" t="str">
        <f>IF($L3687="","",IFERROR(INDEX('AR SALES'!$H$2:$H$2501,MATCH(""&amp;$L3687,'AR SALES'!$AE$2:$AE$2501,0)),""))</f>
        <v/>
      </c>
      <c r="AU3687" s="2" t="str">
        <f t="shared" si="228"/>
        <v/>
      </c>
      <c r="AV3687" s="2" t="str">
        <f t="shared" si="229"/>
        <v/>
      </c>
      <c r="AW3687" s="2" t="str">
        <f t="shared" si="230"/>
        <v/>
      </c>
      <c r="AX3687" s="2" t="str">
        <f t="shared" si="231"/>
        <v/>
      </c>
      <c r="AY3687" s="2" t="str">
        <f>IF($AV3687="","",IF(AND($Z3687=0,COUNTIF('AR SALES'!$L$2:$L$2501,$L3687)=0),"YES",""))</f>
        <v/>
      </c>
      <c r="AZ3687" s="2" t="str">
        <f>IF($AV3687="","",IF(COUNTIF(LISTS!$C$2:$C$250,$AU3687)=0,"NEW",""))</f>
        <v/>
      </c>
      <c r="BA3687" s="2" t="str">
        <f>IF(""&amp;$F3687&lt;&gt;"4","",IF($AY3687="YES","",IF(ROUND(SUMIFS($AE$2:$AE$4001,$L$2:$L$4001,$L3687,$F$2:$F$4001,"4")-SUMIFS('AR SALES'!$Y$2:$Y$2501,'AR SALES'!$L$2:$L$2501,$L3687,'AR SALES'!$AD$2:$AD$2501,"OFF"),2)=0,"","STALE")))</f>
        <v/>
      </c>
      <c r="BB3687" s="2" t="str">
        <f>IF(OR(""&amp;$F3687="2",""&amp;$F3687="4",""&amp;$F3687="G",""&amp;$F3687="H"),IF($AY3687="YES","",IF($AB3687&lt;&gt;0,"",IF(COUNTIFS('AR SALES'!$L$2:$L$2501,$L3687,'AR SALES'!$AD$2:$AD$2501,IF(""&amp;$F3687="4","OFF","ON"),'AR SALES'!$AF$2:$AF$2501,"Y")&gt;0,"","NO EXEMPTION"))),"")</f>
        <v/>
      </c>
    </row>
    <row r="3688" spans="46:54" x14ac:dyDescent="0.25">
      <c r="AT3688" s="2" t="str">
        <f>IF($L3688="","",IFERROR(INDEX('AR SALES'!$H$2:$H$2501,MATCH(""&amp;$L3688,'AR SALES'!$AE$2:$AE$2501,0)),""))</f>
        <v/>
      </c>
      <c r="AU3688" s="2" t="str">
        <f t="shared" si="228"/>
        <v/>
      </c>
      <c r="AV3688" s="2" t="str">
        <f t="shared" si="229"/>
        <v/>
      </c>
      <c r="AW3688" s="2" t="str">
        <f t="shared" si="230"/>
        <v/>
      </c>
      <c r="AX3688" s="2" t="str">
        <f t="shared" si="231"/>
        <v/>
      </c>
      <c r="AY3688" s="2" t="str">
        <f>IF($AV3688="","",IF(AND($Z3688=0,COUNTIF('AR SALES'!$L$2:$L$2501,$L3688)=0),"YES",""))</f>
        <v/>
      </c>
      <c r="AZ3688" s="2" t="str">
        <f>IF($AV3688="","",IF(COUNTIF(LISTS!$C$2:$C$250,$AU3688)=0,"NEW",""))</f>
        <v/>
      </c>
      <c r="BA3688" s="2" t="str">
        <f>IF(""&amp;$F3688&lt;&gt;"4","",IF($AY3688="YES","",IF(ROUND(SUMIFS($AE$2:$AE$4001,$L$2:$L$4001,$L3688,$F$2:$F$4001,"4")-SUMIFS('AR SALES'!$Y$2:$Y$2501,'AR SALES'!$L$2:$L$2501,$L3688,'AR SALES'!$AD$2:$AD$2501,"OFF"),2)=0,"","STALE")))</f>
        <v/>
      </c>
      <c r="BB3688" s="2" t="str">
        <f>IF(OR(""&amp;$F3688="2",""&amp;$F3688="4",""&amp;$F3688="G",""&amp;$F3688="H"),IF($AY3688="YES","",IF($AB3688&lt;&gt;0,"",IF(COUNTIFS('AR SALES'!$L$2:$L$2501,$L3688,'AR SALES'!$AD$2:$AD$2501,IF(""&amp;$F3688="4","OFF","ON"),'AR SALES'!$AF$2:$AF$2501,"Y")&gt;0,"","NO EXEMPTION"))),"")</f>
        <v/>
      </c>
    </row>
    <row r="3689" spans="46:54" x14ac:dyDescent="0.25">
      <c r="AT3689" s="2" t="str">
        <f>IF($L3689="","",IFERROR(INDEX('AR SALES'!$H$2:$H$2501,MATCH(""&amp;$L3689,'AR SALES'!$AE$2:$AE$2501,0)),""))</f>
        <v/>
      </c>
      <c r="AU3689" s="2" t="str">
        <f t="shared" si="228"/>
        <v/>
      </c>
      <c r="AV3689" s="2" t="str">
        <f t="shared" si="229"/>
        <v/>
      </c>
      <c r="AW3689" s="2" t="str">
        <f t="shared" si="230"/>
        <v/>
      </c>
      <c r="AX3689" s="2" t="str">
        <f t="shared" si="231"/>
        <v/>
      </c>
      <c r="AY3689" s="2" t="str">
        <f>IF($AV3689="","",IF(AND($Z3689=0,COUNTIF('AR SALES'!$L$2:$L$2501,$L3689)=0),"YES",""))</f>
        <v/>
      </c>
      <c r="AZ3689" s="2" t="str">
        <f>IF($AV3689="","",IF(COUNTIF(LISTS!$C$2:$C$250,$AU3689)=0,"NEW",""))</f>
        <v/>
      </c>
      <c r="BA3689" s="2" t="str">
        <f>IF(""&amp;$F3689&lt;&gt;"4","",IF($AY3689="YES","",IF(ROUND(SUMIFS($AE$2:$AE$4001,$L$2:$L$4001,$L3689,$F$2:$F$4001,"4")-SUMIFS('AR SALES'!$Y$2:$Y$2501,'AR SALES'!$L$2:$L$2501,$L3689,'AR SALES'!$AD$2:$AD$2501,"OFF"),2)=0,"","STALE")))</f>
        <v/>
      </c>
      <c r="BB3689" s="2" t="str">
        <f>IF(OR(""&amp;$F3689="2",""&amp;$F3689="4",""&amp;$F3689="G",""&amp;$F3689="H"),IF($AY3689="YES","",IF($AB3689&lt;&gt;0,"",IF(COUNTIFS('AR SALES'!$L$2:$L$2501,$L3689,'AR SALES'!$AD$2:$AD$2501,IF(""&amp;$F3689="4","OFF","ON"),'AR SALES'!$AF$2:$AF$2501,"Y")&gt;0,"","NO EXEMPTION"))),"")</f>
        <v/>
      </c>
    </row>
    <row r="3690" spans="46:54" x14ac:dyDescent="0.25">
      <c r="AT3690" s="2" t="str">
        <f>IF($L3690="","",IFERROR(INDEX('AR SALES'!$H$2:$H$2501,MATCH(""&amp;$L3690,'AR SALES'!$AE$2:$AE$2501,0)),""))</f>
        <v/>
      </c>
      <c r="AU3690" s="2" t="str">
        <f t="shared" si="228"/>
        <v/>
      </c>
      <c r="AV3690" s="2" t="str">
        <f t="shared" si="229"/>
        <v/>
      </c>
      <c r="AW3690" s="2" t="str">
        <f t="shared" si="230"/>
        <v/>
      </c>
      <c r="AX3690" s="2" t="str">
        <f t="shared" si="231"/>
        <v/>
      </c>
      <c r="AY3690" s="2" t="str">
        <f>IF($AV3690="","",IF(AND($Z3690=0,COUNTIF('AR SALES'!$L$2:$L$2501,$L3690)=0),"YES",""))</f>
        <v/>
      </c>
      <c r="AZ3690" s="2" t="str">
        <f>IF($AV3690="","",IF(COUNTIF(LISTS!$C$2:$C$250,$AU3690)=0,"NEW",""))</f>
        <v/>
      </c>
      <c r="BA3690" s="2" t="str">
        <f>IF(""&amp;$F3690&lt;&gt;"4","",IF($AY3690="YES","",IF(ROUND(SUMIFS($AE$2:$AE$4001,$L$2:$L$4001,$L3690,$F$2:$F$4001,"4")-SUMIFS('AR SALES'!$Y$2:$Y$2501,'AR SALES'!$L$2:$L$2501,$L3690,'AR SALES'!$AD$2:$AD$2501,"OFF"),2)=0,"","STALE")))</f>
        <v/>
      </c>
      <c r="BB3690" s="2" t="str">
        <f>IF(OR(""&amp;$F3690="2",""&amp;$F3690="4",""&amp;$F3690="G",""&amp;$F3690="H"),IF($AY3690="YES","",IF($AB3690&lt;&gt;0,"",IF(COUNTIFS('AR SALES'!$L$2:$L$2501,$L3690,'AR SALES'!$AD$2:$AD$2501,IF(""&amp;$F3690="4","OFF","ON"),'AR SALES'!$AF$2:$AF$2501,"Y")&gt;0,"","NO EXEMPTION"))),"")</f>
        <v/>
      </c>
    </row>
    <row r="3691" spans="46:54" x14ac:dyDescent="0.25">
      <c r="AT3691" s="2" t="str">
        <f>IF($L3691="","",IFERROR(INDEX('AR SALES'!$H$2:$H$2501,MATCH(""&amp;$L3691,'AR SALES'!$AE$2:$AE$2501,0)),""))</f>
        <v/>
      </c>
      <c r="AU3691" s="2" t="str">
        <f t="shared" si="228"/>
        <v/>
      </c>
      <c r="AV3691" s="2" t="str">
        <f t="shared" si="229"/>
        <v/>
      </c>
      <c r="AW3691" s="2" t="str">
        <f t="shared" si="230"/>
        <v/>
      </c>
      <c r="AX3691" s="2" t="str">
        <f t="shared" si="231"/>
        <v/>
      </c>
      <c r="AY3691" s="2" t="str">
        <f>IF($AV3691="","",IF(AND($Z3691=0,COUNTIF('AR SALES'!$L$2:$L$2501,$L3691)=0),"YES",""))</f>
        <v/>
      </c>
      <c r="AZ3691" s="2" t="str">
        <f>IF($AV3691="","",IF(COUNTIF(LISTS!$C$2:$C$250,$AU3691)=0,"NEW",""))</f>
        <v/>
      </c>
      <c r="BA3691" s="2" t="str">
        <f>IF(""&amp;$F3691&lt;&gt;"4","",IF($AY3691="YES","",IF(ROUND(SUMIFS($AE$2:$AE$4001,$L$2:$L$4001,$L3691,$F$2:$F$4001,"4")-SUMIFS('AR SALES'!$Y$2:$Y$2501,'AR SALES'!$L$2:$L$2501,$L3691,'AR SALES'!$AD$2:$AD$2501,"OFF"),2)=0,"","STALE")))</f>
        <v/>
      </c>
      <c r="BB3691" s="2" t="str">
        <f>IF(OR(""&amp;$F3691="2",""&amp;$F3691="4",""&amp;$F3691="G",""&amp;$F3691="H"),IF($AY3691="YES","",IF($AB3691&lt;&gt;0,"",IF(COUNTIFS('AR SALES'!$L$2:$L$2501,$L3691,'AR SALES'!$AD$2:$AD$2501,IF(""&amp;$F3691="4","OFF","ON"),'AR SALES'!$AF$2:$AF$2501,"Y")&gt;0,"","NO EXEMPTION"))),"")</f>
        <v/>
      </c>
    </row>
    <row r="3692" spans="46:54" x14ac:dyDescent="0.25">
      <c r="AT3692" s="2" t="str">
        <f>IF($L3692="","",IFERROR(INDEX('AR SALES'!$H$2:$H$2501,MATCH(""&amp;$L3692,'AR SALES'!$AE$2:$AE$2501,0)),""))</f>
        <v/>
      </c>
      <c r="AU3692" s="2" t="str">
        <f t="shared" si="228"/>
        <v/>
      </c>
      <c r="AV3692" s="2" t="str">
        <f t="shared" si="229"/>
        <v/>
      </c>
      <c r="AW3692" s="2" t="str">
        <f t="shared" si="230"/>
        <v/>
      </c>
      <c r="AX3692" s="2" t="str">
        <f t="shared" si="231"/>
        <v/>
      </c>
      <c r="AY3692" s="2" t="str">
        <f>IF($AV3692="","",IF(AND($Z3692=0,COUNTIF('AR SALES'!$L$2:$L$2501,$L3692)=0),"YES",""))</f>
        <v/>
      </c>
      <c r="AZ3692" s="2" t="str">
        <f>IF($AV3692="","",IF(COUNTIF(LISTS!$C$2:$C$250,$AU3692)=0,"NEW",""))</f>
        <v/>
      </c>
      <c r="BA3692" s="2" t="str">
        <f>IF(""&amp;$F3692&lt;&gt;"4","",IF($AY3692="YES","",IF(ROUND(SUMIFS($AE$2:$AE$4001,$L$2:$L$4001,$L3692,$F$2:$F$4001,"4")-SUMIFS('AR SALES'!$Y$2:$Y$2501,'AR SALES'!$L$2:$L$2501,$L3692,'AR SALES'!$AD$2:$AD$2501,"OFF"),2)=0,"","STALE")))</f>
        <v/>
      </c>
      <c r="BB3692" s="2" t="str">
        <f>IF(OR(""&amp;$F3692="2",""&amp;$F3692="4",""&amp;$F3692="G",""&amp;$F3692="H"),IF($AY3692="YES","",IF($AB3692&lt;&gt;0,"",IF(COUNTIFS('AR SALES'!$L$2:$L$2501,$L3692,'AR SALES'!$AD$2:$AD$2501,IF(""&amp;$F3692="4","OFF","ON"),'AR SALES'!$AF$2:$AF$2501,"Y")&gt;0,"","NO EXEMPTION"))),"")</f>
        <v/>
      </c>
    </row>
    <row r="3693" spans="46:54" x14ac:dyDescent="0.25">
      <c r="AT3693" s="2" t="str">
        <f>IF($L3693="","",IFERROR(INDEX('AR SALES'!$H$2:$H$2501,MATCH(""&amp;$L3693,'AR SALES'!$AE$2:$AE$2501,0)),""))</f>
        <v/>
      </c>
      <c r="AU3693" s="2" t="str">
        <f t="shared" si="228"/>
        <v/>
      </c>
      <c r="AV3693" s="2" t="str">
        <f t="shared" si="229"/>
        <v/>
      </c>
      <c r="AW3693" s="2" t="str">
        <f t="shared" si="230"/>
        <v/>
      </c>
      <c r="AX3693" s="2" t="str">
        <f t="shared" si="231"/>
        <v/>
      </c>
      <c r="AY3693" s="2" t="str">
        <f>IF($AV3693="","",IF(AND($Z3693=0,COUNTIF('AR SALES'!$L$2:$L$2501,$L3693)=0),"YES",""))</f>
        <v/>
      </c>
      <c r="AZ3693" s="2" t="str">
        <f>IF($AV3693="","",IF(COUNTIF(LISTS!$C$2:$C$250,$AU3693)=0,"NEW",""))</f>
        <v/>
      </c>
      <c r="BA3693" s="2" t="str">
        <f>IF(""&amp;$F3693&lt;&gt;"4","",IF($AY3693="YES","",IF(ROUND(SUMIFS($AE$2:$AE$4001,$L$2:$L$4001,$L3693,$F$2:$F$4001,"4")-SUMIFS('AR SALES'!$Y$2:$Y$2501,'AR SALES'!$L$2:$L$2501,$L3693,'AR SALES'!$AD$2:$AD$2501,"OFF"),2)=0,"","STALE")))</f>
        <v/>
      </c>
      <c r="BB3693" s="2" t="str">
        <f>IF(OR(""&amp;$F3693="2",""&amp;$F3693="4",""&amp;$F3693="G",""&amp;$F3693="H"),IF($AY3693="YES","",IF($AB3693&lt;&gt;0,"",IF(COUNTIFS('AR SALES'!$L$2:$L$2501,$L3693,'AR SALES'!$AD$2:$AD$2501,IF(""&amp;$F3693="4","OFF","ON"),'AR SALES'!$AF$2:$AF$2501,"Y")&gt;0,"","NO EXEMPTION"))),"")</f>
        <v/>
      </c>
    </row>
    <row r="3694" spans="46:54" x14ac:dyDescent="0.25">
      <c r="AT3694" s="2" t="str">
        <f>IF($L3694="","",IFERROR(INDEX('AR SALES'!$H$2:$H$2501,MATCH(""&amp;$L3694,'AR SALES'!$AE$2:$AE$2501,0)),""))</f>
        <v/>
      </c>
      <c r="AU3694" s="2" t="str">
        <f t="shared" si="228"/>
        <v/>
      </c>
      <c r="AV3694" s="2" t="str">
        <f t="shared" si="229"/>
        <v/>
      </c>
      <c r="AW3694" s="2" t="str">
        <f t="shared" si="230"/>
        <v/>
      </c>
      <c r="AX3694" s="2" t="str">
        <f t="shared" si="231"/>
        <v/>
      </c>
      <c r="AY3694" s="2" t="str">
        <f>IF($AV3694="","",IF(AND($Z3694=0,COUNTIF('AR SALES'!$L$2:$L$2501,$L3694)=0),"YES",""))</f>
        <v/>
      </c>
      <c r="AZ3694" s="2" t="str">
        <f>IF($AV3694="","",IF(COUNTIF(LISTS!$C$2:$C$250,$AU3694)=0,"NEW",""))</f>
        <v/>
      </c>
      <c r="BA3694" s="2" t="str">
        <f>IF(""&amp;$F3694&lt;&gt;"4","",IF($AY3694="YES","",IF(ROUND(SUMIFS($AE$2:$AE$4001,$L$2:$L$4001,$L3694,$F$2:$F$4001,"4")-SUMIFS('AR SALES'!$Y$2:$Y$2501,'AR SALES'!$L$2:$L$2501,$L3694,'AR SALES'!$AD$2:$AD$2501,"OFF"),2)=0,"","STALE")))</f>
        <v/>
      </c>
      <c r="BB3694" s="2" t="str">
        <f>IF(OR(""&amp;$F3694="2",""&amp;$F3694="4",""&amp;$F3694="G",""&amp;$F3694="H"),IF($AY3694="YES","",IF($AB3694&lt;&gt;0,"",IF(COUNTIFS('AR SALES'!$L$2:$L$2501,$L3694,'AR SALES'!$AD$2:$AD$2501,IF(""&amp;$F3694="4","OFF","ON"),'AR SALES'!$AF$2:$AF$2501,"Y")&gt;0,"","NO EXEMPTION"))),"")</f>
        <v/>
      </c>
    </row>
    <row r="3695" spans="46:54" x14ac:dyDescent="0.25">
      <c r="AT3695" s="2" t="str">
        <f>IF($L3695="","",IFERROR(INDEX('AR SALES'!$H$2:$H$2501,MATCH(""&amp;$L3695,'AR SALES'!$AE$2:$AE$2501,0)),""))</f>
        <v/>
      </c>
      <c r="AU3695" s="2" t="str">
        <f t="shared" si="228"/>
        <v/>
      </c>
      <c r="AV3695" s="2" t="str">
        <f t="shared" si="229"/>
        <v/>
      </c>
      <c r="AW3695" s="2" t="str">
        <f t="shared" si="230"/>
        <v/>
      </c>
      <c r="AX3695" s="2" t="str">
        <f t="shared" si="231"/>
        <v/>
      </c>
      <c r="AY3695" s="2" t="str">
        <f>IF($AV3695="","",IF(AND($Z3695=0,COUNTIF('AR SALES'!$L$2:$L$2501,$L3695)=0),"YES",""))</f>
        <v/>
      </c>
      <c r="AZ3695" s="2" t="str">
        <f>IF($AV3695="","",IF(COUNTIF(LISTS!$C$2:$C$250,$AU3695)=0,"NEW",""))</f>
        <v/>
      </c>
      <c r="BA3695" s="2" t="str">
        <f>IF(""&amp;$F3695&lt;&gt;"4","",IF($AY3695="YES","",IF(ROUND(SUMIFS($AE$2:$AE$4001,$L$2:$L$4001,$L3695,$F$2:$F$4001,"4")-SUMIFS('AR SALES'!$Y$2:$Y$2501,'AR SALES'!$L$2:$L$2501,$L3695,'AR SALES'!$AD$2:$AD$2501,"OFF"),2)=0,"","STALE")))</f>
        <v/>
      </c>
      <c r="BB3695" s="2" t="str">
        <f>IF(OR(""&amp;$F3695="2",""&amp;$F3695="4",""&amp;$F3695="G",""&amp;$F3695="H"),IF($AY3695="YES","",IF($AB3695&lt;&gt;0,"",IF(COUNTIFS('AR SALES'!$L$2:$L$2501,$L3695,'AR SALES'!$AD$2:$AD$2501,IF(""&amp;$F3695="4","OFF","ON"),'AR SALES'!$AF$2:$AF$2501,"Y")&gt;0,"","NO EXEMPTION"))),"")</f>
        <v/>
      </c>
    </row>
    <row r="3696" spans="46:54" x14ac:dyDescent="0.25">
      <c r="AT3696" s="2" t="str">
        <f>IF($L3696="","",IFERROR(INDEX('AR SALES'!$H$2:$H$2501,MATCH(""&amp;$L3696,'AR SALES'!$AE$2:$AE$2501,0)),""))</f>
        <v/>
      </c>
      <c r="AU3696" s="2" t="str">
        <f t="shared" si="228"/>
        <v/>
      </c>
      <c r="AV3696" s="2" t="str">
        <f t="shared" si="229"/>
        <v/>
      </c>
      <c r="AW3696" s="2" t="str">
        <f t="shared" si="230"/>
        <v/>
      </c>
      <c r="AX3696" s="2" t="str">
        <f t="shared" si="231"/>
        <v/>
      </c>
      <c r="AY3696" s="2" t="str">
        <f>IF($AV3696="","",IF(AND($Z3696=0,COUNTIF('AR SALES'!$L$2:$L$2501,$L3696)=0),"YES",""))</f>
        <v/>
      </c>
      <c r="AZ3696" s="2" t="str">
        <f>IF($AV3696="","",IF(COUNTIF(LISTS!$C$2:$C$250,$AU3696)=0,"NEW",""))</f>
        <v/>
      </c>
      <c r="BA3696" s="2" t="str">
        <f>IF(""&amp;$F3696&lt;&gt;"4","",IF($AY3696="YES","",IF(ROUND(SUMIFS($AE$2:$AE$4001,$L$2:$L$4001,$L3696,$F$2:$F$4001,"4")-SUMIFS('AR SALES'!$Y$2:$Y$2501,'AR SALES'!$L$2:$L$2501,$L3696,'AR SALES'!$AD$2:$AD$2501,"OFF"),2)=0,"","STALE")))</f>
        <v/>
      </c>
      <c r="BB3696" s="2" t="str">
        <f>IF(OR(""&amp;$F3696="2",""&amp;$F3696="4",""&amp;$F3696="G",""&amp;$F3696="H"),IF($AY3696="YES","",IF($AB3696&lt;&gt;0,"",IF(COUNTIFS('AR SALES'!$L$2:$L$2501,$L3696,'AR SALES'!$AD$2:$AD$2501,IF(""&amp;$F3696="4","OFF","ON"),'AR SALES'!$AF$2:$AF$2501,"Y")&gt;0,"","NO EXEMPTION"))),"")</f>
        <v/>
      </c>
    </row>
    <row r="3697" spans="46:54" x14ac:dyDescent="0.25">
      <c r="AT3697" s="2" t="str">
        <f>IF($L3697="","",IFERROR(INDEX('AR SALES'!$H$2:$H$2501,MATCH(""&amp;$L3697,'AR SALES'!$AE$2:$AE$2501,0)),""))</f>
        <v/>
      </c>
      <c r="AU3697" s="2" t="str">
        <f t="shared" si="228"/>
        <v/>
      </c>
      <c r="AV3697" s="2" t="str">
        <f t="shared" si="229"/>
        <v/>
      </c>
      <c r="AW3697" s="2" t="str">
        <f t="shared" si="230"/>
        <v/>
      </c>
      <c r="AX3697" s="2" t="str">
        <f t="shared" si="231"/>
        <v/>
      </c>
      <c r="AY3697" s="2" t="str">
        <f>IF($AV3697="","",IF(AND($Z3697=0,COUNTIF('AR SALES'!$L$2:$L$2501,$L3697)=0),"YES",""))</f>
        <v/>
      </c>
      <c r="AZ3697" s="2" t="str">
        <f>IF($AV3697="","",IF(COUNTIF(LISTS!$C$2:$C$250,$AU3697)=0,"NEW",""))</f>
        <v/>
      </c>
      <c r="BA3697" s="2" t="str">
        <f>IF(""&amp;$F3697&lt;&gt;"4","",IF($AY3697="YES","",IF(ROUND(SUMIFS($AE$2:$AE$4001,$L$2:$L$4001,$L3697,$F$2:$F$4001,"4")-SUMIFS('AR SALES'!$Y$2:$Y$2501,'AR SALES'!$L$2:$L$2501,$L3697,'AR SALES'!$AD$2:$AD$2501,"OFF"),2)=0,"","STALE")))</f>
        <v/>
      </c>
      <c r="BB3697" s="2" t="str">
        <f>IF(OR(""&amp;$F3697="2",""&amp;$F3697="4",""&amp;$F3697="G",""&amp;$F3697="H"),IF($AY3697="YES","",IF($AB3697&lt;&gt;0,"",IF(COUNTIFS('AR SALES'!$L$2:$L$2501,$L3697,'AR SALES'!$AD$2:$AD$2501,IF(""&amp;$F3697="4","OFF","ON"),'AR SALES'!$AF$2:$AF$2501,"Y")&gt;0,"","NO EXEMPTION"))),"")</f>
        <v/>
      </c>
    </row>
    <row r="3698" spans="46:54" x14ac:dyDescent="0.25">
      <c r="AT3698" s="2" t="str">
        <f>IF($L3698="","",IFERROR(INDEX('AR SALES'!$H$2:$H$2501,MATCH(""&amp;$L3698,'AR SALES'!$AE$2:$AE$2501,0)),""))</f>
        <v/>
      </c>
      <c r="AU3698" s="2" t="str">
        <f t="shared" si="228"/>
        <v/>
      </c>
      <c r="AV3698" s="2" t="str">
        <f t="shared" si="229"/>
        <v/>
      </c>
      <c r="AW3698" s="2" t="str">
        <f t="shared" si="230"/>
        <v/>
      </c>
      <c r="AX3698" s="2" t="str">
        <f t="shared" si="231"/>
        <v/>
      </c>
      <c r="AY3698" s="2" t="str">
        <f>IF($AV3698="","",IF(AND($Z3698=0,COUNTIF('AR SALES'!$L$2:$L$2501,$L3698)=0),"YES",""))</f>
        <v/>
      </c>
      <c r="AZ3698" s="2" t="str">
        <f>IF($AV3698="","",IF(COUNTIF(LISTS!$C$2:$C$250,$AU3698)=0,"NEW",""))</f>
        <v/>
      </c>
      <c r="BA3698" s="2" t="str">
        <f>IF(""&amp;$F3698&lt;&gt;"4","",IF($AY3698="YES","",IF(ROUND(SUMIFS($AE$2:$AE$4001,$L$2:$L$4001,$L3698,$F$2:$F$4001,"4")-SUMIFS('AR SALES'!$Y$2:$Y$2501,'AR SALES'!$L$2:$L$2501,$L3698,'AR SALES'!$AD$2:$AD$2501,"OFF"),2)=0,"","STALE")))</f>
        <v/>
      </c>
      <c r="BB3698" s="2" t="str">
        <f>IF(OR(""&amp;$F3698="2",""&amp;$F3698="4",""&amp;$F3698="G",""&amp;$F3698="H"),IF($AY3698="YES","",IF($AB3698&lt;&gt;0,"",IF(COUNTIFS('AR SALES'!$L$2:$L$2501,$L3698,'AR SALES'!$AD$2:$AD$2501,IF(""&amp;$F3698="4","OFF","ON"),'AR SALES'!$AF$2:$AF$2501,"Y")&gt;0,"","NO EXEMPTION"))),"")</f>
        <v/>
      </c>
    </row>
    <row r="3699" spans="46:54" x14ac:dyDescent="0.25">
      <c r="AT3699" s="2" t="str">
        <f>IF($L3699="","",IFERROR(INDEX('AR SALES'!$H$2:$H$2501,MATCH(""&amp;$L3699,'AR SALES'!$AE$2:$AE$2501,0)),""))</f>
        <v/>
      </c>
      <c r="AU3699" s="2" t="str">
        <f t="shared" si="228"/>
        <v/>
      </c>
      <c r="AV3699" s="2" t="str">
        <f t="shared" si="229"/>
        <v/>
      </c>
      <c r="AW3699" s="2" t="str">
        <f t="shared" si="230"/>
        <v/>
      </c>
      <c r="AX3699" s="2" t="str">
        <f t="shared" si="231"/>
        <v/>
      </c>
      <c r="AY3699" s="2" t="str">
        <f>IF($AV3699="","",IF(AND($Z3699=0,COUNTIF('AR SALES'!$L$2:$L$2501,$L3699)=0),"YES",""))</f>
        <v/>
      </c>
      <c r="AZ3699" s="2" t="str">
        <f>IF($AV3699="","",IF(COUNTIF(LISTS!$C$2:$C$250,$AU3699)=0,"NEW",""))</f>
        <v/>
      </c>
      <c r="BA3699" s="2" t="str">
        <f>IF(""&amp;$F3699&lt;&gt;"4","",IF($AY3699="YES","",IF(ROUND(SUMIFS($AE$2:$AE$4001,$L$2:$L$4001,$L3699,$F$2:$F$4001,"4")-SUMIFS('AR SALES'!$Y$2:$Y$2501,'AR SALES'!$L$2:$L$2501,$L3699,'AR SALES'!$AD$2:$AD$2501,"OFF"),2)=0,"","STALE")))</f>
        <v/>
      </c>
      <c r="BB3699" s="2" t="str">
        <f>IF(OR(""&amp;$F3699="2",""&amp;$F3699="4",""&amp;$F3699="G",""&amp;$F3699="H"),IF($AY3699="YES","",IF($AB3699&lt;&gt;0,"",IF(COUNTIFS('AR SALES'!$L$2:$L$2501,$L3699,'AR SALES'!$AD$2:$AD$2501,IF(""&amp;$F3699="4","OFF","ON"),'AR SALES'!$AF$2:$AF$2501,"Y")&gt;0,"","NO EXEMPTION"))),"")</f>
        <v/>
      </c>
    </row>
    <row r="3700" spans="46:54" x14ac:dyDescent="0.25">
      <c r="AT3700" s="2" t="str">
        <f>IF($L3700="","",IFERROR(INDEX('AR SALES'!$H$2:$H$2501,MATCH(""&amp;$L3700,'AR SALES'!$AE$2:$AE$2501,0)),""))</f>
        <v/>
      </c>
      <c r="AU3700" s="2" t="str">
        <f t="shared" si="228"/>
        <v/>
      </c>
      <c r="AV3700" s="2" t="str">
        <f t="shared" si="229"/>
        <v/>
      </c>
      <c r="AW3700" s="2" t="str">
        <f t="shared" si="230"/>
        <v/>
      </c>
      <c r="AX3700" s="2" t="str">
        <f t="shared" si="231"/>
        <v/>
      </c>
      <c r="AY3700" s="2" t="str">
        <f>IF($AV3700="","",IF(AND($Z3700=0,COUNTIF('AR SALES'!$L$2:$L$2501,$L3700)=0),"YES",""))</f>
        <v/>
      </c>
      <c r="AZ3700" s="2" t="str">
        <f>IF($AV3700="","",IF(COUNTIF(LISTS!$C$2:$C$250,$AU3700)=0,"NEW",""))</f>
        <v/>
      </c>
      <c r="BA3700" s="2" t="str">
        <f>IF(""&amp;$F3700&lt;&gt;"4","",IF($AY3700="YES","",IF(ROUND(SUMIFS($AE$2:$AE$4001,$L$2:$L$4001,$L3700,$F$2:$F$4001,"4")-SUMIFS('AR SALES'!$Y$2:$Y$2501,'AR SALES'!$L$2:$L$2501,$L3700,'AR SALES'!$AD$2:$AD$2501,"OFF"),2)=0,"","STALE")))</f>
        <v/>
      </c>
      <c r="BB3700" s="2" t="str">
        <f>IF(OR(""&amp;$F3700="2",""&amp;$F3700="4",""&amp;$F3700="G",""&amp;$F3700="H"),IF($AY3700="YES","",IF($AB3700&lt;&gt;0,"",IF(COUNTIFS('AR SALES'!$L$2:$L$2501,$L3700,'AR SALES'!$AD$2:$AD$2501,IF(""&amp;$F3700="4","OFF","ON"),'AR SALES'!$AF$2:$AF$2501,"Y")&gt;0,"","NO EXEMPTION"))),"")</f>
        <v/>
      </c>
    </row>
    <row r="3701" spans="46:54" x14ac:dyDescent="0.25">
      <c r="AT3701" s="2" t="str">
        <f>IF($L3701="","",IFERROR(INDEX('AR SALES'!$H$2:$H$2501,MATCH(""&amp;$L3701,'AR SALES'!$AE$2:$AE$2501,0)),""))</f>
        <v/>
      </c>
      <c r="AU3701" s="2" t="str">
        <f t="shared" si="228"/>
        <v/>
      </c>
      <c r="AV3701" s="2" t="str">
        <f t="shared" si="229"/>
        <v/>
      </c>
      <c r="AW3701" s="2" t="str">
        <f t="shared" si="230"/>
        <v/>
      </c>
      <c r="AX3701" s="2" t="str">
        <f t="shared" si="231"/>
        <v/>
      </c>
      <c r="AY3701" s="2" t="str">
        <f>IF($AV3701="","",IF(AND($Z3701=0,COUNTIF('AR SALES'!$L$2:$L$2501,$L3701)=0),"YES",""))</f>
        <v/>
      </c>
      <c r="AZ3701" s="2" t="str">
        <f>IF($AV3701="","",IF(COUNTIF(LISTS!$C$2:$C$250,$AU3701)=0,"NEW",""))</f>
        <v/>
      </c>
      <c r="BA3701" s="2" t="str">
        <f>IF(""&amp;$F3701&lt;&gt;"4","",IF($AY3701="YES","",IF(ROUND(SUMIFS($AE$2:$AE$4001,$L$2:$L$4001,$L3701,$F$2:$F$4001,"4")-SUMIFS('AR SALES'!$Y$2:$Y$2501,'AR SALES'!$L$2:$L$2501,$L3701,'AR SALES'!$AD$2:$AD$2501,"OFF"),2)=0,"","STALE")))</f>
        <v/>
      </c>
      <c r="BB3701" s="2" t="str">
        <f>IF(OR(""&amp;$F3701="2",""&amp;$F3701="4",""&amp;$F3701="G",""&amp;$F3701="H"),IF($AY3701="YES","",IF($AB3701&lt;&gt;0,"",IF(COUNTIFS('AR SALES'!$L$2:$L$2501,$L3701,'AR SALES'!$AD$2:$AD$2501,IF(""&amp;$F3701="4","OFF","ON"),'AR SALES'!$AF$2:$AF$2501,"Y")&gt;0,"","NO EXEMPTION"))),"")</f>
        <v/>
      </c>
    </row>
    <row r="3702" spans="46:54" x14ac:dyDescent="0.25">
      <c r="AT3702" s="2" t="str">
        <f>IF($L3702="","",IFERROR(INDEX('AR SALES'!$H$2:$H$2501,MATCH(""&amp;$L3702,'AR SALES'!$AE$2:$AE$2501,0)),""))</f>
        <v/>
      </c>
      <c r="AU3702" s="2" t="str">
        <f t="shared" si="228"/>
        <v/>
      </c>
      <c r="AV3702" s="2" t="str">
        <f t="shared" si="229"/>
        <v/>
      </c>
      <c r="AW3702" s="2" t="str">
        <f t="shared" si="230"/>
        <v/>
      </c>
      <c r="AX3702" s="2" t="str">
        <f t="shared" si="231"/>
        <v/>
      </c>
      <c r="AY3702" s="2" t="str">
        <f>IF($AV3702="","",IF(AND($Z3702=0,COUNTIF('AR SALES'!$L$2:$L$2501,$L3702)=0),"YES",""))</f>
        <v/>
      </c>
      <c r="AZ3702" s="2" t="str">
        <f>IF($AV3702="","",IF(COUNTIF(LISTS!$C$2:$C$250,$AU3702)=0,"NEW",""))</f>
        <v/>
      </c>
      <c r="BA3702" s="2" t="str">
        <f>IF(""&amp;$F3702&lt;&gt;"4","",IF($AY3702="YES","",IF(ROUND(SUMIFS($AE$2:$AE$4001,$L$2:$L$4001,$L3702,$F$2:$F$4001,"4")-SUMIFS('AR SALES'!$Y$2:$Y$2501,'AR SALES'!$L$2:$L$2501,$L3702,'AR SALES'!$AD$2:$AD$2501,"OFF"),2)=0,"","STALE")))</f>
        <v/>
      </c>
      <c r="BB3702" s="2" t="str">
        <f>IF(OR(""&amp;$F3702="2",""&amp;$F3702="4",""&amp;$F3702="G",""&amp;$F3702="H"),IF($AY3702="YES","",IF($AB3702&lt;&gt;0,"",IF(COUNTIFS('AR SALES'!$L$2:$L$2501,$L3702,'AR SALES'!$AD$2:$AD$2501,IF(""&amp;$F3702="4","OFF","ON"),'AR SALES'!$AF$2:$AF$2501,"Y")&gt;0,"","NO EXEMPTION"))),"")</f>
        <v/>
      </c>
    </row>
    <row r="3703" spans="46:54" x14ac:dyDescent="0.25">
      <c r="AT3703" s="2" t="str">
        <f>IF($L3703="","",IFERROR(INDEX('AR SALES'!$H$2:$H$2501,MATCH(""&amp;$L3703,'AR SALES'!$AE$2:$AE$2501,0)),""))</f>
        <v/>
      </c>
      <c r="AU3703" s="2" t="str">
        <f t="shared" si="228"/>
        <v/>
      </c>
      <c r="AV3703" s="2" t="str">
        <f t="shared" si="229"/>
        <v/>
      </c>
      <c r="AW3703" s="2" t="str">
        <f t="shared" si="230"/>
        <v/>
      </c>
      <c r="AX3703" s="2" t="str">
        <f t="shared" si="231"/>
        <v/>
      </c>
      <c r="AY3703" s="2" t="str">
        <f>IF($AV3703="","",IF(AND($Z3703=0,COUNTIF('AR SALES'!$L$2:$L$2501,$L3703)=0),"YES",""))</f>
        <v/>
      </c>
      <c r="AZ3703" s="2" t="str">
        <f>IF($AV3703="","",IF(COUNTIF(LISTS!$C$2:$C$250,$AU3703)=0,"NEW",""))</f>
        <v/>
      </c>
      <c r="BA3703" s="2" t="str">
        <f>IF(""&amp;$F3703&lt;&gt;"4","",IF($AY3703="YES","",IF(ROUND(SUMIFS($AE$2:$AE$4001,$L$2:$L$4001,$L3703,$F$2:$F$4001,"4")-SUMIFS('AR SALES'!$Y$2:$Y$2501,'AR SALES'!$L$2:$L$2501,$L3703,'AR SALES'!$AD$2:$AD$2501,"OFF"),2)=0,"","STALE")))</f>
        <v/>
      </c>
      <c r="BB3703" s="2" t="str">
        <f>IF(OR(""&amp;$F3703="2",""&amp;$F3703="4",""&amp;$F3703="G",""&amp;$F3703="H"),IF($AY3703="YES","",IF($AB3703&lt;&gt;0,"",IF(COUNTIFS('AR SALES'!$L$2:$L$2501,$L3703,'AR SALES'!$AD$2:$AD$2501,IF(""&amp;$F3703="4","OFF","ON"),'AR SALES'!$AF$2:$AF$2501,"Y")&gt;0,"","NO EXEMPTION"))),"")</f>
        <v/>
      </c>
    </row>
    <row r="3704" spans="46:54" x14ac:dyDescent="0.25">
      <c r="AT3704" s="2" t="str">
        <f>IF($L3704="","",IFERROR(INDEX('AR SALES'!$H$2:$H$2501,MATCH(""&amp;$L3704,'AR SALES'!$AE$2:$AE$2501,0)),""))</f>
        <v/>
      </c>
      <c r="AU3704" s="2" t="str">
        <f t="shared" si="228"/>
        <v/>
      </c>
      <c r="AV3704" s="2" t="str">
        <f t="shared" si="229"/>
        <v/>
      </c>
      <c r="AW3704" s="2" t="str">
        <f t="shared" si="230"/>
        <v/>
      </c>
      <c r="AX3704" s="2" t="str">
        <f t="shared" si="231"/>
        <v/>
      </c>
      <c r="AY3704" s="2" t="str">
        <f>IF($AV3704="","",IF(AND($Z3704=0,COUNTIF('AR SALES'!$L$2:$L$2501,$L3704)=0),"YES",""))</f>
        <v/>
      </c>
      <c r="AZ3704" s="2" t="str">
        <f>IF($AV3704="","",IF(COUNTIF(LISTS!$C$2:$C$250,$AU3704)=0,"NEW",""))</f>
        <v/>
      </c>
      <c r="BA3704" s="2" t="str">
        <f>IF(""&amp;$F3704&lt;&gt;"4","",IF($AY3704="YES","",IF(ROUND(SUMIFS($AE$2:$AE$4001,$L$2:$L$4001,$L3704,$F$2:$F$4001,"4")-SUMIFS('AR SALES'!$Y$2:$Y$2501,'AR SALES'!$L$2:$L$2501,$L3704,'AR SALES'!$AD$2:$AD$2501,"OFF"),2)=0,"","STALE")))</f>
        <v/>
      </c>
      <c r="BB3704" s="2" t="str">
        <f>IF(OR(""&amp;$F3704="2",""&amp;$F3704="4",""&amp;$F3704="G",""&amp;$F3704="H"),IF($AY3704="YES","",IF($AB3704&lt;&gt;0,"",IF(COUNTIFS('AR SALES'!$L$2:$L$2501,$L3704,'AR SALES'!$AD$2:$AD$2501,IF(""&amp;$F3704="4","OFF","ON"),'AR SALES'!$AF$2:$AF$2501,"Y")&gt;0,"","NO EXEMPTION"))),"")</f>
        <v/>
      </c>
    </row>
    <row r="3705" spans="46:54" x14ac:dyDescent="0.25">
      <c r="AT3705" s="2" t="str">
        <f>IF($L3705="","",IFERROR(INDEX('AR SALES'!$H$2:$H$2501,MATCH(""&amp;$L3705,'AR SALES'!$AE$2:$AE$2501,0)),""))</f>
        <v/>
      </c>
      <c r="AU3705" s="2" t="str">
        <f t="shared" si="228"/>
        <v/>
      </c>
      <c r="AV3705" s="2" t="str">
        <f t="shared" si="229"/>
        <v/>
      </c>
      <c r="AW3705" s="2" t="str">
        <f t="shared" si="230"/>
        <v/>
      </c>
      <c r="AX3705" s="2" t="str">
        <f t="shared" si="231"/>
        <v/>
      </c>
      <c r="AY3705" s="2" t="str">
        <f>IF($AV3705="","",IF(AND($Z3705=0,COUNTIF('AR SALES'!$L$2:$L$2501,$L3705)=0),"YES",""))</f>
        <v/>
      </c>
      <c r="AZ3705" s="2" t="str">
        <f>IF($AV3705="","",IF(COUNTIF(LISTS!$C$2:$C$250,$AU3705)=0,"NEW",""))</f>
        <v/>
      </c>
      <c r="BA3705" s="2" t="str">
        <f>IF(""&amp;$F3705&lt;&gt;"4","",IF($AY3705="YES","",IF(ROUND(SUMIFS($AE$2:$AE$4001,$L$2:$L$4001,$L3705,$F$2:$F$4001,"4")-SUMIFS('AR SALES'!$Y$2:$Y$2501,'AR SALES'!$L$2:$L$2501,$L3705,'AR SALES'!$AD$2:$AD$2501,"OFF"),2)=0,"","STALE")))</f>
        <v/>
      </c>
      <c r="BB3705" s="2" t="str">
        <f>IF(OR(""&amp;$F3705="2",""&amp;$F3705="4",""&amp;$F3705="G",""&amp;$F3705="H"),IF($AY3705="YES","",IF($AB3705&lt;&gt;0,"",IF(COUNTIFS('AR SALES'!$L$2:$L$2501,$L3705,'AR SALES'!$AD$2:$AD$2501,IF(""&amp;$F3705="4","OFF","ON"),'AR SALES'!$AF$2:$AF$2501,"Y")&gt;0,"","NO EXEMPTION"))),"")</f>
        <v/>
      </c>
    </row>
    <row r="3706" spans="46:54" x14ac:dyDescent="0.25">
      <c r="AT3706" s="2" t="str">
        <f>IF($L3706="","",IFERROR(INDEX('AR SALES'!$H$2:$H$2501,MATCH(""&amp;$L3706,'AR SALES'!$AE$2:$AE$2501,0)),""))</f>
        <v/>
      </c>
      <c r="AU3706" s="2" t="str">
        <f t="shared" si="228"/>
        <v/>
      </c>
      <c r="AV3706" s="2" t="str">
        <f t="shared" si="229"/>
        <v/>
      </c>
      <c r="AW3706" s="2" t="str">
        <f t="shared" si="230"/>
        <v/>
      </c>
      <c r="AX3706" s="2" t="str">
        <f t="shared" si="231"/>
        <v/>
      </c>
      <c r="AY3706" s="2" t="str">
        <f>IF($AV3706="","",IF(AND($Z3706=0,COUNTIF('AR SALES'!$L$2:$L$2501,$L3706)=0),"YES",""))</f>
        <v/>
      </c>
      <c r="AZ3706" s="2" t="str">
        <f>IF($AV3706="","",IF(COUNTIF(LISTS!$C$2:$C$250,$AU3706)=0,"NEW",""))</f>
        <v/>
      </c>
      <c r="BA3706" s="2" t="str">
        <f>IF(""&amp;$F3706&lt;&gt;"4","",IF($AY3706="YES","",IF(ROUND(SUMIFS($AE$2:$AE$4001,$L$2:$L$4001,$L3706,$F$2:$F$4001,"4")-SUMIFS('AR SALES'!$Y$2:$Y$2501,'AR SALES'!$L$2:$L$2501,$L3706,'AR SALES'!$AD$2:$AD$2501,"OFF"),2)=0,"","STALE")))</f>
        <v/>
      </c>
      <c r="BB3706" s="2" t="str">
        <f>IF(OR(""&amp;$F3706="2",""&amp;$F3706="4",""&amp;$F3706="G",""&amp;$F3706="H"),IF($AY3706="YES","",IF($AB3706&lt;&gt;0,"",IF(COUNTIFS('AR SALES'!$L$2:$L$2501,$L3706,'AR SALES'!$AD$2:$AD$2501,IF(""&amp;$F3706="4","OFF","ON"),'AR SALES'!$AF$2:$AF$2501,"Y")&gt;0,"","NO EXEMPTION"))),"")</f>
        <v/>
      </c>
    </row>
    <row r="3707" spans="46:54" x14ac:dyDescent="0.25">
      <c r="AT3707" s="2" t="str">
        <f>IF($L3707="","",IFERROR(INDEX('AR SALES'!$H$2:$H$2501,MATCH(""&amp;$L3707,'AR SALES'!$AE$2:$AE$2501,0)),""))</f>
        <v/>
      </c>
      <c r="AU3707" s="2" t="str">
        <f t="shared" si="228"/>
        <v/>
      </c>
      <c r="AV3707" s="2" t="str">
        <f t="shared" si="229"/>
        <v/>
      </c>
      <c r="AW3707" s="2" t="str">
        <f t="shared" si="230"/>
        <v/>
      </c>
      <c r="AX3707" s="2" t="str">
        <f t="shared" si="231"/>
        <v/>
      </c>
      <c r="AY3707" s="2" t="str">
        <f>IF($AV3707="","",IF(AND($Z3707=0,COUNTIF('AR SALES'!$L$2:$L$2501,$L3707)=0),"YES",""))</f>
        <v/>
      </c>
      <c r="AZ3707" s="2" t="str">
        <f>IF($AV3707="","",IF(COUNTIF(LISTS!$C$2:$C$250,$AU3707)=0,"NEW",""))</f>
        <v/>
      </c>
      <c r="BA3707" s="2" t="str">
        <f>IF(""&amp;$F3707&lt;&gt;"4","",IF($AY3707="YES","",IF(ROUND(SUMIFS($AE$2:$AE$4001,$L$2:$L$4001,$L3707,$F$2:$F$4001,"4")-SUMIFS('AR SALES'!$Y$2:$Y$2501,'AR SALES'!$L$2:$L$2501,$L3707,'AR SALES'!$AD$2:$AD$2501,"OFF"),2)=0,"","STALE")))</f>
        <v/>
      </c>
      <c r="BB3707" s="2" t="str">
        <f>IF(OR(""&amp;$F3707="2",""&amp;$F3707="4",""&amp;$F3707="G",""&amp;$F3707="H"),IF($AY3707="YES","",IF($AB3707&lt;&gt;0,"",IF(COUNTIFS('AR SALES'!$L$2:$L$2501,$L3707,'AR SALES'!$AD$2:$AD$2501,IF(""&amp;$F3707="4","OFF","ON"),'AR SALES'!$AF$2:$AF$2501,"Y")&gt;0,"","NO EXEMPTION"))),"")</f>
        <v/>
      </c>
    </row>
    <row r="3708" spans="46:54" x14ac:dyDescent="0.25">
      <c r="AT3708" s="2" t="str">
        <f>IF($L3708="","",IFERROR(INDEX('AR SALES'!$H$2:$H$2501,MATCH(""&amp;$L3708,'AR SALES'!$AE$2:$AE$2501,0)),""))</f>
        <v/>
      </c>
      <c r="AU3708" s="2" t="str">
        <f t="shared" si="228"/>
        <v/>
      </c>
      <c r="AV3708" s="2" t="str">
        <f t="shared" si="229"/>
        <v/>
      </c>
      <c r="AW3708" s="2" t="str">
        <f t="shared" si="230"/>
        <v/>
      </c>
      <c r="AX3708" s="2" t="str">
        <f t="shared" si="231"/>
        <v/>
      </c>
      <c r="AY3708" s="2" t="str">
        <f>IF($AV3708="","",IF(AND($Z3708=0,COUNTIF('AR SALES'!$L$2:$L$2501,$L3708)=0),"YES",""))</f>
        <v/>
      </c>
      <c r="AZ3708" s="2" t="str">
        <f>IF($AV3708="","",IF(COUNTIF(LISTS!$C$2:$C$250,$AU3708)=0,"NEW",""))</f>
        <v/>
      </c>
      <c r="BA3708" s="2" t="str">
        <f>IF(""&amp;$F3708&lt;&gt;"4","",IF($AY3708="YES","",IF(ROUND(SUMIFS($AE$2:$AE$4001,$L$2:$L$4001,$L3708,$F$2:$F$4001,"4")-SUMIFS('AR SALES'!$Y$2:$Y$2501,'AR SALES'!$L$2:$L$2501,$L3708,'AR SALES'!$AD$2:$AD$2501,"OFF"),2)=0,"","STALE")))</f>
        <v/>
      </c>
      <c r="BB3708" s="2" t="str">
        <f>IF(OR(""&amp;$F3708="2",""&amp;$F3708="4",""&amp;$F3708="G",""&amp;$F3708="H"),IF($AY3708="YES","",IF($AB3708&lt;&gt;0,"",IF(COUNTIFS('AR SALES'!$L$2:$L$2501,$L3708,'AR SALES'!$AD$2:$AD$2501,IF(""&amp;$F3708="4","OFF","ON"),'AR SALES'!$AF$2:$AF$2501,"Y")&gt;0,"","NO EXEMPTION"))),"")</f>
        <v/>
      </c>
    </row>
    <row r="3709" spans="46:54" x14ac:dyDescent="0.25">
      <c r="AT3709" s="2" t="str">
        <f>IF($L3709="","",IFERROR(INDEX('AR SALES'!$H$2:$H$2501,MATCH(""&amp;$L3709,'AR SALES'!$AE$2:$AE$2501,0)),""))</f>
        <v/>
      </c>
      <c r="AU3709" s="2" t="str">
        <f t="shared" si="228"/>
        <v/>
      </c>
      <c r="AV3709" s="2" t="str">
        <f t="shared" si="229"/>
        <v/>
      </c>
      <c r="AW3709" s="2" t="str">
        <f t="shared" si="230"/>
        <v/>
      </c>
      <c r="AX3709" s="2" t="str">
        <f t="shared" si="231"/>
        <v/>
      </c>
      <c r="AY3709" s="2" t="str">
        <f>IF($AV3709="","",IF(AND($Z3709=0,COUNTIF('AR SALES'!$L$2:$L$2501,$L3709)=0),"YES",""))</f>
        <v/>
      </c>
      <c r="AZ3709" s="2" t="str">
        <f>IF($AV3709="","",IF(COUNTIF(LISTS!$C$2:$C$250,$AU3709)=0,"NEW",""))</f>
        <v/>
      </c>
      <c r="BA3709" s="2" t="str">
        <f>IF(""&amp;$F3709&lt;&gt;"4","",IF($AY3709="YES","",IF(ROUND(SUMIFS($AE$2:$AE$4001,$L$2:$L$4001,$L3709,$F$2:$F$4001,"4")-SUMIFS('AR SALES'!$Y$2:$Y$2501,'AR SALES'!$L$2:$L$2501,$L3709,'AR SALES'!$AD$2:$AD$2501,"OFF"),2)=0,"","STALE")))</f>
        <v/>
      </c>
      <c r="BB3709" s="2" t="str">
        <f>IF(OR(""&amp;$F3709="2",""&amp;$F3709="4",""&amp;$F3709="G",""&amp;$F3709="H"),IF($AY3709="YES","",IF($AB3709&lt;&gt;0,"",IF(COUNTIFS('AR SALES'!$L$2:$L$2501,$L3709,'AR SALES'!$AD$2:$AD$2501,IF(""&amp;$F3709="4","OFF","ON"),'AR SALES'!$AF$2:$AF$2501,"Y")&gt;0,"","NO EXEMPTION"))),"")</f>
        <v/>
      </c>
    </row>
    <row r="3710" spans="46:54" x14ac:dyDescent="0.25">
      <c r="AT3710" s="2" t="str">
        <f>IF($L3710="","",IFERROR(INDEX('AR SALES'!$H$2:$H$2501,MATCH(""&amp;$L3710,'AR SALES'!$AE$2:$AE$2501,0)),""))</f>
        <v/>
      </c>
      <c r="AU3710" s="2" t="str">
        <f t="shared" si="228"/>
        <v/>
      </c>
      <c r="AV3710" s="2" t="str">
        <f t="shared" si="229"/>
        <v/>
      </c>
      <c r="AW3710" s="2" t="str">
        <f t="shared" si="230"/>
        <v/>
      </c>
      <c r="AX3710" s="2" t="str">
        <f t="shared" si="231"/>
        <v/>
      </c>
      <c r="AY3710" s="2" t="str">
        <f>IF($AV3710="","",IF(AND($Z3710=0,COUNTIF('AR SALES'!$L$2:$L$2501,$L3710)=0),"YES",""))</f>
        <v/>
      </c>
      <c r="AZ3710" s="2" t="str">
        <f>IF($AV3710="","",IF(COUNTIF(LISTS!$C$2:$C$250,$AU3710)=0,"NEW",""))</f>
        <v/>
      </c>
      <c r="BA3710" s="2" t="str">
        <f>IF(""&amp;$F3710&lt;&gt;"4","",IF($AY3710="YES","",IF(ROUND(SUMIFS($AE$2:$AE$4001,$L$2:$L$4001,$L3710,$F$2:$F$4001,"4")-SUMIFS('AR SALES'!$Y$2:$Y$2501,'AR SALES'!$L$2:$L$2501,$L3710,'AR SALES'!$AD$2:$AD$2501,"OFF"),2)=0,"","STALE")))</f>
        <v/>
      </c>
      <c r="BB3710" s="2" t="str">
        <f>IF(OR(""&amp;$F3710="2",""&amp;$F3710="4",""&amp;$F3710="G",""&amp;$F3710="H"),IF($AY3710="YES","",IF($AB3710&lt;&gt;0,"",IF(COUNTIFS('AR SALES'!$L$2:$L$2501,$L3710,'AR SALES'!$AD$2:$AD$2501,IF(""&amp;$F3710="4","OFF","ON"),'AR SALES'!$AF$2:$AF$2501,"Y")&gt;0,"","NO EXEMPTION"))),"")</f>
        <v/>
      </c>
    </row>
    <row r="3711" spans="46:54" x14ac:dyDescent="0.25">
      <c r="AT3711" s="2" t="str">
        <f>IF($L3711="","",IFERROR(INDEX('AR SALES'!$H$2:$H$2501,MATCH(""&amp;$L3711,'AR SALES'!$AE$2:$AE$2501,0)),""))</f>
        <v/>
      </c>
      <c r="AU3711" s="2" t="str">
        <f t="shared" si="228"/>
        <v/>
      </c>
      <c r="AV3711" s="2" t="str">
        <f t="shared" si="229"/>
        <v/>
      </c>
      <c r="AW3711" s="2" t="str">
        <f t="shared" si="230"/>
        <v/>
      </c>
      <c r="AX3711" s="2" t="str">
        <f t="shared" si="231"/>
        <v/>
      </c>
      <c r="AY3711" s="2" t="str">
        <f>IF($AV3711="","",IF(AND($Z3711=0,COUNTIF('AR SALES'!$L$2:$L$2501,$L3711)=0),"YES",""))</f>
        <v/>
      </c>
      <c r="AZ3711" s="2" t="str">
        <f>IF($AV3711="","",IF(COUNTIF(LISTS!$C$2:$C$250,$AU3711)=0,"NEW",""))</f>
        <v/>
      </c>
      <c r="BA3711" s="2" t="str">
        <f>IF(""&amp;$F3711&lt;&gt;"4","",IF($AY3711="YES","",IF(ROUND(SUMIFS($AE$2:$AE$4001,$L$2:$L$4001,$L3711,$F$2:$F$4001,"4")-SUMIFS('AR SALES'!$Y$2:$Y$2501,'AR SALES'!$L$2:$L$2501,$L3711,'AR SALES'!$AD$2:$AD$2501,"OFF"),2)=0,"","STALE")))</f>
        <v/>
      </c>
      <c r="BB3711" s="2" t="str">
        <f>IF(OR(""&amp;$F3711="2",""&amp;$F3711="4",""&amp;$F3711="G",""&amp;$F3711="H"),IF($AY3711="YES","",IF($AB3711&lt;&gt;0,"",IF(COUNTIFS('AR SALES'!$L$2:$L$2501,$L3711,'AR SALES'!$AD$2:$AD$2501,IF(""&amp;$F3711="4","OFF","ON"),'AR SALES'!$AF$2:$AF$2501,"Y")&gt;0,"","NO EXEMPTION"))),"")</f>
        <v/>
      </c>
    </row>
    <row r="3712" spans="46:54" x14ac:dyDescent="0.25">
      <c r="AT3712" s="2" t="str">
        <f>IF($L3712="","",IFERROR(INDEX('AR SALES'!$H$2:$H$2501,MATCH(""&amp;$L3712,'AR SALES'!$AE$2:$AE$2501,0)),""))</f>
        <v/>
      </c>
      <c r="AU3712" s="2" t="str">
        <f t="shared" si="228"/>
        <v/>
      </c>
      <c r="AV3712" s="2" t="str">
        <f t="shared" si="229"/>
        <v/>
      </c>
      <c r="AW3712" s="2" t="str">
        <f t="shared" si="230"/>
        <v/>
      </c>
      <c r="AX3712" s="2" t="str">
        <f t="shared" si="231"/>
        <v/>
      </c>
      <c r="AY3712" s="2" t="str">
        <f>IF($AV3712="","",IF(AND($Z3712=0,COUNTIF('AR SALES'!$L$2:$L$2501,$L3712)=0),"YES",""))</f>
        <v/>
      </c>
      <c r="AZ3712" s="2" t="str">
        <f>IF($AV3712="","",IF(COUNTIF(LISTS!$C$2:$C$250,$AU3712)=0,"NEW",""))</f>
        <v/>
      </c>
      <c r="BA3712" s="2" t="str">
        <f>IF(""&amp;$F3712&lt;&gt;"4","",IF($AY3712="YES","",IF(ROUND(SUMIFS($AE$2:$AE$4001,$L$2:$L$4001,$L3712,$F$2:$F$4001,"4")-SUMIFS('AR SALES'!$Y$2:$Y$2501,'AR SALES'!$L$2:$L$2501,$L3712,'AR SALES'!$AD$2:$AD$2501,"OFF"),2)=0,"","STALE")))</f>
        <v/>
      </c>
      <c r="BB3712" s="2" t="str">
        <f>IF(OR(""&amp;$F3712="2",""&amp;$F3712="4",""&amp;$F3712="G",""&amp;$F3712="H"),IF($AY3712="YES","",IF($AB3712&lt;&gt;0,"",IF(COUNTIFS('AR SALES'!$L$2:$L$2501,$L3712,'AR SALES'!$AD$2:$AD$2501,IF(""&amp;$F3712="4","OFF","ON"),'AR SALES'!$AF$2:$AF$2501,"Y")&gt;0,"","NO EXEMPTION"))),"")</f>
        <v/>
      </c>
    </row>
    <row r="3713" spans="46:54" x14ac:dyDescent="0.25">
      <c r="AT3713" s="2" t="str">
        <f>IF($L3713="","",IFERROR(INDEX('AR SALES'!$H$2:$H$2501,MATCH(""&amp;$L3713,'AR SALES'!$AE$2:$AE$2501,0)),""))</f>
        <v/>
      </c>
      <c r="AU3713" s="2" t="str">
        <f t="shared" si="228"/>
        <v/>
      </c>
      <c r="AV3713" s="2" t="str">
        <f t="shared" si="229"/>
        <v/>
      </c>
      <c r="AW3713" s="2" t="str">
        <f t="shared" si="230"/>
        <v/>
      </c>
      <c r="AX3713" s="2" t="str">
        <f t="shared" si="231"/>
        <v/>
      </c>
      <c r="AY3713" s="2" t="str">
        <f>IF($AV3713="","",IF(AND($Z3713=0,COUNTIF('AR SALES'!$L$2:$L$2501,$L3713)=0),"YES",""))</f>
        <v/>
      </c>
      <c r="AZ3713" s="2" t="str">
        <f>IF($AV3713="","",IF(COUNTIF(LISTS!$C$2:$C$250,$AU3713)=0,"NEW",""))</f>
        <v/>
      </c>
      <c r="BA3713" s="2" t="str">
        <f>IF(""&amp;$F3713&lt;&gt;"4","",IF($AY3713="YES","",IF(ROUND(SUMIFS($AE$2:$AE$4001,$L$2:$L$4001,$L3713,$F$2:$F$4001,"4")-SUMIFS('AR SALES'!$Y$2:$Y$2501,'AR SALES'!$L$2:$L$2501,$L3713,'AR SALES'!$AD$2:$AD$2501,"OFF"),2)=0,"","STALE")))</f>
        <v/>
      </c>
      <c r="BB3713" s="2" t="str">
        <f>IF(OR(""&amp;$F3713="2",""&amp;$F3713="4",""&amp;$F3713="G",""&amp;$F3713="H"),IF($AY3713="YES","",IF($AB3713&lt;&gt;0,"",IF(COUNTIFS('AR SALES'!$L$2:$L$2501,$L3713,'AR SALES'!$AD$2:$AD$2501,IF(""&amp;$F3713="4","OFF","ON"),'AR SALES'!$AF$2:$AF$2501,"Y")&gt;0,"","NO EXEMPTION"))),"")</f>
        <v/>
      </c>
    </row>
    <row r="3714" spans="46:54" x14ac:dyDescent="0.25">
      <c r="AT3714" s="2" t="str">
        <f>IF($L3714="","",IFERROR(INDEX('AR SALES'!$H$2:$H$2501,MATCH(""&amp;$L3714,'AR SALES'!$AE$2:$AE$2501,0)),""))</f>
        <v/>
      </c>
      <c r="AU3714" s="2" t="str">
        <f t="shared" ref="AU3714:AU3777" si="232">IF($L3714="","",IF($A3714&lt;&gt;"GA","",IF($E3714="FULTON",IF(ISNUMBER(SEARCH("COLLEGE PARK",$AT3714)),"FULTON (COLLEGE PARK)",IF(ISNUMBER(SEARCH("ATLANTA CITY",$AT3714)),"FULTON (ATL LIMITS)","FULTON")),IF($E3714="DEKALB",IF(ISNUMBER(SEARCH("ATLANTA CITY",$AT3714)),"DEKALB (ATL LIMITS)","DEKALB"),$E3714))))</f>
        <v/>
      </c>
      <c r="AV3714" s="2" t="str">
        <f t="shared" ref="AV3714:AV3777" si="233">IF($L3714="","",IF(""&amp;$F3714="2","DIESEL",IF(OR(""&amp;$F3714="G",""&amp;$F3714="H"),"GAS","")))</f>
        <v/>
      </c>
      <c r="AW3714" s="2" t="str">
        <f t="shared" ref="AW3714:AW3777" si="234">IF($AV3714="","",$R3714)</f>
        <v/>
      </c>
      <c r="AX3714" s="2" t="str">
        <f t="shared" ref="AX3714:AX3777" si="235">IF($AV3714="","",IF($AB3714=0,$R3714,0))</f>
        <v/>
      </c>
      <c r="AY3714" s="2" t="str">
        <f>IF($AV3714="","",IF(AND($Z3714=0,COUNTIF('AR SALES'!$L$2:$L$2501,$L3714)=0),"YES",""))</f>
        <v/>
      </c>
      <c r="AZ3714" s="2" t="str">
        <f>IF($AV3714="","",IF(COUNTIF(LISTS!$C$2:$C$250,$AU3714)=0,"NEW",""))</f>
        <v/>
      </c>
      <c r="BA3714" s="2" t="str">
        <f>IF(""&amp;$F3714&lt;&gt;"4","",IF($AY3714="YES","",IF(ROUND(SUMIFS($AE$2:$AE$4001,$L$2:$L$4001,$L3714,$F$2:$F$4001,"4")-SUMIFS('AR SALES'!$Y$2:$Y$2501,'AR SALES'!$L$2:$L$2501,$L3714,'AR SALES'!$AD$2:$AD$2501,"OFF"),2)=0,"","STALE")))</f>
        <v/>
      </c>
      <c r="BB3714" s="2" t="str">
        <f>IF(OR(""&amp;$F3714="2",""&amp;$F3714="4",""&amp;$F3714="G",""&amp;$F3714="H"),IF($AY3714="YES","",IF($AB3714&lt;&gt;0,"",IF(COUNTIFS('AR SALES'!$L$2:$L$2501,$L3714,'AR SALES'!$AD$2:$AD$2501,IF(""&amp;$F3714="4","OFF","ON"),'AR SALES'!$AF$2:$AF$2501,"Y")&gt;0,"","NO EXEMPTION"))),"")</f>
        <v/>
      </c>
    </row>
    <row r="3715" spans="46:54" x14ac:dyDescent="0.25">
      <c r="AT3715" s="2" t="str">
        <f>IF($L3715="","",IFERROR(INDEX('AR SALES'!$H$2:$H$2501,MATCH(""&amp;$L3715,'AR SALES'!$AE$2:$AE$2501,0)),""))</f>
        <v/>
      </c>
      <c r="AU3715" s="2" t="str">
        <f t="shared" si="232"/>
        <v/>
      </c>
      <c r="AV3715" s="2" t="str">
        <f t="shared" si="233"/>
        <v/>
      </c>
      <c r="AW3715" s="2" t="str">
        <f t="shared" si="234"/>
        <v/>
      </c>
      <c r="AX3715" s="2" t="str">
        <f t="shared" si="235"/>
        <v/>
      </c>
      <c r="AY3715" s="2" t="str">
        <f>IF($AV3715="","",IF(AND($Z3715=0,COUNTIF('AR SALES'!$L$2:$L$2501,$L3715)=0),"YES",""))</f>
        <v/>
      </c>
      <c r="AZ3715" s="2" t="str">
        <f>IF($AV3715="","",IF(COUNTIF(LISTS!$C$2:$C$250,$AU3715)=0,"NEW",""))</f>
        <v/>
      </c>
      <c r="BA3715" s="2" t="str">
        <f>IF(""&amp;$F3715&lt;&gt;"4","",IF($AY3715="YES","",IF(ROUND(SUMIFS($AE$2:$AE$4001,$L$2:$L$4001,$L3715,$F$2:$F$4001,"4")-SUMIFS('AR SALES'!$Y$2:$Y$2501,'AR SALES'!$L$2:$L$2501,$L3715,'AR SALES'!$AD$2:$AD$2501,"OFF"),2)=0,"","STALE")))</f>
        <v/>
      </c>
      <c r="BB3715" s="2" t="str">
        <f>IF(OR(""&amp;$F3715="2",""&amp;$F3715="4",""&amp;$F3715="G",""&amp;$F3715="H"),IF($AY3715="YES","",IF($AB3715&lt;&gt;0,"",IF(COUNTIFS('AR SALES'!$L$2:$L$2501,$L3715,'AR SALES'!$AD$2:$AD$2501,IF(""&amp;$F3715="4","OFF","ON"),'AR SALES'!$AF$2:$AF$2501,"Y")&gt;0,"","NO EXEMPTION"))),"")</f>
        <v/>
      </c>
    </row>
    <row r="3716" spans="46:54" x14ac:dyDescent="0.25">
      <c r="AT3716" s="2" t="str">
        <f>IF($L3716="","",IFERROR(INDEX('AR SALES'!$H$2:$H$2501,MATCH(""&amp;$L3716,'AR SALES'!$AE$2:$AE$2501,0)),""))</f>
        <v/>
      </c>
      <c r="AU3716" s="2" t="str">
        <f t="shared" si="232"/>
        <v/>
      </c>
      <c r="AV3716" s="2" t="str">
        <f t="shared" si="233"/>
        <v/>
      </c>
      <c r="AW3716" s="2" t="str">
        <f t="shared" si="234"/>
        <v/>
      </c>
      <c r="AX3716" s="2" t="str">
        <f t="shared" si="235"/>
        <v/>
      </c>
      <c r="AY3716" s="2" t="str">
        <f>IF($AV3716="","",IF(AND($Z3716=0,COUNTIF('AR SALES'!$L$2:$L$2501,$L3716)=0),"YES",""))</f>
        <v/>
      </c>
      <c r="AZ3716" s="2" t="str">
        <f>IF($AV3716="","",IF(COUNTIF(LISTS!$C$2:$C$250,$AU3716)=0,"NEW",""))</f>
        <v/>
      </c>
      <c r="BA3716" s="2" t="str">
        <f>IF(""&amp;$F3716&lt;&gt;"4","",IF($AY3716="YES","",IF(ROUND(SUMIFS($AE$2:$AE$4001,$L$2:$L$4001,$L3716,$F$2:$F$4001,"4")-SUMIFS('AR SALES'!$Y$2:$Y$2501,'AR SALES'!$L$2:$L$2501,$L3716,'AR SALES'!$AD$2:$AD$2501,"OFF"),2)=0,"","STALE")))</f>
        <v/>
      </c>
      <c r="BB3716" s="2" t="str">
        <f>IF(OR(""&amp;$F3716="2",""&amp;$F3716="4",""&amp;$F3716="G",""&amp;$F3716="H"),IF($AY3716="YES","",IF($AB3716&lt;&gt;0,"",IF(COUNTIFS('AR SALES'!$L$2:$L$2501,$L3716,'AR SALES'!$AD$2:$AD$2501,IF(""&amp;$F3716="4","OFF","ON"),'AR SALES'!$AF$2:$AF$2501,"Y")&gt;0,"","NO EXEMPTION"))),"")</f>
        <v/>
      </c>
    </row>
    <row r="3717" spans="46:54" x14ac:dyDescent="0.25">
      <c r="AT3717" s="2" t="str">
        <f>IF($L3717="","",IFERROR(INDEX('AR SALES'!$H$2:$H$2501,MATCH(""&amp;$L3717,'AR SALES'!$AE$2:$AE$2501,0)),""))</f>
        <v/>
      </c>
      <c r="AU3717" s="2" t="str">
        <f t="shared" si="232"/>
        <v/>
      </c>
      <c r="AV3717" s="2" t="str">
        <f t="shared" si="233"/>
        <v/>
      </c>
      <c r="AW3717" s="2" t="str">
        <f t="shared" si="234"/>
        <v/>
      </c>
      <c r="AX3717" s="2" t="str">
        <f t="shared" si="235"/>
        <v/>
      </c>
      <c r="AY3717" s="2" t="str">
        <f>IF($AV3717="","",IF(AND($Z3717=0,COUNTIF('AR SALES'!$L$2:$L$2501,$L3717)=0),"YES",""))</f>
        <v/>
      </c>
      <c r="AZ3717" s="2" t="str">
        <f>IF($AV3717="","",IF(COUNTIF(LISTS!$C$2:$C$250,$AU3717)=0,"NEW",""))</f>
        <v/>
      </c>
      <c r="BA3717" s="2" t="str">
        <f>IF(""&amp;$F3717&lt;&gt;"4","",IF($AY3717="YES","",IF(ROUND(SUMIFS($AE$2:$AE$4001,$L$2:$L$4001,$L3717,$F$2:$F$4001,"4")-SUMIFS('AR SALES'!$Y$2:$Y$2501,'AR SALES'!$L$2:$L$2501,$L3717,'AR SALES'!$AD$2:$AD$2501,"OFF"),2)=0,"","STALE")))</f>
        <v/>
      </c>
      <c r="BB3717" s="2" t="str">
        <f>IF(OR(""&amp;$F3717="2",""&amp;$F3717="4",""&amp;$F3717="G",""&amp;$F3717="H"),IF($AY3717="YES","",IF($AB3717&lt;&gt;0,"",IF(COUNTIFS('AR SALES'!$L$2:$L$2501,$L3717,'AR SALES'!$AD$2:$AD$2501,IF(""&amp;$F3717="4","OFF","ON"),'AR SALES'!$AF$2:$AF$2501,"Y")&gt;0,"","NO EXEMPTION"))),"")</f>
        <v/>
      </c>
    </row>
    <row r="3718" spans="46:54" x14ac:dyDescent="0.25">
      <c r="AT3718" s="2" t="str">
        <f>IF($L3718="","",IFERROR(INDEX('AR SALES'!$H$2:$H$2501,MATCH(""&amp;$L3718,'AR SALES'!$AE$2:$AE$2501,0)),""))</f>
        <v/>
      </c>
      <c r="AU3718" s="2" t="str">
        <f t="shared" si="232"/>
        <v/>
      </c>
      <c r="AV3718" s="2" t="str">
        <f t="shared" si="233"/>
        <v/>
      </c>
      <c r="AW3718" s="2" t="str">
        <f t="shared" si="234"/>
        <v/>
      </c>
      <c r="AX3718" s="2" t="str">
        <f t="shared" si="235"/>
        <v/>
      </c>
      <c r="AY3718" s="2" t="str">
        <f>IF($AV3718="","",IF(AND($Z3718=0,COUNTIF('AR SALES'!$L$2:$L$2501,$L3718)=0),"YES",""))</f>
        <v/>
      </c>
      <c r="AZ3718" s="2" t="str">
        <f>IF($AV3718="","",IF(COUNTIF(LISTS!$C$2:$C$250,$AU3718)=0,"NEW",""))</f>
        <v/>
      </c>
      <c r="BA3718" s="2" t="str">
        <f>IF(""&amp;$F3718&lt;&gt;"4","",IF($AY3718="YES","",IF(ROUND(SUMIFS($AE$2:$AE$4001,$L$2:$L$4001,$L3718,$F$2:$F$4001,"4")-SUMIFS('AR SALES'!$Y$2:$Y$2501,'AR SALES'!$L$2:$L$2501,$L3718,'AR SALES'!$AD$2:$AD$2501,"OFF"),2)=0,"","STALE")))</f>
        <v/>
      </c>
      <c r="BB3718" s="2" t="str">
        <f>IF(OR(""&amp;$F3718="2",""&amp;$F3718="4",""&amp;$F3718="G",""&amp;$F3718="H"),IF($AY3718="YES","",IF($AB3718&lt;&gt;0,"",IF(COUNTIFS('AR SALES'!$L$2:$L$2501,$L3718,'AR SALES'!$AD$2:$AD$2501,IF(""&amp;$F3718="4","OFF","ON"),'AR SALES'!$AF$2:$AF$2501,"Y")&gt;0,"","NO EXEMPTION"))),"")</f>
        <v/>
      </c>
    </row>
    <row r="3719" spans="46:54" x14ac:dyDescent="0.25">
      <c r="AT3719" s="2" t="str">
        <f>IF($L3719="","",IFERROR(INDEX('AR SALES'!$H$2:$H$2501,MATCH(""&amp;$L3719,'AR SALES'!$AE$2:$AE$2501,0)),""))</f>
        <v/>
      </c>
      <c r="AU3719" s="2" t="str">
        <f t="shared" si="232"/>
        <v/>
      </c>
      <c r="AV3719" s="2" t="str">
        <f t="shared" si="233"/>
        <v/>
      </c>
      <c r="AW3719" s="2" t="str">
        <f t="shared" si="234"/>
        <v/>
      </c>
      <c r="AX3719" s="2" t="str">
        <f t="shared" si="235"/>
        <v/>
      </c>
      <c r="AY3719" s="2" t="str">
        <f>IF($AV3719="","",IF(AND($Z3719=0,COUNTIF('AR SALES'!$L$2:$L$2501,$L3719)=0),"YES",""))</f>
        <v/>
      </c>
      <c r="AZ3719" s="2" t="str">
        <f>IF($AV3719="","",IF(COUNTIF(LISTS!$C$2:$C$250,$AU3719)=0,"NEW",""))</f>
        <v/>
      </c>
      <c r="BA3719" s="2" t="str">
        <f>IF(""&amp;$F3719&lt;&gt;"4","",IF($AY3719="YES","",IF(ROUND(SUMIFS($AE$2:$AE$4001,$L$2:$L$4001,$L3719,$F$2:$F$4001,"4")-SUMIFS('AR SALES'!$Y$2:$Y$2501,'AR SALES'!$L$2:$L$2501,$L3719,'AR SALES'!$AD$2:$AD$2501,"OFF"),2)=0,"","STALE")))</f>
        <v/>
      </c>
      <c r="BB3719" s="2" t="str">
        <f>IF(OR(""&amp;$F3719="2",""&amp;$F3719="4",""&amp;$F3719="G",""&amp;$F3719="H"),IF($AY3719="YES","",IF($AB3719&lt;&gt;0,"",IF(COUNTIFS('AR SALES'!$L$2:$L$2501,$L3719,'AR SALES'!$AD$2:$AD$2501,IF(""&amp;$F3719="4","OFF","ON"),'AR SALES'!$AF$2:$AF$2501,"Y")&gt;0,"","NO EXEMPTION"))),"")</f>
        <v/>
      </c>
    </row>
    <row r="3720" spans="46:54" x14ac:dyDescent="0.25">
      <c r="AT3720" s="2" t="str">
        <f>IF($L3720="","",IFERROR(INDEX('AR SALES'!$H$2:$H$2501,MATCH(""&amp;$L3720,'AR SALES'!$AE$2:$AE$2501,0)),""))</f>
        <v/>
      </c>
      <c r="AU3720" s="2" t="str">
        <f t="shared" si="232"/>
        <v/>
      </c>
      <c r="AV3720" s="2" t="str">
        <f t="shared" si="233"/>
        <v/>
      </c>
      <c r="AW3720" s="2" t="str">
        <f t="shared" si="234"/>
        <v/>
      </c>
      <c r="AX3720" s="2" t="str">
        <f t="shared" si="235"/>
        <v/>
      </c>
      <c r="AY3720" s="2" t="str">
        <f>IF($AV3720="","",IF(AND($Z3720=0,COUNTIF('AR SALES'!$L$2:$L$2501,$L3720)=0),"YES",""))</f>
        <v/>
      </c>
      <c r="AZ3720" s="2" t="str">
        <f>IF($AV3720="","",IF(COUNTIF(LISTS!$C$2:$C$250,$AU3720)=0,"NEW",""))</f>
        <v/>
      </c>
      <c r="BA3720" s="2" t="str">
        <f>IF(""&amp;$F3720&lt;&gt;"4","",IF($AY3720="YES","",IF(ROUND(SUMIFS($AE$2:$AE$4001,$L$2:$L$4001,$L3720,$F$2:$F$4001,"4")-SUMIFS('AR SALES'!$Y$2:$Y$2501,'AR SALES'!$L$2:$L$2501,$L3720,'AR SALES'!$AD$2:$AD$2501,"OFF"),2)=0,"","STALE")))</f>
        <v/>
      </c>
      <c r="BB3720" s="2" t="str">
        <f>IF(OR(""&amp;$F3720="2",""&amp;$F3720="4",""&amp;$F3720="G",""&amp;$F3720="H"),IF($AY3720="YES","",IF($AB3720&lt;&gt;0,"",IF(COUNTIFS('AR SALES'!$L$2:$L$2501,$L3720,'AR SALES'!$AD$2:$AD$2501,IF(""&amp;$F3720="4","OFF","ON"),'AR SALES'!$AF$2:$AF$2501,"Y")&gt;0,"","NO EXEMPTION"))),"")</f>
        <v/>
      </c>
    </row>
    <row r="3721" spans="46:54" x14ac:dyDescent="0.25">
      <c r="AT3721" s="2" t="str">
        <f>IF($L3721="","",IFERROR(INDEX('AR SALES'!$H$2:$H$2501,MATCH(""&amp;$L3721,'AR SALES'!$AE$2:$AE$2501,0)),""))</f>
        <v/>
      </c>
      <c r="AU3721" s="2" t="str">
        <f t="shared" si="232"/>
        <v/>
      </c>
      <c r="AV3721" s="2" t="str">
        <f t="shared" si="233"/>
        <v/>
      </c>
      <c r="AW3721" s="2" t="str">
        <f t="shared" si="234"/>
        <v/>
      </c>
      <c r="AX3721" s="2" t="str">
        <f t="shared" si="235"/>
        <v/>
      </c>
      <c r="AY3721" s="2" t="str">
        <f>IF($AV3721="","",IF(AND($Z3721=0,COUNTIF('AR SALES'!$L$2:$L$2501,$L3721)=0),"YES",""))</f>
        <v/>
      </c>
      <c r="AZ3721" s="2" t="str">
        <f>IF($AV3721="","",IF(COUNTIF(LISTS!$C$2:$C$250,$AU3721)=0,"NEW",""))</f>
        <v/>
      </c>
      <c r="BA3721" s="2" t="str">
        <f>IF(""&amp;$F3721&lt;&gt;"4","",IF($AY3721="YES","",IF(ROUND(SUMIFS($AE$2:$AE$4001,$L$2:$L$4001,$L3721,$F$2:$F$4001,"4")-SUMIFS('AR SALES'!$Y$2:$Y$2501,'AR SALES'!$L$2:$L$2501,$L3721,'AR SALES'!$AD$2:$AD$2501,"OFF"),2)=0,"","STALE")))</f>
        <v/>
      </c>
      <c r="BB3721" s="2" t="str">
        <f>IF(OR(""&amp;$F3721="2",""&amp;$F3721="4",""&amp;$F3721="G",""&amp;$F3721="H"),IF($AY3721="YES","",IF($AB3721&lt;&gt;0,"",IF(COUNTIFS('AR SALES'!$L$2:$L$2501,$L3721,'AR SALES'!$AD$2:$AD$2501,IF(""&amp;$F3721="4","OFF","ON"),'AR SALES'!$AF$2:$AF$2501,"Y")&gt;0,"","NO EXEMPTION"))),"")</f>
        <v/>
      </c>
    </row>
    <row r="3722" spans="46:54" x14ac:dyDescent="0.25">
      <c r="AT3722" s="2" t="str">
        <f>IF($L3722="","",IFERROR(INDEX('AR SALES'!$H$2:$H$2501,MATCH(""&amp;$L3722,'AR SALES'!$AE$2:$AE$2501,0)),""))</f>
        <v/>
      </c>
      <c r="AU3722" s="2" t="str">
        <f t="shared" si="232"/>
        <v/>
      </c>
      <c r="AV3722" s="2" t="str">
        <f t="shared" si="233"/>
        <v/>
      </c>
      <c r="AW3722" s="2" t="str">
        <f t="shared" si="234"/>
        <v/>
      </c>
      <c r="AX3722" s="2" t="str">
        <f t="shared" si="235"/>
        <v/>
      </c>
      <c r="AY3722" s="2" t="str">
        <f>IF($AV3722="","",IF(AND($Z3722=0,COUNTIF('AR SALES'!$L$2:$L$2501,$L3722)=0),"YES",""))</f>
        <v/>
      </c>
      <c r="AZ3722" s="2" t="str">
        <f>IF($AV3722="","",IF(COUNTIF(LISTS!$C$2:$C$250,$AU3722)=0,"NEW",""))</f>
        <v/>
      </c>
      <c r="BA3722" s="2" t="str">
        <f>IF(""&amp;$F3722&lt;&gt;"4","",IF($AY3722="YES","",IF(ROUND(SUMIFS($AE$2:$AE$4001,$L$2:$L$4001,$L3722,$F$2:$F$4001,"4")-SUMIFS('AR SALES'!$Y$2:$Y$2501,'AR SALES'!$L$2:$L$2501,$L3722,'AR SALES'!$AD$2:$AD$2501,"OFF"),2)=0,"","STALE")))</f>
        <v/>
      </c>
      <c r="BB3722" s="2" t="str">
        <f>IF(OR(""&amp;$F3722="2",""&amp;$F3722="4",""&amp;$F3722="G",""&amp;$F3722="H"),IF($AY3722="YES","",IF($AB3722&lt;&gt;0,"",IF(COUNTIFS('AR SALES'!$L$2:$L$2501,$L3722,'AR SALES'!$AD$2:$AD$2501,IF(""&amp;$F3722="4","OFF","ON"),'AR SALES'!$AF$2:$AF$2501,"Y")&gt;0,"","NO EXEMPTION"))),"")</f>
        <v/>
      </c>
    </row>
    <row r="3723" spans="46:54" x14ac:dyDescent="0.25">
      <c r="AT3723" s="2" t="str">
        <f>IF($L3723="","",IFERROR(INDEX('AR SALES'!$H$2:$H$2501,MATCH(""&amp;$L3723,'AR SALES'!$AE$2:$AE$2501,0)),""))</f>
        <v/>
      </c>
      <c r="AU3723" s="2" t="str">
        <f t="shared" si="232"/>
        <v/>
      </c>
      <c r="AV3723" s="2" t="str">
        <f t="shared" si="233"/>
        <v/>
      </c>
      <c r="AW3723" s="2" t="str">
        <f t="shared" si="234"/>
        <v/>
      </c>
      <c r="AX3723" s="2" t="str">
        <f t="shared" si="235"/>
        <v/>
      </c>
      <c r="AY3723" s="2" t="str">
        <f>IF($AV3723="","",IF(AND($Z3723=0,COUNTIF('AR SALES'!$L$2:$L$2501,$L3723)=0),"YES",""))</f>
        <v/>
      </c>
      <c r="AZ3723" s="2" t="str">
        <f>IF($AV3723="","",IF(COUNTIF(LISTS!$C$2:$C$250,$AU3723)=0,"NEW",""))</f>
        <v/>
      </c>
      <c r="BA3723" s="2" t="str">
        <f>IF(""&amp;$F3723&lt;&gt;"4","",IF($AY3723="YES","",IF(ROUND(SUMIFS($AE$2:$AE$4001,$L$2:$L$4001,$L3723,$F$2:$F$4001,"4")-SUMIFS('AR SALES'!$Y$2:$Y$2501,'AR SALES'!$L$2:$L$2501,$L3723,'AR SALES'!$AD$2:$AD$2501,"OFF"),2)=0,"","STALE")))</f>
        <v/>
      </c>
      <c r="BB3723" s="2" t="str">
        <f>IF(OR(""&amp;$F3723="2",""&amp;$F3723="4",""&amp;$F3723="G",""&amp;$F3723="H"),IF($AY3723="YES","",IF($AB3723&lt;&gt;0,"",IF(COUNTIFS('AR SALES'!$L$2:$L$2501,$L3723,'AR SALES'!$AD$2:$AD$2501,IF(""&amp;$F3723="4","OFF","ON"),'AR SALES'!$AF$2:$AF$2501,"Y")&gt;0,"","NO EXEMPTION"))),"")</f>
        <v/>
      </c>
    </row>
    <row r="3724" spans="46:54" x14ac:dyDescent="0.25">
      <c r="AT3724" s="2" t="str">
        <f>IF($L3724="","",IFERROR(INDEX('AR SALES'!$H$2:$H$2501,MATCH(""&amp;$L3724,'AR SALES'!$AE$2:$AE$2501,0)),""))</f>
        <v/>
      </c>
      <c r="AU3724" s="2" t="str">
        <f t="shared" si="232"/>
        <v/>
      </c>
      <c r="AV3724" s="2" t="str">
        <f t="shared" si="233"/>
        <v/>
      </c>
      <c r="AW3724" s="2" t="str">
        <f t="shared" si="234"/>
        <v/>
      </c>
      <c r="AX3724" s="2" t="str">
        <f t="shared" si="235"/>
        <v/>
      </c>
      <c r="AY3724" s="2" t="str">
        <f>IF($AV3724="","",IF(AND($Z3724=0,COUNTIF('AR SALES'!$L$2:$L$2501,$L3724)=0),"YES",""))</f>
        <v/>
      </c>
      <c r="AZ3724" s="2" t="str">
        <f>IF($AV3724="","",IF(COUNTIF(LISTS!$C$2:$C$250,$AU3724)=0,"NEW",""))</f>
        <v/>
      </c>
      <c r="BA3724" s="2" t="str">
        <f>IF(""&amp;$F3724&lt;&gt;"4","",IF($AY3724="YES","",IF(ROUND(SUMIFS($AE$2:$AE$4001,$L$2:$L$4001,$L3724,$F$2:$F$4001,"4")-SUMIFS('AR SALES'!$Y$2:$Y$2501,'AR SALES'!$L$2:$L$2501,$L3724,'AR SALES'!$AD$2:$AD$2501,"OFF"),2)=0,"","STALE")))</f>
        <v/>
      </c>
      <c r="BB3724" s="2" t="str">
        <f>IF(OR(""&amp;$F3724="2",""&amp;$F3724="4",""&amp;$F3724="G",""&amp;$F3724="H"),IF($AY3724="YES","",IF($AB3724&lt;&gt;0,"",IF(COUNTIFS('AR SALES'!$L$2:$L$2501,$L3724,'AR SALES'!$AD$2:$AD$2501,IF(""&amp;$F3724="4","OFF","ON"),'AR SALES'!$AF$2:$AF$2501,"Y")&gt;0,"","NO EXEMPTION"))),"")</f>
        <v/>
      </c>
    </row>
    <row r="3725" spans="46:54" x14ac:dyDescent="0.25">
      <c r="AT3725" s="2" t="str">
        <f>IF($L3725="","",IFERROR(INDEX('AR SALES'!$H$2:$H$2501,MATCH(""&amp;$L3725,'AR SALES'!$AE$2:$AE$2501,0)),""))</f>
        <v/>
      </c>
      <c r="AU3725" s="2" t="str">
        <f t="shared" si="232"/>
        <v/>
      </c>
      <c r="AV3725" s="2" t="str">
        <f t="shared" si="233"/>
        <v/>
      </c>
      <c r="AW3725" s="2" t="str">
        <f t="shared" si="234"/>
        <v/>
      </c>
      <c r="AX3725" s="2" t="str">
        <f t="shared" si="235"/>
        <v/>
      </c>
      <c r="AY3725" s="2" t="str">
        <f>IF($AV3725="","",IF(AND($Z3725=0,COUNTIF('AR SALES'!$L$2:$L$2501,$L3725)=0),"YES",""))</f>
        <v/>
      </c>
      <c r="AZ3725" s="2" t="str">
        <f>IF($AV3725="","",IF(COUNTIF(LISTS!$C$2:$C$250,$AU3725)=0,"NEW",""))</f>
        <v/>
      </c>
      <c r="BA3725" s="2" t="str">
        <f>IF(""&amp;$F3725&lt;&gt;"4","",IF($AY3725="YES","",IF(ROUND(SUMIFS($AE$2:$AE$4001,$L$2:$L$4001,$L3725,$F$2:$F$4001,"4")-SUMIFS('AR SALES'!$Y$2:$Y$2501,'AR SALES'!$L$2:$L$2501,$L3725,'AR SALES'!$AD$2:$AD$2501,"OFF"),2)=0,"","STALE")))</f>
        <v/>
      </c>
      <c r="BB3725" s="2" t="str">
        <f>IF(OR(""&amp;$F3725="2",""&amp;$F3725="4",""&amp;$F3725="G",""&amp;$F3725="H"),IF($AY3725="YES","",IF($AB3725&lt;&gt;0,"",IF(COUNTIFS('AR SALES'!$L$2:$L$2501,$L3725,'AR SALES'!$AD$2:$AD$2501,IF(""&amp;$F3725="4","OFF","ON"),'AR SALES'!$AF$2:$AF$2501,"Y")&gt;0,"","NO EXEMPTION"))),"")</f>
        <v/>
      </c>
    </row>
    <row r="3726" spans="46:54" x14ac:dyDescent="0.25">
      <c r="AT3726" s="2" t="str">
        <f>IF($L3726="","",IFERROR(INDEX('AR SALES'!$H$2:$H$2501,MATCH(""&amp;$L3726,'AR SALES'!$AE$2:$AE$2501,0)),""))</f>
        <v/>
      </c>
      <c r="AU3726" s="2" t="str">
        <f t="shared" si="232"/>
        <v/>
      </c>
      <c r="AV3726" s="2" t="str">
        <f t="shared" si="233"/>
        <v/>
      </c>
      <c r="AW3726" s="2" t="str">
        <f t="shared" si="234"/>
        <v/>
      </c>
      <c r="AX3726" s="2" t="str">
        <f t="shared" si="235"/>
        <v/>
      </c>
      <c r="AY3726" s="2" t="str">
        <f>IF($AV3726="","",IF(AND($Z3726=0,COUNTIF('AR SALES'!$L$2:$L$2501,$L3726)=0),"YES",""))</f>
        <v/>
      </c>
      <c r="AZ3726" s="2" t="str">
        <f>IF($AV3726="","",IF(COUNTIF(LISTS!$C$2:$C$250,$AU3726)=0,"NEW",""))</f>
        <v/>
      </c>
      <c r="BA3726" s="2" t="str">
        <f>IF(""&amp;$F3726&lt;&gt;"4","",IF($AY3726="YES","",IF(ROUND(SUMIFS($AE$2:$AE$4001,$L$2:$L$4001,$L3726,$F$2:$F$4001,"4")-SUMIFS('AR SALES'!$Y$2:$Y$2501,'AR SALES'!$L$2:$L$2501,$L3726,'AR SALES'!$AD$2:$AD$2501,"OFF"),2)=0,"","STALE")))</f>
        <v/>
      </c>
      <c r="BB3726" s="2" t="str">
        <f>IF(OR(""&amp;$F3726="2",""&amp;$F3726="4",""&amp;$F3726="G",""&amp;$F3726="H"),IF($AY3726="YES","",IF($AB3726&lt;&gt;0,"",IF(COUNTIFS('AR SALES'!$L$2:$L$2501,$L3726,'AR SALES'!$AD$2:$AD$2501,IF(""&amp;$F3726="4","OFF","ON"),'AR SALES'!$AF$2:$AF$2501,"Y")&gt;0,"","NO EXEMPTION"))),"")</f>
        <v/>
      </c>
    </row>
    <row r="3727" spans="46:54" x14ac:dyDescent="0.25">
      <c r="AT3727" s="2" t="str">
        <f>IF($L3727="","",IFERROR(INDEX('AR SALES'!$H$2:$H$2501,MATCH(""&amp;$L3727,'AR SALES'!$AE$2:$AE$2501,0)),""))</f>
        <v/>
      </c>
      <c r="AU3727" s="2" t="str">
        <f t="shared" si="232"/>
        <v/>
      </c>
      <c r="AV3727" s="2" t="str">
        <f t="shared" si="233"/>
        <v/>
      </c>
      <c r="AW3727" s="2" t="str">
        <f t="shared" si="234"/>
        <v/>
      </c>
      <c r="AX3727" s="2" t="str">
        <f t="shared" si="235"/>
        <v/>
      </c>
      <c r="AY3727" s="2" t="str">
        <f>IF($AV3727="","",IF(AND($Z3727=0,COUNTIF('AR SALES'!$L$2:$L$2501,$L3727)=0),"YES",""))</f>
        <v/>
      </c>
      <c r="AZ3727" s="2" t="str">
        <f>IF($AV3727="","",IF(COUNTIF(LISTS!$C$2:$C$250,$AU3727)=0,"NEW",""))</f>
        <v/>
      </c>
      <c r="BA3727" s="2" t="str">
        <f>IF(""&amp;$F3727&lt;&gt;"4","",IF($AY3727="YES","",IF(ROUND(SUMIFS($AE$2:$AE$4001,$L$2:$L$4001,$L3727,$F$2:$F$4001,"4")-SUMIFS('AR SALES'!$Y$2:$Y$2501,'AR SALES'!$L$2:$L$2501,$L3727,'AR SALES'!$AD$2:$AD$2501,"OFF"),2)=0,"","STALE")))</f>
        <v/>
      </c>
      <c r="BB3727" s="2" t="str">
        <f>IF(OR(""&amp;$F3727="2",""&amp;$F3727="4",""&amp;$F3727="G",""&amp;$F3727="H"),IF($AY3727="YES","",IF($AB3727&lt;&gt;0,"",IF(COUNTIFS('AR SALES'!$L$2:$L$2501,$L3727,'AR SALES'!$AD$2:$AD$2501,IF(""&amp;$F3727="4","OFF","ON"),'AR SALES'!$AF$2:$AF$2501,"Y")&gt;0,"","NO EXEMPTION"))),"")</f>
        <v/>
      </c>
    </row>
    <row r="3728" spans="46:54" x14ac:dyDescent="0.25">
      <c r="AT3728" s="2" t="str">
        <f>IF($L3728="","",IFERROR(INDEX('AR SALES'!$H$2:$H$2501,MATCH(""&amp;$L3728,'AR SALES'!$AE$2:$AE$2501,0)),""))</f>
        <v/>
      </c>
      <c r="AU3728" s="2" t="str">
        <f t="shared" si="232"/>
        <v/>
      </c>
      <c r="AV3728" s="2" t="str">
        <f t="shared" si="233"/>
        <v/>
      </c>
      <c r="AW3728" s="2" t="str">
        <f t="shared" si="234"/>
        <v/>
      </c>
      <c r="AX3728" s="2" t="str">
        <f t="shared" si="235"/>
        <v/>
      </c>
      <c r="AY3728" s="2" t="str">
        <f>IF($AV3728="","",IF(AND($Z3728=0,COUNTIF('AR SALES'!$L$2:$L$2501,$L3728)=0),"YES",""))</f>
        <v/>
      </c>
      <c r="AZ3728" s="2" t="str">
        <f>IF($AV3728="","",IF(COUNTIF(LISTS!$C$2:$C$250,$AU3728)=0,"NEW",""))</f>
        <v/>
      </c>
      <c r="BA3728" s="2" t="str">
        <f>IF(""&amp;$F3728&lt;&gt;"4","",IF($AY3728="YES","",IF(ROUND(SUMIFS($AE$2:$AE$4001,$L$2:$L$4001,$L3728,$F$2:$F$4001,"4")-SUMIFS('AR SALES'!$Y$2:$Y$2501,'AR SALES'!$L$2:$L$2501,$L3728,'AR SALES'!$AD$2:$AD$2501,"OFF"),2)=0,"","STALE")))</f>
        <v/>
      </c>
      <c r="BB3728" s="2" t="str">
        <f>IF(OR(""&amp;$F3728="2",""&amp;$F3728="4",""&amp;$F3728="G",""&amp;$F3728="H"),IF($AY3728="YES","",IF($AB3728&lt;&gt;0,"",IF(COUNTIFS('AR SALES'!$L$2:$L$2501,$L3728,'AR SALES'!$AD$2:$AD$2501,IF(""&amp;$F3728="4","OFF","ON"),'AR SALES'!$AF$2:$AF$2501,"Y")&gt;0,"","NO EXEMPTION"))),"")</f>
        <v/>
      </c>
    </row>
    <row r="3729" spans="46:54" x14ac:dyDescent="0.25">
      <c r="AT3729" s="2" t="str">
        <f>IF($L3729="","",IFERROR(INDEX('AR SALES'!$H$2:$H$2501,MATCH(""&amp;$L3729,'AR SALES'!$AE$2:$AE$2501,0)),""))</f>
        <v/>
      </c>
      <c r="AU3729" s="2" t="str">
        <f t="shared" si="232"/>
        <v/>
      </c>
      <c r="AV3729" s="2" t="str">
        <f t="shared" si="233"/>
        <v/>
      </c>
      <c r="AW3729" s="2" t="str">
        <f t="shared" si="234"/>
        <v/>
      </c>
      <c r="AX3729" s="2" t="str">
        <f t="shared" si="235"/>
        <v/>
      </c>
      <c r="AY3729" s="2" t="str">
        <f>IF($AV3729="","",IF(AND($Z3729=0,COUNTIF('AR SALES'!$L$2:$L$2501,$L3729)=0),"YES",""))</f>
        <v/>
      </c>
      <c r="AZ3729" s="2" t="str">
        <f>IF($AV3729="","",IF(COUNTIF(LISTS!$C$2:$C$250,$AU3729)=0,"NEW",""))</f>
        <v/>
      </c>
      <c r="BA3729" s="2" t="str">
        <f>IF(""&amp;$F3729&lt;&gt;"4","",IF($AY3729="YES","",IF(ROUND(SUMIFS($AE$2:$AE$4001,$L$2:$L$4001,$L3729,$F$2:$F$4001,"4")-SUMIFS('AR SALES'!$Y$2:$Y$2501,'AR SALES'!$L$2:$L$2501,$L3729,'AR SALES'!$AD$2:$AD$2501,"OFF"),2)=0,"","STALE")))</f>
        <v/>
      </c>
      <c r="BB3729" s="2" t="str">
        <f>IF(OR(""&amp;$F3729="2",""&amp;$F3729="4",""&amp;$F3729="G",""&amp;$F3729="H"),IF($AY3729="YES","",IF($AB3729&lt;&gt;0,"",IF(COUNTIFS('AR SALES'!$L$2:$L$2501,$L3729,'AR SALES'!$AD$2:$AD$2501,IF(""&amp;$F3729="4","OFF","ON"),'AR SALES'!$AF$2:$AF$2501,"Y")&gt;0,"","NO EXEMPTION"))),"")</f>
        <v/>
      </c>
    </row>
    <row r="3730" spans="46:54" x14ac:dyDescent="0.25">
      <c r="AT3730" s="2" t="str">
        <f>IF($L3730="","",IFERROR(INDEX('AR SALES'!$H$2:$H$2501,MATCH(""&amp;$L3730,'AR SALES'!$AE$2:$AE$2501,0)),""))</f>
        <v/>
      </c>
      <c r="AU3730" s="2" t="str">
        <f t="shared" si="232"/>
        <v/>
      </c>
      <c r="AV3730" s="2" t="str">
        <f t="shared" si="233"/>
        <v/>
      </c>
      <c r="AW3730" s="2" t="str">
        <f t="shared" si="234"/>
        <v/>
      </c>
      <c r="AX3730" s="2" t="str">
        <f t="shared" si="235"/>
        <v/>
      </c>
      <c r="AY3730" s="2" t="str">
        <f>IF($AV3730="","",IF(AND($Z3730=0,COUNTIF('AR SALES'!$L$2:$L$2501,$L3730)=0),"YES",""))</f>
        <v/>
      </c>
      <c r="AZ3730" s="2" t="str">
        <f>IF($AV3730="","",IF(COUNTIF(LISTS!$C$2:$C$250,$AU3730)=0,"NEW",""))</f>
        <v/>
      </c>
      <c r="BA3730" s="2" t="str">
        <f>IF(""&amp;$F3730&lt;&gt;"4","",IF($AY3730="YES","",IF(ROUND(SUMIFS($AE$2:$AE$4001,$L$2:$L$4001,$L3730,$F$2:$F$4001,"4")-SUMIFS('AR SALES'!$Y$2:$Y$2501,'AR SALES'!$L$2:$L$2501,$L3730,'AR SALES'!$AD$2:$AD$2501,"OFF"),2)=0,"","STALE")))</f>
        <v/>
      </c>
      <c r="BB3730" s="2" t="str">
        <f>IF(OR(""&amp;$F3730="2",""&amp;$F3730="4",""&amp;$F3730="G",""&amp;$F3730="H"),IF($AY3730="YES","",IF($AB3730&lt;&gt;0,"",IF(COUNTIFS('AR SALES'!$L$2:$L$2501,$L3730,'AR SALES'!$AD$2:$AD$2501,IF(""&amp;$F3730="4","OFF","ON"),'AR SALES'!$AF$2:$AF$2501,"Y")&gt;0,"","NO EXEMPTION"))),"")</f>
        <v/>
      </c>
    </row>
    <row r="3731" spans="46:54" x14ac:dyDescent="0.25">
      <c r="AT3731" s="2" t="str">
        <f>IF($L3731="","",IFERROR(INDEX('AR SALES'!$H$2:$H$2501,MATCH(""&amp;$L3731,'AR SALES'!$AE$2:$AE$2501,0)),""))</f>
        <v/>
      </c>
      <c r="AU3731" s="2" t="str">
        <f t="shared" si="232"/>
        <v/>
      </c>
      <c r="AV3731" s="2" t="str">
        <f t="shared" si="233"/>
        <v/>
      </c>
      <c r="AW3731" s="2" t="str">
        <f t="shared" si="234"/>
        <v/>
      </c>
      <c r="AX3731" s="2" t="str">
        <f t="shared" si="235"/>
        <v/>
      </c>
      <c r="AY3731" s="2" t="str">
        <f>IF($AV3731="","",IF(AND($Z3731=0,COUNTIF('AR SALES'!$L$2:$L$2501,$L3731)=0),"YES",""))</f>
        <v/>
      </c>
      <c r="AZ3731" s="2" t="str">
        <f>IF($AV3731="","",IF(COUNTIF(LISTS!$C$2:$C$250,$AU3731)=0,"NEW",""))</f>
        <v/>
      </c>
      <c r="BA3731" s="2" t="str">
        <f>IF(""&amp;$F3731&lt;&gt;"4","",IF($AY3731="YES","",IF(ROUND(SUMIFS($AE$2:$AE$4001,$L$2:$L$4001,$L3731,$F$2:$F$4001,"4")-SUMIFS('AR SALES'!$Y$2:$Y$2501,'AR SALES'!$L$2:$L$2501,$L3731,'AR SALES'!$AD$2:$AD$2501,"OFF"),2)=0,"","STALE")))</f>
        <v/>
      </c>
      <c r="BB3731" s="2" t="str">
        <f>IF(OR(""&amp;$F3731="2",""&amp;$F3731="4",""&amp;$F3731="G",""&amp;$F3731="H"),IF($AY3731="YES","",IF($AB3731&lt;&gt;0,"",IF(COUNTIFS('AR SALES'!$L$2:$L$2501,$L3731,'AR SALES'!$AD$2:$AD$2501,IF(""&amp;$F3731="4","OFF","ON"),'AR SALES'!$AF$2:$AF$2501,"Y")&gt;0,"","NO EXEMPTION"))),"")</f>
        <v/>
      </c>
    </row>
    <row r="3732" spans="46:54" x14ac:dyDescent="0.25">
      <c r="AT3732" s="2" t="str">
        <f>IF($L3732="","",IFERROR(INDEX('AR SALES'!$H$2:$H$2501,MATCH(""&amp;$L3732,'AR SALES'!$AE$2:$AE$2501,0)),""))</f>
        <v/>
      </c>
      <c r="AU3732" s="2" t="str">
        <f t="shared" si="232"/>
        <v/>
      </c>
      <c r="AV3732" s="2" t="str">
        <f t="shared" si="233"/>
        <v/>
      </c>
      <c r="AW3732" s="2" t="str">
        <f t="shared" si="234"/>
        <v/>
      </c>
      <c r="AX3732" s="2" t="str">
        <f t="shared" si="235"/>
        <v/>
      </c>
      <c r="AY3732" s="2" t="str">
        <f>IF($AV3732="","",IF(AND($Z3732=0,COUNTIF('AR SALES'!$L$2:$L$2501,$L3732)=0),"YES",""))</f>
        <v/>
      </c>
      <c r="AZ3732" s="2" t="str">
        <f>IF($AV3732="","",IF(COUNTIF(LISTS!$C$2:$C$250,$AU3732)=0,"NEW",""))</f>
        <v/>
      </c>
      <c r="BA3732" s="2" t="str">
        <f>IF(""&amp;$F3732&lt;&gt;"4","",IF($AY3732="YES","",IF(ROUND(SUMIFS($AE$2:$AE$4001,$L$2:$L$4001,$L3732,$F$2:$F$4001,"4")-SUMIFS('AR SALES'!$Y$2:$Y$2501,'AR SALES'!$L$2:$L$2501,$L3732,'AR SALES'!$AD$2:$AD$2501,"OFF"),2)=0,"","STALE")))</f>
        <v/>
      </c>
      <c r="BB3732" s="2" t="str">
        <f>IF(OR(""&amp;$F3732="2",""&amp;$F3732="4",""&amp;$F3732="G",""&amp;$F3732="H"),IF($AY3732="YES","",IF($AB3732&lt;&gt;0,"",IF(COUNTIFS('AR SALES'!$L$2:$L$2501,$L3732,'AR SALES'!$AD$2:$AD$2501,IF(""&amp;$F3732="4","OFF","ON"),'AR SALES'!$AF$2:$AF$2501,"Y")&gt;0,"","NO EXEMPTION"))),"")</f>
        <v/>
      </c>
    </row>
    <row r="3733" spans="46:54" x14ac:dyDescent="0.25">
      <c r="AT3733" s="2" t="str">
        <f>IF($L3733="","",IFERROR(INDEX('AR SALES'!$H$2:$H$2501,MATCH(""&amp;$L3733,'AR SALES'!$AE$2:$AE$2501,0)),""))</f>
        <v/>
      </c>
      <c r="AU3733" s="2" t="str">
        <f t="shared" si="232"/>
        <v/>
      </c>
      <c r="AV3733" s="2" t="str">
        <f t="shared" si="233"/>
        <v/>
      </c>
      <c r="AW3733" s="2" t="str">
        <f t="shared" si="234"/>
        <v/>
      </c>
      <c r="AX3733" s="2" t="str">
        <f t="shared" si="235"/>
        <v/>
      </c>
      <c r="AY3733" s="2" t="str">
        <f>IF($AV3733="","",IF(AND($Z3733=0,COUNTIF('AR SALES'!$L$2:$L$2501,$L3733)=0),"YES",""))</f>
        <v/>
      </c>
      <c r="AZ3733" s="2" t="str">
        <f>IF($AV3733="","",IF(COUNTIF(LISTS!$C$2:$C$250,$AU3733)=0,"NEW",""))</f>
        <v/>
      </c>
      <c r="BA3733" s="2" t="str">
        <f>IF(""&amp;$F3733&lt;&gt;"4","",IF($AY3733="YES","",IF(ROUND(SUMIFS($AE$2:$AE$4001,$L$2:$L$4001,$L3733,$F$2:$F$4001,"4")-SUMIFS('AR SALES'!$Y$2:$Y$2501,'AR SALES'!$L$2:$L$2501,$L3733,'AR SALES'!$AD$2:$AD$2501,"OFF"),2)=0,"","STALE")))</f>
        <v/>
      </c>
      <c r="BB3733" s="2" t="str">
        <f>IF(OR(""&amp;$F3733="2",""&amp;$F3733="4",""&amp;$F3733="G",""&amp;$F3733="H"),IF($AY3733="YES","",IF($AB3733&lt;&gt;0,"",IF(COUNTIFS('AR SALES'!$L$2:$L$2501,$L3733,'AR SALES'!$AD$2:$AD$2501,IF(""&amp;$F3733="4","OFF","ON"),'AR SALES'!$AF$2:$AF$2501,"Y")&gt;0,"","NO EXEMPTION"))),"")</f>
        <v/>
      </c>
    </row>
    <row r="3734" spans="46:54" x14ac:dyDescent="0.25">
      <c r="AT3734" s="2" t="str">
        <f>IF($L3734="","",IFERROR(INDEX('AR SALES'!$H$2:$H$2501,MATCH(""&amp;$L3734,'AR SALES'!$AE$2:$AE$2501,0)),""))</f>
        <v/>
      </c>
      <c r="AU3734" s="2" t="str">
        <f t="shared" si="232"/>
        <v/>
      </c>
      <c r="AV3734" s="2" t="str">
        <f t="shared" si="233"/>
        <v/>
      </c>
      <c r="AW3734" s="2" t="str">
        <f t="shared" si="234"/>
        <v/>
      </c>
      <c r="AX3734" s="2" t="str">
        <f t="shared" si="235"/>
        <v/>
      </c>
      <c r="AY3734" s="2" t="str">
        <f>IF($AV3734="","",IF(AND($Z3734=0,COUNTIF('AR SALES'!$L$2:$L$2501,$L3734)=0),"YES",""))</f>
        <v/>
      </c>
      <c r="AZ3734" s="2" t="str">
        <f>IF($AV3734="","",IF(COUNTIF(LISTS!$C$2:$C$250,$AU3734)=0,"NEW",""))</f>
        <v/>
      </c>
      <c r="BA3734" s="2" t="str">
        <f>IF(""&amp;$F3734&lt;&gt;"4","",IF($AY3734="YES","",IF(ROUND(SUMIFS($AE$2:$AE$4001,$L$2:$L$4001,$L3734,$F$2:$F$4001,"4")-SUMIFS('AR SALES'!$Y$2:$Y$2501,'AR SALES'!$L$2:$L$2501,$L3734,'AR SALES'!$AD$2:$AD$2501,"OFF"),2)=0,"","STALE")))</f>
        <v/>
      </c>
      <c r="BB3734" s="2" t="str">
        <f>IF(OR(""&amp;$F3734="2",""&amp;$F3734="4",""&amp;$F3734="G",""&amp;$F3734="H"),IF($AY3734="YES","",IF($AB3734&lt;&gt;0,"",IF(COUNTIFS('AR SALES'!$L$2:$L$2501,$L3734,'AR SALES'!$AD$2:$AD$2501,IF(""&amp;$F3734="4","OFF","ON"),'AR SALES'!$AF$2:$AF$2501,"Y")&gt;0,"","NO EXEMPTION"))),"")</f>
        <v/>
      </c>
    </row>
    <row r="3735" spans="46:54" x14ac:dyDescent="0.25">
      <c r="AT3735" s="2" t="str">
        <f>IF($L3735="","",IFERROR(INDEX('AR SALES'!$H$2:$H$2501,MATCH(""&amp;$L3735,'AR SALES'!$AE$2:$AE$2501,0)),""))</f>
        <v/>
      </c>
      <c r="AU3735" s="2" t="str">
        <f t="shared" si="232"/>
        <v/>
      </c>
      <c r="AV3735" s="2" t="str">
        <f t="shared" si="233"/>
        <v/>
      </c>
      <c r="AW3735" s="2" t="str">
        <f t="shared" si="234"/>
        <v/>
      </c>
      <c r="AX3735" s="2" t="str">
        <f t="shared" si="235"/>
        <v/>
      </c>
      <c r="AY3735" s="2" t="str">
        <f>IF($AV3735="","",IF(AND($Z3735=0,COUNTIF('AR SALES'!$L$2:$L$2501,$L3735)=0),"YES",""))</f>
        <v/>
      </c>
      <c r="AZ3735" s="2" t="str">
        <f>IF($AV3735="","",IF(COUNTIF(LISTS!$C$2:$C$250,$AU3735)=0,"NEW",""))</f>
        <v/>
      </c>
      <c r="BA3735" s="2" t="str">
        <f>IF(""&amp;$F3735&lt;&gt;"4","",IF($AY3735="YES","",IF(ROUND(SUMIFS($AE$2:$AE$4001,$L$2:$L$4001,$L3735,$F$2:$F$4001,"4")-SUMIFS('AR SALES'!$Y$2:$Y$2501,'AR SALES'!$L$2:$L$2501,$L3735,'AR SALES'!$AD$2:$AD$2501,"OFF"),2)=0,"","STALE")))</f>
        <v/>
      </c>
      <c r="BB3735" s="2" t="str">
        <f>IF(OR(""&amp;$F3735="2",""&amp;$F3735="4",""&amp;$F3735="G",""&amp;$F3735="H"),IF($AY3735="YES","",IF($AB3735&lt;&gt;0,"",IF(COUNTIFS('AR SALES'!$L$2:$L$2501,$L3735,'AR SALES'!$AD$2:$AD$2501,IF(""&amp;$F3735="4","OFF","ON"),'AR SALES'!$AF$2:$AF$2501,"Y")&gt;0,"","NO EXEMPTION"))),"")</f>
        <v/>
      </c>
    </row>
    <row r="3736" spans="46:54" x14ac:dyDescent="0.25">
      <c r="AT3736" s="2" t="str">
        <f>IF($L3736="","",IFERROR(INDEX('AR SALES'!$H$2:$H$2501,MATCH(""&amp;$L3736,'AR SALES'!$AE$2:$AE$2501,0)),""))</f>
        <v/>
      </c>
      <c r="AU3736" s="2" t="str">
        <f t="shared" si="232"/>
        <v/>
      </c>
      <c r="AV3736" s="2" t="str">
        <f t="shared" si="233"/>
        <v/>
      </c>
      <c r="AW3736" s="2" t="str">
        <f t="shared" si="234"/>
        <v/>
      </c>
      <c r="AX3736" s="2" t="str">
        <f t="shared" si="235"/>
        <v/>
      </c>
      <c r="AY3736" s="2" t="str">
        <f>IF($AV3736="","",IF(AND($Z3736=0,COUNTIF('AR SALES'!$L$2:$L$2501,$L3736)=0),"YES",""))</f>
        <v/>
      </c>
      <c r="AZ3736" s="2" t="str">
        <f>IF($AV3736="","",IF(COUNTIF(LISTS!$C$2:$C$250,$AU3736)=0,"NEW",""))</f>
        <v/>
      </c>
      <c r="BA3736" s="2" t="str">
        <f>IF(""&amp;$F3736&lt;&gt;"4","",IF($AY3736="YES","",IF(ROUND(SUMIFS($AE$2:$AE$4001,$L$2:$L$4001,$L3736,$F$2:$F$4001,"4")-SUMIFS('AR SALES'!$Y$2:$Y$2501,'AR SALES'!$L$2:$L$2501,$L3736,'AR SALES'!$AD$2:$AD$2501,"OFF"),2)=0,"","STALE")))</f>
        <v/>
      </c>
      <c r="BB3736" s="2" t="str">
        <f>IF(OR(""&amp;$F3736="2",""&amp;$F3736="4",""&amp;$F3736="G",""&amp;$F3736="H"),IF($AY3736="YES","",IF($AB3736&lt;&gt;0,"",IF(COUNTIFS('AR SALES'!$L$2:$L$2501,$L3736,'AR SALES'!$AD$2:$AD$2501,IF(""&amp;$F3736="4","OFF","ON"),'AR SALES'!$AF$2:$AF$2501,"Y")&gt;0,"","NO EXEMPTION"))),"")</f>
        <v/>
      </c>
    </row>
    <row r="3737" spans="46:54" x14ac:dyDescent="0.25">
      <c r="AT3737" s="2" t="str">
        <f>IF($L3737="","",IFERROR(INDEX('AR SALES'!$H$2:$H$2501,MATCH(""&amp;$L3737,'AR SALES'!$AE$2:$AE$2501,0)),""))</f>
        <v/>
      </c>
      <c r="AU3737" s="2" t="str">
        <f t="shared" si="232"/>
        <v/>
      </c>
      <c r="AV3737" s="2" t="str">
        <f t="shared" si="233"/>
        <v/>
      </c>
      <c r="AW3737" s="2" t="str">
        <f t="shared" si="234"/>
        <v/>
      </c>
      <c r="AX3737" s="2" t="str">
        <f t="shared" si="235"/>
        <v/>
      </c>
      <c r="AY3737" s="2" t="str">
        <f>IF($AV3737="","",IF(AND($Z3737=0,COUNTIF('AR SALES'!$L$2:$L$2501,$L3737)=0),"YES",""))</f>
        <v/>
      </c>
      <c r="AZ3737" s="2" t="str">
        <f>IF($AV3737="","",IF(COUNTIF(LISTS!$C$2:$C$250,$AU3737)=0,"NEW",""))</f>
        <v/>
      </c>
      <c r="BA3737" s="2" t="str">
        <f>IF(""&amp;$F3737&lt;&gt;"4","",IF($AY3737="YES","",IF(ROUND(SUMIFS($AE$2:$AE$4001,$L$2:$L$4001,$L3737,$F$2:$F$4001,"4")-SUMIFS('AR SALES'!$Y$2:$Y$2501,'AR SALES'!$L$2:$L$2501,$L3737,'AR SALES'!$AD$2:$AD$2501,"OFF"),2)=0,"","STALE")))</f>
        <v/>
      </c>
      <c r="BB3737" s="2" t="str">
        <f>IF(OR(""&amp;$F3737="2",""&amp;$F3737="4",""&amp;$F3737="G",""&amp;$F3737="H"),IF($AY3737="YES","",IF($AB3737&lt;&gt;0,"",IF(COUNTIFS('AR SALES'!$L$2:$L$2501,$L3737,'AR SALES'!$AD$2:$AD$2501,IF(""&amp;$F3737="4","OFF","ON"),'AR SALES'!$AF$2:$AF$2501,"Y")&gt;0,"","NO EXEMPTION"))),"")</f>
        <v/>
      </c>
    </row>
    <row r="3738" spans="46:54" x14ac:dyDescent="0.25">
      <c r="AT3738" s="2" t="str">
        <f>IF($L3738="","",IFERROR(INDEX('AR SALES'!$H$2:$H$2501,MATCH(""&amp;$L3738,'AR SALES'!$AE$2:$AE$2501,0)),""))</f>
        <v/>
      </c>
      <c r="AU3738" s="2" t="str">
        <f t="shared" si="232"/>
        <v/>
      </c>
      <c r="AV3738" s="2" t="str">
        <f t="shared" si="233"/>
        <v/>
      </c>
      <c r="AW3738" s="2" t="str">
        <f t="shared" si="234"/>
        <v/>
      </c>
      <c r="AX3738" s="2" t="str">
        <f t="shared" si="235"/>
        <v/>
      </c>
      <c r="AY3738" s="2" t="str">
        <f>IF($AV3738="","",IF(AND($Z3738=0,COUNTIF('AR SALES'!$L$2:$L$2501,$L3738)=0),"YES",""))</f>
        <v/>
      </c>
      <c r="AZ3738" s="2" t="str">
        <f>IF($AV3738="","",IF(COUNTIF(LISTS!$C$2:$C$250,$AU3738)=0,"NEW",""))</f>
        <v/>
      </c>
      <c r="BA3738" s="2" t="str">
        <f>IF(""&amp;$F3738&lt;&gt;"4","",IF($AY3738="YES","",IF(ROUND(SUMIFS($AE$2:$AE$4001,$L$2:$L$4001,$L3738,$F$2:$F$4001,"4")-SUMIFS('AR SALES'!$Y$2:$Y$2501,'AR SALES'!$L$2:$L$2501,$L3738,'AR SALES'!$AD$2:$AD$2501,"OFF"),2)=0,"","STALE")))</f>
        <v/>
      </c>
      <c r="BB3738" s="2" t="str">
        <f>IF(OR(""&amp;$F3738="2",""&amp;$F3738="4",""&amp;$F3738="G",""&amp;$F3738="H"),IF($AY3738="YES","",IF($AB3738&lt;&gt;0,"",IF(COUNTIFS('AR SALES'!$L$2:$L$2501,$L3738,'AR SALES'!$AD$2:$AD$2501,IF(""&amp;$F3738="4","OFF","ON"),'AR SALES'!$AF$2:$AF$2501,"Y")&gt;0,"","NO EXEMPTION"))),"")</f>
        <v/>
      </c>
    </row>
    <row r="3739" spans="46:54" x14ac:dyDescent="0.25">
      <c r="AT3739" s="2" t="str">
        <f>IF($L3739="","",IFERROR(INDEX('AR SALES'!$H$2:$H$2501,MATCH(""&amp;$L3739,'AR SALES'!$AE$2:$AE$2501,0)),""))</f>
        <v/>
      </c>
      <c r="AU3739" s="2" t="str">
        <f t="shared" si="232"/>
        <v/>
      </c>
      <c r="AV3739" s="2" t="str">
        <f t="shared" si="233"/>
        <v/>
      </c>
      <c r="AW3739" s="2" t="str">
        <f t="shared" si="234"/>
        <v/>
      </c>
      <c r="AX3739" s="2" t="str">
        <f t="shared" si="235"/>
        <v/>
      </c>
      <c r="AY3739" s="2" t="str">
        <f>IF($AV3739="","",IF(AND($Z3739=0,COUNTIF('AR SALES'!$L$2:$L$2501,$L3739)=0),"YES",""))</f>
        <v/>
      </c>
      <c r="AZ3739" s="2" t="str">
        <f>IF($AV3739="","",IF(COUNTIF(LISTS!$C$2:$C$250,$AU3739)=0,"NEW",""))</f>
        <v/>
      </c>
      <c r="BA3739" s="2" t="str">
        <f>IF(""&amp;$F3739&lt;&gt;"4","",IF($AY3739="YES","",IF(ROUND(SUMIFS($AE$2:$AE$4001,$L$2:$L$4001,$L3739,$F$2:$F$4001,"4")-SUMIFS('AR SALES'!$Y$2:$Y$2501,'AR SALES'!$L$2:$L$2501,$L3739,'AR SALES'!$AD$2:$AD$2501,"OFF"),2)=0,"","STALE")))</f>
        <v/>
      </c>
      <c r="BB3739" s="2" t="str">
        <f>IF(OR(""&amp;$F3739="2",""&amp;$F3739="4",""&amp;$F3739="G",""&amp;$F3739="H"),IF($AY3739="YES","",IF($AB3739&lt;&gt;0,"",IF(COUNTIFS('AR SALES'!$L$2:$L$2501,$L3739,'AR SALES'!$AD$2:$AD$2501,IF(""&amp;$F3739="4","OFF","ON"),'AR SALES'!$AF$2:$AF$2501,"Y")&gt;0,"","NO EXEMPTION"))),"")</f>
        <v/>
      </c>
    </row>
    <row r="3740" spans="46:54" x14ac:dyDescent="0.25">
      <c r="AT3740" s="2" t="str">
        <f>IF($L3740="","",IFERROR(INDEX('AR SALES'!$H$2:$H$2501,MATCH(""&amp;$L3740,'AR SALES'!$AE$2:$AE$2501,0)),""))</f>
        <v/>
      </c>
      <c r="AU3740" s="2" t="str">
        <f t="shared" si="232"/>
        <v/>
      </c>
      <c r="AV3740" s="2" t="str">
        <f t="shared" si="233"/>
        <v/>
      </c>
      <c r="AW3740" s="2" t="str">
        <f t="shared" si="234"/>
        <v/>
      </c>
      <c r="AX3740" s="2" t="str">
        <f t="shared" si="235"/>
        <v/>
      </c>
      <c r="AY3740" s="2" t="str">
        <f>IF($AV3740="","",IF(AND($Z3740=0,COUNTIF('AR SALES'!$L$2:$L$2501,$L3740)=0),"YES",""))</f>
        <v/>
      </c>
      <c r="AZ3740" s="2" t="str">
        <f>IF($AV3740="","",IF(COUNTIF(LISTS!$C$2:$C$250,$AU3740)=0,"NEW",""))</f>
        <v/>
      </c>
      <c r="BA3740" s="2" t="str">
        <f>IF(""&amp;$F3740&lt;&gt;"4","",IF($AY3740="YES","",IF(ROUND(SUMIFS($AE$2:$AE$4001,$L$2:$L$4001,$L3740,$F$2:$F$4001,"4")-SUMIFS('AR SALES'!$Y$2:$Y$2501,'AR SALES'!$L$2:$L$2501,$L3740,'AR SALES'!$AD$2:$AD$2501,"OFF"),2)=0,"","STALE")))</f>
        <v/>
      </c>
      <c r="BB3740" s="2" t="str">
        <f>IF(OR(""&amp;$F3740="2",""&amp;$F3740="4",""&amp;$F3740="G",""&amp;$F3740="H"),IF($AY3740="YES","",IF($AB3740&lt;&gt;0,"",IF(COUNTIFS('AR SALES'!$L$2:$L$2501,$L3740,'AR SALES'!$AD$2:$AD$2501,IF(""&amp;$F3740="4","OFF","ON"),'AR SALES'!$AF$2:$AF$2501,"Y")&gt;0,"","NO EXEMPTION"))),"")</f>
        <v/>
      </c>
    </row>
    <row r="3741" spans="46:54" x14ac:dyDescent="0.25">
      <c r="AT3741" s="2" t="str">
        <f>IF($L3741="","",IFERROR(INDEX('AR SALES'!$H$2:$H$2501,MATCH(""&amp;$L3741,'AR SALES'!$AE$2:$AE$2501,0)),""))</f>
        <v/>
      </c>
      <c r="AU3741" s="2" t="str">
        <f t="shared" si="232"/>
        <v/>
      </c>
      <c r="AV3741" s="2" t="str">
        <f t="shared" si="233"/>
        <v/>
      </c>
      <c r="AW3741" s="2" t="str">
        <f t="shared" si="234"/>
        <v/>
      </c>
      <c r="AX3741" s="2" t="str">
        <f t="shared" si="235"/>
        <v/>
      </c>
      <c r="AY3741" s="2" t="str">
        <f>IF($AV3741="","",IF(AND($Z3741=0,COUNTIF('AR SALES'!$L$2:$L$2501,$L3741)=0),"YES",""))</f>
        <v/>
      </c>
      <c r="AZ3741" s="2" t="str">
        <f>IF($AV3741="","",IF(COUNTIF(LISTS!$C$2:$C$250,$AU3741)=0,"NEW",""))</f>
        <v/>
      </c>
      <c r="BA3741" s="2" t="str">
        <f>IF(""&amp;$F3741&lt;&gt;"4","",IF($AY3741="YES","",IF(ROUND(SUMIFS($AE$2:$AE$4001,$L$2:$L$4001,$L3741,$F$2:$F$4001,"4")-SUMIFS('AR SALES'!$Y$2:$Y$2501,'AR SALES'!$L$2:$L$2501,$L3741,'AR SALES'!$AD$2:$AD$2501,"OFF"),2)=0,"","STALE")))</f>
        <v/>
      </c>
      <c r="BB3741" s="2" t="str">
        <f>IF(OR(""&amp;$F3741="2",""&amp;$F3741="4",""&amp;$F3741="G",""&amp;$F3741="H"),IF($AY3741="YES","",IF($AB3741&lt;&gt;0,"",IF(COUNTIFS('AR SALES'!$L$2:$L$2501,$L3741,'AR SALES'!$AD$2:$AD$2501,IF(""&amp;$F3741="4","OFF","ON"),'AR SALES'!$AF$2:$AF$2501,"Y")&gt;0,"","NO EXEMPTION"))),"")</f>
        <v/>
      </c>
    </row>
    <row r="3742" spans="46:54" x14ac:dyDescent="0.25">
      <c r="AT3742" s="2" t="str">
        <f>IF($L3742="","",IFERROR(INDEX('AR SALES'!$H$2:$H$2501,MATCH(""&amp;$L3742,'AR SALES'!$AE$2:$AE$2501,0)),""))</f>
        <v/>
      </c>
      <c r="AU3742" s="2" t="str">
        <f t="shared" si="232"/>
        <v/>
      </c>
      <c r="AV3742" s="2" t="str">
        <f t="shared" si="233"/>
        <v/>
      </c>
      <c r="AW3742" s="2" t="str">
        <f t="shared" si="234"/>
        <v/>
      </c>
      <c r="AX3742" s="2" t="str">
        <f t="shared" si="235"/>
        <v/>
      </c>
      <c r="AY3742" s="2" t="str">
        <f>IF($AV3742="","",IF(AND($Z3742=0,COUNTIF('AR SALES'!$L$2:$L$2501,$L3742)=0),"YES",""))</f>
        <v/>
      </c>
      <c r="AZ3742" s="2" t="str">
        <f>IF($AV3742="","",IF(COUNTIF(LISTS!$C$2:$C$250,$AU3742)=0,"NEW",""))</f>
        <v/>
      </c>
      <c r="BA3742" s="2" t="str">
        <f>IF(""&amp;$F3742&lt;&gt;"4","",IF($AY3742="YES","",IF(ROUND(SUMIFS($AE$2:$AE$4001,$L$2:$L$4001,$L3742,$F$2:$F$4001,"4")-SUMIFS('AR SALES'!$Y$2:$Y$2501,'AR SALES'!$L$2:$L$2501,$L3742,'AR SALES'!$AD$2:$AD$2501,"OFF"),2)=0,"","STALE")))</f>
        <v/>
      </c>
      <c r="BB3742" s="2" t="str">
        <f>IF(OR(""&amp;$F3742="2",""&amp;$F3742="4",""&amp;$F3742="G",""&amp;$F3742="H"),IF($AY3742="YES","",IF($AB3742&lt;&gt;0,"",IF(COUNTIFS('AR SALES'!$L$2:$L$2501,$L3742,'AR SALES'!$AD$2:$AD$2501,IF(""&amp;$F3742="4","OFF","ON"),'AR SALES'!$AF$2:$AF$2501,"Y")&gt;0,"","NO EXEMPTION"))),"")</f>
        <v/>
      </c>
    </row>
    <row r="3743" spans="46:54" x14ac:dyDescent="0.25">
      <c r="AT3743" s="2" t="str">
        <f>IF($L3743="","",IFERROR(INDEX('AR SALES'!$H$2:$H$2501,MATCH(""&amp;$L3743,'AR SALES'!$AE$2:$AE$2501,0)),""))</f>
        <v/>
      </c>
      <c r="AU3743" s="2" t="str">
        <f t="shared" si="232"/>
        <v/>
      </c>
      <c r="AV3743" s="2" t="str">
        <f t="shared" si="233"/>
        <v/>
      </c>
      <c r="AW3743" s="2" t="str">
        <f t="shared" si="234"/>
        <v/>
      </c>
      <c r="AX3743" s="2" t="str">
        <f t="shared" si="235"/>
        <v/>
      </c>
      <c r="AY3743" s="2" t="str">
        <f>IF($AV3743="","",IF(AND($Z3743=0,COUNTIF('AR SALES'!$L$2:$L$2501,$L3743)=0),"YES",""))</f>
        <v/>
      </c>
      <c r="AZ3743" s="2" t="str">
        <f>IF($AV3743="","",IF(COUNTIF(LISTS!$C$2:$C$250,$AU3743)=0,"NEW",""))</f>
        <v/>
      </c>
      <c r="BA3743" s="2" t="str">
        <f>IF(""&amp;$F3743&lt;&gt;"4","",IF($AY3743="YES","",IF(ROUND(SUMIFS($AE$2:$AE$4001,$L$2:$L$4001,$L3743,$F$2:$F$4001,"4")-SUMIFS('AR SALES'!$Y$2:$Y$2501,'AR SALES'!$L$2:$L$2501,$L3743,'AR SALES'!$AD$2:$AD$2501,"OFF"),2)=0,"","STALE")))</f>
        <v/>
      </c>
      <c r="BB3743" s="2" t="str">
        <f>IF(OR(""&amp;$F3743="2",""&amp;$F3743="4",""&amp;$F3743="G",""&amp;$F3743="H"),IF($AY3743="YES","",IF($AB3743&lt;&gt;0,"",IF(COUNTIFS('AR SALES'!$L$2:$L$2501,$L3743,'AR SALES'!$AD$2:$AD$2501,IF(""&amp;$F3743="4","OFF","ON"),'AR SALES'!$AF$2:$AF$2501,"Y")&gt;0,"","NO EXEMPTION"))),"")</f>
        <v/>
      </c>
    </row>
    <row r="3744" spans="46:54" x14ac:dyDescent="0.25">
      <c r="AT3744" s="2" t="str">
        <f>IF($L3744="","",IFERROR(INDEX('AR SALES'!$H$2:$H$2501,MATCH(""&amp;$L3744,'AR SALES'!$AE$2:$AE$2501,0)),""))</f>
        <v/>
      </c>
      <c r="AU3744" s="2" t="str">
        <f t="shared" si="232"/>
        <v/>
      </c>
      <c r="AV3744" s="2" t="str">
        <f t="shared" si="233"/>
        <v/>
      </c>
      <c r="AW3744" s="2" t="str">
        <f t="shared" si="234"/>
        <v/>
      </c>
      <c r="AX3744" s="2" t="str">
        <f t="shared" si="235"/>
        <v/>
      </c>
      <c r="AY3744" s="2" t="str">
        <f>IF($AV3744="","",IF(AND($Z3744=0,COUNTIF('AR SALES'!$L$2:$L$2501,$L3744)=0),"YES",""))</f>
        <v/>
      </c>
      <c r="AZ3744" s="2" t="str">
        <f>IF($AV3744="","",IF(COUNTIF(LISTS!$C$2:$C$250,$AU3744)=0,"NEW",""))</f>
        <v/>
      </c>
      <c r="BA3744" s="2" t="str">
        <f>IF(""&amp;$F3744&lt;&gt;"4","",IF($AY3744="YES","",IF(ROUND(SUMIFS($AE$2:$AE$4001,$L$2:$L$4001,$L3744,$F$2:$F$4001,"4")-SUMIFS('AR SALES'!$Y$2:$Y$2501,'AR SALES'!$L$2:$L$2501,$L3744,'AR SALES'!$AD$2:$AD$2501,"OFF"),2)=0,"","STALE")))</f>
        <v/>
      </c>
      <c r="BB3744" s="2" t="str">
        <f>IF(OR(""&amp;$F3744="2",""&amp;$F3744="4",""&amp;$F3744="G",""&amp;$F3744="H"),IF($AY3744="YES","",IF($AB3744&lt;&gt;0,"",IF(COUNTIFS('AR SALES'!$L$2:$L$2501,$L3744,'AR SALES'!$AD$2:$AD$2501,IF(""&amp;$F3744="4","OFF","ON"),'AR SALES'!$AF$2:$AF$2501,"Y")&gt;0,"","NO EXEMPTION"))),"")</f>
        <v/>
      </c>
    </row>
    <row r="3745" spans="46:54" x14ac:dyDescent="0.25">
      <c r="AT3745" s="2" t="str">
        <f>IF($L3745="","",IFERROR(INDEX('AR SALES'!$H$2:$H$2501,MATCH(""&amp;$L3745,'AR SALES'!$AE$2:$AE$2501,0)),""))</f>
        <v/>
      </c>
      <c r="AU3745" s="2" t="str">
        <f t="shared" si="232"/>
        <v/>
      </c>
      <c r="AV3745" s="2" t="str">
        <f t="shared" si="233"/>
        <v/>
      </c>
      <c r="AW3745" s="2" t="str">
        <f t="shared" si="234"/>
        <v/>
      </c>
      <c r="AX3745" s="2" t="str">
        <f t="shared" si="235"/>
        <v/>
      </c>
      <c r="AY3745" s="2" t="str">
        <f>IF($AV3745="","",IF(AND($Z3745=0,COUNTIF('AR SALES'!$L$2:$L$2501,$L3745)=0),"YES",""))</f>
        <v/>
      </c>
      <c r="AZ3745" s="2" t="str">
        <f>IF($AV3745="","",IF(COUNTIF(LISTS!$C$2:$C$250,$AU3745)=0,"NEW",""))</f>
        <v/>
      </c>
      <c r="BA3745" s="2" t="str">
        <f>IF(""&amp;$F3745&lt;&gt;"4","",IF($AY3745="YES","",IF(ROUND(SUMIFS($AE$2:$AE$4001,$L$2:$L$4001,$L3745,$F$2:$F$4001,"4")-SUMIFS('AR SALES'!$Y$2:$Y$2501,'AR SALES'!$L$2:$L$2501,$L3745,'AR SALES'!$AD$2:$AD$2501,"OFF"),2)=0,"","STALE")))</f>
        <v/>
      </c>
      <c r="BB3745" s="2" t="str">
        <f>IF(OR(""&amp;$F3745="2",""&amp;$F3745="4",""&amp;$F3745="G",""&amp;$F3745="H"),IF($AY3745="YES","",IF($AB3745&lt;&gt;0,"",IF(COUNTIFS('AR SALES'!$L$2:$L$2501,$L3745,'AR SALES'!$AD$2:$AD$2501,IF(""&amp;$F3745="4","OFF","ON"),'AR SALES'!$AF$2:$AF$2501,"Y")&gt;0,"","NO EXEMPTION"))),"")</f>
        <v/>
      </c>
    </row>
    <row r="3746" spans="46:54" x14ac:dyDescent="0.25">
      <c r="AT3746" s="2" t="str">
        <f>IF($L3746="","",IFERROR(INDEX('AR SALES'!$H$2:$H$2501,MATCH(""&amp;$L3746,'AR SALES'!$AE$2:$AE$2501,0)),""))</f>
        <v/>
      </c>
      <c r="AU3746" s="2" t="str">
        <f t="shared" si="232"/>
        <v/>
      </c>
      <c r="AV3746" s="2" t="str">
        <f t="shared" si="233"/>
        <v/>
      </c>
      <c r="AW3746" s="2" t="str">
        <f t="shared" si="234"/>
        <v/>
      </c>
      <c r="AX3746" s="2" t="str">
        <f t="shared" si="235"/>
        <v/>
      </c>
      <c r="AY3746" s="2" t="str">
        <f>IF($AV3746="","",IF(AND($Z3746=0,COUNTIF('AR SALES'!$L$2:$L$2501,$L3746)=0),"YES",""))</f>
        <v/>
      </c>
      <c r="AZ3746" s="2" t="str">
        <f>IF($AV3746="","",IF(COUNTIF(LISTS!$C$2:$C$250,$AU3746)=0,"NEW",""))</f>
        <v/>
      </c>
      <c r="BA3746" s="2" t="str">
        <f>IF(""&amp;$F3746&lt;&gt;"4","",IF($AY3746="YES","",IF(ROUND(SUMIFS($AE$2:$AE$4001,$L$2:$L$4001,$L3746,$F$2:$F$4001,"4")-SUMIFS('AR SALES'!$Y$2:$Y$2501,'AR SALES'!$L$2:$L$2501,$L3746,'AR SALES'!$AD$2:$AD$2501,"OFF"),2)=0,"","STALE")))</f>
        <v/>
      </c>
      <c r="BB3746" s="2" t="str">
        <f>IF(OR(""&amp;$F3746="2",""&amp;$F3746="4",""&amp;$F3746="G",""&amp;$F3746="H"),IF($AY3746="YES","",IF($AB3746&lt;&gt;0,"",IF(COUNTIFS('AR SALES'!$L$2:$L$2501,$L3746,'AR SALES'!$AD$2:$AD$2501,IF(""&amp;$F3746="4","OFF","ON"),'AR SALES'!$AF$2:$AF$2501,"Y")&gt;0,"","NO EXEMPTION"))),"")</f>
        <v/>
      </c>
    </row>
    <row r="3747" spans="46:54" x14ac:dyDescent="0.25">
      <c r="AT3747" s="2" t="str">
        <f>IF($L3747="","",IFERROR(INDEX('AR SALES'!$H$2:$H$2501,MATCH(""&amp;$L3747,'AR SALES'!$AE$2:$AE$2501,0)),""))</f>
        <v/>
      </c>
      <c r="AU3747" s="2" t="str">
        <f t="shared" si="232"/>
        <v/>
      </c>
      <c r="AV3747" s="2" t="str">
        <f t="shared" si="233"/>
        <v/>
      </c>
      <c r="AW3747" s="2" t="str">
        <f t="shared" si="234"/>
        <v/>
      </c>
      <c r="AX3747" s="2" t="str">
        <f t="shared" si="235"/>
        <v/>
      </c>
      <c r="AY3747" s="2" t="str">
        <f>IF($AV3747="","",IF(AND($Z3747=0,COUNTIF('AR SALES'!$L$2:$L$2501,$L3747)=0),"YES",""))</f>
        <v/>
      </c>
      <c r="AZ3747" s="2" t="str">
        <f>IF($AV3747="","",IF(COUNTIF(LISTS!$C$2:$C$250,$AU3747)=0,"NEW",""))</f>
        <v/>
      </c>
      <c r="BA3747" s="2" t="str">
        <f>IF(""&amp;$F3747&lt;&gt;"4","",IF($AY3747="YES","",IF(ROUND(SUMIFS($AE$2:$AE$4001,$L$2:$L$4001,$L3747,$F$2:$F$4001,"4")-SUMIFS('AR SALES'!$Y$2:$Y$2501,'AR SALES'!$L$2:$L$2501,$L3747,'AR SALES'!$AD$2:$AD$2501,"OFF"),2)=0,"","STALE")))</f>
        <v/>
      </c>
      <c r="BB3747" s="2" t="str">
        <f>IF(OR(""&amp;$F3747="2",""&amp;$F3747="4",""&amp;$F3747="G",""&amp;$F3747="H"),IF($AY3747="YES","",IF($AB3747&lt;&gt;0,"",IF(COUNTIFS('AR SALES'!$L$2:$L$2501,$L3747,'AR SALES'!$AD$2:$AD$2501,IF(""&amp;$F3747="4","OFF","ON"),'AR SALES'!$AF$2:$AF$2501,"Y")&gt;0,"","NO EXEMPTION"))),"")</f>
        <v/>
      </c>
    </row>
    <row r="3748" spans="46:54" x14ac:dyDescent="0.25">
      <c r="AT3748" s="2" t="str">
        <f>IF($L3748="","",IFERROR(INDEX('AR SALES'!$H$2:$H$2501,MATCH(""&amp;$L3748,'AR SALES'!$AE$2:$AE$2501,0)),""))</f>
        <v/>
      </c>
      <c r="AU3748" s="2" t="str">
        <f t="shared" si="232"/>
        <v/>
      </c>
      <c r="AV3748" s="2" t="str">
        <f t="shared" si="233"/>
        <v/>
      </c>
      <c r="AW3748" s="2" t="str">
        <f t="shared" si="234"/>
        <v/>
      </c>
      <c r="AX3748" s="2" t="str">
        <f t="shared" si="235"/>
        <v/>
      </c>
      <c r="AY3748" s="2" t="str">
        <f>IF($AV3748="","",IF(AND($Z3748=0,COUNTIF('AR SALES'!$L$2:$L$2501,$L3748)=0),"YES",""))</f>
        <v/>
      </c>
      <c r="AZ3748" s="2" t="str">
        <f>IF($AV3748="","",IF(COUNTIF(LISTS!$C$2:$C$250,$AU3748)=0,"NEW",""))</f>
        <v/>
      </c>
      <c r="BA3748" s="2" t="str">
        <f>IF(""&amp;$F3748&lt;&gt;"4","",IF($AY3748="YES","",IF(ROUND(SUMIFS($AE$2:$AE$4001,$L$2:$L$4001,$L3748,$F$2:$F$4001,"4")-SUMIFS('AR SALES'!$Y$2:$Y$2501,'AR SALES'!$L$2:$L$2501,$L3748,'AR SALES'!$AD$2:$AD$2501,"OFF"),2)=0,"","STALE")))</f>
        <v/>
      </c>
      <c r="BB3748" s="2" t="str">
        <f>IF(OR(""&amp;$F3748="2",""&amp;$F3748="4",""&amp;$F3748="G",""&amp;$F3748="H"),IF($AY3748="YES","",IF($AB3748&lt;&gt;0,"",IF(COUNTIFS('AR SALES'!$L$2:$L$2501,$L3748,'AR SALES'!$AD$2:$AD$2501,IF(""&amp;$F3748="4","OFF","ON"),'AR SALES'!$AF$2:$AF$2501,"Y")&gt;0,"","NO EXEMPTION"))),"")</f>
        <v/>
      </c>
    </row>
    <row r="3749" spans="46:54" x14ac:dyDescent="0.25">
      <c r="AT3749" s="2" t="str">
        <f>IF($L3749="","",IFERROR(INDEX('AR SALES'!$H$2:$H$2501,MATCH(""&amp;$L3749,'AR SALES'!$AE$2:$AE$2501,0)),""))</f>
        <v/>
      </c>
      <c r="AU3749" s="2" t="str">
        <f t="shared" si="232"/>
        <v/>
      </c>
      <c r="AV3749" s="2" t="str">
        <f t="shared" si="233"/>
        <v/>
      </c>
      <c r="AW3749" s="2" t="str">
        <f t="shared" si="234"/>
        <v/>
      </c>
      <c r="AX3749" s="2" t="str">
        <f t="shared" si="235"/>
        <v/>
      </c>
      <c r="AY3749" s="2" t="str">
        <f>IF($AV3749="","",IF(AND($Z3749=0,COUNTIF('AR SALES'!$L$2:$L$2501,$L3749)=0),"YES",""))</f>
        <v/>
      </c>
      <c r="AZ3749" s="2" t="str">
        <f>IF($AV3749="","",IF(COUNTIF(LISTS!$C$2:$C$250,$AU3749)=0,"NEW",""))</f>
        <v/>
      </c>
      <c r="BA3749" s="2" t="str">
        <f>IF(""&amp;$F3749&lt;&gt;"4","",IF($AY3749="YES","",IF(ROUND(SUMIFS($AE$2:$AE$4001,$L$2:$L$4001,$L3749,$F$2:$F$4001,"4")-SUMIFS('AR SALES'!$Y$2:$Y$2501,'AR SALES'!$L$2:$L$2501,$L3749,'AR SALES'!$AD$2:$AD$2501,"OFF"),2)=0,"","STALE")))</f>
        <v/>
      </c>
      <c r="BB3749" s="2" t="str">
        <f>IF(OR(""&amp;$F3749="2",""&amp;$F3749="4",""&amp;$F3749="G",""&amp;$F3749="H"),IF($AY3749="YES","",IF($AB3749&lt;&gt;0,"",IF(COUNTIFS('AR SALES'!$L$2:$L$2501,$L3749,'AR SALES'!$AD$2:$AD$2501,IF(""&amp;$F3749="4","OFF","ON"),'AR SALES'!$AF$2:$AF$2501,"Y")&gt;0,"","NO EXEMPTION"))),"")</f>
        <v/>
      </c>
    </row>
    <row r="3750" spans="46:54" x14ac:dyDescent="0.25">
      <c r="AT3750" s="2" t="str">
        <f>IF($L3750="","",IFERROR(INDEX('AR SALES'!$H$2:$H$2501,MATCH(""&amp;$L3750,'AR SALES'!$AE$2:$AE$2501,0)),""))</f>
        <v/>
      </c>
      <c r="AU3750" s="2" t="str">
        <f t="shared" si="232"/>
        <v/>
      </c>
      <c r="AV3750" s="2" t="str">
        <f t="shared" si="233"/>
        <v/>
      </c>
      <c r="AW3750" s="2" t="str">
        <f t="shared" si="234"/>
        <v/>
      </c>
      <c r="AX3750" s="2" t="str">
        <f t="shared" si="235"/>
        <v/>
      </c>
      <c r="AY3750" s="2" t="str">
        <f>IF($AV3750="","",IF(AND($Z3750=0,COUNTIF('AR SALES'!$L$2:$L$2501,$L3750)=0),"YES",""))</f>
        <v/>
      </c>
      <c r="AZ3750" s="2" t="str">
        <f>IF($AV3750="","",IF(COUNTIF(LISTS!$C$2:$C$250,$AU3750)=0,"NEW",""))</f>
        <v/>
      </c>
      <c r="BA3750" s="2" t="str">
        <f>IF(""&amp;$F3750&lt;&gt;"4","",IF($AY3750="YES","",IF(ROUND(SUMIFS($AE$2:$AE$4001,$L$2:$L$4001,$L3750,$F$2:$F$4001,"4")-SUMIFS('AR SALES'!$Y$2:$Y$2501,'AR SALES'!$L$2:$L$2501,$L3750,'AR SALES'!$AD$2:$AD$2501,"OFF"),2)=0,"","STALE")))</f>
        <v/>
      </c>
      <c r="BB3750" s="2" t="str">
        <f>IF(OR(""&amp;$F3750="2",""&amp;$F3750="4",""&amp;$F3750="G",""&amp;$F3750="H"),IF($AY3750="YES","",IF($AB3750&lt;&gt;0,"",IF(COUNTIFS('AR SALES'!$L$2:$L$2501,$L3750,'AR SALES'!$AD$2:$AD$2501,IF(""&amp;$F3750="4","OFF","ON"),'AR SALES'!$AF$2:$AF$2501,"Y")&gt;0,"","NO EXEMPTION"))),"")</f>
        <v/>
      </c>
    </row>
    <row r="3751" spans="46:54" x14ac:dyDescent="0.25">
      <c r="AT3751" s="2" t="str">
        <f>IF($L3751="","",IFERROR(INDEX('AR SALES'!$H$2:$H$2501,MATCH(""&amp;$L3751,'AR SALES'!$AE$2:$AE$2501,0)),""))</f>
        <v/>
      </c>
      <c r="AU3751" s="2" t="str">
        <f t="shared" si="232"/>
        <v/>
      </c>
      <c r="AV3751" s="2" t="str">
        <f t="shared" si="233"/>
        <v/>
      </c>
      <c r="AW3751" s="2" t="str">
        <f t="shared" si="234"/>
        <v/>
      </c>
      <c r="AX3751" s="2" t="str">
        <f t="shared" si="235"/>
        <v/>
      </c>
      <c r="AY3751" s="2" t="str">
        <f>IF($AV3751="","",IF(AND($Z3751=0,COUNTIF('AR SALES'!$L$2:$L$2501,$L3751)=0),"YES",""))</f>
        <v/>
      </c>
      <c r="AZ3751" s="2" t="str">
        <f>IF($AV3751="","",IF(COUNTIF(LISTS!$C$2:$C$250,$AU3751)=0,"NEW",""))</f>
        <v/>
      </c>
      <c r="BA3751" s="2" t="str">
        <f>IF(""&amp;$F3751&lt;&gt;"4","",IF($AY3751="YES","",IF(ROUND(SUMIFS($AE$2:$AE$4001,$L$2:$L$4001,$L3751,$F$2:$F$4001,"4")-SUMIFS('AR SALES'!$Y$2:$Y$2501,'AR SALES'!$L$2:$L$2501,$L3751,'AR SALES'!$AD$2:$AD$2501,"OFF"),2)=0,"","STALE")))</f>
        <v/>
      </c>
      <c r="BB3751" s="2" t="str">
        <f>IF(OR(""&amp;$F3751="2",""&amp;$F3751="4",""&amp;$F3751="G",""&amp;$F3751="H"),IF($AY3751="YES","",IF($AB3751&lt;&gt;0,"",IF(COUNTIFS('AR SALES'!$L$2:$L$2501,$L3751,'AR SALES'!$AD$2:$AD$2501,IF(""&amp;$F3751="4","OFF","ON"),'AR SALES'!$AF$2:$AF$2501,"Y")&gt;0,"","NO EXEMPTION"))),"")</f>
        <v/>
      </c>
    </row>
    <row r="3752" spans="46:54" x14ac:dyDescent="0.25">
      <c r="AT3752" s="2" t="str">
        <f>IF($L3752="","",IFERROR(INDEX('AR SALES'!$H$2:$H$2501,MATCH(""&amp;$L3752,'AR SALES'!$AE$2:$AE$2501,0)),""))</f>
        <v/>
      </c>
      <c r="AU3752" s="2" t="str">
        <f t="shared" si="232"/>
        <v/>
      </c>
      <c r="AV3752" s="2" t="str">
        <f t="shared" si="233"/>
        <v/>
      </c>
      <c r="AW3752" s="2" t="str">
        <f t="shared" si="234"/>
        <v/>
      </c>
      <c r="AX3752" s="2" t="str">
        <f t="shared" si="235"/>
        <v/>
      </c>
      <c r="AY3752" s="2" t="str">
        <f>IF($AV3752="","",IF(AND($Z3752=0,COUNTIF('AR SALES'!$L$2:$L$2501,$L3752)=0),"YES",""))</f>
        <v/>
      </c>
      <c r="AZ3752" s="2" t="str">
        <f>IF($AV3752="","",IF(COUNTIF(LISTS!$C$2:$C$250,$AU3752)=0,"NEW",""))</f>
        <v/>
      </c>
      <c r="BA3752" s="2" t="str">
        <f>IF(""&amp;$F3752&lt;&gt;"4","",IF($AY3752="YES","",IF(ROUND(SUMIFS($AE$2:$AE$4001,$L$2:$L$4001,$L3752,$F$2:$F$4001,"4")-SUMIFS('AR SALES'!$Y$2:$Y$2501,'AR SALES'!$L$2:$L$2501,$L3752,'AR SALES'!$AD$2:$AD$2501,"OFF"),2)=0,"","STALE")))</f>
        <v/>
      </c>
      <c r="BB3752" s="2" t="str">
        <f>IF(OR(""&amp;$F3752="2",""&amp;$F3752="4",""&amp;$F3752="G",""&amp;$F3752="H"),IF($AY3752="YES","",IF($AB3752&lt;&gt;0,"",IF(COUNTIFS('AR SALES'!$L$2:$L$2501,$L3752,'AR SALES'!$AD$2:$AD$2501,IF(""&amp;$F3752="4","OFF","ON"),'AR SALES'!$AF$2:$AF$2501,"Y")&gt;0,"","NO EXEMPTION"))),"")</f>
        <v/>
      </c>
    </row>
    <row r="3753" spans="46:54" x14ac:dyDescent="0.25">
      <c r="AT3753" s="2" t="str">
        <f>IF($L3753="","",IFERROR(INDEX('AR SALES'!$H$2:$H$2501,MATCH(""&amp;$L3753,'AR SALES'!$AE$2:$AE$2501,0)),""))</f>
        <v/>
      </c>
      <c r="AU3753" s="2" t="str">
        <f t="shared" si="232"/>
        <v/>
      </c>
      <c r="AV3753" s="2" t="str">
        <f t="shared" si="233"/>
        <v/>
      </c>
      <c r="AW3753" s="2" t="str">
        <f t="shared" si="234"/>
        <v/>
      </c>
      <c r="AX3753" s="2" t="str">
        <f t="shared" si="235"/>
        <v/>
      </c>
      <c r="AY3753" s="2" t="str">
        <f>IF($AV3753="","",IF(AND($Z3753=0,COUNTIF('AR SALES'!$L$2:$L$2501,$L3753)=0),"YES",""))</f>
        <v/>
      </c>
      <c r="AZ3753" s="2" t="str">
        <f>IF($AV3753="","",IF(COUNTIF(LISTS!$C$2:$C$250,$AU3753)=0,"NEW",""))</f>
        <v/>
      </c>
      <c r="BA3753" s="2" t="str">
        <f>IF(""&amp;$F3753&lt;&gt;"4","",IF($AY3753="YES","",IF(ROUND(SUMIFS($AE$2:$AE$4001,$L$2:$L$4001,$L3753,$F$2:$F$4001,"4")-SUMIFS('AR SALES'!$Y$2:$Y$2501,'AR SALES'!$L$2:$L$2501,$L3753,'AR SALES'!$AD$2:$AD$2501,"OFF"),2)=0,"","STALE")))</f>
        <v/>
      </c>
      <c r="BB3753" s="2" t="str">
        <f>IF(OR(""&amp;$F3753="2",""&amp;$F3753="4",""&amp;$F3753="G",""&amp;$F3753="H"),IF($AY3753="YES","",IF($AB3753&lt;&gt;0,"",IF(COUNTIFS('AR SALES'!$L$2:$L$2501,$L3753,'AR SALES'!$AD$2:$AD$2501,IF(""&amp;$F3753="4","OFF","ON"),'AR SALES'!$AF$2:$AF$2501,"Y")&gt;0,"","NO EXEMPTION"))),"")</f>
        <v/>
      </c>
    </row>
    <row r="3754" spans="46:54" x14ac:dyDescent="0.25">
      <c r="AT3754" s="2" t="str">
        <f>IF($L3754="","",IFERROR(INDEX('AR SALES'!$H$2:$H$2501,MATCH(""&amp;$L3754,'AR SALES'!$AE$2:$AE$2501,0)),""))</f>
        <v/>
      </c>
      <c r="AU3754" s="2" t="str">
        <f t="shared" si="232"/>
        <v/>
      </c>
      <c r="AV3754" s="2" t="str">
        <f t="shared" si="233"/>
        <v/>
      </c>
      <c r="AW3754" s="2" t="str">
        <f t="shared" si="234"/>
        <v/>
      </c>
      <c r="AX3754" s="2" t="str">
        <f t="shared" si="235"/>
        <v/>
      </c>
      <c r="AY3754" s="2" t="str">
        <f>IF($AV3754="","",IF(AND($Z3754=0,COUNTIF('AR SALES'!$L$2:$L$2501,$L3754)=0),"YES",""))</f>
        <v/>
      </c>
      <c r="AZ3754" s="2" t="str">
        <f>IF($AV3754="","",IF(COUNTIF(LISTS!$C$2:$C$250,$AU3754)=0,"NEW",""))</f>
        <v/>
      </c>
      <c r="BA3754" s="2" t="str">
        <f>IF(""&amp;$F3754&lt;&gt;"4","",IF($AY3754="YES","",IF(ROUND(SUMIFS($AE$2:$AE$4001,$L$2:$L$4001,$L3754,$F$2:$F$4001,"4")-SUMIFS('AR SALES'!$Y$2:$Y$2501,'AR SALES'!$L$2:$L$2501,$L3754,'AR SALES'!$AD$2:$AD$2501,"OFF"),2)=0,"","STALE")))</f>
        <v/>
      </c>
      <c r="BB3754" s="2" t="str">
        <f>IF(OR(""&amp;$F3754="2",""&amp;$F3754="4",""&amp;$F3754="G",""&amp;$F3754="H"),IF($AY3754="YES","",IF($AB3754&lt;&gt;0,"",IF(COUNTIFS('AR SALES'!$L$2:$L$2501,$L3754,'AR SALES'!$AD$2:$AD$2501,IF(""&amp;$F3754="4","OFF","ON"),'AR SALES'!$AF$2:$AF$2501,"Y")&gt;0,"","NO EXEMPTION"))),"")</f>
        <v/>
      </c>
    </row>
    <row r="3755" spans="46:54" x14ac:dyDescent="0.25">
      <c r="AT3755" s="2" t="str">
        <f>IF($L3755="","",IFERROR(INDEX('AR SALES'!$H$2:$H$2501,MATCH(""&amp;$L3755,'AR SALES'!$AE$2:$AE$2501,0)),""))</f>
        <v/>
      </c>
      <c r="AU3755" s="2" t="str">
        <f t="shared" si="232"/>
        <v/>
      </c>
      <c r="AV3755" s="2" t="str">
        <f t="shared" si="233"/>
        <v/>
      </c>
      <c r="AW3755" s="2" t="str">
        <f t="shared" si="234"/>
        <v/>
      </c>
      <c r="AX3755" s="2" t="str">
        <f t="shared" si="235"/>
        <v/>
      </c>
      <c r="AY3755" s="2" t="str">
        <f>IF($AV3755="","",IF(AND($Z3755=0,COUNTIF('AR SALES'!$L$2:$L$2501,$L3755)=0),"YES",""))</f>
        <v/>
      </c>
      <c r="AZ3755" s="2" t="str">
        <f>IF($AV3755="","",IF(COUNTIF(LISTS!$C$2:$C$250,$AU3755)=0,"NEW",""))</f>
        <v/>
      </c>
      <c r="BA3755" s="2" t="str">
        <f>IF(""&amp;$F3755&lt;&gt;"4","",IF($AY3755="YES","",IF(ROUND(SUMIFS($AE$2:$AE$4001,$L$2:$L$4001,$L3755,$F$2:$F$4001,"4")-SUMIFS('AR SALES'!$Y$2:$Y$2501,'AR SALES'!$L$2:$L$2501,$L3755,'AR SALES'!$AD$2:$AD$2501,"OFF"),2)=0,"","STALE")))</f>
        <v/>
      </c>
      <c r="BB3755" s="2" t="str">
        <f>IF(OR(""&amp;$F3755="2",""&amp;$F3755="4",""&amp;$F3755="G",""&amp;$F3755="H"),IF($AY3755="YES","",IF($AB3755&lt;&gt;0,"",IF(COUNTIFS('AR SALES'!$L$2:$L$2501,$L3755,'AR SALES'!$AD$2:$AD$2501,IF(""&amp;$F3755="4","OFF","ON"),'AR SALES'!$AF$2:$AF$2501,"Y")&gt;0,"","NO EXEMPTION"))),"")</f>
        <v/>
      </c>
    </row>
    <row r="3756" spans="46:54" x14ac:dyDescent="0.25">
      <c r="AT3756" s="2" t="str">
        <f>IF($L3756="","",IFERROR(INDEX('AR SALES'!$H$2:$H$2501,MATCH(""&amp;$L3756,'AR SALES'!$AE$2:$AE$2501,0)),""))</f>
        <v/>
      </c>
      <c r="AU3756" s="2" t="str">
        <f t="shared" si="232"/>
        <v/>
      </c>
      <c r="AV3756" s="2" t="str">
        <f t="shared" si="233"/>
        <v/>
      </c>
      <c r="AW3756" s="2" t="str">
        <f t="shared" si="234"/>
        <v/>
      </c>
      <c r="AX3756" s="2" t="str">
        <f t="shared" si="235"/>
        <v/>
      </c>
      <c r="AY3756" s="2" t="str">
        <f>IF($AV3756="","",IF(AND($Z3756=0,COUNTIF('AR SALES'!$L$2:$L$2501,$L3756)=0),"YES",""))</f>
        <v/>
      </c>
      <c r="AZ3756" s="2" t="str">
        <f>IF($AV3756="","",IF(COUNTIF(LISTS!$C$2:$C$250,$AU3756)=0,"NEW",""))</f>
        <v/>
      </c>
      <c r="BA3756" s="2" t="str">
        <f>IF(""&amp;$F3756&lt;&gt;"4","",IF($AY3756="YES","",IF(ROUND(SUMIFS($AE$2:$AE$4001,$L$2:$L$4001,$L3756,$F$2:$F$4001,"4")-SUMIFS('AR SALES'!$Y$2:$Y$2501,'AR SALES'!$L$2:$L$2501,$L3756,'AR SALES'!$AD$2:$AD$2501,"OFF"),2)=0,"","STALE")))</f>
        <v/>
      </c>
      <c r="BB3756" s="2" t="str">
        <f>IF(OR(""&amp;$F3756="2",""&amp;$F3756="4",""&amp;$F3756="G",""&amp;$F3756="H"),IF($AY3756="YES","",IF($AB3756&lt;&gt;0,"",IF(COUNTIFS('AR SALES'!$L$2:$L$2501,$L3756,'AR SALES'!$AD$2:$AD$2501,IF(""&amp;$F3756="4","OFF","ON"),'AR SALES'!$AF$2:$AF$2501,"Y")&gt;0,"","NO EXEMPTION"))),"")</f>
        <v/>
      </c>
    </row>
    <row r="3757" spans="46:54" x14ac:dyDescent="0.25">
      <c r="AT3757" s="2" t="str">
        <f>IF($L3757="","",IFERROR(INDEX('AR SALES'!$H$2:$H$2501,MATCH(""&amp;$L3757,'AR SALES'!$AE$2:$AE$2501,0)),""))</f>
        <v/>
      </c>
      <c r="AU3757" s="2" t="str">
        <f t="shared" si="232"/>
        <v/>
      </c>
      <c r="AV3757" s="2" t="str">
        <f t="shared" si="233"/>
        <v/>
      </c>
      <c r="AW3757" s="2" t="str">
        <f t="shared" si="234"/>
        <v/>
      </c>
      <c r="AX3757" s="2" t="str">
        <f t="shared" si="235"/>
        <v/>
      </c>
      <c r="AY3757" s="2" t="str">
        <f>IF($AV3757="","",IF(AND($Z3757=0,COUNTIF('AR SALES'!$L$2:$L$2501,$L3757)=0),"YES",""))</f>
        <v/>
      </c>
      <c r="AZ3757" s="2" t="str">
        <f>IF($AV3757="","",IF(COUNTIF(LISTS!$C$2:$C$250,$AU3757)=0,"NEW",""))</f>
        <v/>
      </c>
      <c r="BA3757" s="2" t="str">
        <f>IF(""&amp;$F3757&lt;&gt;"4","",IF($AY3757="YES","",IF(ROUND(SUMIFS($AE$2:$AE$4001,$L$2:$L$4001,$L3757,$F$2:$F$4001,"4")-SUMIFS('AR SALES'!$Y$2:$Y$2501,'AR SALES'!$L$2:$L$2501,$L3757,'AR SALES'!$AD$2:$AD$2501,"OFF"),2)=0,"","STALE")))</f>
        <v/>
      </c>
      <c r="BB3757" s="2" t="str">
        <f>IF(OR(""&amp;$F3757="2",""&amp;$F3757="4",""&amp;$F3757="G",""&amp;$F3757="H"),IF($AY3757="YES","",IF($AB3757&lt;&gt;0,"",IF(COUNTIFS('AR SALES'!$L$2:$L$2501,$L3757,'AR SALES'!$AD$2:$AD$2501,IF(""&amp;$F3757="4","OFF","ON"),'AR SALES'!$AF$2:$AF$2501,"Y")&gt;0,"","NO EXEMPTION"))),"")</f>
        <v/>
      </c>
    </row>
    <row r="3758" spans="46:54" x14ac:dyDescent="0.25">
      <c r="AT3758" s="2" t="str">
        <f>IF($L3758="","",IFERROR(INDEX('AR SALES'!$H$2:$H$2501,MATCH(""&amp;$L3758,'AR SALES'!$AE$2:$AE$2501,0)),""))</f>
        <v/>
      </c>
      <c r="AU3758" s="2" t="str">
        <f t="shared" si="232"/>
        <v/>
      </c>
      <c r="AV3758" s="2" t="str">
        <f t="shared" si="233"/>
        <v/>
      </c>
      <c r="AW3758" s="2" t="str">
        <f t="shared" si="234"/>
        <v/>
      </c>
      <c r="AX3758" s="2" t="str">
        <f t="shared" si="235"/>
        <v/>
      </c>
      <c r="AY3758" s="2" t="str">
        <f>IF($AV3758="","",IF(AND($Z3758=0,COUNTIF('AR SALES'!$L$2:$L$2501,$L3758)=0),"YES",""))</f>
        <v/>
      </c>
      <c r="AZ3758" s="2" t="str">
        <f>IF($AV3758="","",IF(COUNTIF(LISTS!$C$2:$C$250,$AU3758)=0,"NEW",""))</f>
        <v/>
      </c>
      <c r="BA3758" s="2" t="str">
        <f>IF(""&amp;$F3758&lt;&gt;"4","",IF($AY3758="YES","",IF(ROUND(SUMIFS($AE$2:$AE$4001,$L$2:$L$4001,$L3758,$F$2:$F$4001,"4")-SUMIFS('AR SALES'!$Y$2:$Y$2501,'AR SALES'!$L$2:$L$2501,$L3758,'AR SALES'!$AD$2:$AD$2501,"OFF"),2)=0,"","STALE")))</f>
        <v/>
      </c>
      <c r="BB3758" s="2" t="str">
        <f>IF(OR(""&amp;$F3758="2",""&amp;$F3758="4",""&amp;$F3758="G",""&amp;$F3758="H"),IF($AY3758="YES","",IF($AB3758&lt;&gt;0,"",IF(COUNTIFS('AR SALES'!$L$2:$L$2501,$L3758,'AR SALES'!$AD$2:$AD$2501,IF(""&amp;$F3758="4","OFF","ON"),'AR SALES'!$AF$2:$AF$2501,"Y")&gt;0,"","NO EXEMPTION"))),"")</f>
        <v/>
      </c>
    </row>
    <row r="3759" spans="46:54" x14ac:dyDescent="0.25">
      <c r="AT3759" s="2" t="str">
        <f>IF($L3759="","",IFERROR(INDEX('AR SALES'!$H$2:$H$2501,MATCH(""&amp;$L3759,'AR SALES'!$AE$2:$AE$2501,0)),""))</f>
        <v/>
      </c>
      <c r="AU3759" s="2" t="str">
        <f t="shared" si="232"/>
        <v/>
      </c>
      <c r="AV3759" s="2" t="str">
        <f t="shared" si="233"/>
        <v/>
      </c>
      <c r="AW3759" s="2" t="str">
        <f t="shared" si="234"/>
        <v/>
      </c>
      <c r="AX3759" s="2" t="str">
        <f t="shared" si="235"/>
        <v/>
      </c>
      <c r="AY3759" s="2" t="str">
        <f>IF($AV3759="","",IF(AND($Z3759=0,COUNTIF('AR SALES'!$L$2:$L$2501,$L3759)=0),"YES",""))</f>
        <v/>
      </c>
      <c r="AZ3759" s="2" t="str">
        <f>IF($AV3759="","",IF(COUNTIF(LISTS!$C$2:$C$250,$AU3759)=0,"NEW",""))</f>
        <v/>
      </c>
      <c r="BA3759" s="2" t="str">
        <f>IF(""&amp;$F3759&lt;&gt;"4","",IF($AY3759="YES","",IF(ROUND(SUMIFS($AE$2:$AE$4001,$L$2:$L$4001,$L3759,$F$2:$F$4001,"4")-SUMIFS('AR SALES'!$Y$2:$Y$2501,'AR SALES'!$L$2:$L$2501,$L3759,'AR SALES'!$AD$2:$AD$2501,"OFF"),2)=0,"","STALE")))</f>
        <v/>
      </c>
      <c r="BB3759" s="2" t="str">
        <f>IF(OR(""&amp;$F3759="2",""&amp;$F3759="4",""&amp;$F3759="G",""&amp;$F3759="H"),IF($AY3759="YES","",IF($AB3759&lt;&gt;0,"",IF(COUNTIFS('AR SALES'!$L$2:$L$2501,$L3759,'AR SALES'!$AD$2:$AD$2501,IF(""&amp;$F3759="4","OFF","ON"),'AR SALES'!$AF$2:$AF$2501,"Y")&gt;0,"","NO EXEMPTION"))),"")</f>
        <v/>
      </c>
    </row>
    <row r="3760" spans="46:54" x14ac:dyDescent="0.25">
      <c r="AT3760" s="2" t="str">
        <f>IF($L3760="","",IFERROR(INDEX('AR SALES'!$H$2:$H$2501,MATCH(""&amp;$L3760,'AR SALES'!$AE$2:$AE$2501,0)),""))</f>
        <v/>
      </c>
      <c r="AU3760" s="2" t="str">
        <f t="shared" si="232"/>
        <v/>
      </c>
      <c r="AV3760" s="2" t="str">
        <f t="shared" si="233"/>
        <v/>
      </c>
      <c r="AW3760" s="2" t="str">
        <f t="shared" si="234"/>
        <v/>
      </c>
      <c r="AX3760" s="2" t="str">
        <f t="shared" si="235"/>
        <v/>
      </c>
      <c r="AY3760" s="2" t="str">
        <f>IF($AV3760="","",IF(AND($Z3760=0,COUNTIF('AR SALES'!$L$2:$L$2501,$L3760)=0),"YES",""))</f>
        <v/>
      </c>
      <c r="AZ3760" s="2" t="str">
        <f>IF($AV3760="","",IF(COUNTIF(LISTS!$C$2:$C$250,$AU3760)=0,"NEW",""))</f>
        <v/>
      </c>
      <c r="BA3760" s="2" t="str">
        <f>IF(""&amp;$F3760&lt;&gt;"4","",IF($AY3760="YES","",IF(ROUND(SUMIFS($AE$2:$AE$4001,$L$2:$L$4001,$L3760,$F$2:$F$4001,"4")-SUMIFS('AR SALES'!$Y$2:$Y$2501,'AR SALES'!$L$2:$L$2501,$L3760,'AR SALES'!$AD$2:$AD$2501,"OFF"),2)=0,"","STALE")))</f>
        <v/>
      </c>
      <c r="BB3760" s="2" t="str">
        <f>IF(OR(""&amp;$F3760="2",""&amp;$F3760="4",""&amp;$F3760="G",""&amp;$F3760="H"),IF($AY3760="YES","",IF($AB3760&lt;&gt;0,"",IF(COUNTIFS('AR SALES'!$L$2:$L$2501,$L3760,'AR SALES'!$AD$2:$AD$2501,IF(""&amp;$F3760="4","OFF","ON"),'AR SALES'!$AF$2:$AF$2501,"Y")&gt;0,"","NO EXEMPTION"))),"")</f>
        <v/>
      </c>
    </row>
    <row r="3761" spans="46:54" x14ac:dyDescent="0.25">
      <c r="AT3761" s="2" t="str">
        <f>IF($L3761="","",IFERROR(INDEX('AR SALES'!$H$2:$H$2501,MATCH(""&amp;$L3761,'AR SALES'!$AE$2:$AE$2501,0)),""))</f>
        <v/>
      </c>
      <c r="AU3761" s="2" t="str">
        <f t="shared" si="232"/>
        <v/>
      </c>
      <c r="AV3761" s="2" t="str">
        <f t="shared" si="233"/>
        <v/>
      </c>
      <c r="AW3761" s="2" t="str">
        <f t="shared" si="234"/>
        <v/>
      </c>
      <c r="AX3761" s="2" t="str">
        <f t="shared" si="235"/>
        <v/>
      </c>
      <c r="AY3761" s="2" t="str">
        <f>IF($AV3761="","",IF(AND($Z3761=0,COUNTIF('AR SALES'!$L$2:$L$2501,$L3761)=0),"YES",""))</f>
        <v/>
      </c>
      <c r="AZ3761" s="2" t="str">
        <f>IF($AV3761="","",IF(COUNTIF(LISTS!$C$2:$C$250,$AU3761)=0,"NEW",""))</f>
        <v/>
      </c>
      <c r="BA3761" s="2" t="str">
        <f>IF(""&amp;$F3761&lt;&gt;"4","",IF($AY3761="YES","",IF(ROUND(SUMIFS($AE$2:$AE$4001,$L$2:$L$4001,$L3761,$F$2:$F$4001,"4")-SUMIFS('AR SALES'!$Y$2:$Y$2501,'AR SALES'!$L$2:$L$2501,$L3761,'AR SALES'!$AD$2:$AD$2501,"OFF"),2)=0,"","STALE")))</f>
        <v/>
      </c>
      <c r="BB3761" s="2" t="str">
        <f>IF(OR(""&amp;$F3761="2",""&amp;$F3761="4",""&amp;$F3761="G",""&amp;$F3761="H"),IF($AY3761="YES","",IF($AB3761&lt;&gt;0,"",IF(COUNTIFS('AR SALES'!$L$2:$L$2501,$L3761,'AR SALES'!$AD$2:$AD$2501,IF(""&amp;$F3761="4","OFF","ON"),'AR SALES'!$AF$2:$AF$2501,"Y")&gt;0,"","NO EXEMPTION"))),"")</f>
        <v/>
      </c>
    </row>
    <row r="3762" spans="46:54" x14ac:dyDescent="0.25">
      <c r="AT3762" s="2" t="str">
        <f>IF($L3762="","",IFERROR(INDEX('AR SALES'!$H$2:$H$2501,MATCH(""&amp;$L3762,'AR SALES'!$AE$2:$AE$2501,0)),""))</f>
        <v/>
      </c>
      <c r="AU3762" s="2" t="str">
        <f t="shared" si="232"/>
        <v/>
      </c>
      <c r="AV3762" s="2" t="str">
        <f t="shared" si="233"/>
        <v/>
      </c>
      <c r="AW3762" s="2" t="str">
        <f t="shared" si="234"/>
        <v/>
      </c>
      <c r="AX3762" s="2" t="str">
        <f t="shared" si="235"/>
        <v/>
      </c>
      <c r="AY3762" s="2" t="str">
        <f>IF($AV3762="","",IF(AND($Z3762=0,COUNTIF('AR SALES'!$L$2:$L$2501,$L3762)=0),"YES",""))</f>
        <v/>
      </c>
      <c r="AZ3762" s="2" t="str">
        <f>IF($AV3762="","",IF(COUNTIF(LISTS!$C$2:$C$250,$AU3762)=0,"NEW",""))</f>
        <v/>
      </c>
      <c r="BA3762" s="2" t="str">
        <f>IF(""&amp;$F3762&lt;&gt;"4","",IF($AY3762="YES","",IF(ROUND(SUMIFS($AE$2:$AE$4001,$L$2:$L$4001,$L3762,$F$2:$F$4001,"4")-SUMIFS('AR SALES'!$Y$2:$Y$2501,'AR SALES'!$L$2:$L$2501,$L3762,'AR SALES'!$AD$2:$AD$2501,"OFF"),2)=0,"","STALE")))</f>
        <v/>
      </c>
      <c r="BB3762" s="2" t="str">
        <f>IF(OR(""&amp;$F3762="2",""&amp;$F3762="4",""&amp;$F3762="G",""&amp;$F3762="H"),IF($AY3762="YES","",IF($AB3762&lt;&gt;0,"",IF(COUNTIFS('AR SALES'!$L$2:$L$2501,$L3762,'AR SALES'!$AD$2:$AD$2501,IF(""&amp;$F3762="4","OFF","ON"),'AR SALES'!$AF$2:$AF$2501,"Y")&gt;0,"","NO EXEMPTION"))),"")</f>
        <v/>
      </c>
    </row>
    <row r="3763" spans="46:54" x14ac:dyDescent="0.25">
      <c r="AT3763" s="2" t="str">
        <f>IF($L3763="","",IFERROR(INDEX('AR SALES'!$H$2:$H$2501,MATCH(""&amp;$L3763,'AR SALES'!$AE$2:$AE$2501,0)),""))</f>
        <v/>
      </c>
      <c r="AU3763" s="2" t="str">
        <f t="shared" si="232"/>
        <v/>
      </c>
      <c r="AV3763" s="2" t="str">
        <f t="shared" si="233"/>
        <v/>
      </c>
      <c r="AW3763" s="2" t="str">
        <f t="shared" si="234"/>
        <v/>
      </c>
      <c r="AX3763" s="2" t="str">
        <f t="shared" si="235"/>
        <v/>
      </c>
      <c r="AY3763" s="2" t="str">
        <f>IF($AV3763="","",IF(AND($Z3763=0,COUNTIF('AR SALES'!$L$2:$L$2501,$L3763)=0),"YES",""))</f>
        <v/>
      </c>
      <c r="AZ3763" s="2" t="str">
        <f>IF($AV3763="","",IF(COUNTIF(LISTS!$C$2:$C$250,$AU3763)=0,"NEW",""))</f>
        <v/>
      </c>
      <c r="BA3763" s="2" t="str">
        <f>IF(""&amp;$F3763&lt;&gt;"4","",IF($AY3763="YES","",IF(ROUND(SUMIFS($AE$2:$AE$4001,$L$2:$L$4001,$L3763,$F$2:$F$4001,"4")-SUMIFS('AR SALES'!$Y$2:$Y$2501,'AR SALES'!$L$2:$L$2501,$L3763,'AR SALES'!$AD$2:$AD$2501,"OFF"),2)=0,"","STALE")))</f>
        <v/>
      </c>
      <c r="BB3763" s="2" t="str">
        <f>IF(OR(""&amp;$F3763="2",""&amp;$F3763="4",""&amp;$F3763="G",""&amp;$F3763="H"),IF($AY3763="YES","",IF($AB3763&lt;&gt;0,"",IF(COUNTIFS('AR SALES'!$L$2:$L$2501,$L3763,'AR SALES'!$AD$2:$AD$2501,IF(""&amp;$F3763="4","OFF","ON"),'AR SALES'!$AF$2:$AF$2501,"Y")&gt;0,"","NO EXEMPTION"))),"")</f>
        <v/>
      </c>
    </row>
    <row r="3764" spans="46:54" x14ac:dyDescent="0.25">
      <c r="AT3764" s="2" t="str">
        <f>IF($L3764="","",IFERROR(INDEX('AR SALES'!$H$2:$H$2501,MATCH(""&amp;$L3764,'AR SALES'!$AE$2:$AE$2501,0)),""))</f>
        <v/>
      </c>
      <c r="AU3764" s="2" t="str">
        <f t="shared" si="232"/>
        <v/>
      </c>
      <c r="AV3764" s="2" t="str">
        <f t="shared" si="233"/>
        <v/>
      </c>
      <c r="AW3764" s="2" t="str">
        <f t="shared" si="234"/>
        <v/>
      </c>
      <c r="AX3764" s="2" t="str">
        <f t="shared" si="235"/>
        <v/>
      </c>
      <c r="AY3764" s="2" t="str">
        <f>IF($AV3764="","",IF(AND($Z3764=0,COUNTIF('AR SALES'!$L$2:$L$2501,$L3764)=0),"YES",""))</f>
        <v/>
      </c>
      <c r="AZ3764" s="2" t="str">
        <f>IF($AV3764="","",IF(COUNTIF(LISTS!$C$2:$C$250,$AU3764)=0,"NEW",""))</f>
        <v/>
      </c>
      <c r="BA3764" s="2" t="str">
        <f>IF(""&amp;$F3764&lt;&gt;"4","",IF($AY3764="YES","",IF(ROUND(SUMIFS($AE$2:$AE$4001,$L$2:$L$4001,$L3764,$F$2:$F$4001,"4")-SUMIFS('AR SALES'!$Y$2:$Y$2501,'AR SALES'!$L$2:$L$2501,$L3764,'AR SALES'!$AD$2:$AD$2501,"OFF"),2)=0,"","STALE")))</f>
        <v/>
      </c>
      <c r="BB3764" s="2" t="str">
        <f>IF(OR(""&amp;$F3764="2",""&amp;$F3764="4",""&amp;$F3764="G",""&amp;$F3764="H"),IF($AY3764="YES","",IF($AB3764&lt;&gt;0,"",IF(COUNTIFS('AR SALES'!$L$2:$L$2501,$L3764,'AR SALES'!$AD$2:$AD$2501,IF(""&amp;$F3764="4","OFF","ON"),'AR SALES'!$AF$2:$AF$2501,"Y")&gt;0,"","NO EXEMPTION"))),"")</f>
        <v/>
      </c>
    </row>
    <row r="3765" spans="46:54" x14ac:dyDescent="0.25">
      <c r="AT3765" s="2" t="str">
        <f>IF($L3765="","",IFERROR(INDEX('AR SALES'!$H$2:$H$2501,MATCH(""&amp;$L3765,'AR SALES'!$AE$2:$AE$2501,0)),""))</f>
        <v/>
      </c>
      <c r="AU3765" s="2" t="str">
        <f t="shared" si="232"/>
        <v/>
      </c>
      <c r="AV3765" s="2" t="str">
        <f t="shared" si="233"/>
        <v/>
      </c>
      <c r="AW3765" s="2" t="str">
        <f t="shared" si="234"/>
        <v/>
      </c>
      <c r="AX3765" s="2" t="str">
        <f t="shared" si="235"/>
        <v/>
      </c>
      <c r="AY3765" s="2" t="str">
        <f>IF($AV3765="","",IF(AND($Z3765=0,COUNTIF('AR SALES'!$L$2:$L$2501,$L3765)=0),"YES",""))</f>
        <v/>
      </c>
      <c r="AZ3765" s="2" t="str">
        <f>IF($AV3765="","",IF(COUNTIF(LISTS!$C$2:$C$250,$AU3765)=0,"NEW",""))</f>
        <v/>
      </c>
      <c r="BA3765" s="2" t="str">
        <f>IF(""&amp;$F3765&lt;&gt;"4","",IF($AY3765="YES","",IF(ROUND(SUMIFS($AE$2:$AE$4001,$L$2:$L$4001,$L3765,$F$2:$F$4001,"4")-SUMIFS('AR SALES'!$Y$2:$Y$2501,'AR SALES'!$L$2:$L$2501,$L3765,'AR SALES'!$AD$2:$AD$2501,"OFF"),2)=0,"","STALE")))</f>
        <v/>
      </c>
      <c r="BB3765" s="2" t="str">
        <f>IF(OR(""&amp;$F3765="2",""&amp;$F3765="4",""&amp;$F3765="G",""&amp;$F3765="H"),IF($AY3765="YES","",IF($AB3765&lt;&gt;0,"",IF(COUNTIFS('AR SALES'!$L$2:$L$2501,$L3765,'AR SALES'!$AD$2:$AD$2501,IF(""&amp;$F3765="4","OFF","ON"),'AR SALES'!$AF$2:$AF$2501,"Y")&gt;0,"","NO EXEMPTION"))),"")</f>
        <v/>
      </c>
    </row>
    <row r="3766" spans="46:54" x14ac:dyDescent="0.25">
      <c r="AT3766" s="2" t="str">
        <f>IF($L3766="","",IFERROR(INDEX('AR SALES'!$H$2:$H$2501,MATCH(""&amp;$L3766,'AR SALES'!$AE$2:$AE$2501,0)),""))</f>
        <v/>
      </c>
      <c r="AU3766" s="2" t="str">
        <f t="shared" si="232"/>
        <v/>
      </c>
      <c r="AV3766" s="2" t="str">
        <f t="shared" si="233"/>
        <v/>
      </c>
      <c r="AW3766" s="2" t="str">
        <f t="shared" si="234"/>
        <v/>
      </c>
      <c r="AX3766" s="2" t="str">
        <f t="shared" si="235"/>
        <v/>
      </c>
      <c r="AY3766" s="2" t="str">
        <f>IF($AV3766="","",IF(AND($Z3766=0,COUNTIF('AR SALES'!$L$2:$L$2501,$L3766)=0),"YES",""))</f>
        <v/>
      </c>
      <c r="AZ3766" s="2" t="str">
        <f>IF($AV3766="","",IF(COUNTIF(LISTS!$C$2:$C$250,$AU3766)=0,"NEW",""))</f>
        <v/>
      </c>
      <c r="BA3766" s="2" t="str">
        <f>IF(""&amp;$F3766&lt;&gt;"4","",IF($AY3766="YES","",IF(ROUND(SUMIFS($AE$2:$AE$4001,$L$2:$L$4001,$L3766,$F$2:$F$4001,"4")-SUMIFS('AR SALES'!$Y$2:$Y$2501,'AR SALES'!$L$2:$L$2501,$L3766,'AR SALES'!$AD$2:$AD$2501,"OFF"),2)=0,"","STALE")))</f>
        <v/>
      </c>
      <c r="BB3766" s="2" t="str">
        <f>IF(OR(""&amp;$F3766="2",""&amp;$F3766="4",""&amp;$F3766="G",""&amp;$F3766="H"),IF($AY3766="YES","",IF($AB3766&lt;&gt;0,"",IF(COUNTIFS('AR SALES'!$L$2:$L$2501,$L3766,'AR SALES'!$AD$2:$AD$2501,IF(""&amp;$F3766="4","OFF","ON"),'AR SALES'!$AF$2:$AF$2501,"Y")&gt;0,"","NO EXEMPTION"))),"")</f>
        <v/>
      </c>
    </row>
    <row r="3767" spans="46:54" x14ac:dyDescent="0.25">
      <c r="AT3767" s="2" t="str">
        <f>IF($L3767="","",IFERROR(INDEX('AR SALES'!$H$2:$H$2501,MATCH(""&amp;$L3767,'AR SALES'!$AE$2:$AE$2501,0)),""))</f>
        <v/>
      </c>
      <c r="AU3767" s="2" t="str">
        <f t="shared" si="232"/>
        <v/>
      </c>
      <c r="AV3767" s="2" t="str">
        <f t="shared" si="233"/>
        <v/>
      </c>
      <c r="AW3767" s="2" t="str">
        <f t="shared" si="234"/>
        <v/>
      </c>
      <c r="AX3767" s="2" t="str">
        <f t="shared" si="235"/>
        <v/>
      </c>
      <c r="AY3767" s="2" t="str">
        <f>IF($AV3767="","",IF(AND($Z3767=0,COUNTIF('AR SALES'!$L$2:$L$2501,$L3767)=0),"YES",""))</f>
        <v/>
      </c>
      <c r="AZ3767" s="2" t="str">
        <f>IF($AV3767="","",IF(COUNTIF(LISTS!$C$2:$C$250,$AU3767)=0,"NEW",""))</f>
        <v/>
      </c>
      <c r="BA3767" s="2" t="str">
        <f>IF(""&amp;$F3767&lt;&gt;"4","",IF($AY3767="YES","",IF(ROUND(SUMIFS($AE$2:$AE$4001,$L$2:$L$4001,$L3767,$F$2:$F$4001,"4")-SUMIFS('AR SALES'!$Y$2:$Y$2501,'AR SALES'!$L$2:$L$2501,$L3767,'AR SALES'!$AD$2:$AD$2501,"OFF"),2)=0,"","STALE")))</f>
        <v/>
      </c>
      <c r="BB3767" s="2" t="str">
        <f>IF(OR(""&amp;$F3767="2",""&amp;$F3767="4",""&amp;$F3767="G",""&amp;$F3767="H"),IF($AY3767="YES","",IF($AB3767&lt;&gt;0,"",IF(COUNTIFS('AR SALES'!$L$2:$L$2501,$L3767,'AR SALES'!$AD$2:$AD$2501,IF(""&amp;$F3767="4","OFF","ON"),'AR SALES'!$AF$2:$AF$2501,"Y")&gt;0,"","NO EXEMPTION"))),"")</f>
        <v/>
      </c>
    </row>
    <row r="3768" spans="46:54" x14ac:dyDescent="0.25">
      <c r="AT3768" s="2" t="str">
        <f>IF($L3768="","",IFERROR(INDEX('AR SALES'!$H$2:$H$2501,MATCH(""&amp;$L3768,'AR SALES'!$AE$2:$AE$2501,0)),""))</f>
        <v/>
      </c>
      <c r="AU3768" s="2" t="str">
        <f t="shared" si="232"/>
        <v/>
      </c>
      <c r="AV3768" s="2" t="str">
        <f t="shared" si="233"/>
        <v/>
      </c>
      <c r="AW3768" s="2" t="str">
        <f t="shared" si="234"/>
        <v/>
      </c>
      <c r="AX3768" s="2" t="str">
        <f t="shared" si="235"/>
        <v/>
      </c>
      <c r="AY3768" s="2" t="str">
        <f>IF($AV3768="","",IF(AND($Z3768=0,COUNTIF('AR SALES'!$L$2:$L$2501,$L3768)=0),"YES",""))</f>
        <v/>
      </c>
      <c r="AZ3768" s="2" t="str">
        <f>IF($AV3768="","",IF(COUNTIF(LISTS!$C$2:$C$250,$AU3768)=0,"NEW",""))</f>
        <v/>
      </c>
      <c r="BA3768" s="2" t="str">
        <f>IF(""&amp;$F3768&lt;&gt;"4","",IF($AY3768="YES","",IF(ROUND(SUMIFS($AE$2:$AE$4001,$L$2:$L$4001,$L3768,$F$2:$F$4001,"4")-SUMIFS('AR SALES'!$Y$2:$Y$2501,'AR SALES'!$L$2:$L$2501,$L3768,'AR SALES'!$AD$2:$AD$2501,"OFF"),2)=0,"","STALE")))</f>
        <v/>
      </c>
      <c r="BB3768" s="2" t="str">
        <f>IF(OR(""&amp;$F3768="2",""&amp;$F3768="4",""&amp;$F3768="G",""&amp;$F3768="H"),IF($AY3768="YES","",IF($AB3768&lt;&gt;0,"",IF(COUNTIFS('AR SALES'!$L$2:$L$2501,$L3768,'AR SALES'!$AD$2:$AD$2501,IF(""&amp;$F3768="4","OFF","ON"),'AR SALES'!$AF$2:$AF$2501,"Y")&gt;0,"","NO EXEMPTION"))),"")</f>
        <v/>
      </c>
    </row>
    <row r="3769" spans="46:54" x14ac:dyDescent="0.25">
      <c r="AT3769" s="2" t="str">
        <f>IF($L3769="","",IFERROR(INDEX('AR SALES'!$H$2:$H$2501,MATCH(""&amp;$L3769,'AR SALES'!$AE$2:$AE$2501,0)),""))</f>
        <v/>
      </c>
      <c r="AU3769" s="2" t="str">
        <f t="shared" si="232"/>
        <v/>
      </c>
      <c r="AV3769" s="2" t="str">
        <f t="shared" si="233"/>
        <v/>
      </c>
      <c r="AW3769" s="2" t="str">
        <f t="shared" si="234"/>
        <v/>
      </c>
      <c r="AX3769" s="2" t="str">
        <f t="shared" si="235"/>
        <v/>
      </c>
      <c r="AY3769" s="2" t="str">
        <f>IF($AV3769="","",IF(AND($Z3769=0,COUNTIF('AR SALES'!$L$2:$L$2501,$L3769)=0),"YES",""))</f>
        <v/>
      </c>
      <c r="AZ3769" s="2" t="str">
        <f>IF($AV3769="","",IF(COUNTIF(LISTS!$C$2:$C$250,$AU3769)=0,"NEW",""))</f>
        <v/>
      </c>
      <c r="BA3769" s="2" t="str">
        <f>IF(""&amp;$F3769&lt;&gt;"4","",IF($AY3769="YES","",IF(ROUND(SUMIFS($AE$2:$AE$4001,$L$2:$L$4001,$L3769,$F$2:$F$4001,"4")-SUMIFS('AR SALES'!$Y$2:$Y$2501,'AR SALES'!$L$2:$L$2501,$L3769,'AR SALES'!$AD$2:$AD$2501,"OFF"),2)=0,"","STALE")))</f>
        <v/>
      </c>
      <c r="BB3769" s="2" t="str">
        <f>IF(OR(""&amp;$F3769="2",""&amp;$F3769="4",""&amp;$F3769="G",""&amp;$F3769="H"),IF($AY3769="YES","",IF($AB3769&lt;&gt;0,"",IF(COUNTIFS('AR SALES'!$L$2:$L$2501,$L3769,'AR SALES'!$AD$2:$AD$2501,IF(""&amp;$F3769="4","OFF","ON"),'AR SALES'!$AF$2:$AF$2501,"Y")&gt;0,"","NO EXEMPTION"))),"")</f>
        <v/>
      </c>
    </row>
    <row r="3770" spans="46:54" x14ac:dyDescent="0.25">
      <c r="AT3770" s="2" t="str">
        <f>IF($L3770="","",IFERROR(INDEX('AR SALES'!$H$2:$H$2501,MATCH(""&amp;$L3770,'AR SALES'!$AE$2:$AE$2501,0)),""))</f>
        <v/>
      </c>
      <c r="AU3770" s="2" t="str">
        <f t="shared" si="232"/>
        <v/>
      </c>
      <c r="AV3770" s="2" t="str">
        <f t="shared" si="233"/>
        <v/>
      </c>
      <c r="AW3770" s="2" t="str">
        <f t="shared" si="234"/>
        <v/>
      </c>
      <c r="AX3770" s="2" t="str">
        <f t="shared" si="235"/>
        <v/>
      </c>
      <c r="AY3770" s="2" t="str">
        <f>IF($AV3770="","",IF(AND($Z3770=0,COUNTIF('AR SALES'!$L$2:$L$2501,$L3770)=0),"YES",""))</f>
        <v/>
      </c>
      <c r="AZ3770" s="2" t="str">
        <f>IF($AV3770="","",IF(COUNTIF(LISTS!$C$2:$C$250,$AU3770)=0,"NEW",""))</f>
        <v/>
      </c>
      <c r="BA3770" s="2" t="str">
        <f>IF(""&amp;$F3770&lt;&gt;"4","",IF($AY3770="YES","",IF(ROUND(SUMIFS($AE$2:$AE$4001,$L$2:$L$4001,$L3770,$F$2:$F$4001,"4")-SUMIFS('AR SALES'!$Y$2:$Y$2501,'AR SALES'!$L$2:$L$2501,$L3770,'AR SALES'!$AD$2:$AD$2501,"OFF"),2)=0,"","STALE")))</f>
        <v/>
      </c>
      <c r="BB3770" s="2" t="str">
        <f>IF(OR(""&amp;$F3770="2",""&amp;$F3770="4",""&amp;$F3770="G",""&amp;$F3770="H"),IF($AY3770="YES","",IF($AB3770&lt;&gt;0,"",IF(COUNTIFS('AR SALES'!$L$2:$L$2501,$L3770,'AR SALES'!$AD$2:$AD$2501,IF(""&amp;$F3770="4","OFF","ON"),'AR SALES'!$AF$2:$AF$2501,"Y")&gt;0,"","NO EXEMPTION"))),"")</f>
        <v/>
      </c>
    </row>
    <row r="3771" spans="46:54" x14ac:dyDescent="0.25">
      <c r="AT3771" s="2" t="str">
        <f>IF($L3771="","",IFERROR(INDEX('AR SALES'!$H$2:$H$2501,MATCH(""&amp;$L3771,'AR SALES'!$AE$2:$AE$2501,0)),""))</f>
        <v/>
      </c>
      <c r="AU3771" s="2" t="str">
        <f t="shared" si="232"/>
        <v/>
      </c>
      <c r="AV3771" s="2" t="str">
        <f t="shared" si="233"/>
        <v/>
      </c>
      <c r="AW3771" s="2" t="str">
        <f t="shared" si="234"/>
        <v/>
      </c>
      <c r="AX3771" s="2" t="str">
        <f t="shared" si="235"/>
        <v/>
      </c>
      <c r="AY3771" s="2" t="str">
        <f>IF($AV3771="","",IF(AND($Z3771=0,COUNTIF('AR SALES'!$L$2:$L$2501,$L3771)=0),"YES",""))</f>
        <v/>
      </c>
      <c r="AZ3771" s="2" t="str">
        <f>IF($AV3771="","",IF(COUNTIF(LISTS!$C$2:$C$250,$AU3771)=0,"NEW",""))</f>
        <v/>
      </c>
      <c r="BA3771" s="2" t="str">
        <f>IF(""&amp;$F3771&lt;&gt;"4","",IF($AY3771="YES","",IF(ROUND(SUMIFS($AE$2:$AE$4001,$L$2:$L$4001,$L3771,$F$2:$F$4001,"4")-SUMIFS('AR SALES'!$Y$2:$Y$2501,'AR SALES'!$L$2:$L$2501,$L3771,'AR SALES'!$AD$2:$AD$2501,"OFF"),2)=0,"","STALE")))</f>
        <v/>
      </c>
      <c r="BB3771" s="2" t="str">
        <f>IF(OR(""&amp;$F3771="2",""&amp;$F3771="4",""&amp;$F3771="G",""&amp;$F3771="H"),IF($AY3771="YES","",IF($AB3771&lt;&gt;0,"",IF(COUNTIFS('AR SALES'!$L$2:$L$2501,$L3771,'AR SALES'!$AD$2:$AD$2501,IF(""&amp;$F3771="4","OFF","ON"),'AR SALES'!$AF$2:$AF$2501,"Y")&gt;0,"","NO EXEMPTION"))),"")</f>
        <v/>
      </c>
    </row>
    <row r="3772" spans="46:54" x14ac:dyDescent="0.25">
      <c r="AT3772" s="2" t="str">
        <f>IF($L3772="","",IFERROR(INDEX('AR SALES'!$H$2:$H$2501,MATCH(""&amp;$L3772,'AR SALES'!$AE$2:$AE$2501,0)),""))</f>
        <v/>
      </c>
      <c r="AU3772" s="2" t="str">
        <f t="shared" si="232"/>
        <v/>
      </c>
      <c r="AV3772" s="2" t="str">
        <f t="shared" si="233"/>
        <v/>
      </c>
      <c r="AW3772" s="2" t="str">
        <f t="shared" si="234"/>
        <v/>
      </c>
      <c r="AX3772" s="2" t="str">
        <f t="shared" si="235"/>
        <v/>
      </c>
      <c r="AY3772" s="2" t="str">
        <f>IF($AV3772="","",IF(AND($Z3772=0,COUNTIF('AR SALES'!$L$2:$L$2501,$L3772)=0),"YES",""))</f>
        <v/>
      </c>
      <c r="AZ3772" s="2" t="str">
        <f>IF($AV3772="","",IF(COUNTIF(LISTS!$C$2:$C$250,$AU3772)=0,"NEW",""))</f>
        <v/>
      </c>
      <c r="BA3772" s="2" t="str">
        <f>IF(""&amp;$F3772&lt;&gt;"4","",IF($AY3772="YES","",IF(ROUND(SUMIFS($AE$2:$AE$4001,$L$2:$L$4001,$L3772,$F$2:$F$4001,"4")-SUMIFS('AR SALES'!$Y$2:$Y$2501,'AR SALES'!$L$2:$L$2501,$L3772,'AR SALES'!$AD$2:$AD$2501,"OFF"),2)=0,"","STALE")))</f>
        <v/>
      </c>
      <c r="BB3772" s="2" t="str">
        <f>IF(OR(""&amp;$F3772="2",""&amp;$F3772="4",""&amp;$F3772="G",""&amp;$F3772="H"),IF($AY3772="YES","",IF($AB3772&lt;&gt;0,"",IF(COUNTIFS('AR SALES'!$L$2:$L$2501,$L3772,'AR SALES'!$AD$2:$AD$2501,IF(""&amp;$F3772="4","OFF","ON"),'AR SALES'!$AF$2:$AF$2501,"Y")&gt;0,"","NO EXEMPTION"))),"")</f>
        <v/>
      </c>
    </row>
    <row r="3773" spans="46:54" x14ac:dyDescent="0.25">
      <c r="AT3773" s="2" t="str">
        <f>IF($L3773="","",IFERROR(INDEX('AR SALES'!$H$2:$H$2501,MATCH(""&amp;$L3773,'AR SALES'!$AE$2:$AE$2501,0)),""))</f>
        <v/>
      </c>
      <c r="AU3773" s="2" t="str">
        <f t="shared" si="232"/>
        <v/>
      </c>
      <c r="AV3773" s="2" t="str">
        <f t="shared" si="233"/>
        <v/>
      </c>
      <c r="AW3773" s="2" t="str">
        <f t="shared" si="234"/>
        <v/>
      </c>
      <c r="AX3773" s="2" t="str">
        <f t="shared" si="235"/>
        <v/>
      </c>
      <c r="AY3773" s="2" t="str">
        <f>IF($AV3773="","",IF(AND($Z3773=0,COUNTIF('AR SALES'!$L$2:$L$2501,$L3773)=0),"YES",""))</f>
        <v/>
      </c>
      <c r="AZ3773" s="2" t="str">
        <f>IF($AV3773="","",IF(COUNTIF(LISTS!$C$2:$C$250,$AU3773)=0,"NEW",""))</f>
        <v/>
      </c>
      <c r="BA3773" s="2" t="str">
        <f>IF(""&amp;$F3773&lt;&gt;"4","",IF($AY3773="YES","",IF(ROUND(SUMIFS($AE$2:$AE$4001,$L$2:$L$4001,$L3773,$F$2:$F$4001,"4")-SUMIFS('AR SALES'!$Y$2:$Y$2501,'AR SALES'!$L$2:$L$2501,$L3773,'AR SALES'!$AD$2:$AD$2501,"OFF"),2)=0,"","STALE")))</f>
        <v/>
      </c>
      <c r="BB3773" s="2" t="str">
        <f>IF(OR(""&amp;$F3773="2",""&amp;$F3773="4",""&amp;$F3773="G",""&amp;$F3773="H"),IF($AY3773="YES","",IF($AB3773&lt;&gt;0,"",IF(COUNTIFS('AR SALES'!$L$2:$L$2501,$L3773,'AR SALES'!$AD$2:$AD$2501,IF(""&amp;$F3773="4","OFF","ON"),'AR SALES'!$AF$2:$AF$2501,"Y")&gt;0,"","NO EXEMPTION"))),"")</f>
        <v/>
      </c>
    </row>
    <row r="3774" spans="46:54" x14ac:dyDescent="0.25">
      <c r="AT3774" s="2" t="str">
        <f>IF($L3774="","",IFERROR(INDEX('AR SALES'!$H$2:$H$2501,MATCH(""&amp;$L3774,'AR SALES'!$AE$2:$AE$2501,0)),""))</f>
        <v/>
      </c>
      <c r="AU3774" s="2" t="str">
        <f t="shared" si="232"/>
        <v/>
      </c>
      <c r="AV3774" s="2" t="str">
        <f t="shared" si="233"/>
        <v/>
      </c>
      <c r="AW3774" s="2" t="str">
        <f t="shared" si="234"/>
        <v/>
      </c>
      <c r="AX3774" s="2" t="str">
        <f t="shared" si="235"/>
        <v/>
      </c>
      <c r="AY3774" s="2" t="str">
        <f>IF($AV3774="","",IF(AND($Z3774=0,COUNTIF('AR SALES'!$L$2:$L$2501,$L3774)=0),"YES",""))</f>
        <v/>
      </c>
      <c r="AZ3774" s="2" t="str">
        <f>IF($AV3774="","",IF(COUNTIF(LISTS!$C$2:$C$250,$AU3774)=0,"NEW",""))</f>
        <v/>
      </c>
      <c r="BA3774" s="2" t="str">
        <f>IF(""&amp;$F3774&lt;&gt;"4","",IF($AY3774="YES","",IF(ROUND(SUMIFS($AE$2:$AE$4001,$L$2:$L$4001,$L3774,$F$2:$F$4001,"4")-SUMIFS('AR SALES'!$Y$2:$Y$2501,'AR SALES'!$L$2:$L$2501,$L3774,'AR SALES'!$AD$2:$AD$2501,"OFF"),2)=0,"","STALE")))</f>
        <v/>
      </c>
      <c r="BB3774" s="2" t="str">
        <f>IF(OR(""&amp;$F3774="2",""&amp;$F3774="4",""&amp;$F3774="G",""&amp;$F3774="H"),IF($AY3774="YES","",IF($AB3774&lt;&gt;0,"",IF(COUNTIFS('AR SALES'!$L$2:$L$2501,$L3774,'AR SALES'!$AD$2:$AD$2501,IF(""&amp;$F3774="4","OFF","ON"),'AR SALES'!$AF$2:$AF$2501,"Y")&gt;0,"","NO EXEMPTION"))),"")</f>
        <v/>
      </c>
    </row>
    <row r="3775" spans="46:54" x14ac:dyDescent="0.25">
      <c r="AT3775" s="2" t="str">
        <f>IF($L3775="","",IFERROR(INDEX('AR SALES'!$H$2:$H$2501,MATCH(""&amp;$L3775,'AR SALES'!$AE$2:$AE$2501,0)),""))</f>
        <v/>
      </c>
      <c r="AU3775" s="2" t="str">
        <f t="shared" si="232"/>
        <v/>
      </c>
      <c r="AV3775" s="2" t="str">
        <f t="shared" si="233"/>
        <v/>
      </c>
      <c r="AW3775" s="2" t="str">
        <f t="shared" si="234"/>
        <v/>
      </c>
      <c r="AX3775" s="2" t="str">
        <f t="shared" si="235"/>
        <v/>
      </c>
      <c r="AY3775" s="2" t="str">
        <f>IF($AV3775="","",IF(AND($Z3775=0,COUNTIF('AR SALES'!$L$2:$L$2501,$L3775)=0),"YES",""))</f>
        <v/>
      </c>
      <c r="AZ3775" s="2" t="str">
        <f>IF($AV3775="","",IF(COUNTIF(LISTS!$C$2:$C$250,$AU3775)=0,"NEW",""))</f>
        <v/>
      </c>
      <c r="BA3775" s="2" t="str">
        <f>IF(""&amp;$F3775&lt;&gt;"4","",IF($AY3775="YES","",IF(ROUND(SUMIFS($AE$2:$AE$4001,$L$2:$L$4001,$L3775,$F$2:$F$4001,"4")-SUMIFS('AR SALES'!$Y$2:$Y$2501,'AR SALES'!$L$2:$L$2501,$L3775,'AR SALES'!$AD$2:$AD$2501,"OFF"),2)=0,"","STALE")))</f>
        <v/>
      </c>
      <c r="BB3775" s="2" t="str">
        <f>IF(OR(""&amp;$F3775="2",""&amp;$F3775="4",""&amp;$F3775="G",""&amp;$F3775="H"),IF($AY3775="YES","",IF($AB3775&lt;&gt;0,"",IF(COUNTIFS('AR SALES'!$L$2:$L$2501,$L3775,'AR SALES'!$AD$2:$AD$2501,IF(""&amp;$F3775="4","OFF","ON"),'AR SALES'!$AF$2:$AF$2501,"Y")&gt;0,"","NO EXEMPTION"))),"")</f>
        <v/>
      </c>
    </row>
    <row r="3776" spans="46:54" x14ac:dyDescent="0.25">
      <c r="AT3776" s="2" t="str">
        <f>IF($L3776="","",IFERROR(INDEX('AR SALES'!$H$2:$H$2501,MATCH(""&amp;$L3776,'AR SALES'!$AE$2:$AE$2501,0)),""))</f>
        <v/>
      </c>
      <c r="AU3776" s="2" t="str">
        <f t="shared" si="232"/>
        <v/>
      </c>
      <c r="AV3776" s="2" t="str">
        <f t="shared" si="233"/>
        <v/>
      </c>
      <c r="AW3776" s="2" t="str">
        <f t="shared" si="234"/>
        <v/>
      </c>
      <c r="AX3776" s="2" t="str">
        <f t="shared" si="235"/>
        <v/>
      </c>
      <c r="AY3776" s="2" t="str">
        <f>IF($AV3776="","",IF(AND($Z3776=0,COUNTIF('AR SALES'!$L$2:$L$2501,$L3776)=0),"YES",""))</f>
        <v/>
      </c>
      <c r="AZ3776" s="2" t="str">
        <f>IF($AV3776="","",IF(COUNTIF(LISTS!$C$2:$C$250,$AU3776)=0,"NEW",""))</f>
        <v/>
      </c>
      <c r="BA3776" s="2" t="str">
        <f>IF(""&amp;$F3776&lt;&gt;"4","",IF($AY3776="YES","",IF(ROUND(SUMIFS($AE$2:$AE$4001,$L$2:$L$4001,$L3776,$F$2:$F$4001,"4")-SUMIFS('AR SALES'!$Y$2:$Y$2501,'AR SALES'!$L$2:$L$2501,$L3776,'AR SALES'!$AD$2:$AD$2501,"OFF"),2)=0,"","STALE")))</f>
        <v/>
      </c>
      <c r="BB3776" s="2" t="str">
        <f>IF(OR(""&amp;$F3776="2",""&amp;$F3776="4",""&amp;$F3776="G",""&amp;$F3776="H"),IF($AY3776="YES","",IF($AB3776&lt;&gt;0,"",IF(COUNTIFS('AR SALES'!$L$2:$L$2501,$L3776,'AR SALES'!$AD$2:$AD$2501,IF(""&amp;$F3776="4","OFF","ON"),'AR SALES'!$AF$2:$AF$2501,"Y")&gt;0,"","NO EXEMPTION"))),"")</f>
        <v/>
      </c>
    </row>
    <row r="3777" spans="46:54" x14ac:dyDescent="0.25">
      <c r="AT3777" s="2" t="str">
        <f>IF($L3777="","",IFERROR(INDEX('AR SALES'!$H$2:$H$2501,MATCH(""&amp;$L3777,'AR SALES'!$AE$2:$AE$2501,0)),""))</f>
        <v/>
      </c>
      <c r="AU3777" s="2" t="str">
        <f t="shared" si="232"/>
        <v/>
      </c>
      <c r="AV3777" s="2" t="str">
        <f t="shared" si="233"/>
        <v/>
      </c>
      <c r="AW3777" s="2" t="str">
        <f t="shared" si="234"/>
        <v/>
      </c>
      <c r="AX3777" s="2" t="str">
        <f t="shared" si="235"/>
        <v/>
      </c>
      <c r="AY3777" s="2" t="str">
        <f>IF($AV3777="","",IF(AND($Z3777=0,COUNTIF('AR SALES'!$L$2:$L$2501,$L3777)=0),"YES",""))</f>
        <v/>
      </c>
      <c r="AZ3777" s="2" t="str">
        <f>IF($AV3777="","",IF(COUNTIF(LISTS!$C$2:$C$250,$AU3777)=0,"NEW",""))</f>
        <v/>
      </c>
      <c r="BA3777" s="2" t="str">
        <f>IF(""&amp;$F3777&lt;&gt;"4","",IF($AY3777="YES","",IF(ROUND(SUMIFS($AE$2:$AE$4001,$L$2:$L$4001,$L3777,$F$2:$F$4001,"4")-SUMIFS('AR SALES'!$Y$2:$Y$2501,'AR SALES'!$L$2:$L$2501,$L3777,'AR SALES'!$AD$2:$AD$2501,"OFF"),2)=0,"","STALE")))</f>
        <v/>
      </c>
      <c r="BB3777" s="2" t="str">
        <f>IF(OR(""&amp;$F3777="2",""&amp;$F3777="4",""&amp;$F3777="G",""&amp;$F3777="H"),IF($AY3777="YES","",IF($AB3777&lt;&gt;0,"",IF(COUNTIFS('AR SALES'!$L$2:$L$2501,$L3777,'AR SALES'!$AD$2:$AD$2501,IF(""&amp;$F3777="4","OFF","ON"),'AR SALES'!$AF$2:$AF$2501,"Y")&gt;0,"","NO EXEMPTION"))),"")</f>
        <v/>
      </c>
    </row>
    <row r="3778" spans="46:54" x14ac:dyDescent="0.25">
      <c r="AT3778" s="2" t="str">
        <f>IF($L3778="","",IFERROR(INDEX('AR SALES'!$H$2:$H$2501,MATCH(""&amp;$L3778,'AR SALES'!$AE$2:$AE$2501,0)),""))</f>
        <v/>
      </c>
      <c r="AU3778" s="2" t="str">
        <f t="shared" ref="AU3778:AU3841" si="236">IF($L3778="","",IF($A3778&lt;&gt;"GA","",IF($E3778="FULTON",IF(ISNUMBER(SEARCH("COLLEGE PARK",$AT3778)),"FULTON (COLLEGE PARK)",IF(ISNUMBER(SEARCH("ATLANTA CITY",$AT3778)),"FULTON (ATL LIMITS)","FULTON")),IF($E3778="DEKALB",IF(ISNUMBER(SEARCH("ATLANTA CITY",$AT3778)),"DEKALB (ATL LIMITS)","DEKALB"),$E3778))))</f>
        <v/>
      </c>
      <c r="AV3778" s="2" t="str">
        <f t="shared" ref="AV3778:AV3841" si="237">IF($L3778="","",IF(""&amp;$F3778="2","DIESEL",IF(OR(""&amp;$F3778="G",""&amp;$F3778="H"),"GAS","")))</f>
        <v/>
      </c>
      <c r="AW3778" s="2" t="str">
        <f t="shared" ref="AW3778:AW3841" si="238">IF($AV3778="","",$R3778)</f>
        <v/>
      </c>
      <c r="AX3778" s="2" t="str">
        <f t="shared" ref="AX3778:AX3841" si="239">IF($AV3778="","",IF($AB3778=0,$R3778,0))</f>
        <v/>
      </c>
      <c r="AY3778" s="2" t="str">
        <f>IF($AV3778="","",IF(AND($Z3778=0,COUNTIF('AR SALES'!$L$2:$L$2501,$L3778)=0),"YES",""))</f>
        <v/>
      </c>
      <c r="AZ3778" s="2" t="str">
        <f>IF($AV3778="","",IF(COUNTIF(LISTS!$C$2:$C$250,$AU3778)=0,"NEW",""))</f>
        <v/>
      </c>
      <c r="BA3778" s="2" t="str">
        <f>IF(""&amp;$F3778&lt;&gt;"4","",IF($AY3778="YES","",IF(ROUND(SUMIFS($AE$2:$AE$4001,$L$2:$L$4001,$L3778,$F$2:$F$4001,"4")-SUMIFS('AR SALES'!$Y$2:$Y$2501,'AR SALES'!$L$2:$L$2501,$L3778,'AR SALES'!$AD$2:$AD$2501,"OFF"),2)=0,"","STALE")))</f>
        <v/>
      </c>
      <c r="BB3778" s="2" t="str">
        <f>IF(OR(""&amp;$F3778="2",""&amp;$F3778="4",""&amp;$F3778="G",""&amp;$F3778="H"),IF($AY3778="YES","",IF($AB3778&lt;&gt;0,"",IF(COUNTIFS('AR SALES'!$L$2:$L$2501,$L3778,'AR SALES'!$AD$2:$AD$2501,IF(""&amp;$F3778="4","OFF","ON"),'AR SALES'!$AF$2:$AF$2501,"Y")&gt;0,"","NO EXEMPTION"))),"")</f>
        <v/>
      </c>
    </row>
    <row r="3779" spans="46:54" x14ac:dyDescent="0.25">
      <c r="AT3779" s="2" t="str">
        <f>IF($L3779="","",IFERROR(INDEX('AR SALES'!$H$2:$H$2501,MATCH(""&amp;$L3779,'AR SALES'!$AE$2:$AE$2501,0)),""))</f>
        <v/>
      </c>
      <c r="AU3779" s="2" t="str">
        <f t="shared" si="236"/>
        <v/>
      </c>
      <c r="AV3779" s="2" t="str">
        <f t="shared" si="237"/>
        <v/>
      </c>
      <c r="AW3779" s="2" t="str">
        <f t="shared" si="238"/>
        <v/>
      </c>
      <c r="AX3779" s="2" t="str">
        <f t="shared" si="239"/>
        <v/>
      </c>
      <c r="AY3779" s="2" t="str">
        <f>IF($AV3779="","",IF(AND($Z3779=0,COUNTIF('AR SALES'!$L$2:$L$2501,$L3779)=0),"YES",""))</f>
        <v/>
      </c>
      <c r="AZ3779" s="2" t="str">
        <f>IF($AV3779="","",IF(COUNTIF(LISTS!$C$2:$C$250,$AU3779)=0,"NEW",""))</f>
        <v/>
      </c>
      <c r="BA3779" s="2" t="str">
        <f>IF(""&amp;$F3779&lt;&gt;"4","",IF($AY3779="YES","",IF(ROUND(SUMIFS($AE$2:$AE$4001,$L$2:$L$4001,$L3779,$F$2:$F$4001,"4")-SUMIFS('AR SALES'!$Y$2:$Y$2501,'AR SALES'!$L$2:$L$2501,$L3779,'AR SALES'!$AD$2:$AD$2501,"OFF"),2)=0,"","STALE")))</f>
        <v/>
      </c>
      <c r="BB3779" s="2" t="str">
        <f>IF(OR(""&amp;$F3779="2",""&amp;$F3779="4",""&amp;$F3779="G",""&amp;$F3779="H"),IF($AY3779="YES","",IF($AB3779&lt;&gt;0,"",IF(COUNTIFS('AR SALES'!$L$2:$L$2501,$L3779,'AR SALES'!$AD$2:$AD$2501,IF(""&amp;$F3779="4","OFF","ON"),'AR SALES'!$AF$2:$AF$2501,"Y")&gt;0,"","NO EXEMPTION"))),"")</f>
        <v/>
      </c>
    </row>
    <row r="3780" spans="46:54" x14ac:dyDescent="0.25">
      <c r="AT3780" s="2" t="str">
        <f>IF($L3780="","",IFERROR(INDEX('AR SALES'!$H$2:$H$2501,MATCH(""&amp;$L3780,'AR SALES'!$AE$2:$AE$2501,0)),""))</f>
        <v/>
      </c>
      <c r="AU3780" s="2" t="str">
        <f t="shared" si="236"/>
        <v/>
      </c>
      <c r="AV3780" s="2" t="str">
        <f t="shared" si="237"/>
        <v/>
      </c>
      <c r="AW3780" s="2" t="str">
        <f t="shared" si="238"/>
        <v/>
      </c>
      <c r="AX3780" s="2" t="str">
        <f t="shared" si="239"/>
        <v/>
      </c>
      <c r="AY3780" s="2" t="str">
        <f>IF($AV3780="","",IF(AND($Z3780=0,COUNTIF('AR SALES'!$L$2:$L$2501,$L3780)=0),"YES",""))</f>
        <v/>
      </c>
      <c r="AZ3780" s="2" t="str">
        <f>IF($AV3780="","",IF(COUNTIF(LISTS!$C$2:$C$250,$AU3780)=0,"NEW",""))</f>
        <v/>
      </c>
      <c r="BA3780" s="2" t="str">
        <f>IF(""&amp;$F3780&lt;&gt;"4","",IF($AY3780="YES","",IF(ROUND(SUMIFS($AE$2:$AE$4001,$L$2:$L$4001,$L3780,$F$2:$F$4001,"4")-SUMIFS('AR SALES'!$Y$2:$Y$2501,'AR SALES'!$L$2:$L$2501,$L3780,'AR SALES'!$AD$2:$AD$2501,"OFF"),2)=0,"","STALE")))</f>
        <v/>
      </c>
      <c r="BB3780" s="2" t="str">
        <f>IF(OR(""&amp;$F3780="2",""&amp;$F3780="4",""&amp;$F3780="G",""&amp;$F3780="H"),IF($AY3780="YES","",IF($AB3780&lt;&gt;0,"",IF(COUNTIFS('AR SALES'!$L$2:$L$2501,$L3780,'AR SALES'!$AD$2:$AD$2501,IF(""&amp;$F3780="4","OFF","ON"),'AR SALES'!$AF$2:$AF$2501,"Y")&gt;0,"","NO EXEMPTION"))),"")</f>
        <v/>
      </c>
    </row>
    <row r="3781" spans="46:54" x14ac:dyDescent="0.25">
      <c r="AT3781" s="2" t="str">
        <f>IF($L3781="","",IFERROR(INDEX('AR SALES'!$H$2:$H$2501,MATCH(""&amp;$L3781,'AR SALES'!$AE$2:$AE$2501,0)),""))</f>
        <v/>
      </c>
      <c r="AU3781" s="2" t="str">
        <f t="shared" si="236"/>
        <v/>
      </c>
      <c r="AV3781" s="2" t="str">
        <f t="shared" si="237"/>
        <v/>
      </c>
      <c r="AW3781" s="2" t="str">
        <f t="shared" si="238"/>
        <v/>
      </c>
      <c r="AX3781" s="2" t="str">
        <f t="shared" si="239"/>
        <v/>
      </c>
      <c r="AY3781" s="2" t="str">
        <f>IF($AV3781="","",IF(AND($Z3781=0,COUNTIF('AR SALES'!$L$2:$L$2501,$L3781)=0),"YES",""))</f>
        <v/>
      </c>
      <c r="AZ3781" s="2" t="str">
        <f>IF($AV3781="","",IF(COUNTIF(LISTS!$C$2:$C$250,$AU3781)=0,"NEW",""))</f>
        <v/>
      </c>
      <c r="BA3781" s="2" t="str">
        <f>IF(""&amp;$F3781&lt;&gt;"4","",IF($AY3781="YES","",IF(ROUND(SUMIFS($AE$2:$AE$4001,$L$2:$L$4001,$L3781,$F$2:$F$4001,"4")-SUMIFS('AR SALES'!$Y$2:$Y$2501,'AR SALES'!$L$2:$L$2501,$L3781,'AR SALES'!$AD$2:$AD$2501,"OFF"),2)=0,"","STALE")))</f>
        <v/>
      </c>
      <c r="BB3781" s="2" t="str">
        <f>IF(OR(""&amp;$F3781="2",""&amp;$F3781="4",""&amp;$F3781="G",""&amp;$F3781="H"),IF($AY3781="YES","",IF($AB3781&lt;&gt;0,"",IF(COUNTIFS('AR SALES'!$L$2:$L$2501,$L3781,'AR SALES'!$AD$2:$AD$2501,IF(""&amp;$F3781="4","OFF","ON"),'AR SALES'!$AF$2:$AF$2501,"Y")&gt;0,"","NO EXEMPTION"))),"")</f>
        <v/>
      </c>
    </row>
    <row r="3782" spans="46:54" x14ac:dyDescent="0.25">
      <c r="AT3782" s="2" t="str">
        <f>IF($L3782="","",IFERROR(INDEX('AR SALES'!$H$2:$H$2501,MATCH(""&amp;$L3782,'AR SALES'!$AE$2:$AE$2501,0)),""))</f>
        <v/>
      </c>
      <c r="AU3782" s="2" t="str">
        <f t="shared" si="236"/>
        <v/>
      </c>
      <c r="AV3782" s="2" t="str">
        <f t="shared" si="237"/>
        <v/>
      </c>
      <c r="AW3782" s="2" t="str">
        <f t="shared" si="238"/>
        <v/>
      </c>
      <c r="AX3782" s="2" t="str">
        <f t="shared" si="239"/>
        <v/>
      </c>
      <c r="AY3782" s="2" t="str">
        <f>IF($AV3782="","",IF(AND($Z3782=0,COUNTIF('AR SALES'!$L$2:$L$2501,$L3782)=0),"YES",""))</f>
        <v/>
      </c>
      <c r="AZ3782" s="2" t="str">
        <f>IF($AV3782="","",IF(COUNTIF(LISTS!$C$2:$C$250,$AU3782)=0,"NEW",""))</f>
        <v/>
      </c>
      <c r="BA3782" s="2" t="str">
        <f>IF(""&amp;$F3782&lt;&gt;"4","",IF($AY3782="YES","",IF(ROUND(SUMIFS($AE$2:$AE$4001,$L$2:$L$4001,$L3782,$F$2:$F$4001,"4")-SUMIFS('AR SALES'!$Y$2:$Y$2501,'AR SALES'!$L$2:$L$2501,$L3782,'AR SALES'!$AD$2:$AD$2501,"OFF"),2)=0,"","STALE")))</f>
        <v/>
      </c>
      <c r="BB3782" s="2" t="str">
        <f>IF(OR(""&amp;$F3782="2",""&amp;$F3782="4",""&amp;$F3782="G",""&amp;$F3782="H"),IF($AY3782="YES","",IF($AB3782&lt;&gt;0,"",IF(COUNTIFS('AR SALES'!$L$2:$L$2501,$L3782,'AR SALES'!$AD$2:$AD$2501,IF(""&amp;$F3782="4","OFF","ON"),'AR SALES'!$AF$2:$AF$2501,"Y")&gt;0,"","NO EXEMPTION"))),"")</f>
        <v/>
      </c>
    </row>
    <row r="3783" spans="46:54" x14ac:dyDescent="0.25">
      <c r="AT3783" s="2" t="str">
        <f>IF($L3783="","",IFERROR(INDEX('AR SALES'!$H$2:$H$2501,MATCH(""&amp;$L3783,'AR SALES'!$AE$2:$AE$2501,0)),""))</f>
        <v/>
      </c>
      <c r="AU3783" s="2" t="str">
        <f t="shared" si="236"/>
        <v/>
      </c>
      <c r="AV3783" s="2" t="str">
        <f t="shared" si="237"/>
        <v/>
      </c>
      <c r="AW3783" s="2" t="str">
        <f t="shared" si="238"/>
        <v/>
      </c>
      <c r="AX3783" s="2" t="str">
        <f t="shared" si="239"/>
        <v/>
      </c>
      <c r="AY3783" s="2" t="str">
        <f>IF($AV3783="","",IF(AND($Z3783=0,COUNTIF('AR SALES'!$L$2:$L$2501,$L3783)=0),"YES",""))</f>
        <v/>
      </c>
      <c r="AZ3783" s="2" t="str">
        <f>IF($AV3783="","",IF(COUNTIF(LISTS!$C$2:$C$250,$AU3783)=0,"NEW",""))</f>
        <v/>
      </c>
      <c r="BA3783" s="2" t="str">
        <f>IF(""&amp;$F3783&lt;&gt;"4","",IF($AY3783="YES","",IF(ROUND(SUMIFS($AE$2:$AE$4001,$L$2:$L$4001,$L3783,$F$2:$F$4001,"4")-SUMIFS('AR SALES'!$Y$2:$Y$2501,'AR SALES'!$L$2:$L$2501,$L3783,'AR SALES'!$AD$2:$AD$2501,"OFF"),2)=0,"","STALE")))</f>
        <v/>
      </c>
      <c r="BB3783" s="2" t="str">
        <f>IF(OR(""&amp;$F3783="2",""&amp;$F3783="4",""&amp;$F3783="G",""&amp;$F3783="H"),IF($AY3783="YES","",IF($AB3783&lt;&gt;0,"",IF(COUNTIFS('AR SALES'!$L$2:$L$2501,$L3783,'AR SALES'!$AD$2:$AD$2501,IF(""&amp;$F3783="4","OFF","ON"),'AR SALES'!$AF$2:$AF$2501,"Y")&gt;0,"","NO EXEMPTION"))),"")</f>
        <v/>
      </c>
    </row>
    <row r="3784" spans="46:54" x14ac:dyDescent="0.25">
      <c r="AT3784" s="2" t="str">
        <f>IF($L3784="","",IFERROR(INDEX('AR SALES'!$H$2:$H$2501,MATCH(""&amp;$L3784,'AR SALES'!$AE$2:$AE$2501,0)),""))</f>
        <v/>
      </c>
      <c r="AU3784" s="2" t="str">
        <f t="shared" si="236"/>
        <v/>
      </c>
      <c r="AV3784" s="2" t="str">
        <f t="shared" si="237"/>
        <v/>
      </c>
      <c r="AW3784" s="2" t="str">
        <f t="shared" si="238"/>
        <v/>
      </c>
      <c r="AX3784" s="2" t="str">
        <f t="shared" si="239"/>
        <v/>
      </c>
      <c r="AY3784" s="2" t="str">
        <f>IF($AV3784="","",IF(AND($Z3784=0,COUNTIF('AR SALES'!$L$2:$L$2501,$L3784)=0),"YES",""))</f>
        <v/>
      </c>
      <c r="AZ3784" s="2" t="str">
        <f>IF($AV3784="","",IF(COUNTIF(LISTS!$C$2:$C$250,$AU3784)=0,"NEW",""))</f>
        <v/>
      </c>
      <c r="BA3784" s="2" t="str">
        <f>IF(""&amp;$F3784&lt;&gt;"4","",IF($AY3784="YES","",IF(ROUND(SUMIFS($AE$2:$AE$4001,$L$2:$L$4001,$L3784,$F$2:$F$4001,"4")-SUMIFS('AR SALES'!$Y$2:$Y$2501,'AR SALES'!$L$2:$L$2501,$L3784,'AR SALES'!$AD$2:$AD$2501,"OFF"),2)=0,"","STALE")))</f>
        <v/>
      </c>
      <c r="BB3784" s="2" t="str">
        <f>IF(OR(""&amp;$F3784="2",""&amp;$F3784="4",""&amp;$F3784="G",""&amp;$F3784="H"),IF($AY3784="YES","",IF($AB3784&lt;&gt;0,"",IF(COUNTIFS('AR SALES'!$L$2:$L$2501,$L3784,'AR SALES'!$AD$2:$AD$2501,IF(""&amp;$F3784="4","OFF","ON"),'AR SALES'!$AF$2:$AF$2501,"Y")&gt;0,"","NO EXEMPTION"))),"")</f>
        <v/>
      </c>
    </row>
    <row r="3785" spans="46:54" x14ac:dyDescent="0.25">
      <c r="AT3785" s="2" t="str">
        <f>IF($L3785="","",IFERROR(INDEX('AR SALES'!$H$2:$H$2501,MATCH(""&amp;$L3785,'AR SALES'!$AE$2:$AE$2501,0)),""))</f>
        <v/>
      </c>
      <c r="AU3785" s="2" t="str">
        <f t="shared" si="236"/>
        <v/>
      </c>
      <c r="AV3785" s="2" t="str">
        <f t="shared" si="237"/>
        <v/>
      </c>
      <c r="AW3785" s="2" t="str">
        <f t="shared" si="238"/>
        <v/>
      </c>
      <c r="AX3785" s="2" t="str">
        <f t="shared" si="239"/>
        <v/>
      </c>
      <c r="AY3785" s="2" t="str">
        <f>IF($AV3785="","",IF(AND($Z3785=0,COUNTIF('AR SALES'!$L$2:$L$2501,$L3785)=0),"YES",""))</f>
        <v/>
      </c>
      <c r="AZ3785" s="2" t="str">
        <f>IF($AV3785="","",IF(COUNTIF(LISTS!$C$2:$C$250,$AU3785)=0,"NEW",""))</f>
        <v/>
      </c>
      <c r="BA3785" s="2" t="str">
        <f>IF(""&amp;$F3785&lt;&gt;"4","",IF($AY3785="YES","",IF(ROUND(SUMIFS($AE$2:$AE$4001,$L$2:$L$4001,$L3785,$F$2:$F$4001,"4")-SUMIFS('AR SALES'!$Y$2:$Y$2501,'AR SALES'!$L$2:$L$2501,$L3785,'AR SALES'!$AD$2:$AD$2501,"OFF"),2)=0,"","STALE")))</f>
        <v/>
      </c>
      <c r="BB3785" s="2" t="str">
        <f>IF(OR(""&amp;$F3785="2",""&amp;$F3785="4",""&amp;$F3785="G",""&amp;$F3785="H"),IF($AY3785="YES","",IF($AB3785&lt;&gt;0,"",IF(COUNTIFS('AR SALES'!$L$2:$L$2501,$L3785,'AR SALES'!$AD$2:$AD$2501,IF(""&amp;$F3785="4","OFF","ON"),'AR SALES'!$AF$2:$AF$2501,"Y")&gt;0,"","NO EXEMPTION"))),"")</f>
        <v/>
      </c>
    </row>
    <row r="3786" spans="46:54" x14ac:dyDescent="0.25">
      <c r="AT3786" s="2" t="str">
        <f>IF($L3786="","",IFERROR(INDEX('AR SALES'!$H$2:$H$2501,MATCH(""&amp;$L3786,'AR SALES'!$AE$2:$AE$2501,0)),""))</f>
        <v/>
      </c>
      <c r="AU3786" s="2" t="str">
        <f t="shared" si="236"/>
        <v/>
      </c>
      <c r="AV3786" s="2" t="str">
        <f t="shared" si="237"/>
        <v/>
      </c>
      <c r="AW3786" s="2" t="str">
        <f t="shared" si="238"/>
        <v/>
      </c>
      <c r="AX3786" s="2" t="str">
        <f t="shared" si="239"/>
        <v/>
      </c>
      <c r="AY3786" s="2" t="str">
        <f>IF($AV3786="","",IF(AND($Z3786=0,COUNTIF('AR SALES'!$L$2:$L$2501,$L3786)=0),"YES",""))</f>
        <v/>
      </c>
      <c r="AZ3786" s="2" t="str">
        <f>IF($AV3786="","",IF(COUNTIF(LISTS!$C$2:$C$250,$AU3786)=0,"NEW",""))</f>
        <v/>
      </c>
      <c r="BA3786" s="2" t="str">
        <f>IF(""&amp;$F3786&lt;&gt;"4","",IF($AY3786="YES","",IF(ROUND(SUMIFS($AE$2:$AE$4001,$L$2:$L$4001,$L3786,$F$2:$F$4001,"4")-SUMIFS('AR SALES'!$Y$2:$Y$2501,'AR SALES'!$L$2:$L$2501,$L3786,'AR SALES'!$AD$2:$AD$2501,"OFF"),2)=0,"","STALE")))</f>
        <v/>
      </c>
      <c r="BB3786" s="2" t="str">
        <f>IF(OR(""&amp;$F3786="2",""&amp;$F3786="4",""&amp;$F3786="G",""&amp;$F3786="H"),IF($AY3786="YES","",IF($AB3786&lt;&gt;0,"",IF(COUNTIFS('AR SALES'!$L$2:$L$2501,$L3786,'AR SALES'!$AD$2:$AD$2501,IF(""&amp;$F3786="4","OFF","ON"),'AR SALES'!$AF$2:$AF$2501,"Y")&gt;0,"","NO EXEMPTION"))),"")</f>
        <v/>
      </c>
    </row>
    <row r="3787" spans="46:54" x14ac:dyDescent="0.25">
      <c r="AT3787" s="2" t="str">
        <f>IF($L3787="","",IFERROR(INDEX('AR SALES'!$H$2:$H$2501,MATCH(""&amp;$L3787,'AR SALES'!$AE$2:$AE$2501,0)),""))</f>
        <v/>
      </c>
      <c r="AU3787" s="2" t="str">
        <f t="shared" si="236"/>
        <v/>
      </c>
      <c r="AV3787" s="2" t="str">
        <f t="shared" si="237"/>
        <v/>
      </c>
      <c r="AW3787" s="2" t="str">
        <f t="shared" si="238"/>
        <v/>
      </c>
      <c r="AX3787" s="2" t="str">
        <f t="shared" si="239"/>
        <v/>
      </c>
      <c r="AY3787" s="2" t="str">
        <f>IF($AV3787="","",IF(AND($Z3787=0,COUNTIF('AR SALES'!$L$2:$L$2501,$L3787)=0),"YES",""))</f>
        <v/>
      </c>
      <c r="AZ3787" s="2" t="str">
        <f>IF($AV3787="","",IF(COUNTIF(LISTS!$C$2:$C$250,$AU3787)=0,"NEW",""))</f>
        <v/>
      </c>
      <c r="BA3787" s="2" t="str">
        <f>IF(""&amp;$F3787&lt;&gt;"4","",IF($AY3787="YES","",IF(ROUND(SUMIFS($AE$2:$AE$4001,$L$2:$L$4001,$L3787,$F$2:$F$4001,"4")-SUMIFS('AR SALES'!$Y$2:$Y$2501,'AR SALES'!$L$2:$L$2501,$L3787,'AR SALES'!$AD$2:$AD$2501,"OFF"),2)=0,"","STALE")))</f>
        <v/>
      </c>
      <c r="BB3787" s="2" t="str">
        <f>IF(OR(""&amp;$F3787="2",""&amp;$F3787="4",""&amp;$F3787="G",""&amp;$F3787="H"),IF($AY3787="YES","",IF($AB3787&lt;&gt;0,"",IF(COUNTIFS('AR SALES'!$L$2:$L$2501,$L3787,'AR SALES'!$AD$2:$AD$2501,IF(""&amp;$F3787="4","OFF","ON"),'AR SALES'!$AF$2:$AF$2501,"Y")&gt;0,"","NO EXEMPTION"))),"")</f>
        <v/>
      </c>
    </row>
    <row r="3788" spans="46:54" x14ac:dyDescent="0.25">
      <c r="AT3788" s="2" t="str">
        <f>IF($L3788="","",IFERROR(INDEX('AR SALES'!$H$2:$H$2501,MATCH(""&amp;$L3788,'AR SALES'!$AE$2:$AE$2501,0)),""))</f>
        <v/>
      </c>
      <c r="AU3788" s="2" t="str">
        <f t="shared" si="236"/>
        <v/>
      </c>
      <c r="AV3788" s="2" t="str">
        <f t="shared" si="237"/>
        <v/>
      </c>
      <c r="AW3788" s="2" t="str">
        <f t="shared" si="238"/>
        <v/>
      </c>
      <c r="AX3788" s="2" t="str">
        <f t="shared" si="239"/>
        <v/>
      </c>
      <c r="AY3788" s="2" t="str">
        <f>IF($AV3788="","",IF(AND($Z3788=0,COUNTIF('AR SALES'!$L$2:$L$2501,$L3788)=0),"YES",""))</f>
        <v/>
      </c>
      <c r="AZ3788" s="2" t="str">
        <f>IF($AV3788="","",IF(COUNTIF(LISTS!$C$2:$C$250,$AU3788)=0,"NEW",""))</f>
        <v/>
      </c>
      <c r="BA3788" s="2" t="str">
        <f>IF(""&amp;$F3788&lt;&gt;"4","",IF($AY3788="YES","",IF(ROUND(SUMIFS($AE$2:$AE$4001,$L$2:$L$4001,$L3788,$F$2:$F$4001,"4")-SUMIFS('AR SALES'!$Y$2:$Y$2501,'AR SALES'!$L$2:$L$2501,$L3788,'AR SALES'!$AD$2:$AD$2501,"OFF"),2)=0,"","STALE")))</f>
        <v/>
      </c>
      <c r="BB3788" s="2" t="str">
        <f>IF(OR(""&amp;$F3788="2",""&amp;$F3788="4",""&amp;$F3788="G",""&amp;$F3788="H"),IF($AY3788="YES","",IF($AB3788&lt;&gt;0,"",IF(COUNTIFS('AR SALES'!$L$2:$L$2501,$L3788,'AR SALES'!$AD$2:$AD$2501,IF(""&amp;$F3788="4","OFF","ON"),'AR SALES'!$AF$2:$AF$2501,"Y")&gt;0,"","NO EXEMPTION"))),"")</f>
        <v/>
      </c>
    </row>
    <row r="3789" spans="46:54" x14ac:dyDescent="0.25">
      <c r="AT3789" s="2" t="str">
        <f>IF($L3789="","",IFERROR(INDEX('AR SALES'!$H$2:$H$2501,MATCH(""&amp;$L3789,'AR SALES'!$AE$2:$AE$2501,0)),""))</f>
        <v/>
      </c>
      <c r="AU3789" s="2" t="str">
        <f t="shared" si="236"/>
        <v/>
      </c>
      <c r="AV3789" s="2" t="str">
        <f t="shared" si="237"/>
        <v/>
      </c>
      <c r="AW3789" s="2" t="str">
        <f t="shared" si="238"/>
        <v/>
      </c>
      <c r="AX3789" s="2" t="str">
        <f t="shared" si="239"/>
        <v/>
      </c>
      <c r="AY3789" s="2" t="str">
        <f>IF($AV3789="","",IF(AND($Z3789=0,COUNTIF('AR SALES'!$L$2:$L$2501,$L3789)=0),"YES",""))</f>
        <v/>
      </c>
      <c r="AZ3789" s="2" t="str">
        <f>IF($AV3789="","",IF(COUNTIF(LISTS!$C$2:$C$250,$AU3789)=0,"NEW",""))</f>
        <v/>
      </c>
      <c r="BA3789" s="2" t="str">
        <f>IF(""&amp;$F3789&lt;&gt;"4","",IF($AY3789="YES","",IF(ROUND(SUMIFS($AE$2:$AE$4001,$L$2:$L$4001,$L3789,$F$2:$F$4001,"4")-SUMIFS('AR SALES'!$Y$2:$Y$2501,'AR SALES'!$L$2:$L$2501,$L3789,'AR SALES'!$AD$2:$AD$2501,"OFF"),2)=0,"","STALE")))</f>
        <v/>
      </c>
      <c r="BB3789" s="2" t="str">
        <f>IF(OR(""&amp;$F3789="2",""&amp;$F3789="4",""&amp;$F3789="G",""&amp;$F3789="H"),IF($AY3789="YES","",IF($AB3789&lt;&gt;0,"",IF(COUNTIFS('AR SALES'!$L$2:$L$2501,$L3789,'AR SALES'!$AD$2:$AD$2501,IF(""&amp;$F3789="4","OFF","ON"),'AR SALES'!$AF$2:$AF$2501,"Y")&gt;0,"","NO EXEMPTION"))),"")</f>
        <v/>
      </c>
    </row>
    <row r="3790" spans="46:54" x14ac:dyDescent="0.25">
      <c r="AT3790" s="2" t="str">
        <f>IF($L3790="","",IFERROR(INDEX('AR SALES'!$H$2:$H$2501,MATCH(""&amp;$L3790,'AR SALES'!$AE$2:$AE$2501,0)),""))</f>
        <v/>
      </c>
      <c r="AU3790" s="2" t="str">
        <f t="shared" si="236"/>
        <v/>
      </c>
      <c r="AV3790" s="2" t="str">
        <f t="shared" si="237"/>
        <v/>
      </c>
      <c r="AW3790" s="2" t="str">
        <f t="shared" si="238"/>
        <v/>
      </c>
      <c r="AX3790" s="2" t="str">
        <f t="shared" si="239"/>
        <v/>
      </c>
      <c r="AY3790" s="2" t="str">
        <f>IF($AV3790="","",IF(AND($Z3790=0,COUNTIF('AR SALES'!$L$2:$L$2501,$L3790)=0),"YES",""))</f>
        <v/>
      </c>
      <c r="AZ3790" s="2" t="str">
        <f>IF($AV3790="","",IF(COUNTIF(LISTS!$C$2:$C$250,$AU3790)=0,"NEW",""))</f>
        <v/>
      </c>
      <c r="BA3790" s="2" t="str">
        <f>IF(""&amp;$F3790&lt;&gt;"4","",IF($AY3790="YES","",IF(ROUND(SUMIFS($AE$2:$AE$4001,$L$2:$L$4001,$L3790,$F$2:$F$4001,"4")-SUMIFS('AR SALES'!$Y$2:$Y$2501,'AR SALES'!$L$2:$L$2501,$L3790,'AR SALES'!$AD$2:$AD$2501,"OFF"),2)=0,"","STALE")))</f>
        <v/>
      </c>
      <c r="BB3790" s="2" t="str">
        <f>IF(OR(""&amp;$F3790="2",""&amp;$F3790="4",""&amp;$F3790="G",""&amp;$F3790="H"),IF($AY3790="YES","",IF($AB3790&lt;&gt;0,"",IF(COUNTIFS('AR SALES'!$L$2:$L$2501,$L3790,'AR SALES'!$AD$2:$AD$2501,IF(""&amp;$F3790="4","OFF","ON"),'AR SALES'!$AF$2:$AF$2501,"Y")&gt;0,"","NO EXEMPTION"))),"")</f>
        <v/>
      </c>
    </row>
    <row r="3791" spans="46:54" x14ac:dyDescent="0.25">
      <c r="AT3791" s="2" t="str">
        <f>IF($L3791="","",IFERROR(INDEX('AR SALES'!$H$2:$H$2501,MATCH(""&amp;$L3791,'AR SALES'!$AE$2:$AE$2501,0)),""))</f>
        <v/>
      </c>
      <c r="AU3791" s="2" t="str">
        <f t="shared" si="236"/>
        <v/>
      </c>
      <c r="AV3791" s="2" t="str">
        <f t="shared" si="237"/>
        <v/>
      </c>
      <c r="AW3791" s="2" t="str">
        <f t="shared" si="238"/>
        <v/>
      </c>
      <c r="AX3791" s="2" t="str">
        <f t="shared" si="239"/>
        <v/>
      </c>
      <c r="AY3791" s="2" t="str">
        <f>IF($AV3791="","",IF(AND($Z3791=0,COUNTIF('AR SALES'!$L$2:$L$2501,$L3791)=0),"YES",""))</f>
        <v/>
      </c>
      <c r="AZ3791" s="2" t="str">
        <f>IF($AV3791="","",IF(COUNTIF(LISTS!$C$2:$C$250,$AU3791)=0,"NEW",""))</f>
        <v/>
      </c>
      <c r="BA3791" s="2" t="str">
        <f>IF(""&amp;$F3791&lt;&gt;"4","",IF($AY3791="YES","",IF(ROUND(SUMIFS($AE$2:$AE$4001,$L$2:$L$4001,$L3791,$F$2:$F$4001,"4")-SUMIFS('AR SALES'!$Y$2:$Y$2501,'AR SALES'!$L$2:$L$2501,$L3791,'AR SALES'!$AD$2:$AD$2501,"OFF"),2)=0,"","STALE")))</f>
        <v/>
      </c>
      <c r="BB3791" s="2" t="str">
        <f>IF(OR(""&amp;$F3791="2",""&amp;$F3791="4",""&amp;$F3791="G",""&amp;$F3791="H"),IF($AY3791="YES","",IF($AB3791&lt;&gt;0,"",IF(COUNTIFS('AR SALES'!$L$2:$L$2501,$L3791,'AR SALES'!$AD$2:$AD$2501,IF(""&amp;$F3791="4","OFF","ON"),'AR SALES'!$AF$2:$AF$2501,"Y")&gt;0,"","NO EXEMPTION"))),"")</f>
        <v/>
      </c>
    </row>
    <row r="3792" spans="46:54" x14ac:dyDescent="0.25">
      <c r="AT3792" s="2" t="str">
        <f>IF($L3792="","",IFERROR(INDEX('AR SALES'!$H$2:$H$2501,MATCH(""&amp;$L3792,'AR SALES'!$AE$2:$AE$2501,0)),""))</f>
        <v/>
      </c>
      <c r="AU3792" s="2" t="str">
        <f t="shared" si="236"/>
        <v/>
      </c>
      <c r="AV3792" s="2" t="str">
        <f t="shared" si="237"/>
        <v/>
      </c>
      <c r="AW3792" s="2" t="str">
        <f t="shared" si="238"/>
        <v/>
      </c>
      <c r="AX3792" s="2" t="str">
        <f t="shared" si="239"/>
        <v/>
      </c>
      <c r="AY3792" s="2" t="str">
        <f>IF($AV3792="","",IF(AND($Z3792=0,COUNTIF('AR SALES'!$L$2:$L$2501,$L3792)=0),"YES",""))</f>
        <v/>
      </c>
      <c r="AZ3792" s="2" t="str">
        <f>IF($AV3792="","",IF(COUNTIF(LISTS!$C$2:$C$250,$AU3792)=0,"NEW",""))</f>
        <v/>
      </c>
      <c r="BA3792" s="2" t="str">
        <f>IF(""&amp;$F3792&lt;&gt;"4","",IF($AY3792="YES","",IF(ROUND(SUMIFS($AE$2:$AE$4001,$L$2:$L$4001,$L3792,$F$2:$F$4001,"4")-SUMIFS('AR SALES'!$Y$2:$Y$2501,'AR SALES'!$L$2:$L$2501,$L3792,'AR SALES'!$AD$2:$AD$2501,"OFF"),2)=0,"","STALE")))</f>
        <v/>
      </c>
      <c r="BB3792" s="2" t="str">
        <f>IF(OR(""&amp;$F3792="2",""&amp;$F3792="4",""&amp;$F3792="G",""&amp;$F3792="H"),IF($AY3792="YES","",IF($AB3792&lt;&gt;0,"",IF(COUNTIFS('AR SALES'!$L$2:$L$2501,$L3792,'AR SALES'!$AD$2:$AD$2501,IF(""&amp;$F3792="4","OFF","ON"),'AR SALES'!$AF$2:$AF$2501,"Y")&gt;0,"","NO EXEMPTION"))),"")</f>
        <v/>
      </c>
    </row>
    <row r="3793" spans="46:54" x14ac:dyDescent="0.25">
      <c r="AT3793" s="2" t="str">
        <f>IF($L3793="","",IFERROR(INDEX('AR SALES'!$H$2:$H$2501,MATCH(""&amp;$L3793,'AR SALES'!$AE$2:$AE$2501,0)),""))</f>
        <v/>
      </c>
      <c r="AU3793" s="2" t="str">
        <f t="shared" si="236"/>
        <v/>
      </c>
      <c r="AV3793" s="2" t="str">
        <f t="shared" si="237"/>
        <v/>
      </c>
      <c r="AW3793" s="2" t="str">
        <f t="shared" si="238"/>
        <v/>
      </c>
      <c r="AX3793" s="2" t="str">
        <f t="shared" si="239"/>
        <v/>
      </c>
      <c r="AY3793" s="2" t="str">
        <f>IF($AV3793="","",IF(AND($Z3793=0,COUNTIF('AR SALES'!$L$2:$L$2501,$L3793)=0),"YES",""))</f>
        <v/>
      </c>
      <c r="AZ3793" s="2" t="str">
        <f>IF($AV3793="","",IF(COUNTIF(LISTS!$C$2:$C$250,$AU3793)=0,"NEW",""))</f>
        <v/>
      </c>
      <c r="BA3793" s="2" t="str">
        <f>IF(""&amp;$F3793&lt;&gt;"4","",IF($AY3793="YES","",IF(ROUND(SUMIFS($AE$2:$AE$4001,$L$2:$L$4001,$L3793,$F$2:$F$4001,"4")-SUMIFS('AR SALES'!$Y$2:$Y$2501,'AR SALES'!$L$2:$L$2501,$L3793,'AR SALES'!$AD$2:$AD$2501,"OFF"),2)=0,"","STALE")))</f>
        <v/>
      </c>
      <c r="BB3793" s="2" t="str">
        <f>IF(OR(""&amp;$F3793="2",""&amp;$F3793="4",""&amp;$F3793="G",""&amp;$F3793="H"),IF($AY3793="YES","",IF($AB3793&lt;&gt;0,"",IF(COUNTIFS('AR SALES'!$L$2:$L$2501,$L3793,'AR SALES'!$AD$2:$AD$2501,IF(""&amp;$F3793="4","OFF","ON"),'AR SALES'!$AF$2:$AF$2501,"Y")&gt;0,"","NO EXEMPTION"))),"")</f>
        <v/>
      </c>
    </row>
    <row r="3794" spans="46:54" x14ac:dyDescent="0.25">
      <c r="AT3794" s="2" t="str">
        <f>IF($L3794="","",IFERROR(INDEX('AR SALES'!$H$2:$H$2501,MATCH(""&amp;$L3794,'AR SALES'!$AE$2:$AE$2501,0)),""))</f>
        <v/>
      </c>
      <c r="AU3794" s="2" t="str">
        <f t="shared" si="236"/>
        <v/>
      </c>
      <c r="AV3794" s="2" t="str">
        <f t="shared" si="237"/>
        <v/>
      </c>
      <c r="AW3794" s="2" t="str">
        <f t="shared" si="238"/>
        <v/>
      </c>
      <c r="AX3794" s="2" t="str">
        <f t="shared" si="239"/>
        <v/>
      </c>
      <c r="AY3794" s="2" t="str">
        <f>IF($AV3794="","",IF(AND($Z3794=0,COUNTIF('AR SALES'!$L$2:$L$2501,$L3794)=0),"YES",""))</f>
        <v/>
      </c>
      <c r="AZ3794" s="2" t="str">
        <f>IF($AV3794="","",IF(COUNTIF(LISTS!$C$2:$C$250,$AU3794)=0,"NEW",""))</f>
        <v/>
      </c>
      <c r="BA3794" s="2" t="str">
        <f>IF(""&amp;$F3794&lt;&gt;"4","",IF($AY3794="YES","",IF(ROUND(SUMIFS($AE$2:$AE$4001,$L$2:$L$4001,$L3794,$F$2:$F$4001,"4")-SUMIFS('AR SALES'!$Y$2:$Y$2501,'AR SALES'!$L$2:$L$2501,$L3794,'AR SALES'!$AD$2:$AD$2501,"OFF"),2)=0,"","STALE")))</f>
        <v/>
      </c>
      <c r="BB3794" s="2" t="str">
        <f>IF(OR(""&amp;$F3794="2",""&amp;$F3794="4",""&amp;$F3794="G",""&amp;$F3794="H"),IF($AY3794="YES","",IF($AB3794&lt;&gt;0,"",IF(COUNTIFS('AR SALES'!$L$2:$L$2501,$L3794,'AR SALES'!$AD$2:$AD$2501,IF(""&amp;$F3794="4","OFF","ON"),'AR SALES'!$AF$2:$AF$2501,"Y")&gt;0,"","NO EXEMPTION"))),"")</f>
        <v/>
      </c>
    </row>
    <row r="3795" spans="46:54" x14ac:dyDescent="0.25">
      <c r="AT3795" s="2" t="str">
        <f>IF($L3795="","",IFERROR(INDEX('AR SALES'!$H$2:$H$2501,MATCH(""&amp;$L3795,'AR SALES'!$AE$2:$AE$2501,0)),""))</f>
        <v/>
      </c>
      <c r="AU3795" s="2" t="str">
        <f t="shared" si="236"/>
        <v/>
      </c>
      <c r="AV3795" s="2" t="str">
        <f t="shared" si="237"/>
        <v/>
      </c>
      <c r="AW3795" s="2" t="str">
        <f t="shared" si="238"/>
        <v/>
      </c>
      <c r="AX3795" s="2" t="str">
        <f t="shared" si="239"/>
        <v/>
      </c>
      <c r="AY3795" s="2" t="str">
        <f>IF($AV3795="","",IF(AND($Z3795=0,COUNTIF('AR SALES'!$L$2:$L$2501,$L3795)=0),"YES",""))</f>
        <v/>
      </c>
      <c r="AZ3795" s="2" t="str">
        <f>IF($AV3795="","",IF(COUNTIF(LISTS!$C$2:$C$250,$AU3795)=0,"NEW",""))</f>
        <v/>
      </c>
      <c r="BA3795" s="2" t="str">
        <f>IF(""&amp;$F3795&lt;&gt;"4","",IF($AY3795="YES","",IF(ROUND(SUMIFS($AE$2:$AE$4001,$L$2:$L$4001,$L3795,$F$2:$F$4001,"4")-SUMIFS('AR SALES'!$Y$2:$Y$2501,'AR SALES'!$L$2:$L$2501,$L3795,'AR SALES'!$AD$2:$AD$2501,"OFF"),2)=0,"","STALE")))</f>
        <v/>
      </c>
      <c r="BB3795" s="2" t="str">
        <f>IF(OR(""&amp;$F3795="2",""&amp;$F3795="4",""&amp;$F3795="G",""&amp;$F3795="H"),IF($AY3795="YES","",IF($AB3795&lt;&gt;0,"",IF(COUNTIFS('AR SALES'!$L$2:$L$2501,$L3795,'AR SALES'!$AD$2:$AD$2501,IF(""&amp;$F3795="4","OFF","ON"),'AR SALES'!$AF$2:$AF$2501,"Y")&gt;0,"","NO EXEMPTION"))),"")</f>
        <v/>
      </c>
    </row>
    <row r="3796" spans="46:54" x14ac:dyDescent="0.25">
      <c r="AT3796" s="2" t="str">
        <f>IF($L3796="","",IFERROR(INDEX('AR SALES'!$H$2:$H$2501,MATCH(""&amp;$L3796,'AR SALES'!$AE$2:$AE$2501,0)),""))</f>
        <v/>
      </c>
      <c r="AU3796" s="2" t="str">
        <f t="shared" si="236"/>
        <v/>
      </c>
      <c r="AV3796" s="2" t="str">
        <f t="shared" si="237"/>
        <v/>
      </c>
      <c r="AW3796" s="2" t="str">
        <f t="shared" si="238"/>
        <v/>
      </c>
      <c r="AX3796" s="2" t="str">
        <f t="shared" si="239"/>
        <v/>
      </c>
      <c r="AY3796" s="2" t="str">
        <f>IF($AV3796="","",IF(AND($Z3796=0,COUNTIF('AR SALES'!$L$2:$L$2501,$L3796)=0),"YES",""))</f>
        <v/>
      </c>
      <c r="AZ3796" s="2" t="str">
        <f>IF($AV3796="","",IF(COUNTIF(LISTS!$C$2:$C$250,$AU3796)=0,"NEW",""))</f>
        <v/>
      </c>
      <c r="BA3796" s="2" t="str">
        <f>IF(""&amp;$F3796&lt;&gt;"4","",IF($AY3796="YES","",IF(ROUND(SUMIFS($AE$2:$AE$4001,$L$2:$L$4001,$L3796,$F$2:$F$4001,"4")-SUMIFS('AR SALES'!$Y$2:$Y$2501,'AR SALES'!$L$2:$L$2501,$L3796,'AR SALES'!$AD$2:$AD$2501,"OFF"),2)=0,"","STALE")))</f>
        <v/>
      </c>
      <c r="BB3796" s="2" t="str">
        <f>IF(OR(""&amp;$F3796="2",""&amp;$F3796="4",""&amp;$F3796="G",""&amp;$F3796="H"),IF($AY3796="YES","",IF($AB3796&lt;&gt;0,"",IF(COUNTIFS('AR SALES'!$L$2:$L$2501,$L3796,'AR SALES'!$AD$2:$AD$2501,IF(""&amp;$F3796="4","OFF","ON"),'AR SALES'!$AF$2:$AF$2501,"Y")&gt;0,"","NO EXEMPTION"))),"")</f>
        <v/>
      </c>
    </row>
    <row r="3797" spans="46:54" x14ac:dyDescent="0.25">
      <c r="AT3797" s="2" t="str">
        <f>IF($L3797="","",IFERROR(INDEX('AR SALES'!$H$2:$H$2501,MATCH(""&amp;$L3797,'AR SALES'!$AE$2:$AE$2501,0)),""))</f>
        <v/>
      </c>
      <c r="AU3797" s="2" t="str">
        <f t="shared" si="236"/>
        <v/>
      </c>
      <c r="AV3797" s="2" t="str">
        <f t="shared" si="237"/>
        <v/>
      </c>
      <c r="AW3797" s="2" t="str">
        <f t="shared" si="238"/>
        <v/>
      </c>
      <c r="AX3797" s="2" t="str">
        <f t="shared" si="239"/>
        <v/>
      </c>
      <c r="AY3797" s="2" t="str">
        <f>IF($AV3797="","",IF(AND($Z3797=0,COUNTIF('AR SALES'!$L$2:$L$2501,$L3797)=0),"YES",""))</f>
        <v/>
      </c>
      <c r="AZ3797" s="2" t="str">
        <f>IF($AV3797="","",IF(COUNTIF(LISTS!$C$2:$C$250,$AU3797)=0,"NEW",""))</f>
        <v/>
      </c>
      <c r="BA3797" s="2" t="str">
        <f>IF(""&amp;$F3797&lt;&gt;"4","",IF($AY3797="YES","",IF(ROUND(SUMIFS($AE$2:$AE$4001,$L$2:$L$4001,$L3797,$F$2:$F$4001,"4")-SUMIFS('AR SALES'!$Y$2:$Y$2501,'AR SALES'!$L$2:$L$2501,$L3797,'AR SALES'!$AD$2:$AD$2501,"OFF"),2)=0,"","STALE")))</f>
        <v/>
      </c>
      <c r="BB3797" s="2" t="str">
        <f>IF(OR(""&amp;$F3797="2",""&amp;$F3797="4",""&amp;$F3797="G",""&amp;$F3797="H"),IF($AY3797="YES","",IF($AB3797&lt;&gt;0,"",IF(COUNTIFS('AR SALES'!$L$2:$L$2501,$L3797,'AR SALES'!$AD$2:$AD$2501,IF(""&amp;$F3797="4","OFF","ON"),'AR SALES'!$AF$2:$AF$2501,"Y")&gt;0,"","NO EXEMPTION"))),"")</f>
        <v/>
      </c>
    </row>
    <row r="3798" spans="46:54" x14ac:dyDescent="0.25">
      <c r="AT3798" s="2" t="str">
        <f>IF($L3798="","",IFERROR(INDEX('AR SALES'!$H$2:$H$2501,MATCH(""&amp;$L3798,'AR SALES'!$AE$2:$AE$2501,0)),""))</f>
        <v/>
      </c>
      <c r="AU3798" s="2" t="str">
        <f t="shared" si="236"/>
        <v/>
      </c>
      <c r="AV3798" s="2" t="str">
        <f t="shared" si="237"/>
        <v/>
      </c>
      <c r="AW3798" s="2" t="str">
        <f t="shared" si="238"/>
        <v/>
      </c>
      <c r="AX3798" s="2" t="str">
        <f t="shared" si="239"/>
        <v/>
      </c>
      <c r="AY3798" s="2" t="str">
        <f>IF($AV3798="","",IF(AND($Z3798=0,COUNTIF('AR SALES'!$L$2:$L$2501,$L3798)=0),"YES",""))</f>
        <v/>
      </c>
      <c r="AZ3798" s="2" t="str">
        <f>IF($AV3798="","",IF(COUNTIF(LISTS!$C$2:$C$250,$AU3798)=0,"NEW",""))</f>
        <v/>
      </c>
      <c r="BA3798" s="2" t="str">
        <f>IF(""&amp;$F3798&lt;&gt;"4","",IF($AY3798="YES","",IF(ROUND(SUMIFS($AE$2:$AE$4001,$L$2:$L$4001,$L3798,$F$2:$F$4001,"4")-SUMIFS('AR SALES'!$Y$2:$Y$2501,'AR SALES'!$L$2:$L$2501,$L3798,'AR SALES'!$AD$2:$AD$2501,"OFF"),2)=0,"","STALE")))</f>
        <v/>
      </c>
      <c r="BB3798" s="2" t="str">
        <f>IF(OR(""&amp;$F3798="2",""&amp;$F3798="4",""&amp;$F3798="G",""&amp;$F3798="H"),IF($AY3798="YES","",IF($AB3798&lt;&gt;0,"",IF(COUNTIFS('AR SALES'!$L$2:$L$2501,$L3798,'AR SALES'!$AD$2:$AD$2501,IF(""&amp;$F3798="4","OFF","ON"),'AR SALES'!$AF$2:$AF$2501,"Y")&gt;0,"","NO EXEMPTION"))),"")</f>
        <v/>
      </c>
    </row>
    <row r="3799" spans="46:54" x14ac:dyDescent="0.25">
      <c r="AT3799" s="2" t="str">
        <f>IF($L3799="","",IFERROR(INDEX('AR SALES'!$H$2:$H$2501,MATCH(""&amp;$L3799,'AR SALES'!$AE$2:$AE$2501,0)),""))</f>
        <v/>
      </c>
      <c r="AU3799" s="2" t="str">
        <f t="shared" si="236"/>
        <v/>
      </c>
      <c r="AV3799" s="2" t="str">
        <f t="shared" si="237"/>
        <v/>
      </c>
      <c r="AW3799" s="2" t="str">
        <f t="shared" si="238"/>
        <v/>
      </c>
      <c r="AX3799" s="2" t="str">
        <f t="shared" si="239"/>
        <v/>
      </c>
      <c r="AY3799" s="2" t="str">
        <f>IF($AV3799="","",IF(AND($Z3799=0,COUNTIF('AR SALES'!$L$2:$L$2501,$L3799)=0),"YES",""))</f>
        <v/>
      </c>
      <c r="AZ3799" s="2" t="str">
        <f>IF($AV3799="","",IF(COUNTIF(LISTS!$C$2:$C$250,$AU3799)=0,"NEW",""))</f>
        <v/>
      </c>
      <c r="BA3799" s="2" t="str">
        <f>IF(""&amp;$F3799&lt;&gt;"4","",IF($AY3799="YES","",IF(ROUND(SUMIFS($AE$2:$AE$4001,$L$2:$L$4001,$L3799,$F$2:$F$4001,"4")-SUMIFS('AR SALES'!$Y$2:$Y$2501,'AR SALES'!$L$2:$L$2501,$L3799,'AR SALES'!$AD$2:$AD$2501,"OFF"),2)=0,"","STALE")))</f>
        <v/>
      </c>
      <c r="BB3799" s="2" t="str">
        <f>IF(OR(""&amp;$F3799="2",""&amp;$F3799="4",""&amp;$F3799="G",""&amp;$F3799="H"),IF($AY3799="YES","",IF($AB3799&lt;&gt;0,"",IF(COUNTIFS('AR SALES'!$L$2:$L$2501,$L3799,'AR SALES'!$AD$2:$AD$2501,IF(""&amp;$F3799="4","OFF","ON"),'AR SALES'!$AF$2:$AF$2501,"Y")&gt;0,"","NO EXEMPTION"))),"")</f>
        <v/>
      </c>
    </row>
    <row r="3800" spans="46:54" x14ac:dyDescent="0.25">
      <c r="AT3800" s="2" t="str">
        <f>IF($L3800="","",IFERROR(INDEX('AR SALES'!$H$2:$H$2501,MATCH(""&amp;$L3800,'AR SALES'!$AE$2:$AE$2501,0)),""))</f>
        <v/>
      </c>
      <c r="AU3800" s="2" t="str">
        <f t="shared" si="236"/>
        <v/>
      </c>
      <c r="AV3800" s="2" t="str">
        <f t="shared" si="237"/>
        <v/>
      </c>
      <c r="AW3800" s="2" t="str">
        <f t="shared" si="238"/>
        <v/>
      </c>
      <c r="AX3800" s="2" t="str">
        <f t="shared" si="239"/>
        <v/>
      </c>
      <c r="AY3800" s="2" t="str">
        <f>IF($AV3800="","",IF(AND($Z3800=0,COUNTIF('AR SALES'!$L$2:$L$2501,$L3800)=0),"YES",""))</f>
        <v/>
      </c>
      <c r="AZ3800" s="2" t="str">
        <f>IF($AV3800="","",IF(COUNTIF(LISTS!$C$2:$C$250,$AU3800)=0,"NEW",""))</f>
        <v/>
      </c>
      <c r="BA3800" s="2" t="str">
        <f>IF(""&amp;$F3800&lt;&gt;"4","",IF($AY3800="YES","",IF(ROUND(SUMIFS($AE$2:$AE$4001,$L$2:$L$4001,$L3800,$F$2:$F$4001,"4")-SUMIFS('AR SALES'!$Y$2:$Y$2501,'AR SALES'!$L$2:$L$2501,$L3800,'AR SALES'!$AD$2:$AD$2501,"OFF"),2)=0,"","STALE")))</f>
        <v/>
      </c>
      <c r="BB3800" s="2" t="str">
        <f>IF(OR(""&amp;$F3800="2",""&amp;$F3800="4",""&amp;$F3800="G",""&amp;$F3800="H"),IF($AY3800="YES","",IF($AB3800&lt;&gt;0,"",IF(COUNTIFS('AR SALES'!$L$2:$L$2501,$L3800,'AR SALES'!$AD$2:$AD$2501,IF(""&amp;$F3800="4","OFF","ON"),'AR SALES'!$AF$2:$AF$2501,"Y")&gt;0,"","NO EXEMPTION"))),"")</f>
        <v/>
      </c>
    </row>
    <row r="3801" spans="46:54" x14ac:dyDescent="0.25">
      <c r="AT3801" s="2" t="str">
        <f>IF($L3801="","",IFERROR(INDEX('AR SALES'!$H$2:$H$2501,MATCH(""&amp;$L3801,'AR SALES'!$AE$2:$AE$2501,0)),""))</f>
        <v/>
      </c>
      <c r="AU3801" s="2" t="str">
        <f t="shared" si="236"/>
        <v/>
      </c>
      <c r="AV3801" s="2" t="str">
        <f t="shared" si="237"/>
        <v/>
      </c>
      <c r="AW3801" s="2" t="str">
        <f t="shared" si="238"/>
        <v/>
      </c>
      <c r="AX3801" s="2" t="str">
        <f t="shared" si="239"/>
        <v/>
      </c>
      <c r="AY3801" s="2" t="str">
        <f>IF($AV3801="","",IF(AND($Z3801=0,COUNTIF('AR SALES'!$L$2:$L$2501,$L3801)=0),"YES",""))</f>
        <v/>
      </c>
      <c r="AZ3801" s="2" t="str">
        <f>IF($AV3801="","",IF(COUNTIF(LISTS!$C$2:$C$250,$AU3801)=0,"NEW",""))</f>
        <v/>
      </c>
      <c r="BA3801" s="2" t="str">
        <f>IF(""&amp;$F3801&lt;&gt;"4","",IF($AY3801="YES","",IF(ROUND(SUMIFS($AE$2:$AE$4001,$L$2:$L$4001,$L3801,$F$2:$F$4001,"4")-SUMIFS('AR SALES'!$Y$2:$Y$2501,'AR SALES'!$L$2:$L$2501,$L3801,'AR SALES'!$AD$2:$AD$2501,"OFF"),2)=0,"","STALE")))</f>
        <v/>
      </c>
      <c r="BB3801" s="2" t="str">
        <f>IF(OR(""&amp;$F3801="2",""&amp;$F3801="4",""&amp;$F3801="G",""&amp;$F3801="H"),IF($AY3801="YES","",IF($AB3801&lt;&gt;0,"",IF(COUNTIFS('AR SALES'!$L$2:$L$2501,$L3801,'AR SALES'!$AD$2:$AD$2501,IF(""&amp;$F3801="4","OFF","ON"),'AR SALES'!$AF$2:$AF$2501,"Y")&gt;0,"","NO EXEMPTION"))),"")</f>
        <v/>
      </c>
    </row>
    <row r="3802" spans="46:54" x14ac:dyDescent="0.25">
      <c r="AT3802" s="2" t="str">
        <f>IF($L3802="","",IFERROR(INDEX('AR SALES'!$H$2:$H$2501,MATCH(""&amp;$L3802,'AR SALES'!$AE$2:$AE$2501,0)),""))</f>
        <v/>
      </c>
      <c r="AU3802" s="2" t="str">
        <f t="shared" si="236"/>
        <v/>
      </c>
      <c r="AV3802" s="2" t="str">
        <f t="shared" si="237"/>
        <v/>
      </c>
      <c r="AW3802" s="2" t="str">
        <f t="shared" si="238"/>
        <v/>
      </c>
      <c r="AX3802" s="2" t="str">
        <f t="shared" si="239"/>
        <v/>
      </c>
      <c r="AY3802" s="2" t="str">
        <f>IF($AV3802="","",IF(AND($Z3802=0,COUNTIF('AR SALES'!$L$2:$L$2501,$L3802)=0),"YES",""))</f>
        <v/>
      </c>
      <c r="AZ3802" s="2" t="str">
        <f>IF($AV3802="","",IF(COUNTIF(LISTS!$C$2:$C$250,$AU3802)=0,"NEW",""))</f>
        <v/>
      </c>
      <c r="BA3802" s="2" t="str">
        <f>IF(""&amp;$F3802&lt;&gt;"4","",IF($AY3802="YES","",IF(ROUND(SUMIFS($AE$2:$AE$4001,$L$2:$L$4001,$L3802,$F$2:$F$4001,"4")-SUMIFS('AR SALES'!$Y$2:$Y$2501,'AR SALES'!$L$2:$L$2501,$L3802,'AR SALES'!$AD$2:$AD$2501,"OFF"),2)=0,"","STALE")))</f>
        <v/>
      </c>
      <c r="BB3802" s="2" t="str">
        <f>IF(OR(""&amp;$F3802="2",""&amp;$F3802="4",""&amp;$F3802="G",""&amp;$F3802="H"),IF($AY3802="YES","",IF($AB3802&lt;&gt;0,"",IF(COUNTIFS('AR SALES'!$L$2:$L$2501,$L3802,'AR SALES'!$AD$2:$AD$2501,IF(""&amp;$F3802="4","OFF","ON"),'AR SALES'!$AF$2:$AF$2501,"Y")&gt;0,"","NO EXEMPTION"))),"")</f>
        <v/>
      </c>
    </row>
    <row r="3803" spans="46:54" x14ac:dyDescent="0.25">
      <c r="AT3803" s="2" t="str">
        <f>IF($L3803="","",IFERROR(INDEX('AR SALES'!$H$2:$H$2501,MATCH(""&amp;$L3803,'AR SALES'!$AE$2:$AE$2501,0)),""))</f>
        <v/>
      </c>
      <c r="AU3803" s="2" t="str">
        <f t="shared" si="236"/>
        <v/>
      </c>
      <c r="AV3803" s="2" t="str">
        <f t="shared" si="237"/>
        <v/>
      </c>
      <c r="AW3803" s="2" t="str">
        <f t="shared" si="238"/>
        <v/>
      </c>
      <c r="AX3803" s="2" t="str">
        <f t="shared" si="239"/>
        <v/>
      </c>
      <c r="AY3803" s="2" t="str">
        <f>IF($AV3803="","",IF(AND($Z3803=0,COUNTIF('AR SALES'!$L$2:$L$2501,$L3803)=0),"YES",""))</f>
        <v/>
      </c>
      <c r="AZ3803" s="2" t="str">
        <f>IF($AV3803="","",IF(COUNTIF(LISTS!$C$2:$C$250,$AU3803)=0,"NEW",""))</f>
        <v/>
      </c>
      <c r="BA3803" s="2" t="str">
        <f>IF(""&amp;$F3803&lt;&gt;"4","",IF($AY3803="YES","",IF(ROUND(SUMIFS($AE$2:$AE$4001,$L$2:$L$4001,$L3803,$F$2:$F$4001,"4")-SUMIFS('AR SALES'!$Y$2:$Y$2501,'AR SALES'!$L$2:$L$2501,$L3803,'AR SALES'!$AD$2:$AD$2501,"OFF"),2)=0,"","STALE")))</f>
        <v/>
      </c>
      <c r="BB3803" s="2" t="str">
        <f>IF(OR(""&amp;$F3803="2",""&amp;$F3803="4",""&amp;$F3803="G",""&amp;$F3803="H"),IF($AY3803="YES","",IF($AB3803&lt;&gt;0,"",IF(COUNTIFS('AR SALES'!$L$2:$L$2501,$L3803,'AR SALES'!$AD$2:$AD$2501,IF(""&amp;$F3803="4","OFF","ON"),'AR SALES'!$AF$2:$AF$2501,"Y")&gt;0,"","NO EXEMPTION"))),"")</f>
        <v/>
      </c>
    </row>
    <row r="3804" spans="46:54" x14ac:dyDescent="0.25">
      <c r="AT3804" s="2" t="str">
        <f>IF($L3804="","",IFERROR(INDEX('AR SALES'!$H$2:$H$2501,MATCH(""&amp;$L3804,'AR SALES'!$AE$2:$AE$2501,0)),""))</f>
        <v/>
      </c>
      <c r="AU3804" s="2" t="str">
        <f t="shared" si="236"/>
        <v/>
      </c>
      <c r="AV3804" s="2" t="str">
        <f t="shared" si="237"/>
        <v/>
      </c>
      <c r="AW3804" s="2" t="str">
        <f t="shared" si="238"/>
        <v/>
      </c>
      <c r="AX3804" s="2" t="str">
        <f t="shared" si="239"/>
        <v/>
      </c>
      <c r="AY3804" s="2" t="str">
        <f>IF($AV3804="","",IF(AND($Z3804=0,COUNTIF('AR SALES'!$L$2:$L$2501,$L3804)=0),"YES",""))</f>
        <v/>
      </c>
      <c r="AZ3804" s="2" t="str">
        <f>IF($AV3804="","",IF(COUNTIF(LISTS!$C$2:$C$250,$AU3804)=0,"NEW",""))</f>
        <v/>
      </c>
      <c r="BA3804" s="2" t="str">
        <f>IF(""&amp;$F3804&lt;&gt;"4","",IF($AY3804="YES","",IF(ROUND(SUMIFS($AE$2:$AE$4001,$L$2:$L$4001,$L3804,$F$2:$F$4001,"4")-SUMIFS('AR SALES'!$Y$2:$Y$2501,'AR SALES'!$L$2:$L$2501,$L3804,'AR SALES'!$AD$2:$AD$2501,"OFF"),2)=0,"","STALE")))</f>
        <v/>
      </c>
      <c r="BB3804" s="2" t="str">
        <f>IF(OR(""&amp;$F3804="2",""&amp;$F3804="4",""&amp;$F3804="G",""&amp;$F3804="H"),IF($AY3804="YES","",IF($AB3804&lt;&gt;0,"",IF(COUNTIFS('AR SALES'!$L$2:$L$2501,$L3804,'AR SALES'!$AD$2:$AD$2501,IF(""&amp;$F3804="4","OFF","ON"),'AR SALES'!$AF$2:$AF$2501,"Y")&gt;0,"","NO EXEMPTION"))),"")</f>
        <v/>
      </c>
    </row>
    <row r="3805" spans="46:54" x14ac:dyDescent="0.25">
      <c r="AT3805" s="2" t="str">
        <f>IF($L3805="","",IFERROR(INDEX('AR SALES'!$H$2:$H$2501,MATCH(""&amp;$L3805,'AR SALES'!$AE$2:$AE$2501,0)),""))</f>
        <v/>
      </c>
      <c r="AU3805" s="2" t="str">
        <f t="shared" si="236"/>
        <v/>
      </c>
      <c r="AV3805" s="2" t="str">
        <f t="shared" si="237"/>
        <v/>
      </c>
      <c r="AW3805" s="2" t="str">
        <f t="shared" si="238"/>
        <v/>
      </c>
      <c r="AX3805" s="2" t="str">
        <f t="shared" si="239"/>
        <v/>
      </c>
      <c r="AY3805" s="2" t="str">
        <f>IF($AV3805="","",IF(AND($Z3805=0,COUNTIF('AR SALES'!$L$2:$L$2501,$L3805)=0),"YES",""))</f>
        <v/>
      </c>
      <c r="AZ3805" s="2" t="str">
        <f>IF($AV3805="","",IF(COUNTIF(LISTS!$C$2:$C$250,$AU3805)=0,"NEW",""))</f>
        <v/>
      </c>
      <c r="BA3805" s="2" t="str">
        <f>IF(""&amp;$F3805&lt;&gt;"4","",IF($AY3805="YES","",IF(ROUND(SUMIFS($AE$2:$AE$4001,$L$2:$L$4001,$L3805,$F$2:$F$4001,"4")-SUMIFS('AR SALES'!$Y$2:$Y$2501,'AR SALES'!$L$2:$L$2501,$L3805,'AR SALES'!$AD$2:$AD$2501,"OFF"),2)=0,"","STALE")))</f>
        <v/>
      </c>
      <c r="BB3805" s="2" t="str">
        <f>IF(OR(""&amp;$F3805="2",""&amp;$F3805="4",""&amp;$F3805="G",""&amp;$F3805="H"),IF($AY3805="YES","",IF($AB3805&lt;&gt;0,"",IF(COUNTIFS('AR SALES'!$L$2:$L$2501,$L3805,'AR SALES'!$AD$2:$AD$2501,IF(""&amp;$F3805="4","OFF","ON"),'AR SALES'!$AF$2:$AF$2501,"Y")&gt;0,"","NO EXEMPTION"))),"")</f>
        <v/>
      </c>
    </row>
    <row r="3806" spans="46:54" x14ac:dyDescent="0.25">
      <c r="AT3806" s="2" t="str">
        <f>IF($L3806="","",IFERROR(INDEX('AR SALES'!$H$2:$H$2501,MATCH(""&amp;$L3806,'AR SALES'!$AE$2:$AE$2501,0)),""))</f>
        <v/>
      </c>
      <c r="AU3806" s="2" t="str">
        <f t="shared" si="236"/>
        <v/>
      </c>
      <c r="AV3806" s="2" t="str">
        <f t="shared" si="237"/>
        <v/>
      </c>
      <c r="AW3806" s="2" t="str">
        <f t="shared" si="238"/>
        <v/>
      </c>
      <c r="AX3806" s="2" t="str">
        <f t="shared" si="239"/>
        <v/>
      </c>
      <c r="AY3806" s="2" t="str">
        <f>IF($AV3806="","",IF(AND($Z3806=0,COUNTIF('AR SALES'!$L$2:$L$2501,$L3806)=0),"YES",""))</f>
        <v/>
      </c>
      <c r="AZ3806" s="2" t="str">
        <f>IF($AV3806="","",IF(COUNTIF(LISTS!$C$2:$C$250,$AU3806)=0,"NEW",""))</f>
        <v/>
      </c>
      <c r="BA3806" s="2" t="str">
        <f>IF(""&amp;$F3806&lt;&gt;"4","",IF($AY3806="YES","",IF(ROUND(SUMIFS($AE$2:$AE$4001,$L$2:$L$4001,$L3806,$F$2:$F$4001,"4")-SUMIFS('AR SALES'!$Y$2:$Y$2501,'AR SALES'!$L$2:$L$2501,$L3806,'AR SALES'!$AD$2:$AD$2501,"OFF"),2)=0,"","STALE")))</f>
        <v/>
      </c>
      <c r="BB3806" s="2" t="str">
        <f>IF(OR(""&amp;$F3806="2",""&amp;$F3806="4",""&amp;$F3806="G",""&amp;$F3806="H"),IF($AY3806="YES","",IF($AB3806&lt;&gt;0,"",IF(COUNTIFS('AR SALES'!$L$2:$L$2501,$L3806,'AR SALES'!$AD$2:$AD$2501,IF(""&amp;$F3806="4","OFF","ON"),'AR SALES'!$AF$2:$AF$2501,"Y")&gt;0,"","NO EXEMPTION"))),"")</f>
        <v/>
      </c>
    </row>
    <row r="3807" spans="46:54" x14ac:dyDescent="0.25">
      <c r="AT3807" s="2" t="str">
        <f>IF($L3807="","",IFERROR(INDEX('AR SALES'!$H$2:$H$2501,MATCH(""&amp;$L3807,'AR SALES'!$AE$2:$AE$2501,0)),""))</f>
        <v/>
      </c>
      <c r="AU3807" s="2" t="str">
        <f t="shared" si="236"/>
        <v/>
      </c>
      <c r="AV3807" s="2" t="str">
        <f t="shared" si="237"/>
        <v/>
      </c>
      <c r="AW3807" s="2" t="str">
        <f t="shared" si="238"/>
        <v/>
      </c>
      <c r="AX3807" s="2" t="str">
        <f t="shared" si="239"/>
        <v/>
      </c>
      <c r="AY3807" s="2" t="str">
        <f>IF($AV3807="","",IF(AND($Z3807=0,COUNTIF('AR SALES'!$L$2:$L$2501,$L3807)=0),"YES",""))</f>
        <v/>
      </c>
      <c r="AZ3807" s="2" t="str">
        <f>IF($AV3807="","",IF(COUNTIF(LISTS!$C$2:$C$250,$AU3807)=0,"NEW",""))</f>
        <v/>
      </c>
      <c r="BA3807" s="2" t="str">
        <f>IF(""&amp;$F3807&lt;&gt;"4","",IF($AY3807="YES","",IF(ROUND(SUMIFS($AE$2:$AE$4001,$L$2:$L$4001,$L3807,$F$2:$F$4001,"4")-SUMIFS('AR SALES'!$Y$2:$Y$2501,'AR SALES'!$L$2:$L$2501,$L3807,'AR SALES'!$AD$2:$AD$2501,"OFF"),2)=0,"","STALE")))</f>
        <v/>
      </c>
      <c r="BB3807" s="2" t="str">
        <f>IF(OR(""&amp;$F3807="2",""&amp;$F3807="4",""&amp;$F3807="G",""&amp;$F3807="H"),IF($AY3807="YES","",IF($AB3807&lt;&gt;0,"",IF(COUNTIFS('AR SALES'!$L$2:$L$2501,$L3807,'AR SALES'!$AD$2:$AD$2501,IF(""&amp;$F3807="4","OFF","ON"),'AR SALES'!$AF$2:$AF$2501,"Y")&gt;0,"","NO EXEMPTION"))),"")</f>
        <v/>
      </c>
    </row>
    <row r="3808" spans="46:54" x14ac:dyDescent="0.25">
      <c r="AT3808" s="2" t="str">
        <f>IF($L3808="","",IFERROR(INDEX('AR SALES'!$H$2:$H$2501,MATCH(""&amp;$L3808,'AR SALES'!$AE$2:$AE$2501,0)),""))</f>
        <v/>
      </c>
      <c r="AU3808" s="2" t="str">
        <f t="shared" si="236"/>
        <v/>
      </c>
      <c r="AV3808" s="2" t="str">
        <f t="shared" si="237"/>
        <v/>
      </c>
      <c r="AW3808" s="2" t="str">
        <f t="shared" si="238"/>
        <v/>
      </c>
      <c r="AX3808" s="2" t="str">
        <f t="shared" si="239"/>
        <v/>
      </c>
      <c r="AY3808" s="2" t="str">
        <f>IF($AV3808="","",IF(AND($Z3808=0,COUNTIF('AR SALES'!$L$2:$L$2501,$L3808)=0),"YES",""))</f>
        <v/>
      </c>
      <c r="AZ3808" s="2" t="str">
        <f>IF($AV3808="","",IF(COUNTIF(LISTS!$C$2:$C$250,$AU3808)=0,"NEW",""))</f>
        <v/>
      </c>
      <c r="BA3808" s="2" t="str">
        <f>IF(""&amp;$F3808&lt;&gt;"4","",IF($AY3808="YES","",IF(ROUND(SUMIFS($AE$2:$AE$4001,$L$2:$L$4001,$L3808,$F$2:$F$4001,"4")-SUMIFS('AR SALES'!$Y$2:$Y$2501,'AR SALES'!$L$2:$L$2501,$L3808,'AR SALES'!$AD$2:$AD$2501,"OFF"),2)=0,"","STALE")))</f>
        <v/>
      </c>
      <c r="BB3808" s="2" t="str">
        <f>IF(OR(""&amp;$F3808="2",""&amp;$F3808="4",""&amp;$F3808="G",""&amp;$F3808="H"),IF($AY3808="YES","",IF($AB3808&lt;&gt;0,"",IF(COUNTIFS('AR SALES'!$L$2:$L$2501,$L3808,'AR SALES'!$AD$2:$AD$2501,IF(""&amp;$F3808="4","OFF","ON"),'AR SALES'!$AF$2:$AF$2501,"Y")&gt;0,"","NO EXEMPTION"))),"")</f>
        <v/>
      </c>
    </row>
    <row r="3809" spans="46:54" x14ac:dyDescent="0.25">
      <c r="AT3809" s="2" t="str">
        <f>IF($L3809="","",IFERROR(INDEX('AR SALES'!$H$2:$H$2501,MATCH(""&amp;$L3809,'AR SALES'!$AE$2:$AE$2501,0)),""))</f>
        <v/>
      </c>
      <c r="AU3809" s="2" t="str">
        <f t="shared" si="236"/>
        <v/>
      </c>
      <c r="AV3809" s="2" t="str">
        <f t="shared" si="237"/>
        <v/>
      </c>
      <c r="AW3809" s="2" t="str">
        <f t="shared" si="238"/>
        <v/>
      </c>
      <c r="AX3809" s="2" t="str">
        <f t="shared" si="239"/>
        <v/>
      </c>
      <c r="AY3809" s="2" t="str">
        <f>IF($AV3809="","",IF(AND($Z3809=0,COUNTIF('AR SALES'!$L$2:$L$2501,$L3809)=0),"YES",""))</f>
        <v/>
      </c>
      <c r="AZ3809" s="2" t="str">
        <f>IF($AV3809="","",IF(COUNTIF(LISTS!$C$2:$C$250,$AU3809)=0,"NEW",""))</f>
        <v/>
      </c>
      <c r="BA3809" s="2" t="str">
        <f>IF(""&amp;$F3809&lt;&gt;"4","",IF($AY3809="YES","",IF(ROUND(SUMIFS($AE$2:$AE$4001,$L$2:$L$4001,$L3809,$F$2:$F$4001,"4")-SUMIFS('AR SALES'!$Y$2:$Y$2501,'AR SALES'!$L$2:$L$2501,$L3809,'AR SALES'!$AD$2:$AD$2501,"OFF"),2)=0,"","STALE")))</f>
        <v/>
      </c>
      <c r="BB3809" s="2" t="str">
        <f>IF(OR(""&amp;$F3809="2",""&amp;$F3809="4",""&amp;$F3809="G",""&amp;$F3809="H"),IF($AY3809="YES","",IF($AB3809&lt;&gt;0,"",IF(COUNTIFS('AR SALES'!$L$2:$L$2501,$L3809,'AR SALES'!$AD$2:$AD$2501,IF(""&amp;$F3809="4","OFF","ON"),'AR SALES'!$AF$2:$AF$2501,"Y")&gt;0,"","NO EXEMPTION"))),"")</f>
        <v/>
      </c>
    </row>
    <row r="3810" spans="46:54" x14ac:dyDescent="0.25">
      <c r="AT3810" s="2" t="str">
        <f>IF($L3810="","",IFERROR(INDEX('AR SALES'!$H$2:$H$2501,MATCH(""&amp;$L3810,'AR SALES'!$AE$2:$AE$2501,0)),""))</f>
        <v/>
      </c>
      <c r="AU3810" s="2" t="str">
        <f t="shared" si="236"/>
        <v/>
      </c>
      <c r="AV3810" s="2" t="str">
        <f t="shared" si="237"/>
        <v/>
      </c>
      <c r="AW3810" s="2" t="str">
        <f t="shared" si="238"/>
        <v/>
      </c>
      <c r="AX3810" s="2" t="str">
        <f t="shared" si="239"/>
        <v/>
      </c>
      <c r="AY3810" s="2" t="str">
        <f>IF($AV3810="","",IF(AND($Z3810=0,COUNTIF('AR SALES'!$L$2:$L$2501,$L3810)=0),"YES",""))</f>
        <v/>
      </c>
      <c r="AZ3810" s="2" t="str">
        <f>IF($AV3810="","",IF(COUNTIF(LISTS!$C$2:$C$250,$AU3810)=0,"NEW",""))</f>
        <v/>
      </c>
      <c r="BA3810" s="2" t="str">
        <f>IF(""&amp;$F3810&lt;&gt;"4","",IF($AY3810="YES","",IF(ROUND(SUMIFS($AE$2:$AE$4001,$L$2:$L$4001,$L3810,$F$2:$F$4001,"4")-SUMIFS('AR SALES'!$Y$2:$Y$2501,'AR SALES'!$L$2:$L$2501,$L3810,'AR SALES'!$AD$2:$AD$2501,"OFF"),2)=0,"","STALE")))</f>
        <v/>
      </c>
      <c r="BB3810" s="2" t="str">
        <f>IF(OR(""&amp;$F3810="2",""&amp;$F3810="4",""&amp;$F3810="G",""&amp;$F3810="H"),IF($AY3810="YES","",IF($AB3810&lt;&gt;0,"",IF(COUNTIFS('AR SALES'!$L$2:$L$2501,$L3810,'AR SALES'!$AD$2:$AD$2501,IF(""&amp;$F3810="4","OFF","ON"),'AR SALES'!$AF$2:$AF$2501,"Y")&gt;0,"","NO EXEMPTION"))),"")</f>
        <v/>
      </c>
    </row>
    <row r="3811" spans="46:54" x14ac:dyDescent="0.25">
      <c r="AT3811" s="2" t="str">
        <f>IF($L3811="","",IFERROR(INDEX('AR SALES'!$H$2:$H$2501,MATCH(""&amp;$L3811,'AR SALES'!$AE$2:$AE$2501,0)),""))</f>
        <v/>
      </c>
      <c r="AU3811" s="2" t="str">
        <f t="shared" si="236"/>
        <v/>
      </c>
      <c r="AV3811" s="2" t="str">
        <f t="shared" si="237"/>
        <v/>
      </c>
      <c r="AW3811" s="2" t="str">
        <f t="shared" si="238"/>
        <v/>
      </c>
      <c r="AX3811" s="2" t="str">
        <f t="shared" si="239"/>
        <v/>
      </c>
      <c r="AY3811" s="2" t="str">
        <f>IF($AV3811="","",IF(AND($Z3811=0,COUNTIF('AR SALES'!$L$2:$L$2501,$L3811)=0),"YES",""))</f>
        <v/>
      </c>
      <c r="AZ3811" s="2" t="str">
        <f>IF($AV3811="","",IF(COUNTIF(LISTS!$C$2:$C$250,$AU3811)=0,"NEW",""))</f>
        <v/>
      </c>
      <c r="BA3811" s="2" t="str">
        <f>IF(""&amp;$F3811&lt;&gt;"4","",IF($AY3811="YES","",IF(ROUND(SUMIFS($AE$2:$AE$4001,$L$2:$L$4001,$L3811,$F$2:$F$4001,"4")-SUMIFS('AR SALES'!$Y$2:$Y$2501,'AR SALES'!$L$2:$L$2501,$L3811,'AR SALES'!$AD$2:$AD$2501,"OFF"),2)=0,"","STALE")))</f>
        <v/>
      </c>
      <c r="BB3811" s="2" t="str">
        <f>IF(OR(""&amp;$F3811="2",""&amp;$F3811="4",""&amp;$F3811="G",""&amp;$F3811="H"),IF($AY3811="YES","",IF($AB3811&lt;&gt;0,"",IF(COUNTIFS('AR SALES'!$L$2:$L$2501,$L3811,'AR SALES'!$AD$2:$AD$2501,IF(""&amp;$F3811="4","OFF","ON"),'AR SALES'!$AF$2:$AF$2501,"Y")&gt;0,"","NO EXEMPTION"))),"")</f>
        <v/>
      </c>
    </row>
    <row r="3812" spans="46:54" x14ac:dyDescent="0.25">
      <c r="AT3812" s="2" t="str">
        <f>IF($L3812="","",IFERROR(INDEX('AR SALES'!$H$2:$H$2501,MATCH(""&amp;$L3812,'AR SALES'!$AE$2:$AE$2501,0)),""))</f>
        <v/>
      </c>
      <c r="AU3812" s="2" t="str">
        <f t="shared" si="236"/>
        <v/>
      </c>
      <c r="AV3812" s="2" t="str">
        <f t="shared" si="237"/>
        <v/>
      </c>
      <c r="AW3812" s="2" t="str">
        <f t="shared" si="238"/>
        <v/>
      </c>
      <c r="AX3812" s="2" t="str">
        <f t="shared" si="239"/>
        <v/>
      </c>
      <c r="AY3812" s="2" t="str">
        <f>IF($AV3812="","",IF(AND($Z3812=0,COUNTIF('AR SALES'!$L$2:$L$2501,$L3812)=0),"YES",""))</f>
        <v/>
      </c>
      <c r="AZ3812" s="2" t="str">
        <f>IF($AV3812="","",IF(COUNTIF(LISTS!$C$2:$C$250,$AU3812)=0,"NEW",""))</f>
        <v/>
      </c>
      <c r="BA3812" s="2" t="str">
        <f>IF(""&amp;$F3812&lt;&gt;"4","",IF($AY3812="YES","",IF(ROUND(SUMIFS($AE$2:$AE$4001,$L$2:$L$4001,$L3812,$F$2:$F$4001,"4")-SUMIFS('AR SALES'!$Y$2:$Y$2501,'AR SALES'!$L$2:$L$2501,$L3812,'AR SALES'!$AD$2:$AD$2501,"OFF"),2)=0,"","STALE")))</f>
        <v/>
      </c>
      <c r="BB3812" s="2" t="str">
        <f>IF(OR(""&amp;$F3812="2",""&amp;$F3812="4",""&amp;$F3812="G",""&amp;$F3812="H"),IF($AY3812="YES","",IF($AB3812&lt;&gt;0,"",IF(COUNTIFS('AR SALES'!$L$2:$L$2501,$L3812,'AR SALES'!$AD$2:$AD$2501,IF(""&amp;$F3812="4","OFF","ON"),'AR SALES'!$AF$2:$AF$2501,"Y")&gt;0,"","NO EXEMPTION"))),"")</f>
        <v/>
      </c>
    </row>
    <row r="3813" spans="46:54" x14ac:dyDescent="0.25">
      <c r="AT3813" s="2" t="str">
        <f>IF($L3813="","",IFERROR(INDEX('AR SALES'!$H$2:$H$2501,MATCH(""&amp;$L3813,'AR SALES'!$AE$2:$AE$2501,0)),""))</f>
        <v/>
      </c>
      <c r="AU3813" s="2" t="str">
        <f t="shared" si="236"/>
        <v/>
      </c>
      <c r="AV3813" s="2" t="str">
        <f t="shared" si="237"/>
        <v/>
      </c>
      <c r="AW3813" s="2" t="str">
        <f t="shared" si="238"/>
        <v/>
      </c>
      <c r="AX3813" s="2" t="str">
        <f t="shared" si="239"/>
        <v/>
      </c>
      <c r="AY3813" s="2" t="str">
        <f>IF($AV3813="","",IF(AND($Z3813=0,COUNTIF('AR SALES'!$L$2:$L$2501,$L3813)=0),"YES",""))</f>
        <v/>
      </c>
      <c r="AZ3813" s="2" t="str">
        <f>IF($AV3813="","",IF(COUNTIF(LISTS!$C$2:$C$250,$AU3813)=0,"NEW",""))</f>
        <v/>
      </c>
      <c r="BA3813" s="2" t="str">
        <f>IF(""&amp;$F3813&lt;&gt;"4","",IF($AY3813="YES","",IF(ROUND(SUMIFS($AE$2:$AE$4001,$L$2:$L$4001,$L3813,$F$2:$F$4001,"4")-SUMIFS('AR SALES'!$Y$2:$Y$2501,'AR SALES'!$L$2:$L$2501,$L3813,'AR SALES'!$AD$2:$AD$2501,"OFF"),2)=0,"","STALE")))</f>
        <v/>
      </c>
      <c r="BB3813" s="2" t="str">
        <f>IF(OR(""&amp;$F3813="2",""&amp;$F3813="4",""&amp;$F3813="G",""&amp;$F3813="H"),IF($AY3813="YES","",IF($AB3813&lt;&gt;0,"",IF(COUNTIFS('AR SALES'!$L$2:$L$2501,$L3813,'AR SALES'!$AD$2:$AD$2501,IF(""&amp;$F3813="4","OFF","ON"),'AR SALES'!$AF$2:$AF$2501,"Y")&gt;0,"","NO EXEMPTION"))),"")</f>
        <v/>
      </c>
    </row>
    <row r="3814" spans="46:54" x14ac:dyDescent="0.25">
      <c r="AT3814" s="2" t="str">
        <f>IF($L3814="","",IFERROR(INDEX('AR SALES'!$H$2:$H$2501,MATCH(""&amp;$L3814,'AR SALES'!$AE$2:$AE$2501,0)),""))</f>
        <v/>
      </c>
      <c r="AU3814" s="2" t="str">
        <f t="shared" si="236"/>
        <v/>
      </c>
      <c r="AV3814" s="2" t="str">
        <f t="shared" si="237"/>
        <v/>
      </c>
      <c r="AW3814" s="2" t="str">
        <f t="shared" si="238"/>
        <v/>
      </c>
      <c r="AX3814" s="2" t="str">
        <f t="shared" si="239"/>
        <v/>
      </c>
      <c r="AY3814" s="2" t="str">
        <f>IF($AV3814="","",IF(AND($Z3814=0,COUNTIF('AR SALES'!$L$2:$L$2501,$L3814)=0),"YES",""))</f>
        <v/>
      </c>
      <c r="AZ3814" s="2" t="str">
        <f>IF($AV3814="","",IF(COUNTIF(LISTS!$C$2:$C$250,$AU3814)=0,"NEW",""))</f>
        <v/>
      </c>
      <c r="BA3814" s="2" t="str">
        <f>IF(""&amp;$F3814&lt;&gt;"4","",IF($AY3814="YES","",IF(ROUND(SUMIFS($AE$2:$AE$4001,$L$2:$L$4001,$L3814,$F$2:$F$4001,"4")-SUMIFS('AR SALES'!$Y$2:$Y$2501,'AR SALES'!$L$2:$L$2501,$L3814,'AR SALES'!$AD$2:$AD$2501,"OFF"),2)=0,"","STALE")))</f>
        <v/>
      </c>
      <c r="BB3814" s="2" t="str">
        <f>IF(OR(""&amp;$F3814="2",""&amp;$F3814="4",""&amp;$F3814="G",""&amp;$F3814="H"),IF($AY3814="YES","",IF($AB3814&lt;&gt;0,"",IF(COUNTIFS('AR SALES'!$L$2:$L$2501,$L3814,'AR SALES'!$AD$2:$AD$2501,IF(""&amp;$F3814="4","OFF","ON"),'AR SALES'!$AF$2:$AF$2501,"Y")&gt;0,"","NO EXEMPTION"))),"")</f>
        <v/>
      </c>
    </row>
    <row r="3815" spans="46:54" x14ac:dyDescent="0.25">
      <c r="AT3815" s="2" t="str">
        <f>IF($L3815="","",IFERROR(INDEX('AR SALES'!$H$2:$H$2501,MATCH(""&amp;$L3815,'AR SALES'!$AE$2:$AE$2501,0)),""))</f>
        <v/>
      </c>
      <c r="AU3815" s="2" t="str">
        <f t="shared" si="236"/>
        <v/>
      </c>
      <c r="AV3815" s="2" t="str">
        <f t="shared" si="237"/>
        <v/>
      </c>
      <c r="AW3815" s="2" t="str">
        <f t="shared" si="238"/>
        <v/>
      </c>
      <c r="AX3815" s="2" t="str">
        <f t="shared" si="239"/>
        <v/>
      </c>
      <c r="AY3815" s="2" t="str">
        <f>IF($AV3815="","",IF(AND($Z3815=0,COUNTIF('AR SALES'!$L$2:$L$2501,$L3815)=0),"YES",""))</f>
        <v/>
      </c>
      <c r="AZ3815" s="2" t="str">
        <f>IF($AV3815="","",IF(COUNTIF(LISTS!$C$2:$C$250,$AU3815)=0,"NEW",""))</f>
        <v/>
      </c>
      <c r="BA3815" s="2" t="str">
        <f>IF(""&amp;$F3815&lt;&gt;"4","",IF($AY3815="YES","",IF(ROUND(SUMIFS($AE$2:$AE$4001,$L$2:$L$4001,$L3815,$F$2:$F$4001,"4")-SUMIFS('AR SALES'!$Y$2:$Y$2501,'AR SALES'!$L$2:$L$2501,$L3815,'AR SALES'!$AD$2:$AD$2501,"OFF"),2)=0,"","STALE")))</f>
        <v/>
      </c>
      <c r="BB3815" s="2" t="str">
        <f>IF(OR(""&amp;$F3815="2",""&amp;$F3815="4",""&amp;$F3815="G",""&amp;$F3815="H"),IF($AY3815="YES","",IF($AB3815&lt;&gt;0,"",IF(COUNTIFS('AR SALES'!$L$2:$L$2501,$L3815,'AR SALES'!$AD$2:$AD$2501,IF(""&amp;$F3815="4","OFF","ON"),'AR SALES'!$AF$2:$AF$2501,"Y")&gt;0,"","NO EXEMPTION"))),"")</f>
        <v/>
      </c>
    </row>
    <row r="3816" spans="46:54" x14ac:dyDescent="0.25">
      <c r="AT3816" s="2" t="str">
        <f>IF($L3816="","",IFERROR(INDEX('AR SALES'!$H$2:$H$2501,MATCH(""&amp;$L3816,'AR SALES'!$AE$2:$AE$2501,0)),""))</f>
        <v/>
      </c>
      <c r="AU3816" s="2" t="str">
        <f t="shared" si="236"/>
        <v/>
      </c>
      <c r="AV3816" s="2" t="str">
        <f t="shared" si="237"/>
        <v/>
      </c>
      <c r="AW3816" s="2" t="str">
        <f t="shared" si="238"/>
        <v/>
      </c>
      <c r="AX3816" s="2" t="str">
        <f t="shared" si="239"/>
        <v/>
      </c>
      <c r="AY3816" s="2" t="str">
        <f>IF($AV3816="","",IF(AND($Z3816=0,COUNTIF('AR SALES'!$L$2:$L$2501,$L3816)=0),"YES",""))</f>
        <v/>
      </c>
      <c r="AZ3816" s="2" t="str">
        <f>IF($AV3816="","",IF(COUNTIF(LISTS!$C$2:$C$250,$AU3816)=0,"NEW",""))</f>
        <v/>
      </c>
      <c r="BA3816" s="2" t="str">
        <f>IF(""&amp;$F3816&lt;&gt;"4","",IF($AY3816="YES","",IF(ROUND(SUMIFS($AE$2:$AE$4001,$L$2:$L$4001,$L3816,$F$2:$F$4001,"4")-SUMIFS('AR SALES'!$Y$2:$Y$2501,'AR SALES'!$L$2:$L$2501,$L3816,'AR SALES'!$AD$2:$AD$2501,"OFF"),2)=0,"","STALE")))</f>
        <v/>
      </c>
      <c r="BB3816" s="2" t="str">
        <f>IF(OR(""&amp;$F3816="2",""&amp;$F3816="4",""&amp;$F3816="G",""&amp;$F3816="H"),IF($AY3816="YES","",IF($AB3816&lt;&gt;0,"",IF(COUNTIFS('AR SALES'!$L$2:$L$2501,$L3816,'AR SALES'!$AD$2:$AD$2501,IF(""&amp;$F3816="4","OFF","ON"),'AR SALES'!$AF$2:$AF$2501,"Y")&gt;0,"","NO EXEMPTION"))),"")</f>
        <v/>
      </c>
    </row>
    <row r="3817" spans="46:54" x14ac:dyDescent="0.25">
      <c r="AT3817" s="2" t="str">
        <f>IF($L3817="","",IFERROR(INDEX('AR SALES'!$H$2:$H$2501,MATCH(""&amp;$L3817,'AR SALES'!$AE$2:$AE$2501,0)),""))</f>
        <v/>
      </c>
      <c r="AU3817" s="2" t="str">
        <f t="shared" si="236"/>
        <v/>
      </c>
      <c r="AV3817" s="2" t="str">
        <f t="shared" si="237"/>
        <v/>
      </c>
      <c r="AW3817" s="2" t="str">
        <f t="shared" si="238"/>
        <v/>
      </c>
      <c r="AX3817" s="2" t="str">
        <f t="shared" si="239"/>
        <v/>
      </c>
      <c r="AY3817" s="2" t="str">
        <f>IF($AV3817="","",IF(AND($Z3817=0,COUNTIF('AR SALES'!$L$2:$L$2501,$L3817)=0),"YES",""))</f>
        <v/>
      </c>
      <c r="AZ3817" s="2" t="str">
        <f>IF($AV3817="","",IF(COUNTIF(LISTS!$C$2:$C$250,$AU3817)=0,"NEW",""))</f>
        <v/>
      </c>
      <c r="BA3817" s="2" t="str">
        <f>IF(""&amp;$F3817&lt;&gt;"4","",IF($AY3817="YES","",IF(ROUND(SUMIFS($AE$2:$AE$4001,$L$2:$L$4001,$L3817,$F$2:$F$4001,"4")-SUMIFS('AR SALES'!$Y$2:$Y$2501,'AR SALES'!$L$2:$L$2501,$L3817,'AR SALES'!$AD$2:$AD$2501,"OFF"),2)=0,"","STALE")))</f>
        <v/>
      </c>
      <c r="BB3817" s="2" t="str">
        <f>IF(OR(""&amp;$F3817="2",""&amp;$F3817="4",""&amp;$F3817="G",""&amp;$F3817="H"),IF($AY3817="YES","",IF($AB3817&lt;&gt;0,"",IF(COUNTIFS('AR SALES'!$L$2:$L$2501,$L3817,'AR SALES'!$AD$2:$AD$2501,IF(""&amp;$F3817="4","OFF","ON"),'AR SALES'!$AF$2:$AF$2501,"Y")&gt;0,"","NO EXEMPTION"))),"")</f>
        <v/>
      </c>
    </row>
    <row r="3818" spans="46:54" x14ac:dyDescent="0.25">
      <c r="AT3818" s="2" t="str">
        <f>IF($L3818="","",IFERROR(INDEX('AR SALES'!$H$2:$H$2501,MATCH(""&amp;$L3818,'AR SALES'!$AE$2:$AE$2501,0)),""))</f>
        <v/>
      </c>
      <c r="AU3818" s="2" t="str">
        <f t="shared" si="236"/>
        <v/>
      </c>
      <c r="AV3818" s="2" t="str">
        <f t="shared" si="237"/>
        <v/>
      </c>
      <c r="AW3818" s="2" t="str">
        <f t="shared" si="238"/>
        <v/>
      </c>
      <c r="AX3818" s="2" t="str">
        <f t="shared" si="239"/>
        <v/>
      </c>
      <c r="AY3818" s="2" t="str">
        <f>IF($AV3818="","",IF(AND($Z3818=0,COUNTIF('AR SALES'!$L$2:$L$2501,$L3818)=0),"YES",""))</f>
        <v/>
      </c>
      <c r="AZ3818" s="2" t="str">
        <f>IF($AV3818="","",IF(COUNTIF(LISTS!$C$2:$C$250,$AU3818)=0,"NEW",""))</f>
        <v/>
      </c>
      <c r="BA3818" s="2" t="str">
        <f>IF(""&amp;$F3818&lt;&gt;"4","",IF($AY3818="YES","",IF(ROUND(SUMIFS($AE$2:$AE$4001,$L$2:$L$4001,$L3818,$F$2:$F$4001,"4")-SUMIFS('AR SALES'!$Y$2:$Y$2501,'AR SALES'!$L$2:$L$2501,$L3818,'AR SALES'!$AD$2:$AD$2501,"OFF"),2)=0,"","STALE")))</f>
        <v/>
      </c>
      <c r="BB3818" s="2" t="str">
        <f>IF(OR(""&amp;$F3818="2",""&amp;$F3818="4",""&amp;$F3818="G",""&amp;$F3818="H"),IF($AY3818="YES","",IF($AB3818&lt;&gt;0,"",IF(COUNTIFS('AR SALES'!$L$2:$L$2501,$L3818,'AR SALES'!$AD$2:$AD$2501,IF(""&amp;$F3818="4","OFF","ON"),'AR SALES'!$AF$2:$AF$2501,"Y")&gt;0,"","NO EXEMPTION"))),"")</f>
        <v/>
      </c>
    </row>
    <row r="3819" spans="46:54" x14ac:dyDescent="0.25">
      <c r="AT3819" s="2" t="str">
        <f>IF($L3819="","",IFERROR(INDEX('AR SALES'!$H$2:$H$2501,MATCH(""&amp;$L3819,'AR SALES'!$AE$2:$AE$2501,0)),""))</f>
        <v/>
      </c>
      <c r="AU3819" s="2" t="str">
        <f t="shared" si="236"/>
        <v/>
      </c>
      <c r="AV3819" s="2" t="str">
        <f t="shared" si="237"/>
        <v/>
      </c>
      <c r="AW3819" s="2" t="str">
        <f t="shared" si="238"/>
        <v/>
      </c>
      <c r="AX3819" s="2" t="str">
        <f t="shared" si="239"/>
        <v/>
      </c>
      <c r="AY3819" s="2" t="str">
        <f>IF($AV3819="","",IF(AND($Z3819=0,COUNTIF('AR SALES'!$L$2:$L$2501,$L3819)=0),"YES",""))</f>
        <v/>
      </c>
      <c r="AZ3819" s="2" t="str">
        <f>IF($AV3819="","",IF(COUNTIF(LISTS!$C$2:$C$250,$AU3819)=0,"NEW",""))</f>
        <v/>
      </c>
      <c r="BA3819" s="2" t="str">
        <f>IF(""&amp;$F3819&lt;&gt;"4","",IF($AY3819="YES","",IF(ROUND(SUMIFS($AE$2:$AE$4001,$L$2:$L$4001,$L3819,$F$2:$F$4001,"4")-SUMIFS('AR SALES'!$Y$2:$Y$2501,'AR SALES'!$L$2:$L$2501,$L3819,'AR SALES'!$AD$2:$AD$2501,"OFF"),2)=0,"","STALE")))</f>
        <v/>
      </c>
      <c r="BB3819" s="2" t="str">
        <f>IF(OR(""&amp;$F3819="2",""&amp;$F3819="4",""&amp;$F3819="G",""&amp;$F3819="H"),IF($AY3819="YES","",IF($AB3819&lt;&gt;0,"",IF(COUNTIFS('AR SALES'!$L$2:$L$2501,$L3819,'AR SALES'!$AD$2:$AD$2501,IF(""&amp;$F3819="4","OFF","ON"),'AR SALES'!$AF$2:$AF$2501,"Y")&gt;0,"","NO EXEMPTION"))),"")</f>
        <v/>
      </c>
    </row>
    <row r="3820" spans="46:54" x14ac:dyDescent="0.25">
      <c r="AT3820" s="2" t="str">
        <f>IF($L3820="","",IFERROR(INDEX('AR SALES'!$H$2:$H$2501,MATCH(""&amp;$L3820,'AR SALES'!$AE$2:$AE$2501,0)),""))</f>
        <v/>
      </c>
      <c r="AU3820" s="2" t="str">
        <f t="shared" si="236"/>
        <v/>
      </c>
      <c r="AV3820" s="2" t="str">
        <f t="shared" si="237"/>
        <v/>
      </c>
      <c r="AW3820" s="2" t="str">
        <f t="shared" si="238"/>
        <v/>
      </c>
      <c r="AX3820" s="2" t="str">
        <f t="shared" si="239"/>
        <v/>
      </c>
      <c r="AY3820" s="2" t="str">
        <f>IF($AV3820="","",IF(AND($Z3820=0,COUNTIF('AR SALES'!$L$2:$L$2501,$L3820)=0),"YES",""))</f>
        <v/>
      </c>
      <c r="AZ3820" s="2" t="str">
        <f>IF($AV3820="","",IF(COUNTIF(LISTS!$C$2:$C$250,$AU3820)=0,"NEW",""))</f>
        <v/>
      </c>
      <c r="BA3820" s="2" t="str">
        <f>IF(""&amp;$F3820&lt;&gt;"4","",IF($AY3820="YES","",IF(ROUND(SUMIFS($AE$2:$AE$4001,$L$2:$L$4001,$L3820,$F$2:$F$4001,"4")-SUMIFS('AR SALES'!$Y$2:$Y$2501,'AR SALES'!$L$2:$L$2501,$L3820,'AR SALES'!$AD$2:$AD$2501,"OFF"),2)=0,"","STALE")))</f>
        <v/>
      </c>
      <c r="BB3820" s="2" t="str">
        <f>IF(OR(""&amp;$F3820="2",""&amp;$F3820="4",""&amp;$F3820="G",""&amp;$F3820="H"),IF($AY3820="YES","",IF($AB3820&lt;&gt;0,"",IF(COUNTIFS('AR SALES'!$L$2:$L$2501,$L3820,'AR SALES'!$AD$2:$AD$2501,IF(""&amp;$F3820="4","OFF","ON"),'AR SALES'!$AF$2:$AF$2501,"Y")&gt;0,"","NO EXEMPTION"))),"")</f>
        <v/>
      </c>
    </row>
    <row r="3821" spans="46:54" x14ac:dyDescent="0.25">
      <c r="AT3821" s="2" t="str">
        <f>IF($L3821="","",IFERROR(INDEX('AR SALES'!$H$2:$H$2501,MATCH(""&amp;$L3821,'AR SALES'!$AE$2:$AE$2501,0)),""))</f>
        <v/>
      </c>
      <c r="AU3821" s="2" t="str">
        <f t="shared" si="236"/>
        <v/>
      </c>
      <c r="AV3821" s="2" t="str">
        <f t="shared" si="237"/>
        <v/>
      </c>
      <c r="AW3821" s="2" t="str">
        <f t="shared" si="238"/>
        <v/>
      </c>
      <c r="AX3821" s="2" t="str">
        <f t="shared" si="239"/>
        <v/>
      </c>
      <c r="AY3821" s="2" t="str">
        <f>IF($AV3821="","",IF(AND($Z3821=0,COUNTIF('AR SALES'!$L$2:$L$2501,$L3821)=0),"YES",""))</f>
        <v/>
      </c>
      <c r="AZ3821" s="2" t="str">
        <f>IF($AV3821="","",IF(COUNTIF(LISTS!$C$2:$C$250,$AU3821)=0,"NEW",""))</f>
        <v/>
      </c>
      <c r="BA3821" s="2" t="str">
        <f>IF(""&amp;$F3821&lt;&gt;"4","",IF($AY3821="YES","",IF(ROUND(SUMIFS($AE$2:$AE$4001,$L$2:$L$4001,$L3821,$F$2:$F$4001,"4")-SUMIFS('AR SALES'!$Y$2:$Y$2501,'AR SALES'!$L$2:$L$2501,$L3821,'AR SALES'!$AD$2:$AD$2501,"OFF"),2)=0,"","STALE")))</f>
        <v/>
      </c>
      <c r="BB3821" s="2" t="str">
        <f>IF(OR(""&amp;$F3821="2",""&amp;$F3821="4",""&amp;$F3821="G",""&amp;$F3821="H"),IF($AY3821="YES","",IF($AB3821&lt;&gt;0,"",IF(COUNTIFS('AR SALES'!$L$2:$L$2501,$L3821,'AR SALES'!$AD$2:$AD$2501,IF(""&amp;$F3821="4","OFF","ON"),'AR SALES'!$AF$2:$AF$2501,"Y")&gt;0,"","NO EXEMPTION"))),"")</f>
        <v/>
      </c>
    </row>
    <row r="3822" spans="46:54" x14ac:dyDescent="0.25">
      <c r="AT3822" s="2" t="str">
        <f>IF($L3822="","",IFERROR(INDEX('AR SALES'!$H$2:$H$2501,MATCH(""&amp;$L3822,'AR SALES'!$AE$2:$AE$2501,0)),""))</f>
        <v/>
      </c>
      <c r="AU3822" s="2" t="str">
        <f t="shared" si="236"/>
        <v/>
      </c>
      <c r="AV3822" s="2" t="str">
        <f t="shared" si="237"/>
        <v/>
      </c>
      <c r="AW3822" s="2" t="str">
        <f t="shared" si="238"/>
        <v/>
      </c>
      <c r="AX3822" s="2" t="str">
        <f t="shared" si="239"/>
        <v/>
      </c>
      <c r="AY3822" s="2" t="str">
        <f>IF($AV3822="","",IF(AND($Z3822=0,COUNTIF('AR SALES'!$L$2:$L$2501,$L3822)=0),"YES",""))</f>
        <v/>
      </c>
      <c r="AZ3822" s="2" t="str">
        <f>IF($AV3822="","",IF(COUNTIF(LISTS!$C$2:$C$250,$AU3822)=0,"NEW",""))</f>
        <v/>
      </c>
      <c r="BA3822" s="2" t="str">
        <f>IF(""&amp;$F3822&lt;&gt;"4","",IF($AY3822="YES","",IF(ROUND(SUMIFS($AE$2:$AE$4001,$L$2:$L$4001,$L3822,$F$2:$F$4001,"4")-SUMIFS('AR SALES'!$Y$2:$Y$2501,'AR SALES'!$L$2:$L$2501,$L3822,'AR SALES'!$AD$2:$AD$2501,"OFF"),2)=0,"","STALE")))</f>
        <v/>
      </c>
      <c r="BB3822" s="2" t="str">
        <f>IF(OR(""&amp;$F3822="2",""&amp;$F3822="4",""&amp;$F3822="G",""&amp;$F3822="H"),IF($AY3822="YES","",IF($AB3822&lt;&gt;0,"",IF(COUNTIFS('AR SALES'!$L$2:$L$2501,$L3822,'AR SALES'!$AD$2:$AD$2501,IF(""&amp;$F3822="4","OFF","ON"),'AR SALES'!$AF$2:$AF$2501,"Y")&gt;0,"","NO EXEMPTION"))),"")</f>
        <v/>
      </c>
    </row>
    <row r="3823" spans="46:54" x14ac:dyDescent="0.25">
      <c r="AT3823" s="2" t="str">
        <f>IF($L3823="","",IFERROR(INDEX('AR SALES'!$H$2:$H$2501,MATCH(""&amp;$L3823,'AR SALES'!$AE$2:$AE$2501,0)),""))</f>
        <v/>
      </c>
      <c r="AU3823" s="2" t="str">
        <f t="shared" si="236"/>
        <v/>
      </c>
      <c r="AV3823" s="2" t="str">
        <f t="shared" si="237"/>
        <v/>
      </c>
      <c r="AW3823" s="2" t="str">
        <f t="shared" si="238"/>
        <v/>
      </c>
      <c r="AX3823" s="2" t="str">
        <f t="shared" si="239"/>
        <v/>
      </c>
      <c r="AY3823" s="2" t="str">
        <f>IF($AV3823="","",IF(AND($Z3823=0,COUNTIF('AR SALES'!$L$2:$L$2501,$L3823)=0),"YES",""))</f>
        <v/>
      </c>
      <c r="AZ3823" s="2" t="str">
        <f>IF($AV3823="","",IF(COUNTIF(LISTS!$C$2:$C$250,$AU3823)=0,"NEW",""))</f>
        <v/>
      </c>
      <c r="BA3823" s="2" t="str">
        <f>IF(""&amp;$F3823&lt;&gt;"4","",IF($AY3823="YES","",IF(ROUND(SUMIFS($AE$2:$AE$4001,$L$2:$L$4001,$L3823,$F$2:$F$4001,"4")-SUMIFS('AR SALES'!$Y$2:$Y$2501,'AR SALES'!$L$2:$L$2501,$L3823,'AR SALES'!$AD$2:$AD$2501,"OFF"),2)=0,"","STALE")))</f>
        <v/>
      </c>
      <c r="BB3823" s="2" t="str">
        <f>IF(OR(""&amp;$F3823="2",""&amp;$F3823="4",""&amp;$F3823="G",""&amp;$F3823="H"),IF($AY3823="YES","",IF($AB3823&lt;&gt;0,"",IF(COUNTIFS('AR SALES'!$L$2:$L$2501,$L3823,'AR SALES'!$AD$2:$AD$2501,IF(""&amp;$F3823="4","OFF","ON"),'AR SALES'!$AF$2:$AF$2501,"Y")&gt;0,"","NO EXEMPTION"))),"")</f>
        <v/>
      </c>
    </row>
    <row r="3824" spans="46:54" x14ac:dyDescent="0.25">
      <c r="AT3824" s="2" t="str">
        <f>IF($L3824="","",IFERROR(INDEX('AR SALES'!$H$2:$H$2501,MATCH(""&amp;$L3824,'AR SALES'!$AE$2:$AE$2501,0)),""))</f>
        <v/>
      </c>
      <c r="AU3824" s="2" t="str">
        <f t="shared" si="236"/>
        <v/>
      </c>
      <c r="AV3824" s="2" t="str">
        <f t="shared" si="237"/>
        <v/>
      </c>
      <c r="AW3824" s="2" t="str">
        <f t="shared" si="238"/>
        <v/>
      </c>
      <c r="AX3824" s="2" t="str">
        <f t="shared" si="239"/>
        <v/>
      </c>
      <c r="AY3824" s="2" t="str">
        <f>IF($AV3824="","",IF(AND($Z3824=0,COUNTIF('AR SALES'!$L$2:$L$2501,$L3824)=0),"YES",""))</f>
        <v/>
      </c>
      <c r="AZ3824" s="2" t="str">
        <f>IF($AV3824="","",IF(COUNTIF(LISTS!$C$2:$C$250,$AU3824)=0,"NEW",""))</f>
        <v/>
      </c>
      <c r="BA3824" s="2" t="str">
        <f>IF(""&amp;$F3824&lt;&gt;"4","",IF($AY3824="YES","",IF(ROUND(SUMIFS($AE$2:$AE$4001,$L$2:$L$4001,$L3824,$F$2:$F$4001,"4")-SUMIFS('AR SALES'!$Y$2:$Y$2501,'AR SALES'!$L$2:$L$2501,$L3824,'AR SALES'!$AD$2:$AD$2501,"OFF"),2)=0,"","STALE")))</f>
        <v/>
      </c>
      <c r="BB3824" s="2" t="str">
        <f>IF(OR(""&amp;$F3824="2",""&amp;$F3824="4",""&amp;$F3824="G",""&amp;$F3824="H"),IF($AY3824="YES","",IF($AB3824&lt;&gt;0,"",IF(COUNTIFS('AR SALES'!$L$2:$L$2501,$L3824,'AR SALES'!$AD$2:$AD$2501,IF(""&amp;$F3824="4","OFF","ON"),'AR SALES'!$AF$2:$AF$2501,"Y")&gt;0,"","NO EXEMPTION"))),"")</f>
        <v/>
      </c>
    </row>
    <row r="3825" spans="46:54" x14ac:dyDescent="0.25">
      <c r="AT3825" s="2" t="str">
        <f>IF($L3825="","",IFERROR(INDEX('AR SALES'!$H$2:$H$2501,MATCH(""&amp;$L3825,'AR SALES'!$AE$2:$AE$2501,0)),""))</f>
        <v/>
      </c>
      <c r="AU3825" s="2" t="str">
        <f t="shared" si="236"/>
        <v/>
      </c>
      <c r="AV3825" s="2" t="str">
        <f t="shared" si="237"/>
        <v/>
      </c>
      <c r="AW3825" s="2" t="str">
        <f t="shared" si="238"/>
        <v/>
      </c>
      <c r="AX3825" s="2" t="str">
        <f t="shared" si="239"/>
        <v/>
      </c>
      <c r="AY3825" s="2" t="str">
        <f>IF($AV3825="","",IF(AND($Z3825=0,COUNTIF('AR SALES'!$L$2:$L$2501,$L3825)=0),"YES",""))</f>
        <v/>
      </c>
      <c r="AZ3825" s="2" t="str">
        <f>IF($AV3825="","",IF(COUNTIF(LISTS!$C$2:$C$250,$AU3825)=0,"NEW",""))</f>
        <v/>
      </c>
      <c r="BA3825" s="2" t="str">
        <f>IF(""&amp;$F3825&lt;&gt;"4","",IF($AY3825="YES","",IF(ROUND(SUMIFS($AE$2:$AE$4001,$L$2:$L$4001,$L3825,$F$2:$F$4001,"4")-SUMIFS('AR SALES'!$Y$2:$Y$2501,'AR SALES'!$L$2:$L$2501,$L3825,'AR SALES'!$AD$2:$AD$2501,"OFF"),2)=0,"","STALE")))</f>
        <v/>
      </c>
      <c r="BB3825" s="2" t="str">
        <f>IF(OR(""&amp;$F3825="2",""&amp;$F3825="4",""&amp;$F3825="G",""&amp;$F3825="H"),IF($AY3825="YES","",IF($AB3825&lt;&gt;0,"",IF(COUNTIFS('AR SALES'!$L$2:$L$2501,$L3825,'AR SALES'!$AD$2:$AD$2501,IF(""&amp;$F3825="4","OFF","ON"),'AR SALES'!$AF$2:$AF$2501,"Y")&gt;0,"","NO EXEMPTION"))),"")</f>
        <v/>
      </c>
    </row>
    <row r="3826" spans="46:54" x14ac:dyDescent="0.25">
      <c r="AT3826" s="2" t="str">
        <f>IF($L3826="","",IFERROR(INDEX('AR SALES'!$H$2:$H$2501,MATCH(""&amp;$L3826,'AR SALES'!$AE$2:$AE$2501,0)),""))</f>
        <v/>
      </c>
      <c r="AU3826" s="2" t="str">
        <f t="shared" si="236"/>
        <v/>
      </c>
      <c r="AV3826" s="2" t="str">
        <f t="shared" si="237"/>
        <v/>
      </c>
      <c r="AW3826" s="2" t="str">
        <f t="shared" si="238"/>
        <v/>
      </c>
      <c r="AX3826" s="2" t="str">
        <f t="shared" si="239"/>
        <v/>
      </c>
      <c r="AY3826" s="2" t="str">
        <f>IF($AV3826="","",IF(AND($Z3826=0,COUNTIF('AR SALES'!$L$2:$L$2501,$L3826)=0),"YES",""))</f>
        <v/>
      </c>
      <c r="AZ3826" s="2" t="str">
        <f>IF($AV3826="","",IF(COUNTIF(LISTS!$C$2:$C$250,$AU3826)=0,"NEW",""))</f>
        <v/>
      </c>
      <c r="BA3826" s="2" t="str">
        <f>IF(""&amp;$F3826&lt;&gt;"4","",IF($AY3826="YES","",IF(ROUND(SUMIFS($AE$2:$AE$4001,$L$2:$L$4001,$L3826,$F$2:$F$4001,"4")-SUMIFS('AR SALES'!$Y$2:$Y$2501,'AR SALES'!$L$2:$L$2501,$L3826,'AR SALES'!$AD$2:$AD$2501,"OFF"),2)=0,"","STALE")))</f>
        <v/>
      </c>
      <c r="BB3826" s="2" t="str">
        <f>IF(OR(""&amp;$F3826="2",""&amp;$F3826="4",""&amp;$F3826="G",""&amp;$F3826="H"),IF($AY3826="YES","",IF($AB3826&lt;&gt;0,"",IF(COUNTIFS('AR SALES'!$L$2:$L$2501,$L3826,'AR SALES'!$AD$2:$AD$2501,IF(""&amp;$F3826="4","OFF","ON"),'AR SALES'!$AF$2:$AF$2501,"Y")&gt;0,"","NO EXEMPTION"))),"")</f>
        <v/>
      </c>
    </row>
    <row r="3827" spans="46:54" x14ac:dyDescent="0.25">
      <c r="AT3827" s="2" t="str">
        <f>IF($L3827="","",IFERROR(INDEX('AR SALES'!$H$2:$H$2501,MATCH(""&amp;$L3827,'AR SALES'!$AE$2:$AE$2501,0)),""))</f>
        <v/>
      </c>
      <c r="AU3827" s="2" t="str">
        <f t="shared" si="236"/>
        <v/>
      </c>
      <c r="AV3827" s="2" t="str">
        <f t="shared" si="237"/>
        <v/>
      </c>
      <c r="AW3827" s="2" t="str">
        <f t="shared" si="238"/>
        <v/>
      </c>
      <c r="AX3827" s="2" t="str">
        <f t="shared" si="239"/>
        <v/>
      </c>
      <c r="AY3827" s="2" t="str">
        <f>IF($AV3827="","",IF(AND($Z3827=0,COUNTIF('AR SALES'!$L$2:$L$2501,$L3827)=0),"YES",""))</f>
        <v/>
      </c>
      <c r="AZ3827" s="2" t="str">
        <f>IF($AV3827="","",IF(COUNTIF(LISTS!$C$2:$C$250,$AU3827)=0,"NEW",""))</f>
        <v/>
      </c>
      <c r="BA3827" s="2" t="str">
        <f>IF(""&amp;$F3827&lt;&gt;"4","",IF($AY3827="YES","",IF(ROUND(SUMIFS($AE$2:$AE$4001,$L$2:$L$4001,$L3827,$F$2:$F$4001,"4")-SUMIFS('AR SALES'!$Y$2:$Y$2501,'AR SALES'!$L$2:$L$2501,$L3827,'AR SALES'!$AD$2:$AD$2501,"OFF"),2)=0,"","STALE")))</f>
        <v/>
      </c>
      <c r="BB3827" s="2" t="str">
        <f>IF(OR(""&amp;$F3827="2",""&amp;$F3827="4",""&amp;$F3827="G",""&amp;$F3827="H"),IF($AY3827="YES","",IF($AB3827&lt;&gt;0,"",IF(COUNTIFS('AR SALES'!$L$2:$L$2501,$L3827,'AR SALES'!$AD$2:$AD$2501,IF(""&amp;$F3827="4","OFF","ON"),'AR SALES'!$AF$2:$AF$2501,"Y")&gt;0,"","NO EXEMPTION"))),"")</f>
        <v/>
      </c>
    </row>
    <row r="3828" spans="46:54" x14ac:dyDescent="0.25">
      <c r="AT3828" s="2" t="str">
        <f>IF($L3828="","",IFERROR(INDEX('AR SALES'!$H$2:$H$2501,MATCH(""&amp;$L3828,'AR SALES'!$AE$2:$AE$2501,0)),""))</f>
        <v/>
      </c>
      <c r="AU3828" s="2" t="str">
        <f t="shared" si="236"/>
        <v/>
      </c>
      <c r="AV3828" s="2" t="str">
        <f t="shared" si="237"/>
        <v/>
      </c>
      <c r="AW3828" s="2" t="str">
        <f t="shared" si="238"/>
        <v/>
      </c>
      <c r="AX3828" s="2" t="str">
        <f t="shared" si="239"/>
        <v/>
      </c>
      <c r="AY3828" s="2" t="str">
        <f>IF($AV3828="","",IF(AND($Z3828=0,COUNTIF('AR SALES'!$L$2:$L$2501,$L3828)=0),"YES",""))</f>
        <v/>
      </c>
      <c r="AZ3828" s="2" t="str">
        <f>IF($AV3828="","",IF(COUNTIF(LISTS!$C$2:$C$250,$AU3828)=0,"NEW",""))</f>
        <v/>
      </c>
      <c r="BA3828" s="2" t="str">
        <f>IF(""&amp;$F3828&lt;&gt;"4","",IF($AY3828="YES","",IF(ROUND(SUMIFS($AE$2:$AE$4001,$L$2:$L$4001,$L3828,$F$2:$F$4001,"4")-SUMIFS('AR SALES'!$Y$2:$Y$2501,'AR SALES'!$L$2:$L$2501,$L3828,'AR SALES'!$AD$2:$AD$2501,"OFF"),2)=0,"","STALE")))</f>
        <v/>
      </c>
      <c r="BB3828" s="2" t="str">
        <f>IF(OR(""&amp;$F3828="2",""&amp;$F3828="4",""&amp;$F3828="G",""&amp;$F3828="H"),IF($AY3828="YES","",IF($AB3828&lt;&gt;0,"",IF(COUNTIFS('AR SALES'!$L$2:$L$2501,$L3828,'AR SALES'!$AD$2:$AD$2501,IF(""&amp;$F3828="4","OFF","ON"),'AR SALES'!$AF$2:$AF$2501,"Y")&gt;0,"","NO EXEMPTION"))),"")</f>
        <v/>
      </c>
    </row>
    <row r="3829" spans="46:54" x14ac:dyDescent="0.25">
      <c r="AT3829" s="2" t="str">
        <f>IF($L3829="","",IFERROR(INDEX('AR SALES'!$H$2:$H$2501,MATCH(""&amp;$L3829,'AR SALES'!$AE$2:$AE$2501,0)),""))</f>
        <v/>
      </c>
      <c r="AU3829" s="2" t="str">
        <f t="shared" si="236"/>
        <v/>
      </c>
      <c r="AV3829" s="2" t="str">
        <f t="shared" si="237"/>
        <v/>
      </c>
      <c r="AW3829" s="2" t="str">
        <f t="shared" si="238"/>
        <v/>
      </c>
      <c r="AX3829" s="2" t="str">
        <f t="shared" si="239"/>
        <v/>
      </c>
      <c r="AY3829" s="2" t="str">
        <f>IF($AV3829="","",IF(AND($Z3829=0,COUNTIF('AR SALES'!$L$2:$L$2501,$L3829)=0),"YES",""))</f>
        <v/>
      </c>
      <c r="AZ3829" s="2" t="str">
        <f>IF($AV3829="","",IF(COUNTIF(LISTS!$C$2:$C$250,$AU3829)=0,"NEW",""))</f>
        <v/>
      </c>
      <c r="BA3829" s="2" t="str">
        <f>IF(""&amp;$F3829&lt;&gt;"4","",IF($AY3829="YES","",IF(ROUND(SUMIFS($AE$2:$AE$4001,$L$2:$L$4001,$L3829,$F$2:$F$4001,"4")-SUMIFS('AR SALES'!$Y$2:$Y$2501,'AR SALES'!$L$2:$L$2501,$L3829,'AR SALES'!$AD$2:$AD$2501,"OFF"),2)=0,"","STALE")))</f>
        <v/>
      </c>
      <c r="BB3829" s="2" t="str">
        <f>IF(OR(""&amp;$F3829="2",""&amp;$F3829="4",""&amp;$F3829="G",""&amp;$F3829="H"),IF($AY3829="YES","",IF($AB3829&lt;&gt;0,"",IF(COUNTIFS('AR SALES'!$L$2:$L$2501,$L3829,'AR SALES'!$AD$2:$AD$2501,IF(""&amp;$F3829="4","OFF","ON"),'AR SALES'!$AF$2:$AF$2501,"Y")&gt;0,"","NO EXEMPTION"))),"")</f>
        <v/>
      </c>
    </row>
    <row r="3830" spans="46:54" x14ac:dyDescent="0.25">
      <c r="AT3830" s="2" t="str">
        <f>IF($L3830="","",IFERROR(INDEX('AR SALES'!$H$2:$H$2501,MATCH(""&amp;$L3830,'AR SALES'!$AE$2:$AE$2501,0)),""))</f>
        <v/>
      </c>
      <c r="AU3830" s="2" t="str">
        <f t="shared" si="236"/>
        <v/>
      </c>
      <c r="AV3830" s="2" t="str">
        <f t="shared" si="237"/>
        <v/>
      </c>
      <c r="AW3830" s="2" t="str">
        <f t="shared" si="238"/>
        <v/>
      </c>
      <c r="AX3830" s="2" t="str">
        <f t="shared" si="239"/>
        <v/>
      </c>
      <c r="AY3830" s="2" t="str">
        <f>IF($AV3830="","",IF(AND($Z3830=0,COUNTIF('AR SALES'!$L$2:$L$2501,$L3830)=0),"YES",""))</f>
        <v/>
      </c>
      <c r="AZ3830" s="2" t="str">
        <f>IF($AV3830="","",IF(COUNTIF(LISTS!$C$2:$C$250,$AU3830)=0,"NEW",""))</f>
        <v/>
      </c>
      <c r="BA3830" s="2" t="str">
        <f>IF(""&amp;$F3830&lt;&gt;"4","",IF($AY3830="YES","",IF(ROUND(SUMIFS($AE$2:$AE$4001,$L$2:$L$4001,$L3830,$F$2:$F$4001,"4")-SUMIFS('AR SALES'!$Y$2:$Y$2501,'AR SALES'!$L$2:$L$2501,$L3830,'AR SALES'!$AD$2:$AD$2501,"OFF"),2)=0,"","STALE")))</f>
        <v/>
      </c>
      <c r="BB3830" s="2" t="str">
        <f>IF(OR(""&amp;$F3830="2",""&amp;$F3830="4",""&amp;$F3830="G",""&amp;$F3830="H"),IF($AY3830="YES","",IF($AB3830&lt;&gt;0,"",IF(COUNTIFS('AR SALES'!$L$2:$L$2501,$L3830,'AR SALES'!$AD$2:$AD$2501,IF(""&amp;$F3830="4","OFF","ON"),'AR SALES'!$AF$2:$AF$2501,"Y")&gt;0,"","NO EXEMPTION"))),"")</f>
        <v/>
      </c>
    </row>
    <row r="3831" spans="46:54" x14ac:dyDescent="0.25">
      <c r="AT3831" s="2" t="str">
        <f>IF($L3831="","",IFERROR(INDEX('AR SALES'!$H$2:$H$2501,MATCH(""&amp;$L3831,'AR SALES'!$AE$2:$AE$2501,0)),""))</f>
        <v/>
      </c>
      <c r="AU3831" s="2" t="str">
        <f t="shared" si="236"/>
        <v/>
      </c>
      <c r="AV3831" s="2" t="str">
        <f t="shared" si="237"/>
        <v/>
      </c>
      <c r="AW3831" s="2" t="str">
        <f t="shared" si="238"/>
        <v/>
      </c>
      <c r="AX3831" s="2" t="str">
        <f t="shared" si="239"/>
        <v/>
      </c>
      <c r="AY3831" s="2" t="str">
        <f>IF($AV3831="","",IF(AND($Z3831=0,COUNTIF('AR SALES'!$L$2:$L$2501,$L3831)=0),"YES",""))</f>
        <v/>
      </c>
      <c r="AZ3831" s="2" t="str">
        <f>IF($AV3831="","",IF(COUNTIF(LISTS!$C$2:$C$250,$AU3831)=0,"NEW",""))</f>
        <v/>
      </c>
      <c r="BA3831" s="2" t="str">
        <f>IF(""&amp;$F3831&lt;&gt;"4","",IF($AY3831="YES","",IF(ROUND(SUMIFS($AE$2:$AE$4001,$L$2:$L$4001,$L3831,$F$2:$F$4001,"4")-SUMIFS('AR SALES'!$Y$2:$Y$2501,'AR SALES'!$L$2:$L$2501,$L3831,'AR SALES'!$AD$2:$AD$2501,"OFF"),2)=0,"","STALE")))</f>
        <v/>
      </c>
      <c r="BB3831" s="2" t="str">
        <f>IF(OR(""&amp;$F3831="2",""&amp;$F3831="4",""&amp;$F3831="G",""&amp;$F3831="H"),IF($AY3831="YES","",IF($AB3831&lt;&gt;0,"",IF(COUNTIFS('AR SALES'!$L$2:$L$2501,$L3831,'AR SALES'!$AD$2:$AD$2501,IF(""&amp;$F3831="4","OFF","ON"),'AR SALES'!$AF$2:$AF$2501,"Y")&gt;0,"","NO EXEMPTION"))),"")</f>
        <v/>
      </c>
    </row>
    <row r="3832" spans="46:54" x14ac:dyDescent="0.25">
      <c r="AT3832" s="2" t="str">
        <f>IF($L3832="","",IFERROR(INDEX('AR SALES'!$H$2:$H$2501,MATCH(""&amp;$L3832,'AR SALES'!$AE$2:$AE$2501,0)),""))</f>
        <v/>
      </c>
      <c r="AU3832" s="2" t="str">
        <f t="shared" si="236"/>
        <v/>
      </c>
      <c r="AV3832" s="2" t="str">
        <f t="shared" si="237"/>
        <v/>
      </c>
      <c r="AW3832" s="2" t="str">
        <f t="shared" si="238"/>
        <v/>
      </c>
      <c r="AX3832" s="2" t="str">
        <f t="shared" si="239"/>
        <v/>
      </c>
      <c r="AY3832" s="2" t="str">
        <f>IF($AV3832="","",IF(AND($Z3832=0,COUNTIF('AR SALES'!$L$2:$L$2501,$L3832)=0),"YES",""))</f>
        <v/>
      </c>
      <c r="AZ3832" s="2" t="str">
        <f>IF($AV3832="","",IF(COUNTIF(LISTS!$C$2:$C$250,$AU3832)=0,"NEW",""))</f>
        <v/>
      </c>
      <c r="BA3832" s="2" t="str">
        <f>IF(""&amp;$F3832&lt;&gt;"4","",IF($AY3832="YES","",IF(ROUND(SUMIFS($AE$2:$AE$4001,$L$2:$L$4001,$L3832,$F$2:$F$4001,"4")-SUMIFS('AR SALES'!$Y$2:$Y$2501,'AR SALES'!$L$2:$L$2501,$L3832,'AR SALES'!$AD$2:$AD$2501,"OFF"),2)=0,"","STALE")))</f>
        <v/>
      </c>
      <c r="BB3832" s="2" t="str">
        <f>IF(OR(""&amp;$F3832="2",""&amp;$F3832="4",""&amp;$F3832="G",""&amp;$F3832="H"),IF($AY3832="YES","",IF($AB3832&lt;&gt;0,"",IF(COUNTIFS('AR SALES'!$L$2:$L$2501,$L3832,'AR SALES'!$AD$2:$AD$2501,IF(""&amp;$F3832="4","OFF","ON"),'AR SALES'!$AF$2:$AF$2501,"Y")&gt;0,"","NO EXEMPTION"))),"")</f>
        <v/>
      </c>
    </row>
    <row r="3833" spans="46:54" x14ac:dyDescent="0.25">
      <c r="AT3833" s="2" t="str">
        <f>IF($L3833="","",IFERROR(INDEX('AR SALES'!$H$2:$H$2501,MATCH(""&amp;$L3833,'AR SALES'!$AE$2:$AE$2501,0)),""))</f>
        <v/>
      </c>
      <c r="AU3833" s="2" t="str">
        <f t="shared" si="236"/>
        <v/>
      </c>
      <c r="AV3833" s="2" t="str">
        <f t="shared" si="237"/>
        <v/>
      </c>
      <c r="AW3833" s="2" t="str">
        <f t="shared" si="238"/>
        <v/>
      </c>
      <c r="AX3833" s="2" t="str">
        <f t="shared" si="239"/>
        <v/>
      </c>
      <c r="AY3833" s="2" t="str">
        <f>IF($AV3833="","",IF(AND($Z3833=0,COUNTIF('AR SALES'!$L$2:$L$2501,$L3833)=0),"YES",""))</f>
        <v/>
      </c>
      <c r="AZ3833" s="2" t="str">
        <f>IF($AV3833="","",IF(COUNTIF(LISTS!$C$2:$C$250,$AU3833)=0,"NEW",""))</f>
        <v/>
      </c>
      <c r="BA3833" s="2" t="str">
        <f>IF(""&amp;$F3833&lt;&gt;"4","",IF($AY3833="YES","",IF(ROUND(SUMIFS($AE$2:$AE$4001,$L$2:$L$4001,$L3833,$F$2:$F$4001,"4")-SUMIFS('AR SALES'!$Y$2:$Y$2501,'AR SALES'!$L$2:$L$2501,$L3833,'AR SALES'!$AD$2:$AD$2501,"OFF"),2)=0,"","STALE")))</f>
        <v/>
      </c>
      <c r="BB3833" s="2" t="str">
        <f>IF(OR(""&amp;$F3833="2",""&amp;$F3833="4",""&amp;$F3833="G",""&amp;$F3833="H"),IF($AY3833="YES","",IF($AB3833&lt;&gt;0,"",IF(COUNTIFS('AR SALES'!$L$2:$L$2501,$L3833,'AR SALES'!$AD$2:$AD$2501,IF(""&amp;$F3833="4","OFF","ON"),'AR SALES'!$AF$2:$AF$2501,"Y")&gt;0,"","NO EXEMPTION"))),"")</f>
        <v/>
      </c>
    </row>
    <row r="3834" spans="46:54" x14ac:dyDescent="0.25">
      <c r="AT3834" s="2" t="str">
        <f>IF($L3834="","",IFERROR(INDEX('AR SALES'!$H$2:$H$2501,MATCH(""&amp;$L3834,'AR SALES'!$AE$2:$AE$2501,0)),""))</f>
        <v/>
      </c>
      <c r="AU3834" s="2" t="str">
        <f t="shared" si="236"/>
        <v/>
      </c>
      <c r="AV3834" s="2" t="str">
        <f t="shared" si="237"/>
        <v/>
      </c>
      <c r="AW3834" s="2" t="str">
        <f t="shared" si="238"/>
        <v/>
      </c>
      <c r="AX3834" s="2" t="str">
        <f t="shared" si="239"/>
        <v/>
      </c>
      <c r="AY3834" s="2" t="str">
        <f>IF($AV3834="","",IF(AND($Z3834=0,COUNTIF('AR SALES'!$L$2:$L$2501,$L3834)=0),"YES",""))</f>
        <v/>
      </c>
      <c r="AZ3834" s="2" t="str">
        <f>IF($AV3834="","",IF(COUNTIF(LISTS!$C$2:$C$250,$AU3834)=0,"NEW",""))</f>
        <v/>
      </c>
      <c r="BA3834" s="2" t="str">
        <f>IF(""&amp;$F3834&lt;&gt;"4","",IF($AY3834="YES","",IF(ROUND(SUMIFS($AE$2:$AE$4001,$L$2:$L$4001,$L3834,$F$2:$F$4001,"4")-SUMIFS('AR SALES'!$Y$2:$Y$2501,'AR SALES'!$L$2:$L$2501,$L3834,'AR SALES'!$AD$2:$AD$2501,"OFF"),2)=0,"","STALE")))</f>
        <v/>
      </c>
      <c r="BB3834" s="2" t="str">
        <f>IF(OR(""&amp;$F3834="2",""&amp;$F3834="4",""&amp;$F3834="G",""&amp;$F3834="H"),IF($AY3834="YES","",IF($AB3834&lt;&gt;0,"",IF(COUNTIFS('AR SALES'!$L$2:$L$2501,$L3834,'AR SALES'!$AD$2:$AD$2501,IF(""&amp;$F3834="4","OFF","ON"),'AR SALES'!$AF$2:$AF$2501,"Y")&gt;0,"","NO EXEMPTION"))),"")</f>
        <v/>
      </c>
    </row>
    <row r="3835" spans="46:54" x14ac:dyDescent="0.25">
      <c r="AT3835" s="2" t="str">
        <f>IF($L3835="","",IFERROR(INDEX('AR SALES'!$H$2:$H$2501,MATCH(""&amp;$L3835,'AR SALES'!$AE$2:$AE$2501,0)),""))</f>
        <v/>
      </c>
      <c r="AU3835" s="2" t="str">
        <f t="shared" si="236"/>
        <v/>
      </c>
      <c r="AV3835" s="2" t="str">
        <f t="shared" si="237"/>
        <v/>
      </c>
      <c r="AW3835" s="2" t="str">
        <f t="shared" si="238"/>
        <v/>
      </c>
      <c r="AX3835" s="2" t="str">
        <f t="shared" si="239"/>
        <v/>
      </c>
      <c r="AY3835" s="2" t="str">
        <f>IF($AV3835="","",IF(AND($Z3835=0,COUNTIF('AR SALES'!$L$2:$L$2501,$L3835)=0),"YES",""))</f>
        <v/>
      </c>
      <c r="AZ3835" s="2" t="str">
        <f>IF($AV3835="","",IF(COUNTIF(LISTS!$C$2:$C$250,$AU3835)=0,"NEW",""))</f>
        <v/>
      </c>
      <c r="BA3835" s="2" t="str">
        <f>IF(""&amp;$F3835&lt;&gt;"4","",IF($AY3835="YES","",IF(ROUND(SUMIFS($AE$2:$AE$4001,$L$2:$L$4001,$L3835,$F$2:$F$4001,"4")-SUMIFS('AR SALES'!$Y$2:$Y$2501,'AR SALES'!$L$2:$L$2501,$L3835,'AR SALES'!$AD$2:$AD$2501,"OFF"),2)=0,"","STALE")))</f>
        <v/>
      </c>
      <c r="BB3835" s="2" t="str">
        <f>IF(OR(""&amp;$F3835="2",""&amp;$F3835="4",""&amp;$F3835="G",""&amp;$F3835="H"),IF($AY3835="YES","",IF($AB3835&lt;&gt;0,"",IF(COUNTIFS('AR SALES'!$L$2:$L$2501,$L3835,'AR SALES'!$AD$2:$AD$2501,IF(""&amp;$F3835="4","OFF","ON"),'AR SALES'!$AF$2:$AF$2501,"Y")&gt;0,"","NO EXEMPTION"))),"")</f>
        <v/>
      </c>
    </row>
    <row r="3836" spans="46:54" x14ac:dyDescent="0.25">
      <c r="AT3836" s="2" t="str">
        <f>IF($L3836="","",IFERROR(INDEX('AR SALES'!$H$2:$H$2501,MATCH(""&amp;$L3836,'AR SALES'!$AE$2:$AE$2501,0)),""))</f>
        <v/>
      </c>
      <c r="AU3836" s="2" t="str">
        <f t="shared" si="236"/>
        <v/>
      </c>
      <c r="AV3836" s="2" t="str">
        <f t="shared" si="237"/>
        <v/>
      </c>
      <c r="AW3836" s="2" t="str">
        <f t="shared" si="238"/>
        <v/>
      </c>
      <c r="AX3836" s="2" t="str">
        <f t="shared" si="239"/>
        <v/>
      </c>
      <c r="AY3836" s="2" t="str">
        <f>IF($AV3836="","",IF(AND($Z3836=0,COUNTIF('AR SALES'!$L$2:$L$2501,$L3836)=0),"YES",""))</f>
        <v/>
      </c>
      <c r="AZ3836" s="2" t="str">
        <f>IF($AV3836="","",IF(COUNTIF(LISTS!$C$2:$C$250,$AU3836)=0,"NEW",""))</f>
        <v/>
      </c>
      <c r="BA3836" s="2" t="str">
        <f>IF(""&amp;$F3836&lt;&gt;"4","",IF($AY3836="YES","",IF(ROUND(SUMIFS($AE$2:$AE$4001,$L$2:$L$4001,$L3836,$F$2:$F$4001,"4")-SUMIFS('AR SALES'!$Y$2:$Y$2501,'AR SALES'!$L$2:$L$2501,$L3836,'AR SALES'!$AD$2:$AD$2501,"OFF"),2)=0,"","STALE")))</f>
        <v/>
      </c>
      <c r="BB3836" s="2" t="str">
        <f>IF(OR(""&amp;$F3836="2",""&amp;$F3836="4",""&amp;$F3836="G",""&amp;$F3836="H"),IF($AY3836="YES","",IF($AB3836&lt;&gt;0,"",IF(COUNTIFS('AR SALES'!$L$2:$L$2501,$L3836,'AR SALES'!$AD$2:$AD$2501,IF(""&amp;$F3836="4","OFF","ON"),'AR SALES'!$AF$2:$AF$2501,"Y")&gt;0,"","NO EXEMPTION"))),"")</f>
        <v/>
      </c>
    </row>
    <row r="3837" spans="46:54" x14ac:dyDescent="0.25">
      <c r="AT3837" s="2" t="str">
        <f>IF($L3837="","",IFERROR(INDEX('AR SALES'!$H$2:$H$2501,MATCH(""&amp;$L3837,'AR SALES'!$AE$2:$AE$2501,0)),""))</f>
        <v/>
      </c>
      <c r="AU3837" s="2" t="str">
        <f t="shared" si="236"/>
        <v/>
      </c>
      <c r="AV3837" s="2" t="str">
        <f t="shared" si="237"/>
        <v/>
      </c>
      <c r="AW3837" s="2" t="str">
        <f t="shared" si="238"/>
        <v/>
      </c>
      <c r="AX3837" s="2" t="str">
        <f t="shared" si="239"/>
        <v/>
      </c>
      <c r="AY3837" s="2" t="str">
        <f>IF($AV3837="","",IF(AND($Z3837=0,COUNTIF('AR SALES'!$L$2:$L$2501,$L3837)=0),"YES",""))</f>
        <v/>
      </c>
      <c r="AZ3837" s="2" t="str">
        <f>IF($AV3837="","",IF(COUNTIF(LISTS!$C$2:$C$250,$AU3837)=0,"NEW",""))</f>
        <v/>
      </c>
      <c r="BA3837" s="2" t="str">
        <f>IF(""&amp;$F3837&lt;&gt;"4","",IF($AY3837="YES","",IF(ROUND(SUMIFS($AE$2:$AE$4001,$L$2:$L$4001,$L3837,$F$2:$F$4001,"4")-SUMIFS('AR SALES'!$Y$2:$Y$2501,'AR SALES'!$L$2:$L$2501,$L3837,'AR SALES'!$AD$2:$AD$2501,"OFF"),2)=0,"","STALE")))</f>
        <v/>
      </c>
      <c r="BB3837" s="2" t="str">
        <f>IF(OR(""&amp;$F3837="2",""&amp;$F3837="4",""&amp;$F3837="G",""&amp;$F3837="H"),IF($AY3837="YES","",IF($AB3837&lt;&gt;0,"",IF(COUNTIFS('AR SALES'!$L$2:$L$2501,$L3837,'AR SALES'!$AD$2:$AD$2501,IF(""&amp;$F3837="4","OFF","ON"),'AR SALES'!$AF$2:$AF$2501,"Y")&gt;0,"","NO EXEMPTION"))),"")</f>
        <v/>
      </c>
    </row>
    <row r="3838" spans="46:54" x14ac:dyDescent="0.25">
      <c r="AT3838" s="2" t="str">
        <f>IF($L3838="","",IFERROR(INDEX('AR SALES'!$H$2:$H$2501,MATCH(""&amp;$L3838,'AR SALES'!$AE$2:$AE$2501,0)),""))</f>
        <v/>
      </c>
      <c r="AU3838" s="2" t="str">
        <f t="shared" si="236"/>
        <v/>
      </c>
      <c r="AV3838" s="2" t="str">
        <f t="shared" si="237"/>
        <v/>
      </c>
      <c r="AW3838" s="2" t="str">
        <f t="shared" si="238"/>
        <v/>
      </c>
      <c r="AX3838" s="2" t="str">
        <f t="shared" si="239"/>
        <v/>
      </c>
      <c r="AY3838" s="2" t="str">
        <f>IF($AV3838="","",IF(AND($Z3838=0,COUNTIF('AR SALES'!$L$2:$L$2501,$L3838)=0),"YES",""))</f>
        <v/>
      </c>
      <c r="AZ3838" s="2" t="str">
        <f>IF($AV3838="","",IF(COUNTIF(LISTS!$C$2:$C$250,$AU3838)=0,"NEW",""))</f>
        <v/>
      </c>
      <c r="BA3838" s="2" t="str">
        <f>IF(""&amp;$F3838&lt;&gt;"4","",IF($AY3838="YES","",IF(ROUND(SUMIFS($AE$2:$AE$4001,$L$2:$L$4001,$L3838,$F$2:$F$4001,"4")-SUMIFS('AR SALES'!$Y$2:$Y$2501,'AR SALES'!$L$2:$L$2501,$L3838,'AR SALES'!$AD$2:$AD$2501,"OFF"),2)=0,"","STALE")))</f>
        <v/>
      </c>
      <c r="BB3838" s="2" t="str">
        <f>IF(OR(""&amp;$F3838="2",""&amp;$F3838="4",""&amp;$F3838="G",""&amp;$F3838="H"),IF($AY3838="YES","",IF($AB3838&lt;&gt;0,"",IF(COUNTIFS('AR SALES'!$L$2:$L$2501,$L3838,'AR SALES'!$AD$2:$AD$2501,IF(""&amp;$F3838="4","OFF","ON"),'AR SALES'!$AF$2:$AF$2501,"Y")&gt;0,"","NO EXEMPTION"))),"")</f>
        <v/>
      </c>
    </row>
    <row r="3839" spans="46:54" x14ac:dyDescent="0.25">
      <c r="AT3839" s="2" t="str">
        <f>IF($L3839="","",IFERROR(INDEX('AR SALES'!$H$2:$H$2501,MATCH(""&amp;$L3839,'AR SALES'!$AE$2:$AE$2501,0)),""))</f>
        <v/>
      </c>
      <c r="AU3839" s="2" t="str">
        <f t="shared" si="236"/>
        <v/>
      </c>
      <c r="AV3839" s="2" t="str">
        <f t="shared" si="237"/>
        <v/>
      </c>
      <c r="AW3839" s="2" t="str">
        <f t="shared" si="238"/>
        <v/>
      </c>
      <c r="AX3839" s="2" t="str">
        <f t="shared" si="239"/>
        <v/>
      </c>
      <c r="AY3839" s="2" t="str">
        <f>IF($AV3839="","",IF(AND($Z3839=0,COUNTIF('AR SALES'!$L$2:$L$2501,$L3839)=0),"YES",""))</f>
        <v/>
      </c>
      <c r="AZ3839" s="2" t="str">
        <f>IF($AV3839="","",IF(COUNTIF(LISTS!$C$2:$C$250,$AU3839)=0,"NEW",""))</f>
        <v/>
      </c>
      <c r="BA3839" s="2" t="str">
        <f>IF(""&amp;$F3839&lt;&gt;"4","",IF($AY3839="YES","",IF(ROUND(SUMIFS($AE$2:$AE$4001,$L$2:$L$4001,$L3839,$F$2:$F$4001,"4")-SUMIFS('AR SALES'!$Y$2:$Y$2501,'AR SALES'!$L$2:$L$2501,$L3839,'AR SALES'!$AD$2:$AD$2501,"OFF"),2)=0,"","STALE")))</f>
        <v/>
      </c>
      <c r="BB3839" s="2" t="str">
        <f>IF(OR(""&amp;$F3839="2",""&amp;$F3839="4",""&amp;$F3839="G",""&amp;$F3839="H"),IF($AY3839="YES","",IF($AB3839&lt;&gt;0,"",IF(COUNTIFS('AR SALES'!$L$2:$L$2501,$L3839,'AR SALES'!$AD$2:$AD$2501,IF(""&amp;$F3839="4","OFF","ON"),'AR SALES'!$AF$2:$AF$2501,"Y")&gt;0,"","NO EXEMPTION"))),"")</f>
        <v/>
      </c>
    </row>
    <row r="3840" spans="46:54" x14ac:dyDescent="0.25">
      <c r="AT3840" s="2" t="str">
        <f>IF($L3840="","",IFERROR(INDEX('AR SALES'!$H$2:$H$2501,MATCH(""&amp;$L3840,'AR SALES'!$AE$2:$AE$2501,0)),""))</f>
        <v/>
      </c>
      <c r="AU3840" s="2" t="str">
        <f t="shared" si="236"/>
        <v/>
      </c>
      <c r="AV3840" s="2" t="str">
        <f t="shared" si="237"/>
        <v/>
      </c>
      <c r="AW3840" s="2" t="str">
        <f t="shared" si="238"/>
        <v/>
      </c>
      <c r="AX3840" s="2" t="str">
        <f t="shared" si="239"/>
        <v/>
      </c>
      <c r="AY3840" s="2" t="str">
        <f>IF($AV3840="","",IF(AND($Z3840=0,COUNTIF('AR SALES'!$L$2:$L$2501,$L3840)=0),"YES",""))</f>
        <v/>
      </c>
      <c r="AZ3840" s="2" t="str">
        <f>IF($AV3840="","",IF(COUNTIF(LISTS!$C$2:$C$250,$AU3840)=0,"NEW",""))</f>
        <v/>
      </c>
      <c r="BA3840" s="2" t="str">
        <f>IF(""&amp;$F3840&lt;&gt;"4","",IF($AY3840="YES","",IF(ROUND(SUMIFS($AE$2:$AE$4001,$L$2:$L$4001,$L3840,$F$2:$F$4001,"4")-SUMIFS('AR SALES'!$Y$2:$Y$2501,'AR SALES'!$L$2:$L$2501,$L3840,'AR SALES'!$AD$2:$AD$2501,"OFF"),2)=0,"","STALE")))</f>
        <v/>
      </c>
      <c r="BB3840" s="2" t="str">
        <f>IF(OR(""&amp;$F3840="2",""&amp;$F3840="4",""&amp;$F3840="G",""&amp;$F3840="H"),IF($AY3840="YES","",IF($AB3840&lt;&gt;0,"",IF(COUNTIFS('AR SALES'!$L$2:$L$2501,$L3840,'AR SALES'!$AD$2:$AD$2501,IF(""&amp;$F3840="4","OFF","ON"),'AR SALES'!$AF$2:$AF$2501,"Y")&gt;0,"","NO EXEMPTION"))),"")</f>
        <v/>
      </c>
    </row>
    <row r="3841" spans="46:54" x14ac:dyDescent="0.25">
      <c r="AT3841" s="2" t="str">
        <f>IF($L3841="","",IFERROR(INDEX('AR SALES'!$H$2:$H$2501,MATCH(""&amp;$L3841,'AR SALES'!$AE$2:$AE$2501,0)),""))</f>
        <v/>
      </c>
      <c r="AU3841" s="2" t="str">
        <f t="shared" si="236"/>
        <v/>
      </c>
      <c r="AV3841" s="2" t="str">
        <f t="shared" si="237"/>
        <v/>
      </c>
      <c r="AW3841" s="2" t="str">
        <f t="shared" si="238"/>
        <v/>
      </c>
      <c r="AX3841" s="2" t="str">
        <f t="shared" si="239"/>
        <v/>
      </c>
      <c r="AY3841" s="2" t="str">
        <f>IF($AV3841="","",IF(AND($Z3841=0,COUNTIF('AR SALES'!$L$2:$L$2501,$L3841)=0),"YES",""))</f>
        <v/>
      </c>
      <c r="AZ3841" s="2" t="str">
        <f>IF($AV3841="","",IF(COUNTIF(LISTS!$C$2:$C$250,$AU3841)=0,"NEW",""))</f>
        <v/>
      </c>
      <c r="BA3841" s="2" t="str">
        <f>IF(""&amp;$F3841&lt;&gt;"4","",IF($AY3841="YES","",IF(ROUND(SUMIFS($AE$2:$AE$4001,$L$2:$L$4001,$L3841,$F$2:$F$4001,"4")-SUMIFS('AR SALES'!$Y$2:$Y$2501,'AR SALES'!$L$2:$L$2501,$L3841,'AR SALES'!$AD$2:$AD$2501,"OFF"),2)=0,"","STALE")))</f>
        <v/>
      </c>
      <c r="BB3841" s="2" t="str">
        <f>IF(OR(""&amp;$F3841="2",""&amp;$F3841="4",""&amp;$F3841="G",""&amp;$F3841="H"),IF($AY3841="YES","",IF($AB3841&lt;&gt;0,"",IF(COUNTIFS('AR SALES'!$L$2:$L$2501,$L3841,'AR SALES'!$AD$2:$AD$2501,IF(""&amp;$F3841="4","OFF","ON"),'AR SALES'!$AF$2:$AF$2501,"Y")&gt;0,"","NO EXEMPTION"))),"")</f>
        <v/>
      </c>
    </row>
    <row r="3842" spans="46:54" x14ac:dyDescent="0.25">
      <c r="AT3842" s="2" t="str">
        <f>IF($L3842="","",IFERROR(INDEX('AR SALES'!$H$2:$H$2501,MATCH(""&amp;$L3842,'AR SALES'!$AE$2:$AE$2501,0)),""))</f>
        <v/>
      </c>
      <c r="AU3842" s="2" t="str">
        <f t="shared" ref="AU3842:AU3905" si="240">IF($L3842="","",IF($A3842&lt;&gt;"GA","",IF($E3842="FULTON",IF(ISNUMBER(SEARCH("COLLEGE PARK",$AT3842)),"FULTON (COLLEGE PARK)",IF(ISNUMBER(SEARCH("ATLANTA CITY",$AT3842)),"FULTON (ATL LIMITS)","FULTON")),IF($E3842="DEKALB",IF(ISNUMBER(SEARCH("ATLANTA CITY",$AT3842)),"DEKALB (ATL LIMITS)","DEKALB"),$E3842))))</f>
        <v/>
      </c>
      <c r="AV3842" s="2" t="str">
        <f t="shared" ref="AV3842:AV3905" si="241">IF($L3842="","",IF(""&amp;$F3842="2","DIESEL",IF(OR(""&amp;$F3842="G",""&amp;$F3842="H"),"GAS","")))</f>
        <v/>
      </c>
      <c r="AW3842" s="2" t="str">
        <f t="shared" ref="AW3842:AW3905" si="242">IF($AV3842="","",$R3842)</f>
        <v/>
      </c>
      <c r="AX3842" s="2" t="str">
        <f t="shared" ref="AX3842:AX3905" si="243">IF($AV3842="","",IF($AB3842=0,$R3842,0))</f>
        <v/>
      </c>
      <c r="AY3842" s="2" t="str">
        <f>IF($AV3842="","",IF(AND($Z3842=0,COUNTIF('AR SALES'!$L$2:$L$2501,$L3842)=0),"YES",""))</f>
        <v/>
      </c>
      <c r="AZ3842" s="2" t="str">
        <f>IF($AV3842="","",IF(COUNTIF(LISTS!$C$2:$C$250,$AU3842)=0,"NEW",""))</f>
        <v/>
      </c>
      <c r="BA3842" s="2" t="str">
        <f>IF(""&amp;$F3842&lt;&gt;"4","",IF($AY3842="YES","",IF(ROUND(SUMIFS($AE$2:$AE$4001,$L$2:$L$4001,$L3842,$F$2:$F$4001,"4")-SUMIFS('AR SALES'!$Y$2:$Y$2501,'AR SALES'!$L$2:$L$2501,$L3842,'AR SALES'!$AD$2:$AD$2501,"OFF"),2)=0,"","STALE")))</f>
        <v/>
      </c>
      <c r="BB3842" s="2" t="str">
        <f>IF(OR(""&amp;$F3842="2",""&amp;$F3842="4",""&amp;$F3842="G",""&amp;$F3842="H"),IF($AY3842="YES","",IF($AB3842&lt;&gt;0,"",IF(COUNTIFS('AR SALES'!$L$2:$L$2501,$L3842,'AR SALES'!$AD$2:$AD$2501,IF(""&amp;$F3842="4","OFF","ON"),'AR SALES'!$AF$2:$AF$2501,"Y")&gt;0,"","NO EXEMPTION"))),"")</f>
        <v/>
      </c>
    </row>
    <row r="3843" spans="46:54" x14ac:dyDescent="0.25">
      <c r="AT3843" s="2" t="str">
        <f>IF($L3843="","",IFERROR(INDEX('AR SALES'!$H$2:$H$2501,MATCH(""&amp;$L3843,'AR SALES'!$AE$2:$AE$2501,0)),""))</f>
        <v/>
      </c>
      <c r="AU3843" s="2" t="str">
        <f t="shared" si="240"/>
        <v/>
      </c>
      <c r="AV3843" s="2" t="str">
        <f t="shared" si="241"/>
        <v/>
      </c>
      <c r="AW3843" s="2" t="str">
        <f t="shared" si="242"/>
        <v/>
      </c>
      <c r="AX3843" s="2" t="str">
        <f t="shared" si="243"/>
        <v/>
      </c>
      <c r="AY3843" s="2" t="str">
        <f>IF($AV3843="","",IF(AND($Z3843=0,COUNTIF('AR SALES'!$L$2:$L$2501,$L3843)=0),"YES",""))</f>
        <v/>
      </c>
      <c r="AZ3843" s="2" t="str">
        <f>IF($AV3843="","",IF(COUNTIF(LISTS!$C$2:$C$250,$AU3843)=0,"NEW",""))</f>
        <v/>
      </c>
      <c r="BA3843" s="2" t="str">
        <f>IF(""&amp;$F3843&lt;&gt;"4","",IF($AY3843="YES","",IF(ROUND(SUMIFS($AE$2:$AE$4001,$L$2:$L$4001,$L3843,$F$2:$F$4001,"4")-SUMIFS('AR SALES'!$Y$2:$Y$2501,'AR SALES'!$L$2:$L$2501,$L3843,'AR SALES'!$AD$2:$AD$2501,"OFF"),2)=0,"","STALE")))</f>
        <v/>
      </c>
      <c r="BB3843" s="2" t="str">
        <f>IF(OR(""&amp;$F3843="2",""&amp;$F3843="4",""&amp;$F3843="G",""&amp;$F3843="H"),IF($AY3843="YES","",IF($AB3843&lt;&gt;0,"",IF(COUNTIFS('AR SALES'!$L$2:$L$2501,$L3843,'AR SALES'!$AD$2:$AD$2501,IF(""&amp;$F3843="4","OFF","ON"),'AR SALES'!$AF$2:$AF$2501,"Y")&gt;0,"","NO EXEMPTION"))),"")</f>
        <v/>
      </c>
    </row>
    <row r="3844" spans="46:54" x14ac:dyDescent="0.25">
      <c r="AT3844" s="2" t="str">
        <f>IF($L3844="","",IFERROR(INDEX('AR SALES'!$H$2:$H$2501,MATCH(""&amp;$L3844,'AR SALES'!$AE$2:$AE$2501,0)),""))</f>
        <v/>
      </c>
      <c r="AU3844" s="2" t="str">
        <f t="shared" si="240"/>
        <v/>
      </c>
      <c r="AV3844" s="2" t="str">
        <f t="shared" si="241"/>
        <v/>
      </c>
      <c r="AW3844" s="2" t="str">
        <f t="shared" si="242"/>
        <v/>
      </c>
      <c r="AX3844" s="2" t="str">
        <f t="shared" si="243"/>
        <v/>
      </c>
      <c r="AY3844" s="2" t="str">
        <f>IF($AV3844="","",IF(AND($Z3844=0,COUNTIF('AR SALES'!$L$2:$L$2501,$L3844)=0),"YES",""))</f>
        <v/>
      </c>
      <c r="AZ3844" s="2" t="str">
        <f>IF($AV3844="","",IF(COUNTIF(LISTS!$C$2:$C$250,$AU3844)=0,"NEW",""))</f>
        <v/>
      </c>
      <c r="BA3844" s="2" t="str">
        <f>IF(""&amp;$F3844&lt;&gt;"4","",IF($AY3844="YES","",IF(ROUND(SUMIFS($AE$2:$AE$4001,$L$2:$L$4001,$L3844,$F$2:$F$4001,"4")-SUMIFS('AR SALES'!$Y$2:$Y$2501,'AR SALES'!$L$2:$L$2501,$L3844,'AR SALES'!$AD$2:$AD$2501,"OFF"),2)=0,"","STALE")))</f>
        <v/>
      </c>
      <c r="BB3844" s="2" t="str">
        <f>IF(OR(""&amp;$F3844="2",""&amp;$F3844="4",""&amp;$F3844="G",""&amp;$F3844="H"),IF($AY3844="YES","",IF($AB3844&lt;&gt;0,"",IF(COUNTIFS('AR SALES'!$L$2:$L$2501,$L3844,'AR SALES'!$AD$2:$AD$2501,IF(""&amp;$F3844="4","OFF","ON"),'AR SALES'!$AF$2:$AF$2501,"Y")&gt;0,"","NO EXEMPTION"))),"")</f>
        <v/>
      </c>
    </row>
    <row r="3845" spans="46:54" x14ac:dyDescent="0.25">
      <c r="AT3845" s="2" t="str">
        <f>IF($L3845="","",IFERROR(INDEX('AR SALES'!$H$2:$H$2501,MATCH(""&amp;$L3845,'AR SALES'!$AE$2:$AE$2501,0)),""))</f>
        <v/>
      </c>
      <c r="AU3845" s="2" t="str">
        <f t="shared" si="240"/>
        <v/>
      </c>
      <c r="AV3845" s="2" t="str">
        <f t="shared" si="241"/>
        <v/>
      </c>
      <c r="AW3845" s="2" t="str">
        <f t="shared" si="242"/>
        <v/>
      </c>
      <c r="AX3845" s="2" t="str">
        <f t="shared" si="243"/>
        <v/>
      </c>
      <c r="AY3845" s="2" t="str">
        <f>IF($AV3845="","",IF(AND($Z3845=0,COUNTIF('AR SALES'!$L$2:$L$2501,$L3845)=0),"YES",""))</f>
        <v/>
      </c>
      <c r="AZ3845" s="2" t="str">
        <f>IF($AV3845="","",IF(COUNTIF(LISTS!$C$2:$C$250,$AU3845)=0,"NEW",""))</f>
        <v/>
      </c>
      <c r="BA3845" s="2" t="str">
        <f>IF(""&amp;$F3845&lt;&gt;"4","",IF($AY3845="YES","",IF(ROUND(SUMIFS($AE$2:$AE$4001,$L$2:$L$4001,$L3845,$F$2:$F$4001,"4")-SUMIFS('AR SALES'!$Y$2:$Y$2501,'AR SALES'!$L$2:$L$2501,$L3845,'AR SALES'!$AD$2:$AD$2501,"OFF"),2)=0,"","STALE")))</f>
        <v/>
      </c>
      <c r="BB3845" s="2" t="str">
        <f>IF(OR(""&amp;$F3845="2",""&amp;$F3845="4",""&amp;$F3845="G",""&amp;$F3845="H"),IF($AY3845="YES","",IF($AB3845&lt;&gt;0,"",IF(COUNTIFS('AR SALES'!$L$2:$L$2501,$L3845,'AR SALES'!$AD$2:$AD$2501,IF(""&amp;$F3845="4","OFF","ON"),'AR SALES'!$AF$2:$AF$2501,"Y")&gt;0,"","NO EXEMPTION"))),"")</f>
        <v/>
      </c>
    </row>
    <row r="3846" spans="46:54" x14ac:dyDescent="0.25">
      <c r="AT3846" s="2" t="str">
        <f>IF($L3846="","",IFERROR(INDEX('AR SALES'!$H$2:$H$2501,MATCH(""&amp;$L3846,'AR SALES'!$AE$2:$AE$2501,0)),""))</f>
        <v/>
      </c>
      <c r="AU3846" s="2" t="str">
        <f t="shared" si="240"/>
        <v/>
      </c>
      <c r="AV3846" s="2" t="str">
        <f t="shared" si="241"/>
        <v/>
      </c>
      <c r="AW3846" s="2" t="str">
        <f t="shared" si="242"/>
        <v/>
      </c>
      <c r="AX3846" s="2" t="str">
        <f t="shared" si="243"/>
        <v/>
      </c>
      <c r="AY3846" s="2" t="str">
        <f>IF($AV3846="","",IF(AND($Z3846=0,COUNTIF('AR SALES'!$L$2:$L$2501,$L3846)=0),"YES",""))</f>
        <v/>
      </c>
      <c r="AZ3846" s="2" t="str">
        <f>IF($AV3846="","",IF(COUNTIF(LISTS!$C$2:$C$250,$AU3846)=0,"NEW",""))</f>
        <v/>
      </c>
      <c r="BA3846" s="2" t="str">
        <f>IF(""&amp;$F3846&lt;&gt;"4","",IF($AY3846="YES","",IF(ROUND(SUMIFS($AE$2:$AE$4001,$L$2:$L$4001,$L3846,$F$2:$F$4001,"4")-SUMIFS('AR SALES'!$Y$2:$Y$2501,'AR SALES'!$L$2:$L$2501,$L3846,'AR SALES'!$AD$2:$AD$2501,"OFF"),2)=0,"","STALE")))</f>
        <v/>
      </c>
      <c r="BB3846" s="2" t="str">
        <f>IF(OR(""&amp;$F3846="2",""&amp;$F3846="4",""&amp;$F3846="G",""&amp;$F3846="H"),IF($AY3846="YES","",IF($AB3846&lt;&gt;0,"",IF(COUNTIFS('AR SALES'!$L$2:$L$2501,$L3846,'AR SALES'!$AD$2:$AD$2501,IF(""&amp;$F3846="4","OFF","ON"),'AR SALES'!$AF$2:$AF$2501,"Y")&gt;0,"","NO EXEMPTION"))),"")</f>
        <v/>
      </c>
    </row>
    <row r="3847" spans="46:54" x14ac:dyDescent="0.25">
      <c r="AT3847" s="2" t="str">
        <f>IF($L3847="","",IFERROR(INDEX('AR SALES'!$H$2:$H$2501,MATCH(""&amp;$L3847,'AR SALES'!$AE$2:$AE$2501,0)),""))</f>
        <v/>
      </c>
      <c r="AU3847" s="2" t="str">
        <f t="shared" si="240"/>
        <v/>
      </c>
      <c r="AV3847" s="2" t="str">
        <f t="shared" si="241"/>
        <v/>
      </c>
      <c r="AW3847" s="2" t="str">
        <f t="shared" si="242"/>
        <v/>
      </c>
      <c r="AX3847" s="2" t="str">
        <f t="shared" si="243"/>
        <v/>
      </c>
      <c r="AY3847" s="2" t="str">
        <f>IF($AV3847="","",IF(AND($Z3847=0,COUNTIF('AR SALES'!$L$2:$L$2501,$L3847)=0),"YES",""))</f>
        <v/>
      </c>
      <c r="AZ3847" s="2" t="str">
        <f>IF($AV3847="","",IF(COUNTIF(LISTS!$C$2:$C$250,$AU3847)=0,"NEW",""))</f>
        <v/>
      </c>
      <c r="BA3847" s="2" t="str">
        <f>IF(""&amp;$F3847&lt;&gt;"4","",IF($AY3847="YES","",IF(ROUND(SUMIFS($AE$2:$AE$4001,$L$2:$L$4001,$L3847,$F$2:$F$4001,"4")-SUMIFS('AR SALES'!$Y$2:$Y$2501,'AR SALES'!$L$2:$L$2501,$L3847,'AR SALES'!$AD$2:$AD$2501,"OFF"),2)=0,"","STALE")))</f>
        <v/>
      </c>
      <c r="BB3847" s="2" t="str">
        <f>IF(OR(""&amp;$F3847="2",""&amp;$F3847="4",""&amp;$F3847="G",""&amp;$F3847="H"),IF($AY3847="YES","",IF($AB3847&lt;&gt;0,"",IF(COUNTIFS('AR SALES'!$L$2:$L$2501,$L3847,'AR SALES'!$AD$2:$AD$2501,IF(""&amp;$F3847="4","OFF","ON"),'AR SALES'!$AF$2:$AF$2501,"Y")&gt;0,"","NO EXEMPTION"))),"")</f>
        <v/>
      </c>
    </row>
    <row r="3848" spans="46:54" x14ac:dyDescent="0.25">
      <c r="AT3848" s="2" t="str">
        <f>IF($L3848="","",IFERROR(INDEX('AR SALES'!$H$2:$H$2501,MATCH(""&amp;$L3848,'AR SALES'!$AE$2:$AE$2501,0)),""))</f>
        <v/>
      </c>
      <c r="AU3848" s="2" t="str">
        <f t="shared" si="240"/>
        <v/>
      </c>
      <c r="AV3848" s="2" t="str">
        <f t="shared" si="241"/>
        <v/>
      </c>
      <c r="AW3848" s="2" t="str">
        <f t="shared" si="242"/>
        <v/>
      </c>
      <c r="AX3848" s="2" t="str">
        <f t="shared" si="243"/>
        <v/>
      </c>
      <c r="AY3848" s="2" t="str">
        <f>IF($AV3848="","",IF(AND($Z3848=0,COUNTIF('AR SALES'!$L$2:$L$2501,$L3848)=0),"YES",""))</f>
        <v/>
      </c>
      <c r="AZ3848" s="2" t="str">
        <f>IF($AV3848="","",IF(COUNTIF(LISTS!$C$2:$C$250,$AU3848)=0,"NEW",""))</f>
        <v/>
      </c>
      <c r="BA3848" s="2" t="str">
        <f>IF(""&amp;$F3848&lt;&gt;"4","",IF($AY3848="YES","",IF(ROUND(SUMIFS($AE$2:$AE$4001,$L$2:$L$4001,$L3848,$F$2:$F$4001,"4")-SUMIFS('AR SALES'!$Y$2:$Y$2501,'AR SALES'!$L$2:$L$2501,$L3848,'AR SALES'!$AD$2:$AD$2501,"OFF"),2)=0,"","STALE")))</f>
        <v/>
      </c>
      <c r="BB3848" s="2" t="str">
        <f>IF(OR(""&amp;$F3848="2",""&amp;$F3848="4",""&amp;$F3848="G",""&amp;$F3848="H"),IF($AY3848="YES","",IF($AB3848&lt;&gt;0,"",IF(COUNTIFS('AR SALES'!$L$2:$L$2501,$L3848,'AR SALES'!$AD$2:$AD$2501,IF(""&amp;$F3848="4","OFF","ON"),'AR SALES'!$AF$2:$AF$2501,"Y")&gt;0,"","NO EXEMPTION"))),"")</f>
        <v/>
      </c>
    </row>
    <row r="3849" spans="46:54" x14ac:dyDescent="0.25">
      <c r="AT3849" s="2" t="str">
        <f>IF($L3849="","",IFERROR(INDEX('AR SALES'!$H$2:$H$2501,MATCH(""&amp;$L3849,'AR SALES'!$AE$2:$AE$2501,0)),""))</f>
        <v/>
      </c>
      <c r="AU3849" s="2" t="str">
        <f t="shared" si="240"/>
        <v/>
      </c>
      <c r="AV3849" s="2" t="str">
        <f t="shared" si="241"/>
        <v/>
      </c>
      <c r="AW3849" s="2" t="str">
        <f t="shared" si="242"/>
        <v/>
      </c>
      <c r="AX3849" s="2" t="str">
        <f t="shared" si="243"/>
        <v/>
      </c>
      <c r="AY3849" s="2" t="str">
        <f>IF($AV3849="","",IF(AND($Z3849=0,COUNTIF('AR SALES'!$L$2:$L$2501,$L3849)=0),"YES",""))</f>
        <v/>
      </c>
      <c r="AZ3849" s="2" t="str">
        <f>IF($AV3849="","",IF(COUNTIF(LISTS!$C$2:$C$250,$AU3849)=0,"NEW",""))</f>
        <v/>
      </c>
      <c r="BA3849" s="2" t="str">
        <f>IF(""&amp;$F3849&lt;&gt;"4","",IF($AY3849="YES","",IF(ROUND(SUMIFS($AE$2:$AE$4001,$L$2:$L$4001,$L3849,$F$2:$F$4001,"4")-SUMIFS('AR SALES'!$Y$2:$Y$2501,'AR SALES'!$L$2:$L$2501,$L3849,'AR SALES'!$AD$2:$AD$2501,"OFF"),2)=0,"","STALE")))</f>
        <v/>
      </c>
      <c r="BB3849" s="2" t="str">
        <f>IF(OR(""&amp;$F3849="2",""&amp;$F3849="4",""&amp;$F3849="G",""&amp;$F3849="H"),IF($AY3849="YES","",IF($AB3849&lt;&gt;0,"",IF(COUNTIFS('AR SALES'!$L$2:$L$2501,$L3849,'AR SALES'!$AD$2:$AD$2501,IF(""&amp;$F3849="4","OFF","ON"),'AR SALES'!$AF$2:$AF$2501,"Y")&gt;0,"","NO EXEMPTION"))),"")</f>
        <v/>
      </c>
    </row>
    <row r="3850" spans="46:54" x14ac:dyDescent="0.25">
      <c r="AT3850" s="2" t="str">
        <f>IF($L3850="","",IFERROR(INDEX('AR SALES'!$H$2:$H$2501,MATCH(""&amp;$L3850,'AR SALES'!$AE$2:$AE$2501,0)),""))</f>
        <v/>
      </c>
      <c r="AU3850" s="2" t="str">
        <f t="shared" si="240"/>
        <v/>
      </c>
      <c r="AV3850" s="2" t="str">
        <f t="shared" si="241"/>
        <v/>
      </c>
      <c r="AW3850" s="2" t="str">
        <f t="shared" si="242"/>
        <v/>
      </c>
      <c r="AX3850" s="2" t="str">
        <f t="shared" si="243"/>
        <v/>
      </c>
      <c r="AY3850" s="2" t="str">
        <f>IF($AV3850="","",IF(AND($Z3850=0,COUNTIF('AR SALES'!$L$2:$L$2501,$L3850)=0),"YES",""))</f>
        <v/>
      </c>
      <c r="AZ3850" s="2" t="str">
        <f>IF($AV3850="","",IF(COUNTIF(LISTS!$C$2:$C$250,$AU3850)=0,"NEW",""))</f>
        <v/>
      </c>
      <c r="BA3850" s="2" t="str">
        <f>IF(""&amp;$F3850&lt;&gt;"4","",IF($AY3850="YES","",IF(ROUND(SUMIFS($AE$2:$AE$4001,$L$2:$L$4001,$L3850,$F$2:$F$4001,"4")-SUMIFS('AR SALES'!$Y$2:$Y$2501,'AR SALES'!$L$2:$L$2501,$L3850,'AR SALES'!$AD$2:$AD$2501,"OFF"),2)=0,"","STALE")))</f>
        <v/>
      </c>
      <c r="BB3850" s="2" t="str">
        <f>IF(OR(""&amp;$F3850="2",""&amp;$F3850="4",""&amp;$F3850="G",""&amp;$F3850="H"),IF($AY3850="YES","",IF($AB3850&lt;&gt;0,"",IF(COUNTIFS('AR SALES'!$L$2:$L$2501,$L3850,'AR SALES'!$AD$2:$AD$2501,IF(""&amp;$F3850="4","OFF","ON"),'AR SALES'!$AF$2:$AF$2501,"Y")&gt;0,"","NO EXEMPTION"))),"")</f>
        <v/>
      </c>
    </row>
    <row r="3851" spans="46:54" x14ac:dyDescent="0.25">
      <c r="AT3851" s="2" t="str">
        <f>IF($L3851="","",IFERROR(INDEX('AR SALES'!$H$2:$H$2501,MATCH(""&amp;$L3851,'AR SALES'!$AE$2:$AE$2501,0)),""))</f>
        <v/>
      </c>
      <c r="AU3851" s="2" t="str">
        <f t="shared" si="240"/>
        <v/>
      </c>
      <c r="AV3851" s="2" t="str">
        <f t="shared" si="241"/>
        <v/>
      </c>
      <c r="AW3851" s="2" t="str">
        <f t="shared" si="242"/>
        <v/>
      </c>
      <c r="AX3851" s="2" t="str">
        <f t="shared" si="243"/>
        <v/>
      </c>
      <c r="AY3851" s="2" t="str">
        <f>IF($AV3851="","",IF(AND($Z3851=0,COUNTIF('AR SALES'!$L$2:$L$2501,$L3851)=0),"YES",""))</f>
        <v/>
      </c>
      <c r="AZ3851" s="2" t="str">
        <f>IF($AV3851="","",IF(COUNTIF(LISTS!$C$2:$C$250,$AU3851)=0,"NEW",""))</f>
        <v/>
      </c>
      <c r="BA3851" s="2" t="str">
        <f>IF(""&amp;$F3851&lt;&gt;"4","",IF($AY3851="YES","",IF(ROUND(SUMIFS($AE$2:$AE$4001,$L$2:$L$4001,$L3851,$F$2:$F$4001,"4")-SUMIFS('AR SALES'!$Y$2:$Y$2501,'AR SALES'!$L$2:$L$2501,$L3851,'AR SALES'!$AD$2:$AD$2501,"OFF"),2)=0,"","STALE")))</f>
        <v/>
      </c>
      <c r="BB3851" s="2" t="str">
        <f>IF(OR(""&amp;$F3851="2",""&amp;$F3851="4",""&amp;$F3851="G",""&amp;$F3851="H"),IF($AY3851="YES","",IF($AB3851&lt;&gt;0,"",IF(COUNTIFS('AR SALES'!$L$2:$L$2501,$L3851,'AR SALES'!$AD$2:$AD$2501,IF(""&amp;$F3851="4","OFF","ON"),'AR SALES'!$AF$2:$AF$2501,"Y")&gt;0,"","NO EXEMPTION"))),"")</f>
        <v/>
      </c>
    </row>
    <row r="3852" spans="46:54" x14ac:dyDescent="0.25">
      <c r="AT3852" s="2" t="str">
        <f>IF($L3852="","",IFERROR(INDEX('AR SALES'!$H$2:$H$2501,MATCH(""&amp;$L3852,'AR SALES'!$AE$2:$AE$2501,0)),""))</f>
        <v/>
      </c>
      <c r="AU3852" s="2" t="str">
        <f t="shared" si="240"/>
        <v/>
      </c>
      <c r="AV3852" s="2" t="str">
        <f t="shared" si="241"/>
        <v/>
      </c>
      <c r="AW3852" s="2" t="str">
        <f t="shared" si="242"/>
        <v/>
      </c>
      <c r="AX3852" s="2" t="str">
        <f t="shared" si="243"/>
        <v/>
      </c>
      <c r="AY3852" s="2" t="str">
        <f>IF($AV3852="","",IF(AND($Z3852=0,COUNTIF('AR SALES'!$L$2:$L$2501,$L3852)=0),"YES",""))</f>
        <v/>
      </c>
      <c r="AZ3852" s="2" t="str">
        <f>IF($AV3852="","",IF(COUNTIF(LISTS!$C$2:$C$250,$AU3852)=0,"NEW",""))</f>
        <v/>
      </c>
      <c r="BA3852" s="2" t="str">
        <f>IF(""&amp;$F3852&lt;&gt;"4","",IF($AY3852="YES","",IF(ROUND(SUMIFS($AE$2:$AE$4001,$L$2:$L$4001,$L3852,$F$2:$F$4001,"4")-SUMIFS('AR SALES'!$Y$2:$Y$2501,'AR SALES'!$L$2:$L$2501,$L3852,'AR SALES'!$AD$2:$AD$2501,"OFF"),2)=0,"","STALE")))</f>
        <v/>
      </c>
      <c r="BB3852" s="2" t="str">
        <f>IF(OR(""&amp;$F3852="2",""&amp;$F3852="4",""&amp;$F3852="G",""&amp;$F3852="H"),IF($AY3852="YES","",IF($AB3852&lt;&gt;0,"",IF(COUNTIFS('AR SALES'!$L$2:$L$2501,$L3852,'AR SALES'!$AD$2:$AD$2501,IF(""&amp;$F3852="4","OFF","ON"),'AR SALES'!$AF$2:$AF$2501,"Y")&gt;0,"","NO EXEMPTION"))),"")</f>
        <v/>
      </c>
    </row>
    <row r="3853" spans="46:54" x14ac:dyDescent="0.25">
      <c r="AT3853" s="2" t="str">
        <f>IF($L3853="","",IFERROR(INDEX('AR SALES'!$H$2:$H$2501,MATCH(""&amp;$L3853,'AR SALES'!$AE$2:$AE$2501,0)),""))</f>
        <v/>
      </c>
      <c r="AU3853" s="2" t="str">
        <f t="shared" si="240"/>
        <v/>
      </c>
      <c r="AV3853" s="2" t="str">
        <f t="shared" si="241"/>
        <v/>
      </c>
      <c r="AW3853" s="2" t="str">
        <f t="shared" si="242"/>
        <v/>
      </c>
      <c r="AX3853" s="2" t="str">
        <f t="shared" si="243"/>
        <v/>
      </c>
      <c r="AY3853" s="2" t="str">
        <f>IF($AV3853="","",IF(AND($Z3853=0,COUNTIF('AR SALES'!$L$2:$L$2501,$L3853)=0),"YES",""))</f>
        <v/>
      </c>
      <c r="AZ3853" s="2" t="str">
        <f>IF($AV3853="","",IF(COUNTIF(LISTS!$C$2:$C$250,$AU3853)=0,"NEW",""))</f>
        <v/>
      </c>
      <c r="BA3853" s="2" t="str">
        <f>IF(""&amp;$F3853&lt;&gt;"4","",IF($AY3853="YES","",IF(ROUND(SUMIFS($AE$2:$AE$4001,$L$2:$L$4001,$L3853,$F$2:$F$4001,"4")-SUMIFS('AR SALES'!$Y$2:$Y$2501,'AR SALES'!$L$2:$L$2501,$L3853,'AR SALES'!$AD$2:$AD$2501,"OFF"),2)=0,"","STALE")))</f>
        <v/>
      </c>
      <c r="BB3853" s="2" t="str">
        <f>IF(OR(""&amp;$F3853="2",""&amp;$F3853="4",""&amp;$F3853="G",""&amp;$F3853="H"),IF($AY3853="YES","",IF($AB3853&lt;&gt;0,"",IF(COUNTIFS('AR SALES'!$L$2:$L$2501,$L3853,'AR SALES'!$AD$2:$AD$2501,IF(""&amp;$F3853="4","OFF","ON"),'AR SALES'!$AF$2:$AF$2501,"Y")&gt;0,"","NO EXEMPTION"))),"")</f>
        <v/>
      </c>
    </row>
    <row r="3854" spans="46:54" x14ac:dyDescent="0.25">
      <c r="AT3854" s="2" t="str">
        <f>IF($L3854="","",IFERROR(INDEX('AR SALES'!$H$2:$H$2501,MATCH(""&amp;$L3854,'AR SALES'!$AE$2:$AE$2501,0)),""))</f>
        <v/>
      </c>
      <c r="AU3854" s="2" t="str">
        <f t="shared" si="240"/>
        <v/>
      </c>
      <c r="AV3854" s="2" t="str">
        <f t="shared" si="241"/>
        <v/>
      </c>
      <c r="AW3854" s="2" t="str">
        <f t="shared" si="242"/>
        <v/>
      </c>
      <c r="AX3854" s="2" t="str">
        <f t="shared" si="243"/>
        <v/>
      </c>
      <c r="AY3854" s="2" t="str">
        <f>IF($AV3854="","",IF(AND($Z3854=0,COUNTIF('AR SALES'!$L$2:$L$2501,$L3854)=0),"YES",""))</f>
        <v/>
      </c>
      <c r="AZ3854" s="2" t="str">
        <f>IF($AV3854="","",IF(COUNTIF(LISTS!$C$2:$C$250,$AU3854)=0,"NEW",""))</f>
        <v/>
      </c>
      <c r="BA3854" s="2" t="str">
        <f>IF(""&amp;$F3854&lt;&gt;"4","",IF($AY3854="YES","",IF(ROUND(SUMIFS($AE$2:$AE$4001,$L$2:$L$4001,$L3854,$F$2:$F$4001,"4")-SUMIFS('AR SALES'!$Y$2:$Y$2501,'AR SALES'!$L$2:$L$2501,$L3854,'AR SALES'!$AD$2:$AD$2501,"OFF"),2)=0,"","STALE")))</f>
        <v/>
      </c>
      <c r="BB3854" s="2" t="str">
        <f>IF(OR(""&amp;$F3854="2",""&amp;$F3854="4",""&amp;$F3854="G",""&amp;$F3854="H"),IF($AY3854="YES","",IF($AB3854&lt;&gt;0,"",IF(COUNTIFS('AR SALES'!$L$2:$L$2501,$L3854,'AR SALES'!$AD$2:$AD$2501,IF(""&amp;$F3854="4","OFF","ON"),'AR SALES'!$AF$2:$AF$2501,"Y")&gt;0,"","NO EXEMPTION"))),"")</f>
        <v/>
      </c>
    </row>
    <row r="3855" spans="46:54" x14ac:dyDescent="0.25">
      <c r="AT3855" s="2" t="str">
        <f>IF($L3855="","",IFERROR(INDEX('AR SALES'!$H$2:$H$2501,MATCH(""&amp;$L3855,'AR SALES'!$AE$2:$AE$2501,0)),""))</f>
        <v/>
      </c>
      <c r="AU3855" s="2" t="str">
        <f t="shared" si="240"/>
        <v/>
      </c>
      <c r="AV3855" s="2" t="str">
        <f t="shared" si="241"/>
        <v/>
      </c>
      <c r="AW3855" s="2" t="str">
        <f t="shared" si="242"/>
        <v/>
      </c>
      <c r="AX3855" s="2" t="str">
        <f t="shared" si="243"/>
        <v/>
      </c>
      <c r="AY3855" s="2" t="str">
        <f>IF($AV3855="","",IF(AND($Z3855=0,COUNTIF('AR SALES'!$L$2:$L$2501,$L3855)=0),"YES",""))</f>
        <v/>
      </c>
      <c r="AZ3855" s="2" t="str">
        <f>IF($AV3855="","",IF(COUNTIF(LISTS!$C$2:$C$250,$AU3855)=0,"NEW",""))</f>
        <v/>
      </c>
      <c r="BA3855" s="2" t="str">
        <f>IF(""&amp;$F3855&lt;&gt;"4","",IF($AY3855="YES","",IF(ROUND(SUMIFS($AE$2:$AE$4001,$L$2:$L$4001,$L3855,$F$2:$F$4001,"4")-SUMIFS('AR SALES'!$Y$2:$Y$2501,'AR SALES'!$L$2:$L$2501,$L3855,'AR SALES'!$AD$2:$AD$2501,"OFF"),2)=0,"","STALE")))</f>
        <v/>
      </c>
      <c r="BB3855" s="2" t="str">
        <f>IF(OR(""&amp;$F3855="2",""&amp;$F3855="4",""&amp;$F3855="G",""&amp;$F3855="H"),IF($AY3855="YES","",IF($AB3855&lt;&gt;0,"",IF(COUNTIFS('AR SALES'!$L$2:$L$2501,$L3855,'AR SALES'!$AD$2:$AD$2501,IF(""&amp;$F3855="4","OFF","ON"),'AR SALES'!$AF$2:$AF$2501,"Y")&gt;0,"","NO EXEMPTION"))),"")</f>
        <v/>
      </c>
    </row>
    <row r="3856" spans="46:54" x14ac:dyDescent="0.25">
      <c r="AT3856" s="2" t="str">
        <f>IF($L3856="","",IFERROR(INDEX('AR SALES'!$H$2:$H$2501,MATCH(""&amp;$L3856,'AR SALES'!$AE$2:$AE$2501,0)),""))</f>
        <v/>
      </c>
      <c r="AU3856" s="2" t="str">
        <f t="shared" si="240"/>
        <v/>
      </c>
      <c r="AV3856" s="2" t="str">
        <f t="shared" si="241"/>
        <v/>
      </c>
      <c r="AW3856" s="2" t="str">
        <f t="shared" si="242"/>
        <v/>
      </c>
      <c r="AX3856" s="2" t="str">
        <f t="shared" si="243"/>
        <v/>
      </c>
      <c r="AY3856" s="2" t="str">
        <f>IF($AV3856="","",IF(AND($Z3856=0,COUNTIF('AR SALES'!$L$2:$L$2501,$L3856)=0),"YES",""))</f>
        <v/>
      </c>
      <c r="AZ3856" s="2" t="str">
        <f>IF($AV3856="","",IF(COUNTIF(LISTS!$C$2:$C$250,$AU3856)=0,"NEW",""))</f>
        <v/>
      </c>
      <c r="BA3856" s="2" t="str">
        <f>IF(""&amp;$F3856&lt;&gt;"4","",IF($AY3856="YES","",IF(ROUND(SUMIFS($AE$2:$AE$4001,$L$2:$L$4001,$L3856,$F$2:$F$4001,"4")-SUMIFS('AR SALES'!$Y$2:$Y$2501,'AR SALES'!$L$2:$L$2501,$L3856,'AR SALES'!$AD$2:$AD$2501,"OFF"),2)=0,"","STALE")))</f>
        <v/>
      </c>
      <c r="BB3856" s="2" t="str">
        <f>IF(OR(""&amp;$F3856="2",""&amp;$F3856="4",""&amp;$F3856="G",""&amp;$F3856="H"),IF($AY3856="YES","",IF($AB3856&lt;&gt;0,"",IF(COUNTIFS('AR SALES'!$L$2:$L$2501,$L3856,'AR SALES'!$AD$2:$AD$2501,IF(""&amp;$F3856="4","OFF","ON"),'AR SALES'!$AF$2:$AF$2501,"Y")&gt;0,"","NO EXEMPTION"))),"")</f>
        <v/>
      </c>
    </row>
    <row r="3857" spans="46:54" x14ac:dyDescent="0.25">
      <c r="AT3857" s="2" t="str">
        <f>IF($L3857="","",IFERROR(INDEX('AR SALES'!$H$2:$H$2501,MATCH(""&amp;$L3857,'AR SALES'!$AE$2:$AE$2501,0)),""))</f>
        <v/>
      </c>
      <c r="AU3857" s="2" t="str">
        <f t="shared" si="240"/>
        <v/>
      </c>
      <c r="AV3857" s="2" t="str">
        <f t="shared" si="241"/>
        <v/>
      </c>
      <c r="AW3857" s="2" t="str">
        <f t="shared" si="242"/>
        <v/>
      </c>
      <c r="AX3857" s="2" t="str">
        <f t="shared" si="243"/>
        <v/>
      </c>
      <c r="AY3857" s="2" t="str">
        <f>IF($AV3857="","",IF(AND($Z3857=0,COUNTIF('AR SALES'!$L$2:$L$2501,$L3857)=0),"YES",""))</f>
        <v/>
      </c>
      <c r="AZ3857" s="2" t="str">
        <f>IF($AV3857="","",IF(COUNTIF(LISTS!$C$2:$C$250,$AU3857)=0,"NEW",""))</f>
        <v/>
      </c>
      <c r="BA3857" s="2" t="str">
        <f>IF(""&amp;$F3857&lt;&gt;"4","",IF($AY3857="YES","",IF(ROUND(SUMIFS($AE$2:$AE$4001,$L$2:$L$4001,$L3857,$F$2:$F$4001,"4")-SUMIFS('AR SALES'!$Y$2:$Y$2501,'AR SALES'!$L$2:$L$2501,$L3857,'AR SALES'!$AD$2:$AD$2501,"OFF"),2)=0,"","STALE")))</f>
        <v/>
      </c>
      <c r="BB3857" s="2" t="str">
        <f>IF(OR(""&amp;$F3857="2",""&amp;$F3857="4",""&amp;$F3857="G",""&amp;$F3857="H"),IF($AY3857="YES","",IF($AB3857&lt;&gt;0,"",IF(COUNTIFS('AR SALES'!$L$2:$L$2501,$L3857,'AR SALES'!$AD$2:$AD$2501,IF(""&amp;$F3857="4","OFF","ON"),'AR SALES'!$AF$2:$AF$2501,"Y")&gt;0,"","NO EXEMPTION"))),"")</f>
        <v/>
      </c>
    </row>
    <row r="3858" spans="46:54" x14ac:dyDescent="0.25">
      <c r="AT3858" s="2" t="str">
        <f>IF($L3858="","",IFERROR(INDEX('AR SALES'!$H$2:$H$2501,MATCH(""&amp;$L3858,'AR SALES'!$AE$2:$AE$2501,0)),""))</f>
        <v/>
      </c>
      <c r="AU3858" s="2" t="str">
        <f t="shared" si="240"/>
        <v/>
      </c>
      <c r="AV3858" s="2" t="str">
        <f t="shared" si="241"/>
        <v/>
      </c>
      <c r="AW3858" s="2" t="str">
        <f t="shared" si="242"/>
        <v/>
      </c>
      <c r="AX3858" s="2" t="str">
        <f t="shared" si="243"/>
        <v/>
      </c>
      <c r="AY3858" s="2" t="str">
        <f>IF($AV3858="","",IF(AND($Z3858=0,COUNTIF('AR SALES'!$L$2:$L$2501,$L3858)=0),"YES",""))</f>
        <v/>
      </c>
      <c r="AZ3858" s="2" t="str">
        <f>IF($AV3858="","",IF(COUNTIF(LISTS!$C$2:$C$250,$AU3858)=0,"NEW",""))</f>
        <v/>
      </c>
      <c r="BA3858" s="2" t="str">
        <f>IF(""&amp;$F3858&lt;&gt;"4","",IF($AY3858="YES","",IF(ROUND(SUMIFS($AE$2:$AE$4001,$L$2:$L$4001,$L3858,$F$2:$F$4001,"4")-SUMIFS('AR SALES'!$Y$2:$Y$2501,'AR SALES'!$L$2:$L$2501,$L3858,'AR SALES'!$AD$2:$AD$2501,"OFF"),2)=0,"","STALE")))</f>
        <v/>
      </c>
      <c r="BB3858" s="2" t="str">
        <f>IF(OR(""&amp;$F3858="2",""&amp;$F3858="4",""&amp;$F3858="G",""&amp;$F3858="H"),IF($AY3858="YES","",IF($AB3858&lt;&gt;0,"",IF(COUNTIFS('AR SALES'!$L$2:$L$2501,$L3858,'AR SALES'!$AD$2:$AD$2501,IF(""&amp;$F3858="4","OFF","ON"),'AR SALES'!$AF$2:$AF$2501,"Y")&gt;0,"","NO EXEMPTION"))),"")</f>
        <v/>
      </c>
    </row>
    <row r="3859" spans="46:54" x14ac:dyDescent="0.25">
      <c r="AT3859" s="2" t="str">
        <f>IF($L3859="","",IFERROR(INDEX('AR SALES'!$H$2:$H$2501,MATCH(""&amp;$L3859,'AR SALES'!$AE$2:$AE$2501,0)),""))</f>
        <v/>
      </c>
      <c r="AU3859" s="2" t="str">
        <f t="shared" si="240"/>
        <v/>
      </c>
      <c r="AV3859" s="2" t="str">
        <f t="shared" si="241"/>
        <v/>
      </c>
      <c r="AW3859" s="2" t="str">
        <f t="shared" si="242"/>
        <v/>
      </c>
      <c r="AX3859" s="2" t="str">
        <f t="shared" si="243"/>
        <v/>
      </c>
      <c r="AY3859" s="2" t="str">
        <f>IF($AV3859="","",IF(AND($Z3859=0,COUNTIF('AR SALES'!$L$2:$L$2501,$L3859)=0),"YES",""))</f>
        <v/>
      </c>
      <c r="AZ3859" s="2" t="str">
        <f>IF($AV3859="","",IF(COUNTIF(LISTS!$C$2:$C$250,$AU3859)=0,"NEW",""))</f>
        <v/>
      </c>
      <c r="BA3859" s="2" t="str">
        <f>IF(""&amp;$F3859&lt;&gt;"4","",IF($AY3859="YES","",IF(ROUND(SUMIFS($AE$2:$AE$4001,$L$2:$L$4001,$L3859,$F$2:$F$4001,"4")-SUMIFS('AR SALES'!$Y$2:$Y$2501,'AR SALES'!$L$2:$L$2501,$L3859,'AR SALES'!$AD$2:$AD$2501,"OFF"),2)=0,"","STALE")))</f>
        <v/>
      </c>
      <c r="BB3859" s="2" t="str">
        <f>IF(OR(""&amp;$F3859="2",""&amp;$F3859="4",""&amp;$F3859="G",""&amp;$F3859="H"),IF($AY3859="YES","",IF($AB3859&lt;&gt;0,"",IF(COUNTIFS('AR SALES'!$L$2:$L$2501,$L3859,'AR SALES'!$AD$2:$AD$2501,IF(""&amp;$F3859="4","OFF","ON"),'AR SALES'!$AF$2:$AF$2501,"Y")&gt;0,"","NO EXEMPTION"))),"")</f>
        <v/>
      </c>
    </row>
    <row r="3860" spans="46:54" x14ac:dyDescent="0.25">
      <c r="AT3860" s="2" t="str">
        <f>IF($L3860="","",IFERROR(INDEX('AR SALES'!$H$2:$H$2501,MATCH(""&amp;$L3860,'AR SALES'!$AE$2:$AE$2501,0)),""))</f>
        <v/>
      </c>
      <c r="AU3860" s="2" t="str">
        <f t="shared" si="240"/>
        <v/>
      </c>
      <c r="AV3860" s="2" t="str">
        <f t="shared" si="241"/>
        <v/>
      </c>
      <c r="AW3860" s="2" t="str">
        <f t="shared" si="242"/>
        <v/>
      </c>
      <c r="AX3860" s="2" t="str">
        <f t="shared" si="243"/>
        <v/>
      </c>
      <c r="AY3860" s="2" t="str">
        <f>IF($AV3860="","",IF(AND($Z3860=0,COUNTIF('AR SALES'!$L$2:$L$2501,$L3860)=0),"YES",""))</f>
        <v/>
      </c>
      <c r="AZ3860" s="2" t="str">
        <f>IF($AV3860="","",IF(COUNTIF(LISTS!$C$2:$C$250,$AU3860)=0,"NEW",""))</f>
        <v/>
      </c>
      <c r="BA3860" s="2" t="str">
        <f>IF(""&amp;$F3860&lt;&gt;"4","",IF($AY3860="YES","",IF(ROUND(SUMIFS($AE$2:$AE$4001,$L$2:$L$4001,$L3860,$F$2:$F$4001,"4")-SUMIFS('AR SALES'!$Y$2:$Y$2501,'AR SALES'!$L$2:$L$2501,$L3860,'AR SALES'!$AD$2:$AD$2501,"OFF"),2)=0,"","STALE")))</f>
        <v/>
      </c>
      <c r="BB3860" s="2" t="str">
        <f>IF(OR(""&amp;$F3860="2",""&amp;$F3860="4",""&amp;$F3860="G",""&amp;$F3860="H"),IF($AY3860="YES","",IF($AB3860&lt;&gt;0,"",IF(COUNTIFS('AR SALES'!$L$2:$L$2501,$L3860,'AR SALES'!$AD$2:$AD$2501,IF(""&amp;$F3860="4","OFF","ON"),'AR SALES'!$AF$2:$AF$2501,"Y")&gt;0,"","NO EXEMPTION"))),"")</f>
        <v/>
      </c>
    </row>
    <row r="3861" spans="46:54" x14ac:dyDescent="0.25">
      <c r="AT3861" s="2" t="str">
        <f>IF($L3861="","",IFERROR(INDEX('AR SALES'!$H$2:$H$2501,MATCH(""&amp;$L3861,'AR SALES'!$AE$2:$AE$2501,0)),""))</f>
        <v/>
      </c>
      <c r="AU3861" s="2" t="str">
        <f t="shared" si="240"/>
        <v/>
      </c>
      <c r="AV3861" s="2" t="str">
        <f t="shared" si="241"/>
        <v/>
      </c>
      <c r="AW3861" s="2" t="str">
        <f t="shared" si="242"/>
        <v/>
      </c>
      <c r="AX3861" s="2" t="str">
        <f t="shared" si="243"/>
        <v/>
      </c>
      <c r="AY3861" s="2" t="str">
        <f>IF($AV3861="","",IF(AND($Z3861=0,COUNTIF('AR SALES'!$L$2:$L$2501,$L3861)=0),"YES",""))</f>
        <v/>
      </c>
      <c r="AZ3861" s="2" t="str">
        <f>IF($AV3861="","",IF(COUNTIF(LISTS!$C$2:$C$250,$AU3861)=0,"NEW",""))</f>
        <v/>
      </c>
      <c r="BA3861" s="2" t="str">
        <f>IF(""&amp;$F3861&lt;&gt;"4","",IF($AY3861="YES","",IF(ROUND(SUMIFS($AE$2:$AE$4001,$L$2:$L$4001,$L3861,$F$2:$F$4001,"4")-SUMIFS('AR SALES'!$Y$2:$Y$2501,'AR SALES'!$L$2:$L$2501,$L3861,'AR SALES'!$AD$2:$AD$2501,"OFF"),2)=0,"","STALE")))</f>
        <v/>
      </c>
      <c r="BB3861" s="2" t="str">
        <f>IF(OR(""&amp;$F3861="2",""&amp;$F3861="4",""&amp;$F3861="G",""&amp;$F3861="H"),IF($AY3861="YES","",IF($AB3861&lt;&gt;0,"",IF(COUNTIFS('AR SALES'!$L$2:$L$2501,$L3861,'AR SALES'!$AD$2:$AD$2501,IF(""&amp;$F3861="4","OFF","ON"),'AR SALES'!$AF$2:$AF$2501,"Y")&gt;0,"","NO EXEMPTION"))),"")</f>
        <v/>
      </c>
    </row>
    <row r="3862" spans="46:54" x14ac:dyDescent="0.25">
      <c r="AT3862" s="2" t="str">
        <f>IF($L3862="","",IFERROR(INDEX('AR SALES'!$H$2:$H$2501,MATCH(""&amp;$L3862,'AR SALES'!$AE$2:$AE$2501,0)),""))</f>
        <v/>
      </c>
      <c r="AU3862" s="2" t="str">
        <f t="shared" si="240"/>
        <v/>
      </c>
      <c r="AV3862" s="2" t="str">
        <f t="shared" si="241"/>
        <v/>
      </c>
      <c r="AW3862" s="2" t="str">
        <f t="shared" si="242"/>
        <v/>
      </c>
      <c r="AX3862" s="2" t="str">
        <f t="shared" si="243"/>
        <v/>
      </c>
      <c r="AY3862" s="2" t="str">
        <f>IF($AV3862="","",IF(AND($Z3862=0,COUNTIF('AR SALES'!$L$2:$L$2501,$L3862)=0),"YES",""))</f>
        <v/>
      </c>
      <c r="AZ3862" s="2" t="str">
        <f>IF($AV3862="","",IF(COUNTIF(LISTS!$C$2:$C$250,$AU3862)=0,"NEW",""))</f>
        <v/>
      </c>
      <c r="BA3862" s="2" t="str">
        <f>IF(""&amp;$F3862&lt;&gt;"4","",IF($AY3862="YES","",IF(ROUND(SUMIFS($AE$2:$AE$4001,$L$2:$L$4001,$L3862,$F$2:$F$4001,"4")-SUMIFS('AR SALES'!$Y$2:$Y$2501,'AR SALES'!$L$2:$L$2501,$L3862,'AR SALES'!$AD$2:$AD$2501,"OFF"),2)=0,"","STALE")))</f>
        <v/>
      </c>
      <c r="BB3862" s="2" t="str">
        <f>IF(OR(""&amp;$F3862="2",""&amp;$F3862="4",""&amp;$F3862="G",""&amp;$F3862="H"),IF($AY3862="YES","",IF($AB3862&lt;&gt;0,"",IF(COUNTIFS('AR SALES'!$L$2:$L$2501,$L3862,'AR SALES'!$AD$2:$AD$2501,IF(""&amp;$F3862="4","OFF","ON"),'AR SALES'!$AF$2:$AF$2501,"Y")&gt;0,"","NO EXEMPTION"))),"")</f>
        <v/>
      </c>
    </row>
    <row r="3863" spans="46:54" x14ac:dyDescent="0.25">
      <c r="AT3863" s="2" t="str">
        <f>IF($L3863="","",IFERROR(INDEX('AR SALES'!$H$2:$H$2501,MATCH(""&amp;$L3863,'AR SALES'!$AE$2:$AE$2501,0)),""))</f>
        <v/>
      </c>
      <c r="AU3863" s="2" t="str">
        <f t="shared" si="240"/>
        <v/>
      </c>
      <c r="AV3863" s="2" t="str">
        <f t="shared" si="241"/>
        <v/>
      </c>
      <c r="AW3863" s="2" t="str">
        <f t="shared" si="242"/>
        <v/>
      </c>
      <c r="AX3863" s="2" t="str">
        <f t="shared" si="243"/>
        <v/>
      </c>
      <c r="AY3863" s="2" t="str">
        <f>IF($AV3863="","",IF(AND($Z3863=0,COUNTIF('AR SALES'!$L$2:$L$2501,$L3863)=0),"YES",""))</f>
        <v/>
      </c>
      <c r="AZ3863" s="2" t="str">
        <f>IF($AV3863="","",IF(COUNTIF(LISTS!$C$2:$C$250,$AU3863)=0,"NEW",""))</f>
        <v/>
      </c>
      <c r="BA3863" s="2" t="str">
        <f>IF(""&amp;$F3863&lt;&gt;"4","",IF($AY3863="YES","",IF(ROUND(SUMIFS($AE$2:$AE$4001,$L$2:$L$4001,$L3863,$F$2:$F$4001,"4")-SUMIFS('AR SALES'!$Y$2:$Y$2501,'AR SALES'!$L$2:$L$2501,$L3863,'AR SALES'!$AD$2:$AD$2501,"OFF"),2)=0,"","STALE")))</f>
        <v/>
      </c>
      <c r="BB3863" s="2" t="str">
        <f>IF(OR(""&amp;$F3863="2",""&amp;$F3863="4",""&amp;$F3863="G",""&amp;$F3863="H"),IF($AY3863="YES","",IF($AB3863&lt;&gt;0,"",IF(COUNTIFS('AR SALES'!$L$2:$L$2501,$L3863,'AR SALES'!$AD$2:$AD$2501,IF(""&amp;$F3863="4","OFF","ON"),'AR SALES'!$AF$2:$AF$2501,"Y")&gt;0,"","NO EXEMPTION"))),"")</f>
        <v/>
      </c>
    </row>
    <row r="3864" spans="46:54" x14ac:dyDescent="0.25">
      <c r="AT3864" s="2" t="str">
        <f>IF($L3864="","",IFERROR(INDEX('AR SALES'!$H$2:$H$2501,MATCH(""&amp;$L3864,'AR SALES'!$AE$2:$AE$2501,0)),""))</f>
        <v/>
      </c>
      <c r="AU3864" s="2" t="str">
        <f t="shared" si="240"/>
        <v/>
      </c>
      <c r="AV3864" s="2" t="str">
        <f t="shared" si="241"/>
        <v/>
      </c>
      <c r="AW3864" s="2" t="str">
        <f t="shared" si="242"/>
        <v/>
      </c>
      <c r="AX3864" s="2" t="str">
        <f t="shared" si="243"/>
        <v/>
      </c>
      <c r="AY3864" s="2" t="str">
        <f>IF($AV3864="","",IF(AND($Z3864=0,COUNTIF('AR SALES'!$L$2:$L$2501,$L3864)=0),"YES",""))</f>
        <v/>
      </c>
      <c r="AZ3864" s="2" t="str">
        <f>IF($AV3864="","",IF(COUNTIF(LISTS!$C$2:$C$250,$AU3864)=0,"NEW",""))</f>
        <v/>
      </c>
      <c r="BA3864" s="2" t="str">
        <f>IF(""&amp;$F3864&lt;&gt;"4","",IF($AY3864="YES","",IF(ROUND(SUMIFS($AE$2:$AE$4001,$L$2:$L$4001,$L3864,$F$2:$F$4001,"4")-SUMIFS('AR SALES'!$Y$2:$Y$2501,'AR SALES'!$L$2:$L$2501,$L3864,'AR SALES'!$AD$2:$AD$2501,"OFF"),2)=0,"","STALE")))</f>
        <v/>
      </c>
      <c r="BB3864" s="2" t="str">
        <f>IF(OR(""&amp;$F3864="2",""&amp;$F3864="4",""&amp;$F3864="G",""&amp;$F3864="H"),IF($AY3864="YES","",IF($AB3864&lt;&gt;0,"",IF(COUNTIFS('AR SALES'!$L$2:$L$2501,$L3864,'AR SALES'!$AD$2:$AD$2501,IF(""&amp;$F3864="4","OFF","ON"),'AR SALES'!$AF$2:$AF$2501,"Y")&gt;0,"","NO EXEMPTION"))),"")</f>
        <v/>
      </c>
    </row>
    <row r="3865" spans="46:54" x14ac:dyDescent="0.25">
      <c r="AT3865" s="2" t="str">
        <f>IF($L3865="","",IFERROR(INDEX('AR SALES'!$H$2:$H$2501,MATCH(""&amp;$L3865,'AR SALES'!$AE$2:$AE$2501,0)),""))</f>
        <v/>
      </c>
      <c r="AU3865" s="2" t="str">
        <f t="shared" si="240"/>
        <v/>
      </c>
      <c r="AV3865" s="2" t="str">
        <f t="shared" si="241"/>
        <v/>
      </c>
      <c r="AW3865" s="2" t="str">
        <f t="shared" si="242"/>
        <v/>
      </c>
      <c r="AX3865" s="2" t="str">
        <f t="shared" si="243"/>
        <v/>
      </c>
      <c r="AY3865" s="2" t="str">
        <f>IF($AV3865="","",IF(AND($Z3865=0,COUNTIF('AR SALES'!$L$2:$L$2501,$L3865)=0),"YES",""))</f>
        <v/>
      </c>
      <c r="AZ3865" s="2" t="str">
        <f>IF($AV3865="","",IF(COUNTIF(LISTS!$C$2:$C$250,$AU3865)=0,"NEW",""))</f>
        <v/>
      </c>
      <c r="BA3865" s="2" t="str">
        <f>IF(""&amp;$F3865&lt;&gt;"4","",IF($AY3865="YES","",IF(ROUND(SUMIFS($AE$2:$AE$4001,$L$2:$L$4001,$L3865,$F$2:$F$4001,"4")-SUMIFS('AR SALES'!$Y$2:$Y$2501,'AR SALES'!$L$2:$L$2501,$L3865,'AR SALES'!$AD$2:$AD$2501,"OFF"),2)=0,"","STALE")))</f>
        <v/>
      </c>
      <c r="BB3865" s="2" t="str">
        <f>IF(OR(""&amp;$F3865="2",""&amp;$F3865="4",""&amp;$F3865="G",""&amp;$F3865="H"),IF($AY3865="YES","",IF($AB3865&lt;&gt;0,"",IF(COUNTIFS('AR SALES'!$L$2:$L$2501,$L3865,'AR SALES'!$AD$2:$AD$2501,IF(""&amp;$F3865="4","OFF","ON"),'AR SALES'!$AF$2:$AF$2501,"Y")&gt;0,"","NO EXEMPTION"))),"")</f>
        <v/>
      </c>
    </row>
    <row r="3866" spans="46:54" x14ac:dyDescent="0.25">
      <c r="AT3866" s="2" t="str">
        <f>IF($L3866="","",IFERROR(INDEX('AR SALES'!$H$2:$H$2501,MATCH(""&amp;$L3866,'AR SALES'!$AE$2:$AE$2501,0)),""))</f>
        <v/>
      </c>
      <c r="AU3866" s="2" t="str">
        <f t="shared" si="240"/>
        <v/>
      </c>
      <c r="AV3866" s="2" t="str">
        <f t="shared" si="241"/>
        <v/>
      </c>
      <c r="AW3866" s="2" t="str">
        <f t="shared" si="242"/>
        <v/>
      </c>
      <c r="AX3866" s="2" t="str">
        <f t="shared" si="243"/>
        <v/>
      </c>
      <c r="AY3866" s="2" t="str">
        <f>IF($AV3866="","",IF(AND($Z3866=0,COUNTIF('AR SALES'!$L$2:$L$2501,$L3866)=0),"YES",""))</f>
        <v/>
      </c>
      <c r="AZ3866" s="2" t="str">
        <f>IF($AV3866="","",IF(COUNTIF(LISTS!$C$2:$C$250,$AU3866)=0,"NEW",""))</f>
        <v/>
      </c>
      <c r="BA3866" s="2" t="str">
        <f>IF(""&amp;$F3866&lt;&gt;"4","",IF($AY3866="YES","",IF(ROUND(SUMIFS($AE$2:$AE$4001,$L$2:$L$4001,$L3866,$F$2:$F$4001,"4")-SUMIFS('AR SALES'!$Y$2:$Y$2501,'AR SALES'!$L$2:$L$2501,$L3866,'AR SALES'!$AD$2:$AD$2501,"OFF"),2)=0,"","STALE")))</f>
        <v/>
      </c>
      <c r="BB3866" s="2" t="str">
        <f>IF(OR(""&amp;$F3866="2",""&amp;$F3866="4",""&amp;$F3866="G",""&amp;$F3866="H"),IF($AY3866="YES","",IF($AB3866&lt;&gt;0,"",IF(COUNTIFS('AR SALES'!$L$2:$L$2501,$L3866,'AR SALES'!$AD$2:$AD$2501,IF(""&amp;$F3866="4","OFF","ON"),'AR SALES'!$AF$2:$AF$2501,"Y")&gt;0,"","NO EXEMPTION"))),"")</f>
        <v/>
      </c>
    </row>
    <row r="3867" spans="46:54" x14ac:dyDescent="0.25">
      <c r="AT3867" s="2" t="str">
        <f>IF($L3867="","",IFERROR(INDEX('AR SALES'!$H$2:$H$2501,MATCH(""&amp;$L3867,'AR SALES'!$AE$2:$AE$2501,0)),""))</f>
        <v/>
      </c>
      <c r="AU3867" s="2" t="str">
        <f t="shared" si="240"/>
        <v/>
      </c>
      <c r="AV3867" s="2" t="str">
        <f t="shared" si="241"/>
        <v/>
      </c>
      <c r="AW3867" s="2" t="str">
        <f t="shared" si="242"/>
        <v/>
      </c>
      <c r="AX3867" s="2" t="str">
        <f t="shared" si="243"/>
        <v/>
      </c>
      <c r="AY3867" s="2" t="str">
        <f>IF($AV3867="","",IF(AND($Z3867=0,COUNTIF('AR SALES'!$L$2:$L$2501,$L3867)=0),"YES",""))</f>
        <v/>
      </c>
      <c r="AZ3867" s="2" t="str">
        <f>IF($AV3867="","",IF(COUNTIF(LISTS!$C$2:$C$250,$AU3867)=0,"NEW",""))</f>
        <v/>
      </c>
      <c r="BA3867" s="2" t="str">
        <f>IF(""&amp;$F3867&lt;&gt;"4","",IF($AY3867="YES","",IF(ROUND(SUMIFS($AE$2:$AE$4001,$L$2:$L$4001,$L3867,$F$2:$F$4001,"4")-SUMIFS('AR SALES'!$Y$2:$Y$2501,'AR SALES'!$L$2:$L$2501,$L3867,'AR SALES'!$AD$2:$AD$2501,"OFF"),2)=0,"","STALE")))</f>
        <v/>
      </c>
      <c r="BB3867" s="2" t="str">
        <f>IF(OR(""&amp;$F3867="2",""&amp;$F3867="4",""&amp;$F3867="G",""&amp;$F3867="H"),IF($AY3867="YES","",IF($AB3867&lt;&gt;0,"",IF(COUNTIFS('AR SALES'!$L$2:$L$2501,$L3867,'AR SALES'!$AD$2:$AD$2501,IF(""&amp;$F3867="4","OFF","ON"),'AR SALES'!$AF$2:$AF$2501,"Y")&gt;0,"","NO EXEMPTION"))),"")</f>
        <v/>
      </c>
    </row>
    <row r="3868" spans="46:54" x14ac:dyDescent="0.25">
      <c r="AT3868" s="2" t="str">
        <f>IF($L3868="","",IFERROR(INDEX('AR SALES'!$H$2:$H$2501,MATCH(""&amp;$L3868,'AR SALES'!$AE$2:$AE$2501,0)),""))</f>
        <v/>
      </c>
      <c r="AU3868" s="2" t="str">
        <f t="shared" si="240"/>
        <v/>
      </c>
      <c r="AV3868" s="2" t="str">
        <f t="shared" si="241"/>
        <v/>
      </c>
      <c r="AW3868" s="2" t="str">
        <f t="shared" si="242"/>
        <v/>
      </c>
      <c r="AX3868" s="2" t="str">
        <f t="shared" si="243"/>
        <v/>
      </c>
      <c r="AY3868" s="2" t="str">
        <f>IF($AV3868="","",IF(AND($Z3868=0,COUNTIF('AR SALES'!$L$2:$L$2501,$L3868)=0),"YES",""))</f>
        <v/>
      </c>
      <c r="AZ3868" s="2" t="str">
        <f>IF($AV3868="","",IF(COUNTIF(LISTS!$C$2:$C$250,$AU3868)=0,"NEW",""))</f>
        <v/>
      </c>
      <c r="BA3868" s="2" t="str">
        <f>IF(""&amp;$F3868&lt;&gt;"4","",IF($AY3868="YES","",IF(ROUND(SUMIFS($AE$2:$AE$4001,$L$2:$L$4001,$L3868,$F$2:$F$4001,"4")-SUMIFS('AR SALES'!$Y$2:$Y$2501,'AR SALES'!$L$2:$L$2501,$L3868,'AR SALES'!$AD$2:$AD$2501,"OFF"),2)=0,"","STALE")))</f>
        <v/>
      </c>
      <c r="BB3868" s="2" t="str">
        <f>IF(OR(""&amp;$F3868="2",""&amp;$F3868="4",""&amp;$F3868="G",""&amp;$F3868="H"),IF($AY3868="YES","",IF($AB3868&lt;&gt;0,"",IF(COUNTIFS('AR SALES'!$L$2:$L$2501,$L3868,'AR SALES'!$AD$2:$AD$2501,IF(""&amp;$F3868="4","OFF","ON"),'AR SALES'!$AF$2:$AF$2501,"Y")&gt;0,"","NO EXEMPTION"))),"")</f>
        <v/>
      </c>
    </row>
    <row r="3869" spans="46:54" x14ac:dyDescent="0.25">
      <c r="AT3869" s="2" t="str">
        <f>IF($L3869="","",IFERROR(INDEX('AR SALES'!$H$2:$H$2501,MATCH(""&amp;$L3869,'AR SALES'!$AE$2:$AE$2501,0)),""))</f>
        <v/>
      </c>
      <c r="AU3869" s="2" t="str">
        <f t="shared" si="240"/>
        <v/>
      </c>
      <c r="AV3869" s="2" t="str">
        <f t="shared" si="241"/>
        <v/>
      </c>
      <c r="AW3869" s="2" t="str">
        <f t="shared" si="242"/>
        <v/>
      </c>
      <c r="AX3869" s="2" t="str">
        <f t="shared" si="243"/>
        <v/>
      </c>
      <c r="AY3869" s="2" t="str">
        <f>IF($AV3869="","",IF(AND($Z3869=0,COUNTIF('AR SALES'!$L$2:$L$2501,$L3869)=0),"YES",""))</f>
        <v/>
      </c>
      <c r="AZ3869" s="2" t="str">
        <f>IF($AV3869="","",IF(COUNTIF(LISTS!$C$2:$C$250,$AU3869)=0,"NEW",""))</f>
        <v/>
      </c>
      <c r="BA3869" s="2" t="str">
        <f>IF(""&amp;$F3869&lt;&gt;"4","",IF($AY3869="YES","",IF(ROUND(SUMIFS($AE$2:$AE$4001,$L$2:$L$4001,$L3869,$F$2:$F$4001,"4")-SUMIFS('AR SALES'!$Y$2:$Y$2501,'AR SALES'!$L$2:$L$2501,$L3869,'AR SALES'!$AD$2:$AD$2501,"OFF"),2)=0,"","STALE")))</f>
        <v/>
      </c>
      <c r="BB3869" s="2" t="str">
        <f>IF(OR(""&amp;$F3869="2",""&amp;$F3869="4",""&amp;$F3869="G",""&amp;$F3869="H"),IF($AY3869="YES","",IF($AB3869&lt;&gt;0,"",IF(COUNTIFS('AR SALES'!$L$2:$L$2501,$L3869,'AR SALES'!$AD$2:$AD$2501,IF(""&amp;$F3869="4","OFF","ON"),'AR SALES'!$AF$2:$AF$2501,"Y")&gt;0,"","NO EXEMPTION"))),"")</f>
        <v/>
      </c>
    </row>
    <row r="3870" spans="46:54" x14ac:dyDescent="0.25">
      <c r="AT3870" s="2" t="str">
        <f>IF($L3870="","",IFERROR(INDEX('AR SALES'!$H$2:$H$2501,MATCH(""&amp;$L3870,'AR SALES'!$AE$2:$AE$2501,0)),""))</f>
        <v/>
      </c>
      <c r="AU3870" s="2" t="str">
        <f t="shared" si="240"/>
        <v/>
      </c>
      <c r="AV3870" s="2" t="str">
        <f t="shared" si="241"/>
        <v/>
      </c>
      <c r="AW3870" s="2" t="str">
        <f t="shared" si="242"/>
        <v/>
      </c>
      <c r="AX3870" s="2" t="str">
        <f t="shared" si="243"/>
        <v/>
      </c>
      <c r="AY3870" s="2" t="str">
        <f>IF($AV3870="","",IF(AND($Z3870=0,COUNTIF('AR SALES'!$L$2:$L$2501,$L3870)=0),"YES",""))</f>
        <v/>
      </c>
      <c r="AZ3870" s="2" t="str">
        <f>IF($AV3870="","",IF(COUNTIF(LISTS!$C$2:$C$250,$AU3870)=0,"NEW",""))</f>
        <v/>
      </c>
      <c r="BA3870" s="2" t="str">
        <f>IF(""&amp;$F3870&lt;&gt;"4","",IF($AY3870="YES","",IF(ROUND(SUMIFS($AE$2:$AE$4001,$L$2:$L$4001,$L3870,$F$2:$F$4001,"4")-SUMIFS('AR SALES'!$Y$2:$Y$2501,'AR SALES'!$L$2:$L$2501,$L3870,'AR SALES'!$AD$2:$AD$2501,"OFF"),2)=0,"","STALE")))</f>
        <v/>
      </c>
      <c r="BB3870" s="2" t="str">
        <f>IF(OR(""&amp;$F3870="2",""&amp;$F3870="4",""&amp;$F3870="G",""&amp;$F3870="H"),IF($AY3870="YES","",IF($AB3870&lt;&gt;0,"",IF(COUNTIFS('AR SALES'!$L$2:$L$2501,$L3870,'AR SALES'!$AD$2:$AD$2501,IF(""&amp;$F3870="4","OFF","ON"),'AR SALES'!$AF$2:$AF$2501,"Y")&gt;0,"","NO EXEMPTION"))),"")</f>
        <v/>
      </c>
    </row>
    <row r="3871" spans="46:54" x14ac:dyDescent="0.25">
      <c r="AT3871" s="2" t="str">
        <f>IF($L3871="","",IFERROR(INDEX('AR SALES'!$H$2:$H$2501,MATCH(""&amp;$L3871,'AR SALES'!$AE$2:$AE$2501,0)),""))</f>
        <v/>
      </c>
      <c r="AU3871" s="2" t="str">
        <f t="shared" si="240"/>
        <v/>
      </c>
      <c r="AV3871" s="2" t="str">
        <f t="shared" si="241"/>
        <v/>
      </c>
      <c r="AW3871" s="2" t="str">
        <f t="shared" si="242"/>
        <v/>
      </c>
      <c r="AX3871" s="2" t="str">
        <f t="shared" si="243"/>
        <v/>
      </c>
      <c r="AY3871" s="2" t="str">
        <f>IF($AV3871="","",IF(AND($Z3871=0,COUNTIF('AR SALES'!$L$2:$L$2501,$L3871)=0),"YES",""))</f>
        <v/>
      </c>
      <c r="AZ3871" s="2" t="str">
        <f>IF($AV3871="","",IF(COUNTIF(LISTS!$C$2:$C$250,$AU3871)=0,"NEW",""))</f>
        <v/>
      </c>
      <c r="BA3871" s="2" t="str">
        <f>IF(""&amp;$F3871&lt;&gt;"4","",IF($AY3871="YES","",IF(ROUND(SUMIFS($AE$2:$AE$4001,$L$2:$L$4001,$L3871,$F$2:$F$4001,"4")-SUMIFS('AR SALES'!$Y$2:$Y$2501,'AR SALES'!$L$2:$L$2501,$L3871,'AR SALES'!$AD$2:$AD$2501,"OFF"),2)=0,"","STALE")))</f>
        <v/>
      </c>
      <c r="BB3871" s="2" t="str">
        <f>IF(OR(""&amp;$F3871="2",""&amp;$F3871="4",""&amp;$F3871="G",""&amp;$F3871="H"),IF($AY3871="YES","",IF($AB3871&lt;&gt;0,"",IF(COUNTIFS('AR SALES'!$L$2:$L$2501,$L3871,'AR SALES'!$AD$2:$AD$2501,IF(""&amp;$F3871="4","OFF","ON"),'AR SALES'!$AF$2:$AF$2501,"Y")&gt;0,"","NO EXEMPTION"))),"")</f>
        <v/>
      </c>
    </row>
    <row r="3872" spans="46:54" x14ac:dyDescent="0.25">
      <c r="AT3872" s="2" t="str">
        <f>IF($L3872="","",IFERROR(INDEX('AR SALES'!$H$2:$H$2501,MATCH(""&amp;$L3872,'AR SALES'!$AE$2:$AE$2501,0)),""))</f>
        <v/>
      </c>
      <c r="AU3872" s="2" t="str">
        <f t="shared" si="240"/>
        <v/>
      </c>
      <c r="AV3872" s="2" t="str">
        <f t="shared" si="241"/>
        <v/>
      </c>
      <c r="AW3872" s="2" t="str">
        <f t="shared" si="242"/>
        <v/>
      </c>
      <c r="AX3872" s="2" t="str">
        <f t="shared" si="243"/>
        <v/>
      </c>
      <c r="AY3872" s="2" t="str">
        <f>IF($AV3872="","",IF(AND($Z3872=0,COUNTIF('AR SALES'!$L$2:$L$2501,$L3872)=0),"YES",""))</f>
        <v/>
      </c>
      <c r="AZ3872" s="2" t="str">
        <f>IF($AV3872="","",IF(COUNTIF(LISTS!$C$2:$C$250,$AU3872)=0,"NEW",""))</f>
        <v/>
      </c>
      <c r="BA3872" s="2" t="str">
        <f>IF(""&amp;$F3872&lt;&gt;"4","",IF($AY3872="YES","",IF(ROUND(SUMIFS($AE$2:$AE$4001,$L$2:$L$4001,$L3872,$F$2:$F$4001,"4")-SUMIFS('AR SALES'!$Y$2:$Y$2501,'AR SALES'!$L$2:$L$2501,$L3872,'AR SALES'!$AD$2:$AD$2501,"OFF"),2)=0,"","STALE")))</f>
        <v/>
      </c>
      <c r="BB3872" s="2" t="str">
        <f>IF(OR(""&amp;$F3872="2",""&amp;$F3872="4",""&amp;$F3872="G",""&amp;$F3872="H"),IF($AY3872="YES","",IF($AB3872&lt;&gt;0,"",IF(COUNTIFS('AR SALES'!$L$2:$L$2501,$L3872,'AR SALES'!$AD$2:$AD$2501,IF(""&amp;$F3872="4","OFF","ON"),'AR SALES'!$AF$2:$AF$2501,"Y")&gt;0,"","NO EXEMPTION"))),"")</f>
        <v/>
      </c>
    </row>
    <row r="3873" spans="46:54" x14ac:dyDescent="0.25">
      <c r="AT3873" s="2" t="str">
        <f>IF($L3873="","",IFERROR(INDEX('AR SALES'!$H$2:$H$2501,MATCH(""&amp;$L3873,'AR SALES'!$AE$2:$AE$2501,0)),""))</f>
        <v/>
      </c>
      <c r="AU3873" s="2" t="str">
        <f t="shared" si="240"/>
        <v/>
      </c>
      <c r="AV3873" s="2" t="str">
        <f t="shared" si="241"/>
        <v/>
      </c>
      <c r="AW3873" s="2" t="str">
        <f t="shared" si="242"/>
        <v/>
      </c>
      <c r="AX3873" s="2" t="str">
        <f t="shared" si="243"/>
        <v/>
      </c>
      <c r="AY3873" s="2" t="str">
        <f>IF($AV3873="","",IF(AND($Z3873=0,COUNTIF('AR SALES'!$L$2:$L$2501,$L3873)=0),"YES",""))</f>
        <v/>
      </c>
      <c r="AZ3873" s="2" t="str">
        <f>IF($AV3873="","",IF(COUNTIF(LISTS!$C$2:$C$250,$AU3873)=0,"NEW",""))</f>
        <v/>
      </c>
      <c r="BA3873" s="2" t="str">
        <f>IF(""&amp;$F3873&lt;&gt;"4","",IF($AY3873="YES","",IF(ROUND(SUMIFS($AE$2:$AE$4001,$L$2:$L$4001,$L3873,$F$2:$F$4001,"4")-SUMIFS('AR SALES'!$Y$2:$Y$2501,'AR SALES'!$L$2:$L$2501,$L3873,'AR SALES'!$AD$2:$AD$2501,"OFF"),2)=0,"","STALE")))</f>
        <v/>
      </c>
      <c r="BB3873" s="2" t="str">
        <f>IF(OR(""&amp;$F3873="2",""&amp;$F3873="4",""&amp;$F3873="G",""&amp;$F3873="H"),IF($AY3873="YES","",IF($AB3873&lt;&gt;0,"",IF(COUNTIFS('AR SALES'!$L$2:$L$2501,$L3873,'AR SALES'!$AD$2:$AD$2501,IF(""&amp;$F3873="4","OFF","ON"),'AR SALES'!$AF$2:$AF$2501,"Y")&gt;0,"","NO EXEMPTION"))),"")</f>
        <v/>
      </c>
    </row>
    <row r="3874" spans="46:54" x14ac:dyDescent="0.25">
      <c r="AT3874" s="2" t="str">
        <f>IF($L3874="","",IFERROR(INDEX('AR SALES'!$H$2:$H$2501,MATCH(""&amp;$L3874,'AR SALES'!$AE$2:$AE$2501,0)),""))</f>
        <v/>
      </c>
      <c r="AU3874" s="2" t="str">
        <f t="shared" si="240"/>
        <v/>
      </c>
      <c r="AV3874" s="2" t="str">
        <f t="shared" si="241"/>
        <v/>
      </c>
      <c r="AW3874" s="2" t="str">
        <f t="shared" si="242"/>
        <v/>
      </c>
      <c r="AX3874" s="2" t="str">
        <f t="shared" si="243"/>
        <v/>
      </c>
      <c r="AY3874" s="2" t="str">
        <f>IF($AV3874="","",IF(AND($Z3874=0,COUNTIF('AR SALES'!$L$2:$L$2501,$L3874)=0),"YES",""))</f>
        <v/>
      </c>
      <c r="AZ3874" s="2" t="str">
        <f>IF($AV3874="","",IF(COUNTIF(LISTS!$C$2:$C$250,$AU3874)=0,"NEW",""))</f>
        <v/>
      </c>
      <c r="BA3874" s="2" t="str">
        <f>IF(""&amp;$F3874&lt;&gt;"4","",IF($AY3874="YES","",IF(ROUND(SUMIFS($AE$2:$AE$4001,$L$2:$L$4001,$L3874,$F$2:$F$4001,"4")-SUMIFS('AR SALES'!$Y$2:$Y$2501,'AR SALES'!$L$2:$L$2501,$L3874,'AR SALES'!$AD$2:$AD$2501,"OFF"),2)=0,"","STALE")))</f>
        <v/>
      </c>
      <c r="BB3874" s="2" t="str">
        <f>IF(OR(""&amp;$F3874="2",""&amp;$F3874="4",""&amp;$F3874="G",""&amp;$F3874="H"),IF($AY3874="YES","",IF($AB3874&lt;&gt;0,"",IF(COUNTIFS('AR SALES'!$L$2:$L$2501,$L3874,'AR SALES'!$AD$2:$AD$2501,IF(""&amp;$F3874="4","OFF","ON"),'AR SALES'!$AF$2:$AF$2501,"Y")&gt;0,"","NO EXEMPTION"))),"")</f>
        <v/>
      </c>
    </row>
    <row r="3875" spans="46:54" x14ac:dyDescent="0.25">
      <c r="AT3875" s="2" t="str">
        <f>IF($L3875="","",IFERROR(INDEX('AR SALES'!$H$2:$H$2501,MATCH(""&amp;$L3875,'AR SALES'!$AE$2:$AE$2501,0)),""))</f>
        <v/>
      </c>
      <c r="AU3875" s="2" t="str">
        <f t="shared" si="240"/>
        <v/>
      </c>
      <c r="AV3875" s="2" t="str">
        <f t="shared" si="241"/>
        <v/>
      </c>
      <c r="AW3875" s="2" t="str">
        <f t="shared" si="242"/>
        <v/>
      </c>
      <c r="AX3875" s="2" t="str">
        <f t="shared" si="243"/>
        <v/>
      </c>
      <c r="AY3875" s="2" t="str">
        <f>IF($AV3875="","",IF(AND($Z3875=0,COUNTIF('AR SALES'!$L$2:$L$2501,$L3875)=0),"YES",""))</f>
        <v/>
      </c>
      <c r="AZ3875" s="2" t="str">
        <f>IF($AV3875="","",IF(COUNTIF(LISTS!$C$2:$C$250,$AU3875)=0,"NEW",""))</f>
        <v/>
      </c>
      <c r="BA3875" s="2" t="str">
        <f>IF(""&amp;$F3875&lt;&gt;"4","",IF($AY3875="YES","",IF(ROUND(SUMIFS($AE$2:$AE$4001,$L$2:$L$4001,$L3875,$F$2:$F$4001,"4")-SUMIFS('AR SALES'!$Y$2:$Y$2501,'AR SALES'!$L$2:$L$2501,$L3875,'AR SALES'!$AD$2:$AD$2501,"OFF"),2)=0,"","STALE")))</f>
        <v/>
      </c>
      <c r="BB3875" s="2" t="str">
        <f>IF(OR(""&amp;$F3875="2",""&amp;$F3875="4",""&amp;$F3875="G",""&amp;$F3875="H"),IF($AY3875="YES","",IF($AB3875&lt;&gt;0,"",IF(COUNTIFS('AR SALES'!$L$2:$L$2501,$L3875,'AR SALES'!$AD$2:$AD$2501,IF(""&amp;$F3875="4","OFF","ON"),'AR SALES'!$AF$2:$AF$2501,"Y")&gt;0,"","NO EXEMPTION"))),"")</f>
        <v/>
      </c>
    </row>
    <row r="3876" spans="46:54" x14ac:dyDescent="0.25">
      <c r="AT3876" s="2" t="str">
        <f>IF($L3876="","",IFERROR(INDEX('AR SALES'!$H$2:$H$2501,MATCH(""&amp;$L3876,'AR SALES'!$AE$2:$AE$2501,0)),""))</f>
        <v/>
      </c>
      <c r="AU3876" s="2" t="str">
        <f t="shared" si="240"/>
        <v/>
      </c>
      <c r="AV3876" s="2" t="str">
        <f t="shared" si="241"/>
        <v/>
      </c>
      <c r="AW3876" s="2" t="str">
        <f t="shared" si="242"/>
        <v/>
      </c>
      <c r="AX3876" s="2" t="str">
        <f t="shared" si="243"/>
        <v/>
      </c>
      <c r="AY3876" s="2" t="str">
        <f>IF($AV3876="","",IF(AND($Z3876=0,COUNTIF('AR SALES'!$L$2:$L$2501,$L3876)=0),"YES",""))</f>
        <v/>
      </c>
      <c r="AZ3876" s="2" t="str">
        <f>IF($AV3876="","",IF(COUNTIF(LISTS!$C$2:$C$250,$AU3876)=0,"NEW",""))</f>
        <v/>
      </c>
      <c r="BA3876" s="2" t="str">
        <f>IF(""&amp;$F3876&lt;&gt;"4","",IF($AY3876="YES","",IF(ROUND(SUMIFS($AE$2:$AE$4001,$L$2:$L$4001,$L3876,$F$2:$F$4001,"4")-SUMIFS('AR SALES'!$Y$2:$Y$2501,'AR SALES'!$L$2:$L$2501,$L3876,'AR SALES'!$AD$2:$AD$2501,"OFF"),2)=0,"","STALE")))</f>
        <v/>
      </c>
      <c r="BB3876" s="2" t="str">
        <f>IF(OR(""&amp;$F3876="2",""&amp;$F3876="4",""&amp;$F3876="G",""&amp;$F3876="H"),IF($AY3876="YES","",IF($AB3876&lt;&gt;0,"",IF(COUNTIFS('AR SALES'!$L$2:$L$2501,$L3876,'AR SALES'!$AD$2:$AD$2501,IF(""&amp;$F3876="4","OFF","ON"),'AR SALES'!$AF$2:$AF$2501,"Y")&gt;0,"","NO EXEMPTION"))),"")</f>
        <v/>
      </c>
    </row>
    <row r="3877" spans="46:54" x14ac:dyDescent="0.25">
      <c r="AT3877" s="2" t="str">
        <f>IF($L3877="","",IFERROR(INDEX('AR SALES'!$H$2:$H$2501,MATCH(""&amp;$L3877,'AR SALES'!$AE$2:$AE$2501,0)),""))</f>
        <v/>
      </c>
      <c r="AU3877" s="2" t="str">
        <f t="shared" si="240"/>
        <v/>
      </c>
      <c r="AV3877" s="2" t="str">
        <f t="shared" si="241"/>
        <v/>
      </c>
      <c r="AW3877" s="2" t="str">
        <f t="shared" si="242"/>
        <v/>
      </c>
      <c r="AX3877" s="2" t="str">
        <f t="shared" si="243"/>
        <v/>
      </c>
      <c r="AY3877" s="2" t="str">
        <f>IF($AV3877="","",IF(AND($Z3877=0,COUNTIF('AR SALES'!$L$2:$L$2501,$L3877)=0),"YES",""))</f>
        <v/>
      </c>
      <c r="AZ3877" s="2" t="str">
        <f>IF($AV3877="","",IF(COUNTIF(LISTS!$C$2:$C$250,$AU3877)=0,"NEW",""))</f>
        <v/>
      </c>
      <c r="BA3877" s="2" t="str">
        <f>IF(""&amp;$F3877&lt;&gt;"4","",IF($AY3877="YES","",IF(ROUND(SUMIFS($AE$2:$AE$4001,$L$2:$L$4001,$L3877,$F$2:$F$4001,"4")-SUMIFS('AR SALES'!$Y$2:$Y$2501,'AR SALES'!$L$2:$L$2501,$L3877,'AR SALES'!$AD$2:$AD$2501,"OFF"),2)=0,"","STALE")))</f>
        <v/>
      </c>
      <c r="BB3877" s="2" t="str">
        <f>IF(OR(""&amp;$F3877="2",""&amp;$F3877="4",""&amp;$F3877="G",""&amp;$F3877="H"),IF($AY3877="YES","",IF($AB3877&lt;&gt;0,"",IF(COUNTIFS('AR SALES'!$L$2:$L$2501,$L3877,'AR SALES'!$AD$2:$AD$2501,IF(""&amp;$F3877="4","OFF","ON"),'AR SALES'!$AF$2:$AF$2501,"Y")&gt;0,"","NO EXEMPTION"))),"")</f>
        <v/>
      </c>
    </row>
    <row r="3878" spans="46:54" x14ac:dyDescent="0.25">
      <c r="AT3878" s="2" t="str">
        <f>IF($L3878="","",IFERROR(INDEX('AR SALES'!$H$2:$H$2501,MATCH(""&amp;$L3878,'AR SALES'!$AE$2:$AE$2501,0)),""))</f>
        <v/>
      </c>
      <c r="AU3878" s="2" t="str">
        <f t="shared" si="240"/>
        <v/>
      </c>
      <c r="AV3878" s="2" t="str">
        <f t="shared" si="241"/>
        <v/>
      </c>
      <c r="AW3878" s="2" t="str">
        <f t="shared" si="242"/>
        <v/>
      </c>
      <c r="AX3878" s="2" t="str">
        <f t="shared" si="243"/>
        <v/>
      </c>
      <c r="AY3878" s="2" t="str">
        <f>IF($AV3878="","",IF(AND($Z3878=0,COUNTIF('AR SALES'!$L$2:$L$2501,$L3878)=0),"YES",""))</f>
        <v/>
      </c>
      <c r="AZ3878" s="2" t="str">
        <f>IF($AV3878="","",IF(COUNTIF(LISTS!$C$2:$C$250,$AU3878)=0,"NEW",""))</f>
        <v/>
      </c>
      <c r="BA3878" s="2" t="str">
        <f>IF(""&amp;$F3878&lt;&gt;"4","",IF($AY3878="YES","",IF(ROUND(SUMIFS($AE$2:$AE$4001,$L$2:$L$4001,$L3878,$F$2:$F$4001,"4")-SUMIFS('AR SALES'!$Y$2:$Y$2501,'AR SALES'!$L$2:$L$2501,$L3878,'AR SALES'!$AD$2:$AD$2501,"OFF"),2)=0,"","STALE")))</f>
        <v/>
      </c>
      <c r="BB3878" s="2" t="str">
        <f>IF(OR(""&amp;$F3878="2",""&amp;$F3878="4",""&amp;$F3878="G",""&amp;$F3878="H"),IF($AY3878="YES","",IF($AB3878&lt;&gt;0,"",IF(COUNTIFS('AR SALES'!$L$2:$L$2501,$L3878,'AR SALES'!$AD$2:$AD$2501,IF(""&amp;$F3878="4","OFF","ON"),'AR SALES'!$AF$2:$AF$2501,"Y")&gt;0,"","NO EXEMPTION"))),"")</f>
        <v/>
      </c>
    </row>
    <row r="3879" spans="46:54" x14ac:dyDescent="0.25">
      <c r="AT3879" s="2" t="str">
        <f>IF($L3879="","",IFERROR(INDEX('AR SALES'!$H$2:$H$2501,MATCH(""&amp;$L3879,'AR SALES'!$AE$2:$AE$2501,0)),""))</f>
        <v/>
      </c>
      <c r="AU3879" s="2" t="str">
        <f t="shared" si="240"/>
        <v/>
      </c>
      <c r="AV3879" s="2" t="str">
        <f t="shared" si="241"/>
        <v/>
      </c>
      <c r="AW3879" s="2" t="str">
        <f t="shared" si="242"/>
        <v/>
      </c>
      <c r="AX3879" s="2" t="str">
        <f t="shared" si="243"/>
        <v/>
      </c>
      <c r="AY3879" s="2" t="str">
        <f>IF($AV3879="","",IF(AND($Z3879=0,COUNTIF('AR SALES'!$L$2:$L$2501,$L3879)=0),"YES",""))</f>
        <v/>
      </c>
      <c r="AZ3879" s="2" t="str">
        <f>IF($AV3879="","",IF(COUNTIF(LISTS!$C$2:$C$250,$AU3879)=0,"NEW",""))</f>
        <v/>
      </c>
      <c r="BA3879" s="2" t="str">
        <f>IF(""&amp;$F3879&lt;&gt;"4","",IF($AY3879="YES","",IF(ROUND(SUMIFS($AE$2:$AE$4001,$L$2:$L$4001,$L3879,$F$2:$F$4001,"4")-SUMIFS('AR SALES'!$Y$2:$Y$2501,'AR SALES'!$L$2:$L$2501,$L3879,'AR SALES'!$AD$2:$AD$2501,"OFF"),2)=0,"","STALE")))</f>
        <v/>
      </c>
      <c r="BB3879" s="2" t="str">
        <f>IF(OR(""&amp;$F3879="2",""&amp;$F3879="4",""&amp;$F3879="G",""&amp;$F3879="H"),IF($AY3879="YES","",IF($AB3879&lt;&gt;0,"",IF(COUNTIFS('AR SALES'!$L$2:$L$2501,$L3879,'AR SALES'!$AD$2:$AD$2501,IF(""&amp;$F3879="4","OFF","ON"),'AR SALES'!$AF$2:$AF$2501,"Y")&gt;0,"","NO EXEMPTION"))),"")</f>
        <v/>
      </c>
    </row>
    <row r="3880" spans="46:54" x14ac:dyDescent="0.25">
      <c r="AT3880" s="2" t="str">
        <f>IF($L3880="","",IFERROR(INDEX('AR SALES'!$H$2:$H$2501,MATCH(""&amp;$L3880,'AR SALES'!$AE$2:$AE$2501,0)),""))</f>
        <v/>
      </c>
      <c r="AU3880" s="2" t="str">
        <f t="shared" si="240"/>
        <v/>
      </c>
      <c r="AV3880" s="2" t="str">
        <f t="shared" si="241"/>
        <v/>
      </c>
      <c r="AW3880" s="2" t="str">
        <f t="shared" si="242"/>
        <v/>
      </c>
      <c r="AX3880" s="2" t="str">
        <f t="shared" si="243"/>
        <v/>
      </c>
      <c r="AY3880" s="2" t="str">
        <f>IF($AV3880="","",IF(AND($Z3880=0,COUNTIF('AR SALES'!$L$2:$L$2501,$L3880)=0),"YES",""))</f>
        <v/>
      </c>
      <c r="AZ3880" s="2" t="str">
        <f>IF($AV3880="","",IF(COUNTIF(LISTS!$C$2:$C$250,$AU3880)=0,"NEW",""))</f>
        <v/>
      </c>
      <c r="BA3880" s="2" t="str">
        <f>IF(""&amp;$F3880&lt;&gt;"4","",IF($AY3880="YES","",IF(ROUND(SUMIFS($AE$2:$AE$4001,$L$2:$L$4001,$L3880,$F$2:$F$4001,"4")-SUMIFS('AR SALES'!$Y$2:$Y$2501,'AR SALES'!$L$2:$L$2501,$L3880,'AR SALES'!$AD$2:$AD$2501,"OFF"),2)=0,"","STALE")))</f>
        <v/>
      </c>
      <c r="BB3880" s="2" t="str">
        <f>IF(OR(""&amp;$F3880="2",""&amp;$F3880="4",""&amp;$F3880="G",""&amp;$F3880="H"),IF($AY3880="YES","",IF($AB3880&lt;&gt;0,"",IF(COUNTIFS('AR SALES'!$L$2:$L$2501,$L3880,'AR SALES'!$AD$2:$AD$2501,IF(""&amp;$F3880="4","OFF","ON"),'AR SALES'!$AF$2:$AF$2501,"Y")&gt;0,"","NO EXEMPTION"))),"")</f>
        <v/>
      </c>
    </row>
    <row r="3881" spans="46:54" x14ac:dyDescent="0.25">
      <c r="AT3881" s="2" t="str">
        <f>IF($L3881="","",IFERROR(INDEX('AR SALES'!$H$2:$H$2501,MATCH(""&amp;$L3881,'AR SALES'!$AE$2:$AE$2501,0)),""))</f>
        <v/>
      </c>
      <c r="AU3881" s="2" t="str">
        <f t="shared" si="240"/>
        <v/>
      </c>
      <c r="AV3881" s="2" t="str">
        <f t="shared" si="241"/>
        <v/>
      </c>
      <c r="AW3881" s="2" t="str">
        <f t="shared" si="242"/>
        <v/>
      </c>
      <c r="AX3881" s="2" t="str">
        <f t="shared" si="243"/>
        <v/>
      </c>
      <c r="AY3881" s="2" t="str">
        <f>IF($AV3881="","",IF(AND($Z3881=0,COUNTIF('AR SALES'!$L$2:$L$2501,$L3881)=0),"YES",""))</f>
        <v/>
      </c>
      <c r="AZ3881" s="2" t="str">
        <f>IF($AV3881="","",IF(COUNTIF(LISTS!$C$2:$C$250,$AU3881)=0,"NEW",""))</f>
        <v/>
      </c>
      <c r="BA3881" s="2" t="str">
        <f>IF(""&amp;$F3881&lt;&gt;"4","",IF($AY3881="YES","",IF(ROUND(SUMIFS($AE$2:$AE$4001,$L$2:$L$4001,$L3881,$F$2:$F$4001,"4")-SUMIFS('AR SALES'!$Y$2:$Y$2501,'AR SALES'!$L$2:$L$2501,$L3881,'AR SALES'!$AD$2:$AD$2501,"OFF"),2)=0,"","STALE")))</f>
        <v/>
      </c>
      <c r="BB3881" s="2" t="str">
        <f>IF(OR(""&amp;$F3881="2",""&amp;$F3881="4",""&amp;$F3881="G",""&amp;$F3881="H"),IF($AY3881="YES","",IF($AB3881&lt;&gt;0,"",IF(COUNTIFS('AR SALES'!$L$2:$L$2501,$L3881,'AR SALES'!$AD$2:$AD$2501,IF(""&amp;$F3881="4","OFF","ON"),'AR SALES'!$AF$2:$AF$2501,"Y")&gt;0,"","NO EXEMPTION"))),"")</f>
        <v/>
      </c>
    </row>
    <row r="3882" spans="46:54" x14ac:dyDescent="0.25">
      <c r="AT3882" s="2" t="str">
        <f>IF($L3882="","",IFERROR(INDEX('AR SALES'!$H$2:$H$2501,MATCH(""&amp;$L3882,'AR SALES'!$AE$2:$AE$2501,0)),""))</f>
        <v/>
      </c>
      <c r="AU3882" s="2" t="str">
        <f t="shared" si="240"/>
        <v/>
      </c>
      <c r="AV3882" s="2" t="str">
        <f t="shared" si="241"/>
        <v/>
      </c>
      <c r="AW3882" s="2" t="str">
        <f t="shared" si="242"/>
        <v/>
      </c>
      <c r="AX3882" s="2" t="str">
        <f t="shared" si="243"/>
        <v/>
      </c>
      <c r="AY3882" s="2" t="str">
        <f>IF($AV3882="","",IF(AND($Z3882=0,COUNTIF('AR SALES'!$L$2:$L$2501,$L3882)=0),"YES",""))</f>
        <v/>
      </c>
      <c r="AZ3882" s="2" t="str">
        <f>IF($AV3882="","",IF(COUNTIF(LISTS!$C$2:$C$250,$AU3882)=0,"NEW",""))</f>
        <v/>
      </c>
      <c r="BA3882" s="2" t="str">
        <f>IF(""&amp;$F3882&lt;&gt;"4","",IF($AY3882="YES","",IF(ROUND(SUMIFS($AE$2:$AE$4001,$L$2:$L$4001,$L3882,$F$2:$F$4001,"4")-SUMIFS('AR SALES'!$Y$2:$Y$2501,'AR SALES'!$L$2:$L$2501,$L3882,'AR SALES'!$AD$2:$AD$2501,"OFF"),2)=0,"","STALE")))</f>
        <v/>
      </c>
      <c r="BB3882" s="2" t="str">
        <f>IF(OR(""&amp;$F3882="2",""&amp;$F3882="4",""&amp;$F3882="G",""&amp;$F3882="H"),IF($AY3882="YES","",IF($AB3882&lt;&gt;0,"",IF(COUNTIFS('AR SALES'!$L$2:$L$2501,$L3882,'AR SALES'!$AD$2:$AD$2501,IF(""&amp;$F3882="4","OFF","ON"),'AR SALES'!$AF$2:$AF$2501,"Y")&gt;0,"","NO EXEMPTION"))),"")</f>
        <v/>
      </c>
    </row>
    <row r="3883" spans="46:54" x14ac:dyDescent="0.25">
      <c r="AT3883" s="2" t="str">
        <f>IF($L3883="","",IFERROR(INDEX('AR SALES'!$H$2:$H$2501,MATCH(""&amp;$L3883,'AR SALES'!$AE$2:$AE$2501,0)),""))</f>
        <v/>
      </c>
      <c r="AU3883" s="2" t="str">
        <f t="shared" si="240"/>
        <v/>
      </c>
      <c r="AV3883" s="2" t="str">
        <f t="shared" si="241"/>
        <v/>
      </c>
      <c r="AW3883" s="2" t="str">
        <f t="shared" si="242"/>
        <v/>
      </c>
      <c r="AX3883" s="2" t="str">
        <f t="shared" si="243"/>
        <v/>
      </c>
      <c r="AY3883" s="2" t="str">
        <f>IF($AV3883="","",IF(AND($Z3883=0,COUNTIF('AR SALES'!$L$2:$L$2501,$L3883)=0),"YES",""))</f>
        <v/>
      </c>
      <c r="AZ3883" s="2" t="str">
        <f>IF($AV3883="","",IF(COUNTIF(LISTS!$C$2:$C$250,$AU3883)=0,"NEW",""))</f>
        <v/>
      </c>
      <c r="BA3883" s="2" t="str">
        <f>IF(""&amp;$F3883&lt;&gt;"4","",IF($AY3883="YES","",IF(ROUND(SUMIFS($AE$2:$AE$4001,$L$2:$L$4001,$L3883,$F$2:$F$4001,"4")-SUMIFS('AR SALES'!$Y$2:$Y$2501,'AR SALES'!$L$2:$L$2501,$L3883,'AR SALES'!$AD$2:$AD$2501,"OFF"),2)=0,"","STALE")))</f>
        <v/>
      </c>
      <c r="BB3883" s="2" t="str">
        <f>IF(OR(""&amp;$F3883="2",""&amp;$F3883="4",""&amp;$F3883="G",""&amp;$F3883="H"),IF($AY3883="YES","",IF($AB3883&lt;&gt;0,"",IF(COUNTIFS('AR SALES'!$L$2:$L$2501,$L3883,'AR SALES'!$AD$2:$AD$2501,IF(""&amp;$F3883="4","OFF","ON"),'AR SALES'!$AF$2:$AF$2501,"Y")&gt;0,"","NO EXEMPTION"))),"")</f>
        <v/>
      </c>
    </row>
    <row r="3884" spans="46:54" x14ac:dyDescent="0.25">
      <c r="AT3884" s="2" t="str">
        <f>IF($L3884="","",IFERROR(INDEX('AR SALES'!$H$2:$H$2501,MATCH(""&amp;$L3884,'AR SALES'!$AE$2:$AE$2501,0)),""))</f>
        <v/>
      </c>
      <c r="AU3884" s="2" t="str">
        <f t="shared" si="240"/>
        <v/>
      </c>
      <c r="AV3884" s="2" t="str">
        <f t="shared" si="241"/>
        <v/>
      </c>
      <c r="AW3884" s="2" t="str">
        <f t="shared" si="242"/>
        <v/>
      </c>
      <c r="AX3884" s="2" t="str">
        <f t="shared" si="243"/>
        <v/>
      </c>
      <c r="AY3884" s="2" t="str">
        <f>IF($AV3884="","",IF(AND($Z3884=0,COUNTIF('AR SALES'!$L$2:$L$2501,$L3884)=0),"YES",""))</f>
        <v/>
      </c>
      <c r="AZ3884" s="2" t="str">
        <f>IF($AV3884="","",IF(COUNTIF(LISTS!$C$2:$C$250,$AU3884)=0,"NEW",""))</f>
        <v/>
      </c>
      <c r="BA3884" s="2" t="str">
        <f>IF(""&amp;$F3884&lt;&gt;"4","",IF($AY3884="YES","",IF(ROUND(SUMIFS($AE$2:$AE$4001,$L$2:$L$4001,$L3884,$F$2:$F$4001,"4")-SUMIFS('AR SALES'!$Y$2:$Y$2501,'AR SALES'!$L$2:$L$2501,$L3884,'AR SALES'!$AD$2:$AD$2501,"OFF"),2)=0,"","STALE")))</f>
        <v/>
      </c>
      <c r="BB3884" s="2" t="str">
        <f>IF(OR(""&amp;$F3884="2",""&amp;$F3884="4",""&amp;$F3884="G",""&amp;$F3884="H"),IF($AY3884="YES","",IF($AB3884&lt;&gt;0,"",IF(COUNTIFS('AR SALES'!$L$2:$L$2501,$L3884,'AR SALES'!$AD$2:$AD$2501,IF(""&amp;$F3884="4","OFF","ON"),'AR SALES'!$AF$2:$AF$2501,"Y")&gt;0,"","NO EXEMPTION"))),"")</f>
        <v/>
      </c>
    </row>
    <row r="3885" spans="46:54" x14ac:dyDescent="0.25">
      <c r="AT3885" s="2" t="str">
        <f>IF($L3885="","",IFERROR(INDEX('AR SALES'!$H$2:$H$2501,MATCH(""&amp;$L3885,'AR SALES'!$AE$2:$AE$2501,0)),""))</f>
        <v/>
      </c>
      <c r="AU3885" s="2" t="str">
        <f t="shared" si="240"/>
        <v/>
      </c>
      <c r="AV3885" s="2" t="str">
        <f t="shared" si="241"/>
        <v/>
      </c>
      <c r="AW3885" s="2" t="str">
        <f t="shared" si="242"/>
        <v/>
      </c>
      <c r="AX3885" s="2" t="str">
        <f t="shared" si="243"/>
        <v/>
      </c>
      <c r="AY3885" s="2" t="str">
        <f>IF($AV3885="","",IF(AND($Z3885=0,COUNTIF('AR SALES'!$L$2:$L$2501,$L3885)=0),"YES",""))</f>
        <v/>
      </c>
      <c r="AZ3885" s="2" t="str">
        <f>IF($AV3885="","",IF(COUNTIF(LISTS!$C$2:$C$250,$AU3885)=0,"NEW",""))</f>
        <v/>
      </c>
      <c r="BA3885" s="2" t="str">
        <f>IF(""&amp;$F3885&lt;&gt;"4","",IF($AY3885="YES","",IF(ROUND(SUMIFS($AE$2:$AE$4001,$L$2:$L$4001,$L3885,$F$2:$F$4001,"4")-SUMIFS('AR SALES'!$Y$2:$Y$2501,'AR SALES'!$L$2:$L$2501,$L3885,'AR SALES'!$AD$2:$AD$2501,"OFF"),2)=0,"","STALE")))</f>
        <v/>
      </c>
      <c r="BB3885" s="2" t="str">
        <f>IF(OR(""&amp;$F3885="2",""&amp;$F3885="4",""&amp;$F3885="G",""&amp;$F3885="H"),IF($AY3885="YES","",IF($AB3885&lt;&gt;0,"",IF(COUNTIFS('AR SALES'!$L$2:$L$2501,$L3885,'AR SALES'!$AD$2:$AD$2501,IF(""&amp;$F3885="4","OFF","ON"),'AR SALES'!$AF$2:$AF$2501,"Y")&gt;0,"","NO EXEMPTION"))),"")</f>
        <v/>
      </c>
    </row>
    <row r="3886" spans="46:54" x14ac:dyDescent="0.25">
      <c r="AT3886" s="2" t="str">
        <f>IF($L3886="","",IFERROR(INDEX('AR SALES'!$H$2:$H$2501,MATCH(""&amp;$L3886,'AR SALES'!$AE$2:$AE$2501,0)),""))</f>
        <v/>
      </c>
      <c r="AU3886" s="2" t="str">
        <f t="shared" si="240"/>
        <v/>
      </c>
      <c r="AV3886" s="2" t="str">
        <f t="shared" si="241"/>
        <v/>
      </c>
      <c r="AW3886" s="2" t="str">
        <f t="shared" si="242"/>
        <v/>
      </c>
      <c r="AX3886" s="2" t="str">
        <f t="shared" si="243"/>
        <v/>
      </c>
      <c r="AY3886" s="2" t="str">
        <f>IF($AV3886="","",IF(AND($Z3886=0,COUNTIF('AR SALES'!$L$2:$L$2501,$L3886)=0),"YES",""))</f>
        <v/>
      </c>
      <c r="AZ3886" s="2" t="str">
        <f>IF($AV3886="","",IF(COUNTIF(LISTS!$C$2:$C$250,$AU3886)=0,"NEW",""))</f>
        <v/>
      </c>
      <c r="BA3886" s="2" t="str">
        <f>IF(""&amp;$F3886&lt;&gt;"4","",IF($AY3886="YES","",IF(ROUND(SUMIFS($AE$2:$AE$4001,$L$2:$L$4001,$L3886,$F$2:$F$4001,"4")-SUMIFS('AR SALES'!$Y$2:$Y$2501,'AR SALES'!$L$2:$L$2501,$L3886,'AR SALES'!$AD$2:$AD$2501,"OFF"),2)=0,"","STALE")))</f>
        <v/>
      </c>
      <c r="BB3886" s="2" t="str">
        <f>IF(OR(""&amp;$F3886="2",""&amp;$F3886="4",""&amp;$F3886="G",""&amp;$F3886="H"),IF($AY3886="YES","",IF($AB3886&lt;&gt;0,"",IF(COUNTIFS('AR SALES'!$L$2:$L$2501,$L3886,'AR SALES'!$AD$2:$AD$2501,IF(""&amp;$F3886="4","OFF","ON"),'AR SALES'!$AF$2:$AF$2501,"Y")&gt;0,"","NO EXEMPTION"))),"")</f>
        <v/>
      </c>
    </row>
    <row r="3887" spans="46:54" x14ac:dyDescent="0.25">
      <c r="AT3887" s="2" t="str">
        <f>IF($L3887="","",IFERROR(INDEX('AR SALES'!$H$2:$H$2501,MATCH(""&amp;$L3887,'AR SALES'!$AE$2:$AE$2501,0)),""))</f>
        <v/>
      </c>
      <c r="AU3887" s="2" t="str">
        <f t="shared" si="240"/>
        <v/>
      </c>
      <c r="AV3887" s="2" t="str">
        <f t="shared" si="241"/>
        <v/>
      </c>
      <c r="AW3887" s="2" t="str">
        <f t="shared" si="242"/>
        <v/>
      </c>
      <c r="AX3887" s="2" t="str">
        <f t="shared" si="243"/>
        <v/>
      </c>
      <c r="AY3887" s="2" t="str">
        <f>IF($AV3887="","",IF(AND($Z3887=0,COUNTIF('AR SALES'!$L$2:$L$2501,$L3887)=0),"YES",""))</f>
        <v/>
      </c>
      <c r="AZ3887" s="2" t="str">
        <f>IF($AV3887="","",IF(COUNTIF(LISTS!$C$2:$C$250,$AU3887)=0,"NEW",""))</f>
        <v/>
      </c>
      <c r="BA3887" s="2" t="str">
        <f>IF(""&amp;$F3887&lt;&gt;"4","",IF($AY3887="YES","",IF(ROUND(SUMIFS($AE$2:$AE$4001,$L$2:$L$4001,$L3887,$F$2:$F$4001,"4")-SUMIFS('AR SALES'!$Y$2:$Y$2501,'AR SALES'!$L$2:$L$2501,$L3887,'AR SALES'!$AD$2:$AD$2501,"OFF"),2)=0,"","STALE")))</f>
        <v/>
      </c>
      <c r="BB3887" s="2" t="str">
        <f>IF(OR(""&amp;$F3887="2",""&amp;$F3887="4",""&amp;$F3887="G",""&amp;$F3887="H"),IF($AY3887="YES","",IF($AB3887&lt;&gt;0,"",IF(COUNTIFS('AR SALES'!$L$2:$L$2501,$L3887,'AR SALES'!$AD$2:$AD$2501,IF(""&amp;$F3887="4","OFF","ON"),'AR SALES'!$AF$2:$AF$2501,"Y")&gt;0,"","NO EXEMPTION"))),"")</f>
        <v/>
      </c>
    </row>
    <row r="3888" spans="46:54" x14ac:dyDescent="0.25">
      <c r="AT3888" s="2" t="str">
        <f>IF($L3888="","",IFERROR(INDEX('AR SALES'!$H$2:$H$2501,MATCH(""&amp;$L3888,'AR SALES'!$AE$2:$AE$2501,0)),""))</f>
        <v/>
      </c>
      <c r="AU3888" s="2" t="str">
        <f t="shared" si="240"/>
        <v/>
      </c>
      <c r="AV3888" s="2" t="str">
        <f t="shared" si="241"/>
        <v/>
      </c>
      <c r="AW3888" s="2" t="str">
        <f t="shared" si="242"/>
        <v/>
      </c>
      <c r="AX3888" s="2" t="str">
        <f t="shared" si="243"/>
        <v/>
      </c>
      <c r="AY3888" s="2" t="str">
        <f>IF($AV3888="","",IF(AND($Z3888=0,COUNTIF('AR SALES'!$L$2:$L$2501,$L3888)=0),"YES",""))</f>
        <v/>
      </c>
      <c r="AZ3888" s="2" t="str">
        <f>IF($AV3888="","",IF(COUNTIF(LISTS!$C$2:$C$250,$AU3888)=0,"NEW",""))</f>
        <v/>
      </c>
      <c r="BA3888" s="2" t="str">
        <f>IF(""&amp;$F3888&lt;&gt;"4","",IF($AY3888="YES","",IF(ROUND(SUMIFS($AE$2:$AE$4001,$L$2:$L$4001,$L3888,$F$2:$F$4001,"4")-SUMIFS('AR SALES'!$Y$2:$Y$2501,'AR SALES'!$L$2:$L$2501,$L3888,'AR SALES'!$AD$2:$AD$2501,"OFF"),2)=0,"","STALE")))</f>
        <v/>
      </c>
      <c r="BB3888" s="2" t="str">
        <f>IF(OR(""&amp;$F3888="2",""&amp;$F3888="4",""&amp;$F3888="G",""&amp;$F3888="H"),IF($AY3888="YES","",IF($AB3888&lt;&gt;0,"",IF(COUNTIFS('AR SALES'!$L$2:$L$2501,$L3888,'AR SALES'!$AD$2:$AD$2501,IF(""&amp;$F3888="4","OFF","ON"),'AR SALES'!$AF$2:$AF$2501,"Y")&gt;0,"","NO EXEMPTION"))),"")</f>
        <v/>
      </c>
    </row>
    <row r="3889" spans="46:54" x14ac:dyDescent="0.25">
      <c r="AT3889" s="2" t="str">
        <f>IF($L3889="","",IFERROR(INDEX('AR SALES'!$H$2:$H$2501,MATCH(""&amp;$L3889,'AR SALES'!$AE$2:$AE$2501,0)),""))</f>
        <v/>
      </c>
      <c r="AU3889" s="2" t="str">
        <f t="shared" si="240"/>
        <v/>
      </c>
      <c r="AV3889" s="2" t="str">
        <f t="shared" si="241"/>
        <v/>
      </c>
      <c r="AW3889" s="2" t="str">
        <f t="shared" si="242"/>
        <v/>
      </c>
      <c r="AX3889" s="2" t="str">
        <f t="shared" si="243"/>
        <v/>
      </c>
      <c r="AY3889" s="2" t="str">
        <f>IF($AV3889="","",IF(AND($Z3889=0,COUNTIF('AR SALES'!$L$2:$L$2501,$L3889)=0),"YES",""))</f>
        <v/>
      </c>
      <c r="AZ3889" s="2" t="str">
        <f>IF($AV3889="","",IF(COUNTIF(LISTS!$C$2:$C$250,$AU3889)=0,"NEW",""))</f>
        <v/>
      </c>
      <c r="BA3889" s="2" t="str">
        <f>IF(""&amp;$F3889&lt;&gt;"4","",IF($AY3889="YES","",IF(ROUND(SUMIFS($AE$2:$AE$4001,$L$2:$L$4001,$L3889,$F$2:$F$4001,"4")-SUMIFS('AR SALES'!$Y$2:$Y$2501,'AR SALES'!$L$2:$L$2501,$L3889,'AR SALES'!$AD$2:$AD$2501,"OFF"),2)=0,"","STALE")))</f>
        <v/>
      </c>
      <c r="BB3889" s="2" t="str">
        <f>IF(OR(""&amp;$F3889="2",""&amp;$F3889="4",""&amp;$F3889="G",""&amp;$F3889="H"),IF($AY3889="YES","",IF($AB3889&lt;&gt;0,"",IF(COUNTIFS('AR SALES'!$L$2:$L$2501,$L3889,'AR SALES'!$AD$2:$AD$2501,IF(""&amp;$F3889="4","OFF","ON"),'AR SALES'!$AF$2:$AF$2501,"Y")&gt;0,"","NO EXEMPTION"))),"")</f>
        <v/>
      </c>
    </row>
    <row r="3890" spans="46:54" x14ac:dyDescent="0.25">
      <c r="AT3890" s="2" t="str">
        <f>IF($L3890="","",IFERROR(INDEX('AR SALES'!$H$2:$H$2501,MATCH(""&amp;$L3890,'AR SALES'!$AE$2:$AE$2501,0)),""))</f>
        <v/>
      </c>
      <c r="AU3890" s="2" t="str">
        <f t="shared" si="240"/>
        <v/>
      </c>
      <c r="AV3890" s="2" t="str">
        <f t="shared" si="241"/>
        <v/>
      </c>
      <c r="AW3890" s="2" t="str">
        <f t="shared" si="242"/>
        <v/>
      </c>
      <c r="AX3890" s="2" t="str">
        <f t="shared" si="243"/>
        <v/>
      </c>
      <c r="AY3890" s="2" t="str">
        <f>IF($AV3890="","",IF(AND($Z3890=0,COUNTIF('AR SALES'!$L$2:$L$2501,$L3890)=0),"YES",""))</f>
        <v/>
      </c>
      <c r="AZ3890" s="2" t="str">
        <f>IF($AV3890="","",IF(COUNTIF(LISTS!$C$2:$C$250,$AU3890)=0,"NEW",""))</f>
        <v/>
      </c>
      <c r="BA3890" s="2" t="str">
        <f>IF(""&amp;$F3890&lt;&gt;"4","",IF($AY3890="YES","",IF(ROUND(SUMIFS($AE$2:$AE$4001,$L$2:$L$4001,$L3890,$F$2:$F$4001,"4")-SUMIFS('AR SALES'!$Y$2:$Y$2501,'AR SALES'!$L$2:$L$2501,$L3890,'AR SALES'!$AD$2:$AD$2501,"OFF"),2)=0,"","STALE")))</f>
        <v/>
      </c>
      <c r="BB3890" s="2" t="str">
        <f>IF(OR(""&amp;$F3890="2",""&amp;$F3890="4",""&amp;$F3890="G",""&amp;$F3890="H"),IF($AY3890="YES","",IF($AB3890&lt;&gt;0,"",IF(COUNTIFS('AR SALES'!$L$2:$L$2501,$L3890,'AR SALES'!$AD$2:$AD$2501,IF(""&amp;$F3890="4","OFF","ON"),'AR SALES'!$AF$2:$AF$2501,"Y")&gt;0,"","NO EXEMPTION"))),"")</f>
        <v/>
      </c>
    </row>
    <row r="3891" spans="46:54" x14ac:dyDescent="0.25">
      <c r="AT3891" s="2" t="str">
        <f>IF($L3891="","",IFERROR(INDEX('AR SALES'!$H$2:$H$2501,MATCH(""&amp;$L3891,'AR SALES'!$AE$2:$AE$2501,0)),""))</f>
        <v/>
      </c>
      <c r="AU3891" s="2" t="str">
        <f t="shared" si="240"/>
        <v/>
      </c>
      <c r="AV3891" s="2" t="str">
        <f t="shared" si="241"/>
        <v/>
      </c>
      <c r="AW3891" s="2" t="str">
        <f t="shared" si="242"/>
        <v/>
      </c>
      <c r="AX3891" s="2" t="str">
        <f t="shared" si="243"/>
        <v/>
      </c>
      <c r="AY3891" s="2" t="str">
        <f>IF($AV3891="","",IF(AND($Z3891=0,COUNTIF('AR SALES'!$L$2:$L$2501,$L3891)=0),"YES",""))</f>
        <v/>
      </c>
      <c r="AZ3891" s="2" t="str">
        <f>IF($AV3891="","",IF(COUNTIF(LISTS!$C$2:$C$250,$AU3891)=0,"NEW",""))</f>
        <v/>
      </c>
      <c r="BA3891" s="2" t="str">
        <f>IF(""&amp;$F3891&lt;&gt;"4","",IF($AY3891="YES","",IF(ROUND(SUMIFS($AE$2:$AE$4001,$L$2:$L$4001,$L3891,$F$2:$F$4001,"4")-SUMIFS('AR SALES'!$Y$2:$Y$2501,'AR SALES'!$L$2:$L$2501,$L3891,'AR SALES'!$AD$2:$AD$2501,"OFF"),2)=0,"","STALE")))</f>
        <v/>
      </c>
      <c r="BB3891" s="2" t="str">
        <f>IF(OR(""&amp;$F3891="2",""&amp;$F3891="4",""&amp;$F3891="G",""&amp;$F3891="H"),IF($AY3891="YES","",IF($AB3891&lt;&gt;0,"",IF(COUNTIFS('AR SALES'!$L$2:$L$2501,$L3891,'AR SALES'!$AD$2:$AD$2501,IF(""&amp;$F3891="4","OFF","ON"),'AR SALES'!$AF$2:$AF$2501,"Y")&gt;0,"","NO EXEMPTION"))),"")</f>
        <v/>
      </c>
    </row>
    <row r="3892" spans="46:54" x14ac:dyDescent="0.25">
      <c r="AT3892" s="2" t="str">
        <f>IF($L3892="","",IFERROR(INDEX('AR SALES'!$H$2:$H$2501,MATCH(""&amp;$L3892,'AR SALES'!$AE$2:$AE$2501,0)),""))</f>
        <v/>
      </c>
      <c r="AU3892" s="2" t="str">
        <f t="shared" si="240"/>
        <v/>
      </c>
      <c r="AV3892" s="2" t="str">
        <f t="shared" si="241"/>
        <v/>
      </c>
      <c r="AW3892" s="2" t="str">
        <f t="shared" si="242"/>
        <v/>
      </c>
      <c r="AX3892" s="2" t="str">
        <f t="shared" si="243"/>
        <v/>
      </c>
      <c r="AY3892" s="2" t="str">
        <f>IF($AV3892="","",IF(AND($Z3892=0,COUNTIF('AR SALES'!$L$2:$L$2501,$L3892)=0),"YES",""))</f>
        <v/>
      </c>
      <c r="AZ3892" s="2" t="str">
        <f>IF($AV3892="","",IF(COUNTIF(LISTS!$C$2:$C$250,$AU3892)=0,"NEW",""))</f>
        <v/>
      </c>
      <c r="BA3892" s="2" t="str">
        <f>IF(""&amp;$F3892&lt;&gt;"4","",IF($AY3892="YES","",IF(ROUND(SUMIFS($AE$2:$AE$4001,$L$2:$L$4001,$L3892,$F$2:$F$4001,"4")-SUMIFS('AR SALES'!$Y$2:$Y$2501,'AR SALES'!$L$2:$L$2501,$L3892,'AR SALES'!$AD$2:$AD$2501,"OFF"),2)=0,"","STALE")))</f>
        <v/>
      </c>
      <c r="BB3892" s="2" t="str">
        <f>IF(OR(""&amp;$F3892="2",""&amp;$F3892="4",""&amp;$F3892="G",""&amp;$F3892="H"),IF($AY3892="YES","",IF($AB3892&lt;&gt;0,"",IF(COUNTIFS('AR SALES'!$L$2:$L$2501,$L3892,'AR SALES'!$AD$2:$AD$2501,IF(""&amp;$F3892="4","OFF","ON"),'AR SALES'!$AF$2:$AF$2501,"Y")&gt;0,"","NO EXEMPTION"))),"")</f>
        <v/>
      </c>
    </row>
    <row r="3893" spans="46:54" x14ac:dyDescent="0.25">
      <c r="AT3893" s="2" t="str">
        <f>IF($L3893="","",IFERROR(INDEX('AR SALES'!$H$2:$H$2501,MATCH(""&amp;$L3893,'AR SALES'!$AE$2:$AE$2501,0)),""))</f>
        <v/>
      </c>
      <c r="AU3893" s="2" t="str">
        <f t="shared" si="240"/>
        <v/>
      </c>
      <c r="AV3893" s="2" t="str">
        <f t="shared" si="241"/>
        <v/>
      </c>
      <c r="AW3893" s="2" t="str">
        <f t="shared" si="242"/>
        <v/>
      </c>
      <c r="AX3893" s="2" t="str">
        <f t="shared" si="243"/>
        <v/>
      </c>
      <c r="AY3893" s="2" t="str">
        <f>IF($AV3893="","",IF(AND($Z3893=0,COUNTIF('AR SALES'!$L$2:$L$2501,$L3893)=0),"YES",""))</f>
        <v/>
      </c>
      <c r="AZ3893" s="2" t="str">
        <f>IF($AV3893="","",IF(COUNTIF(LISTS!$C$2:$C$250,$AU3893)=0,"NEW",""))</f>
        <v/>
      </c>
      <c r="BA3893" s="2" t="str">
        <f>IF(""&amp;$F3893&lt;&gt;"4","",IF($AY3893="YES","",IF(ROUND(SUMIFS($AE$2:$AE$4001,$L$2:$L$4001,$L3893,$F$2:$F$4001,"4")-SUMIFS('AR SALES'!$Y$2:$Y$2501,'AR SALES'!$L$2:$L$2501,$L3893,'AR SALES'!$AD$2:$AD$2501,"OFF"),2)=0,"","STALE")))</f>
        <v/>
      </c>
      <c r="BB3893" s="2" t="str">
        <f>IF(OR(""&amp;$F3893="2",""&amp;$F3893="4",""&amp;$F3893="G",""&amp;$F3893="H"),IF($AY3893="YES","",IF($AB3893&lt;&gt;0,"",IF(COUNTIFS('AR SALES'!$L$2:$L$2501,$L3893,'AR SALES'!$AD$2:$AD$2501,IF(""&amp;$F3893="4","OFF","ON"),'AR SALES'!$AF$2:$AF$2501,"Y")&gt;0,"","NO EXEMPTION"))),"")</f>
        <v/>
      </c>
    </row>
    <row r="3894" spans="46:54" x14ac:dyDescent="0.25">
      <c r="AT3894" s="2" t="str">
        <f>IF($L3894="","",IFERROR(INDEX('AR SALES'!$H$2:$H$2501,MATCH(""&amp;$L3894,'AR SALES'!$AE$2:$AE$2501,0)),""))</f>
        <v/>
      </c>
      <c r="AU3894" s="2" t="str">
        <f t="shared" si="240"/>
        <v/>
      </c>
      <c r="AV3894" s="2" t="str">
        <f t="shared" si="241"/>
        <v/>
      </c>
      <c r="AW3894" s="2" t="str">
        <f t="shared" si="242"/>
        <v/>
      </c>
      <c r="AX3894" s="2" t="str">
        <f t="shared" si="243"/>
        <v/>
      </c>
      <c r="AY3894" s="2" t="str">
        <f>IF($AV3894="","",IF(AND($Z3894=0,COUNTIF('AR SALES'!$L$2:$L$2501,$L3894)=0),"YES",""))</f>
        <v/>
      </c>
      <c r="AZ3894" s="2" t="str">
        <f>IF($AV3894="","",IF(COUNTIF(LISTS!$C$2:$C$250,$AU3894)=0,"NEW",""))</f>
        <v/>
      </c>
      <c r="BA3894" s="2" t="str">
        <f>IF(""&amp;$F3894&lt;&gt;"4","",IF($AY3894="YES","",IF(ROUND(SUMIFS($AE$2:$AE$4001,$L$2:$L$4001,$L3894,$F$2:$F$4001,"4")-SUMIFS('AR SALES'!$Y$2:$Y$2501,'AR SALES'!$L$2:$L$2501,$L3894,'AR SALES'!$AD$2:$AD$2501,"OFF"),2)=0,"","STALE")))</f>
        <v/>
      </c>
      <c r="BB3894" s="2" t="str">
        <f>IF(OR(""&amp;$F3894="2",""&amp;$F3894="4",""&amp;$F3894="G",""&amp;$F3894="H"),IF($AY3894="YES","",IF($AB3894&lt;&gt;0,"",IF(COUNTIFS('AR SALES'!$L$2:$L$2501,$L3894,'AR SALES'!$AD$2:$AD$2501,IF(""&amp;$F3894="4","OFF","ON"),'AR SALES'!$AF$2:$AF$2501,"Y")&gt;0,"","NO EXEMPTION"))),"")</f>
        <v/>
      </c>
    </row>
    <row r="3895" spans="46:54" x14ac:dyDescent="0.25">
      <c r="AT3895" s="2" t="str">
        <f>IF($L3895="","",IFERROR(INDEX('AR SALES'!$H$2:$H$2501,MATCH(""&amp;$L3895,'AR SALES'!$AE$2:$AE$2501,0)),""))</f>
        <v/>
      </c>
      <c r="AU3895" s="2" t="str">
        <f t="shared" si="240"/>
        <v/>
      </c>
      <c r="AV3895" s="2" t="str">
        <f t="shared" si="241"/>
        <v/>
      </c>
      <c r="AW3895" s="2" t="str">
        <f t="shared" si="242"/>
        <v/>
      </c>
      <c r="AX3895" s="2" t="str">
        <f t="shared" si="243"/>
        <v/>
      </c>
      <c r="AY3895" s="2" t="str">
        <f>IF($AV3895="","",IF(AND($Z3895=0,COUNTIF('AR SALES'!$L$2:$L$2501,$L3895)=0),"YES",""))</f>
        <v/>
      </c>
      <c r="AZ3895" s="2" t="str">
        <f>IF($AV3895="","",IF(COUNTIF(LISTS!$C$2:$C$250,$AU3895)=0,"NEW",""))</f>
        <v/>
      </c>
      <c r="BA3895" s="2" t="str">
        <f>IF(""&amp;$F3895&lt;&gt;"4","",IF($AY3895="YES","",IF(ROUND(SUMIFS($AE$2:$AE$4001,$L$2:$L$4001,$L3895,$F$2:$F$4001,"4")-SUMIFS('AR SALES'!$Y$2:$Y$2501,'AR SALES'!$L$2:$L$2501,$L3895,'AR SALES'!$AD$2:$AD$2501,"OFF"),2)=0,"","STALE")))</f>
        <v/>
      </c>
      <c r="BB3895" s="2" t="str">
        <f>IF(OR(""&amp;$F3895="2",""&amp;$F3895="4",""&amp;$F3895="G",""&amp;$F3895="H"),IF($AY3895="YES","",IF($AB3895&lt;&gt;0,"",IF(COUNTIFS('AR SALES'!$L$2:$L$2501,$L3895,'AR SALES'!$AD$2:$AD$2501,IF(""&amp;$F3895="4","OFF","ON"),'AR SALES'!$AF$2:$AF$2501,"Y")&gt;0,"","NO EXEMPTION"))),"")</f>
        <v/>
      </c>
    </row>
    <row r="3896" spans="46:54" x14ac:dyDescent="0.25">
      <c r="AT3896" s="2" t="str">
        <f>IF($L3896="","",IFERROR(INDEX('AR SALES'!$H$2:$H$2501,MATCH(""&amp;$L3896,'AR SALES'!$AE$2:$AE$2501,0)),""))</f>
        <v/>
      </c>
      <c r="AU3896" s="2" t="str">
        <f t="shared" si="240"/>
        <v/>
      </c>
      <c r="AV3896" s="2" t="str">
        <f t="shared" si="241"/>
        <v/>
      </c>
      <c r="AW3896" s="2" t="str">
        <f t="shared" si="242"/>
        <v/>
      </c>
      <c r="AX3896" s="2" t="str">
        <f t="shared" si="243"/>
        <v/>
      </c>
      <c r="AY3896" s="2" t="str">
        <f>IF($AV3896="","",IF(AND($Z3896=0,COUNTIF('AR SALES'!$L$2:$L$2501,$L3896)=0),"YES",""))</f>
        <v/>
      </c>
      <c r="AZ3896" s="2" t="str">
        <f>IF($AV3896="","",IF(COUNTIF(LISTS!$C$2:$C$250,$AU3896)=0,"NEW",""))</f>
        <v/>
      </c>
      <c r="BA3896" s="2" t="str">
        <f>IF(""&amp;$F3896&lt;&gt;"4","",IF($AY3896="YES","",IF(ROUND(SUMIFS($AE$2:$AE$4001,$L$2:$L$4001,$L3896,$F$2:$F$4001,"4")-SUMIFS('AR SALES'!$Y$2:$Y$2501,'AR SALES'!$L$2:$L$2501,$L3896,'AR SALES'!$AD$2:$AD$2501,"OFF"),2)=0,"","STALE")))</f>
        <v/>
      </c>
      <c r="BB3896" s="2" t="str">
        <f>IF(OR(""&amp;$F3896="2",""&amp;$F3896="4",""&amp;$F3896="G",""&amp;$F3896="H"),IF($AY3896="YES","",IF($AB3896&lt;&gt;0,"",IF(COUNTIFS('AR SALES'!$L$2:$L$2501,$L3896,'AR SALES'!$AD$2:$AD$2501,IF(""&amp;$F3896="4","OFF","ON"),'AR SALES'!$AF$2:$AF$2501,"Y")&gt;0,"","NO EXEMPTION"))),"")</f>
        <v/>
      </c>
    </row>
    <row r="3897" spans="46:54" x14ac:dyDescent="0.25">
      <c r="AT3897" s="2" t="str">
        <f>IF($L3897="","",IFERROR(INDEX('AR SALES'!$H$2:$H$2501,MATCH(""&amp;$L3897,'AR SALES'!$AE$2:$AE$2501,0)),""))</f>
        <v/>
      </c>
      <c r="AU3897" s="2" t="str">
        <f t="shared" si="240"/>
        <v/>
      </c>
      <c r="AV3897" s="2" t="str">
        <f t="shared" si="241"/>
        <v/>
      </c>
      <c r="AW3897" s="2" t="str">
        <f t="shared" si="242"/>
        <v/>
      </c>
      <c r="AX3897" s="2" t="str">
        <f t="shared" si="243"/>
        <v/>
      </c>
      <c r="AY3897" s="2" t="str">
        <f>IF($AV3897="","",IF(AND($Z3897=0,COUNTIF('AR SALES'!$L$2:$L$2501,$L3897)=0),"YES",""))</f>
        <v/>
      </c>
      <c r="AZ3897" s="2" t="str">
        <f>IF($AV3897="","",IF(COUNTIF(LISTS!$C$2:$C$250,$AU3897)=0,"NEW",""))</f>
        <v/>
      </c>
      <c r="BA3897" s="2" t="str">
        <f>IF(""&amp;$F3897&lt;&gt;"4","",IF($AY3897="YES","",IF(ROUND(SUMIFS($AE$2:$AE$4001,$L$2:$L$4001,$L3897,$F$2:$F$4001,"4")-SUMIFS('AR SALES'!$Y$2:$Y$2501,'AR SALES'!$L$2:$L$2501,$L3897,'AR SALES'!$AD$2:$AD$2501,"OFF"),2)=0,"","STALE")))</f>
        <v/>
      </c>
      <c r="BB3897" s="2" t="str">
        <f>IF(OR(""&amp;$F3897="2",""&amp;$F3897="4",""&amp;$F3897="G",""&amp;$F3897="H"),IF($AY3897="YES","",IF($AB3897&lt;&gt;0,"",IF(COUNTIFS('AR SALES'!$L$2:$L$2501,$L3897,'AR SALES'!$AD$2:$AD$2501,IF(""&amp;$F3897="4","OFF","ON"),'AR SALES'!$AF$2:$AF$2501,"Y")&gt;0,"","NO EXEMPTION"))),"")</f>
        <v/>
      </c>
    </row>
    <row r="3898" spans="46:54" x14ac:dyDescent="0.25">
      <c r="AT3898" s="2" t="str">
        <f>IF($L3898="","",IFERROR(INDEX('AR SALES'!$H$2:$H$2501,MATCH(""&amp;$L3898,'AR SALES'!$AE$2:$AE$2501,0)),""))</f>
        <v/>
      </c>
      <c r="AU3898" s="2" t="str">
        <f t="shared" si="240"/>
        <v/>
      </c>
      <c r="AV3898" s="2" t="str">
        <f t="shared" si="241"/>
        <v/>
      </c>
      <c r="AW3898" s="2" t="str">
        <f t="shared" si="242"/>
        <v/>
      </c>
      <c r="AX3898" s="2" t="str">
        <f t="shared" si="243"/>
        <v/>
      </c>
      <c r="AY3898" s="2" t="str">
        <f>IF($AV3898="","",IF(AND($Z3898=0,COUNTIF('AR SALES'!$L$2:$L$2501,$L3898)=0),"YES",""))</f>
        <v/>
      </c>
      <c r="AZ3898" s="2" t="str">
        <f>IF($AV3898="","",IF(COUNTIF(LISTS!$C$2:$C$250,$AU3898)=0,"NEW",""))</f>
        <v/>
      </c>
      <c r="BA3898" s="2" t="str">
        <f>IF(""&amp;$F3898&lt;&gt;"4","",IF($AY3898="YES","",IF(ROUND(SUMIFS($AE$2:$AE$4001,$L$2:$L$4001,$L3898,$F$2:$F$4001,"4")-SUMIFS('AR SALES'!$Y$2:$Y$2501,'AR SALES'!$L$2:$L$2501,$L3898,'AR SALES'!$AD$2:$AD$2501,"OFF"),2)=0,"","STALE")))</f>
        <v/>
      </c>
      <c r="BB3898" s="2" t="str">
        <f>IF(OR(""&amp;$F3898="2",""&amp;$F3898="4",""&amp;$F3898="G",""&amp;$F3898="H"),IF($AY3898="YES","",IF($AB3898&lt;&gt;0,"",IF(COUNTIFS('AR SALES'!$L$2:$L$2501,$L3898,'AR SALES'!$AD$2:$AD$2501,IF(""&amp;$F3898="4","OFF","ON"),'AR SALES'!$AF$2:$AF$2501,"Y")&gt;0,"","NO EXEMPTION"))),"")</f>
        <v/>
      </c>
    </row>
    <row r="3899" spans="46:54" x14ac:dyDescent="0.25">
      <c r="AT3899" s="2" t="str">
        <f>IF($L3899="","",IFERROR(INDEX('AR SALES'!$H$2:$H$2501,MATCH(""&amp;$L3899,'AR SALES'!$AE$2:$AE$2501,0)),""))</f>
        <v/>
      </c>
      <c r="AU3899" s="2" t="str">
        <f t="shared" si="240"/>
        <v/>
      </c>
      <c r="AV3899" s="2" t="str">
        <f t="shared" si="241"/>
        <v/>
      </c>
      <c r="AW3899" s="2" t="str">
        <f t="shared" si="242"/>
        <v/>
      </c>
      <c r="AX3899" s="2" t="str">
        <f t="shared" si="243"/>
        <v/>
      </c>
      <c r="AY3899" s="2" t="str">
        <f>IF($AV3899="","",IF(AND($Z3899=0,COUNTIF('AR SALES'!$L$2:$L$2501,$L3899)=0),"YES",""))</f>
        <v/>
      </c>
      <c r="AZ3899" s="2" t="str">
        <f>IF($AV3899="","",IF(COUNTIF(LISTS!$C$2:$C$250,$AU3899)=0,"NEW",""))</f>
        <v/>
      </c>
      <c r="BA3899" s="2" t="str">
        <f>IF(""&amp;$F3899&lt;&gt;"4","",IF($AY3899="YES","",IF(ROUND(SUMIFS($AE$2:$AE$4001,$L$2:$L$4001,$L3899,$F$2:$F$4001,"4")-SUMIFS('AR SALES'!$Y$2:$Y$2501,'AR SALES'!$L$2:$L$2501,$L3899,'AR SALES'!$AD$2:$AD$2501,"OFF"),2)=0,"","STALE")))</f>
        <v/>
      </c>
      <c r="BB3899" s="2" t="str">
        <f>IF(OR(""&amp;$F3899="2",""&amp;$F3899="4",""&amp;$F3899="G",""&amp;$F3899="H"),IF($AY3899="YES","",IF($AB3899&lt;&gt;0,"",IF(COUNTIFS('AR SALES'!$L$2:$L$2501,$L3899,'AR SALES'!$AD$2:$AD$2501,IF(""&amp;$F3899="4","OFF","ON"),'AR SALES'!$AF$2:$AF$2501,"Y")&gt;0,"","NO EXEMPTION"))),"")</f>
        <v/>
      </c>
    </row>
    <row r="3900" spans="46:54" x14ac:dyDescent="0.25">
      <c r="AT3900" s="2" t="str">
        <f>IF($L3900="","",IFERROR(INDEX('AR SALES'!$H$2:$H$2501,MATCH(""&amp;$L3900,'AR SALES'!$AE$2:$AE$2501,0)),""))</f>
        <v/>
      </c>
      <c r="AU3900" s="2" t="str">
        <f t="shared" si="240"/>
        <v/>
      </c>
      <c r="AV3900" s="2" t="str">
        <f t="shared" si="241"/>
        <v/>
      </c>
      <c r="AW3900" s="2" t="str">
        <f t="shared" si="242"/>
        <v/>
      </c>
      <c r="AX3900" s="2" t="str">
        <f t="shared" si="243"/>
        <v/>
      </c>
      <c r="AY3900" s="2" t="str">
        <f>IF($AV3900="","",IF(AND($Z3900=0,COUNTIF('AR SALES'!$L$2:$L$2501,$L3900)=0),"YES",""))</f>
        <v/>
      </c>
      <c r="AZ3900" s="2" t="str">
        <f>IF($AV3900="","",IF(COUNTIF(LISTS!$C$2:$C$250,$AU3900)=0,"NEW",""))</f>
        <v/>
      </c>
      <c r="BA3900" s="2" t="str">
        <f>IF(""&amp;$F3900&lt;&gt;"4","",IF($AY3900="YES","",IF(ROUND(SUMIFS($AE$2:$AE$4001,$L$2:$L$4001,$L3900,$F$2:$F$4001,"4")-SUMIFS('AR SALES'!$Y$2:$Y$2501,'AR SALES'!$L$2:$L$2501,$L3900,'AR SALES'!$AD$2:$AD$2501,"OFF"),2)=0,"","STALE")))</f>
        <v/>
      </c>
      <c r="BB3900" s="2" t="str">
        <f>IF(OR(""&amp;$F3900="2",""&amp;$F3900="4",""&amp;$F3900="G",""&amp;$F3900="H"),IF($AY3900="YES","",IF($AB3900&lt;&gt;0,"",IF(COUNTIFS('AR SALES'!$L$2:$L$2501,$L3900,'AR SALES'!$AD$2:$AD$2501,IF(""&amp;$F3900="4","OFF","ON"),'AR SALES'!$AF$2:$AF$2501,"Y")&gt;0,"","NO EXEMPTION"))),"")</f>
        <v/>
      </c>
    </row>
    <row r="3901" spans="46:54" x14ac:dyDescent="0.25">
      <c r="AT3901" s="2" t="str">
        <f>IF($L3901="","",IFERROR(INDEX('AR SALES'!$H$2:$H$2501,MATCH(""&amp;$L3901,'AR SALES'!$AE$2:$AE$2501,0)),""))</f>
        <v/>
      </c>
      <c r="AU3901" s="2" t="str">
        <f t="shared" si="240"/>
        <v/>
      </c>
      <c r="AV3901" s="2" t="str">
        <f t="shared" si="241"/>
        <v/>
      </c>
      <c r="AW3901" s="2" t="str">
        <f t="shared" si="242"/>
        <v/>
      </c>
      <c r="AX3901" s="2" t="str">
        <f t="shared" si="243"/>
        <v/>
      </c>
      <c r="AY3901" s="2" t="str">
        <f>IF($AV3901="","",IF(AND($Z3901=0,COUNTIF('AR SALES'!$L$2:$L$2501,$L3901)=0),"YES",""))</f>
        <v/>
      </c>
      <c r="AZ3901" s="2" t="str">
        <f>IF($AV3901="","",IF(COUNTIF(LISTS!$C$2:$C$250,$AU3901)=0,"NEW",""))</f>
        <v/>
      </c>
      <c r="BA3901" s="2" t="str">
        <f>IF(""&amp;$F3901&lt;&gt;"4","",IF($AY3901="YES","",IF(ROUND(SUMIFS($AE$2:$AE$4001,$L$2:$L$4001,$L3901,$F$2:$F$4001,"4")-SUMIFS('AR SALES'!$Y$2:$Y$2501,'AR SALES'!$L$2:$L$2501,$L3901,'AR SALES'!$AD$2:$AD$2501,"OFF"),2)=0,"","STALE")))</f>
        <v/>
      </c>
      <c r="BB3901" s="2" t="str">
        <f>IF(OR(""&amp;$F3901="2",""&amp;$F3901="4",""&amp;$F3901="G",""&amp;$F3901="H"),IF($AY3901="YES","",IF($AB3901&lt;&gt;0,"",IF(COUNTIFS('AR SALES'!$L$2:$L$2501,$L3901,'AR SALES'!$AD$2:$AD$2501,IF(""&amp;$F3901="4","OFF","ON"),'AR SALES'!$AF$2:$AF$2501,"Y")&gt;0,"","NO EXEMPTION"))),"")</f>
        <v/>
      </c>
    </row>
    <row r="3902" spans="46:54" x14ac:dyDescent="0.25">
      <c r="AT3902" s="2" t="str">
        <f>IF($L3902="","",IFERROR(INDEX('AR SALES'!$H$2:$H$2501,MATCH(""&amp;$L3902,'AR SALES'!$AE$2:$AE$2501,0)),""))</f>
        <v/>
      </c>
      <c r="AU3902" s="2" t="str">
        <f t="shared" si="240"/>
        <v/>
      </c>
      <c r="AV3902" s="2" t="str">
        <f t="shared" si="241"/>
        <v/>
      </c>
      <c r="AW3902" s="2" t="str">
        <f t="shared" si="242"/>
        <v/>
      </c>
      <c r="AX3902" s="2" t="str">
        <f t="shared" si="243"/>
        <v/>
      </c>
      <c r="AY3902" s="2" t="str">
        <f>IF($AV3902="","",IF(AND($Z3902=0,COUNTIF('AR SALES'!$L$2:$L$2501,$L3902)=0),"YES",""))</f>
        <v/>
      </c>
      <c r="AZ3902" s="2" t="str">
        <f>IF($AV3902="","",IF(COUNTIF(LISTS!$C$2:$C$250,$AU3902)=0,"NEW",""))</f>
        <v/>
      </c>
      <c r="BA3902" s="2" t="str">
        <f>IF(""&amp;$F3902&lt;&gt;"4","",IF($AY3902="YES","",IF(ROUND(SUMIFS($AE$2:$AE$4001,$L$2:$L$4001,$L3902,$F$2:$F$4001,"4")-SUMIFS('AR SALES'!$Y$2:$Y$2501,'AR SALES'!$L$2:$L$2501,$L3902,'AR SALES'!$AD$2:$AD$2501,"OFF"),2)=0,"","STALE")))</f>
        <v/>
      </c>
      <c r="BB3902" s="2" t="str">
        <f>IF(OR(""&amp;$F3902="2",""&amp;$F3902="4",""&amp;$F3902="G",""&amp;$F3902="H"),IF($AY3902="YES","",IF($AB3902&lt;&gt;0,"",IF(COUNTIFS('AR SALES'!$L$2:$L$2501,$L3902,'AR SALES'!$AD$2:$AD$2501,IF(""&amp;$F3902="4","OFF","ON"),'AR SALES'!$AF$2:$AF$2501,"Y")&gt;0,"","NO EXEMPTION"))),"")</f>
        <v/>
      </c>
    </row>
    <row r="3903" spans="46:54" x14ac:dyDescent="0.25">
      <c r="AT3903" s="2" t="str">
        <f>IF($L3903="","",IFERROR(INDEX('AR SALES'!$H$2:$H$2501,MATCH(""&amp;$L3903,'AR SALES'!$AE$2:$AE$2501,0)),""))</f>
        <v/>
      </c>
      <c r="AU3903" s="2" t="str">
        <f t="shared" si="240"/>
        <v/>
      </c>
      <c r="AV3903" s="2" t="str">
        <f t="shared" si="241"/>
        <v/>
      </c>
      <c r="AW3903" s="2" t="str">
        <f t="shared" si="242"/>
        <v/>
      </c>
      <c r="AX3903" s="2" t="str">
        <f t="shared" si="243"/>
        <v/>
      </c>
      <c r="AY3903" s="2" t="str">
        <f>IF($AV3903="","",IF(AND($Z3903=0,COUNTIF('AR SALES'!$L$2:$L$2501,$L3903)=0),"YES",""))</f>
        <v/>
      </c>
      <c r="AZ3903" s="2" t="str">
        <f>IF($AV3903="","",IF(COUNTIF(LISTS!$C$2:$C$250,$AU3903)=0,"NEW",""))</f>
        <v/>
      </c>
      <c r="BA3903" s="2" t="str">
        <f>IF(""&amp;$F3903&lt;&gt;"4","",IF($AY3903="YES","",IF(ROUND(SUMIFS($AE$2:$AE$4001,$L$2:$L$4001,$L3903,$F$2:$F$4001,"4")-SUMIFS('AR SALES'!$Y$2:$Y$2501,'AR SALES'!$L$2:$L$2501,$L3903,'AR SALES'!$AD$2:$AD$2501,"OFF"),2)=0,"","STALE")))</f>
        <v/>
      </c>
      <c r="BB3903" s="2" t="str">
        <f>IF(OR(""&amp;$F3903="2",""&amp;$F3903="4",""&amp;$F3903="G",""&amp;$F3903="H"),IF($AY3903="YES","",IF($AB3903&lt;&gt;0,"",IF(COUNTIFS('AR SALES'!$L$2:$L$2501,$L3903,'AR SALES'!$AD$2:$AD$2501,IF(""&amp;$F3903="4","OFF","ON"),'AR SALES'!$AF$2:$AF$2501,"Y")&gt;0,"","NO EXEMPTION"))),"")</f>
        <v/>
      </c>
    </row>
    <row r="3904" spans="46:54" x14ac:dyDescent="0.25">
      <c r="AT3904" s="2" t="str">
        <f>IF($L3904="","",IFERROR(INDEX('AR SALES'!$H$2:$H$2501,MATCH(""&amp;$L3904,'AR SALES'!$AE$2:$AE$2501,0)),""))</f>
        <v/>
      </c>
      <c r="AU3904" s="2" t="str">
        <f t="shared" si="240"/>
        <v/>
      </c>
      <c r="AV3904" s="2" t="str">
        <f t="shared" si="241"/>
        <v/>
      </c>
      <c r="AW3904" s="2" t="str">
        <f t="shared" si="242"/>
        <v/>
      </c>
      <c r="AX3904" s="2" t="str">
        <f t="shared" si="243"/>
        <v/>
      </c>
      <c r="AY3904" s="2" t="str">
        <f>IF($AV3904="","",IF(AND($Z3904=0,COUNTIF('AR SALES'!$L$2:$L$2501,$L3904)=0),"YES",""))</f>
        <v/>
      </c>
      <c r="AZ3904" s="2" t="str">
        <f>IF($AV3904="","",IF(COUNTIF(LISTS!$C$2:$C$250,$AU3904)=0,"NEW",""))</f>
        <v/>
      </c>
      <c r="BA3904" s="2" t="str">
        <f>IF(""&amp;$F3904&lt;&gt;"4","",IF($AY3904="YES","",IF(ROUND(SUMIFS($AE$2:$AE$4001,$L$2:$L$4001,$L3904,$F$2:$F$4001,"4")-SUMIFS('AR SALES'!$Y$2:$Y$2501,'AR SALES'!$L$2:$L$2501,$L3904,'AR SALES'!$AD$2:$AD$2501,"OFF"),2)=0,"","STALE")))</f>
        <v/>
      </c>
      <c r="BB3904" s="2" t="str">
        <f>IF(OR(""&amp;$F3904="2",""&amp;$F3904="4",""&amp;$F3904="G",""&amp;$F3904="H"),IF($AY3904="YES","",IF($AB3904&lt;&gt;0,"",IF(COUNTIFS('AR SALES'!$L$2:$L$2501,$L3904,'AR SALES'!$AD$2:$AD$2501,IF(""&amp;$F3904="4","OFF","ON"),'AR SALES'!$AF$2:$AF$2501,"Y")&gt;0,"","NO EXEMPTION"))),"")</f>
        <v/>
      </c>
    </row>
    <row r="3905" spans="46:54" x14ac:dyDescent="0.25">
      <c r="AT3905" s="2" t="str">
        <f>IF($L3905="","",IFERROR(INDEX('AR SALES'!$H$2:$H$2501,MATCH(""&amp;$L3905,'AR SALES'!$AE$2:$AE$2501,0)),""))</f>
        <v/>
      </c>
      <c r="AU3905" s="2" t="str">
        <f t="shared" si="240"/>
        <v/>
      </c>
      <c r="AV3905" s="2" t="str">
        <f t="shared" si="241"/>
        <v/>
      </c>
      <c r="AW3905" s="2" t="str">
        <f t="shared" si="242"/>
        <v/>
      </c>
      <c r="AX3905" s="2" t="str">
        <f t="shared" si="243"/>
        <v/>
      </c>
      <c r="AY3905" s="2" t="str">
        <f>IF($AV3905="","",IF(AND($Z3905=0,COUNTIF('AR SALES'!$L$2:$L$2501,$L3905)=0),"YES",""))</f>
        <v/>
      </c>
      <c r="AZ3905" s="2" t="str">
        <f>IF($AV3905="","",IF(COUNTIF(LISTS!$C$2:$C$250,$AU3905)=0,"NEW",""))</f>
        <v/>
      </c>
      <c r="BA3905" s="2" t="str">
        <f>IF(""&amp;$F3905&lt;&gt;"4","",IF($AY3905="YES","",IF(ROUND(SUMIFS($AE$2:$AE$4001,$L$2:$L$4001,$L3905,$F$2:$F$4001,"4")-SUMIFS('AR SALES'!$Y$2:$Y$2501,'AR SALES'!$L$2:$L$2501,$L3905,'AR SALES'!$AD$2:$AD$2501,"OFF"),2)=0,"","STALE")))</f>
        <v/>
      </c>
      <c r="BB3905" s="2" t="str">
        <f>IF(OR(""&amp;$F3905="2",""&amp;$F3905="4",""&amp;$F3905="G",""&amp;$F3905="H"),IF($AY3905="YES","",IF($AB3905&lt;&gt;0,"",IF(COUNTIFS('AR SALES'!$L$2:$L$2501,$L3905,'AR SALES'!$AD$2:$AD$2501,IF(""&amp;$F3905="4","OFF","ON"),'AR SALES'!$AF$2:$AF$2501,"Y")&gt;0,"","NO EXEMPTION"))),"")</f>
        <v/>
      </c>
    </row>
    <row r="3906" spans="46:54" x14ac:dyDescent="0.25">
      <c r="AT3906" s="2" t="str">
        <f>IF($L3906="","",IFERROR(INDEX('AR SALES'!$H$2:$H$2501,MATCH(""&amp;$L3906,'AR SALES'!$AE$2:$AE$2501,0)),""))</f>
        <v/>
      </c>
      <c r="AU3906" s="2" t="str">
        <f t="shared" ref="AU3906:AU3969" si="244">IF($L3906="","",IF($A3906&lt;&gt;"GA","",IF($E3906="FULTON",IF(ISNUMBER(SEARCH("COLLEGE PARK",$AT3906)),"FULTON (COLLEGE PARK)",IF(ISNUMBER(SEARCH("ATLANTA CITY",$AT3906)),"FULTON (ATL LIMITS)","FULTON")),IF($E3906="DEKALB",IF(ISNUMBER(SEARCH("ATLANTA CITY",$AT3906)),"DEKALB (ATL LIMITS)","DEKALB"),$E3906))))</f>
        <v/>
      </c>
      <c r="AV3906" s="2" t="str">
        <f t="shared" ref="AV3906:AV3969" si="245">IF($L3906="","",IF(""&amp;$F3906="2","DIESEL",IF(OR(""&amp;$F3906="G",""&amp;$F3906="H"),"GAS","")))</f>
        <v/>
      </c>
      <c r="AW3906" s="2" t="str">
        <f t="shared" ref="AW3906:AW3969" si="246">IF($AV3906="","",$R3906)</f>
        <v/>
      </c>
      <c r="AX3906" s="2" t="str">
        <f t="shared" ref="AX3906:AX3969" si="247">IF($AV3906="","",IF($AB3906=0,$R3906,0))</f>
        <v/>
      </c>
      <c r="AY3906" s="2" t="str">
        <f>IF($AV3906="","",IF(AND($Z3906=0,COUNTIF('AR SALES'!$L$2:$L$2501,$L3906)=0),"YES",""))</f>
        <v/>
      </c>
      <c r="AZ3906" s="2" t="str">
        <f>IF($AV3906="","",IF(COUNTIF(LISTS!$C$2:$C$250,$AU3906)=0,"NEW",""))</f>
        <v/>
      </c>
      <c r="BA3906" s="2" t="str">
        <f>IF(""&amp;$F3906&lt;&gt;"4","",IF($AY3906="YES","",IF(ROUND(SUMIFS($AE$2:$AE$4001,$L$2:$L$4001,$L3906,$F$2:$F$4001,"4")-SUMIFS('AR SALES'!$Y$2:$Y$2501,'AR SALES'!$L$2:$L$2501,$L3906,'AR SALES'!$AD$2:$AD$2501,"OFF"),2)=0,"","STALE")))</f>
        <v/>
      </c>
      <c r="BB3906" s="2" t="str">
        <f>IF(OR(""&amp;$F3906="2",""&amp;$F3906="4",""&amp;$F3906="G",""&amp;$F3906="H"),IF($AY3906="YES","",IF($AB3906&lt;&gt;0,"",IF(COUNTIFS('AR SALES'!$L$2:$L$2501,$L3906,'AR SALES'!$AD$2:$AD$2501,IF(""&amp;$F3906="4","OFF","ON"),'AR SALES'!$AF$2:$AF$2501,"Y")&gt;0,"","NO EXEMPTION"))),"")</f>
        <v/>
      </c>
    </row>
    <row r="3907" spans="46:54" x14ac:dyDescent="0.25">
      <c r="AT3907" s="2" t="str">
        <f>IF($L3907="","",IFERROR(INDEX('AR SALES'!$H$2:$H$2501,MATCH(""&amp;$L3907,'AR SALES'!$AE$2:$AE$2501,0)),""))</f>
        <v/>
      </c>
      <c r="AU3907" s="2" t="str">
        <f t="shared" si="244"/>
        <v/>
      </c>
      <c r="AV3907" s="2" t="str">
        <f t="shared" si="245"/>
        <v/>
      </c>
      <c r="AW3907" s="2" t="str">
        <f t="shared" si="246"/>
        <v/>
      </c>
      <c r="AX3907" s="2" t="str">
        <f t="shared" si="247"/>
        <v/>
      </c>
      <c r="AY3907" s="2" t="str">
        <f>IF($AV3907="","",IF(AND($Z3907=0,COUNTIF('AR SALES'!$L$2:$L$2501,$L3907)=0),"YES",""))</f>
        <v/>
      </c>
      <c r="AZ3907" s="2" t="str">
        <f>IF($AV3907="","",IF(COUNTIF(LISTS!$C$2:$C$250,$AU3907)=0,"NEW",""))</f>
        <v/>
      </c>
      <c r="BA3907" s="2" t="str">
        <f>IF(""&amp;$F3907&lt;&gt;"4","",IF($AY3907="YES","",IF(ROUND(SUMIFS($AE$2:$AE$4001,$L$2:$L$4001,$L3907,$F$2:$F$4001,"4")-SUMIFS('AR SALES'!$Y$2:$Y$2501,'AR SALES'!$L$2:$L$2501,$L3907,'AR SALES'!$AD$2:$AD$2501,"OFF"),2)=0,"","STALE")))</f>
        <v/>
      </c>
      <c r="BB3907" s="2" t="str">
        <f>IF(OR(""&amp;$F3907="2",""&amp;$F3907="4",""&amp;$F3907="G",""&amp;$F3907="H"),IF($AY3907="YES","",IF($AB3907&lt;&gt;0,"",IF(COUNTIFS('AR SALES'!$L$2:$L$2501,$L3907,'AR SALES'!$AD$2:$AD$2501,IF(""&amp;$F3907="4","OFF","ON"),'AR SALES'!$AF$2:$AF$2501,"Y")&gt;0,"","NO EXEMPTION"))),"")</f>
        <v/>
      </c>
    </row>
    <row r="3908" spans="46:54" x14ac:dyDescent="0.25">
      <c r="AT3908" s="2" t="str">
        <f>IF($L3908="","",IFERROR(INDEX('AR SALES'!$H$2:$H$2501,MATCH(""&amp;$L3908,'AR SALES'!$AE$2:$AE$2501,0)),""))</f>
        <v/>
      </c>
      <c r="AU3908" s="2" t="str">
        <f t="shared" si="244"/>
        <v/>
      </c>
      <c r="AV3908" s="2" t="str">
        <f t="shared" si="245"/>
        <v/>
      </c>
      <c r="AW3908" s="2" t="str">
        <f t="shared" si="246"/>
        <v/>
      </c>
      <c r="AX3908" s="2" t="str">
        <f t="shared" si="247"/>
        <v/>
      </c>
      <c r="AY3908" s="2" t="str">
        <f>IF($AV3908="","",IF(AND($Z3908=0,COUNTIF('AR SALES'!$L$2:$L$2501,$L3908)=0),"YES",""))</f>
        <v/>
      </c>
      <c r="AZ3908" s="2" t="str">
        <f>IF($AV3908="","",IF(COUNTIF(LISTS!$C$2:$C$250,$AU3908)=0,"NEW",""))</f>
        <v/>
      </c>
      <c r="BA3908" s="2" t="str">
        <f>IF(""&amp;$F3908&lt;&gt;"4","",IF($AY3908="YES","",IF(ROUND(SUMIFS($AE$2:$AE$4001,$L$2:$L$4001,$L3908,$F$2:$F$4001,"4")-SUMIFS('AR SALES'!$Y$2:$Y$2501,'AR SALES'!$L$2:$L$2501,$L3908,'AR SALES'!$AD$2:$AD$2501,"OFF"),2)=0,"","STALE")))</f>
        <v/>
      </c>
      <c r="BB3908" s="2" t="str">
        <f>IF(OR(""&amp;$F3908="2",""&amp;$F3908="4",""&amp;$F3908="G",""&amp;$F3908="H"),IF($AY3908="YES","",IF($AB3908&lt;&gt;0,"",IF(COUNTIFS('AR SALES'!$L$2:$L$2501,$L3908,'AR SALES'!$AD$2:$AD$2501,IF(""&amp;$F3908="4","OFF","ON"),'AR SALES'!$AF$2:$AF$2501,"Y")&gt;0,"","NO EXEMPTION"))),"")</f>
        <v/>
      </c>
    </row>
    <row r="3909" spans="46:54" x14ac:dyDescent="0.25">
      <c r="AT3909" s="2" t="str">
        <f>IF($L3909="","",IFERROR(INDEX('AR SALES'!$H$2:$H$2501,MATCH(""&amp;$L3909,'AR SALES'!$AE$2:$AE$2501,0)),""))</f>
        <v/>
      </c>
      <c r="AU3909" s="2" t="str">
        <f t="shared" si="244"/>
        <v/>
      </c>
      <c r="AV3909" s="2" t="str">
        <f t="shared" si="245"/>
        <v/>
      </c>
      <c r="AW3909" s="2" t="str">
        <f t="shared" si="246"/>
        <v/>
      </c>
      <c r="AX3909" s="2" t="str">
        <f t="shared" si="247"/>
        <v/>
      </c>
      <c r="AY3909" s="2" t="str">
        <f>IF($AV3909="","",IF(AND($Z3909=0,COUNTIF('AR SALES'!$L$2:$L$2501,$L3909)=0),"YES",""))</f>
        <v/>
      </c>
      <c r="AZ3909" s="2" t="str">
        <f>IF($AV3909="","",IF(COUNTIF(LISTS!$C$2:$C$250,$AU3909)=0,"NEW",""))</f>
        <v/>
      </c>
      <c r="BA3909" s="2" t="str">
        <f>IF(""&amp;$F3909&lt;&gt;"4","",IF($AY3909="YES","",IF(ROUND(SUMIFS($AE$2:$AE$4001,$L$2:$L$4001,$L3909,$F$2:$F$4001,"4")-SUMIFS('AR SALES'!$Y$2:$Y$2501,'AR SALES'!$L$2:$L$2501,$L3909,'AR SALES'!$AD$2:$AD$2501,"OFF"),2)=0,"","STALE")))</f>
        <v/>
      </c>
      <c r="BB3909" s="2" t="str">
        <f>IF(OR(""&amp;$F3909="2",""&amp;$F3909="4",""&amp;$F3909="G",""&amp;$F3909="H"),IF($AY3909="YES","",IF($AB3909&lt;&gt;0,"",IF(COUNTIFS('AR SALES'!$L$2:$L$2501,$L3909,'AR SALES'!$AD$2:$AD$2501,IF(""&amp;$F3909="4","OFF","ON"),'AR SALES'!$AF$2:$AF$2501,"Y")&gt;0,"","NO EXEMPTION"))),"")</f>
        <v/>
      </c>
    </row>
    <row r="3910" spans="46:54" x14ac:dyDescent="0.25">
      <c r="AT3910" s="2" t="str">
        <f>IF($L3910="","",IFERROR(INDEX('AR SALES'!$H$2:$H$2501,MATCH(""&amp;$L3910,'AR SALES'!$AE$2:$AE$2501,0)),""))</f>
        <v/>
      </c>
      <c r="AU3910" s="2" t="str">
        <f t="shared" si="244"/>
        <v/>
      </c>
      <c r="AV3910" s="2" t="str">
        <f t="shared" si="245"/>
        <v/>
      </c>
      <c r="AW3910" s="2" t="str">
        <f t="shared" si="246"/>
        <v/>
      </c>
      <c r="AX3910" s="2" t="str">
        <f t="shared" si="247"/>
        <v/>
      </c>
      <c r="AY3910" s="2" t="str">
        <f>IF($AV3910="","",IF(AND($Z3910=0,COUNTIF('AR SALES'!$L$2:$L$2501,$L3910)=0),"YES",""))</f>
        <v/>
      </c>
      <c r="AZ3910" s="2" t="str">
        <f>IF($AV3910="","",IF(COUNTIF(LISTS!$C$2:$C$250,$AU3910)=0,"NEW",""))</f>
        <v/>
      </c>
      <c r="BA3910" s="2" t="str">
        <f>IF(""&amp;$F3910&lt;&gt;"4","",IF($AY3910="YES","",IF(ROUND(SUMIFS($AE$2:$AE$4001,$L$2:$L$4001,$L3910,$F$2:$F$4001,"4")-SUMIFS('AR SALES'!$Y$2:$Y$2501,'AR SALES'!$L$2:$L$2501,$L3910,'AR SALES'!$AD$2:$AD$2501,"OFF"),2)=0,"","STALE")))</f>
        <v/>
      </c>
      <c r="BB3910" s="2" t="str">
        <f>IF(OR(""&amp;$F3910="2",""&amp;$F3910="4",""&amp;$F3910="G",""&amp;$F3910="H"),IF($AY3910="YES","",IF($AB3910&lt;&gt;0,"",IF(COUNTIFS('AR SALES'!$L$2:$L$2501,$L3910,'AR SALES'!$AD$2:$AD$2501,IF(""&amp;$F3910="4","OFF","ON"),'AR SALES'!$AF$2:$AF$2501,"Y")&gt;0,"","NO EXEMPTION"))),"")</f>
        <v/>
      </c>
    </row>
    <row r="3911" spans="46:54" x14ac:dyDescent="0.25">
      <c r="AT3911" s="2" t="str">
        <f>IF($L3911="","",IFERROR(INDEX('AR SALES'!$H$2:$H$2501,MATCH(""&amp;$L3911,'AR SALES'!$AE$2:$AE$2501,0)),""))</f>
        <v/>
      </c>
      <c r="AU3911" s="2" t="str">
        <f t="shared" si="244"/>
        <v/>
      </c>
      <c r="AV3911" s="2" t="str">
        <f t="shared" si="245"/>
        <v/>
      </c>
      <c r="AW3911" s="2" t="str">
        <f t="shared" si="246"/>
        <v/>
      </c>
      <c r="AX3911" s="2" t="str">
        <f t="shared" si="247"/>
        <v/>
      </c>
      <c r="AY3911" s="2" t="str">
        <f>IF($AV3911="","",IF(AND($Z3911=0,COUNTIF('AR SALES'!$L$2:$L$2501,$L3911)=0),"YES",""))</f>
        <v/>
      </c>
      <c r="AZ3911" s="2" t="str">
        <f>IF($AV3911="","",IF(COUNTIF(LISTS!$C$2:$C$250,$AU3911)=0,"NEW",""))</f>
        <v/>
      </c>
      <c r="BA3911" s="2" t="str">
        <f>IF(""&amp;$F3911&lt;&gt;"4","",IF($AY3911="YES","",IF(ROUND(SUMIFS($AE$2:$AE$4001,$L$2:$L$4001,$L3911,$F$2:$F$4001,"4")-SUMIFS('AR SALES'!$Y$2:$Y$2501,'AR SALES'!$L$2:$L$2501,$L3911,'AR SALES'!$AD$2:$AD$2501,"OFF"),2)=0,"","STALE")))</f>
        <v/>
      </c>
      <c r="BB3911" s="2" t="str">
        <f>IF(OR(""&amp;$F3911="2",""&amp;$F3911="4",""&amp;$F3911="G",""&amp;$F3911="H"),IF($AY3911="YES","",IF($AB3911&lt;&gt;0,"",IF(COUNTIFS('AR SALES'!$L$2:$L$2501,$L3911,'AR SALES'!$AD$2:$AD$2501,IF(""&amp;$F3911="4","OFF","ON"),'AR SALES'!$AF$2:$AF$2501,"Y")&gt;0,"","NO EXEMPTION"))),"")</f>
        <v/>
      </c>
    </row>
    <row r="3912" spans="46:54" x14ac:dyDescent="0.25">
      <c r="AT3912" s="2" t="str">
        <f>IF($L3912="","",IFERROR(INDEX('AR SALES'!$H$2:$H$2501,MATCH(""&amp;$L3912,'AR SALES'!$AE$2:$AE$2501,0)),""))</f>
        <v/>
      </c>
      <c r="AU3912" s="2" t="str">
        <f t="shared" si="244"/>
        <v/>
      </c>
      <c r="AV3912" s="2" t="str">
        <f t="shared" si="245"/>
        <v/>
      </c>
      <c r="AW3912" s="2" t="str">
        <f t="shared" si="246"/>
        <v/>
      </c>
      <c r="AX3912" s="2" t="str">
        <f t="shared" si="247"/>
        <v/>
      </c>
      <c r="AY3912" s="2" t="str">
        <f>IF($AV3912="","",IF(AND($Z3912=0,COUNTIF('AR SALES'!$L$2:$L$2501,$L3912)=0),"YES",""))</f>
        <v/>
      </c>
      <c r="AZ3912" s="2" t="str">
        <f>IF($AV3912="","",IF(COUNTIF(LISTS!$C$2:$C$250,$AU3912)=0,"NEW",""))</f>
        <v/>
      </c>
      <c r="BA3912" s="2" t="str">
        <f>IF(""&amp;$F3912&lt;&gt;"4","",IF($AY3912="YES","",IF(ROUND(SUMIFS($AE$2:$AE$4001,$L$2:$L$4001,$L3912,$F$2:$F$4001,"4")-SUMIFS('AR SALES'!$Y$2:$Y$2501,'AR SALES'!$L$2:$L$2501,$L3912,'AR SALES'!$AD$2:$AD$2501,"OFF"),2)=0,"","STALE")))</f>
        <v/>
      </c>
      <c r="BB3912" s="2" t="str">
        <f>IF(OR(""&amp;$F3912="2",""&amp;$F3912="4",""&amp;$F3912="G",""&amp;$F3912="H"),IF($AY3912="YES","",IF($AB3912&lt;&gt;0,"",IF(COUNTIFS('AR SALES'!$L$2:$L$2501,$L3912,'AR SALES'!$AD$2:$AD$2501,IF(""&amp;$F3912="4","OFF","ON"),'AR SALES'!$AF$2:$AF$2501,"Y")&gt;0,"","NO EXEMPTION"))),"")</f>
        <v/>
      </c>
    </row>
    <row r="3913" spans="46:54" x14ac:dyDescent="0.25">
      <c r="AT3913" s="2" t="str">
        <f>IF($L3913="","",IFERROR(INDEX('AR SALES'!$H$2:$H$2501,MATCH(""&amp;$L3913,'AR SALES'!$AE$2:$AE$2501,0)),""))</f>
        <v/>
      </c>
      <c r="AU3913" s="2" t="str">
        <f t="shared" si="244"/>
        <v/>
      </c>
      <c r="AV3913" s="2" t="str">
        <f t="shared" si="245"/>
        <v/>
      </c>
      <c r="AW3913" s="2" t="str">
        <f t="shared" si="246"/>
        <v/>
      </c>
      <c r="AX3913" s="2" t="str">
        <f t="shared" si="247"/>
        <v/>
      </c>
      <c r="AY3913" s="2" t="str">
        <f>IF($AV3913="","",IF(AND($Z3913=0,COUNTIF('AR SALES'!$L$2:$L$2501,$L3913)=0),"YES",""))</f>
        <v/>
      </c>
      <c r="AZ3913" s="2" t="str">
        <f>IF($AV3913="","",IF(COUNTIF(LISTS!$C$2:$C$250,$AU3913)=0,"NEW",""))</f>
        <v/>
      </c>
      <c r="BA3913" s="2" t="str">
        <f>IF(""&amp;$F3913&lt;&gt;"4","",IF($AY3913="YES","",IF(ROUND(SUMIFS($AE$2:$AE$4001,$L$2:$L$4001,$L3913,$F$2:$F$4001,"4")-SUMIFS('AR SALES'!$Y$2:$Y$2501,'AR SALES'!$L$2:$L$2501,$L3913,'AR SALES'!$AD$2:$AD$2501,"OFF"),2)=0,"","STALE")))</f>
        <v/>
      </c>
      <c r="BB3913" s="2" t="str">
        <f>IF(OR(""&amp;$F3913="2",""&amp;$F3913="4",""&amp;$F3913="G",""&amp;$F3913="H"),IF($AY3913="YES","",IF($AB3913&lt;&gt;0,"",IF(COUNTIFS('AR SALES'!$L$2:$L$2501,$L3913,'AR SALES'!$AD$2:$AD$2501,IF(""&amp;$F3913="4","OFF","ON"),'AR SALES'!$AF$2:$AF$2501,"Y")&gt;0,"","NO EXEMPTION"))),"")</f>
        <v/>
      </c>
    </row>
    <row r="3914" spans="46:54" x14ac:dyDescent="0.25">
      <c r="AT3914" s="2" t="str">
        <f>IF($L3914="","",IFERROR(INDEX('AR SALES'!$H$2:$H$2501,MATCH(""&amp;$L3914,'AR SALES'!$AE$2:$AE$2501,0)),""))</f>
        <v/>
      </c>
      <c r="AU3914" s="2" t="str">
        <f t="shared" si="244"/>
        <v/>
      </c>
      <c r="AV3914" s="2" t="str">
        <f t="shared" si="245"/>
        <v/>
      </c>
      <c r="AW3914" s="2" t="str">
        <f t="shared" si="246"/>
        <v/>
      </c>
      <c r="AX3914" s="2" t="str">
        <f t="shared" si="247"/>
        <v/>
      </c>
      <c r="AY3914" s="2" t="str">
        <f>IF($AV3914="","",IF(AND($Z3914=0,COUNTIF('AR SALES'!$L$2:$L$2501,$L3914)=0),"YES",""))</f>
        <v/>
      </c>
      <c r="AZ3914" s="2" t="str">
        <f>IF($AV3914="","",IF(COUNTIF(LISTS!$C$2:$C$250,$AU3914)=0,"NEW",""))</f>
        <v/>
      </c>
      <c r="BA3914" s="2" t="str">
        <f>IF(""&amp;$F3914&lt;&gt;"4","",IF($AY3914="YES","",IF(ROUND(SUMIFS($AE$2:$AE$4001,$L$2:$L$4001,$L3914,$F$2:$F$4001,"4")-SUMIFS('AR SALES'!$Y$2:$Y$2501,'AR SALES'!$L$2:$L$2501,$L3914,'AR SALES'!$AD$2:$AD$2501,"OFF"),2)=0,"","STALE")))</f>
        <v/>
      </c>
      <c r="BB3914" s="2" t="str">
        <f>IF(OR(""&amp;$F3914="2",""&amp;$F3914="4",""&amp;$F3914="G",""&amp;$F3914="H"),IF($AY3914="YES","",IF($AB3914&lt;&gt;0,"",IF(COUNTIFS('AR SALES'!$L$2:$L$2501,$L3914,'AR SALES'!$AD$2:$AD$2501,IF(""&amp;$F3914="4","OFF","ON"),'AR SALES'!$AF$2:$AF$2501,"Y")&gt;0,"","NO EXEMPTION"))),"")</f>
        <v/>
      </c>
    </row>
    <row r="3915" spans="46:54" x14ac:dyDescent="0.25">
      <c r="AT3915" s="2" t="str">
        <f>IF($L3915="","",IFERROR(INDEX('AR SALES'!$H$2:$H$2501,MATCH(""&amp;$L3915,'AR SALES'!$AE$2:$AE$2501,0)),""))</f>
        <v/>
      </c>
      <c r="AU3915" s="2" t="str">
        <f t="shared" si="244"/>
        <v/>
      </c>
      <c r="AV3915" s="2" t="str">
        <f t="shared" si="245"/>
        <v/>
      </c>
      <c r="AW3915" s="2" t="str">
        <f t="shared" si="246"/>
        <v/>
      </c>
      <c r="AX3915" s="2" t="str">
        <f t="shared" si="247"/>
        <v/>
      </c>
      <c r="AY3915" s="2" t="str">
        <f>IF($AV3915="","",IF(AND($Z3915=0,COUNTIF('AR SALES'!$L$2:$L$2501,$L3915)=0),"YES",""))</f>
        <v/>
      </c>
      <c r="AZ3915" s="2" t="str">
        <f>IF($AV3915="","",IF(COUNTIF(LISTS!$C$2:$C$250,$AU3915)=0,"NEW",""))</f>
        <v/>
      </c>
      <c r="BA3915" s="2" t="str">
        <f>IF(""&amp;$F3915&lt;&gt;"4","",IF($AY3915="YES","",IF(ROUND(SUMIFS($AE$2:$AE$4001,$L$2:$L$4001,$L3915,$F$2:$F$4001,"4")-SUMIFS('AR SALES'!$Y$2:$Y$2501,'AR SALES'!$L$2:$L$2501,$L3915,'AR SALES'!$AD$2:$AD$2501,"OFF"),2)=0,"","STALE")))</f>
        <v/>
      </c>
      <c r="BB3915" s="2" t="str">
        <f>IF(OR(""&amp;$F3915="2",""&amp;$F3915="4",""&amp;$F3915="G",""&amp;$F3915="H"),IF($AY3915="YES","",IF($AB3915&lt;&gt;0,"",IF(COUNTIFS('AR SALES'!$L$2:$L$2501,$L3915,'AR SALES'!$AD$2:$AD$2501,IF(""&amp;$F3915="4","OFF","ON"),'AR SALES'!$AF$2:$AF$2501,"Y")&gt;0,"","NO EXEMPTION"))),"")</f>
        <v/>
      </c>
    </row>
    <row r="3916" spans="46:54" x14ac:dyDescent="0.25">
      <c r="AT3916" s="2" t="str">
        <f>IF($L3916="","",IFERROR(INDEX('AR SALES'!$H$2:$H$2501,MATCH(""&amp;$L3916,'AR SALES'!$AE$2:$AE$2501,0)),""))</f>
        <v/>
      </c>
      <c r="AU3916" s="2" t="str">
        <f t="shared" si="244"/>
        <v/>
      </c>
      <c r="AV3916" s="2" t="str">
        <f t="shared" si="245"/>
        <v/>
      </c>
      <c r="AW3916" s="2" t="str">
        <f t="shared" si="246"/>
        <v/>
      </c>
      <c r="AX3916" s="2" t="str">
        <f t="shared" si="247"/>
        <v/>
      </c>
      <c r="AY3916" s="2" t="str">
        <f>IF($AV3916="","",IF(AND($Z3916=0,COUNTIF('AR SALES'!$L$2:$L$2501,$L3916)=0),"YES",""))</f>
        <v/>
      </c>
      <c r="AZ3916" s="2" t="str">
        <f>IF($AV3916="","",IF(COUNTIF(LISTS!$C$2:$C$250,$AU3916)=0,"NEW",""))</f>
        <v/>
      </c>
      <c r="BA3916" s="2" t="str">
        <f>IF(""&amp;$F3916&lt;&gt;"4","",IF($AY3916="YES","",IF(ROUND(SUMIFS($AE$2:$AE$4001,$L$2:$L$4001,$L3916,$F$2:$F$4001,"4")-SUMIFS('AR SALES'!$Y$2:$Y$2501,'AR SALES'!$L$2:$L$2501,$L3916,'AR SALES'!$AD$2:$AD$2501,"OFF"),2)=0,"","STALE")))</f>
        <v/>
      </c>
      <c r="BB3916" s="2" t="str">
        <f>IF(OR(""&amp;$F3916="2",""&amp;$F3916="4",""&amp;$F3916="G",""&amp;$F3916="H"),IF($AY3916="YES","",IF($AB3916&lt;&gt;0,"",IF(COUNTIFS('AR SALES'!$L$2:$L$2501,$L3916,'AR SALES'!$AD$2:$AD$2501,IF(""&amp;$F3916="4","OFF","ON"),'AR SALES'!$AF$2:$AF$2501,"Y")&gt;0,"","NO EXEMPTION"))),"")</f>
        <v/>
      </c>
    </row>
    <row r="3917" spans="46:54" x14ac:dyDescent="0.25">
      <c r="AT3917" s="2" t="str">
        <f>IF($L3917="","",IFERROR(INDEX('AR SALES'!$H$2:$H$2501,MATCH(""&amp;$L3917,'AR SALES'!$AE$2:$AE$2501,0)),""))</f>
        <v/>
      </c>
      <c r="AU3917" s="2" t="str">
        <f t="shared" si="244"/>
        <v/>
      </c>
      <c r="AV3917" s="2" t="str">
        <f t="shared" si="245"/>
        <v/>
      </c>
      <c r="AW3917" s="2" t="str">
        <f t="shared" si="246"/>
        <v/>
      </c>
      <c r="AX3917" s="2" t="str">
        <f t="shared" si="247"/>
        <v/>
      </c>
      <c r="AY3917" s="2" t="str">
        <f>IF($AV3917="","",IF(AND($Z3917=0,COUNTIF('AR SALES'!$L$2:$L$2501,$L3917)=0),"YES",""))</f>
        <v/>
      </c>
      <c r="AZ3917" s="2" t="str">
        <f>IF($AV3917="","",IF(COUNTIF(LISTS!$C$2:$C$250,$AU3917)=0,"NEW",""))</f>
        <v/>
      </c>
      <c r="BA3917" s="2" t="str">
        <f>IF(""&amp;$F3917&lt;&gt;"4","",IF($AY3917="YES","",IF(ROUND(SUMIFS($AE$2:$AE$4001,$L$2:$L$4001,$L3917,$F$2:$F$4001,"4")-SUMIFS('AR SALES'!$Y$2:$Y$2501,'AR SALES'!$L$2:$L$2501,$L3917,'AR SALES'!$AD$2:$AD$2501,"OFF"),2)=0,"","STALE")))</f>
        <v/>
      </c>
      <c r="BB3917" s="2" t="str">
        <f>IF(OR(""&amp;$F3917="2",""&amp;$F3917="4",""&amp;$F3917="G",""&amp;$F3917="H"),IF($AY3917="YES","",IF($AB3917&lt;&gt;0,"",IF(COUNTIFS('AR SALES'!$L$2:$L$2501,$L3917,'AR SALES'!$AD$2:$AD$2501,IF(""&amp;$F3917="4","OFF","ON"),'AR SALES'!$AF$2:$AF$2501,"Y")&gt;0,"","NO EXEMPTION"))),"")</f>
        <v/>
      </c>
    </row>
    <row r="3918" spans="46:54" x14ac:dyDescent="0.25">
      <c r="AT3918" s="2" t="str">
        <f>IF($L3918="","",IFERROR(INDEX('AR SALES'!$H$2:$H$2501,MATCH(""&amp;$L3918,'AR SALES'!$AE$2:$AE$2501,0)),""))</f>
        <v/>
      </c>
      <c r="AU3918" s="2" t="str">
        <f t="shared" si="244"/>
        <v/>
      </c>
      <c r="AV3918" s="2" t="str">
        <f t="shared" si="245"/>
        <v/>
      </c>
      <c r="AW3918" s="2" t="str">
        <f t="shared" si="246"/>
        <v/>
      </c>
      <c r="AX3918" s="2" t="str">
        <f t="shared" si="247"/>
        <v/>
      </c>
      <c r="AY3918" s="2" t="str">
        <f>IF($AV3918="","",IF(AND($Z3918=0,COUNTIF('AR SALES'!$L$2:$L$2501,$L3918)=0),"YES",""))</f>
        <v/>
      </c>
      <c r="AZ3918" s="2" t="str">
        <f>IF($AV3918="","",IF(COUNTIF(LISTS!$C$2:$C$250,$AU3918)=0,"NEW",""))</f>
        <v/>
      </c>
      <c r="BA3918" s="2" t="str">
        <f>IF(""&amp;$F3918&lt;&gt;"4","",IF($AY3918="YES","",IF(ROUND(SUMIFS($AE$2:$AE$4001,$L$2:$L$4001,$L3918,$F$2:$F$4001,"4")-SUMIFS('AR SALES'!$Y$2:$Y$2501,'AR SALES'!$L$2:$L$2501,$L3918,'AR SALES'!$AD$2:$AD$2501,"OFF"),2)=0,"","STALE")))</f>
        <v/>
      </c>
      <c r="BB3918" s="2" t="str">
        <f>IF(OR(""&amp;$F3918="2",""&amp;$F3918="4",""&amp;$F3918="G",""&amp;$F3918="H"),IF($AY3918="YES","",IF($AB3918&lt;&gt;0,"",IF(COUNTIFS('AR SALES'!$L$2:$L$2501,$L3918,'AR SALES'!$AD$2:$AD$2501,IF(""&amp;$F3918="4","OFF","ON"),'AR SALES'!$AF$2:$AF$2501,"Y")&gt;0,"","NO EXEMPTION"))),"")</f>
        <v/>
      </c>
    </row>
    <row r="3919" spans="46:54" x14ac:dyDescent="0.25">
      <c r="AT3919" s="2" t="str">
        <f>IF($L3919="","",IFERROR(INDEX('AR SALES'!$H$2:$H$2501,MATCH(""&amp;$L3919,'AR SALES'!$AE$2:$AE$2501,0)),""))</f>
        <v/>
      </c>
      <c r="AU3919" s="2" t="str">
        <f t="shared" si="244"/>
        <v/>
      </c>
      <c r="AV3919" s="2" t="str">
        <f t="shared" si="245"/>
        <v/>
      </c>
      <c r="AW3919" s="2" t="str">
        <f t="shared" si="246"/>
        <v/>
      </c>
      <c r="AX3919" s="2" t="str">
        <f t="shared" si="247"/>
        <v/>
      </c>
      <c r="AY3919" s="2" t="str">
        <f>IF($AV3919="","",IF(AND($Z3919=0,COUNTIF('AR SALES'!$L$2:$L$2501,$L3919)=0),"YES",""))</f>
        <v/>
      </c>
      <c r="AZ3919" s="2" t="str">
        <f>IF($AV3919="","",IF(COUNTIF(LISTS!$C$2:$C$250,$AU3919)=0,"NEW",""))</f>
        <v/>
      </c>
      <c r="BA3919" s="2" t="str">
        <f>IF(""&amp;$F3919&lt;&gt;"4","",IF($AY3919="YES","",IF(ROUND(SUMIFS($AE$2:$AE$4001,$L$2:$L$4001,$L3919,$F$2:$F$4001,"4")-SUMIFS('AR SALES'!$Y$2:$Y$2501,'AR SALES'!$L$2:$L$2501,$L3919,'AR SALES'!$AD$2:$AD$2501,"OFF"),2)=0,"","STALE")))</f>
        <v/>
      </c>
      <c r="BB3919" s="2" t="str">
        <f>IF(OR(""&amp;$F3919="2",""&amp;$F3919="4",""&amp;$F3919="G",""&amp;$F3919="H"),IF($AY3919="YES","",IF($AB3919&lt;&gt;0,"",IF(COUNTIFS('AR SALES'!$L$2:$L$2501,$L3919,'AR SALES'!$AD$2:$AD$2501,IF(""&amp;$F3919="4","OFF","ON"),'AR SALES'!$AF$2:$AF$2501,"Y")&gt;0,"","NO EXEMPTION"))),"")</f>
        <v/>
      </c>
    </row>
    <row r="3920" spans="46:54" x14ac:dyDescent="0.25">
      <c r="AT3920" s="2" t="str">
        <f>IF($L3920="","",IFERROR(INDEX('AR SALES'!$H$2:$H$2501,MATCH(""&amp;$L3920,'AR SALES'!$AE$2:$AE$2501,0)),""))</f>
        <v/>
      </c>
      <c r="AU3920" s="2" t="str">
        <f t="shared" si="244"/>
        <v/>
      </c>
      <c r="AV3920" s="2" t="str">
        <f t="shared" si="245"/>
        <v/>
      </c>
      <c r="AW3920" s="2" t="str">
        <f t="shared" si="246"/>
        <v/>
      </c>
      <c r="AX3920" s="2" t="str">
        <f t="shared" si="247"/>
        <v/>
      </c>
      <c r="AY3920" s="2" t="str">
        <f>IF($AV3920="","",IF(AND($Z3920=0,COUNTIF('AR SALES'!$L$2:$L$2501,$L3920)=0),"YES",""))</f>
        <v/>
      </c>
      <c r="AZ3920" s="2" t="str">
        <f>IF($AV3920="","",IF(COUNTIF(LISTS!$C$2:$C$250,$AU3920)=0,"NEW",""))</f>
        <v/>
      </c>
      <c r="BA3920" s="2" t="str">
        <f>IF(""&amp;$F3920&lt;&gt;"4","",IF($AY3920="YES","",IF(ROUND(SUMIFS($AE$2:$AE$4001,$L$2:$L$4001,$L3920,$F$2:$F$4001,"4")-SUMIFS('AR SALES'!$Y$2:$Y$2501,'AR SALES'!$L$2:$L$2501,$L3920,'AR SALES'!$AD$2:$AD$2501,"OFF"),2)=0,"","STALE")))</f>
        <v/>
      </c>
      <c r="BB3920" s="2" t="str">
        <f>IF(OR(""&amp;$F3920="2",""&amp;$F3920="4",""&amp;$F3920="G",""&amp;$F3920="H"),IF($AY3920="YES","",IF($AB3920&lt;&gt;0,"",IF(COUNTIFS('AR SALES'!$L$2:$L$2501,$L3920,'AR SALES'!$AD$2:$AD$2501,IF(""&amp;$F3920="4","OFF","ON"),'AR SALES'!$AF$2:$AF$2501,"Y")&gt;0,"","NO EXEMPTION"))),"")</f>
        <v/>
      </c>
    </row>
    <row r="3921" spans="46:54" x14ac:dyDescent="0.25">
      <c r="AT3921" s="2" t="str">
        <f>IF($L3921="","",IFERROR(INDEX('AR SALES'!$H$2:$H$2501,MATCH(""&amp;$L3921,'AR SALES'!$AE$2:$AE$2501,0)),""))</f>
        <v/>
      </c>
      <c r="AU3921" s="2" t="str">
        <f t="shared" si="244"/>
        <v/>
      </c>
      <c r="AV3921" s="2" t="str">
        <f t="shared" si="245"/>
        <v/>
      </c>
      <c r="AW3921" s="2" t="str">
        <f t="shared" si="246"/>
        <v/>
      </c>
      <c r="AX3921" s="2" t="str">
        <f t="shared" si="247"/>
        <v/>
      </c>
      <c r="AY3921" s="2" t="str">
        <f>IF($AV3921="","",IF(AND($Z3921=0,COUNTIF('AR SALES'!$L$2:$L$2501,$L3921)=0),"YES",""))</f>
        <v/>
      </c>
      <c r="AZ3921" s="2" t="str">
        <f>IF($AV3921="","",IF(COUNTIF(LISTS!$C$2:$C$250,$AU3921)=0,"NEW",""))</f>
        <v/>
      </c>
      <c r="BA3921" s="2" t="str">
        <f>IF(""&amp;$F3921&lt;&gt;"4","",IF($AY3921="YES","",IF(ROUND(SUMIFS($AE$2:$AE$4001,$L$2:$L$4001,$L3921,$F$2:$F$4001,"4")-SUMIFS('AR SALES'!$Y$2:$Y$2501,'AR SALES'!$L$2:$L$2501,$L3921,'AR SALES'!$AD$2:$AD$2501,"OFF"),2)=0,"","STALE")))</f>
        <v/>
      </c>
      <c r="BB3921" s="2" t="str">
        <f>IF(OR(""&amp;$F3921="2",""&amp;$F3921="4",""&amp;$F3921="G",""&amp;$F3921="H"),IF($AY3921="YES","",IF($AB3921&lt;&gt;0,"",IF(COUNTIFS('AR SALES'!$L$2:$L$2501,$L3921,'AR SALES'!$AD$2:$AD$2501,IF(""&amp;$F3921="4","OFF","ON"),'AR SALES'!$AF$2:$AF$2501,"Y")&gt;0,"","NO EXEMPTION"))),"")</f>
        <v/>
      </c>
    </row>
    <row r="3922" spans="46:54" x14ac:dyDescent="0.25">
      <c r="AT3922" s="2" t="str">
        <f>IF($L3922="","",IFERROR(INDEX('AR SALES'!$H$2:$H$2501,MATCH(""&amp;$L3922,'AR SALES'!$AE$2:$AE$2501,0)),""))</f>
        <v/>
      </c>
      <c r="AU3922" s="2" t="str">
        <f t="shared" si="244"/>
        <v/>
      </c>
      <c r="AV3922" s="2" t="str">
        <f t="shared" si="245"/>
        <v/>
      </c>
      <c r="AW3922" s="2" t="str">
        <f t="shared" si="246"/>
        <v/>
      </c>
      <c r="AX3922" s="2" t="str">
        <f t="shared" si="247"/>
        <v/>
      </c>
      <c r="AY3922" s="2" t="str">
        <f>IF($AV3922="","",IF(AND($Z3922=0,COUNTIF('AR SALES'!$L$2:$L$2501,$L3922)=0),"YES",""))</f>
        <v/>
      </c>
      <c r="AZ3922" s="2" t="str">
        <f>IF($AV3922="","",IF(COUNTIF(LISTS!$C$2:$C$250,$AU3922)=0,"NEW",""))</f>
        <v/>
      </c>
      <c r="BA3922" s="2" t="str">
        <f>IF(""&amp;$F3922&lt;&gt;"4","",IF($AY3922="YES","",IF(ROUND(SUMIFS($AE$2:$AE$4001,$L$2:$L$4001,$L3922,$F$2:$F$4001,"4")-SUMIFS('AR SALES'!$Y$2:$Y$2501,'AR SALES'!$L$2:$L$2501,$L3922,'AR SALES'!$AD$2:$AD$2501,"OFF"),2)=0,"","STALE")))</f>
        <v/>
      </c>
      <c r="BB3922" s="2" t="str">
        <f>IF(OR(""&amp;$F3922="2",""&amp;$F3922="4",""&amp;$F3922="G",""&amp;$F3922="H"),IF($AY3922="YES","",IF($AB3922&lt;&gt;0,"",IF(COUNTIFS('AR SALES'!$L$2:$L$2501,$L3922,'AR SALES'!$AD$2:$AD$2501,IF(""&amp;$F3922="4","OFF","ON"),'AR SALES'!$AF$2:$AF$2501,"Y")&gt;0,"","NO EXEMPTION"))),"")</f>
        <v/>
      </c>
    </row>
    <row r="3923" spans="46:54" x14ac:dyDescent="0.25">
      <c r="AT3923" s="2" t="str">
        <f>IF($L3923="","",IFERROR(INDEX('AR SALES'!$H$2:$H$2501,MATCH(""&amp;$L3923,'AR SALES'!$AE$2:$AE$2501,0)),""))</f>
        <v/>
      </c>
      <c r="AU3923" s="2" t="str">
        <f t="shared" si="244"/>
        <v/>
      </c>
      <c r="AV3923" s="2" t="str">
        <f t="shared" si="245"/>
        <v/>
      </c>
      <c r="AW3923" s="2" t="str">
        <f t="shared" si="246"/>
        <v/>
      </c>
      <c r="AX3923" s="2" t="str">
        <f t="shared" si="247"/>
        <v/>
      </c>
      <c r="AY3923" s="2" t="str">
        <f>IF($AV3923="","",IF(AND($Z3923=0,COUNTIF('AR SALES'!$L$2:$L$2501,$L3923)=0),"YES",""))</f>
        <v/>
      </c>
      <c r="AZ3923" s="2" t="str">
        <f>IF($AV3923="","",IF(COUNTIF(LISTS!$C$2:$C$250,$AU3923)=0,"NEW",""))</f>
        <v/>
      </c>
      <c r="BA3923" s="2" t="str">
        <f>IF(""&amp;$F3923&lt;&gt;"4","",IF($AY3923="YES","",IF(ROUND(SUMIFS($AE$2:$AE$4001,$L$2:$L$4001,$L3923,$F$2:$F$4001,"4")-SUMIFS('AR SALES'!$Y$2:$Y$2501,'AR SALES'!$L$2:$L$2501,$L3923,'AR SALES'!$AD$2:$AD$2501,"OFF"),2)=0,"","STALE")))</f>
        <v/>
      </c>
      <c r="BB3923" s="2" t="str">
        <f>IF(OR(""&amp;$F3923="2",""&amp;$F3923="4",""&amp;$F3923="G",""&amp;$F3923="H"),IF($AY3923="YES","",IF($AB3923&lt;&gt;0,"",IF(COUNTIFS('AR SALES'!$L$2:$L$2501,$L3923,'AR SALES'!$AD$2:$AD$2501,IF(""&amp;$F3923="4","OFF","ON"),'AR SALES'!$AF$2:$AF$2501,"Y")&gt;0,"","NO EXEMPTION"))),"")</f>
        <v/>
      </c>
    </row>
    <row r="3924" spans="46:54" x14ac:dyDescent="0.25">
      <c r="AT3924" s="2" t="str">
        <f>IF($L3924="","",IFERROR(INDEX('AR SALES'!$H$2:$H$2501,MATCH(""&amp;$L3924,'AR SALES'!$AE$2:$AE$2501,0)),""))</f>
        <v/>
      </c>
      <c r="AU3924" s="2" t="str">
        <f t="shared" si="244"/>
        <v/>
      </c>
      <c r="AV3924" s="2" t="str">
        <f t="shared" si="245"/>
        <v/>
      </c>
      <c r="AW3924" s="2" t="str">
        <f t="shared" si="246"/>
        <v/>
      </c>
      <c r="AX3924" s="2" t="str">
        <f t="shared" si="247"/>
        <v/>
      </c>
      <c r="AY3924" s="2" t="str">
        <f>IF($AV3924="","",IF(AND($Z3924=0,COUNTIF('AR SALES'!$L$2:$L$2501,$L3924)=0),"YES",""))</f>
        <v/>
      </c>
      <c r="AZ3924" s="2" t="str">
        <f>IF($AV3924="","",IF(COUNTIF(LISTS!$C$2:$C$250,$AU3924)=0,"NEW",""))</f>
        <v/>
      </c>
      <c r="BA3924" s="2" t="str">
        <f>IF(""&amp;$F3924&lt;&gt;"4","",IF($AY3924="YES","",IF(ROUND(SUMIFS($AE$2:$AE$4001,$L$2:$L$4001,$L3924,$F$2:$F$4001,"4")-SUMIFS('AR SALES'!$Y$2:$Y$2501,'AR SALES'!$L$2:$L$2501,$L3924,'AR SALES'!$AD$2:$AD$2501,"OFF"),2)=0,"","STALE")))</f>
        <v/>
      </c>
      <c r="BB3924" s="2" t="str">
        <f>IF(OR(""&amp;$F3924="2",""&amp;$F3924="4",""&amp;$F3924="G",""&amp;$F3924="H"),IF($AY3924="YES","",IF($AB3924&lt;&gt;0,"",IF(COUNTIFS('AR SALES'!$L$2:$L$2501,$L3924,'AR SALES'!$AD$2:$AD$2501,IF(""&amp;$F3924="4","OFF","ON"),'AR SALES'!$AF$2:$AF$2501,"Y")&gt;0,"","NO EXEMPTION"))),"")</f>
        <v/>
      </c>
    </row>
    <row r="3925" spans="46:54" x14ac:dyDescent="0.25">
      <c r="AT3925" s="2" t="str">
        <f>IF($L3925="","",IFERROR(INDEX('AR SALES'!$H$2:$H$2501,MATCH(""&amp;$L3925,'AR SALES'!$AE$2:$AE$2501,0)),""))</f>
        <v/>
      </c>
      <c r="AU3925" s="2" t="str">
        <f t="shared" si="244"/>
        <v/>
      </c>
      <c r="AV3925" s="2" t="str">
        <f t="shared" si="245"/>
        <v/>
      </c>
      <c r="AW3925" s="2" t="str">
        <f t="shared" si="246"/>
        <v/>
      </c>
      <c r="AX3925" s="2" t="str">
        <f t="shared" si="247"/>
        <v/>
      </c>
      <c r="AY3925" s="2" t="str">
        <f>IF($AV3925="","",IF(AND($Z3925=0,COUNTIF('AR SALES'!$L$2:$L$2501,$L3925)=0),"YES",""))</f>
        <v/>
      </c>
      <c r="AZ3925" s="2" t="str">
        <f>IF($AV3925="","",IF(COUNTIF(LISTS!$C$2:$C$250,$AU3925)=0,"NEW",""))</f>
        <v/>
      </c>
      <c r="BA3925" s="2" t="str">
        <f>IF(""&amp;$F3925&lt;&gt;"4","",IF($AY3925="YES","",IF(ROUND(SUMIFS($AE$2:$AE$4001,$L$2:$L$4001,$L3925,$F$2:$F$4001,"4")-SUMIFS('AR SALES'!$Y$2:$Y$2501,'AR SALES'!$L$2:$L$2501,$L3925,'AR SALES'!$AD$2:$AD$2501,"OFF"),2)=0,"","STALE")))</f>
        <v/>
      </c>
      <c r="BB3925" s="2" t="str">
        <f>IF(OR(""&amp;$F3925="2",""&amp;$F3925="4",""&amp;$F3925="G",""&amp;$F3925="H"),IF($AY3925="YES","",IF($AB3925&lt;&gt;0,"",IF(COUNTIFS('AR SALES'!$L$2:$L$2501,$L3925,'AR SALES'!$AD$2:$AD$2501,IF(""&amp;$F3925="4","OFF","ON"),'AR SALES'!$AF$2:$AF$2501,"Y")&gt;0,"","NO EXEMPTION"))),"")</f>
        <v/>
      </c>
    </row>
    <row r="3926" spans="46:54" x14ac:dyDescent="0.25">
      <c r="AT3926" s="2" t="str">
        <f>IF($L3926="","",IFERROR(INDEX('AR SALES'!$H$2:$H$2501,MATCH(""&amp;$L3926,'AR SALES'!$AE$2:$AE$2501,0)),""))</f>
        <v/>
      </c>
      <c r="AU3926" s="2" t="str">
        <f t="shared" si="244"/>
        <v/>
      </c>
      <c r="AV3926" s="2" t="str">
        <f t="shared" si="245"/>
        <v/>
      </c>
      <c r="AW3926" s="2" t="str">
        <f t="shared" si="246"/>
        <v/>
      </c>
      <c r="AX3926" s="2" t="str">
        <f t="shared" si="247"/>
        <v/>
      </c>
      <c r="AY3926" s="2" t="str">
        <f>IF($AV3926="","",IF(AND($Z3926=0,COUNTIF('AR SALES'!$L$2:$L$2501,$L3926)=0),"YES",""))</f>
        <v/>
      </c>
      <c r="AZ3926" s="2" t="str">
        <f>IF($AV3926="","",IF(COUNTIF(LISTS!$C$2:$C$250,$AU3926)=0,"NEW",""))</f>
        <v/>
      </c>
      <c r="BA3926" s="2" t="str">
        <f>IF(""&amp;$F3926&lt;&gt;"4","",IF($AY3926="YES","",IF(ROUND(SUMIFS($AE$2:$AE$4001,$L$2:$L$4001,$L3926,$F$2:$F$4001,"4")-SUMIFS('AR SALES'!$Y$2:$Y$2501,'AR SALES'!$L$2:$L$2501,$L3926,'AR SALES'!$AD$2:$AD$2501,"OFF"),2)=0,"","STALE")))</f>
        <v/>
      </c>
      <c r="BB3926" s="2" t="str">
        <f>IF(OR(""&amp;$F3926="2",""&amp;$F3926="4",""&amp;$F3926="G",""&amp;$F3926="H"),IF($AY3926="YES","",IF($AB3926&lt;&gt;0,"",IF(COUNTIFS('AR SALES'!$L$2:$L$2501,$L3926,'AR SALES'!$AD$2:$AD$2501,IF(""&amp;$F3926="4","OFF","ON"),'AR SALES'!$AF$2:$AF$2501,"Y")&gt;0,"","NO EXEMPTION"))),"")</f>
        <v/>
      </c>
    </row>
    <row r="3927" spans="46:54" x14ac:dyDescent="0.25">
      <c r="AT3927" s="2" t="str">
        <f>IF($L3927="","",IFERROR(INDEX('AR SALES'!$H$2:$H$2501,MATCH(""&amp;$L3927,'AR SALES'!$AE$2:$AE$2501,0)),""))</f>
        <v/>
      </c>
      <c r="AU3927" s="2" t="str">
        <f t="shared" si="244"/>
        <v/>
      </c>
      <c r="AV3927" s="2" t="str">
        <f t="shared" si="245"/>
        <v/>
      </c>
      <c r="AW3927" s="2" t="str">
        <f t="shared" si="246"/>
        <v/>
      </c>
      <c r="AX3927" s="2" t="str">
        <f t="shared" si="247"/>
        <v/>
      </c>
      <c r="AY3927" s="2" t="str">
        <f>IF($AV3927="","",IF(AND($Z3927=0,COUNTIF('AR SALES'!$L$2:$L$2501,$L3927)=0),"YES",""))</f>
        <v/>
      </c>
      <c r="AZ3927" s="2" t="str">
        <f>IF($AV3927="","",IF(COUNTIF(LISTS!$C$2:$C$250,$AU3927)=0,"NEW",""))</f>
        <v/>
      </c>
      <c r="BA3927" s="2" t="str">
        <f>IF(""&amp;$F3927&lt;&gt;"4","",IF($AY3927="YES","",IF(ROUND(SUMIFS($AE$2:$AE$4001,$L$2:$L$4001,$L3927,$F$2:$F$4001,"4")-SUMIFS('AR SALES'!$Y$2:$Y$2501,'AR SALES'!$L$2:$L$2501,$L3927,'AR SALES'!$AD$2:$AD$2501,"OFF"),2)=0,"","STALE")))</f>
        <v/>
      </c>
      <c r="BB3927" s="2" t="str">
        <f>IF(OR(""&amp;$F3927="2",""&amp;$F3927="4",""&amp;$F3927="G",""&amp;$F3927="H"),IF($AY3927="YES","",IF($AB3927&lt;&gt;0,"",IF(COUNTIFS('AR SALES'!$L$2:$L$2501,$L3927,'AR SALES'!$AD$2:$AD$2501,IF(""&amp;$F3927="4","OFF","ON"),'AR SALES'!$AF$2:$AF$2501,"Y")&gt;0,"","NO EXEMPTION"))),"")</f>
        <v/>
      </c>
    </row>
    <row r="3928" spans="46:54" x14ac:dyDescent="0.25">
      <c r="AT3928" s="2" t="str">
        <f>IF($L3928="","",IFERROR(INDEX('AR SALES'!$H$2:$H$2501,MATCH(""&amp;$L3928,'AR SALES'!$AE$2:$AE$2501,0)),""))</f>
        <v/>
      </c>
      <c r="AU3928" s="2" t="str">
        <f t="shared" si="244"/>
        <v/>
      </c>
      <c r="AV3928" s="2" t="str">
        <f t="shared" si="245"/>
        <v/>
      </c>
      <c r="AW3928" s="2" t="str">
        <f t="shared" si="246"/>
        <v/>
      </c>
      <c r="AX3928" s="2" t="str">
        <f t="shared" si="247"/>
        <v/>
      </c>
      <c r="AY3928" s="2" t="str">
        <f>IF($AV3928="","",IF(AND($Z3928=0,COUNTIF('AR SALES'!$L$2:$L$2501,$L3928)=0),"YES",""))</f>
        <v/>
      </c>
      <c r="AZ3928" s="2" t="str">
        <f>IF($AV3928="","",IF(COUNTIF(LISTS!$C$2:$C$250,$AU3928)=0,"NEW",""))</f>
        <v/>
      </c>
      <c r="BA3928" s="2" t="str">
        <f>IF(""&amp;$F3928&lt;&gt;"4","",IF($AY3928="YES","",IF(ROUND(SUMIFS($AE$2:$AE$4001,$L$2:$L$4001,$L3928,$F$2:$F$4001,"4")-SUMIFS('AR SALES'!$Y$2:$Y$2501,'AR SALES'!$L$2:$L$2501,$L3928,'AR SALES'!$AD$2:$AD$2501,"OFF"),2)=0,"","STALE")))</f>
        <v/>
      </c>
      <c r="BB3928" s="2" t="str">
        <f>IF(OR(""&amp;$F3928="2",""&amp;$F3928="4",""&amp;$F3928="G",""&amp;$F3928="H"),IF($AY3928="YES","",IF($AB3928&lt;&gt;0,"",IF(COUNTIFS('AR SALES'!$L$2:$L$2501,$L3928,'AR SALES'!$AD$2:$AD$2501,IF(""&amp;$F3928="4","OFF","ON"),'AR SALES'!$AF$2:$AF$2501,"Y")&gt;0,"","NO EXEMPTION"))),"")</f>
        <v/>
      </c>
    </row>
    <row r="3929" spans="46:54" x14ac:dyDescent="0.25">
      <c r="AT3929" s="2" t="str">
        <f>IF($L3929="","",IFERROR(INDEX('AR SALES'!$H$2:$H$2501,MATCH(""&amp;$L3929,'AR SALES'!$AE$2:$AE$2501,0)),""))</f>
        <v/>
      </c>
      <c r="AU3929" s="2" t="str">
        <f t="shared" si="244"/>
        <v/>
      </c>
      <c r="AV3929" s="2" t="str">
        <f t="shared" si="245"/>
        <v/>
      </c>
      <c r="AW3929" s="2" t="str">
        <f t="shared" si="246"/>
        <v/>
      </c>
      <c r="AX3929" s="2" t="str">
        <f t="shared" si="247"/>
        <v/>
      </c>
      <c r="AY3929" s="2" t="str">
        <f>IF($AV3929="","",IF(AND($Z3929=0,COUNTIF('AR SALES'!$L$2:$L$2501,$L3929)=0),"YES",""))</f>
        <v/>
      </c>
      <c r="AZ3929" s="2" t="str">
        <f>IF($AV3929="","",IF(COUNTIF(LISTS!$C$2:$C$250,$AU3929)=0,"NEW",""))</f>
        <v/>
      </c>
      <c r="BA3929" s="2" t="str">
        <f>IF(""&amp;$F3929&lt;&gt;"4","",IF($AY3929="YES","",IF(ROUND(SUMIFS($AE$2:$AE$4001,$L$2:$L$4001,$L3929,$F$2:$F$4001,"4")-SUMIFS('AR SALES'!$Y$2:$Y$2501,'AR SALES'!$L$2:$L$2501,$L3929,'AR SALES'!$AD$2:$AD$2501,"OFF"),2)=0,"","STALE")))</f>
        <v/>
      </c>
      <c r="BB3929" s="2" t="str">
        <f>IF(OR(""&amp;$F3929="2",""&amp;$F3929="4",""&amp;$F3929="G",""&amp;$F3929="H"),IF($AY3929="YES","",IF($AB3929&lt;&gt;0,"",IF(COUNTIFS('AR SALES'!$L$2:$L$2501,$L3929,'AR SALES'!$AD$2:$AD$2501,IF(""&amp;$F3929="4","OFF","ON"),'AR SALES'!$AF$2:$AF$2501,"Y")&gt;0,"","NO EXEMPTION"))),"")</f>
        <v/>
      </c>
    </row>
    <row r="3930" spans="46:54" x14ac:dyDescent="0.25">
      <c r="AT3930" s="2" t="str">
        <f>IF($L3930="","",IFERROR(INDEX('AR SALES'!$H$2:$H$2501,MATCH(""&amp;$L3930,'AR SALES'!$AE$2:$AE$2501,0)),""))</f>
        <v/>
      </c>
      <c r="AU3930" s="2" t="str">
        <f t="shared" si="244"/>
        <v/>
      </c>
      <c r="AV3930" s="2" t="str">
        <f t="shared" si="245"/>
        <v/>
      </c>
      <c r="AW3930" s="2" t="str">
        <f t="shared" si="246"/>
        <v/>
      </c>
      <c r="AX3930" s="2" t="str">
        <f t="shared" si="247"/>
        <v/>
      </c>
      <c r="AY3930" s="2" t="str">
        <f>IF($AV3930="","",IF(AND($Z3930=0,COUNTIF('AR SALES'!$L$2:$L$2501,$L3930)=0),"YES",""))</f>
        <v/>
      </c>
      <c r="AZ3930" s="2" t="str">
        <f>IF($AV3930="","",IF(COUNTIF(LISTS!$C$2:$C$250,$AU3930)=0,"NEW",""))</f>
        <v/>
      </c>
      <c r="BA3930" s="2" t="str">
        <f>IF(""&amp;$F3930&lt;&gt;"4","",IF($AY3930="YES","",IF(ROUND(SUMIFS($AE$2:$AE$4001,$L$2:$L$4001,$L3930,$F$2:$F$4001,"4")-SUMIFS('AR SALES'!$Y$2:$Y$2501,'AR SALES'!$L$2:$L$2501,$L3930,'AR SALES'!$AD$2:$AD$2501,"OFF"),2)=0,"","STALE")))</f>
        <v/>
      </c>
      <c r="BB3930" s="2" t="str">
        <f>IF(OR(""&amp;$F3930="2",""&amp;$F3930="4",""&amp;$F3930="G",""&amp;$F3930="H"),IF($AY3930="YES","",IF($AB3930&lt;&gt;0,"",IF(COUNTIFS('AR SALES'!$L$2:$L$2501,$L3930,'AR SALES'!$AD$2:$AD$2501,IF(""&amp;$F3930="4","OFF","ON"),'AR SALES'!$AF$2:$AF$2501,"Y")&gt;0,"","NO EXEMPTION"))),"")</f>
        <v/>
      </c>
    </row>
    <row r="3931" spans="46:54" x14ac:dyDescent="0.25">
      <c r="AT3931" s="2" t="str">
        <f>IF($L3931="","",IFERROR(INDEX('AR SALES'!$H$2:$H$2501,MATCH(""&amp;$L3931,'AR SALES'!$AE$2:$AE$2501,0)),""))</f>
        <v/>
      </c>
      <c r="AU3931" s="2" t="str">
        <f t="shared" si="244"/>
        <v/>
      </c>
      <c r="AV3931" s="2" t="str">
        <f t="shared" si="245"/>
        <v/>
      </c>
      <c r="AW3931" s="2" t="str">
        <f t="shared" si="246"/>
        <v/>
      </c>
      <c r="AX3931" s="2" t="str">
        <f t="shared" si="247"/>
        <v/>
      </c>
      <c r="AY3931" s="2" t="str">
        <f>IF($AV3931="","",IF(AND($Z3931=0,COUNTIF('AR SALES'!$L$2:$L$2501,$L3931)=0),"YES",""))</f>
        <v/>
      </c>
      <c r="AZ3931" s="2" t="str">
        <f>IF($AV3931="","",IF(COUNTIF(LISTS!$C$2:$C$250,$AU3931)=0,"NEW",""))</f>
        <v/>
      </c>
      <c r="BA3931" s="2" t="str">
        <f>IF(""&amp;$F3931&lt;&gt;"4","",IF($AY3931="YES","",IF(ROUND(SUMIFS($AE$2:$AE$4001,$L$2:$L$4001,$L3931,$F$2:$F$4001,"4")-SUMIFS('AR SALES'!$Y$2:$Y$2501,'AR SALES'!$L$2:$L$2501,$L3931,'AR SALES'!$AD$2:$AD$2501,"OFF"),2)=0,"","STALE")))</f>
        <v/>
      </c>
      <c r="BB3931" s="2" t="str">
        <f>IF(OR(""&amp;$F3931="2",""&amp;$F3931="4",""&amp;$F3931="G",""&amp;$F3931="H"),IF($AY3931="YES","",IF($AB3931&lt;&gt;0,"",IF(COUNTIFS('AR SALES'!$L$2:$L$2501,$L3931,'AR SALES'!$AD$2:$AD$2501,IF(""&amp;$F3931="4","OFF","ON"),'AR SALES'!$AF$2:$AF$2501,"Y")&gt;0,"","NO EXEMPTION"))),"")</f>
        <v/>
      </c>
    </row>
    <row r="3932" spans="46:54" x14ac:dyDescent="0.25">
      <c r="AT3932" s="2" t="str">
        <f>IF($L3932="","",IFERROR(INDEX('AR SALES'!$H$2:$H$2501,MATCH(""&amp;$L3932,'AR SALES'!$AE$2:$AE$2501,0)),""))</f>
        <v/>
      </c>
      <c r="AU3932" s="2" t="str">
        <f t="shared" si="244"/>
        <v/>
      </c>
      <c r="AV3932" s="2" t="str">
        <f t="shared" si="245"/>
        <v/>
      </c>
      <c r="AW3932" s="2" t="str">
        <f t="shared" si="246"/>
        <v/>
      </c>
      <c r="AX3932" s="2" t="str">
        <f t="shared" si="247"/>
        <v/>
      </c>
      <c r="AY3932" s="2" t="str">
        <f>IF($AV3932="","",IF(AND($Z3932=0,COUNTIF('AR SALES'!$L$2:$L$2501,$L3932)=0),"YES",""))</f>
        <v/>
      </c>
      <c r="AZ3932" s="2" t="str">
        <f>IF($AV3932="","",IF(COUNTIF(LISTS!$C$2:$C$250,$AU3932)=0,"NEW",""))</f>
        <v/>
      </c>
      <c r="BA3932" s="2" t="str">
        <f>IF(""&amp;$F3932&lt;&gt;"4","",IF($AY3932="YES","",IF(ROUND(SUMIFS($AE$2:$AE$4001,$L$2:$L$4001,$L3932,$F$2:$F$4001,"4")-SUMIFS('AR SALES'!$Y$2:$Y$2501,'AR SALES'!$L$2:$L$2501,$L3932,'AR SALES'!$AD$2:$AD$2501,"OFF"),2)=0,"","STALE")))</f>
        <v/>
      </c>
      <c r="BB3932" s="2" t="str">
        <f>IF(OR(""&amp;$F3932="2",""&amp;$F3932="4",""&amp;$F3932="G",""&amp;$F3932="H"),IF($AY3932="YES","",IF($AB3932&lt;&gt;0,"",IF(COUNTIFS('AR SALES'!$L$2:$L$2501,$L3932,'AR SALES'!$AD$2:$AD$2501,IF(""&amp;$F3932="4","OFF","ON"),'AR SALES'!$AF$2:$AF$2501,"Y")&gt;0,"","NO EXEMPTION"))),"")</f>
        <v/>
      </c>
    </row>
    <row r="3933" spans="46:54" x14ac:dyDescent="0.25">
      <c r="AT3933" s="2" t="str">
        <f>IF($L3933="","",IFERROR(INDEX('AR SALES'!$H$2:$H$2501,MATCH(""&amp;$L3933,'AR SALES'!$AE$2:$AE$2501,0)),""))</f>
        <v/>
      </c>
      <c r="AU3933" s="2" t="str">
        <f t="shared" si="244"/>
        <v/>
      </c>
      <c r="AV3933" s="2" t="str">
        <f t="shared" si="245"/>
        <v/>
      </c>
      <c r="AW3933" s="2" t="str">
        <f t="shared" si="246"/>
        <v/>
      </c>
      <c r="AX3933" s="2" t="str">
        <f t="shared" si="247"/>
        <v/>
      </c>
      <c r="AY3933" s="2" t="str">
        <f>IF($AV3933="","",IF(AND($Z3933=0,COUNTIF('AR SALES'!$L$2:$L$2501,$L3933)=0),"YES",""))</f>
        <v/>
      </c>
      <c r="AZ3933" s="2" t="str">
        <f>IF($AV3933="","",IF(COUNTIF(LISTS!$C$2:$C$250,$AU3933)=0,"NEW",""))</f>
        <v/>
      </c>
      <c r="BA3933" s="2" t="str">
        <f>IF(""&amp;$F3933&lt;&gt;"4","",IF($AY3933="YES","",IF(ROUND(SUMIFS($AE$2:$AE$4001,$L$2:$L$4001,$L3933,$F$2:$F$4001,"4")-SUMIFS('AR SALES'!$Y$2:$Y$2501,'AR SALES'!$L$2:$L$2501,$L3933,'AR SALES'!$AD$2:$AD$2501,"OFF"),2)=0,"","STALE")))</f>
        <v/>
      </c>
      <c r="BB3933" s="2" t="str">
        <f>IF(OR(""&amp;$F3933="2",""&amp;$F3933="4",""&amp;$F3933="G",""&amp;$F3933="H"),IF($AY3933="YES","",IF($AB3933&lt;&gt;0,"",IF(COUNTIFS('AR SALES'!$L$2:$L$2501,$L3933,'AR SALES'!$AD$2:$AD$2501,IF(""&amp;$F3933="4","OFF","ON"),'AR SALES'!$AF$2:$AF$2501,"Y")&gt;0,"","NO EXEMPTION"))),"")</f>
        <v/>
      </c>
    </row>
    <row r="3934" spans="46:54" x14ac:dyDescent="0.25">
      <c r="AT3934" s="2" t="str">
        <f>IF($L3934="","",IFERROR(INDEX('AR SALES'!$H$2:$H$2501,MATCH(""&amp;$L3934,'AR SALES'!$AE$2:$AE$2501,0)),""))</f>
        <v/>
      </c>
      <c r="AU3934" s="2" t="str">
        <f t="shared" si="244"/>
        <v/>
      </c>
      <c r="AV3934" s="2" t="str">
        <f t="shared" si="245"/>
        <v/>
      </c>
      <c r="AW3934" s="2" t="str">
        <f t="shared" si="246"/>
        <v/>
      </c>
      <c r="AX3934" s="2" t="str">
        <f t="shared" si="247"/>
        <v/>
      </c>
      <c r="AY3934" s="2" t="str">
        <f>IF($AV3934="","",IF(AND($Z3934=0,COUNTIF('AR SALES'!$L$2:$L$2501,$L3934)=0),"YES",""))</f>
        <v/>
      </c>
      <c r="AZ3934" s="2" t="str">
        <f>IF($AV3934="","",IF(COUNTIF(LISTS!$C$2:$C$250,$AU3934)=0,"NEW",""))</f>
        <v/>
      </c>
      <c r="BA3934" s="2" t="str">
        <f>IF(""&amp;$F3934&lt;&gt;"4","",IF($AY3934="YES","",IF(ROUND(SUMIFS($AE$2:$AE$4001,$L$2:$L$4001,$L3934,$F$2:$F$4001,"4")-SUMIFS('AR SALES'!$Y$2:$Y$2501,'AR SALES'!$L$2:$L$2501,$L3934,'AR SALES'!$AD$2:$AD$2501,"OFF"),2)=0,"","STALE")))</f>
        <v/>
      </c>
      <c r="BB3934" s="2" t="str">
        <f>IF(OR(""&amp;$F3934="2",""&amp;$F3934="4",""&amp;$F3934="G",""&amp;$F3934="H"),IF($AY3934="YES","",IF($AB3934&lt;&gt;0,"",IF(COUNTIFS('AR SALES'!$L$2:$L$2501,$L3934,'AR SALES'!$AD$2:$AD$2501,IF(""&amp;$F3934="4","OFF","ON"),'AR SALES'!$AF$2:$AF$2501,"Y")&gt;0,"","NO EXEMPTION"))),"")</f>
        <v/>
      </c>
    </row>
    <row r="3935" spans="46:54" x14ac:dyDescent="0.25">
      <c r="AT3935" s="2" t="str">
        <f>IF($L3935="","",IFERROR(INDEX('AR SALES'!$H$2:$H$2501,MATCH(""&amp;$L3935,'AR SALES'!$AE$2:$AE$2501,0)),""))</f>
        <v/>
      </c>
      <c r="AU3935" s="2" t="str">
        <f t="shared" si="244"/>
        <v/>
      </c>
      <c r="AV3935" s="2" t="str">
        <f t="shared" si="245"/>
        <v/>
      </c>
      <c r="AW3935" s="2" t="str">
        <f t="shared" si="246"/>
        <v/>
      </c>
      <c r="AX3935" s="2" t="str">
        <f t="shared" si="247"/>
        <v/>
      </c>
      <c r="AY3935" s="2" t="str">
        <f>IF($AV3935="","",IF(AND($Z3935=0,COUNTIF('AR SALES'!$L$2:$L$2501,$L3935)=0),"YES",""))</f>
        <v/>
      </c>
      <c r="AZ3935" s="2" t="str">
        <f>IF($AV3935="","",IF(COUNTIF(LISTS!$C$2:$C$250,$AU3935)=0,"NEW",""))</f>
        <v/>
      </c>
      <c r="BA3935" s="2" t="str">
        <f>IF(""&amp;$F3935&lt;&gt;"4","",IF($AY3935="YES","",IF(ROUND(SUMIFS($AE$2:$AE$4001,$L$2:$L$4001,$L3935,$F$2:$F$4001,"4")-SUMIFS('AR SALES'!$Y$2:$Y$2501,'AR SALES'!$L$2:$L$2501,$L3935,'AR SALES'!$AD$2:$AD$2501,"OFF"),2)=0,"","STALE")))</f>
        <v/>
      </c>
      <c r="BB3935" s="2" t="str">
        <f>IF(OR(""&amp;$F3935="2",""&amp;$F3935="4",""&amp;$F3935="G",""&amp;$F3935="H"),IF($AY3935="YES","",IF($AB3935&lt;&gt;0,"",IF(COUNTIFS('AR SALES'!$L$2:$L$2501,$L3935,'AR SALES'!$AD$2:$AD$2501,IF(""&amp;$F3935="4","OFF","ON"),'AR SALES'!$AF$2:$AF$2501,"Y")&gt;0,"","NO EXEMPTION"))),"")</f>
        <v/>
      </c>
    </row>
    <row r="3936" spans="46:54" x14ac:dyDescent="0.25">
      <c r="AT3936" s="2" t="str">
        <f>IF($L3936="","",IFERROR(INDEX('AR SALES'!$H$2:$H$2501,MATCH(""&amp;$L3936,'AR SALES'!$AE$2:$AE$2501,0)),""))</f>
        <v/>
      </c>
      <c r="AU3936" s="2" t="str">
        <f t="shared" si="244"/>
        <v/>
      </c>
      <c r="AV3936" s="2" t="str">
        <f t="shared" si="245"/>
        <v/>
      </c>
      <c r="AW3936" s="2" t="str">
        <f t="shared" si="246"/>
        <v/>
      </c>
      <c r="AX3936" s="2" t="str">
        <f t="shared" si="247"/>
        <v/>
      </c>
      <c r="AY3936" s="2" t="str">
        <f>IF($AV3936="","",IF(AND($Z3936=0,COUNTIF('AR SALES'!$L$2:$L$2501,$L3936)=0),"YES",""))</f>
        <v/>
      </c>
      <c r="AZ3936" s="2" t="str">
        <f>IF($AV3936="","",IF(COUNTIF(LISTS!$C$2:$C$250,$AU3936)=0,"NEW",""))</f>
        <v/>
      </c>
      <c r="BA3936" s="2" t="str">
        <f>IF(""&amp;$F3936&lt;&gt;"4","",IF($AY3936="YES","",IF(ROUND(SUMIFS($AE$2:$AE$4001,$L$2:$L$4001,$L3936,$F$2:$F$4001,"4")-SUMIFS('AR SALES'!$Y$2:$Y$2501,'AR SALES'!$L$2:$L$2501,$L3936,'AR SALES'!$AD$2:$AD$2501,"OFF"),2)=0,"","STALE")))</f>
        <v/>
      </c>
      <c r="BB3936" s="2" t="str">
        <f>IF(OR(""&amp;$F3936="2",""&amp;$F3936="4",""&amp;$F3936="G",""&amp;$F3936="H"),IF($AY3936="YES","",IF($AB3936&lt;&gt;0,"",IF(COUNTIFS('AR SALES'!$L$2:$L$2501,$L3936,'AR SALES'!$AD$2:$AD$2501,IF(""&amp;$F3936="4","OFF","ON"),'AR SALES'!$AF$2:$AF$2501,"Y")&gt;0,"","NO EXEMPTION"))),"")</f>
        <v/>
      </c>
    </row>
    <row r="3937" spans="46:54" x14ac:dyDescent="0.25">
      <c r="AT3937" s="2" t="str">
        <f>IF($L3937="","",IFERROR(INDEX('AR SALES'!$H$2:$H$2501,MATCH(""&amp;$L3937,'AR SALES'!$AE$2:$AE$2501,0)),""))</f>
        <v/>
      </c>
      <c r="AU3937" s="2" t="str">
        <f t="shared" si="244"/>
        <v/>
      </c>
      <c r="AV3937" s="2" t="str">
        <f t="shared" si="245"/>
        <v/>
      </c>
      <c r="AW3937" s="2" t="str">
        <f t="shared" si="246"/>
        <v/>
      </c>
      <c r="AX3937" s="2" t="str">
        <f t="shared" si="247"/>
        <v/>
      </c>
      <c r="AY3937" s="2" t="str">
        <f>IF($AV3937="","",IF(AND($Z3937=0,COUNTIF('AR SALES'!$L$2:$L$2501,$L3937)=0),"YES",""))</f>
        <v/>
      </c>
      <c r="AZ3937" s="2" t="str">
        <f>IF($AV3937="","",IF(COUNTIF(LISTS!$C$2:$C$250,$AU3937)=0,"NEW",""))</f>
        <v/>
      </c>
      <c r="BA3937" s="2" t="str">
        <f>IF(""&amp;$F3937&lt;&gt;"4","",IF($AY3937="YES","",IF(ROUND(SUMIFS($AE$2:$AE$4001,$L$2:$L$4001,$L3937,$F$2:$F$4001,"4")-SUMIFS('AR SALES'!$Y$2:$Y$2501,'AR SALES'!$L$2:$L$2501,$L3937,'AR SALES'!$AD$2:$AD$2501,"OFF"),2)=0,"","STALE")))</f>
        <v/>
      </c>
      <c r="BB3937" s="2" t="str">
        <f>IF(OR(""&amp;$F3937="2",""&amp;$F3937="4",""&amp;$F3937="G",""&amp;$F3937="H"),IF($AY3937="YES","",IF($AB3937&lt;&gt;0,"",IF(COUNTIFS('AR SALES'!$L$2:$L$2501,$L3937,'AR SALES'!$AD$2:$AD$2501,IF(""&amp;$F3937="4","OFF","ON"),'AR SALES'!$AF$2:$AF$2501,"Y")&gt;0,"","NO EXEMPTION"))),"")</f>
        <v/>
      </c>
    </row>
    <row r="3938" spans="46:54" x14ac:dyDescent="0.25">
      <c r="AT3938" s="2" t="str">
        <f>IF($L3938="","",IFERROR(INDEX('AR SALES'!$H$2:$H$2501,MATCH(""&amp;$L3938,'AR SALES'!$AE$2:$AE$2501,0)),""))</f>
        <v/>
      </c>
      <c r="AU3938" s="2" t="str">
        <f t="shared" si="244"/>
        <v/>
      </c>
      <c r="AV3938" s="2" t="str">
        <f t="shared" si="245"/>
        <v/>
      </c>
      <c r="AW3938" s="2" t="str">
        <f t="shared" si="246"/>
        <v/>
      </c>
      <c r="AX3938" s="2" t="str">
        <f t="shared" si="247"/>
        <v/>
      </c>
      <c r="AY3938" s="2" t="str">
        <f>IF($AV3938="","",IF(AND($Z3938=0,COUNTIF('AR SALES'!$L$2:$L$2501,$L3938)=0),"YES",""))</f>
        <v/>
      </c>
      <c r="AZ3938" s="2" t="str">
        <f>IF($AV3938="","",IF(COUNTIF(LISTS!$C$2:$C$250,$AU3938)=0,"NEW",""))</f>
        <v/>
      </c>
      <c r="BA3938" s="2" t="str">
        <f>IF(""&amp;$F3938&lt;&gt;"4","",IF($AY3938="YES","",IF(ROUND(SUMIFS($AE$2:$AE$4001,$L$2:$L$4001,$L3938,$F$2:$F$4001,"4")-SUMIFS('AR SALES'!$Y$2:$Y$2501,'AR SALES'!$L$2:$L$2501,$L3938,'AR SALES'!$AD$2:$AD$2501,"OFF"),2)=0,"","STALE")))</f>
        <v/>
      </c>
      <c r="BB3938" s="2" t="str">
        <f>IF(OR(""&amp;$F3938="2",""&amp;$F3938="4",""&amp;$F3938="G",""&amp;$F3938="H"),IF($AY3938="YES","",IF($AB3938&lt;&gt;0,"",IF(COUNTIFS('AR SALES'!$L$2:$L$2501,$L3938,'AR SALES'!$AD$2:$AD$2501,IF(""&amp;$F3938="4","OFF","ON"),'AR SALES'!$AF$2:$AF$2501,"Y")&gt;0,"","NO EXEMPTION"))),"")</f>
        <v/>
      </c>
    </row>
    <row r="3939" spans="46:54" x14ac:dyDescent="0.25">
      <c r="AT3939" s="2" t="str">
        <f>IF($L3939="","",IFERROR(INDEX('AR SALES'!$H$2:$H$2501,MATCH(""&amp;$L3939,'AR SALES'!$AE$2:$AE$2501,0)),""))</f>
        <v/>
      </c>
      <c r="AU3939" s="2" t="str">
        <f t="shared" si="244"/>
        <v/>
      </c>
      <c r="AV3939" s="2" t="str">
        <f t="shared" si="245"/>
        <v/>
      </c>
      <c r="AW3939" s="2" t="str">
        <f t="shared" si="246"/>
        <v/>
      </c>
      <c r="AX3939" s="2" t="str">
        <f t="shared" si="247"/>
        <v/>
      </c>
      <c r="AY3939" s="2" t="str">
        <f>IF($AV3939="","",IF(AND($Z3939=0,COUNTIF('AR SALES'!$L$2:$L$2501,$L3939)=0),"YES",""))</f>
        <v/>
      </c>
      <c r="AZ3939" s="2" t="str">
        <f>IF($AV3939="","",IF(COUNTIF(LISTS!$C$2:$C$250,$AU3939)=0,"NEW",""))</f>
        <v/>
      </c>
      <c r="BA3939" s="2" t="str">
        <f>IF(""&amp;$F3939&lt;&gt;"4","",IF($AY3939="YES","",IF(ROUND(SUMIFS($AE$2:$AE$4001,$L$2:$L$4001,$L3939,$F$2:$F$4001,"4")-SUMIFS('AR SALES'!$Y$2:$Y$2501,'AR SALES'!$L$2:$L$2501,$L3939,'AR SALES'!$AD$2:$AD$2501,"OFF"),2)=0,"","STALE")))</f>
        <v/>
      </c>
      <c r="BB3939" s="2" t="str">
        <f>IF(OR(""&amp;$F3939="2",""&amp;$F3939="4",""&amp;$F3939="G",""&amp;$F3939="H"),IF($AY3939="YES","",IF($AB3939&lt;&gt;0,"",IF(COUNTIFS('AR SALES'!$L$2:$L$2501,$L3939,'AR SALES'!$AD$2:$AD$2501,IF(""&amp;$F3939="4","OFF","ON"),'AR SALES'!$AF$2:$AF$2501,"Y")&gt;0,"","NO EXEMPTION"))),"")</f>
        <v/>
      </c>
    </row>
    <row r="3940" spans="46:54" x14ac:dyDescent="0.25">
      <c r="AT3940" s="2" t="str">
        <f>IF($L3940="","",IFERROR(INDEX('AR SALES'!$H$2:$H$2501,MATCH(""&amp;$L3940,'AR SALES'!$AE$2:$AE$2501,0)),""))</f>
        <v/>
      </c>
      <c r="AU3940" s="2" t="str">
        <f t="shared" si="244"/>
        <v/>
      </c>
      <c r="AV3940" s="2" t="str">
        <f t="shared" si="245"/>
        <v/>
      </c>
      <c r="AW3940" s="2" t="str">
        <f t="shared" si="246"/>
        <v/>
      </c>
      <c r="AX3940" s="2" t="str">
        <f t="shared" si="247"/>
        <v/>
      </c>
      <c r="AY3940" s="2" t="str">
        <f>IF($AV3940="","",IF(AND($Z3940=0,COUNTIF('AR SALES'!$L$2:$L$2501,$L3940)=0),"YES",""))</f>
        <v/>
      </c>
      <c r="AZ3940" s="2" t="str">
        <f>IF($AV3940="","",IF(COUNTIF(LISTS!$C$2:$C$250,$AU3940)=0,"NEW",""))</f>
        <v/>
      </c>
      <c r="BA3940" s="2" t="str">
        <f>IF(""&amp;$F3940&lt;&gt;"4","",IF($AY3940="YES","",IF(ROUND(SUMIFS($AE$2:$AE$4001,$L$2:$L$4001,$L3940,$F$2:$F$4001,"4")-SUMIFS('AR SALES'!$Y$2:$Y$2501,'AR SALES'!$L$2:$L$2501,$L3940,'AR SALES'!$AD$2:$AD$2501,"OFF"),2)=0,"","STALE")))</f>
        <v/>
      </c>
      <c r="BB3940" s="2" t="str">
        <f>IF(OR(""&amp;$F3940="2",""&amp;$F3940="4",""&amp;$F3940="G",""&amp;$F3940="H"),IF($AY3940="YES","",IF($AB3940&lt;&gt;0,"",IF(COUNTIFS('AR SALES'!$L$2:$L$2501,$L3940,'AR SALES'!$AD$2:$AD$2501,IF(""&amp;$F3940="4","OFF","ON"),'AR SALES'!$AF$2:$AF$2501,"Y")&gt;0,"","NO EXEMPTION"))),"")</f>
        <v/>
      </c>
    </row>
    <row r="3941" spans="46:54" x14ac:dyDescent="0.25">
      <c r="AT3941" s="2" t="str">
        <f>IF($L3941="","",IFERROR(INDEX('AR SALES'!$H$2:$H$2501,MATCH(""&amp;$L3941,'AR SALES'!$AE$2:$AE$2501,0)),""))</f>
        <v/>
      </c>
      <c r="AU3941" s="2" t="str">
        <f t="shared" si="244"/>
        <v/>
      </c>
      <c r="AV3941" s="2" t="str">
        <f t="shared" si="245"/>
        <v/>
      </c>
      <c r="AW3941" s="2" t="str">
        <f t="shared" si="246"/>
        <v/>
      </c>
      <c r="AX3941" s="2" t="str">
        <f t="shared" si="247"/>
        <v/>
      </c>
      <c r="AY3941" s="2" t="str">
        <f>IF($AV3941="","",IF(AND($Z3941=0,COUNTIF('AR SALES'!$L$2:$L$2501,$L3941)=0),"YES",""))</f>
        <v/>
      </c>
      <c r="AZ3941" s="2" t="str">
        <f>IF($AV3941="","",IF(COUNTIF(LISTS!$C$2:$C$250,$AU3941)=0,"NEW",""))</f>
        <v/>
      </c>
      <c r="BA3941" s="2" t="str">
        <f>IF(""&amp;$F3941&lt;&gt;"4","",IF($AY3941="YES","",IF(ROUND(SUMIFS($AE$2:$AE$4001,$L$2:$L$4001,$L3941,$F$2:$F$4001,"4")-SUMIFS('AR SALES'!$Y$2:$Y$2501,'AR SALES'!$L$2:$L$2501,$L3941,'AR SALES'!$AD$2:$AD$2501,"OFF"),2)=0,"","STALE")))</f>
        <v/>
      </c>
      <c r="BB3941" s="2" t="str">
        <f>IF(OR(""&amp;$F3941="2",""&amp;$F3941="4",""&amp;$F3941="G",""&amp;$F3941="H"),IF($AY3941="YES","",IF($AB3941&lt;&gt;0,"",IF(COUNTIFS('AR SALES'!$L$2:$L$2501,$L3941,'AR SALES'!$AD$2:$AD$2501,IF(""&amp;$F3941="4","OFF","ON"),'AR SALES'!$AF$2:$AF$2501,"Y")&gt;0,"","NO EXEMPTION"))),"")</f>
        <v/>
      </c>
    </row>
    <row r="3942" spans="46:54" x14ac:dyDescent="0.25">
      <c r="AT3942" s="2" t="str">
        <f>IF($L3942="","",IFERROR(INDEX('AR SALES'!$H$2:$H$2501,MATCH(""&amp;$L3942,'AR SALES'!$AE$2:$AE$2501,0)),""))</f>
        <v/>
      </c>
      <c r="AU3942" s="2" t="str">
        <f t="shared" si="244"/>
        <v/>
      </c>
      <c r="AV3942" s="2" t="str">
        <f t="shared" si="245"/>
        <v/>
      </c>
      <c r="AW3942" s="2" t="str">
        <f t="shared" si="246"/>
        <v/>
      </c>
      <c r="AX3942" s="2" t="str">
        <f t="shared" si="247"/>
        <v/>
      </c>
      <c r="AY3942" s="2" t="str">
        <f>IF($AV3942="","",IF(AND($Z3942=0,COUNTIF('AR SALES'!$L$2:$L$2501,$L3942)=0),"YES",""))</f>
        <v/>
      </c>
      <c r="AZ3942" s="2" t="str">
        <f>IF($AV3942="","",IF(COUNTIF(LISTS!$C$2:$C$250,$AU3942)=0,"NEW",""))</f>
        <v/>
      </c>
      <c r="BA3942" s="2" t="str">
        <f>IF(""&amp;$F3942&lt;&gt;"4","",IF($AY3942="YES","",IF(ROUND(SUMIFS($AE$2:$AE$4001,$L$2:$L$4001,$L3942,$F$2:$F$4001,"4")-SUMIFS('AR SALES'!$Y$2:$Y$2501,'AR SALES'!$L$2:$L$2501,$L3942,'AR SALES'!$AD$2:$AD$2501,"OFF"),2)=0,"","STALE")))</f>
        <v/>
      </c>
      <c r="BB3942" s="2" t="str">
        <f>IF(OR(""&amp;$F3942="2",""&amp;$F3942="4",""&amp;$F3942="G",""&amp;$F3942="H"),IF($AY3942="YES","",IF($AB3942&lt;&gt;0,"",IF(COUNTIFS('AR SALES'!$L$2:$L$2501,$L3942,'AR SALES'!$AD$2:$AD$2501,IF(""&amp;$F3942="4","OFF","ON"),'AR SALES'!$AF$2:$AF$2501,"Y")&gt;0,"","NO EXEMPTION"))),"")</f>
        <v/>
      </c>
    </row>
    <row r="3943" spans="46:54" x14ac:dyDescent="0.25">
      <c r="AT3943" s="2" t="str">
        <f>IF($L3943="","",IFERROR(INDEX('AR SALES'!$H$2:$H$2501,MATCH(""&amp;$L3943,'AR SALES'!$AE$2:$AE$2501,0)),""))</f>
        <v/>
      </c>
      <c r="AU3943" s="2" t="str">
        <f t="shared" si="244"/>
        <v/>
      </c>
      <c r="AV3943" s="2" t="str">
        <f t="shared" si="245"/>
        <v/>
      </c>
      <c r="AW3943" s="2" t="str">
        <f t="shared" si="246"/>
        <v/>
      </c>
      <c r="AX3943" s="2" t="str">
        <f t="shared" si="247"/>
        <v/>
      </c>
      <c r="AY3943" s="2" t="str">
        <f>IF($AV3943="","",IF(AND($Z3943=0,COUNTIF('AR SALES'!$L$2:$L$2501,$L3943)=0),"YES",""))</f>
        <v/>
      </c>
      <c r="AZ3943" s="2" t="str">
        <f>IF($AV3943="","",IF(COUNTIF(LISTS!$C$2:$C$250,$AU3943)=0,"NEW",""))</f>
        <v/>
      </c>
      <c r="BA3943" s="2" t="str">
        <f>IF(""&amp;$F3943&lt;&gt;"4","",IF($AY3943="YES","",IF(ROUND(SUMIFS($AE$2:$AE$4001,$L$2:$L$4001,$L3943,$F$2:$F$4001,"4")-SUMIFS('AR SALES'!$Y$2:$Y$2501,'AR SALES'!$L$2:$L$2501,$L3943,'AR SALES'!$AD$2:$AD$2501,"OFF"),2)=0,"","STALE")))</f>
        <v/>
      </c>
      <c r="BB3943" s="2" t="str">
        <f>IF(OR(""&amp;$F3943="2",""&amp;$F3943="4",""&amp;$F3943="G",""&amp;$F3943="H"),IF($AY3943="YES","",IF($AB3943&lt;&gt;0,"",IF(COUNTIFS('AR SALES'!$L$2:$L$2501,$L3943,'AR SALES'!$AD$2:$AD$2501,IF(""&amp;$F3943="4","OFF","ON"),'AR SALES'!$AF$2:$AF$2501,"Y")&gt;0,"","NO EXEMPTION"))),"")</f>
        <v/>
      </c>
    </row>
    <row r="3944" spans="46:54" x14ac:dyDescent="0.25">
      <c r="AT3944" s="2" t="str">
        <f>IF($L3944="","",IFERROR(INDEX('AR SALES'!$H$2:$H$2501,MATCH(""&amp;$L3944,'AR SALES'!$AE$2:$AE$2501,0)),""))</f>
        <v/>
      </c>
      <c r="AU3944" s="2" t="str">
        <f t="shared" si="244"/>
        <v/>
      </c>
      <c r="AV3944" s="2" t="str">
        <f t="shared" si="245"/>
        <v/>
      </c>
      <c r="AW3944" s="2" t="str">
        <f t="shared" si="246"/>
        <v/>
      </c>
      <c r="AX3944" s="2" t="str">
        <f t="shared" si="247"/>
        <v/>
      </c>
      <c r="AY3944" s="2" t="str">
        <f>IF($AV3944="","",IF(AND($Z3944=0,COUNTIF('AR SALES'!$L$2:$L$2501,$L3944)=0),"YES",""))</f>
        <v/>
      </c>
      <c r="AZ3944" s="2" t="str">
        <f>IF($AV3944="","",IF(COUNTIF(LISTS!$C$2:$C$250,$AU3944)=0,"NEW",""))</f>
        <v/>
      </c>
      <c r="BA3944" s="2" t="str">
        <f>IF(""&amp;$F3944&lt;&gt;"4","",IF($AY3944="YES","",IF(ROUND(SUMIFS($AE$2:$AE$4001,$L$2:$L$4001,$L3944,$F$2:$F$4001,"4")-SUMIFS('AR SALES'!$Y$2:$Y$2501,'AR SALES'!$L$2:$L$2501,$L3944,'AR SALES'!$AD$2:$AD$2501,"OFF"),2)=0,"","STALE")))</f>
        <v/>
      </c>
      <c r="BB3944" s="2" t="str">
        <f>IF(OR(""&amp;$F3944="2",""&amp;$F3944="4",""&amp;$F3944="G",""&amp;$F3944="H"),IF($AY3944="YES","",IF($AB3944&lt;&gt;0,"",IF(COUNTIFS('AR SALES'!$L$2:$L$2501,$L3944,'AR SALES'!$AD$2:$AD$2501,IF(""&amp;$F3944="4","OFF","ON"),'AR SALES'!$AF$2:$AF$2501,"Y")&gt;0,"","NO EXEMPTION"))),"")</f>
        <v/>
      </c>
    </row>
    <row r="3945" spans="46:54" x14ac:dyDescent="0.25">
      <c r="AT3945" s="2" t="str">
        <f>IF($L3945="","",IFERROR(INDEX('AR SALES'!$H$2:$H$2501,MATCH(""&amp;$L3945,'AR SALES'!$AE$2:$AE$2501,0)),""))</f>
        <v/>
      </c>
      <c r="AU3945" s="2" t="str">
        <f t="shared" si="244"/>
        <v/>
      </c>
      <c r="AV3945" s="2" t="str">
        <f t="shared" si="245"/>
        <v/>
      </c>
      <c r="AW3945" s="2" t="str">
        <f t="shared" si="246"/>
        <v/>
      </c>
      <c r="AX3945" s="2" t="str">
        <f t="shared" si="247"/>
        <v/>
      </c>
      <c r="AY3945" s="2" t="str">
        <f>IF($AV3945="","",IF(AND($Z3945=0,COUNTIF('AR SALES'!$L$2:$L$2501,$L3945)=0),"YES",""))</f>
        <v/>
      </c>
      <c r="AZ3945" s="2" t="str">
        <f>IF($AV3945="","",IF(COUNTIF(LISTS!$C$2:$C$250,$AU3945)=0,"NEW",""))</f>
        <v/>
      </c>
      <c r="BA3945" s="2" t="str">
        <f>IF(""&amp;$F3945&lt;&gt;"4","",IF($AY3945="YES","",IF(ROUND(SUMIFS($AE$2:$AE$4001,$L$2:$L$4001,$L3945,$F$2:$F$4001,"4")-SUMIFS('AR SALES'!$Y$2:$Y$2501,'AR SALES'!$L$2:$L$2501,$L3945,'AR SALES'!$AD$2:$AD$2501,"OFF"),2)=0,"","STALE")))</f>
        <v/>
      </c>
      <c r="BB3945" s="2" t="str">
        <f>IF(OR(""&amp;$F3945="2",""&amp;$F3945="4",""&amp;$F3945="G",""&amp;$F3945="H"),IF($AY3945="YES","",IF($AB3945&lt;&gt;0,"",IF(COUNTIFS('AR SALES'!$L$2:$L$2501,$L3945,'AR SALES'!$AD$2:$AD$2501,IF(""&amp;$F3945="4","OFF","ON"),'AR SALES'!$AF$2:$AF$2501,"Y")&gt;0,"","NO EXEMPTION"))),"")</f>
        <v/>
      </c>
    </row>
    <row r="3946" spans="46:54" x14ac:dyDescent="0.25">
      <c r="AT3946" s="2" t="str">
        <f>IF($L3946="","",IFERROR(INDEX('AR SALES'!$H$2:$H$2501,MATCH(""&amp;$L3946,'AR SALES'!$AE$2:$AE$2501,0)),""))</f>
        <v/>
      </c>
      <c r="AU3946" s="2" t="str">
        <f t="shared" si="244"/>
        <v/>
      </c>
      <c r="AV3946" s="2" t="str">
        <f t="shared" si="245"/>
        <v/>
      </c>
      <c r="AW3946" s="2" t="str">
        <f t="shared" si="246"/>
        <v/>
      </c>
      <c r="AX3946" s="2" t="str">
        <f t="shared" si="247"/>
        <v/>
      </c>
      <c r="AY3946" s="2" t="str">
        <f>IF($AV3946="","",IF(AND($Z3946=0,COUNTIF('AR SALES'!$L$2:$L$2501,$L3946)=0),"YES",""))</f>
        <v/>
      </c>
      <c r="AZ3946" s="2" t="str">
        <f>IF($AV3946="","",IF(COUNTIF(LISTS!$C$2:$C$250,$AU3946)=0,"NEW",""))</f>
        <v/>
      </c>
      <c r="BA3946" s="2" t="str">
        <f>IF(""&amp;$F3946&lt;&gt;"4","",IF($AY3946="YES","",IF(ROUND(SUMIFS($AE$2:$AE$4001,$L$2:$L$4001,$L3946,$F$2:$F$4001,"4")-SUMIFS('AR SALES'!$Y$2:$Y$2501,'AR SALES'!$L$2:$L$2501,$L3946,'AR SALES'!$AD$2:$AD$2501,"OFF"),2)=0,"","STALE")))</f>
        <v/>
      </c>
      <c r="BB3946" s="2" t="str">
        <f>IF(OR(""&amp;$F3946="2",""&amp;$F3946="4",""&amp;$F3946="G",""&amp;$F3946="H"),IF($AY3946="YES","",IF($AB3946&lt;&gt;0,"",IF(COUNTIFS('AR SALES'!$L$2:$L$2501,$L3946,'AR SALES'!$AD$2:$AD$2501,IF(""&amp;$F3946="4","OFF","ON"),'AR SALES'!$AF$2:$AF$2501,"Y")&gt;0,"","NO EXEMPTION"))),"")</f>
        <v/>
      </c>
    </row>
    <row r="3947" spans="46:54" x14ac:dyDescent="0.25">
      <c r="AT3947" s="2" t="str">
        <f>IF($L3947="","",IFERROR(INDEX('AR SALES'!$H$2:$H$2501,MATCH(""&amp;$L3947,'AR SALES'!$AE$2:$AE$2501,0)),""))</f>
        <v/>
      </c>
      <c r="AU3947" s="2" t="str">
        <f t="shared" si="244"/>
        <v/>
      </c>
      <c r="AV3947" s="2" t="str">
        <f t="shared" si="245"/>
        <v/>
      </c>
      <c r="AW3947" s="2" t="str">
        <f t="shared" si="246"/>
        <v/>
      </c>
      <c r="AX3947" s="2" t="str">
        <f t="shared" si="247"/>
        <v/>
      </c>
      <c r="AY3947" s="2" t="str">
        <f>IF($AV3947="","",IF(AND($Z3947=0,COUNTIF('AR SALES'!$L$2:$L$2501,$L3947)=0),"YES",""))</f>
        <v/>
      </c>
      <c r="AZ3947" s="2" t="str">
        <f>IF($AV3947="","",IF(COUNTIF(LISTS!$C$2:$C$250,$AU3947)=0,"NEW",""))</f>
        <v/>
      </c>
      <c r="BA3947" s="2" t="str">
        <f>IF(""&amp;$F3947&lt;&gt;"4","",IF($AY3947="YES","",IF(ROUND(SUMIFS($AE$2:$AE$4001,$L$2:$L$4001,$L3947,$F$2:$F$4001,"4")-SUMIFS('AR SALES'!$Y$2:$Y$2501,'AR SALES'!$L$2:$L$2501,$L3947,'AR SALES'!$AD$2:$AD$2501,"OFF"),2)=0,"","STALE")))</f>
        <v/>
      </c>
      <c r="BB3947" s="2" t="str">
        <f>IF(OR(""&amp;$F3947="2",""&amp;$F3947="4",""&amp;$F3947="G",""&amp;$F3947="H"),IF($AY3947="YES","",IF($AB3947&lt;&gt;0,"",IF(COUNTIFS('AR SALES'!$L$2:$L$2501,$L3947,'AR SALES'!$AD$2:$AD$2501,IF(""&amp;$F3947="4","OFF","ON"),'AR SALES'!$AF$2:$AF$2501,"Y")&gt;0,"","NO EXEMPTION"))),"")</f>
        <v/>
      </c>
    </row>
    <row r="3948" spans="46:54" x14ac:dyDescent="0.25">
      <c r="AT3948" s="2" t="str">
        <f>IF($L3948="","",IFERROR(INDEX('AR SALES'!$H$2:$H$2501,MATCH(""&amp;$L3948,'AR SALES'!$AE$2:$AE$2501,0)),""))</f>
        <v/>
      </c>
      <c r="AU3948" s="2" t="str">
        <f t="shared" si="244"/>
        <v/>
      </c>
      <c r="AV3948" s="2" t="str">
        <f t="shared" si="245"/>
        <v/>
      </c>
      <c r="AW3948" s="2" t="str">
        <f t="shared" si="246"/>
        <v/>
      </c>
      <c r="AX3948" s="2" t="str">
        <f t="shared" si="247"/>
        <v/>
      </c>
      <c r="AY3948" s="2" t="str">
        <f>IF($AV3948="","",IF(AND($Z3948=0,COUNTIF('AR SALES'!$L$2:$L$2501,$L3948)=0),"YES",""))</f>
        <v/>
      </c>
      <c r="AZ3948" s="2" t="str">
        <f>IF($AV3948="","",IF(COUNTIF(LISTS!$C$2:$C$250,$AU3948)=0,"NEW",""))</f>
        <v/>
      </c>
      <c r="BA3948" s="2" t="str">
        <f>IF(""&amp;$F3948&lt;&gt;"4","",IF($AY3948="YES","",IF(ROUND(SUMIFS($AE$2:$AE$4001,$L$2:$L$4001,$L3948,$F$2:$F$4001,"4")-SUMIFS('AR SALES'!$Y$2:$Y$2501,'AR SALES'!$L$2:$L$2501,$L3948,'AR SALES'!$AD$2:$AD$2501,"OFF"),2)=0,"","STALE")))</f>
        <v/>
      </c>
      <c r="BB3948" s="2" t="str">
        <f>IF(OR(""&amp;$F3948="2",""&amp;$F3948="4",""&amp;$F3948="G",""&amp;$F3948="H"),IF($AY3948="YES","",IF($AB3948&lt;&gt;0,"",IF(COUNTIFS('AR SALES'!$L$2:$L$2501,$L3948,'AR SALES'!$AD$2:$AD$2501,IF(""&amp;$F3948="4","OFF","ON"),'AR SALES'!$AF$2:$AF$2501,"Y")&gt;0,"","NO EXEMPTION"))),"")</f>
        <v/>
      </c>
    </row>
    <row r="3949" spans="46:54" x14ac:dyDescent="0.25">
      <c r="AT3949" s="2" t="str">
        <f>IF($L3949="","",IFERROR(INDEX('AR SALES'!$H$2:$H$2501,MATCH(""&amp;$L3949,'AR SALES'!$AE$2:$AE$2501,0)),""))</f>
        <v/>
      </c>
      <c r="AU3949" s="2" t="str">
        <f t="shared" si="244"/>
        <v/>
      </c>
      <c r="AV3949" s="2" t="str">
        <f t="shared" si="245"/>
        <v/>
      </c>
      <c r="AW3949" s="2" t="str">
        <f t="shared" si="246"/>
        <v/>
      </c>
      <c r="AX3949" s="2" t="str">
        <f t="shared" si="247"/>
        <v/>
      </c>
      <c r="AY3949" s="2" t="str">
        <f>IF($AV3949="","",IF(AND($Z3949=0,COUNTIF('AR SALES'!$L$2:$L$2501,$L3949)=0),"YES",""))</f>
        <v/>
      </c>
      <c r="AZ3949" s="2" t="str">
        <f>IF($AV3949="","",IF(COUNTIF(LISTS!$C$2:$C$250,$AU3949)=0,"NEW",""))</f>
        <v/>
      </c>
      <c r="BA3949" s="2" t="str">
        <f>IF(""&amp;$F3949&lt;&gt;"4","",IF($AY3949="YES","",IF(ROUND(SUMIFS($AE$2:$AE$4001,$L$2:$L$4001,$L3949,$F$2:$F$4001,"4")-SUMIFS('AR SALES'!$Y$2:$Y$2501,'AR SALES'!$L$2:$L$2501,$L3949,'AR SALES'!$AD$2:$AD$2501,"OFF"),2)=0,"","STALE")))</f>
        <v/>
      </c>
      <c r="BB3949" s="2" t="str">
        <f>IF(OR(""&amp;$F3949="2",""&amp;$F3949="4",""&amp;$F3949="G",""&amp;$F3949="H"),IF($AY3949="YES","",IF($AB3949&lt;&gt;0,"",IF(COUNTIFS('AR SALES'!$L$2:$L$2501,$L3949,'AR SALES'!$AD$2:$AD$2501,IF(""&amp;$F3949="4","OFF","ON"),'AR SALES'!$AF$2:$AF$2501,"Y")&gt;0,"","NO EXEMPTION"))),"")</f>
        <v/>
      </c>
    </row>
    <row r="3950" spans="46:54" x14ac:dyDescent="0.25">
      <c r="AT3950" s="2" t="str">
        <f>IF($L3950="","",IFERROR(INDEX('AR SALES'!$H$2:$H$2501,MATCH(""&amp;$L3950,'AR SALES'!$AE$2:$AE$2501,0)),""))</f>
        <v/>
      </c>
      <c r="AU3950" s="2" t="str">
        <f t="shared" si="244"/>
        <v/>
      </c>
      <c r="AV3950" s="2" t="str">
        <f t="shared" si="245"/>
        <v/>
      </c>
      <c r="AW3950" s="2" t="str">
        <f t="shared" si="246"/>
        <v/>
      </c>
      <c r="AX3950" s="2" t="str">
        <f t="shared" si="247"/>
        <v/>
      </c>
      <c r="AY3950" s="2" t="str">
        <f>IF($AV3950="","",IF(AND($Z3950=0,COUNTIF('AR SALES'!$L$2:$L$2501,$L3950)=0),"YES",""))</f>
        <v/>
      </c>
      <c r="AZ3950" s="2" t="str">
        <f>IF($AV3950="","",IF(COUNTIF(LISTS!$C$2:$C$250,$AU3950)=0,"NEW",""))</f>
        <v/>
      </c>
      <c r="BA3950" s="2" t="str">
        <f>IF(""&amp;$F3950&lt;&gt;"4","",IF($AY3950="YES","",IF(ROUND(SUMIFS($AE$2:$AE$4001,$L$2:$L$4001,$L3950,$F$2:$F$4001,"4")-SUMIFS('AR SALES'!$Y$2:$Y$2501,'AR SALES'!$L$2:$L$2501,$L3950,'AR SALES'!$AD$2:$AD$2501,"OFF"),2)=0,"","STALE")))</f>
        <v/>
      </c>
      <c r="BB3950" s="2" t="str">
        <f>IF(OR(""&amp;$F3950="2",""&amp;$F3950="4",""&amp;$F3950="G",""&amp;$F3950="H"),IF($AY3950="YES","",IF($AB3950&lt;&gt;0,"",IF(COUNTIFS('AR SALES'!$L$2:$L$2501,$L3950,'AR SALES'!$AD$2:$AD$2501,IF(""&amp;$F3950="4","OFF","ON"),'AR SALES'!$AF$2:$AF$2501,"Y")&gt;0,"","NO EXEMPTION"))),"")</f>
        <v/>
      </c>
    </row>
    <row r="3951" spans="46:54" x14ac:dyDescent="0.25">
      <c r="AT3951" s="2" t="str">
        <f>IF($L3951="","",IFERROR(INDEX('AR SALES'!$H$2:$H$2501,MATCH(""&amp;$L3951,'AR SALES'!$AE$2:$AE$2501,0)),""))</f>
        <v/>
      </c>
      <c r="AU3951" s="2" t="str">
        <f t="shared" si="244"/>
        <v/>
      </c>
      <c r="AV3951" s="2" t="str">
        <f t="shared" si="245"/>
        <v/>
      </c>
      <c r="AW3951" s="2" t="str">
        <f t="shared" si="246"/>
        <v/>
      </c>
      <c r="AX3951" s="2" t="str">
        <f t="shared" si="247"/>
        <v/>
      </c>
      <c r="AY3951" s="2" t="str">
        <f>IF($AV3951="","",IF(AND($Z3951=0,COUNTIF('AR SALES'!$L$2:$L$2501,$L3951)=0),"YES",""))</f>
        <v/>
      </c>
      <c r="AZ3951" s="2" t="str">
        <f>IF($AV3951="","",IF(COUNTIF(LISTS!$C$2:$C$250,$AU3951)=0,"NEW",""))</f>
        <v/>
      </c>
      <c r="BA3951" s="2" t="str">
        <f>IF(""&amp;$F3951&lt;&gt;"4","",IF($AY3951="YES","",IF(ROUND(SUMIFS($AE$2:$AE$4001,$L$2:$L$4001,$L3951,$F$2:$F$4001,"4")-SUMIFS('AR SALES'!$Y$2:$Y$2501,'AR SALES'!$L$2:$L$2501,$L3951,'AR SALES'!$AD$2:$AD$2501,"OFF"),2)=0,"","STALE")))</f>
        <v/>
      </c>
      <c r="BB3951" s="2" t="str">
        <f>IF(OR(""&amp;$F3951="2",""&amp;$F3951="4",""&amp;$F3951="G",""&amp;$F3951="H"),IF($AY3951="YES","",IF($AB3951&lt;&gt;0,"",IF(COUNTIFS('AR SALES'!$L$2:$L$2501,$L3951,'AR SALES'!$AD$2:$AD$2501,IF(""&amp;$F3951="4","OFF","ON"),'AR SALES'!$AF$2:$AF$2501,"Y")&gt;0,"","NO EXEMPTION"))),"")</f>
        <v/>
      </c>
    </row>
    <row r="3952" spans="46:54" x14ac:dyDescent="0.25">
      <c r="AT3952" s="2" t="str">
        <f>IF($L3952="","",IFERROR(INDEX('AR SALES'!$H$2:$H$2501,MATCH(""&amp;$L3952,'AR SALES'!$AE$2:$AE$2501,0)),""))</f>
        <v/>
      </c>
      <c r="AU3952" s="2" t="str">
        <f t="shared" si="244"/>
        <v/>
      </c>
      <c r="AV3952" s="2" t="str">
        <f t="shared" si="245"/>
        <v/>
      </c>
      <c r="AW3952" s="2" t="str">
        <f t="shared" si="246"/>
        <v/>
      </c>
      <c r="AX3952" s="2" t="str">
        <f t="shared" si="247"/>
        <v/>
      </c>
      <c r="AY3952" s="2" t="str">
        <f>IF($AV3952="","",IF(AND($Z3952=0,COUNTIF('AR SALES'!$L$2:$L$2501,$L3952)=0),"YES",""))</f>
        <v/>
      </c>
      <c r="AZ3952" s="2" t="str">
        <f>IF($AV3952="","",IF(COUNTIF(LISTS!$C$2:$C$250,$AU3952)=0,"NEW",""))</f>
        <v/>
      </c>
      <c r="BA3952" s="2" t="str">
        <f>IF(""&amp;$F3952&lt;&gt;"4","",IF($AY3952="YES","",IF(ROUND(SUMIFS($AE$2:$AE$4001,$L$2:$L$4001,$L3952,$F$2:$F$4001,"4")-SUMIFS('AR SALES'!$Y$2:$Y$2501,'AR SALES'!$L$2:$L$2501,$L3952,'AR SALES'!$AD$2:$AD$2501,"OFF"),2)=0,"","STALE")))</f>
        <v/>
      </c>
      <c r="BB3952" s="2" t="str">
        <f>IF(OR(""&amp;$F3952="2",""&amp;$F3952="4",""&amp;$F3952="G",""&amp;$F3952="H"),IF($AY3952="YES","",IF($AB3952&lt;&gt;0,"",IF(COUNTIFS('AR SALES'!$L$2:$L$2501,$L3952,'AR SALES'!$AD$2:$AD$2501,IF(""&amp;$F3952="4","OFF","ON"),'AR SALES'!$AF$2:$AF$2501,"Y")&gt;0,"","NO EXEMPTION"))),"")</f>
        <v/>
      </c>
    </row>
    <row r="3953" spans="46:54" x14ac:dyDescent="0.25">
      <c r="AT3953" s="2" t="str">
        <f>IF($L3953="","",IFERROR(INDEX('AR SALES'!$H$2:$H$2501,MATCH(""&amp;$L3953,'AR SALES'!$AE$2:$AE$2501,0)),""))</f>
        <v/>
      </c>
      <c r="AU3953" s="2" t="str">
        <f t="shared" si="244"/>
        <v/>
      </c>
      <c r="AV3953" s="2" t="str">
        <f t="shared" si="245"/>
        <v/>
      </c>
      <c r="AW3953" s="2" t="str">
        <f t="shared" si="246"/>
        <v/>
      </c>
      <c r="AX3953" s="2" t="str">
        <f t="shared" si="247"/>
        <v/>
      </c>
      <c r="AY3953" s="2" t="str">
        <f>IF($AV3953="","",IF(AND($Z3953=0,COUNTIF('AR SALES'!$L$2:$L$2501,$L3953)=0),"YES",""))</f>
        <v/>
      </c>
      <c r="AZ3953" s="2" t="str">
        <f>IF($AV3953="","",IF(COUNTIF(LISTS!$C$2:$C$250,$AU3953)=0,"NEW",""))</f>
        <v/>
      </c>
      <c r="BA3953" s="2" t="str">
        <f>IF(""&amp;$F3953&lt;&gt;"4","",IF($AY3953="YES","",IF(ROUND(SUMIFS($AE$2:$AE$4001,$L$2:$L$4001,$L3953,$F$2:$F$4001,"4")-SUMIFS('AR SALES'!$Y$2:$Y$2501,'AR SALES'!$L$2:$L$2501,$L3953,'AR SALES'!$AD$2:$AD$2501,"OFF"),2)=0,"","STALE")))</f>
        <v/>
      </c>
      <c r="BB3953" s="2" t="str">
        <f>IF(OR(""&amp;$F3953="2",""&amp;$F3953="4",""&amp;$F3953="G",""&amp;$F3953="H"),IF($AY3953="YES","",IF($AB3953&lt;&gt;0,"",IF(COUNTIFS('AR SALES'!$L$2:$L$2501,$L3953,'AR SALES'!$AD$2:$AD$2501,IF(""&amp;$F3953="4","OFF","ON"),'AR SALES'!$AF$2:$AF$2501,"Y")&gt;0,"","NO EXEMPTION"))),"")</f>
        <v/>
      </c>
    </row>
    <row r="3954" spans="46:54" x14ac:dyDescent="0.25">
      <c r="AT3954" s="2" t="str">
        <f>IF($L3954="","",IFERROR(INDEX('AR SALES'!$H$2:$H$2501,MATCH(""&amp;$L3954,'AR SALES'!$AE$2:$AE$2501,0)),""))</f>
        <v/>
      </c>
      <c r="AU3954" s="2" t="str">
        <f t="shared" si="244"/>
        <v/>
      </c>
      <c r="AV3954" s="2" t="str">
        <f t="shared" si="245"/>
        <v/>
      </c>
      <c r="AW3954" s="2" t="str">
        <f t="shared" si="246"/>
        <v/>
      </c>
      <c r="AX3954" s="2" t="str">
        <f t="shared" si="247"/>
        <v/>
      </c>
      <c r="AY3954" s="2" t="str">
        <f>IF($AV3954="","",IF(AND($Z3954=0,COUNTIF('AR SALES'!$L$2:$L$2501,$L3954)=0),"YES",""))</f>
        <v/>
      </c>
      <c r="AZ3954" s="2" t="str">
        <f>IF($AV3954="","",IF(COUNTIF(LISTS!$C$2:$C$250,$AU3954)=0,"NEW",""))</f>
        <v/>
      </c>
      <c r="BA3954" s="2" t="str">
        <f>IF(""&amp;$F3954&lt;&gt;"4","",IF($AY3954="YES","",IF(ROUND(SUMIFS($AE$2:$AE$4001,$L$2:$L$4001,$L3954,$F$2:$F$4001,"4")-SUMIFS('AR SALES'!$Y$2:$Y$2501,'AR SALES'!$L$2:$L$2501,$L3954,'AR SALES'!$AD$2:$AD$2501,"OFF"),2)=0,"","STALE")))</f>
        <v/>
      </c>
      <c r="BB3954" s="2" t="str">
        <f>IF(OR(""&amp;$F3954="2",""&amp;$F3954="4",""&amp;$F3954="G",""&amp;$F3954="H"),IF($AY3954="YES","",IF($AB3954&lt;&gt;0,"",IF(COUNTIFS('AR SALES'!$L$2:$L$2501,$L3954,'AR SALES'!$AD$2:$AD$2501,IF(""&amp;$F3954="4","OFF","ON"),'AR SALES'!$AF$2:$AF$2501,"Y")&gt;0,"","NO EXEMPTION"))),"")</f>
        <v/>
      </c>
    </row>
    <row r="3955" spans="46:54" x14ac:dyDescent="0.25">
      <c r="AT3955" s="2" t="str">
        <f>IF($L3955="","",IFERROR(INDEX('AR SALES'!$H$2:$H$2501,MATCH(""&amp;$L3955,'AR SALES'!$AE$2:$AE$2501,0)),""))</f>
        <v/>
      </c>
      <c r="AU3955" s="2" t="str">
        <f t="shared" si="244"/>
        <v/>
      </c>
      <c r="AV3955" s="2" t="str">
        <f t="shared" si="245"/>
        <v/>
      </c>
      <c r="AW3955" s="2" t="str">
        <f t="shared" si="246"/>
        <v/>
      </c>
      <c r="AX3955" s="2" t="str">
        <f t="shared" si="247"/>
        <v/>
      </c>
      <c r="AY3955" s="2" t="str">
        <f>IF($AV3955="","",IF(AND($Z3955=0,COUNTIF('AR SALES'!$L$2:$L$2501,$L3955)=0),"YES",""))</f>
        <v/>
      </c>
      <c r="AZ3955" s="2" t="str">
        <f>IF($AV3955="","",IF(COUNTIF(LISTS!$C$2:$C$250,$AU3955)=0,"NEW",""))</f>
        <v/>
      </c>
      <c r="BA3955" s="2" t="str">
        <f>IF(""&amp;$F3955&lt;&gt;"4","",IF($AY3955="YES","",IF(ROUND(SUMIFS($AE$2:$AE$4001,$L$2:$L$4001,$L3955,$F$2:$F$4001,"4")-SUMIFS('AR SALES'!$Y$2:$Y$2501,'AR SALES'!$L$2:$L$2501,$L3955,'AR SALES'!$AD$2:$AD$2501,"OFF"),2)=0,"","STALE")))</f>
        <v/>
      </c>
      <c r="BB3955" s="2" t="str">
        <f>IF(OR(""&amp;$F3955="2",""&amp;$F3955="4",""&amp;$F3955="G",""&amp;$F3955="H"),IF($AY3955="YES","",IF($AB3955&lt;&gt;0,"",IF(COUNTIFS('AR SALES'!$L$2:$L$2501,$L3955,'AR SALES'!$AD$2:$AD$2501,IF(""&amp;$F3955="4","OFF","ON"),'AR SALES'!$AF$2:$AF$2501,"Y")&gt;0,"","NO EXEMPTION"))),"")</f>
        <v/>
      </c>
    </row>
    <row r="3956" spans="46:54" x14ac:dyDescent="0.25">
      <c r="AT3956" s="2" t="str">
        <f>IF($L3956="","",IFERROR(INDEX('AR SALES'!$H$2:$H$2501,MATCH(""&amp;$L3956,'AR SALES'!$AE$2:$AE$2501,0)),""))</f>
        <v/>
      </c>
      <c r="AU3956" s="2" t="str">
        <f t="shared" si="244"/>
        <v/>
      </c>
      <c r="AV3956" s="2" t="str">
        <f t="shared" si="245"/>
        <v/>
      </c>
      <c r="AW3956" s="2" t="str">
        <f t="shared" si="246"/>
        <v/>
      </c>
      <c r="AX3956" s="2" t="str">
        <f t="shared" si="247"/>
        <v/>
      </c>
      <c r="AY3956" s="2" t="str">
        <f>IF($AV3956="","",IF(AND($Z3956=0,COUNTIF('AR SALES'!$L$2:$L$2501,$L3956)=0),"YES",""))</f>
        <v/>
      </c>
      <c r="AZ3956" s="2" t="str">
        <f>IF($AV3956="","",IF(COUNTIF(LISTS!$C$2:$C$250,$AU3956)=0,"NEW",""))</f>
        <v/>
      </c>
      <c r="BA3956" s="2" t="str">
        <f>IF(""&amp;$F3956&lt;&gt;"4","",IF($AY3956="YES","",IF(ROUND(SUMIFS($AE$2:$AE$4001,$L$2:$L$4001,$L3956,$F$2:$F$4001,"4")-SUMIFS('AR SALES'!$Y$2:$Y$2501,'AR SALES'!$L$2:$L$2501,$L3956,'AR SALES'!$AD$2:$AD$2501,"OFF"),2)=0,"","STALE")))</f>
        <v/>
      </c>
      <c r="BB3956" s="2" t="str">
        <f>IF(OR(""&amp;$F3956="2",""&amp;$F3956="4",""&amp;$F3956="G",""&amp;$F3956="H"),IF($AY3956="YES","",IF($AB3956&lt;&gt;0,"",IF(COUNTIFS('AR SALES'!$L$2:$L$2501,$L3956,'AR SALES'!$AD$2:$AD$2501,IF(""&amp;$F3956="4","OFF","ON"),'AR SALES'!$AF$2:$AF$2501,"Y")&gt;0,"","NO EXEMPTION"))),"")</f>
        <v/>
      </c>
    </row>
    <row r="3957" spans="46:54" x14ac:dyDescent="0.25">
      <c r="AT3957" s="2" t="str">
        <f>IF($L3957="","",IFERROR(INDEX('AR SALES'!$H$2:$H$2501,MATCH(""&amp;$L3957,'AR SALES'!$AE$2:$AE$2501,0)),""))</f>
        <v/>
      </c>
      <c r="AU3957" s="2" t="str">
        <f t="shared" si="244"/>
        <v/>
      </c>
      <c r="AV3957" s="2" t="str">
        <f t="shared" si="245"/>
        <v/>
      </c>
      <c r="AW3957" s="2" t="str">
        <f t="shared" si="246"/>
        <v/>
      </c>
      <c r="AX3957" s="2" t="str">
        <f t="shared" si="247"/>
        <v/>
      </c>
      <c r="AY3957" s="2" t="str">
        <f>IF($AV3957="","",IF(AND($Z3957=0,COUNTIF('AR SALES'!$L$2:$L$2501,$L3957)=0),"YES",""))</f>
        <v/>
      </c>
      <c r="AZ3957" s="2" t="str">
        <f>IF($AV3957="","",IF(COUNTIF(LISTS!$C$2:$C$250,$AU3957)=0,"NEW",""))</f>
        <v/>
      </c>
      <c r="BA3957" s="2" t="str">
        <f>IF(""&amp;$F3957&lt;&gt;"4","",IF($AY3957="YES","",IF(ROUND(SUMIFS($AE$2:$AE$4001,$L$2:$L$4001,$L3957,$F$2:$F$4001,"4")-SUMIFS('AR SALES'!$Y$2:$Y$2501,'AR SALES'!$L$2:$L$2501,$L3957,'AR SALES'!$AD$2:$AD$2501,"OFF"),2)=0,"","STALE")))</f>
        <v/>
      </c>
      <c r="BB3957" s="2" t="str">
        <f>IF(OR(""&amp;$F3957="2",""&amp;$F3957="4",""&amp;$F3957="G",""&amp;$F3957="H"),IF($AY3957="YES","",IF($AB3957&lt;&gt;0,"",IF(COUNTIFS('AR SALES'!$L$2:$L$2501,$L3957,'AR SALES'!$AD$2:$AD$2501,IF(""&amp;$F3957="4","OFF","ON"),'AR SALES'!$AF$2:$AF$2501,"Y")&gt;0,"","NO EXEMPTION"))),"")</f>
        <v/>
      </c>
    </row>
    <row r="3958" spans="46:54" x14ac:dyDescent="0.25">
      <c r="AT3958" s="2" t="str">
        <f>IF($L3958="","",IFERROR(INDEX('AR SALES'!$H$2:$H$2501,MATCH(""&amp;$L3958,'AR SALES'!$AE$2:$AE$2501,0)),""))</f>
        <v/>
      </c>
      <c r="AU3958" s="2" t="str">
        <f t="shared" si="244"/>
        <v/>
      </c>
      <c r="AV3958" s="2" t="str">
        <f t="shared" si="245"/>
        <v/>
      </c>
      <c r="AW3958" s="2" t="str">
        <f t="shared" si="246"/>
        <v/>
      </c>
      <c r="AX3958" s="2" t="str">
        <f t="shared" si="247"/>
        <v/>
      </c>
      <c r="AY3958" s="2" t="str">
        <f>IF($AV3958="","",IF(AND($Z3958=0,COUNTIF('AR SALES'!$L$2:$L$2501,$L3958)=0),"YES",""))</f>
        <v/>
      </c>
      <c r="AZ3958" s="2" t="str">
        <f>IF($AV3958="","",IF(COUNTIF(LISTS!$C$2:$C$250,$AU3958)=0,"NEW",""))</f>
        <v/>
      </c>
      <c r="BA3958" s="2" t="str">
        <f>IF(""&amp;$F3958&lt;&gt;"4","",IF($AY3958="YES","",IF(ROUND(SUMIFS($AE$2:$AE$4001,$L$2:$L$4001,$L3958,$F$2:$F$4001,"4")-SUMIFS('AR SALES'!$Y$2:$Y$2501,'AR SALES'!$L$2:$L$2501,$L3958,'AR SALES'!$AD$2:$AD$2501,"OFF"),2)=0,"","STALE")))</f>
        <v/>
      </c>
      <c r="BB3958" s="2" t="str">
        <f>IF(OR(""&amp;$F3958="2",""&amp;$F3958="4",""&amp;$F3958="G",""&amp;$F3958="H"),IF($AY3958="YES","",IF($AB3958&lt;&gt;0,"",IF(COUNTIFS('AR SALES'!$L$2:$L$2501,$L3958,'AR SALES'!$AD$2:$AD$2501,IF(""&amp;$F3958="4","OFF","ON"),'AR SALES'!$AF$2:$AF$2501,"Y")&gt;0,"","NO EXEMPTION"))),"")</f>
        <v/>
      </c>
    </row>
    <row r="3959" spans="46:54" x14ac:dyDescent="0.25">
      <c r="AT3959" s="2" t="str">
        <f>IF($L3959="","",IFERROR(INDEX('AR SALES'!$H$2:$H$2501,MATCH(""&amp;$L3959,'AR SALES'!$AE$2:$AE$2501,0)),""))</f>
        <v/>
      </c>
      <c r="AU3959" s="2" t="str">
        <f t="shared" si="244"/>
        <v/>
      </c>
      <c r="AV3959" s="2" t="str">
        <f t="shared" si="245"/>
        <v/>
      </c>
      <c r="AW3959" s="2" t="str">
        <f t="shared" si="246"/>
        <v/>
      </c>
      <c r="AX3959" s="2" t="str">
        <f t="shared" si="247"/>
        <v/>
      </c>
      <c r="AY3959" s="2" t="str">
        <f>IF($AV3959="","",IF(AND($Z3959=0,COUNTIF('AR SALES'!$L$2:$L$2501,$L3959)=0),"YES",""))</f>
        <v/>
      </c>
      <c r="AZ3959" s="2" t="str">
        <f>IF($AV3959="","",IF(COUNTIF(LISTS!$C$2:$C$250,$AU3959)=0,"NEW",""))</f>
        <v/>
      </c>
      <c r="BA3959" s="2" t="str">
        <f>IF(""&amp;$F3959&lt;&gt;"4","",IF($AY3959="YES","",IF(ROUND(SUMIFS($AE$2:$AE$4001,$L$2:$L$4001,$L3959,$F$2:$F$4001,"4")-SUMIFS('AR SALES'!$Y$2:$Y$2501,'AR SALES'!$L$2:$L$2501,$L3959,'AR SALES'!$AD$2:$AD$2501,"OFF"),2)=0,"","STALE")))</f>
        <v/>
      </c>
      <c r="BB3959" s="2" t="str">
        <f>IF(OR(""&amp;$F3959="2",""&amp;$F3959="4",""&amp;$F3959="G",""&amp;$F3959="H"),IF($AY3959="YES","",IF($AB3959&lt;&gt;0,"",IF(COUNTIFS('AR SALES'!$L$2:$L$2501,$L3959,'AR SALES'!$AD$2:$AD$2501,IF(""&amp;$F3959="4","OFF","ON"),'AR SALES'!$AF$2:$AF$2501,"Y")&gt;0,"","NO EXEMPTION"))),"")</f>
        <v/>
      </c>
    </row>
    <row r="3960" spans="46:54" x14ac:dyDescent="0.25">
      <c r="AT3960" s="2" t="str">
        <f>IF($L3960="","",IFERROR(INDEX('AR SALES'!$H$2:$H$2501,MATCH(""&amp;$L3960,'AR SALES'!$AE$2:$AE$2501,0)),""))</f>
        <v/>
      </c>
      <c r="AU3960" s="2" t="str">
        <f t="shared" si="244"/>
        <v/>
      </c>
      <c r="AV3960" s="2" t="str">
        <f t="shared" si="245"/>
        <v/>
      </c>
      <c r="AW3960" s="2" t="str">
        <f t="shared" si="246"/>
        <v/>
      </c>
      <c r="AX3960" s="2" t="str">
        <f t="shared" si="247"/>
        <v/>
      </c>
      <c r="AY3960" s="2" t="str">
        <f>IF($AV3960="","",IF(AND($Z3960=0,COUNTIF('AR SALES'!$L$2:$L$2501,$L3960)=0),"YES",""))</f>
        <v/>
      </c>
      <c r="AZ3960" s="2" t="str">
        <f>IF($AV3960="","",IF(COUNTIF(LISTS!$C$2:$C$250,$AU3960)=0,"NEW",""))</f>
        <v/>
      </c>
      <c r="BA3960" s="2" t="str">
        <f>IF(""&amp;$F3960&lt;&gt;"4","",IF($AY3960="YES","",IF(ROUND(SUMIFS($AE$2:$AE$4001,$L$2:$L$4001,$L3960,$F$2:$F$4001,"4")-SUMIFS('AR SALES'!$Y$2:$Y$2501,'AR SALES'!$L$2:$L$2501,$L3960,'AR SALES'!$AD$2:$AD$2501,"OFF"),2)=0,"","STALE")))</f>
        <v/>
      </c>
      <c r="BB3960" s="2" t="str">
        <f>IF(OR(""&amp;$F3960="2",""&amp;$F3960="4",""&amp;$F3960="G",""&amp;$F3960="H"),IF($AY3960="YES","",IF($AB3960&lt;&gt;0,"",IF(COUNTIFS('AR SALES'!$L$2:$L$2501,$L3960,'AR SALES'!$AD$2:$AD$2501,IF(""&amp;$F3960="4","OFF","ON"),'AR SALES'!$AF$2:$AF$2501,"Y")&gt;0,"","NO EXEMPTION"))),"")</f>
        <v/>
      </c>
    </row>
    <row r="3961" spans="46:54" x14ac:dyDescent="0.25">
      <c r="AT3961" s="2" t="str">
        <f>IF($L3961="","",IFERROR(INDEX('AR SALES'!$H$2:$H$2501,MATCH(""&amp;$L3961,'AR SALES'!$AE$2:$AE$2501,0)),""))</f>
        <v/>
      </c>
      <c r="AU3961" s="2" t="str">
        <f t="shared" si="244"/>
        <v/>
      </c>
      <c r="AV3961" s="2" t="str">
        <f t="shared" si="245"/>
        <v/>
      </c>
      <c r="AW3961" s="2" t="str">
        <f t="shared" si="246"/>
        <v/>
      </c>
      <c r="AX3961" s="2" t="str">
        <f t="shared" si="247"/>
        <v/>
      </c>
      <c r="AY3961" s="2" t="str">
        <f>IF($AV3961="","",IF(AND($Z3961=0,COUNTIF('AR SALES'!$L$2:$L$2501,$L3961)=0),"YES",""))</f>
        <v/>
      </c>
      <c r="AZ3961" s="2" t="str">
        <f>IF($AV3961="","",IF(COUNTIF(LISTS!$C$2:$C$250,$AU3961)=0,"NEW",""))</f>
        <v/>
      </c>
      <c r="BA3961" s="2" t="str">
        <f>IF(""&amp;$F3961&lt;&gt;"4","",IF($AY3961="YES","",IF(ROUND(SUMIFS($AE$2:$AE$4001,$L$2:$L$4001,$L3961,$F$2:$F$4001,"4")-SUMIFS('AR SALES'!$Y$2:$Y$2501,'AR SALES'!$L$2:$L$2501,$L3961,'AR SALES'!$AD$2:$AD$2501,"OFF"),2)=0,"","STALE")))</f>
        <v/>
      </c>
      <c r="BB3961" s="2" t="str">
        <f>IF(OR(""&amp;$F3961="2",""&amp;$F3961="4",""&amp;$F3961="G",""&amp;$F3961="H"),IF($AY3961="YES","",IF($AB3961&lt;&gt;0,"",IF(COUNTIFS('AR SALES'!$L$2:$L$2501,$L3961,'AR SALES'!$AD$2:$AD$2501,IF(""&amp;$F3961="4","OFF","ON"),'AR SALES'!$AF$2:$AF$2501,"Y")&gt;0,"","NO EXEMPTION"))),"")</f>
        <v/>
      </c>
    </row>
    <row r="3962" spans="46:54" x14ac:dyDescent="0.25">
      <c r="AT3962" s="2" t="str">
        <f>IF($L3962="","",IFERROR(INDEX('AR SALES'!$H$2:$H$2501,MATCH(""&amp;$L3962,'AR SALES'!$AE$2:$AE$2501,0)),""))</f>
        <v/>
      </c>
      <c r="AU3962" s="2" t="str">
        <f t="shared" si="244"/>
        <v/>
      </c>
      <c r="AV3962" s="2" t="str">
        <f t="shared" si="245"/>
        <v/>
      </c>
      <c r="AW3962" s="2" t="str">
        <f t="shared" si="246"/>
        <v/>
      </c>
      <c r="AX3962" s="2" t="str">
        <f t="shared" si="247"/>
        <v/>
      </c>
      <c r="AY3962" s="2" t="str">
        <f>IF($AV3962="","",IF(AND($Z3962=0,COUNTIF('AR SALES'!$L$2:$L$2501,$L3962)=0),"YES",""))</f>
        <v/>
      </c>
      <c r="AZ3962" s="2" t="str">
        <f>IF($AV3962="","",IF(COUNTIF(LISTS!$C$2:$C$250,$AU3962)=0,"NEW",""))</f>
        <v/>
      </c>
      <c r="BA3962" s="2" t="str">
        <f>IF(""&amp;$F3962&lt;&gt;"4","",IF($AY3962="YES","",IF(ROUND(SUMIFS($AE$2:$AE$4001,$L$2:$L$4001,$L3962,$F$2:$F$4001,"4")-SUMIFS('AR SALES'!$Y$2:$Y$2501,'AR SALES'!$L$2:$L$2501,$L3962,'AR SALES'!$AD$2:$AD$2501,"OFF"),2)=0,"","STALE")))</f>
        <v/>
      </c>
      <c r="BB3962" s="2" t="str">
        <f>IF(OR(""&amp;$F3962="2",""&amp;$F3962="4",""&amp;$F3962="G",""&amp;$F3962="H"),IF($AY3962="YES","",IF($AB3962&lt;&gt;0,"",IF(COUNTIFS('AR SALES'!$L$2:$L$2501,$L3962,'AR SALES'!$AD$2:$AD$2501,IF(""&amp;$F3962="4","OFF","ON"),'AR SALES'!$AF$2:$AF$2501,"Y")&gt;0,"","NO EXEMPTION"))),"")</f>
        <v/>
      </c>
    </row>
    <row r="3963" spans="46:54" x14ac:dyDescent="0.25">
      <c r="AT3963" s="2" t="str">
        <f>IF($L3963="","",IFERROR(INDEX('AR SALES'!$H$2:$H$2501,MATCH(""&amp;$L3963,'AR SALES'!$AE$2:$AE$2501,0)),""))</f>
        <v/>
      </c>
      <c r="AU3963" s="2" t="str">
        <f t="shared" si="244"/>
        <v/>
      </c>
      <c r="AV3963" s="2" t="str">
        <f t="shared" si="245"/>
        <v/>
      </c>
      <c r="AW3963" s="2" t="str">
        <f t="shared" si="246"/>
        <v/>
      </c>
      <c r="AX3963" s="2" t="str">
        <f t="shared" si="247"/>
        <v/>
      </c>
      <c r="AY3963" s="2" t="str">
        <f>IF($AV3963="","",IF(AND($Z3963=0,COUNTIF('AR SALES'!$L$2:$L$2501,$L3963)=0),"YES",""))</f>
        <v/>
      </c>
      <c r="AZ3963" s="2" t="str">
        <f>IF($AV3963="","",IF(COUNTIF(LISTS!$C$2:$C$250,$AU3963)=0,"NEW",""))</f>
        <v/>
      </c>
      <c r="BA3963" s="2" t="str">
        <f>IF(""&amp;$F3963&lt;&gt;"4","",IF($AY3963="YES","",IF(ROUND(SUMIFS($AE$2:$AE$4001,$L$2:$L$4001,$L3963,$F$2:$F$4001,"4")-SUMIFS('AR SALES'!$Y$2:$Y$2501,'AR SALES'!$L$2:$L$2501,$L3963,'AR SALES'!$AD$2:$AD$2501,"OFF"),2)=0,"","STALE")))</f>
        <v/>
      </c>
      <c r="BB3963" s="2" t="str">
        <f>IF(OR(""&amp;$F3963="2",""&amp;$F3963="4",""&amp;$F3963="G",""&amp;$F3963="H"),IF($AY3963="YES","",IF($AB3963&lt;&gt;0,"",IF(COUNTIFS('AR SALES'!$L$2:$L$2501,$L3963,'AR SALES'!$AD$2:$AD$2501,IF(""&amp;$F3963="4","OFF","ON"),'AR SALES'!$AF$2:$AF$2501,"Y")&gt;0,"","NO EXEMPTION"))),"")</f>
        <v/>
      </c>
    </row>
    <row r="3964" spans="46:54" x14ac:dyDescent="0.25">
      <c r="AT3964" s="2" t="str">
        <f>IF($L3964="","",IFERROR(INDEX('AR SALES'!$H$2:$H$2501,MATCH(""&amp;$L3964,'AR SALES'!$AE$2:$AE$2501,0)),""))</f>
        <v/>
      </c>
      <c r="AU3964" s="2" t="str">
        <f t="shared" si="244"/>
        <v/>
      </c>
      <c r="AV3964" s="2" t="str">
        <f t="shared" si="245"/>
        <v/>
      </c>
      <c r="AW3964" s="2" t="str">
        <f t="shared" si="246"/>
        <v/>
      </c>
      <c r="AX3964" s="2" t="str">
        <f t="shared" si="247"/>
        <v/>
      </c>
      <c r="AY3964" s="2" t="str">
        <f>IF($AV3964="","",IF(AND($Z3964=0,COUNTIF('AR SALES'!$L$2:$L$2501,$L3964)=0),"YES",""))</f>
        <v/>
      </c>
      <c r="AZ3964" s="2" t="str">
        <f>IF($AV3964="","",IF(COUNTIF(LISTS!$C$2:$C$250,$AU3964)=0,"NEW",""))</f>
        <v/>
      </c>
      <c r="BA3964" s="2" t="str">
        <f>IF(""&amp;$F3964&lt;&gt;"4","",IF($AY3964="YES","",IF(ROUND(SUMIFS($AE$2:$AE$4001,$L$2:$L$4001,$L3964,$F$2:$F$4001,"4")-SUMIFS('AR SALES'!$Y$2:$Y$2501,'AR SALES'!$L$2:$L$2501,$L3964,'AR SALES'!$AD$2:$AD$2501,"OFF"),2)=0,"","STALE")))</f>
        <v/>
      </c>
      <c r="BB3964" s="2" t="str">
        <f>IF(OR(""&amp;$F3964="2",""&amp;$F3964="4",""&amp;$F3964="G",""&amp;$F3964="H"),IF($AY3964="YES","",IF($AB3964&lt;&gt;0,"",IF(COUNTIFS('AR SALES'!$L$2:$L$2501,$L3964,'AR SALES'!$AD$2:$AD$2501,IF(""&amp;$F3964="4","OFF","ON"),'AR SALES'!$AF$2:$AF$2501,"Y")&gt;0,"","NO EXEMPTION"))),"")</f>
        <v/>
      </c>
    </row>
    <row r="3965" spans="46:54" x14ac:dyDescent="0.25">
      <c r="AT3965" s="2" t="str">
        <f>IF($L3965="","",IFERROR(INDEX('AR SALES'!$H$2:$H$2501,MATCH(""&amp;$L3965,'AR SALES'!$AE$2:$AE$2501,0)),""))</f>
        <v/>
      </c>
      <c r="AU3965" s="2" t="str">
        <f t="shared" si="244"/>
        <v/>
      </c>
      <c r="AV3965" s="2" t="str">
        <f t="shared" si="245"/>
        <v/>
      </c>
      <c r="AW3965" s="2" t="str">
        <f t="shared" si="246"/>
        <v/>
      </c>
      <c r="AX3965" s="2" t="str">
        <f t="shared" si="247"/>
        <v/>
      </c>
      <c r="AY3965" s="2" t="str">
        <f>IF($AV3965="","",IF(AND($Z3965=0,COUNTIF('AR SALES'!$L$2:$L$2501,$L3965)=0),"YES",""))</f>
        <v/>
      </c>
      <c r="AZ3965" s="2" t="str">
        <f>IF($AV3965="","",IF(COUNTIF(LISTS!$C$2:$C$250,$AU3965)=0,"NEW",""))</f>
        <v/>
      </c>
      <c r="BA3965" s="2" t="str">
        <f>IF(""&amp;$F3965&lt;&gt;"4","",IF($AY3965="YES","",IF(ROUND(SUMIFS($AE$2:$AE$4001,$L$2:$L$4001,$L3965,$F$2:$F$4001,"4")-SUMIFS('AR SALES'!$Y$2:$Y$2501,'AR SALES'!$L$2:$L$2501,$L3965,'AR SALES'!$AD$2:$AD$2501,"OFF"),2)=0,"","STALE")))</f>
        <v/>
      </c>
      <c r="BB3965" s="2" t="str">
        <f>IF(OR(""&amp;$F3965="2",""&amp;$F3965="4",""&amp;$F3965="G",""&amp;$F3965="H"),IF($AY3965="YES","",IF($AB3965&lt;&gt;0,"",IF(COUNTIFS('AR SALES'!$L$2:$L$2501,$L3965,'AR SALES'!$AD$2:$AD$2501,IF(""&amp;$F3965="4","OFF","ON"),'AR SALES'!$AF$2:$AF$2501,"Y")&gt;0,"","NO EXEMPTION"))),"")</f>
        <v/>
      </c>
    </row>
    <row r="3966" spans="46:54" x14ac:dyDescent="0.25">
      <c r="AT3966" s="2" t="str">
        <f>IF($L3966="","",IFERROR(INDEX('AR SALES'!$H$2:$H$2501,MATCH(""&amp;$L3966,'AR SALES'!$AE$2:$AE$2501,0)),""))</f>
        <v/>
      </c>
      <c r="AU3966" s="2" t="str">
        <f t="shared" si="244"/>
        <v/>
      </c>
      <c r="AV3966" s="2" t="str">
        <f t="shared" si="245"/>
        <v/>
      </c>
      <c r="AW3966" s="2" t="str">
        <f t="shared" si="246"/>
        <v/>
      </c>
      <c r="AX3966" s="2" t="str">
        <f t="shared" si="247"/>
        <v/>
      </c>
      <c r="AY3966" s="2" t="str">
        <f>IF($AV3966="","",IF(AND($Z3966=0,COUNTIF('AR SALES'!$L$2:$L$2501,$L3966)=0),"YES",""))</f>
        <v/>
      </c>
      <c r="AZ3966" s="2" t="str">
        <f>IF($AV3966="","",IF(COUNTIF(LISTS!$C$2:$C$250,$AU3966)=0,"NEW",""))</f>
        <v/>
      </c>
      <c r="BA3966" s="2" t="str">
        <f>IF(""&amp;$F3966&lt;&gt;"4","",IF($AY3966="YES","",IF(ROUND(SUMIFS($AE$2:$AE$4001,$L$2:$L$4001,$L3966,$F$2:$F$4001,"4")-SUMIFS('AR SALES'!$Y$2:$Y$2501,'AR SALES'!$L$2:$L$2501,$L3966,'AR SALES'!$AD$2:$AD$2501,"OFF"),2)=0,"","STALE")))</f>
        <v/>
      </c>
      <c r="BB3966" s="2" t="str">
        <f>IF(OR(""&amp;$F3966="2",""&amp;$F3966="4",""&amp;$F3966="G",""&amp;$F3966="H"),IF($AY3966="YES","",IF($AB3966&lt;&gt;0,"",IF(COUNTIFS('AR SALES'!$L$2:$L$2501,$L3966,'AR SALES'!$AD$2:$AD$2501,IF(""&amp;$F3966="4","OFF","ON"),'AR SALES'!$AF$2:$AF$2501,"Y")&gt;0,"","NO EXEMPTION"))),"")</f>
        <v/>
      </c>
    </row>
    <row r="3967" spans="46:54" x14ac:dyDescent="0.25">
      <c r="AT3967" s="2" t="str">
        <f>IF($L3967="","",IFERROR(INDEX('AR SALES'!$H$2:$H$2501,MATCH(""&amp;$L3967,'AR SALES'!$AE$2:$AE$2501,0)),""))</f>
        <v/>
      </c>
      <c r="AU3967" s="2" t="str">
        <f t="shared" si="244"/>
        <v/>
      </c>
      <c r="AV3967" s="2" t="str">
        <f t="shared" si="245"/>
        <v/>
      </c>
      <c r="AW3967" s="2" t="str">
        <f t="shared" si="246"/>
        <v/>
      </c>
      <c r="AX3967" s="2" t="str">
        <f t="shared" si="247"/>
        <v/>
      </c>
      <c r="AY3967" s="2" t="str">
        <f>IF($AV3967="","",IF(AND($Z3967=0,COUNTIF('AR SALES'!$L$2:$L$2501,$L3967)=0),"YES",""))</f>
        <v/>
      </c>
      <c r="AZ3967" s="2" t="str">
        <f>IF($AV3967="","",IF(COUNTIF(LISTS!$C$2:$C$250,$AU3967)=0,"NEW",""))</f>
        <v/>
      </c>
      <c r="BA3967" s="2" t="str">
        <f>IF(""&amp;$F3967&lt;&gt;"4","",IF($AY3967="YES","",IF(ROUND(SUMIFS($AE$2:$AE$4001,$L$2:$L$4001,$L3967,$F$2:$F$4001,"4")-SUMIFS('AR SALES'!$Y$2:$Y$2501,'AR SALES'!$L$2:$L$2501,$L3967,'AR SALES'!$AD$2:$AD$2501,"OFF"),2)=0,"","STALE")))</f>
        <v/>
      </c>
      <c r="BB3967" s="2" t="str">
        <f>IF(OR(""&amp;$F3967="2",""&amp;$F3967="4",""&amp;$F3967="G",""&amp;$F3967="H"),IF($AY3967="YES","",IF($AB3967&lt;&gt;0,"",IF(COUNTIFS('AR SALES'!$L$2:$L$2501,$L3967,'AR SALES'!$AD$2:$AD$2501,IF(""&amp;$F3967="4","OFF","ON"),'AR SALES'!$AF$2:$AF$2501,"Y")&gt;0,"","NO EXEMPTION"))),"")</f>
        <v/>
      </c>
    </row>
    <row r="3968" spans="46:54" x14ac:dyDescent="0.25">
      <c r="AT3968" s="2" t="str">
        <f>IF($L3968="","",IFERROR(INDEX('AR SALES'!$H$2:$H$2501,MATCH(""&amp;$L3968,'AR SALES'!$AE$2:$AE$2501,0)),""))</f>
        <v/>
      </c>
      <c r="AU3968" s="2" t="str">
        <f t="shared" si="244"/>
        <v/>
      </c>
      <c r="AV3968" s="2" t="str">
        <f t="shared" si="245"/>
        <v/>
      </c>
      <c r="AW3968" s="2" t="str">
        <f t="shared" si="246"/>
        <v/>
      </c>
      <c r="AX3968" s="2" t="str">
        <f t="shared" si="247"/>
        <v/>
      </c>
      <c r="AY3968" s="2" t="str">
        <f>IF($AV3968="","",IF(AND($Z3968=0,COUNTIF('AR SALES'!$L$2:$L$2501,$L3968)=0),"YES",""))</f>
        <v/>
      </c>
      <c r="AZ3968" s="2" t="str">
        <f>IF($AV3968="","",IF(COUNTIF(LISTS!$C$2:$C$250,$AU3968)=0,"NEW",""))</f>
        <v/>
      </c>
      <c r="BA3968" s="2" t="str">
        <f>IF(""&amp;$F3968&lt;&gt;"4","",IF($AY3968="YES","",IF(ROUND(SUMIFS($AE$2:$AE$4001,$L$2:$L$4001,$L3968,$F$2:$F$4001,"4")-SUMIFS('AR SALES'!$Y$2:$Y$2501,'AR SALES'!$L$2:$L$2501,$L3968,'AR SALES'!$AD$2:$AD$2501,"OFF"),2)=0,"","STALE")))</f>
        <v/>
      </c>
      <c r="BB3968" s="2" t="str">
        <f>IF(OR(""&amp;$F3968="2",""&amp;$F3968="4",""&amp;$F3968="G",""&amp;$F3968="H"),IF($AY3968="YES","",IF($AB3968&lt;&gt;0,"",IF(COUNTIFS('AR SALES'!$L$2:$L$2501,$L3968,'AR SALES'!$AD$2:$AD$2501,IF(""&amp;$F3968="4","OFF","ON"),'AR SALES'!$AF$2:$AF$2501,"Y")&gt;0,"","NO EXEMPTION"))),"")</f>
        <v/>
      </c>
    </row>
    <row r="3969" spans="46:54" x14ac:dyDescent="0.25">
      <c r="AT3969" s="2" t="str">
        <f>IF($L3969="","",IFERROR(INDEX('AR SALES'!$H$2:$H$2501,MATCH(""&amp;$L3969,'AR SALES'!$AE$2:$AE$2501,0)),""))</f>
        <v/>
      </c>
      <c r="AU3969" s="2" t="str">
        <f t="shared" si="244"/>
        <v/>
      </c>
      <c r="AV3969" s="2" t="str">
        <f t="shared" si="245"/>
        <v/>
      </c>
      <c r="AW3969" s="2" t="str">
        <f t="shared" si="246"/>
        <v/>
      </c>
      <c r="AX3969" s="2" t="str">
        <f t="shared" si="247"/>
        <v/>
      </c>
      <c r="AY3969" s="2" t="str">
        <f>IF($AV3969="","",IF(AND($Z3969=0,COUNTIF('AR SALES'!$L$2:$L$2501,$L3969)=0),"YES",""))</f>
        <v/>
      </c>
      <c r="AZ3969" s="2" t="str">
        <f>IF($AV3969="","",IF(COUNTIF(LISTS!$C$2:$C$250,$AU3969)=0,"NEW",""))</f>
        <v/>
      </c>
      <c r="BA3969" s="2" t="str">
        <f>IF(""&amp;$F3969&lt;&gt;"4","",IF($AY3969="YES","",IF(ROUND(SUMIFS($AE$2:$AE$4001,$L$2:$L$4001,$L3969,$F$2:$F$4001,"4")-SUMIFS('AR SALES'!$Y$2:$Y$2501,'AR SALES'!$L$2:$L$2501,$L3969,'AR SALES'!$AD$2:$AD$2501,"OFF"),2)=0,"","STALE")))</f>
        <v/>
      </c>
      <c r="BB3969" s="2" t="str">
        <f>IF(OR(""&amp;$F3969="2",""&amp;$F3969="4",""&amp;$F3969="G",""&amp;$F3969="H"),IF($AY3969="YES","",IF($AB3969&lt;&gt;0,"",IF(COUNTIFS('AR SALES'!$L$2:$L$2501,$L3969,'AR SALES'!$AD$2:$AD$2501,IF(""&amp;$F3969="4","OFF","ON"),'AR SALES'!$AF$2:$AF$2501,"Y")&gt;0,"","NO EXEMPTION"))),"")</f>
        <v/>
      </c>
    </row>
    <row r="3970" spans="46:54" x14ac:dyDescent="0.25">
      <c r="AT3970" s="2" t="str">
        <f>IF($L3970="","",IFERROR(INDEX('AR SALES'!$H$2:$H$2501,MATCH(""&amp;$L3970,'AR SALES'!$AE$2:$AE$2501,0)),""))</f>
        <v/>
      </c>
      <c r="AU3970" s="2" t="str">
        <f t="shared" ref="AU3970:AU4001" si="248">IF($L3970="","",IF($A3970&lt;&gt;"GA","",IF($E3970="FULTON",IF(ISNUMBER(SEARCH("COLLEGE PARK",$AT3970)),"FULTON (COLLEGE PARK)",IF(ISNUMBER(SEARCH("ATLANTA CITY",$AT3970)),"FULTON (ATL LIMITS)","FULTON")),IF($E3970="DEKALB",IF(ISNUMBER(SEARCH("ATLANTA CITY",$AT3970)),"DEKALB (ATL LIMITS)","DEKALB"),$E3970))))</f>
        <v/>
      </c>
      <c r="AV3970" s="2" t="str">
        <f t="shared" ref="AV3970:AV4001" si="249">IF($L3970="","",IF(""&amp;$F3970="2","DIESEL",IF(OR(""&amp;$F3970="G",""&amp;$F3970="H"),"GAS","")))</f>
        <v/>
      </c>
      <c r="AW3970" s="2" t="str">
        <f t="shared" ref="AW3970:AW4001" si="250">IF($AV3970="","",$R3970)</f>
        <v/>
      </c>
      <c r="AX3970" s="2" t="str">
        <f t="shared" ref="AX3970:AX4001" si="251">IF($AV3970="","",IF($AB3970=0,$R3970,0))</f>
        <v/>
      </c>
      <c r="AY3970" s="2" t="str">
        <f>IF($AV3970="","",IF(AND($Z3970=0,COUNTIF('AR SALES'!$L$2:$L$2501,$L3970)=0),"YES",""))</f>
        <v/>
      </c>
      <c r="AZ3970" s="2" t="str">
        <f>IF($AV3970="","",IF(COUNTIF(LISTS!$C$2:$C$250,$AU3970)=0,"NEW",""))</f>
        <v/>
      </c>
      <c r="BA3970" s="2" t="str">
        <f>IF(""&amp;$F3970&lt;&gt;"4","",IF($AY3970="YES","",IF(ROUND(SUMIFS($AE$2:$AE$4001,$L$2:$L$4001,$L3970,$F$2:$F$4001,"4")-SUMIFS('AR SALES'!$Y$2:$Y$2501,'AR SALES'!$L$2:$L$2501,$L3970,'AR SALES'!$AD$2:$AD$2501,"OFF"),2)=0,"","STALE")))</f>
        <v/>
      </c>
      <c r="BB3970" s="2" t="str">
        <f>IF(OR(""&amp;$F3970="2",""&amp;$F3970="4",""&amp;$F3970="G",""&amp;$F3970="H"),IF($AY3970="YES","",IF($AB3970&lt;&gt;0,"",IF(COUNTIFS('AR SALES'!$L$2:$L$2501,$L3970,'AR SALES'!$AD$2:$AD$2501,IF(""&amp;$F3970="4","OFF","ON"),'AR SALES'!$AF$2:$AF$2501,"Y")&gt;0,"","NO EXEMPTION"))),"")</f>
        <v/>
      </c>
    </row>
    <row r="3971" spans="46:54" x14ac:dyDescent="0.25">
      <c r="AT3971" s="2" t="str">
        <f>IF($L3971="","",IFERROR(INDEX('AR SALES'!$H$2:$H$2501,MATCH(""&amp;$L3971,'AR SALES'!$AE$2:$AE$2501,0)),""))</f>
        <v/>
      </c>
      <c r="AU3971" s="2" t="str">
        <f t="shared" si="248"/>
        <v/>
      </c>
      <c r="AV3971" s="2" t="str">
        <f t="shared" si="249"/>
        <v/>
      </c>
      <c r="AW3971" s="2" t="str">
        <f t="shared" si="250"/>
        <v/>
      </c>
      <c r="AX3971" s="2" t="str">
        <f t="shared" si="251"/>
        <v/>
      </c>
      <c r="AY3971" s="2" t="str">
        <f>IF($AV3971="","",IF(AND($Z3971=0,COUNTIF('AR SALES'!$L$2:$L$2501,$L3971)=0),"YES",""))</f>
        <v/>
      </c>
      <c r="AZ3971" s="2" t="str">
        <f>IF($AV3971="","",IF(COUNTIF(LISTS!$C$2:$C$250,$AU3971)=0,"NEW",""))</f>
        <v/>
      </c>
      <c r="BA3971" s="2" t="str">
        <f>IF(""&amp;$F3971&lt;&gt;"4","",IF($AY3971="YES","",IF(ROUND(SUMIFS($AE$2:$AE$4001,$L$2:$L$4001,$L3971,$F$2:$F$4001,"4")-SUMIFS('AR SALES'!$Y$2:$Y$2501,'AR SALES'!$L$2:$L$2501,$L3971,'AR SALES'!$AD$2:$AD$2501,"OFF"),2)=0,"","STALE")))</f>
        <v/>
      </c>
      <c r="BB3971" s="2" t="str">
        <f>IF(OR(""&amp;$F3971="2",""&amp;$F3971="4",""&amp;$F3971="G",""&amp;$F3971="H"),IF($AY3971="YES","",IF($AB3971&lt;&gt;0,"",IF(COUNTIFS('AR SALES'!$L$2:$L$2501,$L3971,'AR SALES'!$AD$2:$AD$2501,IF(""&amp;$F3971="4","OFF","ON"),'AR SALES'!$AF$2:$AF$2501,"Y")&gt;0,"","NO EXEMPTION"))),"")</f>
        <v/>
      </c>
    </row>
    <row r="3972" spans="46:54" x14ac:dyDescent="0.25">
      <c r="AT3972" s="2" t="str">
        <f>IF($L3972="","",IFERROR(INDEX('AR SALES'!$H$2:$H$2501,MATCH(""&amp;$L3972,'AR SALES'!$AE$2:$AE$2501,0)),""))</f>
        <v/>
      </c>
      <c r="AU3972" s="2" t="str">
        <f t="shared" si="248"/>
        <v/>
      </c>
      <c r="AV3972" s="2" t="str">
        <f t="shared" si="249"/>
        <v/>
      </c>
      <c r="AW3972" s="2" t="str">
        <f t="shared" si="250"/>
        <v/>
      </c>
      <c r="AX3972" s="2" t="str">
        <f t="shared" si="251"/>
        <v/>
      </c>
      <c r="AY3972" s="2" t="str">
        <f>IF($AV3972="","",IF(AND($Z3972=0,COUNTIF('AR SALES'!$L$2:$L$2501,$L3972)=0),"YES",""))</f>
        <v/>
      </c>
      <c r="AZ3972" s="2" t="str">
        <f>IF($AV3972="","",IF(COUNTIF(LISTS!$C$2:$C$250,$AU3972)=0,"NEW",""))</f>
        <v/>
      </c>
      <c r="BA3972" s="2" t="str">
        <f>IF(""&amp;$F3972&lt;&gt;"4","",IF($AY3972="YES","",IF(ROUND(SUMIFS($AE$2:$AE$4001,$L$2:$L$4001,$L3972,$F$2:$F$4001,"4")-SUMIFS('AR SALES'!$Y$2:$Y$2501,'AR SALES'!$L$2:$L$2501,$L3972,'AR SALES'!$AD$2:$AD$2501,"OFF"),2)=0,"","STALE")))</f>
        <v/>
      </c>
      <c r="BB3972" s="2" t="str">
        <f>IF(OR(""&amp;$F3972="2",""&amp;$F3972="4",""&amp;$F3972="G",""&amp;$F3972="H"),IF($AY3972="YES","",IF($AB3972&lt;&gt;0,"",IF(COUNTIFS('AR SALES'!$L$2:$L$2501,$L3972,'AR SALES'!$AD$2:$AD$2501,IF(""&amp;$F3972="4","OFF","ON"),'AR SALES'!$AF$2:$AF$2501,"Y")&gt;0,"","NO EXEMPTION"))),"")</f>
        <v/>
      </c>
    </row>
    <row r="3973" spans="46:54" x14ac:dyDescent="0.25">
      <c r="AT3973" s="2" t="str">
        <f>IF($L3973="","",IFERROR(INDEX('AR SALES'!$H$2:$H$2501,MATCH(""&amp;$L3973,'AR SALES'!$AE$2:$AE$2501,0)),""))</f>
        <v/>
      </c>
      <c r="AU3973" s="2" t="str">
        <f t="shared" si="248"/>
        <v/>
      </c>
      <c r="AV3973" s="2" t="str">
        <f t="shared" si="249"/>
        <v/>
      </c>
      <c r="AW3973" s="2" t="str">
        <f t="shared" si="250"/>
        <v/>
      </c>
      <c r="AX3973" s="2" t="str">
        <f t="shared" si="251"/>
        <v/>
      </c>
      <c r="AY3973" s="2" t="str">
        <f>IF($AV3973="","",IF(AND($Z3973=0,COUNTIF('AR SALES'!$L$2:$L$2501,$L3973)=0),"YES",""))</f>
        <v/>
      </c>
      <c r="AZ3973" s="2" t="str">
        <f>IF($AV3973="","",IF(COUNTIF(LISTS!$C$2:$C$250,$AU3973)=0,"NEW",""))</f>
        <v/>
      </c>
      <c r="BA3973" s="2" t="str">
        <f>IF(""&amp;$F3973&lt;&gt;"4","",IF($AY3973="YES","",IF(ROUND(SUMIFS($AE$2:$AE$4001,$L$2:$L$4001,$L3973,$F$2:$F$4001,"4")-SUMIFS('AR SALES'!$Y$2:$Y$2501,'AR SALES'!$L$2:$L$2501,$L3973,'AR SALES'!$AD$2:$AD$2501,"OFF"),2)=0,"","STALE")))</f>
        <v/>
      </c>
      <c r="BB3973" s="2" t="str">
        <f>IF(OR(""&amp;$F3973="2",""&amp;$F3973="4",""&amp;$F3973="G",""&amp;$F3973="H"),IF($AY3973="YES","",IF($AB3973&lt;&gt;0,"",IF(COUNTIFS('AR SALES'!$L$2:$L$2501,$L3973,'AR SALES'!$AD$2:$AD$2501,IF(""&amp;$F3973="4","OFF","ON"),'AR SALES'!$AF$2:$AF$2501,"Y")&gt;0,"","NO EXEMPTION"))),"")</f>
        <v/>
      </c>
    </row>
    <row r="3974" spans="46:54" x14ac:dyDescent="0.25">
      <c r="AT3974" s="2" t="str">
        <f>IF($L3974="","",IFERROR(INDEX('AR SALES'!$H$2:$H$2501,MATCH(""&amp;$L3974,'AR SALES'!$AE$2:$AE$2501,0)),""))</f>
        <v/>
      </c>
      <c r="AU3974" s="2" t="str">
        <f t="shared" si="248"/>
        <v/>
      </c>
      <c r="AV3974" s="2" t="str">
        <f t="shared" si="249"/>
        <v/>
      </c>
      <c r="AW3974" s="2" t="str">
        <f t="shared" si="250"/>
        <v/>
      </c>
      <c r="AX3974" s="2" t="str">
        <f t="shared" si="251"/>
        <v/>
      </c>
      <c r="AY3974" s="2" t="str">
        <f>IF($AV3974="","",IF(AND($Z3974=0,COUNTIF('AR SALES'!$L$2:$L$2501,$L3974)=0),"YES",""))</f>
        <v/>
      </c>
      <c r="AZ3974" s="2" t="str">
        <f>IF($AV3974="","",IF(COUNTIF(LISTS!$C$2:$C$250,$AU3974)=0,"NEW",""))</f>
        <v/>
      </c>
      <c r="BA3974" s="2" t="str">
        <f>IF(""&amp;$F3974&lt;&gt;"4","",IF($AY3974="YES","",IF(ROUND(SUMIFS($AE$2:$AE$4001,$L$2:$L$4001,$L3974,$F$2:$F$4001,"4")-SUMIFS('AR SALES'!$Y$2:$Y$2501,'AR SALES'!$L$2:$L$2501,$L3974,'AR SALES'!$AD$2:$AD$2501,"OFF"),2)=0,"","STALE")))</f>
        <v/>
      </c>
      <c r="BB3974" s="2" t="str">
        <f>IF(OR(""&amp;$F3974="2",""&amp;$F3974="4",""&amp;$F3974="G",""&amp;$F3974="H"),IF($AY3974="YES","",IF($AB3974&lt;&gt;0,"",IF(COUNTIFS('AR SALES'!$L$2:$L$2501,$L3974,'AR SALES'!$AD$2:$AD$2501,IF(""&amp;$F3974="4","OFF","ON"),'AR SALES'!$AF$2:$AF$2501,"Y")&gt;0,"","NO EXEMPTION"))),"")</f>
        <v/>
      </c>
    </row>
    <row r="3975" spans="46:54" x14ac:dyDescent="0.25">
      <c r="AT3975" s="2" t="str">
        <f>IF($L3975="","",IFERROR(INDEX('AR SALES'!$H$2:$H$2501,MATCH(""&amp;$L3975,'AR SALES'!$AE$2:$AE$2501,0)),""))</f>
        <v/>
      </c>
      <c r="AU3975" s="2" t="str">
        <f t="shared" si="248"/>
        <v/>
      </c>
      <c r="AV3975" s="2" t="str">
        <f t="shared" si="249"/>
        <v/>
      </c>
      <c r="AW3975" s="2" t="str">
        <f t="shared" si="250"/>
        <v/>
      </c>
      <c r="AX3975" s="2" t="str">
        <f t="shared" si="251"/>
        <v/>
      </c>
      <c r="AY3975" s="2" t="str">
        <f>IF($AV3975="","",IF(AND($Z3975=0,COUNTIF('AR SALES'!$L$2:$L$2501,$L3975)=0),"YES",""))</f>
        <v/>
      </c>
      <c r="AZ3975" s="2" t="str">
        <f>IF($AV3975="","",IF(COUNTIF(LISTS!$C$2:$C$250,$AU3975)=0,"NEW",""))</f>
        <v/>
      </c>
      <c r="BA3975" s="2" t="str">
        <f>IF(""&amp;$F3975&lt;&gt;"4","",IF($AY3975="YES","",IF(ROUND(SUMIFS($AE$2:$AE$4001,$L$2:$L$4001,$L3975,$F$2:$F$4001,"4")-SUMIFS('AR SALES'!$Y$2:$Y$2501,'AR SALES'!$L$2:$L$2501,$L3975,'AR SALES'!$AD$2:$AD$2501,"OFF"),2)=0,"","STALE")))</f>
        <v/>
      </c>
      <c r="BB3975" s="2" t="str">
        <f>IF(OR(""&amp;$F3975="2",""&amp;$F3975="4",""&amp;$F3975="G",""&amp;$F3975="H"),IF($AY3975="YES","",IF($AB3975&lt;&gt;0,"",IF(COUNTIFS('AR SALES'!$L$2:$L$2501,$L3975,'AR SALES'!$AD$2:$AD$2501,IF(""&amp;$F3975="4","OFF","ON"),'AR SALES'!$AF$2:$AF$2501,"Y")&gt;0,"","NO EXEMPTION"))),"")</f>
        <v/>
      </c>
    </row>
    <row r="3976" spans="46:54" x14ac:dyDescent="0.25">
      <c r="AT3976" s="2" t="str">
        <f>IF($L3976="","",IFERROR(INDEX('AR SALES'!$H$2:$H$2501,MATCH(""&amp;$L3976,'AR SALES'!$AE$2:$AE$2501,0)),""))</f>
        <v/>
      </c>
      <c r="AU3976" s="2" t="str">
        <f t="shared" si="248"/>
        <v/>
      </c>
      <c r="AV3976" s="2" t="str">
        <f t="shared" si="249"/>
        <v/>
      </c>
      <c r="AW3976" s="2" t="str">
        <f t="shared" si="250"/>
        <v/>
      </c>
      <c r="AX3976" s="2" t="str">
        <f t="shared" si="251"/>
        <v/>
      </c>
      <c r="AY3976" s="2" t="str">
        <f>IF($AV3976="","",IF(AND($Z3976=0,COUNTIF('AR SALES'!$L$2:$L$2501,$L3976)=0),"YES",""))</f>
        <v/>
      </c>
      <c r="AZ3976" s="2" t="str">
        <f>IF($AV3976="","",IF(COUNTIF(LISTS!$C$2:$C$250,$AU3976)=0,"NEW",""))</f>
        <v/>
      </c>
      <c r="BA3976" s="2" t="str">
        <f>IF(""&amp;$F3976&lt;&gt;"4","",IF($AY3976="YES","",IF(ROUND(SUMIFS($AE$2:$AE$4001,$L$2:$L$4001,$L3976,$F$2:$F$4001,"4")-SUMIFS('AR SALES'!$Y$2:$Y$2501,'AR SALES'!$L$2:$L$2501,$L3976,'AR SALES'!$AD$2:$AD$2501,"OFF"),2)=0,"","STALE")))</f>
        <v/>
      </c>
      <c r="BB3976" s="2" t="str">
        <f>IF(OR(""&amp;$F3976="2",""&amp;$F3976="4",""&amp;$F3976="G",""&amp;$F3976="H"),IF($AY3976="YES","",IF($AB3976&lt;&gt;0,"",IF(COUNTIFS('AR SALES'!$L$2:$L$2501,$L3976,'AR SALES'!$AD$2:$AD$2501,IF(""&amp;$F3976="4","OFF","ON"),'AR SALES'!$AF$2:$AF$2501,"Y")&gt;0,"","NO EXEMPTION"))),"")</f>
        <v/>
      </c>
    </row>
    <row r="3977" spans="46:54" x14ac:dyDescent="0.25">
      <c r="AT3977" s="2" t="str">
        <f>IF($L3977="","",IFERROR(INDEX('AR SALES'!$H$2:$H$2501,MATCH(""&amp;$L3977,'AR SALES'!$AE$2:$AE$2501,0)),""))</f>
        <v/>
      </c>
      <c r="AU3977" s="2" t="str">
        <f t="shared" si="248"/>
        <v/>
      </c>
      <c r="AV3977" s="2" t="str">
        <f t="shared" si="249"/>
        <v/>
      </c>
      <c r="AW3977" s="2" t="str">
        <f t="shared" si="250"/>
        <v/>
      </c>
      <c r="AX3977" s="2" t="str">
        <f t="shared" si="251"/>
        <v/>
      </c>
      <c r="AY3977" s="2" t="str">
        <f>IF($AV3977="","",IF(AND($Z3977=0,COUNTIF('AR SALES'!$L$2:$L$2501,$L3977)=0),"YES",""))</f>
        <v/>
      </c>
      <c r="AZ3977" s="2" t="str">
        <f>IF($AV3977="","",IF(COUNTIF(LISTS!$C$2:$C$250,$AU3977)=0,"NEW",""))</f>
        <v/>
      </c>
      <c r="BA3977" s="2" t="str">
        <f>IF(""&amp;$F3977&lt;&gt;"4","",IF($AY3977="YES","",IF(ROUND(SUMIFS($AE$2:$AE$4001,$L$2:$L$4001,$L3977,$F$2:$F$4001,"4")-SUMIFS('AR SALES'!$Y$2:$Y$2501,'AR SALES'!$L$2:$L$2501,$L3977,'AR SALES'!$AD$2:$AD$2501,"OFF"),2)=0,"","STALE")))</f>
        <v/>
      </c>
      <c r="BB3977" s="2" t="str">
        <f>IF(OR(""&amp;$F3977="2",""&amp;$F3977="4",""&amp;$F3977="G",""&amp;$F3977="H"),IF($AY3977="YES","",IF($AB3977&lt;&gt;0,"",IF(COUNTIFS('AR SALES'!$L$2:$L$2501,$L3977,'AR SALES'!$AD$2:$AD$2501,IF(""&amp;$F3977="4","OFF","ON"),'AR SALES'!$AF$2:$AF$2501,"Y")&gt;0,"","NO EXEMPTION"))),"")</f>
        <v/>
      </c>
    </row>
    <row r="3978" spans="46:54" x14ac:dyDescent="0.25">
      <c r="AT3978" s="2" t="str">
        <f>IF($L3978="","",IFERROR(INDEX('AR SALES'!$H$2:$H$2501,MATCH(""&amp;$L3978,'AR SALES'!$AE$2:$AE$2501,0)),""))</f>
        <v/>
      </c>
      <c r="AU3978" s="2" t="str">
        <f t="shared" si="248"/>
        <v/>
      </c>
      <c r="AV3978" s="2" t="str">
        <f t="shared" si="249"/>
        <v/>
      </c>
      <c r="AW3978" s="2" t="str">
        <f t="shared" si="250"/>
        <v/>
      </c>
      <c r="AX3978" s="2" t="str">
        <f t="shared" si="251"/>
        <v/>
      </c>
      <c r="AY3978" s="2" t="str">
        <f>IF($AV3978="","",IF(AND($Z3978=0,COUNTIF('AR SALES'!$L$2:$L$2501,$L3978)=0),"YES",""))</f>
        <v/>
      </c>
      <c r="AZ3978" s="2" t="str">
        <f>IF($AV3978="","",IF(COUNTIF(LISTS!$C$2:$C$250,$AU3978)=0,"NEW",""))</f>
        <v/>
      </c>
      <c r="BA3978" s="2" t="str">
        <f>IF(""&amp;$F3978&lt;&gt;"4","",IF($AY3978="YES","",IF(ROUND(SUMIFS($AE$2:$AE$4001,$L$2:$L$4001,$L3978,$F$2:$F$4001,"4")-SUMIFS('AR SALES'!$Y$2:$Y$2501,'AR SALES'!$L$2:$L$2501,$L3978,'AR SALES'!$AD$2:$AD$2501,"OFF"),2)=0,"","STALE")))</f>
        <v/>
      </c>
      <c r="BB3978" s="2" t="str">
        <f>IF(OR(""&amp;$F3978="2",""&amp;$F3978="4",""&amp;$F3978="G",""&amp;$F3978="H"),IF($AY3978="YES","",IF($AB3978&lt;&gt;0,"",IF(COUNTIFS('AR SALES'!$L$2:$L$2501,$L3978,'AR SALES'!$AD$2:$AD$2501,IF(""&amp;$F3978="4","OFF","ON"),'AR SALES'!$AF$2:$AF$2501,"Y")&gt;0,"","NO EXEMPTION"))),"")</f>
        <v/>
      </c>
    </row>
    <row r="3979" spans="46:54" x14ac:dyDescent="0.25">
      <c r="AT3979" s="2" t="str">
        <f>IF($L3979="","",IFERROR(INDEX('AR SALES'!$H$2:$H$2501,MATCH(""&amp;$L3979,'AR SALES'!$AE$2:$AE$2501,0)),""))</f>
        <v/>
      </c>
      <c r="AU3979" s="2" t="str">
        <f t="shared" si="248"/>
        <v/>
      </c>
      <c r="AV3979" s="2" t="str">
        <f t="shared" si="249"/>
        <v/>
      </c>
      <c r="AW3979" s="2" t="str">
        <f t="shared" si="250"/>
        <v/>
      </c>
      <c r="AX3979" s="2" t="str">
        <f t="shared" si="251"/>
        <v/>
      </c>
      <c r="AY3979" s="2" t="str">
        <f>IF($AV3979="","",IF(AND($Z3979=0,COUNTIF('AR SALES'!$L$2:$L$2501,$L3979)=0),"YES",""))</f>
        <v/>
      </c>
      <c r="AZ3979" s="2" t="str">
        <f>IF($AV3979="","",IF(COUNTIF(LISTS!$C$2:$C$250,$AU3979)=0,"NEW",""))</f>
        <v/>
      </c>
      <c r="BA3979" s="2" t="str">
        <f>IF(""&amp;$F3979&lt;&gt;"4","",IF($AY3979="YES","",IF(ROUND(SUMIFS($AE$2:$AE$4001,$L$2:$L$4001,$L3979,$F$2:$F$4001,"4")-SUMIFS('AR SALES'!$Y$2:$Y$2501,'AR SALES'!$L$2:$L$2501,$L3979,'AR SALES'!$AD$2:$AD$2501,"OFF"),2)=0,"","STALE")))</f>
        <v/>
      </c>
      <c r="BB3979" s="2" t="str">
        <f>IF(OR(""&amp;$F3979="2",""&amp;$F3979="4",""&amp;$F3979="G",""&amp;$F3979="H"),IF($AY3979="YES","",IF($AB3979&lt;&gt;0,"",IF(COUNTIFS('AR SALES'!$L$2:$L$2501,$L3979,'AR SALES'!$AD$2:$AD$2501,IF(""&amp;$F3979="4","OFF","ON"),'AR SALES'!$AF$2:$AF$2501,"Y")&gt;0,"","NO EXEMPTION"))),"")</f>
        <v/>
      </c>
    </row>
    <row r="3980" spans="46:54" x14ac:dyDescent="0.25">
      <c r="AT3980" s="2" t="str">
        <f>IF($L3980="","",IFERROR(INDEX('AR SALES'!$H$2:$H$2501,MATCH(""&amp;$L3980,'AR SALES'!$AE$2:$AE$2501,0)),""))</f>
        <v/>
      </c>
      <c r="AU3980" s="2" t="str">
        <f t="shared" si="248"/>
        <v/>
      </c>
      <c r="AV3980" s="2" t="str">
        <f t="shared" si="249"/>
        <v/>
      </c>
      <c r="AW3980" s="2" t="str">
        <f t="shared" si="250"/>
        <v/>
      </c>
      <c r="AX3980" s="2" t="str">
        <f t="shared" si="251"/>
        <v/>
      </c>
      <c r="AY3980" s="2" t="str">
        <f>IF($AV3980="","",IF(AND($Z3980=0,COUNTIF('AR SALES'!$L$2:$L$2501,$L3980)=0),"YES",""))</f>
        <v/>
      </c>
      <c r="AZ3980" s="2" t="str">
        <f>IF($AV3980="","",IF(COUNTIF(LISTS!$C$2:$C$250,$AU3980)=0,"NEW",""))</f>
        <v/>
      </c>
      <c r="BA3980" s="2" t="str">
        <f>IF(""&amp;$F3980&lt;&gt;"4","",IF($AY3980="YES","",IF(ROUND(SUMIFS($AE$2:$AE$4001,$L$2:$L$4001,$L3980,$F$2:$F$4001,"4")-SUMIFS('AR SALES'!$Y$2:$Y$2501,'AR SALES'!$L$2:$L$2501,$L3980,'AR SALES'!$AD$2:$AD$2501,"OFF"),2)=0,"","STALE")))</f>
        <v/>
      </c>
      <c r="BB3980" s="2" t="str">
        <f>IF(OR(""&amp;$F3980="2",""&amp;$F3980="4",""&amp;$F3980="G",""&amp;$F3980="H"),IF($AY3980="YES","",IF($AB3980&lt;&gt;0,"",IF(COUNTIFS('AR SALES'!$L$2:$L$2501,$L3980,'AR SALES'!$AD$2:$AD$2501,IF(""&amp;$F3980="4","OFF","ON"),'AR SALES'!$AF$2:$AF$2501,"Y")&gt;0,"","NO EXEMPTION"))),"")</f>
        <v/>
      </c>
    </row>
    <row r="3981" spans="46:54" x14ac:dyDescent="0.25">
      <c r="AT3981" s="2" t="str">
        <f>IF($L3981="","",IFERROR(INDEX('AR SALES'!$H$2:$H$2501,MATCH(""&amp;$L3981,'AR SALES'!$AE$2:$AE$2501,0)),""))</f>
        <v/>
      </c>
      <c r="AU3981" s="2" t="str">
        <f t="shared" si="248"/>
        <v/>
      </c>
      <c r="AV3981" s="2" t="str">
        <f t="shared" si="249"/>
        <v/>
      </c>
      <c r="AW3981" s="2" t="str">
        <f t="shared" si="250"/>
        <v/>
      </c>
      <c r="AX3981" s="2" t="str">
        <f t="shared" si="251"/>
        <v/>
      </c>
      <c r="AY3981" s="2" t="str">
        <f>IF($AV3981="","",IF(AND($Z3981=0,COUNTIF('AR SALES'!$L$2:$L$2501,$L3981)=0),"YES",""))</f>
        <v/>
      </c>
      <c r="AZ3981" s="2" t="str">
        <f>IF($AV3981="","",IF(COUNTIF(LISTS!$C$2:$C$250,$AU3981)=0,"NEW",""))</f>
        <v/>
      </c>
      <c r="BA3981" s="2" t="str">
        <f>IF(""&amp;$F3981&lt;&gt;"4","",IF($AY3981="YES","",IF(ROUND(SUMIFS($AE$2:$AE$4001,$L$2:$L$4001,$L3981,$F$2:$F$4001,"4")-SUMIFS('AR SALES'!$Y$2:$Y$2501,'AR SALES'!$L$2:$L$2501,$L3981,'AR SALES'!$AD$2:$AD$2501,"OFF"),2)=0,"","STALE")))</f>
        <v/>
      </c>
      <c r="BB3981" s="2" t="str">
        <f>IF(OR(""&amp;$F3981="2",""&amp;$F3981="4",""&amp;$F3981="G",""&amp;$F3981="H"),IF($AY3981="YES","",IF($AB3981&lt;&gt;0,"",IF(COUNTIFS('AR SALES'!$L$2:$L$2501,$L3981,'AR SALES'!$AD$2:$AD$2501,IF(""&amp;$F3981="4","OFF","ON"),'AR SALES'!$AF$2:$AF$2501,"Y")&gt;0,"","NO EXEMPTION"))),"")</f>
        <v/>
      </c>
    </row>
    <row r="3982" spans="46:54" x14ac:dyDescent="0.25">
      <c r="AT3982" s="2" t="str">
        <f>IF($L3982="","",IFERROR(INDEX('AR SALES'!$H$2:$H$2501,MATCH(""&amp;$L3982,'AR SALES'!$AE$2:$AE$2501,0)),""))</f>
        <v/>
      </c>
      <c r="AU3982" s="2" t="str">
        <f t="shared" si="248"/>
        <v/>
      </c>
      <c r="AV3982" s="2" t="str">
        <f t="shared" si="249"/>
        <v/>
      </c>
      <c r="AW3982" s="2" t="str">
        <f t="shared" si="250"/>
        <v/>
      </c>
      <c r="AX3982" s="2" t="str">
        <f t="shared" si="251"/>
        <v/>
      </c>
      <c r="AY3982" s="2" t="str">
        <f>IF($AV3982="","",IF(AND($Z3982=0,COUNTIF('AR SALES'!$L$2:$L$2501,$L3982)=0),"YES",""))</f>
        <v/>
      </c>
      <c r="AZ3982" s="2" t="str">
        <f>IF($AV3982="","",IF(COUNTIF(LISTS!$C$2:$C$250,$AU3982)=0,"NEW",""))</f>
        <v/>
      </c>
      <c r="BA3982" s="2" t="str">
        <f>IF(""&amp;$F3982&lt;&gt;"4","",IF($AY3982="YES","",IF(ROUND(SUMIFS($AE$2:$AE$4001,$L$2:$L$4001,$L3982,$F$2:$F$4001,"4")-SUMIFS('AR SALES'!$Y$2:$Y$2501,'AR SALES'!$L$2:$L$2501,$L3982,'AR SALES'!$AD$2:$AD$2501,"OFF"),2)=0,"","STALE")))</f>
        <v/>
      </c>
      <c r="BB3982" s="2" t="str">
        <f>IF(OR(""&amp;$F3982="2",""&amp;$F3982="4",""&amp;$F3982="G",""&amp;$F3982="H"),IF($AY3982="YES","",IF($AB3982&lt;&gt;0,"",IF(COUNTIFS('AR SALES'!$L$2:$L$2501,$L3982,'AR SALES'!$AD$2:$AD$2501,IF(""&amp;$F3982="4","OFF","ON"),'AR SALES'!$AF$2:$AF$2501,"Y")&gt;0,"","NO EXEMPTION"))),"")</f>
        <v/>
      </c>
    </row>
    <row r="3983" spans="46:54" x14ac:dyDescent="0.25">
      <c r="AT3983" s="2" t="str">
        <f>IF($L3983="","",IFERROR(INDEX('AR SALES'!$H$2:$H$2501,MATCH(""&amp;$L3983,'AR SALES'!$AE$2:$AE$2501,0)),""))</f>
        <v/>
      </c>
      <c r="AU3983" s="2" t="str">
        <f t="shared" si="248"/>
        <v/>
      </c>
      <c r="AV3983" s="2" t="str">
        <f t="shared" si="249"/>
        <v/>
      </c>
      <c r="AW3983" s="2" t="str">
        <f t="shared" si="250"/>
        <v/>
      </c>
      <c r="AX3983" s="2" t="str">
        <f t="shared" si="251"/>
        <v/>
      </c>
      <c r="AY3983" s="2" t="str">
        <f>IF($AV3983="","",IF(AND($Z3983=0,COUNTIF('AR SALES'!$L$2:$L$2501,$L3983)=0),"YES",""))</f>
        <v/>
      </c>
      <c r="AZ3983" s="2" t="str">
        <f>IF($AV3983="","",IF(COUNTIF(LISTS!$C$2:$C$250,$AU3983)=0,"NEW",""))</f>
        <v/>
      </c>
      <c r="BA3983" s="2" t="str">
        <f>IF(""&amp;$F3983&lt;&gt;"4","",IF($AY3983="YES","",IF(ROUND(SUMIFS($AE$2:$AE$4001,$L$2:$L$4001,$L3983,$F$2:$F$4001,"4")-SUMIFS('AR SALES'!$Y$2:$Y$2501,'AR SALES'!$L$2:$L$2501,$L3983,'AR SALES'!$AD$2:$AD$2501,"OFF"),2)=0,"","STALE")))</f>
        <v/>
      </c>
      <c r="BB3983" s="2" t="str">
        <f>IF(OR(""&amp;$F3983="2",""&amp;$F3983="4",""&amp;$F3983="G",""&amp;$F3983="H"),IF($AY3983="YES","",IF($AB3983&lt;&gt;0,"",IF(COUNTIFS('AR SALES'!$L$2:$L$2501,$L3983,'AR SALES'!$AD$2:$AD$2501,IF(""&amp;$F3983="4","OFF","ON"),'AR SALES'!$AF$2:$AF$2501,"Y")&gt;0,"","NO EXEMPTION"))),"")</f>
        <v/>
      </c>
    </row>
    <row r="3984" spans="46:54" x14ac:dyDescent="0.25">
      <c r="AT3984" s="2" t="str">
        <f>IF($L3984="","",IFERROR(INDEX('AR SALES'!$H$2:$H$2501,MATCH(""&amp;$L3984,'AR SALES'!$AE$2:$AE$2501,0)),""))</f>
        <v/>
      </c>
      <c r="AU3984" s="2" t="str">
        <f t="shared" si="248"/>
        <v/>
      </c>
      <c r="AV3984" s="2" t="str">
        <f t="shared" si="249"/>
        <v/>
      </c>
      <c r="AW3984" s="2" t="str">
        <f t="shared" si="250"/>
        <v/>
      </c>
      <c r="AX3984" s="2" t="str">
        <f t="shared" si="251"/>
        <v/>
      </c>
      <c r="AY3984" s="2" t="str">
        <f>IF($AV3984="","",IF(AND($Z3984=0,COUNTIF('AR SALES'!$L$2:$L$2501,$L3984)=0),"YES",""))</f>
        <v/>
      </c>
      <c r="AZ3984" s="2" t="str">
        <f>IF($AV3984="","",IF(COUNTIF(LISTS!$C$2:$C$250,$AU3984)=0,"NEW",""))</f>
        <v/>
      </c>
      <c r="BA3984" s="2" t="str">
        <f>IF(""&amp;$F3984&lt;&gt;"4","",IF($AY3984="YES","",IF(ROUND(SUMIFS($AE$2:$AE$4001,$L$2:$L$4001,$L3984,$F$2:$F$4001,"4")-SUMIFS('AR SALES'!$Y$2:$Y$2501,'AR SALES'!$L$2:$L$2501,$L3984,'AR SALES'!$AD$2:$AD$2501,"OFF"),2)=0,"","STALE")))</f>
        <v/>
      </c>
      <c r="BB3984" s="2" t="str">
        <f>IF(OR(""&amp;$F3984="2",""&amp;$F3984="4",""&amp;$F3984="G",""&amp;$F3984="H"),IF($AY3984="YES","",IF($AB3984&lt;&gt;0,"",IF(COUNTIFS('AR SALES'!$L$2:$L$2501,$L3984,'AR SALES'!$AD$2:$AD$2501,IF(""&amp;$F3984="4","OFF","ON"),'AR SALES'!$AF$2:$AF$2501,"Y")&gt;0,"","NO EXEMPTION"))),"")</f>
        <v/>
      </c>
    </row>
    <row r="3985" spans="46:54" x14ac:dyDescent="0.25">
      <c r="AT3985" s="2" t="str">
        <f>IF($L3985="","",IFERROR(INDEX('AR SALES'!$H$2:$H$2501,MATCH(""&amp;$L3985,'AR SALES'!$AE$2:$AE$2501,0)),""))</f>
        <v/>
      </c>
      <c r="AU3985" s="2" t="str">
        <f t="shared" si="248"/>
        <v/>
      </c>
      <c r="AV3985" s="2" t="str">
        <f t="shared" si="249"/>
        <v/>
      </c>
      <c r="AW3985" s="2" t="str">
        <f t="shared" si="250"/>
        <v/>
      </c>
      <c r="AX3985" s="2" t="str">
        <f t="shared" si="251"/>
        <v/>
      </c>
      <c r="AY3985" s="2" t="str">
        <f>IF($AV3985="","",IF(AND($Z3985=0,COUNTIF('AR SALES'!$L$2:$L$2501,$L3985)=0),"YES",""))</f>
        <v/>
      </c>
      <c r="AZ3985" s="2" t="str">
        <f>IF($AV3985="","",IF(COUNTIF(LISTS!$C$2:$C$250,$AU3985)=0,"NEW",""))</f>
        <v/>
      </c>
      <c r="BA3985" s="2" t="str">
        <f>IF(""&amp;$F3985&lt;&gt;"4","",IF($AY3985="YES","",IF(ROUND(SUMIFS($AE$2:$AE$4001,$L$2:$L$4001,$L3985,$F$2:$F$4001,"4")-SUMIFS('AR SALES'!$Y$2:$Y$2501,'AR SALES'!$L$2:$L$2501,$L3985,'AR SALES'!$AD$2:$AD$2501,"OFF"),2)=0,"","STALE")))</f>
        <v/>
      </c>
      <c r="BB3985" s="2" t="str">
        <f>IF(OR(""&amp;$F3985="2",""&amp;$F3985="4",""&amp;$F3985="G",""&amp;$F3985="H"),IF($AY3985="YES","",IF($AB3985&lt;&gt;0,"",IF(COUNTIFS('AR SALES'!$L$2:$L$2501,$L3985,'AR SALES'!$AD$2:$AD$2501,IF(""&amp;$F3985="4","OFF","ON"),'AR SALES'!$AF$2:$AF$2501,"Y")&gt;0,"","NO EXEMPTION"))),"")</f>
        <v/>
      </c>
    </row>
    <row r="3986" spans="46:54" x14ac:dyDescent="0.25">
      <c r="AT3986" s="2" t="str">
        <f>IF($L3986="","",IFERROR(INDEX('AR SALES'!$H$2:$H$2501,MATCH(""&amp;$L3986,'AR SALES'!$AE$2:$AE$2501,0)),""))</f>
        <v/>
      </c>
      <c r="AU3986" s="2" t="str">
        <f t="shared" si="248"/>
        <v/>
      </c>
      <c r="AV3986" s="2" t="str">
        <f t="shared" si="249"/>
        <v/>
      </c>
      <c r="AW3986" s="2" t="str">
        <f t="shared" si="250"/>
        <v/>
      </c>
      <c r="AX3986" s="2" t="str">
        <f t="shared" si="251"/>
        <v/>
      </c>
      <c r="AY3986" s="2" t="str">
        <f>IF($AV3986="","",IF(AND($Z3986=0,COUNTIF('AR SALES'!$L$2:$L$2501,$L3986)=0),"YES",""))</f>
        <v/>
      </c>
      <c r="AZ3986" s="2" t="str">
        <f>IF($AV3986="","",IF(COUNTIF(LISTS!$C$2:$C$250,$AU3986)=0,"NEW",""))</f>
        <v/>
      </c>
      <c r="BA3986" s="2" t="str">
        <f>IF(""&amp;$F3986&lt;&gt;"4","",IF($AY3986="YES","",IF(ROUND(SUMIFS($AE$2:$AE$4001,$L$2:$L$4001,$L3986,$F$2:$F$4001,"4")-SUMIFS('AR SALES'!$Y$2:$Y$2501,'AR SALES'!$L$2:$L$2501,$L3986,'AR SALES'!$AD$2:$AD$2501,"OFF"),2)=0,"","STALE")))</f>
        <v/>
      </c>
      <c r="BB3986" s="2" t="str">
        <f>IF(OR(""&amp;$F3986="2",""&amp;$F3986="4",""&amp;$F3986="G",""&amp;$F3986="H"),IF($AY3986="YES","",IF($AB3986&lt;&gt;0,"",IF(COUNTIFS('AR SALES'!$L$2:$L$2501,$L3986,'AR SALES'!$AD$2:$AD$2501,IF(""&amp;$F3986="4","OFF","ON"),'AR SALES'!$AF$2:$AF$2501,"Y")&gt;0,"","NO EXEMPTION"))),"")</f>
        <v/>
      </c>
    </row>
    <row r="3987" spans="46:54" x14ac:dyDescent="0.25">
      <c r="AT3987" s="2" t="str">
        <f>IF($L3987="","",IFERROR(INDEX('AR SALES'!$H$2:$H$2501,MATCH(""&amp;$L3987,'AR SALES'!$AE$2:$AE$2501,0)),""))</f>
        <v/>
      </c>
      <c r="AU3987" s="2" t="str">
        <f t="shared" si="248"/>
        <v/>
      </c>
      <c r="AV3987" s="2" t="str">
        <f t="shared" si="249"/>
        <v/>
      </c>
      <c r="AW3987" s="2" t="str">
        <f t="shared" si="250"/>
        <v/>
      </c>
      <c r="AX3987" s="2" t="str">
        <f t="shared" si="251"/>
        <v/>
      </c>
      <c r="AY3987" s="2" t="str">
        <f>IF($AV3987="","",IF(AND($Z3987=0,COUNTIF('AR SALES'!$L$2:$L$2501,$L3987)=0),"YES",""))</f>
        <v/>
      </c>
      <c r="AZ3987" s="2" t="str">
        <f>IF($AV3987="","",IF(COUNTIF(LISTS!$C$2:$C$250,$AU3987)=0,"NEW",""))</f>
        <v/>
      </c>
      <c r="BA3987" s="2" t="str">
        <f>IF(""&amp;$F3987&lt;&gt;"4","",IF($AY3987="YES","",IF(ROUND(SUMIFS($AE$2:$AE$4001,$L$2:$L$4001,$L3987,$F$2:$F$4001,"4")-SUMIFS('AR SALES'!$Y$2:$Y$2501,'AR SALES'!$L$2:$L$2501,$L3987,'AR SALES'!$AD$2:$AD$2501,"OFF"),2)=0,"","STALE")))</f>
        <v/>
      </c>
      <c r="BB3987" s="2" t="str">
        <f>IF(OR(""&amp;$F3987="2",""&amp;$F3987="4",""&amp;$F3987="G",""&amp;$F3987="H"),IF($AY3987="YES","",IF($AB3987&lt;&gt;0,"",IF(COUNTIFS('AR SALES'!$L$2:$L$2501,$L3987,'AR SALES'!$AD$2:$AD$2501,IF(""&amp;$F3987="4","OFF","ON"),'AR SALES'!$AF$2:$AF$2501,"Y")&gt;0,"","NO EXEMPTION"))),"")</f>
        <v/>
      </c>
    </row>
    <row r="3988" spans="46:54" x14ac:dyDescent="0.25">
      <c r="AT3988" s="2" t="str">
        <f>IF($L3988="","",IFERROR(INDEX('AR SALES'!$H$2:$H$2501,MATCH(""&amp;$L3988,'AR SALES'!$AE$2:$AE$2501,0)),""))</f>
        <v/>
      </c>
      <c r="AU3988" s="2" t="str">
        <f t="shared" si="248"/>
        <v/>
      </c>
      <c r="AV3988" s="2" t="str">
        <f t="shared" si="249"/>
        <v/>
      </c>
      <c r="AW3988" s="2" t="str">
        <f t="shared" si="250"/>
        <v/>
      </c>
      <c r="AX3988" s="2" t="str">
        <f t="shared" si="251"/>
        <v/>
      </c>
      <c r="AY3988" s="2" t="str">
        <f>IF($AV3988="","",IF(AND($Z3988=0,COUNTIF('AR SALES'!$L$2:$L$2501,$L3988)=0),"YES",""))</f>
        <v/>
      </c>
      <c r="AZ3988" s="2" t="str">
        <f>IF($AV3988="","",IF(COUNTIF(LISTS!$C$2:$C$250,$AU3988)=0,"NEW",""))</f>
        <v/>
      </c>
      <c r="BA3988" s="2" t="str">
        <f>IF(""&amp;$F3988&lt;&gt;"4","",IF($AY3988="YES","",IF(ROUND(SUMIFS($AE$2:$AE$4001,$L$2:$L$4001,$L3988,$F$2:$F$4001,"4")-SUMIFS('AR SALES'!$Y$2:$Y$2501,'AR SALES'!$L$2:$L$2501,$L3988,'AR SALES'!$AD$2:$AD$2501,"OFF"),2)=0,"","STALE")))</f>
        <v/>
      </c>
      <c r="BB3988" s="2" t="str">
        <f>IF(OR(""&amp;$F3988="2",""&amp;$F3988="4",""&amp;$F3988="G",""&amp;$F3988="H"),IF($AY3988="YES","",IF($AB3988&lt;&gt;0,"",IF(COUNTIFS('AR SALES'!$L$2:$L$2501,$L3988,'AR SALES'!$AD$2:$AD$2501,IF(""&amp;$F3988="4","OFF","ON"),'AR SALES'!$AF$2:$AF$2501,"Y")&gt;0,"","NO EXEMPTION"))),"")</f>
        <v/>
      </c>
    </row>
    <row r="3989" spans="46:54" x14ac:dyDescent="0.25">
      <c r="AT3989" s="2" t="str">
        <f>IF($L3989="","",IFERROR(INDEX('AR SALES'!$H$2:$H$2501,MATCH(""&amp;$L3989,'AR SALES'!$AE$2:$AE$2501,0)),""))</f>
        <v/>
      </c>
      <c r="AU3989" s="2" t="str">
        <f t="shared" si="248"/>
        <v/>
      </c>
      <c r="AV3989" s="2" t="str">
        <f t="shared" si="249"/>
        <v/>
      </c>
      <c r="AW3989" s="2" t="str">
        <f t="shared" si="250"/>
        <v/>
      </c>
      <c r="AX3989" s="2" t="str">
        <f t="shared" si="251"/>
        <v/>
      </c>
      <c r="AY3989" s="2" t="str">
        <f>IF($AV3989="","",IF(AND($Z3989=0,COUNTIF('AR SALES'!$L$2:$L$2501,$L3989)=0),"YES",""))</f>
        <v/>
      </c>
      <c r="AZ3989" s="2" t="str">
        <f>IF($AV3989="","",IF(COUNTIF(LISTS!$C$2:$C$250,$AU3989)=0,"NEW",""))</f>
        <v/>
      </c>
      <c r="BA3989" s="2" t="str">
        <f>IF(""&amp;$F3989&lt;&gt;"4","",IF($AY3989="YES","",IF(ROUND(SUMIFS($AE$2:$AE$4001,$L$2:$L$4001,$L3989,$F$2:$F$4001,"4")-SUMIFS('AR SALES'!$Y$2:$Y$2501,'AR SALES'!$L$2:$L$2501,$L3989,'AR SALES'!$AD$2:$AD$2501,"OFF"),2)=0,"","STALE")))</f>
        <v/>
      </c>
      <c r="BB3989" s="2" t="str">
        <f>IF(OR(""&amp;$F3989="2",""&amp;$F3989="4",""&amp;$F3989="G",""&amp;$F3989="H"),IF($AY3989="YES","",IF($AB3989&lt;&gt;0,"",IF(COUNTIFS('AR SALES'!$L$2:$L$2501,$L3989,'AR SALES'!$AD$2:$AD$2501,IF(""&amp;$F3989="4","OFF","ON"),'AR SALES'!$AF$2:$AF$2501,"Y")&gt;0,"","NO EXEMPTION"))),"")</f>
        <v/>
      </c>
    </row>
    <row r="3990" spans="46:54" x14ac:dyDescent="0.25">
      <c r="AT3990" s="2" t="str">
        <f>IF($L3990="","",IFERROR(INDEX('AR SALES'!$H$2:$H$2501,MATCH(""&amp;$L3990,'AR SALES'!$AE$2:$AE$2501,0)),""))</f>
        <v/>
      </c>
      <c r="AU3990" s="2" t="str">
        <f t="shared" si="248"/>
        <v/>
      </c>
      <c r="AV3990" s="2" t="str">
        <f t="shared" si="249"/>
        <v/>
      </c>
      <c r="AW3990" s="2" t="str">
        <f t="shared" si="250"/>
        <v/>
      </c>
      <c r="AX3990" s="2" t="str">
        <f t="shared" si="251"/>
        <v/>
      </c>
      <c r="AY3990" s="2" t="str">
        <f>IF($AV3990="","",IF(AND($Z3990=0,COUNTIF('AR SALES'!$L$2:$L$2501,$L3990)=0),"YES",""))</f>
        <v/>
      </c>
      <c r="AZ3990" s="2" t="str">
        <f>IF($AV3990="","",IF(COUNTIF(LISTS!$C$2:$C$250,$AU3990)=0,"NEW",""))</f>
        <v/>
      </c>
      <c r="BA3990" s="2" t="str">
        <f>IF(""&amp;$F3990&lt;&gt;"4","",IF($AY3990="YES","",IF(ROUND(SUMIFS($AE$2:$AE$4001,$L$2:$L$4001,$L3990,$F$2:$F$4001,"4")-SUMIFS('AR SALES'!$Y$2:$Y$2501,'AR SALES'!$L$2:$L$2501,$L3990,'AR SALES'!$AD$2:$AD$2501,"OFF"),2)=0,"","STALE")))</f>
        <v/>
      </c>
      <c r="BB3990" s="2" t="str">
        <f>IF(OR(""&amp;$F3990="2",""&amp;$F3990="4",""&amp;$F3990="G",""&amp;$F3990="H"),IF($AY3990="YES","",IF($AB3990&lt;&gt;0,"",IF(COUNTIFS('AR SALES'!$L$2:$L$2501,$L3990,'AR SALES'!$AD$2:$AD$2501,IF(""&amp;$F3990="4","OFF","ON"),'AR SALES'!$AF$2:$AF$2501,"Y")&gt;0,"","NO EXEMPTION"))),"")</f>
        <v/>
      </c>
    </row>
    <row r="3991" spans="46:54" x14ac:dyDescent="0.25">
      <c r="AT3991" s="2" t="str">
        <f>IF($L3991="","",IFERROR(INDEX('AR SALES'!$H$2:$H$2501,MATCH(""&amp;$L3991,'AR SALES'!$AE$2:$AE$2501,0)),""))</f>
        <v/>
      </c>
      <c r="AU3991" s="2" t="str">
        <f t="shared" si="248"/>
        <v/>
      </c>
      <c r="AV3991" s="2" t="str">
        <f t="shared" si="249"/>
        <v/>
      </c>
      <c r="AW3991" s="2" t="str">
        <f t="shared" si="250"/>
        <v/>
      </c>
      <c r="AX3991" s="2" t="str">
        <f t="shared" si="251"/>
        <v/>
      </c>
      <c r="AY3991" s="2" t="str">
        <f>IF($AV3991="","",IF(AND($Z3991=0,COUNTIF('AR SALES'!$L$2:$L$2501,$L3991)=0),"YES",""))</f>
        <v/>
      </c>
      <c r="AZ3991" s="2" t="str">
        <f>IF($AV3991="","",IF(COUNTIF(LISTS!$C$2:$C$250,$AU3991)=0,"NEW",""))</f>
        <v/>
      </c>
      <c r="BA3991" s="2" t="str">
        <f>IF(""&amp;$F3991&lt;&gt;"4","",IF($AY3991="YES","",IF(ROUND(SUMIFS($AE$2:$AE$4001,$L$2:$L$4001,$L3991,$F$2:$F$4001,"4")-SUMIFS('AR SALES'!$Y$2:$Y$2501,'AR SALES'!$L$2:$L$2501,$L3991,'AR SALES'!$AD$2:$AD$2501,"OFF"),2)=0,"","STALE")))</f>
        <v/>
      </c>
      <c r="BB3991" s="2" t="str">
        <f>IF(OR(""&amp;$F3991="2",""&amp;$F3991="4",""&amp;$F3991="G",""&amp;$F3991="H"),IF($AY3991="YES","",IF($AB3991&lt;&gt;0,"",IF(COUNTIFS('AR SALES'!$L$2:$L$2501,$L3991,'AR SALES'!$AD$2:$AD$2501,IF(""&amp;$F3991="4","OFF","ON"),'AR SALES'!$AF$2:$AF$2501,"Y")&gt;0,"","NO EXEMPTION"))),"")</f>
        <v/>
      </c>
    </row>
    <row r="3992" spans="46:54" x14ac:dyDescent="0.25">
      <c r="AT3992" s="2" t="str">
        <f>IF($L3992="","",IFERROR(INDEX('AR SALES'!$H$2:$H$2501,MATCH(""&amp;$L3992,'AR SALES'!$AE$2:$AE$2501,0)),""))</f>
        <v/>
      </c>
      <c r="AU3992" s="2" t="str">
        <f t="shared" si="248"/>
        <v/>
      </c>
      <c r="AV3992" s="2" t="str">
        <f t="shared" si="249"/>
        <v/>
      </c>
      <c r="AW3992" s="2" t="str">
        <f t="shared" si="250"/>
        <v/>
      </c>
      <c r="AX3992" s="2" t="str">
        <f t="shared" si="251"/>
        <v/>
      </c>
      <c r="AY3992" s="2" t="str">
        <f>IF($AV3992="","",IF(AND($Z3992=0,COUNTIF('AR SALES'!$L$2:$L$2501,$L3992)=0),"YES",""))</f>
        <v/>
      </c>
      <c r="AZ3992" s="2" t="str">
        <f>IF($AV3992="","",IF(COUNTIF(LISTS!$C$2:$C$250,$AU3992)=0,"NEW",""))</f>
        <v/>
      </c>
      <c r="BA3992" s="2" t="str">
        <f>IF(""&amp;$F3992&lt;&gt;"4","",IF($AY3992="YES","",IF(ROUND(SUMIFS($AE$2:$AE$4001,$L$2:$L$4001,$L3992,$F$2:$F$4001,"4")-SUMIFS('AR SALES'!$Y$2:$Y$2501,'AR SALES'!$L$2:$L$2501,$L3992,'AR SALES'!$AD$2:$AD$2501,"OFF"),2)=0,"","STALE")))</f>
        <v/>
      </c>
      <c r="BB3992" s="2" t="str">
        <f>IF(OR(""&amp;$F3992="2",""&amp;$F3992="4",""&amp;$F3992="G",""&amp;$F3992="H"),IF($AY3992="YES","",IF($AB3992&lt;&gt;0,"",IF(COUNTIFS('AR SALES'!$L$2:$L$2501,$L3992,'AR SALES'!$AD$2:$AD$2501,IF(""&amp;$F3992="4","OFF","ON"),'AR SALES'!$AF$2:$AF$2501,"Y")&gt;0,"","NO EXEMPTION"))),"")</f>
        <v/>
      </c>
    </row>
    <row r="3993" spans="46:54" x14ac:dyDescent="0.25">
      <c r="AT3993" s="2" t="str">
        <f>IF($L3993="","",IFERROR(INDEX('AR SALES'!$H$2:$H$2501,MATCH(""&amp;$L3993,'AR SALES'!$AE$2:$AE$2501,0)),""))</f>
        <v/>
      </c>
      <c r="AU3993" s="2" t="str">
        <f t="shared" si="248"/>
        <v/>
      </c>
      <c r="AV3993" s="2" t="str">
        <f t="shared" si="249"/>
        <v/>
      </c>
      <c r="AW3993" s="2" t="str">
        <f t="shared" si="250"/>
        <v/>
      </c>
      <c r="AX3993" s="2" t="str">
        <f t="shared" si="251"/>
        <v/>
      </c>
      <c r="AY3993" s="2" t="str">
        <f>IF($AV3993="","",IF(AND($Z3993=0,COUNTIF('AR SALES'!$L$2:$L$2501,$L3993)=0),"YES",""))</f>
        <v/>
      </c>
      <c r="AZ3993" s="2" t="str">
        <f>IF($AV3993="","",IF(COUNTIF(LISTS!$C$2:$C$250,$AU3993)=0,"NEW",""))</f>
        <v/>
      </c>
      <c r="BA3993" s="2" t="str">
        <f>IF(""&amp;$F3993&lt;&gt;"4","",IF($AY3993="YES","",IF(ROUND(SUMIFS($AE$2:$AE$4001,$L$2:$L$4001,$L3993,$F$2:$F$4001,"4")-SUMIFS('AR SALES'!$Y$2:$Y$2501,'AR SALES'!$L$2:$L$2501,$L3993,'AR SALES'!$AD$2:$AD$2501,"OFF"),2)=0,"","STALE")))</f>
        <v/>
      </c>
      <c r="BB3993" s="2" t="str">
        <f>IF(OR(""&amp;$F3993="2",""&amp;$F3993="4",""&amp;$F3993="G",""&amp;$F3993="H"),IF($AY3993="YES","",IF($AB3993&lt;&gt;0,"",IF(COUNTIFS('AR SALES'!$L$2:$L$2501,$L3993,'AR SALES'!$AD$2:$AD$2501,IF(""&amp;$F3993="4","OFF","ON"),'AR SALES'!$AF$2:$AF$2501,"Y")&gt;0,"","NO EXEMPTION"))),"")</f>
        <v/>
      </c>
    </row>
    <row r="3994" spans="46:54" x14ac:dyDescent="0.25">
      <c r="AT3994" s="2" t="str">
        <f>IF($L3994="","",IFERROR(INDEX('AR SALES'!$H$2:$H$2501,MATCH(""&amp;$L3994,'AR SALES'!$AE$2:$AE$2501,0)),""))</f>
        <v/>
      </c>
      <c r="AU3994" s="2" t="str">
        <f t="shared" si="248"/>
        <v/>
      </c>
      <c r="AV3994" s="2" t="str">
        <f t="shared" si="249"/>
        <v/>
      </c>
      <c r="AW3994" s="2" t="str">
        <f t="shared" si="250"/>
        <v/>
      </c>
      <c r="AX3994" s="2" t="str">
        <f t="shared" si="251"/>
        <v/>
      </c>
      <c r="AY3994" s="2" t="str">
        <f>IF($AV3994="","",IF(AND($Z3994=0,COUNTIF('AR SALES'!$L$2:$L$2501,$L3994)=0),"YES",""))</f>
        <v/>
      </c>
      <c r="AZ3994" s="2" t="str">
        <f>IF($AV3994="","",IF(COUNTIF(LISTS!$C$2:$C$250,$AU3994)=0,"NEW",""))</f>
        <v/>
      </c>
      <c r="BA3994" s="2" t="str">
        <f>IF(""&amp;$F3994&lt;&gt;"4","",IF($AY3994="YES","",IF(ROUND(SUMIFS($AE$2:$AE$4001,$L$2:$L$4001,$L3994,$F$2:$F$4001,"4")-SUMIFS('AR SALES'!$Y$2:$Y$2501,'AR SALES'!$L$2:$L$2501,$L3994,'AR SALES'!$AD$2:$AD$2501,"OFF"),2)=0,"","STALE")))</f>
        <v/>
      </c>
      <c r="BB3994" s="2" t="str">
        <f>IF(OR(""&amp;$F3994="2",""&amp;$F3994="4",""&amp;$F3994="G",""&amp;$F3994="H"),IF($AY3994="YES","",IF($AB3994&lt;&gt;0,"",IF(COUNTIFS('AR SALES'!$L$2:$L$2501,$L3994,'AR SALES'!$AD$2:$AD$2501,IF(""&amp;$F3994="4","OFF","ON"),'AR SALES'!$AF$2:$AF$2501,"Y")&gt;0,"","NO EXEMPTION"))),"")</f>
        <v/>
      </c>
    </row>
    <row r="3995" spans="46:54" x14ac:dyDescent="0.25">
      <c r="AT3995" s="2" t="str">
        <f>IF($L3995="","",IFERROR(INDEX('AR SALES'!$H$2:$H$2501,MATCH(""&amp;$L3995,'AR SALES'!$AE$2:$AE$2501,0)),""))</f>
        <v/>
      </c>
      <c r="AU3995" s="2" t="str">
        <f t="shared" si="248"/>
        <v/>
      </c>
      <c r="AV3995" s="2" t="str">
        <f t="shared" si="249"/>
        <v/>
      </c>
      <c r="AW3995" s="2" t="str">
        <f t="shared" si="250"/>
        <v/>
      </c>
      <c r="AX3995" s="2" t="str">
        <f t="shared" si="251"/>
        <v/>
      </c>
      <c r="AY3995" s="2" t="str">
        <f>IF($AV3995="","",IF(AND($Z3995=0,COUNTIF('AR SALES'!$L$2:$L$2501,$L3995)=0),"YES",""))</f>
        <v/>
      </c>
      <c r="AZ3995" s="2" t="str">
        <f>IF($AV3995="","",IF(COUNTIF(LISTS!$C$2:$C$250,$AU3995)=0,"NEW",""))</f>
        <v/>
      </c>
      <c r="BA3995" s="2" t="str">
        <f>IF(""&amp;$F3995&lt;&gt;"4","",IF($AY3995="YES","",IF(ROUND(SUMIFS($AE$2:$AE$4001,$L$2:$L$4001,$L3995,$F$2:$F$4001,"4")-SUMIFS('AR SALES'!$Y$2:$Y$2501,'AR SALES'!$L$2:$L$2501,$L3995,'AR SALES'!$AD$2:$AD$2501,"OFF"),2)=0,"","STALE")))</f>
        <v/>
      </c>
      <c r="BB3995" s="2" t="str">
        <f>IF(OR(""&amp;$F3995="2",""&amp;$F3995="4",""&amp;$F3995="G",""&amp;$F3995="H"),IF($AY3995="YES","",IF($AB3995&lt;&gt;0,"",IF(COUNTIFS('AR SALES'!$L$2:$L$2501,$L3995,'AR SALES'!$AD$2:$AD$2501,IF(""&amp;$F3995="4","OFF","ON"),'AR SALES'!$AF$2:$AF$2501,"Y")&gt;0,"","NO EXEMPTION"))),"")</f>
        <v/>
      </c>
    </row>
    <row r="3996" spans="46:54" x14ac:dyDescent="0.25">
      <c r="AT3996" s="2" t="str">
        <f>IF($L3996="","",IFERROR(INDEX('AR SALES'!$H$2:$H$2501,MATCH(""&amp;$L3996,'AR SALES'!$AE$2:$AE$2501,0)),""))</f>
        <v/>
      </c>
      <c r="AU3996" s="2" t="str">
        <f t="shared" si="248"/>
        <v/>
      </c>
      <c r="AV3996" s="2" t="str">
        <f t="shared" si="249"/>
        <v/>
      </c>
      <c r="AW3996" s="2" t="str">
        <f t="shared" si="250"/>
        <v/>
      </c>
      <c r="AX3996" s="2" t="str">
        <f t="shared" si="251"/>
        <v/>
      </c>
      <c r="AY3996" s="2" t="str">
        <f>IF($AV3996="","",IF(AND($Z3996=0,COUNTIF('AR SALES'!$L$2:$L$2501,$L3996)=0),"YES",""))</f>
        <v/>
      </c>
      <c r="AZ3996" s="2" t="str">
        <f>IF($AV3996="","",IF(COUNTIF(LISTS!$C$2:$C$250,$AU3996)=0,"NEW",""))</f>
        <v/>
      </c>
      <c r="BA3996" s="2" t="str">
        <f>IF(""&amp;$F3996&lt;&gt;"4","",IF($AY3996="YES","",IF(ROUND(SUMIFS($AE$2:$AE$4001,$L$2:$L$4001,$L3996,$F$2:$F$4001,"4")-SUMIFS('AR SALES'!$Y$2:$Y$2501,'AR SALES'!$L$2:$L$2501,$L3996,'AR SALES'!$AD$2:$AD$2501,"OFF"),2)=0,"","STALE")))</f>
        <v/>
      </c>
      <c r="BB3996" s="2" t="str">
        <f>IF(OR(""&amp;$F3996="2",""&amp;$F3996="4",""&amp;$F3996="G",""&amp;$F3996="H"),IF($AY3996="YES","",IF($AB3996&lt;&gt;0,"",IF(COUNTIFS('AR SALES'!$L$2:$L$2501,$L3996,'AR SALES'!$AD$2:$AD$2501,IF(""&amp;$F3996="4","OFF","ON"),'AR SALES'!$AF$2:$AF$2501,"Y")&gt;0,"","NO EXEMPTION"))),"")</f>
        <v/>
      </c>
    </row>
    <row r="3997" spans="46:54" x14ac:dyDescent="0.25">
      <c r="AT3997" s="2" t="str">
        <f>IF($L3997="","",IFERROR(INDEX('AR SALES'!$H$2:$H$2501,MATCH(""&amp;$L3997,'AR SALES'!$AE$2:$AE$2501,0)),""))</f>
        <v/>
      </c>
      <c r="AU3997" s="2" t="str">
        <f t="shared" si="248"/>
        <v/>
      </c>
      <c r="AV3997" s="2" t="str">
        <f t="shared" si="249"/>
        <v/>
      </c>
      <c r="AW3997" s="2" t="str">
        <f t="shared" si="250"/>
        <v/>
      </c>
      <c r="AX3997" s="2" t="str">
        <f t="shared" si="251"/>
        <v/>
      </c>
      <c r="AY3997" s="2" t="str">
        <f>IF($AV3997="","",IF(AND($Z3997=0,COUNTIF('AR SALES'!$L$2:$L$2501,$L3997)=0),"YES",""))</f>
        <v/>
      </c>
      <c r="AZ3997" s="2" t="str">
        <f>IF($AV3997="","",IF(COUNTIF(LISTS!$C$2:$C$250,$AU3997)=0,"NEW",""))</f>
        <v/>
      </c>
      <c r="BA3997" s="2" t="str">
        <f>IF(""&amp;$F3997&lt;&gt;"4","",IF($AY3997="YES","",IF(ROUND(SUMIFS($AE$2:$AE$4001,$L$2:$L$4001,$L3997,$F$2:$F$4001,"4")-SUMIFS('AR SALES'!$Y$2:$Y$2501,'AR SALES'!$L$2:$L$2501,$L3997,'AR SALES'!$AD$2:$AD$2501,"OFF"),2)=0,"","STALE")))</f>
        <v/>
      </c>
      <c r="BB3997" s="2" t="str">
        <f>IF(OR(""&amp;$F3997="2",""&amp;$F3997="4",""&amp;$F3997="G",""&amp;$F3997="H"),IF($AY3997="YES","",IF($AB3997&lt;&gt;0,"",IF(COUNTIFS('AR SALES'!$L$2:$L$2501,$L3997,'AR SALES'!$AD$2:$AD$2501,IF(""&amp;$F3997="4","OFF","ON"),'AR SALES'!$AF$2:$AF$2501,"Y")&gt;0,"","NO EXEMPTION"))),"")</f>
        <v/>
      </c>
    </row>
    <row r="3998" spans="46:54" x14ac:dyDescent="0.25">
      <c r="AT3998" s="2" t="str">
        <f>IF($L3998="","",IFERROR(INDEX('AR SALES'!$H$2:$H$2501,MATCH(""&amp;$L3998,'AR SALES'!$AE$2:$AE$2501,0)),""))</f>
        <v/>
      </c>
      <c r="AU3998" s="2" t="str">
        <f t="shared" si="248"/>
        <v/>
      </c>
      <c r="AV3998" s="2" t="str">
        <f t="shared" si="249"/>
        <v/>
      </c>
      <c r="AW3998" s="2" t="str">
        <f t="shared" si="250"/>
        <v/>
      </c>
      <c r="AX3998" s="2" t="str">
        <f t="shared" si="251"/>
        <v/>
      </c>
      <c r="AY3998" s="2" t="str">
        <f>IF($AV3998="","",IF(AND($Z3998=0,COUNTIF('AR SALES'!$L$2:$L$2501,$L3998)=0),"YES",""))</f>
        <v/>
      </c>
      <c r="AZ3998" s="2" t="str">
        <f>IF($AV3998="","",IF(COUNTIF(LISTS!$C$2:$C$250,$AU3998)=0,"NEW",""))</f>
        <v/>
      </c>
      <c r="BA3998" s="2" t="str">
        <f>IF(""&amp;$F3998&lt;&gt;"4","",IF($AY3998="YES","",IF(ROUND(SUMIFS($AE$2:$AE$4001,$L$2:$L$4001,$L3998,$F$2:$F$4001,"4")-SUMIFS('AR SALES'!$Y$2:$Y$2501,'AR SALES'!$L$2:$L$2501,$L3998,'AR SALES'!$AD$2:$AD$2501,"OFF"),2)=0,"","STALE")))</f>
        <v/>
      </c>
      <c r="BB3998" s="2" t="str">
        <f>IF(OR(""&amp;$F3998="2",""&amp;$F3998="4",""&amp;$F3998="G",""&amp;$F3998="H"),IF($AY3998="YES","",IF($AB3998&lt;&gt;0,"",IF(COUNTIFS('AR SALES'!$L$2:$L$2501,$L3998,'AR SALES'!$AD$2:$AD$2501,IF(""&amp;$F3998="4","OFF","ON"),'AR SALES'!$AF$2:$AF$2501,"Y")&gt;0,"","NO EXEMPTION"))),"")</f>
        <v/>
      </c>
    </row>
    <row r="3999" spans="46:54" x14ac:dyDescent="0.25">
      <c r="AT3999" s="2" t="str">
        <f>IF($L3999="","",IFERROR(INDEX('AR SALES'!$H$2:$H$2501,MATCH(""&amp;$L3999,'AR SALES'!$AE$2:$AE$2501,0)),""))</f>
        <v/>
      </c>
      <c r="AU3999" s="2" t="str">
        <f t="shared" si="248"/>
        <v/>
      </c>
      <c r="AV3999" s="2" t="str">
        <f t="shared" si="249"/>
        <v/>
      </c>
      <c r="AW3999" s="2" t="str">
        <f t="shared" si="250"/>
        <v/>
      </c>
      <c r="AX3999" s="2" t="str">
        <f t="shared" si="251"/>
        <v/>
      </c>
      <c r="AY3999" s="2" t="str">
        <f>IF($AV3999="","",IF(AND($Z3999=0,COUNTIF('AR SALES'!$L$2:$L$2501,$L3999)=0),"YES",""))</f>
        <v/>
      </c>
      <c r="AZ3999" s="2" t="str">
        <f>IF($AV3999="","",IF(COUNTIF(LISTS!$C$2:$C$250,$AU3999)=0,"NEW",""))</f>
        <v/>
      </c>
      <c r="BA3999" s="2" t="str">
        <f>IF(""&amp;$F3999&lt;&gt;"4","",IF($AY3999="YES","",IF(ROUND(SUMIFS($AE$2:$AE$4001,$L$2:$L$4001,$L3999,$F$2:$F$4001,"4")-SUMIFS('AR SALES'!$Y$2:$Y$2501,'AR SALES'!$L$2:$L$2501,$L3999,'AR SALES'!$AD$2:$AD$2501,"OFF"),2)=0,"","STALE")))</f>
        <v/>
      </c>
      <c r="BB3999" s="2" t="str">
        <f>IF(OR(""&amp;$F3999="2",""&amp;$F3999="4",""&amp;$F3999="G",""&amp;$F3999="H"),IF($AY3999="YES","",IF($AB3999&lt;&gt;0,"",IF(COUNTIFS('AR SALES'!$L$2:$L$2501,$L3999,'AR SALES'!$AD$2:$AD$2501,IF(""&amp;$F3999="4","OFF","ON"),'AR SALES'!$AF$2:$AF$2501,"Y")&gt;0,"","NO EXEMPTION"))),"")</f>
        <v/>
      </c>
    </row>
    <row r="4000" spans="46:54" x14ac:dyDescent="0.25">
      <c r="AT4000" s="2" t="str">
        <f>IF($L4000="","",IFERROR(INDEX('AR SALES'!$H$2:$H$2501,MATCH(""&amp;$L4000,'AR SALES'!$AE$2:$AE$2501,0)),""))</f>
        <v/>
      </c>
      <c r="AU4000" s="2" t="str">
        <f t="shared" si="248"/>
        <v/>
      </c>
      <c r="AV4000" s="2" t="str">
        <f t="shared" si="249"/>
        <v/>
      </c>
      <c r="AW4000" s="2" t="str">
        <f t="shared" si="250"/>
        <v/>
      </c>
      <c r="AX4000" s="2" t="str">
        <f t="shared" si="251"/>
        <v/>
      </c>
      <c r="AY4000" s="2" t="str">
        <f>IF($AV4000="","",IF(AND($Z4000=0,COUNTIF('AR SALES'!$L$2:$L$2501,$L4000)=0),"YES",""))</f>
        <v/>
      </c>
      <c r="AZ4000" s="2" t="str">
        <f>IF($AV4000="","",IF(COUNTIF(LISTS!$C$2:$C$250,$AU4000)=0,"NEW",""))</f>
        <v/>
      </c>
      <c r="BA4000" s="2" t="str">
        <f>IF(""&amp;$F4000&lt;&gt;"4","",IF($AY4000="YES","",IF(ROUND(SUMIFS($AE$2:$AE$4001,$L$2:$L$4001,$L4000,$F$2:$F$4001,"4")-SUMIFS('AR SALES'!$Y$2:$Y$2501,'AR SALES'!$L$2:$L$2501,$L4000,'AR SALES'!$AD$2:$AD$2501,"OFF"),2)=0,"","STALE")))</f>
        <v/>
      </c>
      <c r="BB4000" s="2" t="str">
        <f>IF(OR(""&amp;$F4000="2",""&amp;$F4000="4",""&amp;$F4000="G",""&amp;$F4000="H"),IF($AY4000="YES","",IF($AB4000&lt;&gt;0,"",IF(COUNTIFS('AR SALES'!$L$2:$L$2501,$L4000,'AR SALES'!$AD$2:$AD$2501,IF(""&amp;$F4000="4","OFF","ON"),'AR SALES'!$AF$2:$AF$2501,"Y")&gt;0,"","NO EXEMPTION"))),"")</f>
        <v/>
      </c>
    </row>
    <row r="4001" spans="46:54" x14ac:dyDescent="0.25">
      <c r="AT4001" s="2" t="str">
        <f>IF($L4001="","",IFERROR(INDEX('AR SALES'!$H$2:$H$2501,MATCH(""&amp;$L4001,'AR SALES'!$AE$2:$AE$2501,0)),""))</f>
        <v/>
      </c>
      <c r="AU4001" s="2" t="str">
        <f t="shared" si="248"/>
        <v/>
      </c>
      <c r="AV4001" s="2" t="str">
        <f t="shared" si="249"/>
        <v/>
      </c>
      <c r="AW4001" s="2" t="str">
        <f t="shared" si="250"/>
        <v/>
      </c>
      <c r="AX4001" s="2" t="str">
        <f t="shared" si="251"/>
        <v/>
      </c>
      <c r="AY4001" s="2" t="str">
        <f>IF($AV4001="","",IF(AND($Z4001=0,COUNTIF('AR SALES'!$L$2:$L$2501,$L4001)=0),"YES",""))</f>
        <v/>
      </c>
      <c r="AZ4001" s="2" t="str">
        <f>IF($AV4001="","",IF(COUNTIF(LISTS!$C$2:$C$250,$AU4001)=0,"NEW",""))</f>
        <v/>
      </c>
      <c r="BA4001" s="2" t="str">
        <f>IF(""&amp;$F4001&lt;&gt;"4","",IF($AY4001="YES","",IF(ROUND(SUMIFS($AE$2:$AE$4001,$L$2:$L$4001,$L4001,$F$2:$F$4001,"4")-SUMIFS('AR SALES'!$Y$2:$Y$2501,'AR SALES'!$L$2:$L$2501,$L4001,'AR SALES'!$AD$2:$AD$2501,"OFF"),2)=0,"","STALE")))</f>
        <v/>
      </c>
      <c r="BB4001" s="2" t="str">
        <f>IF(OR(""&amp;$F4001="2",""&amp;$F4001="4",""&amp;$F4001="G",""&amp;$F4001="H"),IF($AY4001="YES","",IF($AB4001&lt;&gt;0,"",IF(COUNTIFS('AR SALES'!$L$2:$L$2501,$L4001,'AR SALES'!$AD$2:$AD$2501,IF(""&amp;$F4001="4","OFF","ON"),'AR SALES'!$AF$2:$AF$2501,"Y")&gt;0,"","NO EXEMPTION"))),"")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67"/>
  <sheetViews>
    <sheetView workbookViewId="0"/>
  </sheetViews>
  <sheetFormatPr defaultRowHeight="15" x14ac:dyDescent="0.25"/>
  <cols>
    <col min="1" max="1" width="62" customWidth="1"/>
    <col min="3" max="3" width="28" customWidth="1"/>
    <col min="5" max="5" width="28" customWidth="1"/>
    <col min="6" max="6" width="56" customWidth="1"/>
  </cols>
  <sheetData>
    <row r="1" spans="1:6" x14ac:dyDescent="0.25">
      <c r="A1" s="9" t="s">
        <v>545</v>
      </c>
      <c r="C1" s="9" t="s">
        <v>546</v>
      </c>
      <c r="E1" s="9" t="s">
        <v>206</v>
      </c>
      <c r="F1" s="9" t="s">
        <v>547</v>
      </c>
    </row>
    <row r="2" spans="1:6" x14ac:dyDescent="0.25">
      <c r="A2" s="2" t="s">
        <v>548</v>
      </c>
      <c r="C2" s="2" t="s">
        <v>213</v>
      </c>
      <c r="E2" s="2" t="s">
        <v>213</v>
      </c>
      <c r="F2" s="2" t="s">
        <v>215</v>
      </c>
    </row>
    <row r="3" spans="1:6" x14ac:dyDescent="0.25">
      <c r="A3" s="2" t="s">
        <v>549</v>
      </c>
      <c r="C3" s="2" t="s">
        <v>216</v>
      </c>
      <c r="E3" s="2" t="s">
        <v>550</v>
      </c>
      <c r="F3" s="2" t="s">
        <v>551</v>
      </c>
    </row>
    <row r="4" spans="1:6" x14ac:dyDescent="0.25">
      <c r="A4" s="2" t="s">
        <v>115</v>
      </c>
      <c r="C4" s="2" t="s">
        <v>218</v>
      </c>
      <c r="E4" s="2" t="s">
        <v>552</v>
      </c>
      <c r="F4" s="2" t="s">
        <v>553</v>
      </c>
    </row>
    <row r="5" spans="1:6" x14ac:dyDescent="0.25">
      <c r="A5" s="2" t="s">
        <v>554</v>
      </c>
      <c r="C5" s="2" t="s">
        <v>220</v>
      </c>
      <c r="E5" s="2" t="s">
        <v>555</v>
      </c>
      <c r="F5" s="2" t="s">
        <v>556</v>
      </c>
    </row>
    <row r="6" spans="1:6" x14ac:dyDescent="0.25">
      <c r="A6" s="2" t="s">
        <v>557</v>
      </c>
      <c r="C6" s="2" t="s">
        <v>221</v>
      </c>
      <c r="E6" s="2" t="s">
        <v>216</v>
      </c>
      <c r="F6" s="2" t="s">
        <v>217</v>
      </c>
    </row>
    <row r="7" spans="1:6" x14ac:dyDescent="0.25">
      <c r="A7" s="2" t="s">
        <v>117</v>
      </c>
      <c r="C7" s="2" t="s">
        <v>224</v>
      </c>
      <c r="E7" s="2" t="s">
        <v>218</v>
      </c>
      <c r="F7" s="2" t="s">
        <v>219</v>
      </c>
    </row>
    <row r="8" spans="1:6" x14ac:dyDescent="0.25">
      <c r="A8" s="2" t="s">
        <v>558</v>
      </c>
      <c r="C8" s="2" t="s">
        <v>225</v>
      </c>
      <c r="E8" s="2" t="s">
        <v>220</v>
      </c>
      <c r="F8" s="2" t="s">
        <v>116</v>
      </c>
    </row>
    <row r="9" spans="1:6" x14ac:dyDescent="0.25">
      <c r="A9" s="2" t="s">
        <v>123</v>
      </c>
      <c r="C9" s="2" t="s">
        <v>227</v>
      </c>
      <c r="E9" s="2" t="s">
        <v>221</v>
      </c>
      <c r="F9" s="2" t="s">
        <v>222</v>
      </c>
    </row>
    <row r="10" spans="1:6" x14ac:dyDescent="0.25">
      <c r="A10" s="2" t="s">
        <v>125</v>
      </c>
      <c r="C10" s="2" t="s">
        <v>228</v>
      </c>
      <c r="E10" s="2" t="s">
        <v>559</v>
      </c>
      <c r="F10" s="2" t="s">
        <v>560</v>
      </c>
    </row>
    <row r="11" spans="1:6" x14ac:dyDescent="0.25">
      <c r="A11" s="2" t="s">
        <v>561</v>
      </c>
      <c r="C11" s="2" t="s">
        <v>229</v>
      </c>
      <c r="E11" s="2" t="s">
        <v>562</v>
      </c>
      <c r="F11" s="2" t="s">
        <v>563</v>
      </c>
    </row>
    <row r="12" spans="1:6" x14ac:dyDescent="0.25">
      <c r="A12" s="2" t="s">
        <v>129</v>
      </c>
      <c r="C12" s="2" t="s">
        <v>231</v>
      </c>
      <c r="E12" s="2" t="s">
        <v>224</v>
      </c>
      <c r="F12" s="2" t="s">
        <v>118</v>
      </c>
    </row>
    <row r="13" spans="1:6" x14ac:dyDescent="0.25">
      <c r="A13" s="2" t="s">
        <v>564</v>
      </c>
      <c r="C13" s="2" t="s">
        <v>233</v>
      </c>
      <c r="E13" s="2" t="s">
        <v>225</v>
      </c>
      <c r="F13" s="2" t="s">
        <v>226</v>
      </c>
    </row>
    <row r="14" spans="1:6" x14ac:dyDescent="0.25">
      <c r="A14" s="2" t="s">
        <v>565</v>
      </c>
      <c r="C14" s="2" t="s">
        <v>235</v>
      </c>
      <c r="E14" s="2" t="s">
        <v>566</v>
      </c>
      <c r="F14" s="2" t="s">
        <v>567</v>
      </c>
    </row>
    <row r="15" spans="1:6" x14ac:dyDescent="0.25">
      <c r="A15" s="2" t="s">
        <v>568</v>
      </c>
      <c r="C15" s="2" t="s">
        <v>237</v>
      </c>
      <c r="E15" s="2" t="s">
        <v>569</v>
      </c>
      <c r="F15" s="2" t="s">
        <v>570</v>
      </c>
    </row>
    <row r="16" spans="1:6" x14ac:dyDescent="0.25">
      <c r="A16" s="2" t="s">
        <v>135</v>
      </c>
      <c r="C16" s="2" t="s">
        <v>238</v>
      </c>
      <c r="E16" s="2" t="s">
        <v>227</v>
      </c>
      <c r="F16" s="2" t="s">
        <v>120</v>
      </c>
    </row>
    <row r="17" spans="1:6" x14ac:dyDescent="0.25">
      <c r="A17" s="2" t="s">
        <v>571</v>
      </c>
      <c r="C17" s="2" t="s">
        <v>240</v>
      </c>
      <c r="E17" s="2" t="s">
        <v>228</v>
      </c>
      <c r="F17" s="2" t="s">
        <v>122</v>
      </c>
    </row>
    <row r="18" spans="1:6" x14ac:dyDescent="0.25">
      <c r="A18" s="2" t="s">
        <v>572</v>
      </c>
      <c r="C18" s="2" t="s">
        <v>241</v>
      </c>
      <c r="E18" s="2" t="s">
        <v>229</v>
      </c>
      <c r="F18" s="2" t="s">
        <v>230</v>
      </c>
    </row>
    <row r="19" spans="1:6" x14ac:dyDescent="0.25">
      <c r="A19" s="2" t="s">
        <v>573</v>
      </c>
      <c r="C19" s="2" t="s">
        <v>243</v>
      </c>
      <c r="E19" s="2" t="s">
        <v>574</v>
      </c>
      <c r="F19" s="2" t="s">
        <v>575</v>
      </c>
    </row>
    <row r="20" spans="1:6" x14ac:dyDescent="0.25">
      <c r="A20" s="2" t="s">
        <v>576</v>
      </c>
      <c r="C20" s="2" t="s">
        <v>245</v>
      </c>
      <c r="E20" s="2" t="s">
        <v>577</v>
      </c>
      <c r="F20" s="2" t="s">
        <v>578</v>
      </c>
    </row>
    <row r="21" spans="1:6" x14ac:dyDescent="0.25">
      <c r="A21" s="2" t="s">
        <v>579</v>
      </c>
      <c r="C21" s="2" t="s">
        <v>246</v>
      </c>
      <c r="E21" s="2" t="s">
        <v>231</v>
      </c>
      <c r="F21" s="2" t="s">
        <v>232</v>
      </c>
    </row>
    <row r="22" spans="1:6" x14ac:dyDescent="0.25">
      <c r="A22" s="2" t="s">
        <v>143</v>
      </c>
      <c r="C22" s="2" t="s">
        <v>247</v>
      </c>
      <c r="E22" s="2" t="s">
        <v>233</v>
      </c>
      <c r="F22" s="2" t="s">
        <v>234</v>
      </c>
    </row>
    <row r="23" spans="1:6" x14ac:dyDescent="0.25">
      <c r="A23" s="2" t="s">
        <v>580</v>
      </c>
      <c r="C23" s="2" t="s">
        <v>248</v>
      </c>
      <c r="E23" s="2" t="s">
        <v>235</v>
      </c>
      <c r="F23" s="2" t="s">
        <v>236</v>
      </c>
    </row>
    <row r="24" spans="1:6" x14ac:dyDescent="0.25">
      <c r="A24" s="2" t="s">
        <v>147</v>
      </c>
      <c r="C24" s="2" t="s">
        <v>249</v>
      </c>
      <c r="E24" s="2" t="s">
        <v>237</v>
      </c>
      <c r="F24" s="2" t="s">
        <v>124</v>
      </c>
    </row>
    <row r="25" spans="1:6" x14ac:dyDescent="0.25">
      <c r="A25" s="2" t="s">
        <v>581</v>
      </c>
      <c r="C25" s="2" t="s">
        <v>251</v>
      </c>
      <c r="E25" s="2" t="s">
        <v>238</v>
      </c>
      <c r="F25" s="2" t="s">
        <v>239</v>
      </c>
    </row>
    <row r="26" spans="1:6" x14ac:dyDescent="0.25">
      <c r="A26" s="2" t="s">
        <v>149</v>
      </c>
      <c r="C26" s="2" t="s">
        <v>252</v>
      </c>
      <c r="E26" s="2" t="s">
        <v>240</v>
      </c>
      <c r="F26" s="2" t="s">
        <v>126</v>
      </c>
    </row>
    <row r="27" spans="1:6" x14ac:dyDescent="0.25">
      <c r="A27" s="2" t="s">
        <v>582</v>
      </c>
      <c r="C27" s="2" t="s">
        <v>253</v>
      </c>
      <c r="E27" s="2" t="s">
        <v>241</v>
      </c>
      <c r="F27" s="2" t="s">
        <v>242</v>
      </c>
    </row>
    <row r="28" spans="1:6" x14ac:dyDescent="0.25">
      <c r="A28" s="2" t="s">
        <v>583</v>
      </c>
      <c r="C28" s="2" t="s">
        <v>255</v>
      </c>
      <c r="E28" s="2" t="s">
        <v>243</v>
      </c>
      <c r="F28" s="2" t="s">
        <v>244</v>
      </c>
    </row>
    <row r="29" spans="1:6" x14ac:dyDescent="0.25">
      <c r="A29" s="2" t="s">
        <v>584</v>
      </c>
      <c r="C29" s="2" t="s">
        <v>257</v>
      </c>
      <c r="E29" s="2" t="s">
        <v>245</v>
      </c>
      <c r="F29" s="2" t="s">
        <v>128</v>
      </c>
    </row>
    <row r="30" spans="1:6" x14ac:dyDescent="0.25">
      <c r="A30" s="2" t="s">
        <v>153</v>
      </c>
      <c r="C30" s="2" t="s">
        <v>259</v>
      </c>
      <c r="E30" s="2" t="s">
        <v>246</v>
      </c>
      <c r="F30" s="2" t="s">
        <v>130</v>
      </c>
    </row>
    <row r="31" spans="1:6" x14ac:dyDescent="0.25">
      <c r="A31" s="2" t="s">
        <v>155</v>
      </c>
      <c r="C31" s="2" t="s">
        <v>261</v>
      </c>
      <c r="E31" s="2" t="s">
        <v>585</v>
      </c>
      <c r="F31" s="2" t="s">
        <v>586</v>
      </c>
    </row>
    <row r="32" spans="1:6" x14ac:dyDescent="0.25">
      <c r="A32" s="2" t="s">
        <v>587</v>
      </c>
      <c r="C32" s="2" t="s">
        <v>262</v>
      </c>
      <c r="E32" s="2" t="s">
        <v>247</v>
      </c>
      <c r="F32" s="2" t="s">
        <v>132</v>
      </c>
    </row>
    <row r="33" spans="1:6" x14ac:dyDescent="0.25">
      <c r="A33" s="2" t="s">
        <v>588</v>
      </c>
      <c r="C33" s="2" t="s">
        <v>264</v>
      </c>
      <c r="E33" s="2" t="s">
        <v>589</v>
      </c>
      <c r="F33" s="2" t="s">
        <v>590</v>
      </c>
    </row>
    <row r="34" spans="1:6" x14ac:dyDescent="0.25">
      <c r="A34" s="2" t="s">
        <v>591</v>
      </c>
      <c r="C34" s="2" t="s">
        <v>266</v>
      </c>
      <c r="E34" s="2" t="s">
        <v>248</v>
      </c>
      <c r="F34" s="2" t="s">
        <v>134</v>
      </c>
    </row>
    <row r="35" spans="1:6" x14ac:dyDescent="0.25">
      <c r="A35" s="2" t="s">
        <v>157</v>
      </c>
      <c r="C35" s="2" t="s">
        <v>268</v>
      </c>
      <c r="E35" s="2" t="s">
        <v>249</v>
      </c>
      <c r="F35" s="2" t="s">
        <v>250</v>
      </c>
    </row>
    <row r="36" spans="1:6" x14ac:dyDescent="0.25">
      <c r="A36" s="2" t="s">
        <v>163</v>
      </c>
      <c r="C36" s="2" t="s">
        <v>269</v>
      </c>
      <c r="E36" s="2" t="s">
        <v>251</v>
      </c>
      <c r="F36" s="2" t="s">
        <v>136</v>
      </c>
    </row>
    <row r="37" spans="1:6" x14ac:dyDescent="0.25">
      <c r="A37" s="2" t="s">
        <v>592</v>
      </c>
      <c r="C37" s="2" t="s">
        <v>270</v>
      </c>
      <c r="E37" s="2" t="s">
        <v>593</v>
      </c>
      <c r="F37" s="2" t="s">
        <v>138</v>
      </c>
    </row>
    <row r="38" spans="1:6" x14ac:dyDescent="0.25">
      <c r="A38" s="2" t="s">
        <v>165</v>
      </c>
      <c r="C38" s="2" t="s">
        <v>272</v>
      </c>
      <c r="E38" s="2" t="s">
        <v>252</v>
      </c>
      <c r="F38" s="2" t="s">
        <v>140</v>
      </c>
    </row>
    <row r="39" spans="1:6" x14ac:dyDescent="0.25">
      <c r="A39" s="2" t="s">
        <v>594</v>
      </c>
      <c r="C39" s="2" t="s">
        <v>273</v>
      </c>
      <c r="E39" s="2" t="s">
        <v>253</v>
      </c>
      <c r="F39" s="2" t="s">
        <v>254</v>
      </c>
    </row>
    <row r="40" spans="1:6" x14ac:dyDescent="0.25">
      <c r="A40" s="2" t="s">
        <v>595</v>
      </c>
      <c r="C40" s="2" t="s">
        <v>275</v>
      </c>
      <c r="E40" s="2" t="s">
        <v>596</v>
      </c>
      <c r="F40" s="2" t="s">
        <v>597</v>
      </c>
    </row>
    <row r="41" spans="1:6" x14ac:dyDescent="0.25">
      <c r="A41" s="2" t="s">
        <v>598</v>
      </c>
      <c r="C41" s="2" t="s">
        <v>277</v>
      </c>
      <c r="E41" s="2" t="s">
        <v>255</v>
      </c>
      <c r="F41" s="2" t="s">
        <v>256</v>
      </c>
    </row>
    <row r="42" spans="1:6" x14ac:dyDescent="0.25">
      <c r="A42" s="2" t="s">
        <v>599</v>
      </c>
      <c r="C42" s="2" t="s">
        <v>278</v>
      </c>
      <c r="E42" s="2" t="s">
        <v>257</v>
      </c>
      <c r="F42" s="2" t="s">
        <v>258</v>
      </c>
    </row>
    <row r="43" spans="1:6" x14ac:dyDescent="0.25">
      <c r="A43" s="2" t="s">
        <v>600</v>
      </c>
      <c r="C43" s="2" t="s">
        <v>279</v>
      </c>
      <c r="E43" s="2" t="s">
        <v>601</v>
      </c>
      <c r="F43" s="2" t="s">
        <v>602</v>
      </c>
    </row>
    <row r="44" spans="1:6" x14ac:dyDescent="0.25">
      <c r="A44" s="2" t="s">
        <v>169</v>
      </c>
      <c r="C44" s="2" t="s">
        <v>280</v>
      </c>
      <c r="E44" s="2" t="s">
        <v>259</v>
      </c>
      <c r="F44" s="2" t="s">
        <v>260</v>
      </c>
    </row>
    <row r="45" spans="1:6" x14ac:dyDescent="0.25">
      <c r="A45" s="2" t="s">
        <v>603</v>
      </c>
      <c r="C45" s="2" t="s">
        <v>282</v>
      </c>
      <c r="E45" s="2" t="s">
        <v>261</v>
      </c>
      <c r="F45" s="2" t="s">
        <v>142</v>
      </c>
    </row>
    <row r="46" spans="1:6" x14ac:dyDescent="0.25">
      <c r="A46" s="2" t="s">
        <v>604</v>
      </c>
      <c r="C46" s="2" t="s">
        <v>283</v>
      </c>
      <c r="E46" s="2" t="s">
        <v>262</v>
      </c>
      <c r="F46" s="2" t="s">
        <v>263</v>
      </c>
    </row>
    <row r="47" spans="1:6" x14ac:dyDescent="0.25">
      <c r="A47" s="2" t="s">
        <v>171</v>
      </c>
      <c r="C47" s="2" t="s">
        <v>285</v>
      </c>
      <c r="E47" s="2" t="s">
        <v>264</v>
      </c>
      <c r="F47" s="2" t="s">
        <v>265</v>
      </c>
    </row>
    <row r="48" spans="1:6" x14ac:dyDescent="0.25">
      <c r="A48" s="2" t="s">
        <v>605</v>
      </c>
      <c r="C48" s="2" t="s">
        <v>286</v>
      </c>
      <c r="E48" s="2" t="s">
        <v>266</v>
      </c>
      <c r="F48" s="2" t="s">
        <v>267</v>
      </c>
    </row>
    <row r="49" spans="1:6" x14ac:dyDescent="0.25">
      <c r="A49" s="2" t="s">
        <v>606</v>
      </c>
      <c r="C49" s="2" t="s">
        <v>287</v>
      </c>
      <c r="E49" s="2" t="s">
        <v>268</v>
      </c>
      <c r="F49" s="2" t="s">
        <v>144</v>
      </c>
    </row>
    <row r="50" spans="1:6" x14ac:dyDescent="0.25">
      <c r="A50" s="2" t="s">
        <v>173</v>
      </c>
      <c r="C50" s="2" t="s">
        <v>288</v>
      </c>
      <c r="E50" s="2" t="s">
        <v>269</v>
      </c>
      <c r="F50" s="2" t="s">
        <v>146</v>
      </c>
    </row>
    <row r="51" spans="1:6" x14ac:dyDescent="0.25">
      <c r="A51" s="2" t="s">
        <v>607</v>
      </c>
      <c r="C51" s="2" t="s">
        <v>290</v>
      </c>
      <c r="E51" s="2" t="s">
        <v>608</v>
      </c>
      <c r="F51" s="2" t="s">
        <v>609</v>
      </c>
    </row>
    <row r="52" spans="1:6" x14ac:dyDescent="0.25">
      <c r="A52" s="2" t="s">
        <v>175</v>
      </c>
      <c r="C52" s="2" t="s">
        <v>291</v>
      </c>
      <c r="E52" s="2" t="s">
        <v>610</v>
      </c>
      <c r="F52" s="2" t="s">
        <v>611</v>
      </c>
    </row>
    <row r="53" spans="1:6" x14ac:dyDescent="0.25">
      <c r="A53" s="2" t="s">
        <v>612</v>
      </c>
      <c r="C53" s="2" t="s">
        <v>293</v>
      </c>
      <c r="E53" s="2" t="s">
        <v>613</v>
      </c>
      <c r="F53" s="2" t="s">
        <v>614</v>
      </c>
    </row>
    <row r="54" spans="1:6" x14ac:dyDescent="0.25">
      <c r="A54" s="2" t="s">
        <v>177</v>
      </c>
      <c r="C54" s="2" t="s">
        <v>294</v>
      </c>
      <c r="E54" s="2" t="s">
        <v>615</v>
      </c>
      <c r="F54" s="2" t="s">
        <v>148</v>
      </c>
    </row>
    <row r="55" spans="1:6" x14ac:dyDescent="0.25">
      <c r="A55" s="2" t="s">
        <v>616</v>
      </c>
      <c r="C55" s="2" t="s">
        <v>296</v>
      </c>
      <c r="E55" s="2" t="s">
        <v>270</v>
      </c>
      <c r="F55" s="2" t="s">
        <v>271</v>
      </c>
    </row>
    <row r="56" spans="1:6" x14ac:dyDescent="0.25">
      <c r="A56" s="2" t="s">
        <v>617</v>
      </c>
      <c r="C56" s="2" t="s">
        <v>298</v>
      </c>
      <c r="E56" s="2" t="s">
        <v>272</v>
      </c>
      <c r="F56" s="2" t="s">
        <v>150</v>
      </c>
    </row>
    <row r="57" spans="1:6" x14ac:dyDescent="0.25">
      <c r="A57" s="2" t="s">
        <v>618</v>
      </c>
      <c r="C57" s="2" t="s">
        <v>300</v>
      </c>
      <c r="E57" s="2" t="s">
        <v>273</v>
      </c>
      <c r="F57" s="2" t="s">
        <v>274</v>
      </c>
    </row>
    <row r="58" spans="1:6" x14ac:dyDescent="0.25">
      <c r="A58" s="2" t="s">
        <v>183</v>
      </c>
      <c r="C58" s="2" t="s">
        <v>302</v>
      </c>
      <c r="E58" s="2" t="s">
        <v>275</v>
      </c>
      <c r="F58" s="2" t="s">
        <v>276</v>
      </c>
    </row>
    <row r="59" spans="1:6" x14ac:dyDescent="0.25">
      <c r="A59" s="2" t="s">
        <v>619</v>
      </c>
      <c r="C59" s="2" t="s">
        <v>304</v>
      </c>
      <c r="E59" s="2" t="s">
        <v>277</v>
      </c>
      <c r="F59" s="2" t="s">
        <v>152</v>
      </c>
    </row>
    <row r="60" spans="1:6" x14ac:dyDescent="0.25">
      <c r="A60" s="2" t="s">
        <v>185</v>
      </c>
      <c r="C60" s="2" t="s">
        <v>306</v>
      </c>
      <c r="E60" s="2" t="s">
        <v>278</v>
      </c>
      <c r="F60" s="2" t="s">
        <v>154</v>
      </c>
    </row>
    <row r="61" spans="1:6" x14ac:dyDescent="0.25">
      <c r="A61" s="2" t="s">
        <v>620</v>
      </c>
      <c r="C61" s="2" t="s">
        <v>307</v>
      </c>
      <c r="E61" s="2" t="s">
        <v>279</v>
      </c>
      <c r="F61" s="2" t="s">
        <v>156</v>
      </c>
    </row>
    <row r="62" spans="1:6" x14ac:dyDescent="0.25">
      <c r="A62" s="2" t="s">
        <v>621</v>
      </c>
      <c r="C62" s="2" t="s">
        <v>309</v>
      </c>
      <c r="E62" s="2" t="s">
        <v>282</v>
      </c>
      <c r="F62" s="2" t="s">
        <v>158</v>
      </c>
    </row>
    <row r="63" spans="1:6" x14ac:dyDescent="0.25">
      <c r="A63" s="2" t="s">
        <v>187</v>
      </c>
      <c r="C63" s="2" t="s">
        <v>311</v>
      </c>
      <c r="E63" s="2" t="s">
        <v>280</v>
      </c>
      <c r="F63" s="2" t="s">
        <v>281</v>
      </c>
    </row>
    <row r="64" spans="1:6" x14ac:dyDescent="0.25">
      <c r="A64" s="2" t="s">
        <v>622</v>
      </c>
      <c r="C64" s="2" t="s">
        <v>313</v>
      </c>
      <c r="E64" s="2" t="s">
        <v>285</v>
      </c>
      <c r="F64" s="2" t="s">
        <v>160</v>
      </c>
    </row>
    <row r="65" spans="1:6" x14ac:dyDescent="0.25">
      <c r="A65" s="2" t="s">
        <v>623</v>
      </c>
      <c r="C65" s="2" t="s">
        <v>315</v>
      </c>
      <c r="E65" s="2" t="s">
        <v>624</v>
      </c>
      <c r="F65" s="2" t="s">
        <v>625</v>
      </c>
    </row>
    <row r="66" spans="1:6" x14ac:dyDescent="0.25">
      <c r="A66" s="2" t="s">
        <v>626</v>
      </c>
      <c r="C66" s="2" t="s">
        <v>317</v>
      </c>
      <c r="E66" s="2" t="s">
        <v>286</v>
      </c>
      <c r="F66" s="2" t="s">
        <v>162</v>
      </c>
    </row>
    <row r="67" spans="1:6" x14ac:dyDescent="0.25">
      <c r="A67" s="2" t="s">
        <v>627</v>
      </c>
      <c r="C67" s="2" t="s">
        <v>319</v>
      </c>
      <c r="E67" s="2" t="s">
        <v>287</v>
      </c>
      <c r="F67" s="2" t="s">
        <v>164</v>
      </c>
    </row>
    <row r="68" spans="1:6" x14ac:dyDescent="0.25">
      <c r="A68" s="2" t="s">
        <v>189</v>
      </c>
      <c r="C68" s="2" t="s">
        <v>321</v>
      </c>
      <c r="E68" s="2" t="s">
        <v>288</v>
      </c>
      <c r="F68" s="2" t="s">
        <v>289</v>
      </c>
    </row>
    <row r="69" spans="1:6" x14ac:dyDescent="0.25">
      <c r="A69" s="2" t="s">
        <v>628</v>
      </c>
      <c r="C69" s="2" t="s">
        <v>322</v>
      </c>
      <c r="E69" s="2" t="s">
        <v>629</v>
      </c>
      <c r="F69" s="2" t="s">
        <v>630</v>
      </c>
    </row>
    <row r="70" spans="1:6" x14ac:dyDescent="0.25">
      <c r="A70" s="2" t="s">
        <v>631</v>
      </c>
      <c r="C70" s="2" t="s">
        <v>324</v>
      </c>
      <c r="E70" s="2" t="s">
        <v>290</v>
      </c>
      <c r="F70" s="2" t="s">
        <v>166</v>
      </c>
    </row>
    <row r="71" spans="1:6" x14ac:dyDescent="0.25">
      <c r="A71" s="2" t="s">
        <v>191</v>
      </c>
      <c r="C71" s="2" t="s">
        <v>326</v>
      </c>
      <c r="E71" s="2" t="s">
        <v>291</v>
      </c>
      <c r="F71" s="2" t="s">
        <v>292</v>
      </c>
    </row>
    <row r="72" spans="1:6" x14ac:dyDescent="0.25">
      <c r="C72" s="2" t="s">
        <v>328</v>
      </c>
      <c r="E72" s="2" t="s">
        <v>293</v>
      </c>
      <c r="F72" s="2" t="s">
        <v>168</v>
      </c>
    </row>
    <row r="73" spans="1:6" x14ac:dyDescent="0.25">
      <c r="C73" s="2" t="s">
        <v>330</v>
      </c>
      <c r="E73" s="2" t="s">
        <v>632</v>
      </c>
      <c r="F73" s="2" t="s">
        <v>633</v>
      </c>
    </row>
    <row r="74" spans="1:6" x14ac:dyDescent="0.25">
      <c r="C74" s="2" t="s">
        <v>332</v>
      </c>
      <c r="E74" s="2" t="s">
        <v>294</v>
      </c>
      <c r="F74" s="2" t="s">
        <v>295</v>
      </c>
    </row>
    <row r="75" spans="1:6" x14ac:dyDescent="0.25">
      <c r="C75" s="2" t="s">
        <v>333</v>
      </c>
      <c r="E75" s="2" t="s">
        <v>296</v>
      </c>
      <c r="F75" s="2" t="s">
        <v>297</v>
      </c>
    </row>
    <row r="76" spans="1:6" x14ac:dyDescent="0.25">
      <c r="C76" s="2" t="s">
        <v>335</v>
      </c>
      <c r="E76" s="2" t="s">
        <v>298</v>
      </c>
      <c r="F76" s="2" t="s">
        <v>299</v>
      </c>
    </row>
    <row r="77" spans="1:6" x14ac:dyDescent="0.25">
      <c r="C77" s="2" t="s">
        <v>336</v>
      </c>
      <c r="E77" s="2" t="s">
        <v>300</v>
      </c>
      <c r="F77" s="2" t="s">
        <v>301</v>
      </c>
    </row>
    <row r="78" spans="1:6" x14ac:dyDescent="0.25">
      <c r="C78" s="2" t="s">
        <v>338</v>
      </c>
      <c r="E78" s="2" t="s">
        <v>302</v>
      </c>
      <c r="F78" s="2" t="s">
        <v>303</v>
      </c>
    </row>
    <row r="79" spans="1:6" x14ac:dyDescent="0.25">
      <c r="C79" s="2" t="s">
        <v>339</v>
      </c>
      <c r="E79" s="2" t="s">
        <v>304</v>
      </c>
      <c r="F79" s="2" t="s">
        <v>305</v>
      </c>
    </row>
    <row r="80" spans="1:6" x14ac:dyDescent="0.25">
      <c r="C80" s="2" t="s">
        <v>341</v>
      </c>
      <c r="E80" s="2" t="s">
        <v>634</v>
      </c>
      <c r="F80" s="2" t="s">
        <v>635</v>
      </c>
    </row>
    <row r="81" spans="3:6" x14ac:dyDescent="0.25">
      <c r="C81" s="2" t="s">
        <v>342</v>
      </c>
      <c r="E81" s="2" t="s">
        <v>306</v>
      </c>
      <c r="F81" s="2" t="s">
        <v>170</v>
      </c>
    </row>
    <row r="82" spans="3:6" x14ac:dyDescent="0.25">
      <c r="C82" s="2" t="s">
        <v>344</v>
      </c>
      <c r="E82" s="2" t="s">
        <v>636</v>
      </c>
      <c r="F82" s="2" t="s">
        <v>637</v>
      </c>
    </row>
    <row r="83" spans="3:6" x14ac:dyDescent="0.25">
      <c r="C83" s="2" t="s">
        <v>345</v>
      </c>
      <c r="E83" s="2" t="s">
        <v>638</v>
      </c>
      <c r="F83" s="2" t="s">
        <v>639</v>
      </c>
    </row>
    <row r="84" spans="3:6" x14ac:dyDescent="0.25">
      <c r="C84" s="2" t="s">
        <v>346</v>
      </c>
      <c r="E84" s="2" t="s">
        <v>307</v>
      </c>
      <c r="F84" s="2" t="s">
        <v>308</v>
      </c>
    </row>
    <row r="85" spans="3:6" x14ac:dyDescent="0.25">
      <c r="C85" s="2" t="s">
        <v>347</v>
      </c>
      <c r="E85" s="2" t="s">
        <v>309</v>
      </c>
      <c r="F85" s="2" t="s">
        <v>310</v>
      </c>
    </row>
    <row r="86" spans="3:6" x14ac:dyDescent="0.25">
      <c r="C86" s="2" t="s">
        <v>349</v>
      </c>
      <c r="E86" s="2" t="s">
        <v>311</v>
      </c>
      <c r="F86" s="2" t="s">
        <v>312</v>
      </c>
    </row>
    <row r="87" spans="3:6" x14ac:dyDescent="0.25">
      <c r="C87" s="2" t="s">
        <v>351</v>
      </c>
      <c r="E87" s="2" t="s">
        <v>313</v>
      </c>
      <c r="F87" s="2" t="s">
        <v>314</v>
      </c>
    </row>
    <row r="88" spans="3:6" x14ac:dyDescent="0.25">
      <c r="C88" s="2" t="s">
        <v>352</v>
      </c>
      <c r="E88" s="2" t="s">
        <v>640</v>
      </c>
      <c r="F88" s="2" t="s">
        <v>641</v>
      </c>
    </row>
    <row r="89" spans="3:6" x14ac:dyDescent="0.25">
      <c r="C89" s="2" t="s">
        <v>354</v>
      </c>
      <c r="E89" s="2" t="s">
        <v>315</v>
      </c>
      <c r="F89" s="2" t="s">
        <v>316</v>
      </c>
    </row>
    <row r="90" spans="3:6" x14ac:dyDescent="0.25">
      <c r="C90" s="2" t="s">
        <v>356</v>
      </c>
      <c r="E90" s="2" t="s">
        <v>317</v>
      </c>
      <c r="F90" s="2" t="s">
        <v>318</v>
      </c>
    </row>
    <row r="91" spans="3:6" x14ac:dyDescent="0.25">
      <c r="C91" s="2" t="s">
        <v>358</v>
      </c>
      <c r="E91" s="2" t="s">
        <v>642</v>
      </c>
      <c r="F91" s="2" t="s">
        <v>643</v>
      </c>
    </row>
    <row r="92" spans="3:6" x14ac:dyDescent="0.25">
      <c r="C92" s="2" t="s">
        <v>360</v>
      </c>
      <c r="E92" s="2" t="s">
        <v>319</v>
      </c>
      <c r="F92" s="2" t="s">
        <v>320</v>
      </c>
    </row>
    <row r="93" spans="3:6" x14ac:dyDescent="0.25">
      <c r="C93" s="2" t="s">
        <v>362</v>
      </c>
      <c r="E93" s="2" t="s">
        <v>644</v>
      </c>
      <c r="F93" s="2" t="s">
        <v>645</v>
      </c>
    </row>
    <row r="94" spans="3:6" x14ac:dyDescent="0.25">
      <c r="C94" s="2" t="s">
        <v>364</v>
      </c>
      <c r="E94" s="2" t="s">
        <v>646</v>
      </c>
      <c r="F94" s="2" t="s">
        <v>647</v>
      </c>
    </row>
    <row r="95" spans="3:6" x14ac:dyDescent="0.25">
      <c r="C95" s="2" t="s">
        <v>366</v>
      </c>
      <c r="E95" s="2" t="s">
        <v>321</v>
      </c>
      <c r="F95" s="2" t="s">
        <v>172</v>
      </c>
    </row>
    <row r="96" spans="3:6" x14ac:dyDescent="0.25">
      <c r="C96" s="2" t="s">
        <v>368</v>
      </c>
      <c r="E96" s="2" t="s">
        <v>322</v>
      </c>
      <c r="F96" s="2" t="s">
        <v>323</v>
      </c>
    </row>
    <row r="97" spans="3:6" x14ac:dyDescent="0.25">
      <c r="C97" s="2" t="s">
        <v>370</v>
      </c>
      <c r="E97" s="2" t="s">
        <v>324</v>
      </c>
      <c r="F97" s="2" t="s">
        <v>325</v>
      </c>
    </row>
    <row r="98" spans="3:6" x14ac:dyDescent="0.25">
      <c r="C98" s="2" t="s">
        <v>371</v>
      </c>
      <c r="E98" s="2" t="s">
        <v>326</v>
      </c>
      <c r="F98" s="2" t="s">
        <v>327</v>
      </c>
    </row>
    <row r="99" spans="3:6" x14ac:dyDescent="0.25">
      <c r="C99" s="2" t="s">
        <v>373</v>
      </c>
      <c r="E99" s="2" t="s">
        <v>328</v>
      </c>
      <c r="F99" s="2" t="s">
        <v>329</v>
      </c>
    </row>
    <row r="100" spans="3:6" x14ac:dyDescent="0.25">
      <c r="C100" s="2" t="s">
        <v>374</v>
      </c>
      <c r="E100" s="2" t="s">
        <v>330</v>
      </c>
      <c r="F100" s="2" t="s">
        <v>331</v>
      </c>
    </row>
    <row r="101" spans="3:6" x14ac:dyDescent="0.25">
      <c r="C101" s="2" t="s">
        <v>376</v>
      </c>
      <c r="E101" s="2" t="s">
        <v>648</v>
      </c>
      <c r="F101" s="2" t="s">
        <v>649</v>
      </c>
    </row>
    <row r="102" spans="3:6" x14ac:dyDescent="0.25">
      <c r="C102" s="2" t="s">
        <v>378</v>
      </c>
      <c r="E102" s="2" t="s">
        <v>650</v>
      </c>
      <c r="F102" s="2" t="s">
        <v>651</v>
      </c>
    </row>
    <row r="103" spans="3:6" x14ac:dyDescent="0.25">
      <c r="E103" s="2" t="s">
        <v>652</v>
      </c>
      <c r="F103" s="2" t="s">
        <v>653</v>
      </c>
    </row>
    <row r="104" spans="3:6" x14ac:dyDescent="0.25">
      <c r="E104" s="2" t="s">
        <v>654</v>
      </c>
      <c r="F104" s="2" t="s">
        <v>655</v>
      </c>
    </row>
    <row r="105" spans="3:6" x14ac:dyDescent="0.25">
      <c r="E105" s="2" t="s">
        <v>332</v>
      </c>
      <c r="F105" s="2" t="s">
        <v>174</v>
      </c>
    </row>
    <row r="106" spans="3:6" x14ac:dyDescent="0.25">
      <c r="E106" s="2" t="s">
        <v>656</v>
      </c>
      <c r="F106" s="2" t="s">
        <v>657</v>
      </c>
    </row>
    <row r="107" spans="3:6" x14ac:dyDescent="0.25">
      <c r="E107" s="2" t="s">
        <v>658</v>
      </c>
      <c r="F107" s="2" t="s">
        <v>659</v>
      </c>
    </row>
    <row r="108" spans="3:6" x14ac:dyDescent="0.25">
      <c r="E108" s="2" t="s">
        <v>333</v>
      </c>
      <c r="F108" s="2" t="s">
        <v>334</v>
      </c>
    </row>
    <row r="109" spans="3:6" x14ac:dyDescent="0.25">
      <c r="E109" s="2" t="s">
        <v>335</v>
      </c>
      <c r="F109" s="2" t="s">
        <v>176</v>
      </c>
    </row>
    <row r="110" spans="3:6" x14ac:dyDescent="0.25">
      <c r="E110" s="2" t="s">
        <v>336</v>
      </c>
      <c r="F110" s="2" t="s">
        <v>337</v>
      </c>
    </row>
    <row r="111" spans="3:6" x14ac:dyDescent="0.25">
      <c r="E111" s="2" t="s">
        <v>660</v>
      </c>
      <c r="F111" s="2" t="s">
        <v>661</v>
      </c>
    </row>
    <row r="112" spans="3:6" x14ac:dyDescent="0.25">
      <c r="E112" s="2" t="s">
        <v>662</v>
      </c>
      <c r="F112" s="2" t="s">
        <v>663</v>
      </c>
    </row>
    <row r="113" spans="5:6" x14ac:dyDescent="0.25">
      <c r="E113" s="2" t="s">
        <v>338</v>
      </c>
      <c r="F113" s="2" t="s">
        <v>178</v>
      </c>
    </row>
    <row r="114" spans="5:6" x14ac:dyDescent="0.25">
      <c r="E114" s="2" t="s">
        <v>339</v>
      </c>
      <c r="F114" s="2" t="s">
        <v>340</v>
      </c>
    </row>
    <row r="115" spans="5:6" x14ac:dyDescent="0.25">
      <c r="E115" s="2" t="s">
        <v>341</v>
      </c>
      <c r="F115" s="2" t="s">
        <v>180</v>
      </c>
    </row>
    <row r="116" spans="5:6" x14ac:dyDescent="0.25">
      <c r="E116" s="2" t="s">
        <v>664</v>
      </c>
      <c r="F116" s="2" t="s">
        <v>665</v>
      </c>
    </row>
    <row r="117" spans="5:6" x14ac:dyDescent="0.25">
      <c r="E117" s="2" t="s">
        <v>666</v>
      </c>
      <c r="F117" s="2" t="s">
        <v>667</v>
      </c>
    </row>
    <row r="118" spans="5:6" x14ac:dyDescent="0.25">
      <c r="E118" s="2" t="s">
        <v>342</v>
      </c>
      <c r="F118" s="2" t="s">
        <v>343</v>
      </c>
    </row>
    <row r="119" spans="5:6" x14ac:dyDescent="0.25">
      <c r="E119" s="2" t="s">
        <v>668</v>
      </c>
      <c r="F119" s="2" t="s">
        <v>669</v>
      </c>
    </row>
    <row r="120" spans="5:6" x14ac:dyDescent="0.25">
      <c r="E120" s="2" t="s">
        <v>670</v>
      </c>
      <c r="F120" s="2" t="s">
        <v>671</v>
      </c>
    </row>
    <row r="121" spans="5:6" x14ac:dyDescent="0.25">
      <c r="E121" s="2" t="s">
        <v>672</v>
      </c>
      <c r="F121" s="2" t="s">
        <v>673</v>
      </c>
    </row>
    <row r="122" spans="5:6" x14ac:dyDescent="0.25">
      <c r="E122" s="2" t="s">
        <v>674</v>
      </c>
      <c r="F122" s="2" t="s">
        <v>675</v>
      </c>
    </row>
    <row r="123" spans="5:6" x14ac:dyDescent="0.25">
      <c r="E123" s="2" t="s">
        <v>676</v>
      </c>
      <c r="F123" s="2" t="s">
        <v>677</v>
      </c>
    </row>
    <row r="124" spans="5:6" x14ac:dyDescent="0.25">
      <c r="E124" s="2" t="s">
        <v>344</v>
      </c>
      <c r="F124" s="2" t="s">
        <v>182</v>
      </c>
    </row>
    <row r="125" spans="5:6" x14ac:dyDescent="0.25">
      <c r="E125" s="2" t="s">
        <v>345</v>
      </c>
      <c r="F125" s="2" t="s">
        <v>184</v>
      </c>
    </row>
    <row r="126" spans="5:6" x14ac:dyDescent="0.25">
      <c r="E126" s="2" t="s">
        <v>678</v>
      </c>
      <c r="F126" s="2" t="s">
        <v>679</v>
      </c>
    </row>
    <row r="127" spans="5:6" x14ac:dyDescent="0.25">
      <c r="E127" s="2" t="s">
        <v>680</v>
      </c>
      <c r="F127" s="2" t="s">
        <v>681</v>
      </c>
    </row>
    <row r="128" spans="5:6" x14ac:dyDescent="0.25">
      <c r="E128" s="2" t="s">
        <v>682</v>
      </c>
      <c r="F128" s="2" t="s">
        <v>683</v>
      </c>
    </row>
    <row r="129" spans="5:6" x14ac:dyDescent="0.25">
      <c r="E129" s="2" t="s">
        <v>346</v>
      </c>
      <c r="F129" s="2" t="s">
        <v>186</v>
      </c>
    </row>
    <row r="130" spans="5:6" x14ac:dyDescent="0.25">
      <c r="E130" s="2" t="s">
        <v>684</v>
      </c>
      <c r="F130" s="2" t="s">
        <v>685</v>
      </c>
    </row>
    <row r="131" spans="5:6" x14ac:dyDescent="0.25">
      <c r="E131" s="2" t="s">
        <v>686</v>
      </c>
      <c r="F131" s="2" t="s">
        <v>687</v>
      </c>
    </row>
    <row r="132" spans="5:6" x14ac:dyDescent="0.25">
      <c r="E132" s="2" t="s">
        <v>347</v>
      </c>
      <c r="F132" s="2" t="s">
        <v>348</v>
      </c>
    </row>
    <row r="133" spans="5:6" x14ac:dyDescent="0.25">
      <c r="E133" s="2" t="s">
        <v>349</v>
      </c>
      <c r="F133" s="2" t="s">
        <v>350</v>
      </c>
    </row>
    <row r="134" spans="5:6" x14ac:dyDescent="0.25">
      <c r="E134" s="2" t="s">
        <v>688</v>
      </c>
      <c r="F134" s="2" t="s">
        <v>689</v>
      </c>
    </row>
    <row r="135" spans="5:6" x14ac:dyDescent="0.25">
      <c r="E135" s="2" t="s">
        <v>351</v>
      </c>
      <c r="F135" s="2" t="s">
        <v>188</v>
      </c>
    </row>
    <row r="136" spans="5:6" x14ac:dyDescent="0.25">
      <c r="E136" s="2" t="s">
        <v>690</v>
      </c>
      <c r="F136" s="2" t="s">
        <v>691</v>
      </c>
    </row>
    <row r="137" spans="5:6" x14ac:dyDescent="0.25">
      <c r="E137" s="2" t="s">
        <v>352</v>
      </c>
      <c r="F137" s="2" t="s">
        <v>353</v>
      </c>
    </row>
    <row r="138" spans="5:6" x14ac:dyDescent="0.25">
      <c r="E138" s="2" t="s">
        <v>692</v>
      </c>
      <c r="F138" s="2" t="s">
        <v>693</v>
      </c>
    </row>
    <row r="139" spans="5:6" x14ac:dyDescent="0.25">
      <c r="E139" s="2" t="s">
        <v>354</v>
      </c>
      <c r="F139" s="2" t="s">
        <v>355</v>
      </c>
    </row>
    <row r="140" spans="5:6" x14ac:dyDescent="0.25">
      <c r="E140" s="2" t="s">
        <v>356</v>
      </c>
      <c r="F140" s="2" t="s">
        <v>357</v>
      </c>
    </row>
    <row r="141" spans="5:6" x14ac:dyDescent="0.25">
      <c r="E141" s="2" t="s">
        <v>358</v>
      </c>
      <c r="F141" s="2" t="s">
        <v>359</v>
      </c>
    </row>
    <row r="142" spans="5:6" x14ac:dyDescent="0.25">
      <c r="E142" s="2" t="s">
        <v>360</v>
      </c>
      <c r="F142" s="2" t="s">
        <v>361</v>
      </c>
    </row>
    <row r="143" spans="5:6" x14ac:dyDescent="0.25">
      <c r="E143" s="2" t="s">
        <v>694</v>
      </c>
      <c r="F143" s="2" t="s">
        <v>695</v>
      </c>
    </row>
    <row r="144" spans="5:6" x14ac:dyDescent="0.25">
      <c r="E144" s="2" t="s">
        <v>362</v>
      </c>
      <c r="F144" s="2" t="s">
        <v>363</v>
      </c>
    </row>
    <row r="145" spans="5:6" x14ac:dyDescent="0.25">
      <c r="E145" s="2" t="s">
        <v>696</v>
      </c>
      <c r="F145" s="2" t="s">
        <v>697</v>
      </c>
    </row>
    <row r="146" spans="5:6" x14ac:dyDescent="0.25">
      <c r="E146" s="2" t="s">
        <v>698</v>
      </c>
      <c r="F146" s="2" t="s">
        <v>699</v>
      </c>
    </row>
    <row r="147" spans="5:6" x14ac:dyDescent="0.25">
      <c r="E147" s="2" t="s">
        <v>364</v>
      </c>
      <c r="F147" s="2" t="s">
        <v>365</v>
      </c>
    </row>
    <row r="148" spans="5:6" x14ac:dyDescent="0.25">
      <c r="E148" s="2" t="s">
        <v>700</v>
      </c>
      <c r="F148" s="2" t="s">
        <v>701</v>
      </c>
    </row>
    <row r="149" spans="5:6" x14ac:dyDescent="0.25">
      <c r="E149" s="2" t="s">
        <v>366</v>
      </c>
      <c r="F149" s="2" t="s">
        <v>367</v>
      </c>
    </row>
    <row r="150" spans="5:6" x14ac:dyDescent="0.25">
      <c r="E150" s="2" t="s">
        <v>702</v>
      </c>
      <c r="F150" s="2" t="s">
        <v>703</v>
      </c>
    </row>
    <row r="151" spans="5:6" x14ac:dyDescent="0.25">
      <c r="E151" s="2" t="s">
        <v>368</v>
      </c>
      <c r="F151" s="2" t="s">
        <v>369</v>
      </c>
    </row>
    <row r="152" spans="5:6" x14ac:dyDescent="0.25">
      <c r="E152" s="2" t="s">
        <v>370</v>
      </c>
      <c r="F152" s="2" t="s">
        <v>190</v>
      </c>
    </row>
    <row r="153" spans="5:6" x14ac:dyDescent="0.25">
      <c r="E153" s="2" t="s">
        <v>371</v>
      </c>
      <c r="F153" s="2" t="s">
        <v>372</v>
      </c>
    </row>
    <row r="154" spans="5:6" x14ac:dyDescent="0.25">
      <c r="E154" s="2" t="s">
        <v>373</v>
      </c>
      <c r="F154" s="2" t="s">
        <v>192</v>
      </c>
    </row>
    <row r="155" spans="5:6" x14ac:dyDescent="0.25">
      <c r="E155" s="2" t="s">
        <v>704</v>
      </c>
      <c r="F155" s="2" t="s">
        <v>705</v>
      </c>
    </row>
    <row r="156" spans="5:6" x14ac:dyDescent="0.25">
      <c r="E156" s="2" t="s">
        <v>706</v>
      </c>
      <c r="F156" s="2" t="s">
        <v>707</v>
      </c>
    </row>
    <row r="157" spans="5:6" x14ac:dyDescent="0.25">
      <c r="E157" s="2" t="s">
        <v>708</v>
      </c>
      <c r="F157" s="2" t="s">
        <v>709</v>
      </c>
    </row>
    <row r="158" spans="5:6" x14ac:dyDescent="0.25">
      <c r="E158" s="2" t="s">
        <v>374</v>
      </c>
      <c r="F158" s="2" t="s">
        <v>375</v>
      </c>
    </row>
    <row r="159" spans="5:6" x14ac:dyDescent="0.25">
      <c r="E159" s="2" t="s">
        <v>710</v>
      </c>
      <c r="F159" s="2" t="s">
        <v>711</v>
      </c>
    </row>
    <row r="160" spans="5:6" x14ac:dyDescent="0.25">
      <c r="E160" s="2" t="s">
        <v>376</v>
      </c>
      <c r="F160" s="2" t="s">
        <v>377</v>
      </c>
    </row>
    <row r="161" spans="5:6" x14ac:dyDescent="0.25">
      <c r="E161" s="2" t="s">
        <v>712</v>
      </c>
      <c r="F161" s="2" t="s">
        <v>713</v>
      </c>
    </row>
    <row r="162" spans="5:6" x14ac:dyDescent="0.25">
      <c r="E162" s="2" t="s">
        <v>378</v>
      </c>
      <c r="F162" s="2" t="s">
        <v>379</v>
      </c>
    </row>
    <row r="163" spans="5:6" x14ac:dyDescent="0.25">
      <c r="E163" s="2" t="s">
        <v>714</v>
      </c>
      <c r="F163" s="2" t="s">
        <v>715</v>
      </c>
    </row>
    <row r="164" spans="5:6" x14ac:dyDescent="0.25">
      <c r="E164" s="2" t="s">
        <v>283</v>
      </c>
      <c r="F164" s="2" t="s">
        <v>284</v>
      </c>
    </row>
    <row r="165" spans="5:6" x14ac:dyDescent="0.25">
      <c r="E165" s="2" t="s">
        <v>716</v>
      </c>
      <c r="F165" s="2" t="s">
        <v>717</v>
      </c>
    </row>
    <row r="166" spans="5:6" x14ac:dyDescent="0.25">
      <c r="E166" s="2" t="s">
        <v>718</v>
      </c>
      <c r="F166" s="2" t="s">
        <v>719</v>
      </c>
    </row>
    <row r="167" spans="5:6" x14ac:dyDescent="0.25">
      <c r="E167" s="2" t="s">
        <v>720</v>
      </c>
      <c r="F167" s="2" t="s">
        <v>721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READ ME</vt:lpstr>
      <vt:lpstr>RECAP</vt:lpstr>
      <vt:lpstr>OFF ROAD RETURN</vt:lpstr>
      <vt:lpstr>ON ROAD RETURN</vt:lpstr>
      <vt:lpstr>OFF ROAD UPLOAD</vt:lpstr>
      <vt:lpstr>ON ROAD UPLOAD</vt:lpstr>
      <vt:lpstr>REVIEW</vt:lpstr>
      <vt:lpstr>AR SALES</vt:lpstr>
      <vt:lpstr>TERSE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2026-10-11T13:09:45Z</dcterms:created>
  <dcterms:modified xsi:type="dcterms:W3CDTF">2026-10-11T13:10:00Z</dcterms:modified>
</cp:coreProperties>
</file>